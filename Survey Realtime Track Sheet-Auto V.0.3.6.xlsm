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Wongmalasit\OneDrive - Schlumberger\Personal\Code\ReadScreen\"/>
    </mc:Choice>
  </mc:AlternateContent>
  <xr:revisionPtr revIDLastSave="0" documentId="13_ncr:1_{BCF98C8E-B6BD-4433-B13A-2C5DF279073D}" xr6:coauthVersionLast="47" xr6:coauthVersionMax="47" xr10:uidLastSave="{00000000-0000-0000-0000-000000000000}"/>
  <bookViews>
    <workbookView xWindow="-120" yWindow="-120" windowWidth="29040" windowHeight="15840" tabRatio="864" xr2:uid="{00000000-000D-0000-FFFF-FFFF00000000}"/>
  </bookViews>
  <sheets>
    <sheet name="Table" sheetId="1" r:id="rId1"/>
    <sheet name="RSSvsMWD" sheetId="4" r:id="rId2"/>
    <sheet name="Downlink" sheetId="5" r:id="rId3"/>
    <sheet name="Setting" sheetId="3" r:id="rId4"/>
  </sheets>
  <definedNames>
    <definedName name="_xlnm.Print_Area" localSheetId="2">Downlink!$A$1:$K$500</definedName>
    <definedName name="t" hidden="1">{#N/A,#N/A,FALSE,"Oil-Based Mud"}</definedName>
    <definedName name="temp" hidden="1">{#N/A,#N/A,FALSE,"Oil-Based Mud"}</definedName>
    <definedName name="temptemp" hidden="1">{#N/A,#N/A,FALSE,"Oil-Based Mud"}</definedName>
    <definedName name="test" hidden="1">{#N/A,#N/A,FALSE,"Oil-Based Mud"}</definedName>
    <definedName name="testtest" hidden="1">{#N/A,#N/A,FALSE,"Oil-Based Mud"}</definedName>
    <definedName name="tt" hidden="1">{#N/A,#N/A,FALSE,"Oil-Based Mud"}</definedName>
    <definedName name="wrc.OBMzz" hidden="1">{#N/A,#N/A,FALSE,"Oil-Based Mud"}</definedName>
    <definedName name="wrn.OBM." hidden="1">{#N/A,#N/A,FALSE,"Oil-Based Mud"}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4" i="5" l="1"/>
  <c r="L5" i="5"/>
  <c r="L6" i="5"/>
  <c r="L7" i="5"/>
  <c r="L8" i="5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L26" i="5"/>
  <c r="L27" i="5"/>
  <c r="L28" i="5"/>
  <c r="L29" i="5"/>
  <c r="L30" i="5"/>
  <c r="L31" i="5"/>
  <c r="L32" i="5"/>
  <c r="L33" i="5"/>
  <c r="L34" i="5"/>
  <c r="L35" i="5"/>
  <c r="L36" i="5"/>
  <c r="L37" i="5"/>
  <c r="L38" i="5"/>
  <c r="L39" i="5"/>
  <c r="L40" i="5"/>
  <c r="L41" i="5"/>
  <c r="L42" i="5"/>
  <c r="L43" i="5"/>
  <c r="L44" i="5"/>
  <c r="L45" i="5"/>
  <c r="L46" i="5"/>
  <c r="L47" i="5"/>
  <c r="L48" i="5"/>
  <c r="L49" i="5"/>
  <c r="L50" i="5"/>
  <c r="L51" i="5"/>
  <c r="L52" i="5"/>
  <c r="L53" i="5"/>
  <c r="L54" i="5"/>
  <c r="L55" i="5"/>
  <c r="L56" i="5"/>
  <c r="L57" i="5"/>
  <c r="L58" i="5"/>
  <c r="L59" i="5"/>
  <c r="L60" i="5"/>
  <c r="L61" i="5"/>
  <c r="L62" i="5"/>
  <c r="L63" i="5"/>
  <c r="L64" i="5"/>
  <c r="L65" i="5"/>
  <c r="L66" i="5"/>
  <c r="L67" i="5"/>
  <c r="L68" i="5"/>
  <c r="L69" i="5"/>
  <c r="L70" i="5"/>
  <c r="L71" i="5"/>
  <c r="L72" i="5"/>
  <c r="L73" i="5"/>
  <c r="L74" i="5"/>
  <c r="L75" i="5"/>
  <c r="L76" i="5"/>
  <c r="L77" i="5"/>
  <c r="L78" i="5"/>
  <c r="L79" i="5"/>
  <c r="L80" i="5"/>
  <c r="L81" i="5"/>
  <c r="L82" i="5"/>
  <c r="L83" i="5"/>
  <c r="L84" i="5"/>
  <c r="L85" i="5"/>
  <c r="L86" i="5"/>
  <c r="L87" i="5"/>
  <c r="L88" i="5"/>
  <c r="L89" i="5"/>
  <c r="L90" i="5"/>
  <c r="L91" i="5"/>
  <c r="L92" i="5"/>
  <c r="L93" i="5"/>
  <c r="L94" i="5"/>
  <c r="L95" i="5"/>
  <c r="L96" i="5"/>
  <c r="L97" i="5"/>
  <c r="L98" i="5"/>
  <c r="L99" i="5"/>
  <c r="L100" i="5"/>
  <c r="L101" i="5"/>
  <c r="L102" i="5"/>
  <c r="L103" i="5"/>
  <c r="L104" i="5"/>
  <c r="L105" i="5"/>
  <c r="L106" i="5"/>
  <c r="L107" i="5"/>
  <c r="L108" i="5"/>
  <c r="L109" i="5"/>
  <c r="L110" i="5"/>
  <c r="L111" i="5"/>
  <c r="L112" i="5"/>
  <c r="L113" i="5"/>
  <c r="L114" i="5"/>
  <c r="L115" i="5"/>
  <c r="L116" i="5"/>
  <c r="L117" i="5"/>
  <c r="L118" i="5"/>
  <c r="L119" i="5"/>
  <c r="L120" i="5"/>
  <c r="L121" i="5"/>
  <c r="L122" i="5"/>
  <c r="L123" i="5"/>
  <c r="L124" i="5"/>
  <c r="L125" i="5"/>
  <c r="L126" i="5"/>
  <c r="L127" i="5"/>
  <c r="L128" i="5"/>
  <c r="L129" i="5"/>
  <c r="L130" i="5"/>
  <c r="L131" i="5"/>
  <c r="L132" i="5"/>
  <c r="L133" i="5"/>
  <c r="L134" i="5"/>
  <c r="L135" i="5"/>
  <c r="L136" i="5"/>
  <c r="L137" i="5"/>
  <c r="L138" i="5"/>
  <c r="L139" i="5"/>
  <c r="L140" i="5"/>
  <c r="L141" i="5"/>
  <c r="L142" i="5"/>
  <c r="L143" i="5"/>
  <c r="L144" i="5"/>
  <c r="L145" i="5"/>
  <c r="L146" i="5"/>
  <c r="L147" i="5"/>
  <c r="L148" i="5"/>
  <c r="L149" i="5"/>
  <c r="L150" i="5"/>
  <c r="L151" i="5"/>
  <c r="L152" i="5"/>
  <c r="L153" i="5"/>
  <c r="L154" i="5"/>
  <c r="L155" i="5"/>
  <c r="L156" i="5"/>
  <c r="L157" i="5"/>
  <c r="L158" i="5"/>
  <c r="L159" i="5"/>
  <c r="L160" i="5"/>
  <c r="L161" i="5"/>
  <c r="L162" i="5"/>
  <c r="L163" i="5"/>
  <c r="L164" i="5"/>
  <c r="L165" i="5"/>
  <c r="L166" i="5"/>
  <c r="L167" i="5"/>
  <c r="L168" i="5"/>
  <c r="L169" i="5"/>
  <c r="L170" i="5"/>
  <c r="L171" i="5"/>
  <c r="L172" i="5"/>
  <c r="L173" i="5"/>
  <c r="L174" i="5"/>
  <c r="L175" i="5"/>
  <c r="L176" i="5"/>
  <c r="L177" i="5"/>
  <c r="L178" i="5"/>
  <c r="L179" i="5"/>
  <c r="L180" i="5"/>
  <c r="L181" i="5"/>
  <c r="L182" i="5"/>
  <c r="L183" i="5"/>
  <c r="L184" i="5"/>
  <c r="L185" i="5"/>
  <c r="L186" i="5"/>
  <c r="L187" i="5"/>
  <c r="L188" i="5"/>
  <c r="L189" i="5"/>
  <c r="L190" i="5"/>
  <c r="L191" i="5"/>
  <c r="L192" i="5"/>
  <c r="L193" i="5"/>
  <c r="L194" i="5"/>
  <c r="L195" i="5"/>
  <c r="L196" i="5"/>
  <c r="L197" i="5"/>
  <c r="L198" i="5"/>
  <c r="L199" i="5"/>
  <c r="L200" i="5"/>
  <c r="L201" i="5"/>
  <c r="L202" i="5"/>
  <c r="L203" i="5"/>
  <c r="L204" i="5"/>
  <c r="L205" i="5"/>
  <c r="L206" i="5"/>
  <c r="L207" i="5"/>
  <c r="L208" i="5"/>
  <c r="L209" i="5"/>
  <c r="L210" i="5"/>
  <c r="L211" i="5"/>
  <c r="L212" i="5"/>
  <c r="L213" i="5"/>
  <c r="L214" i="5"/>
  <c r="L215" i="5"/>
  <c r="L216" i="5"/>
  <c r="L217" i="5"/>
  <c r="L218" i="5"/>
  <c r="L219" i="5"/>
  <c r="L220" i="5"/>
  <c r="L221" i="5"/>
  <c r="L222" i="5"/>
  <c r="L223" i="5"/>
  <c r="L224" i="5"/>
  <c r="L225" i="5"/>
  <c r="L226" i="5"/>
  <c r="L227" i="5"/>
  <c r="L228" i="5"/>
  <c r="L229" i="5"/>
  <c r="L230" i="5"/>
  <c r="L231" i="5"/>
  <c r="L232" i="5"/>
  <c r="L233" i="5"/>
  <c r="L234" i="5"/>
  <c r="L235" i="5"/>
  <c r="L236" i="5"/>
  <c r="L237" i="5"/>
  <c r="L238" i="5"/>
  <c r="L239" i="5"/>
  <c r="L240" i="5"/>
  <c r="L241" i="5"/>
  <c r="L242" i="5"/>
  <c r="L243" i="5"/>
  <c r="L244" i="5"/>
  <c r="L245" i="5"/>
  <c r="L246" i="5"/>
  <c r="L247" i="5"/>
  <c r="L248" i="5"/>
  <c r="L249" i="5"/>
  <c r="L250" i="5"/>
  <c r="L251" i="5"/>
  <c r="L252" i="5"/>
  <c r="L253" i="5"/>
  <c r="L254" i="5"/>
  <c r="L255" i="5"/>
  <c r="L256" i="5"/>
  <c r="L257" i="5"/>
  <c r="L258" i="5"/>
  <c r="L259" i="5"/>
  <c r="L260" i="5"/>
  <c r="L261" i="5"/>
  <c r="L262" i="5"/>
  <c r="L263" i="5"/>
  <c r="L264" i="5"/>
  <c r="L265" i="5"/>
  <c r="L266" i="5"/>
  <c r="L267" i="5"/>
  <c r="L268" i="5"/>
  <c r="L269" i="5"/>
  <c r="L270" i="5"/>
  <c r="L271" i="5"/>
  <c r="L272" i="5"/>
  <c r="L273" i="5"/>
  <c r="L274" i="5"/>
  <c r="L275" i="5"/>
  <c r="L276" i="5"/>
  <c r="L277" i="5"/>
  <c r="L278" i="5"/>
  <c r="L279" i="5"/>
  <c r="L280" i="5"/>
  <c r="L281" i="5"/>
  <c r="L282" i="5"/>
  <c r="L283" i="5"/>
  <c r="L284" i="5"/>
  <c r="L285" i="5"/>
  <c r="L286" i="5"/>
  <c r="L287" i="5"/>
  <c r="L288" i="5"/>
  <c r="L289" i="5"/>
  <c r="L290" i="5"/>
  <c r="L291" i="5"/>
  <c r="L292" i="5"/>
  <c r="L293" i="5"/>
  <c r="L294" i="5"/>
  <c r="L295" i="5"/>
  <c r="L296" i="5"/>
  <c r="L297" i="5"/>
  <c r="L298" i="5"/>
  <c r="L299" i="5"/>
  <c r="L300" i="5"/>
  <c r="L301" i="5"/>
  <c r="L302" i="5"/>
  <c r="L303" i="5"/>
  <c r="L304" i="5"/>
  <c r="L305" i="5"/>
  <c r="L306" i="5"/>
  <c r="L307" i="5"/>
  <c r="L308" i="5"/>
  <c r="L309" i="5"/>
  <c r="L310" i="5"/>
  <c r="L311" i="5"/>
  <c r="L312" i="5"/>
  <c r="L313" i="5"/>
  <c r="L314" i="5"/>
  <c r="L315" i="5"/>
  <c r="L316" i="5"/>
  <c r="L317" i="5"/>
  <c r="L318" i="5"/>
  <c r="L319" i="5"/>
  <c r="L320" i="5"/>
  <c r="L321" i="5"/>
  <c r="L322" i="5"/>
  <c r="L323" i="5"/>
  <c r="L324" i="5"/>
  <c r="L325" i="5"/>
  <c r="L326" i="5"/>
  <c r="L327" i="5"/>
  <c r="L328" i="5"/>
  <c r="L329" i="5"/>
  <c r="L330" i="5"/>
  <c r="L331" i="5"/>
  <c r="L332" i="5"/>
  <c r="L333" i="5"/>
  <c r="L334" i="5"/>
  <c r="L335" i="5"/>
  <c r="L336" i="5"/>
  <c r="L337" i="5"/>
  <c r="L338" i="5"/>
  <c r="L339" i="5"/>
  <c r="L340" i="5"/>
  <c r="L341" i="5"/>
  <c r="L342" i="5"/>
  <c r="L343" i="5"/>
  <c r="L344" i="5"/>
  <c r="L345" i="5"/>
  <c r="L346" i="5"/>
  <c r="L347" i="5"/>
  <c r="L348" i="5"/>
  <c r="L349" i="5"/>
  <c r="L350" i="5"/>
  <c r="L351" i="5"/>
  <c r="L352" i="5"/>
  <c r="L353" i="5"/>
  <c r="L354" i="5"/>
  <c r="L355" i="5"/>
  <c r="L356" i="5"/>
  <c r="L357" i="5"/>
  <c r="L358" i="5"/>
  <c r="L359" i="5"/>
  <c r="L360" i="5"/>
  <c r="L361" i="5"/>
  <c r="L362" i="5"/>
  <c r="L363" i="5"/>
  <c r="L364" i="5"/>
  <c r="L365" i="5"/>
  <c r="L366" i="5"/>
  <c r="L367" i="5"/>
  <c r="L368" i="5"/>
  <c r="L369" i="5"/>
  <c r="L370" i="5"/>
  <c r="L371" i="5"/>
  <c r="L372" i="5"/>
  <c r="L373" i="5"/>
  <c r="L374" i="5"/>
  <c r="L375" i="5"/>
  <c r="L376" i="5"/>
  <c r="L377" i="5"/>
  <c r="L378" i="5"/>
  <c r="L379" i="5"/>
  <c r="L380" i="5"/>
  <c r="L381" i="5"/>
  <c r="L382" i="5"/>
  <c r="L383" i="5"/>
  <c r="L384" i="5"/>
  <c r="L385" i="5"/>
  <c r="L386" i="5"/>
  <c r="L387" i="5"/>
  <c r="L388" i="5"/>
  <c r="L389" i="5"/>
  <c r="L390" i="5"/>
  <c r="L391" i="5"/>
  <c r="L392" i="5"/>
  <c r="L393" i="5"/>
  <c r="L394" i="5"/>
  <c r="L395" i="5"/>
  <c r="L396" i="5"/>
  <c r="L397" i="5"/>
  <c r="L398" i="5"/>
  <c r="L399" i="5"/>
  <c r="L400" i="5"/>
  <c r="L401" i="5"/>
  <c r="L402" i="5"/>
  <c r="L403" i="5"/>
  <c r="L404" i="5"/>
  <c r="L405" i="5"/>
  <c r="L406" i="5"/>
  <c r="L407" i="5"/>
  <c r="L408" i="5"/>
  <c r="L409" i="5"/>
  <c r="L410" i="5"/>
  <c r="L411" i="5"/>
  <c r="L412" i="5"/>
  <c r="L413" i="5"/>
  <c r="L414" i="5"/>
  <c r="L415" i="5"/>
  <c r="L416" i="5"/>
  <c r="L417" i="5"/>
  <c r="L418" i="5"/>
  <c r="L419" i="5"/>
  <c r="L420" i="5"/>
  <c r="L421" i="5"/>
  <c r="L422" i="5"/>
  <c r="L423" i="5"/>
  <c r="L424" i="5"/>
  <c r="L425" i="5"/>
  <c r="L426" i="5"/>
  <c r="L427" i="5"/>
  <c r="L428" i="5"/>
  <c r="L429" i="5"/>
  <c r="L430" i="5"/>
  <c r="L431" i="5"/>
  <c r="L432" i="5"/>
  <c r="L433" i="5"/>
  <c r="L434" i="5"/>
  <c r="L435" i="5"/>
  <c r="L436" i="5"/>
  <c r="L437" i="5"/>
  <c r="L438" i="5"/>
  <c r="L439" i="5"/>
  <c r="L440" i="5"/>
  <c r="L441" i="5"/>
  <c r="L442" i="5"/>
  <c r="L443" i="5"/>
  <c r="L444" i="5"/>
  <c r="L445" i="5"/>
  <c r="L446" i="5"/>
  <c r="L447" i="5"/>
  <c r="L448" i="5"/>
  <c r="L449" i="5"/>
  <c r="L450" i="5"/>
  <c r="L451" i="5"/>
  <c r="L452" i="5"/>
  <c r="L453" i="5"/>
  <c r="L454" i="5"/>
  <c r="L455" i="5"/>
  <c r="L456" i="5"/>
  <c r="L457" i="5"/>
  <c r="L458" i="5"/>
  <c r="L459" i="5"/>
  <c r="L460" i="5"/>
  <c r="L461" i="5"/>
  <c r="L462" i="5"/>
  <c r="L463" i="5"/>
  <c r="L464" i="5"/>
  <c r="L465" i="5"/>
  <c r="L466" i="5"/>
  <c r="L467" i="5"/>
  <c r="L468" i="5"/>
  <c r="L469" i="5"/>
  <c r="L470" i="5"/>
  <c r="L471" i="5"/>
  <c r="L472" i="5"/>
  <c r="L473" i="5"/>
  <c r="L474" i="5"/>
  <c r="L475" i="5"/>
  <c r="L476" i="5"/>
  <c r="L477" i="5"/>
  <c r="L478" i="5"/>
  <c r="L479" i="5"/>
  <c r="L480" i="5"/>
  <c r="L481" i="5"/>
  <c r="L482" i="5"/>
  <c r="L483" i="5"/>
  <c r="L484" i="5"/>
  <c r="L485" i="5"/>
  <c r="L486" i="5"/>
  <c r="L487" i="5"/>
  <c r="L488" i="5"/>
  <c r="L489" i="5"/>
  <c r="L490" i="5"/>
  <c r="L491" i="5"/>
  <c r="L492" i="5"/>
  <c r="L493" i="5"/>
  <c r="L494" i="5"/>
  <c r="L495" i="5"/>
  <c r="L496" i="5"/>
  <c r="L497" i="5"/>
  <c r="L498" i="5"/>
  <c r="L499" i="5"/>
  <c r="L500" i="5"/>
  <c r="L3" i="5"/>
  <c r="L2" i="5"/>
  <c r="L3" i="4" l="1"/>
  <c r="M3" i="4"/>
  <c r="C3" i="4"/>
  <c r="B3" i="4"/>
  <c r="D3" i="1"/>
  <c r="D3" i="4" s="1"/>
  <c r="A3" i="1"/>
  <c r="A3" i="4" s="1"/>
  <c r="X4" i="1"/>
  <c r="X5" i="1"/>
  <c r="I3" i="1" l="1"/>
  <c r="K3" i="4" s="1"/>
  <c r="M3" i="1"/>
  <c r="O3" i="4" s="1"/>
  <c r="N3" i="1"/>
  <c r="P3" i="4" s="1"/>
  <c r="E3" i="1"/>
  <c r="E3" i="4" s="1"/>
  <c r="F3" i="1"/>
  <c r="F3" i="4" s="1"/>
  <c r="L3" i="1"/>
  <c r="N3" i="4" s="1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K907" i="4" s="1"/>
  <c r="A908" i="4"/>
  <c r="K908" i="4" s="1"/>
  <c r="A909" i="4"/>
  <c r="K909" i="4" s="1"/>
  <c r="A910" i="4"/>
  <c r="K910" i="4" s="1"/>
  <c r="A911" i="4"/>
  <c r="K911" i="4" s="1"/>
  <c r="A912" i="4"/>
  <c r="K912" i="4" s="1"/>
  <c r="A913" i="4"/>
  <c r="K913" i="4" s="1"/>
  <c r="A914" i="4"/>
  <c r="K914" i="4" s="1"/>
  <c r="A915" i="4"/>
  <c r="K915" i="4" s="1"/>
  <c r="A916" i="4"/>
  <c r="K916" i="4" s="1"/>
  <c r="A917" i="4"/>
  <c r="K917" i="4" s="1"/>
  <c r="A918" i="4"/>
  <c r="K918" i="4" s="1"/>
  <c r="A919" i="4"/>
  <c r="K919" i="4" s="1"/>
  <c r="A920" i="4"/>
  <c r="K920" i="4" s="1"/>
  <c r="A921" i="4"/>
  <c r="K921" i="4" s="1"/>
  <c r="A922" i="4"/>
  <c r="K922" i="4" s="1"/>
  <c r="A923" i="4"/>
  <c r="K923" i="4" s="1"/>
  <c r="A924" i="4"/>
  <c r="K924" i="4" s="1"/>
  <c r="A925" i="4"/>
  <c r="K925" i="4" s="1"/>
  <c r="A926" i="4"/>
  <c r="K926" i="4" s="1"/>
  <c r="A927" i="4"/>
  <c r="K927" i="4" s="1"/>
  <c r="A928" i="4"/>
  <c r="K928" i="4" s="1"/>
  <c r="A929" i="4"/>
  <c r="K929" i="4" s="1"/>
  <c r="A930" i="4"/>
  <c r="K930" i="4" s="1"/>
  <c r="A931" i="4"/>
  <c r="K931" i="4" s="1"/>
  <c r="A932" i="4"/>
  <c r="K932" i="4" s="1"/>
  <c r="A933" i="4"/>
  <c r="K933" i="4" s="1"/>
  <c r="A934" i="4"/>
  <c r="K934" i="4" s="1"/>
  <c r="A935" i="4"/>
  <c r="K935" i="4" s="1"/>
  <c r="A936" i="4"/>
  <c r="K936" i="4" s="1"/>
  <c r="A937" i="4"/>
  <c r="K937" i="4" s="1"/>
  <c r="A938" i="4"/>
  <c r="K938" i="4" s="1"/>
  <c r="A939" i="4"/>
  <c r="K939" i="4" s="1"/>
  <c r="A940" i="4"/>
  <c r="K940" i="4" s="1"/>
  <c r="A941" i="4"/>
  <c r="K941" i="4" s="1"/>
  <c r="A942" i="4"/>
  <c r="K942" i="4" s="1"/>
  <c r="A943" i="4"/>
  <c r="K943" i="4" s="1"/>
  <c r="A944" i="4"/>
  <c r="K944" i="4" s="1"/>
  <c r="A945" i="4"/>
  <c r="K945" i="4" s="1"/>
  <c r="A946" i="4"/>
  <c r="K946" i="4" s="1"/>
  <c r="A947" i="4"/>
  <c r="K947" i="4" s="1"/>
  <c r="A948" i="4"/>
  <c r="K948" i="4" s="1"/>
  <c r="A949" i="4"/>
  <c r="K949" i="4" s="1"/>
  <c r="A950" i="4"/>
  <c r="K950" i="4" s="1"/>
  <c r="A951" i="4"/>
  <c r="K951" i="4" s="1"/>
  <c r="A952" i="4"/>
  <c r="K952" i="4" s="1"/>
  <c r="A953" i="4"/>
  <c r="K953" i="4" s="1"/>
  <c r="A954" i="4"/>
  <c r="K954" i="4" s="1"/>
  <c r="A955" i="4"/>
  <c r="K955" i="4" s="1"/>
  <c r="A956" i="4"/>
  <c r="K956" i="4" s="1"/>
  <c r="A957" i="4"/>
  <c r="K957" i="4" s="1"/>
  <c r="A958" i="4"/>
  <c r="K958" i="4" s="1"/>
  <c r="A959" i="4"/>
  <c r="K959" i="4" s="1"/>
  <c r="A960" i="4"/>
  <c r="K960" i="4" s="1"/>
  <c r="A961" i="4"/>
  <c r="K961" i="4" s="1"/>
  <c r="A962" i="4"/>
  <c r="K962" i="4" s="1"/>
  <c r="A963" i="4"/>
  <c r="K963" i="4" s="1"/>
  <c r="A964" i="4"/>
  <c r="K964" i="4" s="1"/>
  <c r="A965" i="4"/>
  <c r="K965" i="4" s="1"/>
  <c r="A966" i="4"/>
  <c r="K966" i="4" s="1"/>
  <c r="A967" i="4"/>
  <c r="K967" i="4" s="1"/>
  <c r="A968" i="4"/>
  <c r="K968" i="4" s="1"/>
  <c r="A969" i="4"/>
  <c r="K969" i="4" s="1"/>
  <c r="A970" i="4"/>
  <c r="K970" i="4" s="1"/>
  <c r="A971" i="4"/>
  <c r="K971" i="4" s="1"/>
  <c r="A972" i="4"/>
  <c r="K972" i="4" s="1"/>
  <c r="A973" i="4"/>
  <c r="K973" i="4" s="1"/>
  <c r="A974" i="4"/>
  <c r="K974" i="4" s="1"/>
  <c r="A975" i="4"/>
  <c r="K975" i="4" s="1"/>
  <c r="A976" i="4"/>
  <c r="K976" i="4" s="1"/>
  <c r="A977" i="4"/>
  <c r="K977" i="4" s="1"/>
  <c r="A978" i="4"/>
  <c r="K978" i="4" s="1"/>
  <c r="A979" i="4"/>
  <c r="K979" i="4" s="1"/>
  <c r="A980" i="4"/>
  <c r="K980" i="4" s="1"/>
  <c r="A981" i="4"/>
  <c r="K981" i="4" s="1"/>
  <c r="A982" i="4"/>
  <c r="K982" i="4" s="1"/>
  <c r="A983" i="4"/>
  <c r="K983" i="4" s="1"/>
  <c r="A984" i="4"/>
  <c r="K984" i="4" s="1"/>
  <c r="A985" i="4"/>
  <c r="K985" i="4" s="1"/>
  <c r="A986" i="4"/>
  <c r="K986" i="4" s="1"/>
  <c r="A987" i="4"/>
  <c r="K987" i="4" s="1"/>
  <c r="A988" i="4"/>
  <c r="K988" i="4" s="1"/>
  <c r="A989" i="4"/>
  <c r="K989" i="4" s="1"/>
  <c r="A990" i="4"/>
  <c r="K990" i="4" s="1"/>
  <c r="A991" i="4"/>
  <c r="K991" i="4" s="1"/>
  <c r="A992" i="4"/>
  <c r="K992" i="4" s="1"/>
  <c r="A993" i="4"/>
  <c r="K993" i="4" s="1"/>
  <c r="A994" i="4"/>
  <c r="K994" i="4" s="1"/>
  <c r="A995" i="4"/>
  <c r="K995" i="4" s="1"/>
  <c r="A996" i="4"/>
  <c r="K996" i="4" s="1"/>
  <c r="A997" i="4"/>
  <c r="K997" i="4" s="1"/>
  <c r="A998" i="4"/>
  <c r="K998" i="4" s="1"/>
  <c r="A999" i="4"/>
  <c r="K999" i="4" s="1"/>
  <c r="A1000" i="4"/>
  <c r="K1000" i="4" s="1"/>
  <c r="A1001" i="4"/>
  <c r="K1001" i="4" s="1"/>
  <c r="A1002" i="4"/>
  <c r="K1002" i="4" s="1"/>
  <c r="A1003" i="4"/>
  <c r="K1003" i="4" s="1"/>
  <c r="A1004" i="4"/>
  <c r="K1004" i="4" s="1"/>
  <c r="A1005" i="4"/>
  <c r="K1005" i="4" s="1"/>
  <c r="A1006" i="4"/>
  <c r="K1006" i="4" s="1"/>
  <c r="A1007" i="4"/>
  <c r="K1007" i="4" s="1"/>
  <c r="A1008" i="4"/>
  <c r="K1008" i="4" s="1"/>
  <c r="A1009" i="4"/>
  <c r="K1009" i="4" s="1"/>
  <c r="A1010" i="4"/>
  <c r="K1010" i="4" s="1"/>
  <c r="A1011" i="4"/>
  <c r="K1011" i="4" s="1"/>
  <c r="A1012" i="4"/>
  <c r="K1012" i="4" s="1"/>
  <c r="A1013" i="4"/>
  <c r="K1013" i="4" s="1"/>
  <c r="A1014" i="4"/>
  <c r="K1014" i="4" s="1"/>
  <c r="A1015" i="4"/>
  <c r="K1015" i="4" s="1"/>
  <c r="A1016" i="4"/>
  <c r="K1016" i="4" s="1"/>
  <c r="A1017" i="4"/>
  <c r="K1017" i="4" s="1"/>
  <c r="A1018" i="4"/>
  <c r="K1018" i="4" s="1"/>
  <c r="A1019" i="4"/>
  <c r="K1019" i="4" s="1"/>
  <c r="A1020" i="4"/>
  <c r="K1020" i="4" s="1"/>
  <c r="A1021" i="4"/>
  <c r="K1021" i="4" s="1"/>
  <c r="A1022" i="4"/>
  <c r="K1022" i="4" s="1"/>
  <c r="A1023" i="4"/>
  <c r="K1023" i="4" s="1"/>
  <c r="A1024" i="4"/>
  <c r="K1024" i="4" s="1"/>
  <c r="A1025" i="4"/>
  <c r="K1025" i="4" s="1"/>
  <c r="A1026" i="4"/>
  <c r="K1026" i="4" s="1"/>
  <c r="A1027" i="4"/>
  <c r="K1027" i="4" s="1"/>
  <c r="A1028" i="4"/>
  <c r="K1028" i="4" s="1"/>
  <c r="A1029" i="4"/>
  <c r="K1029" i="4" s="1"/>
  <c r="A1030" i="4"/>
  <c r="K1030" i="4" s="1"/>
  <c r="A1031" i="4"/>
  <c r="K1031" i="4" s="1"/>
  <c r="A1032" i="4"/>
  <c r="K1032" i="4" s="1"/>
  <c r="A1033" i="4"/>
  <c r="K1033" i="4" s="1"/>
  <c r="A1034" i="4"/>
  <c r="K1034" i="4" s="1"/>
  <c r="A1035" i="4"/>
  <c r="K1035" i="4" s="1"/>
  <c r="A1036" i="4"/>
  <c r="K1036" i="4" s="1"/>
  <c r="A1037" i="4"/>
  <c r="K1037" i="4" s="1"/>
  <c r="A1038" i="4"/>
  <c r="K1038" i="4" s="1"/>
  <c r="A1039" i="4"/>
  <c r="K1039" i="4" s="1"/>
  <c r="A1040" i="4"/>
  <c r="K1040" i="4" s="1"/>
  <c r="A1041" i="4"/>
  <c r="K1041" i="4" s="1"/>
  <c r="A1042" i="4"/>
  <c r="K1042" i="4" s="1"/>
  <c r="A1043" i="4"/>
  <c r="K1043" i="4" s="1"/>
  <c r="A1044" i="4"/>
  <c r="K1044" i="4" s="1"/>
  <c r="A1045" i="4"/>
  <c r="K1045" i="4" s="1"/>
  <c r="A1046" i="4"/>
  <c r="K1046" i="4" s="1"/>
  <c r="A1047" i="4"/>
  <c r="K1047" i="4" s="1"/>
  <c r="A1048" i="4"/>
  <c r="K1048" i="4" s="1"/>
  <c r="A1049" i="4"/>
  <c r="K1049" i="4" s="1"/>
  <c r="A1050" i="4"/>
  <c r="K1050" i="4" s="1"/>
  <c r="A1051" i="4"/>
  <c r="K1051" i="4" s="1"/>
  <c r="A1052" i="4"/>
  <c r="K1052" i="4" s="1"/>
  <c r="A1053" i="4"/>
  <c r="K1053" i="4" s="1"/>
  <c r="A1054" i="4"/>
  <c r="K1054" i="4" s="1"/>
  <c r="A1055" i="4"/>
  <c r="K1055" i="4" s="1"/>
  <c r="A1056" i="4"/>
  <c r="K1056" i="4" s="1"/>
  <c r="A1057" i="4"/>
  <c r="K1057" i="4" s="1"/>
  <c r="A1058" i="4"/>
  <c r="K1058" i="4" s="1"/>
  <c r="A1059" i="4"/>
  <c r="K1059" i="4" s="1"/>
  <c r="A1060" i="4"/>
  <c r="K1060" i="4" s="1"/>
  <c r="A1061" i="4"/>
  <c r="K1061" i="4" s="1"/>
  <c r="A1062" i="4"/>
  <c r="K1062" i="4" s="1"/>
  <c r="A1063" i="4"/>
  <c r="K1063" i="4" s="1"/>
  <c r="A1064" i="4"/>
  <c r="K1064" i="4" s="1"/>
  <c r="A1065" i="4"/>
  <c r="K1065" i="4" s="1"/>
  <c r="A1066" i="4"/>
  <c r="K1066" i="4" s="1"/>
  <c r="A1067" i="4"/>
  <c r="K1067" i="4" s="1"/>
  <c r="A1068" i="4"/>
  <c r="K1068" i="4" s="1"/>
  <c r="A1069" i="4"/>
  <c r="K1069" i="4" s="1"/>
  <c r="A1070" i="4"/>
  <c r="K1070" i="4" s="1"/>
  <c r="A1071" i="4"/>
  <c r="K1071" i="4" s="1"/>
  <c r="A1072" i="4"/>
  <c r="K1072" i="4" s="1"/>
  <c r="A1073" i="4"/>
  <c r="K1073" i="4" s="1"/>
  <c r="A1074" i="4"/>
  <c r="K1074" i="4" s="1"/>
  <c r="A1075" i="4"/>
  <c r="K1075" i="4" s="1"/>
  <c r="A1076" i="4"/>
  <c r="K1076" i="4" s="1"/>
  <c r="A1077" i="4"/>
  <c r="K1077" i="4" s="1"/>
  <c r="A1078" i="4"/>
  <c r="K1078" i="4" s="1"/>
  <c r="A1079" i="4"/>
  <c r="K1079" i="4" s="1"/>
  <c r="A1080" i="4"/>
  <c r="K1080" i="4" s="1"/>
  <c r="A1081" i="4"/>
  <c r="K1081" i="4" s="1"/>
  <c r="A1082" i="4"/>
  <c r="K1082" i="4" s="1"/>
  <c r="A1083" i="4"/>
  <c r="K1083" i="4" s="1"/>
  <c r="A1084" i="4"/>
  <c r="K1084" i="4" s="1"/>
  <c r="A1085" i="4"/>
  <c r="K1085" i="4" s="1"/>
  <c r="A1086" i="4"/>
  <c r="K1086" i="4" s="1"/>
  <c r="A1087" i="4"/>
  <c r="K1087" i="4" s="1"/>
  <c r="A1088" i="4"/>
  <c r="K1088" i="4" s="1"/>
  <c r="A1089" i="4"/>
  <c r="K1089" i="4" s="1"/>
  <c r="A1090" i="4"/>
  <c r="K1090" i="4" s="1"/>
  <c r="A1091" i="4"/>
  <c r="K1091" i="4" s="1"/>
  <c r="A1092" i="4"/>
  <c r="K1092" i="4" s="1"/>
  <c r="A1093" i="4"/>
  <c r="K1093" i="4" s="1"/>
  <c r="A1094" i="4"/>
  <c r="K1094" i="4" s="1"/>
  <c r="A1095" i="4"/>
  <c r="K1095" i="4" s="1"/>
  <c r="A1096" i="4"/>
  <c r="K1096" i="4" s="1"/>
  <c r="A1097" i="4"/>
  <c r="K1097" i="4" s="1"/>
  <c r="A1098" i="4"/>
  <c r="K1098" i="4" s="1"/>
  <c r="A1099" i="4"/>
  <c r="K1099" i="4" s="1"/>
  <c r="A1100" i="4"/>
  <c r="K1100" i="4" s="1"/>
  <c r="A1101" i="4"/>
  <c r="K1101" i="4" s="1"/>
  <c r="A1102" i="4"/>
  <c r="K1102" i="4" s="1"/>
  <c r="A1103" i="4"/>
  <c r="K1103" i="4" s="1"/>
  <c r="A1104" i="4"/>
  <c r="K1104" i="4" s="1"/>
  <c r="A1105" i="4"/>
  <c r="K1105" i="4" s="1"/>
  <c r="A1106" i="4"/>
  <c r="K1106" i="4" s="1"/>
  <c r="A1107" i="4"/>
  <c r="K1107" i="4" s="1"/>
  <c r="A1108" i="4"/>
  <c r="K1108" i="4" s="1"/>
  <c r="A1109" i="4"/>
  <c r="K1109" i="4" s="1"/>
  <c r="A1110" i="4"/>
  <c r="K1110" i="4" s="1"/>
  <c r="A1111" i="4"/>
  <c r="K1111" i="4" s="1"/>
  <c r="A1112" i="4"/>
  <c r="K1112" i="4" s="1"/>
  <c r="A1113" i="4"/>
  <c r="K1113" i="4" s="1"/>
  <c r="A1114" i="4"/>
  <c r="K1114" i="4" s="1"/>
  <c r="A1115" i="4"/>
  <c r="K1115" i="4" s="1"/>
  <c r="A1116" i="4"/>
  <c r="K1116" i="4" s="1"/>
  <c r="A1117" i="4"/>
  <c r="K1117" i="4" s="1"/>
  <c r="A1118" i="4"/>
  <c r="K1118" i="4" s="1"/>
  <c r="A1119" i="4"/>
  <c r="K1119" i="4" s="1"/>
  <c r="A1120" i="4"/>
  <c r="K1120" i="4" s="1"/>
  <c r="A1121" i="4"/>
  <c r="K1121" i="4" s="1"/>
  <c r="A1122" i="4"/>
  <c r="K1122" i="4" s="1"/>
  <c r="A1123" i="4"/>
  <c r="K1123" i="4" s="1"/>
  <c r="A1124" i="4"/>
  <c r="K1124" i="4" s="1"/>
  <c r="A1125" i="4"/>
  <c r="K1125" i="4" s="1"/>
  <c r="A1126" i="4"/>
  <c r="K1126" i="4" s="1"/>
  <c r="A1127" i="4"/>
  <c r="K1127" i="4" s="1"/>
  <c r="A1128" i="4"/>
  <c r="K1128" i="4" s="1"/>
  <c r="A1129" i="4"/>
  <c r="K1129" i="4" s="1"/>
  <c r="A1130" i="4"/>
  <c r="K1130" i="4" s="1"/>
  <c r="A1131" i="4"/>
  <c r="K1131" i="4" s="1"/>
  <c r="A1132" i="4"/>
  <c r="K1132" i="4" s="1"/>
  <c r="A1133" i="4"/>
  <c r="K1133" i="4" s="1"/>
  <c r="A1134" i="4"/>
  <c r="K1134" i="4" s="1"/>
  <c r="A1135" i="4"/>
  <c r="K1135" i="4" s="1"/>
  <c r="A1136" i="4"/>
  <c r="K1136" i="4" s="1"/>
  <c r="A1137" i="4"/>
  <c r="K1137" i="4" s="1"/>
  <c r="A1138" i="4"/>
  <c r="K1138" i="4" s="1"/>
  <c r="A1139" i="4"/>
  <c r="K1139" i="4" s="1"/>
  <c r="A1140" i="4"/>
  <c r="K1140" i="4" s="1"/>
  <c r="A1141" i="4"/>
  <c r="K1141" i="4" s="1"/>
  <c r="A1142" i="4"/>
  <c r="K1142" i="4" s="1"/>
  <c r="A1143" i="4"/>
  <c r="K1143" i="4" s="1"/>
  <c r="A1144" i="4"/>
  <c r="K1144" i="4" s="1"/>
  <c r="A1145" i="4"/>
  <c r="K1145" i="4" s="1"/>
  <c r="A1146" i="4"/>
  <c r="K1146" i="4" s="1"/>
  <c r="A1147" i="4"/>
  <c r="K1147" i="4" s="1"/>
  <c r="A1148" i="4"/>
  <c r="K1148" i="4" s="1"/>
  <c r="A1149" i="4"/>
  <c r="K1149" i="4" s="1"/>
  <c r="A1150" i="4"/>
  <c r="K1150" i="4" s="1"/>
  <c r="A1151" i="4"/>
  <c r="K1151" i="4" s="1"/>
  <c r="A1152" i="4"/>
  <c r="K1152" i="4" s="1"/>
  <c r="A1153" i="4"/>
  <c r="K1153" i="4" s="1"/>
  <c r="A1154" i="4"/>
  <c r="K1154" i="4" s="1"/>
  <c r="A1155" i="4"/>
  <c r="K1155" i="4" s="1"/>
  <c r="A1156" i="4"/>
  <c r="K1156" i="4" s="1"/>
  <c r="A1157" i="4"/>
  <c r="K1157" i="4" s="1"/>
  <c r="A1158" i="4"/>
  <c r="K1158" i="4" s="1"/>
  <c r="A1159" i="4"/>
  <c r="K1159" i="4" s="1"/>
  <c r="A1160" i="4"/>
  <c r="K1160" i="4" s="1"/>
  <c r="A1161" i="4"/>
  <c r="K1161" i="4" s="1"/>
  <c r="A1162" i="4"/>
  <c r="K1162" i="4" s="1"/>
  <c r="A1163" i="4"/>
  <c r="K1163" i="4" s="1"/>
  <c r="A1164" i="4"/>
  <c r="K1164" i="4" s="1"/>
  <c r="A1165" i="4"/>
  <c r="K1165" i="4" s="1"/>
  <c r="A1166" i="4"/>
  <c r="K1166" i="4" s="1"/>
  <c r="A1167" i="4"/>
  <c r="K1167" i="4" s="1"/>
  <c r="A1168" i="4"/>
  <c r="K1168" i="4" s="1"/>
  <c r="A1169" i="4"/>
  <c r="K1169" i="4" s="1"/>
  <c r="A1170" i="4"/>
  <c r="K1170" i="4" s="1"/>
  <c r="A1171" i="4"/>
  <c r="K1171" i="4" s="1"/>
  <c r="A1172" i="4"/>
  <c r="K1172" i="4" s="1"/>
  <c r="A1173" i="4"/>
  <c r="K1173" i="4" s="1"/>
  <c r="A1174" i="4"/>
  <c r="K1174" i="4" s="1"/>
  <c r="A1175" i="4"/>
  <c r="K1175" i="4" s="1"/>
  <c r="A1176" i="4"/>
  <c r="K1176" i="4" s="1"/>
  <c r="A1177" i="4"/>
  <c r="K1177" i="4" s="1"/>
  <c r="A1178" i="4"/>
  <c r="K1178" i="4" s="1"/>
  <c r="A1179" i="4"/>
  <c r="K1179" i="4" s="1"/>
  <c r="A1180" i="4"/>
  <c r="K1180" i="4" s="1"/>
  <c r="A1181" i="4"/>
  <c r="K1181" i="4" s="1"/>
  <c r="A1182" i="4"/>
  <c r="K1182" i="4" s="1"/>
  <c r="A1183" i="4"/>
  <c r="K1183" i="4" s="1"/>
  <c r="A1184" i="4"/>
  <c r="K1184" i="4" s="1"/>
  <c r="A1185" i="4"/>
  <c r="K1185" i="4" s="1"/>
  <c r="A1186" i="4"/>
  <c r="K1186" i="4" s="1"/>
  <c r="A1187" i="4"/>
  <c r="K1187" i="4" s="1"/>
  <c r="A1188" i="4"/>
  <c r="K1188" i="4" s="1"/>
  <c r="A1189" i="4"/>
  <c r="K1189" i="4" s="1"/>
  <c r="A1190" i="4"/>
  <c r="K1190" i="4" s="1"/>
  <c r="A1191" i="4"/>
  <c r="K1191" i="4" s="1"/>
  <c r="A1192" i="4"/>
  <c r="K1192" i="4" s="1"/>
  <c r="A1193" i="4"/>
  <c r="K1193" i="4" s="1"/>
  <c r="A1194" i="4"/>
  <c r="K1194" i="4" s="1"/>
  <c r="A1195" i="4"/>
  <c r="K1195" i="4" s="1"/>
  <c r="A1196" i="4"/>
  <c r="K1196" i="4" s="1"/>
  <c r="A1197" i="4"/>
  <c r="K1197" i="4" s="1"/>
  <c r="A1198" i="4"/>
  <c r="K1198" i="4" s="1"/>
  <c r="A1199" i="4"/>
  <c r="K1199" i="4" s="1"/>
  <c r="A1200" i="4"/>
  <c r="K1200" i="4" s="1"/>
  <c r="A1201" i="4"/>
  <c r="K1201" i="4" s="1"/>
  <c r="A1202" i="4"/>
  <c r="K1202" i="4" s="1"/>
  <c r="A1203" i="4"/>
  <c r="K1203" i="4" s="1"/>
  <c r="A1204" i="4"/>
  <c r="K1204" i="4" s="1"/>
  <c r="A1205" i="4"/>
  <c r="K1205" i="4" s="1"/>
  <c r="A1206" i="4"/>
  <c r="K1206" i="4" s="1"/>
  <c r="A1207" i="4"/>
  <c r="K1207" i="4" s="1"/>
  <c r="A1208" i="4"/>
  <c r="K1208" i="4" s="1"/>
  <c r="A1209" i="4"/>
  <c r="K1209" i="4" s="1"/>
  <c r="A1210" i="4"/>
  <c r="K1210" i="4" s="1"/>
  <c r="A1211" i="4"/>
  <c r="K1211" i="4" s="1"/>
  <c r="A1212" i="4"/>
  <c r="K1212" i="4" s="1"/>
  <c r="A1213" i="4"/>
  <c r="K1213" i="4" s="1"/>
  <c r="A1214" i="4"/>
  <c r="K1214" i="4" s="1"/>
  <c r="A1215" i="4"/>
  <c r="K1215" i="4" s="1"/>
  <c r="A1216" i="4"/>
  <c r="K1216" i="4" s="1"/>
  <c r="A1217" i="4"/>
  <c r="K1217" i="4" s="1"/>
  <c r="A1218" i="4"/>
  <c r="K1218" i="4" s="1"/>
  <c r="A1219" i="4"/>
  <c r="K1219" i="4" s="1"/>
  <c r="A1220" i="4"/>
  <c r="K1220" i="4" s="1"/>
  <c r="A1221" i="4"/>
  <c r="K1221" i="4" s="1"/>
  <c r="A1222" i="4"/>
  <c r="K1222" i="4" s="1"/>
  <c r="A1223" i="4"/>
  <c r="K1223" i="4" s="1"/>
  <c r="A1224" i="4"/>
  <c r="K1224" i="4" s="1"/>
  <c r="A1225" i="4"/>
  <c r="K1225" i="4" s="1"/>
  <c r="A1226" i="4"/>
  <c r="K1226" i="4" s="1"/>
  <c r="A1227" i="4"/>
  <c r="K1227" i="4" s="1"/>
  <c r="A1228" i="4"/>
  <c r="K1228" i="4" s="1"/>
  <c r="A1229" i="4"/>
  <c r="K1229" i="4" s="1"/>
  <c r="A1230" i="4"/>
  <c r="K1230" i="4" s="1"/>
  <c r="A1231" i="4"/>
  <c r="K1231" i="4" s="1"/>
  <c r="A1232" i="4"/>
  <c r="K1232" i="4" s="1"/>
  <c r="A1233" i="4"/>
  <c r="K1233" i="4" s="1"/>
  <c r="A1234" i="4"/>
  <c r="K1234" i="4" s="1"/>
  <c r="A1235" i="4"/>
  <c r="K1235" i="4" s="1"/>
  <c r="A1236" i="4"/>
  <c r="K1236" i="4" s="1"/>
  <c r="A1237" i="4"/>
  <c r="K1237" i="4" s="1"/>
  <c r="A1238" i="4"/>
  <c r="K1238" i="4" s="1"/>
  <c r="A1239" i="4"/>
  <c r="K1239" i="4" s="1"/>
  <c r="A1240" i="4"/>
  <c r="K1240" i="4" s="1"/>
  <c r="A1241" i="4"/>
  <c r="K1241" i="4" s="1"/>
  <c r="A1242" i="4"/>
  <c r="K1242" i="4" s="1"/>
  <c r="A1243" i="4"/>
  <c r="K1243" i="4" s="1"/>
  <c r="A1244" i="4"/>
  <c r="K1244" i="4" s="1"/>
  <c r="A1245" i="4"/>
  <c r="K1245" i="4" s="1"/>
  <c r="A1246" i="4"/>
  <c r="K1246" i="4" s="1"/>
  <c r="A1247" i="4"/>
  <c r="K1247" i="4" s="1"/>
  <c r="A1248" i="4"/>
  <c r="K1248" i="4" s="1"/>
  <c r="A1249" i="4"/>
  <c r="K1249" i="4" s="1"/>
  <c r="A1250" i="4"/>
  <c r="K1250" i="4" s="1"/>
  <c r="A1251" i="4"/>
  <c r="K1251" i="4" s="1"/>
  <c r="A1252" i="4"/>
  <c r="K1252" i="4" s="1"/>
  <c r="A1253" i="4"/>
  <c r="K1253" i="4" s="1"/>
  <c r="A1254" i="4"/>
  <c r="K1254" i="4" s="1"/>
  <c r="A1255" i="4"/>
  <c r="K1255" i="4" s="1"/>
  <c r="A1256" i="4"/>
  <c r="K1256" i="4" s="1"/>
  <c r="A1257" i="4"/>
  <c r="K1257" i="4" s="1"/>
  <c r="A1258" i="4"/>
  <c r="K1258" i="4" s="1"/>
  <c r="A1259" i="4"/>
  <c r="K1259" i="4" s="1"/>
  <c r="A1260" i="4"/>
  <c r="K1260" i="4" s="1"/>
  <c r="A1261" i="4"/>
  <c r="K1261" i="4" s="1"/>
  <c r="A1262" i="4"/>
  <c r="K1262" i="4" s="1"/>
  <c r="A1263" i="4"/>
  <c r="K1263" i="4" s="1"/>
  <c r="A1264" i="4"/>
  <c r="K1264" i="4" s="1"/>
  <c r="A1265" i="4"/>
  <c r="K1265" i="4" s="1"/>
  <c r="A1266" i="4"/>
  <c r="K1266" i="4" s="1"/>
  <c r="A1267" i="4"/>
  <c r="K1267" i="4" s="1"/>
  <c r="A1268" i="4"/>
  <c r="K1268" i="4" s="1"/>
  <c r="A1269" i="4"/>
  <c r="K1269" i="4" s="1"/>
  <c r="A1270" i="4"/>
  <c r="K1270" i="4" s="1"/>
  <c r="A1271" i="4"/>
  <c r="K1271" i="4" s="1"/>
  <c r="A1272" i="4"/>
  <c r="K1272" i="4" s="1"/>
  <c r="A1273" i="4"/>
  <c r="K1273" i="4" s="1"/>
  <c r="A1274" i="4"/>
  <c r="K1274" i="4" s="1"/>
  <c r="A1275" i="4"/>
  <c r="K1275" i="4" s="1"/>
  <c r="A1276" i="4"/>
  <c r="K1276" i="4" s="1"/>
  <c r="A1277" i="4"/>
  <c r="K1277" i="4" s="1"/>
  <c r="A1278" i="4"/>
  <c r="K1278" i="4" s="1"/>
  <c r="A1279" i="4"/>
  <c r="K1279" i="4" s="1"/>
  <c r="A1280" i="4"/>
  <c r="K1280" i="4" s="1"/>
  <c r="A1281" i="4"/>
  <c r="K1281" i="4" s="1"/>
  <c r="A1282" i="4"/>
  <c r="K1282" i="4" s="1"/>
  <c r="A1283" i="4"/>
  <c r="K1283" i="4" s="1"/>
  <c r="A1284" i="4"/>
  <c r="K1284" i="4" s="1"/>
  <c r="A1285" i="4"/>
  <c r="K1285" i="4" s="1"/>
  <c r="A1286" i="4"/>
  <c r="K1286" i="4" s="1"/>
  <c r="A1287" i="4"/>
  <c r="K1287" i="4" s="1"/>
  <c r="A1288" i="4"/>
  <c r="K1288" i="4" s="1"/>
  <c r="A1289" i="4"/>
  <c r="K1289" i="4" s="1"/>
  <c r="A1290" i="4"/>
  <c r="K1290" i="4" s="1"/>
  <c r="A1291" i="4"/>
  <c r="K1291" i="4" s="1"/>
  <c r="A1292" i="4"/>
  <c r="K1292" i="4" s="1"/>
  <c r="A1293" i="4"/>
  <c r="K1293" i="4" s="1"/>
  <c r="A1294" i="4"/>
  <c r="K1294" i="4" s="1"/>
  <c r="A1295" i="4"/>
  <c r="K1295" i="4" s="1"/>
  <c r="A1296" i="4"/>
  <c r="K1296" i="4" s="1"/>
  <c r="A1297" i="4"/>
  <c r="K1297" i="4" s="1"/>
  <c r="A1298" i="4"/>
  <c r="K1298" i="4" s="1"/>
  <c r="A1299" i="4"/>
  <c r="K1299" i="4" s="1"/>
  <c r="A1300" i="4"/>
  <c r="K1300" i="4" s="1"/>
  <c r="A1301" i="4"/>
  <c r="K1301" i="4" s="1"/>
  <c r="A1302" i="4"/>
  <c r="K1302" i="4" s="1"/>
  <c r="A1303" i="4"/>
  <c r="K1303" i="4" s="1"/>
  <c r="A1304" i="4"/>
  <c r="K1304" i="4" s="1"/>
  <c r="A1305" i="4"/>
  <c r="K1305" i="4" s="1"/>
  <c r="A1306" i="4"/>
  <c r="K1306" i="4" s="1"/>
  <c r="A1307" i="4"/>
  <c r="K1307" i="4" s="1"/>
  <c r="A1308" i="4"/>
  <c r="K1308" i="4" s="1"/>
  <c r="A1309" i="4"/>
  <c r="K1309" i="4" s="1"/>
  <c r="A1310" i="4"/>
  <c r="K1310" i="4" s="1"/>
  <c r="A1311" i="4"/>
  <c r="K1311" i="4" s="1"/>
  <c r="A1312" i="4"/>
  <c r="K1312" i="4" s="1"/>
  <c r="A1313" i="4"/>
  <c r="K1313" i="4" s="1"/>
  <c r="A1314" i="4"/>
  <c r="K1314" i="4" s="1"/>
  <c r="A1315" i="4"/>
  <c r="K1315" i="4" s="1"/>
  <c r="A1316" i="4"/>
  <c r="K1316" i="4" s="1"/>
  <c r="A1317" i="4"/>
  <c r="K1317" i="4" s="1"/>
  <c r="A1318" i="4"/>
  <c r="K1318" i="4" s="1"/>
  <c r="A1319" i="4"/>
  <c r="K1319" i="4" s="1"/>
  <c r="A1320" i="4"/>
  <c r="K1320" i="4" s="1"/>
  <c r="A1321" i="4"/>
  <c r="K1321" i="4" s="1"/>
  <c r="A1322" i="4"/>
  <c r="K1322" i="4" s="1"/>
  <c r="A1323" i="4"/>
  <c r="K1323" i="4" s="1"/>
  <c r="A1324" i="4"/>
  <c r="K1324" i="4" s="1"/>
  <c r="A1325" i="4"/>
  <c r="K1325" i="4" s="1"/>
  <c r="A1326" i="4"/>
  <c r="K1326" i="4" s="1"/>
  <c r="A1327" i="4"/>
  <c r="K1327" i="4" s="1"/>
  <c r="A1328" i="4"/>
  <c r="K1328" i="4" s="1"/>
  <c r="A1329" i="4"/>
  <c r="K1329" i="4" s="1"/>
  <c r="A1330" i="4"/>
  <c r="K1330" i="4" s="1"/>
  <c r="A1331" i="4"/>
  <c r="K1331" i="4" s="1"/>
  <c r="A1332" i="4"/>
  <c r="K1332" i="4" s="1"/>
  <c r="A1333" i="4"/>
  <c r="K1333" i="4" s="1"/>
  <c r="A1334" i="4"/>
  <c r="K1334" i="4" s="1"/>
  <c r="A1335" i="4"/>
  <c r="K1335" i="4" s="1"/>
  <c r="A1336" i="4"/>
  <c r="K1336" i="4" s="1"/>
  <c r="A1337" i="4"/>
  <c r="K1337" i="4" s="1"/>
  <c r="A1338" i="4"/>
  <c r="K1338" i="4" s="1"/>
  <c r="A1339" i="4"/>
  <c r="K1339" i="4" s="1"/>
  <c r="A1340" i="4"/>
  <c r="K1340" i="4" s="1"/>
  <c r="A1341" i="4"/>
  <c r="K1341" i="4" s="1"/>
  <c r="A1342" i="4"/>
  <c r="K1342" i="4" s="1"/>
  <c r="A1343" i="4"/>
  <c r="K1343" i="4" s="1"/>
  <c r="A1344" i="4"/>
  <c r="K1344" i="4" s="1"/>
  <c r="A1345" i="4"/>
  <c r="K1345" i="4" s="1"/>
  <c r="A1346" i="4"/>
  <c r="K1346" i="4" s="1"/>
  <c r="A1347" i="4"/>
  <c r="K1347" i="4" s="1"/>
  <c r="A1348" i="4"/>
  <c r="K1348" i="4" s="1"/>
  <c r="A1349" i="4"/>
  <c r="K1349" i="4" s="1"/>
  <c r="A1350" i="4"/>
  <c r="K1350" i="4" s="1"/>
  <c r="A1351" i="4"/>
  <c r="K1351" i="4" s="1"/>
  <c r="A1352" i="4"/>
  <c r="K1352" i="4" s="1"/>
  <c r="A1353" i="4"/>
  <c r="K1353" i="4" s="1"/>
  <c r="A1354" i="4"/>
  <c r="K1354" i="4" s="1"/>
  <c r="A1355" i="4"/>
  <c r="K1355" i="4" s="1"/>
  <c r="A1356" i="4"/>
  <c r="K1356" i="4" s="1"/>
  <c r="A1357" i="4"/>
  <c r="K1357" i="4" s="1"/>
  <c r="A1358" i="4"/>
  <c r="K1358" i="4" s="1"/>
  <c r="A1359" i="4"/>
  <c r="K1359" i="4" s="1"/>
  <c r="A1360" i="4"/>
  <c r="K1360" i="4" s="1"/>
  <c r="A1361" i="4"/>
  <c r="K1361" i="4" s="1"/>
  <c r="A1362" i="4"/>
  <c r="K1362" i="4" s="1"/>
  <c r="A1363" i="4"/>
  <c r="K1363" i="4" s="1"/>
  <c r="A1364" i="4"/>
  <c r="K1364" i="4" s="1"/>
  <c r="A1365" i="4"/>
  <c r="K1365" i="4" s="1"/>
  <c r="A1366" i="4"/>
  <c r="K1366" i="4" s="1"/>
  <c r="A1367" i="4"/>
  <c r="K1367" i="4" s="1"/>
  <c r="A1368" i="4"/>
  <c r="K1368" i="4" s="1"/>
  <c r="A1369" i="4"/>
  <c r="K1369" i="4" s="1"/>
  <c r="A1370" i="4"/>
  <c r="K1370" i="4" s="1"/>
  <c r="A1371" i="4"/>
  <c r="K1371" i="4" s="1"/>
  <c r="A1372" i="4"/>
  <c r="K1372" i="4" s="1"/>
  <c r="A1373" i="4"/>
  <c r="K1373" i="4" s="1"/>
  <c r="A1374" i="4"/>
  <c r="K1374" i="4" s="1"/>
  <c r="A1375" i="4"/>
  <c r="K1375" i="4" s="1"/>
  <c r="A1376" i="4"/>
  <c r="K1376" i="4" s="1"/>
  <c r="A1377" i="4"/>
  <c r="K1377" i="4" s="1"/>
  <c r="A1378" i="4"/>
  <c r="K1378" i="4" s="1"/>
  <c r="A1379" i="4"/>
  <c r="K1379" i="4" s="1"/>
  <c r="A1380" i="4"/>
  <c r="K1380" i="4" s="1"/>
  <c r="A1381" i="4"/>
  <c r="K1381" i="4" s="1"/>
  <c r="A1382" i="4"/>
  <c r="K1382" i="4" s="1"/>
  <c r="A1383" i="4"/>
  <c r="K1383" i="4" s="1"/>
  <c r="A1384" i="4"/>
  <c r="K1384" i="4" s="1"/>
  <c r="A1385" i="4"/>
  <c r="K1385" i="4" s="1"/>
  <c r="A1386" i="4"/>
  <c r="K1386" i="4" s="1"/>
  <c r="A1387" i="4"/>
  <c r="K1387" i="4" s="1"/>
  <c r="A1388" i="4"/>
  <c r="K1388" i="4" s="1"/>
  <c r="A1389" i="4"/>
  <c r="K1389" i="4" s="1"/>
  <c r="A1390" i="4"/>
  <c r="K1390" i="4" s="1"/>
  <c r="A1391" i="4"/>
  <c r="K1391" i="4" s="1"/>
  <c r="A1392" i="4"/>
  <c r="K1392" i="4" s="1"/>
  <c r="A1393" i="4"/>
  <c r="K1393" i="4" s="1"/>
  <c r="A1394" i="4"/>
  <c r="K1394" i="4" s="1"/>
  <c r="A1395" i="4"/>
  <c r="K1395" i="4" s="1"/>
  <c r="A1396" i="4"/>
  <c r="K1396" i="4" s="1"/>
  <c r="A1397" i="4"/>
  <c r="K1397" i="4" s="1"/>
  <c r="A1398" i="4"/>
  <c r="K1398" i="4" s="1"/>
  <c r="A1399" i="4"/>
  <c r="K1399" i="4" s="1"/>
  <c r="A1400" i="4"/>
  <c r="K1400" i="4" s="1"/>
  <c r="A1401" i="4"/>
  <c r="K1401" i="4" s="1"/>
  <c r="A1402" i="4"/>
  <c r="K1402" i="4" s="1"/>
  <c r="A1403" i="4"/>
  <c r="K1403" i="4" s="1"/>
  <c r="A1404" i="4"/>
  <c r="K1404" i="4" s="1"/>
  <c r="A1405" i="4"/>
  <c r="K1405" i="4" s="1"/>
  <c r="A1406" i="4"/>
  <c r="K1406" i="4" s="1"/>
  <c r="A1407" i="4"/>
  <c r="K1407" i="4" s="1"/>
  <c r="A1408" i="4"/>
  <c r="K1408" i="4" s="1"/>
  <c r="A1409" i="4"/>
  <c r="K1409" i="4" s="1"/>
  <c r="A1410" i="4"/>
  <c r="K1410" i="4" s="1"/>
  <c r="A1411" i="4"/>
  <c r="K1411" i="4" s="1"/>
  <c r="A1412" i="4"/>
  <c r="K1412" i="4" s="1"/>
  <c r="A1413" i="4"/>
  <c r="K1413" i="4" s="1"/>
  <c r="A1414" i="4"/>
  <c r="K1414" i="4" s="1"/>
  <c r="A1415" i="4"/>
  <c r="K1415" i="4" s="1"/>
  <c r="A1416" i="4"/>
  <c r="K1416" i="4" s="1"/>
  <c r="A1417" i="4"/>
  <c r="K1417" i="4" s="1"/>
  <c r="A1418" i="4"/>
  <c r="K1418" i="4" s="1"/>
  <c r="A1419" i="4"/>
  <c r="K1419" i="4" s="1"/>
  <c r="A1420" i="4"/>
  <c r="K1420" i="4" s="1"/>
  <c r="A1421" i="4"/>
  <c r="K1421" i="4" s="1"/>
  <c r="A1422" i="4"/>
  <c r="K1422" i="4" s="1"/>
  <c r="A1423" i="4"/>
  <c r="K1423" i="4" s="1"/>
  <c r="A1424" i="4"/>
  <c r="K1424" i="4" s="1"/>
  <c r="A1425" i="4"/>
  <c r="K1425" i="4" s="1"/>
  <c r="A1426" i="4"/>
  <c r="K1426" i="4" s="1"/>
  <c r="A1427" i="4"/>
  <c r="K1427" i="4" s="1"/>
  <c r="A1428" i="4"/>
  <c r="K1428" i="4" s="1"/>
  <c r="A1429" i="4"/>
  <c r="K1429" i="4" s="1"/>
  <c r="A1430" i="4"/>
  <c r="K1430" i="4" s="1"/>
  <c r="A1431" i="4"/>
  <c r="K1431" i="4" s="1"/>
  <c r="A1432" i="4"/>
  <c r="K1432" i="4" s="1"/>
  <c r="A1433" i="4"/>
  <c r="K1433" i="4" s="1"/>
  <c r="A1434" i="4"/>
  <c r="K1434" i="4" s="1"/>
  <c r="A1435" i="4"/>
  <c r="K1435" i="4" s="1"/>
  <c r="A1436" i="4"/>
  <c r="K1436" i="4" s="1"/>
  <c r="A1437" i="4"/>
  <c r="K1437" i="4" s="1"/>
  <c r="A1438" i="4"/>
  <c r="K1438" i="4" s="1"/>
  <c r="A1439" i="4"/>
  <c r="K1439" i="4" s="1"/>
  <c r="A1440" i="4"/>
  <c r="K1440" i="4" s="1"/>
  <c r="A1441" i="4"/>
  <c r="K1441" i="4" s="1"/>
  <c r="A1442" i="4"/>
  <c r="K1442" i="4" s="1"/>
  <c r="A1443" i="4"/>
  <c r="K1443" i="4" s="1"/>
  <c r="A1444" i="4"/>
  <c r="K1444" i="4" s="1"/>
  <c r="A1445" i="4"/>
  <c r="K1445" i="4" s="1"/>
  <c r="A1446" i="4"/>
  <c r="K1446" i="4" s="1"/>
  <c r="A1447" i="4"/>
  <c r="K1447" i="4" s="1"/>
  <c r="A1448" i="4"/>
  <c r="K1448" i="4" s="1"/>
  <c r="A1449" i="4"/>
  <c r="K1449" i="4" s="1"/>
  <c r="A1450" i="4"/>
  <c r="K1450" i="4" s="1"/>
  <c r="A1451" i="4"/>
  <c r="K1451" i="4" s="1"/>
  <c r="A1452" i="4"/>
  <c r="K1452" i="4" s="1"/>
  <c r="A1453" i="4"/>
  <c r="K1453" i="4" s="1"/>
  <c r="A1454" i="4"/>
  <c r="K1454" i="4" s="1"/>
  <c r="A1455" i="4"/>
  <c r="K1455" i="4" s="1"/>
  <c r="A1456" i="4"/>
  <c r="K1456" i="4" s="1"/>
  <c r="A1457" i="4"/>
  <c r="K1457" i="4" s="1"/>
  <c r="A1458" i="4"/>
  <c r="K1458" i="4" s="1"/>
  <c r="A1459" i="4"/>
  <c r="K1459" i="4" s="1"/>
  <c r="A1460" i="4"/>
  <c r="K1460" i="4" s="1"/>
  <c r="A1461" i="4"/>
  <c r="K1461" i="4" s="1"/>
  <c r="A1462" i="4"/>
  <c r="K1462" i="4" s="1"/>
  <c r="A1463" i="4"/>
  <c r="K1463" i="4" s="1"/>
  <c r="A1464" i="4"/>
  <c r="K1464" i="4" s="1"/>
  <c r="A1465" i="4"/>
  <c r="K1465" i="4" s="1"/>
  <c r="A1466" i="4"/>
  <c r="K1466" i="4" s="1"/>
  <c r="A1467" i="4"/>
  <c r="K1467" i="4" s="1"/>
  <c r="A1468" i="4"/>
  <c r="K1468" i="4" s="1"/>
  <c r="A1469" i="4"/>
  <c r="K1469" i="4" s="1"/>
  <c r="A1470" i="4"/>
  <c r="K1470" i="4" s="1"/>
  <c r="A1471" i="4"/>
  <c r="K1471" i="4" s="1"/>
  <c r="A1472" i="4"/>
  <c r="K1472" i="4" s="1"/>
  <c r="A1473" i="4"/>
  <c r="K1473" i="4" s="1"/>
  <c r="A1474" i="4"/>
  <c r="K1474" i="4" s="1"/>
  <c r="A1475" i="4"/>
  <c r="K1475" i="4" s="1"/>
  <c r="A1476" i="4"/>
  <c r="K1476" i="4" s="1"/>
  <c r="A1477" i="4"/>
  <c r="K1477" i="4" s="1"/>
  <c r="A1478" i="4"/>
  <c r="K1478" i="4" s="1"/>
  <c r="A1479" i="4"/>
  <c r="K1479" i="4" s="1"/>
  <c r="A1480" i="4"/>
  <c r="K1480" i="4" s="1"/>
  <c r="A1481" i="4"/>
  <c r="K1481" i="4" s="1"/>
  <c r="A1482" i="4"/>
  <c r="K1482" i="4" s="1"/>
  <c r="A1483" i="4"/>
  <c r="K1483" i="4" s="1"/>
  <c r="A1484" i="4"/>
  <c r="K1484" i="4" s="1"/>
  <c r="A1485" i="4"/>
  <c r="K1485" i="4" s="1"/>
  <c r="A1486" i="4"/>
  <c r="K1486" i="4" s="1"/>
  <c r="A1487" i="4"/>
  <c r="K1487" i="4" s="1"/>
  <c r="A1488" i="4"/>
  <c r="K1488" i="4" s="1"/>
  <c r="A1489" i="4"/>
  <c r="K1489" i="4" s="1"/>
  <c r="A1490" i="4"/>
  <c r="K1490" i="4" s="1"/>
  <c r="A1491" i="4"/>
  <c r="K1491" i="4" s="1"/>
  <c r="A1492" i="4"/>
  <c r="K1492" i="4" s="1"/>
  <c r="A1493" i="4"/>
  <c r="K1493" i="4" s="1"/>
  <c r="A1494" i="4"/>
  <c r="K1494" i="4" s="1"/>
  <c r="A1495" i="4"/>
  <c r="K1495" i="4" s="1"/>
  <c r="A1496" i="4"/>
  <c r="K1496" i="4" s="1"/>
  <c r="A1497" i="4"/>
  <c r="K1497" i="4" s="1"/>
  <c r="A1498" i="4"/>
  <c r="K1498" i="4" s="1"/>
  <c r="A1499" i="4"/>
  <c r="K1499" i="4" s="1"/>
  <c r="A1500" i="4"/>
  <c r="K1500" i="4" s="1"/>
  <c r="A1501" i="4"/>
  <c r="K1501" i="4" s="1"/>
  <c r="A1502" i="4"/>
  <c r="K1502" i="4" s="1"/>
  <c r="A1503" i="4"/>
  <c r="K1503" i="4" s="1"/>
  <c r="A1504" i="4"/>
  <c r="K1504" i="4" s="1"/>
  <c r="A1505" i="4"/>
  <c r="K1505" i="4" s="1"/>
  <c r="A1506" i="4"/>
  <c r="K1506" i="4" s="1"/>
  <c r="A1507" i="4"/>
  <c r="K1507" i="4" s="1"/>
  <c r="A1508" i="4"/>
  <c r="K1508" i="4" s="1"/>
  <c r="A1509" i="4"/>
  <c r="K1509" i="4" s="1"/>
  <c r="A1510" i="4"/>
  <c r="K1510" i="4" s="1"/>
  <c r="A1511" i="4"/>
  <c r="K1511" i="4" s="1"/>
  <c r="A1512" i="4"/>
  <c r="K1512" i="4" s="1"/>
  <c r="A1513" i="4"/>
  <c r="K1513" i="4" s="1"/>
  <c r="A1514" i="4"/>
  <c r="K1514" i="4" s="1"/>
  <c r="A1515" i="4"/>
  <c r="K1515" i="4" s="1"/>
  <c r="A1516" i="4"/>
  <c r="K1516" i="4" s="1"/>
  <c r="A1517" i="4"/>
  <c r="K1517" i="4" s="1"/>
  <c r="A1518" i="4"/>
  <c r="K1518" i="4" s="1"/>
  <c r="A1519" i="4"/>
  <c r="K1519" i="4" s="1"/>
  <c r="A1520" i="4"/>
  <c r="K1520" i="4" s="1"/>
  <c r="A1521" i="4"/>
  <c r="K1521" i="4" s="1"/>
  <c r="A1522" i="4"/>
  <c r="K1522" i="4" s="1"/>
  <c r="A1523" i="4"/>
  <c r="K1523" i="4" s="1"/>
  <c r="A1524" i="4"/>
  <c r="K1524" i="4" s="1"/>
  <c r="A1525" i="4"/>
  <c r="K1525" i="4" s="1"/>
  <c r="A1526" i="4"/>
  <c r="K1526" i="4" s="1"/>
  <c r="A1527" i="4"/>
  <c r="K1527" i="4" s="1"/>
  <c r="A1528" i="4"/>
  <c r="K1528" i="4" s="1"/>
  <c r="A1529" i="4"/>
  <c r="K1529" i="4" s="1"/>
  <c r="A1530" i="4"/>
  <c r="K1530" i="4" s="1"/>
  <c r="A1531" i="4"/>
  <c r="K1531" i="4" s="1"/>
  <c r="A1532" i="4"/>
  <c r="K1532" i="4" s="1"/>
  <c r="A1533" i="4"/>
  <c r="K1533" i="4" s="1"/>
  <c r="A1534" i="4"/>
  <c r="K1534" i="4" s="1"/>
  <c r="A1535" i="4"/>
  <c r="K1535" i="4" s="1"/>
  <c r="A1536" i="4"/>
  <c r="K1536" i="4" s="1"/>
  <c r="A1537" i="4"/>
  <c r="K1537" i="4" s="1"/>
  <c r="A1538" i="4"/>
  <c r="K1538" i="4" s="1"/>
  <c r="A1539" i="4"/>
  <c r="K1539" i="4" s="1"/>
  <c r="A1540" i="4"/>
  <c r="K1540" i="4" s="1"/>
  <c r="A1541" i="4"/>
  <c r="K1541" i="4" s="1"/>
  <c r="A1542" i="4"/>
  <c r="K1542" i="4" s="1"/>
  <c r="A1543" i="4"/>
  <c r="K1543" i="4" s="1"/>
  <c r="A1544" i="4"/>
  <c r="K1544" i="4" s="1"/>
  <c r="A1545" i="4"/>
  <c r="K1545" i="4" s="1"/>
  <c r="A1546" i="4"/>
  <c r="K1546" i="4" s="1"/>
  <c r="A1547" i="4"/>
  <c r="K1547" i="4" s="1"/>
  <c r="A1548" i="4"/>
  <c r="K1548" i="4" s="1"/>
  <c r="A1549" i="4"/>
  <c r="K1549" i="4" s="1"/>
  <c r="A1550" i="4"/>
  <c r="K1550" i="4" s="1"/>
  <c r="A1551" i="4"/>
  <c r="K1551" i="4" s="1"/>
  <c r="A1552" i="4"/>
  <c r="K1552" i="4" s="1"/>
  <c r="A1553" i="4"/>
  <c r="K1553" i="4" s="1"/>
  <c r="A1554" i="4"/>
  <c r="K1554" i="4" s="1"/>
  <c r="A1555" i="4"/>
  <c r="K1555" i="4" s="1"/>
  <c r="A1556" i="4"/>
  <c r="K1556" i="4" s="1"/>
  <c r="A1557" i="4"/>
  <c r="K1557" i="4" s="1"/>
  <c r="A1558" i="4"/>
  <c r="K1558" i="4" s="1"/>
  <c r="A1559" i="4"/>
  <c r="K1559" i="4" s="1"/>
  <c r="A1560" i="4"/>
  <c r="K1560" i="4" s="1"/>
  <c r="A1561" i="4"/>
  <c r="K1561" i="4" s="1"/>
  <c r="A1562" i="4"/>
  <c r="K1562" i="4" s="1"/>
  <c r="A1563" i="4"/>
  <c r="K1563" i="4" s="1"/>
  <c r="A1564" i="4"/>
  <c r="K1564" i="4" s="1"/>
  <c r="A1565" i="4"/>
  <c r="K1565" i="4" s="1"/>
  <c r="A1566" i="4"/>
  <c r="K1566" i="4" s="1"/>
  <c r="A1567" i="4"/>
  <c r="K1567" i="4" s="1"/>
  <c r="A1568" i="4"/>
  <c r="K1568" i="4" s="1"/>
  <c r="A1569" i="4"/>
  <c r="K1569" i="4" s="1"/>
  <c r="A1570" i="4"/>
  <c r="K1570" i="4" s="1"/>
  <c r="A1571" i="4"/>
  <c r="K1571" i="4" s="1"/>
  <c r="A1572" i="4"/>
  <c r="K1572" i="4" s="1"/>
  <c r="A1573" i="4"/>
  <c r="K1573" i="4" s="1"/>
  <c r="A1574" i="4"/>
  <c r="K1574" i="4" s="1"/>
  <c r="A1575" i="4"/>
  <c r="K1575" i="4" s="1"/>
  <c r="A1576" i="4"/>
  <c r="K1576" i="4" s="1"/>
  <c r="A1577" i="4"/>
  <c r="K1577" i="4" s="1"/>
  <c r="A1578" i="4"/>
  <c r="K1578" i="4" s="1"/>
  <c r="A1579" i="4"/>
  <c r="K1579" i="4" s="1"/>
  <c r="A1580" i="4"/>
  <c r="K1580" i="4" s="1"/>
  <c r="A1581" i="4"/>
  <c r="K1581" i="4" s="1"/>
  <c r="A1582" i="4"/>
  <c r="K1582" i="4" s="1"/>
  <c r="A1583" i="4"/>
  <c r="K1583" i="4" s="1"/>
  <c r="A1584" i="4"/>
  <c r="K1584" i="4" s="1"/>
  <c r="A1585" i="4"/>
  <c r="K1585" i="4" s="1"/>
  <c r="A1586" i="4"/>
  <c r="K1586" i="4" s="1"/>
  <c r="A1587" i="4"/>
  <c r="K1587" i="4" s="1"/>
  <c r="A1588" i="4"/>
  <c r="K1588" i="4" s="1"/>
  <c r="A1589" i="4"/>
  <c r="K1589" i="4" s="1"/>
  <c r="A1590" i="4"/>
  <c r="K1590" i="4" s="1"/>
  <c r="A1591" i="4"/>
  <c r="K1591" i="4" s="1"/>
  <c r="A1592" i="4"/>
  <c r="K1592" i="4" s="1"/>
  <c r="A1593" i="4"/>
  <c r="K1593" i="4" s="1"/>
  <c r="A1594" i="4"/>
  <c r="K1594" i="4" s="1"/>
  <c r="A1595" i="4"/>
  <c r="K1595" i="4" s="1"/>
  <c r="A1596" i="4"/>
  <c r="K1596" i="4" s="1"/>
  <c r="A1597" i="4"/>
  <c r="K1597" i="4" s="1"/>
  <c r="A1598" i="4"/>
  <c r="K1598" i="4" s="1"/>
  <c r="A1599" i="4"/>
  <c r="K1599" i="4" s="1"/>
  <c r="A1600" i="4"/>
  <c r="K1600" i="4" s="1"/>
  <c r="A1601" i="4"/>
  <c r="K1601" i="4" s="1"/>
  <c r="A1602" i="4"/>
  <c r="K1602" i="4" s="1"/>
  <c r="A1603" i="4"/>
  <c r="K1603" i="4" s="1"/>
  <c r="A1604" i="4"/>
  <c r="K1604" i="4" s="1"/>
  <c r="A1605" i="4"/>
  <c r="K1605" i="4" s="1"/>
  <c r="A1606" i="4"/>
  <c r="K1606" i="4" s="1"/>
  <c r="A1607" i="4"/>
  <c r="K1607" i="4" s="1"/>
  <c r="A1608" i="4"/>
  <c r="K1608" i="4" s="1"/>
  <c r="A1609" i="4"/>
  <c r="K1609" i="4" s="1"/>
  <c r="A1610" i="4"/>
  <c r="K1610" i="4" s="1"/>
  <c r="A1611" i="4"/>
  <c r="K1611" i="4" s="1"/>
  <c r="A1612" i="4"/>
  <c r="K1612" i="4" s="1"/>
  <c r="A1613" i="4"/>
  <c r="K1613" i="4" s="1"/>
  <c r="A1614" i="4"/>
  <c r="K1614" i="4" s="1"/>
  <c r="A1615" i="4"/>
  <c r="K1615" i="4" s="1"/>
  <c r="A1616" i="4"/>
  <c r="K1616" i="4" s="1"/>
  <c r="A1617" i="4"/>
  <c r="K1617" i="4" s="1"/>
  <c r="A1618" i="4"/>
  <c r="K1618" i="4" s="1"/>
  <c r="A1619" i="4"/>
  <c r="K1619" i="4" s="1"/>
  <c r="A1620" i="4"/>
  <c r="K1620" i="4" s="1"/>
  <c r="A1621" i="4"/>
  <c r="K1621" i="4" s="1"/>
  <c r="A1622" i="4"/>
  <c r="K1622" i="4" s="1"/>
  <c r="A1623" i="4"/>
  <c r="K1623" i="4" s="1"/>
  <c r="A1624" i="4"/>
  <c r="K1624" i="4" s="1"/>
  <c r="A1625" i="4"/>
  <c r="K1625" i="4" s="1"/>
  <c r="A1626" i="4"/>
  <c r="K1626" i="4" s="1"/>
  <c r="A1627" i="4"/>
  <c r="K1627" i="4" s="1"/>
  <c r="A1628" i="4"/>
  <c r="K1628" i="4" s="1"/>
  <c r="A1629" i="4"/>
  <c r="K1629" i="4" s="1"/>
  <c r="A1630" i="4"/>
  <c r="K1630" i="4" s="1"/>
  <c r="A1631" i="4"/>
  <c r="K1631" i="4" s="1"/>
  <c r="A1632" i="4"/>
  <c r="K1632" i="4" s="1"/>
  <c r="A1633" i="4"/>
  <c r="K1633" i="4" s="1"/>
  <c r="A1634" i="4"/>
  <c r="K1634" i="4" s="1"/>
  <c r="A1635" i="4"/>
  <c r="K1635" i="4" s="1"/>
  <c r="A1636" i="4"/>
  <c r="K1636" i="4" s="1"/>
  <c r="A1637" i="4"/>
  <c r="K1637" i="4" s="1"/>
  <c r="A1638" i="4"/>
  <c r="K1638" i="4" s="1"/>
  <c r="A1639" i="4"/>
  <c r="K1639" i="4" s="1"/>
  <c r="A1640" i="4"/>
  <c r="K1640" i="4" s="1"/>
  <c r="A1641" i="4"/>
  <c r="K1641" i="4" s="1"/>
  <c r="A1642" i="4"/>
  <c r="K1642" i="4" s="1"/>
  <c r="A1643" i="4"/>
  <c r="K1643" i="4" s="1"/>
  <c r="A1644" i="4"/>
  <c r="K1644" i="4" s="1"/>
  <c r="A1645" i="4"/>
  <c r="K1645" i="4" s="1"/>
  <c r="A1646" i="4"/>
  <c r="K1646" i="4" s="1"/>
  <c r="A1647" i="4"/>
  <c r="K1647" i="4" s="1"/>
  <c r="A1648" i="4"/>
  <c r="K1648" i="4" s="1"/>
  <c r="A1649" i="4"/>
  <c r="K1649" i="4" s="1"/>
  <c r="A1650" i="4"/>
  <c r="K1650" i="4" s="1"/>
  <c r="A1651" i="4"/>
  <c r="K1651" i="4" s="1"/>
  <c r="A1652" i="4"/>
  <c r="K1652" i="4" s="1"/>
  <c r="A1653" i="4"/>
  <c r="K1653" i="4" s="1"/>
  <c r="A1654" i="4"/>
  <c r="K1654" i="4" s="1"/>
  <c r="A1655" i="4"/>
  <c r="K1655" i="4" s="1"/>
  <c r="A1656" i="4"/>
  <c r="K1656" i="4" s="1"/>
  <c r="A1657" i="4"/>
  <c r="K1657" i="4" s="1"/>
  <c r="A1658" i="4"/>
  <c r="K1658" i="4" s="1"/>
  <c r="A1659" i="4"/>
  <c r="K1659" i="4" s="1"/>
  <c r="A1660" i="4"/>
  <c r="K1660" i="4" s="1"/>
  <c r="A1661" i="4"/>
  <c r="K1661" i="4" s="1"/>
  <c r="A1662" i="4"/>
  <c r="K1662" i="4" s="1"/>
  <c r="A1663" i="4"/>
  <c r="K1663" i="4" s="1"/>
  <c r="A1664" i="4"/>
  <c r="K1664" i="4" s="1"/>
  <c r="A1665" i="4"/>
  <c r="K1665" i="4" s="1"/>
  <c r="A1666" i="4"/>
  <c r="K1666" i="4" s="1"/>
  <c r="A1667" i="4"/>
  <c r="K1667" i="4" s="1"/>
  <c r="A1668" i="4"/>
  <c r="K1668" i="4" s="1"/>
  <c r="A1669" i="4"/>
  <c r="K1669" i="4" s="1"/>
  <c r="A1670" i="4"/>
  <c r="K1670" i="4" s="1"/>
  <c r="A1671" i="4"/>
  <c r="K1671" i="4" s="1"/>
  <c r="A1672" i="4"/>
  <c r="K1672" i="4" s="1"/>
  <c r="A1673" i="4"/>
  <c r="K1673" i="4" s="1"/>
  <c r="A1674" i="4"/>
  <c r="K1674" i="4" s="1"/>
  <c r="A1675" i="4"/>
  <c r="K1675" i="4" s="1"/>
  <c r="A1676" i="4"/>
  <c r="K1676" i="4" s="1"/>
  <c r="A1677" i="4"/>
  <c r="K1677" i="4" s="1"/>
  <c r="A1678" i="4"/>
  <c r="K1678" i="4" s="1"/>
  <c r="A1679" i="4"/>
  <c r="K1679" i="4" s="1"/>
  <c r="A1680" i="4"/>
  <c r="K1680" i="4" s="1"/>
  <c r="A1681" i="4"/>
  <c r="K1681" i="4" s="1"/>
  <c r="A1682" i="4"/>
  <c r="K1682" i="4" s="1"/>
  <c r="A1683" i="4"/>
  <c r="K1683" i="4" s="1"/>
  <c r="A1684" i="4"/>
  <c r="K1684" i="4" s="1"/>
  <c r="A1685" i="4"/>
  <c r="K1685" i="4" s="1"/>
  <c r="A1686" i="4"/>
  <c r="K1686" i="4" s="1"/>
  <c r="A1687" i="4"/>
  <c r="K1687" i="4" s="1"/>
  <c r="A1688" i="4"/>
  <c r="K1688" i="4" s="1"/>
  <c r="A1689" i="4"/>
  <c r="K1689" i="4" s="1"/>
  <c r="A1690" i="4"/>
  <c r="K1690" i="4" s="1"/>
  <c r="A1691" i="4"/>
  <c r="K1691" i="4" s="1"/>
  <c r="A1692" i="4"/>
  <c r="K1692" i="4" s="1"/>
  <c r="A1693" i="4"/>
  <c r="K1693" i="4" s="1"/>
  <c r="A1694" i="4"/>
  <c r="K1694" i="4" s="1"/>
  <c r="A1695" i="4"/>
  <c r="K1695" i="4" s="1"/>
  <c r="A1696" i="4"/>
  <c r="K1696" i="4" s="1"/>
  <c r="A1697" i="4"/>
  <c r="K1697" i="4" s="1"/>
  <c r="A1698" i="4"/>
  <c r="K1698" i="4" s="1"/>
  <c r="A1699" i="4"/>
  <c r="K1699" i="4" s="1"/>
  <c r="A1700" i="4"/>
  <c r="K1700" i="4" s="1"/>
  <c r="A1701" i="4"/>
  <c r="K1701" i="4" s="1"/>
  <c r="A1702" i="4"/>
  <c r="K1702" i="4" s="1"/>
  <c r="A1703" i="4"/>
  <c r="K1703" i="4" s="1"/>
  <c r="A1704" i="4"/>
  <c r="K1704" i="4" s="1"/>
  <c r="A1705" i="4"/>
  <c r="K1705" i="4" s="1"/>
  <c r="A1706" i="4"/>
  <c r="K1706" i="4" s="1"/>
  <c r="A1707" i="4"/>
  <c r="K1707" i="4" s="1"/>
  <c r="A1708" i="4"/>
  <c r="K1708" i="4" s="1"/>
  <c r="A1709" i="4"/>
  <c r="K1709" i="4" s="1"/>
  <c r="A1710" i="4"/>
  <c r="K1710" i="4" s="1"/>
  <c r="A1711" i="4"/>
  <c r="K1711" i="4" s="1"/>
  <c r="A1712" i="4"/>
  <c r="K1712" i="4" s="1"/>
  <c r="A1713" i="4"/>
  <c r="K1713" i="4" s="1"/>
  <c r="A1714" i="4"/>
  <c r="K1714" i="4" s="1"/>
  <c r="A1715" i="4"/>
  <c r="K1715" i="4" s="1"/>
  <c r="A1716" i="4"/>
  <c r="K1716" i="4" s="1"/>
  <c r="A1717" i="4"/>
  <c r="K1717" i="4" s="1"/>
  <c r="A1718" i="4"/>
  <c r="K1718" i="4" s="1"/>
  <c r="A1719" i="4"/>
  <c r="K1719" i="4" s="1"/>
  <c r="A1720" i="4"/>
  <c r="K1720" i="4" s="1"/>
  <c r="A1721" i="4"/>
  <c r="K1721" i="4" s="1"/>
  <c r="A1722" i="4"/>
  <c r="K1722" i="4" s="1"/>
  <c r="A1723" i="4"/>
  <c r="K1723" i="4" s="1"/>
  <c r="A1724" i="4"/>
  <c r="K1724" i="4" s="1"/>
  <c r="A1725" i="4"/>
  <c r="K1725" i="4" s="1"/>
  <c r="A1726" i="4"/>
  <c r="K1726" i="4" s="1"/>
  <c r="A1727" i="4"/>
  <c r="K1727" i="4" s="1"/>
  <c r="A1728" i="4"/>
  <c r="K1728" i="4" s="1"/>
  <c r="A1729" i="4"/>
  <c r="K1729" i="4" s="1"/>
  <c r="A1730" i="4"/>
  <c r="K1730" i="4" s="1"/>
  <c r="A1731" i="4"/>
  <c r="K1731" i="4" s="1"/>
  <c r="A1732" i="4"/>
  <c r="K1732" i="4" s="1"/>
  <c r="A1733" i="4"/>
  <c r="K1733" i="4" s="1"/>
  <c r="A1734" i="4"/>
  <c r="K1734" i="4" s="1"/>
  <c r="A1735" i="4"/>
  <c r="K1735" i="4" s="1"/>
  <c r="A1736" i="4"/>
  <c r="K1736" i="4" s="1"/>
  <c r="A1737" i="4"/>
  <c r="K1737" i="4" s="1"/>
  <c r="A1738" i="4"/>
  <c r="K1738" i="4" s="1"/>
  <c r="A1739" i="4"/>
  <c r="K1739" i="4" s="1"/>
  <c r="A1740" i="4"/>
  <c r="K1740" i="4" s="1"/>
  <c r="A1741" i="4"/>
  <c r="K1741" i="4" s="1"/>
  <c r="A1742" i="4"/>
  <c r="K1742" i="4" s="1"/>
  <c r="A1743" i="4"/>
  <c r="K1743" i="4" s="1"/>
  <c r="A1744" i="4"/>
  <c r="K1744" i="4" s="1"/>
  <c r="A1745" i="4"/>
  <c r="K1745" i="4" s="1"/>
  <c r="A1746" i="4"/>
  <c r="K1746" i="4" s="1"/>
  <c r="A1747" i="4"/>
  <c r="K1747" i="4" s="1"/>
  <c r="A1748" i="4"/>
  <c r="K1748" i="4" s="1"/>
  <c r="A1749" i="4"/>
  <c r="K1749" i="4" s="1"/>
  <c r="A1750" i="4"/>
  <c r="K1750" i="4" s="1"/>
  <c r="A1751" i="4"/>
  <c r="K1751" i="4" s="1"/>
  <c r="A1752" i="4"/>
  <c r="K1752" i="4" s="1"/>
  <c r="A1753" i="4"/>
  <c r="K1753" i="4" s="1"/>
  <c r="A1754" i="4"/>
  <c r="K1754" i="4" s="1"/>
  <c r="A1755" i="4"/>
  <c r="K1755" i="4" s="1"/>
  <c r="A1756" i="4"/>
  <c r="K1756" i="4" s="1"/>
  <c r="A1757" i="4"/>
  <c r="K1757" i="4" s="1"/>
  <c r="A1758" i="4"/>
  <c r="K1758" i="4" s="1"/>
  <c r="A1759" i="4"/>
  <c r="K1759" i="4" s="1"/>
  <c r="A1760" i="4"/>
  <c r="K1760" i="4" s="1"/>
  <c r="A1761" i="4"/>
  <c r="K1761" i="4" s="1"/>
  <c r="A1762" i="4"/>
  <c r="K1762" i="4" s="1"/>
  <c r="A1763" i="4"/>
  <c r="K1763" i="4" s="1"/>
  <c r="A1764" i="4"/>
  <c r="K1764" i="4" s="1"/>
  <c r="A1765" i="4"/>
  <c r="K1765" i="4" s="1"/>
  <c r="A1766" i="4"/>
  <c r="K1766" i="4" s="1"/>
  <c r="A1767" i="4"/>
  <c r="K1767" i="4" s="1"/>
  <c r="A1768" i="4"/>
  <c r="K1768" i="4" s="1"/>
  <c r="A1769" i="4"/>
  <c r="K1769" i="4" s="1"/>
  <c r="A1770" i="4"/>
  <c r="K1770" i="4" s="1"/>
  <c r="A1771" i="4"/>
  <c r="K1771" i="4" s="1"/>
  <c r="A1772" i="4"/>
  <c r="K1772" i="4" s="1"/>
  <c r="A1773" i="4"/>
  <c r="K1773" i="4" s="1"/>
  <c r="A1774" i="4"/>
  <c r="K1774" i="4" s="1"/>
  <c r="A1775" i="4"/>
  <c r="K1775" i="4" s="1"/>
  <c r="A1776" i="4"/>
  <c r="K1776" i="4" s="1"/>
  <c r="A1777" i="4"/>
  <c r="K1777" i="4" s="1"/>
  <c r="A1778" i="4"/>
  <c r="K1778" i="4" s="1"/>
  <c r="A1779" i="4"/>
  <c r="K1779" i="4" s="1"/>
  <c r="A1780" i="4"/>
  <c r="K1780" i="4" s="1"/>
  <c r="A1781" i="4"/>
  <c r="K1781" i="4" s="1"/>
  <c r="A1782" i="4"/>
  <c r="K1782" i="4" s="1"/>
  <c r="A1783" i="4"/>
  <c r="K1783" i="4" s="1"/>
  <c r="A1784" i="4"/>
  <c r="K1784" i="4" s="1"/>
  <c r="A1785" i="4"/>
  <c r="K1785" i="4" s="1"/>
  <c r="A1786" i="4"/>
  <c r="K1786" i="4" s="1"/>
  <c r="A1787" i="4"/>
  <c r="K1787" i="4" s="1"/>
  <c r="A1788" i="4"/>
  <c r="K1788" i="4" s="1"/>
  <c r="A1789" i="4"/>
  <c r="K1789" i="4" s="1"/>
  <c r="A1790" i="4"/>
  <c r="K1790" i="4" s="1"/>
  <c r="A1791" i="4"/>
  <c r="K1791" i="4" s="1"/>
  <c r="A1792" i="4"/>
  <c r="K1792" i="4" s="1"/>
  <c r="A1793" i="4"/>
  <c r="K1793" i="4" s="1"/>
  <c r="A1794" i="4"/>
  <c r="K1794" i="4" s="1"/>
  <c r="A1795" i="4"/>
  <c r="K1795" i="4" s="1"/>
  <c r="A1796" i="4"/>
  <c r="K1796" i="4" s="1"/>
  <c r="A1797" i="4"/>
  <c r="K1797" i="4" s="1"/>
  <c r="A1798" i="4"/>
  <c r="K1798" i="4" s="1"/>
  <c r="A1799" i="4"/>
  <c r="K1799" i="4" s="1"/>
  <c r="A1800" i="4"/>
  <c r="K1800" i="4" s="1"/>
  <c r="A1801" i="4"/>
  <c r="K1801" i="4" s="1"/>
  <c r="A1802" i="4"/>
  <c r="K1802" i="4" s="1"/>
  <c r="A1803" i="4"/>
  <c r="K1803" i="4" s="1"/>
  <c r="A1804" i="4"/>
  <c r="K1804" i="4" s="1"/>
  <c r="A1805" i="4"/>
  <c r="K1805" i="4" s="1"/>
  <c r="A1806" i="4"/>
  <c r="K1806" i="4" s="1"/>
  <c r="A1807" i="4"/>
  <c r="K1807" i="4" s="1"/>
  <c r="A1808" i="4"/>
  <c r="K1808" i="4" s="1"/>
  <c r="A1809" i="4"/>
  <c r="K1809" i="4" s="1"/>
  <c r="A1810" i="4"/>
  <c r="K1810" i="4" s="1"/>
  <c r="A1811" i="4"/>
  <c r="K1811" i="4" s="1"/>
  <c r="A1812" i="4"/>
  <c r="K1812" i="4" s="1"/>
  <c r="A1813" i="4"/>
  <c r="K1813" i="4" s="1"/>
  <c r="A1814" i="4"/>
  <c r="K1814" i="4" s="1"/>
  <c r="A1815" i="4"/>
  <c r="K1815" i="4" s="1"/>
  <c r="A1816" i="4"/>
  <c r="K1816" i="4" s="1"/>
  <c r="A1817" i="4"/>
  <c r="K1817" i="4" s="1"/>
  <c r="A1818" i="4"/>
  <c r="K1818" i="4" s="1"/>
  <c r="A1819" i="4"/>
  <c r="K1819" i="4" s="1"/>
  <c r="A1820" i="4"/>
  <c r="K1820" i="4" s="1"/>
  <c r="A1821" i="4"/>
  <c r="K1821" i="4" s="1"/>
  <c r="A1822" i="4"/>
  <c r="K1822" i="4" s="1"/>
  <c r="A1823" i="4"/>
  <c r="K1823" i="4" s="1"/>
  <c r="A1824" i="4"/>
  <c r="K1824" i="4" s="1"/>
  <c r="A1825" i="4"/>
  <c r="K1825" i="4" s="1"/>
  <c r="A1826" i="4"/>
  <c r="K1826" i="4" s="1"/>
  <c r="A1827" i="4"/>
  <c r="K1827" i="4" s="1"/>
  <c r="A1828" i="4"/>
  <c r="K1828" i="4" s="1"/>
  <c r="A1829" i="4"/>
  <c r="K1829" i="4" s="1"/>
  <c r="A1830" i="4"/>
  <c r="K1830" i="4" s="1"/>
  <c r="A1831" i="4"/>
  <c r="K1831" i="4" s="1"/>
  <c r="A1832" i="4"/>
  <c r="K1832" i="4" s="1"/>
  <c r="A1833" i="4"/>
  <c r="K1833" i="4" s="1"/>
  <c r="A1834" i="4"/>
  <c r="K1834" i="4" s="1"/>
  <c r="A1835" i="4"/>
  <c r="K1835" i="4" s="1"/>
  <c r="A1836" i="4"/>
  <c r="K1836" i="4" s="1"/>
  <c r="A1837" i="4"/>
  <c r="K1837" i="4" s="1"/>
  <c r="A1838" i="4"/>
  <c r="K1838" i="4" s="1"/>
  <c r="A1839" i="4"/>
  <c r="K1839" i="4" s="1"/>
  <c r="A1840" i="4"/>
  <c r="K1840" i="4" s="1"/>
  <c r="A1841" i="4"/>
  <c r="K1841" i="4" s="1"/>
  <c r="A1842" i="4"/>
  <c r="K1842" i="4" s="1"/>
  <c r="A1843" i="4"/>
  <c r="K1843" i="4" s="1"/>
  <c r="A1844" i="4"/>
  <c r="K1844" i="4" s="1"/>
  <c r="A1845" i="4"/>
  <c r="K1845" i="4" s="1"/>
  <c r="A1846" i="4"/>
  <c r="K1846" i="4" s="1"/>
  <c r="A1847" i="4"/>
  <c r="K1847" i="4" s="1"/>
  <c r="A1848" i="4"/>
  <c r="K1848" i="4" s="1"/>
  <c r="A1849" i="4"/>
  <c r="K1849" i="4" s="1"/>
  <c r="A1850" i="4"/>
  <c r="K1850" i="4" s="1"/>
  <c r="A1851" i="4"/>
  <c r="K1851" i="4" s="1"/>
  <c r="A1852" i="4"/>
  <c r="K1852" i="4" s="1"/>
  <c r="A1853" i="4"/>
  <c r="K1853" i="4" s="1"/>
  <c r="A1854" i="4"/>
  <c r="K1854" i="4" s="1"/>
  <c r="A1855" i="4"/>
  <c r="K1855" i="4" s="1"/>
  <c r="A1856" i="4"/>
  <c r="K1856" i="4" s="1"/>
  <c r="A1857" i="4"/>
  <c r="K1857" i="4" s="1"/>
  <c r="A1858" i="4"/>
  <c r="K1858" i="4" s="1"/>
  <c r="A1859" i="4"/>
  <c r="K1859" i="4" s="1"/>
  <c r="A1860" i="4"/>
  <c r="K1860" i="4" s="1"/>
  <c r="A1861" i="4"/>
  <c r="K1861" i="4" s="1"/>
  <c r="A1862" i="4"/>
  <c r="K1862" i="4" s="1"/>
  <c r="A1863" i="4"/>
  <c r="K1863" i="4" s="1"/>
  <c r="A1864" i="4"/>
  <c r="K1864" i="4" s="1"/>
  <c r="A1865" i="4"/>
  <c r="K1865" i="4" s="1"/>
  <c r="A1866" i="4"/>
  <c r="K1866" i="4" s="1"/>
  <c r="A1867" i="4"/>
  <c r="K1867" i="4" s="1"/>
  <c r="A1868" i="4"/>
  <c r="K1868" i="4" s="1"/>
  <c r="A1869" i="4"/>
  <c r="K1869" i="4" s="1"/>
  <c r="A1870" i="4"/>
  <c r="K1870" i="4" s="1"/>
  <c r="A1871" i="4"/>
  <c r="K1871" i="4" s="1"/>
  <c r="A1872" i="4"/>
  <c r="K1872" i="4" s="1"/>
  <c r="A1873" i="4"/>
  <c r="K1873" i="4" s="1"/>
  <c r="A1874" i="4"/>
  <c r="K1874" i="4" s="1"/>
  <c r="A1875" i="4"/>
  <c r="K1875" i="4" s="1"/>
  <c r="A1876" i="4"/>
  <c r="K1876" i="4" s="1"/>
  <c r="A1877" i="4"/>
  <c r="K1877" i="4" s="1"/>
  <c r="A1878" i="4"/>
  <c r="K1878" i="4" s="1"/>
  <c r="A1879" i="4"/>
  <c r="K1879" i="4" s="1"/>
  <c r="A1880" i="4"/>
  <c r="K1880" i="4" s="1"/>
  <c r="A1881" i="4"/>
  <c r="K1881" i="4" s="1"/>
  <c r="A1882" i="4"/>
  <c r="K1882" i="4" s="1"/>
  <c r="A1883" i="4"/>
  <c r="K1883" i="4" s="1"/>
  <c r="A1884" i="4"/>
  <c r="K1884" i="4" s="1"/>
  <c r="A1885" i="4"/>
  <c r="K1885" i="4" s="1"/>
  <c r="A1886" i="4"/>
  <c r="K1886" i="4" s="1"/>
  <c r="A1887" i="4"/>
  <c r="K1887" i="4" s="1"/>
  <c r="A1888" i="4"/>
  <c r="K1888" i="4" s="1"/>
  <c r="A1889" i="4"/>
  <c r="K1889" i="4" s="1"/>
  <c r="A1890" i="4"/>
  <c r="K1890" i="4" s="1"/>
  <c r="A1891" i="4"/>
  <c r="K1891" i="4" s="1"/>
  <c r="A1892" i="4"/>
  <c r="K1892" i="4" s="1"/>
  <c r="A1893" i="4"/>
  <c r="K1893" i="4" s="1"/>
  <c r="A1894" i="4"/>
  <c r="K1894" i="4" s="1"/>
  <c r="A1895" i="4"/>
  <c r="K1895" i="4" s="1"/>
  <c r="A1896" i="4"/>
  <c r="K1896" i="4" s="1"/>
  <c r="A1897" i="4"/>
  <c r="K1897" i="4" s="1"/>
  <c r="A1898" i="4"/>
  <c r="K1898" i="4" s="1"/>
  <c r="A1899" i="4"/>
  <c r="K1899" i="4" s="1"/>
  <c r="A1900" i="4"/>
  <c r="K1900" i="4" s="1"/>
  <c r="A1901" i="4"/>
  <c r="K1901" i="4" s="1"/>
  <c r="A1902" i="4"/>
  <c r="K1902" i="4" s="1"/>
  <c r="A1903" i="4"/>
  <c r="K1903" i="4" s="1"/>
  <c r="A1904" i="4"/>
  <c r="K1904" i="4" s="1"/>
  <c r="A1905" i="4"/>
  <c r="K1905" i="4" s="1"/>
  <c r="A1906" i="4"/>
  <c r="K1906" i="4" s="1"/>
  <c r="A1907" i="4"/>
  <c r="K1907" i="4" s="1"/>
  <c r="A1908" i="4"/>
  <c r="K1908" i="4" s="1"/>
  <c r="A1909" i="4"/>
  <c r="K1909" i="4" s="1"/>
  <c r="A1910" i="4"/>
  <c r="K1910" i="4" s="1"/>
  <c r="A1911" i="4"/>
  <c r="K1911" i="4" s="1"/>
  <c r="A1912" i="4"/>
  <c r="K1912" i="4" s="1"/>
  <c r="A1913" i="4"/>
  <c r="K1913" i="4" s="1"/>
  <c r="A1914" i="4"/>
  <c r="K1914" i="4" s="1"/>
  <c r="A1915" i="4"/>
  <c r="K1915" i="4" s="1"/>
  <c r="A1916" i="4"/>
  <c r="K1916" i="4" s="1"/>
  <c r="A1917" i="4"/>
  <c r="K1917" i="4" s="1"/>
  <c r="A1918" i="4"/>
  <c r="K1918" i="4" s="1"/>
  <c r="A1919" i="4"/>
  <c r="K1919" i="4" s="1"/>
  <c r="A1920" i="4"/>
  <c r="K1920" i="4" s="1"/>
  <c r="A1921" i="4"/>
  <c r="K1921" i="4" s="1"/>
  <c r="A1922" i="4"/>
  <c r="K1922" i="4" s="1"/>
  <c r="A1923" i="4"/>
  <c r="K1923" i="4" s="1"/>
  <c r="A1924" i="4"/>
  <c r="K1924" i="4" s="1"/>
  <c r="A1925" i="4"/>
  <c r="K1925" i="4" s="1"/>
  <c r="A1926" i="4"/>
  <c r="K1926" i="4" s="1"/>
  <c r="A1927" i="4"/>
  <c r="K1927" i="4" s="1"/>
  <c r="A1928" i="4"/>
  <c r="K1928" i="4" s="1"/>
  <c r="A1929" i="4"/>
  <c r="K1929" i="4" s="1"/>
  <c r="A1930" i="4"/>
  <c r="K1930" i="4" s="1"/>
  <c r="A1931" i="4"/>
  <c r="K1931" i="4" s="1"/>
  <c r="A1932" i="4"/>
  <c r="K1932" i="4" s="1"/>
  <c r="A1933" i="4"/>
  <c r="K1933" i="4" s="1"/>
  <c r="A1934" i="4"/>
  <c r="K1934" i="4" s="1"/>
  <c r="A1935" i="4"/>
  <c r="K1935" i="4" s="1"/>
  <c r="A1936" i="4"/>
  <c r="K1936" i="4" s="1"/>
  <c r="A1937" i="4"/>
  <c r="K1937" i="4" s="1"/>
  <c r="A1938" i="4"/>
  <c r="K1938" i="4" s="1"/>
  <c r="A1939" i="4"/>
  <c r="K1939" i="4" s="1"/>
  <c r="A1940" i="4"/>
  <c r="K1940" i="4" s="1"/>
  <c r="A1941" i="4"/>
  <c r="K1941" i="4" s="1"/>
  <c r="A1942" i="4"/>
  <c r="K1942" i="4" s="1"/>
  <c r="A1943" i="4"/>
  <c r="K1943" i="4" s="1"/>
  <c r="A1944" i="4"/>
  <c r="K1944" i="4" s="1"/>
  <c r="A1945" i="4"/>
  <c r="K1945" i="4" s="1"/>
  <c r="A1946" i="4"/>
  <c r="K1946" i="4" s="1"/>
  <c r="A1947" i="4"/>
  <c r="K1947" i="4" s="1"/>
  <c r="A1948" i="4"/>
  <c r="K1948" i="4" s="1"/>
  <c r="A1949" i="4"/>
  <c r="K1949" i="4" s="1"/>
  <c r="A1950" i="4"/>
  <c r="K1950" i="4" s="1"/>
  <c r="A1951" i="4"/>
  <c r="K1951" i="4" s="1"/>
  <c r="A1952" i="4"/>
  <c r="K1952" i="4" s="1"/>
  <c r="A1953" i="4"/>
  <c r="K1953" i="4" s="1"/>
  <c r="A1954" i="4"/>
  <c r="K1954" i="4" s="1"/>
  <c r="A1955" i="4"/>
  <c r="K1955" i="4" s="1"/>
  <c r="A1956" i="4"/>
  <c r="K1956" i="4" s="1"/>
  <c r="A1957" i="4"/>
  <c r="K1957" i="4" s="1"/>
  <c r="A1958" i="4"/>
  <c r="K1958" i="4" s="1"/>
  <c r="A1959" i="4"/>
  <c r="K1959" i="4" s="1"/>
  <c r="A1960" i="4"/>
  <c r="K1960" i="4" s="1"/>
  <c r="A1961" i="4"/>
  <c r="K1961" i="4" s="1"/>
  <c r="A1962" i="4"/>
  <c r="K1962" i="4" s="1"/>
  <c r="A1963" i="4"/>
  <c r="K1963" i="4" s="1"/>
  <c r="A1964" i="4"/>
  <c r="K1964" i="4" s="1"/>
  <c r="A1965" i="4"/>
  <c r="K1965" i="4" s="1"/>
  <c r="A1966" i="4"/>
  <c r="K1966" i="4" s="1"/>
  <c r="A1967" i="4"/>
  <c r="K1967" i="4" s="1"/>
  <c r="A1968" i="4"/>
  <c r="K1968" i="4" s="1"/>
  <c r="A1969" i="4"/>
  <c r="K1969" i="4" s="1"/>
  <c r="A1970" i="4"/>
  <c r="K1970" i="4" s="1"/>
  <c r="A1971" i="4"/>
  <c r="K1971" i="4" s="1"/>
  <c r="A1972" i="4"/>
  <c r="K1972" i="4" s="1"/>
  <c r="A1973" i="4"/>
  <c r="K1973" i="4" s="1"/>
  <c r="A1974" i="4"/>
  <c r="K1974" i="4" s="1"/>
  <c r="A1975" i="4"/>
  <c r="K1975" i="4" s="1"/>
  <c r="A1976" i="4"/>
  <c r="K1976" i="4" s="1"/>
  <c r="A1977" i="4"/>
  <c r="K1977" i="4" s="1"/>
  <c r="A1978" i="4"/>
  <c r="K1978" i="4" s="1"/>
  <c r="A1979" i="4"/>
  <c r="K1979" i="4" s="1"/>
  <c r="A1980" i="4"/>
  <c r="K1980" i="4" s="1"/>
  <c r="A1981" i="4"/>
  <c r="K1981" i="4" s="1"/>
  <c r="A1982" i="4"/>
  <c r="K1982" i="4" s="1"/>
  <c r="A1983" i="4"/>
  <c r="K1983" i="4" s="1"/>
  <c r="A1984" i="4"/>
  <c r="K1984" i="4" s="1"/>
  <c r="A1985" i="4"/>
  <c r="K1985" i="4" s="1"/>
  <c r="A1986" i="4"/>
  <c r="K1986" i="4" s="1"/>
  <c r="A1987" i="4"/>
  <c r="K1987" i="4" s="1"/>
  <c r="A1988" i="4"/>
  <c r="K1988" i="4" s="1"/>
  <c r="A1989" i="4"/>
  <c r="K1989" i="4" s="1"/>
  <c r="A1990" i="4"/>
  <c r="K1990" i="4" s="1"/>
  <c r="A1991" i="4"/>
  <c r="K1991" i="4" s="1"/>
  <c r="A1992" i="4"/>
  <c r="K1992" i="4" s="1"/>
  <c r="A1993" i="4"/>
  <c r="K1993" i="4" s="1"/>
  <c r="A1994" i="4"/>
  <c r="K1994" i="4" s="1"/>
  <c r="A1995" i="4"/>
  <c r="K1995" i="4" s="1"/>
  <c r="A1996" i="4"/>
  <c r="K1996" i="4" s="1"/>
  <c r="A1997" i="4"/>
  <c r="K1997" i="4" s="1"/>
  <c r="A1998" i="4"/>
  <c r="K1998" i="4" s="1"/>
  <c r="A1999" i="4"/>
  <c r="K1999" i="4" s="1"/>
  <c r="A2000" i="4"/>
  <c r="K2000" i="4" s="1"/>
  <c r="A2001" i="4"/>
  <c r="K2001" i="4" s="1"/>
  <c r="A2002" i="4"/>
  <c r="K2002" i="4" s="1"/>
  <c r="A2003" i="4"/>
  <c r="K2003" i="4" s="1"/>
  <c r="A2004" i="4"/>
  <c r="K2004" i="4" s="1"/>
  <c r="A2005" i="4"/>
  <c r="K2005" i="4" s="1"/>
  <c r="A2006" i="4"/>
  <c r="K2006" i="4" s="1"/>
  <c r="A2007" i="4"/>
  <c r="K2007" i="4" s="1"/>
  <c r="A2008" i="4"/>
  <c r="K2008" i="4" s="1"/>
  <c r="A2009" i="4"/>
  <c r="K2009" i="4" s="1"/>
  <c r="A2010" i="4"/>
  <c r="K2010" i="4" s="1"/>
  <c r="A2011" i="4"/>
  <c r="K2011" i="4" s="1"/>
  <c r="A2012" i="4"/>
  <c r="K2012" i="4" s="1"/>
  <c r="A2013" i="4"/>
  <c r="K2013" i="4" s="1"/>
  <c r="A2014" i="4"/>
  <c r="K2014" i="4" s="1"/>
  <c r="A2015" i="4"/>
  <c r="K2015" i="4" s="1"/>
  <c r="A2016" i="4"/>
  <c r="K2016" i="4" s="1"/>
  <c r="A2017" i="4"/>
  <c r="K2017" i="4" s="1"/>
  <c r="A2018" i="4"/>
  <c r="K2018" i="4" s="1"/>
  <c r="A2019" i="4"/>
  <c r="K2019" i="4" s="1"/>
  <c r="A2020" i="4"/>
  <c r="K2020" i="4" s="1"/>
  <c r="A2021" i="4"/>
  <c r="K2021" i="4" s="1"/>
  <c r="A2022" i="4"/>
  <c r="K2022" i="4" s="1"/>
  <c r="A2023" i="4"/>
  <c r="K2023" i="4" s="1"/>
  <c r="A2024" i="4"/>
  <c r="K2024" i="4" s="1"/>
  <c r="A2025" i="4"/>
  <c r="K2025" i="4" s="1"/>
  <c r="A2026" i="4"/>
  <c r="K2026" i="4" s="1"/>
  <c r="A2027" i="4"/>
  <c r="K2027" i="4" s="1"/>
  <c r="A2028" i="4"/>
  <c r="K2028" i="4" s="1"/>
  <c r="A2029" i="4"/>
  <c r="K2029" i="4" s="1"/>
  <c r="A2030" i="4"/>
  <c r="K2030" i="4" s="1"/>
  <c r="A2031" i="4"/>
  <c r="K2031" i="4" s="1"/>
  <c r="A2032" i="4"/>
  <c r="K2032" i="4" s="1"/>
  <c r="A2033" i="4"/>
  <c r="K2033" i="4" s="1"/>
  <c r="A2034" i="4"/>
  <c r="K2034" i="4" s="1"/>
  <c r="A2035" i="4"/>
  <c r="K2035" i="4" s="1"/>
  <c r="A2036" i="4"/>
  <c r="K2036" i="4" s="1"/>
  <c r="A2037" i="4"/>
  <c r="K2037" i="4" s="1"/>
  <c r="A2038" i="4"/>
  <c r="K2038" i="4" s="1"/>
  <c r="A2039" i="4"/>
  <c r="K2039" i="4" s="1"/>
  <c r="A2040" i="4"/>
  <c r="K2040" i="4" s="1"/>
  <c r="A2041" i="4"/>
  <c r="K2041" i="4" s="1"/>
  <c r="A2042" i="4"/>
  <c r="K2042" i="4" s="1"/>
  <c r="A2043" i="4"/>
  <c r="K2043" i="4" s="1"/>
  <c r="A2044" i="4"/>
  <c r="K2044" i="4" s="1"/>
  <c r="A2045" i="4"/>
  <c r="K2045" i="4" s="1"/>
  <c r="A2046" i="4"/>
  <c r="K2046" i="4" s="1"/>
  <c r="A2047" i="4"/>
  <c r="K2047" i="4" s="1"/>
  <c r="A2048" i="4"/>
  <c r="K2048" i="4" s="1"/>
  <c r="A2049" i="4"/>
  <c r="K2049" i="4" s="1"/>
  <c r="A2050" i="4"/>
  <c r="K2050" i="4" s="1"/>
  <c r="A2051" i="4"/>
  <c r="K2051" i="4" s="1"/>
  <c r="A2052" i="4"/>
  <c r="K2052" i="4" s="1"/>
  <c r="A2053" i="4"/>
  <c r="K2053" i="4" s="1"/>
  <c r="A2054" i="4"/>
  <c r="K2054" i="4" s="1"/>
  <c r="A2055" i="4"/>
  <c r="K2055" i="4" s="1"/>
  <c r="A2056" i="4"/>
  <c r="K2056" i="4" s="1"/>
  <c r="A2057" i="4"/>
  <c r="K2057" i="4" s="1"/>
  <c r="A2058" i="4"/>
  <c r="K2058" i="4" s="1"/>
  <c r="A2059" i="4"/>
  <c r="K2059" i="4" s="1"/>
  <c r="A2060" i="4"/>
  <c r="K2060" i="4" s="1"/>
  <c r="A2061" i="4"/>
  <c r="K2061" i="4" s="1"/>
  <c r="A2062" i="4"/>
  <c r="K2062" i="4" s="1"/>
  <c r="A2063" i="4"/>
  <c r="K2063" i="4" s="1"/>
  <c r="A2064" i="4"/>
  <c r="K2064" i="4" s="1"/>
  <c r="A2065" i="4"/>
  <c r="K2065" i="4" s="1"/>
  <c r="A2066" i="4"/>
  <c r="K2066" i="4" s="1"/>
  <c r="A2067" i="4"/>
  <c r="K2067" i="4" s="1"/>
  <c r="A2068" i="4"/>
  <c r="K2068" i="4" s="1"/>
  <c r="A2069" i="4"/>
  <c r="K2069" i="4" s="1"/>
  <c r="A2070" i="4"/>
  <c r="K2070" i="4" s="1"/>
  <c r="A2071" i="4"/>
  <c r="K2071" i="4" s="1"/>
  <c r="A2072" i="4"/>
  <c r="K2072" i="4" s="1"/>
  <c r="A2073" i="4"/>
  <c r="K2073" i="4" s="1"/>
  <c r="A2074" i="4"/>
  <c r="K2074" i="4" s="1"/>
  <c r="A2075" i="4"/>
  <c r="K2075" i="4" s="1"/>
  <c r="A2076" i="4"/>
  <c r="K2076" i="4" s="1"/>
  <c r="A2077" i="4"/>
  <c r="K2077" i="4" s="1"/>
  <c r="A2078" i="4"/>
  <c r="K2078" i="4" s="1"/>
  <c r="A2079" i="4"/>
  <c r="K2079" i="4" s="1"/>
  <c r="A2080" i="4"/>
  <c r="K2080" i="4" s="1"/>
  <c r="A2081" i="4"/>
  <c r="K2081" i="4" s="1"/>
  <c r="A2082" i="4"/>
  <c r="K2082" i="4" s="1"/>
  <c r="A2083" i="4"/>
  <c r="K2083" i="4" s="1"/>
  <c r="A2084" i="4"/>
  <c r="K2084" i="4" s="1"/>
  <c r="A2085" i="4"/>
  <c r="K2085" i="4" s="1"/>
  <c r="A2086" i="4"/>
  <c r="K2086" i="4" s="1"/>
  <c r="A2087" i="4"/>
  <c r="K2087" i="4" s="1"/>
  <c r="A2088" i="4"/>
  <c r="K2088" i="4" s="1"/>
  <c r="A2089" i="4"/>
  <c r="K2089" i="4" s="1"/>
  <c r="A2090" i="4"/>
  <c r="K2090" i="4" s="1"/>
  <c r="A2091" i="4"/>
  <c r="K2091" i="4" s="1"/>
  <c r="A2092" i="4"/>
  <c r="K2092" i="4" s="1"/>
  <c r="A2093" i="4"/>
  <c r="K2093" i="4" s="1"/>
  <c r="A2094" i="4"/>
  <c r="K2094" i="4" s="1"/>
  <c r="A2095" i="4"/>
  <c r="K2095" i="4" s="1"/>
  <c r="A2096" i="4"/>
  <c r="K2096" i="4" s="1"/>
  <c r="A2097" i="4"/>
  <c r="K2097" i="4" s="1"/>
  <c r="A2098" i="4"/>
  <c r="K2098" i="4" s="1"/>
  <c r="A2099" i="4"/>
  <c r="K2099" i="4" s="1"/>
  <c r="A2100" i="4"/>
  <c r="K2100" i="4" s="1"/>
  <c r="A2101" i="4"/>
  <c r="K2101" i="4" s="1"/>
  <c r="A2102" i="4"/>
  <c r="K2102" i="4" s="1"/>
  <c r="A2103" i="4"/>
  <c r="K2103" i="4" s="1"/>
  <c r="A2104" i="4"/>
  <c r="K2104" i="4" s="1"/>
  <c r="A2105" i="4"/>
  <c r="K2105" i="4" s="1"/>
  <c r="A2106" i="4"/>
  <c r="K2106" i="4" s="1"/>
  <c r="A2107" i="4"/>
  <c r="K2107" i="4" s="1"/>
  <c r="A2108" i="4"/>
  <c r="K2108" i="4" s="1"/>
  <c r="A2109" i="4"/>
  <c r="K2109" i="4" s="1"/>
  <c r="A2110" i="4"/>
  <c r="K2110" i="4" s="1"/>
  <c r="A2111" i="4"/>
  <c r="K2111" i="4" s="1"/>
  <c r="A2112" i="4"/>
  <c r="K2112" i="4" s="1"/>
  <c r="A2113" i="4"/>
  <c r="K2113" i="4" s="1"/>
  <c r="A2114" i="4"/>
  <c r="K2114" i="4" s="1"/>
  <c r="A2115" i="4"/>
  <c r="K2115" i="4" s="1"/>
  <c r="A2116" i="4"/>
  <c r="K2116" i="4" s="1"/>
  <c r="A2117" i="4"/>
  <c r="K2117" i="4" s="1"/>
  <c r="A2118" i="4"/>
  <c r="K2118" i="4" s="1"/>
  <c r="A2119" i="4"/>
  <c r="K2119" i="4" s="1"/>
  <c r="A2120" i="4"/>
  <c r="K2120" i="4" s="1"/>
  <c r="A2121" i="4"/>
  <c r="K2121" i="4" s="1"/>
  <c r="A2122" i="4"/>
  <c r="K2122" i="4" s="1"/>
  <c r="A2123" i="4"/>
  <c r="K2123" i="4" s="1"/>
  <c r="A2124" i="4"/>
  <c r="K2124" i="4" s="1"/>
  <c r="A2125" i="4"/>
  <c r="K2125" i="4" s="1"/>
  <c r="A2126" i="4"/>
  <c r="K2126" i="4" s="1"/>
  <c r="A2127" i="4"/>
  <c r="K2127" i="4" s="1"/>
  <c r="A2128" i="4"/>
  <c r="K2128" i="4" s="1"/>
  <c r="A2129" i="4"/>
  <c r="K2129" i="4" s="1"/>
  <c r="A2130" i="4"/>
  <c r="K2130" i="4" s="1"/>
  <c r="A2131" i="4"/>
  <c r="K2131" i="4" s="1"/>
  <c r="A2132" i="4"/>
  <c r="K2132" i="4" s="1"/>
  <c r="A2133" i="4"/>
  <c r="K2133" i="4" s="1"/>
  <c r="A2134" i="4"/>
  <c r="K2134" i="4" s="1"/>
  <c r="A2135" i="4"/>
  <c r="K2135" i="4" s="1"/>
  <c r="A2136" i="4"/>
  <c r="K2136" i="4" s="1"/>
  <c r="A2137" i="4"/>
  <c r="K2137" i="4" s="1"/>
  <c r="A2138" i="4"/>
  <c r="K2138" i="4" s="1"/>
  <c r="A2139" i="4"/>
  <c r="K2139" i="4" s="1"/>
  <c r="A2140" i="4"/>
  <c r="K2140" i="4" s="1"/>
  <c r="A2141" i="4"/>
  <c r="K2141" i="4" s="1"/>
  <c r="A2142" i="4"/>
  <c r="K2142" i="4" s="1"/>
  <c r="A2143" i="4"/>
  <c r="K2143" i="4" s="1"/>
  <c r="A2144" i="4"/>
  <c r="K2144" i="4" s="1"/>
  <c r="A2145" i="4"/>
  <c r="K2145" i="4" s="1"/>
  <c r="A2146" i="4"/>
  <c r="K2146" i="4" s="1"/>
  <c r="A2147" i="4"/>
  <c r="K2147" i="4" s="1"/>
  <c r="A2148" i="4"/>
  <c r="K2148" i="4" s="1"/>
  <c r="A2149" i="4"/>
  <c r="K2149" i="4" s="1"/>
  <c r="A2150" i="4"/>
  <c r="K2150" i="4" s="1"/>
  <c r="A2151" i="4"/>
  <c r="K2151" i="4" s="1"/>
  <c r="A2152" i="4"/>
  <c r="K2152" i="4" s="1"/>
  <c r="A2153" i="4"/>
  <c r="K2153" i="4" s="1"/>
  <c r="A2154" i="4"/>
  <c r="K2154" i="4" s="1"/>
  <c r="A2155" i="4"/>
  <c r="K2155" i="4" s="1"/>
  <c r="A2156" i="4"/>
  <c r="K2156" i="4" s="1"/>
  <c r="A2157" i="4"/>
  <c r="K2157" i="4" s="1"/>
  <c r="A2158" i="4"/>
  <c r="K2158" i="4" s="1"/>
  <c r="A2159" i="4"/>
  <c r="K2159" i="4" s="1"/>
  <c r="A2160" i="4"/>
  <c r="K2160" i="4" s="1"/>
  <c r="A2161" i="4"/>
  <c r="K2161" i="4" s="1"/>
  <c r="A2162" i="4"/>
  <c r="K2162" i="4" s="1"/>
  <c r="A2163" i="4"/>
  <c r="K2163" i="4" s="1"/>
  <c r="A2164" i="4"/>
  <c r="K2164" i="4" s="1"/>
  <c r="A2165" i="4"/>
  <c r="K2165" i="4" s="1"/>
  <c r="A2166" i="4"/>
  <c r="K2166" i="4" s="1"/>
  <c r="A2167" i="4"/>
  <c r="K2167" i="4" s="1"/>
  <c r="A2168" i="4"/>
  <c r="K2168" i="4" s="1"/>
  <c r="A2169" i="4"/>
  <c r="K2169" i="4" s="1"/>
  <c r="A2170" i="4"/>
  <c r="K2170" i="4" s="1"/>
  <c r="A2171" i="4"/>
  <c r="K2171" i="4" s="1"/>
  <c r="A2172" i="4"/>
  <c r="K2172" i="4" s="1"/>
  <c r="A2173" i="4"/>
  <c r="K2173" i="4" s="1"/>
  <c r="A2174" i="4"/>
  <c r="K2174" i="4" s="1"/>
  <c r="A2175" i="4"/>
  <c r="K2175" i="4" s="1"/>
  <c r="A2176" i="4"/>
  <c r="K2176" i="4" s="1"/>
  <c r="A2177" i="4"/>
  <c r="K2177" i="4" s="1"/>
  <c r="A2178" i="4"/>
  <c r="K2178" i="4" s="1"/>
  <c r="A2179" i="4"/>
  <c r="K2179" i="4" s="1"/>
  <c r="A2180" i="4"/>
  <c r="K2180" i="4" s="1"/>
  <c r="A2181" i="4"/>
  <c r="K2181" i="4" s="1"/>
  <c r="A2182" i="4"/>
  <c r="K2182" i="4" s="1"/>
  <c r="A2183" i="4"/>
  <c r="K2183" i="4" s="1"/>
  <c r="A2184" i="4"/>
  <c r="K2184" i="4" s="1"/>
  <c r="A2185" i="4"/>
  <c r="K2185" i="4" s="1"/>
  <c r="A2186" i="4"/>
  <c r="K2186" i="4" s="1"/>
  <c r="A2187" i="4"/>
  <c r="K2187" i="4" s="1"/>
  <c r="A2188" i="4"/>
  <c r="K2188" i="4" s="1"/>
  <c r="A2189" i="4"/>
  <c r="K2189" i="4" s="1"/>
  <c r="A2190" i="4"/>
  <c r="K2190" i="4" s="1"/>
  <c r="A2191" i="4"/>
  <c r="K2191" i="4" s="1"/>
  <c r="A2192" i="4"/>
  <c r="K2192" i="4" s="1"/>
  <c r="A2193" i="4"/>
  <c r="K2193" i="4" s="1"/>
  <c r="A2194" i="4"/>
  <c r="K2194" i="4" s="1"/>
  <c r="A2195" i="4"/>
  <c r="K2195" i="4" s="1"/>
  <c r="A2196" i="4"/>
  <c r="K2196" i="4" s="1"/>
  <c r="A2197" i="4"/>
  <c r="K2197" i="4" s="1"/>
  <c r="A2198" i="4"/>
  <c r="K2198" i="4" s="1"/>
  <c r="A2199" i="4"/>
  <c r="K2199" i="4" s="1"/>
  <c r="A2200" i="4"/>
  <c r="K2200" i="4" s="1"/>
  <c r="A2201" i="4"/>
  <c r="K2201" i="4" s="1"/>
  <c r="A2202" i="4"/>
  <c r="K2202" i="4" s="1"/>
  <c r="A2203" i="4"/>
  <c r="K2203" i="4" s="1"/>
  <c r="A2204" i="4"/>
  <c r="K2204" i="4" s="1"/>
  <c r="A2205" i="4"/>
  <c r="K2205" i="4" s="1"/>
  <c r="A2206" i="4"/>
  <c r="K2206" i="4" s="1"/>
  <c r="A2207" i="4"/>
  <c r="K2207" i="4" s="1"/>
  <c r="A2208" i="4"/>
  <c r="K2208" i="4" s="1"/>
  <c r="A2209" i="4"/>
  <c r="K2209" i="4" s="1"/>
  <c r="A2210" i="4"/>
  <c r="K2210" i="4" s="1"/>
  <c r="A2211" i="4"/>
  <c r="K2211" i="4" s="1"/>
  <c r="A2212" i="4"/>
  <c r="K2212" i="4" s="1"/>
  <c r="A2213" i="4"/>
  <c r="K2213" i="4" s="1"/>
  <c r="A2214" i="4"/>
  <c r="K2214" i="4" s="1"/>
  <c r="A2215" i="4"/>
  <c r="K2215" i="4" s="1"/>
  <c r="A2216" i="4"/>
  <c r="K2216" i="4" s="1"/>
  <c r="A2217" i="4"/>
  <c r="K2217" i="4" s="1"/>
  <c r="A2218" i="4"/>
  <c r="K2218" i="4" s="1"/>
  <c r="A2219" i="4"/>
  <c r="K2219" i="4" s="1"/>
  <c r="A2220" i="4"/>
  <c r="K2220" i="4" s="1"/>
  <c r="A2221" i="4"/>
  <c r="K2221" i="4" s="1"/>
  <c r="A2222" i="4"/>
  <c r="K2222" i="4" s="1"/>
  <c r="A2223" i="4"/>
  <c r="K2223" i="4" s="1"/>
  <c r="A2224" i="4"/>
  <c r="K2224" i="4" s="1"/>
  <c r="A2225" i="4"/>
  <c r="K2225" i="4" s="1"/>
  <c r="A2226" i="4"/>
  <c r="K2226" i="4" s="1"/>
  <c r="A2227" i="4"/>
  <c r="K2227" i="4" s="1"/>
  <c r="A2228" i="4"/>
  <c r="K2228" i="4" s="1"/>
  <c r="A2229" i="4"/>
  <c r="K2229" i="4" s="1"/>
  <c r="A2230" i="4"/>
  <c r="K2230" i="4" s="1"/>
  <c r="A2231" i="4"/>
  <c r="K2231" i="4" s="1"/>
  <c r="A2232" i="4"/>
  <c r="K2232" i="4" s="1"/>
  <c r="A2233" i="4"/>
  <c r="K2233" i="4" s="1"/>
  <c r="A2234" i="4"/>
  <c r="K2234" i="4" s="1"/>
  <c r="A2235" i="4"/>
  <c r="K2235" i="4" s="1"/>
  <c r="A2236" i="4"/>
  <c r="K2236" i="4" s="1"/>
  <c r="A2237" i="4"/>
  <c r="K2237" i="4" s="1"/>
  <c r="A2238" i="4"/>
  <c r="K2238" i="4" s="1"/>
  <c r="A2239" i="4"/>
  <c r="K2239" i="4" s="1"/>
  <c r="A2240" i="4"/>
  <c r="K2240" i="4" s="1"/>
  <c r="A2241" i="4"/>
  <c r="K2241" i="4" s="1"/>
  <c r="A2242" i="4"/>
  <c r="K2242" i="4" s="1"/>
  <c r="A2243" i="4"/>
  <c r="K2243" i="4" s="1"/>
  <c r="A2244" i="4"/>
  <c r="K2244" i="4" s="1"/>
  <c r="A2245" i="4"/>
  <c r="K2245" i="4" s="1"/>
  <c r="A2246" i="4"/>
  <c r="K2246" i="4" s="1"/>
  <c r="A2247" i="4"/>
  <c r="K2247" i="4" s="1"/>
  <c r="A2248" i="4"/>
  <c r="K2248" i="4" s="1"/>
  <c r="A2249" i="4"/>
  <c r="K2249" i="4" s="1"/>
  <c r="A2250" i="4"/>
  <c r="K2250" i="4" s="1"/>
  <c r="A2251" i="4"/>
  <c r="K2251" i="4" s="1"/>
  <c r="A2252" i="4"/>
  <c r="K2252" i="4" s="1"/>
  <c r="A2253" i="4"/>
  <c r="K2253" i="4" s="1"/>
  <c r="A2254" i="4"/>
  <c r="K2254" i="4" s="1"/>
  <c r="A2255" i="4"/>
  <c r="K2255" i="4" s="1"/>
  <c r="A2256" i="4"/>
  <c r="K2256" i="4" s="1"/>
  <c r="A2257" i="4"/>
  <c r="K2257" i="4" s="1"/>
  <c r="A2258" i="4"/>
  <c r="K2258" i="4" s="1"/>
  <c r="A2259" i="4"/>
  <c r="K2259" i="4" s="1"/>
  <c r="A2260" i="4"/>
  <c r="K2260" i="4" s="1"/>
  <c r="A2261" i="4"/>
  <c r="K2261" i="4" s="1"/>
  <c r="A2262" i="4"/>
  <c r="K2262" i="4" s="1"/>
  <c r="A2263" i="4"/>
  <c r="K2263" i="4" s="1"/>
  <c r="A2264" i="4"/>
  <c r="K2264" i="4" s="1"/>
  <c r="A2265" i="4"/>
  <c r="K2265" i="4" s="1"/>
  <c r="A2266" i="4"/>
  <c r="K2266" i="4" s="1"/>
  <c r="A2267" i="4"/>
  <c r="K2267" i="4" s="1"/>
  <c r="A2268" i="4"/>
  <c r="K2268" i="4" s="1"/>
  <c r="A2269" i="4"/>
  <c r="K2269" i="4" s="1"/>
  <c r="A2270" i="4"/>
  <c r="K2270" i="4" s="1"/>
  <c r="A2271" i="4"/>
  <c r="K2271" i="4" s="1"/>
  <c r="A2272" i="4"/>
  <c r="K2272" i="4" s="1"/>
  <c r="A2273" i="4"/>
  <c r="K2273" i="4" s="1"/>
  <c r="A2274" i="4"/>
  <c r="K2274" i="4" s="1"/>
  <c r="A2275" i="4"/>
  <c r="K2275" i="4" s="1"/>
  <c r="A2276" i="4"/>
  <c r="K2276" i="4" s="1"/>
  <c r="A2277" i="4"/>
  <c r="K2277" i="4" s="1"/>
  <c r="A2278" i="4"/>
  <c r="K2278" i="4" s="1"/>
  <c r="A2279" i="4"/>
  <c r="K2279" i="4" s="1"/>
  <c r="A2280" i="4"/>
  <c r="K2280" i="4" s="1"/>
  <c r="A2281" i="4"/>
  <c r="K2281" i="4" s="1"/>
  <c r="A2282" i="4"/>
  <c r="K2282" i="4" s="1"/>
  <c r="A2283" i="4"/>
  <c r="K2283" i="4" s="1"/>
  <c r="A2284" i="4"/>
  <c r="K2284" i="4" s="1"/>
  <c r="A2285" i="4"/>
  <c r="K2285" i="4" s="1"/>
  <c r="A2286" i="4"/>
  <c r="K2286" i="4" s="1"/>
  <c r="A2287" i="4"/>
  <c r="K2287" i="4" s="1"/>
  <c r="A2288" i="4"/>
  <c r="K2288" i="4" s="1"/>
  <c r="A2289" i="4"/>
  <c r="K2289" i="4" s="1"/>
  <c r="A2290" i="4"/>
  <c r="K2290" i="4" s="1"/>
  <c r="A2291" i="4"/>
  <c r="K2291" i="4" s="1"/>
  <c r="A2292" i="4"/>
  <c r="K2292" i="4" s="1"/>
  <c r="A2293" i="4"/>
  <c r="K2293" i="4" s="1"/>
  <c r="A2294" i="4"/>
  <c r="K2294" i="4" s="1"/>
  <c r="A2295" i="4"/>
  <c r="K2295" i="4" s="1"/>
  <c r="A2296" i="4"/>
  <c r="K2296" i="4" s="1"/>
  <c r="A2297" i="4"/>
  <c r="K2297" i="4" s="1"/>
  <c r="A2298" i="4"/>
  <c r="K2298" i="4" s="1"/>
  <c r="A2299" i="4"/>
  <c r="K2299" i="4" s="1"/>
  <c r="A2300" i="4"/>
  <c r="K2300" i="4" s="1"/>
  <c r="A2301" i="4"/>
  <c r="K2301" i="4" s="1"/>
  <c r="A2302" i="4"/>
  <c r="K2302" i="4" s="1"/>
  <c r="A2303" i="4"/>
  <c r="K2303" i="4" s="1"/>
  <c r="A2304" i="4"/>
  <c r="K2304" i="4" s="1"/>
  <c r="A2305" i="4"/>
  <c r="K2305" i="4" s="1"/>
  <c r="A2306" i="4"/>
  <c r="K2306" i="4" s="1"/>
  <c r="A2307" i="4"/>
  <c r="K2307" i="4" s="1"/>
  <c r="A2308" i="4"/>
  <c r="K2308" i="4" s="1"/>
  <c r="A2309" i="4"/>
  <c r="K2309" i="4" s="1"/>
  <c r="A2310" i="4"/>
  <c r="K2310" i="4" s="1"/>
  <c r="A2311" i="4"/>
  <c r="K2311" i="4" s="1"/>
  <c r="A2312" i="4"/>
  <c r="K2312" i="4" s="1"/>
  <c r="A2313" i="4"/>
  <c r="K2313" i="4" s="1"/>
  <c r="A2314" i="4"/>
  <c r="K2314" i="4" s="1"/>
  <c r="A2315" i="4"/>
  <c r="K2315" i="4" s="1"/>
  <c r="A2316" i="4"/>
  <c r="K2316" i="4" s="1"/>
  <c r="A2317" i="4"/>
  <c r="K2317" i="4" s="1"/>
  <c r="A2318" i="4"/>
  <c r="K2318" i="4" s="1"/>
  <c r="A2319" i="4"/>
  <c r="K2319" i="4" s="1"/>
  <c r="A2320" i="4"/>
  <c r="K2320" i="4" s="1"/>
  <c r="A2321" i="4"/>
  <c r="K2321" i="4" s="1"/>
  <c r="A2322" i="4"/>
  <c r="K2322" i="4" s="1"/>
  <c r="A2323" i="4"/>
  <c r="K2323" i="4" s="1"/>
  <c r="A2324" i="4"/>
  <c r="K2324" i="4" s="1"/>
  <c r="A2325" i="4"/>
  <c r="K2325" i="4" s="1"/>
  <c r="A2326" i="4"/>
  <c r="K2326" i="4" s="1"/>
  <c r="A2327" i="4"/>
  <c r="K2327" i="4" s="1"/>
  <c r="A2328" i="4"/>
  <c r="K2328" i="4" s="1"/>
  <c r="A2329" i="4"/>
  <c r="K2329" i="4" s="1"/>
  <c r="A2330" i="4"/>
  <c r="K2330" i="4" s="1"/>
  <c r="A2331" i="4"/>
  <c r="K2331" i="4" s="1"/>
  <c r="A2332" i="4"/>
  <c r="K2332" i="4" s="1"/>
  <c r="A2333" i="4"/>
  <c r="K2333" i="4" s="1"/>
  <c r="A2334" i="4"/>
  <c r="K2334" i="4" s="1"/>
  <c r="A2335" i="4"/>
  <c r="K2335" i="4" s="1"/>
  <c r="A2336" i="4"/>
  <c r="K2336" i="4" s="1"/>
  <c r="A2337" i="4"/>
  <c r="K2337" i="4" s="1"/>
  <c r="A2338" i="4"/>
  <c r="K2338" i="4" s="1"/>
  <c r="A2339" i="4"/>
  <c r="K2339" i="4" s="1"/>
  <c r="A2340" i="4"/>
  <c r="K2340" i="4" s="1"/>
  <c r="A2341" i="4"/>
  <c r="K2341" i="4" s="1"/>
  <c r="A2342" i="4"/>
  <c r="K2342" i="4" s="1"/>
  <c r="A2343" i="4"/>
  <c r="K2343" i="4" s="1"/>
  <c r="A2344" i="4"/>
  <c r="K2344" i="4" s="1"/>
  <c r="A2345" i="4"/>
  <c r="K2345" i="4" s="1"/>
  <c r="A2346" i="4"/>
  <c r="K2346" i="4" s="1"/>
  <c r="A2347" i="4"/>
  <c r="K2347" i="4" s="1"/>
  <c r="A2348" i="4"/>
  <c r="K2348" i="4" s="1"/>
  <c r="A2349" i="4"/>
  <c r="K2349" i="4" s="1"/>
  <c r="A2350" i="4"/>
  <c r="K2350" i="4" s="1"/>
  <c r="A2351" i="4"/>
  <c r="K2351" i="4" s="1"/>
  <c r="A2352" i="4"/>
  <c r="K2352" i="4" s="1"/>
  <c r="A2353" i="4"/>
  <c r="K2353" i="4" s="1"/>
  <c r="A2354" i="4"/>
  <c r="K2354" i="4" s="1"/>
  <c r="A2355" i="4"/>
  <c r="K2355" i="4" s="1"/>
  <c r="A2356" i="4"/>
  <c r="K2356" i="4" s="1"/>
  <c r="A2357" i="4"/>
  <c r="K2357" i="4" s="1"/>
  <c r="A2358" i="4"/>
  <c r="K2358" i="4" s="1"/>
  <c r="A2359" i="4"/>
  <c r="K2359" i="4" s="1"/>
  <c r="A2360" i="4"/>
  <c r="K2360" i="4" s="1"/>
  <c r="A2361" i="4"/>
  <c r="K2361" i="4" s="1"/>
  <c r="A2362" i="4"/>
  <c r="K2362" i="4" s="1"/>
  <c r="A2363" i="4"/>
  <c r="K2363" i="4" s="1"/>
  <c r="A2364" i="4"/>
  <c r="K2364" i="4" s="1"/>
  <c r="A2365" i="4"/>
  <c r="K2365" i="4" s="1"/>
  <c r="A2366" i="4"/>
  <c r="K2366" i="4" s="1"/>
  <c r="A2367" i="4"/>
  <c r="K2367" i="4" s="1"/>
  <c r="A2368" i="4"/>
  <c r="K2368" i="4" s="1"/>
  <c r="A2369" i="4"/>
  <c r="K2369" i="4" s="1"/>
  <c r="A2370" i="4"/>
  <c r="K2370" i="4" s="1"/>
  <c r="A2371" i="4"/>
  <c r="K2371" i="4" s="1"/>
  <c r="A2372" i="4"/>
  <c r="K2372" i="4" s="1"/>
  <c r="A2373" i="4"/>
  <c r="K2373" i="4" s="1"/>
  <c r="A2374" i="4"/>
  <c r="K2374" i="4" s="1"/>
  <c r="A2375" i="4"/>
  <c r="K2375" i="4" s="1"/>
  <c r="A2376" i="4"/>
  <c r="K2376" i="4" s="1"/>
  <c r="A2377" i="4"/>
  <c r="K2377" i="4" s="1"/>
  <c r="A2378" i="4"/>
  <c r="K2378" i="4" s="1"/>
  <c r="A2379" i="4"/>
  <c r="K2379" i="4" s="1"/>
  <c r="A2380" i="4"/>
  <c r="K2380" i="4" s="1"/>
  <c r="A2381" i="4"/>
  <c r="K2381" i="4" s="1"/>
  <c r="A2382" i="4"/>
  <c r="K2382" i="4" s="1"/>
  <c r="A2383" i="4"/>
  <c r="K2383" i="4" s="1"/>
  <c r="A2384" i="4"/>
  <c r="K2384" i="4" s="1"/>
  <c r="A2385" i="4"/>
  <c r="K2385" i="4" s="1"/>
  <c r="A2386" i="4"/>
  <c r="K2386" i="4" s="1"/>
  <c r="A2387" i="4"/>
  <c r="K2387" i="4" s="1"/>
  <c r="A2388" i="4"/>
  <c r="K2388" i="4" s="1"/>
  <c r="A2389" i="4"/>
  <c r="K2389" i="4" s="1"/>
  <c r="A2390" i="4"/>
  <c r="K2390" i="4" s="1"/>
  <c r="A2391" i="4"/>
  <c r="K2391" i="4" s="1"/>
  <c r="A2392" i="4"/>
  <c r="K2392" i="4" s="1"/>
  <c r="A2393" i="4"/>
  <c r="K2393" i="4" s="1"/>
  <c r="A2394" i="4"/>
  <c r="K2394" i="4" s="1"/>
  <c r="A2395" i="4"/>
  <c r="K2395" i="4" s="1"/>
  <c r="A2396" i="4"/>
  <c r="K2396" i="4" s="1"/>
  <c r="A2397" i="4"/>
  <c r="K2397" i="4" s="1"/>
  <c r="A2398" i="4"/>
  <c r="K2398" i="4" s="1"/>
  <c r="A2399" i="4"/>
  <c r="K2399" i="4" s="1"/>
  <c r="A2400" i="4"/>
  <c r="K2400" i="4" s="1"/>
  <c r="A2401" i="4"/>
  <c r="K2401" i="4" s="1"/>
  <c r="A2402" i="4"/>
  <c r="K2402" i="4" s="1"/>
  <c r="A2403" i="4"/>
  <c r="K2403" i="4" s="1"/>
  <c r="A2404" i="4"/>
  <c r="K2404" i="4" s="1"/>
  <c r="A2405" i="4"/>
  <c r="K2405" i="4" s="1"/>
  <c r="A2406" i="4"/>
  <c r="K2406" i="4" s="1"/>
  <c r="A2407" i="4"/>
  <c r="K2407" i="4" s="1"/>
  <c r="A2408" i="4"/>
  <c r="K2408" i="4" s="1"/>
  <c r="A2409" i="4"/>
  <c r="K2409" i="4" s="1"/>
  <c r="A2410" i="4"/>
  <c r="K2410" i="4" s="1"/>
  <c r="A2411" i="4"/>
  <c r="K2411" i="4" s="1"/>
  <c r="A2412" i="4"/>
  <c r="K2412" i="4" s="1"/>
  <c r="A2413" i="4"/>
  <c r="K2413" i="4" s="1"/>
  <c r="A2414" i="4"/>
  <c r="K2414" i="4" s="1"/>
  <c r="A2415" i="4"/>
  <c r="K2415" i="4" s="1"/>
  <c r="A2416" i="4"/>
  <c r="K2416" i="4" s="1"/>
  <c r="A2417" i="4"/>
  <c r="K2417" i="4" s="1"/>
  <c r="A2418" i="4"/>
  <c r="K2418" i="4" s="1"/>
  <c r="A2419" i="4"/>
  <c r="K2419" i="4" s="1"/>
  <c r="A2420" i="4"/>
  <c r="K2420" i="4" s="1"/>
  <c r="A2421" i="4"/>
  <c r="K2421" i="4" s="1"/>
  <c r="A2422" i="4"/>
  <c r="K2422" i="4" s="1"/>
  <c r="A2423" i="4"/>
  <c r="K2423" i="4" s="1"/>
  <c r="A2424" i="4"/>
  <c r="K2424" i="4" s="1"/>
  <c r="A2425" i="4"/>
  <c r="K2425" i="4" s="1"/>
  <c r="A2426" i="4"/>
  <c r="K2426" i="4" s="1"/>
  <c r="A2427" i="4"/>
  <c r="K2427" i="4" s="1"/>
  <c r="A2428" i="4"/>
  <c r="K2428" i="4" s="1"/>
  <c r="A2429" i="4"/>
  <c r="K2429" i="4" s="1"/>
  <c r="A2430" i="4"/>
  <c r="K2430" i="4" s="1"/>
  <c r="A2431" i="4"/>
  <c r="K2431" i="4" s="1"/>
  <c r="A2432" i="4"/>
  <c r="K2432" i="4" s="1"/>
  <c r="A2433" i="4"/>
  <c r="K2433" i="4" s="1"/>
  <c r="A2434" i="4"/>
  <c r="K2434" i="4" s="1"/>
  <c r="A2435" i="4"/>
  <c r="K2435" i="4" s="1"/>
  <c r="A2436" i="4"/>
  <c r="K2436" i="4" s="1"/>
  <c r="A2437" i="4"/>
  <c r="K2437" i="4" s="1"/>
  <c r="A2438" i="4"/>
  <c r="K2438" i="4" s="1"/>
  <c r="A2439" i="4"/>
  <c r="K2439" i="4" s="1"/>
  <c r="A2440" i="4"/>
  <c r="K2440" i="4" s="1"/>
  <c r="A2441" i="4"/>
  <c r="K2441" i="4" s="1"/>
  <c r="A2442" i="4"/>
  <c r="K2442" i="4" s="1"/>
  <c r="A2443" i="4"/>
  <c r="K2443" i="4" s="1"/>
  <c r="A2444" i="4"/>
  <c r="K2444" i="4" s="1"/>
  <c r="A2445" i="4"/>
  <c r="K2445" i="4" s="1"/>
  <c r="A2446" i="4"/>
  <c r="K2446" i="4" s="1"/>
  <c r="A2447" i="4"/>
  <c r="K2447" i="4" s="1"/>
  <c r="A2448" i="4"/>
  <c r="K2448" i="4" s="1"/>
  <c r="A2449" i="4"/>
  <c r="K2449" i="4" s="1"/>
  <c r="A2450" i="4"/>
  <c r="K2450" i="4" s="1"/>
  <c r="A2451" i="4"/>
  <c r="K2451" i="4" s="1"/>
  <c r="A2452" i="4"/>
  <c r="K2452" i="4" s="1"/>
  <c r="A2453" i="4"/>
  <c r="K2453" i="4" s="1"/>
  <c r="A2454" i="4"/>
  <c r="K2454" i="4" s="1"/>
  <c r="A2455" i="4"/>
  <c r="K2455" i="4" s="1"/>
  <c r="A2456" i="4"/>
  <c r="K2456" i="4" s="1"/>
  <c r="A2457" i="4"/>
  <c r="K2457" i="4" s="1"/>
  <c r="A2458" i="4"/>
  <c r="K2458" i="4" s="1"/>
  <c r="A2459" i="4"/>
  <c r="K2459" i="4" s="1"/>
  <c r="A2460" i="4"/>
  <c r="K2460" i="4" s="1"/>
  <c r="A2461" i="4"/>
  <c r="K2461" i="4" s="1"/>
  <c r="A2462" i="4"/>
  <c r="K2462" i="4" s="1"/>
  <c r="A2463" i="4"/>
  <c r="K2463" i="4" s="1"/>
  <c r="A2464" i="4"/>
  <c r="K2464" i="4" s="1"/>
  <c r="A2465" i="4"/>
  <c r="K2465" i="4" s="1"/>
  <c r="A2466" i="4"/>
  <c r="K2466" i="4" s="1"/>
  <c r="A2467" i="4"/>
  <c r="K2467" i="4" s="1"/>
  <c r="A2468" i="4"/>
  <c r="K2468" i="4" s="1"/>
  <c r="A2469" i="4"/>
  <c r="K2469" i="4" s="1"/>
  <c r="A2470" i="4"/>
  <c r="K2470" i="4" s="1"/>
  <c r="A2471" i="4"/>
  <c r="K2471" i="4" s="1"/>
  <c r="A2472" i="4"/>
  <c r="K2472" i="4" s="1"/>
  <c r="A2473" i="4"/>
  <c r="K2473" i="4" s="1"/>
  <c r="A2474" i="4"/>
  <c r="K2474" i="4" s="1"/>
  <c r="A2475" i="4"/>
  <c r="K2475" i="4" s="1"/>
  <c r="A2476" i="4"/>
  <c r="K2476" i="4" s="1"/>
  <c r="A2477" i="4"/>
  <c r="K2477" i="4" s="1"/>
  <c r="A2478" i="4"/>
  <c r="K2478" i="4" s="1"/>
  <c r="A2479" i="4"/>
  <c r="K2479" i="4" s="1"/>
  <c r="A2480" i="4"/>
  <c r="K2480" i="4" s="1"/>
  <c r="A2481" i="4"/>
  <c r="K2481" i="4" s="1"/>
  <c r="A2482" i="4"/>
  <c r="K2482" i="4" s="1"/>
  <c r="A2483" i="4"/>
  <c r="K2483" i="4" s="1"/>
  <c r="A2484" i="4"/>
  <c r="K2484" i="4" s="1"/>
  <c r="A2485" i="4"/>
  <c r="K2485" i="4" s="1"/>
  <c r="A2486" i="4"/>
  <c r="K2486" i="4" s="1"/>
  <c r="A2487" i="4"/>
  <c r="K2487" i="4" s="1"/>
  <c r="A2488" i="4"/>
  <c r="K2488" i="4" s="1"/>
  <c r="A2489" i="4"/>
  <c r="K2489" i="4" s="1"/>
  <c r="A2490" i="4"/>
  <c r="K2490" i="4" s="1"/>
  <c r="A2491" i="4"/>
  <c r="K2491" i="4" s="1"/>
  <c r="A2492" i="4"/>
  <c r="K2492" i="4" s="1"/>
  <c r="A2493" i="4"/>
  <c r="K2493" i="4" s="1"/>
  <c r="A2494" i="4"/>
  <c r="K2494" i="4" s="1"/>
  <c r="A2495" i="4"/>
  <c r="K2495" i="4" s="1"/>
  <c r="A2496" i="4"/>
  <c r="K2496" i="4" s="1"/>
  <c r="A2497" i="4"/>
  <c r="K2497" i="4" s="1"/>
  <c r="A2498" i="4"/>
  <c r="K2498" i="4" s="1"/>
  <c r="A2499" i="4"/>
  <c r="K2499" i="4" s="1"/>
  <c r="A2500" i="4"/>
  <c r="K2500" i="4" s="1"/>
  <c r="A2501" i="4"/>
  <c r="K2501" i="4" s="1"/>
  <c r="A2502" i="4"/>
  <c r="K2502" i="4" s="1"/>
  <c r="A2503" i="4"/>
  <c r="K2503" i="4" s="1"/>
  <c r="A2504" i="4"/>
  <c r="K2504" i="4" s="1"/>
  <c r="A2505" i="4"/>
  <c r="K2505" i="4" s="1"/>
  <c r="A2506" i="4"/>
  <c r="K2506" i="4" s="1"/>
  <c r="A2507" i="4"/>
  <c r="K2507" i="4" s="1"/>
  <c r="A2508" i="4"/>
  <c r="K2508" i="4" s="1"/>
  <c r="A2509" i="4"/>
  <c r="K2509" i="4" s="1"/>
  <c r="A2510" i="4"/>
  <c r="K2510" i="4" s="1"/>
  <c r="A2511" i="4"/>
  <c r="K2511" i="4" s="1"/>
  <c r="A2512" i="4"/>
  <c r="K2512" i="4" s="1"/>
  <c r="A2513" i="4"/>
  <c r="K2513" i="4" s="1"/>
  <c r="A2514" i="4"/>
  <c r="K2514" i="4" s="1"/>
  <c r="A2515" i="4"/>
  <c r="K2515" i="4" s="1"/>
  <c r="A2516" i="4"/>
  <c r="K2516" i="4" s="1"/>
  <c r="A2517" i="4"/>
  <c r="K2517" i="4" s="1"/>
  <c r="A2518" i="4"/>
  <c r="K2518" i="4" s="1"/>
  <c r="A2519" i="4"/>
  <c r="K2519" i="4" s="1"/>
  <c r="A2520" i="4"/>
  <c r="K2520" i="4" s="1"/>
  <c r="A2521" i="4"/>
  <c r="K2521" i="4" s="1"/>
  <c r="A2522" i="4"/>
  <c r="K2522" i="4" s="1"/>
  <c r="A2523" i="4"/>
  <c r="K2523" i="4" s="1"/>
  <c r="A2524" i="4"/>
  <c r="K2524" i="4" s="1"/>
  <c r="A2525" i="4"/>
  <c r="K2525" i="4" s="1"/>
  <c r="A2526" i="4"/>
  <c r="K2526" i="4" s="1"/>
  <c r="A2527" i="4"/>
  <c r="K2527" i="4" s="1"/>
  <c r="A2528" i="4"/>
  <c r="K2528" i="4" s="1"/>
  <c r="A2529" i="4"/>
  <c r="K2529" i="4" s="1"/>
  <c r="A2530" i="4"/>
  <c r="K2530" i="4" s="1"/>
  <c r="A2531" i="4"/>
  <c r="K2531" i="4" s="1"/>
  <c r="A2532" i="4"/>
  <c r="K2532" i="4" s="1"/>
  <c r="A2533" i="4"/>
  <c r="K2533" i="4" s="1"/>
  <c r="A2534" i="4"/>
  <c r="K2534" i="4" s="1"/>
  <c r="A2535" i="4"/>
  <c r="K2535" i="4" s="1"/>
  <c r="A2536" i="4"/>
  <c r="K2536" i="4" s="1"/>
  <c r="A2537" i="4"/>
  <c r="K2537" i="4" s="1"/>
  <c r="A2538" i="4"/>
  <c r="K2538" i="4" s="1"/>
  <c r="A2539" i="4"/>
  <c r="K2539" i="4" s="1"/>
  <c r="A2540" i="4"/>
  <c r="K2540" i="4" s="1"/>
  <c r="A2541" i="4"/>
  <c r="K2541" i="4" s="1"/>
  <c r="A2542" i="4"/>
  <c r="K2542" i="4" s="1"/>
  <c r="A2543" i="4"/>
  <c r="K2543" i="4" s="1"/>
  <c r="A2544" i="4"/>
  <c r="K2544" i="4" s="1"/>
  <c r="A2545" i="4"/>
  <c r="K2545" i="4" s="1"/>
  <c r="A2546" i="4"/>
  <c r="K2546" i="4" s="1"/>
  <c r="A2547" i="4"/>
  <c r="K2547" i="4" s="1"/>
  <c r="A2548" i="4"/>
  <c r="K2548" i="4" s="1"/>
  <c r="A2549" i="4"/>
  <c r="K2549" i="4" s="1"/>
  <c r="A2550" i="4"/>
  <c r="K2550" i="4" s="1"/>
  <c r="A2551" i="4"/>
  <c r="K2551" i="4" s="1"/>
  <c r="A2552" i="4"/>
  <c r="K2552" i="4" s="1"/>
  <c r="A2553" i="4"/>
  <c r="K2553" i="4" s="1"/>
  <c r="A2554" i="4"/>
  <c r="K2554" i="4" s="1"/>
  <c r="A2555" i="4"/>
  <c r="K2555" i="4" s="1"/>
  <c r="A2556" i="4"/>
  <c r="K2556" i="4" s="1"/>
  <c r="A2557" i="4"/>
  <c r="K2557" i="4" s="1"/>
  <c r="A2558" i="4"/>
  <c r="K2558" i="4" s="1"/>
  <c r="A2559" i="4"/>
  <c r="K2559" i="4" s="1"/>
  <c r="A2560" i="4"/>
  <c r="K2560" i="4" s="1"/>
  <c r="A2561" i="4"/>
  <c r="K2561" i="4" s="1"/>
  <c r="A2562" i="4"/>
  <c r="K2562" i="4" s="1"/>
  <c r="A2563" i="4"/>
  <c r="K2563" i="4" s="1"/>
  <c r="A2564" i="4"/>
  <c r="K2564" i="4" s="1"/>
  <c r="A2565" i="4"/>
  <c r="K2565" i="4" s="1"/>
  <c r="A2566" i="4"/>
  <c r="K2566" i="4" s="1"/>
  <c r="A2567" i="4"/>
  <c r="K2567" i="4" s="1"/>
  <c r="A2568" i="4"/>
  <c r="K2568" i="4" s="1"/>
  <c r="A2569" i="4"/>
  <c r="K2569" i="4" s="1"/>
  <c r="A2570" i="4"/>
  <c r="K2570" i="4" s="1"/>
  <c r="A2571" i="4"/>
  <c r="K2571" i="4" s="1"/>
  <c r="A2572" i="4"/>
  <c r="K2572" i="4" s="1"/>
  <c r="A2573" i="4"/>
  <c r="K2573" i="4" s="1"/>
  <c r="A2574" i="4"/>
  <c r="K2574" i="4" s="1"/>
  <c r="A2575" i="4"/>
  <c r="K2575" i="4" s="1"/>
  <c r="A2576" i="4"/>
  <c r="K2576" i="4" s="1"/>
  <c r="A2577" i="4"/>
  <c r="K2577" i="4" s="1"/>
  <c r="A2578" i="4"/>
  <c r="K2578" i="4" s="1"/>
  <c r="A2579" i="4"/>
  <c r="K2579" i="4" s="1"/>
  <c r="A2580" i="4"/>
  <c r="K2580" i="4" s="1"/>
  <c r="A2581" i="4"/>
  <c r="K2581" i="4" s="1"/>
  <c r="A2582" i="4"/>
  <c r="K2582" i="4" s="1"/>
  <c r="A2583" i="4"/>
  <c r="K2583" i="4" s="1"/>
  <c r="A2584" i="4"/>
  <c r="K2584" i="4" s="1"/>
  <c r="A2585" i="4"/>
  <c r="K2585" i="4" s="1"/>
  <c r="A2586" i="4"/>
  <c r="K2586" i="4" s="1"/>
  <c r="A2587" i="4"/>
  <c r="K2587" i="4" s="1"/>
  <c r="A2588" i="4"/>
  <c r="K2588" i="4" s="1"/>
  <c r="A2589" i="4"/>
  <c r="K2589" i="4" s="1"/>
  <c r="A2590" i="4"/>
  <c r="K2590" i="4" s="1"/>
  <c r="A2591" i="4"/>
  <c r="K2591" i="4" s="1"/>
  <c r="A2592" i="4"/>
  <c r="K2592" i="4" s="1"/>
  <c r="A2593" i="4"/>
  <c r="K2593" i="4" s="1"/>
  <c r="A2594" i="4"/>
  <c r="K2594" i="4" s="1"/>
  <c r="A2595" i="4"/>
  <c r="K2595" i="4" s="1"/>
  <c r="A2596" i="4"/>
  <c r="K2596" i="4" s="1"/>
  <c r="A2597" i="4"/>
  <c r="K2597" i="4" s="1"/>
  <c r="A2598" i="4"/>
  <c r="K2598" i="4" s="1"/>
  <c r="A2599" i="4"/>
  <c r="K2599" i="4" s="1"/>
  <c r="A2600" i="4"/>
  <c r="K2600" i="4" s="1"/>
  <c r="A2601" i="4"/>
  <c r="K2601" i="4" s="1"/>
  <c r="A2602" i="4"/>
  <c r="K2602" i="4" s="1"/>
  <c r="A2603" i="4"/>
  <c r="K2603" i="4" s="1"/>
  <c r="A2604" i="4"/>
  <c r="K2604" i="4" s="1"/>
  <c r="A2605" i="4"/>
  <c r="K2605" i="4" s="1"/>
  <c r="A2606" i="4"/>
  <c r="K2606" i="4" s="1"/>
  <c r="A2607" i="4"/>
  <c r="K2607" i="4" s="1"/>
  <c r="A2608" i="4"/>
  <c r="K2608" i="4" s="1"/>
  <c r="A2609" i="4"/>
  <c r="K2609" i="4" s="1"/>
  <c r="A2610" i="4"/>
  <c r="K2610" i="4" s="1"/>
  <c r="A2611" i="4"/>
  <c r="K2611" i="4" s="1"/>
  <c r="A2612" i="4"/>
  <c r="K2612" i="4" s="1"/>
  <c r="A2613" i="4"/>
  <c r="K2613" i="4" s="1"/>
  <c r="A2614" i="4"/>
  <c r="K2614" i="4" s="1"/>
  <c r="A2615" i="4"/>
  <c r="K2615" i="4" s="1"/>
  <c r="A2616" i="4"/>
  <c r="K2616" i="4" s="1"/>
  <c r="A2617" i="4"/>
  <c r="K2617" i="4" s="1"/>
  <c r="A2618" i="4"/>
  <c r="K2618" i="4" s="1"/>
  <c r="A2619" i="4"/>
  <c r="K2619" i="4" s="1"/>
  <c r="A2620" i="4"/>
  <c r="K2620" i="4" s="1"/>
  <c r="A2621" i="4"/>
  <c r="K2621" i="4" s="1"/>
  <c r="A2622" i="4"/>
  <c r="K2622" i="4" s="1"/>
  <c r="A2623" i="4"/>
  <c r="K2623" i="4" s="1"/>
  <c r="A2624" i="4"/>
  <c r="K2624" i="4" s="1"/>
  <c r="A2625" i="4"/>
  <c r="K2625" i="4" s="1"/>
  <c r="A2626" i="4"/>
  <c r="K2626" i="4" s="1"/>
  <c r="A2627" i="4"/>
  <c r="K2627" i="4" s="1"/>
  <c r="A2628" i="4"/>
  <c r="K2628" i="4" s="1"/>
  <c r="A2629" i="4"/>
  <c r="K2629" i="4" s="1"/>
  <c r="A2630" i="4"/>
  <c r="K2630" i="4" s="1"/>
  <c r="A2631" i="4"/>
  <c r="K2631" i="4" s="1"/>
  <c r="A2632" i="4"/>
  <c r="K2632" i="4" s="1"/>
  <c r="A2633" i="4"/>
  <c r="K2633" i="4" s="1"/>
  <c r="A2634" i="4"/>
  <c r="K2634" i="4" s="1"/>
  <c r="A2635" i="4"/>
  <c r="K2635" i="4" s="1"/>
  <c r="A2636" i="4"/>
  <c r="K2636" i="4" s="1"/>
  <c r="A2637" i="4"/>
  <c r="K2637" i="4" s="1"/>
  <c r="A2638" i="4"/>
  <c r="K2638" i="4" s="1"/>
  <c r="A2639" i="4"/>
  <c r="K2639" i="4" s="1"/>
  <c r="A2640" i="4"/>
  <c r="K2640" i="4" s="1"/>
  <c r="A2641" i="4"/>
  <c r="K2641" i="4" s="1"/>
  <c r="A2642" i="4"/>
  <c r="K2642" i="4" s="1"/>
  <c r="A2643" i="4"/>
  <c r="K2643" i="4" s="1"/>
  <c r="A2644" i="4"/>
  <c r="K2644" i="4" s="1"/>
  <c r="A2645" i="4"/>
  <c r="K2645" i="4" s="1"/>
  <c r="A2646" i="4"/>
  <c r="K2646" i="4" s="1"/>
  <c r="A2647" i="4"/>
  <c r="K2647" i="4" s="1"/>
  <c r="A2648" i="4"/>
  <c r="K2648" i="4" s="1"/>
  <c r="A2649" i="4"/>
  <c r="K2649" i="4" s="1"/>
  <c r="A2650" i="4"/>
  <c r="K2650" i="4" s="1"/>
  <c r="A2651" i="4"/>
  <c r="K2651" i="4" s="1"/>
  <c r="A2652" i="4"/>
  <c r="K2652" i="4" s="1"/>
  <c r="A2653" i="4"/>
  <c r="K2653" i="4" s="1"/>
  <c r="A2654" i="4"/>
  <c r="K2654" i="4" s="1"/>
  <c r="A2655" i="4"/>
  <c r="K2655" i="4" s="1"/>
  <c r="A2656" i="4"/>
  <c r="K2656" i="4" s="1"/>
  <c r="A2657" i="4"/>
  <c r="K2657" i="4" s="1"/>
  <c r="A2658" i="4"/>
  <c r="K2658" i="4" s="1"/>
  <c r="A2659" i="4"/>
  <c r="K2659" i="4" s="1"/>
  <c r="A2660" i="4"/>
  <c r="K2660" i="4" s="1"/>
  <c r="A2661" i="4"/>
  <c r="K2661" i="4" s="1"/>
  <c r="A2662" i="4"/>
  <c r="K2662" i="4" s="1"/>
  <c r="A2663" i="4"/>
  <c r="K2663" i="4" s="1"/>
  <c r="A2664" i="4"/>
  <c r="K2664" i="4" s="1"/>
  <c r="A2665" i="4"/>
  <c r="K2665" i="4" s="1"/>
  <c r="A2666" i="4"/>
  <c r="K2666" i="4" s="1"/>
  <c r="A2667" i="4"/>
  <c r="K2667" i="4" s="1"/>
  <c r="A2668" i="4"/>
  <c r="K2668" i="4" s="1"/>
  <c r="A2669" i="4"/>
  <c r="K2669" i="4" s="1"/>
  <c r="A2670" i="4"/>
  <c r="K2670" i="4" s="1"/>
  <c r="A2671" i="4"/>
  <c r="K2671" i="4" s="1"/>
  <c r="A2672" i="4"/>
  <c r="K2672" i="4" s="1"/>
  <c r="A2673" i="4"/>
  <c r="K2673" i="4" s="1"/>
  <c r="A2674" i="4"/>
  <c r="K2674" i="4" s="1"/>
  <c r="A2675" i="4"/>
  <c r="K2675" i="4" s="1"/>
  <c r="A2676" i="4"/>
  <c r="K2676" i="4" s="1"/>
  <c r="A2677" i="4"/>
  <c r="K2677" i="4" s="1"/>
  <c r="A2678" i="4"/>
  <c r="K2678" i="4" s="1"/>
  <c r="A2679" i="4"/>
  <c r="K2679" i="4" s="1"/>
  <c r="A2680" i="4"/>
  <c r="K2680" i="4" s="1"/>
  <c r="A2681" i="4"/>
  <c r="K2681" i="4" s="1"/>
  <c r="A2682" i="4"/>
  <c r="K2682" i="4" s="1"/>
  <c r="A2683" i="4"/>
  <c r="K2683" i="4" s="1"/>
  <c r="A2684" i="4"/>
  <c r="K2684" i="4" s="1"/>
  <c r="A2685" i="4"/>
  <c r="K2685" i="4" s="1"/>
  <c r="A2686" i="4"/>
  <c r="K2686" i="4" s="1"/>
  <c r="A2687" i="4"/>
  <c r="K2687" i="4" s="1"/>
  <c r="A2688" i="4"/>
  <c r="K2688" i="4" s="1"/>
  <c r="A2689" i="4"/>
  <c r="K2689" i="4" s="1"/>
  <c r="A2690" i="4"/>
  <c r="K2690" i="4" s="1"/>
  <c r="A2691" i="4"/>
  <c r="K2691" i="4" s="1"/>
  <c r="A2692" i="4"/>
  <c r="K2692" i="4" s="1"/>
  <c r="A2693" i="4"/>
  <c r="K2693" i="4" s="1"/>
  <c r="A2694" i="4"/>
  <c r="K2694" i="4" s="1"/>
  <c r="A2695" i="4"/>
  <c r="K2695" i="4" s="1"/>
  <c r="A2696" i="4"/>
  <c r="K2696" i="4" s="1"/>
  <c r="A2697" i="4"/>
  <c r="K2697" i="4" s="1"/>
  <c r="A2698" i="4"/>
  <c r="K2698" i="4" s="1"/>
  <c r="A2699" i="4"/>
  <c r="K2699" i="4" s="1"/>
  <c r="A2700" i="4"/>
  <c r="K2700" i="4" s="1"/>
  <c r="A2701" i="4"/>
  <c r="K2701" i="4" s="1"/>
  <c r="A2702" i="4"/>
  <c r="K2702" i="4" s="1"/>
  <c r="A2703" i="4"/>
  <c r="K2703" i="4" s="1"/>
  <c r="A2704" i="4"/>
  <c r="K2704" i="4" s="1"/>
  <c r="A2705" i="4"/>
  <c r="K2705" i="4" s="1"/>
  <c r="A2706" i="4"/>
  <c r="K2706" i="4" s="1"/>
  <c r="A2707" i="4"/>
  <c r="K2707" i="4" s="1"/>
  <c r="A2708" i="4"/>
  <c r="K2708" i="4" s="1"/>
  <c r="A2709" i="4"/>
  <c r="K2709" i="4" s="1"/>
  <c r="A2710" i="4"/>
  <c r="K2710" i="4" s="1"/>
  <c r="A2711" i="4"/>
  <c r="K2711" i="4" s="1"/>
  <c r="A2712" i="4"/>
  <c r="K2712" i="4" s="1"/>
  <c r="A2713" i="4"/>
  <c r="K2713" i="4" s="1"/>
  <c r="A2714" i="4"/>
  <c r="K2714" i="4" s="1"/>
  <c r="A2715" i="4"/>
  <c r="K2715" i="4" s="1"/>
  <c r="A2716" i="4"/>
  <c r="K2716" i="4" s="1"/>
  <c r="A2717" i="4"/>
  <c r="K2717" i="4" s="1"/>
  <c r="A2718" i="4"/>
  <c r="K2718" i="4" s="1"/>
  <c r="A2719" i="4"/>
  <c r="K2719" i="4" s="1"/>
  <c r="A2720" i="4"/>
  <c r="K2720" i="4" s="1"/>
  <c r="A2721" i="4"/>
  <c r="K2721" i="4" s="1"/>
  <c r="A2722" i="4"/>
  <c r="K2722" i="4" s="1"/>
  <c r="A2723" i="4"/>
  <c r="K2723" i="4" s="1"/>
  <c r="A2724" i="4"/>
  <c r="K2724" i="4" s="1"/>
  <c r="A2725" i="4"/>
  <c r="K2725" i="4" s="1"/>
  <c r="A2726" i="4"/>
  <c r="K2726" i="4" s="1"/>
  <c r="A2727" i="4"/>
  <c r="K2727" i="4" s="1"/>
  <c r="A2728" i="4"/>
  <c r="K2728" i="4" s="1"/>
  <c r="A2729" i="4"/>
  <c r="K2729" i="4" s="1"/>
  <c r="A2730" i="4"/>
  <c r="K2730" i="4" s="1"/>
  <c r="A2731" i="4"/>
  <c r="K2731" i="4" s="1"/>
  <c r="A2732" i="4"/>
  <c r="K2732" i="4" s="1"/>
  <c r="A2733" i="4"/>
  <c r="K2733" i="4" s="1"/>
  <c r="A2734" i="4"/>
  <c r="K2734" i="4" s="1"/>
  <c r="A2735" i="4"/>
  <c r="K2735" i="4" s="1"/>
  <c r="A2736" i="4"/>
  <c r="K2736" i="4" s="1"/>
  <c r="A2737" i="4"/>
  <c r="K2737" i="4" s="1"/>
  <c r="A2738" i="4"/>
  <c r="K2738" i="4" s="1"/>
  <c r="A2739" i="4"/>
  <c r="K2739" i="4" s="1"/>
  <c r="A2740" i="4"/>
  <c r="K2740" i="4" s="1"/>
  <c r="A2741" i="4"/>
  <c r="K2741" i="4" s="1"/>
  <c r="A2742" i="4"/>
  <c r="K2742" i="4" s="1"/>
  <c r="A2743" i="4"/>
  <c r="K2743" i="4" s="1"/>
  <c r="A2744" i="4"/>
  <c r="K2744" i="4" s="1"/>
  <c r="A2745" i="4"/>
  <c r="K2745" i="4" s="1"/>
  <c r="A2746" i="4"/>
  <c r="K2746" i="4" s="1"/>
  <c r="A2747" i="4"/>
  <c r="K2747" i="4" s="1"/>
  <c r="A2748" i="4"/>
  <c r="K2748" i="4" s="1"/>
  <c r="A2749" i="4"/>
  <c r="K2749" i="4" s="1"/>
  <c r="A2750" i="4"/>
  <c r="K2750" i="4" s="1"/>
  <c r="A2751" i="4"/>
  <c r="K2751" i="4" s="1"/>
  <c r="A2752" i="4"/>
  <c r="K2752" i="4" s="1"/>
  <c r="A2753" i="4"/>
  <c r="K2753" i="4" s="1"/>
  <c r="A2754" i="4"/>
  <c r="K2754" i="4" s="1"/>
  <c r="A2755" i="4"/>
  <c r="K2755" i="4" s="1"/>
  <c r="A2756" i="4"/>
  <c r="K2756" i="4" s="1"/>
  <c r="A2757" i="4"/>
  <c r="K2757" i="4" s="1"/>
  <c r="A2758" i="4"/>
  <c r="K2758" i="4" s="1"/>
  <c r="A2759" i="4"/>
  <c r="K2759" i="4" s="1"/>
  <c r="A2760" i="4"/>
  <c r="K2760" i="4" s="1"/>
  <c r="A2761" i="4"/>
  <c r="K2761" i="4" s="1"/>
  <c r="A2762" i="4"/>
  <c r="K2762" i="4" s="1"/>
  <c r="A2763" i="4"/>
  <c r="K2763" i="4" s="1"/>
  <c r="A2764" i="4"/>
  <c r="K2764" i="4" s="1"/>
  <c r="A2765" i="4"/>
  <c r="K2765" i="4" s="1"/>
  <c r="A2766" i="4"/>
  <c r="K2766" i="4" s="1"/>
  <c r="A2767" i="4"/>
  <c r="K2767" i="4" s="1"/>
  <c r="A2768" i="4"/>
  <c r="K2768" i="4" s="1"/>
  <c r="A2769" i="4"/>
  <c r="K2769" i="4" s="1"/>
  <c r="A2770" i="4"/>
  <c r="K2770" i="4" s="1"/>
  <c r="A2771" i="4"/>
  <c r="K2771" i="4" s="1"/>
  <c r="A2772" i="4"/>
  <c r="K2772" i="4" s="1"/>
  <c r="A2773" i="4"/>
  <c r="K2773" i="4" s="1"/>
  <c r="A2774" i="4"/>
  <c r="K2774" i="4" s="1"/>
  <c r="A2775" i="4"/>
  <c r="K2775" i="4" s="1"/>
  <c r="A2776" i="4"/>
  <c r="K2776" i="4" s="1"/>
  <c r="A2777" i="4"/>
  <c r="K2777" i="4" s="1"/>
  <c r="A2778" i="4"/>
  <c r="K2778" i="4" s="1"/>
  <c r="A2779" i="4"/>
  <c r="K2779" i="4" s="1"/>
  <c r="A2780" i="4"/>
  <c r="K2780" i="4" s="1"/>
  <c r="A2781" i="4"/>
  <c r="K2781" i="4" s="1"/>
  <c r="A2782" i="4"/>
  <c r="K2782" i="4" s="1"/>
  <c r="A2783" i="4"/>
  <c r="K2783" i="4" s="1"/>
  <c r="A2784" i="4"/>
  <c r="K2784" i="4" s="1"/>
  <c r="A2785" i="4"/>
  <c r="K2785" i="4" s="1"/>
  <c r="A2786" i="4"/>
  <c r="K2786" i="4" s="1"/>
  <c r="A2787" i="4"/>
  <c r="K2787" i="4" s="1"/>
  <c r="A2788" i="4"/>
  <c r="K2788" i="4" s="1"/>
  <c r="A2789" i="4"/>
  <c r="K2789" i="4" s="1"/>
  <c r="A2790" i="4"/>
  <c r="K2790" i="4" s="1"/>
  <c r="A2791" i="4"/>
  <c r="K2791" i="4" s="1"/>
  <c r="A2792" i="4"/>
  <c r="K2792" i="4" s="1"/>
  <c r="A2793" i="4"/>
  <c r="K2793" i="4" s="1"/>
  <c r="A2794" i="4"/>
  <c r="K2794" i="4" s="1"/>
  <c r="A2795" i="4"/>
  <c r="K2795" i="4" s="1"/>
  <c r="A2796" i="4"/>
  <c r="K2796" i="4" s="1"/>
  <c r="A2797" i="4"/>
  <c r="K2797" i="4" s="1"/>
  <c r="A2798" i="4"/>
  <c r="K2798" i="4" s="1"/>
  <c r="A2799" i="4"/>
  <c r="K2799" i="4" s="1"/>
  <c r="A2800" i="4"/>
  <c r="K2800" i="4" s="1"/>
  <c r="A2801" i="4"/>
  <c r="K2801" i="4" s="1"/>
  <c r="A2802" i="4"/>
  <c r="K2802" i="4" s="1"/>
  <c r="A2803" i="4"/>
  <c r="K2803" i="4" s="1"/>
  <c r="A2804" i="4"/>
  <c r="K2804" i="4" s="1"/>
  <c r="A2805" i="4"/>
  <c r="K2805" i="4" s="1"/>
  <c r="A2806" i="4"/>
  <c r="K2806" i="4" s="1"/>
  <c r="A2807" i="4"/>
  <c r="K2807" i="4" s="1"/>
  <c r="A2808" i="4"/>
  <c r="K2808" i="4" s="1"/>
  <c r="A2809" i="4"/>
  <c r="K2809" i="4" s="1"/>
  <c r="A2810" i="4"/>
  <c r="K2810" i="4" s="1"/>
  <c r="A2811" i="4"/>
  <c r="K2811" i="4" s="1"/>
  <c r="A2812" i="4"/>
  <c r="K2812" i="4" s="1"/>
  <c r="A2813" i="4"/>
  <c r="K2813" i="4" s="1"/>
  <c r="A2814" i="4"/>
  <c r="K2814" i="4" s="1"/>
  <c r="A2815" i="4"/>
  <c r="K2815" i="4" s="1"/>
  <c r="A2816" i="4"/>
  <c r="K2816" i="4" s="1"/>
  <c r="A2817" i="4"/>
  <c r="K2817" i="4" s="1"/>
  <c r="A2818" i="4"/>
  <c r="K2818" i="4" s="1"/>
  <c r="A2819" i="4"/>
  <c r="K2819" i="4" s="1"/>
  <c r="A2820" i="4"/>
  <c r="K2820" i="4" s="1"/>
  <c r="A2821" i="4"/>
  <c r="K2821" i="4" s="1"/>
  <c r="A2822" i="4"/>
  <c r="K2822" i="4" s="1"/>
  <c r="A2823" i="4"/>
  <c r="K2823" i="4" s="1"/>
  <c r="A2824" i="4"/>
  <c r="K2824" i="4" s="1"/>
  <c r="A2825" i="4"/>
  <c r="K2825" i="4" s="1"/>
  <c r="A2826" i="4"/>
  <c r="K2826" i="4" s="1"/>
  <c r="A2827" i="4"/>
  <c r="K2827" i="4" s="1"/>
  <c r="A2828" i="4"/>
  <c r="K2828" i="4" s="1"/>
  <c r="A2829" i="4"/>
  <c r="K2829" i="4" s="1"/>
  <c r="A2830" i="4"/>
  <c r="K2830" i="4" s="1"/>
  <c r="A2831" i="4"/>
  <c r="K2831" i="4" s="1"/>
  <c r="A2832" i="4"/>
  <c r="K2832" i="4" s="1"/>
  <c r="A2833" i="4"/>
  <c r="K2833" i="4" s="1"/>
  <c r="A2834" i="4"/>
  <c r="K2834" i="4" s="1"/>
  <c r="A2835" i="4"/>
  <c r="K2835" i="4" s="1"/>
  <c r="A2836" i="4"/>
  <c r="K2836" i="4" s="1"/>
  <c r="A2837" i="4"/>
  <c r="K2837" i="4" s="1"/>
  <c r="A2838" i="4"/>
  <c r="K2838" i="4" s="1"/>
  <c r="A2839" i="4"/>
  <c r="K2839" i="4" s="1"/>
  <c r="A2840" i="4"/>
  <c r="K2840" i="4" s="1"/>
  <c r="A2841" i="4"/>
  <c r="K2841" i="4" s="1"/>
  <c r="A2842" i="4"/>
  <c r="K2842" i="4" s="1"/>
  <c r="A2843" i="4"/>
  <c r="K2843" i="4" s="1"/>
  <c r="A2844" i="4"/>
  <c r="K2844" i="4" s="1"/>
  <c r="A2845" i="4"/>
  <c r="K2845" i="4" s="1"/>
  <c r="A2846" i="4"/>
  <c r="K2846" i="4" s="1"/>
  <c r="A2847" i="4"/>
  <c r="K2847" i="4" s="1"/>
  <c r="A2848" i="4"/>
  <c r="K2848" i="4" s="1"/>
  <c r="A2849" i="4"/>
  <c r="K2849" i="4" s="1"/>
  <c r="A2850" i="4"/>
  <c r="K2850" i="4" s="1"/>
  <c r="A2851" i="4"/>
  <c r="K2851" i="4" s="1"/>
  <c r="A2852" i="4"/>
  <c r="K2852" i="4" s="1"/>
  <c r="A2853" i="4"/>
  <c r="K2853" i="4" s="1"/>
  <c r="A2854" i="4"/>
  <c r="K2854" i="4" s="1"/>
  <c r="A2855" i="4"/>
  <c r="K2855" i="4" s="1"/>
  <c r="A2856" i="4"/>
  <c r="K2856" i="4" s="1"/>
  <c r="A2857" i="4"/>
  <c r="K2857" i="4" s="1"/>
  <c r="A2858" i="4"/>
  <c r="K2858" i="4" s="1"/>
  <c r="A2859" i="4"/>
  <c r="K2859" i="4" s="1"/>
  <c r="A2860" i="4"/>
  <c r="K2860" i="4" s="1"/>
  <c r="A2861" i="4"/>
  <c r="K2861" i="4" s="1"/>
  <c r="A2862" i="4"/>
  <c r="K2862" i="4" s="1"/>
  <c r="A2863" i="4"/>
  <c r="K2863" i="4" s="1"/>
  <c r="A2864" i="4"/>
  <c r="K2864" i="4" s="1"/>
  <c r="A2865" i="4"/>
  <c r="K2865" i="4" s="1"/>
  <c r="A2866" i="4"/>
  <c r="K2866" i="4" s="1"/>
  <c r="A2867" i="4"/>
  <c r="K2867" i="4" s="1"/>
  <c r="A2868" i="4"/>
  <c r="K2868" i="4" s="1"/>
  <c r="A2869" i="4"/>
  <c r="K2869" i="4" s="1"/>
  <c r="A2870" i="4"/>
  <c r="K2870" i="4" s="1"/>
  <c r="A2871" i="4"/>
  <c r="K2871" i="4" s="1"/>
  <c r="A2872" i="4"/>
  <c r="K2872" i="4" s="1"/>
  <c r="A2873" i="4"/>
  <c r="K2873" i="4" s="1"/>
  <c r="A2874" i="4"/>
  <c r="K2874" i="4" s="1"/>
  <c r="A2875" i="4"/>
  <c r="K2875" i="4" s="1"/>
  <c r="A2876" i="4"/>
  <c r="K2876" i="4" s="1"/>
  <c r="A2877" i="4"/>
  <c r="K2877" i="4" s="1"/>
  <c r="A2878" i="4"/>
  <c r="K2878" i="4" s="1"/>
  <c r="A2879" i="4"/>
  <c r="K2879" i="4" s="1"/>
  <c r="A2880" i="4"/>
  <c r="K2880" i="4" s="1"/>
  <c r="A2881" i="4"/>
  <c r="K2881" i="4" s="1"/>
  <c r="A2882" i="4"/>
  <c r="K2882" i="4" s="1"/>
  <c r="A2883" i="4"/>
  <c r="K2883" i="4" s="1"/>
  <c r="A2884" i="4"/>
  <c r="K2884" i="4" s="1"/>
  <c r="A2885" i="4"/>
  <c r="K2885" i="4" s="1"/>
  <c r="A2886" i="4"/>
  <c r="K2886" i="4" s="1"/>
  <c r="A2887" i="4"/>
  <c r="K2887" i="4" s="1"/>
  <c r="A2888" i="4"/>
  <c r="K2888" i="4" s="1"/>
  <c r="A2889" i="4"/>
  <c r="K2889" i="4" s="1"/>
  <c r="A2890" i="4"/>
  <c r="K2890" i="4" s="1"/>
  <c r="A2891" i="4"/>
  <c r="K2891" i="4" s="1"/>
  <c r="A2892" i="4"/>
  <c r="K2892" i="4" s="1"/>
  <c r="A2893" i="4"/>
  <c r="K2893" i="4" s="1"/>
  <c r="A2894" i="4"/>
  <c r="K2894" i="4" s="1"/>
  <c r="A2895" i="4"/>
  <c r="K2895" i="4" s="1"/>
  <c r="A2896" i="4"/>
  <c r="K2896" i="4" s="1"/>
  <c r="A2897" i="4"/>
  <c r="K2897" i="4" s="1"/>
  <c r="A2898" i="4"/>
  <c r="K2898" i="4" s="1"/>
  <c r="A2899" i="4"/>
  <c r="K2899" i="4" s="1"/>
  <c r="A2900" i="4"/>
  <c r="K2900" i="4" s="1"/>
  <c r="A2901" i="4"/>
  <c r="K2901" i="4" s="1"/>
  <c r="A2902" i="4"/>
  <c r="K2902" i="4" s="1"/>
  <c r="A2903" i="4"/>
  <c r="K2903" i="4" s="1"/>
  <c r="A2904" i="4"/>
  <c r="K2904" i="4" s="1"/>
  <c r="A2905" i="4"/>
  <c r="K2905" i="4" s="1"/>
  <c r="A2906" i="4"/>
  <c r="K2906" i="4" s="1"/>
  <c r="A2907" i="4"/>
  <c r="K2907" i="4" s="1"/>
  <c r="A2908" i="4"/>
  <c r="K2908" i="4" s="1"/>
  <c r="A2909" i="4"/>
  <c r="K2909" i="4" s="1"/>
  <c r="A2910" i="4"/>
  <c r="K2910" i="4" s="1"/>
  <c r="A2911" i="4"/>
  <c r="K2911" i="4" s="1"/>
  <c r="A2912" i="4"/>
  <c r="K2912" i="4" s="1"/>
  <c r="A2913" i="4"/>
  <c r="K2913" i="4" s="1"/>
  <c r="A2914" i="4"/>
  <c r="K2914" i="4" s="1"/>
  <c r="A2915" i="4"/>
  <c r="K2915" i="4" s="1"/>
  <c r="A2916" i="4"/>
  <c r="K2916" i="4" s="1"/>
  <c r="A2917" i="4"/>
  <c r="K2917" i="4" s="1"/>
  <c r="A2918" i="4"/>
  <c r="K2918" i="4" s="1"/>
  <c r="A2919" i="4"/>
  <c r="K2919" i="4" s="1"/>
  <c r="A2920" i="4"/>
  <c r="K2920" i="4" s="1"/>
  <c r="A2921" i="4"/>
  <c r="K2921" i="4" s="1"/>
  <c r="A2922" i="4"/>
  <c r="K2922" i="4" s="1"/>
  <c r="A2923" i="4"/>
  <c r="K2923" i="4" s="1"/>
  <c r="A2924" i="4"/>
  <c r="K2924" i="4" s="1"/>
  <c r="A2925" i="4"/>
  <c r="K2925" i="4" s="1"/>
  <c r="A2926" i="4"/>
  <c r="K2926" i="4" s="1"/>
  <c r="A2927" i="4"/>
  <c r="K2927" i="4" s="1"/>
  <c r="A2928" i="4"/>
  <c r="K2928" i="4" s="1"/>
  <c r="A2929" i="4"/>
  <c r="K2929" i="4" s="1"/>
  <c r="A2930" i="4"/>
  <c r="K2930" i="4" s="1"/>
  <c r="A2931" i="4"/>
  <c r="K2931" i="4" s="1"/>
  <c r="A2932" i="4"/>
  <c r="K2932" i="4" s="1"/>
  <c r="A2933" i="4"/>
  <c r="K2933" i="4" s="1"/>
  <c r="A2934" i="4"/>
  <c r="K2934" i="4" s="1"/>
  <c r="A2935" i="4"/>
  <c r="K2935" i="4" s="1"/>
  <c r="A2936" i="4"/>
  <c r="K2936" i="4" s="1"/>
  <c r="A2937" i="4"/>
  <c r="K2937" i="4" s="1"/>
  <c r="A2938" i="4"/>
  <c r="K2938" i="4" s="1"/>
  <c r="A2939" i="4"/>
  <c r="K2939" i="4" s="1"/>
  <c r="A2940" i="4"/>
  <c r="K2940" i="4" s="1"/>
  <c r="A2941" i="4"/>
  <c r="K2941" i="4" s="1"/>
  <c r="A2942" i="4"/>
  <c r="K2942" i="4" s="1"/>
  <c r="A2943" i="4"/>
  <c r="K2943" i="4" s="1"/>
  <c r="A2944" i="4"/>
  <c r="K2944" i="4" s="1"/>
  <c r="A2945" i="4"/>
  <c r="K2945" i="4" s="1"/>
  <c r="A2946" i="4"/>
  <c r="K2946" i="4" s="1"/>
  <c r="A2947" i="4"/>
  <c r="K2947" i="4" s="1"/>
  <c r="A2948" i="4"/>
  <c r="K2948" i="4" s="1"/>
  <c r="A2949" i="4"/>
  <c r="K2949" i="4" s="1"/>
  <c r="A2950" i="4"/>
  <c r="K2950" i="4" s="1"/>
  <c r="A2951" i="4"/>
  <c r="K2951" i="4" s="1"/>
  <c r="A2952" i="4"/>
  <c r="K2952" i="4" s="1"/>
  <c r="A2953" i="4"/>
  <c r="K2953" i="4" s="1"/>
  <c r="A2954" i="4"/>
  <c r="K2954" i="4" s="1"/>
  <c r="A2955" i="4"/>
  <c r="K2955" i="4" s="1"/>
  <c r="A2956" i="4"/>
  <c r="K2956" i="4" s="1"/>
  <c r="A2957" i="4"/>
  <c r="K2957" i="4" s="1"/>
  <c r="A2958" i="4"/>
  <c r="K2958" i="4" s="1"/>
  <c r="A2959" i="4"/>
  <c r="K2959" i="4" s="1"/>
  <c r="A2960" i="4"/>
  <c r="K2960" i="4" s="1"/>
  <c r="A2961" i="4"/>
  <c r="K2961" i="4" s="1"/>
  <c r="A2962" i="4"/>
  <c r="K2962" i="4" s="1"/>
  <c r="A2963" i="4"/>
  <c r="K2963" i="4" s="1"/>
  <c r="A2964" i="4"/>
  <c r="K2964" i="4" s="1"/>
  <c r="A2965" i="4"/>
  <c r="K2965" i="4" s="1"/>
  <c r="A2966" i="4"/>
  <c r="K2966" i="4" s="1"/>
  <c r="A2967" i="4"/>
  <c r="K2967" i="4" s="1"/>
  <c r="A2968" i="4"/>
  <c r="K2968" i="4" s="1"/>
  <c r="A2969" i="4"/>
  <c r="K2969" i="4" s="1"/>
  <c r="A2970" i="4"/>
  <c r="K2970" i="4" s="1"/>
  <c r="A2971" i="4"/>
  <c r="K2971" i="4" s="1"/>
  <c r="A2972" i="4"/>
  <c r="K2972" i="4" s="1"/>
  <c r="A2973" i="4"/>
  <c r="K2973" i="4" s="1"/>
  <c r="A2974" i="4"/>
  <c r="K2974" i="4" s="1"/>
  <c r="A2975" i="4"/>
  <c r="K2975" i="4" s="1"/>
  <c r="A2976" i="4"/>
  <c r="K2976" i="4" s="1"/>
  <c r="A2977" i="4"/>
  <c r="K2977" i="4" s="1"/>
  <c r="A2978" i="4"/>
  <c r="K2978" i="4" s="1"/>
  <c r="A2979" i="4"/>
  <c r="K2979" i="4" s="1"/>
  <c r="A2980" i="4"/>
  <c r="K2980" i="4" s="1"/>
  <c r="A2981" i="4"/>
  <c r="K2981" i="4" s="1"/>
  <c r="A2982" i="4"/>
  <c r="K2982" i="4" s="1"/>
  <c r="A2983" i="4"/>
  <c r="K2983" i="4" s="1"/>
  <c r="A2984" i="4"/>
  <c r="K2984" i="4" s="1"/>
  <c r="A2985" i="4"/>
  <c r="K2985" i="4" s="1"/>
  <c r="A2986" i="4"/>
  <c r="K2986" i="4" s="1"/>
  <c r="A2987" i="4"/>
  <c r="K2987" i="4" s="1"/>
  <c r="A2988" i="4"/>
  <c r="K2988" i="4" s="1"/>
  <c r="A2989" i="4"/>
  <c r="K2989" i="4" s="1"/>
  <c r="A2990" i="4"/>
  <c r="K2990" i="4" s="1"/>
  <c r="A2991" i="4"/>
  <c r="K2991" i="4" s="1"/>
  <c r="A2992" i="4"/>
  <c r="K2992" i="4" s="1"/>
  <c r="A2993" i="4"/>
  <c r="K2993" i="4" s="1"/>
  <c r="A2994" i="4"/>
  <c r="K2994" i="4" s="1"/>
  <c r="A2995" i="4"/>
  <c r="K2995" i="4" s="1"/>
  <c r="A2996" i="4"/>
  <c r="K2996" i="4" s="1"/>
  <c r="A2997" i="4"/>
  <c r="K2997" i="4" s="1"/>
  <c r="A2998" i="4"/>
  <c r="K2998" i="4" s="1"/>
  <c r="A2999" i="4"/>
  <c r="K2999" i="4" s="1"/>
  <c r="A3000" i="4"/>
  <c r="K3000" i="4" s="1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50" i="4"/>
  <c r="B451" i="4"/>
  <c r="B452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B484" i="4"/>
  <c r="B485" i="4"/>
  <c r="B486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B508" i="4"/>
  <c r="B509" i="4"/>
  <c r="B510" i="4"/>
  <c r="B511" i="4"/>
  <c r="B512" i="4"/>
  <c r="B513" i="4"/>
  <c r="B514" i="4"/>
  <c r="B515" i="4"/>
  <c r="B516" i="4"/>
  <c r="B517" i="4"/>
  <c r="B518" i="4"/>
  <c r="B519" i="4"/>
  <c r="B520" i="4"/>
  <c r="B521" i="4"/>
  <c r="B522" i="4"/>
  <c r="B523" i="4"/>
  <c r="B524" i="4"/>
  <c r="B525" i="4"/>
  <c r="B526" i="4"/>
  <c r="B527" i="4"/>
  <c r="B528" i="4"/>
  <c r="B529" i="4"/>
  <c r="B530" i="4"/>
  <c r="B531" i="4"/>
  <c r="B532" i="4"/>
  <c r="B533" i="4"/>
  <c r="B534" i="4"/>
  <c r="B535" i="4"/>
  <c r="B536" i="4"/>
  <c r="B537" i="4"/>
  <c r="B538" i="4"/>
  <c r="B539" i="4"/>
  <c r="B540" i="4"/>
  <c r="B541" i="4"/>
  <c r="B542" i="4"/>
  <c r="B543" i="4"/>
  <c r="B544" i="4"/>
  <c r="B545" i="4"/>
  <c r="B546" i="4"/>
  <c r="B547" i="4"/>
  <c r="B548" i="4"/>
  <c r="B549" i="4"/>
  <c r="B550" i="4"/>
  <c r="B551" i="4"/>
  <c r="B552" i="4"/>
  <c r="B553" i="4"/>
  <c r="B554" i="4"/>
  <c r="B555" i="4"/>
  <c r="B556" i="4"/>
  <c r="B557" i="4"/>
  <c r="B558" i="4"/>
  <c r="B559" i="4"/>
  <c r="B560" i="4"/>
  <c r="B561" i="4"/>
  <c r="B562" i="4"/>
  <c r="B563" i="4"/>
  <c r="B564" i="4"/>
  <c r="B565" i="4"/>
  <c r="B566" i="4"/>
  <c r="B567" i="4"/>
  <c r="B568" i="4"/>
  <c r="B569" i="4"/>
  <c r="B570" i="4"/>
  <c r="B571" i="4"/>
  <c r="B572" i="4"/>
  <c r="B573" i="4"/>
  <c r="B574" i="4"/>
  <c r="B575" i="4"/>
  <c r="B576" i="4"/>
  <c r="B577" i="4"/>
  <c r="B578" i="4"/>
  <c r="B579" i="4"/>
  <c r="B580" i="4"/>
  <c r="B581" i="4"/>
  <c r="B582" i="4"/>
  <c r="B583" i="4"/>
  <c r="B584" i="4"/>
  <c r="B585" i="4"/>
  <c r="B586" i="4"/>
  <c r="B587" i="4"/>
  <c r="B588" i="4"/>
  <c r="B589" i="4"/>
  <c r="B590" i="4"/>
  <c r="B591" i="4"/>
  <c r="B592" i="4"/>
  <c r="B593" i="4"/>
  <c r="B594" i="4"/>
  <c r="B595" i="4"/>
  <c r="B596" i="4"/>
  <c r="B597" i="4"/>
  <c r="B598" i="4"/>
  <c r="B599" i="4"/>
  <c r="B600" i="4"/>
  <c r="B601" i="4"/>
  <c r="B602" i="4"/>
  <c r="B603" i="4"/>
  <c r="B604" i="4"/>
  <c r="B605" i="4"/>
  <c r="B606" i="4"/>
  <c r="B607" i="4"/>
  <c r="B608" i="4"/>
  <c r="B609" i="4"/>
  <c r="B610" i="4"/>
  <c r="B611" i="4"/>
  <c r="B612" i="4"/>
  <c r="B613" i="4"/>
  <c r="B614" i="4"/>
  <c r="B615" i="4"/>
  <c r="B616" i="4"/>
  <c r="B617" i="4"/>
  <c r="B618" i="4"/>
  <c r="B619" i="4"/>
  <c r="B620" i="4"/>
  <c r="B621" i="4"/>
  <c r="B622" i="4"/>
  <c r="B623" i="4"/>
  <c r="B624" i="4"/>
  <c r="B625" i="4"/>
  <c r="B626" i="4"/>
  <c r="B627" i="4"/>
  <c r="B628" i="4"/>
  <c r="B629" i="4"/>
  <c r="B630" i="4"/>
  <c r="B631" i="4"/>
  <c r="B632" i="4"/>
  <c r="B633" i="4"/>
  <c r="B634" i="4"/>
  <c r="B635" i="4"/>
  <c r="B636" i="4"/>
  <c r="B637" i="4"/>
  <c r="B638" i="4"/>
  <c r="B639" i="4"/>
  <c r="B640" i="4"/>
  <c r="B641" i="4"/>
  <c r="B642" i="4"/>
  <c r="B643" i="4"/>
  <c r="B644" i="4"/>
  <c r="B645" i="4"/>
  <c r="B646" i="4"/>
  <c r="B647" i="4"/>
  <c r="B648" i="4"/>
  <c r="B649" i="4"/>
  <c r="B650" i="4"/>
  <c r="B651" i="4"/>
  <c r="B652" i="4"/>
  <c r="B653" i="4"/>
  <c r="B654" i="4"/>
  <c r="B655" i="4"/>
  <c r="B656" i="4"/>
  <c r="B657" i="4"/>
  <c r="B658" i="4"/>
  <c r="B659" i="4"/>
  <c r="B660" i="4"/>
  <c r="B661" i="4"/>
  <c r="B662" i="4"/>
  <c r="B663" i="4"/>
  <c r="B664" i="4"/>
  <c r="B665" i="4"/>
  <c r="B666" i="4"/>
  <c r="B667" i="4"/>
  <c r="B668" i="4"/>
  <c r="B669" i="4"/>
  <c r="B670" i="4"/>
  <c r="B671" i="4"/>
  <c r="B672" i="4"/>
  <c r="B673" i="4"/>
  <c r="B674" i="4"/>
  <c r="B675" i="4"/>
  <c r="B676" i="4"/>
  <c r="B677" i="4"/>
  <c r="B678" i="4"/>
  <c r="B679" i="4"/>
  <c r="B680" i="4"/>
  <c r="B681" i="4"/>
  <c r="B682" i="4"/>
  <c r="B683" i="4"/>
  <c r="B684" i="4"/>
  <c r="B685" i="4"/>
  <c r="B686" i="4"/>
  <c r="B687" i="4"/>
  <c r="B688" i="4"/>
  <c r="B689" i="4"/>
  <c r="B690" i="4"/>
  <c r="B691" i="4"/>
  <c r="B692" i="4"/>
  <c r="B693" i="4"/>
  <c r="B694" i="4"/>
  <c r="B695" i="4"/>
  <c r="B696" i="4"/>
  <c r="B697" i="4"/>
  <c r="B698" i="4"/>
  <c r="B699" i="4"/>
  <c r="B700" i="4"/>
  <c r="B701" i="4"/>
  <c r="B702" i="4"/>
  <c r="B703" i="4"/>
  <c r="B704" i="4"/>
  <c r="B705" i="4"/>
  <c r="B706" i="4"/>
  <c r="B707" i="4"/>
  <c r="B708" i="4"/>
  <c r="B709" i="4"/>
  <c r="B710" i="4"/>
  <c r="B711" i="4"/>
  <c r="B712" i="4"/>
  <c r="B713" i="4"/>
  <c r="B714" i="4"/>
  <c r="B715" i="4"/>
  <c r="B716" i="4"/>
  <c r="B717" i="4"/>
  <c r="B718" i="4"/>
  <c r="B719" i="4"/>
  <c r="B720" i="4"/>
  <c r="B721" i="4"/>
  <c r="B722" i="4"/>
  <c r="B723" i="4"/>
  <c r="B724" i="4"/>
  <c r="B725" i="4"/>
  <c r="B726" i="4"/>
  <c r="B727" i="4"/>
  <c r="B728" i="4"/>
  <c r="B729" i="4"/>
  <c r="B730" i="4"/>
  <c r="B731" i="4"/>
  <c r="B732" i="4"/>
  <c r="B733" i="4"/>
  <c r="B734" i="4"/>
  <c r="B735" i="4"/>
  <c r="B736" i="4"/>
  <c r="B737" i="4"/>
  <c r="B738" i="4"/>
  <c r="B739" i="4"/>
  <c r="B740" i="4"/>
  <c r="B741" i="4"/>
  <c r="B742" i="4"/>
  <c r="B743" i="4"/>
  <c r="B744" i="4"/>
  <c r="B745" i="4"/>
  <c r="B746" i="4"/>
  <c r="B747" i="4"/>
  <c r="B748" i="4"/>
  <c r="B749" i="4"/>
  <c r="B750" i="4"/>
  <c r="B751" i="4"/>
  <c r="B752" i="4"/>
  <c r="B753" i="4"/>
  <c r="B754" i="4"/>
  <c r="B755" i="4"/>
  <c r="B756" i="4"/>
  <c r="B757" i="4"/>
  <c r="B758" i="4"/>
  <c r="B759" i="4"/>
  <c r="B760" i="4"/>
  <c r="B761" i="4"/>
  <c r="B762" i="4"/>
  <c r="B763" i="4"/>
  <c r="B764" i="4"/>
  <c r="B765" i="4"/>
  <c r="B766" i="4"/>
  <c r="B767" i="4"/>
  <c r="B768" i="4"/>
  <c r="B769" i="4"/>
  <c r="B770" i="4"/>
  <c r="B771" i="4"/>
  <c r="B772" i="4"/>
  <c r="B773" i="4"/>
  <c r="B774" i="4"/>
  <c r="B775" i="4"/>
  <c r="B776" i="4"/>
  <c r="B777" i="4"/>
  <c r="B778" i="4"/>
  <c r="B779" i="4"/>
  <c r="B780" i="4"/>
  <c r="B781" i="4"/>
  <c r="B782" i="4"/>
  <c r="B783" i="4"/>
  <c r="B784" i="4"/>
  <c r="B785" i="4"/>
  <c r="B786" i="4"/>
  <c r="B787" i="4"/>
  <c r="B788" i="4"/>
  <c r="B789" i="4"/>
  <c r="B790" i="4"/>
  <c r="B791" i="4"/>
  <c r="B792" i="4"/>
  <c r="B793" i="4"/>
  <c r="B794" i="4"/>
  <c r="B795" i="4"/>
  <c r="B796" i="4"/>
  <c r="B797" i="4"/>
  <c r="B798" i="4"/>
  <c r="B799" i="4"/>
  <c r="B800" i="4"/>
  <c r="B801" i="4"/>
  <c r="B802" i="4"/>
  <c r="B803" i="4"/>
  <c r="B804" i="4"/>
  <c r="B805" i="4"/>
  <c r="B806" i="4"/>
  <c r="B807" i="4"/>
  <c r="B808" i="4"/>
  <c r="B809" i="4"/>
  <c r="B810" i="4"/>
  <c r="B811" i="4"/>
  <c r="B812" i="4"/>
  <c r="B813" i="4"/>
  <c r="B814" i="4"/>
  <c r="B815" i="4"/>
  <c r="B816" i="4"/>
  <c r="B817" i="4"/>
  <c r="B818" i="4"/>
  <c r="B819" i="4"/>
  <c r="B820" i="4"/>
  <c r="B821" i="4"/>
  <c r="B822" i="4"/>
  <c r="B823" i="4"/>
  <c r="B824" i="4"/>
  <c r="B825" i="4"/>
  <c r="B826" i="4"/>
  <c r="B827" i="4"/>
  <c r="B828" i="4"/>
  <c r="B829" i="4"/>
  <c r="B830" i="4"/>
  <c r="B831" i="4"/>
  <c r="B832" i="4"/>
  <c r="B833" i="4"/>
  <c r="B834" i="4"/>
  <c r="B835" i="4"/>
  <c r="B836" i="4"/>
  <c r="B837" i="4"/>
  <c r="B838" i="4"/>
  <c r="B839" i="4"/>
  <c r="B840" i="4"/>
  <c r="B841" i="4"/>
  <c r="B842" i="4"/>
  <c r="B843" i="4"/>
  <c r="B844" i="4"/>
  <c r="B845" i="4"/>
  <c r="B846" i="4"/>
  <c r="B847" i="4"/>
  <c r="B848" i="4"/>
  <c r="B849" i="4"/>
  <c r="B850" i="4"/>
  <c r="B851" i="4"/>
  <c r="B852" i="4"/>
  <c r="B853" i="4"/>
  <c r="B854" i="4"/>
  <c r="B855" i="4"/>
  <c r="B856" i="4"/>
  <c r="B857" i="4"/>
  <c r="B858" i="4"/>
  <c r="B859" i="4"/>
  <c r="B860" i="4"/>
  <c r="B861" i="4"/>
  <c r="B862" i="4"/>
  <c r="B863" i="4"/>
  <c r="B864" i="4"/>
  <c r="B865" i="4"/>
  <c r="B866" i="4"/>
  <c r="B867" i="4"/>
  <c r="B868" i="4"/>
  <c r="B869" i="4"/>
  <c r="B870" i="4"/>
  <c r="B871" i="4"/>
  <c r="B872" i="4"/>
  <c r="B873" i="4"/>
  <c r="B874" i="4"/>
  <c r="B875" i="4"/>
  <c r="B876" i="4"/>
  <c r="B877" i="4"/>
  <c r="B878" i="4"/>
  <c r="B879" i="4"/>
  <c r="B880" i="4"/>
  <c r="B881" i="4"/>
  <c r="B882" i="4"/>
  <c r="B883" i="4"/>
  <c r="B884" i="4"/>
  <c r="B885" i="4"/>
  <c r="B886" i="4"/>
  <c r="B887" i="4"/>
  <c r="B888" i="4"/>
  <c r="B889" i="4"/>
  <c r="B890" i="4"/>
  <c r="B891" i="4"/>
  <c r="B892" i="4"/>
  <c r="B893" i="4"/>
  <c r="B894" i="4"/>
  <c r="B895" i="4"/>
  <c r="B896" i="4"/>
  <c r="B897" i="4"/>
  <c r="B898" i="4"/>
  <c r="B899" i="4"/>
  <c r="B900" i="4"/>
  <c r="B901" i="4"/>
  <c r="B902" i="4"/>
  <c r="B903" i="4"/>
  <c r="B904" i="4"/>
  <c r="B905" i="4"/>
  <c r="B906" i="4"/>
  <c r="B907" i="4"/>
  <c r="B908" i="4"/>
  <c r="B909" i="4"/>
  <c r="B910" i="4"/>
  <c r="B911" i="4"/>
  <c r="B912" i="4"/>
  <c r="B913" i="4"/>
  <c r="B914" i="4"/>
  <c r="B915" i="4"/>
  <c r="B916" i="4"/>
  <c r="B917" i="4"/>
  <c r="B918" i="4"/>
  <c r="B919" i="4"/>
  <c r="B920" i="4"/>
  <c r="B921" i="4"/>
  <c r="B922" i="4"/>
  <c r="B923" i="4"/>
  <c r="B924" i="4"/>
  <c r="B925" i="4"/>
  <c r="B926" i="4"/>
  <c r="B927" i="4"/>
  <c r="B928" i="4"/>
  <c r="B929" i="4"/>
  <c r="B930" i="4"/>
  <c r="B931" i="4"/>
  <c r="B932" i="4"/>
  <c r="B933" i="4"/>
  <c r="B934" i="4"/>
  <c r="B935" i="4"/>
  <c r="B936" i="4"/>
  <c r="B937" i="4"/>
  <c r="B938" i="4"/>
  <c r="B939" i="4"/>
  <c r="B940" i="4"/>
  <c r="B941" i="4"/>
  <c r="B942" i="4"/>
  <c r="B943" i="4"/>
  <c r="B944" i="4"/>
  <c r="B945" i="4"/>
  <c r="B946" i="4"/>
  <c r="B947" i="4"/>
  <c r="B948" i="4"/>
  <c r="B949" i="4"/>
  <c r="B950" i="4"/>
  <c r="B951" i="4"/>
  <c r="B952" i="4"/>
  <c r="B953" i="4"/>
  <c r="B954" i="4"/>
  <c r="B955" i="4"/>
  <c r="B956" i="4"/>
  <c r="B957" i="4"/>
  <c r="B958" i="4"/>
  <c r="B959" i="4"/>
  <c r="B960" i="4"/>
  <c r="B961" i="4"/>
  <c r="B962" i="4"/>
  <c r="B963" i="4"/>
  <c r="B964" i="4"/>
  <c r="B965" i="4"/>
  <c r="B966" i="4"/>
  <c r="B967" i="4"/>
  <c r="B968" i="4"/>
  <c r="B969" i="4"/>
  <c r="B970" i="4"/>
  <c r="B971" i="4"/>
  <c r="B972" i="4"/>
  <c r="B973" i="4"/>
  <c r="B974" i="4"/>
  <c r="B975" i="4"/>
  <c r="B976" i="4"/>
  <c r="B977" i="4"/>
  <c r="B978" i="4"/>
  <c r="B979" i="4"/>
  <c r="B980" i="4"/>
  <c r="B981" i="4"/>
  <c r="B982" i="4"/>
  <c r="B983" i="4"/>
  <c r="B984" i="4"/>
  <c r="B985" i="4"/>
  <c r="B986" i="4"/>
  <c r="B987" i="4"/>
  <c r="B988" i="4"/>
  <c r="B989" i="4"/>
  <c r="B990" i="4"/>
  <c r="B991" i="4"/>
  <c r="B992" i="4"/>
  <c r="B993" i="4"/>
  <c r="B994" i="4"/>
  <c r="B995" i="4"/>
  <c r="B996" i="4"/>
  <c r="B997" i="4"/>
  <c r="B998" i="4"/>
  <c r="B999" i="4"/>
  <c r="B1000" i="4"/>
  <c r="B1001" i="4"/>
  <c r="B1002" i="4"/>
  <c r="B1003" i="4"/>
  <c r="B1004" i="4"/>
  <c r="B1005" i="4"/>
  <c r="B1006" i="4"/>
  <c r="B1007" i="4"/>
  <c r="B1008" i="4"/>
  <c r="B1009" i="4"/>
  <c r="B1010" i="4"/>
  <c r="B1011" i="4"/>
  <c r="B1012" i="4"/>
  <c r="B1013" i="4"/>
  <c r="B1014" i="4"/>
  <c r="B1015" i="4"/>
  <c r="B1016" i="4"/>
  <c r="B1017" i="4"/>
  <c r="B1018" i="4"/>
  <c r="B1019" i="4"/>
  <c r="B1020" i="4"/>
  <c r="B1021" i="4"/>
  <c r="B1022" i="4"/>
  <c r="B1023" i="4"/>
  <c r="B1024" i="4"/>
  <c r="B1025" i="4"/>
  <c r="B1026" i="4"/>
  <c r="B1027" i="4"/>
  <c r="B1028" i="4"/>
  <c r="B1029" i="4"/>
  <c r="B1030" i="4"/>
  <c r="B1031" i="4"/>
  <c r="B1032" i="4"/>
  <c r="B1033" i="4"/>
  <c r="B1034" i="4"/>
  <c r="B1035" i="4"/>
  <c r="B1036" i="4"/>
  <c r="B1037" i="4"/>
  <c r="B1038" i="4"/>
  <c r="B1039" i="4"/>
  <c r="B1040" i="4"/>
  <c r="B1041" i="4"/>
  <c r="B1042" i="4"/>
  <c r="B1043" i="4"/>
  <c r="B1044" i="4"/>
  <c r="B1045" i="4"/>
  <c r="B1046" i="4"/>
  <c r="B1047" i="4"/>
  <c r="B1048" i="4"/>
  <c r="B1049" i="4"/>
  <c r="B1050" i="4"/>
  <c r="B1051" i="4"/>
  <c r="B1052" i="4"/>
  <c r="B1053" i="4"/>
  <c r="B1054" i="4"/>
  <c r="B1055" i="4"/>
  <c r="B1056" i="4"/>
  <c r="B1057" i="4"/>
  <c r="B1058" i="4"/>
  <c r="B1059" i="4"/>
  <c r="B1060" i="4"/>
  <c r="B1061" i="4"/>
  <c r="B1062" i="4"/>
  <c r="B1063" i="4"/>
  <c r="B1064" i="4"/>
  <c r="B1065" i="4"/>
  <c r="B1066" i="4"/>
  <c r="B1067" i="4"/>
  <c r="B1068" i="4"/>
  <c r="B1069" i="4"/>
  <c r="B1070" i="4"/>
  <c r="B1071" i="4"/>
  <c r="B1072" i="4"/>
  <c r="B1073" i="4"/>
  <c r="B1074" i="4"/>
  <c r="B1075" i="4"/>
  <c r="B1076" i="4"/>
  <c r="B1077" i="4"/>
  <c r="B1078" i="4"/>
  <c r="B1079" i="4"/>
  <c r="B1080" i="4"/>
  <c r="B1081" i="4"/>
  <c r="B1082" i="4"/>
  <c r="B1083" i="4"/>
  <c r="B1084" i="4"/>
  <c r="B1085" i="4"/>
  <c r="B1086" i="4"/>
  <c r="B1087" i="4"/>
  <c r="B1088" i="4"/>
  <c r="B1089" i="4"/>
  <c r="B1090" i="4"/>
  <c r="B1091" i="4"/>
  <c r="B1092" i="4"/>
  <c r="B1093" i="4"/>
  <c r="B1094" i="4"/>
  <c r="B1095" i="4"/>
  <c r="B1096" i="4"/>
  <c r="B1097" i="4"/>
  <c r="B1098" i="4"/>
  <c r="B1099" i="4"/>
  <c r="B1100" i="4"/>
  <c r="B1101" i="4"/>
  <c r="B1102" i="4"/>
  <c r="B1103" i="4"/>
  <c r="B1104" i="4"/>
  <c r="B1105" i="4"/>
  <c r="B1106" i="4"/>
  <c r="B1107" i="4"/>
  <c r="B1108" i="4"/>
  <c r="B1109" i="4"/>
  <c r="B1110" i="4"/>
  <c r="B1111" i="4"/>
  <c r="B1112" i="4"/>
  <c r="B1113" i="4"/>
  <c r="B1114" i="4"/>
  <c r="B1115" i="4"/>
  <c r="B1116" i="4"/>
  <c r="B1117" i="4"/>
  <c r="B1118" i="4"/>
  <c r="B1119" i="4"/>
  <c r="B1120" i="4"/>
  <c r="B1121" i="4"/>
  <c r="B1122" i="4"/>
  <c r="B1123" i="4"/>
  <c r="B1124" i="4"/>
  <c r="B1125" i="4"/>
  <c r="B1126" i="4"/>
  <c r="B1127" i="4"/>
  <c r="B1128" i="4"/>
  <c r="B1129" i="4"/>
  <c r="B1130" i="4"/>
  <c r="B1131" i="4"/>
  <c r="B1132" i="4"/>
  <c r="B1133" i="4"/>
  <c r="B1134" i="4"/>
  <c r="B1135" i="4"/>
  <c r="B1136" i="4"/>
  <c r="B1137" i="4"/>
  <c r="B1138" i="4"/>
  <c r="B1139" i="4"/>
  <c r="B1140" i="4"/>
  <c r="B1141" i="4"/>
  <c r="B1142" i="4"/>
  <c r="B1143" i="4"/>
  <c r="B1144" i="4"/>
  <c r="B1145" i="4"/>
  <c r="B1146" i="4"/>
  <c r="B1147" i="4"/>
  <c r="B1148" i="4"/>
  <c r="B1149" i="4"/>
  <c r="B1150" i="4"/>
  <c r="B1151" i="4"/>
  <c r="B1152" i="4"/>
  <c r="B1153" i="4"/>
  <c r="B1154" i="4"/>
  <c r="B1155" i="4"/>
  <c r="B1156" i="4"/>
  <c r="B1157" i="4"/>
  <c r="B1158" i="4"/>
  <c r="B1159" i="4"/>
  <c r="B1160" i="4"/>
  <c r="B1161" i="4"/>
  <c r="B1162" i="4"/>
  <c r="B1163" i="4"/>
  <c r="B1164" i="4"/>
  <c r="B1165" i="4"/>
  <c r="B1166" i="4"/>
  <c r="B1167" i="4"/>
  <c r="B1168" i="4"/>
  <c r="B1169" i="4"/>
  <c r="B1170" i="4"/>
  <c r="B1171" i="4"/>
  <c r="B1172" i="4"/>
  <c r="B1173" i="4"/>
  <c r="B1174" i="4"/>
  <c r="B1175" i="4"/>
  <c r="B1176" i="4"/>
  <c r="B1177" i="4"/>
  <c r="B1178" i="4"/>
  <c r="B1179" i="4"/>
  <c r="B1180" i="4"/>
  <c r="B1181" i="4"/>
  <c r="B1182" i="4"/>
  <c r="B1183" i="4"/>
  <c r="B1184" i="4"/>
  <c r="B1185" i="4"/>
  <c r="B1186" i="4"/>
  <c r="B1187" i="4"/>
  <c r="B1188" i="4"/>
  <c r="B1189" i="4"/>
  <c r="B1190" i="4"/>
  <c r="B1191" i="4"/>
  <c r="B1192" i="4"/>
  <c r="B1193" i="4"/>
  <c r="B1194" i="4"/>
  <c r="B1195" i="4"/>
  <c r="B1196" i="4"/>
  <c r="B1197" i="4"/>
  <c r="B1198" i="4"/>
  <c r="B1199" i="4"/>
  <c r="B1200" i="4"/>
  <c r="B1201" i="4"/>
  <c r="B1202" i="4"/>
  <c r="B1203" i="4"/>
  <c r="B1204" i="4"/>
  <c r="B1205" i="4"/>
  <c r="B1206" i="4"/>
  <c r="B1207" i="4"/>
  <c r="B1208" i="4"/>
  <c r="B1209" i="4"/>
  <c r="B1210" i="4"/>
  <c r="B1211" i="4"/>
  <c r="B1212" i="4"/>
  <c r="B1213" i="4"/>
  <c r="B1214" i="4"/>
  <c r="B1215" i="4"/>
  <c r="B1216" i="4"/>
  <c r="B1217" i="4"/>
  <c r="B1218" i="4"/>
  <c r="B1219" i="4"/>
  <c r="B1220" i="4"/>
  <c r="B1221" i="4"/>
  <c r="B1222" i="4"/>
  <c r="B1223" i="4"/>
  <c r="B1224" i="4"/>
  <c r="B1225" i="4"/>
  <c r="B1226" i="4"/>
  <c r="B1227" i="4"/>
  <c r="B1228" i="4"/>
  <c r="B1229" i="4"/>
  <c r="B1230" i="4"/>
  <c r="B1231" i="4"/>
  <c r="B1232" i="4"/>
  <c r="B1233" i="4"/>
  <c r="B1234" i="4"/>
  <c r="B1235" i="4"/>
  <c r="B1236" i="4"/>
  <c r="B1237" i="4"/>
  <c r="B1238" i="4"/>
  <c r="B1239" i="4"/>
  <c r="B1240" i="4"/>
  <c r="B1241" i="4"/>
  <c r="B1242" i="4"/>
  <c r="B1243" i="4"/>
  <c r="B1244" i="4"/>
  <c r="B1245" i="4"/>
  <c r="B1246" i="4"/>
  <c r="B1247" i="4"/>
  <c r="B1248" i="4"/>
  <c r="B1249" i="4"/>
  <c r="B1250" i="4"/>
  <c r="B1251" i="4"/>
  <c r="B1252" i="4"/>
  <c r="B1253" i="4"/>
  <c r="B1254" i="4"/>
  <c r="B1255" i="4"/>
  <c r="B1256" i="4"/>
  <c r="B1257" i="4"/>
  <c r="B1258" i="4"/>
  <c r="B1259" i="4"/>
  <c r="B1260" i="4"/>
  <c r="B1261" i="4"/>
  <c r="B1262" i="4"/>
  <c r="B1263" i="4"/>
  <c r="B1264" i="4"/>
  <c r="B1265" i="4"/>
  <c r="B1266" i="4"/>
  <c r="B1267" i="4"/>
  <c r="B1268" i="4"/>
  <c r="B1269" i="4"/>
  <c r="B1270" i="4"/>
  <c r="B1271" i="4"/>
  <c r="B1272" i="4"/>
  <c r="B1273" i="4"/>
  <c r="B1274" i="4"/>
  <c r="B1275" i="4"/>
  <c r="B1276" i="4"/>
  <c r="B1277" i="4"/>
  <c r="B1278" i="4"/>
  <c r="B1279" i="4"/>
  <c r="B1280" i="4"/>
  <c r="B1281" i="4"/>
  <c r="B1282" i="4"/>
  <c r="B1283" i="4"/>
  <c r="B1284" i="4"/>
  <c r="B1285" i="4"/>
  <c r="B1286" i="4"/>
  <c r="B1287" i="4"/>
  <c r="B1288" i="4"/>
  <c r="B1289" i="4"/>
  <c r="B1290" i="4"/>
  <c r="B1291" i="4"/>
  <c r="B1292" i="4"/>
  <c r="B1293" i="4"/>
  <c r="B1294" i="4"/>
  <c r="B1295" i="4"/>
  <c r="B1296" i="4"/>
  <c r="B1297" i="4"/>
  <c r="B1298" i="4"/>
  <c r="B1299" i="4"/>
  <c r="B1300" i="4"/>
  <c r="B1301" i="4"/>
  <c r="B1302" i="4"/>
  <c r="B1303" i="4"/>
  <c r="B1304" i="4"/>
  <c r="B1305" i="4"/>
  <c r="B1306" i="4"/>
  <c r="B1307" i="4"/>
  <c r="B1308" i="4"/>
  <c r="B1309" i="4"/>
  <c r="B1310" i="4"/>
  <c r="B1311" i="4"/>
  <c r="B1312" i="4"/>
  <c r="B1313" i="4"/>
  <c r="B1314" i="4"/>
  <c r="B1315" i="4"/>
  <c r="B1316" i="4"/>
  <c r="B1317" i="4"/>
  <c r="B1318" i="4"/>
  <c r="B1319" i="4"/>
  <c r="B1320" i="4"/>
  <c r="B1321" i="4"/>
  <c r="B1322" i="4"/>
  <c r="B1323" i="4"/>
  <c r="B1324" i="4"/>
  <c r="B1325" i="4"/>
  <c r="B1326" i="4"/>
  <c r="B1327" i="4"/>
  <c r="B1328" i="4"/>
  <c r="B1329" i="4"/>
  <c r="B1330" i="4"/>
  <c r="B1331" i="4"/>
  <c r="B1332" i="4"/>
  <c r="B1333" i="4"/>
  <c r="B1334" i="4"/>
  <c r="B1335" i="4"/>
  <c r="B1336" i="4"/>
  <c r="B1337" i="4"/>
  <c r="B1338" i="4"/>
  <c r="B1339" i="4"/>
  <c r="B1340" i="4"/>
  <c r="B1341" i="4"/>
  <c r="B1342" i="4"/>
  <c r="B1343" i="4"/>
  <c r="B1344" i="4"/>
  <c r="B1345" i="4"/>
  <c r="B1346" i="4"/>
  <c r="B1347" i="4"/>
  <c r="B1348" i="4"/>
  <c r="B1349" i="4"/>
  <c r="B1350" i="4"/>
  <c r="B1351" i="4"/>
  <c r="B1352" i="4"/>
  <c r="B1353" i="4"/>
  <c r="B1354" i="4"/>
  <c r="B1355" i="4"/>
  <c r="B1356" i="4"/>
  <c r="B1357" i="4"/>
  <c r="B1358" i="4"/>
  <c r="B1359" i="4"/>
  <c r="B1360" i="4"/>
  <c r="B1361" i="4"/>
  <c r="B1362" i="4"/>
  <c r="B1363" i="4"/>
  <c r="B1364" i="4"/>
  <c r="B1365" i="4"/>
  <c r="B1366" i="4"/>
  <c r="B1367" i="4"/>
  <c r="B1368" i="4"/>
  <c r="B1369" i="4"/>
  <c r="B1370" i="4"/>
  <c r="B1371" i="4"/>
  <c r="B1372" i="4"/>
  <c r="B1373" i="4"/>
  <c r="B1374" i="4"/>
  <c r="B1375" i="4"/>
  <c r="B1376" i="4"/>
  <c r="B1377" i="4"/>
  <c r="B1378" i="4"/>
  <c r="B1379" i="4"/>
  <c r="B1380" i="4"/>
  <c r="B1381" i="4"/>
  <c r="B1382" i="4"/>
  <c r="B1383" i="4"/>
  <c r="B1384" i="4"/>
  <c r="B1385" i="4"/>
  <c r="B1386" i="4"/>
  <c r="B1387" i="4"/>
  <c r="B1388" i="4"/>
  <c r="B1389" i="4"/>
  <c r="B1390" i="4"/>
  <c r="B1391" i="4"/>
  <c r="B1392" i="4"/>
  <c r="B1393" i="4"/>
  <c r="B1394" i="4"/>
  <c r="B1395" i="4"/>
  <c r="B1396" i="4"/>
  <c r="B1397" i="4"/>
  <c r="B1398" i="4"/>
  <c r="B1399" i="4"/>
  <c r="B1400" i="4"/>
  <c r="B1401" i="4"/>
  <c r="B1402" i="4"/>
  <c r="B1403" i="4"/>
  <c r="B1404" i="4"/>
  <c r="B1405" i="4"/>
  <c r="B1406" i="4"/>
  <c r="B1407" i="4"/>
  <c r="B1408" i="4"/>
  <c r="B1409" i="4"/>
  <c r="B1410" i="4"/>
  <c r="B1411" i="4"/>
  <c r="B1412" i="4"/>
  <c r="B1413" i="4"/>
  <c r="B1414" i="4"/>
  <c r="B1415" i="4"/>
  <c r="B1416" i="4"/>
  <c r="B1417" i="4"/>
  <c r="B1418" i="4"/>
  <c r="B1419" i="4"/>
  <c r="B1420" i="4"/>
  <c r="B1421" i="4"/>
  <c r="B1422" i="4"/>
  <c r="B1423" i="4"/>
  <c r="B1424" i="4"/>
  <c r="B1425" i="4"/>
  <c r="B1426" i="4"/>
  <c r="B1427" i="4"/>
  <c r="B1428" i="4"/>
  <c r="B1429" i="4"/>
  <c r="B1430" i="4"/>
  <c r="B1431" i="4"/>
  <c r="B1432" i="4"/>
  <c r="B1433" i="4"/>
  <c r="B1434" i="4"/>
  <c r="B1435" i="4"/>
  <c r="B1436" i="4"/>
  <c r="B1437" i="4"/>
  <c r="B1438" i="4"/>
  <c r="B1439" i="4"/>
  <c r="B1440" i="4"/>
  <c r="B1441" i="4"/>
  <c r="B1442" i="4"/>
  <c r="B1443" i="4"/>
  <c r="B1444" i="4"/>
  <c r="B1445" i="4"/>
  <c r="B1446" i="4"/>
  <c r="B1447" i="4"/>
  <c r="B1448" i="4"/>
  <c r="B1449" i="4"/>
  <c r="B1450" i="4"/>
  <c r="B1451" i="4"/>
  <c r="B1452" i="4"/>
  <c r="B1453" i="4"/>
  <c r="B1454" i="4"/>
  <c r="B1455" i="4"/>
  <c r="B1456" i="4"/>
  <c r="B1457" i="4"/>
  <c r="B1458" i="4"/>
  <c r="B1459" i="4"/>
  <c r="B1460" i="4"/>
  <c r="B1461" i="4"/>
  <c r="B1462" i="4"/>
  <c r="B1463" i="4"/>
  <c r="B1464" i="4"/>
  <c r="B1465" i="4"/>
  <c r="B1466" i="4"/>
  <c r="B1467" i="4"/>
  <c r="B1468" i="4"/>
  <c r="B1469" i="4"/>
  <c r="B1470" i="4"/>
  <c r="B1471" i="4"/>
  <c r="B1472" i="4"/>
  <c r="B1473" i="4"/>
  <c r="B1474" i="4"/>
  <c r="B1475" i="4"/>
  <c r="B1476" i="4"/>
  <c r="B1477" i="4"/>
  <c r="B1478" i="4"/>
  <c r="B1479" i="4"/>
  <c r="B1480" i="4"/>
  <c r="B1481" i="4"/>
  <c r="B1482" i="4"/>
  <c r="B1483" i="4"/>
  <c r="B1484" i="4"/>
  <c r="B1485" i="4"/>
  <c r="B1486" i="4"/>
  <c r="B1487" i="4"/>
  <c r="B1488" i="4"/>
  <c r="B1489" i="4"/>
  <c r="B1490" i="4"/>
  <c r="B1491" i="4"/>
  <c r="B1492" i="4"/>
  <c r="B1493" i="4"/>
  <c r="B1494" i="4"/>
  <c r="B1495" i="4"/>
  <c r="B1496" i="4"/>
  <c r="B1497" i="4"/>
  <c r="B1498" i="4"/>
  <c r="B1499" i="4"/>
  <c r="B1500" i="4"/>
  <c r="B1501" i="4"/>
  <c r="B1502" i="4"/>
  <c r="B1503" i="4"/>
  <c r="B1504" i="4"/>
  <c r="B1505" i="4"/>
  <c r="B1506" i="4"/>
  <c r="B1507" i="4"/>
  <c r="B1508" i="4"/>
  <c r="B1509" i="4"/>
  <c r="B1510" i="4"/>
  <c r="B1511" i="4"/>
  <c r="B1512" i="4"/>
  <c r="B1513" i="4"/>
  <c r="B1514" i="4"/>
  <c r="B1515" i="4"/>
  <c r="B1516" i="4"/>
  <c r="B1517" i="4"/>
  <c r="B1518" i="4"/>
  <c r="B1519" i="4"/>
  <c r="B1520" i="4"/>
  <c r="B1521" i="4"/>
  <c r="B1522" i="4"/>
  <c r="B1523" i="4"/>
  <c r="B1524" i="4"/>
  <c r="B1525" i="4"/>
  <c r="B1526" i="4"/>
  <c r="B1527" i="4"/>
  <c r="B1528" i="4"/>
  <c r="B1529" i="4"/>
  <c r="B1530" i="4"/>
  <c r="B1531" i="4"/>
  <c r="B1532" i="4"/>
  <c r="B1533" i="4"/>
  <c r="B1534" i="4"/>
  <c r="B1535" i="4"/>
  <c r="B1536" i="4"/>
  <c r="B1537" i="4"/>
  <c r="B1538" i="4"/>
  <c r="B1539" i="4"/>
  <c r="B1540" i="4"/>
  <c r="B1541" i="4"/>
  <c r="B1542" i="4"/>
  <c r="B1543" i="4"/>
  <c r="B1544" i="4"/>
  <c r="B1545" i="4"/>
  <c r="B1546" i="4"/>
  <c r="B1547" i="4"/>
  <c r="B1548" i="4"/>
  <c r="B1549" i="4"/>
  <c r="B1550" i="4"/>
  <c r="B1551" i="4"/>
  <c r="B1552" i="4"/>
  <c r="B1553" i="4"/>
  <c r="B1554" i="4"/>
  <c r="B1555" i="4"/>
  <c r="B1556" i="4"/>
  <c r="B1557" i="4"/>
  <c r="B1558" i="4"/>
  <c r="B1559" i="4"/>
  <c r="B1560" i="4"/>
  <c r="B1561" i="4"/>
  <c r="B1562" i="4"/>
  <c r="B1563" i="4"/>
  <c r="B1564" i="4"/>
  <c r="B1565" i="4"/>
  <c r="B1566" i="4"/>
  <c r="B1567" i="4"/>
  <c r="B1568" i="4"/>
  <c r="B1569" i="4"/>
  <c r="B1570" i="4"/>
  <c r="B1571" i="4"/>
  <c r="B1572" i="4"/>
  <c r="B1573" i="4"/>
  <c r="B1574" i="4"/>
  <c r="B1575" i="4"/>
  <c r="B1576" i="4"/>
  <c r="B1577" i="4"/>
  <c r="B1578" i="4"/>
  <c r="B1579" i="4"/>
  <c r="B1580" i="4"/>
  <c r="B1581" i="4"/>
  <c r="B1582" i="4"/>
  <c r="B1583" i="4"/>
  <c r="B1584" i="4"/>
  <c r="B1585" i="4"/>
  <c r="B1586" i="4"/>
  <c r="B1587" i="4"/>
  <c r="B1588" i="4"/>
  <c r="B1589" i="4"/>
  <c r="B1590" i="4"/>
  <c r="B1591" i="4"/>
  <c r="B1592" i="4"/>
  <c r="B1593" i="4"/>
  <c r="B1594" i="4"/>
  <c r="B1595" i="4"/>
  <c r="B1596" i="4"/>
  <c r="B1597" i="4"/>
  <c r="B1598" i="4"/>
  <c r="B1599" i="4"/>
  <c r="B1600" i="4"/>
  <c r="B1601" i="4"/>
  <c r="B1602" i="4"/>
  <c r="B1603" i="4"/>
  <c r="B1604" i="4"/>
  <c r="B1605" i="4"/>
  <c r="B1606" i="4"/>
  <c r="B1607" i="4"/>
  <c r="B1608" i="4"/>
  <c r="B1609" i="4"/>
  <c r="B1610" i="4"/>
  <c r="B1611" i="4"/>
  <c r="B1612" i="4"/>
  <c r="B1613" i="4"/>
  <c r="B1614" i="4"/>
  <c r="B1615" i="4"/>
  <c r="B1616" i="4"/>
  <c r="B1617" i="4"/>
  <c r="B1618" i="4"/>
  <c r="B1619" i="4"/>
  <c r="B1620" i="4"/>
  <c r="B1621" i="4"/>
  <c r="B1622" i="4"/>
  <c r="B1623" i="4"/>
  <c r="B1624" i="4"/>
  <c r="B1625" i="4"/>
  <c r="B1626" i="4"/>
  <c r="B1627" i="4"/>
  <c r="B1628" i="4"/>
  <c r="B1629" i="4"/>
  <c r="B1630" i="4"/>
  <c r="B1631" i="4"/>
  <c r="B1632" i="4"/>
  <c r="B1633" i="4"/>
  <c r="B1634" i="4"/>
  <c r="B1635" i="4"/>
  <c r="B1636" i="4"/>
  <c r="B1637" i="4"/>
  <c r="B1638" i="4"/>
  <c r="B1639" i="4"/>
  <c r="B1640" i="4"/>
  <c r="B1641" i="4"/>
  <c r="B1642" i="4"/>
  <c r="B1643" i="4"/>
  <c r="B1644" i="4"/>
  <c r="B1645" i="4"/>
  <c r="B1646" i="4"/>
  <c r="B1647" i="4"/>
  <c r="B1648" i="4"/>
  <c r="B1649" i="4"/>
  <c r="B1650" i="4"/>
  <c r="B1651" i="4"/>
  <c r="B1652" i="4"/>
  <c r="B1653" i="4"/>
  <c r="B1654" i="4"/>
  <c r="B1655" i="4"/>
  <c r="B1656" i="4"/>
  <c r="B1657" i="4"/>
  <c r="B1658" i="4"/>
  <c r="B1659" i="4"/>
  <c r="B1660" i="4"/>
  <c r="B1661" i="4"/>
  <c r="B1662" i="4"/>
  <c r="B1663" i="4"/>
  <c r="B1664" i="4"/>
  <c r="B1665" i="4"/>
  <c r="B1666" i="4"/>
  <c r="B1667" i="4"/>
  <c r="B1668" i="4"/>
  <c r="B1669" i="4"/>
  <c r="B1670" i="4"/>
  <c r="B1671" i="4"/>
  <c r="B1672" i="4"/>
  <c r="B1673" i="4"/>
  <c r="B1674" i="4"/>
  <c r="B1675" i="4"/>
  <c r="B1676" i="4"/>
  <c r="B1677" i="4"/>
  <c r="B1678" i="4"/>
  <c r="B1679" i="4"/>
  <c r="B1680" i="4"/>
  <c r="B1681" i="4"/>
  <c r="B1682" i="4"/>
  <c r="B1683" i="4"/>
  <c r="B1684" i="4"/>
  <c r="B1685" i="4"/>
  <c r="B1686" i="4"/>
  <c r="B1687" i="4"/>
  <c r="B1688" i="4"/>
  <c r="B1689" i="4"/>
  <c r="B1690" i="4"/>
  <c r="B1691" i="4"/>
  <c r="B1692" i="4"/>
  <c r="B1693" i="4"/>
  <c r="B1694" i="4"/>
  <c r="B1695" i="4"/>
  <c r="B1696" i="4"/>
  <c r="B1697" i="4"/>
  <c r="B1698" i="4"/>
  <c r="B1699" i="4"/>
  <c r="B1700" i="4"/>
  <c r="B1701" i="4"/>
  <c r="B1702" i="4"/>
  <c r="B1703" i="4"/>
  <c r="B1704" i="4"/>
  <c r="B1705" i="4"/>
  <c r="B1706" i="4"/>
  <c r="B1707" i="4"/>
  <c r="B1708" i="4"/>
  <c r="B1709" i="4"/>
  <c r="B1710" i="4"/>
  <c r="B1711" i="4"/>
  <c r="B1712" i="4"/>
  <c r="B1713" i="4"/>
  <c r="B1714" i="4"/>
  <c r="B1715" i="4"/>
  <c r="B1716" i="4"/>
  <c r="B1717" i="4"/>
  <c r="B1718" i="4"/>
  <c r="B1719" i="4"/>
  <c r="B1720" i="4"/>
  <c r="B1721" i="4"/>
  <c r="B1722" i="4"/>
  <c r="B1723" i="4"/>
  <c r="B1724" i="4"/>
  <c r="B1725" i="4"/>
  <c r="B1726" i="4"/>
  <c r="B1727" i="4"/>
  <c r="B1728" i="4"/>
  <c r="B1729" i="4"/>
  <c r="B1730" i="4"/>
  <c r="B1731" i="4"/>
  <c r="B1732" i="4"/>
  <c r="B1733" i="4"/>
  <c r="B1734" i="4"/>
  <c r="B1735" i="4"/>
  <c r="B1736" i="4"/>
  <c r="B1737" i="4"/>
  <c r="B1738" i="4"/>
  <c r="B1739" i="4"/>
  <c r="B1740" i="4"/>
  <c r="B1741" i="4"/>
  <c r="B1742" i="4"/>
  <c r="B1743" i="4"/>
  <c r="B1744" i="4"/>
  <c r="B1745" i="4"/>
  <c r="B1746" i="4"/>
  <c r="B1747" i="4"/>
  <c r="B1748" i="4"/>
  <c r="B1749" i="4"/>
  <c r="B1750" i="4"/>
  <c r="B1751" i="4"/>
  <c r="B1752" i="4"/>
  <c r="B1753" i="4"/>
  <c r="B1754" i="4"/>
  <c r="B1755" i="4"/>
  <c r="B1756" i="4"/>
  <c r="B1757" i="4"/>
  <c r="B1758" i="4"/>
  <c r="B1759" i="4"/>
  <c r="B1760" i="4"/>
  <c r="B1761" i="4"/>
  <c r="B1762" i="4"/>
  <c r="B1763" i="4"/>
  <c r="B1764" i="4"/>
  <c r="B1765" i="4"/>
  <c r="B1766" i="4"/>
  <c r="B1767" i="4"/>
  <c r="B1768" i="4"/>
  <c r="B1769" i="4"/>
  <c r="B1770" i="4"/>
  <c r="B1771" i="4"/>
  <c r="B1772" i="4"/>
  <c r="B1773" i="4"/>
  <c r="B1774" i="4"/>
  <c r="B1775" i="4"/>
  <c r="B1776" i="4"/>
  <c r="B1777" i="4"/>
  <c r="B1778" i="4"/>
  <c r="B1779" i="4"/>
  <c r="B1780" i="4"/>
  <c r="B1781" i="4"/>
  <c r="B1782" i="4"/>
  <c r="B1783" i="4"/>
  <c r="B1784" i="4"/>
  <c r="B1785" i="4"/>
  <c r="B1786" i="4"/>
  <c r="B1787" i="4"/>
  <c r="B1788" i="4"/>
  <c r="B1789" i="4"/>
  <c r="B1790" i="4"/>
  <c r="B1791" i="4"/>
  <c r="B1792" i="4"/>
  <c r="B1793" i="4"/>
  <c r="B1794" i="4"/>
  <c r="B1795" i="4"/>
  <c r="B1796" i="4"/>
  <c r="B1797" i="4"/>
  <c r="B1798" i="4"/>
  <c r="B1799" i="4"/>
  <c r="B1800" i="4"/>
  <c r="B1801" i="4"/>
  <c r="B1802" i="4"/>
  <c r="B1803" i="4"/>
  <c r="B1804" i="4"/>
  <c r="B1805" i="4"/>
  <c r="B1806" i="4"/>
  <c r="B1807" i="4"/>
  <c r="B1808" i="4"/>
  <c r="B1809" i="4"/>
  <c r="B1810" i="4"/>
  <c r="B1811" i="4"/>
  <c r="B1812" i="4"/>
  <c r="B1813" i="4"/>
  <c r="B1814" i="4"/>
  <c r="B1815" i="4"/>
  <c r="B1816" i="4"/>
  <c r="B1817" i="4"/>
  <c r="B1818" i="4"/>
  <c r="B1819" i="4"/>
  <c r="B1820" i="4"/>
  <c r="B1821" i="4"/>
  <c r="B1822" i="4"/>
  <c r="B1823" i="4"/>
  <c r="B1824" i="4"/>
  <c r="B1825" i="4"/>
  <c r="B1826" i="4"/>
  <c r="B1827" i="4"/>
  <c r="B1828" i="4"/>
  <c r="B1829" i="4"/>
  <c r="B1830" i="4"/>
  <c r="B1831" i="4"/>
  <c r="B1832" i="4"/>
  <c r="B1833" i="4"/>
  <c r="B1834" i="4"/>
  <c r="B1835" i="4"/>
  <c r="B1836" i="4"/>
  <c r="B1837" i="4"/>
  <c r="B1838" i="4"/>
  <c r="B1839" i="4"/>
  <c r="B1840" i="4"/>
  <c r="B1841" i="4"/>
  <c r="B1842" i="4"/>
  <c r="B1843" i="4"/>
  <c r="B1844" i="4"/>
  <c r="B1845" i="4"/>
  <c r="B1846" i="4"/>
  <c r="B1847" i="4"/>
  <c r="B1848" i="4"/>
  <c r="B1849" i="4"/>
  <c r="B1850" i="4"/>
  <c r="B1851" i="4"/>
  <c r="B1852" i="4"/>
  <c r="B1853" i="4"/>
  <c r="B1854" i="4"/>
  <c r="B1855" i="4"/>
  <c r="B1856" i="4"/>
  <c r="B1857" i="4"/>
  <c r="B1858" i="4"/>
  <c r="B1859" i="4"/>
  <c r="B1860" i="4"/>
  <c r="B1861" i="4"/>
  <c r="B1862" i="4"/>
  <c r="B1863" i="4"/>
  <c r="B1864" i="4"/>
  <c r="B1865" i="4"/>
  <c r="B1866" i="4"/>
  <c r="B1867" i="4"/>
  <c r="B1868" i="4"/>
  <c r="B1869" i="4"/>
  <c r="B1870" i="4"/>
  <c r="B1871" i="4"/>
  <c r="B1872" i="4"/>
  <c r="B1873" i="4"/>
  <c r="B1874" i="4"/>
  <c r="B1875" i="4"/>
  <c r="B1876" i="4"/>
  <c r="B1877" i="4"/>
  <c r="B1878" i="4"/>
  <c r="B1879" i="4"/>
  <c r="B1880" i="4"/>
  <c r="B1881" i="4"/>
  <c r="B1882" i="4"/>
  <c r="B1883" i="4"/>
  <c r="B1884" i="4"/>
  <c r="B1885" i="4"/>
  <c r="B1886" i="4"/>
  <c r="B1887" i="4"/>
  <c r="B1888" i="4"/>
  <c r="B1889" i="4"/>
  <c r="B1890" i="4"/>
  <c r="B1891" i="4"/>
  <c r="B1892" i="4"/>
  <c r="B1893" i="4"/>
  <c r="B1894" i="4"/>
  <c r="B1895" i="4"/>
  <c r="B1896" i="4"/>
  <c r="B1897" i="4"/>
  <c r="B1898" i="4"/>
  <c r="B1899" i="4"/>
  <c r="B1900" i="4"/>
  <c r="B1901" i="4"/>
  <c r="B1902" i="4"/>
  <c r="B1903" i="4"/>
  <c r="B1904" i="4"/>
  <c r="B1905" i="4"/>
  <c r="B1906" i="4"/>
  <c r="B1907" i="4"/>
  <c r="B1908" i="4"/>
  <c r="B1909" i="4"/>
  <c r="B1910" i="4"/>
  <c r="B1911" i="4"/>
  <c r="B1912" i="4"/>
  <c r="B1913" i="4"/>
  <c r="B1914" i="4"/>
  <c r="B1915" i="4"/>
  <c r="B1916" i="4"/>
  <c r="B1917" i="4"/>
  <c r="B1918" i="4"/>
  <c r="B1919" i="4"/>
  <c r="B1920" i="4"/>
  <c r="B1921" i="4"/>
  <c r="B1922" i="4"/>
  <c r="B1923" i="4"/>
  <c r="B1924" i="4"/>
  <c r="B1925" i="4"/>
  <c r="B1926" i="4"/>
  <c r="B1927" i="4"/>
  <c r="B1928" i="4"/>
  <c r="B1929" i="4"/>
  <c r="B1930" i="4"/>
  <c r="B1931" i="4"/>
  <c r="B1932" i="4"/>
  <c r="B1933" i="4"/>
  <c r="B1934" i="4"/>
  <c r="B1935" i="4"/>
  <c r="B1936" i="4"/>
  <c r="B1937" i="4"/>
  <c r="B1938" i="4"/>
  <c r="B1939" i="4"/>
  <c r="B1940" i="4"/>
  <c r="B1941" i="4"/>
  <c r="B1942" i="4"/>
  <c r="B1943" i="4"/>
  <c r="B1944" i="4"/>
  <c r="B1945" i="4"/>
  <c r="B1946" i="4"/>
  <c r="B1947" i="4"/>
  <c r="B1948" i="4"/>
  <c r="B1949" i="4"/>
  <c r="B1950" i="4"/>
  <c r="B1951" i="4"/>
  <c r="B1952" i="4"/>
  <c r="B1953" i="4"/>
  <c r="B1954" i="4"/>
  <c r="B1955" i="4"/>
  <c r="B1956" i="4"/>
  <c r="B1957" i="4"/>
  <c r="B1958" i="4"/>
  <c r="B1959" i="4"/>
  <c r="B1960" i="4"/>
  <c r="B1961" i="4"/>
  <c r="B1962" i="4"/>
  <c r="B1963" i="4"/>
  <c r="B1964" i="4"/>
  <c r="B1965" i="4"/>
  <c r="B1966" i="4"/>
  <c r="B1967" i="4"/>
  <c r="B1968" i="4"/>
  <c r="B1969" i="4"/>
  <c r="B1970" i="4"/>
  <c r="B1971" i="4"/>
  <c r="B1972" i="4"/>
  <c r="B1973" i="4"/>
  <c r="B1974" i="4"/>
  <c r="B1975" i="4"/>
  <c r="B1976" i="4"/>
  <c r="B1977" i="4"/>
  <c r="B1978" i="4"/>
  <c r="B1979" i="4"/>
  <c r="B1980" i="4"/>
  <c r="B1981" i="4"/>
  <c r="B1982" i="4"/>
  <c r="B1983" i="4"/>
  <c r="B1984" i="4"/>
  <c r="B1985" i="4"/>
  <c r="B1986" i="4"/>
  <c r="B1987" i="4"/>
  <c r="B1988" i="4"/>
  <c r="B1989" i="4"/>
  <c r="B1990" i="4"/>
  <c r="B1991" i="4"/>
  <c r="B1992" i="4"/>
  <c r="B1993" i="4"/>
  <c r="B1994" i="4"/>
  <c r="B1995" i="4"/>
  <c r="B1996" i="4"/>
  <c r="B1997" i="4"/>
  <c r="B1998" i="4"/>
  <c r="B1999" i="4"/>
  <c r="B2000" i="4"/>
  <c r="B2001" i="4"/>
  <c r="B2002" i="4"/>
  <c r="B2003" i="4"/>
  <c r="B2004" i="4"/>
  <c r="B2005" i="4"/>
  <c r="B2006" i="4"/>
  <c r="B2007" i="4"/>
  <c r="B2008" i="4"/>
  <c r="B2009" i="4"/>
  <c r="B2010" i="4"/>
  <c r="B2011" i="4"/>
  <c r="B2012" i="4"/>
  <c r="B2013" i="4"/>
  <c r="B2014" i="4"/>
  <c r="B2015" i="4"/>
  <c r="B2016" i="4"/>
  <c r="B2017" i="4"/>
  <c r="B2018" i="4"/>
  <c r="B2019" i="4"/>
  <c r="B2020" i="4"/>
  <c r="B2021" i="4"/>
  <c r="B2022" i="4"/>
  <c r="B2023" i="4"/>
  <c r="B2024" i="4"/>
  <c r="B2025" i="4"/>
  <c r="B2026" i="4"/>
  <c r="B2027" i="4"/>
  <c r="B2028" i="4"/>
  <c r="B2029" i="4"/>
  <c r="B2030" i="4"/>
  <c r="B2031" i="4"/>
  <c r="B2032" i="4"/>
  <c r="B2033" i="4"/>
  <c r="B2034" i="4"/>
  <c r="B2035" i="4"/>
  <c r="B2036" i="4"/>
  <c r="B2037" i="4"/>
  <c r="B2038" i="4"/>
  <c r="B2039" i="4"/>
  <c r="B2040" i="4"/>
  <c r="B2041" i="4"/>
  <c r="B2042" i="4"/>
  <c r="B2043" i="4"/>
  <c r="B2044" i="4"/>
  <c r="B2045" i="4"/>
  <c r="B2046" i="4"/>
  <c r="B2047" i="4"/>
  <c r="B2048" i="4"/>
  <c r="B2049" i="4"/>
  <c r="B2050" i="4"/>
  <c r="B2051" i="4"/>
  <c r="B2052" i="4"/>
  <c r="B2053" i="4"/>
  <c r="B2054" i="4"/>
  <c r="B2055" i="4"/>
  <c r="B2056" i="4"/>
  <c r="B2057" i="4"/>
  <c r="B2058" i="4"/>
  <c r="B2059" i="4"/>
  <c r="B2060" i="4"/>
  <c r="B2061" i="4"/>
  <c r="B2062" i="4"/>
  <c r="B2063" i="4"/>
  <c r="B2064" i="4"/>
  <c r="B2065" i="4"/>
  <c r="B2066" i="4"/>
  <c r="B2067" i="4"/>
  <c r="B2068" i="4"/>
  <c r="B2069" i="4"/>
  <c r="B2070" i="4"/>
  <c r="B2071" i="4"/>
  <c r="B2072" i="4"/>
  <c r="B2073" i="4"/>
  <c r="B2074" i="4"/>
  <c r="B2075" i="4"/>
  <c r="B2076" i="4"/>
  <c r="B2077" i="4"/>
  <c r="B2078" i="4"/>
  <c r="B2079" i="4"/>
  <c r="B2080" i="4"/>
  <c r="B2081" i="4"/>
  <c r="B2082" i="4"/>
  <c r="B2083" i="4"/>
  <c r="B2084" i="4"/>
  <c r="B2085" i="4"/>
  <c r="B2086" i="4"/>
  <c r="B2087" i="4"/>
  <c r="B2088" i="4"/>
  <c r="B2089" i="4"/>
  <c r="B2090" i="4"/>
  <c r="B2091" i="4"/>
  <c r="B2092" i="4"/>
  <c r="B2093" i="4"/>
  <c r="B2094" i="4"/>
  <c r="B2095" i="4"/>
  <c r="B2096" i="4"/>
  <c r="B2097" i="4"/>
  <c r="B2098" i="4"/>
  <c r="B2099" i="4"/>
  <c r="B2100" i="4"/>
  <c r="B2101" i="4"/>
  <c r="B2102" i="4"/>
  <c r="B2103" i="4"/>
  <c r="B2104" i="4"/>
  <c r="B2105" i="4"/>
  <c r="B2106" i="4"/>
  <c r="B2107" i="4"/>
  <c r="B2108" i="4"/>
  <c r="B2109" i="4"/>
  <c r="B2110" i="4"/>
  <c r="B2111" i="4"/>
  <c r="B2112" i="4"/>
  <c r="B2113" i="4"/>
  <c r="B2114" i="4"/>
  <c r="B2115" i="4"/>
  <c r="B2116" i="4"/>
  <c r="B2117" i="4"/>
  <c r="B2118" i="4"/>
  <c r="B2119" i="4"/>
  <c r="B2120" i="4"/>
  <c r="B2121" i="4"/>
  <c r="B2122" i="4"/>
  <c r="B2123" i="4"/>
  <c r="B2124" i="4"/>
  <c r="B2125" i="4"/>
  <c r="B2126" i="4"/>
  <c r="B2127" i="4"/>
  <c r="B2128" i="4"/>
  <c r="B2129" i="4"/>
  <c r="B2130" i="4"/>
  <c r="B2131" i="4"/>
  <c r="B2132" i="4"/>
  <c r="B2133" i="4"/>
  <c r="B2134" i="4"/>
  <c r="B2135" i="4"/>
  <c r="B2136" i="4"/>
  <c r="B2137" i="4"/>
  <c r="B2138" i="4"/>
  <c r="B2139" i="4"/>
  <c r="B2140" i="4"/>
  <c r="B2141" i="4"/>
  <c r="B2142" i="4"/>
  <c r="B2143" i="4"/>
  <c r="B2144" i="4"/>
  <c r="B2145" i="4"/>
  <c r="B2146" i="4"/>
  <c r="B2147" i="4"/>
  <c r="B2148" i="4"/>
  <c r="B2149" i="4"/>
  <c r="B2150" i="4"/>
  <c r="B2151" i="4"/>
  <c r="B2152" i="4"/>
  <c r="B2153" i="4"/>
  <c r="B2154" i="4"/>
  <c r="B2155" i="4"/>
  <c r="B2156" i="4"/>
  <c r="B2157" i="4"/>
  <c r="B2158" i="4"/>
  <c r="B2159" i="4"/>
  <c r="B2160" i="4"/>
  <c r="B2161" i="4"/>
  <c r="B2162" i="4"/>
  <c r="B2163" i="4"/>
  <c r="B2164" i="4"/>
  <c r="B2165" i="4"/>
  <c r="B2166" i="4"/>
  <c r="B2167" i="4"/>
  <c r="B2168" i="4"/>
  <c r="B2169" i="4"/>
  <c r="B2170" i="4"/>
  <c r="B2171" i="4"/>
  <c r="B2172" i="4"/>
  <c r="B2173" i="4"/>
  <c r="B2174" i="4"/>
  <c r="B2175" i="4"/>
  <c r="B2176" i="4"/>
  <c r="B2177" i="4"/>
  <c r="B2178" i="4"/>
  <c r="B2179" i="4"/>
  <c r="B2180" i="4"/>
  <c r="B2181" i="4"/>
  <c r="B2182" i="4"/>
  <c r="B2183" i="4"/>
  <c r="B2184" i="4"/>
  <c r="B2185" i="4"/>
  <c r="B2186" i="4"/>
  <c r="B2187" i="4"/>
  <c r="B2188" i="4"/>
  <c r="B2189" i="4"/>
  <c r="B2190" i="4"/>
  <c r="B2191" i="4"/>
  <c r="B2192" i="4"/>
  <c r="B2193" i="4"/>
  <c r="B2194" i="4"/>
  <c r="B2195" i="4"/>
  <c r="B2196" i="4"/>
  <c r="B2197" i="4"/>
  <c r="B2198" i="4"/>
  <c r="B2199" i="4"/>
  <c r="B2200" i="4"/>
  <c r="B2201" i="4"/>
  <c r="B2202" i="4"/>
  <c r="B2203" i="4"/>
  <c r="B2204" i="4"/>
  <c r="B2205" i="4"/>
  <c r="B2206" i="4"/>
  <c r="B2207" i="4"/>
  <c r="B2208" i="4"/>
  <c r="B2209" i="4"/>
  <c r="B2210" i="4"/>
  <c r="B2211" i="4"/>
  <c r="B2212" i="4"/>
  <c r="B2213" i="4"/>
  <c r="B2214" i="4"/>
  <c r="B2215" i="4"/>
  <c r="B2216" i="4"/>
  <c r="B2217" i="4"/>
  <c r="B2218" i="4"/>
  <c r="B2219" i="4"/>
  <c r="B2220" i="4"/>
  <c r="B2221" i="4"/>
  <c r="B2222" i="4"/>
  <c r="B2223" i="4"/>
  <c r="B2224" i="4"/>
  <c r="B2225" i="4"/>
  <c r="B2226" i="4"/>
  <c r="B2227" i="4"/>
  <c r="B2228" i="4"/>
  <c r="B2229" i="4"/>
  <c r="B2230" i="4"/>
  <c r="B2231" i="4"/>
  <c r="B2232" i="4"/>
  <c r="B2233" i="4"/>
  <c r="B2234" i="4"/>
  <c r="B2235" i="4"/>
  <c r="B2236" i="4"/>
  <c r="B2237" i="4"/>
  <c r="B2238" i="4"/>
  <c r="B2239" i="4"/>
  <c r="B2240" i="4"/>
  <c r="B2241" i="4"/>
  <c r="B2242" i="4"/>
  <c r="B2243" i="4"/>
  <c r="B2244" i="4"/>
  <c r="B2245" i="4"/>
  <c r="B2246" i="4"/>
  <c r="B2247" i="4"/>
  <c r="B2248" i="4"/>
  <c r="B2249" i="4"/>
  <c r="B2250" i="4"/>
  <c r="B2251" i="4"/>
  <c r="B2252" i="4"/>
  <c r="B2253" i="4"/>
  <c r="B2254" i="4"/>
  <c r="B2255" i="4"/>
  <c r="B2256" i="4"/>
  <c r="B2257" i="4"/>
  <c r="B2258" i="4"/>
  <c r="B2259" i="4"/>
  <c r="B2260" i="4"/>
  <c r="B2261" i="4"/>
  <c r="B2262" i="4"/>
  <c r="B2263" i="4"/>
  <c r="B2264" i="4"/>
  <c r="B2265" i="4"/>
  <c r="B2266" i="4"/>
  <c r="B2267" i="4"/>
  <c r="B2268" i="4"/>
  <c r="B2269" i="4"/>
  <c r="B2270" i="4"/>
  <c r="B2271" i="4"/>
  <c r="B2272" i="4"/>
  <c r="B2273" i="4"/>
  <c r="B2274" i="4"/>
  <c r="B2275" i="4"/>
  <c r="B2276" i="4"/>
  <c r="B2277" i="4"/>
  <c r="B2278" i="4"/>
  <c r="B2279" i="4"/>
  <c r="B2280" i="4"/>
  <c r="B2281" i="4"/>
  <c r="B2282" i="4"/>
  <c r="B2283" i="4"/>
  <c r="B2284" i="4"/>
  <c r="B2285" i="4"/>
  <c r="B2286" i="4"/>
  <c r="B2287" i="4"/>
  <c r="B2288" i="4"/>
  <c r="B2289" i="4"/>
  <c r="B2290" i="4"/>
  <c r="B2291" i="4"/>
  <c r="B2292" i="4"/>
  <c r="B2293" i="4"/>
  <c r="B2294" i="4"/>
  <c r="B2295" i="4"/>
  <c r="B2296" i="4"/>
  <c r="B2297" i="4"/>
  <c r="B2298" i="4"/>
  <c r="B2299" i="4"/>
  <c r="B2300" i="4"/>
  <c r="B2301" i="4"/>
  <c r="B2302" i="4"/>
  <c r="B2303" i="4"/>
  <c r="B2304" i="4"/>
  <c r="B2305" i="4"/>
  <c r="B2306" i="4"/>
  <c r="B2307" i="4"/>
  <c r="B2308" i="4"/>
  <c r="B2309" i="4"/>
  <c r="B2310" i="4"/>
  <c r="B2311" i="4"/>
  <c r="B2312" i="4"/>
  <c r="B2313" i="4"/>
  <c r="B2314" i="4"/>
  <c r="B2315" i="4"/>
  <c r="B2316" i="4"/>
  <c r="B2317" i="4"/>
  <c r="B2318" i="4"/>
  <c r="B2319" i="4"/>
  <c r="B2320" i="4"/>
  <c r="B2321" i="4"/>
  <c r="B2322" i="4"/>
  <c r="B2323" i="4"/>
  <c r="B2324" i="4"/>
  <c r="B2325" i="4"/>
  <c r="B2326" i="4"/>
  <c r="B2327" i="4"/>
  <c r="B2328" i="4"/>
  <c r="B2329" i="4"/>
  <c r="B2330" i="4"/>
  <c r="B2331" i="4"/>
  <c r="B2332" i="4"/>
  <c r="B2333" i="4"/>
  <c r="B2334" i="4"/>
  <c r="B2335" i="4"/>
  <c r="B2336" i="4"/>
  <c r="B2337" i="4"/>
  <c r="B2338" i="4"/>
  <c r="B2339" i="4"/>
  <c r="B2340" i="4"/>
  <c r="B2341" i="4"/>
  <c r="B2342" i="4"/>
  <c r="B2343" i="4"/>
  <c r="B2344" i="4"/>
  <c r="B2345" i="4"/>
  <c r="B2346" i="4"/>
  <c r="B2347" i="4"/>
  <c r="B2348" i="4"/>
  <c r="B2349" i="4"/>
  <c r="B2350" i="4"/>
  <c r="B2351" i="4"/>
  <c r="B2352" i="4"/>
  <c r="B2353" i="4"/>
  <c r="B2354" i="4"/>
  <c r="B2355" i="4"/>
  <c r="B2356" i="4"/>
  <c r="B2357" i="4"/>
  <c r="B2358" i="4"/>
  <c r="B2359" i="4"/>
  <c r="B2360" i="4"/>
  <c r="B2361" i="4"/>
  <c r="B2362" i="4"/>
  <c r="B2363" i="4"/>
  <c r="B2364" i="4"/>
  <c r="B2365" i="4"/>
  <c r="B2366" i="4"/>
  <c r="B2367" i="4"/>
  <c r="B2368" i="4"/>
  <c r="B2369" i="4"/>
  <c r="B2370" i="4"/>
  <c r="B2371" i="4"/>
  <c r="B2372" i="4"/>
  <c r="B2373" i="4"/>
  <c r="B2374" i="4"/>
  <c r="B2375" i="4"/>
  <c r="B2376" i="4"/>
  <c r="B2377" i="4"/>
  <c r="B2378" i="4"/>
  <c r="B2379" i="4"/>
  <c r="B2380" i="4"/>
  <c r="B2381" i="4"/>
  <c r="B2382" i="4"/>
  <c r="B2383" i="4"/>
  <c r="B2384" i="4"/>
  <c r="B2385" i="4"/>
  <c r="B2386" i="4"/>
  <c r="B2387" i="4"/>
  <c r="B2388" i="4"/>
  <c r="B2389" i="4"/>
  <c r="B2390" i="4"/>
  <c r="B2391" i="4"/>
  <c r="B2392" i="4"/>
  <c r="B2393" i="4"/>
  <c r="B2394" i="4"/>
  <c r="B2395" i="4"/>
  <c r="B2396" i="4"/>
  <c r="B2397" i="4"/>
  <c r="B2398" i="4"/>
  <c r="B2399" i="4"/>
  <c r="B2400" i="4"/>
  <c r="B2401" i="4"/>
  <c r="B2402" i="4"/>
  <c r="B2403" i="4"/>
  <c r="B2404" i="4"/>
  <c r="B2405" i="4"/>
  <c r="B2406" i="4"/>
  <c r="B2407" i="4"/>
  <c r="B2408" i="4"/>
  <c r="B2409" i="4"/>
  <c r="B2410" i="4"/>
  <c r="B2411" i="4"/>
  <c r="B2412" i="4"/>
  <c r="B2413" i="4"/>
  <c r="B2414" i="4"/>
  <c r="B2415" i="4"/>
  <c r="B2416" i="4"/>
  <c r="B2417" i="4"/>
  <c r="B2418" i="4"/>
  <c r="B2419" i="4"/>
  <c r="B2420" i="4"/>
  <c r="B2421" i="4"/>
  <c r="B2422" i="4"/>
  <c r="B2423" i="4"/>
  <c r="B2424" i="4"/>
  <c r="B2425" i="4"/>
  <c r="B2426" i="4"/>
  <c r="B2427" i="4"/>
  <c r="B2428" i="4"/>
  <c r="B2429" i="4"/>
  <c r="B2430" i="4"/>
  <c r="B2431" i="4"/>
  <c r="B2432" i="4"/>
  <c r="B2433" i="4"/>
  <c r="B2434" i="4"/>
  <c r="B2435" i="4"/>
  <c r="B2436" i="4"/>
  <c r="B2437" i="4"/>
  <c r="B2438" i="4"/>
  <c r="B2439" i="4"/>
  <c r="B2440" i="4"/>
  <c r="B2441" i="4"/>
  <c r="B2442" i="4"/>
  <c r="B2443" i="4"/>
  <c r="B2444" i="4"/>
  <c r="B2445" i="4"/>
  <c r="B2446" i="4"/>
  <c r="B2447" i="4"/>
  <c r="B2448" i="4"/>
  <c r="B2449" i="4"/>
  <c r="B2450" i="4"/>
  <c r="B2451" i="4"/>
  <c r="B2452" i="4"/>
  <c r="B2453" i="4"/>
  <c r="B2454" i="4"/>
  <c r="B2455" i="4"/>
  <c r="B2456" i="4"/>
  <c r="B2457" i="4"/>
  <c r="B2458" i="4"/>
  <c r="B2459" i="4"/>
  <c r="B2460" i="4"/>
  <c r="B2461" i="4"/>
  <c r="B2462" i="4"/>
  <c r="B2463" i="4"/>
  <c r="B2464" i="4"/>
  <c r="B2465" i="4"/>
  <c r="B2466" i="4"/>
  <c r="B2467" i="4"/>
  <c r="B2468" i="4"/>
  <c r="B2469" i="4"/>
  <c r="B2470" i="4"/>
  <c r="B2471" i="4"/>
  <c r="B2472" i="4"/>
  <c r="B2473" i="4"/>
  <c r="B2474" i="4"/>
  <c r="B2475" i="4"/>
  <c r="B2476" i="4"/>
  <c r="B2477" i="4"/>
  <c r="B2478" i="4"/>
  <c r="B2479" i="4"/>
  <c r="B2480" i="4"/>
  <c r="B2481" i="4"/>
  <c r="B2482" i="4"/>
  <c r="B2483" i="4"/>
  <c r="B2484" i="4"/>
  <c r="B2485" i="4"/>
  <c r="B2486" i="4"/>
  <c r="B2487" i="4"/>
  <c r="B2488" i="4"/>
  <c r="B2489" i="4"/>
  <c r="B2490" i="4"/>
  <c r="B2491" i="4"/>
  <c r="B2492" i="4"/>
  <c r="B2493" i="4"/>
  <c r="B2494" i="4"/>
  <c r="B2495" i="4"/>
  <c r="B2496" i="4"/>
  <c r="B2497" i="4"/>
  <c r="B2498" i="4"/>
  <c r="B2499" i="4"/>
  <c r="B2500" i="4"/>
  <c r="B2501" i="4"/>
  <c r="B2502" i="4"/>
  <c r="B2503" i="4"/>
  <c r="B2504" i="4"/>
  <c r="B2505" i="4"/>
  <c r="B2506" i="4"/>
  <c r="B2507" i="4"/>
  <c r="B2508" i="4"/>
  <c r="B2509" i="4"/>
  <c r="B2510" i="4"/>
  <c r="B2511" i="4"/>
  <c r="B2512" i="4"/>
  <c r="B2513" i="4"/>
  <c r="B2514" i="4"/>
  <c r="B2515" i="4"/>
  <c r="B2516" i="4"/>
  <c r="B2517" i="4"/>
  <c r="B2518" i="4"/>
  <c r="B2519" i="4"/>
  <c r="B2520" i="4"/>
  <c r="B2521" i="4"/>
  <c r="B2522" i="4"/>
  <c r="B2523" i="4"/>
  <c r="B2524" i="4"/>
  <c r="B2525" i="4"/>
  <c r="B2526" i="4"/>
  <c r="B2527" i="4"/>
  <c r="B2528" i="4"/>
  <c r="B2529" i="4"/>
  <c r="B2530" i="4"/>
  <c r="B2531" i="4"/>
  <c r="B2532" i="4"/>
  <c r="B2533" i="4"/>
  <c r="B2534" i="4"/>
  <c r="B2535" i="4"/>
  <c r="B2536" i="4"/>
  <c r="B2537" i="4"/>
  <c r="B2538" i="4"/>
  <c r="B2539" i="4"/>
  <c r="B2540" i="4"/>
  <c r="B2541" i="4"/>
  <c r="B2542" i="4"/>
  <c r="B2543" i="4"/>
  <c r="B2544" i="4"/>
  <c r="B2545" i="4"/>
  <c r="B2546" i="4"/>
  <c r="B2547" i="4"/>
  <c r="B2548" i="4"/>
  <c r="B2549" i="4"/>
  <c r="B2550" i="4"/>
  <c r="B2551" i="4"/>
  <c r="B2552" i="4"/>
  <c r="B2553" i="4"/>
  <c r="B2554" i="4"/>
  <c r="B2555" i="4"/>
  <c r="B2556" i="4"/>
  <c r="B2557" i="4"/>
  <c r="B2558" i="4"/>
  <c r="B2559" i="4"/>
  <c r="B2560" i="4"/>
  <c r="B2561" i="4"/>
  <c r="B2562" i="4"/>
  <c r="B2563" i="4"/>
  <c r="B2564" i="4"/>
  <c r="B2565" i="4"/>
  <c r="B2566" i="4"/>
  <c r="B2567" i="4"/>
  <c r="B2568" i="4"/>
  <c r="B2569" i="4"/>
  <c r="B2570" i="4"/>
  <c r="B2571" i="4"/>
  <c r="B2572" i="4"/>
  <c r="B2573" i="4"/>
  <c r="B2574" i="4"/>
  <c r="B2575" i="4"/>
  <c r="B2576" i="4"/>
  <c r="B2577" i="4"/>
  <c r="B2578" i="4"/>
  <c r="B2579" i="4"/>
  <c r="B2580" i="4"/>
  <c r="B2581" i="4"/>
  <c r="B2582" i="4"/>
  <c r="B2583" i="4"/>
  <c r="B2584" i="4"/>
  <c r="B2585" i="4"/>
  <c r="B2586" i="4"/>
  <c r="B2587" i="4"/>
  <c r="B2588" i="4"/>
  <c r="B2589" i="4"/>
  <c r="B2590" i="4"/>
  <c r="B2591" i="4"/>
  <c r="B2592" i="4"/>
  <c r="B2593" i="4"/>
  <c r="B2594" i="4"/>
  <c r="B2595" i="4"/>
  <c r="B2596" i="4"/>
  <c r="B2597" i="4"/>
  <c r="B2598" i="4"/>
  <c r="B2599" i="4"/>
  <c r="B2600" i="4"/>
  <c r="B2601" i="4"/>
  <c r="B2602" i="4"/>
  <c r="B2603" i="4"/>
  <c r="B2604" i="4"/>
  <c r="B2605" i="4"/>
  <c r="B2606" i="4"/>
  <c r="B2607" i="4"/>
  <c r="B2608" i="4"/>
  <c r="B2609" i="4"/>
  <c r="B2610" i="4"/>
  <c r="B2611" i="4"/>
  <c r="B2612" i="4"/>
  <c r="B2613" i="4"/>
  <c r="B2614" i="4"/>
  <c r="B2615" i="4"/>
  <c r="B2616" i="4"/>
  <c r="B2617" i="4"/>
  <c r="B2618" i="4"/>
  <c r="B2619" i="4"/>
  <c r="B2620" i="4"/>
  <c r="B2621" i="4"/>
  <c r="B2622" i="4"/>
  <c r="B2623" i="4"/>
  <c r="B2624" i="4"/>
  <c r="B2625" i="4"/>
  <c r="B2626" i="4"/>
  <c r="B2627" i="4"/>
  <c r="B2628" i="4"/>
  <c r="B2629" i="4"/>
  <c r="B2630" i="4"/>
  <c r="B2631" i="4"/>
  <c r="B2632" i="4"/>
  <c r="B2633" i="4"/>
  <c r="B2634" i="4"/>
  <c r="B2635" i="4"/>
  <c r="B2636" i="4"/>
  <c r="B2637" i="4"/>
  <c r="B2638" i="4"/>
  <c r="B2639" i="4"/>
  <c r="B2640" i="4"/>
  <c r="B2641" i="4"/>
  <c r="B2642" i="4"/>
  <c r="B2643" i="4"/>
  <c r="B2644" i="4"/>
  <c r="B2645" i="4"/>
  <c r="B2646" i="4"/>
  <c r="B2647" i="4"/>
  <c r="B2648" i="4"/>
  <c r="B2649" i="4"/>
  <c r="B2650" i="4"/>
  <c r="B2651" i="4"/>
  <c r="B2652" i="4"/>
  <c r="B2653" i="4"/>
  <c r="B2654" i="4"/>
  <c r="B2655" i="4"/>
  <c r="B2656" i="4"/>
  <c r="B2657" i="4"/>
  <c r="B2658" i="4"/>
  <c r="B2659" i="4"/>
  <c r="B2660" i="4"/>
  <c r="B2661" i="4"/>
  <c r="B2662" i="4"/>
  <c r="B2663" i="4"/>
  <c r="B2664" i="4"/>
  <c r="B2665" i="4"/>
  <c r="B2666" i="4"/>
  <c r="B2667" i="4"/>
  <c r="B2668" i="4"/>
  <c r="B2669" i="4"/>
  <c r="B2670" i="4"/>
  <c r="B2671" i="4"/>
  <c r="B2672" i="4"/>
  <c r="B2673" i="4"/>
  <c r="B2674" i="4"/>
  <c r="B2675" i="4"/>
  <c r="B2676" i="4"/>
  <c r="B2677" i="4"/>
  <c r="B2678" i="4"/>
  <c r="B2679" i="4"/>
  <c r="B2680" i="4"/>
  <c r="B2681" i="4"/>
  <c r="B2682" i="4"/>
  <c r="B2683" i="4"/>
  <c r="B2684" i="4"/>
  <c r="B2685" i="4"/>
  <c r="B2686" i="4"/>
  <c r="B2687" i="4"/>
  <c r="B2688" i="4"/>
  <c r="B2689" i="4"/>
  <c r="B2690" i="4"/>
  <c r="B2691" i="4"/>
  <c r="B2692" i="4"/>
  <c r="B2693" i="4"/>
  <c r="B2694" i="4"/>
  <c r="B2695" i="4"/>
  <c r="B2696" i="4"/>
  <c r="B2697" i="4"/>
  <c r="B2698" i="4"/>
  <c r="B2699" i="4"/>
  <c r="B2700" i="4"/>
  <c r="B2701" i="4"/>
  <c r="B2702" i="4"/>
  <c r="B2703" i="4"/>
  <c r="B2704" i="4"/>
  <c r="B2705" i="4"/>
  <c r="B2706" i="4"/>
  <c r="B2707" i="4"/>
  <c r="B2708" i="4"/>
  <c r="B2709" i="4"/>
  <c r="B2710" i="4"/>
  <c r="B2711" i="4"/>
  <c r="B2712" i="4"/>
  <c r="B2713" i="4"/>
  <c r="B2714" i="4"/>
  <c r="B2715" i="4"/>
  <c r="B2716" i="4"/>
  <c r="B2717" i="4"/>
  <c r="B2718" i="4"/>
  <c r="B2719" i="4"/>
  <c r="B2720" i="4"/>
  <c r="B2721" i="4"/>
  <c r="B2722" i="4"/>
  <c r="B2723" i="4"/>
  <c r="B2724" i="4"/>
  <c r="B2725" i="4"/>
  <c r="B2726" i="4"/>
  <c r="B2727" i="4"/>
  <c r="B2728" i="4"/>
  <c r="B2729" i="4"/>
  <c r="B2730" i="4"/>
  <c r="B2731" i="4"/>
  <c r="B2732" i="4"/>
  <c r="B2733" i="4"/>
  <c r="B2734" i="4"/>
  <c r="B2735" i="4"/>
  <c r="B2736" i="4"/>
  <c r="B2737" i="4"/>
  <c r="B2738" i="4"/>
  <c r="B2739" i="4"/>
  <c r="B2740" i="4"/>
  <c r="B2741" i="4"/>
  <c r="B2742" i="4"/>
  <c r="B2743" i="4"/>
  <c r="B2744" i="4"/>
  <c r="B2745" i="4"/>
  <c r="B2746" i="4"/>
  <c r="B2747" i="4"/>
  <c r="B2748" i="4"/>
  <c r="B2749" i="4"/>
  <c r="B2750" i="4"/>
  <c r="B2751" i="4"/>
  <c r="B2752" i="4"/>
  <c r="B2753" i="4"/>
  <c r="B2754" i="4"/>
  <c r="B2755" i="4"/>
  <c r="B2756" i="4"/>
  <c r="B2757" i="4"/>
  <c r="B2758" i="4"/>
  <c r="B2759" i="4"/>
  <c r="B2760" i="4"/>
  <c r="B2761" i="4"/>
  <c r="B2762" i="4"/>
  <c r="B2763" i="4"/>
  <c r="B2764" i="4"/>
  <c r="B2765" i="4"/>
  <c r="B2766" i="4"/>
  <c r="B2767" i="4"/>
  <c r="B2768" i="4"/>
  <c r="B2769" i="4"/>
  <c r="B2770" i="4"/>
  <c r="B2771" i="4"/>
  <c r="B2772" i="4"/>
  <c r="B2773" i="4"/>
  <c r="B2774" i="4"/>
  <c r="B2775" i="4"/>
  <c r="B2776" i="4"/>
  <c r="B2777" i="4"/>
  <c r="B2778" i="4"/>
  <c r="B2779" i="4"/>
  <c r="B2780" i="4"/>
  <c r="B2781" i="4"/>
  <c r="B2782" i="4"/>
  <c r="B2783" i="4"/>
  <c r="B2784" i="4"/>
  <c r="B2785" i="4"/>
  <c r="B2786" i="4"/>
  <c r="B2787" i="4"/>
  <c r="B2788" i="4"/>
  <c r="B2789" i="4"/>
  <c r="B2790" i="4"/>
  <c r="B2791" i="4"/>
  <c r="B2792" i="4"/>
  <c r="B2793" i="4"/>
  <c r="B2794" i="4"/>
  <c r="B2795" i="4"/>
  <c r="B2796" i="4"/>
  <c r="B2797" i="4"/>
  <c r="B2798" i="4"/>
  <c r="B2799" i="4"/>
  <c r="B2800" i="4"/>
  <c r="B2801" i="4"/>
  <c r="B2802" i="4"/>
  <c r="B2803" i="4"/>
  <c r="B2804" i="4"/>
  <c r="B2805" i="4"/>
  <c r="B2806" i="4"/>
  <c r="B2807" i="4"/>
  <c r="B2808" i="4"/>
  <c r="B2809" i="4"/>
  <c r="B2810" i="4"/>
  <c r="B2811" i="4"/>
  <c r="B2812" i="4"/>
  <c r="B2813" i="4"/>
  <c r="B2814" i="4"/>
  <c r="B2815" i="4"/>
  <c r="B2816" i="4"/>
  <c r="B2817" i="4"/>
  <c r="B2818" i="4"/>
  <c r="B2819" i="4"/>
  <c r="B2820" i="4"/>
  <c r="B2821" i="4"/>
  <c r="B2822" i="4"/>
  <c r="B2823" i="4"/>
  <c r="B2824" i="4"/>
  <c r="B2825" i="4"/>
  <c r="B2826" i="4"/>
  <c r="B2827" i="4"/>
  <c r="B2828" i="4"/>
  <c r="B2829" i="4"/>
  <c r="B2830" i="4"/>
  <c r="B2831" i="4"/>
  <c r="B2832" i="4"/>
  <c r="B2833" i="4"/>
  <c r="B2834" i="4"/>
  <c r="B2835" i="4"/>
  <c r="B2836" i="4"/>
  <c r="B2837" i="4"/>
  <c r="B2838" i="4"/>
  <c r="B2839" i="4"/>
  <c r="B2840" i="4"/>
  <c r="B2841" i="4"/>
  <c r="B2842" i="4"/>
  <c r="B2843" i="4"/>
  <c r="B2844" i="4"/>
  <c r="B2845" i="4"/>
  <c r="B2846" i="4"/>
  <c r="B2847" i="4"/>
  <c r="B2848" i="4"/>
  <c r="B2849" i="4"/>
  <c r="B2850" i="4"/>
  <c r="B2851" i="4"/>
  <c r="B2852" i="4"/>
  <c r="B2853" i="4"/>
  <c r="B2854" i="4"/>
  <c r="B2855" i="4"/>
  <c r="B2856" i="4"/>
  <c r="B2857" i="4"/>
  <c r="B2858" i="4"/>
  <c r="B2859" i="4"/>
  <c r="B2860" i="4"/>
  <c r="B2861" i="4"/>
  <c r="B2862" i="4"/>
  <c r="B2863" i="4"/>
  <c r="B2864" i="4"/>
  <c r="B2865" i="4"/>
  <c r="B2866" i="4"/>
  <c r="B2867" i="4"/>
  <c r="B2868" i="4"/>
  <c r="B2869" i="4"/>
  <c r="B2870" i="4"/>
  <c r="B2871" i="4"/>
  <c r="B2872" i="4"/>
  <c r="B2873" i="4"/>
  <c r="B2874" i="4"/>
  <c r="B2875" i="4"/>
  <c r="B2876" i="4"/>
  <c r="B2877" i="4"/>
  <c r="B2878" i="4"/>
  <c r="B2879" i="4"/>
  <c r="B2880" i="4"/>
  <c r="B2881" i="4"/>
  <c r="B2882" i="4"/>
  <c r="B2883" i="4"/>
  <c r="B2884" i="4"/>
  <c r="B2885" i="4"/>
  <c r="B2886" i="4"/>
  <c r="B2887" i="4"/>
  <c r="B2888" i="4"/>
  <c r="B2889" i="4"/>
  <c r="B2890" i="4"/>
  <c r="B2891" i="4"/>
  <c r="B2892" i="4"/>
  <c r="B2893" i="4"/>
  <c r="B2894" i="4"/>
  <c r="B2895" i="4"/>
  <c r="B2896" i="4"/>
  <c r="B2897" i="4"/>
  <c r="B2898" i="4"/>
  <c r="B2899" i="4"/>
  <c r="B2900" i="4"/>
  <c r="B2901" i="4"/>
  <c r="B2902" i="4"/>
  <c r="B2903" i="4"/>
  <c r="B2904" i="4"/>
  <c r="B2905" i="4"/>
  <c r="B2906" i="4"/>
  <c r="B2907" i="4"/>
  <c r="B2908" i="4"/>
  <c r="B2909" i="4"/>
  <c r="B2910" i="4"/>
  <c r="B2911" i="4"/>
  <c r="B2912" i="4"/>
  <c r="B2913" i="4"/>
  <c r="B2914" i="4"/>
  <c r="B2915" i="4"/>
  <c r="B2916" i="4"/>
  <c r="B2917" i="4"/>
  <c r="B2918" i="4"/>
  <c r="B2919" i="4"/>
  <c r="B2920" i="4"/>
  <c r="B2921" i="4"/>
  <c r="B2922" i="4"/>
  <c r="B2923" i="4"/>
  <c r="B2924" i="4"/>
  <c r="B2925" i="4"/>
  <c r="B2926" i="4"/>
  <c r="B2927" i="4"/>
  <c r="B2928" i="4"/>
  <c r="B2929" i="4"/>
  <c r="B2930" i="4"/>
  <c r="B2931" i="4"/>
  <c r="B2932" i="4"/>
  <c r="B2933" i="4"/>
  <c r="B2934" i="4"/>
  <c r="B2935" i="4"/>
  <c r="B2936" i="4"/>
  <c r="B2937" i="4"/>
  <c r="B2938" i="4"/>
  <c r="B2939" i="4"/>
  <c r="B2940" i="4"/>
  <c r="B2941" i="4"/>
  <c r="B2942" i="4"/>
  <c r="B2943" i="4"/>
  <c r="B2944" i="4"/>
  <c r="B2945" i="4"/>
  <c r="B2946" i="4"/>
  <c r="B2947" i="4"/>
  <c r="B2948" i="4"/>
  <c r="B2949" i="4"/>
  <c r="B2950" i="4"/>
  <c r="B2951" i="4"/>
  <c r="B2952" i="4"/>
  <c r="B2953" i="4"/>
  <c r="B2954" i="4"/>
  <c r="B2955" i="4"/>
  <c r="B2956" i="4"/>
  <c r="B2957" i="4"/>
  <c r="B2958" i="4"/>
  <c r="B2959" i="4"/>
  <c r="B2960" i="4"/>
  <c r="B2961" i="4"/>
  <c r="B2962" i="4"/>
  <c r="B2963" i="4"/>
  <c r="B2964" i="4"/>
  <c r="B2965" i="4"/>
  <c r="B2966" i="4"/>
  <c r="B2967" i="4"/>
  <c r="B2968" i="4"/>
  <c r="B2969" i="4"/>
  <c r="B2970" i="4"/>
  <c r="B2971" i="4"/>
  <c r="B2972" i="4"/>
  <c r="B2973" i="4"/>
  <c r="B2974" i="4"/>
  <c r="B2975" i="4"/>
  <c r="B2976" i="4"/>
  <c r="B2977" i="4"/>
  <c r="B2978" i="4"/>
  <c r="B2979" i="4"/>
  <c r="B2980" i="4"/>
  <c r="B2981" i="4"/>
  <c r="B2982" i="4"/>
  <c r="B2983" i="4"/>
  <c r="B2984" i="4"/>
  <c r="B2985" i="4"/>
  <c r="B2986" i="4"/>
  <c r="B2987" i="4"/>
  <c r="B2988" i="4"/>
  <c r="B2989" i="4"/>
  <c r="B2990" i="4"/>
  <c r="B2991" i="4"/>
  <c r="B2992" i="4"/>
  <c r="B2993" i="4"/>
  <c r="B2994" i="4"/>
  <c r="B2995" i="4"/>
  <c r="B2996" i="4"/>
  <c r="B2997" i="4"/>
  <c r="B2998" i="4"/>
  <c r="B2999" i="4"/>
  <c r="B3000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327" i="4"/>
  <c r="C328" i="4"/>
  <c r="C329" i="4"/>
  <c r="C330" i="4"/>
  <c r="C331" i="4"/>
  <c r="C332" i="4"/>
  <c r="C333" i="4"/>
  <c r="C334" i="4"/>
  <c r="C335" i="4"/>
  <c r="C336" i="4"/>
  <c r="C337" i="4"/>
  <c r="C338" i="4"/>
  <c r="C339" i="4"/>
  <c r="C340" i="4"/>
  <c r="C341" i="4"/>
  <c r="C342" i="4"/>
  <c r="C343" i="4"/>
  <c r="C344" i="4"/>
  <c r="C345" i="4"/>
  <c r="C346" i="4"/>
  <c r="C347" i="4"/>
  <c r="C348" i="4"/>
  <c r="C349" i="4"/>
  <c r="C350" i="4"/>
  <c r="C351" i="4"/>
  <c r="C352" i="4"/>
  <c r="C353" i="4"/>
  <c r="C354" i="4"/>
  <c r="C355" i="4"/>
  <c r="C356" i="4"/>
  <c r="C357" i="4"/>
  <c r="C358" i="4"/>
  <c r="C359" i="4"/>
  <c r="C360" i="4"/>
  <c r="C361" i="4"/>
  <c r="C362" i="4"/>
  <c r="C363" i="4"/>
  <c r="C364" i="4"/>
  <c r="C365" i="4"/>
  <c r="C366" i="4"/>
  <c r="C367" i="4"/>
  <c r="C368" i="4"/>
  <c r="C369" i="4"/>
  <c r="C370" i="4"/>
  <c r="C371" i="4"/>
  <c r="C372" i="4"/>
  <c r="C373" i="4"/>
  <c r="C374" i="4"/>
  <c r="C375" i="4"/>
  <c r="C376" i="4"/>
  <c r="C377" i="4"/>
  <c r="C378" i="4"/>
  <c r="C379" i="4"/>
  <c r="C380" i="4"/>
  <c r="C381" i="4"/>
  <c r="C382" i="4"/>
  <c r="C383" i="4"/>
  <c r="C384" i="4"/>
  <c r="C385" i="4"/>
  <c r="C386" i="4"/>
  <c r="C387" i="4"/>
  <c r="C388" i="4"/>
  <c r="C389" i="4"/>
  <c r="C390" i="4"/>
  <c r="C391" i="4"/>
  <c r="C392" i="4"/>
  <c r="C393" i="4"/>
  <c r="C394" i="4"/>
  <c r="C395" i="4"/>
  <c r="C396" i="4"/>
  <c r="C397" i="4"/>
  <c r="C398" i="4"/>
  <c r="C399" i="4"/>
  <c r="C400" i="4"/>
  <c r="C401" i="4"/>
  <c r="C402" i="4"/>
  <c r="C403" i="4"/>
  <c r="C404" i="4"/>
  <c r="C405" i="4"/>
  <c r="C406" i="4"/>
  <c r="C407" i="4"/>
  <c r="C408" i="4"/>
  <c r="C409" i="4"/>
  <c r="C410" i="4"/>
  <c r="C411" i="4"/>
  <c r="C412" i="4"/>
  <c r="C413" i="4"/>
  <c r="C414" i="4"/>
  <c r="C415" i="4"/>
  <c r="C416" i="4"/>
  <c r="C417" i="4"/>
  <c r="C418" i="4"/>
  <c r="C419" i="4"/>
  <c r="C420" i="4"/>
  <c r="C421" i="4"/>
  <c r="C422" i="4"/>
  <c r="C423" i="4"/>
  <c r="C424" i="4"/>
  <c r="C425" i="4"/>
  <c r="C426" i="4"/>
  <c r="C427" i="4"/>
  <c r="C428" i="4"/>
  <c r="C429" i="4"/>
  <c r="C430" i="4"/>
  <c r="C431" i="4"/>
  <c r="C432" i="4"/>
  <c r="C433" i="4"/>
  <c r="C434" i="4"/>
  <c r="C435" i="4"/>
  <c r="C436" i="4"/>
  <c r="C437" i="4"/>
  <c r="C438" i="4"/>
  <c r="C439" i="4"/>
  <c r="C440" i="4"/>
  <c r="C441" i="4"/>
  <c r="C442" i="4"/>
  <c r="C443" i="4"/>
  <c r="C444" i="4"/>
  <c r="C445" i="4"/>
  <c r="C446" i="4"/>
  <c r="C447" i="4"/>
  <c r="C448" i="4"/>
  <c r="C449" i="4"/>
  <c r="C450" i="4"/>
  <c r="C451" i="4"/>
  <c r="C452" i="4"/>
  <c r="C453" i="4"/>
  <c r="C454" i="4"/>
  <c r="C455" i="4"/>
  <c r="C456" i="4"/>
  <c r="C457" i="4"/>
  <c r="C458" i="4"/>
  <c r="C459" i="4"/>
  <c r="C460" i="4"/>
  <c r="C461" i="4"/>
  <c r="C462" i="4"/>
  <c r="C463" i="4"/>
  <c r="C464" i="4"/>
  <c r="C465" i="4"/>
  <c r="C466" i="4"/>
  <c r="C467" i="4"/>
  <c r="C468" i="4"/>
  <c r="C469" i="4"/>
  <c r="C470" i="4"/>
  <c r="C471" i="4"/>
  <c r="C472" i="4"/>
  <c r="C473" i="4"/>
  <c r="C474" i="4"/>
  <c r="C475" i="4"/>
  <c r="C476" i="4"/>
  <c r="C477" i="4"/>
  <c r="C478" i="4"/>
  <c r="C479" i="4"/>
  <c r="C480" i="4"/>
  <c r="C481" i="4"/>
  <c r="C482" i="4"/>
  <c r="C483" i="4"/>
  <c r="C484" i="4"/>
  <c r="C485" i="4"/>
  <c r="C486" i="4"/>
  <c r="C487" i="4"/>
  <c r="C488" i="4"/>
  <c r="C489" i="4"/>
  <c r="C490" i="4"/>
  <c r="C491" i="4"/>
  <c r="C492" i="4"/>
  <c r="C493" i="4"/>
  <c r="C494" i="4"/>
  <c r="C495" i="4"/>
  <c r="C496" i="4"/>
  <c r="C497" i="4"/>
  <c r="C498" i="4"/>
  <c r="C499" i="4"/>
  <c r="C500" i="4"/>
  <c r="C501" i="4"/>
  <c r="C502" i="4"/>
  <c r="C503" i="4"/>
  <c r="C504" i="4"/>
  <c r="C505" i="4"/>
  <c r="C506" i="4"/>
  <c r="C507" i="4"/>
  <c r="C508" i="4"/>
  <c r="C509" i="4"/>
  <c r="C510" i="4"/>
  <c r="C511" i="4"/>
  <c r="C512" i="4"/>
  <c r="C513" i="4"/>
  <c r="C514" i="4"/>
  <c r="C515" i="4"/>
  <c r="C516" i="4"/>
  <c r="C517" i="4"/>
  <c r="C518" i="4"/>
  <c r="C519" i="4"/>
  <c r="C520" i="4"/>
  <c r="C521" i="4"/>
  <c r="C522" i="4"/>
  <c r="C523" i="4"/>
  <c r="C524" i="4"/>
  <c r="C525" i="4"/>
  <c r="C526" i="4"/>
  <c r="C527" i="4"/>
  <c r="C528" i="4"/>
  <c r="C529" i="4"/>
  <c r="C530" i="4"/>
  <c r="C531" i="4"/>
  <c r="C532" i="4"/>
  <c r="C533" i="4"/>
  <c r="C534" i="4"/>
  <c r="C535" i="4"/>
  <c r="C536" i="4"/>
  <c r="C537" i="4"/>
  <c r="C538" i="4"/>
  <c r="C539" i="4"/>
  <c r="C540" i="4"/>
  <c r="C541" i="4"/>
  <c r="C542" i="4"/>
  <c r="C543" i="4"/>
  <c r="C544" i="4"/>
  <c r="C545" i="4"/>
  <c r="C546" i="4"/>
  <c r="C547" i="4"/>
  <c r="C548" i="4"/>
  <c r="C549" i="4"/>
  <c r="C550" i="4"/>
  <c r="C551" i="4"/>
  <c r="C552" i="4"/>
  <c r="C553" i="4"/>
  <c r="C554" i="4"/>
  <c r="C555" i="4"/>
  <c r="C556" i="4"/>
  <c r="C557" i="4"/>
  <c r="C558" i="4"/>
  <c r="C559" i="4"/>
  <c r="C560" i="4"/>
  <c r="C561" i="4"/>
  <c r="C562" i="4"/>
  <c r="C563" i="4"/>
  <c r="C564" i="4"/>
  <c r="C565" i="4"/>
  <c r="C566" i="4"/>
  <c r="C567" i="4"/>
  <c r="C568" i="4"/>
  <c r="C569" i="4"/>
  <c r="C570" i="4"/>
  <c r="C571" i="4"/>
  <c r="C572" i="4"/>
  <c r="C573" i="4"/>
  <c r="C574" i="4"/>
  <c r="C575" i="4"/>
  <c r="C576" i="4"/>
  <c r="C577" i="4"/>
  <c r="C578" i="4"/>
  <c r="C579" i="4"/>
  <c r="C580" i="4"/>
  <c r="C581" i="4"/>
  <c r="C582" i="4"/>
  <c r="C583" i="4"/>
  <c r="C584" i="4"/>
  <c r="C585" i="4"/>
  <c r="C586" i="4"/>
  <c r="C587" i="4"/>
  <c r="C588" i="4"/>
  <c r="C589" i="4"/>
  <c r="C590" i="4"/>
  <c r="C591" i="4"/>
  <c r="C592" i="4"/>
  <c r="C593" i="4"/>
  <c r="C594" i="4"/>
  <c r="C595" i="4"/>
  <c r="C596" i="4"/>
  <c r="C597" i="4"/>
  <c r="C598" i="4"/>
  <c r="C599" i="4"/>
  <c r="C600" i="4"/>
  <c r="C601" i="4"/>
  <c r="C602" i="4"/>
  <c r="C603" i="4"/>
  <c r="C604" i="4"/>
  <c r="C605" i="4"/>
  <c r="C606" i="4"/>
  <c r="C607" i="4"/>
  <c r="C608" i="4"/>
  <c r="C609" i="4"/>
  <c r="C610" i="4"/>
  <c r="C611" i="4"/>
  <c r="C612" i="4"/>
  <c r="C613" i="4"/>
  <c r="C614" i="4"/>
  <c r="C615" i="4"/>
  <c r="C616" i="4"/>
  <c r="C617" i="4"/>
  <c r="C618" i="4"/>
  <c r="C619" i="4"/>
  <c r="C620" i="4"/>
  <c r="C621" i="4"/>
  <c r="C622" i="4"/>
  <c r="C623" i="4"/>
  <c r="C624" i="4"/>
  <c r="C625" i="4"/>
  <c r="C626" i="4"/>
  <c r="C627" i="4"/>
  <c r="C628" i="4"/>
  <c r="C629" i="4"/>
  <c r="C630" i="4"/>
  <c r="C631" i="4"/>
  <c r="C632" i="4"/>
  <c r="C633" i="4"/>
  <c r="C634" i="4"/>
  <c r="C635" i="4"/>
  <c r="C636" i="4"/>
  <c r="C637" i="4"/>
  <c r="C638" i="4"/>
  <c r="C639" i="4"/>
  <c r="C640" i="4"/>
  <c r="C641" i="4"/>
  <c r="C642" i="4"/>
  <c r="C643" i="4"/>
  <c r="C644" i="4"/>
  <c r="C645" i="4"/>
  <c r="C646" i="4"/>
  <c r="C647" i="4"/>
  <c r="C648" i="4"/>
  <c r="C649" i="4"/>
  <c r="C650" i="4"/>
  <c r="C651" i="4"/>
  <c r="C652" i="4"/>
  <c r="C653" i="4"/>
  <c r="C654" i="4"/>
  <c r="C655" i="4"/>
  <c r="C656" i="4"/>
  <c r="C657" i="4"/>
  <c r="C658" i="4"/>
  <c r="C659" i="4"/>
  <c r="C660" i="4"/>
  <c r="C661" i="4"/>
  <c r="C662" i="4"/>
  <c r="C663" i="4"/>
  <c r="C664" i="4"/>
  <c r="C665" i="4"/>
  <c r="C666" i="4"/>
  <c r="C667" i="4"/>
  <c r="C668" i="4"/>
  <c r="C669" i="4"/>
  <c r="C670" i="4"/>
  <c r="C671" i="4"/>
  <c r="C672" i="4"/>
  <c r="C673" i="4"/>
  <c r="C674" i="4"/>
  <c r="C675" i="4"/>
  <c r="C676" i="4"/>
  <c r="C677" i="4"/>
  <c r="C678" i="4"/>
  <c r="C679" i="4"/>
  <c r="C680" i="4"/>
  <c r="C681" i="4"/>
  <c r="C682" i="4"/>
  <c r="C683" i="4"/>
  <c r="C684" i="4"/>
  <c r="C685" i="4"/>
  <c r="C686" i="4"/>
  <c r="C687" i="4"/>
  <c r="C688" i="4"/>
  <c r="C689" i="4"/>
  <c r="C690" i="4"/>
  <c r="C691" i="4"/>
  <c r="C692" i="4"/>
  <c r="C693" i="4"/>
  <c r="C694" i="4"/>
  <c r="C695" i="4"/>
  <c r="C696" i="4"/>
  <c r="C697" i="4"/>
  <c r="C698" i="4"/>
  <c r="C699" i="4"/>
  <c r="C700" i="4"/>
  <c r="C701" i="4"/>
  <c r="C702" i="4"/>
  <c r="C703" i="4"/>
  <c r="C704" i="4"/>
  <c r="C705" i="4"/>
  <c r="C706" i="4"/>
  <c r="C707" i="4"/>
  <c r="C708" i="4"/>
  <c r="C709" i="4"/>
  <c r="C710" i="4"/>
  <c r="C711" i="4"/>
  <c r="C712" i="4"/>
  <c r="C713" i="4"/>
  <c r="C714" i="4"/>
  <c r="C715" i="4"/>
  <c r="C716" i="4"/>
  <c r="C717" i="4"/>
  <c r="C718" i="4"/>
  <c r="C719" i="4"/>
  <c r="C720" i="4"/>
  <c r="C721" i="4"/>
  <c r="C722" i="4"/>
  <c r="C723" i="4"/>
  <c r="C724" i="4"/>
  <c r="C725" i="4"/>
  <c r="C726" i="4"/>
  <c r="C727" i="4"/>
  <c r="C728" i="4"/>
  <c r="C729" i="4"/>
  <c r="C730" i="4"/>
  <c r="C731" i="4"/>
  <c r="C732" i="4"/>
  <c r="C733" i="4"/>
  <c r="C734" i="4"/>
  <c r="C735" i="4"/>
  <c r="C736" i="4"/>
  <c r="C737" i="4"/>
  <c r="C738" i="4"/>
  <c r="C739" i="4"/>
  <c r="C740" i="4"/>
  <c r="C741" i="4"/>
  <c r="C742" i="4"/>
  <c r="C743" i="4"/>
  <c r="C744" i="4"/>
  <c r="C745" i="4"/>
  <c r="C746" i="4"/>
  <c r="C747" i="4"/>
  <c r="C748" i="4"/>
  <c r="C749" i="4"/>
  <c r="C750" i="4"/>
  <c r="C751" i="4"/>
  <c r="C752" i="4"/>
  <c r="C753" i="4"/>
  <c r="C754" i="4"/>
  <c r="C755" i="4"/>
  <c r="C756" i="4"/>
  <c r="C757" i="4"/>
  <c r="C758" i="4"/>
  <c r="C759" i="4"/>
  <c r="C760" i="4"/>
  <c r="C761" i="4"/>
  <c r="C762" i="4"/>
  <c r="C763" i="4"/>
  <c r="C764" i="4"/>
  <c r="C765" i="4"/>
  <c r="C766" i="4"/>
  <c r="C767" i="4"/>
  <c r="C768" i="4"/>
  <c r="C769" i="4"/>
  <c r="C770" i="4"/>
  <c r="C771" i="4"/>
  <c r="C772" i="4"/>
  <c r="C773" i="4"/>
  <c r="C774" i="4"/>
  <c r="C775" i="4"/>
  <c r="C776" i="4"/>
  <c r="C777" i="4"/>
  <c r="C778" i="4"/>
  <c r="C779" i="4"/>
  <c r="C780" i="4"/>
  <c r="C781" i="4"/>
  <c r="C782" i="4"/>
  <c r="C783" i="4"/>
  <c r="C784" i="4"/>
  <c r="C785" i="4"/>
  <c r="C786" i="4"/>
  <c r="C787" i="4"/>
  <c r="C788" i="4"/>
  <c r="C789" i="4"/>
  <c r="C790" i="4"/>
  <c r="C791" i="4"/>
  <c r="C792" i="4"/>
  <c r="C793" i="4"/>
  <c r="C794" i="4"/>
  <c r="C795" i="4"/>
  <c r="C796" i="4"/>
  <c r="C797" i="4"/>
  <c r="C798" i="4"/>
  <c r="C799" i="4"/>
  <c r="C800" i="4"/>
  <c r="C801" i="4"/>
  <c r="C802" i="4"/>
  <c r="C803" i="4"/>
  <c r="C804" i="4"/>
  <c r="C805" i="4"/>
  <c r="C806" i="4"/>
  <c r="C807" i="4"/>
  <c r="C808" i="4"/>
  <c r="C809" i="4"/>
  <c r="C810" i="4"/>
  <c r="C811" i="4"/>
  <c r="C812" i="4"/>
  <c r="C813" i="4"/>
  <c r="C814" i="4"/>
  <c r="C815" i="4"/>
  <c r="C816" i="4"/>
  <c r="C817" i="4"/>
  <c r="C818" i="4"/>
  <c r="C819" i="4"/>
  <c r="C820" i="4"/>
  <c r="C821" i="4"/>
  <c r="C822" i="4"/>
  <c r="C823" i="4"/>
  <c r="C824" i="4"/>
  <c r="C825" i="4"/>
  <c r="C826" i="4"/>
  <c r="C827" i="4"/>
  <c r="C828" i="4"/>
  <c r="C829" i="4"/>
  <c r="C830" i="4"/>
  <c r="C831" i="4"/>
  <c r="C832" i="4"/>
  <c r="C833" i="4"/>
  <c r="C834" i="4"/>
  <c r="C835" i="4"/>
  <c r="C836" i="4"/>
  <c r="C837" i="4"/>
  <c r="C838" i="4"/>
  <c r="C839" i="4"/>
  <c r="C840" i="4"/>
  <c r="C841" i="4"/>
  <c r="C842" i="4"/>
  <c r="C843" i="4"/>
  <c r="C844" i="4"/>
  <c r="C845" i="4"/>
  <c r="C846" i="4"/>
  <c r="C847" i="4"/>
  <c r="C848" i="4"/>
  <c r="C849" i="4"/>
  <c r="C850" i="4"/>
  <c r="C851" i="4"/>
  <c r="C852" i="4"/>
  <c r="C853" i="4"/>
  <c r="C854" i="4"/>
  <c r="C855" i="4"/>
  <c r="C856" i="4"/>
  <c r="C857" i="4"/>
  <c r="C858" i="4"/>
  <c r="C859" i="4"/>
  <c r="C860" i="4"/>
  <c r="C861" i="4"/>
  <c r="C862" i="4"/>
  <c r="C863" i="4"/>
  <c r="C864" i="4"/>
  <c r="C865" i="4"/>
  <c r="C866" i="4"/>
  <c r="C867" i="4"/>
  <c r="C868" i="4"/>
  <c r="C869" i="4"/>
  <c r="C870" i="4"/>
  <c r="C871" i="4"/>
  <c r="C872" i="4"/>
  <c r="C873" i="4"/>
  <c r="C874" i="4"/>
  <c r="C875" i="4"/>
  <c r="C876" i="4"/>
  <c r="C877" i="4"/>
  <c r="C878" i="4"/>
  <c r="C879" i="4"/>
  <c r="C880" i="4"/>
  <c r="C881" i="4"/>
  <c r="C882" i="4"/>
  <c r="C883" i="4"/>
  <c r="C884" i="4"/>
  <c r="C885" i="4"/>
  <c r="C886" i="4"/>
  <c r="C887" i="4"/>
  <c r="C888" i="4"/>
  <c r="C889" i="4"/>
  <c r="C890" i="4"/>
  <c r="C891" i="4"/>
  <c r="C892" i="4"/>
  <c r="C893" i="4"/>
  <c r="C894" i="4"/>
  <c r="C895" i="4"/>
  <c r="C896" i="4"/>
  <c r="C897" i="4"/>
  <c r="C898" i="4"/>
  <c r="C899" i="4"/>
  <c r="C900" i="4"/>
  <c r="C901" i="4"/>
  <c r="C902" i="4"/>
  <c r="C903" i="4"/>
  <c r="C904" i="4"/>
  <c r="C905" i="4"/>
  <c r="C906" i="4"/>
  <c r="C907" i="4"/>
  <c r="C908" i="4"/>
  <c r="C909" i="4"/>
  <c r="C910" i="4"/>
  <c r="C911" i="4"/>
  <c r="C912" i="4"/>
  <c r="C913" i="4"/>
  <c r="C914" i="4"/>
  <c r="C915" i="4"/>
  <c r="C916" i="4"/>
  <c r="C917" i="4"/>
  <c r="C918" i="4"/>
  <c r="C919" i="4"/>
  <c r="C920" i="4"/>
  <c r="C921" i="4"/>
  <c r="C922" i="4"/>
  <c r="C923" i="4"/>
  <c r="C924" i="4"/>
  <c r="C925" i="4"/>
  <c r="C926" i="4"/>
  <c r="C927" i="4"/>
  <c r="C928" i="4"/>
  <c r="C929" i="4"/>
  <c r="C930" i="4"/>
  <c r="C931" i="4"/>
  <c r="C932" i="4"/>
  <c r="C933" i="4"/>
  <c r="C934" i="4"/>
  <c r="C935" i="4"/>
  <c r="C936" i="4"/>
  <c r="C937" i="4"/>
  <c r="C938" i="4"/>
  <c r="C939" i="4"/>
  <c r="C940" i="4"/>
  <c r="C941" i="4"/>
  <c r="C942" i="4"/>
  <c r="C943" i="4"/>
  <c r="C944" i="4"/>
  <c r="C945" i="4"/>
  <c r="C946" i="4"/>
  <c r="C947" i="4"/>
  <c r="C948" i="4"/>
  <c r="C949" i="4"/>
  <c r="C950" i="4"/>
  <c r="C951" i="4"/>
  <c r="C952" i="4"/>
  <c r="C953" i="4"/>
  <c r="C954" i="4"/>
  <c r="C955" i="4"/>
  <c r="C956" i="4"/>
  <c r="C957" i="4"/>
  <c r="C958" i="4"/>
  <c r="C959" i="4"/>
  <c r="C960" i="4"/>
  <c r="C961" i="4"/>
  <c r="C962" i="4"/>
  <c r="C963" i="4"/>
  <c r="C964" i="4"/>
  <c r="C965" i="4"/>
  <c r="C966" i="4"/>
  <c r="C967" i="4"/>
  <c r="C968" i="4"/>
  <c r="C969" i="4"/>
  <c r="C970" i="4"/>
  <c r="C971" i="4"/>
  <c r="C972" i="4"/>
  <c r="C973" i="4"/>
  <c r="C974" i="4"/>
  <c r="C975" i="4"/>
  <c r="C976" i="4"/>
  <c r="C977" i="4"/>
  <c r="C978" i="4"/>
  <c r="C979" i="4"/>
  <c r="C980" i="4"/>
  <c r="C981" i="4"/>
  <c r="C982" i="4"/>
  <c r="C983" i="4"/>
  <c r="C984" i="4"/>
  <c r="C985" i="4"/>
  <c r="C986" i="4"/>
  <c r="C987" i="4"/>
  <c r="C988" i="4"/>
  <c r="C989" i="4"/>
  <c r="C990" i="4"/>
  <c r="C991" i="4"/>
  <c r="C992" i="4"/>
  <c r="C993" i="4"/>
  <c r="C994" i="4"/>
  <c r="C995" i="4"/>
  <c r="C996" i="4"/>
  <c r="C997" i="4"/>
  <c r="C998" i="4"/>
  <c r="C999" i="4"/>
  <c r="C1000" i="4"/>
  <c r="C1001" i="4"/>
  <c r="C1002" i="4"/>
  <c r="C1003" i="4"/>
  <c r="C1004" i="4"/>
  <c r="C1005" i="4"/>
  <c r="C1006" i="4"/>
  <c r="C1007" i="4"/>
  <c r="C1008" i="4"/>
  <c r="C1009" i="4"/>
  <c r="C1010" i="4"/>
  <c r="C1011" i="4"/>
  <c r="C1012" i="4"/>
  <c r="C1013" i="4"/>
  <c r="C1014" i="4"/>
  <c r="C1015" i="4"/>
  <c r="C1016" i="4"/>
  <c r="C1017" i="4"/>
  <c r="C1018" i="4"/>
  <c r="C1019" i="4"/>
  <c r="C1020" i="4"/>
  <c r="C1021" i="4"/>
  <c r="C1022" i="4"/>
  <c r="C1023" i="4"/>
  <c r="C1024" i="4"/>
  <c r="C1025" i="4"/>
  <c r="C1026" i="4"/>
  <c r="C1027" i="4"/>
  <c r="C1028" i="4"/>
  <c r="C1029" i="4"/>
  <c r="C1030" i="4"/>
  <c r="C1031" i="4"/>
  <c r="C1032" i="4"/>
  <c r="C1033" i="4"/>
  <c r="C1034" i="4"/>
  <c r="C1035" i="4"/>
  <c r="C1036" i="4"/>
  <c r="C1037" i="4"/>
  <c r="C1038" i="4"/>
  <c r="C1039" i="4"/>
  <c r="C1040" i="4"/>
  <c r="C1041" i="4"/>
  <c r="C1042" i="4"/>
  <c r="C1043" i="4"/>
  <c r="C1044" i="4"/>
  <c r="C1045" i="4"/>
  <c r="C1046" i="4"/>
  <c r="C1047" i="4"/>
  <c r="C1048" i="4"/>
  <c r="C1049" i="4"/>
  <c r="C1050" i="4"/>
  <c r="C1051" i="4"/>
  <c r="C1052" i="4"/>
  <c r="C1053" i="4"/>
  <c r="C1054" i="4"/>
  <c r="C1055" i="4"/>
  <c r="C1056" i="4"/>
  <c r="C1057" i="4"/>
  <c r="C1058" i="4"/>
  <c r="C1059" i="4"/>
  <c r="C1060" i="4"/>
  <c r="C1061" i="4"/>
  <c r="C1062" i="4"/>
  <c r="C1063" i="4"/>
  <c r="C1064" i="4"/>
  <c r="C1065" i="4"/>
  <c r="C1066" i="4"/>
  <c r="C1067" i="4"/>
  <c r="C1068" i="4"/>
  <c r="C1069" i="4"/>
  <c r="C1070" i="4"/>
  <c r="C1071" i="4"/>
  <c r="C1072" i="4"/>
  <c r="C1073" i="4"/>
  <c r="C1074" i="4"/>
  <c r="C1075" i="4"/>
  <c r="C1076" i="4"/>
  <c r="C1077" i="4"/>
  <c r="C1078" i="4"/>
  <c r="C1079" i="4"/>
  <c r="C1080" i="4"/>
  <c r="C1081" i="4"/>
  <c r="C1082" i="4"/>
  <c r="C1083" i="4"/>
  <c r="C1084" i="4"/>
  <c r="C1085" i="4"/>
  <c r="C1086" i="4"/>
  <c r="C1087" i="4"/>
  <c r="C1088" i="4"/>
  <c r="C1089" i="4"/>
  <c r="C1090" i="4"/>
  <c r="C1091" i="4"/>
  <c r="C1092" i="4"/>
  <c r="C1093" i="4"/>
  <c r="C1094" i="4"/>
  <c r="C1095" i="4"/>
  <c r="C1096" i="4"/>
  <c r="C1097" i="4"/>
  <c r="C1098" i="4"/>
  <c r="C1099" i="4"/>
  <c r="C1100" i="4"/>
  <c r="C1101" i="4"/>
  <c r="C1102" i="4"/>
  <c r="C1103" i="4"/>
  <c r="C1104" i="4"/>
  <c r="C1105" i="4"/>
  <c r="C1106" i="4"/>
  <c r="C1107" i="4"/>
  <c r="C1108" i="4"/>
  <c r="C1109" i="4"/>
  <c r="C1110" i="4"/>
  <c r="C1111" i="4"/>
  <c r="C1112" i="4"/>
  <c r="C1113" i="4"/>
  <c r="C1114" i="4"/>
  <c r="C1115" i="4"/>
  <c r="C1116" i="4"/>
  <c r="C1117" i="4"/>
  <c r="C1118" i="4"/>
  <c r="C1119" i="4"/>
  <c r="C1120" i="4"/>
  <c r="C1121" i="4"/>
  <c r="C1122" i="4"/>
  <c r="C1123" i="4"/>
  <c r="C1124" i="4"/>
  <c r="C1125" i="4"/>
  <c r="C1126" i="4"/>
  <c r="C1127" i="4"/>
  <c r="C1128" i="4"/>
  <c r="C1129" i="4"/>
  <c r="C1130" i="4"/>
  <c r="C1131" i="4"/>
  <c r="C1132" i="4"/>
  <c r="C1133" i="4"/>
  <c r="C1134" i="4"/>
  <c r="C1135" i="4"/>
  <c r="C1136" i="4"/>
  <c r="C1137" i="4"/>
  <c r="C1138" i="4"/>
  <c r="C1139" i="4"/>
  <c r="C1140" i="4"/>
  <c r="C1141" i="4"/>
  <c r="C1142" i="4"/>
  <c r="C1143" i="4"/>
  <c r="C1144" i="4"/>
  <c r="C1145" i="4"/>
  <c r="C1146" i="4"/>
  <c r="C1147" i="4"/>
  <c r="C1148" i="4"/>
  <c r="C1149" i="4"/>
  <c r="C1150" i="4"/>
  <c r="C1151" i="4"/>
  <c r="C1152" i="4"/>
  <c r="C1153" i="4"/>
  <c r="C1154" i="4"/>
  <c r="C1155" i="4"/>
  <c r="C1156" i="4"/>
  <c r="C1157" i="4"/>
  <c r="C1158" i="4"/>
  <c r="C1159" i="4"/>
  <c r="C1160" i="4"/>
  <c r="C1161" i="4"/>
  <c r="C1162" i="4"/>
  <c r="C1163" i="4"/>
  <c r="C1164" i="4"/>
  <c r="C1165" i="4"/>
  <c r="C1166" i="4"/>
  <c r="C1167" i="4"/>
  <c r="C1168" i="4"/>
  <c r="C1169" i="4"/>
  <c r="C1170" i="4"/>
  <c r="C1171" i="4"/>
  <c r="C1172" i="4"/>
  <c r="C1173" i="4"/>
  <c r="C1174" i="4"/>
  <c r="C1175" i="4"/>
  <c r="C1176" i="4"/>
  <c r="C1177" i="4"/>
  <c r="C1178" i="4"/>
  <c r="C1179" i="4"/>
  <c r="C1180" i="4"/>
  <c r="C1181" i="4"/>
  <c r="C1182" i="4"/>
  <c r="C1183" i="4"/>
  <c r="C1184" i="4"/>
  <c r="C1185" i="4"/>
  <c r="C1186" i="4"/>
  <c r="C1187" i="4"/>
  <c r="C1188" i="4"/>
  <c r="C1189" i="4"/>
  <c r="C1190" i="4"/>
  <c r="C1191" i="4"/>
  <c r="C1192" i="4"/>
  <c r="C1193" i="4"/>
  <c r="C1194" i="4"/>
  <c r="C1195" i="4"/>
  <c r="C1196" i="4"/>
  <c r="C1197" i="4"/>
  <c r="C1198" i="4"/>
  <c r="C1199" i="4"/>
  <c r="C1200" i="4"/>
  <c r="C1201" i="4"/>
  <c r="C1202" i="4"/>
  <c r="C1203" i="4"/>
  <c r="C1204" i="4"/>
  <c r="C1205" i="4"/>
  <c r="C1206" i="4"/>
  <c r="C1207" i="4"/>
  <c r="C1208" i="4"/>
  <c r="C1209" i="4"/>
  <c r="C1210" i="4"/>
  <c r="C1211" i="4"/>
  <c r="C1212" i="4"/>
  <c r="C1213" i="4"/>
  <c r="C1214" i="4"/>
  <c r="C1215" i="4"/>
  <c r="C1216" i="4"/>
  <c r="C1217" i="4"/>
  <c r="C1218" i="4"/>
  <c r="C1219" i="4"/>
  <c r="C1220" i="4"/>
  <c r="C1221" i="4"/>
  <c r="C1222" i="4"/>
  <c r="C1223" i="4"/>
  <c r="C1224" i="4"/>
  <c r="C1225" i="4"/>
  <c r="C1226" i="4"/>
  <c r="C1227" i="4"/>
  <c r="C1228" i="4"/>
  <c r="C1229" i="4"/>
  <c r="C1230" i="4"/>
  <c r="C1231" i="4"/>
  <c r="C1232" i="4"/>
  <c r="C1233" i="4"/>
  <c r="C1234" i="4"/>
  <c r="C1235" i="4"/>
  <c r="C1236" i="4"/>
  <c r="C1237" i="4"/>
  <c r="C1238" i="4"/>
  <c r="C1239" i="4"/>
  <c r="C1240" i="4"/>
  <c r="C1241" i="4"/>
  <c r="C1242" i="4"/>
  <c r="C1243" i="4"/>
  <c r="C1244" i="4"/>
  <c r="C1245" i="4"/>
  <c r="C1246" i="4"/>
  <c r="C1247" i="4"/>
  <c r="C1248" i="4"/>
  <c r="C1249" i="4"/>
  <c r="C1250" i="4"/>
  <c r="C1251" i="4"/>
  <c r="C1252" i="4"/>
  <c r="C1253" i="4"/>
  <c r="C1254" i="4"/>
  <c r="C1255" i="4"/>
  <c r="C1256" i="4"/>
  <c r="C1257" i="4"/>
  <c r="C1258" i="4"/>
  <c r="C1259" i="4"/>
  <c r="C1260" i="4"/>
  <c r="C1261" i="4"/>
  <c r="C1262" i="4"/>
  <c r="C1263" i="4"/>
  <c r="C1264" i="4"/>
  <c r="C1265" i="4"/>
  <c r="C1266" i="4"/>
  <c r="C1267" i="4"/>
  <c r="C1268" i="4"/>
  <c r="C1269" i="4"/>
  <c r="C1270" i="4"/>
  <c r="C1271" i="4"/>
  <c r="C1272" i="4"/>
  <c r="C1273" i="4"/>
  <c r="C1274" i="4"/>
  <c r="C1275" i="4"/>
  <c r="C1276" i="4"/>
  <c r="C1277" i="4"/>
  <c r="C1278" i="4"/>
  <c r="C1279" i="4"/>
  <c r="C1280" i="4"/>
  <c r="C1281" i="4"/>
  <c r="C1282" i="4"/>
  <c r="C1283" i="4"/>
  <c r="C1284" i="4"/>
  <c r="C1285" i="4"/>
  <c r="C1286" i="4"/>
  <c r="C1287" i="4"/>
  <c r="C1288" i="4"/>
  <c r="C1289" i="4"/>
  <c r="C1290" i="4"/>
  <c r="C1291" i="4"/>
  <c r="C1292" i="4"/>
  <c r="C1293" i="4"/>
  <c r="C1294" i="4"/>
  <c r="C1295" i="4"/>
  <c r="C1296" i="4"/>
  <c r="C1297" i="4"/>
  <c r="C1298" i="4"/>
  <c r="C1299" i="4"/>
  <c r="C1300" i="4"/>
  <c r="C1301" i="4"/>
  <c r="C1302" i="4"/>
  <c r="C1303" i="4"/>
  <c r="C1304" i="4"/>
  <c r="C1305" i="4"/>
  <c r="C1306" i="4"/>
  <c r="C1307" i="4"/>
  <c r="C1308" i="4"/>
  <c r="C1309" i="4"/>
  <c r="C1310" i="4"/>
  <c r="C1311" i="4"/>
  <c r="C1312" i="4"/>
  <c r="C1313" i="4"/>
  <c r="C1314" i="4"/>
  <c r="C1315" i="4"/>
  <c r="C1316" i="4"/>
  <c r="C1317" i="4"/>
  <c r="C1318" i="4"/>
  <c r="C1319" i="4"/>
  <c r="C1320" i="4"/>
  <c r="C1321" i="4"/>
  <c r="C1322" i="4"/>
  <c r="C1323" i="4"/>
  <c r="C1324" i="4"/>
  <c r="C1325" i="4"/>
  <c r="C1326" i="4"/>
  <c r="C1327" i="4"/>
  <c r="C1328" i="4"/>
  <c r="C1329" i="4"/>
  <c r="C1330" i="4"/>
  <c r="C1331" i="4"/>
  <c r="C1332" i="4"/>
  <c r="C1333" i="4"/>
  <c r="C1334" i="4"/>
  <c r="C1335" i="4"/>
  <c r="C1336" i="4"/>
  <c r="C1337" i="4"/>
  <c r="C1338" i="4"/>
  <c r="C1339" i="4"/>
  <c r="C1340" i="4"/>
  <c r="C1341" i="4"/>
  <c r="C1342" i="4"/>
  <c r="C1343" i="4"/>
  <c r="C1344" i="4"/>
  <c r="C1345" i="4"/>
  <c r="C1346" i="4"/>
  <c r="C1347" i="4"/>
  <c r="C1348" i="4"/>
  <c r="C1349" i="4"/>
  <c r="C1350" i="4"/>
  <c r="C1351" i="4"/>
  <c r="C1352" i="4"/>
  <c r="C1353" i="4"/>
  <c r="C1354" i="4"/>
  <c r="C1355" i="4"/>
  <c r="C1356" i="4"/>
  <c r="C1357" i="4"/>
  <c r="C1358" i="4"/>
  <c r="C1359" i="4"/>
  <c r="C1360" i="4"/>
  <c r="C1361" i="4"/>
  <c r="C1362" i="4"/>
  <c r="C1363" i="4"/>
  <c r="C1364" i="4"/>
  <c r="C1365" i="4"/>
  <c r="C1366" i="4"/>
  <c r="C1367" i="4"/>
  <c r="C1368" i="4"/>
  <c r="C1369" i="4"/>
  <c r="C1370" i="4"/>
  <c r="C1371" i="4"/>
  <c r="C1372" i="4"/>
  <c r="C1373" i="4"/>
  <c r="C1374" i="4"/>
  <c r="C1375" i="4"/>
  <c r="C1376" i="4"/>
  <c r="C1377" i="4"/>
  <c r="C1378" i="4"/>
  <c r="C1379" i="4"/>
  <c r="C1380" i="4"/>
  <c r="C1381" i="4"/>
  <c r="C1382" i="4"/>
  <c r="C1383" i="4"/>
  <c r="C1384" i="4"/>
  <c r="C1385" i="4"/>
  <c r="C1386" i="4"/>
  <c r="C1387" i="4"/>
  <c r="C1388" i="4"/>
  <c r="C1389" i="4"/>
  <c r="C1390" i="4"/>
  <c r="C1391" i="4"/>
  <c r="C1392" i="4"/>
  <c r="C1393" i="4"/>
  <c r="C1394" i="4"/>
  <c r="C1395" i="4"/>
  <c r="C1396" i="4"/>
  <c r="C1397" i="4"/>
  <c r="C1398" i="4"/>
  <c r="C1399" i="4"/>
  <c r="C1400" i="4"/>
  <c r="C1401" i="4"/>
  <c r="C1402" i="4"/>
  <c r="C1403" i="4"/>
  <c r="C1404" i="4"/>
  <c r="C1405" i="4"/>
  <c r="C1406" i="4"/>
  <c r="C1407" i="4"/>
  <c r="C1408" i="4"/>
  <c r="C1409" i="4"/>
  <c r="C1410" i="4"/>
  <c r="C1411" i="4"/>
  <c r="C1412" i="4"/>
  <c r="C1413" i="4"/>
  <c r="C1414" i="4"/>
  <c r="C1415" i="4"/>
  <c r="C1416" i="4"/>
  <c r="C1417" i="4"/>
  <c r="C1418" i="4"/>
  <c r="C1419" i="4"/>
  <c r="C1420" i="4"/>
  <c r="C1421" i="4"/>
  <c r="C1422" i="4"/>
  <c r="C1423" i="4"/>
  <c r="C1424" i="4"/>
  <c r="C1425" i="4"/>
  <c r="C1426" i="4"/>
  <c r="C1427" i="4"/>
  <c r="C1428" i="4"/>
  <c r="C1429" i="4"/>
  <c r="C1430" i="4"/>
  <c r="C1431" i="4"/>
  <c r="C1432" i="4"/>
  <c r="C1433" i="4"/>
  <c r="C1434" i="4"/>
  <c r="C1435" i="4"/>
  <c r="C1436" i="4"/>
  <c r="C1437" i="4"/>
  <c r="C1438" i="4"/>
  <c r="C1439" i="4"/>
  <c r="C1440" i="4"/>
  <c r="C1441" i="4"/>
  <c r="C1442" i="4"/>
  <c r="C1443" i="4"/>
  <c r="C1444" i="4"/>
  <c r="C1445" i="4"/>
  <c r="C1446" i="4"/>
  <c r="C1447" i="4"/>
  <c r="C1448" i="4"/>
  <c r="C1449" i="4"/>
  <c r="C1450" i="4"/>
  <c r="C1451" i="4"/>
  <c r="C1452" i="4"/>
  <c r="C1453" i="4"/>
  <c r="C1454" i="4"/>
  <c r="C1455" i="4"/>
  <c r="C1456" i="4"/>
  <c r="C1457" i="4"/>
  <c r="C1458" i="4"/>
  <c r="C1459" i="4"/>
  <c r="C1460" i="4"/>
  <c r="C1461" i="4"/>
  <c r="C1462" i="4"/>
  <c r="C1463" i="4"/>
  <c r="C1464" i="4"/>
  <c r="C1465" i="4"/>
  <c r="C1466" i="4"/>
  <c r="C1467" i="4"/>
  <c r="C1468" i="4"/>
  <c r="C1469" i="4"/>
  <c r="C1470" i="4"/>
  <c r="C1471" i="4"/>
  <c r="C1472" i="4"/>
  <c r="C1473" i="4"/>
  <c r="C1474" i="4"/>
  <c r="C1475" i="4"/>
  <c r="C1476" i="4"/>
  <c r="C1477" i="4"/>
  <c r="C1478" i="4"/>
  <c r="C1479" i="4"/>
  <c r="C1480" i="4"/>
  <c r="C1481" i="4"/>
  <c r="C1482" i="4"/>
  <c r="C1483" i="4"/>
  <c r="C1484" i="4"/>
  <c r="C1485" i="4"/>
  <c r="C1486" i="4"/>
  <c r="C1487" i="4"/>
  <c r="C1488" i="4"/>
  <c r="C1489" i="4"/>
  <c r="C1490" i="4"/>
  <c r="C1491" i="4"/>
  <c r="C1492" i="4"/>
  <c r="C1493" i="4"/>
  <c r="C1494" i="4"/>
  <c r="C1495" i="4"/>
  <c r="C1496" i="4"/>
  <c r="C1497" i="4"/>
  <c r="C1498" i="4"/>
  <c r="C1499" i="4"/>
  <c r="C1500" i="4"/>
  <c r="C1501" i="4"/>
  <c r="C1502" i="4"/>
  <c r="C1503" i="4"/>
  <c r="C1504" i="4"/>
  <c r="C1505" i="4"/>
  <c r="C1506" i="4"/>
  <c r="C1507" i="4"/>
  <c r="C1508" i="4"/>
  <c r="C1509" i="4"/>
  <c r="C1510" i="4"/>
  <c r="C1511" i="4"/>
  <c r="C1512" i="4"/>
  <c r="C1513" i="4"/>
  <c r="C1514" i="4"/>
  <c r="C1515" i="4"/>
  <c r="C1516" i="4"/>
  <c r="C1517" i="4"/>
  <c r="C1518" i="4"/>
  <c r="C1519" i="4"/>
  <c r="C1520" i="4"/>
  <c r="C1521" i="4"/>
  <c r="C1522" i="4"/>
  <c r="C1523" i="4"/>
  <c r="C1524" i="4"/>
  <c r="C1525" i="4"/>
  <c r="C1526" i="4"/>
  <c r="C1527" i="4"/>
  <c r="C1528" i="4"/>
  <c r="C1529" i="4"/>
  <c r="C1530" i="4"/>
  <c r="C1531" i="4"/>
  <c r="C1532" i="4"/>
  <c r="C1533" i="4"/>
  <c r="C1534" i="4"/>
  <c r="C1535" i="4"/>
  <c r="C1536" i="4"/>
  <c r="C1537" i="4"/>
  <c r="C1538" i="4"/>
  <c r="C1539" i="4"/>
  <c r="C1540" i="4"/>
  <c r="C1541" i="4"/>
  <c r="C1542" i="4"/>
  <c r="C1543" i="4"/>
  <c r="C1544" i="4"/>
  <c r="C1545" i="4"/>
  <c r="C1546" i="4"/>
  <c r="C1547" i="4"/>
  <c r="C1548" i="4"/>
  <c r="C1549" i="4"/>
  <c r="C1550" i="4"/>
  <c r="C1551" i="4"/>
  <c r="C1552" i="4"/>
  <c r="C1553" i="4"/>
  <c r="C1554" i="4"/>
  <c r="C1555" i="4"/>
  <c r="C1556" i="4"/>
  <c r="C1557" i="4"/>
  <c r="C1558" i="4"/>
  <c r="C1559" i="4"/>
  <c r="C1560" i="4"/>
  <c r="C1561" i="4"/>
  <c r="C1562" i="4"/>
  <c r="C1563" i="4"/>
  <c r="C1564" i="4"/>
  <c r="C1565" i="4"/>
  <c r="C1566" i="4"/>
  <c r="C1567" i="4"/>
  <c r="C1568" i="4"/>
  <c r="C1569" i="4"/>
  <c r="C1570" i="4"/>
  <c r="C1571" i="4"/>
  <c r="C1572" i="4"/>
  <c r="C1573" i="4"/>
  <c r="C1574" i="4"/>
  <c r="C1575" i="4"/>
  <c r="C1576" i="4"/>
  <c r="C1577" i="4"/>
  <c r="C1578" i="4"/>
  <c r="C1579" i="4"/>
  <c r="C1580" i="4"/>
  <c r="C1581" i="4"/>
  <c r="C1582" i="4"/>
  <c r="C1583" i="4"/>
  <c r="C1584" i="4"/>
  <c r="C1585" i="4"/>
  <c r="C1586" i="4"/>
  <c r="C1587" i="4"/>
  <c r="C1588" i="4"/>
  <c r="C1589" i="4"/>
  <c r="C1590" i="4"/>
  <c r="C1591" i="4"/>
  <c r="C1592" i="4"/>
  <c r="C1593" i="4"/>
  <c r="C1594" i="4"/>
  <c r="C1595" i="4"/>
  <c r="C1596" i="4"/>
  <c r="C1597" i="4"/>
  <c r="C1598" i="4"/>
  <c r="C1599" i="4"/>
  <c r="C1600" i="4"/>
  <c r="C1601" i="4"/>
  <c r="C1602" i="4"/>
  <c r="C1603" i="4"/>
  <c r="C1604" i="4"/>
  <c r="C1605" i="4"/>
  <c r="C1606" i="4"/>
  <c r="C1607" i="4"/>
  <c r="C1608" i="4"/>
  <c r="C1609" i="4"/>
  <c r="C1610" i="4"/>
  <c r="C1611" i="4"/>
  <c r="C1612" i="4"/>
  <c r="C1613" i="4"/>
  <c r="C1614" i="4"/>
  <c r="C1615" i="4"/>
  <c r="C1616" i="4"/>
  <c r="C1617" i="4"/>
  <c r="C1618" i="4"/>
  <c r="C1619" i="4"/>
  <c r="C1620" i="4"/>
  <c r="C1621" i="4"/>
  <c r="C1622" i="4"/>
  <c r="C1623" i="4"/>
  <c r="C1624" i="4"/>
  <c r="C1625" i="4"/>
  <c r="C1626" i="4"/>
  <c r="C1627" i="4"/>
  <c r="C1628" i="4"/>
  <c r="C1629" i="4"/>
  <c r="C1630" i="4"/>
  <c r="C1631" i="4"/>
  <c r="C1632" i="4"/>
  <c r="C1633" i="4"/>
  <c r="C1634" i="4"/>
  <c r="C1635" i="4"/>
  <c r="C1636" i="4"/>
  <c r="C1637" i="4"/>
  <c r="C1638" i="4"/>
  <c r="C1639" i="4"/>
  <c r="C1640" i="4"/>
  <c r="C1641" i="4"/>
  <c r="C1642" i="4"/>
  <c r="C1643" i="4"/>
  <c r="C1644" i="4"/>
  <c r="C1645" i="4"/>
  <c r="C1646" i="4"/>
  <c r="C1647" i="4"/>
  <c r="C1648" i="4"/>
  <c r="C1649" i="4"/>
  <c r="C1650" i="4"/>
  <c r="C1651" i="4"/>
  <c r="C1652" i="4"/>
  <c r="C1653" i="4"/>
  <c r="C1654" i="4"/>
  <c r="C1655" i="4"/>
  <c r="C1656" i="4"/>
  <c r="C1657" i="4"/>
  <c r="C1658" i="4"/>
  <c r="C1659" i="4"/>
  <c r="C1660" i="4"/>
  <c r="C1661" i="4"/>
  <c r="C1662" i="4"/>
  <c r="C1663" i="4"/>
  <c r="C1664" i="4"/>
  <c r="C1665" i="4"/>
  <c r="C1666" i="4"/>
  <c r="C1667" i="4"/>
  <c r="C1668" i="4"/>
  <c r="C1669" i="4"/>
  <c r="C1670" i="4"/>
  <c r="C1671" i="4"/>
  <c r="C1672" i="4"/>
  <c r="C1673" i="4"/>
  <c r="C1674" i="4"/>
  <c r="C1675" i="4"/>
  <c r="C1676" i="4"/>
  <c r="C1677" i="4"/>
  <c r="C1678" i="4"/>
  <c r="C1679" i="4"/>
  <c r="C1680" i="4"/>
  <c r="C1681" i="4"/>
  <c r="C1682" i="4"/>
  <c r="C1683" i="4"/>
  <c r="C1684" i="4"/>
  <c r="C1685" i="4"/>
  <c r="C1686" i="4"/>
  <c r="C1687" i="4"/>
  <c r="C1688" i="4"/>
  <c r="C1689" i="4"/>
  <c r="C1690" i="4"/>
  <c r="C1691" i="4"/>
  <c r="C1692" i="4"/>
  <c r="C1693" i="4"/>
  <c r="C1694" i="4"/>
  <c r="C1695" i="4"/>
  <c r="C1696" i="4"/>
  <c r="C1697" i="4"/>
  <c r="C1698" i="4"/>
  <c r="C1699" i="4"/>
  <c r="C1700" i="4"/>
  <c r="C1701" i="4"/>
  <c r="C1702" i="4"/>
  <c r="C1703" i="4"/>
  <c r="C1704" i="4"/>
  <c r="C1705" i="4"/>
  <c r="C1706" i="4"/>
  <c r="C1707" i="4"/>
  <c r="C1708" i="4"/>
  <c r="C1709" i="4"/>
  <c r="C1710" i="4"/>
  <c r="C1711" i="4"/>
  <c r="C1712" i="4"/>
  <c r="C1713" i="4"/>
  <c r="C1714" i="4"/>
  <c r="C1715" i="4"/>
  <c r="C1716" i="4"/>
  <c r="C1717" i="4"/>
  <c r="C1718" i="4"/>
  <c r="C1719" i="4"/>
  <c r="C1720" i="4"/>
  <c r="C1721" i="4"/>
  <c r="C1722" i="4"/>
  <c r="C1723" i="4"/>
  <c r="C1724" i="4"/>
  <c r="C1725" i="4"/>
  <c r="C1726" i="4"/>
  <c r="C1727" i="4"/>
  <c r="C1728" i="4"/>
  <c r="C1729" i="4"/>
  <c r="C1730" i="4"/>
  <c r="C1731" i="4"/>
  <c r="C1732" i="4"/>
  <c r="C1733" i="4"/>
  <c r="C1734" i="4"/>
  <c r="C1735" i="4"/>
  <c r="C1736" i="4"/>
  <c r="C1737" i="4"/>
  <c r="C1738" i="4"/>
  <c r="C1739" i="4"/>
  <c r="C1740" i="4"/>
  <c r="C1741" i="4"/>
  <c r="C1742" i="4"/>
  <c r="C1743" i="4"/>
  <c r="C1744" i="4"/>
  <c r="C1745" i="4"/>
  <c r="C1746" i="4"/>
  <c r="C1747" i="4"/>
  <c r="C1748" i="4"/>
  <c r="C1749" i="4"/>
  <c r="C1750" i="4"/>
  <c r="C1751" i="4"/>
  <c r="C1752" i="4"/>
  <c r="C1753" i="4"/>
  <c r="C1754" i="4"/>
  <c r="C1755" i="4"/>
  <c r="C1756" i="4"/>
  <c r="C1757" i="4"/>
  <c r="C1758" i="4"/>
  <c r="C1759" i="4"/>
  <c r="C1760" i="4"/>
  <c r="C1761" i="4"/>
  <c r="C1762" i="4"/>
  <c r="C1763" i="4"/>
  <c r="C1764" i="4"/>
  <c r="C1765" i="4"/>
  <c r="C1766" i="4"/>
  <c r="C1767" i="4"/>
  <c r="C1768" i="4"/>
  <c r="C1769" i="4"/>
  <c r="C1770" i="4"/>
  <c r="C1771" i="4"/>
  <c r="C1772" i="4"/>
  <c r="C1773" i="4"/>
  <c r="C1774" i="4"/>
  <c r="C1775" i="4"/>
  <c r="C1776" i="4"/>
  <c r="C1777" i="4"/>
  <c r="C1778" i="4"/>
  <c r="C1779" i="4"/>
  <c r="C1780" i="4"/>
  <c r="C1781" i="4"/>
  <c r="C1782" i="4"/>
  <c r="C1783" i="4"/>
  <c r="C1784" i="4"/>
  <c r="C1785" i="4"/>
  <c r="C1786" i="4"/>
  <c r="C1787" i="4"/>
  <c r="C1788" i="4"/>
  <c r="C1789" i="4"/>
  <c r="C1790" i="4"/>
  <c r="C1791" i="4"/>
  <c r="C1792" i="4"/>
  <c r="C1793" i="4"/>
  <c r="C1794" i="4"/>
  <c r="C1795" i="4"/>
  <c r="C1796" i="4"/>
  <c r="C1797" i="4"/>
  <c r="C1798" i="4"/>
  <c r="C1799" i="4"/>
  <c r="C1800" i="4"/>
  <c r="C1801" i="4"/>
  <c r="C1802" i="4"/>
  <c r="C1803" i="4"/>
  <c r="C1804" i="4"/>
  <c r="C1805" i="4"/>
  <c r="C1806" i="4"/>
  <c r="C1807" i="4"/>
  <c r="C1808" i="4"/>
  <c r="C1809" i="4"/>
  <c r="C1810" i="4"/>
  <c r="C1811" i="4"/>
  <c r="C1812" i="4"/>
  <c r="C1813" i="4"/>
  <c r="C1814" i="4"/>
  <c r="C1815" i="4"/>
  <c r="C1816" i="4"/>
  <c r="C1817" i="4"/>
  <c r="C1818" i="4"/>
  <c r="C1819" i="4"/>
  <c r="C1820" i="4"/>
  <c r="C1821" i="4"/>
  <c r="C1822" i="4"/>
  <c r="C1823" i="4"/>
  <c r="C1824" i="4"/>
  <c r="C1825" i="4"/>
  <c r="C1826" i="4"/>
  <c r="C1827" i="4"/>
  <c r="C1828" i="4"/>
  <c r="C1829" i="4"/>
  <c r="C1830" i="4"/>
  <c r="C1831" i="4"/>
  <c r="C1832" i="4"/>
  <c r="C1833" i="4"/>
  <c r="C1834" i="4"/>
  <c r="C1835" i="4"/>
  <c r="C1836" i="4"/>
  <c r="C1837" i="4"/>
  <c r="C1838" i="4"/>
  <c r="C1839" i="4"/>
  <c r="C1840" i="4"/>
  <c r="C1841" i="4"/>
  <c r="C1842" i="4"/>
  <c r="C1843" i="4"/>
  <c r="C1844" i="4"/>
  <c r="C1845" i="4"/>
  <c r="C1846" i="4"/>
  <c r="C1847" i="4"/>
  <c r="C1848" i="4"/>
  <c r="C1849" i="4"/>
  <c r="C1850" i="4"/>
  <c r="C1851" i="4"/>
  <c r="C1852" i="4"/>
  <c r="C1853" i="4"/>
  <c r="C1854" i="4"/>
  <c r="C1855" i="4"/>
  <c r="C1856" i="4"/>
  <c r="C1857" i="4"/>
  <c r="C1858" i="4"/>
  <c r="C1859" i="4"/>
  <c r="C1860" i="4"/>
  <c r="C1861" i="4"/>
  <c r="C1862" i="4"/>
  <c r="C1863" i="4"/>
  <c r="C1864" i="4"/>
  <c r="C1865" i="4"/>
  <c r="C1866" i="4"/>
  <c r="C1867" i="4"/>
  <c r="C1868" i="4"/>
  <c r="C1869" i="4"/>
  <c r="C1870" i="4"/>
  <c r="C1871" i="4"/>
  <c r="C1872" i="4"/>
  <c r="C1873" i="4"/>
  <c r="C1874" i="4"/>
  <c r="C1875" i="4"/>
  <c r="C1876" i="4"/>
  <c r="C1877" i="4"/>
  <c r="C1878" i="4"/>
  <c r="C1879" i="4"/>
  <c r="C1880" i="4"/>
  <c r="C1881" i="4"/>
  <c r="C1882" i="4"/>
  <c r="C1883" i="4"/>
  <c r="C1884" i="4"/>
  <c r="C1885" i="4"/>
  <c r="C1886" i="4"/>
  <c r="C1887" i="4"/>
  <c r="C1888" i="4"/>
  <c r="C1889" i="4"/>
  <c r="C1890" i="4"/>
  <c r="C1891" i="4"/>
  <c r="C1892" i="4"/>
  <c r="C1893" i="4"/>
  <c r="C1894" i="4"/>
  <c r="C1895" i="4"/>
  <c r="C1896" i="4"/>
  <c r="C1897" i="4"/>
  <c r="C1898" i="4"/>
  <c r="C1899" i="4"/>
  <c r="C1900" i="4"/>
  <c r="C1901" i="4"/>
  <c r="C1902" i="4"/>
  <c r="C1903" i="4"/>
  <c r="C1904" i="4"/>
  <c r="C1905" i="4"/>
  <c r="C1906" i="4"/>
  <c r="C1907" i="4"/>
  <c r="C1908" i="4"/>
  <c r="C1909" i="4"/>
  <c r="C1910" i="4"/>
  <c r="C1911" i="4"/>
  <c r="C1912" i="4"/>
  <c r="C1913" i="4"/>
  <c r="C1914" i="4"/>
  <c r="C1915" i="4"/>
  <c r="C1916" i="4"/>
  <c r="C1917" i="4"/>
  <c r="C1918" i="4"/>
  <c r="C1919" i="4"/>
  <c r="C1920" i="4"/>
  <c r="C1921" i="4"/>
  <c r="C1922" i="4"/>
  <c r="C1923" i="4"/>
  <c r="C1924" i="4"/>
  <c r="C1925" i="4"/>
  <c r="C1926" i="4"/>
  <c r="C1927" i="4"/>
  <c r="C1928" i="4"/>
  <c r="C1929" i="4"/>
  <c r="C1930" i="4"/>
  <c r="C1931" i="4"/>
  <c r="C1932" i="4"/>
  <c r="C1933" i="4"/>
  <c r="C1934" i="4"/>
  <c r="C1935" i="4"/>
  <c r="C1936" i="4"/>
  <c r="C1937" i="4"/>
  <c r="C1938" i="4"/>
  <c r="C1939" i="4"/>
  <c r="C1940" i="4"/>
  <c r="C1941" i="4"/>
  <c r="C1942" i="4"/>
  <c r="C1943" i="4"/>
  <c r="C1944" i="4"/>
  <c r="C1945" i="4"/>
  <c r="C1946" i="4"/>
  <c r="C1947" i="4"/>
  <c r="C1948" i="4"/>
  <c r="C1949" i="4"/>
  <c r="C1950" i="4"/>
  <c r="C1951" i="4"/>
  <c r="C1952" i="4"/>
  <c r="C1953" i="4"/>
  <c r="C1954" i="4"/>
  <c r="C1955" i="4"/>
  <c r="C1956" i="4"/>
  <c r="C1957" i="4"/>
  <c r="C1958" i="4"/>
  <c r="C1959" i="4"/>
  <c r="C1960" i="4"/>
  <c r="C1961" i="4"/>
  <c r="C1962" i="4"/>
  <c r="C1963" i="4"/>
  <c r="C1964" i="4"/>
  <c r="C1965" i="4"/>
  <c r="C1966" i="4"/>
  <c r="C1967" i="4"/>
  <c r="C1968" i="4"/>
  <c r="C1969" i="4"/>
  <c r="C1970" i="4"/>
  <c r="C1971" i="4"/>
  <c r="C1972" i="4"/>
  <c r="C1973" i="4"/>
  <c r="C1974" i="4"/>
  <c r="C1975" i="4"/>
  <c r="C1976" i="4"/>
  <c r="C1977" i="4"/>
  <c r="C1978" i="4"/>
  <c r="C1979" i="4"/>
  <c r="C1980" i="4"/>
  <c r="C1981" i="4"/>
  <c r="C1982" i="4"/>
  <c r="C1983" i="4"/>
  <c r="C1984" i="4"/>
  <c r="C1985" i="4"/>
  <c r="C1986" i="4"/>
  <c r="C1987" i="4"/>
  <c r="C1988" i="4"/>
  <c r="C1989" i="4"/>
  <c r="C1990" i="4"/>
  <c r="C1991" i="4"/>
  <c r="C1992" i="4"/>
  <c r="C1993" i="4"/>
  <c r="C1994" i="4"/>
  <c r="C1995" i="4"/>
  <c r="C1996" i="4"/>
  <c r="C1997" i="4"/>
  <c r="C1998" i="4"/>
  <c r="C1999" i="4"/>
  <c r="C2000" i="4"/>
  <c r="C2001" i="4"/>
  <c r="C2002" i="4"/>
  <c r="C2003" i="4"/>
  <c r="C2004" i="4"/>
  <c r="C2005" i="4"/>
  <c r="C2006" i="4"/>
  <c r="C2007" i="4"/>
  <c r="C2008" i="4"/>
  <c r="C2009" i="4"/>
  <c r="C2010" i="4"/>
  <c r="C2011" i="4"/>
  <c r="C2012" i="4"/>
  <c r="C2013" i="4"/>
  <c r="C2014" i="4"/>
  <c r="C2015" i="4"/>
  <c r="C2016" i="4"/>
  <c r="C2017" i="4"/>
  <c r="C2018" i="4"/>
  <c r="C2019" i="4"/>
  <c r="C2020" i="4"/>
  <c r="C2021" i="4"/>
  <c r="C2022" i="4"/>
  <c r="C2023" i="4"/>
  <c r="C2024" i="4"/>
  <c r="C2025" i="4"/>
  <c r="C2026" i="4"/>
  <c r="C2027" i="4"/>
  <c r="C2028" i="4"/>
  <c r="C2029" i="4"/>
  <c r="C2030" i="4"/>
  <c r="C2031" i="4"/>
  <c r="C2032" i="4"/>
  <c r="C2033" i="4"/>
  <c r="C2034" i="4"/>
  <c r="C2035" i="4"/>
  <c r="C2036" i="4"/>
  <c r="C2037" i="4"/>
  <c r="C2038" i="4"/>
  <c r="C2039" i="4"/>
  <c r="C2040" i="4"/>
  <c r="C2041" i="4"/>
  <c r="C2042" i="4"/>
  <c r="C2043" i="4"/>
  <c r="C2044" i="4"/>
  <c r="C2045" i="4"/>
  <c r="C2046" i="4"/>
  <c r="C2047" i="4"/>
  <c r="C2048" i="4"/>
  <c r="C2049" i="4"/>
  <c r="C2050" i="4"/>
  <c r="C2051" i="4"/>
  <c r="C2052" i="4"/>
  <c r="C2053" i="4"/>
  <c r="C2054" i="4"/>
  <c r="C2055" i="4"/>
  <c r="C2056" i="4"/>
  <c r="C2057" i="4"/>
  <c r="C2058" i="4"/>
  <c r="C2059" i="4"/>
  <c r="C2060" i="4"/>
  <c r="C2061" i="4"/>
  <c r="C2062" i="4"/>
  <c r="C2063" i="4"/>
  <c r="C2064" i="4"/>
  <c r="C2065" i="4"/>
  <c r="C2066" i="4"/>
  <c r="C2067" i="4"/>
  <c r="C2068" i="4"/>
  <c r="C2069" i="4"/>
  <c r="C2070" i="4"/>
  <c r="C2071" i="4"/>
  <c r="C2072" i="4"/>
  <c r="C2073" i="4"/>
  <c r="C2074" i="4"/>
  <c r="C2075" i="4"/>
  <c r="C2076" i="4"/>
  <c r="C2077" i="4"/>
  <c r="C2078" i="4"/>
  <c r="C2079" i="4"/>
  <c r="C2080" i="4"/>
  <c r="C2081" i="4"/>
  <c r="C2082" i="4"/>
  <c r="C2083" i="4"/>
  <c r="C2084" i="4"/>
  <c r="C2085" i="4"/>
  <c r="C2086" i="4"/>
  <c r="C2087" i="4"/>
  <c r="C2088" i="4"/>
  <c r="C2089" i="4"/>
  <c r="C2090" i="4"/>
  <c r="C2091" i="4"/>
  <c r="C2092" i="4"/>
  <c r="C2093" i="4"/>
  <c r="C2094" i="4"/>
  <c r="C2095" i="4"/>
  <c r="C2096" i="4"/>
  <c r="C2097" i="4"/>
  <c r="C2098" i="4"/>
  <c r="C2099" i="4"/>
  <c r="C2100" i="4"/>
  <c r="C2101" i="4"/>
  <c r="C2102" i="4"/>
  <c r="C2103" i="4"/>
  <c r="C2104" i="4"/>
  <c r="C2105" i="4"/>
  <c r="C2106" i="4"/>
  <c r="C2107" i="4"/>
  <c r="C2108" i="4"/>
  <c r="C2109" i="4"/>
  <c r="C2110" i="4"/>
  <c r="C2111" i="4"/>
  <c r="C2112" i="4"/>
  <c r="C2113" i="4"/>
  <c r="C2114" i="4"/>
  <c r="C2115" i="4"/>
  <c r="C2116" i="4"/>
  <c r="C2117" i="4"/>
  <c r="C2118" i="4"/>
  <c r="C2119" i="4"/>
  <c r="C2120" i="4"/>
  <c r="C2121" i="4"/>
  <c r="C2122" i="4"/>
  <c r="C2123" i="4"/>
  <c r="C2124" i="4"/>
  <c r="C2125" i="4"/>
  <c r="C2126" i="4"/>
  <c r="C2127" i="4"/>
  <c r="C2128" i="4"/>
  <c r="C2129" i="4"/>
  <c r="C2130" i="4"/>
  <c r="C2131" i="4"/>
  <c r="C2132" i="4"/>
  <c r="C2133" i="4"/>
  <c r="C2134" i="4"/>
  <c r="C2135" i="4"/>
  <c r="C2136" i="4"/>
  <c r="C2137" i="4"/>
  <c r="C2138" i="4"/>
  <c r="C2139" i="4"/>
  <c r="C2140" i="4"/>
  <c r="C2141" i="4"/>
  <c r="C2142" i="4"/>
  <c r="C2143" i="4"/>
  <c r="C2144" i="4"/>
  <c r="C2145" i="4"/>
  <c r="C2146" i="4"/>
  <c r="C2147" i="4"/>
  <c r="C2148" i="4"/>
  <c r="C2149" i="4"/>
  <c r="C2150" i="4"/>
  <c r="C2151" i="4"/>
  <c r="C2152" i="4"/>
  <c r="C2153" i="4"/>
  <c r="C2154" i="4"/>
  <c r="C2155" i="4"/>
  <c r="C2156" i="4"/>
  <c r="C2157" i="4"/>
  <c r="C2158" i="4"/>
  <c r="C2159" i="4"/>
  <c r="C2160" i="4"/>
  <c r="C2161" i="4"/>
  <c r="C2162" i="4"/>
  <c r="C2163" i="4"/>
  <c r="C2164" i="4"/>
  <c r="C2165" i="4"/>
  <c r="C2166" i="4"/>
  <c r="C2167" i="4"/>
  <c r="C2168" i="4"/>
  <c r="C2169" i="4"/>
  <c r="C2170" i="4"/>
  <c r="C2171" i="4"/>
  <c r="C2172" i="4"/>
  <c r="C2173" i="4"/>
  <c r="C2174" i="4"/>
  <c r="C2175" i="4"/>
  <c r="C2176" i="4"/>
  <c r="C2177" i="4"/>
  <c r="C2178" i="4"/>
  <c r="C2179" i="4"/>
  <c r="C2180" i="4"/>
  <c r="C2181" i="4"/>
  <c r="C2182" i="4"/>
  <c r="C2183" i="4"/>
  <c r="C2184" i="4"/>
  <c r="C2185" i="4"/>
  <c r="C2186" i="4"/>
  <c r="C2187" i="4"/>
  <c r="C2188" i="4"/>
  <c r="C2189" i="4"/>
  <c r="C2190" i="4"/>
  <c r="C2191" i="4"/>
  <c r="C2192" i="4"/>
  <c r="C2193" i="4"/>
  <c r="C2194" i="4"/>
  <c r="C2195" i="4"/>
  <c r="C2196" i="4"/>
  <c r="C2197" i="4"/>
  <c r="C2198" i="4"/>
  <c r="C2199" i="4"/>
  <c r="C2200" i="4"/>
  <c r="C2201" i="4"/>
  <c r="C2202" i="4"/>
  <c r="C2203" i="4"/>
  <c r="C2204" i="4"/>
  <c r="C2205" i="4"/>
  <c r="C2206" i="4"/>
  <c r="C2207" i="4"/>
  <c r="C2208" i="4"/>
  <c r="C2209" i="4"/>
  <c r="C2210" i="4"/>
  <c r="C2211" i="4"/>
  <c r="C2212" i="4"/>
  <c r="C2213" i="4"/>
  <c r="C2214" i="4"/>
  <c r="C2215" i="4"/>
  <c r="C2216" i="4"/>
  <c r="C2217" i="4"/>
  <c r="C2218" i="4"/>
  <c r="C2219" i="4"/>
  <c r="C2220" i="4"/>
  <c r="C2221" i="4"/>
  <c r="C2222" i="4"/>
  <c r="C2223" i="4"/>
  <c r="C2224" i="4"/>
  <c r="C2225" i="4"/>
  <c r="C2226" i="4"/>
  <c r="C2227" i="4"/>
  <c r="C2228" i="4"/>
  <c r="C2229" i="4"/>
  <c r="C2230" i="4"/>
  <c r="C2231" i="4"/>
  <c r="C2232" i="4"/>
  <c r="C2233" i="4"/>
  <c r="C2234" i="4"/>
  <c r="C2235" i="4"/>
  <c r="C2236" i="4"/>
  <c r="C2237" i="4"/>
  <c r="C2238" i="4"/>
  <c r="C2239" i="4"/>
  <c r="C2240" i="4"/>
  <c r="C2241" i="4"/>
  <c r="C2242" i="4"/>
  <c r="C2243" i="4"/>
  <c r="C2244" i="4"/>
  <c r="C2245" i="4"/>
  <c r="C2246" i="4"/>
  <c r="C2247" i="4"/>
  <c r="C2248" i="4"/>
  <c r="C2249" i="4"/>
  <c r="C2250" i="4"/>
  <c r="C2251" i="4"/>
  <c r="C2252" i="4"/>
  <c r="C2253" i="4"/>
  <c r="C2254" i="4"/>
  <c r="C2255" i="4"/>
  <c r="C2256" i="4"/>
  <c r="C2257" i="4"/>
  <c r="C2258" i="4"/>
  <c r="C2259" i="4"/>
  <c r="C2260" i="4"/>
  <c r="C2261" i="4"/>
  <c r="C2262" i="4"/>
  <c r="C2263" i="4"/>
  <c r="C2264" i="4"/>
  <c r="C2265" i="4"/>
  <c r="C2266" i="4"/>
  <c r="C2267" i="4"/>
  <c r="C2268" i="4"/>
  <c r="C2269" i="4"/>
  <c r="C2270" i="4"/>
  <c r="C2271" i="4"/>
  <c r="C2272" i="4"/>
  <c r="C2273" i="4"/>
  <c r="C2274" i="4"/>
  <c r="C2275" i="4"/>
  <c r="C2276" i="4"/>
  <c r="C2277" i="4"/>
  <c r="C2278" i="4"/>
  <c r="C2279" i="4"/>
  <c r="C2280" i="4"/>
  <c r="C2281" i="4"/>
  <c r="C2282" i="4"/>
  <c r="C2283" i="4"/>
  <c r="C2284" i="4"/>
  <c r="C2285" i="4"/>
  <c r="C2286" i="4"/>
  <c r="C2287" i="4"/>
  <c r="C2288" i="4"/>
  <c r="C2289" i="4"/>
  <c r="C2290" i="4"/>
  <c r="C2291" i="4"/>
  <c r="C2292" i="4"/>
  <c r="C2293" i="4"/>
  <c r="C2294" i="4"/>
  <c r="C2295" i="4"/>
  <c r="C2296" i="4"/>
  <c r="C2297" i="4"/>
  <c r="C2298" i="4"/>
  <c r="C2299" i="4"/>
  <c r="C2300" i="4"/>
  <c r="C2301" i="4"/>
  <c r="C2302" i="4"/>
  <c r="C2303" i="4"/>
  <c r="C2304" i="4"/>
  <c r="C2305" i="4"/>
  <c r="C2306" i="4"/>
  <c r="C2307" i="4"/>
  <c r="C2308" i="4"/>
  <c r="C2309" i="4"/>
  <c r="C2310" i="4"/>
  <c r="C2311" i="4"/>
  <c r="C2312" i="4"/>
  <c r="C2313" i="4"/>
  <c r="C2314" i="4"/>
  <c r="C2315" i="4"/>
  <c r="C2316" i="4"/>
  <c r="C2317" i="4"/>
  <c r="C2318" i="4"/>
  <c r="C2319" i="4"/>
  <c r="C2320" i="4"/>
  <c r="C2321" i="4"/>
  <c r="C2322" i="4"/>
  <c r="C2323" i="4"/>
  <c r="C2324" i="4"/>
  <c r="C2325" i="4"/>
  <c r="C2326" i="4"/>
  <c r="C2327" i="4"/>
  <c r="C2328" i="4"/>
  <c r="C2329" i="4"/>
  <c r="C2330" i="4"/>
  <c r="C2331" i="4"/>
  <c r="C2332" i="4"/>
  <c r="C2333" i="4"/>
  <c r="C2334" i="4"/>
  <c r="C2335" i="4"/>
  <c r="C2336" i="4"/>
  <c r="C2337" i="4"/>
  <c r="C2338" i="4"/>
  <c r="C2339" i="4"/>
  <c r="C2340" i="4"/>
  <c r="C2341" i="4"/>
  <c r="C2342" i="4"/>
  <c r="C2343" i="4"/>
  <c r="C2344" i="4"/>
  <c r="C2345" i="4"/>
  <c r="C2346" i="4"/>
  <c r="C2347" i="4"/>
  <c r="C2348" i="4"/>
  <c r="C2349" i="4"/>
  <c r="C2350" i="4"/>
  <c r="C2351" i="4"/>
  <c r="C2352" i="4"/>
  <c r="C2353" i="4"/>
  <c r="C2354" i="4"/>
  <c r="C2355" i="4"/>
  <c r="C2356" i="4"/>
  <c r="C2357" i="4"/>
  <c r="C2358" i="4"/>
  <c r="C2359" i="4"/>
  <c r="C2360" i="4"/>
  <c r="C2361" i="4"/>
  <c r="C2362" i="4"/>
  <c r="C2363" i="4"/>
  <c r="C2364" i="4"/>
  <c r="C2365" i="4"/>
  <c r="C2366" i="4"/>
  <c r="C2367" i="4"/>
  <c r="C2368" i="4"/>
  <c r="C2369" i="4"/>
  <c r="C2370" i="4"/>
  <c r="C2371" i="4"/>
  <c r="C2372" i="4"/>
  <c r="C2373" i="4"/>
  <c r="C2374" i="4"/>
  <c r="C2375" i="4"/>
  <c r="C2376" i="4"/>
  <c r="C2377" i="4"/>
  <c r="C2378" i="4"/>
  <c r="C2379" i="4"/>
  <c r="C2380" i="4"/>
  <c r="C2381" i="4"/>
  <c r="C2382" i="4"/>
  <c r="C2383" i="4"/>
  <c r="C2384" i="4"/>
  <c r="C2385" i="4"/>
  <c r="C2386" i="4"/>
  <c r="C2387" i="4"/>
  <c r="C2388" i="4"/>
  <c r="C2389" i="4"/>
  <c r="C2390" i="4"/>
  <c r="C2391" i="4"/>
  <c r="C2392" i="4"/>
  <c r="C2393" i="4"/>
  <c r="C2394" i="4"/>
  <c r="C2395" i="4"/>
  <c r="C2396" i="4"/>
  <c r="C2397" i="4"/>
  <c r="C2398" i="4"/>
  <c r="C2399" i="4"/>
  <c r="C2400" i="4"/>
  <c r="C2401" i="4"/>
  <c r="C2402" i="4"/>
  <c r="C2403" i="4"/>
  <c r="C2404" i="4"/>
  <c r="C2405" i="4"/>
  <c r="C2406" i="4"/>
  <c r="C2407" i="4"/>
  <c r="C2408" i="4"/>
  <c r="C2409" i="4"/>
  <c r="C2410" i="4"/>
  <c r="C2411" i="4"/>
  <c r="C2412" i="4"/>
  <c r="C2413" i="4"/>
  <c r="C2414" i="4"/>
  <c r="C2415" i="4"/>
  <c r="C2416" i="4"/>
  <c r="C2417" i="4"/>
  <c r="C2418" i="4"/>
  <c r="C2419" i="4"/>
  <c r="C2420" i="4"/>
  <c r="C2421" i="4"/>
  <c r="C2422" i="4"/>
  <c r="C2423" i="4"/>
  <c r="C2424" i="4"/>
  <c r="C2425" i="4"/>
  <c r="C2426" i="4"/>
  <c r="C2427" i="4"/>
  <c r="C2428" i="4"/>
  <c r="C2429" i="4"/>
  <c r="C2430" i="4"/>
  <c r="C2431" i="4"/>
  <c r="C2432" i="4"/>
  <c r="C2433" i="4"/>
  <c r="C2434" i="4"/>
  <c r="C2435" i="4"/>
  <c r="C2436" i="4"/>
  <c r="C2437" i="4"/>
  <c r="C2438" i="4"/>
  <c r="C2439" i="4"/>
  <c r="C2440" i="4"/>
  <c r="C2441" i="4"/>
  <c r="C2442" i="4"/>
  <c r="C2443" i="4"/>
  <c r="C2444" i="4"/>
  <c r="C2445" i="4"/>
  <c r="C2446" i="4"/>
  <c r="C2447" i="4"/>
  <c r="C2448" i="4"/>
  <c r="C2449" i="4"/>
  <c r="C2450" i="4"/>
  <c r="C2451" i="4"/>
  <c r="C2452" i="4"/>
  <c r="C2453" i="4"/>
  <c r="C2454" i="4"/>
  <c r="C2455" i="4"/>
  <c r="C2456" i="4"/>
  <c r="C2457" i="4"/>
  <c r="C2458" i="4"/>
  <c r="C2459" i="4"/>
  <c r="C2460" i="4"/>
  <c r="C2461" i="4"/>
  <c r="C2462" i="4"/>
  <c r="C2463" i="4"/>
  <c r="C2464" i="4"/>
  <c r="C2465" i="4"/>
  <c r="C2466" i="4"/>
  <c r="C2467" i="4"/>
  <c r="C2468" i="4"/>
  <c r="C2469" i="4"/>
  <c r="C2470" i="4"/>
  <c r="C2471" i="4"/>
  <c r="C2472" i="4"/>
  <c r="C2473" i="4"/>
  <c r="C2474" i="4"/>
  <c r="C2475" i="4"/>
  <c r="C2476" i="4"/>
  <c r="C2477" i="4"/>
  <c r="C2478" i="4"/>
  <c r="C2479" i="4"/>
  <c r="C2480" i="4"/>
  <c r="C2481" i="4"/>
  <c r="C2482" i="4"/>
  <c r="C2483" i="4"/>
  <c r="C2484" i="4"/>
  <c r="C2485" i="4"/>
  <c r="C2486" i="4"/>
  <c r="C2487" i="4"/>
  <c r="C2488" i="4"/>
  <c r="C2489" i="4"/>
  <c r="C2490" i="4"/>
  <c r="C2491" i="4"/>
  <c r="C2492" i="4"/>
  <c r="C2493" i="4"/>
  <c r="C2494" i="4"/>
  <c r="C2495" i="4"/>
  <c r="C2496" i="4"/>
  <c r="C2497" i="4"/>
  <c r="C2498" i="4"/>
  <c r="C2499" i="4"/>
  <c r="C2500" i="4"/>
  <c r="C2501" i="4"/>
  <c r="C2502" i="4"/>
  <c r="C2503" i="4"/>
  <c r="C2504" i="4"/>
  <c r="C2505" i="4"/>
  <c r="C2506" i="4"/>
  <c r="C2507" i="4"/>
  <c r="C2508" i="4"/>
  <c r="C2509" i="4"/>
  <c r="C2510" i="4"/>
  <c r="C2511" i="4"/>
  <c r="C2512" i="4"/>
  <c r="C2513" i="4"/>
  <c r="C2514" i="4"/>
  <c r="C2515" i="4"/>
  <c r="C2516" i="4"/>
  <c r="C2517" i="4"/>
  <c r="C2518" i="4"/>
  <c r="C2519" i="4"/>
  <c r="C2520" i="4"/>
  <c r="C2521" i="4"/>
  <c r="C2522" i="4"/>
  <c r="C2523" i="4"/>
  <c r="C2524" i="4"/>
  <c r="C2525" i="4"/>
  <c r="C2526" i="4"/>
  <c r="C2527" i="4"/>
  <c r="C2528" i="4"/>
  <c r="C2529" i="4"/>
  <c r="C2530" i="4"/>
  <c r="C2531" i="4"/>
  <c r="C2532" i="4"/>
  <c r="C2533" i="4"/>
  <c r="C2534" i="4"/>
  <c r="C2535" i="4"/>
  <c r="C2536" i="4"/>
  <c r="C2537" i="4"/>
  <c r="C2538" i="4"/>
  <c r="C2539" i="4"/>
  <c r="C2540" i="4"/>
  <c r="C2541" i="4"/>
  <c r="C2542" i="4"/>
  <c r="C2543" i="4"/>
  <c r="C2544" i="4"/>
  <c r="C2545" i="4"/>
  <c r="C2546" i="4"/>
  <c r="C2547" i="4"/>
  <c r="C2548" i="4"/>
  <c r="C2549" i="4"/>
  <c r="C2550" i="4"/>
  <c r="C2551" i="4"/>
  <c r="C2552" i="4"/>
  <c r="C2553" i="4"/>
  <c r="C2554" i="4"/>
  <c r="C2555" i="4"/>
  <c r="C2556" i="4"/>
  <c r="C2557" i="4"/>
  <c r="C2558" i="4"/>
  <c r="C2559" i="4"/>
  <c r="C2560" i="4"/>
  <c r="C2561" i="4"/>
  <c r="C2562" i="4"/>
  <c r="C2563" i="4"/>
  <c r="C2564" i="4"/>
  <c r="C2565" i="4"/>
  <c r="C2566" i="4"/>
  <c r="C2567" i="4"/>
  <c r="C2568" i="4"/>
  <c r="C2569" i="4"/>
  <c r="C2570" i="4"/>
  <c r="C2571" i="4"/>
  <c r="C2572" i="4"/>
  <c r="C2573" i="4"/>
  <c r="C2574" i="4"/>
  <c r="C2575" i="4"/>
  <c r="C2576" i="4"/>
  <c r="C2577" i="4"/>
  <c r="C2578" i="4"/>
  <c r="C2579" i="4"/>
  <c r="C2580" i="4"/>
  <c r="C2581" i="4"/>
  <c r="C2582" i="4"/>
  <c r="C2583" i="4"/>
  <c r="C2584" i="4"/>
  <c r="C2585" i="4"/>
  <c r="C2586" i="4"/>
  <c r="C2587" i="4"/>
  <c r="C2588" i="4"/>
  <c r="C2589" i="4"/>
  <c r="C2590" i="4"/>
  <c r="C2591" i="4"/>
  <c r="C2592" i="4"/>
  <c r="C2593" i="4"/>
  <c r="C2594" i="4"/>
  <c r="C2595" i="4"/>
  <c r="C2596" i="4"/>
  <c r="C2597" i="4"/>
  <c r="C2598" i="4"/>
  <c r="C2599" i="4"/>
  <c r="C2600" i="4"/>
  <c r="C2601" i="4"/>
  <c r="C2602" i="4"/>
  <c r="C2603" i="4"/>
  <c r="C2604" i="4"/>
  <c r="C2605" i="4"/>
  <c r="C2606" i="4"/>
  <c r="C2607" i="4"/>
  <c r="C2608" i="4"/>
  <c r="C2609" i="4"/>
  <c r="C2610" i="4"/>
  <c r="C2611" i="4"/>
  <c r="C2612" i="4"/>
  <c r="C2613" i="4"/>
  <c r="C2614" i="4"/>
  <c r="C2615" i="4"/>
  <c r="C2616" i="4"/>
  <c r="C2617" i="4"/>
  <c r="C2618" i="4"/>
  <c r="C2619" i="4"/>
  <c r="C2620" i="4"/>
  <c r="C2621" i="4"/>
  <c r="C2622" i="4"/>
  <c r="C2623" i="4"/>
  <c r="C2624" i="4"/>
  <c r="C2625" i="4"/>
  <c r="C2626" i="4"/>
  <c r="C2627" i="4"/>
  <c r="C2628" i="4"/>
  <c r="C2629" i="4"/>
  <c r="C2630" i="4"/>
  <c r="C2631" i="4"/>
  <c r="C2632" i="4"/>
  <c r="C2633" i="4"/>
  <c r="C2634" i="4"/>
  <c r="C2635" i="4"/>
  <c r="C2636" i="4"/>
  <c r="C2637" i="4"/>
  <c r="C2638" i="4"/>
  <c r="C2639" i="4"/>
  <c r="C2640" i="4"/>
  <c r="C2641" i="4"/>
  <c r="C2642" i="4"/>
  <c r="C2643" i="4"/>
  <c r="C2644" i="4"/>
  <c r="C2645" i="4"/>
  <c r="C2646" i="4"/>
  <c r="C2647" i="4"/>
  <c r="C2648" i="4"/>
  <c r="C2649" i="4"/>
  <c r="C2650" i="4"/>
  <c r="C2651" i="4"/>
  <c r="C2652" i="4"/>
  <c r="C2653" i="4"/>
  <c r="C2654" i="4"/>
  <c r="C2655" i="4"/>
  <c r="C2656" i="4"/>
  <c r="C2657" i="4"/>
  <c r="C2658" i="4"/>
  <c r="C2659" i="4"/>
  <c r="C2660" i="4"/>
  <c r="C2661" i="4"/>
  <c r="C2662" i="4"/>
  <c r="C2663" i="4"/>
  <c r="C2664" i="4"/>
  <c r="C2665" i="4"/>
  <c r="C2666" i="4"/>
  <c r="C2667" i="4"/>
  <c r="C2668" i="4"/>
  <c r="C2669" i="4"/>
  <c r="C2670" i="4"/>
  <c r="C2671" i="4"/>
  <c r="C2672" i="4"/>
  <c r="C2673" i="4"/>
  <c r="C2674" i="4"/>
  <c r="C2675" i="4"/>
  <c r="C2676" i="4"/>
  <c r="C2677" i="4"/>
  <c r="C2678" i="4"/>
  <c r="C2679" i="4"/>
  <c r="C2680" i="4"/>
  <c r="C2681" i="4"/>
  <c r="C2682" i="4"/>
  <c r="C2683" i="4"/>
  <c r="C2684" i="4"/>
  <c r="C2685" i="4"/>
  <c r="C2686" i="4"/>
  <c r="C2687" i="4"/>
  <c r="C2688" i="4"/>
  <c r="C2689" i="4"/>
  <c r="C2690" i="4"/>
  <c r="C2691" i="4"/>
  <c r="C2692" i="4"/>
  <c r="C2693" i="4"/>
  <c r="C2694" i="4"/>
  <c r="C2695" i="4"/>
  <c r="C2696" i="4"/>
  <c r="C2697" i="4"/>
  <c r="C2698" i="4"/>
  <c r="C2699" i="4"/>
  <c r="C2700" i="4"/>
  <c r="C2701" i="4"/>
  <c r="C2702" i="4"/>
  <c r="C2703" i="4"/>
  <c r="C2704" i="4"/>
  <c r="C2705" i="4"/>
  <c r="C2706" i="4"/>
  <c r="C2707" i="4"/>
  <c r="C2708" i="4"/>
  <c r="C2709" i="4"/>
  <c r="C2710" i="4"/>
  <c r="C2711" i="4"/>
  <c r="C2712" i="4"/>
  <c r="C2713" i="4"/>
  <c r="C2714" i="4"/>
  <c r="C2715" i="4"/>
  <c r="C2716" i="4"/>
  <c r="C2717" i="4"/>
  <c r="C2718" i="4"/>
  <c r="C2719" i="4"/>
  <c r="C2720" i="4"/>
  <c r="C2721" i="4"/>
  <c r="C2722" i="4"/>
  <c r="C2723" i="4"/>
  <c r="C2724" i="4"/>
  <c r="C2725" i="4"/>
  <c r="C2726" i="4"/>
  <c r="C2727" i="4"/>
  <c r="C2728" i="4"/>
  <c r="C2729" i="4"/>
  <c r="C2730" i="4"/>
  <c r="C2731" i="4"/>
  <c r="C2732" i="4"/>
  <c r="C2733" i="4"/>
  <c r="C2734" i="4"/>
  <c r="C2735" i="4"/>
  <c r="C2736" i="4"/>
  <c r="C2737" i="4"/>
  <c r="C2738" i="4"/>
  <c r="C2739" i="4"/>
  <c r="C2740" i="4"/>
  <c r="C2741" i="4"/>
  <c r="C2742" i="4"/>
  <c r="C2743" i="4"/>
  <c r="C2744" i="4"/>
  <c r="C2745" i="4"/>
  <c r="C2746" i="4"/>
  <c r="C2747" i="4"/>
  <c r="C2748" i="4"/>
  <c r="C2749" i="4"/>
  <c r="C2750" i="4"/>
  <c r="C2751" i="4"/>
  <c r="C2752" i="4"/>
  <c r="C2753" i="4"/>
  <c r="C2754" i="4"/>
  <c r="C2755" i="4"/>
  <c r="C2756" i="4"/>
  <c r="C2757" i="4"/>
  <c r="C2758" i="4"/>
  <c r="C2759" i="4"/>
  <c r="C2760" i="4"/>
  <c r="C2761" i="4"/>
  <c r="C2762" i="4"/>
  <c r="C2763" i="4"/>
  <c r="C2764" i="4"/>
  <c r="C2765" i="4"/>
  <c r="C2766" i="4"/>
  <c r="C2767" i="4"/>
  <c r="C2768" i="4"/>
  <c r="C2769" i="4"/>
  <c r="C2770" i="4"/>
  <c r="C2771" i="4"/>
  <c r="C2772" i="4"/>
  <c r="C2773" i="4"/>
  <c r="C2774" i="4"/>
  <c r="C2775" i="4"/>
  <c r="C2776" i="4"/>
  <c r="C2777" i="4"/>
  <c r="C2778" i="4"/>
  <c r="C2779" i="4"/>
  <c r="C2780" i="4"/>
  <c r="C2781" i="4"/>
  <c r="C2782" i="4"/>
  <c r="C2783" i="4"/>
  <c r="C2784" i="4"/>
  <c r="C2785" i="4"/>
  <c r="C2786" i="4"/>
  <c r="C2787" i="4"/>
  <c r="C2788" i="4"/>
  <c r="C2789" i="4"/>
  <c r="C2790" i="4"/>
  <c r="C2791" i="4"/>
  <c r="C2792" i="4"/>
  <c r="C2793" i="4"/>
  <c r="C2794" i="4"/>
  <c r="C2795" i="4"/>
  <c r="C2796" i="4"/>
  <c r="C2797" i="4"/>
  <c r="C2798" i="4"/>
  <c r="C2799" i="4"/>
  <c r="C2800" i="4"/>
  <c r="C2801" i="4"/>
  <c r="C2802" i="4"/>
  <c r="C2803" i="4"/>
  <c r="C2804" i="4"/>
  <c r="C2805" i="4"/>
  <c r="C2806" i="4"/>
  <c r="C2807" i="4"/>
  <c r="C2808" i="4"/>
  <c r="C2809" i="4"/>
  <c r="C2810" i="4"/>
  <c r="C2811" i="4"/>
  <c r="C2812" i="4"/>
  <c r="C2813" i="4"/>
  <c r="C2814" i="4"/>
  <c r="C2815" i="4"/>
  <c r="C2816" i="4"/>
  <c r="C2817" i="4"/>
  <c r="C2818" i="4"/>
  <c r="C2819" i="4"/>
  <c r="C2820" i="4"/>
  <c r="C2821" i="4"/>
  <c r="C2822" i="4"/>
  <c r="C2823" i="4"/>
  <c r="C2824" i="4"/>
  <c r="C2825" i="4"/>
  <c r="C2826" i="4"/>
  <c r="C2827" i="4"/>
  <c r="C2828" i="4"/>
  <c r="C2829" i="4"/>
  <c r="C2830" i="4"/>
  <c r="C2831" i="4"/>
  <c r="C2832" i="4"/>
  <c r="C2833" i="4"/>
  <c r="C2834" i="4"/>
  <c r="C2835" i="4"/>
  <c r="C2836" i="4"/>
  <c r="C2837" i="4"/>
  <c r="C2838" i="4"/>
  <c r="C2839" i="4"/>
  <c r="C2840" i="4"/>
  <c r="C2841" i="4"/>
  <c r="C2842" i="4"/>
  <c r="C2843" i="4"/>
  <c r="C2844" i="4"/>
  <c r="C2845" i="4"/>
  <c r="C2846" i="4"/>
  <c r="C2847" i="4"/>
  <c r="C2848" i="4"/>
  <c r="C2849" i="4"/>
  <c r="C2850" i="4"/>
  <c r="C2851" i="4"/>
  <c r="C2852" i="4"/>
  <c r="C2853" i="4"/>
  <c r="C2854" i="4"/>
  <c r="C2855" i="4"/>
  <c r="C2856" i="4"/>
  <c r="C2857" i="4"/>
  <c r="C2858" i="4"/>
  <c r="C2859" i="4"/>
  <c r="C2860" i="4"/>
  <c r="C2861" i="4"/>
  <c r="C2862" i="4"/>
  <c r="C2863" i="4"/>
  <c r="C2864" i="4"/>
  <c r="C2865" i="4"/>
  <c r="C2866" i="4"/>
  <c r="C2867" i="4"/>
  <c r="C2868" i="4"/>
  <c r="C2869" i="4"/>
  <c r="C2870" i="4"/>
  <c r="C2871" i="4"/>
  <c r="C2872" i="4"/>
  <c r="C2873" i="4"/>
  <c r="C2874" i="4"/>
  <c r="C2875" i="4"/>
  <c r="C2876" i="4"/>
  <c r="C2877" i="4"/>
  <c r="C2878" i="4"/>
  <c r="C2879" i="4"/>
  <c r="C2880" i="4"/>
  <c r="C2881" i="4"/>
  <c r="C2882" i="4"/>
  <c r="C2883" i="4"/>
  <c r="C2884" i="4"/>
  <c r="C2885" i="4"/>
  <c r="C2886" i="4"/>
  <c r="C2887" i="4"/>
  <c r="C2888" i="4"/>
  <c r="C2889" i="4"/>
  <c r="C2890" i="4"/>
  <c r="C2891" i="4"/>
  <c r="C2892" i="4"/>
  <c r="C2893" i="4"/>
  <c r="C2894" i="4"/>
  <c r="C2895" i="4"/>
  <c r="C2896" i="4"/>
  <c r="C2897" i="4"/>
  <c r="C2898" i="4"/>
  <c r="C2899" i="4"/>
  <c r="C2900" i="4"/>
  <c r="C2901" i="4"/>
  <c r="C2902" i="4"/>
  <c r="C2903" i="4"/>
  <c r="C2904" i="4"/>
  <c r="C2905" i="4"/>
  <c r="C2906" i="4"/>
  <c r="C2907" i="4"/>
  <c r="C2908" i="4"/>
  <c r="C2909" i="4"/>
  <c r="C2910" i="4"/>
  <c r="C2911" i="4"/>
  <c r="C2912" i="4"/>
  <c r="C2913" i="4"/>
  <c r="C2914" i="4"/>
  <c r="C2915" i="4"/>
  <c r="C2916" i="4"/>
  <c r="C2917" i="4"/>
  <c r="C2918" i="4"/>
  <c r="C2919" i="4"/>
  <c r="C2920" i="4"/>
  <c r="C2921" i="4"/>
  <c r="C2922" i="4"/>
  <c r="C2923" i="4"/>
  <c r="C2924" i="4"/>
  <c r="C2925" i="4"/>
  <c r="C2926" i="4"/>
  <c r="C2927" i="4"/>
  <c r="C2928" i="4"/>
  <c r="C2929" i="4"/>
  <c r="C2930" i="4"/>
  <c r="C2931" i="4"/>
  <c r="C2932" i="4"/>
  <c r="C2933" i="4"/>
  <c r="C2934" i="4"/>
  <c r="C2935" i="4"/>
  <c r="C2936" i="4"/>
  <c r="C2937" i="4"/>
  <c r="C2938" i="4"/>
  <c r="C2939" i="4"/>
  <c r="C2940" i="4"/>
  <c r="C2941" i="4"/>
  <c r="C2942" i="4"/>
  <c r="C2943" i="4"/>
  <c r="C2944" i="4"/>
  <c r="C2945" i="4"/>
  <c r="C2946" i="4"/>
  <c r="C2947" i="4"/>
  <c r="C2948" i="4"/>
  <c r="C2949" i="4"/>
  <c r="C2950" i="4"/>
  <c r="C2951" i="4"/>
  <c r="C2952" i="4"/>
  <c r="C2953" i="4"/>
  <c r="C2954" i="4"/>
  <c r="C2955" i="4"/>
  <c r="C2956" i="4"/>
  <c r="C2957" i="4"/>
  <c r="C2958" i="4"/>
  <c r="C2959" i="4"/>
  <c r="C2960" i="4"/>
  <c r="C2961" i="4"/>
  <c r="C2962" i="4"/>
  <c r="C2963" i="4"/>
  <c r="C2964" i="4"/>
  <c r="C2965" i="4"/>
  <c r="C2966" i="4"/>
  <c r="C2967" i="4"/>
  <c r="C2968" i="4"/>
  <c r="C2969" i="4"/>
  <c r="C2970" i="4"/>
  <c r="C2971" i="4"/>
  <c r="C2972" i="4"/>
  <c r="C2973" i="4"/>
  <c r="C2974" i="4"/>
  <c r="C2975" i="4"/>
  <c r="C2976" i="4"/>
  <c r="C2977" i="4"/>
  <c r="C2978" i="4"/>
  <c r="C2979" i="4"/>
  <c r="C2980" i="4"/>
  <c r="C2981" i="4"/>
  <c r="C2982" i="4"/>
  <c r="C2983" i="4"/>
  <c r="C2984" i="4"/>
  <c r="C2985" i="4"/>
  <c r="C2986" i="4"/>
  <c r="C2987" i="4"/>
  <c r="C2988" i="4"/>
  <c r="C2989" i="4"/>
  <c r="C2990" i="4"/>
  <c r="C2991" i="4"/>
  <c r="C2992" i="4"/>
  <c r="C2993" i="4"/>
  <c r="C2994" i="4"/>
  <c r="C2995" i="4"/>
  <c r="C2996" i="4"/>
  <c r="C2997" i="4"/>
  <c r="C2998" i="4"/>
  <c r="C2999" i="4"/>
  <c r="C3000" i="4"/>
  <c r="P2982" i="4" l="1"/>
  <c r="O2982" i="4"/>
  <c r="N2982" i="4"/>
  <c r="L2982" i="4"/>
  <c r="Q2982" i="4" s="1"/>
  <c r="M2982" i="4"/>
  <c r="R2982" i="4" s="1"/>
  <c r="P2934" i="4"/>
  <c r="O2934" i="4"/>
  <c r="N2934" i="4"/>
  <c r="M2934" i="4"/>
  <c r="R2934" i="4" s="1"/>
  <c r="L2934" i="4"/>
  <c r="Q2934" i="4" s="1"/>
  <c r="O2878" i="4"/>
  <c r="N2878" i="4"/>
  <c r="P2878" i="4"/>
  <c r="L2878" i="4"/>
  <c r="Q2878" i="4" s="1"/>
  <c r="M2878" i="4"/>
  <c r="R2878" i="4" s="1"/>
  <c r="P2822" i="4"/>
  <c r="O2822" i="4"/>
  <c r="N2822" i="4"/>
  <c r="L2822" i="4"/>
  <c r="Q2822" i="4" s="1"/>
  <c r="M2822" i="4"/>
  <c r="R2822" i="4" s="1"/>
  <c r="O2766" i="4"/>
  <c r="N2766" i="4"/>
  <c r="M2766" i="4"/>
  <c r="R2766" i="4" s="1"/>
  <c r="P2766" i="4"/>
  <c r="L2766" i="4"/>
  <c r="Q2766" i="4" s="1"/>
  <c r="L2710" i="4"/>
  <c r="Q2710" i="4" s="1"/>
  <c r="N2710" i="4"/>
  <c r="P2710" i="4"/>
  <c r="O2710" i="4"/>
  <c r="M2710" i="4"/>
  <c r="R2710" i="4" s="1"/>
  <c r="L2654" i="4"/>
  <c r="Q2654" i="4" s="1"/>
  <c r="M2654" i="4"/>
  <c r="R2654" i="4" s="1"/>
  <c r="N2654" i="4"/>
  <c r="P2654" i="4"/>
  <c r="O2654" i="4"/>
  <c r="L2598" i="4"/>
  <c r="Q2598" i="4" s="1"/>
  <c r="O2598" i="4"/>
  <c r="N2598" i="4"/>
  <c r="M2598" i="4"/>
  <c r="R2598" i="4" s="1"/>
  <c r="P2598" i="4"/>
  <c r="L2550" i="4"/>
  <c r="Q2550" i="4" s="1"/>
  <c r="P2550" i="4"/>
  <c r="O2550" i="4"/>
  <c r="N2550" i="4"/>
  <c r="M2550" i="4"/>
  <c r="R2550" i="4" s="1"/>
  <c r="L2494" i="4"/>
  <c r="Q2494" i="4" s="1"/>
  <c r="O2494" i="4"/>
  <c r="P2494" i="4"/>
  <c r="M2494" i="4"/>
  <c r="R2494" i="4" s="1"/>
  <c r="N2494" i="4"/>
  <c r="O2438" i="4"/>
  <c r="N2438" i="4"/>
  <c r="P2438" i="4"/>
  <c r="L2438" i="4"/>
  <c r="Q2438" i="4" s="1"/>
  <c r="M2438" i="4"/>
  <c r="R2438" i="4" s="1"/>
  <c r="P2390" i="4"/>
  <c r="N2390" i="4"/>
  <c r="L2390" i="4"/>
  <c r="Q2390" i="4" s="1"/>
  <c r="M2390" i="4"/>
  <c r="R2390" i="4" s="1"/>
  <c r="O2390" i="4"/>
  <c r="L2326" i="4"/>
  <c r="Q2326" i="4" s="1"/>
  <c r="P2326" i="4"/>
  <c r="M2326" i="4"/>
  <c r="R2326" i="4" s="1"/>
  <c r="N2326" i="4"/>
  <c r="O2326" i="4"/>
  <c r="L2270" i="4"/>
  <c r="Q2270" i="4" s="1"/>
  <c r="O2270" i="4"/>
  <c r="P2270" i="4"/>
  <c r="N2270" i="4"/>
  <c r="M2270" i="4"/>
  <c r="R2270" i="4" s="1"/>
  <c r="L2214" i="4"/>
  <c r="Q2214" i="4" s="1"/>
  <c r="O2214" i="4"/>
  <c r="P2214" i="4"/>
  <c r="M2214" i="4"/>
  <c r="R2214" i="4" s="1"/>
  <c r="N2214" i="4"/>
  <c r="L2158" i="4"/>
  <c r="Q2158" i="4" s="1"/>
  <c r="P2158" i="4"/>
  <c r="M2158" i="4"/>
  <c r="R2158" i="4" s="1"/>
  <c r="N2158" i="4"/>
  <c r="O2158" i="4"/>
  <c r="N2102" i="4"/>
  <c r="O2102" i="4"/>
  <c r="P2102" i="4"/>
  <c r="L2102" i="4"/>
  <c r="Q2102" i="4" s="1"/>
  <c r="M2102" i="4"/>
  <c r="R2102" i="4" s="1"/>
  <c r="P2046" i="4"/>
  <c r="M2046" i="4"/>
  <c r="R2046" i="4" s="1"/>
  <c r="O2046" i="4"/>
  <c r="L2046" i="4"/>
  <c r="Q2046" i="4" s="1"/>
  <c r="N2046" i="4"/>
  <c r="P1998" i="4"/>
  <c r="N1998" i="4"/>
  <c r="O1998" i="4"/>
  <c r="M1998" i="4"/>
  <c r="R1998" i="4" s="1"/>
  <c r="L1998" i="4"/>
  <c r="Q1998" i="4" s="1"/>
  <c r="P1934" i="4"/>
  <c r="N1934" i="4"/>
  <c r="M1934" i="4"/>
  <c r="R1934" i="4" s="1"/>
  <c r="L1934" i="4"/>
  <c r="Q1934" i="4" s="1"/>
  <c r="O1934" i="4"/>
  <c r="M1878" i="4"/>
  <c r="R1878" i="4" s="1"/>
  <c r="O1878" i="4"/>
  <c r="P1878" i="4"/>
  <c r="L1878" i="4"/>
  <c r="Q1878" i="4" s="1"/>
  <c r="N1878" i="4"/>
  <c r="P1870" i="4"/>
  <c r="N1870" i="4"/>
  <c r="L1870" i="4"/>
  <c r="Q1870" i="4" s="1"/>
  <c r="M1870" i="4"/>
  <c r="R1870" i="4" s="1"/>
  <c r="O1870" i="4"/>
  <c r="M1814" i="4"/>
  <c r="R1814" i="4" s="1"/>
  <c r="O1814" i="4"/>
  <c r="P1814" i="4"/>
  <c r="L1814" i="4"/>
  <c r="Q1814" i="4" s="1"/>
  <c r="N1814" i="4"/>
  <c r="O1806" i="4"/>
  <c r="M1806" i="4"/>
  <c r="R1806" i="4" s="1"/>
  <c r="N1806" i="4"/>
  <c r="P1806" i="4"/>
  <c r="L1806" i="4"/>
  <c r="Q1806" i="4" s="1"/>
  <c r="M1798" i="4"/>
  <c r="R1798" i="4" s="1"/>
  <c r="O1798" i="4"/>
  <c r="P1798" i="4"/>
  <c r="L1798" i="4"/>
  <c r="Q1798" i="4" s="1"/>
  <c r="N1798" i="4"/>
  <c r="P1790" i="4"/>
  <c r="O1790" i="4"/>
  <c r="M1790" i="4"/>
  <c r="R1790" i="4" s="1"/>
  <c r="L1790" i="4"/>
  <c r="Q1790" i="4" s="1"/>
  <c r="N1790" i="4"/>
  <c r="M1782" i="4"/>
  <c r="R1782" i="4" s="1"/>
  <c r="O1782" i="4"/>
  <c r="L1782" i="4"/>
  <c r="Q1782" i="4" s="1"/>
  <c r="P1782" i="4"/>
  <c r="N1782" i="4"/>
  <c r="P1774" i="4"/>
  <c r="N1774" i="4"/>
  <c r="O1774" i="4"/>
  <c r="M1774" i="4"/>
  <c r="R1774" i="4" s="1"/>
  <c r="L1774" i="4"/>
  <c r="Q1774" i="4" s="1"/>
  <c r="M1766" i="4"/>
  <c r="R1766" i="4" s="1"/>
  <c r="O1766" i="4"/>
  <c r="L1766" i="4"/>
  <c r="Q1766" i="4" s="1"/>
  <c r="P1766" i="4"/>
  <c r="N1766" i="4"/>
  <c r="P1758" i="4"/>
  <c r="O1758" i="4"/>
  <c r="N1758" i="4"/>
  <c r="L1758" i="4"/>
  <c r="Q1758" i="4" s="1"/>
  <c r="M1758" i="4"/>
  <c r="R1758" i="4" s="1"/>
  <c r="P1750" i="4"/>
  <c r="M1750" i="4"/>
  <c r="R1750" i="4" s="1"/>
  <c r="O1750" i="4"/>
  <c r="N1750" i="4"/>
  <c r="L1750" i="4"/>
  <c r="Q1750" i="4" s="1"/>
  <c r="P1742" i="4"/>
  <c r="O1742" i="4"/>
  <c r="N1742" i="4"/>
  <c r="L1742" i="4"/>
  <c r="Q1742" i="4" s="1"/>
  <c r="M1742" i="4"/>
  <c r="R1742" i="4" s="1"/>
  <c r="M1734" i="4"/>
  <c r="R1734" i="4" s="1"/>
  <c r="P1734" i="4"/>
  <c r="O1734" i="4"/>
  <c r="N1734" i="4"/>
  <c r="L1734" i="4"/>
  <c r="Q1734" i="4" s="1"/>
  <c r="P1726" i="4"/>
  <c r="N1726" i="4"/>
  <c r="O1726" i="4"/>
  <c r="L1726" i="4"/>
  <c r="Q1726" i="4" s="1"/>
  <c r="M1726" i="4"/>
  <c r="R1726" i="4" s="1"/>
  <c r="P1718" i="4"/>
  <c r="M1718" i="4"/>
  <c r="R1718" i="4" s="1"/>
  <c r="O1718" i="4"/>
  <c r="N1718" i="4"/>
  <c r="L1718" i="4"/>
  <c r="Q1718" i="4" s="1"/>
  <c r="O1710" i="4"/>
  <c r="N1710" i="4"/>
  <c r="P1710" i="4"/>
  <c r="M1710" i="4"/>
  <c r="R1710" i="4" s="1"/>
  <c r="L1710" i="4"/>
  <c r="Q1710" i="4" s="1"/>
  <c r="P1702" i="4"/>
  <c r="M1702" i="4"/>
  <c r="R1702" i="4" s="1"/>
  <c r="O1702" i="4"/>
  <c r="L1702" i="4"/>
  <c r="Q1702" i="4" s="1"/>
  <c r="N1702" i="4"/>
  <c r="N1694" i="4"/>
  <c r="O1694" i="4"/>
  <c r="P1694" i="4"/>
  <c r="M1694" i="4"/>
  <c r="R1694" i="4" s="1"/>
  <c r="L1694" i="4"/>
  <c r="Q1694" i="4" s="1"/>
  <c r="P1686" i="4"/>
  <c r="M1686" i="4"/>
  <c r="R1686" i="4" s="1"/>
  <c r="O1686" i="4"/>
  <c r="N1686" i="4"/>
  <c r="L1686" i="4"/>
  <c r="Q1686" i="4" s="1"/>
  <c r="N1678" i="4"/>
  <c r="O1678" i="4"/>
  <c r="P1678" i="4"/>
  <c r="L1678" i="4"/>
  <c r="Q1678" i="4" s="1"/>
  <c r="M1678" i="4"/>
  <c r="R1678" i="4" s="1"/>
  <c r="L1670" i="4"/>
  <c r="Q1670" i="4" s="1"/>
  <c r="P1670" i="4"/>
  <c r="N1670" i="4"/>
  <c r="O1670" i="4"/>
  <c r="M1670" i="4"/>
  <c r="R1670" i="4" s="1"/>
  <c r="L1662" i="4"/>
  <c r="Q1662" i="4" s="1"/>
  <c r="N1662" i="4"/>
  <c r="M1662" i="4"/>
  <c r="R1662" i="4" s="1"/>
  <c r="P1662" i="4"/>
  <c r="O1662" i="4"/>
  <c r="L1654" i="4"/>
  <c r="Q1654" i="4" s="1"/>
  <c r="N1654" i="4"/>
  <c r="P1654" i="4"/>
  <c r="M1654" i="4"/>
  <c r="R1654" i="4" s="1"/>
  <c r="O1654" i="4"/>
  <c r="N1646" i="4"/>
  <c r="P1646" i="4"/>
  <c r="L1646" i="4"/>
  <c r="Q1646" i="4" s="1"/>
  <c r="O1646" i="4"/>
  <c r="M1646" i="4"/>
  <c r="R1646" i="4" s="1"/>
  <c r="P1638" i="4"/>
  <c r="L1638" i="4"/>
  <c r="Q1638" i="4" s="1"/>
  <c r="N1638" i="4"/>
  <c r="M1638" i="4"/>
  <c r="R1638" i="4" s="1"/>
  <c r="O1638" i="4"/>
  <c r="M1630" i="4"/>
  <c r="R1630" i="4" s="1"/>
  <c r="O1630" i="4"/>
  <c r="N1630" i="4"/>
  <c r="L1630" i="4"/>
  <c r="Q1630" i="4" s="1"/>
  <c r="P1630" i="4"/>
  <c r="N1622" i="4"/>
  <c r="P1622" i="4"/>
  <c r="L1622" i="4"/>
  <c r="Q1622" i="4" s="1"/>
  <c r="M1622" i="4"/>
  <c r="R1622" i="4" s="1"/>
  <c r="O1622" i="4"/>
  <c r="M1614" i="4"/>
  <c r="R1614" i="4" s="1"/>
  <c r="O1614" i="4"/>
  <c r="P1614" i="4"/>
  <c r="N1614" i="4"/>
  <c r="L1614" i="4"/>
  <c r="Q1614" i="4" s="1"/>
  <c r="L1606" i="4"/>
  <c r="Q1606" i="4" s="1"/>
  <c r="M1606" i="4"/>
  <c r="R1606" i="4" s="1"/>
  <c r="N1606" i="4"/>
  <c r="P1606" i="4"/>
  <c r="O1606" i="4"/>
  <c r="M1598" i="4"/>
  <c r="R1598" i="4" s="1"/>
  <c r="N1598" i="4"/>
  <c r="P1598" i="4"/>
  <c r="L1598" i="4"/>
  <c r="Q1598" i="4" s="1"/>
  <c r="O1598" i="4"/>
  <c r="M1590" i="4"/>
  <c r="R1590" i="4" s="1"/>
  <c r="P1590" i="4"/>
  <c r="L1590" i="4"/>
  <c r="Q1590" i="4" s="1"/>
  <c r="O1590" i="4"/>
  <c r="N1590" i="4"/>
  <c r="M1582" i="4"/>
  <c r="R1582" i="4" s="1"/>
  <c r="N1582" i="4"/>
  <c r="P1582" i="4"/>
  <c r="L1582" i="4"/>
  <c r="Q1582" i="4" s="1"/>
  <c r="O1582" i="4"/>
  <c r="M1574" i="4"/>
  <c r="R1574" i="4" s="1"/>
  <c r="N1574" i="4"/>
  <c r="P1574" i="4"/>
  <c r="L1574" i="4"/>
  <c r="Q1574" i="4" s="1"/>
  <c r="O1574" i="4"/>
  <c r="M1566" i="4"/>
  <c r="R1566" i="4" s="1"/>
  <c r="O1566" i="4"/>
  <c r="L1566" i="4"/>
  <c r="Q1566" i="4" s="1"/>
  <c r="N1566" i="4"/>
  <c r="P1566" i="4"/>
  <c r="M1558" i="4"/>
  <c r="R1558" i="4" s="1"/>
  <c r="N1558" i="4"/>
  <c r="P1558" i="4"/>
  <c r="L1558" i="4"/>
  <c r="Q1558" i="4" s="1"/>
  <c r="O1558" i="4"/>
  <c r="M1550" i="4"/>
  <c r="R1550" i="4" s="1"/>
  <c r="N1550" i="4"/>
  <c r="P1550" i="4"/>
  <c r="L1550" i="4"/>
  <c r="Q1550" i="4" s="1"/>
  <c r="O1550" i="4"/>
  <c r="M1542" i="4"/>
  <c r="R1542" i="4" s="1"/>
  <c r="N1542" i="4"/>
  <c r="P1542" i="4"/>
  <c r="O1542" i="4"/>
  <c r="L1542" i="4"/>
  <c r="Q1542" i="4" s="1"/>
  <c r="P1350" i="4"/>
  <c r="O1350" i="4"/>
  <c r="N1350" i="4"/>
  <c r="L1350" i="4"/>
  <c r="Q1350" i="4" s="1"/>
  <c r="M1350" i="4"/>
  <c r="R1350" i="4" s="1"/>
  <c r="L1342" i="4"/>
  <c r="Q1342" i="4" s="1"/>
  <c r="M1342" i="4"/>
  <c r="R1342" i="4" s="1"/>
  <c r="N1342" i="4"/>
  <c r="O1342" i="4"/>
  <c r="P1342" i="4"/>
  <c r="L1334" i="4"/>
  <c r="Q1334" i="4" s="1"/>
  <c r="N1334" i="4"/>
  <c r="M1334" i="4"/>
  <c r="R1334" i="4" s="1"/>
  <c r="P1334" i="4"/>
  <c r="O1334" i="4"/>
  <c r="L1326" i="4"/>
  <c r="Q1326" i="4" s="1"/>
  <c r="M1326" i="4"/>
  <c r="R1326" i="4" s="1"/>
  <c r="N1326" i="4"/>
  <c r="P1326" i="4"/>
  <c r="O1326" i="4"/>
  <c r="P1318" i="4"/>
  <c r="L1318" i="4"/>
  <c r="Q1318" i="4" s="1"/>
  <c r="M1318" i="4"/>
  <c r="R1318" i="4" s="1"/>
  <c r="O1318" i="4"/>
  <c r="N1318" i="4"/>
  <c r="M1310" i="4"/>
  <c r="R1310" i="4" s="1"/>
  <c r="L1310" i="4"/>
  <c r="Q1310" i="4" s="1"/>
  <c r="N1310" i="4"/>
  <c r="O1310" i="4"/>
  <c r="P1310" i="4"/>
  <c r="O1302" i="4"/>
  <c r="N1302" i="4"/>
  <c r="P1302" i="4"/>
  <c r="M1302" i="4"/>
  <c r="R1302" i="4" s="1"/>
  <c r="L1302" i="4"/>
  <c r="Q1302" i="4" s="1"/>
  <c r="L1294" i="4"/>
  <c r="Q1294" i="4" s="1"/>
  <c r="M1294" i="4"/>
  <c r="R1294" i="4" s="1"/>
  <c r="N1294" i="4"/>
  <c r="P1294" i="4"/>
  <c r="O1294" i="4"/>
  <c r="P1286" i="4"/>
  <c r="O1286" i="4"/>
  <c r="L1286" i="4"/>
  <c r="Q1286" i="4" s="1"/>
  <c r="N1286" i="4"/>
  <c r="M1286" i="4"/>
  <c r="R1286" i="4" s="1"/>
  <c r="M1278" i="4"/>
  <c r="R1278" i="4" s="1"/>
  <c r="L1278" i="4"/>
  <c r="Q1278" i="4" s="1"/>
  <c r="O1278" i="4"/>
  <c r="N1278" i="4"/>
  <c r="P1278" i="4"/>
  <c r="N1270" i="4"/>
  <c r="O1270" i="4"/>
  <c r="P1270" i="4"/>
  <c r="L1270" i="4"/>
  <c r="Q1270" i="4" s="1"/>
  <c r="M1270" i="4"/>
  <c r="R1270" i="4" s="1"/>
  <c r="M1262" i="4"/>
  <c r="R1262" i="4" s="1"/>
  <c r="O1262" i="4"/>
  <c r="L1262" i="4"/>
  <c r="Q1262" i="4" s="1"/>
  <c r="N1262" i="4"/>
  <c r="P1262" i="4"/>
  <c r="M1254" i="4"/>
  <c r="R1254" i="4" s="1"/>
  <c r="L1254" i="4"/>
  <c r="Q1254" i="4" s="1"/>
  <c r="N1254" i="4"/>
  <c r="P1254" i="4"/>
  <c r="O1254" i="4"/>
  <c r="L1246" i="4"/>
  <c r="Q1246" i="4" s="1"/>
  <c r="O1246" i="4"/>
  <c r="N1246" i="4"/>
  <c r="P1246" i="4"/>
  <c r="M1246" i="4"/>
  <c r="R1246" i="4" s="1"/>
  <c r="L1238" i="4"/>
  <c r="Q1238" i="4" s="1"/>
  <c r="O1238" i="4"/>
  <c r="P1238" i="4"/>
  <c r="M1238" i="4"/>
  <c r="R1238" i="4" s="1"/>
  <c r="N1238" i="4"/>
  <c r="P1230" i="4"/>
  <c r="N1230" i="4"/>
  <c r="O1230" i="4"/>
  <c r="L1230" i="4"/>
  <c r="Q1230" i="4" s="1"/>
  <c r="M1230" i="4"/>
  <c r="R1230" i="4" s="1"/>
  <c r="N1222" i="4"/>
  <c r="L1222" i="4"/>
  <c r="Q1222" i="4" s="1"/>
  <c r="O1222" i="4"/>
  <c r="P1222" i="4"/>
  <c r="M1222" i="4"/>
  <c r="R1222" i="4" s="1"/>
  <c r="L1214" i="4"/>
  <c r="Q1214" i="4" s="1"/>
  <c r="N1214" i="4"/>
  <c r="O1214" i="4"/>
  <c r="P1214" i="4"/>
  <c r="M1214" i="4"/>
  <c r="R1214" i="4" s="1"/>
  <c r="P1206" i="4"/>
  <c r="O1206" i="4"/>
  <c r="L1206" i="4"/>
  <c r="Q1206" i="4" s="1"/>
  <c r="M1206" i="4"/>
  <c r="R1206" i="4" s="1"/>
  <c r="N1206" i="4"/>
  <c r="M1198" i="4"/>
  <c r="R1198" i="4" s="1"/>
  <c r="N1198" i="4"/>
  <c r="O1198" i="4"/>
  <c r="P1198" i="4"/>
  <c r="L1198" i="4"/>
  <c r="Q1198" i="4" s="1"/>
  <c r="L1190" i="4"/>
  <c r="Q1190" i="4" s="1"/>
  <c r="N1190" i="4"/>
  <c r="P1190" i="4"/>
  <c r="O1190" i="4"/>
  <c r="M1190" i="4"/>
  <c r="R1190" i="4" s="1"/>
  <c r="L1182" i="4"/>
  <c r="Q1182" i="4" s="1"/>
  <c r="M1182" i="4"/>
  <c r="R1182" i="4" s="1"/>
  <c r="N1182" i="4"/>
  <c r="P1182" i="4"/>
  <c r="O1182" i="4"/>
  <c r="L1174" i="4"/>
  <c r="Q1174" i="4" s="1"/>
  <c r="P1174" i="4"/>
  <c r="O1174" i="4"/>
  <c r="N1174" i="4"/>
  <c r="M1174" i="4"/>
  <c r="R1174" i="4" s="1"/>
  <c r="L1166" i="4"/>
  <c r="Q1166" i="4" s="1"/>
  <c r="O1166" i="4"/>
  <c r="P1166" i="4"/>
  <c r="M1166" i="4"/>
  <c r="R1166" i="4" s="1"/>
  <c r="N1166" i="4"/>
  <c r="L1158" i="4"/>
  <c r="Q1158" i="4" s="1"/>
  <c r="N1158" i="4"/>
  <c r="P1158" i="4"/>
  <c r="O1158" i="4"/>
  <c r="M1158" i="4"/>
  <c r="R1158" i="4" s="1"/>
  <c r="L1150" i="4"/>
  <c r="Q1150" i="4" s="1"/>
  <c r="N1150" i="4"/>
  <c r="M1150" i="4"/>
  <c r="R1150" i="4" s="1"/>
  <c r="P1150" i="4"/>
  <c r="O1150" i="4"/>
  <c r="L1142" i="4"/>
  <c r="Q1142" i="4" s="1"/>
  <c r="P1142" i="4"/>
  <c r="O1142" i="4"/>
  <c r="M1142" i="4"/>
  <c r="R1142" i="4" s="1"/>
  <c r="N1142" i="4"/>
  <c r="L1134" i="4"/>
  <c r="Q1134" i="4" s="1"/>
  <c r="P1134" i="4"/>
  <c r="N1134" i="4"/>
  <c r="M1134" i="4"/>
  <c r="R1134" i="4" s="1"/>
  <c r="O1134" i="4"/>
  <c r="L1126" i="4"/>
  <c r="Q1126" i="4" s="1"/>
  <c r="N1126" i="4"/>
  <c r="M1126" i="4"/>
  <c r="R1126" i="4" s="1"/>
  <c r="P1126" i="4"/>
  <c r="O1126" i="4"/>
  <c r="L1118" i="4"/>
  <c r="Q1118" i="4" s="1"/>
  <c r="M1118" i="4"/>
  <c r="R1118" i="4" s="1"/>
  <c r="N1118" i="4"/>
  <c r="P1118" i="4"/>
  <c r="O1118" i="4"/>
  <c r="O1110" i="4"/>
  <c r="M1110" i="4"/>
  <c r="R1110" i="4" s="1"/>
  <c r="P1110" i="4"/>
  <c r="L1110" i="4"/>
  <c r="Q1110" i="4" s="1"/>
  <c r="N1110" i="4"/>
  <c r="M1102" i="4"/>
  <c r="R1102" i="4" s="1"/>
  <c r="N1102" i="4"/>
  <c r="O1102" i="4"/>
  <c r="L1102" i="4"/>
  <c r="Q1102" i="4" s="1"/>
  <c r="P1102" i="4"/>
  <c r="P1094" i="4"/>
  <c r="M1094" i="4"/>
  <c r="R1094" i="4" s="1"/>
  <c r="L1094" i="4"/>
  <c r="Q1094" i="4" s="1"/>
  <c r="N1094" i="4"/>
  <c r="O1094" i="4"/>
  <c r="L1086" i="4"/>
  <c r="Q1086" i="4" s="1"/>
  <c r="N1086" i="4"/>
  <c r="P1086" i="4"/>
  <c r="M1086" i="4"/>
  <c r="R1086" i="4" s="1"/>
  <c r="O1086" i="4"/>
  <c r="L1078" i="4"/>
  <c r="Q1078" i="4" s="1"/>
  <c r="P1078" i="4"/>
  <c r="O1078" i="4"/>
  <c r="M1078" i="4"/>
  <c r="R1078" i="4" s="1"/>
  <c r="N1078" i="4"/>
  <c r="L1070" i="4"/>
  <c r="Q1070" i="4" s="1"/>
  <c r="P1070" i="4"/>
  <c r="M1070" i="4"/>
  <c r="R1070" i="4" s="1"/>
  <c r="N1070" i="4"/>
  <c r="O1070" i="4"/>
  <c r="M1062" i="4"/>
  <c r="R1062" i="4" s="1"/>
  <c r="L1062" i="4"/>
  <c r="Q1062" i="4" s="1"/>
  <c r="N1062" i="4"/>
  <c r="O1062" i="4"/>
  <c r="P1062" i="4"/>
  <c r="L1054" i="4"/>
  <c r="Q1054" i="4" s="1"/>
  <c r="M1054" i="4"/>
  <c r="R1054" i="4" s="1"/>
  <c r="N1054" i="4"/>
  <c r="O1054" i="4"/>
  <c r="P1054" i="4"/>
  <c r="L1046" i="4"/>
  <c r="Q1046" i="4" s="1"/>
  <c r="M1046" i="4"/>
  <c r="R1046" i="4" s="1"/>
  <c r="O1046" i="4"/>
  <c r="P1046" i="4"/>
  <c r="N1046" i="4"/>
  <c r="P1038" i="4"/>
  <c r="L1038" i="4"/>
  <c r="Q1038" i="4" s="1"/>
  <c r="N1038" i="4"/>
  <c r="M1038" i="4"/>
  <c r="R1038" i="4" s="1"/>
  <c r="O1038" i="4"/>
  <c r="M1030" i="4"/>
  <c r="R1030" i="4" s="1"/>
  <c r="N1030" i="4"/>
  <c r="O1030" i="4"/>
  <c r="P1030" i="4"/>
  <c r="L1030" i="4"/>
  <c r="Q1030" i="4" s="1"/>
  <c r="M1022" i="4"/>
  <c r="R1022" i="4" s="1"/>
  <c r="N1022" i="4"/>
  <c r="L1022" i="4"/>
  <c r="Q1022" i="4" s="1"/>
  <c r="P1022" i="4"/>
  <c r="O1022" i="4"/>
  <c r="M1014" i="4"/>
  <c r="R1014" i="4" s="1"/>
  <c r="P1014" i="4"/>
  <c r="L1014" i="4"/>
  <c r="Q1014" i="4" s="1"/>
  <c r="N1014" i="4"/>
  <c r="O1014" i="4"/>
  <c r="M1006" i="4"/>
  <c r="R1006" i="4" s="1"/>
  <c r="N1006" i="4"/>
  <c r="O1006" i="4"/>
  <c r="P1006" i="4"/>
  <c r="L1006" i="4"/>
  <c r="Q1006" i="4" s="1"/>
  <c r="M998" i="4"/>
  <c r="R998" i="4" s="1"/>
  <c r="N998" i="4"/>
  <c r="P998" i="4"/>
  <c r="L998" i="4"/>
  <c r="Q998" i="4" s="1"/>
  <c r="O998" i="4"/>
  <c r="M990" i="4"/>
  <c r="R990" i="4" s="1"/>
  <c r="N990" i="4"/>
  <c r="O990" i="4"/>
  <c r="P990" i="4"/>
  <c r="L990" i="4"/>
  <c r="Q990" i="4" s="1"/>
  <c r="M982" i="4"/>
  <c r="R982" i="4" s="1"/>
  <c r="P982" i="4"/>
  <c r="L982" i="4"/>
  <c r="Q982" i="4" s="1"/>
  <c r="N982" i="4"/>
  <c r="O982" i="4"/>
  <c r="M974" i="4"/>
  <c r="R974" i="4" s="1"/>
  <c r="O974" i="4"/>
  <c r="N974" i="4"/>
  <c r="P974" i="4"/>
  <c r="L974" i="4"/>
  <c r="Q974" i="4" s="1"/>
  <c r="M966" i="4"/>
  <c r="R966" i="4" s="1"/>
  <c r="P966" i="4"/>
  <c r="L966" i="4"/>
  <c r="Q966" i="4" s="1"/>
  <c r="N966" i="4"/>
  <c r="O966" i="4"/>
  <c r="M958" i="4"/>
  <c r="R958" i="4" s="1"/>
  <c r="O958" i="4"/>
  <c r="N958" i="4"/>
  <c r="L958" i="4"/>
  <c r="Q958" i="4" s="1"/>
  <c r="P958" i="4"/>
  <c r="M950" i="4"/>
  <c r="R950" i="4" s="1"/>
  <c r="N950" i="4"/>
  <c r="P950" i="4"/>
  <c r="O950" i="4"/>
  <c r="L950" i="4"/>
  <c r="Q950" i="4" s="1"/>
  <c r="N942" i="4"/>
  <c r="P942" i="4"/>
  <c r="L942" i="4"/>
  <c r="Q942" i="4" s="1"/>
  <c r="O942" i="4"/>
  <c r="M942" i="4"/>
  <c r="R942" i="4" s="1"/>
  <c r="M934" i="4"/>
  <c r="R934" i="4" s="1"/>
  <c r="P934" i="4"/>
  <c r="N934" i="4"/>
  <c r="L934" i="4"/>
  <c r="Q934" i="4" s="1"/>
  <c r="O934" i="4"/>
  <c r="P926" i="4"/>
  <c r="N926" i="4"/>
  <c r="O926" i="4"/>
  <c r="L926" i="4"/>
  <c r="Q926" i="4" s="1"/>
  <c r="M926" i="4"/>
  <c r="R926" i="4" s="1"/>
  <c r="N918" i="4"/>
  <c r="P918" i="4"/>
  <c r="M918" i="4"/>
  <c r="R918" i="4" s="1"/>
  <c r="L918" i="4"/>
  <c r="Q918" i="4" s="1"/>
  <c r="O918" i="4"/>
  <c r="N910" i="4"/>
  <c r="L910" i="4"/>
  <c r="Q910" i="4" s="1"/>
  <c r="P910" i="4"/>
  <c r="M910" i="4"/>
  <c r="R910" i="4" s="1"/>
  <c r="O910" i="4"/>
  <c r="I902" i="4"/>
  <c r="K902" i="4"/>
  <c r="I894" i="4"/>
  <c r="K894" i="4"/>
  <c r="I886" i="4"/>
  <c r="K886" i="4"/>
  <c r="I878" i="4"/>
  <c r="K878" i="4"/>
  <c r="I870" i="4"/>
  <c r="K870" i="4"/>
  <c r="I862" i="4"/>
  <c r="K862" i="4"/>
  <c r="I854" i="4"/>
  <c r="K854" i="4"/>
  <c r="I846" i="4"/>
  <c r="K846" i="4"/>
  <c r="I838" i="4"/>
  <c r="K838" i="4"/>
  <c r="I830" i="4"/>
  <c r="K830" i="4"/>
  <c r="I822" i="4"/>
  <c r="K822" i="4"/>
  <c r="I814" i="4"/>
  <c r="K814" i="4"/>
  <c r="I806" i="4"/>
  <c r="K806" i="4"/>
  <c r="I798" i="4"/>
  <c r="K798" i="4"/>
  <c r="I790" i="4"/>
  <c r="K790" i="4"/>
  <c r="I782" i="4"/>
  <c r="K782" i="4"/>
  <c r="I774" i="4"/>
  <c r="K774" i="4"/>
  <c r="I766" i="4"/>
  <c r="K766" i="4"/>
  <c r="I758" i="4"/>
  <c r="K758" i="4"/>
  <c r="I750" i="4"/>
  <c r="K750" i="4"/>
  <c r="I742" i="4"/>
  <c r="K742" i="4"/>
  <c r="I734" i="4"/>
  <c r="K734" i="4"/>
  <c r="I726" i="4"/>
  <c r="K726" i="4"/>
  <c r="I718" i="4"/>
  <c r="K718" i="4"/>
  <c r="I710" i="4"/>
  <c r="K710" i="4"/>
  <c r="I702" i="4"/>
  <c r="K702" i="4"/>
  <c r="I694" i="4"/>
  <c r="K694" i="4"/>
  <c r="I686" i="4"/>
  <c r="K686" i="4"/>
  <c r="I678" i="4"/>
  <c r="K678" i="4"/>
  <c r="I670" i="4"/>
  <c r="K670" i="4"/>
  <c r="I662" i="4"/>
  <c r="K662" i="4"/>
  <c r="I654" i="4"/>
  <c r="K654" i="4"/>
  <c r="I646" i="4"/>
  <c r="K646" i="4"/>
  <c r="I638" i="4"/>
  <c r="K638" i="4"/>
  <c r="I630" i="4"/>
  <c r="K630" i="4"/>
  <c r="I622" i="4"/>
  <c r="K622" i="4"/>
  <c r="I614" i="4"/>
  <c r="K614" i="4"/>
  <c r="I606" i="4"/>
  <c r="K606" i="4"/>
  <c r="I598" i="4"/>
  <c r="K598" i="4"/>
  <c r="I590" i="4"/>
  <c r="K590" i="4"/>
  <c r="I582" i="4"/>
  <c r="K582" i="4"/>
  <c r="I574" i="4"/>
  <c r="K574" i="4"/>
  <c r="I566" i="4"/>
  <c r="K566" i="4"/>
  <c r="I558" i="4"/>
  <c r="K558" i="4"/>
  <c r="I550" i="4"/>
  <c r="K550" i="4"/>
  <c r="I542" i="4"/>
  <c r="K542" i="4"/>
  <c r="I534" i="4"/>
  <c r="K534" i="4"/>
  <c r="I526" i="4"/>
  <c r="K526" i="4"/>
  <c r="I518" i="4"/>
  <c r="K518" i="4"/>
  <c r="I510" i="4"/>
  <c r="K510" i="4"/>
  <c r="I502" i="4"/>
  <c r="K502" i="4"/>
  <c r="I494" i="4"/>
  <c r="K494" i="4"/>
  <c r="I486" i="4"/>
  <c r="K486" i="4"/>
  <c r="I478" i="4"/>
  <c r="K478" i="4"/>
  <c r="I470" i="4"/>
  <c r="K470" i="4"/>
  <c r="I462" i="4"/>
  <c r="K462" i="4"/>
  <c r="I454" i="4"/>
  <c r="K454" i="4"/>
  <c r="I446" i="4"/>
  <c r="K446" i="4"/>
  <c r="I438" i="4"/>
  <c r="K438" i="4"/>
  <c r="I430" i="4"/>
  <c r="K430" i="4"/>
  <c r="I422" i="4"/>
  <c r="K422" i="4"/>
  <c r="I414" i="4"/>
  <c r="K414" i="4"/>
  <c r="I406" i="4"/>
  <c r="K406" i="4"/>
  <c r="I398" i="4"/>
  <c r="K398" i="4"/>
  <c r="I390" i="4"/>
  <c r="K390" i="4"/>
  <c r="I382" i="4"/>
  <c r="K382" i="4"/>
  <c r="I374" i="4"/>
  <c r="K374" i="4"/>
  <c r="I366" i="4"/>
  <c r="K366" i="4"/>
  <c r="I358" i="4"/>
  <c r="K358" i="4"/>
  <c r="I350" i="4"/>
  <c r="K350" i="4"/>
  <c r="I342" i="4"/>
  <c r="K342" i="4"/>
  <c r="I334" i="4"/>
  <c r="K334" i="4"/>
  <c r="I326" i="4"/>
  <c r="K326" i="4"/>
  <c r="I318" i="4"/>
  <c r="K318" i="4"/>
  <c r="I310" i="4"/>
  <c r="K310" i="4"/>
  <c r="I302" i="4"/>
  <c r="K302" i="4"/>
  <c r="I294" i="4"/>
  <c r="K294" i="4"/>
  <c r="I286" i="4"/>
  <c r="K286" i="4"/>
  <c r="I278" i="4"/>
  <c r="K278" i="4"/>
  <c r="I270" i="4"/>
  <c r="K270" i="4"/>
  <c r="I262" i="4"/>
  <c r="K262" i="4"/>
  <c r="I254" i="4"/>
  <c r="K254" i="4"/>
  <c r="I246" i="4"/>
  <c r="K246" i="4"/>
  <c r="I238" i="4"/>
  <c r="K238" i="4"/>
  <c r="I230" i="4"/>
  <c r="K230" i="4"/>
  <c r="I222" i="4"/>
  <c r="K222" i="4"/>
  <c r="I214" i="4"/>
  <c r="K214" i="4"/>
  <c r="I206" i="4"/>
  <c r="K206" i="4"/>
  <c r="I198" i="4"/>
  <c r="K198" i="4"/>
  <c r="I190" i="4"/>
  <c r="K190" i="4"/>
  <c r="I182" i="4"/>
  <c r="K182" i="4"/>
  <c r="I174" i="4"/>
  <c r="K174" i="4"/>
  <c r="I166" i="4"/>
  <c r="K166" i="4"/>
  <c r="I158" i="4"/>
  <c r="K158" i="4"/>
  <c r="I150" i="4"/>
  <c r="K150" i="4"/>
  <c r="I142" i="4"/>
  <c r="K142" i="4"/>
  <c r="N1534" i="4"/>
  <c r="P1534" i="4"/>
  <c r="L1534" i="4"/>
  <c r="Q1534" i="4" s="1"/>
  <c r="M1534" i="4"/>
  <c r="R1534" i="4" s="1"/>
  <c r="O1534" i="4"/>
  <c r="M1526" i="4"/>
  <c r="R1526" i="4" s="1"/>
  <c r="N1526" i="4"/>
  <c r="P1526" i="4"/>
  <c r="L1526" i="4"/>
  <c r="Q1526" i="4" s="1"/>
  <c r="O1526" i="4"/>
  <c r="M1518" i="4"/>
  <c r="R1518" i="4" s="1"/>
  <c r="N1518" i="4"/>
  <c r="P1518" i="4"/>
  <c r="L1518" i="4"/>
  <c r="Q1518" i="4" s="1"/>
  <c r="O1518" i="4"/>
  <c r="M1510" i="4"/>
  <c r="R1510" i="4" s="1"/>
  <c r="P1510" i="4"/>
  <c r="L1510" i="4"/>
  <c r="Q1510" i="4" s="1"/>
  <c r="O1510" i="4"/>
  <c r="N1510" i="4"/>
  <c r="M1502" i="4"/>
  <c r="R1502" i="4" s="1"/>
  <c r="N1502" i="4"/>
  <c r="P1502" i="4"/>
  <c r="O1502" i="4"/>
  <c r="L1502" i="4"/>
  <c r="Q1502" i="4" s="1"/>
  <c r="M1494" i="4"/>
  <c r="R1494" i="4" s="1"/>
  <c r="N1494" i="4"/>
  <c r="P1494" i="4"/>
  <c r="O1494" i="4"/>
  <c r="L1494" i="4"/>
  <c r="Q1494" i="4" s="1"/>
  <c r="M1486" i="4"/>
  <c r="R1486" i="4" s="1"/>
  <c r="N1486" i="4"/>
  <c r="P1486" i="4"/>
  <c r="L1486" i="4"/>
  <c r="Q1486" i="4" s="1"/>
  <c r="O1486" i="4"/>
  <c r="M1478" i="4"/>
  <c r="R1478" i="4" s="1"/>
  <c r="N1478" i="4"/>
  <c r="P1478" i="4"/>
  <c r="O1478" i="4"/>
  <c r="L1478" i="4"/>
  <c r="Q1478" i="4" s="1"/>
  <c r="M1470" i="4"/>
  <c r="R1470" i="4" s="1"/>
  <c r="O1470" i="4"/>
  <c r="N1470" i="4"/>
  <c r="L1470" i="4"/>
  <c r="Q1470" i="4" s="1"/>
  <c r="P1470" i="4"/>
  <c r="M1462" i="4"/>
  <c r="R1462" i="4" s="1"/>
  <c r="L1462" i="4"/>
  <c r="Q1462" i="4" s="1"/>
  <c r="O1462" i="4"/>
  <c r="N1462" i="4"/>
  <c r="P1462" i="4"/>
  <c r="M1454" i="4"/>
  <c r="R1454" i="4" s="1"/>
  <c r="N1454" i="4"/>
  <c r="L1454" i="4"/>
  <c r="Q1454" i="4" s="1"/>
  <c r="P1454" i="4"/>
  <c r="O1454" i="4"/>
  <c r="M1446" i="4"/>
  <c r="R1446" i="4" s="1"/>
  <c r="N1446" i="4"/>
  <c r="P1446" i="4"/>
  <c r="L1446" i="4"/>
  <c r="Q1446" i="4" s="1"/>
  <c r="O1446" i="4"/>
  <c r="L1438" i="4"/>
  <c r="Q1438" i="4" s="1"/>
  <c r="O1438" i="4"/>
  <c r="M1438" i="4"/>
  <c r="R1438" i="4" s="1"/>
  <c r="N1438" i="4"/>
  <c r="P1438" i="4"/>
  <c r="N1430" i="4"/>
  <c r="P1430" i="4"/>
  <c r="M1430" i="4"/>
  <c r="R1430" i="4" s="1"/>
  <c r="L1430" i="4"/>
  <c r="Q1430" i="4" s="1"/>
  <c r="O1430" i="4"/>
  <c r="L1422" i="4"/>
  <c r="Q1422" i="4" s="1"/>
  <c r="M1422" i="4"/>
  <c r="R1422" i="4" s="1"/>
  <c r="N1422" i="4"/>
  <c r="P1422" i="4"/>
  <c r="O1422" i="4"/>
  <c r="N1414" i="4"/>
  <c r="P1414" i="4"/>
  <c r="L1414" i="4"/>
  <c r="Q1414" i="4" s="1"/>
  <c r="O1414" i="4"/>
  <c r="M1414" i="4"/>
  <c r="R1414" i="4" s="1"/>
  <c r="L1406" i="4"/>
  <c r="Q1406" i="4" s="1"/>
  <c r="M1406" i="4"/>
  <c r="R1406" i="4" s="1"/>
  <c r="N1406" i="4"/>
  <c r="O1406" i="4"/>
  <c r="P1406" i="4"/>
  <c r="M1398" i="4"/>
  <c r="R1398" i="4" s="1"/>
  <c r="L1398" i="4"/>
  <c r="Q1398" i="4" s="1"/>
  <c r="N1398" i="4"/>
  <c r="O1398" i="4"/>
  <c r="P1398" i="4"/>
  <c r="L1390" i="4"/>
  <c r="Q1390" i="4" s="1"/>
  <c r="M1390" i="4"/>
  <c r="R1390" i="4" s="1"/>
  <c r="N1390" i="4"/>
  <c r="P1390" i="4"/>
  <c r="O1390" i="4"/>
  <c r="P1382" i="4"/>
  <c r="L1382" i="4"/>
  <c r="Q1382" i="4" s="1"/>
  <c r="M1382" i="4"/>
  <c r="R1382" i="4" s="1"/>
  <c r="O1382" i="4"/>
  <c r="N1382" i="4"/>
  <c r="L1374" i="4"/>
  <c r="Q1374" i="4" s="1"/>
  <c r="M1374" i="4"/>
  <c r="R1374" i="4" s="1"/>
  <c r="N1374" i="4"/>
  <c r="O1374" i="4"/>
  <c r="P1374" i="4"/>
  <c r="M1366" i="4"/>
  <c r="R1366" i="4" s="1"/>
  <c r="O1366" i="4"/>
  <c r="N1366" i="4"/>
  <c r="L1366" i="4"/>
  <c r="Q1366" i="4" s="1"/>
  <c r="P1366" i="4"/>
  <c r="L1358" i="4"/>
  <c r="Q1358" i="4" s="1"/>
  <c r="M1358" i="4"/>
  <c r="R1358" i="4" s="1"/>
  <c r="N1358" i="4"/>
  <c r="P1358" i="4"/>
  <c r="O1358" i="4"/>
  <c r="N2997" i="4"/>
  <c r="O2997" i="4"/>
  <c r="M2997" i="4"/>
  <c r="R2997" i="4" s="1"/>
  <c r="L2997" i="4"/>
  <c r="Q2997" i="4" s="1"/>
  <c r="P2997" i="4"/>
  <c r="N2989" i="4"/>
  <c r="O2989" i="4"/>
  <c r="M2989" i="4"/>
  <c r="R2989" i="4" s="1"/>
  <c r="L2989" i="4"/>
  <c r="Q2989" i="4" s="1"/>
  <c r="P2989" i="4"/>
  <c r="N2981" i="4"/>
  <c r="O2981" i="4"/>
  <c r="L2981" i="4"/>
  <c r="Q2981" i="4" s="1"/>
  <c r="M2981" i="4"/>
  <c r="R2981" i="4" s="1"/>
  <c r="P2981" i="4"/>
  <c r="N2973" i="4"/>
  <c r="O2973" i="4"/>
  <c r="L2973" i="4"/>
  <c r="Q2973" i="4" s="1"/>
  <c r="M2973" i="4"/>
  <c r="R2973" i="4" s="1"/>
  <c r="P2973" i="4"/>
  <c r="N2965" i="4"/>
  <c r="O2965" i="4"/>
  <c r="L2965" i="4"/>
  <c r="Q2965" i="4" s="1"/>
  <c r="M2965" i="4"/>
  <c r="R2965" i="4" s="1"/>
  <c r="P2965" i="4"/>
  <c r="N2957" i="4"/>
  <c r="O2957" i="4"/>
  <c r="L2957" i="4"/>
  <c r="Q2957" i="4" s="1"/>
  <c r="M2957" i="4"/>
  <c r="R2957" i="4" s="1"/>
  <c r="P2957" i="4"/>
  <c r="N2949" i="4"/>
  <c r="O2949" i="4"/>
  <c r="L2949" i="4"/>
  <c r="Q2949" i="4" s="1"/>
  <c r="M2949" i="4"/>
  <c r="R2949" i="4" s="1"/>
  <c r="P2949" i="4"/>
  <c r="N2941" i="4"/>
  <c r="O2941" i="4"/>
  <c r="L2941" i="4"/>
  <c r="Q2941" i="4" s="1"/>
  <c r="M2941" i="4"/>
  <c r="R2941" i="4" s="1"/>
  <c r="P2941" i="4"/>
  <c r="N2933" i="4"/>
  <c r="O2933" i="4"/>
  <c r="M2933" i="4"/>
  <c r="R2933" i="4" s="1"/>
  <c r="L2933" i="4"/>
  <c r="Q2933" i="4" s="1"/>
  <c r="P2933" i="4"/>
  <c r="N2925" i="4"/>
  <c r="M2925" i="4"/>
  <c r="R2925" i="4" s="1"/>
  <c r="L2925" i="4"/>
  <c r="Q2925" i="4" s="1"/>
  <c r="O2925" i="4"/>
  <c r="P2925" i="4"/>
  <c r="N2917" i="4"/>
  <c r="O2917" i="4"/>
  <c r="M2917" i="4"/>
  <c r="R2917" i="4" s="1"/>
  <c r="L2917" i="4"/>
  <c r="Q2917" i="4" s="1"/>
  <c r="P2917" i="4"/>
  <c r="N2909" i="4"/>
  <c r="O2909" i="4"/>
  <c r="M2909" i="4"/>
  <c r="R2909" i="4" s="1"/>
  <c r="L2909" i="4"/>
  <c r="Q2909" i="4" s="1"/>
  <c r="P2909" i="4"/>
  <c r="N2901" i="4"/>
  <c r="M2901" i="4"/>
  <c r="R2901" i="4" s="1"/>
  <c r="L2901" i="4"/>
  <c r="Q2901" i="4" s="1"/>
  <c r="O2901" i="4"/>
  <c r="P2901" i="4"/>
  <c r="N2893" i="4"/>
  <c r="O2893" i="4"/>
  <c r="M2893" i="4"/>
  <c r="R2893" i="4" s="1"/>
  <c r="L2893" i="4"/>
  <c r="Q2893" i="4" s="1"/>
  <c r="P2893" i="4"/>
  <c r="N2885" i="4"/>
  <c r="L2885" i="4"/>
  <c r="Q2885" i="4" s="1"/>
  <c r="O2885" i="4"/>
  <c r="M2885" i="4"/>
  <c r="R2885" i="4" s="1"/>
  <c r="P2885" i="4"/>
  <c r="N2877" i="4"/>
  <c r="M2877" i="4"/>
  <c r="R2877" i="4" s="1"/>
  <c r="L2877" i="4"/>
  <c r="Q2877" i="4" s="1"/>
  <c r="O2877" i="4"/>
  <c r="P2877" i="4"/>
  <c r="N2869" i="4"/>
  <c r="L2869" i="4"/>
  <c r="Q2869" i="4" s="1"/>
  <c r="M2869" i="4"/>
  <c r="R2869" i="4" s="1"/>
  <c r="O2869" i="4"/>
  <c r="P2869" i="4"/>
  <c r="N2861" i="4"/>
  <c r="O2861" i="4"/>
  <c r="M2861" i="4"/>
  <c r="R2861" i="4" s="1"/>
  <c r="L2861" i="4"/>
  <c r="Q2861" i="4" s="1"/>
  <c r="P2861" i="4"/>
  <c r="O2853" i="4"/>
  <c r="M2853" i="4"/>
  <c r="R2853" i="4" s="1"/>
  <c r="N2853" i="4"/>
  <c r="L2853" i="4"/>
  <c r="Q2853" i="4" s="1"/>
  <c r="P2853" i="4"/>
  <c r="N2845" i="4"/>
  <c r="M2845" i="4"/>
  <c r="R2845" i="4" s="1"/>
  <c r="L2845" i="4"/>
  <c r="Q2845" i="4" s="1"/>
  <c r="O2845" i="4"/>
  <c r="P2845" i="4"/>
  <c r="N2837" i="4"/>
  <c r="O2837" i="4"/>
  <c r="L2837" i="4"/>
  <c r="Q2837" i="4" s="1"/>
  <c r="M2837" i="4"/>
  <c r="R2837" i="4" s="1"/>
  <c r="P2837" i="4"/>
  <c r="N2829" i="4"/>
  <c r="O2829" i="4"/>
  <c r="M2829" i="4"/>
  <c r="R2829" i="4" s="1"/>
  <c r="L2829" i="4"/>
  <c r="Q2829" i="4" s="1"/>
  <c r="P2829" i="4"/>
  <c r="N2821" i="4"/>
  <c r="O2821" i="4"/>
  <c r="M2821" i="4"/>
  <c r="R2821" i="4" s="1"/>
  <c r="L2821" i="4"/>
  <c r="Q2821" i="4" s="1"/>
  <c r="P2821" i="4"/>
  <c r="N2813" i="4"/>
  <c r="M2813" i="4"/>
  <c r="R2813" i="4" s="1"/>
  <c r="O2813" i="4"/>
  <c r="L2813" i="4"/>
  <c r="Q2813" i="4" s="1"/>
  <c r="P2813" i="4"/>
  <c r="N2805" i="4"/>
  <c r="L2805" i="4"/>
  <c r="Q2805" i="4" s="1"/>
  <c r="O2805" i="4"/>
  <c r="M2805" i="4"/>
  <c r="R2805" i="4" s="1"/>
  <c r="P2805" i="4"/>
  <c r="N2797" i="4"/>
  <c r="L2797" i="4"/>
  <c r="Q2797" i="4" s="1"/>
  <c r="M2797" i="4"/>
  <c r="R2797" i="4" s="1"/>
  <c r="O2797" i="4"/>
  <c r="P2797" i="4"/>
  <c r="N2789" i="4"/>
  <c r="L2789" i="4"/>
  <c r="Q2789" i="4" s="1"/>
  <c r="O2789" i="4"/>
  <c r="M2789" i="4"/>
  <c r="R2789" i="4" s="1"/>
  <c r="P2789" i="4"/>
  <c r="N2781" i="4"/>
  <c r="M2781" i="4"/>
  <c r="R2781" i="4" s="1"/>
  <c r="O2781" i="4"/>
  <c r="L2781" i="4"/>
  <c r="Q2781" i="4" s="1"/>
  <c r="P2781" i="4"/>
  <c r="N2773" i="4"/>
  <c r="O2773" i="4"/>
  <c r="L2773" i="4"/>
  <c r="Q2773" i="4" s="1"/>
  <c r="M2773" i="4"/>
  <c r="R2773" i="4" s="1"/>
  <c r="P2773" i="4"/>
  <c r="N2765" i="4"/>
  <c r="M2765" i="4"/>
  <c r="R2765" i="4" s="1"/>
  <c r="L2765" i="4"/>
  <c r="Q2765" i="4" s="1"/>
  <c r="O2765" i="4"/>
  <c r="P2765" i="4"/>
  <c r="N2757" i="4"/>
  <c r="O2757" i="4"/>
  <c r="M2757" i="4"/>
  <c r="R2757" i="4" s="1"/>
  <c r="L2757" i="4"/>
  <c r="Q2757" i="4" s="1"/>
  <c r="P2757" i="4"/>
  <c r="N2749" i="4"/>
  <c r="L2749" i="4"/>
  <c r="Q2749" i="4" s="1"/>
  <c r="O2749" i="4"/>
  <c r="M2749" i="4"/>
  <c r="R2749" i="4" s="1"/>
  <c r="P2749" i="4"/>
  <c r="M2741" i="4"/>
  <c r="R2741" i="4" s="1"/>
  <c r="O2741" i="4"/>
  <c r="L2741" i="4"/>
  <c r="Q2741" i="4" s="1"/>
  <c r="P2741" i="4"/>
  <c r="N2741" i="4"/>
  <c r="M2733" i="4"/>
  <c r="R2733" i="4" s="1"/>
  <c r="L2733" i="4"/>
  <c r="Q2733" i="4" s="1"/>
  <c r="O2733" i="4"/>
  <c r="P2733" i="4"/>
  <c r="N2733" i="4"/>
  <c r="M2725" i="4"/>
  <c r="R2725" i="4" s="1"/>
  <c r="L2725" i="4"/>
  <c r="Q2725" i="4" s="1"/>
  <c r="O2725" i="4"/>
  <c r="N2725" i="4"/>
  <c r="P2725" i="4"/>
  <c r="O2717" i="4"/>
  <c r="N2717" i="4"/>
  <c r="L2717" i="4"/>
  <c r="Q2717" i="4" s="1"/>
  <c r="P2717" i="4"/>
  <c r="M2717" i="4"/>
  <c r="R2717" i="4" s="1"/>
  <c r="L2709" i="4"/>
  <c r="Q2709" i="4" s="1"/>
  <c r="P2709" i="4"/>
  <c r="O2709" i="4"/>
  <c r="N2709" i="4"/>
  <c r="M2709" i="4"/>
  <c r="R2709" i="4" s="1"/>
  <c r="N2701" i="4"/>
  <c r="O2701" i="4"/>
  <c r="P2701" i="4"/>
  <c r="L2701" i="4"/>
  <c r="Q2701" i="4" s="1"/>
  <c r="M2701" i="4"/>
  <c r="R2701" i="4" s="1"/>
  <c r="M2693" i="4"/>
  <c r="R2693" i="4" s="1"/>
  <c r="O2693" i="4"/>
  <c r="L2693" i="4"/>
  <c r="Q2693" i="4" s="1"/>
  <c r="P2693" i="4"/>
  <c r="N2693" i="4"/>
  <c r="O2685" i="4"/>
  <c r="N2685" i="4"/>
  <c r="P2685" i="4"/>
  <c r="M2685" i="4"/>
  <c r="R2685" i="4" s="1"/>
  <c r="L2685" i="4"/>
  <c r="Q2685" i="4" s="1"/>
  <c r="L2677" i="4"/>
  <c r="Q2677" i="4" s="1"/>
  <c r="P2677" i="4"/>
  <c r="O2677" i="4"/>
  <c r="N2677" i="4"/>
  <c r="M2677" i="4"/>
  <c r="R2677" i="4" s="1"/>
  <c r="M2669" i="4"/>
  <c r="R2669" i="4" s="1"/>
  <c r="O2669" i="4"/>
  <c r="P2669" i="4"/>
  <c r="L2669" i="4"/>
  <c r="Q2669" i="4" s="1"/>
  <c r="N2669" i="4"/>
  <c r="L2661" i="4"/>
  <c r="Q2661" i="4" s="1"/>
  <c r="O2661" i="4"/>
  <c r="M2661" i="4"/>
  <c r="R2661" i="4" s="1"/>
  <c r="N2661" i="4"/>
  <c r="P2661" i="4"/>
  <c r="O2653" i="4"/>
  <c r="N2653" i="4"/>
  <c r="M2653" i="4"/>
  <c r="R2653" i="4" s="1"/>
  <c r="L2653" i="4"/>
  <c r="Q2653" i="4" s="1"/>
  <c r="P2653" i="4"/>
  <c r="L2645" i="4"/>
  <c r="Q2645" i="4" s="1"/>
  <c r="P2645" i="4"/>
  <c r="O2645" i="4"/>
  <c r="N2645" i="4"/>
  <c r="M2645" i="4"/>
  <c r="R2645" i="4" s="1"/>
  <c r="P2637" i="4"/>
  <c r="M2637" i="4"/>
  <c r="R2637" i="4" s="1"/>
  <c r="L2637" i="4"/>
  <c r="Q2637" i="4" s="1"/>
  <c r="N2637" i="4"/>
  <c r="O2637" i="4"/>
  <c r="M2629" i="4"/>
  <c r="R2629" i="4" s="1"/>
  <c r="L2629" i="4"/>
  <c r="Q2629" i="4" s="1"/>
  <c r="O2629" i="4"/>
  <c r="P2629" i="4"/>
  <c r="N2629" i="4"/>
  <c r="O2621" i="4"/>
  <c r="N2621" i="4"/>
  <c r="M2621" i="4"/>
  <c r="R2621" i="4" s="1"/>
  <c r="L2621" i="4"/>
  <c r="Q2621" i="4" s="1"/>
  <c r="P2621" i="4"/>
  <c r="L2613" i="4"/>
  <c r="Q2613" i="4" s="1"/>
  <c r="P2613" i="4"/>
  <c r="N2613" i="4"/>
  <c r="O2613" i="4"/>
  <c r="M2613" i="4"/>
  <c r="R2613" i="4" s="1"/>
  <c r="L2605" i="4"/>
  <c r="Q2605" i="4" s="1"/>
  <c r="M2605" i="4"/>
  <c r="R2605" i="4" s="1"/>
  <c r="O2605" i="4"/>
  <c r="P2605" i="4"/>
  <c r="N2605" i="4"/>
  <c r="M2597" i="4"/>
  <c r="R2597" i="4" s="1"/>
  <c r="L2597" i="4"/>
  <c r="Q2597" i="4" s="1"/>
  <c r="O2597" i="4"/>
  <c r="N2597" i="4"/>
  <c r="P2597" i="4"/>
  <c r="O2589" i="4"/>
  <c r="N2589" i="4"/>
  <c r="L2589" i="4"/>
  <c r="Q2589" i="4" s="1"/>
  <c r="M2589" i="4"/>
  <c r="R2589" i="4" s="1"/>
  <c r="P2589" i="4"/>
  <c r="L2581" i="4"/>
  <c r="Q2581" i="4" s="1"/>
  <c r="P2581" i="4"/>
  <c r="O2581" i="4"/>
  <c r="M2581" i="4"/>
  <c r="R2581" i="4" s="1"/>
  <c r="N2581" i="4"/>
  <c r="P2573" i="4"/>
  <c r="L2573" i="4"/>
  <c r="Q2573" i="4" s="1"/>
  <c r="M2573" i="4"/>
  <c r="R2573" i="4" s="1"/>
  <c r="N2573" i="4"/>
  <c r="O2573" i="4"/>
  <c r="M2565" i="4"/>
  <c r="R2565" i="4" s="1"/>
  <c r="L2565" i="4"/>
  <c r="Q2565" i="4" s="1"/>
  <c r="O2565" i="4"/>
  <c r="P2565" i="4"/>
  <c r="N2565" i="4"/>
  <c r="O2557" i="4"/>
  <c r="N2557" i="4"/>
  <c r="L2557" i="4"/>
  <c r="Q2557" i="4" s="1"/>
  <c r="M2557" i="4"/>
  <c r="R2557" i="4" s="1"/>
  <c r="P2557" i="4"/>
  <c r="L2549" i="4"/>
  <c r="Q2549" i="4" s="1"/>
  <c r="P2549" i="4"/>
  <c r="O2549" i="4"/>
  <c r="N2549" i="4"/>
  <c r="M2549" i="4"/>
  <c r="R2549" i="4" s="1"/>
  <c r="L2541" i="4"/>
  <c r="Q2541" i="4" s="1"/>
  <c r="M2541" i="4"/>
  <c r="R2541" i="4" s="1"/>
  <c r="O2541" i="4"/>
  <c r="N2541" i="4"/>
  <c r="P2541" i="4"/>
  <c r="L2533" i="4"/>
  <c r="Q2533" i="4" s="1"/>
  <c r="P2533" i="4"/>
  <c r="N2533" i="4"/>
  <c r="M2533" i="4"/>
  <c r="R2533" i="4" s="1"/>
  <c r="O2533" i="4"/>
  <c r="O2525" i="4"/>
  <c r="N2525" i="4"/>
  <c r="M2525" i="4"/>
  <c r="R2525" i="4" s="1"/>
  <c r="L2525" i="4"/>
  <c r="Q2525" i="4" s="1"/>
  <c r="P2525" i="4"/>
  <c r="L2517" i="4"/>
  <c r="Q2517" i="4" s="1"/>
  <c r="P2517" i="4"/>
  <c r="M2517" i="4"/>
  <c r="R2517" i="4" s="1"/>
  <c r="O2517" i="4"/>
  <c r="N2517" i="4"/>
  <c r="L2509" i="4"/>
  <c r="Q2509" i="4" s="1"/>
  <c r="O2509" i="4"/>
  <c r="M2509" i="4"/>
  <c r="R2509" i="4" s="1"/>
  <c r="N2509" i="4"/>
  <c r="P2509" i="4"/>
  <c r="N2501" i="4"/>
  <c r="P2501" i="4"/>
  <c r="O2501" i="4"/>
  <c r="M2501" i="4"/>
  <c r="R2501" i="4" s="1"/>
  <c r="L2501" i="4"/>
  <c r="Q2501" i="4" s="1"/>
  <c r="O2493" i="4"/>
  <c r="N2493" i="4"/>
  <c r="L2493" i="4"/>
  <c r="Q2493" i="4" s="1"/>
  <c r="P2493" i="4"/>
  <c r="M2493" i="4"/>
  <c r="R2493" i="4" s="1"/>
  <c r="L2485" i="4"/>
  <c r="Q2485" i="4" s="1"/>
  <c r="P2485" i="4"/>
  <c r="M2485" i="4"/>
  <c r="R2485" i="4" s="1"/>
  <c r="O2485" i="4"/>
  <c r="N2485" i="4"/>
  <c r="L2477" i="4"/>
  <c r="Q2477" i="4" s="1"/>
  <c r="M2477" i="4"/>
  <c r="R2477" i="4" s="1"/>
  <c r="N2477" i="4"/>
  <c r="O2477" i="4"/>
  <c r="P2477" i="4"/>
  <c r="N2469" i="4"/>
  <c r="L2469" i="4"/>
  <c r="Q2469" i="4" s="1"/>
  <c r="P2469" i="4"/>
  <c r="O2469" i="4"/>
  <c r="M2469" i="4"/>
  <c r="R2469" i="4" s="1"/>
  <c r="N2461" i="4"/>
  <c r="M2461" i="4"/>
  <c r="R2461" i="4" s="1"/>
  <c r="P2461" i="4"/>
  <c r="O2461" i="4"/>
  <c r="L2461" i="4"/>
  <c r="Q2461" i="4" s="1"/>
  <c r="O2453" i="4"/>
  <c r="M2453" i="4"/>
  <c r="R2453" i="4" s="1"/>
  <c r="P2453" i="4"/>
  <c r="L2453" i="4"/>
  <c r="Q2453" i="4" s="1"/>
  <c r="N2453" i="4"/>
  <c r="P2445" i="4"/>
  <c r="O2445" i="4"/>
  <c r="L2445" i="4"/>
  <c r="Q2445" i="4" s="1"/>
  <c r="M2445" i="4"/>
  <c r="R2445" i="4" s="1"/>
  <c r="N2445" i="4"/>
  <c r="P2437" i="4"/>
  <c r="O2437" i="4"/>
  <c r="N2437" i="4"/>
  <c r="L2437" i="4"/>
  <c r="Q2437" i="4" s="1"/>
  <c r="M2437" i="4"/>
  <c r="R2437" i="4" s="1"/>
  <c r="M2429" i="4"/>
  <c r="R2429" i="4" s="1"/>
  <c r="L2429" i="4"/>
  <c r="Q2429" i="4" s="1"/>
  <c r="N2429" i="4"/>
  <c r="P2429" i="4"/>
  <c r="O2429" i="4"/>
  <c r="P2421" i="4"/>
  <c r="L2421" i="4"/>
  <c r="Q2421" i="4" s="1"/>
  <c r="M2421" i="4"/>
  <c r="R2421" i="4" s="1"/>
  <c r="N2421" i="4"/>
  <c r="O2421" i="4"/>
  <c r="N2413" i="4"/>
  <c r="P2413" i="4"/>
  <c r="O2413" i="4"/>
  <c r="L2413" i="4"/>
  <c r="Q2413" i="4" s="1"/>
  <c r="M2413" i="4"/>
  <c r="R2413" i="4" s="1"/>
  <c r="P2405" i="4"/>
  <c r="L2405" i="4"/>
  <c r="Q2405" i="4" s="1"/>
  <c r="N2405" i="4"/>
  <c r="O2405" i="4"/>
  <c r="M2405" i="4"/>
  <c r="R2405" i="4" s="1"/>
  <c r="M2397" i="4"/>
  <c r="R2397" i="4" s="1"/>
  <c r="N2397" i="4"/>
  <c r="P2397" i="4"/>
  <c r="L2397" i="4"/>
  <c r="Q2397" i="4" s="1"/>
  <c r="O2397" i="4"/>
  <c r="L2389" i="4"/>
  <c r="Q2389" i="4" s="1"/>
  <c r="P2389" i="4"/>
  <c r="N2389" i="4"/>
  <c r="M2389" i="4"/>
  <c r="R2389" i="4" s="1"/>
  <c r="O2389" i="4"/>
  <c r="L2381" i="4"/>
  <c r="Q2381" i="4" s="1"/>
  <c r="M2381" i="4"/>
  <c r="R2381" i="4" s="1"/>
  <c r="P2381" i="4"/>
  <c r="N2381" i="4"/>
  <c r="O2381" i="4"/>
  <c r="P2373" i="4"/>
  <c r="O2373" i="4"/>
  <c r="N2373" i="4"/>
  <c r="L2373" i="4"/>
  <c r="Q2373" i="4" s="1"/>
  <c r="M2373" i="4"/>
  <c r="R2373" i="4" s="1"/>
  <c r="L2365" i="4"/>
  <c r="Q2365" i="4" s="1"/>
  <c r="P2365" i="4"/>
  <c r="N2365" i="4"/>
  <c r="M2365" i="4"/>
  <c r="R2365" i="4" s="1"/>
  <c r="O2365" i="4"/>
  <c r="L2357" i="4"/>
  <c r="Q2357" i="4" s="1"/>
  <c r="P2357" i="4"/>
  <c r="O2357" i="4"/>
  <c r="N2357" i="4"/>
  <c r="M2357" i="4"/>
  <c r="R2357" i="4" s="1"/>
  <c r="P2349" i="4"/>
  <c r="N2349" i="4"/>
  <c r="M2349" i="4"/>
  <c r="R2349" i="4" s="1"/>
  <c r="O2349" i="4"/>
  <c r="L2349" i="4"/>
  <c r="Q2349" i="4" s="1"/>
  <c r="O2341" i="4"/>
  <c r="L2341" i="4"/>
  <c r="Q2341" i="4" s="1"/>
  <c r="P2341" i="4"/>
  <c r="N2341" i="4"/>
  <c r="M2341" i="4"/>
  <c r="R2341" i="4" s="1"/>
  <c r="L2333" i="4"/>
  <c r="Q2333" i="4" s="1"/>
  <c r="P2333" i="4"/>
  <c r="N2333" i="4"/>
  <c r="M2333" i="4"/>
  <c r="R2333" i="4" s="1"/>
  <c r="O2333" i="4"/>
  <c r="L2325" i="4"/>
  <c r="Q2325" i="4" s="1"/>
  <c r="P2325" i="4"/>
  <c r="O2325" i="4"/>
  <c r="N2325" i="4"/>
  <c r="M2325" i="4"/>
  <c r="R2325" i="4" s="1"/>
  <c r="P2317" i="4"/>
  <c r="L2317" i="4"/>
  <c r="Q2317" i="4" s="1"/>
  <c r="M2317" i="4"/>
  <c r="R2317" i="4" s="1"/>
  <c r="N2317" i="4"/>
  <c r="O2317" i="4"/>
  <c r="P2309" i="4"/>
  <c r="O2309" i="4"/>
  <c r="L2309" i="4"/>
  <c r="Q2309" i="4" s="1"/>
  <c r="N2309" i="4"/>
  <c r="M2309" i="4"/>
  <c r="R2309" i="4" s="1"/>
  <c r="L2301" i="4"/>
  <c r="Q2301" i="4" s="1"/>
  <c r="N2301" i="4"/>
  <c r="M2301" i="4"/>
  <c r="R2301" i="4" s="1"/>
  <c r="P2301" i="4"/>
  <c r="O2301" i="4"/>
  <c r="L2293" i="4"/>
  <c r="Q2293" i="4" s="1"/>
  <c r="P2293" i="4"/>
  <c r="N2293" i="4"/>
  <c r="O2293" i="4"/>
  <c r="M2293" i="4"/>
  <c r="R2293" i="4" s="1"/>
  <c r="P2285" i="4"/>
  <c r="L2285" i="4"/>
  <c r="Q2285" i="4" s="1"/>
  <c r="N2285" i="4"/>
  <c r="M2285" i="4"/>
  <c r="R2285" i="4" s="1"/>
  <c r="O2285" i="4"/>
  <c r="P2277" i="4"/>
  <c r="O2277" i="4"/>
  <c r="L2277" i="4"/>
  <c r="Q2277" i="4" s="1"/>
  <c r="N2277" i="4"/>
  <c r="M2277" i="4"/>
  <c r="R2277" i="4" s="1"/>
  <c r="L2269" i="4"/>
  <c r="Q2269" i="4" s="1"/>
  <c r="N2269" i="4"/>
  <c r="M2269" i="4"/>
  <c r="R2269" i="4" s="1"/>
  <c r="P2269" i="4"/>
  <c r="O2269" i="4"/>
  <c r="L2261" i="4"/>
  <c r="Q2261" i="4" s="1"/>
  <c r="P2261" i="4"/>
  <c r="O2261" i="4"/>
  <c r="M2261" i="4"/>
  <c r="R2261" i="4" s="1"/>
  <c r="N2261" i="4"/>
  <c r="P2253" i="4"/>
  <c r="O2253" i="4"/>
  <c r="N2253" i="4"/>
  <c r="L2253" i="4"/>
  <c r="Q2253" i="4" s="1"/>
  <c r="M2253" i="4"/>
  <c r="R2253" i="4" s="1"/>
  <c r="P2245" i="4"/>
  <c r="L2245" i="4"/>
  <c r="Q2245" i="4" s="1"/>
  <c r="O2245" i="4"/>
  <c r="M2245" i="4"/>
  <c r="R2245" i="4" s="1"/>
  <c r="N2245" i="4"/>
  <c r="L2237" i="4"/>
  <c r="Q2237" i="4" s="1"/>
  <c r="N2237" i="4"/>
  <c r="M2237" i="4"/>
  <c r="R2237" i="4" s="1"/>
  <c r="O2237" i="4"/>
  <c r="P2237" i="4"/>
  <c r="L2229" i="4"/>
  <c r="Q2229" i="4" s="1"/>
  <c r="P2229" i="4"/>
  <c r="O2229" i="4"/>
  <c r="M2229" i="4"/>
  <c r="R2229" i="4" s="1"/>
  <c r="N2229" i="4"/>
  <c r="P2221" i="4"/>
  <c r="M2221" i="4"/>
  <c r="R2221" i="4" s="1"/>
  <c r="N2221" i="4"/>
  <c r="O2221" i="4"/>
  <c r="L2221" i="4"/>
  <c r="Q2221" i="4" s="1"/>
  <c r="P2213" i="4"/>
  <c r="L2213" i="4"/>
  <c r="Q2213" i="4" s="1"/>
  <c r="O2213" i="4"/>
  <c r="N2213" i="4"/>
  <c r="M2213" i="4"/>
  <c r="R2213" i="4" s="1"/>
  <c r="L2205" i="4"/>
  <c r="Q2205" i="4" s="1"/>
  <c r="N2205" i="4"/>
  <c r="M2205" i="4"/>
  <c r="R2205" i="4" s="1"/>
  <c r="P2205" i="4"/>
  <c r="O2205" i="4"/>
  <c r="L2197" i="4"/>
  <c r="Q2197" i="4" s="1"/>
  <c r="P2197" i="4"/>
  <c r="M2197" i="4"/>
  <c r="R2197" i="4" s="1"/>
  <c r="O2197" i="4"/>
  <c r="N2197" i="4"/>
  <c r="P2189" i="4"/>
  <c r="N2189" i="4"/>
  <c r="M2189" i="4"/>
  <c r="R2189" i="4" s="1"/>
  <c r="O2189" i="4"/>
  <c r="L2189" i="4"/>
  <c r="Q2189" i="4" s="1"/>
  <c r="P2181" i="4"/>
  <c r="O2181" i="4"/>
  <c r="L2181" i="4"/>
  <c r="Q2181" i="4" s="1"/>
  <c r="N2181" i="4"/>
  <c r="M2181" i="4"/>
  <c r="R2181" i="4" s="1"/>
  <c r="L2173" i="4"/>
  <c r="Q2173" i="4" s="1"/>
  <c r="N2173" i="4"/>
  <c r="M2173" i="4"/>
  <c r="R2173" i="4" s="1"/>
  <c r="O2173" i="4"/>
  <c r="P2173" i="4"/>
  <c r="L2165" i="4"/>
  <c r="Q2165" i="4" s="1"/>
  <c r="O2165" i="4"/>
  <c r="P2165" i="4"/>
  <c r="M2165" i="4"/>
  <c r="R2165" i="4" s="1"/>
  <c r="N2165" i="4"/>
  <c r="P2157" i="4"/>
  <c r="O2157" i="4"/>
  <c r="N2157" i="4"/>
  <c r="M2157" i="4"/>
  <c r="R2157" i="4" s="1"/>
  <c r="L2157" i="4"/>
  <c r="Q2157" i="4" s="1"/>
  <c r="P2149" i="4"/>
  <c r="L2149" i="4"/>
  <c r="Q2149" i="4" s="1"/>
  <c r="O2149" i="4"/>
  <c r="N2149" i="4"/>
  <c r="M2149" i="4"/>
  <c r="R2149" i="4" s="1"/>
  <c r="O2141" i="4"/>
  <c r="P2141" i="4"/>
  <c r="L2141" i="4"/>
  <c r="Q2141" i="4" s="1"/>
  <c r="M2141" i="4"/>
  <c r="R2141" i="4" s="1"/>
  <c r="N2141" i="4"/>
  <c r="O2133" i="4"/>
  <c r="L2133" i="4"/>
  <c r="Q2133" i="4" s="1"/>
  <c r="N2133" i="4"/>
  <c r="M2133" i="4"/>
  <c r="R2133" i="4" s="1"/>
  <c r="P2133" i="4"/>
  <c r="O2125" i="4"/>
  <c r="L2125" i="4"/>
  <c r="Q2125" i="4" s="1"/>
  <c r="P2125" i="4"/>
  <c r="M2125" i="4"/>
  <c r="R2125" i="4" s="1"/>
  <c r="N2125" i="4"/>
  <c r="O2117" i="4"/>
  <c r="N2117" i="4"/>
  <c r="L2117" i="4"/>
  <c r="Q2117" i="4" s="1"/>
  <c r="P2117" i="4"/>
  <c r="M2117" i="4"/>
  <c r="R2117" i="4" s="1"/>
  <c r="L2109" i="4"/>
  <c r="Q2109" i="4" s="1"/>
  <c r="N2109" i="4"/>
  <c r="O2109" i="4"/>
  <c r="M2109" i="4"/>
  <c r="R2109" i="4" s="1"/>
  <c r="P2109" i="4"/>
  <c r="O2101" i="4"/>
  <c r="P2101" i="4"/>
  <c r="M2101" i="4"/>
  <c r="R2101" i="4" s="1"/>
  <c r="N2101" i="4"/>
  <c r="L2101" i="4"/>
  <c r="Q2101" i="4" s="1"/>
  <c r="O2093" i="4"/>
  <c r="P2093" i="4"/>
  <c r="M2093" i="4"/>
  <c r="R2093" i="4" s="1"/>
  <c r="L2093" i="4"/>
  <c r="Q2093" i="4" s="1"/>
  <c r="N2093" i="4"/>
  <c r="L2085" i="4"/>
  <c r="Q2085" i="4" s="1"/>
  <c r="P2085" i="4"/>
  <c r="N2085" i="4"/>
  <c r="O2085" i="4"/>
  <c r="M2085" i="4"/>
  <c r="R2085" i="4" s="1"/>
  <c r="L2077" i="4"/>
  <c r="Q2077" i="4" s="1"/>
  <c r="M2077" i="4"/>
  <c r="R2077" i="4" s="1"/>
  <c r="O2077" i="4"/>
  <c r="N2077" i="4"/>
  <c r="P2077" i="4"/>
  <c r="M2069" i="4"/>
  <c r="R2069" i="4" s="1"/>
  <c r="N2069" i="4"/>
  <c r="P2069" i="4"/>
  <c r="L2069" i="4"/>
  <c r="Q2069" i="4" s="1"/>
  <c r="O2069" i="4"/>
  <c r="L2061" i="4"/>
  <c r="Q2061" i="4" s="1"/>
  <c r="M2061" i="4"/>
  <c r="R2061" i="4" s="1"/>
  <c r="P2061" i="4"/>
  <c r="N2061" i="4"/>
  <c r="O2061" i="4"/>
  <c r="O2053" i="4"/>
  <c r="L2053" i="4"/>
  <c r="Q2053" i="4" s="1"/>
  <c r="M2053" i="4"/>
  <c r="R2053" i="4" s="1"/>
  <c r="N2053" i="4"/>
  <c r="P2053" i="4"/>
  <c r="N2045" i="4"/>
  <c r="P2045" i="4"/>
  <c r="L2045" i="4"/>
  <c r="Q2045" i="4" s="1"/>
  <c r="M2045" i="4"/>
  <c r="R2045" i="4" s="1"/>
  <c r="O2045" i="4"/>
  <c r="O2037" i="4"/>
  <c r="M2037" i="4"/>
  <c r="R2037" i="4" s="1"/>
  <c r="L2037" i="4"/>
  <c r="Q2037" i="4" s="1"/>
  <c r="P2037" i="4"/>
  <c r="N2037" i="4"/>
  <c r="P2029" i="4"/>
  <c r="N2029" i="4"/>
  <c r="L2029" i="4"/>
  <c r="Q2029" i="4" s="1"/>
  <c r="M2029" i="4"/>
  <c r="R2029" i="4" s="1"/>
  <c r="O2029" i="4"/>
  <c r="O2021" i="4"/>
  <c r="L2021" i="4"/>
  <c r="Q2021" i="4" s="1"/>
  <c r="M2021" i="4"/>
  <c r="R2021" i="4" s="1"/>
  <c r="N2021" i="4"/>
  <c r="P2021" i="4"/>
  <c r="L2013" i="4"/>
  <c r="Q2013" i="4" s="1"/>
  <c r="M2013" i="4"/>
  <c r="R2013" i="4" s="1"/>
  <c r="O2013" i="4"/>
  <c r="N2013" i="4"/>
  <c r="P2013" i="4"/>
  <c r="P2005" i="4"/>
  <c r="L2005" i="4"/>
  <c r="Q2005" i="4" s="1"/>
  <c r="O2005" i="4"/>
  <c r="N2005" i="4"/>
  <c r="M2005" i="4"/>
  <c r="R2005" i="4" s="1"/>
  <c r="M1997" i="4"/>
  <c r="R1997" i="4" s="1"/>
  <c r="P1997" i="4"/>
  <c r="L1997" i="4"/>
  <c r="Q1997" i="4" s="1"/>
  <c r="O1997" i="4"/>
  <c r="N1997" i="4"/>
  <c r="M1989" i="4"/>
  <c r="R1989" i="4" s="1"/>
  <c r="L1989" i="4"/>
  <c r="Q1989" i="4" s="1"/>
  <c r="N1989" i="4"/>
  <c r="P1989" i="4"/>
  <c r="O1989" i="4"/>
  <c r="M1981" i="4"/>
  <c r="R1981" i="4" s="1"/>
  <c r="L1981" i="4"/>
  <c r="Q1981" i="4" s="1"/>
  <c r="O1981" i="4"/>
  <c r="N1981" i="4"/>
  <c r="P1981" i="4"/>
  <c r="M1973" i="4"/>
  <c r="R1973" i="4" s="1"/>
  <c r="L1973" i="4"/>
  <c r="Q1973" i="4" s="1"/>
  <c r="O1973" i="4"/>
  <c r="N1973" i="4"/>
  <c r="P1973" i="4"/>
  <c r="M1965" i="4"/>
  <c r="R1965" i="4" s="1"/>
  <c r="O1965" i="4"/>
  <c r="P1965" i="4"/>
  <c r="N1965" i="4"/>
  <c r="L1965" i="4"/>
  <c r="Q1965" i="4" s="1"/>
  <c r="M1957" i="4"/>
  <c r="R1957" i="4" s="1"/>
  <c r="L1957" i="4"/>
  <c r="Q1957" i="4" s="1"/>
  <c r="O1957" i="4"/>
  <c r="N1957" i="4"/>
  <c r="P1957" i="4"/>
  <c r="M1949" i="4"/>
  <c r="R1949" i="4" s="1"/>
  <c r="N1949" i="4"/>
  <c r="L1949" i="4"/>
  <c r="Q1949" i="4" s="1"/>
  <c r="P1949" i="4"/>
  <c r="O1949" i="4"/>
  <c r="M1941" i="4"/>
  <c r="R1941" i="4" s="1"/>
  <c r="L1941" i="4"/>
  <c r="Q1941" i="4" s="1"/>
  <c r="N1941" i="4"/>
  <c r="P1941" i="4"/>
  <c r="O1941" i="4"/>
  <c r="M1933" i="4"/>
  <c r="R1933" i="4" s="1"/>
  <c r="N1933" i="4"/>
  <c r="L1933" i="4"/>
  <c r="Q1933" i="4" s="1"/>
  <c r="P1933" i="4"/>
  <c r="O1933" i="4"/>
  <c r="L1925" i="4"/>
  <c r="Q1925" i="4" s="1"/>
  <c r="M1925" i="4"/>
  <c r="R1925" i="4" s="1"/>
  <c r="P1925" i="4"/>
  <c r="O1925" i="4"/>
  <c r="N1925" i="4"/>
  <c r="M1917" i="4"/>
  <c r="R1917" i="4" s="1"/>
  <c r="N1917" i="4"/>
  <c r="L1917" i="4"/>
  <c r="Q1917" i="4" s="1"/>
  <c r="P1917" i="4"/>
  <c r="O1917" i="4"/>
  <c r="L1909" i="4"/>
  <c r="Q1909" i="4" s="1"/>
  <c r="O1909" i="4"/>
  <c r="M1909" i="4"/>
  <c r="R1909" i="4" s="1"/>
  <c r="N1909" i="4"/>
  <c r="P1909" i="4"/>
  <c r="M1901" i="4"/>
  <c r="R1901" i="4" s="1"/>
  <c r="N1901" i="4"/>
  <c r="L1901" i="4"/>
  <c r="Q1901" i="4" s="1"/>
  <c r="P1901" i="4"/>
  <c r="O1901" i="4"/>
  <c r="L1893" i="4"/>
  <c r="Q1893" i="4" s="1"/>
  <c r="M1893" i="4"/>
  <c r="R1893" i="4" s="1"/>
  <c r="O1893" i="4"/>
  <c r="N1893" i="4"/>
  <c r="P1893" i="4"/>
  <c r="M1885" i="4"/>
  <c r="R1885" i="4" s="1"/>
  <c r="N1885" i="4"/>
  <c r="L1885" i="4"/>
  <c r="Q1885" i="4" s="1"/>
  <c r="P1885" i="4"/>
  <c r="O1885" i="4"/>
  <c r="L1877" i="4"/>
  <c r="Q1877" i="4" s="1"/>
  <c r="O1877" i="4"/>
  <c r="M1877" i="4"/>
  <c r="R1877" i="4" s="1"/>
  <c r="N1877" i="4"/>
  <c r="P1877" i="4"/>
  <c r="M1869" i="4"/>
  <c r="R1869" i="4" s="1"/>
  <c r="N1869" i="4"/>
  <c r="L1869" i="4"/>
  <c r="Q1869" i="4" s="1"/>
  <c r="P1869" i="4"/>
  <c r="O1869" i="4"/>
  <c r="M1861" i="4"/>
  <c r="R1861" i="4" s="1"/>
  <c r="L1861" i="4"/>
  <c r="Q1861" i="4" s="1"/>
  <c r="O1861" i="4"/>
  <c r="N1861" i="4"/>
  <c r="P1861" i="4"/>
  <c r="M1853" i="4"/>
  <c r="R1853" i="4" s="1"/>
  <c r="N1853" i="4"/>
  <c r="L1853" i="4"/>
  <c r="Q1853" i="4" s="1"/>
  <c r="P1853" i="4"/>
  <c r="O1853" i="4"/>
  <c r="O1845" i="4"/>
  <c r="N1845" i="4"/>
  <c r="L1845" i="4"/>
  <c r="Q1845" i="4" s="1"/>
  <c r="P1845" i="4"/>
  <c r="M1845" i="4"/>
  <c r="R1845" i="4" s="1"/>
  <c r="M1837" i="4"/>
  <c r="R1837" i="4" s="1"/>
  <c r="O1837" i="4"/>
  <c r="P1837" i="4"/>
  <c r="N1837" i="4"/>
  <c r="L1837" i="4"/>
  <c r="Q1837" i="4" s="1"/>
  <c r="M1829" i="4"/>
  <c r="R1829" i="4" s="1"/>
  <c r="O1829" i="4"/>
  <c r="N1829" i="4"/>
  <c r="P1829" i="4"/>
  <c r="L1829" i="4"/>
  <c r="Q1829" i="4" s="1"/>
  <c r="M1821" i="4"/>
  <c r="R1821" i="4" s="1"/>
  <c r="N1821" i="4"/>
  <c r="P1821" i="4"/>
  <c r="L1821" i="4"/>
  <c r="Q1821" i="4" s="1"/>
  <c r="O1821" i="4"/>
  <c r="M1813" i="4"/>
  <c r="R1813" i="4" s="1"/>
  <c r="O1813" i="4"/>
  <c r="N1813" i="4"/>
  <c r="L1813" i="4"/>
  <c r="Q1813" i="4" s="1"/>
  <c r="P1813" i="4"/>
  <c r="M1805" i="4"/>
  <c r="R1805" i="4" s="1"/>
  <c r="N1805" i="4"/>
  <c r="P1805" i="4"/>
  <c r="L1805" i="4"/>
  <c r="Q1805" i="4" s="1"/>
  <c r="O1805" i="4"/>
  <c r="M1797" i="4"/>
  <c r="R1797" i="4" s="1"/>
  <c r="O1797" i="4"/>
  <c r="P1797" i="4"/>
  <c r="N1797" i="4"/>
  <c r="L1797" i="4"/>
  <c r="Q1797" i="4" s="1"/>
  <c r="M1789" i="4"/>
  <c r="R1789" i="4" s="1"/>
  <c r="N1789" i="4"/>
  <c r="P1789" i="4"/>
  <c r="L1789" i="4"/>
  <c r="Q1789" i="4" s="1"/>
  <c r="O1789" i="4"/>
  <c r="L1781" i="4"/>
  <c r="Q1781" i="4" s="1"/>
  <c r="M1781" i="4"/>
  <c r="R1781" i="4" s="1"/>
  <c r="O1781" i="4"/>
  <c r="N1781" i="4"/>
  <c r="P1781" i="4"/>
  <c r="M1773" i="4"/>
  <c r="R1773" i="4" s="1"/>
  <c r="N1773" i="4"/>
  <c r="P1773" i="4"/>
  <c r="L1773" i="4"/>
  <c r="Q1773" i="4" s="1"/>
  <c r="O1773" i="4"/>
  <c r="L1765" i="4"/>
  <c r="Q1765" i="4" s="1"/>
  <c r="O1765" i="4"/>
  <c r="M1765" i="4"/>
  <c r="R1765" i="4" s="1"/>
  <c r="N1765" i="4"/>
  <c r="P1765" i="4"/>
  <c r="M1757" i="4"/>
  <c r="R1757" i="4" s="1"/>
  <c r="N1757" i="4"/>
  <c r="L1757" i="4"/>
  <c r="Q1757" i="4" s="1"/>
  <c r="P1757" i="4"/>
  <c r="O1757" i="4"/>
  <c r="O1749" i="4"/>
  <c r="L1749" i="4"/>
  <c r="Q1749" i="4" s="1"/>
  <c r="M1749" i="4"/>
  <c r="R1749" i="4" s="1"/>
  <c r="N1749" i="4"/>
  <c r="P1749" i="4"/>
  <c r="M1741" i="4"/>
  <c r="R1741" i="4" s="1"/>
  <c r="N1741" i="4"/>
  <c r="P1741" i="4"/>
  <c r="L1741" i="4"/>
  <c r="Q1741" i="4" s="1"/>
  <c r="O1741" i="4"/>
  <c r="L1733" i="4"/>
  <c r="Q1733" i="4" s="1"/>
  <c r="O1733" i="4"/>
  <c r="M1733" i="4"/>
  <c r="R1733" i="4" s="1"/>
  <c r="N1733" i="4"/>
  <c r="P1733" i="4"/>
  <c r="M1725" i="4"/>
  <c r="R1725" i="4" s="1"/>
  <c r="L1725" i="4"/>
  <c r="Q1725" i="4" s="1"/>
  <c r="O1725" i="4"/>
  <c r="P1725" i="4"/>
  <c r="N1725" i="4"/>
  <c r="L1717" i="4"/>
  <c r="Q1717" i="4" s="1"/>
  <c r="O1717" i="4"/>
  <c r="M1717" i="4"/>
  <c r="R1717" i="4" s="1"/>
  <c r="N1717" i="4"/>
  <c r="P1717" i="4"/>
  <c r="M1709" i="4"/>
  <c r="R1709" i="4" s="1"/>
  <c r="N1709" i="4"/>
  <c r="O1709" i="4"/>
  <c r="P1709" i="4"/>
  <c r="L1709" i="4"/>
  <c r="Q1709" i="4" s="1"/>
  <c r="L1701" i="4"/>
  <c r="Q1701" i="4" s="1"/>
  <c r="M1701" i="4"/>
  <c r="R1701" i="4" s="1"/>
  <c r="N1701" i="4"/>
  <c r="P1701" i="4"/>
  <c r="O1701" i="4"/>
  <c r="M1693" i="4"/>
  <c r="R1693" i="4" s="1"/>
  <c r="P1693" i="4"/>
  <c r="O1693" i="4"/>
  <c r="L1693" i="4"/>
  <c r="Q1693" i="4" s="1"/>
  <c r="N1693" i="4"/>
  <c r="O1685" i="4"/>
  <c r="M1685" i="4"/>
  <c r="R1685" i="4" s="1"/>
  <c r="L1685" i="4"/>
  <c r="Q1685" i="4" s="1"/>
  <c r="N1685" i="4"/>
  <c r="P1685" i="4"/>
  <c r="M1677" i="4"/>
  <c r="R1677" i="4" s="1"/>
  <c r="L1677" i="4"/>
  <c r="Q1677" i="4" s="1"/>
  <c r="P1677" i="4"/>
  <c r="O1677" i="4"/>
  <c r="N1677" i="4"/>
  <c r="N1669" i="4"/>
  <c r="P1669" i="4"/>
  <c r="L1669" i="4"/>
  <c r="Q1669" i="4" s="1"/>
  <c r="M1669" i="4"/>
  <c r="R1669" i="4" s="1"/>
  <c r="O1669" i="4"/>
  <c r="N1661" i="4"/>
  <c r="M1661" i="4"/>
  <c r="R1661" i="4" s="1"/>
  <c r="L1661" i="4"/>
  <c r="Q1661" i="4" s="1"/>
  <c r="P1661" i="4"/>
  <c r="O1661" i="4"/>
  <c r="N1653" i="4"/>
  <c r="M1653" i="4"/>
  <c r="R1653" i="4" s="1"/>
  <c r="P1653" i="4"/>
  <c r="L1653" i="4"/>
  <c r="Q1653" i="4" s="1"/>
  <c r="O1653" i="4"/>
  <c r="O1645" i="4"/>
  <c r="M1645" i="4"/>
  <c r="R1645" i="4" s="1"/>
  <c r="L1645" i="4"/>
  <c r="Q1645" i="4" s="1"/>
  <c r="P1645" i="4"/>
  <c r="N1645" i="4"/>
  <c r="L1637" i="4"/>
  <c r="Q1637" i="4" s="1"/>
  <c r="N1637" i="4"/>
  <c r="M1637" i="4"/>
  <c r="R1637" i="4" s="1"/>
  <c r="O1637" i="4"/>
  <c r="P1637" i="4"/>
  <c r="M1629" i="4"/>
  <c r="R1629" i="4" s="1"/>
  <c r="O1629" i="4"/>
  <c r="N1629" i="4"/>
  <c r="P1629" i="4"/>
  <c r="L1629" i="4"/>
  <c r="Q1629" i="4" s="1"/>
  <c r="O1621" i="4"/>
  <c r="M1621" i="4"/>
  <c r="R1621" i="4" s="1"/>
  <c r="N1621" i="4"/>
  <c r="L1621" i="4"/>
  <c r="Q1621" i="4" s="1"/>
  <c r="P1621" i="4"/>
  <c r="O1613" i="4"/>
  <c r="M1613" i="4"/>
  <c r="R1613" i="4" s="1"/>
  <c r="L1613" i="4"/>
  <c r="Q1613" i="4" s="1"/>
  <c r="N1613" i="4"/>
  <c r="P1613" i="4"/>
  <c r="O1605" i="4"/>
  <c r="L1605" i="4"/>
  <c r="Q1605" i="4" s="1"/>
  <c r="N1605" i="4"/>
  <c r="M1605" i="4"/>
  <c r="R1605" i="4" s="1"/>
  <c r="P1605" i="4"/>
  <c r="O1597" i="4"/>
  <c r="P1597" i="4"/>
  <c r="L1597" i="4"/>
  <c r="Q1597" i="4" s="1"/>
  <c r="N1597" i="4"/>
  <c r="M1597" i="4"/>
  <c r="R1597" i="4" s="1"/>
  <c r="O1589" i="4"/>
  <c r="L1589" i="4"/>
  <c r="Q1589" i="4" s="1"/>
  <c r="M1589" i="4"/>
  <c r="R1589" i="4" s="1"/>
  <c r="N1589" i="4"/>
  <c r="P1589" i="4"/>
  <c r="O1581" i="4"/>
  <c r="L1581" i="4"/>
  <c r="Q1581" i="4" s="1"/>
  <c r="M1581" i="4"/>
  <c r="R1581" i="4" s="1"/>
  <c r="N1581" i="4"/>
  <c r="P1581" i="4"/>
  <c r="O1573" i="4"/>
  <c r="L1573" i="4"/>
  <c r="Q1573" i="4" s="1"/>
  <c r="M1573" i="4"/>
  <c r="R1573" i="4" s="1"/>
  <c r="N1573" i="4"/>
  <c r="P1573" i="4"/>
  <c r="O1565" i="4"/>
  <c r="L1565" i="4"/>
  <c r="Q1565" i="4" s="1"/>
  <c r="N1565" i="4"/>
  <c r="M1565" i="4"/>
  <c r="R1565" i="4" s="1"/>
  <c r="P1565" i="4"/>
  <c r="O1557" i="4"/>
  <c r="L1557" i="4"/>
  <c r="Q1557" i="4" s="1"/>
  <c r="N1557" i="4"/>
  <c r="M1557" i="4"/>
  <c r="R1557" i="4" s="1"/>
  <c r="P1557" i="4"/>
  <c r="O1549" i="4"/>
  <c r="L1549" i="4"/>
  <c r="Q1549" i="4" s="1"/>
  <c r="N1549" i="4"/>
  <c r="M1549" i="4"/>
  <c r="R1549" i="4" s="1"/>
  <c r="P1549" i="4"/>
  <c r="O1541" i="4"/>
  <c r="L1541" i="4"/>
  <c r="Q1541" i="4" s="1"/>
  <c r="N1541" i="4"/>
  <c r="M1541" i="4"/>
  <c r="R1541" i="4" s="1"/>
  <c r="P1541" i="4"/>
  <c r="O1533" i="4"/>
  <c r="L1533" i="4"/>
  <c r="Q1533" i="4" s="1"/>
  <c r="M1533" i="4"/>
  <c r="R1533" i="4" s="1"/>
  <c r="N1533" i="4"/>
  <c r="P1533" i="4"/>
  <c r="O1525" i="4"/>
  <c r="L1525" i="4"/>
  <c r="Q1525" i="4" s="1"/>
  <c r="M1525" i="4"/>
  <c r="R1525" i="4" s="1"/>
  <c r="N1525" i="4"/>
  <c r="P1525" i="4"/>
  <c r="O1517" i="4"/>
  <c r="M1517" i="4"/>
  <c r="R1517" i="4" s="1"/>
  <c r="P1517" i="4"/>
  <c r="L1517" i="4"/>
  <c r="Q1517" i="4" s="1"/>
  <c r="N1517" i="4"/>
  <c r="O1509" i="4"/>
  <c r="L1509" i="4"/>
  <c r="Q1509" i="4" s="1"/>
  <c r="N1509" i="4"/>
  <c r="M1509" i="4"/>
  <c r="R1509" i="4" s="1"/>
  <c r="P1509" i="4"/>
  <c r="O1501" i="4"/>
  <c r="M1501" i="4"/>
  <c r="R1501" i="4" s="1"/>
  <c r="P1501" i="4"/>
  <c r="L1501" i="4"/>
  <c r="Q1501" i="4" s="1"/>
  <c r="N1501" i="4"/>
  <c r="O1493" i="4"/>
  <c r="N1493" i="4"/>
  <c r="M1493" i="4"/>
  <c r="R1493" i="4" s="1"/>
  <c r="P1493" i="4"/>
  <c r="L1493" i="4"/>
  <c r="Q1493" i="4" s="1"/>
  <c r="O1485" i="4"/>
  <c r="P1485" i="4"/>
  <c r="N1485" i="4"/>
  <c r="L1485" i="4"/>
  <c r="Q1485" i="4" s="1"/>
  <c r="M1485" i="4"/>
  <c r="R1485" i="4" s="1"/>
  <c r="O1477" i="4"/>
  <c r="M1477" i="4"/>
  <c r="R1477" i="4" s="1"/>
  <c r="P1477" i="4"/>
  <c r="L1477" i="4"/>
  <c r="Q1477" i="4" s="1"/>
  <c r="N1477" i="4"/>
  <c r="O1469" i="4"/>
  <c r="L1469" i="4"/>
  <c r="Q1469" i="4" s="1"/>
  <c r="P1469" i="4"/>
  <c r="N1469" i="4"/>
  <c r="M1469" i="4"/>
  <c r="R1469" i="4" s="1"/>
  <c r="O1461" i="4"/>
  <c r="L1461" i="4"/>
  <c r="Q1461" i="4" s="1"/>
  <c r="N1461" i="4"/>
  <c r="M1461" i="4"/>
  <c r="R1461" i="4" s="1"/>
  <c r="P1461" i="4"/>
  <c r="O1453" i="4"/>
  <c r="L1453" i="4"/>
  <c r="Q1453" i="4" s="1"/>
  <c r="N1453" i="4"/>
  <c r="M1453" i="4"/>
  <c r="R1453" i="4" s="1"/>
  <c r="P1453" i="4"/>
  <c r="M1445" i="4"/>
  <c r="R1445" i="4" s="1"/>
  <c r="P1445" i="4"/>
  <c r="L1445" i="4"/>
  <c r="Q1445" i="4" s="1"/>
  <c r="N1445" i="4"/>
  <c r="O1445" i="4"/>
  <c r="L1437" i="4"/>
  <c r="Q1437" i="4" s="1"/>
  <c r="N1437" i="4"/>
  <c r="M1437" i="4"/>
  <c r="R1437" i="4" s="1"/>
  <c r="O1437" i="4"/>
  <c r="P1437" i="4"/>
  <c r="M1429" i="4"/>
  <c r="R1429" i="4" s="1"/>
  <c r="P1429" i="4"/>
  <c r="O1429" i="4"/>
  <c r="L1429" i="4"/>
  <c r="Q1429" i="4" s="1"/>
  <c r="N1429" i="4"/>
  <c r="L1421" i="4"/>
  <c r="Q1421" i="4" s="1"/>
  <c r="N1421" i="4"/>
  <c r="M1421" i="4"/>
  <c r="R1421" i="4" s="1"/>
  <c r="O1421" i="4"/>
  <c r="P1421" i="4"/>
  <c r="M1413" i="4"/>
  <c r="R1413" i="4" s="1"/>
  <c r="P1413" i="4"/>
  <c r="L1413" i="4"/>
  <c r="Q1413" i="4" s="1"/>
  <c r="O1413" i="4"/>
  <c r="N1413" i="4"/>
  <c r="L1405" i="4"/>
  <c r="Q1405" i="4" s="1"/>
  <c r="N1405" i="4"/>
  <c r="M1405" i="4"/>
  <c r="R1405" i="4" s="1"/>
  <c r="O1405" i="4"/>
  <c r="P1405" i="4"/>
  <c r="M1397" i="4"/>
  <c r="R1397" i="4" s="1"/>
  <c r="O1397" i="4"/>
  <c r="L1397" i="4"/>
  <c r="Q1397" i="4" s="1"/>
  <c r="N1397" i="4"/>
  <c r="P1397" i="4"/>
  <c r="P1389" i="4"/>
  <c r="L1389" i="4"/>
  <c r="Q1389" i="4" s="1"/>
  <c r="N1389" i="4"/>
  <c r="O1389" i="4"/>
  <c r="M1389" i="4"/>
  <c r="R1389" i="4" s="1"/>
  <c r="M1381" i="4"/>
  <c r="R1381" i="4" s="1"/>
  <c r="O1381" i="4"/>
  <c r="P1381" i="4"/>
  <c r="L1381" i="4"/>
  <c r="Q1381" i="4" s="1"/>
  <c r="N1381" i="4"/>
  <c r="P1373" i="4"/>
  <c r="L1373" i="4"/>
  <c r="Q1373" i="4" s="1"/>
  <c r="N1373" i="4"/>
  <c r="M1373" i="4"/>
  <c r="R1373" i="4" s="1"/>
  <c r="O1373" i="4"/>
  <c r="M1365" i="4"/>
  <c r="R1365" i="4" s="1"/>
  <c r="O1365" i="4"/>
  <c r="L1365" i="4"/>
  <c r="Q1365" i="4" s="1"/>
  <c r="P1365" i="4"/>
  <c r="N1365" i="4"/>
  <c r="M1357" i="4"/>
  <c r="R1357" i="4" s="1"/>
  <c r="N1357" i="4"/>
  <c r="P1357" i="4"/>
  <c r="O1357" i="4"/>
  <c r="L1357" i="4"/>
  <c r="Q1357" i="4" s="1"/>
  <c r="M1349" i="4"/>
  <c r="R1349" i="4" s="1"/>
  <c r="O1349" i="4"/>
  <c r="P1349" i="4"/>
  <c r="L1349" i="4"/>
  <c r="Q1349" i="4" s="1"/>
  <c r="N1349" i="4"/>
  <c r="L1341" i="4"/>
  <c r="Q1341" i="4" s="1"/>
  <c r="N1341" i="4"/>
  <c r="O1341" i="4"/>
  <c r="M1341" i="4"/>
  <c r="R1341" i="4" s="1"/>
  <c r="P1341" i="4"/>
  <c r="M1333" i="4"/>
  <c r="R1333" i="4" s="1"/>
  <c r="O1333" i="4"/>
  <c r="L1333" i="4"/>
  <c r="Q1333" i="4" s="1"/>
  <c r="N1333" i="4"/>
  <c r="P1333" i="4"/>
  <c r="P1325" i="4"/>
  <c r="O1325" i="4"/>
  <c r="L1325" i="4"/>
  <c r="Q1325" i="4" s="1"/>
  <c r="M1325" i="4"/>
  <c r="R1325" i="4" s="1"/>
  <c r="N1325" i="4"/>
  <c r="O1317" i="4"/>
  <c r="M1317" i="4"/>
  <c r="R1317" i="4" s="1"/>
  <c r="P1317" i="4"/>
  <c r="L1317" i="4"/>
  <c r="Q1317" i="4" s="1"/>
  <c r="N1317" i="4"/>
  <c r="P1309" i="4"/>
  <c r="L1309" i="4"/>
  <c r="Q1309" i="4" s="1"/>
  <c r="O1309" i="4"/>
  <c r="N1309" i="4"/>
  <c r="M1309" i="4"/>
  <c r="R1309" i="4" s="1"/>
  <c r="M1301" i="4"/>
  <c r="R1301" i="4" s="1"/>
  <c r="O1301" i="4"/>
  <c r="P1301" i="4"/>
  <c r="L1301" i="4"/>
  <c r="Q1301" i="4" s="1"/>
  <c r="N1301" i="4"/>
  <c r="O1293" i="4"/>
  <c r="M1293" i="4"/>
  <c r="R1293" i="4" s="1"/>
  <c r="N1293" i="4"/>
  <c r="P1293" i="4"/>
  <c r="L1293" i="4"/>
  <c r="Q1293" i="4" s="1"/>
  <c r="O1285" i="4"/>
  <c r="P1285" i="4"/>
  <c r="M1285" i="4"/>
  <c r="R1285" i="4" s="1"/>
  <c r="N1285" i="4"/>
  <c r="L1285" i="4"/>
  <c r="Q1285" i="4" s="1"/>
  <c r="O1277" i="4"/>
  <c r="L1277" i="4"/>
  <c r="Q1277" i="4" s="1"/>
  <c r="N1277" i="4"/>
  <c r="M1277" i="4"/>
  <c r="R1277" i="4" s="1"/>
  <c r="P1277" i="4"/>
  <c r="M1269" i="4"/>
  <c r="R1269" i="4" s="1"/>
  <c r="O1269" i="4"/>
  <c r="P1269" i="4"/>
  <c r="L1269" i="4"/>
  <c r="Q1269" i="4" s="1"/>
  <c r="N1269" i="4"/>
  <c r="M1261" i="4"/>
  <c r="R1261" i="4" s="1"/>
  <c r="O1261" i="4"/>
  <c r="P1261" i="4"/>
  <c r="L1261" i="4"/>
  <c r="Q1261" i="4" s="1"/>
  <c r="N1261" i="4"/>
  <c r="O1253" i="4"/>
  <c r="P1253" i="4"/>
  <c r="N1253" i="4"/>
  <c r="L1253" i="4"/>
  <c r="Q1253" i="4" s="1"/>
  <c r="M1253" i="4"/>
  <c r="R1253" i="4" s="1"/>
  <c r="M1245" i="4"/>
  <c r="R1245" i="4" s="1"/>
  <c r="L1245" i="4"/>
  <c r="Q1245" i="4" s="1"/>
  <c r="O1245" i="4"/>
  <c r="P1245" i="4"/>
  <c r="N1245" i="4"/>
  <c r="L1237" i="4"/>
  <c r="Q1237" i="4" s="1"/>
  <c r="N1237" i="4"/>
  <c r="P1237" i="4"/>
  <c r="M1237" i="4"/>
  <c r="R1237" i="4" s="1"/>
  <c r="O1237" i="4"/>
  <c r="M1229" i="4"/>
  <c r="R1229" i="4" s="1"/>
  <c r="L1229" i="4"/>
  <c r="Q1229" i="4" s="1"/>
  <c r="O1229" i="4"/>
  <c r="N1229" i="4"/>
  <c r="P1229" i="4"/>
  <c r="N1221" i="4"/>
  <c r="O1221" i="4"/>
  <c r="P1221" i="4"/>
  <c r="L1221" i="4"/>
  <c r="Q1221" i="4" s="1"/>
  <c r="M1221" i="4"/>
  <c r="R1221" i="4" s="1"/>
  <c r="N1213" i="4"/>
  <c r="M1213" i="4"/>
  <c r="R1213" i="4" s="1"/>
  <c r="P1213" i="4"/>
  <c r="L1213" i="4"/>
  <c r="Q1213" i="4" s="1"/>
  <c r="O1213" i="4"/>
  <c r="N1205" i="4"/>
  <c r="O1205" i="4"/>
  <c r="P1205" i="4"/>
  <c r="L1205" i="4"/>
  <c r="Q1205" i="4" s="1"/>
  <c r="M1205" i="4"/>
  <c r="R1205" i="4" s="1"/>
  <c r="M1197" i="4"/>
  <c r="R1197" i="4" s="1"/>
  <c r="N1197" i="4"/>
  <c r="O1197" i="4"/>
  <c r="L1197" i="4"/>
  <c r="Q1197" i="4" s="1"/>
  <c r="P1197" i="4"/>
  <c r="L1189" i="4"/>
  <c r="Q1189" i="4" s="1"/>
  <c r="M1189" i="4"/>
  <c r="R1189" i="4" s="1"/>
  <c r="P1189" i="4"/>
  <c r="O1189" i="4"/>
  <c r="N1189" i="4"/>
  <c r="N1181" i="4"/>
  <c r="M1181" i="4"/>
  <c r="R1181" i="4" s="1"/>
  <c r="P1181" i="4"/>
  <c r="O1181" i="4"/>
  <c r="L1181" i="4"/>
  <c r="Q1181" i="4" s="1"/>
  <c r="N1173" i="4"/>
  <c r="M1173" i="4"/>
  <c r="R1173" i="4" s="1"/>
  <c r="O1173" i="4"/>
  <c r="L1173" i="4"/>
  <c r="Q1173" i="4" s="1"/>
  <c r="P1173" i="4"/>
  <c r="M1165" i="4"/>
  <c r="R1165" i="4" s="1"/>
  <c r="N1165" i="4"/>
  <c r="O1165" i="4"/>
  <c r="L1165" i="4"/>
  <c r="Q1165" i="4" s="1"/>
  <c r="P1165" i="4"/>
  <c r="L1157" i="4"/>
  <c r="Q1157" i="4" s="1"/>
  <c r="P1157" i="4"/>
  <c r="O1157" i="4"/>
  <c r="N1157" i="4"/>
  <c r="M1157" i="4"/>
  <c r="R1157" i="4" s="1"/>
  <c r="N1149" i="4"/>
  <c r="M1149" i="4"/>
  <c r="R1149" i="4" s="1"/>
  <c r="O1149" i="4"/>
  <c r="L1149" i="4"/>
  <c r="Q1149" i="4" s="1"/>
  <c r="P1149" i="4"/>
  <c r="P1141" i="4"/>
  <c r="O1141" i="4"/>
  <c r="M1141" i="4"/>
  <c r="R1141" i="4" s="1"/>
  <c r="N1141" i="4"/>
  <c r="L1141" i="4"/>
  <c r="Q1141" i="4" s="1"/>
  <c r="M1133" i="4"/>
  <c r="R1133" i="4" s="1"/>
  <c r="L1133" i="4"/>
  <c r="Q1133" i="4" s="1"/>
  <c r="N1133" i="4"/>
  <c r="O1133" i="4"/>
  <c r="P1133" i="4"/>
  <c r="L1125" i="4"/>
  <c r="Q1125" i="4" s="1"/>
  <c r="P1125" i="4"/>
  <c r="O1125" i="4"/>
  <c r="M1125" i="4"/>
  <c r="R1125" i="4" s="1"/>
  <c r="N1125" i="4"/>
  <c r="N1117" i="4"/>
  <c r="M1117" i="4"/>
  <c r="R1117" i="4" s="1"/>
  <c r="L1117" i="4"/>
  <c r="Q1117" i="4" s="1"/>
  <c r="P1117" i="4"/>
  <c r="O1117" i="4"/>
  <c r="O1109" i="4"/>
  <c r="N1109" i="4"/>
  <c r="M1109" i="4"/>
  <c r="R1109" i="4" s="1"/>
  <c r="L1109" i="4"/>
  <c r="Q1109" i="4" s="1"/>
  <c r="P1109" i="4"/>
  <c r="M1101" i="4"/>
  <c r="R1101" i="4" s="1"/>
  <c r="L1101" i="4"/>
  <c r="Q1101" i="4" s="1"/>
  <c r="O1101" i="4"/>
  <c r="P1101" i="4"/>
  <c r="N1101" i="4"/>
  <c r="L1093" i="4"/>
  <c r="Q1093" i="4" s="1"/>
  <c r="M1093" i="4"/>
  <c r="R1093" i="4" s="1"/>
  <c r="N1093" i="4"/>
  <c r="P1093" i="4"/>
  <c r="O1093" i="4"/>
  <c r="L1085" i="4"/>
  <c r="Q1085" i="4" s="1"/>
  <c r="O1085" i="4"/>
  <c r="N1085" i="4"/>
  <c r="M1085" i="4"/>
  <c r="R1085" i="4" s="1"/>
  <c r="P1085" i="4"/>
  <c r="L1077" i="4"/>
  <c r="Q1077" i="4" s="1"/>
  <c r="M1077" i="4"/>
  <c r="R1077" i="4" s="1"/>
  <c r="N1077" i="4"/>
  <c r="P1077" i="4"/>
  <c r="O1077" i="4"/>
  <c r="L1069" i="4"/>
  <c r="Q1069" i="4" s="1"/>
  <c r="P1069" i="4"/>
  <c r="O1069" i="4"/>
  <c r="M1069" i="4"/>
  <c r="R1069" i="4" s="1"/>
  <c r="N1069" i="4"/>
  <c r="N1061" i="4"/>
  <c r="M1061" i="4"/>
  <c r="R1061" i="4" s="1"/>
  <c r="P1061" i="4"/>
  <c r="L1061" i="4"/>
  <c r="Q1061" i="4" s="1"/>
  <c r="O1061" i="4"/>
  <c r="P1053" i="4"/>
  <c r="O1053" i="4"/>
  <c r="M1053" i="4"/>
  <c r="R1053" i="4" s="1"/>
  <c r="L1053" i="4"/>
  <c r="Q1053" i="4" s="1"/>
  <c r="N1053" i="4"/>
  <c r="L1045" i="4"/>
  <c r="Q1045" i="4" s="1"/>
  <c r="N1045" i="4"/>
  <c r="O1045" i="4"/>
  <c r="P1045" i="4"/>
  <c r="M1045" i="4"/>
  <c r="R1045" i="4" s="1"/>
  <c r="P1037" i="4"/>
  <c r="N1037" i="4"/>
  <c r="O1037" i="4"/>
  <c r="M1037" i="4"/>
  <c r="R1037" i="4" s="1"/>
  <c r="L1037" i="4"/>
  <c r="Q1037" i="4" s="1"/>
  <c r="L1029" i="4"/>
  <c r="Q1029" i="4" s="1"/>
  <c r="M1029" i="4"/>
  <c r="R1029" i="4" s="1"/>
  <c r="N1029" i="4"/>
  <c r="O1029" i="4"/>
  <c r="P1029" i="4"/>
  <c r="L1021" i="4"/>
  <c r="Q1021" i="4" s="1"/>
  <c r="O1021" i="4"/>
  <c r="M1021" i="4"/>
  <c r="R1021" i="4" s="1"/>
  <c r="N1021" i="4"/>
  <c r="P1021" i="4"/>
  <c r="L1013" i="4"/>
  <c r="Q1013" i="4" s="1"/>
  <c r="M1013" i="4"/>
  <c r="R1013" i="4" s="1"/>
  <c r="O1013" i="4"/>
  <c r="N1013" i="4"/>
  <c r="P1013" i="4"/>
  <c r="L1005" i="4"/>
  <c r="Q1005" i="4" s="1"/>
  <c r="M1005" i="4"/>
  <c r="R1005" i="4" s="1"/>
  <c r="N1005" i="4"/>
  <c r="O1005" i="4"/>
  <c r="P1005" i="4"/>
  <c r="L997" i="4"/>
  <c r="Q997" i="4" s="1"/>
  <c r="N997" i="4"/>
  <c r="P997" i="4"/>
  <c r="O997" i="4"/>
  <c r="M997" i="4"/>
  <c r="R997" i="4" s="1"/>
  <c r="L989" i="4"/>
  <c r="Q989" i="4" s="1"/>
  <c r="M989" i="4"/>
  <c r="R989" i="4" s="1"/>
  <c r="O989" i="4"/>
  <c r="N989" i="4"/>
  <c r="P989" i="4"/>
  <c r="L981" i="4"/>
  <c r="Q981" i="4" s="1"/>
  <c r="O981" i="4"/>
  <c r="P981" i="4"/>
  <c r="N981" i="4"/>
  <c r="M981" i="4"/>
  <c r="R981" i="4" s="1"/>
  <c r="L973" i="4"/>
  <c r="Q973" i="4" s="1"/>
  <c r="O973" i="4"/>
  <c r="M973" i="4"/>
  <c r="R973" i="4" s="1"/>
  <c r="N973" i="4"/>
  <c r="P973" i="4"/>
  <c r="L965" i="4"/>
  <c r="Q965" i="4" s="1"/>
  <c r="M965" i="4"/>
  <c r="R965" i="4" s="1"/>
  <c r="O965" i="4"/>
  <c r="N965" i="4"/>
  <c r="P965" i="4"/>
  <c r="L957" i="4"/>
  <c r="Q957" i="4" s="1"/>
  <c r="M957" i="4"/>
  <c r="R957" i="4" s="1"/>
  <c r="O957" i="4"/>
  <c r="N957" i="4"/>
  <c r="P957" i="4"/>
  <c r="L949" i="4"/>
  <c r="Q949" i="4" s="1"/>
  <c r="P949" i="4"/>
  <c r="O949" i="4"/>
  <c r="M949" i="4"/>
  <c r="R949" i="4" s="1"/>
  <c r="N949" i="4"/>
  <c r="O941" i="4"/>
  <c r="L941" i="4"/>
  <c r="Q941" i="4" s="1"/>
  <c r="N941" i="4"/>
  <c r="M941" i="4"/>
  <c r="R941" i="4" s="1"/>
  <c r="P941" i="4"/>
  <c r="L933" i="4"/>
  <c r="Q933" i="4" s="1"/>
  <c r="N933" i="4"/>
  <c r="P933" i="4"/>
  <c r="O933" i="4"/>
  <c r="M933" i="4"/>
  <c r="R933" i="4" s="1"/>
  <c r="L925" i="4"/>
  <c r="Q925" i="4" s="1"/>
  <c r="M925" i="4"/>
  <c r="R925" i="4" s="1"/>
  <c r="O925" i="4"/>
  <c r="N925" i="4"/>
  <c r="P925" i="4"/>
  <c r="M917" i="4"/>
  <c r="R917" i="4" s="1"/>
  <c r="O917" i="4"/>
  <c r="N917" i="4"/>
  <c r="L917" i="4"/>
  <c r="Q917" i="4" s="1"/>
  <c r="P917" i="4"/>
  <c r="M909" i="4"/>
  <c r="R909" i="4" s="1"/>
  <c r="O909" i="4"/>
  <c r="L909" i="4"/>
  <c r="Q909" i="4" s="1"/>
  <c r="N909" i="4"/>
  <c r="P909" i="4"/>
  <c r="I901" i="4"/>
  <c r="K901" i="4"/>
  <c r="I893" i="4"/>
  <c r="K893" i="4"/>
  <c r="I885" i="4"/>
  <c r="K885" i="4"/>
  <c r="I877" i="4"/>
  <c r="K877" i="4"/>
  <c r="I869" i="4"/>
  <c r="K869" i="4"/>
  <c r="I861" i="4"/>
  <c r="K861" i="4"/>
  <c r="I853" i="4"/>
  <c r="K853" i="4"/>
  <c r="I845" i="4"/>
  <c r="K845" i="4"/>
  <c r="I837" i="4"/>
  <c r="K837" i="4"/>
  <c r="I829" i="4"/>
  <c r="K829" i="4"/>
  <c r="I821" i="4"/>
  <c r="K821" i="4"/>
  <c r="I813" i="4"/>
  <c r="K813" i="4"/>
  <c r="I805" i="4"/>
  <c r="K805" i="4"/>
  <c r="I797" i="4"/>
  <c r="K797" i="4"/>
  <c r="I789" i="4"/>
  <c r="K789" i="4"/>
  <c r="I781" i="4"/>
  <c r="K781" i="4"/>
  <c r="I773" i="4"/>
  <c r="K773" i="4"/>
  <c r="I765" i="4"/>
  <c r="K765" i="4"/>
  <c r="I757" i="4"/>
  <c r="K757" i="4"/>
  <c r="I749" i="4"/>
  <c r="K749" i="4"/>
  <c r="I741" i="4"/>
  <c r="K741" i="4"/>
  <c r="I733" i="4"/>
  <c r="K733" i="4"/>
  <c r="I725" i="4"/>
  <c r="K725" i="4"/>
  <c r="I717" i="4"/>
  <c r="K717" i="4"/>
  <c r="I709" i="4"/>
  <c r="K709" i="4"/>
  <c r="I701" i="4"/>
  <c r="K701" i="4"/>
  <c r="I693" i="4"/>
  <c r="K693" i="4"/>
  <c r="I685" i="4"/>
  <c r="K685" i="4"/>
  <c r="I677" i="4"/>
  <c r="K677" i="4"/>
  <c r="I669" i="4"/>
  <c r="K669" i="4"/>
  <c r="I661" i="4"/>
  <c r="K661" i="4"/>
  <c r="I653" i="4"/>
  <c r="K653" i="4"/>
  <c r="I645" i="4"/>
  <c r="K645" i="4"/>
  <c r="I637" i="4"/>
  <c r="K637" i="4"/>
  <c r="I629" i="4"/>
  <c r="K629" i="4"/>
  <c r="I621" i="4"/>
  <c r="K621" i="4"/>
  <c r="I613" i="4"/>
  <c r="K613" i="4"/>
  <c r="I605" i="4"/>
  <c r="K605" i="4"/>
  <c r="I597" i="4"/>
  <c r="K597" i="4"/>
  <c r="I589" i="4"/>
  <c r="K589" i="4"/>
  <c r="I581" i="4"/>
  <c r="K581" i="4"/>
  <c r="I573" i="4"/>
  <c r="K573" i="4"/>
  <c r="I565" i="4"/>
  <c r="K565" i="4"/>
  <c r="I557" i="4"/>
  <c r="K557" i="4"/>
  <c r="I549" i="4"/>
  <c r="K549" i="4"/>
  <c r="I541" i="4"/>
  <c r="K541" i="4"/>
  <c r="I533" i="4"/>
  <c r="K533" i="4"/>
  <c r="I525" i="4"/>
  <c r="K525" i="4"/>
  <c r="I517" i="4"/>
  <c r="K517" i="4"/>
  <c r="I509" i="4"/>
  <c r="K509" i="4"/>
  <c r="I501" i="4"/>
  <c r="K501" i="4"/>
  <c r="I493" i="4"/>
  <c r="K493" i="4"/>
  <c r="I485" i="4"/>
  <c r="K485" i="4"/>
  <c r="I477" i="4"/>
  <c r="K477" i="4"/>
  <c r="I469" i="4"/>
  <c r="K469" i="4"/>
  <c r="I461" i="4"/>
  <c r="K461" i="4"/>
  <c r="I453" i="4"/>
  <c r="K453" i="4"/>
  <c r="I445" i="4"/>
  <c r="K445" i="4"/>
  <c r="I437" i="4"/>
  <c r="K437" i="4"/>
  <c r="I429" i="4"/>
  <c r="K429" i="4"/>
  <c r="I421" i="4"/>
  <c r="K421" i="4"/>
  <c r="I413" i="4"/>
  <c r="K413" i="4"/>
  <c r="I405" i="4"/>
  <c r="K405" i="4"/>
  <c r="I397" i="4"/>
  <c r="K397" i="4"/>
  <c r="I389" i="4"/>
  <c r="K389" i="4"/>
  <c r="I381" i="4"/>
  <c r="K381" i="4"/>
  <c r="I373" i="4"/>
  <c r="K373" i="4"/>
  <c r="I365" i="4"/>
  <c r="K365" i="4"/>
  <c r="I357" i="4"/>
  <c r="K357" i="4"/>
  <c r="I349" i="4"/>
  <c r="K349" i="4"/>
  <c r="I341" i="4"/>
  <c r="K341" i="4"/>
  <c r="I333" i="4"/>
  <c r="K333" i="4"/>
  <c r="I325" i="4"/>
  <c r="K325" i="4"/>
  <c r="I317" i="4"/>
  <c r="K317" i="4"/>
  <c r="I309" i="4"/>
  <c r="K309" i="4"/>
  <c r="I301" i="4"/>
  <c r="K301" i="4"/>
  <c r="I293" i="4"/>
  <c r="K293" i="4"/>
  <c r="I285" i="4"/>
  <c r="K285" i="4"/>
  <c r="I277" i="4"/>
  <c r="K277" i="4"/>
  <c r="I269" i="4"/>
  <c r="K269" i="4"/>
  <c r="I261" i="4"/>
  <c r="K261" i="4"/>
  <c r="I253" i="4"/>
  <c r="K253" i="4"/>
  <c r="I245" i="4"/>
  <c r="K245" i="4"/>
  <c r="I237" i="4"/>
  <c r="K237" i="4"/>
  <c r="I229" i="4"/>
  <c r="K229" i="4"/>
  <c r="I221" i="4"/>
  <c r="K221" i="4"/>
  <c r="I213" i="4"/>
  <c r="K213" i="4"/>
  <c r="I205" i="4"/>
  <c r="K205" i="4"/>
  <c r="I197" i="4"/>
  <c r="K197" i="4"/>
  <c r="I189" i="4"/>
  <c r="K189" i="4"/>
  <c r="I181" i="4"/>
  <c r="K181" i="4"/>
  <c r="I173" i="4"/>
  <c r="K173" i="4"/>
  <c r="I165" i="4"/>
  <c r="K165" i="4"/>
  <c r="I157" i="4"/>
  <c r="K157" i="4"/>
  <c r="I149" i="4"/>
  <c r="K149" i="4"/>
  <c r="I141" i="4"/>
  <c r="K141" i="4"/>
  <c r="P2998" i="4"/>
  <c r="O2998" i="4"/>
  <c r="N2998" i="4"/>
  <c r="M2998" i="4"/>
  <c r="R2998" i="4" s="1"/>
  <c r="L2998" i="4"/>
  <c r="Q2998" i="4" s="1"/>
  <c r="P2942" i="4"/>
  <c r="O2942" i="4"/>
  <c r="N2942" i="4"/>
  <c r="L2942" i="4"/>
  <c r="Q2942" i="4" s="1"/>
  <c r="M2942" i="4"/>
  <c r="R2942" i="4" s="1"/>
  <c r="O2894" i="4"/>
  <c r="N2894" i="4"/>
  <c r="P2894" i="4"/>
  <c r="M2894" i="4"/>
  <c r="R2894" i="4" s="1"/>
  <c r="L2894" i="4"/>
  <c r="Q2894" i="4" s="1"/>
  <c r="P2838" i="4"/>
  <c r="N2838" i="4"/>
  <c r="O2838" i="4"/>
  <c r="M2838" i="4"/>
  <c r="R2838" i="4" s="1"/>
  <c r="L2838" i="4"/>
  <c r="Q2838" i="4" s="1"/>
  <c r="O2774" i="4"/>
  <c r="N2774" i="4"/>
  <c r="M2774" i="4"/>
  <c r="R2774" i="4" s="1"/>
  <c r="L2774" i="4"/>
  <c r="Q2774" i="4" s="1"/>
  <c r="P2774" i="4"/>
  <c r="O2726" i="4"/>
  <c r="N2726" i="4"/>
  <c r="M2726" i="4"/>
  <c r="R2726" i="4" s="1"/>
  <c r="L2726" i="4"/>
  <c r="Q2726" i="4" s="1"/>
  <c r="P2726" i="4"/>
  <c r="L2670" i="4"/>
  <c r="Q2670" i="4" s="1"/>
  <c r="M2670" i="4"/>
  <c r="R2670" i="4" s="1"/>
  <c r="P2670" i="4"/>
  <c r="O2670" i="4"/>
  <c r="N2670" i="4"/>
  <c r="L2606" i="4"/>
  <c r="Q2606" i="4" s="1"/>
  <c r="P2606" i="4"/>
  <c r="M2606" i="4"/>
  <c r="R2606" i="4" s="1"/>
  <c r="N2606" i="4"/>
  <c r="O2606" i="4"/>
  <c r="L2558" i="4"/>
  <c r="Q2558" i="4" s="1"/>
  <c r="M2558" i="4"/>
  <c r="R2558" i="4" s="1"/>
  <c r="O2558" i="4"/>
  <c r="N2558" i="4"/>
  <c r="P2558" i="4"/>
  <c r="L2502" i="4"/>
  <c r="Q2502" i="4" s="1"/>
  <c r="O2502" i="4"/>
  <c r="N2502" i="4"/>
  <c r="M2502" i="4"/>
  <c r="R2502" i="4" s="1"/>
  <c r="P2502" i="4"/>
  <c r="M2454" i="4"/>
  <c r="R2454" i="4" s="1"/>
  <c r="N2454" i="4"/>
  <c r="L2454" i="4"/>
  <c r="Q2454" i="4" s="1"/>
  <c r="P2454" i="4"/>
  <c r="O2454" i="4"/>
  <c r="L2406" i="4"/>
  <c r="Q2406" i="4" s="1"/>
  <c r="O2406" i="4"/>
  <c r="N2406" i="4"/>
  <c r="M2406" i="4"/>
  <c r="R2406" i="4" s="1"/>
  <c r="P2406" i="4"/>
  <c r="L2350" i="4"/>
  <c r="Q2350" i="4" s="1"/>
  <c r="O2350" i="4"/>
  <c r="P2350" i="4"/>
  <c r="M2350" i="4"/>
  <c r="R2350" i="4" s="1"/>
  <c r="N2350" i="4"/>
  <c r="L2294" i="4"/>
  <c r="Q2294" i="4" s="1"/>
  <c r="M2294" i="4"/>
  <c r="R2294" i="4" s="1"/>
  <c r="N2294" i="4"/>
  <c r="P2294" i="4"/>
  <c r="O2294" i="4"/>
  <c r="L2230" i="4"/>
  <c r="Q2230" i="4" s="1"/>
  <c r="N2230" i="4"/>
  <c r="M2230" i="4"/>
  <c r="R2230" i="4" s="1"/>
  <c r="P2230" i="4"/>
  <c r="O2230" i="4"/>
  <c r="L2190" i="4"/>
  <c r="Q2190" i="4" s="1"/>
  <c r="M2190" i="4"/>
  <c r="R2190" i="4" s="1"/>
  <c r="N2190" i="4"/>
  <c r="O2190" i="4"/>
  <c r="P2190" i="4"/>
  <c r="L2142" i="4"/>
  <c r="Q2142" i="4" s="1"/>
  <c r="P2142" i="4"/>
  <c r="O2142" i="4"/>
  <c r="M2142" i="4"/>
  <c r="R2142" i="4" s="1"/>
  <c r="N2142" i="4"/>
  <c r="M2094" i="4"/>
  <c r="R2094" i="4" s="1"/>
  <c r="O2094" i="4"/>
  <c r="N2094" i="4"/>
  <c r="L2094" i="4"/>
  <c r="Q2094" i="4" s="1"/>
  <c r="P2094" i="4"/>
  <c r="L2038" i="4"/>
  <c r="Q2038" i="4" s="1"/>
  <c r="O2038" i="4"/>
  <c r="N2038" i="4"/>
  <c r="P2038" i="4"/>
  <c r="M2038" i="4"/>
  <c r="R2038" i="4" s="1"/>
  <c r="P1982" i="4"/>
  <c r="N1982" i="4"/>
  <c r="M1982" i="4"/>
  <c r="R1982" i="4" s="1"/>
  <c r="O1982" i="4"/>
  <c r="L1982" i="4"/>
  <c r="Q1982" i="4" s="1"/>
  <c r="P1918" i="4"/>
  <c r="N1918" i="4"/>
  <c r="L1918" i="4"/>
  <c r="Q1918" i="4" s="1"/>
  <c r="M1918" i="4"/>
  <c r="R1918" i="4" s="1"/>
  <c r="O1918" i="4"/>
  <c r="M1822" i="4"/>
  <c r="R1822" i="4" s="1"/>
  <c r="N1822" i="4"/>
  <c r="L1822" i="4"/>
  <c r="Q1822" i="4" s="1"/>
  <c r="P1822" i="4"/>
  <c r="O1822" i="4"/>
  <c r="P2284" i="4"/>
  <c r="O2284" i="4"/>
  <c r="N2284" i="4"/>
  <c r="L2284" i="4"/>
  <c r="Q2284" i="4" s="1"/>
  <c r="M2284" i="4"/>
  <c r="R2284" i="4" s="1"/>
  <c r="P2236" i="4"/>
  <c r="L2236" i="4"/>
  <c r="Q2236" i="4" s="1"/>
  <c r="M2236" i="4"/>
  <c r="R2236" i="4" s="1"/>
  <c r="O2236" i="4"/>
  <c r="N2236" i="4"/>
  <c r="N1404" i="4"/>
  <c r="L1404" i="4"/>
  <c r="Q1404" i="4" s="1"/>
  <c r="O1404" i="4"/>
  <c r="P1404" i="4"/>
  <c r="M1404" i="4"/>
  <c r="R1404" i="4" s="1"/>
  <c r="L1396" i="4"/>
  <c r="Q1396" i="4" s="1"/>
  <c r="N1396" i="4"/>
  <c r="O1396" i="4"/>
  <c r="M1396" i="4"/>
  <c r="R1396" i="4" s="1"/>
  <c r="P1396" i="4"/>
  <c r="L1388" i="4"/>
  <c r="Q1388" i="4" s="1"/>
  <c r="P1388" i="4"/>
  <c r="M1388" i="4"/>
  <c r="R1388" i="4" s="1"/>
  <c r="O1388" i="4"/>
  <c r="N1388" i="4"/>
  <c r="L1380" i="4"/>
  <c r="Q1380" i="4" s="1"/>
  <c r="N1380" i="4"/>
  <c r="O1380" i="4"/>
  <c r="M1380" i="4"/>
  <c r="R1380" i="4" s="1"/>
  <c r="P1380" i="4"/>
  <c r="N1372" i="4"/>
  <c r="O1372" i="4"/>
  <c r="P1372" i="4"/>
  <c r="L1372" i="4"/>
  <c r="Q1372" i="4" s="1"/>
  <c r="M1372" i="4"/>
  <c r="R1372" i="4" s="1"/>
  <c r="L1364" i="4"/>
  <c r="Q1364" i="4" s="1"/>
  <c r="O1364" i="4"/>
  <c r="N1364" i="4"/>
  <c r="M1364" i="4"/>
  <c r="R1364" i="4" s="1"/>
  <c r="P1364" i="4"/>
  <c r="L1356" i="4"/>
  <c r="Q1356" i="4" s="1"/>
  <c r="P1356" i="4"/>
  <c r="N1356" i="4"/>
  <c r="O1356" i="4"/>
  <c r="M1356" i="4"/>
  <c r="R1356" i="4" s="1"/>
  <c r="L1348" i="4"/>
  <c r="Q1348" i="4" s="1"/>
  <c r="N1348" i="4"/>
  <c r="M1348" i="4"/>
  <c r="R1348" i="4" s="1"/>
  <c r="O1348" i="4"/>
  <c r="P1348" i="4"/>
  <c r="P1340" i="4"/>
  <c r="N1340" i="4"/>
  <c r="L1340" i="4"/>
  <c r="Q1340" i="4" s="1"/>
  <c r="M1340" i="4"/>
  <c r="R1340" i="4" s="1"/>
  <c r="O1340" i="4"/>
  <c r="O1332" i="4"/>
  <c r="L1332" i="4"/>
  <c r="Q1332" i="4" s="1"/>
  <c r="N1332" i="4"/>
  <c r="M1332" i="4"/>
  <c r="R1332" i="4" s="1"/>
  <c r="P1332" i="4"/>
  <c r="M1324" i="4"/>
  <c r="R1324" i="4" s="1"/>
  <c r="N1324" i="4"/>
  <c r="P1324" i="4"/>
  <c r="L1324" i="4"/>
  <c r="Q1324" i="4" s="1"/>
  <c r="O1324" i="4"/>
  <c r="N1316" i="4"/>
  <c r="O1316" i="4"/>
  <c r="L1316" i="4"/>
  <c r="Q1316" i="4" s="1"/>
  <c r="M1316" i="4"/>
  <c r="R1316" i="4" s="1"/>
  <c r="P1316" i="4"/>
  <c r="L1308" i="4"/>
  <c r="Q1308" i="4" s="1"/>
  <c r="P1308" i="4"/>
  <c r="O1308" i="4"/>
  <c r="N1308" i="4"/>
  <c r="M1308" i="4"/>
  <c r="R1308" i="4" s="1"/>
  <c r="N1300" i="4"/>
  <c r="L1300" i="4"/>
  <c r="Q1300" i="4" s="1"/>
  <c r="M1300" i="4"/>
  <c r="R1300" i="4" s="1"/>
  <c r="O1300" i="4"/>
  <c r="P1300" i="4"/>
  <c r="L1292" i="4"/>
  <c r="Q1292" i="4" s="1"/>
  <c r="N1292" i="4"/>
  <c r="M1292" i="4"/>
  <c r="R1292" i="4" s="1"/>
  <c r="P1292" i="4"/>
  <c r="O1292" i="4"/>
  <c r="M1284" i="4"/>
  <c r="R1284" i="4" s="1"/>
  <c r="O1284" i="4"/>
  <c r="L1284" i="4"/>
  <c r="Q1284" i="4" s="1"/>
  <c r="P1284" i="4"/>
  <c r="N1284" i="4"/>
  <c r="P1276" i="4"/>
  <c r="N1276" i="4"/>
  <c r="L1276" i="4"/>
  <c r="Q1276" i="4" s="1"/>
  <c r="M1276" i="4"/>
  <c r="R1276" i="4" s="1"/>
  <c r="O1276" i="4"/>
  <c r="M1268" i="4"/>
  <c r="R1268" i="4" s="1"/>
  <c r="N1268" i="4"/>
  <c r="L1268" i="4"/>
  <c r="Q1268" i="4" s="1"/>
  <c r="P1268" i="4"/>
  <c r="O1268" i="4"/>
  <c r="L1260" i="4"/>
  <c r="Q1260" i="4" s="1"/>
  <c r="O1260" i="4"/>
  <c r="P1260" i="4"/>
  <c r="M1260" i="4"/>
  <c r="R1260" i="4" s="1"/>
  <c r="N1260" i="4"/>
  <c r="M1252" i="4"/>
  <c r="R1252" i="4" s="1"/>
  <c r="L1252" i="4"/>
  <c r="Q1252" i="4" s="1"/>
  <c r="P1252" i="4"/>
  <c r="N1252" i="4"/>
  <c r="O1252" i="4"/>
  <c r="P1244" i="4"/>
  <c r="L1244" i="4"/>
  <c r="Q1244" i="4" s="1"/>
  <c r="O1244" i="4"/>
  <c r="M1244" i="4"/>
  <c r="R1244" i="4" s="1"/>
  <c r="N1244" i="4"/>
  <c r="N1236" i="4"/>
  <c r="P1236" i="4"/>
  <c r="L1236" i="4"/>
  <c r="Q1236" i="4" s="1"/>
  <c r="O1236" i="4"/>
  <c r="M1236" i="4"/>
  <c r="R1236" i="4" s="1"/>
  <c r="N1228" i="4"/>
  <c r="P1228" i="4"/>
  <c r="L1228" i="4"/>
  <c r="Q1228" i="4" s="1"/>
  <c r="O1228" i="4"/>
  <c r="M1228" i="4"/>
  <c r="R1228" i="4" s="1"/>
  <c r="P1220" i="4"/>
  <c r="N1220" i="4"/>
  <c r="M1220" i="4"/>
  <c r="R1220" i="4" s="1"/>
  <c r="O1220" i="4"/>
  <c r="L1220" i="4"/>
  <c r="Q1220" i="4" s="1"/>
  <c r="P1212" i="4"/>
  <c r="L1212" i="4"/>
  <c r="Q1212" i="4" s="1"/>
  <c r="O1212" i="4"/>
  <c r="M1212" i="4"/>
  <c r="R1212" i="4" s="1"/>
  <c r="N1212" i="4"/>
  <c r="P1204" i="4"/>
  <c r="N1204" i="4"/>
  <c r="L1204" i="4"/>
  <c r="Q1204" i="4" s="1"/>
  <c r="M1204" i="4"/>
  <c r="R1204" i="4" s="1"/>
  <c r="O1204" i="4"/>
  <c r="P1196" i="4"/>
  <c r="L1196" i="4"/>
  <c r="Q1196" i="4" s="1"/>
  <c r="N1196" i="4"/>
  <c r="M1196" i="4"/>
  <c r="R1196" i="4" s="1"/>
  <c r="O1196" i="4"/>
  <c r="P1188" i="4"/>
  <c r="M1188" i="4"/>
  <c r="R1188" i="4" s="1"/>
  <c r="N1188" i="4"/>
  <c r="L1188" i="4"/>
  <c r="Q1188" i="4" s="1"/>
  <c r="O1188" i="4"/>
  <c r="P1180" i="4"/>
  <c r="L1180" i="4"/>
  <c r="Q1180" i="4" s="1"/>
  <c r="O1180" i="4"/>
  <c r="M1180" i="4"/>
  <c r="R1180" i="4" s="1"/>
  <c r="N1180" i="4"/>
  <c r="P1172" i="4"/>
  <c r="L1172" i="4"/>
  <c r="Q1172" i="4" s="1"/>
  <c r="N1172" i="4"/>
  <c r="O1172" i="4"/>
  <c r="M1172" i="4"/>
  <c r="R1172" i="4" s="1"/>
  <c r="P1164" i="4"/>
  <c r="L1164" i="4"/>
  <c r="Q1164" i="4" s="1"/>
  <c r="N1164" i="4"/>
  <c r="O1164" i="4"/>
  <c r="M1164" i="4"/>
  <c r="R1164" i="4" s="1"/>
  <c r="M1156" i="4"/>
  <c r="R1156" i="4" s="1"/>
  <c r="P1156" i="4"/>
  <c r="L1156" i="4"/>
  <c r="Q1156" i="4" s="1"/>
  <c r="N1156" i="4"/>
  <c r="O1156" i="4"/>
  <c r="P1148" i="4"/>
  <c r="O1148" i="4"/>
  <c r="L1148" i="4"/>
  <c r="Q1148" i="4" s="1"/>
  <c r="N1148" i="4"/>
  <c r="M1148" i="4"/>
  <c r="R1148" i="4" s="1"/>
  <c r="L1140" i="4"/>
  <c r="Q1140" i="4" s="1"/>
  <c r="P1140" i="4"/>
  <c r="M1140" i="4"/>
  <c r="R1140" i="4" s="1"/>
  <c r="O1140" i="4"/>
  <c r="N1140" i="4"/>
  <c r="P1132" i="4"/>
  <c r="L1132" i="4"/>
  <c r="Q1132" i="4" s="1"/>
  <c r="N1132" i="4"/>
  <c r="M1132" i="4"/>
  <c r="R1132" i="4" s="1"/>
  <c r="O1132" i="4"/>
  <c r="P1124" i="4"/>
  <c r="M1124" i="4"/>
  <c r="R1124" i="4" s="1"/>
  <c r="L1124" i="4"/>
  <c r="Q1124" i="4" s="1"/>
  <c r="N1124" i="4"/>
  <c r="O1124" i="4"/>
  <c r="P1116" i="4"/>
  <c r="L1116" i="4"/>
  <c r="Q1116" i="4" s="1"/>
  <c r="O1116" i="4"/>
  <c r="N1116" i="4"/>
  <c r="M1116" i="4"/>
  <c r="R1116" i="4" s="1"/>
  <c r="P1108" i="4"/>
  <c r="O1108" i="4"/>
  <c r="L1108" i="4"/>
  <c r="Q1108" i="4" s="1"/>
  <c r="N1108" i="4"/>
  <c r="M1108" i="4"/>
  <c r="R1108" i="4" s="1"/>
  <c r="N1100" i="4"/>
  <c r="P1100" i="4"/>
  <c r="L1100" i="4"/>
  <c r="Q1100" i="4" s="1"/>
  <c r="M1100" i="4"/>
  <c r="R1100" i="4" s="1"/>
  <c r="O1100" i="4"/>
  <c r="P1092" i="4"/>
  <c r="N1092" i="4"/>
  <c r="O1092" i="4"/>
  <c r="L1092" i="4"/>
  <c r="Q1092" i="4" s="1"/>
  <c r="M1092" i="4"/>
  <c r="R1092" i="4" s="1"/>
  <c r="P1084" i="4"/>
  <c r="O1084" i="4"/>
  <c r="L1084" i="4"/>
  <c r="Q1084" i="4" s="1"/>
  <c r="N1084" i="4"/>
  <c r="M1084" i="4"/>
  <c r="R1084" i="4" s="1"/>
  <c r="P1076" i="4"/>
  <c r="L1076" i="4"/>
  <c r="Q1076" i="4" s="1"/>
  <c r="M1076" i="4"/>
  <c r="R1076" i="4" s="1"/>
  <c r="O1076" i="4"/>
  <c r="N1076" i="4"/>
  <c r="P1068" i="4"/>
  <c r="M1068" i="4"/>
  <c r="R1068" i="4" s="1"/>
  <c r="L1068" i="4"/>
  <c r="Q1068" i="4" s="1"/>
  <c r="N1068" i="4"/>
  <c r="O1068" i="4"/>
  <c r="O1060" i="4"/>
  <c r="P1060" i="4"/>
  <c r="M1060" i="4"/>
  <c r="R1060" i="4" s="1"/>
  <c r="N1060" i="4"/>
  <c r="L1060" i="4"/>
  <c r="Q1060" i="4" s="1"/>
  <c r="L1052" i="4"/>
  <c r="Q1052" i="4" s="1"/>
  <c r="N1052" i="4"/>
  <c r="P1052" i="4"/>
  <c r="O1052" i="4"/>
  <c r="M1052" i="4"/>
  <c r="R1052" i="4" s="1"/>
  <c r="L1044" i="4"/>
  <c r="Q1044" i="4" s="1"/>
  <c r="O1044" i="4"/>
  <c r="M1044" i="4"/>
  <c r="R1044" i="4" s="1"/>
  <c r="N1044" i="4"/>
  <c r="P1044" i="4"/>
  <c r="L1036" i="4"/>
  <c r="Q1036" i="4" s="1"/>
  <c r="O1036" i="4"/>
  <c r="P1036" i="4"/>
  <c r="N1036" i="4"/>
  <c r="M1036" i="4"/>
  <c r="R1036" i="4" s="1"/>
  <c r="M1028" i="4"/>
  <c r="R1028" i="4" s="1"/>
  <c r="L1028" i="4"/>
  <c r="Q1028" i="4" s="1"/>
  <c r="N1028" i="4"/>
  <c r="P1028" i="4"/>
  <c r="O1028" i="4"/>
  <c r="M1020" i="4"/>
  <c r="R1020" i="4" s="1"/>
  <c r="O1020" i="4"/>
  <c r="L1020" i="4"/>
  <c r="Q1020" i="4" s="1"/>
  <c r="N1020" i="4"/>
  <c r="P1020" i="4"/>
  <c r="M1012" i="4"/>
  <c r="R1012" i="4" s="1"/>
  <c r="L1012" i="4"/>
  <c r="Q1012" i="4" s="1"/>
  <c r="N1012" i="4"/>
  <c r="P1012" i="4"/>
  <c r="O1012" i="4"/>
  <c r="O1004" i="4"/>
  <c r="M1004" i="4"/>
  <c r="R1004" i="4" s="1"/>
  <c r="L1004" i="4"/>
  <c r="Q1004" i="4" s="1"/>
  <c r="N1004" i="4"/>
  <c r="P1004" i="4"/>
  <c r="O996" i="4"/>
  <c r="L996" i="4"/>
  <c r="Q996" i="4" s="1"/>
  <c r="P996" i="4"/>
  <c r="N996" i="4"/>
  <c r="M996" i="4"/>
  <c r="R996" i="4" s="1"/>
  <c r="M988" i="4"/>
  <c r="R988" i="4" s="1"/>
  <c r="O988" i="4"/>
  <c r="L988" i="4"/>
  <c r="Q988" i="4" s="1"/>
  <c r="N988" i="4"/>
  <c r="P988" i="4"/>
  <c r="M980" i="4"/>
  <c r="R980" i="4" s="1"/>
  <c r="L980" i="4"/>
  <c r="Q980" i="4" s="1"/>
  <c r="O980" i="4"/>
  <c r="P980" i="4"/>
  <c r="N980" i="4"/>
  <c r="M972" i="4"/>
  <c r="R972" i="4" s="1"/>
  <c r="O972" i="4"/>
  <c r="L972" i="4"/>
  <c r="Q972" i="4" s="1"/>
  <c r="N972" i="4"/>
  <c r="P972" i="4"/>
  <c r="O964" i="4"/>
  <c r="M964" i="4"/>
  <c r="R964" i="4" s="1"/>
  <c r="N964" i="4"/>
  <c r="L964" i="4"/>
  <c r="Q964" i="4" s="1"/>
  <c r="P964" i="4"/>
  <c r="M956" i="4"/>
  <c r="R956" i="4" s="1"/>
  <c r="O956" i="4"/>
  <c r="L956" i="4"/>
  <c r="Q956" i="4" s="1"/>
  <c r="N956" i="4"/>
  <c r="P956" i="4"/>
  <c r="M948" i="4"/>
  <c r="R948" i="4" s="1"/>
  <c r="P948" i="4"/>
  <c r="O948" i="4"/>
  <c r="L948" i="4"/>
  <c r="Q948" i="4" s="1"/>
  <c r="N948" i="4"/>
  <c r="L940" i="4"/>
  <c r="Q940" i="4" s="1"/>
  <c r="N940" i="4"/>
  <c r="P940" i="4"/>
  <c r="O940" i="4"/>
  <c r="M940" i="4"/>
  <c r="R940" i="4" s="1"/>
  <c r="N932" i="4"/>
  <c r="P932" i="4"/>
  <c r="L932" i="4"/>
  <c r="Q932" i="4" s="1"/>
  <c r="O932" i="4"/>
  <c r="M932" i="4"/>
  <c r="R932" i="4" s="1"/>
  <c r="P924" i="4"/>
  <c r="L924" i="4"/>
  <c r="Q924" i="4" s="1"/>
  <c r="N924" i="4"/>
  <c r="M924" i="4"/>
  <c r="R924" i="4" s="1"/>
  <c r="O924" i="4"/>
  <c r="N916" i="4"/>
  <c r="L916" i="4"/>
  <c r="Q916" i="4" s="1"/>
  <c r="P916" i="4"/>
  <c r="M916" i="4"/>
  <c r="R916" i="4" s="1"/>
  <c r="O916" i="4"/>
  <c r="N908" i="4"/>
  <c r="M908" i="4"/>
  <c r="R908" i="4" s="1"/>
  <c r="P908" i="4"/>
  <c r="L908" i="4"/>
  <c r="Q908" i="4" s="1"/>
  <c r="O908" i="4"/>
  <c r="I900" i="4"/>
  <c r="K900" i="4"/>
  <c r="I892" i="4"/>
  <c r="K892" i="4"/>
  <c r="I884" i="4"/>
  <c r="K884" i="4"/>
  <c r="I876" i="4"/>
  <c r="K876" i="4"/>
  <c r="I868" i="4"/>
  <c r="K868" i="4"/>
  <c r="I860" i="4"/>
  <c r="K860" i="4"/>
  <c r="I852" i="4"/>
  <c r="K852" i="4"/>
  <c r="I844" i="4"/>
  <c r="K844" i="4"/>
  <c r="I836" i="4"/>
  <c r="K836" i="4"/>
  <c r="I828" i="4"/>
  <c r="K828" i="4"/>
  <c r="I820" i="4"/>
  <c r="K820" i="4"/>
  <c r="I812" i="4"/>
  <c r="K812" i="4"/>
  <c r="I804" i="4"/>
  <c r="K804" i="4"/>
  <c r="I796" i="4"/>
  <c r="K796" i="4"/>
  <c r="I788" i="4"/>
  <c r="K788" i="4"/>
  <c r="I780" i="4"/>
  <c r="K780" i="4"/>
  <c r="I772" i="4"/>
  <c r="K772" i="4"/>
  <c r="I764" i="4"/>
  <c r="K764" i="4"/>
  <c r="I756" i="4"/>
  <c r="K756" i="4"/>
  <c r="I748" i="4"/>
  <c r="K748" i="4"/>
  <c r="I740" i="4"/>
  <c r="K740" i="4"/>
  <c r="I732" i="4"/>
  <c r="K732" i="4"/>
  <c r="I724" i="4"/>
  <c r="K724" i="4"/>
  <c r="I716" i="4"/>
  <c r="K716" i="4"/>
  <c r="I708" i="4"/>
  <c r="K708" i="4"/>
  <c r="I700" i="4"/>
  <c r="K700" i="4"/>
  <c r="I692" i="4"/>
  <c r="K692" i="4"/>
  <c r="I684" i="4"/>
  <c r="K684" i="4"/>
  <c r="I676" i="4"/>
  <c r="K676" i="4"/>
  <c r="I668" i="4"/>
  <c r="K668" i="4"/>
  <c r="I660" i="4"/>
  <c r="K660" i="4"/>
  <c r="I652" i="4"/>
  <c r="K652" i="4"/>
  <c r="I644" i="4"/>
  <c r="K644" i="4"/>
  <c r="I636" i="4"/>
  <c r="K636" i="4"/>
  <c r="I628" i="4"/>
  <c r="K628" i="4"/>
  <c r="I620" i="4"/>
  <c r="K620" i="4"/>
  <c r="I612" i="4"/>
  <c r="K612" i="4"/>
  <c r="I604" i="4"/>
  <c r="K604" i="4"/>
  <c r="I596" i="4"/>
  <c r="K596" i="4"/>
  <c r="I588" i="4"/>
  <c r="K588" i="4"/>
  <c r="I580" i="4"/>
  <c r="K580" i="4"/>
  <c r="I572" i="4"/>
  <c r="K572" i="4"/>
  <c r="I564" i="4"/>
  <c r="K564" i="4"/>
  <c r="I556" i="4"/>
  <c r="K556" i="4"/>
  <c r="I548" i="4"/>
  <c r="K548" i="4"/>
  <c r="I540" i="4"/>
  <c r="K540" i="4"/>
  <c r="I532" i="4"/>
  <c r="K532" i="4"/>
  <c r="I524" i="4"/>
  <c r="K524" i="4"/>
  <c r="I516" i="4"/>
  <c r="K516" i="4"/>
  <c r="I508" i="4"/>
  <c r="K508" i="4"/>
  <c r="I500" i="4"/>
  <c r="K500" i="4"/>
  <c r="I492" i="4"/>
  <c r="K492" i="4"/>
  <c r="I484" i="4"/>
  <c r="K484" i="4"/>
  <c r="I476" i="4"/>
  <c r="K476" i="4"/>
  <c r="I468" i="4"/>
  <c r="K468" i="4"/>
  <c r="I460" i="4"/>
  <c r="K460" i="4"/>
  <c r="I452" i="4"/>
  <c r="K452" i="4"/>
  <c r="I444" i="4"/>
  <c r="K444" i="4"/>
  <c r="I436" i="4"/>
  <c r="K436" i="4"/>
  <c r="I428" i="4"/>
  <c r="K428" i="4"/>
  <c r="I420" i="4"/>
  <c r="K420" i="4"/>
  <c r="I412" i="4"/>
  <c r="K412" i="4"/>
  <c r="I404" i="4"/>
  <c r="K404" i="4"/>
  <c r="I396" i="4"/>
  <c r="K396" i="4"/>
  <c r="I388" i="4"/>
  <c r="K388" i="4"/>
  <c r="I380" i="4"/>
  <c r="K380" i="4"/>
  <c r="I372" i="4"/>
  <c r="K372" i="4"/>
  <c r="I364" i="4"/>
  <c r="K364" i="4"/>
  <c r="I356" i="4"/>
  <c r="K356" i="4"/>
  <c r="I348" i="4"/>
  <c r="K348" i="4"/>
  <c r="I340" i="4"/>
  <c r="K340" i="4"/>
  <c r="I332" i="4"/>
  <c r="K332" i="4"/>
  <c r="I324" i="4"/>
  <c r="K324" i="4"/>
  <c r="I316" i="4"/>
  <c r="K316" i="4"/>
  <c r="I308" i="4"/>
  <c r="K308" i="4"/>
  <c r="I300" i="4"/>
  <c r="K300" i="4"/>
  <c r="I292" i="4"/>
  <c r="K292" i="4"/>
  <c r="I284" i="4"/>
  <c r="K284" i="4"/>
  <c r="I276" i="4"/>
  <c r="K276" i="4"/>
  <c r="I268" i="4"/>
  <c r="K268" i="4"/>
  <c r="I260" i="4"/>
  <c r="K260" i="4"/>
  <c r="I252" i="4"/>
  <c r="K252" i="4"/>
  <c r="I244" i="4"/>
  <c r="K244" i="4"/>
  <c r="I236" i="4"/>
  <c r="K236" i="4"/>
  <c r="I228" i="4"/>
  <c r="K228" i="4"/>
  <c r="I220" i="4"/>
  <c r="K220" i="4"/>
  <c r="I212" i="4"/>
  <c r="K212" i="4"/>
  <c r="I204" i="4"/>
  <c r="K204" i="4"/>
  <c r="I196" i="4"/>
  <c r="K196" i="4"/>
  <c r="I188" i="4"/>
  <c r="K188" i="4"/>
  <c r="I180" i="4"/>
  <c r="K180" i="4"/>
  <c r="I172" i="4"/>
  <c r="K172" i="4"/>
  <c r="I164" i="4"/>
  <c r="K164" i="4"/>
  <c r="I156" i="4"/>
  <c r="K156" i="4"/>
  <c r="I148" i="4"/>
  <c r="K148" i="4"/>
  <c r="I140" i="4"/>
  <c r="K140" i="4"/>
  <c r="P2950" i="4"/>
  <c r="O2950" i="4"/>
  <c r="N2950" i="4"/>
  <c r="L2950" i="4"/>
  <c r="Q2950" i="4" s="1"/>
  <c r="M2950" i="4"/>
  <c r="R2950" i="4" s="1"/>
  <c r="P2886" i="4"/>
  <c r="O2886" i="4"/>
  <c r="N2886" i="4"/>
  <c r="L2886" i="4"/>
  <c r="Q2886" i="4" s="1"/>
  <c r="M2886" i="4"/>
  <c r="R2886" i="4" s="1"/>
  <c r="P2830" i="4"/>
  <c r="O2830" i="4"/>
  <c r="N2830" i="4"/>
  <c r="M2830" i="4"/>
  <c r="R2830" i="4" s="1"/>
  <c r="L2830" i="4"/>
  <c r="Q2830" i="4" s="1"/>
  <c r="P2782" i="4"/>
  <c r="O2782" i="4"/>
  <c r="N2782" i="4"/>
  <c r="L2782" i="4"/>
  <c r="Q2782" i="4" s="1"/>
  <c r="M2782" i="4"/>
  <c r="R2782" i="4" s="1"/>
  <c r="L2718" i="4"/>
  <c r="Q2718" i="4" s="1"/>
  <c r="M2718" i="4"/>
  <c r="R2718" i="4" s="1"/>
  <c r="P2718" i="4"/>
  <c r="N2718" i="4"/>
  <c r="O2718" i="4"/>
  <c r="L2662" i="4"/>
  <c r="Q2662" i="4" s="1"/>
  <c r="O2662" i="4"/>
  <c r="M2662" i="4"/>
  <c r="R2662" i="4" s="1"/>
  <c r="N2662" i="4"/>
  <c r="P2662" i="4"/>
  <c r="L2614" i="4"/>
  <c r="Q2614" i="4" s="1"/>
  <c r="N2614" i="4"/>
  <c r="O2614" i="4"/>
  <c r="P2614" i="4"/>
  <c r="M2614" i="4"/>
  <c r="R2614" i="4" s="1"/>
  <c r="L2566" i="4"/>
  <c r="Q2566" i="4" s="1"/>
  <c r="O2566" i="4"/>
  <c r="N2566" i="4"/>
  <c r="M2566" i="4"/>
  <c r="R2566" i="4" s="1"/>
  <c r="P2566" i="4"/>
  <c r="L2510" i="4"/>
  <c r="Q2510" i="4" s="1"/>
  <c r="P2510" i="4"/>
  <c r="M2510" i="4"/>
  <c r="R2510" i="4" s="1"/>
  <c r="N2510" i="4"/>
  <c r="O2510" i="4"/>
  <c r="M2446" i="4"/>
  <c r="R2446" i="4" s="1"/>
  <c r="P2446" i="4"/>
  <c r="L2446" i="4"/>
  <c r="Q2446" i="4" s="1"/>
  <c r="N2446" i="4"/>
  <c r="O2446" i="4"/>
  <c r="L2398" i="4"/>
  <c r="Q2398" i="4" s="1"/>
  <c r="O2398" i="4"/>
  <c r="P2398" i="4"/>
  <c r="M2398" i="4"/>
  <c r="R2398" i="4" s="1"/>
  <c r="N2398" i="4"/>
  <c r="L2342" i="4"/>
  <c r="Q2342" i="4" s="1"/>
  <c r="O2342" i="4"/>
  <c r="N2342" i="4"/>
  <c r="P2342" i="4"/>
  <c r="M2342" i="4"/>
  <c r="R2342" i="4" s="1"/>
  <c r="L2286" i="4"/>
  <c r="Q2286" i="4" s="1"/>
  <c r="M2286" i="4"/>
  <c r="R2286" i="4" s="1"/>
  <c r="P2286" i="4"/>
  <c r="N2286" i="4"/>
  <c r="O2286" i="4"/>
  <c r="L2238" i="4"/>
  <c r="Q2238" i="4" s="1"/>
  <c r="O2238" i="4"/>
  <c r="P2238" i="4"/>
  <c r="N2238" i="4"/>
  <c r="M2238" i="4"/>
  <c r="R2238" i="4" s="1"/>
  <c r="L2198" i="4"/>
  <c r="Q2198" i="4" s="1"/>
  <c r="P2198" i="4"/>
  <c r="M2198" i="4"/>
  <c r="R2198" i="4" s="1"/>
  <c r="N2198" i="4"/>
  <c r="O2198" i="4"/>
  <c r="L2150" i="4"/>
  <c r="Q2150" i="4" s="1"/>
  <c r="O2150" i="4"/>
  <c r="N2150" i="4"/>
  <c r="P2150" i="4"/>
  <c r="M2150" i="4"/>
  <c r="R2150" i="4" s="1"/>
  <c r="M2086" i="4"/>
  <c r="R2086" i="4" s="1"/>
  <c r="N2086" i="4"/>
  <c r="O2086" i="4"/>
  <c r="L2086" i="4"/>
  <c r="Q2086" i="4" s="1"/>
  <c r="P2086" i="4"/>
  <c r="P2030" i="4"/>
  <c r="O2030" i="4"/>
  <c r="M2030" i="4"/>
  <c r="R2030" i="4" s="1"/>
  <c r="L2030" i="4"/>
  <c r="Q2030" i="4" s="1"/>
  <c r="N2030" i="4"/>
  <c r="M1974" i="4"/>
  <c r="R1974" i="4" s="1"/>
  <c r="O1974" i="4"/>
  <c r="P1974" i="4"/>
  <c r="L1974" i="4"/>
  <c r="Q1974" i="4" s="1"/>
  <c r="N1974" i="4"/>
  <c r="M1910" i="4"/>
  <c r="R1910" i="4" s="1"/>
  <c r="O1910" i="4"/>
  <c r="P1910" i="4"/>
  <c r="L1910" i="4"/>
  <c r="Q1910" i="4" s="1"/>
  <c r="N1910" i="4"/>
  <c r="M1830" i="4"/>
  <c r="R1830" i="4" s="1"/>
  <c r="N1830" i="4"/>
  <c r="O1830" i="4"/>
  <c r="P1830" i="4"/>
  <c r="L1830" i="4"/>
  <c r="Q1830" i="4" s="1"/>
  <c r="L2988" i="4"/>
  <c r="Q2988" i="4" s="1"/>
  <c r="M2988" i="4"/>
  <c r="R2988" i="4" s="1"/>
  <c r="P2988" i="4"/>
  <c r="O2988" i="4"/>
  <c r="N2988" i="4"/>
  <c r="L2940" i="4"/>
  <c r="Q2940" i="4" s="1"/>
  <c r="M2940" i="4"/>
  <c r="R2940" i="4" s="1"/>
  <c r="P2940" i="4"/>
  <c r="O2940" i="4"/>
  <c r="N2940" i="4"/>
  <c r="L2732" i="4"/>
  <c r="Q2732" i="4" s="1"/>
  <c r="O2732" i="4"/>
  <c r="M2732" i="4"/>
  <c r="R2732" i="4" s="1"/>
  <c r="P2732" i="4"/>
  <c r="N2732" i="4"/>
  <c r="P2692" i="4"/>
  <c r="M2692" i="4"/>
  <c r="R2692" i="4" s="1"/>
  <c r="N2692" i="4"/>
  <c r="L2692" i="4"/>
  <c r="Q2692" i="4" s="1"/>
  <c r="O2692" i="4"/>
  <c r="P2652" i="4"/>
  <c r="O2652" i="4"/>
  <c r="N2652" i="4"/>
  <c r="M2652" i="4"/>
  <c r="R2652" i="4" s="1"/>
  <c r="L2652" i="4"/>
  <c r="Q2652" i="4" s="1"/>
  <c r="P2620" i="4"/>
  <c r="O2620" i="4"/>
  <c r="L2620" i="4"/>
  <c r="Q2620" i="4" s="1"/>
  <c r="N2620" i="4"/>
  <c r="M2620" i="4"/>
  <c r="R2620" i="4" s="1"/>
  <c r="P2580" i="4"/>
  <c r="O2580" i="4"/>
  <c r="L2580" i="4"/>
  <c r="Q2580" i="4" s="1"/>
  <c r="N2580" i="4"/>
  <c r="M2580" i="4"/>
  <c r="R2580" i="4" s="1"/>
  <c r="P2540" i="4"/>
  <c r="L2540" i="4"/>
  <c r="Q2540" i="4" s="1"/>
  <c r="O2540" i="4"/>
  <c r="M2540" i="4"/>
  <c r="R2540" i="4" s="1"/>
  <c r="N2540" i="4"/>
  <c r="P2492" i="4"/>
  <c r="O2492" i="4"/>
  <c r="N2492" i="4"/>
  <c r="M2492" i="4"/>
  <c r="R2492" i="4" s="1"/>
  <c r="L2492" i="4"/>
  <c r="Q2492" i="4" s="1"/>
  <c r="L2452" i="4"/>
  <c r="Q2452" i="4" s="1"/>
  <c r="M2452" i="4"/>
  <c r="R2452" i="4" s="1"/>
  <c r="N2452" i="4"/>
  <c r="O2452" i="4"/>
  <c r="P2452" i="4"/>
  <c r="P2412" i="4"/>
  <c r="O2412" i="4"/>
  <c r="L2412" i="4"/>
  <c r="Q2412" i="4" s="1"/>
  <c r="N2412" i="4"/>
  <c r="M2412" i="4"/>
  <c r="R2412" i="4" s="1"/>
  <c r="P2388" i="4"/>
  <c r="L2388" i="4"/>
  <c r="Q2388" i="4" s="1"/>
  <c r="O2388" i="4"/>
  <c r="N2388" i="4"/>
  <c r="M2388" i="4"/>
  <c r="R2388" i="4" s="1"/>
  <c r="P2348" i="4"/>
  <c r="O2348" i="4"/>
  <c r="L2348" i="4"/>
  <c r="Q2348" i="4" s="1"/>
  <c r="N2348" i="4"/>
  <c r="M2348" i="4"/>
  <c r="R2348" i="4" s="1"/>
  <c r="P2300" i="4"/>
  <c r="M2300" i="4"/>
  <c r="R2300" i="4" s="1"/>
  <c r="N2300" i="4"/>
  <c r="O2300" i="4"/>
  <c r="L2300" i="4"/>
  <c r="Q2300" i="4" s="1"/>
  <c r="P2268" i="4"/>
  <c r="M2268" i="4"/>
  <c r="R2268" i="4" s="1"/>
  <c r="N2268" i="4"/>
  <c r="L2268" i="4"/>
  <c r="Q2268" i="4" s="1"/>
  <c r="O2268" i="4"/>
  <c r="P2228" i="4"/>
  <c r="O2228" i="4"/>
  <c r="N2228" i="4"/>
  <c r="M2228" i="4"/>
  <c r="R2228" i="4" s="1"/>
  <c r="L2228" i="4"/>
  <c r="Q2228" i="4" s="1"/>
  <c r="P2196" i="4"/>
  <c r="L2196" i="4"/>
  <c r="Q2196" i="4" s="1"/>
  <c r="N2196" i="4"/>
  <c r="O2196" i="4"/>
  <c r="M2196" i="4"/>
  <c r="R2196" i="4" s="1"/>
  <c r="P2156" i="4"/>
  <c r="L2156" i="4"/>
  <c r="Q2156" i="4" s="1"/>
  <c r="O2156" i="4"/>
  <c r="N2156" i="4"/>
  <c r="M2156" i="4"/>
  <c r="R2156" i="4" s="1"/>
  <c r="L2116" i="4"/>
  <c r="Q2116" i="4" s="1"/>
  <c r="N2116" i="4"/>
  <c r="O2116" i="4"/>
  <c r="P2116" i="4"/>
  <c r="M2116" i="4"/>
  <c r="R2116" i="4" s="1"/>
  <c r="O2076" i="4"/>
  <c r="M2076" i="4"/>
  <c r="R2076" i="4" s="1"/>
  <c r="P2076" i="4"/>
  <c r="L2076" i="4"/>
  <c r="Q2076" i="4" s="1"/>
  <c r="N2076" i="4"/>
  <c r="M2044" i="4"/>
  <c r="R2044" i="4" s="1"/>
  <c r="P2044" i="4"/>
  <c r="O2044" i="4"/>
  <c r="L2044" i="4"/>
  <c r="Q2044" i="4" s="1"/>
  <c r="N2044" i="4"/>
  <c r="P2012" i="4"/>
  <c r="O2012" i="4"/>
  <c r="M2012" i="4"/>
  <c r="R2012" i="4" s="1"/>
  <c r="L2012" i="4"/>
  <c r="Q2012" i="4" s="1"/>
  <c r="N2012" i="4"/>
  <c r="O1964" i="4"/>
  <c r="M1964" i="4"/>
  <c r="R1964" i="4" s="1"/>
  <c r="L1964" i="4"/>
  <c r="Q1964" i="4" s="1"/>
  <c r="N1964" i="4"/>
  <c r="P1964" i="4"/>
  <c r="O1924" i="4"/>
  <c r="P1924" i="4"/>
  <c r="N1924" i="4"/>
  <c r="L1924" i="4"/>
  <c r="Q1924" i="4" s="1"/>
  <c r="M1924" i="4"/>
  <c r="R1924" i="4" s="1"/>
  <c r="M1884" i="4"/>
  <c r="R1884" i="4" s="1"/>
  <c r="P1884" i="4"/>
  <c r="O1884" i="4"/>
  <c r="L1884" i="4"/>
  <c r="Q1884" i="4" s="1"/>
  <c r="N1884" i="4"/>
  <c r="M1852" i="4"/>
  <c r="R1852" i="4" s="1"/>
  <c r="P1852" i="4"/>
  <c r="O1852" i="4"/>
  <c r="L1852" i="4"/>
  <c r="Q1852" i="4" s="1"/>
  <c r="N1852" i="4"/>
  <c r="O1804" i="4"/>
  <c r="P1804" i="4"/>
  <c r="L1804" i="4"/>
  <c r="Q1804" i="4" s="1"/>
  <c r="N1804" i="4"/>
  <c r="M1804" i="4"/>
  <c r="R1804" i="4" s="1"/>
  <c r="M1772" i="4"/>
  <c r="R1772" i="4" s="1"/>
  <c r="P1772" i="4"/>
  <c r="O1772" i="4"/>
  <c r="L1772" i="4"/>
  <c r="Q1772" i="4" s="1"/>
  <c r="N1772" i="4"/>
  <c r="O1732" i="4"/>
  <c r="M1732" i="4"/>
  <c r="R1732" i="4" s="1"/>
  <c r="P1732" i="4"/>
  <c r="L1732" i="4"/>
  <c r="Q1732" i="4" s="1"/>
  <c r="N1732" i="4"/>
  <c r="O1692" i="4"/>
  <c r="P1692" i="4"/>
  <c r="M1692" i="4"/>
  <c r="R1692" i="4" s="1"/>
  <c r="L1692" i="4"/>
  <c r="Q1692" i="4" s="1"/>
  <c r="N1692" i="4"/>
  <c r="O1652" i="4"/>
  <c r="N1652" i="4"/>
  <c r="M1652" i="4"/>
  <c r="R1652" i="4" s="1"/>
  <c r="L1652" i="4"/>
  <c r="Q1652" i="4" s="1"/>
  <c r="P1652" i="4"/>
  <c r="L1612" i="4"/>
  <c r="Q1612" i="4" s="1"/>
  <c r="O1612" i="4"/>
  <c r="M1612" i="4"/>
  <c r="R1612" i="4" s="1"/>
  <c r="P1612" i="4"/>
  <c r="N1612" i="4"/>
  <c r="L1572" i="4"/>
  <c r="Q1572" i="4" s="1"/>
  <c r="O1572" i="4"/>
  <c r="N1572" i="4"/>
  <c r="M1572" i="4"/>
  <c r="R1572" i="4" s="1"/>
  <c r="P1572" i="4"/>
  <c r="L1556" i="4"/>
  <c r="Q1556" i="4" s="1"/>
  <c r="M1556" i="4"/>
  <c r="R1556" i="4" s="1"/>
  <c r="N1556" i="4"/>
  <c r="O1556" i="4"/>
  <c r="P1556" i="4"/>
  <c r="L1516" i="4"/>
  <c r="Q1516" i="4" s="1"/>
  <c r="M1516" i="4"/>
  <c r="R1516" i="4" s="1"/>
  <c r="O1516" i="4"/>
  <c r="N1516" i="4"/>
  <c r="P1516" i="4"/>
  <c r="L1500" i="4"/>
  <c r="Q1500" i="4" s="1"/>
  <c r="P1500" i="4"/>
  <c r="O1500" i="4"/>
  <c r="N1500" i="4"/>
  <c r="M1500" i="4"/>
  <c r="R1500" i="4" s="1"/>
  <c r="L1484" i="4"/>
  <c r="Q1484" i="4" s="1"/>
  <c r="N1484" i="4"/>
  <c r="O1484" i="4"/>
  <c r="P1484" i="4"/>
  <c r="M1484" i="4"/>
  <c r="R1484" i="4" s="1"/>
  <c r="L1468" i="4"/>
  <c r="Q1468" i="4" s="1"/>
  <c r="N1468" i="4"/>
  <c r="O1468" i="4"/>
  <c r="M1468" i="4"/>
  <c r="R1468" i="4" s="1"/>
  <c r="P1468" i="4"/>
  <c r="L1444" i="4"/>
  <c r="Q1444" i="4" s="1"/>
  <c r="O1444" i="4"/>
  <c r="N1444" i="4"/>
  <c r="M1444" i="4"/>
  <c r="R1444" i="4" s="1"/>
  <c r="P1444" i="4"/>
  <c r="L1428" i="4"/>
  <c r="Q1428" i="4" s="1"/>
  <c r="N1428" i="4"/>
  <c r="O1428" i="4"/>
  <c r="M1428" i="4"/>
  <c r="R1428" i="4" s="1"/>
  <c r="P1428" i="4"/>
  <c r="L1420" i="4"/>
  <c r="Q1420" i="4" s="1"/>
  <c r="M1420" i="4"/>
  <c r="R1420" i="4" s="1"/>
  <c r="N1420" i="4"/>
  <c r="O1420" i="4"/>
  <c r="P1420" i="4"/>
  <c r="L2979" i="4"/>
  <c r="Q2979" i="4" s="1"/>
  <c r="P2979" i="4"/>
  <c r="M2979" i="4"/>
  <c r="R2979" i="4" s="1"/>
  <c r="O2979" i="4"/>
  <c r="N2979" i="4"/>
  <c r="L2971" i="4"/>
  <c r="Q2971" i="4" s="1"/>
  <c r="P2971" i="4"/>
  <c r="N2971" i="4"/>
  <c r="M2971" i="4"/>
  <c r="R2971" i="4" s="1"/>
  <c r="O2971" i="4"/>
  <c r="L2955" i="4"/>
  <c r="Q2955" i="4" s="1"/>
  <c r="P2955" i="4"/>
  <c r="O2955" i="4"/>
  <c r="N2955" i="4"/>
  <c r="M2955" i="4"/>
  <c r="R2955" i="4" s="1"/>
  <c r="L2947" i="4"/>
  <c r="Q2947" i="4" s="1"/>
  <c r="P2947" i="4"/>
  <c r="M2947" i="4"/>
  <c r="R2947" i="4" s="1"/>
  <c r="O2947" i="4"/>
  <c r="N2947" i="4"/>
  <c r="L2931" i="4"/>
  <c r="Q2931" i="4" s="1"/>
  <c r="P2931" i="4"/>
  <c r="N2931" i="4"/>
  <c r="M2931" i="4"/>
  <c r="R2931" i="4" s="1"/>
  <c r="O2931" i="4"/>
  <c r="L2923" i="4"/>
  <c r="Q2923" i="4" s="1"/>
  <c r="P2923" i="4"/>
  <c r="O2923" i="4"/>
  <c r="M2923" i="4"/>
  <c r="R2923" i="4" s="1"/>
  <c r="N2923" i="4"/>
  <c r="L2915" i="4"/>
  <c r="Q2915" i="4" s="1"/>
  <c r="P2915" i="4"/>
  <c r="M2915" i="4"/>
  <c r="R2915" i="4" s="1"/>
  <c r="O2915" i="4"/>
  <c r="N2915" i="4"/>
  <c r="L2907" i="4"/>
  <c r="Q2907" i="4" s="1"/>
  <c r="P2907" i="4"/>
  <c r="N2907" i="4"/>
  <c r="M2907" i="4"/>
  <c r="R2907" i="4" s="1"/>
  <c r="O2907" i="4"/>
  <c r="L2899" i="4"/>
  <c r="Q2899" i="4" s="1"/>
  <c r="P2899" i="4"/>
  <c r="N2899" i="4"/>
  <c r="M2899" i="4"/>
  <c r="R2899" i="4" s="1"/>
  <c r="O2899" i="4"/>
  <c r="L2891" i="4"/>
  <c r="Q2891" i="4" s="1"/>
  <c r="P2891" i="4"/>
  <c r="O2891" i="4"/>
  <c r="M2891" i="4"/>
  <c r="R2891" i="4" s="1"/>
  <c r="N2891" i="4"/>
  <c r="L2883" i="4"/>
  <c r="Q2883" i="4" s="1"/>
  <c r="P2883" i="4"/>
  <c r="M2883" i="4"/>
  <c r="R2883" i="4" s="1"/>
  <c r="O2883" i="4"/>
  <c r="N2883" i="4"/>
  <c r="L2875" i="4"/>
  <c r="Q2875" i="4" s="1"/>
  <c r="P2875" i="4"/>
  <c r="N2875" i="4"/>
  <c r="M2875" i="4"/>
  <c r="R2875" i="4" s="1"/>
  <c r="O2875" i="4"/>
  <c r="L2867" i="4"/>
  <c r="Q2867" i="4" s="1"/>
  <c r="P2867" i="4"/>
  <c r="N2867" i="4"/>
  <c r="M2867" i="4"/>
  <c r="R2867" i="4" s="1"/>
  <c r="O2867" i="4"/>
  <c r="L2859" i="4"/>
  <c r="Q2859" i="4" s="1"/>
  <c r="P2859" i="4"/>
  <c r="O2859" i="4"/>
  <c r="N2859" i="4"/>
  <c r="M2859" i="4"/>
  <c r="R2859" i="4" s="1"/>
  <c r="L2851" i="4"/>
  <c r="Q2851" i="4" s="1"/>
  <c r="P2851" i="4"/>
  <c r="M2851" i="4"/>
  <c r="R2851" i="4" s="1"/>
  <c r="O2851" i="4"/>
  <c r="N2851" i="4"/>
  <c r="L2843" i="4"/>
  <c r="Q2843" i="4" s="1"/>
  <c r="P2843" i="4"/>
  <c r="N2843" i="4"/>
  <c r="M2843" i="4"/>
  <c r="R2843" i="4" s="1"/>
  <c r="O2843" i="4"/>
  <c r="L2835" i="4"/>
  <c r="Q2835" i="4" s="1"/>
  <c r="P2835" i="4"/>
  <c r="O2835" i="4"/>
  <c r="N2835" i="4"/>
  <c r="M2835" i="4"/>
  <c r="R2835" i="4" s="1"/>
  <c r="L2827" i="4"/>
  <c r="Q2827" i="4" s="1"/>
  <c r="P2827" i="4"/>
  <c r="M2827" i="4"/>
  <c r="R2827" i="4" s="1"/>
  <c r="O2827" i="4"/>
  <c r="N2827" i="4"/>
  <c r="L2819" i="4"/>
  <c r="Q2819" i="4" s="1"/>
  <c r="P2819" i="4"/>
  <c r="M2819" i="4"/>
  <c r="R2819" i="4" s="1"/>
  <c r="O2819" i="4"/>
  <c r="N2819" i="4"/>
  <c r="L2811" i="4"/>
  <c r="Q2811" i="4" s="1"/>
  <c r="P2811" i="4"/>
  <c r="N2811" i="4"/>
  <c r="M2811" i="4"/>
  <c r="R2811" i="4" s="1"/>
  <c r="O2811" i="4"/>
  <c r="L2803" i="4"/>
  <c r="Q2803" i="4" s="1"/>
  <c r="P2803" i="4"/>
  <c r="N2803" i="4"/>
  <c r="O2803" i="4"/>
  <c r="M2803" i="4"/>
  <c r="R2803" i="4" s="1"/>
  <c r="L2795" i="4"/>
  <c r="Q2795" i="4" s="1"/>
  <c r="P2795" i="4"/>
  <c r="M2795" i="4"/>
  <c r="R2795" i="4" s="1"/>
  <c r="O2795" i="4"/>
  <c r="N2795" i="4"/>
  <c r="L2787" i="4"/>
  <c r="Q2787" i="4" s="1"/>
  <c r="P2787" i="4"/>
  <c r="M2787" i="4"/>
  <c r="R2787" i="4" s="1"/>
  <c r="N2787" i="4"/>
  <c r="O2787" i="4"/>
  <c r="L2779" i="4"/>
  <c r="Q2779" i="4" s="1"/>
  <c r="P2779" i="4"/>
  <c r="N2779" i="4"/>
  <c r="O2779" i="4"/>
  <c r="M2779" i="4"/>
  <c r="R2779" i="4" s="1"/>
  <c r="L2771" i="4"/>
  <c r="Q2771" i="4" s="1"/>
  <c r="P2771" i="4"/>
  <c r="N2771" i="4"/>
  <c r="O2771" i="4"/>
  <c r="M2771" i="4"/>
  <c r="R2771" i="4" s="1"/>
  <c r="L2763" i="4"/>
  <c r="Q2763" i="4" s="1"/>
  <c r="P2763" i="4"/>
  <c r="O2763" i="4"/>
  <c r="M2763" i="4"/>
  <c r="R2763" i="4" s="1"/>
  <c r="N2763" i="4"/>
  <c r="L2755" i="4"/>
  <c r="Q2755" i="4" s="1"/>
  <c r="P2755" i="4"/>
  <c r="M2755" i="4"/>
  <c r="R2755" i="4" s="1"/>
  <c r="O2755" i="4"/>
  <c r="N2755" i="4"/>
  <c r="L2747" i="4"/>
  <c r="Q2747" i="4" s="1"/>
  <c r="P2747" i="4"/>
  <c r="M2747" i="4"/>
  <c r="R2747" i="4" s="1"/>
  <c r="N2747" i="4"/>
  <c r="O2747" i="4"/>
  <c r="L2739" i="4"/>
  <c r="Q2739" i="4" s="1"/>
  <c r="P2739" i="4"/>
  <c r="O2739" i="4"/>
  <c r="N2739" i="4"/>
  <c r="M2739" i="4"/>
  <c r="R2739" i="4" s="1"/>
  <c r="L2731" i="4"/>
  <c r="Q2731" i="4" s="1"/>
  <c r="P2731" i="4"/>
  <c r="O2731" i="4"/>
  <c r="M2731" i="4"/>
  <c r="R2731" i="4" s="1"/>
  <c r="N2731" i="4"/>
  <c r="N2723" i="4"/>
  <c r="O2723" i="4"/>
  <c r="M2723" i="4"/>
  <c r="R2723" i="4" s="1"/>
  <c r="P2723" i="4"/>
  <c r="L2723" i="4"/>
  <c r="Q2723" i="4" s="1"/>
  <c r="N2715" i="4"/>
  <c r="P2715" i="4"/>
  <c r="O2715" i="4"/>
  <c r="M2715" i="4"/>
  <c r="R2715" i="4" s="1"/>
  <c r="L2715" i="4"/>
  <c r="Q2715" i="4" s="1"/>
  <c r="N2707" i="4"/>
  <c r="O2707" i="4"/>
  <c r="M2707" i="4"/>
  <c r="R2707" i="4" s="1"/>
  <c r="P2707" i="4"/>
  <c r="L2707" i="4"/>
  <c r="Q2707" i="4" s="1"/>
  <c r="N2699" i="4"/>
  <c r="L2699" i="4"/>
  <c r="Q2699" i="4" s="1"/>
  <c r="O2699" i="4"/>
  <c r="P2699" i="4"/>
  <c r="M2699" i="4"/>
  <c r="R2699" i="4" s="1"/>
  <c r="N2691" i="4"/>
  <c r="O2691" i="4"/>
  <c r="M2691" i="4"/>
  <c r="R2691" i="4" s="1"/>
  <c r="L2691" i="4"/>
  <c r="Q2691" i="4" s="1"/>
  <c r="P2691" i="4"/>
  <c r="N2683" i="4"/>
  <c r="O2683" i="4"/>
  <c r="L2683" i="4"/>
  <c r="Q2683" i="4" s="1"/>
  <c r="P2683" i="4"/>
  <c r="M2683" i="4"/>
  <c r="R2683" i="4" s="1"/>
  <c r="N2675" i="4"/>
  <c r="O2675" i="4"/>
  <c r="P2675" i="4"/>
  <c r="M2675" i="4"/>
  <c r="R2675" i="4" s="1"/>
  <c r="L2675" i="4"/>
  <c r="Q2675" i="4" s="1"/>
  <c r="N2667" i="4"/>
  <c r="L2667" i="4"/>
  <c r="Q2667" i="4" s="1"/>
  <c r="P2667" i="4"/>
  <c r="O2667" i="4"/>
  <c r="M2667" i="4"/>
  <c r="R2667" i="4" s="1"/>
  <c r="N2659" i="4"/>
  <c r="O2659" i="4"/>
  <c r="M2659" i="4"/>
  <c r="R2659" i="4" s="1"/>
  <c r="L2659" i="4"/>
  <c r="Q2659" i="4" s="1"/>
  <c r="P2659" i="4"/>
  <c r="N2651" i="4"/>
  <c r="L2651" i="4"/>
  <c r="Q2651" i="4" s="1"/>
  <c r="M2651" i="4"/>
  <c r="R2651" i="4" s="1"/>
  <c r="P2651" i="4"/>
  <c r="O2651" i="4"/>
  <c r="N2643" i="4"/>
  <c r="M2643" i="4"/>
  <c r="R2643" i="4" s="1"/>
  <c r="P2643" i="4"/>
  <c r="O2643" i="4"/>
  <c r="L2643" i="4"/>
  <c r="Q2643" i="4" s="1"/>
  <c r="N2635" i="4"/>
  <c r="L2635" i="4"/>
  <c r="Q2635" i="4" s="1"/>
  <c r="P2635" i="4"/>
  <c r="O2635" i="4"/>
  <c r="M2635" i="4"/>
  <c r="R2635" i="4" s="1"/>
  <c r="N2627" i="4"/>
  <c r="O2627" i="4"/>
  <c r="L2627" i="4"/>
  <c r="Q2627" i="4" s="1"/>
  <c r="M2627" i="4"/>
  <c r="R2627" i="4" s="1"/>
  <c r="P2627" i="4"/>
  <c r="N2619" i="4"/>
  <c r="M2619" i="4"/>
  <c r="R2619" i="4" s="1"/>
  <c r="L2619" i="4"/>
  <c r="Q2619" i="4" s="1"/>
  <c r="O2619" i="4"/>
  <c r="P2619" i="4"/>
  <c r="N2611" i="4"/>
  <c r="M2611" i="4"/>
  <c r="R2611" i="4" s="1"/>
  <c r="P2611" i="4"/>
  <c r="O2611" i="4"/>
  <c r="L2611" i="4"/>
  <c r="Q2611" i="4" s="1"/>
  <c r="L2603" i="4"/>
  <c r="Q2603" i="4" s="1"/>
  <c r="P2603" i="4"/>
  <c r="N2603" i="4"/>
  <c r="M2603" i="4"/>
  <c r="R2603" i="4" s="1"/>
  <c r="O2603" i="4"/>
  <c r="N2595" i="4"/>
  <c r="O2595" i="4"/>
  <c r="L2595" i="4"/>
  <c r="Q2595" i="4" s="1"/>
  <c r="M2595" i="4"/>
  <c r="R2595" i="4" s="1"/>
  <c r="P2595" i="4"/>
  <c r="N2587" i="4"/>
  <c r="L2587" i="4"/>
  <c r="Q2587" i="4" s="1"/>
  <c r="O2587" i="4"/>
  <c r="P2587" i="4"/>
  <c r="M2587" i="4"/>
  <c r="R2587" i="4" s="1"/>
  <c r="N2579" i="4"/>
  <c r="P2579" i="4"/>
  <c r="M2579" i="4"/>
  <c r="R2579" i="4" s="1"/>
  <c r="O2579" i="4"/>
  <c r="L2579" i="4"/>
  <c r="Q2579" i="4" s="1"/>
  <c r="N2571" i="4"/>
  <c r="P2571" i="4"/>
  <c r="L2571" i="4"/>
  <c r="Q2571" i="4" s="1"/>
  <c r="O2571" i="4"/>
  <c r="M2571" i="4"/>
  <c r="R2571" i="4" s="1"/>
  <c r="N2563" i="4"/>
  <c r="O2563" i="4"/>
  <c r="L2563" i="4"/>
  <c r="Q2563" i="4" s="1"/>
  <c r="M2563" i="4"/>
  <c r="R2563" i="4" s="1"/>
  <c r="P2563" i="4"/>
  <c r="N2555" i="4"/>
  <c r="M2555" i="4"/>
  <c r="R2555" i="4" s="1"/>
  <c r="L2555" i="4"/>
  <c r="Q2555" i="4" s="1"/>
  <c r="O2555" i="4"/>
  <c r="P2555" i="4"/>
  <c r="O2547" i="4"/>
  <c r="M2547" i="4"/>
  <c r="R2547" i="4" s="1"/>
  <c r="P2547" i="4"/>
  <c r="N2547" i="4"/>
  <c r="L2547" i="4"/>
  <c r="Q2547" i="4" s="1"/>
  <c r="N2539" i="4"/>
  <c r="L2539" i="4"/>
  <c r="Q2539" i="4" s="1"/>
  <c r="P2539" i="4"/>
  <c r="O2539" i="4"/>
  <c r="M2539" i="4"/>
  <c r="R2539" i="4" s="1"/>
  <c r="N2531" i="4"/>
  <c r="O2531" i="4"/>
  <c r="L2531" i="4"/>
  <c r="Q2531" i="4" s="1"/>
  <c r="M2531" i="4"/>
  <c r="R2531" i="4" s="1"/>
  <c r="P2531" i="4"/>
  <c r="N2523" i="4"/>
  <c r="M2523" i="4"/>
  <c r="R2523" i="4" s="1"/>
  <c r="L2523" i="4"/>
  <c r="Q2523" i="4" s="1"/>
  <c r="P2523" i="4"/>
  <c r="O2523" i="4"/>
  <c r="M2515" i="4"/>
  <c r="R2515" i="4" s="1"/>
  <c r="P2515" i="4"/>
  <c r="N2515" i="4"/>
  <c r="O2515" i="4"/>
  <c r="L2515" i="4"/>
  <c r="Q2515" i="4" s="1"/>
  <c r="P2507" i="4"/>
  <c r="N2507" i="4"/>
  <c r="L2507" i="4"/>
  <c r="Q2507" i="4" s="1"/>
  <c r="O2507" i="4"/>
  <c r="M2507" i="4"/>
  <c r="R2507" i="4" s="1"/>
  <c r="N2499" i="4"/>
  <c r="O2499" i="4"/>
  <c r="L2499" i="4"/>
  <c r="Q2499" i="4" s="1"/>
  <c r="M2499" i="4"/>
  <c r="R2499" i="4" s="1"/>
  <c r="P2499" i="4"/>
  <c r="N2491" i="4"/>
  <c r="P2491" i="4"/>
  <c r="L2491" i="4"/>
  <c r="Q2491" i="4" s="1"/>
  <c r="O2491" i="4"/>
  <c r="M2491" i="4"/>
  <c r="R2491" i="4" s="1"/>
  <c r="N2483" i="4"/>
  <c r="P2483" i="4"/>
  <c r="M2483" i="4"/>
  <c r="R2483" i="4" s="1"/>
  <c r="O2483" i="4"/>
  <c r="L2483" i="4"/>
  <c r="Q2483" i="4" s="1"/>
  <c r="N2475" i="4"/>
  <c r="P2475" i="4"/>
  <c r="L2475" i="4"/>
  <c r="Q2475" i="4" s="1"/>
  <c r="O2475" i="4"/>
  <c r="M2475" i="4"/>
  <c r="R2475" i="4" s="1"/>
  <c r="N2467" i="4"/>
  <c r="M2467" i="4"/>
  <c r="R2467" i="4" s="1"/>
  <c r="O2467" i="4"/>
  <c r="L2467" i="4"/>
  <c r="Q2467" i="4" s="1"/>
  <c r="P2467" i="4"/>
  <c r="M2459" i="4"/>
  <c r="R2459" i="4" s="1"/>
  <c r="P2459" i="4"/>
  <c r="N2459" i="4"/>
  <c r="L2459" i="4"/>
  <c r="Q2459" i="4" s="1"/>
  <c r="O2459" i="4"/>
  <c r="L2451" i="4"/>
  <c r="Q2451" i="4" s="1"/>
  <c r="M2451" i="4"/>
  <c r="R2451" i="4" s="1"/>
  <c r="O2451" i="4"/>
  <c r="N2451" i="4"/>
  <c r="P2451" i="4"/>
  <c r="L2443" i="4"/>
  <c r="Q2443" i="4" s="1"/>
  <c r="N2443" i="4"/>
  <c r="P2443" i="4"/>
  <c r="M2443" i="4"/>
  <c r="R2443" i="4" s="1"/>
  <c r="O2443" i="4"/>
  <c r="N2435" i="4"/>
  <c r="O2435" i="4"/>
  <c r="M2435" i="4"/>
  <c r="R2435" i="4" s="1"/>
  <c r="L2435" i="4"/>
  <c r="Q2435" i="4" s="1"/>
  <c r="P2435" i="4"/>
  <c r="N2427" i="4"/>
  <c r="L2427" i="4"/>
  <c r="Q2427" i="4" s="1"/>
  <c r="M2427" i="4"/>
  <c r="R2427" i="4" s="1"/>
  <c r="P2427" i="4"/>
  <c r="O2427" i="4"/>
  <c r="N2419" i="4"/>
  <c r="L2419" i="4"/>
  <c r="Q2419" i="4" s="1"/>
  <c r="O2419" i="4"/>
  <c r="P2419" i="4"/>
  <c r="M2419" i="4"/>
  <c r="R2419" i="4" s="1"/>
  <c r="N2411" i="4"/>
  <c r="P2411" i="4"/>
  <c r="L2411" i="4"/>
  <c r="Q2411" i="4" s="1"/>
  <c r="O2411" i="4"/>
  <c r="M2411" i="4"/>
  <c r="R2411" i="4" s="1"/>
  <c r="N2403" i="4"/>
  <c r="O2403" i="4"/>
  <c r="L2403" i="4"/>
  <c r="Q2403" i="4" s="1"/>
  <c r="M2403" i="4"/>
  <c r="R2403" i="4" s="1"/>
  <c r="P2403" i="4"/>
  <c r="N2395" i="4"/>
  <c r="P2395" i="4"/>
  <c r="M2395" i="4"/>
  <c r="R2395" i="4" s="1"/>
  <c r="L2395" i="4"/>
  <c r="Q2395" i="4" s="1"/>
  <c r="O2395" i="4"/>
  <c r="N2387" i="4"/>
  <c r="P2387" i="4"/>
  <c r="O2387" i="4"/>
  <c r="M2387" i="4"/>
  <c r="R2387" i="4" s="1"/>
  <c r="L2387" i="4"/>
  <c r="Q2387" i="4" s="1"/>
  <c r="N2379" i="4"/>
  <c r="L2379" i="4"/>
  <c r="Q2379" i="4" s="1"/>
  <c r="P2379" i="4"/>
  <c r="O2379" i="4"/>
  <c r="M2379" i="4"/>
  <c r="R2379" i="4" s="1"/>
  <c r="N2371" i="4"/>
  <c r="O2371" i="4"/>
  <c r="P2371" i="4"/>
  <c r="L2371" i="4"/>
  <c r="Q2371" i="4" s="1"/>
  <c r="M2371" i="4"/>
  <c r="R2371" i="4" s="1"/>
  <c r="N2363" i="4"/>
  <c r="P2363" i="4"/>
  <c r="L2363" i="4"/>
  <c r="Q2363" i="4" s="1"/>
  <c r="O2363" i="4"/>
  <c r="M2363" i="4"/>
  <c r="R2363" i="4" s="1"/>
  <c r="N2355" i="4"/>
  <c r="O2355" i="4"/>
  <c r="P2355" i="4"/>
  <c r="M2355" i="4"/>
  <c r="R2355" i="4" s="1"/>
  <c r="L2355" i="4"/>
  <c r="Q2355" i="4" s="1"/>
  <c r="N2347" i="4"/>
  <c r="O2347" i="4"/>
  <c r="P2347" i="4"/>
  <c r="L2347" i="4"/>
  <c r="Q2347" i="4" s="1"/>
  <c r="M2347" i="4"/>
  <c r="R2347" i="4" s="1"/>
  <c r="N2339" i="4"/>
  <c r="O2339" i="4"/>
  <c r="P2339" i="4"/>
  <c r="L2339" i="4"/>
  <c r="Q2339" i="4" s="1"/>
  <c r="M2339" i="4"/>
  <c r="R2339" i="4" s="1"/>
  <c r="N2331" i="4"/>
  <c r="P2331" i="4"/>
  <c r="O2331" i="4"/>
  <c r="M2331" i="4"/>
  <c r="R2331" i="4" s="1"/>
  <c r="L2331" i="4"/>
  <c r="Q2331" i="4" s="1"/>
  <c r="N2323" i="4"/>
  <c r="M2323" i="4"/>
  <c r="R2323" i="4" s="1"/>
  <c r="L2323" i="4"/>
  <c r="Q2323" i="4" s="1"/>
  <c r="P2323" i="4"/>
  <c r="O2323" i="4"/>
  <c r="N2315" i="4"/>
  <c r="L2315" i="4"/>
  <c r="Q2315" i="4" s="1"/>
  <c r="P2315" i="4"/>
  <c r="O2315" i="4"/>
  <c r="M2315" i="4"/>
  <c r="R2315" i="4" s="1"/>
  <c r="N2307" i="4"/>
  <c r="O2307" i="4"/>
  <c r="P2307" i="4"/>
  <c r="L2307" i="4"/>
  <c r="Q2307" i="4" s="1"/>
  <c r="M2307" i="4"/>
  <c r="R2307" i="4" s="1"/>
  <c r="N2299" i="4"/>
  <c r="M2299" i="4"/>
  <c r="R2299" i="4" s="1"/>
  <c r="O2299" i="4"/>
  <c r="P2299" i="4"/>
  <c r="L2299" i="4"/>
  <c r="Q2299" i="4" s="1"/>
  <c r="N2291" i="4"/>
  <c r="L2291" i="4"/>
  <c r="Q2291" i="4" s="1"/>
  <c r="O2291" i="4"/>
  <c r="M2291" i="4"/>
  <c r="R2291" i="4" s="1"/>
  <c r="P2291" i="4"/>
  <c r="N2283" i="4"/>
  <c r="P2283" i="4"/>
  <c r="L2283" i="4"/>
  <c r="Q2283" i="4" s="1"/>
  <c r="M2283" i="4"/>
  <c r="R2283" i="4" s="1"/>
  <c r="O2283" i="4"/>
  <c r="N2275" i="4"/>
  <c r="O2275" i="4"/>
  <c r="L2275" i="4"/>
  <c r="Q2275" i="4" s="1"/>
  <c r="M2275" i="4"/>
  <c r="R2275" i="4" s="1"/>
  <c r="P2275" i="4"/>
  <c r="N2267" i="4"/>
  <c r="P2267" i="4"/>
  <c r="O2267" i="4"/>
  <c r="M2267" i="4"/>
  <c r="R2267" i="4" s="1"/>
  <c r="L2267" i="4"/>
  <c r="Q2267" i="4" s="1"/>
  <c r="N2259" i="4"/>
  <c r="L2259" i="4"/>
  <c r="Q2259" i="4" s="1"/>
  <c r="P2259" i="4"/>
  <c r="O2259" i="4"/>
  <c r="M2259" i="4"/>
  <c r="R2259" i="4" s="1"/>
  <c r="N2251" i="4"/>
  <c r="P2251" i="4"/>
  <c r="L2251" i="4"/>
  <c r="Q2251" i="4" s="1"/>
  <c r="M2251" i="4"/>
  <c r="R2251" i="4" s="1"/>
  <c r="O2251" i="4"/>
  <c r="N2243" i="4"/>
  <c r="O2243" i="4"/>
  <c r="P2243" i="4"/>
  <c r="L2243" i="4"/>
  <c r="Q2243" i="4" s="1"/>
  <c r="M2243" i="4"/>
  <c r="R2243" i="4" s="1"/>
  <c r="N2235" i="4"/>
  <c r="L2235" i="4"/>
  <c r="Q2235" i="4" s="1"/>
  <c r="O2235" i="4"/>
  <c r="P2235" i="4"/>
  <c r="M2235" i="4"/>
  <c r="R2235" i="4" s="1"/>
  <c r="N2227" i="4"/>
  <c r="P2227" i="4"/>
  <c r="M2227" i="4"/>
  <c r="R2227" i="4" s="1"/>
  <c r="L2227" i="4"/>
  <c r="Q2227" i="4" s="1"/>
  <c r="O2227" i="4"/>
  <c r="N2219" i="4"/>
  <c r="L2219" i="4"/>
  <c r="Q2219" i="4" s="1"/>
  <c r="P2219" i="4"/>
  <c r="O2219" i="4"/>
  <c r="M2219" i="4"/>
  <c r="R2219" i="4" s="1"/>
  <c r="N2211" i="4"/>
  <c r="O2211" i="4"/>
  <c r="M2211" i="4"/>
  <c r="R2211" i="4" s="1"/>
  <c r="P2211" i="4"/>
  <c r="L2211" i="4"/>
  <c r="Q2211" i="4" s="1"/>
  <c r="N2203" i="4"/>
  <c r="O2203" i="4"/>
  <c r="M2203" i="4"/>
  <c r="R2203" i="4" s="1"/>
  <c r="P2203" i="4"/>
  <c r="L2203" i="4"/>
  <c r="Q2203" i="4" s="1"/>
  <c r="N2195" i="4"/>
  <c r="P2195" i="4"/>
  <c r="O2195" i="4"/>
  <c r="L2195" i="4"/>
  <c r="Q2195" i="4" s="1"/>
  <c r="M2195" i="4"/>
  <c r="R2195" i="4" s="1"/>
  <c r="N2187" i="4"/>
  <c r="L2187" i="4"/>
  <c r="Q2187" i="4" s="1"/>
  <c r="P2187" i="4"/>
  <c r="M2187" i="4"/>
  <c r="R2187" i="4" s="1"/>
  <c r="O2187" i="4"/>
  <c r="N2179" i="4"/>
  <c r="O2179" i="4"/>
  <c r="P2179" i="4"/>
  <c r="M2179" i="4"/>
  <c r="R2179" i="4" s="1"/>
  <c r="L2179" i="4"/>
  <c r="Q2179" i="4" s="1"/>
  <c r="N2171" i="4"/>
  <c r="P2171" i="4"/>
  <c r="O2171" i="4"/>
  <c r="M2171" i="4"/>
  <c r="R2171" i="4" s="1"/>
  <c r="L2171" i="4"/>
  <c r="Q2171" i="4" s="1"/>
  <c r="N2163" i="4"/>
  <c r="O2163" i="4"/>
  <c r="P2163" i="4"/>
  <c r="L2163" i="4"/>
  <c r="Q2163" i="4" s="1"/>
  <c r="M2163" i="4"/>
  <c r="R2163" i="4" s="1"/>
  <c r="N2155" i="4"/>
  <c r="L2155" i="4"/>
  <c r="Q2155" i="4" s="1"/>
  <c r="O2155" i="4"/>
  <c r="M2155" i="4"/>
  <c r="R2155" i="4" s="1"/>
  <c r="P2155" i="4"/>
  <c r="N2147" i="4"/>
  <c r="O2147" i="4"/>
  <c r="L2147" i="4"/>
  <c r="Q2147" i="4" s="1"/>
  <c r="M2147" i="4"/>
  <c r="R2147" i="4" s="1"/>
  <c r="P2147" i="4"/>
  <c r="N2139" i="4"/>
  <c r="P2139" i="4"/>
  <c r="O2139" i="4"/>
  <c r="L2139" i="4"/>
  <c r="Q2139" i="4" s="1"/>
  <c r="M2139" i="4"/>
  <c r="R2139" i="4" s="1"/>
  <c r="N2131" i="4"/>
  <c r="M2131" i="4"/>
  <c r="R2131" i="4" s="1"/>
  <c r="O2131" i="4"/>
  <c r="L2131" i="4"/>
  <c r="Q2131" i="4" s="1"/>
  <c r="P2131" i="4"/>
  <c r="N2123" i="4"/>
  <c r="M2123" i="4"/>
  <c r="R2123" i="4" s="1"/>
  <c r="L2123" i="4"/>
  <c r="Q2123" i="4" s="1"/>
  <c r="O2123" i="4"/>
  <c r="P2123" i="4"/>
  <c r="N2115" i="4"/>
  <c r="P2115" i="4"/>
  <c r="O2115" i="4"/>
  <c r="L2115" i="4"/>
  <c r="Q2115" i="4" s="1"/>
  <c r="M2115" i="4"/>
  <c r="R2115" i="4" s="1"/>
  <c r="L2107" i="4"/>
  <c r="Q2107" i="4" s="1"/>
  <c r="N2107" i="4"/>
  <c r="O2107" i="4"/>
  <c r="M2107" i="4"/>
  <c r="R2107" i="4" s="1"/>
  <c r="P2107" i="4"/>
  <c r="L2099" i="4"/>
  <c r="Q2099" i="4" s="1"/>
  <c r="P2099" i="4"/>
  <c r="O2099" i="4"/>
  <c r="N2099" i="4"/>
  <c r="M2099" i="4"/>
  <c r="R2099" i="4" s="1"/>
  <c r="M2091" i="4"/>
  <c r="R2091" i="4" s="1"/>
  <c r="L2091" i="4"/>
  <c r="Q2091" i="4" s="1"/>
  <c r="N2091" i="4"/>
  <c r="P2091" i="4"/>
  <c r="O2091" i="4"/>
  <c r="L2083" i="4"/>
  <c r="Q2083" i="4" s="1"/>
  <c r="O2083" i="4"/>
  <c r="M2083" i="4"/>
  <c r="R2083" i="4" s="1"/>
  <c r="N2083" i="4"/>
  <c r="P2083" i="4"/>
  <c r="L2075" i="4"/>
  <c r="Q2075" i="4" s="1"/>
  <c r="M2075" i="4"/>
  <c r="R2075" i="4" s="1"/>
  <c r="N2075" i="4"/>
  <c r="O2075" i="4"/>
  <c r="P2075" i="4"/>
  <c r="L2067" i="4"/>
  <c r="Q2067" i="4" s="1"/>
  <c r="N2067" i="4"/>
  <c r="M2067" i="4"/>
  <c r="R2067" i="4" s="1"/>
  <c r="O2067" i="4"/>
  <c r="P2067" i="4"/>
  <c r="L2059" i="4"/>
  <c r="Q2059" i="4" s="1"/>
  <c r="M2059" i="4"/>
  <c r="R2059" i="4" s="1"/>
  <c r="N2059" i="4"/>
  <c r="O2059" i="4"/>
  <c r="P2059" i="4"/>
  <c r="L2051" i="4"/>
  <c r="Q2051" i="4" s="1"/>
  <c r="N2051" i="4"/>
  <c r="M2051" i="4"/>
  <c r="R2051" i="4" s="1"/>
  <c r="O2051" i="4"/>
  <c r="P2051" i="4"/>
  <c r="L2043" i="4"/>
  <c r="Q2043" i="4" s="1"/>
  <c r="N2043" i="4"/>
  <c r="O2043" i="4"/>
  <c r="M2043" i="4"/>
  <c r="R2043" i="4" s="1"/>
  <c r="P2043" i="4"/>
  <c r="L2035" i="4"/>
  <c r="Q2035" i="4" s="1"/>
  <c r="O2035" i="4"/>
  <c r="N2035" i="4"/>
  <c r="M2035" i="4"/>
  <c r="R2035" i="4" s="1"/>
  <c r="P2035" i="4"/>
  <c r="L2027" i="4"/>
  <c r="Q2027" i="4" s="1"/>
  <c r="P2027" i="4"/>
  <c r="N2027" i="4"/>
  <c r="M2027" i="4"/>
  <c r="R2027" i="4" s="1"/>
  <c r="O2027" i="4"/>
  <c r="M2019" i="4"/>
  <c r="R2019" i="4" s="1"/>
  <c r="O2019" i="4"/>
  <c r="L2019" i="4"/>
  <c r="Q2019" i="4" s="1"/>
  <c r="N2019" i="4"/>
  <c r="P2019" i="4"/>
  <c r="O2011" i="4"/>
  <c r="P2011" i="4"/>
  <c r="L2011" i="4"/>
  <c r="Q2011" i="4" s="1"/>
  <c r="N2011" i="4"/>
  <c r="M2011" i="4"/>
  <c r="R2011" i="4" s="1"/>
  <c r="N2003" i="4"/>
  <c r="O2003" i="4"/>
  <c r="P2003" i="4"/>
  <c r="L2003" i="4"/>
  <c r="Q2003" i="4" s="1"/>
  <c r="M2003" i="4"/>
  <c r="R2003" i="4" s="1"/>
  <c r="M1995" i="4"/>
  <c r="R1995" i="4" s="1"/>
  <c r="O1995" i="4"/>
  <c r="L1995" i="4"/>
  <c r="Q1995" i="4" s="1"/>
  <c r="N1995" i="4"/>
  <c r="P1995" i="4"/>
  <c r="L1987" i="4"/>
  <c r="Q1987" i="4" s="1"/>
  <c r="P1987" i="4"/>
  <c r="N1987" i="4"/>
  <c r="O1987" i="4"/>
  <c r="M1987" i="4"/>
  <c r="R1987" i="4" s="1"/>
  <c r="M1979" i="4"/>
  <c r="R1979" i="4" s="1"/>
  <c r="O1979" i="4"/>
  <c r="L1979" i="4"/>
  <c r="Q1979" i="4" s="1"/>
  <c r="N1979" i="4"/>
  <c r="P1979" i="4"/>
  <c r="L1971" i="4"/>
  <c r="Q1971" i="4" s="1"/>
  <c r="O1971" i="4"/>
  <c r="M1971" i="4"/>
  <c r="R1971" i="4" s="1"/>
  <c r="N1971" i="4"/>
  <c r="P1971" i="4"/>
  <c r="M1963" i="4"/>
  <c r="R1963" i="4" s="1"/>
  <c r="O1963" i="4"/>
  <c r="N1963" i="4"/>
  <c r="L1963" i="4"/>
  <c r="Q1963" i="4" s="1"/>
  <c r="P1963" i="4"/>
  <c r="L1955" i="4"/>
  <c r="Q1955" i="4" s="1"/>
  <c r="O1955" i="4"/>
  <c r="P1955" i="4"/>
  <c r="M1955" i="4"/>
  <c r="R1955" i="4" s="1"/>
  <c r="N1955" i="4"/>
  <c r="O1947" i="4"/>
  <c r="M1947" i="4"/>
  <c r="R1947" i="4" s="1"/>
  <c r="L1947" i="4"/>
  <c r="Q1947" i="4" s="1"/>
  <c r="N1947" i="4"/>
  <c r="P1947" i="4"/>
  <c r="L1939" i="4"/>
  <c r="Q1939" i="4" s="1"/>
  <c r="P1939" i="4"/>
  <c r="N1939" i="4"/>
  <c r="M1939" i="4"/>
  <c r="R1939" i="4" s="1"/>
  <c r="O1939" i="4"/>
  <c r="M1931" i="4"/>
  <c r="R1931" i="4" s="1"/>
  <c r="O1931" i="4"/>
  <c r="N1931" i="4"/>
  <c r="P1931" i="4"/>
  <c r="L1931" i="4"/>
  <c r="Q1931" i="4" s="1"/>
  <c r="L1923" i="4"/>
  <c r="Q1923" i="4" s="1"/>
  <c r="M1923" i="4"/>
  <c r="R1923" i="4" s="1"/>
  <c r="P1923" i="4"/>
  <c r="N1923" i="4"/>
  <c r="O1923" i="4"/>
  <c r="O1915" i="4"/>
  <c r="M1915" i="4"/>
  <c r="R1915" i="4" s="1"/>
  <c r="L1915" i="4"/>
  <c r="Q1915" i="4" s="1"/>
  <c r="P1915" i="4"/>
  <c r="N1915" i="4"/>
  <c r="L1907" i="4"/>
  <c r="Q1907" i="4" s="1"/>
  <c r="O1907" i="4"/>
  <c r="P1907" i="4"/>
  <c r="N1907" i="4"/>
  <c r="M1907" i="4"/>
  <c r="R1907" i="4" s="1"/>
  <c r="M1899" i="4"/>
  <c r="R1899" i="4" s="1"/>
  <c r="O1899" i="4"/>
  <c r="L1899" i="4"/>
  <c r="Q1899" i="4" s="1"/>
  <c r="N1899" i="4"/>
  <c r="P1899" i="4"/>
  <c r="L1891" i="4"/>
  <c r="Q1891" i="4" s="1"/>
  <c r="P1891" i="4"/>
  <c r="O1891" i="4"/>
  <c r="M1891" i="4"/>
  <c r="R1891" i="4" s="1"/>
  <c r="N1891" i="4"/>
  <c r="M1883" i="4"/>
  <c r="R1883" i="4" s="1"/>
  <c r="O1883" i="4"/>
  <c r="P1883" i="4"/>
  <c r="L1883" i="4"/>
  <c r="Q1883" i="4" s="1"/>
  <c r="N1883" i="4"/>
  <c r="L1875" i="4"/>
  <c r="Q1875" i="4" s="1"/>
  <c r="P1875" i="4"/>
  <c r="O1875" i="4"/>
  <c r="M1875" i="4"/>
  <c r="R1875" i="4" s="1"/>
  <c r="N1875" i="4"/>
  <c r="M1867" i="4"/>
  <c r="R1867" i="4" s="1"/>
  <c r="O1867" i="4"/>
  <c r="L1867" i="4"/>
  <c r="Q1867" i="4" s="1"/>
  <c r="N1867" i="4"/>
  <c r="P1867" i="4"/>
  <c r="L1859" i="4"/>
  <c r="Q1859" i="4" s="1"/>
  <c r="O1859" i="4"/>
  <c r="P1859" i="4"/>
  <c r="N1859" i="4"/>
  <c r="M1859" i="4"/>
  <c r="R1859" i="4" s="1"/>
  <c r="O1851" i="4"/>
  <c r="M1851" i="4"/>
  <c r="R1851" i="4" s="1"/>
  <c r="L1851" i="4"/>
  <c r="Q1851" i="4" s="1"/>
  <c r="N1851" i="4"/>
  <c r="P1851" i="4"/>
  <c r="O1843" i="4"/>
  <c r="P1843" i="4"/>
  <c r="L1843" i="4"/>
  <c r="Q1843" i="4" s="1"/>
  <c r="M1843" i="4"/>
  <c r="R1843" i="4" s="1"/>
  <c r="N1843" i="4"/>
  <c r="O1835" i="4"/>
  <c r="P1835" i="4"/>
  <c r="L1835" i="4"/>
  <c r="Q1835" i="4" s="1"/>
  <c r="N1835" i="4"/>
  <c r="M1835" i="4"/>
  <c r="R1835" i="4" s="1"/>
  <c r="M1827" i="4"/>
  <c r="R1827" i="4" s="1"/>
  <c r="L1827" i="4"/>
  <c r="Q1827" i="4" s="1"/>
  <c r="O1827" i="4"/>
  <c r="P1827" i="4"/>
  <c r="N1827" i="4"/>
  <c r="M1819" i="4"/>
  <c r="R1819" i="4" s="1"/>
  <c r="O1819" i="4"/>
  <c r="L1819" i="4"/>
  <c r="Q1819" i="4" s="1"/>
  <c r="N1819" i="4"/>
  <c r="P1819" i="4"/>
  <c r="M1811" i="4"/>
  <c r="R1811" i="4" s="1"/>
  <c r="L1811" i="4"/>
  <c r="Q1811" i="4" s="1"/>
  <c r="N1811" i="4"/>
  <c r="P1811" i="4"/>
  <c r="O1811" i="4"/>
  <c r="L1803" i="4"/>
  <c r="Q1803" i="4" s="1"/>
  <c r="O1803" i="4"/>
  <c r="M1803" i="4"/>
  <c r="R1803" i="4" s="1"/>
  <c r="N1803" i="4"/>
  <c r="P1803" i="4"/>
  <c r="L1795" i="4"/>
  <c r="Q1795" i="4" s="1"/>
  <c r="N1795" i="4"/>
  <c r="O1795" i="4"/>
  <c r="M1795" i="4"/>
  <c r="R1795" i="4" s="1"/>
  <c r="P1795" i="4"/>
  <c r="L1787" i="4"/>
  <c r="Q1787" i="4" s="1"/>
  <c r="M1787" i="4"/>
  <c r="R1787" i="4" s="1"/>
  <c r="O1787" i="4"/>
  <c r="N1787" i="4"/>
  <c r="P1787" i="4"/>
  <c r="P1779" i="4"/>
  <c r="L1779" i="4"/>
  <c r="Q1779" i="4" s="1"/>
  <c r="O1779" i="4"/>
  <c r="N1779" i="4"/>
  <c r="M1779" i="4"/>
  <c r="R1779" i="4" s="1"/>
  <c r="L1771" i="4"/>
  <c r="Q1771" i="4" s="1"/>
  <c r="M1771" i="4"/>
  <c r="R1771" i="4" s="1"/>
  <c r="O1771" i="4"/>
  <c r="P1771" i="4"/>
  <c r="N1771" i="4"/>
  <c r="L1763" i="4"/>
  <c r="Q1763" i="4" s="1"/>
  <c r="O1763" i="4"/>
  <c r="P1763" i="4"/>
  <c r="M1763" i="4"/>
  <c r="R1763" i="4" s="1"/>
  <c r="N1763" i="4"/>
  <c r="L1755" i="4"/>
  <c r="Q1755" i="4" s="1"/>
  <c r="M1755" i="4"/>
  <c r="R1755" i="4" s="1"/>
  <c r="O1755" i="4"/>
  <c r="P1755" i="4"/>
  <c r="N1755" i="4"/>
  <c r="L1747" i="4"/>
  <c r="Q1747" i="4" s="1"/>
  <c r="O1747" i="4"/>
  <c r="P1747" i="4"/>
  <c r="M1747" i="4"/>
  <c r="R1747" i="4" s="1"/>
  <c r="N1747" i="4"/>
  <c r="L1739" i="4"/>
  <c r="Q1739" i="4" s="1"/>
  <c r="M1739" i="4"/>
  <c r="R1739" i="4" s="1"/>
  <c r="O1739" i="4"/>
  <c r="P1739" i="4"/>
  <c r="N1739" i="4"/>
  <c r="P1731" i="4"/>
  <c r="L1731" i="4"/>
  <c r="Q1731" i="4" s="1"/>
  <c r="N1731" i="4"/>
  <c r="O1731" i="4"/>
  <c r="M1731" i="4"/>
  <c r="R1731" i="4" s="1"/>
  <c r="L1723" i="4"/>
  <c r="Q1723" i="4" s="1"/>
  <c r="O1723" i="4"/>
  <c r="N1723" i="4"/>
  <c r="P1723" i="4"/>
  <c r="M1723" i="4"/>
  <c r="R1723" i="4" s="1"/>
  <c r="O1715" i="4"/>
  <c r="P1715" i="4"/>
  <c r="M1715" i="4"/>
  <c r="R1715" i="4" s="1"/>
  <c r="L1715" i="4"/>
  <c r="Q1715" i="4" s="1"/>
  <c r="N1715" i="4"/>
  <c r="L1707" i="4"/>
  <c r="Q1707" i="4" s="1"/>
  <c r="O1707" i="4"/>
  <c r="P1707" i="4"/>
  <c r="M1707" i="4"/>
  <c r="R1707" i="4" s="1"/>
  <c r="N1707" i="4"/>
  <c r="M1699" i="4"/>
  <c r="R1699" i="4" s="1"/>
  <c r="N1699" i="4"/>
  <c r="L1699" i="4"/>
  <c r="Q1699" i="4" s="1"/>
  <c r="P1699" i="4"/>
  <c r="O1699" i="4"/>
  <c r="L1691" i="4"/>
  <c r="Q1691" i="4" s="1"/>
  <c r="O1691" i="4"/>
  <c r="M1691" i="4"/>
  <c r="R1691" i="4" s="1"/>
  <c r="P1691" i="4"/>
  <c r="N1691" i="4"/>
  <c r="M1683" i="4"/>
  <c r="R1683" i="4" s="1"/>
  <c r="P1683" i="4"/>
  <c r="L1683" i="4"/>
  <c r="Q1683" i="4" s="1"/>
  <c r="N1683" i="4"/>
  <c r="O1683" i="4"/>
  <c r="L1675" i="4"/>
  <c r="Q1675" i="4" s="1"/>
  <c r="O1675" i="4"/>
  <c r="N1675" i="4"/>
  <c r="M1675" i="4"/>
  <c r="R1675" i="4" s="1"/>
  <c r="P1675" i="4"/>
  <c r="M1667" i="4"/>
  <c r="R1667" i="4" s="1"/>
  <c r="P1667" i="4"/>
  <c r="N1667" i="4"/>
  <c r="O1667" i="4"/>
  <c r="L1667" i="4"/>
  <c r="Q1667" i="4" s="1"/>
  <c r="L1659" i="4"/>
  <c r="Q1659" i="4" s="1"/>
  <c r="M1659" i="4"/>
  <c r="R1659" i="4" s="1"/>
  <c r="P1659" i="4"/>
  <c r="O1659" i="4"/>
  <c r="N1659" i="4"/>
  <c r="N1651" i="4"/>
  <c r="O1651" i="4"/>
  <c r="L1651" i="4"/>
  <c r="Q1651" i="4" s="1"/>
  <c r="P1651" i="4"/>
  <c r="M1651" i="4"/>
  <c r="R1651" i="4" s="1"/>
  <c r="O1643" i="4"/>
  <c r="P1643" i="4"/>
  <c r="M1643" i="4"/>
  <c r="R1643" i="4" s="1"/>
  <c r="L1643" i="4"/>
  <c r="Q1643" i="4" s="1"/>
  <c r="N1643" i="4"/>
  <c r="L1635" i="4"/>
  <c r="Q1635" i="4" s="1"/>
  <c r="N1635" i="4"/>
  <c r="O1635" i="4"/>
  <c r="M1635" i="4"/>
  <c r="R1635" i="4" s="1"/>
  <c r="P1635" i="4"/>
  <c r="O1627" i="4"/>
  <c r="N1627" i="4"/>
  <c r="M1627" i="4"/>
  <c r="R1627" i="4" s="1"/>
  <c r="L1627" i="4"/>
  <c r="Q1627" i="4" s="1"/>
  <c r="P1627" i="4"/>
  <c r="O1619" i="4"/>
  <c r="P1619" i="4"/>
  <c r="M1619" i="4"/>
  <c r="R1619" i="4" s="1"/>
  <c r="N1619" i="4"/>
  <c r="L1619" i="4"/>
  <c r="Q1619" i="4" s="1"/>
  <c r="M1611" i="4"/>
  <c r="R1611" i="4" s="1"/>
  <c r="P1611" i="4"/>
  <c r="N1611" i="4"/>
  <c r="L1611" i="4"/>
  <c r="Q1611" i="4" s="1"/>
  <c r="O1611" i="4"/>
  <c r="O1603" i="4"/>
  <c r="M1603" i="4"/>
  <c r="R1603" i="4" s="1"/>
  <c r="N1603" i="4"/>
  <c r="P1603" i="4"/>
  <c r="L1603" i="4"/>
  <c r="Q1603" i="4" s="1"/>
  <c r="M1595" i="4"/>
  <c r="R1595" i="4" s="1"/>
  <c r="O1595" i="4"/>
  <c r="P1595" i="4"/>
  <c r="N1595" i="4"/>
  <c r="L1595" i="4"/>
  <c r="Q1595" i="4" s="1"/>
  <c r="M1587" i="4"/>
  <c r="R1587" i="4" s="1"/>
  <c r="O1587" i="4"/>
  <c r="P1587" i="4"/>
  <c r="L1587" i="4"/>
  <c r="Q1587" i="4" s="1"/>
  <c r="N1587" i="4"/>
  <c r="O1579" i="4"/>
  <c r="M1579" i="4"/>
  <c r="R1579" i="4" s="1"/>
  <c r="P1579" i="4"/>
  <c r="N1579" i="4"/>
  <c r="L1579" i="4"/>
  <c r="Q1579" i="4" s="1"/>
  <c r="O1571" i="4"/>
  <c r="L1571" i="4"/>
  <c r="Q1571" i="4" s="1"/>
  <c r="P1571" i="4"/>
  <c r="N1571" i="4"/>
  <c r="M1571" i="4"/>
  <c r="R1571" i="4" s="1"/>
  <c r="M1563" i="4"/>
  <c r="R1563" i="4" s="1"/>
  <c r="O1563" i="4"/>
  <c r="P1563" i="4"/>
  <c r="L1563" i="4"/>
  <c r="Q1563" i="4" s="1"/>
  <c r="N1563" i="4"/>
  <c r="M1555" i="4"/>
  <c r="R1555" i="4" s="1"/>
  <c r="O1555" i="4"/>
  <c r="P1555" i="4"/>
  <c r="L1555" i="4"/>
  <c r="Q1555" i="4" s="1"/>
  <c r="N1555" i="4"/>
  <c r="M1547" i="4"/>
  <c r="R1547" i="4" s="1"/>
  <c r="O1547" i="4"/>
  <c r="P1547" i="4"/>
  <c r="N1547" i="4"/>
  <c r="L1547" i="4"/>
  <c r="Q1547" i="4" s="1"/>
  <c r="M1539" i="4"/>
  <c r="R1539" i="4" s="1"/>
  <c r="P1539" i="4"/>
  <c r="L1539" i="4"/>
  <c r="Q1539" i="4" s="1"/>
  <c r="N1539" i="4"/>
  <c r="O1539" i="4"/>
  <c r="O1531" i="4"/>
  <c r="M1531" i="4"/>
  <c r="R1531" i="4" s="1"/>
  <c r="P1531" i="4"/>
  <c r="N1531" i="4"/>
  <c r="L1531" i="4"/>
  <c r="Q1531" i="4" s="1"/>
  <c r="M1523" i="4"/>
  <c r="R1523" i="4" s="1"/>
  <c r="P1523" i="4"/>
  <c r="O1523" i="4"/>
  <c r="L1523" i="4"/>
  <c r="Q1523" i="4" s="1"/>
  <c r="N1523" i="4"/>
  <c r="M1515" i="4"/>
  <c r="R1515" i="4" s="1"/>
  <c r="O1515" i="4"/>
  <c r="P1515" i="4"/>
  <c r="N1515" i="4"/>
  <c r="L1515" i="4"/>
  <c r="Q1515" i="4" s="1"/>
  <c r="M1507" i="4"/>
  <c r="R1507" i="4" s="1"/>
  <c r="O1507" i="4"/>
  <c r="P1507" i="4"/>
  <c r="L1507" i="4"/>
  <c r="Q1507" i="4" s="1"/>
  <c r="N1507" i="4"/>
  <c r="M1499" i="4"/>
  <c r="R1499" i="4" s="1"/>
  <c r="O1499" i="4"/>
  <c r="P1499" i="4"/>
  <c r="N1499" i="4"/>
  <c r="L1499" i="4"/>
  <c r="Q1499" i="4" s="1"/>
  <c r="M1491" i="4"/>
  <c r="R1491" i="4" s="1"/>
  <c r="O1491" i="4"/>
  <c r="P1491" i="4"/>
  <c r="L1491" i="4"/>
  <c r="Q1491" i="4" s="1"/>
  <c r="N1491" i="4"/>
  <c r="M1483" i="4"/>
  <c r="R1483" i="4" s="1"/>
  <c r="P1483" i="4"/>
  <c r="N1483" i="4"/>
  <c r="L1483" i="4"/>
  <c r="Q1483" i="4" s="1"/>
  <c r="O1483" i="4"/>
  <c r="M1475" i="4"/>
  <c r="R1475" i="4" s="1"/>
  <c r="O1475" i="4"/>
  <c r="P1475" i="4"/>
  <c r="L1475" i="4"/>
  <c r="Q1475" i="4" s="1"/>
  <c r="N1475" i="4"/>
  <c r="M1467" i="4"/>
  <c r="R1467" i="4" s="1"/>
  <c r="O1467" i="4"/>
  <c r="N1467" i="4"/>
  <c r="L1467" i="4"/>
  <c r="Q1467" i="4" s="1"/>
  <c r="P1467" i="4"/>
  <c r="M1459" i="4"/>
  <c r="R1459" i="4" s="1"/>
  <c r="O1459" i="4"/>
  <c r="L1459" i="4"/>
  <c r="Q1459" i="4" s="1"/>
  <c r="N1459" i="4"/>
  <c r="P1459" i="4"/>
  <c r="P1451" i="4"/>
  <c r="M1451" i="4"/>
  <c r="R1451" i="4" s="1"/>
  <c r="O1451" i="4"/>
  <c r="L1451" i="4"/>
  <c r="Q1451" i="4" s="1"/>
  <c r="N1451" i="4"/>
  <c r="P1443" i="4"/>
  <c r="M1443" i="4"/>
  <c r="R1443" i="4" s="1"/>
  <c r="N1443" i="4"/>
  <c r="O1443" i="4"/>
  <c r="L1443" i="4"/>
  <c r="Q1443" i="4" s="1"/>
  <c r="P1435" i="4"/>
  <c r="O1435" i="4"/>
  <c r="M1435" i="4"/>
  <c r="R1435" i="4" s="1"/>
  <c r="L1435" i="4"/>
  <c r="Q1435" i="4" s="1"/>
  <c r="N1435" i="4"/>
  <c r="P1427" i="4"/>
  <c r="L1427" i="4"/>
  <c r="Q1427" i="4" s="1"/>
  <c r="O1427" i="4"/>
  <c r="N1427" i="4"/>
  <c r="M1427" i="4"/>
  <c r="R1427" i="4" s="1"/>
  <c r="P1419" i="4"/>
  <c r="M1419" i="4"/>
  <c r="R1419" i="4" s="1"/>
  <c r="O1419" i="4"/>
  <c r="N1419" i="4"/>
  <c r="L1419" i="4"/>
  <c r="Q1419" i="4" s="1"/>
  <c r="P1411" i="4"/>
  <c r="N1411" i="4"/>
  <c r="O1411" i="4"/>
  <c r="M1411" i="4"/>
  <c r="R1411" i="4" s="1"/>
  <c r="L1411" i="4"/>
  <c r="Q1411" i="4" s="1"/>
  <c r="P1403" i="4"/>
  <c r="M1403" i="4"/>
  <c r="R1403" i="4" s="1"/>
  <c r="O1403" i="4"/>
  <c r="N1403" i="4"/>
  <c r="L1403" i="4"/>
  <c r="Q1403" i="4" s="1"/>
  <c r="P1395" i="4"/>
  <c r="N1395" i="4"/>
  <c r="L1395" i="4"/>
  <c r="Q1395" i="4" s="1"/>
  <c r="O1395" i="4"/>
  <c r="M1395" i="4"/>
  <c r="R1395" i="4" s="1"/>
  <c r="P1387" i="4"/>
  <c r="M1387" i="4"/>
  <c r="R1387" i="4" s="1"/>
  <c r="O1387" i="4"/>
  <c r="L1387" i="4"/>
  <c r="Q1387" i="4" s="1"/>
  <c r="N1387" i="4"/>
  <c r="P1379" i="4"/>
  <c r="O1379" i="4"/>
  <c r="N1379" i="4"/>
  <c r="L1379" i="4"/>
  <c r="Q1379" i="4" s="1"/>
  <c r="M1379" i="4"/>
  <c r="R1379" i="4" s="1"/>
  <c r="P1371" i="4"/>
  <c r="M1371" i="4"/>
  <c r="R1371" i="4" s="1"/>
  <c r="O1371" i="4"/>
  <c r="L1371" i="4"/>
  <c r="Q1371" i="4" s="1"/>
  <c r="N1371" i="4"/>
  <c r="P1363" i="4"/>
  <c r="O1363" i="4"/>
  <c r="N1363" i="4"/>
  <c r="M1363" i="4"/>
  <c r="R1363" i="4" s="1"/>
  <c r="L1363" i="4"/>
  <c r="Q1363" i="4" s="1"/>
  <c r="P1355" i="4"/>
  <c r="O1355" i="4"/>
  <c r="M1355" i="4"/>
  <c r="R1355" i="4" s="1"/>
  <c r="N1355" i="4"/>
  <c r="L1355" i="4"/>
  <c r="Q1355" i="4" s="1"/>
  <c r="P1347" i="4"/>
  <c r="L1347" i="4"/>
  <c r="Q1347" i="4" s="1"/>
  <c r="N1347" i="4"/>
  <c r="O1347" i="4"/>
  <c r="M1347" i="4"/>
  <c r="R1347" i="4" s="1"/>
  <c r="P1339" i="4"/>
  <c r="O1339" i="4"/>
  <c r="M1339" i="4"/>
  <c r="R1339" i="4" s="1"/>
  <c r="N1339" i="4"/>
  <c r="L1339" i="4"/>
  <c r="Q1339" i="4" s="1"/>
  <c r="P1331" i="4"/>
  <c r="L1331" i="4"/>
  <c r="Q1331" i="4" s="1"/>
  <c r="N1331" i="4"/>
  <c r="M1331" i="4"/>
  <c r="R1331" i="4" s="1"/>
  <c r="O1331" i="4"/>
  <c r="P1323" i="4"/>
  <c r="O1323" i="4"/>
  <c r="M1323" i="4"/>
  <c r="R1323" i="4" s="1"/>
  <c r="L1323" i="4"/>
  <c r="Q1323" i="4" s="1"/>
  <c r="N1323" i="4"/>
  <c r="P1315" i="4"/>
  <c r="N1315" i="4"/>
  <c r="O1315" i="4"/>
  <c r="L1315" i="4"/>
  <c r="Q1315" i="4" s="1"/>
  <c r="M1315" i="4"/>
  <c r="R1315" i="4" s="1"/>
  <c r="M1307" i="4"/>
  <c r="R1307" i="4" s="1"/>
  <c r="P1307" i="4"/>
  <c r="O1307" i="4"/>
  <c r="L1307" i="4"/>
  <c r="Q1307" i="4" s="1"/>
  <c r="N1307" i="4"/>
  <c r="P1299" i="4"/>
  <c r="O1299" i="4"/>
  <c r="N1299" i="4"/>
  <c r="L1299" i="4"/>
  <c r="Q1299" i="4" s="1"/>
  <c r="M1299" i="4"/>
  <c r="R1299" i="4" s="1"/>
  <c r="P1291" i="4"/>
  <c r="O1291" i="4"/>
  <c r="M1291" i="4"/>
  <c r="R1291" i="4" s="1"/>
  <c r="N1291" i="4"/>
  <c r="L1291" i="4"/>
  <c r="Q1291" i="4" s="1"/>
  <c r="P1283" i="4"/>
  <c r="L1283" i="4"/>
  <c r="Q1283" i="4" s="1"/>
  <c r="N1283" i="4"/>
  <c r="O1283" i="4"/>
  <c r="M1283" i="4"/>
  <c r="R1283" i="4" s="1"/>
  <c r="M1275" i="4"/>
  <c r="R1275" i="4" s="1"/>
  <c r="P1275" i="4"/>
  <c r="O1275" i="4"/>
  <c r="N1275" i="4"/>
  <c r="L1275" i="4"/>
  <c r="Q1275" i="4" s="1"/>
  <c r="P1267" i="4"/>
  <c r="N1267" i="4"/>
  <c r="M1267" i="4"/>
  <c r="R1267" i="4" s="1"/>
  <c r="L1267" i="4"/>
  <c r="Q1267" i="4" s="1"/>
  <c r="O1267" i="4"/>
  <c r="P1259" i="4"/>
  <c r="O1259" i="4"/>
  <c r="L1259" i="4"/>
  <c r="Q1259" i="4" s="1"/>
  <c r="N1259" i="4"/>
  <c r="M1259" i="4"/>
  <c r="R1259" i="4" s="1"/>
  <c r="M1251" i="4"/>
  <c r="R1251" i="4" s="1"/>
  <c r="O1251" i="4"/>
  <c r="N1251" i="4"/>
  <c r="P1251" i="4"/>
  <c r="L1251" i="4"/>
  <c r="Q1251" i="4" s="1"/>
  <c r="L1243" i="4"/>
  <c r="Q1243" i="4" s="1"/>
  <c r="N1243" i="4"/>
  <c r="M1243" i="4"/>
  <c r="R1243" i="4" s="1"/>
  <c r="O1243" i="4"/>
  <c r="P1243" i="4"/>
  <c r="N1235" i="4"/>
  <c r="O1235" i="4"/>
  <c r="P1235" i="4"/>
  <c r="L1235" i="4"/>
  <c r="Q1235" i="4" s="1"/>
  <c r="M1235" i="4"/>
  <c r="R1235" i="4" s="1"/>
  <c r="N1227" i="4"/>
  <c r="L1227" i="4"/>
  <c r="Q1227" i="4" s="1"/>
  <c r="M1227" i="4"/>
  <c r="R1227" i="4" s="1"/>
  <c r="O1227" i="4"/>
  <c r="P1227" i="4"/>
  <c r="M1219" i="4"/>
  <c r="R1219" i="4" s="1"/>
  <c r="P1219" i="4"/>
  <c r="L1219" i="4"/>
  <c r="Q1219" i="4" s="1"/>
  <c r="N1219" i="4"/>
  <c r="O1219" i="4"/>
  <c r="P1211" i="4"/>
  <c r="N1211" i="4"/>
  <c r="L1211" i="4"/>
  <c r="Q1211" i="4" s="1"/>
  <c r="M1211" i="4"/>
  <c r="R1211" i="4" s="1"/>
  <c r="O1211" i="4"/>
  <c r="O1203" i="4"/>
  <c r="P1203" i="4"/>
  <c r="N1203" i="4"/>
  <c r="M1203" i="4"/>
  <c r="R1203" i="4" s="1"/>
  <c r="L1203" i="4"/>
  <c r="Q1203" i="4" s="1"/>
  <c r="N1195" i="4"/>
  <c r="L1195" i="4"/>
  <c r="Q1195" i="4" s="1"/>
  <c r="M1195" i="4"/>
  <c r="R1195" i="4" s="1"/>
  <c r="P1195" i="4"/>
  <c r="O1195" i="4"/>
  <c r="N1187" i="4"/>
  <c r="M1187" i="4"/>
  <c r="R1187" i="4" s="1"/>
  <c r="O1187" i="4"/>
  <c r="P1187" i="4"/>
  <c r="L1187" i="4"/>
  <c r="Q1187" i="4" s="1"/>
  <c r="N1179" i="4"/>
  <c r="M1179" i="4"/>
  <c r="R1179" i="4" s="1"/>
  <c r="L1179" i="4"/>
  <c r="Q1179" i="4" s="1"/>
  <c r="O1179" i="4"/>
  <c r="P1179" i="4"/>
  <c r="N1171" i="4"/>
  <c r="P1171" i="4"/>
  <c r="O1171" i="4"/>
  <c r="M1171" i="4"/>
  <c r="R1171" i="4" s="1"/>
  <c r="L1171" i="4"/>
  <c r="Q1171" i="4" s="1"/>
  <c r="N1163" i="4"/>
  <c r="M1163" i="4"/>
  <c r="R1163" i="4" s="1"/>
  <c r="O1163" i="4"/>
  <c r="L1163" i="4"/>
  <c r="Q1163" i="4" s="1"/>
  <c r="P1163" i="4"/>
  <c r="N1155" i="4"/>
  <c r="M1155" i="4"/>
  <c r="R1155" i="4" s="1"/>
  <c r="L1155" i="4"/>
  <c r="Q1155" i="4" s="1"/>
  <c r="P1155" i="4"/>
  <c r="O1155" i="4"/>
  <c r="N1147" i="4"/>
  <c r="P1147" i="4"/>
  <c r="M1147" i="4"/>
  <c r="R1147" i="4" s="1"/>
  <c r="O1147" i="4"/>
  <c r="L1147" i="4"/>
  <c r="Q1147" i="4" s="1"/>
  <c r="N1139" i="4"/>
  <c r="P1139" i="4"/>
  <c r="O1139" i="4"/>
  <c r="L1139" i="4"/>
  <c r="Q1139" i="4" s="1"/>
  <c r="M1139" i="4"/>
  <c r="R1139" i="4" s="1"/>
  <c r="N1131" i="4"/>
  <c r="P1131" i="4"/>
  <c r="M1131" i="4"/>
  <c r="R1131" i="4" s="1"/>
  <c r="L1131" i="4"/>
  <c r="Q1131" i="4" s="1"/>
  <c r="O1131" i="4"/>
  <c r="N1123" i="4"/>
  <c r="M1123" i="4"/>
  <c r="R1123" i="4" s="1"/>
  <c r="L1123" i="4"/>
  <c r="Q1123" i="4" s="1"/>
  <c r="P1123" i="4"/>
  <c r="O1123" i="4"/>
  <c r="N1115" i="4"/>
  <c r="P1115" i="4"/>
  <c r="M1115" i="4"/>
  <c r="R1115" i="4" s="1"/>
  <c r="L1115" i="4"/>
  <c r="Q1115" i="4" s="1"/>
  <c r="O1115" i="4"/>
  <c r="L1107" i="4"/>
  <c r="Q1107" i="4" s="1"/>
  <c r="P1107" i="4"/>
  <c r="N1107" i="4"/>
  <c r="M1107" i="4"/>
  <c r="R1107" i="4" s="1"/>
  <c r="O1107" i="4"/>
  <c r="P1099" i="4"/>
  <c r="O1099" i="4"/>
  <c r="L1099" i="4"/>
  <c r="Q1099" i="4" s="1"/>
  <c r="M1099" i="4"/>
  <c r="R1099" i="4" s="1"/>
  <c r="N1099" i="4"/>
  <c r="P1091" i="4"/>
  <c r="O1091" i="4"/>
  <c r="L1091" i="4"/>
  <c r="Q1091" i="4" s="1"/>
  <c r="N1091" i="4"/>
  <c r="M1091" i="4"/>
  <c r="R1091" i="4" s="1"/>
  <c r="N1083" i="4"/>
  <c r="L1083" i="4"/>
  <c r="Q1083" i="4" s="1"/>
  <c r="O1083" i="4"/>
  <c r="M1083" i="4"/>
  <c r="R1083" i="4" s="1"/>
  <c r="P1083" i="4"/>
  <c r="N1075" i="4"/>
  <c r="P1075" i="4"/>
  <c r="O1075" i="4"/>
  <c r="M1075" i="4"/>
  <c r="R1075" i="4" s="1"/>
  <c r="L1075" i="4"/>
  <c r="Q1075" i="4" s="1"/>
  <c r="N1067" i="4"/>
  <c r="M1067" i="4"/>
  <c r="R1067" i="4" s="1"/>
  <c r="L1067" i="4"/>
  <c r="Q1067" i="4" s="1"/>
  <c r="O1067" i="4"/>
  <c r="P1067" i="4"/>
  <c r="L1059" i="4"/>
  <c r="Q1059" i="4" s="1"/>
  <c r="P1059" i="4"/>
  <c r="M1059" i="4"/>
  <c r="R1059" i="4" s="1"/>
  <c r="N1059" i="4"/>
  <c r="O1059" i="4"/>
  <c r="M1051" i="4"/>
  <c r="R1051" i="4" s="1"/>
  <c r="P1051" i="4"/>
  <c r="O1051" i="4"/>
  <c r="L1051" i="4"/>
  <c r="Q1051" i="4" s="1"/>
  <c r="N1051" i="4"/>
  <c r="N1043" i="4"/>
  <c r="O1043" i="4"/>
  <c r="P1043" i="4"/>
  <c r="M1043" i="4"/>
  <c r="R1043" i="4" s="1"/>
  <c r="L1043" i="4"/>
  <c r="Q1043" i="4" s="1"/>
  <c r="M1035" i="4"/>
  <c r="R1035" i="4" s="1"/>
  <c r="P1035" i="4"/>
  <c r="L1035" i="4"/>
  <c r="Q1035" i="4" s="1"/>
  <c r="N1035" i="4"/>
  <c r="O1035" i="4"/>
  <c r="M1027" i="4"/>
  <c r="R1027" i="4" s="1"/>
  <c r="P1027" i="4"/>
  <c r="L1027" i="4"/>
  <c r="Q1027" i="4" s="1"/>
  <c r="N1027" i="4"/>
  <c r="O1027" i="4"/>
  <c r="M1019" i="4"/>
  <c r="R1019" i="4" s="1"/>
  <c r="P1019" i="4"/>
  <c r="O1019" i="4"/>
  <c r="L1019" i="4"/>
  <c r="Q1019" i="4" s="1"/>
  <c r="N1019" i="4"/>
  <c r="L1011" i="4"/>
  <c r="Q1011" i="4" s="1"/>
  <c r="M1011" i="4"/>
  <c r="R1011" i="4" s="1"/>
  <c r="N1011" i="4"/>
  <c r="O1011" i="4"/>
  <c r="P1011" i="4"/>
  <c r="M1003" i="4"/>
  <c r="R1003" i="4" s="1"/>
  <c r="O1003" i="4"/>
  <c r="P1003" i="4"/>
  <c r="L1003" i="4"/>
  <c r="Q1003" i="4" s="1"/>
  <c r="N1003" i="4"/>
  <c r="M995" i="4"/>
  <c r="R995" i="4" s="1"/>
  <c r="N995" i="4"/>
  <c r="P995" i="4"/>
  <c r="O995" i="4"/>
  <c r="L995" i="4"/>
  <c r="Q995" i="4" s="1"/>
  <c r="M987" i="4"/>
  <c r="R987" i="4" s="1"/>
  <c r="O987" i="4"/>
  <c r="P987" i="4"/>
  <c r="L987" i="4"/>
  <c r="Q987" i="4" s="1"/>
  <c r="N987" i="4"/>
  <c r="M979" i="4"/>
  <c r="R979" i="4" s="1"/>
  <c r="L979" i="4"/>
  <c r="Q979" i="4" s="1"/>
  <c r="O979" i="4"/>
  <c r="N979" i="4"/>
  <c r="P979" i="4"/>
  <c r="P971" i="4"/>
  <c r="M971" i="4"/>
  <c r="R971" i="4" s="1"/>
  <c r="O971" i="4"/>
  <c r="L971" i="4"/>
  <c r="Q971" i="4" s="1"/>
  <c r="N971" i="4"/>
  <c r="M963" i="4"/>
  <c r="R963" i="4" s="1"/>
  <c r="L963" i="4"/>
  <c r="Q963" i="4" s="1"/>
  <c r="N963" i="4"/>
  <c r="P963" i="4"/>
  <c r="O963" i="4"/>
  <c r="M955" i="4"/>
  <c r="R955" i="4" s="1"/>
  <c r="O955" i="4"/>
  <c r="L955" i="4"/>
  <c r="Q955" i="4" s="1"/>
  <c r="N955" i="4"/>
  <c r="P955" i="4"/>
  <c r="O947" i="4"/>
  <c r="L947" i="4"/>
  <c r="Q947" i="4" s="1"/>
  <c r="N947" i="4"/>
  <c r="M947" i="4"/>
  <c r="R947" i="4" s="1"/>
  <c r="P947" i="4"/>
  <c r="O939" i="4"/>
  <c r="P939" i="4"/>
  <c r="N939" i="4"/>
  <c r="M939" i="4"/>
  <c r="R939" i="4" s="1"/>
  <c r="L939" i="4"/>
  <c r="Q939" i="4" s="1"/>
  <c r="L931" i="4"/>
  <c r="Q931" i="4" s="1"/>
  <c r="N931" i="4"/>
  <c r="M931" i="4"/>
  <c r="R931" i="4" s="1"/>
  <c r="O931" i="4"/>
  <c r="P931" i="4"/>
  <c r="O923" i="4"/>
  <c r="M923" i="4"/>
  <c r="R923" i="4" s="1"/>
  <c r="L923" i="4"/>
  <c r="Q923" i="4" s="1"/>
  <c r="P923" i="4"/>
  <c r="N923" i="4"/>
  <c r="M915" i="4"/>
  <c r="R915" i="4" s="1"/>
  <c r="N915" i="4"/>
  <c r="P915" i="4"/>
  <c r="L915" i="4"/>
  <c r="Q915" i="4" s="1"/>
  <c r="O915" i="4"/>
  <c r="M907" i="4"/>
  <c r="R907" i="4" s="1"/>
  <c r="P907" i="4"/>
  <c r="L907" i="4"/>
  <c r="Q907" i="4" s="1"/>
  <c r="N907" i="4"/>
  <c r="O907" i="4"/>
  <c r="I899" i="4"/>
  <c r="K899" i="4"/>
  <c r="I891" i="4"/>
  <c r="K891" i="4"/>
  <c r="I883" i="4"/>
  <c r="K883" i="4"/>
  <c r="I875" i="4"/>
  <c r="K875" i="4"/>
  <c r="I867" i="4"/>
  <c r="K867" i="4"/>
  <c r="I859" i="4"/>
  <c r="K859" i="4"/>
  <c r="I851" i="4"/>
  <c r="K851" i="4"/>
  <c r="I843" i="4"/>
  <c r="K843" i="4"/>
  <c r="I835" i="4"/>
  <c r="K835" i="4"/>
  <c r="I827" i="4"/>
  <c r="K827" i="4"/>
  <c r="I819" i="4"/>
  <c r="K819" i="4"/>
  <c r="I811" i="4"/>
  <c r="K811" i="4"/>
  <c r="I803" i="4"/>
  <c r="K803" i="4"/>
  <c r="I795" i="4"/>
  <c r="K795" i="4"/>
  <c r="I787" i="4"/>
  <c r="K787" i="4"/>
  <c r="I779" i="4"/>
  <c r="K779" i="4"/>
  <c r="I771" i="4"/>
  <c r="K771" i="4"/>
  <c r="I763" i="4"/>
  <c r="K763" i="4"/>
  <c r="I755" i="4"/>
  <c r="K755" i="4"/>
  <c r="I747" i="4"/>
  <c r="K747" i="4"/>
  <c r="I739" i="4"/>
  <c r="K739" i="4"/>
  <c r="I731" i="4"/>
  <c r="K731" i="4"/>
  <c r="I723" i="4"/>
  <c r="K723" i="4"/>
  <c r="I715" i="4"/>
  <c r="K715" i="4"/>
  <c r="I707" i="4"/>
  <c r="K707" i="4"/>
  <c r="I699" i="4"/>
  <c r="K699" i="4"/>
  <c r="I691" i="4"/>
  <c r="K691" i="4"/>
  <c r="I683" i="4"/>
  <c r="K683" i="4"/>
  <c r="I675" i="4"/>
  <c r="K675" i="4"/>
  <c r="I667" i="4"/>
  <c r="K667" i="4"/>
  <c r="I659" i="4"/>
  <c r="K659" i="4"/>
  <c r="I651" i="4"/>
  <c r="K651" i="4"/>
  <c r="I643" i="4"/>
  <c r="K643" i="4"/>
  <c r="I635" i="4"/>
  <c r="K635" i="4"/>
  <c r="I627" i="4"/>
  <c r="K627" i="4"/>
  <c r="I619" i="4"/>
  <c r="K619" i="4"/>
  <c r="I611" i="4"/>
  <c r="K611" i="4"/>
  <c r="I603" i="4"/>
  <c r="K603" i="4"/>
  <c r="I595" i="4"/>
  <c r="K595" i="4"/>
  <c r="I587" i="4"/>
  <c r="K587" i="4"/>
  <c r="I579" i="4"/>
  <c r="K579" i="4"/>
  <c r="I571" i="4"/>
  <c r="K571" i="4"/>
  <c r="I563" i="4"/>
  <c r="K563" i="4"/>
  <c r="I555" i="4"/>
  <c r="K555" i="4"/>
  <c r="I547" i="4"/>
  <c r="K547" i="4"/>
  <c r="I539" i="4"/>
  <c r="K539" i="4"/>
  <c r="I531" i="4"/>
  <c r="K531" i="4"/>
  <c r="I523" i="4"/>
  <c r="K523" i="4"/>
  <c r="I515" i="4"/>
  <c r="K515" i="4"/>
  <c r="I507" i="4"/>
  <c r="K507" i="4"/>
  <c r="I499" i="4"/>
  <c r="K499" i="4"/>
  <c r="I491" i="4"/>
  <c r="K491" i="4"/>
  <c r="I483" i="4"/>
  <c r="K483" i="4"/>
  <c r="I475" i="4"/>
  <c r="K475" i="4"/>
  <c r="I467" i="4"/>
  <c r="K467" i="4"/>
  <c r="I459" i="4"/>
  <c r="K459" i="4"/>
  <c r="I451" i="4"/>
  <c r="K451" i="4"/>
  <c r="I443" i="4"/>
  <c r="K443" i="4"/>
  <c r="I435" i="4"/>
  <c r="K435" i="4"/>
  <c r="I427" i="4"/>
  <c r="K427" i="4"/>
  <c r="I419" i="4"/>
  <c r="K419" i="4"/>
  <c r="I411" i="4"/>
  <c r="K411" i="4"/>
  <c r="I403" i="4"/>
  <c r="K403" i="4"/>
  <c r="I395" i="4"/>
  <c r="K395" i="4"/>
  <c r="I387" i="4"/>
  <c r="K387" i="4"/>
  <c r="I379" i="4"/>
  <c r="K379" i="4"/>
  <c r="I371" i="4"/>
  <c r="K371" i="4"/>
  <c r="I363" i="4"/>
  <c r="K363" i="4"/>
  <c r="I355" i="4"/>
  <c r="K355" i="4"/>
  <c r="I347" i="4"/>
  <c r="K347" i="4"/>
  <c r="I339" i="4"/>
  <c r="K339" i="4"/>
  <c r="I331" i="4"/>
  <c r="K331" i="4"/>
  <c r="I323" i="4"/>
  <c r="K323" i="4"/>
  <c r="I315" i="4"/>
  <c r="K315" i="4"/>
  <c r="I307" i="4"/>
  <c r="K307" i="4"/>
  <c r="I299" i="4"/>
  <c r="K299" i="4"/>
  <c r="I291" i="4"/>
  <c r="K291" i="4"/>
  <c r="I283" i="4"/>
  <c r="K283" i="4"/>
  <c r="I275" i="4"/>
  <c r="K275" i="4"/>
  <c r="I267" i="4"/>
  <c r="K267" i="4"/>
  <c r="I259" i="4"/>
  <c r="K259" i="4"/>
  <c r="I251" i="4"/>
  <c r="K251" i="4"/>
  <c r="I243" i="4"/>
  <c r="K243" i="4"/>
  <c r="I235" i="4"/>
  <c r="K235" i="4"/>
  <c r="I227" i="4"/>
  <c r="K227" i="4"/>
  <c r="I219" i="4"/>
  <c r="K219" i="4"/>
  <c r="I211" i="4"/>
  <c r="K211" i="4"/>
  <c r="I203" i="4"/>
  <c r="K203" i="4"/>
  <c r="I195" i="4"/>
  <c r="K195" i="4"/>
  <c r="I187" i="4"/>
  <c r="K187" i="4"/>
  <c r="I179" i="4"/>
  <c r="K179" i="4"/>
  <c r="I171" i="4"/>
  <c r="K171" i="4"/>
  <c r="I163" i="4"/>
  <c r="K163" i="4"/>
  <c r="I155" i="4"/>
  <c r="K155" i="4"/>
  <c r="I147" i="4"/>
  <c r="K147" i="4"/>
  <c r="I139" i="4"/>
  <c r="K139" i="4"/>
  <c r="P2990" i="4"/>
  <c r="O2990" i="4"/>
  <c r="N2990" i="4"/>
  <c r="M2990" i="4"/>
  <c r="R2990" i="4" s="1"/>
  <c r="L2990" i="4"/>
  <c r="Q2990" i="4" s="1"/>
  <c r="P2918" i="4"/>
  <c r="N2918" i="4"/>
  <c r="O2918" i="4"/>
  <c r="L2918" i="4"/>
  <c r="Q2918" i="4" s="1"/>
  <c r="M2918" i="4"/>
  <c r="R2918" i="4" s="1"/>
  <c r="O2862" i="4"/>
  <c r="P2862" i="4"/>
  <c r="N2862" i="4"/>
  <c r="M2862" i="4"/>
  <c r="R2862" i="4" s="1"/>
  <c r="L2862" i="4"/>
  <c r="Q2862" i="4" s="1"/>
  <c r="P2806" i="4"/>
  <c r="O2806" i="4"/>
  <c r="N2806" i="4"/>
  <c r="M2806" i="4"/>
  <c r="R2806" i="4" s="1"/>
  <c r="L2806" i="4"/>
  <c r="Q2806" i="4" s="1"/>
  <c r="O2750" i="4"/>
  <c r="N2750" i="4"/>
  <c r="L2750" i="4"/>
  <c r="Q2750" i="4" s="1"/>
  <c r="P2750" i="4"/>
  <c r="M2750" i="4"/>
  <c r="R2750" i="4" s="1"/>
  <c r="L2694" i="4"/>
  <c r="Q2694" i="4" s="1"/>
  <c r="O2694" i="4"/>
  <c r="M2694" i="4"/>
  <c r="R2694" i="4" s="1"/>
  <c r="N2694" i="4"/>
  <c r="P2694" i="4"/>
  <c r="L2638" i="4"/>
  <c r="Q2638" i="4" s="1"/>
  <c r="P2638" i="4"/>
  <c r="M2638" i="4"/>
  <c r="R2638" i="4" s="1"/>
  <c r="O2638" i="4"/>
  <c r="N2638" i="4"/>
  <c r="L2542" i="4"/>
  <c r="Q2542" i="4" s="1"/>
  <c r="P2542" i="4"/>
  <c r="M2542" i="4"/>
  <c r="R2542" i="4" s="1"/>
  <c r="O2542" i="4"/>
  <c r="N2542" i="4"/>
  <c r="L2486" i="4"/>
  <c r="Q2486" i="4" s="1"/>
  <c r="N2486" i="4"/>
  <c r="O2486" i="4"/>
  <c r="P2486" i="4"/>
  <c r="M2486" i="4"/>
  <c r="R2486" i="4" s="1"/>
  <c r="P2430" i="4"/>
  <c r="L2430" i="4"/>
  <c r="Q2430" i="4" s="1"/>
  <c r="M2430" i="4"/>
  <c r="R2430" i="4" s="1"/>
  <c r="N2430" i="4"/>
  <c r="O2430" i="4"/>
  <c r="L2374" i="4"/>
  <c r="Q2374" i="4" s="1"/>
  <c r="O2374" i="4"/>
  <c r="N2374" i="4"/>
  <c r="P2374" i="4"/>
  <c r="M2374" i="4"/>
  <c r="R2374" i="4" s="1"/>
  <c r="L2318" i="4"/>
  <c r="Q2318" i="4" s="1"/>
  <c r="P2318" i="4"/>
  <c r="M2318" i="4"/>
  <c r="R2318" i="4" s="1"/>
  <c r="N2318" i="4"/>
  <c r="O2318" i="4"/>
  <c r="L2262" i="4"/>
  <c r="Q2262" i="4" s="1"/>
  <c r="P2262" i="4"/>
  <c r="N2262" i="4"/>
  <c r="M2262" i="4"/>
  <c r="R2262" i="4" s="1"/>
  <c r="O2262" i="4"/>
  <c r="L2206" i="4"/>
  <c r="Q2206" i="4" s="1"/>
  <c r="O2206" i="4"/>
  <c r="M2206" i="4"/>
  <c r="R2206" i="4" s="1"/>
  <c r="N2206" i="4"/>
  <c r="P2206" i="4"/>
  <c r="N2118" i="4"/>
  <c r="M2118" i="4"/>
  <c r="R2118" i="4" s="1"/>
  <c r="O2118" i="4"/>
  <c r="P2118" i="4"/>
  <c r="L2118" i="4"/>
  <c r="Q2118" i="4" s="1"/>
  <c r="L2062" i="4"/>
  <c r="Q2062" i="4" s="1"/>
  <c r="O2062" i="4"/>
  <c r="M2062" i="4"/>
  <c r="R2062" i="4" s="1"/>
  <c r="N2062" i="4"/>
  <c r="P2062" i="4"/>
  <c r="O2006" i="4"/>
  <c r="M2006" i="4"/>
  <c r="R2006" i="4" s="1"/>
  <c r="N2006" i="4"/>
  <c r="L2006" i="4"/>
  <c r="Q2006" i="4" s="1"/>
  <c r="P2006" i="4"/>
  <c r="P1950" i="4"/>
  <c r="N1950" i="4"/>
  <c r="O1950" i="4"/>
  <c r="L1950" i="4"/>
  <c r="Q1950" i="4" s="1"/>
  <c r="M1950" i="4"/>
  <c r="R1950" i="4" s="1"/>
  <c r="O1926" i="4"/>
  <c r="M1926" i="4"/>
  <c r="R1926" i="4" s="1"/>
  <c r="P1926" i="4"/>
  <c r="L1926" i="4"/>
  <c r="Q1926" i="4" s="1"/>
  <c r="N1926" i="4"/>
  <c r="O1862" i="4"/>
  <c r="M1862" i="4"/>
  <c r="R1862" i="4" s="1"/>
  <c r="P1862" i="4"/>
  <c r="L1862" i="4"/>
  <c r="Q1862" i="4" s="1"/>
  <c r="N1862" i="4"/>
  <c r="L2996" i="4"/>
  <c r="Q2996" i="4" s="1"/>
  <c r="P2996" i="4"/>
  <c r="N2996" i="4"/>
  <c r="M2996" i="4"/>
  <c r="R2996" i="4" s="1"/>
  <c r="O2996" i="4"/>
  <c r="L2964" i="4"/>
  <c r="Q2964" i="4" s="1"/>
  <c r="P2964" i="4"/>
  <c r="N2964" i="4"/>
  <c r="O2964" i="4"/>
  <c r="M2964" i="4"/>
  <c r="R2964" i="4" s="1"/>
  <c r="L2924" i="4"/>
  <c r="Q2924" i="4" s="1"/>
  <c r="M2924" i="4"/>
  <c r="R2924" i="4" s="1"/>
  <c r="P2924" i="4"/>
  <c r="O2924" i="4"/>
  <c r="N2924" i="4"/>
  <c r="L2892" i="4"/>
  <c r="Q2892" i="4" s="1"/>
  <c r="P2892" i="4"/>
  <c r="O2892" i="4"/>
  <c r="M2892" i="4"/>
  <c r="R2892" i="4" s="1"/>
  <c r="N2892" i="4"/>
  <c r="L2876" i="4"/>
  <c r="Q2876" i="4" s="1"/>
  <c r="P2876" i="4"/>
  <c r="O2876" i="4"/>
  <c r="M2876" i="4"/>
  <c r="R2876" i="4" s="1"/>
  <c r="N2876" i="4"/>
  <c r="L2860" i="4"/>
  <c r="Q2860" i="4" s="1"/>
  <c r="P2860" i="4"/>
  <c r="O2860" i="4"/>
  <c r="M2860" i="4"/>
  <c r="R2860" i="4" s="1"/>
  <c r="N2860" i="4"/>
  <c r="L2836" i="4"/>
  <c r="Q2836" i="4" s="1"/>
  <c r="P2836" i="4"/>
  <c r="N2836" i="4"/>
  <c r="M2836" i="4"/>
  <c r="R2836" i="4" s="1"/>
  <c r="O2836" i="4"/>
  <c r="L2812" i="4"/>
  <c r="Q2812" i="4" s="1"/>
  <c r="P2812" i="4"/>
  <c r="O2812" i="4"/>
  <c r="M2812" i="4"/>
  <c r="R2812" i="4" s="1"/>
  <c r="N2812" i="4"/>
  <c r="L2788" i="4"/>
  <c r="Q2788" i="4" s="1"/>
  <c r="M2788" i="4"/>
  <c r="R2788" i="4" s="1"/>
  <c r="N2788" i="4"/>
  <c r="O2788" i="4"/>
  <c r="P2788" i="4"/>
  <c r="L2764" i="4"/>
  <c r="Q2764" i="4" s="1"/>
  <c r="M2764" i="4"/>
  <c r="R2764" i="4" s="1"/>
  <c r="O2764" i="4"/>
  <c r="P2764" i="4"/>
  <c r="N2764" i="4"/>
  <c r="M2748" i="4"/>
  <c r="R2748" i="4" s="1"/>
  <c r="L2748" i="4"/>
  <c r="Q2748" i="4" s="1"/>
  <c r="O2748" i="4"/>
  <c r="P2748" i="4"/>
  <c r="N2748" i="4"/>
  <c r="P2716" i="4"/>
  <c r="N2716" i="4"/>
  <c r="O2716" i="4"/>
  <c r="M2716" i="4"/>
  <c r="R2716" i="4" s="1"/>
  <c r="L2716" i="4"/>
  <c r="Q2716" i="4" s="1"/>
  <c r="P2676" i="4"/>
  <c r="L2676" i="4"/>
  <c r="Q2676" i="4" s="1"/>
  <c r="N2676" i="4"/>
  <c r="M2676" i="4"/>
  <c r="R2676" i="4" s="1"/>
  <c r="O2676" i="4"/>
  <c r="P2636" i="4"/>
  <c r="N2636" i="4"/>
  <c r="O2636" i="4"/>
  <c r="L2636" i="4"/>
  <c r="Q2636" i="4" s="1"/>
  <c r="M2636" i="4"/>
  <c r="R2636" i="4" s="1"/>
  <c r="M2596" i="4"/>
  <c r="R2596" i="4" s="1"/>
  <c r="P2596" i="4"/>
  <c r="L2596" i="4"/>
  <c r="Q2596" i="4" s="1"/>
  <c r="N2596" i="4"/>
  <c r="O2596" i="4"/>
  <c r="P2556" i="4"/>
  <c r="O2556" i="4"/>
  <c r="N2556" i="4"/>
  <c r="M2556" i="4"/>
  <c r="R2556" i="4" s="1"/>
  <c r="L2556" i="4"/>
  <c r="Q2556" i="4" s="1"/>
  <c r="P2524" i="4"/>
  <c r="O2524" i="4"/>
  <c r="L2524" i="4"/>
  <c r="Q2524" i="4" s="1"/>
  <c r="N2524" i="4"/>
  <c r="M2524" i="4"/>
  <c r="R2524" i="4" s="1"/>
  <c r="P2484" i="4"/>
  <c r="M2484" i="4"/>
  <c r="R2484" i="4" s="1"/>
  <c r="N2484" i="4"/>
  <c r="L2484" i="4"/>
  <c r="Q2484" i="4" s="1"/>
  <c r="O2484" i="4"/>
  <c r="L2444" i="4"/>
  <c r="Q2444" i="4" s="1"/>
  <c r="P2444" i="4"/>
  <c r="N2444" i="4"/>
  <c r="O2444" i="4"/>
  <c r="M2444" i="4"/>
  <c r="R2444" i="4" s="1"/>
  <c r="P2404" i="4"/>
  <c r="L2404" i="4"/>
  <c r="Q2404" i="4" s="1"/>
  <c r="N2404" i="4"/>
  <c r="M2404" i="4"/>
  <c r="R2404" i="4" s="1"/>
  <c r="O2404" i="4"/>
  <c r="P2364" i="4"/>
  <c r="N2364" i="4"/>
  <c r="L2364" i="4"/>
  <c r="Q2364" i="4" s="1"/>
  <c r="O2364" i="4"/>
  <c r="M2364" i="4"/>
  <c r="R2364" i="4" s="1"/>
  <c r="N2332" i="4"/>
  <c r="P2332" i="4"/>
  <c r="L2332" i="4"/>
  <c r="Q2332" i="4" s="1"/>
  <c r="O2332" i="4"/>
  <c r="M2332" i="4"/>
  <c r="R2332" i="4" s="1"/>
  <c r="P2292" i="4"/>
  <c r="L2292" i="4"/>
  <c r="Q2292" i="4" s="1"/>
  <c r="M2292" i="4"/>
  <c r="R2292" i="4" s="1"/>
  <c r="O2292" i="4"/>
  <c r="N2292" i="4"/>
  <c r="P2252" i="4"/>
  <c r="O2252" i="4"/>
  <c r="L2252" i="4"/>
  <c r="Q2252" i="4" s="1"/>
  <c r="N2252" i="4"/>
  <c r="M2252" i="4"/>
  <c r="R2252" i="4" s="1"/>
  <c r="P2212" i="4"/>
  <c r="N2212" i="4"/>
  <c r="L2212" i="4"/>
  <c r="Q2212" i="4" s="1"/>
  <c r="O2212" i="4"/>
  <c r="M2212" i="4"/>
  <c r="R2212" i="4" s="1"/>
  <c r="P2172" i="4"/>
  <c r="L2172" i="4"/>
  <c r="Q2172" i="4" s="1"/>
  <c r="N2172" i="4"/>
  <c r="M2172" i="4"/>
  <c r="R2172" i="4" s="1"/>
  <c r="O2172" i="4"/>
  <c r="N2132" i="4"/>
  <c r="P2132" i="4"/>
  <c r="O2132" i="4"/>
  <c r="M2132" i="4"/>
  <c r="R2132" i="4" s="1"/>
  <c r="L2132" i="4"/>
  <c r="Q2132" i="4" s="1"/>
  <c r="N2092" i="4"/>
  <c r="L2092" i="4"/>
  <c r="Q2092" i="4" s="1"/>
  <c r="O2092" i="4"/>
  <c r="P2092" i="4"/>
  <c r="M2092" i="4"/>
  <c r="R2092" i="4" s="1"/>
  <c r="M2052" i="4"/>
  <c r="R2052" i="4" s="1"/>
  <c r="O2052" i="4"/>
  <c r="P2052" i="4"/>
  <c r="L2052" i="4"/>
  <c r="Q2052" i="4" s="1"/>
  <c r="N2052" i="4"/>
  <c r="L2020" i="4"/>
  <c r="Q2020" i="4" s="1"/>
  <c r="N2020" i="4"/>
  <c r="O2020" i="4"/>
  <c r="M2020" i="4"/>
  <c r="R2020" i="4" s="1"/>
  <c r="P2020" i="4"/>
  <c r="O1980" i="4"/>
  <c r="M1980" i="4"/>
  <c r="R1980" i="4" s="1"/>
  <c r="L1980" i="4"/>
  <c r="Q1980" i="4" s="1"/>
  <c r="N1980" i="4"/>
  <c r="P1980" i="4"/>
  <c r="O1940" i="4"/>
  <c r="M1940" i="4"/>
  <c r="R1940" i="4" s="1"/>
  <c r="P1940" i="4"/>
  <c r="L1940" i="4"/>
  <c r="Q1940" i="4" s="1"/>
  <c r="N1940" i="4"/>
  <c r="M1900" i="4"/>
  <c r="R1900" i="4" s="1"/>
  <c r="P1900" i="4"/>
  <c r="O1900" i="4"/>
  <c r="N1900" i="4"/>
  <c r="L1900" i="4"/>
  <c r="Q1900" i="4" s="1"/>
  <c r="O1860" i="4"/>
  <c r="L1860" i="4"/>
  <c r="Q1860" i="4" s="1"/>
  <c r="N1860" i="4"/>
  <c r="M1860" i="4"/>
  <c r="R1860" i="4" s="1"/>
  <c r="P1860" i="4"/>
  <c r="O1828" i="4"/>
  <c r="L1828" i="4"/>
  <c r="Q1828" i="4" s="1"/>
  <c r="M1828" i="4"/>
  <c r="R1828" i="4" s="1"/>
  <c r="N1828" i="4"/>
  <c r="P1828" i="4"/>
  <c r="M1788" i="4"/>
  <c r="R1788" i="4" s="1"/>
  <c r="O1788" i="4"/>
  <c r="P1788" i="4"/>
  <c r="L1788" i="4"/>
  <c r="Q1788" i="4" s="1"/>
  <c r="N1788" i="4"/>
  <c r="O1748" i="4"/>
  <c r="N1748" i="4"/>
  <c r="M1748" i="4"/>
  <c r="R1748" i="4" s="1"/>
  <c r="L1748" i="4"/>
  <c r="Q1748" i="4" s="1"/>
  <c r="P1748" i="4"/>
  <c r="O1708" i="4"/>
  <c r="P1708" i="4"/>
  <c r="M1708" i="4"/>
  <c r="R1708" i="4" s="1"/>
  <c r="L1708" i="4"/>
  <c r="Q1708" i="4" s="1"/>
  <c r="N1708" i="4"/>
  <c r="M1668" i="4"/>
  <c r="R1668" i="4" s="1"/>
  <c r="O1668" i="4"/>
  <c r="N1668" i="4"/>
  <c r="L1668" i="4"/>
  <c r="Q1668" i="4" s="1"/>
  <c r="P1668" i="4"/>
  <c r="M1636" i="4"/>
  <c r="R1636" i="4" s="1"/>
  <c r="L1636" i="4"/>
  <c r="Q1636" i="4" s="1"/>
  <c r="O1636" i="4"/>
  <c r="N1636" i="4"/>
  <c r="P1636" i="4"/>
  <c r="N1596" i="4"/>
  <c r="M1596" i="4"/>
  <c r="R1596" i="4" s="1"/>
  <c r="O1596" i="4"/>
  <c r="L1596" i="4"/>
  <c r="Q1596" i="4" s="1"/>
  <c r="P1596" i="4"/>
  <c r="L1564" i="4"/>
  <c r="Q1564" i="4" s="1"/>
  <c r="M1564" i="4"/>
  <c r="R1564" i="4" s="1"/>
  <c r="N1564" i="4"/>
  <c r="O1564" i="4"/>
  <c r="P1564" i="4"/>
  <c r="L1548" i="4"/>
  <c r="Q1548" i="4" s="1"/>
  <c r="M1548" i="4"/>
  <c r="R1548" i="4" s="1"/>
  <c r="N1548" i="4"/>
  <c r="O1548" i="4"/>
  <c r="P1548" i="4"/>
  <c r="L1508" i="4"/>
  <c r="Q1508" i="4" s="1"/>
  <c r="M1508" i="4"/>
  <c r="R1508" i="4" s="1"/>
  <c r="O1508" i="4"/>
  <c r="N1508" i="4"/>
  <c r="P1508" i="4"/>
  <c r="L1492" i="4"/>
  <c r="Q1492" i="4" s="1"/>
  <c r="M1492" i="4"/>
  <c r="R1492" i="4" s="1"/>
  <c r="O1492" i="4"/>
  <c r="N1492" i="4"/>
  <c r="P1492" i="4"/>
  <c r="M1476" i="4"/>
  <c r="R1476" i="4" s="1"/>
  <c r="L1476" i="4"/>
  <c r="Q1476" i="4" s="1"/>
  <c r="O1476" i="4"/>
  <c r="N1476" i="4"/>
  <c r="P1476" i="4"/>
  <c r="L1460" i="4"/>
  <c r="Q1460" i="4" s="1"/>
  <c r="O1460" i="4"/>
  <c r="N1460" i="4"/>
  <c r="M1460" i="4"/>
  <c r="R1460" i="4" s="1"/>
  <c r="P1460" i="4"/>
  <c r="L1452" i="4"/>
  <c r="Q1452" i="4" s="1"/>
  <c r="N1452" i="4"/>
  <c r="P1452" i="4"/>
  <c r="O1452" i="4"/>
  <c r="M1452" i="4"/>
  <c r="R1452" i="4" s="1"/>
  <c r="L1436" i="4"/>
  <c r="Q1436" i="4" s="1"/>
  <c r="O1436" i="4"/>
  <c r="M1436" i="4"/>
  <c r="R1436" i="4" s="1"/>
  <c r="P1436" i="4"/>
  <c r="N1436" i="4"/>
  <c r="L1412" i="4"/>
  <c r="Q1412" i="4" s="1"/>
  <c r="N1412" i="4"/>
  <c r="O1412" i="4"/>
  <c r="M1412" i="4"/>
  <c r="R1412" i="4" s="1"/>
  <c r="P1412" i="4"/>
  <c r="L2995" i="4"/>
  <c r="Q2995" i="4" s="1"/>
  <c r="P2995" i="4"/>
  <c r="N2995" i="4"/>
  <c r="M2995" i="4"/>
  <c r="R2995" i="4" s="1"/>
  <c r="O2995" i="4"/>
  <c r="L2987" i="4"/>
  <c r="Q2987" i="4" s="1"/>
  <c r="P2987" i="4"/>
  <c r="O2987" i="4"/>
  <c r="N2987" i="4"/>
  <c r="M2987" i="4"/>
  <c r="R2987" i="4" s="1"/>
  <c r="L2963" i="4"/>
  <c r="Q2963" i="4" s="1"/>
  <c r="P2963" i="4"/>
  <c r="N2963" i="4"/>
  <c r="M2963" i="4"/>
  <c r="R2963" i="4" s="1"/>
  <c r="O2963" i="4"/>
  <c r="L2939" i="4"/>
  <c r="Q2939" i="4" s="1"/>
  <c r="P2939" i="4"/>
  <c r="N2939" i="4"/>
  <c r="M2939" i="4"/>
  <c r="R2939" i="4" s="1"/>
  <c r="O2939" i="4"/>
  <c r="P2994" i="4"/>
  <c r="O2994" i="4"/>
  <c r="N2994" i="4"/>
  <c r="M2994" i="4"/>
  <c r="R2994" i="4" s="1"/>
  <c r="L2994" i="4"/>
  <c r="Q2994" i="4" s="1"/>
  <c r="P2986" i="4"/>
  <c r="O2986" i="4"/>
  <c r="N2986" i="4"/>
  <c r="L2986" i="4"/>
  <c r="Q2986" i="4" s="1"/>
  <c r="M2986" i="4"/>
  <c r="R2986" i="4" s="1"/>
  <c r="P2978" i="4"/>
  <c r="O2978" i="4"/>
  <c r="N2978" i="4"/>
  <c r="M2978" i="4"/>
  <c r="R2978" i="4" s="1"/>
  <c r="L2978" i="4"/>
  <c r="Q2978" i="4" s="1"/>
  <c r="P2970" i="4"/>
  <c r="N2970" i="4"/>
  <c r="O2970" i="4"/>
  <c r="L2970" i="4"/>
  <c r="Q2970" i="4" s="1"/>
  <c r="M2970" i="4"/>
  <c r="R2970" i="4" s="1"/>
  <c r="P2962" i="4"/>
  <c r="N2962" i="4"/>
  <c r="O2962" i="4"/>
  <c r="M2962" i="4"/>
  <c r="R2962" i="4" s="1"/>
  <c r="L2962" i="4"/>
  <c r="Q2962" i="4" s="1"/>
  <c r="P2954" i="4"/>
  <c r="O2954" i="4"/>
  <c r="N2954" i="4"/>
  <c r="L2954" i="4"/>
  <c r="Q2954" i="4" s="1"/>
  <c r="M2954" i="4"/>
  <c r="R2954" i="4" s="1"/>
  <c r="P2946" i="4"/>
  <c r="O2946" i="4"/>
  <c r="N2946" i="4"/>
  <c r="M2946" i="4"/>
  <c r="R2946" i="4" s="1"/>
  <c r="L2946" i="4"/>
  <c r="Q2946" i="4" s="1"/>
  <c r="P2938" i="4"/>
  <c r="N2938" i="4"/>
  <c r="O2938" i="4"/>
  <c r="L2938" i="4"/>
  <c r="Q2938" i="4" s="1"/>
  <c r="M2938" i="4"/>
  <c r="R2938" i="4" s="1"/>
  <c r="P2930" i="4"/>
  <c r="N2930" i="4"/>
  <c r="O2930" i="4"/>
  <c r="M2930" i="4"/>
  <c r="R2930" i="4" s="1"/>
  <c r="L2930" i="4"/>
  <c r="Q2930" i="4" s="1"/>
  <c r="P2922" i="4"/>
  <c r="N2922" i="4"/>
  <c r="O2922" i="4"/>
  <c r="L2922" i="4"/>
  <c r="Q2922" i="4" s="1"/>
  <c r="M2922" i="4"/>
  <c r="R2922" i="4" s="1"/>
  <c r="N2914" i="4"/>
  <c r="O2914" i="4"/>
  <c r="P2914" i="4"/>
  <c r="M2914" i="4"/>
  <c r="R2914" i="4" s="1"/>
  <c r="L2914" i="4"/>
  <c r="Q2914" i="4" s="1"/>
  <c r="O2906" i="4"/>
  <c r="N2906" i="4"/>
  <c r="P2906" i="4"/>
  <c r="L2906" i="4"/>
  <c r="Q2906" i="4" s="1"/>
  <c r="M2906" i="4"/>
  <c r="R2906" i="4" s="1"/>
  <c r="N2898" i="4"/>
  <c r="O2898" i="4"/>
  <c r="P2898" i="4"/>
  <c r="M2898" i="4"/>
  <c r="R2898" i="4" s="1"/>
  <c r="L2898" i="4"/>
  <c r="Q2898" i="4" s="1"/>
  <c r="O2890" i="4"/>
  <c r="P2890" i="4"/>
  <c r="N2890" i="4"/>
  <c r="L2890" i="4"/>
  <c r="Q2890" i="4" s="1"/>
  <c r="M2890" i="4"/>
  <c r="R2890" i="4" s="1"/>
  <c r="N2882" i="4"/>
  <c r="P2882" i="4"/>
  <c r="O2882" i="4"/>
  <c r="M2882" i="4"/>
  <c r="R2882" i="4" s="1"/>
  <c r="L2882" i="4"/>
  <c r="Q2882" i="4" s="1"/>
  <c r="O2874" i="4"/>
  <c r="P2874" i="4"/>
  <c r="N2874" i="4"/>
  <c r="L2874" i="4"/>
  <c r="Q2874" i="4" s="1"/>
  <c r="M2874" i="4"/>
  <c r="R2874" i="4" s="1"/>
  <c r="N2866" i="4"/>
  <c r="O2866" i="4"/>
  <c r="P2866" i="4"/>
  <c r="M2866" i="4"/>
  <c r="R2866" i="4" s="1"/>
  <c r="L2866" i="4"/>
  <c r="Q2866" i="4" s="1"/>
  <c r="P2858" i="4"/>
  <c r="O2858" i="4"/>
  <c r="N2858" i="4"/>
  <c r="L2858" i="4"/>
  <c r="Q2858" i="4" s="1"/>
  <c r="M2858" i="4"/>
  <c r="R2858" i="4" s="1"/>
  <c r="P2850" i="4"/>
  <c r="N2850" i="4"/>
  <c r="M2850" i="4"/>
  <c r="R2850" i="4" s="1"/>
  <c r="L2850" i="4"/>
  <c r="Q2850" i="4" s="1"/>
  <c r="O2850" i="4"/>
  <c r="P2842" i="4"/>
  <c r="O2842" i="4"/>
  <c r="N2842" i="4"/>
  <c r="M2842" i="4"/>
  <c r="R2842" i="4" s="1"/>
  <c r="L2842" i="4"/>
  <c r="Q2842" i="4" s="1"/>
  <c r="P2834" i="4"/>
  <c r="N2834" i="4"/>
  <c r="O2834" i="4"/>
  <c r="M2834" i="4"/>
  <c r="R2834" i="4" s="1"/>
  <c r="L2834" i="4"/>
  <c r="Q2834" i="4" s="1"/>
  <c r="P2826" i="4"/>
  <c r="O2826" i="4"/>
  <c r="N2826" i="4"/>
  <c r="L2826" i="4"/>
  <c r="Q2826" i="4" s="1"/>
  <c r="M2826" i="4"/>
  <c r="R2826" i="4" s="1"/>
  <c r="P2818" i="4"/>
  <c r="N2818" i="4"/>
  <c r="O2818" i="4"/>
  <c r="M2818" i="4"/>
  <c r="R2818" i="4" s="1"/>
  <c r="L2818" i="4"/>
  <c r="Q2818" i="4" s="1"/>
  <c r="P2810" i="4"/>
  <c r="O2810" i="4"/>
  <c r="N2810" i="4"/>
  <c r="L2810" i="4"/>
  <c r="Q2810" i="4" s="1"/>
  <c r="M2810" i="4"/>
  <c r="R2810" i="4" s="1"/>
  <c r="P2802" i="4"/>
  <c r="O2802" i="4"/>
  <c r="N2802" i="4"/>
  <c r="M2802" i="4"/>
  <c r="R2802" i="4" s="1"/>
  <c r="L2802" i="4"/>
  <c r="Q2802" i="4" s="1"/>
  <c r="P2794" i="4"/>
  <c r="N2794" i="4"/>
  <c r="O2794" i="4"/>
  <c r="L2794" i="4"/>
  <c r="Q2794" i="4" s="1"/>
  <c r="M2794" i="4"/>
  <c r="R2794" i="4" s="1"/>
  <c r="P2786" i="4"/>
  <c r="N2786" i="4"/>
  <c r="O2786" i="4"/>
  <c r="M2786" i="4"/>
  <c r="R2786" i="4" s="1"/>
  <c r="L2786" i="4"/>
  <c r="Q2786" i="4" s="1"/>
  <c r="P2778" i="4"/>
  <c r="O2778" i="4"/>
  <c r="N2778" i="4"/>
  <c r="M2778" i="4"/>
  <c r="R2778" i="4" s="1"/>
  <c r="L2778" i="4"/>
  <c r="Q2778" i="4" s="1"/>
  <c r="O2770" i="4"/>
  <c r="N2770" i="4"/>
  <c r="M2770" i="4"/>
  <c r="R2770" i="4" s="1"/>
  <c r="L2770" i="4"/>
  <c r="Q2770" i="4" s="1"/>
  <c r="P2770" i="4"/>
  <c r="O2762" i="4"/>
  <c r="N2762" i="4"/>
  <c r="L2762" i="4"/>
  <c r="Q2762" i="4" s="1"/>
  <c r="P2762" i="4"/>
  <c r="M2762" i="4"/>
  <c r="R2762" i="4" s="1"/>
  <c r="O2754" i="4"/>
  <c r="N2754" i="4"/>
  <c r="P2754" i="4"/>
  <c r="M2754" i="4"/>
  <c r="R2754" i="4" s="1"/>
  <c r="L2754" i="4"/>
  <c r="Q2754" i="4" s="1"/>
  <c r="O2746" i="4"/>
  <c r="N2746" i="4"/>
  <c r="L2746" i="4"/>
  <c r="Q2746" i="4" s="1"/>
  <c r="P2746" i="4"/>
  <c r="M2746" i="4"/>
  <c r="R2746" i="4" s="1"/>
  <c r="O2738" i="4"/>
  <c r="N2738" i="4"/>
  <c r="P2738" i="4"/>
  <c r="M2738" i="4"/>
  <c r="R2738" i="4" s="1"/>
  <c r="L2738" i="4"/>
  <c r="Q2738" i="4" s="1"/>
  <c r="O2730" i="4"/>
  <c r="N2730" i="4"/>
  <c r="L2730" i="4"/>
  <c r="Q2730" i="4" s="1"/>
  <c r="M2730" i="4"/>
  <c r="R2730" i="4" s="1"/>
  <c r="P2730" i="4"/>
  <c r="L2722" i="4"/>
  <c r="Q2722" i="4" s="1"/>
  <c r="N2722" i="4"/>
  <c r="P2722" i="4"/>
  <c r="M2722" i="4"/>
  <c r="R2722" i="4" s="1"/>
  <c r="O2722" i="4"/>
  <c r="L2714" i="4"/>
  <c r="Q2714" i="4" s="1"/>
  <c r="M2714" i="4"/>
  <c r="R2714" i="4" s="1"/>
  <c r="N2714" i="4"/>
  <c r="O2714" i="4"/>
  <c r="P2714" i="4"/>
  <c r="L2706" i="4"/>
  <c r="Q2706" i="4" s="1"/>
  <c r="M2706" i="4"/>
  <c r="R2706" i="4" s="1"/>
  <c r="P2706" i="4"/>
  <c r="O2706" i="4"/>
  <c r="N2706" i="4"/>
  <c r="L2698" i="4"/>
  <c r="Q2698" i="4" s="1"/>
  <c r="N2698" i="4"/>
  <c r="O2698" i="4"/>
  <c r="M2698" i="4"/>
  <c r="R2698" i="4" s="1"/>
  <c r="P2698" i="4"/>
  <c r="L2690" i="4"/>
  <c r="Q2690" i="4" s="1"/>
  <c r="O2690" i="4"/>
  <c r="M2690" i="4"/>
  <c r="R2690" i="4" s="1"/>
  <c r="P2690" i="4"/>
  <c r="N2690" i="4"/>
  <c r="L2682" i="4"/>
  <c r="Q2682" i="4" s="1"/>
  <c r="N2682" i="4"/>
  <c r="M2682" i="4"/>
  <c r="R2682" i="4" s="1"/>
  <c r="O2682" i="4"/>
  <c r="P2682" i="4"/>
  <c r="L2674" i="4"/>
  <c r="Q2674" i="4" s="1"/>
  <c r="P2674" i="4"/>
  <c r="O2674" i="4"/>
  <c r="M2674" i="4"/>
  <c r="R2674" i="4" s="1"/>
  <c r="N2674" i="4"/>
  <c r="L2666" i="4"/>
  <c r="Q2666" i="4" s="1"/>
  <c r="O2666" i="4"/>
  <c r="N2666" i="4"/>
  <c r="M2666" i="4"/>
  <c r="R2666" i="4" s="1"/>
  <c r="P2666" i="4"/>
  <c r="L2658" i="4"/>
  <c r="Q2658" i="4" s="1"/>
  <c r="O2658" i="4"/>
  <c r="P2658" i="4"/>
  <c r="N2658" i="4"/>
  <c r="M2658" i="4"/>
  <c r="R2658" i="4" s="1"/>
  <c r="L2650" i="4"/>
  <c r="Q2650" i="4" s="1"/>
  <c r="N2650" i="4"/>
  <c r="O2650" i="4"/>
  <c r="M2650" i="4"/>
  <c r="R2650" i="4" s="1"/>
  <c r="P2650" i="4"/>
  <c r="L2642" i="4"/>
  <c r="Q2642" i="4" s="1"/>
  <c r="O2642" i="4"/>
  <c r="M2642" i="4"/>
  <c r="R2642" i="4" s="1"/>
  <c r="P2642" i="4"/>
  <c r="N2642" i="4"/>
  <c r="O2634" i="4"/>
  <c r="L2634" i="4"/>
  <c r="Q2634" i="4" s="1"/>
  <c r="M2634" i="4"/>
  <c r="R2634" i="4" s="1"/>
  <c r="N2634" i="4"/>
  <c r="P2634" i="4"/>
  <c r="L2626" i="4"/>
  <c r="Q2626" i="4" s="1"/>
  <c r="O2626" i="4"/>
  <c r="P2626" i="4"/>
  <c r="N2626" i="4"/>
  <c r="M2626" i="4"/>
  <c r="R2626" i="4" s="1"/>
  <c r="L2618" i="4"/>
  <c r="Q2618" i="4" s="1"/>
  <c r="M2618" i="4"/>
  <c r="R2618" i="4" s="1"/>
  <c r="N2618" i="4"/>
  <c r="O2618" i="4"/>
  <c r="P2618" i="4"/>
  <c r="L2610" i="4"/>
  <c r="Q2610" i="4" s="1"/>
  <c r="M2610" i="4"/>
  <c r="R2610" i="4" s="1"/>
  <c r="O2610" i="4"/>
  <c r="P2610" i="4"/>
  <c r="N2610" i="4"/>
  <c r="L2602" i="4"/>
  <c r="Q2602" i="4" s="1"/>
  <c r="M2602" i="4"/>
  <c r="R2602" i="4" s="1"/>
  <c r="N2602" i="4"/>
  <c r="O2602" i="4"/>
  <c r="P2602" i="4"/>
  <c r="L2594" i="4"/>
  <c r="Q2594" i="4" s="1"/>
  <c r="P2594" i="4"/>
  <c r="N2594" i="4"/>
  <c r="O2594" i="4"/>
  <c r="M2594" i="4"/>
  <c r="R2594" i="4" s="1"/>
  <c r="L2586" i="4"/>
  <c r="Q2586" i="4" s="1"/>
  <c r="M2586" i="4"/>
  <c r="R2586" i="4" s="1"/>
  <c r="O2586" i="4"/>
  <c r="N2586" i="4"/>
  <c r="P2586" i="4"/>
  <c r="L2578" i="4"/>
  <c r="Q2578" i="4" s="1"/>
  <c r="M2578" i="4"/>
  <c r="R2578" i="4" s="1"/>
  <c r="O2578" i="4"/>
  <c r="P2578" i="4"/>
  <c r="N2578" i="4"/>
  <c r="M2570" i="4"/>
  <c r="R2570" i="4" s="1"/>
  <c r="L2570" i="4"/>
  <c r="Q2570" i="4" s="1"/>
  <c r="N2570" i="4"/>
  <c r="O2570" i="4"/>
  <c r="P2570" i="4"/>
  <c r="L2562" i="4"/>
  <c r="Q2562" i="4" s="1"/>
  <c r="O2562" i="4"/>
  <c r="P2562" i="4"/>
  <c r="N2562" i="4"/>
  <c r="M2562" i="4"/>
  <c r="R2562" i="4" s="1"/>
  <c r="N2554" i="4"/>
  <c r="L2554" i="4"/>
  <c r="Q2554" i="4" s="1"/>
  <c r="M2554" i="4"/>
  <c r="R2554" i="4" s="1"/>
  <c r="O2554" i="4"/>
  <c r="P2554" i="4"/>
  <c r="L2546" i="4"/>
  <c r="Q2546" i="4" s="1"/>
  <c r="P2546" i="4"/>
  <c r="M2546" i="4"/>
  <c r="R2546" i="4" s="1"/>
  <c r="O2546" i="4"/>
  <c r="N2546" i="4"/>
  <c r="L2538" i="4"/>
  <c r="Q2538" i="4" s="1"/>
  <c r="O2538" i="4"/>
  <c r="N2538" i="4"/>
  <c r="M2538" i="4"/>
  <c r="R2538" i="4" s="1"/>
  <c r="P2538" i="4"/>
  <c r="L2530" i="4"/>
  <c r="Q2530" i="4" s="1"/>
  <c r="M2530" i="4"/>
  <c r="R2530" i="4" s="1"/>
  <c r="O2530" i="4"/>
  <c r="N2530" i="4"/>
  <c r="P2530" i="4"/>
  <c r="L2522" i="4"/>
  <c r="Q2522" i="4" s="1"/>
  <c r="N2522" i="4"/>
  <c r="O2522" i="4"/>
  <c r="M2522" i="4"/>
  <c r="R2522" i="4" s="1"/>
  <c r="P2522" i="4"/>
  <c r="L2514" i="4"/>
  <c r="Q2514" i="4" s="1"/>
  <c r="P2514" i="4"/>
  <c r="O2514" i="4"/>
  <c r="N2514" i="4"/>
  <c r="M2514" i="4"/>
  <c r="R2514" i="4" s="1"/>
  <c r="L2506" i="4"/>
  <c r="Q2506" i="4" s="1"/>
  <c r="M2506" i="4"/>
  <c r="R2506" i="4" s="1"/>
  <c r="O2506" i="4"/>
  <c r="N2506" i="4"/>
  <c r="P2506" i="4"/>
  <c r="L2498" i="4"/>
  <c r="Q2498" i="4" s="1"/>
  <c r="O2498" i="4"/>
  <c r="N2498" i="4"/>
  <c r="M2498" i="4"/>
  <c r="R2498" i="4" s="1"/>
  <c r="P2498" i="4"/>
  <c r="L2490" i="4"/>
  <c r="Q2490" i="4" s="1"/>
  <c r="N2490" i="4"/>
  <c r="O2490" i="4"/>
  <c r="M2490" i="4"/>
  <c r="R2490" i="4" s="1"/>
  <c r="P2490" i="4"/>
  <c r="L2482" i="4"/>
  <c r="Q2482" i="4" s="1"/>
  <c r="P2482" i="4"/>
  <c r="M2482" i="4"/>
  <c r="R2482" i="4" s="1"/>
  <c r="O2482" i="4"/>
  <c r="N2482" i="4"/>
  <c r="L2474" i="4"/>
  <c r="Q2474" i="4" s="1"/>
  <c r="M2474" i="4"/>
  <c r="R2474" i="4" s="1"/>
  <c r="N2474" i="4"/>
  <c r="O2474" i="4"/>
  <c r="P2474" i="4"/>
  <c r="M2466" i="4"/>
  <c r="R2466" i="4" s="1"/>
  <c r="P2466" i="4"/>
  <c r="N2466" i="4"/>
  <c r="O2466" i="4"/>
  <c r="L2466" i="4"/>
  <c r="Q2466" i="4" s="1"/>
  <c r="O2458" i="4"/>
  <c r="N2458" i="4"/>
  <c r="P2458" i="4"/>
  <c r="L2458" i="4"/>
  <c r="Q2458" i="4" s="1"/>
  <c r="M2458" i="4"/>
  <c r="R2458" i="4" s="1"/>
  <c r="L2450" i="4"/>
  <c r="Q2450" i="4" s="1"/>
  <c r="O2450" i="4"/>
  <c r="P2450" i="4"/>
  <c r="M2450" i="4"/>
  <c r="R2450" i="4" s="1"/>
  <c r="N2450" i="4"/>
  <c r="O2442" i="4"/>
  <c r="M2442" i="4"/>
  <c r="R2442" i="4" s="1"/>
  <c r="L2442" i="4"/>
  <c r="Q2442" i="4" s="1"/>
  <c r="N2442" i="4"/>
  <c r="P2442" i="4"/>
  <c r="N2434" i="4"/>
  <c r="L2434" i="4"/>
  <c r="Q2434" i="4" s="1"/>
  <c r="P2434" i="4"/>
  <c r="M2434" i="4"/>
  <c r="R2434" i="4" s="1"/>
  <c r="O2434" i="4"/>
  <c r="L2426" i="4"/>
  <c r="Q2426" i="4" s="1"/>
  <c r="P2426" i="4"/>
  <c r="M2426" i="4"/>
  <c r="R2426" i="4" s="1"/>
  <c r="N2426" i="4"/>
  <c r="O2426" i="4"/>
  <c r="L2418" i="4"/>
  <c r="Q2418" i="4" s="1"/>
  <c r="P2418" i="4"/>
  <c r="M2418" i="4"/>
  <c r="R2418" i="4" s="1"/>
  <c r="O2418" i="4"/>
  <c r="N2418" i="4"/>
  <c r="M2410" i="4"/>
  <c r="R2410" i="4" s="1"/>
  <c r="O2410" i="4"/>
  <c r="P2410" i="4"/>
  <c r="L2410" i="4"/>
  <c r="Q2410" i="4" s="1"/>
  <c r="N2410" i="4"/>
  <c r="O2402" i="4"/>
  <c r="M2402" i="4"/>
  <c r="R2402" i="4" s="1"/>
  <c r="N2402" i="4"/>
  <c r="L2402" i="4"/>
  <c r="Q2402" i="4" s="1"/>
  <c r="P2402" i="4"/>
  <c r="O2394" i="4"/>
  <c r="L2394" i="4"/>
  <c r="Q2394" i="4" s="1"/>
  <c r="P2394" i="4"/>
  <c r="N2394" i="4"/>
  <c r="M2394" i="4"/>
  <c r="R2394" i="4" s="1"/>
  <c r="L2386" i="4"/>
  <c r="Q2386" i="4" s="1"/>
  <c r="P2386" i="4"/>
  <c r="M2386" i="4"/>
  <c r="R2386" i="4" s="1"/>
  <c r="O2386" i="4"/>
  <c r="N2386" i="4"/>
  <c r="L2378" i="4"/>
  <c r="Q2378" i="4" s="1"/>
  <c r="M2378" i="4"/>
  <c r="R2378" i="4" s="1"/>
  <c r="N2378" i="4"/>
  <c r="P2378" i="4"/>
  <c r="O2378" i="4"/>
  <c r="L2370" i="4"/>
  <c r="Q2370" i="4" s="1"/>
  <c r="P2370" i="4"/>
  <c r="M2370" i="4"/>
  <c r="R2370" i="4" s="1"/>
  <c r="O2370" i="4"/>
  <c r="N2370" i="4"/>
  <c r="P2362" i="4"/>
  <c r="L2362" i="4"/>
  <c r="Q2362" i="4" s="1"/>
  <c r="O2362" i="4"/>
  <c r="N2362" i="4"/>
  <c r="M2362" i="4"/>
  <c r="R2362" i="4" s="1"/>
  <c r="L2354" i="4"/>
  <c r="Q2354" i="4" s="1"/>
  <c r="O2354" i="4"/>
  <c r="P2354" i="4"/>
  <c r="M2354" i="4"/>
  <c r="R2354" i="4" s="1"/>
  <c r="N2354" i="4"/>
  <c r="L2346" i="4"/>
  <c r="Q2346" i="4" s="1"/>
  <c r="P2346" i="4"/>
  <c r="M2346" i="4"/>
  <c r="R2346" i="4" s="1"/>
  <c r="O2346" i="4"/>
  <c r="N2346" i="4"/>
  <c r="O2338" i="4"/>
  <c r="N2338" i="4"/>
  <c r="P2338" i="4"/>
  <c r="L2338" i="4"/>
  <c r="Q2338" i="4" s="1"/>
  <c r="M2338" i="4"/>
  <c r="R2338" i="4" s="1"/>
  <c r="L2330" i="4"/>
  <c r="Q2330" i="4" s="1"/>
  <c r="O2330" i="4"/>
  <c r="M2330" i="4"/>
  <c r="R2330" i="4" s="1"/>
  <c r="N2330" i="4"/>
  <c r="P2330" i="4"/>
  <c r="L2322" i="4"/>
  <c r="Q2322" i="4" s="1"/>
  <c r="P2322" i="4"/>
  <c r="O2322" i="4"/>
  <c r="M2322" i="4"/>
  <c r="R2322" i="4" s="1"/>
  <c r="N2322" i="4"/>
  <c r="L2314" i="4"/>
  <c r="Q2314" i="4" s="1"/>
  <c r="M2314" i="4"/>
  <c r="R2314" i="4" s="1"/>
  <c r="P2314" i="4"/>
  <c r="O2314" i="4"/>
  <c r="N2314" i="4"/>
  <c r="L2306" i="4"/>
  <c r="Q2306" i="4" s="1"/>
  <c r="M2306" i="4"/>
  <c r="R2306" i="4" s="1"/>
  <c r="N2306" i="4"/>
  <c r="P2306" i="4"/>
  <c r="O2306" i="4"/>
  <c r="L2298" i="4"/>
  <c r="Q2298" i="4" s="1"/>
  <c r="O2298" i="4"/>
  <c r="N2298" i="4"/>
  <c r="M2298" i="4"/>
  <c r="R2298" i="4" s="1"/>
  <c r="P2298" i="4"/>
  <c r="L2290" i="4"/>
  <c r="Q2290" i="4" s="1"/>
  <c r="O2290" i="4"/>
  <c r="M2290" i="4"/>
  <c r="R2290" i="4" s="1"/>
  <c r="P2290" i="4"/>
  <c r="N2290" i="4"/>
  <c r="L2282" i="4"/>
  <c r="Q2282" i="4" s="1"/>
  <c r="M2282" i="4"/>
  <c r="R2282" i="4" s="1"/>
  <c r="O2282" i="4"/>
  <c r="N2282" i="4"/>
  <c r="P2282" i="4"/>
  <c r="L2274" i="4"/>
  <c r="Q2274" i="4" s="1"/>
  <c r="M2274" i="4"/>
  <c r="R2274" i="4" s="1"/>
  <c r="O2274" i="4"/>
  <c r="P2274" i="4"/>
  <c r="N2274" i="4"/>
  <c r="L2266" i="4"/>
  <c r="Q2266" i="4" s="1"/>
  <c r="N2266" i="4"/>
  <c r="M2266" i="4"/>
  <c r="R2266" i="4" s="1"/>
  <c r="O2266" i="4"/>
  <c r="P2266" i="4"/>
  <c r="L2258" i="4"/>
  <c r="Q2258" i="4" s="1"/>
  <c r="O2258" i="4"/>
  <c r="P2258" i="4"/>
  <c r="M2258" i="4"/>
  <c r="R2258" i="4" s="1"/>
  <c r="N2258" i="4"/>
  <c r="L2250" i="4"/>
  <c r="Q2250" i="4" s="1"/>
  <c r="O2250" i="4"/>
  <c r="M2250" i="4"/>
  <c r="R2250" i="4" s="1"/>
  <c r="N2250" i="4"/>
  <c r="P2250" i="4"/>
  <c r="L2242" i="4"/>
  <c r="Q2242" i="4" s="1"/>
  <c r="N2242" i="4"/>
  <c r="M2242" i="4"/>
  <c r="R2242" i="4" s="1"/>
  <c r="O2242" i="4"/>
  <c r="P2242" i="4"/>
  <c r="L2234" i="4"/>
  <c r="Q2234" i="4" s="1"/>
  <c r="P2234" i="4"/>
  <c r="M2234" i="4"/>
  <c r="R2234" i="4" s="1"/>
  <c r="N2234" i="4"/>
  <c r="O2234" i="4"/>
  <c r="L2226" i="4"/>
  <c r="Q2226" i="4" s="1"/>
  <c r="O2226" i="4"/>
  <c r="P2226" i="4"/>
  <c r="M2226" i="4"/>
  <c r="R2226" i="4" s="1"/>
  <c r="N2226" i="4"/>
  <c r="L2218" i="4"/>
  <c r="Q2218" i="4" s="1"/>
  <c r="M2218" i="4"/>
  <c r="R2218" i="4" s="1"/>
  <c r="O2218" i="4"/>
  <c r="P2218" i="4"/>
  <c r="N2218" i="4"/>
  <c r="L2210" i="4"/>
  <c r="Q2210" i="4" s="1"/>
  <c r="N2210" i="4"/>
  <c r="M2210" i="4"/>
  <c r="R2210" i="4" s="1"/>
  <c r="O2210" i="4"/>
  <c r="P2210" i="4"/>
  <c r="L2202" i="4"/>
  <c r="Q2202" i="4" s="1"/>
  <c r="P2202" i="4"/>
  <c r="O2202" i="4"/>
  <c r="N2202" i="4"/>
  <c r="M2202" i="4"/>
  <c r="R2202" i="4" s="1"/>
  <c r="L2194" i="4"/>
  <c r="Q2194" i="4" s="1"/>
  <c r="M2194" i="4"/>
  <c r="R2194" i="4" s="1"/>
  <c r="O2194" i="4"/>
  <c r="P2194" i="4"/>
  <c r="N2194" i="4"/>
  <c r="L2186" i="4"/>
  <c r="Q2186" i="4" s="1"/>
  <c r="O2186" i="4"/>
  <c r="M2186" i="4"/>
  <c r="R2186" i="4" s="1"/>
  <c r="P2186" i="4"/>
  <c r="N2186" i="4"/>
  <c r="L2178" i="4"/>
  <c r="Q2178" i="4" s="1"/>
  <c r="O2178" i="4"/>
  <c r="N2178" i="4"/>
  <c r="P2178" i="4"/>
  <c r="M2178" i="4"/>
  <c r="R2178" i="4" s="1"/>
  <c r="L2170" i="4"/>
  <c r="Q2170" i="4" s="1"/>
  <c r="O2170" i="4"/>
  <c r="N2170" i="4"/>
  <c r="P2170" i="4"/>
  <c r="M2170" i="4"/>
  <c r="R2170" i="4" s="1"/>
  <c r="L2162" i="4"/>
  <c r="Q2162" i="4" s="1"/>
  <c r="P2162" i="4"/>
  <c r="O2162" i="4"/>
  <c r="M2162" i="4"/>
  <c r="R2162" i="4" s="1"/>
  <c r="N2162" i="4"/>
  <c r="L2154" i="4"/>
  <c r="Q2154" i="4" s="1"/>
  <c r="O2154" i="4"/>
  <c r="M2154" i="4"/>
  <c r="R2154" i="4" s="1"/>
  <c r="P2154" i="4"/>
  <c r="N2154" i="4"/>
  <c r="L2146" i="4"/>
  <c r="Q2146" i="4" s="1"/>
  <c r="O2146" i="4"/>
  <c r="N2146" i="4"/>
  <c r="M2146" i="4"/>
  <c r="R2146" i="4" s="1"/>
  <c r="P2146" i="4"/>
  <c r="L2138" i="4"/>
  <c r="Q2138" i="4" s="1"/>
  <c r="O2138" i="4"/>
  <c r="N2138" i="4"/>
  <c r="M2138" i="4"/>
  <c r="R2138" i="4" s="1"/>
  <c r="P2138" i="4"/>
  <c r="L2130" i="4"/>
  <c r="Q2130" i="4" s="1"/>
  <c r="O2130" i="4"/>
  <c r="N2130" i="4"/>
  <c r="M2130" i="4"/>
  <c r="R2130" i="4" s="1"/>
  <c r="P2130" i="4"/>
  <c r="L2122" i="4"/>
  <c r="Q2122" i="4" s="1"/>
  <c r="M2122" i="4"/>
  <c r="R2122" i="4" s="1"/>
  <c r="O2122" i="4"/>
  <c r="N2122" i="4"/>
  <c r="P2122" i="4"/>
  <c r="N2114" i="4"/>
  <c r="P2114" i="4"/>
  <c r="M2114" i="4"/>
  <c r="R2114" i="4" s="1"/>
  <c r="L2114" i="4"/>
  <c r="Q2114" i="4" s="1"/>
  <c r="O2114" i="4"/>
  <c r="O2106" i="4"/>
  <c r="P2106" i="4"/>
  <c r="L2106" i="4"/>
  <c r="Q2106" i="4" s="1"/>
  <c r="N2106" i="4"/>
  <c r="M2106" i="4"/>
  <c r="R2106" i="4" s="1"/>
  <c r="M2098" i="4"/>
  <c r="R2098" i="4" s="1"/>
  <c r="L2098" i="4"/>
  <c r="Q2098" i="4" s="1"/>
  <c r="N2098" i="4"/>
  <c r="P2098" i="4"/>
  <c r="O2098" i="4"/>
  <c r="M2090" i="4"/>
  <c r="R2090" i="4" s="1"/>
  <c r="P2090" i="4"/>
  <c r="L2090" i="4"/>
  <c r="Q2090" i="4" s="1"/>
  <c r="O2090" i="4"/>
  <c r="N2090" i="4"/>
  <c r="N2082" i="4"/>
  <c r="O2082" i="4"/>
  <c r="L2082" i="4"/>
  <c r="Q2082" i="4" s="1"/>
  <c r="P2082" i="4"/>
  <c r="M2082" i="4"/>
  <c r="R2082" i="4" s="1"/>
  <c r="P2074" i="4"/>
  <c r="O2074" i="4"/>
  <c r="M2074" i="4"/>
  <c r="R2074" i="4" s="1"/>
  <c r="N2074" i="4"/>
  <c r="L2074" i="4"/>
  <c r="Q2074" i="4" s="1"/>
  <c r="M2066" i="4"/>
  <c r="R2066" i="4" s="1"/>
  <c r="P2066" i="4"/>
  <c r="O2066" i="4"/>
  <c r="N2066" i="4"/>
  <c r="L2066" i="4"/>
  <c r="Q2066" i="4" s="1"/>
  <c r="P2058" i="4"/>
  <c r="O2058" i="4"/>
  <c r="M2058" i="4"/>
  <c r="R2058" i="4" s="1"/>
  <c r="N2058" i="4"/>
  <c r="L2058" i="4"/>
  <c r="Q2058" i="4" s="1"/>
  <c r="M2050" i="4"/>
  <c r="R2050" i="4" s="1"/>
  <c r="P2050" i="4"/>
  <c r="N2050" i="4"/>
  <c r="O2050" i="4"/>
  <c r="L2050" i="4"/>
  <c r="Q2050" i="4" s="1"/>
  <c r="P2042" i="4"/>
  <c r="O2042" i="4"/>
  <c r="M2042" i="4"/>
  <c r="R2042" i="4" s="1"/>
  <c r="N2042" i="4"/>
  <c r="L2042" i="4"/>
  <c r="Q2042" i="4" s="1"/>
  <c r="P2034" i="4"/>
  <c r="M2034" i="4"/>
  <c r="R2034" i="4" s="1"/>
  <c r="L2034" i="4"/>
  <c r="Q2034" i="4" s="1"/>
  <c r="O2034" i="4"/>
  <c r="N2034" i="4"/>
  <c r="P2026" i="4"/>
  <c r="L2026" i="4"/>
  <c r="Q2026" i="4" s="1"/>
  <c r="N2026" i="4"/>
  <c r="M2026" i="4"/>
  <c r="R2026" i="4" s="1"/>
  <c r="O2026" i="4"/>
  <c r="P2018" i="4"/>
  <c r="M2018" i="4"/>
  <c r="R2018" i="4" s="1"/>
  <c r="L2018" i="4"/>
  <c r="Q2018" i="4" s="1"/>
  <c r="N2018" i="4"/>
  <c r="O2018" i="4"/>
  <c r="L2010" i="4"/>
  <c r="Q2010" i="4" s="1"/>
  <c r="M2010" i="4"/>
  <c r="R2010" i="4" s="1"/>
  <c r="P2010" i="4"/>
  <c r="N2010" i="4"/>
  <c r="O2010" i="4"/>
  <c r="O2002" i="4"/>
  <c r="L2002" i="4"/>
  <c r="Q2002" i="4" s="1"/>
  <c r="M2002" i="4"/>
  <c r="R2002" i="4" s="1"/>
  <c r="P2002" i="4"/>
  <c r="N2002" i="4"/>
  <c r="P1994" i="4"/>
  <c r="L1994" i="4"/>
  <c r="Q1994" i="4" s="1"/>
  <c r="N1994" i="4"/>
  <c r="M1994" i="4"/>
  <c r="R1994" i="4" s="1"/>
  <c r="O1994" i="4"/>
  <c r="O1986" i="4"/>
  <c r="M1986" i="4"/>
  <c r="R1986" i="4" s="1"/>
  <c r="L1986" i="4"/>
  <c r="Q1986" i="4" s="1"/>
  <c r="P1986" i="4"/>
  <c r="N1986" i="4"/>
  <c r="L1978" i="4"/>
  <c r="Q1978" i="4" s="1"/>
  <c r="M1978" i="4"/>
  <c r="R1978" i="4" s="1"/>
  <c r="P1978" i="4"/>
  <c r="N1978" i="4"/>
  <c r="O1978" i="4"/>
  <c r="O1970" i="4"/>
  <c r="L1970" i="4"/>
  <c r="Q1970" i="4" s="1"/>
  <c r="M1970" i="4"/>
  <c r="R1970" i="4" s="1"/>
  <c r="P1970" i="4"/>
  <c r="N1970" i="4"/>
  <c r="O1962" i="4"/>
  <c r="P1962" i="4"/>
  <c r="L1962" i="4"/>
  <c r="Q1962" i="4" s="1"/>
  <c r="N1962" i="4"/>
  <c r="M1962" i="4"/>
  <c r="R1962" i="4" s="1"/>
  <c r="O1954" i="4"/>
  <c r="L1954" i="4"/>
  <c r="Q1954" i="4" s="1"/>
  <c r="M1954" i="4"/>
  <c r="R1954" i="4" s="1"/>
  <c r="P1954" i="4"/>
  <c r="N1954" i="4"/>
  <c r="L1946" i="4"/>
  <c r="Q1946" i="4" s="1"/>
  <c r="M1946" i="4"/>
  <c r="R1946" i="4" s="1"/>
  <c r="N1946" i="4"/>
  <c r="O1946" i="4"/>
  <c r="P1946" i="4"/>
  <c r="O1938" i="4"/>
  <c r="M1938" i="4"/>
  <c r="R1938" i="4" s="1"/>
  <c r="L1938" i="4"/>
  <c r="Q1938" i="4" s="1"/>
  <c r="N1938" i="4"/>
  <c r="P1938" i="4"/>
  <c r="L1930" i="4"/>
  <c r="Q1930" i="4" s="1"/>
  <c r="M1930" i="4"/>
  <c r="R1930" i="4" s="1"/>
  <c r="O1930" i="4"/>
  <c r="P1930" i="4"/>
  <c r="N1930" i="4"/>
  <c r="O1922" i="4"/>
  <c r="M1922" i="4"/>
  <c r="R1922" i="4" s="1"/>
  <c r="L1922" i="4"/>
  <c r="Q1922" i="4" s="1"/>
  <c r="P1922" i="4"/>
  <c r="N1922" i="4"/>
  <c r="P1914" i="4"/>
  <c r="L1914" i="4"/>
  <c r="Q1914" i="4" s="1"/>
  <c r="N1914" i="4"/>
  <c r="M1914" i="4"/>
  <c r="R1914" i="4" s="1"/>
  <c r="O1914" i="4"/>
  <c r="O1906" i="4"/>
  <c r="M1906" i="4"/>
  <c r="R1906" i="4" s="1"/>
  <c r="L1906" i="4"/>
  <c r="Q1906" i="4" s="1"/>
  <c r="N1906" i="4"/>
  <c r="P1906" i="4"/>
  <c r="L1898" i="4"/>
  <c r="Q1898" i="4" s="1"/>
  <c r="M1898" i="4"/>
  <c r="R1898" i="4" s="1"/>
  <c r="O1898" i="4"/>
  <c r="P1898" i="4"/>
  <c r="N1898" i="4"/>
  <c r="O1890" i="4"/>
  <c r="M1890" i="4"/>
  <c r="R1890" i="4" s="1"/>
  <c r="L1890" i="4"/>
  <c r="Q1890" i="4" s="1"/>
  <c r="P1890" i="4"/>
  <c r="N1890" i="4"/>
  <c r="P1882" i="4"/>
  <c r="L1882" i="4"/>
  <c r="Q1882" i="4" s="1"/>
  <c r="M1882" i="4"/>
  <c r="R1882" i="4" s="1"/>
  <c r="N1882" i="4"/>
  <c r="O1882" i="4"/>
  <c r="L1874" i="4"/>
  <c r="Q1874" i="4" s="1"/>
  <c r="M1874" i="4"/>
  <c r="R1874" i="4" s="1"/>
  <c r="O1874" i="4"/>
  <c r="P1874" i="4"/>
  <c r="N1874" i="4"/>
  <c r="P1866" i="4"/>
  <c r="L1866" i="4"/>
  <c r="Q1866" i="4" s="1"/>
  <c r="N1866" i="4"/>
  <c r="M1866" i="4"/>
  <c r="R1866" i="4" s="1"/>
  <c r="O1866" i="4"/>
  <c r="L1858" i="4"/>
  <c r="Q1858" i="4" s="1"/>
  <c r="M1858" i="4"/>
  <c r="R1858" i="4" s="1"/>
  <c r="O1858" i="4"/>
  <c r="P1858" i="4"/>
  <c r="N1858" i="4"/>
  <c r="O1850" i="4"/>
  <c r="M1850" i="4"/>
  <c r="R1850" i="4" s="1"/>
  <c r="P1850" i="4"/>
  <c r="L1850" i="4"/>
  <c r="Q1850" i="4" s="1"/>
  <c r="N1850" i="4"/>
  <c r="M1842" i="4"/>
  <c r="R1842" i="4" s="1"/>
  <c r="O1842" i="4"/>
  <c r="L1842" i="4"/>
  <c r="Q1842" i="4" s="1"/>
  <c r="P1842" i="4"/>
  <c r="N1842" i="4"/>
  <c r="O1834" i="4"/>
  <c r="M1834" i="4"/>
  <c r="R1834" i="4" s="1"/>
  <c r="P1834" i="4"/>
  <c r="L1834" i="4"/>
  <c r="Q1834" i="4" s="1"/>
  <c r="N1834" i="4"/>
  <c r="L1826" i="4"/>
  <c r="Q1826" i="4" s="1"/>
  <c r="M1826" i="4"/>
  <c r="R1826" i="4" s="1"/>
  <c r="O1826" i="4"/>
  <c r="P1826" i="4"/>
  <c r="N1826" i="4"/>
  <c r="O1818" i="4"/>
  <c r="M1818" i="4"/>
  <c r="R1818" i="4" s="1"/>
  <c r="L1818" i="4"/>
  <c r="Q1818" i="4" s="1"/>
  <c r="P1818" i="4"/>
  <c r="N1818" i="4"/>
  <c r="M1810" i="4"/>
  <c r="R1810" i="4" s="1"/>
  <c r="L1810" i="4"/>
  <c r="Q1810" i="4" s="1"/>
  <c r="P1810" i="4"/>
  <c r="N1810" i="4"/>
  <c r="O1810" i="4"/>
  <c r="O1802" i="4"/>
  <c r="M1802" i="4"/>
  <c r="R1802" i="4" s="1"/>
  <c r="P1802" i="4"/>
  <c r="L1802" i="4"/>
  <c r="Q1802" i="4" s="1"/>
  <c r="N1802" i="4"/>
  <c r="M1794" i="4"/>
  <c r="R1794" i="4" s="1"/>
  <c r="O1794" i="4"/>
  <c r="P1794" i="4"/>
  <c r="N1794" i="4"/>
  <c r="L1794" i="4"/>
  <c r="Q1794" i="4" s="1"/>
  <c r="O1786" i="4"/>
  <c r="P1786" i="4"/>
  <c r="L1786" i="4"/>
  <c r="Q1786" i="4" s="1"/>
  <c r="M1786" i="4"/>
  <c r="R1786" i="4" s="1"/>
  <c r="N1786" i="4"/>
  <c r="P1778" i="4"/>
  <c r="M1778" i="4"/>
  <c r="R1778" i="4" s="1"/>
  <c r="O1778" i="4"/>
  <c r="L1778" i="4"/>
  <c r="Q1778" i="4" s="1"/>
  <c r="N1778" i="4"/>
  <c r="O1770" i="4"/>
  <c r="P1770" i="4"/>
  <c r="M1770" i="4"/>
  <c r="R1770" i="4" s="1"/>
  <c r="L1770" i="4"/>
  <c r="Q1770" i="4" s="1"/>
  <c r="N1770" i="4"/>
  <c r="P1762" i="4"/>
  <c r="L1762" i="4"/>
  <c r="Q1762" i="4" s="1"/>
  <c r="O1762" i="4"/>
  <c r="M1762" i="4"/>
  <c r="R1762" i="4" s="1"/>
  <c r="N1762" i="4"/>
  <c r="P1754" i="4"/>
  <c r="L1754" i="4"/>
  <c r="Q1754" i="4" s="1"/>
  <c r="M1754" i="4"/>
  <c r="R1754" i="4" s="1"/>
  <c r="N1754" i="4"/>
  <c r="O1754" i="4"/>
  <c r="P1746" i="4"/>
  <c r="M1746" i="4"/>
  <c r="R1746" i="4" s="1"/>
  <c r="O1746" i="4"/>
  <c r="L1746" i="4"/>
  <c r="Q1746" i="4" s="1"/>
  <c r="N1746" i="4"/>
  <c r="M1738" i="4"/>
  <c r="R1738" i="4" s="1"/>
  <c r="N1738" i="4"/>
  <c r="O1738" i="4"/>
  <c r="P1738" i="4"/>
  <c r="L1738" i="4"/>
  <c r="Q1738" i="4" s="1"/>
  <c r="L1730" i="4"/>
  <c r="Q1730" i="4" s="1"/>
  <c r="O1730" i="4"/>
  <c r="P1730" i="4"/>
  <c r="M1730" i="4"/>
  <c r="R1730" i="4" s="1"/>
  <c r="N1730" i="4"/>
  <c r="P1722" i="4"/>
  <c r="N1722" i="4"/>
  <c r="O1722" i="4"/>
  <c r="M1722" i="4"/>
  <c r="R1722" i="4" s="1"/>
  <c r="L1722" i="4"/>
  <c r="Q1722" i="4" s="1"/>
  <c r="L1714" i="4"/>
  <c r="Q1714" i="4" s="1"/>
  <c r="O1714" i="4"/>
  <c r="M1714" i="4"/>
  <c r="R1714" i="4" s="1"/>
  <c r="N1714" i="4"/>
  <c r="P1714" i="4"/>
  <c r="P1706" i="4"/>
  <c r="O1706" i="4"/>
  <c r="N1706" i="4"/>
  <c r="L1706" i="4"/>
  <c r="Q1706" i="4" s="1"/>
  <c r="M1706" i="4"/>
  <c r="R1706" i="4" s="1"/>
  <c r="P1698" i="4"/>
  <c r="O1698" i="4"/>
  <c r="M1698" i="4"/>
  <c r="R1698" i="4" s="1"/>
  <c r="N1698" i="4"/>
  <c r="L1698" i="4"/>
  <c r="Q1698" i="4" s="1"/>
  <c r="P1690" i="4"/>
  <c r="N1690" i="4"/>
  <c r="L1690" i="4"/>
  <c r="Q1690" i="4" s="1"/>
  <c r="M1690" i="4"/>
  <c r="R1690" i="4" s="1"/>
  <c r="O1690" i="4"/>
  <c r="L1682" i="4"/>
  <c r="Q1682" i="4" s="1"/>
  <c r="O1682" i="4"/>
  <c r="P1682" i="4"/>
  <c r="N1682" i="4"/>
  <c r="M1682" i="4"/>
  <c r="R1682" i="4" s="1"/>
  <c r="P1674" i="4"/>
  <c r="L1674" i="4"/>
  <c r="Q1674" i="4" s="1"/>
  <c r="N1674" i="4"/>
  <c r="O1674" i="4"/>
  <c r="M1674" i="4"/>
  <c r="R1674" i="4" s="1"/>
  <c r="L1666" i="4"/>
  <c r="Q1666" i="4" s="1"/>
  <c r="P1666" i="4"/>
  <c r="N1666" i="4"/>
  <c r="M1666" i="4"/>
  <c r="R1666" i="4" s="1"/>
  <c r="O1666" i="4"/>
  <c r="L1658" i="4"/>
  <c r="Q1658" i="4" s="1"/>
  <c r="N1658" i="4"/>
  <c r="P1658" i="4"/>
  <c r="O1658" i="4"/>
  <c r="M1658" i="4"/>
  <c r="R1658" i="4" s="1"/>
  <c r="M1650" i="4"/>
  <c r="R1650" i="4" s="1"/>
  <c r="L1650" i="4"/>
  <c r="Q1650" i="4" s="1"/>
  <c r="O1650" i="4"/>
  <c r="P1650" i="4"/>
  <c r="N1650" i="4"/>
  <c r="L1642" i="4"/>
  <c r="Q1642" i="4" s="1"/>
  <c r="M1642" i="4"/>
  <c r="R1642" i="4" s="1"/>
  <c r="O1642" i="4"/>
  <c r="P1642" i="4"/>
  <c r="N1642" i="4"/>
  <c r="P1634" i="4"/>
  <c r="L1634" i="4"/>
  <c r="Q1634" i="4" s="1"/>
  <c r="N1634" i="4"/>
  <c r="M1634" i="4"/>
  <c r="R1634" i="4" s="1"/>
  <c r="O1634" i="4"/>
  <c r="L1626" i="4"/>
  <c r="Q1626" i="4" s="1"/>
  <c r="M1626" i="4"/>
  <c r="R1626" i="4" s="1"/>
  <c r="O1626" i="4"/>
  <c r="P1626" i="4"/>
  <c r="N1626" i="4"/>
  <c r="P1618" i="4"/>
  <c r="N1618" i="4"/>
  <c r="M1618" i="4"/>
  <c r="R1618" i="4" s="1"/>
  <c r="O1618" i="4"/>
  <c r="L1618" i="4"/>
  <c r="Q1618" i="4" s="1"/>
  <c r="M1610" i="4"/>
  <c r="R1610" i="4" s="1"/>
  <c r="P1610" i="4"/>
  <c r="L1610" i="4"/>
  <c r="Q1610" i="4" s="1"/>
  <c r="O1610" i="4"/>
  <c r="N1610" i="4"/>
  <c r="M1602" i="4"/>
  <c r="R1602" i="4" s="1"/>
  <c r="N1602" i="4"/>
  <c r="P1602" i="4"/>
  <c r="O1602" i="4"/>
  <c r="L1602" i="4"/>
  <c r="Q1602" i="4" s="1"/>
  <c r="M1594" i="4"/>
  <c r="R1594" i="4" s="1"/>
  <c r="L1594" i="4"/>
  <c r="Q1594" i="4" s="1"/>
  <c r="O1594" i="4"/>
  <c r="N1594" i="4"/>
  <c r="P1594" i="4"/>
  <c r="M1586" i="4"/>
  <c r="R1586" i="4" s="1"/>
  <c r="N1586" i="4"/>
  <c r="P1586" i="4"/>
  <c r="O1586" i="4"/>
  <c r="L1586" i="4"/>
  <c r="Q1586" i="4" s="1"/>
  <c r="M1578" i="4"/>
  <c r="R1578" i="4" s="1"/>
  <c r="L1578" i="4"/>
  <c r="Q1578" i="4" s="1"/>
  <c r="O1578" i="4"/>
  <c r="N1578" i="4"/>
  <c r="P1578" i="4"/>
  <c r="N1570" i="4"/>
  <c r="P1570" i="4"/>
  <c r="O1570" i="4"/>
  <c r="L1570" i="4"/>
  <c r="Q1570" i="4" s="1"/>
  <c r="M1570" i="4"/>
  <c r="R1570" i="4" s="1"/>
  <c r="M1562" i="4"/>
  <c r="R1562" i="4" s="1"/>
  <c r="N1562" i="4"/>
  <c r="P1562" i="4"/>
  <c r="L1562" i="4"/>
  <c r="Q1562" i="4" s="1"/>
  <c r="O1562" i="4"/>
  <c r="M1554" i="4"/>
  <c r="R1554" i="4" s="1"/>
  <c r="O1554" i="4"/>
  <c r="L1554" i="4"/>
  <c r="Q1554" i="4" s="1"/>
  <c r="N1554" i="4"/>
  <c r="P1554" i="4"/>
  <c r="M1546" i="4"/>
  <c r="R1546" i="4" s="1"/>
  <c r="N1546" i="4"/>
  <c r="P1546" i="4"/>
  <c r="L1546" i="4"/>
  <c r="Q1546" i="4" s="1"/>
  <c r="O1546" i="4"/>
  <c r="M1538" i="4"/>
  <c r="R1538" i="4" s="1"/>
  <c r="P1538" i="4"/>
  <c r="O1538" i="4"/>
  <c r="L1538" i="4"/>
  <c r="Q1538" i="4" s="1"/>
  <c r="N1538" i="4"/>
  <c r="M1530" i="4"/>
  <c r="R1530" i="4" s="1"/>
  <c r="N1530" i="4"/>
  <c r="O1530" i="4"/>
  <c r="P1530" i="4"/>
  <c r="L1530" i="4"/>
  <c r="Q1530" i="4" s="1"/>
  <c r="M1522" i="4"/>
  <c r="R1522" i="4" s="1"/>
  <c r="P1522" i="4"/>
  <c r="O1522" i="4"/>
  <c r="L1522" i="4"/>
  <c r="Q1522" i="4" s="1"/>
  <c r="N1522" i="4"/>
  <c r="M1514" i="4"/>
  <c r="R1514" i="4" s="1"/>
  <c r="N1514" i="4"/>
  <c r="P1514" i="4"/>
  <c r="O1514" i="4"/>
  <c r="L1514" i="4"/>
  <c r="Q1514" i="4" s="1"/>
  <c r="M1506" i="4"/>
  <c r="R1506" i="4" s="1"/>
  <c r="N1506" i="4"/>
  <c r="O1506" i="4"/>
  <c r="L1506" i="4"/>
  <c r="Q1506" i="4" s="1"/>
  <c r="P1506" i="4"/>
  <c r="M1498" i="4"/>
  <c r="R1498" i="4" s="1"/>
  <c r="N1498" i="4"/>
  <c r="P1498" i="4"/>
  <c r="L1498" i="4"/>
  <c r="Q1498" i="4" s="1"/>
  <c r="O1498" i="4"/>
  <c r="M1490" i="4"/>
  <c r="R1490" i="4" s="1"/>
  <c r="N1490" i="4"/>
  <c r="P1490" i="4"/>
  <c r="O1490" i="4"/>
  <c r="L1490" i="4"/>
  <c r="Q1490" i="4" s="1"/>
  <c r="M1482" i="4"/>
  <c r="R1482" i="4" s="1"/>
  <c r="N1482" i="4"/>
  <c r="P1482" i="4"/>
  <c r="L1482" i="4"/>
  <c r="Q1482" i="4" s="1"/>
  <c r="O1482" i="4"/>
  <c r="M1474" i="4"/>
  <c r="R1474" i="4" s="1"/>
  <c r="P1474" i="4"/>
  <c r="O1474" i="4"/>
  <c r="L1474" i="4"/>
  <c r="Q1474" i="4" s="1"/>
  <c r="N1474" i="4"/>
  <c r="M1466" i="4"/>
  <c r="R1466" i="4" s="1"/>
  <c r="N1466" i="4"/>
  <c r="L1466" i="4"/>
  <c r="Q1466" i="4" s="1"/>
  <c r="P1466" i="4"/>
  <c r="O1466" i="4"/>
  <c r="M1458" i="4"/>
  <c r="R1458" i="4" s="1"/>
  <c r="P1458" i="4"/>
  <c r="O1458" i="4"/>
  <c r="L1458" i="4"/>
  <c r="Q1458" i="4" s="1"/>
  <c r="N1458" i="4"/>
  <c r="M1450" i="4"/>
  <c r="R1450" i="4" s="1"/>
  <c r="N1450" i="4"/>
  <c r="P1450" i="4"/>
  <c r="L1450" i="4"/>
  <c r="Q1450" i="4" s="1"/>
  <c r="O1450" i="4"/>
  <c r="L1442" i="4"/>
  <c r="Q1442" i="4" s="1"/>
  <c r="M1442" i="4"/>
  <c r="R1442" i="4" s="1"/>
  <c r="P1442" i="4"/>
  <c r="O1442" i="4"/>
  <c r="N1442" i="4"/>
  <c r="L1434" i="4"/>
  <c r="Q1434" i="4" s="1"/>
  <c r="N1434" i="4"/>
  <c r="P1434" i="4"/>
  <c r="O1434" i="4"/>
  <c r="M1434" i="4"/>
  <c r="R1434" i="4" s="1"/>
  <c r="L1426" i="4"/>
  <c r="Q1426" i="4" s="1"/>
  <c r="M1426" i="4"/>
  <c r="R1426" i="4" s="1"/>
  <c r="P1426" i="4"/>
  <c r="O1426" i="4"/>
  <c r="N1426" i="4"/>
  <c r="L1418" i="4"/>
  <c r="Q1418" i="4" s="1"/>
  <c r="O1418" i="4"/>
  <c r="M1418" i="4"/>
  <c r="R1418" i="4" s="1"/>
  <c r="N1418" i="4"/>
  <c r="P1418" i="4"/>
  <c r="L1410" i="4"/>
  <c r="Q1410" i="4" s="1"/>
  <c r="M1410" i="4"/>
  <c r="R1410" i="4" s="1"/>
  <c r="P1410" i="4"/>
  <c r="N1410" i="4"/>
  <c r="O1410" i="4"/>
  <c r="L1402" i="4"/>
  <c r="Q1402" i="4" s="1"/>
  <c r="N1402" i="4"/>
  <c r="P1402" i="4"/>
  <c r="M1402" i="4"/>
  <c r="R1402" i="4" s="1"/>
  <c r="O1402" i="4"/>
  <c r="L1394" i="4"/>
  <c r="Q1394" i="4" s="1"/>
  <c r="M1394" i="4"/>
  <c r="R1394" i="4" s="1"/>
  <c r="O1394" i="4"/>
  <c r="N1394" i="4"/>
  <c r="P1394" i="4"/>
  <c r="L1386" i="4"/>
  <c r="Q1386" i="4" s="1"/>
  <c r="P1386" i="4"/>
  <c r="O1386" i="4"/>
  <c r="M1386" i="4"/>
  <c r="R1386" i="4" s="1"/>
  <c r="N1386" i="4"/>
  <c r="L1378" i="4"/>
  <c r="Q1378" i="4" s="1"/>
  <c r="M1378" i="4"/>
  <c r="R1378" i="4" s="1"/>
  <c r="O1378" i="4"/>
  <c r="N1378" i="4"/>
  <c r="P1378" i="4"/>
  <c r="L1370" i="4"/>
  <c r="Q1370" i="4" s="1"/>
  <c r="M1370" i="4"/>
  <c r="R1370" i="4" s="1"/>
  <c r="N1370" i="4"/>
  <c r="P1370" i="4"/>
  <c r="O1370" i="4"/>
  <c r="L1362" i="4"/>
  <c r="Q1362" i="4" s="1"/>
  <c r="M1362" i="4"/>
  <c r="R1362" i="4" s="1"/>
  <c r="N1362" i="4"/>
  <c r="P1362" i="4"/>
  <c r="O1362" i="4"/>
  <c r="L1354" i="4"/>
  <c r="Q1354" i="4" s="1"/>
  <c r="M1354" i="4"/>
  <c r="R1354" i="4" s="1"/>
  <c r="N1354" i="4"/>
  <c r="P1354" i="4"/>
  <c r="O1354" i="4"/>
  <c r="L1346" i="4"/>
  <c r="Q1346" i="4" s="1"/>
  <c r="M1346" i="4"/>
  <c r="R1346" i="4" s="1"/>
  <c r="P1346" i="4"/>
  <c r="N1346" i="4"/>
  <c r="O1346" i="4"/>
  <c r="L1338" i="4"/>
  <c r="Q1338" i="4" s="1"/>
  <c r="O1338" i="4"/>
  <c r="M1338" i="4"/>
  <c r="R1338" i="4" s="1"/>
  <c r="N1338" i="4"/>
  <c r="P1338" i="4"/>
  <c r="L1330" i="4"/>
  <c r="Q1330" i="4" s="1"/>
  <c r="M1330" i="4"/>
  <c r="R1330" i="4" s="1"/>
  <c r="O1330" i="4"/>
  <c r="P1330" i="4"/>
  <c r="N1330" i="4"/>
  <c r="L1322" i="4"/>
  <c r="Q1322" i="4" s="1"/>
  <c r="M1322" i="4"/>
  <c r="R1322" i="4" s="1"/>
  <c r="N1322" i="4"/>
  <c r="P1322" i="4"/>
  <c r="O1322" i="4"/>
  <c r="L1314" i="4"/>
  <c r="Q1314" i="4" s="1"/>
  <c r="M1314" i="4"/>
  <c r="R1314" i="4" s="1"/>
  <c r="O1314" i="4"/>
  <c r="N1314" i="4"/>
  <c r="P1314" i="4"/>
  <c r="L1306" i="4"/>
  <c r="Q1306" i="4" s="1"/>
  <c r="M1306" i="4"/>
  <c r="R1306" i="4" s="1"/>
  <c r="N1306" i="4"/>
  <c r="O1306" i="4"/>
  <c r="P1306" i="4"/>
  <c r="L1298" i="4"/>
  <c r="Q1298" i="4" s="1"/>
  <c r="M1298" i="4"/>
  <c r="R1298" i="4" s="1"/>
  <c r="N1298" i="4"/>
  <c r="P1298" i="4"/>
  <c r="O1298" i="4"/>
  <c r="L1290" i="4"/>
  <c r="Q1290" i="4" s="1"/>
  <c r="O1290" i="4"/>
  <c r="N1290" i="4"/>
  <c r="P1290" i="4"/>
  <c r="M1290" i="4"/>
  <c r="R1290" i="4" s="1"/>
  <c r="O1282" i="4"/>
  <c r="M1282" i="4"/>
  <c r="R1282" i="4" s="1"/>
  <c r="L1282" i="4"/>
  <c r="Q1282" i="4" s="1"/>
  <c r="P1282" i="4"/>
  <c r="N1282" i="4"/>
  <c r="L1274" i="4"/>
  <c r="Q1274" i="4" s="1"/>
  <c r="N1274" i="4"/>
  <c r="P1274" i="4"/>
  <c r="M1274" i="4"/>
  <c r="R1274" i="4" s="1"/>
  <c r="O1274" i="4"/>
  <c r="M1266" i="4"/>
  <c r="R1266" i="4" s="1"/>
  <c r="L1266" i="4"/>
  <c r="Q1266" i="4" s="1"/>
  <c r="O1266" i="4"/>
  <c r="N1266" i="4"/>
  <c r="P1266" i="4"/>
  <c r="L1258" i="4"/>
  <c r="Q1258" i="4" s="1"/>
  <c r="M1258" i="4"/>
  <c r="R1258" i="4" s="1"/>
  <c r="N1258" i="4"/>
  <c r="O1258" i="4"/>
  <c r="P1258" i="4"/>
  <c r="L1250" i="4"/>
  <c r="Q1250" i="4" s="1"/>
  <c r="P1250" i="4"/>
  <c r="O1250" i="4"/>
  <c r="M1250" i="4"/>
  <c r="R1250" i="4" s="1"/>
  <c r="N1250" i="4"/>
  <c r="L1242" i="4"/>
  <c r="Q1242" i="4" s="1"/>
  <c r="M1242" i="4"/>
  <c r="R1242" i="4" s="1"/>
  <c r="P1242" i="4"/>
  <c r="O1242" i="4"/>
  <c r="N1242" i="4"/>
  <c r="O1234" i="4"/>
  <c r="L1234" i="4"/>
  <c r="Q1234" i="4" s="1"/>
  <c r="M1234" i="4"/>
  <c r="R1234" i="4" s="1"/>
  <c r="P1234" i="4"/>
  <c r="N1234" i="4"/>
  <c r="N1226" i="4"/>
  <c r="O1226" i="4"/>
  <c r="L1226" i="4"/>
  <c r="Q1226" i="4" s="1"/>
  <c r="M1226" i="4"/>
  <c r="R1226" i="4" s="1"/>
  <c r="P1226" i="4"/>
  <c r="L1218" i="4"/>
  <c r="Q1218" i="4" s="1"/>
  <c r="P1218" i="4"/>
  <c r="O1218" i="4"/>
  <c r="M1218" i="4"/>
  <c r="R1218" i="4" s="1"/>
  <c r="N1218" i="4"/>
  <c r="L1210" i="4"/>
  <c r="Q1210" i="4" s="1"/>
  <c r="M1210" i="4"/>
  <c r="R1210" i="4" s="1"/>
  <c r="O1210" i="4"/>
  <c r="P1210" i="4"/>
  <c r="N1210" i="4"/>
  <c r="L1202" i="4"/>
  <c r="Q1202" i="4" s="1"/>
  <c r="M1202" i="4"/>
  <c r="R1202" i="4" s="1"/>
  <c r="O1202" i="4"/>
  <c r="N1202" i="4"/>
  <c r="P1202" i="4"/>
  <c r="L1194" i="4"/>
  <c r="Q1194" i="4" s="1"/>
  <c r="O1194" i="4"/>
  <c r="N1194" i="4"/>
  <c r="M1194" i="4"/>
  <c r="R1194" i="4" s="1"/>
  <c r="P1194" i="4"/>
  <c r="L1186" i="4"/>
  <c r="Q1186" i="4" s="1"/>
  <c r="N1186" i="4"/>
  <c r="M1186" i="4"/>
  <c r="R1186" i="4" s="1"/>
  <c r="P1186" i="4"/>
  <c r="O1186" i="4"/>
  <c r="L1178" i="4"/>
  <c r="Q1178" i="4" s="1"/>
  <c r="O1178" i="4"/>
  <c r="M1178" i="4"/>
  <c r="R1178" i="4" s="1"/>
  <c r="N1178" i="4"/>
  <c r="P1178" i="4"/>
  <c r="L1170" i="4"/>
  <c r="Q1170" i="4" s="1"/>
  <c r="M1170" i="4"/>
  <c r="R1170" i="4" s="1"/>
  <c r="O1170" i="4"/>
  <c r="N1170" i="4"/>
  <c r="P1170" i="4"/>
  <c r="L1162" i="4"/>
  <c r="Q1162" i="4" s="1"/>
  <c r="O1162" i="4"/>
  <c r="P1162" i="4"/>
  <c r="M1162" i="4"/>
  <c r="R1162" i="4" s="1"/>
  <c r="N1162" i="4"/>
  <c r="L1154" i="4"/>
  <c r="Q1154" i="4" s="1"/>
  <c r="P1154" i="4"/>
  <c r="O1154" i="4"/>
  <c r="N1154" i="4"/>
  <c r="M1154" i="4"/>
  <c r="R1154" i="4" s="1"/>
  <c r="L1146" i="4"/>
  <c r="Q1146" i="4" s="1"/>
  <c r="M1146" i="4"/>
  <c r="R1146" i="4" s="1"/>
  <c r="O1146" i="4"/>
  <c r="P1146" i="4"/>
  <c r="N1146" i="4"/>
  <c r="L1138" i="4"/>
  <c r="Q1138" i="4" s="1"/>
  <c r="M1138" i="4"/>
  <c r="R1138" i="4" s="1"/>
  <c r="O1138" i="4"/>
  <c r="P1138" i="4"/>
  <c r="N1138" i="4"/>
  <c r="L1130" i="4"/>
  <c r="Q1130" i="4" s="1"/>
  <c r="O1130" i="4"/>
  <c r="P1130" i="4"/>
  <c r="M1130" i="4"/>
  <c r="R1130" i="4" s="1"/>
  <c r="N1130" i="4"/>
  <c r="L1122" i="4"/>
  <c r="Q1122" i="4" s="1"/>
  <c r="N1122" i="4"/>
  <c r="M1122" i="4"/>
  <c r="R1122" i="4" s="1"/>
  <c r="O1122" i="4"/>
  <c r="P1122" i="4"/>
  <c r="O1114" i="4"/>
  <c r="L1114" i="4"/>
  <c r="Q1114" i="4" s="1"/>
  <c r="M1114" i="4"/>
  <c r="R1114" i="4" s="1"/>
  <c r="N1114" i="4"/>
  <c r="P1114" i="4"/>
  <c r="L1106" i="4"/>
  <c r="Q1106" i="4" s="1"/>
  <c r="O1106" i="4"/>
  <c r="M1106" i="4"/>
  <c r="R1106" i="4" s="1"/>
  <c r="N1106" i="4"/>
  <c r="P1106" i="4"/>
  <c r="O1098" i="4"/>
  <c r="L1098" i="4"/>
  <c r="Q1098" i="4" s="1"/>
  <c r="M1098" i="4"/>
  <c r="R1098" i="4" s="1"/>
  <c r="P1098" i="4"/>
  <c r="N1098" i="4"/>
  <c r="M1090" i="4"/>
  <c r="R1090" i="4" s="1"/>
  <c r="L1090" i="4"/>
  <c r="Q1090" i="4" s="1"/>
  <c r="P1090" i="4"/>
  <c r="O1090" i="4"/>
  <c r="N1090" i="4"/>
  <c r="O1082" i="4"/>
  <c r="L1082" i="4"/>
  <c r="Q1082" i="4" s="1"/>
  <c r="M1082" i="4"/>
  <c r="R1082" i="4" s="1"/>
  <c r="N1082" i="4"/>
  <c r="P1082" i="4"/>
  <c r="L1074" i="4"/>
  <c r="Q1074" i="4" s="1"/>
  <c r="M1074" i="4"/>
  <c r="R1074" i="4" s="1"/>
  <c r="N1074" i="4"/>
  <c r="P1074" i="4"/>
  <c r="O1074" i="4"/>
  <c r="P1066" i="4"/>
  <c r="N1066" i="4"/>
  <c r="L1066" i="4"/>
  <c r="Q1066" i="4" s="1"/>
  <c r="O1066" i="4"/>
  <c r="M1066" i="4"/>
  <c r="R1066" i="4" s="1"/>
  <c r="L1058" i="4"/>
  <c r="Q1058" i="4" s="1"/>
  <c r="M1058" i="4"/>
  <c r="R1058" i="4" s="1"/>
  <c r="N1058" i="4"/>
  <c r="P1058" i="4"/>
  <c r="O1058" i="4"/>
  <c r="L1050" i="4"/>
  <c r="Q1050" i="4" s="1"/>
  <c r="M1050" i="4"/>
  <c r="R1050" i="4" s="1"/>
  <c r="P1050" i="4"/>
  <c r="N1050" i="4"/>
  <c r="O1050" i="4"/>
  <c r="L1042" i="4"/>
  <c r="Q1042" i="4" s="1"/>
  <c r="M1042" i="4"/>
  <c r="R1042" i="4" s="1"/>
  <c r="P1042" i="4"/>
  <c r="N1042" i="4"/>
  <c r="O1042" i="4"/>
  <c r="L1034" i="4"/>
  <c r="Q1034" i="4" s="1"/>
  <c r="P1034" i="4"/>
  <c r="M1034" i="4"/>
  <c r="R1034" i="4" s="1"/>
  <c r="N1034" i="4"/>
  <c r="O1034" i="4"/>
  <c r="M1026" i="4"/>
  <c r="R1026" i="4" s="1"/>
  <c r="P1026" i="4"/>
  <c r="N1026" i="4"/>
  <c r="L1026" i="4"/>
  <c r="Q1026" i="4" s="1"/>
  <c r="O1026" i="4"/>
  <c r="O1018" i="4"/>
  <c r="M1018" i="4"/>
  <c r="R1018" i="4" s="1"/>
  <c r="N1018" i="4"/>
  <c r="L1018" i="4"/>
  <c r="Q1018" i="4" s="1"/>
  <c r="P1018" i="4"/>
  <c r="M1010" i="4"/>
  <c r="R1010" i="4" s="1"/>
  <c r="O1010" i="4"/>
  <c r="P1010" i="4"/>
  <c r="L1010" i="4"/>
  <c r="Q1010" i="4" s="1"/>
  <c r="N1010" i="4"/>
  <c r="M1002" i="4"/>
  <c r="R1002" i="4" s="1"/>
  <c r="N1002" i="4"/>
  <c r="O1002" i="4"/>
  <c r="P1002" i="4"/>
  <c r="L1002" i="4"/>
  <c r="Q1002" i="4" s="1"/>
  <c r="L994" i="4"/>
  <c r="Q994" i="4" s="1"/>
  <c r="M994" i="4"/>
  <c r="R994" i="4" s="1"/>
  <c r="N994" i="4"/>
  <c r="O994" i="4"/>
  <c r="P994" i="4"/>
  <c r="O986" i="4"/>
  <c r="M986" i="4"/>
  <c r="R986" i="4" s="1"/>
  <c r="N986" i="4"/>
  <c r="L986" i="4"/>
  <c r="Q986" i="4" s="1"/>
  <c r="P986" i="4"/>
  <c r="M978" i="4"/>
  <c r="R978" i="4" s="1"/>
  <c r="O978" i="4"/>
  <c r="L978" i="4"/>
  <c r="Q978" i="4" s="1"/>
  <c r="N978" i="4"/>
  <c r="P978" i="4"/>
  <c r="O970" i="4"/>
  <c r="M970" i="4"/>
  <c r="R970" i="4" s="1"/>
  <c r="N970" i="4"/>
  <c r="P970" i="4"/>
  <c r="L970" i="4"/>
  <c r="Q970" i="4" s="1"/>
  <c r="P962" i="4"/>
  <c r="O962" i="4"/>
  <c r="L962" i="4"/>
  <c r="Q962" i="4" s="1"/>
  <c r="N962" i="4"/>
  <c r="M962" i="4"/>
  <c r="R962" i="4" s="1"/>
  <c r="O954" i="4"/>
  <c r="M954" i="4"/>
  <c r="R954" i="4" s="1"/>
  <c r="N954" i="4"/>
  <c r="L954" i="4"/>
  <c r="Q954" i="4" s="1"/>
  <c r="P954" i="4"/>
  <c r="L946" i="4"/>
  <c r="Q946" i="4" s="1"/>
  <c r="O946" i="4"/>
  <c r="M946" i="4"/>
  <c r="R946" i="4" s="1"/>
  <c r="N946" i="4"/>
  <c r="P946" i="4"/>
  <c r="M938" i="4"/>
  <c r="R938" i="4" s="1"/>
  <c r="O938" i="4"/>
  <c r="L938" i="4"/>
  <c r="Q938" i="4" s="1"/>
  <c r="P938" i="4"/>
  <c r="N938" i="4"/>
  <c r="L930" i="4"/>
  <c r="Q930" i="4" s="1"/>
  <c r="O930" i="4"/>
  <c r="M930" i="4"/>
  <c r="R930" i="4" s="1"/>
  <c r="P930" i="4"/>
  <c r="N930" i="4"/>
  <c r="M922" i="4"/>
  <c r="R922" i="4" s="1"/>
  <c r="L922" i="4"/>
  <c r="Q922" i="4" s="1"/>
  <c r="O922" i="4"/>
  <c r="N922" i="4"/>
  <c r="P922" i="4"/>
  <c r="N914" i="4"/>
  <c r="P914" i="4"/>
  <c r="M914" i="4"/>
  <c r="R914" i="4" s="1"/>
  <c r="O914" i="4"/>
  <c r="L914" i="4"/>
  <c r="Q914" i="4" s="1"/>
  <c r="I906" i="4"/>
  <c r="K906" i="4"/>
  <c r="I898" i="4"/>
  <c r="K898" i="4"/>
  <c r="I890" i="4"/>
  <c r="K890" i="4"/>
  <c r="I882" i="4"/>
  <c r="K882" i="4"/>
  <c r="I874" i="4"/>
  <c r="K874" i="4"/>
  <c r="I866" i="4"/>
  <c r="K866" i="4"/>
  <c r="I858" i="4"/>
  <c r="K858" i="4"/>
  <c r="I850" i="4"/>
  <c r="K850" i="4"/>
  <c r="I842" i="4"/>
  <c r="K842" i="4"/>
  <c r="I834" i="4"/>
  <c r="K834" i="4"/>
  <c r="I826" i="4"/>
  <c r="K826" i="4"/>
  <c r="I818" i="4"/>
  <c r="K818" i="4"/>
  <c r="I810" i="4"/>
  <c r="K810" i="4"/>
  <c r="I802" i="4"/>
  <c r="K802" i="4"/>
  <c r="I794" i="4"/>
  <c r="K794" i="4"/>
  <c r="I786" i="4"/>
  <c r="K786" i="4"/>
  <c r="I778" i="4"/>
  <c r="K778" i="4"/>
  <c r="I770" i="4"/>
  <c r="K770" i="4"/>
  <c r="I762" i="4"/>
  <c r="K762" i="4"/>
  <c r="I754" i="4"/>
  <c r="K754" i="4"/>
  <c r="I746" i="4"/>
  <c r="K746" i="4"/>
  <c r="I738" i="4"/>
  <c r="K738" i="4"/>
  <c r="I730" i="4"/>
  <c r="K730" i="4"/>
  <c r="I722" i="4"/>
  <c r="K722" i="4"/>
  <c r="I714" i="4"/>
  <c r="K714" i="4"/>
  <c r="I706" i="4"/>
  <c r="K706" i="4"/>
  <c r="I698" i="4"/>
  <c r="K698" i="4"/>
  <c r="I690" i="4"/>
  <c r="K690" i="4"/>
  <c r="I682" i="4"/>
  <c r="K682" i="4"/>
  <c r="I674" i="4"/>
  <c r="K674" i="4"/>
  <c r="I666" i="4"/>
  <c r="K666" i="4"/>
  <c r="I658" i="4"/>
  <c r="K658" i="4"/>
  <c r="I650" i="4"/>
  <c r="K650" i="4"/>
  <c r="I642" i="4"/>
  <c r="K642" i="4"/>
  <c r="I634" i="4"/>
  <c r="K634" i="4"/>
  <c r="I626" i="4"/>
  <c r="K626" i="4"/>
  <c r="I618" i="4"/>
  <c r="K618" i="4"/>
  <c r="I610" i="4"/>
  <c r="K610" i="4"/>
  <c r="I602" i="4"/>
  <c r="K602" i="4"/>
  <c r="I594" i="4"/>
  <c r="K594" i="4"/>
  <c r="I586" i="4"/>
  <c r="K586" i="4"/>
  <c r="I578" i="4"/>
  <c r="K578" i="4"/>
  <c r="I570" i="4"/>
  <c r="K570" i="4"/>
  <c r="I562" i="4"/>
  <c r="K562" i="4"/>
  <c r="I554" i="4"/>
  <c r="K554" i="4"/>
  <c r="I546" i="4"/>
  <c r="K546" i="4"/>
  <c r="I538" i="4"/>
  <c r="K538" i="4"/>
  <c r="I530" i="4"/>
  <c r="K530" i="4"/>
  <c r="I522" i="4"/>
  <c r="K522" i="4"/>
  <c r="I514" i="4"/>
  <c r="K514" i="4"/>
  <c r="I506" i="4"/>
  <c r="K506" i="4"/>
  <c r="I498" i="4"/>
  <c r="K498" i="4"/>
  <c r="I490" i="4"/>
  <c r="K490" i="4"/>
  <c r="I482" i="4"/>
  <c r="K482" i="4"/>
  <c r="I474" i="4"/>
  <c r="K474" i="4"/>
  <c r="I466" i="4"/>
  <c r="K466" i="4"/>
  <c r="I458" i="4"/>
  <c r="K458" i="4"/>
  <c r="I450" i="4"/>
  <c r="K450" i="4"/>
  <c r="I442" i="4"/>
  <c r="K442" i="4"/>
  <c r="I434" i="4"/>
  <c r="K434" i="4"/>
  <c r="I426" i="4"/>
  <c r="K426" i="4"/>
  <c r="I418" i="4"/>
  <c r="K418" i="4"/>
  <c r="I410" i="4"/>
  <c r="K410" i="4"/>
  <c r="I402" i="4"/>
  <c r="K402" i="4"/>
  <c r="I394" i="4"/>
  <c r="K394" i="4"/>
  <c r="I386" i="4"/>
  <c r="K386" i="4"/>
  <c r="I378" i="4"/>
  <c r="K378" i="4"/>
  <c r="I370" i="4"/>
  <c r="K370" i="4"/>
  <c r="I362" i="4"/>
  <c r="K362" i="4"/>
  <c r="I354" i="4"/>
  <c r="K354" i="4"/>
  <c r="I346" i="4"/>
  <c r="K346" i="4"/>
  <c r="I338" i="4"/>
  <c r="K338" i="4"/>
  <c r="I330" i="4"/>
  <c r="K330" i="4"/>
  <c r="I322" i="4"/>
  <c r="K322" i="4"/>
  <c r="I314" i="4"/>
  <c r="K314" i="4"/>
  <c r="I306" i="4"/>
  <c r="K306" i="4"/>
  <c r="I298" i="4"/>
  <c r="K298" i="4"/>
  <c r="I290" i="4"/>
  <c r="K290" i="4"/>
  <c r="I282" i="4"/>
  <c r="K282" i="4"/>
  <c r="I274" i="4"/>
  <c r="K274" i="4"/>
  <c r="I266" i="4"/>
  <c r="K266" i="4"/>
  <c r="I258" i="4"/>
  <c r="K258" i="4"/>
  <c r="I250" i="4"/>
  <c r="K250" i="4"/>
  <c r="I242" i="4"/>
  <c r="K242" i="4"/>
  <c r="I234" i="4"/>
  <c r="K234" i="4"/>
  <c r="I226" i="4"/>
  <c r="K226" i="4"/>
  <c r="I218" i="4"/>
  <c r="K218" i="4"/>
  <c r="I210" i="4"/>
  <c r="K210" i="4"/>
  <c r="I202" i="4"/>
  <c r="K202" i="4"/>
  <c r="I194" i="4"/>
  <c r="K194" i="4"/>
  <c r="I186" i="4"/>
  <c r="K186" i="4"/>
  <c r="I178" i="4"/>
  <c r="K178" i="4"/>
  <c r="I170" i="4"/>
  <c r="K170" i="4"/>
  <c r="I162" i="4"/>
  <c r="K162" i="4"/>
  <c r="I154" i="4"/>
  <c r="K154" i="4"/>
  <c r="I146" i="4"/>
  <c r="K146" i="4"/>
  <c r="I138" i="4"/>
  <c r="K138" i="4"/>
  <c r="P2974" i="4"/>
  <c r="N2974" i="4"/>
  <c r="O2974" i="4"/>
  <c r="L2974" i="4"/>
  <c r="Q2974" i="4" s="1"/>
  <c r="M2974" i="4"/>
  <c r="R2974" i="4" s="1"/>
  <c r="P2926" i="4"/>
  <c r="O2926" i="4"/>
  <c r="N2926" i="4"/>
  <c r="M2926" i="4"/>
  <c r="R2926" i="4" s="1"/>
  <c r="L2926" i="4"/>
  <c r="Q2926" i="4" s="1"/>
  <c r="P2870" i="4"/>
  <c r="N2870" i="4"/>
  <c r="O2870" i="4"/>
  <c r="M2870" i="4"/>
  <c r="R2870" i="4" s="1"/>
  <c r="L2870" i="4"/>
  <c r="Q2870" i="4" s="1"/>
  <c r="P2814" i="4"/>
  <c r="N2814" i="4"/>
  <c r="O2814" i="4"/>
  <c r="L2814" i="4"/>
  <c r="Q2814" i="4" s="1"/>
  <c r="M2814" i="4"/>
  <c r="R2814" i="4" s="1"/>
  <c r="O2758" i="4"/>
  <c r="N2758" i="4"/>
  <c r="P2758" i="4"/>
  <c r="L2758" i="4"/>
  <c r="Q2758" i="4" s="1"/>
  <c r="M2758" i="4"/>
  <c r="R2758" i="4" s="1"/>
  <c r="L2702" i="4"/>
  <c r="Q2702" i="4" s="1"/>
  <c r="P2702" i="4"/>
  <c r="M2702" i="4"/>
  <c r="R2702" i="4" s="1"/>
  <c r="O2702" i="4"/>
  <c r="N2702" i="4"/>
  <c r="L2646" i="4"/>
  <c r="Q2646" i="4" s="1"/>
  <c r="P2646" i="4"/>
  <c r="O2646" i="4"/>
  <c r="N2646" i="4"/>
  <c r="M2646" i="4"/>
  <c r="R2646" i="4" s="1"/>
  <c r="L2590" i="4"/>
  <c r="Q2590" i="4" s="1"/>
  <c r="M2590" i="4"/>
  <c r="R2590" i="4" s="1"/>
  <c r="O2590" i="4"/>
  <c r="P2590" i="4"/>
  <c r="N2590" i="4"/>
  <c r="L2534" i="4"/>
  <c r="Q2534" i="4" s="1"/>
  <c r="O2534" i="4"/>
  <c r="N2534" i="4"/>
  <c r="M2534" i="4"/>
  <c r="R2534" i="4" s="1"/>
  <c r="P2534" i="4"/>
  <c r="L2478" i="4"/>
  <c r="Q2478" i="4" s="1"/>
  <c r="M2478" i="4"/>
  <c r="R2478" i="4" s="1"/>
  <c r="P2478" i="4"/>
  <c r="O2478" i="4"/>
  <c r="N2478" i="4"/>
  <c r="L2382" i="4"/>
  <c r="Q2382" i="4" s="1"/>
  <c r="M2382" i="4"/>
  <c r="R2382" i="4" s="1"/>
  <c r="P2382" i="4"/>
  <c r="O2382" i="4"/>
  <c r="N2382" i="4"/>
  <c r="L2334" i="4"/>
  <c r="Q2334" i="4" s="1"/>
  <c r="P2334" i="4"/>
  <c r="N2334" i="4"/>
  <c r="M2334" i="4"/>
  <c r="R2334" i="4" s="1"/>
  <c r="O2334" i="4"/>
  <c r="L2278" i="4"/>
  <c r="Q2278" i="4" s="1"/>
  <c r="O2278" i="4"/>
  <c r="M2278" i="4"/>
  <c r="R2278" i="4" s="1"/>
  <c r="P2278" i="4"/>
  <c r="N2278" i="4"/>
  <c r="L2222" i="4"/>
  <c r="Q2222" i="4" s="1"/>
  <c r="M2222" i="4"/>
  <c r="R2222" i="4" s="1"/>
  <c r="P2222" i="4"/>
  <c r="N2222" i="4"/>
  <c r="O2222" i="4"/>
  <c r="L2166" i="4"/>
  <c r="Q2166" i="4" s="1"/>
  <c r="P2166" i="4"/>
  <c r="M2166" i="4"/>
  <c r="R2166" i="4" s="1"/>
  <c r="N2166" i="4"/>
  <c r="O2166" i="4"/>
  <c r="L2110" i="4"/>
  <c r="Q2110" i="4" s="1"/>
  <c r="P2110" i="4"/>
  <c r="O2110" i="4"/>
  <c r="N2110" i="4"/>
  <c r="M2110" i="4"/>
  <c r="R2110" i="4" s="1"/>
  <c r="O2054" i="4"/>
  <c r="M2054" i="4"/>
  <c r="R2054" i="4" s="1"/>
  <c r="N2054" i="4"/>
  <c r="P2054" i="4"/>
  <c r="L2054" i="4"/>
  <c r="Q2054" i="4" s="1"/>
  <c r="M1990" i="4"/>
  <c r="R1990" i="4" s="1"/>
  <c r="O1990" i="4"/>
  <c r="P1990" i="4"/>
  <c r="L1990" i="4"/>
  <c r="Q1990" i="4" s="1"/>
  <c r="N1990" i="4"/>
  <c r="M1942" i="4"/>
  <c r="R1942" i="4" s="1"/>
  <c r="O1942" i="4"/>
  <c r="P1942" i="4"/>
  <c r="L1942" i="4"/>
  <c r="Q1942" i="4" s="1"/>
  <c r="N1942" i="4"/>
  <c r="P1886" i="4"/>
  <c r="L1886" i="4"/>
  <c r="Q1886" i="4" s="1"/>
  <c r="N1886" i="4"/>
  <c r="M1886" i="4"/>
  <c r="R1886" i="4" s="1"/>
  <c r="O1886" i="4"/>
  <c r="M1846" i="4"/>
  <c r="R1846" i="4" s="1"/>
  <c r="O1846" i="4"/>
  <c r="P1846" i="4"/>
  <c r="L1846" i="4"/>
  <c r="Q1846" i="4" s="1"/>
  <c r="N1846" i="4"/>
  <c r="L2932" i="4"/>
  <c r="Q2932" i="4" s="1"/>
  <c r="P2932" i="4"/>
  <c r="N2932" i="4"/>
  <c r="M2932" i="4"/>
  <c r="R2932" i="4" s="1"/>
  <c r="O2932" i="4"/>
  <c r="L2900" i="4"/>
  <c r="Q2900" i="4" s="1"/>
  <c r="P2900" i="4"/>
  <c r="N2900" i="4"/>
  <c r="M2900" i="4"/>
  <c r="R2900" i="4" s="1"/>
  <c r="O2900" i="4"/>
  <c r="L2884" i="4"/>
  <c r="Q2884" i="4" s="1"/>
  <c r="O2884" i="4"/>
  <c r="N2884" i="4"/>
  <c r="M2884" i="4"/>
  <c r="R2884" i="4" s="1"/>
  <c r="P2884" i="4"/>
  <c r="L2852" i="4"/>
  <c r="Q2852" i="4" s="1"/>
  <c r="O2852" i="4"/>
  <c r="N2852" i="4"/>
  <c r="M2852" i="4"/>
  <c r="R2852" i="4" s="1"/>
  <c r="P2852" i="4"/>
  <c r="L2828" i="4"/>
  <c r="Q2828" i="4" s="1"/>
  <c r="M2828" i="4"/>
  <c r="R2828" i="4" s="1"/>
  <c r="P2828" i="4"/>
  <c r="O2828" i="4"/>
  <c r="N2828" i="4"/>
  <c r="L2796" i="4"/>
  <c r="Q2796" i="4" s="1"/>
  <c r="M2796" i="4"/>
  <c r="R2796" i="4" s="1"/>
  <c r="P2796" i="4"/>
  <c r="O2796" i="4"/>
  <c r="N2796" i="4"/>
  <c r="L2772" i="4"/>
  <c r="Q2772" i="4" s="1"/>
  <c r="M2772" i="4"/>
  <c r="R2772" i="4" s="1"/>
  <c r="P2772" i="4"/>
  <c r="N2772" i="4"/>
  <c r="O2772" i="4"/>
  <c r="P2708" i="4"/>
  <c r="M2708" i="4"/>
  <c r="R2708" i="4" s="1"/>
  <c r="O2708" i="4"/>
  <c r="N2708" i="4"/>
  <c r="L2708" i="4"/>
  <c r="Q2708" i="4" s="1"/>
  <c r="P2668" i="4"/>
  <c r="N2668" i="4"/>
  <c r="L2668" i="4"/>
  <c r="Q2668" i="4" s="1"/>
  <c r="O2668" i="4"/>
  <c r="M2668" i="4"/>
  <c r="R2668" i="4" s="1"/>
  <c r="M2628" i="4"/>
  <c r="R2628" i="4" s="1"/>
  <c r="N2628" i="4"/>
  <c r="P2628" i="4"/>
  <c r="L2628" i="4"/>
  <c r="Q2628" i="4" s="1"/>
  <c r="O2628" i="4"/>
  <c r="P2588" i="4"/>
  <c r="O2588" i="4"/>
  <c r="N2588" i="4"/>
  <c r="L2588" i="4"/>
  <c r="Q2588" i="4" s="1"/>
  <c r="M2588" i="4"/>
  <c r="R2588" i="4" s="1"/>
  <c r="P2516" i="4"/>
  <c r="O2516" i="4"/>
  <c r="N2516" i="4"/>
  <c r="L2516" i="4"/>
  <c r="Q2516" i="4" s="1"/>
  <c r="M2516" i="4"/>
  <c r="R2516" i="4" s="1"/>
  <c r="P2476" i="4"/>
  <c r="O2476" i="4"/>
  <c r="L2476" i="4"/>
  <c r="Q2476" i="4" s="1"/>
  <c r="M2476" i="4"/>
  <c r="R2476" i="4" s="1"/>
  <c r="N2476" i="4"/>
  <c r="P2436" i="4"/>
  <c r="M2436" i="4"/>
  <c r="R2436" i="4" s="1"/>
  <c r="O2436" i="4"/>
  <c r="N2436" i="4"/>
  <c r="L2436" i="4"/>
  <c r="Q2436" i="4" s="1"/>
  <c r="P2396" i="4"/>
  <c r="O2396" i="4"/>
  <c r="L2396" i="4"/>
  <c r="Q2396" i="4" s="1"/>
  <c r="M2396" i="4"/>
  <c r="R2396" i="4" s="1"/>
  <c r="N2396" i="4"/>
  <c r="P2356" i="4"/>
  <c r="M2356" i="4"/>
  <c r="R2356" i="4" s="1"/>
  <c r="N2356" i="4"/>
  <c r="L2356" i="4"/>
  <c r="Q2356" i="4" s="1"/>
  <c r="O2356" i="4"/>
  <c r="P2316" i="4"/>
  <c r="N2316" i="4"/>
  <c r="L2316" i="4"/>
  <c r="Q2316" i="4" s="1"/>
  <c r="O2316" i="4"/>
  <c r="M2316" i="4"/>
  <c r="R2316" i="4" s="1"/>
  <c r="P2276" i="4"/>
  <c r="N2276" i="4"/>
  <c r="L2276" i="4"/>
  <c r="Q2276" i="4" s="1"/>
  <c r="O2276" i="4"/>
  <c r="M2276" i="4"/>
  <c r="R2276" i="4" s="1"/>
  <c r="P2244" i="4"/>
  <c r="N2244" i="4"/>
  <c r="L2244" i="4"/>
  <c r="Q2244" i="4" s="1"/>
  <c r="O2244" i="4"/>
  <c r="M2244" i="4"/>
  <c r="R2244" i="4" s="1"/>
  <c r="P2188" i="4"/>
  <c r="L2188" i="4"/>
  <c r="Q2188" i="4" s="1"/>
  <c r="O2188" i="4"/>
  <c r="N2188" i="4"/>
  <c r="M2188" i="4"/>
  <c r="R2188" i="4" s="1"/>
  <c r="P2148" i="4"/>
  <c r="N2148" i="4"/>
  <c r="L2148" i="4"/>
  <c r="Q2148" i="4" s="1"/>
  <c r="M2148" i="4"/>
  <c r="R2148" i="4" s="1"/>
  <c r="O2148" i="4"/>
  <c r="N2108" i="4"/>
  <c r="L2108" i="4"/>
  <c r="Q2108" i="4" s="1"/>
  <c r="P2108" i="4"/>
  <c r="O2108" i="4"/>
  <c r="M2108" i="4"/>
  <c r="R2108" i="4" s="1"/>
  <c r="M2060" i="4"/>
  <c r="R2060" i="4" s="1"/>
  <c r="L2060" i="4"/>
  <c r="Q2060" i="4" s="1"/>
  <c r="N2060" i="4"/>
  <c r="P2060" i="4"/>
  <c r="O2060" i="4"/>
  <c r="M1996" i="4"/>
  <c r="R1996" i="4" s="1"/>
  <c r="O1996" i="4"/>
  <c r="P1996" i="4"/>
  <c r="N1996" i="4"/>
  <c r="L1996" i="4"/>
  <c r="Q1996" i="4" s="1"/>
  <c r="O1956" i="4"/>
  <c r="N1956" i="4"/>
  <c r="M1956" i="4"/>
  <c r="R1956" i="4" s="1"/>
  <c r="P1956" i="4"/>
  <c r="L1956" i="4"/>
  <c r="Q1956" i="4" s="1"/>
  <c r="M1916" i="4"/>
  <c r="R1916" i="4" s="1"/>
  <c r="P1916" i="4"/>
  <c r="O1916" i="4"/>
  <c r="L1916" i="4"/>
  <c r="Q1916" i="4" s="1"/>
  <c r="N1916" i="4"/>
  <c r="O1876" i="4"/>
  <c r="L1876" i="4"/>
  <c r="Q1876" i="4" s="1"/>
  <c r="N1876" i="4"/>
  <c r="M1876" i="4"/>
  <c r="R1876" i="4" s="1"/>
  <c r="P1876" i="4"/>
  <c r="P1820" i="4"/>
  <c r="O1820" i="4"/>
  <c r="M1820" i="4"/>
  <c r="R1820" i="4" s="1"/>
  <c r="L1820" i="4"/>
  <c r="Q1820" i="4" s="1"/>
  <c r="N1820" i="4"/>
  <c r="P1764" i="4"/>
  <c r="O1764" i="4"/>
  <c r="N1764" i="4"/>
  <c r="L1764" i="4"/>
  <c r="Q1764" i="4" s="1"/>
  <c r="M1764" i="4"/>
  <c r="R1764" i="4" s="1"/>
  <c r="M1724" i="4"/>
  <c r="R1724" i="4" s="1"/>
  <c r="P1724" i="4"/>
  <c r="O1724" i="4"/>
  <c r="L1724" i="4"/>
  <c r="Q1724" i="4" s="1"/>
  <c r="N1724" i="4"/>
  <c r="O1684" i="4"/>
  <c r="M1684" i="4"/>
  <c r="R1684" i="4" s="1"/>
  <c r="L1684" i="4"/>
  <c r="Q1684" i="4" s="1"/>
  <c r="N1684" i="4"/>
  <c r="P1684" i="4"/>
  <c r="M1644" i="4"/>
  <c r="R1644" i="4" s="1"/>
  <c r="O1644" i="4"/>
  <c r="N1644" i="4"/>
  <c r="L1644" i="4"/>
  <c r="Q1644" i="4" s="1"/>
  <c r="P1644" i="4"/>
  <c r="O1604" i="4"/>
  <c r="L1604" i="4"/>
  <c r="Q1604" i="4" s="1"/>
  <c r="M1604" i="4"/>
  <c r="R1604" i="4" s="1"/>
  <c r="N1604" i="4"/>
  <c r="P1604" i="4"/>
  <c r="L1524" i="4"/>
  <c r="Q1524" i="4" s="1"/>
  <c r="N1524" i="4"/>
  <c r="O1524" i="4"/>
  <c r="M1524" i="4"/>
  <c r="R1524" i="4" s="1"/>
  <c r="P1524" i="4"/>
  <c r="N2993" i="4"/>
  <c r="M2993" i="4"/>
  <c r="R2993" i="4" s="1"/>
  <c r="L2993" i="4"/>
  <c r="Q2993" i="4" s="1"/>
  <c r="O2993" i="4"/>
  <c r="P2993" i="4"/>
  <c r="N2985" i="4"/>
  <c r="L2985" i="4"/>
  <c r="Q2985" i="4" s="1"/>
  <c r="M2985" i="4"/>
  <c r="R2985" i="4" s="1"/>
  <c r="O2985" i="4"/>
  <c r="P2985" i="4"/>
  <c r="N2977" i="4"/>
  <c r="M2977" i="4"/>
  <c r="R2977" i="4" s="1"/>
  <c r="L2977" i="4"/>
  <c r="Q2977" i="4" s="1"/>
  <c r="O2977" i="4"/>
  <c r="P2977" i="4"/>
  <c r="N2969" i="4"/>
  <c r="L2969" i="4"/>
  <c r="Q2969" i="4" s="1"/>
  <c r="M2969" i="4"/>
  <c r="R2969" i="4" s="1"/>
  <c r="O2969" i="4"/>
  <c r="P2969" i="4"/>
  <c r="N2961" i="4"/>
  <c r="M2961" i="4"/>
  <c r="R2961" i="4" s="1"/>
  <c r="L2961" i="4"/>
  <c r="Q2961" i="4" s="1"/>
  <c r="O2961" i="4"/>
  <c r="P2961" i="4"/>
  <c r="N2953" i="4"/>
  <c r="M2953" i="4"/>
  <c r="R2953" i="4" s="1"/>
  <c r="L2953" i="4"/>
  <c r="Q2953" i="4" s="1"/>
  <c r="O2953" i="4"/>
  <c r="P2953" i="4"/>
  <c r="N2945" i="4"/>
  <c r="M2945" i="4"/>
  <c r="R2945" i="4" s="1"/>
  <c r="L2945" i="4"/>
  <c r="Q2945" i="4" s="1"/>
  <c r="O2945" i="4"/>
  <c r="P2945" i="4"/>
  <c r="N2937" i="4"/>
  <c r="L2937" i="4"/>
  <c r="Q2937" i="4" s="1"/>
  <c r="M2937" i="4"/>
  <c r="R2937" i="4" s="1"/>
  <c r="O2937" i="4"/>
  <c r="P2937" i="4"/>
  <c r="N2929" i="4"/>
  <c r="M2929" i="4"/>
  <c r="R2929" i="4" s="1"/>
  <c r="O2929" i="4"/>
  <c r="L2929" i="4"/>
  <c r="Q2929" i="4" s="1"/>
  <c r="P2929" i="4"/>
  <c r="N2921" i="4"/>
  <c r="M2921" i="4"/>
  <c r="R2921" i="4" s="1"/>
  <c r="L2921" i="4"/>
  <c r="Q2921" i="4" s="1"/>
  <c r="O2921" i="4"/>
  <c r="P2921" i="4"/>
  <c r="M2913" i="4"/>
  <c r="R2913" i="4" s="1"/>
  <c r="N2913" i="4"/>
  <c r="L2913" i="4"/>
  <c r="Q2913" i="4" s="1"/>
  <c r="O2913" i="4"/>
  <c r="P2913" i="4"/>
  <c r="L2905" i="4"/>
  <c r="Q2905" i="4" s="1"/>
  <c r="O2905" i="4"/>
  <c r="N2905" i="4"/>
  <c r="M2905" i="4"/>
  <c r="R2905" i="4" s="1"/>
  <c r="P2905" i="4"/>
  <c r="M2897" i="4"/>
  <c r="R2897" i="4" s="1"/>
  <c r="O2897" i="4"/>
  <c r="L2897" i="4"/>
  <c r="Q2897" i="4" s="1"/>
  <c r="N2897" i="4"/>
  <c r="P2897" i="4"/>
  <c r="L2889" i="4"/>
  <c r="Q2889" i="4" s="1"/>
  <c r="O2889" i="4"/>
  <c r="N2889" i="4"/>
  <c r="M2889" i="4"/>
  <c r="R2889" i="4" s="1"/>
  <c r="P2889" i="4"/>
  <c r="M2881" i="4"/>
  <c r="R2881" i="4" s="1"/>
  <c r="O2881" i="4"/>
  <c r="L2881" i="4"/>
  <c r="Q2881" i="4" s="1"/>
  <c r="N2881" i="4"/>
  <c r="P2881" i="4"/>
  <c r="L2873" i="4"/>
  <c r="Q2873" i="4" s="1"/>
  <c r="N2873" i="4"/>
  <c r="M2873" i="4"/>
  <c r="R2873" i="4" s="1"/>
  <c r="O2873" i="4"/>
  <c r="P2873" i="4"/>
  <c r="M2865" i="4"/>
  <c r="R2865" i="4" s="1"/>
  <c r="N2865" i="4"/>
  <c r="O2865" i="4"/>
  <c r="L2865" i="4"/>
  <c r="Q2865" i="4" s="1"/>
  <c r="P2865" i="4"/>
  <c r="N2857" i="4"/>
  <c r="O2857" i="4"/>
  <c r="L2857" i="4"/>
  <c r="Q2857" i="4" s="1"/>
  <c r="M2857" i="4"/>
  <c r="R2857" i="4" s="1"/>
  <c r="P2857" i="4"/>
  <c r="N2849" i="4"/>
  <c r="M2849" i="4"/>
  <c r="R2849" i="4" s="1"/>
  <c r="L2849" i="4"/>
  <c r="Q2849" i="4" s="1"/>
  <c r="O2849" i="4"/>
  <c r="P2849" i="4"/>
  <c r="N2841" i="4"/>
  <c r="O2841" i="4"/>
  <c r="L2841" i="4"/>
  <c r="Q2841" i="4" s="1"/>
  <c r="M2841" i="4"/>
  <c r="R2841" i="4" s="1"/>
  <c r="P2841" i="4"/>
  <c r="N2833" i="4"/>
  <c r="M2833" i="4"/>
  <c r="R2833" i="4" s="1"/>
  <c r="L2833" i="4"/>
  <c r="Q2833" i="4" s="1"/>
  <c r="O2833" i="4"/>
  <c r="P2833" i="4"/>
  <c r="N2825" i="4"/>
  <c r="L2825" i="4"/>
  <c r="Q2825" i="4" s="1"/>
  <c r="O2825" i="4"/>
  <c r="M2825" i="4"/>
  <c r="R2825" i="4" s="1"/>
  <c r="P2825" i="4"/>
  <c r="N2817" i="4"/>
  <c r="M2817" i="4"/>
  <c r="R2817" i="4" s="1"/>
  <c r="O2817" i="4"/>
  <c r="L2817" i="4"/>
  <c r="Q2817" i="4" s="1"/>
  <c r="P2817" i="4"/>
  <c r="N2809" i="4"/>
  <c r="O2809" i="4"/>
  <c r="L2809" i="4"/>
  <c r="Q2809" i="4" s="1"/>
  <c r="M2809" i="4"/>
  <c r="R2809" i="4" s="1"/>
  <c r="P2809" i="4"/>
  <c r="M2801" i="4"/>
  <c r="R2801" i="4" s="1"/>
  <c r="N2801" i="4"/>
  <c r="L2801" i="4"/>
  <c r="Q2801" i="4" s="1"/>
  <c r="O2801" i="4"/>
  <c r="P2801" i="4"/>
  <c r="N2793" i="4"/>
  <c r="M2793" i="4"/>
  <c r="R2793" i="4" s="1"/>
  <c r="L2793" i="4"/>
  <c r="Q2793" i="4" s="1"/>
  <c r="O2793" i="4"/>
  <c r="P2793" i="4"/>
  <c r="N2785" i="4"/>
  <c r="O2785" i="4"/>
  <c r="M2785" i="4"/>
  <c r="R2785" i="4" s="1"/>
  <c r="L2785" i="4"/>
  <c r="Q2785" i="4" s="1"/>
  <c r="P2785" i="4"/>
  <c r="N2777" i="4"/>
  <c r="L2777" i="4"/>
  <c r="Q2777" i="4" s="1"/>
  <c r="O2777" i="4"/>
  <c r="M2777" i="4"/>
  <c r="R2777" i="4" s="1"/>
  <c r="P2777" i="4"/>
  <c r="N2769" i="4"/>
  <c r="M2769" i="4"/>
  <c r="R2769" i="4" s="1"/>
  <c r="L2769" i="4"/>
  <c r="Q2769" i="4" s="1"/>
  <c r="O2769" i="4"/>
  <c r="P2769" i="4"/>
  <c r="N2761" i="4"/>
  <c r="O2761" i="4"/>
  <c r="L2761" i="4"/>
  <c r="Q2761" i="4" s="1"/>
  <c r="M2761" i="4"/>
  <c r="R2761" i="4" s="1"/>
  <c r="P2761" i="4"/>
  <c r="N2753" i="4"/>
  <c r="L2753" i="4"/>
  <c r="Q2753" i="4" s="1"/>
  <c r="O2753" i="4"/>
  <c r="M2753" i="4"/>
  <c r="R2753" i="4" s="1"/>
  <c r="P2753" i="4"/>
  <c r="M2745" i="4"/>
  <c r="R2745" i="4" s="1"/>
  <c r="L2745" i="4"/>
  <c r="Q2745" i="4" s="1"/>
  <c r="O2745" i="4"/>
  <c r="P2745" i="4"/>
  <c r="N2745" i="4"/>
  <c r="M2737" i="4"/>
  <c r="R2737" i="4" s="1"/>
  <c r="L2737" i="4"/>
  <c r="Q2737" i="4" s="1"/>
  <c r="O2737" i="4"/>
  <c r="P2737" i="4"/>
  <c r="N2737" i="4"/>
  <c r="M2729" i="4"/>
  <c r="R2729" i="4" s="1"/>
  <c r="L2729" i="4"/>
  <c r="Q2729" i="4" s="1"/>
  <c r="O2729" i="4"/>
  <c r="P2729" i="4"/>
  <c r="N2729" i="4"/>
  <c r="O2721" i="4"/>
  <c r="M2721" i="4"/>
  <c r="R2721" i="4" s="1"/>
  <c r="L2721" i="4"/>
  <c r="Q2721" i="4" s="1"/>
  <c r="P2721" i="4"/>
  <c r="N2721" i="4"/>
  <c r="L2713" i="4"/>
  <c r="Q2713" i="4" s="1"/>
  <c r="P2713" i="4"/>
  <c r="O2713" i="4"/>
  <c r="N2713" i="4"/>
  <c r="M2713" i="4"/>
  <c r="R2713" i="4" s="1"/>
  <c r="M2705" i="4"/>
  <c r="R2705" i="4" s="1"/>
  <c r="L2705" i="4"/>
  <c r="Q2705" i="4" s="1"/>
  <c r="N2705" i="4"/>
  <c r="P2705" i="4"/>
  <c r="O2705" i="4"/>
  <c r="P2697" i="4"/>
  <c r="N2697" i="4"/>
  <c r="O2697" i="4"/>
  <c r="L2697" i="4"/>
  <c r="Q2697" i="4" s="1"/>
  <c r="M2697" i="4"/>
  <c r="R2697" i="4" s="1"/>
  <c r="M2689" i="4"/>
  <c r="R2689" i="4" s="1"/>
  <c r="N2689" i="4"/>
  <c r="O2689" i="4"/>
  <c r="L2689" i="4"/>
  <c r="Q2689" i="4" s="1"/>
  <c r="P2689" i="4"/>
  <c r="L2681" i="4"/>
  <c r="Q2681" i="4" s="1"/>
  <c r="P2681" i="4"/>
  <c r="M2681" i="4"/>
  <c r="R2681" i="4" s="1"/>
  <c r="N2681" i="4"/>
  <c r="O2681" i="4"/>
  <c r="P2673" i="4"/>
  <c r="N2673" i="4"/>
  <c r="M2673" i="4"/>
  <c r="R2673" i="4" s="1"/>
  <c r="O2673" i="4"/>
  <c r="L2673" i="4"/>
  <c r="Q2673" i="4" s="1"/>
  <c r="O2665" i="4"/>
  <c r="P2665" i="4"/>
  <c r="L2665" i="4"/>
  <c r="Q2665" i="4" s="1"/>
  <c r="N2665" i="4"/>
  <c r="M2665" i="4"/>
  <c r="R2665" i="4" s="1"/>
  <c r="P2657" i="4"/>
  <c r="O2657" i="4"/>
  <c r="M2657" i="4"/>
  <c r="R2657" i="4" s="1"/>
  <c r="N2657" i="4"/>
  <c r="L2657" i="4"/>
  <c r="Q2657" i="4" s="1"/>
  <c r="L2649" i="4"/>
  <c r="Q2649" i="4" s="1"/>
  <c r="M2649" i="4"/>
  <c r="R2649" i="4" s="1"/>
  <c r="N2649" i="4"/>
  <c r="O2649" i="4"/>
  <c r="P2649" i="4"/>
  <c r="L2641" i="4"/>
  <c r="Q2641" i="4" s="1"/>
  <c r="N2641" i="4"/>
  <c r="O2641" i="4"/>
  <c r="P2641" i="4"/>
  <c r="M2641" i="4"/>
  <c r="R2641" i="4" s="1"/>
  <c r="P2633" i="4"/>
  <c r="L2633" i="4"/>
  <c r="Q2633" i="4" s="1"/>
  <c r="O2633" i="4"/>
  <c r="N2633" i="4"/>
  <c r="M2633" i="4"/>
  <c r="R2633" i="4" s="1"/>
  <c r="M2625" i="4"/>
  <c r="R2625" i="4" s="1"/>
  <c r="L2625" i="4"/>
  <c r="Q2625" i="4" s="1"/>
  <c r="N2625" i="4"/>
  <c r="P2625" i="4"/>
  <c r="O2625" i="4"/>
  <c r="L2617" i="4"/>
  <c r="Q2617" i="4" s="1"/>
  <c r="P2617" i="4"/>
  <c r="M2617" i="4"/>
  <c r="R2617" i="4" s="1"/>
  <c r="O2617" i="4"/>
  <c r="N2617" i="4"/>
  <c r="O2609" i="4"/>
  <c r="P2609" i="4"/>
  <c r="L2609" i="4"/>
  <c r="Q2609" i="4" s="1"/>
  <c r="M2609" i="4"/>
  <c r="R2609" i="4" s="1"/>
  <c r="N2609" i="4"/>
  <c r="P2601" i="4"/>
  <c r="L2601" i="4"/>
  <c r="Q2601" i="4" s="1"/>
  <c r="N2601" i="4"/>
  <c r="O2601" i="4"/>
  <c r="M2601" i="4"/>
  <c r="R2601" i="4" s="1"/>
  <c r="M2593" i="4"/>
  <c r="R2593" i="4" s="1"/>
  <c r="O2593" i="4"/>
  <c r="L2593" i="4"/>
  <c r="Q2593" i="4" s="1"/>
  <c r="P2593" i="4"/>
  <c r="N2593" i="4"/>
  <c r="L2585" i="4"/>
  <c r="Q2585" i="4" s="1"/>
  <c r="N2585" i="4"/>
  <c r="P2585" i="4"/>
  <c r="O2585" i="4"/>
  <c r="M2585" i="4"/>
  <c r="R2585" i="4" s="1"/>
  <c r="L2577" i="4"/>
  <c r="Q2577" i="4" s="1"/>
  <c r="O2577" i="4"/>
  <c r="P2577" i="4"/>
  <c r="M2577" i="4"/>
  <c r="R2577" i="4" s="1"/>
  <c r="N2577" i="4"/>
  <c r="P2569" i="4"/>
  <c r="N2569" i="4"/>
  <c r="O2569" i="4"/>
  <c r="L2569" i="4"/>
  <c r="Q2569" i="4" s="1"/>
  <c r="M2569" i="4"/>
  <c r="R2569" i="4" s="1"/>
  <c r="O2561" i="4"/>
  <c r="L2561" i="4"/>
  <c r="Q2561" i="4" s="1"/>
  <c r="P2561" i="4"/>
  <c r="N2561" i="4"/>
  <c r="M2561" i="4"/>
  <c r="R2561" i="4" s="1"/>
  <c r="L2553" i="4"/>
  <c r="Q2553" i="4" s="1"/>
  <c r="P2553" i="4"/>
  <c r="N2553" i="4"/>
  <c r="M2553" i="4"/>
  <c r="R2553" i="4" s="1"/>
  <c r="O2553" i="4"/>
  <c r="L2545" i="4"/>
  <c r="Q2545" i="4" s="1"/>
  <c r="O2545" i="4"/>
  <c r="N2545" i="4"/>
  <c r="M2545" i="4"/>
  <c r="R2545" i="4" s="1"/>
  <c r="P2545" i="4"/>
  <c r="P2537" i="4"/>
  <c r="L2537" i="4"/>
  <c r="Q2537" i="4" s="1"/>
  <c r="O2537" i="4"/>
  <c r="M2537" i="4"/>
  <c r="R2537" i="4" s="1"/>
  <c r="N2537" i="4"/>
  <c r="O2529" i="4"/>
  <c r="L2529" i="4"/>
  <c r="Q2529" i="4" s="1"/>
  <c r="P2529" i="4"/>
  <c r="N2529" i="4"/>
  <c r="M2529" i="4"/>
  <c r="R2529" i="4" s="1"/>
  <c r="L2521" i="4"/>
  <c r="Q2521" i="4" s="1"/>
  <c r="N2521" i="4"/>
  <c r="P2521" i="4"/>
  <c r="O2521" i="4"/>
  <c r="M2521" i="4"/>
  <c r="R2521" i="4" s="1"/>
  <c r="O2513" i="4"/>
  <c r="P2513" i="4"/>
  <c r="L2513" i="4"/>
  <c r="Q2513" i="4" s="1"/>
  <c r="M2513" i="4"/>
  <c r="R2513" i="4" s="1"/>
  <c r="N2513" i="4"/>
  <c r="P2505" i="4"/>
  <c r="L2505" i="4"/>
  <c r="Q2505" i="4" s="1"/>
  <c r="O2505" i="4"/>
  <c r="N2505" i="4"/>
  <c r="M2505" i="4"/>
  <c r="R2505" i="4" s="1"/>
  <c r="O2497" i="4"/>
  <c r="N2497" i="4"/>
  <c r="P2497" i="4"/>
  <c r="L2497" i="4"/>
  <c r="Q2497" i="4" s="1"/>
  <c r="M2497" i="4"/>
  <c r="R2497" i="4" s="1"/>
  <c r="L2489" i="4"/>
  <c r="Q2489" i="4" s="1"/>
  <c r="O2489" i="4"/>
  <c r="P2489" i="4"/>
  <c r="N2489" i="4"/>
  <c r="M2489" i="4"/>
  <c r="R2489" i="4" s="1"/>
  <c r="M2481" i="4"/>
  <c r="R2481" i="4" s="1"/>
  <c r="N2481" i="4"/>
  <c r="P2481" i="4"/>
  <c r="L2481" i="4"/>
  <c r="Q2481" i="4" s="1"/>
  <c r="O2481" i="4"/>
  <c r="O2473" i="4"/>
  <c r="N2473" i="4"/>
  <c r="L2473" i="4"/>
  <c r="Q2473" i="4" s="1"/>
  <c r="M2473" i="4"/>
  <c r="R2473" i="4" s="1"/>
  <c r="P2473" i="4"/>
  <c r="L2465" i="4"/>
  <c r="Q2465" i="4" s="1"/>
  <c r="P2465" i="4"/>
  <c r="N2465" i="4"/>
  <c r="O2465" i="4"/>
  <c r="M2465" i="4"/>
  <c r="R2465" i="4" s="1"/>
  <c r="M2457" i="4"/>
  <c r="R2457" i="4" s="1"/>
  <c r="P2457" i="4"/>
  <c r="O2457" i="4"/>
  <c r="L2457" i="4"/>
  <c r="Q2457" i="4" s="1"/>
  <c r="N2457" i="4"/>
  <c r="L2449" i="4"/>
  <c r="Q2449" i="4" s="1"/>
  <c r="P2449" i="4"/>
  <c r="O2449" i="4"/>
  <c r="N2449" i="4"/>
  <c r="M2449" i="4"/>
  <c r="R2449" i="4" s="1"/>
  <c r="L2441" i="4"/>
  <c r="Q2441" i="4" s="1"/>
  <c r="M2441" i="4"/>
  <c r="R2441" i="4" s="1"/>
  <c r="N2441" i="4"/>
  <c r="O2441" i="4"/>
  <c r="P2441" i="4"/>
  <c r="L2433" i="4"/>
  <c r="Q2433" i="4" s="1"/>
  <c r="M2433" i="4"/>
  <c r="R2433" i="4" s="1"/>
  <c r="N2433" i="4"/>
  <c r="O2433" i="4"/>
  <c r="P2433" i="4"/>
  <c r="M2425" i="4"/>
  <c r="R2425" i="4" s="1"/>
  <c r="L2425" i="4"/>
  <c r="Q2425" i="4" s="1"/>
  <c r="P2425" i="4"/>
  <c r="N2425" i="4"/>
  <c r="O2425" i="4"/>
  <c r="P2417" i="4"/>
  <c r="L2417" i="4"/>
  <c r="Q2417" i="4" s="1"/>
  <c r="M2417" i="4"/>
  <c r="R2417" i="4" s="1"/>
  <c r="N2417" i="4"/>
  <c r="O2417" i="4"/>
  <c r="M2409" i="4"/>
  <c r="R2409" i="4" s="1"/>
  <c r="O2409" i="4"/>
  <c r="N2409" i="4"/>
  <c r="L2409" i="4"/>
  <c r="Q2409" i="4" s="1"/>
  <c r="P2409" i="4"/>
  <c r="M2401" i="4"/>
  <c r="R2401" i="4" s="1"/>
  <c r="L2401" i="4"/>
  <c r="Q2401" i="4" s="1"/>
  <c r="O2401" i="4"/>
  <c r="P2401" i="4"/>
  <c r="N2401" i="4"/>
  <c r="N2393" i="4"/>
  <c r="O2393" i="4"/>
  <c r="L2393" i="4"/>
  <c r="Q2393" i="4" s="1"/>
  <c r="P2393" i="4"/>
  <c r="M2393" i="4"/>
  <c r="R2393" i="4" s="1"/>
  <c r="P2385" i="4"/>
  <c r="O2385" i="4"/>
  <c r="L2385" i="4"/>
  <c r="Q2385" i="4" s="1"/>
  <c r="N2385" i="4"/>
  <c r="M2385" i="4"/>
  <c r="R2385" i="4" s="1"/>
  <c r="M2377" i="4"/>
  <c r="R2377" i="4" s="1"/>
  <c r="O2377" i="4"/>
  <c r="L2377" i="4"/>
  <c r="Q2377" i="4" s="1"/>
  <c r="N2377" i="4"/>
  <c r="P2377" i="4"/>
  <c r="M2369" i="4"/>
  <c r="R2369" i="4" s="1"/>
  <c r="L2369" i="4"/>
  <c r="Q2369" i="4" s="1"/>
  <c r="N2369" i="4"/>
  <c r="P2369" i="4"/>
  <c r="O2369" i="4"/>
  <c r="P2361" i="4"/>
  <c r="L2361" i="4"/>
  <c r="Q2361" i="4" s="1"/>
  <c r="M2361" i="4"/>
  <c r="R2361" i="4" s="1"/>
  <c r="N2361" i="4"/>
  <c r="O2361" i="4"/>
  <c r="L2353" i="4"/>
  <c r="Q2353" i="4" s="1"/>
  <c r="P2353" i="4"/>
  <c r="M2353" i="4"/>
  <c r="R2353" i="4" s="1"/>
  <c r="O2353" i="4"/>
  <c r="N2353" i="4"/>
  <c r="M2345" i="4"/>
  <c r="R2345" i="4" s="1"/>
  <c r="O2345" i="4"/>
  <c r="N2345" i="4"/>
  <c r="L2345" i="4"/>
  <c r="Q2345" i="4" s="1"/>
  <c r="P2345" i="4"/>
  <c r="M2337" i="4"/>
  <c r="R2337" i="4" s="1"/>
  <c r="L2337" i="4"/>
  <c r="Q2337" i="4" s="1"/>
  <c r="P2337" i="4"/>
  <c r="N2337" i="4"/>
  <c r="O2337" i="4"/>
  <c r="M2329" i="4"/>
  <c r="R2329" i="4" s="1"/>
  <c r="N2329" i="4"/>
  <c r="O2329" i="4"/>
  <c r="P2329" i="4"/>
  <c r="L2329" i="4"/>
  <c r="Q2329" i="4" s="1"/>
  <c r="L2321" i="4"/>
  <c r="Q2321" i="4" s="1"/>
  <c r="O2321" i="4"/>
  <c r="N2321" i="4"/>
  <c r="M2321" i="4"/>
  <c r="R2321" i="4" s="1"/>
  <c r="P2321" i="4"/>
  <c r="M2313" i="4"/>
  <c r="R2313" i="4" s="1"/>
  <c r="O2313" i="4"/>
  <c r="N2313" i="4"/>
  <c r="L2313" i="4"/>
  <c r="Q2313" i="4" s="1"/>
  <c r="P2313" i="4"/>
  <c r="M2305" i="4"/>
  <c r="R2305" i="4" s="1"/>
  <c r="P2305" i="4"/>
  <c r="N2305" i="4"/>
  <c r="L2305" i="4"/>
  <c r="Q2305" i="4" s="1"/>
  <c r="O2305" i="4"/>
  <c r="O2297" i="4"/>
  <c r="N2297" i="4"/>
  <c r="L2297" i="4"/>
  <c r="Q2297" i="4" s="1"/>
  <c r="M2297" i="4"/>
  <c r="R2297" i="4" s="1"/>
  <c r="P2297" i="4"/>
  <c r="P2289" i="4"/>
  <c r="O2289" i="4"/>
  <c r="N2289" i="4"/>
  <c r="M2289" i="4"/>
  <c r="R2289" i="4" s="1"/>
  <c r="L2289" i="4"/>
  <c r="Q2289" i="4" s="1"/>
  <c r="M2281" i="4"/>
  <c r="R2281" i="4" s="1"/>
  <c r="O2281" i="4"/>
  <c r="L2281" i="4"/>
  <c r="Q2281" i="4" s="1"/>
  <c r="N2281" i="4"/>
  <c r="P2281" i="4"/>
  <c r="M2273" i="4"/>
  <c r="R2273" i="4" s="1"/>
  <c r="L2273" i="4"/>
  <c r="Q2273" i="4" s="1"/>
  <c r="N2273" i="4"/>
  <c r="P2273" i="4"/>
  <c r="O2273" i="4"/>
  <c r="O2265" i="4"/>
  <c r="M2265" i="4"/>
  <c r="R2265" i="4" s="1"/>
  <c r="N2265" i="4"/>
  <c r="L2265" i="4"/>
  <c r="Q2265" i="4" s="1"/>
  <c r="P2265" i="4"/>
  <c r="L2257" i="4"/>
  <c r="Q2257" i="4" s="1"/>
  <c r="N2257" i="4"/>
  <c r="O2257" i="4"/>
  <c r="M2257" i="4"/>
  <c r="R2257" i="4" s="1"/>
  <c r="P2257" i="4"/>
  <c r="M2249" i="4"/>
  <c r="R2249" i="4" s="1"/>
  <c r="N2249" i="4"/>
  <c r="O2249" i="4"/>
  <c r="L2249" i="4"/>
  <c r="Q2249" i="4" s="1"/>
  <c r="P2249" i="4"/>
  <c r="M2241" i="4"/>
  <c r="R2241" i="4" s="1"/>
  <c r="P2241" i="4"/>
  <c r="L2241" i="4"/>
  <c r="Q2241" i="4" s="1"/>
  <c r="N2241" i="4"/>
  <c r="O2241" i="4"/>
  <c r="O2233" i="4"/>
  <c r="N2233" i="4"/>
  <c r="L2233" i="4"/>
  <c r="Q2233" i="4" s="1"/>
  <c r="M2233" i="4"/>
  <c r="R2233" i="4" s="1"/>
  <c r="P2233" i="4"/>
  <c r="O2225" i="4"/>
  <c r="N2225" i="4"/>
  <c r="M2225" i="4"/>
  <c r="R2225" i="4" s="1"/>
  <c r="P2225" i="4"/>
  <c r="L2225" i="4"/>
  <c r="Q2225" i="4" s="1"/>
  <c r="M2217" i="4"/>
  <c r="R2217" i="4" s="1"/>
  <c r="O2217" i="4"/>
  <c r="N2217" i="4"/>
  <c r="L2217" i="4"/>
  <c r="Q2217" i="4" s="1"/>
  <c r="P2217" i="4"/>
  <c r="M2209" i="4"/>
  <c r="R2209" i="4" s="1"/>
  <c r="P2209" i="4"/>
  <c r="N2209" i="4"/>
  <c r="L2209" i="4"/>
  <c r="Q2209" i="4" s="1"/>
  <c r="O2209" i="4"/>
  <c r="O2201" i="4"/>
  <c r="P2201" i="4"/>
  <c r="N2201" i="4"/>
  <c r="L2201" i="4"/>
  <c r="Q2201" i="4" s="1"/>
  <c r="M2201" i="4"/>
  <c r="R2201" i="4" s="1"/>
  <c r="L2193" i="4"/>
  <c r="Q2193" i="4" s="1"/>
  <c r="P2193" i="4"/>
  <c r="N2193" i="4"/>
  <c r="M2193" i="4"/>
  <c r="R2193" i="4" s="1"/>
  <c r="O2193" i="4"/>
  <c r="M2185" i="4"/>
  <c r="R2185" i="4" s="1"/>
  <c r="L2185" i="4"/>
  <c r="Q2185" i="4" s="1"/>
  <c r="N2185" i="4"/>
  <c r="O2185" i="4"/>
  <c r="P2185" i="4"/>
  <c r="M2177" i="4"/>
  <c r="R2177" i="4" s="1"/>
  <c r="N2177" i="4"/>
  <c r="P2177" i="4"/>
  <c r="L2177" i="4"/>
  <c r="Q2177" i="4" s="1"/>
  <c r="O2177" i="4"/>
  <c r="O2169" i="4"/>
  <c r="M2169" i="4"/>
  <c r="R2169" i="4" s="1"/>
  <c r="N2169" i="4"/>
  <c r="P2169" i="4"/>
  <c r="L2169" i="4"/>
  <c r="Q2169" i="4" s="1"/>
  <c r="L2161" i="4"/>
  <c r="Q2161" i="4" s="1"/>
  <c r="P2161" i="4"/>
  <c r="O2161" i="4"/>
  <c r="N2161" i="4"/>
  <c r="M2161" i="4"/>
  <c r="R2161" i="4" s="1"/>
  <c r="M2153" i="4"/>
  <c r="R2153" i="4" s="1"/>
  <c r="L2153" i="4"/>
  <c r="Q2153" i="4" s="1"/>
  <c r="O2153" i="4"/>
  <c r="N2153" i="4"/>
  <c r="P2153" i="4"/>
  <c r="M2145" i="4"/>
  <c r="R2145" i="4" s="1"/>
  <c r="L2145" i="4"/>
  <c r="Q2145" i="4" s="1"/>
  <c r="P2145" i="4"/>
  <c r="N2145" i="4"/>
  <c r="O2145" i="4"/>
  <c r="O2137" i="4"/>
  <c r="P2137" i="4"/>
  <c r="M2137" i="4"/>
  <c r="R2137" i="4" s="1"/>
  <c r="L2137" i="4"/>
  <c r="Q2137" i="4" s="1"/>
  <c r="N2137" i="4"/>
  <c r="O2129" i="4"/>
  <c r="M2129" i="4"/>
  <c r="R2129" i="4" s="1"/>
  <c r="P2129" i="4"/>
  <c r="N2129" i="4"/>
  <c r="L2129" i="4"/>
  <c r="Q2129" i="4" s="1"/>
  <c r="O2121" i="4"/>
  <c r="M2121" i="4"/>
  <c r="R2121" i="4" s="1"/>
  <c r="P2121" i="4"/>
  <c r="N2121" i="4"/>
  <c r="L2121" i="4"/>
  <c r="Q2121" i="4" s="1"/>
  <c r="P2113" i="4"/>
  <c r="L2113" i="4"/>
  <c r="Q2113" i="4" s="1"/>
  <c r="N2113" i="4"/>
  <c r="M2113" i="4"/>
  <c r="R2113" i="4" s="1"/>
  <c r="O2113" i="4"/>
  <c r="L2105" i="4"/>
  <c r="Q2105" i="4" s="1"/>
  <c r="M2105" i="4"/>
  <c r="R2105" i="4" s="1"/>
  <c r="N2105" i="4"/>
  <c r="P2105" i="4"/>
  <c r="O2105" i="4"/>
  <c r="O2097" i="4"/>
  <c r="M2097" i="4"/>
  <c r="R2097" i="4" s="1"/>
  <c r="P2097" i="4"/>
  <c r="N2097" i="4"/>
  <c r="L2097" i="4"/>
  <c r="Q2097" i="4" s="1"/>
  <c r="O2089" i="4"/>
  <c r="L2089" i="4"/>
  <c r="Q2089" i="4" s="1"/>
  <c r="M2089" i="4"/>
  <c r="R2089" i="4" s="1"/>
  <c r="N2089" i="4"/>
  <c r="P2089" i="4"/>
  <c r="M2081" i="4"/>
  <c r="R2081" i="4" s="1"/>
  <c r="L2081" i="4"/>
  <c r="Q2081" i="4" s="1"/>
  <c r="O2081" i="4"/>
  <c r="N2081" i="4"/>
  <c r="P2081" i="4"/>
  <c r="M2073" i="4"/>
  <c r="R2073" i="4" s="1"/>
  <c r="O2073" i="4"/>
  <c r="N2073" i="4"/>
  <c r="P2073" i="4"/>
  <c r="L2073" i="4"/>
  <c r="Q2073" i="4" s="1"/>
  <c r="L2065" i="4"/>
  <c r="Q2065" i="4" s="1"/>
  <c r="M2065" i="4"/>
  <c r="R2065" i="4" s="1"/>
  <c r="O2065" i="4"/>
  <c r="N2065" i="4"/>
  <c r="P2065" i="4"/>
  <c r="M2057" i="4"/>
  <c r="R2057" i="4" s="1"/>
  <c r="O2057" i="4"/>
  <c r="L2057" i="4"/>
  <c r="Q2057" i="4" s="1"/>
  <c r="N2057" i="4"/>
  <c r="P2057" i="4"/>
  <c r="L2049" i="4"/>
  <c r="Q2049" i="4" s="1"/>
  <c r="M2049" i="4"/>
  <c r="R2049" i="4" s="1"/>
  <c r="O2049" i="4"/>
  <c r="N2049" i="4"/>
  <c r="P2049" i="4"/>
  <c r="L2041" i="4"/>
  <c r="Q2041" i="4" s="1"/>
  <c r="M2041" i="4"/>
  <c r="R2041" i="4" s="1"/>
  <c r="N2041" i="4"/>
  <c r="P2041" i="4"/>
  <c r="O2041" i="4"/>
  <c r="M2033" i="4"/>
  <c r="R2033" i="4" s="1"/>
  <c r="O2033" i="4"/>
  <c r="L2033" i="4"/>
  <c r="Q2033" i="4" s="1"/>
  <c r="N2033" i="4"/>
  <c r="P2033" i="4"/>
  <c r="L2025" i="4"/>
  <c r="Q2025" i="4" s="1"/>
  <c r="M2025" i="4"/>
  <c r="R2025" i="4" s="1"/>
  <c r="O2025" i="4"/>
  <c r="N2025" i="4"/>
  <c r="P2025" i="4"/>
  <c r="M2017" i="4"/>
  <c r="R2017" i="4" s="1"/>
  <c r="L2017" i="4"/>
  <c r="Q2017" i="4" s="1"/>
  <c r="O2017" i="4"/>
  <c r="P2017" i="4"/>
  <c r="N2017" i="4"/>
  <c r="P2009" i="4"/>
  <c r="M2009" i="4"/>
  <c r="R2009" i="4" s="1"/>
  <c r="L2009" i="4"/>
  <c r="Q2009" i="4" s="1"/>
  <c r="N2009" i="4"/>
  <c r="O2009" i="4"/>
  <c r="M2001" i="4"/>
  <c r="R2001" i="4" s="1"/>
  <c r="O2001" i="4"/>
  <c r="P2001" i="4"/>
  <c r="N2001" i="4"/>
  <c r="L2001" i="4"/>
  <c r="Q2001" i="4" s="1"/>
  <c r="L1993" i="4"/>
  <c r="Q1993" i="4" s="1"/>
  <c r="O1993" i="4"/>
  <c r="N1993" i="4"/>
  <c r="P1993" i="4"/>
  <c r="M1993" i="4"/>
  <c r="R1993" i="4" s="1"/>
  <c r="M1985" i="4"/>
  <c r="R1985" i="4" s="1"/>
  <c r="O1985" i="4"/>
  <c r="N1985" i="4"/>
  <c r="P1985" i="4"/>
  <c r="L1985" i="4"/>
  <c r="Q1985" i="4" s="1"/>
  <c r="L1977" i="4"/>
  <c r="Q1977" i="4" s="1"/>
  <c r="P1977" i="4"/>
  <c r="M1977" i="4"/>
  <c r="R1977" i="4" s="1"/>
  <c r="N1977" i="4"/>
  <c r="O1977" i="4"/>
  <c r="M1969" i="4"/>
  <c r="R1969" i="4" s="1"/>
  <c r="O1969" i="4"/>
  <c r="N1969" i="4"/>
  <c r="P1969" i="4"/>
  <c r="L1969" i="4"/>
  <c r="Q1969" i="4" s="1"/>
  <c r="L1961" i="4"/>
  <c r="Q1961" i="4" s="1"/>
  <c r="M1961" i="4"/>
  <c r="R1961" i="4" s="1"/>
  <c r="N1961" i="4"/>
  <c r="O1961" i="4"/>
  <c r="P1961" i="4"/>
  <c r="M1953" i="4"/>
  <c r="R1953" i="4" s="1"/>
  <c r="O1953" i="4"/>
  <c r="P1953" i="4"/>
  <c r="N1953" i="4"/>
  <c r="L1953" i="4"/>
  <c r="Q1953" i="4" s="1"/>
  <c r="L1945" i="4"/>
  <c r="Q1945" i="4" s="1"/>
  <c r="M1945" i="4"/>
  <c r="R1945" i="4" s="1"/>
  <c r="N1945" i="4"/>
  <c r="P1945" i="4"/>
  <c r="O1945" i="4"/>
  <c r="M1937" i="4"/>
  <c r="R1937" i="4" s="1"/>
  <c r="N1937" i="4"/>
  <c r="O1937" i="4"/>
  <c r="P1937" i="4"/>
  <c r="L1937" i="4"/>
  <c r="Q1937" i="4" s="1"/>
  <c r="M1929" i="4"/>
  <c r="R1929" i="4" s="1"/>
  <c r="L1929" i="4"/>
  <c r="Q1929" i="4" s="1"/>
  <c r="N1929" i="4"/>
  <c r="P1929" i="4"/>
  <c r="O1929" i="4"/>
  <c r="M1921" i="4"/>
  <c r="R1921" i="4" s="1"/>
  <c r="P1921" i="4"/>
  <c r="L1921" i="4"/>
  <c r="Q1921" i="4" s="1"/>
  <c r="O1921" i="4"/>
  <c r="N1921" i="4"/>
  <c r="L1913" i="4"/>
  <c r="Q1913" i="4" s="1"/>
  <c r="M1913" i="4"/>
  <c r="R1913" i="4" s="1"/>
  <c r="N1913" i="4"/>
  <c r="P1913" i="4"/>
  <c r="O1913" i="4"/>
  <c r="M1905" i="4"/>
  <c r="R1905" i="4" s="1"/>
  <c r="O1905" i="4"/>
  <c r="N1905" i="4"/>
  <c r="L1905" i="4"/>
  <c r="Q1905" i="4" s="1"/>
  <c r="P1905" i="4"/>
  <c r="M1897" i="4"/>
  <c r="R1897" i="4" s="1"/>
  <c r="L1897" i="4"/>
  <c r="Q1897" i="4" s="1"/>
  <c r="N1897" i="4"/>
  <c r="P1897" i="4"/>
  <c r="O1897" i="4"/>
  <c r="M1889" i="4"/>
  <c r="R1889" i="4" s="1"/>
  <c r="N1889" i="4"/>
  <c r="P1889" i="4"/>
  <c r="O1889" i="4"/>
  <c r="L1889" i="4"/>
  <c r="Q1889" i="4" s="1"/>
  <c r="M1881" i="4"/>
  <c r="R1881" i="4" s="1"/>
  <c r="L1881" i="4"/>
  <c r="Q1881" i="4" s="1"/>
  <c r="P1881" i="4"/>
  <c r="O1881" i="4"/>
  <c r="N1881" i="4"/>
  <c r="M1873" i="4"/>
  <c r="R1873" i="4" s="1"/>
  <c r="L1873" i="4"/>
  <c r="Q1873" i="4" s="1"/>
  <c r="O1873" i="4"/>
  <c r="N1873" i="4"/>
  <c r="P1873" i="4"/>
  <c r="M1865" i="4"/>
  <c r="R1865" i="4" s="1"/>
  <c r="L1865" i="4"/>
  <c r="Q1865" i="4" s="1"/>
  <c r="O1865" i="4"/>
  <c r="N1865" i="4"/>
  <c r="P1865" i="4"/>
  <c r="M1857" i="4"/>
  <c r="R1857" i="4" s="1"/>
  <c r="O1857" i="4"/>
  <c r="N1857" i="4"/>
  <c r="P1857" i="4"/>
  <c r="L1857" i="4"/>
  <c r="Q1857" i="4" s="1"/>
  <c r="M1849" i="4"/>
  <c r="R1849" i="4" s="1"/>
  <c r="L1849" i="4"/>
  <c r="Q1849" i="4" s="1"/>
  <c r="P1849" i="4"/>
  <c r="N1849" i="4"/>
  <c r="O1849" i="4"/>
  <c r="M1841" i="4"/>
  <c r="R1841" i="4" s="1"/>
  <c r="N1841" i="4"/>
  <c r="P1841" i="4"/>
  <c r="O1841" i="4"/>
  <c r="L1841" i="4"/>
  <c r="Q1841" i="4" s="1"/>
  <c r="L1833" i="4"/>
  <c r="Q1833" i="4" s="1"/>
  <c r="M1833" i="4"/>
  <c r="R1833" i="4" s="1"/>
  <c r="N1833" i="4"/>
  <c r="P1833" i="4"/>
  <c r="O1833" i="4"/>
  <c r="M1825" i="4"/>
  <c r="R1825" i="4" s="1"/>
  <c r="N1825" i="4"/>
  <c r="P1825" i="4"/>
  <c r="L1825" i="4"/>
  <c r="Q1825" i="4" s="1"/>
  <c r="O1825" i="4"/>
  <c r="N1817" i="4"/>
  <c r="O1817" i="4"/>
  <c r="M1817" i="4"/>
  <c r="R1817" i="4" s="1"/>
  <c r="P1817" i="4"/>
  <c r="L1817" i="4"/>
  <c r="Q1817" i="4" s="1"/>
  <c r="M1809" i="4"/>
  <c r="R1809" i="4" s="1"/>
  <c r="O1809" i="4"/>
  <c r="P1809" i="4"/>
  <c r="N1809" i="4"/>
  <c r="L1809" i="4"/>
  <c r="Q1809" i="4" s="1"/>
  <c r="M1801" i="4"/>
  <c r="R1801" i="4" s="1"/>
  <c r="N1801" i="4"/>
  <c r="O1801" i="4"/>
  <c r="P1801" i="4"/>
  <c r="L1801" i="4"/>
  <c r="Q1801" i="4" s="1"/>
  <c r="M1793" i="4"/>
  <c r="R1793" i="4" s="1"/>
  <c r="N1793" i="4"/>
  <c r="P1793" i="4"/>
  <c r="L1793" i="4"/>
  <c r="Q1793" i="4" s="1"/>
  <c r="O1793" i="4"/>
  <c r="M1785" i="4"/>
  <c r="R1785" i="4" s="1"/>
  <c r="N1785" i="4"/>
  <c r="P1785" i="4"/>
  <c r="O1785" i="4"/>
  <c r="L1785" i="4"/>
  <c r="Q1785" i="4" s="1"/>
  <c r="N1777" i="4"/>
  <c r="P1777" i="4"/>
  <c r="L1777" i="4"/>
  <c r="Q1777" i="4" s="1"/>
  <c r="M1777" i="4"/>
  <c r="R1777" i="4" s="1"/>
  <c r="O1777" i="4"/>
  <c r="L1769" i="4"/>
  <c r="Q1769" i="4" s="1"/>
  <c r="M1769" i="4"/>
  <c r="R1769" i="4" s="1"/>
  <c r="O1769" i="4"/>
  <c r="N1769" i="4"/>
  <c r="P1769" i="4"/>
  <c r="N1761" i="4"/>
  <c r="P1761" i="4"/>
  <c r="L1761" i="4"/>
  <c r="Q1761" i="4" s="1"/>
  <c r="M1761" i="4"/>
  <c r="R1761" i="4" s="1"/>
  <c r="O1761" i="4"/>
  <c r="L1753" i="4"/>
  <c r="Q1753" i="4" s="1"/>
  <c r="M1753" i="4"/>
  <c r="R1753" i="4" s="1"/>
  <c r="N1753" i="4"/>
  <c r="O1753" i="4"/>
  <c r="P1753" i="4"/>
  <c r="N1745" i="4"/>
  <c r="P1745" i="4"/>
  <c r="L1745" i="4"/>
  <c r="Q1745" i="4" s="1"/>
  <c r="O1745" i="4"/>
  <c r="M1745" i="4"/>
  <c r="R1745" i="4" s="1"/>
  <c r="L1737" i="4"/>
  <c r="Q1737" i="4" s="1"/>
  <c r="M1737" i="4"/>
  <c r="R1737" i="4" s="1"/>
  <c r="N1737" i="4"/>
  <c r="P1737" i="4"/>
  <c r="O1737" i="4"/>
  <c r="L1729" i="4"/>
  <c r="Q1729" i="4" s="1"/>
  <c r="N1729" i="4"/>
  <c r="P1729" i="4"/>
  <c r="M1729" i="4"/>
  <c r="R1729" i="4" s="1"/>
  <c r="O1729" i="4"/>
  <c r="M1721" i="4"/>
  <c r="R1721" i="4" s="1"/>
  <c r="L1721" i="4"/>
  <c r="Q1721" i="4" s="1"/>
  <c r="N1721" i="4"/>
  <c r="P1721" i="4"/>
  <c r="O1721" i="4"/>
  <c r="L1713" i="4"/>
  <c r="Q1713" i="4" s="1"/>
  <c r="O1713" i="4"/>
  <c r="M1713" i="4"/>
  <c r="R1713" i="4" s="1"/>
  <c r="N1713" i="4"/>
  <c r="P1713" i="4"/>
  <c r="L1705" i="4"/>
  <c r="Q1705" i="4" s="1"/>
  <c r="M1705" i="4"/>
  <c r="R1705" i="4" s="1"/>
  <c r="N1705" i="4"/>
  <c r="P1705" i="4"/>
  <c r="O1705" i="4"/>
  <c r="L1697" i="4"/>
  <c r="Q1697" i="4" s="1"/>
  <c r="N1697" i="4"/>
  <c r="P1697" i="4"/>
  <c r="M1697" i="4"/>
  <c r="R1697" i="4" s="1"/>
  <c r="O1697" i="4"/>
  <c r="L1689" i="4"/>
  <c r="Q1689" i="4" s="1"/>
  <c r="M1689" i="4"/>
  <c r="R1689" i="4" s="1"/>
  <c r="N1689" i="4"/>
  <c r="P1689" i="4"/>
  <c r="O1689" i="4"/>
  <c r="L1681" i="4"/>
  <c r="Q1681" i="4" s="1"/>
  <c r="O1681" i="4"/>
  <c r="M1681" i="4"/>
  <c r="R1681" i="4" s="1"/>
  <c r="N1681" i="4"/>
  <c r="P1681" i="4"/>
  <c r="O1673" i="4"/>
  <c r="L1673" i="4"/>
  <c r="Q1673" i="4" s="1"/>
  <c r="M1673" i="4"/>
  <c r="R1673" i="4" s="1"/>
  <c r="P1673" i="4"/>
  <c r="N1673" i="4"/>
  <c r="M1665" i="4"/>
  <c r="R1665" i="4" s="1"/>
  <c r="N1665" i="4"/>
  <c r="L1665" i="4"/>
  <c r="Q1665" i="4" s="1"/>
  <c r="P1665" i="4"/>
  <c r="O1665" i="4"/>
  <c r="M1657" i="4"/>
  <c r="R1657" i="4" s="1"/>
  <c r="P1657" i="4"/>
  <c r="O1657" i="4"/>
  <c r="N1657" i="4"/>
  <c r="L1657" i="4"/>
  <c r="Q1657" i="4" s="1"/>
  <c r="M1649" i="4"/>
  <c r="R1649" i="4" s="1"/>
  <c r="N1649" i="4"/>
  <c r="O1649" i="4"/>
  <c r="P1649" i="4"/>
  <c r="L1649" i="4"/>
  <c r="Q1649" i="4" s="1"/>
  <c r="L1641" i="4"/>
  <c r="Q1641" i="4" s="1"/>
  <c r="O1641" i="4"/>
  <c r="M1641" i="4"/>
  <c r="R1641" i="4" s="1"/>
  <c r="N1641" i="4"/>
  <c r="P1641" i="4"/>
  <c r="L1633" i="4"/>
  <c r="Q1633" i="4" s="1"/>
  <c r="O1633" i="4"/>
  <c r="N1633" i="4"/>
  <c r="P1633" i="4"/>
  <c r="M1633" i="4"/>
  <c r="R1633" i="4" s="1"/>
  <c r="L1625" i="4"/>
  <c r="Q1625" i="4" s="1"/>
  <c r="O1625" i="4"/>
  <c r="M1625" i="4"/>
  <c r="R1625" i="4" s="1"/>
  <c r="P1625" i="4"/>
  <c r="N1625" i="4"/>
  <c r="M1617" i="4"/>
  <c r="R1617" i="4" s="1"/>
  <c r="O1617" i="4"/>
  <c r="L1617" i="4"/>
  <c r="Q1617" i="4" s="1"/>
  <c r="N1617" i="4"/>
  <c r="P1617" i="4"/>
  <c r="O1609" i="4"/>
  <c r="P1609" i="4"/>
  <c r="M1609" i="4"/>
  <c r="R1609" i="4" s="1"/>
  <c r="L1609" i="4"/>
  <c r="Q1609" i="4" s="1"/>
  <c r="N1609" i="4"/>
  <c r="O1601" i="4"/>
  <c r="P1601" i="4"/>
  <c r="N1601" i="4"/>
  <c r="L1601" i="4"/>
  <c r="Q1601" i="4" s="1"/>
  <c r="M1601" i="4"/>
  <c r="R1601" i="4" s="1"/>
  <c r="O1593" i="4"/>
  <c r="L1593" i="4"/>
  <c r="Q1593" i="4" s="1"/>
  <c r="P1593" i="4"/>
  <c r="N1593" i="4"/>
  <c r="M1593" i="4"/>
  <c r="R1593" i="4" s="1"/>
  <c r="O1585" i="4"/>
  <c r="M1585" i="4"/>
  <c r="R1585" i="4" s="1"/>
  <c r="P1585" i="4"/>
  <c r="L1585" i="4"/>
  <c r="Q1585" i="4" s="1"/>
  <c r="N1585" i="4"/>
  <c r="O1577" i="4"/>
  <c r="M1577" i="4"/>
  <c r="R1577" i="4" s="1"/>
  <c r="L1577" i="4"/>
  <c r="Q1577" i="4" s="1"/>
  <c r="N1577" i="4"/>
  <c r="P1577" i="4"/>
  <c r="O1569" i="4"/>
  <c r="L1569" i="4"/>
  <c r="Q1569" i="4" s="1"/>
  <c r="N1569" i="4"/>
  <c r="M1569" i="4"/>
  <c r="R1569" i="4" s="1"/>
  <c r="P1569" i="4"/>
  <c r="O1561" i="4"/>
  <c r="N1561" i="4"/>
  <c r="P1561" i="4"/>
  <c r="M1561" i="4"/>
  <c r="R1561" i="4" s="1"/>
  <c r="L1561" i="4"/>
  <c r="Q1561" i="4" s="1"/>
  <c r="O1553" i="4"/>
  <c r="L1553" i="4"/>
  <c r="Q1553" i="4" s="1"/>
  <c r="N1553" i="4"/>
  <c r="M1553" i="4"/>
  <c r="R1553" i="4" s="1"/>
  <c r="P1553" i="4"/>
  <c r="O1545" i="4"/>
  <c r="N1545" i="4"/>
  <c r="P1545" i="4"/>
  <c r="M1545" i="4"/>
  <c r="R1545" i="4" s="1"/>
  <c r="L1545" i="4"/>
  <c r="Q1545" i="4" s="1"/>
  <c r="O1537" i="4"/>
  <c r="P1537" i="4"/>
  <c r="L1537" i="4"/>
  <c r="Q1537" i="4" s="1"/>
  <c r="N1537" i="4"/>
  <c r="M1537" i="4"/>
  <c r="R1537" i="4" s="1"/>
  <c r="O1529" i="4"/>
  <c r="L1529" i="4"/>
  <c r="Q1529" i="4" s="1"/>
  <c r="N1529" i="4"/>
  <c r="M1529" i="4"/>
  <c r="R1529" i="4" s="1"/>
  <c r="P1529" i="4"/>
  <c r="O1521" i="4"/>
  <c r="L1521" i="4"/>
  <c r="Q1521" i="4" s="1"/>
  <c r="N1521" i="4"/>
  <c r="M1521" i="4"/>
  <c r="R1521" i="4" s="1"/>
  <c r="P1521" i="4"/>
  <c r="O1513" i="4"/>
  <c r="L1513" i="4"/>
  <c r="Q1513" i="4" s="1"/>
  <c r="N1513" i="4"/>
  <c r="P1513" i="4"/>
  <c r="M1513" i="4"/>
  <c r="R1513" i="4" s="1"/>
  <c r="L1505" i="4"/>
  <c r="Q1505" i="4" s="1"/>
  <c r="N1505" i="4"/>
  <c r="M1505" i="4"/>
  <c r="R1505" i="4" s="1"/>
  <c r="P1505" i="4"/>
  <c r="O1505" i="4"/>
  <c r="O1497" i="4"/>
  <c r="N1497" i="4"/>
  <c r="P1497" i="4"/>
  <c r="M1497" i="4"/>
  <c r="R1497" i="4" s="1"/>
  <c r="L1497" i="4"/>
  <c r="Q1497" i="4" s="1"/>
  <c r="O1489" i="4"/>
  <c r="L1489" i="4"/>
  <c r="Q1489" i="4" s="1"/>
  <c r="N1489" i="4"/>
  <c r="M1489" i="4"/>
  <c r="R1489" i="4" s="1"/>
  <c r="P1489" i="4"/>
  <c r="O1481" i="4"/>
  <c r="N1481" i="4"/>
  <c r="P1481" i="4"/>
  <c r="M1481" i="4"/>
  <c r="R1481" i="4" s="1"/>
  <c r="L1481" i="4"/>
  <c r="Q1481" i="4" s="1"/>
  <c r="O1473" i="4"/>
  <c r="L1473" i="4"/>
  <c r="Q1473" i="4" s="1"/>
  <c r="N1473" i="4"/>
  <c r="P1473" i="4"/>
  <c r="M1473" i="4"/>
  <c r="R1473" i="4" s="1"/>
  <c r="O1465" i="4"/>
  <c r="L1465" i="4"/>
  <c r="Q1465" i="4" s="1"/>
  <c r="N1465" i="4"/>
  <c r="P1465" i="4"/>
  <c r="M1465" i="4"/>
  <c r="R1465" i="4" s="1"/>
  <c r="O1457" i="4"/>
  <c r="L1457" i="4"/>
  <c r="Q1457" i="4" s="1"/>
  <c r="N1457" i="4"/>
  <c r="M1457" i="4"/>
  <c r="R1457" i="4" s="1"/>
  <c r="P1457" i="4"/>
  <c r="M1449" i="4"/>
  <c r="R1449" i="4" s="1"/>
  <c r="O1449" i="4"/>
  <c r="P1449" i="4"/>
  <c r="L1449" i="4"/>
  <c r="Q1449" i="4" s="1"/>
  <c r="N1449" i="4"/>
  <c r="M1441" i="4"/>
  <c r="R1441" i="4" s="1"/>
  <c r="O1441" i="4"/>
  <c r="P1441" i="4"/>
  <c r="L1441" i="4"/>
  <c r="Q1441" i="4" s="1"/>
  <c r="N1441" i="4"/>
  <c r="M1433" i="4"/>
  <c r="R1433" i="4" s="1"/>
  <c r="O1433" i="4"/>
  <c r="L1433" i="4"/>
  <c r="Q1433" i="4" s="1"/>
  <c r="N1433" i="4"/>
  <c r="P1433" i="4"/>
  <c r="M1425" i="4"/>
  <c r="R1425" i="4" s="1"/>
  <c r="O1425" i="4"/>
  <c r="L1425" i="4"/>
  <c r="Q1425" i="4" s="1"/>
  <c r="N1425" i="4"/>
  <c r="P1425" i="4"/>
  <c r="M1417" i="4"/>
  <c r="R1417" i="4" s="1"/>
  <c r="O1417" i="4"/>
  <c r="L1417" i="4"/>
  <c r="Q1417" i="4" s="1"/>
  <c r="N1417" i="4"/>
  <c r="P1417" i="4"/>
  <c r="M1409" i="4"/>
  <c r="R1409" i="4" s="1"/>
  <c r="L1409" i="4"/>
  <c r="Q1409" i="4" s="1"/>
  <c r="O1409" i="4"/>
  <c r="N1409" i="4"/>
  <c r="P1409" i="4"/>
  <c r="M1401" i="4"/>
  <c r="R1401" i="4" s="1"/>
  <c r="O1401" i="4"/>
  <c r="L1401" i="4"/>
  <c r="Q1401" i="4" s="1"/>
  <c r="P1401" i="4"/>
  <c r="N1401" i="4"/>
  <c r="M1393" i="4"/>
  <c r="R1393" i="4" s="1"/>
  <c r="P1393" i="4"/>
  <c r="L1393" i="4"/>
  <c r="Q1393" i="4" s="1"/>
  <c r="N1393" i="4"/>
  <c r="O1393" i="4"/>
  <c r="M1385" i="4"/>
  <c r="R1385" i="4" s="1"/>
  <c r="O1385" i="4"/>
  <c r="N1385" i="4"/>
  <c r="P1385" i="4"/>
  <c r="L1385" i="4"/>
  <c r="Q1385" i="4" s="1"/>
  <c r="M1377" i="4"/>
  <c r="R1377" i="4" s="1"/>
  <c r="L1377" i="4"/>
  <c r="Q1377" i="4" s="1"/>
  <c r="N1377" i="4"/>
  <c r="O1377" i="4"/>
  <c r="P1377" i="4"/>
  <c r="M1369" i="4"/>
  <c r="R1369" i="4" s="1"/>
  <c r="O1369" i="4"/>
  <c r="N1369" i="4"/>
  <c r="P1369" i="4"/>
  <c r="L1369" i="4"/>
  <c r="Q1369" i="4" s="1"/>
  <c r="M1361" i="4"/>
  <c r="R1361" i="4" s="1"/>
  <c r="L1361" i="4"/>
  <c r="Q1361" i="4" s="1"/>
  <c r="N1361" i="4"/>
  <c r="P1361" i="4"/>
  <c r="O1361" i="4"/>
  <c r="M1353" i="4"/>
  <c r="R1353" i="4" s="1"/>
  <c r="O1353" i="4"/>
  <c r="L1353" i="4"/>
  <c r="Q1353" i="4" s="1"/>
  <c r="P1353" i="4"/>
  <c r="N1353" i="4"/>
  <c r="M1345" i="4"/>
  <c r="R1345" i="4" s="1"/>
  <c r="P1345" i="4"/>
  <c r="L1345" i="4"/>
  <c r="Q1345" i="4" s="1"/>
  <c r="N1345" i="4"/>
  <c r="O1345" i="4"/>
  <c r="M1337" i="4"/>
  <c r="R1337" i="4" s="1"/>
  <c r="O1337" i="4"/>
  <c r="L1337" i="4"/>
  <c r="Q1337" i="4" s="1"/>
  <c r="P1337" i="4"/>
  <c r="N1337" i="4"/>
  <c r="M1329" i="4"/>
  <c r="R1329" i="4" s="1"/>
  <c r="N1329" i="4"/>
  <c r="L1329" i="4"/>
  <c r="Q1329" i="4" s="1"/>
  <c r="P1329" i="4"/>
  <c r="O1329" i="4"/>
  <c r="M1321" i="4"/>
  <c r="R1321" i="4" s="1"/>
  <c r="O1321" i="4"/>
  <c r="N1321" i="4"/>
  <c r="L1321" i="4"/>
  <c r="Q1321" i="4" s="1"/>
  <c r="P1321" i="4"/>
  <c r="M1313" i="4"/>
  <c r="R1313" i="4" s="1"/>
  <c r="P1313" i="4"/>
  <c r="O1313" i="4"/>
  <c r="L1313" i="4"/>
  <c r="Q1313" i="4" s="1"/>
  <c r="N1313" i="4"/>
  <c r="M1305" i="4"/>
  <c r="R1305" i="4" s="1"/>
  <c r="P1305" i="4"/>
  <c r="O1305" i="4"/>
  <c r="L1305" i="4"/>
  <c r="Q1305" i="4" s="1"/>
  <c r="N1305" i="4"/>
  <c r="M1297" i="4"/>
  <c r="R1297" i="4" s="1"/>
  <c r="N1297" i="4"/>
  <c r="P1297" i="4"/>
  <c r="O1297" i="4"/>
  <c r="L1297" i="4"/>
  <c r="Q1297" i="4" s="1"/>
  <c r="O1289" i="4"/>
  <c r="P1289" i="4"/>
  <c r="M1289" i="4"/>
  <c r="R1289" i="4" s="1"/>
  <c r="L1289" i="4"/>
  <c r="Q1289" i="4" s="1"/>
  <c r="N1289" i="4"/>
  <c r="M1281" i="4"/>
  <c r="R1281" i="4" s="1"/>
  <c r="O1281" i="4"/>
  <c r="P1281" i="4"/>
  <c r="L1281" i="4"/>
  <c r="Q1281" i="4" s="1"/>
  <c r="N1281" i="4"/>
  <c r="M1273" i="4"/>
  <c r="R1273" i="4" s="1"/>
  <c r="P1273" i="4"/>
  <c r="O1273" i="4"/>
  <c r="L1273" i="4"/>
  <c r="Q1273" i="4" s="1"/>
  <c r="N1273" i="4"/>
  <c r="M1265" i="4"/>
  <c r="R1265" i="4" s="1"/>
  <c r="P1265" i="4"/>
  <c r="O1265" i="4"/>
  <c r="L1265" i="4"/>
  <c r="Q1265" i="4" s="1"/>
  <c r="N1265" i="4"/>
  <c r="P1257" i="4"/>
  <c r="O1257" i="4"/>
  <c r="L1257" i="4"/>
  <c r="Q1257" i="4" s="1"/>
  <c r="M1257" i="4"/>
  <c r="R1257" i="4" s="1"/>
  <c r="N1257" i="4"/>
  <c r="L1249" i="4"/>
  <c r="Q1249" i="4" s="1"/>
  <c r="P1249" i="4"/>
  <c r="N1249" i="4"/>
  <c r="O1249" i="4"/>
  <c r="M1249" i="4"/>
  <c r="R1249" i="4" s="1"/>
  <c r="M1241" i="4"/>
  <c r="R1241" i="4" s="1"/>
  <c r="O1241" i="4"/>
  <c r="L1241" i="4"/>
  <c r="Q1241" i="4" s="1"/>
  <c r="P1241" i="4"/>
  <c r="N1241" i="4"/>
  <c r="P1233" i="4"/>
  <c r="L1233" i="4"/>
  <c r="Q1233" i="4" s="1"/>
  <c r="O1233" i="4"/>
  <c r="M1233" i="4"/>
  <c r="R1233" i="4" s="1"/>
  <c r="N1233" i="4"/>
  <c r="N1225" i="4"/>
  <c r="O1225" i="4"/>
  <c r="P1225" i="4"/>
  <c r="L1225" i="4"/>
  <c r="Q1225" i="4" s="1"/>
  <c r="M1225" i="4"/>
  <c r="R1225" i="4" s="1"/>
  <c r="L1217" i="4"/>
  <c r="Q1217" i="4" s="1"/>
  <c r="N1217" i="4"/>
  <c r="P1217" i="4"/>
  <c r="O1217" i="4"/>
  <c r="M1217" i="4"/>
  <c r="R1217" i="4" s="1"/>
  <c r="M1209" i="4"/>
  <c r="R1209" i="4" s="1"/>
  <c r="P1209" i="4"/>
  <c r="L1209" i="4"/>
  <c r="Q1209" i="4" s="1"/>
  <c r="O1209" i="4"/>
  <c r="N1209" i="4"/>
  <c r="P1201" i="4"/>
  <c r="L1201" i="4"/>
  <c r="Q1201" i="4" s="1"/>
  <c r="N1201" i="4"/>
  <c r="O1201" i="4"/>
  <c r="M1201" i="4"/>
  <c r="R1201" i="4" s="1"/>
  <c r="P1193" i="4"/>
  <c r="N1193" i="4"/>
  <c r="O1193" i="4"/>
  <c r="L1193" i="4"/>
  <c r="Q1193" i="4" s="1"/>
  <c r="M1193" i="4"/>
  <c r="R1193" i="4" s="1"/>
  <c r="P1185" i="4"/>
  <c r="N1185" i="4"/>
  <c r="L1185" i="4"/>
  <c r="Q1185" i="4" s="1"/>
  <c r="M1185" i="4"/>
  <c r="R1185" i="4" s="1"/>
  <c r="O1185" i="4"/>
  <c r="M1177" i="4"/>
  <c r="R1177" i="4" s="1"/>
  <c r="L1177" i="4"/>
  <c r="Q1177" i="4" s="1"/>
  <c r="O1177" i="4"/>
  <c r="P1177" i="4"/>
  <c r="N1177" i="4"/>
  <c r="P1169" i="4"/>
  <c r="M1169" i="4"/>
  <c r="R1169" i="4" s="1"/>
  <c r="L1169" i="4"/>
  <c r="Q1169" i="4" s="1"/>
  <c r="N1169" i="4"/>
  <c r="O1169" i="4"/>
  <c r="P1161" i="4"/>
  <c r="L1161" i="4"/>
  <c r="Q1161" i="4" s="1"/>
  <c r="N1161" i="4"/>
  <c r="O1161" i="4"/>
  <c r="M1161" i="4"/>
  <c r="R1161" i="4" s="1"/>
  <c r="M1153" i="4"/>
  <c r="R1153" i="4" s="1"/>
  <c r="O1153" i="4"/>
  <c r="N1153" i="4"/>
  <c r="L1153" i="4"/>
  <c r="Q1153" i="4" s="1"/>
  <c r="P1153" i="4"/>
  <c r="M1145" i="4"/>
  <c r="R1145" i="4" s="1"/>
  <c r="P1145" i="4"/>
  <c r="L1145" i="4"/>
  <c r="Q1145" i="4" s="1"/>
  <c r="O1145" i="4"/>
  <c r="N1145" i="4"/>
  <c r="P1137" i="4"/>
  <c r="O1137" i="4"/>
  <c r="M1137" i="4"/>
  <c r="R1137" i="4" s="1"/>
  <c r="N1137" i="4"/>
  <c r="L1137" i="4"/>
  <c r="Q1137" i="4" s="1"/>
  <c r="P1129" i="4"/>
  <c r="N1129" i="4"/>
  <c r="L1129" i="4"/>
  <c r="Q1129" i="4" s="1"/>
  <c r="O1129" i="4"/>
  <c r="M1129" i="4"/>
  <c r="R1129" i="4" s="1"/>
  <c r="M1121" i="4"/>
  <c r="R1121" i="4" s="1"/>
  <c r="L1121" i="4"/>
  <c r="Q1121" i="4" s="1"/>
  <c r="N1121" i="4"/>
  <c r="P1121" i="4"/>
  <c r="O1121" i="4"/>
  <c r="N1113" i="4"/>
  <c r="O1113" i="4"/>
  <c r="P1113" i="4"/>
  <c r="M1113" i="4"/>
  <c r="R1113" i="4" s="1"/>
  <c r="L1113" i="4"/>
  <c r="Q1113" i="4" s="1"/>
  <c r="P1105" i="4"/>
  <c r="O1105" i="4"/>
  <c r="L1105" i="4"/>
  <c r="Q1105" i="4" s="1"/>
  <c r="M1105" i="4"/>
  <c r="R1105" i="4" s="1"/>
  <c r="N1105" i="4"/>
  <c r="M1097" i="4"/>
  <c r="R1097" i="4" s="1"/>
  <c r="L1097" i="4"/>
  <c r="Q1097" i="4" s="1"/>
  <c r="P1097" i="4"/>
  <c r="N1097" i="4"/>
  <c r="O1097" i="4"/>
  <c r="L1089" i="4"/>
  <c r="Q1089" i="4" s="1"/>
  <c r="M1089" i="4"/>
  <c r="R1089" i="4" s="1"/>
  <c r="O1089" i="4"/>
  <c r="P1089" i="4"/>
  <c r="N1089" i="4"/>
  <c r="O1081" i="4"/>
  <c r="L1081" i="4"/>
  <c r="Q1081" i="4" s="1"/>
  <c r="M1081" i="4"/>
  <c r="R1081" i="4" s="1"/>
  <c r="P1081" i="4"/>
  <c r="N1081" i="4"/>
  <c r="M1073" i="4"/>
  <c r="R1073" i="4" s="1"/>
  <c r="N1073" i="4"/>
  <c r="O1073" i="4"/>
  <c r="P1073" i="4"/>
  <c r="L1073" i="4"/>
  <c r="Q1073" i="4" s="1"/>
  <c r="N1065" i="4"/>
  <c r="L1065" i="4"/>
  <c r="Q1065" i="4" s="1"/>
  <c r="O1065" i="4"/>
  <c r="M1065" i="4"/>
  <c r="R1065" i="4" s="1"/>
  <c r="P1065" i="4"/>
  <c r="P1057" i="4"/>
  <c r="L1057" i="4"/>
  <c r="Q1057" i="4" s="1"/>
  <c r="M1057" i="4"/>
  <c r="R1057" i="4" s="1"/>
  <c r="O1057" i="4"/>
  <c r="N1057" i="4"/>
  <c r="P1049" i="4"/>
  <c r="M1049" i="4"/>
  <c r="R1049" i="4" s="1"/>
  <c r="L1049" i="4"/>
  <c r="Q1049" i="4" s="1"/>
  <c r="O1049" i="4"/>
  <c r="N1049" i="4"/>
  <c r="P1041" i="4"/>
  <c r="M1041" i="4"/>
  <c r="R1041" i="4" s="1"/>
  <c r="N1041" i="4"/>
  <c r="L1041" i="4"/>
  <c r="Q1041" i="4" s="1"/>
  <c r="O1041" i="4"/>
  <c r="P1033" i="4"/>
  <c r="M1033" i="4"/>
  <c r="R1033" i="4" s="1"/>
  <c r="L1033" i="4"/>
  <c r="Q1033" i="4" s="1"/>
  <c r="O1033" i="4"/>
  <c r="N1033" i="4"/>
  <c r="L1025" i="4"/>
  <c r="Q1025" i="4" s="1"/>
  <c r="O1025" i="4"/>
  <c r="M1025" i="4"/>
  <c r="R1025" i="4" s="1"/>
  <c r="P1025" i="4"/>
  <c r="N1025" i="4"/>
  <c r="O1017" i="4"/>
  <c r="L1017" i="4"/>
  <c r="Q1017" i="4" s="1"/>
  <c r="M1017" i="4"/>
  <c r="R1017" i="4" s="1"/>
  <c r="N1017" i="4"/>
  <c r="P1017" i="4"/>
  <c r="L1009" i="4"/>
  <c r="Q1009" i="4" s="1"/>
  <c r="N1009" i="4"/>
  <c r="M1009" i="4"/>
  <c r="R1009" i="4" s="1"/>
  <c r="P1009" i="4"/>
  <c r="O1009" i="4"/>
  <c r="O1001" i="4"/>
  <c r="L1001" i="4"/>
  <c r="Q1001" i="4" s="1"/>
  <c r="M1001" i="4"/>
  <c r="R1001" i="4" s="1"/>
  <c r="P1001" i="4"/>
  <c r="N1001" i="4"/>
  <c r="O993" i="4"/>
  <c r="L993" i="4"/>
  <c r="Q993" i="4" s="1"/>
  <c r="M993" i="4"/>
  <c r="R993" i="4" s="1"/>
  <c r="N993" i="4"/>
  <c r="P993" i="4"/>
  <c r="O985" i="4"/>
  <c r="L985" i="4"/>
  <c r="Q985" i="4" s="1"/>
  <c r="M985" i="4"/>
  <c r="R985" i="4" s="1"/>
  <c r="N985" i="4"/>
  <c r="P985" i="4"/>
  <c r="L977" i="4"/>
  <c r="Q977" i="4" s="1"/>
  <c r="M977" i="4"/>
  <c r="R977" i="4" s="1"/>
  <c r="N977" i="4"/>
  <c r="O977" i="4"/>
  <c r="P977" i="4"/>
  <c r="O969" i="4"/>
  <c r="M969" i="4"/>
  <c r="R969" i="4" s="1"/>
  <c r="L969" i="4"/>
  <c r="Q969" i="4" s="1"/>
  <c r="P969" i="4"/>
  <c r="N969" i="4"/>
  <c r="L961" i="4"/>
  <c r="Q961" i="4" s="1"/>
  <c r="O961" i="4"/>
  <c r="M961" i="4"/>
  <c r="R961" i="4" s="1"/>
  <c r="N961" i="4"/>
  <c r="P961" i="4"/>
  <c r="L953" i="4"/>
  <c r="Q953" i="4" s="1"/>
  <c r="M953" i="4"/>
  <c r="R953" i="4" s="1"/>
  <c r="O953" i="4"/>
  <c r="N953" i="4"/>
  <c r="P953" i="4"/>
  <c r="L945" i="4"/>
  <c r="Q945" i="4" s="1"/>
  <c r="M945" i="4"/>
  <c r="R945" i="4" s="1"/>
  <c r="O945" i="4"/>
  <c r="P945" i="4"/>
  <c r="N945" i="4"/>
  <c r="O937" i="4"/>
  <c r="L937" i="4"/>
  <c r="Q937" i="4" s="1"/>
  <c r="M937" i="4"/>
  <c r="R937" i="4" s="1"/>
  <c r="N937" i="4"/>
  <c r="P937" i="4"/>
  <c r="N929" i="4"/>
  <c r="O929" i="4"/>
  <c r="L929" i="4"/>
  <c r="Q929" i="4" s="1"/>
  <c r="M929" i="4"/>
  <c r="R929" i="4" s="1"/>
  <c r="P929" i="4"/>
  <c r="P921" i="4"/>
  <c r="M921" i="4"/>
  <c r="R921" i="4" s="1"/>
  <c r="L921" i="4"/>
  <c r="Q921" i="4" s="1"/>
  <c r="N921" i="4"/>
  <c r="O921" i="4"/>
  <c r="N913" i="4"/>
  <c r="L913" i="4"/>
  <c r="Q913" i="4" s="1"/>
  <c r="P913" i="4"/>
  <c r="M913" i="4"/>
  <c r="R913" i="4" s="1"/>
  <c r="O913" i="4"/>
  <c r="I905" i="4"/>
  <c r="K905" i="4"/>
  <c r="I897" i="4"/>
  <c r="K897" i="4"/>
  <c r="I889" i="4"/>
  <c r="K889" i="4"/>
  <c r="I881" i="4"/>
  <c r="K881" i="4"/>
  <c r="I873" i="4"/>
  <c r="K873" i="4"/>
  <c r="I865" i="4"/>
  <c r="K865" i="4"/>
  <c r="I857" i="4"/>
  <c r="K857" i="4"/>
  <c r="I849" i="4"/>
  <c r="K849" i="4"/>
  <c r="I841" i="4"/>
  <c r="K841" i="4"/>
  <c r="I833" i="4"/>
  <c r="K833" i="4"/>
  <c r="I825" i="4"/>
  <c r="K825" i="4"/>
  <c r="I817" i="4"/>
  <c r="K817" i="4"/>
  <c r="I809" i="4"/>
  <c r="K809" i="4"/>
  <c r="I801" i="4"/>
  <c r="K801" i="4"/>
  <c r="I793" i="4"/>
  <c r="K793" i="4"/>
  <c r="I785" i="4"/>
  <c r="K785" i="4"/>
  <c r="I777" i="4"/>
  <c r="K777" i="4"/>
  <c r="I769" i="4"/>
  <c r="K769" i="4"/>
  <c r="I761" i="4"/>
  <c r="K761" i="4"/>
  <c r="I753" i="4"/>
  <c r="K753" i="4"/>
  <c r="I745" i="4"/>
  <c r="K745" i="4"/>
  <c r="I737" i="4"/>
  <c r="K737" i="4"/>
  <c r="I729" i="4"/>
  <c r="K729" i="4"/>
  <c r="I721" i="4"/>
  <c r="K721" i="4"/>
  <c r="I713" i="4"/>
  <c r="K713" i="4"/>
  <c r="I705" i="4"/>
  <c r="K705" i="4"/>
  <c r="I697" i="4"/>
  <c r="K697" i="4"/>
  <c r="I689" i="4"/>
  <c r="K689" i="4"/>
  <c r="I681" i="4"/>
  <c r="K681" i="4"/>
  <c r="I673" i="4"/>
  <c r="K673" i="4"/>
  <c r="I665" i="4"/>
  <c r="K665" i="4"/>
  <c r="I657" i="4"/>
  <c r="K657" i="4"/>
  <c r="I649" i="4"/>
  <c r="K649" i="4"/>
  <c r="I641" i="4"/>
  <c r="K641" i="4"/>
  <c r="I633" i="4"/>
  <c r="K633" i="4"/>
  <c r="I625" i="4"/>
  <c r="K625" i="4"/>
  <c r="I617" i="4"/>
  <c r="K617" i="4"/>
  <c r="I609" i="4"/>
  <c r="K609" i="4"/>
  <c r="I601" i="4"/>
  <c r="K601" i="4"/>
  <c r="I593" i="4"/>
  <c r="K593" i="4"/>
  <c r="I585" i="4"/>
  <c r="K585" i="4"/>
  <c r="I577" i="4"/>
  <c r="K577" i="4"/>
  <c r="I569" i="4"/>
  <c r="K569" i="4"/>
  <c r="I561" i="4"/>
  <c r="K561" i="4"/>
  <c r="I553" i="4"/>
  <c r="K553" i="4"/>
  <c r="I545" i="4"/>
  <c r="K545" i="4"/>
  <c r="I537" i="4"/>
  <c r="K537" i="4"/>
  <c r="I529" i="4"/>
  <c r="K529" i="4"/>
  <c r="I521" i="4"/>
  <c r="K521" i="4"/>
  <c r="I513" i="4"/>
  <c r="K513" i="4"/>
  <c r="I505" i="4"/>
  <c r="K505" i="4"/>
  <c r="I497" i="4"/>
  <c r="K497" i="4"/>
  <c r="I489" i="4"/>
  <c r="K489" i="4"/>
  <c r="I481" i="4"/>
  <c r="K481" i="4"/>
  <c r="I473" i="4"/>
  <c r="K473" i="4"/>
  <c r="I465" i="4"/>
  <c r="K465" i="4"/>
  <c r="I457" i="4"/>
  <c r="K457" i="4"/>
  <c r="I449" i="4"/>
  <c r="K449" i="4"/>
  <c r="I441" i="4"/>
  <c r="K441" i="4"/>
  <c r="I433" i="4"/>
  <c r="K433" i="4"/>
  <c r="I425" i="4"/>
  <c r="K425" i="4"/>
  <c r="I417" i="4"/>
  <c r="K417" i="4"/>
  <c r="I409" i="4"/>
  <c r="K409" i="4"/>
  <c r="I401" i="4"/>
  <c r="K401" i="4"/>
  <c r="I393" i="4"/>
  <c r="K393" i="4"/>
  <c r="I385" i="4"/>
  <c r="K385" i="4"/>
  <c r="I377" i="4"/>
  <c r="K377" i="4"/>
  <c r="I369" i="4"/>
  <c r="K369" i="4"/>
  <c r="I361" i="4"/>
  <c r="K361" i="4"/>
  <c r="I353" i="4"/>
  <c r="K353" i="4"/>
  <c r="I345" i="4"/>
  <c r="K345" i="4"/>
  <c r="I337" i="4"/>
  <c r="K337" i="4"/>
  <c r="I329" i="4"/>
  <c r="K329" i="4"/>
  <c r="I321" i="4"/>
  <c r="K321" i="4"/>
  <c r="I313" i="4"/>
  <c r="K313" i="4"/>
  <c r="I305" i="4"/>
  <c r="K305" i="4"/>
  <c r="I297" i="4"/>
  <c r="K297" i="4"/>
  <c r="I289" i="4"/>
  <c r="K289" i="4"/>
  <c r="I281" i="4"/>
  <c r="K281" i="4"/>
  <c r="I273" i="4"/>
  <c r="K273" i="4"/>
  <c r="I265" i="4"/>
  <c r="K265" i="4"/>
  <c r="I257" i="4"/>
  <c r="K257" i="4"/>
  <c r="I249" i="4"/>
  <c r="K249" i="4"/>
  <c r="I241" i="4"/>
  <c r="K241" i="4"/>
  <c r="I233" i="4"/>
  <c r="K233" i="4"/>
  <c r="I225" i="4"/>
  <c r="K225" i="4"/>
  <c r="I217" i="4"/>
  <c r="K217" i="4"/>
  <c r="I209" i="4"/>
  <c r="K209" i="4"/>
  <c r="I201" i="4"/>
  <c r="K201" i="4"/>
  <c r="I193" i="4"/>
  <c r="K193" i="4"/>
  <c r="I185" i="4"/>
  <c r="K185" i="4"/>
  <c r="I177" i="4"/>
  <c r="K177" i="4"/>
  <c r="I169" i="4"/>
  <c r="K169" i="4"/>
  <c r="I161" i="4"/>
  <c r="K161" i="4"/>
  <c r="I153" i="4"/>
  <c r="K153" i="4"/>
  <c r="I145" i="4"/>
  <c r="K145" i="4"/>
  <c r="I137" i="4"/>
  <c r="K137" i="4"/>
  <c r="P2958" i="4"/>
  <c r="O2958" i="4"/>
  <c r="N2958" i="4"/>
  <c r="M2958" i="4"/>
  <c r="R2958" i="4" s="1"/>
  <c r="L2958" i="4"/>
  <c r="Q2958" i="4" s="1"/>
  <c r="P2902" i="4"/>
  <c r="N2902" i="4"/>
  <c r="O2902" i="4"/>
  <c r="M2902" i="4"/>
  <c r="R2902" i="4" s="1"/>
  <c r="L2902" i="4"/>
  <c r="Q2902" i="4" s="1"/>
  <c r="P2846" i="4"/>
  <c r="N2846" i="4"/>
  <c r="O2846" i="4"/>
  <c r="L2846" i="4"/>
  <c r="Q2846" i="4" s="1"/>
  <c r="M2846" i="4"/>
  <c r="R2846" i="4" s="1"/>
  <c r="P2798" i="4"/>
  <c r="N2798" i="4"/>
  <c r="O2798" i="4"/>
  <c r="M2798" i="4"/>
  <c r="R2798" i="4" s="1"/>
  <c r="L2798" i="4"/>
  <c r="Q2798" i="4" s="1"/>
  <c r="O2734" i="4"/>
  <c r="N2734" i="4"/>
  <c r="M2734" i="4"/>
  <c r="R2734" i="4" s="1"/>
  <c r="P2734" i="4"/>
  <c r="L2734" i="4"/>
  <c r="Q2734" i="4" s="1"/>
  <c r="L2686" i="4"/>
  <c r="Q2686" i="4" s="1"/>
  <c r="M2686" i="4"/>
  <c r="R2686" i="4" s="1"/>
  <c r="O2686" i="4"/>
  <c r="P2686" i="4"/>
  <c r="N2686" i="4"/>
  <c r="L2622" i="4"/>
  <c r="Q2622" i="4" s="1"/>
  <c r="N2622" i="4"/>
  <c r="M2622" i="4"/>
  <c r="R2622" i="4" s="1"/>
  <c r="O2622" i="4"/>
  <c r="P2622" i="4"/>
  <c r="L2582" i="4"/>
  <c r="Q2582" i="4" s="1"/>
  <c r="N2582" i="4"/>
  <c r="O2582" i="4"/>
  <c r="P2582" i="4"/>
  <c r="M2582" i="4"/>
  <c r="R2582" i="4" s="1"/>
  <c r="O2518" i="4"/>
  <c r="P2518" i="4"/>
  <c r="L2518" i="4"/>
  <c r="Q2518" i="4" s="1"/>
  <c r="N2518" i="4"/>
  <c r="M2518" i="4"/>
  <c r="R2518" i="4" s="1"/>
  <c r="L2462" i="4"/>
  <c r="Q2462" i="4" s="1"/>
  <c r="M2462" i="4"/>
  <c r="R2462" i="4" s="1"/>
  <c r="O2462" i="4"/>
  <c r="N2462" i="4"/>
  <c r="P2462" i="4"/>
  <c r="P2422" i="4"/>
  <c r="L2422" i="4"/>
  <c r="Q2422" i="4" s="1"/>
  <c r="M2422" i="4"/>
  <c r="R2422" i="4" s="1"/>
  <c r="N2422" i="4"/>
  <c r="O2422" i="4"/>
  <c r="L2358" i="4"/>
  <c r="Q2358" i="4" s="1"/>
  <c r="N2358" i="4"/>
  <c r="P2358" i="4"/>
  <c r="M2358" i="4"/>
  <c r="R2358" i="4" s="1"/>
  <c r="O2358" i="4"/>
  <c r="L2302" i="4"/>
  <c r="Q2302" i="4" s="1"/>
  <c r="N2302" i="4"/>
  <c r="P2302" i="4"/>
  <c r="M2302" i="4"/>
  <c r="R2302" i="4" s="1"/>
  <c r="O2302" i="4"/>
  <c r="L2254" i="4"/>
  <c r="Q2254" i="4" s="1"/>
  <c r="P2254" i="4"/>
  <c r="M2254" i="4"/>
  <c r="R2254" i="4" s="1"/>
  <c r="O2254" i="4"/>
  <c r="N2254" i="4"/>
  <c r="L2182" i="4"/>
  <c r="Q2182" i="4" s="1"/>
  <c r="O2182" i="4"/>
  <c r="M2182" i="4"/>
  <c r="R2182" i="4" s="1"/>
  <c r="P2182" i="4"/>
  <c r="N2182" i="4"/>
  <c r="L2134" i="4"/>
  <c r="Q2134" i="4" s="1"/>
  <c r="P2134" i="4"/>
  <c r="O2134" i="4"/>
  <c r="M2134" i="4"/>
  <c r="R2134" i="4" s="1"/>
  <c r="N2134" i="4"/>
  <c r="O2070" i="4"/>
  <c r="P2070" i="4"/>
  <c r="L2070" i="4"/>
  <c r="Q2070" i="4" s="1"/>
  <c r="N2070" i="4"/>
  <c r="M2070" i="4"/>
  <c r="R2070" i="4" s="1"/>
  <c r="P2022" i="4"/>
  <c r="L2022" i="4"/>
  <c r="Q2022" i="4" s="1"/>
  <c r="M2022" i="4"/>
  <c r="R2022" i="4" s="1"/>
  <c r="N2022" i="4"/>
  <c r="O2022" i="4"/>
  <c r="P1966" i="4"/>
  <c r="N1966" i="4"/>
  <c r="M1966" i="4"/>
  <c r="R1966" i="4" s="1"/>
  <c r="L1966" i="4"/>
  <c r="Q1966" i="4" s="1"/>
  <c r="O1966" i="4"/>
  <c r="M1894" i="4"/>
  <c r="R1894" i="4" s="1"/>
  <c r="O1894" i="4"/>
  <c r="P1894" i="4"/>
  <c r="L1894" i="4"/>
  <c r="Q1894" i="4" s="1"/>
  <c r="N1894" i="4"/>
  <c r="N1854" i="4"/>
  <c r="O1854" i="4"/>
  <c r="P1854" i="4"/>
  <c r="L1854" i="4"/>
  <c r="Q1854" i="4" s="1"/>
  <c r="M1854" i="4"/>
  <c r="R1854" i="4" s="1"/>
  <c r="L2972" i="4"/>
  <c r="Q2972" i="4" s="1"/>
  <c r="P2972" i="4"/>
  <c r="O2972" i="4"/>
  <c r="N2972" i="4"/>
  <c r="M2972" i="4"/>
  <c r="R2972" i="4" s="1"/>
  <c r="L2956" i="4"/>
  <c r="Q2956" i="4" s="1"/>
  <c r="P2956" i="4"/>
  <c r="O2956" i="4"/>
  <c r="M2956" i="4"/>
  <c r="R2956" i="4" s="1"/>
  <c r="N2956" i="4"/>
  <c r="L2916" i="4"/>
  <c r="Q2916" i="4" s="1"/>
  <c r="O2916" i="4"/>
  <c r="N2916" i="4"/>
  <c r="M2916" i="4"/>
  <c r="R2916" i="4" s="1"/>
  <c r="P2916" i="4"/>
  <c r="P2724" i="4"/>
  <c r="M2724" i="4"/>
  <c r="R2724" i="4" s="1"/>
  <c r="L2724" i="4"/>
  <c r="Q2724" i="4" s="1"/>
  <c r="N2724" i="4"/>
  <c r="O2724" i="4"/>
  <c r="P2684" i="4"/>
  <c r="N2684" i="4"/>
  <c r="M2684" i="4"/>
  <c r="R2684" i="4" s="1"/>
  <c r="O2684" i="4"/>
  <c r="L2684" i="4"/>
  <c r="Q2684" i="4" s="1"/>
  <c r="P2644" i="4"/>
  <c r="O2644" i="4"/>
  <c r="L2644" i="4"/>
  <c r="Q2644" i="4" s="1"/>
  <c r="M2644" i="4"/>
  <c r="R2644" i="4" s="1"/>
  <c r="N2644" i="4"/>
  <c r="P2604" i="4"/>
  <c r="N2604" i="4"/>
  <c r="L2604" i="4"/>
  <c r="Q2604" i="4" s="1"/>
  <c r="O2604" i="4"/>
  <c r="M2604" i="4"/>
  <c r="R2604" i="4" s="1"/>
  <c r="P2564" i="4"/>
  <c r="L2564" i="4"/>
  <c r="Q2564" i="4" s="1"/>
  <c r="N2564" i="4"/>
  <c r="M2564" i="4"/>
  <c r="R2564" i="4" s="1"/>
  <c r="O2564" i="4"/>
  <c r="P2532" i="4"/>
  <c r="M2532" i="4"/>
  <c r="R2532" i="4" s="1"/>
  <c r="L2532" i="4"/>
  <c r="Q2532" i="4" s="1"/>
  <c r="N2532" i="4"/>
  <c r="O2532" i="4"/>
  <c r="P2508" i="4"/>
  <c r="O2508" i="4"/>
  <c r="L2508" i="4"/>
  <c r="Q2508" i="4" s="1"/>
  <c r="N2508" i="4"/>
  <c r="M2508" i="4"/>
  <c r="R2508" i="4" s="1"/>
  <c r="M2468" i="4"/>
  <c r="R2468" i="4" s="1"/>
  <c r="N2468" i="4"/>
  <c r="P2468" i="4"/>
  <c r="O2468" i="4"/>
  <c r="L2468" i="4"/>
  <c r="Q2468" i="4" s="1"/>
  <c r="N2428" i="4"/>
  <c r="M2428" i="4"/>
  <c r="R2428" i="4" s="1"/>
  <c r="P2428" i="4"/>
  <c r="O2428" i="4"/>
  <c r="L2428" i="4"/>
  <c r="Q2428" i="4" s="1"/>
  <c r="L2372" i="4"/>
  <c r="Q2372" i="4" s="1"/>
  <c r="P2372" i="4"/>
  <c r="N2372" i="4"/>
  <c r="M2372" i="4"/>
  <c r="R2372" i="4" s="1"/>
  <c r="O2372" i="4"/>
  <c r="P2324" i="4"/>
  <c r="L2324" i="4"/>
  <c r="Q2324" i="4" s="1"/>
  <c r="M2324" i="4"/>
  <c r="R2324" i="4" s="1"/>
  <c r="N2324" i="4"/>
  <c r="O2324" i="4"/>
  <c r="P2180" i="4"/>
  <c r="N2180" i="4"/>
  <c r="L2180" i="4"/>
  <c r="Q2180" i="4" s="1"/>
  <c r="O2180" i="4"/>
  <c r="M2180" i="4"/>
  <c r="R2180" i="4" s="1"/>
  <c r="O2140" i="4"/>
  <c r="L2140" i="4"/>
  <c r="Q2140" i="4" s="1"/>
  <c r="P2140" i="4"/>
  <c r="N2140" i="4"/>
  <c r="M2140" i="4"/>
  <c r="R2140" i="4" s="1"/>
  <c r="L2100" i="4"/>
  <c r="Q2100" i="4" s="1"/>
  <c r="P2100" i="4"/>
  <c r="M2100" i="4"/>
  <c r="R2100" i="4" s="1"/>
  <c r="N2100" i="4"/>
  <c r="O2100" i="4"/>
  <c r="O2068" i="4"/>
  <c r="P2068" i="4"/>
  <c r="N2068" i="4"/>
  <c r="L2068" i="4"/>
  <c r="Q2068" i="4" s="1"/>
  <c r="M2068" i="4"/>
  <c r="R2068" i="4" s="1"/>
  <c r="P2028" i="4"/>
  <c r="M2028" i="4"/>
  <c r="R2028" i="4" s="1"/>
  <c r="O2028" i="4"/>
  <c r="N2028" i="4"/>
  <c r="L2028" i="4"/>
  <c r="Q2028" i="4" s="1"/>
  <c r="O1988" i="4"/>
  <c r="L1988" i="4"/>
  <c r="Q1988" i="4" s="1"/>
  <c r="N1988" i="4"/>
  <c r="M1988" i="4"/>
  <c r="R1988" i="4" s="1"/>
  <c r="P1988" i="4"/>
  <c r="O1948" i="4"/>
  <c r="M1948" i="4"/>
  <c r="R1948" i="4" s="1"/>
  <c r="N1948" i="4"/>
  <c r="P1948" i="4"/>
  <c r="L1948" i="4"/>
  <c r="Q1948" i="4" s="1"/>
  <c r="O1908" i="4"/>
  <c r="L1908" i="4"/>
  <c r="Q1908" i="4" s="1"/>
  <c r="M1908" i="4"/>
  <c r="R1908" i="4" s="1"/>
  <c r="N1908" i="4"/>
  <c r="P1908" i="4"/>
  <c r="O1868" i="4"/>
  <c r="M1868" i="4"/>
  <c r="R1868" i="4" s="1"/>
  <c r="P1868" i="4"/>
  <c r="L1868" i="4"/>
  <c r="Q1868" i="4" s="1"/>
  <c r="N1868" i="4"/>
  <c r="P1836" i="4"/>
  <c r="O1836" i="4"/>
  <c r="N1836" i="4"/>
  <c r="M1836" i="4"/>
  <c r="R1836" i="4" s="1"/>
  <c r="L1836" i="4"/>
  <c r="Q1836" i="4" s="1"/>
  <c r="O1796" i="4"/>
  <c r="P1796" i="4"/>
  <c r="N1796" i="4"/>
  <c r="L1796" i="4"/>
  <c r="Q1796" i="4" s="1"/>
  <c r="M1796" i="4"/>
  <c r="R1796" i="4" s="1"/>
  <c r="P1756" i="4"/>
  <c r="M1756" i="4"/>
  <c r="R1756" i="4" s="1"/>
  <c r="O1756" i="4"/>
  <c r="L1756" i="4"/>
  <c r="Q1756" i="4" s="1"/>
  <c r="N1756" i="4"/>
  <c r="O1716" i="4"/>
  <c r="L1716" i="4"/>
  <c r="Q1716" i="4" s="1"/>
  <c r="P1716" i="4"/>
  <c r="M1716" i="4"/>
  <c r="R1716" i="4" s="1"/>
  <c r="N1716" i="4"/>
  <c r="P1676" i="4"/>
  <c r="M1676" i="4"/>
  <c r="R1676" i="4" s="1"/>
  <c r="O1676" i="4"/>
  <c r="L1676" i="4"/>
  <c r="Q1676" i="4" s="1"/>
  <c r="N1676" i="4"/>
  <c r="L1628" i="4"/>
  <c r="Q1628" i="4" s="1"/>
  <c r="M1628" i="4"/>
  <c r="R1628" i="4" s="1"/>
  <c r="N1628" i="4"/>
  <c r="O1628" i="4"/>
  <c r="P1628" i="4"/>
  <c r="L1588" i="4"/>
  <c r="Q1588" i="4" s="1"/>
  <c r="M1588" i="4"/>
  <c r="R1588" i="4" s="1"/>
  <c r="N1588" i="4"/>
  <c r="O1588" i="4"/>
  <c r="P1588" i="4"/>
  <c r="N1540" i="4"/>
  <c r="O1540" i="4"/>
  <c r="L1540" i="4"/>
  <c r="Q1540" i="4" s="1"/>
  <c r="M1540" i="4"/>
  <c r="R1540" i="4" s="1"/>
  <c r="P1540" i="4"/>
  <c r="L2992" i="4"/>
  <c r="Q2992" i="4" s="1"/>
  <c r="M2992" i="4"/>
  <c r="R2992" i="4" s="1"/>
  <c r="N2992" i="4"/>
  <c r="P2992" i="4"/>
  <c r="O2992" i="4"/>
  <c r="L2976" i="4"/>
  <c r="Q2976" i="4" s="1"/>
  <c r="O2976" i="4"/>
  <c r="N2976" i="4"/>
  <c r="M2976" i="4"/>
  <c r="R2976" i="4" s="1"/>
  <c r="P2976" i="4"/>
  <c r="L2968" i="4"/>
  <c r="Q2968" i="4" s="1"/>
  <c r="M2968" i="4"/>
  <c r="R2968" i="4" s="1"/>
  <c r="N2968" i="4"/>
  <c r="P2968" i="4"/>
  <c r="O2968" i="4"/>
  <c r="L2952" i="4"/>
  <c r="Q2952" i="4" s="1"/>
  <c r="O2952" i="4"/>
  <c r="M2952" i="4"/>
  <c r="R2952" i="4" s="1"/>
  <c r="P2952" i="4"/>
  <c r="N2952" i="4"/>
  <c r="L2944" i="4"/>
  <c r="Q2944" i="4" s="1"/>
  <c r="O2944" i="4"/>
  <c r="N2944" i="4"/>
  <c r="P2944" i="4"/>
  <c r="M2944" i="4"/>
  <c r="R2944" i="4" s="1"/>
  <c r="L2936" i="4"/>
  <c r="Q2936" i="4" s="1"/>
  <c r="M2936" i="4"/>
  <c r="R2936" i="4" s="1"/>
  <c r="O2936" i="4"/>
  <c r="N2936" i="4"/>
  <c r="P2936" i="4"/>
  <c r="L2928" i="4"/>
  <c r="Q2928" i="4" s="1"/>
  <c r="M2928" i="4"/>
  <c r="R2928" i="4" s="1"/>
  <c r="N2928" i="4"/>
  <c r="P2928" i="4"/>
  <c r="O2928" i="4"/>
  <c r="L2920" i="4"/>
  <c r="Q2920" i="4" s="1"/>
  <c r="O2920" i="4"/>
  <c r="P2920" i="4"/>
  <c r="M2920" i="4"/>
  <c r="R2920" i="4" s="1"/>
  <c r="N2920" i="4"/>
  <c r="L2912" i="4"/>
  <c r="Q2912" i="4" s="1"/>
  <c r="O2912" i="4"/>
  <c r="N2912" i="4"/>
  <c r="P2912" i="4"/>
  <c r="M2912" i="4"/>
  <c r="R2912" i="4" s="1"/>
  <c r="L2904" i="4"/>
  <c r="Q2904" i="4" s="1"/>
  <c r="P2904" i="4"/>
  <c r="N2904" i="4"/>
  <c r="M2904" i="4"/>
  <c r="R2904" i="4" s="1"/>
  <c r="O2904" i="4"/>
  <c r="L2896" i="4"/>
  <c r="Q2896" i="4" s="1"/>
  <c r="M2896" i="4"/>
  <c r="R2896" i="4" s="1"/>
  <c r="N2896" i="4"/>
  <c r="P2896" i="4"/>
  <c r="O2896" i="4"/>
  <c r="L2888" i="4"/>
  <c r="Q2888" i="4" s="1"/>
  <c r="O2888" i="4"/>
  <c r="P2888" i="4"/>
  <c r="M2888" i="4"/>
  <c r="R2888" i="4" s="1"/>
  <c r="N2888" i="4"/>
  <c r="L2880" i="4"/>
  <c r="Q2880" i="4" s="1"/>
  <c r="O2880" i="4"/>
  <c r="N2880" i="4"/>
  <c r="M2880" i="4"/>
  <c r="R2880" i="4" s="1"/>
  <c r="P2880" i="4"/>
  <c r="L2872" i="4"/>
  <c r="Q2872" i="4" s="1"/>
  <c r="P2872" i="4"/>
  <c r="M2872" i="4"/>
  <c r="R2872" i="4" s="1"/>
  <c r="O2872" i="4"/>
  <c r="N2872" i="4"/>
  <c r="L2864" i="4"/>
  <c r="Q2864" i="4" s="1"/>
  <c r="M2864" i="4"/>
  <c r="R2864" i="4" s="1"/>
  <c r="N2864" i="4"/>
  <c r="P2864" i="4"/>
  <c r="O2864" i="4"/>
  <c r="L2856" i="4"/>
  <c r="Q2856" i="4" s="1"/>
  <c r="O2856" i="4"/>
  <c r="P2856" i="4"/>
  <c r="M2856" i="4"/>
  <c r="R2856" i="4" s="1"/>
  <c r="N2856" i="4"/>
  <c r="L2848" i="4"/>
  <c r="Q2848" i="4" s="1"/>
  <c r="O2848" i="4"/>
  <c r="N2848" i="4"/>
  <c r="P2848" i="4"/>
  <c r="M2848" i="4"/>
  <c r="R2848" i="4" s="1"/>
  <c r="L2840" i="4"/>
  <c r="Q2840" i="4" s="1"/>
  <c r="O2840" i="4"/>
  <c r="M2840" i="4"/>
  <c r="R2840" i="4" s="1"/>
  <c r="N2840" i="4"/>
  <c r="P2840" i="4"/>
  <c r="L2832" i="4"/>
  <c r="Q2832" i="4" s="1"/>
  <c r="M2832" i="4"/>
  <c r="R2832" i="4" s="1"/>
  <c r="N2832" i="4"/>
  <c r="P2832" i="4"/>
  <c r="O2832" i="4"/>
  <c r="L2824" i="4"/>
  <c r="Q2824" i="4" s="1"/>
  <c r="P2824" i="4"/>
  <c r="O2824" i="4"/>
  <c r="M2824" i="4"/>
  <c r="R2824" i="4" s="1"/>
  <c r="N2824" i="4"/>
  <c r="L2816" i="4"/>
  <c r="Q2816" i="4" s="1"/>
  <c r="O2816" i="4"/>
  <c r="N2816" i="4"/>
  <c r="M2816" i="4"/>
  <c r="R2816" i="4" s="1"/>
  <c r="P2816" i="4"/>
  <c r="L2808" i="4"/>
  <c r="Q2808" i="4" s="1"/>
  <c r="M2808" i="4"/>
  <c r="R2808" i="4" s="1"/>
  <c r="O2808" i="4"/>
  <c r="N2808" i="4"/>
  <c r="P2808" i="4"/>
  <c r="L2800" i="4"/>
  <c r="Q2800" i="4" s="1"/>
  <c r="M2800" i="4"/>
  <c r="R2800" i="4" s="1"/>
  <c r="N2800" i="4"/>
  <c r="P2800" i="4"/>
  <c r="O2800" i="4"/>
  <c r="L2792" i="4"/>
  <c r="Q2792" i="4" s="1"/>
  <c r="M2792" i="4"/>
  <c r="R2792" i="4" s="1"/>
  <c r="P2792" i="4"/>
  <c r="O2792" i="4"/>
  <c r="N2792" i="4"/>
  <c r="L2784" i="4"/>
  <c r="Q2784" i="4" s="1"/>
  <c r="M2784" i="4"/>
  <c r="R2784" i="4" s="1"/>
  <c r="O2784" i="4"/>
  <c r="N2784" i="4"/>
  <c r="P2784" i="4"/>
  <c r="L2776" i="4"/>
  <c r="Q2776" i="4" s="1"/>
  <c r="M2776" i="4"/>
  <c r="R2776" i="4" s="1"/>
  <c r="O2776" i="4"/>
  <c r="P2776" i="4"/>
  <c r="N2776" i="4"/>
  <c r="L2768" i="4"/>
  <c r="Q2768" i="4" s="1"/>
  <c r="O2768" i="4"/>
  <c r="M2768" i="4"/>
  <c r="R2768" i="4" s="1"/>
  <c r="N2768" i="4"/>
  <c r="P2768" i="4"/>
  <c r="L2760" i="4"/>
  <c r="Q2760" i="4" s="1"/>
  <c r="O2760" i="4"/>
  <c r="M2760" i="4"/>
  <c r="R2760" i="4" s="1"/>
  <c r="P2760" i="4"/>
  <c r="N2760" i="4"/>
  <c r="L2752" i="4"/>
  <c r="Q2752" i="4" s="1"/>
  <c r="M2752" i="4"/>
  <c r="R2752" i="4" s="1"/>
  <c r="O2752" i="4"/>
  <c r="N2752" i="4"/>
  <c r="P2752" i="4"/>
  <c r="L2744" i="4"/>
  <c r="Q2744" i="4" s="1"/>
  <c r="M2744" i="4"/>
  <c r="R2744" i="4" s="1"/>
  <c r="O2744" i="4"/>
  <c r="P2744" i="4"/>
  <c r="N2744" i="4"/>
  <c r="L2736" i="4"/>
  <c r="Q2736" i="4" s="1"/>
  <c r="O2736" i="4"/>
  <c r="M2736" i="4"/>
  <c r="R2736" i="4" s="1"/>
  <c r="N2736" i="4"/>
  <c r="P2736" i="4"/>
  <c r="L2728" i="4"/>
  <c r="Q2728" i="4" s="1"/>
  <c r="M2728" i="4"/>
  <c r="R2728" i="4" s="1"/>
  <c r="O2728" i="4"/>
  <c r="N2728" i="4"/>
  <c r="P2728" i="4"/>
  <c r="P2720" i="4"/>
  <c r="N2720" i="4"/>
  <c r="L2720" i="4"/>
  <c r="Q2720" i="4" s="1"/>
  <c r="O2720" i="4"/>
  <c r="M2720" i="4"/>
  <c r="R2720" i="4" s="1"/>
  <c r="P2712" i="4"/>
  <c r="O2712" i="4"/>
  <c r="N2712" i="4"/>
  <c r="M2712" i="4"/>
  <c r="R2712" i="4" s="1"/>
  <c r="L2712" i="4"/>
  <c r="Q2712" i="4" s="1"/>
  <c r="P2704" i="4"/>
  <c r="N2704" i="4"/>
  <c r="M2704" i="4"/>
  <c r="R2704" i="4" s="1"/>
  <c r="O2704" i="4"/>
  <c r="L2704" i="4"/>
  <c r="Q2704" i="4" s="1"/>
  <c r="P2696" i="4"/>
  <c r="L2696" i="4"/>
  <c r="Q2696" i="4" s="1"/>
  <c r="O2696" i="4"/>
  <c r="M2696" i="4"/>
  <c r="R2696" i="4" s="1"/>
  <c r="N2696" i="4"/>
  <c r="P2688" i="4"/>
  <c r="N2688" i="4"/>
  <c r="M2688" i="4"/>
  <c r="R2688" i="4" s="1"/>
  <c r="L2688" i="4"/>
  <c r="Q2688" i="4" s="1"/>
  <c r="O2688" i="4"/>
  <c r="P2680" i="4"/>
  <c r="O2680" i="4"/>
  <c r="N2680" i="4"/>
  <c r="M2680" i="4"/>
  <c r="R2680" i="4" s="1"/>
  <c r="L2680" i="4"/>
  <c r="Q2680" i="4" s="1"/>
  <c r="P2672" i="4"/>
  <c r="N2672" i="4"/>
  <c r="M2672" i="4"/>
  <c r="R2672" i="4" s="1"/>
  <c r="O2672" i="4"/>
  <c r="L2672" i="4"/>
  <c r="Q2672" i="4" s="1"/>
  <c r="P2664" i="4"/>
  <c r="L2664" i="4"/>
  <c r="Q2664" i="4" s="1"/>
  <c r="O2664" i="4"/>
  <c r="M2664" i="4"/>
  <c r="R2664" i="4" s="1"/>
  <c r="N2664" i="4"/>
  <c r="P2656" i="4"/>
  <c r="N2656" i="4"/>
  <c r="M2656" i="4"/>
  <c r="R2656" i="4" s="1"/>
  <c r="L2656" i="4"/>
  <c r="Q2656" i="4" s="1"/>
  <c r="O2656" i="4"/>
  <c r="P2648" i="4"/>
  <c r="O2648" i="4"/>
  <c r="N2648" i="4"/>
  <c r="L2648" i="4"/>
  <c r="Q2648" i="4" s="1"/>
  <c r="M2648" i="4"/>
  <c r="R2648" i="4" s="1"/>
  <c r="P2640" i="4"/>
  <c r="O2640" i="4"/>
  <c r="N2640" i="4"/>
  <c r="M2640" i="4"/>
  <c r="R2640" i="4" s="1"/>
  <c r="L2640" i="4"/>
  <c r="Q2640" i="4" s="1"/>
  <c r="P2632" i="4"/>
  <c r="O2632" i="4"/>
  <c r="L2632" i="4"/>
  <c r="Q2632" i="4" s="1"/>
  <c r="N2632" i="4"/>
  <c r="M2632" i="4"/>
  <c r="R2632" i="4" s="1"/>
  <c r="P2624" i="4"/>
  <c r="N2624" i="4"/>
  <c r="L2624" i="4"/>
  <c r="Q2624" i="4" s="1"/>
  <c r="M2624" i="4"/>
  <c r="R2624" i="4" s="1"/>
  <c r="O2624" i="4"/>
  <c r="P2616" i="4"/>
  <c r="O2616" i="4"/>
  <c r="M2616" i="4"/>
  <c r="R2616" i="4" s="1"/>
  <c r="N2616" i="4"/>
  <c r="L2616" i="4"/>
  <c r="Q2616" i="4" s="1"/>
  <c r="O2608" i="4"/>
  <c r="N2608" i="4"/>
  <c r="P2608" i="4"/>
  <c r="M2608" i="4"/>
  <c r="R2608" i="4" s="1"/>
  <c r="L2608" i="4"/>
  <c r="Q2608" i="4" s="1"/>
  <c r="P2600" i="4"/>
  <c r="O2600" i="4"/>
  <c r="L2600" i="4"/>
  <c r="Q2600" i="4" s="1"/>
  <c r="M2600" i="4"/>
  <c r="R2600" i="4" s="1"/>
  <c r="N2600" i="4"/>
  <c r="P2592" i="4"/>
  <c r="N2592" i="4"/>
  <c r="L2592" i="4"/>
  <c r="Q2592" i="4" s="1"/>
  <c r="M2592" i="4"/>
  <c r="R2592" i="4" s="1"/>
  <c r="O2592" i="4"/>
  <c r="P2584" i="4"/>
  <c r="O2584" i="4"/>
  <c r="M2584" i="4"/>
  <c r="R2584" i="4" s="1"/>
  <c r="N2584" i="4"/>
  <c r="L2584" i="4"/>
  <c r="Q2584" i="4" s="1"/>
  <c r="P2576" i="4"/>
  <c r="M2576" i="4"/>
  <c r="R2576" i="4" s="1"/>
  <c r="N2576" i="4"/>
  <c r="O2576" i="4"/>
  <c r="L2576" i="4"/>
  <c r="Q2576" i="4" s="1"/>
  <c r="P2568" i="4"/>
  <c r="O2568" i="4"/>
  <c r="L2568" i="4"/>
  <c r="Q2568" i="4" s="1"/>
  <c r="N2568" i="4"/>
  <c r="M2568" i="4"/>
  <c r="R2568" i="4" s="1"/>
  <c r="P2560" i="4"/>
  <c r="N2560" i="4"/>
  <c r="L2560" i="4"/>
  <c r="Q2560" i="4" s="1"/>
  <c r="M2560" i="4"/>
  <c r="R2560" i="4" s="1"/>
  <c r="O2560" i="4"/>
  <c r="P2552" i="4"/>
  <c r="O2552" i="4"/>
  <c r="N2552" i="4"/>
  <c r="M2552" i="4"/>
  <c r="R2552" i="4" s="1"/>
  <c r="L2552" i="4"/>
  <c r="Q2552" i="4" s="1"/>
  <c r="P2544" i="4"/>
  <c r="O2544" i="4"/>
  <c r="M2544" i="4"/>
  <c r="R2544" i="4" s="1"/>
  <c r="N2544" i="4"/>
  <c r="L2544" i="4"/>
  <c r="Q2544" i="4" s="1"/>
  <c r="P2536" i="4"/>
  <c r="L2536" i="4"/>
  <c r="Q2536" i="4" s="1"/>
  <c r="O2536" i="4"/>
  <c r="N2536" i="4"/>
  <c r="M2536" i="4"/>
  <c r="R2536" i="4" s="1"/>
  <c r="P2528" i="4"/>
  <c r="N2528" i="4"/>
  <c r="M2528" i="4"/>
  <c r="R2528" i="4" s="1"/>
  <c r="L2528" i="4"/>
  <c r="Q2528" i="4" s="1"/>
  <c r="O2528" i="4"/>
  <c r="P2520" i="4"/>
  <c r="M2520" i="4"/>
  <c r="R2520" i="4" s="1"/>
  <c r="L2520" i="4"/>
  <c r="Q2520" i="4" s="1"/>
  <c r="O2520" i="4"/>
  <c r="N2520" i="4"/>
  <c r="N2512" i="4"/>
  <c r="O2512" i="4"/>
  <c r="M2512" i="4"/>
  <c r="R2512" i="4" s="1"/>
  <c r="P2512" i="4"/>
  <c r="L2512" i="4"/>
  <c r="Q2512" i="4" s="1"/>
  <c r="P2504" i="4"/>
  <c r="M2504" i="4"/>
  <c r="R2504" i="4" s="1"/>
  <c r="L2504" i="4"/>
  <c r="Q2504" i="4" s="1"/>
  <c r="O2504" i="4"/>
  <c r="N2504" i="4"/>
  <c r="P2496" i="4"/>
  <c r="N2496" i="4"/>
  <c r="L2496" i="4"/>
  <c r="Q2496" i="4" s="1"/>
  <c r="O2496" i="4"/>
  <c r="M2496" i="4"/>
  <c r="R2496" i="4" s="1"/>
  <c r="P2488" i="4"/>
  <c r="M2488" i="4"/>
  <c r="R2488" i="4" s="1"/>
  <c r="O2488" i="4"/>
  <c r="L2488" i="4"/>
  <c r="Q2488" i="4" s="1"/>
  <c r="N2488" i="4"/>
  <c r="P2480" i="4"/>
  <c r="N2480" i="4"/>
  <c r="O2480" i="4"/>
  <c r="M2480" i="4"/>
  <c r="R2480" i="4" s="1"/>
  <c r="L2480" i="4"/>
  <c r="Q2480" i="4" s="1"/>
  <c r="O2472" i="4"/>
  <c r="N2472" i="4"/>
  <c r="M2472" i="4"/>
  <c r="R2472" i="4" s="1"/>
  <c r="L2472" i="4"/>
  <c r="Q2472" i="4" s="1"/>
  <c r="P2472" i="4"/>
  <c r="M2464" i="4"/>
  <c r="R2464" i="4" s="1"/>
  <c r="N2464" i="4"/>
  <c r="L2464" i="4"/>
  <c r="Q2464" i="4" s="1"/>
  <c r="P2464" i="4"/>
  <c r="O2464" i="4"/>
  <c r="M2456" i="4"/>
  <c r="R2456" i="4" s="1"/>
  <c r="O2456" i="4"/>
  <c r="L2456" i="4"/>
  <c r="Q2456" i="4" s="1"/>
  <c r="P2456" i="4"/>
  <c r="N2456" i="4"/>
  <c r="M2448" i="4"/>
  <c r="R2448" i="4" s="1"/>
  <c r="P2448" i="4"/>
  <c r="O2448" i="4"/>
  <c r="L2448" i="4"/>
  <c r="Q2448" i="4" s="1"/>
  <c r="N2448" i="4"/>
  <c r="P2440" i="4"/>
  <c r="L2440" i="4"/>
  <c r="Q2440" i="4" s="1"/>
  <c r="N2440" i="4"/>
  <c r="O2440" i="4"/>
  <c r="M2440" i="4"/>
  <c r="R2440" i="4" s="1"/>
  <c r="P2432" i="4"/>
  <c r="N2432" i="4"/>
  <c r="L2432" i="4"/>
  <c r="Q2432" i="4" s="1"/>
  <c r="O2432" i="4"/>
  <c r="M2432" i="4"/>
  <c r="R2432" i="4" s="1"/>
  <c r="P2424" i="4"/>
  <c r="L2424" i="4"/>
  <c r="Q2424" i="4" s="1"/>
  <c r="M2424" i="4"/>
  <c r="R2424" i="4" s="1"/>
  <c r="O2424" i="4"/>
  <c r="N2424" i="4"/>
  <c r="L2416" i="4"/>
  <c r="Q2416" i="4" s="1"/>
  <c r="P2416" i="4"/>
  <c r="N2416" i="4"/>
  <c r="O2416" i="4"/>
  <c r="M2416" i="4"/>
  <c r="R2416" i="4" s="1"/>
  <c r="P2408" i="4"/>
  <c r="N2408" i="4"/>
  <c r="O2408" i="4"/>
  <c r="L2408" i="4"/>
  <c r="Q2408" i="4" s="1"/>
  <c r="M2408" i="4"/>
  <c r="R2408" i="4" s="1"/>
  <c r="P2400" i="4"/>
  <c r="N2400" i="4"/>
  <c r="O2400" i="4"/>
  <c r="M2400" i="4"/>
  <c r="R2400" i="4" s="1"/>
  <c r="L2400" i="4"/>
  <c r="Q2400" i="4" s="1"/>
  <c r="P2392" i="4"/>
  <c r="O2392" i="4"/>
  <c r="N2392" i="4"/>
  <c r="M2392" i="4"/>
  <c r="R2392" i="4" s="1"/>
  <c r="L2392" i="4"/>
  <c r="Q2392" i="4" s="1"/>
  <c r="P2384" i="4"/>
  <c r="L2384" i="4"/>
  <c r="Q2384" i="4" s="1"/>
  <c r="M2384" i="4"/>
  <c r="R2384" i="4" s="1"/>
  <c r="O2384" i="4"/>
  <c r="N2384" i="4"/>
  <c r="P2376" i="4"/>
  <c r="O2376" i="4"/>
  <c r="N2376" i="4"/>
  <c r="L2376" i="4"/>
  <c r="Q2376" i="4" s="1"/>
  <c r="M2376" i="4"/>
  <c r="R2376" i="4" s="1"/>
  <c r="P2368" i="4"/>
  <c r="N2368" i="4"/>
  <c r="L2368" i="4"/>
  <c r="Q2368" i="4" s="1"/>
  <c r="O2368" i="4"/>
  <c r="M2368" i="4"/>
  <c r="R2368" i="4" s="1"/>
  <c r="P2360" i="4"/>
  <c r="O2360" i="4"/>
  <c r="N2360" i="4"/>
  <c r="M2360" i="4"/>
  <c r="R2360" i="4" s="1"/>
  <c r="L2360" i="4"/>
  <c r="Q2360" i="4" s="1"/>
  <c r="P2352" i="4"/>
  <c r="N2352" i="4"/>
  <c r="O2352" i="4"/>
  <c r="M2352" i="4"/>
  <c r="R2352" i="4" s="1"/>
  <c r="L2352" i="4"/>
  <c r="Q2352" i="4" s="1"/>
  <c r="O2344" i="4"/>
  <c r="L2344" i="4"/>
  <c r="Q2344" i="4" s="1"/>
  <c r="P2344" i="4"/>
  <c r="N2344" i="4"/>
  <c r="M2344" i="4"/>
  <c r="R2344" i="4" s="1"/>
  <c r="P2336" i="4"/>
  <c r="N2336" i="4"/>
  <c r="O2336" i="4"/>
  <c r="M2336" i="4"/>
  <c r="R2336" i="4" s="1"/>
  <c r="L2336" i="4"/>
  <c r="Q2336" i="4" s="1"/>
  <c r="P2328" i="4"/>
  <c r="O2328" i="4"/>
  <c r="N2328" i="4"/>
  <c r="M2328" i="4"/>
  <c r="R2328" i="4" s="1"/>
  <c r="L2328" i="4"/>
  <c r="Q2328" i="4" s="1"/>
  <c r="P2320" i="4"/>
  <c r="O2320" i="4"/>
  <c r="L2320" i="4"/>
  <c r="Q2320" i="4" s="1"/>
  <c r="N2320" i="4"/>
  <c r="M2320" i="4"/>
  <c r="R2320" i="4" s="1"/>
  <c r="P2312" i="4"/>
  <c r="L2312" i="4"/>
  <c r="Q2312" i="4" s="1"/>
  <c r="O2312" i="4"/>
  <c r="N2312" i="4"/>
  <c r="M2312" i="4"/>
  <c r="R2312" i="4" s="1"/>
  <c r="P2304" i="4"/>
  <c r="N2304" i="4"/>
  <c r="O2304" i="4"/>
  <c r="L2304" i="4"/>
  <c r="Q2304" i="4" s="1"/>
  <c r="M2304" i="4"/>
  <c r="R2304" i="4" s="1"/>
  <c r="P2296" i="4"/>
  <c r="O2296" i="4"/>
  <c r="M2296" i="4"/>
  <c r="R2296" i="4" s="1"/>
  <c r="L2296" i="4"/>
  <c r="Q2296" i="4" s="1"/>
  <c r="N2296" i="4"/>
  <c r="P2288" i="4"/>
  <c r="N2288" i="4"/>
  <c r="O2288" i="4"/>
  <c r="M2288" i="4"/>
  <c r="R2288" i="4" s="1"/>
  <c r="L2288" i="4"/>
  <c r="Q2288" i="4" s="1"/>
  <c r="P2280" i="4"/>
  <c r="O2280" i="4"/>
  <c r="L2280" i="4"/>
  <c r="Q2280" i="4" s="1"/>
  <c r="M2280" i="4"/>
  <c r="R2280" i="4" s="1"/>
  <c r="N2280" i="4"/>
  <c r="P2272" i="4"/>
  <c r="N2272" i="4"/>
  <c r="O2272" i="4"/>
  <c r="L2272" i="4"/>
  <c r="Q2272" i="4" s="1"/>
  <c r="M2272" i="4"/>
  <c r="R2272" i="4" s="1"/>
  <c r="P2264" i="4"/>
  <c r="M2264" i="4"/>
  <c r="R2264" i="4" s="1"/>
  <c r="L2264" i="4"/>
  <c r="Q2264" i="4" s="1"/>
  <c r="O2264" i="4"/>
  <c r="N2264" i="4"/>
  <c r="P2256" i="4"/>
  <c r="O2256" i="4"/>
  <c r="N2256" i="4"/>
  <c r="M2256" i="4"/>
  <c r="R2256" i="4" s="1"/>
  <c r="L2256" i="4"/>
  <c r="Q2256" i="4" s="1"/>
  <c r="P2248" i="4"/>
  <c r="O2248" i="4"/>
  <c r="L2248" i="4"/>
  <c r="Q2248" i="4" s="1"/>
  <c r="M2248" i="4"/>
  <c r="R2248" i="4" s="1"/>
  <c r="N2248" i="4"/>
  <c r="P2240" i="4"/>
  <c r="N2240" i="4"/>
  <c r="L2240" i="4"/>
  <c r="Q2240" i="4" s="1"/>
  <c r="M2240" i="4"/>
  <c r="R2240" i="4" s="1"/>
  <c r="O2240" i="4"/>
  <c r="P2232" i="4"/>
  <c r="N2232" i="4"/>
  <c r="O2232" i="4"/>
  <c r="M2232" i="4"/>
  <c r="R2232" i="4" s="1"/>
  <c r="L2232" i="4"/>
  <c r="Q2232" i="4" s="1"/>
  <c r="P2224" i="4"/>
  <c r="M2224" i="4"/>
  <c r="R2224" i="4" s="1"/>
  <c r="O2224" i="4"/>
  <c r="N2224" i="4"/>
  <c r="L2224" i="4"/>
  <c r="Q2224" i="4" s="1"/>
  <c r="P2216" i="4"/>
  <c r="O2216" i="4"/>
  <c r="L2216" i="4"/>
  <c r="Q2216" i="4" s="1"/>
  <c r="M2216" i="4"/>
  <c r="R2216" i="4" s="1"/>
  <c r="N2216" i="4"/>
  <c r="P2208" i="4"/>
  <c r="N2208" i="4"/>
  <c r="M2208" i="4"/>
  <c r="R2208" i="4" s="1"/>
  <c r="O2208" i="4"/>
  <c r="L2208" i="4"/>
  <c r="Q2208" i="4" s="1"/>
  <c r="P2200" i="4"/>
  <c r="O2200" i="4"/>
  <c r="N2200" i="4"/>
  <c r="M2200" i="4"/>
  <c r="R2200" i="4" s="1"/>
  <c r="L2200" i="4"/>
  <c r="Q2200" i="4" s="1"/>
  <c r="P2192" i="4"/>
  <c r="O2192" i="4"/>
  <c r="N2192" i="4"/>
  <c r="M2192" i="4"/>
  <c r="R2192" i="4" s="1"/>
  <c r="L2192" i="4"/>
  <c r="Q2192" i="4" s="1"/>
  <c r="P2184" i="4"/>
  <c r="L2184" i="4"/>
  <c r="Q2184" i="4" s="1"/>
  <c r="N2184" i="4"/>
  <c r="O2184" i="4"/>
  <c r="M2184" i="4"/>
  <c r="R2184" i="4" s="1"/>
  <c r="P2176" i="4"/>
  <c r="N2176" i="4"/>
  <c r="O2176" i="4"/>
  <c r="M2176" i="4"/>
  <c r="R2176" i="4" s="1"/>
  <c r="L2176" i="4"/>
  <c r="Q2176" i="4" s="1"/>
  <c r="P2168" i="4"/>
  <c r="M2168" i="4"/>
  <c r="R2168" i="4" s="1"/>
  <c r="O2168" i="4"/>
  <c r="N2168" i="4"/>
  <c r="L2168" i="4"/>
  <c r="Q2168" i="4" s="1"/>
  <c r="P2160" i="4"/>
  <c r="M2160" i="4"/>
  <c r="R2160" i="4" s="1"/>
  <c r="O2160" i="4"/>
  <c r="L2160" i="4"/>
  <c r="Q2160" i="4" s="1"/>
  <c r="N2160" i="4"/>
  <c r="P2152" i="4"/>
  <c r="L2152" i="4"/>
  <c r="Q2152" i="4" s="1"/>
  <c r="M2152" i="4"/>
  <c r="R2152" i="4" s="1"/>
  <c r="O2152" i="4"/>
  <c r="N2152" i="4"/>
  <c r="P2144" i="4"/>
  <c r="N2144" i="4"/>
  <c r="O2144" i="4"/>
  <c r="M2144" i="4"/>
  <c r="R2144" i="4" s="1"/>
  <c r="L2144" i="4"/>
  <c r="Q2144" i="4" s="1"/>
  <c r="N2136" i="4"/>
  <c r="L2136" i="4"/>
  <c r="Q2136" i="4" s="1"/>
  <c r="P2136" i="4"/>
  <c r="M2136" i="4"/>
  <c r="R2136" i="4" s="1"/>
  <c r="O2136" i="4"/>
  <c r="N2128" i="4"/>
  <c r="L2128" i="4"/>
  <c r="Q2128" i="4" s="1"/>
  <c r="O2128" i="4"/>
  <c r="M2128" i="4"/>
  <c r="R2128" i="4" s="1"/>
  <c r="P2128" i="4"/>
  <c r="N2120" i="4"/>
  <c r="L2120" i="4"/>
  <c r="Q2120" i="4" s="1"/>
  <c r="O2120" i="4"/>
  <c r="M2120" i="4"/>
  <c r="R2120" i="4" s="1"/>
  <c r="P2120" i="4"/>
  <c r="L2112" i="4"/>
  <c r="Q2112" i="4" s="1"/>
  <c r="P2112" i="4"/>
  <c r="N2112" i="4"/>
  <c r="M2112" i="4"/>
  <c r="R2112" i="4" s="1"/>
  <c r="O2112" i="4"/>
  <c r="L2104" i="4"/>
  <c r="Q2104" i="4" s="1"/>
  <c r="O2104" i="4"/>
  <c r="N2104" i="4"/>
  <c r="P2104" i="4"/>
  <c r="M2104" i="4"/>
  <c r="R2104" i="4" s="1"/>
  <c r="L2096" i="4"/>
  <c r="Q2096" i="4" s="1"/>
  <c r="N2096" i="4"/>
  <c r="M2096" i="4"/>
  <c r="R2096" i="4" s="1"/>
  <c r="O2096" i="4"/>
  <c r="P2096" i="4"/>
  <c r="L2088" i="4"/>
  <c r="Q2088" i="4" s="1"/>
  <c r="M2088" i="4"/>
  <c r="R2088" i="4" s="1"/>
  <c r="N2088" i="4"/>
  <c r="O2088" i="4"/>
  <c r="P2088" i="4"/>
  <c r="O2080" i="4"/>
  <c r="L2080" i="4"/>
  <c r="Q2080" i="4" s="1"/>
  <c r="N2080" i="4"/>
  <c r="M2080" i="4"/>
  <c r="R2080" i="4" s="1"/>
  <c r="P2080" i="4"/>
  <c r="O2072" i="4"/>
  <c r="P2072" i="4"/>
  <c r="M2072" i="4"/>
  <c r="R2072" i="4" s="1"/>
  <c r="L2072" i="4"/>
  <c r="Q2072" i="4" s="1"/>
  <c r="N2072" i="4"/>
  <c r="O2064" i="4"/>
  <c r="N2064" i="4"/>
  <c r="L2064" i="4"/>
  <c r="Q2064" i="4" s="1"/>
  <c r="P2064" i="4"/>
  <c r="M2064" i="4"/>
  <c r="R2064" i="4" s="1"/>
  <c r="M2056" i="4"/>
  <c r="R2056" i="4" s="1"/>
  <c r="P2056" i="4"/>
  <c r="O2056" i="4"/>
  <c r="L2056" i="4"/>
  <c r="Q2056" i="4" s="1"/>
  <c r="N2056" i="4"/>
  <c r="M2048" i="4"/>
  <c r="R2048" i="4" s="1"/>
  <c r="O2048" i="4"/>
  <c r="L2048" i="4"/>
  <c r="Q2048" i="4" s="1"/>
  <c r="N2048" i="4"/>
  <c r="P2048" i="4"/>
  <c r="M2040" i="4"/>
  <c r="R2040" i="4" s="1"/>
  <c r="O2040" i="4"/>
  <c r="P2040" i="4"/>
  <c r="N2040" i="4"/>
  <c r="L2040" i="4"/>
  <c r="Q2040" i="4" s="1"/>
  <c r="M2032" i="4"/>
  <c r="R2032" i="4" s="1"/>
  <c r="O2032" i="4"/>
  <c r="P2032" i="4"/>
  <c r="L2032" i="4"/>
  <c r="Q2032" i="4" s="1"/>
  <c r="N2032" i="4"/>
  <c r="M2024" i="4"/>
  <c r="R2024" i="4" s="1"/>
  <c r="P2024" i="4"/>
  <c r="O2024" i="4"/>
  <c r="L2024" i="4"/>
  <c r="Q2024" i="4" s="1"/>
  <c r="N2024" i="4"/>
  <c r="M2016" i="4"/>
  <c r="R2016" i="4" s="1"/>
  <c r="O2016" i="4"/>
  <c r="L2016" i="4"/>
  <c r="Q2016" i="4" s="1"/>
  <c r="N2016" i="4"/>
  <c r="P2016" i="4"/>
  <c r="P2008" i="4"/>
  <c r="M2008" i="4"/>
  <c r="R2008" i="4" s="1"/>
  <c r="O2008" i="4"/>
  <c r="N2008" i="4"/>
  <c r="L2008" i="4"/>
  <c r="Q2008" i="4" s="1"/>
  <c r="M2000" i="4"/>
  <c r="R2000" i="4" s="1"/>
  <c r="O2000" i="4"/>
  <c r="L2000" i="4"/>
  <c r="Q2000" i="4" s="1"/>
  <c r="P2000" i="4"/>
  <c r="N2000" i="4"/>
  <c r="P1992" i="4"/>
  <c r="O1992" i="4"/>
  <c r="L1992" i="4"/>
  <c r="Q1992" i="4" s="1"/>
  <c r="N1992" i="4"/>
  <c r="M1992" i="4"/>
  <c r="R1992" i="4" s="1"/>
  <c r="M1984" i="4"/>
  <c r="R1984" i="4" s="1"/>
  <c r="O1984" i="4"/>
  <c r="L1984" i="4"/>
  <c r="Q1984" i="4" s="1"/>
  <c r="N1984" i="4"/>
  <c r="P1984" i="4"/>
  <c r="P1976" i="4"/>
  <c r="O1976" i="4"/>
  <c r="L1976" i="4"/>
  <c r="Q1976" i="4" s="1"/>
  <c r="N1976" i="4"/>
  <c r="M1976" i="4"/>
  <c r="R1976" i="4" s="1"/>
  <c r="M1968" i="4"/>
  <c r="R1968" i="4" s="1"/>
  <c r="O1968" i="4"/>
  <c r="L1968" i="4"/>
  <c r="Q1968" i="4" s="1"/>
  <c r="N1968" i="4"/>
  <c r="P1968" i="4"/>
  <c r="P1960" i="4"/>
  <c r="O1960" i="4"/>
  <c r="N1960" i="4"/>
  <c r="L1960" i="4"/>
  <c r="Q1960" i="4" s="1"/>
  <c r="M1960" i="4"/>
  <c r="R1960" i="4" s="1"/>
  <c r="M1952" i="4"/>
  <c r="R1952" i="4" s="1"/>
  <c r="O1952" i="4"/>
  <c r="P1952" i="4"/>
  <c r="L1952" i="4"/>
  <c r="Q1952" i="4" s="1"/>
  <c r="N1952" i="4"/>
  <c r="P1944" i="4"/>
  <c r="O1944" i="4"/>
  <c r="L1944" i="4"/>
  <c r="Q1944" i="4" s="1"/>
  <c r="N1944" i="4"/>
  <c r="M1944" i="4"/>
  <c r="R1944" i="4" s="1"/>
  <c r="M1936" i="4"/>
  <c r="R1936" i="4" s="1"/>
  <c r="O1936" i="4"/>
  <c r="L1936" i="4"/>
  <c r="Q1936" i="4" s="1"/>
  <c r="P1936" i="4"/>
  <c r="N1936" i="4"/>
  <c r="P1928" i="4"/>
  <c r="O1928" i="4"/>
  <c r="N1928" i="4"/>
  <c r="M1928" i="4"/>
  <c r="R1928" i="4" s="1"/>
  <c r="L1928" i="4"/>
  <c r="Q1928" i="4" s="1"/>
  <c r="M1920" i="4"/>
  <c r="R1920" i="4" s="1"/>
  <c r="O1920" i="4"/>
  <c r="L1920" i="4"/>
  <c r="Q1920" i="4" s="1"/>
  <c r="N1920" i="4"/>
  <c r="P1920" i="4"/>
  <c r="O1912" i="4"/>
  <c r="P1912" i="4"/>
  <c r="L1912" i="4"/>
  <c r="Q1912" i="4" s="1"/>
  <c r="N1912" i="4"/>
  <c r="M1912" i="4"/>
  <c r="R1912" i="4" s="1"/>
  <c r="M1904" i="4"/>
  <c r="R1904" i="4" s="1"/>
  <c r="O1904" i="4"/>
  <c r="N1904" i="4"/>
  <c r="P1904" i="4"/>
  <c r="L1904" i="4"/>
  <c r="Q1904" i="4" s="1"/>
  <c r="O1896" i="4"/>
  <c r="P1896" i="4"/>
  <c r="M1896" i="4"/>
  <c r="R1896" i="4" s="1"/>
  <c r="L1896" i="4"/>
  <c r="Q1896" i="4" s="1"/>
  <c r="N1896" i="4"/>
  <c r="M1888" i="4"/>
  <c r="R1888" i="4" s="1"/>
  <c r="O1888" i="4"/>
  <c r="L1888" i="4"/>
  <c r="Q1888" i="4" s="1"/>
  <c r="P1888" i="4"/>
  <c r="N1888" i="4"/>
  <c r="O1880" i="4"/>
  <c r="P1880" i="4"/>
  <c r="L1880" i="4"/>
  <c r="Q1880" i="4" s="1"/>
  <c r="N1880" i="4"/>
  <c r="M1880" i="4"/>
  <c r="R1880" i="4" s="1"/>
  <c r="M1872" i="4"/>
  <c r="R1872" i="4" s="1"/>
  <c r="O1872" i="4"/>
  <c r="L1872" i="4"/>
  <c r="Q1872" i="4" s="1"/>
  <c r="N1872" i="4"/>
  <c r="P1872" i="4"/>
  <c r="O1864" i="4"/>
  <c r="P1864" i="4"/>
  <c r="L1864" i="4"/>
  <c r="Q1864" i="4" s="1"/>
  <c r="M1864" i="4"/>
  <c r="R1864" i="4" s="1"/>
  <c r="N1864" i="4"/>
  <c r="M1856" i="4"/>
  <c r="R1856" i="4" s="1"/>
  <c r="O1856" i="4"/>
  <c r="P1856" i="4"/>
  <c r="L1856" i="4"/>
  <c r="Q1856" i="4" s="1"/>
  <c r="N1856" i="4"/>
  <c r="O1848" i="4"/>
  <c r="N1848" i="4"/>
  <c r="M1848" i="4"/>
  <c r="R1848" i="4" s="1"/>
  <c r="P1848" i="4"/>
  <c r="L1848" i="4"/>
  <c r="Q1848" i="4" s="1"/>
  <c r="L1840" i="4"/>
  <c r="Q1840" i="4" s="1"/>
  <c r="M1840" i="4"/>
  <c r="R1840" i="4" s="1"/>
  <c r="N1840" i="4"/>
  <c r="O1840" i="4"/>
  <c r="P1840" i="4"/>
  <c r="L1832" i="4"/>
  <c r="Q1832" i="4" s="1"/>
  <c r="N1832" i="4"/>
  <c r="M1832" i="4"/>
  <c r="R1832" i="4" s="1"/>
  <c r="P1832" i="4"/>
  <c r="O1832" i="4"/>
  <c r="M1824" i="4"/>
  <c r="R1824" i="4" s="1"/>
  <c r="O1824" i="4"/>
  <c r="L1824" i="4"/>
  <c r="Q1824" i="4" s="1"/>
  <c r="P1824" i="4"/>
  <c r="N1824" i="4"/>
  <c r="O1816" i="4"/>
  <c r="L1816" i="4"/>
  <c r="Q1816" i="4" s="1"/>
  <c r="M1816" i="4"/>
  <c r="R1816" i="4" s="1"/>
  <c r="N1816" i="4"/>
  <c r="P1816" i="4"/>
  <c r="M1808" i="4"/>
  <c r="R1808" i="4" s="1"/>
  <c r="O1808" i="4"/>
  <c r="L1808" i="4"/>
  <c r="Q1808" i="4" s="1"/>
  <c r="N1808" i="4"/>
  <c r="P1808" i="4"/>
  <c r="O1800" i="4"/>
  <c r="P1800" i="4"/>
  <c r="N1800" i="4"/>
  <c r="L1800" i="4"/>
  <c r="Q1800" i="4" s="1"/>
  <c r="M1800" i="4"/>
  <c r="R1800" i="4" s="1"/>
  <c r="O1792" i="4"/>
  <c r="L1792" i="4"/>
  <c r="Q1792" i="4" s="1"/>
  <c r="P1792" i="4"/>
  <c r="N1792" i="4"/>
  <c r="M1792" i="4"/>
  <c r="R1792" i="4" s="1"/>
  <c r="L1784" i="4"/>
  <c r="Q1784" i="4" s="1"/>
  <c r="N1784" i="4"/>
  <c r="M1784" i="4"/>
  <c r="R1784" i="4" s="1"/>
  <c r="O1784" i="4"/>
  <c r="P1784" i="4"/>
  <c r="M1776" i="4"/>
  <c r="R1776" i="4" s="1"/>
  <c r="O1776" i="4"/>
  <c r="L1776" i="4"/>
  <c r="Q1776" i="4" s="1"/>
  <c r="P1776" i="4"/>
  <c r="N1776" i="4"/>
  <c r="O1768" i="4"/>
  <c r="P1768" i="4"/>
  <c r="N1768" i="4"/>
  <c r="L1768" i="4"/>
  <c r="Q1768" i="4" s="1"/>
  <c r="M1768" i="4"/>
  <c r="R1768" i="4" s="1"/>
  <c r="O1760" i="4"/>
  <c r="M1760" i="4"/>
  <c r="R1760" i="4" s="1"/>
  <c r="L1760" i="4"/>
  <c r="Q1760" i="4" s="1"/>
  <c r="P1760" i="4"/>
  <c r="N1760" i="4"/>
  <c r="M1752" i="4"/>
  <c r="R1752" i="4" s="1"/>
  <c r="O1752" i="4"/>
  <c r="P1752" i="4"/>
  <c r="L1752" i="4"/>
  <c r="Q1752" i="4" s="1"/>
  <c r="N1752" i="4"/>
  <c r="M1744" i="4"/>
  <c r="R1744" i="4" s="1"/>
  <c r="O1744" i="4"/>
  <c r="L1744" i="4"/>
  <c r="Q1744" i="4" s="1"/>
  <c r="N1744" i="4"/>
  <c r="P1744" i="4"/>
  <c r="M1736" i="4"/>
  <c r="R1736" i="4" s="1"/>
  <c r="P1736" i="4"/>
  <c r="L1736" i="4"/>
  <c r="Q1736" i="4" s="1"/>
  <c r="O1736" i="4"/>
  <c r="N1736" i="4"/>
  <c r="O1728" i="4"/>
  <c r="M1728" i="4"/>
  <c r="R1728" i="4" s="1"/>
  <c r="N1728" i="4"/>
  <c r="P1728" i="4"/>
  <c r="L1728" i="4"/>
  <c r="Q1728" i="4" s="1"/>
  <c r="M1720" i="4"/>
  <c r="R1720" i="4" s="1"/>
  <c r="P1720" i="4"/>
  <c r="L1720" i="4"/>
  <c r="Q1720" i="4" s="1"/>
  <c r="N1720" i="4"/>
  <c r="O1720" i="4"/>
  <c r="O1712" i="4"/>
  <c r="M1712" i="4"/>
  <c r="R1712" i="4" s="1"/>
  <c r="P1712" i="4"/>
  <c r="L1712" i="4"/>
  <c r="Q1712" i="4" s="1"/>
  <c r="N1712" i="4"/>
  <c r="M1704" i="4"/>
  <c r="R1704" i="4" s="1"/>
  <c r="L1704" i="4"/>
  <c r="Q1704" i="4" s="1"/>
  <c r="N1704" i="4"/>
  <c r="P1704" i="4"/>
  <c r="O1704" i="4"/>
  <c r="O1696" i="4"/>
  <c r="M1696" i="4"/>
  <c r="R1696" i="4" s="1"/>
  <c r="P1696" i="4"/>
  <c r="L1696" i="4"/>
  <c r="Q1696" i="4" s="1"/>
  <c r="N1696" i="4"/>
  <c r="M1688" i="4"/>
  <c r="R1688" i="4" s="1"/>
  <c r="P1688" i="4"/>
  <c r="L1688" i="4"/>
  <c r="Q1688" i="4" s="1"/>
  <c r="N1688" i="4"/>
  <c r="O1688" i="4"/>
  <c r="M1680" i="4"/>
  <c r="R1680" i="4" s="1"/>
  <c r="O1680" i="4"/>
  <c r="P1680" i="4"/>
  <c r="L1680" i="4"/>
  <c r="Q1680" i="4" s="1"/>
  <c r="N1680" i="4"/>
  <c r="O1672" i="4"/>
  <c r="L1672" i="4"/>
  <c r="Q1672" i="4" s="1"/>
  <c r="N1672" i="4"/>
  <c r="P1672" i="4"/>
  <c r="M1672" i="4"/>
  <c r="R1672" i="4" s="1"/>
  <c r="L1664" i="4"/>
  <c r="Q1664" i="4" s="1"/>
  <c r="M1664" i="4"/>
  <c r="R1664" i="4" s="1"/>
  <c r="N1664" i="4"/>
  <c r="P1664" i="4"/>
  <c r="O1664" i="4"/>
  <c r="L1656" i="4"/>
  <c r="Q1656" i="4" s="1"/>
  <c r="M1656" i="4"/>
  <c r="R1656" i="4" s="1"/>
  <c r="N1656" i="4"/>
  <c r="P1656" i="4"/>
  <c r="O1656" i="4"/>
  <c r="L1648" i="4"/>
  <c r="Q1648" i="4" s="1"/>
  <c r="M1648" i="4"/>
  <c r="R1648" i="4" s="1"/>
  <c r="O1648" i="4"/>
  <c r="N1648" i="4"/>
  <c r="P1648" i="4"/>
  <c r="O1640" i="4"/>
  <c r="M1640" i="4"/>
  <c r="R1640" i="4" s="1"/>
  <c r="L1640" i="4"/>
  <c r="Q1640" i="4" s="1"/>
  <c r="N1640" i="4"/>
  <c r="P1640" i="4"/>
  <c r="L1632" i="4"/>
  <c r="Q1632" i="4" s="1"/>
  <c r="N1632" i="4"/>
  <c r="M1632" i="4"/>
  <c r="R1632" i="4" s="1"/>
  <c r="P1632" i="4"/>
  <c r="O1632" i="4"/>
  <c r="M1624" i="4"/>
  <c r="R1624" i="4" s="1"/>
  <c r="N1624" i="4"/>
  <c r="O1624" i="4"/>
  <c r="P1624" i="4"/>
  <c r="L1624" i="4"/>
  <c r="Q1624" i="4" s="1"/>
  <c r="O1616" i="4"/>
  <c r="L1616" i="4"/>
  <c r="Q1616" i="4" s="1"/>
  <c r="N1616" i="4"/>
  <c r="M1616" i="4"/>
  <c r="R1616" i="4" s="1"/>
  <c r="P1616" i="4"/>
  <c r="M1608" i="4"/>
  <c r="R1608" i="4" s="1"/>
  <c r="O1608" i="4"/>
  <c r="L1608" i="4"/>
  <c r="Q1608" i="4" s="1"/>
  <c r="N1608" i="4"/>
  <c r="P1608" i="4"/>
  <c r="L1600" i="4"/>
  <c r="Q1600" i="4" s="1"/>
  <c r="N1600" i="4"/>
  <c r="M1600" i="4"/>
  <c r="R1600" i="4" s="1"/>
  <c r="O1600" i="4"/>
  <c r="P1600" i="4"/>
  <c r="M1592" i="4"/>
  <c r="R1592" i="4" s="1"/>
  <c r="O1592" i="4"/>
  <c r="L1592" i="4"/>
  <c r="Q1592" i="4" s="1"/>
  <c r="N1592" i="4"/>
  <c r="P1592" i="4"/>
  <c r="N1584" i="4"/>
  <c r="L1584" i="4"/>
  <c r="Q1584" i="4" s="1"/>
  <c r="O1584" i="4"/>
  <c r="P1584" i="4"/>
  <c r="M1584" i="4"/>
  <c r="R1584" i="4" s="1"/>
  <c r="L1576" i="4"/>
  <c r="Q1576" i="4" s="1"/>
  <c r="O1576" i="4"/>
  <c r="M1576" i="4"/>
  <c r="R1576" i="4" s="1"/>
  <c r="P1576" i="4"/>
  <c r="N1576" i="4"/>
  <c r="L1568" i="4"/>
  <c r="Q1568" i="4" s="1"/>
  <c r="M1568" i="4"/>
  <c r="R1568" i="4" s="1"/>
  <c r="O1568" i="4"/>
  <c r="P1568" i="4"/>
  <c r="N1568" i="4"/>
  <c r="L1560" i="4"/>
  <c r="Q1560" i="4" s="1"/>
  <c r="M1560" i="4"/>
  <c r="R1560" i="4" s="1"/>
  <c r="O1560" i="4"/>
  <c r="P1560" i="4"/>
  <c r="N1560" i="4"/>
  <c r="L1552" i="4"/>
  <c r="Q1552" i="4" s="1"/>
  <c r="M1552" i="4"/>
  <c r="R1552" i="4" s="1"/>
  <c r="N1552" i="4"/>
  <c r="O1552" i="4"/>
  <c r="P1552" i="4"/>
  <c r="L1544" i="4"/>
  <c r="Q1544" i="4" s="1"/>
  <c r="M1544" i="4"/>
  <c r="R1544" i="4" s="1"/>
  <c r="O1544" i="4"/>
  <c r="N1544" i="4"/>
  <c r="P1544" i="4"/>
  <c r="P1536" i="4"/>
  <c r="L1536" i="4"/>
  <c r="Q1536" i="4" s="1"/>
  <c r="N1536" i="4"/>
  <c r="O1536" i="4"/>
  <c r="M1536" i="4"/>
  <c r="R1536" i="4" s="1"/>
  <c r="L1528" i="4"/>
  <c r="Q1528" i="4" s="1"/>
  <c r="M1528" i="4"/>
  <c r="R1528" i="4" s="1"/>
  <c r="O1528" i="4"/>
  <c r="N1528" i="4"/>
  <c r="P1528" i="4"/>
  <c r="L1520" i="4"/>
  <c r="Q1520" i="4" s="1"/>
  <c r="M1520" i="4"/>
  <c r="R1520" i="4" s="1"/>
  <c r="P1520" i="4"/>
  <c r="O1520" i="4"/>
  <c r="N1520" i="4"/>
  <c r="L1512" i="4"/>
  <c r="Q1512" i="4" s="1"/>
  <c r="M1512" i="4"/>
  <c r="R1512" i="4" s="1"/>
  <c r="O1512" i="4"/>
  <c r="P1512" i="4"/>
  <c r="N1512" i="4"/>
  <c r="L1504" i="4"/>
  <c r="Q1504" i="4" s="1"/>
  <c r="P1504" i="4"/>
  <c r="O1504" i="4"/>
  <c r="N1504" i="4"/>
  <c r="M1504" i="4"/>
  <c r="R1504" i="4" s="1"/>
  <c r="L1496" i="4"/>
  <c r="Q1496" i="4" s="1"/>
  <c r="O1496" i="4"/>
  <c r="M1496" i="4"/>
  <c r="R1496" i="4" s="1"/>
  <c r="N1496" i="4"/>
  <c r="P1496" i="4"/>
  <c r="L1488" i="4"/>
  <c r="Q1488" i="4" s="1"/>
  <c r="P1488" i="4"/>
  <c r="O1488" i="4"/>
  <c r="N1488" i="4"/>
  <c r="M1488" i="4"/>
  <c r="R1488" i="4" s="1"/>
  <c r="L1480" i="4"/>
  <c r="Q1480" i="4" s="1"/>
  <c r="O1480" i="4"/>
  <c r="M1480" i="4"/>
  <c r="R1480" i="4" s="1"/>
  <c r="N1480" i="4"/>
  <c r="P1480" i="4"/>
  <c r="M1472" i="4"/>
  <c r="R1472" i="4" s="1"/>
  <c r="N1472" i="4"/>
  <c r="O1472" i="4"/>
  <c r="L1472" i="4"/>
  <c r="Q1472" i="4" s="1"/>
  <c r="P1472" i="4"/>
  <c r="L1464" i="4"/>
  <c r="Q1464" i="4" s="1"/>
  <c r="O1464" i="4"/>
  <c r="M1464" i="4"/>
  <c r="R1464" i="4" s="1"/>
  <c r="N1464" i="4"/>
  <c r="P1464" i="4"/>
  <c r="M1456" i="4"/>
  <c r="R1456" i="4" s="1"/>
  <c r="N1456" i="4"/>
  <c r="O1456" i="4"/>
  <c r="P1456" i="4"/>
  <c r="L1456" i="4"/>
  <c r="Q1456" i="4" s="1"/>
  <c r="L1448" i="4"/>
  <c r="Q1448" i="4" s="1"/>
  <c r="M1448" i="4"/>
  <c r="R1448" i="4" s="1"/>
  <c r="O1448" i="4"/>
  <c r="P1448" i="4"/>
  <c r="N1448" i="4"/>
  <c r="L1440" i="4"/>
  <c r="Q1440" i="4" s="1"/>
  <c r="O1440" i="4"/>
  <c r="P1440" i="4"/>
  <c r="M1440" i="4"/>
  <c r="R1440" i="4" s="1"/>
  <c r="N1440" i="4"/>
  <c r="L1432" i="4"/>
  <c r="Q1432" i="4" s="1"/>
  <c r="M1432" i="4"/>
  <c r="R1432" i="4" s="1"/>
  <c r="O1432" i="4"/>
  <c r="P1432" i="4"/>
  <c r="N1432" i="4"/>
  <c r="L1424" i="4"/>
  <c r="Q1424" i="4" s="1"/>
  <c r="M1424" i="4"/>
  <c r="R1424" i="4" s="1"/>
  <c r="N1424" i="4"/>
  <c r="O1424" i="4"/>
  <c r="P1424" i="4"/>
  <c r="L1416" i="4"/>
  <c r="Q1416" i="4" s="1"/>
  <c r="O1416" i="4"/>
  <c r="P1416" i="4"/>
  <c r="N1416" i="4"/>
  <c r="M1416" i="4"/>
  <c r="R1416" i="4" s="1"/>
  <c r="L1408" i="4"/>
  <c r="Q1408" i="4" s="1"/>
  <c r="M1408" i="4"/>
  <c r="R1408" i="4" s="1"/>
  <c r="P1408" i="4"/>
  <c r="N1408" i="4"/>
  <c r="O1408" i="4"/>
  <c r="L1400" i="4"/>
  <c r="Q1400" i="4" s="1"/>
  <c r="O1400" i="4"/>
  <c r="M1400" i="4"/>
  <c r="R1400" i="4" s="1"/>
  <c r="P1400" i="4"/>
  <c r="N1400" i="4"/>
  <c r="L1392" i="4"/>
  <c r="Q1392" i="4" s="1"/>
  <c r="M1392" i="4"/>
  <c r="R1392" i="4" s="1"/>
  <c r="P1392" i="4"/>
  <c r="O1392" i="4"/>
  <c r="N1392" i="4"/>
  <c r="L1384" i="4"/>
  <c r="Q1384" i="4" s="1"/>
  <c r="M1384" i="4"/>
  <c r="R1384" i="4" s="1"/>
  <c r="O1384" i="4"/>
  <c r="P1384" i="4"/>
  <c r="N1384" i="4"/>
  <c r="L1376" i="4"/>
  <c r="Q1376" i="4" s="1"/>
  <c r="P1376" i="4"/>
  <c r="M1376" i="4"/>
  <c r="R1376" i="4" s="1"/>
  <c r="O1376" i="4"/>
  <c r="N1376" i="4"/>
  <c r="L1368" i="4"/>
  <c r="Q1368" i="4" s="1"/>
  <c r="O1368" i="4"/>
  <c r="M1368" i="4"/>
  <c r="R1368" i="4" s="1"/>
  <c r="P1368" i="4"/>
  <c r="N1368" i="4"/>
  <c r="L1360" i="4"/>
  <c r="Q1360" i="4" s="1"/>
  <c r="P1360" i="4"/>
  <c r="N1360" i="4"/>
  <c r="O1360" i="4"/>
  <c r="M1360" i="4"/>
  <c r="R1360" i="4" s="1"/>
  <c r="L1352" i="4"/>
  <c r="Q1352" i="4" s="1"/>
  <c r="M1352" i="4"/>
  <c r="R1352" i="4" s="1"/>
  <c r="O1352" i="4"/>
  <c r="N1352" i="4"/>
  <c r="P1352" i="4"/>
  <c r="L1344" i="4"/>
  <c r="Q1344" i="4" s="1"/>
  <c r="N1344" i="4"/>
  <c r="M1344" i="4"/>
  <c r="R1344" i="4" s="1"/>
  <c r="P1344" i="4"/>
  <c r="O1344" i="4"/>
  <c r="L1336" i="4"/>
  <c r="Q1336" i="4" s="1"/>
  <c r="O1336" i="4"/>
  <c r="M1336" i="4"/>
  <c r="R1336" i="4" s="1"/>
  <c r="P1336" i="4"/>
  <c r="N1336" i="4"/>
  <c r="L1328" i="4"/>
  <c r="Q1328" i="4" s="1"/>
  <c r="P1328" i="4"/>
  <c r="O1328" i="4"/>
  <c r="M1328" i="4"/>
  <c r="R1328" i="4" s="1"/>
  <c r="N1328" i="4"/>
  <c r="L1320" i="4"/>
  <c r="Q1320" i="4" s="1"/>
  <c r="O1320" i="4"/>
  <c r="M1320" i="4"/>
  <c r="R1320" i="4" s="1"/>
  <c r="N1320" i="4"/>
  <c r="P1320" i="4"/>
  <c r="L1312" i="4"/>
  <c r="Q1312" i="4" s="1"/>
  <c r="P1312" i="4"/>
  <c r="O1312" i="4"/>
  <c r="N1312" i="4"/>
  <c r="M1312" i="4"/>
  <c r="R1312" i="4" s="1"/>
  <c r="L1304" i="4"/>
  <c r="Q1304" i="4" s="1"/>
  <c r="M1304" i="4"/>
  <c r="R1304" i="4" s="1"/>
  <c r="N1304" i="4"/>
  <c r="O1304" i="4"/>
  <c r="P1304" i="4"/>
  <c r="M1296" i="4"/>
  <c r="R1296" i="4" s="1"/>
  <c r="L1296" i="4"/>
  <c r="Q1296" i="4" s="1"/>
  <c r="N1296" i="4"/>
  <c r="P1296" i="4"/>
  <c r="O1296" i="4"/>
  <c r="L1288" i="4"/>
  <c r="Q1288" i="4" s="1"/>
  <c r="P1288" i="4"/>
  <c r="M1288" i="4"/>
  <c r="R1288" i="4" s="1"/>
  <c r="O1288" i="4"/>
  <c r="N1288" i="4"/>
  <c r="O1280" i="4"/>
  <c r="N1280" i="4"/>
  <c r="P1280" i="4"/>
  <c r="M1280" i="4"/>
  <c r="R1280" i="4" s="1"/>
  <c r="L1280" i="4"/>
  <c r="Q1280" i="4" s="1"/>
  <c r="L1272" i="4"/>
  <c r="Q1272" i="4" s="1"/>
  <c r="M1272" i="4"/>
  <c r="R1272" i="4" s="1"/>
  <c r="O1272" i="4"/>
  <c r="P1272" i="4"/>
  <c r="N1272" i="4"/>
  <c r="L1264" i="4"/>
  <c r="Q1264" i="4" s="1"/>
  <c r="O1264" i="4"/>
  <c r="M1264" i="4"/>
  <c r="R1264" i="4" s="1"/>
  <c r="P1264" i="4"/>
  <c r="N1264" i="4"/>
  <c r="L1256" i="4"/>
  <c r="Q1256" i="4" s="1"/>
  <c r="P1256" i="4"/>
  <c r="O1256" i="4"/>
  <c r="N1256" i="4"/>
  <c r="M1256" i="4"/>
  <c r="R1256" i="4" s="1"/>
  <c r="M1248" i="4"/>
  <c r="R1248" i="4" s="1"/>
  <c r="P1248" i="4"/>
  <c r="N1248" i="4"/>
  <c r="O1248" i="4"/>
  <c r="L1248" i="4"/>
  <c r="Q1248" i="4" s="1"/>
  <c r="P1240" i="4"/>
  <c r="L1240" i="4"/>
  <c r="Q1240" i="4" s="1"/>
  <c r="N1240" i="4"/>
  <c r="O1240" i="4"/>
  <c r="M1240" i="4"/>
  <c r="R1240" i="4" s="1"/>
  <c r="P1232" i="4"/>
  <c r="O1232" i="4"/>
  <c r="N1232" i="4"/>
  <c r="L1232" i="4"/>
  <c r="Q1232" i="4" s="1"/>
  <c r="M1232" i="4"/>
  <c r="R1232" i="4" s="1"/>
  <c r="M1224" i="4"/>
  <c r="R1224" i="4" s="1"/>
  <c r="N1224" i="4"/>
  <c r="O1224" i="4"/>
  <c r="P1224" i="4"/>
  <c r="L1224" i="4"/>
  <c r="Q1224" i="4" s="1"/>
  <c r="M1216" i="4"/>
  <c r="R1216" i="4" s="1"/>
  <c r="P1216" i="4"/>
  <c r="L1216" i="4"/>
  <c r="Q1216" i="4" s="1"/>
  <c r="N1216" i="4"/>
  <c r="O1216" i="4"/>
  <c r="P1208" i="4"/>
  <c r="O1208" i="4"/>
  <c r="M1208" i="4"/>
  <c r="R1208" i="4" s="1"/>
  <c r="L1208" i="4"/>
  <c r="Q1208" i="4" s="1"/>
  <c r="N1208" i="4"/>
  <c r="P1200" i="4"/>
  <c r="N1200" i="4"/>
  <c r="L1200" i="4"/>
  <c r="Q1200" i="4" s="1"/>
  <c r="O1200" i="4"/>
  <c r="M1200" i="4"/>
  <c r="R1200" i="4" s="1"/>
  <c r="P1192" i="4"/>
  <c r="L1192" i="4"/>
  <c r="Q1192" i="4" s="1"/>
  <c r="O1192" i="4"/>
  <c r="M1192" i="4"/>
  <c r="R1192" i="4" s="1"/>
  <c r="N1192" i="4"/>
  <c r="P1184" i="4"/>
  <c r="M1184" i="4"/>
  <c r="R1184" i="4" s="1"/>
  <c r="N1184" i="4"/>
  <c r="O1184" i="4"/>
  <c r="L1184" i="4"/>
  <c r="Q1184" i="4" s="1"/>
  <c r="P1176" i="4"/>
  <c r="M1176" i="4"/>
  <c r="R1176" i="4" s="1"/>
  <c r="O1176" i="4"/>
  <c r="N1176" i="4"/>
  <c r="L1176" i="4"/>
  <c r="Q1176" i="4" s="1"/>
  <c r="P1168" i="4"/>
  <c r="N1168" i="4"/>
  <c r="O1168" i="4"/>
  <c r="L1168" i="4"/>
  <c r="Q1168" i="4" s="1"/>
  <c r="M1168" i="4"/>
  <c r="R1168" i="4" s="1"/>
  <c r="P1160" i="4"/>
  <c r="M1160" i="4"/>
  <c r="R1160" i="4" s="1"/>
  <c r="N1160" i="4"/>
  <c r="L1160" i="4"/>
  <c r="Q1160" i="4" s="1"/>
  <c r="O1160" i="4"/>
  <c r="P1152" i="4"/>
  <c r="M1152" i="4"/>
  <c r="R1152" i="4" s="1"/>
  <c r="L1152" i="4"/>
  <c r="Q1152" i="4" s="1"/>
  <c r="O1152" i="4"/>
  <c r="N1152" i="4"/>
  <c r="P1144" i="4"/>
  <c r="L1144" i="4"/>
  <c r="Q1144" i="4" s="1"/>
  <c r="M1144" i="4"/>
  <c r="R1144" i="4" s="1"/>
  <c r="O1144" i="4"/>
  <c r="N1144" i="4"/>
  <c r="O1136" i="4"/>
  <c r="L1136" i="4"/>
  <c r="Q1136" i="4" s="1"/>
  <c r="N1136" i="4"/>
  <c r="P1136" i="4"/>
  <c r="M1136" i="4"/>
  <c r="R1136" i="4" s="1"/>
  <c r="P1128" i="4"/>
  <c r="M1128" i="4"/>
  <c r="R1128" i="4" s="1"/>
  <c r="O1128" i="4"/>
  <c r="N1128" i="4"/>
  <c r="L1128" i="4"/>
  <c r="Q1128" i="4" s="1"/>
  <c r="P1120" i="4"/>
  <c r="M1120" i="4"/>
  <c r="R1120" i="4" s="1"/>
  <c r="O1120" i="4"/>
  <c r="N1120" i="4"/>
  <c r="L1120" i="4"/>
  <c r="Q1120" i="4" s="1"/>
  <c r="P1112" i="4"/>
  <c r="L1112" i="4"/>
  <c r="Q1112" i="4" s="1"/>
  <c r="M1112" i="4"/>
  <c r="R1112" i="4" s="1"/>
  <c r="N1112" i="4"/>
  <c r="O1112" i="4"/>
  <c r="L1104" i="4"/>
  <c r="Q1104" i="4" s="1"/>
  <c r="O1104" i="4"/>
  <c r="P1104" i="4"/>
  <c r="N1104" i="4"/>
  <c r="M1104" i="4"/>
  <c r="R1104" i="4" s="1"/>
  <c r="M1096" i="4"/>
  <c r="R1096" i="4" s="1"/>
  <c r="P1096" i="4"/>
  <c r="L1096" i="4"/>
  <c r="Q1096" i="4" s="1"/>
  <c r="N1096" i="4"/>
  <c r="O1096" i="4"/>
  <c r="P1088" i="4"/>
  <c r="M1088" i="4"/>
  <c r="R1088" i="4" s="1"/>
  <c r="N1088" i="4"/>
  <c r="O1088" i="4"/>
  <c r="L1088" i="4"/>
  <c r="Q1088" i="4" s="1"/>
  <c r="L1080" i="4"/>
  <c r="Q1080" i="4" s="1"/>
  <c r="P1080" i="4"/>
  <c r="O1080" i="4"/>
  <c r="N1080" i="4"/>
  <c r="M1080" i="4"/>
  <c r="R1080" i="4" s="1"/>
  <c r="P1072" i="4"/>
  <c r="O1072" i="4"/>
  <c r="N1072" i="4"/>
  <c r="L1072" i="4"/>
  <c r="Q1072" i="4" s="1"/>
  <c r="M1072" i="4"/>
  <c r="R1072" i="4" s="1"/>
  <c r="P1064" i="4"/>
  <c r="L1064" i="4"/>
  <c r="Q1064" i="4" s="1"/>
  <c r="M1064" i="4"/>
  <c r="R1064" i="4" s="1"/>
  <c r="N1064" i="4"/>
  <c r="O1064" i="4"/>
  <c r="L1056" i="4"/>
  <c r="Q1056" i="4" s="1"/>
  <c r="O1056" i="4"/>
  <c r="M1056" i="4"/>
  <c r="R1056" i="4" s="1"/>
  <c r="N1056" i="4"/>
  <c r="P1056" i="4"/>
  <c r="L1048" i="4"/>
  <c r="Q1048" i="4" s="1"/>
  <c r="M1048" i="4"/>
  <c r="R1048" i="4" s="1"/>
  <c r="O1048" i="4"/>
  <c r="N1048" i="4"/>
  <c r="P1048" i="4"/>
  <c r="O1040" i="4"/>
  <c r="L1040" i="4"/>
  <c r="Q1040" i="4" s="1"/>
  <c r="M1040" i="4"/>
  <c r="R1040" i="4" s="1"/>
  <c r="N1040" i="4"/>
  <c r="P1040" i="4"/>
  <c r="M1032" i="4"/>
  <c r="R1032" i="4" s="1"/>
  <c r="O1032" i="4"/>
  <c r="L1032" i="4"/>
  <c r="Q1032" i="4" s="1"/>
  <c r="N1032" i="4"/>
  <c r="P1032" i="4"/>
  <c r="L1024" i="4"/>
  <c r="Q1024" i="4" s="1"/>
  <c r="N1024" i="4"/>
  <c r="P1024" i="4"/>
  <c r="M1024" i="4"/>
  <c r="R1024" i="4" s="1"/>
  <c r="O1024" i="4"/>
  <c r="M1016" i="4"/>
  <c r="R1016" i="4" s="1"/>
  <c r="N1016" i="4"/>
  <c r="P1016" i="4"/>
  <c r="O1016" i="4"/>
  <c r="L1016" i="4"/>
  <c r="Q1016" i="4" s="1"/>
  <c r="M1008" i="4"/>
  <c r="R1008" i="4" s="1"/>
  <c r="O1008" i="4"/>
  <c r="L1008" i="4"/>
  <c r="Q1008" i="4" s="1"/>
  <c r="N1008" i="4"/>
  <c r="P1008" i="4"/>
  <c r="M1000" i="4"/>
  <c r="R1000" i="4" s="1"/>
  <c r="N1000" i="4"/>
  <c r="O1000" i="4"/>
  <c r="L1000" i="4"/>
  <c r="Q1000" i="4" s="1"/>
  <c r="P1000" i="4"/>
  <c r="M992" i="4"/>
  <c r="R992" i="4" s="1"/>
  <c r="L992" i="4"/>
  <c r="Q992" i="4" s="1"/>
  <c r="N992" i="4"/>
  <c r="P992" i="4"/>
  <c r="O992" i="4"/>
  <c r="M984" i="4"/>
  <c r="R984" i="4" s="1"/>
  <c r="O984" i="4"/>
  <c r="N984" i="4"/>
  <c r="L984" i="4"/>
  <c r="Q984" i="4" s="1"/>
  <c r="P984" i="4"/>
  <c r="M976" i="4"/>
  <c r="R976" i="4" s="1"/>
  <c r="O976" i="4"/>
  <c r="N976" i="4"/>
  <c r="L976" i="4"/>
  <c r="Q976" i="4" s="1"/>
  <c r="P976" i="4"/>
  <c r="M968" i="4"/>
  <c r="R968" i="4" s="1"/>
  <c r="N968" i="4"/>
  <c r="P968" i="4"/>
  <c r="O968" i="4"/>
  <c r="L968" i="4"/>
  <c r="Q968" i="4" s="1"/>
  <c r="M960" i="4"/>
  <c r="R960" i="4" s="1"/>
  <c r="O960" i="4"/>
  <c r="L960" i="4"/>
  <c r="Q960" i="4" s="1"/>
  <c r="N960" i="4"/>
  <c r="P960" i="4"/>
  <c r="M952" i="4"/>
  <c r="R952" i="4" s="1"/>
  <c r="O952" i="4"/>
  <c r="L952" i="4"/>
  <c r="Q952" i="4" s="1"/>
  <c r="N952" i="4"/>
  <c r="P952" i="4"/>
  <c r="M944" i="4"/>
  <c r="R944" i="4" s="1"/>
  <c r="P944" i="4"/>
  <c r="L944" i="4"/>
  <c r="Q944" i="4" s="1"/>
  <c r="N944" i="4"/>
  <c r="O944" i="4"/>
  <c r="M936" i="4"/>
  <c r="R936" i="4" s="1"/>
  <c r="P936" i="4"/>
  <c r="L936" i="4"/>
  <c r="Q936" i="4" s="1"/>
  <c r="O936" i="4"/>
  <c r="N936" i="4"/>
  <c r="L928" i="4"/>
  <c r="Q928" i="4" s="1"/>
  <c r="O928" i="4"/>
  <c r="N928" i="4"/>
  <c r="M928" i="4"/>
  <c r="R928" i="4" s="1"/>
  <c r="P928" i="4"/>
  <c r="M920" i="4"/>
  <c r="R920" i="4" s="1"/>
  <c r="O920" i="4"/>
  <c r="N920" i="4"/>
  <c r="P920" i="4"/>
  <c r="L920" i="4"/>
  <c r="Q920" i="4" s="1"/>
  <c r="M912" i="4"/>
  <c r="R912" i="4" s="1"/>
  <c r="N912" i="4"/>
  <c r="O912" i="4"/>
  <c r="P912" i="4"/>
  <c r="L912" i="4"/>
  <c r="Q912" i="4" s="1"/>
  <c r="I904" i="4"/>
  <c r="K904" i="4"/>
  <c r="I896" i="4"/>
  <c r="K896" i="4"/>
  <c r="I888" i="4"/>
  <c r="K888" i="4"/>
  <c r="I880" i="4"/>
  <c r="K880" i="4"/>
  <c r="I872" i="4"/>
  <c r="K872" i="4"/>
  <c r="I864" i="4"/>
  <c r="K864" i="4"/>
  <c r="I856" i="4"/>
  <c r="K856" i="4"/>
  <c r="I848" i="4"/>
  <c r="K848" i="4"/>
  <c r="I840" i="4"/>
  <c r="K840" i="4"/>
  <c r="I832" i="4"/>
  <c r="K832" i="4"/>
  <c r="I824" i="4"/>
  <c r="K824" i="4"/>
  <c r="I816" i="4"/>
  <c r="K816" i="4"/>
  <c r="I808" i="4"/>
  <c r="K808" i="4"/>
  <c r="I800" i="4"/>
  <c r="K800" i="4"/>
  <c r="I792" i="4"/>
  <c r="K792" i="4"/>
  <c r="I784" i="4"/>
  <c r="K784" i="4"/>
  <c r="I776" i="4"/>
  <c r="K776" i="4"/>
  <c r="I768" i="4"/>
  <c r="K768" i="4"/>
  <c r="I760" i="4"/>
  <c r="K760" i="4"/>
  <c r="I752" i="4"/>
  <c r="K752" i="4"/>
  <c r="I744" i="4"/>
  <c r="K744" i="4"/>
  <c r="I736" i="4"/>
  <c r="K736" i="4"/>
  <c r="I728" i="4"/>
  <c r="K728" i="4"/>
  <c r="I720" i="4"/>
  <c r="K720" i="4"/>
  <c r="I712" i="4"/>
  <c r="K712" i="4"/>
  <c r="I704" i="4"/>
  <c r="K704" i="4"/>
  <c r="I696" i="4"/>
  <c r="K696" i="4"/>
  <c r="I688" i="4"/>
  <c r="K688" i="4"/>
  <c r="I680" i="4"/>
  <c r="K680" i="4"/>
  <c r="I672" i="4"/>
  <c r="K672" i="4"/>
  <c r="I664" i="4"/>
  <c r="K664" i="4"/>
  <c r="I656" i="4"/>
  <c r="K656" i="4"/>
  <c r="I648" i="4"/>
  <c r="K648" i="4"/>
  <c r="I640" i="4"/>
  <c r="K640" i="4"/>
  <c r="I632" i="4"/>
  <c r="K632" i="4"/>
  <c r="I624" i="4"/>
  <c r="K624" i="4"/>
  <c r="I616" i="4"/>
  <c r="K616" i="4"/>
  <c r="I608" i="4"/>
  <c r="K608" i="4"/>
  <c r="I600" i="4"/>
  <c r="K600" i="4"/>
  <c r="I592" i="4"/>
  <c r="K592" i="4"/>
  <c r="I584" i="4"/>
  <c r="K584" i="4"/>
  <c r="I576" i="4"/>
  <c r="K576" i="4"/>
  <c r="I568" i="4"/>
  <c r="K568" i="4"/>
  <c r="I560" i="4"/>
  <c r="K560" i="4"/>
  <c r="I552" i="4"/>
  <c r="K552" i="4"/>
  <c r="I544" i="4"/>
  <c r="K544" i="4"/>
  <c r="I536" i="4"/>
  <c r="K536" i="4"/>
  <c r="I528" i="4"/>
  <c r="K528" i="4"/>
  <c r="I520" i="4"/>
  <c r="K520" i="4"/>
  <c r="I512" i="4"/>
  <c r="K512" i="4"/>
  <c r="I504" i="4"/>
  <c r="K504" i="4"/>
  <c r="I496" i="4"/>
  <c r="K496" i="4"/>
  <c r="I488" i="4"/>
  <c r="K488" i="4"/>
  <c r="I480" i="4"/>
  <c r="K480" i="4"/>
  <c r="I472" i="4"/>
  <c r="K472" i="4"/>
  <c r="I464" i="4"/>
  <c r="K464" i="4"/>
  <c r="I456" i="4"/>
  <c r="K456" i="4"/>
  <c r="I448" i="4"/>
  <c r="K448" i="4"/>
  <c r="I440" i="4"/>
  <c r="K440" i="4"/>
  <c r="I432" i="4"/>
  <c r="K432" i="4"/>
  <c r="I424" i="4"/>
  <c r="K424" i="4"/>
  <c r="I416" i="4"/>
  <c r="K416" i="4"/>
  <c r="I408" i="4"/>
  <c r="K408" i="4"/>
  <c r="I400" i="4"/>
  <c r="K400" i="4"/>
  <c r="I392" i="4"/>
  <c r="K392" i="4"/>
  <c r="I384" i="4"/>
  <c r="K384" i="4"/>
  <c r="I376" i="4"/>
  <c r="K376" i="4"/>
  <c r="I368" i="4"/>
  <c r="K368" i="4"/>
  <c r="I360" i="4"/>
  <c r="K360" i="4"/>
  <c r="I352" i="4"/>
  <c r="K352" i="4"/>
  <c r="I344" i="4"/>
  <c r="K344" i="4"/>
  <c r="I336" i="4"/>
  <c r="K336" i="4"/>
  <c r="I328" i="4"/>
  <c r="K328" i="4"/>
  <c r="I320" i="4"/>
  <c r="K320" i="4"/>
  <c r="I312" i="4"/>
  <c r="K312" i="4"/>
  <c r="I304" i="4"/>
  <c r="K304" i="4"/>
  <c r="I296" i="4"/>
  <c r="K296" i="4"/>
  <c r="I288" i="4"/>
  <c r="K288" i="4"/>
  <c r="I280" i="4"/>
  <c r="K280" i="4"/>
  <c r="I272" i="4"/>
  <c r="K272" i="4"/>
  <c r="I264" i="4"/>
  <c r="K264" i="4"/>
  <c r="I256" i="4"/>
  <c r="K256" i="4"/>
  <c r="I248" i="4"/>
  <c r="K248" i="4"/>
  <c r="I240" i="4"/>
  <c r="K240" i="4"/>
  <c r="I232" i="4"/>
  <c r="K232" i="4"/>
  <c r="I224" i="4"/>
  <c r="K224" i="4"/>
  <c r="I216" i="4"/>
  <c r="K216" i="4"/>
  <c r="I208" i="4"/>
  <c r="K208" i="4"/>
  <c r="I200" i="4"/>
  <c r="K200" i="4"/>
  <c r="I192" i="4"/>
  <c r="K192" i="4"/>
  <c r="I184" i="4"/>
  <c r="K184" i="4"/>
  <c r="I176" i="4"/>
  <c r="K176" i="4"/>
  <c r="I168" i="4"/>
  <c r="K168" i="4"/>
  <c r="I160" i="4"/>
  <c r="K160" i="4"/>
  <c r="I152" i="4"/>
  <c r="K152" i="4"/>
  <c r="I144" i="4"/>
  <c r="K144" i="4"/>
  <c r="I136" i="4"/>
  <c r="K136" i="4"/>
  <c r="P2966" i="4"/>
  <c r="N2966" i="4"/>
  <c r="O2966" i="4"/>
  <c r="M2966" i="4"/>
  <c r="R2966" i="4" s="1"/>
  <c r="L2966" i="4"/>
  <c r="Q2966" i="4" s="1"/>
  <c r="O2910" i="4"/>
  <c r="P2910" i="4"/>
  <c r="N2910" i="4"/>
  <c r="L2910" i="4"/>
  <c r="Q2910" i="4" s="1"/>
  <c r="M2910" i="4"/>
  <c r="R2910" i="4" s="1"/>
  <c r="P2854" i="4"/>
  <c r="N2854" i="4"/>
  <c r="O2854" i="4"/>
  <c r="L2854" i="4"/>
  <c r="Q2854" i="4" s="1"/>
  <c r="M2854" i="4"/>
  <c r="R2854" i="4" s="1"/>
  <c r="P2790" i="4"/>
  <c r="N2790" i="4"/>
  <c r="O2790" i="4"/>
  <c r="M2790" i="4"/>
  <c r="R2790" i="4" s="1"/>
  <c r="L2790" i="4"/>
  <c r="Q2790" i="4" s="1"/>
  <c r="O2742" i="4"/>
  <c r="N2742" i="4"/>
  <c r="L2742" i="4"/>
  <c r="Q2742" i="4" s="1"/>
  <c r="P2742" i="4"/>
  <c r="M2742" i="4"/>
  <c r="R2742" i="4" s="1"/>
  <c r="L2678" i="4"/>
  <c r="Q2678" i="4" s="1"/>
  <c r="N2678" i="4"/>
  <c r="P2678" i="4"/>
  <c r="O2678" i="4"/>
  <c r="M2678" i="4"/>
  <c r="R2678" i="4" s="1"/>
  <c r="L2630" i="4"/>
  <c r="Q2630" i="4" s="1"/>
  <c r="O2630" i="4"/>
  <c r="M2630" i="4"/>
  <c r="R2630" i="4" s="1"/>
  <c r="N2630" i="4"/>
  <c r="P2630" i="4"/>
  <c r="L2574" i="4"/>
  <c r="Q2574" i="4" s="1"/>
  <c r="M2574" i="4"/>
  <c r="R2574" i="4" s="1"/>
  <c r="P2574" i="4"/>
  <c r="O2574" i="4"/>
  <c r="N2574" i="4"/>
  <c r="L2526" i="4"/>
  <c r="Q2526" i="4" s="1"/>
  <c r="M2526" i="4"/>
  <c r="R2526" i="4" s="1"/>
  <c r="P2526" i="4"/>
  <c r="O2526" i="4"/>
  <c r="N2526" i="4"/>
  <c r="O2470" i="4"/>
  <c r="L2470" i="4"/>
  <c r="Q2470" i="4" s="1"/>
  <c r="N2470" i="4"/>
  <c r="P2470" i="4"/>
  <c r="M2470" i="4"/>
  <c r="R2470" i="4" s="1"/>
  <c r="M2414" i="4"/>
  <c r="R2414" i="4" s="1"/>
  <c r="O2414" i="4"/>
  <c r="P2414" i="4"/>
  <c r="L2414" i="4"/>
  <c r="Q2414" i="4" s="1"/>
  <c r="N2414" i="4"/>
  <c r="L2366" i="4"/>
  <c r="Q2366" i="4" s="1"/>
  <c r="O2366" i="4"/>
  <c r="M2366" i="4"/>
  <c r="R2366" i="4" s="1"/>
  <c r="N2366" i="4"/>
  <c r="P2366" i="4"/>
  <c r="L2310" i="4"/>
  <c r="Q2310" i="4" s="1"/>
  <c r="O2310" i="4"/>
  <c r="P2310" i="4"/>
  <c r="M2310" i="4"/>
  <c r="R2310" i="4" s="1"/>
  <c r="N2310" i="4"/>
  <c r="L2246" i="4"/>
  <c r="Q2246" i="4" s="1"/>
  <c r="O2246" i="4"/>
  <c r="N2246" i="4"/>
  <c r="P2246" i="4"/>
  <c r="M2246" i="4"/>
  <c r="R2246" i="4" s="1"/>
  <c r="L2174" i="4"/>
  <c r="Q2174" i="4" s="1"/>
  <c r="O2174" i="4"/>
  <c r="P2174" i="4"/>
  <c r="M2174" i="4"/>
  <c r="R2174" i="4" s="1"/>
  <c r="N2174" i="4"/>
  <c r="L2126" i="4"/>
  <c r="Q2126" i="4" s="1"/>
  <c r="M2126" i="4"/>
  <c r="R2126" i="4" s="1"/>
  <c r="P2126" i="4"/>
  <c r="N2126" i="4"/>
  <c r="O2126" i="4"/>
  <c r="L2078" i="4"/>
  <c r="Q2078" i="4" s="1"/>
  <c r="M2078" i="4"/>
  <c r="R2078" i="4" s="1"/>
  <c r="O2078" i="4"/>
  <c r="P2078" i="4"/>
  <c r="N2078" i="4"/>
  <c r="P2014" i="4"/>
  <c r="L2014" i="4"/>
  <c r="Q2014" i="4" s="1"/>
  <c r="O2014" i="4"/>
  <c r="N2014" i="4"/>
  <c r="M2014" i="4"/>
  <c r="R2014" i="4" s="1"/>
  <c r="M1958" i="4"/>
  <c r="R1958" i="4" s="1"/>
  <c r="O1958" i="4"/>
  <c r="P1958" i="4"/>
  <c r="L1958" i="4"/>
  <c r="Q1958" i="4" s="1"/>
  <c r="N1958" i="4"/>
  <c r="P1902" i="4"/>
  <c r="N1902" i="4"/>
  <c r="L1902" i="4"/>
  <c r="Q1902" i="4" s="1"/>
  <c r="M1902" i="4"/>
  <c r="R1902" i="4" s="1"/>
  <c r="O1902" i="4"/>
  <c r="P1838" i="4"/>
  <c r="L1838" i="4"/>
  <c r="Q1838" i="4" s="1"/>
  <c r="M1838" i="4"/>
  <c r="R1838" i="4" s="1"/>
  <c r="O1838" i="4"/>
  <c r="N1838" i="4"/>
  <c r="L2980" i="4"/>
  <c r="Q2980" i="4" s="1"/>
  <c r="O2980" i="4"/>
  <c r="N2980" i="4"/>
  <c r="P2980" i="4"/>
  <c r="M2980" i="4"/>
  <c r="R2980" i="4" s="1"/>
  <c r="L2948" i="4"/>
  <c r="Q2948" i="4" s="1"/>
  <c r="O2948" i="4"/>
  <c r="N2948" i="4"/>
  <c r="P2948" i="4"/>
  <c r="M2948" i="4"/>
  <c r="R2948" i="4" s="1"/>
  <c r="L2908" i="4"/>
  <c r="Q2908" i="4" s="1"/>
  <c r="P2908" i="4"/>
  <c r="O2908" i="4"/>
  <c r="N2908" i="4"/>
  <c r="M2908" i="4"/>
  <c r="R2908" i="4" s="1"/>
  <c r="L2868" i="4"/>
  <c r="Q2868" i="4" s="1"/>
  <c r="P2868" i="4"/>
  <c r="N2868" i="4"/>
  <c r="M2868" i="4"/>
  <c r="R2868" i="4" s="1"/>
  <c r="O2868" i="4"/>
  <c r="L2844" i="4"/>
  <c r="Q2844" i="4" s="1"/>
  <c r="P2844" i="4"/>
  <c r="O2844" i="4"/>
  <c r="M2844" i="4"/>
  <c r="R2844" i="4" s="1"/>
  <c r="N2844" i="4"/>
  <c r="L2820" i="4"/>
  <c r="Q2820" i="4" s="1"/>
  <c r="N2820" i="4"/>
  <c r="O2820" i="4"/>
  <c r="M2820" i="4"/>
  <c r="R2820" i="4" s="1"/>
  <c r="P2820" i="4"/>
  <c r="L2804" i="4"/>
  <c r="Q2804" i="4" s="1"/>
  <c r="M2804" i="4"/>
  <c r="R2804" i="4" s="1"/>
  <c r="P2804" i="4"/>
  <c r="N2804" i="4"/>
  <c r="O2804" i="4"/>
  <c r="L2780" i="4"/>
  <c r="Q2780" i="4" s="1"/>
  <c r="M2780" i="4"/>
  <c r="R2780" i="4" s="1"/>
  <c r="P2780" i="4"/>
  <c r="O2780" i="4"/>
  <c r="N2780" i="4"/>
  <c r="L2756" i="4"/>
  <c r="Q2756" i="4" s="1"/>
  <c r="M2756" i="4"/>
  <c r="R2756" i="4" s="1"/>
  <c r="O2756" i="4"/>
  <c r="N2756" i="4"/>
  <c r="P2756" i="4"/>
  <c r="L2740" i="4"/>
  <c r="Q2740" i="4" s="1"/>
  <c r="O2740" i="4"/>
  <c r="M2740" i="4"/>
  <c r="R2740" i="4" s="1"/>
  <c r="P2740" i="4"/>
  <c r="N2740" i="4"/>
  <c r="P2700" i="4"/>
  <c r="N2700" i="4"/>
  <c r="L2700" i="4"/>
  <c r="Q2700" i="4" s="1"/>
  <c r="O2700" i="4"/>
  <c r="M2700" i="4"/>
  <c r="R2700" i="4" s="1"/>
  <c r="M2660" i="4"/>
  <c r="R2660" i="4" s="1"/>
  <c r="L2660" i="4"/>
  <c r="Q2660" i="4" s="1"/>
  <c r="N2660" i="4"/>
  <c r="P2660" i="4"/>
  <c r="O2660" i="4"/>
  <c r="P2612" i="4"/>
  <c r="L2612" i="4"/>
  <c r="Q2612" i="4" s="1"/>
  <c r="M2612" i="4"/>
  <c r="R2612" i="4" s="1"/>
  <c r="O2612" i="4"/>
  <c r="N2612" i="4"/>
  <c r="P2572" i="4"/>
  <c r="L2572" i="4"/>
  <c r="Q2572" i="4" s="1"/>
  <c r="O2572" i="4"/>
  <c r="N2572" i="4"/>
  <c r="M2572" i="4"/>
  <c r="R2572" i="4" s="1"/>
  <c r="O2548" i="4"/>
  <c r="P2548" i="4"/>
  <c r="N2548" i="4"/>
  <c r="L2548" i="4"/>
  <c r="Q2548" i="4" s="1"/>
  <c r="M2548" i="4"/>
  <c r="R2548" i="4" s="1"/>
  <c r="P2500" i="4"/>
  <c r="N2500" i="4"/>
  <c r="M2500" i="4"/>
  <c r="R2500" i="4" s="1"/>
  <c r="L2500" i="4"/>
  <c r="Q2500" i="4" s="1"/>
  <c r="O2500" i="4"/>
  <c r="M2460" i="4"/>
  <c r="R2460" i="4" s="1"/>
  <c r="N2460" i="4"/>
  <c r="P2460" i="4"/>
  <c r="O2460" i="4"/>
  <c r="L2460" i="4"/>
  <c r="Q2460" i="4" s="1"/>
  <c r="P2420" i="4"/>
  <c r="M2420" i="4"/>
  <c r="R2420" i="4" s="1"/>
  <c r="N2420" i="4"/>
  <c r="O2420" i="4"/>
  <c r="L2420" i="4"/>
  <c r="Q2420" i="4" s="1"/>
  <c r="P2380" i="4"/>
  <c r="O2380" i="4"/>
  <c r="N2380" i="4"/>
  <c r="L2380" i="4"/>
  <c r="Q2380" i="4" s="1"/>
  <c r="M2380" i="4"/>
  <c r="R2380" i="4" s="1"/>
  <c r="P2340" i="4"/>
  <c r="L2340" i="4"/>
  <c r="Q2340" i="4" s="1"/>
  <c r="N2340" i="4"/>
  <c r="O2340" i="4"/>
  <c r="M2340" i="4"/>
  <c r="R2340" i="4" s="1"/>
  <c r="P2308" i="4"/>
  <c r="N2308" i="4"/>
  <c r="L2308" i="4"/>
  <c r="Q2308" i="4" s="1"/>
  <c r="O2308" i="4"/>
  <c r="M2308" i="4"/>
  <c r="R2308" i="4" s="1"/>
  <c r="P2260" i="4"/>
  <c r="L2260" i="4"/>
  <c r="Q2260" i="4" s="1"/>
  <c r="M2260" i="4"/>
  <c r="R2260" i="4" s="1"/>
  <c r="N2260" i="4"/>
  <c r="O2260" i="4"/>
  <c r="N2220" i="4"/>
  <c r="O2220" i="4"/>
  <c r="P2220" i="4"/>
  <c r="L2220" i="4"/>
  <c r="Q2220" i="4" s="1"/>
  <c r="M2220" i="4"/>
  <c r="R2220" i="4" s="1"/>
  <c r="P2204" i="4"/>
  <c r="M2204" i="4"/>
  <c r="R2204" i="4" s="1"/>
  <c r="L2204" i="4"/>
  <c r="Q2204" i="4" s="1"/>
  <c r="O2204" i="4"/>
  <c r="N2204" i="4"/>
  <c r="P2164" i="4"/>
  <c r="O2164" i="4"/>
  <c r="M2164" i="4"/>
  <c r="R2164" i="4" s="1"/>
  <c r="L2164" i="4"/>
  <c r="Q2164" i="4" s="1"/>
  <c r="N2164" i="4"/>
  <c r="N2124" i="4"/>
  <c r="O2124" i="4"/>
  <c r="P2124" i="4"/>
  <c r="M2124" i="4"/>
  <c r="R2124" i="4" s="1"/>
  <c r="L2124" i="4"/>
  <c r="Q2124" i="4" s="1"/>
  <c r="L2084" i="4"/>
  <c r="Q2084" i="4" s="1"/>
  <c r="N2084" i="4"/>
  <c r="M2084" i="4"/>
  <c r="R2084" i="4" s="1"/>
  <c r="O2084" i="4"/>
  <c r="P2084" i="4"/>
  <c r="M2036" i="4"/>
  <c r="R2036" i="4" s="1"/>
  <c r="O2036" i="4"/>
  <c r="P2036" i="4"/>
  <c r="L2036" i="4"/>
  <c r="Q2036" i="4" s="1"/>
  <c r="N2036" i="4"/>
  <c r="O2004" i="4"/>
  <c r="P2004" i="4"/>
  <c r="L2004" i="4"/>
  <c r="Q2004" i="4" s="1"/>
  <c r="N2004" i="4"/>
  <c r="M2004" i="4"/>
  <c r="R2004" i="4" s="1"/>
  <c r="O1972" i="4"/>
  <c r="L1972" i="4"/>
  <c r="Q1972" i="4" s="1"/>
  <c r="N1972" i="4"/>
  <c r="M1972" i="4"/>
  <c r="R1972" i="4" s="1"/>
  <c r="P1972" i="4"/>
  <c r="M1932" i="4"/>
  <c r="R1932" i="4" s="1"/>
  <c r="O1932" i="4"/>
  <c r="N1932" i="4"/>
  <c r="P1932" i="4"/>
  <c r="L1932" i="4"/>
  <c r="Q1932" i="4" s="1"/>
  <c r="O1892" i="4"/>
  <c r="L1892" i="4"/>
  <c r="Q1892" i="4" s="1"/>
  <c r="N1892" i="4"/>
  <c r="P1892" i="4"/>
  <c r="M1892" i="4"/>
  <c r="R1892" i="4" s="1"/>
  <c r="O1844" i="4"/>
  <c r="L1844" i="4"/>
  <c r="Q1844" i="4" s="1"/>
  <c r="N1844" i="4"/>
  <c r="M1844" i="4"/>
  <c r="R1844" i="4" s="1"/>
  <c r="P1844" i="4"/>
  <c r="O1812" i="4"/>
  <c r="P1812" i="4"/>
  <c r="N1812" i="4"/>
  <c r="L1812" i="4"/>
  <c r="Q1812" i="4" s="1"/>
  <c r="M1812" i="4"/>
  <c r="R1812" i="4" s="1"/>
  <c r="O1780" i="4"/>
  <c r="M1780" i="4"/>
  <c r="R1780" i="4" s="1"/>
  <c r="P1780" i="4"/>
  <c r="L1780" i="4"/>
  <c r="Q1780" i="4" s="1"/>
  <c r="N1780" i="4"/>
  <c r="M1740" i="4"/>
  <c r="R1740" i="4" s="1"/>
  <c r="P1740" i="4"/>
  <c r="O1740" i="4"/>
  <c r="N1740" i="4"/>
  <c r="L1740" i="4"/>
  <c r="Q1740" i="4" s="1"/>
  <c r="O1700" i="4"/>
  <c r="M1700" i="4"/>
  <c r="R1700" i="4" s="1"/>
  <c r="N1700" i="4"/>
  <c r="P1700" i="4"/>
  <c r="L1700" i="4"/>
  <c r="Q1700" i="4" s="1"/>
  <c r="M1660" i="4"/>
  <c r="R1660" i="4" s="1"/>
  <c r="L1660" i="4"/>
  <c r="Q1660" i="4" s="1"/>
  <c r="N1660" i="4"/>
  <c r="P1660" i="4"/>
  <c r="O1660" i="4"/>
  <c r="L1620" i="4"/>
  <c r="Q1620" i="4" s="1"/>
  <c r="O1620" i="4"/>
  <c r="P1620" i="4"/>
  <c r="M1620" i="4"/>
  <c r="R1620" i="4" s="1"/>
  <c r="N1620" i="4"/>
  <c r="L1580" i="4"/>
  <c r="Q1580" i="4" s="1"/>
  <c r="N1580" i="4"/>
  <c r="M1580" i="4"/>
  <c r="R1580" i="4" s="1"/>
  <c r="P1580" i="4"/>
  <c r="O1580" i="4"/>
  <c r="L1532" i="4"/>
  <c r="Q1532" i="4" s="1"/>
  <c r="M1532" i="4"/>
  <c r="R1532" i="4" s="1"/>
  <c r="N1532" i="4"/>
  <c r="P1532" i="4"/>
  <c r="O1532" i="4"/>
  <c r="L3000" i="4"/>
  <c r="Q3000" i="4" s="1"/>
  <c r="M3000" i="4"/>
  <c r="R3000" i="4" s="1"/>
  <c r="P3000" i="4"/>
  <c r="O3000" i="4"/>
  <c r="N3000" i="4"/>
  <c r="L2984" i="4"/>
  <c r="Q2984" i="4" s="1"/>
  <c r="O2984" i="4"/>
  <c r="P2984" i="4"/>
  <c r="M2984" i="4"/>
  <c r="R2984" i="4" s="1"/>
  <c r="N2984" i="4"/>
  <c r="L2960" i="4"/>
  <c r="Q2960" i="4" s="1"/>
  <c r="N2960" i="4"/>
  <c r="P2960" i="4"/>
  <c r="M2960" i="4"/>
  <c r="R2960" i="4" s="1"/>
  <c r="O2960" i="4"/>
  <c r="L2999" i="4"/>
  <c r="Q2999" i="4" s="1"/>
  <c r="P2999" i="4"/>
  <c r="N2999" i="4"/>
  <c r="M2999" i="4"/>
  <c r="R2999" i="4" s="1"/>
  <c r="O2999" i="4"/>
  <c r="L2991" i="4"/>
  <c r="Q2991" i="4" s="1"/>
  <c r="P2991" i="4"/>
  <c r="O2991" i="4"/>
  <c r="N2991" i="4"/>
  <c r="M2991" i="4"/>
  <c r="R2991" i="4" s="1"/>
  <c r="L2983" i="4"/>
  <c r="Q2983" i="4" s="1"/>
  <c r="P2983" i="4"/>
  <c r="M2983" i="4"/>
  <c r="R2983" i="4" s="1"/>
  <c r="N2983" i="4"/>
  <c r="O2983" i="4"/>
  <c r="L2975" i="4"/>
  <c r="Q2975" i="4" s="1"/>
  <c r="P2975" i="4"/>
  <c r="N2975" i="4"/>
  <c r="M2975" i="4"/>
  <c r="R2975" i="4" s="1"/>
  <c r="O2975" i="4"/>
  <c r="L2967" i="4"/>
  <c r="Q2967" i="4" s="1"/>
  <c r="P2967" i="4"/>
  <c r="N2967" i="4"/>
  <c r="M2967" i="4"/>
  <c r="R2967" i="4" s="1"/>
  <c r="O2967" i="4"/>
  <c r="L2959" i="4"/>
  <c r="Q2959" i="4" s="1"/>
  <c r="P2959" i="4"/>
  <c r="O2959" i="4"/>
  <c r="N2959" i="4"/>
  <c r="M2959" i="4"/>
  <c r="R2959" i="4" s="1"/>
  <c r="L2951" i="4"/>
  <c r="Q2951" i="4" s="1"/>
  <c r="P2951" i="4"/>
  <c r="M2951" i="4"/>
  <c r="R2951" i="4" s="1"/>
  <c r="N2951" i="4"/>
  <c r="O2951" i="4"/>
  <c r="L2943" i="4"/>
  <c r="Q2943" i="4" s="1"/>
  <c r="P2943" i="4"/>
  <c r="N2943" i="4"/>
  <c r="M2943" i="4"/>
  <c r="R2943" i="4" s="1"/>
  <c r="O2943" i="4"/>
  <c r="L2935" i="4"/>
  <c r="Q2935" i="4" s="1"/>
  <c r="P2935" i="4"/>
  <c r="N2935" i="4"/>
  <c r="O2935" i="4"/>
  <c r="M2935" i="4"/>
  <c r="R2935" i="4" s="1"/>
  <c r="L2927" i="4"/>
  <c r="Q2927" i="4" s="1"/>
  <c r="P2927" i="4"/>
  <c r="O2927" i="4"/>
  <c r="N2927" i="4"/>
  <c r="M2927" i="4"/>
  <c r="R2927" i="4" s="1"/>
  <c r="L2919" i="4"/>
  <c r="Q2919" i="4" s="1"/>
  <c r="P2919" i="4"/>
  <c r="M2919" i="4"/>
  <c r="R2919" i="4" s="1"/>
  <c r="N2919" i="4"/>
  <c r="O2919" i="4"/>
  <c r="L2911" i="4"/>
  <c r="Q2911" i="4" s="1"/>
  <c r="P2911" i="4"/>
  <c r="N2911" i="4"/>
  <c r="M2911" i="4"/>
  <c r="R2911" i="4" s="1"/>
  <c r="O2911" i="4"/>
  <c r="L2903" i="4"/>
  <c r="Q2903" i="4" s="1"/>
  <c r="P2903" i="4"/>
  <c r="N2903" i="4"/>
  <c r="O2903" i="4"/>
  <c r="M2903" i="4"/>
  <c r="R2903" i="4" s="1"/>
  <c r="L2895" i="4"/>
  <c r="Q2895" i="4" s="1"/>
  <c r="P2895" i="4"/>
  <c r="O2895" i="4"/>
  <c r="N2895" i="4"/>
  <c r="M2895" i="4"/>
  <c r="R2895" i="4" s="1"/>
  <c r="L2887" i="4"/>
  <c r="Q2887" i="4" s="1"/>
  <c r="P2887" i="4"/>
  <c r="M2887" i="4"/>
  <c r="R2887" i="4" s="1"/>
  <c r="N2887" i="4"/>
  <c r="O2887" i="4"/>
  <c r="L2879" i="4"/>
  <c r="Q2879" i="4" s="1"/>
  <c r="P2879" i="4"/>
  <c r="N2879" i="4"/>
  <c r="M2879" i="4"/>
  <c r="R2879" i="4" s="1"/>
  <c r="O2879" i="4"/>
  <c r="L2871" i="4"/>
  <c r="Q2871" i="4" s="1"/>
  <c r="P2871" i="4"/>
  <c r="N2871" i="4"/>
  <c r="M2871" i="4"/>
  <c r="R2871" i="4" s="1"/>
  <c r="O2871" i="4"/>
  <c r="L2863" i="4"/>
  <c r="Q2863" i="4" s="1"/>
  <c r="P2863" i="4"/>
  <c r="O2863" i="4"/>
  <c r="N2863" i="4"/>
  <c r="M2863" i="4"/>
  <c r="R2863" i="4" s="1"/>
  <c r="L2855" i="4"/>
  <c r="Q2855" i="4" s="1"/>
  <c r="P2855" i="4"/>
  <c r="M2855" i="4"/>
  <c r="R2855" i="4" s="1"/>
  <c r="N2855" i="4"/>
  <c r="O2855" i="4"/>
  <c r="L2847" i="4"/>
  <c r="Q2847" i="4" s="1"/>
  <c r="P2847" i="4"/>
  <c r="N2847" i="4"/>
  <c r="M2847" i="4"/>
  <c r="R2847" i="4" s="1"/>
  <c r="O2847" i="4"/>
  <c r="L2839" i="4"/>
  <c r="Q2839" i="4" s="1"/>
  <c r="P2839" i="4"/>
  <c r="N2839" i="4"/>
  <c r="O2839" i="4"/>
  <c r="M2839" i="4"/>
  <c r="R2839" i="4" s="1"/>
  <c r="P2831" i="4"/>
  <c r="L2831" i="4"/>
  <c r="Q2831" i="4" s="1"/>
  <c r="N2831" i="4"/>
  <c r="M2831" i="4"/>
  <c r="R2831" i="4" s="1"/>
  <c r="O2831" i="4"/>
  <c r="L2823" i="4"/>
  <c r="Q2823" i="4" s="1"/>
  <c r="P2823" i="4"/>
  <c r="M2823" i="4"/>
  <c r="R2823" i="4" s="1"/>
  <c r="N2823" i="4"/>
  <c r="O2823" i="4"/>
  <c r="L2815" i="4"/>
  <c r="Q2815" i="4" s="1"/>
  <c r="P2815" i="4"/>
  <c r="N2815" i="4"/>
  <c r="M2815" i="4"/>
  <c r="R2815" i="4" s="1"/>
  <c r="O2815" i="4"/>
  <c r="L2807" i="4"/>
  <c r="Q2807" i="4" s="1"/>
  <c r="P2807" i="4"/>
  <c r="M2807" i="4"/>
  <c r="R2807" i="4" s="1"/>
  <c r="N2807" i="4"/>
  <c r="O2807" i="4"/>
  <c r="L2799" i="4"/>
  <c r="Q2799" i="4" s="1"/>
  <c r="P2799" i="4"/>
  <c r="O2799" i="4"/>
  <c r="N2799" i="4"/>
  <c r="M2799" i="4"/>
  <c r="R2799" i="4" s="1"/>
  <c r="L2791" i="4"/>
  <c r="Q2791" i="4" s="1"/>
  <c r="P2791" i="4"/>
  <c r="M2791" i="4"/>
  <c r="R2791" i="4" s="1"/>
  <c r="O2791" i="4"/>
  <c r="N2791" i="4"/>
  <c r="L2783" i="4"/>
  <c r="Q2783" i="4" s="1"/>
  <c r="P2783" i="4"/>
  <c r="N2783" i="4"/>
  <c r="M2783" i="4"/>
  <c r="R2783" i="4" s="1"/>
  <c r="O2783" i="4"/>
  <c r="L2775" i="4"/>
  <c r="Q2775" i="4" s="1"/>
  <c r="P2775" i="4"/>
  <c r="M2775" i="4"/>
  <c r="R2775" i="4" s="1"/>
  <c r="N2775" i="4"/>
  <c r="O2775" i="4"/>
  <c r="L2767" i="4"/>
  <c r="Q2767" i="4" s="1"/>
  <c r="P2767" i="4"/>
  <c r="O2767" i="4"/>
  <c r="N2767" i="4"/>
  <c r="M2767" i="4"/>
  <c r="R2767" i="4" s="1"/>
  <c r="L2759" i="4"/>
  <c r="Q2759" i="4" s="1"/>
  <c r="P2759" i="4"/>
  <c r="N2759" i="4"/>
  <c r="O2759" i="4"/>
  <c r="M2759" i="4"/>
  <c r="R2759" i="4" s="1"/>
  <c r="L2751" i="4"/>
  <c r="Q2751" i="4" s="1"/>
  <c r="P2751" i="4"/>
  <c r="N2751" i="4"/>
  <c r="O2751" i="4"/>
  <c r="M2751" i="4"/>
  <c r="R2751" i="4" s="1"/>
  <c r="L2743" i="4"/>
  <c r="Q2743" i="4" s="1"/>
  <c r="P2743" i="4"/>
  <c r="M2743" i="4"/>
  <c r="R2743" i="4" s="1"/>
  <c r="O2743" i="4"/>
  <c r="N2743" i="4"/>
  <c r="L2735" i="4"/>
  <c r="Q2735" i="4" s="1"/>
  <c r="P2735" i="4"/>
  <c r="O2735" i="4"/>
  <c r="M2735" i="4"/>
  <c r="R2735" i="4" s="1"/>
  <c r="N2735" i="4"/>
  <c r="L2727" i="4"/>
  <c r="Q2727" i="4" s="1"/>
  <c r="P2727" i="4"/>
  <c r="O2727" i="4"/>
  <c r="N2727" i="4"/>
  <c r="M2727" i="4"/>
  <c r="R2727" i="4" s="1"/>
  <c r="N2719" i="4"/>
  <c r="P2719" i="4"/>
  <c r="M2719" i="4"/>
  <c r="R2719" i="4" s="1"/>
  <c r="O2719" i="4"/>
  <c r="L2719" i="4"/>
  <c r="Q2719" i="4" s="1"/>
  <c r="N2711" i="4"/>
  <c r="O2711" i="4"/>
  <c r="L2711" i="4"/>
  <c r="Q2711" i="4" s="1"/>
  <c r="M2711" i="4"/>
  <c r="R2711" i="4" s="1"/>
  <c r="P2711" i="4"/>
  <c r="N2703" i="4"/>
  <c r="P2703" i="4"/>
  <c r="L2703" i="4"/>
  <c r="Q2703" i="4" s="1"/>
  <c r="O2703" i="4"/>
  <c r="M2703" i="4"/>
  <c r="R2703" i="4" s="1"/>
  <c r="N2695" i="4"/>
  <c r="L2695" i="4"/>
  <c r="Q2695" i="4" s="1"/>
  <c r="O2695" i="4"/>
  <c r="M2695" i="4"/>
  <c r="R2695" i="4" s="1"/>
  <c r="P2695" i="4"/>
  <c r="N2687" i="4"/>
  <c r="P2687" i="4"/>
  <c r="M2687" i="4"/>
  <c r="R2687" i="4" s="1"/>
  <c r="O2687" i="4"/>
  <c r="L2687" i="4"/>
  <c r="Q2687" i="4" s="1"/>
  <c r="N2679" i="4"/>
  <c r="O2679" i="4"/>
  <c r="L2679" i="4"/>
  <c r="Q2679" i="4" s="1"/>
  <c r="M2679" i="4"/>
  <c r="R2679" i="4" s="1"/>
  <c r="P2679" i="4"/>
  <c r="P2671" i="4"/>
  <c r="N2671" i="4"/>
  <c r="O2671" i="4"/>
  <c r="L2671" i="4"/>
  <c r="Q2671" i="4" s="1"/>
  <c r="M2671" i="4"/>
  <c r="R2671" i="4" s="1"/>
  <c r="N2663" i="4"/>
  <c r="M2663" i="4"/>
  <c r="R2663" i="4" s="1"/>
  <c r="O2663" i="4"/>
  <c r="L2663" i="4"/>
  <c r="Q2663" i="4" s="1"/>
  <c r="P2663" i="4"/>
  <c r="N2655" i="4"/>
  <c r="P2655" i="4"/>
  <c r="O2655" i="4"/>
  <c r="M2655" i="4"/>
  <c r="R2655" i="4" s="1"/>
  <c r="L2655" i="4"/>
  <c r="Q2655" i="4" s="1"/>
  <c r="N2647" i="4"/>
  <c r="O2647" i="4"/>
  <c r="L2647" i="4"/>
  <c r="Q2647" i="4" s="1"/>
  <c r="P2647" i="4"/>
  <c r="M2647" i="4"/>
  <c r="R2647" i="4" s="1"/>
  <c r="N2639" i="4"/>
  <c r="O2639" i="4"/>
  <c r="P2639" i="4"/>
  <c r="M2639" i="4"/>
  <c r="R2639" i="4" s="1"/>
  <c r="L2639" i="4"/>
  <c r="Q2639" i="4" s="1"/>
  <c r="N2631" i="4"/>
  <c r="O2631" i="4"/>
  <c r="L2631" i="4"/>
  <c r="Q2631" i="4" s="1"/>
  <c r="M2631" i="4"/>
  <c r="R2631" i="4" s="1"/>
  <c r="P2631" i="4"/>
  <c r="N2623" i="4"/>
  <c r="P2623" i="4"/>
  <c r="O2623" i="4"/>
  <c r="L2623" i="4"/>
  <c r="Q2623" i="4" s="1"/>
  <c r="M2623" i="4"/>
  <c r="R2623" i="4" s="1"/>
  <c r="P2615" i="4"/>
  <c r="M2615" i="4"/>
  <c r="R2615" i="4" s="1"/>
  <c r="N2615" i="4"/>
  <c r="L2615" i="4"/>
  <c r="Q2615" i="4" s="1"/>
  <c r="O2615" i="4"/>
  <c r="N2607" i="4"/>
  <c r="O2607" i="4"/>
  <c r="L2607" i="4"/>
  <c r="Q2607" i="4" s="1"/>
  <c r="P2607" i="4"/>
  <c r="M2607" i="4"/>
  <c r="R2607" i="4" s="1"/>
  <c r="N2599" i="4"/>
  <c r="O2599" i="4"/>
  <c r="M2599" i="4"/>
  <c r="R2599" i="4" s="1"/>
  <c r="L2599" i="4"/>
  <c r="Q2599" i="4" s="1"/>
  <c r="P2599" i="4"/>
  <c r="N2591" i="4"/>
  <c r="P2591" i="4"/>
  <c r="L2591" i="4"/>
  <c r="Q2591" i="4" s="1"/>
  <c r="M2591" i="4"/>
  <c r="R2591" i="4" s="1"/>
  <c r="O2591" i="4"/>
  <c r="N2583" i="4"/>
  <c r="P2583" i="4"/>
  <c r="M2583" i="4"/>
  <c r="R2583" i="4" s="1"/>
  <c r="L2583" i="4"/>
  <c r="Q2583" i="4" s="1"/>
  <c r="O2583" i="4"/>
  <c r="N2575" i="4"/>
  <c r="L2575" i="4"/>
  <c r="Q2575" i="4" s="1"/>
  <c r="P2575" i="4"/>
  <c r="O2575" i="4"/>
  <c r="M2575" i="4"/>
  <c r="R2575" i="4" s="1"/>
  <c r="N2567" i="4"/>
  <c r="O2567" i="4"/>
  <c r="L2567" i="4"/>
  <c r="Q2567" i="4" s="1"/>
  <c r="M2567" i="4"/>
  <c r="R2567" i="4" s="1"/>
  <c r="P2567" i="4"/>
  <c r="N2559" i="4"/>
  <c r="P2559" i="4"/>
  <c r="O2559" i="4"/>
  <c r="L2559" i="4"/>
  <c r="Q2559" i="4" s="1"/>
  <c r="M2559" i="4"/>
  <c r="R2559" i="4" s="1"/>
  <c r="N2551" i="4"/>
  <c r="M2551" i="4"/>
  <c r="R2551" i="4" s="1"/>
  <c r="O2551" i="4"/>
  <c r="L2551" i="4"/>
  <c r="Q2551" i="4" s="1"/>
  <c r="P2551" i="4"/>
  <c r="L2543" i="4"/>
  <c r="Q2543" i="4" s="1"/>
  <c r="N2543" i="4"/>
  <c r="P2543" i="4"/>
  <c r="M2543" i="4"/>
  <c r="R2543" i="4" s="1"/>
  <c r="O2543" i="4"/>
  <c r="N2535" i="4"/>
  <c r="L2535" i="4"/>
  <c r="Q2535" i="4" s="1"/>
  <c r="O2535" i="4"/>
  <c r="M2535" i="4"/>
  <c r="R2535" i="4" s="1"/>
  <c r="P2535" i="4"/>
  <c r="N2527" i="4"/>
  <c r="P2527" i="4"/>
  <c r="L2527" i="4"/>
  <c r="Q2527" i="4" s="1"/>
  <c r="O2527" i="4"/>
  <c r="M2527" i="4"/>
  <c r="R2527" i="4" s="1"/>
  <c r="N2519" i="4"/>
  <c r="M2519" i="4"/>
  <c r="R2519" i="4" s="1"/>
  <c r="L2519" i="4"/>
  <c r="Q2519" i="4" s="1"/>
  <c r="O2519" i="4"/>
  <c r="P2519" i="4"/>
  <c r="N2511" i="4"/>
  <c r="P2511" i="4"/>
  <c r="L2511" i="4"/>
  <c r="Q2511" i="4" s="1"/>
  <c r="O2511" i="4"/>
  <c r="M2511" i="4"/>
  <c r="R2511" i="4" s="1"/>
  <c r="N2503" i="4"/>
  <c r="L2503" i="4"/>
  <c r="Q2503" i="4" s="1"/>
  <c r="O2503" i="4"/>
  <c r="M2503" i="4"/>
  <c r="R2503" i="4" s="1"/>
  <c r="P2503" i="4"/>
  <c r="N2495" i="4"/>
  <c r="O2495" i="4"/>
  <c r="M2495" i="4"/>
  <c r="R2495" i="4" s="1"/>
  <c r="L2495" i="4"/>
  <c r="Q2495" i="4" s="1"/>
  <c r="P2495" i="4"/>
  <c r="N2487" i="4"/>
  <c r="L2487" i="4"/>
  <c r="Q2487" i="4" s="1"/>
  <c r="O2487" i="4"/>
  <c r="M2487" i="4"/>
  <c r="R2487" i="4" s="1"/>
  <c r="P2487" i="4"/>
  <c r="N2479" i="4"/>
  <c r="P2479" i="4"/>
  <c r="M2479" i="4"/>
  <c r="R2479" i="4" s="1"/>
  <c r="O2479" i="4"/>
  <c r="L2479" i="4"/>
  <c r="Q2479" i="4" s="1"/>
  <c r="N2471" i="4"/>
  <c r="M2471" i="4"/>
  <c r="R2471" i="4" s="1"/>
  <c r="O2471" i="4"/>
  <c r="L2471" i="4"/>
  <c r="Q2471" i="4" s="1"/>
  <c r="P2471" i="4"/>
  <c r="M2463" i="4"/>
  <c r="R2463" i="4" s="1"/>
  <c r="L2463" i="4"/>
  <c r="Q2463" i="4" s="1"/>
  <c r="P2463" i="4"/>
  <c r="O2463" i="4"/>
  <c r="N2463" i="4"/>
  <c r="L2455" i="4"/>
  <c r="Q2455" i="4" s="1"/>
  <c r="M2455" i="4"/>
  <c r="R2455" i="4" s="1"/>
  <c r="N2455" i="4"/>
  <c r="O2455" i="4"/>
  <c r="P2455" i="4"/>
  <c r="N2447" i="4"/>
  <c r="L2447" i="4"/>
  <c r="Q2447" i="4" s="1"/>
  <c r="O2447" i="4"/>
  <c r="P2447" i="4"/>
  <c r="M2447" i="4"/>
  <c r="R2447" i="4" s="1"/>
  <c r="L2439" i="4"/>
  <c r="Q2439" i="4" s="1"/>
  <c r="O2439" i="4"/>
  <c r="P2439" i="4"/>
  <c r="N2439" i="4"/>
  <c r="M2439" i="4"/>
  <c r="R2439" i="4" s="1"/>
  <c r="O2431" i="4"/>
  <c r="M2431" i="4"/>
  <c r="R2431" i="4" s="1"/>
  <c r="N2431" i="4"/>
  <c r="P2431" i="4"/>
  <c r="L2431" i="4"/>
  <c r="Q2431" i="4" s="1"/>
  <c r="O2423" i="4"/>
  <c r="P2423" i="4"/>
  <c r="N2423" i="4"/>
  <c r="L2423" i="4"/>
  <c r="Q2423" i="4" s="1"/>
  <c r="M2423" i="4"/>
  <c r="R2423" i="4" s="1"/>
  <c r="N2415" i="4"/>
  <c r="O2415" i="4"/>
  <c r="P2415" i="4"/>
  <c r="L2415" i="4"/>
  <c r="Q2415" i="4" s="1"/>
  <c r="M2415" i="4"/>
  <c r="R2415" i="4" s="1"/>
  <c r="L2407" i="4"/>
  <c r="Q2407" i="4" s="1"/>
  <c r="O2407" i="4"/>
  <c r="P2407" i="4"/>
  <c r="M2407" i="4"/>
  <c r="R2407" i="4" s="1"/>
  <c r="N2407" i="4"/>
  <c r="O2399" i="4"/>
  <c r="N2399" i="4"/>
  <c r="P2399" i="4"/>
  <c r="L2399" i="4"/>
  <c r="Q2399" i="4" s="1"/>
  <c r="M2399" i="4"/>
  <c r="R2399" i="4" s="1"/>
  <c r="N2391" i="4"/>
  <c r="M2391" i="4"/>
  <c r="R2391" i="4" s="1"/>
  <c r="P2391" i="4"/>
  <c r="O2391" i="4"/>
  <c r="L2391" i="4"/>
  <c r="Q2391" i="4" s="1"/>
  <c r="N2383" i="4"/>
  <c r="L2383" i="4"/>
  <c r="Q2383" i="4" s="1"/>
  <c r="O2383" i="4"/>
  <c r="P2383" i="4"/>
  <c r="M2383" i="4"/>
  <c r="R2383" i="4" s="1"/>
  <c r="N2375" i="4"/>
  <c r="O2375" i="4"/>
  <c r="L2375" i="4"/>
  <c r="Q2375" i="4" s="1"/>
  <c r="P2375" i="4"/>
  <c r="M2375" i="4"/>
  <c r="R2375" i="4" s="1"/>
  <c r="P2367" i="4"/>
  <c r="L2367" i="4"/>
  <c r="Q2367" i="4" s="1"/>
  <c r="M2367" i="4"/>
  <c r="R2367" i="4" s="1"/>
  <c r="O2367" i="4"/>
  <c r="N2367" i="4"/>
  <c r="N2359" i="4"/>
  <c r="O2359" i="4"/>
  <c r="P2359" i="4"/>
  <c r="M2359" i="4"/>
  <c r="R2359" i="4" s="1"/>
  <c r="L2359" i="4"/>
  <c r="Q2359" i="4" s="1"/>
  <c r="N2351" i="4"/>
  <c r="O2351" i="4"/>
  <c r="P2351" i="4"/>
  <c r="L2351" i="4"/>
  <c r="Q2351" i="4" s="1"/>
  <c r="M2351" i="4"/>
  <c r="R2351" i="4" s="1"/>
  <c r="N2343" i="4"/>
  <c r="L2343" i="4"/>
  <c r="Q2343" i="4" s="1"/>
  <c r="O2343" i="4"/>
  <c r="P2343" i="4"/>
  <c r="M2343" i="4"/>
  <c r="R2343" i="4" s="1"/>
  <c r="N2335" i="4"/>
  <c r="P2335" i="4"/>
  <c r="L2335" i="4"/>
  <c r="Q2335" i="4" s="1"/>
  <c r="O2335" i="4"/>
  <c r="M2335" i="4"/>
  <c r="R2335" i="4" s="1"/>
  <c r="N2327" i="4"/>
  <c r="L2327" i="4"/>
  <c r="Q2327" i="4" s="1"/>
  <c r="P2327" i="4"/>
  <c r="O2327" i="4"/>
  <c r="M2327" i="4"/>
  <c r="R2327" i="4" s="1"/>
  <c r="O2319" i="4"/>
  <c r="P2319" i="4"/>
  <c r="N2319" i="4"/>
  <c r="L2319" i="4"/>
  <c r="Q2319" i="4" s="1"/>
  <c r="M2319" i="4"/>
  <c r="R2319" i="4" s="1"/>
  <c r="N2311" i="4"/>
  <c r="L2311" i="4"/>
  <c r="Q2311" i="4" s="1"/>
  <c r="O2311" i="4"/>
  <c r="P2311" i="4"/>
  <c r="M2311" i="4"/>
  <c r="R2311" i="4" s="1"/>
  <c r="N2303" i="4"/>
  <c r="O2303" i="4"/>
  <c r="P2303" i="4"/>
  <c r="M2303" i="4"/>
  <c r="R2303" i="4" s="1"/>
  <c r="L2303" i="4"/>
  <c r="Q2303" i="4" s="1"/>
  <c r="N2295" i="4"/>
  <c r="M2295" i="4"/>
  <c r="R2295" i="4" s="1"/>
  <c r="O2295" i="4"/>
  <c r="P2295" i="4"/>
  <c r="L2295" i="4"/>
  <c r="Q2295" i="4" s="1"/>
  <c r="N2287" i="4"/>
  <c r="L2287" i="4"/>
  <c r="Q2287" i="4" s="1"/>
  <c r="O2287" i="4"/>
  <c r="P2287" i="4"/>
  <c r="M2287" i="4"/>
  <c r="R2287" i="4" s="1"/>
  <c r="N2279" i="4"/>
  <c r="L2279" i="4"/>
  <c r="Q2279" i="4" s="1"/>
  <c r="O2279" i="4"/>
  <c r="P2279" i="4"/>
  <c r="M2279" i="4"/>
  <c r="R2279" i="4" s="1"/>
  <c r="N2271" i="4"/>
  <c r="M2271" i="4"/>
  <c r="R2271" i="4" s="1"/>
  <c r="O2271" i="4"/>
  <c r="L2271" i="4"/>
  <c r="Q2271" i="4" s="1"/>
  <c r="P2271" i="4"/>
  <c r="N2263" i="4"/>
  <c r="L2263" i="4"/>
  <c r="Q2263" i="4" s="1"/>
  <c r="M2263" i="4"/>
  <c r="R2263" i="4" s="1"/>
  <c r="O2263" i="4"/>
  <c r="P2263" i="4"/>
  <c r="N2255" i="4"/>
  <c r="P2255" i="4"/>
  <c r="L2255" i="4"/>
  <c r="Q2255" i="4" s="1"/>
  <c r="O2255" i="4"/>
  <c r="M2255" i="4"/>
  <c r="R2255" i="4" s="1"/>
  <c r="N2247" i="4"/>
  <c r="L2247" i="4"/>
  <c r="Q2247" i="4" s="1"/>
  <c r="O2247" i="4"/>
  <c r="P2247" i="4"/>
  <c r="M2247" i="4"/>
  <c r="R2247" i="4" s="1"/>
  <c r="N2239" i="4"/>
  <c r="M2239" i="4"/>
  <c r="R2239" i="4" s="1"/>
  <c r="O2239" i="4"/>
  <c r="L2239" i="4"/>
  <c r="Q2239" i="4" s="1"/>
  <c r="P2239" i="4"/>
  <c r="N2231" i="4"/>
  <c r="P2231" i="4"/>
  <c r="O2231" i="4"/>
  <c r="L2231" i="4"/>
  <c r="Q2231" i="4" s="1"/>
  <c r="M2231" i="4"/>
  <c r="R2231" i="4" s="1"/>
  <c r="N2223" i="4"/>
  <c r="L2223" i="4"/>
  <c r="Q2223" i="4" s="1"/>
  <c r="P2223" i="4"/>
  <c r="O2223" i="4"/>
  <c r="M2223" i="4"/>
  <c r="R2223" i="4" s="1"/>
  <c r="N2215" i="4"/>
  <c r="O2215" i="4"/>
  <c r="L2215" i="4"/>
  <c r="Q2215" i="4" s="1"/>
  <c r="P2215" i="4"/>
  <c r="M2215" i="4"/>
  <c r="R2215" i="4" s="1"/>
  <c r="N2207" i="4"/>
  <c r="M2207" i="4"/>
  <c r="R2207" i="4" s="1"/>
  <c r="O2207" i="4"/>
  <c r="P2207" i="4"/>
  <c r="L2207" i="4"/>
  <c r="Q2207" i="4" s="1"/>
  <c r="N2199" i="4"/>
  <c r="O2199" i="4"/>
  <c r="P2199" i="4"/>
  <c r="L2199" i="4"/>
  <c r="Q2199" i="4" s="1"/>
  <c r="M2199" i="4"/>
  <c r="R2199" i="4" s="1"/>
  <c r="N2191" i="4"/>
  <c r="O2191" i="4"/>
  <c r="L2191" i="4"/>
  <c r="Q2191" i="4" s="1"/>
  <c r="P2191" i="4"/>
  <c r="M2191" i="4"/>
  <c r="R2191" i="4" s="1"/>
  <c r="N2183" i="4"/>
  <c r="L2183" i="4"/>
  <c r="Q2183" i="4" s="1"/>
  <c r="O2183" i="4"/>
  <c r="P2183" i="4"/>
  <c r="M2183" i="4"/>
  <c r="R2183" i="4" s="1"/>
  <c r="N2175" i="4"/>
  <c r="L2175" i="4"/>
  <c r="Q2175" i="4" s="1"/>
  <c r="O2175" i="4"/>
  <c r="M2175" i="4"/>
  <c r="R2175" i="4" s="1"/>
  <c r="P2175" i="4"/>
  <c r="N2167" i="4"/>
  <c r="P2167" i="4"/>
  <c r="O2167" i="4"/>
  <c r="M2167" i="4"/>
  <c r="R2167" i="4" s="1"/>
  <c r="L2167" i="4"/>
  <c r="Q2167" i="4" s="1"/>
  <c r="N2159" i="4"/>
  <c r="O2159" i="4"/>
  <c r="L2159" i="4"/>
  <c r="Q2159" i="4" s="1"/>
  <c r="P2159" i="4"/>
  <c r="M2159" i="4"/>
  <c r="R2159" i="4" s="1"/>
  <c r="N2151" i="4"/>
  <c r="O2151" i="4"/>
  <c r="L2151" i="4"/>
  <c r="Q2151" i="4" s="1"/>
  <c r="M2151" i="4"/>
  <c r="R2151" i="4" s="1"/>
  <c r="P2151" i="4"/>
  <c r="N2143" i="4"/>
  <c r="M2143" i="4"/>
  <c r="R2143" i="4" s="1"/>
  <c r="L2143" i="4"/>
  <c r="Q2143" i="4" s="1"/>
  <c r="O2143" i="4"/>
  <c r="P2143" i="4"/>
  <c r="P2135" i="4"/>
  <c r="M2135" i="4"/>
  <c r="R2135" i="4" s="1"/>
  <c r="O2135" i="4"/>
  <c r="N2135" i="4"/>
  <c r="L2135" i="4"/>
  <c r="Q2135" i="4" s="1"/>
  <c r="N2127" i="4"/>
  <c r="L2127" i="4"/>
  <c r="Q2127" i="4" s="1"/>
  <c r="M2127" i="4"/>
  <c r="R2127" i="4" s="1"/>
  <c r="O2127" i="4"/>
  <c r="P2127" i="4"/>
  <c r="N2119" i="4"/>
  <c r="L2119" i="4"/>
  <c r="Q2119" i="4" s="1"/>
  <c r="P2119" i="4"/>
  <c r="O2119" i="4"/>
  <c r="M2119" i="4"/>
  <c r="R2119" i="4" s="1"/>
  <c r="M2111" i="4"/>
  <c r="R2111" i="4" s="1"/>
  <c r="P2111" i="4"/>
  <c r="L2111" i="4"/>
  <c r="Q2111" i="4" s="1"/>
  <c r="O2111" i="4"/>
  <c r="N2111" i="4"/>
  <c r="L2103" i="4"/>
  <c r="Q2103" i="4" s="1"/>
  <c r="N2103" i="4"/>
  <c r="O2103" i="4"/>
  <c r="M2103" i="4"/>
  <c r="R2103" i="4" s="1"/>
  <c r="P2103" i="4"/>
  <c r="L2095" i="4"/>
  <c r="Q2095" i="4" s="1"/>
  <c r="P2095" i="4"/>
  <c r="O2095" i="4"/>
  <c r="N2095" i="4"/>
  <c r="M2095" i="4"/>
  <c r="R2095" i="4" s="1"/>
  <c r="L2087" i="4"/>
  <c r="Q2087" i="4" s="1"/>
  <c r="N2087" i="4"/>
  <c r="O2087" i="4"/>
  <c r="M2087" i="4"/>
  <c r="R2087" i="4" s="1"/>
  <c r="P2087" i="4"/>
  <c r="L2079" i="4"/>
  <c r="Q2079" i="4" s="1"/>
  <c r="M2079" i="4"/>
  <c r="R2079" i="4" s="1"/>
  <c r="P2079" i="4"/>
  <c r="N2079" i="4"/>
  <c r="O2079" i="4"/>
  <c r="M2071" i="4"/>
  <c r="R2071" i="4" s="1"/>
  <c r="L2071" i="4"/>
  <c r="Q2071" i="4" s="1"/>
  <c r="P2071" i="4"/>
  <c r="O2071" i="4"/>
  <c r="N2071" i="4"/>
  <c r="L2063" i="4"/>
  <c r="Q2063" i="4" s="1"/>
  <c r="O2063" i="4"/>
  <c r="P2063" i="4"/>
  <c r="N2063" i="4"/>
  <c r="M2063" i="4"/>
  <c r="R2063" i="4" s="1"/>
  <c r="M2055" i="4"/>
  <c r="R2055" i="4" s="1"/>
  <c r="L2055" i="4"/>
  <c r="Q2055" i="4" s="1"/>
  <c r="P2055" i="4"/>
  <c r="O2055" i="4"/>
  <c r="N2055" i="4"/>
  <c r="N2047" i="4"/>
  <c r="O2047" i="4"/>
  <c r="L2047" i="4"/>
  <c r="Q2047" i="4" s="1"/>
  <c r="P2047" i="4"/>
  <c r="M2047" i="4"/>
  <c r="R2047" i="4" s="1"/>
  <c r="O2039" i="4"/>
  <c r="M2039" i="4"/>
  <c r="R2039" i="4" s="1"/>
  <c r="N2039" i="4"/>
  <c r="L2039" i="4"/>
  <c r="Q2039" i="4" s="1"/>
  <c r="P2039" i="4"/>
  <c r="L2031" i="4"/>
  <c r="Q2031" i="4" s="1"/>
  <c r="P2031" i="4"/>
  <c r="O2031" i="4"/>
  <c r="N2031" i="4"/>
  <c r="M2031" i="4"/>
  <c r="R2031" i="4" s="1"/>
  <c r="L2023" i="4"/>
  <c r="Q2023" i="4" s="1"/>
  <c r="O2023" i="4"/>
  <c r="M2023" i="4"/>
  <c r="R2023" i="4" s="1"/>
  <c r="P2023" i="4"/>
  <c r="N2023" i="4"/>
  <c r="L2015" i="4"/>
  <c r="Q2015" i="4" s="1"/>
  <c r="N2015" i="4"/>
  <c r="P2015" i="4"/>
  <c r="O2015" i="4"/>
  <c r="M2015" i="4"/>
  <c r="R2015" i="4" s="1"/>
  <c r="N2007" i="4"/>
  <c r="O2007" i="4"/>
  <c r="P2007" i="4"/>
  <c r="L2007" i="4"/>
  <c r="Q2007" i="4" s="1"/>
  <c r="M2007" i="4"/>
  <c r="R2007" i="4" s="1"/>
  <c r="L1999" i="4"/>
  <c r="Q1999" i="4" s="1"/>
  <c r="M1999" i="4"/>
  <c r="R1999" i="4" s="1"/>
  <c r="O1999" i="4"/>
  <c r="P1999" i="4"/>
  <c r="N1999" i="4"/>
  <c r="M1991" i="4"/>
  <c r="R1991" i="4" s="1"/>
  <c r="N1991" i="4"/>
  <c r="L1991" i="4"/>
  <c r="Q1991" i="4" s="1"/>
  <c r="P1991" i="4"/>
  <c r="O1991" i="4"/>
  <c r="L1983" i="4"/>
  <c r="Q1983" i="4" s="1"/>
  <c r="M1983" i="4"/>
  <c r="R1983" i="4" s="1"/>
  <c r="O1983" i="4"/>
  <c r="P1983" i="4"/>
  <c r="N1983" i="4"/>
  <c r="M1975" i="4"/>
  <c r="R1975" i="4" s="1"/>
  <c r="N1975" i="4"/>
  <c r="L1975" i="4"/>
  <c r="Q1975" i="4" s="1"/>
  <c r="O1975" i="4"/>
  <c r="P1975" i="4"/>
  <c r="L1967" i="4"/>
  <c r="Q1967" i="4" s="1"/>
  <c r="O1967" i="4"/>
  <c r="P1967" i="4"/>
  <c r="M1967" i="4"/>
  <c r="R1967" i="4" s="1"/>
  <c r="N1967" i="4"/>
  <c r="M1959" i="4"/>
  <c r="R1959" i="4" s="1"/>
  <c r="N1959" i="4"/>
  <c r="L1959" i="4"/>
  <c r="Q1959" i="4" s="1"/>
  <c r="O1959" i="4"/>
  <c r="P1959" i="4"/>
  <c r="L1951" i="4"/>
  <c r="Q1951" i="4" s="1"/>
  <c r="M1951" i="4"/>
  <c r="R1951" i="4" s="1"/>
  <c r="P1951" i="4"/>
  <c r="O1951" i="4"/>
  <c r="N1951" i="4"/>
  <c r="M1943" i="4"/>
  <c r="R1943" i="4" s="1"/>
  <c r="N1943" i="4"/>
  <c r="O1943" i="4"/>
  <c r="L1943" i="4"/>
  <c r="Q1943" i="4" s="1"/>
  <c r="P1943" i="4"/>
  <c r="M1935" i="4"/>
  <c r="R1935" i="4" s="1"/>
  <c r="P1935" i="4"/>
  <c r="L1935" i="4"/>
  <c r="Q1935" i="4" s="1"/>
  <c r="O1935" i="4"/>
  <c r="N1935" i="4"/>
  <c r="M1927" i="4"/>
  <c r="R1927" i="4" s="1"/>
  <c r="N1927" i="4"/>
  <c r="L1927" i="4"/>
  <c r="Q1927" i="4" s="1"/>
  <c r="P1927" i="4"/>
  <c r="O1927" i="4"/>
  <c r="L1919" i="4"/>
  <c r="Q1919" i="4" s="1"/>
  <c r="M1919" i="4"/>
  <c r="R1919" i="4" s="1"/>
  <c r="O1919" i="4"/>
  <c r="P1919" i="4"/>
  <c r="N1919" i="4"/>
  <c r="M1911" i="4"/>
  <c r="R1911" i="4" s="1"/>
  <c r="N1911" i="4"/>
  <c r="O1911" i="4"/>
  <c r="P1911" i="4"/>
  <c r="L1911" i="4"/>
  <c r="Q1911" i="4" s="1"/>
  <c r="L1903" i="4"/>
  <c r="Q1903" i="4" s="1"/>
  <c r="M1903" i="4"/>
  <c r="R1903" i="4" s="1"/>
  <c r="P1903" i="4"/>
  <c r="O1903" i="4"/>
  <c r="N1903" i="4"/>
  <c r="M1895" i="4"/>
  <c r="R1895" i="4" s="1"/>
  <c r="N1895" i="4"/>
  <c r="O1895" i="4"/>
  <c r="L1895" i="4"/>
  <c r="Q1895" i="4" s="1"/>
  <c r="P1895" i="4"/>
  <c r="L1887" i="4"/>
  <c r="Q1887" i="4" s="1"/>
  <c r="M1887" i="4"/>
  <c r="R1887" i="4" s="1"/>
  <c r="P1887" i="4"/>
  <c r="O1887" i="4"/>
  <c r="N1887" i="4"/>
  <c r="M1879" i="4"/>
  <c r="R1879" i="4" s="1"/>
  <c r="N1879" i="4"/>
  <c r="P1879" i="4"/>
  <c r="O1879" i="4"/>
  <c r="L1879" i="4"/>
  <c r="Q1879" i="4" s="1"/>
  <c r="L1871" i="4"/>
  <c r="Q1871" i="4" s="1"/>
  <c r="P1871" i="4"/>
  <c r="M1871" i="4"/>
  <c r="R1871" i="4" s="1"/>
  <c r="O1871" i="4"/>
  <c r="N1871" i="4"/>
  <c r="M1863" i="4"/>
  <c r="R1863" i="4" s="1"/>
  <c r="N1863" i="4"/>
  <c r="O1863" i="4"/>
  <c r="L1863" i="4"/>
  <c r="Q1863" i="4" s="1"/>
  <c r="P1863" i="4"/>
  <c r="L1855" i="4"/>
  <c r="Q1855" i="4" s="1"/>
  <c r="P1855" i="4"/>
  <c r="M1855" i="4"/>
  <c r="R1855" i="4" s="1"/>
  <c r="O1855" i="4"/>
  <c r="N1855" i="4"/>
  <c r="L1847" i="4"/>
  <c r="Q1847" i="4" s="1"/>
  <c r="N1847" i="4"/>
  <c r="M1847" i="4"/>
  <c r="R1847" i="4" s="1"/>
  <c r="O1847" i="4"/>
  <c r="P1847" i="4"/>
  <c r="M1839" i="4"/>
  <c r="R1839" i="4" s="1"/>
  <c r="L1839" i="4"/>
  <c r="Q1839" i="4" s="1"/>
  <c r="P1839" i="4"/>
  <c r="O1839" i="4"/>
  <c r="N1839" i="4"/>
  <c r="L1831" i="4"/>
  <c r="Q1831" i="4" s="1"/>
  <c r="O1831" i="4"/>
  <c r="N1831" i="4"/>
  <c r="M1831" i="4"/>
  <c r="R1831" i="4" s="1"/>
  <c r="P1831" i="4"/>
  <c r="L1823" i="4"/>
  <c r="Q1823" i="4" s="1"/>
  <c r="P1823" i="4"/>
  <c r="M1823" i="4"/>
  <c r="R1823" i="4" s="1"/>
  <c r="O1823" i="4"/>
  <c r="N1823" i="4"/>
  <c r="L1815" i="4"/>
  <c r="Q1815" i="4" s="1"/>
  <c r="O1815" i="4"/>
  <c r="M1815" i="4"/>
  <c r="R1815" i="4" s="1"/>
  <c r="N1815" i="4"/>
  <c r="P1815" i="4"/>
  <c r="L1807" i="4"/>
  <c r="Q1807" i="4" s="1"/>
  <c r="O1807" i="4"/>
  <c r="P1807" i="4"/>
  <c r="M1807" i="4"/>
  <c r="R1807" i="4" s="1"/>
  <c r="N1807" i="4"/>
  <c r="L1799" i="4"/>
  <c r="Q1799" i="4" s="1"/>
  <c r="M1799" i="4"/>
  <c r="R1799" i="4" s="1"/>
  <c r="N1799" i="4"/>
  <c r="O1799" i="4"/>
  <c r="P1799" i="4"/>
  <c r="M1791" i="4"/>
  <c r="R1791" i="4" s="1"/>
  <c r="O1791" i="4"/>
  <c r="P1791" i="4"/>
  <c r="L1791" i="4"/>
  <c r="Q1791" i="4" s="1"/>
  <c r="N1791" i="4"/>
  <c r="L1783" i="4"/>
  <c r="Q1783" i="4" s="1"/>
  <c r="M1783" i="4"/>
  <c r="R1783" i="4" s="1"/>
  <c r="N1783" i="4"/>
  <c r="O1783" i="4"/>
  <c r="P1783" i="4"/>
  <c r="L1775" i="4"/>
  <c r="Q1775" i="4" s="1"/>
  <c r="O1775" i="4"/>
  <c r="M1775" i="4"/>
  <c r="R1775" i="4" s="1"/>
  <c r="P1775" i="4"/>
  <c r="N1775" i="4"/>
  <c r="L1767" i="4"/>
  <c r="Q1767" i="4" s="1"/>
  <c r="N1767" i="4"/>
  <c r="O1767" i="4"/>
  <c r="M1767" i="4"/>
  <c r="R1767" i="4" s="1"/>
  <c r="P1767" i="4"/>
  <c r="L1759" i="4"/>
  <c r="Q1759" i="4" s="1"/>
  <c r="M1759" i="4"/>
  <c r="R1759" i="4" s="1"/>
  <c r="O1759" i="4"/>
  <c r="P1759" i="4"/>
  <c r="N1759" i="4"/>
  <c r="L1751" i="4"/>
  <c r="Q1751" i="4" s="1"/>
  <c r="N1751" i="4"/>
  <c r="O1751" i="4"/>
  <c r="M1751" i="4"/>
  <c r="R1751" i="4" s="1"/>
  <c r="P1751" i="4"/>
  <c r="L1743" i="4"/>
  <c r="Q1743" i="4" s="1"/>
  <c r="M1743" i="4"/>
  <c r="R1743" i="4" s="1"/>
  <c r="O1743" i="4"/>
  <c r="P1743" i="4"/>
  <c r="N1743" i="4"/>
  <c r="O1735" i="4"/>
  <c r="L1735" i="4"/>
  <c r="Q1735" i="4" s="1"/>
  <c r="N1735" i="4"/>
  <c r="M1735" i="4"/>
  <c r="R1735" i="4" s="1"/>
  <c r="P1735" i="4"/>
  <c r="M1727" i="4"/>
  <c r="R1727" i="4" s="1"/>
  <c r="P1727" i="4"/>
  <c r="L1727" i="4"/>
  <c r="Q1727" i="4" s="1"/>
  <c r="O1727" i="4"/>
  <c r="N1727" i="4"/>
  <c r="O1719" i="4"/>
  <c r="L1719" i="4"/>
  <c r="Q1719" i="4" s="1"/>
  <c r="N1719" i="4"/>
  <c r="P1719" i="4"/>
  <c r="M1719" i="4"/>
  <c r="R1719" i="4" s="1"/>
  <c r="M1711" i="4"/>
  <c r="R1711" i="4" s="1"/>
  <c r="P1711" i="4"/>
  <c r="O1711" i="4"/>
  <c r="L1711" i="4"/>
  <c r="Q1711" i="4" s="1"/>
  <c r="N1711" i="4"/>
  <c r="L1703" i="4"/>
  <c r="Q1703" i="4" s="1"/>
  <c r="M1703" i="4"/>
  <c r="R1703" i="4" s="1"/>
  <c r="N1703" i="4"/>
  <c r="O1703" i="4"/>
  <c r="P1703" i="4"/>
  <c r="M1695" i="4"/>
  <c r="R1695" i="4" s="1"/>
  <c r="P1695" i="4"/>
  <c r="L1695" i="4"/>
  <c r="Q1695" i="4" s="1"/>
  <c r="O1695" i="4"/>
  <c r="N1695" i="4"/>
  <c r="O1687" i="4"/>
  <c r="L1687" i="4"/>
  <c r="Q1687" i="4" s="1"/>
  <c r="N1687" i="4"/>
  <c r="M1687" i="4"/>
  <c r="R1687" i="4" s="1"/>
  <c r="P1687" i="4"/>
  <c r="O1679" i="4"/>
  <c r="L1679" i="4"/>
  <c r="Q1679" i="4" s="1"/>
  <c r="M1679" i="4"/>
  <c r="R1679" i="4" s="1"/>
  <c r="P1679" i="4"/>
  <c r="N1679" i="4"/>
  <c r="M1671" i="4"/>
  <c r="R1671" i="4" s="1"/>
  <c r="P1671" i="4"/>
  <c r="L1671" i="4"/>
  <c r="Q1671" i="4" s="1"/>
  <c r="O1671" i="4"/>
  <c r="N1671" i="4"/>
  <c r="M1663" i="4"/>
  <c r="R1663" i="4" s="1"/>
  <c r="N1663" i="4"/>
  <c r="P1663" i="4"/>
  <c r="O1663" i="4"/>
  <c r="L1663" i="4"/>
  <c r="Q1663" i="4" s="1"/>
  <c r="M1655" i="4"/>
  <c r="R1655" i="4" s="1"/>
  <c r="P1655" i="4"/>
  <c r="N1655" i="4"/>
  <c r="L1655" i="4"/>
  <c r="Q1655" i="4" s="1"/>
  <c r="O1655" i="4"/>
  <c r="O1647" i="4"/>
  <c r="L1647" i="4"/>
  <c r="Q1647" i="4" s="1"/>
  <c r="M1647" i="4"/>
  <c r="R1647" i="4" s="1"/>
  <c r="N1647" i="4"/>
  <c r="P1647" i="4"/>
  <c r="O1639" i="4"/>
  <c r="N1639" i="4"/>
  <c r="L1639" i="4"/>
  <c r="Q1639" i="4" s="1"/>
  <c r="P1639" i="4"/>
  <c r="M1639" i="4"/>
  <c r="R1639" i="4" s="1"/>
  <c r="O1631" i="4"/>
  <c r="L1631" i="4"/>
  <c r="Q1631" i="4" s="1"/>
  <c r="P1631" i="4"/>
  <c r="N1631" i="4"/>
  <c r="M1631" i="4"/>
  <c r="R1631" i="4" s="1"/>
  <c r="L1623" i="4"/>
  <c r="Q1623" i="4" s="1"/>
  <c r="M1623" i="4"/>
  <c r="R1623" i="4" s="1"/>
  <c r="O1623" i="4"/>
  <c r="P1623" i="4"/>
  <c r="N1623" i="4"/>
  <c r="M1615" i="4"/>
  <c r="R1615" i="4" s="1"/>
  <c r="O1615" i="4"/>
  <c r="N1615" i="4"/>
  <c r="P1615" i="4"/>
  <c r="L1615" i="4"/>
  <c r="Q1615" i="4" s="1"/>
  <c r="P1607" i="4"/>
  <c r="L1607" i="4"/>
  <c r="Q1607" i="4" s="1"/>
  <c r="N1607" i="4"/>
  <c r="O1607" i="4"/>
  <c r="M1607" i="4"/>
  <c r="R1607" i="4" s="1"/>
  <c r="M1599" i="4"/>
  <c r="R1599" i="4" s="1"/>
  <c r="P1599" i="4"/>
  <c r="L1599" i="4"/>
  <c r="Q1599" i="4" s="1"/>
  <c r="N1599" i="4"/>
  <c r="O1599" i="4"/>
  <c r="M1591" i="4"/>
  <c r="R1591" i="4" s="1"/>
  <c r="P1591" i="4"/>
  <c r="L1591" i="4"/>
  <c r="Q1591" i="4" s="1"/>
  <c r="N1591" i="4"/>
  <c r="O1591" i="4"/>
  <c r="M1583" i="4"/>
  <c r="R1583" i="4" s="1"/>
  <c r="P1583" i="4"/>
  <c r="L1583" i="4"/>
  <c r="Q1583" i="4" s="1"/>
  <c r="O1583" i="4"/>
  <c r="N1583" i="4"/>
  <c r="O1575" i="4"/>
  <c r="M1575" i="4"/>
  <c r="R1575" i="4" s="1"/>
  <c r="P1575" i="4"/>
  <c r="L1575" i="4"/>
  <c r="Q1575" i="4" s="1"/>
  <c r="N1575" i="4"/>
  <c r="M1567" i="4"/>
  <c r="R1567" i="4" s="1"/>
  <c r="O1567" i="4"/>
  <c r="P1567" i="4"/>
  <c r="L1567" i="4"/>
  <c r="Q1567" i="4" s="1"/>
  <c r="N1567" i="4"/>
  <c r="O1559" i="4"/>
  <c r="M1559" i="4"/>
  <c r="R1559" i="4" s="1"/>
  <c r="N1559" i="4"/>
  <c r="P1559" i="4"/>
  <c r="L1559" i="4"/>
  <c r="Q1559" i="4" s="1"/>
  <c r="M1551" i="4"/>
  <c r="R1551" i="4" s="1"/>
  <c r="O1551" i="4"/>
  <c r="P1551" i="4"/>
  <c r="N1551" i="4"/>
  <c r="L1551" i="4"/>
  <c r="Q1551" i="4" s="1"/>
  <c r="O1543" i="4"/>
  <c r="M1543" i="4"/>
  <c r="R1543" i="4" s="1"/>
  <c r="L1543" i="4"/>
  <c r="Q1543" i="4" s="1"/>
  <c r="N1543" i="4"/>
  <c r="P1543" i="4"/>
  <c r="M1535" i="4"/>
  <c r="R1535" i="4" s="1"/>
  <c r="P1535" i="4"/>
  <c r="L1535" i="4"/>
  <c r="Q1535" i="4" s="1"/>
  <c r="O1535" i="4"/>
  <c r="N1535" i="4"/>
  <c r="M1527" i="4"/>
  <c r="R1527" i="4" s="1"/>
  <c r="O1527" i="4"/>
  <c r="P1527" i="4"/>
  <c r="L1527" i="4"/>
  <c r="Q1527" i="4" s="1"/>
  <c r="N1527" i="4"/>
  <c r="M1519" i="4"/>
  <c r="R1519" i="4" s="1"/>
  <c r="O1519" i="4"/>
  <c r="P1519" i="4"/>
  <c r="L1519" i="4"/>
  <c r="Q1519" i="4" s="1"/>
  <c r="N1519" i="4"/>
  <c r="M1511" i="4"/>
  <c r="R1511" i="4" s="1"/>
  <c r="L1511" i="4"/>
  <c r="Q1511" i="4" s="1"/>
  <c r="N1511" i="4"/>
  <c r="O1511" i="4"/>
  <c r="P1511" i="4"/>
  <c r="O1503" i="4"/>
  <c r="P1503" i="4"/>
  <c r="N1503" i="4"/>
  <c r="L1503" i="4"/>
  <c r="Q1503" i="4" s="1"/>
  <c r="M1503" i="4"/>
  <c r="R1503" i="4" s="1"/>
  <c r="O1495" i="4"/>
  <c r="M1495" i="4"/>
  <c r="R1495" i="4" s="1"/>
  <c r="P1495" i="4"/>
  <c r="L1495" i="4"/>
  <c r="Q1495" i="4" s="1"/>
  <c r="N1495" i="4"/>
  <c r="M1487" i="4"/>
  <c r="R1487" i="4" s="1"/>
  <c r="P1487" i="4"/>
  <c r="O1487" i="4"/>
  <c r="L1487" i="4"/>
  <c r="Q1487" i="4" s="1"/>
  <c r="N1487" i="4"/>
  <c r="M1479" i="4"/>
  <c r="R1479" i="4" s="1"/>
  <c r="O1479" i="4"/>
  <c r="P1479" i="4"/>
  <c r="L1479" i="4"/>
  <c r="Q1479" i="4" s="1"/>
  <c r="N1479" i="4"/>
  <c r="M1471" i="4"/>
  <c r="R1471" i="4" s="1"/>
  <c r="L1471" i="4"/>
  <c r="Q1471" i="4" s="1"/>
  <c r="N1471" i="4"/>
  <c r="O1471" i="4"/>
  <c r="P1471" i="4"/>
  <c r="M1463" i="4"/>
  <c r="R1463" i="4" s="1"/>
  <c r="P1463" i="4"/>
  <c r="L1463" i="4"/>
  <c r="Q1463" i="4" s="1"/>
  <c r="N1463" i="4"/>
  <c r="O1463" i="4"/>
  <c r="M1455" i="4"/>
  <c r="R1455" i="4" s="1"/>
  <c r="N1455" i="4"/>
  <c r="O1455" i="4"/>
  <c r="P1455" i="4"/>
  <c r="L1455" i="4"/>
  <c r="Q1455" i="4" s="1"/>
  <c r="O1447" i="4"/>
  <c r="N1447" i="4"/>
  <c r="L1447" i="4"/>
  <c r="Q1447" i="4" s="1"/>
  <c r="M1447" i="4"/>
  <c r="R1447" i="4" s="1"/>
  <c r="P1447" i="4"/>
  <c r="P1439" i="4"/>
  <c r="L1439" i="4"/>
  <c r="Q1439" i="4" s="1"/>
  <c r="M1439" i="4"/>
  <c r="R1439" i="4" s="1"/>
  <c r="N1439" i="4"/>
  <c r="O1439" i="4"/>
  <c r="P1431" i="4"/>
  <c r="O1431" i="4"/>
  <c r="N1431" i="4"/>
  <c r="M1431" i="4"/>
  <c r="R1431" i="4" s="1"/>
  <c r="L1431" i="4"/>
  <c r="Q1431" i="4" s="1"/>
  <c r="M1423" i="4"/>
  <c r="R1423" i="4" s="1"/>
  <c r="N1423" i="4"/>
  <c r="O1423" i="4"/>
  <c r="P1423" i="4"/>
  <c r="L1423" i="4"/>
  <c r="Q1423" i="4" s="1"/>
  <c r="P1415" i="4"/>
  <c r="O1415" i="4"/>
  <c r="L1415" i="4"/>
  <c r="Q1415" i="4" s="1"/>
  <c r="M1415" i="4"/>
  <c r="R1415" i="4" s="1"/>
  <c r="N1415" i="4"/>
  <c r="N1407" i="4"/>
  <c r="O1407" i="4"/>
  <c r="L1407" i="4"/>
  <c r="Q1407" i="4" s="1"/>
  <c r="P1407" i="4"/>
  <c r="M1407" i="4"/>
  <c r="R1407" i="4" s="1"/>
  <c r="P1399" i="4"/>
  <c r="O1399" i="4"/>
  <c r="N1399" i="4"/>
  <c r="M1399" i="4"/>
  <c r="R1399" i="4" s="1"/>
  <c r="L1399" i="4"/>
  <c r="Q1399" i="4" s="1"/>
  <c r="P1391" i="4"/>
  <c r="N1391" i="4"/>
  <c r="M1391" i="4"/>
  <c r="R1391" i="4" s="1"/>
  <c r="L1391" i="4"/>
  <c r="Q1391" i="4" s="1"/>
  <c r="O1391" i="4"/>
  <c r="P1383" i="4"/>
  <c r="O1383" i="4"/>
  <c r="M1383" i="4"/>
  <c r="R1383" i="4" s="1"/>
  <c r="N1383" i="4"/>
  <c r="L1383" i="4"/>
  <c r="Q1383" i="4" s="1"/>
  <c r="P1375" i="4"/>
  <c r="L1375" i="4"/>
  <c r="Q1375" i="4" s="1"/>
  <c r="O1375" i="4"/>
  <c r="M1375" i="4"/>
  <c r="R1375" i="4" s="1"/>
  <c r="N1375" i="4"/>
  <c r="P1367" i="4"/>
  <c r="O1367" i="4"/>
  <c r="L1367" i="4"/>
  <c r="Q1367" i="4" s="1"/>
  <c r="N1367" i="4"/>
  <c r="M1367" i="4"/>
  <c r="R1367" i="4" s="1"/>
  <c r="P1359" i="4"/>
  <c r="L1359" i="4"/>
  <c r="Q1359" i="4" s="1"/>
  <c r="M1359" i="4"/>
  <c r="R1359" i="4" s="1"/>
  <c r="N1359" i="4"/>
  <c r="O1359" i="4"/>
  <c r="P1351" i="4"/>
  <c r="O1351" i="4"/>
  <c r="L1351" i="4"/>
  <c r="Q1351" i="4" s="1"/>
  <c r="M1351" i="4"/>
  <c r="R1351" i="4" s="1"/>
  <c r="N1351" i="4"/>
  <c r="P1343" i="4"/>
  <c r="M1343" i="4"/>
  <c r="R1343" i="4" s="1"/>
  <c r="N1343" i="4"/>
  <c r="L1343" i="4"/>
  <c r="Q1343" i="4" s="1"/>
  <c r="O1343" i="4"/>
  <c r="P1335" i="4"/>
  <c r="O1335" i="4"/>
  <c r="N1335" i="4"/>
  <c r="M1335" i="4"/>
  <c r="R1335" i="4" s="1"/>
  <c r="L1335" i="4"/>
  <c r="Q1335" i="4" s="1"/>
  <c r="P1327" i="4"/>
  <c r="N1327" i="4"/>
  <c r="M1327" i="4"/>
  <c r="R1327" i="4" s="1"/>
  <c r="L1327" i="4"/>
  <c r="Q1327" i="4" s="1"/>
  <c r="O1327" i="4"/>
  <c r="P1319" i="4"/>
  <c r="O1319" i="4"/>
  <c r="L1319" i="4"/>
  <c r="Q1319" i="4" s="1"/>
  <c r="M1319" i="4"/>
  <c r="R1319" i="4" s="1"/>
  <c r="N1319" i="4"/>
  <c r="P1311" i="4"/>
  <c r="M1311" i="4"/>
  <c r="R1311" i="4" s="1"/>
  <c r="L1311" i="4"/>
  <c r="Q1311" i="4" s="1"/>
  <c r="O1311" i="4"/>
  <c r="N1311" i="4"/>
  <c r="P1303" i="4"/>
  <c r="O1303" i="4"/>
  <c r="N1303" i="4"/>
  <c r="M1303" i="4"/>
  <c r="R1303" i="4" s="1"/>
  <c r="L1303" i="4"/>
  <c r="Q1303" i="4" s="1"/>
  <c r="P1295" i="4"/>
  <c r="O1295" i="4"/>
  <c r="M1295" i="4"/>
  <c r="R1295" i="4" s="1"/>
  <c r="L1295" i="4"/>
  <c r="Q1295" i="4" s="1"/>
  <c r="N1295" i="4"/>
  <c r="P1287" i="4"/>
  <c r="O1287" i="4"/>
  <c r="L1287" i="4"/>
  <c r="Q1287" i="4" s="1"/>
  <c r="N1287" i="4"/>
  <c r="M1287" i="4"/>
  <c r="R1287" i="4" s="1"/>
  <c r="P1279" i="4"/>
  <c r="O1279" i="4"/>
  <c r="N1279" i="4"/>
  <c r="L1279" i="4"/>
  <c r="Q1279" i="4" s="1"/>
  <c r="M1279" i="4"/>
  <c r="R1279" i="4" s="1"/>
  <c r="P1271" i="4"/>
  <c r="O1271" i="4"/>
  <c r="N1271" i="4"/>
  <c r="M1271" i="4"/>
  <c r="R1271" i="4" s="1"/>
  <c r="L1271" i="4"/>
  <c r="Q1271" i="4" s="1"/>
  <c r="P1263" i="4"/>
  <c r="L1263" i="4"/>
  <c r="Q1263" i="4" s="1"/>
  <c r="M1263" i="4"/>
  <c r="R1263" i="4" s="1"/>
  <c r="N1263" i="4"/>
  <c r="O1263" i="4"/>
  <c r="N1255" i="4"/>
  <c r="L1255" i="4"/>
  <c r="Q1255" i="4" s="1"/>
  <c r="O1255" i="4"/>
  <c r="P1255" i="4"/>
  <c r="M1255" i="4"/>
  <c r="R1255" i="4" s="1"/>
  <c r="P1247" i="4"/>
  <c r="N1247" i="4"/>
  <c r="M1247" i="4"/>
  <c r="R1247" i="4" s="1"/>
  <c r="O1247" i="4"/>
  <c r="L1247" i="4"/>
  <c r="Q1247" i="4" s="1"/>
  <c r="N1239" i="4"/>
  <c r="O1239" i="4"/>
  <c r="L1239" i="4"/>
  <c r="Q1239" i="4" s="1"/>
  <c r="P1239" i="4"/>
  <c r="M1239" i="4"/>
  <c r="R1239" i="4" s="1"/>
  <c r="N1231" i="4"/>
  <c r="L1231" i="4"/>
  <c r="Q1231" i="4" s="1"/>
  <c r="O1231" i="4"/>
  <c r="P1231" i="4"/>
  <c r="M1231" i="4"/>
  <c r="R1231" i="4" s="1"/>
  <c r="N1223" i="4"/>
  <c r="M1223" i="4"/>
  <c r="R1223" i="4" s="1"/>
  <c r="O1223" i="4"/>
  <c r="P1223" i="4"/>
  <c r="L1223" i="4"/>
  <c r="Q1223" i="4" s="1"/>
  <c r="N1215" i="4"/>
  <c r="M1215" i="4"/>
  <c r="R1215" i="4" s="1"/>
  <c r="P1215" i="4"/>
  <c r="O1215" i="4"/>
  <c r="L1215" i="4"/>
  <c r="Q1215" i="4" s="1"/>
  <c r="N1207" i="4"/>
  <c r="L1207" i="4"/>
  <c r="Q1207" i="4" s="1"/>
  <c r="O1207" i="4"/>
  <c r="P1207" i="4"/>
  <c r="M1207" i="4"/>
  <c r="R1207" i="4" s="1"/>
  <c r="N1199" i="4"/>
  <c r="L1199" i="4"/>
  <c r="Q1199" i="4" s="1"/>
  <c r="O1199" i="4"/>
  <c r="M1199" i="4"/>
  <c r="R1199" i="4" s="1"/>
  <c r="P1199" i="4"/>
  <c r="N1191" i="4"/>
  <c r="O1191" i="4"/>
  <c r="P1191" i="4"/>
  <c r="M1191" i="4"/>
  <c r="R1191" i="4" s="1"/>
  <c r="L1191" i="4"/>
  <c r="Q1191" i="4" s="1"/>
  <c r="N1183" i="4"/>
  <c r="M1183" i="4"/>
  <c r="R1183" i="4" s="1"/>
  <c r="P1183" i="4"/>
  <c r="O1183" i="4"/>
  <c r="L1183" i="4"/>
  <c r="Q1183" i="4" s="1"/>
  <c r="O1175" i="4"/>
  <c r="N1175" i="4"/>
  <c r="L1175" i="4"/>
  <c r="Q1175" i="4" s="1"/>
  <c r="M1175" i="4"/>
  <c r="R1175" i="4" s="1"/>
  <c r="P1175" i="4"/>
  <c r="N1167" i="4"/>
  <c r="O1167" i="4"/>
  <c r="L1167" i="4"/>
  <c r="Q1167" i="4" s="1"/>
  <c r="M1167" i="4"/>
  <c r="R1167" i="4" s="1"/>
  <c r="P1167" i="4"/>
  <c r="N1159" i="4"/>
  <c r="O1159" i="4"/>
  <c r="M1159" i="4"/>
  <c r="R1159" i="4" s="1"/>
  <c r="L1159" i="4"/>
  <c r="Q1159" i="4" s="1"/>
  <c r="P1159" i="4"/>
  <c r="N1151" i="4"/>
  <c r="P1151" i="4"/>
  <c r="O1151" i="4"/>
  <c r="M1151" i="4"/>
  <c r="R1151" i="4" s="1"/>
  <c r="L1151" i="4"/>
  <c r="Q1151" i="4" s="1"/>
  <c r="L1143" i="4"/>
  <c r="Q1143" i="4" s="1"/>
  <c r="N1143" i="4"/>
  <c r="O1143" i="4"/>
  <c r="P1143" i="4"/>
  <c r="M1143" i="4"/>
  <c r="R1143" i="4" s="1"/>
  <c r="N1135" i="4"/>
  <c r="L1135" i="4"/>
  <c r="Q1135" i="4" s="1"/>
  <c r="O1135" i="4"/>
  <c r="P1135" i="4"/>
  <c r="M1135" i="4"/>
  <c r="R1135" i="4" s="1"/>
  <c r="N1127" i="4"/>
  <c r="O1127" i="4"/>
  <c r="P1127" i="4"/>
  <c r="M1127" i="4"/>
  <c r="R1127" i="4" s="1"/>
  <c r="L1127" i="4"/>
  <c r="Q1127" i="4" s="1"/>
  <c r="N1119" i="4"/>
  <c r="P1119" i="4"/>
  <c r="O1119" i="4"/>
  <c r="M1119" i="4"/>
  <c r="R1119" i="4" s="1"/>
  <c r="L1119" i="4"/>
  <c r="Q1119" i="4" s="1"/>
  <c r="N1111" i="4"/>
  <c r="L1111" i="4"/>
  <c r="Q1111" i="4" s="1"/>
  <c r="P1111" i="4"/>
  <c r="M1111" i="4"/>
  <c r="R1111" i="4" s="1"/>
  <c r="O1111" i="4"/>
  <c r="N1103" i="4"/>
  <c r="O1103" i="4"/>
  <c r="M1103" i="4"/>
  <c r="R1103" i="4" s="1"/>
  <c r="L1103" i="4"/>
  <c r="Q1103" i="4" s="1"/>
  <c r="P1103" i="4"/>
  <c r="N1095" i="4"/>
  <c r="O1095" i="4"/>
  <c r="P1095" i="4"/>
  <c r="L1095" i="4"/>
  <c r="Q1095" i="4" s="1"/>
  <c r="M1095" i="4"/>
  <c r="R1095" i="4" s="1"/>
  <c r="N1087" i="4"/>
  <c r="L1087" i="4"/>
  <c r="Q1087" i="4" s="1"/>
  <c r="P1087" i="4"/>
  <c r="O1087" i="4"/>
  <c r="M1087" i="4"/>
  <c r="R1087" i="4" s="1"/>
  <c r="O1079" i="4"/>
  <c r="L1079" i="4"/>
  <c r="Q1079" i="4" s="1"/>
  <c r="M1079" i="4"/>
  <c r="R1079" i="4" s="1"/>
  <c r="P1079" i="4"/>
  <c r="N1079" i="4"/>
  <c r="M1071" i="4"/>
  <c r="R1071" i="4" s="1"/>
  <c r="N1071" i="4"/>
  <c r="O1071" i="4"/>
  <c r="L1071" i="4"/>
  <c r="Q1071" i="4" s="1"/>
  <c r="P1071" i="4"/>
  <c r="N1063" i="4"/>
  <c r="O1063" i="4"/>
  <c r="L1063" i="4"/>
  <c r="Q1063" i="4" s="1"/>
  <c r="M1063" i="4"/>
  <c r="R1063" i="4" s="1"/>
  <c r="P1063" i="4"/>
  <c r="M1055" i="4"/>
  <c r="R1055" i="4" s="1"/>
  <c r="P1055" i="4"/>
  <c r="O1055" i="4"/>
  <c r="N1055" i="4"/>
  <c r="L1055" i="4"/>
  <c r="Q1055" i="4" s="1"/>
  <c r="M1047" i="4"/>
  <c r="R1047" i="4" s="1"/>
  <c r="O1047" i="4"/>
  <c r="P1047" i="4"/>
  <c r="L1047" i="4"/>
  <c r="Q1047" i="4" s="1"/>
  <c r="N1047" i="4"/>
  <c r="O1039" i="4"/>
  <c r="M1039" i="4"/>
  <c r="R1039" i="4" s="1"/>
  <c r="P1039" i="4"/>
  <c r="L1039" i="4"/>
  <c r="Q1039" i="4" s="1"/>
  <c r="N1039" i="4"/>
  <c r="M1031" i="4"/>
  <c r="R1031" i="4" s="1"/>
  <c r="O1031" i="4"/>
  <c r="L1031" i="4"/>
  <c r="Q1031" i="4" s="1"/>
  <c r="N1031" i="4"/>
  <c r="P1031" i="4"/>
  <c r="M1023" i="4"/>
  <c r="R1023" i="4" s="1"/>
  <c r="O1023" i="4"/>
  <c r="P1023" i="4"/>
  <c r="L1023" i="4"/>
  <c r="Q1023" i="4" s="1"/>
  <c r="N1023" i="4"/>
  <c r="M1015" i="4"/>
  <c r="R1015" i="4" s="1"/>
  <c r="L1015" i="4"/>
  <c r="Q1015" i="4" s="1"/>
  <c r="N1015" i="4"/>
  <c r="P1015" i="4"/>
  <c r="O1015" i="4"/>
  <c r="M1007" i="4"/>
  <c r="R1007" i="4" s="1"/>
  <c r="L1007" i="4"/>
  <c r="Q1007" i="4" s="1"/>
  <c r="N1007" i="4"/>
  <c r="O1007" i="4"/>
  <c r="P1007" i="4"/>
  <c r="M999" i="4"/>
  <c r="R999" i="4" s="1"/>
  <c r="N999" i="4"/>
  <c r="O999" i="4"/>
  <c r="P999" i="4"/>
  <c r="L999" i="4"/>
  <c r="Q999" i="4" s="1"/>
  <c r="M991" i="4"/>
  <c r="R991" i="4" s="1"/>
  <c r="O991" i="4"/>
  <c r="P991" i="4"/>
  <c r="N991" i="4"/>
  <c r="L991" i="4"/>
  <c r="Q991" i="4" s="1"/>
  <c r="M983" i="4"/>
  <c r="R983" i="4" s="1"/>
  <c r="L983" i="4"/>
  <c r="Q983" i="4" s="1"/>
  <c r="N983" i="4"/>
  <c r="O983" i="4"/>
  <c r="P983" i="4"/>
  <c r="M975" i="4"/>
  <c r="R975" i="4" s="1"/>
  <c r="O975" i="4"/>
  <c r="P975" i="4"/>
  <c r="L975" i="4"/>
  <c r="Q975" i="4" s="1"/>
  <c r="N975" i="4"/>
  <c r="M967" i="4"/>
  <c r="R967" i="4" s="1"/>
  <c r="O967" i="4"/>
  <c r="L967" i="4"/>
  <c r="Q967" i="4" s="1"/>
  <c r="P967" i="4"/>
  <c r="N967" i="4"/>
  <c r="M959" i="4"/>
  <c r="R959" i="4" s="1"/>
  <c r="P959" i="4"/>
  <c r="O959" i="4"/>
  <c r="L959" i="4"/>
  <c r="Q959" i="4" s="1"/>
  <c r="N959" i="4"/>
  <c r="M951" i="4"/>
  <c r="R951" i="4" s="1"/>
  <c r="O951" i="4"/>
  <c r="N951" i="4"/>
  <c r="P951" i="4"/>
  <c r="L951" i="4"/>
  <c r="Q951" i="4" s="1"/>
  <c r="L943" i="4"/>
  <c r="Q943" i="4" s="1"/>
  <c r="N943" i="4"/>
  <c r="M943" i="4"/>
  <c r="R943" i="4" s="1"/>
  <c r="O943" i="4"/>
  <c r="P943" i="4"/>
  <c r="L935" i="4"/>
  <c r="Q935" i="4" s="1"/>
  <c r="P935" i="4"/>
  <c r="N935" i="4"/>
  <c r="O935" i="4"/>
  <c r="M935" i="4"/>
  <c r="R935" i="4" s="1"/>
  <c r="N927" i="4"/>
  <c r="O927" i="4"/>
  <c r="L927" i="4"/>
  <c r="Q927" i="4" s="1"/>
  <c r="M927" i="4"/>
  <c r="R927" i="4" s="1"/>
  <c r="P927" i="4"/>
  <c r="L919" i="4"/>
  <c r="Q919" i="4" s="1"/>
  <c r="O919" i="4"/>
  <c r="N919" i="4"/>
  <c r="M919" i="4"/>
  <c r="R919" i="4" s="1"/>
  <c r="P919" i="4"/>
  <c r="M911" i="4"/>
  <c r="R911" i="4" s="1"/>
  <c r="N911" i="4"/>
  <c r="L911" i="4"/>
  <c r="Q911" i="4" s="1"/>
  <c r="O911" i="4"/>
  <c r="P911" i="4"/>
  <c r="I903" i="4"/>
  <c r="K903" i="4"/>
  <c r="I895" i="4"/>
  <c r="K895" i="4"/>
  <c r="I887" i="4"/>
  <c r="K887" i="4"/>
  <c r="I879" i="4"/>
  <c r="K879" i="4"/>
  <c r="I871" i="4"/>
  <c r="K871" i="4"/>
  <c r="I863" i="4"/>
  <c r="K863" i="4"/>
  <c r="I855" i="4"/>
  <c r="K855" i="4"/>
  <c r="I847" i="4"/>
  <c r="K847" i="4"/>
  <c r="I839" i="4"/>
  <c r="K839" i="4"/>
  <c r="I831" i="4"/>
  <c r="K831" i="4"/>
  <c r="I823" i="4"/>
  <c r="K823" i="4"/>
  <c r="I815" i="4"/>
  <c r="K815" i="4"/>
  <c r="I807" i="4"/>
  <c r="K807" i="4"/>
  <c r="I799" i="4"/>
  <c r="K799" i="4"/>
  <c r="I791" i="4"/>
  <c r="K791" i="4"/>
  <c r="I783" i="4"/>
  <c r="K783" i="4"/>
  <c r="I775" i="4"/>
  <c r="K775" i="4"/>
  <c r="I767" i="4"/>
  <c r="K767" i="4"/>
  <c r="I759" i="4"/>
  <c r="K759" i="4"/>
  <c r="I751" i="4"/>
  <c r="K751" i="4"/>
  <c r="I743" i="4"/>
  <c r="K743" i="4"/>
  <c r="I735" i="4"/>
  <c r="K735" i="4"/>
  <c r="I727" i="4"/>
  <c r="K727" i="4"/>
  <c r="I719" i="4"/>
  <c r="K719" i="4"/>
  <c r="I711" i="4"/>
  <c r="K711" i="4"/>
  <c r="I703" i="4"/>
  <c r="K703" i="4"/>
  <c r="I695" i="4"/>
  <c r="K695" i="4"/>
  <c r="I687" i="4"/>
  <c r="K687" i="4"/>
  <c r="I679" i="4"/>
  <c r="K679" i="4"/>
  <c r="I671" i="4"/>
  <c r="K671" i="4"/>
  <c r="I663" i="4"/>
  <c r="K663" i="4"/>
  <c r="I655" i="4"/>
  <c r="K655" i="4"/>
  <c r="I647" i="4"/>
  <c r="K647" i="4"/>
  <c r="I639" i="4"/>
  <c r="K639" i="4"/>
  <c r="I631" i="4"/>
  <c r="K631" i="4"/>
  <c r="I623" i="4"/>
  <c r="K623" i="4"/>
  <c r="I615" i="4"/>
  <c r="K615" i="4"/>
  <c r="I607" i="4"/>
  <c r="K607" i="4"/>
  <c r="I599" i="4"/>
  <c r="K599" i="4"/>
  <c r="I591" i="4"/>
  <c r="K591" i="4"/>
  <c r="I583" i="4"/>
  <c r="K583" i="4"/>
  <c r="I575" i="4"/>
  <c r="K575" i="4"/>
  <c r="I567" i="4"/>
  <c r="K567" i="4"/>
  <c r="I559" i="4"/>
  <c r="K559" i="4"/>
  <c r="I551" i="4"/>
  <c r="K551" i="4"/>
  <c r="I543" i="4"/>
  <c r="K543" i="4"/>
  <c r="I535" i="4"/>
  <c r="K535" i="4"/>
  <c r="I527" i="4"/>
  <c r="K527" i="4"/>
  <c r="I519" i="4"/>
  <c r="K519" i="4"/>
  <c r="I511" i="4"/>
  <c r="K511" i="4"/>
  <c r="I503" i="4"/>
  <c r="K503" i="4"/>
  <c r="I495" i="4"/>
  <c r="K495" i="4"/>
  <c r="I487" i="4"/>
  <c r="K487" i="4"/>
  <c r="I479" i="4"/>
  <c r="K479" i="4"/>
  <c r="I471" i="4"/>
  <c r="K471" i="4"/>
  <c r="I463" i="4"/>
  <c r="K463" i="4"/>
  <c r="I455" i="4"/>
  <c r="K455" i="4"/>
  <c r="I447" i="4"/>
  <c r="K447" i="4"/>
  <c r="I439" i="4"/>
  <c r="K439" i="4"/>
  <c r="I431" i="4"/>
  <c r="K431" i="4"/>
  <c r="I423" i="4"/>
  <c r="K423" i="4"/>
  <c r="I415" i="4"/>
  <c r="K415" i="4"/>
  <c r="I407" i="4"/>
  <c r="K407" i="4"/>
  <c r="I399" i="4"/>
  <c r="K399" i="4"/>
  <c r="I391" i="4"/>
  <c r="K391" i="4"/>
  <c r="I383" i="4"/>
  <c r="K383" i="4"/>
  <c r="I375" i="4"/>
  <c r="K375" i="4"/>
  <c r="I367" i="4"/>
  <c r="K367" i="4"/>
  <c r="I359" i="4"/>
  <c r="K359" i="4"/>
  <c r="I351" i="4"/>
  <c r="K351" i="4"/>
  <c r="I343" i="4"/>
  <c r="K343" i="4"/>
  <c r="I335" i="4"/>
  <c r="K335" i="4"/>
  <c r="I327" i="4"/>
  <c r="K327" i="4"/>
  <c r="I319" i="4"/>
  <c r="K319" i="4"/>
  <c r="I311" i="4"/>
  <c r="K311" i="4"/>
  <c r="I303" i="4"/>
  <c r="K303" i="4"/>
  <c r="I295" i="4"/>
  <c r="K295" i="4"/>
  <c r="I287" i="4"/>
  <c r="K287" i="4"/>
  <c r="I279" i="4"/>
  <c r="K279" i="4"/>
  <c r="I271" i="4"/>
  <c r="K271" i="4"/>
  <c r="I263" i="4"/>
  <c r="K263" i="4"/>
  <c r="I255" i="4"/>
  <c r="K255" i="4"/>
  <c r="I247" i="4"/>
  <c r="K247" i="4"/>
  <c r="I239" i="4"/>
  <c r="K239" i="4"/>
  <c r="I231" i="4"/>
  <c r="K231" i="4"/>
  <c r="I223" i="4"/>
  <c r="K223" i="4"/>
  <c r="I215" i="4"/>
  <c r="K215" i="4"/>
  <c r="I207" i="4"/>
  <c r="K207" i="4"/>
  <c r="I199" i="4"/>
  <c r="K199" i="4"/>
  <c r="I191" i="4"/>
  <c r="K191" i="4"/>
  <c r="I183" i="4"/>
  <c r="K183" i="4"/>
  <c r="I175" i="4"/>
  <c r="K175" i="4"/>
  <c r="I167" i="4"/>
  <c r="K167" i="4"/>
  <c r="I159" i="4"/>
  <c r="K159" i="4"/>
  <c r="I151" i="4"/>
  <c r="K151" i="4"/>
  <c r="I143" i="4"/>
  <c r="K143" i="4"/>
  <c r="I135" i="4"/>
  <c r="K135" i="4"/>
  <c r="I110" i="4"/>
  <c r="K110" i="4"/>
  <c r="I78" i="4"/>
  <c r="K78" i="4"/>
  <c r="I30" i="4"/>
  <c r="K30" i="4"/>
  <c r="I125" i="4"/>
  <c r="K125" i="4"/>
  <c r="I77" i="4"/>
  <c r="K77" i="4"/>
  <c r="I13" i="4"/>
  <c r="K13" i="4"/>
  <c r="I132" i="4"/>
  <c r="K132" i="4"/>
  <c r="I124" i="4"/>
  <c r="K124" i="4"/>
  <c r="I116" i="4"/>
  <c r="K116" i="4"/>
  <c r="I108" i="4"/>
  <c r="K108" i="4"/>
  <c r="I100" i="4"/>
  <c r="K100" i="4"/>
  <c r="I92" i="4"/>
  <c r="K92" i="4"/>
  <c r="I84" i="4"/>
  <c r="K84" i="4"/>
  <c r="I76" i="4"/>
  <c r="K76" i="4"/>
  <c r="I68" i="4"/>
  <c r="K68" i="4"/>
  <c r="I60" i="4"/>
  <c r="K60" i="4"/>
  <c r="I52" i="4"/>
  <c r="K52" i="4"/>
  <c r="I44" i="4"/>
  <c r="K44" i="4"/>
  <c r="I36" i="4"/>
  <c r="K36" i="4"/>
  <c r="I28" i="4"/>
  <c r="K28" i="4"/>
  <c r="I20" i="4"/>
  <c r="K20" i="4"/>
  <c r="I12" i="4"/>
  <c r="K12" i="4"/>
  <c r="I38" i="4"/>
  <c r="K38" i="4"/>
  <c r="I133" i="4"/>
  <c r="K133" i="4"/>
  <c r="I85" i="4"/>
  <c r="K85" i="4"/>
  <c r="I21" i="4"/>
  <c r="K21" i="4"/>
  <c r="I131" i="4"/>
  <c r="K131" i="4"/>
  <c r="I123" i="4"/>
  <c r="K123" i="4"/>
  <c r="I115" i="4"/>
  <c r="K115" i="4"/>
  <c r="I107" i="4"/>
  <c r="K107" i="4"/>
  <c r="I99" i="4"/>
  <c r="K99" i="4"/>
  <c r="I91" i="4"/>
  <c r="K91" i="4"/>
  <c r="I83" i="4"/>
  <c r="K83" i="4"/>
  <c r="I75" i="4"/>
  <c r="K75" i="4"/>
  <c r="I67" i="4"/>
  <c r="K67" i="4"/>
  <c r="I59" i="4"/>
  <c r="K59" i="4"/>
  <c r="I51" i="4"/>
  <c r="K51" i="4"/>
  <c r="I43" i="4"/>
  <c r="K43" i="4"/>
  <c r="I35" i="4"/>
  <c r="K35" i="4"/>
  <c r="I27" i="4"/>
  <c r="K27" i="4"/>
  <c r="I19" i="4"/>
  <c r="K19" i="4"/>
  <c r="I11" i="4"/>
  <c r="K11" i="4"/>
  <c r="I126" i="4"/>
  <c r="K126" i="4"/>
  <c r="I94" i="4"/>
  <c r="K94" i="4"/>
  <c r="I54" i="4"/>
  <c r="K54" i="4"/>
  <c r="I14" i="4"/>
  <c r="K14" i="4"/>
  <c r="I93" i="4"/>
  <c r="K93" i="4"/>
  <c r="I5" i="4"/>
  <c r="K5" i="4"/>
  <c r="I130" i="4"/>
  <c r="K130" i="4"/>
  <c r="I122" i="4"/>
  <c r="K122" i="4"/>
  <c r="I114" i="4"/>
  <c r="K114" i="4"/>
  <c r="I106" i="4"/>
  <c r="K106" i="4"/>
  <c r="I98" i="4"/>
  <c r="K98" i="4"/>
  <c r="I90" i="4"/>
  <c r="K90" i="4"/>
  <c r="I82" i="4"/>
  <c r="K82" i="4"/>
  <c r="I74" i="4"/>
  <c r="K74" i="4"/>
  <c r="I66" i="4"/>
  <c r="K66" i="4"/>
  <c r="I58" i="4"/>
  <c r="K58" i="4"/>
  <c r="I50" i="4"/>
  <c r="K50" i="4"/>
  <c r="I42" i="4"/>
  <c r="K42" i="4"/>
  <c r="I34" i="4"/>
  <c r="K34" i="4"/>
  <c r="I26" i="4"/>
  <c r="K26" i="4"/>
  <c r="I18" i="4"/>
  <c r="K18" i="4"/>
  <c r="I10" i="4"/>
  <c r="K10" i="4"/>
  <c r="I118" i="4"/>
  <c r="K118" i="4"/>
  <c r="I86" i="4"/>
  <c r="K86" i="4"/>
  <c r="I62" i="4"/>
  <c r="K62" i="4"/>
  <c r="I6" i="4"/>
  <c r="K6" i="4"/>
  <c r="I117" i="4"/>
  <c r="K117" i="4"/>
  <c r="I69" i="4"/>
  <c r="K69" i="4"/>
  <c r="I29" i="4"/>
  <c r="K29" i="4"/>
  <c r="I129" i="4"/>
  <c r="K129" i="4"/>
  <c r="I121" i="4"/>
  <c r="K121" i="4"/>
  <c r="I113" i="4"/>
  <c r="K113" i="4"/>
  <c r="I105" i="4"/>
  <c r="K105" i="4"/>
  <c r="I97" i="4"/>
  <c r="K97" i="4"/>
  <c r="I89" i="4"/>
  <c r="K89" i="4"/>
  <c r="I81" i="4"/>
  <c r="K81" i="4"/>
  <c r="I73" i="4"/>
  <c r="K73" i="4"/>
  <c r="I65" i="4"/>
  <c r="K65" i="4"/>
  <c r="I57" i="4"/>
  <c r="K57" i="4"/>
  <c r="I49" i="4"/>
  <c r="K49" i="4"/>
  <c r="I41" i="4"/>
  <c r="K41" i="4"/>
  <c r="I33" i="4"/>
  <c r="K33" i="4"/>
  <c r="I25" i="4"/>
  <c r="K25" i="4"/>
  <c r="I17" i="4"/>
  <c r="K17" i="4"/>
  <c r="I9" i="4"/>
  <c r="K9" i="4"/>
  <c r="I46" i="4"/>
  <c r="K46" i="4"/>
  <c r="I109" i="4"/>
  <c r="K109" i="4"/>
  <c r="I61" i="4"/>
  <c r="K61" i="4"/>
  <c r="I37" i="4"/>
  <c r="K37" i="4"/>
  <c r="I128" i="4"/>
  <c r="K128" i="4"/>
  <c r="I120" i="4"/>
  <c r="K120" i="4"/>
  <c r="I112" i="4"/>
  <c r="K112" i="4"/>
  <c r="I104" i="4"/>
  <c r="K104" i="4"/>
  <c r="I96" i="4"/>
  <c r="K96" i="4"/>
  <c r="I88" i="4"/>
  <c r="K88" i="4"/>
  <c r="I80" i="4"/>
  <c r="K80" i="4"/>
  <c r="I72" i="4"/>
  <c r="K72" i="4"/>
  <c r="I64" i="4"/>
  <c r="K64" i="4"/>
  <c r="I56" i="4"/>
  <c r="K56" i="4"/>
  <c r="I48" i="4"/>
  <c r="K48" i="4"/>
  <c r="I40" i="4"/>
  <c r="K40" i="4"/>
  <c r="I32" i="4"/>
  <c r="K32" i="4"/>
  <c r="I24" i="4"/>
  <c r="K24" i="4"/>
  <c r="I16" i="4"/>
  <c r="K16" i="4"/>
  <c r="I8" i="4"/>
  <c r="K8" i="4"/>
  <c r="I134" i="4"/>
  <c r="K134" i="4"/>
  <c r="I102" i="4"/>
  <c r="K102" i="4"/>
  <c r="I70" i="4"/>
  <c r="K70" i="4"/>
  <c r="I22" i="4"/>
  <c r="K22" i="4"/>
  <c r="I101" i="4"/>
  <c r="K101" i="4"/>
  <c r="I53" i="4"/>
  <c r="K53" i="4"/>
  <c r="I45" i="4"/>
  <c r="K45" i="4"/>
  <c r="I127" i="4"/>
  <c r="K127" i="4"/>
  <c r="I119" i="4"/>
  <c r="K119" i="4"/>
  <c r="I111" i="4"/>
  <c r="K111" i="4"/>
  <c r="I103" i="4"/>
  <c r="K103" i="4"/>
  <c r="I95" i="4"/>
  <c r="K95" i="4"/>
  <c r="I87" i="4"/>
  <c r="K87" i="4"/>
  <c r="I79" i="4"/>
  <c r="K79" i="4"/>
  <c r="I71" i="4"/>
  <c r="K71" i="4"/>
  <c r="I63" i="4"/>
  <c r="K63" i="4"/>
  <c r="I55" i="4"/>
  <c r="K55" i="4"/>
  <c r="I47" i="4"/>
  <c r="K47" i="4"/>
  <c r="I39" i="4"/>
  <c r="K39" i="4"/>
  <c r="I31" i="4"/>
  <c r="K31" i="4"/>
  <c r="I23" i="4"/>
  <c r="K23" i="4"/>
  <c r="I15" i="4"/>
  <c r="K15" i="4"/>
  <c r="I7" i="4"/>
  <c r="K7" i="4"/>
  <c r="O136" i="4" l="1"/>
  <c r="N136" i="4"/>
  <c r="M136" i="4"/>
  <c r="R136" i="4" s="1"/>
  <c r="P136" i="4"/>
  <c r="L136" i="4"/>
  <c r="Q136" i="4" s="1"/>
  <c r="L232" i="4"/>
  <c r="Q232" i="4" s="1"/>
  <c r="P232" i="4"/>
  <c r="M232" i="4"/>
  <c r="R232" i="4" s="1"/>
  <c r="N232" i="4"/>
  <c r="O232" i="4"/>
  <c r="O296" i="4"/>
  <c r="M296" i="4"/>
  <c r="R296" i="4" s="1"/>
  <c r="N296" i="4"/>
  <c r="P296" i="4"/>
  <c r="L296" i="4"/>
  <c r="Q296" i="4" s="1"/>
  <c r="L424" i="4"/>
  <c r="Q424" i="4" s="1"/>
  <c r="O424" i="4"/>
  <c r="N424" i="4"/>
  <c r="M424" i="4"/>
  <c r="R424" i="4" s="1"/>
  <c r="P424" i="4"/>
  <c r="L552" i="4"/>
  <c r="Q552" i="4" s="1"/>
  <c r="O552" i="4"/>
  <c r="P552" i="4"/>
  <c r="M552" i="4"/>
  <c r="R552" i="4" s="1"/>
  <c r="N552" i="4"/>
  <c r="N680" i="4"/>
  <c r="L680" i="4"/>
  <c r="Q680" i="4" s="1"/>
  <c r="M680" i="4"/>
  <c r="R680" i="4" s="1"/>
  <c r="P680" i="4"/>
  <c r="O680" i="4"/>
  <c r="L840" i="4"/>
  <c r="Q840" i="4" s="1"/>
  <c r="M840" i="4"/>
  <c r="R840" i="4" s="1"/>
  <c r="N840" i="4"/>
  <c r="P840" i="4"/>
  <c r="O840" i="4"/>
  <c r="L264" i="4"/>
  <c r="Q264" i="4" s="1"/>
  <c r="P264" i="4"/>
  <c r="O264" i="4"/>
  <c r="M264" i="4"/>
  <c r="R264" i="4" s="1"/>
  <c r="N264" i="4"/>
  <c r="O392" i="4"/>
  <c r="L392" i="4"/>
  <c r="Q392" i="4" s="1"/>
  <c r="N392" i="4"/>
  <c r="M392" i="4"/>
  <c r="R392" i="4" s="1"/>
  <c r="P392" i="4"/>
  <c r="N456" i="4"/>
  <c r="O456" i="4"/>
  <c r="P456" i="4"/>
  <c r="L456" i="4"/>
  <c r="Q456" i="4" s="1"/>
  <c r="M456" i="4"/>
  <c r="R456" i="4" s="1"/>
  <c r="P584" i="4"/>
  <c r="L584" i="4"/>
  <c r="Q584" i="4" s="1"/>
  <c r="M584" i="4"/>
  <c r="R584" i="4" s="1"/>
  <c r="O584" i="4"/>
  <c r="N584" i="4"/>
  <c r="L712" i="4"/>
  <c r="Q712" i="4" s="1"/>
  <c r="P712" i="4"/>
  <c r="N712" i="4"/>
  <c r="O712" i="4"/>
  <c r="M712" i="4"/>
  <c r="R712" i="4" s="1"/>
  <c r="M872" i="4"/>
  <c r="R872" i="4" s="1"/>
  <c r="O872" i="4"/>
  <c r="P872" i="4"/>
  <c r="L872" i="4"/>
  <c r="Q872" i="4" s="1"/>
  <c r="N872" i="4"/>
  <c r="P168" i="4"/>
  <c r="L168" i="4"/>
  <c r="Q168" i="4" s="1"/>
  <c r="M168" i="4"/>
  <c r="R168" i="4" s="1"/>
  <c r="N168" i="4"/>
  <c r="O168" i="4"/>
  <c r="O360" i="4"/>
  <c r="N360" i="4"/>
  <c r="P360" i="4"/>
  <c r="L360" i="4"/>
  <c r="Q360" i="4" s="1"/>
  <c r="M360" i="4"/>
  <c r="R360" i="4" s="1"/>
  <c r="P520" i="4"/>
  <c r="L520" i="4"/>
  <c r="Q520" i="4" s="1"/>
  <c r="M520" i="4"/>
  <c r="R520" i="4" s="1"/>
  <c r="O520" i="4"/>
  <c r="N520" i="4"/>
  <c r="N648" i="4"/>
  <c r="P648" i="4"/>
  <c r="O648" i="4"/>
  <c r="M648" i="4"/>
  <c r="R648" i="4" s="1"/>
  <c r="L648" i="4"/>
  <c r="Q648" i="4" s="1"/>
  <c r="P744" i="4"/>
  <c r="N744" i="4"/>
  <c r="L744" i="4"/>
  <c r="Q744" i="4" s="1"/>
  <c r="O744" i="4"/>
  <c r="M744" i="4"/>
  <c r="R744" i="4" s="1"/>
  <c r="M808" i="4"/>
  <c r="R808" i="4" s="1"/>
  <c r="L808" i="4"/>
  <c r="Q808" i="4" s="1"/>
  <c r="N808" i="4"/>
  <c r="P808" i="4"/>
  <c r="O808" i="4"/>
  <c r="L152" i="4"/>
  <c r="Q152" i="4" s="1"/>
  <c r="N152" i="4"/>
  <c r="O152" i="4"/>
  <c r="P152" i="4"/>
  <c r="M152" i="4"/>
  <c r="R152" i="4" s="1"/>
  <c r="L248" i="4"/>
  <c r="Q248" i="4" s="1"/>
  <c r="O248" i="4"/>
  <c r="M248" i="4"/>
  <c r="R248" i="4" s="1"/>
  <c r="P248" i="4"/>
  <c r="N248" i="4"/>
  <c r="L344" i="4"/>
  <c r="Q344" i="4" s="1"/>
  <c r="O344" i="4"/>
  <c r="P344" i="4"/>
  <c r="N344" i="4"/>
  <c r="M344" i="4"/>
  <c r="R344" i="4" s="1"/>
  <c r="O440" i="4"/>
  <c r="P440" i="4"/>
  <c r="L440" i="4"/>
  <c r="Q440" i="4" s="1"/>
  <c r="M440" i="4"/>
  <c r="R440" i="4" s="1"/>
  <c r="N440" i="4"/>
  <c r="P504" i="4"/>
  <c r="L504" i="4"/>
  <c r="Q504" i="4" s="1"/>
  <c r="N504" i="4"/>
  <c r="O504" i="4"/>
  <c r="M504" i="4"/>
  <c r="R504" i="4" s="1"/>
  <c r="L600" i="4"/>
  <c r="Q600" i="4" s="1"/>
  <c r="O600" i="4"/>
  <c r="N600" i="4"/>
  <c r="M600" i="4"/>
  <c r="R600" i="4" s="1"/>
  <c r="P600" i="4"/>
  <c r="M696" i="4"/>
  <c r="R696" i="4" s="1"/>
  <c r="N696" i="4"/>
  <c r="P696" i="4"/>
  <c r="O696" i="4"/>
  <c r="L696" i="4"/>
  <c r="Q696" i="4" s="1"/>
  <c r="M792" i="4"/>
  <c r="R792" i="4" s="1"/>
  <c r="L792" i="4"/>
  <c r="Q792" i="4" s="1"/>
  <c r="O792" i="4"/>
  <c r="N792" i="4"/>
  <c r="P792" i="4"/>
  <c r="P856" i="4"/>
  <c r="L856" i="4"/>
  <c r="Q856" i="4" s="1"/>
  <c r="M856" i="4"/>
  <c r="R856" i="4" s="1"/>
  <c r="N856" i="4"/>
  <c r="O856" i="4"/>
  <c r="P184" i="4"/>
  <c r="O184" i="4"/>
  <c r="L184" i="4"/>
  <c r="Q184" i="4" s="1"/>
  <c r="N184" i="4"/>
  <c r="M184" i="4"/>
  <c r="R184" i="4" s="1"/>
  <c r="L280" i="4"/>
  <c r="Q280" i="4" s="1"/>
  <c r="P280" i="4"/>
  <c r="N280" i="4"/>
  <c r="O280" i="4"/>
  <c r="M280" i="4"/>
  <c r="R280" i="4" s="1"/>
  <c r="O376" i="4"/>
  <c r="N376" i="4"/>
  <c r="P376" i="4"/>
  <c r="L376" i="4"/>
  <c r="Q376" i="4" s="1"/>
  <c r="M376" i="4"/>
  <c r="R376" i="4" s="1"/>
  <c r="M472" i="4"/>
  <c r="R472" i="4" s="1"/>
  <c r="O472" i="4"/>
  <c r="N472" i="4"/>
  <c r="P472" i="4"/>
  <c r="L472" i="4"/>
  <c r="Q472" i="4" s="1"/>
  <c r="P568" i="4"/>
  <c r="M568" i="4"/>
  <c r="R568" i="4" s="1"/>
  <c r="L568" i="4"/>
  <c r="Q568" i="4" s="1"/>
  <c r="O568" i="4"/>
  <c r="N568" i="4"/>
  <c r="P664" i="4"/>
  <c r="M664" i="4"/>
  <c r="R664" i="4" s="1"/>
  <c r="O664" i="4"/>
  <c r="N664" i="4"/>
  <c r="L664" i="4"/>
  <c r="Q664" i="4" s="1"/>
  <c r="O760" i="4"/>
  <c r="L760" i="4"/>
  <c r="Q760" i="4" s="1"/>
  <c r="M760" i="4"/>
  <c r="R760" i="4" s="1"/>
  <c r="N760" i="4"/>
  <c r="P760" i="4"/>
  <c r="N888" i="4"/>
  <c r="P888" i="4"/>
  <c r="M888" i="4"/>
  <c r="R888" i="4" s="1"/>
  <c r="L888" i="4"/>
  <c r="Q888" i="4" s="1"/>
  <c r="O888" i="4"/>
  <c r="L216" i="4"/>
  <c r="Q216" i="4" s="1"/>
  <c r="O216" i="4"/>
  <c r="P216" i="4"/>
  <c r="N216" i="4"/>
  <c r="M216" i="4"/>
  <c r="R216" i="4" s="1"/>
  <c r="L312" i="4"/>
  <c r="Q312" i="4" s="1"/>
  <c r="O312" i="4"/>
  <c r="N312" i="4"/>
  <c r="P312" i="4"/>
  <c r="M312" i="4"/>
  <c r="R312" i="4" s="1"/>
  <c r="O408" i="4"/>
  <c r="L408" i="4"/>
  <c r="Q408" i="4" s="1"/>
  <c r="N408" i="4"/>
  <c r="P408" i="4"/>
  <c r="M408" i="4"/>
  <c r="R408" i="4" s="1"/>
  <c r="P536" i="4"/>
  <c r="M536" i="4"/>
  <c r="R536" i="4" s="1"/>
  <c r="L536" i="4"/>
  <c r="Q536" i="4" s="1"/>
  <c r="O536" i="4"/>
  <c r="N536" i="4"/>
  <c r="P632" i="4"/>
  <c r="M632" i="4"/>
  <c r="R632" i="4" s="1"/>
  <c r="N632" i="4"/>
  <c r="O632" i="4"/>
  <c r="L632" i="4"/>
  <c r="Q632" i="4" s="1"/>
  <c r="O728" i="4"/>
  <c r="L728" i="4"/>
  <c r="Q728" i="4" s="1"/>
  <c r="P728" i="4"/>
  <c r="M728" i="4"/>
  <c r="R728" i="4" s="1"/>
  <c r="N728" i="4"/>
  <c r="L824" i="4"/>
  <c r="Q824" i="4" s="1"/>
  <c r="M824" i="4"/>
  <c r="R824" i="4" s="1"/>
  <c r="O824" i="4"/>
  <c r="N824" i="4"/>
  <c r="P824" i="4"/>
  <c r="M151" i="4"/>
  <c r="R151" i="4" s="1"/>
  <c r="O151" i="4"/>
  <c r="P151" i="4"/>
  <c r="L151" i="4"/>
  <c r="Q151" i="4" s="1"/>
  <c r="N151" i="4"/>
  <c r="O200" i="4"/>
  <c r="P200" i="4"/>
  <c r="L200" i="4"/>
  <c r="Q200" i="4" s="1"/>
  <c r="N200" i="4"/>
  <c r="M200" i="4"/>
  <c r="R200" i="4" s="1"/>
  <c r="L328" i="4"/>
  <c r="Q328" i="4" s="1"/>
  <c r="P328" i="4"/>
  <c r="N328" i="4"/>
  <c r="M328" i="4"/>
  <c r="R328" i="4" s="1"/>
  <c r="O328" i="4"/>
  <c r="N488" i="4"/>
  <c r="O488" i="4"/>
  <c r="M488" i="4"/>
  <c r="R488" i="4" s="1"/>
  <c r="P488" i="4"/>
  <c r="L488" i="4"/>
  <c r="Q488" i="4" s="1"/>
  <c r="P616" i="4"/>
  <c r="M616" i="4"/>
  <c r="R616" i="4" s="1"/>
  <c r="N616" i="4"/>
  <c r="L616" i="4"/>
  <c r="Q616" i="4" s="1"/>
  <c r="O616" i="4"/>
  <c r="M776" i="4"/>
  <c r="R776" i="4" s="1"/>
  <c r="L776" i="4"/>
  <c r="Q776" i="4" s="1"/>
  <c r="O776" i="4"/>
  <c r="N776" i="4"/>
  <c r="P776" i="4"/>
  <c r="M904" i="4"/>
  <c r="R904" i="4" s="1"/>
  <c r="O904" i="4"/>
  <c r="N904" i="4"/>
  <c r="P904" i="4"/>
  <c r="L904" i="4"/>
  <c r="Q904" i="4" s="1"/>
  <c r="M183" i="4"/>
  <c r="R183" i="4" s="1"/>
  <c r="P183" i="4"/>
  <c r="L183" i="4"/>
  <c r="Q183" i="4" s="1"/>
  <c r="N183" i="4"/>
  <c r="O183" i="4"/>
  <c r="M215" i="4"/>
  <c r="R215" i="4" s="1"/>
  <c r="P215" i="4"/>
  <c r="L215" i="4"/>
  <c r="Q215" i="4" s="1"/>
  <c r="N215" i="4"/>
  <c r="O215" i="4"/>
  <c r="L247" i="4"/>
  <c r="Q247" i="4" s="1"/>
  <c r="P247" i="4"/>
  <c r="N247" i="4"/>
  <c r="O247" i="4"/>
  <c r="M247" i="4"/>
  <c r="R247" i="4" s="1"/>
  <c r="N279" i="4"/>
  <c r="L279" i="4"/>
  <c r="Q279" i="4" s="1"/>
  <c r="O279" i="4"/>
  <c r="M279" i="4"/>
  <c r="R279" i="4" s="1"/>
  <c r="P279" i="4"/>
  <c r="P311" i="4"/>
  <c r="L311" i="4"/>
  <c r="Q311" i="4" s="1"/>
  <c r="N311" i="4"/>
  <c r="O311" i="4"/>
  <c r="M311" i="4"/>
  <c r="R311" i="4" s="1"/>
  <c r="M343" i="4"/>
  <c r="R343" i="4" s="1"/>
  <c r="N343" i="4"/>
  <c r="O343" i="4"/>
  <c r="L343" i="4"/>
  <c r="Q343" i="4" s="1"/>
  <c r="P343" i="4"/>
  <c r="M375" i="4"/>
  <c r="R375" i="4" s="1"/>
  <c r="P375" i="4"/>
  <c r="O375" i="4"/>
  <c r="N375" i="4"/>
  <c r="L375" i="4"/>
  <c r="Q375" i="4" s="1"/>
  <c r="N407" i="4"/>
  <c r="P407" i="4"/>
  <c r="M407" i="4"/>
  <c r="R407" i="4" s="1"/>
  <c r="O407" i="4"/>
  <c r="L407" i="4"/>
  <c r="Q407" i="4" s="1"/>
  <c r="O439" i="4"/>
  <c r="M439" i="4"/>
  <c r="R439" i="4" s="1"/>
  <c r="N439" i="4"/>
  <c r="P439" i="4"/>
  <c r="L439" i="4"/>
  <c r="Q439" i="4" s="1"/>
  <c r="M471" i="4"/>
  <c r="R471" i="4" s="1"/>
  <c r="O471" i="4"/>
  <c r="L471" i="4"/>
  <c r="Q471" i="4" s="1"/>
  <c r="N471" i="4"/>
  <c r="P471" i="4"/>
  <c r="L503" i="4"/>
  <c r="Q503" i="4" s="1"/>
  <c r="N503" i="4"/>
  <c r="P503" i="4"/>
  <c r="O503" i="4"/>
  <c r="M503" i="4"/>
  <c r="R503" i="4" s="1"/>
  <c r="M535" i="4"/>
  <c r="R535" i="4" s="1"/>
  <c r="O535" i="4"/>
  <c r="N535" i="4"/>
  <c r="L535" i="4"/>
  <c r="Q535" i="4" s="1"/>
  <c r="P535" i="4"/>
  <c r="N567" i="4"/>
  <c r="P567" i="4"/>
  <c r="O567" i="4"/>
  <c r="M567" i="4"/>
  <c r="R567" i="4" s="1"/>
  <c r="L567" i="4"/>
  <c r="Q567" i="4" s="1"/>
  <c r="M599" i="4"/>
  <c r="R599" i="4" s="1"/>
  <c r="L599" i="4"/>
  <c r="Q599" i="4" s="1"/>
  <c r="P599" i="4"/>
  <c r="N599" i="4"/>
  <c r="O599" i="4"/>
  <c r="N631" i="4"/>
  <c r="O631" i="4"/>
  <c r="L631" i="4"/>
  <c r="Q631" i="4" s="1"/>
  <c r="P631" i="4"/>
  <c r="M631" i="4"/>
  <c r="R631" i="4" s="1"/>
  <c r="P663" i="4"/>
  <c r="L663" i="4"/>
  <c r="Q663" i="4" s="1"/>
  <c r="N663" i="4"/>
  <c r="O663" i="4"/>
  <c r="M663" i="4"/>
  <c r="R663" i="4" s="1"/>
  <c r="M695" i="4"/>
  <c r="R695" i="4" s="1"/>
  <c r="O695" i="4"/>
  <c r="L695" i="4"/>
  <c r="Q695" i="4" s="1"/>
  <c r="P695" i="4"/>
  <c r="N695" i="4"/>
  <c r="M159" i="4"/>
  <c r="R159" i="4" s="1"/>
  <c r="N159" i="4"/>
  <c r="O159" i="4"/>
  <c r="P159" i="4"/>
  <c r="L159" i="4"/>
  <c r="Q159" i="4" s="1"/>
  <c r="L223" i="4"/>
  <c r="Q223" i="4" s="1"/>
  <c r="N223" i="4"/>
  <c r="P223" i="4"/>
  <c r="M223" i="4"/>
  <c r="R223" i="4" s="1"/>
  <c r="O223" i="4"/>
  <c r="L287" i="4"/>
  <c r="Q287" i="4" s="1"/>
  <c r="N287" i="4"/>
  <c r="P287" i="4"/>
  <c r="O287" i="4"/>
  <c r="M287" i="4"/>
  <c r="R287" i="4" s="1"/>
  <c r="M351" i="4"/>
  <c r="R351" i="4" s="1"/>
  <c r="N351" i="4"/>
  <c r="L351" i="4"/>
  <c r="Q351" i="4" s="1"/>
  <c r="P351" i="4"/>
  <c r="O351" i="4"/>
  <c r="M383" i="4"/>
  <c r="R383" i="4" s="1"/>
  <c r="O383" i="4"/>
  <c r="P383" i="4"/>
  <c r="N383" i="4"/>
  <c r="L383" i="4"/>
  <c r="Q383" i="4" s="1"/>
  <c r="N415" i="4"/>
  <c r="M415" i="4"/>
  <c r="R415" i="4" s="1"/>
  <c r="L415" i="4"/>
  <c r="Q415" i="4" s="1"/>
  <c r="O415" i="4"/>
  <c r="P415" i="4"/>
  <c r="N447" i="4"/>
  <c r="L447" i="4"/>
  <c r="Q447" i="4" s="1"/>
  <c r="P447" i="4"/>
  <c r="O447" i="4"/>
  <c r="M447" i="4"/>
  <c r="R447" i="4" s="1"/>
  <c r="N511" i="4"/>
  <c r="O511" i="4"/>
  <c r="P511" i="4"/>
  <c r="L511" i="4"/>
  <c r="Q511" i="4" s="1"/>
  <c r="M511" i="4"/>
  <c r="R511" i="4" s="1"/>
  <c r="O543" i="4"/>
  <c r="N543" i="4"/>
  <c r="P543" i="4"/>
  <c r="L543" i="4"/>
  <c r="Q543" i="4" s="1"/>
  <c r="M543" i="4"/>
  <c r="R543" i="4" s="1"/>
  <c r="O575" i="4"/>
  <c r="L575" i="4"/>
  <c r="Q575" i="4" s="1"/>
  <c r="N575" i="4"/>
  <c r="P575" i="4"/>
  <c r="M575" i="4"/>
  <c r="R575" i="4" s="1"/>
  <c r="O607" i="4"/>
  <c r="L607" i="4"/>
  <c r="Q607" i="4" s="1"/>
  <c r="M607" i="4"/>
  <c r="R607" i="4" s="1"/>
  <c r="P607" i="4"/>
  <c r="N607" i="4"/>
  <c r="N639" i="4"/>
  <c r="L639" i="4"/>
  <c r="Q639" i="4" s="1"/>
  <c r="O639" i="4"/>
  <c r="M639" i="4"/>
  <c r="R639" i="4" s="1"/>
  <c r="P639" i="4"/>
  <c r="N671" i="4"/>
  <c r="L671" i="4"/>
  <c r="Q671" i="4" s="1"/>
  <c r="O671" i="4"/>
  <c r="M671" i="4"/>
  <c r="R671" i="4" s="1"/>
  <c r="P671" i="4"/>
  <c r="M703" i="4"/>
  <c r="R703" i="4" s="1"/>
  <c r="O703" i="4"/>
  <c r="P703" i="4"/>
  <c r="L703" i="4"/>
  <c r="Q703" i="4" s="1"/>
  <c r="N703" i="4"/>
  <c r="L735" i="4"/>
  <c r="Q735" i="4" s="1"/>
  <c r="O735" i="4"/>
  <c r="M735" i="4"/>
  <c r="R735" i="4" s="1"/>
  <c r="N735" i="4"/>
  <c r="P735" i="4"/>
  <c r="N767" i="4"/>
  <c r="P767" i="4"/>
  <c r="L767" i="4"/>
  <c r="Q767" i="4" s="1"/>
  <c r="M767" i="4"/>
  <c r="R767" i="4" s="1"/>
  <c r="O767" i="4"/>
  <c r="O799" i="4"/>
  <c r="M799" i="4"/>
  <c r="R799" i="4" s="1"/>
  <c r="P799" i="4"/>
  <c r="L799" i="4"/>
  <c r="Q799" i="4" s="1"/>
  <c r="N799" i="4"/>
  <c r="O831" i="4"/>
  <c r="M831" i="4"/>
  <c r="R831" i="4" s="1"/>
  <c r="P831" i="4"/>
  <c r="N831" i="4"/>
  <c r="L831" i="4"/>
  <c r="Q831" i="4" s="1"/>
  <c r="N863" i="4"/>
  <c r="L863" i="4"/>
  <c r="Q863" i="4" s="1"/>
  <c r="O863" i="4"/>
  <c r="P863" i="4"/>
  <c r="M863" i="4"/>
  <c r="R863" i="4" s="1"/>
  <c r="N895" i="4"/>
  <c r="O895" i="4"/>
  <c r="L895" i="4"/>
  <c r="Q895" i="4" s="1"/>
  <c r="M895" i="4"/>
  <c r="R895" i="4" s="1"/>
  <c r="P895" i="4"/>
  <c r="N153" i="4"/>
  <c r="L153" i="4"/>
  <c r="Q153" i="4" s="1"/>
  <c r="P153" i="4"/>
  <c r="O153" i="4"/>
  <c r="M153" i="4"/>
  <c r="R153" i="4" s="1"/>
  <c r="L185" i="4"/>
  <c r="Q185" i="4" s="1"/>
  <c r="P185" i="4"/>
  <c r="M185" i="4"/>
  <c r="R185" i="4" s="1"/>
  <c r="N185" i="4"/>
  <c r="O185" i="4"/>
  <c r="P217" i="4"/>
  <c r="M217" i="4"/>
  <c r="R217" i="4" s="1"/>
  <c r="N217" i="4"/>
  <c r="O217" i="4"/>
  <c r="L217" i="4"/>
  <c r="Q217" i="4" s="1"/>
  <c r="P249" i="4"/>
  <c r="N249" i="4"/>
  <c r="O249" i="4"/>
  <c r="M249" i="4"/>
  <c r="R249" i="4" s="1"/>
  <c r="L249" i="4"/>
  <c r="Q249" i="4" s="1"/>
  <c r="N281" i="4"/>
  <c r="M281" i="4"/>
  <c r="R281" i="4" s="1"/>
  <c r="O281" i="4"/>
  <c r="L281" i="4"/>
  <c r="Q281" i="4" s="1"/>
  <c r="P281" i="4"/>
  <c r="M313" i="4"/>
  <c r="R313" i="4" s="1"/>
  <c r="N313" i="4"/>
  <c r="O313" i="4"/>
  <c r="P313" i="4"/>
  <c r="L313" i="4"/>
  <c r="Q313" i="4" s="1"/>
  <c r="N345" i="4"/>
  <c r="L345" i="4"/>
  <c r="Q345" i="4" s="1"/>
  <c r="M345" i="4"/>
  <c r="R345" i="4" s="1"/>
  <c r="O345" i="4"/>
  <c r="P345" i="4"/>
  <c r="N377" i="4"/>
  <c r="L377" i="4"/>
  <c r="Q377" i="4" s="1"/>
  <c r="O377" i="4"/>
  <c r="M377" i="4"/>
  <c r="R377" i="4" s="1"/>
  <c r="P377" i="4"/>
  <c r="N409" i="4"/>
  <c r="O409" i="4"/>
  <c r="L409" i="4"/>
  <c r="Q409" i="4" s="1"/>
  <c r="M409" i="4"/>
  <c r="R409" i="4" s="1"/>
  <c r="P409" i="4"/>
  <c r="M441" i="4"/>
  <c r="R441" i="4" s="1"/>
  <c r="P441" i="4"/>
  <c r="N441" i="4"/>
  <c r="L441" i="4"/>
  <c r="Q441" i="4" s="1"/>
  <c r="O441" i="4"/>
  <c r="O473" i="4"/>
  <c r="M473" i="4"/>
  <c r="R473" i="4" s="1"/>
  <c r="P473" i="4"/>
  <c r="L473" i="4"/>
  <c r="Q473" i="4" s="1"/>
  <c r="N473" i="4"/>
  <c r="L505" i="4"/>
  <c r="Q505" i="4" s="1"/>
  <c r="O505" i="4"/>
  <c r="M505" i="4"/>
  <c r="R505" i="4" s="1"/>
  <c r="N505" i="4"/>
  <c r="P505" i="4"/>
  <c r="P537" i="4"/>
  <c r="M537" i="4"/>
  <c r="R537" i="4" s="1"/>
  <c r="L537" i="4"/>
  <c r="Q537" i="4" s="1"/>
  <c r="O537" i="4"/>
  <c r="N537" i="4"/>
  <c r="P569" i="4"/>
  <c r="M569" i="4"/>
  <c r="R569" i="4" s="1"/>
  <c r="O569" i="4"/>
  <c r="N569" i="4"/>
  <c r="L569" i="4"/>
  <c r="Q569" i="4" s="1"/>
  <c r="M601" i="4"/>
  <c r="R601" i="4" s="1"/>
  <c r="O601" i="4"/>
  <c r="L601" i="4"/>
  <c r="Q601" i="4" s="1"/>
  <c r="N601" i="4"/>
  <c r="P601" i="4"/>
  <c r="O633" i="4"/>
  <c r="M633" i="4"/>
  <c r="R633" i="4" s="1"/>
  <c r="L633" i="4"/>
  <c r="Q633" i="4" s="1"/>
  <c r="P633" i="4"/>
  <c r="N633" i="4"/>
  <c r="O665" i="4"/>
  <c r="L665" i="4"/>
  <c r="Q665" i="4" s="1"/>
  <c r="N665" i="4"/>
  <c r="M665" i="4"/>
  <c r="R665" i="4" s="1"/>
  <c r="P665" i="4"/>
  <c r="N697" i="4"/>
  <c r="O697" i="4"/>
  <c r="M697" i="4"/>
  <c r="R697" i="4" s="1"/>
  <c r="P697" i="4"/>
  <c r="L697" i="4"/>
  <c r="Q697" i="4" s="1"/>
  <c r="N729" i="4"/>
  <c r="L729" i="4"/>
  <c r="Q729" i="4" s="1"/>
  <c r="O729" i="4"/>
  <c r="M729" i="4"/>
  <c r="R729" i="4" s="1"/>
  <c r="P729" i="4"/>
  <c r="N761" i="4"/>
  <c r="O761" i="4"/>
  <c r="L761" i="4"/>
  <c r="Q761" i="4" s="1"/>
  <c r="P761" i="4"/>
  <c r="M761" i="4"/>
  <c r="R761" i="4" s="1"/>
  <c r="P793" i="4"/>
  <c r="M793" i="4"/>
  <c r="R793" i="4" s="1"/>
  <c r="N793" i="4"/>
  <c r="O793" i="4"/>
  <c r="L793" i="4"/>
  <c r="Q793" i="4" s="1"/>
  <c r="P825" i="4"/>
  <c r="M825" i="4"/>
  <c r="R825" i="4" s="1"/>
  <c r="O825" i="4"/>
  <c r="L825" i="4"/>
  <c r="Q825" i="4" s="1"/>
  <c r="N825" i="4"/>
  <c r="M857" i="4"/>
  <c r="R857" i="4" s="1"/>
  <c r="L857" i="4"/>
  <c r="Q857" i="4" s="1"/>
  <c r="P857" i="4"/>
  <c r="N857" i="4"/>
  <c r="O857" i="4"/>
  <c r="L889" i="4"/>
  <c r="Q889" i="4" s="1"/>
  <c r="P889" i="4"/>
  <c r="M889" i="4"/>
  <c r="R889" i="4" s="1"/>
  <c r="N889" i="4"/>
  <c r="O889" i="4"/>
  <c r="M162" i="4"/>
  <c r="R162" i="4" s="1"/>
  <c r="P162" i="4"/>
  <c r="L162" i="4"/>
  <c r="Q162" i="4" s="1"/>
  <c r="O162" i="4"/>
  <c r="N162" i="4"/>
  <c r="M194" i="4"/>
  <c r="R194" i="4" s="1"/>
  <c r="N194" i="4"/>
  <c r="O194" i="4"/>
  <c r="P194" i="4"/>
  <c r="L194" i="4"/>
  <c r="Q194" i="4" s="1"/>
  <c r="L226" i="4"/>
  <c r="Q226" i="4" s="1"/>
  <c r="O226" i="4"/>
  <c r="M226" i="4"/>
  <c r="R226" i="4" s="1"/>
  <c r="P226" i="4"/>
  <c r="N226" i="4"/>
  <c r="N258" i="4"/>
  <c r="M258" i="4"/>
  <c r="R258" i="4" s="1"/>
  <c r="O258" i="4"/>
  <c r="P258" i="4"/>
  <c r="L258" i="4"/>
  <c r="Q258" i="4" s="1"/>
  <c r="M290" i="4"/>
  <c r="R290" i="4" s="1"/>
  <c r="N290" i="4"/>
  <c r="L290" i="4"/>
  <c r="Q290" i="4" s="1"/>
  <c r="O290" i="4"/>
  <c r="P290" i="4"/>
  <c r="L322" i="4"/>
  <c r="Q322" i="4" s="1"/>
  <c r="P322" i="4"/>
  <c r="O322" i="4"/>
  <c r="M322" i="4"/>
  <c r="R322" i="4" s="1"/>
  <c r="N322" i="4"/>
  <c r="M354" i="4"/>
  <c r="R354" i="4" s="1"/>
  <c r="N354" i="4"/>
  <c r="O354" i="4"/>
  <c r="P354" i="4"/>
  <c r="L354" i="4"/>
  <c r="Q354" i="4" s="1"/>
  <c r="N386" i="4"/>
  <c r="L386" i="4"/>
  <c r="Q386" i="4" s="1"/>
  <c r="M386" i="4"/>
  <c r="R386" i="4" s="1"/>
  <c r="P386" i="4"/>
  <c r="O386" i="4"/>
  <c r="O418" i="4"/>
  <c r="M418" i="4"/>
  <c r="R418" i="4" s="1"/>
  <c r="N418" i="4"/>
  <c r="L418" i="4"/>
  <c r="Q418" i="4" s="1"/>
  <c r="P418" i="4"/>
  <c r="O450" i="4"/>
  <c r="L450" i="4"/>
  <c r="Q450" i="4" s="1"/>
  <c r="M450" i="4"/>
  <c r="R450" i="4" s="1"/>
  <c r="P450" i="4"/>
  <c r="N450" i="4"/>
  <c r="O482" i="4"/>
  <c r="M482" i="4"/>
  <c r="R482" i="4" s="1"/>
  <c r="L482" i="4"/>
  <c r="Q482" i="4" s="1"/>
  <c r="N482" i="4"/>
  <c r="P482" i="4"/>
  <c r="P514" i="4"/>
  <c r="O514" i="4"/>
  <c r="L514" i="4"/>
  <c r="Q514" i="4" s="1"/>
  <c r="M514" i="4"/>
  <c r="R514" i="4" s="1"/>
  <c r="N514" i="4"/>
  <c r="L546" i="4"/>
  <c r="Q546" i="4" s="1"/>
  <c r="O546" i="4"/>
  <c r="P546" i="4"/>
  <c r="M546" i="4"/>
  <c r="R546" i="4" s="1"/>
  <c r="N546" i="4"/>
  <c r="L578" i="4"/>
  <c r="Q578" i="4" s="1"/>
  <c r="O578" i="4"/>
  <c r="P578" i="4"/>
  <c r="M578" i="4"/>
  <c r="R578" i="4" s="1"/>
  <c r="N578" i="4"/>
  <c r="L610" i="4"/>
  <c r="Q610" i="4" s="1"/>
  <c r="N610" i="4"/>
  <c r="M610" i="4"/>
  <c r="R610" i="4" s="1"/>
  <c r="P610" i="4"/>
  <c r="O610" i="4"/>
  <c r="L642" i="4"/>
  <c r="Q642" i="4" s="1"/>
  <c r="O642" i="4"/>
  <c r="M642" i="4"/>
  <c r="R642" i="4" s="1"/>
  <c r="N642" i="4"/>
  <c r="P642" i="4"/>
  <c r="L674" i="4"/>
  <c r="Q674" i="4" s="1"/>
  <c r="O674" i="4"/>
  <c r="M674" i="4"/>
  <c r="R674" i="4" s="1"/>
  <c r="N674" i="4"/>
  <c r="P674" i="4"/>
  <c r="L706" i="4"/>
  <c r="Q706" i="4" s="1"/>
  <c r="M706" i="4"/>
  <c r="R706" i="4" s="1"/>
  <c r="O706" i="4"/>
  <c r="P706" i="4"/>
  <c r="N706" i="4"/>
  <c r="P738" i="4"/>
  <c r="M738" i="4"/>
  <c r="R738" i="4" s="1"/>
  <c r="O738" i="4"/>
  <c r="N738" i="4"/>
  <c r="L738" i="4"/>
  <c r="Q738" i="4" s="1"/>
  <c r="M770" i="4"/>
  <c r="R770" i="4" s="1"/>
  <c r="O770" i="4"/>
  <c r="L770" i="4"/>
  <c r="Q770" i="4" s="1"/>
  <c r="P770" i="4"/>
  <c r="N770" i="4"/>
  <c r="L802" i="4"/>
  <c r="Q802" i="4" s="1"/>
  <c r="M802" i="4"/>
  <c r="R802" i="4" s="1"/>
  <c r="P802" i="4"/>
  <c r="N802" i="4"/>
  <c r="O802" i="4"/>
  <c r="L834" i="4"/>
  <c r="Q834" i="4" s="1"/>
  <c r="M834" i="4"/>
  <c r="R834" i="4" s="1"/>
  <c r="P834" i="4"/>
  <c r="O834" i="4"/>
  <c r="N834" i="4"/>
  <c r="L866" i="4"/>
  <c r="Q866" i="4" s="1"/>
  <c r="O866" i="4"/>
  <c r="M866" i="4"/>
  <c r="R866" i="4" s="1"/>
  <c r="P866" i="4"/>
  <c r="N866" i="4"/>
  <c r="L898" i="4"/>
  <c r="Q898" i="4" s="1"/>
  <c r="O898" i="4"/>
  <c r="M898" i="4"/>
  <c r="R898" i="4" s="1"/>
  <c r="N898" i="4"/>
  <c r="P898" i="4"/>
  <c r="N165" i="4"/>
  <c r="M165" i="4"/>
  <c r="R165" i="4" s="1"/>
  <c r="O165" i="4"/>
  <c r="L165" i="4"/>
  <c r="Q165" i="4" s="1"/>
  <c r="P165" i="4"/>
  <c r="M197" i="4"/>
  <c r="R197" i="4" s="1"/>
  <c r="P197" i="4"/>
  <c r="L197" i="4"/>
  <c r="Q197" i="4" s="1"/>
  <c r="N197" i="4"/>
  <c r="O197" i="4"/>
  <c r="M229" i="4"/>
  <c r="R229" i="4" s="1"/>
  <c r="L229" i="4"/>
  <c r="Q229" i="4" s="1"/>
  <c r="P229" i="4"/>
  <c r="N229" i="4"/>
  <c r="O229" i="4"/>
  <c r="P261" i="4"/>
  <c r="N261" i="4"/>
  <c r="O261" i="4"/>
  <c r="M261" i="4"/>
  <c r="R261" i="4" s="1"/>
  <c r="L261" i="4"/>
  <c r="Q261" i="4" s="1"/>
  <c r="N293" i="4"/>
  <c r="L293" i="4"/>
  <c r="Q293" i="4" s="1"/>
  <c r="O293" i="4"/>
  <c r="M293" i="4"/>
  <c r="R293" i="4" s="1"/>
  <c r="P293" i="4"/>
  <c r="N325" i="4"/>
  <c r="P325" i="4"/>
  <c r="O325" i="4"/>
  <c r="M325" i="4"/>
  <c r="R325" i="4" s="1"/>
  <c r="L325" i="4"/>
  <c r="Q325" i="4" s="1"/>
  <c r="L357" i="4"/>
  <c r="Q357" i="4" s="1"/>
  <c r="M357" i="4"/>
  <c r="R357" i="4" s="1"/>
  <c r="P357" i="4"/>
  <c r="O357" i="4"/>
  <c r="N357" i="4"/>
  <c r="L389" i="4"/>
  <c r="Q389" i="4" s="1"/>
  <c r="P389" i="4"/>
  <c r="N389" i="4"/>
  <c r="M389" i="4"/>
  <c r="R389" i="4" s="1"/>
  <c r="O389" i="4"/>
  <c r="M421" i="4"/>
  <c r="R421" i="4" s="1"/>
  <c r="L421" i="4"/>
  <c r="Q421" i="4" s="1"/>
  <c r="O421" i="4"/>
  <c r="P421" i="4"/>
  <c r="N421" i="4"/>
  <c r="L453" i="4"/>
  <c r="Q453" i="4" s="1"/>
  <c r="P453" i="4"/>
  <c r="M453" i="4"/>
  <c r="R453" i="4" s="1"/>
  <c r="O453" i="4"/>
  <c r="N453" i="4"/>
  <c r="M485" i="4"/>
  <c r="R485" i="4" s="1"/>
  <c r="O485" i="4"/>
  <c r="P485" i="4"/>
  <c r="L485" i="4"/>
  <c r="Q485" i="4" s="1"/>
  <c r="N485" i="4"/>
  <c r="L517" i="4"/>
  <c r="Q517" i="4" s="1"/>
  <c r="M517" i="4"/>
  <c r="R517" i="4" s="1"/>
  <c r="N517" i="4"/>
  <c r="O517" i="4"/>
  <c r="P517" i="4"/>
  <c r="L549" i="4"/>
  <c r="Q549" i="4" s="1"/>
  <c r="N549" i="4"/>
  <c r="M549" i="4"/>
  <c r="R549" i="4" s="1"/>
  <c r="P549" i="4"/>
  <c r="O549" i="4"/>
  <c r="N581" i="4"/>
  <c r="P581" i="4"/>
  <c r="O581" i="4"/>
  <c r="M581" i="4"/>
  <c r="R581" i="4" s="1"/>
  <c r="L581" i="4"/>
  <c r="Q581" i="4" s="1"/>
  <c r="P613" i="4"/>
  <c r="L613" i="4"/>
  <c r="Q613" i="4" s="1"/>
  <c r="M613" i="4"/>
  <c r="R613" i="4" s="1"/>
  <c r="N613" i="4"/>
  <c r="O613" i="4"/>
  <c r="N645" i="4"/>
  <c r="M645" i="4"/>
  <c r="R645" i="4" s="1"/>
  <c r="O645" i="4"/>
  <c r="L645" i="4"/>
  <c r="Q645" i="4" s="1"/>
  <c r="P645" i="4"/>
  <c r="L677" i="4"/>
  <c r="Q677" i="4" s="1"/>
  <c r="M677" i="4"/>
  <c r="R677" i="4" s="1"/>
  <c r="N677" i="4"/>
  <c r="O677" i="4"/>
  <c r="P677" i="4"/>
  <c r="N709" i="4"/>
  <c r="M709" i="4"/>
  <c r="R709" i="4" s="1"/>
  <c r="P709" i="4"/>
  <c r="O709" i="4"/>
  <c r="L709" i="4"/>
  <c r="Q709" i="4" s="1"/>
  <c r="N741" i="4"/>
  <c r="P741" i="4"/>
  <c r="M741" i="4"/>
  <c r="R741" i="4" s="1"/>
  <c r="L741" i="4"/>
  <c r="Q741" i="4" s="1"/>
  <c r="O741" i="4"/>
  <c r="L773" i="4"/>
  <c r="Q773" i="4" s="1"/>
  <c r="P773" i="4"/>
  <c r="M773" i="4"/>
  <c r="R773" i="4" s="1"/>
  <c r="N773" i="4"/>
  <c r="O773" i="4"/>
  <c r="P805" i="4"/>
  <c r="O805" i="4"/>
  <c r="M805" i="4"/>
  <c r="R805" i="4" s="1"/>
  <c r="N805" i="4"/>
  <c r="L805" i="4"/>
  <c r="Q805" i="4" s="1"/>
  <c r="O837" i="4"/>
  <c r="P837" i="4"/>
  <c r="M837" i="4"/>
  <c r="R837" i="4" s="1"/>
  <c r="L837" i="4"/>
  <c r="Q837" i="4" s="1"/>
  <c r="N837" i="4"/>
  <c r="M869" i="4"/>
  <c r="R869" i="4" s="1"/>
  <c r="O869" i="4"/>
  <c r="L869" i="4"/>
  <c r="Q869" i="4" s="1"/>
  <c r="N869" i="4"/>
  <c r="P869" i="4"/>
  <c r="M901" i="4"/>
  <c r="R901" i="4" s="1"/>
  <c r="O901" i="4"/>
  <c r="L901" i="4"/>
  <c r="Q901" i="4" s="1"/>
  <c r="N901" i="4"/>
  <c r="P901" i="4"/>
  <c r="N191" i="4"/>
  <c r="M191" i="4"/>
  <c r="R191" i="4" s="1"/>
  <c r="L191" i="4"/>
  <c r="Q191" i="4" s="1"/>
  <c r="O191" i="4"/>
  <c r="P191" i="4"/>
  <c r="N255" i="4"/>
  <c r="L255" i="4"/>
  <c r="Q255" i="4" s="1"/>
  <c r="M255" i="4"/>
  <c r="R255" i="4" s="1"/>
  <c r="O255" i="4"/>
  <c r="P255" i="4"/>
  <c r="P319" i="4"/>
  <c r="N319" i="4"/>
  <c r="L319" i="4"/>
  <c r="Q319" i="4" s="1"/>
  <c r="M319" i="4"/>
  <c r="R319" i="4" s="1"/>
  <c r="O319" i="4"/>
  <c r="L479" i="4"/>
  <c r="Q479" i="4" s="1"/>
  <c r="P479" i="4"/>
  <c r="M479" i="4"/>
  <c r="R479" i="4" s="1"/>
  <c r="N479" i="4"/>
  <c r="O479" i="4"/>
  <c r="O144" i="4"/>
  <c r="L144" i="4"/>
  <c r="Q144" i="4" s="1"/>
  <c r="N144" i="4"/>
  <c r="P144" i="4"/>
  <c r="M144" i="4"/>
  <c r="R144" i="4" s="1"/>
  <c r="O176" i="4"/>
  <c r="N176" i="4"/>
  <c r="M176" i="4"/>
  <c r="R176" i="4" s="1"/>
  <c r="P176" i="4"/>
  <c r="L176" i="4"/>
  <c r="Q176" i="4" s="1"/>
  <c r="O208" i="4"/>
  <c r="P208" i="4"/>
  <c r="M208" i="4"/>
  <c r="R208" i="4" s="1"/>
  <c r="N208" i="4"/>
  <c r="L208" i="4"/>
  <c r="Q208" i="4" s="1"/>
  <c r="P240" i="4"/>
  <c r="N240" i="4"/>
  <c r="O240" i="4"/>
  <c r="L240" i="4"/>
  <c r="Q240" i="4" s="1"/>
  <c r="M240" i="4"/>
  <c r="R240" i="4" s="1"/>
  <c r="L272" i="4"/>
  <c r="Q272" i="4" s="1"/>
  <c r="P272" i="4"/>
  <c r="N272" i="4"/>
  <c r="O272" i="4"/>
  <c r="M272" i="4"/>
  <c r="R272" i="4" s="1"/>
  <c r="L304" i="4"/>
  <c r="Q304" i="4" s="1"/>
  <c r="N304" i="4"/>
  <c r="P304" i="4"/>
  <c r="O304" i="4"/>
  <c r="M304" i="4"/>
  <c r="R304" i="4" s="1"/>
  <c r="O336" i="4"/>
  <c r="N336" i="4"/>
  <c r="M336" i="4"/>
  <c r="R336" i="4" s="1"/>
  <c r="L336" i="4"/>
  <c r="Q336" i="4" s="1"/>
  <c r="P336" i="4"/>
  <c r="O368" i="4"/>
  <c r="N368" i="4"/>
  <c r="M368" i="4"/>
  <c r="R368" i="4" s="1"/>
  <c r="L368" i="4"/>
  <c r="Q368" i="4" s="1"/>
  <c r="P368" i="4"/>
  <c r="O400" i="4"/>
  <c r="L400" i="4"/>
  <c r="Q400" i="4" s="1"/>
  <c r="N400" i="4"/>
  <c r="M400" i="4"/>
  <c r="R400" i="4" s="1"/>
  <c r="P400" i="4"/>
  <c r="O432" i="4"/>
  <c r="L432" i="4"/>
  <c r="Q432" i="4" s="1"/>
  <c r="M432" i="4"/>
  <c r="R432" i="4" s="1"/>
  <c r="N432" i="4"/>
  <c r="P432" i="4"/>
  <c r="M464" i="4"/>
  <c r="R464" i="4" s="1"/>
  <c r="P464" i="4"/>
  <c r="L464" i="4"/>
  <c r="Q464" i="4" s="1"/>
  <c r="N464" i="4"/>
  <c r="O464" i="4"/>
  <c r="M496" i="4"/>
  <c r="R496" i="4" s="1"/>
  <c r="O496" i="4"/>
  <c r="N496" i="4"/>
  <c r="L496" i="4"/>
  <c r="Q496" i="4" s="1"/>
  <c r="P496" i="4"/>
  <c r="P528" i="4"/>
  <c r="O528" i="4"/>
  <c r="N528" i="4"/>
  <c r="L528" i="4"/>
  <c r="Q528" i="4" s="1"/>
  <c r="M528" i="4"/>
  <c r="R528" i="4" s="1"/>
  <c r="N560" i="4"/>
  <c r="O560" i="4"/>
  <c r="P560" i="4"/>
  <c r="L560" i="4"/>
  <c r="Q560" i="4" s="1"/>
  <c r="M560" i="4"/>
  <c r="R560" i="4" s="1"/>
  <c r="M592" i="4"/>
  <c r="R592" i="4" s="1"/>
  <c r="N592" i="4"/>
  <c r="O592" i="4"/>
  <c r="P592" i="4"/>
  <c r="L592" i="4"/>
  <c r="Q592" i="4" s="1"/>
  <c r="P624" i="4"/>
  <c r="N624" i="4"/>
  <c r="M624" i="4"/>
  <c r="R624" i="4" s="1"/>
  <c r="O624" i="4"/>
  <c r="L624" i="4"/>
  <c r="Q624" i="4" s="1"/>
  <c r="P656" i="4"/>
  <c r="L656" i="4"/>
  <c r="Q656" i="4" s="1"/>
  <c r="O656" i="4"/>
  <c r="M656" i="4"/>
  <c r="R656" i="4" s="1"/>
  <c r="N656" i="4"/>
  <c r="O688" i="4"/>
  <c r="N688" i="4"/>
  <c r="P688" i="4"/>
  <c r="M688" i="4"/>
  <c r="R688" i="4" s="1"/>
  <c r="L688" i="4"/>
  <c r="Q688" i="4" s="1"/>
  <c r="L720" i="4"/>
  <c r="Q720" i="4" s="1"/>
  <c r="M720" i="4"/>
  <c r="R720" i="4" s="1"/>
  <c r="N720" i="4"/>
  <c r="O720" i="4"/>
  <c r="P720" i="4"/>
  <c r="N752" i="4"/>
  <c r="P752" i="4"/>
  <c r="L752" i="4"/>
  <c r="Q752" i="4" s="1"/>
  <c r="O752" i="4"/>
  <c r="M752" i="4"/>
  <c r="R752" i="4" s="1"/>
  <c r="L784" i="4"/>
  <c r="Q784" i="4" s="1"/>
  <c r="N784" i="4"/>
  <c r="O784" i="4"/>
  <c r="M784" i="4"/>
  <c r="R784" i="4" s="1"/>
  <c r="P784" i="4"/>
  <c r="L816" i="4"/>
  <c r="Q816" i="4" s="1"/>
  <c r="O816" i="4"/>
  <c r="P816" i="4"/>
  <c r="M816" i="4"/>
  <c r="R816" i="4" s="1"/>
  <c r="N816" i="4"/>
  <c r="L848" i="4"/>
  <c r="Q848" i="4" s="1"/>
  <c r="N848" i="4"/>
  <c r="O848" i="4"/>
  <c r="M848" i="4"/>
  <c r="R848" i="4" s="1"/>
  <c r="P848" i="4"/>
  <c r="M880" i="4"/>
  <c r="R880" i="4" s="1"/>
  <c r="P880" i="4"/>
  <c r="L880" i="4"/>
  <c r="Q880" i="4" s="1"/>
  <c r="N880" i="4"/>
  <c r="O880" i="4"/>
  <c r="N147" i="4"/>
  <c r="M147" i="4"/>
  <c r="R147" i="4" s="1"/>
  <c r="O147" i="4"/>
  <c r="P147" i="4"/>
  <c r="L147" i="4"/>
  <c r="Q147" i="4" s="1"/>
  <c r="P179" i="4"/>
  <c r="M179" i="4"/>
  <c r="R179" i="4" s="1"/>
  <c r="L179" i="4"/>
  <c r="Q179" i="4" s="1"/>
  <c r="N179" i="4"/>
  <c r="O179" i="4"/>
  <c r="M211" i="4"/>
  <c r="R211" i="4" s="1"/>
  <c r="N211" i="4"/>
  <c r="P211" i="4"/>
  <c r="O211" i="4"/>
  <c r="L211" i="4"/>
  <c r="Q211" i="4" s="1"/>
  <c r="M243" i="4"/>
  <c r="R243" i="4" s="1"/>
  <c r="N243" i="4"/>
  <c r="O243" i="4"/>
  <c r="P243" i="4"/>
  <c r="L243" i="4"/>
  <c r="Q243" i="4" s="1"/>
  <c r="N275" i="4"/>
  <c r="P275" i="4"/>
  <c r="O275" i="4"/>
  <c r="M275" i="4"/>
  <c r="R275" i="4" s="1"/>
  <c r="L275" i="4"/>
  <c r="Q275" i="4" s="1"/>
  <c r="N307" i="4"/>
  <c r="P307" i="4"/>
  <c r="L307" i="4"/>
  <c r="Q307" i="4" s="1"/>
  <c r="O307" i="4"/>
  <c r="M307" i="4"/>
  <c r="R307" i="4" s="1"/>
  <c r="P339" i="4"/>
  <c r="M339" i="4"/>
  <c r="R339" i="4" s="1"/>
  <c r="N339" i="4"/>
  <c r="L339" i="4"/>
  <c r="Q339" i="4" s="1"/>
  <c r="O339" i="4"/>
  <c r="M371" i="4"/>
  <c r="R371" i="4" s="1"/>
  <c r="P371" i="4"/>
  <c r="L371" i="4"/>
  <c r="Q371" i="4" s="1"/>
  <c r="N371" i="4"/>
  <c r="O371" i="4"/>
  <c r="L403" i="4"/>
  <c r="Q403" i="4" s="1"/>
  <c r="M403" i="4"/>
  <c r="R403" i="4" s="1"/>
  <c r="N403" i="4"/>
  <c r="P403" i="4"/>
  <c r="O403" i="4"/>
  <c r="M435" i="4"/>
  <c r="R435" i="4" s="1"/>
  <c r="L435" i="4"/>
  <c r="Q435" i="4" s="1"/>
  <c r="N435" i="4"/>
  <c r="P435" i="4"/>
  <c r="O435" i="4"/>
  <c r="L467" i="4"/>
  <c r="Q467" i="4" s="1"/>
  <c r="M467" i="4"/>
  <c r="R467" i="4" s="1"/>
  <c r="O467" i="4"/>
  <c r="N467" i="4"/>
  <c r="P467" i="4"/>
  <c r="L499" i="4"/>
  <c r="Q499" i="4" s="1"/>
  <c r="M499" i="4"/>
  <c r="R499" i="4" s="1"/>
  <c r="N499" i="4"/>
  <c r="P499" i="4"/>
  <c r="O499" i="4"/>
  <c r="P531" i="4"/>
  <c r="N531" i="4"/>
  <c r="O531" i="4"/>
  <c r="L531" i="4"/>
  <c r="Q531" i="4" s="1"/>
  <c r="M531" i="4"/>
  <c r="R531" i="4" s="1"/>
  <c r="P563" i="4"/>
  <c r="N563" i="4"/>
  <c r="O563" i="4"/>
  <c r="L563" i="4"/>
  <c r="Q563" i="4" s="1"/>
  <c r="M563" i="4"/>
  <c r="R563" i="4" s="1"/>
  <c r="M595" i="4"/>
  <c r="R595" i="4" s="1"/>
  <c r="N595" i="4"/>
  <c r="L595" i="4"/>
  <c r="Q595" i="4" s="1"/>
  <c r="P595" i="4"/>
  <c r="O595" i="4"/>
  <c r="N627" i="4"/>
  <c r="P627" i="4"/>
  <c r="L627" i="4"/>
  <c r="Q627" i="4" s="1"/>
  <c r="M627" i="4"/>
  <c r="R627" i="4" s="1"/>
  <c r="O627" i="4"/>
  <c r="N659" i="4"/>
  <c r="L659" i="4"/>
  <c r="Q659" i="4" s="1"/>
  <c r="P659" i="4"/>
  <c r="M659" i="4"/>
  <c r="R659" i="4" s="1"/>
  <c r="O659" i="4"/>
  <c r="M691" i="4"/>
  <c r="R691" i="4" s="1"/>
  <c r="L691" i="4"/>
  <c r="Q691" i="4" s="1"/>
  <c r="N691" i="4"/>
  <c r="O691" i="4"/>
  <c r="P691" i="4"/>
  <c r="N723" i="4"/>
  <c r="O723" i="4"/>
  <c r="P723" i="4"/>
  <c r="L723" i="4"/>
  <c r="Q723" i="4" s="1"/>
  <c r="M723" i="4"/>
  <c r="R723" i="4" s="1"/>
  <c r="M755" i="4"/>
  <c r="R755" i="4" s="1"/>
  <c r="N755" i="4"/>
  <c r="O755" i="4"/>
  <c r="L755" i="4"/>
  <c r="Q755" i="4" s="1"/>
  <c r="P755" i="4"/>
  <c r="M787" i="4"/>
  <c r="R787" i="4" s="1"/>
  <c r="L787" i="4"/>
  <c r="Q787" i="4" s="1"/>
  <c r="O787" i="4"/>
  <c r="N787" i="4"/>
  <c r="P787" i="4"/>
  <c r="M819" i="4"/>
  <c r="R819" i="4" s="1"/>
  <c r="L819" i="4"/>
  <c r="Q819" i="4" s="1"/>
  <c r="N819" i="4"/>
  <c r="O819" i="4"/>
  <c r="P819" i="4"/>
  <c r="M851" i="4"/>
  <c r="R851" i="4" s="1"/>
  <c r="O851" i="4"/>
  <c r="P851" i="4"/>
  <c r="N851" i="4"/>
  <c r="L851" i="4"/>
  <c r="Q851" i="4" s="1"/>
  <c r="M883" i="4"/>
  <c r="R883" i="4" s="1"/>
  <c r="N883" i="4"/>
  <c r="L883" i="4"/>
  <c r="Q883" i="4" s="1"/>
  <c r="O883" i="4"/>
  <c r="P883" i="4"/>
  <c r="L148" i="4"/>
  <c r="Q148" i="4" s="1"/>
  <c r="O148" i="4"/>
  <c r="N148" i="4"/>
  <c r="P148" i="4"/>
  <c r="M148" i="4"/>
  <c r="R148" i="4" s="1"/>
  <c r="L180" i="4"/>
  <c r="Q180" i="4" s="1"/>
  <c r="M180" i="4"/>
  <c r="R180" i="4" s="1"/>
  <c r="O180" i="4"/>
  <c r="P180" i="4"/>
  <c r="N180" i="4"/>
  <c r="O212" i="4"/>
  <c r="N212" i="4"/>
  <c r="M212" i="4"/>
  <c r="R212" i="4" s="1"/>
  <c r="P212" i="4"/>
  <c r="L212" i="4"/>
  <c r="Q212" i="4" s="1"/>
  <c r="L244" i="4"/>
  <c r="Q244" i="4" s="1"/>
  <c r="M244" i="4"/>
  <c r="R244" i="4" s="1"/>
  <c r="P244" i="4"/>
  <c r="O244" i="4"/>
  <c r="N244" i="4"/>
  <c r="N276" i="4"/>
  <c r="O276" i="4"/>
  <c r="M276" i="4"/>
  <c r="R276" i="4" s="1"/>
  <c r="P276" i="4"/>
  <c r="L276" i="4"/>
  <c r="Q276" i="4" s="1"/>
  <c r="L308" i="4"/>
  <c r="Q308" i="4" s="1"/>
  <c r="O308" i="4"/>
  <c r="P308" i="4"/>
  <c r="M308" i="4"/>
  <c r="R308" i="4" s="1"/>
  <c r="N308" i="4"/>
  <c r="P340" i="4"/>
  <c r="N340" i="4"/>
  <c r="O340" i="4"/>
  <c r="M340" i="4"/>
  <c r="R340" i="4" s="1"/>
  <c r="L340" i="4"/>
  <c r="Q340" i="4" s="1"/>
  <c r="L372" i="4"/>
  <c r="Q372" i="4" s="1"/>
  <c r="N372" i="4"/>
  <c r="P372" i="4"/>
  <c r="O372" i="4"/>
  <c r="M372" i="4"/>
  <c r="R372" i="4" s="1"/>
  <c r="O404" i="4"/>
  <c r="N404" i="4"/>
  <c r="P404" i="4"/>
  <c r="M404" i="4"/>
  <c r="R404" i="4" s="1"/>
  <c r="L404" i="4"/>
  <c r="Q404" i="4" s="1"/>
  <c r="L436" i="4"/>
  <c r="Q436" i="4" s="1"/>
  <c r="O436" i="4"/>
  <c r="N436" i="4"/>
  <c r="M436" i="4"/>
  <c r="R436" i="4" s="1"/>
  <c r="P436" i="4"/>
  <c r="M468" i="4"/>
  <c r="R468" i="4" s="1"/>
  <c r="N468" i="4"/>
  <c r="O468" i="4"/>
  <c r="P468" i="4"/>
  <c r="L468" i="4"/>
  <c r="Q468" i="4" s="1"/>
  <c r="L500" i="4"/>
  <c r="Q500" i="4" s="1"/>
  <c r="P500" i="4"/>
  <c r="M500" i="4"/>
  <c r="R500" i="4" s="1"/>
  <c r="O500" i="4"/>
  <c r="N500" i="4"/>
  <c r="N532" i="4"/>
  <c r="O532" i="4"/>
  <c r="L532" i="4"/>
  <c r="Q532" i="4" s="1"/>
  <c r="P532" i="4"/>
  <c r="M532" i="4"/>
  <c r="R532" i="4" s="1"/>
  <c r="L564" i="4"/>
  <c r="Q564" i="4" s="1"/>
  <c r="M564" i="4"/>
  <c r="R564" i="4" s="1"/>
  <c r="N564" i="4"/>
  <c r="P564" i="4"/>
  <c r="O564" i="4"/>
  <c r="P596" i="4"/>
  <c r="O596" i="4"/>
  <c r="L596" i="4"/>
  <c r="Q596" i="4" s="1"/>
  <c r="M596" i="4"/>
  <c r="R596" i="4" s="1"/>
  <c r="N596" i="4"/>
  <c r="P628" i="4"/>
  <c r="N628" i="4"/>
  <c r="L628" i="4"/>
  <c r="Q628" i="4" s="1"/>
  <c r="O628" i="4"/>
  <c r="M628" i="4"/>
  <c r="R628" i="4" s="1"/>
  <c r="P660" i="4"/>
  <c r="L660" i="4"/>
  <c r="Q660" i="4" s="1"/>
  <c r="N660" i="4"/>
  <c r="O660" i="4"/>
  <c r="M660" i="4"/>
  <c r="R660" i="4" s="1"/>
  <c r="M692" i="4"/>
  <c r="R692" i="4" s="1"/>
  <c r="P692" i="4"/>
  <c r="O692" i="4"/>
  <c r="L692" i="4"/>
  <c r="Q692" i="4" s="1"/>
  <c r="N692" i="4"/>
  <c r="L724" i="4"/>
  <c r="Q724" i="4" s="1"/>
  <c r="M724" i="4"/>
  <c r="R724" i="4" s="1"/>
  <c r="P724" i="4"/>
  <c r="N724" i="4"/>
  <c r="O724" i="4"/>
  <c r="O756" i="4"/>
  <c r="M756" i="4"/>
  <c r="R756" i="4" s="1"/>
  <c r="N756" i="4"/>
  <c r="L756" i="4"/>
  <c r="Q756" i="4" s="1"/>
  <c r="P756" i="4"/>
  <c r="O788" i="4"/>
  <c r="L788" i="4"/>
  <c r="Q788" i="4" s="1"/>
  <c r="N788" i="4"/>
  <c r="M788" i="4"/>
  <c r="R788" i="4" s="1"/>
  <c r="P788" i="4"/>
  <c r="L820" i="4"/>
  <c r="Q820" i="4" s="1"/>
  <c r="O820" i="4"/>
  <c r="N820" i="4"/>
  <c r="M820" i="4"/>
  <c r="R820" i="4" s="1"/>
  <c r="P820" i="4"/>
  <c r="L852" i="4"/>
  <c r="Q852" i="4" s="1"/>
  <c r="N852" i="4"/>
  <c r="P852" i="4"/>
  <c r="M852" i="4"/>
  <c r="R852" i="4" s="1"/>
  <c r="O852" i="4"/>
  <c r="L884" i="4"/>
  <c r="Q884" i="4" s="1"/>
  <c r="N884" i="4"/>
  <c r="P884" i="4"/>
  <c r="M884" i="4"/>
  <c r="R884" i="4" s="1"/>
  <c r="O884" i="4"/>
  <c r="O166" i="4"/>
  <c r="P166" i="4"/>
  <c r="M166" i="4"/>
  <c r="R166" i="4" s="1"/>
  <c r="N166" i="4"/>
  <c r="L166" i="4"/>
  <c r="Q166" i="4" s="1"/>
  <c r="P198" i="4"/>
  <c r="O198" i="4"/>
  <c r="L198" i="4"/>
  <c r="Q198" i="4" s="1"/>
  <c r="N198" i="4"/>
  <c r="M198" i="4"/>
  <c r="R198" i="4" s="1"/>
  <c r="L230" i="4"/>
  <c r="Q230" i="4" s="1"/>
  <c r="O230" i="4"/>
  <c r="N230" i="4"/>
  <c r="P230" i="4"/>
  <c r="M230" i="4"/>
  <c r="R230" i="4" s="1"/>
  <c r="O262" i="4"/>
  <c r="N262" i="4"/>
  <c r="L262" i="4"/>
  <c r="Q262" i="4" s="1"/>
  <c r="P262" i="4"/>
  <c r="M262" i="4"/>
  <c r="R262" i="4" s="1"/>
  <c r="P294" i="4"/>
  <c r="N294" i="4"/>
  <c r="M294" i="4"/>
  <c r="R294" i="4" s="1"/>
  <c r="O294" i="4"/>
  <c r="L294" i="4"/>
  <c r="Q294" i="4" s="1"/>
  <c r="L326" i="4"/>
  <c r="Q326" i="4" s="1"/>
  <c r="P326" i="4"/>
  <c r="O326" i="4"/>
  <c r="N326" i="4"/>
  <c r="M326" i="4"/>
  <c r="R326" i="4" s="1"/>
  <c r="L358" i="4"/>
  <c r="Q358" i="4" s="1"/>
  <c r="N358" i="4"/>
  <c r="P358" i="4"/>
  <c r="O358" i="4"/>
  <c r="M358" i="4"/>
  <c r="R358" i="4" s="1"/>
  <c r="N390" i="4"/>
  <c r="O390" i="4"/>
  <c r="M390" i="4"/>
  <c r="R390" i="4" s="1"/>
  <c r="L390" i="4"/>
  <c r="Q390" i="4" s="1"/>
  <c r="P390" i="4"/>
  <c r="O422" i="4"/>
  <c r="M422" i="4"/>
  <c r="R422" i="4" s="1"/>
  <c r="N422" i="4"/>
  <c r="P422" i="4"/>
  <c r="L422" i="4"/>
  <c r="Q422" i="4" s="1"/>
  <c r="M454" i="4"/>
  <c r="R454" i="4" s="1"/>
  <c r="O454" i="4"/>
  <c r="N454" i="4"/>
  <c r="L454" i="4"/>
  <c r="Q454" i="4" s="1"/>
  <c r="P454" i="4"/>
  <c r="M486" i="4"/>
  <c r="R486" i="4" s="1"/>
  <c r="O486" i="4"/>
  <c r="L486" i="4"/>
  <c r="Q486" i="4" s="1"/>
  <c r="N486" i="4"/>
  <c r="P486" i="4"/>
  <c r="M518" i="4"/>
  <c r="R518" i="4" s="1"/>
  <c r="N518" i="4"/>
  <c r="O518" i="4"/>
  <c r="P518" i="4"/>
  <c r="L518" i="4"/>
  <c r="Q518" i="4" s="1"/>
  <c r="L550" i="4"/>
  <c r="Q550" i="4" s="1"/>
  <c r="M550" i="4"/>
  <c r="R550" i="4" s="1"/>
  <c r="N550" i="4"/>
  <c r="O550" i="4"/>
  <c r="P550" i="4"/>
  <c r="O582" i="4"/>
  <c r="P582" i="4"/>
  <c r="L582" i="4"/>
  <c r="Q582" i="4" s="1"/>
  <c r="N582" i="4"/>
  <c r="M582" i="4"/>
  <c r="R582" i="4" s="1"/>
  <c r="N614" i="4"/>
  <c r="O614" i="4"/>
  <c r="P614" i="4"/>
  <c r="L614" i="4"/>
  <c r="Q614" i="4" s="1"/>
  <c r="M614" i="4"/>
  <c r="R614" i="4" s="1"/>
  <c r="N646" i="4"/>
  <c r="L646" i="4"/>
  <c r="Q646" i="4" s="1"/>
  <c r="M646" i="4"/>
  <c r="R646" i="4" s="1"/>
  <c r="O646" i="4"/>
  <c r="P646" i="4"/>
  <c r="N678" i="4"/>
  <c r="M678" i="4"/>
  <c r="R678" i="4" s="1"/>
  <c r="O678" i="4"/>
  <c r="P678" i="4"/>
  <c r="L678" i="4"/>
  <c r="Q678" i="4" s="1"/>
  <c r="P710" i="4"/>
  <c r="M710" i="4"/>
  <c r="R710" i="4" s="1"/>
  <c r="O710" i="4"/>
  <c r="N710" i="4"/>
  <c r="L710" i="4"/>
  <c r="Q710" i="4" s="1"/>
  <c r="P742" i="4"/>
  <c r="L742" i="4"/>
  <c r="Q742" i="4" s="1"/>
  <c r="N742" i="4"/>
  <c r="M742" i="4"/>
  <c r="R742" i="4" s="1"/>
  <c r="O742" i="4"/>
  <c r="O774" i="4"/>
  <c r="P774" i="4"/>
  <c r="L774" i="4"/>
  <c r="Q774" i="4" s="1"/>
  <c r="M774" i="4"/>
  <c r="R774" i="4" s="1"/>
  <c r="N774" i="4"/>
  <c r="L806" i="4"/>
  <c r="Q806" i="4" s="1"/>
  <c r="P806" i="4"/>
  <c r="O806" i="4"/>
  <c r="N806" i="4"/>
  <c r="M806" i="4"/>
  <c r="R806" i="4" s="1"/>
  <c r="L838" i="4"/>
  <c r="Q838" i="4" s="1"/>
  <c r="O838" i="4"/>
  <c r="M838" i="4"/>
  <c r="R838" i="4" s="1"/>
  <c r="N838" i="4"/>
  <c r="P838" i="4"/>
  <c r="L870" i="4"/>
  <c r="Q870" i="4" s="1"/>
  <c r="N870" i="4"/>
  <c r="M870" i="4"/>
  <c r="R870" i="4" s="1"/>
  <c r="P870" i="4"/>
  <c r="O870" i="4"/>
  <c r="M902" i="4"/>
  <c r="R902" i="4" s="1"/>
  <c r="N902" i="4"/>
  <c r="P902" i="4"/>
  <c r="L902" i="4"/>
  <c r="Q902" i="4" s="1"/>
  <c r="O902" i="4"/>
  <c r="M135" i="4"/>
  <c r="R135" i="4" s="1"/>
  <c r="O135" i="4"/>
  <c r="N135" i="4"/>
  <c r="L135" i="4"/>
  <c r="Q135" i="4" s="1"/>
  <c r="P135" i="4"/>
  <c r="N167" i="4"/>
  <c r="P167" i="4"/>
  <c r="O167" i="4"/>
  <c r="M167" i="4"/>
  <c r="R167" i="4" s="1"/>
  <c r="L167" i="4"/>
  <c r="Q167" i="4" s="1"/>
  <c r="P199" i="4"/>
  <c r="L199" i="4"/>
  <c r="Q199" i="4" s="1"/>
  <c r="M199" i="4"/>
  <c r="R199" i="4" s="1"/>
  <c r="O199" i="4"/>
  <c r="N199" i="4"/>
  <c r="L231" i="4"/>
  <c r="Q231" i="4" s="1"/>
  <c r="M231" i="4"/>
  <c r="R231" i="4" s="1"/>
  <c r="P231" i="4"/>
  <c r="N231" i="4"/>
  <c r="O231" i="4"/>
  <c r="L263" i="4"/>
  <c r="Q263" i="4" s="1"/>
  <c r="P263" i="4"/>
  <c r="N263" i="4"/>
  <c r="O263" i="4"/>
  <c r="M263" i="4"/>
  <c r="R263" i="4" s="1"/>
  <c r="L295" i="4"/>
  <c r="Q295" i="4" s="1"/>
  <c r="P295" i="4"/>
  <c r="N295" i="4"/>
  <c r="M295" i="4"/>
  <c r="R295" i="4" s="1"/>
  <c r="O295" i="4"/>
  <c r="M327" i="4"/>
  <c r="R327" i="4" s="1"/>
  <c r="O327" i="4"/>
  <c r="N327" i="4"/>
  <c r="L327" i="4"/>
  <c r="Q327" i="4" s="1"/>
  <c r="P327" i="4"/>
  <c r="N359" i="4"/>
  <c r="O359" i="4"/>
  <c r="M359" i="4"/>
  <c r="R359" i="4" s="1"/>
  <c r="P359" i="4"/>
  <c r="L359" i="4"/>
  <c r="Q359" i="4" s="1"/>
  <c r="M391" i="4"/>
  <c r="R391" i="4" s="1"/>
  <c r="O391" i="4"/>
  <c r="P391" i="4"/>
  <c r="N391" i="4"/>
  <c r="L391" i="4"/>
  <c r="Q391" i="4" s="1"/>
  <c r="N423" i="4"/>
  <c r="O423" i="4"/>
  <c r="M423" i="4"/>
  <c r="R423" i="4" s="1"/>
  <c r="P423" i="4"/>
  <c r="L423" i="4"/>
  <c r="Q423" i="4" s="1"/>
  <c r="L455" i="4"/>
  <c r="Q455" i="4" s="1"/>
  <c r="O455" i="4"/>
  <c r="P455" i="4"/>
  <c r="N455" i="4"/>
  <c r="M455" i="4"/>
  <c r="R455" i="4" s="1"/>
  <c r="L487" i="4"/>
  <c r="Q487" i="4" s="1"/>
  <c r="O487" i="4"/>
  <c r="M487" i="4"/>
  <c r="R487" i="4" s="1"/>
  <c r="P487" i="4"/>
  <c r="N487" i="4"/>
  <c r="N519" i="4"/>
  <c r="L519" i="4"/>
  <c r="Q519" i="4" s="1"/>
  <c r="O519" i="4"/>
  <c r="M519" i="4"/>
  <c r="R519" i="4" s="1"/>
  <c r="P519" i="4"/>
  <c r="N551" i="4"/>
  <c r="O551" i="4"/>
  <c r="L551" i="4"/>
  <c r="Q551" i="4" s="1"/>
  <c r="M551" i="4"/>
  <c r="R551" i="4" s="1"/>
  <c r="P551" i="4"/>
  <c r="L583" i="4"/>
  <c r="Q583" i="4" s="1"/>
  <c r="M583" i="4"/>
  <c r="R583" i="4" s="1"/>
  <c r="O583" i="4"/>
  <c r="N583" i="4"/>
  <c r="P583" i="4"/>
  <c r="L615" i="4"/>
  <c r="Q615" i="4" s="1"/>
  <c r="O615" i="4"/>
  <c r="N615" i="4"/>
  <c r="P615" i="4"/>
  <c r="M615" i="4"/>
  <c r="R615" i="4" s="1"/>
  <c r="O647" i="4"/>
  <c r="N647" i="4"/>
  <c r="L647" i="4"/>
  <c r="Q647" i="4" s="1"/>
  <c r="M647" i="4"/>
  <c r="R647" i="4" s="1"/>
  <c r="P647" i="4"/>
  <c r="L679" i="4"/>
  <c r="Q679" i="4" s="1"/>
  <c r="P679" i="4"/>
  <c r="N679" i="4"/>
  <c r="M679" i="4"/>
  <c r="R679" i="4" s="1"/>
  <c r="O679" i="4"/>
  <c r="L711" i="4"/>
  <c r="Q711" i="4" s="1"/>
  <c r="M711" i="4"/>
  <c r="R711" i="4" s="1"/>
  <c r="P711" i="4"/>
  <c r="O711" i="4"/>
  <c r="N711" i="4"/>
  <c r="M743" i="4"/>
  <c r="R743" i="4" s="1"/>
  <c r="P743" i="4"/>
  <c r="O743" i="4"/>
  <c r="L743" i="4"/>
  <c r="Q743" i="4" s="1"/>
  <c r="N743" i="4"/>
  <c r="M775" i="4"/>
  <c r="R775" i="4" s="1"/>
  <c r="O775" i="4"/>
  <c r="L775" i="4"/>
  <c r="Q775" i="4" s="1"/>
  <c r="N775" i="4"/>
  <c r="P775" i="4"/>
  <c r="M807" i="4"/>
  <c r="R807" i="4" s="1"/>
  <c r="L807" i="4"/>
  <c r="Q807" i="4" s="1"/>
  <c r="O807" i="4"/>
  <c r="N807" i="4"/>
  <c r="P807" i="4"/>
  <c r="M839" i="4"/>
  <c r="R839" i="4" s="1"/>
  <c r="P839" i="4"/>
  <c r="O839" i="4"/>
  <c r="L839" i="4"/>
  <c r="Q839" i="4" s="1"/>
  <c r="N839" i="4"/>
  <c r="N871" i="4"/>
  <c r="P871" i="4"/>
  <c r="O871" i="4"/>
  <c r="L871" i="4"/>
  <c r="Q871" i="4" s="1"/>
  <c r="M871" i="4"/>
  <c r="R871" i="4" s="1"/>
  <c r="N903" i="4"/>
  <c r="O903" i="4"/>
  <c r="P903" i="4"/>
  <c r="L903" i="4"/>
  <c r="Q903" i="4" s="1"/>
  <c r="M903" i="4"/>
  <c r="R903" i="4" s="1"/>
  <c r="N161" i="4"/>
  <c r="M161" i="4"/>
  <c r="R161" i="4" s="1"/>
  <c r="O161" i="4"/>
  <c r="L161" i="4"/>
  <c r="Q161" i="4" s="1"/>
  <c r="P161" i="4"/>
  <c r="N193" i="4"/>
  <c r="L193" i="4"/>
  <c r="Q193" i="4" s="1"/>
  <c r="M193" i="4"/>
  <c r="R193" i="4" s="1"/>
  <c r="O193" i="4"/>
  <c r="P193" i="4"/>
  <c r="N225" i="4"/>
  <c r="L225" i="4"/>
  <c r="Q225" i="4" s="1"/>
  <c r="P225" i="4"/>
  <c r="M225" i="4"/>
  <c r="R225" i="4" s="1"/>
  <c r="O225" i="4"/>
  <c r="M257" i="4"/>
  <c r="R257" i="4" s="1"/>
  <c r="N257" i="4"/>
  <c r="O257" i="4"/>
  <c r="P257" i="4"/>
  <c r="L257" i="4"/>
  <c r="Q257" i="4" s="1"/>
  <c r="N289" i="4"/>
  <c r="O289" i="4"/>
  <c r="M289" i="4"/>
  <c r="R289" i="4" s="1"/>
  <c r="L289" i="4"/>
  <c r="Q289" i="4" s="1"/>
  <c r="P289" i="4"/>
  <c r="N321" i="4"/>
  <c r="O321" i="4"/>
  <c r="L321" i="4"/>
  <c r="Q321" i="4" s="1"/>
  <c r="M321" i="4"/>
  <c r="R321" i="4" s="1"/>
  <c r="P321" i="4"/>
  <c r="L353" i="4"/>
  <c r="Q353" i="4" s="1"/>
  <c r="P353" i="4"/>
  <c r="O353" i="4"/>
  <c r="M353" i="4"/>
  <c r="R353" i="4" s="1"/>
  <c r="N353" i="4"/>
  <c r="L385" i="4"/>
  <c r="Q385" i="4" s="1"/>
  <c r="P385" i="4"/>
  <c r="O385" i="4"/>
  <c r="N385" i="4"/>
  <c r="M385" i="4"/>
  <c r="R385" i="4" s="1"/>
  <c r="N417" i="4"/>
  <c r="O417" i="4"/>
  <c r="P417" i="4"/>
  <c r="L417" i="4"/>
  <c r="Q417" i="4" s="1"/>
  <c r="M417" i="4"/>
  <c r="R417" i="4" s="1"/>
  <c r="M449" i="4"/>
  <c r="R449" i="4" s="1"/>
  <c r="N449" i="4"/>
  <c r="L449" i="4"/>
  <c r="Q449" i="4" s="1"/>
  <c r="P449" i="4"/>
  <c r="O449" i="4"/>
  <c r="M481" i="4"/>
  <c r="R481" i="4" s="1"/>
  <c r="P481" i="4"/>
  <c r="L481" i="4"/>
  <c r="Q481" i="4" s="1"/>
  <c r="N481" i="4"/>
  <c r="O481" i="4"/>
  <c r="M513" i="4"/>
  <c r="R513" i="4" s="1"/>
  <c r="P513" i="4"/>
  <c r="O513" i="4"/>
  <c r="L513" i="4"/>
  <c r="Q513" i="4" s="1"/>
  <c r="N513" i="4"/>
  <c r="L545" i="4"/>
  <c r="Q545" i="4" s="1"/>
  <c r="O545" i="4"/>
  <c r="N545" i="4"/>
  <c r="M545" i="4"/>
  <c r="R545" i="4" s="1"/>
  <c r="P545" i="4"/>
  <c r="O577" i="4"/>
  <c r="M577" i="4"/>
  <c r="R577" i="4" s="1"/>
  <c r="P577" i="4"/>
  <c r="N577" i="4"/>
  <c r="L577" i="4"/>
  <c r="Q577" i="4" s="1"/>
  <c r="O609" i="4"/>
  <c r="L609" i="4"/>
  <c r="Q609" i="4" s="1"/>
  <c r="P609" i="4"/>
  <c r="M609" i="4"/>
  <c r="R609" i="4" s="1"/>
  <c r="N609" i="4"/>
  <c r="P641" i="4"/>
  <c r="L641" i="4"/>
  <c r="Q641" i="4" s="1"/>
  <c r="M641" i="4"/>
  <c r="R641" i="4" s="1"/>
  <c r="N641" i="4"/>
  <c r="O641" i="4"/>
  <c r="L673" i="4"/>
  <c r="Q673" i="4" s="1"/>
  <c r="N673" i="4"/>
  <c r="P673" i="4"/>
  <c r="M673" i="4"/>
  <c r="R673" i="4" s="1"/>
  <c r="O673" i="4"/>
  <c r="N705" i="4"/>
  <c r="O705" i="4"/>
  <c r="P705" i="4"/>
  <c r="M705" i="4"/>
  <c r="R705" i="4" s="1"/>
  <c r="L705" i="4"/>
  <c r="Q705" i="4" s="1"/>
  <c r="N737" i="4"/>
  <c r="P737" i="4"/>
  <c r="O737" i="4"/>
  <c r="L737" i="4"/>
  <c r="Q737" i="4" s="1"/>
  <c r="M737" i="4"/>
  <c r="R737" i="4" s="1"/>
  <c r="N769" i="4"/>
  <c r="O769" i="4"/>
  <c r="P769" i="4"/>
  <c r="L769" i="4"/>
  <c r="Q769" i="4" s="1"/>
  <c r="M769" i="4"/>
  <c r="R769" i="4" s="1"/>
  <c r="P801" i="4"/>
  <c r="M801" i="4"/>
  <c r="R801" i="4" s="1"/>
  <c r="O801" i="4"/>
  <c r="L801" i="4"/>
  <c r="Q801" i="4" s="1"/>
  <c r="N801" i="4"/>
  <c r="P833" i="4"/>
  <c r="L833" i="4"/>
  <c r="Q833" i="4" s="1"/>
  <c r="O833" i="4"/>
  <c r="M833" i="4"/>
  <c r="R833" i="4" s="1"/>
  <c r="N833" i="4"/>
  <c r="M865" i="4"/>
  <c r="R865" i="4" s="1"/>
  <c r="N865" i="4"/>
  <c r="P865" i="4"/>
  <c r="O865" i="4"/>
  <c r="L865" i="4"/>
  <c r="Q865" i="4" s="1"/>
  <c r="N897" i="4"/>
  <c r="P897" i="4"/>
  <c r="L897" i="4"/>
  <c r="Q897" i="4" s="1"/>
  <c r="O897" i="4"/>
  <c r="M897" i="4"/>
  <c r="R897" i="4" s="1"/>
  <c r="N138" i="4"/>
  <c r="O138" i="4"/>
  <c r="P138" i="4"/>
  <c r="M138" i="4"/>
  <c r="R138" i="4" s="1"/>
  <c r="L138" i="4"/>
  <c r="Q138" i="4" s="1"/>
  <c r="L170" i="4"/>
  <c r="Q170" i="4" s="1"/>
  <c r="N170" i="4"/>
  <c r="P170" i="4"/>
  <c r="O170" i="4"/>
  <c r="M170" i="4"/>
  <c r="R170" i="4" s="1"/>
  <c r="L202" i="4"/>
  <c r="Q202" i="4" s="1"/>
  <c r="N202" i="4"/>
  <c r="P202" i="4"/>
  <c r="O202" i="4"/>
  <c r="M202" i="4"/>
  <c r="R202" i="4" s="1"/>
  <c r="P234" i="4"/>
  <c r="L234" i="4"/>
  <c r="Q234" i="4" s="1"/>
  <c r="O234" i="4"/>
  <c r="M234" i="4"/>
  <c r="R234" i="4" s="1"/>
  <c r="N234" i="4"/>
  <c r="L266" i="4"/>
  <c r="Q266" i="4" s="1"/>
  <c r="P266" i="4"/>
  <c r="M266" i="4"/>
  <c r="R266" i="4" s="1"/>
  <c r="O266" i="4"/>
  <c r="N266" i="4"/>
  <c r="L298" i="4"/>
  <c r="Q298" i="4" s="1"/>
  <c r="O298" i="4"/>
  <c r="N298" i="4"/>
  <c r="M298" i="4"/>
  <c r="R298" i="4" s="1"/>
  <c r="P298" i="4"/>
  <c r="M330" i="4"/>
  <c r="R330" i="4" s="1"/>
  <c r="N330" i="4"/>
  <c r="O330" i="4"/>
  <c r="L330" i="4"/>
  <c r="Q330" i="4" s="1"/>
  <c r="P330" i="4"/>
  <c r="L362" i="4"/>
  <c r="Q362" i="4" s="1"/>
  <c r="O362" i="4"/>
  <c r="M362" i="4"/>
  <c r="R362" i="4" s="1"/>
  <c r="P362" i="4"/>
  <c r="N362" i="4"/>
  <c r="M394" i="4"/>
  <c r="R394" i="4" s="1"/>
  <c r="N394" i="4"/>
  <c r="P394" i="4"/>
  <c r="O394" i="4"/>
  <c r="L394" i="4"/>
  <c r="Q394" i="4" s="1"/>
  <c r="O426" i="4"/>
  <c r="M426" i="4"/>
  <c r="R426" i="4" s="1"/>
  <c r="N426" i="4"/>
  <c r="L426" i="4"/>
  <c r="Q426" i="4" s="1"/>
  <c r="P426" i="4"/>
  <c r="O458" i="4"/>
  <c r="P458" i="4"/>
  <c r="N458" i="4"/>
  <c r="M458" i="4"/>
  <c r="R458" i="4" s="1"/>
  <c r="L458" i="4"/>
  <c r="Q458" i="4" s="1"/>
  <c r="O490" i="4"/>
  <c r="M490" i="4"/>
  <c r="R490" i="4" s="1"/>
  <c r="L490" i="4"/>
  <c r="Q490" i="4" s="1"/>
  <c r="N490" i="4"/>
  <c r="P490" i="4"/>
  <c r="L522" i="4"/>
  <c r="Q522" i="4" s="1"/>
  <c r="N522" i="4"/>
  <c r="O522" i="4"/>
  <c r="M522" i="4"/>
  <c r="R522" i="4" s="1"/>
  <c r="P522" i="4"/>
  <c r="L554" i="4"/>
  <c r="Q554" i="4" s="1"/>
  <c r="O554" i="4"/>
  <c r="M554" i="4"/>
  <c r="R554" i="4" s="1"/>
  <c r="N554" i="4"/>
  <c r="P554" i="4"/>
  <c r="M586" i="4"/>
  <c r="R586" i="4" s="1"/>
  <c r="L586" i="4"/>
  <c r="Q586" i="4" s="1"/>
  <c r="N586" i="4"/>
  <c r="O586" i="4"/>
  <c r="P586" i="4"/>
  <c r="L618" i="4"/>
  <c r="Q618" i="4" s="1"/>
  <c r="P618" i="4"/>
  <c r="M618" i="4"/>
  <c r="R618" i="4" s="1"/>
  <c r="N618" i="4"/>
  <c r="O618" i="4"/>
  <c r="O650" i="4"/>
  <c r="N650" i="4"/>
  <c r="P650" i="4"/>
  <c r="M650" i="4"/>
  <c r="R650" i="4" s="1"/>
  <c r="L650" i="4"/>
  <c r="Q650" i="4" s="1"/>
  <c r="O682" i="4"/>
  <c r="L682" i="4"/>
  <c r="Q682" i="4" s="1"/>
  <c r="M682" i="4"/>
  <c r="R682" i="4" s="1"/>
  <c r="N682" i="4"/>
  <c r="P682" i="4"/>
  <c r="P714" i="4"/>
  <c r="O714" i="4"/>
  <c r="N714" i="4"/>
  <c r="M714" i="4"/>
  <c r="R714" i="4" s="1"/>
  <c r="L714" i="4"/>
  <c r="Q714" i="4" s="1"/>
  <c r="P746" i="4"/>
  <c r="L746" i="4"/>
  <c r="Q746" i="4" s="1"/>
  <c r="N746" i="4"/>
  <c r="O746" i="4"/>
  <c r="M746" i="4"/>
  <c r="R746" i="4" s="1"/>
  <c r="L778" i="4"/>
  <c r="Q778" i="4" s="1"/>
  <c r="M778" i="4"/>
  <c r="R778" i="4" s="1"/>
  <c r="N778" i="4"/>
  <c r="P778" i="4"/>
  <c r="O778" i="4"/>
  <c r="N810" i="4"/>
  <c r="O810" i="4"/>
  <c r="P810" i="4"/>
  <c r="L810" i="4"/>
  <c r="Q810" i="4" s="1"/>
  <c r="M810" i="4"/>
  <c r="R810" i="4" s="1"/>
  <c r="M842" i="4"/>
  <c r="R842" i="4" s="1"/>
  <c r="O842" i="4"/>
  <c r="L842" i="4"/>
  <c r="Q842" i="4" s="1"/>
  <c r="N842" i="4"/>
  <c r="P842" i="4"/>
  <c r="L874" i="4"/>
  <c r="Q874" i="4" s="1"/>
  <c r="P874" i="4"/>
  <c r="M874" i="4"/>
  <c r="R874" i="4" s="1"/>
  <c r="O874" i="4"/>
  <c r="N874" i="4"/>
  <c r="L906" i="4"/>
  <c r="Q906" i="4" s="1"/>
  <c r="P906" i="4"/>
  <c r="M906" i="4"/>
  <c r="R906" i="4" s="1"/>
  <c r="O906" i="4"/>
  <c r="N906" i="4"/>
  <c r="O141" i="4"/>
  <c r="N141" i="4"/>
  <c r="L141" i="4"/>
  <c r="Q141" i="4" s="1"/>
  <c r="P141" i="4"/>
  <c r="M141" i="4"/>
  <c r="R141" i="4" s="1"/>
  <c r="O173" i="4"/>
  <c r="N173" i="4"/>
  <c r="L173" i="4"/>
  <c r="Q173" i="4" s="1"/>
  <c r="P173" i="4"/>
  <c r="M173" i="4"/>
  <c r="R173" i="4" s="1"/>
  <c r="L205" i="4"/>
  <c r="Q205" i="4" s="1"/>
  <c r="P205" i="4"/>
  <c r="O205" i="4"/>
  <c r="M205" i="4"/>
  <c r="R205" i="4" s="1"/>
  <c r="N205" i="4"/>
  <c r="P237" i="4"/>
  <c r="M237" i="4"/>
  <c r="R237" i="4" s="1"/>
  <c r="L237" i="4"/>
  <c r="Q237" i="4" s="1"/>
  <c r="O237" i="4"/>
  <c r="N237" i="4"/>
  <c r="O269" i="4"/>
  <c r="P269" i="4"/>
  <c r="L269" i="4"/>
  <c r="Q269" i="4" s="1"/>
  <c r="M269" i="4"/>
  <c r="R269" i="4" s="1"/>
  <c r="N269" i="4"/>
  <c r="P301" i="4"/>
  <c r="N301" i="4"/>
  <c r="O301" i="4"/>
  <c r="M301" i="4"/>
  <c r="R301" i="4" s="1"/>
  <c r="L301" i="4"/>
  <c r="Q301" i="4" s="1"/>
  <c r="L333" i="4"/>
  <c r="Q333" i="4" s="1"/>
  <c r="O333" i="4"/>
  <c r="M333" i="4"/>
  <c r="R333" i="4" s="1"/>
  <c r="P333" i="4"/>
  <c r="N333" i="4"/>
  <c r="P365" i="4"/>
  <c r="N365" i="4"/>
  <c r="M365" i="4"/>
  <c r="R365" i="4" s="1"/>
  <c r="O365" i="4"/>
  <c r="L365" i="4"/>
  <c r="Q365" i="4" s="1"/>
  <c r="N397" i="4"/>
  <c r="O397" i="4"/>
  <c r="P397" i="4"/>
  <c r="M397" i="4"/>
  <c r="R397" i="4" s="1"/>
  <c r="L397" i="4"/>
  <c r="Q397" i="4" s="1"/>
  <c r="P429" i="4"/>
  <c r="N429" i="4"/>
  <c r="M429" i="4"/>
  <c r="R429" i="4" s="1"/>
  <c r="O429" i="4"/>
  <c r="L429" i="4"/>
  <c r="Q429" i="4" s="1"/>
  <c r="N461" i="4"/>
  <c r="L461" i="4"/>
  <c r="Q461" i="4" s="1"/>
  <c r="P461" i="4"/>
  <c r="O461" i="4"/>
  <c r="M461" i="4"/>
  <c r="R461" i="4" s="1"/>
  <c r="M493" i="4"/>
  <c r="R493" i="4" s="1"/>
  <c r="P493" i="4"/>
  <c r="L493" i="4"/>
  <c r="Q493" i="4" s="1"/>
  <c r="O493" i="4"/>
  <c r="N493" i="4"/>
  <c r="N525" i="4"/>
  <c r="P525" i="4"/>
  <c r="O525" i="4"/>
  <c r="M525" i="4"/>
  <c r="R525" i="4" s="1"/>
  <c r="L525" i="4"/>
  <c r="Q525" i="4" s="1"/>
  <c r="N557" i="4"/>
  <c r="P557" i="4"/>
  <c r="O557" i="4"/>
  <c r="M557" i="4"/>
  <c r="R557" i="4" s="1"/>
  <c r="L557" i="4"/>
  <c r="Q557" i="4" s="1"/>
  <c r="M589" i="4"/>
  <c r="R589" i="4" s="1"/>
  <c r="N589" i="4"/>
  <c r="P589" i="4"/>
  <c r="O589" i="4"/>
  <c r="L589" i="4"/>
  <c r="Q589" i="4" s="1"/>
  <c r="O621" i="4"/>
  <c r="M621" i="4"/>
  <c r="R621" i="4" s="1"/>
  <c r="L621" i="4"/>
  <c r="Q621" i="4" s="1"/>
  <c r="P621" i="4"/>
  <c r="N621" i="4"/>
  <c r="M653" i="4"/>
  <c r="R653" i="4" s="1"/>
  <c r="L653" i="4"/>
  <c r="Q653" i="4" s="1"/>
  <c r="O653" i="4"/>
  <c r="P653" i="4"/>
  <c r="N653" i="4"/>
  <c r="M685" i="4"/>
  <c r="R685" i="4" s="1"/>
  <c r="L685" i="4"/>
  <c r="Q685" i="4" s="1"/>
  <c r="P685" i="4"/>
  <c r="O685" i="4"/>
  <c r="N685" i="4"/>
  <c r="N717" i="4"/>
  <c r="O717" i="4"/>
  <c r="M717" i="4"/>
  <c r="R717" i="4" s="1"/>
  <c r="L717" i="4"/>
  <c r="Q717" i="4" s="1"/>
  <c r="P717" i="4"/>
  <c r="M749" i="4"/>
  <c r="R749" i="4" s="1"/>
  <c r="N749" i="4"/>
  <c r="L749" i="4"/>
  <c r="Q749" i="4" s="1"/>
  <c r="O749" i="4"/>
  <c r="P749" i="4"/>
  <c r="P781" i="4"/>
  <c r="N781" i="4"/>
  <c r="O781" i="4"/>
  <c r="M781" i="4"/>
  <c r="R781" i="4" s="1"/>
  <c r="L781" i="4"/>
  <c r="Q781" i="4" s="1"/>
  <c r="P813" i="4"/>
  <c r="N813" i="4"/>
  <c r="O813" i="4"/>
  <c r="L813" i="4"/>
  <c r="Q813" i="4" s="1"/>
  <c r="M813" i="4"/>
  <c r="R813" i="4" s="1"/>
  <c r="P845" i="4"/>
  <c r="O845" i="4"/>
  <c r="N845" i="4"/>
  <c r="M845" i="4"/>
  <c r="R845" i="4" s="1"/>
  <c r="L845" i="4"/>
  <c r="Q845" i="4" s="1"/>
  <c r="M877" i="4"/>
  <c r="R877" i="4" s="1"/>
  <c r="P877" i="4"/>
  <c r="L877" i="4"/>
  <c r="Q877" i="4" s="1"/>
  <c r="O877" i="4"/>
  <c r="N877" i="4"/>
  <c r="M155" i="4"/>
  <c r="R155" i="4" s="1"/>
  <c r="O155" i="4"/>
  <c r="N155" i="4"/>
  <c r="P155" i="4"/>
  <c r="L155" i="4"/>
  <c r="Q155" i="4" s="1"/>
  <c r="M187" i="4"/>
  <c r="R187" i="4" s="1"/>
  <c r="L187" i="4"/>
  <c r="Q187" i="4" s="1"/>
  <c r="N187" i="4"/>
  <c r="O187" i="4"/>
  <c r="P187" i="4"/>
  <c r="O219" i="4"/>
  <c r="M219" i="4"/>
  <c r="R219" i="4" s="1"/>
  <c r="L219" i="4"/>
  <c r="Q219" i="4" s="1"/>
  <c r="N219" i="4"/>
  <c r="P219" i="4"/>
  <c r="N251" i="4"/>
  <c r="O251" i="4"/>
  <c r="M251" i="4"/>
  <c r="R251" i="4" s="1"/>
  <c r="L251" i="4"/>
  <c r="Q251" i="4" s="1"/>
  <c r="P251" i="4"/>
  <c r="N283" i="4"/>
  <c r="P283" i="4"/>
  <c r="M283" i="4"/>
  <c r="R283" i="4" s="1"/>
  <c r="L283" i="4"/>
  <c r="Q283" i="4" s="1"/>
  <c r="O283" i="4"/>
  <c r="N315" i="4"/>
  <c r="L315" i="4"/>
  <c r="Q315" i="4" s="1"/>
  <c r="P315" i="4"/>
  <c r="O315" i="4"/>
  <c r="M315" i="4"/>
  <c r="R315" i="4" s="1"/>
  <c r="M347" i="4"/>
  <c r="R347" i="4" s="1"/>
  <c r="L347" i="4"/>
  <c r="Q347" i="4" s="1"/>
  <c r="N347" i="4"/>
  <c r="O347" i="4"/>
  <c r="P347" i="4"/>
  <c r="M379" i="4"/>
  <c r="R379" i="4" s="1"/>
  <c r="P379" i="4"/>
  <c r="N379" i="4"/>
  <c r="O379" i="4"/>
  <c r="L379" i="4"/>
  <c r="Q379" i="4" s="1"/>
  <c r="M411" i="4"/>
  <c r="R411" i="4" s="1"/>
  <c r="O411" i="4"/>
  <c r="N411" i="4"/>
  <c r="L411" i="4"/>
  <c r="Q411" i="4" s="1"/>
  <c r="P411" i="4"/>
  <c r="O443" i="4"/>
  <c r="M443" i="4"/>
  <c r="R443" i="4" s="1"/>
  <c r="N443" i="4"/>
  <c r="L443" i="4"/>
  <c r="Q443" i="4" s="1"/>
  <c r="P443" i="4"/>
  <c r="N475" i="4"/>
  <c r="P475" i="4"/>
  <c r="L475" i="4"/>
  <c r="Q475" i="4" s="1"/>
  <c r="M475" i="4"/>
  <c r="R475" i="4" s="1"/>
  <c r="O475" i="4"/>
  <c r="L507" i="4"/>
  <c r="Q507" i="4" s="1"/>
  <c r="M507" i="4"/>
  <c r="R507" i="4" s="1"/>
  <c r="N507" i="4"/>
  <c r="P507" i="4"/>
  <c r="O507" i="4"/>
  <c r="N539" i="4"/>
  <c r="M539" i="4"/>
  <c r="R539" i="4" s="1"/>
  <c r="L539" i="4"/>
  <c r="Q539" i="4" s="1"/>
  <c r="P539" i="4"/>
  <c r="O539" i="4"/>
  <c r="N571" i="4"/>
  <c r="L571" i="4"/>
  <c r="Q571" i="4" s="1"/>
  <c r="M571" i="4"/>
  <c r="R571" i="4" s="1"/>
  <c r="P571" i="4"/>
  <c r="O571" i="4"/>
  <c r="P603" i="4"/>
  <c r="L603" i="4"/>
  <c r="Q603" i="4" s="1"/>
  <c r="M603" i="4"/>
  <c r="R603" i="4" s="1"/>
  <c r="N603" i="4"/>
  <c r="O603" i="4"/>
  <c r="N635" i="4"/>
  <c r="M635" i="4"/>
  <c r="R635" i="4" s="1"/>
  <c r="O635" i="4"/>
  <c r="P635" i="4"/>
  <c r="L635" i="4"/>
  <c r="Q635" i="4" s="1"/>
  <c r="N667" i="4"/>
  <c r="M667" i="4"/>
  <c r="R667" i="4" s="1"/>
  <c r="P667" i="4"/>
  <c r="O667" i="4"/>
  <c r="L667" i="4"/>
  <c r="Q667" i="4" s="1"/>
  <c r="M699" i="4"/>
  <c r="R699" i="4" s="1"/>
  <c r="L699" i="4"/>
  <c r="Q699" i="4" s="1"/>
  <c r="P699" i="4"/>
  <c r="O699" i="4"/>
  <c r="N699" i="4"/>
  <c r="O731" i="4"/>
  <c r="P731" i="4"/>
  <c r="M731" i="4"/>
  <c r="R731" i="4" s="1"/>
  <c r="N731" i="4"/>
  <c r="L731" i="4"/>
  <c r="Q731" i="4" s="1"/>
  <c r="L763" i="4"/>
  <c r="Q763" i="4" s="1"/>
  <c r="O763" i="4"/>
  <c r="M763" i="4"/>
  <c r="R763" i="4" s="1"/>
  <c r="N763" i="4"/>
  <c r="P763" i="4"/>
  <c r="M795" i="4"/>
  <c r="R795" i="4" s="1"/>
  <c r="P795" i="4"/>
  <c r="O795" i="4"/>
  <c r="L795" i="4"/>
  <c r="Q795" i="4" s="1"/>
  <c r="N795" i="4"/>
  <c r="M827" i="4"/>
  <c r="R827" i="4" s="1"/>
  <c r="P827" i="4"/>
  <c r="O827" i="4"/>
  <c r="L827" i="4"/>
  <c r="Q827" i="4" s="1"/>
  <c r="N827" i="4"/>
  <c r="P859" i="4"/>
  <c r="O859" i="4"/>
  <c r="N859" i="4"/>
  <c r="M859" i="4"/>
  <c r="R859" i="4" s="1"/>
  <c r="L859" i="4"/>
  <c r="Q859" i="4" s="1"/>
  <c r="P891" i="4"/>
  <c r="O891" i="4"/>
  <c r="N891" i="4"/>
  <c r="M891" i="4"/>
  <c r="R891" i="4" s="1"/>
  <c r="L891" i="4"/>
  <c r="Q891" i="4" s="1"/>
  <c r="M156" i="4"/>
  <c r="R156" i="4" s="1"/>
  <c r="O156" i="4"/>
  <c r="L156" i="4"/>
  <c r="Q156" i="4" s="1"/>
  <c r="N156" i="4"/>
  <c r="P156" i="4"/>
  <c r="N188" i="4"/>
  <c r="M188" i="4"/>
  <c r="R188" i="4" s="1"/>
  <c r="O188" i="4"/>
  <c r="L188" i="4"/>
  <c r="Q188" i="4" s="1"/>
  <c r="P188" i="4"/>
  <c r="N220" i="4"/>
  <c r="M220" i="4"/>
  <c r="R220" i="4" s="1"/>
  <c r="O220" i="4"/>
  <c r="L220" i="4"/>
  <c r="Q220" i="4" s="1"/>
  <c r="P220" i="4"/>
  <c r="L252" i="4"/>
  <c r="Q252" i="4" s="1"/>
  <c r="O252" i="4"/>
  <c r="N252" i="4"/>
  <c r="M252" i="4"/>
  <c r="R252" i="4" s="1"/>
  <c r="P252" i="4"/>
  <c r="L284" i="4"/>
  <c r="Q284" i="4" s="1"/>
  <c r="N284" i="4"/>
  <c r="M284" i="4"/>
  <c r="R284" i="4" s="1"/>
  <c r="O284" i="4"/>
  <c r="P284" i="4"/>
  <c r="O316" i="4"/>
  <c r="M316" i="4"/>
  <c r="R316" i="4" s="1"/>
  <c r="N316" i="4"/>
  <c r="L316" i="4"/>
  <c r="Q316" i="4" s="1"/>
  <c r="P316" i="4"/>
  <c r="O348" i="4"/>
  <c r="L348" i="4"/>
  <c r="Q348" i="4" s="1"/>
  <c r="M348" i="4"/>
  <c r="R348" i="4" s="1"/>
  <c r="N348" i="4"/>
  <c r="P348" i="4"/>
  <c r="O380" i="4"/>
  <c r="L380" i="4"/>
  <c r="Q380" i="4" s="1"/>
  <c r="M380" i="4"/>
  <c r="R380" i="4" s="1"/>
  <c r="P380" i="4"/>
  <c r="N380" i="4"/>
  <c r="L412" i="4"/>
  <c r="Q412" i="4" s="1"/>
  <c r="N412" i="4"/>
  <c r="O412" i="4"/>
  <c r="P412" i="4"/>
  <c r="M412" i="4"/>
  <c r="R412" i="4" s="1"/>
  <c r="M444" i="4"/>
  <c r="R444" i="4" s="1"/>
  <c r="L444" i="4"/>
  <c r="Q444" i="4" s="1"/>
  <c r="N444" i="4"/>
  <c r="P444" i="4"/>
  <c r="O444" i="4"/>
  <c r="M476" i="4"/>
  <c r="R476" i="4" s="1"/>
  <c r="P476" i="4"/>
  <c r="N476" i="4"/>
  <c r="L476" i="4"/>
  <c r="Q476" i="4" s="1"/>
  <c r="O476" i="4"/>
  <c r="P508" i="4"/>
  <c r="N508" i="4"/>
  <c r="O508" i="4"/>
  <c r="L508" i="4"/>
  <c r="Q508" i="4" s="1"/>
  <c r="M508" i="4"/>
  <c r="R508" i="4" s="1"/>
  <c r="P540" i="4"/>
  <c r="L540" i="4"/>
  <c r="Q540" i="4" s="1"/>
  <c r="O540" i="4"/>
  <c r="N540" i="4"/>
  <c r="M540" i="4"/>
  <c r="R540" i="4" s="1"/>
  <c r="L572" i="4"/>
  <c r="Q572" i="4" s="1"/>
  <c r="P572" i="4"/>
  <c r="N572" i="4"/>
  <c r="O572" i="4"/>
  <c r="M572" i="4"/>
  <c r="R572" i="4" s="1"/>
  <c r="L604" i="4"/>
  <c r="Q604" i="4" s="1"/>
  <c r="O604" i="4"/>
  <c r="P604" i="4"/>
  <c r="N604" i="4"/>
  <c r="M604" i="4"/>
  <c r="R604" i="4" s="1"/>
  <c r="P636" i="4"/>
  <c r="M636" i="4"/>
  <c r="R636" i="4" s="1"/>
  <c r="N636" i="4"/>
  <c r="L636" i="4"/>
  <c r="Q636" i="4" s="1"/>
  <c r="O636" i="4"/>
  <c r="P668" i="4"/>
  <c r="M668" i="4"/>
  <c r="R668" i="4" s="1"/>
  <c r="L668" i="4"/>
  <c r="Q668" i="4" s="1"/>
  <c r="N668" i="4"/>
  <c r="O668" i="4"/>
  <c r="M700" i="4"/>
  <c r="R700" i="4" s="1"/>
  <c r="P700" i="4"/>
  <c r="L700" i="4"/>
  <c r="Q700" i="4" s="1"/>
  <c r="O700" i="4"/>
  <c r="N700" i="4"/>
  <c r="L732" i="4"/>
  <c r="Q732" i="4" s="1"/>
  <c r="O732" i="4"/>
  <c r="M732" i="4"/>
  <c r="R732" i="4" s="1"/>
  <c r="N732" i="4"/>
  <c r="P732" i="4"/>
  <c r="L764" i="4"/>
  <c r="Q764" i="4" s="1"/>
  <c r="M764" i="4"/>
  <c r="R764" i="4" s="1"/>
  <c r="O764" i="4"/>
  <c r="N764" i="4"/>
  <c r="P764" i="4"/>
  <c r="L796" i="4"/>
  <c r="Q796" i="4" s="1"/>
  <c r="P796" i="4"/>
  <c r="O796" i="4"/>
  <c r="M796" i="4"/>
  <c r="R796" i="4" s="1"/>
  <c r="N796" i="4"/>
  <c r="L828" i="4"/>
  <c r="Q828" i="4" s="1"/>
  <c r="M828" i="4"/>
  <c r="R828" i="4" s="1"/>
  <c r="P828" i="4"/>
  <c r="O828" i="4"/>
  <c r="N828" i="4"/>
  <c r="P860" i="4"/>
  <c r="L860" i="4"/>
  <c r="Q860" i="4" s="1"/>
  <c r="N860" i="4"/>
  <c r="M860" i="4"/>
  <c r="R860" i="4" s="1"/>
  <c r="O860" i="4"/>
  <c r="P892" i="4"/>
  <c r="L892" i="4"/>
  <c r="Q892" i="4" s="1"/>
  <c r="N892" i="4"/>
  <c r="M892" i="4"/>
  <c r="R892" i="4" s="1"/>
  <c r="O892" i="4"/>
  <c r="L142" i="4"/>
  <c r="Q142" i="4" s="1"/>
  <c r="M142" i="4"/>
  <c r="R142" i="4" s="1"/>
  <c r="P142" i="4"/>
  <c r="N142" i="4"/>
  <c r="O142" i="4"/>
  <c r="N174" i="4"/>
  <c r="L174" i="4"/>
  <c r="Q174" i="4" s="1"/>
  <c r="P174" i="4"/>
  <c r="O174" i="4"/>
  <c r="M174" i="4"/>
  <c r="R174" i="4" s="1"/>
  <c r="L206" i="4"/>
  <c r="Q206" i="4" s="1"/>
  <c r="P206" i="4"/>
  <c r="O206" i="4"/>
  <c r="N206" i="4"/>
  <c r="M206" i="4"/>
  <c r="R206" i="4" s="1"/>
  <c r="L238" i="4"/>
  <c r="Q238" i="4" s="1"/>
  <c r="M238" i="4"/>
  <c r="R238" i="4" s="1"/>
  <c r="O238" i="4"/>
  <c r="N238" i="4"/>
  <c r="P238" i="4"/>
  <c r="O270" i="4"/>
  <c r="M270" i="4"/>
  <c r="R270" i="4" s="1"/>
  <c r="L270" i="4"/>
  <c r="Q270" i="4" s="1"/>
  <c r="N270" i="4"/>
  <c r="P270" i="4"/>
  <c r="O302" i="4"/>
  <c r="M302" i="4"/>
  <c r="R302" i="4" s="1"/>
  <c r="L302" i="4"/>
  <c r="Q302" i="4" s="1"/>
  <c r="P302" i="4"/>
  <c r="N302" i="4"/>
  <c r="M334" i="4"/>
  <c r="R334" i="4" s="1"/>
  <c r="O334" i="4"/>
  <c r="N334" i="4"/>
  <c r="L334" i="4"/>
  <c r="Q334" i="4" s="1"/>
  <c r="P334" i="4"/>
  <c r="L366" i="4"/>
  <c r="Q366" i="4" s="1"/>
  <c r="N366" i="4"/>
  <c r="O366" i="4"/>
  <c r="M366" i="4"/>
  <c r="R366" i="4" s="1"/>
  <c r="P366" i="4"/>
  <c r="P398" i="4"/>
  <c r="O398" i="4"/>
  <c r="M398" i="4"/>
  <c r="R398" i="4" s="1"/>
  <c r="N398" i="4"/>
  <c r="L398" i="4"/>
  <c r="Q398" i="4" s="1"/>
  <c r="L430" i="4"/>
  <c r="Q430" i="4" s="1"/>
  <c r="P430" i="4"/>
  <c r="O430" i="4"/>
  <c r="N430" i="4"/>
  <c r="M430" i="4"/>
  <c r="R430" i="4" s="1"/>
  <c r="O462" i="4"/>
  <c r="P462" i="4"/>
  <c r="M462" i="4"/>
  <c r="R462" i="4" s="1"/>
  <c r="N462" i="4"/>
  <c r="L462" i="4"/>
  <c r="Q462" i="4" s="1"/>
  <c r="L494" i="4"/>
  <c r="Q494" i="4" s="1"/>
  <c r="P494" i="4"/>
  <c r="M494" i="4"/>
  <c r="R494" i="4" s="1"/>
  <c r="O494" i="4"/>
  <c r="N494" i="4"/>
  <c r="L526" i="4"/>
  <c r="Q526" i="4" s="1"/>
  <c r="M526" i="4"/>
  <c r="R526" i="4" s="1"/>
  <c r="O526" i="4"/>
  <c r="P526" i="4"/>
  <c r="N526" i="4"/>
  <c r="L558" i="4"/>
  <c r="Q558" i="4" s="1"/>
  <c r="P558" i="4"/>
  <c r="O558" i="4"/>
  <c r="N558" i="4"/>
  <c r="M558" i="4"/>
  <c r="R558" i="4" s="1"/>
  <c r="P590" i="4"/>
  <c r="N590" i="4"/>
  <c r="L590" i="4"/>
  <c r="Q590" i="4" s="1"/>
  <c r="M590" i="4"/>
  <c r="R590" i="4" s="1"/>
  <c r="O590" i="4"/>
  <c r="L622" i="4"/>
  <c r="Q622" i="4" s="1"/>
  <c r="M622" i="4"/>
  <c r="R622" i="4" s="1"/>
  <c r="P622" i="4"/>
  <c r="N622" i="4"/>
  <c r="O622" i="4"/>
  <c r="O654" i="4"/>
  <c r="L654" i="4"/>
  <c r="Q654" i="4" s="1"/>
  <c r="P654" i="4"/>
  <c r="N654" i="4"/>
  <c r="M654" i="4"/>
  <c r="R654" i="4" s="1"/>
  <c r="N686" i="4"/>
  <c r="M686" i="4"/>
  <c r="R686" i="4" s="1"/>
  <c r="L686" i="4"/>
  <c r="Q686" i="4" s="1"/>
  <c r="O686" i="4"/>
  <c r="P686" i="4"/>
  <c r="N718" i="4"/>
  <c r="O718" i="4"/>
  <c r="P718" i="4"/>
  <c r="L718" i="4"/>
  <c r="Q718" i="4" s="1"/>
  <c r="M718" i="4"/>
  <c r="R718" i="4" s="1"/>
  <c r="N750" i="4"/>
  <c r="L750" i="4"/>
  <c r="Q750" i="4" s="1"/>
  <c r="O750" i="4"/>
  <c r="P750" i="4"/>
  <c r="M750" i="4"/>
  <c r="R750" i="4" s="1"/>
  <c r="L782" i="4"/>
  <c r="Q782" i="4" s="1"/>
  <c r="N782" i="4"/>
  <c r="O782" i="4"/>
  <c r="M782" i="4"/>
  <c r="R782" i="4" s="1"/>
  <c r="P782" i="4"/>
  <c r="L814" i="4"/>
  <c r="Q814" i="4" s="1"/>
  <c r="N814" i="4"/>
  <c r="O814" i="4"/>
  <c r="M814" i="4"/>
  <c r="R814" i="4" s="1"/>
  <c r="P814" i="4"/>
  <c r="L846" i="4"/>
  <c r="Q846" i="4" s="1"/>
  <c r="N846" i="4"/>
  <c r="M846" i="4"/>
  <c r="R846" i="4" s="1"/>
  <c r="O846" i="4"/>
  <c r="P846" i="4"/>
  <c r="P878" i="4"/>
  <c r="N878" i="4"/>
  <c r="O878" i="4"/>
  <c r="L878" i="4"/>
  <c r="Q878" i="4" s="1"/>
  <c r="M878" i="4"/>
  <c r="R878" i="4" s="1"/>
  <c r="M143" i="4"/>
  <c r="R143" i="4" s="1"/>
  <c r="N143" i="4"/>
  <c r="O143" i="4"/>
  <c r="L143" i="4"/>
  <c r="Q143" i="4" s="1"/>
  <c r="P143" i="4"/>
  <c r="N175" i="4"/>
  <c r="O175" i="4"/>
  <c r="M175" i="4"/>
  <c r="R175" i="4" s="1"/>
  <c r="L175" i="4"/>
  <c r="Q175" i="4" s="1"/>
  <c r="P175" i="4"/>
  <c r="N207" i="4"/>
  <c r="M207" i="4"/>
  <c r="R207" i="4" s="1"/>
  <c r="L207" i="4"/>
  <c r="Q207" i="4" s="1"/>
  <c r="O207" i="4"/>
  <c r="P207" i="4"/>
  <c r="L239" i="4"/>
  <c r="Q239" i="4" s="1"/>
  <c r="P239" i="4"/>
  <c r="N239" i="4"/>
  <c r="O239" i="4"/>
  <c r="M239" i="4"/>
  <c r="R239" i="4" s="1"/>
  <c r="N271" i="4"/>
  <c r="L271" i="4"/>
  <c r="Q271" i="4" s="1"/>
  <c r="P271" i="4"/>
  <c r="M271" i="4"/>
  <c r="R271" i="4" s="1"/>
  <c r="O271" i="4"/>
  <c r="L303" i="4"/>
  <c r="Q303" i="4" s="1"/>
  <c r="N303" i="4"/>
  <c r="P303" i="4"/>
  <c r="M303" i="4"/>
  <c r="R303" i="4" s="1"/>
  <c r="O303" i="4"/>
  <c r="M335" i="4"/>
  <c r="R335" i="4" s="1"/>
  <c r="O335" i="4"/>
  <c r="P335" i="4"/>
  <c r="L335" i="4"/>
  <c r="Q335" i="4" s="1"/>
  <c r="N335" i="4"/>
  <c r="M367" i="4"/>
  <c r="R367" i="4" s="1"/>
  <c r="O367" i="4"/>
  <c r="N367" i="4"/>
  <c r="P367" i="4"/>
  <c r="L367" i="4"/>
  <c r="Q367" i="4" s="1"/>
  <c r="M399" i="4"/>
  <c r="R399" i="4" s="1"/>
  <c r="L399" i="4"/>
  <c r="Q399" i="4" s="1"/>
  <c r="N399" i="4"/>
  <c r="O399" i="4"/>
  <c r="P399" i="4"/>
  <c r="N431" i="4"/>
  <c r="M431" i="4"/>
  <c r="R431" i="4" s="1"/>
  <c r="L431" i="4"/>
  <c r="Q431" i="4" s="1"/>
  <c r="O431" i="4"/>
  <c r="P431" i="4"/>
  <c r="L463" i="4"/>
  <c r="Q463" i="4" s="1"/>
  <c r="M463" i="4"/>
  <c r="R463" i="4" s="1"/>
  <c r="N463" i="4"/>
  <c r="O463" i="4"/>
  <c r="P463" i="4"/>
  <c r="L495" i="4"/>
  <c r="Q495" i="4" s="1"/>
  <c r="M495" i="4"/>
  <c r="R495" i="4" s="1"/>
  <c r="O495" i="4"/>
  <c r="N495" i="4"/>
  <c r="P495" i="4"/>
  <c r="N527" i="4"/>
  <c r="L527" i="4"/>
  <c r="Q527" i="4" s="1"/>
  <c r="P527" i="4"/>
  <c r="O527" i="4"/>
  <c r="M527" i="4"/>
  <c r="R527" i="4" s="1"/>
  <c r="N559" i="4"/>
  <c r="L559" i="4"/>
  <c r="Q559" i="4" s="1"/>
  <c r="P559" i="4"/>
  <c r="O559" i="4"/>
  <c r="M559" i="4"/>
  <c r="R559" i="4" s="1"/>
  <c r="L591" i="4"/>
  <c r="Q591" i="4" s="1"/>
  <c r="O591" i="4"/>
  <c r="N591" i="4"/>
  <c r="P591" i="4"/>
  <c r="M591" i="4"/>
  <c r="R591" i="4" s="1"/>
  <c r="O623" i="4"/>
  <c r="P623" i="4"/>
  <c r="L623" i="4"/>
  <c r="Q623" i="4" s="1"/>
  <c r="N623" i="4"/>
  <c r="M623" i="4"/>
  <c r="R623" i="4" s="1"/>
  <c r="N655" i="4"/>
  <c r="M655" i="4"/>
  <c r="R655" i="4" s="1"/>
  <c r="L655" i="4"/>
  <c r="Q655" i="4" s="1"/>
  <c r="P655" i="4"/>
  <c r="O655" i="4"/>
  <c r="P687" i="4"/>
  <c r="M687" i="4"/>
  <c r="R687" i="4" s="1"/>
  <c r="O687" i="4"/>
  <c r="L687" i="4"/>
  <c r="Q687" i="4" s="1"/>
  <c r="N687" i="4"/>
  <c r="O719" i="4"/>
  <c r="N719" i="4"/>
  <c r="L719" i="4"/>
  <c r="Q719" i="4" s="1"/>
  <c r="P719" i="4"/>
  <c r="M719" i="4"/>
  <c r="R719" i="4" s="1"/>
  <c r="N751" i="4"/>
  <c r="O751" i="4"/>
  <c r="P751" i="4"/>
  <c r="M751" i="4"/>
  <c r="R751" i="4" s="1"/>
  <c r="L751" i="4"/>
  <c r="Q751" i="4" s="1"/>
  <c r="P783" i="4"/>
  <c r="O783" i="4"/>
  <c r="M783" i="4"/>
  <c r="R783" i="4" s="1"/>
  <c r="L783" i="4"/>
  <c r="Q783" i="4" s="1"/>
  <c r="N783" i="4"/>
  <c r="M815" i="4"/>
  <c r="R815" i="4" s="1"/>
  <c r="O815" i="4"/>
  <c r="N815" i="4"/>
  <c r="L815" i="4"/>
  <c r="Q815" i="4" s="1"/>
  <c r="P815" i="4"/>
  <c r="M847" i="4"/>
  <c r="R847" i="4" s="1"/>
  <c r="O847" i="4"/>
  <c r="L847" i="4"/>
  <c r="Q847" i="4" s="1"/>
  <c r="P847" i="4"/>
  <c r="N847" i="4"/>
  <c r="N879" i="4"/>
  <c r="L879" i="4"/>
  <c r="Q879" i="4" s="1"/>
  <c r="O879" i="4"/>
  <c r="M879" i="4"/>
  <c r="R879" i="4" s="1"/>
  <c r="P879" i="4"/>
  <c r="N137" i="4"/>
  <c r="O137" i="4"/>
  <c r="M137" i="4"/>
  <c r="R137" i="4" s="1"/>
  <c r="L137" i="4"/>
  <c r="Q137" i="4" s="1"/>
  <c r="P137" i="4"/>
  <c r="N169" i="4"/>
  <c r="M169" i="4"/>
  <c r="R169" i="4" s="1"/>
  <c r="L169" i="4"/>
  <c r="Q169" i="4" s="1"/>
  <c r="P169" i="4"/>
  <c r="O169" i="4"/>
  <c r="P201" i="4"/>
  <c r="O201" i="4"/>
  <c r="M201" i="4"/>
  <c r="R201" i="4" s="1"/>
  <c r="N201" i="4"/>
  <c r="L201" i="4"/>
  <c r="Q201" i="4" s="1"/>
  <c r="M233" i="4"/>
  <c r="R233" i="4" s="1"/>
  <c r="P233" i="4"/>
  <c r="N233" i="4"/>
  <c r="O233" i="4"/>
  <c r="L233" i="4"/>
  <c r="Q233" i="4" s="1"/>
  <c r="M265" i="4"/>
  <c r="R265" i="4" s="1"/>
  <c r="P265" i="4"/>
  <c r="N265" i="4"/>
  <c r="O265" i="4"/>
  <c r="L265" i="4"/>
  <c r="Q265" i="4" s="1"/>
  <c r="M297" i="4"/>
  <c r="R297" i="4" s="1"/>
  <c r="O297" i="4"/>
  <c r="N297" i="4"/>
  <c r="P297" i="4"/>
  <c r="L297" i="4"/>
  <c r="Q297" i="4" s="1"/>
  <c r="M329" i="4"/>
  <c r="R329" i="4" s="1"/>
  <c r="L329" i="4"/>
  <c r="Q329" i="4" s="1"/>
  <c r="O329" i="4"/>
  <c r="N329" i="4"/>
  <c r="P329" i="4"/>
  <c r="L361" i="4"/>
  <c r="Q361" i="4" s="1"/>
  <c r="M361" i="4"/>
  <c r="R361" i="4" s="1"/>
  <c r="N361" i="4"/>
  <c r="O361" i="4"/>
  <c r="P361" i="4"/>
  <c r="N393" i="4"/>
  <c r="O393" i="4"/>
  <c r="L393" i="4"/>
  <c r="Q393" i="4" s="1"/>
  <c r="M393" i="4"/>
  <c r="R393" i="4" s="1"/>
  <c r="P393" i="4"/>
  <c r="N425" i="4"/>
  <c r="O425" i="4"/>
  <c r="M425" i="4"/>
  <c r="R425" i="4" s="1"/>
  <c r="L425" i="4"/>
  <c r="Q425" i="4" s="1"/>
  <c r="P425" i="4"/>
  <c r="M457" i="4"/>
  <c r="R457" i="4" s="1"/>
  <c r="O457" i="4"/>
  <c r="N457" i="4"/>
  <c r="L457" i="4"/>
  <c r="Q457" i="4" s="1"/>
  <c r="P457" i="4"/>
  <c r="M489" i="4"/>
  <c r="R489" i="4" s="1"/>
  <c r="O489" i="4"/>
  <c r="P489" i="4"/>
  <c r="L489" i="4"/>
  <c r="Q489" i="4" s="1"/>
  <c r="N489" i="4"/>
  <c r="M521" i="4"/>
  <c r="R521" i="4" s="1"/>
  <c r="L521" i="4"/>
  <c r="Q521" i="4" s="1"/>
  <c r="O521" i="4"/>
  <c r="N521" i="4"/>
  <c r="P521" i="4"/>
  <c r="M553" i="4"/>
  <c r="R553" i="4" s="1"/>
  <c r="L553" i="4"/>
  <c r="Q553" i="4" s="1"/>
  <c r="P553" i="4"/>
  <c r="N553" i="4"/>
  <c r="O553" i="4"/>
  <c r="L585" i="4"/>
  <c r="Q585" i="4" s="1"/>
  <c r="N585" i="4"/>
  <c r="O585" i="4"/>
  <c r="P585" i="4"/>
  <c r="M585" i="4"/>
  <c r="R585" i="4" s="1"/>
  <c r="M617" i="4"/>
  <c r="R617" i="4" s="1"/>
  <c r="N617" i="4"/>
  <c r="P617" i="4"/>
  <c r="O617" i="4"/>
  <c r="L617" i="4"/>
  <c r="Q617" i="4" s="1"/>
  <c r="P649" i="4"/>
  <c r="N649" i="4"/>
  <c r="O649" i="4"/>
  <c r="L649" i="4"/>
  <c r="Q649" i="4" s="1"/>
  <c r="M649" i="4"/>
  <c r="R649" i="4" s="1"/>
  <c r="M681" i="4"/>
  <c r="R681" i="4" s="1"/>
  <c r="L681" i="4"/>
  <c r="Q681" i="4" s="1"/>
  <c r="O681" i="4"/>
  <c r="N681" i="4"/>
  <c r="P681" i="4"/>
  <c r="N713" i="4"/>
  <c r="L713" i="4"/>
  <c r="Q713" i="4" s="1"/>
  <c r="M713" i="4"/>
  <c r="R713" i="4" s="1"/>
  <c r="O713" i="4"/>
  <c r="P713" i="4"/>
  <c r="N745" i="4"/>
  <c r="O745" i="4"/>
  <c r="M745" i="4"/>
  <c r="R745" i="4" s="1"/>
  <c r="L745" i="4"/>
  <c r="Q745" i="4" s="1"/>
  <c r="P745" i="4"/>
  <c r="P777" i="4"/>
  <c r="M777" i="4"/>
  <c r="R777" i="4" s="1"/>
  <c r="L777" i="4"/>
  <c r="Q777" i="4" s="1"/>
  <c r="N777" i="4"/>
  <c r="O777" i="4"/>
  <c r="P809" i="4"/>
  <c r="M809" i="4"/>
  <c r="R809" i="4" s="1"/>
  <c r="O809" i="4"/>
  <c r="N809" i="4"/>
  <c r="L809" i="4"/>
  <c r="Q809" i="4" s="1"/>
  <c r="M841" i="4"/>
  <c r="R841" i="4" s="1"/>
  <c r="N841" i="4"/>
  <c r="O841" i="4"/>
  <c r="P841" i="4"/>
  <c r="L841" i="4"/>
  <c r="Q841" i="4" s="1"/>
  <c r="L873" i="4"/>
  <c r="Q873" i="4" s="1"/>
  <c r="N873" i="4"/>
  <c r="O873" i="4"/>
  <c r="P873" i="4"/>
  <c r="M873" i="4"/>
  <c r="R873" i="4" s="1"/>
  <c r="O905" i="4"/>
  <c r="P905" i="4"/>
  <c r="L905" i="4"/>
  <c r="Q905" i="4" s="1"/>
  <c r="M905" i="4"/>
  <c r="R905" i="4" s="1"/>
  <c r="N905" i="4"/>
  <c r="M146" i="4"/>
  <c r="R146" i="4" s="1"/>
  <c r="P146" i="4"/>
  <c r="O146" i="4"/>
  <c r="L146" i="4"/>
  <c r="Q146" i="4" s="1"/>
  <c r="N146" i="4"/>
  <c r="L178" i="4"/>
  <c r="Q178" i="4" s="1"/>
  <c r="N178" i="4"/>
  <c r="O178" i="4"/>
  <c r="M178" i="4"/>
  <c r="R178" i="4" s="1"/>
  <c r="P178" i="4"/>
  <c r="M210" i="4"/>
  <c r="R210" i="4" s="1"/>
  <c r="N210" i="4"/>
  <c r="P210" i="4"/>
  <c r="O210" i="4"/>
  <c r="L210" i="4"/>
  <c r="Q210" i="4" s="1"/>
  <c r="N242" i="4"/>
  <c r="P242" i="4"/>
  <c r="L242" i="4"/>
  <c r="Q242" i="4" s="1"/>
  <c r="M242" i="4"/>
  <c r="R242" i="4" s="1"/>
  <c r="O242" i="4"/>
  <c r="L274" i="4"/>
  <c r="Q274" i="4" s="1"/>
  <c r="O274" i="4"/>
  <c r="N274" i="4"/>
  <c r="M274" i="4"/>
  <c r="R274" i="4" s="1"/>
  <c r="P274" i="4"/>
  <c r="N306" i="4"/>
  <c r="P306" i="4"/>
  <c r="O306" i="4"/>
  <c r="M306" i="4"/>
  <c r="R306" i="4" s="1"/>
  <c r="L306" i="4"/>
  <c r="Q306" i="4" s="1"/>
  <c r="L338" i="4"/>
  <c r="Q338" i="4" s="1"/>
  <c r="O338" i="4"/>
  <c r="P338" i="4"/>
  <c r="N338" i="4"/>
  <c r="M338" i="4"/>
  <c r="R338" i="4" s="1"/>
  <c r="L370" i="4"/>
  <c r="Q370" i="4" s="1"/>
  <c r="O370" i="4"/>
  <c r="M370" i="4"/>
  <c r="R370" i="4" s="1"/>
  <c r="N370" i="4"/>
  <c r="P370" i="4"/>
  <c r="L402" i="4"/>
  <c r="Q402" i="4" s="1"/>
  <c r="M402" i="4"/>
  <c r="R402" i="4" s="1"/>
  <c r="P402" i="4"/>
  <c r="N402" i="4"/>
  <c r="O402" i="4"/>
  <c r="L434" i="4"/>
  <c r="Q434" i="4" s="1"/>
  <c r="N434" i="4"/>
  <c r="O434" i="4"/>
  <c r="P434" i="4"/>
  <c r="M434" i="4"/>
  <c r="R434" i="4" s="1"/>
  <c r="M466" i="4"/>
  <c r="R466" i="4" s="1"/>
  <c r="N466" i="4"/>
  <c r="P466" i="4"/>
  <c r="O466" i="4"/>
  <c r="L466" i="4"/>
  <c r="Q466" i="4" s="1"/>
  <c r="M498" i="4"/>
  <c r="R498" i="4" s="1"/>
  <c r="L498" i="4"/>
  <c r="Q498" i="4" s="1"/>
  <c r="O498" i="4"/>
  <c r="N498" i="4"/>
  <c r="P498" i="4"/>
  <c r="L530" i="4"/>
  <c r="Q530" i="4" s="1"/>
  <c r="M530" i="4"/>
  <c r="R530" i="4" s="1"/>
  <c r="P530" i="4"/>
  <c r="O530" i="4"/>
  <c r="N530" i="4"/>
  <c r="M562" i="4"/>
  <c r="R562" i="4" s="1"/>
  <c r="N562" i="4"/>
  <c r="O562" i="4"/>
  <c r="P562" i="4"/>
  <c r="L562" i="4"/>
  <c r="Q562" i="4" s="1"/>
  <c r="O594" i="4"/>
  <c r="M594" i="4"/>
  <c r="R594" i="4" s="1"/>
  <c r="N594" i="4"/>
  <c r="P594" i="4"/>
  <c r="L594" i="4"/>
  <c r="Q594" i="4" s="1"/>
  <c r="M626" i="4"/>
  <c r="R626" i="4" s="1"/>
  <c r="O626" i="4"/>
  <c r="P626" i="4"/>
  <c r="L626" i="4"/>
  <c r="Q626" i="4" s="1"/>
  <c r="N626" i="4"/>
  <c r="O658" i="4"/>
  <c r="P658" i="4"/>
  <c r="M658" i="4"/>
  <c r="R658" i="4" s="1"/>
  <c r="N658" i="4"/>
  <c r="L658" i="4"/>
  <c r="Q658" i="4" s="1"/>
  <c r="P690" i="4"/>
  <c r="O690" i="4"/>
  <c r="L690" i="4"/>
  <c r="Q690" i="4" s="1"/>
  <c r="M690" i="4"/>
  <c r="R690" i="4" s="1"/>
  <c r="N690" i="4"/>
  <c r="P722" i="4"/>
  <c r="N722" i="4"/>
  <c r="L722" i="4"/>
  <c r="Q722" i="4" s="1"/>
  <c r="O722" i="4"/>
  <c r="M722" i="4"/>
  <c r="R722" i="4" s="1"/>
  <c r="N754" i="4"/>
  <c r="O754" i="4"/>
  <c r="P754" i="4"/>
  <c r="L754" i="4"/>
  <c r="Q754" i="4" s="1"/>
  <c r="M754" i="4"/>
  <c r="R754" i="4" s="1"/>
  <c r="L786" i="4"/>
  <c r="Q786" i="4" s="1"/>
  <c r="P786" i="4"/>
  <c r="N786" i="4"/>
  <c r="M786" i="4"/>
  <c r="R786" i="4" s="1"/>
  <c r="O786" i="4"/>
  <c r="L818" i="4"/>
  <c r="Q818" i="4" s="1"/>
  <c r="O818" i="4"/>
  <c r="P818" i="4"/>
  <c r="M818" i="4"/>
  <c r="R818" i="4" s="1"/>
  <c r="N818" i="4"/>
  <c r="L850" i="4"/>
  <c r="Q850" i="4" s="1"/>
  <c r="O850" i="4"/>
  <c r="P850" i="4"/>
  <c r="M850" i="4"/>
  <c r="R850" i="4" s="1"/>
  <c r="N850" i="4"/>
  <c r="L882" i="4"/>
  <c r="Q882" i="4" s="1"/>
  <c r="M882" i="4"/>
  <c r="R882" i="4" s="1"/>
  <c r="N882" i="4"/>
  <c r="O882" i="4"/>
  <c r="P882" i="4"/>
  <c r="N149" i="4"/>
  <c r="M149" i="4"/>
  <c r="R149" i="4" s="1"/>
  <c r="P149" i="4"/>
  <c r="O149" i="4"/>
  <c r="L149" i="4"/>
  <c r="Q149" i="4" s="1"/>
  <c r="M181" i="4"/>
  <c r="R181" i="4" s="1"/>
  <c r="L181" i="4"/>
  <c r="Q181" i="4" s="1"/>
  <c r="O181" i="4"/>
  <c r="P181" i="4"/>
  <c r="N181" i="4"/>
  <c r="M213" i="4"/>
  <c r="R213" i="4" s="1"/>
  <c r="O213" i="4"/>
  <c r="P213" i="4"/>
  <c r="L213" i="4"/>
  <c r="Q213" i="4" s="1"/>
  <c r="N213" i="4"/>
  <c r="P245" i="4"/>
  <c r="L245" i="4"/>
  <c r="Q245" i="4" s="1"/>
  <c r="O245" i="4"/>
  <c r="M245" i="4"/>
  <c r="R245" i="4" s="1"/>
  <c r="N245" i="4"/>
  <c r="L277" i="4"/>
  <c r="Q277" i="4" s="1"/>
  <c r="M277" i="4"/>
  <c r="R277" i="4" s="1"/>
  <c r="O277" i="4"/>
  <c r="N277" i="4"/>
  <c r="P277" i="4"/>
  <c r="N309" i="4"/>
  <c r="P309" i="4"/>
  <c r="L309" i="4"/>
  <c r="Q309" i="4" s="1"/>
  <c r="O309" i="4"/>
  <c r="M309" i="4"/>
  <c r="R309" i="4" s="1"/>
  <c r="L341" i="4"/>
  <c r="Q341" i="4" s="1"/>
  <c r="O341" i="4"/>
  <c r="N341" i="4"/>
  <c r="M341" i="4"/>
  <c r="R341" i="4" s="1"/>
  <c r="P341" i="4"/>
  <c r="L373" i="4"/>
  <c r="Q373" i="4" s="1"/>
  <c r="O373" i="4"/>
  <c r="P373" i="4"/>
  <c r="N373" i="4"/>
  <c r="M373" i="4"/>
  <c r="R373" i="4" s="1"/>
  <c r="L405" i="4"/>
  <c r="Q405" i="4" s="1"/>
  <c r="M405" i="4"/>
  <c r="R405" i="4" s="1"/>
  <c r="N405" i="4"/>
  <c r="O405" i="4"/>
  <c r="P405" i="4"/>
  <c r="M437" i="4"/>
  <c r="R437" i="4" s="1"/>
  <c r="L437" i="4"/>
  <c r="Q437" i="4" s="1"/>
  <c r="P437" i="4"/>
  <c r="N437" i="4"/>
  <c r="O437" i="4"/>
  <c r="M469" i="4"/>
  <c r="R469" i="4" s="1"/>
  <c r="O469" i="4"/>
  <c r="L469" i="4"/>
  <c r="Q469" i="4" s="1"/>
  <c r="N469" i="4"/>
  <c r="P469" i="4"/>
  <c r="O501" i="4"/>
  <c r="L501" i="4"/>
  <c r="Q501" i="4" s="1"/>
  <c r="P501" i="4"/>
  <c r="M501" i="4"/>
  <c r="R501" i="4" s="1"/>
  <c r="N501" i="4"/>
  <c r="O533" i="4"/>
  <c r="M533" i="4"/>
  <c r="R533" i="4" s="1"/>
  <c r="L533" i="4"/>
  <c r="Q533" i="4" s="1"/>
  <c r="N533" i="4"/>
  <c r="P533" i="4"/>
  <c r="N565" i="4"/>
  <c r="O565" i="4"/>
  <c r="M565" i="4"/>
  <c r="R565" i="4" s="1"/>
  <c r="L565" i="4"/>
  <c r="Q565" i="4" s="1"/>
  <c r="P565" i="4"/>
  <c r="N597" i="4"/>
  <c r="O597" i="4"/>
  <c r="P597" i="4"/>
  <c r="M597" i="4"/>
  <c r="R597" i="4" s="1"/>
  <c r="L597" i="4"/>
  <c r="Q597" i="4" s="1"/>
  <c r="L629" i="4"/>
  <c r="Q629" i="4" s="1"/>
  <c r="M629" i="4"/>
  <c r="R629" i="4" s="1"/>
  <c r="O629" i="4"/>
  <c r="N629" i="4"/>
  <c r="P629" i="4"/>
  <c r="L661" i="4"/>
  <c r="Q661" i="4" s="1"/>
  <c r="M661" i="4"/>
  <c r="R661" i="4" s="1"/>
  <c r="N661" i="4"/>
  <c r="O661" i="4"/>
  <c r="P661" i="4"/>
  <c r="N693" i="4"/>
  <c r="M693" i="4"/>
  <c r="R693" i="4" s="1"/>
  <c r="P693" i="4"/>
  <c r="L693" i="4"/>
  <c r="Q693" i="4" s="1"/>
  <c r="O693" i="4"/>
  <c r="O725" i="4"/>
  <c r="L725" i="4"/>
  <c r="Q725" i="4" s="1"/>
  <c r="M725" i="4"/>
  <c r="R725" i="4" s="1"/>
  <c r="N725" i="4"/>
  <c r="P725" i="4"/>
  <c r="N757" i="4"/>
  <c r="L757" i="4"/>
  <c r="Q757" i="4" s="1"/>
  <c r="M757" i="4"/>
  <c r="R757" i="4" s="1"/>
  <c r="O757" i="4"/>
  <c r="P757" i="4"/>
  <c r="P789" i="4"/>
  <c r="L789" i="4"/>
  <c r="Q789" i="4" s="1"/>
  <c r="M789" i="4"/>
  <c r="R789" i="4" s="1"/>
  <c r="O789" i="4"/>
  <c r="N789" i="4"/>
  <c r="P821" i="4"/>
  <c r="O821" i="4"/>
  <c r="L821" i="4"/>
  <c r="Q821" i="4" s="1"/>
  <c r="N821" i="4"/>
  <c r="M821" i="4"/>
  <c r="R821" i="4" s="1"/>
  <c r="O853" i="4"/>
  <c r="P853" i="4"/>
  <c r="M853" i="4"/>
  <c r="R853" i="4" s="1"/>
  <c r="N853" i="4"/>
  <c r="L853" i="4"/>
  <c r="Q853" i="4" s="1"/>
  <c r="N885" i="4"/>
  <c r="O885" i="4"/>
  <c r="L885" i="4"/>
  <c r="Q885" i="4" s="1"/>
  <c r="M885" i="4"/>
  <c r="R885" i="4" s="1"/>
  <c r="P885" i="4"/>
  <c r="L160" i="4"/>
  <c r="Q160" i="4" s="1"/>
  <c r="O160" i="4"/>
  <c r="N160" i="4"/>
  <c r="P160" i="4"/>
  <c r="M160" i="4"/>
  <c r="R160" i="4" s="1"/>
  <c r="O192" i="4"/>
  <c r="N192" i="4"/>
  <c r="M192" i="4"/>
  <c r="R192" i="4" s="1"/>
  <c r="L192" i="4"/>
  <c r="Q192" i="4" s="1"/>
  <c r="P192" i="4"/>
  <c r="N224" i="4"/>
  <c r="P224" i="4"/>
  <c r="L224" i="4"/>
  <c r="Q224" i="4" s="1"/>
  <c r="M224" i="4"/>
  <c r="R224" i="4" s="1"/>
  <c r="O224" i="4"/>
  <c r="N256" i="4"/>
  <c r="P256" i="4"/>
  <c r="O256" i="4"/>
  <c r="L256" i="4"/>
  <c r="Q256" i="4" s="1"/>
  <c r="M256" i="4"/>
  <c r="R256" i="4" s="1"/>
  <c r="L288" i="4"/>
  <c r="Q288" i="4" s="1"/>
  <c r="N288" i="4"/>
  <c r="O288" i="4"/>
  <c r="M288" i="4"/>
  <c r="R288" i="4" s="1"/>
  <c r="P288" i="4"/>
  <c r="O320" i="4"/>
  <c r="M320" i="4"/>
  <c r="R320" i="4" s="1"/>
  <c r="L320" i="4"/>
  <c r="Q320" i="4" s="1"/>
  <c r="P320" i="4"/>
  <c r="N320" i="4"/>
  <c r="O352" i="4"/>
  <c r="N352" i="4"/>
  <c r="M352" i="4"/>
  <c r="R352" i="4" s="1"/>
  <c r="L352" i="4"/>
  <c r="Q352" i="4" s="1"/>
  <c r="P352" i="4"/>
  <c r="M384" i="4"/>
  <c r="R384" i="4" s="1"/>
  <c r="N384" i="4"/>
  <c r="L384" i="4"/>
  <c r="Q384" i="4" s="1"/>
  <c r="O384" i="4"/>
  <c r="P384" i="4"/>
  <c r="O416" i="4"/>
  <c r="L416" i="4"/>
  <c r="Q416" i="4" s="1"/>
  <c r="M416" i="4"/>
  <c r="R416" i="4" s="1"/>
  <c r="N416" i="4"/>
  <c r="P416" i="4"/>
  <c r="L448" i="4"/>
  <c r="Q448" i="4" s="1"/>
  <c r="P448" i="4"/>
  <c r="O448" i="4"/>
  <c r="M448" i="4"/>
  <c r="R448" i="4" s="1"/>
  <c r="N448" i="4"/>
  <c r="M480" i="4"/>
  <c r="R480" i="4" s="1"/>
  <c r="O480" i="4"/>
  <c r="N480" i="4"/>
  <c r="P480" i="4"/>
  <c r="L480" i="4"/>
  <c r="Q480" i="4" s="1"/>
  <c r="P512" i="4"/>
  <c r="L512" i="4"/>
  <c r="Q512" i="4" s="1"/>
  <c r="M512" i="4"/>
  <c r="R512" i="4" s="1"/>
  <c r="O512" i="4"/>
  <c r="N512" i="4"/>
  <c r="P544" i="4"/>
  <c r="L544" i="4"/>
  <c r="Q544" i="4" s="1"/>
  <c r="M544" i="4"/>
  <c r="R544" i="4" s="1"/>
  <c r="N544" i="4"/>
  <c r="O544" i="4"/>
  <c r="L576" i="4"/>
  <c r="Q576" i="4" s="1"/>
  <c r="M576" i="4"/>
  <c r="R576" i="4" s="1"/>
  <c r="N576" i="4"/>
  <c r="O576" i="4"/>
  <c r="P576" i="4"/>
  <c r="M608" i="4"/>
  <c r="R608" i="4" s="1"/>
  <c r="P608" i="4"/>
  <c r="L608" i="4"/>
  <c r="Q608" i="4" s="1"/>
  <c r="O608" i="4"/>
  <c r="N608" i="4"/>
  <c r="P640" i="4"/>
  <c r="M640" i="4"/>
  <c r="R640" i="4" s="1"/>
  <c r="N640" i="4"/>
  <c r="O640" i="4"/>
  <c r="L640" i="4"/>
  <c r="Q640" i="4" s="1"/>
  <c r="M672" i="4"/>
  <c r="R672" i="4" s="1"/>
  <c r="P672" i="4"/>
  <c r="L672" i="4"/>
  <c r="Q672" i="4" s="1"/>
  <c r="N672" i="4"/>
  <c r="O672" i="4"/>
  <c r="M704" i="4"/>
  <c r="R704" i="4" s="1"/>
  <c r="N704" i="4"/>
  <c r="O704" i="4"/>
  <c r="P704" i="4"/>
  <c r="L704" i="4"/>
  <c r="Q704" i="4" s="1"/>
  <c r="L736" i="4"/>
  <c r="Q736" i="4" s="1"/>
  <c r="P736" i="4"/>
  <c r="M736" i="4"/>
  <c r="R736" i="4" s="1"/>
  <c r="N736" i="4"/>
  <c r="O736" i="4"/>
  <c r="L768" i="4"/>
  <c r="Q768" i="4" s="1"/>
  <c r="M768" i="4"/>
  <c r="R768" i="4" s="1"/>
  <c r="O768" i="4"/>
  <c r="P768" i="4"/>
  <c r="N768" i="4"/>
  <c r="L800" i="4"/>
  <c r="Q800" i="4" s="1"/>
  <c r="O800" i="4"/>
  <c r="M800" i="4"/>
  <c r="R800" i="4" s="1"/>
  <c r="N800" i="4"/>
  <c r="P800" i="4"/>
  <c r="L832" i="4"/>
  <c r="Q832" i="4" s="1"/>
  <c r="O832" i="4"/>
  <c r="N832" i="4"/>
  <c r="M832" i="4"/>
  <c r="R832" i="4" s="1"/>
  <c r="P832" i="4"/>
  <c r="P864" i="4"/>
  <c r="L864" i="4"/>
  <c r="Q864" i="4" s="1"/>
  <c r="M864" i="4"/>
  <c r="R864" i="4" s="1"/>
  <c r="O864" i="4"/>
  <c r="N864" i="4"/>
  <c r="P896" i="4"/>
  <c r="M896" i="4"/>
  <c r="R896" i="4" s="1"/>
  <c r="O896" i="4"/>
  <c r="L896" i="4"/>
  <c r="Q896" i="4" s="1"/>
  <c r="N896" i="4"/>
  <c r="N163" i="4"/>
  <c r="O163" i="4"/>
  <c r="L163" i="4"/>
  <c r="Q163" i="4" s="1"/>
  <c r="M163" i="4"/>
  <c r="R163" i="4" s="1"/>
  <c r="P163" i="4"/>
  <c r="L195" i="4"/>
  <c r="Q195" i="4" s="1"/>
  <c r="M195" i="4"/>
  <c r="R195" i="4" s="1"/>
  <c r="O195" i="4"/>
  <c r="P195" i="4"/>
  <c r="N195" i="4"/>
  <c r="O227" i="4"/>
  <c r="M227" i="4"/>
  <c r="R227" i="4" s="1"/>
  <c r="P227" i="4"/>
  <c r="N227" i="4"/>
  <c r="L227" i="4"/>
  <c r="Q227" i="4" s="1"/>
  <c r="N259" i="4"/>
  <c r="O259" i="4"/>
  <c r="M259" i="4"/>
  <c r="R259" i="4" s="1"/>
  <c r="P259" i="4"/>
  <c r="L259" i="4"/>
  <c r="Q259" i="4" s="1"/>
  <c r="M291" i="4"/>
  <c r="R291" i="4" s="1"/>
  <c r="L291" i="4"/>
  <c r="Q291" i="4" s="1"/>
  <c r="N291" i="4"/>
  <c r="O291" i="4"/>
  <c r="P291" i="4"/>
  <c r="M323" i="4"/>
  <c r="R323" i="4" s="1"/>
  <c r="P323" i="4"/>
  <c r="O323" i="4"/>
  <c r="N323" i="4"/>
  <c r="L323" i="4"/>
  <c r="Q323" i="4" s="1"/>
  <c r="L355" i="4"/>
  <c r="Q355" i="4" s="1"/>
  <c r="M355" i="4"/>
  <c r="R355" i="4" s="1"/>
  <c r="P355" i="4"/>
  <c r="N355" i="4"/>
  <c r="O355" i="4"/>
  <c r="M387" i="4"/>
  <c r="R387" i="4" s="1"/>
  <c r="N387" i="4"/>
  <c r="P387" i="4"/>
  <c r="L387" i="4"/>
  <c r="Q387" i="4" s="1"/>
  <c r="O387" i="4"/>
  <c r="M419" i="4"/>
  <c r="R419" i="4" s="1"/>
  <c r="L419" i="4"/>
  <c r="Q419" i="4" s="1"/>
  <c r="P419" i="4"/>
  <c r="N419" i="4"/>
  <c r="O419" i="4"/>
  <c r="O451" i="4"/>
  <c r="N451" i="4"/>
  <c r="P451" i="4"/>
  <c r="L451" i="4"/>
  <c r="Q451" i="4" s="1"/>
  <c r="M451" i="4"/>
  <c r="R451" i="4" s="1"/>
  <c r="L483" i="4"/>
  <c r="Q483" i="4" s="1"/>
  <c r="M483" i="4"/>
  <c r="R483" i="4" s="1"/>
  <c r="P483" i="4"/>
  <c r="O483" i="4"/>
  <c r="N483" i="4"/>
  <c r="O515" i="4"/>
  <c r="P515" i="4"/>
  <c r="N515" i="4"/>
  <c r="M515" i="4"/>
  <c r="R515" i="4" s="1"/>
  <c r="L515" i="4"/>
  <c r="Q515" i="4" s="1"/>
  <c r="M547" i="4"/>
  <c r="R547" i="4" s="1"/>
  <c r="O547" i="4"/>
  <c r="P547" i="4"/>
  <c r="N547" i="4"/>
  <c r="L547" i="4"/>
  <c r="Q547" i="4" s="1"/>
  <c r="N579" i="4"/>
  <c r="L579" i="4"/>
  <c r="Q579" i="4" s="1"/>
  <c r="M579" i="4"/>
  <c r="R579" i="4" s="1"/>
  <c r="O579" i="4"/>
  <c r="P579" i="4"/>
  <c r="M611" i="4"/>
  <c r="R611" i="4" s="1"/>
  <c r="O611" i="4"/>
  <c r="N611" i="4"/>
  <c r="P611" i="4"/>
  <c r="L611" i="4"/>
  <c r="Q611" i="4" s="1"/>
  <c r="N643" i="4"/>
  <c r="M643" i="4"/>
  <c r="R643" i="4" s="1"/>
  <c r="O643" i="4"/>
  <c r="P643" i="4"/>
  <c r="L643" i="4"/>
  <c r="Q643" i="4" s="1"/>
  <c r="M675" i="4"/>
  <c r="R675" i="4" s="1"/>
  <c r="N675" i="4"/>
  <c r="L675" i="4"/>
  <c r="Q675" i="4" s="1"/>
  <c r="O675" i="4"/>
  <c r="P675" i="4"/>
  <c r="M707" i="4"/>
  <c r="R707" i="4" s="1"/>
  <c r="L707" i="4"/>
  <c r="Q707" i="4" s="1"/>
  <c r="O707" i="4"/>
  <c r="N707" i="4"/>
  <c r="P707" i="4"/>
  <c r="L739" i="4"/>
  <c r="Q739" i="4" s="1"/>
  <c r="M739" i="4"/>
  <c r="R739" i="4" s="1"/>
  <c r="O739" i="4"/>
  <c r="P739" i="4"/>
  <c r="N739" i="4"/>
  <c r="O771" i="4"/>
  <c r="M771" i="4"/>
  <c r="R771" i="4" s="1"/>
  <c r="L771" i="4"/>
  <c r="Q771" i="4" s="1"/>
  <c r="N771" i="4"/>
  <c r="P771" i="4"/>
  <c r="M803" i="4"/>
  <c r="R803" i="4" s="1"/>
  <c r="P803" i="4"/>
  <c r="O803" i="4"/>
  <c r="L803" i="4"/>
  <c r="Q803" i="4" s="1"/>
  <c r="N803" i="4"/>
  <c r="L835" i="4"/>
  <c r="Q835" i="4" s="1"/>
  <c r="N835" i="4"/>
  <c r="M835" i="4"/>
  <c r="R835" i="4" s="1"/>
  <c r="O835" i="4"/>
  <c r="P835" i="4"/>
  <c r="N867" i="4"/>
  <c r="M867" i="4"/>
  <c r="R867" i="4" s="1"/>
  <c r="L867" i="4"/>
  <c r="Q867" i="4" s="1"/>
  <c r="P867" i="4"/>
  <c r="O867" i="4"/>
  <c r="P899" i="4"/>
  <c r="L899" i="4"/>
  <c r="Q899" i="4" s="1"/>
  <c r="M899" i="4"/>
  <c r="R899" i="4" s="1"/>
  <c r="N899" i="4"/>
  <c r="O899" i="4"/>
  <c r="N164" i="4"/>
  <c r="O164" i="4"/>
  <c r="L164" i="4"/>
  <c r="Q164" i="4" s="1"/>
  <c r="P164" i="4"/>
  <c r="M164" i="4"/>
  <c r="R164" i="4" s="1"/>
  <c r="O196" i="4"/>
  <c r="N196" i="4"/>
  <c r="M196" i="4"/>
  <c r="R196" i="4" s="1"/>
  <c r="P196" i="4"/>
  <c r="L196" i="4"/>
  <c r="Q196" i="4" s="1"/>
  <c r="N228" i="4"/>
  <c r="M228" i="4"/>
  <c r="R228" i="4" s="1"/>
  <c r="P228" i="4"/>
  <c r="L228" i="4"/>
  <c r="Q228" i="4" s="1"/>
  <c r="O228" i="4"/>
  <c r="M260" i="4"/>
  <c r="R260" i="4" s="1"/>
  <c r="P260" i="4"/>
  <c r="O260" i="4"/>
  <c r="L260" i="4"/>
  <c r="Q260" i="4" s="1"/>
  <c r="N260" i="4"/>
  <c r="O292" i="4"/>
  <c r="P292" i="4"/>
  <c r="M292" i="4"/>
  <c r="R292" i="4" s="1"/>
  <c r="N292" i="4"/>
  <c r="L292" i="4"/>
  <c r="Q292" i="4" s="1"/>
  <c r="N324" i="4"/>
  <c r="O324" i="4"/>
  <c r="M324" i="4"/>
  <c r="R324" i="4" s="1"/>
  <c r="P324" i="4"/>
  <c r="L324" i="4"/>
  <c r="Q324" i="4" s="1"/>
  <c r="M356" i="4"/>
  <c r="R356" i="4" s="1"/>
  <c r="N356" i="4"/>
  <c r="O356" i="4"/>
  <c r="L356" i="4"/>
  <c r="Q356" i="4" s="1"/>
  <c r="P356" i="4"/>
  <c r="M388" i="4"/>
  <c r="R388" i="4" s="1"/>
  <c r="L388" i="4"/>
  <c r="Q388" i="4" s="1"/>
  <c r="P388" i="4"/>
  <c r="O388" i="4"/>
  <c r="N388" i="4"/>
  <c r="L420" i="4"/>
  <c r="Q420" i="4" s="1"/>
  <c r="M420" i="4"/>
  <c r="R420" i="4" s="1"/>
  <c r="N420" i="4"/>
  <c r="O420" i="4"/>
  <c r="P420" i="4"/>
  <c r="O452" i="4"/>
  <c r="L452" i="4"/>
  <c r="Q452" i="4" s="1"/>
  <c r="P452" i="4"/>
  <c r="M452" i="4"/>
  <c r="R452" i="4" s="1"/>
  <c r="N452" i="4"/>
  <c r="M484" i="4"/>
  <c r="R484" i="4" s="1"/>
  <c r="N484" i="4"/>
  <c r="L484" i="4"/>
  <c r="Q484" i="4" s="1"/>
  <c r="O484" i="4"/>
  <c r="P484" i="4"/>
  <c r="P516" i="4"/>
  <c r="N516" i="4"/>
  <c r="M516" i="4"/>
  <c r="R516" i="4" s="1"/>
  <c r="L516" i="4"/>
  <c r="Q516" i="4" s="1"/>
  <c r="O516" i="4"/>
  <c r="L548" i="4"/>
  <c r="Q548" i="4" s="1"/>
  <c r="M548" i="4"/>
  <c r="R548" i="4" s="1"/>
  <c r="P548" i="4"/>
  <c r="N548" i="4"/>
  <c r="O548" i="4"/>
  <c r="P580" i="4"/>
  <c r="N580" i="4"/>
  <c r="L580" i="4"/>
  <c r="Q580" i="4" s="1"/>
  <c r="M580" i="4"/>
  <c r="R580" i="4" s="1"/>
  <c r="O580" i="4"/>
  <c r="L612" i="4"/>
  <c r="Q612" i="4" s="1"/>
  <c r="M612" i="4"/>
  <c r="R612" i="4" s="1"/>
  <c r="N612" i="4"/>
  <c r="P612" i="4"/>
  <c r="O612" i="4"/>
  <c r="N644" i="4"/>
  <c r="M644" i="4"/>
  <c r="R644" i="4" s="1"/>
  <c r="O644" i="4"/>
  <c r="P644" i="4"/>
  <c r="L644" i="4"/>
  <c r="Q644" i="4" s="1"/>
  <c r="L676" i="4"/>
  <c r="Q676" i="4" s="1"/>
  <c r="N676" i="4"/>
  <c r="P676" i="4"/>
  <c r="M676" i="4"/>
  <c r="R676" i="4" s="1"/>
  <c r="O676" i="4"/>
  <c r="M708" i="4"/>
  <c r="R708" i="4" s="1"/>
  <c r="P708" i="4"/>
  <c r="N708" i="4"/>
  <c r="O708" i="4"/>
  <c r="L708" i="4"/>
  <c r="Q708" i="4" s="1"/>
  <c r="L740" i="4"/>
  <c r="Q740" i="4" s="1"/>
  <c r="O740" i="4"/>
  <c r="M740" i="4"/>
  <c r="R740" i="4" s="1"/>
  <c r="P740" i="4"/>
  <c r="N740" i="4"/>
  <c r="L772" i="4"/>
  <c r="Q772" i="4" s="1"/>
  <c r="O772" i="4"/>
  <c r="M772" i="4"/>
  <c r="R772" i="4" s="1"/>
  <c r="P772" i="4"/>
  <c r="N772" i="4"/>
  <c r="L804" i="4"/>
  <c r="Q804" i="4" s="1"/>
  <c r="O804" i="4"/>
  <c r="N804" i="4"/>
  <c r="M804" i="4"/>
  <c r="R804" i="4" s="1"/>
  <c r="P804" i="4"/>
  <c r="L836" i="4"/>
  <c r="Q836" i="4" s="1"/>
  <c r="O836" i="4"/>
  <c r="N836" i="4"/>
  <c r="M836" i="4"/>
  <c r="R836" i="4" s="1"/>
  <c r="P836" i="4"/>
  <c r="L868" i="4"/>
  <c r="Q868" i="4" s="1"/>
  <c r="N868" i="4"/>
  <c r="O868" i="4"/>
  <c r="P868" i="4"/>
  <c r="M868" i="4"/>
  <c r="R868" i="4" s="1"/>
  <c r="L900" i="4"/>
  <c r="Q900" i="4" s="1"/>
  <c r="P900" i="4"/>
  <c r="O900" i="4"/>
  <c r="N900" i="4"/>
  <c r="M900" i="4"/>
  <c r="R900" i="4" s="1"/>
  <c r="O150" i="4"/>
  <c r="M150" i="4"/>
  <c r="R150" i="4" s="1"/>
  <c r="P150" i="4"/>
  <c r="L150" i="4"/>
  <c r="Q150" i="4" s="1"/>
  <c r="N150" i="4"/>
  <c r="L182" i="4"/>
  <c r="Q182" i="4" s="1"/>
  <c r="M182" i="4"/>
  <c r="R182" i="4" s="1"/>
  <c r="N182" i="4"/>
  <c r="P182" i="4"/>
  <c r="O182" i="4"/>
  <c r="M214" i="4"/>
  <c r="R214" i="4" s="1"/>
  <c r="N214" i="4"/>
  <c r="P214" i="4"/>
  <c r="O214" i="4"/>
  <c r="L214" i="4"/>
  <c r="Q214" i="4" s="1"/>
  <c r="L246" i="4"/>
  <c r="Q246" i="4" s="1"/>
  <c r="O246" i="4"/>
  <c r="N246" i="4"/>
  <c r="M246" i="4"/>
  <c r="R246" i="4" s="1"/>
  <c r="P246" i="4"/>
  <c r="O278" i="4"/>
  <c r="P278" i="4"/>
  <c r="L278" i="4"/>
  <c r="Q278" i="4" s="1"/>
  <c r="M278" i="4"/>
  <c r="R278" i="4" s="1"/>
  <c r="N278" i="4"/>
  <c r="L310" i="4"/>
  <c r="Q310" i="4" s="1"/>
  <c r="P310" i="4"/>
  <c r="N310" i="4"/>
  <c r="M310" i="4"/>
  <c r="R310" i="4" s="1"/>
  <c r="O310" i="4"/>
  <c r="N342" i="4"/>
  <c r="L342" i="4"/>
  <c r="Q342" i="4" s="1"/>
  <c r="M342" i="4"/>
  <c r="R342" i="4" s="1"/>
  <c r="O342" i="4"/>
  <c r="P342" i="4"/>
  <c r="M374" i="4"/>
  <c r="R374" i="4" s="1"/>
  <c r="N374" i="4"/>
  <c r="O374" i="4"/>
  <c r="L374" i="4"/>
  <c r="Q374" i="4" s="1"/>
  <c r="P374" i="4"/>
  <c r="L406" i="4"/>
  <c r="Q406" i="4" s="1"/>
  <c r="M406" i="4"/>
  <c r="R406" i="4" s="1"/>
  <c r="P406" i="4"/>
  <c r="N406" i="4"/>
  <c r="O406" i="4"/>
  <c r="L438" i="4"/>
  <c r="Q438" i="4" s="1"/>
  <c r="N438" i="4"/>
  <c r="P438" i="4"/>
  <c r="M438" i="4"/>
  <c r="R438" i="4" s="1"/>
  <c r="O438" i="4"/>
  <c r="M470" i="4"/>
  <c r="R470" i="4" s="1"/>
  <c r="O470" i="4"/>
  <c r="L470" i="4"/>
  <c r="Q470" i="4" s="1"/>
  <c r="P470" i="4"/>
  <c r="N470" i="4"/>
  <c r="O502" i="4"/>
  <c r="P502" i="4"/>
  <c r="L502" i="4"/>
  <c r="Q502" i="4" s="1"/>
  <c r="N502" i="4"/>
  <c r="M502" i="4"/>
  <c r="R502" i="4" s="1"/>
  <c r="L534" i="4"/>
  <c r="Q534" i="4" s="1"/>
  <c r="P534" i="4"/>
  <c r="O534" i="4"/>
  <c r="M534" i="4"/>
  <c r="R534" i="4" s="1"/>
  <c r="N534" i="4"/>
  <c r="L566" i="4"/>
  <c r="Q566" i="4" s="1"/>
  <c r="O566" i="4"/>
  <c r="P566" i="4"/>
  <c r="M566" i="4"/>
  <c r="R566" i="4" s="1"/>
  <c r="N566" i="4"/>
  <c r="O598" i="4"/>
  <c r="N598" i="4"/>
  <c r="P598" i="4"/>
  <c r="L598" i="4"/>
  <c r="Q598" i="4" s="1"/>
  <c r="M598" i="4"/>
  <c r="R598" i="4" s="1"/>
  <c r="L630" i="4"/>
  <c r="Q630" i="4" s="1"/>
  <c r="P630" i="4"/>
  <c r="M630" i="4"/>
  <c r="R630" i="4" s="1"/>
  <c r="N630" i="4"/>
  <c r="O630" i="4"/>
  <c r="L662" i="4"/>
  <c r="Q662" i="4" s="1"/>
  <c r="M662" i="4"/>
  <c r="R662" i="4" s="1"/>
  <c r="P662" i="4"/>
  <c r="O662" i="4"/>
  <c r="N662" i="4"/>
  <c r="P694" i="4"/>
  <c r="L694" i="4"/>
  <c r="Q694" i="4" s="1"/>
  <c r="N694" i="4"/>
  <c r="O694" i="4"/>
  <c r="M694" i="4"/>
  <c r="R694" i="4" s="1"/>
  <c r="P726" i="4"/>
  <c r="L726" i="4"/>
  <c r="Q726" i="4" s="1"/>
  <c r="N726" i="4"/>
  <c r="O726" i="4"/>
  <c r="M726" i="4"/>
  <c r="R726" i="4" s="1"/>
  <c r="P758" i="4"/>
  <c r="L758" i="4"/>
  <c r="Q758" i="4" s="1"/>
  <c r="N758" i="4"/>
  <c r="O758" i="4"/>
  <c r="M758" i="4"/>
  <c r="R758" i="4" s="1"/>
  <c r="L790" i="4"/>
  <c r="Q790" i="4" s="1"/>
  <c r="O790" i="4"/>
  <c r="N790" i="4"/>
  <c r="P790" i="4"/>
  <c r="M790" i="4"/>
  <c r="R790" i="4" s="1"/>
  <c r="L822" i="4"/>
  <c r="Q822" i="4" s="1"/>
  <c r="M822" i="4"/>
  <c r="R822" i="4" s="1"/>
  <c r="O822" i="4"/>
  <c r="P822" i="4"/>
  <c r="N822" i="4"/>
  <c r="N854" i="4"/>
  <c r="L854" i="4"/>
  <c r="Q854" i="4" s="1"/>
  <c r="M854" i="4"/>
  <c r="R854" i="4" s="1"/>
  <c r="O854" i="4"/>
  <c r="P854" i="4"/>
  <c r="N886" i="4"/>
  <c r="P886" i="4"/>
  <c r="M886" i="4"/>
  <c r="R886" i="4" s="1"/>
  <c r="L886" i="4"/>
  <c r="Q886" i="4" s="1"/>
  <c r="O886" i="4"/>
  <c r="N727" i="4"/>
  <c r="M727" i="4"/>
  <c r="R727" i="4" s="1"/>
  <c r="L727" i="4"/>
  <c r="Q727" i="4" s="1"/>
  <c r="O727" i="4"/>
  <c r="P727" i="4"/>
  <c r="P759" i="4"/>
  <c r="M759" i="4"/>
  <c r="R759" i="4" s="1"/>
  <c r="L759" i="4"/>
  <c r="Q759" i="4" s="1"/>
  <c r="O759" i="4"/>
  <c r="N759" i="4"/>
  <c r="M791" i="4"/>
  <c r="R791" i="4" s="1"/>
  <c r="N791" i="4"/>
  <c r="O791" i="4"/>
  <c r="P791" i="4"/>
  <c r="L791" i="4"/>
  <c r="Q791" i="4" s="1"/>
  <c r="M823" i="4"/>
  <c r="R823" i="4" s="1"/>
  <c r="O823" i="4"/>
  <c r="L823" i="4"/>
  <c r="Q823" i="4" s="1"/>
  <c r="N823" i="4"/>
  <c r="P823" i="4"/>
  <c r="L855" i="4"/>
  <c r="Q855" i="4" s="1"/>
  <c r="O855" i="4"/>
  <c r="M855" i="4"/>
  <c r="R855" i="4" s="1"/>
  <c r="P855" i="4"/>
  <c r="N855" i="4"/>
  <c r="L887" i="4"/>
  <c r="Q887" i="4" s="1"/>
  <c r="O887" i="4"/>
  <c r="M887" i="4"/>
  <c r="R887" i="4" s="1"/>
  <c r="N887" i="4"/>
  <c r="P887" i="4"/>
  <c r="N145" i="4"/>
  <c r="M145" i="4"/>
  <c r="R145" i="4" s="1"/>
  <c r="O145" i="4"/>
  <c r="L145" i="4"/>
  <c r="Q145" i="4" s="1"/>
  <c r="P145" i="4"/>
  <c r="L177" i="4"/>
  <c r="Q177" i="4" s="1"/>
  <c r="M177" i="4"/>
  <c r="R177" i="4" s="1"/>
  <c r="N177" i="4"/>
  <c r="O177" i="4"/>
  <c r="P177" i="4"/>
  <c r="N209" i="4"/>
  <c r="M209" i="4"/>
  <c r="R209" i="4" s="1"/>
  <c r="O209" i="4"/>
  <c r="P209" i="4"/>
  <c r="L209" i="4"/>
  <c r="Q209" i="4" s="1"/>
  <c r="M241" i="4"/>
  <c r="R241" i="4" s="1"/>
  <c r="L241" i="4"/>
  <c r="Q241" i="4" s="1"/>
  <c r="N241" i="4"/>
  <c r="P241" i="4"/>
  <c r="O241" i="4"/>
  <c r="N273" i="4"/>
  <c r="M273" i="4"/>
  <c r="R273" i="4" s="1"/>
  <c r="O273" i="4"/>
  <c r="P273" i="4"/>
  <c r="L273" i="4"/>
  <c r="Q273" i="4" s="1"/>
  <c r="M305" i="4"/>
  <c r="R305" i="4" s="1"/>
  <c r="L305" i="4"/>
  <c r="Q305" i="4" s="1"/>
  <c r="O305" i="4"/>
  <c r="P305" i="4"/>
  <c r="N305" i="4"/>
  <c r="L337" i="4"/>
  <c r="Q337" i="4" s="1"/>
  <c r="P337" i="4"/>
  <c r="M337" i="4"/>
  <c r="R337" i="4" s="1"/>
  <c r="O337" i="4"/>
  <c r="N337" i="4"/>
  <c r="L369" i="4"/>
  <c r="Q369" i="4" s="1"/>
  <c r="P369" i="4"/>
  <c r="M369" i="4"/>
  <c r="R369" i="4" s="1"/>
  <c r="O369" i="4"/>
  <c r="N369" i="4"/>
  <c r="L401" i="4"/>
  <c r="Q401" i="4" s="1"/>
  <c r="P401" i="4"/>
  <c r="M401" i="4"/>
  <c r="R401" i="4" s="1"/>
  <c r="O401" i="4"/>
  <c r="N401" i="4"/>
  <c r="P433" i="4"/>
  <c r="O433" i="4"/>
  <c r="L433" i="4"/>
  <c r="Q433" i="4" s="1"/>
  <c r="M433" i="4"/>
  <c r="R433" i="4" s="1"/>
  <c r="N433" i="4"/>
  <c r="L465" i="4"/>
  <c r="Q465" i="4" s="1"/>
  <c r="P465" i="4"/>
  <c r="O465" i="4"/>
  <c r="M465" i="4"/>
  <c r="R465" i="4" s="1"/>
  <c r="N465" i="4"/>
  <c r="O497" i="4"/>
  <c r="M497" i="4"/>
  <c r="R497" i="4" s="1"/>
  <c r="P497" i="4"/>
  <c r="L497" i="4"/>
  <c r="Q497" i="4" s="1"/>
  <c r="N497" i="4"/>
  <c r="O529" i="4"/>
  <c r="N529" i="4"/>
  <c r="M529" i="4"/>
  <c r="R529" i="4" s="1"/>
  <c r="P529" i="4"/>
  <c r="L529" i="4"/>
  <c r="Q529" i="4" s="1"/>
  <c r="P561" i="4"/>
  <c r="O561" i="4"/>
  <c r="L561" i="4"/>
  <c r="Q561" i="4" s="1"/>
  <c r="M561" i="4"/>
  <c r="R561" i="4" s="1"/>
  <c r="N561" i="4"/>
  <c r="N593" i="4"/>
  <c r="M593" i="4"/>
  <c r="R593" i="4" s="1"/>
  <c r="L593" i="4"/>
  <c r="Q593" i="4" s="1"/>
  <c r="P593" i="4"/>
  <c r="O593" i="4"/>
  <c r="L625" i="4"/>
  <c r="Q625" i="4" s="1"/>
  <c r="M625" i="4"/>
  <c r="R625" i="4" s="1"/>
  <c r="N625" i="4"/>
  <c r="P625" i="4"/>
  <c r="O625" i="4"/>
  <c r="P657" i="4"/>
  <c r="L657" i="4"/>
  <c r="Q657" i="4" s="1"/>
  <c r="N657" i="4"/>
  <c r="O657" i="4"/>
  <c r="M657" i="4"/>
  <c r="R657" i="4" s="1"/>
  <c r="N689" i="4"/>
  <c r="O689" i="4"/>
  <c r="P689" i="4"/>
  <c r="L689" i="4"/>
  <c r="Q689" i="4" s="1"/>
  <c r="M689" i="4"/>
  <c r="R689" i="4" s="1"/>
  <c r="O721" i="4"/>
  <c r="L721" i="4"/>
  <c r="Q721" i="4" s="1"/>
  <c r="M721" i="4"/>
  <c r="R721" i="4" s="1"/>
  <c r="P721" i="4"/>
  <c r="N721" i="4"/>
  <c r="O753" i="4"/>
  <c r="L753" i="4"/>
  <c r="Q753" i="4" s="1"/>
  <c r="N753" i="4"/>
  <c r="M753" i="4"/>
  <c r="R753" i="4" s="1"/>
  <c r="P753" i="4"/>
  <c r="P785" i="4"/>
  <c r="L785" i="4"/>
  <c r="Q785" i="4" s="1"/>
  <c r="O785" i="4"/>
  <c r="N785" i="4"/>
  <c r="M785" i="4"/>
  <c r="R785" i="4" s="1"/>
  <c r="P817" i="4"/>
  <c r="M817" i="4"/>
  <c r="R817" i="4" s="1"/>
  <c r="L817" i="4"/>
  <c r="Q817" i="4" s="1"/>
  <c r="O817" i="4"/>
  <c r="N817" i="4"/>
  <c r="L849" i="4"/>
  <c r="Q849" i="4" s="1"/>
  <c r="N849" i="4"/>
  <c r="M849" i="4"/>
  <c r="R849" i="4" s="1"/>
  <c r="O849" i="4"/>
  <c r="P849" i="4"/>
  <c r="L881" i="4"/>
  <c r="Q881" i="4" s="1"/>
  <c r="M881" i="4"/>
  <c r="R881" i="4" s="1"/>
  <c r="O881" i="4"/>
  <c r="P881" i="4"/>
  <c r="N881" i="4"/>
  <c r="N154" i="4"/>
  <c r="M154" i="4"/>
  <c r="R154" i="4" s="1"/>
  <c r="O154" i="4"/>
  <c r="L154" i="4"/>
  <c r="Q154" i="4" s="1"/>
  <c r="P154" i="4"/>
  <c r="M186" i="4"/>
  <c r="R186" i="4" s="1"/>
  <c r="O186" i="4"/>
  <c r="L186" i="4"/>
  <c r="Q186" i="4" s="1"/>
  <c r="N186" i="4"/>
  <c r="P186" i="4"/>
  <c r="N218" i="4"/>
  <c r="P218" i="4"/>
  <c r="L218" i="4"/>
  <c r="Q218" i="4" s="1"/>
  <c r="M218" i="4"/>
  <c r="R218" i="4" s="1"/>
  <c r="O218" i="4"/>
  <c r="N250" i="4"/>
  <c r="M250" i="4"/>
  <c r="R250" i="4" s="1"/>
  <c r="O250" i="4"/>
  <c r="L250" i="4"/>
  <c r="Q250" i="4" s="1"/>
  <c r="P250" i="4"/>
  <c r="O282" i="4"/>
  <c r="L282" i="4"/>
  <c r="Q282" i="4" s="1"/>
  <c r="P282" i="4"/>
  <c r="M282" i="4"/>
  <c r="R282" i="4" s="1"/>
  <c r="N282" i="4"/>
  <c r="L314" i="4"/>
  <c r="Q314" i="4" s="1"/>
  <c r="P314" i="4"/>
  <c r="O314" i="4"/>
  <c r="N314" i="4"/>
  <c r="M314" i="4"/>
  <c r="R314" i="4" s="1"/>
  <c r="N346" i="4"/>
  <c r="M346" i="4"/>
  <c r="R346" i="4" s="1"/>
  <c r="L346" i="4"/>
  <c r="Q346" i="4" s="1"/>
  <c r="O346" i="4"/>
  <c r="P346" i="4"/>
  <c r="O378" i="4"/>
  <c r="M378" i="4"/>
  <c r="R378" i="4" s="1"/>
  <c r="L378" i="4"/>
  <c r="Q378" i="4" s="1"/>
  <c r="P378" i="4"/>
  <c r="N378" i="4"/>
  <c r="L410" i="4"/>
  <c r="Q410" i="4" s="1"/>
  <c r="O410" i="4"/>
  <c r="P410" i="4"/>
  <c r="N410" i="4"/>
  <c r="M410" i="4"/>
  <c r="R410" i="4" s="1"/>
  <c r="M442" i="4"/>
  <c r="R442" i="4" s="1"/>
  <c r="O442" i="4"/>
  <c r="N442" i="4"/>
  <c r="P442" i="4"/>
  <c r="L442" i="4"/>
  <c r="Q442" i="4" s="1"/>
  <c r="M474" i="4"/>
  <c r="R474" i="4" s="1"/>
  <c r="O474" i="4"/>
  <c r="L474" i="4"/>
  <c r="Q474" i="4" s="1"/>
  <c r="N474" i="4"/>
  <c r="P474" i="4"/>
  <c r="M506" i="4"/>
  <c r="R506" i="4" s="1"/>
  <c r="O506" i="4"/>
  <c r="P506" i="4"/>
  <c r="N506" i="4"/>
  <c r="L506" i="4"/>
  <c r="Q506" i="4" s="1"/>
  <c r="P538" i="4"/>
  <c r="L538" i="4"/>
  <c r="Q538" i="4" s="1"/>
  <c r="M538" i="4"/>
  <c r="R538" i="4" s="1"/>
  <c r="N538" i="4"/>
  <c r="O538" i="4"/>
  <c r="N570" i="4"/>
  <c r="M570" i="4"/>
  <c r="R570" i="4" s="1"/>
  <c r="L570" i="4"/>
  <c r="Q570" i="4" s="1"/>
  <c r="P570" i="4"/>
  <c r="O570" i="4"/>
  <c r="M602" i="4"/>
  <c r="R602" i="4" s="1"/>
  <c r="P602" i="4"/>
  <c r="N602" i="4"/>
  <c r="L602" i="4"/>
  <c r="Q602" i="4" s="1"/>
  <c r="O602" i="4"/>
  <c r="L634" i="4"/>
  <c r="Q634" i="4" s="1"/>
  <c r="P634" i="4"/>
  <c r="O634" i="4"/>
  <c r="M634" i="4"/>
  <c r="R634" i="4" s="1"/>
  <c r="N634" i="4"/>
  <c r="L666" i="4"/>
  <c r="Q666" i="4" s="1"/>
  <c r="M666" i="4"/>
  <c r="R666" i="4" s="1"/>
  <c r="O666" i="4"/>
  <c r="P666" i="4"/>
  <c r="N666" i="4"/>
  <c r="M698" i="4"/>
  <c r="R698" i="4" s="1"/>
  <c r="N698" i="4"/>
  <c r="P698" i="4"/>
  <c r="L698" i="4"/>
  <c r="Q698" i="4" s="1"/>
  <c r="O698" i="4"/>
  <c r="P730" i="4"/>
  <c r="M730" i="4"/>
  <c r="R730" i="4" s="1"/>
  <c r="L730" i="4"/>
  <c r="Q730" i="4" s="1"/>
  <c r="O730" i="4"/>
  <c r="N730" i="4"/>
  <c r="P762" i="4"/>
  <c r="L762" i="4"/>
  <c r="Q762" i="4" s="1"/>
  <c r="N762" i="4"/>
  <c r="M762" i="4"/>
  <c r="R762" i="4" s="1"/>
  <c r="O762" i="4"/>
  <c r="L794" i="4"/>
  <c r="Q794" i="4" s="1"/>
  <c r="M794" i="4"/>
  <c r="R794" i="4" s="1"/>
  <c r="O794" i="4"/>
  <c r="N794" i="4"/>
  <c r="P794" i="4"/>
  <c r="L826" i="4"/>
  <c r="Q826" i="4" s="1"/>
  <c r="M826" i="4"/>
  <c r="R826" i="4" s="1"/>
  <c r="O826" i="4"/>
  <c r="N826" i="4"/>
  <c r="P826" i="4"/>
  <c r="M858" i="4"/>
  <c r="R858" i="4" s="1"/>
  <c r="O858" i="4"/>
  <c r="N858" i="4"/>
  <c r="L858" i="4"/>
  <c r="Q858" i="4" s="1"/>
  <c r="P858" i="4"/>
  <c r="P890" i="4"/>
  <c r="O890" i="4"/>
  <c r="M890" i="4"/>
  <c r="R890" i="4" s="1"/>
  <c r="L890" i="4"/>
  <c r="Q890" i="4" s="1"/>
  <c r="N890" i="4"/>
  <c r="N157" i="4"/>
  <c r="O157" i="4"/>
  <c r="P157" i="4"/>
  <c r="L157" i="4"/>
  <c r="Q157" i="4" s="1"/>
  <c r="M157" i="4"/>
  <c r="R157" i="4" s="1"/>
  <c r="L189" i="4"/>
  <c r="Q189" i="4" s="1"/>
  <c r="P189" i="4"/>
  <c r="M189" i="4"/>
  <c r="R189" i="4" s="1"/>
  <c r="O189" i="4"/>
  <c r="N189" i="4"/>
  <c r="P221" i="4"/>
  <c r="M221" i="4"/>
  <c r="R221" i="4" s="1"/>
  <c r="O221" i="4"/>
  <c r="L221" i="4"/>
  <c r="Q221" i="4" s="1"/>
  <c r="N221" i="4"/>
  <c r="L253" i="4"/>
  <c r="Q253" i="4" s="1"/>
  <c r="O253" i="4"/>
  <c r="M253" i="4"/>
  <c r="R253" i="4" s="1"/>
  <c r="P253" i="4"/>
  <c r="N253" i="4"/>
  <c r="N285" i="4"/>
  <c r="P285" i="4"/>
  <c r="L285" i="4"/>
  <c r="Q285" i="4" s="1"/>
  <c r="O285" i="4"/>
  <c r="M285" i="4"/>
  <c r="R285" i="4" s="1"/>
  <c r="L317" i="4"/>
  <c r="Q317" i="4" s="1"/>
  <c r="N317" i="4"/>
  <c r="M317" i="4"/>
  <c r="R317" i="4" s="1"/>
  <c r="P317" i="4"/>
  <c r="O317" i="4"/>
  <c r="L349" i="4"/>
  <c r="Q349" i="4" s="1"/>
  <c r="O349" i="4"/>
  <c r="P349" i="4"/>
  <c r="N349" i="4"/>
  <c r="M349" i="4"/>
  <c r="R349" i="4" s="1"/>
  <c r="P381" i="4"/>
  <c r="O381" i="4"/>
  <c r="M381" i="4"/>
  <c r="R381" i="4" s="1"/>
  <c r="N381" i="4"/>
  <c r="L381" i="4"/>
  <c r="Q381" i="4" s="1"/>
  <c r="P413" i="4"/>
  <c r="O413" i="4"/>
  <c r="N413" i="4"/>
  <c r="M413" i="4"/>
  <c r="R413" i="4" s="1"/>
  <c r="L413" i="4"/>
  <c r="Q413" i="4" s="1"/>
  <c r="M445" i="4"/>
  <c r="R445" i="4" s="1"/>
  <c r="P445" i="4"/>
  <c r="N445" i="4"/>
  <c r="L445" i="4"/>
  <c r="Q445" i="4" s="1"/>
  <c r="O445" i="4"/>
  <c r="L477" i="4"/>
  <c r="Q477" i="4" s="1"/>
  <c r="N477" i="4"/>
  <c r="M477" i="4"/>
  <c r="R477" i="4" s="1"/>
  <c r="P477" i="4"/>
  <c r="O477" i="4"/>
  <c r="L509" i="4"/>
  <c r="Q509" i="4" s="1"/>
  <c r="M509" i="4"/>
  <c r="R509" i="4" s="1"/>
  <c r="N509" i="4"/>
  <c r="O509" i="4"/>
  <c r="P509" i="4"/>
  <c r="O541" i="4"/>
  <c r="P541" i="4"/>
  <c r="L541" i="4"/>
  <c r="Q541" i="4" s="1"/>
  <c r="M541" i="4"/>
  <c r="R541" i="4" s="1"/>
  <c r="N541" i="4"/>
  <c r="P573" i="4"/>
  <c r="L573" i="4"/>
  <c r="Q573" i="4" s="1"/>
  <c r="M573" i="4"/>
  <c r="R573" i="4" s="1"/>
  <c r="O573" i="4"/>
  <c r="N573" i="4"/>
  <c r="M605" i="4"/>
  <c r="R605" i="4" s="1"/>
  <c r="N605" i="4"/>
  <c r="L605" i="4"/>
  <c r="Q605" i="4" s="1"/>
  <c r="P605" i="4"/>
  <c r="O605" i="4"/>
  <c r="L637" i="4"/>
  <c r="Q637" i="4" s="1"/>
  <c r="M637" i="4"/>
  <c r="R637" i="4" s="1"/>
  <c r="P637" i="4"/>
  <c r="N637" i="4"/>
  <c r="O637" i="4"/>
  <c r="M669" i="4"/>
  <c r="R669" i="4" s="1"/>
  <c r="L669" i="4"/>
  <c r="Q669" i="4" s="1"/>
  <c r="N669" i="4"/>
  <c r="O669" i="4"/>
  <c r="P669" i="4"/>
  <c r="N701" i="4"/>
  <c r="M701" i="4"/>
  <c r="R701" i="4" s="1"/>
  <c r="P701" i="4"/>
  <c r="O701" i="4"/>
  <c r="L701" i="4"/>
  <c r="Q701" i="4" s="1"/>
  <c r="N733" i="4"/>
  <c r="O733" i="4"/>
  <c r="P733" i="4"/>
  <c r="L733" i="4"/>
  <c r="Q733" i="4" s="1"/>
  <c r="M733" i="4"/>
  <c r="R733" i="4" s="1"/>
  <c r="N765" i="4"/>
  <c r="O765" i="4"/>
  <c r="M765" i="4"/>
  <c r="R765" i="4" s="1"/>
  <c r="L765" i="4"/>
  <c r="Q765" i="4" s="1"/>
  <c r="P765" i="4"/>
  <c r="P797" i="4"/>
  <c r="N797" i="4"/>
  <c r="O797" i="4"/>
  <c r="M797" i="4"/>
  <c r="R797" i="4" s="1"/>
  <c r="L797" i="4"/>
  <c r="Q797" i="4" s="1"/>
  <c r="P829" i="4"/>
  <c r="O829" i="4"/>
  <c r="N829" i="4"/>
  <c r="L829" i="4"/>
  <c r="Q829" i="4" s="1"/>
  <c r="M829" i="4"/>
  <c r="R829" i="4" s="1"/>
  <c r="N861" i="4"/>
  <c r="M861" i="4"/>
  <c r="R861" i="4" s="1"/>
  <c r="O861" i="4"/>
  <c r="L861" i="4"/>
  <c r="Q861" i="4" s="1"/>
  <c r="P861" i="4"/>
  <c r="N893" i="4"/>
  <c r="M893" i="4"/>
  <c r="R893" i="4" s="1"/>
  <c r="L893" i="4"/>
  <c r="Q893" i="4" s="1"/>
  <c r="O893" i="4"/>
  <c r="P893" i="4"/>
  <c r="O139" i="4"/>
  <c r="M139" i="4"/>
  <c r="R139" i="4" s="1"/>
  <c r="N139" i="4"/>
  <c r="P139" i="4"/>
  <c r="L139" i="4"/>
  <c r="Q139" i="4" s="1"/>
  <c r="O171" i="4"/>
  <c r="M171" i="4"/>
  <c r="R171" i="4" s="1"/>
  <c r="N171" i="4"/>
  <c r="L171" i="4"/>
  <c r="Q171" i="4" s="1"/>
  <c r="P171" i="4"/>
  <c r="O203" i="4"/>
  <c r="P203" i="4"/>
  <c r="L203" i="4"/>
  <c r="Q203" i="4" s="1"/>
  <c r="N203" i="4"/>
  <c r="M203" i="4"/>
  <c r="R203" i="4" s="1"/>
  <c r="O235" i="4"/>
  <c r="N235" i="4"/>
  <c r="P235" i="4"/>
  <c r="M235" i="4"/>
  <c r="R235" i="4" s="1"/>
  <c r="L235" i="4"/>
  <c r="Q235" i="4" s="1"/>
  <c r="P267" i="4"/>
  <c r="M267" i="4"/>
  <c r="R267" i="4" s="1"/>
  <c r="N267" i="4"/>
  <c r="O267" i="4"/>
  <c r="L267" i="4"/>
  <c r="Q267" i="4" s="1"/>
  <c r="P299" i="4"/>
  <c r="O299" i="4"/>
  <c r="N299" i="4"/>
  <c r="L299" i="4"/>
  <c r="Q299" i="4" s="1"/>
  <c r="M299" i="4"/>
  <c r="R299" i="4" s="1"/>
  <c r="M331" i="4"/>
  <c r="R331" i="4" s="1"/>
  <c r="P331" i="4"/>
  <c r="O331" i="4"/>
  <c r="L331" i="4"/>
  <c r="Q331" i="4" s="1"/>
  <c r="N331" i="4"/>
  <c r="M363" i="4"/>
  <c r="R363" i="4" s="1"/>
  <c r="O363" i="4"/>
  <c r="L363" i="4"/>
  <c r="Q363" i="4" s="1"/>
  <c r="P363" i="4"/>
  <c r="N363" i="4"/>
  <c r="M395" i="4"/>
  <c r="R395" i="4" s="1"/>
  <c r="N395" i="4"/>
  <c r="O395" i="4"/>
  <c r="P395" i="4"/>
  <c r="L395" i="4"/>
  <c r="Q395" i="4" s="1"/>
  <c r="P427" i="4"/>
  <c r="M427" i="4"/>
  <c r="R427" i="4" s="1"/>
  <c r="N427" i="4"/>
  <c r="O427" i="4"/>
  <c r="L427" i="4"/>
  <c r="Q427" i="4" s="1"/>
  <c r="L459" i="4"/>
  <c r="Q459" i="4" s="1"/>
  <c r="O459" i="4"/>
  <c r="P459" i="4"/>
  <c r="N459" i="4"/>
  <c r="M459" i="4"/>
  <c r="R459" i="4" s="1"/>
  <c r="L491" i="4"/>
  <c r="Q491" i="4" s="1"/>
  <c r="O491" i="4"/>
  <c r="P491" i="4"/>
  <c r="M491" i="4"/>
  <c r="R491" i="4" s="1"/>
  <c r="N491" i="4"/>
  <c r="N523" i="4"/>
  <c r="P523" i="4"/>
  <c r="O523" i="4"/>
  <c r="L523" i="4"/>
  <c r="Q523" i="4" s="1"/>
  <c r="M523" i="4"/>
  <c r="R523" i="4" s="1"/>
  <c r="N555" i="4"/>
  <c r="P555" i="4"/>
  <c r="O555" i="4"/>
  <c r="M555" i="4"/>
  <c r="R555" i="4" s="1"/>
  <c r="L555" i="4"/>
  <c r="Q555" i="4" s="1"/>
  <c r="N587" i="4"/>
  <c r="P587" i="4"/>
  <c r="L587" i="4"/>
  <c r="Q587" i="4" s="1"/>
  <c r="O587" i="4"/>
  <c r="M587" i="4"/>
  <c r="R587" i="4" s="1"/>
  <c r="M619" i="4"/>
  <c r="R619" i="4" s="1"/>
  <c r="O619" i="4"/>
  <c r="P619" i="4"/>
  <c r="N619" i="4"/>
  <c r="L619" i="4"/>
  <c r="Q619" i="4" s="1"/>
  <c r="O651" i="4"/>
  <c r="N651" i="4"/>
  <c r="P651" i="4"/>
  <c r="L651" i="4"/>
  <c r="Q651" i="4" s="1"/>
  <c r="M651" i="4"/>
  <c r="R651" i="4" s="1"/>
  <c r="L683" i="4"/>
  <c r="Q683" i="4" s="1"/>
  <c r="N683" i="4"/>
  <c r="M683" i="4"/>
  <c r="R683" i="4" s="1"/>
  <c r="O683" i="4"/>
  <c r="P683" i="4"/>
  <c r="O715" i="4"/>
  <c r="P715" i="4"/>
  <c r="M715" i="4"/>
  <c r="R715" i="4" s="1"/>
  <c r="L715" i="4"/>
  <c r="Q715" i="4" s="1"/>
  <c r="N715" i="4"/>
  <c r="L747" i="4"/>
  <c r="Q747" i="4" s="1"/>
  <c r="N747" i="4"/>
  <c r="P747" i="4"/>
  <c r="M747" i="4"/>
  <c r="R747" i="4" s="1"/>
  <c r="O747" i="4"/>
  <c r="M779" i="4"/>
  <c r="R779" i="4" s="1"/>
  <c r="P779" i="4"/>
  <c r="N779" i="4"/>
  <c r="O779" i="4"/>
  <c r="L779" i="4"/>
  <c r="Q779" i="4" s="1"/>
  <c r="M811" i="4"/>
  <c r="R811" i="4" s="1"/>
  <c r="P811" i="4"/>
  <c r="O811" i="4"/>
  <c r="L811" i="4"/>
  <c r="Q811" i="4" s="1"/>
  <c r="N811" i="4"/>
  <c r="M843" i="4"/>
  <c r="R843" i="4" s="1"/>
  <c r="P843" i="4"/>
  <c r="L843" i="4"/>
  <c r="Q843" i="4" s="1"/>
  <c r="O843" i="4"/>
  <c r="N843" i="4"/>
  <c r="M875" i="4"/>
  <c r="R875" i="4" s="1"/>
  <c r="P875" i="4"/>
  <c r="L875" i="4"/>
  <c r="Q875" i="4" s="1"/>
  <c r="O875" i="4"/>
  <c r="N875" i="4"/>
  <c r="L140" i="4"/>
  <c r="Q140" i="4" s="1"/>
  <c r="O140" i="4"/>
  <c r="P140" i="4"/>
  <c r="M140" i="4"/>
  <c r="R140" i="4" s="1"/>
  <c r="N140" i="4"/>
  <c r="N172" i="4"/>
  <c r="P172" i="4"/>
  <c r="L172" i="4"/>
  <c r="Q172" i="4" s="1"/>
  <c r="O172" i="4"/>
  <c r="M172" i="4"/>
  <c r="R172" i="4" s="1"/>
  <c r="O204" i="4"/>
  <c r="L204" i="4"/>
  <c r="Q204" i="4" s="1"/>
  <c r="N204" i="4"/>
  <c r="M204" i="4"/>
  <c r="R204" i="4" s="1"/>
  <c r="P204" i="4"/>
  <c r="O236" i="4"/>
  <c r="N236" i="4"/>
  <c r="M236" i="4"/>
  <c r="R236" i="4" s="1"/>
  <c r="L236" i="4"/>
  <c r="Q236" i="4" s="1"/>
  <c r="P236" i="4"/>
  <c r="N268" i="4"/>
  <c r="O268" i="4"/>
  <c r="L268" i="4"/>
  <c r="Q268" i="4" s="1"/>
  <c r="M268" i="4"/>
  <c r="R268" i="4" s="1"/>
  <c r="P268" i="4"/>
  <c r="N300" i="4"/>
  <c r="O300" i="4"/>
  <c r="L300" i="4"/>
  <c r="Q300" i="4" s="1"/>
  <c r="M300" i="4"/>
  <c r="R300" i="4" s="1"/>
  <c r="P300" i="4"/>
  <c r="M332" i="4"/>
  <c r="R332" i="4" s="1"/>
  <c r="N332" i="4"/>
  <c r="P332" i="4"/>
  <c r="O332" i="4"/>
  <c r="L332" i="4"/>
  <c r="Q332" i="4" s="1"/>
  <c r="L364" i="4"/>
  <c r="Q364" i="4" s="1"/>
  <c r="M364" i="4"/>
  <c r="R364" i="4" s="1"/>
  <c r="N364" i="4"/>
  <c r="P364" i="4"/>
  <c r="O364" i="4"/>
  <c r="L396" i="4"/>
  <c r="Q396" i="4" s="1"/>
  <c r="O396" i="4"/>
  <c r="N396" i="4"/>
  <c r="P396" i="4"/>
  <c r="M396" i="4"/>
  <c r="R396" i="4" s="1"/>
  <c r="L428" i="4"/>
  <c r="Q428" i="4" s="1"/>
  <c r="N428" i="4"/>
  <c r="M428" i="4"/>
  <c r="R428" i="4" s="1"/>
  <c r="P428" i="4"/>
  <c r="O428" i="4"/>
  <c r="O460" i="4"/>
  <c r="N460" i="4"/>
  <c r="M460" i="4"/>
  <c r="R460" i="4" s="1"/>
  <c r="L460" i="4"/>
  <c r="Q460" i="4" s="1"/>
  <c r="P460" i="4"/>
  <c r="P492" i="4"/>
  <c r="L492" i="4"/>
  <c r="Q492" i="4" s="1"/>
  <c r="N492" i="4"/>
  <c r="O492" i="4"/>
  <c r="M492" i="4"/>
  <c r="R492" i="4" s="1"/>
  <c r="P524" i="4"/>
  <c r="L524" i="4"/>
  <c r="Q524" i="4" s="1"/>
  <c r="O524" i="4"/>
  <c r="M524" i="4"/>
  <c r="R524" i="4" s="1"/>
  <c r="N524" i="4"/>
  <c r="L556" i="4"/>
  <c r="Q556" i="4" s="1"/>
  <c r="P556" i="4"/>
  <c r="N556" i="4"/>
  <c r="M556" i="4"/>
  <c r="R556" i="4" s="1"/>
  <c r="O556" i="4"/>
  <c r="L588" i="4"/>
  <c r="Q588" i="4" s="1"/>
  <c r="P588" i="4"/>
  <c r="M588" i="4"/>
  <c r="R588" i="4" s="1"/>
  <c r="O588" i="4"/>
  <c r="N588" i="4"/>
  <c r="L620" i="4"/>
  <c r="Q620" i="4" s="1"/>
  <c r="O620" i="4"/>
  <c r="N620" i="4"/>
  <c r="P620" i="4"/>
  <c r="M620" i="4"/>
  <c r="R620" i="4" s="1"/>
  <c r="P652" i="4"/>
  <c r="O652" i="4"/>
  <c r="L652" i="4"/>
  <c r="Q652" i="4" s="1"/>
  <c r="N652" i="4"/>
  <c r="M652" i="4"/>
  <c r="R652" i="4" s="1"/>
  <c r="O684" i="4"/>
  <c r="M684" i="4"/>
  <c r="R684" i="4" s="1"/>
  <c r="N684" i="4"/>
  <c r="P684" i="4"/>
  <c r="L684" i="4"/>
  <c r="Q684" i="4" s="1"/>
  <c r="L716" i="4"/>
  <c r="Q716" i="4" s="1"/>
  <c r="N716" i="4"/>
  <c r="O716" i="4"/>
  <c r="P716" i="4"/>
  <c r="M716" i="4"/>
  <c r="R716" i="4" s="1"/>
  <c r="L748" i="4"/>
  <c r="Q748" i="4" s="1"/>
  <c r="N748" i="4"/>
  <c r="O748" i="4"/>
  <c r="M748" i="4"/>
  <c r="R748" i="4" s="1"/>
  <c r="P748" i="4"/>
  <c r="L780" i="4"/>
  <c r="Q780" i="4" s="1"/>
  <c r="N780" i="4"/>
  <c r="O780" i="4"/>
  <c r="M780" i="4"/>
  <c r="R780" i="4" s="1"/>
  <c r="P780" i="4"/>
  <c r="L812" i="4"/>
  <c r="Q812" i="4" s="1"/>
  <c r="N812" i="4"/>
  <c r="P812" i="4"/>
  <c r="M812" i="4"/>
  <c r="R812" i="4" s="1"/>
  <c r="O812" i="4"/>
  <c r="M844" i="4"/>
  <c r="R844" i="4" s="1"/>
  <c r="N844" i="4"/>
  <c r="P844" i="4"/>
  <c r="L844" i="4"/>
  <c r="Q844" i="4" s="1"/>
  <c r="O844" i="4"/>
  <c r="P876" i="4"/>
  <c r="L876" i="4"/>
  <c r="Q876" i="4" s="1"/>
  <c r="N876" i="4"/>
  <c r="M876" i="4"/>
  <c r="R876" i="4" s="1"/>
  <c r="O876" i="4"/>
  <c r="P158" i="4"/>
  <c r="M158" i="4"/>
  <c r="R158" i="4" s="1"/>
  <c r="L158" i="4"/>
  <c r="Q158" i="4" s="1"/>
  <c r="N158" i="4"/>
  <c r="O158" i="4"/>
  <c r="N190" i="4"/>
  <c r="P190" i="4"/>
  <c r="O190" i="4"/>
  <c r="L190" i="4"/>
  <c r="Q190" i="4" s="1"/>
  <c r="M190" i="4"/>
  <c r="R190" i="4" s="1"/>
  <c r="O222" i="4"/>
  <c r="L222" i="4"/>
  <c r="Q222" i="4" s="1"/>
  <c r="M222" i="4"/>
  <c r="R222" i="4" s="1"/>
  <c r="N222" i="4"/>
  <c r="P222" i="4"/>
  <c r="O254" i="4"/>
  <c r="M254" i="4"/>
  <c r="R254" i="4" s="1"/>
  <c r="L254" i="4"/>
  <c r="Q254" i="4" s="1"/>
  <c r="N254" i="4"/>
  <c r="P254" i="4"/>
  <c r="L286" i="4"/>
  <c r="Q286" i="4" s="1"/>
  <c r="O286" i="4"/>
  <c r="M286" i="4"/>
  <c r="R286" i="4" s="1"/>
  <c r="N286" i="4"/>
  <c r="P286" i="4"/>
  <c r="O318" i="4"/>
  <c r="M318" i="4"/>
  <c r="R318" i="4" s="1"/>
  <c r="L318" i="4"/>
  <c r="Q318" i="4" s="1"/>
  <c r="P318" i="4"/>
  <c r="N318" i="4"/>
  <c r="L350" i="4"/>
  <c r="Q350" i="4" s="1"/>
  <c r="M350" i="4"/>
  <c r="R350" i="4" s="1"/>
  <c r="N350" i="4"/>
  <c r="O350" i="4"/>
  <c r="P350" i="4"/>
  <c r="L382" i="4"/>
  <c r="Q382" i="4" s="1"/>
  <c r="P382" i="4"/>
  <c r="M382" i="4"/>
  <c r="R382" i="4" s="1"/>
  <c r="O382" i="4"/>
  <c r="N382" i="4"/>
  <c r="L414" i="4"/>
  <c r="Q414" i="4" s="1"/>
  <c r="N414" i="4"/>
  <c r="P414" i="4"/>
  <c r="O414" i="4"/>
  <c r="M414" i="4"/>
  <c r="R414" i="4" s="1"/>
  <c r="L446" i="4"/>
  <c r="Q446" i="4" s="1"/>
  <c r="N446" i="4"/>
  <c r="P446" i="4"/>
  <c r="M446" i="4"/>
  <c r="R446" i="4" s="1"/>
  <c r="O446" i="4"/>
  <c r="M478" i="4"/>
  <c r="R478" i="4" s="1"/>
  <c r="P478" i="4"/>
  <c r="O478" i="4"/>
  <c r="L478" i="4"/>
  <c r="Q478" i="4" s="1"/>
  <c r="N478" i="4"/>
  <c r="L510" i="4"/>
  <c r="Q510" i="4" s="1"/>
  <c r="M510" i="4"/>
  <c r="R510" i="4" s="1"/>
  <c r="N510" i="4"/>
  <c r="P510" i="4"/>
  <c r="O510" i="4"/>
  <c r="L542" i="4"/>
  <c r="Q542" i="4" s="1"/>
  <c r="N542" i="4"/>
  <c r="M542" i="4"/>
  <c r="R542" i="4" s="1"/>
  <c r="P542" i="4"/>
  <c r="O542" i="4"/>
  <c r="L574" i="4"/>
  <c r="Q574" i="4" s="1"/>
  <c r="M574" i="4"/>
  <c r="R574" i="4" s="1"/>
  <c r="N574" i="4"/>
  <c r="O574" i="4"/>
  <c r="P574" i="4"/>
  <c r="M606" i="4"/>
  <c r="R606" i="4" s="1"/>
  <c r="L606" i="4"/>
  <c r="Q606" i="4" s="1"/>
  <c r="O606" i="4"/>
  <c r="N606" i="4"/>
  <c r="P606" i="4"/>
  <c r="L638" i="4"/>
  <c r="Q638" i="4" s="1"/>
  <c r="N638" i="4"/>
  <c r="P638" i="4"/>
  <c r="M638" i="4"/>
  <c r="R638" i="4" s="1"/>
  <c r="O638" i="4"/>
  <c r="L670" i="4"/>
  <c r="Q670" i="4" s="1"/>
  <c r="P670" i="4"/>
  <c r="N670" i="4"/>
  <c r="O670" i="4"/>
  <c r="M670" i="4"/>
  <c r="R670" i="4" s="1"/>
  <c r="L702" i="4"/>
  <c r="Q702" i="4" s="1"/>
  <c r="M702" i="4"/>
  <c r="R702" i="4" s="1"/>
  <c r="O702" i="4"/>
  <c r="N702" i="4"/>
  <c r="P702" i="4"/>
  <c r="P734" i="4"/>
  <c r="N734" i="4"/>
  <c r="L734" i="4"/>
  <c r="Q734" i="4" s="1"/>
  <c r="O734" i="4"/>
  <c r="M734" i="4"/>
  <c r="R734" i="4" s="1"/>
  <c r="P766" i="4"/>
  <c r="L766" i="4"/>
  <c r="Q766" i="4" s="1"/>
  <c r="N766" i="4"/>
  <c r="O766" i="4"/>
  <c r="M766" i="4"/>
  <c r="R766" i="4" s="1"/>
  <c r="L798" i="4"/>
  <c r="Q798" i="4" s="1"/>
  <c r="O798" i="4"/>
  <c r="N798" i="4"/>
  <c r="M798" i="4"/>
  <c r="R798" i="4" s="1"/>
  <c r="P798" i="4"/>
  <c r="L830" i="4"/>
  <c r="Q830" i="4" s="1"/>
  <c r="M830" i="4"/>
  <c r="R830" i="4" s="1"/>
  <c r="O830" i="4"/>
  <c r="N830" i="4"/>
  <c r="P830" i="4"/>
  <c r="O862" i="4"/>
  <c r="M862" i="4"/>
  <c r="R862" i="4" s="1"/>
  <c r="P862" i="4"/>
  <c r="L862" i="4"/>
  <c r="Q862" i="4" s="1"/>
  <c r="N862" i="4"/>
  <c r="P894" i="4"/>
  <c r="O894" i="4"/>
  <c r="L894" i="4"/>
  <c r="Q894" i="4" s="1"/>
  <c r="M894" i="4"/>
  <c r="R894" i="4" s="1"/>
  <c r="N894" i="4"/>
  <c r="L119" i="4"/>
  <c r="Q119" i="4" s="1"/>
  <c r="M119" i="4"/>
  <c r="R119" i="4" s="1"/>
  <c r="M46" i="4"/>
  <c r="R46" i="4" s="1"/>
  <c r="L46" i="4"/>
  <c r="Q46" i="4" s="1"/>
  <c r="M10" i="4"/>
  <c r="R10" i="4" s="1"/>
  <c r="L10" i="4"/>
  <c r="Q10" i="4" s="1"/>
  <c r="M94" i="4"/>
  <c r="R94" i="4" s="1"/>
  <c r="L94" i="4"/>
  <c r="Q94" i="4" s="1"/>
  <c r="M133" i="4"/>
  <c r="R133" i="4" s="1"/>
  <c r="L133" i="4"/>
  <c r="Q133" i="4" s="1"/>
  <c r="M60" i="4"/>
  <c r="R60" i="4" s="1"/>
  <c r="L60" i="4"/>
  <c r="Q60" i="4" s="1"/>
  <c r="L63" i="4"/>
  <c r="Q63" i="4" s="1"/>
  <c r="M63" i="4"/>
  <c r="R63" i="4" s="1"/>
  <c r="M127" i="4"/>
  <c r="R127" i="4" s="1"/>
  <c r="L127" i="4"/>
  <c r="Q127" i="4" s="1"/>
  <c r="M8" i="4"/>
  <c r="R8" i="4" s="1"/>
  <c r="L8" i="4"/>
  <c r="Q8" i="4" s="1"/>
  <c r="L72" i="4"/>
  <c r="Q72" i="4" s="1"/>
  <c r="M72" i="4"/>
  <c r="R72" i="4" s="1"/>
  <c r="L37" i="4"/>
  <c r="Q37" i="4" s="1"/>
  <c r="M37" i="4"/>
  <c r="R37" i="4" s="1"/>
  <c r="M41" i="4"/>
  <c r="R41" i="4" s="1"/>
  <c r="L41" i="4"/>
  <c r="Q41" i="4" s="1"/>
  <c r="L105" i="4"/>
  <c r="Q105" i="4" s="1"/>
  <c r="M105" i="4"/>
  <c r="R105" i="4" s="1"/>
  <c r="M62" i="4"/>
  <c r="R62" i="4" s="1"/>
  <c r="L62" i="4"/>
  <c r="Q62" i="4" s="1"/>
  <c r="M50" i="4"/>
  <c r="R50" i="4" s="1"/>
  <c r="L50" i="4"/>
  <c r="Q50" i="4" s="1"/>
  <c r="M114" i="4"/>
  <c r="R114" i="4" s="1"/>
  <c r="L114" i="4"/>
  <c r="Q114" i="4" s="1"/>
  <c r="M93" i="4"/>
  <c r="R93" i="4" s="1"/>
  <c r="L93" i="4"/>
  <c r="Q93" i="4" s="1"/>
  <c r="M35" i="4"/>
  <c r="R35" i="4" s="1"/>
  <c r="L35" i="4"/>
  <c r="Q35" i="4" s="1"/>
  <c r="L67" i="4"/>
  <c r="Q67" i="4" s="1"/>
  <c r="M67" i="4"/>
  <c r="R67" i="4" s="1"/>
  <c r="L99" i="4"/>
  <c r="Q99" i="4" s="1"/>
  <c r="M99" i="4"/>
  <c r="R99" i="4" s="1"/>
  <c r="M131" i="4"/>
  <c r="R131" i="4" s="1"/>
  <c r="L131" i="4"/>
  <c r="Q131" i="4" s="1"/>
  <c r="M38" i="4"/>
  <c r="R38" i="4" s="1"/>
  <c r="L38" i="4"/>
  <c r="Q38" i="4" s="1"/>
  <c r="M36" i="4"/>
  <c r="R36" i="4" s="1"/>
  <c r="L36" i="4"/>
  <c r="Q36" i="4" s="1"/>
  <c r="M68" i="4"/>
  <c r="R68" i="4" s="1"/>
  <c r="L68" i="4"/>
  <c r="Q68" i="4" s="1"/>
  <c r="M100" i="4"/>
  <c r="R100" i="4" s="1"/>
  <c r="L100" i="4"/>
  <c r="Q100" i="4" s="1"/>
  <c r="M132" i="4"/>
  <c r="R132" i="4" s="1"/>
  <c r="L132" i="4"/>
  <c r="Q132" i="4" s="1"/>
  <c r="L30" i="4"/>
  <c r="Q30" i="4" s="1"/>
  <c r="M30" i="4"/>
  <c r="R30" i="4" s="1"/>
  <c r="M101" i="4"/>
  <c r="R101" i="4" s="1"/>
  <c r="L101" i="4"/>
  <c r="Q101" i="4" s="1"/>
  <c r="M128" i="4"/>
  <c r="R128" i="4" s="1"/>
  <c r="L128" i="4"/>
  <c r="Q128" i="4" s="1"/>
  <c r="L6" i="4"/>
  <c r="Q6" i="4" s="1"/>
  <c r="M6" i="4"/>
  <c r="R6" i="4" s="1"/>
  <c r="L5" i="4"/>
  <c r="Q5" i="4" s="1"/>
  <c r="M5" i="4"/>
  <c r="R5" i="4" s="1"/>
  <c r="M123" i="4"/>
  <c r="R123" i="4" s="1"/>
  <c r="L123" i="4"/>
  <c r="Q123" i="4" s="1"/>
  <c r="M92" i="4"/>
  <c r="R92" i="4" s="1"/>
  <c r="L92" i="4"/>
  <c r="Q92" i="4" s="1"/>
  <c r="L31" i="4"/>
  <c r="Q31" i="4" s="1"/>
  <c r="M31" i="4"/>
  <c r="R31" i="4" s="1"/>
  <c r="M95" i="4"/>
  <c r="R95" i="4" s="1"/>
  <c r="L95" i="4"/>
  <c r="Q95" i="4" s="1"/>
  <c r="M22" i="4"/>
  <c r="R22" i="4" s="1"/>
  <c r="L22" i="4"/>
  <c r="Q22" i="4" s="1"/>
  <c r="L40" i="4"/>
  <c r="Q40" i="4" s="1"/>
  <c r="M40" i="4"/>
  <c r="R40" i="4" s="1"/>
  <c r="L104" i="4"/>
  <c r="Q104" i="4" s="1"/>
  <c r="M104" i="4"/>
  <c r="R104" i="4" s="1"/>
  <c r="L9" i="4"/>
  <c r="Q9" i="4" s="1"/>
  <c r="M9" i="4"/>
  <c r="R9" i="4" s="1"/>
  <c r="L73" i="4"/>
  <c r="Q73" i="4" s="1"/>
  <c r="M73" i="4"/>
  <c r="R73" i="4" s="1"/>
  <c r="M29" i="4"/>
  <c r="R29" i="4" s="1"/>
  <c r="L29" i="4"/>
  <c r="Q29" i="4" s="1"/>
  <c r="M18" i="4"/>
  <c r="R18" i="4" s="1"/>
  <c r="L18" i="4"/>
  <c r="Q18" i="4" s="1"/>
  <c r="L82" i="4"/>
  <c r="Q82" i="4" s="1"/>
  <c r="M82" i="4"/>
  <c r="R82" i="4" s="1"/>
  <c r="M126" i="4"/>
  <c r="R126" i="4" s="1"/>
  <c r="L126" i="4"/>
  <c r="Q126" i="4" s="1"/>
  <c r="M55" i="4"/>
  <c r="R55" i="4" s="1"/>
  <c r="L55" i="4"/>
  <c r="Q55" i="4" s="1"/>
  <c r="L64" i="4"/>
  <c r="Q64" i="4" s="1"/>
  <c r="M64" i="4"/>
  <c r="R64" i="4" s="1"/>
  <c r="M129" i="4"/>
  <c r="R129" i="4" s="1"/>
  <c r="L129" i="4"/>
  <c r="Q129" i="4" s="1"/>
  <c r="M106" i="4"/>
  <c r="R106" i="4" s="1"/>
  <c r="L106" i="4"/>
  <c r="Q106" i="4" s="1"/>
  <c r="M91" i="4"/>
  <c r="R91" i="4" s="1"/>
  <c r="L91" i="4"/>
  <c r="Q91" i="4" s="1"/>
  <c r="L125" i="4"/>
  <c r="Q125" i="4" s="1"/>
  <c r="M125" i="4"/>
  <c r="R125" i="4" s="1"/>
  <c r="L7" i="4"/>
  <c r="Q7" i="4" s="1"/>
  <c r="M7" i="4"/>
  <c r="R7" i="4" s="1"/>
  <c r="L71" i="4"/>
  <c r="Q71" i="4" s="1"/>
  <c r="M71" i="4"/>
  <c r="R71" i="4" s="1"/>
  <c r="M45" i="4"/>
  <c r="R45" i="4" s="1"/>
  <c r="L45" i="4"/>
  <c r="Q45" i="4" s="1"/>
  <c r="L16" i="4"/>
  <c r="Q16" i="4" s="1"/>
  <c r="M16" i="4"/>
  <c r="R16" i="4" s="1"/>
  <c r="M80" i="4"/>
  <c r="R80" i="4" s="1"/>
  <c r="L80" i="4"/>
  <c r="Q80" i="4" s="1"/>
  <c r="L61" i="4"/>
  <c r="Q61" i="4" s="1"/>
  <c r="M61" i="4"/>
  <c r="R61" i="4" s="1"/>
  <c r="M49" i="4"/>
  <c r="R49" i="4" s="1"/>
  <c r="L49" i="4"/>
  <c r="Q49" i="4" s="1"/>
  <c r="M113" i="4"/>
  <c r="R113" i="4" s="1"/>
  <c r="L113" i="4"/>
  <c r="Q113" i="4" s="1"/>
  <c r="M86" i="4"/>
  <c r="R86" i="4" s="1"/>
  <c r="L86" i="4"/>
  <c r="Q86" i="4" s="1"/>
  <c r="M58" i="4"/>
  <c r="R58" i="4" s="1"/>
  <c r="L58" i="4"/>
  <c r="Q58" i="4" s="1"/>
  <c r="M122" i="4"/>
  <c r="R122" i="4" s="1"/>
  <c r="L122" i="4"/>
  <c r="Q122" i="4" s="1"/>
  <c r="M14" i="4"/>
  <c r="R14" i="4" s="1"/>
  <c r="L14" i="4"/>
  <c r="Q14" i="4" s="1"/>
  <c r="L43" i="4"/>
  <c r="Q43" i="4" s="1"/>
  <c r="M43" i="4"/>
  <c r="R43" i="4" s="1"/>
  <c r="L75" i="4"/>
  <c r="Q75" i="4" s="1"/>
  <c r="M75" i="4"/>
  <c r="R75" i="4" s="1"/>
  <c r="L107" i="4"/>
  <c r="Q107" i="4" s="1"/>
  <c r="M107" i="4"/>
  <c r="R107" i="4" s="1"/>
  <c r="M21" i="4"/>
  <c r="R21" i="4" s="1"/>
  <c r="L21" i="4"/>
  <c r="Q21" i="4" s="1"/>
  <c r="M12" i="4"/>
  <c r="R12" i="4" s="1"/>
  <c r="L12" i="4"/>
  <c r="Q12" i="4" s="1"/>
  <c r="M44" i="4"/>
  <c r="R44" i="4" s="1"/>
  <c r="L44" i="4"/>
  <c r="Q44" i="4" s="1"/>
  <c r="L76" i="4"/>
  <c r="Q76" i="4" s="1"/>
  <c r="M76" i="4"/>
  <c r="R76" i="4" s="1"/>
  <c r="L108" i="4"/>
  <c r="Q108" i="4" s="1"/>
  <c r="M108" i="4"/>
  <c r="R108" i="4" s="1"/>
  <c r="M13" i="4"/>
  <c r="R13" i="4" s="1"/>
  <c r="L13" i="4"/>
  <c r="Q13" i="4" s="1"/>
  <c r="L78" i="4"/>
  <c r="Q78" i="4" s="1"/>
  <c r="M78" i="4"/>
  <c r="R78" i="4" s="1"/>
  <c r="M87" i="4"/>
  <c r="R87" i="4" s="1"/>
  <c r="L87" i="4"/>
  <c r="Q87" i="4" s="1"/>
  <c r="M96" i="4"/>
  <c r="R96" i="4" s="1"/>
  <c r="L96" i="4"/>
  <c r="Q96" i="4" s="1"/>
  <c r="M97" i="4"/>
  <c r="R97" i="4" s="1"/>
  <c r="L97" i="4"/>
  <c r="Q97" i="4" s="1"/>
  <c r="L74" i="4"/>
  <c r="Q74" i="4" s="1"/>
  <c r="M74" i="4"/>
  <c r="R74" i="4" s="1"/>
  <c r="L59" i="4"/>
  <c r="Q59" i="4" s="1"/>
  <c r="M59" i="4"/>
  <c r="R59" i="4" s="1"/>
  <c r="M124" i="4"/>
  <c r="R124" i="4" s="1"/>
  <c r="L124" i="4"/>
  <c r="Q124" i="4" s="1"/>
  <c r="L39" i="4"/>
  <c r="Q39" i="4" s="1"/>
  <c r="M39" i="4"/>
  <c r="R39" i="4" s="1"/>
  <c r="L103" i="4"/>
  <c r="Q103" i="4" s="1"/>
  <c r="M103" i="4"/>
  <c r="R103" i="4" s="1"/>
  <c r="L70" i="4"/>
  <c r="Q70" i="4" s="1"/>
  <c r="M70" i="4"/>
  <c r="R70" i="4" s="1"/>
  <c r="M48" i="4"/>
  <c r="R48" i="4" s="1"/>
  <c r="L48" i="4"/>
  <c r="Q48" i="4" s="1"/>
  <c r="M112" i="4"/>
  <c r="R112" i="4" s="1"/>
  <c r="L112" i="4"/>
  <c r="Q112" i="4" s="1"/>
  <c r="M17" i="4"/>
  <c r="R17" i="4" s="1"/>
  <c r="L17" i="4"/>
  <c r="Q17" i="4" s="1"/>
  <c r="L81" i="4"/>
  <c r="Q81" i="4" s="1"/>
  <c r="M81" i="4"/>
  <c r="R81" i="4" s="1"/>
  <c r="M69" i="4"/>
  <c r="R69" i="4" s="1"/>
  <c r="L69" i="4"/>
  <c r="Q69" i="4" s="1"/>
  <c r="M26" i="4"/>
  <c r="R26" i="4" s="1"/>
  <c r="L26" i="4"/>
  <c r="Q26" i="4" s="1"/>
  <c r="M90" i="4"/>
  <c r="R90" i="4" s="1"/>
  <c r="L90" i="4"/>
  <c r="Q90" i="4" s="1"/>
  <c r="L11" i="4"/>
  <c r="Q11" i="4" s="1"/>
  <c r="M11" i="4"/>
  <c r="R11" i="4" s="1"/>
  <c r="M32" i="4"/>
  <c r="R32" i="4" s="1"/>
  <c r="L32" i="4"/>
  <c r="Q32" i="4" s="1"/>
  <c r="M65" i="4"/>
  <c r="R65" i="4" s="1"/>
  <c r="L65" i="4"/>
  <c r="Q65" i="4" s="1"/>
  <c r="L27" i="4"/>
  <c r="Q27" i="4" s="1"/>
  <c r="M27" i="4"/>
  <c r="R27" i="4" s="1"/>
  <c r="M79" i="4"/>
  <c r="R79" i="4" s="1"/>
  <c r="L79" i="4"/>
  <c r="Q79" i="4" s="1"/>
  <c r="M111" i="4"/>
  <c r="R111" i="4" s="1"/>
  <c r="L111" i="4"/>
  <c r="Q111" i="4" s="1"/>
  <c r="M24" i="4"/>
  <c r="R24" i="4" s="1"/>
  <c r="L24" i="4"/>
  <c r="Q24" i="4" s="1"/>
  <c r="L88" i="4"/>
  <c r="Q88" i="4" s="1"/>
  <c r="M88" i="4"/>
  <c r="R88" i="4" s="1"/>
  <c r="L120" i="4"/>
  <c r="Q120" i="4" s="1"/>
  <c r="M120" i="4"/>
  <c r="R120" i="4" s="1"/>
  <c r="L57" i="4"/>
  <c r="Q57" i="4" s="1"/>
  <c r="M57" i="4"/>
  <c r="R57" i="4" s="1"/>
  <c r="M121" i="4"/>
  <c r="R121" i="4" s="1"/>
  <c r="L121" i="4"/>
  <c r="Q121" i="4" s="1"/>
  <c r="M118" i="4"/>
  <c r="R118" i="4" s="1"/>
  <c r="L118" i="4"/>
  <c r="Q118" i="4" s="1"/>
  <c r="L66" i="4"/>
  <c r="Q66" i="4" s="1"/>
  <c r="M66" i="4"/>
  <c r="R66" i="4" s="1"/>
  <c r="M54" i="4"/>
  <c r="R54" i="4" s="1"/>
  <c r="L54" i="4"/>
  <c r="Q54" i="4" s="1"/>
  <c r="L19" i="4"/>
  <c r="Q19" i="4" s="1"/>
  <c r="M19" i="4"/>
  <c r="R19" i="4" s="1"/>
  <c r="M83" i="4"/>
  <c r="R83" i="4" s="1"/>
  <c r="L83" i="4"/>
  <c r="Q83" i="4" s="1"/>
  <c r="M115" i="4"/>
  <c r="R115" i="4" s="1"/>
  <c r="L115" i="4"/>
  <c r="Q115" i="4" s="1"/>
  <c r="M85" i="4"/>
  <c r="R85" i="4" s="1"/>
  <c r="L85" i="4"/>
  <c r="Q85" i="4" s="1"/>
  <c r="M20" i="4"/>
  <c r="R20" i="4" s="1"/>
  <c r="L20" i="4"/>
  <c r="Q20" i="4" s="1"/>
  <c r="M52" i="4"/>
  <c r="R52" i="4" s="1"/>
  <c r="L52" i="4"/>
  <c r="Q52" i="4" s="1"/>
  <c r="M84" i="4"/>
  <c r="R84" i="4" s="1"/>
  <c r="L84" i="4"/>
  <c r="Q84" i="4" s="1"/>
  <c r="M116" i="4"/>
  <c r="R116" i="4" s="1"/>
  <c r="L116" i="4"/>
  <c r="Q116" i="4" s="1"/>
  <c r="M77" i="4"/>
  <c r="R77" i="4" s="1"/>
  <c r="L77" i="4"/>
  <c r="Q77" i="4" s="1"/>
  <c r="L110" i="4"/>
  <c r="Q110" i="4" s="1"/>
  <c r="M110" i="4"/>
  <c r="R110" i="4" s="1"/>
  <c r="L23" i="4"/>
  <c r="Q23" i="4" s="1"/>
  <c r="M23" i="4"/>
  <c r="R23" i="4" s="1"/>
  <c r="M134" i="4"/>
  <c r="R134" i="4" s="1"/>
  <c r="L134" i="4"/>
  <c r="Q134" i="4" s="1"/>
  <c r="M33" i="4"/>
  <c r="R33" i="4" s="1"/>
  <c r="L33" i="4"/>
  <c r="Q33" i="4" s="1"/>
  <c r="L42" i="4"/>
  <c r="Q42" i="4" s="1"/>
  <c r="M42" i="4"/>
  <c r="R42" i="4" s="1"/>
  <c r="L28" i="4"/>
  <c r="Q28" i="4" s="1"/>
  <c r="M28" i="4"/>
  <c r="R28" i="4" s="1"/>
  <c r="L15" i="4"/>
  <c r="Q15" i="4" s="1"/>
  <c r="M15" i="4"/>
  <c r="R15" i="4" s="1"/>
  <c r="L47" i="4"/>
  <c r="Q47" i="4" s="1"/>
  <c r="M47" i="4"/>
  <c r="R47" i="4" s="1"/>
  <c r="M53" i="4"/>
  <c r="R53" i="4" s="1"/>
  <c r="L53" i="4"/>
  <c r="Q53" i="4" s="1"/>
  <c r="M102" i="4"/>
  <c r="R102" i="4" s="1"/>
  <c r="L102" i="4"/>
  <c r="Q102" i="4" s="1"/>
  <c r="M56" i="4"/>
  <c r="R56" i="4" s="1"/>
  <c r="L56" i="4"/>
  <c r="Q56" i="4" s="1"/>
  <c r="M109" i="4"/>
  <c r="R109" i="4" s="1"/>
  <c r="L109" i="4"/>
  <c r="Q109" i="4" s="1"/>
  <c r="M25" i="4"/>
  <c r="R25" i="4" s="1"/>
  <c r="L25" i="4"/>
  <c r="Q25" i="4" s="1"/>
  <c r="M89" i="4"/>
  <c r="R89" i="4" s="1"/>
  <c r="L89" i="4"/>
  <c r="Q89" i="4" s="1"/>
  <c r="M117" i="4"/>
  <c r="R117" i="4" s="1"/>
  <c r="L117" i="4"/>
  <c r="Q117" i="4" s="1"/>
  <c r="M34" i="4"/>
  <c r="R34" i="4" s="1"/>
  <c r="L34" i="4"/>
  <c r="Q34" i="4" s="1"/>
  <c r="L98" i="4"/>
  <c r="Q98" i="4" s="1"/>
  <c r="M98" i="4"/>
  <c r="R98" i="4" s="1"/>
  <c r="L130" i="4"/>
  <c r="Q130" i="4" s="1"/>
  <c r="M130" i="4"/>
  <c r="R130" i="4" s="1"/>
  <c r="L51" i="4"/>
  <c r="Q51" i="4" s="1"/>
  <c r="M51" i="4"/>
  <c r="R51" i="4" s="1"/>
  <c r="D392" i="1"/>
  <c r="D392" i="4" s="1"/>
  <c r="E392" i="1"/>
  <c r="E392" i="4" s="1"/>
  <c r="F392" i="1"/>
  <c r="F392" i="4" s="1"/>
  <c r="D393" i="1"/>
  <c r="D393" i="4" s="1"/>
  <c r="E393" i="1"/>
  <c r="E393" i="4" s="1"/>
  <c r="F393" i="1"/>
  <c r="F393" i="4" s="1"/>
  <c r="D394" i="1"/>
  <c r="D394" i="4" s="1"/>
  <c r="E394" i="1"/>
  <c r="E394" i="4" s="1"/>
  <c r="F394" i="1"/>
  <c r="F394" i="4" s="1"/>
  <c r="D395" i="1"/>
  <c r="D395" i="4" s="1"/>
  <c r="E395" i="1"/>
  <c r="E395" i="4" s="1"/>
  <c r="F395" i="1"/>
  <c r="F395" i="4" s="1"/>
  <c r="D396" i="1"/>
  <c r="D396" i="4" s="1"/>
  <c r="E396" i="1"/>
  <c r="E396" i="4" s="1"/>
  <c r="F396" i="1"/>
  <c r="F396" i="4" s="1"/>
  <c r="D397" i="1"/>
  <c r="D397" i="4" s="1"/>
  <c r="E397" i="1"/>
  <c r="E397" i="4" s="1"/>
  <c r="F397" i="1"/>
  <c r="F397" i="4" s="1"/>
  <c r="D398" i="1"/>
  <c r="D398" i="4" s="1"/>
  <c r="E398" i="1"/>
  <c r="E398" i="4" s="1"/>
  <c r="F398" i="1"/>
  <c r="F398" i="4" s="1"/>
  <c r="D399" i="1"/>
  <c r="D399" i="4" s="1"/>
  <c r="E399" i="1"/>
  <c r="E399" i="4" s="1"/>
  <c r="F399" i="1"/>
  <c r="F399" i="4" s="1"/>
  <c r="D400" i="1"/>
  <c r="D400" i="4" s="1"/>
  <c r="E400" i="1"/>
  <c r="E400" i="4" s="1"/>
  <c r="F400" i="1"/>
  <c r="F400" i="4" s="1"/>
  <c r="D401" i="1"/>
  <c r="D401" i="4" s="1"/>
  <c r="E401" i="1"/>
  <c r="E401" i="4" s="1"/>
  <c r="F401" i="1"/>
  <c r="F401" i="4" s="1"/>
  <c r="D402" i="1"/>
  <c r="D402" i="4" s="1"/>
  <c r="E402" i="1"/>
  <c r="E402" i="4" s="1"/>
  <c r="F402" i="1"/>
  <c r="F402" i="4" s="1"/>
  <c r="D403" i="1"/>
  <c r="D403" i="4" s="1"/>
  <c r="E403" i="1"/>
  <c r="E403" i="4" s="1"/>
  <c r="F403" i="1"/>
  <c r="F403" i="4" s="1"/>
  <c r="D404" i="1"/>
  <c r="D404" i="4" s="1"/>
  <c r="E404" i="1"/>
  <c r="E404" i="4" s="1"/>
  <c r="F404" i="1"/>
  <c r="F404" i="4" s="1"/>
  <c r="D405" i="1"/>
  <c r="D405" i="4" s="1"/>
  <c r="E405" i="1"/>
  <c r="E405" i="4" s="1"/>
  <c r="F405" i="1"/>
  <c r="F405" i="4" s="1"/>
  <c r="D406" i="1"/>
  <c r="D406" i="4" s="1"/>
  <c r="E406" i="1"/>
  <c r="E406" i="4" s="1"/>
  <c r="F406" i="1"/>
  <c r="F406" i="4" s="1"/>
  <c r="D407" i="1"/>
  <c r="D407" i="4" s="1"/>
  <c r="E407" i="1"/>
  <c r="E407" i="4" s="1"/>
  <c r="F407" i="1"/>
  <c r="F407" i="4" s="1"/>
  <c r="D408" i="1"/>
  <c r="D408" i="4" s="1"/>
  <c r="E408" i="1"/>
  <c r="E408" i="4" s="1"/>
  <c r="F408" i="1"/>
  <c r="F408" i="4" s="1"/>
  <c r="D409" i="1"/>
  <c r="D409" i="4" s="1"/>
  <c r="E409" i="1"/>
  <c r="E409" i="4" s="1"/>
  <c r="F409" i="1"/>
  <c r="F409" i="4" s="1"/>
  <c r="D410" i="1"/>
  <c r="D410" i="4" s="1"/>
  <c r="E410" i="1"/>
  <c r="E410" i="4" s="1"/>
  <c r="F410" i="1"/>
  <c r="F410" i="4" s="1"/>
  <c r="D411" i="1"/>
  <c r="D411" i="4" s="1"/>
  <c r="E411" i="1"/>
  <c r="E411" i="4" s="1"/>
  <c r="F411" i="1"/>
  <c r="F411" i="4" s="1"/>
  <c r="D412" i="1"/>
  <c r="D412" i="4" s="1"/>
  <c r="E412" i="1"/>
  <c r="E412" i="4" s="1"/>
  <c r="F412" i="1"/>
  <c r="F412" i="4" s="1"/>
  <c r="D413" i="1"/>
  <c r="D413" i="4" s="1"/>
  <c r="E413" i="1"/>
  <c r="E413" i="4" s="1"/>
  <c r="F413" i="1"/>
  <c r="F413" i="4" s="1"/>
  <c r="D414" i="1"/>
  <c r="D414" i="4" s="1"/>
  <c r="E414" i="1"/>
  <c r="E414" i="4" s="1"/>
  <c r="F414" i="1"/>
  <c r="F414" i="4" s="1"/>
  <c r="D415" i="1"/>
  <c r="D415" i="4" s="1"/>
  <c r="E415" i="1"/>
  <c r="E415" i="4" s="1"/>
  <c r="F415" i="1"/>
  <c r="F415" i="4" s="1"/>
  <c r="D416" i="1"/>
  <c r="D416" i="4" s="1"/>
  <c r="E416" i="1"/>
  <c r="E416" i="4" s="1"/>
  <c r="F416" i="1"/>
  <c r="F416" i="4" s="1"/>
  <c r="D417" i="1"/>
  <c r="D417" i="4" s="1"/>
  <c r="E417" i="1"/>
  <c r="E417" i="4" s="1"/>
  <c r="F417" i="1"/>
  <c r="F417" i="4" s="1"/>
  <c r="D418" i="1"/>
  <c r="D418" i="4" s="1"/>
  <c r="E418" i="1"/>
  <c r="E418" i="4" s="1"/>
  <c r="F418" i="1"/>
  <c r="F418" i="4" s="1"/>
  <c r="D419" i="1"/>
  <c r="D419" i="4" s="1"/>
  <c r="E419" i="1"/>
  <c r="E419" i="4" s="1"/>
  <c r="F419" i="1"/>
  <c r="F419" i="4" s="1"/>
  <c r="D420" i="1"/>
  <c r="D420" i="4" s="1"/>
  <c r="E420" i="1"/>
  <c r="E420" i="4" s="1"/>
  <c r="F420" i="1"/>
  <c r="F420" i="4" s="1"/>
  <c r="D421" i="1"/>
  <c r="D421" i="4" s="1"/>
  <c r="E421" i="1"/>
  <c r="E421" i="4" s="1"/>
  <c r="F421" i="1"/>
  <c r="F421" i="4" s="1"/>
  <c r="D422" i="1"/>
  <c r="D422" i="4" s="1"/>
  <c r="E422" i="1"/>
  <c r="E422" i="4" s="1"/>
  <c r="F422" i="1"/>
  <c r="F422" i="4" s="1"/>
  <c r="D423" i="1"/>
  <c r="D423" i="4" s="1"/>
  <c r="E423" i="1"/>
  <c r="E423" i="4" s="1"/>
  <c r="F423" i="1"/>
  <c r="F423" i="4" s="1"/>
  <c r="D424" i="1"/>
  <c r="D424" i="4" s="1"/>
  <c r="E424" i="1"/>
  <c r="E424" i="4" s="1"/>
  <c r="F424" i="1"/>
  <c r="F424" i="4" s="1"/>
  <c r="D425" i="1"/>
  <c r="D425" i="4" s="1"/>
  <c r="E425" i="1"/>
  <c r="E425" i="4" s="1"/>
  <c r="F425" i="1"/>
  <c r="F425" i="4" s="1"/>
  <c r="D426" i="1"/>
  <c r="D426" i="4" s="1"/>
  <c r="E426" i="1"/>
  <c r="E426" i="4" s="1"/>
  <c r="F426" i="1"/>
  <c r="F426" i="4" s="1"/>
  <c r="D427" i="1"/>
  <c r="D427" i="4" s="1"/>
  <c r="E427" i="1"/>
  <c r="E427" i="4" s="1"/>
  <c r="F427" i="1"/>
  <c r="F427" i="4" s="1"/>
  <c r="D428" i="1"/>
  <c r="D428" i="4" s="1"/>
  <c r="E428" i="1"/>
  <c r="E428" i="4" s="1"/>
  <c r="F428" i="1"/>
  <c r="F428" i="4" s="1"/>
  <c r="D429" i="1"/>
  <c r="D429" i="4" s="1"/>
  <c r="E429" i="1"/>
  <c r="E429" i="4" s="1"/>
  <c r="F429" i="1"/>
  <c r="F429" i="4" s="1"/>
  <c r="D430" i="1"/>
  <c r="D430" i="4" s="1"/>
  <c r="E430" i="1"/>
  <c r="E430" i="4" s="1"/>
  <c r="F430" i="1"/>
  <c r="F430" i="4" s="1"/>
  <c r="D431" i="1"/>
  <c r="D431" i="4" s="1"/>
  <c r="E431" i="1"/>
  <c r="E431" i="4" s="1"/>
  <c r="F431" i="1"/>
  <c r="F431" i="4" s="1"/>
  <c r="D432" i="1"/>
  <c r="D432" i="4" s="1"/>
  <c r="E432" i="1"/>
  <c r="E432" i="4" s="1"/>
  <c r="F432" i="1"/>
  <c r="F432" i="4" s="1"/>
  <c r="D433" i="1"/>
  <c r="D433" i="4" s="1"/>
  <c r="E433" i="1"/>
  <c r="E433" i="4" s="1"/>
  <c r="F433" i="1"/>
  <c r="F433" i="4" s="1"/>
  <c r="D434" i="1"/>
  <c r="D434" i="4" s="1"/>
  <c r="E434" i="1"/>
  <c r="E434" i="4" s="1"/>
  <c r="F434" i="1"/>
  <c r="F434" i="4" s="1"/>
  <c r="D435" i="1"/>
  <c r="D435" i="4" s="1"/>
  <c r="E435" i="1"/>
  <c r="E435" i="4" s="1"/>
  <c r="F435" i="1"/>
  <c r="F435" i="4" s="1"/>
  <c r="D436" i="1"/>
  <c r="D436" i="4" s="1"/>
  <c r="E436" i="1"/>
  <c r="E436" i="4" s="1"/>
  <c r="F436" i="1"/>
  <c r="F436" i="4" s="1"/>
  <c r="D437" i="1"/>
  <c r="D437" i="4" s="1"/>
  <c r="E437" i="1"/>
  <c r="E437" i="4" s="1"/>
  <c r="F437" i="1"/>
  <c r="F437" i="4" s="1"/>
  <c r="D438" i="1"/>
  <c r="D438" i="4" s="1"/>
  <c r="E438" i="1"/>
  <c r="E438" i="4" s="1"/>
  <c r="F438" i="1"/>
  <c r="F438" i="4" s="1"/>
  <c r="D439" i="1"/>
  <c r="D439" i="4" s="1"/>
  <c r="E439" i="1"/>
  <c r="E439" i="4" s="1"/>
  <c r="F439" i="1"/>
  <c r="F439" i="4" s="1"/>
  <c r="D440" i="1"/>
  <c r="D440" i="4" s="1"/>
  <c r="E440" i="1"/>
  <c r="E440" i="4" s="1"/>
  <c r="F440" i="1"/>
  <c r="F440" i="4" s="1"/>
  <c r="D441" i="1"/>
  <c r="D441" i="4" s="1"/>
  <c r="E441" i="1"/>
  <c r="E441" i="4" s="1"/>
  <c r="F441" i="1"/>
  <c r="F441" i="4" s="1"/>
  <c r="D442" i="1"/>
  <c r="D442" i="4" s="1"/>
  <c r="E442" i="1"/>
  <c r="E442" i="4" s="1"/>
  <c r="F442" i="1"/>
  <c r="F442" i="4" s="1"/>
  <c r="D443" i="1"/>
  <c r="D443" i="4" s="1"/>
  <c r="E443" i="1"/>
  <c r="E443" i="4" s="1"/>
  <c r="F443" i="1"/>
  <c r="F443" i="4" s="1"/>
  <c r="D444" i="1"/>
  <c r="D444" i="4" s="1"/>
  <c r="E444" i="1"/>
  <c r="E444" i="4" s="1"/>
  <c r="F444" i="1"/>
  <c r="F444" i="4" s="1"/>
  <c r="D445" i="1"/>
  <c r="D445" i="4" s="1"/>
  <c r="E445" i="1"/>
  <c r="E445" i="4" s="1"/>
  <c r="F445" i="1"/>
  <c r="F445" i="4" s="1"/>
  <c r="D446" i="1"/>
  <c r="D446" i="4" s="1"/>
  <c r="E446" i="1"/>
  <c r="E446" i="4" s="1"/>
  <c r="F446" i="1"/>
  <c r="F446" i="4" s="1"/>
  <c r="D447" i="1"/>
  <c r="D447" i="4" s="1"/>
  <c r="E447" i="1"/>
  <c r="E447" i="4" s="1"/>
  <c r="F447" i="1"/>
  <c r="F447" i="4" s="1"/>
  <c r="D448" i="1"/>
  <c r="D448" i="4" s="1"/>
  <c r="E448" i="1"/>
  <c r="E448" i="4" s="1"/>
  <c r="F448" i="1"/>
  <c r="F448" i="4" s="1"/>
  <c r="D449" i="1"/>
  <c r="D449" i="4" s="1"/>
  <c r="E449" i="1"/>
  <c r="E449" i="4" s="1"/>
  <c r="F449" i="1"/>
  <c r="F449" i="4" s="1"/>
  <c r="D450" i="1"/>
  <c r="D450" i="4" s="1"/>
  <c r="E450" i="1"/>
  <c r="E450" i="4" s="1"/>
  <c r="F450" i="1"/>
  <c r="F450" i="4" s="1"/>
  <c r="D451" i="1"/>
  <c r="D451" i="4" s="1"/>
  <c r="E451" i="1"/>
  <c r="E451" i="4" s="1"/>
  <c r="F451" i="1"/>
  <c r="F451" i="4" s="1"/>
  <c r="D452" i="1"/>
  <c r="D452" i="4" s="1"/>
  <c r="E452" i="1"/>
  <c r="E452" i="4" s="1"/>
  <c r="F452" i="1"/>
  <c r="F452" i="4" s="1"/>
  <c r="D453" i="1"/>
  <c r="D453" i="4" s="1"/>
  <c r="E453" i="1"/>
  <c r="E453" i="4" s="1"/>
  <c r="F453" i="1"/>
  <c r="F453" i="4" s="1"/>
  <c r="D454" i="1"/>
  <c r="D454" i="4" s="1"/>
  <c r="E454" i="1"/>
  <c r="E454" i="4" s="1"/>
  <c r="F454" i="1"/>
  <c r="F454" i="4" s="1"/>
  <c r="D455" i="1"/>
  <c r="D455" i="4" s="1"/>
  <c r="E455" i="1"/>
  <c r="E455" i="4" s="1"/>
  <c r="F455" i="1"/>
  <c r="F455" i="4" s="1"/>
  <c r="D456" i="1"/>
  <c r="D456" i="4" s="1"/>
  <c r="E456" i="1"/>
  <c r="E456" i="4" s="1"/>
  <c r="F456" i="1"/>
  <c r="F456" i="4" s="1"/>
  <c r="D457" i="1"/>
  <c r="D457" i="4" s="1"/>
  <c r="E457" i="1"/>
  <c r="E457" i="4" s="1"/>
  <c r="F457" i="1"/>
  <c r="F457" i="4" s="1"/>
  <c r="D458" i="1"/>
  <c r="D458" i="4" s="1"/>
  <c r="E458" i="1"/>
  <c r="E458" i="4" s="1"/>
  <c r="F458" i="1"/>
  <c r="F458" i="4" s="1"/>
  <c r="D459" i="1"/>
  <c r="D459" i="4" s="1"/>
  <c r="E459" i="1"/>
  <c r="E459" i="4" s="1"/>
  <c r="F459" i="1"/>
  <c r="F459" i="4" s="1"/>
  <c r="D460" i="1"/>
  <c r="D460" i="4" s="1"/>
  <c r="E460" i="1"/>
  <c r="E460" i="4" s="1"/>
  <c r="F460" i="1"/>
  <c r="F460" i="4" s="1"/>
  <c r="D461" i="1"/>
  <c r="D461" i="4" s="1"/>
  <c r="E461" i="1"/>
  <c r="E461" i="4" s="1"/>
  <c r="F461" i="1"/>
  <c r="F461" i="4" s="1"/>
  <c r="D462" i="1"/>
  <c r="D462" i="4" s="1"/>
  <c r="E462" i="1"/>
  <c r="E462" i="4" s="1"/>
  <c r="F462" i="1"/>
  <c r="F462" i="4" s="1"/>
  <c r="D463" i="1"/>
  <c r="D463" i="4" s="1"/>
  <c r="E463" i="1"/>
  <c r="E463" i="4" s="1"/>
  <c r="F463" i="1"/>
  <c r="F463" i="4" s="1"/>
  <c r="D464" i="1"/>
  <c r="D464" i="4" s="1"/>
  <c r="E464" i="1"/>
  <c r="E464" i="4" s="1"/>
  <c r="F464" i="1"/>
  <c r="F464" i="4" s="1"/>
  <c r="D465" i="1"/>
  <c r="D465" i="4" s="1"/>
  <c r="E465" i="1"/>
  <c r="E465" i="4" s="1"/>
  <c r="F465" i="1"/>
  <c r="F465" i="4" s="1"/>
  <c r="D466" i="1"/>
  <c r="D466" i="4" s="1"/>
  <c r="E466" i="1"/>
  <c r="E466" i="4" s="1"/>
  <c r="F466" i="1"/>
  <c r="F466" i="4" s="1"/>
  <c r="D467" i="1"/>
  <c r="D467" i="4" s="1"/>
  <c r="E467" i="1"/>
  <c r="E467" i="4" s="1"/>
  <c r="F467" i="1"/>
  <c r="F467" i="4" s="1"/>
  <c r="D468" i="1"/>
  <c r="D468" i="4" s="1"/>
  <c r="E468" i="1"/>
  <c r="E468" i="4" s="1"/>
  <c r="F468" i="1"/>
  <c r="F468" i="4" s="1"/>
  <c r="D469" i="1"/>
  <c r="D469" i="4" s="1"/>
  <c r="E469" i="1"/>
  <c r="E469" i="4" s="1"/>
  <c r="F469" i="1"/>
  <c r="F469" i="4" s="1"/>
  <c r="D470" i="1"/>
  <c r="D470" i="4" s="1"/>
  <c r="E470" i="1"/>
  <c r="E470" i="4" s="1"/>
  <c r="F470" i="1"/>
  <c r="F470" i="4" s="1"/>
  <c r="D471" i="1"/>
  <c r="D471" i="4" s="1"/>
  <c r="E471" i="1"/>
  <c r="E471" i="4" s="1"/>
  <c r="F471" i="1"/>
  <c r="F471" i="4" s="1"/>
  <c r="D472" i="1"/>
  <c r="D472" i="4" s="1"/>
  <c r="E472" i="1"/>
  <c r="E472" i="4" s="1"/>
  <c r="F472" i="1"/>
  <c r="F472" i="4" s="1"/>
  <c r="D473" i="1"/>
  <c r="D473" i="4" s="1"/>
  <c r="E473" i="1"/>
  <c r="E473" i="4" s="1"/>
  <c r="F473" i="1"/>
  <c r="F473" i="4" s="1"/>
  <c r="D474" i="1"/>
  <c r="D474" i="4" s="1"/>
  <c r="E474" i="1"/>
  <c r="E474" i="4" s="1"/>
  <c r="F474" i="1"/>
  <c r="F474" i="4" s="1"/>
  <c r="D475" i="1"/>
  <c r="D475" i="4" s="1"/>
  <c r="E475" i="1"/>
  <c r="E475" i="4" s="1"/>
  <c r="F475" i="1"/>
  <c r="F475" i="4" s="1"/>
  <c r="D476" i="1"/>
  <c r="D476" i="4" s="1"/>
  <c r="E476" i="1"/>
  <c r="E476" i="4" s="1"/>
  <c r="F476" i="1"/>
  <c r="F476" i="4" s="1"/>
  <c r="D477" i="1"/>
  <c r="D477" i="4" s="1"/>
  <c r="E477" i="1"/>
  <c r="E477" i="4" s="1"/>
  <c r="F477" i="1"/>
  <c r="F477" i="4" s="1"/>
  <c r="D478" i="1"/>
  <c r="D478" i="4" s="1"/>
  <c r="E478" i="1"/>
  <c r="E478" i="4" s="1"/>
  <c r="F478" i="1"/>
  <c r="F478" i="4" s="1"/>
  <c r="D479" i="1"/>
  <c r="D479" i="4" s="1"/>
  <c r="E479" i="1"/>
  <c r="E479" i="4" s="1"/>
  <c r="F479" i="1"/>
  <c r="F479" i="4" s="1"/>
  <c r="D480" i="1"/>
  <c r="D480" i="4" s="1"/>
  <c r="E480" i="1"/>
  <c r="E480" i="4" s="1"/>
  <c r="F480" i="1"/>
  <c r="F480" i="4" s="1"/>
  <c r="D481" i="1"/>
  <c r="D481" i="4" s="1"/>
  <c r="E481" i="1"/>
  <c r="E481" i="4" s="1"/>
  <c r="F481" i="1"/>
  <c r="F481" i="4" s="1"/>
  <c r="D482" i="1"/>
  <c r="D482" i="4" s="1"/>
  <c r="E482" i="1"/>
  <c r="E482" i="4" s="1"/>
  <c r="F482" i="1"/>
  <c r="F482" i="4" s="1"/>
  <c r="D483" i="1"/>
  <c r="D483" i="4" s="1"/>
  <c r="E483" i="1"/>
  <c r="E483" i="4" s="1"/>
  <c r="F483" i="1"/>
  <c r="F483" i="4" s="1"/>
  <c r="D484" i="1"/>
  <c r="D484" i="4" s="1"/>
  <c r="E484" i="1"/>
  <c r="E484" i="4" s="1"/>
  <c r="F484" i="1"/>
  <c r="F484" i="4" s="1"/>
  <c r="D485" i="1"/>
  <c r="D485" i="4" s="1"/>
  <c r="E485" i="1"/>
  <c r="E485" i="4" s="1"/>
  <c r="F485" i="1"/>
  <c r="F485" i="4" s="1"/>
  <c r="D486" i="1"/>
  <c r="D486" i="4" s="1"/>
  <c r="E486" i="1"/>
  <c r="E486" i="4" s="1"/>
  <c r="F486" i="1"/>
  <c r="F486" i="4" s="1"/>
  <c r="D487" i="1"/>
  <c r="D487" i="4" s="1"/>
  <c r="E487" i="1"/>
  <c r="E487" i="4" s="1"/>
  <c r="F487" i="1"/>
  <c r="F487" i="4" s="1"/>
  <c r="D488" i="1"/>
  <c r="D488" i="4" s="1"/>
  <c r="E488" i="1"/>
  <c r="E488" i="4" s="1"/>
  <c r="F488" i="1"/>
  <c r="F488" i="4" s="1"/>
  <c r="D489" i="1"/>
  <c r="D489" i="4" s="1"/>
  <c r="E489" i="1"/>
  <c r="E489" i="4" s="1"/>
  <c r="F489" i="1"/>
  <c r="F489" i="4" s="1"/>
  <c r="D490" i="1"/>
  <c r="D490" i="4" s="1"/>
  <c r="E490" i="1"/>
  <c r="E490" i="4" s="1"/>
  <c r="F490" i="1"/>
  <c r="F490" i="4" s="1"/>
  <c r="D491" i="1"/>
  <c r="D491" i="4" s="1"/>
  <c r="E491" i="1"/>
  <c r="E491" i="4" s="1"/>
  <c r="F491" i="1"/>
  <c r="F491" i="4" s="1"/>
  <c r="D492" i="1"/>
  <c r="D492" i="4" s="1"/>
  <c r="E492" i="1"/>
  <c r="E492" i="4" s="1"/>
  <c r="F492" i="1"/>
  <c r="F492" i="4" s="1"/>
  <c r="D493" i="1"/>
  <c r="D493" i="4" s="1"/>
  <c r="E493" i="1"/>
  <c r="E493" i="4" s="1"/>
  <c r="F493" i="1"/>
  <c r="F493" i="4" s="1"/>
  <c r="D494" i="1"/>
  <c r="D494" i="4" s="1"/>
  <c r="E494" i="1"/>
  <c r="E494" i="4" s="1"/>
  <c r="F494" i="1"/>
  <c r="F494" i="4" s="1"/>
  <c r="D495" i="1"/>
  <c r="D495" i="4" s="1"/>
  <c r="E495" i="1"/>
  <c r="E495" i="4" s="1"/>
  <c r="F495" i="1"/>
  <c r="F495" i="4" s="1"/>
  <c r="D496" i="1"/>
  <c r="D496" i="4" s="1"/>
  <c r="E496" i="1"/>
  <c r="E496" i="4" s="1"/>
  <c r="F496" i="1"/>
  <c r="F496" i="4" s="1"/>
  <c r="D497" i="1"/>
  <c r="D497" i="4" s="1"/>
  <c r="E497" i="1"/>
  <c r="E497" i="4" s="1"/>
  <c r="F497" i="1"/>
  <c r="F497" i="4" s="1"/>
  <c r="D498" i="1"/>
  <c r="D498" i="4" s="1"/>
  <c r="E498" i="1"/>
  <c r="E498" i="4" s="1"/>
  <c r="F498" i="1"/>
  <c r="F498" i="4" s="1"/>
  <c r="D499" i="1"/>
  <c r="D499" i="4" s="1"/>
  <c r="E499" i="1"/>
  <c r="E499" i="4" s="1"/>
  <c r="F499" i="1"/>
  <c r="F499" i="4" s="1"/>
  <c r="D500" i="1"/>
  <c r="D500" i="4" s="1"/>
  <c r="E500" i="1"/>
  <c r="E500" i="4" s="1"/>
  <c r="F500" i="1"/>
  <c r="F500" i="4" s="1"/>
  <c r="D501" i="1"/>
  <c r="D501" i="4" s="1"/>
  <c r="E501" i="1"/>
  <c r="E501" i="4" s="1"/>
  <c r="F501" i="1"/>
  <c r="F501" i="4" s="1"/>
  <c r="D502" i="1"/>
  <c r="D502" i="4" s="1"/>
  <c r="E502" i="1"/>
  <c r="E502" i="4" s="1"/>
  <c r="F502" i="1"/>
  <c r="F502" i="4" s="1"/>
  <c r="D503" i="1"/>
  <c r="D503" i="4" s="1"/>
  <c r="E503" i="1"/>
  <c r="E503" i="4" s="1"/>
  <c r="F503" i="1"/>
  <c r="F503" i="4" s="1"/>
  <c r="D504" i="1"/>
  <c r="D504" i="4" s="1"/>
  <c r="E504" i="1"/>
  <c r="E504" i="4" s="1"/>
  <c r="F504" i="1"/>
  <c r="F504" i="4" s="1"/>
  <c r="D505" i="1"/>
  <c r="D505" i="4" s="1"/>
  <c r="E505" i="1"/>
  <c r="E505" i="4" s="1"/>
  <c r="F505" i="1"/>
  <c r="F505" i="4" s="1"/>
  <c r="D506" i="1"/>
  <c r="D506" i="4" s="1"/>
  <c r="E506" i="1"/>
  <c r="E506" i="4" s="1"/>
  <c r="F506" i="1"/>
  <c r="F506" i="4" s="1"/>
  <c r="D507" i="1"/>
  <c r="D507" i="4" s="1"/>
  <c r="E507" i="1"/>
  <c r="E507" i="4" s="1"/>
  <c r="F507" i="1"/>
  <c r="F507" i="4" s="1"/>
  <c r="D508" i="1"/>
  <c r="D508" i="4" s="1"/>
  <c r="E508" i="1"/>
  <c r="E508" i="4" s="1"/>
  <c r="F508" i="1"/>
  <c r="F508" i="4" s="1"/>
  <c r="D509" i="1"/>
  <c r="D509" i="4" s="1"/>
  <c r="E509" i="1"/>
  <c r="E509" i="4" s="1"/>
  <c r="F509" i="1"/>
  <c r="F509" i="4" s="1"/>
  <c r="D510" i="1"/>
  <c r="D510" i="4" s="1"/>
  <c r="E510" i="1"/>
  <c r="E510" i="4" s="1"/>
  <c r="F510" i="1"/>
  <c r="F510" i="4" s="1"/>
  <c r="D511" i="1"/>
  <c r="D511" i="4" s="1"/>
  <c r="E511" i="1"/>
  <c r="E511" i="4" s="1"/>
  <c r="F511" i="1"/>
  <c r="F511" i="4" s="1"/>
  <c r="D512" i="1"/>
  <c r="D512" i="4" s="1"/>
  <c r="E512" i="1"/>
  <c r="E512" i="4" s="1"/>
  <c r="F512" i="1"/>
  <c r="F512" i="4" s="1"/>
  <c r="D513" i="1"/>
  <c r="D513" i="4" s="1"/>
  <c r="E513" i="1"/>
  <c r="E513" i="4" s="1"/>
  <c r="F513" i="1"/>
  <c r="F513" i="4" s="1"/>
  <c r="D514" i="1"/>
  <c r="D514" i="4" s="1"/>
  <c r="E514" i="1"/>
  <c r="E514" i="4" s="1"/>
  <c r="F514" i="1"/>
  <c r="F514" i="4" s="1"/>
  <c r="D515" i="1"/>
  <c r="D515" i="4" s="1"/>
  <c r="E515" i="1"/>
  <c r="E515" i="4" s="1"/>
  <c r="F515" i="1"/>
  <c r="F515" i="4" s="1"/>
  <c r="D516" i="1"/>
  <c r="D516" i="4" s="1"/>
  <c r="E516" i="1"/>
  <c r="E516" i="4" s="1"/>
  <c r="F516" i="1"/>
  <c r="F516" i="4" s="1"/>
  <c r="D517" i="1"/>
  <c r="D517" i="4" s="1"/>
  <c r="E517" i="1"/>
  <c r="E517" i="4" s="1"/>
  <c r="F517" i="1"/>
  <c r="F517" i="4" s="1"/>
  <c r="D518" i="1"/>
  <c r="D518" i="4" s="1"/>
  <c r="E518" i="1"/>
  <c r="E518" i="4" s="1"/>
  <c r="F518" i="1"/>
  <c r="F518" i="4" s="1"/>
  <c r="D519" i="1"/>
  <c r="D519" i="4" s="1"/>
  <c r="E519" i="1"/>
  <c r="E519" i="4" s="1"/>
  <c r="F519" i="1"/>
  <c r="F519" i="4" s="1"/>
  <c r="D520" i="1"/>
  <c r="D520" i="4" s="1"/>
  <c r="E520" i="1"/>
  <c r="E520" i="4" s="1"/>
  <c r="F520" i="1"/>
  <c r="F520" i="4" s="1"/>
  <c r="D521" i="1"/>
  <c r="D521" i="4" s="1"/>
  <c r="E521" i="1"/>
  <c r="E521" i="4" s="1"/>
  <c r="F521" i="1"/>
  <c r="F521" i="4" s="1"/>
  <c r="D522" i="1"/>
  <c r="D522" i="4" s="1"/>
  <c r="E522" i="1"/>
  <c r="E522" i="4" s="1"/>
  <c r="F522" i="1"/>
  <c r="F522" i="4" s="1"/>
  <c r="D523" i="1"/>
  <c r="D523" i="4" s="1"/>
  <c r="E523" i="1"/>
  <c r="E523" i="4" s="1"/>
  <c r="F523" i="1"/>
  <c r="F523" i="4" s="1"/>
  <c r="D524" i="1"/>
  <c r="D524" i="4" s="1"/>
  <c r="E524" i="1"/>
  <c r="E524" i="4" s="1"/>
  <c r="F524" i="1"/>
  <c r="F524" i="4" s="1"/>
  <c r="D525" i="1"/>
  <c r="D525" i="4" s="1"/>
  <c r="E525" i="1"/>
  <c r="E525" i="4" s="1"/>
  <c r="F525" i="1"/>
  <c r="F525" i="4" s="1"/>
  <c r="D526" i="1"/>
  <c r="D526" i="4" s="1"/>
  <c r="E526" i="1"/>
  <c r="E526" i="4" s="1"/>
  <c r="F526" i="1"/>
  <c r="F526" i="4" s="1"/>
  <c r="D527" i="1"/>
  <c r="D527" i="4" s="1"/>
  <c r="E527" i="1"/>
  <c r="E527" i="4" s="1"/>
  <c r="F527" i="1"/>
  <c r="F527" i="4" s="1"/>
  <c r="D528" i="1"/>
  <c r="D528" i="4" s="1"/>
  <c r="E528" i="1"/>
  <c r="E528" i="4" s="1"/>
  <c r="F528" i="1"/>
  <c r="F528" i="4" s="1"/>
  <c r="D529" i="1"/>
  <c r="D529" i="4" s="1"/>
  <c r="E529" i="1"/>
  <c r="E529" i="4" s="1"/>
  <c r="F529" i="1"/>
  <c r="F529" i="4" s="1"/>
  <c r="D530" i="1"/>
  <c r="D530" i="4" s="1"/>
  <c r="E530" i="1"/>
  <c r="E530" i="4" s="1"/>
  <c r="F530" i="1"/>
  <c r="F530" i="4" s="1"/>
  <c r="D531" i="1"/>
  <c r="D531" i="4" s="1"/>
  <c r="E531" i="1"/>
  <c r="E531" i="4" s="1"/>
  <c r="F531" i="1"/>
  <c r="F531" i="4" s="1"/>
  <c r="D532" i="1"/>
  <c r="D532" i="4" s="1"/>
  <c r="E532" i="1"/>
  <c r="E532" i="4" s="1"/>
  <c r="F532" i="1"/>
  <c r="F532" i="4" s="1"/>
  <c r="D533" i="1"/>
  <c r="D533" i="4" s="1"/>
  <c r="E533" i="1"/>
  <c r="E533" i="4" s="1"/>
  <c r="F533" i="1"/>
  <c r="F533" i="4" s="1"/>
  <c r="D534" i="1"/>
  <c r="D534" i="4" s="1"/>
  <c r="E534" i="1"/>
  <c r="E534" i="4" s="1"/>
  <c r="F534" i="1"/>
  <c r="F534" i="4" s="1"/>
  <c r="D535" i="1"/>
  <c r="D535" i="4" s="1"/>
  <c r="E535" i="1"/>
  <c r="E535" i="4" s="1"/>
  <c r="F535" i="1"/>
  <c r="F535" i="4" s="1"/>
  <c r="D536" i="1"/>
  <c r="D536" i="4" s="1"/>
  <c r="E536" i="1"/>
  <c r="E536" i="4" s="1"/>
  <c r="F536" i="1"/>
  <c r="F536" i="4" s="1"/>
  <c r="D537" i="1"/>
  <c r="D537" i="4" s="1"/>
  <c r="E537" i="1"/>
  <c r="E537" i="4" s="1"/>
  <c r="F537" i="1"/>
  <c r="F537" i="4" s="1"/>
  <c r="D538" i="1"/>
  <c r="D538" i="4" s="1"/>
  <c r="E538" i="1"/>
  <c r="E538" i="4" s="1"/>
  <c r="F538" i="1"/>
  <c r="F538" i="4" s="1"/>
  <c r="D539" i="1"/>
  <c r="D539" i="4" s="1"/>
  <c r="E539" i="1"/>
  <c r="E539" i="4" s="1"/>
  <c r="F539" i="1"/>
  <c r="F539" i="4" s="1"/>
  <c r="D540" i="1"/>
  <c r="D540" i="4" s="1"/>
  <c r="E540" i="1"/>
  <c r="E540" i="4" s="1"/>
  <c r="F540" i="1"/>
  <c r="F540" i="4" s="1"/>
  <c r="D541" i="1"/>
  <c r="D541" i="4" s="1"/>
  <c r="E541" i="1"/>
  <c r="E541" i="4" s="1"/>
  <c r="F541" i="1"/>
  <c r="F541" i="4" s="1"/>
  <c r="D542" i="1"/>
  <c r="D542" i="4" s="1"/>
  <c r="E542" i="1"/>
  <c r="E542" i="4" s="1"/>
  <c r="F542" i="1"/>
  <c r="F542" i="4" s="1"/>
  <c r="D543" i="1"/>
  <c r="D543" i="4" s="1"/>
  <c r="E543" i="1"/>
  <c r="E543" i="4" s="1"/>
  <c r="F543" i="1"/>
  <c r="F543" i="4" s="1"/>
  <c r="D544" i="1"/>
  <c r="D544" i="4" s="1"/>
  <c r="E544" i="1"/>
  <c r="E544" i="4" s="1"/>
  <c r="F544" i="1"/>
  <c r="F544" i="4" s="1"/>
  <c r="D545" i="1"/>
  <c r="D545" i="4" s="1"/>
  <c r="E545" i="1"/>
  <c r="E545" i="4" s="1"/>
  <c r="F545" i="1"/>
  <c r="F545" i="4" s="1"/>
  <c r="D546" i="1"/>
  <c r="D546" i="4" s="1"/>
  <c r="E546" i="1"/>
  <c r="E546" i="4" s="1"/>
  <c r="F546" i="1"/>
  <c r="F546" i="4" s="1"/>
  <c r="D547" i="1"/>
  <c r="D547" i="4" s="1"/>
  <c r="E547" i="1"/>
  <c r="E547" i="4" s="1"/>
  <c r="F547" i="1"/>
  <c r="F547" i="4" s="1"/>
  <c r="D548" i="1"/>
  <c r="D548" i="4" s="1"/>
  <c r="E548" i="1"/>
  <c r="E548" i="4" s="1"/>
  <c r="F548" i="1"/>
  <c r="F548" i="4" s="1"/>
  <c r="D549" i="1"/>
  <c r="D549" i="4" s="1"/>
  <c r="E549" i="1"/>
  <c r="E549" i="4" s="1"/>
  <c r="F549" i="1"/>
  <c r="F549" i="4" s="1"/>
  <c r="D550" i="1"/>
  <c r="D550" i="4" s="1"/>
  <c r="E550" i="1"/>
  <c r="E550" i="4" s="1"/>
  <c r="F550" i="1"/>
  <c r="F550" i="4" s="1"/>
  <c r="D551" i="1"/>
  <c r="D551" i="4" s="1"/>
  <c r="E551" i="1"/>
  <c r="E551" i="4" s="1"/>
  <c r="F551" i="1"/>
  <c r="F551" i="4" s="1"/>
  <c r="D552" i="1"/>
  <c r="D552" i="4" s="1"/>
  <c r="E552" i="1"/>
  <c r="E552" i="4" s="1"/>
  <c r="F552" i="1"/>
  <c r="F552" i="4" s="1"/>
  <c r="D553" i="1"/>
  <c r="D553" i="4" s="1"/>
  <c r="E553" i="1"/>
  <c r="E553" i="4" s="1"/>
  <c r="F553" i="1"/>
  <c r="F553" i="4" s="1"/>
  <c r="D554" i="1"/>
  <c r="D554" i="4" s="1"/>
  <c r="E554" i="1"/>
  <c r="E554" i="4" s="1"/>
  <c r="F554" i="1"/>
  <c r="F554" i="4" s="1"/>
  <c r="D555" i="1"/>
  <c r="D555" i="4" s="1"/>
  <c r="E555" i="1"/>
  <c r="E555" i="4" s="1"/>
  <c r="F555" i="1"/>
  <c r="F555" i="4" s="1"/>
  <c r="D556" i="1"/>
  <c r="D556" i="4" s="1"/>
  <c r="E556" i="1"/>
  <c r="E556" i="4" s="1"/>
  <c r="F556" i="1"/>
  <c r="F556" i="4" s="1"/>
  <c r="D557" i="1"/>
  <c r="D557" i="4" s="1"/>
  <c r="E557" i="1"/>
  <c r="E557" i="4" s="1"/>
  <c r="F557" i="1"/>
  <c r="F557" i="4" s="1"/>
  <c r="D558" i="1"/>
  <c r="D558" i="4" s="1"/>
  <c r="E558" i="1"/>
  <c r="E558" i="4" s="1"/>
  <c r="F558" i="1"/>
  <c r="F558" i="4" s="1"/>
  <c r="D559" i="1"/>
  <c r="D559" i="4" s="1"/>
  <c r="E559" i="1"/>
  <c r="E559" i="4" s="1"/>
  <c r="F559" i="1"/>
  <c r="F559" i="4" s="1"/>
  <c r="D560" i="1"/>
  <c r="D560" i="4" s="1"/>
  <c r="E560" i="1"/>
  <c r="E560" i="4" s="1"/>
  <c r="F560" i="1"/>
  <c r="F560" i="4" s="1"/>
  <c r="D561" i="1"/>
  <c r="D561" i="4" s="1"/>
  <c r="E561" i="1"/>
  <c r="E561" i="4" s="1"/>
  <c r="F561" i="1"/>
  <c r="F561" i="4" s="1"/>
  <c r="D562" i="1"/>
  <c r="D562" i="4" s="1"/>
  <c r="E562" i="1"/>
  <c r="E562" i="4" s="1"/>
  <c r="F562" i="1"/>
  <c r="F562" i="4" s="1"/>
  <c r="D563" i="1"/>
  <c r="D563" i="4" s="1"/>
  <c r="E563" i="1"/>
  <c r="E563" i="4" s="1"/>
  <c r="F563" i="1"/>
  <c r="F563" i="4" s="1"/>
  <c r="D564" i="1"/>
  <c r="D564" i="4" s="1"/>
  <c r="E564" i="1"/>
  <c r="E564" i="4" s="1"/>
  <c r="F564" i="1"/>
  <c r="F564" i="4" s="1"/>
  <c r="D565" i="1"/>
  <c r="D565" i="4" s="1"/>
  <c r="E565" i="1"/>
  <c r="E565" i="4" s="1"/>
  <c r="F565" i="1"/>
  <c r="F565" i="4" s="1"/>
  <c r="D566" i="1"/>
  <c r="D566" i="4" s="1"/>
  <c r="E566" i="1"/>
  <c r="E566" i="4" s="1"/>
  <c r="F566" i="1"/>
  <c r="F566" i="4" s="1"/>
  <c r="D567" i="1"/>
  <c r="D567" i="4" s="1"/>
  <c r="E567" i="1"/>
  <c r="E567" i="4" s="1"/>
  <c r="F567" i="1"/>
  <c r="F567" i="4" s="1"/>
  <c r="D568" i="1"/>
  <c r="D568" i="4" s="1"/>
  <c r="E568" i="1"/>
  <c r="E568" i="4" s="1"/>
  <c r="F568" i="1"/>
  <c r="F568" i="4" s="1"/>
  <c r="D569" i="1"/>
  <c r="D569" i="4" s="1"/>
  <c r="E569" i="1"/>
  <c r="E569" i="4" s="1"/>
  <c r="F569" i="1"/>
  <c r="F569" i="4" s="1"/>
  <c r="D570" i="1"/>
  <c r="D570" i="4" s="1"/>
  <c r="E570" i="1"/>
  <c r="E570" i="4" s="1"/>
  <c r="F570" i="1"/>
  <c r="F570" i="4" s="1"/>
  <c r="D571" i="1"/>
  <c r="D571" i="4" s="1"/>
  <c r="E571" i="1"/>
  <c r="E571" i="4" s="1"/>
  <c r="F571" i="1"/>
  <c r="F571" i="4" s="1"/>
  <c r="D572" i="1"/>
  <c r="D572" i="4" s="1"/>
  <c r="E572" i="1"/>
  <c r="E572" i="4" s="1"/>
  <c r="F572" i="1"/>
  <c r="F572" i="4" s="1"/>
  <c r="D573" i="1"/>
  <c r="D573" i="4" s="1"/>
  <c r="E573" i="1"/>
  <c r="E573" i="4" s="1"/>
  <c r="F573" i="1"/>
  <c r="F573" i="4" s="1"/>
  <c r="D574" i="1"/>
  <c r="D574" i="4" s="1"/>
  <c r="E574" i="1"/>
  <c r="E574" i="4" s="1"/>
  <c r="F574" i="1"/>
  <c r="F574" i="4" s="1"/>
  <c r="D575" i="1"/>
  <c r="D575" i="4" s="1"/>
  <c r="E575" i="1"/>
  <c r="E575" i="4" s="1"/>
  <c r="F575" i="1"/>
  <c r="F575" i="4" s="1"/>
  <c r="D576" i="1"/>
  <c r="D576" i="4" s="1"/>
  <c r="E576" i="1"/>
  <c r="E576" i="4" s="1"/>
  <c r="F576" i="1"/>
  <c r="F576" i="4" s="1"/>
  <c r="D577" i="1"/>
  <c r="D577" i="4" s="1"/>
  <c r="E577" i="1"/>
  <c r="E577" i="4" s="1"/>
  <c r="F577" i="1"/>
  <c r="F577" i="4" s="1"/>
  <c r="D578" i="1"/>
  <c r="D578" i="4" s="1"/>
  <c r="E578" i="1"/>
  <c r="E578" i="4" s="1"/>
  <c r="F578" i="1"/>
  <c r="F578" i="4" s="1"/>
  <c r="D579" i="1"/>
  <c r="D579" i="4" s="1"/>
  <c r="E579" i="1"/>
  <c r="E579" i="4" s="1"/>
  <c r="F579" i="1"/>
  <c r="F579" i="4" s="1"/>
  <c r="D580" i="1"/>
  <c r="D580" i="4" s="1"/>
  <c r="E580" i="1"/>
  <c r="E580" i="4" s="1"/>
  <c r="F580" i="1"/>
  <c r="F580" i="4" s="1"/>
  <c r="D581" i="1"/>
  <c r="D581" i="4" s="1"/>
  <c r="E581" i="1"/>
  <c r="E581" i="4" s="1"/>
  <c r="F581" i="1"/>
  <c r="F581" i="4" s="1"/>
  <c r="D582" i="1"/>
  <c r="D582" i="4" s="1"/>
  <c r="E582" i="1"/>
  <c r="E582" i="4" s="1"/>
  <c r="F582" i="1"/>
  <c r="F582" i="4" s="1"/>
  <c r="D583" i="1"/>
  <c r="D583" i="4" s="1"/>
  <c r="E583" i="1"/>
  <c r="E583" i="4" s="1"/>
  <c r="F583" i="1"/>
  <c r="F583" i="4" s="1"/>
  <c r="D584" i="1"/>
  <c r="D584" i="4" s="1"/>
  <c r="E584" i="1"/>
  <c r="E584" i="4" s="1"/>
  <c r="F584" i="1"/>
  <c r="F584" i="4" s="1"/>
  <c r="D585" i="1"/>
  <c r="D585" i="4" s="1"/>
  <c r="E585" i="1"/>
  <c r="E585" i="4" s="1"/>
  <c r="F585" i="1"/>
  <c r="F585" i="4" s="1"/>
  <c r="D586" i="1"/>
  <c r="D586" i="4" s="1"/>
  <c r="E586" i="1"/>
  <c r="E586" i="4" s="1"/>
  <c r="F586" i="1"/>
  <c r="F586" i="4" s="1"/>
  <c r="D587" i="1"/>
  <c r="D587" i="4" s="1"/>
  <c r="E587" i="1"/>
  <c r="E587" i="4" s="1"/>
  <c r="F587" i="1"/>
  <c r="F587" i="4" s="1"/>
  <c r="D588" i="1"/>
  <c r="D588" i="4" s="1"/>
  <c r="E588" i="1"/>
  <c r="E588" i="4" s="1"/>
  <c r="F588" i="1"/>
  <c r="F588" i="4" s="1"/>
  <c r="D589" i="1"/>
  <c r="D589" i="4" s="1"/>
  <c r="E589" i="1"/>
  <c r="E589" i="4" s="1"/>
  <c r="F589" i="1"/>
  <c r="F589" i="4" s="1"/>
  <c r="D590" i="1"/>
  <c r="D590" i="4" s="1"/>
  <c r="E590" i="1"/>
  <c r="E590" i="4" s="1"/>
  <c r="F590" i="1"/>
  <c r="F590" i="4" s="1"/>
  <c r="D591" i="1"/>
  <c r="D591" i="4" s="1"/>
  <c r="E591" i="1"/>
  <c r="E591" i="4" s="1"/>
  <c r="F591" i="1"/>
  <c r="F591" i="4" s="1"/>
  <c r="D592" i="1"/>
  <c r="D592" i="4" s="1"/>
  <c r="E592" i="1"/>
  <c r="E592" i="4" s="1"/>
  <c r="F592" i="1"/>
  <c r="F592" i="4" s="1"/>
  <c r="D593" i="1"/>
  <c r="D593" i="4" s="1"/>
  <c r="E593" i="1"/>
  <c r="E593" i="4" s="1"/>
  <c r="F593" i="1"/>
  <c r="F593" i="4" s="1"/>
  <c r="D594" i="1"/>
  <c r="D594" i="4" s="1"/>
  <c r="E594" i="1"/>
  <c r="E594" i="4" s="1"/>
  <c r="F594" i="1"/>
  <c r="F594" i="4" s="1"/>
  <c r="D595" i="1"/>
  <c r="D595" i="4" s="1"/>
  <c r="E595" i="1"/>
  <c r="E595" i="4" s="1"/>
  <c r="F595" i="1"/>
  <c r="F595" i="4" s="1"/>
  <c r="D596" i="1"/>
  <c r="D596" i="4" s="1"/>
  <c r="E596" i="1"/>
  <c r="E596" i="4" s="1"/>
  <c r="F596" i="1"/>
  <c r="F596" i="4" s="1"/>
  <c r="D597" i="1"/>
  <c r="D597" i="4" s="1"/>
  <c r="E597" i="1"/>
  <c r="E597" i="4" s="1"/>
  <c r="F597" i="1"/>
  <c r="F597" i="4" s="1"/>
  <c r="D598" i="1"/>
  <c r="D598" i="4" s="1"/>
  <c r="E598" i="1"/>
  <c r="E598" i="4" s="1"/>
  <c r="F598" i="1"/>
  <c r="F598" i="4" s="1"/>
  <c r="D599" i="1"/>
  <c r="D599" i="4" s="1"/>
  <c r="E599" i="1"/>
  <c r="E599" i="4" s="1"/>
  <c r="F599" i="1"/>
  <c r="F599" i="4" s="1"/>
  <c r="D600" i="1"/>
  <c r="D600" i="4" s="1"/>
  <c r="E600" i="1"/>
  <c r="E600" i="4" s="1"/>
  <c r="F600" i="1"/>
  <c r="F600" i="4" s="1"/>
  <c r="D601" i="1"/>
  <c r="D601" i="4" s="1"/>
  <c r="E601" i="1"/>
  <c r="E601" i="4" s="1"/>
  <c r="F601" i="1"/>
  <c r="F601" i="4" s="1"/>
  <c r="D602" i="1"/>
  <c r="D602" i="4" s="1"/>
  <c r="E602" i="1"/>
  <c r="E602" i="4" s="1"/>
  <c r="F602" i="1"/>
  <c r="F602" i="4" s="1"/>
  <c r="D603" i="1"/>
  <c r="D603" i="4" s="1"/>
  <c r="E603" i="1"/>
  <c r="E603" i="4" s="1"/>
  <c r="F603" i="1"/>
  <c r="F603" i="4" s="1"/>
  <c r="D604" i="1"/>
  <c r="D604" i="4" s="1"/>
  <c r="E604" i="1"/>
  <c r="E604" i="4" s="1"/>
  <c r="F604" i="1"/>
  <c r="F604" i="4" s="1"/>
  <c r="D605" i="1"/>
  <c r="D605" i="4" s="1"/>
  <c r="E605" i="1"/>
  <c r="E605" i="4" s="1"/>
  <c r="F605" i="1"/>
  <c r="F605" i="4" s="1"/>
  <c r="D606" i="1"/>
  <c r="D606" i="4" s="1"/>
  <c r="E606" i="1"/>
  <c r="E606" i="4" s="1"/>
  <c r="F606" i="1"/>
  <c r="F606" i="4" s="1"/>
  <c r="D607" i="1"/>
  <c r="D607" i="4" s="1"/>
  <c r="E607" i="1"/>
  <c r="E607" i="4" s="1"/>
  <c r="F607" i="1"/>
  <c r="F607" i="4" s="1"/>
  <c r="D608" i="1"/>
  <c r="D608" i="4" s="1"/>
  <c r="E608" i="1"/>
  <c r="E608" i="4" s="1"/>
  <c r="F608" i="1"/>
  <c r="F608" i="4" s="1"/>
  <c r="D609" i="1"/>
  <c r="D609" i="4" s="1"/>
  <c r="E609" i="1"/>
  <c r="E609" i="4" s="1"/>
  <c r="F609" i="1"/>
  <c r="F609" i="4" s="1"/>
  <c r="D610" i="1"/>
  <c r="D610" i="4" s="1"/>
  <c r="E610" i="1"/>
  <c r="E610" i="4" s="1"/>
  <c r="F610" i="1"/>
  <c r="F610" i="4" s="1"/>
  <c r="D611" i="1"/>
  <c r="D611" i="4" s="1"/>
  <c r="E611" i="1"/>
  <c r="E611" i="4" s="1"/>
  <c r="F611" i="1"/>
  <c r="F611" i="4" s="1"/>
  <c r="D612" i="1"/>
  <c r="D612" i="4" s="1"/>
  <c r="E612" i="1"/>
  <c r="E612" i="4" s="1"/>
  <c r="F612" i="1"/>
  <c r="F612" i="4" s="1"/>
  <c r="D613" i="1"/>
  <c r="D613" i="4" s="1"/>
  <c r="E613" i="1"/>
  <c r="E613" i="4" s="1"/>
  <c r="F613" i="1"/>
  <c r="F613" i="4" s="1"/>
  <c r="D614" i="1"/>
  <c r="D614" i="4" s="1"/>
  <c r="E614" i="1"/>
  <c r="E614" i="4" s="1"/>
  <c r="F614" i="1"/>
  <c r="F614" i="4" s="1"/>
  <c r="D615" i="1"/>
  <c r="D615" i="4" s="1"/>
  <c r="E615" i="1"/>
  <c r="E615" i="4" s="1"/>
  <c r="F615" i="1"/>
  <c r="F615" i="4" s="1"/>
  <c r="D616" i="1"/>
  <c r="D616" i="4" s="1"/>
  <c r="E616" i="1"/>
  <c r="E616" i="4" s="1"/>
  <c r="F616" i="1"/>
  <c r="F616" i="4" s="1"/>
  <c r="D617" i="1"/>
  <c r="D617" i="4" s="1"/>
  <c r="E617" i="1"/>
  <c r="E617" i="4" s="1"/>
  <c r="F617" i="1"/>
  <c r="F617" i="4" s="1"/>
  <c r="D618" i="1"/>
  <c r="D618" i="4" s="1"/>
  <c r="E618" i="1"/>
  <c r="E618" i="4" s="1"/>
  <c r="F618" i="1"/>
  <c r="F618" i="4" s="1"/>
  <c r="D619" i="1"/>
  <c r="D619" i="4" s="1"/>
  <c r="E619" i="1"/>
  <c r="E619" i="4" s="1"/>
  <c r="F619" i="1"/>
  <c r="F619" i="4" s="1"/>
  <c r="D620" i="1"/>
  <c r="D620" i="4" s="1"/>
  <c r="E620" i="1"/>
  <c r="E620" i="4" s="1"/>
  <c r="F620" i="1"/>
  <c r="F620" i="4" s="1"/>
  <c r="D621" i="1"/>
  <c r="D621" i="4" s="1"/>
  <c r="E621" i="1"/>
  <c r="E621" i="4" s="1"/>
  <c r="F621" i="1"/>
  <c r="F621" i="4" s="1"/>
  <c r="D622" i="1"/>
  <c r="D622" i="4" s="1"/>
  <c r="E622" i="1"/>
  <c r="E622" i="4" s="1"/>
  <c r="F622" i="1"/>
  <c r="F622" i="4" s="1"/>
  <c r="D623" i="1"/>
  <c r="D623" i="4" s="1"/>
  <c r="E623" i="1"/>
  <c r="E623" i="4" s="1"/>
  <c r="F623" i="1"/>
  <c r="F623" i="4" s="1"/>
  <c r="D624" i="1"/>
  <c r="D624" i="4" s="1"/>
  <c r="E624" i="1"/>
  <c r="E624" i="4" s="1"/>
  <c r="F624" i="1"/>
  <c r="F624" i="4" s="1"/>
  <c r="D625" i="1"/>
  <c r="D625" i="4" s="1"/>
  <c r="E625" i="1"/>
  <c r="E625" i="4" s="1"/>
  <c r="F625" i="1"/>
  <c r="F625" i="4" s="1"/>
  <c r="D626" i="1"/>
  <c r="D626" i="4" s="1"/>
  <c r="E626" i="1"/>
  <c r="E626" i="4" s="1"/>
  <c r="F626" i="1"/>
  <c r="F626" i="4" s="1"/>
  <c r="D627" i="1"/>
  <c r="D627" i="4" s="1"/>
  <c r="E627" i="1"/>
  <c r="E627" i="4" s="1"/>
  <c r="F627" i="1"/>
  <c r="F627" i="4" s="1"/>
  <c r="D628" i="1"/>
  <c r="D628" i="4" s="1"/>
  <c r="E628" i="1"/>
  <c r="E628" i="4" s="1"/>
  <c r="F628" i="1"/>
  <c r="F628" i="4" s="1"/>
  <c r="D629" i="1"/>
  <c r="D629" i="4" s="1"/>
  <c r="E629" i="1"/>
  <c r="E629" i="4" s="1"/>
  <c r="F629" i="1"/>
  <c r="F629" i="4" s="1"/>
  <c r="D630" i="1"/>
  <c r="D630" i="4" s="1"/>
  <c r="E630" i="1"/>
  <c r="E630" i="4" s="1"/>
  <c r="F630" i="1"/>
  <c r="F630" i="4" s="1"/>
  <c r="D631" i="1"/>
  <c r="D631" i="4" s="1"/>
  <c r="E631" i="1"/>
  <c r="E631" i="4" s="1"/>
  <c r="F631" i="1"/>
  <c r="F631" i="4" s="1"/>
  <c r="D632" i="1"/>
  <c r="D632" i="4" s="1"/>
  <c r="E632" i="1"/>
  <c r="E632" i="4" s="1"/>
  <c r="F632" i="1"/>
  <c r="F632" i="4" s="1"/>
  <c r="D633" i="1"/>
  <c r="D633" i="4" s="1"/>
  <c r="E633" i="1"/>
  <c r="E633" i="4" s="1"/>
  <c r="F633" i="1"/>
  <c r="F633" i="4" s="1"/>
  <c r="D634" i="1"/>
  <c r="D634" i="4" s="1"/>
  <c r="E634" i="1"/>
  <c r="E634" i="4" s="1"/>
  <c r="F634" i="1"/>
  <c r="F634" i="4" s="1"/>
  <c r="D635" i="1"/>
  <c r="D635" i="4" s="1"/>
  <c r="E635" i="1"/>
  <c r="E635" i="4" s="1"/>
  <c r="F635" i="1"/>
  <c r="F635" i="4" s="1"/>
  <c r="D636" i="1"/>
  <c r="D636" i="4" s="1"/>
  <c r="E636" i="1"/>
  <c r="E636" i="4" s="1"/>
  <c r="F636" i="1"/>
  <c r="F636" i="4" s="1"/>
  <c r="D637" i="1"/>
  <c r="D637" i="4" s="1"/>
  <c r="E637" i="1"/>
  <c r="E637" i="4" s="1"/>
  <c r="F637" i="1"/>
  <c r="F637" i="4" s="1"/>
  <c r="D638" i="1"/>
  <c r="D638" i="4" s="1"/>
  <c r="E638" i="1"/>
  <c r="E638" i="4" s="1"/>
  <c r="F638" i="1"/>
  <c r="F638" i="4" s="1"/>
  <c r="D639" i="1"/>
  <c r="D639" i="4" s="1"/>
  <c r="E639" i="1"/>
  <c r="E639" i="4" s="1"/>
  <c r="F639" i="1"/>
  <c r="F639" i="4" s="1"/>
  <c r="D640" i="1"/>
  <c r="D640" i="4" s="1"/>
  <c r="E640" i="1"/>
  <c r="E640" i="4" s="1"/>
  <c r="F640" i="1"/>
  <c r="F640" i="4" s="1"/>
  <c r="D641" i="1"/>
  <c r="D641" i="4" s="1"/>
  <c r="E641" i="1"/>
  <c r="E641" i="4" s="1"/>
  <c r="F641" i="1"/>
  <c r="F641" i="4" s="1"/>
  <c r="D642" i="1"/>
  <c r="D642" i="4" s="1"/>
  <c r="E642" i="1"/>
  <c r="E642" i="4" s="1"/>
  <c r="F642" i="1"/>
  <c r="F642" i="4" s="1"/>
  <c r="D643" i="1"/>
  <c r="D643" i="4" s="1"/>
  <c r="E643" i="1"/>
  <c r="E643" i="4" s="1"/>
  <c r="F643" i="1"/>
  <c r="F643" i="4" s="1"/>
  <c r="D644" i="1"/>
  <c r="D644" i="4" s="1"/>
  <c r="E644" i="1"/>
  <c r="E644" i="4" s="1"/>
  <c r="F644" i="1"/>
  <c r="F644" i="4" s="1"/>
  <c r="D645" i="1"/>
  <c r="D645" i="4" s="1"/>
  <c r="E645" i="1"/>
  <c r="E645" i="4" s="1"/>
  <c r="F645" i="1"/>
  <c r="F645" i="4" s="1"/>
  <c r="D646" i="1"/>
  <c r="D646" i="4" s="1"/>
  <c r="E646" i="1"/>
  <c r="E646" i="4" s="1"/>
  <c r="F646" i="1"/>
  <c r="F646" i="4" s="1"/>
  <c r="D647" i="1"/>
  <c r="D647" i="4" s="1"/>
  <c r="E647" i="1"/>
  <c r="E647" i="4" s="1"/>
  <c r="F647" i="1"/>
  <c r="F647" i="4" s="1"/>
  <c r="D648" i="1"/>
  <c r="D648" i="4" s="1"/>
  <c r="E648" i="1"/>
  <c r="E648" i="4" s="1"/>
  <c r="F648" i="1"/>
  <c r="F648" i="4" s="1"/>
  <c r="D649" i="1"/>
  <c r="D649" i="4" s="1"/>
  <c r="E649" i="1"/>
  <c r="E649" i="4" s="1"/>
  <c r="F649" i="1"/>
  <c r="F649" i="4" s="1"/>
  <c r="D650" i="1"/>
  <c r="D650" i="4" s="1"/>
  <c r="E650" i="1"/>
  <c r="E650" i="4" s="1"/>
  <c r="F650" i="1"/>
  <c r="F650" i="4" s="1"/>
  <c r="D651" i="1"/>
  <c r="D651" i="4" s="1"/>
  <c r="E651" i="1"/>
  <c r="E651" i="4" s="1"/>
  <c r="F651" i="1"/>
  <c r="F651" i="4" s="1"/>
  <c r="D652" i="1"/>
  <c r="D652" i="4" s="1"/>
  <c r="E652" i="1"/>
  <c r="E652" i="4" s="1"/>
  <c r="F652" i="1"/>
  <c r="F652" i="4" s="1"/>
  <c r="D653" i="1"/>
  <c r="D653" i="4" s="1"/>
  <c r="E653" i="1"/>
  <c r="E653" i="4" s="1"/>
  <c r="F653" i="1"/>
  <c r="F653" i="4" s="1"/>
  <c r="D654" i="1"/>
  <c r="D654" i="4" s="1"/>
  <c r="E654" i="1"/>
  <c r="E654" i="4" s="1"/>
  <c r="F654" i="1"/>
  <c r="F654" i="4" s="1"/>
  <c r="D655" i="1"/>
  <c r="D655" i="4" s="1"/>
  <c r="E655" i="1"/>
  <c r="E655" i="4" s="1"/>
  <c r="F655" i="1"/>
  <c r="F655" i="4" s="1"/>
  <c r="D656" i="1"/>
  <c r="D656" i="4" s="1"/>
  <c r="E656" i="1"/>
  <c r="E656" i="4" s="1"/>
  <c r="F656" i="1"/>
  <c r="F656" i="4" s="1"/>
  <c r="D657" i="1"/>
  <c r="D657" i="4" s="1"/>
  <c r="E657" i="1"/>
  <c r="E657" i="4" s="1"/>
  <c r="F657" i="1"/>
  <c r="F657" i="4" s="1"/>
  <c r="D658" i="1"/>
  <c r="D658" i="4" s="1"/>
  <c r="E658" i="1"/>
  <c r="E658" i="4" s="1"/>
  <c r="F658" i="1"/>
  <c r="F658" i="4" s="1"/>
  <c r="D659" i="1"/>
  <c r="D659" i="4" s="1"/>
  <c r="E659" i="1"/>
  <c r="E659" i="4" s="1"/>
  <c r="F659" i="1"/>
  <c r="F659" i="4" s="1"/>
  <c r="D660" i="1"/>
  <c r="D660" i="4" s="1"/>
  <c r="E660" i="1"/>
  <c r="E660" i="4" s="1"/>
  <c r="F660" i="1"/>
  <c r="F660" i="4" s="1"/>
  <c r="D661" i="1"/>
  <c r="D661" i="4" s="1"/>
  <c r="E661" i="1"/>
  <c r="E661" i="4" s="1"/>
  <c r="F661" i="1"/>
  <c r="F661" i="4" s="1"/>
  <c r="D662" i="1"/>
  <c r="D662" i="4" s="1"/>
  <c r="E662" i="1"/>
  <c r="E662" i="4" s="1"/>
  <c r="F662" i="1"/>
  <c r="F662" i="4" s="1"/>
  <c r="D663" i="1"/>
  <c r="D663" i="4" s="1"/>
  <c r="E663" i="1"/>
  <c r="E663" i="4" s="1"/>
  <c r="F663" i="1"/>
  <c r="F663" i="4" s="1"/>
  <c r="D664" i="1"/>
  <c r="D664" i="4" s="1"/>
  <c r="E664" i="1"/>
  <c r="E664" i="4" s="1"/>
  <c r="F664" i="1"/>
  <c r="F664" i="4" s="1"/>
  <c r="D665" i="1"/>
  <c r="D665" i="4" s="1"/>
  <c r="E665" i="1"/>
  <c r="E665" i="4" s="1"/>
  <c r="F665" i="1"/>
  <c r="F665" i="4" s="1"/>
  <c r="D666" i="1"/>
  <c r="D666" i="4" s="1"/>
  <c r="E666" i="1"/>
  <c r="E666" i="4" s="1"/>
  <c r="F666" i="1"/>
  <c r="F666" i="4" s="1"/>
  <c r="D667" i="1"/>
  <c r="D667" i="4" s="1"/>
  <c r="E667" i="1"/>
  <c r="E667" i="4" s="1"/>
  <c r="F667" i="1"/>
  <c r="F667" i="4" s="1"/>
  <c r="D668" i="1"/>
  <c r="D668" i="4" s="1"/>
  <c r="E668" i="1"/>
  <c r="E668" i="4" s="1"/>
  <c r="F668" i="1"/>
  <c r="F668" i="4" s="1"/>
  <c r="D669" i="1"/>
  <c r="D669" i="4" s="1"/>
  <c r="E669" i="1"/>
  <c r="E669" i="4" s="1"/>
  <c r="F669" i="1"/>
  <c r="F669" i="4" s="1"/>
  <c r="D670" i="1"/>
  <c r="D670" i="4" s="1"/>
  <c r="E670" i="1"/>
  <c r="E670" i="4" s="1"/>
  <c r="F670" i="1"/>
  <c r="F670" i="4" s="1"/>
  <c r="D671" i="1"/>
  <c r="D671" i="4" s="1"/>
  <c r="E671" i="1"/>
  <c r="E671" i="4" s="1"/>
  <c r="F671" i="1"/>
  <c r="F671" i="4" s="1"/>
  <c r="D672" i="1"/>
  <c r="D672" i="4" s="1"/>
  <c r="E672" i="1"/>
  <c r="E672" i="4" s="1"/>
  <c r="F672" i="1"/>
  <c r="F672" i="4" s="1"/>
  <c r="D673" i="1"/>
  <c r="D673" i="4" s="1"/>
  <c r="E673" i="1"/>
  <c r="E673" i="4" s="1"/>
  <c r="F673" i="1"/>
  <c r="F673" i="4" s="1"/>
  <c r="D674" i="1"/>
  <c r="D674" i="4" s="1"/>
  <c r="E674" i="1"/>
  <c r="E674" i="4" s="1"/>
  <c r="F674" i="1"/>
  <c r="F674" i="4" s="1"/>
  <c r="D675" i="1"/>
  <c r="D675" i="4" s="1"/>
  <c r="E675" i="1"/>
  <c r="E675" i="4" s="1"/>
  <c r="F675" i="1"/>
  <c r="F675" i="4" s="1"/>
  <c r="D676" i="1"/>
  <c r="D676" i="4" s="1"/>
  <c r="E676" i="1"/>
  <c r="E676" i="4" s="1"/>
  <c r="F676" i="1"/>
  <c r="F676" i="4" s="1"/>
  <c r="D677" i="1"/>
  <c r="D677" i="4" s="1"/>
  <c r="E677" i="1"/>
  <c r="E677" i="4" s="1"/>
  <c r="F677" i="1"/>
  <c r="F677" i="4" s="1"/>
  <c r="D678" i="1"/>
  <c r="D678" i="4" s="1"/>
  <c r="E678" i="1"/>
  <c r="E678" i="4" s="1"/>
  <c r="F678" i="1"/>
  <c r="F678" i="4" s="1"/>
  <c r="D679" i="1"/>
  <c r="D679" i="4" s="1"/>
  <c r="E679" i="1"/>
  <c r="E679" i="4" s="1"/>
  <c r="F679" i="1"/>
  <c r="F679" i="4" s="1"/>
  <c r="D680" i="1"/>
  <c r="D680" i="4" s="1"/>
  <c r="E680" i="1"/>
  <c r="E680" i="4" s="1"/>
  <c r="F680" i="1"/>
  <c r="F680" i="4" s="1"/>
  <c r="D681" i="1"/>
  <c r="D681" i="4" s="1"/>
  <c r="E681" i="1"/>
  <c r="E681" i="4" s="1"/>
  <c r="F681" i="1"/>
  <c r="F681" i="4" s="1"/>
  <c r="D682" i="1"/>
  <c r="D682" i="4" s="1"/>
  <c r="E682" i="1"/>
  <c r="E682" i="4" s="1"/>
  <c r="F682" i="1"/>
  <c r="F682" i="4" s="1"/>
  <c r="D683" i="1"/>
  <c r="D683" i="4" s="1"/>
  <c r="E683" i="1"/>
  <c r="E683" i="4" s="1"/>
  <c r="F683" i="1"/>
  <c r="F683" i="4" s="1"/>
  <c r="D684" i="1"/>
  <c r="D684" i="4" s="1"/>
  <c r="E684" i="1"/>
  <c r="E684" i="4" s="1"/>
  <c r="F684" i="1"/>
  <c r="F684" i="4" s="1"/>
  <c r="D685" i="1"/>
  <c r="D685" i="4" s="1"/>
  <c r="E685" i="1"/>
  <c r="E685" i="4" s="1"/>
  <c r="F685" i="1"/>
  <c r="F685" i="4" s="1"/>
  <c r="D686" i="1"/>
  <c r="D686" i="4" s="1"/>
  <c r="E686" i="1"/>
  <c r="E686" i="4" s="1"/>
  <c r="F686" i="1"/>
  <c r="F686" i="4" s="1"/>
  <c r="D687" i="1"/>
  <c r="D687" i="4" s="1"/>
  <c r="E687" i="1"/>
  <c r="E687" i="4" s="1"/>
  <c r="F687" i="1"/>
  <c r="F687" i="4" s="1"/>
  <c r="D688" i="1"/>
  <c r="D688" i="4" s="1"/>
  <c r="E688" i="1"/>
  <c r="E688" i="4" s="1"/>
  <c r="F688" i="1"/>
  <c r="F688" i="4" s="1"/>
  <c r="D689" i="1"/>
  <c r="D689" i="4" s="1"/>
  <c r="E689" i="1"/>
  <c r="E689" i="4" s="1"/>
  <c r="F689" i="1"/>
  <c r="F689" i="4" s="1"/>
  <c r="D690" i="1"/>
  <c r="D690" i="4" s="1"/>
  <c r="E690" i="1"/>
  <c r="E690" i="4" s="1"/>
  <c r="F690" i="1"/>
  <c r="F690" i="4" s="1"/>
  <c r="D691" i="1"/>
  <c r="D691" i="4" s="1"/>
  <c r="E691" i="1"/>
  <c r="E691" i="4" s="1"/>
  <c r="F691" i="1"/>
  <c r="F691" i="4" s="1"/>
  <c r="D692" i="1"/>
  <c r="D692" i="4" s="1"/>
  <c r="E692" i="1"/>
  <c r="E692" i="4" s="1"/>
  <c r="F692" i="1"/>
  <c r="F692" i="4" s="1"/>
  <c r="D693" i="1"/>
  <c r="D693" i="4" s="1"/>
  <c r="E693" i="1"/>
  <c r="E693" i="4" s="1"/>
  <c r="F693" i="1"/>
  <c r="F693" i="4" s="1"/>
  <c r="D694" i="1"/>
  <c r="D694" i="4" s="1"/>
  <c r="E694" i="1"/>
  <c r="E694" i="4" s="1"/>
  <c r="F694" i="1"/>
  <c r="F694" i="4" s="1"/>
  <c r="D695" i="1"/>
  <c r="D695" i="4" s="1"/>
  <c r="E695" i="1"/>
  <c r="E695" i="4" s="1"/>
  <c r="F695" i="1"/>
  <c r="F695" i="4" s="1"/>
  <c r="D696" i="1"/>
  <c r="D696" i="4" s="1"/>
  <c r="E696" i="1"/>
  <c r="E696" i="4" s="1"/>
  <c r="F696" i="1"/>
  <c r="F696" i="4" s="1"/>
  <c r="D697" i="1"/>
  <c r="D697" i="4" s="1"/>
  <c r="E697" i="1"/>
  <c r="E697" i="4" s="1"/>
  <c r="F697" i="1"/>
  <c r="F697" i="4" s="1"/>
  <c r="D698" i="1"/>
  <c r="D698" i="4" s="1"/>
  <c r="E698" i="1"/>
  <c r="E698" i="4" s="1"/>
  <c r="F698" i="1"/>
  <c r="F698" i="4" s="1"/>
  <c r="D699" i="1"/>
  <c r="D699" i="4" s="1"/>
  <c r="E699" i="1"/>
  <c r="E699" i="4" s="1"/>
  <c r="F699" i="1"/>
  <c r="F699" i="4" s="1"/>
  <c r="D700" i="1"/>
  <c r="D700" i="4" s="1"/>
  <c r="E700" i="1"/>
  <c r="E700" i="4" s="1"/>
  <c r="F700" i="1"/>
  <c r="F700" i="4" s="1"/>
  <c r="D701" i="1"/>
  <c r="D701" i="4" s="1"/>
  <c r="E701" i="1"/>
  <c r="E701" i="4" s="1"/>
  <c r="F701" i="1"/>
  <c r="F701" i="4" s="1"/>
  <c r="D702" i="1"/>
  <c r="D702" i="4" s="1"/>
  <c r="E702" i="1"/>
  <c r="E702" i="4" s="1"/>
  <c r="F702" i="1"/>
  <c r="F702" i="4" s="1"/>
  <c r="D703" i="1"/>
  <c r="D703" i="4" s="1"/>
  <c r="E703" i="1"/>
  <c r="E703" i="4" s="1"/>
  <c r="F703" i="1"/>
  <c r="F703" i="4" s="1"/>
  <c r="D704" i="1"/>
  <c r="D704" i="4" s="1"/>
  <c r="E704" i="1"/>
  <c r="E704" i="4" s="1"/>
  <c r="F704" i="1"/>
  <c r="F704" i="4" s="1"/>
  <c r="D705" i="1"/>
  <c r="D705" i="4" s="1"/>
  <c r="E705" i="1"/>
  <c r="E705" i="4" s="1"/>
  <c r="F705" i="1"/>
  <c r="F705" i="4" s="1"/>
  <c r="D706" i="1"/>
  <c r="D706" i="4" s="1"/>
  <c r="E706" i="1"/>
  <c r="E706" i="4" s="1"/>
  <c r="F706" i="1"/>
  <c r="F706" i="4" s="1"/>
  <c r="D707" i="1"/>
  <c r="D707" i="4" s="1"/>
  <c r="E707" i="1"/>
  <c r="E707" i="4" s="1"/>
  <c r="F707" i="1"/>
  <c r="F707" i="4" s="1"/>
  <c r="D708" i="1"/>
  <c r="D708" i="4" s="1"/>
  <c r="E708" i="1"/>
  <c r="E708" i="4" s="1"/>
  <c r="F708" i="1"/>
  <c r="F708" i="4" s="1"/>
  <c r="D709" i="1"/>
  <c r="D709" i="4" s="1"/>
  <c r="E709" i="1"/>
  <c r="E709" i="4" s="1"/>
  <c r="F709" i="1"/>
  <c r="F709" i="4" s="1"/>
  <c r="D710" i="1"/>
  <c r="D710" i="4" s="1"/>
  <c r="E710" i="1"/>
  <c r="E710" i="4" s="1"/>
  <c r="F710" i="1"/>
  <c r="F710" i="4" s="1"/>
  <c r="D711" i="1"/>
  <c r="D711" i="4" s="1"/>
  <c r="E711" i="1"/>
  <c r="E711" i="4" s="1"/>
  <c r="F711" i="1"/>
  <c r="F711" i="4" s="1"/>
  <c r="D712" i="1"/>
  <c r="D712" i="4" s="1"/>
  <c r="E712" i="1"/>
  <c r="E712" i="4" s="1"/>
  <c r="F712" i="1"/>
  <c r="F712" i="4" s="1"/>
  <c r="D713" i="1"/>
  <c r="D713" i="4" s="1"/>
  <c r="E713" i="1"/>
  <c r="E713" i="4" s="1"/>
  <c r="F713" i="1"/>
  <c r="F713" i="4" s="1"/>
  <c r="D714" i="1"/>
  <c r="D714" i="4" s="1"/>
  <c r="E714" i="1"/>
  <c r="E714" i="4" s="1"/>
  <c r="F714" i="1"/>
  <c r="F714" i="4" s="1"/>
  <c r="D715" i="1"/>
  <c r="D715" i="4" s="1"/>
  <c r="E715" i="1"/>
  <c r="E715" i="4" s="1"/>
  <c r="F715" i="1"/>
  <c r="F715" i="4" s="1"/>
  <c r="D716" i="1"/>
  <c r="D716" i="4" s="1"/>
  <c r="E716" i="1"/>
  <c r="E716" i="4" s="1"/>
  <c r="F716" i="1"/>
  <c r="F716" i="4" s="1"/>
  <c r="D717" i="1"/>
  <c r="D717" i="4" s="1"/>
  <c r="E717" i="1"/>
  <c r="E717" i="4" s="1"/>
  <c r="F717" i="1"/>
  <c r="F717" i="4" s="1"/>
  <c r="D718" i="1"/>
  <c r="D718" i="4" s="1"/>
  <c r="E718" i="1"/>
  <c r="E718" i="4" s="1"/>
  <c r="F718" i="1"/>
  <c r="F718" i="4" s="1"/>
  <c r="D719" i="1"/>
  <c r="D719" i="4" s="1"/>
  <c r="E719" i="1"/>
  <c r="E719" i="4" s="1"/>
  <c r="F719" i="1"/>
  <c r="F719" i="4" s="1"/>
  <c r="D720" i="1"/>
  <c r="D720" i="4" s="1"/>
  <c r="E720" i="1"/>
  <c r="E720" i="4" s="1"/>
  <c r="F720" i="1"/>
  <c r="F720" i="4" s="1"/>
  <c r="D721" i="1"/>
  <c r="D721" i="4" s="1"/>
  <c r="E721" i="1"/>
  <c r="E721" i="4" s="1"/>
  <c r="F721" i="1"/>
  <c r="F721" i="4" s="1"/>
  <c r="D722" i="1"/>
  <c r="D722" i="4" s="1"/>
  <c r="E722" i="1"/>
  <c r="E722" i="4" s="1"/>
  <c r="F722" i="1"/>
  <c r="F722" i="4" s="1"/>
  <c r="D723" i="1"/>
  <c r="D723" i="4" s="1"/>
  <c r="E723" i="1"/>
  <c r="E723" i="4" s="1"/>
  <c r="F723" i="1"/>
  <c r="F723" i="4" s="1"/>
  <c r="D724" i="1"/>
  <c r="D724" i="4" s="1"/>
  <c r="E724" i="1"/>
  <c r="E724" i="4" s="1"/>
  <c r="F724" i="1"/>
  <c r="F724" i="4" s="1"/>
  <c r="D725" i="1"/>
  <c r="D725" i="4" s="1"/>
  <c r="E725" i="1"/>
  <c r="E725" i="4" s="1"/>
  <c r="F725" i="1"/>
  <c r="F725" i="4" s="1"/>
  <c r="D726" i="1"/>
  <c r="D726" i="4" s="1"/>
  <c r="E726" i="1"/>
  <c r="E726" i="4" s="1"/>
  <c r="F726" i="1"/>
  <c r="F726" i="4" s="1"/>
  <c r="D727" i="1"/>
  <c r="D727" i="4" s="1"/>
  <c r="E727" i="1"/>
  <c r="E727" i="4" s="1"/>
  <c r="F727" i="1"/>
  <c r="F727" i="4" s="1"/>
  <c r="D728" i="1"/>
  <c r="D728" i="4" s="1"/>
  <c r="E728" i="1"/>
  <c r="E728" i="4" s="1"/>
  <c r="F728" i="1"/>
  <c r="F728" i="4" s="1"/>
  <c r="D729" i="1"/>
  <c r="D729" i="4" s="1"/>
  <c r="E729" i="1"/>
  <c r="E729" i="4" s="1"/>
  <c r="F729" i="1"/>
  <c r="F729" i="4" s="1"/>
  <c r="D730" i="1"/>
  <c r="D730" i="4" s="1"/>
  <c r="E730" i="1"/>
  <c r="E730" i="4" s="1"/>
  <c r="F730" i="1"/>
  <c r="F730" i="4" s="1"/>
  <c r="D731" i="1"/>
  <c r="D731" i="4" s="1"/>
  <c r="E731" i="1"/>
  <c r="E731" i="4" s="1"/>
  <c r="F731" i="1"/>
  <c r="F731" i="4" s="1"/>
  <c r="D732" i="1"/>
  <c r="D732" i="4" s="1"/>
  <c r="E732" i="1"/>
  <c r="E732" i="4" s="1"/>
  <c r="F732" i="1"/>
  <c r="F732" i="4" s="1"/>
  <c r="D733" i="1"/>
  <c r="D733" i="4" s="1"/>
  <c r="E733" i="1"/>
  <c r="E733" i="4" s="1"/>
  <c r="F733" i="1"/>
  <c r="F733" i="4" s="1"/>
  <c r="D734" i="1"/>
  <c r="D734" i="4" s="1"/>
  <c r="E734" i="1"/>
  <c r="E734" i="4" s="1"/>
  <c r="F734" i="1"/>
  <c r="F734" i="4" s="1"/>
  <c r="D735" i="1"/>
  <c r="D735" i="4" s="1"/>
  <c r="E735" i="1"/>
  <c r="E735" i="4" s="1"/>
  <c r="F735" i="1"/>
  <c r="F735" i="4" s="1"/>
  <c r="D736" i="1"/>
  <c r="D736" i="4" s="1"/>
  <c r="E736" i="1"/>
  <c r="E736" i="4" s="1"/>
  <c r="F736" i="1"/>
  <c r="F736" i="4" s="1"/>
  <c r="D737" i="1"/>
  <c r="D737" i="4" s="1"/>
  <c r="E737" i="1"/>
  <c r="E737" i="4" s="1"/>
  <c r="F737" i="1"/>
  <c r="F737" i="4" s="1"/>
  <c r="D738" i="1"/>
  <c r="D738" i="4" s="1"/>
  <c r="E738" i="1"/>
  <c r="E738" i="4" s="1"/>
  <c r="F738" i="1"/>
  <c r="F738" i="4" s="1"/>
  <c r="D739" i="1"/>
  <c r="D739" i="4" s="1"/>
  <c r="E739" i="1"/>
  <c r="E739" i="4" s="1"/>
  <c r="F739" i="1"/>
  <c r="F739" i="4" s="1"/>
  <c r="D740" i="1"/>
  <c r="D740" i="4" s="1"/>
  <c r="E740" i="1"/>
  <c r="E740" i="4" s="1"/>
  <c r="F740" i="1"/>
  <c r="F740" i="4" s="1"/>
  <c r="D741" i="1"/>
  <c r="D741" i="4" s="1"/>
  <c r="E741" i="1"/>
  <c r="E741" i="4" s="1"/>
  <c r="F741" i="1"/>
  <c r="F741" i="4" s="1"/>
  <c r="D742" i="1"/>
  <c r="D742" i="4" s="1"/>
  <c r="E742" i="1"/>
  <c r="E742" i="4" s="1"/>
  <c r="F742" i="1"/>
  <c r="F742" i="4" s="1"/>
  <c r="D743" i="1"/>
  <c r="D743" i="4" s="1"/>
  <c r="E743" i="1"/>
  <c r="E743" i="4" s="1"/>
  <c r="F743" i="1"/>
  <c r="F743" i="4" s="1"/>
  <c r="D744" i="1"/>
  <c r="D744" i="4" s="1"/>
  <c r="E744" i="1"/>
  <c r="E744" i="4" s="1"/>
  <c r="F744" i="1"/>
  <c r="F744" i="4" s="1"/>
  <c r="D745" i="1"/>
  <c r="D745" i="4" s="1"/>
  <c r="E745" i="1"/>
  <c r="E745" i="4" s="1"/>
  <c r="F745" i="1"/>
  <c r="F745" i="4" s="1"/>
  <c r="D746" i="1"/>
  <c r="D746" i="4" s="1"/>
  <c r="E746" i="1"/>
  <c r="E746" i="4" s="1"/>
  <c r="F746" i="1"/>
  <c r="F746" i="4" s="1"/>
  <c r="D747" i="1"/>
  <c r="D747" i="4" s="1"/>
  <c r="E747" i="1"/>
  <c r="E747" i="4" s="1"/>
  <c r="F747" i="1"/>
  <c r="F747" i="4" s="1"/>
  <c r="D748" i="1"/>
  <c r="D748" i="4" s="1"/>
  <c r="E748" i="1"/>
  <c r="E748" i="4" s="1"/>
  <c r="F748" i="1"/>
  <c r="F748" i="4" s="1"/>
  <c r="D749" i="1"/>
  <c r="D749" i="4" s="1"/>
  <c r="E749" i="1"/>
  <c r="E749" i="4" s="1"/>
  <c r="F749" i="1"/>
  <c r="F749" i="4" s="1"/>
  <c r="D750" i="1"/>
  <c r="D750" i="4" s="1"/>
  <c r="E750" i="1"/>
  <c r="E750" i="4" s="1"/>
  <c r="F750" i="1"/>
  <c r="F750" i="4" s="1"/>
  <c r="D751" i="1"/>
  <c r="D751" i="4" s="1"/>
  <c r="E751" i="1"/>
  <c r="E751" i="4" s="1"/>
  <c r="F751" i="1"/>
  <c r="F751" i="4" s="1"/>
  <c r="D752" i="1"/>
  <c r="D752" i="4" s="1"/>
  <c r="E752" i="1"/>
  <c r="E752" i="4" s="1"/>
  <c r="F752" i="1"/>
  <c r="F752" i="4" s="1"/>
  <c r="D753" i="1"/>
  <c r="D753" i="4" s="1"/>
  <c r="E753" i="1"/>
  <c r="E753" i="4" s="1"/>
  <c r="F753" i="1"/>
  <c r="F753" i="4" s="1"/>
  <c r="D754" i="1"/>
  <c r="D754" i="4" s="1"/>
  <c r="E754" i="1"/>
  <c r="E754" i="4" s="1"/>
  <c r="F754" i="1"/>
  <c r="F754" i="4" s="1"/>
  <c r="D755" i="1"/>
  <c r="D755" i="4" s="1"/>
  <c r="E755" i="1"/>
  <c r="E755" i="4" s="1"/>
  <c r="F755" i="1"/>
  <c r="F755" i="4" s="1"/>
  <c r="D756" i="1"/>
  <c r="D756" i="4" s="1"/>
  <c r="E756" i="1"/>
  <c r="E756" i="4" s="1"/>
  <c r="F756" i="1"/>
  <c r="F756" i="4" s="1"/>
  <c r="D757" i="1"/>
  <c r="D757" i="4" s="1"/>
  <c r="E757" i="1"/>
  <c r="E757" i="4" s="1"/>
  <c r="F757" i="1"/>
  <c r="F757" i="4" s="1"/>
  <c r="D758" i="1"/>
  <c r="D758" i="4" s="1"/>
  <c r="E758" i="1"/>
  <c r="E758" i="4" s="1"/>
  <c r="F758" i="1"/>
  <c r="F758" i="4" s="1"/>
  <c r="D759" i="1"/>
  <c r="D759" i="4" s="1"/>
  <c r="E759" i="1"/>
  <c r="E759" i="4" s="1"/>
  <c r="F759" i="1"/>
  <c r="F759" i="4" s="1"/>
  <c r="D760" i="1"/>
  <c r="D760" i="4" s="1"/>
  <c r="E760" i="1"/>
  <c r="E760" i="4" s="1"/>
  <c r="F760" i="1"/>
  <c r="F760" i="4" s="1"/>
  <c r="D761" i="1"/>
  <c r="D761" i="4" s="1"/>
  <c r="E761" i="1"/>
  <c r="E761" i="4" s="1"/>
  <c r="F761" i="1"/>
  <c r="F761" i="4" s="1"/>
  <c r="D762" i="1"/>
  <c r="D762" i="4" s="1"/>
  <c r="E762" i="1"/>
  <c r="E762" i="4" s="1"/>
  <c r="F762" i="1"/>
  <c r="F762" i="4" s="1"/>
  <c r="D763" i="1"/>
  <c r="D763" i="4" s="1"/>
  <c r="E763" i="1"/>
  <c r="E763" i="4" s="1"/>
  <c r="F763" i="1"/>
  <c r="F763" i="4" s="1"/>
  <c r="D764" i="1"/>
  <c r="D764" i="4" s="1"/>
  <c r="E764" i="1"/>
  <c r="E764" i="4" s="1"/>
  <c r="F764" i="1"/>
  <c r="F764" i="4" s="1"/>
  <c r="D765" i="1"/>
  <c r="D765" i="4" s="1"/>
  <c r="E765" i="1"/>
  <c r="E765" i="4" s="1"/>
  <c r="F765" i="1"/>
  <c r="F765" i="4" s="1"/>
  <c r="D766" i="1"/>
  <c r="D766" i="4" s="1"/>
  <c r="E766" i="1"/>
  <c r="E766" i="4" s="1"/>
  <c r="F766" i="1"/>
  <c r="F766" i="4" s="1"/>
  <c r="D767" i="1"/>
  <c r="D767" i="4" s="1"/>
  <c r="E767" i="1"/>
  <c r="E767" i="4" s="1"/>
  <c r="F767" i="1"/>
  <c r="F767" i="4" s="1"/>
  <c r="D768" i="1"/>
  <c r="D768" i="4" s="1"/>
  <c r="E768" i="1"/>
  <c r="E768" i="4" s="1"/>
  <c r="F768" i="1"/>
  <c r="F768" i="4" s="1"/>
  <c r="D769" i="1"/>
  <c r="D769" i="4" s="1"/>
  <c r="E769" i="1"/>
  <c r="E769" i="4" s="1"/>
  <c r="F769" i="1"/>
  <c r="F769" i="4" s="1"/>
  <c r="D770" i="1"/>
  <c r="D770" i="4" s="1"/>
  <c r="E770" i="1"/>
  <c r="E770" i="4" s="1"/>
  <c r="F770" i="1"/>
  <c r="F770" i="4" s="1"/>
  <c r="D771" i="1"/>
  <c r="D771" i="4" s="1"/>
  <c r="E771" i="1"/>
  <c r="E771" i="4" s="1"/>
  <c r="F771" i="1"/>
  <c r="F771" i="4" s="1"/>
  <c r="D772" i="1"/>
  <c r="D772" i="4" s="1"/>
  <c r="E772" i="1"/>
  <c r="E772" i="4" s="1"/>
  <c r="F772" i="1"/>
  <c r="F772" i="4" s="1"/>
  <c r="D773" i="1"/>
  <c r="D773" i="4" s="1"/>
  <c r="E773" i="1"/>
  <c r="E773" i="4" s="1"/>
  <c r="F773" i="1"/>
  <c r="F773" i="4" s="1"/>
  <c r="D774" i="1"/>
  <c r="D774" i="4" s="1"/>
  <c r="E774" i="1"/>
  <c r="E774" i="4" s="1"/>
  <c r="F774" i="1"/>
  <c r="F774" i="4" s="1"/>
  <c r="D775" i="1"/>
  <c r="D775" i="4" s="1"/>
  <c r="E775" i="1"/>
  <c r="E775" i="4" s="1"/>
  <c r="F775" i="1"/>
  <c r="F775" i="4" s="1"/>
  <c r="D776" i="1"/>
  <c r="D776" i="4" s="1"/>
  <c r="E776" i="1"/>
  <c r="E776" i="4" s="1"/>
  <c r="F776" i="1"/>
  <c r="F776" i="4" s="1"/>
  <c r="D777" i="1"/>
  <c r="D777" i="4" s="1"/>
  <c r="E777" i="1"/>
  <c r="E777" i="4" s="1"/>
  <c r="F777" i="1"/>
  <c r="F777" i="4" s="1"/>
  <c r="D778" i="1"/>
  <c r="D778" i="4" s="1"/>
  <c r="E778" i="1"/>
  <c r="E778" i="4" s="1"/>
  <c r="F778" i="1"/>
  <c r="F778" i="4" s="1"/>
  <c r="D779" i="1"/>
  <c r="D779" i="4" s="1"/>
  <c r="E779" i="1"/>
  <c r="E779" i="4" s="1"/>
  <c r="F779" i="1"/>
  <c r="F779" i="4" s="1"/>
  <c r="D780" i="1"/>
  <c r="D780" i="4" s="1"/>
  <c r="E780" i="1"/>
  <c r="E780" i="4" s="1"/>
  <c r="F780" i="1"/>
  <c r="F780" i="4" s="1"/>
  <c r="D781" i="1"/>
  <c r="D781" i="4" s="1"/>
  <c r="E781" i="1"/>
  <c r="E781" i="4" s="1"/>
  <c r="F781" i="1"/>
  <c r="F781" i="4" s="1"/>
  <c r="D782" i="1"/>
  <c r="D782" i="4" s="1"/>
  <c r="E782" i="1"/>
  <c r="E782" i="4" s="1"/>
  <c r="F782" i="1"/>
  <c r="F782" i="4" s="1"/>
  <c r="D783" i="1"/>
  <c r="D783" i="4" s="1"/>
  <c r="E783" i="1"/>
  <c r="E783" i="4" s="1"/>
  <c r="F783" i="1"/>
  <c r="F783" i="4" s="1"/>
  <c r="D784" i="1"/>
  <c r="D784" i="4" s="1"/>
  <c r="E784" i="1"/>
  <c r="E784" i="4" s="1"/>
  <c r="F784" i="1"/>
  <c r="F784" i="4" s="1"/>
  <c r="D785" i="1"/>
  <c r="D785" i="4" s="1"/>
  <c r="E785" i="1"/>
  <c r="E785" i="4" s="1"/>
  <c r="F785" i="1"/>
  <c r="F785" i="4" s="1"/>
  <c r="D786" i="1"/>
  <c r="D786" i="4" s="1"/>
  <c r="E786" i="1"/>
  <c r="E786" i="4" s="1"/>
  <c r="F786" i="1"/>
  <c r="F786" i="4" s="1"/>
  <c r="D787" i="1"/>
  <c r="D787" i="4" s="1"/>
  <c r="E787" i="1"/>
  <c r="E787" i="4" s="1"/>
  <c r="F787" i="1"/>
  <c r="F787" i="4" s="1"/>
  <c r="D788" i="1"/>
  <c r="D788" i="4" s="1"/>
  <c r="E788" i="1"/>
  <c r="E788" i="4" s="1"/>
  <c r="F788" i="1"/>
  <c r="F788" i="4" s="1"/>
  <c r="D789" i="1"/>
  <c r="D789" i="4" s="1"/>
  <c r="E789" i="1"/>
  <c r="E789" i="4" s="1"/>
  <c r="F789" i="1"/>
  <c r="F789" i="4" s="1"/>
  <c r="D790" i="1"/>
  <c r="D790" i="4" s="1"/>
  <c r="E790" i="1"/>
  <c r="E790" i="4" s="1"/>
  <c r="F790" i="1"/>
  <c r="F790" i="4" s="1"/>
  <c r="D791" i="1"/>
  <c r="D791" i="4" s="1"/>
  <c r="E791" i="1"/>
  <c r="E791" i="4" s="1"/>
  <c r="F791" i="1"/>
  <c r="F791" i="4" s="1"/>
  <c r="D792" i="1"/>
  <c r="D792" i="4" s="1"/>
  <c r="E792" i="1"/>
  <c r="E792" i="4" s="1"/>
  <c r="F792" i="1"/>
  <c r="F792" i="4" s="1"/>
  <c r="D793" i="1"/>
  <c r="D793" i="4" s="1"/>
  <c r="E793" i="1"/>
  <c r="E793" i="4" s="1"/>
  <c r="F793" i="1"/>
  <c r="F793" i="4" s="1"/>
  <c r="D794" i="1"/>
  <c r="D794" i="4" s="1"/>
  <c r="E794" i="1"/>
  <c r="E794" i="4" s="1"/>
  <c r="F794" i="1"/>
  <c r="F794" i="4" s="1"/>
  <c r="D795" i="1"/>
  <c r="D795" i="4" s="1"/>
  <c r="E795" i="1"/>
  <c r="E795" i="4" s="1"/>
  <c r="F795" i="1"/>
  <c r="F795" i="4" s="1"/>
  <c r="D796" i="1"/>
  <c r="D796" i="4" s="1"/>
  <c r="E796" i="1"/>
  <c r="E796" i="4" s="1"/>
  <c r="F796" i="1"/>
  <c r="F796" i="4" s="1"/>
  <c r="D797" i="1"/>
  <c r="D797" i="4" s="1"/>
  <c r="E797" i="1"/>
  <c r="E797" i="4" s="1"/>
  <c r="F797" i="1"/>
  <c r="F797" i="4" s="1"/>
  <c r="D798" i="1"/>
  <c r="D798" i="4" s="1"/>
  <c r="E798" i="1"/>
  <c r="E798" i="4" s="1"/>
  <c r="F798" i="1"/>
  <c r="F798" i="4" s="1"/>
  <c r="D799" i="1"/>
  <c r="D799" i="4" s="1"/>
  <c r="E799" i="1"/>
  <c r="E799" i="4" s="1"/>
  <c r="F799" i="1"/>
  <c r="F799" i="4" s="1"/>
  <c r="D800" i="1"/>
  <c r="D800" i="4" s="1"/>
  <c r="E800" i="1"/>
  <c r="E800" i="4" s="1"/>
  <c r="F800" i="1"/>
  <c r="F800" i="4" s="1"/>
  <c r="D801" i="1"/>
  <c r="D801" i="4" s="1"/>
  <c r="E801" i="1"/>
  <c r="E801" i="4" s="1"/>
  <c r="F801" i="1"/>
  <c r="F801" i="4" s="1"/>
  <c r="D802" i="1"/>
  <c r="D802" i="4" s="1"/>
  <c r="E802" i="1"/>
  <c r="E802" i="4" s="1"/>
  <c r="F802" i="1"/>
  <c r="F802" i="4" s="1"/>
  <c r="D803" i="1"/>
  <c r="D803" i="4" s="1"/>
  <c r="E803" i="1"/>
  <c r="E803" i="4" s="1"/>
  <c r="F803" i="1"/>
  <c r="F803" i="4" s="1"/>
  <c r="D804" i="1"/>
  <c r="D804" i="4" s="1"/>
  <c r="E804" i="1"/>
  <c r="E804" i="4" s="1"/>
  <c r="F804" i="1"/>
  <c r="F804" i="4" s="1"/>
  <c r="D805" i="1"/>
  <c r="D805" i="4" s="1"/>
  <c r="E805" i="1"/>
  <c r="E805" i="4" s="1"/>
  <c r="F805" i="1"/>
  <c r="F805" i="4" s="1"/>
  <c r="D806" i="1"/>
  <c r="D806" i="4" s="1"/>
  <c r="E806" i="1"/>
  <c r="E806" i="4" s="1"/>
  <c r="F806" i="1"/>
  <c r="F806" i="4" s="1"/>
  <c r="D807" i="1"/>
  <c r="D807" i="4" s="1"/>
  <c r="E807" i="1"/>
  <c r="E807" i="4" s="1"/>
  <c r="F807" i="1"/>
  <c r="F807" i="4" s="1"/>
  <c r="D808" i="1"/>
  <c r="D808" i="4" s="1"/>
  <c r="E808" i="1"/>
  <c r="E808" i="4" s="1"/>
  <c r="F808" i="1"/>
  <c r="F808" i="4" s="1"/>
  <c r="D809" i="1"/>
  <c r="D809" i="4" s="1"/>
  <c r="E809" i="1"/>
  <c r="E809" i="4" s="1"/>
  <c r="F809" i="1"/>
  <c r="F809" i="4" s="1"/>
  <c r="D810" i="1"/>
  <c r="D810" i="4" s="1"/>
  <c r="E810" i="1"/>
  <c r="E810" i="4" s="1"/>
  <c r="F810" i="1"/>
  <c r="F810" i="4" s="1"/>
  <c r="D811" i="1"/>
  <c r="D811" i="4" s="1"/>
  <c r="E811" i="1"/>
  <c r="E811" i="4" s="1"/>
  <c r="F811" i="1"/>
  <c r="F811" i="4" s="1"/>
  <c r="D812" i="1"/>
  <c r="D812" i="4" s="1"/>
  <c r="E812" i="1"/>
  <c r="E812" i="4" s="1"/>
  <c r="F812" i="1"/>
  <c r="F812" i="4" s="1"/>
  <c r="D813" i="1"/>
  <c r="D813" i="4" s="1"/>
  <c r="E813" i="1"/>
  <c r="E813" i="4" s="1"/>
  <c r="F813" i="1"/>
  <c r="F813" i="4" s="1"/>
  <c r="D814" i="1"/>
  <c r="D814" i="4" s="1"/>
  <c r="E814" i="1"/>
  <c r="E814" i="4" s="1"/>
  <c r="F814" i="1"/>
  <c r="F814" i="4" s="1"/>
  <c r="D815" i="1"/>
  <c r="D815" i="4" s="1"/>
  <c r="E815" i="1"/>
  <c r="E815" i="4" s="1"/>
  <c r="F815" i="1"/>
  <c r="F815" i="4" s="1"/>
  <c r="D816" i="1"/>
  <c r="D816" i="4" s="1"/>
  <c r="E816" i="1"/>
  <c r="E816" i="4" s="1"/>
  <c r="F816" i="1"/>
  <c r="F816" i="4" s="1"/>
  <c r="D817" i="1"/>
  <c r="D817" i="4" s="1"/>
  <c r="E817" i="1"/>
  <c r="E817" i="4" s="1"/>
  <c r="F817" i="1"/>
  <c r="F817" i="4" s="1"/>
  <c r="D818" i="1"/>
  <c r="D818" i="4" s="1"/>
  <c r="E818" i="1"/>
  <c r="E818" i="4" s="1"/>
  <c r="F818" i="1"/>
  <c r="F818" i="4" s="1"/>
  <c r="D819" i="1"/>
  <c r="D819" i="4" s="1"/>
  <c r="E819" i="1"/>
  <c r="E819" i="4" s="1"/>
  <c r="F819" i="1"/>
  <c r="F819" i="4" s="1"/>
  <c r="D820" i="1"/>
  <c r="D820" i="4" s="1"/>
  <c r="E820" i="1"/>
  <c r="E820" i="4" s="1"/>
  <c r="F820" i="1"/>
  <c r="F820" i="4" s="1"/>
  <c r="D821" i="1"/>
  <c r="D821" i="4" s="1"/>
  <c r="E821" i="1"/>
  <c r="E821" i="4" s="1"/>
  <c r="F821" i="1"/>
  <c r="F821" i="4" s="1"/>
  <c r="D822" i="1"/>
  <c r="D822" i="4" s="1"/>
  <c r="E822" i="1"/>
  <c r="E822" i="4" s="1"/>
  <c r="F822" i="1"/>
  <c r="F822" i="4" s="1"/>
  <c r="D823" i="1"/>
  <c r="D823" i="4" s="1"/>
  <c r="E823" i="1"/>
  <c r="E823" i="4" s="1"/>
  <c r="F823" i="1"/>
  <c r="F823" i="4" s="1"/>
  <c r="D824" i="1"/>
  <c r="D824" i="4" s="1"/>
  <c r="E824" i="1"/>
  <c r="E824" i="4" s="1"/>
  <c r="F824" i="1"/>
  <c r="F824" i="4" s="1"/>
  <c r="D825" i="1"/>
  <c r="D825" i="4" s="1"/>
  <c r="E825" i="1"/>
  <c r="E825" i="4" s="1"/>
  <c r="F825" i="1"/>
  <c r="F825" i="4" s="1"/>
  <c r="D826" i="1"/>
  <c r="D826" i="4" s="1"/>
  <c r="E826" i="1"/>
  <c r="E826" i="4" s="1"/>
  <c r="F826" i="1"/>
  <c r="F826" i="4" s="1"/>
  <c r="D827" i="1"/>
  <c r="D827" i="4" s="1"/>
  <c r="E827" i="1"/>
  <c r="E827" i="4" s="1"/>
  <c r="F827" i="1"/>
  <c r="F827" i="4" s="1"/>
  <c r="D828" i="1"/>
  <c r="D828" i="4" s="1"/>
  <c r="E828" i="1"/>
  <c r="E828" i="4" s="1"/>
  <c r="F828" i="1"/>
  <c r="F828" i="4" s="1"/>
  <c r="D829" i="1"/>
  <c r="D829" i="4" s="1"/>
  <c r="E829" i="1"/>
  <c r="E829" i="4" s="1"/>
  <c r="F829" i="1"/>
  <c r="F829" i="4" s="1"/>
  <c r="D830" i="1"/>
  <c r="D830" i="4" s="1"/>
  <c r="E830" i="1"/>
  <c r="E830" i="4" s="1"/>
  <c r="F830" i="1"/>
  <c r="F830" i="4" s="1"/>
  <c r="D831" i="1"/>
  <c r="D831" i="4" s="1"/>
  <c r="E831" i="1"/>
  <c r="E831" i="4" s="1"/>
  <c r="F831" i="1"/>
  <c r="F831" i="4" s="1"/>
  <c r="D832" i="1"/>
  <c r="D832" i="4" s="1"/>
  <c r="E832" i="1"/>
  <c r="E832" i="4" s="1"/>
  <c r="F832" i="1"/>
  <c r="F832" i="4" s="1"/>
  <c r="D833" i="1"/>
  <c r="D833" i="4" s="1"/>
  <c r="E833" i="1"/>
  <c r="E833" i="4" s="1"/>
  <c r="F833" i="1"/>
  <c r="F833" i="4" s="1"/>
  <c r="D834" i="1"/>
  <c r="D834" i="4" s="1"/>
  <c r="E834" i="1"/>
  <c r="E834" i="4" s="1"/>
  <c r="F834" i="1"/>
  <c r="F834" i="4" s="1"/>
  <c r="D835" i="1"/>
  <c r="D835" i="4" s="1"/>
  <c r="E835" i="1"/>
  <c r="E835" i="4" s="1"/>
  <c r="F835" i="1"/>
  <c r="F835" i="4" s="1"/>
  <c r="D836" i="1"/>
  <c r="D836" i="4" s="1"/>
  <c r="E836" i="1"/>
  <c r="E836" i="4" s="1"/>
  <c r="F836" i="1"/>
  <c r="F836" i="4" s="1"/>
  <c r="D837" i="1"/>
  <c r="D837" i="4" s="1"/>
  <c r="E837" i="1"/>
  <c r="E837" i="4" s="1"/>
  <c r="F837" i="1"/>
  <c r="F837" i="4" s="1"/>
  <c r="D838" i="1"/>
  <c r="D838" i="4" s="1"/>
  <c r="E838" i="1"/>
  <c r="E838" i="4" s="1"/>
  <c r="F838" i="1"/>
  <c r="F838" i="4" s="1"/>
  <c r="D839" i="1"/>
  <c r="D839" i="4" s="1"/>
  <c r="E839" i="1"/>
  <c r="E839" i="4" s="1"/>
  <c r="F839" i="1"/>
  <c r="F839" i="4" s="1"/>
  <c r="D840" i="1"/>
  <c r="D840" i="4" s="1"/>
  <c r="E840" i="1"/>
  <c r="E840" i="4" s="1"/>
  <c r="F840" i="1"/>
  <c r="F840" i="4" s="1"/>
  <c r="D841" i="1"/>
  <c r="D841" i="4" s="1"/>
  <c r="E841" i="1"/>
  <c r="E841" i="4" s="1"/>
  <c r="F841" i="1"/>
  <c r="F841" i="4" s="1"/>
  <c r="D842" i="1"/>
  <c r="D842" i="4" s="1"/>
  <c r="E842" i="1"/>
  <c r="E842" i="4" s="1"/>
  <c r="F842" i="1"/>
  <c r="F842" i="4" s="1"/>
  <c r="D843" i="1"/>
  <c r="D843" i="4" s="1"/>
  <c r="E843" i="1"/>
  <c r="E843" i="4" s="1"/>
  <c r="F843" i="1"/>
  <c r="F843" i="4" s="1"/>
  <c r="D844" i="1"/>
  <c r="D844" i="4" s="1"/>
  <c r="E844" i="1"/>
  <c r="E844" i="4" s="1"/>
  <c r="F844" i="1"/>
  <c r="F844" i="4" s="1"/>
  <c r="D845" i="1"/>
  <c r="D845" i="4" s="1"/>
  <c r="E845" i="1"/>
  <c r="E845" i="4" s="1"/>
  <c r="F845" i="1"/>
  <c r="F845" i="4" s="1"/>
  <c r="D846" i="1"/>
  <c r="D846" i="4" s="1"/>
  <c r="E846" i="1"/>
  <c r="E846" i="4" s="1"/>
  <c r="F846" i="1"/>
  <c r="F846" i="4" s="1"/>
  <c r="D847" i="1"/>
  <c r="D847" i="4" s="1"/>
  <c r="E847" i="1"/>
  <c r="E847" i="4" s="1"/>
  <c r="F847" i="1"/>
  <c r="F847" i="4" s="1"/>
  <c r="D848" i="1"/>
  <c r="D848" i="4" s="1"/>
  <c r="E848" i="1"/>
  <c r="E848" i="4" s="1"/>
  <c r="F848" i="1"/>
  <c r="F848" i="4" s="1"/>
  <c r="D849" i="1"/>
  <c r="D849" i="4" s="1"/>
  <c r="E849" i="1"/>
  <c r="E849" i="4" s="1"/>
  <c r="F849" i="1"/>
  <c r="F849" i="4" s="1"/>
  <c r="D850" i="1"/>
  <c r="D850" i="4" s="1"/>
  <c r="E850" i="1"/>
  <c r="E850" i="4" s="1"/>
  <c r="F850" i="1"/>
  <c r="F850" i="4" s="1"/>
  <c r="D851" i="1"/>
  <c r="D851" i="4" s="1"/>
  <c r="E851" i="1"/>
  <c r="E851" i="4" s="1"/>
  <c r="F851" i="1"/>
  <c r="F851" i="4" s="1"/>
  <c r="D852" i="1"/>
  <c r="D852" i="4" s="1"/>
  <c r="E852" i="1"/>
  <c r="E852" i="4" s="1"/>
  <c r="F852" i="1"/>
  <c r="F852" i="4" s="1"/>
  <c r="D853" i="1"/>
  <c r="D853" i="4" s="1"/>
  <c r="E853" i="1"/>
  <c r="E853" i="4" s="1"/>
  <c r="F853" i="1"/>
  <c r="F853" i="4" s="1"/>
  <c r="D854" i="1"/>
  <c r="D854" i="4" s="1"/>
  <c r="E854" i="1"/>
  <c r="E854" i="4" s="1"/>
  <c r="F854" i="1"/>
  <c r="F854" i="4" s="1"/>
  <c r="D855" i="1"/>
  <c r="D855" i="4" s="1"/>
  <c r="E855" i="1"/>
  <c r="E855" i="4" s="1"/>
  <c r="F855" i="1"/>
  <c r="F855" i="4" s="1"/>
  <c r="D856" i="1"/>
  <c r="D856" i="4" s="1"/>
  <c r="E856" i="1"/>
  <c r="E856" i="4" s="1"/>
  <c r="F856" i="1"/>
  <c r="F856" i="4" s="1"/>
  <c r="D857" i="1"/>
  <c r="D857" i="4" s="1"/>
  <c r="E857" i="1"/>
  <c r="E857" i="4" s="1"/>
  <c r="F857" i="1"/>
  <c r="F857" i="4" s="1"/>
  <c r="D858" i="1"/>
  <c r="D858" i="4" s="1"/>
  <c r="E858" i="1"/>
  <c r="E858" i="4" s="1"/>
  <c r="F858" i="1"/>
  <c r="F858" i="4" s="1"/>
  <c r="D859" i="1"/>
  <c r="D859" i="4" s="1"/>
  <c r="E859" i="1"/>
  <c r="E859" i="4" s="1"/>
  <c r="F859" i="1"/>
  <c r="F859" i="4" s="1"/>
  <c r="D860" i="1"/>
  <c r="D860" i="4" s="1"/>
  <c r="E860" i="1"/>
  <c r="E860" i="4" s="1"/>
  <c r="F860" i="1"/>
  <c r="F860" i="4" s="1"/>
  <c r="D861" i="1"/>
  <c r="D861" i="4" s="1"/>
  <c r="E861" i="1"/>
  <c r="E861" i="4" s="1"/>
  <c r="F861" i="1"/>
  <c r="F861" i="4" s="1"/>
  <c r="D862" i="1"/>
  <c r="D862" i="4" s="1"/>
  <c r="E862" i="1"/>
  <c r="E862" i="4" s="1"/>
  <c r="F862" i="1"/>
  <c r="F862" i="4" s="1"/>
  <c r="D863" i="1"/>
  <c r="D863" i="4" s="1"/>
  <c r="E863" i="1"/>
  <c r="E863" i="4" s="1"/>
  <c r="F863" i="1"/>
  <c r="F863" i="4" s="1"/>
  <c r="D864" i="1"/>
  <c r="D864" i="4" s="1"/>
  <c r="E864" i="1"/>
  <c r="E864" i="4" s="1"/>
  <c r="F864" i="1"/>
  <c r="F864" i="4" s="1"/>
  <c r="D865" i="1"/>
  <c r="D865" i="4" s="1"/>
  <c r="E865" i="1"/>
  <c r="E865" i="4" s="1"/>
  <c r="F865" i="1"/>
  <c r="F865" i="4" s="1"/>
  <c r="D866" i="1"/>
  <c r="D866" i="4" s="1"/>
  <c r="E866" i="1"/>
  <c r="E866" i="4" s="1"/>
  <c r="F866" i="1"/>
  <c r="F866" i="4" s="1"/>
  <c r="D867" i="1"/>
  <c r="D867" i="4" s="1"/>
  <c r="E867" i="1"/>
  <c r="E867" i="4" s="1"/>
  <c r="F867" i="1"/>
  <c r="F867" i="4" s="1"/>
  <c r="D868" i="1"/>
  <c r="D868" i="4" s="1"/>
  <c r="E868" i="1"/>
  <c r="E868" i="4" s="1"/>
  <c r="F868" i="1"/>
  <c r="F868" i="4" s="1"/>
  <c r="D869" i="1"/>
  <c r="D869" i="4" s="1"/>
  <c r="E869" i="1"/>
  <c r="E869" i="4" s="1"/>
  <c r="F869" i="1"/>
  <c r="F869" i="4" s="1"/>
  <c r="D870" i="1"/>
  <c r="D870" i="4" s="1"/>
  <c r="E870" i="1"/>
  <c r="E870" i="4" s="1"/>
  <c r="F870" i="1"/>
  <c r="F870" i="4" s="1"/>
  <c r="D871" i="1"/>
  <c r="D871" i="4" s="1"/>
  <c r="E871" i="1"/>
  <c r="E871" i="4" s="1"/>
  <c r="F871" i="1"/>
  <c r="F871" i="4" s="1"/>
  <c r="D872" i="1"/>
  <c r="D872" i="4" s="1"/>
  <c r="E872" i="1"/>
  <c r="E872" i="4" s="1"/>
  <c r="F872" i="1"/>
  <c r="F872" i="4" s="1"/>
  <c r="D873" i="1"/>
  <c r="D873" i="4" s="1"/>
  <c r="E873" i="1"/>
  <c r="E873" i="4" s="1"/>
  <c r="F873" i="1"/>
  <c r="F873" i="4" s="1"/>
  <c r="D874" i="1"/>
  <c r="D874" i="4" s="1"/>
  <c r="E874" i="1"/>
  <c r="E874" i="4" s="1"/>
  <c r="F874" i="1"/>
  <c r="F874" i="4" s="1"/>
  <c r="D875" i="1"/>
  <c r="D875" i="4" s="1"/>
  <c r="E875" i="1"/>
  <c r="E875" i="4" s="1"/>
  <c r="F875" i="1"/>
  <c r="F875" i="4" s="1"/>
  <c r="D876" i="1"/>
  <c r="D876" i="4" s="1"/>
  <c r="E876" i="1"/>
  <c r="E876" i="4" s="1"/>
  <c r="F876" i="1"/>
  <c r="F876" i="4" s="1"/>
  <c r="D877" i="1"/>
  <c r="D877" i="4" s="1"/>
  <c r="E877" i="1"/>
  <c r="E877" i="4" s="1"/>
  <c r="F877" i="1"/>
  <c r="F877" i="4" s="1"/>
  <c r="D878" i="1"/>
  <c r="D878" i="4" s="1"/>
  <c r="E878" i="1"/>
  <c r="E878" i="4" s="1"/>
  <c r="F878" i="1"/>
  <c r="F878" i="4" s="1"/>
  <c r="D879" i="1"/>
  <c r="D879" i="4" s="1"/>
  <c r="E879" i="1"/>
  <c r="E879" i="4" s="1"/>
  <c r="F879" i="1"/>
  <c r="F879" i="4" s="1"/>
  <c r="D880" i="1"/>
  <c r="D880" i="4" s="1"/>
  <c r="E880" i="1"/>
  <c r="E880" i="4" s="1"/>
  <c r="F880" i="1"/>
  <c r="F880" i="4" s="1"/>
  <c r="D881" i="1"/>
  <c r="D881" i="4" s="1"/>
  <c r="E881" i="1"/>
  <c r="E881" i="4" s="1"/>
  <c r="F881" i="1"/>
  <c r="F881" i="4" s="1"/>
  <c r="D882" i="1"/>
  <c r="D882" i="4" s="1"/>
  <c r="E882" i="1"/>
  <c r="E882" i="4" s="1"/>
  <c r="F882" i="1"/>
  <c r="F882" i="4" s="1"/>
  <c r="D883" i="1"/>
  <c r="D883" i="4" s="1"/>
  <c r="E883" i="1"/>
  <c r="E883" i="4" s="1"/>
  <c r="F883" i="1"/>
  <c r="F883" i="4" s="1"/>
  <c r="D884" i="1"/>
  <c r="D884" i="4" s="1"/>
  <c r="E884" i="1"/>
  <c r="E884" i="4" s="1"/>
  <c r="F884" i="1"/>
  <c r="F884" i="4" s="1"/>
  <c r="D885" i="1"/>
  <c r="D885" i="4" s="1"/>
  <c r="E885" i="1"/>
  <c r="E885" i="4" s="1"/>
  <c r="F885" i="1"/>
  <c r="F885" i="4" s="1"/>
  <c r="D886" i="1"/>
  <c r="D886" i="4" s="1"/>
  <c r="E886" i="1"/>
  <c r="E886" i="4" s="1"/>
  <c r="F886" i="1"/>
  <c r="F886" i="4" s="1"/>
  <c r="D887" i="1"/>
  <c r="D887" i="4" s="1"/>
  <c r="E887" i="1"/>
  <c r="E887" i="4" s="1"/>
  <c r="F887" i="1"/>
  <c r="F887" i="4" s="1"/>
  <c r="D888" i="1"/>
  <c r="D888" i="4" s="1"/>
  <c r="E888" i="1"/>
  <c r="E888" i="4" s="1"/>
  <c r="F888" i="1"/>
  <c r="F888" i="4" s="1"/>
  <c r="D889" i="1"/>
  <c r="D889" i="4" s="1"/>
  <c r="E889" i="1"/>
  <c r="E889" i="4" s="1"/>
  <c r="F889" i="1"/>
  <c r="F889" i="4" s="1"/>
  <c r="D890" i="1"/>
  <c r="D890" i="4" s="1"/>
  <c r="E890" i="1"/>
  <c r="E890" i="4" s="1"/>
  <c r="F890" i="1"/>
  <c r="F890" i="4" s="1"/>
  <c r="D891" i="1"/>
  <c r="D891" i="4" s="1"/>
  <c r="E891" i="1"/>
  <c r="E891" i="4" s="1"/>
  <c r="F891" i="1"/>
  <c r="F891" i="4" s="1"/>
  <c r="D892" i="1"/>
  <c r="D892" i="4" s="1"/>
  <c r="E892" i="1"/>
  <c r="E892" i="4" s="1"/>
  <c r="F892" i="1"/>
  <c r="F892" i="4" s="1"/>
  <c r="D893" i="1"/>
  <c r="D893" i="4" s="1"/>
  <c r="E893" i="1"/>
  <c r="E893" i="4" s="1"/>
  <c r="F893" i="1"/>
  <c r="F893" i="4" s="1"/>
  <c r="D894" i="1"/>
  <c r="D894" i="4" s="1"/>
  <c r="E894" i="1"/>
  <c r="E894" i="4" s="1"/>
  <c r="F894" i="1"/>
  <c r="F894" i="4" s="1"/>
  <c r="D895" i="1"/>
  <c r="D895" i="4" s="1"/>
  <c r="E895" i="1"/>
  <c r="E895" i="4" s="1"/>
  <c r="F895" i="1"/>
  <c r="F895" i="4" s="1"/>
  <c r="D896" i="1"/>
  <c r="D896" i="4" s="1"/>
  <c r="E896" i="1"/>
  <c r="E896" i="4" s="1"/>
  <c r="F896" i="1"/>
  <c r="F896" i="4" s="1"/>
  <c r="D897" i="1"/>
  <c r="D897" i="4" s="1"/>
  <c r="E897" i="1"/>
  <c r="E897" i="4" s="1"/>
  <c r="F897" i="1"/>
  <c r="F897" i="4" s="1"/>
  <c r="D898" i="1"/>
  <c r="D898" i="4" s="1"/>
  <c r="E898" i="1"/>
  <c r="E898" i="4" s="1"/>
  <c r="F898" i="1"/>
  <c r="F898" i="4" s="1"/>
  <c r="D899" i="1"/>
  <c r="D899" i="4" s="1"/>
  <c r="E899" i="1"/>
  <c r="E899" i="4" s="1"/>
  <c r="F899" i="1"/>
  <c r="F899" i="4" s="1"/>
  <c r="D900" i="1"/>
  <c r="D900" i="4" s="1"/>
  <c r="E900" i="1"/>
  <c r="E900" i="4" s="1"/>
  <c r="F900" i="1"/>
  <c r="F900" i="4" s="1"/>
  <c r="D901" i="1"/>
  <c r="D901" i="4" s="1"/>
  <c r="E901" i="1"/>
  <c r="E901" i="4" s="1"/>
  <c r="F901" i="1"/>
  <c r="F901" i="4" s="1"/>
  <c r="D902" i="1"/>
  <c r="D902" i="4" s="1"/>
  <c r="E902" i="1"/>
  <c r="E902" i="4" s="1"/>
  <c r="F902" i="1"/>
  <c r="F902" i="4" s="1"/>
  <c r="D903" i="1"/>
  <c r="D903" i="4" s="1"/>
  <c r="E903" i="1"/>
  <c r="E903" i="4" s="1"/>
  <c r="F903" i="1"/>
  <c r="F903" i="4" s="1"/>
  <c r="D904" i="1"/>
  <c r="D904" i="4" s="1"/>
  <c r="E904" i="1"/>
  <c r="E904" i="4" s="1"/>
  <c r="F904" i="1"/>
  <c r="F904" i="4" s="1"/>
  <c r="D905" i="1"/>
  <c r="D905" i="4" s="1"/>
  <c r="E905" i="1"/>
  <c r="E905" i="4" s="1"/>
  <c r="F905" i="1"/>
  <c r="F905" i="4" s="1"/>
  <c r="D906" i="1"/>
  <c r="D906" i="4" s="1"/>
  <c r="E906" i="1"/>
  <c r="E906" i="4" s="1"/>
  <c r="F906" i="1"/>
  <c r="F906" i="4" s="1"/>
  <c r="D907" i="1"/>
  <c r="D907" i="4" s="1"/>
  <c r="E907" i="1"/>
  <c r="E907" i="4" s="1"/>
  <c r="F907" i="1"/>
  <c r="F907" i="4" s="1"/>
  <c r="D908" i="1"/>
  <c r="D908" i="4" s="1"/>
  <c r="E908" i="1"/>
  <c r="E908" i="4" s="1"/>
  <c r="F908" i="1"/>
  <c r="F908" i="4" s="1"/>
  <c r="D909" i="1"/>
  <c r="D909" i="4" s="1"/>
  <c r="E909" i="1"/>
  <c r="E909" i="4" s="1"/>
  <c r="F909" i="1"/>
  <c r="F909" i="4" s="1"/>
  <c r="D910" i="1"/>
  <c r="D910" i="4" s="1"/>
  <c r="E910" i="1"/>
  <c r="E910" i="4" s="1"/>
  <c r="F910" i="1"/>
  <c r="F910" i="4" s="1"/>
  <c r="D911" i="1"/>
  <c r="D911" i="4" s="1"/>
  <c r="E911" i="1"/>
  <c r="E911" i="4" s="1"/>
  <c r="F911" i="1"/>
  <c r="F911" i="4" s="1"/>
  <c r="D912" i="1"/>
  <c r="D912" i="4" s="1"/>
  <c r="E912" i="1"/>
  <c r="E912" i="4" s="1"/>
  <c r="F912" i="1"/>
  <c r="F912" i="4" s="1"/>
  <c r="D913" i="1"/>
  <c r="D913" i="4" s="1"/>
  <c r="E913" i="1"/>
  <c r="E913" i="4" s="1"/>
  <c r="F913" i="1"/>
  <c r="F913" i="4" s="1"/>
  <c r="D914" i="1"/>
  <c r="D914" i="4" s="1"/>
  <c r="E914" i="1"/>
  <c r="E914" i="4" s="1"/>
  <c r="F914" i="1"/>
  <c r="F914" i="4" s="1"/>
  <c r="D915" i="1"/>
  <c r="D915" i="4" s="1"/>
  <c r="E915" i="1"/>
  <c r="E915" i="4" s="1"/>
  <c r="F915" i="1"/>
  <c r="F915" i="4" s="1"/>
  <c r="D916" i="1"/>
  <c r="D916" i="4" s="1"/>
  <c r="E916" i="1"/>
  <c r="E916" i="4" s="1"/>
  <c r="F916" i="1"/>
  <c r="F916" i="4" s="1"/>
  <c r="D917" i="1"/>
  <c r="D917" i="4" s="1"/>
  <c r="E917" i="1"/>
  <c r="E917" i="4" s="1"/>
  <c r="F917" i="1"/>
  <c r="F917" i="4" s="1"/>
  <c r="D918" i="1"/>
  <c r="D918" i="4" s="1"/>
  <c r="E918" i="1"/>
  <c r="E918" i="4" s="1"/>
  <c r="F918" i="1"/>
  <c r="F918" i="4" s="1"/>
  <c r="D919" i="1"/>
  <c r="D919" i="4" s="1"/>
  <c r="E919" i="1"/>
  <c r="E919" i="4" s="1"/>
  <c r="F919" i="1"/>
  <c r="F919" i="4" s="1"/>
  <c r="D920" i="1"/>
  <c r="D920" i="4" s="1"/>
  <c r="E920" i="1"/>
  <c r="E920" i="4" s="1"/>
  <c r="F920" i="1"/>
  <c r="F920" i="4" s="1"/>
  <c r="D921" i="1"/>
  <c r="D921" i="4" s="1"/>
  <c r="E921" i="1"/>
  <c r="E921" i="4" s="1"/>
  <c r="F921" i="1"/>
  <c r="F921" i="4" s="1"/>
  <c r="D922" i="1"/>
  <c r="D922" i="4" s="1"/>
  <c r="E922" i="1"/>
  <c r="E922" i="4" s="1"/>
  <c r="F922" i="1"/>
  <c r="F922" i="4" s="1"/>
  <c r="D923" i="1"/>
  <c r="D923" i="4" s="1"/>
  <c r="E923" i="1"/>
  <c r="E923" i="4" s="1"/>
  <c r="F923" i="1"/>
  <c r="F923" i="4" s="1"/>
  <c r="D924" i="1"/>
  <c r="D924" i="4" s="1"/>
  <c r="E924" i="1"/>
  <c r="E924" i="4" s="1"/>
  <c r="F924" i="1"/>
  <c r="F924" i="4" s="1"/>
  <c r="D925" i="1"/>
  <c r="D925" i="4" s="1"/>
  <c r="E925" i="1"/>
  <c r="E925" i="4" s="1"/>
  <c r="F925" i="1"/>
  <c r="F925" i="4" s="1"/>
  <c r="D926" i="1"/>
  <c r="D926" i="4" s="1"/>
  <c r="E926" i="1"/>
  <c r="E926" i="4" s="1"/>
  <c r="F926" i="1"/>
  <c r="F926" i="4" s="1"/>
  <c r="D927" i="1"/>
  <c r="D927" i="4" s="1"/>
  <c r="E927" i="1"/>
  <c r="E927" i="4" s="1"/>
  <c r="F927" i="1"/>
  <c r="F927" i="4" s="1"/>
  <c r="D928" i="1"/>
  <c r="D928" i="4" s="1"/>
  <c r="E928" i="1"/>
  <c r="E928" i="4" s="1"/>
  <c r="F928" i="1"/>
  <c r="F928" i="4" s="1"/>
  <c r="D929" i="1"/>
  <c r="D929" i="4" s="1"/>
  <c r="E929" i="1"/>
  <c r="E929" i="4" s="1"/>
  <c r="F929" i="1"/>
  <c r="F929" i="4" s="1"/>
  <c r="D930" i="1"/>
  <c r="D930" i="4" s="1"/>
  <c r="E930" i="1"/>
  <c r="E930" i="4" s="1"/>
  <c r="F930" i="1"/>
  <c r="F930" i="4" s="1"/>
  <c r="D931" i="1"/>
  <c r="D931" i="4" s="1"/>
  <c r="E931" i="1"/>
  <c r="E931" i="4" s="1"/>
  <c r="F931" i="1"/>
  <c r="F931" i="4" s="1"/>
  <c r="D932" i="1"/>
  <c r="D932" i="4" s="1"/>
  <c r="E932" i="1"/>
  <c r="E932" i="4" s="1"/>
  <c r="F932" i="1"/>
  <c r="F932" i="4" s="1"/>
  <c r="D933" i="1"/>
  <c r="D933" i="4" s="1"/>
  <c r="E933" i="1"/>
  <c r="E933" i="4" s="1"/>
  <c r="F933" i="1"/>
  <c r="F933" i="4" s="1"/>
  <c r="D934" i="1"/>
  <c r="D934" i="4" s="1"/>
  <c r="E934" i="1"/>
  <c r="E934" i="4" s="1"/>
  <c r="F934" i="1"/>
  <c r="F934" i="4" s="1"/>
  <c r="D935" i="1"/>
  <c r="D935" i="4" s="1"/>
  <c r="E935" i="1"/>
  <c r="E935" i="4" s="1"/>
  <c r="F935" i="1"/>
  <c r="F935" i="4" s="1"/>
  <c r="D936" i="1"/>
  <c r="D936" i="4" s="1"/>
  <c r="E936" i="1"/>
  <c r="E936" i="4" s="1"/>
  <c r="F936" i="1"/>
  <c r="F936" i="4" s="1"/>
  <c r="D937" i="1"/>
  <c r="D937" i="4" s="1"/>
  <c r="E937" i="1"/>
  <c r="E937" i="4" s="1"/>
  <c r="F937" i="1"/>
  <c r="F937" i="4" s="1"/>
  <c r="D938" i="1"/>
  <c r="D938" i="4" s="1"/>
  <c r="E938" i="1"/>
  <c r="E938" i="4" s="1"/>
  <c r="F938" i="1"/>
  <c r="F938" i="4" s="1"/>
  <c r="D939" i="1"/>
  <c r="D939" i="4" s="1"/>
  <c r="E939" i="1"/>
  <c r="E939" i="4" s="1"/>
  <c r="F939" i="1"/>
  <c r="F939" i="4" s="1"/>
  <c r="D940" i="1"/>
  <c r="D940" i="4" s="1"/>
  <c r="E940" i="1"/>
  <c r="E940" i="4" s="1"/>
  <c r="F940" i="1"/>
  <c r="F940" i="4" s="1"/>
  <c r="D941" i="1"/>
  <c r="D941" i="4" s="1"/>
  <c r="E941" i="1"/>
  <c r="E941" i="4" s="1"/>
  <c r="F941" i="1"/>
  <c r="F941" i="4" s="1"/>
  <c r="D942" i="1"/>
  <c r="D942" i="4" s="1"/>
  <c r="E942" i="1"/>
  <c r="E942" i="4" s="1"/>
  <c r="F942" i="1"/>
  <c r="F942" i="4" s="1"/>
  <c r="D943" i="1"/>
  <c r="D943" i="4" s="1"/>
  <c r="E943" i="1"/>
  <c r="E943" i="4" s="1"/>
  <c r="F943" i="1"/>
  <c r="F943" i="4" s="1"/>
  <c r="D944" i="1"/>
  <c r="D944" i="4" s="1"/>
  <c r="E944" i="1"/>
  <c r="E944" i="4" s="1"/>
  <c r="F944" i="1"/>
  <c r="F944" i="4" s="1"/>
  <c r="D945" i="1"/>
  <c r="D945" i="4" s="1"/>
  <c r="E945" i="1"/>
  <c r="E945" i="4" s="1"/>
  <c r="F945" i="1"/>
  <c r="F945" i="4" s="1"/>
  <c r="D946" i="1"/>
  <c r="D946" i="4" s="1"/>
  <c r="E946" i="1"/>
  <c r="E946" i="4" s="1"/>
  <c r="F946" i="1"/>
  <c r="F946" i="4" s="1"/>
  <c r="D947" i="1"/>
  <c r="D947" i="4" s="1"/>
  <c r="E947" i="1"/>
  <c r="E947" i="4" s="1"/>
  <c r="F947" i="1"/>
  <c r="F947" i="4" s="1"/>
  <c r="D948" i="1"/>
  <c r="D948" i="4" s="1"/>
  <c r="E948" i="1"/>
  <c r="E948" i="4" s="1"/>
  <c r="F948" i="1"/>
  <c r="F948" i="4" s="1"/>
  <c r="D949" i="1"/>
  <c r="D949" i="4" s="1"/>
  <c r="E949" i="1"/>
  <c r="E949" i="4" s="1"/>
  <c r="F949" i="1"/>
  <c r="F949" i="4" s="1"/>
  <c r="D950" i="1"/>
  <c r="D950" i="4" s="1"/>
  <c r="E950" i="1"/>
  <c r="E950" i="4" s="1"/>
  <c r="F950" i="1"/>
  <c r="F950" i="4" s="1"/>
  <c r="D951" i="1"/>
  <c r="D951" i="4" s="1"/>
  <c r="E951" i="1"/>
  <c r="E951" i="4" s="1"/>
  <c r="F951" i="1"/>
  <c r="F951" i="4" s="1"/>
  <c r="D952" i="1"/>
  <c r="D952" i="4" s="1"/>
  <c r="E952" i="1"/>
  <c r="E952" i="4" s="1"/>
  <c r="F952" i="1"/>
  <c r="F952" i="4" s="1"/>
  <c r="D953" i="1"/>
  <c r="D953" i="4" s="1"/>
  <c r="E953" i="1"/>
  <c r="E953" i="4" s="1"/>
  <c r="F953" i="1"/>
  <c r="F953" i="4" s="1"/>
  <c r="D954" i="1"/>
  <c r="D954" i="4" s="1"/>
  <c r="E954" i="1"/>
  <c r="E954" i="4" s="1"/>
  <c r="F954" i="1"/>
  <c r="F954" i="4" s="1"/>
  <c r="D955" i="1"/>
  <c r="D955" i="4" s="1"/>
  <c r="E955" i="1"/>
  <c r="E955" i="4" s="1"/>
  <c r="F955" i="1"/>
  <c r="F955" i="4" s="1"/>
  <c r="D956" i="1"/>
  <c r="D956" i="4" s="1"/>
  <c r="E956" i="1"/>
  <c r="E956" i="4" s="1"/>
  <c r="F956" i="1"/>
  <c r="F956" i="4" s="1"/>
  <c r="D957" i="1"/>
  <c r="D957" i="4" s="1"/>
  <c r="E957" i="1"/>
  <c r="E957" i="4" s="1"/>
  <c r="F957" i="1"/>
  <c r="F957" i="4" s="1"/>
  <c r="D958" i="1"/>
  <c r="D958" i="4" s="1"/>
  <c r="E958" i="1"/>
  <c r="E958" i="4" s="1"/>
  <c r="F958" i="1"/>
  <c r="F958" i="4" s="1"/>
  <c r="D959" i="1"/>
  <c r="D959" i="4" s="1"/>
  <c r="E959" i="1"/>
  <c r="E959" i="4" s="1"/>
  <c r="F959" i="1"/>
  <c r="F959" i="4" s="1"/>
  <c r="D960" i="1"/>
  <c r="D960" i="4" s="1"/>
  <c r="E960" i="1"/>
  <c r="E960" i="4" s="1"/>
  <c r="F960" i="1"/>
  <c r="F960" i="4" s="1"/>
  <c r="D961" i="1"/>
  <c r="D961" i="4" s="1"/>
  <c r="E961" i="1"/>
  <c r="E961" i="4" s="1"/>
  <c r="F961" i="1"/>
  <c r="F961" i="4" s="1"/>
  <c r="D962" i="1"/>
  <c r="D962" i="4" s="1"/>
  <c r="E962" i="1"/>
  <c r="E962" i="4" s="1"/>
  <c r="F962" i="1"/>
  <c r="F962" i="4" s="1"/>
  <c r="D963" i="1"/>
  <c r="D963" i="4" s="1"/>
  <c r="E963" i="1"/>
  <c r="E963" i="4" s="1"/>
  <c r="F963" i="1"/>
  <c r="F963" i="4" s="1"/>
  <c r="D964" i="1"/>
  <c r="D964" i="4" s="1"/>
  <c r="E964" i="1"/>
  <c r="E964" i="4" s="1"/>
  <c r="F964" i="1"/>
  <c r="F964" i="4" s="1"/>
  <c r="D965" i="1"/>
  <c r="D965" i="4" s="1"/>
  <c r="E965" i="1"/>
  <c r="E965" i="4" s="1"/>
  <c r="F965" i="1"/>
  <c r="F965" i="4" s="1"/>
  <c r="D966" i="1"/>
  <c r="D966" i="4" s="1"/>
  <c r="E966" i="1"/>
  <c r="E966" i="4" s="1"/>
  <c r="F966" i="1"/>
  <c r="F966" i="4" s="1"/>
  <c r="D967" i="1"/>
  <c r="D967" i="4" s="1"/>
  <c r="E967" i="1"/>
  <c r="E967" i="4" s="1"/>
  <c r="F967" i="1"/>
  <c r="F967" i="4" s="1"/>
  <c r="D968" i="1"/>
  <c r="D968" i="4" s="1"/>
  <c r="E968" i="1"/>
  <c r="E968" i="4" s="1"/>
  <c r="F968" i="1"/>
  <c r="F968" i="4" s="1"/>
  <c r="D969" i="1"/>
  <c r="D969" i="4" s="1"/>
  <c r="E969" i="1"/>
  <c r="E969" i="4" s="1"/>
  <c r="F969" i="1"/>
  <c r="F969" i="4" s="1"/>
  <c r="D970" i="1"/>
  <c r="D970" i="4" s="1"/>
  <c r="E970" i="1"/>
  <c r="E970" i="4" s="1"/>
  <c r="F970" i="1"/>
  <c r="F970" i="4" s="1"/>
  <c r="D971" i="1"/>
  <c r="D971" i="4" s="1"/>
  <c r="E971" i="1"/>
  <c r="E971" i="4" s="1"/>
  <c r="F971" i="1"/>
  <c r="F971" i="4" s="1"/>
  <c r="D972" i="1"/>
  <c r="D972" i="4" s="1"/>
  <c r="E972" i="1"/>
  <c r="E972" i="4" s="1"/>
  <c r="F972" i="1"/>
  <c r="F972" i="4" s="1"/>
  <c r="D973" i="1"/>
  <c r="D973" i="4" s="1"/>
  <c r="E973" i="1"/>
  <c r="E973" i="4" s="1"/>
  <c r="F973" i="1"/>
  <c r="F973" i="4" s="1"/>
  <c r="D974" i="1"/>
  <c r="D974" i="4" s="1"/>
  <c r="E974" i="1"/>
  <c r="E974" i="4" s="1"/>
  <c r="F974" i="1"/>
  <c r="F974" i="4" s="1"/>
  <c r="D975" i="1"/>
  <c r="D975" i="4" s="1"/>
  <c r="E975" i="1"/>
  <c r="E975" i="4" s="1"/>
  <c r="F975" i="1"/>
  <c r="F975" i="4" s="1"/>
  <c r="D976" i="1"/>
  <c r="D976" i="4" s="1"/>
  <c r="E976" i="1"/>
  <c r="E976" i="4" s="1"/>
  <c r="F976" i="1"/>
  <c r="F976" i="4" s="1"/>
  <c r="D977" i="1"/>
  <c r="D977" i="4" s="1"/>
  <c r="E977" i="1"/>
  <c r="E977" i="4" s="1"/>
  <c r="F977" i="1"/>
  <c r="F977" i="4" s="1"/>
  <c r="D978" i="1"/>
  <c r="D978" i="4" s="1"/>
  <c r="E978" i="1"/>
  <c r="E978" i="4" s="1"/>
  <c r="F978" i="1"/>
  <c r="F978" i="4" s="1"/>
  <c r="D979" i="1"/>
  <c r="D979" i="4" s="1"/>
  <c r="E979" i="1"/>
  <c r="E979" i="4" s="1"/>
  <c r="F979" i="1"/>
  <c r="F979" i="4" s="1"/>
  <c r="D980" i="1"/>
  <c r="D980" i="4" s="1"/>
  <c r="E980" i="1"/>
  <c r="E980" i="4" s="1"/>
  <c r="F980" i="1"/>
  <c r="F980" i="4" s="1"/>
  <c r="D981" i="1"/>
  <c r="D981" i="4" s="1"/>
  <c r="E981" i="1"/>
  <c r="E981" i="4" s="1"/>
  <c r="F981" i="1"/>
  <c r="F981" i="4" s="1"/>
  <c r="D982" i="1"/>
  <c r="D982" i="4" s="1"/>
  <c r="E982" i="1"/>
  <c r="E982" i="4" s="1"/>
  <c r="F982" i="1"/>
  <c r="F982" i="4" s="1"/>
  <c r="D983" i="1"/>
  <c r="D983" i="4" s="1"/>
  <c r="E983" i="1"/>
  <c r="E983" i="4" s="1"/>
  <c r="F983" i="1"/>
  <c r="F983" i="4" s="1"/>
  <c r="D984" i="1"/>
  <c r="D984" i="4" s="1"/>
  <c r="E984" i="1"/>
  <c r="E984" i="4" s="1"/>
  <c r="F984" i="1"/>
  <c r="F984" i="4" s="1"/>
  <c r="D985" i="1"/>
  <c r="D985" i="4" s="1"/>
  <c r="E985" i="1"/>
  <c r="E985" i="4" s="1"/>
  <c r="F985" i="1"/>
  <c r="F985" i="4" s="1"/>
  <c r="D986" i="1"/>
  <c r="D986" i="4" s="1"/>
  <c r="E986" i="1"/>
  <c r="E986" i="4" s="1"/>
  <c r="F986" i="1"/>
  <c r="F986" i="4" s="1"/>
  <c r="D987" i="1"/>
  <c r="D987" i="4" s="1"/>
  <c r="E987" i="1"/>
  <c r="E987" i="4" s="1"/>
  <c r="F987" i="1"/>
  <c r="F987" i="4" s="1"/>
  <c r="D988" i="1"/>
  <c r="D988" i="4" s="1"/>
  <c r="E988" i="1"/>
  <c r="E988" i="4" s="1"/>
  <c r="F988" i="1"/>
  <c r="F988" i="4" s="1"/>
  <c r="D989" i="1"/>
  <c r="D989" i="4" s="1"/>
  <c r="E989" i="1"/>
  <c r="E989" i="4" s="1"/>
  <c r="F989" i="1"/>
  <c r="F989" i="4" s="1"/>
  <c r="D990" i="1"/>
  <c r="D990" i="4" s="1"/>
  <c r="E990" i="1"/>
  <c r="E990" i="4" s="1"/>
  <c r="F990" i="1"/>
  <c r="F990" i="4" s="1"/>
  <c r="D991" i="1"/>
  <c r="D991" i="4" s="1"/>
  <c r="E991" i="1"/>
  <c r="E991" i="4" s="1"/>
  <c r="F991" i="1"/>
  <c r="F991" i="4" s="1"/>
  <c r="D992" i="1"/>
  <c r="D992" i="4" s="1"/>
  <c r="E992" i="1"/>
  <c r="E992" i="4" s="1"/>
  <c r="F992" i="1"/>
  <c r="F992" i="4" s="1"/>
  <c r="D993" i="1"/>
  <c r="D993" i="4" s="1"/>
  <c r="E993" i="1"/>
  <c r="E993" i="4" s="1"/>
  <c r="F993" i="1"/>
  <c r="F993" i="4" s="1"/>
  <c r="D994" i="1"/>
  <c r="D994" i="4" s="1"/>
  <c r="E994" i="1"/>
  <c r="E994" i="4" s="1"/>
  <c r="F994" i="1"/>
  <c r="F994" i="4" s="1"/>
  <c r="D995" i="1"/>
  <c r="D995" i="4" s="1"/>
  <c r="E995" i="1"/>
  <c r="E995" i="4" s="1"/>
  <c r="F995" i="1"/>
  <c r="F995" i="4" s="1"/>
  <c r="D996" i="1"/>
  <c r="D996" i="4" s="1"/>
  <c r="E996" i="1"/>
  <c r="E996" i="4" s="1"/>
  <c r="F996" i="1"/>
  <c r="F996" i="4" s="1"/>
  <c r="D997" i="1"/>
  <c r="D997" i="4" s="1"/>
  <c r="E997" i="1"/>
  <c r="E997" i="4" s="1"/>
  <c r="F997" i="1"/>
  <c r="F997" i="4" s="1"/>
  <c r="D998" i="1"/>
  <c r="D998" i="4" s="1"/>
  <c r="E998" i="1"/>
  <c r="E998" i="4" s="1"/>
  <c r="F998" i="1"/>
  <c r="F998" i="4" s="1"/>
  <c r="D999" i="1"/>
  <c r="D999" i="4" s="1"/>
  <c r="E999" i="1"/>
  <c r="E999" i="4" s="1"/>
  <c r="F999" i="1"/>
  <c r="F999" i="4" s="1"/>
  <c r="D1000" i="1"/>
  <c r="D1000" i="4" s="1"/>
  <c r="E1000" i="1"/>
  <c r="E1000" i="4" s="1"/>
  <c r="F1000" i="1"/>
  <c r="F1000" i="4" s="1"/>
  <c r="D1001" i="1"/>
  <c r="D1001" i="4" s="1"/>
  <c r="E1001" i="1"/>
  <c r="E1001" i="4" s="1"/>
  <c r="F1001" i="1"/>
  <c r="F1001" i="4" s="1"/>
  <c r="D1002" i="1"/>
  <c r="D1002" i="4" s="1"/>
  <c r="E1002" i="1"/>
  <c r="E1002" i="4" s="1"/>
  <c r="F1002" i="1"/>
  <c r="F1002" i="4" s="1"/>
  <c r="D1003" i="1"/>
  <c r="D1003" i="4" s="1"/>
  <c r="E1003" i="1"/>
  <c r="E1003" i="4" s="1"/>
  <c r="F1003" i="1"/>
  <c r="F1003" i="4" s="1"/>
  <c r="D1004" i="1"/>
  <c r="D1004" i="4" s="1"/>
  <c r="E1004" i="1"/>
  <c r="E1004" i="4" s="1"/>
  <c r="F1004" i="1"/>
  <c r="F1004" i="4" s="1"/>
  <c r="D1005" i="1"/>
  <c r="D1005" i="4" s="1"/>
  <c r="E1005" i="1"/>
  <c r="E1005" i="4" s="1"/>
  <c r="F1005" i="1"/>
  <c r="F1005" i="4" s="1"/>
  <c r="D1006" i="1"/>
  <c r="D1006" i="4" s="1"/>
  <c r="E1006" i="1"/>
  <c r="E1006" i="4" s="1"/>
  <c r="F1006" i="1"/>
  <c r="F1006" i="4" s="1"/>
  <c r="D1007" i="1"/>
  <c r="D1007" i="4" s="1"/>
  <c r="E1007" i="1"/>
  <c r="E1007" i="4" s="1"/>
  <c r="F1007" i="1"/>
  <c r="F1007" i="4" s="1"/>
  <c r="D1008" i="1"/>
  <c r="D1008" i="4" s="1"/>
  <c r="E1008" i="1"/>
  <c r="E1008" i="4" s="1"/>
  <c r="F1008" i="1"/>
  <c r="F1008" i="4" s="1"/>
  <c r="D1009" i="1"/>
  <c r="D1009" i="4" s="1"/>
  <c r="E1009" i="1"/>
  <c r="E1009" i="4" s="1"/>
  <c r="F1009" i="1"/>
  <c r="F1009" i="4" s="1"/>
  <c r="D1010" i="1"/>
  <c r="D1010" i="4" s="1"/>
  <c r="E1010" i="1"/>
  <c r="E1010" i="4" s="1"/>
  <c r="F1010" i="1"/>
  <c r="F1010" i="4" s="1"/>
  <c r="D1011" i="1"/>
  <c r="D1011" i="4" s="1"/>
  <c r="E1011" i="1"/>
  <c r="E1011" i="4" s="1"/>
  <c r="F1011" i="1"/>
  <c r="F1011" i="4" s="1"/>
  <c r="D1012" i="1"/>
  <c r="D1012" i="4" s="1"/>
  <c r="E1012" i="1"/>
  <c r="E1012" i="4" s="1"/>
  <c r="F1012" i="1"/>
  <c r="F1012" i="4" s="1"/>
  <c r="D1013" i="1"/>
  <c r="D1013" i="4" s="1"/>
  <c r="E1013" i="1"/>
  <c r="E1013" i="4" s="1"/>
  <c r="F1013" i="1"/>
  <c r="F1013" i="4" s="1"/>
  <c r="D1014" i="1"/>
  <c r="D1014" i="4" s="1"/>
  <c r="E1014" i="1"/>
  <c r="E1014" i="4" s="1"/>
  <c r="F1014" i="1"/>
  <c r="F1014" i="4" s="1"/>
  <c r="D1015" i="1"/>
  <c r="D1015" i="4" s="1"/>
  <c r="E1015" i="1"/>
  <c r="E1015" i="4" s="1"/>
  <c r="F1015" i="1"/>
  <c r="F1015" i="4" s="1"/>
  <c r="D1016" i="1"/>
  <c r="D1016" i="4" s="1"/>
  <c r="E1016" i="1"/>
  <c r="E1016" i="4" s="1"/>
  <c r="F1016" i="1"/>
  <c r="F1016" i="4" s="1"/>
  <c r="D1017" i="1"/>
  <c r="D1017" i="4" s="1"/>
  <c r="E1017" i="1"/>
  <c r="E1017" i="4" s="1"/>
  <c r="F1017" i="1"/>
  <c r="F1017" i="4" s="1"/>
  <c r="D1018" i="1"/>
  <c r="D1018" i="4" s="1"/>
  <c r="E1018" i="1"/>
  <c r="E1018" i="4" s="1"/>
  <c r="F1018" i="1"/>
  <c r="F1018" i="4" s="1"/>
  <c r="D1019" i="1"/>
  <c r="D1019" i="4" s="1"/>
  <c r="E1019" i="1"/>
  <c r="E1019" i="4" s="1"/>
  <c r="F1019" i="1"/>
  <c r="F1019" i="4" s="1"/>
  <c r="D1020" i="1"/>
  <c r="D1020" i="4" s="1"/>
  <c r="E1020" i="1"/>
  <c r="E1020" i="4" s="1"/>
  <c r="F1020" i="1"/>
  <c r="F1020" i="4" s="1"/>
  <c r="D1021" i="1"/>
  <c r="D1021" i="4" s="1"/>
  <c r="E1021" i="1"/>
  <c r="E1021" i="4" s="1"/>
  <c r="F1021" i="1"/>
  <c r="F1021" i="4" s="1"/>
  <c r="D1022" i="1"/>
  <c r="D1022" i="4" s="1"/>
  <c r="E1022" i="1"/>
  <c r="E1022" i="4" s="1"/>
  <c r="F1022" i="1"/>
  <c r="F1022" i="4" s="1"/>
  <c r="D1023" i="1"/>
  <c r="D1023" i="4" s="1"/>
  <c r="E1023" i="1"/>
  <c r="E1023" i="4" s="1"/>
  <c r="F1023" i="1"/>
  <c r="F1023" i="4" s="1"/>
  <c r="D1024" i="1"/>
  <c r="D1024" i="4" s="1"/>
  <c r="E1024" i="1"/>
  <c r="E1024" i="4" s="1"/>
  <c r="F1024" i="1"/>
  <c r="F1024" i="4" s="1"/>
  <c r="D1025" i="1"/>
  <c r="D1025" i="4" s="1"/>
  <c r="E1025" i="1"/>
  <c r="E1025" i="4" s="1"/>
  <c r="F1025" i="1"/>
  <c r="F1025" i="4" s="1"/>
  <c r="D1026" i="1"/>
  <c r="D1026" i="4" s="1"/>
  <c r="E1026" i="1"/>
  <c r="E1026" i="4" s="1"/>
  <c r="F1026" i="1"/>
  <c r="F1026" i="4" s="1"/>
  <c r="D1027" i="1"/>
  <c r="D1027" i="4" s="1"/>
  <c r="E1027" i="1"/>
  <c r="E1027" i="4" s="1"/>
  <c r="F1027" i="1"/>
  <c r="F1027" i="4" s="1"/>
  <c r="D1028" i="1"/>
  <c r="D1028" i="4" s="1"/>
  <c r="E1028" i="1"/>
  <c r="E1028" i="4" s="1"/>
  <c r="F1028" i="1"/>
  <c r="F1028" i="4" s="1"/>
  <c r="D1029" i="1"/>
  <c r="D1029" i="4" s="1"/>
  <c r="E1029" i="1"/>
  <c r="E1029" i="4" s="1"/>
  <c r="F1029" i="1"/>
  <c r="F1029" i="4" s="1"/>
  <c r="D1030" i="1"/>
  <c r="D1030" i="4" s="1"/>
  <c r="E1030" i="1"/>
  <c r="E1030" i="4" s="1"/>
  <c r="F1030" i="1"/>
  <c r="F1030" i="4" s="1"/>
  <c r="D1031" i="1"/>
  <c r="D1031" i="4" s="1"/>
  <c r="E1031" i="1"/>
  <c r="E1031" i="4" s="1"/>
  <c r="F1031" i="1"/>
  <c r="F1031" i="4" s="1"/>
  <c r="D1032" i="1"/>
  <c r="D1032" i="4" s="1"/>
  <c r="E1032" i="1"/>
  <c r="E1032" i="4" s="1"/>
  <c r="F1032" i="1"/>
  <c r="F1032" i="4" s="1"/>
  <c r="D1033" i="1"/>
  <c r="D1033" i="4" s="1"/>
  <c r="E1033" i="1"/>
  <c r="E1033" i="4" s="1"/>
  <c r="F1033" i="1"/>
  <c r="F1033" i="4" s="1"/>
  <c r="D1034" i="1"/>
  <c r="D1034" i="4" s="1"/>
  <c r="E1034" i="1"/>
  <c r="E1034" i="4" s="1"/>
  <c r="F1034" i="1"/>
  <c r="F1034" i="4" s="1"/>
  <c r="D1035" i="1"/>
  <c r="D1035" i="4" s="1"/>
  <c r="E1035" i="1"/>
  <c r="E1035" i="4" s="1"/>
  <c r="F1035" i="1"/>
  <c r="F1035" i="4" s="1"/>
  <c r="D1036" i="1"/>
  <c r="D1036" i="4" s="1"/>
  <c r="E1036" i="1"/>
  <c r="E1036" i="4" s="1"/>
  <c r="F1036" i="1"/>
  <c r="F1036" i="4" s="1"/>
  <c r="D1037" i="1"/>
  <c r="D1037" i="4" s="1"/>
  <c r="E1037" i="1"/>
  <c r="E1037" i="4" s="1"/>
  <c r="F1037" i="1"/>
  <c r="F1037" i="4" s="1"/>
  <c r="D1038" i="1"/>
  <c r="D1038" i="4" s="1"/>
  <c r="E1038" i="1"/>
  <c r="E1038" i="4" s="1"/>
  <c r="F1038" i="1"/>
  <c r="F1038" i="4" s="1"/>
  <c r="D1039" i="1"/>
  <c r="D1039" i="4" s="1"/>
  <c r="E1039" i="1"/>
  <c r="E1039" i="4" s="1"/>
  <c r="F1039" i="1"/>
  <c r="F1039" i="4" s="1"/>
  <c r="D1040" i="1"/>
  <c r="D1040" i="4" s="1"/>
  <c r="E1040" i="1"/>
  <c r="E1040" i="4" s="1"/>
  <c r="F1040" i="1"/>
  <c r="F1040" i="4" s="1"/>
  <c r="D1041" i="1"/>
  <c r="D1041" i="4" s="1"/>
  <c r="E1041" i="1"/>
  <c r="E1041" i="4" s="1"/>
  <c r="F1041" i="1"/>
  <c r="F1041" i="4" s="1"/>
  <c r="D1042" i="1"/>
  <c r="D1042" i="4" s="1"/>
  <c r="E1042" i="1"/>
  <c r="E1042" i="4" s="1"/>
  <c r="F1042" i="1"/>
  <c r="F1042" i="4" s="1"/>
  <c r="D1043" i="1"/>
  <c r="D1043" i="4" s="1"/>
  <c r="E1043" i="1"/>
  <c r="E1043" i="4" s="1"/>
  <c r="F1043" i="1"/>
  <c r="F1043" i="4" s="1"/>
  <c r="D1044" i="1"/>
  <c r="D1044" i="4" s="1"/>
  <c r="E1044" i="1"/>
  <c r="E1044" i="4" s="1"/>
  <c r="F1044" i="1"/>
  <c r="F1044" i="4" s="1"/>
  <c r="D1045" i="1"/>
  <c r="D1045" i="4" s="1"/>
  <c r="E1045" i="1"/>
  <c r="E1045" i="4" s="1"/>
  <c r="F1045" i="1"/>
  <c r="F1045" i="4" s="1"/>
  <c r="D1046" i="1"/>
  <c r="D1046" i="4" s="1"/>
  <c r="E1046" i="1"/>
  <c r="E1046" i="4" s="1"/>
  <c r="F1046" i="1"/>
  <c r="F1046" i="4" s="1"/>
  <c r="D1047" i="1"/>
  <c r="D1047" i="4" s="1"/>
  <c r="E1047" i="1"/>
  <c r="E1047" i="4" s="1"/>
  <c r="F1047" i="1"/>
  <c r="F1047" i="4" s="1"/>
  <c r="D1048" i="1"/>
  <c r="D1048" i="4" s="1"/>
  <c r="E1048" i="1"/>
  <c r="E1048" i="4" s="1"/>
  <c r="F1048" i="1"/>
  <c r="F1048" i="4" s="1"/>
  <c r="D1049" i="1"/>
  <c r="D1049" i="4" s="1"/>
  <c r="E1049" i="1"/>
  <c r="E1049" i="4" s="1"/>
  <c r="F1049" i="1"/>
  <c r="F1049" i="4" s="1"/>
  <c r="D1050" i="1"/>
  <c r="D1050" i="4" s="1"/>
  <c r="E1050" i="1"/>
  <c r="E1050" i="4" s="1"/>
  <c r="F1050" i="1"/>
  <c r="F1050" i="4" s="1"/>
  <c r="D1051" i="1"/>
  <c r="D1051" i="4" s="1"/>
  <c r="E1051" i="1"/>
  <c r="E1051" i="4" s="1"/>
  <c r="F1051" i="1"/>
  <c r="F1051" i="4" s="1"/>
  <c r="D1052" i="1"/>
  <c r="D1052" i="4" s="1"/>
  <c r="E1052" i="1"/>
  <c r="E1052" i="4" s="1"/>
  <c r="F1052" i="1"/>
  <c r="F1052" i="4" s="1"/>
  <c r="D1053" i="1"/>
  <c r="D1053" i="4" s="1"/>
  <c r="E1053" i="1"/>
  <c r="E1053" i="4" s="1"/>
  <c r="F1053" i="1"/>
  <c r="F1053" i="4" s="1"/>
  <c r="D1054" i="1"/>
  <c r="D1054" i="4" s="1"/>
  <c r="E1054" i="1"/>
  <c r="E1054" i="4" s="1"/>
  <c r="F1054" i="1"/>
  <c r="F1054" i="4" s="1"/>
  <c r="D1055" i="1"/>
  <c r="D1055" i="4" s="1"/>
  <c r="E1055" i="1"/>
  <c r="E1055" i="4" s="1"/>
  <c r="F1055" i="1"/>
  <c r="F1055" i="4" s="1"/>
  <c r="D1056" i="1"/>
  <c r="D1056" i="4" s="1"/>
  <c r="E1056" i="1"/>
  <c r="E1056" i="4" s="1"/>
  <c r="F1056" i="1"/>
  <c r="F1056" i="4" s="1"/>
  <c r="D1057" i="1"/>
  <c r="D1057" i="4" s="1"/>
  <c r="E1057" i="1"/>
  <c r="E1057" i="4" s="1"/>
  <c r="F1057" i="1"/>
  <c r="F1057" i="4" s="1"/>
  <c r="D1058" i="1"/>
  <c r="D1058" i="4" s="1"/>
  <c r="E1058" i="1"/>
  <c r="E1058" i="4" s="1"/>
  <c r="F1058" i="1"/>
  <c r="F1058" i="4" s="1"/>
  <c r="D1059" i="1"/>
  <c r="D1059" i="4" s="1"/>
  <c r="E1059" i="1"/>
  <c r="E1059" i="4" s="1"/>
  <c r="F1059" i="1"/>
  <c r="F1059" i="4" s="1"/>
  <c r="D1060" i="1"/>
  <c r="D1060" i="4" s="1"/>
  <c r="E1060" i="1"/>
  <c r="E1060" i="4" s="1"/>
  <c r="F1060" i="1"/>
  <c r="F1060" i="4" s="1"/>
  <c r="D1061" i="1"/>
  <c r="D1061" i="4" s="1"/>
  <c r="E1061" i="1"/>
  <c r="E1061" i="4" s="1"/>
  <c r="F1061" i="1"/>
  <c r="F1061" i="4" s="1"/>
  <c r="D1062" i="1"/>
  <c r="D1062" i="4" s="1"/>
  <c r="E1062" i="1"/>
  <c r="E1062" i="4" s="1"/>
  <c r="F1062" i="1"/>
  <c r="F1062" i="4" s="1"/>
  <c r="D1063" i="1"/>
  <c r="D1063" i="4" s="1"/>
  <c r="E1063" i="1"/>
  <c r="E1063" i="4" s="1"/>
  <c r="F1063" i="1"/>
  <c r="F1063" i="4" s="1"/>
  <c r="D1064" i="1"/>
  <c r="D1064" i="4" s="1"/>
  <c r="E1064" i="1"/>
  <c r="E1064" i="4" s="1"/>
  <c r="F1064" i="1"/>
  <c r="F1064" i="4" s="1"/>
  <c r="D1065" i="1"/>
  <c r="D1065" i="4" s="1"/>
  <c r="E1065" i="1"/>
  <c r="E1065" i="4" s="1"/>
  <c r="F1065" i="1"/>
  <c r="F1065" i="4" s="1"/>
  <c r="D1066" i="1"/>
  <c r="D1066" i="4" s="1"/>
  <c r="E1066" i="1"/>
  <c r="E1066" i="4" s="1"/>
  <c r="F1066" i="1"/>
  <c r="F1066" i="4" s="1"/>
  <c r="D1067" i="1"/>
  <c r="D1067" i="4" s="1"/>
  <c r="E1067" i="1"/>
  <c r="E1067" i="4" s="1"/>
  <c r="F1067" i="1"/>
  <c r="F1067" i="4" s="1"/>
  <c r="D1068" i="1"/>
  <c r="D1068" i="4" s="1"/>
  <c r="E1068" i="1"/>
  <c r="E1068" i="4" s="1"/>
  <c r="F1068" i="1"/>
  <c r="F1068" i="4" s="1"/>
  <c r="D1069" i="1"/>
  <c r="D1069" i="4" s="1"/>
  <c r="E1069" i="1"/>
  <c r="E1069" i="4" s="1"/>
  <c r="F1069" i="1"/>
  <c r="F1069" i="4" s="1"/>
  <c r="D1070" i="1"/>
  <c r="D1070" i="4" s="1"/>
  <c r="E1070" i="1"/>
  <c r="E1070" i="4" s="1"/>
  <c r="F1070" i="1"/>
  <c r="F1070" i="4" s="1"/>
  <c r="D1071" i="1"/>
  <c r="D1071" i="4" s="1"/>
  <c r="E1071" i="1"/>
  <c r="E1071" i="4" s="1"/>
  <c r="F1071" i="1"/>
  <c r="F1071" i="4" s="1"/>
  <c r="D1072" i="1"/>
  <c r="D1072" i="4" s="1"/>
  <c r="E1072" i="1"/>
  <c r="E1072" i="4" s="1"/>
  <c r="F1072" i="1"/>
  <c r="F1072" i="4" s="1"/>
  <c r="D1073" i="1"/>
  <c r="D1073" i="4" s="1"/>
  <c r="E1073" i="1"/>
  <c r="E1073" i="4" s="1"/>
  <c r="F1073" i="1"/>
  <c r="F1073" i="4" s="1"/>
  <c r="D1074" i="1"/>
  <c r="D1074" i="4" s="1"/>
  <c r="E1074" i="1"/>
  <c r="E1074" i="4" s="1"/>
  <c r="F1074" i="1"/>
  <c r="F1074" i="4" s="1"/>
  <c r="D1075" i="1"/>
  <c r="D1075" i="4" s="1"/>
  <c r="E1075" i="1"/>
  <c r="E1075" i="4" s="1"/>
  <c r="F1075" i="1"/>
  <c r="F1075" i="4" s="1"/>
  <c r="D1076" i="1"/>
  <c r="D1076" i="4" s="1"/>
  <c r="E1076" i="1"/>
  <c r="E1076" i="4" s="1"/>
  <c r="F1076" i="1"/>
  <c r="F1076" i="4" s="1"/>
  <c r="D1077" i="1"/>
  <c r="D1077" i="4" s="1"/>
  <c r="E1077" i="1"/>
  <c r="E1077" i="4" s="1"/>
  <c r="F1077" i="1"/>
  <c r="F1077" i="4" s="1"/>
  <c r="D1078" i="1"/>
  <c r="D1078" i="4" s="1"/>
  <c r="E1078" i="1"/>
  <c r="E1078" i="4" s="1"/>
  <c r="F1078" i="1"/>
  <c r="F1078" i="4" s="1"/>
  <c r="D1079" i="1"/>
  <c r="D1079" i="4" s="1"/>
  <c r="E1079" i="1"/>
  <c r="E1079" i="4" s="1"/>
  <c r="F1079" i="1"/>
  <c r="F1079" i="4" s="1"/>
  <c r="D1080" i="1"/>
  <c r="D1080" i="4" s="1"/>
  <c r="E1080" i="1"/>
  <c r="E1080" i="4" s="1"/>
  <c r="F1080" i="1"/>
  <c r="F1080" i="4" s="1"/>
  <c r="D1081" i="1"/>
  <c r="D1081" i="4" s="1"/>
  <c r="E1081" i="1"/>
  <c r="E1081" i="4" s="1"/>
  <c r="F1081" i="1"/>
  <c r="F1081" i="4" s="1"/>
  <c r="D1082" i="1"/>
  <c r="D1082" i="4" s="1"/>
  <c r="E1082" i="1"/>
  <c r="E1082" i="4" s="1"/>
  <c r="F1082" i="1"/>
  <c r="F1082" i="4" s="1"/>
  <c r="D1083" i="1"/>
  <c r="D1083" i="4" s="1"/>
  <c r="E1083" i="1"/>
  <c r="E1083" i="4" s="1"/>
  <c r="F1083" i="1"/>
  <c r="F1083" i="4" s="1"/>
  <c r="D1084" i="1"/>
  <c r="D1084" i="4" s="1"/>
  <c r="E1084" i="1"/>
  <c r="E1084" i="4" s="1"/>
  <c r="F1084" i="1"/>
  <c r="F1084" i="4" s="1"/>
  <c r="D1085" i="1"/>
  <c r="D1085" i="4" s="1"/>
  <c r="E1085" i="1"/>
  <c r="E1085" i="4" s="1"/>
  <c r="F1085" i="1"/>
  <c r="F1085" i="4" s="1"/>
  <c r="D1086" i="1"/>
  <c r="D1086" i="4" s="1"/>
  <c r="E1086" i="1"/>
  <c r="E1086" i="4" s="1"/>
  <c r="F1086" i="1"/>
  <c r="F1086" i="4" s="1"/>
  <c r="D1087" i="1"/>
  <c r="D1087" i="4" s="1"/>
  <c r="E1087" i="1"/>
  <c r="E1087" i="4" s="1"/>
  <c r="F1087" i="1"/>
  <c r="F1087" i="4" s="1"/>
  <c r="D1088" i="1"/>
  <c r="D1088" i="4" s="1"/>
  <c r="E1088" i="1"/>
  <c r="E1088" i="4" s="1"/>
  <c r="F1088" i="1"/>
  <c r="F1088" i="4" s="1"/>
  <c r="D1089" i="1"/>
  <c r="D1089" i="4" s="1"/>
  <c r="E1089" i="1"/>
  <c r="E1089" i="4" s="1"/>
  <c r="F1089" i="1"/>
  <c r="F1089" i="4" s="1"/>
  <c r="D1090" i="1"/>
  <c r="D1090" i="4" s="1"/>
  <c r="E1090" i="1"/>
  <c r="E1090" i="4" s="1"/>
  <c r="F1090" i="1"/>
  <c r="F1090" i="4" s="1"/>
  <c r="D1091" i="1"/>
  <c r="D1091" i="4" s="1"/>
  <c r="E1091" i="1"/>
  <c r="E1091" i="4" s="1"/>
  <c r="F1091" i="1"/>
  <c r="F1091" i="4" s="1"/>
  <c r="D1092" i="1"/>
  <c r="D1092" i="4" s="1"/>
  <c r="E1092" i="1"/>
  <c r="E1092" i="4" s="1"/>
  <c r="F1092" i="1"/>
  <c r="F1092" i="4" s="1"/>
  <c r="D1093" i="1"/>
  <c r="D1093" i="4" s="1"/>
  <c r="E1093" i="1"/>
  <c r="E1093" i="4" s="1"/>
  <c r="F1093" i="1"/>
  <c r="F1093" i="4" s="1"/>
  <c r="D1094" i="1"/>
  <c r="D1094" i="4" s="1"/>
  <c r="E1094" i="1"/>
  <c r="E1094" i="4" s="1"/>
  <c r="F1094" i="1"/>
  <c r="F1094" i="4" s="1"/>
  <c r="D1095" i="1"/>
  <c r="D1095" i="4" s="1"/>
  <c r="E1095" i="1"/>
  <c r="E1095" i="4" s="1"/>
  <c r="F1095" i="1"/>
  <c r="F1095" i="4" s="1"/>
  <c r="D1096" i="1"/>
  <c r="D1096" i="4" s="1"/>
  <c r="E1096" i="1"/>
  <c r="E1096" i="4" s="1"/>
  <c r="F1096" i="1"/>
  <c r="F1096" i="4" s="1"/>
  <c r="D1097" i="1"/>
  <c r="D1097" i="4" s="1"/>
  <c r="E1097" i="1"/>
  <c r="E1097" i="4" s="1"/>
  <c r="F1097" i="1"/>
  <c r="F1097" i="4" s="1"/>
  <c r="D1098" i="1"/>
  <c r="D1098" i="4" s="1"/>
  <c r="E1098" i="1"/>
  <c r="E1098" i="4" s="1"/>
  <c r="F1098" i="1"/>
  <c r="F1098" i="4" s="1"/>
  <c r="D1099" i="1"/>
  <c r="D1099" i="4" s="1"/>
  <c r="E1099" i="1"/>
  <c r="E1099" i="4" s="1"/>
  <c r="F1099" i="1"/>
  <c r="F1099" i="4" s="1"/>
  <c r="D1100" i="1"/>
  <c r="D1100" i="4" s="1"/>
  <c r="E1100" i="1"/>
  <c r="E1100" i="4" s="1"/>
  <c r="F1100" i="1"/>
  <c r="F1100" i="4" s="1"/>
  <c r="D1101" i="1"/>
  <c r="D1101" i="4" s="1"/>
  <c r="E1101" i="1"/>
  <c r="E1101" i="4" s="1"/>
  <c r="F1101" i="1"/>
  <c r="F1101" i="4" s="1"/>
  <c r="D1102" i="1"/>
  <c r="D1102" i="4" s="1"/>
  <c r="E1102" i="1"/>
  <c r="E1102" i="4" s="1"/>
  <c r="F1102" i="1"/>
  <c r="F1102" i="4" s="1"/>
  <c r="D1103" i="1"/>
  <c r="D1103" i="4" s="1"/>
  <c r="E1103" i="1"/>
  <c r="E1103" i="4" s="1"/>
  <c r="F1103" i="1"/>
  <c r="F1103" i="4" s="1"/>
  <c r="D1104" i="1"/>
  <c r="D1104" i="4" s="1"/>
  <c r="E1104" i="1"/>
  <c r="E1104" i="4" s="1"/>
  <c r="F1104" i="1"/>
  <c r="F1104" i="4" s="1"/>
  <c r="D1105" i="1"/>
  <c r="D1105" i="4" s="1"/>
  <c r="E1105" i="1"/>
  <c r="E1105" i="4" s="1"/>
  <c r="F1105" i="1"/>
  <c r="F1105" i="4" s="1"/>
  <c r="D1106" i="1"/>
  <c r="D1106" i="4" s="1"/>
  <c r="E1106" i="1"/>
  <c r="E1106" i="4" s="1"/>
  <c r="F1106" i="1"/>
  <c r="F1106" i="4" s="1"/>
  <c r="D1107" i="1"/>
  <c r="D1107" i="4" s="1"/>
  <c r="E1107" i="1"/>
  <c r="E1107" i="4" s="1"/>
  <c r="F1107" i="1"/>
  <c r="F1107" i="4" s="1"/>
  <c r="D1108" i="1"/>
  <c r="D1108" i="4" s="1"/>
  <c r="E1108" i="1"/>
  <c r="E1108" i="4" s="1"/>
  <c r="F1108" i="1"/>
  <c r="F1108" i="4" s="1"/>
  <c r="D1109" i="1"/>
  <c r="D1109" i="4" s="1"/>
  <c r="E1109" i="1"/>
  <c r="E1109" i="4" s="1"/>
  <c r="F1109" i="1"/>
  <c r="F1109" i="4" s="1"/>
  <c r="D1110" i="1"/>
  <c r="D1110" i="4" s="1"/>
  <c r="E1110" i="1"/>
  <c r="E1110" i="4" s="1"/>
  <c r="F1110" i="1"/>
  <c r="F1110" i="4" s="1"/>
  <c r="D1111" i="1"/>
  <c r="D1111" i="4" s="1"/>
  <c r="E1111" i="1"/>
  <c r="E1111" i="4" s="1"/>
  <c r="F1111" i="1"/>
  <c r="F1111" i="4" s="1"/>
  <c r="D1112" i="1"/>
  <c r="D1112" i="4" s="1"/>
  <c r="E1112" i="1"/>
  <c r="E1112" i="4" s="1"/>
  <c r="F1112" i="1"/>
  <c r="F1112" i="4" s="1"/>
  <c r="D1113" i="1"/>
  <c r="D1113" i="4" s="1"/>
  <c r="E1113" i="1"/>
  <c r="E1113" i="4" s="1"/>
  <c r="F1113" i="1"/>
  <c r="F1113" i="4" s="1"/>
  <c r="D1114" i="1"/>
  <c r="D1114" i="4" s="1"/>
  <c r="E1114" i="1"/>
  <c r="E1114" i="4" s="1"/>
  <c r="F1114" i="1"/>
  <c r="F1114" i="4" s="1"/>
  <c r="D1115" i="1"/>
  <c r="D1115" i="4" s="1"/>
  <c r="E1115" i="1"/>
  <c r="E1115" i="4" s="1"/>
  <c r="F1115" i="1"/>
  <c r="F1115" i="4" s="1"/>
  <c r="D1116" i="1"/>
  <c r="D1116" i="4" s="1"/>
  <c r="E1116" i="1"/>
  <c r="E1116" i="4" s="1"/>
  <c r="F1116" i="1"/>
  <c r="F1116" i="4" s="1"/>
  <c r="D1117" i="1"/>
  <c r="D1117" i="4" s="1"/>
  <c r="E1117" i="1"/>
  <c r="E1117" i="4" s="1"/>
  <c r="F1117" i="1"/>
  <c r="F1117" i="4" s="1"/>
  <c r="D1118" i="1"/>
  <c r="D1118" i="4" s="1"/>
  <c r="E1118" i="1"/>
  <c r="E1118" i="4" s="1"/>
  <c r="F1118" i="1"/>
  <c r="F1118" i="4" s="1"/>
  <c r="D1119" i="1"/>
  <c r="D1119" i="4" s="1"/>
  <c r="E1119" i="1"/>
  <c r="E1119" i="4" s="1"/>
  <c r="F1119" i="1"/>
  <c r="F1119" i="4" s="1"/>
  <c r="D1120" i="1"/>
  <c r="D1120" i="4" s="1"/>
  <c r="E1120" i="1"/>
  <c r="E1120" i="4" s="1"/>
  <c r="F1120" i="1"/>
  <c r="F1120" i="4" s="1"/>
  <c r="D1121" i="1"/>
  <c r="D1121" i="4" s="1"/>
  <c r="E1121" i="1"/>
  <c r="E1121" i="4" s="1"/>
  <c r="F1121" i="1"/>
  <c r="F1121" i="4" s="1"/>
  <c r="D1122" i="1"/>
  <c r="D1122" i="4" s="1"/>
  <c r="E1122" i="1"/>
  <c r="E1122" i="4" s="1"/>
  <c r="F1122" i="1"/>
  <c r="F1122" i="4" s="1"/>
  <c r="D1123" i="1"/>
  <c r="D1123" i="4" s="1"/>
  <c r="E1123" i="1"/>
  <c r="E1123" i="4" s="1"/>
  <c r="F1123" i="1"/>
  <c r="F1123" i="4" s="1"/>
  <c r="D1124" i="1"/>
  <c r="D1124" i="4" s="1"/>
  <c r="E1124" i="1"/>
  <c r="E1124" i="4" s="1"/>
  <c r="F1124" i="1"/>
  <c r="F1124" i="4" s="1"/>
  <c r="D1125" i="1"/>
  <c r="D1125" i="4" s="1"/>
  <c r="E1125" i="1"/>
  <c r="E1125" i="4" s="1"/>
  <c r="F1125" i="1"/>
  <c r="F1125" i="4" s="1"/>
  <c r="D1126" i="1"/>
  <c r="D1126" i="4" s="1"/>
  <c r="E1126" i="1"/>
  <c r="E1126" i="4" s="1"/>
  <c r="F1126" i="1"/>
  <c r="F1126" i="4" s="1"/>
  <c r="D1127" i="1"/>
  <c r="D1127" i="4" s="1"/>
  <c r="E1127" i="1"/>
  <c r="E1127" i="4" s="1"/>
  <c r="F1127" i="1"/>
  <c r="F1127" i="4" s="1"/>
  <c r="D1128" i="1"/>
  <c r="D1128" i="4" s="1"/>
  <c r="E1128" i="1"/>
  <c r="E1128" i="4" s="1"/>
  <c r="F1128" i="1"/>
  <c r="F1128" i="4" s="1"/>
  <c r="D1129" i="1"/>
  <c r="D1129" i="4" s="1"/>
  <c r="E1129" i="1"/>
  <c r="E1129" i="4" s="1"/>
  <c r="F1129" i="1"/>
  <c r="F1129" i="4" s="1"/>
  <c r="D1130" i="1"/>
  <c r="D1130" i="4" s="1"/>
  <c r="E1130" i="1"/>
  <c r="E1130" i="4" s="1"/>
  <c r="F1130" i="1"/>
  <c r="F1130" i="4" s="1"/>
  <c r="D1131" i="1"/>
  <c r="D1131" i="4" s="1"/>
  <c r="E1131" i="1"/>
  <c r="E1131" i="4" s="1"/>
  <c r="F1131" i="1"/>
  <c r="F1131" i="4" s="1"/>
  <c r="D1132" i="1"/>
  <c r="D1132" i="4" s="1"/>
  <c r="E1132" i="1"/>
  <c r="E1132" i="4" s="1"/>
  <c r="F1132" i="1"/>
  <c r="F1132" i="4" s="1"/>
  <c r="D1133" i="1"/>
  <c r="D1133" i="4" s="1"/>
  <c r="E1133" i="1"/>
  <c r="E1133" i="4" s="1"/>
  <c r="F1133" i="1"/>
  <c r="F1133" i="4" s="1"/>
  <c r="D1134" i="1"/>
  <c r="D1134" i="4" s="1"/>
  <c r="E1134" i="1"/>
  <c r="E1134" i="4" s="1"/>
  <c r="F1134" i="1"/>
  <c r="F1134" i="4" s="1"/>
  <c r="D1135" i="1"/>
  <c r="D1135" i="4" s="1"/>
  <c r="E1135" i="1"/>
  <c r="E1135" i="4" s="1"/>
  <c r="F1135" i="1"/>
  <c r="F1135" i="4" s="1"/>
  <c r="D1136" i="1"/>
  <c r="D1136" i="4" s="1"/>
  <c r="E1136" i="1"/>
  <c r="E1136" i="4" s="1"/>
  <c r="F1136" i="1"/>
  <c r="F1136" i="4" s="1"/>
  <c r="D1137" i="1"/>
  <c r="D1137" i="4" s="1"/>
  <c r="E1137" i="1"/>
  <c r="E1137" i="4" s="1"/>
  <c r="F1137" i="1"/>
  <c r="F1137" i="4" s="1"/>
  <c r="D1138" i="1"/>
  <c r="D1138" i="4" s="1"/>
  <c r="E1138" i="1"/>
  <c r="E1138" i="4" s="1"/>
  <c r="F1138" i="1"/>
  <c r="F1138" i="4" s="1"/>
  <c r="D1139" i="1"/>
  <c r="D1139" i="4" s="1"/>
  <c r="E1139" i="1"/>
  <c r="E1139" i="4" s="1"/>
  <c r="F1139" i="1"/>
  <c r="F1139" i="4" s="1"/>
  <c r="D1140" i="1"/>
  <c r="D1140" i="4" s="1"/>
  <c r="E1140" i="1"/>
  <c r="E1140" i="4" s="1"/>
  <c r="F1140" i="1"/>
  <c r="F1140" i="4" s="1"/>
  <c r="D1141" i="1"/>
  <c r="D1141" i="4" s="1"/>
  <c r="E1141" i="1"/>
  <c r="E1141" i="4" s="1"/>
  <c r="F1141" i="1"/>
  <c r="F1141" i="4" s="1"/>
  <c r="D1142" i="1"/>
  <c r="D1142" i="4" s="1"/>
  <c r="E1142" i="1"/>
  <c r="E1142" i="4" s="1"/>
  <c r="F1142" i="1"/>
  <c r="F1142" i="4" s="1"/>
  <c r="D1143" i="1"/>
  <c r="D1143" i="4" s="1"/>
  <c r="E1143" i="1"/>
  <c r="E1143" i="4" s="1"/>
  <c r="F1143" i="1"/>
  <c r="F1143" i="4" s="1"/>
  <c r="D1144" i="1"/>
  <c r="D1144" i="4" s="1"/>
  <c r="E1144" i="1"/>
  <c r="E1144" i="4" s="1"/>
  <c r="F1144" i="1"/>
  <c r="F1144" i="4" s="1"/>
  <c r="D1145" i="1"/>
  <c r="D1145" i="4" s="1"/>
  <c r="E1145" i="1"/>
  <c r="E1145" i="4" s="1"/>
  <c r="F1145" i="1"/>
  <c r="F1145" i="4" s="1"/>
  <c r="D1146" i="1"/>
  <c r="D1146" i="4" s="1"/>
  <c r="E1146" i="1"/>
  <c r="E1146" i="4" s="1"/>
  <c r="F1146" i="1"/>
  <c r="F1146" i="4" s="1"/>
  <c r="D1147" i="1"/>
  <c r="D1147" i="4" s="1"/>
  <c r="E1147" i="1"/>
  <c r="E1147" i="4" s="1"/>
  <c r="F1147" i="1"/>
  <c r="F1147" i="4" s="1"/>
  <c r="D1148" i="1"/>
  <c r="D1148" i="4" s="1"/>
  <c r="E1148" i="1"/>
  <c r="E1148" i="4" s="1"/>
  <c r="F1148" i="1"/>
  <c r="F1148" i="4" s="1"/>
  <c r="D1149" i="1"/>
  <c r="D1149" i="4" s="1"/>
  <c r="E1149" i="1"/>
  <c r="E1149" i="4" s="1"/>
  <c r="F1149" i="1"/>
  <c r="F1149" i="4" s="1"/>
  <c r="D1150" i="1"/>
  <c r="D1150" i="4" s="1"/>
  <c r="E1150" i="1"/>
  <c r="E1150" i="4" s="1"/>
  <c r="F1150" i="1"/>
  <c r="F1150" i="4" s="1"/>
  <c r="D1151" i="1"/>
  <c r="D1151" i="4" s="1"/>
  <c r="E1151" i="1"/>
  <c r="E1151" i="4" s="1"/>
  <c r="F1151" i="1"/>
  <c r="F1151" i="4" s="1"/>
  <c r="D1152" i="1"/>
  <c r="D1152" i="4" s="1"/>
  <c r="E1152" i="1"/>
  <c r="E1152" i="4" s="1"/>
  <c r="F1152" i="1"/>
  <c r="F1152" i="4" s="1"/>
  <c r="D1153" i="1"/>
  <c r="D1153" i="4" s="1"/>
  <c r="E1153" i="1"/>
  <c r="E1153" i="4" s="1"/>
  <c r="F1153" i="1"/>
  <c r="F1153" i="4" s="1"/>
  <c r="D1154" i="1"/>
  <c r="D1154" i="4" s="1"/>
  <c r="E1154" i="1"/>
  <c r="E1154" i="4" s="1"/>
  <c r="F1154" i="1"/>
  <c r="F1154" i="4" s="1"/>
  <c r="D1155" i="1"/>
  <c r="D1155" i="4" s="1"/>
  <c r="E1155" i="1"/>
  <c r="E1155" i="4" s="1"/>
  <c r="F1155" i="1"/>
  <c r="F1155" i="4" s="1"/>
  <c r="D1156" i="1"/>
  <c r="D1156" i="4" s="1"/>
  <c r="E1156" i="1"/>
  <c r="E1156" i="4" s="1"/>
  <c r="F1156" i="1"/>
  <c r="F1156" i="4" s="1"/>
  <c r="D1157" i="1"/>
  <c r="D1157" i="4" s="1"/>
  <c r="E1157" i="1"/>
  <c r="E1157" i="4" s="1"/>
  <c r="F1157" i="1"/>
  <c r="F1157" i="4" s="1"/>
  <c r="D1158" i="1"/>
  <c r="D1158" i="4" s="1"/>
  <c r="E1158" i="1"/>
  <c r="E1158" i="4" s="1"/>
  <c r="F1158" i="1"/>
  <c r="F1158" i="4" s="1"/>
  <c r="D1159" i="1"/>
  <c r="D1159" i="4" s="1"/>
  <c r="E1159" i="1"/>
  <c r="E1159" i="4" s="1"/>
  <c r="F1159" i="1"/>
  <c r="F1159" i="4" s="1"/>
  <c r="D1160" i="1"/>
  <c r="D1160" i="4" s="1"/>
  <c r="E1160" i="1"/>
  <c r="E1160" i="4" s="1"/>
  <c r="F1160" i="1"/>
  <c r="F1160" i="4" s="1"/>
  <c r="D1161" i="1"/>
  <c r="D1161" i="4" s="1"/>
  <c r="E1161" i="1"/>
  <c r="E1161" i="4" s="1"/>
  <c r="F1161" i="1"/>
  <c r="F1161" i="4" s="1"/>
  <c r="D1162" i="1"/>
  <c r="D1162" i="4" s="1"/>
  <c r="E1162" i="1"/>
  <c r="E1162" i="4" s="1"/>
  <c r="F1162" i="1"/>
  <c r="F1162" i="4" s="1"/>
  <c r="D1163" i="1"/>
  <c r="D1163" i="4" s="1"/>
  <c r="E1163" i="1"/>
  <c r="E1163" i="4" s="1"/>
  <c r="F1163" i="1"/>
  <c r="F1163" i="4" s="1"/>
  <c r="D1164" i="1"/>
  <c r="D1164" i="4" s="1"/>
  <c r="E1164" i="1"/>
  <c r="E1164" i="4" s="1"/>
  <c r="F1164" i="1"/>
  <c r="F1164" i="4" s="1"/>
  <c r="D1165" i="1"/>
  <c r="D1165" i="4" s="1"/>
  <c r="E1165" i="1"/>
  <c r="E1165" i="4" s="1"/>
  <c r="F1165" i="1"/>
  <c r="F1165" i="4" s="1"/>
  <c r="D1166" i="1"/>
  <c r="D1166" i="4" s="1"/>
  <c r="E1166" i="1"/>
  <c r="E1166" i="4" s="1"/>
  <c r="F1166" i="1"/>
  <c r="F1166" i="4" s="1"/>
  <c r="D1167" i="1"/>
  <c r="D1167" i="4" s="1"/>
  <c r="E1167" i="1"/>
  <c r="E1167" i="4" s="1"/>
  <c r="F1167" i="1"/>
  <c r="F1167" i="4" s="1"/>
  <c r="D1168" i="1"/>
  <c r="D1168" i="4" s="1"/>
  <c r="E1168" i="1"/>
  <c r="E1168" i="4" s="1"/>
  <c r="F1168" i="1"/>
  <c r="F1168" i="4" s="1"/>
  <c r="D1169" i="1"/>
  <c r="D1169" i="4" s="1"/>
  <c r="E1169" i="1"/>
  <c r="E1169" i="4" s="1"/>
  <c r="F1169" i="1"/>
  <c r="F1169" i="4" s="1"/>
  <c r="D1170" i="1"/>
  <c r="D1170" i="4" s="1"/>
  <c r="E1170" i="1"/>
  <c r="E1170" i="4" s="1"/>
  <c r="F1170" i="1"/>
  <c r="F1170" i="4" s="1"/>
  <c r="D1171" i="1"/>
  <c r="D1171" i="4" s="1"/>
  <c r="E1171" i="1"/>
  <c r="E1171" i="4" s="1"/>
  <c r="F1171" i="1"/>
  <c r="F1171" i="4" s="1"/>
  <c r="D1172" i="1"/>
  <c r="D1172" i="4" s="1"/>
  <c r="E1172" i="1"/>
  <c r="E1172" i="4" s="1"/>
  <c r="F1172" i="1"/>
  <c r="F1172" i="4" s="1"/>
  <c r="D1173" i="1"/>
  <c r="D1173" i="4" s="1"/>
  <c r="E1173" i="1"/>
  <c r="E1173" i="4" s="1"/>
  <c r="F1173" i="1"/>
  <c r="F1173" i="4" s="1"/>
  <c r="D1174" i="1"/>
  <c r="D1174" i="4" s="1"/>
  <c r="E1174" i="1"/>
  <c r="E1174" i="4" s="1"/>
  <c r="F1174" i="1"/>
  <c r="F1174" i="4" s="1"/>
  <c r="D1175" i="1"/>
  <c r="D1175" i="4" s="1"/>
  <c r="E1175" i="1"/>
  <c r="E1175" i="4" s="1"/>
  <c r="F1175" i="1"/>
  <c r="F1175" i="4" s="1"/>
  <c r="D1176" i="1"/>
  <c r="D1176" i="4" s="1"/>
  <c r="E1176" i="1"/>
  <c r="E1176" i="4" s="1"/>
  <c r="F1176" i="1"/>
  <c r="F1176" i="4" s="1"/>
  <c r="D1177" i="1"/>
  <c r="D1177" i="4" s="1"/>
  <c r="E1177" i="1"/>
  <c r="E1177" i="4" s="1"/>
  <c r="F1177" i="1"/>
  <c r="F1177" i="4" s="1"/>
  <c r="D1178" i="1"/>
  <c r="D1178" i="4" s="1"/>
  <c r="E1178" i="1"/>
  <c r="E1178" i="4" s="1"/>
  <c r="F1178" i="1"/>
  <c r="F1178" i="4" s="1"/>
  <c r="D1179" i="1"/>
  <c r="D1179" i="4" s="1"/>
  <c r="E1179" i="1"/>
  <c r="E1179" i="4" s="1"/>
  <c r="F1179" i="1"/>
  <c r="F1179" i="4" s="1"/>
  <c r="D1180" i="1"/>
  <c r="D1180" i="4" s="1"/>
  <c r="E1180" i="1"/>
  <c r="E1180" i="4" s="1"/>
  <c r="F1180" i="1"/>
  <c r="F1180" i="4" s="1"/>
  <c r="D1181" i="1"/>
  <c r="D1181" i="4" s="1"/>
  <c r="E1181" i="1"/>
  <c r="E1181" i="4" s="1"/>
  <c r="F1181" i="1"/>
  <c r="F1181" i="4" s="1"/>
  <c r="D1182" i="1"/>
  <c r="D1182" i="4" s="1"/>
  <c r="E1182" i="1"/>
  <c r="E1182" i="4" s="1"/>
  <c r="F1182" i="1"/>
  <c r="F1182" i="4" s="1"/>
  <c r="D1183" i="1"/>
  <c r="D1183" i="4" s="1"/>
  <c r="E1183" i="1"/>
  <c r="E1183" i="4" s="1"/>
  <c r="F1183" i="1"/>
  <c r="F1183" i="4" s="1"/>
  <c r="D1184" i="1"/>
  <c r="D1184" i="4" s="1"/>
  <c r="E1184" i="1"/>
  <c r="E1184" i="4" s="1"/>
  <c r="F1184" i="1"/>
  <c r="F1184" i="4" s="1"/>
  <c r="D1185" i="1"/>
  <c r="D1185" i="4" s="1"/>
  <c r="E1185" i="1"/>
  <c r="E1185" i="4" s="1"/>
  <c r="F1185" i="1"/>
  <c r="F1185" i="4" s="1"/>
  <c r="D1186" i="1"/>
  <c r="D1186" i="4" s="1"/>
  <c r="E1186" i="1"/>
  <c r="E1186" i="4" s="1"/>
  <c r="F1186" i="1"/>
  <c r="F1186" i="4" s="1"/>
  <c r="D1187" i="1"/>
  <c r="D1187" i="4" s="1"/>
  <c r="E1187" i="1"/>
  <c r="E1187" i="4" s="1"/>
  <c r="F1187" i="1"/>
  <c r="F1187" i="4" s="1"/>
  <c r="D1188" i="1"/>
  <c r="D1188" i="4" s="1"/>
  <c r="E1188" i="1"/>
  <c r="E1188" i="4" s="1"/>
  <c r="F1188" i="1"/>
  <c r="F1188" i="4" s="1"/>
  <c r="D1189" i="1"/>
  <c r="D1189" i="4" s="1"/>
  <c r="E1189" i="1"/>
  <c r="E1189" i="4" s="1"/>
  <c r="F1189" i="1"/>
  <c r="F1189" i="4" s="1"/>
  <c r="D1190" i="1"/>
  <c r="D1190" i="4" s="1"/>
  <c r="E1190" i="1"/>
  <c r="E1190" i="4" s="1"/>
  <c r="F1190" i="1"/>
  <c r="F1190" i="4" s="1"/>
  <c r="D1191" i="1"/>
  <c r="D1191" i="4" s="1"/>
  <c r="E1191" i="1"/>
  <c r="E1191" i="4" s="1"/>
  <c r="F1191" i="1"/>
  <c r="F1191" i="4" s="1"/>
  <c r="D1192" i="1"/>
  <c r="D1192" i="4" s="1"/>
  <c r="E1192" i="1"/>
  <c r="E1192" i="4" s="1"/>
  <c r="F1192" i="1"/>
  <c r="F1192" i="4" s="1"/>
  <c r="D1193" i="1"/>
  <c r="D1193" i="4" s="1"/>
  <c r="E1193" i="1"/>
  <c r="E1193" i="4" s="1"/>
  <c r="F1193" i="1"/>
  <c r="F1193" i="4" s="1"/>
  <c r="D1194" i="1"/>
  <c r="D1194" i="4" s="1"/>
  <c r="E1194" i="1"/>
  <c r="E1194" i="4" s="1"/>
  <c r="F1194" i="1"/>
  <c r="F1194" i="4" s="1"/>
  <c r="D1195" i="1"/>
  <c r="D1195" i="4" s="1"/>
  <c r="E1195" i="1"/>
  <c r="E1195" i="4" s="1"/>
  <c r="F1195" i="1"/>
  <c r="F1195" i="4" s="1"/>
  <c r="D1196" i="1"/>
  <c r="D1196" i="4" s="1"/>
  <c r="E1196" i="1"/>
  <c r="E1196" i="4" s="1"/>
  <c r="F1196" i="1"/>
  <c r="F1196" i="4" s="1"/>
  <c r="D1197" i="1"/>
  <c r="D1197" i="4" s="1"/>
  <c r="E1197" i="1"/>
  <c r="E1197" i="4" s="1"/>
  <c r="F1197" i="1"/>
  <c r="F1197" i="4" s="1"/>
  <c r="D1198" i="1"/>
  <c r="D1198" i="4" s="1"/>
  <c r="E1198" i="1"/>
  <c r="E1198" i="4" s="1"/>
  <c r="F1198" i="1"/>
  <c r="F1198" i="4" s="1"/>
  <c r="D1199" i="1"/>
  <c r="D1199" i="4" s="1"/>
  <c r="E1199" i="1"/>
  <c r="E1199" i="4" s="1"/>
  <c r="F1199" i="1"/>
  <c r="F1199" i="4" s="1"/>
  <c r="D1200" i="1"/>
  <c r="D1200" i="4" s="1"/>
  <c r="E1200" i="1"/>
  <c r="E1200" i="4" s="1"/>
  <c r="F1200" i="1"/>
  <c r="F1200" i="4" s="1"/>
  <c r="D1201" i="1"/>
  <c r="D1201" i="4" s="1"/>
  <c r="E1201" i="1"/>
  <c r="E1201" i="4" s="1"/>
  <c r="F1201" i="1"/>
  <c r="F1201" i="4" s="1"/>
  <c r="D1202" i="1"/>
  <c r="D1202" i="4" s="1"/>
  <c r="E1202" i="1"/>
  <c r="E1202" i="4" s="1"/>
  <c r="F1202" i="1"/>
  <c r="F1202" i="4" s="1"/>
  <c r="D1203" i="1"/>
  <c r="D1203" i="4" s="1"/>
  <c r="E1203" i="1"/>
  <c r="E1203" i="4" s="1"/>
  <c r="F1203" i="1"/>
  <c r="F1203" i="4" s="1"/>
  <c r="D1204" i="1"/>
  <c r="D1204" i="4" s="1"/>
  <c r="E1204" i="1"/>
  <c r="E1204" i="4" s="1"/>
  <c r="F1204" i="1"/>
  <c r="F1204" i="4" s="1"/>
  <c r="D1205" i="1"/>
  <c r="D1205" i="4" s="1"/>
  <c r="E1205" i="1"/>
  <c r="E1205" i="4" s="1"/>
  <c r="F1205" i="1"/>
  <c r="F1205" i="4" s="1"/>
  <c r="D1206" i="1"/>
  <c r="D1206" i="4" s="1"/>
  <c r="E1206" i="1"/>
  <c r="E1206" i="4" s="1"/>
  <c r="F1206" i="1"/>
  <c r="F1206" i="4" s="1"/>
  <c r="D1207" i="1"/>
  <c r="D1207" i="4" s="1"/>
  <c r="E1207" i="1"/>
  <c r="E1207" i="4" s="1"/>
  <c r="F1207" i="1"/>
  <c r="F1207" i="4" s="1"/>
  <c r="D1208" i="1"/>
  <c r="D1208" i="4" s="1"/>
  <c r="E1208" i="1"/>
  <c r="E1208" i="4" s="1"/>
  <c r="F1208" i="1"/>
  <c r="F1208" i="4" s="1"/>
  <c r="D1209" i="1"/>
  <c r="D1209" i="4" s="1"/>
  <c r="E1209" i="1"/>
  <c r="E1209" i="4" s="1"/>
  <c r="F1209" i="1"/>
  <c r="F1209" i="4" s="1"/>
  <c r="D1210" i="1"/>
  <c r="D1210" i="4" s="1"/>
  <c r="E1210" i="1"/>
  <c r="E1210" i="4" s="1"/>
  <c r="F1210" i="1"/>
  <c r="F1210" i="4" s="1"/>
  <c r="D1211" i="1"/>
  <c r="D1211" i="4" s="1"/>
  <c r="E1211" i="1"/>
  <c r="E1211" i="4" s="1"/>
  <c r="F1211" i="1"/>
  <c r="F1211" i="4" s="1"/>
  <c r="D1212" i="1"/>
  <c r="D1212" i="4" s="1"/>
  <c r="E1212" i="1"/>
  <c r="E1212" i="4" s="1"/>
  <c r="F1212" i="1"/>
  <c r="F1212" i="4" s="1"/>
  <c r="D1213" i="1"/>
  <c r="D1213" i="4" s="1"/>
  <c r="E1213" i="1"/>
  <c r="E1213" i="4" s="1"/>
  <c r="F1213" i="1"/>
  <c r="F1213" i="4" s="1"/>
  <c r="D1214" i="1"/>
  <c r="D1214" i="4" s="1"/>
  <c r="E1214" i="1"/>
  <c r="E1214" i="4" s="1"/>
  <c r="F1214" i="1"/>
  <c r="F1214" i="4" s="1"/>
  <c r="D1215" i="1"/>
  <c r="D1215" i="4" s="1"/>
  <c r="E1215" i="1"/>
  <c r="E1215" i="4" s="1"/>
  <c r="F1215" i="1"/>
  <c r="F1215" i="4" s="1"/>
  <c r="D1216" i="1"/>
  <c r="D1216" i="4" s="1"/>
  <c r="E1216" i="1"/>
  <c r="E1216" i="4" s="1"/>
  <c r="F1216" i="1"/>
  <c r="F1216" i="4" s="1"/>
  <c r="D1217" i="1"/>
  <c r="D1217" i="4" s="1"/>
  <c r="E1217" i="1"/>
  <c r="E1217" i="4" s="1"/>
  <c r="F1217" i="1"/>
  <c r="F1217" i="4" s="1"/>
  <c r="D1218" i="1"/>
  <c r="D1218" i="4" s="1"/>
  <c r="E1218" i="1"/>
  <c r="E1218" i="4" s="1"/>
  <c r="F1218" i="1"/>
  <c r="F1218" i="4" s="1"/>
  <c r="D1219" i="1"/>
  <c r="D1219" i="4" s="1"/>
  <c r="E1219" i="1"/>
  <c r="E1219" i="4" s="1"/>
  <c r="F1219" i="1"/>
  <c r="F1219" i="4" s="1"/>
  <c r="D1220" i="1"/>
  <c r="D1220" i="4" s="1"/>
  <c r="E1220" i="1"/>
  <c r="E1220" i="4" s="1"/>
  <c r="F1220" i="1"/>
  <c r="F1220" i="4" s="1"/>
  <c r="D1221" i="1"/>
  <c r="D1221" i="4" s="1"/>
  <c r="E1221" i="1"/>
  <c r="E1221" i="4" s="1"/>
  <c r="F1221" i="1"/>
  <c r="F1221" i="4" s="1"/>
  <c r="D1222" i="1"/>
  <c r="D1222" i="4" s="1"/>
  <c r="E1222" i="1"/>
  <c r="E1222" i="4" s="1"/>
  <c r="F1222" i="1"/>
  <c r="F1222" i="4" s="1"/>
  <c r="D1223" i="1"/>
  <c r="D1223" i="4" s="1"/>
  <c r="E1223" i="1"/>
  <c r="E1223" i="4" s="1"/>
  <c r="F1223" i="1"/>
  <c r="F1223" i="4" s="1"/>
  <c r="D1224" i="1"/>
  <c r="D1224" i="4" s="1"/>
  <c r="E1224" i="1"/>
  <c r="E1224" i="4" s="1"/>
  <c r="F1224" i="1"/>
  <c r="F1224" i="4" s="1"/>
  <c r="D1225" i="1"/>
  <c r="D1225" i="4" s="1"/>
  <c r="E1225" i="1"/>
  <c r="E1225" i="4" s="1"/>
  <c r="F1225" i="1"/>
  <c r="F1225" i="4" s="1"/>
  <c r="D1226" i="1"/>
  <c r="D1226" i="4" s="1"/>
  <c r="E1226" i="1"/>
  <c r="E1226" i="4" s="1"/>
  <c r="F1226" i="1"/>
  <c r="F1226" i="4" s="1"/>
  <c r="D1227" i="1"/>
  <c r="D1227" i="4" s="1"/>
  <c r="E1227" i="1"/>
  <c r="E1227" i="4" s="1"/>
  <c r="F1227" i="1"/>
  <c r="F1227" i="4" s="1"/>
  <c r="D1228" i="1"/>
  <c r="D1228" i="4" s="1"/>
  <c r="E1228" i="1"/>
  <c r="E1228" i="4" s="1"/>
  <c r="F1228" i="1"/>
  <c r="F1228" i="4" s="1"/>
  <c r="D1229" i="1"/>
  <c r="D1229" i="4" s="1"/>
  <c r="E1229" i="1"/>
  <c r="E1229" i="4" s="1"/>
  <c r="F1229" i="1"/>
  <c r="F1229" i="4" s="1"/>
  <c r="D1230" i="1"/>
  <c r="D1230" i="4" s="1"/>
  <c r="E1230" i="1"/>
  <c r="E1230" i="4" s="1"/>
  <c r="F1230" i="1"/>
  <c r="F1230" i="4" s="1"/>
  <c r="D1231" i="1"/>
  <c r="D1231" i="4" s="1"/>
  <c r="E1231" i="1"/>
  <c r="E1231" i="4" s="1"/>
  <c r="F1231" i="1"/>
  <c r="F1231" i="4" s="1"/>
  <c r="D1232" i="1"/>
  <c r="D1232" i="4" s="1"/>
  <c r="E1232" i="1"/>
  <c r="E1232" i="4" s="1"/>
  <c r="F1232" i="1"/>
  <c r="F1232" i="4" s="1"/>
  <c r="D1233" i="1"/>
  <c r="D1233" i="4" s="1"/>
  <c r="E1233" i="1"/>
  <c r="E1233" i="4" s="1"/>
  <c r="F1233" i="1"/>
  <c r="F1233" i="4" s="1"/>
  <c r="D1234" i="1"/>
  <c r="D1234" i="4" s="1"/>
  <c r="E1234" i="1"/>
  <c r="E1234" i="4" s="1"/>
  <c r="F1234" i="1"/>
  <c r="F1234" i="4" s="1"/>
  <c r="D1235" i="1"/>
  <c r="D1235" i="4" s="1"/>
  <c r="E1235" i="1"/>
  <c r="E1235" i="4" s="1"/>
  <c r="F1235" i="1"/>
  <c r="F1235" i="4" s="1"/>
  <c r="D1236" i="1"/>
  <c r="D1236" i="4" s="1"/>
  <c r="E1236" i="1"/>
  <c r="E1236" i="4" s="1"/>
  <c r="F1236" i="1"/>
  <c r="F1236" i="4" s="1"/>
  <c r="D1237" i="1"/>
  <c r="D1237" i="4" s="1"/>
  <c r="E1237" i="1"/>
  <c r="E1237" i="4" s="1"/>
  <c r="F1237" i="1"/>
  <c r="F1237" i="4" s="1"/>
  <c r="D1238" i="1"/>
  <c r="D1238" i="4" s="1"/>
  <c r="E1238" i="1"/>
  <c r="E1238" i="4" s="1"/>
  <c r="F1238" i="1"/>
  <c r="F1238" i="4" s="1"/>
  <c r="D1239" i="1"/>
  <c r="D1239" i="4" s="1"/>
  <c r="E1239" i="1"/>
  <c r="E1239" i="4" s="1"/>
  <c r="F1239" i="1"/>
  <c r="F1239" i="4" s="1"/>
  <c r="D1240" i="1"/>
  <c r="D1240" i="4" s="1"/>
  <c r="E1240" i="1"/>
  <c r="E1240" i="4" s="1"/>
  <c r="F1240" i="1"/>
  <c r="F1240" i="4" s="1"/>
  <c r="D1241" i="1"/>
  <c r="D1241" i="4" s="1"/>
  <c r="E1241" i="1"/>
  <c r="E1241" i="4" s="1"/>
  <c r="F1241" i="1"/>
  <c r="F1241" i="4" s="1"/>
  <c r="D1242" i="1"/>
  <c r="D1242" i="4" s="1"/>
  <c r="E1242" i="1"/>
  <c r="E1242" i="4" s="1"/>
  <c r="F1242" i="1"/>
  <c r="F1242" i="4" s="1"/>
  <c r="D1243" i="1"/>
  <c r="D1243" i="4" s="1"/>
  <c r="E1243" i="1"/>
  <c r="E1243" i="4" s="1"/>
  <c r="F1243" i="1"/>
  <c r="F1243" i="4" s="1"/>
  <c r="D1244" i="1"/>
  <c r="D1244" i="4" s="1"/>
  <c r="E1244" i="1"/>
  <c r="E1244" i="4" s="1"/>
  <c r="F1244" i="1"/>
  <c r="F1244" i="4" s="1"/>
  <c r="D1245" i="1"/>
  <c r="D1245" i="4" s="1"/>
  <c r="E1245" i="1"/>
  <c r="E1245" i="4" s="1"/>
  <c r="F1245" i="1"/>
  <c r="F1245" i="4" s="1"/>
  <c r="D1246" i="1"/>
  <c r="D1246" i="4" s="1"/>
  <c r="E1246" i="1"/>
  <c r="E1246" i="4" s="1"/>
  <c r="F1246" i="1"/>
  <c r="F1246" i="4" s="1"/>
  <c r="D1247" i="1"/>
  <c r="D1247" i="4" s="1"/>
  <c r="E1247" i="1"/>
  <c r="E1247" i="4" s="1"/>
  <c r="F1247" i="1"/>
  <c r="F1247" i="4" s="1"/>
  <c r="D1248" i="1"/>
  <c r="D1248" i="4" s="1"/>
  <c r="E1248" i="1"/>
  <c r="E1248" i="4" s="1"/>
  <c r="F1248" i="1"/>
  <c r="F1248" i="4" s="1"/>
  <c r="D1249" i="1"/>
  <c r="D1249" i="4" s="1"/>
  <c r="E1249" i="1"/>
  <c r="E1249" i="4" s="1"/>
  <c r="F1249" i="1"/>
  <c r="F1249" i="4" s="1"/>
  <c r="D1250" i="1"/>
  <c r="D1250" i="4" s="1"/>
  <c r="E1250" i="1"/>
  <c r="E1250" i="4" s="1"/>
  <c r="F1250" i="1"/>
  <c r="F1250" i="4" s="1"/>
  <c r="D1251" i="1"/>
  <c r="D1251" i="4" s="1"/>
  <c r="E1251" i="1"/>
  <c r="E1251" i="4" s="1"/>
  <c r="F1251" i="1"/>
  <c r="F1251" i="4" s="1"/>
  <c r="D1252" i="1"/>
  <c r="D1252" i="4" s="1"/>
  <c r="E1252" i="1"/>
  <c r="E1252" i="4" s="1"/>
  <c r="F1252" i="1"/>
  <c r="F1252" i="4" s="1"/>
  <c r="D1253" i="1"/>
  <c r="D1253" i="4" s="1"/>
  <c r="E1253" i="1"/>
  <c r="E1253" i="4" s="1"/>
  <c r="F1253" i="1"/>
  <c r="F1253" i="4" s="1"/>
  <c r="D1254" i="1"/>
  <c r="D1254" i="4" s="1"/>
  <c r="E1254" i="1"/>
  <c r="E1254" i="4" s="1"/>
  <c r="F1254" i="1"/>
  <c r="F1254" i="4" s="1"/>
  <c r="D1255" i="1"/>
  <c r="D1255" i="4" s="1"/>
  <c r="E1255" i="1"/>
  <c r="E1255" i="4" s="1"/>
  <c r="F1255" i="1"/>
  <c r="F1255" i="4" s="1"/>
  <c r="D1256" i="1"/>
  <c r="D1256" i="4" s="1"/>
  <c r="E1256" i="1"/>
  <c r="E1256" i="4" s="1"/>
  <c r="F1256" i="1"/>
  <c r="F1256" i="4" s="1"/>
  <c r="D1257" i="1"/>
  <c r="D1257" i="4" s="1"/>
  <c r="E1257" i="1"/>
  <c r="E1257" i="4" s="1"/>
  <c r="F1257" i="1"/>
  <c r="F1257" i="4" s="1"/>
  <c r="D1258" i="1"/>
  <c r="D1258" i="4" s="1"/>
  <c r="E1258" i="1"/>
  <c r="E1258" i="4" s="1"/>
  <c r="F1258" i="1"/>
  <c r="F1258" i="4" s="1"/>
  <c r="D1259" i="1"/>
  <c r="D1259" i="4" s="1"/>
  <c r="E1259" i="1"/>
  <c r="E1259" i="4" s="1"/>
  <c r="F1259" i="1"/>
  <c r="F1259" i="4" s="1"/>
  <c r="D1260" i="1"/>
  <c r="D1260" i="4" s="1"/>
  <c r="E1260" i="1"/>
  <c r="E1260" i="4" s="1"/>
  <c r="F1260" i="1"/>
  <c r="F1260" i="4" s="1"/>
  <c r="D1261" i="1"/>
  <c r="D1261" i="4" s="1"/>
  <c r="E1261" i="1"/>
  <c r="E1261" i="4" s="1"/>
  <c r="F1261" i="1"/>
  <c r="F1261" i="4" s="1"/>
  <c r="D1262" i="1"/>
  <c r="D1262" i="4" s="1"/>
  <c r="E1262" i="1"/>
  <c r="E1262" i="4" s="1"/>
  <c r="F1262" i="1"/>
  <c r="F1262" i="4" s="1"/>
  <c r="D1263" i="1"/>
  <c r="D1263" i="4" s="1"/>
  <c r="E1263" i="1"/>
  <c r="E1263" i="4" s="1"/>
  <c r="F1263" i="1"/>
  <c r="F1263" i="4" s="1"/>
  <c r="D1264" i="1"/>
  <c r="D1264" i="4" s="1"/>
  <c r="E1264" i="1"/>
  <c r="E1264" i="4" s="1"/>
  <c r="F1264" i="1"/>
  <c r="F1264" i="4" s="1"/>
  <c r="D1265" i="1"/>
  <c r="D1265" i="4" s="1"/>
  <c r="E1265" i="1"/>
  <c r="E1265" i="4" s="1"/>
  <c r="F1265" i="1"/>
  <c r="F1265" i="4" s="1"/>
  <c r="D1266" i="1"/>
  <c r="D1266" i="4" s="1"/>
  <c r="E1266" i="1"/>
  <c r="E1266" i="4" s="1"/>
  <c r="F1266" i="1"/>
  <c r="F1266" i="4" s="1"/>
  <c r="D1267" i="1"/>
  <c r="D1267" i="4" s="1"/>
  <c r="E1267" i="1"/>
  <c r="E1267" i="4" s="1"/>
  <c r="F1267" i="1"/>
  <c r="F1267" i="4" s="1"/>
  <c r="D1268" i="1"/>
  <c r="D1268" i="4" s="1"/>
  <c r="E1268" i="1"/>
  <c r="E1268" i="4" s="1"/>
  <c r="F1268" i="1"/>
  <c r="F1268" i="4" s="1"/>
  <c r="D1269" i="1"/>
  <c r="D1269" i="4" s="1"/>
  <c r="E1269" i="1"/>
  <c r="E1269" i="4" s="1"/>
  <c r="F1269" i="1"/>
  <c r="F1269" i="4" s="1"/>
  <c r="D1270" i="1"/>
  <c r="D1270" i="4" s="1"/>
  <c r="E1270" i="1"/>
  <c r="E1270" i="4" s="1"/>
  <c r="F1270" i="1"/>
  <c r="F1270" i="4" s="1"/>
  <c r="D1271" i="1"/>
  <c r="D1271" i="4" s="1"/>
  <c r="E1271" i="1"/>
  <c r="E1271" i="4" s="1"/>
  <c r="F1271" i="1"/>
  <c r="F1271" i="4" s="1"/>
  <c r="D1272" i="1"/>
  <c r="D1272" i="4" s="1"/>
  <c r="E1272" i="1"/>
  <c r="E1272" i="4" s="1"/>
  <c r="F1272" i="1"/>
  <c r="F1272" i="4" s="1"/>
  <c r="D1273" i="1"/>
  <c r="D1273" i="4" s="1"/>
  <c r="E1273" i="1"/>
  <c r="E1273" i="4" s="1"/>
  <c r="F1273" i="1"/>
  <c r="F1273" i="4" s="1"/>
  <c r="D1274" i="1"/>
  <c r="D1274" i="4" s="1"/>
  <c r="E1274" i="1"/>
  <c r="E1274" i="4" s="1"/>
  <c r="F1274" i="1"/>
  <c r="F1274" i="4" s="1"/>
  <c r="D1275" i="1"/>
  <c r="D1275" i="4" s="1"/>
  <c r="E1275" i="1"/>
  <c r="E1275" i="4" s="1"/>
  <c r="F1275" i="1"/>
  <c r="F1275" i="4" s="1"/>
  <c r="D1276" i="1"/>
  <c r="D1276" i="4" s="1"/>
  <c r="E1276" i="1"/>
  <c r="E1276" i="4" s="1"/>
  <c r="F1276" i="1"/>
  <c r="F1276" i="4" s="1"/>
  <c r="D1277" i="1"/>
  <c r="D1277" i="4" s="1"/>
  <c r="E1277" i="1"/>
  <c r="E1277" i="4" s="1"/>
  <c r="F1277" i="1"/>
  <c r="F1277" i="4" s="1"/>
  <c r="D1278" i="1"/>
  <c r="D1278" i="4" s="1"/>
  <c r="E1278" i="1"/>
  <c r="E1278" i="4" s="1"/>
  <c r="F1278" i="1"/>
  <c r="F1278" i="4" s="1"/>
  <c r="D1279" i="1"/>
  <c r="D1279" i="4" s="1"/>
  <c r="E1279" i="1"/>
  <c r="E1279" i="4" s="1"/>
  <c r="F1279" i="1"/>
  <c r="F1279" i="4" s="1"/>
  <c r="D1280" i="1"/>
  <c r="D1280" i="4" s="1"/>
  <c r="E1280" i="1"/>
  <c r="E1280" i="4" s="1"/>
  <c r="F1280" i="1"/>
  <c r="F1280" i="4" s="1"/>
  <c r="D1281" i="1"/>
  <c r="D1281" i="4" s="1"/>
  <c r="E1281" i="1"/>
  <c r="E1281" i="4" s="1"/>
  <c r="F1281" i="1"/>
  <c r="F1281" i="4" s="1"/>
  <c r="D1282" i="1"/>
  <c r="D1282" i="4" s="1"/>
  <c r="E1282" i="1"/>
  <c r="E1282" i="4" s="1"/>
  <c r="F1282" i="1"/>
  <c r="F1282" i="4" s="1"/>
  <c r="D1283" i="1"/>
  <c r="D1283" i="4" s="1"/>
  <c r="E1283" i="1"/>
  <c r="E1283" i="4" s="1"/>
  <c r="F1283" i="1"/>
  <c r="F1283" i="4" s="1"/>
  <c r="D1284" i="1"/>
  <c r="D1284" i="4" s="1"/>
  <c r="E1284" i="1"/>
  <c r="E1284" i="4" s="1"/>
  <c r="F1284" i="1"/>
  <c r="F1284" i="4" s="1"/>
  <c r="D1285" i="1"/>
  <c r="D1285" i="4" s="1"/>
  <c r="E1285" i="1"/>
  <c r="E1285" i="4" s="1"/>
  <c r="F1285" i="1"/>
  <c r="F1285" i="4" s="1"/>
  <c r="D1286" i="1"/>
  <c r="D1286" i="4" s="1"/>
  <c r="E1286" i="1"/>
  <c r="E1286" i="4" s="1"/>
  <c r="F1286" i="1"/>
  <c r="F1286" i="4" s="1"/>
  <c r="D1287" i="1"/>
  <c r="D1287" i="4" s="1"/>
  <c r="E1287" i="1"/>
  <c r="E1287" i="4" s="1"/>
  <c r="F1287" i="1"/>
  <c r="F1287" i="4" s="1"/>
  <c r="D1288" i="1"/>
  <c r="D1288" i="4" s="1"/>
  <c r="E1288" i="1"/>
  <c r="E1288" i="4" s="1"/>
  <c r="F1288" i="1"/>
  <c r="F1288" i="4" s="1"/>
  <c r="D1289" i="1"/>
  <c r="D1289" i="4" s="1"/>
  <c r="E1289" i="1"/>
  <c r="E1289" i="4" s="1"/>
  <c r="F1289" i="1"/>
  <c r="F1289" i="4" s="1"/>
  <c r="D1290" i="1"/>
  <c r="D1290" i="4" s="1"/>
  <c r="E1290" i="1"/>
  <c r="E1290" i="4" s="1"/>
  <c r="F1290" i="1"/>
  <c r="F1290" i="4" s="1"/>
  <c r="D1291" i="1"/>
  <c r="D1291" i="4" s="1"/>
  <c r="E1291" i="1"/>
  <c r="E1291" i="4" s="1"/>
  <c r="F1291" i="1"/>
  <c r="F1291" i="4" s="1"/>
  <c r="D1292" i="1"/>
  <c r="D1292" i="4" s="1"/>
  <c r="E1292" i="1"/>
  <c r="E1292" i="4" s="1"/>
  <c r="F1292" i="1"/>
  <c r="F1292" i="4" s="1"/>
  <c r="D1293" i="1"/>
  <c r="D1293" i="4" s="1"/>
  <c r="E1293" i="1"/>
  <c r="E1293" i="4" s="1"/>
  <c r="F1293" i="1"/>
  <c r="F1293" i="4" s="1"/>
  <c r="D1294" i="1"/>
  <c r="D1294" i="4" s="1"/>
  <c r="E1294" i="1"/>
  <c r="E1294" i="4" s="1"/>
  <c r="F1294" i="1"/>
  <c r="F1294" i="4" s="1"/>
  <c r="D1295" i="1"/>
  <c r="D1295" i="4" s="1"/>
  <c r="E1295" i="1"/>
  <c r="E1295" i="4" s="1"/>
  <c r="F1295" i="1"/>
  <c r="F1295" i="4" s="1"/>
  <c r="D1296" i="1"/>
  <c r="D1296" i="4" s="1"/>
  <c r="E1296" i="1"/>
  <c r="E1296" i="4" s="1"/>
  <c r="F1296" i="1"/>
  <c r="F1296" i="4" s="1"/>
  <c r="D1297" i="1"/>
  <c r="D1297" i="4" s="1"/>
  <c r="E1297" i="1"/>
  <c r="E1297" i="4" s="1"/>
  <c r="F1297" i="1"/>
  <c r="F1297" i="4" s="1"/>
  <c r="D1298" i="1"/>
  <c r="D1298" i="4" s="1"/>
  <c r="E1298" i="1"/>
  <c r="E1298" i="4" s="1"/>
  <c r="F1298" i="1"/>
  <c r="F1298" i="4" s="1"/>
  <c r="D1299" i="1"/>
  <c r="D1299" i="4" s="1"/>
  <c r="E1299" i="1"/>
  <c r="E1299" i="4" s="1"/>
  <c r="F1299" i="1"/>
  <c r="F1299" i="4" s="1"/>
  <c r="D1300" i="1"/>
  <c r="D1300" i="4" s="1"/>
  <c r="E1300" i="1"/>
  <c r="E1300" i="4" s="1"/>
  <c r="F1300" i="1"/>
  <c r="F1300" i="4" s="1"/>
  <c r="D1301" i="1"/>
  <c r="D1301" i="4" s="1"/>
  <c r="E1301" i="1"/>
  <c r="E1301" i="4" s="1"/>
  <c r="F1301" i="1"/>
  <c r="F1301" i="4" s="1"/>
  <c r="D1302" i="1"/>
  <c r="D1302" i="4" s="1"/>
  <c r="E1302" i="1"/>
  <c r="E1302" i="4" s="1"/>
  <c r="F1302" i="1"/>
  <c r="F1302" i="4" s="1"/>
  <c r="D1303" i="1"/>
  <c r="D1303" i="4" s="1"/>
  <c r="E1303" i="1"/>
  <c r="E1303" i="4" s="1"/>
  <c r="F1303" i="1"/>
  <c r="F1303" i="4" s="1"/>
  <c r="D1304" i="1"/>
  <c r="D1304" i="4" s="1"/>
  <c r="E1304" i="1"/>
  <c r="E1304" i="4" s="1"/>
  <c r="F1304" i="1"/>
  <c r="F1304" i="4" s="1"/>
  <c r="D1305" i="1"/>
  <c r="D1305" i="4" s="1"/>
  <c r="E1305" i="1"/>
  <c r="E1305" i="4" s="1"/>
  <c r="F1305" i="1"/>
  <c r="F1305" i="4" s="1"/>
  <c r="D1306" i="1"/>
  <c r="D1306" i="4" s="1"/>
  <c r="E1306" i="1"/>
  <c r="E1306" i="4" s="1"/>
  <c r="F1306" i="1"/>
  <c r="F1306" i="4" s="1"/>
  <c r="D1307" i="1"/>
  <c r="D1307" i="4" s="1"/>
  <c r="E1307" i="1"/>
  <c r="E1307" i="4" s="1"/>
  <c r="F1307" i="1"/>
  <c r="F1307" i="4" s="1"/>
  <c r="D1308" i="1"/>
  <c r="D1308" i="4" s="1"/>
  <c r="E1308" i="1"/>
  <c r="E1308" i="4" s="1"/>
  <c r="F1308" i="1"/>
  <c r="F1308" i="4" s="1"/>
  <c r="D1309" i="1"/>
  <c r="D1309" i="4" s="1"/>
  <c r="E1309" i="1"/>
  <c r="E1309" i="4" s="1"/>
  <c r="F1309" i="1"/>
  <c r="F1309" i="4" s="1"/>
  <c r="D1310" i="1"/>
  <c r="D1310" i="4" s="1"/>
  <c r="E1310" i="1"/>
  <c r="E1310" i="4" s="1"/>
  <c r="F1310" i="1"/>
  <c r="F1310" i="4" s="1"/>
  <c r="D1311" i="1"/>
  <c r="D1311" i="4" s="1"/>
  <c r="E1311" i="1"/>
  <c r="E1311" i="4" s="1"/>
  <c r="F1311" i="1"/>
  <c r="F1311" i="4" s="1"/>
  <c r="D1312" i="1"/>
  <c r="D1312" i="4" s="1"/>
  <c r="E1312" i="1"/>
  <c r="E1312" i="4" s="1"/>
  <c r="F1312" i="1"/>
  <c r="F1312" i="4" s="1"/>
  <c r="D1313" i="1"/>
  <c r="D1313" i="4" s="1"/>
  <c r="E1313" i="1"/>
  <c r="E1313" i="4" s="1"/>
  <c r="F1313" i="1"/>
  <c r="F1313" i="4" s="1"/>
  <c r="D1314" i="1"/>
  <c r="D1314" i="4" s="1"/>
  <c r="E1314" i="1"/>
  <c r="E1314" i="4" s="1"/>
  <c r="F1314" i="1"/>
  <c r="F1314" i="4" s="1"/>
  <c r="D1315" i="1"/>
  <c r="D1315" i="4" s="1"/>
  <c r="E1315" i="1"/>
  <c r="E1315" i="4" s="1"/>
  <c r="F1315" i="1"/>
  <c r="F1315" i="4" s="1"/>
  <c r="D1316" i="1"/>
  <c r="D1316" i="4" s="1"/>
  <c r="E1316" i="1"/>
  <c r="E1316" i="4" s="1"/>
  <c r="F1316" i="1"/>
  <c r="F1316" i="4" s="1"/>
  <c r="D1317" i="1"/>
  <c r="D1317" i="4" s="1"/>
  <c r="E1317" i="1"/>
  <c r="E1317" i="4" s="1"/>
  <c r="F1317" i="1"/>
  <c r="F1317" i="4" s="1"/>
  <c r="D1318" i="1"/>
  <c r="D1318" i="4" s="1"/>
  <c r="E1318" i="1"/>
  <c r="E1318" i="4" s="1"/>
  <c r="F1318" i="1"/>
  <c r="F1318" i="4" s="1"/>
  <c r="D1319" i="1"/>
  <c r="D1319" i="4" s="1"/>
  <c r="E1319" i="1"/>
  <c r="E1319" i="4" s="1"/>
  <c r="F1319" i="1"/>
  <c r="F1319" i="4" s="1"/>
  <c r="D1320" i="1"/>
  <c r="D1320" i="4" s="1"/>
  <c r="E1320" i="1"/>
  <c r="E1320" i="4" s="1"/>
  <c r="F1320" i="1"/>
  <c r="F1320" i="4" s="1"/>
  <c r="D1321" i="1"/>
  <c r="D1321" i="4" s="1"/>
  <c r="E1321" i="1"/>
  <c r="E1321" i="4" s="1"/>
  <c r="F1321" i="1"/>
  <c r="F1321" i="4" s="1"/>
  <c r="D1322" i="1"/>
  <c r="D1322" i="4" s="1"/>
  <c r="E1322" i="1"/>
  <c r="E1322" i="4" s="1"/>
  <c r="F1322" i="1"/>
  <c r="F1322" i="4" s="1"/>
  <c r="D1323" i="1"/>
  <c r="D1323" i="4" s="1"/>
  <c r="E1323" i="1"/>
  <c r="E1323" i="4" s="1"/>
  <c r="F1323" i="1"/>
  <c r="F1323" i="4" s="1"/>
  <c r="D1324" i="1"/>
  <c r="D1324" i="4" s="1"/>
  <c r="E1324" i="1"/>
  <c r="E1324" i="4" s="1"/>
  <c r="F1324" i="1"/>
  <c r="F1324" i="4" s="1"/>
  <c r="D1325" i="1"/>
  <c r="D1325" i="4" s="1"/>
  <c r="E1325" i="1"/>
  <c r="E1325" i="4" s="1"/>
  <c r="F1325" i="1"/>
  <c r="F1325" i="4" s="1"/>
  <c r="D1326" i="1"/>
  <c r="D1326" i="4" s="1"/>
  <c r="E1326" i="1"/>
  <c r="E1326" i="4" s="1"/>
  <c r="F1326" i="1"/>
  <c r="F1326" i="4" s="1"/>
  <c r="D1327" i="1"/>
  <c r="D1327" i="4" s="1"/>
  <c r="E1327" i="1"/>
  <c r="E1327" i="4" s="1"/>
  <c r="F1327" i="1"/>
  <c r="F1327" i="4" s="1"/>
  <c r="D1328" i="1"/>
  <c r="D1328" i="4" s="1"/>
  <c r="E1328" i="1"/>
  <c r="E1328" i="4" s="1"/>
  <c r="F1328" i="1"/>
  <c r="F1328" i="4" s="1"/>
  <c r="D1329" i="1"/>
  <c r="D1329" i="4" s="1"/>
  <c r="E1329" i="1"/>
  <c r="E1329" i="4" s="1"/>
  <c r="F1329" i="1"/>
  <c r="F1329" i="4" s="1"/>
  <c r="D1330" i="1"/>
  <c r="D1330" i="4" s="1"/>
  <c r="E1330" i="1"/>
  <c r="E1330" i="4" s="1"/>
  <c r="F1330" i="1"/>
  <c r="F1330" i="4" s="1"/>
  <c r="D1331" i="1"/>
  <c r="D1331" i="4" s="1"/>
  <c r="E1331" i="1"/>
  <c r="E1331" i="4" s="1"/>
  <c r="F1331" i="1"/>
  <c r="F1331" i="4" s="1"/>
  <c r="D1332" i="1"/>
  <c r="D1332" i="4" s="1"/>
  <c r="E1332" i="1"/>
  <c r="E1332" i="4" s="1"/>
  <c r="F1332" i="1"/>
  <c r="F1332" i="4" s="1"/>
  <c r="D1333" i="1"/>
  <c r="D1333" i="4" s="1"/>
  <c r="E1333" i="1"/>
  <c r="E1333" i="4" s="1"/>
  <c r="F1333" i="1"/>
  <c r="F1333" i="4" s="1"/>
  <c r="D1334" i="1"/>
  <c r="D1334" i="4" s="1"/>
  <c r="E1334" i="1"/>
  <c r="E1334" i="4" s="1"/>
  <c r="F1334" i="1"/>
  <c r="F1334" i="4" s="1"/>
  <c r="D1335" i="1"/>
  <c r="D1335" i="4" s="1"/>
  <c r="E1335" i="1"/>
  <c r="E1335" i="4" s="1"/>
  <c r="F1335" i="1"/>
  <c r="F1335" i="4" s="1"/>
  <c r="D1336" i="1"/>
  <c r="D1336" i="4" s="1"/>
  <c r="E1336" i="1"/>
  <c r="E1336" i="4" s="1"/>
  <c r="F1336" i="1"/>
  <c r="F1336" i="4" s="1"/>
  <c r="D1337" i="1"/>
  <c r="D1337" i="4" s="1"/>
  <c r="E1337" i="1"/>
  <c r="E1337" i="4" s="1"/>
  <c r="F1337" i="1"/>
  <c r="F1337" i="4" s="1"/>
  <c r="D1338" i="1"/>
  <c r="D1338" i="4" s="1"/>
  <c r="E1338" i="1"/>
  <c r="E1338" i="4" s="1"/>
  <c r="F1338" i="1"/>
  <c r="F1338" i="4" s="1"/>
  <c r="D1339" i="1"/>
  <c r="D1339" i="4" s="1"/>
  <c r="E1339" i="1"/>
  <c r="E1339" i="4" s="1"/>
  <c r="F1339" i="1"/>
  <c r="F1339" i="4" s="1"/>
  <c r="D1340" i="1"/>
  <c r="D1340" i="4" s="1"/>
  <c r="E1340" i="1"/>
  <c r="E1340" i="4" s="1"/>
  <c r="F1340" i="1"/>
  <c r="F1340" i="4" s="1"/>
  <c r="D1341" i="1"/>
  <c r="D1341" i="4" s="1"/>
  <c r="E1341" i="1"/>
  <c r="E1341" i="4" s="1"/>
  <c r="F1341" i="1"/>
  <c r="F1341" i="4" s="1"/>
  <c r="D1342" i="1"/>
  <c r="D1342" i="4" s="1"/>
  <c r="E1342" i="1"/>
  <c r="E1342" i="4" s="1"/>
  <c r="F1342" i="1"/>
  <c r="F1342" i="4" s="1"/>
  <c r="D1343" i="1"/>
  <c r="D1343" i="4" s="1"/>
  <c r="E1343" i="1"/>
  <c r="E1343" i="4" s="1"/>
  <c r="F1343" i="1"/>
  <c r="F1343" i="4" s="1"/>
  <c r="D1344" i="1"/>
  <c r="D1344" i="4" s="1"/>
  <c r="E1344" i="1"/>
  <c r="E1344" i="4" s="1"/>
  <c r="F1344" i="1"/>
  <c r="F1344" i="4" s="1"/>
  <c r="D1345" i="1"/>
  <c r="D1345" i="4" s="1"/>
  <c r="E1345" i="1"/>
  <c r="E1345" i="4" s="1"/>
  <c r="F1345" i="1"/>
  <c r="F1345" i="4" s="1"/>
  <c r="D1346" i="1"/>
  <c r="D1346" i="4" s="1"/>
  <c r="E1346" i="1"/>
  <c r="E1346" i="4" s="1"/>
  <c r="F1346" i="1"/>
  <c r="F1346" i="4" s="1"/>
  <c r="D1347" i="1"/>
  <c r="D1347" i="4" s="1"/>
  <c r="E1347" i="1"/>
  <c r="E1347" i="4" s="1"/>
  <c r="F1347" i="1"/>
  <c r="F1347" i="4" s="1"/>
  <c r="D1348" i="1"/>
  <c r="D1348" i="4" s="1"/>
  <c r="E1348" i="1"/>
  <c r="E1348" i="4" s="1"/>
  <c r="F1348" i="1"/>
  <c r="F1348" i="4" s="1"/>
  <c r="D1349" i="1"/>
  <c r="D1349" i="4" s="1"/>
  <c r="E1349" i="1"/>
  <c r="E1349" i="4" s="1"/>
  <c r="F1349" i="1"/>
  <c r="F1349" i="4" s="1"/>
  <c r="D1350" i="1"/>
  <c r="D1350" i="4" s="1"/>
  <c r="E1350" i="1"/>
  <c r="E1350" i="4" s="1"/>
  <c r="F1350" i="1"/>
  <c r="F1350" i="4" s="1"/>
  <c r="D1351" i="1"/>
  <c r="D1351" i="4" s="1"/>
  <c r="E1351" i="1"/>
  <c r="E1351" i="4" s="1"/>
  <c r="F1351" i="1"/>
  <c r="F1351" i="4" s="1"/>
  <c r="D1352" i="1"/>
  <c r="D1352" i="4" s="1"/>
  <c r="E1352" i="1"/>
  <c r="E1352" i="4" s="1"/>
  <c r="F1352" i="1"/>
  <c r="F1352" i="4" s="1"/>
  <c r="D1353" i="1"/>
  <c r="D1353" i="4" s="1"/>
  <c r="E1353" i="1"/>
  <c r="E1353" i="4" s="1"/>
  <c r="F1353" i="1"/>
  <c r="F1353" i="4" s="1"/>
  <c r="D1354" i="1"/>
  <c r="D1354" i="4" s="1"/>
  <c r="E1354" i="1"/>
  <c r="E1354" i="4" s="1"/>
  <c r="F1354" i="1"/>
  <c r="F1354" i="4" s="1"/>
  <c r="D1355" i="1"/>
  <c r="D1355" i="4" s="1"/>
  <c r="E1355" i="1"/>
  <c r="E1355" i="4" s="1"/>
  <c r="F1355" i="1"/>
  <c r="F1355" i="4" s="1"/>
  <c r="D1356" i="1"/>
  <c r="D1356" i="4" s="1"/>
  <c r="E1356" i="1"/>
  <c r="E1356" i="4" s="1"/>
  <c r="F1356" i="1"/>
  <c r="F1356" i="4" s="1"/>
  <c r="D1357" i="1"/>
  <c r="D1357" i="4" s="1"/>
  <c r="E1357" i="1"/>
  <c r="E1357" i="4" s="1"/>
  <c r="F1357" i="1"/>
  <c r="F1357" i="4" s="1"/>
  <c r="D1358" i="1"/>
  <c r="D1358" i="4" s="1"/>
  <c r="E1358" i="1"/>
  <c r="E1358" i="4" s="1"/>
  <c r="F1358" i="1"/>
  <c r="F1358" i="4" s="1"/>
  <c r="D1359" i="1"/>
  <c r="D1359" i="4" s="1"/>
  <c r="E1359" i="1"/>
  <c r="E1359" i="4" s="1"/>
  <c r="F1359" i="1"/>
  <c r="F1359" i="4" s="1"/>
  <c r="D1360" i="1"/>
  <c r="D1360" i="4" s="1"/>
  <c r="E1360" i="1"/>
  <c r="E1360" i="4" s="1"/>
  <c r="F1360" i="1"/>
  <c r="F1360" i="4" s="1"/>
  <c r="D1361" i="1"/>
  <c r="D1361" i="4" s="1"/>
  <c r="E1361" i="1"/>
  <c r="E1361" i="4" s="1"/>
  <c r="F1361" i="1"/>
  <c r="F1361" i="4" s="1"/>
  <c r="D1362" i="1"/>
  <c r="D1362" i="4" s="1"/>
  <c r="E1362" i="1"/>
  <c r="E1362" i="4" s="1"/>
  <c r="F1362" i="1"/>
  <c r="F1362" i="4" s="1"/>
  <c r="D1363" i="1"/>
  <c r="D1363" i="4" s="1"/>
  <c r="E1363" i="1"/>
  <c r="E1363" i="4" s="1"/>
  <c r="F1363" i="1"/>
  <c r="F1363" i="4" s="1"/>
  <c r="D1364" i="1"/>
  <c r="D1364" i="4" s="1"/>
  <c r="E1364" i="1"/>
  <c r="E1364" i="4" s="1"/>
  <c r="F1364" i="1"/>
  <c r="F1364" i="4" s="1"/>
  <c r="D1365" i="1"/>
  <c r="D1365" i="4" s="1"/>
  <c r="E1365" i="1"/>
  <c r="E1365" i="4" s="1"/>
  <c r="F1365" i="1"/>
  <c r="F1365" i="4" s="1"/>
  <c r="D1366" i="1"/>
  <c r="D1366" i="4" s="1"/>
  <c r="E1366" i="1"/>
  <c r="E1366" i="4" s="1"/>
  <c r="F1366" i="1"/>
  <c r="F1366" i="4" s="1"/>
  <c r="D1367" i="1"/>
  <c r="D1367" i="4" s="1"/>
  <c r="E1367" i="1"/>
  <c r="E1367" i="4" s="1"/>
  <c r="F1367" i="1"/>
  <c r="F1367" i="4" s="1"/>
  <c r="D1368" i="1"/>
  <c r="D1368" i="4" s="1"/>
  <c r="E1368" i="1"/>
  <c r="E1368" i="4" s="1"/>
  <c r="F1368" i="1"/>
  <c r="F1368" i="4" s="1"/>
  <c r="D1369" i="1"/>
  <c r="D1369" i="4" s="1"/>
  <c r="E1369" i="1"/>
  <c r="E1369" i="4" s="1"/>
  <c r="F1369" i="1"/>
  <c r="F1369" i="4" s="1"/>
  <c r="D1370" i="1"/>
  <c r="D1370" i="4" s="1"/>
  <c r="E1370" i="1"/>
  <c r="E1370" i="4" s="1"/>
  <c r="F1370" i="1"/>
  <c r="F1370" i="4" s="1"/>
  <c r="D1371" i="1"/>
  <c r="D1371" i="4" s="1"/>
  <c r="E1371" i="1"/>
  <c r="E1371" i="4" s="1"/>
  <c r="F1371" i="1"/>
  <c r="F1371" i="4" s="1"/>
  <c r="D1372" i="1"/>
  <c r="D1372" i="4" s="1"/>
  <c r="E1372" i="1"/>
  <c r="E1372" i="4" s="1"/>
  <c r="F1372" i="1"/>
  <c r="F1372" i="4" s="1"/>
  <c r="D1373" i="1"/>
  <c r="D1373" i="4" s="1"/>
  <c r="E1373" i="1"/>
  <c r="E1373" i="4" s="1"/>
  <c r="F1373" i="1"/>
  <c r="F1373" i="4" s="1"/>
  <c r="D1374" i="1"/>
  <c r="D1374" i="4" s="1"/>
  <c r="E1374" i="1"/>
  <c r="E1374" i="4" s="1"/>
  <c r="F1374" i="1"/>
  <c r="F1374" i="4" s="1"/>
  <c r="D1375" i="1"/>
  <c r="D1375" i="4" s="1"/>
  <c r="E1375" i="1"/>
  <c r="E1375" i="4" s="1"/>
  <c r="F1375" i="1"/>
  <c r="F1375" i="4" s="1"/>
  <c r="D1376" i="1"/>
  <c r="D1376" i="4" s="1"/>
  <c r="E1376" i="1"/>
  <c r="E1376" i="4" s="1"/>
  <c r="F1376" i="1"/>
  <c r="F1376" i="4" s="1"/>
  <c r="D1377" i="1"/>
  <c r="D1377" i="4" s="1"/>
  <c r="E1377" i="1"/>
  <c r="E1377" i="4" s="1"/>
  <c r="F1377" i="1"/>
  <c r="F1377" i="4" s="1"/>
  <c r="D1378" i="1"/>
  <c r="D1378" i="4" s="1"/>
  <c r="E1378" i="1"/>
  <c r="E1378" i="4" s="1"/>
  <c r="F1378" i="1"/>
  <c r="F1378" i="4" s="1"/>
  <c r="D1379" i="1"/>
  <c r="D1379" i="4" s="1"/>
  <c r="E1379" i="1"/>
  <c r="E1379" i="4" s="1"/>
  <c r="F1379" i="1"/>
  <c r="F1379" i="4" s="1"/>
  <c r="D1380" i="1"/>
  <c r="D1380" i="4" s="1"/>
  <c r="E1380" i="1"/>
  <c r="E1380" i="4" s="1"/>
  <c r="F1380" i="1"/>
  <c r="F1380" i="4" s="1"/>
  <c r="D1381" i="1"/>
  <c r="D1381" i="4" s="1"/>
  <c r="E1381" i="1"/>
  <c r="E1381" i="4" s="1"/>
  <c r="F1381" i="1"/>
  <c r="F1381" i="4" s="1"/>
  <c r="D1382" i="1"/>
  <c r="D1382" i="4" s="1"/>
  <c r="E1382" i="1"/>
  <c r="E1382" i="4" s="1"/>
  <c r="F1382" i="1"/>
  <c r="F1382" i="4" s="1"/>
  <c r="D1383" i="1"/>
  <c r="D1383" i="4" s="1"/>
  <c r="E1383" i="1"/>
  <c r="E1383" i="4" s="1"/>
  <c r="F1383" i="1"/>
  <c r="F1383" i="4" s="1"/>
  <c r="D1384" i="1"/>
  <c r="D1384" i="4" s="1"/>
  <c r="E1384" i="1"/>
  <c r="E1384" i="4" s="1"/>
  <c r="F1384" i="1"/>
  <c r="F1384" i="4" s="1"/>
  <c r="D1385" i="1"/>
  <c r="D1385" i="4" s="1"/>
  <c r="E1385" i="1"/>
  <c r="E1385" i="4" s="1"/>
  <c r="F1385" i="1"/>
  <c r="F1385" i="4" s="1"/>
  <c r="D1386" i="1"/>
  <c r="D1386" i="4" s="1"/>
  <c r="E1386" i="1"/>
  <c r="E1386" i="4" s="1"/>
  <c r="F1386" i="1"/>
  <c r="F1386" i="4" s="1"/>
  <c r="D1387" i="1"/>
  <c r="D1387" i="4" s="1"/>
  <c r="E1387" i="1"/>
  <c r="E1387" i="4" s="1"/>
  <c r="F1387" i="1"/>
  <c r="F1387" i="4" s="1"/>
  <c r="D1388" i="1"/>
  <c r="D1388" i="4" s="1"/>
  <c r="E1388" i="1"/>
  <c r="E1388" i="4" s="1"/>
  <c r="F1388" i="1"/>
  <c r="F1388" i="4" s="1"/>
  <c r="D1389" i="1"/>
  <c r="D1389" i="4" s="1"/>
  <c r="E1389" i="1"/>
  <c r="E1389" i="4" s="1"/>
  <c r="F1389" i="1"/>
  <c r="F1389" i="4" s="1"/>
  <c r="D1390" i="1"/>
  <c r="D1390" i="4" s="1"/>
  <c r="E1390" i="1"/>
  <c r="E1390" i="4" s="1"/>
  <c r="F1390" i="1"/>
  <c r="F1390" i="4" s="1"/>
  <c r="D1391" i="1"/>
  <c r="D1391" i="4" s="1"/>
  <c r="E1391" i="1"/>
  <c r="E1391" i="4" s="1"/>
  <c r="F1391" i="1"/>
  <c r="F1391" i="4" s="1"/>
  <c r="D1392" i="1"/>
  <c r="D1392" i="4" s="1"/>
  <c r="E1392" i="1"/>
  <c r="E1392" i="4" s="1"/>
  <c r="F1392" i="1"/>
  <c r="F1392" i="4" s="1"/>
  <c r="D1393" i="1"/>
  <c r="D1393" i="4" s="1"/>
  <c r="E1393" i="1"/>
  <c r="E1393" i="4" s="1"/>
  <c r="F1393" i="1"/>
  <c r="F1393" i="4" s="1"/>
  <c r="D1394" i="1"/>
  <c r="D1394" i="4" s="1"/>
  <c r="E1394" i="1"/>
  <c r="E1394" i="4" s="1"/>
  <c r="F1394" i="1"/>
  <c r="F1394" i="4" s="1"/>
  <c r="D1395" i="1"/>
  <c r="D1395" i="4" s="1"/>
  <c r="E1395" i="1"/>
  <c r="E1395" i="4" s="1"/>
  <c r="F1395" i="1"/>
  <c r="F1395" i="4" s="1"/>
  <c r="D1396" i="1"/>
  <c r="D1396" i="4" s="1"/>
  <c r="E1396" i="1"/>
  <c r="E1396" i="4" s="1"/>
  <c r="F1396" i="1"/>
  <c r="F1396" i="4" s="1"/>
  <c r="D1397" i="1"/>
  <c r="D1397" i="4" s="1"/>
  <c r="E1397" i="1"/>
  <c r="E1397" i="4" s="1"/>
  <c r="F1397" i="1"/>
  <c r="F1397" i="4" s="1"/>
  <c r="D1398" i="1"/>
  <c r="D1398" i="4" s="1"/>
  <c r="E1398" i="1"/>
  <c r="E1398" i="4" s="1"/>
  <c r="F1398" i="1"/>
  <c r="F1398" i="4" s="1"/>
  <c r="D1399" i="1"/>
  <c r="D1399" i="4" s="1"/>
  <c r="E1399" i="1"/>
  <c r="E1399" i="4" s="1"/>
  <c r="F1399" i="1"/>
  <c r="F1399" i="4" s="1"/>
  <c r="D1400" i="1"/>
  <c r="D1400" i="4" s="1"/>
  <c r="E1400" i="1"/>
  <c r="E1400" i="4" s="1"/>
  <c r="F1400" i="1"/>
  <c r="F1400" i="4" s="1"/>
  <c r="D1401" i="1"/>
  <c r="D1401" i="4" s="1"/>
  <c r="E1401" i="1"/>
  <c r="E1401" i="4" s="1"/>
  <c r="F1401" i="1"/>
  <c r="F1401" i="4" s="1"/>
  <c r="D1402" i="1"/>
  <c r="D1402" i="4" s="1"/>
  <c r="E1402" i="1"/>
  <c r="E1402" i="4" s="1"/>
  <c r="F1402" i="1"/>
  <c r="F1402" i="4" s="1"/>
  <c r="D1403" i="1"/>
  <c r="D1403" i="4" s="1"/>
  <c r="E1403" i="1"/>
  <c r="E1403" i="4" s="1"/>
  <c r="F1403" i="1"/>
  <c r="F1403" i="4" s="1"/>
  <c r="D1404" i="1"/>
  <c r="D1404" i="4" s="1"/>
  <c r="E1404" i="1"/>
  <c r="E1404" i="4" s="1"/>
  <c r="F1404" i="1"/>
  <c r="F1404" i="4" s="1"/>
  <c r="D1405" i="1"/>
  <c r="D1405" i="4" s="1"/>
  <c r="E1405" i="1"/>
  <c r="E1405" i="4" s="1"/>
  <c r="F1405" i="1"/>
  <c r="F1405" i="4" s="1"/>
  <c r="D1406" i="1"/>
  <c r="D1406" i="4" s="1"/>
  <c r="E1406" i="1"/>
  <c r="E1406" i="4" s="1"/>
  <c r="F1406" i="1"/>
  <c r="F1406" i="4" s="1"/>
  <c r="D1407" i="1"/>
  <c r="D1407" i="4" s="1"/>
  <c r="E1407" i="1"/>
  <c r="E1407" i="4" s="1"/>
  <c r="F1407" i="1"/>
  <c r="F1407" i="4" s="1"/>
  <c r="D1408" i="1"/>
  <c r="D1408" i="4" s="1"/>
  <c r="E1408" i="1"/>
  <c r="E1408" i="4" s="1"/>
  <c r="F1408" i="1"/>
  <c r="F1408" i="4" s="1"/>
  <c r="D1409" i="1"/>
  <c r="D1409" i="4" s="1"/>
  <c r="E1409" i="1"/>
  <c r="E1409" i="4" s="1"/>
  <c r="F1409" i="1"/>
  <c r="F1409" i="4" s="1"/>
  <c r="D1410" i="1"/>
  <c r="D1410" i="4" s="1"/>
  <c r="E1410" i="1"/>
  <c r="E1410" i="4" s="1"/>
  <c r="F1410" i="1"/>
  <c r="F1410" i="4" s="1"/>
  <c r="D1411" i="1"/>
  <c r="D1411" i="4" s="1"/>
  <c r="E1411" i="1"/>
  <c r="E1411" i="4" s="1"/>
  <c r="F1411" i="1"/>
  <c r="F1411" i="4" s="1"/>
  <c r="D1412" i="1"/>
  <c r="D1412" i="4" s="1"/>
  <c r="E1412" i="1"/>
  <c r="E1412" i="4" s="1"/>
  <c r="F1412" i="1"/>
  <c r="F1412" i="4" s="1"/>
  <c r="D1413" i="1"/>
  <c r="D1413" i="4" s="1"/>
  <c r="E1413" i="1"/>
  <c r="E1413" i="4" s="1"/>
  <c r="F1413" i="1"/>
  <c r="F1413" i="4" s="1"/>
  <c r="D1414" i="1"/>
  <c r="D1414" i="4" s="1"/>
  <c r="E1414" i="1"/>
  <c r="E1414" i="4" s="1"/>
  <c r="F1414" i="1"/>
  <c r="F1414" i="4" s="1"/>
  <c r="D1415" i="1"/>
  <c r="D1415" i="4" s="1"/>
  <c r="E1415" i="1"/>
  <c r="E1415" i="4" s="1"/>
  <c r="F1415" i="1"/>
  <c r="F1415" i="4" s="1"/>
  <c r="D1416" i="1"/>
  <c r="D1416" i="4" s="1"/>
  <c r="E1416" i="1"/>
  <c r="E1416" i="4" s="1"/>
  <c r="F1416" i="1"/>
  <c r="F1416" i="4" s="1"/>
  <c r="D1417" i="1"/>
  <c r="D1417" i="4" s="1"/>
  <c r="E1417" i="1"/>
  <c r="E1417" i="4" s="1"/>
  <c r="F1417" i="1"/>
  <c r="F1417" i="4" s="1"/>
  <c r="D1418" i="1"/>
  <c r="D1418" i="4" s="1"/>
  <c r="E1418" i="1"/>
  <c r="E1418" i="4" s="1"/>
  <c r="F1418" i="1"/>
  <c r="F1418" i="4" s="1"/>
  <c r="D1419" i="1"/>
  <c r="D1419" i="4" s="1"/>
  <c r="E1419" i="1"/>
  <c r="E1419" i="4" s="1"/>
  <c r="F1419" i="1"/>
  <c r="F1419" i="4" s="1"/>
  <c r="D1420" i="1"/>
  <c r="D1420" i="4" s="1"/>
  <c r="E1420" i="1"/>
  <c r="E1420" i="4" s="1"/>
  <c r="F1420" i="1"/>
  <c r="F1420" i="4" s="1"/>
  <c r="D1421" i="1"/>
  <c r="D1421" i="4" s="1"/>
  <c r="E1421" i="1"/>
  <c r="E1421" i="4" s="1"/>
  <c r="F1421" i="1"/>
  <c r="F1421" i="4" s="1"/>
  <c r="D1422" i="1"/>
  <c r="D1422" i="4" s="1"/>
  <c r="E1422" i="1"/>
  <c r="E1422" i="4" s="1"/>
  <c r="F1422" i="1"/>
  <c r="F1422" i="4" s="1"/>
  <c r="D1423" i="1"/>
  <c r="D1423" i="4" s="1"/>
  <c r="E1423" i="1"/>
  <c r="E1423" i="4" s="1"/>
  <c r="F1423" i="1"/>
  <c r="F1423" i="4" s="1"/>
  <c r="D1424" i="1"/>
  <c r="D1424" i="4" s="1"/>
  <c r="E1424" i="1"/>
  <c r="E1424" i="4" s="1"/>
  <c r="F1424" i="1"/>
  <c r="F1424" i="4" s="1"/>
  <c r="D1425" i="1"/>
  <c r="D1425" i="4" s="1"/>
  <c r="E1425" i="1"/>
  <c r="E1425" i="4" s="1"/>
  <c r="F1425" i="1"/>
  <c r="F1425" i="4" s="1"/>
  <c r="D1426" i="1"/>
  <c r="D1426" i="4" s="1"/>
  <c r="E1426" i="1"/>
  <c r="E1426" i="4" s="1"/>
  <c r="F1426" i="1"/>
  <c r="F1426" i="4" s="1"/>
  <c r="D1427" i="1"/>
  <c r="D1427" i="4" s="1"/>
  <c r="E1427" i="1"/>
  <c r="E1427" i="4" s="1"/>
  <c r="F1427" i="1"/>
  <c r="F1427" i="4" s="1"/>
  <c r="D1428" i="1"/>
  <c r="D1428" i="4" s="1"/>
  <c r="E1428" i="1"/>
  <c r="E1428" i="4" s="1"/>
  <c r="F1428" i="1"/>
  <c r="F1428" i="4" s="1"/>
  <c r="D1429" i="1"/>
  <c r="D1429" i="4" s="1"/>
  <c r="E1429" i="1"/>
  <c r="E1429" i="4" s="1"/>
  <c r="F1429" i="1"/>
  <c r="F1429" i="4" s="1"/>
  <c r="D1430" i="1"/>
  <c r="D1430" i="4" s="1"/>
  <c r="E1430" i="1"/>
  <c r="E1430" i="4" s="1"/>
  <c r="F1430" i="1"/>
  <c r="F1430" i="4" s="1"/>
  <c r="D1431" i="1"/>
  <c r="D1431" i="4" s="1"/>
  <c r="E1431" i="1"/>
  <c r="E1431" i="4" s="1"/>
  <c r="F1431" i="1"/>
  <c r="F1431" i="4" s="1"/>
  <c r="D1432" i="1"/>
  <c r="D1432" i="4" s="1"/>
  <c r="E1432" i="1"/>
  <c r="E1432" i="4" s="1"/>
  <c r="F1432" i="1"/>
  <c r="F1432" i="4" s="1"/>
  <c r="D1433" i="1"/>
  <c r="D1433" i="4" s="1"/>
  <c r="E1433" i="1"/>
  <c r="E1433" i="4" s="1"/>
  <c r="F1433" i="1"/>
  <c r="F1433" i="4" s="1"/>
  <c r="D1434" i="1"/>
  <c r="D1434" i="4" s="1"/>
  <c r="E1434" i="1"/>
  <c r="E1434" i="4" s="1"/>
  <c r="F1434" i="1"/>
  <c r="F1434" i="4" s="1"/>
  <c r="D1435" i="1"/>
  <c r="D1435" i="4" s="1"/>
  <c r="E1435" i="1"/>
  <c r="E1435" i="4" s="1"/>
  <c r="F1435" i="1"/>
  <c r="F1435" i="4" s="1"/>
  <c r="D1436" i="1"/>
  <c r="D1436" i="4" s="1"/>
  <c r="E1436" i="1"/>
  <c r="E1436" i="4" s="1"/>
  <c r="F1436" i="1"/>
  <c r="F1436" i="4" s="1"/>
  <c r="D1437" i="1"/>
  <c r="D1437" i="4" s="1"/>
  <c r="E1437" i="1"/>
  <c r="E1437" i="4" s="1"/>
  <c r="F1437" i="1"/>
  <c r="F1437" i="4" s="1"/>
  <c r="D1438" i="1"/>
  <c r="D1438" i="4" s="1"/>
  <c r="E1438" i="1"/>
  <c r="E1438" i="4" s="1"/>
  <c r="F1438" i="1"/>
  <c r="F1438" i="4" s="1"/>
  <c r="D1439" i="1"/>
  <c r="D1439" i="4" s="1"/>
  <c r="E1439" i="1"/>
  <c r="E1439" i="4" s="1"/>
  <c r="F1439" i="1"/>
  <c r="F1439" i="4" s="1"/>
  <c r="D1440" i="1"/>
  <c r="D1440" i="4" s="1"/>
  <c r="E1440" i="1"/>
  <c r="E1440" i="4" s="1"/>
  <c r="F1440" i="1"/>
  <c r="F1440" i="4" s="1"/>
  <c r="D1441" i="1"/>
  <c r="D1441" i="4" s="1"/>
  <c r="E1441" i="1"/>
  <c r="E1441" i="4" s="1"/>
  <c r="F1441" i="1"/>
  <c r="F1441" i="4" s="1"/>
  <c r="D1442" i="1"/>
  <c r="D1442" i="4" s="1"/>
  <c r="E1442" i="1"/>
  <c r="E1442" i="4" s="1"/>
  <c r="F1442" i="1"/>
  <c r="F1442" i="4" s="1"/>
  <c r="D1443" i="1"/>
  <c r="D1443" i="4" s="1"/>
  <c r="E1443" i="1"/>
  <c r="E1443" i="4" s="1"/>
  <c r="F1443" i="1"/>
  <c r="F1443" i="4" s="1"/>
  <c r="D1444" i="1"/>
  <c r="D1444" i="4" s="1"/>
  <c r="E1444" i="1"/>
  <c r="E1444" i="4" s="1"/>
  <c r="F1444" i="1"/>
  <c r="F1444" i="4" s="1"/>
  <c r="D1445" i="1"/>
  <c r="D1445" i="4" s="1"/>
  <c r="E1445" i="1"/>
  <c r="E1445" i="4" s="1"/>
  <c r="F1445" i="1"/>
  <c r="F1445" i="4" s="1"/>
  <c r="D1446" i="1"/>
  <c r="D1446" i="4" s="1"/>
  <c r="E1446" i="1"/>
  <c r="E1446" i="4" s="1"/>
  <c r="F1446" i="1"/>
  <c r="F1446" i="4" s="1"/>
  <c r="D1447" i="1"/>
  <c r="D1447" i="4" s="1"/>
  <c r="E1447" i="1"/>
  <c r="E1447" i="4" s="1"/>
  <c r="F1447" i="1"/>
  <c r="F1447" i="4" s="1"/>
  <c r="D1448" i="1"/>
  <c r="D1448" i="4" s="1"/>
  <c r="E1448" i="1"/>
  <c r="E1448" i="4" s="1"/>
  <c r="F1448" i="1"/>
  <c r="F1448" i="4" s="1"/>
  <c r="D1449" i="1"/>
  <c r="D1449" i="4" s="1"/>
  <c r="E1449" i="1"/>
  <c r="E1449" i="4" s="1"/>
  <c r="F1449" i="1"/>
  <c r="F1449" i="4" s="1"/>
  <c r="D1450" i="1"/>
  <c r="D1450" i="4" s="1"/>
  <c r="E1450" i="1"/>
  <c r="E1450" i="4" s="1"/>
  <c r="F1450" i="1"/>
  <c r="F1450" i="4" s="1"/>
  <c r="D1451" i="1"/>
  <c r="D1451" i="4" s="1"/>
  <c r="E1451" i="1"/>
  <c r="E1451" i="4" s="1"/>
  <c r="F1451" i="1"/>
  <c r="F1451" i="4" s="1"/>
  <c r="D1452" i="1"/>
  <c r="D1452" i="4" s="1"/>
  <c r="E1452" i="1"/>
  <c r="E1452" i="4" s="1"/>
  <c r="F1452" i="1"/>
  <c r="F1452" i="4" s="1"/>
  <c r="D1453" i="1"/>
  <c r="D1453" i="4" s="1"/>
  <c r="E1453" i="1"/>
  <c r="E1453" i="4" s="1"/>
  <c r="F1453" i="1"/>
  <c r="F1453" i="4" s="1"/>
  <c r="D1454" i="1"/>
  <c r="D1454" i="4" s="1"/>
  <c r="E1454" i="1"/>
  <c r="E1454" i="4" s="1"/>
  <c r="F1454" i="1"/>
  <c r="F1454" i="4" s="1"/>
  <c r="D1455" i="1"/>
  <c r="D1455" i="4" s="1"/>
  <c r="E1455" i="1"/>
  <c r="E1455" i="4" s="1"/>
  <c r="F1455" i="1"/>
  <c r="F1455" i="4" s="1"/>
  <c r="D1456" i="1"/>
  <c r="D1456" i="4" s="1"/>
  <c r="E1456" i="1"/>
  <c r="E1456" i="4" s="1"/>
  <c r="F1456" i="1"/>
  <c r="F1456" i="4" s="1"/>
  <c r="D1457" i="1"/>
  <c r="D1457" i="4" s="1"/>
  <c r="E1457" i="1"/>
  <c r="E1457" i="4" s="1"/>
  <c r="F1457" i="1"/>
  <c r="F1457" i="4" s="1"/>
  <c r="D1458" i="1"/>
  <c r="D1458" i="4" s="1"/>
  <c r="E1458" i="1"/>
  <c r="E1458" i="4" s="1"/>
  <c r="F1458" i="1"/>
  <c r="F1458" i="4" s="1"/>
  <c r="D1459" i="1"/>
  <c r="D1459" i="4" s="1"/>
  <c r="E1459" i="1"/>
  <c r="E1459" i="4" s="1"/>
  <c r="F1459" i="1"/>
  <c r="F1459" i="4" s="1"/>
  <c r="D1460" i="1"/>
  <c r="D1460" i="4" s="1"/>
  <c r="E1460" i="1"/>
  <c r="E1460" i="4" s="1"/>
  <c r="F1460" i="1"/>
  <c r="F1460" i="4" s="1"/>
  <c r="D1461" i="1"/>
  <c r="D1461" i="4" s="1"/>
  <c r="E1461" i="1"/>
  <c r="E1461" i="4" s="1"/>
  <c r="F1461" i="1"/>
  <c r="F1461" i="4" s="1"/>
  <c r="D1462" i="1"/>
  <c r="D1462" i="4" s="1"/>
  <c r="E1462" i="1"/>
  <c r="E1462" i="4" s="1"/>
  <c r="F1462" i="1"/>
  <c r="F1462" i="4" s="1"/>
  <c r="D1463" i="1"/>
  <c r="D1463" i="4" s="1"/>
  <c r="E1463" i="1"/>
  <c r="E1463" i="4" s="1"/>
  <c r="F1463" i="1"/>
  <c r="F1463" i="4" s="1"/>
  <c r="D1464" i="1"/>
  <c r="D1464" i="4" s="1"/>
  <c r="E1464" i="1"/>
  <c r="E1464" i="4" s="1"/>
  <c r="F1464" i="1"/>
  <c r="F1464" i="4" s="1"/>
  <c r="D1465" i="1"/>
  <c r="D1465" i="4" s="1"/>
  <c r="E1465" i="1"/>
  <c r="E1465" i="4" s="1"/>
  <c r="F1465" i="1"/>
  <c r="F1465" i="4" s="1"/>
  <c r="D1466" i="1"/>
  <c r="D1466" i="4" s="1"/>
  <c r="E1466" i="1"/>
  <c r="E1466" i="4" s="1"/>
  <c r="F1466" i="1"/>
  <c r="F1466" i="4" s="1"/>
  <c r="D1467" i="1"/>
  <c r="D1467" i="4" s="1"/>
  <c r="E1467" i="1"/>
  <c r="E1467" i="4" s="1"/>
  <c r="F1467" i="1"/>
  <c r="F1467" i="4" s="1"/>
  <c r="D1468" i="1"/>
  <c r="D1468" i="4" s="1"/>
  <c r="E1468" i="1"/>
  <c r="E1468" i="4" s="1"/>
  <c r="F1468" i="1"/>
  <c r="F1468" i="4" s="1"/>
  <c r="D1469" i="1"/>
  <c r="D1469" i="4" s="1"/>
  <c r="E1469" i="1"/>
  <c r="E1469" i="4" s="1"/>
  <c r="F1469" i="1"/>
  <c r="F1469" i="4" s="1"/>
  <c r="D1470" i="1"/>
  <c r="D1470" i="4" s="1"/>
  <c r="E1470" i="1"/>
  <c r="E1470" i="4" s="1"/>
  <c r="F1470" i="1"/>
  <c r="F1470" i="4" s="1"/>
  <c r="D1471" i="1"/>
  <c r="D1471" i="4" s="1"/>
  <c r="E1471" i="1"/>
  <c r="E1471" i="4" s="1"/>
  <c r="F1471" i="1"/>
  <c r="F1471" i="4" s="1"/>
  <c r="D1472" i="1"/>
  <c r="D1472" i="4" s="1"/>
  <c r="E1472" i="1"/>
  <c r="E1472" i="4" s="1"/>
  <c r="F1472" i="1"/>
  <c r="F1472" i="4" s="1"/>
  <c r="D1473" i="1"/>
  <c r="D1473" i="4" s="1"/>
  <c r="E1473" i="1"/>
  <c r="E1473" i="4" s="1"/>
  <c r="F1473" i="1"/>
  <c r="F1473" i="4" s="1"/>
  <c r="D1474" i="1"/>
  <c r="D1474" i="4" s="1"/>
  <c r="E1474" i="1"/>
  <c r="E1474" i="4" s="1"/>
  <c r="F1474" i="1"/>
  <c r="F1474" i="4" s="1"/>
  <c r="D1475" i="1"/>
  <c r="D1475" i="4" s="1"/>
  <c r="E1475" i="1"/>
  <c r="E1475" i="4" s="1"/>
  <c r="F1475" i="1"/>
  <c r="F1475" i="4" s="1"/>
  <c r="D1476" i="1"/>
  <c r="D1476" i="4" s="1"/>
  <c r="E1476" i="1"/>
  <c r="E1476" i="4" s="1"/>
  <c r="F1476" i="1"/>
  <c r="F1476" i="4" s="1"/>
  <c r="D1477" i="1"/>
  <c r="D1477" i="4" s="1"/>
  <c r="E1477" i="1"/>
  <c r="E1477" i="4" s="1"/>
  <c r="F1477" i="1"/>
  <c r="F1477" i="4" s="1"/>
  <c r="D1478" i="1"/>
  <c r="D1478" i="4" s="1"/>
  <c r="E1478" i="1"/>
  <c r="E1478" i="4" s="1"/>
  <c r="F1478" i="1"/>
  <c r="F1478" i="4" s="1"/>
  <c r="D1479" i="1"/>
  <c r="D1479" i="4" s="1"/>
  <c r="E1479" i="1"/>
  <c r="E1479" i="4" s="1"/>
  <c r="F1479" i="1"/>
  <c r="F1479" i="4" s="1"/>
  <c r="D1480" i="1"/>
  <c r="D1480" i="4" s="1"/>
  <c r="E1480" i="1"/>
  <c r="E1480" i="4" s="1"/>
  <c r="F1480" i="1"/>
  <c r="F1480" i="4" s="1"/>
  <c r="D1481" i="1"/>
  <c r="D1481" i="4" s="1"/>
  <c r="E1481" i="1"/>
  <c r="E1481" i="4" s="1"/>
  <c r="F1481" i="1"/>
  <c r="F1481" i="4" s="1"/>
  <c r="D1482" i="1"/>
  <c r="D1482" i="4" s="1"/>
  <c r="E1482" i="1"/>
  <c r="E1482" i="4" s="1"/>
  <c r="F1482" i="1"/>
  <c r="F1482" i="4" s="1"/>
  <c r="D1483" i="1"/>
  <c r="D1483" i="4" s="1"/>
  <c r="E1483" i="1"/>
  <c r="E1483" i="4" s="1"/>
  <c r="F1483" i="1"/>
  <c r="F1483" i="4" s="1"/>
  <c r="D1484" i="1"/>
  <c r="D1484" i="4" s="1"/>
  <c r="E1484" i="1"/>
  <c r="E1484" i="4" s="1"/>
  <c r="F1484" i="1"/>
  <c r="F1484" i="4" s="1"/>
  <c r="D1485" i="1"/>
  <c r="D1485" i="4" s="1"/>
  <c r="E1485" i="1"/>
  <c r="E1485" i="4" s="1"/>
  <c r="F1485" i="1"/>
  <c r="F1485" i="4" s="1"/>
  <c r="D1486" i="1"/>
  <c r="D1486" i="4" s="1"/>
  <c r="E1486" i="1"/>
  <c r="E1486" i="4" s="1"/>
  <c r="F1486" i="1"/>
  <c r="F1486" i="4" s="1"/>
  <c r="D1487" i="1"/>
  <c r="D1487" i="4" s="1"/>
  <c r="E1487" i="1"/>
  <c r="E1487" i="4" s="1"/>
  <c r="F1487" i="1"/>
  <c r="F1487" i="4" s="1"/>
  <c r="D1488" i="1"/>
  <c r="D1488" i="4" s="1"/>
  <c r="E1488" i="1"/>
  <c r="E1488" i="4" s="1"/>
  <c r="F1488" i="1"/>
  <c r="F1488" i="4" s="1"/>
  <c r="D1489" i="1"/>
  <c r="D1489" i="4" s="1"/>
  <c r="E1489" i="1"/>
  <c r="E1489" i="4" s="1"/>
  <c r="F1489" i="1"/>
  <c r="F1489" i="4" s="1"/>
  <c r="D1490" i="1"/>
  <c r="D1490" i="4" s="1"/>
  <c r="E1490" i="1"/>
  <c r="E1490" i="4" s="1"/>
  <c r="F1490" i="1"/>
  <c r="F1490" i="4" s="1"/>
  <c r="D1491" i="1"/>
  <c r="D1491" i="4" s="1"/>
  <c r="E1491" i="1"/>
  <c r="E1491" i="4" s="1"/>
  <c r="F1491" i="1"/>
  <c r="F1491" i="4" s="1"/>
  <c r="D1492" i="1"/>
  <c r="D1492" i="4" s="1"/>
  <c r="E1492" i="1"/>
  <c r="E1492" i="4" s="1"/>
  <c r="F1492" i="1"/>
  <c r="F1492" i="4" s="1"/>
  <c r="D1493" i="1"/>
  <c r="D1493" i="4" s="1"/>
  <c r="E1493" i="1"/>
  <c r="E1493" i="4" s="1"/>
  <c r="F1493" i="1"/>
  <c r="F1493" i="4" s="1"/>
  <c r="D1494" i="1"/>
  <c r="D1494" i="4" s="1"/>
  <c r="E1494" i="1"/>
  <c r="E1494" i="4" s="1"/>
  <c r="F1494" i="1"/>
  <c r="F1494" i="4" s="1"/>
  <c r="D1495" i="1"/>
  <c r="D1495" i="4" s="1"/>
  <c r="E1495" i="1"/>
  <c r="E1495" i="4" s="1"/>
  <c r="F1495" i="1"/>
  <c r="F1495" i="4" s="1"/>
  <c r="D1496" i="1"/>
  <c r="D1496" i="4" s="1"/>
  <c r="E1496" i="1"/>
  <c r="E1496" i="4" s="1"/>
  <c r="F1496" i="1"/>
  <c r="F1496" i="4" s="1"/>
  <c r="D1497" i="1"/>
  <c r="D1497" i="4" s="1"/>
  <c r="E1497" i="1"/>
  <c r="E1497" i="4" s="1"/>
  <c r="F1497" i="1"/>
  <c r="F1497" i="4" s="1"/>
  <c r="D1498" i="1"/>
  <c r="D1498" i="4" s="1"/>
  <c r="E1498" i="1"/>
  <c r="E1498" i="4" s="1"/>
  <c r="F1498" i="1"/>
  <c r="F1498" i="4" s="1"/>
  <c r="D1499" i="1"/>
  <c r="D1499" i="4" s="1"/>
  <c r="E1499" i="1"/>
  <c r="E1499" i="4" s="1"/>
  <c r="F1499" i="1"/>
  <c r="F1499" i="4" s="1"/>
  <c r="D1500" i="1"/>
  <c r="D1500" i="4" s="1"/>
  <c r="E1500" i="1"/>
  <c r="E1500" i="4" s="1"/>
  <c r="F1500" i="1"/>
  <c r="F1500" i="4" s="1"/>
  <c r="D1501" i="1"/>
  <c r="D1501" i="4" s="1"/>
  <c r="E1501" i="1"/>
  <c r="E1501" i="4" s="1"/>
  <c r="F1501" i="1"/>
  <c r="F1501" i="4" s="1"/>
  <c r="D1502" i="1"/>
  <c r="D1502" i="4" s="1"/>
  <c r="E1502" i="1"/>
  <c r="E1502" i="4" s="1"/>
  <c r="F1502" i="1"/>
  <c r="F1502" i="4" s="1"/>
  <c r="D1503" i="1"/>
  <c r="D1503" i="4" s="1"/>
  <c r="E1503" i="1"/>
  <c r="E1503" i="4" s="1"/>
  <c r="F1503" i="1"/>
  <c r="F1503" i="4" s="1"/>
  <c r="D1504" i="1"/>
  <c r="D1504" i="4" s="1"/>
  <c r="E1504" i="1"/>
  <c r="E1504" i="4" s="1"/>
  <c r="F1504" i="1"/>
  <c r="F1504" i="4" s="1"/>
  <c r="D1505" i="1"/>
  <c r="D1505" i="4" s="1"/>
  <c r="E1505" i="1"/>
  <c r="E1505" i="4" s="1"/>
  <c r="F1505" i="1"/>
  <c r="F1505" i="4" s="1"/>
  <c r="D1506" i="1"/>
  <c r="D1506" i="4" s="1"/>
  <c r="E1506" i="1"/>
  <c r="E1506" i="4" s="1"/>
  <c r="F1506" i="1"/>
  <c r="F1506" i="4" s="1"/>
  <c r="D1507" i="1"/>
  <c r="D1507" i="4" s="1"/>
  <c r="E1507" i="1"/>
  <c r="E1507" i="4" s="1"/>
  <c r="F1507" i="1"/>
  <c r="F1507" i="4" s="1"/>
  <c r="D1508" i="1"/>
  <c r="D1508" i="4" s="1"/>
  <c r="E1508" i="1"/>
  <c r="E1508" i="4" s="1"/>
  <c r="F1508" i="1"/>
  <c r="F1508" i="4" s="1"/>
  <c r="D1509" i="1"/>
  <c r="D1509" i="4" s="1"/>
  <c r="E1509" i="1"/>
  <c r="E1509" i="4" s="1"/>
  <c r="F1509" i="1"/>
  <c r="F1509" i="4" s="1"/>
  <c r="D1510" i="1"/>
  <c r="D1510" i="4" s="1"/>
  <c r="E1510" i="1"/>
  <c r="E1510" i="4" s="1"/>
  <c r="F1510" i="1"/>
  <c r="F1510" i="4" s="1"/>
  <c r="D1511" i="1"/>
  <c r="D1511" i="4" s="1"/>
  <c r="E1511" i="1"/>
  <c r="E1511" i="4" s="1"/>
  <c r="F1511" i="1"/>
  <c r="F1511" i="4" s="1"/>
  <c r="D1512" i="1"/>
  <c r="D1512" i="4" s="1"/>
  <c r="E1512" i="1"/>
  <c r="E1512" i="4" s="1"/>
  <c r="F1512" i="1"/>
  <c r="F1512" i="4" s="1"/>
  <c r="D1513" i="1"/>
  <c r="D1513" i="4" s="1"/>
  <c r="E1513" i="1"/>
  <c r="E1513" i="4" s="1"/>
  <c r="F1513" i="1"/>
  <c r="F1513" i="4" s="1"/>
  <c r="D1514" i="1"/>
  <c r="D1514" i="4" s="1"/>
  <c r="E1514" i="1"/>
  <c r="E1514" i="4" s="1"/>
  <c r="F1514" i="1"/>
  <c r="F1514" i="4" s="1"/>
  <c r="D1515" i="1"/>
  <c r="D1515" i="4" s="1"/>
  <c r="E1515" i="1"/>
  <c r="E1515" i="4" s="1"/>
  <c r="F1515" i="1"/>
  <c r="F1515" i="4" s="1"/>
  <c r="D1516" i="1"/>
  <c r="D1516" i="4" s="1"/>
  <c r="E1516" i="1"/>
  <c r="E1516" i="4" s="1"/>
  <c r="F1516" i="1"/>
  <c r="F1516" i="4" s="1"/>
  <c r="D1517" i="1"/>
  <c r="D1517" i="4" s="1"/>
  <c r="E1517" i="1"/>
  <c r="E1517" i="4" s="1"/>
  <c r="F1517" i="1"/>
  <c r="F1517" i="4" s="1"/>
  <c r="D1518" i="1"/>
  <c r="D1518" i="4" s="1"/>
  <c r="E1518" i="1"/>
  <c r="E1518" i="4" s="1"/>
  <c r="F1518" i="1"/>
  <c r="F1518" i="4" s="1"/>
  <c r="D1519" i="1"/>
  <c r="D1519" i="4" s="1"/>
  <c r="E1519" i="1"/>
  <c r="E1519" i="4" s="1"/>
  <c r="F1519" i="1"/>
  <c r="F1519" i="4" s="1"/>
  <c r="D1520" i="1"/>
  <c r="D1520" i="4" s="1"/>
  <c r="E1520" i="1"/>
  <c r="E1520" i="4" s="1"/>
  <c r="F1520" i="1"/>
  <c r="F1520" i="4" s="1"/>
  <c r="D1521" i="1"/>
  <c r="D1521" i="4" s="1"/>
  <c r="E1521" i="1"/>
  <c r="E1521" i="4" s="1"/>
  <c r="F1521" i="1"/>
  <c r="F1521" i="4" s="1"/>
  <c r="D1522" i="1"/>
  <c r="D1522" i="4" s="1"/>
  <c r="E1522" i="1"/>
  <c r="E1522" i="4" s="1"/>
  <c r="F1522" i="1"/>
  <c r="F1522" i="4" s="1"/>
  <c r="D1523" i="1"/>
  <c r="D1523" i="4" s="1"/>
  <c r="E1523" i="1"/>
  <c r="E1523" i="4" s="1"/>
  <c r="F1523" i="1"/>
  <c r="F1523" i="4" s="1"/>
  <c r="D1524" i="1"/>
  <c r="D1524" i="4" s="1"/>
  <c r="E1524" i="1"/>
  <c r="E1524" i="4" s="1"/>
  <c r="F1524" i="1"/>
  <c r="F1524" i="4" s="1"/>
  <c r="D1525" i="1"/>
  <c r="D1525" i="4" s="1"/>
  <c r="E1525" i="1"/>
  <c r="E1525" i="4" s="1"/>
  <c r="F1525" i="1"/>
  <c r="F1525" i="4" s="1"/>
  <c r="D1526" i="1"/>
  <c r="D1526" i="4" s="1"/>
  <c r="E1526" i="1"/>
  <c r="E1526" i="4" s="1"/>
  <c r="F1526" i="1"/>
  <c r="F1526" i="4" s="1"/>
  <c r="D1527" i="1"/>
  <c r="D1527" i="4" s="1"/>
  <c r="E1527" i="1"/>
  <c r="E1527" i="4" s="1"/>
  <c r="F1527" i="1"/>
  <c r="F1527" i="4" s="1"/>
  <c r="D1528" i="1"/>
  <c r="D1528" i="4" s="1"/>
  <c r="E1528" i="1"/>
  <c r="E1528" i="4" s="1"/>
  <c r="F1528" i="1"/>
  <c r="F1528" i="4" s="1"/>
  <c r="D1529" i="1"/>
  <c r="D1529" i="4" s="1"/>
  <c r="E1529" i="1"/>
  <c r="E1529" i="4" s="1"/>
  <c r="F1529" i="1"/>
  <c r="F1529" i="4" s="1"/>
  <c r="D1530" i="1"/>
  <c r="D1530" i="4" s="1"/>
  <c r="E1530" i="1"/>
  <c r="E1530" i="4" s="1"/>
  <c r="F1530" i="1"/>
  <c r="F1530" i="4" s="1"/>
  <c r="D1531" i="1"/>
  <c r="D1531" i="4" s="1"/>
  <c r="E1531" i="1"/>
  <c r="E1531" i="4" s="1"/>
  <c r="F1531" i="1"/>
  <c r="F1531" i="4" s="1"/>
  <c r="D1532" i="1"/>
  <c r="D1532" i="4" s="1"/>
  <c r="E1532" i="1"/>
  <c r="E1532" i="4" s="1"/>
  <c r="F1532" i="1"/>
  <c r="F1532" i="4" s="1"/>
  <c r="D1533" i="1"/>
  <c r="D1533" i="4" s="1"/>
  <c r="E1533" i="1"/>
  <c r="E1533" i="4" s="1"/>
  <c r="F1533" i="1"/>
  <c r="F1533" i="4" s="1"/>
  <c r="D1534" i="1"/>
  <c r="D1534" i="4" s="1"/>
  <c r="E1534" i="1"/>
  <c r="E1534" i="4" s="1"/>
  <c r="F1534" i="1"/>
  <c r="F1534" i="4" s="1"/>
  <c r="D1535" i="1"/>
  <c r="D1535" i="4" s="1"/>
  <c r="E1535" i="1"/>
  <c r="E1535" i="4" s="1"/>
  <c r="F1535" i="1"/>
  <c r="F1535" i="4" s="1"/>
  <c r="D1536" i="1"/>
  <c r="D1536" i="4" s="1"/>
  <c r="E1536" i="1"/>
  <c r="E1536" i="4" s="1"/>
  <c r="F1536" i="1"/>
  <c r="F1536" i="4" s="1"/>
  <c r="D1537" i="1"/>
  <c r="D1537" i="4" s="1"/>
  <c r="E1537" i="1"/>
  <c r="E1537" i="4" s="1"/>
  <c r="F1537" i="1"/>
  <c r="F1537" i="4" s="1"/>
  <c r="D1538" i="1"/>
  <c r="D1538" i="4" s="1"/>
  <c r="E1538" i="1"/>
  <c r="E1538" i="4" s="1"/>
  <c r="F1538" i="1"/>
  <c r="F1538" i="4" s="1"/>
  <c r="D1539" i="1"/>
  <c r="D1539" i="4" s="1"/>
  <c r="E1539" i="1"/>
  <c r="E1539" i="4" s="1"/>
  <c r="F1539" i="1"/>
  <c r="F1539" i="4" s="1"/>
  <c r="D1540" i="1"/>
  <c r="D1540" i="4" s="1"/>
  <c r="E1540" i="1"/>
  <c r="E1540" i="4" s="1"/>
  <c r="F1540" i="1"/>
  <c r="F1540" i="4" s="1"/>
  <c r="D1541" i="1"/>
  <c r="D1541" i="4" s="1"/>
  <c r="E1541" i="1"/>
  <c r="E1541" i="4" s="1"/>
  <c r="F1541" i="1"/>
  <c r="F1541" i="4" s="1"/>
  <c r="D1542" i="1"/>
  <c r="D1542" i="4" s="1"/>
  <c r="E1542" i="1"/>
  <c r="E1542" i="4" s="1"/>
  <c r="F1542" i="1"/>
  <c r="F1542" i="4" s="1"/>
  <c r="D1543" i="1"/>
  <c r="D1543" i="4" s="1"/>
  <c r="E1543" i="1"/>
  <c r="E1543" i="4" s="1"/>
  <c r="F1543" i="1"/>
  <c r="F1543" i="4" s="1"/>
  <c r="D1544" i="1"/>
  <c r="D1544" i="4" s="1"/>
  <c r="E1544" i="1"/>
  <c r="E1544" i="4" s="1"/>
  <c r="F1544" i="1"/>
  <c r="F1544" i="4" s="1"/>
  <c r="D1545" i="1"/>
  <c r="D1545" i="4" s="1"/>
  <c r="E1545" i="1"/>
  <c r="E1545" i="4" s="1"/>
  <c r="F1545" i="1"/>
  <c r="F1545" i="4" s="1"/>
  <c r="D1546" i="1"/>
  <c r="D1546" i="4" s="1"/>
  <c r="E1546" i="1"/>
  <c r="E1546" i="4" s="1"/>
  <c r="F1546" i="1"/>
  <c r="F1546" i="4" s="1"/>
  <c r="D1547" i="1"/>
  <c r="D1547" i="4" s="1"/>
  <c r="E1547" i="1"/>
  <c r="E1547" i="4" s="1"/>
  <c r="F1547" i="1"/>
  <c r="F1547" i="4" s="1"/>
  <c r="D1548" i="1"/>
  <c r="D1548" i="4" s="1"/>
  <c r="E1548" i="1"/>
  <c r="E1548" i="4" s="1"/>
  <c r="F1548" i="1"/>
  <c r="F1548" i="4" s="1"/>
  <c r="D1549" i="1"/>
  <c r="D1549" i="4" s="1"/>
  <c r="E1549" i="1"/>
  <c r="E1549" i="4" s="1"/>
  <c r="F1549" i="1"/>
  <c r="F1549" i="4" s="1"/>
  <c r="D1550" i="1"/>
  <c r="D1550" i="4" s="1"/>
  <c r="E1550" i="1"/>
  <c r="E1550" i="4" s="1"/>
  <c r="F1550" i="1"/>
  <c r="F1550" i="4" s="1"/>
  <c r="D1551" i="1"/>
  <c r="D1551" i="4" s="1"/>
  <c r="E1551" i="1"/>
  <c r="E1551" i="4" s="1"/>
  <c r="F1551" i="1"/>
  <c r="F1551" i="4" s="1"/>
  <c r="D1552" i="1"/>
  <c r="D1552" i="4" s="1"/>
  <c r="E1552" i="1"/>
  <c r="E1552" i="4" s="1"/>
  <c r="F1552" i="1"/>
  <c r="F1552" i="4" s="1"/>
  <c r="D1553" i="1"/>
  <c r="D1553" i="4" s="1"/>
  <c r="E1553" i="1"/>
  <c r="E1553" i="4" s="1"/>
  <c r="F1553" i="1"/>
  <c r="F1553" i="4" s="1"/>
  <c r="D1554" i="1"/>
  <c r="D1554" i="4" s="1"/>
  <c r="E1554" i="1"/>
  <c r="E1554" i="4" s="1"/>
  <c r="F1554" i="1"/>
  <c r="F1554" i="4" s="1"/>
  <c r="D1555" i="1"/>
  <c r="D1555" i="4" s="1"/>
  <c r="E1555" i="1"/>
  <c r="E1555" i="4" s="1"/>
  <c r="F1555" i="1"/>
  <c r="F1555" i="4" s="1"/>
  <c r="D1556" i="1"/>
  <c r="D1556" i="4" s="1"/>
  <c r="E1556" i="1"/>
  <c r="E1556" i="4" s="1"/>
  <c r="F1556" i="1"/>
  <c r="F1556" i="4" s="1"/>
  <c r="D1557" i="1"/>
  <c r="D1557" i="4" s="1"/>
  <c r="E1557" i="1"/>
  <c r="E1557" i="4" s="1"/>
  <c r="F1557" i="1"/>
  <c r="F1557" i="4" s="1"/>
  <c r="D1558" i="1"/>
  <c r="D1558" i="4" s="1"/>
  <c r="E1558" i="1"/>
  <c r="E1558" i="4" s="1"/>
  <c r="F1558" i="1"/>
  <c r="F1558" i="4" s="1"/>
  <c r="D1559" i="1"/>
  <c r="D1559" i="4" s="1"/>
  <c r="E1559" i="1"/>
  <c r="E1559" i="4" s="1"/>
  <c r="F1559" i="1"/>
  <c r="F1559" i="4" s="1"/>
  <c r="D1560" i="1"/>
  <c r="D1560" i="4" s="1"/>
  <c r="E1560" i="1"/>
  <c r="E1560" i="4" s="1"/>
  <c r="F1560" i="1"/>
  <c r="F1560" i="4" s="1"/>
  <c r="D1561" i="1"/>
  <c r="D1561" i="4" s="1"/>
  <c r="E1561" i="1"/>
  <c r="E1561" i="4" s="1"/>
  <c r="F1561" i="1"/>
  <c r="F1561" i="4" s="1"/>
  <c r="D1562" i="1"/>
  <c r="D1562" i="4" s="1"/>
  <c r="E1562" i="1"/>
  <c r="E1562" i="4" s="1"/>
  <c r="F1562" i="1"/>
  <c r="F1562" i="4" s="1"/>
  <c r="D1563" i="1"/>
  <c r="D1563" i="4" s="1"/>
  <c r="E1563" i="1"/>
  <c r="E1563" i="4" s="1"/>
  <c r="F1563" i="1"/>
  <c r="F1563" i="4" s="1"/>
  <c r="D1564" i="1"/>
  <c r="D1564" i="4" s="1"/>
  <c r="E1564" i="1"/>
  <c r="E1564" i="4" s="1"/>
  <c r="F1564" i="1"/>
  <c r="F1564" i="4" s="1"/>
  <c r="D1565" i="1"/>
  <c r="D1565" i="4" s="1"/>
  <c r="E1565" i="1"/>
  <c r="E1565" i="4" s="1"/>
  <c r="F1565" i="1"/>
  <c r="F1565" i="4" s="1"/>
  <c r="D1566" i="1"/>
  <c r="D1566" i="4" s="1"/>
  <c r="E1566" i="1"/>
  <c r="E1566" i="4" s="1"/>
  <c r="F1566" i="1"/>
  <c r="F1566" i="4" s="1"/>
  <c r="D1567" i="1"/>
  <c r="D1567" i="4" s="1"/>
  <c r="E1567" i="1"/>
  <c r="E1567" i="4" s="1"/>
  <c r="F1567" i="1"/>
  <c r="F1567" i="4" s="1"/>
  <c r="D1568" i="1"/>
  <c r="D1568" i="4" s="1"/>
  <c r="E1568" i="1"/>
  <c r="E1568" i="4" s="1"/>
  <c r="F1568" i="1"/>
  <c r="F1568" i="4" s="1"/>
  <c r="D1569" i="1"/>
  <c r="D1569" i="4" s="1"/>
  <c r="E1569" i="1"/>
  <c r="E1569" i="4" s="1"/>
  <c r="F1569" i="1"/>
  <c r="F1569" i="4" s="1"/>
  <c r="D1570" i="1"/>
  <c r="D1570" i="4" s="1"/>
  <c r="E1570" i="1"/>
  <c r="E1570" i="4" s="1"/>
  <c r="F1570" i="1"/>
  <c r="F1570" i="4" s="1"/>
  <c r="D1571" i="1"/>
  <c r="D1571" i="4" s="1"/>
  <c r="E1571" i="1"/>
  <c r="E1571" i="4" s="1"/>
  <c r="F1571" i="1"/>
  <c r="F1571" i="4" s="1"/>
  <c r="D1572" i="1"/>
  <c r="D1572" i="4" s="1"/>
  <c r="E1572" i="1"/>
  <c r="E1572" i="4" s="1"/>
  <c r="F1572" i="1"/>
  <c r="F1572" i="4" s="1"/>
  <c r="D1573" i="1"/>
  <c r="D1573" i="4" s="1"/>
  <c r="E1573" i="1"/>
  <c r="E1573" i="4" s="1"/>
  <c r="F1573" i="1"/>
  <c r="F1573" i="4" s="1"/>
  <c r="D1574" i="1"/>
  <c r="D1574" i="4" s="1"/>
  <c r="E1574" i="1"/>
  <c r="E1574" i="4" s="1"/>
  <c r="F1574" i="1"/>
  <c r="F1574" i="4" s="1"/>
  <c r="D1575" i="1"/>
  <c r="D1575" i="4" s="1"/>
  <c r="E1575" i="1"/>
  <c r="E1575" i="4" s="1"/>
  <c r="F1575" i="1"/>
  <c r="F1575" i="4" s="1"/>
  <c r="D1576" i="1"/>
  <c r="D1576" i="4" s="1"/>
  <c r="E1576" i="1"/>
  <c r="E1576" i="4" s="1"/>
  <c r="F1576" i="1"/>
  <c r="F1576" i="4" s="1"/>
  <c r="D1577" i="1"/>
  <c r="D1577" i="4" s="1"/>
  <c r="E1577" i="1"/>
  <c r="E1577" i="4" s="1"/>
  <c r="F1577" i="1"/>
  <c r="F1577" i="4" s="1"/>
  <c r="D1578" i="1"/>
  <c r="D1578" i="4" s="1"/>
  <c r="E1578" i="1"/>
  <c r="E1578" i="4" s="1"/>
  <c r="F1578" i="1"/>
  <c r="F1578" i="4" s="1"/>
  <c r="D1579" i="1"/>
  <c r="D1579" i="4" s="1"/>
  <c r="E1579" i="1"/>
  <c r="E1579" i="4" s="1"/>
  <c r="F1579" i="1"/>
  <c r="F1579" i="4" s="1"/>
  <c r="D1580" i="1"/>
  <c r="D1580" i="4" s="1"/>
  <c r="E1580" i="1"/>
  <c r="E1580" i="4" s="1"/>
  <c r="F1580" i="1"/>
  <c r="F1580" i="4" s="1"/>
  <c r="D1581" i="1"/>
  <c r="D1581" i="4" s="1"/>
  <c r="E1581" i="1"/>
  <c r="E1581" i="4" s="1"/>
  <c r="F1581" i="1"/>
  <c r="F1581" i="4" s="1"/>
  <c r="D1582" i="1"/>
  <c r="D1582" i="4" s="1"/>
  <c r="E1582" i="1"/>
  <c r="E1582" i="4" s="1"/>
  <c r="F1582" i="1"/>
  <c r="F1582" i="4" s="1"/>
  <c r="D1583" i="1"/>
  <c r="D1583" i="4" s="1"/>
  <c r="E1583" i="1"/>
  <c r="E1583" i="4" s="1"/>
  <c r="F1583" i="1"/>
  <c r="F1583" i="4" s="1"/>
  <c r="D1584" i="1"/>
  <c r="D1584" i="4" s="1"/>
  <c r="E1584" i="1"/>
  <c r="E1584" i="4" s="1"/>
  <c r="F1584" i="1"/>
  <c r="F1584" i="4" s="1"/>
  <c r="D1585" i="1"/>
  <c r="D1585" i="4" s="1"/>
  <c r="E1585" i="1"/>
  <c r="E1585" i="4" s="1"/>
  <c r="F1585" i="1"/>
  <c r="F1585" i="4" s="1"/>
  <c r="D1586" i="1"/>
  <c r="D1586" i="4" s="1"/>
  <c r="E1586" i="1"/>
  <c r="E1586" i="4" s="1"/>
  <c r="F1586" i="1"/>
  <c r="F1586" i="4" s="1"/>
  <c r="D1587" i="1"/>
  <c r="D1587" i="4" s="1"/>
  <c r="E1587" i="1"/>
  <c r="E1587" i="4" s="1"/>
  <c r="F1587" i="1"/>
  <c r="F1587" i="4" s="1"/>
  <c r="D1588" i="1"/>
  <c r="D1588" i="4" s="1"/>
  <c r="E1588" i="1"/>
  <c r="E1588" i="4" s="1"/>
  <c r="F1588" i="1"/>
  <c r="F1588" i="4" s="1"/>
  <c r="D1589" i="1"/>
  <c r="D1589" i="4" s="1"/>
  <c r="E1589" i="1"/>
  <c r="E1589" i="4" s="1"/>
  <c r="F1589" i="1"/>
  <c r="F1589" i="4" s="1"/>
  <c r="D1590" i="1"/>
  <c r="D1590" i="4" s="1"/>
  <c r="E1590" i="1"/>
  <c r="E1590" i="4" s="1"/>
  <c r="F1590" i="1"/>
  <c r="F1590" i="4" s="1"/>
  <c r="D1591" i="1"/>
  <c r="D1591" i="4" s="1"/>
  <c r="E1591" i="1"/>
  <c r="E1591" i="4" s="1"/>
  <c r="F1591" i="1"/>
  <c r="F1591" i="4" s="1"/>
  <c r="D1592" i="1"/>
  <c r="D1592" i="4" s="1"/>
  <c r="E1592" i="1"/>
  <c r="E1592" i="4" s="1"/>
  <c r="F1592" i="1"/>
  <c r="F1592" i="4" s="1"/>
  <c r="D1593" i="1"/>
  <c r="D1593" i="4" s="1"/>
  <c r="E1593" i="1"/>
  <c r="E1593" i="4" s="1"/>
  <c r="F1593" i="1"/>
  <c r="F1593" i="4" s="1"/>
  <c r="D1594" i="1"/>
  <c r="D1594" i="4" s="1"/>
  <c r="E1594" i="1"/>
  <c r="E1594" i="4" s="1"/>
  <c r="F1594" i="1"/>
  <c r="F1594" i="4" s="1"/>
  <c r="D1595" i="1"/>
  <c r="D1595" i="4" s="1"/>
  <c r="E1595" i="1"/>
  <c r="E1595" i="4" s="1"/>
  <c r="F1595" i="1"/>
  <c r="F1595" i="4" s="1"/>
  <c r="D1596" i="1"/>
  <c r="D1596" i="4" s="1"/>
  <c r="E1596" i="1"/>
  <c r="E1596" i="4" s="1"/>
  <c r="F1596" i="1"/>
  <c r="F1596" i="4" s="1"/>
  <c r="D1597" i="1"/>
  <c r="D1597" i="4" s="1"/>
  <c r="E1597" i="1"/>
  <c r="E1597" i="4" s="1"/>
  <c r="F1597" i="1"/>
  <c r="F1597" i="4" s="1"/>
  <c r="D1598" i="1"/>
  <c r="D1598" i="4" s="1"/>
  <c r="E1598" i="1"/>
  <c r="E1598" i="4" s="1"/>
  <c r="F1598" i="1"/>
  <c r="F1598" i="4" s="1"/>
  <c r="D1599" i="1"/>
  <c r="D1599" i="4" s="1"/>
  <c r="E1599" i="1"/>
  <c r="E1599" i="4" s="1"/>
  <c r="F1599" i="1"/>
  <c r="F1599" i="4" s="1"/>
  <c r="D1600" i="1"/>
  <c r="D1600" i="4" s="1"/>
  <c r="E1600" i="1"/>
  <c r="E1600" i="4" s="1"/>
  <c r="F1600" i="1"/>
  <c r="F1600" i="4" s="1"/>
  <c r="D1601" i="1"/>
  <c r="D1601" i="4" s="1"/>
  <c r="E1601" i="1"/>
  <c r="E1601" i="4" s="1"/>
  <c r="F1601" i="1"/>
  <c r="F1601" i="4" s="1"/>
  <c r="D1602" i="1"/>
  <c r="D1602" i="4" s="1"/>
  <c r="E1602" i="1"/>
  <c r="E1602" i="4" s="1"/>
  <c r="F1602" i="1"/>
  <c r="F1602" i="4" s="1"/>
  <c r="D1603" i="1"/>
  <c r="D1603" i="4" s="1"/>
  <c r="E1603" i="1"/>
  <c r="E1603" i="4" s="1"/>
  <c r="F1603" i="1"/>
  <c r="F1603" i="4" s="1"/>
  <c r="D1604" i="1"/>
  <c r="D1604" i="4" s="1"/>
  <c r="E1604" i="1"/>
  <c r="E1604" i="4" s="1"/>
  <c r="F1604" i="1"/>
  <c r="F1604" i="4" s="1"/>
  <c r="D1605" i="1"/>
  <c r="D1605" i="4" s="1"/>
  <c r="E1605" i="1"/>
  <c r="E1605" i="4" s="1"/>
  <c r="F1605" i="1"/>
  <c r="F1605" i="4" s="1"/>
  <c r="D1606" i="1"/>
  <c r="D1606" i="4" s="1"/>
  <c r="E1606" i="1"/>
  <c r="E1606" i="4" s="1"/>
  <c r="F1606" i="1"/>
  <c r="F1606" i="4" s="1"/>
  <c r="D1607" i="1"/>
  <c r="D1607" i="4" s="1"/>
  <c r="E1607" i="1"/>
  <c r="E1607" i="4" s="1"/>
  <c r="F1607" i="1"/>
  <c r="F1607" i="4" s="1"/>
  <c r="D1608" i="1"/>
  <c r="D1608" i="4" s="1"/>
  <c r="E1608" i="1"/>
  <c r="E1608" i="4" s="1"/>
  <c r="F1608" i="1"/>
  <c r="F1608" i="4" s="1"/>
  <c r="D1609" i="1"/>
  <c r="D1609" i="4" s="1"/>
  <c r="E1609" i="1"/>
  <c r="E1609" i="4" s="1"/>
  <c r="F1609" i="1"/>
  <c r="F1609" i="4" s="1"/>
  <c r="D1610" i="1"/>
  <c r="D1610" i="4" s="1"/>
  <c r="E1610" i="1"/>
  <c r="E1610" i="4" s="1"/>
  <c r="F1610" i="1"/>
  <c r="F1610" i="4" s="1"/>
  <c r="D1611" i="1"/>
  <c r="D1611" i="4" s="1"/>
  <c r="E1611" i="1"/>
  <c r="E1611" i="4" s="1"/>
  <c r="F1611" i="1"/>
  <c r="F1611" i="4" s="1"/>
  <c r="D1612" i="1"/>
  <c r="D1612" i="4" s="1"/>
  <c r="E1612" i="1"/>
  <c r="E1612" i="4" s="1"/>
  <c r="F1612" i="1"/>
  <c r="F1612" i="4" s="1"/>
  <c r="D1613" i="1"/>
  <c r="D1613" i="4" s="1"/>
  <c r="E1613" i="1"/>
  <c r="E1613" i="4" s="1"/>
  <c r="F1613" i="1"/>
  <c r="F1613" i="4" s="1"/>
  <c r="D1614" i="1"/>
  <c r="D1614" i="4" s="1"/>
  <c r="E1614" i="1"/>
  <c r="E1614" i="4" s="1"/>
  <c r="F1614" i="1"/>
  <c r="F1614" i="4" s="1"/>
  <c r="D1615" i="1"/>
  <c r="D1615" i="4" s="1"/>
  <c r="E1615" i="1"/>
  <c r="E1615" i="4" s="1"/>
  <c r="F1615" i="1"/>
  <c r="F1615" i="4" s="1"/>
  <c r="D1616" i="1"/>
  <c r="D1616" i="4" s="1"/>
  <c r="E1616" i="1"/>
  <c r="E1616" i="4" s="1"/>
  <c r="F1616" i="1"/>
  <c r="F1616" i="4" s="1"/>
  <c r="D1617" i="1"/>
  <c r="D1617" i="4" s="1"/>
  <c r="E1617" i="1"/>
  <c r="E1617" i="4" s="1"/>
  <c r="F1617" i="1"/>
  <c r="F1617" i="4" s="1"/>
  <c r="D1618" i="1"/>
  <c r="D1618" i="4" s="1"/>
  <c r="E1618" i="1"/>
  <c r="E1618" i="4" s="1"/>
  <c r="F1618" i="1"/>
  <c r="F1618" i="4" s="1"/>
  <c r="D1619" i="1"/>
  <c r="D1619" i="4" s="1"/>
  <c r="E1619" i="1"/>
  <c r="E1619" i="4" s="1"/>
  <c r="F1619" i="1"/>
  <c r="F1619" i="4" s="1"/>
  <c r="D1620" i="1"/>
  <c r="D1620" i="4" s="1"/>
  <c r="E1620" i="1"/>
  <c r="E1620" i="4" s="1"/>
  <c r="F1620" i="1"/>
  <c r="F1620" i="4" s="1"/>
  <c r="D1621" i="1"/>
  <c r="D1621" i="4" s="1"/>
  <c r="E1621" i="1"/>
  <c r="E1621" i="4" s="1"/>
  <c r="F1621" i="1"/>
  <c r="F1621" i="4" s="1"/>
  <c r="D1622" i="1"/>
  <c r="D1622" i="4" s="1"/>
  <c r="E1622" i="1"/>
  <c r="E1622" i="4" s="1"/>
  <c r="F1622" i="1"/>
  <c r="F1622" i="4" s="1"/>
  <c r="D1623" i="1"/>
  <c r="D1623" i="4" s="1"/>
  <c r="E1623" i="1"/>
  <c r="E1623" i="4" s="1"/>
  <c r="F1623" i="1"/>
  <c r="F1623" i="4" s="1"/>
  <c r="D1624" i="1"/>
  <c r="D1624" i="4" s="1"/>
  <c r="E1624" i="1"/>
  <c r="E1624" i="4" s="1"/>
  <c r="F1624" i="1"/>
  <c r="F1624" i="4" s="1"/>
  <c r="D1625" i="1"/>
  <c r="D1625" i="4" s="1"/>
  <c r="E1625" i="1"/>
  <c r="E1625" i="4" s="1"/>
  <c r="F1625" i="1"/>
  <c r="F1625" i="4" s="1"/>
  <c r="D1626" i="1"/>
  <c r="D1626" i="4" s="1"/>
  <c r="E1626" i="1"/>
  <c r="E1626" i="4" s="1"/>
  <c r="F1626" i="1"/>
  <c r="F1626" i="4" s="1"/>
  <c r="D1627" i="1"/>
  <c r="D1627" i="4" s="1"/>
  <c r="E1627" i="1"/>
  <c r="E1627" i="4" s="1"/>
  <c r="F1627" i="1"/>
  <c r="F1627" i="4" s="1"/>
  <c r="D1628" i="1"/>
  <c r="D1628" i="4" s="1"/>
  <c r="E1628" i="1"/>
  <c r="E1628" i="4" s="1"/>
  <c r="F1628" i="1"/>
  <c r="F1628" i="4" s="1"/>
  <c r="D1629" i="1"/>
  <c r="D1629" i="4" s="1"/>
  <c r="E1629" i="1"/>
  <c r="E1629" i="4" s="1"/>
  <c r="F1629" i="1"/>
  <c r="F1629" i="4" s="1"/>
  <c r="D1630" i="1"/>
  <c r="D1630" i="4" s="1"/>
  <c r="E1630" i="1"/>
  <c r="E1630" i="4" s="1"/>
  <c r="F1630" i="1"/>
  <c r="F1630" i="4" s="1"/>
  <c r="D1631" i="1"/>
  <c r="D1631" i="4" s="1"/>
  <c r="E1631" i="1"/>
  <c r="E1631" i="4" s="1"/>
  <c r="F1631" i="1"/>
  <c r="F1631" i="4" s="1"/>
  <c r="D1632" i="1"/>
  <c r="D1632" i="4" s="1"/>
  <c r="E1632" i="1"/>
  <c r="E1632" i="4" s="1"/>
  <c r="F1632" i="1"/>
  <c r="F1632" i="4" s="1"/>
  <c r="D1633" i="1"/>
  <c r="D1633" i="4" s="1"/>
  <c r="E1633" i="1"/>
  <c r="E1633" i="4" s="1"/>
  <c r="F1633" i="1"/>
  <c r="F1633" i="4" s="1"/>
  <c r="D1634" i="1"/>
  <c r="D1634" i="4" s="1"/>
  <c r="E1634" i="1"/>
  <c r="E1634" i="4" s="1"/>
  <c r="F1634" i="1"/>
  <c r="F1634" i="4" s="1"/>
  <c r="D1635" i="1"/>
  <c r="D1635" i="4" s="1"/>
  <c r="E1635" i="1"/>
  <c r="E1635" i="4" s="1"/>
  <c r="F1635" i="1"/>
  <c r="F1635" i="4" s="1"/>
  <c r="D1636" i="1"/>
  <c r="D1636" i="4" s="1"/>
  <c r="E1636" i="1"/>
  <c r="E1636" i="4" s="1"/>
  <c r="F1636" i="1"/>
  <c r="F1636" i="4" s="1"/>
  <c r="D1637" i="1"/>
  <c r="D1637" i="4" s="1"/>
  <c r="E1637" i="1"/>
  <c r="E1637" i="4" s="1"/>
  <c r="F1637" i="1"/>
  <c r="F1637" i="4" s="1"/>
  <c r="D1638" i="1"/>
  <c r="D1638" i="4" s="1"/>
  <c r="E1638" i="1"/>
  <c r="E1638" i="4" s="1"/>
  <c r="F1638" i="1"/>
  <c r="F1638" i="4" s="1"/>
  <c r="D1639" i="1"/>
  <c r="D1639" i="4" s="1"/>
  <c r="E1639" i="1"/>
  <c r="E1639" i="4" s="1"/>
  <c r="F1639" i="1"/>
  <c r="F1639" i="4" s="1"/>
  <c r="D1640" i="1"/>
  <c r="D1640" i="4" s="1"/>
  <c r="E1640" i="1"/>
  <c r="E1640" i="4" s="1"/>
  <c r="F1640" i="1"/>
  <c r="F1640" i="4" s="1"/>
  <c r="D1641" i="1"/>
  <c r="D1641" i="4" s="1"/>
  <c r="E1641" i="1"/>
  <c r="E1641" i="4" s="1"/>
  <c r="F1641" i="1"/>
  <c r="F1641" i="4" s="1"/>
  <c r="D1642" i="1"/>
  <c r="D1642" i="4" s="1"/>
  <c r="E1642" i="1"/>
  <c r="E1642" i="4" s="1"/>
  <c r="F1642" i="1"/>
  <c r="F1642" i="4" s="1"/>
  <c r="D1643" i="1"/>
  <c r="D1643" i="4" s="1"/>
  <c r="E1643" i="1"/>
  <c r="E1643" i="4" s="1"/>
  <c r="F1643" i="1"/>
  <c r="F1643" i="4" s="1"/>
  <c r="D1644" i="1"/>
  <c r="D1644" i="4" s="1"/>
  <c r="E1644" i="1"/>
  <c r="E1644" i="4" s="1"/>
  <c r="F1644" i="1"/>
  <c r="F1644" i="4" s="1"/>
  <c r="D1645" i="1"/>
  <c r="D1645" i="4" s="1"/>
  <c r="E1645" i="1"/>
  <c r="E1645" i="4" s="1"/>
  <c r="F1645" i="1"/>
  <c r="F1645" i="4" s="1"/>
  <c r="D1646" i="1"/>
  <c r="D1646" i="4" s="1"/>
  <c r="E1646" i="1"/>
  <c r="E1646" i="4" s="1"/>
  <c r="F1646" i="1"/>
  <c r="F1646" i="4" s="1"/>
  <c r="D1647" i="1"/>
  <c r="D1647" i="4" s="1"/>
  <c r="E1647" i="1"/>
  <c r="E1647" i="4" s="1"/>
  <c r="F1647" i="1"/>
  <c r="F1647" i="4" s="1"/>
  <c r="D1648" i="1"/>
  <c r="D1648" i="4" s="1"/>
  <c r="E1648" i="1"/>
  <c r="E1648" i="4" s="1"/>
  <c r="F1648" i="1"/>
  <c r="F1648" i="4" s="1"/>
  <c r="D1649" i="1"/>
  <c r="D1649" i="4" s="1"/>
  <c r="E1649" i="1"/>
  <c r="E1649" i="4" s="1"/>
  <c r="F1649" i="1"/>
  <c r="F1649" i="4" s="1"/>
  <c r="D1650" i="1"/>
  <c r="D1650" i="4" s="1"/>
  <c r="E1650" i="1"/>
  <c r="E1650" i="4" s="1"/>
  <c r="F1650" i="1"/>
  <c r="F1650" i="4" s="1"/>
  <c r="D1651" i="1"/>
  <c r="D1651" i="4" s="1"/>
  <c r="E1651" i="1"/>
  <c r="E1651" i="4" s="1"/>
  <c r="F1651" i="1"/>
  <c r="F1651" i="4" s="1"/>
  <c r="D1652" i="1"/>
  <c r="D1652" i="4" s="1"/>
  <c r="E1652" i="1"/>
  <c r="E1652" i="4" s="1"/>
  <c r="F1652" i="1"/>
  <c r="F1652" i="4" s="1"/>
  <c r="D1653" i="1"/>
  <c r="D1653" i="4" s="1"/>
  <c r="E1653" i="1"/>
  <c r="E1653" i="4" s="1"/>
  <c r="F1653" i="1"/>
  <c r="F1653" i="4" s="1"/>
  <c r="D1654" i="1"/>
  <c r="D1654" i="4" s="1"/>
  <c r="E1654" i="1"/>
  <c r="E1654" i="4" s="1"/>
  <c r="F1654" i="1"/>
  <c r="F1654" i="4" s="1"/>
  <c r="D1655" i="1"/>
  <c r="D1655" i="4" s="1"/>
  <c r="E1655" i="1"/>
  <c r="E1655" i="4" s="1"/>
  <c r="F1655" i="1"/>
  <c r="F1655" i="4" s="1"/>
  <c r="D1656" i="1"/>
  <c r="D1656" i="4" s="1"/>
  <c r="E1656" i="1"/>
  <c r="E1656" i="4" s="1"/>
  <c r="F1656" i="1"/>
  <c r="F1656" i="4" s="1"/>
  <c r="D1657" i="1"/>
  <c r="D1657" i="4" s="1"/>
  <c r="E1657" i="1"/>
  <c r="E1657" i="4" s="1"/>
  <c r="F1657" i="1"/>
  <c r="F1657" i="4" s="1"/>
  <c r="D1658" i="1"/>
  <c r="D1658" i="4" s="1"/>
  <c r="E1658" i="1"/>
  <c r="E1658" i="4" s="1"/>
  <c r="F1658" i="1"/>
  <c r="F1658" i="4" s="1"/>
  <c r="D1659" i="1"/>
  <c r="D1659" i="4" s="1"/>
  <c r="E1659" i="1"/>
  <c r="E1659" i="4" s="1"/>
  <c r="F1659" i="1"/>
  <c r="F1659" i="4" s="1"/>
  <c r="D1660" i="1"/>
  <c r="D1660" i="4" s="1"/>
  <c r="E1660" i="1"/>
  <c r="E1660" i="4" s="1"/>
  <c r="F1660" i="1"/>
  <c r="F1660" i="4" s="1"/>
  <c r="D1661" i="1"/>
  <c r="D1661" i="4" s="1"/>
  <c r="E1661" i="1"/>
  <c r="E1661" i="4" s="1"/>
  <c r="F1661" i="1"/>
  <c r="F1661" i="4" s="1"/>
  <c r="D1662" i="1"/>
  <c r="D1662" i="4" s="1"/>
  <c r="E1662" i="1"/>
  <c r="E1662" i="4" s="1"/>
  <c r="F1662" i="1"/>
  <c r="F1662" i="4" s="1"/>
  <c r="D1663" i="1"/>
  <c r="D1663" i="4" s="1"/>
  <c r="E1663" i="1"/>
  <c r="E1663" i="4" s="1"/>
  <c r="F1663" i="1"/>
  <c r="F1663" i="4" s="1"/>
  <c r="D1664" i="1"/>
  <c r="D1664" i="4" s="1"/>
  <c r="E1664" i="1"/>
  <c r="E1664" i="4" s="1"/>
  <c r="F1664" i="1"/>
  <c r="F1664" i="4" s="1"/>
  <c r="D1665" i="1"/>
  <c r="D1665" i="4" s="1"/>
  <c r="E1665" i="1"/>
  <c r="E1665" i="4" s="1"/>
  <c r="F1665" i="1"/>
  <c r="F1665" i="4" s="1"/>
  <c r="D1666" i="1"/>
  <c r="D1666" i="4" s="1"/>
  <c r="E1666" i="1"/>
  <c r="E1666" i="4" s="1"/>
  <c r="F1666" i="1"/>
  <c r="F1666" i="4" s="1"/>
  <c r="D1667" i="1"/>
  <c r="D1667" i="4" s="1"/>
  <c r="E1667" i="1"/>
  <c r="E1667" i="4" s="1"/>
  <c r="F1667" i="1"/>
  <c r="F1667" i="4" s="1"/>
  <c r="D1668" i="1"/>
  <c r="D1668" i="4" s="1"/>
  <c r="E1668" i="1"/>
  <c r="E1668" i="4" s="1"/>
  <c r="F1668" i="1"/>
  <c r="F1668" i="4" s="1"/>
  <c r="D1669" i="1"/>
  <c r="D1669" i="4" s="1"/>
  <c r="E1669" i="1"/>
  <c r="E1669" i="4" s="1"/>
  <c r="F1669" i="1"/>
  <c r="F1669" i="4" s="1"/>
  <c r="D1670" i="1"/>
  <c r="D1670" i="4" s="1"/>
  <c r="E1670" i="1"/>
  <c r="E1670" i="4" s="1"/>
  <c r="F1670" i="1"/>
  <c r="F1670" i="4" s="1"/>
  <c r="D1671" i="1"/>
  <c r="D1671" i="4" s="1"/>
  <c r="E1671" i="1"/>
  <c r="E1671" i="4" s="1"/>
  <c r="F1671" i="1"/>
  <c r="F1671" i="4" s="1"/>
  <c r="D1672" i="1"/>
  <c r="D1672" i="4" s="1"/>
  <c r="E1672" i="1"/>
  <c r="E1672" i="4" s="1"/>
  <c r="F1672" i="1"/>
  <c r="F1672" i="4" s="1"/>
  <c r="D1673" i="1"/>
  <c r="D1673" i="4" s="1"/>
  <c r="E1673" i="1"/>
  <c r="E1673" i="4" s="1"/>
  <c r="F1673" i="1"/>
  <c r="F1673" i="4" s="1"/>
  <c r="D1674" i="1"/>
  <c r="D1674" i="4" s="1"/>
  <c r="E1674" i="1"/>
  <c r="E1674" i="4" s="1"/>
  <c r="F1674" i="1"/>
  <c r="F1674" i="4" s="1"/>
  <c r="D1675" i="1"/>
  <c r="D1675" i="4" s="1"/>
  <c r="E1675" i="1"/>
  <c r="E1675" i="4" s="1"/>
  <c r="F1675" i="1"/>
  <c r="F1675" i="4" s="1"/>
  <c r="D1676" i="1"/>
  <c r="D1676" i="4" s="1"/>
  <c r="E1676" i="1"/>
  <c r="E1676" i="4" s="1"/>
  <c r="F1676" i="1"/>
  <c r="F1676" i="4" s="1"/>
  <c r="D1677" i="1"/>
  <c r="D1677" i="4" s="1"/>
  <c r="E1677" i="1"/>
  <c r="E1677" i="4" s="1"/>
  <c r="F1677" i="1"/>
  <c r="F1677" i="4" s="1"/>
  <c r="D1678" i="1"/>
  <c r="D1678" i="4" s="1"/>
  <c r="E1678" i="1"/>
  <c r="E1678" i="4" s="1"/>
  <c r="F1678" i="1"/>
  <c r="F1678" i="4" s="1"/>
  <c r="D1679" i="1"/>
  <c r="D1679" i="4" s="1"/>
  <c r="E1679" i="1"/>
  <c r="E1679" i="4" s="1"/>
  <c r="F1679" i="1"/>
  <c r="F1679" i="4" s="1"/>
  <c r="D1680" i="1"/>
  <c r="D1680" i="4" s="1"/>
  <c r="E1680" i="1"/>
  <c r="E1680" i="4" s="1"/>
  <c r="F1680" i="1"/>
  <c r="F1680" i="4" s="1"/>
  <c r="D1681" i="1"/>
  <c r="D1681" i="4" s="1"/>
  <c r="E1681" i="1"/>
  <c r="E1681" i="4" s="1"/>
  <c r="F1681" i="1"/>
  <c r="F1681" i="4" s="1"/>
  <c r="D1682" i="1"/>
  <c r="D1682" i="4" s="1"/>
  <c r="E1682" i="1"/>
  <c r="E1682" i="4" s="1"/>
  <c r="F1682" i="1"/>
  <c r="F1682" i="4" s="1"/>
  <c r="D1683" i="1"/>
  <c r="D1683" i="4" s="1"/>
  <c r="E1683" i="1"/>
  <c r="E1683" i="4" s="1"/>
  <c r="F1683" i="1"/>
  <c r="F1683" i="4" s="1"/>
  <c r="D1684" i="1"/>
  <c r="D1684" i="4" s="1"/>
  <c r="E1684" i="1"/>
  <c r="E1684" i="4" s="1"/>
  <c r="F1684" i="1"/>
  <c r="F1684" i="4" s="1"/>
  <c r="D1685" i="1"/>
  <c r="D1685" i="4" s="1"/>
  <c r="E1685" i="1"/>
  <c r="E1685" i="4" s="1"/>
  <c r="F1685" i="1"/>
  <c r="F1685" i="4" s="1"/>
  <c r="D1686" i="1"/>
  <c r="D1686" i="4" s="1"/>
  <c r="E1686" i="1"/>
  <c r="E1686" i="4" s="1"/>
  <c r="F1686" i="1"/>
  <c r="F1686" i="4" s="1"/>
  <c r="D1687" i="1"/>
  <c r="D1687" i="4" s="1"/>
  <c r="E1687" i="1"/>
  <c r="E1687" i="4" s="1"/>
  <c r="F1687" i="1"/>
  <c r="F1687" i="4" s="1"/>
  <c r="D1688" i="1"/>
  <c r="D1688" i="4" s="1"/>
  <c r="E1688" i="1"/>
  <c r="E1688" i="4" s="1"/>
  <c r="F1688" i="1"/>
  <c r="F1688" i="4" s="1"/>
  <c r="D1689" i="1"/>
  <c r="D1689" i="4" s="1"/>
  <c r="E1689" i="1"/>
  <c r="E1689" i="4" s="1"/>
  <c r="F1689" i="1"/>
  <c r="F1689" i="4" s="1"/>
  <c r="D1690" i="1"/>
  <c r="D1690" i="4" s="1"/>
  <c r="E1690" i="1"/>
  <c r="E1690" i="4" s="1"/>
  <c r="F1690" i="1"/>
  <c r="F1690" i="4" s="1"/>
  <c r="D1691" i="1"/>
  <c r="D1691" i="4" s="1"/>
  <c r="E1691" i="1"/>
  <c r="E1691" i="4" s="1"/>
  <c r="F1691" i="1"/>
  <c r="F1691" i="4" s="1"/>
  <c r="D1692" i="1"/>
  <c r="D1692" i="4" s="1"/>
  <c r="E1692" i="1"/>
  <c r="E1692" i="4" s="1"/>
  <c r="F1692" i="1"/>
  <c r="F1692" i="4" s="1"/>
  <c r="D1693" i="1"/>
  <c r="D1693" i="4" s="1"/>
  <c r="E1693" i="1"/>
  <c r="E1693" i="4" s="1"/>
  <c r="F1693" i="1"/>
  <c r="F1693" i="4" s="1"/>
  <c r="D1694" i="1"/>
  <c r="D1694" i="4" s="1"/>
  <c r="E1694" i="1"/>
  <c r="E1694" i="4" s="1"/>
  <c r="F1694" i="1"/>
  <c r="F1694" i="4" s="1"/>
  <c r="D1695" i="1"/>
  <c r="D1695" i="4" s="1"/>
  <c r="E1695" i="1"/>
  <c r="E1695" i="4" s="1"/>
  <c r="F1695" i="1"/>
  <c r="F1695" i="4" s="1"/>
  <c r="D1696" i="1"/>
  <c r="D1696" i="4" s="1"/>
  <c r="E1696" i="1"/>
  <c r="E1696" i="4" s="1"/>
  <c r="F1696" i="1"/>
  <c r="F1696" i="4" s="1"/>
  <c r="D1697" i="1"/>
  <c r="D1697" i="4" s="1"/>
  <c r="E1697" i="1"/>
  <c r="E1697" i="4" s="1"/>
  <c r="F1697" i="1"/>
  <c r="F1697" i="4" s="1"/>
  <c r="D1698" i="1"/>
  <c r="D1698" i="4" s="1"/>
  <c r="E1698" i="1"/>
  <c r="E1698" i="4" s="1"/>
  <c r="F1698" i="1"/>
  <c r="F1698" i="4" s="1"/>
  <c r="D1699" i="1"/>
  <c r="D1699" i="4" s="1"/>
  <c r="E1699" i="1"/>
  <c r="E1699" i="4" s="1"/>
  <c r="F1699" i="1"/>
  <c r="F1699" i="4" s="1"/>
  <c r="D1700" i="1"/>
  <c r="D1700" i="4" s="1"/>
  <c r="E1700" i="1"/>
  <c r="E1700" i="4" s="1"/>
  <c r="F1700" i="1"/>
  <c r="F1700" i="4" s="1"/>
  <c r="D1701" i="1"/>
  <c r="D1701" i="4" s="1"/>
  <c r="E1701" i="1"/>
  <c r="E1701" i="4" s="1"/>
  <c r="F1701" i="1"/>
  <c r="F1701" i="4" s="1"/>
  <c r="D1702" i="1"/>
  <c r="D1702" i="4" s="1"/>
  <c r="E1702" i="1"/>
  <c r="E1702" i="4" s="1"/>
  <c r="F1702" i="1"/>
  <c r="F1702" i="4" s="1"/>
  <c r="D1703" i="1"/>
  <c r="D1703" i="4" s="1"/>
  <c r="E1703" i="1"/>
  <c r="E1703" i="4" s="1"/>
  <c r="F1703" i="1"/>
  <c r="F1703" i="4" s="1"/>
  <c r="D1704" i="1"/>
  <c r="D1704" i="4" s="1"/>
  <c r="E1704" i="1"/>
  <c r="E1704" i="4" s="1"/>
  <c r="F1704" i="1"/>
  <c r="F1704" i="4" s="1"/>
  <c r="D1705" i="1"/>
  <c r="D1705" i="4" s="1"/>
  <c r="E1705" i="1"/>
  <c r="E1705" i="4" s="1"/>
  <c r="F1705" i="1"/>
  <c r="F1705" i="4" s="1"/>
  <c r="D1706" i="1"/>
  <c r="D1706" i="4" s="1"/>
  <c r="E1706" i="1"/>
  <c r="E1706" i="4" s="1"/>
  <c r="F1706" i="1"/>
  <c r="F1706" i="4" s="1"/>
  <c r="D1707" i="1"/>
  <c r="D1707" i="4" s="1"/>
  <c r="E1707" i="1"/>
  <c r="E1707" i="4" s="1"/>
  <c r="F1707" i="1"/>
  <c r="F1707" i="4" s="1"/>
  <c r="D1708" i="1"/>
  <c r="D1708" i="4" s="1"/>
  <c r="E1708" i="1"/>
  <c r="E1708" i="4" s="1"/>
  <c r="F1708" i="1"/>
  <c r="F1708" i="4" s="1"/>
  <c r="D1709" i="1"/>
  <c r="D1709" i="4" s="1"/>
  <c r="E1709" i="1"/>
  <c r="E1709" i="4" s="1"/>
  <c r="F1709" i="1"/>
  <c r="F1709" i="4" s="1"/>
  <c r="D1710" i="1"/>
  <c r="D1710" i="4" s="1"/>
  <c r="E1710" i="1"/>
  <c r="E1710" i="4" s="1"/>
  <c r="F1710" i="1"/>
  <c r="F1710" i="4" s="1"/>
  <c r="D1711" i="1"/>
  <c r="D1711" i="4" s="1"/>
  <c r="E1711" i="1"/>
  <c r="E1711" i="4" s="1"/>
  <c r="F1711" i="1"/>
  <c r="F1711" i="4" s="1"/>
  <c r="D1712" i="1"/>
  <c r="D1712" i="4" s="1"/>
  <c r="E1712" i="1"/>
  <c r="E1712" i="4" s="1"/>
  <c r="F1712" i="1"/>
  <c r="F1712" i="4" s="1"/>
  <c r="D1713" i="1"/>
  <c r="D1713" i="4" s="1"/>
  <c r="E1713" i="1"/>
  <c r="E1713" i="4" s="1"/>
  <c r="F1713" i="1"/>
  <c r="F1713" i="4" s="1"/>
  <c r="D1714" i="1"/>
  <c r="D1714" i="4" s="1"/>
  <c r="E1714" i="1"/>
  <c r="E1714" i="4" s="1"/>
  <c r="F1714" i="1"/>
  <c r="F1714" i="4" s="1"/>
  <c r="D1715" i="1"/>
  <c r="D1715" i="4" s="1"/>
  <c r="E1715" i="1"/>
  <c r="E1715" i="4" s="1"/>
  <c r="F1715" i="1"/>
  <c r="F1715" i="4" s="1"/>
  <c r="D1716" i="1"/>
  <c r="D1716" i="4" s="1"/>
  <c r="E1716" i="1"/>
  <c r="E1716" i="4" s="1"/>
  <c r="F1716" i="1"/>
  <c r="F1716" i="4" s="1"/>
  <c r="D1717" i="1"/>
  <c r="D1717" i="4" s="1"/>
  <c r="E1717" i="1"/>
  <c r="E1717" i="4" s="1"/>
  <c r="F1717" i="1"/>
  <c r="F1717" i="4" s="1"/>
  <c r="D1718" i="1"/>
  <c r="D1718" i="4" s="1"/>
  <c r="E1718" i="1"/>
  <c r="E1718" i="4" s="1"/>
  <c r="F1718" i="1"/>
  <c r="F1718" i="4" s="1"/>
  <c r="D1719" i="1"/>
  <c r="D1719" i="4" s="1"/>
  <c r="E1719" i="1"/>
  <c r="E1719" i="4" s="1"/>
  <c r="F1719" i="1"/>
  <c r="F1719" i="4" s="1"/>
  <c r="D1720" i="1"/>
  <c r="D1720" i="4" s="1"/>
  <c r="E1720" i="1"/>
  <c r="E1720" i="4" s="1"/>
  <c r="F1720" i="1"/>
  <c r="F1720" i="4" s="1"/>
  <c r="D1721" i="1"/>
  <c r="D1721" i="4" s="1"/>
  <c r="E1721" i="1"/>
  <c r="E1721" i="4" s="1"/>
  <c r="F1721" i="1"/>
  <c r="F1721" i="4" s="1"/>
  <c r="D1722" i="1"/>
  <c r="D1722" i="4" s="1"/>
  <c r="E1722" i="1"/>
  <c r="E1722" i="4" s="1"/>
  <c r="F1722" i="1"/>
  <c r="F1722" i="4" s="1"/>
  <c r="D1723" i="1"/>
  <c r="D1723" i="4" s="1"/>
  <c r="E1723" i="1"/>
  <c r="E1723" i="4" s="1"/>
  <c r="F1723" i="1"/>
  <c r="F1723" i="4" s="1"/>
  <c r="D1724" i="1"/>
  <c r="D1724" i="4" s="1"/>
  <c r="E1724" i="1"/>
  <c r="E1724" i="4" s="1"/>
  <c r="F1724" i="1"/>
  <c r="F1724" i="4" s="1"/>
  <c r="D1725" i="1"/>
  <c r="D1725" i="4" s="1"/>
  <c r="E1725" i="1"/>
  <c r="E1725" i="4" s="1"/>
  <c r="F1725" i="1"/>
  <c r="F1725" i="4" s="1"/>
  <c r="D1726" i="1"/>
  <c r="D1726" i="4" s="1"/>
  <c r="E1726" i="1"/>
  <c r="E1726" i="4" s="1"/>
  <c r="F1726" i="1"/>
  <c r="F1726" i="4" s="1"/>
  <c r="D1727" i="1"/>
  <c r="D1727" i="4" s="1"/>
  <c r="E1727" i="1"/>
  <c r="E1727" i="4" s="1"/>
  <c r="F1727" i="1"/>
  <c r="F1727" i="4" s="1"/>
  <c r="D1728" i="1"/>
  <c r="D1728" i="4" s="1"/>
  <c r="E1728" i="1"/>
  <c r="E1728" i="4" s="1"/>
  <c r="F1728" i="1"/>
  <c r="F1728" i="4" s="1"/>
  <c r="D1729" i="1"/>
  <c r="D1729" i="4" s="1"/>
  <c r="E1729" i="1"/>
  <c r="E1729" i="4" s="1"/>
  <c r="F1729" i="1"/>
  <c r="F1729" i="4" s="1"/>
  <c r="D1730" i="1"/>
  <c r="D1730" i="4" s="1"/>
  <c r="E1730" i="1"/>
  <c r="E1730" i="4" s="1"/>
  <c r="F1730" i="1"/>
  <c r="F1730" i="4" s="1"/>
  <c r="D1731" i="1"/>
  <c r="D1731" i="4" s="1"/>
  <c r="E1731" i="1"/>
  <c r="E1731" i="4" s="1"/>
  <c r="F1731" i="1"/>
  <c r="F1731" i="4" s="1"/>
  <c r="D1732" i="1"/>
  <c r="D1732" i="4" s="1"/>
  <c r="E1732" i="1"/>
  <c r="E1732" i="4" s="1"/>
  <c r="F1732" i="1"/>
  <c r="F1732" i="4" s="1"/>
  <c r="D1733" i="1"/>
  <c r="D1733" i="4" s="1"/>
  <c r="E1733" i="1"/>
  <c r="E1733" i="4" s="1"/>
  <c r="F1733" i="1"/>
  <c r="F1733" i="4" s="1"/>
  <c r="D1734" i="1"/>
  <c r="D1734" i="4" s="1"/>
  <c r="E1734" i="1"/>
  <c r="E1734" i="4" s="1"/>
  <c r="F1734" i="1"/>
  <c r="F1734" i="4" s="1"/>
  <c r="D1735" i="1"/>
  <c r="D1735" i="4" s="1"/>
  <c r="E1735" i="1"/>
  <c r="E1735" i="4" s="1"/>
  <c r="F1735" i="1"/>
  <c r="F1735" i="4" s="1"/>
  <c r="D1736" i="1"/>
  <c r="D1736" i="4" s="1"/>
  <c r="E1736" i="1"/>
  <c r="E1736" i="4" s="1"/>
  <c r="F1736" i="1"/>
  <c r="F1736" i="4" s="1"/>
  <c r="D1737" i="1"/>
  <c r="D1737" i="4" s="1"/>
  <c r="E1737" i="1"/>
  <c r="E1737" i="4" s="1"/>
  <c r="F1737" i="1"/>
  <c r="F1737" i="4" s="1"/>
  <c r="D1738" i="1"/>
  <c r="D1738" i="4" s="1"/>
  <c r="E1738" i="1"/>
  <c r="E1738" i="4" s="1"/>
  <c r="F1738" i="1"/>
  <c r="F1738" i="4" s="1"/>
  <c r="D1739" i="1"/>
  <c r="D1739" i="4" s="1"/>
  <c r="E1739" i="1"/>
  <c r="E1739" i="4" s="1"/>
  <c r="F1739" i="1"/>
  <c r="F1739" i="4" s="1"/>
  <c r="D1740" i="1"/>
  <c r="D1740" i="4" s="1"/>
  <c r="E1740" i="1"/>
  <c r="E1740" i="4" s="1"/>
  <c r="F1740" i="1"/>
  <c r="F1740" i="4" s="1"/>
  <c r="D1741" i="1"/>
  <c r="D1741" i="4" s="1"/>
  <c r="E1741" i="1"/>
  <c r="E1741" i="4" s="1"/>
  <c r="F1741" i="1"/>
  <c r="F1741" i="4" s="1"/>
  <c r="D1742" i="1"/>
  <c r="D1742" i="4" s="1"/>
  <c r="E1742" i="1"/>
  <c r="E1742" i="4" s="1"/>
  <c r="F1742" i="1"/>
  <c r="F1742" i="4" s="1"/>
  <c r="D1743" i="1"/>
  <c r="D1743" i="4" s="1"/>
  <c r="E1743" i="1"/>
  <c r="E1743" i="4" s="1"/>
  <c r="F1743" i="1"/>
  <c r="F1743" i="4" s="1"/>
  <c r="D1744" i="1"/>
  <c r="D1744" i="4" s="1"/>
  <c r="E1744" i="1"/>
  <c r="E1744" i="4" s="1"/>
  <c r="F1744" i="1"/>
  <c r="F1744" i="4" s="1"/>
  <c r="D1745" i="1"/>
  <c r="D1745" i="4" s="1"/>
  <c r="E1745" i="1"/>
  <c r="E1745" i="4" s="1"/>
  <c r="F1745" i="1"/>
  <c r="F1745" i="4" s="1"/>
  <c r="D1746" i="1"/>
  <c r="D1746" i="4" s="1"/>
  <c r="E1746" i="1"/>
  <c r="E1746" i="4" s="1"/>
  <c r="F1746" i="1"/>
  <c r="F1746" i="4" s="1"/>
  <c r="D1747" i="1"/>
  <c r="D1747" i="4" s="1"/>
  <c r="E1747" i="1"/>
  <c r="E1747" i="4" s="1"/>
  <c r="F1747" i="1"/>
  <c r="F1747" i="4" s="1"/>
  <c r="D1748" i="1"/>
  <c r="D1748" i="4" s="1"/>
  <c r="E1748" i="1"/>
  <c r="E1748" i="4" s="1"/>
  <c r="F1748" i="1"/>
  <c r="F1748" i="4" s="1"/>
  <c r="D1749" i="1"/>
  <c r="D1749" i="4" s="1"/>
  <c r="E1749" i="1"/>
  <c r="E1749" i="4" s="1"/>
  <c r="F1749" i="1"/>
  <c r="F1749" i="4" s="1"/>
  <c r="D1750" i="1"/>
  <c r="D1750" i="4" s="1"/>
  <c r="E1750" i="1"/>
  <c r="E1750" i="4" s="1"/>
  <c r="F1750" i="1"/>
  <c r="F1750" i="4" s="1"/>
  <c r="D1751" i="1"/>
  <c r="D1751" i="4" s="1"/>
  <c r="E1751" i="1"/>
  <c r="E1751" i="4" s="1"/>
  <c r="F1751" i="1"/>
  <c r="F1751" i="4" s="1"/>
  <c r="D1752" i="1"/>
  <c r="D1752" i="4" s="1"/>
  <c r="E1752" i="1"/>
  <c r="E1752" i="4" s="1"/>
  <c r="F1752" i="1"/>
  <c r="F1752" i="4" s="1"/>
  <c r="D1753" i="1"/>
  <c r="D1753" i="4" s="1"/>
  <c r="E1753" i="1"/>
  <c r="E1753" i="4" s="1"/>
  <c r="F1753" i="1"/>
  <c r="F1753" i="4" s="1"/>
  <c r="D1754" i="1"/>
  <c r="D1754" i="4" s="1"/>
  <c r="E1754" i="1"/>
  <c r="E1754" i="4" s="1"/>
  <c r="F1754" i="1"/>
  <c r="F1754" i="4" s="1"/>
  <c r="D1755" i="1"/>
  <c r="D1755" i="4" s="1"/>
  <c r="E1755" i="1"/>
  <c r="E1755" i="4" s="1"/>
  <c r="F1755" i="1"/>
  <c r="F1755" i="4" s="1"/>
  <c r="D1756" i="1"/>
  <c r="D1756" i="4" s="1"/>
  <c r="E1756" i="1"/>
  <c r="E1756" i="4" s="1"/>
  <c r="F1756" i="1"/>
  <c r="F1756" i="4" s="1"/>
  <c r="D1757" i="1"/>
  <c r="D1757" i="4" s="1"/>
  <c r="E1757" i="1"/>
  <c r="E1757" i="4" s="1"/>
  <c r="F1757" i="1"/>
  <c r="F1757" i="4" s="1"/>
  <c r="D1758" i="1"/>
  <c r="D1758" i="4" s="1"/>
  <c r="E1758" i="1"/>
  <c r="E1758" i="4" s="1"/>
  <c r="F1758" i="1"/>
  <c r="F1758" i="4" s="1"/>
  <c r="D1759" i="1"/>
  <c r="D1759" i="4" s="1"/>
  <c r="E1759" i="1"/>
  <c r="E1759" i="4" s="1"/>
  <c r="F1759" i="1"/>
  <c r="F1759" i="4" s="1"/>
  <c r="D1760" i="1"/>
  <c r="D1760" i="4" s="1"/>
  <c r="E1760" i="1"/>
  <c r="E1760" i="4" s="1"/>
  <c r="F1760" i="1"/>
  <c r="F1760" i="4" s="1"/>
  <c r="D1761" i="1"/>
  <c r="D1761" i="4" s="1"/>
  <c r="E1761" i="1"/>
  <c r="E1761" i="4" s="1"/>
  <c r="F1761" i="1"/>
  <c r="F1761" i="4" s="1"/>
  <c r="D1762" i="1"/>
  <c r="D1762" i="4" s="1"/>
  <c r="E1762" i="1"/>
  <c r="E1762" i="4" s="1"/>
  <c r="F1762" i="1"/>
  <c r="F1762" i="4" s="1"/>
  <c r="D1763" i="1"/>
  <c r="D1763" i="4" s="1"/>
  <c r="E1763" i="1"/>
  <c r="E1763" i="4" s="1"/>
  <c r="F1763" i="1"/>
  <c r="F1763" i="4" s="1"/>
  <c r="D1764" i="1"/>
  <c r="D1764" i="4" s="1"/>
  <c r="E1764" i="1"/>
  <c r="E1764" i="4" s="1"/>
  <c r="F1764" i="1"/>
  <c r="F1764" i="4" s="1"/>
  <c r="D1765" i="1"/>
  <c r="D1765" i="4" s="1"/>
  <c r="E1765" i="1"/>
  <c r="E1765" i="4" s="1"/>
  <c r="F1765" i="1"/>
  <c r="F1765" i="4" s="1"/>
  <c r="D1766" i="1"/>
  <c r="D1766" i="4" s="1"/>
  <c r="E1766" i="1"/>
  <c r="E1766" i="4" s="1"/>
  <c r="F1766" i="1"/>
  <c r="F1766" i="4" s="1"/>
  <c r="D1767" i="1"/>
  <c r="D1767" i="4" s="1"/>
  <c r="E1767" i="1"/>
  <c r="E1767" i="4" s="1"/>
  <c r="F1767" i="1"/>
  <c r="F1767" i="4" s="1"/>
  <c r="D1768" i="1"/>
  <c r="D1768" i="4" s="1"/>
  <c r="E1768" i="1"/>
  <c r="E1768" i="4" s="1"/>
  <c r="F1768" i="1"/>
  <c r="F1768" i="4" s="1"/>
  <c r="D1769" i="1"/>
  <c r="D1769" i="4" s="1"/>
  <c r="E1769" i="1"/>
  <c r="E1769" i="4" s="1"/>
  <c r="F1769" i="1"/>
  <c r="F1769" i="4" s="1"/>
  <c r="D1770" i="1"/>
  <c r="D1770" i="4" s="1"/>
  <c r="E1770" i="1"/>
  <c r="E1770" i="4" s="1"/>
  <c r="F1770" i="1"/>
  <c r="F1770" i="4" s="1"/>
  <c r="D1771" i="1"/>
  <c r="D1771" i="4" s="1"/>
  <c r="E1771" i="1"/>
  <c r="E1771" i="4" s="1"/>
  <c r="F1771" i="1"/>
  <c r="F1771" i="4" s="1"/>
  <c r="D1772" i="1"/>
  <c r="D1772" i="4" s="1"/>
  <c r="E1772" i="1"/>
  <c r="E1772" i="4" s="1"/>
  <c r="F1772" i="1"/>
  <c r="F1772" i="4" s="1"/>
  <c r="D1773" i="1"/>
  <c r="D1773" i="4" s="1"/>
  <c r="E1773" i="1"/>
  <c r="E1773" i="4" s="1"/>
  <c r="F1773" i="1"/>
  <c r="F1773" i="4" s="1"/>
  <c r="D1774" i="1"/>
  <c r="D1774" i="4" s="1"/>
  <c r="E1774" i="1"/>
  <c r="E1774" i="4" s="1"/>
  <c r="F1774" i="1"/>
  <c r="F1774" i="4" s="1"/>
  <c r="D1775" i="1"/>
  <c r="D1775" i="4" s="1"/>
  <c r="E1775" i="1"/>
  <c r="E1775" i="4" s="1"/>
  <c r="F1775" i="1"/>
  <c r="F1775" i="4" s="1"/>
  <c r="D1776" i="1"/>
  <c r="D1776" i="4" s="1"/>
  <c r="E1776" i="1"/>
  <c r="E1776" i="4" s="1"/>
  <c r="F1776" i="1"/>
  <c r="F1776" i="4" s="1"/>
  <c r="D1777" i="1"/>
  <c r="D1777" i="4" s="1"/>
  <c r="E1777" i="1"/>
  <c r="E1777" i="4" s="1"/>
  <c r="F1777" i="1"/>
  <c r="F1777" i="4" s="1"/>
  <c r="D1778" i="1"/>
  <c r="D1778" i="4" s="1"/>
  <c r="E1778" i="1"/>
  <c r="E1778" i="4" s="1"/>
  <c r="F1778" i="1"/>
  <c r="F1778" i="4" s="1"/>
  <c r="D1779" i="1"/>
  <c r="D1779" i="4" s="1"/>
  <c r="E1779" i="1"/>
  <c r="E1779" i="4" s="1"/>
  <c r="F1779" i="1"/>
  <c r="F1779" i="4" s="1"/>
  <c r="D1780" i="1"/>
  <c r="D1780" i="4" s="1"/>
  <c r="E1780" i="1"/>
  <c r="E1780" i="4" s="1"/>
  <c r="F1780" i="1"/>
  <c r="F1780" i="4" s="1"/>
  <c r="D1781" i="1"/>
  <c r="D1781" i="4" s="1"/>
  <c r="E1781" i="1"/>
  <c r="E1781" i="4" s="1"/>
  <c r="F1781" i="1"/>
  <c r="F1781" i="4" s="1"/>
  <c r="D1782" i="1"/>
  <c r="D1782" i="4" s="1"/>
  <c r="E1782" i="1"/>
  <c r="E1782" i="4" s="1"/>
  <c r="F1782" i="1"/>
  <c r="F1782" i="4" s="1"/>
  <c r="D1783" i="1"/>
  <c r="D1783" i="4" s="1"/>
  <c r="E1783" i="1"/>
  <c r="E1783" i="4" s="1"/>
  <c r="F1783" i="1"/>
  <c r="F1783" i="4" s="1"/>
  <c r="D1784" i="1"/>
  <c r="D1784" i="4" s="1"/>
  <c r="E1784" i="1"/>
  <c r="E1784" i="4" s="1"/>
  <c r="F1784" i="1"/>
  <c r="F1784" i="4" s="1"/>
  <c r="D1785" i="1"/>
  <c r="D1785" i="4" s="1"/>
  <c r="E1785" i="1"/>
  <c r="E1785" i="4" s="1"/>
  <c r="F1785" i="1"/>
  <c r="F1785" i="4" s="1"/>
  <c r="D1786" i="1"/>
  <c r="D1786" i="4" s="1"/>
  <c r="E1786" i="1"/>
  <c r="E1786" i="4" s="1"/>
  <c r="F1786" i="1"/>
  <c r="F1786" i="4" s="1"/>
  <c r="D1787" i="1"/>
  <c r="D1787" i="4" s="1"/>
  <c r="E1787" i="1"/>
  <c r="E1787" i="4" s="1"/>
  <c r="F1787" i="1"/>
  <c r="F1787" i="4" s="1"/>
  <c r="D1788" i="1"/>
  <c r="D1788" i="4" s="1"/>
  <c r="E1788" i="1"/>
  <c r="E1788" i="4" s="1"/>
  <c r="F1788" i="1"/>
  <c r="F1788" i="4" s="1"/>
  <c r="D1789" i="1"/>
  <c r="D1789" i="4" s="1"/>
  <c r="E1789" i="1"/>
  <c r="E1789" i="4" s="1"/>
  <c r="F1789" i="1"/>
  <c r="F1789" i="4" s="1"/>
  <c r="D1790" i="1"/>
  <c r="D1790" i="4" s="1"/>
  <c r="E1790" i="1"/>
  <c r="E1790" i="4" s="1"/>
  <c r="F1790" i="1"/>
  <c r="F1790" i="4" s="1"/>
  <c r="D1791" i="1"/>
  <c r="D1791" i="4" s="1"/>
  <c r="E1791" i="1"/>
  <c r="E1791" i="4" s="1"/>
  <c r="F1791" i="1"/>
  <c r="F1791" i="4" s="1"/>
  <c r="D1792" i="1"/>
  <c r="D1792" i="4" s="1"/>
  <c r="E1792" i="1"/>
  <c r="E1792" i="4" s="1"/>
  <c r="F1792" i="1"/>
  <c r="F1792" i="4" s="1"/>
  <c r="D1793" i="1"/>
  <c r="D1793" i="4" s="1"/>
  <c r="E1793" i="1"/>
  <c r="E1793" i="4" s="1"/>
  <c r="F1793" i="1"/>
  <c r="F1793" i="4" s="1"/>
  <c r="D1794" i="1"/>
  <c r="D1794" i="4" s="1"/>
  <c r="E1794" i="1"/>
  <c r="E1794" i="4" s="1"/>
  <c r="F1794" i="1"/>
  <c r="F1794" i="4" s="1"/>
  <c r="D1795" i="1"/>
  <c r="D1795" i="4" s="1"/>
  <c r="E1795" i="1"/>
  <c r="E1795" i="4" s="1"/>
  <c r="F1795" i="1"/>
  <c r="F1795" i="4" s="1"/>
  <c r="D1796" i="1"/>
  <c r="D1796" i="4" s="1"/>
  <c r="E1796" i="1"/>
  <c r="E1796" i="4" s="1"/>
  <c r="F1796" i="1"/>
  <c r="F1796" i="4" s="1"/>
  <c r="D1797" i="1"/>
  <c r="D1797" i="4" s="1"/>
  <c r="E1797" i="1"/>
  <c r="E1797" i="4" s="1"/>
  <c r="F1797" i="1"/>
  <c r="F1797" i="4" s="1"/>
  <c r="D1798" i="1"/>
  <c r="D1798" i="4" s="1"/>
  <c r="E1798" i="1"/>
  <c r="E1798" i="4" s="1"/>
  <c r="F1798" i="1"/>
  <c r="F1798" i="4" s="1"/>
  <c r="D1799" i="1"/>
  <c r="D1799" i="4" s="1"/>
  <c r="E1799" i="1"/>
  <c r="E1799" i="4" s="1"/>
  <c r="F1799" i="1"/>
  <c r="F1799" i="4" s="1"/>
  <c r="D1800" i="1"/>
  <c r="D1800" i="4" s="1"/>
  <c r="E1800" i="1"/>
  <c r="E1800" i="4" s="1"/>
  <c r="F1800" i="1"/>
  <c r="F1800" i="4" s="1"/>
  <c r="D1801" i="1"/>
  <c r="D1801" i="4" s="1"/>
  <c r="E1801" i="1"/>
  <c r="E1801" i="4" s="1"/>
  <c r="F1801" i="1"/>
  <c r="F1801" i="4" s="1"/>
  <c r="D1802" i="1"/>
  <c r="D1802" i="4" s="1"/>
  <c r="E1802" i="1"/>
  <c r="E1802" i="4" s="1"/>
  <c r="F1802" i="1"/>
  <c r="F1802" i="4" s="1"/>
  <c r="D1803" i="1"/>
  <c r="D1803" i="4" s="1"/>
  <c r="E1803" i="1"/>
  <c r="E1803" i="4" s="1"/>
  <c r="F1803" i="1"/>
  <c r="F1803" i="4" s="1"/>
  <c r="D1804" i="1"/>
  <c r="D1804" i="4" s="1"/>
  <c r="E1804" i="1"/>
  <c r="E1804" i="4" s="1"/>
  <c r="F1804" i="1"/>
  <c r="F1804" i="4" s="1"/>
  <c r="D1805" i="1"/>
  <c r="D1805" i="4" s="1"/>
  <c r="E1805" i="1"/>
  <c r="E1805" i="4" s="1"/>
  <c r="F1805" i="1"/>
  <c r="F1805" i="4" s="1"/>
  <c r="D1806" i="1"/>
  <c r="D1806" i="4" s="1"/>
  <c r="E1806" i="1"/>
  <c r="E1806" i="4" s="1"/>
  <c r="F1806" i="1"/>
  <c r="F1806" i="4" s="1"/>
  <c r="D1807" i="1"/>
  <c r="D1807" i="4" s="1"/>
  <c r="E1807" i="1"/>
  <c r="E1807" i="4" s="1"/>
  <c r="F1807" i="1"/>
  <c r="F1807" i="4" s="1"/>
  <c r="D1808" i="1"/>
  <c r="D1808" i="4" s="1"/>
  <c r="E1808" i="1"/>
  <c r="E1808" i="4" s="1"/>
  <c r="F1808" i="1"/>
  <c r="F1808" i="4" s="1"/>
  <c r="D1809" i="1"/>
  <c r="D1809" i="4" s="1"/>
  <c r="E1809" i="1"/>
  <c r="E1809" i="4" s="1"/>
  <c r="F1809" i="1"/>
  <c r="F1809" i="4" s="1"/>
  <c r="D1810" i="1"/>
  <c r="D1810" i="4" s="1"/>
  <c r="E1810" i="1"/>
  <c r="E1810" i="4" s="1"/>
  <c r="F1810" i="1"/>
  <c r="F1810" i="4" s="1"/>
  <c r="D1811" i="1"/>
  <c r="D1811" i="4" s="1"/>
  <c r="E1811" i="1"/>
  <c r="E1811" i="4" s="1"/>
  <c r="F1811" i="1"/>
  <c r="F1811" i="4" s="1"/>
  <c r="D1812" i="1"/>
  <c r="D1812" i="4" s="1"/>
  <c r="E1812" i="1"/>
  <c r="E1812" i="4" s="1"/>
  <c r="F1812" i="1"/>
  <c r="F1812" i="4" s="1"/>
  <c r="D1813" i="1"/>
  <c r="D1813" i="4" s="1"/>
  <c r="E1813" i="1"/>
  <c r="E1813" i="4" s="1"/>
  <c r="F1813" i="1"/>
  <c r="F1813" i="4" s="1"/>
  <c r="D1814" i="1"/>
  <c r="D1814" i="4" s="1"/>
  <c r="E1814" i="1"/>
  <c r="E1814" i="4" s="1"/>
  <c r="F1814" i="1"/>
  <c r="F1814" i="4" s="1"/>
  <c r="D1815" i="1"/>
  <c r="D1815" i="4" s="1"/>
  <c r="E1815" i="1"/>
  <c r="E1815" i="4" s="1"/>
  <c r="F1815" i="1"/>
  <c r="F1815" i="4" s="1"/>
  <c r="D1816" i="1"/>
  <c r="D1816" i="4" s="1"/>
  <c r="E1816" i="1"/>
  <c r="E1816" i="4" s="1"/>
  <c r="F1816" i="1"/>
  <c r="F1816" i="4" s="1"/>
  <c r="D1817" i="1"/>
  <c r="D1817" i="4" s="1"/>
  <c r="E1817" i="1"/>
  <c r="E1817" i="4" s="1"/>
  <c r="F1817" i="1"/>
  <c r="F1817" i="4" s="1"/>
  <c r="D1818" i="1"/>
  <c r="D1818" i="4" s="1"/>
  <c r="E1818" i="1"/>
  <c r="E1818" i="4" s="1"/>
  <c r="F1818" i="1"/>
  <c r="F1818" i="4" s="1"/>
  <c r="D1819" i="1"/>
  <c r="D1819" i="4" s="1"/>
  <c r="E1819" i="1"/>
  <c r="E1819" i="4" s="1"/>
  <c r="F1819" i="1"/>
  <c r="F1819" i="4" s="1"/>
  <c r="D1820" i="1"/>
  <c r="D1820" i="4" s="1"/>
  <c r="E1820" i="1"/>
  <c r="E1820" i="4" s="1"/>
  <c r="F1820" i="1"/>
  <c r="F1820" i="4" s="1"/>
  <c r="D1821" i="1"/>
  <c r="D1821" i="4" s="1"/>
  <c r="E1821" i="1"/>
  <c r="E1821" i="4" s="1"/>
  <c r="F1821" i="1"/>
  <c r="F1821" i="4" s="1"/>
  <c r="D1822" i="1"/>
  <c r="D1822" i="4" s="1"/>
  <c r="E1822" i="1"/>
  <c r="E1822" i="4" s="1"/>
  <c r="F1822" i="1"/>
  <c r="F1822" i="4" s="1"/>
  <c r="D1823" i="1"/>
  <c r="D1823" i="4" s="1"/>
  <c r="E1823" i="1"/>
  <c r="E1823" i="4" s="1"/>
  <c r="F1823" i="1"/>
  <c r="F1823" i="4" s="1"/>
  <c r="D1824" i="1"/>
  <c r="D1824" i="4" s="1"/>
  <c r="E1824" i="1"/>
  <c r="E1824" i="4" s="1"/>
  <c r="F1824" i="1"/>
  <c r="F1824" i="4" s="1"/>
  <c r="D1825" i="1"/>
  <c r="D1825" i="4" s="1"/>
  <c r="E1825" i="1"/>
  <c r="E1825" i="4" s="1"/>
  <c r="F1825" i="1"/>
  <c r="F1825" i="4" s="1"/>
  <c r="D1826" i="1"/>
  <c r="D1826" i="4" s="1"/>
  <c r="E1826" i="1"/>
  <c r="E1826" i="4" s="1"/>
  <c r="F1826" i="1"/>
  <c r="F1826" i="4" s="1"/>
  <c r="D1827" i="1"/>
  <c r="D1827" i="4" s="1"/>
  <c r="E1827" i="1"/>
  <c r="E1827" i="4" s="1"/>
  <c r="F1827" i="1"/>
  <c r="F1827" i="4" s="1"/>
  <c r="D1828" i="1"/>
  <c r="D1828" i="4" s="1"/>
  <c r="E1828" i="1"/>
  <c r="E1828" i="4" s="1"/>
  <c r="F1828" i="1"/>
  <c r="F1828" i="4" s="1"/>
  <c r="D1829" i="1"/>
  <c r="D1829" i="4" s="1"/>
  <c r="E1829" i="1"/>
  <c r="E1829" i="4" s="1"/>
  <c r="F1829" i="1"/>
  <c r="F1829" i="4" s="1"/>
  <c r="D1830" i="1"/>
  <c r="D1830" i="4" s="1"/>
  <c r="E1830" i="1"/>
  <c r="E1830" i="4" s="1"/>
  <c r="F1830" i="1"/>
  <c r="F1830" i="4" s="1"/>
  <c r="D1831" i="1"/>
  <c r="D1831" i="4" s="1"/>
  <c r="E1831" i="1"/>
  <c r="E1831" i="4" s="1"/>
  <c r="F1831" i="1"/>
  <c r="F1831" i="4" s="1"/>
  <c r="D1832" i="1"/>
  <c r="D1832" i="4" s="1"/>
  <c r="E1832" i="1"/>
  <c r="E1832" i="4" s="1"/>
  <c r="F1832" i="1"/>
  <c r="F1832" i="4" s="1"/>
  <c r="D1833" i="1"/>
  <c r="D1833" i="4" s="1"/>
  <c r="E1833" i="1"/>
  <c r="E1833" i="4" s="1"/>
  <c r="F1833" i="1"/>
  <c r="F1833" i="4" s="1"/>
  <c r="D1834" i="1"/>
  <c r="D1834" i="4" s="1"/>
  <c r="E1834" i="1"/>
  <c r="E1834" i="4" s="1"/>
  <c r="F1834" i="1"/>
  <c r="F1834" i="4" s="1"/>
  <c r="D1835" i="1"/>
  <c r="D1835" i="4" s="1"/>
  <c r="E1835" i="1"/>
  <c r="E1835" i="4" s="1"/>
  <c r="F1835" i="1"/>
  <c r="F1835" i="4" s="1"/>
  <c r="D1836" i="1"/>
  <c r="D1836" i="4" s="1"/>
  <c r="E1836" i="1"/>
  <c r="E1836" i="4" s="1"/>
  <c r="F1836" i="1"/>
  <c r="F1836" i="4" s="1"/>
  <c r="D1837" i="1"/>
  <c r="D1837" i="4" s="1"/>
  <c r="E1837" i="1"/>
  <c r="E1837" i="4" s="1"/>
  <c r="F1837" i="1"/>
  <c r="F1837" i="4" s="1"/>
  <c r="D1838" i="1"/>
  <c r="D1838" i="4" s="1"/>
  <c r="E1838" i="1"/>
  <c r="E1838" i="4" s="1"/>
  <c r="F1838" i="1"/>
  <c r="F1838" i="4" s="1"/>
  <c r="D1839" i="1"/>
  <c r="D1839" i="4" s="1"/>
  <c r="E1839" i="1"/>
  <c r="E1839" i="4" s="1"/>
  <c r="F1839" i="1"/>
  <c r="F1839" i="4" s="1"/>
  <c r="D1840" i="1"/>
  <c r="D1840" i="4" s="1"/>
  <c r="E1840" i="1"/>
  <c r="E1840" i="4" s="1"/>
  <c r="F1840" i="1"/>
  <c r="F1840" i="4" s="1"/>
  <c r="D1841" i="1"/>
  <c r="D1841" i="4" s="1"/>
  <c r="E1841" i="1"/>
  <c r="E1841" i="4" s="1"/>
  <c r="F1841" i="1"/>
  <c r="F1841" i="4" s="1"/>
  <c r="D1842" i="1"/>
  <c r="D1842" i="4" s="1"/>
  <c r="E1842" i="1"/>
  <c r="E1842" i="4" s="1"/>
  <c r="F1842" i="1"/>
  <c r="F1842" i="4" s="1"/>
  <c r="D1843" i="1"/>
  <c r="D1843" i="4" s="1"/>
  <c r="E1843" i="1"/>
  <c r="E1843" i="4" s="1"/>
  <c r="F1843" i="1"/>
  <c r="F1843" i="4" s="1"/>
  <c r="D1844" i="1"/>
  <c r="D1844" i="4" s="1"/>
  <c r="E1844" i="1"/>
  <c r="E1844" i="4" s="1"/>
  <c r="F1844" i="1"/>
  <c r="F1844" i="4" s="1"/>
  <c r="D1845" i="1"/>
  <c r="D1845" i="4" s="1"/>
  <c r="E1845" i="1"/>
  <c r="E1845" i="4" s="1"/>
  <c r="F1845" i="1"/>
  <c r="F1845" i="4" s="1"/>
  <c r="D1846" i="1"/>
  <c r="D1846" i="4" s="1"/>
  <c r="E1846" i="1"/>
  <c r="E1846" i="4" s="1"/>
  <c r="F1846" i="1"/>
  <c r="F1846" i="4" s="1"/>
  <c r="D1847" i="1"/>
  <c r="D1847" i="4" s="1"/>
  <c r="E1847" i="1"/>
  <c r="E1847" i="4" s="1"/>
  <c r="F1847" i="1"/>
  <c r="F1847" i="4" s="1"/>
  <c r="D1848" i="1"/>
  <c r="D1848" i="4" s="1"/>
  <c r="E1848" i="1"/>
  <c r="E1848" i="4" s="1"/>
  <c r="F1848" i="1"/>
  <c r="F1848" i="4" s="1"/>
  <c r="D1849" i="1"/>
  <c r="D1849" i="4" s="1"/>
  <c r="E1849" i="1"/>
  <c r="E1849" i="4" s="1"/>
  <c r="F1849" i="1"/>
  <c r="F1849" i="4" s="1"/>
  <c r="D1850" i="1"/>
  <c r="D1850" i="4" s="1"/>
  <c r="E1850" i="1"/>
  <c r="E1850" i="4" s="1"/>
  <c r="F1850" i="1"/>
  <c r="F1850" i="4" s="1"/>
  <c r="D1851" i="1"/>
  <c r="D1851" i="4" s="1"/>
  <c r="E1851" i="1"/>
  <c r="E1851" i="4" s="1"/>
  <c r="F1851" i="1"/>
  <c r="F1851" i="4" s="1"/>
  <c r="D1852" i="1"/>
  <c r="D1852" i="4" s="1"/>
  <c r="E1852" i="1"/>
  <c r="E1852" i="4" s="1"/>
  <c r="F1852" i="1"/>
  <c r="F1852" i="4" s="1"/>
  <c r="D1853" i="1"/>
  <c r="D1853" i="4" s="1"/>
  <c r="E1853" i="1"/>
  <c r="E1853" i="4" s="1"/>
  <c r="F1853" i="1"/>
  <c r="F1853" i="4" s="1"/>
  <c r="D1854" i="1"/>
  <c r="D1854" i="4" s="1"/>
  <c r="E1854" i="1"/>
  <c r="E1854" i="4" s="1"/>
  <c r="F1854" i="1"/>
  <c r="F1854" i="4" s="1"/>
  <c r="D1855" i="1"/>
  <c r="D1855" i="4" s="1"/>
  <c r="E1855" i="1"/>
  <c r="E1855" i="4" s="1"/>
  <c r="F1855" i="1"/>
  <c r="F1855" i="4" s="1"/>
  <c r="D1856" i="1"/>
  <c r="D1856" i="4" s="1"/>
  <c r="E1856" i="1"/>
  <c r="E1856" i="4" s="1"/>
  <c r="F1856" i="1"/>
  <c r="F1856" i="4" s="1"/>
  <c r="D1857" i="1"/>
  <c r="D1857" i="4" s="1"/>
  <c r="E1857" i="1"/>
  <c r="E1857" i="4" s="1"/>
  <c r="F1857" i="1"/>
  <c r="F1857" i="4" s="1"/>
  <c r="D1858" i="1"/>
  <c r="D1858" i="4" s="1"/>
  <c r="E1858" i="1"/>
  <c r="E1858" i="4" s="1"/>
  <c r="F1858" i="1"/>
  <c r="F1858" i="4" s="1"/>
  <c r="D1859" i="1"/>
  <c r="D1859" i="4" s="1"/>
  <c r="E1859" i="1"/>
  <c r="E1859" i="4" s="1"/>
  <c r="F1859" i="1"/>
  <c r="F1859" i="4" s="1"/>
  <c r="D1860" i="1"/>
  <c r="D1860" i="4" s="1"/>
  <c r="E1860" i="1"/>
  <c r="E1860" i="4" s="1"/>
  <c r="F1860" i="1"/>
  <c r="F1860" i="4" s="1"/>
  <c r="D1861" i="1"/>
  <c r="D1861" i="4" s="1"/>
  <c r="E1861" i="1"/>
  <c r="E1861" i="4" s="1"/>
  <c r="F1861" i="1"/>
  <c r="F1861" i="4" s="1"/>
  <c r="D1862" i="1"/>
  <c r="D1862" i="4" s="1"/>
  <c r="E1862" i="1"/>
  <c r="E1862" i="4" s="1"/>
  <c r="F1862" i="1"/>
  <c r="F1862" i="4" s="1"/>
  <c r="D1863" i="1"/>
  <c r="D1863" i="4" s="1"/>
  <c r="E1863" i="1"/>
  <c r="E1863" i="4" s="1"/>
  <c r="F1863" i="1"/>
  <c r="F1863" i="4" s="1"/>
  <c r="D1864" i="1"/>
  <c r="D1864" i="4" s="1"/>
  <c r="E1864" i="1"/>
  <c r="E1864" i="4" s="1"/>
  <c r="F1864" i="1"/>
  <c r="F1864" i="4" s="1"/>
  <c r="D1865" i="1"/>
  <c r="D1865" i="4" s="1"/>
  <c r="E1865" i="1"/>
  <c r="E1865" i="4" s="1"/>
  <c r="F1865" i="1"/>
  <c r="F1865" i="4" s="1"/>
  <c r="D1866" i="1"/>
  <c r="D1866" i="4" s="1"/>
  <c r="E1866" i="1"/>
  <c r="E1866" i="4" s="1"/>
  <c r="F1866" i="1"/>
  <c r="F1866" i="4" s="1"/>
  <c r="D1867" i="1"/>
  <c r="D1867" i="4" s="1"/>
  <c r="E1867" i="1"/>
  <c r="E1867" i="4" s="1"/>
  <c r="F1867" i="1"/>
  <c r="F1867" i="4" s="1"/>
  <c r="D1868" i="1"/>
  <c r="D1868" i="4" s="1"/>
  <c r="E1868" i="1"/>
  <c r="E1868" i="4" s="1"/>
  <c r="F1868" i="1"/>
  <c r="F1868" i="4" s="1"/>
  <c r="D1869" i="1"/>
  <c r="D1869" i="4" s="1"/>
  <c r="E1869" i="1"/>
  <c r="E1869" i="4" s="1"/>
  <c r="F1869" i="1"/>
  <c r="F1869" i="4" s="1"/>
  <c r="D1870" i="1"/>
  <c r="D1870" i="4" s="1"/>
  <c r="E1870" i="1"/>
  <c r="E1870" i="4" s="1"/>
  <c r="F1870" i="1"/>
  <c r="F1870" i="4" s="1"/>
  <c r="D1871" i="1"/>
  <c r="D1871" i="4" s="1"/>
  <c r="E1871" i="1"/>
  <c r="E1871" i="4" s="1"/>
  <c r="F1871" i="1"/>
  <c r="F1871" i="4" s="1"/>
  <c r="D1872" i="1"/>
  <c r="D1872" i="4" s="1"/>
  <c r="E1872" i="1"/>
  <c r="E1872" i="4" s="1"/>
  <c r="F1872" i="1"/>
  <c r="F1872" i="4" s="1"/>
  <c r="D1873" i="1"/>
  <c r="D1873" i="4" s="1"/>
  <c r="E1873" i="1"/>
  <c r="E1873" i="4" s="1"/>
  <c r="F1873" i="1"/>
  <c r="F1873" i="4" s="1"/>
  <c r="D1874" i="1"/>
  <c r="D1874" i="4" s="1"/>
  <c r="E1874" i="1"/>
  <c r="E1874" i="4" s="1"/>
  <c r="F1874" i="1"/>
  <c r="F1874" i="4" s="1"/>
  <c r="D1875" i="1"/>
  <c r="D1875" i="4" s="1"/>
  <c r="E1875" i="1"/>
  <c r="E1875" i="4" s="1"/>
  <c r="F1875" i="1"/>
  <c r="F1875" i="4" s="1"/>
  <c r="D1876" i="1"/>
  <c r="D1876" i="4" s="1"/>
  <c r="E1876" i="1"/>
  <c r="E1876" i="4" s="1"/>
  <c r="F1876" i="1"/>
  <c r="F1876" i="4" s="1"/>
  <c r="D1877" i="1"/>
  <c r="D1877" i="4" s="1"/>
  <c r="E1877" i="1"/>
  <c r="E1877" i="4" s="1"/>
  <c r="F1877" i="1"/>
  <c r="F1877" i="4" s="1"/>
  <c r="D1878" i="1"/>
  <c r="D1878" i="4" s="1"/>
  <c r="E1878" i="1"/>
  <c r="E1878" i="4" s="1"/>
  <c r="F1878" i="1"/>
  <c r="F1878" i="4" s="1"/>
  <c r="D1879" i="1"/>
  <c r="D1879" i="4" s="1"/>
  <c r="E1879" i="1"/>
  <c r="E1879" i="4" s="1"/>
  <c r="F1879" i="1"/>
  <c r="F1879" i="4" s="1"/>
  <c r="D1880" i="1"/>
  <c r="D1880" i="4" s="1"/>
  <c r="E1880" i="1"/>
  <c r="E1880" i="4" s="1"/>
  <c r="F1880" i="1"/>
  <c r="F1880" i="4" s="1"/>
  <c r="D1881" i="1"/>
  <c r="D1881" i="4" s="1"/>
  <c r="E1881" i="1"/>
  <c r="E1881" i="4" s="1"/>
  <c r="F1881" i="1"/>
  <c r="F1881" i="4" s="1"/>
  <c r="D1882" i="1"/>
  <c r="D1882" i="4" s="1"/>
  <c r="E1882" i="1"/>
  <c r="E1882" i="4" s="1"/>
  <c r="F1882" i="1"/>
  <c r="F1882" i="4" s="1"/>
  <c r="D1883" i="1"/>
  <c r="D1883" i="4" s="1"/>
  <c r="E1883" i="1"/>
  <c r="E1883" i="4" s="1"/>
  <c r="F1883" i="1"/>
  <c r="F1883" i="4" s="1"/>
  <c r="D1884" i="1"/>
  <c r="D1884" i="4" s="1"/>
  <c r="E1884" i="1"/>
  <c r="E1884" i="4" s="1"/>
  <c r="F1884" i="1"/>
  <c r="F1884" i="4" s="1"/>
  <c r="D1885" i="1"/>
  <c r="D1885" i="4" s="1"/>
  <c r="E1885" i="1"/>
  <c r="E1885" i="4" s="1"/>
  <c r="F1885" i="1"/>
  <c r="F1885" i="4" s="1"/>
  <c r="D1886" i="1"/>
  <c r="D1886" i="4" s="1"/>
  <c r="E1886" i="1"/>
  <c r="E1886" i="4" s="1"/>
  <c r="F1886" i="1"/>
  <c r="F1886" i="4" s="1"/>
  <c r="D1887" i="1"/>
  <c r="D1887" i="4" s="1"/>
  <c r="E1887" i="1"/>
  <c r="E1887" i="4" s="1"/>
  <c r="F1887" i="1"/>
  <c r="F1887" i="4" s="1"/>
  <c r="D1888" i="1"/>
  <c r="D1888" i="4" s="1"/>
  <c r="E1888" i="1"/>
  <c r="E1888" i="4" s="1"/>
  <c r="F1888" i="1"/>
  <c r="F1888" i="4" s="1"/>
  <c r="D1889" i="1"/>
  <c r="D1889" i="4" s="1"/>
  <c r="E1889" i="1"/>
  <c r="E1889" i="4" s="1"/>
  <c r="F1889" i="1"/>
  <c r="F1889" i="4" s="1"/>
  <c r="D1890" i="1"/>
  <c r="D1890" i="4" s="1"/>
  <c r="E1890" i="1"/>
  <c r="E1890" i="4" s="1"/>
  <c r="F1890" i="1"/>
  <c r="F1890" i="4" s="1"/>
  <c r="D1891" i="1"/>
  <c r="D1891" i="4" s="1"/>
  <c r="E1891" i="1"/>
  <c r="E1891" i="4" s="1"/>
  <c r="F1891" i="1"/>
  <c r="F1891" i="4" s="1"/>
  <c r="D1892" i="1"/>
  <c r="D1892" i="4" s="1"/>
  <c r="E1892" i="1"/>
  <c r="E1892" i="4" s="1"/>
  <c r="F1892" i="1"/>
  <c r="F1892" i="4" s="1"/>
  <c r="D1893" i="1"/>
  <c r="D1893" i="4" s="1"/>
  <c r="E1893" i="1"/>
  <c r="E1893" i="4" s="1"/>
  <c r="F1893" i="1"/>
  <c r="F1893" i="4" s="1"/>
  <c r="D1894" i="1"/>
  <c r="D1894" i="4" s="1"/>
  <c r="E1894" i="1"/>
  <c r="E1894" i="4" s="1"/>
  <c r="F1894" i="1"/>
  <c r="F1894" i="4" s="1"/>
  <c r="D1895" i="1"/>
  <c r="D1895" i="4" s="1"/>
  <c r="E1895" i="1"/>
  <c r="E1895" i="4" s="1"/>
  <c r="F1895" i="1"/>
  <c r="F1895" i="4" s="1"/>
  <c r="D1896" i="1"/>
  <c r="D1896" i="4" s="1"/>
  <c r="E1896" i="1"/>
  <c r="E1896" i="4" s="1"/>
  <c r="F1896" i="1"/>
  <c r="F1896" i="4" s="1"/>
  <c r="D1897" i="1"/>
  <c r="D1897" i="4" s="1"/>
  <c r="E1897" i="1"/>
  <c r="E1897" i="4" s="1"/>
  <c r="F1897" i="1"/>
  <c r="F1897" i="4" s="1"/>
  <c r="D1898" i="1"/>
  <c r="D1898" i="4" s="1"/>
  <c r="E1898" i="1"/>
  <c r="E1898" i="4" s="1"/>
  <c r="F1898" i="1"/>
  <c r="F1898" i="4" s="1"/>
  <c r="D1899" i="1"/>
  <c r="D1899" i="4" s="1"/>
  <c r="E1899" i="1"/>
  <c r="E1899" i="4" s="1"/>
  <c r="F1899" i="1"/>
  <c r="F1899" i="4" s="1"/>
  <c r="D1900" i="1"/>
  <c r="D1900" i="4" s="1"/>
  <c r="E1900" i="1"/>
  <c r="E1900" i="4" s="1"/>
  <c r="F1900" i="1"/>
  <c r="F1900" i="4" s="1"/>
  <c r="D1901" i="1"/>
  <c r="D1901" i="4" s="1"/>
  <c r="E1901" i="1"/>
  <c r="E1901" i="4" s="1"/>
  <c r="F1901" i="1"/>
  <c r="F1901" i="4" s="1"/>
  <c r="D1902" i="1"/>
  <c r="D1902" i="4" s="1"/>
  <c r="E1902" i="1"/>
  <c r="E1902" i="4" s="1"/>
  <c r="F1902" i="1"/>
  <c r="F1902" i="4" s="1"/>
  <c r="D1903" i="1"/>
  <c r="D1903" i="4" s="1"/>
  <c r="E1903" i="1"/>
  <c r="E1903" i="4" s="1"/>
  <c r="F1903" i="1"/>
  <c r="F1903" i="4" s="1"/>
  <c r="D1904" i="1"/>
  <c r="D1904" i="4" s="1"/>
  <c r="E1904" i="1"/>
  <c r="E1904" i="4" s="1"/>
  <c r="F1904" i="1"/>
  <c r="F1904" i="4" s="1"/>
  <c r="D1905" i="1"/>
  <c r="D1905" i="4" s="1"/>
  <c r="E1905" i="1"/>
  <c r="E1905" i="4" s="1"/>
  <c r="F1905" i="1"/>
  <c r="F1905" i="4" s="1"/>
  <c r="D1906" i="1"/>
  <c r="D1906" i="4" s="1"/>
  <c r="E1906" i="1"/>
  <c r="E1906" i="4" s="1"/>
  <c r="F1906" i="1"/>
  <c r="F1906" i="4" s="1"/>
  <c r="D1907" i="1"/>
  <c r="D1907" i="4" s="1"/>
  <c r="E1907" i="1"/>
  <c r="E1907" i="4" s="1"/>
  <c r="F1907" i="1"/>
  <c r="F1907" i="4" s="1"/>
  <c r="D1908" i="1"/>
  <c r="D1908" i="4" s="1"/>
  <c r="E1908" i="1"/>
  <c r="E1908" i="4" s="1"/>
  <c r="F1908" i="1"/>
  <c r="F1908" i="4" s="1"/>
  <c r="D1909" i="1"/>
  <c r="D1909" i="4" s="1"/>
  <c r="E1909" i="1"/>
  <c r="E1909" i="4" s="1"/>
  <c r="F1909" i="1"/>
  <c r="F1909" i="4" s="1"/>
  <c r="D1910" i="1"/>
  <c r="D1910" i="4" s="1"/>
  <c r="E1910" i="1"/>
  <c r="E1910" i="4" s="1"/>
  <c r="F1910" i="1"/>
  <c r="F1910" i="4" s="1"/>
  <c r="D1911" i="1"/>
  <c r="D1911" i="4" s="1"/>
  <c r="E1911" i="1"/>
  <c r="E1911" i="4" s="1"/>
  <c r="F1911" i="1"/>
  <c r="F1911" i="4" s="1"/>
  <c r="D1912" i="1"/>
  <c r="D1912" i="4" s="1"/>
  <c r="E1912" i="1"/>
  <c r="E1912" i="4" s="1"/>
  <c r="F1912" i="1"/>
  <c r="F1912" i="4" s="1"/>
  <c r="D1913" i="1"/>
  <c r="D1913" i="4" s="1"/>
  <c r="E1913" i="1"/>
  <c r="E1913" i="4" s="1"/>
  <c r="F1913" i="1"/>
  <c r="F1913" i="4" s="1"/>
  <c r="D1914" i="1"/>
  <c r="D1914" i="4" s="1"/>
  <c r="E1914" i="1"/>
  <c r="E1914" i="4" s="1"/>
  <c r="F1914" i="1"/>
  <c r="F1914" i="4" s="1"/>
  <c r="D1915" i="1"/>
  <c r="D1915" i="4" s="1"/>
  <c r="E1915" i="1"/>
  <c r="E1915" i="4" s="1"/>
  <c r="F1915" i="1"/>
  <c r="F1915" i="4" s="1"/>
  <c r="D1916" i="1"/>
  <c r="D1916" i="4" s="1"/>
  <c r="E1916" i="1"/>
  <c r="E1916" i="4" s="1"/>
  <c r="F1916" i="1"/>
  <c r="F1916" i="4" s="1"/>
  <c r="D1917" i="1"/>
  <c r="D1917" i="4" s="1"/>
  <c r="E1917" i="1"/>
  <c r="E1917" i="4" s="1"/>
  <c r="F1917" i="1"/>
  <c r="F1917" i="4" s="1"/>
  <c r="D1918" i="1"/>
  <c r="D1918" i="4" s="1"/>
  <c r="E1918" i="1"/>
  <c r="E1918" i="4" s="1"/>
  <c r="F1918" i="1"/>
  <c r="F1918" i="4" s="1"/>
  <c r="D1919" i="1"/>
  <c r="D1919" i="4" s="1"/>
  <c r="E1919" i="1"/>
  <c r="E1919" i="4" s="1"/>
  <c r="F1919" i="1"/>
  <c r="F1919" i="4" s="1"/>
  <c r="D1920" i="1"/>
  <c r="D1920" i="4" s="1"/>
  <c r="E1920" i="1"/>
  <c r="E1920" i="4" s="1"/>
  <c r="F1920" i="1"/>
  <c r="F1920" i="4" s="1"/>
  <c r="D1921" i="1"/>
  <c r="D1921" i="4" s="1"/>
  <c r="E1921" i="1"/>
  <c r="E1921" i="4" s="1"/>
  <c r="F1921" i="1"/>
  <c r="F1921" i="4" s="1"/>
  <c r="D1922" i="1"/>
  <c r="D1922" i="4" s="1"/>
  <c r="E1922" i="1"/>
  <c r="E1922" i="4" s="1"/>
  <c r="F1922" i="1"/>
  <c r="F1922" i="4" s="1"/>
  <c r="D1923" i="1"/>
  <c r="D1923" i="4" s="1"/>
  <c r="E1923" i="1"/>
  <c r="E1923" i="4" s="1"/>
  <c r="F1923" i="1"/>
  <c r="F1923" i="4" s="1"/>
  <c r="D1924" i="1"/>
  <c r="D1924" i="4" s="1"/>
  <c r="E1924" i="1"/>
  <c r="E1924" i="4" s="1"/>
  <c r="F1924" i="1"/>
  <c r="F1924" i="4" s="1"/>
  <c r="D1925" i="1"/>
  <c r="D1925" i="4" s="1"/>
  <c r="E1925" i="1"/>
  <c r="E1925" i="4" s="1"/>
  <c r="F1925" i="1"/>
  <c r="F1925" i="4" s="1"/>
  <c r="D1926" i="1"/>
  <c r="D1926" i="4" s="1"/>
  <c r="E1926" i="1"/>
  <c r="E1926" i="4" s="1"/>
  <c r="F1926" i="1"/>
  <c r="F1926" i="4" s="1"/>
  <c r="D1927" i="1"/>
  <c r="D1927" i="4" s="1"/>
  <c r="E1927" i="1"/>
  <c r="E1927" i="4" s="1"/>
  <c r="F1927" i="1"/>
  <c r="F1927" i="4" s="1"/>
  <c r="D1928" i="1"/>
  <c r="D1928" i="4" s="1"/>
  <c r="E1928" i="1"/>
  <c r="E1928" i="4" s="1"/>
  <c r="F1928" i="1"/>
  <c r="F1928" i="4" s="1"/>
  <c r="D1929" i="1"/>
  <c r="D1929" i="4" s="1"/>
  <c r="E1929" i="1"/>
  <c r="E1929" i="4" s="1"/>
  <c r="F1929" i="1"/>
  <c r="F1929" i="4" s="1"/>
  <c r="D1930" i="1"/>
  <c r="D1930" i="4" s="1"/>
  <c r="E1930" i="1"/>
  <c r="E1930" i="4" s="1"/>
  <c r="F1930" i="1"/>
  <c r="F1930" i="4" s="1"/>
  <c r="D1931" i="1"/>
  <c r="D1931" i="4" s="1"/>
  <c r="E1931" i="1"/>
  <c r="E1931" i="4" s="1"/>
  <c r="F1931" i="1"/>
  <c r="F1931" i="4" s="1"/>
  <c r="D1932" i="1"/>
  <c r="D1932" i="4" s="1"/>
  <c r="E1932" i="1"/>
  <c r="E1932" i="4" s="1"/>
  <c r="F1932" i="1"/>
  <c r="F1932" i="4" s="1"/>
  <c r="D1933" i="1"/>
  <c r="D1933" i="4" s="1"/>
  <c r="E1933" i="1"/>
  <c r="E1933" i="4" s="1"/>
  <c r="F1933" i="1"/>
  <c r="F1933" i="4" s="1"/>
  <c r="D1934" i="1"/>
  <c r="D1934" i="4" s="1"/>
  <c r="E1934" i="1"/>
  <c r="E1934" i="4" s="1"/>
  <c r="F1934" i="1"/>
  <c r="F1934" i="4" s="1"/>
  <c r="D1935" i="1"/>
  <c r="D1935" i="4" s="1"/>
  <c r="E1935" i="1"/>
  <c r="E1935" i="4" s="1"/>
  <c r="F1935" i="1"/>
  <c r="F1935" i="4" s="1"/>
  <c r="D1936" i="1"/>
  <c r="D1936" i="4" s="1"/>
  <c r="E1936" i="1"/>
  <c r="E1936" i="4" s="1"/>
  <c r="F1936" i="1"/>
  <c r="F1936" i="4" s="1"/>
  <c r="D1937" i="1"/>
  <c r="D1937" i="4" s="1"/>
  <c r="E1937" i="1"/>
  <c r="E1937" i="4" s="1"/>
  <c r="F1937" i="1"/>
  <c r="F1937" i="4" s="1"/>
  <c r="D1938" i="1"/>
  <c r="D1938" i="4" s="1"/>
  <c r="E1938" i="1"/>
  <c r="E1938" i="4" s="1"/>
  <c r="F1938" i="1"/>
  <c r="F1938" i="4" s="1"/>
  <c r="D1939" i="1"/>
  <c r="D1939" i="4" s="1"/>
  <c r="E1939" i="1"/>
  <c r="E1939" i="4" s="1"/>
  <c r="F1939" i="1"/>
  <c r="F1939" i="4" s="1"/>
  <c r="D1940" i="1"/>
  <c r="D1940" i="4" s="1"/>
  <c r="E1940" i="1"/>
  <c r="E1940" i="4" s="1"/>
  <c r="F1940" i="1"/>
  <c r="F1940" i="4" s="1"/>
  <c r="D1941" i="1"/>
  <c r="D1941" i="4" s="1"/>
  <c r="E1941" i="1"/>
  <c r="E1941" i="4" s="1"/>
  <c r="F1941" i="1"/>
  <c r="F1941" i="4" s="1"/>
  <c r="D1942" i="1"/>
  <c r="D1942" i="4" s="1"/>
  <c r="E1942" i="1"/>
  <c r="E1942" i="4" s="1"/>
  <c r="F1942" i="1"/>
  <c r="F1942" i="4" s="1"/>
  <c r="D1943" i="1"/>
  <c r="D1943" i="4" s="1"/>
  <c r="E1943" i="1"/>
  <c r="E1943" i="4" s="1"/>
  <c r="F1943" i="1"/>
  <c r="F1943" i="4" s="1"/>
  <c r="D1944" i="1"/>
  <c r="D1944" i="4" s="1"/>
  <c r="E1944" i="1"/>
  <c r="E1944" i="4" s="1"/>
  <c r="F1944" i="1"/>
  <c r="F1944" i="4" s="1"/>
  <c r="D1945" i="1"/>
  <c r="D1945" i="4" s="1"/>
  <c r="E1945" i="1"/>
  <c r="E1945" i="4" s="1"/>
  <c r="F1945" i="1"/>
  <c r="F1945" i="4" s="1"/>
  <c r="D1946" i="1"/>
  <c r="D1946" i="4" s="1"/>
  <c r="E1946" i="1"/>
  <c r="E1946" i="4" s="1"/>
  <c r="F1946" i="1"/>
  <c r="F1946" i="4" s="1"/>
  <c r="D1947" i="1"/>
  <c r="D1947" i="4" s="1"/>
  <c r="E1947" i="1"/>
  <c r="E1947" i="4" s="1"/>
  <c r="F1947" i="1"/>
  <c r="F1947" i="4" s="1"/>
  <c r="D1948" i="1"/>
  <c r="D1948" i="4" s="1"/>
  <c r="E1948" i="1"/>
  <c r="E1948" i="4" s="1"/>
  <c r="F1948" i="1"/>
  <c r="F1948" i="4" s="1"/>
  <c r="D1949" i="1"/>
  <c r="D1949" i="4" s="1"/>
  <c r="E1949" i="1"/>
  <c r="E1949" i="4" s="1"/>
  <c r="F1949" i="1"/>
  <c r="F1949" i="4" s="1"/>
  <c r="D1950" i="1"/>
  <c r="D1950" i="4" s="1"/>
  <c r="E1950" i="1"/>
  <c r="E1950" i="4" s="1"/>
  <c r="F1950" i="1"/>
  <c r="F1950" i="4" s="1"/>
  <c r="D1951" i="1"/>
  <c r="D1951" i="4" s="1"/>
  <c r="E1951" i="1"/>
  <c r="E1951" i="4" s="1"/>
  <c r="F1951" i="1"/>
  <c r="F1951" i="4" s="1"/>
  <c r="D1952" i="1"/>
  <c r="D1952" i="4" s="1"/>
  <c r="E1952" i="1"/>
  <c r="E1952" i="4" s="1"/>
  <c r="F1952" i="1"/>
  <c r="F1952" i="4" s="1"/>
  <c r="D1953" i="1"/>
  <c r="D1953" i="4" s="1"/>
  <c r="E1953" i="1"/>
  <c r="E1953" i="4" s="1"/>
  <c r="F1953" i="1"/>
  <c r="F1953" i="4" s="1"/>
  <c r="D1954" i="1"/>
  <c r="D1954" i="4" s="1"/>
  <c r="E1954" i="1"/>
  <c r="E1954" i="4" s="1"/>
  <c r="F1954" i="1"/>
  <c r="F1954" i="4" s="1"/>
  <c r="D1955" i="1"/>
  <c r="D1955" i="4" s="1"/>
  <c r="E1955" i="1"/>
  <c r="E1955" i="4" s="1"/>
  <c r="F1955" i="1"/>
  <c r="F1955" i="4" s="1"/>
  <c r="D1956" i="1"/>
  <c r="D1956" i="4" s="1"/>
  <c r="E1956" i="1"/>
  <c r="E1956" i="4" s="1"/>
  <c r="F1956" i="1"/>
  <c r="F1956" i="4" s="1"/>
  <c r="D1957" i="1"/>
  <c r="D1957" i="4" s="1"/>
  <c r="E1957" i="1"/>
  <c r="E1957" i="4" s="1"/>
  <c r="F1957" i="1"/>
  <c r="F1957" i="4" s="1"/>
  <c r="D1958" i="1"/>
  <c r="D1958" i="4" s="1"/>
  <c r="E1958" i="1"/>
  <c r="E1958" i="4" s="1"/>
  <c r="F1958" i="1"/>
  <c r="F1958" i="4" s="1"/>
  <c r="D1959" i="1"/>
  <c r="D1959" i="4" s="1"/>
  <c r="E1959" i="1"/>
  <c r="E1959" i="4" s="1"/>
  <c r="F1959" i="1"/>
  <c r="F1959" i="4" s="1"/>
  <c r="D1960" i="1"/>
  <c r="D1960" i="4" s="1"/>
  <c r="E1960" i="1"/>
  <c r="E1960" i="4" s="1"/>
  <c r="F1960" i="1"/>
  <c r="F1960" i="4" s="1"/>
  <c r="D1961" i="1"/>
  <c r="D1961" i="4" s="1"/>
  <c r="E1961" i="1"/>
  <c r="E1961" i="4" s="1"/>
  <c r="F1961" i="1"/>
  <c r="F1961" i="4" s="1"/>
  <c r="D1962" i="1"/>
  <c r="D1962" i="4" s="1"/>
  <c r="E1962" i="1"/>
  <c r="E1962" i="4" s="1"/>
  <c r="F1962" i="1"/>
  <c r="F1962" i="4" s="1"/>
  <c r="D1963" i="1"/>
  <c r="D1963" i="4" s="1"/>
  <c r="E1963" i="1"/>
  <c r="E1963" i="4" s="1"/>
  <c r="F1963" i="1"/>
  <c r="F1963" i="4" s="1"/>
  <c r="D1964" i="1"/>
  <c r="D1964" i="4" s="1"/>
  <c r="E1964" i="1"/>
  <c r="E1964" i="4" s="1"/>
  <c r="F1964" i="1"/>
  <c r="F1964" i="4" s="1"/>
  <c r="D1965" i="1"/>
  <c r="D1965" i="4" s="1"/>
  <c r="E1965" i="1"/>
  <c r="E1965" i="4" s="1"/>
  <c r="F1965" i="1"/>
  <c r="F1965" i="4" s="1"/>
  <c r="D1966" i="1"/>
  <c r="D1966" i="4" s="1"/>
  <c r="E1966" i="1"/>
  <c r="E1966" i="4" s="1"/>
  <c r="F1966" i="1"/>
  <c r="F1966" i="4" s="1"/>
  <c r="D1967" i="1"/>
  <c r="D1967" i="4" s="1"/>
  <c r="E1967" i="1"/>
  <c r="E1967" i="4" s="1"/>
  <c r="F1967" i="1"/>
  <c r="F1967" i="4" s="1"/>
  <c r="D1968" i="1"/>
  <c r="D1968" i="4" s="1"/>
  <c r="E1968" i="1"/>
  <c r="E1968" i="4" s="1"/>
  <c r="F1968" i="1"/>
  <c r="F1968" i="4" s="1"/>
  <c r="D1969" i="1"/>
  <c r="D1969" i="4" s="1"/>
  <c r="E1969" i="1"/>
  <c r="E1969" i="4" s="1"/>
  <c r="F1969" i="1"/>
  <c r="F1969" i="4" s="1"/>
  <c r="D1970" i="1"/>
  <c r="D1970" i="4" s="1"/>
  <c r="E1970" i="1"/>
  <c r="E1970" i="4" s="1"/>
  <c r="F1970" i="1"/>
  <c r="F1970" i="4" s="1"/>
  <c r="D1971" i="1"/>
  <c r="D1971" i="4" s="1"/>
  <c r="E1971" i="1"/>
  <c r="E1971" i="4" s="1"/>
  <c r="F1971" i="1"/>
  <c r="F1971" i="4" s="1"/>
  <c r="D1972" i="1"/>
  <c r="D1972" i="4" s="1"/>
  <c r="E1972" i="1"/>
  <c r="E1972" i="4" s="1"/>
  <c r="F1972" i="1"/>
  <c r="F1972" i="4" s="1"/>
  <c r="D1973" i="1"/>
  <c r="D1973" i="4" s="1"/>
  <c r="E1973" i="1"/>
  <c r="E1973" i="4" s="1"/>
  <c r="F1973" i="1"/>
  <c r="F1973" i="4" s="1"/>
  <c r="D1974" i="1"/>
  <c r="D1974" i="4" s="1"/>
  <c r="E1974" i="1"/>
  <c r="E1974" i="4" s="1"/>
  <c r="F1974" i="1"/>
  <c r="F1974" i="4" s="1"/>
  <c r="D1975" i="1"/>
  <c r="D1975" i="4" s="1"/>
  <c r="E1975" i="1"/>
  <c r="E1975" i="4" s="1"/>
  <c r="F1975" i="1"/>
  <c r="F1975" i="4" s="1"/>
  <c r="D1976" i="1"/>
  <c r="D1976" i="4" s="1"/>
  <c r="E1976" i="1"/>
  <c r="E1976" i="4" s="1"/>
  <c r="F1976" i="1"/>
  <c r="F1976" i="4" s="1"/>
  <c r="D1977" i="1"/>
  <c r="D1977" i="4" s="1"/>
  <c r="E1977" i="1"/>
  <c r="E1977" i="4" s="1"/>
  <c r="F1977" i="1"/>
  <c r="F1977" i="4" s="1"/>
  <c r="D1978" i="1"/>
  <c r="D1978" i="4" s="1"/>
  <c r="E1978" i="1"/>
  <c r="E1978" i="4" s="1"/>
  <c r="F1978" i="1"/>
  <c r="F1978" i="4" s="1"/>
  <c r="D1979" i="1"/>
  <c r="D1979" i="4" s="1"/>
  <c r="E1979" i="1"/>
  <c r="E1979" i="4" s="1"/>
  <c r="F1979" i="1"/>
  <c r="F1979" i="4" s="1"/>
  <c r="D1980" i="1"/>
  <c r="D1980" i="4" s="1"/>
  <c r="E1980" i="1"/>
  <c r="E1980" i="4" s="1"/>
  <c r="F1980" i="1"/>
  <c r="F1980" i="4" s="1"/>
  <c r="D1981" i="1"/>
  <c r="D1981" i="4" s="1"/>
  <c r="E1981" i="1"/>
  <c r="E1981" i="4" s="1"/>
  <c r="F1981" i="1"/>
  <c r="F1981" i="4" s="1"/>
  <c r="D1982" i="1"/>
  <c r="D1982" i="4" s="1"/>
  <c r="E1982" i="1"/>
  <c r="E1982" i="4" s="1"/>
  <c r="F1982" i="1"/>
  <c r="F1982" i="4" s="1"/>
  <c r="D1983" i="1"/>
  <c r="D1983" i="4" s="1"/>
  <c r="E1983" i="1"/>
  <c r="E1983" i="4" s="1"/>
  <c r="F1983" i="1"/>
  <c r="F1983" i="4" s="1"/>
  <c r="D1984" i="1"/>
  <c r="D1984" i="4" s="1"/>
  <c r="E1984" i="1"/>
  <c r="E1984" i="4" s="1"/>
  <c r="F1984" i="1"/>
  <c r="F1984" i="4" s="1"/>
  <c r="D1985" i="1"/>
  <c r="D1985" i="4" s="1"/>
  <c r="E1985" i="1"/>
  <c r="E1985" i="4" s="1"/>
  <c r="F1985" i="1"/>
  <c r="F1985" i="4" s="1"/>
  <c r="D1986" i="1"/>
  <c r="D1986" i="4" s="1"/>
  <c r="E1986" i="1"/>
  <c r="E1986" i="4" s="1"/>
  <c r="F1986" i="1"/>
  <c r="F1986" i="4" s="1"/>
  <c r="D1987" i="1"/>
  <c r="D1987" i="4" s="1"/>
  <c r="E1987" i="1"/>
  <c r="E1987" i="4" s="1"/>
  <c r="F1987" i="1"/>
  <c r="F1987" i="4" s="1"/>
  <c r="D1988" i="1"/>
  <c r="D1988" i="4" s="1"/>
  <c r="E1988" i="1"/>
  <c r="E1988" i="4" s="1"/>
  <c r="F1988" i="1"/>
  <c r="F1988" i="4" s="1"/>
  <c r="D1989" i="1"/>
  <c r="D1989" i="4" s="1"/>
  <c r="E1989" i="1"/>
  <c r="E1989" i="4" s="1"/>
  <c r="F1989" i="1"/>
  <c r="F1989" i="4" s="1"/>
  <c r="D1990" i="1"/>
  <c r="D1990" i="4" s="1"/>
  <c r="E1990" i="1"/>
  <c r="E1990" i="4" s="1"/>
  <c r="F1990" i="1"/>
  <c r="F1990" i="4" s="1"/>
  <c r="D1991" i="1"/>
  <c r="D1991" i="4" s="1"/>
  <c r="E1991" i="1"/>
  <c r="E1991" i="4" s="1"/>
  <c r="F1991" i="1"/>
  <c r="F1991" i="4" s="1"/>
  <c r="D1992" i="1"/>
  <c r="D1992" i="4" s="1"/>
  <c r="E1992" i="1"/>
  <c r="E1992" i="4" s="1"/>
  <c r="F1992" i="1"/>
  <c r="F1992" i="4" s="1"/>
  <c r="D1993" i="1"/>
  <c r="D1993" i="4" s="1"/>
  <c r="E1993" i="1"/>
  <c r="E1993" i="4" s="1"/>
  <c r="F1993" i="1"/>
  <c r="F1993" i="4" s="1"/>
  <c r="D1994" i="1"/>
  <c r="D1994" i="4" s="1"/>
  <c r="E1994" i="1"/>
  <c r="E1994" i="4" s="1"/>
  <c r="F1994" i="1"/>
  <c r="F1994" i="4" s="1"/>
  <c r="D1995" i="1"/>
  <c r="D1995" i="4" s="1"/>
  <c r="E1995" i="1"/>
  <c r="E1995" i="4" s="1"/>
  <c r="F1995" i="1"/>
  <c r="F1995" i="4" s="1"/>
  <c r="D1996" i="1"/>
  <c r="D1996" i="4" s="1"/>
  <c r="E1996" i="1"/>
  <c r="E1996" i="4" s="1"/>
  <c r="F1996" i="1"/>
  <c r="F1996" i="4" s="1"/>
  <c r="D1997" i="1"/>
  <c r="D1997" i="4" s="1"/>
  <c r="E1997" i="1"/>
  <c r="E1997" i="4" s="1"/>
  <c r="F1997" i="1"/>
  <c r="F1997" i="4" s="1"/>
  <c r="D1998" i="1"/>
  <c r="D1998" i="4" s="1"/>
  <c r="E1998" i="1"/>
  <c r="E1998" i="4" s="1"/>
  <c r="F1998" i="1"/>
  <c r="F1998" i="4" s="1"/>
  <c r="D1999" i="1"/>
  <c r="D1999" i="4" s="1"/>
  <c r="E1999" i="1"/>
  <c r="E1999" i="4" s="1"/>
  <c r="F1999" i="1"/>
  <c r="F1999" i="4" s="1"/>
  <c r="D2000" i="1"/>
  <c r="D2000" i="4" s="1"/>
  <c r="E2000" i="1"/>
  <c r="E2000" i="4" s="1"/>
  <c r="F2000" i="1"/>
  <c r="F2000" i="4" s="1"/>
  <c r="D2001" i="1"/>
  <c r="D2001" i="4" s="1"/>
  <c r="E2001" i="1"/>
  <c r="E2001" i="4" s="1"/>
  <c r="F2001" i="1"/>
  <c r="F2001" i="4" s="1"/>
  <c r="D2002" i="1"/>
  <c r="D2002" i="4" s="1"/>
  <c r="E2002" i="1"/>
  <c r="E2002" i="4" s="1"/>
  <c r="F2002" i="1"/>
  <c r="F2002" i="4" s="1"/>
  <c r="D2003" i="1"/>
  <c r="D2003" i="4" s="1"/>
  <c r="E2003" i="1"/>
  <c r="E2003" i="4" s="1"/>
  <c r="F2003" i="1"/>
  <c r="F2003" i="4" s="1"/>
  <c r="D2004" i="1"/>
  <c r="D2004" i="4" s="1"/>
  <c r="E2004" i="1"/>
  <c r="E2004" i="4" s="1"/>
  <c r="F2004" i="1"/>
  <c r="F2004" i="4" s="1"/>
  <c r="D2005" i="1"/>
  <c r="D2005" i="4" s="1"/>
  <c r="E2005" i="1"/>
  <c r="E2005" i="4" s="1"/>
  <c r="F2005" i="1"/>
  <c r="F2005" i="4" s="1"/>
  <c r="D2006" i="1"/>
  <c r="D2006" i="4" s="1"/>
  <c r="E2006" i="1"/>
  <c r="E2006" i="4" s="1"/>
  <c r="F2006" i="1"/>
  <c r="F2006" i="4" s="1"/>
  <c r="D2007" i="1"/>
  <c r="D2007" i="4" s="1"/>
  <c r="E2007" i="1"/>
  <c r="E2007" i="4" s="1"/>
  <c r="F2007" i="1"/>
  <c r="F2007" i="4" s="1"/>
  <c r="D2008" i="1"/>
  <c r="D2008" i="4" s="1"/>
  <c r="E2008" i="1"/>
  <c r="E2008" i="4" s="1"/>
  <c r="F2008" i="1"/>
  <c r="F2008" i="4" s="1"/>
  <c r="D2009" i="1"/>
  <c r="D2009" i="4" s="1"/>
  <c r="E2009" i="1"/>
  <c r="E2009" i="4" s="1"/>
  <c r="F2009" i="1"/>
  <c r="F2009" i="4" s="1"/>
  <c r="D2010" i="1"/>
  <c r="D2010" i="4" s="1"/>
  <c r="E2010" i="1"/>
  <c r="E2010" i="4" s="1"/>
  <c r="F2010" i="1"/>
  <c r="F2010" i="4" s="1"/>
  <c r="D2011" i="1"/>
  <c r="D2011" i="4" s="1"/>
  <c r="E2011" i="1"/>
  <c r="E2011" i="4" s="1"/>
  <c r="F2011" i="1"/>
  <c r="F2011" i="4" s="1"/>
  <c r="D2012" i="1"/>
  <c r="D2012" i="4" s="1"/>
  <c r="E2012" i="1"/>
  <c r="E2012" i="4" s="1"/>
  <c r="F2012" i="1"/>
  <c r="F2012" i="4" s="1"/>
  <c r="D2013" i="1"/>
  <c r="D2013" i="4" s="1"/>
  <c r="E2013" i="1"/>
  <c r="E2013" i="4" s="1"/>
  <c r="F2013" i="1"/>
  <c r="F2013" i="4" s="1"/>
  <c r="D2014" i="1"/>
  <c r="D2014" i="4" s="1"/>
  <c r="E2014" i="1"/>
  <c r="E2014" i="4" s="1"/>
  <c r="F2014" i="1"/>
  <c r="F2014" i="4" s="1"/>
  <c r="D2015" i="1"/>
  <c r="D2015" i="4" s="1"/>
  <c r="E2015" i="1"/>
  <c r="E2015" i="4" s="1"/>
  <c r="F2015" i="1"/>
  <c r="F2015" i="4" s="1"/>
  <c r="D2016" i="1"/>
  <c r="D2016" i="4" s="1"/>
  <c r="E2016" i="1"/>
  <c r="E2016" i="4" s="1"/>
  <c r="F2016" i="1"/>
  <c r="F2016" i="4" s="1"/>
  <c r="D2017" i="1"/>
  <c r="D2017" i="4" s="1"/>
  <c r="E2017" i="1"/>
  <c r="E2017" i="4" s="1"/>
  <c r="F2017" i="1"/>
  <c r="F2017" i="4" s="1"/>
  <c r="D2018" i="1"/>
  <c r="D2018" i="4" s="1"/>
  <c r="E2018" i="1"/>
  <c r="E2018" i="4" s="1"/>
  <c r="F2018" i="1"/>
  <c r="F2018" i="4" s="1"/>
  <c r="D2019" i="1"/>
  <c r="D2019" i="4" s="1"/>
  <c r="E2019" i="1"/>
  <c r="E2019" i="4" s="1"/>
  <c r="F2019" i="1"/>
  <c r="F2019" i="4" s="1"/>
  <c r="D2020" i="1"/>
  <c r="D2020" i="4" s="1"/>
  <c r="E2020" i="1"/>
  <c r="E2020" i="4" s="1"/>
  <c r="F2020" i="1"/>
  <c r="F2020" i="4" s="1"/>
  <c r="D2021" i="1"/>
  <c r="D2021" i="4" s="1"/>
  <c r="E2021" i="1"/>
  <c r="E2021" i="4" s="1"/>
  <c r="F2021" i="1"/>
  <c r="F2021" i="4" s="1"/>
  <c r="D2022" i="1"/>
  <c r="D2022" i="4" s="1"/>
  <c r="E2022" i="1"/>
  <c r="E2022" i="4" s="1"/>
  <c r="F2022" i="1"/>
  <c r="F2022" i="4" s="1"/>
  <c r="D2023" i="1"/>
  <c r="D2023" i="4" s="1"/>
  <c r="E2023" i="1"/>
  <c r="E2023" i="4" s="1"/>
  <c r="F2023" i="1"/>
  <c r="F2023" i="4" s="1"/>
  <c r="D2024" i="1"/>
  <c r="D2024" i="4" s="1"/>
  <c r="E2024" i="1"/>
  <c r="E2024" i="4" s="1"/>
  <c r="F2024" i="1"/>
  <c r="F2024" i="4" s="1"/>
  <c r="D2025" i="1"/>
  <c r="D2025" i="4" s="1"/>
  <c r="E2025" i="1"/>
  <c r="E2025" i="4" s="1"/>
  <c r="F2025" i="1"/>
  <c r="F2025" i="4" s="1"/>
  <c r="D2026" i="1"/>
  <c r="D2026" i="4" s="1"/>
  <c r="E2026" i="1"/>
  <c r="E2026" i="4" s="1"/>
  <c r="F2026" i="1"/>
  <c r="F2026" i="4" s="1"/>
  <c r="D2027" i="1"/>
  <c r="D2027" i="4" s="1"/>
  <c r="E2027" i="1"/>
  <c r="E2027" i="4" s="1"/>
  <c r="F2027" i="1"/>
  <c r="F2027" i="4" s="1"/>
  <c r="D2028" i="1"/>
  <c r="D2028" i="4" s="1"/>
  <c r="E2028" i="1"/>
  <c r="E2028" i="4" s="1"/>
  <c r="F2028" i="1"/>
  <c r="F2028" i="4" s="1"/>
  <c r="D2029" i="1"/>
  <c r="D2029" i="4" s="1"/>
  <c r="E2029" i="1"/>
  <c r="E2029" i="4" s="1"/>
  <c r="F2029" i="1"/>
  <c r="F2029" i="4" s="1"/>
  <c r="D2030" i="1"/>
  <c r="D2030" i="4" s="1"/>
  <c r="E2030" i="1"/>
  <c r="E2030" i="4" s="1"/>
  <c r="F2030" i="1"/>
  <c r="F2030" i="4" s="1"/>
  <c r="D2031" i="1"/>
  <c r="D2031" i="4" s="1"/>
  <c r="E2031" i="1"/>
  <c r="E2031" i="4" s="1"/>
  <c r="F2031" i="1"/>
  <c r="F2031" i="4" s="1"/>
  <c r="D2032" i="1"/>
  <c r="D2032" i="4" s="1"/>
  <c r="E2032" i="1"/>
  <c r="E2032" i="4" s="1"/>
  <c r="F2032" i="1"/>
  <c r="F2032" i="4" s="1"/>
  <c r="D2033" i="1"/>
  <c r="D2033" i="4" s="1"/>
  <c r="E2033" i="1"/>
  <c r="E2033" i="4" s="1"/>
  <c r="F2033" i="1"/>
  <c r="F2033" i="4" s="1"/>
  <c r="D2034" i="1"/>
  <c r="D2034" i="4" s="1"/>
  <c r="E2034" i="1"/>
  <c r="E2034" i="4" s="1"/>
  <c r="F2034" i="1"/>
  <c r="F2034" i="4" s="1"/>
  <c r="D2035" i="1"/>
  <c r="D2035" i="4" s="1"/>
  <c r="E2035" i="1"/>
  <c r="E2035" i="4" s="1"/>
  <c r="F2035" i="1"/>
  <c r="F2035" i="4" s="1"/>
  <c r="D2036" i="1"/>
  <c r="D2036" i="4" s="1"/>
  <c r="E2036" i="1"/>
  <c r="E2036" i="4" s="1"/>
  <c r="F2036" i="1"/>
  <c r="F2036" i="4" s="1"/>
  <c r="D2037" i="1"/>
  <c r="D2037" i="4" s="1"/>
  <c r="E2037" i="1"/>
  <c r="E2037" i="4" s="1"/>
  <c r="F2037" i="1"/>
  <c r="F2037" i="4" s="1"/>
  <c r="D2038" i="1"/>
  <c r="D2038" i="4" s="1"/>
  <c r="E2038" i="1"/>
  <c r="E2038" i="4" s="1"/>
  <c r="F2038" i="1"/>
  <c r="F2038" i="4" s="1"/>
  <c r="D2039" i="1"/>
  <c r="D2039" i="4" s="1"/>
  <c r="E2039" i="1"/>
  <c r="E2039" i="4" s="1"/>
  <c r="F2039" i="1"/>
  <c r="F2039" i="4" s="1"/>
  <c r="D2040" i="1"/>
  <c r="D2040" i="4" s="1"/>
  <c r="E2040" i="1"/>
  <c r="E2040" i="4" s="1"/>
  <c r="F2040" i="1"/>
  <c r="F2040" i="4" s="1"/>
  <c r="D2041" i="1"/>
  <c r="D2041" i="4" s="1"/>
  <c r="E2041" i="1"/>
  <c r="E2041" i="4" s="1"/>
  <c r="F2041" i="1"/>
  <c r="F2041" i="4" s="1"/>
  <c r="D2042" i="1"/>
  <c r="D2042" i="4" s="1"/>
  <c r="E2042" i="1"/>
  <c r="E2042" i="4" s="1"/>
  <c r="F2042" i="1"/>
  <c r="F2042" i="4" s="1"/>
  <c r="D2043" i="1"/>
  <c r="D2043" i="4" s="1"/>
  <c r="E2043" i="1"/>
  <c r="E2043" i="4" s="1"/>
  <c r="F2043" i="1"/>
  <c r="F2043" i="4" s="1"/>
  <c r="D2044" i="1"/>
  <c r="D2044" i="4" s="1"/>
  <c r="E2044" i="1"/>
  <c r="E2044" i="4" s="1"/>
  <c r="F2044" i="1"/>
  <c r="F2044" i="4" s="1"/>
  <c r="D2045" i="1"/>
  <c r="D2045" i="4" s="1"/>
  <c r="E2045" i="1"/>
  <c r="E2045" i="4" s="1"/>
  <c r="F2045" i="1"/>
  <c r="F2045" i="4" s="1"/>
  <c r="D2046" i="1"/>
  <c r="D2046" i="4" s="1"/>
  <c r="E2046" i="1"/>
  <c r="E2046" i="4" s="1"/>
  <c r="F2046" i="1"/>
  <c r="F2046" i="4" s="1"/>
  <c r="D2047" i="1"/>
  <c r="D2047" i="4" s="1"/>
  <c r="E2047" i="1"/>
  <c r="E2047" i="4" s="1"/>
  <c r="F2047" i="1"/>
  <c r="F2047" i="4" s="1"/>
  <c r="D2048" i="1"/>
  <c r="D2048" i="4" s="1"/>
  <c r="E2048" i="1"/>
  <c r="E2048" i="4" s="1"/>
  <c r="F2048" i="1"/>
  <c r="F2048" i="4" s="1"/>
  <c r="D2049" i="1"/>
  <c r="D2049" i="4" s="1"/>
  <c r="E2049" i="1"/>
  <c r="E2049" i="4" s="1"/>
  <c r="F2049" i="1"/>
  <c r="F2049" i="4" s="1"/>
  <c r="D2050" i="1"/>
  <c r="D2050" i="4" s="1"/>
  <c r="E2050" i="1"/>
  <c r="E2050" i="4" s="1"/>
  <c r="F2050" i="1"/>
  <c r="F2050" i="4" s="1"/>
  <c r="D2051" i="1"/>
  <c r="D2051" i="4" s="1"/>
  <c r="E2051" i="1"/>
  <c r="E2051" i="4" s="1"/>
  <c r="F2051" i="1"/>
  <c r="F2051" i="4" s="1"/>
  <c r="D2052" i="1"/>
  <c r="D2052" i="4" s="1"/>
  <c r="E2052" i="1"/>
  <c r="E2052" i="4" s="1"/>
  <c r="F2052" i="1"/>
  <c r="F2052" i="4" s="1"/>
  <c r="D2053" i="1"/>
  <c r="D2053" i="4" s="1"/>
  <c r="E2053" i="1"/>
  <c r="E2053" i="4" s="1"/>
  <c r="F2053" i="1"/>
  <c r="F2053" i="4" s="1"/>
  <c r="D2054" i="1"/>
  <c r="D2054" i="4" s="1"/>
  <c r="E2054" i="1"/>
  <c r="E2054" i="4" s="1"/>
  <c r="F2054" i="1"/>
  <c r="F2054" i="4" s="1"/>
  <c r="D2055" i="1"/>
  <c r="D2055" i="4" s="1"/>
  <c r="E2055" i="1"/>
  <c r="E2055" i="4" s="1"/>
  <c r="F2055" i="1"/>
  <c r="F2055" i="4" s="1"/>
  <c r="D2056" i="1"/>
  <c r="D2056" i="4" s="1"/>
  <c r="E2056" i="1"/>
  <c r="E2056" i="4" s="1"/>
  <c r="F2056" i="1"/>
  <c r="F2056" i="4" s="1"/>
  <c r="D2057" i="1"/>
  <c r="D2057" i="4" s="1"/>
  <c r="E2057" i="1"/>
  <c r="E2057" i="4" s="1"/>
  <c r="F2057" i="1"/>
  <c r="F2057" i="4" s="1"/>
  <c r="D2058" i="1"/>
  <c r="D2058" i="4" s="1"/>
  <c r="E2058" i="1"/>
  <c r="E2058" i="4" s="1"/>
  <c r="F2058" i="1"/>
  <c r="F2058" i="4" s="1"/>
  <c r="D2059" i="1"/>
  <c r="D2059" i="4" s="1"/>
  <c r="E2059" i="1"/>
  <c r="E2059" i="4" s="1"/>
  <c r="F2059" i="1"/>
  <c r="F2059" i="4" s="1"/>
  <c r="D2060" i="1"/>
  <c r="D2060" i="4" s="1"/>
  <c r="E2060" i="1"/>
  <c r="E2060" i="4" s="1"/>
  <c r="F2060" i="1"/>
  <c r="F2060" i="4" s="1"/>
  <c r="D2061" i="1"/>
  <c r="D2061" i="4" s="1"/>
  <c r="E2061" i="1"/>
  <c r="E2061" i="4" s="1"/>
  <c r="F2061" i="1"/>
  <c r="F2061" i="4" s="1"/>
  <c r="D2062" i="1"/>
  <c r="D2062" i="4" s="1"/>
  <c r="E2062" i="1"/>
  <c r="E2062" i="4" s="1"/>
  <c r="F2062" i="1"/>
  <c r="F2062" i="4" s="1"/>
  <c r="D2063" i="1"/>
  <c r="D2063" i="4" s="1"/>
  <c r="E2063" i="1"/>
  <c r="E2063" i="4" s="1"/>
  <c r="F2063" i="1"/>
  <c r="F2063" i="4" s="1"/>
  <c r="D2064" i="1"/>
  <c r="D2064" i="4" s="1"/>
  <c r="E2064" i="1"/>
  <c r="E2064" i="4" s="1"/>
  <c r="F2064" i="1"/>
  <c r="F2064" i="4" s="1"/>
  <c r="D2065" i="1"/>
  <c r="D2065" i="4" s="1"/>
  <c r="E2065" i="1"/>
  <c r="E2065" i="4" s="1"/>
  <c r="F2065" i="1"/>
  <c r="F2065" i="4" s="1"/>
  <c r="D2066" i="1"/>
  <c r="D2066" i="4" s="1"/>
  <c r="E2066" i="1"/>
  <c r="E2066" i="4" s="1"/>
  <c r="F2066" i="1"/>
  <c r="F2066" i="4" s="1"/>
  <c r="D2067" i="1"/>
  <c r="D2067" i="4" s="1"/>
  <c r="E2067" i="1"/>
  <c r="E2067" i="4" s="1"/>
  <c r="F2067" i="1"/>
  <c r="F2067" i="4" s="1"/>
  <c r="D2068" i="1"/>
  <c r="D2068" i="4" s="1"/>
  <c r="E2068" i="1"/>
  <c r="E2068" i="4" s="1"/>
  <c r="F2068" i="1"/>
  <c r="F2068" i="4" s="1"/>
  <c r="D2069" i="1"/>
  <c r="D2069" i="4" s="1"/>
  <c r="E2069" i="1"/>
  <c r="E2069" i="4" s="1"/>
  <c r="F2069" i="1"/>
  <c r="F2069" i="4" s="1"/>
  <c r="D2070" i="1"/>
  <c r="D2070" i="4" s="1"/>
  <c r="E2070" i="1"/>
  <c r="E2070" i="4" s="1"/>
  <c r="F2070" i="1"/>
  <c r="F2070" i="4" s="1"/>
  <c r="D2071" i="1"/>
  <c r="D2071" i="4" s="1"/>
  <c r="E2071" i="1"/>
  <c r="E2071" i="4" s="1"/>
  <c r="F2071" i="1"/>
  <c r="F2071" i="4" s="1"/>
  <c r="D2072" i="1"/>
  <c r="D2072" i="4" s="1"/>
  <c r="E2072" i="1"/>
  <c r="E2072" i="4" s="1"/>
  <c r="F2072" i="1"/>
  <c r="F2072" i="4" s="1"/>
  <c r="D2073" i="1"/>
  <c r="D2073" i="4" s="1"/>
  <c r="E2073" i="1"/>
  <c r="E2073" i="4" s="1"/>
  <c r="F2073" i="1"/>
  <c r="F2073" i="4" s="1"/>
  <c r="D2074" i="1"/>
  <c r="D2074" i="4" s="1"/>
  <c r="E2074" i="1"/>
  <c r="E2074" i="4" s="1"/>
  <c r="F2074" i="1"/>
  <c r="F2074" i="4" s="1"/>
  <c r="D2075" i="1"/>
  <c r="D2075" i="4" s="1"/>
  <c r="E2075" i="1"/>
  <c r="E2075" i="4" s="1"/>
  <c r="F2075" i="1"/>
  <c r="F2075" i="4" s="1"/>
  <c r="D2076" i="1"/>
  <c r="D2076" i="4" s="1"/>
  <c r="E2076" i="1"/>
  <c r="E2076" i="4" s="1"/>
  <c r="F2076" i="1"/>
  <c r="F2076" i="4" s="1"/>
  <c r="D2077" i="1"/>
  <c r="D2077" i="4" s="1"/>
  <c r="E2077" i="1"/>
  <c r="E2077" i="4" s="1"/>
  <c r="F2077" i="1"/>
  <c r="F2077" i="4" s="1"/>
  <c r="D2078" i="1"/>
  <c r="D2078" i="4" s="1"/>
  <c r="E2078" i="1"/>
  <c r="E2078" i="4" s="1"/>
  <c r="F2078" i="1"/>
  <c r="F2078" i="4" s="1"/>
  <c r="D2079" i="1"/>
  <c r="D2079" i="4" s="1"/>
  <c r="E2079" i="1"/>
  <c r="E2079" i="4" s="1"/>
  <c r="F2079" i="1"/>
  <c r="F2079" i="4" s="1"/>
  <c r="D2080" i="1"/>
  <c r="D2080" i="4" s="1"/>
  <c r="E2080" i="1"/>
  <c r="E2080" i="4" s="1"/>
  <c r="F2080" i="1"/>
  <c r="F2080" i="4" s="1"/>
  <c r="D2081" i="1"/>
  <c r="D2081" i="4" s="1"/>
  <c r="E2081" i="1"/>
  <c r="E2081" i="4" s="1"/>
  <c r="F2081" i="1"/>
  <c r="F2081" i="4" s="1"/>
  <c r="D2082" i="1"/>
  <c r="D2082" i="4" s="1"/>
  <c r="E2082" i="1"/>
  <c r="E2082" i="4" s="1"/>
  <c r="F2082" i="1"/>
  <c r="F2082" i="4" s="1"/>
  <c r="D2083" i="1"/>
  <c r="D2083" i="4" s="1"/>
  <c r="E2083" i="1"/>
  <c r="E2083" i="4" s="1"/>
  <c r="F2083" i="1"/>
  <c r="F2083" i="4" s="1"/>
  <c r="D2084" i="1"/>
  <c r="D2084" i="4" s="1"/>
  <c r="E2084" i="1"/>
  <c r="E2084" i="4" s="1"/>
  <c r="F2084" i="1"/>
  <c r="F2084" i="4" s="1"/>
  <c r="D2085" i="1"/>
  <c r="D2085" i="4" s="1"/>
  <c r="E2085" i="1"/>
  <c r="E2085" i="4" s="1"/>
  <c r="F2085" i="1"/>
  <c r="F2085" i="4" s="1"/>
  <c r="D2086" i="1"/>
  <c r="D2086" i="4" s="1"/>
  <c r="E2086" i="1"/>
  <c r="E2086" i="4" s="1"/>
  <c r="F2086" i="1"/>
  <c r="F2086" i="4" s="1"/>
  <c r="D2087" i="1"/>
  <c r="D2087" i="4" s="1"/>
  <c r="E2087" i="1"/>
  <c r="E2087" i="4" s="1"/>
  <c r="F2087" i="1"/>
  <c r="F2087" i="4" s="1"/>
  <c r="D2088" i="1"/>
  <c r="D2088" i="4" s="1"/>
  <c r="E2088" i="1"/>
  <c r="E2088" i="4" s="1"/>
  <c r="F2088" i="1"/>
  <c r="F2088" i="4" s="1"/>
  <c r="D2089" i="1"/>
  <c r="D2089" i="4" s="1"/>
  <c r="E2089" i="1"/>
  <c r="E2089" i="4" s="1"/>
  <c r="F2089" i="1"/>
  <c r="F2089" i="4" s="1"/>
  <c r="D2090" i="1"/>
  <c r="D2090" i="4" s="1"/>
  <c r="E2090" i="1"/>
  <c r="E2090" i="4" s="1"/>
  <c r="F2090" i="1"/>
  <c r="F2090" i="4" s="1"/>
  <c r="D2091" i="1"/>
  <c r="D2091" i="4" s="1"/>
  <c r="E2091" i="1"/>
  <c r="E2091" i="4" s="1"/>
  <c r="F2091" i="1"/>
  <c r="F2091" i="4" s="1"/>
  <c r="D2092" i="1"/>
  <c r="D2092" i="4" s="1"/>
  <c r="E2092" i="1"/>
  <c r="E2092" i="4" s="1"/>
  <c r="F2092" i="1"/>
  <c r="F2092" i="4" s="1"/>
  <c r="D2093" i="1"/>
  <c r="D2093" i="4" s="1"/>
  <c r="E2093" i="1"/>
  <c r="E2093" i="4" s="1"/>
  <c r="F2093" i="1"/>
  <c r="F2093" i="4" s="1"/>
  <c r="D2094" i="1"/>
  <c r="D2094" i="4" s="1"/>
  <c r="E2094" i="1"/>
  <c r="E2094" i="4" s="1"/>
  <c r="F2094" i="1"/>
  <c r="F2094" i="4" s="1"/>
  <c r="D2095" i="1"/>
  <c r="D2095" i="4" s="1"/>
  <c r="E2095" i="1"/>
  <c r="E2095" i="4" s="1"/>
  <c r="F2095" i="1"/>
  <c r="F2095" i="4" s="1"/>
  <c r="D2096" i="1"/>
  <c r="D2096" i="4" s="1"/>
  <c r="E2096" i="1"/>
  <c r="E2096" i="4" s="1"/>
  <c r="F2096" i="1"/>
  <c r="F2096" i="4" s="1"/>
  <c r="D2097" i="1"/>
  <c r="D2097" i="4" s="1"/>
  <c r="E2097" i="1"/>
  <c r="E2097" i="4" s="1"/>
  <c r="F2097" i="1"/>
  <c r="F2097" i="4" s="1"/>
  <c r="D2098" i="1"/>
  <c r="D2098" i="4" s="1"/>
  <c r="E2098" i="1"/>
  <c r="E2098" i="4" s="1"/>
  <c r="F2098" i="1"/>
  <c r="F2098" i="4" s="1"/>
  <c r="D2099" i="1"/>
  <c r="D2099" i="4" s="1"/>
  <c r="E2099" i="1"/>
  <c r="E2099" i="4" s="1"/>
  <c r="F2099" i="1"/>
  <c r="F2099" i="4" s="1"/>
  <c r="D2100" i="1"/>
  <c r="D2100" i="4" s="1"/>
  <c r="E2100" i="1"/>
  <c r="E2100" i="4" s="1"/>
  <c r="F2100" i="1"/>
  <c r="F2100" i="4" s="1"/>
  <c r="D2101" i="1"/>
  <c r="D2101" i="4" s="1"/>
  <c r="E2101" i="1"/>
  <c r="E2101" i="4" s="1"/>
  <c r="F2101" i="1"/>
  <c r="F2101" i="4" s="1"/>
  <c r="D2102" i="1"/>
  <c r="D2102" i="4" s="1"/>
  <c r="E2102" i="1"/>
  <c r="E2102" i="4" s="1"/>
  <c r="F2102" i="1"/>
  <c r="F2102" i="4" s="1"/>
  <c r="D2103" i="1"/>
  <c r="D2103" i="4" s="1"/>
  <c r="E2103" i="1"/>
  <c r="E2103" i="4" s="1"/>
  <c r="F2103" i="1"/>
  <c r="F2103" i="4" s="1"/>
  <c r="D2104" i="1"/>
  <c r="D2104" i="4" s="1"/>
  <c r="E2104" i="1"/>
  <c r="E2104" i="4" s="1"/>
  <c r="F2104" i="1"/>
  <c r="F2104" i="4" s="1"/>
  <c r="D2105" i="1"/>
  <c r="D2105" i="4" s="1"/>
  <c r="E2105" i="1"/>
  <c r="E2105" i="4" s="1"/>
  <c r="F2105" i="1"/>
  <c r="F2105" i="4" s="1"/>
  <c r="D2106" i="1"/>
  <c r="D2106" i="4" s="1"/>
  <c r="E2106" i="1"/>
  <c r="E2106" i="4" s="1"/>
  <c r="F2106" i="1"/>
  <c r="F2106" i="4" s="1"/>
  <c r="D2107" i="1"/>
  <c r="D2107" i="4" s="1"/>
  <c r="E2107" i="1"/>
  <c r="E2107" i="4" s="1"/>
  <c r="F2107" i="1"/>
  <c r="F2107" i="4" s="1"/>
  <c r="D2108" i="1"/>
  <c r="D2108" i="4" s="1"/>
  <c r="E2108" i="1"/>
  <c r="E2108" i="4" s="1"/>
  <c r="F2108" i="1"/>
  <c r="F2108" i="4" s="1"/>
  <c r="D2109" i="1"/>
  <c r="D2109" i="4" s="1"/>
  <c r="E2109" i="1"/>
  <c r="E2109" i="4" s="1"/>
  <c r="F2109" i="1"/>
  <c r="F2109" i="4" s="1"/>
  <c r="D2110" i="1"/>
  <c r="D2110" i="4" s="1"/>
  <c r="E2110" i="1"/>
  <c r="E2110" i="4" s="1"/>
  <c r="F2110" i="1"/>
  <c r="F2110" i="4" s="1"/>
  <c r="D2111" i="1"/>
  <c r="D2111" i="4" s="1"/>
  <c r="E2111" i="1"/>
  <c r="E2111" i="4" s="1"/>
  <c r="F2111" i="1"/>
  <c r="F2111" i="4" s="1"/>
  <c r="D2112" i="1"/>
  <c r="D2112" i="4" s="1"/>
  <c r="E2112" i="1"/>
  <c r="E2112" i="4" s="1"/>
  <c r="F2112" i="1"/>
  <c r="F2112" i="4" s="1"/>
  <c r="D2113" i="1"/>
  <c r="D2113" i="4" s="1"/>
  <c r="E2113" i="1"/>
  <c r="E2113" i="4" s="1"/>
  <c r="F2113" i="1"/>
  <c r="F2113" i="4" s="1"/>
  <c r="D2114" i="1"/>
  <c r="D2114" i="4" s="1"/>
  <c r="E2114" i="1"/>
  <c r="E2114" i="4" s="1"/>
  <c r="F2114" i="1"/>
  <c r="F2114" i="4" s="1"/>
  <c r="D2115" i="1"/>
  <c r="D2115" i="4" s="1"/>
  <c r="E2115" i="1"/>
  <c r="E2115" i="4" s="1"/>
  <c r="F2115" i="1"/>
  <c r="F2115" i="4" s="1"/>
  <c r="D2116" i="1"/>
  <c r="D2116" i="4" s="1"/>
  <c r="E2116" i="1"/>
  <c r="E2116" i="4" s="1"/>
  <c r="F2116" i="1"/>
  <c r="F2116" i="4" s="1"/>
  <c r="D2117" i="1"/>
  <c r="D2117" i="4" s="1"/>
  <c r="E2117" i="1"/>
  <c r="E2117" i="4" s="1"/>
  <c r="F2117" i="1"/>
  <c r="F2117" i="4" s="1"/>
  <c r="D2118" i="1"/>
  <c r="D2118" i="4" s="1"/>
  <c r="E2118" i="1"/>
  <c r="E2118" i="4" s="1"/>
  <c r="F2118" i="1"/>
  <c r="F2118" i="4" s="1"/>
  <c r="D2119" i="1"/>
  <c r="D2119" i="4" s="1"/>
  <c r="E2119" i="1"/>
  <c r="E2119" i="4" s="1"/>
  <c r="F2119" i="1"/>
  <c r="F2119" i="4" s="1"/>
  <c r="D2120" i="1"/>
  <c r="D2120" i="4" s="1"/>
  <c r="E2120" i="1"/>
  <c r="E2120" i="4" s="1"/>
  <c r="F2120" i="1"/>
  <c r="F2120" i="4" s="1"/>
  <c r="D2121" i="1"/>
  <c r="D2121" i="4" s="1"/>
  <c r="E2121" i="1"/>
  <c r="E2121" i="4" s="1"/>
  <c r="F2121" i="1"/>
  <c r="F2121" i="4" s="1"/>
  <c r="D2122" i="1"/>
  <c r="D2122" i="4" s="1"/>
  <c r="E2122" i="1"/>
  <c r="E2122" i="4" s="1"/>
  <c r="F2122" i="1"/>
  <c r="F2122" i="4" s="1"/>
  <c r="D2123" i="1"/>
  <c r="D2123" i="4" s="1"/>
  <c r="E2123" i="1"/>
  <c r="E2123" i="4" s="1"/>
  <c r="F2123" i="1"/>
  <c r="F2123" i="4" s="1"/>
  <c r="D2124" i="1"/>
  <c r="D2124" i="4" s="1"/>
  <c r="E2124" i="1"/>
  <c r="E2124" i="4" s="1"/>
  <c r="F2124" i="1"/>
  <c r="F2124" i="4" s="1"/>
  <c r="D2125" i="1"/>
  <c r="D2125" i="4" s="1"/>
  <c r="E2125" i="1"/>
  <c r="E2125" i="4" s="1"/>
  <c r="F2125" i="1"/>
  <c r="F2125" i="4" s="1"/>
  <c r="D2126" i="1"/>
  <c r="D2126" i="4" s="1"/>
  <c r="E2126" i="1"/>
  <c r="E2126" i="4" s="1"/>
  <c r="F2126" i="1"/>
  <c r="F2126" i="4" s="1"/>
  <c r="D2127" i="1"/>
  <c r="D2127" i="4" s="1"/>
  <c r="E2127" i="1"/>
  <c r="E2127" i="4" s="1"/>
  <c r="F2127" i="1"/>
  <c r="F2127" i="4" s="1"/>
  <c r="D2128" i="1"/>
  <c r="D2128" i="4" s="1"/>
  <c r="E2128" i="1"/>
  <c r="E2128" i="4" s="1"/>
  <c r="F2128" i="1"/>
  <c r="F2128" i="4" s="1"/>
  <c r="D2129" i="1"/>
  <c r="D2129" i="4" s="1"/>
  <c r="E2129" i="1"/>
  <c r="E2129" i="4" s="1"/>
  <c r="F2129" i="1"/>
  <c r="F2129" i="4" s="1"/>
  <c r="D2130" i="1"/>
  <c r="D2130" i="4" s="1"/>
  <c r="E2130" i="1"/>
  <c r="E2130" i="4" s="1"/>
  <c r="F2130" i="1"/>
  <c r="F2130" i="4" s="1"/>
  <c r="D2131" i="1"/>
  <c r="D2131" i="4" s="1"/>
  <c r="E2131" i="1"/>
  <c r="E2131" i="4" s="1"/>
  <c r="F2131" i="1"/>
  <c r="F2131" i="4" s="1"/>
  <c r="D2132" i="1"/>
  <c r="D2132" i="4" s="1"/>
  <c r="E2132" i="1"/>
  <c r="E2132" i="4" s="1"/>
  <c r="F2132" i="1"/>
  <c r="F2132" i="4" s="1"/>
  <c r="D2133" i="1"/>
  <c r="D2133" i="4" s="1"/>
  <c r="E2133" i="1"/>
  <c r="E2133" i="4" s="1"/>
  <c r="F2133" i="1"/>
  <c r="F2133" i="4" s="1"/>
  <c r="D2134" i="1"/>
  <c r="D2134" i="4" s="1"/>
  <c r="E2134" i="1"/>
  <c r="E2134" i="4" s="1"/>
  <c r="F2134" i="1"/>
  <c r="F2134" i="4" s="1"/>
  <c r="D2135" i="1"/>
  <c r="D2135" i="4" s="1"/>
  <c r="E2135" i="1"/>
  <c r="E2135" i="4" s="1"/>
  <c r="F2135" i="1"/>
  <c r="F2135" i="4" s="1"/>
  <c r="D2136" i="1"/>
  <c r="D2136" i="4" s="1"/>
  <c r="E2136" i="1"/>
  <c r="E2136" i="4" s="1"/>
  <c r="F2136" i="1"/>
  <c r="F2136" i="4" s="1"/>
  <c r="D2137" i="1"/>
  <c r="D2137" i="4" s="1"/>
  <c r="E2137" i="1"/>
  <c r="E2137" i="4" s="1"/>
  <c r="F2137" i="1"/>
  <c r="F2137" i="4" s="1"/>
  <c r="D2138" i="1"/>
  <c r="D2138" i="4" s="1"/>
  <c r="E2138" i="1"/>
  <c r="E2138" i="4" s="1"/>
  <c r="F2138" i="1"/>
  <c r="F2138" i="4" s="1"/>
  <c r="D2139" i="1"/>
  <c r="D2139" i="4" s="1"/>
  <c r="E2139" i="1"/>
  <c r="E2139" i="4" s="1"/>
  <c r="F2139" i="1"/>
  <c r="F2139" i="4" s="1"/>
  <c r="D2140" i="1"/>
  <c r="D2140" i="4" s="1"/>
  <c r="E2140" i="1"/>
  <c r="E2140" i="4" s="1"/>
  <c r="F2140" i="1"/>
  <c r="F2140" i="4" s="1"/>
  <c r="D2141" i="1"/>
  <c r="D2141" i="4" s="1"/>
  <c r="E2141" i="1"/>
  <c r="E2141" i="4" s="1"/>
  <c r="F2141" i="1"/>
  <c r="F2141" i="4" s="1"/>
  <c r="D2142" i="1"/>
  <c r="D2142" i="4" s="1"/>
  <c r="E2142" i="1"/>
  <c r="E2142" i="4" s="1"/>
  <c r="F2142" i="1"/>
  <c r="F2142" i="4" s="1"/>
  <c r="D2143" i="1"/>
  <c r="D2143" i="4" s="1"/>
  <c r="E2143" i="1"/>
  <c r="E2143" i="4" s="1"/>
  <c r="F2143" i="1"/>
  <c r="F2143" i="4" s="1"/>
  <c r="D2144" i="1"/>
  <c r="D2144" i="4" s="1"/>
  <c r="E2144" i="1"/>
  <c r="E2144" i="4" s="1"/>
  <c r="F2144" i="1"/>
  <c r="F2144" i="4" s="1"/>
  <c r="D2145" i="1"/>
  <c r="D2145" i="4" s="1"/>
  <c r="E2145" i="1"/>
  <c r="E2145" i="4" s="1"/>
  <c r="F2145" i="1"/>
  <c r="F2145" i="4" s="1"/>
  <c r="D2146" i="1"/>
  <c r="D2146" i="4" s="1"/>
  <c r="E2146" i="1"/>
  <c r="E2146" i="4" s="1"/>
  <c r="F2146" i="1"/>
  <c r="F2146" i="4" s="1"/>
  <c r="D2147" i="1"/>
  <c r="D2147" i="4" s="1"/>
  <c r="E2147" i="1"/>
  <c r="E2147" i="4" s="1"/>
  <c r="F2147" i="1"/>
  <c r="F2147" i="4" s="1"/>
  <c r="D2148" i="1"/>
  <c r="D2148" i="4" s="1"/>
  <c r="E2148" i="1"/>
  <c r="E2148" i="4" s="1"/>
  <c r="F2148" i="1"/>
  <c r="F2148" i="4" s="1"/>
  <c r="D2149" i="1"/>
  <c r="D2149" i="4" s="1"/>
  <c r="E2149" i="1"/>
  <c r="E2149" i="4" s="1"/>
  <c r="F2149" i="1"/>
  <c r="F2149" i="4" s="1"/>
  <c r="D2150" i="1"/>
  <c r="D2150" i="4" s="1"/>
  <c r="E2150" i="1"/>
  <c r="E2150" i="4" s="1"/>
  <c r="F2150" i="1"/>
  <c r="F2150" i="4" s="1"/>
  <c r="D2151" i="1"/>
  <c r="D2151" i="4" s="1"/>
  <c r="E2151" i="1"/>
  <c r="E2151" i="4" s="1"/>
  <c r="F2151" i="1"/>
  <c r="F2151" i="4" s="1"/>
  <c r="D2152" i="1"/>
  <c r="D2152" i="4" s="1"/>
  <c r="E2152" i="1"/>
  <c r="E2152" i="4" s="1"/>
  <c r="F2152" i="1"/>
  <c r="F2152" i="4" s="1"/>
  <c r="D2153" i="1"/>
  <c r="D2153" i="4" s="1"/>
  <c r="E2153" i="1"/>
  <c r="E2153" i="4" s="1"/>
  <c r="F2153" i="1"/>
  <c r="F2153" i="4" s="1"/>
  <c r="D2154" i="1"/>
  <c r="D2154" i="4" s="1"/>
  <c r="E2154" i="1"/>
  <c r="E2154" i="4" s="1"/>
  <c r="F2154" i="1"/>
  <c r="F2154" i="4" s="1"/>
  <c r="D2155" i="1"/>
  <c r="D2155" i="4" s="1"/>
  <c r="E2155" i="1"/>
  <c r="E2155" i="4" s="1"/>
  <c r="F2155" i="1"/>
  <c r="F2155" i="4" s="1"/>
  <c r="D2156" i="1"/>
  <c r="D2156" i="4" s="1"/>
  <c r="E2156" i="1"/>
  <c r="E2156" i="4" s="1"/>
  <c r="F2156" i="1"/>
  <c r="F2156" i="4" s="1"/>
  <c r="D2157" i="1"/>
  <c r="D2157" i="4" s="1"/>
  <c r="E2157" i="1"/>
  <c r="E2157" i="4" s="1"/>
  <c r="F2157" i="1"/>
  <c r="F2157" i="4" s="1"/>
  <c r="D2158" i="1"/>
  <c r="D2158" i="4" s="1"/>
  <c r="E2158" i="1"/>
  <c r="E2158" i="4" s="1"/>
  <c r="F2158" i="1"/>
  <c r="F2158" i="4" s="1"/>
  <c r="D2159" i="1"/>
  <c r="D2159" i="4" s="1"/>
  <c r="E2159" i="1"/>
  <c r="E2159" i="4" s="1"/>
  <c r="F2159" i="1"/>
  <c r="F2159" i="4" s="1"/>
  <c r="D2160" i="1"/>
  <c r="D2160" i="4" s="1"/>
  <c r="E2160" i="1"/>
  <c r="E2160" i="4" s="1"/>
  <c r="F2160" i="1"/>
  <c r="F2160" i="4" s="1"/>
  <c r="D2161" i="1"/>
  <c r="D2161" i="4" s="1"/>
  <c r="E2161" i="1"/>
  <c r="E2161" i="4" s="1"/>
  <c r="F2161" i="1"/>
  <c r="F2161" i="4" s="1"/>
  <c r="D2162" i="1"/>
  <c r="D2162" i="4" s="1"/>
  <c r="E2162" i="1"/>
  <c r="E2162" i="4" s="1"/>
  <c r="F2162" i="1"/>
  <c r="F2162" i="4" s="1"/>
  <c r="D2163" i="1"/>
  <c r="D2163" i="4" s="1"/>
  <c r="E2163" i="1"/>
  <c r="E2163" i="4" s="1"/>
  <c r="F2163" i="1"/>
  <c r="F2163" i="4" s="1"/>
  <c r="D2164" i="1"/>
  <c r="D2164" i="4" s="1"/>
  <c r="E2164" i="1"/>
  <c r="E2164" i="4" s="1"/>
  <c r="F2164" i="1"/>
  <c r="F2164" i="4" s="1"/>
  <c r="D2165" i="1"/>
  <c r="D2165" i="4" s="1"/>
  <c r="E2165" i="1"/>
  <c r="E2165" i="4" s="1"/>
  <c r="F2165" i="1"/>
  <c r="F2165" i="4" s="1"/>
  <c r="D2166" i="1"/>
  <c r="D2166" i="4" s="1"/>
  <c r="E2166" i="1"/>
  <c r="E2166" i="4" s="1"/>
  <c r="F2166" i="1"/>
  <c r="F2166" i="4" s="1"/>
  <c r="D2167" i="1"/>
  <c r="D2167" i="4" s="1"/>
  <c r="E2167" i="1"/>
  <c r="E2167" i="4" s="1"/>
  <c r="F2167" i="1"/>
  <c r="F2167" i="4" s="1"/>
  <c r="D2168" i="1"/>
  <c r="D2168" i="4" s="1"/>
  <c r="E2168" i="1"/>
  <c r="E2168" i="4" s="1"/>
  <c r="F2168" i="1"/>
  <c r="F2168" i="4" s="1"/>
  <c r="D2169" i="1"/>
  <c r="D2169" i="4" s="1"/>
  <c r="E2169" i="1"/>
  <c r="E2169" i="4" s="1"/>
  <c r="F2169" i="1"/>
  <c r="F2169" i="4" s="1"/>
  <c r="D2170" i="1"/>
  <c r="D2170" i="4" s="1"/>
  <c r="E2170" i="1"/>
  <c r="E2170" i="4" s="1"/>
  <c r="F2170" i="1"/>
  <c r="F2170" i="4" s="1"/>
  <c r="D2171" i="1"/>
  <c r="D2171" i="4" s="1"/>
  <c r="E2171" i="1"/>
  <c r="E2171" i="4" s="1"/>
  <c r="F2171" i="1"/>
  <c r="F2171" i="4" s="1"/>
  <c r="D2172" i="1"/>
  <c r="D2172" i="4" s="1"/>
  <c r="E2172" i="1"/>
  <c r="E2172" i="4" s="1"/>
  <c r="F2172" i="1"/>
  <c r="F2172" i="4" s="1"/>
  <c r="D2173" i="1"/>
  <c r="D2173" i="4" s="1"/>
  <c r="E2173" i="1"/>
  <c r="E2173" i="4" s="1"/>
  <c r="F2173" i="1"/>
  <c r="F2173" i="4" s="1"/>
  <c r="D2174" i="1"/>
  <c r="D2174" i="4" s="1"/>
  <c r="E2174" i="1"/>
  <c r="E2174" i="4" s="1"/>
  <c r="F2174" i="1"/>
  <c r="F2174" i="4" s="1"/>
  <c r="D2175" i="1"/>
  <c r="D2175" i="4" s="1"/>
  <c r="E2175" i="1"/>
  <c r="E2175" i="4" s="1"/>
  <c r="F2175" i="1"/>
  <c r="F2175" i="4" s="1"/>
  <c r="D2176" i="1"/>
  <c r="D2176" i="4" s="1"/>
  <c r="E2176" i="1"/>
  <c r="E2176" i="4" s="1"/>
  <c r="F2176" i="1"/>
  <c r="F2176" i="4" s="1"/>
  <c r="D2177" i="1"/>
  <c r="D2177" i="4" s="1"/>
  <c r="E2177" i="1"/>
  <c r="E2177" i="4" s="1"/>
  <c r="F2177" i="1"/>
  <c r="F2177" i="4" s="1"/>
  <c r="D2178" i="1"/>
  <c r="D2178" i="4" s="1"/>
  <c r="E2178" i="1"/>
  <c r="E2178" i="4" s="1"/>
  <c r="F2178" i="1"/>
  <c r="F2178" i="4" s="1"/>
  <c r="D2179" i="1"/>
  <c r="D2179" i="4" s="1"/>
  <c r="E2179" i="1"/>
  <c r="E2179" i="4" s="1"/>
  <c r="F2179" i="1"/>
  <c r="F2179" i="4" s="1"/>
  <c r="D2180" i="1"/>
  <c r="D2180" i="4" s="1"/>
  <c r="E2180" i="1"/>
  <c r="E2180" i="4" s="1"/>
  <c r="F2180" i="1"/>
  <c r="F2180" i="4" s="1"/>
  <c r="D2181" i="1"/>
  <c r="D2181" i="4" s="1"/>
  <c r="E2181" i="1"/>
  <c r="E2181" i="4" s="1"/>
  <c r="F2181" i="1"/>
  <c r="F2181" i="4" s="1"/>
  <c r="D2182" i="1"/>
  <c r="D2182" i="4" s="1"/>
  <c r="E2182" i="1"/>
  <c r="E2182" i="4" s="1"/>
  <c r="F2182" i="1"/>
  <c r="F2182" i="4" s="1"/>
  <c r="D2183" i="1"/>
  <c r="D2183" i="4" s="1"/>
  <c r="E2183" i="1"/>
  <c r="E2183" i="4" s="1"/>
  <c r="F2183" i="1"/>
  <c r="F2183" i="4" s="1"/>
  <c r="D2184" i="1"/>
  <c r="D2184" i="4" s="1"/>
  <c r="E2184" i="1"/>
  <c r="E2184" i="4" s="1"/>
  <c r="F2184" i="1"/>
  <c r="F2184" i="4" s="1"/>
  <c r="D2185" i="1"/>
  <c r="D2185" i="4" s="1"/>
  <c r="E2185" i="1"/>
  <c r="E2185" i="4" s="1"/>
  <c r="F2185" i="1"/>
  <c r="F2185" i="4" s="1"/>
  <c r="D2186" i="1"/>
  <c r="D2186" i="4" s="1"/>
  <c r="E2186" i="1"/>
  <c r="E2186" i="4" s="1"/>
  <c r="F2186" i="1"/>
  <c r="F2186" i="4" s="1"/>
  <c r="D2187" i="1"/>
  <c r="D2187" i="4" s="1"/>
  <c r="E2187" i="1"/>
  <c r="E2187" i="4" s="1"/>
  <c r="F2187" i="1"/>
  <c r="F2187" i="4" s="1"/>
  <c r="D2188" i="1"/>
  <c r="D2188" i="4" s="1"/>
  <c r="E2188" i="1"/>
  <c r="E2188" i="4" s="1"/>
  <c r="F2188" i="1"/>
  <c r="F2188" i="4" s="1"/>
  <c r="D2189" i="1"/>
  <c r="D2189" i="4" s="1"/>
  <c r="E2189" i="1"/>
  <c r="E2189" i="4" s="1"/>
  <c r="F2189" i="1"/>
  <c r="F2189" i="4" s="1"/>
  <c r="D2190" i="1"/>
  <c r="D2190" i="4" s="1"/>
  <c r="E2190" i="1"/>
  <c r="E2190" i="4" s="1"/>
  <c r="F2190" i="1"/>
  <c r="F2190" i="4" s="1"/>
  <c r="D2191" i="1"/>
  <c r="D2191" i="4" s="1"/>
  <c r="E2191" i="1"/>
  <c r="E2191" i="4" s="1"/>
  <c r="F2191" i="1"/>
  <c r="F2191" i="4" s="1"/>
  <c r="D2192" i="1"/>
  <c r="D2192" i="4" s="1"/>
  <c r="E2192" i="1"/>
  <c r="E2192" i="4" s="1"/>
  <c r="F2192" i="1"/>
  <c r="F2192" i="4" s="1"/>
  <c r="D2193" i="1"/>
  <c r="D2193" i="4" s="1"/>
  <c r="E2193" i="1"/>
  <c r="E2193" i="4" s="1"/>
  <c r="F2193" i="1"/>
  <c r="F2193" i="4" s="1"/>
  <c r="D2194" i="1"/>
  <c r="D2194" i="4" s="1"/>
  <c r="E2194" i="1"/>
  <c r="E2194" i="4" s="1"/>
  <c r="F2194" i="1"/>
  <c r="F2194" i="4" s="1"/>
  <c r="D2195" i="1"/>
  <c r="D2195" i="4" s="1"/>
  <c r="E2195" i="1"/>
  <c r="E2195" i="4" s="1"/>
  <c r="F2195" i="1"/>
  <c r="F2195" i="4" s="1"/>
  <c r="D2196" i="1"/>
  <c r="D2196" i="4" s="1"/>
  <c r="E2196" i="1"/>
  <c r="E2196" i="4" s="1"/>
  <c r="F2196" i="1"/>
  <c r="F2196" i="4" s="1"/>
  <c r="D2197" i="1"/>
  <c r="D2197" i="4" s="1"/>
  <c r="E2197" i="1"/>
  <c r="E2197" i="4" s="1"/>
  <c r="F2197" i="1"/>
  <c r="F2197" i="4" s="1"/>
  <c r="D2198" i="1"/>
  <c r="D2198" i="4" s="1"/>
  <c r="E2198" i="1"/>
  <c r="E2198" i="4" s="1"/>
  <c r="F2198" i="1"/>
  <c r="F2198" i="4" s="1"/>
  <c r="D2199" i="1"/>
  <c r="D2199" i="4" s="1"/>
  <c r="E2199" i="1"/>
  <c r="E2199" i="4" s="1"/>
  <c r="F2199" i="1"/>
  <c r="F2199" i="4" s="1"/>
  <c r="D2200" i="1"/>
  <c r="D2200" i="4" s="1"/>
  <c r="E2200" i="1"/>
  <c r="E2200" i="4" s="1"/>
  <c r="F2200" i="1"/>
  <c r="F2200" i="4" s="1"/>
  <c r="D2201" i="1"/>
  <c r="D2201" i="4" s="1"/>
  <c r="E2201" i="1"/>
  <c r="E2201" i="4" s="1"/>
  <c r="F2201" i="1"/>
  <c r="F2201" i="4" s="1"/>
  <c r="D2202" i="1"/>
  <c r="D2202" i="4" s="1"/>
  <c r="E2202" i="1"/>
  <c r="E2202" i="4" s="1"/>
  <c r="F2202" i="1"/>
  <c r="F2202" i="4" s="1"/>
  <c r="D2203" i="1"/>
  <c r="D2203" i="4" s="1"/>
  <c r="E2203" i="1"/>
  <c r="E2203" i="4" s="1"/>
  <c r="F2203" i="1"/>
  <c r="F2203" i="4" s="1"/>
  <c r="D2204" i="1"/>
  <c r="D2204" i="4" s="1"/>
  <c r="E2204" i="1"/>
  <c r="E2204" i="4" s="1"/>
  <c r="F2204" i="1"/>
  <c r="F2204" i="4" s="1"/>
  <c r="D2205" i="1"/>
  <c r="D2205" i="4" s="1"/>
  <c r="E2205" i="1"/>
  <c r="E2205" i="4" s="1"/>
  <c r="F2205" i="1"/>
  <c r="F2205" i="4" s="1"/>
  <c r="D2206" i="1"/>
  <c r="D2206" i="4" s="1"/>
  <c r="E2206" i="1"/>
  <c r="E2206" i="4" s="1"/>
  <c r="F2206" i="1"/>
  <c r="F2206" i="4" s="1"/>
  <c r="D2207" i="1"/>
  <c r="D2207" i="4" s="1"/>
  <c r="E2207" i="1"/>
  <c r="E2207" i="4" s="1"/>
  <c r="F2207" i="1"/>
  <c r="F2207" i="4" s="1"/>
  <c r="D2208" i="1"/>
  <c r="D2208" i="4" s="1"/>
  <c r="E2208" i="1"/>
  <c r="E2208" i="4" s="1"/>
  <c r="F2208" i="1"/>
  <c r="F2208" i="4" s="1"/>
  <c r="D2209" i="1"/>
  <c r="D2209" i="4" s="1"/>
  <c r="E2209" i="1"/>
  <c r="E2209" i="4" s="1"/>
  <c r="F2209" i="1"/>
  <c r="F2209" i="4" s="1"/>
  <c r="D2210" i="1"/>
  <c r="D2210" i="4" s="1"/>
  <c r="E2210" i="1"/>
  <c r="E2210" i="4" s="1"/>
  <c r="F2210" i="1"/>
  <c r="F2210" i="4" s="1"/>
  <c r="D2211" i="1"/>
  <c r="D2211" i="4" s="1"/>
  <c r="E2211" i="1"/>
  <c r="E2211" i="4" s="1"/>
  <c r="F2211" i="1"/>
  <c r="F2211" i="4" s="1"/>
  <c r="D2212" i="1"/>
  <c r="D2212" i="4" s="1"/>
  <c r="E2212" i="1"/>
  <c r="E2212" i="4" s="1"/>
  <c r="F2212" i="1"/>
  <c r="F2212" i="4" s="1"/>
  <c r="D2213" i="1"/>
  <c r="D2213" i="4" s="1"/>
  <c r="E2213" i="1"/>
  <c r="E2213" i="4" s="1"/>
  <c r="F2213" i="1"/>
  <c r="F2213" i="4" s="1"/>
  <c r="D2214" i="1"/>
  <c r="D2214" i="4" s="1"/>
  <c r="E2214" i="1"/>
  <c r="E2214" i="4" s="1"/>
  <c r="F2214" i="1"/>
  <c r="F2214" i="4" s="1"/>
  <c r="D2215" i="1"/>
  <c r="D2215" i="4" s="1"/>
  <c r="E2215" i="1"/>
  <c r="E2215" i="4" s="1"/>
  <c r="F2215" i="1"/>
  <c r="F2215" i="4" s="1"/>
  <c r="D2216" i="1"/>
  <c r="D2216" i="4" s="1"/>
  <c r="E2216" i="1"/>
  <c r="E2216" i="4" s="1"/>
  <c r="F2216" i="1"/>
  <c r="F2216" i="4" s="1"/>
  <c r="D2217" i="1"/>
  <c r="D2217" i="4" s="1"/>
  <c r="E2217" i="1"/>
  <c r="E2217" i="4" s="1"/>
  <c r="F2217" i="1"/>
  <c r="F2217" i="4" s="1"/>
  <c r="D2218" i="1"/>
  <c r="D2218" i="4" s="1"/>
  <c r="E2218" i="1"/>
  <c r="E2218" i="4" s="1"/>
  <c r="F2218" i="1"/>
  <c r="F2218" i="4" s="1"/>
  <c r="D2219" i="1"/>
  <c r="D2219" i="4" s="1"/>
  <c r="E2219" i="1"/>
  <c r="E2219" i="4" s="1"/>
  <c r="F2219" i="1"/>
  <c r="F2219" i="4" s="1"/>
  <c r="D2220" i="1"/>
  <c r="D2220" i="4" s="1"/>
  <c r="E2220" i="1"/>
  <c r="E2220" i="4" s="1"/>
  <c r="F2220" i="1"/>
  <c r="F2220" i="4" s="1"/>
  <c r="D2221" i="1"/>
  <c r="D2221" i="4" s="1"/>
  <c r="E2221" i="1"/>
  <c r="E2221" i="4" s="1"/>
  <c r="F2221" i="1"/>
  <c r="F2221" i="4" s="1"/>
  <c r="D2222" i="1"/>
  <c r="D2222" i="4" s="1"/>
  <c r="E2222" i="1"/>
  <c r="E2222" i="4" s="1"/>
  <c r="F2222" i="1"/>
  <c r="F2222" i="4" s="1"/>
  <c r="D2223" i="1"/>
  <c r="D2223" i="4" s="1"/>
  <c r="E2223" i="1"/>
  <c r="E2223" i="4" s="1"/>
  <c r="F2223" i="1"/>
  <c r="F2223" i="4" s="1"/>
  <c r="D2224" i="1"/>
  <c r="D2224" i="4" s="1"/>
  <c r="E2224" i="1"/>
  <c r="E2224" i="4" s="1"/>
  <c r="F2224" i="1"/>
  <c r="F2224" i="4" s="1"/>
  <c r="D2225" i="1"/>
  <c r="D2225" i="4" s="1"/>
  <c r="E2225" i="1"/>
  <c r="E2225" i="4" s="1"/>
  <c r="F2225" i="1"/>
  <c r="F2225" i="4" s="1"/>
  <c r="D2226" i="1"/>
  <c r="D2226" i="4" s="1"/>
  <c r="E2226" i="1"/>
  <c r="E2226" i="4" s="1"/>
  <c r="F2226" i="1"/>
  <c r="F2226" i="4" s="1"/>
  <c r="D2227" i="1"/>
  <c r="D2227" i="4" s="1"/>
  <c r="E2227" i="1"/>
  <c r="E2227" i="4" s="1"/>
  <c r="F2227" i="1"/>
  <c r="F2227" i="4" s="1"/>
  <c r="D2228" i="1"/>
  <c r="D2228" i="4" s="1"/>
  <c r="E2228" i="1"/>
  <c r="E2228" i="4" s="1"/>
  <c r="F2228" i="1"/>
  <c r="F2228" i="4" s="1"/>
  <c r="D2229" i="1"/>
  <c r="D2229" i="4" s="1"/>
  <c r="E2229" i="1"/>
  <c r="E2229" i="4" s="1"/>
  <c r="F2229" i="1"/>
  <c r="F2229" i="4" s="1"/>
  <c r="D2230" i="1"/>
  <c r="D2230" i="4" s="1"/>
  <c r="E2230" i="1"/>
  <c r="E2230" i="4" s="1"/>
  <c r="F2230" i="1"/>
  <c r="F2230" i="4" s="1"/>
  <c r="D2231" i="1"/>
  <c r="D2231" i="4" s="1"/>
  <c r="E2231" i="1"/>
  <c r="E2231" i="4" s="1"/>
  <c r="F2231" i="1"/>
  <c r="F2231" i="4" s="1"/>
  <c r="D2232" i="1"/>
  <c r="D2232" i="4" s="1"/>
  <c r="E2232" i="1"/>
  <c r="E2232" i="4" s="1"/>
  <c r="F2232" i="1"/>
  <c r="F2232" i="4" s="1"/>
  <c r="D2233" i="1"/>
  <c r="D2233" i="4" s="1"/>
  <c r="E2233" i="1"/>
  <c r="E2233" i="4" s="1"/>
  <c r="F2233" i="1"/>
  <c r="F2233" i="4" s="1"/>
  <c r="D2234" i="1"/>
  <c r="D2234" i="4" s="1"/>
  <c r="E2234" i="1"/>
  <c r="E2234" i="4" s="1"/>
  <c r="F2234" i="1"/>
  <c r="F2234" i="4" s="1"/>
  <c r="D2235" i="1"/>
  <c r="D2235" i="4" s="1"/>
  <c r="E2235" i="1"/>
  <c r="E2235" i="4" s="1"/>
  <c r="F2235" i="1"/>
  <c r="F2235" i="4" s="1"/>
  <c r="D2236" i="1"/>
  <c r="D2236" i="4" s="1"/>
  <c r="E2236" i="1"/>
  <c r="E2236" i="4" s="1"/>
  <c r="F2236" i="1"/>
  <c r="F2236" i="4" s="1"/>
  <c r="D2237" i="1"/>
  <c r="D2237" i="4" s="1"/>
  <c r="E2237" i="1"/>
  <c r="E2237" i="4" s="1"/>
  <c r="F2237" i="1"/>
  <c r="F2237" i="4" s="1"/>
  <c r="D2238" i="1"/>
  <c r="D2238" i="4" s="1"/>
  <c r="E2238" i="1"/>
  <c r="E2238" i="4" s="1"/>
  <c r="F2238" i="1"/>
  <c r="F2238" i="4" s="1"/>
  <c r="D2239" i="1"/>
  <c r="D2239" i="4" s="1"/>
  <c r="E2239" i="1"/>
  <c r="E2239" i="4" s="1"/>
  <c r="F2239" i="1"/>
  <c r="F2239" i="4" s="1"/>
  <c r="D2240" i="1"/>
  <c r="D2240" i="4" s="1"/>
  <c r="E2240" i="1"/>
  <c r="E2240" i="4" s="1"/>
  <c r="F2240" i="1"/>
  <c r="F2240" i="4" s="1"/>
  <c r="D2241" i="1"/>
  <c r="D2241" i="4" s="1"/>
  <c r="E2241" i="1"/>
  <c r="E2241" i="4" s="1"/>
  <c r="F2241" i="1"/>
  <c r="F2241" i="4" s="1"/>
  <c r="D2242" i="1"/>
  <c r="D2242" i="4" s="1"/>
  <c r="E2242" i="1"/>
  <c r="E2242" i="4" s="1"/>
  <c r="F2242" i="1"/>
  <c r="F2242" i="4" s="1"/>
  <c r="D2243" i="1"/>
  <c r="D2243" i="4" s="1"/>
  <c r="E2243" i="1"/>
  <c r="E2243" i="4" s="1"/>
  <c r="F2243" i="1"/>
  <c r="F2243" i="4" s="1"/>
  <c r="D2244" i="1"/>
  <c r="D2244" i="4" s="1"/>
  <c r="E2244" i="1"/>
  <c r="E2244" i="4" s="1"/>
  <c r="F2244" i="1"/>
  <c r="F2244" i="4" s="1"/>
  <c r="D2245" i="1"/>
  <c r="D2245" i="4" s="1"/>
  <c r="E2245" i="1"/>
  <c r="E2245" i="4" s="1"/>
  <c r="F2245" i="1"/>
  <c r="F2245" i="4" s="1"/>
  <c r="D2246" i="1"/>
  <c r="D2246" i="4" s="1"/>
  <c r="E2246" i="1"/>
  <c r="E2246" i="4" s="1"/>
  <c r="F2246" i="1"/>
  <c r="F2246" i="4" s="1"/>
  <c r="D2247" i="1"/>
  <c r="D2247" i="4" s="1"/>
  <c r="E2247" i="1"/>
  <c r="E2247" i="4" s="1"/>
  <c r="F2247" i="1"/>
  <c r="F2247" i="4" s="1"/>
  <c r="D2248" i="1"/>
  <c r="D2248" i="4" s="1"/>
  <c r="E2248" i="1"/>
  <c r="E2248" i="4" s="1"/>
  <c r="F2248" i="1"/>
  <c r="F2248" i="4" s="1"/>
  <c r="D2249" i="1"/>
  <c r="D2249" i="4" s="1"/>
  <c r="E2249" i="1"/>
  <c r="E2249" i="4" s="1"/>
  <c r="F2249" i="1"/>
  <c r="F2249" i="4" s="1"/>
  <c r="D2250" i="1"/>
  <c r="D2250" i="4" s="1"/>
  <c r="E2250" i="1"/>
  <c r="E2250" i="4" s="1"/>
  <c r="F2250" i="1"/>
  <c r="F2250" i="4" s="1"/>
  <c r="D2251" i="1"/>
  <c r="D2251" i="4" s="1"/>
  <c r="E2251" i="1"/>
  <c r="E2251" i="4" s="1"/>
  <c r="F2251" i="1"/>
  <c r="F2251" i="4" s="1"/>
  <c r="D2252" i="1"/>
  <c r="D2252" i="4" s="1"/>
  <c r="E2252" i="1"/>
  <c r="E2252" i="4" s="1"/>
  <c r="F2252" i="1"/>
  <c r="F2252" i="4" s="1"/>
  <c r="D2253" i="1"/>
  <c r="D2253" i="4" s="1"/>
  <c r="E2253" i="1"/>
  <c r="E2253" i="4" s="1"/>
  <c r="F2253" i="1"/>
  <c r="F2253" i="4" s="1"/>
  <c r="D2254" i="1"/>
  <c r="D2254" i="4" s="1"/>
  <c r="E2254" i="1"/>
  <c r="E2254" i="4" s="1"/>
  <c r="F2254" i="1"/>
  <c r="F2254" i="4" s="1"/>
  <c r="D2255" i="1"/>
  <c r="D2255" i="4" s="1"/>
  <c r="E2255" i="1"/>
  <c r="E2255" i="4" s="1"/>
  <c r="F2255" i="1"/>
  <c r="F2255" i="4" s="1"/>
  <c r="D2256" i="1"/>
  <c r="D2256" i="4" s="1"/>
  <c r="E2256" i="1"/>
  <c r="E2256" i="4" s="1"/>
  <c r="F2256" i="1"/>
  <c r="F2256" i="4" s="1"/>
  <c r="D2257" i="1"/>
  <c r="D2257" i="4" s="1"/>
  <c r="E2257" i="1"/>
  <c r="E2257" i="4" s="1"/>
  <c r="F2257" i="1"/>
  <c r="F2257" i="4" s="1"/>
  <c r="D2258" i="1"/>
  <c r="D2258" i="4" s="1"/>
  <c r="E2258" i="1"/>
  <c r="E2258" i="4" s="1"/>
  <c r="F2258" i="1"/>
  <c r="F2258" i="4" s="1"/>
  <c r="D2259" i="1"/>
  <c r="D2259" i="4" s="1"/>
  <c r="E2259" i="1"/>
  <c r="E2259" i="4" s="1"/>
  <c r="F2259" i="1"/>
  <c r="F2259" i="4" s="1"/>
  <c r="D2260" i="1"/>
  <c r="D2260" i="4" s="1"/>
  <c r="E2260" i="1"/>
  <c r="E2260" i="4" s="1"/>
  <c r="F2260" i="1"/>
  <c r="F2260" i="4" s="1"/>
  <c r="D2261" i="1"/>
  <c r="D2261" i="4" s="1"/>
  <c r="E2261" i="1"/>
  <c r="E2261" i="4" s="1"/>
  <c r="F2261" i="1"/>
  <c r="F2261" i="4" s="1"/>
  <c r="D2262" i="1"/>
  <c r="D2262" i="4" s="1"/>
  <c r="E2262" i="1"/>
  <c r="E2262" i="4" s="1"/>
  <c r="F2262" i="1"/>
  <c r="F2262" i="4" s="1"/>
  <c r="D2263" i="1"/>
  <c r="D2263" i="4" s="1"/>
  <c r="E2263" i="1"/>
  <c r="E2263" i="4" s="1"/>
  <c r="F2263" i="1"/>
  <c r="F2263" i="4" s="1"/>
  <c r="D2264" i="1"/>
  <c r="D2264" i="4" s="1"/>
  <c r="E2264" i="1"/>
  <c r="E2264" i="4" s="1"/>
  <c r="F2264" i="1"/>
  <c r="F2264" i="4" s="1"/>
  <c r="D2265" i="1"/>
  <c r="D2265" i="4" s="1"/>
  <c r="E2265" i="1"/>
  <c r="E2265" i="4" s="1"/>
  <c r="F2265" i="1"/>
  <c r="F2265" i="4" s="1"/>
  <c r="D2266" i="1"/>
  <c r="D2266" i="4" s="1"/>
  <c r="E2266" i="1"/>
  <c r="E2266" i="4" s="1"/>
  <c r="F2266" i="1"/>
  <c r="F2266" i="4" s="1"/>
  <c r="D2267" i="1"/>
  <c r="D2267" i="4" s="1"/>
  <c r="E2267" i="1"/>
  <c r="E2267" i="4" s="1"/>
  <c r="F2267" i="1"/>
  <c r="F2267" i="4" s="1"/>
  <c r="D2268" i="1"/>
  <c r="D2268" i="4" s="1"/>
  <c r="E2268" i="1"/>
  <c r="E2268" i="4" s="1"/>
  <c r="F2268" i="1"/>
  <c r="F2268" i="4" s="1"/>
  <c r="D2269" i="1"/>
  <c r="D2269" i="4" s="1"/>
  <c r="E2269" i="1"/>
  <c r="E2269" i="4" s="1"/>
  <c r="F2269" i="1"/>
  <c r="F2269" i="4" s="1"/>
  <c r="D2270" i="1"/>
  <c r="D2270" i="4" s="1"/>
  <c r="E2270" i="1"/>
  <c r="E2270" i="4" s="1"/>
  <c r="F2270" i="1"/>
  <c r="F2270" i="4" s="1"/>
  <c r="D2271" i="1"/>
  <c r="D2271" i="4" s="1"/>
  <c r="E2271" i="1"/>
  <c r="E2271" i="4" s="1"/>
  <c r="F2271" i="1"/>
  <c r="F2271" i="4" s="1"/>
  <c r="D2272" i="1"/>
  <c r="D2272" i="4" s="1"/>
  <c r="E2272" i="1"/>
  <c r="E2272" i="4" s="1"/>
  <c r="F2272" i="1"/>
  <c r="F2272" i="4" s="1"/>
  <c r="D2273" i="1"/>
  <c r="D2273" i="4" s="1"/>
  <c r="E2273" i="1"/>
  <c r="E2273" i="4" s="1"/>
  <c r="F2273" i="1"/>
  <c r="F2273" i="4" s="1"/>
  <c r="D2274" i="1"/>
  <c r="D2274" i="4" s="1"/>
  <c r="E2274" i="1"/>
  <c r="E2274" i="4" s="1"/>
  <c r="F2274" i="1"/>
  <c r="F2274" i="4" s="1"/>
  <c r="D2275" i="1"/>
  <c r="D2275" i="4" s="1"/>
  <c r="E2275" i="1"/>
  <c r="E2275" i="4" s="1"/>
  <c r="F2275" i="1"/>
  <c r="F2275" i="4" s="1"/>
  <c r="D2276" i="1"/>
  <c r="D2276" i="4" s="1"/>
  <c r="E2276" i="1"/>
  <c r="E2276" i="4" s="1"/>
  <c r="F2276" i="1"/>
  <c r="F2276" i="4" s="1"/>
  <c r="D2277" i="1"/>
  <c r="D2277" i="4" s="1"/>
  <c r="E2277" i="1"/>
  <c r="E2277" i="4" s="1"/>
  <c r="F2277" i="1"/>
  <c r="F2277" i="4" s="1"/>
  <c r="D2278" i="1"/>
  <c r="D2278" i="4" s="1"/>
  <c r="E2278" i="1"/>
  <c r="E2278" i="4" s="1"/>
  <c r="F2278" i="1"/>
  <c r="F2278" i="4" s="1"/>
  <c r="D2279" i="1"/>
  <c r="D2279" i="4" s="1"/>
  <c r="E2279" i="1"/>
  <c r="E2279" i="4" s="1"/>
  <c r="F2279" i="1"/>
  <c r="F2279" i="4" s="1"/>
  <c r="D2280" i="1"/>
  <c r="D2280" i="4" s="1"/>
  <c r="E2280" i="1"/>
  <c r="E2280" i="4" s="1"/>
  <c r="F2280" i="1"/>
  <c r="F2280" i="4" s="1"/>
  <c r="D2281" i="1"/>
  <c r="D2281" i="4" s="1"/>
  <c r="E2281" i="1"/>
  <c r="E2281" i="4" s="1"/>
  <c r="F2281" i="1"/>
  <c r="F2281" i="4" s="1"/>
  <c r="D2282" i="1"/>
  <c r="D2282" i="4" s="1"/>
  <c r="E2282" i="1"/>
  <c r="E2282" i="4" s="1"/>
  <c r="F2282" i="1"/>
  <c r="F2282" i="4" s="1"/>
  <c r="D2283" i="1"/>
  <c r="D2283" i="4" s="1"/>
  <c r="E2283" i="1"/>
  <c r="E2283" i="4" s="1"/>
  <c r="F2283" i="1"/>
  <c r="F2283" i="4" s="1"/>
  <c r="D2284" i="1"/>
  <c r="D2284" i="4" s="1"/>
  <c r="E2284" i="1"/>
  <c r="E2284" i="4" s="1"/>
  <c r="F2284" i="1"/>
  <c r="F2284" i="4" s="1"/>
  <c r="D2285" i="1"/>
  <c r="D2285" i="4" s="1"/>
  <c r="E2285" i="1"/>
  <c r="E2285" i="4" s="1"/>
  <c r="F2285" i="1"/>
  <c r="F2285" i="4" s="1"/>
  <c r="D2286" i="1"/>
  <c r="D2286" i="4" s="1"/>
  <c r="E2286" i="1"/>
  <c r="E2286" i="4" s="1"/>
  <c r="F2286" i="1"/>
  <c r="F2286" i="4" s="1"/>
  <c r="D2287" i="1"/>
  <c r="D2287" i="4" s="1"/>
  <c r="E2287" i="1"/>
  <c r="E2287" i="4" s="1"/>
  <c r="F2287" i="1"/>
  <c r="F2287" i="4" s="1"/>
  <c r="D2288" i="1"/>
  <c r="D2288" i="4" s="1"/>
  <c r="E2288" i="1"/>
  <c r="E2288" i="4" s="1"/>
  <c r="F2288" i="1"/>
  <c r="F2288" i="4" s="1"/>
  <c r="D2289" i="1"/>
  <c r="D2289" i="4" s="1"/>
  <c r="E2289" i="1"/>
  <c r="E2289" i="4" s="1"/>
  <c r="F2289" i="1"/>
  <c r="F2289" i="4" s="1"/>
  <c r="D2290" i="1"/>
  <c r="D2290" i="4" s="1"/>
  <c r="E2290" i="1"/>
  <c r="E2290" i="4" s="1"/>
  <c r="F2290" i="1"/>
  <c r="F2290" i="4" s="1"/>
  <c r="D2291" i="1"/>
  <c r="D2291" i="4" s="1"/>
  <c r="E2291" i="1"/>
  <c r="E2291" i="4" s="1"/>
  <c r="F2291" i="1"/>
  <c r="F2291" i="4" s="1"/>
  <c r="D2292" i="1"/>
  <c r="D2292" i="4" s="1"/>
  <c r="E2292" i="1"/>
  <c r="E2292" i="4" s="1"/>
  <c r="F2292" i="1"/>
  <c r="F2292" i="4" s="1"/>
  <c r="D2293" i="1"/>
  <c r="D2293" i="4" s="1"/>
  <c r="E2293" i="1"/>
  <c r="E2293" i="4" s="1"/>
  <c r="F2293" i="1"/>
  <c r="F2293" i="4" s="1"/>
  <c r="D2294" i="1"/>
  <c r="D2294" i="4" s="1"/>
  <c r="E2294" i="1"/>
  <c r="E2294" i="4" s="1"/>
  <c r="F2294" i="1"/>
  <c r="F2294" i="4" s="1"/>
  <c r="D2295" i="1"/>
  <c r="D2295" i="4" s="1"/>
  <c r="E2295" i="1"/>
  <c r="E2295" i="4" s="1"/>
  <c r="F2295" i="1"/>
  <c r="F2295" i="4" s="1"/>
  <c r="D2296" i="1"/>
  <c r="D2296" i="4" s="1"/>
  <c r="E2296" i="1"/>
  <c r="E2296" i="4" s="1"/>
  <c r="F2296" i="1"/>
  <c r="F2296" i="4" s="1"/>
  <c r="D2297" i="1"/>
  <c r="D2297" i="4" s="1"/>
  <c r="E2297" i="1"/>
  <c r="E2297" i="4" s="1"/>
  <c r="F2297" i="1"/>
  <c r="F2297" i="4" s="1"/>
  <c r="D2298" i="1"/>
  <c r="D2298" i="4" s="1"/>
  <c r="E2298" i="1"/>
  <c r="E2298" i="4" s="1"/>
  <c r="F2298" i="1"/>
  <c r="F2298" i="4" s="1"/>
  <c r="D2299" i="1"/>
  <c r="D2299" i="4" s="1"/>
  <c r="E2299" i="1"/>
  <c r="E2299" i="4" s="1"/>
  <c r="F2299" i="1"/>
  <c r="F2299" i="4" s="1"/>
  <c r="D2300" i="1"/>
  <c r="D2300" i="4" s="1"/>
  <c r="E2300" i="1"/>
  <c r="E2300" i="4" s="1"/>
  <c r="F2300" i="1"/>
  <c r="F2300" i="4" s="1"/>
  <c r="D2301" i="1"/>
  <c r="D2301" i="4" s="1"/>
  <c r="E2301" i="1"/>
  <c r="E2301" i="4" s="1"/>
  <c r="F2301" i="1"/>
  <c r="F2301" i="4" s="1"/>
  <c r="D2302" i="1"/>
  <c r="D2302" i="4" s="1"/>
  <c r="E2302" i="1"/>
  <c r="E2302" i="4" s="1"/>
  <c r="F2302" i="1"/>
  <c r="F2302" i="4" s="1"/>
  <c r="D2303" i="1"/>
  <c r="D2303" i="4" s="1"/>
  <c r="E2303" i="1"/>
  <c r="E2303" i="4" s="1"/>
  <c r="F2303" i="1"/>
  <c r="F2303" i="4" s="1"/>
  <c r="D2304" i="1"/>
  <c r="D2304" i="4" s="1"/>
  <c r="E2304" i="1"/>
  <c r="E2304" i="4" s="1"/>
  <c r="F2304" i="1"/>
  <c r="F2304" i="4" s="1"/>
  <c r="D2305" i="1"/>
  <c r="D2305" i="4" s="1"/>
  <c r="E2305" i="1"/>
  <c r="E2305" i="4" s="1"/>
  <c r="F2305" i="1"/>
  <c r="F2305" i="4" s="1"/>
  <c r="D2306" i="1"/>
  <c r="D2306" i="4" s="1"/>
  <c r="E2306" i="1"/>
  <c r="E2306" i="4" s="1"/>
  <c r="F2306" i="1"/>
  <c r="F2306" i="4" s="1"/>
  <c r="D2307" i="1"/>
  <c r="D2307" i="4" s="1"/>
  <c r="E2307" i="1"/>
  <c r="E2307" i="4" s="1"/>
  <c r="F2307" i="1"/>
  <c r="F2307" i="4" s="1"/>
  <c r="D2308" i="1"/>
  <c r="D2308" i="4" s="1"/>
  <c r="E2308" i="1"/>
  <c r="E2308" i="4" s="1"/>
  <c r="F2308" i="1"/>
  <c r="F2308" i="4" s="1"/>
  <c r="D2309" i="1"/>
  <c r="D2309" i="4" s="1"/>
  <c r="E2309" i="1"/>
  <c r="E2309" i="4" s="1"/>
  <c r="F2309" i="1"/>
  <c r="F2309" i="4" s="1"/>
  <c r="D2310" i="1"/>
  <c r="D2310" i="4" s="1"/>
  <c r="E2310" i="1"/>
  <c r="E2310" i="4" s="1"/>
  <c r="F2310" i="1"/>
  <c r="F2310" i="4" s="1"/>
  <c r="D2311" i="1"/>
  <c r="D2311" i="4" s="1"/>
  <c r="E2311" i="1"/>
  <c r="E2311" i="4" s="1"/>
  <c r="F2311" i="1"/>
  <c r="F2311" i="4" s="1"/>
  <c r="D2312" i="1"/>
  <c r="D2312" i="4" s="1"/>
  <c r="E2312" i="1"/>
  <c r="E2312" i="4" s="1"/>
  <c r="F2312" i="1"/>
  <c r="F2312" i="4" s="1"/>
  <c r="D2313" i="1"/>
  <c r="D2313" i="4" s="1"/>
  <c r="E2313" i="1"/>
  <c r="E2313" i="4" s="1"/>
  <c r="F2313" i="1"/>
  <c r="F2313" i="4" s="1"/>
  <c r="D2314" i="1"/>
  <c r="D2314" i="4" s="1"/>
  <c r="E2314" i="1"/>
  <c r="E2314" i="4" s="1"/>
  <c r="F2314" i="1"/>
  <c r="F2314" i="4" s="1"/>
  <c r="D2315" i="1"/>
  <c r="D2315" i="4" s="1"/>
  <c r="E2315" i="1"/>
  <c r="E2315" i="4" s="1"/>
  <c r="F2315" i="1"/>
  <c r="F2315" i="4" s="1"/>
  <c r="D2316" i="1"/>
  <c r="D2316" i="4" s="1"/>
  <c r="E2316" i="1"/>
  <c r="E2316" i="4" s="1"/>
  <c r="F2316" i="1"/>
  <c r="F2316" i="4" s="1"/>
  <c r="D2317" i="1"/>
  <c r="D2317" i="4" s="1"/>
  <c r="E2317" i="1"/>
  <c r="E2317" i="4" s="1"/>
  <c r="F2317" i="1"/>
  <c r="F2317" i="4" s="1"/>
  <c r="D2318" i="1"/>
  <c r="D2318" i="4" s="1"/>
  <c r="E2318" i="1"/>
  <c r="E2318" i="4" s="1"/>
  <c r="F2318" i="1"/>
  <c r="F2318" i="4" s="1"/>
  <c r="D2319" i="1"/>
  <c r="D2319" i="4" s="1"/>
  <c r="E2319" i="1"/>
  <c r="E2319" i="4" s="1"/>
  <c r="F2319" i="1"/>
  <c r="F2319" i="4" s="1"/>
  <c r="D2320" i="1"/>
  <c r="D2320" i="4" s="1"/>
  <c r="E2320" i="1"/>
  <c r="E2320" i="4" s="1"/>
  <c r="F2320" i="1"/>
  <c r="F2320" i="4" s="1"/>
  <c r="D2321" i="1"/>
  <c r="D2321" i="4" s="1"/>
  <c r="E2321" i="1"/>
  <c r="E2321" i="4" s="1"/>
  <c r="F2321" i="1"/>
  <c r="F2321" i="4" s="1"/>
  <c r="D2322" i="1"/>
  <c r="D2322" i="4" s="1"/>
  <c r="E2322" i="1"/>
  <c r="E2322" i="4" s="1"/>
  <c r="F2322" i="1"/>
  <c r="F2322" i="4" s="1"/>
  <c r="D2323" i="1"/>
  <c r="D2323" i="4" s="1"/>
  <c r="E2323" i="1"/>
  <c r="E2323" i="4" s="1"/>
  <c r="F2323" i="1"/>
  <c r="F2323" i="4" s="1"/>
  <c r="D2324" i="1"/>
  <c r="D2324" i="4" s="1"/>
  <c r="E2324" i="1"/>
  <c r="E2324" i="4" s="1"/>
  <c r="F2324" i="1"/>
  <c r="F2324" i="4" s="1"/>
  <c r="D2325" i="1"/>
  <c r="D2325" i="4" s="1"/>
  <c r="E2325" i="1"/>
  <c r="E2325" i="4" s="1"/>
  <c r="F2325" i="1"/>
  <c r="F2325" i="4" s="1"/>
  <c r="D2326" i="1"/>
  <c r="D2326" i="4" s="1"/>
  <c r="E2326" i="1"/>
  <c r="E2326" i="4" s="1"/>
  <c r="F2326" i="1"/>
  <c r="F2326" i="4" s="1"/>
  <c r="D2327" i="1"/>
  <c r="D2327" i="4" s="1"/>
  <c r="E2327" i="1"/>
  <c r="E2327" i="4" s="1"/>
  <c r="F2327" i="1"/>
  <c r="F2327" i="4" s="1"/>
  <c r="D2328" i="1"/>
  <c r="D2328" i="4" s="1"/>
  <c r="E2328" i="1"/>
  <c r="E2328" i="4" s="1"/>
  <c r="F2328" i="1"/>
  <c r="F2328" i="4" s="1"/>
  <c r="D2329" i="1"/>
  <c r="D2329" i="4" s="1"/>
  <c r="E2329" i="1"/>
  <c r="E2329" i="4" s="1"/>
  <c r="F2329" i="1"/>
  <c r="F2329" i="4" s="1"/>
  <c r="D2330" i="1"/>
  <c r="D2330" i="4" s="1"/>
  <c r="E2330" i="1"/>
  <c r="E2330" i="4" s="1"/>
  <c r="F2330" i="1"/>
  <c r="F2330" i="4" s="1"/>
  <c r="D2331" i="1"/>
  <c r="D2331" i="4" s="1"/>
  <c r="E2331" i="1"/>
  <c r="E2331" i="4" s="1"/>
  <c r="F2331" i="1"/>
  <c r="F2331" i="4" s="1"/>
  <c r="D2332" i="1"/>
  <c r="D2332" i="4" s="1"/>
  <c r="E2332" i="1"/>
  <c r="E2332" i="4" s="1"/>
  <c r="F2332" i="1"/>
  <c r="F2332" i="4" s="1"/>
  <c r="D2333" i="1"/>
  <c r="D2333" i="4" s="1"/>
  <c r="E2333" i="1"/>
  <c r="E2333" i="4" s="1"/>
  <c r="F2333" i="1"/>
  <c r="F2333" i="4" s="1"/>
  <c r="D2334" i="1"/>
  <c r="D2334" i="4" s="1"/>
  <c r="E2334" i="1"/>
  <c r="E2334" i="4" s="1"/>
  <c r="F2334" i="1"/>
  <c r="F2334" i="4" s="1"/>
  <c r="D2335" i="1"/>
  <c r="D2335" i="4" s="1"/>
  <c r="E2335" i="1"/>
  <c r="E2335" i="4" s="1"/>
  <c r="F2335" i="1"/>
  <c r="F2335" i="4" s="1"/>
  <c r="D2336" i="1"/>
  <c r="D2336" i="4" s="1"/>
  <c r="E2336" i="1"/>
  <c r="E2336" i="4" s="1"/>
  <c r="F2336" i="1"/>
  <c r="F2336" i="4" s="1"/>
  <c r="D2337" i="1"/>
  <c r="D2337" i="4" s="1"/>
  <c r="E2337" i="1"/>
  <c r="E2337" i="4" s="1"/>
  <c r="F2337" i="1"/>
  <c r="F2337" i="4" s="1"/>
  <c r="D2338" i="1"/>
  <c r="D2338" i="4" s="1"/>
  <c r="E2338" i="1"/>
  <c r="E2338" i="4" s="1"/>
  <c r="F2338" i="1"/>
  <c r="F2338" i="4" s="1"/>
  <c r="D2339" i="1"/>
  <c r="D2339" i="4" s="1"/>
  <c r="E2339" i="1"/>
  <c r="E2339" i="4" s="1"/>
  <c r="F2339" i="1"/>
  <c r="F2339" i="4" s="1"/>
  <c r="D2340" i="1"/>
  <c r="D2340" i="4" s="1"/>
  <c r="E2340" i="1"/>
  <c r="E2340" i="4" s="1"/>
  <c r="F2340" i="1"/>
  <c r="F2340" i="4" s="1"/>
  <c r="D2341" i="1"/>
  <c r="D2341" i="4" s="1"/>
  <c r="E2341" i="1"/>
  <c r="E2341" i="4" s="1"/>
  <c r="F2341" i="1"/>
  <c r="F2341" i="4" s="1"/>
  <c r="D2342" i="1"/>
  <c r="D2342" i="4" s="1"/>
  <c r="E2342" i="1"/>
  <c r="E2342" i="4" s="1"/>
  <c r="F2342" i="1"/>
  <c r="F2342" i="4" s="1"/>
  <c r="D2343" i="1"/>
  <c r="D2343" i="4" s="1"/>
  <c r="E2343" i="1"/>
  <c r="E2343" i="4" s="1"/>
  <c r="F2343" i="1"/>
  <c r="F2343" i="4" s="1"/>
  <c r="D2344" i="1"/>
  <c r="D2344" i="4" s="1"/>
  <c r="E2344" i="1"/>
  <c r="E2344" i="4" s="1"/>
  <c r="F2344" i="1"/>
  <c r="F2344" i="4" s="1"/>
  <c r="D2345" i="1"/>
  <c r="D2345" i="4" s="1"/>
  <c r="E2345" i="1"/>
  <c r="E2345" i="4" s="1"/>
  <c r="F2345" i="1"/>
  <c r="F2345" i="4" s="1"/>
  <c r="D2346" i="1"/>
  <c r="D2346" i="4" s="1"/>
  <c r="E2346" i="1"/>
  <c r="E2346" i="4" s="1"/>
  <c r="F2346" i="1"/>
  <c r="F2346" i="4" s="1"/>
  <c r="D2347" i="1"/>
  <c r="D2347" i="4" s="1"/>
  <c r="E2347" i="1"/>
  <c r="E2347" i="4" s="1"/>
  <c r="F2347" i="1"/>
  <c r="F2347" i="4" s="1"/>
  <c r="D2348" i="1"/>
  <c r="D2348" i="4" s="1"/>
  <c r="E2348" i="1"/>
  <c r="E2348" i="4" s="1"/>
  <c r="F2348" i="1"/>
  <c r="F2348" i="4" s="1"/>
  <c r="D2349" i="1"/>
  <c r="D2349" i="4" s="1"/>
  <c r="E2349" i="1"/>
  <c r="E2349" i="4" s="1"/>
  <c r="F2349" i="1"/>
  <c r="F2349" i="4" s="1"/>
  <c r="D2350" i="1"/>
  <c r="D2350" i="4" s="1"/>
  <c r="E2350" i="1"/>
  <c r="E2350" i="4" s="1"/>
  <c r="F2350" i="1"/>
  <c r="F2350" i="4" s="1"/>
  <c r="D2351" i="1"/>
  <c r="D2351" i="4" s="1"/>
  <c r="E2351" i="1"/>
  <c r="E2351" i="4" s="1"/>
  <c r="F2351" i="1"/>
  <c r="F2351" i="4" s="1"/>
  <c r="D2352" i="1"/>
  <c r="D2352" i="4" s="1"/>
  <c r="E2352" i="1"/>
  <c r="E2352" i="4" s="1"/>
  <c r="F2352" i="1"/>
  <c r="F2352" i="4" s="1"/>
  <c r="D2353" i="1"/>
  <c r="D2353" i="4" s="1"/>
  <c r="E2353" i="1"/>
  <c r="E2353" i="4" s="1"/>
  <c r="F2353" i="1"/>
  <c r="F2353" i="4" s="1"/>
  <c r="D2354" i="1"/>
  <c r="D2354" i="4" s="1"/>
  <c r="E2354" i="1"/>
  <c r="E2354" i="4" s="1"/>
  <c r="F2354" i="1"/>
  <c r="F2354" i="4" s="1"/>
  <c r="D2355" i="1"/>
  <c r="D2355" i="4" s="1"/>
  <c r="E2355" i="1"/>
  <c r="E2355" i="4" s="1"/>
  <c r="F2355" i="1"/>
  <c r="F2355" i="4" s="1"/>
  <c r="D2356" i="1"/>
  <c r="D2356" i="4" s="1"/>
  <c r="E2356" i="1"/>
  <c r="E2356" i="4" s="1"/>
  <c r="F2356" i="1"/>
  <c r="F2356" i="4" s="1"/>
  <c r="D2357" i="1"/>
  <c r="D2357" i="4" s="1"/>
  <c r="E2357" i="1"/>
  <c r="E2357" i="4" s="1"/>
  <c r="F2357" i="1"/>
  <c r="F2357" i="4" s="1"/>
  <c r="D2358" i="1"/>
  <c r="D2358" i="4" s="1"/>
  <c r="E2358" i="1"/>
  <c r="E2358" i="4" s="1"/>
  <c r="F2358" i="1"/>
  <c r="F2358" i="4" s="1"/>
  <c r="D2359" i="1"/>
  <c r="D2359" i="4" s="1"/>
  <c r="E2359" i="1"/>
  <c r="E2359" i="4" s="1"/>
  <c r="F2359" i="1"/>
  <c r="F2359" i="4" s="1"/>
  <c r="D2360" i="1"/>
  <c r="D2360" i="4" s="1"/>
  <c r="E2360" i="1"/>
  <c r="E2360" i="4" s="1"/>
  <c r="F2360" i="1"/>
  <c r="F2360" i="4" s="1"/>
  <c r="D2361" i="1"/>
  <c r="D2361" i="4" s="1"/>
  <c r="E2361" i="1"/>
  <c r="E2361" i="4" s="1"/>
  <c r="F2361" i="1"/>
  <c r="F2361" i="4" s="1"/>
  <c r="D2362" i="1"/>
  <c r="D2362" i="4" s="1"/>
  <c r="E2362" i="1"/>
  <c r="E2362" i="4" s="1"/>
  <c r="F2362" i="1"/>
  <c r="F2362" i="4" s="1"/>
  <c r="D2363" i="1"/>
  <c r="D2363" i="4" s="1"/>
  <c r="E2363" i="1"/>
  <c r="E2363" i="4" s="1"/>
  <c r="F2363" i="1"/>
  <c r="F2363" i="4" s="1"/>
  <c r="D2364" i="1"/>
  <c r="D2364" i="4" s="1"/>
  <c r="E2364" i="1"/>
  <c r="E2364" i="4" s="1"/>
  <c r="F2364" i="1"/>
  <c r="F2364" i="4" s="1"/>
  <c r="D2365" i="1"/>
  <c r="D2365" i="4" s="1"/>
  <c r="E2365" i="1"/>
  <c r="E2365" i="4" s="1"/>
  <c r="F2365" i="1"/>
  <c r="F2365" i="4" s="1"/>
  <c r="D2366" i="1"/>
  <c r="D2366" i="4" s="1"/>
  <c r="E2366" i="1"/>
  <c r="E2366" i="4" s="1"/>
  <c r="F2366" i="1"/>
  <c r="F2366" i="4" s="1"/>
  <c r="D2367" i="1"/>
  <c r="D2367" i="4" s="1"/>
  <c r="E2367" i="1"/>
  <c r="E2367" i="4" s="1"/>
  <c r="F2367" i="1"/>
  <c r="F2367" i="4" s="1"/>
  <c r="D2368" i="1"/>
  <c r="D2368" i="4" s="1"/>
  <c r="E2368" i="1"/>
  <c r="E2368" i="4" s="1"/>
  <c r="F2368" i="1"/>
  <c r="F2368" i="4" s="1"/>
  <c r="D2369" i="1"/>
  <c r="D2369" i="4" s="1"/>
  <c r="E2369" i="1"/>
  <c r="E2369" i="4" s="1"/>
  <c r="F2369" i="1"/>
  <c r="F2369" i="4" s="1"/>
  <c r="D2370" i="1"/>
  <c r="D2370" i="4" s="1"/>
  <c r="E2370" i="1"/>
  <c r="E2370" i="4" s="1"/>
  <c r="F2370" i="1"/>
  <c r="F2370" i="4" s="1"/>
  <c r="D2371" i="1"/>
  <c r="D2371" i="4" s="1"/>
  <c r="E2371" i="1"/>
  <c r="E2371" i="4" s="1"/>
  <c r="F2371" i="1"/>
  <c r="F2371" i="4" s="1"/>
  <c r="D2372" i="1"/>
  <c r="D2372" i="4" s="1"/>
  <c r="E2372" i="1"/>
  <c r="E2372" i="4" s="1"/>
  <c r="F2372" i="1"/>
  <c r="F2372" i="4" s="1"/>
  <c r="D2373" i="1"/>
  <c r="D2373" i="4" s="1"/>
  <c r="E2373" i="1"/>
  <c r="E2373" i="4" s="1"/>
  <c r="F2373" i="1"/>
  <c r="F2373" i="4" s="1"/>
  <c r="D2374" i="1"/>
  <c r="D2374" i="4" s="1"/>
  <c r="E2374" i="1"/>
  <c r="E2374" i="4" s="1"/>
  <c r="F2374" i="1"/>
  <c r="F2374" i="4" s="1"/>
  <c r="D2375" i="1"/>
  <c r="D2375" i="4" s="1"/>
  <c r="E2375" i="1"/>
  <c r="E2375" i="4" s="1"/>
  <c r="F2375" i="1"/>
  <c r="F2375" i="4" s="1"/>
  <c r="D2376" i="1"/>
  <c r="D2376" i="4" s="1"/>
  <c r="E2376" i="1"/>
  <c r="E2376" i="4" s="1"/>
  <c r="F2376" i="1"/>
  <c r="F2376" i="4" s="1"/>
  <c r="D2377" i="1"/>
  <c r="D2377" i="4" s="1"/>
  <c r="E2377" i="1"/>
  <c r="E2377" i="4" s="1"/>
  <c r="F2377" i="1"/>
  <c r="F2377" i="4" s="1"/>
  <c r="D2378" i="1"/>
  <c r="D2378" i="4" s="1"/>
  <c r="E2378" i="1"/>
  <c r="E2378" i="4" s="1"/>
  <c r="F2378" i="1"/>
  <c r="F2378" i="4" s="1"/>
  <c r="D2379" i="1"/>
  <c r="D2379" i="4" s="1"/>
  <c r="E2379" i="1"/>
  <c r="E2379" i="4" s="1"/>
  <c r="F2379" i="1"/>
  <c r="F2379" i="4" s="1"/>
  <c r="D2380" i="1"/>
  <c r="D2380" i="4" s="1"/>
  <c r="E2380" i="1"/>
  <c r="E2380" i="4" s="1"/>
  <c r="F2380" i="1"/>
  <c r="F2380" i="4" s="1"/>
  <c r="D2381" i="1"/>
  <c r="D2381" i="4" s="1"/>
  <c r="E2381" i="1"/>
  <c r="E2381" i="4" s="1"/>
  <c r="F2381" i="1"/>
  <c r="F2381" i="4" s="1"/>
  <c r="D2382" i="1"/>
  <c r="D2382" i="4" s="1"/>
  <c r="E2382" i="1"/>
  <c r="E2382" i="4" s="1"/>
  <c r="F2382" i="1"/>
  <c r="F2382" i="4" s="1"/>
  <c r="D2383" i="1"/>
  <c r="D2383" i="4" s="1"/>
  <c r="E2383" i="1"/>
  <c r="E2383" i="4" s="1"/>
  <c r="F2383" i="1"/>
  <c r="F2383" i="4" s="1"/>
  <c r="D2384" i="1"/>
  <c r="D2384" i="4" s="1"/>
  <c r="E2384" i="1"/>
  <c r="E2384" i="4" s="1"/>
  <c r="F2384" i="1"/>
  <c r="F2384" i="4" s="1"/>
  <c r="D2385" i="1"/>
  <c r="D2385" i="4" s="1"/>
  <c r="E2385" i="1"/>
  <c r="E2385" i="4" s="1"/>
  <c r="F2385" i="1"/>
  <c r="F2385" i="4" s="1"/>
  <c r="D2386" i="1"/>
  <c r="D2386" i="4" s="1"/>
  <c r="E2386" i="1"/>
  <c r="E2386" i="4" s="1"/>
  <c r="F2386" i="1"/>
  <c r="F2386" i="4" s="1"/>
  <c r="D2387" i="1"/>
  <c r="D2387" i="4" s="1"/>
  <c r="E2387" i="1"/>
  <c r="E2387" i="4" s="1"/>
  <c r="F2387" i="1"/>
  <c r="F2387" i="4" s="1"/>
  <c r="D2388" i="1"/>
  <c r="D2388" i="4" s="1"/>
  <c r="E2388" i="1"/>
  <c r="E2388" i="4" s="1"/>
  <c r="F2388" i="1"/>
  <c r="F2388" i="4" s="1"/>
  <c r="D2389" i="1"/>
  <c r="D2389" i="4" s="1"/>
  <c r="E2389" i="1"/>
  <c r="E2389" i="4" s="1"/>
  <c r="F2389" i="1"/>
  <c r="F2389" i="4" s="1"/>
  <c r="D2390" i="1"/>
  <c r="D2390" i="4" s="1"/>
  <c r="E2390" i="1"/>
  <c r="E2390" i="4" s="1"/>
  <c r="F2390" i="1"/>
  <c r="F2390" i="4" s="1"/>
  <c r="D2391" i="1"/>
  <c r="D2391" i="4" s="1"/>
  <c r="E2391" i="1"/>
  <c r="E2391" i="4" s="1"/>
  <c r="F2391" i="1"/>
  <c r="F2391" i="4" s="1"/>
  <c r="D2392" i="1"/>
  <c r="D2392" i="4" s="1"/>
  <c r="E2392" i="1"/>
  <c r="E2392" i="4" s="1"/>
  <c r="F2392" i="1"/>
  <c r="F2392" i="4" s="1"/>
  <c r="D2393" i="1"/>
  <c r="D2393" i="4" s="1"/>
  <c r="E2393" i="1"/>
  <c r="E2393" i="4" s="1"/>
  <c r="F2393" i="1"/>
  <c r="F2393" i="4" s="1"/>
  <c r="D2394" i="1"/>
  <c r="D2394" i="4" s="1"/>
  <c r="E2394" i="1"/>
  <c r="E2394" i="4" s="1"/>
  <c r="F2394" i="1"/>
  <c r="F2394" i="4" s="1"/>
  <c r="D2395" i="1"/>
  <c r="D2395" i="4" s="1"/>
  <c r="E2395" i="1"/>
  <c r="E2395" i="4" s="1"/>
  <c r="F2395" i="1"/>
  <c r="F2395" i="4" s="1"/>
  <c r="D2396" i="1"/>
  <c r="D2396" i="4" s="1"/>
  <c r="E2396" i="1"/>
  <c r="E2396" i="4" s="1"/>
  <c r="F2396" i="1"/>
  <c r="F2396" i="4" s="1"/>
  <c r="D2397" i="1"/>
  <c r="D2397" i="4" s="1"/>
  <c r="E2397" i="1"/>
  <c r="E2397" i="4" s="1"/>
  <c r="F2397" i="1"/>
  <c r="F2397" i="4" s="1"/>
  <c r="D2398" i="1"/>
  <c r="D2398" i="4" s="1"/>
  <c r="E2398" i="1"/>
  <c r="E2398" i="4" s="1"/>
  <c r="F2398" i="1"/>
  <c r="F2398" i="4" s="1"/>
  <c r="D2399" i="1"/>
  <c r="D2399" i="4" s="1"/>
  <c r="E2399" i="1"/>
  <c r="E2399" i="4" s="1"/>
  <c r="F2399" i="1"/>
  <c r="F2399" i="4" s="1"/>
  <c r="D2400" i="1"/>
  <c r="D2400" i="4" s="1"/>
  <c r="E2400" i="1"/>
  <c r="E2400" i="4" s="1"/>
  <c r="F2400" i="1"/>
  <c r="F2400" i="4" s="1"/>
  <c r="D2401" i="1"/>
  <c r="D2401" i="4" s="1"/>
  <c r="E2401" i="1"/>
  <c r="E2401" i="4" s="1"/>
  <c r="F2401" i="1"/>
  <c r="F2401" i="4" s="1"/>
  <c r="D2402" i="1"/>
  <c r="D2402" i="4" s="1"/>
  <c r="E2402" i="1"/>
  <c r="E2402" i="4" s="1"/>
  <c r="F2402" i="1"/>
  <c r="F2402" i="4" s="1"/>
  <c r="D2403" i="1"/>
  <c r="D2403" i="4" s="1"/>
  <c r="E2403" i="1"/>
  <c r="E2403" i="4" s="1"/>
  <c r="F2403" i="1"/>
  <c r="F2403" i="4" s="1"/>
  <c r="D2404" i="1"/>
  <c r="D2404" i="4" s="1"/>
  <c r="E2404" i="1"/>
  <c r="E2404" i="4" s="1"/>
  <c r="F2404" i="1"/>
  <c r="F2404" i="4" s="1"/>
  <c r="D2405" i="1"/>
  <c r="D2405" i="4" s="1"/>
  <c r="E2405" i="1"/>
  <c r="E2405" i="4" s="1"/>
  <c r="F2405" i="1"/>
  <c r="F2405" i="4" s="1"/>
  <c r="D2406" i="1"/>
  <c r="D2406" i="4" s="1"/>
  <c r="E2406" i="1"/>
  <c r="E2406" i="4" s="1"/>
  <c r="F2406" i="1"/>
  <c r="F2406" i="4" s="1"/>
  <c r="D2407" i="1"/>
  <c r="D2407" i="4" s="1"/>
  <c r="E2407" i="1"/>
  <c r="E2407" i="4" s="1"/>
  <c r="F2407" i="1"/>
  <c r="F2407" i="4" s="1"/>
  <c r="D2408" i="1"/>
  <c r="D2408" i="4" s="1"/>
  <c r="E2408" i="1"/>
  <c r="E2408" i="4" s="1"/>
  <c r="F2408" i="1"/>
  <c r="F2408" i="4" s="1"/>
  <c r="D2409" i="1"/>
  <c r="D2409" i="4" s="1"/>
  <c r="E2409" i="1"/>
  <c r="E2409" i="4" s="1"/>
  <c r="F2409" i="1"/>
  <c r="F2409" i="4" s="1"/>
  <c r="D2410" i="1"/>
  <c r="D2410" i="4" s="1"/>
  <c r="E2410" i="1"/>
  <c r="E2410" i="4" s="1"/>
  <c r="F2410" i="1"/>
  <c r="F2410" i="4" s="1"/>
  <c r="D2411" i="1"/>
  <c r="D2411" i="4" s="1"/>
  <c r="E2411" i="1"/>
  <c r="E2411" i="4" s="1"/>
  <c r="F2411" i="1"/>
  <c r="F2411" i="4" s="1"/>
  <c r="D2412" i="1"/>
  <c r="D2412" i="4" s="1"/>
  <c r="E2412" i="1"/>
  <c r="E2412" i="4" s="1"/>
  <c r="F2412" i="1"/>
  <c r="F2412" i="4" s="1"/>
  <c r="D2413" i="1"/>
  <c r="D2413" i="4" s="1"/>
  <c r="E2413" i="1"/>
  <c r="E2413" i="4" s="1"/>
  <c r="F2413" i="1"/>
  <c r="F2413" i="4" s="1"/>
  <c r="D2414" i="1"/>
  <c r="D2414" i="4" s="1"/>
  <c r="E2414" i="1"/>
  <c r="E2414" i="4" s="1"/>
  <c r="F2414" i="1"/>
  <c r="F2414" i="4" s="1"/>
  <c r="D2415" i="1"/>
  <c r="D2415" i="4" s="1"/>
  <c r="E2415" i="1"/>
  <c r="E2415" i="4" s="1"/>
  <c r="F2415" i="1"/>
  <c r="F2415" i="4" s="1"/>
  <c r="D2416" i="1"/>
  <c r="D2416" i="4" s="1"/>
  <c r="E2416" i="1"/>
  <c r="E2416" i="4" s="1"/>
  <c r="F2416" i="1"/>
  <c r="F2416" i="4" s="1"/>
  <c r="D2417" i="1"/>
  <c r="D2417" i="4" s="1"/>
  <c r="E2417" i="1"/>
  <c r="E2417" i="4" s="1"/>
  <c r="F2417" i="1"/>
  <c r="F2417" i="4" s="1"/>
  <c r="D2418" i="1"/>
  <c r="D2418" i="4" s="1"/>
  <c r="E2418" i="1"/>
  <c r="E2418" i="4" s="1"/>
  <c r="F2418" i="1"/>
  <c r="F2418" i="4" s="1"/>
  <c r="D2419" i="1"/>
  <c r="D2419" i="4" s="1"/>
  <c r="E2419" i="1"/>
  <c r="E2419" i="4" s="1"/>
  <c r="F2419" i="1"/>
  <c r="F2419" i="4" s="1"/>
  <c r="D2420" i="1"/>
  <c r="D2420" i="4" s="1"/>
  <c r="E2420" i="1"/>
  <c r="E2420" i="4" s="1"/>
  <c r="F2420" i="1"/>
  <c r="F2420" i="4" s="1"/>
  <c r="D2421" i="1"/>
  <c r="D2421" i="4" s="1"/>
  <c r="E2421" i="1"/>
  <c r="E2421" i="4" s="1"/>
  <c r="F2421" i="1"/>
  <c r="F2421" i="4" s="1"/>
  <c r="D2422" i="1"/>
  <c r="D2422" i="4" s="1"/>
  <c r="E2422" i="1"/>
  <c r="E2422" i="4" s="1"/>
  <c r="F2422" i="1"/>
  <c r="F2422" i="4" s="1"/>
  <c r="D2423" i="1"/>
  <c r="D2423" i="4" s="1"/>
  <c r="E2423" i="1"/>
  <c r="E2423" i="4" s="1"/>
  <c r="F2423" i="1"/>
  <c r="F2423" i="4" s="1"/>
  <c r="D2424" i="1"/>
  <c r="D2424" i="4" s="1"/>
  <c r="E2424" i="1"/>
  <c r="E2424" i="4" s="1"/>
  <c r="F2424" i="1"/>
  <c r="F2424" i="4" s="1"/>
  <c r="D2425" i="1"/>
  <c r="D2425" i="4" s="1"/>
  <c r="E2425" i="1"/>
  <c r="E2425" i="4" s="1"/>
  <c r="F2425" i="1"/>
  <c r="F2425" i="4" s="1"/>
  <c r="D2426" i="1"/>
  <c r="D2426" i="4" s="1"/>
  <c r="E2426" i="1"/>
  <c r="E2426" i="4" s="1"/>
  <c r="F2426" i="1"/>
  <c r="F2426" i="4" s="1"/>
  <c r="D2427" i="1"/>
  <c r="D2427" i="4" s="1"/>
  <c r="E2427" i="1"/>
  <c r="E2427" i="4" s="1"/>
  <c r="F2427" i="1"/>
  <c r="F2427" i="4" s="1"/>
  <c r="D2428" i="1"/>
  <c r="D2428" i="4" s="1"/>
  <c r="E2428" i="1"/>
  <c r="E2428" i="4" s="1"/>
  <c r="F2428" i="1"/>
  <c r="F2428" i="4" s="1"/>
  <c r="D2429" i="1"/>
  <c r="D2429" i="4" s="1"/>
  <c r="E2429" i="1"/>
  <c r="E2429" i="4" s="1"/>
  <c r="F2429" i="1"/>
  <c r="F2429" i="4" s="1"/>
  <c r="D2430" i="1"/>
  <c r="D2430" i="4" s="1"/>
  <c r="E2430" i="1"/>
  <c r="E2430" i="4" s="1"/>
  <c r="F2430" i="1"/>
  <c r="F2430" i="4" s="1"/>
  <c r="D2431" i="1"/>
  <c r="D2431" i="4" s="1"/>
  <c r="E2431" i="1"/>
  <c r="E2431" i="4" s="1"/>
  <c r="F2431" i="1"/>
  <c r="F2431" i="4" s="1"/>
  <c r="D2432" i="1"/>
  <c r="D2432" i="4" s="1"/>
  <c r="E2432" i="1"/>
  <c r="E2432" i="4" s="1"/>
  <c r="F2432" i="1"/>
  <c r="F2432" i="4" s="1"/>
  <c r="D2433" i="1"/>
  <c r="D2433" i="4" s="1"/>
  <c r="E2433" i="1"/>
  <c r="E2433" i="4" s="1"/>
  <c r="F2433" i="1"/>
  <c r="F2433" i="4" s="1"/>
  <c r="D2434" i="1"/>
  <c r="D2434" i="4" s="1"/>
  <c r="E2434" i="1"/>
  <c r="E2434" i="4" s="1"/>
  <c r="F2434" i="1"/>
  <c r="F2434" i="4" s="1"/>
  <c r="D2435" i="1"/>
  <c r="D2435" i="4" s="1"/>
  <c r="E2435" i="1"/>
  <c r="E2435" i="4" s="1"/>
  <c r="F2435" i="1"/>
  <c r="F2435" i="4" s="1"/>
  <c r="D2436" i="1"/>
  <c r="D2436" i="4" s="1"/>
  <c r="E2436" i="1"/>
  <c r="E2436" i="4" s="1"/>
  <c r="F2436" i="1"/>
  <c r="F2436" i="4" s="1"/>
  <c r="D2437" i="1"/>
  <c r="D2437" i="4" s="1"/>
  <c r="E2437" i="1"/>
  <c r="E2437" i="4" s="1"/>
  <c r="F2437" i="1"/>
  <c r="F2437" i="4" s="1"/>
  <c r="D2438" i="1"/>
  <c r="D2438" i="4" s="1"/>
  <c r="E2438" i="1"/>
  <c r="E2438" i="4" s="1"/>
  <c r="F2438" i="1"/>
  <c r="F2438" i="4" s="1"/>
  <c r="D2439" i="1"/>
  <c r="D2439" i="4" s="1"/>
  <c r="E2439" i="1"/>
  <c r="E2439" i="4" s="1"/>
  <c r="F2439" i="1"/>
  <c r="F2439" i="4" s="1"/>
  <c r="D2440" i="1"/>
  <c r="D2440" i="4" s="1"/>
  <c r="E2440" i="1"/>
  <c r="E2440" i="4" s="1"/>
  <c r="F2440" i="1"/>
  <c r="F2440" i="4" s="1"/>
  <c r="D2441" i="1"/>
  <c r="D2441" i="4" s="1"/>
  <c r="E2441" i="1"/>
  <c r="E2441" i="4" s="1"/>
  <c r="F2441" i="1"/>
  <c r="F2441" i="4" s="1"/>
  <c r="D2442" i="1"/>
  <c r="D2442" i="4" s="1"/>
  <c r="E2442" i="1"/>
  <c r="E2442" i="4" s="1"/>
  <c r="F2442" i="1"/>
  <c r="F2442" i="4" s="1"/>
  <c r="D2443" i="1"/>
  <c r="D2443" i="4" s="1"/>
  <c r="E2443" i="1"/>
  <c r="E2443" i="4" s="1"/>
  <c r="F2443" i="1"/>
  <c r="F2443" i="4" s="1"/>
  <c r="D2444" i="1"/>
  <c r="D2444" i="4" s="1"/>
  <c r="E2444" i="1"/>
  <c r="E2444" i="4" s="1"/>
  <c r="F2444" i="1"/>
  <c r="F2444" i="4" s="1"/>
  <c r="D2445" i="1"/>
  <c r="D2445" i="4" s="1"/>
  <c r="E2445" i="1"/>
  <c r="E2445" i="4" s="1"/>
  <c r="F2445" i="1"/>
  <c r="F2445" i="4" s="1"/>
  <c r="D2446" i="1"/>
  <c r="D2446" i="4" s="1"/>
  <c r="E2446" i="1"/>
  <c r="E2446" i="4" s="1"/>
  <c r="F2446" i="1"/>
  <c r="F2446" i="4" s="1"/>
  <c r="D2447" i="1"/>
  <c r="D2447" i="4" s="1"/>
  <c r="E2447" i="1"/>
  <c r="E2447" i="4" s="1"/>
  <c r="F2447" i="1"/>
  <c r="F2447" i="4" s="1"/>
  <c r="D2448" i="1"/>
  <c r="D2448" i="4" s="1"/>
  <c r="E2448" i="1"/>
  <c r="E2448" i="4" s="1"/>
  <c r="F2448" i="1"/>
  <c r="F2448" i="4" s="1"/>
  <c r="D2449" i="1"/>
  <c r="D2449" i="4" s="1"/>
  <c r="E2449" i="1"/>
  <c r="E2449" i="4" s="1"/>
  <c r="F2449" i="1"/>
  <c r="F2449" i="4" s="1"/>
  <c r="D2450" i="1"/>
  <c r="D2450" i="4" s="1"/>
  <c r="E2450" i="1"/>
  <c r="E2450" i="4" s="1"/>
  <c r="F2450" i="1"/>
  <c r="F2450" i="4" s="1"/>
  <c r="D2451" i="1"/>
  <c r="D2451" i="4" s="1"/>
  <c r="E2451" i="1"/>
  <c r="E2451" i="4" s="1"/>
  <c r="F2451" i="1"/>
  <c r="F2451" i="4" s="1"/>
  <c r="D2452" i="1"/>
  <c r="D2452" i="4" s="1"/>
  <c r="E2452" i="1"/>
  <c r="E2452" i="4" s="1"/>
  <c r="F2452" i="1"/>
  <c r="F2452" i="4" s="1"/>
  <c r="D2453" i="1"/>
  <c r="D2453" i="4" s="1"/>
  <c r="E2453" i="1"/>
  <c r="E2453" i="4" s="1"/>
  <c r="F2453" i="1"/>
  <c r="F2453" i="4" s="1"/>
  <c r="D2454" i="1"/>
  <c r="D2454" i="4" s="1"/>
  <c r="E2454" i="1"/>
  <c r="E2454" i="4" s="1"/>
  <c r="F2454" i="1"/>
  <c r="F2454" i="4" s="1"/>
  <c r="D2455" i="1"/>
  <c r="D2455" i="4" s="1"/>
  <c r="E2455" i="1"/>
  <c r="E2455" i="4" s="1"/>
  <c r="F2455" i="1"/>
  <c r="F2455" i="4" s="1"/>
  <c r="D2456" i="1"/>
  <c r="D2456" i="4" s="1"/>
  <c r="E2456" i="1"/>
  <c r="E2456" i="4" s="1"/>
  <c r="F2456" i="1"/>
  <c r="F2456" i="4" s="1"/>
  <c r="D2457" i="1"/>
  <c r="D2457" i="4" s="1"/>
  <c r="E2457" i="1"/>
  <c r="E2457" i="4" s="1"/>
  <c r="F2457" i="1"/>
  <c r="F2457" i="4" s="1"/>
  <c r="D2458" i="1"/>
  <c r="D2458" i="4" s="1"/>
  <c r="E2458" i="1"/>
  <c r="E2458" i="4" s="1"/>
  <c r="F2458" i="1"/>
  <c r="F2458" i="4" s="1"/>
  <c r="D2459" i="1"/>
  <c r="D2459" i="4" s="1"/>
  <c r="E2459" i="1"/>
  <c r="E2459" i="4" s="1"/>
  <c r="F2459" i="1"/>
  <c r="F2459" i="4" s="1"/>
  <c r="D2460" i="1"/>
  <c r="D2460" i="4" s="1"/>
  <c r="E2460" i="1"/>
  <c r="E2460" i="4" s="1"/>
  <c r="F2460" i="1"/>
  <c r="F2460" i="4" s="1"/>
  <c r="D2461" i="1"/>
  <c r="D2461" i="4" s="1"/>
  <c r="E2461" i="1"/>
  <c r="E2461" i="4" s="1"/>
  <c r="F2461" i="1"/>
  <c r="F2461" i="4" s="1"/>
  <c r="D2462" i="1"/>
  <c r="D2462" i="4" s="1"/>
  <c r="E2462" i="1"/>
  <c r="E2462" i="4" s="1"/>
  <c r="F2462" i="1"/>
  <c r="F2462" i="4" s="1"/>
  <c r="D2463" i="1"/>
  <c r="D2463" i="4" s="1"/>
  <c r="E2463" i="1"/>
  <c r="E2463" i="4" s="1"/>
  <c r="F2463" i="1"/>
  <c r="F2463" i="4" s="1"/>
  <c r="D2464" i="1"/>
  <c r="D2464" i="4" s="1"/>
  <c r="E2464" i="1"/>
  <c r="E2464" i="4" s="1"/>
  <c r="F2464" i="1"/>
  <c r="F2464" i="4" s="1"/>
  <c r="D2465" i="1"/>
  <c r="D2465" i="4" s="1"/>
  <c r="E2465" i="1"/>
  <c r="E2465" i="4" s="1"/>
  <c r="F2465" i="1"/>
  <c r="F2465" i="4" s="1"/>
  <c r="D2466" i="1"/>
  <c r="D2466" i="4" s="1"/>
  <c r="E2466" i="1"/>
  <c r="E2466" i="4" s="1"/>
  <c r="F2466" i="1"/>
  <c r="F2466" i="4" s="1"/>
  <c r="D2467" i="1"/>
  <c r="D2467" i="4" s="1"/>
  <c r="E2467" i="1"/>
  <c r="E2467" i="4" s="1"/>
  <c r="F2467" i="1"/>
  <c r="F2467" i="4" s="1"/>
  <c r="D2468" i="1"/>
  <c r="D2468" i="4" s="1"/>
  <c r="E2468" i="1"/>
  <c r="E2468" i="4" s="1"/>
  <c r="F2468" i="1"/>
  <c r="F2468" i="4" s="1"/>
  <c r="D2469" i="1"/>
  <c r="D2469" i="4" s="1"/>
  <c r="E2469" i="1"/>
  <c r="E2469" i="4" s="1"/>
  <c r="F2469" i="1"/>
  <c r="F2469" i="4" s="1"/>
  <c r="D2470" i="1"/>
  <c r="D2470" i="4" s="1"/>
  <c r="E2470" i="1"/>
  <c r="E2470" i="4" s="1"/>
  <c r="F2470" i="1"/>
  <c r="F2470" i="4" s="1"/>
  <c r="D2471" i="1"/>
  <c r="D2471" i="4" s="1"/>
  <c r="E2471" i="1"/>
  <c r="E2471" i="4" s="1"/>
  <c r="F2471" i="1"/>
  <c r="F2471" i="4" s="1"/>
  <c r="D2472" i="1"/>
  <c r="D2472" i="4" s="1"/>
  <c r="E2472" i="1"/>
  <c r="E2472" i="4" s="1"/>
  <c r="F2472" i="1"/>
  <c r="F2472" i="4" s="1"/>
  <c r="D2473" i="1"/>
  <c r="D2473" i="4" s="1"/>
  <c r="E2473" i="1"/>
  <c r="E2473" i="4" s="1"/>
  <c r="F2473" i="1"/>
  <c r="F2473" i="4" s="1"/>
  <c r="D2474" i="1"/>
  <c r="D2474" i="4" s="1"/>
  <c r="E2474" i="1"/>
  <c r="E2474" i="4" s="1"/>
  <c r="F2474" i="1"/>
  <c r="F2474" i="4" s="1"/>
  <c r="D2475" i="1"/>
  <c r="D2475" i="4" s="1"/>
  <c r="E2475" i="1"/>
  <c r="E2475" i="4" s="1"/>
  <c r="F2475" i="1"/>
  <c r="F2475" i="4" s="1"/>
  <c r="D2476" i="1"/>
  <c r="D2476" i="4" s="1"/>
  <c r="E2476" i="1"/>
  <c r="E2476" i="4" s="1"/>
  <c r="F2476" i="1"/>
  <c r="F2476" i="4" s="1"/>
  <c r="D2477" i="1"/>
  <c r="D2477" i="4" s="1"/>
  <c r="E2477" i="1"/>
  <c r="E2477" i="4" s="1"/>
  <c r="F2477" i="1"/>
  <c r="F2477" i="4" s="1"/>
  <c r="D2478" i="1"/>
  <c r="D2478" i="4" s="1"/>
  <c r="E2478" i="1"/>
  <c r="E2478" i="4" s="1"/>
  <c r="F2478" i="1"/>
  <c r="F2478" i="4" s="1"/>
  <c r="D2479" i="1"/>
  <c r="D2479" i="4" s="1"/>
  <c r="E2479" i="1"/>
  <c r="E2479" i="4" s="1"/>
  <c r="F2479" i="1"/>
  <c r="F2479" i="4" s="1"/>
  <c r="D2480" i="1"/>
  <c r="D2480" i="4" s="1"/>
  <c r="E2480" i="1"/>
  <c r="E2480" i="4" s="1"/>
  <c r="F2480" i="1"/>
  <c r="F2480" i="4" s="1"/>
  <c r="D2481" i="1"/>
  <c r="D2481" i="4" s="1"/>
  <c r="E2481" i="1"/>
  <c r="E2481" i="4" s="1"/>
  <c r="F2481" i="1"/>
  <c r="F2481" i="4" s="1"/>
  <c r="D2482" i="1"/>
  <c r="D2482" i="4" s="1"/>
  <c r="E2482" i="1"/>
  <c r="E2482" i="4" s="1"/>
  <c r="F2482" i="1"/>
  <c r="F2482" i="4" s="1"/>
  <c r="D2483" i="1"/>
  <c r="D2483" i="4" s="1"/>
  <c r="E2483" i="1"/>
  <c r="E2483" i="4" s="1"/>
  <c r="F2483" i="1"/>
  <c r="F2483" i="4" s="1"/>
  <c r="D2484" i="1"/>
  <c r="D2484" i="4" s="1"/>
  <c r="E2484" i="1"/>
  <c r="E2484" i="4" s="1"/>
  <c r="F2484" i="1"/>
  <c r="F2484" i="4" s="1"/>
  <c r="D2485" i="1"/>
  <c r="D2485" i="4" s="1"/>
  <c r="E2485" i="1"/>
  <c r="E2485" i="4" s="1"/>
  <c r="F2485" i="1"/>
  <c r="F2485" i="4" s="1"/>
  <c r="D2486" i="1"/>
  <c r="D2486" i="4" s="1"/>
  <c r="E2486" i="1"/>
  <c r="E2486" i="4" s="1"/>
  <c r="F2486" i="1"/>
  <c r="F2486" i="4" s="1"/>
  <c r="D2487" i="1"/>
  <c r="D2487" i="4" s="1"/>
  <c r="E2487" i="1"/>
  <c r="E2487" i="4" s="1"/>
  <c r="F2487" i="1"/>
  <c r="F2487" i="4" s="1"/>
  <c r="D2488" i="1"/>
  <c r="D2488" i="4" s="1"/>
  <c r="E2488" i="1"/>
  <c r="E2488" i="4" s="1"/>
  <c r="F2488" i="1"/>
  <c r="F2488" i="4" s="1"/>
  <c r="D2489" i="1"/>
  <c r="D2489" i="4" s="1"/>
  <c r="E2489" i="1"/>
  <c r="E2489" i="4" s="1"/>
  <c r="F2489" i="1"/>
  <c r="F2489" i="4" s="1"/>
  <c r="D2490" i="1"/>
  <c r="D2490" i="4" s="1"/>
  <c r="E2490" i="1"/>
  <c r="E2490" i="4" s="1"/>
  <c r="F2490" i="1"/>
  <c r="F2490" i="4" s="1"/>
  <c r="D2491" i="1"/>
  <c r="D2491" i="4" s="1"/>
  <c r="E2491" i="1"/>
  <c r="E2491" i="4" s="1"/>
  <c r="F2491" i="1"/>
  <c r="F2491" i="4" s="1"/>
  <c r="D2492" i="1"/>
  <c r="D2492" i="4" s="1"/>
  <c r="E2492" i="1"/>
  <c r="E2492" i="4" s="1"/>
  <c r="F2492" i="1"/>
  <c r="F2492" i="4" s="1"/>
  <c r="D2493" i="1"/>
  <c r="D2493" i="4" s="1"/>
  <c r="E2493" i="1"/>
  <c r="E2493" i="4" s="1"/>
  <c r="F2493" i="1"/>
  <c r="F2493" i="4" s="1"/>
  <c r="D2494" i="1"/>
  <c r="D2494" i="4" s="1"/>
  <c r="E2494" i="1"/>
  <c r="E2494" i="4" s="1"/>
  <c r="F2494" i="1"/>
  <c r="F2494" i="4" s="1"/>
  <c r="D2495" i="1"/>
  <c r="D2495" i="4" s="1"/>
  <c r="E2495" i="1"/>
  <c r="E2495" i="4" s="1"/>
  <c r="F2495" i="1"/>
  <c r="F2495" i="4" s="1"/>
  <c r="D2496" i="1"/>
  <c r="D2496" i="4" s="1"/>
  <c r="E2496" i="1"/>
  <c r="E2496" i="4" s="1"/>
  <c r="F2496" i="1"/>
  <c r="F2496" i="4" s="1"/>
  <c r="D2497" i="1"/>
  <c r="D2497" i="4" s="1"/>
  <c r="E2497" i="1"/>
  <c r="E2497" i="4" s="1"/>
  <c r="F2497" i="1"/>
  <c r="F2497" i="4" s="1"/>
  <c r="D2498" i="1"/>
  <c r="D2498" i="4" s="1"/>
  <c r="E2498" i="1"/>
  <c r="E2498" i="4" s="1"/>
  <c r="F2498" i="1"/>
  <c r="F2498" i="4" s="1"/>
  <c r="D2499" i="1"/>
  <c r="D2499" i="4" s="1"/>
  <c r="E2499" i="1"/>
  <c r="E2499" i="4" s="1"/>
  <c r="F2499" i="1"/>
  <c r="F2499" i="4" s="1"/>
  <c r="D2500" i="1"/>
  <c r="D2500" i="4" s="1"/>
  <c r="E2500" i="1"/>
  <c r="E2500" i="4" s="1"/>
  <c r="F2500" i="1"/>
  <c r="F2500" i="4" s="1"/>
  <c r="D2501" i="1"/>
  <c r="D2501" i="4" s="1"/>
  <c r="E2501" i="1"/>
  <c r="E2501" i="4" s="1"/>
  <c r="F2501" i="1"/>
  <c r="F2501" i="4" s="1"/>
  <c r="D2502" i="1"/>
  <c r="D2502" i="4" s="1"/>
  <c r="E2502" i="1"/>
  <c r="E2502" i="4" s="1"/>
  <c r="F2502" i="1"/>
  <c r="F2502" i="4" s="1"/>
  <c r="D2503" i="1"/>
  <c r="D2503" i="4" s="1"/>
  <c r="E2503" i="1"/>
  <c r="E2503" i="4" s="1"/>
  <c r="F2503" i="1"/>
  <c r="F2503" i="4" s="1"/>
  <c r="D2504" i="1"/>
  <c r="D2504" i="4" s="1"/>
  <c r="E2504" i="1"/>
  <c r="E2504" i="4" s="1"/>
  <c r="F2504" i="1"/>
  <c r="F2504" i="4" s="1"/>
  <c r="D2505" i="1"/>
  <c r="D2505" i="4" s="1"/>
  <c r="E2505" i="1"/>
  <c r="E2505" i="4" s="1"/>
  <c r="F2505" i="1"/>
  <c r="F2505" i="4" s="1"/>
  <c r="D2506" i="1"/>
  <c r="D2506" i="4" s="1"/>
  <c r="E2506" i="1"/>
  <c r="E2506" i="4" s="1"/>
  <c r="F2506" i="1"/>
  <c r="F2506" i="4" s="1"/>
  <c r="D2507" i="1"/>
  <c r="D2507" i="4" s="1"/>
  <c r="E2507" i="1"/>
  <c r="E2507" i="4" s="1"/>
  <c r="F2507" i="1"/>
  <c r="F2507" i="4" s="1"/>
  <c r="D2508" i="1"/>
  <c r="D2508" i="4" s="1"/>
  <c r="E2508" i="1"/>
  <c r="E2508" i="4" s="1"/>
  <c r="F2508" i="1"/>
  <c r="F2508" i="4" s="1"/>
  <c r="D2509" i="1"/>
  <c r="D2509" i="4" s="1"/>
  <c r="E2509" i="1"/>
  <c r="E2509" i="4" s="1"/>
  <c r="F2509" i="1"/>
  <c r="F2509" i="4" s="1"/>
  <c r="D2510" i="1"/>
  <c r="D2510" i="4" s="1"/>
  <c r="E2510" i="1"/>
  <c r="E2510" i="4" s="1"/>
  <c r="F2510" i="1"/>
  <c r="F2510" i="4" s="1"/>
  <c r="D2511" i="1"/>
  <c r="D2511" i="4" s="1"/>
  <c r="E2511" i="1"/>
  <c r="E2511" i="4" s="1"/>
  <c r="F2511" i="1"/>
  <c r="F2511" i="4" s="1"/>
  <c r="D2512" i="1"/>
  <c r="D2512" i="4" s="1"/>
  <c r="E2512" i="1"/>
  <c r="E2512" i="4" s="1"/>
  <c r="F2512" i="1"/>
  <c r="F2512" i="4" s="1"/>
  <c r="D2513" i="1"/>
  <c r="D2513" i="4" s="1"/>
  <c r="E2513" i="1"/>
  <c r="E2513" i="4" s="1"/>
  <c r="F2513" i="1"/>
  <c r="F2513" i="4" s="1"/>
  <c r="D2514" i="1"/>
  <c r="D2514" i="4" s="1"/>
  <c r="E2514" i="1"/>
  <c r="E2514" i="4" s="1"/>
  <c r="F2514" i="1"/>
  <c r="F2514" i="4" s="1"/>
  <c r="D2515" i="1"/>
  <c r="D2515" i="4" s="1"/>
  <c r="E2515" i="1"/>
  <c r="E2515" i="4" s="1"/>
  <c r="F2515" i="1"/>
  <c r="F2515" i="4" s="1"/>
  <c r="D2516" i="1"/>
  <c r="D2516" i="4" s="1"/>
  <c r="E2516" i="1"/>
  <c r="E2516" i="4" s="1"/>
  <c r="F2516" i="1"/>
  <c r="F2516" i="4" s="1"/>
  <c r="D2517" i="1"/>
  <c r="D2517" i="4" s="1"/>
  <c r="E2517" i="1"/>
  <c r="E2517" i="4" s="1"/>
  <c r="F2517" i="1"/>
  <c r="F2517" i="4" s="1"/>
  <c r="D2518" i="1"/>
  <c r="D2518" i="4" s="1"/>
  <c r="E2518" i="1"/>
  <c r="E2518" i="4" s="1"/>
  <c r="F2518" i="1"/>
  <c r="F2518" i="4" s="1"/>
  <c r="D2519" i="1"/>
  <c r="D2519" i="4" s="1"/>
  <c r="E2519" i="1"/>
  <c r="E2519" i="4" s="1"/>
  <c r="F2519" i="1"/>
  <c r="F2519" i="4" s="1"/>
  <c r="D2520" i="1"/>
  <c r="D2520" i="4" s="1"/>
  <c r="E2520" i="1"/>
  <c r="E2520" i="4" s="1"/>
  <c r="F2520" i="1"/>
  <c r="F2520" i="4" s="1"/>
  <c r="D2521" i="1"/>
  <c r="D2521" i="4" s="1"/>
  <c r="E2521" i="1"/>
  <c r="E2521" i="4" s="1"/>
  <c r="F2521" i="1"/>
  <c r="F2521" i="4" s="1"/>
  <c r="D2522" i="1"/>
  <c r="D2522" i="4" s="1"/>
  <c r="E2522" i="1"/>
  <c r="E2522" i="4" s="1"/>
  <c r="F2522" i="1"/>
  <c r="F2522" i="4" s="1"/>
  <c r="D2523" i="1"/>
  <c r="D2523" i="4" s="1"/>
  <c r="E2523" i="1"/>
  <c r="E2523" i="4" s="1"/>
  <c r="F2523" i="1"/>
  <c r="F2523" i="4" s="1"/>
  <c r="D2524" i="1"/>
  <c r="D2524" i="4" s="1"/>
  <c r="E2524" i="1"/>
  <c r="E2524" i="4" s="1"/>
  <c r="F2524" i="1"/>
  <c r="F2524" i="4" s="1"/>
  <c r="D2525" i="1"/>
  <c r="D2525" i="4" s="1"/>
  <c r="E2525" i="1"/>
  <c r="E2525" i="4" s="1"/>
  <c r="F2525" i="1"/>
  <c r="F2525" i="4" s="1"/>
  <c r="D2526" i="1"/>
  <c r="D2526" i="4" s="1"/>
  <c r="E2526" i="1"/>
  <c r="E2526" i="4" s="1"/>
  <c r="F2526" i="1"/>
  <c r="F2526" i="4" s="1"/>
  <c r="D2527" i="1"/>
  <c r="D2527" i="4" s="1"/>
  <c r="E2527" i="1"/>
  <c r="E2527" i="4" s="1"/>
  <c r="F2527" i="1"/>
  <c r="F2527" i="4" s="1"/>
  <c r="D2528" i="1"/>
  <c r="D2528" i="4" s="1"/>
  <c r="E2528" i="1"/>
  <c r="E2528" i="4" s="1"/>
  <c r="F2528" i="1"/>
  <c r="F2528" i="4" s="1"/>
  <c r="D2529" i="1"/>
  <c r="D2529" i="4" s="1"/>
  <c r="E2529" i="1"/>
  <c r="E2529" i="4" s="1"/>
  <c r="F2529" i="1"/>
  <c r="F2529" i="4" s="1"/>
  <c r="D2530" i="1"/>
  <c r="D2530" i="4" s="1"/>
  <c r="E2530" i="1"/>
  <c r="E2530" i="4" s="1"/>
  <c r="F2530" i="1"/>
  <c r="F2530" i="4" s="1"/>
  <c r="D2531" i="1"/>
  <c r="D2531" i="4" s="1"/>
  <c r="E2531" i="1"/>
  <c r="E2531" i="4" s="1"/>
  <c r="F2531" i="1"/>
  <c r="F2531" i="4" s="1"/>
  <c r="D2532" i="1"/>
  <c r="D2532" i="4" s="1"/>
  <c r="E2532" i="1"/>
  <c r="E2532" i="4" s="1"/>
  <c r="F2532" i="1"/>
  <c r="F2532" i="4" s="1"/>
  <c r="D2533" i="1"/>
  <c r="D2533" i="4" s="1"/>
  <c r="E2533" i="1"/>
  <c r="E2533" i="4" s="1"/>
  <c r="F2533" i="1"/>
  <c r="F2533" i="4" s="1"/>
  <c r="D2534" i="1"/>
  <c r="D2534" i="4" s="1"/>
  <c r="E2534" i="1"/>
  <c r="E2534" i="4" s="1"/>
  <c r="F2534" i="1"/>
  <c r="F2534" i="4" s="1"/>
  <c r="D2535" i="1"/>
  <c r="D2535" i="4" s="1"/>
  <c r="E2535" i="1"/>
  <c r="E2535" i="4" s="1"/>
  <c r="F2535" i="1"/>
  <c r="F2535" i="4" s="1"/>
  <c r="D2536" i="1"/>
  <c r="D2536" i="4" s="1"/>
  <c r="E2536" i="1"/>
  <c r="E2536" i="4" s="1"/>
  <c r="F2536" i="1"/>
  <c r="F2536" i="4" s="1"/>
  <c r="D2537" i="1"/>
  <c r="D2537" i="4" s="1"/>
  <c r="E2537" i="1"/>
  <c r="E2537" i="4" s="1"/>
  <c r="F2537" i="1"/>
  <c r="F2537" i="4" s="1"/>
  <c r="D2538" i="1"/>
  <c r="D2538" i="4" s="1"/>
  <c r="E2538" i="1"/>
  <c r="E2538" i="4" s="1"/>
  <c r="F2538" i="1"/>
  <c r="F2538" i="4" s="1"/>
  <c r="D2539" i="1"/>
  <c r="D2539" i="4" s="1"/>
  <c r="E2539" i="1"/>
  <c r="E2539" i="4" s="1"/>
  <c r="F2539" i="1"/>
  <c r="F2539" i="4" s="1"/>
  <c r="D2540" i="1"/>
  <c r="D2540" i="4" s="1"/>
  <c r="E2540" i="1"/>
  <c r="E2540" i="4" s="1"/>
  <c r="F2540" i="1"/>
  <c r="F2540" i="4" s="1"/>
  <c r="D2541" i="1"/>
  <c r="D2541" i="4" s="1"/>
  <c r="E2541" i="1"/>
  <c r="E2541" i="4" s="1"/>
  <c r="F2541" i="1"/>
  <c r="F2541" i="4" s="1"/>
  <c r="D2542" i="1"/>
  <c r="D2542" i="4" s="1"/>
  <c r="E2542" i="1"/>
  <c r="E2542" i="4" s="1"/>
  <c r="F2542" i="1"/>
  <c r="F2542" i="4" s="1"/>
  <c r="D2543" i="1"/>
  <c r="D2543" i="4" s="1"/>
  <c r="E2543" i="1"/>
  <c r="E2543" i="4" s="1"/>
  <c r="F2543" i="1"/>
  <c r="F2543" i="4" s="1"/>
  <c r="D2544" i="1"/>
  <c r="D2544" i="4" s="1"/>
  <c r="E2544" i="1"/>
  <c r="E2544" i="4" s="1"/>
  <c r="F2544" i="1"/>
  <c r="F2544" i="4" s="1"/>
  <c r="D2545" i="1"/>
  <c r="D2545" i="4" s="1"/>
  <c r="E2545" i="1"/>
  <c r="E2545" i="4" s="1"/>
  <c r="F2545" i="1"/>
  <c r="F2545" i="4" s="1"/>
  <c r="D2546" i="1"/>
  <c r="D2546" i="4" s="1"/>
  <c r="E2546" i="1"/>
  <c r="E2546" i="4" s="1"/>
  <c r="F2546" i="1"/>
  <c r="F2546" i="4" s="1"/>
  <c r="D2547" i="1"/>
  <c r="D2547" i="4" s="1"/>
  <c r="E2547" i="1"/>
  <c r="E2547" i="4" s="1"/>
  <c r="F2547" i="1"/>
  <c r="F2547" i="4" s="1"/>
  <c r="D2548" i="1"/>
  <c r="D2548" i="4" s="1"/>
  <c r="E2548" i="1"/>
  <c r="E2548" i="4" s="1"/>
  <c r="F2548" i="1"/>
  <c r="F2548" i="4" s="1"/>
  <c r="D2549" i="1"/>
  <c r="D2549" i="4" s="1"/>
  <c r="E2549" i="1"/>
  <c r="E2549" i="4" s="1"/>
  <c r="F2549" i="1"/>
  <c r="F2549" i="4" s="1"/>
  <c r="D2550" i="1"/>
  <c r="D2550" i="4" s="1"/>
  <c r="E2550" i="1"/>
  <c r="E2550" i="4" s="1"/>
  <c r="F2550" i="1"/>
  <c r="F2550" i="4" s="1"/>
  <c r="D2551" i="1"/>
  <c r="D2551" i="4" s="1"/>
  <c r="E2551" i="1"/>
  <c r="E2551" i="4" s="1"/>
  <c r="F2551" i="1"/>
  <c r="F2551" i="4" s="1"/>
  <c r="D2552" i="1"/>
  <c r="D2552" i="4" s="1"/>
  <c r="E2552" i="1"/>
  <c r="E2552" i="4" s="1"/>
  <c r="F2552" i="1"/>
  <c r="F2552" i="4" s="1"/>
  <c r="D2553" i="1"/>
  <c r="D2553" i="4" s="1"/>
  <c r="E2553" i="1"/>
  <c r="E2553" i="4" s="1"/>
  <c r="F2553" i="1"/>
  <c r="F2553" i="4" s="1"/>
  <c r="D2554" i="1"/>
  <c r="D2554" i="4" s="1"/>
  <c r="E2554" i="1"/>
  <c r="E2554" i="4" s="1"/>
  <c r="F2554" i="1"/>
  <c r="F2554" i="4" s="1"/>
  <c r="D2555" i="1"/>
  <c r="D2555" i="4" s="1"/>
  <c r="E2555" i="1"/>
  <c r="E2555" i="4" s="1"/>
  <c r="F2555" i="1"/>
  <c r="F2555" i="4" s="1"/>
  <c r="D2556" i="1"/>
  <c r="D2556" i="4" s="1"/>
  <c r="E2556" i="1"/>
  <c r="E2556" i="4" s="1"/>
  <c r="F2556" i="1"/>
  <c r="F2556" i="4" s="1"/>
  <c r="D2557" i="1"/>
  <c r="D2557" i="4" s="1"/>
  <c r="E2557" i="1"/>
  <c r="E2557" i="4" s="1"/>
  <c r="F2557" i="1"/>
  <c r="F2557" i="4" s="1"/>
  <c r="D2558" i="1"/>
  <c r="D2558" i="4" s="1"/>
  <c r="E2558" i="1"/>
  <c r="E2558" i="4" s="1"/>
  <c r="F2558" i="1"/>
  <c r="F2558" i="4" s="1"/>
  <c r="D2559" i="1"/>
  <c r="D2559" i="4" s="1"/>
  <c r="E2559" i="1"/>
  <c r="E2559" i="4" s="1"/>
  <c r="F2559" i="1"/>
  <c r="F2559" i="4" s="1"/>
  <c r="D2560" i="1"/>
  <c r="D2560" i="4" s="1"/>
  <c r="E2560" i="1"/>
  <c r="E2560" i="4" s="1"/>
  <c r="F2560" i="1"/>
  <c r="F2560" i="4" s="1"/>
  <c r="D2561" i="1"/>
  <c r="D2561" i="4" s="1"/>
  <c r="E2561" i="1"/>
  <c r="E2561" i="4" s="1"/>
  <c r="F2561" i="1"/>
  <c r="F2561" i="4" s="1"/>
  <c r="D2562" i="1"/>
  <c r="D2562" i="4" s="1"/>
  <c r="E2562" i="1"/>
  <c r="E2562" i="4" s="1"/>
  <c r="F2562" i="1"/>
  <c r="F2562" i="4" s="1"/>
  <c r="D2563" i="1"/>
  <c r="D2563" i="4" s="1"/>
  <c r="E2563" i="1"/>
  <c r="E2563" i="4" s="1"/>
  <c r="F2563" i="1"/>
  <c r="F2563" i="4" s="1"/>
  <c r="D2564" i="1"/>
  <c r="D2564" i="4" s="1"/>
  <c r="E2564" i="1"/>
  <c r="E2564" i="4" s="1"/>
  <c r="F2564" i="1"/>
  <c r="F2564" i="4" s="1"/>
  <c r="D2565" i="1"/>
  <c r="D2565" i="4" s="1"/>
  <c r="E2565" i="1"/>
  <c r="E2565" i="4" s="1"/>
  <c r="F2565" i="1"/>
  <c r="F2565" i="4" s="1"/>
  <c r="D2566" i="1"/>
  <c r="D2566" i="4" s="1"/>
  <c r="E2566" i="1"/>
  <c r="E2566" i="4" s="1"/>
  <c r="F2566" i="1"/>
  <c r="F2566" i="4" s="1"/>
  <c r="D2567" i="1"/>
  <c r="D2567" i="4" s="1"/>
  <c r="E2567" i="1"/>
  <c r="E2567" i="4" s="1"/>
  <c r="F2567" i="1"/>
  <c r="F2567" i="4" s="1"/>
  <c r="D2568" i="1"/>
  <c r="D2568" i="4" s="1"/>
  <c r="E2568" i="1"/>
  <c r="E2568" i="4" s="1"/>
  <c r="F2568" i="1"/>
  <c r="F2568" i="4" s="1"/>
  <c r="D2569" i="1"/>
  <c r="D2569" i="4" s="1"/>
  <c r="E2569" i="1"/>
  <c r="E2569" i="4" s="1"/>
  <c r="F2569" i="1"/>
  <c r="F2569" i="4" s="1"/>
  <c r="D2570" i="1"/>
  <c r="D2570" i="4" s="1"/>
  <c r="E2570" i="1"/>
  <c r="E2570" i="4" s="1"/>
  <c r="F2570" i="1"/>
  <c r="F2570" i="4" s="1"/>
  <c r="D2571" i="1"/>
  <c r="D2571" i="4" s="1"/>
  <c r="E2571" i="1"/>
  <c r="E2571" i="4" s="1"/>
  <c r="F2571" i="1"/>
  <c r="F2571" i="4" s="1"/>
  <c r="D2572" i="1"/>
  <c r="D2572" i="4" s="1"/>
  <c r="E2572" i="1"/>
  <c r="E2572" i="4" s="1"/>
  <c r="F2572" i="1"/>
  <c r="F2572" i="4" s="1"/>
  <c r="D2573" i="1"/>
  <c r="D2573" i="4" s="1"/>
  <c r="E2573" i="1"/>
  <c r="E2573" i="4" s="1"/>
  <c r="F2573" i="1"/>
  <c r="F2573" i="4" s="1"/>
  <c r="D2574" i="1"/>
  <c r="D2574" i="4" s="1"/>
  <c r="E2574" i="1"/>
  <c r="E2574" i="4" s="1"/>
  <c r="F2574" i="1"/>
  <c r="F2574" i="4" s="1"/>
  <c r="D2575" i="1"/>
  <c r="D2575" i="4" s="1"/>
  <c r="E2575" i="1"/>
  <c r="E2575" i="4" s="1"/>
  <c r="F2575" i="1"/>
  <c r="F2575" i="4" s="1"/>
  <c r="D2576" i="1"/>
  <c r="D2576" i="4" s="1"/>
  <c r="E2576" i="1"/>
  <c r="E2576" i="4" s="1"/>
  <c r="F2576" i="1"/>
  <c r="F2576" i="4" s="1"/>
  <c r="D2577" i="1"/>
  <c r="D2577" i="4" s="1"/>
  <c r="E2577" i="1"/>
  <c r="E2577" i="4" s="1"/>
  <c r="F2577" i="1"/>
  <c r="F2577" i="4" s="1"/>
  <c r="D2578" i="1"/>
  <c r="D2578" i="4" s="1"/>
  <c r="E2578" i="1"/>
  <c r="E2578" i="4" s="1"/>
  <c r="F2578" i="1"/>
  <c r="F2578" i="4" s="1"/>
  <c r="D2579" i="1"/>
  <c r="D2579" i="4" s="1"/>
  <c r="E2579" i="1"/>
  <c r="E2579" i="4" s="1"/>
  <c r="F2579" i="1"/>
  <c r="F2579" i="4" s="1"/>
  <c r="D2580" i="1"/>
  <c r="D2580" i="4" s="1"/>
  <c r="E2580" i="1"/>
  <c r="E2580" i="4" s="1"/>
  <c r="F2580" i="1"/>
  <c r="F2580" i="4" s="1"/>
  <c r="D2581" i="1"/>
  <c r="D2581" i="4" s="1"/>
  <c r="E2581" i="1"/>
  <c r="E2581" i="4" s="1"/>
  <c r="F2581" i="1"/>
  <c r="F2581" i="4" s="1"/>
  <c r="D2582" i="1"/>
  <c r="D2582" i="4" s="1"/>
  <c r="E2582" i="1"/>
  <c r="E2582" i="4" s="1"/>
  <c r="F2582" i="1"/>
  <c r="F2582" i="4" s="1"/>
  <c r="D2583" i="1"/>
  <c r="D2583" i="4" s="1"/>
  <c r="E2583" i="1"/>
  <c r="E2583" i="4" s="1"/>
  <c r="F2583" i="1"/>
  <c r="F2583" i="4" s="1"/>
  <c r="D2584" i="1"/>
  <c r="D2584" i="4" s="1"/>
  <c r="E2584" i="1"/>
  <c r="E2584" i="4" s="1"/>
  <c r="F2584" i="1"/>
  <c r="F2584" i="4" s="1"/>
  <c r="D2585" i="1"/>
  <c r="D2585" i="4" s="1"/>
  <c r="E2585" i="1"/>
  <c r="E2585" i="4" s="1"/>
  <c r="F2585" i="1"/>
  <c r="F2585" i="4" s="1"/>
  <c r="D2586" i="1"/>
  <c r="D2586" i="4" s="1"/>
  <c r="E2586" i="1"/>
  <c r="E2586" i="4" s="1"/>
  <c r="F2586" i="1"/>
  <c r="F2586" i="4" s="1"/>
  <c r="D2587" i="1"/>
  <c r="D2587" i="4" s="1"/>
  <c r="E2587" i="1"/>
  <c r="E2587" i="4" s="1"/>
  <c r="F2587" i="1"/>
  <c r="F2587" i="4" s="1"/>
  <c r="D2588" i="1"/>
  <c r="D2588" i="4" s="1"/>
  <c r="E2588" i="1"/>
  <c r="E2588" i="4" s="1"/>
  <c r="F2588" i="1"/>
  <c r="F2588" i="4" s="1"/>
  <c r="D2589" i="1"/>
  <c r="D2589" i="4" s="1"/>
  <c r="E2589" i="1"/>
  <c r="E2589" i="4" s="1"/>
  <c r="F2589" i="1"/>
  <c r="F2589" i="4" s="1"/>
  <c r="D2590" i="1"/>
  <c r="D2590" i="4" s="1"/>
  <c r="E2590" i="1"/>
  <c r="E2590" i="4" s="1"/>
  <c r="F2590" i="1"/>
  <c r="F2590" i="4" s="1"/>
  <c r="D2591" i="1"/>
  <c r="D2591" i="4" s="1"/>
  <c r="E2591" i="1"/>
  <c r="E2591" i="4" s="1"/>
  <c r="F2591" i="1"/>
  <c r="F2591" i="4" s="1"/>
  <c r="D2592" i="1"/>
  <c r="D2592" i="4" s="1"/>
  <c r="E2592" i="1"/>
  <c r="E2592" i="4" s="1"/>
  <c r="F2592" i="1"/>
  <c r="F2592" i="4" s="1"/>
  <c r="D2593" i="1"/>
  <c r="D2593" i="4" s="1"/>
  <c r="E2593" i="1"/>
  <c r="E2593" i="4" s="1"/>
  <c r="F2593" i="1"/>
  <c r="F2593" i="4" s="1"/>
  <c r="D2594" i="1"/>
  <c r="D2594" i="4" s="1"/>
  <c r="E2594" i="1"/>
  <c r="E2594" i="4" s="1"/>
  <c r="F2594" i="1"/>
  <c r="F2594" i="4" s="1"/>
  <c r="D2595" i="1"/>
  <c r="D2595" i="4" s="1"/>
  <c r="E2595" i="1"/>
  <c r="E2595" i="4" s="1"/>
  <c r="F2595" i="1"/>
  <c r="F2595" i="4" s="1"/>
  <c r="D2596" i="1"/>
  <c r="D2596" i="4" s="1"/>
  <c r="E2596" i="1"/>
  <c r="E2596" i="4" s="1"/>
  <c r="F2596" i="1"/>
  <c r="F2596" i="4" s="1"/>
  <c r="D2597" i="1"/>
  <c r="D2597" i="4" s="1"/>
  <c r="E2597" i="1"/>
  <c r="E2597" i="4" s="1"/>
  <c r="F2597" i="1"/>
  <c r="F2597" i="4" s="1"/>
  <c r="D2598" i="1"/>
  <c r="D2598" i="4" s="1"/>
  <c r="E2598" i="1"/>
  <c r="E2598" i="4" s="1"/>
  <c r="F2598" i="1"/>
  <c r="F2598" i="4" s="1"/>
  <c r="D2599" i="1"/>
  <c r="D2599" i="4" s="1"/>
  <c r="E2599" i="1"/>
  <c r="E2599" i="4" s="1"/>
  <c r="F2599" i="1"/>
  <c r="F2599" i="4" s="1"/>
  <c r="D2600" i="1"/>
  <c r="D2600" i="4" s="1"/>
  <c r="E2600" i="1"/>
  <c r="E2600" i="4" s="1"/>
  <c r="F2600" i="1"/>
  <c r="F2600" i="4" s="1"/>
  <c r="D2601" i="1"/>
  <c r="D2601" i="4" s="1"/>
  <c r="E2601" i="1"/>
  <c r="E2601" i="4" s="1"/>
  <c r="F2601" i="1"/>
  <c r="F2601" i="4" s="1"/>
  <c r="D2602" i="1"/>
  <c r="D2602" i="4" s="1"/>
  <c r="E2602" i="1"/>
  <c r="E2602" i="4" s="1"/>
  <c r="F2602" i="1"/>
  <c r="F2602" i="4" s="1"/>
  <c r="D2603" i="1"/>
  <c r="D2603" i="4" s="1"/>
  <c r="E2603" i="1"/>
  <c r="E2603" i="4" s="1"/>
  <c r="F2603" i="1"/>
  <c r="F2603" i="4" s="1"/>
  <c r="D2604" i="1"/>
  <c r="D2604" i="4" s="1"/>
  <c r="E2604" i="1"/>
  <c r="E2604" i="4" s="1"/>
  <c r="F2604" i="1"/>
  <c r="F2604" i="4" s="1"/>
  <c r="D2605" i="1"/>
  <c r="D2605" i="4" s="1"/>
  <c r="E2605" i="1"/>
  <c r="E2605" i="4" s="1"/>
  <c r="F2605" i="1"/>
  <c r="F2605" i="4" s="1"/>
  <c r="D2606" i="1"/>
  <c r="D2606" i="4" s="1"/>
  <c r="E2606" i="1"/>
  <c r="E2606" i="4" s="1"/>
  <c r="F2606" i="1"/>
  <c r="F2606" i="4" s="1"/>
  <c r="D2607" i="1"/>
  <c r="D2607" i="4" s="1"/>
  <c r="E2607" i="1"/>
  <c r="E2607" i="4" s="1"/>
  <c r="F2607" i="1"/>
  <c r="F2607" i="4" s="1"/>
  <c r="D2608" i="1"/>
  <c r="D2608" i="4" s="1"/>
  <c r="E2608" i="1"/>
  <c r="E2608" i="4" s="1"/>
  <c r="F2608" i="1"/>
  <c r="F2608" i="4" s="1"/>
  <c r="D2609" i="1"/>
  <c r="D2609" i="4" s="1"/>
  <c r="E2609" i="1"/>
  <c r="E2609" i="4" s="1"/>
  <c r="F2609" i="1"/>
  <c r="F2609" i="4" s="1"/>
  <c r="D2610" i="1"/>
  <c r="D2610" i="4" s="1"/>
  <c r="E2610" i="1"/>
  <c r="E2610" i="4" s="1"/>
  <c r="F2610" i="1"/>
  <c r="F2610" i="4" s="1"/>
  <c r="D2611" i="1"/>
  <c r="D2611" i="4" s="1"/>
  <c r="E2611" i="1"/>
  <c r="E2611" i="4" s="1"/>
  <c r="F2611" i="1"/>
  <c r="F2611" i="4" s="1"/>
  <c r="D2612" i="1"/>
  <c r="D2612" i="4" s="1"/>
  <c r="E2612" i="1"/>
  <c r="E2612" i="4" s="1"/>
  <c r="F2612" i="1"/>
  <c r="F2612" i="4" s="1"/>
  <c r="D2613" i="1"/>
  <c r="D2613" i="4" s="1"/>
  <c r="E2613" i="1"/>
  <c r="E2613" i="4" s="1"/>
  <c r="F2613" i="1"/>
  <c r="F2613" i="4" s="1"/>
  <c r="D2614" i="1"/>
  <c r="D2614" i="4" s="1"/>
  <c r="E2614" i="1"/>
  <c r="E2614" i="4" s="1"/>
  <c r="F2614" i="1"/>
  <c r="F2614" i="4" s="1"/>
  <c r="D2615" i="1"/>
  <c r="D2615" i="4" s="1"/>
  <c r="E2615" i="1"/>
  <c r="E2615" i="4" s="1"/>
  <c r="F2615" i="1"/>
  <c r="F2615" i="4" s="1"/>
  <c r="D2616" i="1"/>
  <c r="D2616" i="4" s="1"/>
  <c r="E2616" i="1"/>
  <c r="E2616" i="4" s="1"/>
  <c r="F2616" i="1"/>
  <c r="F2616" i="4" s="1"/>
  <c r="D2617" i="1"/>
  <c r="D2617" i="4" s="1"/>
  <c r="E2617" i="1"/>
  <c r="E2617" i="4" s="1"/>
  <c r="F2617" i="1"/>
  <c r="F2617" i="4" s="1"/>
  <c r="D2618" i="1"/>
  <c r="D2618" i="4" s="1"/>
  <c r="E2618" i="1"/>
  <c r="E2618" i="4" s="1"/>
  <c r="F2618" i="1"/>
  <c r="F2618" i="4" s="1"/>
  <c r="D2619" i="1"/>
  <c r="D2619" i="4" s="1"/>
  <c r="E2619" i="1"/>
  <c r="E2619" i="4" s="1"/>
  <c r="F2619" i="1"/>
  <c r="F2619" i="4" s="1"/>
  <c r="D2620" i="1"/>
  <c r="D2620" i="4" s="1"/>
  <c r="E2620" i="1"/>
  <c r="E2620" i="4" s="1"/>
  <c r="F2620" i="1"/>
  <c r="F2620" i="4" s="1"/>
  <c r="D2621" i="1"/>
  <c r="D2621" i="4" s="1"/>
  <c r="E2621" i="1"/>
  <c r="E2621" i="4" s="1"/>
  <c r="F2621" i="1"/>
  <c r="F2621" i="4" s="1"/>
  <c r="D2622" i="1"/>
  <c r="D2622" i="4" s="1"/>
  <c r="E2622" i="1"/>
  <c r="E2622" i="4" s="1"/>
  <c r="F2622" i="1"/>
  <c r="F2622" i="4" s="1"/>
  <c r="D2623" i="1"/>
  <c r="D2623" i="4" s="1"/>
  <c r="E2623" i="1"/>
  <c r="E2623" i="4" s="1"/>
  <c r="F2623" i="1"/>
  <c r="F2623" i="4" s="1"/>
  <c r="D2624" i="1"/>
  <c r="D2624" i="4" s="1"/>
  <c r="E2624" i="1"/>
  <c r="E2624" i="4" s="1"/>
  <c r="F2624" i="1"/>
  <c r="F2624" i="4" s="1"/>
  <c r="D2625" i="1"/>
  <c r="D2625" i="4" s="1"/>
  <c r="E2625" i="1"/>
  <c r="E2625" i="4" s="1"/>
  <c r="F2625" i="1"/>
  <c r="F2625" i="4" s="1"/>
  <c r="D2626" i="1"/>
  <c r="D2626" i="4" s="1"/>
  <c r="E2626" i="1"/>
  <c r="E2626" i="4" s="1"/>
  <c r="F2626" i="1"/>
  <c r="F2626" i="4" s="1"/>
  <c r="D2627" i="1"/>
  <c r="D2627" i="4" s="1"/>
  <c r="E2627" i="1"/>
  <c r="E2627" i="4" s="1"/>
  <c r="F2627" i="1"/>
  <c r="F2627" i="4" s="1"/>
  <c r="D2628" i="1"/>
  <c r="D2628" i="4" s="1"/>
  <c r="E2628" i="1"/>
  <c r="E2628" i="4" s="1"/>
  <c r="F2628" i="1"/>
  <c r="F2628" i="4" s="1"/>
  <c r="D2629" i="1"/>
  <c r="D2629" i="4" s="1"/>
  <c r="E2629" i="1"/>
  <c r="E2629" i="4" s="1"/>
  <c r="F2629" i="1"/>
  <c r="F2629" i="4" s="1"/>
  <c r="D2630" i="1"/>
  <c r="D2630" i="4" s="1"/>
  <c r="E2630" i="1"/>
  <c r="E2630" i="4" s="1"/>
  <c r="F2630" i="1"/>
  <c r="F2630" i="4" s="1"/>
  <c r="D2631" i="1"/>
  <c r="D2631" i="4" s="1"/>
  <c r="E2631" i="1"/>
  <c r="E2631" i="4" s="1"/>
  <c r="F2631" i="1"/>
  <c r="F2631" i="4" s="1"/>
  <c r="D2632" i="1"/>
  <c r="D2632" i="4" s="1"/>
  <c r="E2632" i="1"/>
  <c r="E2632" i="4" s="1"/>
  <c r="F2632" i="1"/>
  <c r="F2632" i="4" s="1"/>
  <c r="D2633" i="1"/>
  <c r="D2633" i="4" s="1"/>
  <c r="E2633" i="1"/>
  <c r="E2633" i="4" s="1"/>
  <c r="F2633" i="1"/>
  <c r="F2633" i="4" s="1"/>
  <c r="D2634" i="1"/>
  <c r="D2634" i="4" s="1"/>
  <c r="E2634" i="1"/>
  <c r="E2634" i="4" s="1"/>
  <c r="F2634" i="1"/>
  <c r="F2634" i="4" s="1"/>
  <c r="D2635" i="1"/>
  <c r="D2635" i="4" s="1"/>
  <c r="E2635" i="1"/>
  <c r="E2635" i="4" s="1"/>
  <c r="F2635" i="1"/>
  <c r="F2635" i="4" s="1"/>
  <c r="D2636" i="1"/>
  <c r="D2636" i="4" s="1"/>
  <c r="E2636" i="1"/>
  <c r="E2636" i="4" s="1"/>
  <c r="F2636" i="1"/>
  <c r="F2636" i="4" s="1"/>
  <c r="D2637" i="1"/>
  <c r="D2637" i="4" s="1"/>
  <c r="E2637" i="1"/>
  <c r="E2637" i="4" s="1"/>
  <c r="F2637" i="1"/>
  <c r="F2637" i="4" s="1"/>
  <c r="D2638" i="1"/>
  <c r="D2638" i="4" s="1"/>
  <c r="E2638" i="1"/>
  <c r="E2638" i="4" s="1"/>
  <c r="F2638" i="1"/>
  <c r="F2638" i="4" s="1"/>
  <c r="D2639" i="1"/>
  <c r="D2639" i="4" s="1"/>
  <c r="E2639" i="1"/>
  <c r="E2639" i="4" s="1"/>
  <c r="F2639" i="1"/>
  <c r="F2639" i="4" s="1"/>
  <c r="D2640" i="1"/>
  <c r="D2640" i="4" s="1"/>
  <c r="E2640" i="1"/>
  <c r="E2640" i="4" s="1"/>
  <c r="F2640" i="1"/>
  <c r="F2640" i="4" s="1"/>
  <c r="D2641" i="1"/>
  <c r="D2641" i="4" s="1"/>
  <c r="E2641" i="1"/>
  <c r="E2641" i="4" s="1"/>
  <c r="F2641" i="1"/>
  <c r="F2641" i="4" s="1"/>
  <c r="D2642" i="1"/>
  <c r="D2642" i="4" s="1"/>
  <c r="E2642" i="1"/>
  <c r="E2642" i="4" s="1"/>
  <c r="F2642" i="1"/>
  <c r="F2642" i="4" s="1"/>
  <c r="D2643" i="1"/>
  <c r="D2643" i="4" s="1"/>
  <c r="E2643" i="1"/>
  <c r="E2643" i="4" s="1"/>
  <c r="F2643" i="1"/>
  <c r="F2643" i="4" s="1"/>
  <c r="D2644" i="1"/>
  <c r="D2644" i="4" s="1"/>
  <c r="E2644" i="1"/>
  <c r="E2644" i="4" s="1"/>
  <c r="F2644" i="1"/>
  <c r="F2644" i="4" s="1"/>
  <c r="D2645" i="1"/>
  <c r="D2645" i="4" s="1"/>
  <c r="E2645" i="1"/>
  <c r="E2645" i="4" s="1"/>
  <c r="F2645" i="1"/>
  <c r="F2645" i="4" s="1"/>
  <c r="D2646" i="1"/>
  <c r="D2646" i="4" s="1"/>
  <c r="E2646" i="1"/>
  <c r="E2646" i="4" s="1"/>
  <c r="F2646" i="1"/>
  <c r="F2646" i="4" s="1"/>
  <c r="D2647" i="1"/>
  <c r="D2647" i="4" s="1"/>
  <c r="E2647" i="1"/>
  <c r="E2647" i="4" s="1"/>
  <c r="F2647" i="1"/>
  <c r="F2647" i="4" s="1"/>
  <c r="D2648" i="1"/>
  <c r="D2648" i="4" s="1"/>
  <c r="E2648" i="1"/>
  <c r="E2648" i="4" s="1"/>
  <c r="F2648" i="1"/>
  <c r="F2648" i="4" s="1"/>
  <c r="D2649" i="1"/>
  <c r="D2649" i="4" s="1"/>
  <c r="E2649" i="1"/>
  <c r="E2649" i="4" s="1"/>
  <c r="F2649" i="1"/>
  <c r="F2649" i="4" s="1"/>
  <c r="D2650" i="1"/>
  <c r="D2650" i="4" s="1"/>
  <c r="E2650" i="1"/>
  <c r="E2650" i="4" s="1"/>
  <c r="F2650" i="1"/>
  <c r="F2650" i="4" s="1"/>
  <c r="D2651" i="1"/>
  <c r="D2651" i="4" s="1"/>
  <c r="E2651" i="1"/>
  <c r="E2651" i="4" s="1"/>
  <c r="F2651" i="1"/>
  <c r="F2651" i="4" s="1"/>
  <c r="D2652" i="1"/>
  <c r="D2652" i="4" s="1"/>
  <c r="E2652" i="1"/>
  <c r="E2652" i="4" s="1"/>
  <c r="F2652" i="1"/>
  <c r="F2652" i="4" s="1"/>
  <c r="D2653" i="1"/>
  <c r="D2653" i="4" s="1"/>
  <c r="E2653" i="1"/>
  <c r="E2653" i="4" s="1"/>
  <c r="F2653" i="1"/>
  <c r="F2653" i="4" s="1"/>
  <c r="D2654" i="1"/>
  <c r="D2654" i="4" s="1"/>
  <c r="E2654" i="1"/>
  <c r="E2654" i="4" s="1"/>
  <c r="F2654" i="1"/>
  <c r="F2654" i="4" s="1"/>
  <c r="D2655" i="1"/>
  <c r="D2655" i="4" s="1"/>
  <c r="E2655" i="1"/>
  <c r="E2655" i="4" s="1"/>
  <c r="F2655" i="1"/>
  <c r="F2655" i="4" s="1"/>
  <c r="D2656" i="1"/>
  <c r="D2656" i="4" s="1"/>
  <c r="E2656" i="1"/>
  <c r="E2656" i="4" s="1"/>
  <c r="F2656" i="1"/>
  <c r="F2656" i="4" s="1"/>
  <c r="D2657" i="1"/>
  <c r="D2657" i="4" s="1"/>
  <c r="E2657" i="1"/>
  <c r="E2657" i="4" s="1"/>
  <c r="F2657" i="1"/>
  <c r="F2657" i="4" s="1"/>
  <c r="D2658" i="1"/>
  <c r="D2658" i="4" s="1"/>
  <c r="E2658" i="1"/>
  <c r="E2658" i="4" s="1"/>
  <c r="F2658" i="1"/>
  <c r="F2658" i="4" s="1"/>
  <c r="D2659" i="1"/>
  <c r="D2659" i="4" s="1"/>
  <c r="E2659" i="1"/>
  <c r="E2659" i="4" s="1"/>
  <c r="F2659" i="1"/>
  <c r="F2659" i="4" s="1"/>
  <c r="D2660" i="1"/>
  <c r="D2660" i="4" s="1"/>
  <c r="E2660" i="1"/>
  <c r="E2660" i="4" s="1"/>
  <c r="F2660" i="1"/>
  <c r="F2660" i="4" s="1"/>
  <c r="D2661" i="1"/>
  <c r="D2661" i="4" s="1"/>
  <c r="E2661" i="1"/>
  <c r="E2661" i="4" s="1"/>
  <c r="F2661" i="1"/>
  <c r="F2661" i="4" s="1"/>
  <c r="D2662" i="1"/>
  <c r="D2662" i="4" s="1"/>
  <c r="E2662" i="1"/>
  <c r="E2662" i="4" s="1"/>
  <c r="F2662" i="1"/>
  <c r="F2662" i="4" s="1"/>
  <c r="D2663" i="1"/>
  <c r="D2663" i="4" s="1"/>
  <c r="E2663" i="1"/>
  <c r="E2663" i="4" s="1"/>
  <c r="F2663" i="1"/>
  <c r="F2663" i="4" s="1"/>
  <c r="D2664" i="1"/>
  <c r="D2664" i="4" s="1"/>
  <c r="E2664" i="1"/>
  <c r="E2664" i="4" s="1"/>
  <c r="F2664" i="1"/>
  <c r="F2664" i="4" s="1"/>
  <c r="D2665" i="1"/>
  <c r="D2665" i="4" s="1"/>
  <c r="E2665" i="1"/>
  <c r="E2665" i="4" s="1"/>
  <c r="F2665" i="1"/>
  <c r="F2665" i="4" s="1"/>
  <c r="D2666" i="1"/>
  <c r="D2666" i="4" s="1"/>
  <c r="E2666" i="1"/>
  <c r="E2666" i="4" s="1"/>
  <c r="F2666" i="1"/>
  <c r="F2666" i="4" s="1"/>
  <c r="D2667" i="1"/>
  <c r="D2667" i="4" s="1"/>
  <c r="E2667" i="1"/>
  <c r="E2667" i="4" s="1"/>
  <c r="F2667" i="1"/>
  <c r="F2667" i="4" s="1"/>
  <c r="D2668" i="1"/>
  <c r="D2668" i="4" s="1"/>
  <c r="E2668" i="1"/>
  <c r="E2668" i="4" s="1"/>
  <c r="F2668" i="1"/>
  <c r="F2668" i="4" s="1"/>
  <c r="D2669" i="1"/>
  <c r="D2669" i="4" s="1"/>
  <c r="E2669" i="1"/>
  <c r="E2669" i="4" s="1"/>
  <c r="F2669" i="1"/>
  <c r="F2669" i="4" s="1"/>
  <c r="D2670" i="1"/>
  <c r="D2670" i="4" s="1"/>
  <c r="E2670" i="1"/>
  <c r="E2670" i="4" s="1"/>
  <c r="F2670" i="1"/>
  <c r="F2670" i="4" s="1"/>
  <c r="D2671" i="1"/>
  <c r="D2671" i="4" s="1"/>
  <c r="E2671" i="1"/>
  <c r="E2671" i="4" s="1"/>
  <c r="F2671" i="1"/>
  <c r="F2671" i="4" s="1"/>
  <c r="D2672" i="1"/>
  <c r="D2672" i="4" s="1"/>
  <c r="E2672" i="1"/>
  <c r="E2672" i="4" s="1"/>
  <c r="F2672" i="1"/>
  <c r="F2672" i="4" s="1"/>
  <c r="D2673" i="1"/>
  <c r="D2673" i="4" s="1"/>
  <c r="E2673" i="1"/>
  <c r="E2673" i="4" s="1"/>
  <c r="F2673" i="1"/>
  <c r="F2673" i="4" s="1"/>
  <c r="D2674" i="1"/>
  <c r="D2674" i="4" s="1"/>
  <c r="E2674" i="1"/>
  <c r="E2674" i="4" s="1"/>
  <c r="F2674" i="1"/>
  <c r="F2674" i="4" s="1"/>
  <c r="D2675" i="1"/>
  <c r="D2675" i="4" s="1"/>
  <c r="E2675" i="1"/>
  <c r="E2675" i="4" s="1"/>
  <c r="F2675" i="1"/>
  <c r="F2675" i="4" s="1"/>
  <c r="D2676" i="1"/>
  <c r="D2676" i="4" s="1"/>
  <c r="E2676" i="1"/>
  <c r="E2676" i="4" s="1"/>
  <c r="F2676" i="1"/>
  <c r="F2676" i="4" s="1"/>
  <c r="D2677" i="1"/>
  <c r="D2677" i="4" s="1"/>
  <c r="E2677" i="1"/>
  <c r="E2677" i="4" s="1"/>
  <c r="F2677" i="1"/>
  <c r="F2677" i="4" s="1"/>
  <c r="D2678" i="1"/>
  <c r="D2678" i="4" s="1"/>
  <c r="E2678" i="1"/>
  <c r="E2678" i="4" s="1"/>
  <c r="F2678" i="1"/>
  <c r="F2678" i="4" s="1"/>
  <c r="D2679" i="1"/>
  <c r="D2679" i="4" s="1"/>
  <c r="E2679" i="1"/>
  <c r="E2679" i="4" s="1"/>
  <c r="F2679" i="1"/>
  <c r="F2679" i="4" s="1"/>
  <c r="D2680" i="1"/>
  <c r="D2680" i="4" s="1"/>
  <c r="E2680" i="1"/>
  <c r="E2680" i="4" s="1"/>
  <c r="F2680" i="1"/>
  <c r="F2680" i="4" s="1"/>
  <c r="D2681" i="1"/>
  <c r="D2681" i="4" s="1"/>
  <c r="E2681" i="1"/>
  <c r="E2681" i="4" s="1"/>
  <c r="F2681" i="1"/>
  <c r="F2681" i="4" s="1"/>
  <c r="D2682" i="1"/>
  <c r="D2682" i="4" s="1"/>
  <c r="E2682" i="1"/>
  <c r="E2682" i="4" s="1"/>
  <c r="F2682" i="1"/>
  <c r="F2682" i="4" s="1"/>
  <c r="D2683" i="1"/>
  <c r="D2683" i="4" s="1"/>
  <c r="E2683" i="1"/>
  <c r="E2683" i="4" s="1"/>
  <c r="F2683" i="1"/>
  <c r="F2683" i="4" s="1"/>
  <c r="D2684" i="1"/>
  <c r="D2684" i="4" s="1"/>
  <c r="E2684" i="1"/>
  <c r="E2684" i="4" s="1"/>
  <c r="F2684" i="1"/>
  <c r="F2684" i="4" s="1"/>
  <c r="D2685" i="1"/>
  <c r="D2685" i="4" s="1"/>
  <c r="E2685" i="1"/>
  <c r="E2685" i="4" s="1"/>
  <c r="F2685" i="1"/>
  <c r="F2685" i="4" s="1"/>
  <c r="D2686" i="1"/>
  <c r="D2686" i="4" s="1"/>
  <c r="E2686" i="1"/>
  <c r="E2686" i="4" s="1"/>
  <c r="F2686" i="1"/>
  <c r="F2686" i="4" s="1"/>
  <c r="D2687" i="1"/>
  <c r="D2687" i="4" s="1"/>
  <c r="E2687" i="1"/>
  <c r="E2687" i="4" s="1"/>
  <c r="F2687" i="1"/>
  <c r="F2687" i="4" s="1"/>
  <c r="D2688" i="1"/>
  <c r="D2688" i="4" s="1"/>
  <c r="E2688" i="1"/>
  <c r="E2688" i="4" s="1"/>
  <c r="F2688" i="1"/>
  <c r="F2688" i="4" s="1"/>
  <c r="D2689" i="1"/>
  <c r="D2689" i="4" s="1"/>
  <c r="E2689" i="1"/>
  <c r="E2689" i="4" s="1"/>
  <c r="F2689" i="1"/>
  <c r="F2689" i="4" s="1"/>
  <c r="D2690" i="1"/>
  <c r="D2690" i="4" s="1"/>
  <c r="E2690" i="1"/>
  <c r="E2690" i="4" s="1"/>
  <c r="F2690" i="1"/>
  <c r="F2690" i="4" s="1"/>
  <c r="D2691" i="1"/>
  <c r="D2691" i="4" s="1"/>
  <c r="E2691" i="1"/>
  <c r="E2691" i="4" s="1"/>
  <c r="F2691" i="1"/>
  <c r="F2691" i="4" s="1"/>
  <c r="D2692" i="1"/>
  <c r="D2692" i="4" s="1"/>
  <c r="E2692" i="1"/>
  <c r="E2692" i="4" s="1"/>
  <c r="F2692" i="1"/>
  <c r="F2692" i="4" s="1"/>
  <c r="D2693" i="1"/>
  <c r="D2693" i="4" s="1"/>
  <c r="E2693" i="1"/>
  <c r="E2693" i="4" s="1"/>
  <c r="F2693" i="1"/>
  <c r="F2693" i="4" s="1"/>
  <c r="D2694" i="1"/>
  <c r="D2694" i="4" s="1"/>
  <c r="E2694" i="1"/>
  <c r="E2694" i="4" s="1"/>
  <c r="F2694" i="1"/>
  <c r="F2694" i="4" s="1"/>
  <c r="D2695" i="1"/>
  <c r="D2695" i="4" s="1"/>
  <c r="E2695" i="1"/>
  <c r="E2695" i="4" s="1"/>
  <c r="F2695" i="1"/>
  <c r="F2695" i="4" s="1"/>
  <c r="D2696" i="1"/>
  <c r="D2696" i="4" s="1"/>
  <c r="E2696" i="1"/>
  <c r="E2696" i="4" s="1"/>
  <c r="F2696" i="1"/>
  <c r="F2696" i="4" s="1"/>
  <c r="D2697" i="1"/>
  <c r="D2697" i="4" s="1"/>
  <c r="E2697" i="1"/>
  <c r="E2697" i="4" s="1"/>
  <c r="F2697" i="1"/>
  <c r="F2697" i="4" s="1"/>
  <c r="D2698" i="1"/>
  <c r="D2698" i="4" s="1"/>
  <c r="E2698" i="1"/>
  <c r="E2698" i="4" s="1"/>
  <c r="F2698" i="1"/>
  <c r="F2698" i="4" s="1"/>
  <c r="D2699" i="1"/>
  <c r="D2699" i="4" s="1"/>
  <c r="E2699" i="1"/>
  <c r="E2699" i="4" s="1"/>
  <c r="F2699" i="1"/>
  <c r="F2699" i="4" s="1"/>
  <c r="D2700" i="1"/>
  <c r="D2700" i="4" s="1"/>
  <c r="E2700" i="1"/>
  <c r="E2700" i="4" s="1"/>
  <c r="F2700" i="1"/>
  <c r="F2700" i="4" s="1"/>
  <c r="D2701" i="1"/>
  <c r="D2701" i="4" s="1"/>
  <c r="E2701" i="1"/>
  <c r="E2701" i="4" s="1"/>
  <c r="F2701" i="1"/>
  <c r="F2701" i="4" s="1"/>
  <c r="D2702" i="1"/>
  <c r="D2702" i="4" s="1"/>
  <c r="E2702" i="1"/>
  <c r="E2702" i="4" s="1"/>
  <c r="F2702" i="1"/>
  <c r="F2702" i="4" s="1"/>
  <c r="D2703" i="1"/>
  <c r="D2703" i="4" s="1"/>
  <c r="E2703" i="1"/>
  <c r="E2703" i="4" s="1"/>
  <c r="F2703" i="1"/>
  <c r="F2703" i="4" s="1"/>
  <c r="D2704" i="1"/>
  <c r="D2704" i="4" s="1"/>
  <c r="E2704" i="1"/>
  <c r="E2704" i="4" s="1"/>
  <c r="F2704" i="1"/>
  <c r="F2704" i="4" s="1"/>
  <c r="D2705" i="1"/>
  <c r="D2705" i="4" s="1"/>
  <c r="E2705" i="1"/>
  <c r="E2705" i="4" s="1"/>
  <c r="F2705" i="1"/>
  <c r="F2705" i="4" s="1"/>
  <c r="D2706" i="1"/>
  <c r="D2706" i="4" s="1"/>
  <c r="E2706" i="1"/>
  <c r="E2706" i="4" s="1"/>
  <c r="F2706" i="1"/>
  <c r="F2706" i="4" s="1"/>
  <c r="D2707" i="1"/>
  <c r="D2707" i="4" s="1"/>
  <c r="E2707" i="1"/>
  <c r="E2707" i="4" s="1"/>
  <c r="F2707" i="1"/>
  <c r="F2707" i="4" s="1"/>
  <c r="D2708" i="1"/>
  <c r="D2708" i="4" s="1"/>
  <c r="E2708" i="1"/>
  <c r="E2708" i="4" s="1"/>
  <c r="F2708" i="1"/>
  <c r="F2708" i="4" s="1"/>
  <c r="D2709" i="1"/>
  <c r="D2709" i="4" s="1"/>
  <c r="E2709" i="1"/>
  <c r="E2709" i="4" s="1"/>
  <c r="F2709" i="1"/>
  <c r="F2709" i="4" s="1"/>
  <c r="D2710" i="1"/>
  <c r="D2710" i="4" s="1"/>
  <c r="E2710" i="1"/>
  <c r="E2710" i="4" s="1"/>
  <c r="F2710" i="1"/>
  <c r="F2710" i="4" s="1"/>
  <c r="D2711" i="1"/>
  <c r="D2711" i="4" s="1"/>
  <c r="E2711" i="1"/>
  <c r="E2711" i="4" s="1"/>
  <c r="F2711" i="1"/>
  <c r="F2711" i="4" s="1"/>
  <c r="D2712" i="1"/>
  <c r="D2712" i="4" s="1"/>
  <c r="E2712" i="1"/>
  <c r="E2712" i="4" s="1"/>
  <c r="F2712" i="1"/>
  <c r="F2712" i="4" s="1"/>
  <c r="D2713" i="1"/>
  <c r="D2713" i="4" s="1"/>
  <c r="E2713" i="1"/>
  <c r="E2713" i="4" s="1"/>
  <c r="F2713" i="1"/>
  <c r="F2713" i="4" s="1"/>
  <c r="D2714" i="1"/>
  <c r="D2714" i="4" s="1"/>
  <c r="E2714" i="1"/>
  <c r="E2714" i="4" s="1"/>
  <c r="F2714" i="1"/>
  <c r="F2714" i="4" s="1"/>
  <c r="D2715" i="1"/>
  <c r="D2715" i="4" s="1"/>
  <c r="E2715" i="1"/>
  <c r="E2715" i="4" s="1"/>
  <c r="F2715" i="1"/>
  <c r="F2715" i="4" s="1"/>
  <c r="D2716" i="1"/>
  <c r="D2716" i="4" s="1"/>
  <c r="E2716" i="1"/>
  <c r="E2716" i="4" s="1"/>
  <c r="F2716" i="1"/>
  <c r="F2716" i="4" s="1"/>
  <c r="D2717" i="1"/>
  <c r="D2717" i="4" s="1"/>
  <c r="E2717" i="1"/>
  <c r="E2717" i="4" s="1"/>
  <c r="F2717" i="1"/>
  <c r="F2717" i="4" s="1"/>
  <c r="D2718" i="1"/>
  <c r="D2718" i="4" s="1"/>
  <c r="E2718" i="1"/>
  <c r="E2718" i="4" s="1"/>
  <c r="F2718" i="1"/>
  <c r="F2718" i="4" s="1"/>
  <c r="D2719" i="1"/>
  <c r="D2719" i="4" s="1"/>
  <c r="E2719" i="1"/>
  <c r="E2719" i="4" s="1"/>
  <c r="F2719" i="1"/>
  <c r="F2719" i="4" s="1"/>
  <c r="D2720" i="1"/>
  <c r="D2720" i="4" s="1"/>
  <c r="E2720" i="1"/>
  <c r="E2720" i="4" s="1"/>
  <c r="F2720" i="1"/>
  <c r="F2720" i="4" s="1"/>
  <c r="D2721" i="1"/>
  <c r="D2721" i="4" s="1"/>
  <c r="E2721" i="1"/>
  <c r="E2721" i="4" s="1"/>
  <c r="F2721" i="1"/>
  <c r="F2721" i="4" s="1"/>
  <c r="D2722" i="1"/>
  <c r="D2722" i="4" s="1"/>
  <c r="E2722" i="1"/>
  <c r="E2722" i="4" s="1"/>
  <c r="F2722" i="1"/>
  <c r="F2722" i="4" s="1"/>
  <c r="D2723" i="1"/>
  <c r="D2723" i="4" s="1"/>
  <c r="E2723" i="1"/>
  <c r="E2723" i="4" s="1"/>
  <c r="F2723" i="1"/>
  <c r="F2723" i="4" s="1"/>
  <c r="D2724" i="1"/>
  <c r="D2724" i="4" s="1"/>
  <c r="E2724" i="1"/>
  <c r="E2724" i="4" s="1"/>
  <c r="F2724" i="1"/>
  <c r="F2724" i="4" s="1"/>
  <c r="D2725" i="1"/>
  <c r="D2725" i="4" s="1"/>
  <c r="E2725" i="1"/>
  <c r="E2725" i="4" s="1"/>
  <c r="F2725" i="1"/>
  <c r="F2725" i="4" s="1"/>
  <c r="D2726" i="1"/>
  <c r="D2726" i="4" s="1"/>
  <c r="E2726" i="1"/>
  <c r="E2726" i="4" s="1"/>
  <c r="F2726" i="1"/>
  <c r="F2726" i="4" s="1"/>
  <c r="D2727" i="1"/>
  <c r="D2727" i="4" s="1"/>
  <c r="E2727" i="1"/>
  <c r="E2727" i="4" s="1"/>
  <c r="F2727" i="1"/>
  <c r="F2727" i="4" s="1"/>
  <c r="D2728" i="1"/>
  <c r="D2728" i="4" s="1"/>
  <c r="E2728" i="1"/>
  <c r="E2728" i="4" s="1"/>
  <c r="F2728" i="1"/>
  <c r="F2728" i="4" s="1"/>
  <c r="D2729" i="1"/>
  <c r="D2729" i="4" s="1"/>
  <c r="E2729" i="1"/>
  <c r="E2729" i="4" s="1"/>
  <c r="F2729" i="1"/>
  <c r="F2729" i="4" s="1"/>
  <c r="D2730" i="1"/>
  <c r="D2730" i="4" s="1"/>
  <c r="E2730" i="1"/>
  <c r="E2730" i="4" s="1"/>
  <c r="F2730" i="1"/>
  <c r="F2730" i="4" s="1"/>
  <c r="D2731" i="1"/>
  <c r="D2731" i="4" s="1"/>
  <c r="E2731" i="1"/>
  <c r="E2731" i="4" s="1"/>
  <c r="F2731" i="1"/>
  <c r="F2731" i="4" s="1"/>
  <c r="D2732" i="1"/>
  <c r="D2732" i="4" s="1"/>
  <c r="E2732" i="1"/>
  <c r="E2732" i="4" s="1"/>
  <c r="F2732" i="1"/>
  <c r="F2732" i="4" s="1"/>
  <c r="D2733" i="1"/>
  <c r="D2733" i="4" s="1"/>
  <c r="E2733" i="1"/>
  <c r="E2733" i="4" s="1"/>
  <c r="F2733" i="1"/>
  <c r="F2733" i="4" s="1"/>
  <c r="D2734" i="1"/>
  <c r="D2734" i="4" s="1"/>
  <c r="E2734" i="1"/>
  <c r="E2734" i="4" s="1"/>
  <c r="F2734" i="1"/>
  <c r="F2734" i="4" s="1"/>
  <c r="D2735" i="1"/>
  <c r="D2735" i="4" s="1"/>
  <c r="E2735" i="1"/>
  <c r="E2735" i="4" s="1"/>
  <c r="F2735" i="1"/>
  <c r="F2735" i="4" s="1"/>
  <c r="D2736" i="1"/>
  <c r="D2736" i="4" s="1"/>
  <c r="E2736" i="1"/>
  <c r="E2736" i="4" s="1"/>
  <c r="F2736" i="1"/>
  <c r="F2736" i="4" s="1"/>
  <c r="D2737" i="1"/>
  <c r="D2737" i="4" s="1"/>
  <c r="E2737" i="1"/>
  <c r="E2737" i="4" s="1"/>
  <c r="F2737" i="1"/>
  <c r="F2737" i="4" s="1"/>
  <c r="D2738" i="1"/>
  <c r="D2738" i="4" s="1"/>
  <c r="E2738" i="1"/>
  <c r="E2738" i="4" s="1"/>
  <c r="F2738" i="1"/>
  <c r="F2738" i="4" s="1"/>
  <c r="D2739" i="1"/>
  <c r="D2739" i="4" s="1"/>
  <c r="E2739" i="1"/>
  <c r="E2739" i="4" s="1"/>
  <c r="F2739" i="1"/>
  <c r="F2739" i="4" s="1"/>
  <c r="D2740" i="1"/>
  <c r="D2740" i="4" s="1"/>
  <c r="E2740" i="1"/>
  <c r="E2740" i="4" s="1"/>
  <c r="F2740" i="1"/>
  <c r="F2740" i="4" s="1"/>
  <c r="D2741" i="1"/>
  <c r="D2741" i="4" s="1"/>
  <c r="E2741" i="1"/>
  <c r="E2741" i="4" s="1"/>
  <c r="F2741" i="1"/>
  <c r="F2741" i="4" s="1"/>
  <c r="D2742" i="1"/>
  <c r="D2742" i="4" s="1"/>
  <c r="E2742" i="1"/>
  <c r="E2742" i="4" s="1"/>
  <c r="F2742" i="1"/>
  <c r="F2742" i="4" s="1"/>
  <c r="D2743" i="1"/>
  <c r="D2743" i="4" s="1"/>
  <c r="E2743" i="1"/>
  <c r="E2743" i="4" s="1"/>
  <c r="F2743" i="1"/>
  <c r="F2743" i="4" s="1"/>
  <c r="D2744" i="1"/>
  <c r="D2744" i="4" s="1"/>
  <c r="E2744" i="1"/>
  <c r="E2744" i="4" s="1"/>
  <c r="F2744" i="1"/>
  <c r="F2744" i="4" s="1"/>
  <c r="D2745" i="1"/>
  <c r="D2745" i="4" s="1"/>
  <c r="E2745" i="1"/>
  <c r="E2745" i="4" s="1"/>
  <c r="F2745" i="1"/>
  <c r="F2745" i="4" s="1"/>
  <c r="D2746" i="1"/>
  <c r="D2746" i="4" s="1"/>
  <c r="E2746" i="1"/>
  <c r="E2746" i="4" s="1"/>
  <c r="F2746" i="1"/>
  <c r="F2746" i="4" s="1"/>
  <c r="D2747" i="1"/>
  <c r="D2747" i="4" s="1"/>
  <c r="E2747" i="1"/>
  <c r="E2747" i="4" s="1"/>
  <c r="F2747" i="1"/>
  <c r="F2747" i="4" s="1"/>
  <c r="D2748" i="1"/>
  <c r="D2748" i="4" s="1"/>
  <c r="E2748" i="1"/>
  <c r="E2748" i="4" s="1"/>
  <c r="F2748" i="1"/>
  <c r="F2748" i="4" s="1"/>
  <c r="D2749" i="1"/>
  <c r="D2749" i="4" s="1"/>
  <c r="E2749" i="1"/>
  <c r="E2749" i="4" s="1"/>
  <c r="F2749" i="1"/>
  <c r="F2749" i="4" s="1"/>
  <c r="D2750" i="1"/>
  <c r="D2750" i="4" s="1"/>
  <c r="E2750" i="1"/>
  <c r="E2750" i="4" s="1"/>
  <c r="F2750" i="1"/>
  <c r="F2750" i="4" s="1"/>
  <c r="D2751" i="1"/>
  <c r="D2751" i="4" s="1"/>
  <c r="E2751" i="1"/>
  <c r="E2751" i="4" s="1"/>
  <c r="F2751" i="1"/>
  <c r="F2751" i="4" s="1"/>
  <c r="D2752" i="1"/>
  <c r="D2752" i="4" s="1"/>
  <c r="E2752" i="1"/>
  <c r="E2752" i="4" s="1"/>
  <c r="F2752" i="1"/>
  <c r="F2752" i="4" s="1"/>
  <c r="D2753" i="1"/>
  <c r="D2753" i="4" s="1"/>
  <c r="E2753" i="1"/>
  <c r="E2753" i="4" s="1"/>
  <c r="F2753" i="1"/>
  <c r="F2753" i="4" s="1"/>
  <c r="D2754" i="1"/>
  <c r="D2754" i="4" s="1"/>
  <c r="E2754" i="1"/>
  <c r="E2754" i="4" s="1"/>
  <c r="F2754" i="1"/>
  <c r="F2754" i="4" s="1"/>
  <c r="D2755" i="1"/>
  <c r="D2755" i="4" s="1"/>
  <c r="E2755" i="1"/>
  <c r="E2755" i="4" s="1"/>
  <c r="F2755" i="1"/>
  <c r="F2755" i="4" s="1"/>
  <c r="D2756" i="1"/>
  <c r="D2756" i="4" s="1"/>
  <c r="E2756" i="1"/>
  <c r="E2756" i="4" s="1"/>
  <c r="F2756" i="1"/>
  <c r="F2756" i="4" s="1"/>
  <c r="D2757" i="1"/>
  <c r="D2757" i="4" s="1"/>
  <c r="E2757" i="1"/>
  <c r="E2757" i="4" s="1"/>
  <c r="F2757" i="1"/>
  <c r="F2757" i="4" s="1"/>
  <c r="D2758" i="1"/>
  <c r="D2758" i="4" s="1"/>
  <c r="E2758" i="1"/>
  <c r="E2758" i="4" s="1"/>
  <c r="F2758" i="1"/>
  <c r="F2758" i="4" s="1"/>
  <c r="D2759" i="1"/>
  <c r="D2759" i="4" s="1"/>
  <c r="E2759" i="1"/>
  <c r="E2759" i="4" s="1"/>
  <c r="F2759" i="1"/>
  <c r="F2759" i="4" s="1"/>
  <c r="D2760" i="1"/>
  <c r="D2760" i="4" s="1"/>
  <c r="E2760" i="1"/>
  <c r="E2760" i="4" s="1"/>
  <c r="F2760" i="1"/>
  <c r="F2760" i="4" s="1"/>
  <c r="D2761" i="1"/>
  <c r="D2761" i="4" s="1"/>
  <c r="E2761" i="1"/>
  <c r="E2761" i="4" s="1"/>
  <c r="F2761" i="1"/>
  <c r="F2761" i="4" s="1"/>
  <c r="D2762" i="1"/>
  <c r="D2762" i="4" s="1"/>
  <c r="E2762" i="1"/>
  <c r="E2762" i="4" s="1"/>
  <c r="F2762" i="1"/>
  <c r="F2762" i="4" s="1"/>
  <c r="D2763" i="1"/>
  <c r="D2763" i="4" s="1"/>
  <c r="E2763" i="1"/>
  <c r="E2763" i="4" s="1"/>
  <c r="F2763" i="1"/>
  <c r="F2763" i="4" s="1"/>
  <c r="D2764" i="1"/>
  <c r="D2764" i="4" s="1"/>
  <c r="E2764" i="1"/>
  <c r="E2764" i="4" s="1"/>
  <c r="F2764" i="1"/>
  <c r="F2764" i="4" s="1"/>
  <c r="D2765" i="1"/>
  <c r="D2765" i="4" s="1"/>
  <c r="E2765" i="1"/>
  <c r="E2765" i="4" s="1"/>
  <c r="F2765" i="1"/>
  <c r="F2765" i="4" s="1"/>
  <c r="D2766" i="1"/>
  <c r="D2766" i="4" s="1"/>
  <c r="E2766" i="1"/>
  <c r="E2766" i="4" s="1"/>
  <c r="F2766" i="1"/>
  <c r="F2766" i="4" s="1"/>
  <c r="D2767" i="1"/>
  <c r="D2767" i="4" s="1"/>
  <c r="E2767" i="1"/>
  <c r="E2767" i="4" s="1"/>
  <c r="F2767" i="1"/>
  <c r="F2767" i="4" s="1"/>
  <c r="D2768" i="1"/>
  <c r="D2768" i="4" s="1"/>
  <c r="E2768" i="1"/>
  <c r="E2768" i="4" s="1"/>
  <c r="F2768" i="1"/>
  <c r="F2768" i="4" s="1"/>
  <c r="D2769" i="1"/>
  <c r="D2769" i="4" s="1"/>
  <c r="E2769" i="1"/>
  <c r="E2769" i="4" s="1"/>
  <c r="F2769" i="1"/>
  <c r="F2769" i="4" s="1"/>
  <c r="D2770" i="1"/>
  <c r="D2770" i="4" s="1"/>
  <c r="E2770" i="1"/>
  <c r="E2770" i="4" s="1"/>
  <c r="F2770" i="1"/>
  <c r="F2770" i="4" s="1"/>
  <c r="D2771" i="1"/>
  <c r="D2771" i="4" s="1"/>
  <c r="E2771" i="1"/>
  <c r="E2771" i="4" s="1"/>
  <c r="F2771" i="1"/>
  <c r="F2771" i="4" s="1"/>
  <c r="D2772" i="1"/>
  <c r="D2772" i="4" s="1"/>
  <c r="E2772" i="1"/>
  <c r="E2772" i="4" s="1"/>
  <c r="F2772" i="1"/>
  <c r="F2772" i="4" s="1"/>
  <c r="D2773" i="1"/>
  <c r="D2773" i="4" s="1"/>
  <c r="E2773" i="1"/>
  <c r="E2773" i="4" s="1"/>
  <c r="F2773" i="1"/>
  <c r="F2773" i="4" s="1"/>
  <c r="D2774" i="1"/>
  <c r="D2774" i="4" s="1"/>
  <c r="E2774" i="1"/>
  <c r="E2774" i="4" s="1"/>
  <c r="F2774" i="1"/>
  <c r="F2774" i="4" s="1"/>
  <c r="D2775" i="1"/>
  <c r="D2775" i="4" s="1"/>
  <c r="E2775" i="1"/>
  <c r="E2775" i="4" s="1"/>
  <c r="F2775" i="1"/>
  <c r="F2775" i="4" s="1"/>
  <c r="D2776" i="1"/>
  <c r="D2776" i="4" s="1"/>
  <c r="E2776" i="1"/>
  <c r="E2776" i="4" s="1"/>
  <c r="F2776" i="1"/>
  <c r="F2776" i="4" s="1"/>
  <c r="D2777" i="1"/>
  <c r="D2777" i="4" s="1"/>
  <c r="E2777" i="1"/>
  <c r="E2777" i="4" s="1"/>
  <c r="F2777" i="1"/>
  <c r="F2777" i="4" s="1"/>
  <c r="D2778" i="1"/>
  <c r="D2778" i="4" s="1"/>
  <c r="E2778" i="1"/>
  <c r="E2778" i="4" s="1"/>
  <c r="F2778" i="1"/>
  <c r="F2778" i="4" s="1"/>
  <c r="D2779" i="1"/>
  <c r="D2779" i="4" s="1"/>
  <c r="E2779" i="1"/>
  <c r="E2779" i="4" s="1"/>
  <c r="F2779" i="1"/>
  <c r="F2779" i="4" s="1"/>
  <c r="D2780" i="1"/>
  <c r="D2780" i="4" s="1"/>
  <c r="E2780" i="1"/>
  <c r="E2780" i="4" s="1"/>
  <c r="F2780" i="1"/>
  <c r="F2780" i="4" s="1"/>
  <c r="D2781" i="1"/>
  <c r="D2781" i="4" s="1"/>
  <c r="E2781" i="1"/>
  <c r="E2781" i="4" s="1"/>
  <c r="F2781" i="1"/>
  <c r="F2781" i="4" s="1"/>
  <c r="D2782" i="1"/>
  <c r="D2782" i="4" s="1"/>
  <c r="E2782" i="1"/>
  <c r="E2782" i="4" s="1"/>
  <c r="F2782" i="1"/>
  <c r="F2782" i="4" s="1"/>
  <c r="D2783" i="1"/>
  <c r="D2783" i="4" s="1"/>
  <c r="E2783" i="1"/>
  <c r="E2783" i="4" s="1"/>
  <c r="F2783" i="1"/>
  <c r="F2783" i="4" s="1"/>
  <c r="D2784" i="1"/>
  <c r="D2784" i="4" s="1"/>
  <c r="E2784" i="1"/>
  <c r="E2784" i="4" s="1"/>
  <c r="F2784" i="1"/>
  <c r="F2784" i="4" s="1"/>
  <c r="D2785" i="1"/>
  <c r="D2785" i="4" s="1"/>
  <c r="E2785" i="1"/>
  <c r="E2785" i="4" s="1"/>
  <c r="F2785" i="1"/>
  <c r="F2785" i="4" s="1"/>
  <c r="D2786" i="1"/>
  <c r="D2786" i="4" s="1"/>
  <c r="E2786" i="1"/>
  <c r="E2786" i="4" s="1"/>
  <c r="F2786" i="1"/>
  <c r="F2786" i="4" s="1"/>
  <c r="D2787" i="1"/>
  <c r="D2787" i="4" s="1"/>
  <c r="E2787" i="1"/>
  <c r="E2787" i="4" s="1"/>
  <c r="F2787" i="1"/>
  <c r="F2787" i="4" s="1"/>
  <c r="D2788" i="1"/>
  <c r="D2788" i="4" s="1"/>
  <c r="E2788" i="1"/>
  <c r="E2788" i="4" s="1"/>
  <c r="F2788" i="1"/>
  <c r="F2788" i="4" s="1"/>
  <c r="D2789" i="1"/>
  <c r="D2789" i="4" s="1"/>
  <c r="E2789" i="1"/>
  <c r="E2789" i="4" s="1"/>
  <c r="F2789" i="1"/>
  <c r="F2789" i="4" s="1"/>
  <c r="D2790" i="1"/>
  <c r="D2790" i="4" s="1"/>
  <c r="E2790" i="1"/>
  <c r="E2790" i="4" s="1"/>
  <c r="F2790" i="1"/>
  <c r="F2790" i="4" s="1"/>
  <c r="D2791" i="1"/>
  <c r="D2791" i="4" s="1"/>
  <c r="E2791" i="1"/>
  <c r="E2791" i="4" s="1"/>
  <c r="F2791" i="1"/>
  <c r="F2791" i="4" s="1"/>
  <c r="D2792" i="1"/>
  <c r="D2792" i="4" s="1"/>
  <c r="E2792" i="1"/>
  <c r="E2792" i="4" s="1"/>
  <c r="F2792" i="1"/>
  <c r="F2792" i="4" s="1"/>
  <c r="D2793" i="1"/>
  <c r="D2793" i="4" s="1"/>
  <c r="E2793" i="1"/>
  <c r="E2793" i="4" s="1"/>
  <c r="F2793" i="1"/>
  <c r="F2793" i="4" s="1"/>
  <c r="D2794" i="1"/>
  <c r="D2794" i="4" s="1"/>
  <c r="E2794" i="1"/>
  <c r="E2794" i="4" s="1"/>
  <c r="F2794" i="1"/>
  <c r="F2794" i="4" s="1"/>
  <c r="D2795" i="1"/>
  <c r="D2795" i="4" s="1"/>
  <c r="E2795" i="1"/>
  <c r="E2795" i="4" s="1"/>
  <c r="F2795" i="1"/>
  <c r="F2795" i="4" s="1"/>
  <c r="D2796" i="1"/>
  <c r="D2796" i="4" s="1"/>
  <c r="E2796" i="1"/>
  <c r="E2796" i="4" s="1"/>
  <c r="F2796" i="1"/>
  <c r="F2796" i="4" s="1"/>
  <c r="D2797" i="1"/>
  <c r="D2797" i="4" s="1"/>
  <c r="E2797" i="1"/>
  <c r="E2797" i="4" s="1"/>
  <c r="F2797" i="1"/>
  <c r="F2797" i="4" s="1"/>
  <c r="D2798" i="1"/>
  <c r="D2798" i="4" s="1"/>
  <c r="E2798" i="1"/>
  <c r="E2798" i="4" s="1"/>
  <c r="F2798" i="1"/>
  <c r="F2798" i="4" s="1"/>
  <c r="D2799" i="1"/>
  <c r="D2799" i="4" s="1"/>
  <c r="E2799" i="1"/>
  <c r="E2799" i="4" s="1"/>
  <c r="F2799" i="1"/>
  <c r="F2799" i="4" s="1"/>
  <c r="D2800" i="1"/>
  <c r="D2800" i="4" s="1"/>
  <c r="E2800" i="1"/>
  <c r="E2800" i="4" s="1"/>
  <c r="F2800" i="1"/>
  <c r="F2800" i="4" s="1"/>
  <c r="D2801" i="1"/>
  <c r="D2801" i="4" s="1"/>
  <c r="E2801" i="1"/>
  <c r="E2801" i="4" s="1"/>
  <c r="F2801" i="1"/>
  <c r="F2801" i="4" s="1"/>
  <c r="D2802" i="1"/>
  <c r="D2802" i="4" s="1"/>
  <c r="E2802" i="1"/>
  <c r="E2802" i="4" s="1"/>
  <c r="F2802" i="1"/>
  <c r="F2802" i="4" s="1"/>
  <c r="D2803" i="1"/>
  <c r="D2803" i="4" s="1"/>
  <c r="E2803" i="1"/>
  <c r="E2803" i="4" s="1"/>
  <c r="F2803" i="1"/>
  <c r="F2803" i="4" s="1"/>
  <c r="D2804" i="1"/>
  <c r="D2804" i="4" s="1"/>
  <c r="E2804" i="1"/>
  <c r="E2804" i="4" s="1"/>
  <c r="F2804" i="1"/>
  <c r="F2804" i="4" s="1"/>
  <c r="D2805" i="1"/>
  <c r="D2805" i="4" s="1"/>
  <c r="E2805" i="1"/>
  <c r="E2805" i="4" s="1"/>
  <c r="F2805" i="1"/>
  <c r="F2805" i="4" s="1"/>
  <c r="D2806" i="1"/>
  <c r="D2806" i="4" s="1"/>
  <c r="E2806" i="1"/>
  <c r="E2806" i="4" s="1"/>
  <c r="F2806" i="1"/>
  <c r="F2806" i="4" s="1"/>
  <c r="D2807" i="1"/>
  <c r="D2807" i="4" s="1"/>
  <c r="E2807" i="1"/>
  <c r="E2807" i="4" s="1"/>
  <c r="F2807" i="1"/>
  <c r="F2807" i="4" s="1"/>
  <c r="D2808" i="1"/>
  <c r="D2808" i="4" s="1"/>
  <c r="E2808" i="1"/>
  <c r="E2808" i="4" s="1"/>
  <c r="F2808" i="1"/>
  <c r="F2808" i="4" s="1"/>
  <c r="D2809" i="1"/>
  <c r="D2809" i="4" s="1"/>
  <c r="E2809" i="1"/>
  <c r="E2809" i="4" s="1"/>
  <c r="F2809" i="1"/>
  <c r="F2809" i="4" s="1"/>
  <c r="D2810" i="1"/>
  <c r="D2810" i="4" s="1"/>
  <c r="E2810" i="1"/>
  <c r="E2810" i="4" s="1"/>
  <c r="F2810" i="1"/>
  <c r="F2810" i="4" s="1"/>
  <c r="D2811" i="1"/>
  <c r="D2811" i="4" s="1"/>
  <c r="E2811" i="1"/>
  <c r="E2811" i="4" s="1"/>
  <c r="F2811" i="1"/>
  <c r="F2811" i="4" s="1"/>
  <c r="D2812" i="1"/>
  <c r="D2812" i="4" s="1"/>
  <c r="E2812" i="1"/>
  <c r="E2812" i="4" s="1"/>
  <c r="F2812" i="1"/>
  <c r="F2812" i="4" s="1"/>
  <c r="D2813" i="1"/>
  <c r="D2813" i="4" s="1"/>
  <c r="E2813" i="1"/>
  <c r="E2813" i="4" s="1"/>
  <c r="F2813" i="1"/>
  <c r="F2813" i="4" s="1"/>
  <c r="D2814" i="1"/>
  <c r="D2814" i="4" s="1"/>
  <c r="E2814" i="1"/>
  <c r="E2814" i="4" s="1"/>
  <c r="F2814" i="1"/>
  <c r="F2814" i="4" s="1"/>
  <c r="D2815" i="1"/>
  <c r="D2815" i="4" s="1"/>
  <c r="E2815" i="1"/>
  <c r="E2815" i="4" s="1"/>
  <c r="F2815" i="1"/>
  <c r="F2815" i="4" s="1"/>
  <c r="D2816" i="1"/>
  <c r="D2816" i="4" s="1"/>
  <c r="E2816" i="1"/>
  <c r="E2816" i="4" s="1"/>
  <c r="F2816" i="1"/>
  <c r="F2816" i="4" s="1"/>
  <c r="D2817" i="1"/>
  <c r="D2817" i="4" s="1"/>
  <c r="E2817" i="1"/>
  <c r="E2817" i="4" s="1"/>
  <c r="F2817" i="1"/>
  <c r="F2817" i="4" s="1"/>
  <c r="D2818" i="1"/>
  <c r="D2818" i="4" s="1"/>
  <c r="E2818" i="1"/>
  <c r="E2818" i="4" s="1"/>
  <c r="F2818" i="1"/>
  <c r="F2818" i="4" s="1"/>
  <c r="D2819" i="1"/>
  <c r="D2819" i="4" s="1"/>
  <c r="E2819" i="1"/>
  <c r="E2819" i="4" s="1"/>
  <c r="F2819" i="1"/>
  <c r="F2819" i="4" s="1"/>
  <c r="D2820" i="1"/>
  <c r="D2820" i="4" s="1"/>
  <c r="E2820" i="1"/>
  <c r="E2820" i="4" s="1"/>
  <c r="F2820" i="1"/>
  <c r="F2820" i="4" s="1"/>
  <c r="D2821" i="1"/>
  <c r="D2821" i="4" s="1"/>
  <c r="E2821" i="1"/>
  <c r="E2821" i="4" s="1"/>
  <c r="F2821" i="1"/>
  <c r="F2821" i="4" s="1"/>
  <c r="D2822" i="1"/>
  <c r="D2822" i="4" s="1"/>
  <c r="E2822" i="1"/>
  <c r="E2822" i="4" s="1"/>
  <c r="F2822" i="1"/>
  <c r="F2822" i="4" s="1"/>
  <c r="D2823" i="1"/>
  <c r="D2823" i="4" s="1"/>
  <c r="E2823" i="1"/>
  <c r="E2823" i="4" s="1"/>
  <c r="F2823" i="1"/>
  <c r="F2823" i="4" s="1"/>
  <c r="D2824" i="1"/>
  <c r="D2824" i="4" s="1"/>
  <c r="E2824" i="1"/>
  <c r="E2824" i="4" s="1"/>
  <c r="F2824" i="1"/>
  <c r="F2824" i="4" s="1"/>
  <c r="D2825" i="1"/>
  <c r="D2825" i="4" s="1"/>
  <c r="E2825" i="1"/>
  <c r="E2825" i="4" s="1"/>
  <c r="F2825" i="1"/>
  <c r="F2825" i="4" s="1"/>
  <c r="D2826" i="1"/>
  <c r="D2826" i="4" s="1"/>
  <c r="E2826" i="1"/>
  <c r="E2826" i="4" s="1"/>
  <c r="F2826" i="1"/>
  <c r="F2826" i="4" s="1"/>
  <c r="D2827" i="1"/>
  <c r="D2827" i="4" s="1"/>
  <c r="E2827" i="1"/>
  <c r="E2827" i="4" s="1"/>
  <c r="F2827" i="1"/>
  <c r="F2827" i="4" s="1"/>
  <c r="D2828" i="1"/>
  <c r="D2828" i="4" s="1"/>
  <c r="E2828" i="1"/>
  <c r="E2828" i="4" s="1"/>
  <c r="F2828" i="1"/>
  <c r="F2828" i="4" s="1"/>
  <c r="D2829" i="1"/>
  <c r="D2829" i="4" s="1"/>
  <c r="E2829" i="1"/>
  <c r="E2829" i="4" s="1"/>
  <c r="F2829" i="1"/>
  <c r="F2829" i="4" s="1"/>
  <c r="D2830" i="1"/>
  <c r="D2830" i="4" s="1"/>
  <c r="E2830" i="1"/>
  <c r="E2830" i="4" s="1"/>
  <c r="F2830" i="1"/>
  <c r="F2830" i="4" s="1"/>
  <c r="D2831" i="1"/>
  <c r="D2831" i="4" s="1"/>
  <c r="E2831" i="1"/>
  <c r="E2831" i="4" s="1"/>
  <c r="F2831" i="1"/>
  <c r="F2831" i="4" s="1"/>
  <c r="D2832" i="1"/>
  <c r="D2832" i="4" s="1"/>
  <c r="E2832" i="1"/>
  <c r="E2832" i="4" s="1"/>
  <c r="F2832" i="1"/>
  <c r="F2832" i="4" s="1"/>
  <c r="D2833" i="1"/>
  <c r="D2833" i="4" s="1"/>
  <c r="E2833" i="1"/>
  <c r="E2833" i="4" s="1"/>
  <c r="F2833" i="1"/>
  <c r="F2833" i="4" s="1"/>
  <c r="D2834" i="1"/>
  <c r="D2834" i="4" s="1"/>
  <c r="E2834" i="1"/>
  <c r="E2834" i="4" s="1"/>
  <c r="F2834" i="1"/>
  <c r="F2834" i="4" s="1"/>
  <c r="D2835" i="1"/>
  <c r="D2835" i="4" s="1"/>
  <c r="E2835" i="1"/>
  <c r="E2835" i="4" s="1"/>
  <c r="F2835" i="1"/>
  <c r="F2835" i="4" s="1"/>
  <c r="D2836" i="1"/>
  <c r="D2836" i="4" s="1"/>
  <c r="E2836" i="1"/>
  <c r="E2836" i="4" s="1"/>
  <c r="F2836" i="1"/>
  <c r="F2836" i="4" s="1"/>
  <c r="D2837" i="1"/>
  <c r="D2837" i="4" s="1"/>
  <c r="E2837" i="1"/>
  <c r="E2837" i="4" s="1"/>
  <c r="F2837" i="1"/>
  <c r="F2837" i="4" s="1"/>
  <c r="D2838" i="1"/>
  <c r="D2838" i="4" s="1"/>
  <c r="E2838" i="1"/>
  <c r="E2838" i="4" s="1"/>
  <c r="F2838" i="1"/>
  <c r="F2838" i="4" s="1"/>
  <c r="D2839" i="1"/>
  <c r="D2839" i="4" s="1"/>
  <c r="E2839" i="1"/>
  <c r="E2839" i="4" s="1"/>
  <c r="F2839" i="1"/>
  <c r="F2839" i="4" s="1"/>
  <c r="D2840" i="1"/>
  <c r="D2840" i="4" s="1"/>
  <c r="E2840" i="1"/>
  <c r="E2840" i="4" s="1"/>
  <c r="F2840" i="1"/>
  <c r="F2840" i="4" s="1"/>
  <c r="D2841" i="1"/>
  <c r="D2841" i="4" s="1"/>
  <c r="E2841" i="1"/>
  <c r="E2841" i="4" s="1"/>
  <c r="F2841" i="1"/>
  <c r="F2841" i="4" s="1"/>
  <c r="D2842" i="1"/>
  <c r="D2842" i="4" s="1"/>
  <c r="E2842" i="1"/>
  <c r="E2842" i="4" s="1"/>
  <c r="F2842" i="1"/>
  <c r="F2842" i="4" s="1"/>
  <c r="D2843" i="1"/>
  <c r="D2843" i="4" s="1"/>
  <c r="E2843" i="1"/>
  <c r="E2843" i="4" s="1"/>
  <c r="F2843" i="1"/>
  <c r="F2843" i="4" s="1"/>
  <c r="D2844" i="1"/>
  <c r="D2844" i="4" s="1"/>
  <c r="E2844" i="1"/>
  <c r="E2844" i="4" s="1"/>
  <c r="F2844" i="1"/>
  <c r="F2844" i="4" s="1"/>
  <c r="D2845" i="1"/>
  <c r="D2845" i="4" s="1"/>
  <c r="E2845" i="1"/>
  <c r="E2845" i="4" s="1"/>
  <c r="F2845" i="1"/>
  <c r="F2845" i="4" s="1"/>
  <c r="D2846" i="1"/>
  <c r="D2846" i="4" s="1"/>
  <c r="E2846" i="1"/>
  <c r="E2846" i="4" s="1"/>
  <c r="F2846" i="1"/>
  <c r="F2846" i="4" s="1"/>
  <c r="D2847" i="1"/>
  <c r="D2847" i="4" s="1"/>
  <c r="E2847" i="1"/>
  <c r="E2847" i="4" s="1"/>
  <c r="F2847" i="1"/>
  <c r="F2847" i="4" s="1"/>
  <c r="D2848" i="1"/>
  <c r="D2848" i="4" s="1"/>
  <c r="E2848" i="1"/>
  <c r="E2848" i="4" s="1"/>
  <c r="F2848" i="1"/>
  <c r="F2848" i="4" s="1"/>
  <c r="D2849" i="1"/>
  <c r="D2849" i="4" s="1"/>
  <c r="E2849" i="1"/>
  <c r="E2849" i="4" s="1"/>
  <c r="F2849" i="1"/>
  <c r="F2849" i="4" s="1"/>
  <c r="D2850" i="1"/>
  <c r="D2850" i="4" s="1"/>
  <c r="E2850" i="1"/>
  <c r="E2850" i="4" s="1"/>
  <c r="F2850" i="1"/>
  <c r="F2850" i="4" s="1"/>
  <c r="D2851" i="1"/>
  <c r="D2851" i="4" s="1"/>
  <c r="E2851" i="1"/>
  <c r="E2851" i="4" s="1"/>
  <c r="F2851" i="1"/>
  <c r="F2851" i="4" s="1"/>
  <c r="D2852" i="1"/>
  <c r="D2852" i="4" s="1"/>
  <c r="E2852" i="1"/>
  <c r="E2852" i="4" s="1"/>
  <c r="F2852" i="1"/>
  <c r="F2852" i="4" s="1"/>
  <c r="D2853" i="1"/>
  <c r="D2853" i="4" s="1"/>
  <c r="E2853" i="1"/>
  <c r="E2853" i="4" s="1"/>
  <c r="F2853" i="1"/>
  <c r="F2853" i="4" s="1"/>
  <c r="D2854" i="1"/>
  <c r="D2854" i="4" s="1"/>
  <c r="E2854" i="1"/>
  <c r="E2854" i="4" s="1"/>
  <c r="F2854" i="1"/>
  <c r="F2854" i="4" s="1"/>
  <c r="D2855" i="1"/>
  <c r="D2855" i="4" s="1"/>
  <c r="E2855" i="1"/>
  <c r="E2855" i="4" s="1"/>
  <c r="F2855" i="1"/>
  <c r="F2855" i="4" s="1"/>
  <c r="D2856" i="1"/>
  <c r="D2856" i="4" s="1"/>
  <c r="E2856" i="1"/>
  <c r="E2856" i="4" s="1"/>
  <c r="F2856" i="1"/>
  <c r="F2856" i="4" s="1"/>
  <c r="D2857" i="1"/>
  <c r="D2857" i="4" s="1"/>
  <c r="E2857" i="1"/>
  <c r="E2857" i="4" s="1"/>
  <c r="F2857" i="1"/>
  <c r="F2857" i="4" s="1"/>
  <c r="D2858" i="1"/>
  <c r="D2858" i="4" s="1"/>
  <c r="E2858" i="1"/>
  <c r="E2858" i="4" s="1"/>
  <c r="F2858" i="1"/>
  <c r="F2858" i="4" s="1"/>
  <c r="D2859" i="1"/>
  <c r="D2859" i="4" s="1"/>
  <c r="E2859" i="1"/>
  <c r="E2859" i="4" s="1"/>
  <c r="F2859" i="1"/>
  <c r="F2859" i="4" s="1"/>
  <c r="D2860" i="1"/>
  <c r="D2860" i="4" s="1"/>
  <c r="E2860" i="1"/>
  <c r="E2860" i="4" s="1"/>
  <c r="F2860" i="1"/>
  <c r="F2860" i="4" s="1"/>
  <c r="D2861" i="1"/>
  <c r="D2861" i="4" s="1"/>
  <c r="E2861" i="1"/>
  <c r="E2861" i="4" s="1"/>
  <c r="F2861" i="1"/>
  <c r="F2861" i="4" s="1"/>
  <c r="D2862" i="1"/>
  <c r="D2862" i="4" s="1"/>
  <c r="E2862" i="1"/>
  <c r="E2862" i="4" s="1"/>
  <c r="F2862" i="1"/>
  <c r="F2862" i="4" s="1"/>
  <c r="D2863" i="1"/>
  <c r="D2863" i="4" s="1"/>
  <c r="E2863" i="1"/>
  <c r="E2863" i="4" s="1"/>
  <c r="F2863" i="1"/>
  <c r="F2863" i="4" s="1"/>
  <c r="D2864" i="1"/>
  <c r="D2864" i="4" s="1"/>
  <c r="E2864" i="1"/>
  <c r="E2864" i="4" s="1"/>
  <c r="F2864" i="1"/>
  <c r="F2864" i="4" s="1"/>
  <c r="D2865" i="1"/>
  <c r="D2865" i="4" s="1"/>
  <c r="E2865" i="1"/>
  <c r="E2865" i="4" s="1"/>
  <c r="F2865" i="1"/>
  <c r="F2865" i="4" s="1"/>
  <c r="D2866" i="1"/>
  <c r="D2866" i="4" s="1"/>
  <c r="E2866" i="1"/>
  <c r="E2866" i="4" s="1"/>
  <c r="F2866" i="1"/>
  <c r="F2866" i="4" s="1"/>
  <c r="D2867" i="1"/>
  <c r="D2867" i="4" s="1"/>
  <c r="E2867" i="1"/>
  <c r="E2867" i="4" s="1"/>
  <c r="F2867" i="1"/>
  <c r="F2867" i="4" s="1"/>
  <c r="D2868" i="1"/>
  <c r="D2868" i="4" s="1"/>
  <c r="E2868" i="1"/>
  <c r="E2868" i="4" s="1"/>
  <c r="F2868" i="1"/>
  <c r="F2868" i="4" s="1"/>
  <c r="D2869" i="1"/>
  <c r="D2869" i="4" s="1"/>
  <c r="E2869" i="1"/>
  <c r="E2869" i="4" s="1"/>
  <c r="F2869" i="1"/>
  <c r="F2869" i="4" s="1"/>
  <c r="D2870" i="1"/>
  <c r="D2870" i="4" s="1"/>
  <c r="E2870" i="1"/>
  <c r="E2870" i="4" s="1"/>
  <c r="F2870" i="1"/>
  <c r="F2870" i="4" s="1"/>
  <c r="D2871" i="1"/>
  <c r="D2871" i="4" s="1"/>
  <c r="E2871" i="1"/>
  <c r="E2871" i="4" s="1"/>
  <c r="F2871" i="1"/>
  <c r="F2871" i="4" s="1"/>
  <c r="D2872" i="1"/>
  <c r="D2872" i="4" s="1"/>
  <c r="E2872" i="1"/>
  <c r="E2872" i="4" s="1"/>
  <c r="F2872" i="1"/>
  <c r="F2872" i="4" s="1"/>
  <c r="D2873" i="1"/>
  <c r="D2873" i="4" s="1"/>
  <c r="E2873" i="1"/>
  <c r="E2873" i="4" s="1"/>
  <c r="F2873" i="1"/>
  <c r="F2873" i="4" s="1"/>
  <c r="D2874" i="1"/>
  <c r="D2874" i="4" s="1"/>
  <c r="E2874" i="1"/>
  <c r="E2874" i="4" s="1"/>
  <c r="F2874" i="1"/>
  <c r="F2874" i="4" s="1"/>
  <c r="D2875" i="1"/>
  <c r="D2875" i="4" s="1"/>
  <c r="E2875" i="1"/>
  <c r="E2875" i="4" s="1"/>
  <c r="F2875" i="1"/>
  <c r="F2875" i="4" s="1"/>
  <c r="D2876" i="1"/>
  <c r="D2876" i="4" s="1"/>
  <c r="E2876" i="1"/>
  <c r="E2876" i="4" s="1"/>
  <c r="F2876" i="1"/>
  <c r="F2876" i="4" s="1"/>
  <c r="D2877" i="1"/>
  <c r="D2877" i="4" s="1"/>
  <c r="E2877" i="1"/>
  <c r="E2877" i="4" s="1"/>
  <c r="F2877" i="1"/>
  <c r="F2877" i="4" s="1"/>
  <c r="D2878" i="1"/>
  <c r="D2878" i="4" s="1"/>
  <c r="E2878" i="1"/>
  <c r="E2878" i="4" s="1"/>
  <c r="F2878" i="1"/>
  <c r="F2878" i="4" s="1"/>
  <c r="D2879" i="1"/>
  <c r="D2879" i="4" s="1"/>
  <c r="E2879" i="1"/>
  <c r="E2879" i="4" s="1"/>
  <c r="F2879" i="1"/>
  <c r="F2879" i="4" s="1"/>
  <c r="D2880" i="1"/>
  <c r="D2880" i="4" s="1"/>
  <c r="E2880" i="1"/>
  <c r="E2880" i="4" s="1"/>
  <c r="F2880" i="1"/>
  <c r="F2880" i="4" s="1"/>
  <c r="D2881" i="1"/>
  <c r="D2881" i="4" s="1"/>
  <c r="E2881" i="1"/>
  <c r="E2881" i="4" s="1"/>
  <c r="F2881" i="1"/>
  <c r="F2881" i="4" s="1"/>
  <c r="D2882" i="1"/>
  <c r="D2882" i="4" s="1"/>
  <c r="E2882" i="1"/>
  <c r="E2882" i="4" s="1"/>
  <c r="F2882" i="1"/>
  <c r="F2882" i="4" s="1"/>
  <c r="D2883" i="1"/>
  <c r="D2883" i="4" s="1"/>
  <c r="E2883" i="1"/>
  <c r="E2883" i="4" s="1"/>
  <c r="F2883" i="1"/>
  <c r="F2883" i="4" s="1"/>
  <c r="D2884" i="1"/>
  <c r="D2884" i="4" s="1"/>
  <c r="E2884" i="1"/>
  <c r="E2884" i="4" s="1"/>
  <c r="F2884" i="1"/>
  <c r="F2884" i="4" s="1"/>
  <c r="D2885" i="1"/>
  <c r="D2885" i="4" s="1"/>
  <c r="E2885" i="1"/>
  <c r="E2885" i="4" s="1"/>
  <c r="F2885" i="1"/>
  <c r="F2885" i="4" s="1"/>
  <c r="D2886" i="1"/>
  <c r="D2886" i="4" s="1"/>
  <c r="E2886" i="1"/>
  <c r="E2886" i="4" s="1"/>
  <c r="F2886" i="1"/>
  <c r="F2886" i="4" s="1"/>
  <c r="D2887" i="1"/>
  <c r="D2887" i="4" s="1"/>
  <c r="E2887" i="1"/>
  <c r="E2887" i="4" s="1"/>
  <c r="F2887" i="1"/>
  <c r="F2887" i="4" s="1"/>
  <c r="D2888" i="1"/>
  <c r="D2888" i="4" s="1"/>
  <c r="E2888" i="1"/>
  <c r="E2888" i="4" s="1"/>
  <c r="F2888" i="1"/>
  <c r="F2888" i="4" s="1"/>
  <c r="D2889" i="1"/>
  <c r="D2889" i="4" s="1"/>
  <c r="E2889" i="1"/>
  <c r="E2889" i="4" s="1"/>
  <c r="F2889" i="1"/>
  <c r="F2889" i="4" s="1"/>
  <c r="D2890" i="1"/>
  <c r="D2890" i="4" s="1"/>
  <c r="E2890" i="1"/>
  <c r="E2890" i="4" s="1"/>
  <c r="F2890" i="1"/>
  <c r="F2890" i="4" s="1"/>
  <c r="D2891" i="1"/>
  <c r="D2891" i="4" s="1"/>
  <c r="E2891" i="1"/>
  <c r="E2891" i="4" s="1"/>
  <c r="F2891" i="1"/>
  <c r="F2891" i="4" s="1"/>
  <c r="D2892" i="1"/>
  <c r="D2892" i="4" s="1"/>
  <c r="E2892" i="1"/>
  <c r="E2892" i="4" s="1"/>
  <c r="F2892" i="1"/>
  <c r="F2892" i="4" s="1"/>
  <c r="D2893" i="1"/>
  <c r="D2893" i="4" s="1"/>
  <c r="E2893" i="1"/>
  <c r="E2893" i="4" s="1"/>
  <c r="F2893" i="1"/>
  <c r="F2893" i="4" s="1"/>
  <c r="D2894" i="1"/>
  <c r="D2894" i="4" s="1"/>
  <c r="E2894" i="1"/>
  <c r="E2894" i="4" s="1"/>
  <c r="F2894" i="1"/>
  <c r="F2894" i="4" s="1"/>
  <c r="D2895" i="1"/>
  <c r="D2895" i="4" s="1"/>
  <c r="E2895" i="1"/>
  <c r="E2895" i="4" s="1"/>
  <c r="F2895" i="1"/>
  <c r="F2895" i="4" s="1"/>
  <c r="D2896" i="1"/>
  <c r="D2896" i="4" s="1"/>
  <c r="E2896" i="1"/>
  <c r="E2896" i="4" s="1"/>
  <c r="F2896" i="1"/>
  <c r="F2896" i="4" s="1"/>
  <c r="D2897" i="1"/>
  <c r="D2897" i="4" s="1"/>
  <c r="E2897" i="1"/>
  <c r="E2897" i="4" s="1"/>
  <c r="F2897" i="1"/>
  <c r="F2897" i="4" s="1"/>
  <c r="D2898" i="1"/>
  <c r="D2898" i="4" s="1"/>
  <c r="E2898" i="1"/>
  <c r="E2898" i="4" s="1"/>
  <c r="F2898" i="1"/>
  <c r="F2898" i="4" s="1"/>
  <c r="D2899" i="1"/>
  <c r="D2899" i="4" s="1"/>
  <c r="E2899" i="1"/>
  <c r="E2899" i="4" s="1"/>
  <c r="F2899" i="1"/>
  <c r="F2899" i="4" s="1"/>
  <c r="D2900" i="1"/>
  <c r="D2900" i="4" s="1"/>
  <c r="E2900" i="1"/>
  <c r="E2900" i="4" s="1"/>
  <c r="F2900" i="1"/>
  <c r="F2900" i="4" s="1"/>
  <c r="D2901" i="1"/>
  <c r="D2901" i="4" s="1"/>
  <c r="E2901" i="1"/>
  <c r="E2901" i="4" s="1"/>
  <c r="F2901" i="1"/>
  <c r="F2901" i="4" s="1"/>
  <c r="D2902" i="1"/>
  <c r="D2902" i="4" s="1"/>
  <c r="E2902" i="1"/>
  <c r="E2902" i="4" s="1"/>
  <c r="F2902" i="1"/>
  <c r="F2902" i="4" s="1"/>
  <c r="D2903" i="1"/>
  <c r="D2903" i="4" s="1"/>
  <c r="E2903" i="1"/>
  <c r="E2903" i="4" s="1"/>
  <c r="F2903" i="1"/>
  <c r="F2903" i="4" s="1"/>
  <c r="D2904" i="1"/>
  <c r="D2904" i="4" s="1"/>
  <c r="E2904" i="1"/>
  <c r="E2904" i="4" s="1"/>
  <c r="F2904" i="1"/>
  <c r="F2904" i="4" s="1"/>
  <c r="D2905" i="1"/>
  <c r="D2905" i="4" s="1"/>
  <c r="E2905" i="1"/>
  <c r="E2905" i="4" s="1"/>
  <c r="F2905" i="1"/>
  <c r="F2905" i="4" s="1"/>
  <c r="D2906" i="1"/>
  <c r="D2906" i="4" s="1"/>
  <c r="E2906" i="1"/>
  <c r="E2906" i="4" s="1"/>
  <c r="F2906" i="1"/>
  <c r="F2906" i="4" s="1"/>
  <c r="D2907" i="1"/>
  <c r="D2907" i="4" s="1"/>
  <c r="E2907" i="1"/>
  <c r="E2907" i="4" s="1"/>
  <c r="F2907" i="1"/>
  <c r="F2907" i="4" s="1"/>
  <c r="D2908" i="1"/>
  <c r="D2908" i="4" s="1"/>
  <c r="E2908" i="1"/>
  <c r="E2908" i="4" s="1"/>
  <c r="F2908" i="1"/>
  <c r="F2908" i="4" s="1"/>
  <c r="D2909" i="1"/>
  <c r="D2909" i="4" s="1"/>
  <c r="E2909" i="1"/>
  <c r="E2909" i="4" s="1"/>
  <c r="F2909" i="1"/>
  <c r="F2909" i="4" s="1"/>
  <c r="D2910" i="1"/>
  <c r="D2910" i="4" s="1"/>
  <c r="E2910" i="1"/>
  <c r="E2910" i="4" s="1"/>
  <c r="F2910" i="1"/>
  <c r="F2910" i="4" s="1"/>
  <c r="D2911" i="1"/>
  <c r="D2911" i="4" s="1"/>
  <c r="E2911" i="1"/>
  <c r="E2911" i="4" s="1"/>
  <c r="F2911" i="1"/>
  <c r="F2911" i="4" s="1"/>
  <c r="D2912" i="1"/>
  <c r="D2912" i="4" s="1"/>
  <c r="E2912" i="1"/>
  <c r="E2912" i="4" s="1"/>
  <c r="F2912" i="1"/>
  <c r="F2912" i="4" s="1"/>
  <c r="D2913" i="1"/>
  <c r="D2913" i="4" s="1"/>
  <c r="E2913" i="1"/>
  <c r="E2913" i="4" s="1"/>
  <c r="F2913" i="1"/>
  <c r="F2913" i="4" s="1"/>
  <c r="D2914" i="1"/>
  <c r="D2914" i="4" s="1"/>
  <c r="E2914" i="1"/>
  <c r="E2914" i="4" s="1"/>
  <c r="F2914" i="1"/>
  <c r="F2914" i="4" s="1"/>
  <c r="D2915" i="1"/>
  <c r="D2915" i="4" s="1"/>
  <c r="E2915" i="1"/>
  <c r="E2915" i="4" s="1"/>
  <c r="F2915" i="1"/>
  <c r="F2915" i="4" s="1"/>
  <c r="D2916" i="1"/>
  <c r="D2916" i="4" s="1"/>
  <c r="E2916" i="1"/>
  <c r="E2916" i="4" s="1"/>
  <c r="F2916" i="1"/>
  <c r="F2916" i="4" s="1"/>
  <c r="D2917" i="1"/>
  <c r="D2917" i="4" s="1"/>
  <c r="E2917" i="1"/>
  <c r="E2917" i="4" s="1"/>
  <c r="F2917" i="1"/>
  <c r="F2917" i="4" s="1"/>
  <c r="D2918" i="1"/>
  <c r="D2918" i="4" s="1"/>
  <c r="E2918" i="1"/>
  <c r="E2918" i="4" s="1"/>
  <c r="F2918" i="1"/>
  <c r="F2918" i="4" s="1"/>
  <c r="D2919" i="1"/>
  <c r="D2919" i="4" s="1"/>
  <c r="E2919" i="1"/>
  <c r="E2919" i="4" s="1"/>
  <c r="F2919" i="1"/>
  <c r="F2919" i="4" s="1"/>
  <c r="D2920" i="1"/>
  <c r="D2920" i="4" s="1"/>
  <c r="E2920" i="1"/>
  <c r="E2920" i="4" s="1"/>
  <c r="F2920" i="1"/>
  <c r="F2920" i="4" s="1"/>
  <c r="D2921" i="1"/>
  <c r="D2921" i="4" s="1"/>
  <c r="E2921" i="1"/>
  <c r="E2921" i="4" s="1"/>
  <c r="F2921" i="1"/>
  <c r="F2921" i="4" s="1"/>
  <c r="D2922" i="1"/>
  <c r="D2922" i="4" s="1"/>
  <c r="E2922" i="1"/>
  <c r="E2922" i="4" s="1"/>
  <c r="F2922" i="1"/>
  <c r="F2922" i="4" s="1"/>
  <c r="D2923" i="1"/>
  <c r="D2923" i="4" s="1"/>
  <c r="E2923" i="1"/>
  <c r="E2923" i="4" s="1"/>
  <c r="F2923" i="1"/>
  <c r="F2923" i="4" s="1"/>
  <c r="D2924" i="1"/>
  <c r="D2924" i="4" s="1"/>
  <c r="E2924" i="1"/>
  <c r="E2924" i="4" s="1"/>
  <c r="F2924" i="1"/>
  <c r="F2924" i="4" s="1"/>
  <c r="D2925" i="1"/>
  <c r="D2925" i="4" s="1"/>
  <c r="E2925" i="1"/>
  <c r="E2925" i="4" s="1"/>
  <c r="F2925" i="1"/>
  <c r="F2925" i="4" s="1"/>
  <c r="D2926" i="1"/>
  <c r="D2926" i="4" s="1"/>
  <c r="E2926" i="1"/>
  <c r="E2926" i="4" s="1"/>
  <c r="F2926" i="1"/>
  <c r="F2926" i="4" s="1"/>
  <c r="D2927" i="1"/>
  <c r="D2927" i="4" s="1"/>
  <c r="E2927" i="1"/>
  <c r="E2927" i="4" s="1"/>
  <c r="F2927" i="1"/>
  <c r="F2927" i="4" s="1"/>
  <c r="D2928" i="1"/>
  <c r="D2928" i="4" s="1"/>
  <c r="E2928" i="1"/>
  <c r="E2928" i="4" s="1"/>
  <c r="F2928" i="1"/>
  <c r="F2928" i="4" s="1"/>
  <c r="D2929" i="1"/>
  <c r="D2929" i="4" s="1"/>
  <c r="E2929" i="1"/>
  <c r="E2929" i="4" s="1"/>
  <c r="F2929" i="1"/>
  <c r="F2929" i="4" s="1"/>
  <c r="D2930" i="1"/>
  <c r="D2930" i="4" s="1"/>
  <c r="E2930" i="1"/>
  <c r="E2930" i="4" s="1"/>
  <c r="F2930" i="1"/>
  <c r="F2930" i="4" s="1"/>
  <c r="D2931" i="1"/>
  <c r="D2931" i="4" s="1"/>
  <c r="E2931" i="1"/>
  <c r="E2931" i="4" s="1"/>
  <c r="F2931" i="1"/>
  <c r="F2931" i="4" s="1"/>
  <c r="D2932" i="1"/>
  <c r="D2932" i="4" s="1"/>
  <c r="E2932" i="1"/>
  <c r="E2932" i="4" s="1"/>
  <c r="F2932" i="1"/>
  <c r="F2932" i="4" s="1"/>
  <c r="D2933" i="1"/>
  <c r="D2933" i="4" s="1"/>
  <c r="E2933" i="1"/>
  <c r="E2933" i="4" s="1"/>
  <c r="F2933" i="1"/>
  <c r="F2933" i="4" s="1"/>
  <c r="D2934" i="1"/>
  <c r="D2934" i="4" s="1"/>
  <c r="E2934" i="1"/>
  <c r="E2934" i="4" s="1"/>
  <c r="F2934" i="1"/>
  <c r="F2934" i="4" s="1"/>
  <c r="D2935" i="1"/>
  <c r="D2935" i="4" s="1"/>
  <c r="E2935" i="1"/>
  <c r="E2935" i="4" s="1"/>
  <c r="F2935" i="1"/>
  <c r="F2935" i="4" s="1"/>
  <c r="D2936" i="1"/>
  <c r="D2936" i="4" s="1"/>
  <c r="E2936" i="1"/>
  <c r="E2936" i="4" s="1"/>
  <c r="F2936" i="1"/>
  <c r="F2936" i="4" s="1"/>
  <c r="D2937" i="1"/>
  <c r="D2937" i="4" s="1"/>
  <c r="E2937" i="1"/>
  <c r="E2937" i="4" s="1"/>
  <c r="F2937" i="1"/>
  <c r="F2937" i="4" s="1"/>
  <c r="D2938" i="1"/>
  <c r="D2938" i="4" s="1"/>
  <c r="E2938" i="1"/>
  <c r="E2938" i="4" s="1"/>
  <c r="F2938" i="1"/>
  <c r="F2938" i="4" s="1"/>
  <c r="D2939" i="1"/>
  <c r="D2939" i="4" s="1"/>
  <c r="E2939" i="1"/>
  <c r="E2939" i="4" s="1"/>
  <c r="F2939" i="1"/>
  <c r="F2939" i="4" s="1"/>
  <c r="D2940" i="1"/>
  <c r="D2940" i="4" s="1"/>
  <c r="E2940" i="1"/>
  <c r="E2940" i="4" s="1"/>
  <c r="F2940" i="1"/>
  <c r="F2940" i="4" s="1"/>
  <c r="D2941" i="1"/>
  <c r="D2941" i="4" s="1"/>
  <c r="E2941" i="1"/>
  <c r="E2941" i="4" s="1"/>
  <c r="F2941" i="1"/>
  <c r="F2941" i="4" s="1"/>
  <c r="D2942" i="1"/>
  <c r="D2942" i="4" s="1"/>
  <c r="E2942" i="1"/>
  <c r="E2942" i="4" s="1"/>
  <c r="F2942" i="1"/>
  <c r="F2942" i="4" s="1"/>
  <c r="D2943" i="1"/>
  <c r="D2943" i="4" s="1"/>
  <c r="E2943" i="1"/>
  <c r="E2943" i="4" s="1"/>
  <c r="F2943" i="1"/>
  <c r="F2943" i="4" s="1"/>
  <c r="D2944" i="1"/>
  <c r="D2944" i="4" s="1"/>
  <c r="E2944" i="1"/>
  <c r="E2944" i="4" s="1"/>
  <c r="F2944" i="1"/>
  <c r="F2944" i="4" s="1"/>
  <c r="D2945" i="1"/>
  <c r="D2945" i="4" s="1"/>
  <c r="E2945" i="1"/>
  <c r="E2945" i="4" s="1"/>
  <c r="F2945" i="1"/>
  <c r="F2945" i="4" s="1"/>
  <c r="D2946" i="1"/>
  <c r="D2946" i="4" s="1"/>
  <c r="E2946" i="1"/>
  <c r="E2946" i="4" s="1"/>
  <c r="F2946" i="1"/>
  <c r="F2946" i="4" s="1"/>
  <c r="D2947" i="1"/>
  <c r="D2947" i="4" s="1"/>
  <c r="E2947" i="1"/>
  <c r="E2947" i="4" s="1"/>
  <c r="F2947" i="1"/>
  <c r="F2947" i="4" s="1"/>
  <c r="D2948" i="1"/>
  <c r="D2948" i="4" s="1"/>
  <c r="E2948" i="1"/>
  <c r="E2948" i="4" s="1"/>
  <c r="F2948" i="1"/>
  <c r="F2948" i="4" s="1"/>
  <c r="D2949" i="1"/>
  <c r="D2949" i="4" s="1"/>
  <c r="E2949" i="1"/>
  <c r="E2949" i="4" s="1"/>
  <c r="F2949" i="1"/>
  <c r="F2949" i="4" s="1"/>
  <c r="D2950" i="1"/>
  <c r="D2950" i="4" s="1"/>
  <c r="E2950" i="1"/>
  <c r="E2950" i="4" s="1"/>
  <c r="F2950" i="1"/>
  <c r="F2950" i="4" s="1"/>
  <c r="D2951" i="1"/>
  <c r="D2951" i="4" s="1"/>
  <c r="E2951" i="1"/>
  <c r="E2951" i="4" s="1"/>
  <c r="F2951" i="1"/>
  <c r="F2951" i="4" s="1"/>
  <c r="D2952" i="1"/>
  <c r="D2952" i="4" s="1"/>
  <c r="E2952" i="1"/>
  <c r="E2952" i="4" s="1"/>
  <c r="F2952" i="1"/>
  <c r="F2952" i="4" s="1"/>
  <c r="D2953" i="1"/>
  <c r="D2953" i="4" s="1"/>
  <c r="E2953" i="1"/>
  <c r="E2953" i="4" s="1"/>
  <c r="F2953" i="1"/>
  <c r="F2953" i="4" s="1"/>
  <c r="D2954" i="1"/>
  <c r="D2954" i="4" s="1"/>
  <c r="E2954" i="1"/>
  <c r="E2954" i="4" s="1"/>
  <c r="F2954" i="1"/>
  <c r="F2954" i="4" s="1"/>
  <c r="D2955" i="1"/>
  <c r="D2955" i="4" s="1"/>
  <c r="E2955" i="1"/>
  <c r="E2955" i="4" s="1"/>
  <c r="F2955" i="1"/>
  <c r="F2955" i="4" s="1"/>
  <c r="D2956" i="1"/>
  <c r="D2956" i="4" s="1"/>
  <c r="E2956" i="1"/>
  <c r="E2956" i="4" s="1"/>
  <c r="F2956" i="1"/>
  <c r="F2956" i="4" s="1"/>
  <c r="D2957" i="1"/>
  <c r="D2957" i="4" s="1"/>
  <c r="E2957" i="1"/>
  <c r="E2957" i="4" s="1"/>
  <c r="F2957" i="1"/>
  <c r="F2957" i="4" s="1"/>
  <c r="D2958" i="1"/>
  <c r="D2958" i="4" s="1"/>
  <c r="E2958" i="1"/>
  <c r="E2958" i="4" s="1"/>
  <c r="F2958" i="1"/>
  <c r="F2958" i="4" s="1"/>
  <c r="D2959" i="1"/>
  <c r="D2959" i="4" s="1"/>
  <c r="E2959" i="1"/>
  <c r="E2959" i="4" s="1"/>
  <c r="F2959" i="1"/>
  <c r="F2959" i="4" s="1"/>
  <c r="D2960" i="1"/>
  <c r="D2960" i="4" s="1"/>
  <c r="E2960" i="1"/>
  <c r="E2960" i="4" s="1"/>
  <c r="F2960" i="1"/>
  <c r="F2960" i="4" s="1"/>
  <c r="D2961" i="1"/>
  <c r="D2961" i="4" s="1"/>
  <c r="E2961" i="1"/>
  <c r="E2961" i="4" s="1"/>
  <c r="F2961" i="1"/>
  <c r="F2961" i="4" s="1"/>
  <c r="D2962" i="1"/>
  <c r="D2962" i="4" s="1"/>
  <c r="E2962" i="1"/>
  <c r="E2962" i="4" s="1"/>
  <c r="F2962" i="1"/>
  <c r="F2962" i="4" s="1"/>
  <c r="D2963" i="1"/>
  <c r="D2963" i="4" s="1"/>
  <c r="E2963" i="1"/>
  <c r="E2963" i="4" s="1"/>
  <c r="F2963" i="1"/>
  <c r="F2963" i="4" s="1"/>
  <c r="D2964" i="1"/>
  <c r="D2964" i="4" s="1"/>
  <c r="E2964" i="1"/>
  <c r="E2964" i="4" s="1"/>
  <c r="F2964" i="1"/>
  <c r="F2964" i="4" s="1"/>
  <c r="D2965" i="1"/>
  <c r="D2965" i="4" s="1"/>
  <c r="E2965" i="1"/>
  <c r="E2965" i="4" s="1"/>
  <c r="F2965" i="1"/>
  <c r="F2965" i="4" s="1"/>
  <c r="D2966" i="1"/>
  <c r="D2966" i="4" s="1"/>
  <c r="E2966" i="1"/>
  <c r="E2966" i="4" s="1"/>
  <c r="F2966" i="1"/>
  <c r="F2966" i="4" s="1"/>
  <c r="D2967" i="1"/>
  <c r="D2967" i="4" s="1"/>
  <c r="E2967" i="1"/>
  <c r="E2967" i="4" s="1"/>
  <c r="F2967" i="1"/>
  <c r="F2967" i="4" s="1"/>
  <c r="D2968" i="1"/>
  <c r="D2968" i="4" s="1"/>
  <c r="E2968" i="1"/>
  <c r="E2968" i="4" s="1"/>
  <c r="F2968" i="1"/>
  <c r="F2968" i="4" s="1"/>
  <c r="D2969" i="1"/>
  <c r="D2969" i="4" s="1"/>
  <c r="E2969" i="1"/>
  <c r="E2969" i="4" s="1"/>
  <c r="F2969" i="1"/>
  <c r="F2969" i="4" s="1"/>
  <c r="D2970" i="1"/>
  <c r="D2970" i="4" s="1"/>
  <c r="E2970" i="1"/>
  <c r="E2970" i="4" s="1"/>
  <c r="F2970" i="1"/>
  <c r="F2970" i="4" s="1"/>
  <c r="D2971" i="1"/>
  <c r="D2971" i="4" s="1"/>
  <c r="E2971" i="1"/>
  <c r="E2971" i="4" s="1"/>
  <c r="F2971" i="1"/>
  <c r="F2971" i="4" s="1"/>
  <c r="D2972" i="1"/>
  <c r="D2972" i="4" s="1"/>
  <c r="E2972" i="1"/>
  <c r="E2972" i="4" s="1"/>
  <c r="F2972" i="1"/>
  <c r="F2972" i="4" s="1"/>
  <c r="D2973" i="1"/>
  <c r="D2973" i="4" s="1"/>
  <c r="E2973" i="1"/>
  <c r="E2973" i="4" s="1"/>
  <c r="F2973" i="1"/>
  <c r="F2973" i="4" s="1"/>
  <c r="D2974" i="1"/>
  <c r="D2974" i="4" s="1"/>
  <c r="E2974" i="1"/>
  <c r="E2974" i="4" s="1"/>
  <c r="F2974" i="1"/>
  <c r="F2974" i="4" s="1"/>
  <c r="D2975" i="1"/>
  <c r="D2975" i="4" s="1"/>
  <c r="E2975" i="1"/>
  <c r="E2975" i="4" s="1"/>
  <c r="F2975" i="1"/>
  <c r="F2975" i="4" s="1"/>
  <c r="D2976" i="1"/>
  <c r="D2976" i="4" s="1"/>
  <c r="E2976" i="1"/>
  <c r="E2976" i="4" s="1"/>
  <c r="F2976" i="1"/>
  <c r="F2976" i="4" s="1"/>
  <c r="D2977" i="1"/>
  <c r="D2977" i="4" s="1"/>
  <c r="E2977" i="1"/>
  <c r="E2977" i="4" s="1"/>
  <c r="F2977" i="1"/>
  <c r="F2977" i="4" s="1"/>
  <c r="D2978" i="1"/>
  <c r="D2978" i="4" s="1"/>
  <c r="E2978" i="1"/>
  <c r="E2978" i="4" s="1"/>
  <c r="F2978" i="1"/>
  <c r="F2978" i="4" s="1"/>
  <c r="D2979" i="1"/>
  <c r="D2979" i="4" s="1"/>
  <c r="E2979" i="1"/>
  <c r="E2979" i="4" s="1"/>
  <c r="F2979" i="1"/>
  <c r="F2979" i="4" s="1"/>
  <c r="D2980" i="1"/>
  <c r="D2980" i="4" s="1"/>
  <c r="E2980" i="1"/>
  <c r="E2980" i="4" s="1"/>
  <c r="F2980" i="1"/>
  <c r="F2980" i="4" s="1"/>
  <c r="D2981" i="1"/>
  <c r="D2981" i="4" s="1"/>
  <c r="E2981" i="1"/>
  <c r="E2981" i="4" s="1"/>
  <c r="F2981" i="1"/>
  <c r="F2981" i="4" s="1"/>
  <c r="D2982" i="1"/>
  <c r="D2982" i="4" s="1"/>
  <c r="E2982" i="1"/>
  <c r="E2982" i="4" s="1"/>
  <c r="F2982" i="1"/>
  <c r="F2982" i="4" s="1"/>
  <c r="D2983" i="1"/>
  <c r="D2983" i="4" s="1"/>
  <c r="E2983" i="1"/>
  <c r="E2983" i="4" s="1"/>
  <c r="F2983" i="1"/>
  <c r="F2983" i="4" s="1"/>
  <c r="D2984" i="1"/>
  <c r="D2984" i="4" s="1"/>
  <c r="E2984" i="1"/>
  <c r="E2984" i="4" s="1"/>
  <c r="F2984" i="1"/>
  <c r="F2984" i="4" s="1"/>
  <c r="D2985" i="1"/>
  <c r="D2985" i="4" s="1"/>
  <c r="E2985" i="1"/>
  <c r="E2985" i="4" s="1"/>
  <c r="F2985" i="1"/>
  <c r="F2985" i="4" s="1"/>
  <c r="D2986" i="1"/>
  <c r="D2986" i="4" s="1"/>
  <c r="E2986" i="1"/>
  <c r="E2986" i="4" s="1"/>
  <c r="F2986" i="1"/>
  <c r="F2986" i="4" s="1"/>
  <c r="D2987" i="1"/>
  <c r="D2987" i="4" s="1"/>
  <c r="E2987" i="1"/>
  <c r="E2987" i="4" s="1"/>
  <c r="F2987" i="1"/>
  <c r="F2987" i="4" s="1"/>
  <c r="D2988" i="1"/>
  <c r="D2988" i="4" s="1"/>
  <c r="E2988" i="1"/>
  <c r="E2988" i="4" s="1"/>
  <c r="F2988" i="1"/>
  <c r="F2988" i="4" s="1"/>
  <c r="D2989" i="1"/>
  <c r="D2989" i="4" s="1"/>
  <c r="E2989" i="1"/>
  <c r="E2989" i="4" s="1"/>
  <c r="F2989" i="1"/>
  <c r="F2989" i="4" s="1"/>
  <c r="D2990" i="1"/>
  <c r="D2990" i="4" s="1"/>
  <c r="E2990" i="1"/>
  <c r="E2990" i="4" s="1"/>
  <c r="F2990" i="1"/>
  <c r="F2990" i="4" s="1"/>
  <c r="D2991" i="1"/>
  <c r="D2991" i="4" s="1"/>
  <c r="E2991" i="1"/>
  <c r="E2991" i="4" s="1"/>
  <c r="F2991" i="1"/>
  <c r="F2991" i="4" s="1"/>
  <c r="D2992" i="1"/>
  <c r="D2992" i="4" s="1"/>
  <c r="E2992" i="1"/>
  <c r="E2992" i="4" s="1"/>
  <c r="F2992" i="1"/>
  <c r="F2992" i="4" s="1"/>
  <c r="D2993" i="1"/>
  <c r="D2993" i="4" s="1"/>
  <c r="E2993" i="1"/>
  <c r="E2993" i="4" s="1"/>
  <c r="F2993" i="1"/>
  <c r="F2993" i="4" s="1"/>
  <c r="D2994" i="1"/>
  <c r="D2994" i="4" s="1"/>
  <c r="E2994" i="1"/>
  <c r="E2994" i="4" s="1"/>
  <c r="F2994" i="1"/>
  <c r="F2994" i="4" s="1"/>
  <c r="D2995" i="1"/>
  <c r="D2995" i="4" s="1"/>
  <c r="E2995" i="1"/>
  <c r="E2995" i="4" s="1"/>
  <c r="F2995" i="1"/>
  <c r="F2995" i="4" s="1"/>
  <c r="D2996" i="1"/>
  <c r="D2996" i="4" s="1"/>
  <c r="E2996" i="1"/>
  <c r="E2996" i="4" s="1"/>
  <c r="F2996" i="1"/>
  <c r="F2996" i="4" s="1"/>
  <c r="D2997" i="1"/>
  <c r="D2997" i="4" s="1"/>
  <c r="E2997" i="1"/>
  <c r="E2997" i="4" s="1"/>
  <c r="F2997" i="1"/>
  <c r="F2997" i="4" s="1"/>
  <c r="D2998" i="1"/>
  <c r="D2998" i="4" s="1"/>
  <c r="E2998" i="1"/>
  <c r="E2998" i="4" s="1"/>
  <c r="F2998" i="1"/>
  <c r="F2998" i="4" s="1"/>
  <c r="D2999" i="1"/>
  <c r="D2999" i="4" s="1"/>
  <c r="E2999" i="1"/>
  <c r="E2999" i="4" s="1"/>
  <c r="F2999" i="1"/>
  <c r="F2999" i="4" s="1"/>
  <c r="D3000" i="1"/>
  <c r="D3000" i="4" s="1"/>
  <c r="E3000" i="1"/>
  <c r="E3000" i="4" s="1"/>
  <c r="F3000" i="1"/>
  <c r="F3000" i="4" s="1"/>
  <c r="U147" i="4" l="1"/>
  <c r="U1730" i="4" l="1"/>
  <c r="U1658" i="4"/>
  <c r="U1654" i="4"/>
  <c r="U1650" i="4"/>
  <c r="U1642" i="4"/>
  <c r="U1638" i="4"/>
  <c r="U1634" i="4"/>
  <c r="U1630" i="4"/>
  <c r="U1618" i="4"/>
  <c r="U1610" i="4"/>
  <c r="U1590" i="4"/>
  <c r="U1586" i="4"/>
  <c r="U1578" i="4"/>
  <c r="U1574" i="4"/>
  <c r="U1570" i="4"/>
  <c r="U1566" i="4"/>
  <c r="U1558" i="4"/>
  <c r="U1538" i="4"/>
  <c r="U1514" i="4"/>
  <c r="U1502" i="4"/>
  <c r="U1446" i="4"/>
  <c r="U1422" i="4"/>
  <c r="U1362" i="4"/>
  <c r="U1358" i="4"/>
  <c r="U1326" i="4"/>
  <c r="U1306" i="4"/>
  <c r="U1298" i="4"/>
  <c r="U1282" i="4"/>
  <c r="U1250" i="4"/>
  <c r="U1218" i="4"/>
  <c r="U1206" i="4"/>
  <c r="U1198" i="4"/>
  <c r="U1190" i="4"/>
  <c r="U1154" i="4"/>
  <c r="U1134" i="4"/>
  <c r="U1126" i="4"/>
  <c r="U1098" i="4"/>
  <c r="U1094" i="4"/>
  <c r="U1070" i="4"/>
  <c r="U1062" i="4"/>
  <c r="U1034" i="4"/>
  <c r="U1006" i="4"/>
  <c r="U998" i="4"/>
  <c r="U930" i="4"/>
  <c r="U914" i="4"/>
  <c r="U854" i="4"/>
  <c r="U850" i="4"/>
  <c r="U838" i="4"/>
  <c r="U810" i="4"/>
  <c r="U802" i="4"/>
  <c r="U766" i="4"/>
  <c r="U710" i="4"/>
  <c r="U678" i="4"/>
  <c r="U662" i="4"/>
  <c r="U610" i="4"/>
  <c r="U598" i="4"/>
  <c r="U578" i="4"/>
  <c r="U574" i="4"/>
  <c r="U570" i="4"/>
  <c r="U148" i="4"/>
  <c r="U346" i="4" l="1"/>
  <c r="U302" i="4"/>
  <c r="U278" i="4"/>
  <c r="U842" i="4"/>
  <c r="U970" i="4"/>
  <c r="U1522" i="4"/>
  <c r="U1582" i="4"/>
  <c r="U1646" i="4"/>
  <c r="U1022" i="4"/>
  <c r="U1294" i="4"/>
  <c r="U714" i="4"/>
  <c r="U1118" i="4"/>
  <c r="U1290" i="4"/>
  <c r="U1458" i="4"/>
  <c r="U1702" i="4"/>
  <c r="U794" i="4"/>
  <c r="U1490" i="4"/>
  <c r="U702" i="4"/>
  <c r="U770" i="4"/>
  <c r="U1054" i="4"/>
  <c r="U1692" i="4"/>
  <c r="U1424" i="4"/>
  <c r="U1488" i="4"/>
  <c r="U1520" i="4"/>
  <c r="U1584" i="4"/>
  <c r="U1648" i="4"/>
  <c r="U1680" i="4"/>
  <c r="U1696" i="4"/>
  <c r="U1712" i="4"/>
  <c r="U370" i="4"/>
  <c r="U314" i="4"/>
  <c r="U558" i="4"/>
  <c r="U402" i="4"/>
  <c r="U1244" i="4"/>
  <c r="U1652" i="4"/>
  <c r="U1396" i="4"/>
  <c r="U560" i="4"/>
  <c r="U576" i="4"/>
  <c r="U624" i="4"/>
  <c r="U688" i="4"/>
  <c r="U816" i="4"/>
  <c r="U880" i="4"/>
  <c r="U944" i="4"/>
  <c r="U1008" i="4"/>
  <c r="U1072" i="4"/>
  <c r="U1136" i="4"/>
  <c r="U1200" i="4"/>
  <c r="U1264" i="4"/>
  <c r="U1296" i="4"/>
  <c r="U1360" i="4"/>
  <c r="U1662" i="4"/>
  <c r="U270" i="4"/>
  <c r="U1728" i="4"/>
  <c r="U432" i="4"/>
  <c r="U496" i="4"/>
  <c r="U734" i="4"/>
  <c r="U1546" i="4"/>
  <c r="U286" i="4"/>
  <c r="U588" i="4"/>
  <c r="U732" i="4"/>
  <c r="U844" i="4"/>
  <c r="U988" i="4"/>
  <c r="U1100" i="4"/>
  <c r="U1236" i="4"/>
  <c r="U1300" i="4"/>
  <c r="U1444" i="4"/>
  <c r="U1492" i="4"/>
  <c r="U1508" i="4"/>
  <c r="U932" i="4"/>
  <c r="U996" i="4"/>
  <c r="U1140" i="4"/>
  <c r="U1188" i="4"/>
  <c r="U1204" i="4"/>
  <c r="U980" i="4"/>
  <c r="U376" i="4"/>
  <c r="U40" i="4"/>
  <c r="U564" i="4"/>
  <c r="U628" i="4"/>
  <c r="U676" i="4"/>
  <c r="U692" i="4"/>
  <c r="U884" i="4"/>
  <c r="U492" i="4"/>
  <c r="U752" i="4"/>
  <c r="U704" i="4"/>
  <c r="U768" i="4"/>
  <c r="U440" i="4"/>
  <c r="U364" i="4"/>
  <c r="U332" i="4"/>
  <c r="U312" i="4"/>
  <c r="U294" i="4"/>
  <c r="U248" i="4"/>
  <c r="U240" i="4"/>
  <c r="U200" i="4"/>
  <c r="U375" i="4"/>
  <c r="U368" i="4"/>
  <c r="U439" i="4"/>
  <c r="U339" i="4"/>
  <c r="U1051" i="4"/>
  <c r="U424" i="4"/>
  <c r="U291" i="4"/>
  <c r="U191" i="4"/>
  <c r="U1011" i="4"/>
  <c r="U259" i="4"/>
  <c r="U323" i="4"/>
  <c r="U1478" i="4"/>
  <c r="U476" i="4"/>
  <c r="U640" i="4"/>
  <c r="U483" i="4"/>
  <c r="U774" i="4"/>
  <c r="U834" i="4"/>
  <c r="U296" i="4"/>
  <c r="U1542" i="4"/>
  <c r="U503" i="4"/>
  <c r="U443" i="4"/>
  <c r="U523" i="4"/>
  <c r="U192" i="4"/>
  <c r="U1259" i="4"/>
  <c r="U946" i="4"/>
  <c r="U1718" i="4"/>
  <c r="U231" i="4"/>
  <c r="U318" i="4"/>
  <c r="U362" i="4"/>
  <c r="U635" i="4"/>
  <c r="U643" i="4"/>
  <c r="U675" i="4"/>
  <c r="U779" i="4"/>
  <c r="U415" i="4"/>
  <c r="U787" i="4"/>
  <c r="U799" i="4"/>
  <c r="U1171" i="4"/>
  <c r="U1311" i="4"/>
  <c r="U1551" i="4"/>
  <c r="U239" i="4"/>
  <c r="U495" i="4"/>
  <c r="U687" i="4"/>
  <c r="U935" i="4"/>
  <c r="U967" i="4"/>
  <c r="U1031" i="4"/>
  <c r="U1239" i="4"/>
  <c r="U1367" i="4"/>
  <c r="U1383" i="4"/>
  <c r="U1519" i="4"/>
  <c r="U266" i="4"/>
  <c r="U1067" i="4"/>
  <c r="U1467" i="4"/>
  <c r="U1627" i="4"/>
  <c r="U818" i="4"/>
  <c r="U846" i="4"/>
  <c r="U1690" i="4"/>
  <c r="U232" i="4"/>
  <c r="U276" i="4"/>
  <c r="U404" i="4"/>
  <c r="U243" i="4"/>
  <c r="U256" i="4"/>
  <c r="U272" i="4"/>
  <c r="U288" i="4"/>
  <c r="U320" i="4"/>
  <c r="U336" i="4"/>
  <c r="U352" i="4"/>
  <c r="U384" i="4"/>
  <c r="U416" i="4"/>
  <c r="U480" i="4"/>
  <c r="U400" i="4"/>
  <c r="U448" i="4"/>
  <c r="U464" i="4"/>
  <c r="U512" i="4"/>
  <c r="U528" i="4"/>
  <c r="U544" i="4"/>
  <c r="U592" i="4"/>
  <c r="U608" i="4"/>
  <c r="U656" i="4"/>
  <c r="U672" i="4"/>
  <c r="U720" i="4"/>
  <c r="U736" i="4"/>
  <c r="U784" i="4"/>
  <c r="U800" i="4"/>
  <c r="U832" i="4"/>
  <c r="U848" i="4"/>
  <c r="U864" i="4"/>
  <c r="U896" i="4"/>
  <c r="U912" i="4"/>
  <c r="U928" i="4"/>
  <c r="U960" i="4"/>
  <c r="U976" i="4"/>
  <c r="U992" i="4"/>
  <c r="U1024" i="4"/>
  <c r="U1040" i="4"/>
  <c r="U1056" i="4"/>
  <c r="U1088" i="4"/>
  <c r="U1104" i="4"/>
  <c r="U1120" i="4"/>
  <c r="U1152" i="4"/>
  <c r="U1168" i="4"/>
  <c r="U1184" i="4"/>
  <c r="U1216" i="4"/>
  <c r="U1232" i="4"/>
  <c r="U1248" i="4"/>
  <c r="U1280" i="4"/>
  <c r="U1312" i="4"/>
  <c r="U1344" i="4"/>
  <c r="U1376" i="4"/>
  <c r="U1408" i="4"/>
  <c r="U1440" i="4"/>
  <c r="U1472" i="4"/>
  <c r="U1504" i="4"/>
  <c r="U1536" i="4"/>
  <c r="U1552" i="4"/>
  <c r="U1568" i="4"/>
  <c r="U1600" i="4"/>
  <c r="U1616" i="4"/>
  <c r="U1632" i="4"/>
  <c r="U1664" i="4"/>
  <c r="U532" i="4"/>
  <c r="U660" i="4"/>
  <c r="U788" i="4"/>
  <c r="U916" i="4"/>
  <c r="U1044" i="4"/>
  <c r="U1172" i="4"/>
  <c r="U894" i="4"/>
  <c r="U220" i="4"/>
  <c r="U504" i="4"/>
  <c r="U1608" i="4"/>
  <c r="U1640" i="4"/>
  <c r="U1672" i="4"/>
  <c r="U1688" i="4"/>
  <c r="U1624" i="4"/>
  <c r="U1704" i="4"/>
  <c r="U1720" i="4"/>
  <c r="U596" i="4"/>
  <c r="U724" i="4"/>
  <c r="U852" i="4"/>
  <c r="U1108" i="4"/>
  <c r="U1316" i="4"/>
  <c r="U1364" i="4"/>
  <c r="U1380" i="4"/>
  <c r="U1428" i="4"/>
  <c r="U1556" i="4"/>
  <c r="U1588" i="4"/>
  <c r="U1604" i="4"/>
  <c r="U1620" i="4"/>
  <c r="U1636" i="4"/>
  <c r="U1668" i="4"/>
  <c r="U1684" i="4"/>
  <c r="U1700" i="4"/>
  <c r="U1716" i="4"/>
  <c r="U1732" i="4"/>
  <c r="U263" i="4"/>
  <c r="U264" i="4"/>
  <c r="U280" i="4"/>
  <c r="U328" i="4"/>
  <c r="U344" i="4"/>
  <c r="U360" i="4"/>
  <c r="U392" i="4"/>
  <c r="U408" i="4"/>
  <c r="U456" i="4"/>
  <c r="U472" i="4"/>
  <c r="U488" i="4"/>
  <c r="U234" i="4"/>
  <c r="U1599" i="4"/>
  <c r="U367" i="4"/>
  <c r="U431" i="4"/>
  <c r="U319" i="4"/>
  <c r="U1215" i="4"/>
  <c r="U1407" i="4"/>
  <c r="U235" i="4"/>
  <c r="U1179" i="4"/>
  <c r="U183" i="4"/>
  <c r="U215" i="4"/>
  <c r="U1111" i="4"/>
  <c r="U224" i="4"/>
  <c r="U216" i="4"/>
  <c r="U1462" i="4"/>
  <c r="U410" i="4"/>
  <c r="U886" i="4"/>
  <c r="U642" i="4"/>
  <c r="U686" i="4"/>
  <c r="U208" i="4"/>
  <c r="U39" i="4"/>
  <c r="U199" i="4"/>
  <c r="U722" i="4"/>
  <c r="U1050" i="4"/>
  <c r="U526" i="4"/>
  <c r="U546" i="4"/>
  <c r="U918" i="4"/>
  <c r="U1146" i="4"/>
  <c r="U1555" i="4"/>
  <c r="U622" i="4"/>
  <c r="U1318" i="4"/>
  <c r="U1230" i="4"/>
  <c r="U1534" i="4"/>
  <c r="U1602" i="4"/>
  <c r="U1530" i="4"/>
  <c r="U1466" i="4"/>
  <c r="U1550" i="4"/>
  <c r="U1442" i="4"/>
  <c r="U184" i="4"/>
  <c r="U178" i="4"/>
  <c r="U176" i="4"/>
  <c r="U175" i="4"/>
  <c r="U163" i="4"/>
  <c r="U159" i="4"/>
  <c r="U283" i="4"/>
  <c r="U140" i="4"/>
  <c r="U520" i="4"/>
  <c r="U536" i="4"/>
  <c r="U552" i="4"/>
  <c r="U584" i="4"/>
  <c r="U600" i="4"/>
  <c r="U648" i="4"/>
  <c r="U664" i="4"/>
  <c r="U680" i="4"/>
  <c r="U712" i="4"/>
  <c r="U728" i="4"/>
  <c r="U776" i="4"/>
  <c r="U792" i="4"/>
  <c r="U808" i="4"/>
  <c r="U840" i="4"/>
  <c r="U936" i="4"/>
  <c r="U968" i="4"/>
  <c r="U984" i="4"/>
  <c r="U1032" i="4"/>
  <c r="U1048" i="4"/>
  <c r="U1064" i="4"/>
  <c r="U1096" i="4"/>
  <c r="U1176" i="4"/>
  <c r="U1192" i="4"/>
  <c r="U1240" i="4"/>
  <c r="U1288" i="4"/>
  <c r="U1304" i="4"/>
  <c r="U1320" i="4"/>
  <c r="U1336" i="4"/>
  <c r="U1352" i="4"/>
  <c r="U1384" i="4"/>
  <c r="U1400" i="4"/>
  <c r="U1448" i="4"/>
  <c r="U1480" i="4"/>
  <c r="U1496" i="4"/>
  <c r="U1512" i="4"/>
  <c r="U1592" i="4"/>
  <c r="U1656" i="4"/>
  <c r="U856" i="4"/>
  <c r="U904" i="4"/>
  <c r="U920" i="4"/>
  <c r="U1112" i="4"/>
  <c r="U1160" i="4"/>
  <c r="U1224" i="4"/>
  <c r="U1368" i="4"/>
  <c r="U1416" i="4"/>
  <c r="U1432" i="4"/>
  <c r="U1464" i="4"/>
  <c r="U1528" i="4"/>
  <c r="U195" i="4"/>
  <c r="U258" i="4"/>
  <c r="U226" i="4"/>
  <c r="U438" i="4"/>
  <c r="U923" i="4"/>
  <c r="U151" i="4"/>
  <c r="U563" i="4"/>
  <c r="U951" i="4"/>
  <c r="U156" i="4"/>
  <c r="U180" i="4"/>
  <c r="U212" i="4"/>
  <c r="U292" i="4"/>
  <c r="U308" i="4"/>
  <c r="U340" i="4"/>
  <c r="U420" i="4"/>
  <c r="U436" i="4"/>
  <c r="U468" i="4"/>
  <c r="U938" i="4"/>
  <c r="U478" i="4"/>
  <c r="U603" i="4"/>
  <c r="U859" i="4"/>
  <c r="U1518" i="4"/>
  <c r="U1454" i="4"/>
  <c r="U962" i="4"/>
  <c r="U1254" i="4"/>
  <c r="U1303" i="4"/>
  <c r="U1091" i="4"/>
  <c r="U1143" i="4"/>
  <c r="U299" i="4"/>
  <c r="U507" i="4"/>
  <c r="U699" i="4"/>
  <c r="U763" i="4"/>
  <c r="U1019" i="4"/>
  <c r="U1083" i="4"/>
  <c r="U1451" i="4"/>
  <c r="U1595" i="4"/>
  <c r="U219" i="4"/>
  <c r="U331" i="4"/>
  <c r="U535" i="4"/>
  <c r="U983" i="4"/>
  <c r="U1479" i="4"/>
  <c r="U515" i="4"/>
  <c r="U399" i="4"/>
  <c r="U659" i="4"/>
  <c r="U911" i="4"/>
  <c r="U1375" i="4"/>
  <c r="U1210" i="4"/>
  <c r="U1554" i="4"/>
  <c r="U922" i="4"/>
  <c r="U950" i="4"/>
  <c r="U1406" i="4"/>
  <c r="U1195" i="4"/>
  <c r="U1339" i="4"/>
  <c r="U1391" i="4"/>
  <c r="U1419" i="4"/>
  <c r="U1531" i="4"/>
  <c r="U866" i="4"/>
  <c r="U423" i="4"/>
  <c r="U1223" i="4"/>
  <c r="U1495" i="4"/>
  <c r="U627" i="4"/>
  <c r="U1059" i="4"/>
  <c r="U1347" i="4"/>
  <c r="U155" i="4"/>
  <c r="U1379" i="4"/>
  <c r="U783" i="4"/>
  <c r="U1247" i="4"/>
  <c r="U1663" i="4"/>
  <c r="U1727" i="4"/>
  <c r="U815" i="4"/>
  <c r="U943" i="4"/>
  <c r="U1695" i="4"/>
  <c r="U179" i="4"/>
  <c r="U211" i="4"/>
  <c r="U595" i="4"/>
  <c r="U223" i="4"/>
  <c r="U255" i="4"/>
  <c r="U351" i="4"/>
  <c r="U383" i="4"/>
  <c r="U447" i="4"/>
  <c r="U1666" i="4"/>
  <c r="U1003" i="4"/>
  <c r="U1371" i="4"/>
  <c r="U882" i="4"/>
  <c r="U1287" i="4"/>
  <c r="U1319" i="4"/>
  <c r="U1330" i="4"/>
  <c r="U490" i="4"/>
  <c r="U1194" i="4"/>
  <c r="U522" i="4"/>
  <c r="U778" i="4"/>
  <c r="U1238" i="4"/>
  <c r="U1366" i="4"/>
  <c r="U1526" i="4"/>
  <c r="U330" i="4"/>
  <c r="U1026" i="4"/>
  <c r="U1691" i="4"/>
  <c r="U1335" i="4"/>
  <c r="U1315" i="4"/>
  <c r="U1443" i="4"/>
  <c r="U202" i="4"/>
  <c r="U1471" i="4"/>
  <c r="U1615" i="4"/>
  <c r="U1711" i="4"/>
  <c r="U1263" i="4"/>
  <c r="U1314" i="4"/>
  <c r="U534" i="4"/>
  <c r="U391" i="4"/>
  <c r="U386" i="4"/>
  <c r="U554" i="4"/>
  <c r="U986" i="4"/>
  <c r="U1014" i="4"/>
  <c r="U358" i="4"/>
  <c r="U1394" i="4"/>
  <c r="U1674" i="4"/>
  <c r="U434" i="4"/>
  <c r="U746" i="4"/>
  <c r="U498" i="4"/>
  <c r="U822" i="4"/>
  <c r="U310" i="4"/>
  <c r="U160" i="4"/>
  <c r="U304" i="4"/>
  <c r="U426" i="4"/>
  <c r="U906" i="4"/>
  <c r="U1226" i="4"/>
  <c r="U1414" i="4"/>
  <c r="U188" i="4"/>
  <c r="U252" i="4"/>
  <c r="U284" i="4"/>
  <c r="U316" i="4"/>
  <c r="U348" i="4"/>
  <c r="U380" i="4"/>
  <c r="U396" i="4"/>
  <c r="U428" i="4"/>
  <c r="U444" i="4"/>
  <c r="U460" i="4"/>
  <c r="U510" i="4"/>
  <c r="U204" i="4"/>
  <c r="U236" i="4"/>
  <c r="U268" i="4"/>
  <c r="U300" i="4"/>
  <c r="U412" i="4"/>
  <c r="U508" i="4"/>
  <c r="U556" i="4"/>
  <c r="U572" i="4"/>
  <c r="U604" i="4"/>
  <c r="U620" i="4"/>
  <c r="U636" i="4"/>
  <c r="U326" i="4"/>
  <c r="U650" i="4"/>
  <c r="U618" i="4"/>
  <c r="U1078" i="4"/>
  <c r="U568" i="4"/>
  <c r="U616" i="4"/>
  <c r="U632" i="4"/>
  <c r="U696" i="4"/>
  <c r="U744" i="4"/>
  <c r="U760" i="4"/>
  <c r="U824" i="4"/>
  <c r="U872" i="4"/>
  <c r="U888" i="4"/>
  <c r="U1000" i="4"/>
  <c r="U1080" i="4"/>
  <c r="U1128" i="4"/>
  <c r="U1144" i="4"/>
  <c r="U1256" i="4"/>
  <c r="U1272" i="4"/>
  <c r="U1544" i="4"/>
  <c r="U1560" i="4"/>
  <c r="U1576" i="4"/>
  <c r="U196" i="4"/>
  <c r="U228" i="4"/>
  <c r="U244" i="4"/>
  <c r="U324" i="4"/>
  <c r="U356" i="4"/>
  <c r="U372" i="4"/>
  <c r="U388" i="4"/>
  <c r="U452" i="4"/>
  <c r="U484" i="4"/>
  <c r="U952" i="4"/>
  <c r="U1016" i="4"/>
  <c r="U1208" i="4"/>
  <c r="U260" i="4"/>
  <c r="U500" i="4"/>
  <c r="U516" i="4"/>
  <c r="U548" i="4"/>
  <c r="U580" i="4"/>
  <c r="U612" i="4"/>
  <c r="U644" i="4"/>
  <c r="U708" i="4"/>
  <c r="U740" i="4"/>
  <c r="U756" i="4"/>
  <c r="U772" i="4"/>
  <c r="U804" i="4"/>
  <c r="U820" i="4"/>
  <c r="U836" i="4"/>
  <c r="U868" i="4"/>
  <c r="U900" i="4"/>
  <c r="U948" i="4"/>
  <c r="U964" i="4"/>
  <c r="U1012" i="4"/>
  <c r="U1028" i="4"/>
  <c r="U1060" i="4"/>
  <c r="U1076" i="4"/>
  <c r="U1092" i="4"/>
  <c r="U1124" i="4"/>
  <c r="U1156" i="4"/>
  <c r="U1220" i="4"/>
  <c r="U1252" i="4"/>
  <c r="U1268" i="4"/>
  <c r="U1284" i="4"/>
  <c r="U1332" i="4"/>
  <c r="U1348" i="4"/>
  <c r="U1412" i="4"/>
  <c r="U1460" i="4"/>
  <c r="U1476" i="4"/>
  <c r="U1524" i="4"/>
  <c r="U1540" i="4"/>
  <c r="U1572" i="4"/>
  <c r="U164" i="4"/>
  <c r="U1328" i="4"/>
  <c r="U1392" i="4"/>
  <c r="U1456" i="4"/>
  <c r="U652" i="4"/>
  <c r="U668" i="4"/>
  <c r="U684" i="4"/>
  <c r="U700" i="4"/>
  <c r="U748" i="4"/>
  <c r="U764" i="4"/>
  <c r="U796" i="4"/>
  <c r="U812" i="4"/>
  <c r="U860" i="4"/>
  <c r="U892" i="4"/>
  <c r="U908" i="4"/>
  <c r="U956" i="4"/>
  <c r="U972" i="4"/>
  <c r="U1004" i="4"/>
  <c r="U1020" i="4"/>
  <c r="U1036" i="4"/>
  <c r="U1052" i="4"/>
  <c r="U1068" i="4"/>
  <c r="U1116" i="4"/>
  <c r="U1164" i="4"/>
  <c r="U1196" i="4"/>
  <c r="U1212" i="4"/>
  <c r="U1228" i="4"/>
  <c r="U1260" i="4"/>
  <c r="U1276" i="4"/>
  <c r="U1292" i="4"/>
  <c r="U1308" i="4"/>
  <c r="U1324" i="4"/>
  <c r="U1356" i="4"/>
  <c r="U1372" i="4"/>
  <c r="U1404" i="4"/>
  <c r="U1420" i="4"/>
  <c r="U1468" i="4"/>
  <c r="U1484" i="4"/>
  <c r="U1500" i="4"/>
  <c r="U1516" i="4"/>
  <c r="U1532" i="4"/>
  <c r="U1548" i="4"/>
  <c r="U1564" i="4"/>
  <c r="U1580" i="4"/>
  <c r="U1612" i="4"/>
  <c r="U1628" i="4"/>
  <c r="U1708" i="4"/>
  <c r="U1724" i="4"/>
  <c r="U895" i="4"/>
  <c r="U1151" i="4"/>
  <c r="U524" i="4"/>
  <c r="U540" i="4"/>
  <c r="U716" i="4"/>
  <c r="U780" i="4"/>
  <c r="U828" i="4"/>
  <c r="U876" i="4"/>
  <c r="U924" i="4"/>
  <c r="U940" i="4"/>
  <c r="U1084" i="4"/>
  <c r="U1132" i="4"/>
  <c r="U1148" i="4"/>
  <c r="U1180" i="4"/>
  <c r="U1340" i="4"/>
  <c r="U1388" i="4"/>
  <c r="U1436" i="4"/>
  <c r="U1452" i="4"/>
  <c r="U1596" i="4"/>
  <c r="U1644" i="4"/>
  <c r="U1660" i="4"/>
  <c r="U1676" i="4"/>
  <c r="U590" i="4"/>
  <c r="U1174" i="4"/>
  <c r="U667" i="4"/>
  <c r="U875" i="4"/>
  <c r="U1131" i="4"/>
  <c r="U1499" i="4"/>
  <c r="U363" i="4"/>
  <c r="U903" i="4"/>
  <c r="U1159" i="4"/>
  <c r="U1626" i="4"/>
  <c r="U451" i="4"/>
  <c r="U695" i="4"/>
  <c r="U819" i="4"/>
  <c r="U883" i="4"/>
  <c r="U947" i="4"/>
  <c r="U1139" i="4"/>
  <c r="U1203" i="4"/>
  <c r="U1710" i="4"/>
  <c r="U1107" i="4"/>
  <c r="U1427" i="4"/>
  <c r="U250" i="4"/>
  <c r="U486" i="4"/>
  <c r="U542" i="4"/>
  <c r="U1042" i="4"/>
  <c r="U1354" i="4"/>
  <c r="U1434" i="4"/>
  <c r="U1734" i="4"/>
  <c r="U479" i="4"/>
  <c r="U847" i="4"/>
  <c r="U975" i="4"/>
  <c r="U1103" i="4"/>
  <c r="U1279" i="4"/>
  <c r="U1186" i="4"/>
  <c r="U1594" i="4"/>
  <c r="U614" i="4"/>
  <c r="U898" i="4"/>
  <c r="U187" i="4"/>
  <c r="U203" i="4"/>
  <c r="U251" i="4"/>
  <c r="U267" i="4"/>
  <c r="U459" i="4"/>
  <c r="U683" i="4"/>
  <c r="U827" i="4"/>
  <c r="U891" i="4"/>
  <c r="U1211" i="4"/>
  <c r="U1355" i="4"/>
  <c r="U1435" i="4"/>
  <c r="U1455" i="4"/>
  <c r="U1483" i="4"/>
  <c r="U1707" i="4"/>
  <c r="U731" i="4"/>
  <c r="U775" i="4"/>
  <c r="U791" i="4"/>
  <c r="U474" i="4"/>
  <c r="U870" i="4"/>
  <c r="U1722" i="4"/>
  <c r="U227" i="4"/>
  <c r="U407" i="4"/>
  <c r="U487" i="4"/>
  <c r="U739" i="4"/>
  <c r="U835" i="4"/>
  <c r="U207" i="4"/>
  <c r="U863" i="4"/>
  <c r="U991" i="4"/>
  <c r="U1043" i="4"/>
  <c r="U1266" i="4"/>
  <c r="U1487" i="4"/>
  <c r="U1679" i="4"/>
  <c r="U338" i="4"/>
  <c r="U762" i="4"/>
  <c r="U454" i="4"/>
  <c r="U466" i="4"/>
  <c r="U758" i="4"/>
  <c r="U954" i="4"/>
  <c r="U1038" i="4"/>
  <c r="U1438" i="4"/>
  <c r="U1682" i="4"/>
  <c r="U602" i="4"/>
  <c r="U858" i="4"/>
  <c r="U322" i="4"/>
  <c r="U798" i="4"/>
  <c r="U470" i="4"/>
  <c r="U582" i="4"/>
  <c r="U806" i="4"/>
  <c r="U1242" i="4"/>
  <c r="U1342" i="4"/>
  <c r="U1699" i="4"/>
  <c r="U1719" i="4"/>
  <c r="U210" i="4"/>
  <c r="U242" i="4"/>
  <c r="U742" i="4"/>
  <c r="U926" i="4"/>
  <c r="U1110" i="4"/>
  <c r="U378" i="4"/>
  <c r="U463" i="4"/>
  <c r="U531" i="4"/>
  <c r="U543" i="4"/>
  <c r="U655" i="4"/>
  <c r="U638" i="4"/>
  <c r="U690" i="4"/>
  <c r="U830" i="4"/>
  <c r="U354" i="4"/>
  <c r="U550" i="4"/>
  <c r="U586" i="4"/>
  <c r="U670" i="4"/>
  <c r="U726" i="4"/>
  <c r="U1606" i="4"/>
  <c r="U630" i="4"/>
  <c r="U978" i="4"/>
  <c r="U1431" i="4"/>
  <c r="U634" i="4"/>
  <c r="U1027" i="4"/>
  <c r="U1075" i="4"/>
  <c r="U1123" i="4"/>
  <c r="U1187" i="4"/>
  <c r="U1271" i="4"/>
  <c r="U1411" i="4"/>
  <c r="U1543" i="4"/>
  <c r="U382" i="4"/>
  <c r="U562" i="4"/>
  <c r="U342" i="4"/>
  <c r="U1114" i="4"/>
  <c r="U606" i="4"/>
  <c r="U706" i="4"/>
  <c r="U754" i="4"/>
  <c r="U1162" i="4"/>
  <c r="U1622" i="4"/>
  <c r="U566" i="4"/>
  <c r="U1562" i="4"/>
  <c r="U1182" i="4"/>
  <c r="U538" i="4"/>
  <c r="U1402" i="4"/>
  <c r="U718" i="4"/>
  <c r="U70" i="4"/>
  <c r="U171" i="4"/>
  <c r="U958" i="4"/>
  <c r="U165" i="4"/>
  <c r="U46" i="4"/>
  <c r="U102" i="4"/>
  <c r="U1714" i="4"/>
  <c r="U694" i="4"/>
  <c r="U874" i="4"/>
  <c r="U1202" i="4"/>
  <c r="U1278" i="4"/>
  <c r="U1386" i="4"/>
  <c r="U647" i="4"/>
  <c r="U1399" i="4"/>
  <c r="U934" i="4"/>
  <c r="U394" i="4"/>
  <c r="U867" i="4"/>
  <c r="U1331" i="4"/>
  <c r="U1470" i="4"/>
  <c r="U247" i="4"/>
  <c r="U307" i="4"/>
  <c r="U723" i="4"/>
  <c r="U1235" i="4"/>
  <c r="U1507" i="4"/>
  <c r="U990" i="4"/>
  <c r="U1270" i="4"/>
  <c r="U1410" i="4"/>
  <c r="U1678" i="4"/>
  <c r="U69" i="4"/>
  <c r="U141" i="4"/>
  <c r="U1087" i="4"/>
  <c r="U1231" i="4"/>
  <c r="U1535" i="4"/>
  <c r="U218" i="4"/>
  <c r="U982" i="4"/>
  <c r="U42" i="4"/>
  <c r="U133" i="4"/>
  <c r="U57" i="4"/>
  <c r="U89" i="4"/>
  <c r="U68" i="4"/>
  <c r="U84" i="4"/>
  <c r="U994" i="4"/>
  <c r="U1350" i="4"/>
  <c r="U1670" i="4"/>
  <c r="U121" i="4"/>
  <c r="U44" i="4"/>
  <c r="U48" i="4"/>
  <c r="U60" i="4"/>
  <c r="U64" i="4"/>
  <c r="U73" i="4"/>
  <c r="U76" i="4"/>
  <c r="U92" i="4"/>
  <c r="U96" i="4"/>
  <c r="U100" i="4"/>
  <c r="U108" i="4"/>
  <c r="U112" i="4"/>
  <c r="U124" i="4"/>
  <c r="U128" i="4"/>
  <c r="U132" i="4"/>
  <c r="U274" i="4"/>
  <c r="U1166" i="4"/>
  <c r="U51" i="4"/>
  <c r="U59" i="4"/>
  <c r="U75" i="4"/>
  <c r="U79" i="4"/>
  <c r="U87" i="4"/>
  <c r="U91" i="4"/>
  <c r="U115" i="4"/>
  <c r="U119" i="4"/>
  <c r="U125" i="4"/>
  <c r="U135" i="4"/>
  <c r="U136" i="4"/>
  <c r="U152" i="4"/>
  <c r="U24" i="4"/>
  <c r="U104" i="4"/>
  <c r="U142" i="4"/>
  <c r="U10" i="4"/>
  <c r="U18" i="4"/>
  <c r="U22" i="4"/>
  <c r="U34" i="4"/>
  <c r="U106" i="4"/>
  <c r="U122" i="4"/>
  <c r="U130" i="4"/>
  <c r="U9" i="4"/>
  <c r="U12" i="4"/>
  <c r="U28" i="4"/>
  <c r="U29" i="4"/>
  <c r="U32" i="4"/>
  <c r="U13" i="4"/>
  <c r="U16" i="4"/>
  <c r="U43" i="4"/>
  <c r="U47" i="4"/>
  <c r="U49" i="4"/>
  <c r="U53" i="4"/>
  <c r="U63" i="4"/>
  <c r="U66" i="4"/>
  <c r="U71" i="4"/>
  <c r="U77" i="4"/>
  <c r="U78" i="4"/>
  <c r="U85" i="4"/>
  <c r="U41" i="4"/>
  <c r="U50" i="4"/>
  <c r="U54" i="4"/>
  <c r="U55" i="4"/>
  <c r="U56" i="4"/>
  <c r="U67" i="4"/>
  <c r="U90" i="4"/>
  <c r="U93" i="4"/>
  <c r="U94" i="4"/>
  <c r="U95" i="4"/>
  <c r="U105" i="4"/>
  <c r="U113" i="4"/>
  <c r="U123" i="4"/>
  <c r="U129" i="4"/>
  <c r="U61" i="4"/>
  <c r="U45" i="4"/>
  <c r="U74" i="4"/>
  <c r="U80" i="4"/>
  <c r="U103" i="4"/>
  <c r="U107" i="4"/>
  <c r="U109" i="4"/>
  <c r="U110" i="4"/>
  <c r="U116" i="4"/>
  <c r="U117" i="4"/>
  <c r="U126" i="4"/>
  <c r="U137" i="4"/>
  <c r="U138" i="4"/>
  <c r="U65" i="4"/>
  <c r="U52" i="4"/>
  <c r="U58" i="4"/>
  <c r="U62" i="4"/>
  <c r="U72" i="4"/>
  <c r="U153" i="4"/>
  <c r="U157" i="4"/>
  <c r="U237" i="4"/>
  <c r="U253" i="4"/>
  <c r="U305" i="4"/>
  <c r="U333" i="4"/>
  <c r="U389" i="4"/>
  <c r="U417" i="4"/>
  <c r="U429" i="4"/>
  <c r="U461" i="4"/>
  <c r="U513" i="4"/>
  <c r="U589" i="4"/>
  <c r="U717" i="4"/>
  <c r="U737" i="4"/>
  <c r="U789" i="4"/>
  <c r="U813" i="4"/>
  <c r="U973" i="4"/>
  <c r="U993" i="4"/>
  <c r="U1057" i="4"/>
  <c r="U1073" i="4"/>
  <c r="U1165" i="4"/>
  <c r="U1349" i="4"/>
  <c r="U1389" i="4"/>
  <c r="U1429" i="4"/>
  <c r="U1473" i="4"/>
  <c r="U1509" i="4"/>
  <c r="U1669" i="4"/>
  <c r="U1725" i="4"/>
  <c r="U279" i="4"/>
  <c r="U303" i="4"/>
  <c r="U315" i="4"/>
  <c r="U327" i="4"/>
  <c r="U343" i="4"/>
  <c r="U347" i="4"/>
  <c r="U355" i="4"/>
  <c r="U359" i="4"/>
  <c r="U371" i="4"/>
  <c r="U379" i="4"/>
  <c r="U387" i="4"/>
  <c r="U395" i="4"/>
  <c r="U411" i="4"/>
  <c r="U427" i="4"/>
  <c r="U455" i="4"/>
  <c r="U471" i="4"/>
  <c r="U499" i="4"/>
  <c r="U539" i="4"/>
  <c r="U547" i="4"/>
  <c r="U555" i="4"/>
  <c r="U567" i="4"/>
  <c r="U571" i="4"/>
  <c r="U579" i="4"/>
  <c r="U611" i="4"/>
  <c r="U615" i="4"/>
  <c r="U619" i="4"/>
  <c r="U631" i="4"/>
  <c r="U651" i="4"/>
  <c r="U691" i="4"/>
  <c r="U707" i="4"/>
  <c r="U715" i="4"/>
  <c r="U743" i="4"/>
  <c r="U747" i="4"/>
  <c r="U755" i="4"/>
  <c r="U759" i="4"/>
  <c r="U771" i="4"/>
  <c r="U795" i="4"/>
  <c r="U803" i="4"/>
  <c r="U811" i="4"/>
  <c r="U823" i="4"/>
  <c r="U871" i="4"/>
  <c r="U887" i="4"/>
  <c r="U899" i="4"/>
  <c r="U907" i="4"/>
  <c r="U931" i="4"/>
  <c r="U939" i="4"/>
  <c r="U955" i="4"/>
  <c r="U963" i="4"/>
  <c r="U971" i="4"/>
  <c r="U995" i="4"/>
  <c r="U999" i="4"/>
  <c r="U1015" i="4"/>
  <c r="U1035" i="4"/>
  <c r="U1079" i="4"/>
  <c r="U1115" i="4"/>
  <c r="U1127" i="4"/>
  <c r="U81" i="4"/>
  <c r="U82" i="4"/>
  <c r="U83" i="4"/>
  <c r="U86" i="4"/>
  <c r="U88" i="4"/>
  <c r="U97" i="4"/>
  <c r="U98" i="4"/>
  <c r="U99" i="4"/>
  <c r="U101" i="4"/>
  <c r="U111" i="4"/>
  <c r="U114" i="4"/>
  <c r="U118" i="4"/>
  <c r="U120" i="4"/>
  <c r="U127" i="4"/>
  <c r="U131" i="4"/>
  <c r="U134" i="4"/>
  <c r="U334" i="4"/>
  <c r="U418" i="4"/>
  <c r="U518" i="4"/>
  <c r="U750" i="4"/>
  <c r="U878" i="4"/>
  <c r="U1046" i="4"/>
  <c r="U1274" i="4"/>
  <c r="U1322" i="4"/>
  <c r="U1474" i="4"/>
  <c r="U1510" i="4"/>
  <c r="U1686" i="4"/>
  <c r="U149" i="4"/>
  <c r="U181" i="4"/>
  <c r="U197" i="4"/>
  <c r="U213" i="4"/>
  <c r="U221" i="4"/>
  <c r="U229" i="4"/>
  <c r="U245" i="4"/>
  <c r="U281" i="4"/>
  <c r="U297" i="4"/>
  <c r="U357" i="4"/>
  <c r="U365" i="4"/>
  <c r="U373" i="4"/>
  <c r="U377" i="4"/>
  <c r="U385" i="4"/>
  <c r="U421" i="4"/>
  <c r="U433" i="4"/>
  <c r="U453" i="4"/>
  <c r="U469" i="4"/>
  <c r="U481" i="4"/>
  <c r="U489" i="4"/>
  <c r="U529" i="4"/>
  <c r="U553" i="4"/>
  <c r="U581" i="4"/>
  <c r="U629" i="4"/>
  <c r="U637" i="4"/>
  <c r="U657" i="4"/>
  <c r="U673" i="4"/>
  <c r="U681" i="4"/>
  <c r="U697" i="4"/>
  <c r="U729" i="4"/>
  <c r="U741" i="4"/>
  <c r="U745" i="4"/>
  <c r="U757" i="4"/>
  <c r="U785" i="4"/>
  <c r="U805" i="4"/>
  <c r="U825" i="4"/>
  <c r="U925" i="4"/>
  <c r="U937" i="4"/>
  <c r="U941" i="4"/>
  <c r="U953" i="4"/>
  <c r="U961" i="4"/>
  <c r="U985" i="4"/>
  <c r="U1013" i="4"/>
  <c r="U1017" i="4"/>
  <c r="U1065" i="4"/>
  <c r="U1081" i="4"/>
  <c r="U1089" i="4"/>
  <c r="U1105" i="4"/>
  <c r="U1129" i="4"/>
  <c r="U1137" i="4"/>
  <c r="U1149" i="4"/>
  <c r="U1221" i="4"/>
  <c r="U1241" i="4"/>
  <c r="U1253" i="4"/>
  <c r="U1257" i="4"/>
  <c r="U1285" i="4"/>
  <c r="U1309" i="4"/>
  <c r="U1341" i="4"/>
  <c r="U1345" i="4"/>
  <c r="U1369" i="4"/>
  <c r="U1373" i="4"/>
  <c r="U1393" i="4"/>
  <c r="U1425" i="4"/>
  <c r="U1461" i="4"/>
  <c r="U1481" i="4"/>
  <c r="U1485" i="4"/>
  <c r="U1493" i="4"/>
  <c r="U1525" i="4"/>
  <c r="U1601" i="4"/>
  <c r="U1665" i="4"/>
  <c r="U1673" i="4"/>
  <c r="U1713" i="4"/>
  <c r="U311" i="4"/>
  <c r="U419" i="4"/>
  <c r="U435" i="4"/>
  <c r="U467" i="4"/>
  <c r="U491" i="4"/>
  <c r="U587" i="4"/>
  <c r="U843" i="4"/>
  <c r="U851" i="4"/>
  <c r="U979" i="4"/>
  <c r="U987" i="4"/>
  <c r="U1099" i="4"/>
  <c r="U205" i="4"/>
  <c r="U261" i="4"/>
  <c r="U393" i="4"/>
  <c r="U397" i="4"/>
  <c r="U405" i="4"/>
  <c r="U493" i="4"/>
  <c r="U505" i="4"/>
  <c r="U517" i="4"/>
  <c r="U525" i="4"/>
  <c r="U545" i="4"/>
  <c r="U621" i="4"/>
  <c r="U645" i="4"/>
  <c r="U653" i="4"/>
  <c r="U749" i="4"/>
  <c r="U781" i="4"/>
  <c r="U829" i="4"/>
  <c r="U877" i="4"/>
  <c r="U889" i="4"/>
  <c r="U901" i="4"/>
  <c r="U909" i="4"/>
  <c r="U917" i="4"/>
  <c r="U957" i="4"/>
  <c r="U1029" i="4"/>
  <c r="U1045" i="4"/>
  <c r="U1085" i="4"/>
  <c r="U1101" i="4"/>
  <c r="U1121" i="4"/>
  <c r="U1145" i="4"/>
  <c r="U1157" i="4"/>
  <c r="U1173" i="4"/>
  <c r="U1213" i="4"/>
  <c r="U1245" i="4"/>
  <c r="U1261" i="4"/>
  <c r="U1273" i="4"/>
  <c r="U1301" i="4"/>
  <c r="U1321" i="4"/>
  <c r="U1337" i="4"/>
  <c r="U1377" i="4"/>
  <c r="U1385" i="4"/>
  <c r="U1505" i="4"/>
  <c r="U1685" i="4"/>
  <c r="U1693" i="4"/>
  <c r="U1697" i="4"/>
  <c r="U271" i="4"/>
  <c r="U275" i="4"/>
  <c r="U287" i="4"/>
  <c r="U335" i="4"/>
  <c r="U403" i="4"/>
  <c r="U475" i="4"/>
  <c r="U511" i="4"/>
  <c r="U527" i="4"/>
  <c r="U591" i="4"/>
  <c r="U607" i="4"/>
  <c r="U639" i="4"/>
  <c r="U671" i="4"/>
  <c r="U703" i="4"/>
  <c r="U719" i="4"/>
  <c r="U735" i="4"/>
  <c r="U767" i="4"/>
  <c r="U831" i="4"/>
  <c r="U915" i="4"/>
  <c r="U927" i="4"/>
  <c r="U959" i="4"/>
  <c r="U143" i="4"/>
  <c r="U161" i="4"/>
  <c r="U185" i="4"/>
  <c r="U189" i="4"/>
  <c r="U193" i="4"/>
  <c r="U273" i="4"/>
  <c r="U289" i="4"/>
  <c r="U341" i="4"/>
  <c r="U349" i="4"/>
  <c r="U353" i="4"/>
  <c r="U409" i="4"/>
  <c r="U413" i="4"/>
  <c r="U441" i="4"/>
  <c r="U445" i="4"/>
  <c r="U449" i="4"/>
  <c r="U457" i="4"/>
  <c r="U465" i="4"/>
  <c r="U473" i="4"/>
  <c r="U501" i="4"/>
  <c r="U537" i="4"/>
  <c r="U549" i="4"/>
  <c r="U565" i="4"/>
  <c r="U585" i="4"/>
  <c r="U593" i="4"/>
  <c r="U605" i="4"/>
  <c r="U613" i="4"/>
  <c r="U625" i="4"/>
  <c r="U665" i="4"/>
  <c r="U669" i="4"/>
  <c r="U689" i="4"/>
  <c r="U705" i="4"/>
  <c r="U725" i="4"/>
  <c r="U753" i="4"/>
  <c r="U861" i="4"/>
  <c r="U869" i="4"/>
  <c r="U885" i="4"/>
  <c r="U897" i="4"/>
  <c r="U965" i="4"/>
  <c r="U977" i="4"/>
  <c r="U1001" i="4"/>
  <c r="U1009" i="4"/>
  <c r="U1037" i="4"/>
  <c r="U1113" i="4"/>
  <c r="U1141" i="4"/>
  <c r="U1161" i="4"/>
  <c r="U1169" i="4"/>
  <c r="U1177" i="4"/>
  <c r="U1181" i="4"/>
  <c r="U1233" i="4"/>
  <c r="U1265" i="4"/>
  <c r="U1333" i="4"/>
  <c r="U1381" i="4"/>
  <c r="U1397" i="4"/>
  <c r="U1401" i="4"/>
  <c r="U1417" i="4"/>
  <c r="U1437" i="4"/>
  <c r="U1449" i="4"/>
  <c r="U1497" i="4"/>
  <c r="U1561" i="4"/>
  <c r="U1605" i="4"/>
  <c r="U1613" i="4"/>
  <c r="U1621" i="4"/>
  <c r="U1681" i="4"/>
  <c r="U1705" i="4"/>
  <c r="U1721" i="4"/>
  <c r="U145" i="4"/>
  <c r="U146" i="4"/>
  <c r="U295" i="4"/>
  <c r="U519" i="4"/>
  <c r="U551" i="4"/>
  <c r="U559" i="4"/>
  <c r="U575" i="4"/>
  <c r="U583" i="4"/>
  <c r="U599" i="4"/>
  <c r="U623" i="4"/>
  <c r="U663" i="4"/>
  <c r="U679" i="4"/>
  <c r="U711" i="4"/>
  <c r="U727" i="4"/>
  <c r="U751" i="4"/>
  <c r="U807" i="4"/>
  <c r="U839" i="4"/>
  <c r="U855" i="4"/>
  <c r="U879" i="4"/>
  <c r="U919" i="4"/>
  <c r="U1007" i="4"/>
  <c r="U1047" i="4"/>
  <c r="U1063" i="4"/>
  <c r="U1071" i="4"/>
  <c r="U1095" i="4"/>
  <c r="U1135" i="4"/>
  <c r="U1175" i="4"/>
  <c r="U1191" i="4"/>
  <c r="U1199" i="4"/>
  <c r="U1295" i="4"/>
  <c r="U1351" i="4"/>
  <c r="U1359" i="4"/>
  <c r="U1415" i="4"/>
  <c r="U1423" i="4"/>
  <c r="U1447" i="4"/>
  <c r="U1463" i="4"/>
  <c r="U1511" i="4"/>
  <c r="U1527" i="4"/>
  <c r="U1583" i="4"/>
  <c r="U1591" i="4"/>
  <c r="U1647" i="4"/>
  <c r="U1655" i="4"/>
  <c r="U144" i="4"/>
  <c r="U150" i="4"/>
  <c r="U222" i="4"/>
  <c r="U246" i="4"/>
  <c r="U254" i="4"/>
  <c r="U282" i="4"/>
  <c r="U306" i="4"/>
  <c r="U350" i="4"/>
  <c r="U446" i="4"/>
  <c r="U1147" i="4"/>
  <c r="U1155" i="4"/>
  <c r="U1163" i="4"/>
  <c r="U1207" i="4"/>
  <c r="U1219" i="4"/>
  <c r="U1227" i="4"/>
  <c r="U1251" i="4"/>
  <c r="U1255" i="4"/>
  <c r="U1267" i="4"/>
  <c r="U1275" i="4"/>
  <c r="U1283" i="4"/>
  <c r="U1291" i="4"/>
  <c r="U1307" i="4"/>
  <c r="U1323" i="4"/>
  <c r="U1327" i="4"/>
  <c r="U1387" i="4"/>
  <c r="U1395" i="4"/>
  <c r="U1403" i="4"/>
  <c r="U1459" i="4"/>
  <c r="U1475" i="4"/>
  <c r="U1515" i="4"/>
  <c r="U1523" i="4"/>
  <c r="U1539" i="4"/>
  <c r="U1547" i="4"/>
  <c r="U1559" i="4"/>
  <c r="U1563" i="4"/>
  <c r="U1571" i="4"/>
  <c r="U1575" i="4"/>
  <c r="U1579" i="4"/>
  <c r="U1587" i="4"/>
  <c r="U1603" i="4"/>
  <c r="U1607" i="4"/>
  <c r="U1611" i="4"/>
  <c r="U1623" i="4"/>
  <c r="U1635" i="4"/>
  <c r="U1639" i="4"/>
  <c r="U1643" i="4"/>
  <c r="U1651" i="4"/>
  <c r="U1659" i="4"/>
  <c r="U1667" i="4"/>
  <c r="U1671" i="4"/>
  <c r="U1675" i="4"/>
  <c r="U1687" i="4"/>
  <c r="U1703" i="4"/>
  <c r="U1715" i="4"/>
  <c r="U1723" i="4"/>
  <c r="U1731" i="4"/>
  <c r="U11" i="4"/>
  <c r="U14" i="4"/>
  <c r="U15" i="4"/>
  <c r="U17" i="4"/>
  <c r="U21" i="4"/>
  <c r="U23" i="4"/>
  <c r="U26" i="4"/>
  <c r="U27" i="4"/>
  <c r="U30" i="4"/>
  <c r="U31" i="4"/>
  <c r="U33" i="4"/>
  <c r="U38" i="4"/>
  <c r="U154" i="4"/>
  <c r="U186" i="4"/>
  <c r="U206" i="4"/>
  <c r="U1243" i="4"/>
  <c r="U1299" i="4"/>
  <c r="U1363" i="4"/>
  <c r="U1491" i="4"/>
  <c r="U1619" i="4"/>
  <c r="U1683" i="4"/>
  <c r="U19" i="4"/>
  <c r="U25" i="4"/>
  <c r="U35" i="4"/>
  <c r="U162" i="4"/>
  <c r="U190" i="4"/>
  <c r="U390" i="4"/>
  <c r="U450" i="4"/>
  <c r="U666" i="4"/>
  <c r="U902" i="4"/>
  <c r="U974" i="4"/>
  <c r="U1023" i="4"/>
  <c r="U1039" i="4"/>
  <c r="U1055" i="4"/>
  <c r="U1119" i="4"/>
  <c r="U1167" i="4"/>
  <c r="U1183" i="4"/>
  <c r="U1343" i="4"/>
  <c r="U1439" i="4"/>
  <c r="U1503" i="4"/>
  <c r="U1567" i="4"/>
  <c r="U1631" i="4"/>
  <c r="U20" i="4"/>
  <c r="U36" i="4"/>
  <c r="U37" i="4"/>
  <c r="U158" i="4"/>
  <c r="U182" i="4"/>
  <c r="U194" i="4"/>
  <c r="U198" i="4"/>
  <c r="U214" i="4"/>
  <c r="U230" i="4"/>
  <c r="U238" i="4"/>
  <c r="U262" i="4"/>
  <c r="U298" i="4"/>
  <c r="U366" i="4"/>
  <c r="U398" i="4"/>
  <c r="U414" i="4"/>
  <c r="U430" i="4"/>
  <c r="U442" i="4"/>
  <c r="U482" i="4"/>
  <c r="U494" i="4"/>
  <c r="U502" i="4"/>
  <c r="U506" i="4"/>
  <c r="U514" i="4"/>
  <c r="U658" i="4"/>
  <c r="U674" i="4"/>
  <c r="U698" i="4"/>
  <c r="U786" i="4"/>
  <c r="U910" i="4"/>
  <c r="U966" i="4"/>
  <c r="U1018" i="4"/>
  <c r="U1030" i="4"/>
  <c r="U1066" i="4"/>
  <c r="U1082" i="4"/>
  <c r="U1122" i="4"/>
  <c r="U1170" i="4"/>
  <c r="U1286" i="4"/>
  <c r="U1310" i="4"/>
  <c r="U1374" i="4"/>
  <c r="U1382" i="4"/>
  <c r="U1450" i="4"/>
  <c r="U1598" i="4"/>
  <c r="U139" i="4"/>
  <c r="U201" i="4"/>
  <c r="U217" i="4"/>
  <c r="U285" i="4"/>
  <c r="U293" i="4"/>
  <c r="U309" i="4"/>
  <c r="U325" i="4"/>
  <c r="U425" i="4"/>
  <c r="U497" i="4"/>
  <c r="U509" i="4"/>
  <c r="U521" i="4"/>
  <c r="U597" i="4"/>
  <c r="U617" i="4"/>
  <c r="U649" i="4"/>
  <c r="U677" i="4"/>
  <c r="U693" i="4"/>
  <c r="U709" i="4"/>
  <c r="U721" i="4"/>
  <c r="U733" i="4"/>
  <c r="U765" i="4"/>
  <c r="U777" i="4"/>
  <c r="U809" i="4"/>
  <c r="U821" i="4"/>
  <c r="U837" i="4"/>
  <c r="U853" i="4"/>
  <c r="U873" i="4"/>
  <c r="U881" i="4"/>
  <c r="U893" i="4"/>
  <c r="U905" i="4"/>
  <c r="U921" i="4"/>
  <c r="U929" i="4"/>
  <c r="U933" i="4"/>
  <c r="U949" i="4"/>
  <c r="U981" i="4"/>
  <c r="U989" i="4"/>
  <c r="U997" i="4"/>
  <c r="U1033" i="4"/>
  <c r="U1049" i="4"/>
  <c r="U1061" i="4"/>
  <c r="U1077" i="4"/>
  <c r="U1097" i="4"/>
  <c r="U1193" i="4"/>
  <c r="U1201" i="4"/>
  <c r="U1209" i="4"/>
  <c r="U1225" i="4"/>
  <c r="U1237" i="4"/>
  <c r="U1269" i="4"/>
  <c r="U1277" i="4"/>
  <c r="U1281" i="4"/>
  <c r="U1305" i="4"/>
  <c r="U1329" i="4"/>
  <c r="U1365" i="4"/>
  <c r="U1405" i="4"/>
  <c r="U1409" i="4"/>
  <c r="U1413" i="4"/>
  <c r="U1469" i="4"/>
  <c r="U1537" i="4"/>
  <c r="U1545" i="4"/>
  <c r="U1553" i="4"/>
  <c r="U1573" i="4"/>
  <c r="U1589" i="4"/>
  <c r="U1617" i="4"/>
  <c r="U1653" i="4"/>
  <c r="U1677" i="4"/>
  <c r="U1689" i="4"/>
  <c r="U1729" i="4"/>
  <c r="U594" i="4"/>
  <c r="U646" i="4"/>
  <c r="U1002" i="4"/>
  <c r="U1010" i="4"/>
  <c r="U1086" i="4"/>
  <c r="U1150" i="4"/>
  <c r="U1234" i="4"/>
  <c r="U1258" i="4"/>
  <c r="U1334" i="4"/>
  <c r="U1370" i="4"/>
  <c r="U1398" i="4"/>
  <c r="U1506" i="4"/>
  <c r="U1614" i="4"/>
  <c r="U265" i="4"/>
  <c r="U269" i="4"/>
  <c r="U277" i="4"/>
  <c r="U337" i="4"/>
  <c r="U381" i="4"/>
  <c r="U561" i="4"/>
  <c r="U609" i="4"/>
  <c r="U633" i="4"/>
  <c r="U701" i="4"/>
  <c r="U761" i="4"/>
  <c r="U769" i="4"/>
  <c r="U865" i="4"/>
  <c r="U1053" i="4"/>
  <c r="U1133" i="4"/>
  <c r="U1229" i="4"/>
  <c r="U1317" i="4"/>
  <c r="U1441" i="4"/>
  <c r="U1465" i="4"/>
  <c r="U1477" i="4"/>
  <c r="U1529" i="4"/>
  <c r="U1533" i="4"/>
  <c r="U1549" i="4"/>
  <c r="U1637" i="4"/>
  <c r="U290" i="4"/>
  <c r="U374" i="4"/>
  <c r="U406" i="4"/>
  <c r="U422" i="4"/>
  <c r="U458" i="4"/>
  <c r="U462" i="4"/>
  <c r="U530" i="4"/>
  <c r="U626" i="4"/>
  <c r="U654" i="4"/>
  <c r="U682" i="4"/>
  <c r="U730" i="4"/>
  <c r="U738" i="4"/>
  <c r="U782" i="4"/>
  <c r="U790" i="4"/>
  <c r="U814" i="4"/>
  <c r="U826" i="4"/>
  <c r="U862" i="4"/>
  <c r="U890" i="4"/>
  <c r="U942" i="4"/>
  <c r="U1058" i="4"/>
  <c r="U1074" i="4"/>
  <c r="U1222" i="4"/>
  <c r="U1246" i="4"/>
  <c r="U1262" i="4"/>
  <c r="U1338" i="4"/>
  <c r="U1346" i="4"/>
  <c r="U1378" i="4"/>
  <c r="U1390" i="4"/>
  <c r="U1418" i="4"/>
  <c r="U1430" i="4"/>
  <c r="U1482" i="4"/>
  <c r="U1486" i="4"/>
  <c r="U1494" i="4"/>
  <c r="U1694" i="4"/>
  <c r="U1706" i="4"/>
  <c r="U1726" i="4"/>
  <c r="U177" i="4"/>
  <c r="U209" i="4"/>
  <c r="U225" i="4"/>
  <c r="U233" i="4"/>
  <c r="U241" i="4"/>
  <c r="U249" i="4"/>
  <c r="U257" i="4"/>
  <c r="U313" i="4"/>
  <c r="U317" i="4"/>
  <c r="U321" i="4"/>
  <c r="U329" i="4"/>
  <c r="U345" i="4"/>
  <c r="U361" i="4"/>
  <c r="U401" i="4"/>
  <c r="U437" i="4"/>
  <c r="U477" i="4"/>
  <c r="U485" i="4"/>
  <c r="U541" i="4"/>
  <c r="U569" i="4"/>
  <c r="U577" i="4"/>
  <c r="U601" i="4"/>
  <c r="U713" i="4"/>
  <c r="U793" i="4"/>
  <c r="U797" i="4"/>
  <c r="U841" i="4"/>
  <c r="U849" i="4"/>
  <c r="U857" i="4"/>
  <c r="U913" i="4"/>
  <c r="U945" i="4"/>
  <c r="U969" i="4"/>
  <c r="U1021" i="4"/>
  <c r="U1025" i="4"/>
  <c r="U1041" i="4"/>
  <c r="U1093" i="4"/>
  <c r="U1109" i="4"/>
  <c r="U1117" i="4"/>
  <c r="U1125" i="4"/>
  <c r="U1185" i="4"/>
  <c r="U1189" i="4"/>
  <c r="U1205" i="4"/>
  <c r="U1289" i="4"/>
  <c r="U1293" i="4"/>
  <c r="U1297" i="4"/>
  <c r="U1353" i="4"/>
  <c r="U1361" i="4"/>
  <c r="U1421" i="4"/>
  <c r="U1433" i="4"/>
  <c r="U1453" i="4"/>
  <c r="U1457" i="4"/>
  <c r="U1489" i="4"/>
  <c r="U1501" i="4"/>
  <c r="U1517" i="4"/>
  <c r="U1521" i="4"/>
  <c r="U1577" i="4"/>
  <c r="U1581" i="4"/>
  <c r="U1585" i="4"/>
  <c r="U1593" i="4"/>
  <c r="U1625" i="4"/>
  <c r="U1645" i="4"/>
  <c r="U1649" i="4"/>
  <c r="U1701" i="4"/>
  <c r="U1709" i="4"/>
  <c r="U1717" i="4"/>
  <c r="U1733" i="4"/>
  <c r="U1090" i="4"/>
  <c r="U1102" i="4"/>
  <c r="U1106" i="4"/>
  <c r="U1130" i="4"/>
  <c r="U1138" i="4"/>
  <c r="U1142" i="4"/>
  <c r="U1158" i="4"/>
  <c r="U1178" i="4"/>
  <c r="U1214" i="4"/>
  <c r="U1302" i="4"/>
  <c r="U1426" i="4"/>
  <c r="U1498" i="4"/>
  <c r="U1698" i="4"/>
  <c r="U301" i="4"/>
  <c r="U369" i="4"/>
  <c r="U533" i="4"/>
  <c r="U557" i="4"/>
  <c r="U573" i="4"/>
  <c r="U641" i="4"/>
  <c r="U661" i="4"/>
  <c r="U685" i="4"/>
  <c r="U773" i="4"/>
  <c r="U801" i="4"/>
  <c r="U817" i="4"/>
  <c r="U833" i="4"/>
  <c r="U845" i="4"/>
  <c r="U1005" i="4"/>
  <c r="U1069" i="4"/>
  <c r="U1153" i="4"/>
  <c r="U1197" i="4"/>
  <c r="U1217" i="4"/>
  <c r="U1249" i="4"/>
  <c r="U1313" i="4"/>
  <c r="U1325" i="4"/>
  <c r="U1357" i="4"/>
  <c r="U1445" i="4"/>
  <c r="U1513" i="4"/>
  <c r="U1541" i="4"/>
  <c r="U1557" i="4"/>
  <c r="U1565" i="4"/>
  <c r="U1569" i="4"/>
  <c r="U1597" i="4"/>
  <c r="U1609" i="4"/>
  <c r="U1629" i="4"/>
  <c r="U1633" i="4"/>
  <c r="U1641" i="4"/>
  <c r="U1657" i="4"/>
  <c r="U1661" i="4"/>
  <c r="U174" i="4"/>
  <c r="U173" i="4"/>
  <c r="U172" i="4"/>
  <c r="U170" i="4"/>
  <c r="U169" i="4"/>
  <c r="U168" i="4"/>
  <c r="U166" i="4"/>
  <c r="U167" i="4"/>
  <c r="A4" i="4"/>
  <c r="B4" i="4"/>
  <c r="C4" i="4"/>
  <c r="I4" i="4" l="1"/>
  <c r="K4" i="4"/>
  <c r="L4" i="4" l="1"/>
  <c r="Q4" i="4" s="1"/>
  <c r="M4" i="4"/>
  <c r="R4" i="4" s="1"/>
  <c r="U6" i="4"/>
  <c r="U5" i="4"/>
  <c r="U7" i="4"/>
  <c r="U8" i="4"/>
  <c r="U2077" i="4" l="1"/>
  <c r="U1949" i="4"/>
  <c r="U1885" i="4"/>
  <c r="U1821" i="4"/>
  <c r="U1757" i="4"/>
  <c r="U2042" i="4"/>
  <c r="U2038" i="4"/>
  <c r="U2006" i="4"/>
  <c r="U1990" i="4"/>
  <c r="U1930" i="4"/>
  <c r="U1914" i="4"/>
  <c r="U1894" i="4"/>
  <c r="U1878" i="4"/>
  <c r="U1850" i="4"/>
  <c r="U1830" i="4"/>
  <c r="U1814" i="4"/>
  <c r="U1766" i="4"/>
  <c r="U2087" i="4"/>
  <c r="U2071" i="4"/>
  <c r="U2023" i="4"/>
  <c r="U1991" i="4"/>
  <c r="U1959" i="4"/>
  <c r="U1895" i="4"/>
  <c r="U1863" i="4"/>
  <c r="U1831" i="4"/>
  <c r="U1735" i="4"/>
  <c r="L2001" i="1"/>
  <c r="M2001" i="1"/>
  <c r="N2001" i="1"/>
  <c r="L2002" i="1"/>
  <c r="M2002" i="1"/>
  <c r="N2002" i="1"/>
  <c r="L2003" i="1"/>
  <c r="M2003" i="1"/>
  <c r="N2003" i="1"/>
  <c r="L2004" i="1"/>
  <c r="M2004" i="1"/>
  <c r="N2004" i="1"/>
  <c r="L2005" i="1"/>
  <c r="M2005" i="1"/>
  <c r="N2005" i="1"/>
  <c r="L2006" i="1"/>
  <c r="M2006" i="1"/>
  <c r="N2006" i="1"/>
  <c r="L2007" i="1"/>
  <c r="M2007" i="1"/>
  <c r="N2007" i="1"/>
  <c r="L2008" i="1"/>
  <c r="M2008" i="1"/>
  <c r="N2008" i="1"/>
  <c r="L2009" i="1"/>
  <c r="M2009" i="1"/>
  <c r="N2009" i="1"/>
  <c r="L2010" i="1"/>
  <c r="M2010" i="1"/>
  <c r="N2010" i="1"/>
  <c r="L2011" i="1"/>
  <c r="M2011" i="1"/>
  <c r="N2011" i="1"/>
  <c r="L2012" i="1"/>
  <c r="M2012" i="1"/>
  <c r="N2012" i="1"/>
  <c r="L2013" i="1"/>
  <c r="M2013" i="1"/>
  <c r="N2013" i="1"/>
  <c r="L2014" i="1"/>
  <c r="M2014" i="1"/>
  <c r="N2014" i="1"/>
  <c r="L2015" i="1"/>
  <c r="M2015" i="1"/>
  <c r="N2015" i="1"/>
  <c r="L2016" i="1"/>
  <c r="M2016" i="1"/>
  <c r="N2016" i="1"/>
  <c r="L2017" i="1"/>
  <c r="M2017" i="1"/>
  <c r="N2017" i="1"/>
  <c r="L2018" i="1"/>
  <c r="M2018" i="1"/>
  <c r="N2018" i="1"/>
  <c r="L2019" i="1"/>
  <c r="M2019" i="1"/>
  <c r="N2019" i="1"/>
  <c r="L2020" i="1"/>
  <c r="M2020" i="1"/>
  <c r="N2020" i="1"/>
  <c r="L2021" i="1"/>
  <c r="M2021" i="1"/>
  <c r="N2021" i="1"/>
  <c r="L2022" i="1"/>
  <c r="M2022" i="1"/>
  <c r="N2022" i="1"/>
  <c r="L2023" i="1"/>
  <c r="M2023" i="1"/>
  <c r="N2023" i="1"/>
  <c r="L2024" i="1"/>
  <c r="M2024" i="1"/>
  <c r="N2024" i="1"/>
  <c r="L2025" i="1"/>
  <c r="M2025" i="1"/>
  <c r="N2025" i="1"/>
  <c r="L2026" i="1"/>
  <c r="M2026" i="1"/>
  <c r="N2026" i="1"/>
  <c r="L2027" i="1"/>
  <c r="M2027" i="1"/>
  <c r="N2027" i="1"/>
  <c r="L2028" i="1"/>
  <c r="M2028" i="1"/>
  <c r="N2028" i="1"/>
  <c r="L2029" i="1"/>
  <c r="M2029" i="1"/>
  <c r="N2029" i="1"/>
  <c r="L2030" i="1"/>
  <c r="M2030" i="1"/>
  <c r="N2030" i="1"/>
  <c r="L2031" i="1"/>
  <c r="M2031" i="1"/>
  <c r="N2031" i="1"/>
  <c r="L2032" i="1"/>
  <c r="M2032" i="1"/>
  <c r="N2032" i="1"/>
  <c r="L2033" i="1"/>
  <c r="M2033" i="1"/>
  <c r="N2033" i="1"/>
  <c r="L2034" i="1"/>
  <c r="M2034" i="1"/>
  <c r="N2034" i="1"/>
  <c r="L2035" i="1"/>
  <c r="M2035" i="1"/>
  <c r="N2035" i="1"/>
  <c r="L2036" i="1"/>
  <c r="M2036" i="1"/>
  <c r="N2036" i="1"/>
  <c r="L2037" i="1"/>
  <c r="M2037" i="1"/>
  <c r="N2037" i="1"/>
  <c r="L2038" i="1"/>
  <c r="M2038" i="1"/>
  <c r="N2038" i="1"/>
  <c r="L2039" i="1"/>
  <c r="M2039" i="1"/>
  <c r="N2039" i="1"/>
  <c r="L2040" i="1"/>
  <c r="M2040" i="1"/>
  <c r="N2040" i="1"/>
  <c r="L2041" i="1"/>
  <c r="M2041" i="1"/>
  <c r="N2041" i="1"/>
  <c r="L2042" i="1"/>
  <c r="M2042" i="1"/>
  <c r="N2042" i="1"/>
  <c r="L2043" i="1"/>
  <c r="M2043" i="1"/>
  <c r="N2043" i="1"/>
  <c r="L2044" i="1"/>
  <c r="M2044" i="1"/>
  <c r="N2044" i="1"/>
  <c r="L2045" i="1"/>
  <c r="M2045" i="1"/>
  <c r="N2045" i="1"/>
  <c r="L2046" i="1"/>
  <c r="M2046" i="1"/>
  <c r="N2046" i="1"/>
  <c r="L2047" i="1"/>
  <c r="M2047" i="1"/>
  <c r="N2047" i="1"/>
  <c r="L2048" i="1"/>
  <c r="M2048" i="1"/>
  <c r="N2048" i="1"/>
  <c r="L2049" i="1"/>
  <c r="M2049" i="1"/>
  <c r="N2049" i="1"/>
  <c r="L2050" i="1"/>
  <c r="M2050" i="1"/>
  <c r="N2050" i="1"/>
  <c r="L2051" i="1"/>
  <c r="M2051" i="1"/>
  <c r="N2051" i="1"/>
  <c r="L2052" i="1"/>
  <c r="M2052" i="1"/>
  <c r="N2052" i="1"/>
  <c r="L2053" i="1"/>
  <c r="M2053" i="1"/>
  <c r="N2053" i="1"/>
  <c r="L2054" i="1"/>
  <c r="M2054" i="1"/>
  <c r="N2054" i="1"/>
  <c r="L2055" i="1"/>
  <c r="M2055" i="1"/>
  <c r="N2055" i="1"/>
  <c r="L2056" i="1"/>
  <c r="M2056" i="1"/>
  <c r="N2056" i="1"/>
  <c r="L2057" i="1"/>
  <c r="M2057" i="1"/>
  <c r="N2057" i="1"/>
  <c r="L2058" i="1"/>
  <c r="M2058" i="1"/>
  <c r="N2058" i="1"/>
  <c r="L2059" i="1"/>
  <c r="M2059" i="1"/>
  <c r="N2059" i="1"/>
  <c r="L2060" i="1"/>
  <c r="M2060" i="1"/>
  <c r="N2060" i="1"/>
  <c r="L2061" i="1"/>
  <c r="M2061" i="1"/>
  <c r="N2061" i="1"/>
  <c r="L2062" i="1"/>
  <c r="M2062" i="1"/>
  <c r="N2062" i="1"/>
  <c r="L2063" i="1"/>
  <c r="M2063" i="1"/>
  <c r="N2063" i="1"/>
  <c r="L2064" i="1"/>
  <c r="M2064" i="1"/>
  <c r="N2064" i="1"/>
  <c r="L2065" i="1"/>
  <c r="M2065" i="1"/>
  <c r="N2065" i="1"/>
  <c r="L2066" i="1"/>
  <c r="M2066" i="1"/>
  <c r="N2066" i="1"/>
  <c r="L2067" i="1"/>
  <c r="M2067" i="1"/>
  <c r="N2067" i="1"/>
  <c r="L2068" i="1"/>
  <c r="M2068" i="1"/>
  <c r="N2068" i="1"/>
  <c r="L2069" i="1"/>
  <c r="M2069" i="1"/>
  <c r="N2069" i="1"/>
  <c r="L2070" i="1"/>
  <c r="M2070" i="1"/>
  <c r="N2070" i="1"/>
  <c r="L2071" i="1"/>
  <c r="M2071" i="1"/>
  <c r="N2071" i="1"/>
  <c r="L2072" i="1"/>
  <c r="M2072" i="1"/>
  <c r="N2072" i="1"/>
  <c r="L2073" i="1"/>
  <c r="M2073" i="1"/>
  <c r="N2073" i="1"/>
  <c r="L2074" i="1"/>
  <c r="M2074" i="1"/>
  <c r="N2074" i="1"/>
  <c r="L2075" i="1"/>
  <c r="M2075" i="1"/>
  <c r="N2075" i="1"/>
  <c r="L2076" i="1"/>
  <c r="M2076" i="1"/>
  <c r="N2076" i="1"/>
  <c r="L2077" i="1"/>
  <c r="M2077" i="1"/>
  <c r="N2077" i="1"/>
  <c r="L2078" i="1"/>
  <c r="M2078" i="1"/>
  <c r="N2078" i="1"/>
  <c r="L2079" i="1"/>
  <c r="M2079" i="1"/>
  <c r="N2079" i="1"/>
  <c r="L2080" i="1"/>
  <c r="M2080" i="1"/>
  <c r="N2080" i="1"/>
  <c r="L2081" i="1"/>
  <c r="M2081" i="1"/>
  <c r="N2081" i="1"/>
  <c r="L2082" i="1"/>
  <c r="M2082" i="1"/>
  <c r="N2082" i="1"/>
  <c r="L2083" i="1"/>
  <c r="M2083" i="1"/>
  <c r="N2083" i="1"/>
  <c r="L2084" i="1"/>
  <c r="M2084" i="1"/>
  <c r="N2084" i="1"/>
  <c r="L2085" i="1"/>
  <c r="M2085" i="1"/>
  <c r="N2085" i="1"/>
  <c r="L2086" i="1"/>
  <c r="M2086" i="1"/>
  <c r="N2086" i="1"/>
  <c r="L2087" i="1"/>
  <c r="M2087" i="1"/>
  <c r="N2087" i="1"/>
  <c r="L2088" i="1"/>
  <c r="M2088" i="1"/>
  <c r="N2088" i="1"/>
  <c r="L2089" i="1"/>
  <c r="M2089" i="1"/>
  <c r="N2089" i="1"/>
  <c r="L2090" i="1"/>
  <c r="M2090" i="1"/>
  <c r="N2090" i="1"/>
  <c r="L2091" i="1"/>
  <c r="M2091" i="1"/>
  <c r="N2091" i="1"/>
  <c r="L2092" i="1"/>
  <c r="M2092" i="1"/>
  <c r="N2092" i="1"/>
  <c r="L2093" i="1"/>
  <c r="M2093" i="1"/>
  <c r="N2093" i="1"/>
  <c r="L2094" i="1"/>
  <c r="M2094" i="1"/>
  <c r="N2094" i="1"/>
  <c r="L2095" i="1"/>
  <c r="M2095" i="1"/>
  <c r="N2095" i="1"/>
  <c r="L2096" i="1"/>
  <c r="M2096" i="1"/>
  <c r="N2096" i="1"/>
  <c r="L2097" i="1"/>
  <c r="M2097" i="1"/>
  <c r="N2097" i="1"/>
  <c r="L2098" i="1"/>
  <c r="M2098" i="1"/>
  <c r="N2098" i="1"/>
  <c r="L2099" i="1"/>
  <c r="M2099" i="1"/>
  <c r="N2099" i="1"/>
  <c r="L2100" i="1"/>
  <c r="M2100" i="1"/>
  <c r="N2100" i="1"/>
  <c r="L2101" i="1"/>
  <c r="M2101" i="1"/>
  <c r="N2101" i="1"/>
  <c r="L2102" i="1"/>
  <c r="M2102" i="1"/>
  <c r="N2102" i="1"/>
  <c r="L2103" i="1"/>
  <c r="M2103" i="1"/>
  <c r="N2103" i="1"/>
  <c r="L2104" i="1"/>
  <c r="M2104" i="1"/>
  <c r="N2104" i="1"/>
  <c r="L2105" i="1"/>
  <c r="M2105" i="1"/>
  <c r="N2105" i="1"/>
  <c r="L2106" i="1"/>
  <c r="M2106" i="1"/>
  <c r="N2106" i="1"/>
  <c r="L2107" i="1"/>
  <c r="M2107" i="1"/>
  <c r="N2107" i="1"/>
  <c r="L2108" i="1"/>
  <c r="M2108" i="1"/>
  <c r="N2108" i="1"/>
  <c r="L2109" i="1"/>
  <c r="M2109" i="1"/>
  <c r="N2109" i="1"/>
  <c r="L2110" i="1"/>
  <c r="M2110" i="1"/>
  <c r="N2110" i="1"/>
  <c r="L2111" i="1"/>
  <c r="M2111" i="1"/>
  <c r="N2111" i="1"/>
  <c r="L2112" i="1"/>
  <c r="M2112" i="1"/>
  <c r="N2112" i="1"/>
  <c r="L2113" i="1"/>
  <c r="M2113" i="1"/>
  <c r="N2113" i="1"/>
  <c r="L2114" i="1"/>
  <c r="M2114" i="1"/>
  <c r="N2114" i="1"/>
  <c r="L2115" i="1"/>
  <c r="M2115" i="1"/>
  <c r="N2115" i="1"/>
  <c r="L2116" i="1"/>
  <c r="M2116" i="1"/>
  <c r="N2116" i="1"/>
  <c r="L2117" i="1"/>
  <c r="M2117" i="1"/>
  <c r="N2117" i="1"/>
  <c r="L2118" i="1"/>
  <c r="M2118" i="1"/>
  <c r="N2118" i="1"/>
  <c r="L2119" i="1"/>
  <c r="M2119" i="1"/>
  <c r="N2119" i="1"/>
  <c r="L2120" i="1"/>
  <c r="M2120" i="1"/>
  <c r="N2120" i="1"/>
  <c r="L2121" i="1"/>
  <c r="M2121" i="1"/>
  <c r="N2121" i="1"/>
  <c r="L2122" i="1"/>
  <c r="M2122" i="1"/>
  <c r="N2122" i="1"/>
  <c r="L2123" i="1"/>
  <c r="M2123" i="1"/>
  <c r="N2123" i="1"/>
  <c r="L2124" i="1"/>
  <c r="M2124" i="1"/>
  <c r="N2124" i="1"/>
  <c r="L2125" i="1"/>
  <c r="M2125" i="1"/>
  <c r="N2125" i="1"/>
  <c r="L2126" i="1"/>
  <c r="M2126" i="1"/>
  <c r="N2126" i="1"/>
  <c r="L2127" i="1"/>
  <c r="M2127" i="1"/>
  <c r="N2127" i="1"/>
  <c r="L2128" i="1"/>
  <c r="M2128" i="1"/>
  <c r="N2128" i="1"/>
  <c r="L2129" i="1"/>
  <c r="M2129" i="1"/>
  <c r="N2129" i="1"/>
  <c r="L2130" i="1"/>
  <c r="M2130" i="1"/>
  <c r="N2130" i="1"/>
  <c r="L2131" i="1"/>
  <c r="M2131" i="1"/>
  <c r="N2131" i="1"/>
  <c r="L2132" i="1"/>
  <c r="M2132" i="1"/>
  <c r="N2132" i="1"/>
  <c r="L2133" i="1"/>
  <c r="M2133" i="1"/>
  <c r="N2133" i="1"/>
  <c r="L2134" i="1"/>
  <c r="M2134" i="1"/>
  <c r="N2134" i="1"/>
  <c r="L2135" i="1"/>
  <c r="M2135" i="1"/>
  <c r="N2135" i="1"/>
  <c r="L2136" i="1"/>
  <c r="M2136" i="1"/>
  <c r="N2136" i="1"/>
  <c r="L2137" i="1"/>
  <c r="M2137" i="1"/>
  <c r="N2137" i="1"/>
  <c r="L2138" i="1"/>
  <c r="M2138" i="1"/>
  <c r="N2138" i="1"/>
  <c r="L2139" i="1"/>
  <c r="M2139" i="1"/>
  <c r="N2139" i="1"/>
  <c r="L2140" i="1"/>
  <c r="M2140" i="1"/>
  <c r="N2140" i="1"/>
  <c r="L2141" i="1"/>
  <c r="M2141" i="1"/>
  <c r="N2141" i="1"/>
  <c r="L2142" i="1"/>
  <c r="M2142" i="1"/>
  <c r="N2142" i="1"/>
  <c r="L2143" i="1"/>
  <c r="M2143" i="1"/>
  <c r="N2143" i="1"/>
  <c r="L2144" i="1"/>
  <c r="M2144" i="1"/>
  <c r="N2144" i="1"/>
  <c r="L2145" i="1"/>
  <c r="M2145" i="1"/>
  <c r="N2145" i="1"/>
  <c r="L2146" i="1"/>
  <c r="M2146" i="1"/>
  <c r="N2146" i="1"/>
  <c r="L2147" i="1"/>
  <c r="M2147" i="1"/>
  <c r="N2147" i="1"/>
  <c r="L2148" i="1"/>
  <c r="M2148" i="1"/>
  <c r="N2148" i="1"/>
  <c r="L2149" i="1"/>
  <c r="M2149" i="1"/>
  <c r="N2149" i="1"/>
  <c r="L2150" i="1"/>
  <c r="M2150" i="1"/>
  <c r="N2150" i="1"/>
  <c r="L2151" i="1"/>
  <c r="M2151" i="1"/>
  <c r="N2151" i="1"/>
  <c r="L2152" i="1"/>
  <c r="M2152" i="1"/>
  <c r="N2152" i="1"/>
  <c r="L2153" i="1"/>
  <c r="M2153" i="1"/>
  <c r="N2153" i="1"/>
  <c r="L2154" i="1"/>
  <c r="M2154" i="1"/>
  <c r="N2154" i="1"/>
  <c r="L2155" i="1"/>
  <c r="M2155" i="1"/>
  <c r="N2155" i="1"/>
  <c r="L2156" i="1"/>
  <c r="M2156" i="1"/>
  <c r="N2156" i="1"/>
  <c r="L2157" i="1"/>
  <c r="M2157" i="1"/>
  <c r="N2157" i="1"/>
  <c r="L2158" i="1"/>
  <c r="M2158" i="1"/>
  <c r="N2158" i="1"/>
  <c r="L2159" i="1"/>
  <c r="M2159" i="1"/>
  <c r="N2159" i="1"/>
  <c r="L2160" i="1"/>
  <c r="M2160" i="1"/>
  <c r="N2160" i="1"/>
  <c r="L2161" i="1"/>
  <c r="M2161" i="1"/>
  <c r="N2161" i="1"/>
  <c r="L2162" i="1"/>
  <c r="M2162" i="1"/>
  <c r="N2162" i="1"/>
  <c r="L2163" i="1"/>
  <c r="M2163" i="1"/>
  <c r="N2163" i="1"/>
  <c r="L2164" i="1"/>
  <c r="M2164" i="1"/>
  <c r="N2164" i="1"/>
  <c r="L2165" i="1"/>
  <c r="M2165" i="1"/>
  <c r="N2165" i="1"/>
  <c r="L2166" i="1"/>
  <c r="M2166" i="1"/>
  <c r="N2166" i="1"/>
  <c r="L2167" i="1"/>
  <c r="M2167" i="1"/>
  <c r="N2167" i="1"/>
  <c r="L2168" i="1"/>
  <c r="M2168" i="1"/>
  <c r="N2168" i="1"/>
  <c r="L2169" i="1"/>
  <c r="M2169" i="1"/>
  <c r="N2169" i="1"/>
  <c r="L2170" i="1"/>
  <c r="M2170" i="1"/>
  <c r="N2170" i="1"/>
  <c r="L2171" i="1"/>
  <c r="M2171" i="1"/>
  <c r="N2171" i="1"/>
  <c r="L2172" i="1"/>
  <c r="M2172" i="1"/>
  <c r="N2172" i="1"/>
  <c r="L2173" i="1"/>
  <c r="M2173" i="1"/>
  <c r="N2173" i="1"/>
  <c r="L2174" i="1"/>
  <c r="M2174" i="1"/>
  <c r="N2174" i="1"/>
  <c r="L2175" i="1"/>
  <c r="M2175" i="1"/>
  <c r="N2175" i="1"/>
  <c r="L2176" i="1"/>
  <c r="M2176" i="1"/>
  <c r="N2176" i="1"/>
  <c r="L2177" i="1"/>
  <c r="M2177" i="1"/>
  <c r="N2177" i="1"/>
  <c r="L2178" i="1"/>
  <c r="M2178" i="1"/>
  <c r="N2178" i="1"/>
  <c r="L2179" i="1"/>
  <c r="M2179" i="1"/>
  <c r="N2179" i="1"/>
  <c r="L2180" i="1"/>
  <c r="M2180" i="1"/>
  <c r="N2180" i="1"/>
  <c r="L2181" i="1"/>
  <c r="M2181" i="1"/>
  <c r="N2181" i="1"/>
  <c r="L2182" i="1"/>
  <c r="M2182" i="1"/>
  <c r="N2182" i="1"/>
  <c r="L2183" i="1"/>
  <c r="M2183" i="1"/>
  <c r="N2183" i="1"/>
  <c r="L2184" i="1"/>
  <c r="M2184" i="1"/>
  <c r="N2184" i="1"/>
  <c r="L2185" i="1"/>
  <c r="M2185" i="1"/>
  <c r="N2185" i="1"/>
  <c r="L2186" i="1"/>
  <c r="M2186" i="1"/>
  <c r="N2186" i="1"/>
  <c r="L2187" i="1"/>
  <c r="M2187" i="1"/>
  <c r="N2187" i="1"/>
  <c r="L2188" i="1"/>
  <c r="M2188" i="1"/>
  <c r="N2188" i="1"/>
  <c r="L2189" i="1"/>
  <c r="M2189" i="1"/>
  <c r="N2189" i="1"/>
  <c r="L2190" i="1"/>
  <c r="M2190" i="1"/>
  <c r="N2190" i="1"/>
  <c r="L2191" i="1"/>
  <c r="M2191" i="1"/>
  <c r="N2191" i="1"/>
  <c r="L2192" i="1"/>
  <c r="M2192" i="1"/>
  <c r="N2192" i="1"/>
  <c r="L2193" i="1"/>
  <c r="M2193" i="1"/>
  <c r="N2193" i="1"/>
  <c r="L2194" i="1"/>
  <c r="M2194" i="1"/>
  <c r="N2194" i="1"/>
  <c r="L2195" i="1"/>
  <c r="M2195" i="1"/>
  <c r="N2195" i="1"/>
  <c r="L2196" i="1"/>
  <c r="M2196" i="1"/>
  <c r="N2196" i="1"/>
  <c r="L2197" i="1"/>
  <c r="M2197" i="1"/>
  <c r="N2197" i="1"/>
  <c r="L2198" i="1"/>
  <c r="M2198" i="1"/>
  <c r="N2198" i="1"/>
  <c r="L2199" i="1"/>
  <c r="M2199" i="1"/>
  <c r="N2199" i="1"/>
  <c r="L2200" i="1"/>
  <c r="M2200" i="1"/>
  <c r="N2200" i="1"/>
  <c r="L2201" i="1"/>
  <c r="M2201" i="1"/>
  <c r="N2201" i="1"/>
  <c r="L2202" i="1"/>
  <c r="M2202" i="1"/>
  <c r="N2202" i="1"/>
  <c r="L2203" i="1"/>
  <c r="M2203" i="1"/>
  <c r="N2203" i="1"/>
  <c r="L2204" i="1"/>
  <c r="M2204" i="1"/>
  <c r="N2204" i="1"/>
  <c r="L2205" i="1"/>
  <c r="M2205" i="1"/>
  <c r="N2205" i="1"/>
  <c r="L2206" i="1"/>
  <c r="M2206" i="1"/>
  <c r="N2206" i="1"/>
  <c r="L2207" i="1"/>
  <c r="M2207" i="1"/>
  <c r="N2207" i="1"/>
  <c r="L2208" i="1"/>
  <c r="M2208" i="1"/>
  <c r="N2208" i="1"/>
  <c r="L2209" i="1"/>
  <c r="M2209" i="1"/>
  <c r="N2209" i="1"/>
  <c r="L2210" i="1"/>
  <c r="M2210" i="1"/>
  <c r="N2210" i="1"/>
  <c r="L2211" i="1"/>
  <c r="M2211" i="1"/>
  <c r="N2211" i="1"/>
  <c r="L2212" i="1"/>
  <c r="M2212" i="1"/>
  <c r="N2212" i="1"/>
  <c r="L2213" i="1"/>
  <c r="M2213" i="1"/>
  <c r="N2213" i="1"/>
  <c r="L2214" i="1"/>
  <c r="M2214" i="1"/>
  <c r="N2214" i="1"/>
  <c r="L2215" i="1"/>
  <c r="M2215" i="1"/>
  <c r="N2215" i="1"/>
  <c r="L2216" i="1"/>
  <c r="M2216" i="1"/>
  <c r="N2216" i="1"/>
  <c r="L2217" i="1"/>
  <c r="M2217" i="1"/>
  <c r="N2217" i="1"/>
  <c r="L2218" i="1"/>
  <c r="M2218" i="1"/>
  <c r="N2218" i="1"/>
  <c r="L2219" i="1"/>
  <c r="M2219" i="1"/>
  <c r="N2219" i="1"/>
  <c r="L2220" i="1"/>
  <c r="M2220" i="1"/>
  <c r="N2220" i="1"/>
  <c r="L2221" i="1"/>
  <c r="M2221" i="1"/>
  <c r="N2221" i="1"/>
  <c r="L2222" i="1"/>
  <c r="M2222" i="1"/>
  <c r="N2222" i="1"/>
  <c r="L2223" i="1"/>
  <c r="M2223" i="1"/>
  <c r="N2223" i="1"/>
  <c r="L2224" i="1"/>
  <c r="M2224" i="1"/>
  <c r="N2224" i="1"/>
  <c r="L2225" i="1"/>
  <c r="M2225" i="1"/>
  <c r="N2225" i="1"/>
  <c r="L2226" i="1"/>
  <c r="M2226" i="1"/>
  <c r="N2226" i="1"/>
  <c r="L2227" i="1"/>
  <c r="M2227" i="1"/>
  <c r="N2227" i="1"/>
  <c r="L2228" i="1"/>
  <c r="M2228" i="1"/>
  <c r="N2228" i="1"/>
  <c r="L2229" i="1"/>
  <c r="M2229" i="1"/>
  <c r="N2229" i="1"/>
  <c r="L2230" i="1"/>
  <c r="M2230" i="1"/>
  <c r="N2230" i="1"/>
  <c r="L2231" i="1"/>
  <c r="M2231" i="1"/>
  <c r="N2231" i="1"/>
  <c r="L2232" i="1"/>
  <c r="M2232" i="1"/>
  <c r="N2232" i="1"/>
  <c r="L2233" i="1"/>
  <c r="M2233" i="1"/>
  <c r="N2233" i="1"/>
  <c r="L2234" i="1"/>
  <c r="M2234" i="1"/>
  <c r="N2234" i="1"/>
  <c r="L2235" i="1"/>
  <c r="M2235" i="1"/>
  <c r="N2235" i="1"/>
  <c r="L2236" i="1"/>
  <c r="M2236" i="1"/>
  <c r="N2236" i="1"/>
  <c r="L2237" i="1"/>
  <c r="M2237" i="1"/>
  <c r="N2237" i="1"/>
  <c r="L2238" i="1"/>
  <c r="M2238" i="1"/>
  <c r="N2238" i="1"/>
  <c r="L2239" i="1"/>
  <c r="M2239" i="1"/>
  <c r="N2239" i="1"/>
  <c r="L2240" i="1"/>
  <c r="M2240" i="1"/>
  <c r="N2240" i="1"/>
  <c r="L2241" i="1"/>
  <c r="M2241" i="1"/>
  <c r="N2241" i="1"/>
  <c r="L2242" i="1"/>
  <c r="M2242" i="1"/>
  <c r="N2242" i="1"/>
  <c r="L2243" i="1"/>
  <c r="M2243" i="1"/>
  <c r="N2243" i="1"/>
  <c r="L2244" i="1"/>
  <c r="M2244" i="1"/>
  <c r="N2244" i="1"/>
  <c r="L2245" i="1"/>
  <c r="M2245" i="1"/>
  <c r="N2245" i="1"/>
  <c r="L2246" i="1"/>
  <c r="M2246" i="1"/>
  <c r="N2246" i="1"/>
  <c r="L2247" i="1"/>
  <c r="M2247" i="1"/>
  <c r="N2247" i="1"/>
  <c r="L2248" i="1"/>
  <c r="M2248" i="1"/>
  <c r="N2248" i="1"/>
  <c r="L2249" i="1"/>
  <c r="M2249" i="1"/>
  <c r="N2249" i="1"/>
  <c r="L2250" i="1"/>
  <c r="M2250" i="1"/>
  <c r="N2250" i="1"/>
  <c r="L2251" i="1"/>
  <c r="M2251" i="1"/>
  <c r="N2251" i="1"/>
  <c r="L2252" i="1"/>
  <c r="M2252" i="1"/>
  <c r="N2252" i="1"/>
  <c r="L2253" i="1"/>
  <c r="M2253" i="1"/>
  <c r="N2253" i="1"/>
  <c r="L2254" i="1"/>
  <c r="M2254" i="1"/>
  <c r="N2254" i="1"/>
  <c r="L2255" i="1"/>
  <c r="M2255" i="1"/>
  <c r="N2255" i="1"/>
  <c r="L2256" i="1"/>
  <c r="M2256" i="1"/>
  <c r="N2256" i="1"/>
  <c r="L2257" i="1"/>
  <c r="M2257" i="1"/>
  <c r="N2257" i="1"/>
  <c r="L2258" i="1"/>
  <c r="M2258" i="1"/>
  <c r="N2258" i="1"/>
  <c r="L2259" i="1"/>
  <c r="M2259" i="1"/>
  <c r="N2259" i="1"/>
  <c r="L2260" i="1"/>
  <c r="M2260" i="1"/>
  <c r="N2260" i="1"/>
  <c r="L2261" i="1"/>
  <c r="M2261" i="1"/>
  <c r="N2261" i="1"/>
  <c r="L2262" i="1"/>
  <c r="M2262" i="1"/>
  <c r="N2262" i="1"/>
  <c r="L2263" i="1"/>
  <c r="M2263" i="1"/>
  <c r="N2263" i="1"/>
  <c r="L2264" i="1"/>
  <c r="M2264" i="1"/>
  <c r="N2264" i="1"/>
  <c r="L2265" i="1"/>
  <c r="M2265" i="1"/>
  <c r="N2265" i="1"/>
  <c r="L2266" i="1"/>
  <c r="M2266" i="1"/>
  <c r="N2266" i="1"/>
  <c r="L2267" i="1"/>
  <c r="M2267" i="1"/>
  <c r="N2267" i="1"/>
  <c r="L2268" i="1"/>
  <c r="M2268" i="1"/>
  <c r="N2268" i="1"/>
  <c r="L2269" i="1"/>
  <c r="M2269" i="1"/>
  <c r="N2269" i="1"/>
  <c r="L2270" i="1"/>
  <c r="M2270" i="1"/>
  <c r="N2270" i="1"/>
  <c r="L2271" i="1"/>
  <c r="M2271" i="1"/>
  <c r="N2271" i="1"/>
  <c r="L2272" i="1"/>
  <c r="M2272" i="1"/>
  <c r="N2272" i="1"/>
  <c r="L2273" i="1"/>
  <c r="M2273" i="1"/>
  <c r="N2273" i="1"/>
  <c r="L2274" i="1"/>
  <c r="M2274" i="1"/>
  <c r="N2274" i="1"/>
  <c r="L2275" i="1"/>
  <c r="M2275" i="1"/>
  <c r="N2275" i="1"/>
  <c r="L2276" i="1"/>
  <c r="M2276" i="1"/>
  <c r="N2276" i="1"/>
  <c r="L2277" i="1"/>
  <c r="M2277" i="1"/>
  <c r="N2277" i="1"/>
  <c r="L2278" i="1"/>
  <c r="M2278" i="1"/>
  <c r="N2278" i="1"/>
  <c r="L2279" i="1"/>
  <c r="M2279" i="1"/>
  <c r="N2279" i="1"/>
  <c r="L2280" i="1"/>
  <c r="M2280" i="1"/>
  <c r="N2280" i="1"/>
  <c r="L2281" i="1"/>
  <c r="M2281" i="1"/>
  <c r="N2281" i="1"/>
  <c r="L2282" i="1"/>
  <c r="M2282" i="1"/>
  <c r="N2282" i="1"/>
  <c r="L2283" i="1"/>
  <c r="M2283" i="1"/>
  <c r="N2283" i="1"/>
  <c r="L2284" i="1"/>
  <c r="M2284" i="1"/>
  <c r="N2284" i="1"/>
  <c r="L2285" i="1"/>
  <c r="M2285" i="1"/>
  <c r="N2285" i="1"/>
  <c r="L2286" i="1"/>
  <c r="M2286" i="1"/>
  <c r="N2286" i="1"/>
  <c r="L2287" i="1"/>
  <c r="M2287" i="1"/>
  <c r="N2287" i="1"/>
  <c r="L2288" i="1"/>
  <c r="M2288" i="1"/>
  <c r="N2288" i="1"/>
  <c r="L2289" i="1"/>
  <c r="M2289" i="1"/>
  <c r="N2289" i="1"/>
  <c r="L2290" i="1"/>
  <c r="M2290" i="1"/>
  <c r="N2290" i="1"/>
  <c r="L2291" i="1"/>
  <c r="M2291" i="1"/>
  <c r="N2291" i="1"/>
  <c r="L2292" i="1"/>
  <c r="M2292" i="1"/>
  <c r="N2292" i="1"/>
  <c r="L2293" i="1"/>
  <c r="M2293" i="1"/>
  <c r="N2293" i="1"/>
  <c r="L2294" i="1"/>
  <c r="M2294" i="1"/>
  <c r="N2294" i="1"/>
  <c r="L2295" i="1"/>
  <c r="M2295" i="1"/>
  <c r="N2295" i="1"/>
  <c r="L2296" i="1"/>
  <c r="M2296" i="1"/>
  <c r="N2296" i="1"/>
  <c r="L2297" i="1"/>
  <c r="M2297" i="1"/>
  <c r="N2297" i="1"/>
  <c r="L2298" i="1"/>
  <c r="M2298" i="1"/>
  <c r="N2298" i="1"/>
  <c r="L2299" i="1"/>
  <c r="M2299" i="1"/>
  <c r="N2299" i="1"/>
  <c r="L2300" i="1"/>
  <c r="M2300" i="1"/>
  <c r="N2300" i="1"/>
  <c r="L2301" i="1"/>
  <c r="M2301" i="1"/>
  <c r="N2301" i="1"/>
  <c r="L2302" i="1"/>
  <c r="M2302" i="1"/>
  <c r="N2302" i="1"/>
  <c r="L2303" i="1"/>
  <c r="M2303" i="1"/>
  <c r="N2303" i="1"/>
  <c r="L2304" i="1"/>
  <c r="M2304" i="1"/>
  <c r="N2304" i="1"/>
  <c r="L2305" i="1"/>
  <c r="M2305" i="1"/>
  <c r="N2305" i="1"/>
  <c r="L2306" i="1"/>
  <c r="M2306" i="1"/>
  <c r="N2306" i="1"/>
  <c r="L2307" i="1"/>
  <c r="M2307" i="1"/>
  <c r="N2307" i="1"/>
  <c r="L2308" i="1"/>
  <c r="M2308" i="1"/>
  <c r="N2308" i="1"/>
  <c r="L2309" i="1"/>
  <c r="M2309" i="1"/>
  <c r="N2309" i="1"/>
  <c r="L2310" i="1"/>
  <c r="M2310" i="1"/>
  <c r="N2310" i="1"/>
  <c r="L2311" i="1"/>
  <c r="M2311" i="1"/>
  <c r="N2311" i="1"/>
  <c r="L2312" i="1"/>
  <c r="M2312" i="1"/>
  <c r="N2312" i="1"/>
  <c r="L2313" i="1"/>
  <c r="M2313" i="1"/>
  <c r="N2313" i="1"/>
  <c r="L2314" i="1"/>
  <c r="M2314" i="1"/>
  <c r="N2314" i="1"/>
  <c r="L2315" i="1"/>
  <c r="M2315" i="1"/>
  <c r="N2315" i="1"/>
  <c r="L2316" i="1"/>
  <c r="M2316" i="1"/>
  <c r="N2316" i="1"/>
  <c r="L2317" i="1"/>
  <c r="M2317" i="1"/>
  <c r="N2317" i="1"/>
  <c r="L2318" i="1"/>
  <c r="M2318" i="1"/>
  <c r="N2318" i="1"/>
  <c r="L2319" i="1"/>
  <c r="M2319" i="1"/>
  <c r="N2319" i="1"/>
  <c r="L2320" i="1"/>
  <c r="M2320" i="1"/>
  <c r="N2320" i="1"/>
  <c r="L2321" i="1"/>
  <c r="M2321" i="1"/>
  <c r="N2321" i="1"/>
  <c r="L2322" i="1"/>
  <c r="M2322" i="1"/>
  <c r="N2322" i="1"/>
  <c r="L2323" i="1"/>
  <c r="M2323" i="1"/>
  <c r="N2323" i="1"/>
  <c r="L2324" i="1"/>
  <c r="M2324" i="1"/>
  <c r="N2324" i="1"/>
  <c r="L2325" i="1"/>
  <c r="M2325" i="1"/>
  <c r="N2325" i="1"/>
  <c r="L2326" i="1"/>
  <c r="M2326" i="1"/>
  <c r="N2326" i="1"/>
  <c r="L2327" i="1"/>
  <c r="M2327" i="1"/>
  <c r="N2327" i="1"/>
  <c r="L2328" i="1"/>
  <c r="M2328" i="1"/>
  <c r="N2328" i="1"/>
  <c r="L2329" i="1"/>
  <c r="M2329" i="1"/>
  <c r="N2329" i="1"/>
  <c r="L2330" i="1"/>
  <c r="M2330" i="1"/>
  <c r="N2330" i="1"/>
  <c r="L2331" i="1"/>
  <c r="M2331" i="1"/>
  <c r="N2331" i="1"/>
  <c r="L2332" i="1"/>
  <c r="M2332" i="1"/>
  <c r="N2332" i="1"/>
  <c r="L2333" i="1"/>
  <c r="M2333" i="1"/>
  <c r="N2333" i="1"/>
  <c r="L2334" i="1"/>
  <c r="M2334" i="1"/>
  <c r="N2334" i="1"/>
  <c r="L2335" i="1"/>
  <c r="M2335" i="1"/>
  <c r="N2335" i="1"/>
  <c r="L2336" i="1"/>
  <c r="M2336" i="1"/>
  <c r="N2336" i="1"/>
  <c r="L2337" i="1"/>
  <c r="M2337" i="1"/>
  <c r="N2337" i="1"/>
  <c r="L2338" i="1"/>
  <c r="M2338" i="1"/>
  <c r="N2338" i="1"/>
  <c r="L2339" i="1"/>
  <c r="M2339" i="1"/>
  <c r="N2339" i="1"/>
  <c r="L2340" i="1"/>
  <c r="M2340" i="1"/>
  <c r="N2340" i="1"/>
  <c r="L2341" i="1"/>
  <c r="M2341" i="1"/>
  <c r="N2341" i="1"/>
  <c r="L2342" i="1"/>
  <c r="M2342" i="1"/>
  <c r="N2342" i="1"/>
  <c r="L2343" i="1"/>
  <c r="M2343" i="1"/>
  <c r="N2343" i="1"/>
  <c r="L2344" i="1"/>
  <c r="M2344" i="1"/>
  <c r="N2344" i="1"/>
  <c r="L2345" i="1"/>
  <c r="M2345" i="1"/>
  <c r="N2345" i="1"/>
  <c r="L2346" i="1"/>
  <c r="M2346" i="1"/>
  <c r="N2346" i="1"/>
  <c r="L2347" i="1"/>
  <c r="M2347" i="1"/>
  <c r="N2347" i="1"/>
  <c r="L2348" i="1"/>
  <c r="M2348" i="1"/>
  <c r="N2348" i="1"/>
  <c r="L2349" i="1"/>
  <c r="M2349" i="1"/>
  <c r="N2349" i="1"/>
  <c r="L2350" i="1"/>
  <c r="M2350" i="1"/>
  <c r="N2350" i="1"/>
  <c r="L2351" i="1"/>
  <c r="M2351" i="1"/>
  <c r="N2351" i="1"/>
  <c r="L2352" i="1"/>
  <c r="M2352" i="1"/>
  <c r="N2352" i="1"/>
  <c r="L2353" i="1"/>
  <c r="M2353" i="1"/>
  <c r="N2353" i="1"/>
  <c r="L2354" i="1"/>
  <c r="M2354" i="1"/>
  <c r="N2354" i="1"/>
  <c r="L2355" i="1"/>
  <c r="M2355" i="1"/>
  <c r="N2355" i="1"/>
  <c r="L2356" i="1"/>
  <c r="M2356" i="1"/>
  <c r="N2356" i="1"/>
  <c r="L2357" i="1"/>
  <c r="M2357" i="1"/>
  <c r="N2357" i="1"/>
  <c r="L2358" i="1"/>
  <c r="M2358" i="1"/>
  <c r="N2358" i="1"/>
  <c r="L2359" i="1"/>
  <c r="M2359" i="1"/>
  <c r="N2359" i="1"/>
  <c r="L2360" i="1"/>
  <c r="M2360" i="1"/>
  <c r="N2360" i="1"/>
  <c r="L2361" i="1"/>
  <c r="M2361" i="1"/>
  <c r="N2361" i="1"/>
  <c r="L2362" i="1"/>
  <c r="M2362" i="1"/>
  <c r="N2362" i="1"/>
  <c r="L2363" i="1"/>
  <c r="M2363" i="1"/>
  <c r="N2363" i="1"/>
  <c r="L2364" i="1"/>
  <c r="M2364" i="1"/>
  <c r="N2364" i="1"/>
  <c r="L2365" i="1"/>
  <c r="M2365" i="1"/>
  <c r="N2365" i="1"/>
  <c r="L2366" i="1"/>
  <c r="M2366" i="1"/>
  <c r="N2366" i="1"/>
  <c r="L2367" i="1"/>
  <c r="M2367" i="1"/>
  <c r="N2367" i="1"/>
  <c r="L2368" i="1"/>
  <c r="M2368" i="1"/>
  <c r="N2368" i="1"/>
  <c r="L2369" i="1"/>
  <c r="M2369" i="1"/>
  <c r="N2369" i="1"/>
  <c r="L2370" i="1"/>
  <c r="M2370" i="1"/>
  <c r="N2370" i="1"/>
  <c r="L2371" i="1"/>
  <c r="M2371" i="1"/>
  <c r="N2371" i="1"/>
  <c r="L2372" i="1"/>
  <c r="M2372" i="1"/>
  <c r="N2372" i="1"/>
  <c r="L2373" i="1"/>
  <c r="M2373" i="1"/>
  <c r="N2373" i="1"/>
  <c r="L2374" i="1"/>
  <c r="M2374" i="1"/>
  <c r="N2374" i="1"/>
  <c r="L2375" i="1"/>
  <c r="M2375" i="1"/>
  <c r="N2375" i="1"/>
  <c r="L2376" i="1"/>
  <c r="M2376" i="1"/>
  <c r="N2376" i="1"/>
  <c r="L2377" i="1"/>
  <c r="M2377" i="1"/>
  <c r="N2377" i="1"/>
  <c r="L2378" i="1"/>
  <c r="M2378" i="1"/>
  <c r="N2378" i="1"/>
  <c r="L2379" i="1"/>
  <c r="M2379" i="1"/>
  <c r="N2379" i="1"/>
  <c r="L2380" i="1"/>
  <c r="M2380" i="1"/>
  <c r="N2380" i="1"/>
  <c r="L2381" i="1"/>
  <c r="M2381" i="1"/>
  <c r="N2381" i="1"/>
  <c r="L2382" i="1"/>
  <c r="M2382" i="1"/>
  <c r="N2382" i="1"/>
  <c r="L2383" i="1"/>
  <c r="M2383" i="1"/>
  <c r="N2383" i="1"/>
  <c r="L2384" i="1"/>
  <c r="M2384" i="1"/>
  <c r="N2384" i="1"/>
  <c r="L2385" i="1"/>
  <c r="M2385" i="1"/>
  <c r="N2385" i="1"/>
  <c r="L2386" i="1"/>
  <c r="M2386" i="1"/>
  <c r="N2386" i="1"/>
  <c r="L2387" i="1"/>
  <c r="M2387" i="1"/>
  <c r="N2387" i="1"/>
  <c r="L2388" i="1"/>
  <c r="M2388" i="1"/>
  <c r="N2388" i="1"/>
  <c r="L2389" i="1"/>
  <c r="M2389" i="1"/>
  <c r="N2389" i="1"/>
  <c r="L2390" i="1"/>
  <c r="M2390" i="1"/>
  <c r="N2390" i="1"/>
  <c r="L2391" i="1"/>
  <c r="M2391" i="1"/>
  <c r="N2391" i="1"/>
  <c r="L2392" i="1"/>
  <c r="M2392" i="1"/>
  <c r="N2392" i="1"/>
  <c r="L2393" i="1"/>
  <c r="M2393" i="1"/>
  <c r="N2393" i="1"/>
  <c r="L2394" i="1"/>
  <c r="M2394" i="1"/>
  <c r="N2394" i="1"/>
  <c r="L2395" i="1"/>
  <c r="M2395" i="1"/>
  <c r="N2395" i="1"/>
  <c r="L2396" i="1"/>
  <c r="M2396" i="1"/>
  <c r="N2396" i="1"/>
  <c r="L2397" i="1"/>
  <c r="M2397" i="1"/>
  <c r="N2397" i="1"/>
  <c r="L2398" i="1"/>
  <c r="M2398" i="1"/>
  <c r="N2398" i="1"/>
  <c r="L2399" i="1"/>
  <c r="M2399" i="1"/>
  <c r="N2399" i="1"/>
  <c r="L2400" i="1"/>
  <c r="M2400" i="1"/>
  <c r="N2400" i="1"/>
  <c r="L2401" i="1"/>
  <c r="M2401" i="1"/>
  <c r="N2401" i="1"/>
  <c r="L2402" i="1"/>
  <c r="M2402" i="1"/>
  <c r="N2402" i="1"/>
  <c r="L2403" i="1"/>
  <c r="M2403" i="1"/>
  <c r="N2403" i="1"/>
  <c r="L2404" i="1"/>
  <c r="M2404" i="1"/>
  <c r="N2404" i="1"/>
  <c r="L2405" i="1"/>
  <c r="M2405" i="1"/>
  <c r="N2405" i="1"/>
  <c r="L2406" i="1"/>
  <c r="M2406" i="1"/>
  <c r="N2406" i="1"/>
  <c r="L2407" i="1"/>
  <c r="M2407" i="1"/>
  <c r="N2407" i="1"/>
  <c r="L2408" i="1"/>
  <c r="M2408" i="1"/>
  <c r="N2408" i="1"/>
  <c r="L2409" i="1"/>
  <c r="M2409" i="1"/>
  <c r="N2409" i="1"/>
  <c r="L2410" i="1"/>
  <c r="M2410" i="1"/>
  <c r="N2410" i="1"/>
  <c r="L2411" i="1"/>
  <c r="M2411" i="1"/>
  <c r="N2411" i="1"/>
  <c r="L2412" i="1"/>
  <c r="M2412" i="1"/>
  <c r="N2412" i="1"/>
  <c r="L2413" i="1"/>
  <c r="M2413" i="1"/>
  <c r="N2413" i="1"/>
  <c r="L2414" i="1"/>
  <c r="M2414" i="1"/>
  <c r="N2414" i="1"/>
  <c r="L2415" i="1"/>
  <c r="M2415" i="1"/>
  <c r="N2415" i="1"/>
  <c r="L2416" i="1"/>
  <c r="M2416" i="1"/>
  <c r="N2416" i="1"/>
  <c r="L2417" i="1"/>
  <c r="M2417" i="1"/>
  <c r="N2417" i="1"/>
  <c r="L2418" i="1"/>
  <c r="M2418" i="1"/>
  <c r="N2418" i="1"/>
  <c r="L2419" i="1"/>
  <c r="M2419" i="1"/>
  <c r="N2419" i="1"/>
  <c r="L2420" i="1"/>
  <c r="M2420" i="1"/>
  <c r="N2420" i="1"/>
  <c r="L2421" i="1"/>
  <c r="M2421" i="1"/>
  <c r="N2421" i="1"/>
  <c r="L2422" i="1"/>
  <c r="M2422" i="1"/>
  <c r="N2422" i="1"/>
  <c r="L2423" i="1"/>
  <c r="M2423" i="1"/>
  <c r="N2423" i="1"/>
  <c r="L2424" i="1"/>
  <c r="M2424" i="1"/>
  <c r="N2424" i="1"/>
  <c r="L2425" i="1"/>
  <c r="M2425" i="1"/>
  <c r="N2425" i="1"/>
  <c r="L2426" i="1"/>
  <c r="M2426" i="1"/>
  <c r="N2426" i="1"/>
  <c r="L2427" i="1"/>
  <c r="M2427" i="1"/>
  <c r="N2427" i="1"/>
  <c r="L2428" i="1"/>
  <c r="M2428" i="1"/>
  <c r="N2428" i="1"/>
  <c r="L2429" i="1"/>
  <c r="M2429" i="1"/>
  <c r="N2429" i="1"/>
  <c r="L2430" i="1"/>
  <c r="M2430" i="1"/>
  <c r="N2430" i="1"/>
  <c r="L2431" i="1"/>
  <c r="M2431" i="1"/>
  <c r="N2431" i="1"/>
  <c r="L2432" i="1"/>
  <c r="M2432" i="1"/>
  <c r="N2432" i="1"/>
  <c r="L2433" i="1"/>
  <c r="M2433" i="1"/>
  <c r="N2433" i="1"/>
  <c r="L2434" i="1"/>
  <c r="M2434" i="1"/>
  <c r="N2434" i="1"/>
  <c r="L2435" i="1"/>
  <c r="M2435" i="1"/>
  <c r="N2435" i="1"/>
  <c r="L2436" i="1"/>
  <c r="M2436" i="1"/>
  <c r="N2436" i="1"/>
  <c r="L2437" i="1"/>
  <c r="M2437" i="1"/>
  <c r="N2437" i="1"/>
  <c r="L2438" i="1"/>
  <c r="M2438" i="1"/>
  <c r="N2438" i="1"/>
  <c r="L2439" i="1"/>
  <c r="M2439" i="1"/>
  <c r="N2439" i="1"/>
  <c r="L2440" i="1"/>
  <c r="M2440" i="1"/>
  <c r="N2440" i="1"/>
  <c r="L2441" i="1"/>
  <c r="M2441" i="1"/>
  <c r="N2441" i="1"/>
  <c r="L2442" i="1"/>
  <c r="M2442" i="1"/>
  <c r="N2442" i="1"/>
  <c r="L2443" i="1"/>
  <c r="M2443" i="1"/>
  <c r="N2443" i="1"/>
  <c r="L2444" i="1"/>
  <c r="M2444" i="1"/>
  <c r="N2444" i="1"/>
  <c r="L2445" i="1"/>
  <c r="M2445" i="1"/>
  <c r="N2445" i="1"/>
  <c r="L2446" i="1"/>
  <c r="M2446" i="1"/>
  <c r="N2446" i="1"/>
  <c r="L2447" i="1"/>
  <c r="M2447" i="1"/>
  <c r="N2447" i="1"/>
  <c r="L2448" i="1"/>
  <c r="M2448" i="1"/>
  <c r="N2448" i="1"/>
  <c r="L2449" i="1"/>
  <c r="M2449" i="1"/>
  <c r="N2449" i="1"/>
  <c r="L2450" i="1"/>
  <c r="M2450" i="1"/>
  <c r="N2450" i="1"/>
  <c r="L2451" i="1"/>
  <c r="M2451" i="1"/>
  <c r="N2451" i="1"/>
  <c r="L2452" i="1"/>
  <c r="M2452" i="1"/>
  <c r="N2452" i="1"/>
  <c r="L2453" i="1"/>
  <c r="M2453" i="1"/>
  <c r="N2453" i="1"/>
  <c r="L2454" i="1"/>
  <c r="M2454" i="1"/>
  <c r="N2454" i="1"/>
  <c r="L2455" i="1"/>
  <c r="M2455" i="1"/>
  <c r="N2455" i="1"/>
  <c r="L2456" i="1"/>
  <c r="M2456" i="1"/>
  <c r="N2456" i="1"/>
  <c r="L2457" i="1"/>
  <c r="M2457" i="1"/>
  <c r="N2457" i="1"/>
  <c r="L2458" i="1"/>
  <c r="M2458" i="1"/>
  <c r="N2458" i="1"/>
  <c r="L2459" i="1"/>
  <c r="M2459" i="1"/>
  <c r="N2459" i="1"/>
  <c r="L2460" i="1"/>
  <c r="M2460" i="1"/>
  <c r="N2460" i="1"/>
  <c r="L2461" i="1"/>
  <c r="M2461" i="1"/>
  <c r="N2461" i="1"/>
  <c r="L2462" i="1"/>
  <c r="M2462" i="1"/>
  <c r="N2462" i="1"/>
  <c r="L2463" i="1"/>
  <c r="M2463" i="1"/>
  <c r="N2463" i="1"/>
  <c r="L2464" i="1"/>
  <c r="M2464" i="1"/>
  <c r="N2464" i="1"/>
  <c r="L2465" i="1"/>
  <c r="M2465" i="1"/>
  <c r="N2465" i="1"/>
  <c r="L2466" i="1"/>
  <c r="M2466" i="1"/>
  <c r="N2466" i="1"/>
  <c r="L2467" i="1"/>
  <c r="M2467" i="1"/>
  <c r="N2467" i="1"/>
  <c r="L2468" i="1"/>
  <c r="M2468" i="1"/>
  <c r="N2468" i="1"/>
  <c r="L2469" i="1"/>
  <c r="M2469" i="1"/>
  <c r="N2469" i="1"/>
  <c r="L2470" i="1"/>
  <c r="M2470" i="1"/>
  <c r="N2470" i="1"/>
  <c r="L2471" i="1"/>
  <c r="M2471" i="1"/>
  <c r="N2471" i="1"/>
  <c r="L2472" i="1"/>
  <c r="M2472" i="1"/>
  <c r="N2472" i="1"/>
  <c r="L2473" i="1"/>
  <c r="M2473" i="1"/>
  <c r="N2473" i="1"/>
  <c r="L2474" i="1"/>
  <c r="M2474" i="1"/>
  <c r="N2474" i="1"/>
  <c r="L2475" i="1"/>
  <c r="M2475" i="1"/>
  <c r="N2475" i="1"/>
  <c r="L2476" i="1"/>
  <c r="M2476" i="1"/>
  <c r="N2476" i="1"/>
  <c r="L2477" i="1"/>
  <c r="M2477" i="1"/>
  <c r="N2477" i="1"/>
  <c r="L2478" i="1"/>
  <c r="M2478" i="1"/>
  <c r="N2478" i="1"/>
  <c r="L2479" i="1"/>
  <c r="M2479" i="1"/>
  <c r="N2479" i="1"/>
  <c r="L2480" i="1"/>
  <c r="M2480" i="1"/>
  <c r="N2480" i="1"/>
  <c r="L2481" i="1"/>
  <c r="M2481" i="1"/>
  <c r="N2481" i="1"/>
  <c r="L2482" i="1"/>
  <c r="M2482" i="1"/>
  <c r="N2482" i="1"/>
  <c r="L2483" i="1"/>
  <c r="M2483" i="1"/>
  <c r="N2483" i="1"/>
  <c r="L2484" i="1"/>
  <c r="M2484" i="1"/>
  <c r="N2484" i="1"/>
  <c r="L2485" i="1"/>
  <c r="M2485" i="1"/>
  <c r="N2485" i="1"/>
  <c r="L2486" i="1"/>
  <c r="M2486" i="1"/>
  <c r="N2486" i="1"/>
  <c r="L2487" i="1"/>
  <c r="M2487" i="1"/>
  <c r="N2487" i="1"/>
  <c r="L2488" i="1"/>
  <c r="M2488" i="1"/>
  <c r="N2488" i="1"/>
  <c r="L2489" i="1"/>
  <c r="M2489" i="1"/>
  <c r="N2489" i="1"/>
  <c r="L2490" i="1"/>
  <c r="M2490" i="1"/>
  <c r="N2490" i="1"/>
  <c r="L2491" i="1"/>
  <c r="M2491" i="1"/>
  <c r="N2491" i="1"/>
  <c r="L2492" i="1"/>
  <c r="M2492" i="1"/>
  <c r="N2492" i="1"/>
  <c r="L2493" i="1"/>
  <c r="M2493" i="1"/>
  <c r="N2493" i="1"/>
  <c r="L2494" i="1"/>
  <c r="M2494" i="1"/>
  <c r="N2494" i="1"/>
  <c r="L2495" i="1"/>
  <c r="M2495" i="1"/>
  <c r="N2495" i="1"/>
  <c r="L2496" i="1"/>
  <c r="M2496" i="1"/>
  <c r="N2496" i="1"/>
  <c r="L2497" i="1"/>
  <c r="M2497" i="1"/>
  <c r="N2497" i="1"/>
  <c r="L2498" i="1"/>
  <c r="M2498" i="1"/>
  <c r="N2498" i="1"/>
  <c r="L2499" i="1"/>
  <c r="M2499" i="1"/>
  <c r="N2499" i="1"/>
  <c r="L2500" i="1"/>
  <c r="M2500" i="1"/>
  <c r="N2500" i="1"/>
  <c r="L2501" i="1"/>
  <c r="M2501" i="1"/>
  <c r="N2501" i="1"/>
  <c r="L2502" i="1"/>
  <c r="M2502" i="1"/>
  <c r="N2502" i="1"/>
  <c r="L2503" i="1"/>
  <c r="M2503" i="1"/>
  <c r="N2503" i="1"/>
  <c r="L2504" i="1"/>
  <c r="M2504" i="1"/>
  <c r="N2504" i="1"/>
  <c r="L2505" i="1"/>
  <c r="M2505" i="1"/>
  <c r="N2505" i="1"/>
  <c r="L2506" i="1"/>
  <c r="M2506" i="1"/>
  <c r="N2506" i="1"/>
  <c r="L2507" i="1"/>
  <c r="M2507" i="1"/>
  <c r="N2507" i="1"/>
  <c r="L2508" i="1"/>
  <c r="M2508" i="1"/>
  <c r="N2508" i="1"/>
  <c r="L2509" i="1"/>
  <c r="M2509" i="1"/>
  <c r="N2509" i="1"/>
  <c r="L2510" i="1"/>
  <c r="M2510" i="1"/>
  <c r="N2510" i="1"/>
  <c r="L2511" i="1"/>
  <c r="M2511" i="1"/>
  <c r="N2511" i="1"/>
  <c r="L2512" i="1"/>
  <c r="M2512" i="1"/>
  <c r="N2512" i="1"/>
  <c r="L2513" i="1"/>
  <c r="M2513" i="1"/>
  <c r="N2513" i="1"/>
  <c r="L2514" i="1"/>
  <c r="M2514" i="1"/>
  <c r="N2514" i="1"/>
  <c r="L2515" i="1"/>
  <c r="M2515" i="1"/>
  <c r="N2515" i="1"/>
  <c r="L2516" i="1"/>
  <c r="M2516" i="1"/>
  <c r="N2516" i="1"/>
  <c r="L2517" i="1"/>
  <c r="M2517" i="1"/>
  <c r="N2517" i="1"/>
  <c r="L2518" i="1"/>
  <c r="M2518" i="1"/>
  <c r="N2518" i="1"/>
  <c r="L2519" i="1"/>
  <c r="M2519" i="1"/>
  <c r="N2519" i="1"/>
  <c r="L2520" i="1"/>
  <c r="M2520" i="1"/>
  <c r="N2520" i="1"/>
  <c r="L2521" i="1"/>
  <c r="M2521" i="1"/>
  <c r="N2521" i="1"/>
  <c r="L2522" i="1"/>
  <c r="M2522" i="1"/>
  <c r="N2522" i="1"/>
  <c r="L2523" i="1"/>
  <c r="M2523" i="1"/>
  <c r="N2523" i="1"/>
  <c r="L2524" i="1"/>
  <c r="M2524" i="1"/>
  <c r="N2524" i="1"/>
  <c r="L2525" i="1"/>
  <c r="M2525" i="1"/>
  <c r="N2525" i="1"/>
  <c r="L2526" i="1"/>
  <c r="M2526" i="1"/>
  <c r="N2526" i="1"/>
  <c r="L2527" i="1"/>
  <c r="M2527" i="1"/>
  <c r="N2527" i="1"/>
  <c r="L2528" i="1"/>
  <c r="M2528" i="1"/>
  <c r="N2528" i="1"/>
  <c r="L2529" i="1"/>
  <c r="M2529" i="1"/>
  <c r="N2529" i="1"/>
  <c r="L2530" i="1"/>
  <c r="M2530" i="1"/>
  <c r="N2530" i="1"/>
  <c r="L2531" i="1"/>
  <c r="M2531" i="1"/>
  <c r="N2531" i="1"/>
  <c r="L2532" i="1"/>
  <c r="M2532" i="1"/>
  <c r="N2532" i="1"/>
  <c r="L2533" i="1"/>
  <c r="M2533" i="1"/>
  <c r="N2533" i="1"/>
  <c r="L2534" i="1"/>
  <c r="M2534" i="1"/>
  <c r="N2534" i="1"/>
  <c r="L2535" i="1"/>
  <c r="M2535" i="1"/>
  <c r="N2535" i="1"/>
  <c r="L2536" i="1"/>
  <c r="M2536" i="1"/>
  <c r="N2536" i="1"/>
  <c r="L2537" i="1"/>
  <c r="M2537" i="1"/>
  <c r="N2537" i="1"/>
  <c r="L2538" i="1"/>
  <c r="M2538" i="1"/>
  <c r="N2538" i="1"/>
  <c r="L2539" i="1"/>
  <c r="M2539" i="1"/>
  <c r="N2539" i="1"/>
  <c r="L2540" i="1"/>
  <c r="M2540" i="1"/>
  <c r="N2540" i="1"/>
  <c r="L2541" i="1"/>
  <c r="M2541" i="1"/>
  <c r="N2541" i="1"/>
  <c r="L2542" i="1"/>
  <c r="M2542" i="1"/>
  <c r="N2542" i="1"/>
  <c r="L2543" i="1"/>
  <c r="M2543" i="1"/>
  <c r="N2543" i="1"/>
  <c r="L2544" i="1"/>
  <c r="M2544" i="1"/>
  <c r="N2544" i="1"/>
  <c r="L2545" i="1"/>
  <c r="M2545" i="1"/>
  <c r="N2545" i="1"/>
  <c r="L2546" i="1"/>
  <c r="M2546" i="1"/>
  <c r="N2546" i="1"/>
  <c r="L2547" i="1"/>
  <c r="M2547" i="1"/>
  <c r="N2547" i="1"/>
  <c r="L2548" i="1"/>
  <c r="M2548" i="1"/>
  <c r="N2548" i="1"/>
  <c r="L2549" i="1"/>
  <c r="M2549" i="1"/>
  <c r="N2549" i="1"/>
  <c r="L2550" i="1"/>
  <c r="M2550" i="1"/>
  <c r="N2550" i="1"/>
  <c r="L2551" i="1"/>
  <c r="M2551" i="1"/>
  <c r="N2551" i="1"/>
  <c r="L2552" i="1"/>
  <c r="M2552" i="1"/>
  <c r="N2552" i="1"/>
  <c r="L2553" i="1"/>
  <c r="M2553" i="1"/>
  <c r="N2553" i="1"/>
  <c r="L2554" i="1"/>
  <c r="M2554" i="1"/>
  <c r="N2554" i="1"/>
  <c r="L2555" i="1"/>
  <c r="M2555" i="1"/>
  <c r="N2555" i="1"/>
  <c r="L2556" i="1"/>
  <c r="M2556" i="1"/>
  <c r="N2556" i="1"/>
  <c r="L2557" i="1"/>
  <c r="M2557" i="1"/>
  <c r="N2557" i="1"/>
  <c r="L2558" i="1"/>
  <c r="M2558" i="1"/>
  <c r="N2558" i="1"/>
  <c r="L2559" i="1"/>
  <c r="M2559" i="1"/>
  <c r="N2559" i="1"/>
  <c r="L2560" i="1"/>
  <c r="M2560" i="1"/>
  <c r="N2560" i="1"/>
  <c r="L2561" i="1"/>
  <c r="M2561" i="1"/>
  <c r="N2561" i="1"/>
  <c r="L2562" i="1"/>
  <c r="M2562" i="1"/>
  <c r="N2562" i="1"/>
  <c r="L2563" i="1"/>
  <c r="M2563" i="1"/>
  <c r="N2563" i="1"/>
  <c r="L2564" i="1"/>
  <c r="M2564" i="1"/>
  <c r="N2564" i="1"/>
  <c r="L2565" i="1"/>
  <c r="M2565" i="1"/>
  <c r="N2565" i="1"/>
  <c r="L2566" i="1"/>
  <c r="M2566" i="1"/>
  <c r="N2566" i="1"/>
  <c r="L2567" i="1"/>
  <c r="M2567" i="1"/>
  <c r="N2567" i="1"/>
  <c r="L2568" i="1"/>
  <c r="M2568" i="1"/>
  <c r="N2568" i="1"/>
  <c r="L2569" i="1"/>
  <c r="M2569" i="1"/>
  <c r="N2569" i="1"/>
  <c r="L2570" i="1"/>
  <c r="M2570" i="1"/>
  <c r="N2570" i="1"/>
  <c r="L2571" i="1"/>
  <c r="M2571" i="1"/>
  <c r="N2571" i="1"/>
  <c r="L2572" i="1"/>
  <c r="M2572" i="1"/>
  <c r="N2572" i="1"/>
  <c r="L2573" i="1"/>
  <c r="M2573" i="1"/>
  <c r="N2573" i="1"/>
  <c r="L2574" i="1"/>
  <c r="M2574" i="1"/>
  <c r="N2574" i="1"/>
  <c r="L2575" i="1"/>
  <c r="M2575" i="1"/>
  <c r="N2575" i="1"/>
  <c r="L2576" i="1"/>
  <c r="M2576" i="1"/>
  <c r="N2576" i="1"/>
  <c r="L2577" i="1"/>
  <c r="M2577" i="1"/>
  <c r="N2577" i="1"/>
  <c r="L2578" i="1"/>
  <c r="M2578" i="1"/>
  <c r="N2578" i="1"/>
  <c r="L2579" i="1"/>
  <c r="M2579" i="1"/>
  <c r="N2579" i="1"/>
  <c r="L2580" i="1"/>
  <c r="M2580" i="1"/>
  <c r="N2580" i="1"/>
  <c r="L2581" i="1"/>
  <c r="M2581" i="1"/>
  <c r="N2581" i="1"/>
  <c r="L2582" i="1"/>
  <c r="M2582" i="1"/>
  <c r="N2582" i="1"/>
  <c r="L2583" i="1"/>
  <c r="M2583" i="1"/>
  <c r="N2583" i="1"/>
  <c r="L2584" i="1"/>
  <c r="M2584" i="1"/>
  <c r="N2584" i="1"/>
  <c r="L2585" i="1"/>
  <c r="M2585" i="1"/>
  <c r="N2585" i="1"/>
  <c r="L2586" i="1"/>
  <c r="M2586" i="1"/>
  <c r="N2586" i="1"/>
  <c r="L2587" i="1"/>
  <c r="M2587" i="1"/>
  <c r="N2587" i="1"/>
  <c r="L2588" i="1"/>
  <c r="M2588" i="1"/>
  <c r="N2588" i="1"/>
  <c r="L2589" i="1"/>
  <c r="M2589" i="1"/>
  <c r="N2589" i="1"/>
  <c r="L2590" i="1"/>
  <c r="M2590" i="1"/>
  <c r="N2590" i="1"/>
  <c r="L2591" i="1"/>
  <c r="M2591" i="1"/>
  <c r="N2591" i="1"/>
  <c r="L2592" i="1"/>
  <c r="M2592" i="1"/>
  <c r="N2592" i="1"/>
  <c r="L2593" i="1"/>
  <c r="M2593" i="1"/>
  <c r="N2593" i="1"/>
  <c r="L2594" i="1"/>
  <c r="M2594" i="1"/>
  <c r="N2594" i="1"/>
  <c r="L2595" i="1"/>
  <c r="M2595" i="1"/>
  <c r="N2595" i="1"/>
  <c r="L2596" i="1"/>
  <c r="M2596" i="1"/>
  <c r="N2596" i="1"/>
  <c r="L2597" i="1"/>
  <c r="M2597" i="1"/>
  <c r="N2597" i="1"/>
  <c r="L2598" i="1"/>
  <c r="M2598" i="1"/>
  <c r="N2598" i="1"/>
  <c r="L2599" i="1"/>
  <c r="M2599" i="1"/>
  <c r="N2599" i="1"/>
  <c r="L2600" i="1"/>
  <c r="M2600" i="1"/>
  <c r="N2600" i="1"/>
  <c r="L2601" i="1"/>
  <c r="M2601" i="1"/>
  <c r="N2601" i="1"/>
  <c r="L2602" i="1"/>
  <c r="M2602" i="1"/>
  <c r="N2602" i="1"/>
  <c r="L2603" i="1"/>
  <c r="M2603" i="1"/>
  <c r="N2603" i="1"/>
  <c r="L2604" i="1"/>
  <c r="M2604" i="1"/>
  <c r="N2604" i="1"/>
  <c r="L2605" i="1"/>
  <c r="M2605" i="1"/>
  <c r="N2605" i="1"/>
  <c r="L2606" i="1"/>
  <c r="M2606" i="1"/>
  <c r="N2606" i="1"/>
  <c r="L2607" i="1"/>
  <c r="M2607" i="1"/>
  <c r="N2607" i="1"/>
  <c r="L2608" i="1"/>
  <c r="M2608" i="1"/>
  <c r="N2608" i="1"/>
  <c r="L2609" i="1"/>
  <c r="M2609" i="1"/>
  <c r="N2609" i="1"/>
  <c r="L2610" i="1"/>
  <c r="M2610" i="1"/>
  <c r="N2610" i="1"/>
  <c r="L2611" i="1"/>
  <c r="M2611" i="1"/>
  <c r="N2611" i="1"/>
  <c r="L2612" i="1"/>
  <c r="M2612" i="1"/>
  <c r="N2612" i="1"/>
  <c r="L2613" i="1"/>
  <c r="M2613" i="1"/>
  <c r="N2613" i="1"/>
  <c r="L2614" i="1"/>
  <c r="M2614" i="1"/>
  <c r="N2614" i="1"/>
  <c r="L2615" i="1"/>
  <c r="M2615" i="1"/>
  <c r="N2615" i="1"/>
  <c r="L2616" i="1"/>
  <c r="M2616" i="1"/>
  <c r="N2616" i="1"/>
  <c r="L2617" i="1"/>
  <c r="M2617" i="1"/>
  <c r="N2617" i="1"/>
  <c r="L2618" i="1"/>
  <c r="M2618" i="1"/>
  <c r="N2618" i="1"/>
  <c r="L2619" i="1"/>
  <c r="M2619" i="1"/>
  <c r="N2619" i="1"/>
  <c r="L2620" i="1"/>
  <c r="M2620" i="1"/>
  <c r="N2620" i="1"/>
  <c r="L2621" i="1"/>
  <c r="M2621" i="1"/>
  <c r="N2621" i="1"/>
  <c r="L2622" i="1"/>
  <c r="M2622" i="1"/>
  <c r="N2622" i="1"/>
  <c r="L2623" i="1"/>
  <c r="M2623" i="1"/>
  <c r="N2623" i="1"/>
  <c r="L2624" i="1"/>
  <c r="M2624" i="1"/>
  <c r="N2624" i="1"/>
  <c r="L2625" i="1"/>
  <c r="M2625" i="1"/>
  <c r="N2625" i="1"/>
  <c r="L2626" i="1"/>
  <c r="M2626" i="1"/>
  <c r="N2626" i="1"/>
  <c r="L2627" i="1"/>
  <c r="M2627" i="1"/>
  <c r="N2627" i="1"/>
  <c r="L2628" i="1"/>
  <c r="M2628" i="1"/>
  <c r="N2628" i="1"/>
  <c r="L2629" i="1"/>
  <c r="M2629" i="1"/>
  <c r="N2629" i="1"/>
  <c r="L2630" i="1"/>
  <c r="M2630" i="1"/>
  <c r="N2630" i="1"/>
  <c r="L2631" i="1"/>
  <c r="M2631" i="1"/>
  <c r="N2631" i="1"/>
  <c r="L2632" i="1"/>
  <c r="M2632" i="1"/>
  <c r="N2632" i="1"/>
  <c r="L2633" i="1"/>
  <c r="M2633" i="1"/>
  <c r="N2633" i="1"/>
  <c r="L2634" i="1"/>
  <c r="M2634" i="1"/>
  <c r="N2634" i="1"/>
  <c r="L2635" i="1"/>
  <c r="M2635" i="1"/>
  <c r="N2635" i="1"/>
  <c r="L2636" i="1"/>
  <c r="M2636" i="1"/>
  <c r="N2636" i="1"/>
  <c r="L2637" i="1"/>
  <c r="M2637" i="1"/>
  <c r="N2637" i="1"/>
  <c r="L2638" i="1"/>
  <c r="M2638" i="1"/>
  <c r="N2638" i="1"/>
  <c r="L2639" i="1"/>
  <c r="M2639" i="1"/>
  <c r="N2639" i="1"/>
  <c r="L2640" i="1"/>
  <c r="M2640" i="1"/>
  <c r="N2640" i="1"/>
  <c r="L2641" i="1"/>
  <c r="M2641" i="1"/>
  <c r="N2641" i="1"/>
  <c r="L2642" i="1"/>
  <c r="M2642" i="1"/>
  <c r="N2642" i="1"/>
  <c r="L2643" i="1"/>
  <c r="M2643" i="1"/>
  <c r="N2643" i="1"/>
  <c r="L2644" i="1"/>
  <c r="M2644" i="1"/>
  <c r="N2644" i="1"/>
  <c r="L2645" i="1"/>
  <c r="M2645" i="1"/>
  <c r="N2645" i="1"/>
  <c r="L2646" i="1"/>
  <c r="M2646" i="1"/>
  <c r="N2646" i="1"/>
  <c r="L2647" i="1"/>
  <c r="M2647" i="1"/>
  <c r="N2647" i="1"/>
  <c r="L2648" i="1"/>
  <c r="M2648" i="1"/>
  <c r="N2648" i="1"/>
  <c r="L2649" i="1"/>
  <c r="M2649" i="1"/>
  <c r="N2649" i="1"/>
  <c r="L2650" i="1"/>
  <c r="M2650" i="1"/>
  <c r="N2650" i="1"/>
  <c r="L2651" i="1"/>
  <c r="M2651" i="1"/>
  <c r="N2651" i="1"/>
  <c r="L2652" i="1"/>
  <c r="M2652" i="1"/>
  <c r="N2652" i="1"/>
  <c r="L2653" i="1"/>
  <c r="M2653" i="1"/>
  <c r="N2653" i="1"/>
  <c r="L2654" i="1"/>
  <c r="M2654" i="1"/>
  <c r="N2654" i="1"/>
  <c r="L2655" i="1"/>
  <c r="M2655" i="1"/>
  <c r="N2655" i="1"/>
  <c r="L2656" i="1"/>
  <c r="M2656" i="1"/>
  <c r="N2656" i="1"/>
  <c r="L2657" i="1"/>
  <c r="M2657" i="1"/>
  <c r="N2657" i="1"/>
  <c r="L2658" i="1"/>
  <c r="M2658" i="1"/>
  <c r="N2658" i="1"/>
  <c r="L2659" i="1"/>
  <c r="M2659" i="1"/>
  <c r="N2659" i="1"/>
  <c r="L2660" i="1"/>
  <c r="M2660" i="1"/>
  <c r="N2660" i="1"/>
  <c r="L2661" i="1"/>
  <c r="M2661" i="1"/>
  <c r="N2661" i="1"/>
  <c r="L2662" i="1"/>
  <c r="M2662" i="1"/>
  <c r="N2662" i="1"/>
  <c r="L2663" i="1"/>
  <c r="M2663" i="1"/>
  <c r="N2663" i="1"/>
  <c r="L2664" i="1"/>
  <c r="M2664" i="1"/>
  <c r="N2664" i="1"/>
  <c r="L2665" i="1"/>
  <c r="M2665" i="1"/>
  <c r="N2665" i="1"/>
  <c r="L2666" i="1"/>
  <c r="M2666" i="1"/>
  <c r="N2666" i="1"/>
  <c r="L2667" i="1"/>
  <c r="M2667" i="1"/>
  <c r="N2667" i="1"/>
  <c r="L2668" i="1"/>
  <c r="M2668" i="1"/>
  <c r="N2668" i="1"/>
  <c r="L2669" i="1"/>
  <c r="M2669" i="1"/>
  <c r="N2669" i="1"/>
  <c r="L2670" i="1"/>
  <c r="M2670" i="1"/>
  <c r="N2670" i="1"/>
  <c r="L2671" i="1"/>
  <c r="M2671" i="1"/>
  <c r="N2671" i="1"/>
  <c r="L2672" i="1"/>
  <c r="M2672" i="1"/>
  <c r="N2672" i="1"/>
  <c r="L2673" i="1"/>
  <c r="M2673" i="1"/>
  <c r="N2673" i="1"/>
  <c r="L2674" i="1"/>
  <c r="M2674" i="1"/>
  <c r="N2674" i="1"/>
  <c r="L2675" i="1"/>
  <c r="M2675" i="1"/>
  <c r="N2675" i="1"/>
  <c r="L2676" i="1"/>
  <c r="M2676" i="1"/>
  <c r="N2676" i="1"/>
  <c r="L2677" i="1"/>
  <c r="M2677" i="1"/>
  <c r="N2677" i="1"/>
  <c r="L2678" i="1"/>
  <c r="M2678" i="1"/>
  <c r="N2678" i="1"/>
  <c r="L2679" i="1"/>
  <c r="M2679" i="1"/>
  <c r="N2679" i="1"/>
  <c r="L2680" i="1"/>
  <c r="M2680" i="1"/>
  <c r="N2680" i="1"/>
  <c r="L2681" i="1"/>
  <c r="M2681" i="1"/>
  <c r="N2681" i="1"/>
  <c r="L2682" i="1"/>
  <c r="M2682" i="1"/>
  <c r="N2682" i="1"/>
  <c r="L2683" i="1"/>
  <c r="M2683" i="1"/>
  <c r="N2683" i="1"/>
  <c r="L2684" i="1"/>
  <c r="M2684" i="1"/>
  <c r="N2684" i="1"/>
  <c r="L2685" i="1"/>
  <c r="M2685" i="1"/>
  <c r="N2685" i="1"/>
  <c r="L2686" i="1"/>
  <c r="M2686" i="1"/>
  <c r="N2686" i="1"/>
  <c r="L2687" i="1"/>
  <c r="M2687" i="1"/>
  <c r="N2687" i="1"/>
  <c r="L2688" i="1"/>
  <c r="M2688" i="1"/>
  <c r="N2688" i="1"/>
  <c r="L2689" i="1"/>
  <c r="M2689" i="1"/>
  <c r="N2689" i="1"/>
  <c r="L2690" i="1"/>
  <c r="M2690" i="1"/>
  <c r="N2690" i="1"/>
  <c r="L2691" i="1"/>
  <c r="M2691" i="1"/>
  <c r="N2691" i="1"/>
  <c r="L2692" i="1"/>
  <c r="M2692" i="1"/>
  <c r="N2692" i="1"/>
  <c r="L2693" i="1"/>
  <c r="M2693" i="1"/>
  <c r="N2693" i="1"/>
  <c r="L2694" i="1"/>
  <c r="M2694" i="1"/>
  <c r="N2694" i="1"/>
  <c r="L2695" i="1"/>
  <c r="M2695" i="1"/>
  <c r="N2695" i="1"/>
  <c r="L2696" i="1"/>
  <c r="M2696" i="1"/>
  <c r="N2696" i="1"/>
  <c r="L2697" i="1"/>
  <c r="M2697" i="1"/>
  <c r="N2697" i="1"/>
  <c r="L2698" i="1"/>
  <c r="M2698" i="1"/>
  <c r="N2698" i="1"/>
  <c r="L2699" i="1"/>
  <c r="M2699" i="1"/>
  <c r="N2699" i="1"/>
  <c r="L2700" i="1"/>
  <c r="M2700" i="1"/>
  <c r="N2700" i="1"/>
  <c r="L2701" i="1"/>
  <c r="M2701" i="1"/>
  <c r="N2701" i="1"/>
  <c r="L2702" i="1"/>
  <c r="M2702" i="1"/>
  <c r="N2702" i="1"/>
  <c r="L2703" i="1"/>
  <c r="M2703" i="1"/>
  <c r="N2703" i="1"/>
  <c r="L2704" i="1"/>
  <c r="M2704" i="1"/>
  <c r="N2704" i="1"/>
  <c r="L2705" i="1"/>
  <c r="M2705" i="1"/>
  <c r="N2705" i="1"/>
  <c r="L2706" i="1"/>
  <c r="M2706" i="1"/>
  <c r="N2706" i="1"/>
  <c r="L2707" i="1"/>
  <c r="M2707" i="1"/>
  <c r="N2707" i="1"/>
  <c r="L2708" i="1"/>
  <c r="M2708" i="1"/>
  <c r="N2708" i="1"/>
  <c r="L2709" i="1"/>
  <c r="M2709" i="1"/>
  <c r="N2709" i="1"/>
  <c r="L2710" i="1"/>
  <c r="M2710" i="1"/>
  <c r="N2710" i="1"/>
  <c r="L2711" i="1"/>
  <c r="M2711" i="1"/>
  <c r="N2711" i="1"/>
  <c r="L2712" i="1"/>
  <c r="M2712" i="1"/>
  <c r="N2712" i="1"/>
  <c r="L2713" i="1"/>
  <c r="M2713" i="1"/>
  <c r="N2713" i="1"/>
  <c r="L2714" i="1"/>
  <c r="M2714" i="1"/>
  <c r="N2714" i="1"/>
  <c r="L2715" i="1"/>
  <c r="M2715" i="1"/>
  <c r="N2715" i="1"/>
  <c r="L2716" i="1"/>
  <c r="M2716" i="1"/>
  <c r="N2716" i="1"/>
  <c r="L2717" i="1"/>
  <c r="M2717" i="1"/>
  <c r="N2717" i="1"/>
  <c r="L2718" i="1"/>
  <c r="M2718" i="1"/>
  <c r="N2718" i="1"/>
  <c r="L2719" i="1"/>
  <c r="M2719" i="1"/>
  <c r="N2719" i="1"/>
  <c r="L2720" i="1"/>
  <c r="M2720" i="1"/>
  <c r="N2720" i="1"/>
  <c r="L2721" i="1"/>
  <c r="M2721" i="1"/>
  <c r="N2721" i="1"/>
  <c r="L2722" i="1"/>
  <c r="M2722" i="1"/>
  <c r="N2722" i="1"/>
  <c r="L2723" i="1"/>
  <c r="M2723" i="1"/>
  <c r="N2723" i="1"/>
  <c r="L2724" i="1"/>
  <c r="M2724" i="1"/>
  <c r="N2724" i="1"/>
  <c r="L2725" i="1"/>
  <c r="M2725" i="1"/>
  <c r="N2725" i="1"/>
  <c r="L2726" i="1"/>
  <c r="M2726" i="1"/>
  <c r="N2726" i="1"/>
  <c r="L2727" i="1"/>
  <c r="M2727" i="1"/>
  <c r="N2727" i="1"/>
  <c r="L2728" i="1"/>
  <c r="M2728" i="1"/>
  <c r="N2728" i="1"/>
  <c r="L2729" i="1"/>
  <c r="M2729" i="1"/>
  <c r="N2729" i="1"/>
  <c r="L2730" i="1"/>
  <c r="M2730" i="1"/>
  <c r="N2730" i="1"/>
  <c r="L2731" i="1"/>
  <c r="M2731" i="1"/>
  <c r="N2731" i="1"/>
  <c r="L2732" i="1"/>
  <c r="M2732" i="1"/>
  <c r="N2732" i="1"/>
  <c r="L2733" i="1"/>
  <c r="M2733" i="1"/>
  <c r="N2733" i="1"/>
  <c r="L2734" i="1"/>
  <c r="M2734" i="1"/>
  <c r="N2734" i="1"/>
  <c r="L2735" i="1"/>
  <c r="M2735" i="1"/>
  <c r="N2735" i="1"/>
  <c r="L2736" i="1"/>
  <c r="M2736" i="1"/>
  <c r="N2736" i="1"/>
  <c r="L2737" i="1"/>
  <c r="M2737" i="1"/>
  <c r="N2737" i="1"/>
  <c r="L2738" i="1"/>
  <c r="M2738" i="1"/>
  <c r="N2738" i="1"/>
  <c r="L2739" i="1"/>
  <c r="M2739" i="1"/>
  <c r="N2739" i="1"/>
  <c r="L2740" i="1"/>
  <c r="M2740" i="1"/>
  <c r="N2740" i="1"/>
  <c r="L2741" i="1"/>
  <c r="M2741" i="1"/>
  <c r="N2741" i="1"/>
  <c r="L2742" i="1"/>
  <c r="M2742" i="1"/>
  <c r="N2742" i="1"/>
  <c r="L2743" i="1"/>
  <c r="M2743" i="1"/>
  <c r="N2743" i="1"/>
  <c r="L2744" i="1"/>
  <c r="M2744" i="1"/>
  <c r="N2744" i="1"/>
  <c r="L2745" i="1"/>
  <c r="M2745" i="1"/>
  <c r="N2745" i="1"/>
  <c r="L2746" i="1"/>
  <c r="M2746" i="1"/>
  <c r="N2746" i="1"/>
  <c r="L2747" i="1"/>
  <c r="M2747" i="1"/>
  <c r="N2747" i="1"/>
  <c r="L2748" i="1"/>
  <c r="M2748" i="1"/>
  <c r="N2748" i="1"/>
  <c r="L2749" i="1"/>
  <c r="M2749" i="1"/>
  <c r="N2749" i="1"/>
  <c r="L2750" i="1"/>
  <c r="M2750" i="1"/>
  <c r="N2750" i="1"/>
  <c r="L2751" i="1"/>
  <c r="M2751" i="1"/>
  <c r="N2751" i="1"/>
  <c r="L2752" i="1"/>
  <c r="M2752" i="1"/>
  <c r="N2752" i="1"/>
  <c r="L2753" i="1"/>
  <c r="M2753" i="1"/>
  <c r="N2753" i="1"/>
  <c r="L2754" i="1"/>
  <c r="M2754" i="1"/>
  <c r="N2754" i="1"/>
  <c r="L2755" i="1"/>
  <c r="M2755" i="1"/>
  <c r="N2755" i="1"/>
  <c r="L2756" i="1"/>
  <c r="M2756" i="1"/>
  <c r="N2756" i="1"/>
  <c r="L2757" i="1"/>
  <c r="M2757" i="1"/>
  <c r="N2757" i="1"/>
  <c r="L2758" i="1"/>
  <c r="M2758" i="1"/>
  <c r="N2758" i="1"/>
  <c r="L2759" i="1"/>
  <c r="M2759" i="1"/>
  <c r="N2759" i="1"/>
  <c r="L2760" i="1"/>
  <c r="M2760" i="1"/>
  <c r="N2760" i="1"/>
  <c r="L2761" i="1"/>
  <c r="M2761" i="1"/>
  <c r="N2761" i="1"/>
  <c r="L2762" i="1"/>
  <c r="M2762" i="1"/>
  <c r="N2762" i="1"/>
  <c r="L2763" i="1"/>
  <c r="M2763" i="1"/>
  <c r="N2763" i="1"/>
  <c r="L2764" i="1"/>
  <c r="M2764" i="1"/>
  <c r="N2764" i="1"/>
  <c r="L2765" i="1"/>
  <c r="M2765" i="1"/>
  <c r="N2765" i="1"/>
  <c r="L2766" i="1"/>
  <c r="M2766" i="1"/>
  <c r="N2766" i="1"/>
  <c r="L2767" i="1"/>
  <c r="M2767" i="1"/>
  <c r="N2767" i="1"/>
  <c r="L2768" i="1"/>
  <c r="M2768" i="1"/>
  <c r="N2768" i="1"/>
  <c r="L2769" i="1"/>
  <c r="M2769" i="1"/>
  <c r="N2769" i="1"/>
  <c r="L2770" i="1"/>
  <c r="M2770" i="1"/>
  <c r="N2770" i="1"/>
  <c r="L2771" i="1"/>
  <c r="M2771" i="1"/>
  <c r="N2771" i="1"/>
  <c r="L2772" i="1"/>
  <c r="M2772" i="1"/>
  <c r="N2772" i="1"/>
  <c r="L2773" i="1"/>
  <c r="M2773" i="1"/>
  <c r="N2773" i="1"/>
  <c r="L2774" i="1"/>
  <c r="M2774" i="1"/>
  <c r="N2774" i="1"/>
  <c r="L2775" i="1"/>
  <c r="M2775" i="1"/>
  <c r="N2775" i="1"/>
  <c r="L2776" i="1"/>
  <c r="M2776" i="1"/>
  <c r="N2776" i="1"/>
  <c r="L2777" i="1"/>
  <c r="M2777" i="1"/>
  <c r="N2777" i="1"/>
  <c r="L2778" i="1"/>
  <c r="M2778" i="1"/>
  <c r="N2778" i="1"/>
  <c r="L2779" i="1"/>
  <c r="M2779" i="1"/>
  <c r="N2779" i="1"/>
  <c r="L2780" i="1"/>
  <c r="M2780" i="1"/>
  <c r="N2780" i="1"/>
  <c r="L2781" i="1"/>
  <c r="M2781" i="1"/>
  <c r="N2781" i="1"/>
  <c r="L2782" i="1"/>
  <c r="M2782" i="1"/>
  <c r="N2782" i="1"/>
  <c r="L2783" i="1"/>
  <c r="M2783" i="1"/>
  <c r="N2783" i="1"/>
  <c r="L2784" i="1"/>
  <c r="M2784" i="1"/>
  <c r="N2784" i="1"/>
  <c r="L2785" i="1"/>
  <c r="M2785" i="1"/>
  <c r="N2785" i="1"/>
  <c r="L2786" i="1"/>
  <c r="M2786" i="1"/>
  <c r="N2786" i="1"/>
  <c r="L2787" i="1"/>
  <c r="M2787" i="1"/>
  <c r="N2787" i="1"/>
  <c r="L2788" i="1"/>
  <c r="M2788" i="1"/>
  <c r="N2788" i="1"/>
  <c r="L2789" i="1"/>
  <c r="M2789" i="1"/>
  <c r="N2789" i="1"/>
  <c r="L2790" i="1"/>
  <c r="M2790" i="1"/>
  <c r="N2790" i="1"/>
  <c r="L2791" i="1"/>
  <c r="M2791" i="1"/>
  <c r="N2791" i="1"/>
  <c r="L2792" i="1"/>
  <c r="M2792" i="1"/>
  <c r="N2792" i="1"/>
  <c r="L2793" i="1"/>
  <c r="M2793" i="1"/>
  <c r="N2793" i="1"/>
  <c r="L2794" i="1"/>
  <c r="M2794" i="1"/>
  <c r="N2794" i="1"/>
  <c r="L2795" i="1"/>
  <c r="M2795" i="1"/>
  <c r="N2795" i="1"/>
  <c r="L2796" i="1"/>
  <c r="M2796" i="1"/>
  <c r="N2796" i="1"/>
  <c r="L2797" i="1"/>
  <c r="M2797" i="1"/>
  <c r="N2797" i="1"/>
  <c r="L2798" i="1"/>
  <c r="M2798" i="1"/>
  <c r="N2798" i="1"/>
  <c r="L2799" i="1"/>
  <c r="M2799" i="1"/>
  <c r="N2799" i="1"/>
  <c r="L2800" i="1"/>
  <c r="M2800" i="1"/>
  <c r="N2800" i="1"/>
  <c r="L2801" i="1"/>
  <c r="M2801" i="1"/>
  <c r="N2801" i="1"/>
  <c r="L2802" i="1"/>
  <c r="M2802" i="1"/>
  <c r="N2802" i="1"/>
  <c r="L2803" i="1"/>
  <c r="M2803" i="1"/>
  <c r="N2803" i="1"/>
  <c r="L2804" i="1"/>
  <c r="M2804" i="1"/>
  <c r="N2804" i="1"/>
  <c r="L2805" i="1"/>
  <c r="M2805" i="1"/>
  <c r="N2805" i="1"/>
  <c r="L2806" i="1"/>
  <c r="M2806" i="1"/>
  <c r="N2806" i="1"/>
  <c r="L2807" i="1"/>
  <c r="M2807" i="1"/>
  <c r="N2807" i="1"/>
  <c r="L2808" i="1"/>
  <c r="M2808" i="1"/>
  <c r="N2808" i="1"/>
  <c r="L2809" i="1"/>
  <c r="M2809" i="1"/>
  <c r="N2809" i="1"/>
  <c r="L2810" i="1"/>
  <c r="M2810" i="1"/>
  <c r="N2810" i="1"/>
  <c r="L2811" i="1"/>
  <c r="M2811" i="1"/>
  <c r="N2811" i="1"/>
  <c r="L2812" i="1"/>
  <c r="M2812" i="1"/>
  <c r="N2812" i="1"/>
  <c r="L2813" i="1"/>
  <c r="M2813" i="1"/>
  <c r="N2813" i="1"/>
  <c r="L2814" i="1"/>
  <c r="M2814" i="1"/>
  <c r="N2814" i="1"/>
  <c r="L2815" i="1"/>
  <c r="M2815" i="1"/>
  <c r="N2815" i="1"/>
  <c r="L2816" i="1"/>
  <c r="M2816" i="1"/>
  <c r="N2816" i="1"/>
  <c r="L2817" i="1"/>
  <c r="M2817" i="1"/>
  <c r="N2817" i="1"/>
  <c r="L2818" i="1"/>
  <c r="M2818" i="1"/>
  <c r="N2818" i="1"/>
  <c r="L2819" i="1"/>
  <c r="M2819" i="1"/>
  <c r="N2819" i="1"/>
  <c r="L2820" i="1"/>
  <c r="M2820" i="1"/>
  <c r="N2820" i="1"/>
  <c r="L2821" i="1"/>
  <c r="M2821" i="1"/>
  <c r="N2821" i="1"/>
  <c r="L2822" i="1"/>
  <c r="M2822" i="1"/>
  <c r="N2822" i="1"/>
  <c r="L2823" i="1"/>
  <c r="M2823" i="1"/>
  <c r="N2823" i="1"/>
  <c r="L2824" i="1"/>
  <c r="M2824" i="1"/>
  <c r="N2824" i="1"/>
  <c r="L2825" i="1"/>
  <c r="M2825" i="1"/>
  <c r="N2825" i="1"/>
  <c r="L2826" i="1"/>
  <c r="M2826" i="1"/>
  <c r="N2826" i="1"/>
  <c r="L2827" i="1"/>
  <c r="M2827" i="1"/>
  <c r="N2827" i="1"/>
  <c r="L2828" i="1"/>
  <c r="M2828" i="1"/>
  <c r="N2828" i="1"/>
  <c r="L2829" i="1"/>
  <c r="M2829" i="1"/>
  <c r="N2829" i="1"/>
  <c r="L2830" i="1"/>
  <c r="M2830" i="1"/>
  <c r="N2830" i="1"/>
  <c r="L2831" i="1"/>
  <c r="M2831" i="1"/>
  <c r="N2831" i="1"/>
  <c r="L2832" i="1"/>
  <c r="M2832" i="1"/>
  <c r="N2832" i="1"/>
  <c r="L2833" i="1"/>
  <c r="M2833" i="1"/>
  <c r="N2833" i="1"/>
  <c r="L2834" i="1"/>
  <c r="M2834" i="1"/>
  <c r="N2834" i="1"/>
  <c r="L2835" i="1"/>
  <c r="M2835" i="1"/>
  <c r="N2835" i="1"/>
  <c r="L2836" i="1"/>
  <c r="M2836" i="1"/>
  <c r="N2836" i="1"/>
  <c r="L2837" i="1"/>
  <c r="M2837" i="1"/>
  <c r="N2837" i="1"/>
  <c r="L2838" i="1"/>
  <c r="M2838" i="1"/>
  <c r="N2838" i="1"/>
  <c r="L2839" i="1"/>
  <c r="M2839" i="1"/>
  <c r="N2839" i="1"/>
  <c r="L2840" i="1"/>
  <c r="M2840" i="1"/>
  <c r="N2840" i="1"/>
  <c r="L2841" i="1"/>
  <c r="M2841" i="1"/>
  <c r="N2841" i="1"/>
  <c r="L2842" i="1"/>
  <c r="M2842" i="1"/>
  <c r="N2842" i="1"/>
  <c r="L2843" i="1"/>
  <c r="M2843" i="1"/>
  <c r="N2843" i="1"/>
  <c r="L2844" i="1"/>
  <c r="M2844" i="1"/>
  <c r="N2844" i="1"/>
  <c r="L2845" i="1"/>
  <c r="M2845" i="1"/>
  <c r="N2845" i="1"/>
  <c r="L2846" i="1"/>
  <c r="M2846" i="1"/>
  <c r="N2846" i="1"/>
  <c r="L2847" i="1"/>
  <c r="M2847" i="1"/>
  <c r="N2847" i="1"/>
  <c r="L2848" i="1"/>
  <c r="M2848" i="1"/>
  <c r="N2848" i="1"/>
  <c r="L2849" i="1"/>
  <c r="M2849" i="1"/>
  <c r="N2849" i="1"/>
  <c r="L2850" i="1"/>
  <c r="M2850" i="1"/>
  <c r="N2850" i="1"/>
  <c r="L2851" i="1"/>
  <c r="M2851" i="1"/>
  <c r="N2851" i="1"/>
  <c r="L2852" i="1"/>
  <c r="M2852" i="1"/>
  <c r="N2852" i="1"/>
  <c r="L2853" i="1"/>
  <c r="M2853" i="1"/>
  <c r="N2853" i="1"/>
  <c r="L2854" i="1"/>
  <c r="M2854" i="1"/>
  <c r="N2854" i="1"/>
  <c r="L2855" i="1"/>
  <c r="M2855" i="1"/>
  <c r="N2855" i="1"/>
  <c r="L2856" i="1"/>
  <c r="M2856" i="1"/>
  <c r="N2856" i="1"/>
  <c r="L2857" i="1"/>
  <c r="M2857" i="1"/>
  <c r="N2857" i="1"/>
  <c r="L2858" i="1"/>
  <c r="M2858" i="1"/>
  <c r="N2858" i="1"/>
  <c r="L2859" i="1"/>
  <c r="M2859" i="1"/>
  <c r="N2859" i="1"/>
  <c r="L2860" i="1"/>
  <c r="M2860" i="1"/>
  <c r="N2860" i="1"/>
  <c r="L2861" i="1"/>
  <c r="M2861" i="1"/>
  <c r="N2861" i="1"/>
  <c r="L2862" i="1"/>
  <c r="M2862" i="1"/>
  <c r="N2862" i="1"/>
  <c r="L2863" i="1"/>
  <c r="M2863" i="1"/>
  <c r="N2863" i="1"/>
  <c r="L2864" i="1"/>
  <c r="M2864" i="1"/>
  <c r="N2864" i="1"/>
  <c r="L2865" i="1"/>
  <c r="M2865" i="1"/>
  <c r="N2865" i="1"/>
  <c r="L2866" i="1"/>
  <c r="M2866" i="1"/>
  <c r="N2866" i="1"/>
  <c r="L2867" i="1"/>
  <c r="M2867" i="1"/>
  <c r="N2867" i="1"/>
  <c r="L2868" i="1"/>
  <c r="M2868" i="1"/>
  <c r="N2868" i="1"/>
  <c r="L2869" i="1"/>
  <c r="M2869" i="1"/>
  <c r="N2869" i="1"/>
  <c r="L2870" i="1"/>
  <c r="M2870" i="1"/>
  <c r="N2870" i="1"/>
  <c r="L2871" i="1"/>
  <c r="M2871" i="1"/>
  <c r="N2871" i="1"/>
  <c r="L2872" i="1"/>
  <c r="M2872" i="1"/>
  <c r="N2872" i="1"/>
  <c r="L2873" i="1"/>
  <c r="M2873" i="1"/>
  <c r="N2873" i="1"/>
  <c r="L2874" i="1"/>
  <c r="M2874" i="1"/>
  <c r="N2874" i="1"/>
  <c r="L2875" i="1"/>
  <c r="M2875" i="1"/>
  <c r="N2875" i="1"/>
  <c r="L2876" i="1"/>
  <c r="M2876" i="1"/>
  <c r="N2876" i="1"/>
  <c r="L2877" i="1"/>
  <c r="M2877" i="1"/>
  <c r="N2877" i="1"/>
  <c r="L2878" i="1"/>
  <c r="M2878" i="1"/>
  <c r="N2878" i="1"/>
  <c r="L2879" i="1"/>
  <c r="M2879" i="1"/>
  <c r="N2879" i="1"/>
  <c r="L2880" i="1"/>
  <c r="M2880" i="1"/>
  <c r="N2880" i="1"/>
  <c r="L2881" i="1"/>
  <c r="M2881" i="1"/>
  <c r="N2881" i="1"/>
  <c r="L2882" i="1"/>
  <c r="M2882" i="1"/>
  <c r="N2882" i="1"/>
  <c r="L2883" i="1"/>
  <c r="M2883" i="1"/>
  <c r="N2883" i="1"/>
  <c r="L2884" i="1"/>
  <c r="M2884" i="1"/>
  <c r="N2884" i="1"/>
  <c r="L2885" i="1"/>
  <c r="M2885" i="1"/>
  <c r="N2885" i="1"/>
  <c r="L2886" i="1"/>
  <c r="M2886" i="1"/>
  <c r="N2886" i="1"/>
  <c r="L2887" i="1"/>
  <c r="M2887" i="1"/>
  <c r="N2887" i="1"/>
  <c r="L2888" i="1"/>
  <c r="M2888" i="1"/>
  <c r="N2888" i="1"/>
  <c r="L2889" i="1"/>
  <c r="M2889" i="1"/>
  <c r="N2889" i="1"/>
  <c r="L2890" i="1"/>
  <c r="M2890" i="1"/>
  <c r="N2890" i="1"/>
  <c r="L2891" i="1"/>
  <c r="M2891" i="1"/>
  <c r="N2891" i="1"/>
  <c r="L2892" i="1"/>
  <c r="M2892" i="1"/>
  <c r="N2892" i="1"/>
  <c r="L2893" i="1"/>
  <c r="M2893" i="1"/>
  <c r="N2893" i="1"/>
  <c r="L2894" i="1"/>
  <c r="M2894" i="1"/>
  <c r="N2894" i="1"/>
  <c r="L2895" i="1"/>
  <c r="M2895" i="1"/>
  <c r="N2895" i="1"/>
  <c r="L2896" i="1"/>
  <c r="M2896" i="1"/>
  <c r="N2896" i="1"/>
  <c r="L2897" i="1"/>
  <c r="M2897" i="1"/>
  <c r="N2897" i="1"/>
  <c r="L2898" i="1"/>
  <c r="M2898" i="1"/>
  <c r="N2898" i="1"/>
  <c r="L2899" i="1"/>
  <c r="M2899" i="1"/>
  <c r="N2899" i="1"/>
  <c r="L2900" i="1"/>
  <c r="M2900" i="1"/>
  <c r="N2900" i="1"/>
  <c r="L2901" i="1"/>
  <c r="M2901" i="1"/>
  <c r="N2901" i="1"/>
  <c r="L2902" i="1"/>
  <c r="M2902" i="1"/>
  <c r="N2902" i="1"/>
  <c r="L2903" i="1"/>
  <c r="M2903" i="1"/>
  <c r="N2903" i="1"/>
  <c r="L2904" i="1"/>
  <c r="M2904" i="1"/>
  <c r="N2904" i="1"/>
  <c r="L2905" i="1"/>
  <c r="M2905" i="1"/>
  <c r="N2905" i="1"/>
  <c r="L2906" i="1"/>
  <c r="M2906" i="1"/>
  <c r="N2906" i="1"/>
  <c r="L2907" i="1"/>
  <c r="M2907" i="1"/>
  <c r="N2907" i="1"/>
  <c r="L2908" i="1"/>
  <c r="M2908" i="1"/>
  <c r="N2908" i="1"/>
  <c r="L2909" i="1"/>
  <c r="M2909" i="1"/>
  <c r="N2909" i="1"/>
  <c r="L2910" i="1"/>
  <c r="M2910" i="1"/>
  <c r="N2910" i="1"/>
  <c r="L2911" i="1"/>
  <c r="M2911" i="1"/>
  <c r="N2911" i="1"/>
  <c r="L2912" i="1"/>
  <c r="M2912" i="1"/>
  <c r="N2912" i="1"/>
  <c r="L2913" i="1"/>
  <c r="M2913" i="1"/>
  <c r="N2913" i="1"/>
  <c r="L2914" i="1"/>
  <c r="M2914" i="1"/>
  <c r="N2914" i="1"/>
  <c r="L2915" i="1"/>
  <c r="M2915" i="1"/>
  <c r="N2915" i="1"/>
  <c r="L2916" i="1"/>
  <c r="M2916" i="1"/>
  <c r="N2916" i="1"/>
  <c r="L2917" i="1"/>
  <c r="M2917" i="1"/>
  <c r="N2917" i="1"/>
  <c r="L2918" i="1"/>
  <c r="M2918" i="1"/>
  <c r="N2918" i="1"/>
  <c r="L2919" i="1"/>
  <c r="M2919" i="1"/>
  <c r="N2919" i="1"/>
  <c r="L2920" i="1"/>
  <c r="M2920" i="1"/>
  <c r="N2920" i="1"/>
  <c r="L2921" i="1"/>
  <c r="M2921" i="1"/>
  <c r="N2921" i="1"/>
  <c r="L2922" i="1"/>
  <c r="M2922" i="1"/>
  <c r="N2922" i="1"/>
  <c r="L2923" i="1"/>
  <c r="M2923" i="1"/>
  <c r="N2923" i="1"/>
  <c r="L2924" i="1"/>
  <c r="M2924" i="1"/>
  <c r="N2924" i="1"/>
  <c r="L2925" i="1"/>
  <c r="M2925" i="1"/>
  <c r="N2925" i="1"/>
  <c r="L2926" i="1"/>
  <c r="M2926" i="1"/>
  <c r="N2926" i="1"/>
  <c r="L2927" i="1"/>
  <c r="M2927" i="1"/>
  <c r="N2927" i="1"/>
  <c r="L2928" i="1"/>
  <c r="M2928" i="1"/>
  <c r="N2928" i="1"/>
  <c r="L2929" i="1"/>
  <c r="M2929" i="1"/>
  <c r="N2929" i="1"/>
  <c r="L2930" i="1"/>
  <c r="M2930" i="1"/>
  <c r="N2930" i="1"/>
  <c r="L2931" i="1"/>
  <c r="M2931" i="1"/>
  <c r="N2931" i="1"/>
  <c r="L2932" i="1"/>
  <c r="M2932" i="1"/>
  <c r="N2932" i="1"/>
  <c r="L2933" i="1"/>
  <c r="M2933" i="1"/>
  <c r="N2933" i="1"/>
  <c r="L2934" i="1"/>
  <c r="M2934" i="1"/>
  <c r="N2934" i="1"/>
  <c r="L2935" i="1"/>
  <c r="M2935" i="1"/>
  <c r="N2935" i="1"/>
  <c r="L2936" i="1"/>
  <c r="M2936" i="1"/>
  <c r="N2936" i="1"/>
  <c r="L2937" i="1"/>
  <c r="M2937" i="1"/>
  <c r="N2937" i="1"/>
  <c r="L2938" i="1"/>
  <c r="M2938" i="1"/>
  <c r="N2938" i="1"/>
  <c r="L2939" i="1"/>
  <c r="M2939" i="1"/>
  <c r="N2939" i="1"/>
  <c r="L2940" i="1"/>
  <c r="M2940" i="1"/>
  <c r="N2940" i="1"/>
  <c r="L2941" i="1"/>
  <c r="M2941" i="1"/>
  <c r="N2941" i="1"/>
  <c r="L2942" i="1"/>
  <c r="M2942" i="1"/>
  <c r="N2942" i="1"/>
  <c r="L2943" i="1"/>
  <c r="M2943" i="1"/>
  <c r="N2943" i="1"/>
  <c r="L2944" i="1"/>
  <c r="M2944" i="1"/>
  <c r="N2944" i="1"/>
  <c r="L2945" i="1"/>
  <c r="M2945" i="1"/>
  <c r="N2945" i="1"/>
  <c r="L2946" i="1"/>
  <c r="M2946" i="1"/>
  <c r="N2946" i="1"/>
  <c r="L2947" i="1"/>
  <c r="M2947" i="1"/>
  <c r="N2947" i="1"/>
  <c r="L2948" i="1"/>
  <c r="M2948" i="1"/>
  <c r="N2948" i="1"/>
  <c r="L2949" i="1"/>
  <c r="M2949" i="1"/>
  <c r="N2949" i="1"/>
  <c r="L2950" i="1"/>
  <c r="M2950" i="1"/>
  <c r="N2950" i="1"/>
  <c r="L2951" i="1"/>
  <c r="M2951" i="1"/>
  <c r="N2951" i="1"/>
  <c r="L2952" i="1"/>
  <c r="M2952" i="1"/>
  <c r="N2952" i="1"/>
  <c r="L2953" i="1"/>
  <c r="M2953" i="1"/>
  <c r="N2953" i="1"/>
  <c r="L2954" i="1"/>
  <c r="M2954" i="1"/>
  <c r="N2954" i="1"/>
  <c r="L2955" i="1"/>
  <c r="M2955" i="1"/>
  <c r="N2955" i="1"/>
  <c r="L2956" i="1"/>
  <c r="M2956" i="1"/>
  <c r="N2956" i="1"/>
  <c r="L2957" i="1"/>
  <c r="M2957" i="1"/>
  <c r="N2957" i="1"/>
  <c r="L2958" i="1"/>
  <c r="M2958" i="1"/>
  <c r="N2958" i="1"/>
  <c r="L2959" i="1"/>
  <c r="M2959" i="1"/>
  <c r="N2959" i="1"/>
  <c r="L2960" i="1"/>
  <c r="M2960" i="1"/>
  <c r="N2960" i="1"/>
  <c r="L2961" i="1"/>
  <c r="M2961" i="1"/>
  <c r="N2961" i="1"/>
  <c r="L2962" i="1"/>
  <c r="M2962" i="1"/>
  <c r="N2962" i="1"/>
  <c r="L2963" i="1"/>
  <c r="M2963" i="1"/>
  <c r="N2963" i="1"/>
  <c r="L2964" i="1"/>
  <c r="M2964" i="1"/>
  <c r="N2964" i="1"/>
  <c r="L2965" i="1"/>
  <c r="M2965" i="1"/>
  <c r="N2965" i="1"/>
  <c r="L2966" i="1"/>
  <c r="M2966" i="1"/>
  <c r="N2966" i="1"/>
  <c r="L2967" i="1"/>
  <c r="M2967" i="1"/>
  <c r="N2967" i="1"/>
  <c r="L2968" i="1"/>
  <c r="M2968" i="1"/>
  <c r="N2968" i="1"/>
  <c r="L2969" i="1"/>
  <c r="M2969" i="1"/>
  <c r="N2969" i="1"/>
  <c r="L2970" i="1"/>
  <c r="M2970" i="1"/>
  <c r="N2970" i="1"/>
  <c r="L2971" i="1"/>
  <c r="M2971" i="1"/>
  <c r="N2971" i="1"/>
  <c r="L2972" i="1"/>
  <c r="M2972" i="1"/>
  <c r="N2972" i="1"/>
  <c r="L2973" i="1"/>
  <c r="M2973" i="1"/>
  <c r="N2973" i="1"/>
  <c r="L2974" i="1"/>
  <c r="M2974" i="1"/>
  <c r="N2974" i="1"/>
  <c r="L2975" i="1"/>
  <c r="M2975" i="1"/>
  <c r="N2975" i="1"/>
  <c r="L2976" i="1"/>
  <c r="M2976" i="1"/>
  <c r="N2976" i="1"/>
  <c r="L2977" i="1"/>
  <c r="M2977" i="1"/>
  <c r="N2977" i="1"/>
  <c r="L2978" i="1"/>
  <c r="M2978" i="1"/>
  <c r="N2978" i="1"/>
  <c r="L2979" i="1"/>
  <c r="M2979" i="1"/>
  <c r="N2979" i="1"/>
  <c r="L2980" i="1"/>
  <c r="M2980" i="1"/>
  <c r="N2980" i="1"/>
  <c r="L2981" i="1"/>
  <c r="M2981" i="1"/>
  <c r="N2981" i="1"/>
  <c r="L2982" i="1"/>
  <c r="M2982" i="1"/>
  <c r="N2982" i="1"/>
  <c r="L2983" i="1"/>
  <c r="M2983" i="1"/>
  <c r="N2983" i="1"/>
  <c r="L2984" i="1"/>
  <c r="M2984" i="1"/>
  <c r="N2984" i="1"/>
  <c r="L2985" i="1"/>
  <c r="M2985" i="1"/>
  <c r="N2985" i="1"/>
  <c r="L2986" i="1"/>
  <c r="M2986" i="1"/>
  <c r="N2986" i="1"/>
  <c r="L2987" i="1"/>
  <c r="M2987" i="1"/>
  <c r="N2987" i="1"/>
  <c r="L2988" i="1"/>
  <c r="M2988" i="1"/>
  <c r="N2988" i="1"/>
  <c r="L2989" i="1"/>
  <c r="M2989" i="1"/>
  <c r="N2989" i="1"/>
  <c r="L2990" i="1"/>
  <c r="M2990" i="1"/>
  <c r="N2990" i="1"/>
  <c r="L2991" i="1"/>
  <c r="M2991" i="1"/>
  <c r="N2991" i="1"/>
  <c r="L2992" i="1"/>
  <c r="M2992" i="1"/>
  <c r="N2992" i="1"/>
  <c r="L2993" i="1"/>
  <c r="M2993" i="1"/>
  <c r="N2993" i="1"/>
  <c r="L2994" i="1"/>
  <c r="M2994" i="1"/>
  <c r="N2994" i="1"/>
  <c r="L2995" i="1"/>
  <c r="M2995" i="1"/>
  <c r="N2995" i="1"/>
  <c r="L2996" i="1"/>
  <c r="M2996" i="1"/>
  <c r="N2996" i="1"/>
  <c r="L2997" i="1"/>
  <c r="M2997" i="1"/>
  <c r="N2997" i="1"/>
  <c r="L2998" i="1"/>
  <c r="M2998" i="1"/>
  <c r="N2998" i="1"/>
  <c r="L2999" i="1"/>
  <c r="M2999" i="1"/>
  <c r="N2999" i="1"/>
  <c r="L3000" i="1"/>
  <c r="M3000" i="1"/>
  <c r="N3000" i="1"/>
  <c r="U1770" i="4" l="1"/>
  <c r="U1773" i="4"/>
  <c r="U1834" i="4"/>
  <c r="U2089" i="4"/>
  <c r="U2105" i="4"/>
  <c r="U1799" i="4"/>
  <c r="U2058" i="4"/>
  <c r="U2013" i="4"/>
  <c r="U1767" i="4"/>
  <c r="U1943" i="4"/>
  <c r="U1802" i="4"/>
  <c r="U2073" i="4"/>
  <c r="U2081" i="4"/>
  <c r="U2017" i="4"/>
  <c r="U2053" i="4"/>
  <c r="U2069" i="4"/>
  <c r="U2007" i="4"/>
  <c r="U2101" i="4"/>
  <c r="U2037" i="4"/>
  <c r="U2085" i="4"/>
  <c r="U2117" i="4"/>
  <c r="U1801" i="4"/>
  <c r="U1817" i="4"/>
  <c r="U1865" i="4"/>
  <c r="U1945" i="4"/>
  <c r="U2009" i="4"/>
  <c r="U1925" i="4"/>
  <c r="U1941" i="4"/>
  <c r="U1958" i="4"/>
  <c r="U2022" i="4"/>
  <c r="U2086" i="4"/>
  <c r="U1881" i="4"/>
  <c r="U1798" i="4"/>
  <c r="U2021" i="4"/>
  <c r="U2005" i="4"/>
  <c r="U1837" i="4"/>
  <c r="U2093" i="4"/>
  <c r="U2114" i="4"/>
  <c r="U1973" i="4"/>
  <c r="U1957" i="4"/>
  <c r="U1989" i="4"/>
  <c r="U1877" i="4"/>
  <c r="U1893" i="4"/>
  <c r="U1909" i="4"/>
  <c r="U1953" i="4"/>
  <c r="U2098" i="4"/>
  <c r="U1737" i="4"/>
  <c r="U1753" i="4"/>
  <c r="U1769" i="4"/>
  <c r="U1970" i="4"/>
  <c r="U1922" i="4"/>
  <c r="U1986" i="4"/>
  <c r="U2050" i="4"/>
  <c r="U1783" i="4"/>
  <c r="U1847" i="4"/>
  <c r="U1911" i="4"/>
  <c r="U1975" i="4"/>
  <c r="U2039" i="4"/>
  <c r="U2103" i="4"/>
  <c r="U1751" i="4"/>
  <c r="U1815" i="4"/>
  <c r="U1927" i="4"/>
  <c r="U2055" i="4"/>
  <c r="U2011" i="4"/>
  <c r="U2061" i="4"/>
  <c r="U2057" i="4"/>
  <c r="U2025" i="4"/>
  <c r="U2041" i="4"/>
  <c r="U1974" i="4"/>
  <c r="U2102" i="4"/>
  <c r="U1910" i="4"/>
  <c r="U1755" i="4"/>
  <c r="U1883" i="4"/>
  <c r="U1899" i="4"/>
  <c r="U1947" i="4"/>
  <c r="U1979" i="4"/>
  <c r="U2027" i="4"/>
  <c r="U2075" i="4"/>
  <c r="U1825" i="4"/>
  <c r="U1889" i="4"/>
  <c r="U1846" i="4"/>
  <c r="U1862" i="4"/>
  <c r="U1745" i="4"/>
  <c r="U1809" i="4"/>
  <c r="U1841" i="4"/>
  <c r="U1950" i="4"/>
  <c r="U1982" i="4"/>
  <c r="U2110" i="4"/>
  <c r="U1805" i="4"/>
  <c r="U1869" i="4"/>
  <c r="U1901" i="4"/>
  <c r="U1933" i="4"/>
  <c r="U1965" i="4"/>
  <c r="U1997" i="4"/>
  <c r="U2029" i="4"/>
  <c r="U1887" i="4"/>
  <c r="U1935" i="4"/>
  <c r="U2015" i="4"/>
  <c r="U1879" i="4"/>
  <c r="U1750" i="4"/>
  <c r="U1782" i="4"/>
  <c r="U1743" i="4"/>
  <c r="U1791" i="4"/>
  <c r="U1807" i="4"/>
  <c r="U1871" i="4"/>
  <c r="U1919" i="4"/>
  <c r="U1999" i="4"/>
  <c r="U2047" i="4"/>
  <c r="U1810" i="4"/>
  <c r="U1842" i="4"/>
  <c r="U1874" i="4"/>
  <c r="U1938" i="4"/>
  <c r="U2002" i="4"/>
  <c r="U2066" i="4"/>
  <c r="U1833" i="4"/>
  <c r="U1849" i="4"/>
  <c r="U1929" i="4"/>
  <c r="U1961" i="4"/>
  <c r="U1977" i="4"/>
  <c r="U1993" i="4"/>
  <c r="U1785" i="4"/>
  <c r="U1897" i="4"/>
  <c r="U1913" i="4"/>
  <c r="U1738" i="4"/>
  <c r="U1786" i="4"/>
  <c r="U1854" i="4"/>
  <c r="U2035" i="4"/>
  <c r="U1906" i="4"/>
  <c r="U2034" i="4"/>
  <c r="U1741" i="4"/>
  <c r="U1746" i="4"/>
  <c r="U1778" i="4"/>
  <c r="U1763" i="4"/>
  <c r="U1795" i="4"/>
  <c r="U1827" i="4"/>
  <c r="U1859" i="4"/>
  <c r="U1955" i="4"/>
  <c r="U2019" i="4"/>
  <c r="U2083" i="4"/>
  <c r="U1891" i="4"/>
  <c r="U1775" i="4"/>
  <c r="U1823" i="4"/>
  <c r="U1839" i="4"/>
  <c r="U1903" i="4"/>
  <c r="U1967" i="4"/>
  <c r="U2031" i="4"/>
  <c r="U2063" i="4"/>
  <c r="U2079" i="4"/>
  <c r="U2095" i="4"/>
  <c r="U1761" i="4"/>
  <c r="U1759" i="4"/>
  <c r="U1818" i="4"/>
  <c r="U1866" i="4"/>
  <c r="U1962" i="4"/>
  <c r="U1994" i="4"/>
  <c r="U2090" i="4"/>
  <c r="U2106" i="4"/>
  <c r="U1789" i="4"/>
  <c r="U1853" i="4"/>
  <c r="U1917" i="4"/>
  <c r="U1981" i="4"/>
  <c r="U2045" i="4"/>
  <c r="U2109" i="4"/>
  <c r="U1747" i="4"/>
  <c r="U1855" i="4"/>
  <c r="U1951" i="4"/>
  <c r="U1983" i="4"/>
  <c r="U2111" i="4"/>
  <c r="U1777" i="4"/>
  <c r="U1793" i="4"/>
  <c r="U1857" i="4"/>
  <c r="U1873" i="4"/>
  <c r="U1937" i="4"/>
  <c r="U2001" i="4"/>
  <c r="U2065" i="4"/>
  <c r="U1905" i="4"/>
  <c r="U1921" i="4"/>
  <c r="U1969" i="4"/>
  <c r="U1985" i="4"/>
  <c r="U2033" i="4"/>
  <c r="U2049" i="4"/>
  <c r="U2097" i="4"/>
  <c r="U2113" i="4"/>
  <c r="U1739" i="4"/>
  <c r="U1787" i="4"/>
  <c r="U1803" i="4"/>
  <c r="U1819" i="4"/>
  <c r="U1843" i="4"/>
  <c r="U1851" i="4"/>
  <c r="U1867" i="4"/>
  <c r="U1907" i="4"/>
  <c r="U1915" i="4"/>
  <c r="U1931" i="4"/>
  <c r="U1963" i="4"/>
  <c r="U1971" i="4"/>
  <c r="U1987" i="4"/>
  <c r="U1995" i="4"/>
  <c r="U2043" i="4"/>
  <c r="U2059" i="4"/>
  <c r="U2091" i="4"/>
  <c r="U2099" i="4"/>
  <c r="U2107" i="4"/>
  <c r="U2115" i="4"/>
  <c r="U1754" i="4"/>
  <c r="U1758" i="4"/>
  <c r="U1774" i="4"/>
  <c r="U1822" i="4"/>
  <c r="U1838" i="4"/>
  <c r="U1882" i="4"/>
  <c r="U1886" i="4"/>
  <c r="U1898" i="4"/>
  <c r="U1902" i="4"/>
  <c r="U1934" i="4"/>
  <c r="U1946" i="4"/>
  <c r="U1966" i="4"/>
  <c r="U1978" i="4"/>
  <c r="U2014" i="4"/>
  <c r="U2026" i="4"/>
  <c r="U2030" i="4"/>
  <c r="U2074" i="4"/>
  <c r="U2078" i="4"/>
  <c r="U1749" i="4"/>
  <c r="U1765" i="4"/>
  <c r="U1781" i="4"/>
  <c r="U1829" i="4"/>
  <c r="U1845" i="4"/>
  <c r="U1861" i="4"/>
  <c r="U1771" i="4"/>
  <c r="U1779" i="4"/>
  <c r="U1835" i="4"/>
  <c r="U1811" i="4"/>
  <c r="U1875" i="4"/>
  <c r="U1923" i="4"/>
  <c r="U1939" i="4"/>
  <c r="U2003" i="4"/>
  <c r="U2051" i="4"/>
  <c r="U2067" i="4"/>
  <c r="U1742" i="4"/>
  <c r="U1762" i="4"/>
  <c r="U1790" i="4"/>
  <c r="U1794" i="4"/>
  <c r="U1806" i="4"/>
  <c r="U1826" i="4"/>
  <c r="U1858" i="4"/>
  <c r="U1870" i="4"/>
  <c r="U1890" i="4"/>
  <c r="U1918" i="4"/>
  <c r="U1926" i="4"/>
  <c r="U1942" i="4"/>
  <c r="U1954" i="4"/>
  <c r="U1998" i="4"/>
  <c r="U2010" i="4"/>
  <c r="U2018" i="4"/>
  <c r="U2046" i="4"/>
  <c r="U2054" i="4"/>
  <c r="U2062" i="4"/>
  <c r="U2070" i="4"/>
  <c r="U2082" i="4"/>
  <c r="U2094" i="4"/>
  <c r="U1797" i="4"/>
  <c r="U1813" i="4"/>
  <c r="U1740" i="4"/>
  <c r="U1772" i="4"/>
  <c r="U1776" i="4"/>
  <c r="U1784" i="4"/>
  <c r="U1788" i="4"/>
  <c r="U1792" i="4"/>
  <c r="U1832" i="4"/>
  <c r="U1836" i="4"/>
  <c r="U1848" i="4"/>
  <c r="U1852" i="4"/>
  <c r="U1856" i="4"/>
  <c r="U1872" i="4"/>
  <c r="U1896" i="4"/>
  <c r="U1904" i="4"/>
  <c r="U1912" i="4"/>
  <c r="U1916" i="4"/>
  <c r="U1920" i="4"/>
  <c r="U1928" i="4"/>
  <c r="U1936" i="4"/>
  <c r="U1960" i="4"/>
  <c r="U1968" i="4"/>
  <c r="U1976" i="4"/>
  <c r="U1980" i="4"/>
  <c r="U1984" i="4"/>
  <c r="U1992" i="4"/>
  <c r="U2000" i="4"/>
  <c r="U2024" i="4"/>
  <c r="U2032" i="4"/>
  <c r="U2040" i="4"/>
  <c r="U2044" i="4"/>
  <c r="U2048" i="4"/>
  <c r="U2056" i="4"/>
  <c r="U2064" i="4"/>
  <c r="U2088" i="4"/>
  <c r="U2096" i="4"/>
  <c r="U2104" i="4"/>
  <c r="U2108" i="4"/>
  <c r="U2112" i="4"/>
  <c r="U1748" i="4"/>
  <c r="U1756" i="4"/>
  <c r="U1764" i="4"/>
  <c r="U1780" i="4"/>
  <c r="U1796" i="4"/>
  <c r="U1804" i="4"/>
  <c r="U1812" i="4"/>
  <c r="U1820" i="4"/>
  <c r="U1828" i="4"/>
  <c r="U1844" i="4"/>
  <c r="U1860" i="4"/>
  <c r="U1868" i="4"/>
  <c r="U1876" i="4"/>
  <c r="U1884" i="4"/>
  <c r="U1892" i="4"/>
  <c r="U1900" i="4"/>
  <c r="U1908" i="4"/>
  <c r="U1924" i="4"/>
  <c r="U1932" i="4"/>
  <c r="U1940" i="4"/>
  <c r="U1948" i="4"/>
  <c r="U1956" i="4"/>
  <c r="U1964" i="4"/>
  <c r="U1972" i="4"/>
  <c r="U1988" i="4"/>
  <c r="U1996" i="4"/>
  <c r="U2004" i="4"/>
  <c r="U2012" i="4"/>
  <c r="U2020" i="4"/>
  <c r="U2028" i="4"/>
  <c r="U2036" i="4"/>
  <c r="U2052" i="4"/>
  <c r="U2060" i="4"/>
  <c r="U2068" i="4"/>
  <c r="U2076" i="4"/>
  <c r="U2084" i="4"/>
  <c r="U2092" i="4"/>
  <c r="U2100" i="4"/>
  <c r="U2116" i="4"/>
  <c r="U2119" i="4"/>
  <c r="U2118" i="4"/>
  <c r="U1736" i="4"/>
  <c r="U1744" i="4"/>
  <c r="U1752" i="4"/>
  <c r="U1760" i="4"/>
  <c r="U1768" i="4"/>
  <c r="U1800" i="4"/>
  <c r="U1808" i="4"/>
  <c r="U1816" i="4"/>
  <c r="U1824" i="4"/>
  <c r="U1840" i="4"/>
  <c r="U1864" i="4"/>
  <c r="U1880" i="4"/>
  <c r="U1888" i="4"/>
  <c r="U1944" i="4"/>
  <c r="U1952" i="4"/>
  <c r="U2008" i="4"/>
  <c r="U2016" i="4"/>
  <c r="U2072" i="4"/>
  <c r="U2080" i="4"/>
  <c r="L4" i="3"/>
  <c r="L3" i="3"/>
  <c r="L2" i="3"/>
  <c r="J4" i="3"/>
  <c r="J3" i="3"/>
  <c r="J2" i="3"/>
  <c r="L761" i="1" l="1"/>
  <c r="M761" i="1"/>
  <c r="N761" i="1"/>
  <c r="L762" i="1"/>
  <c r="M762" i="1"/>
  <c r="N762" i="1"/>
  <c r="L763" i="1"/>
  <c r="M763" i="1"/>
  <c r="N763" i="1"/>
  <c r="L764" i="1"/>
  <c r="M764" i="1"/>
  <c r="N764" i="1"/>
  <c r="L765" i="1"/>
  <c r="M765" i="1"/>
  <c r="N765" i="1"/>
  <c r="L766" i="1"/>
  <c r="M766" i="1"/>
  <c r="N766" i="1"/>
  <c r="L767" i="1"/>
  <c r="M767" i="1"/>
  <c r="N767" i="1"/>
  <c r="L768" i="1"/>
  <c r="M768" i="1"/>
  <c r="N768" i="1"/>
  <c r="L769" i="1"/>
  <c r="M769" i="1"/>
  <c r="N769" i="1"/>
  <c r="L770" i="1"/>
  <c r="M770" i="1"/>
  <c r="N770" i="1"/>
  <c r="L771" i="1"/>
  <c r="M771" i="1"/>
  <c r="N771" i="1"/>
  <c r="L772" i="1"/>
  <c r="M772" i="1"/>
  <c r="N772" i="1"/>
  <c r="L773" i="1"/>
  <c r="M773" i="1"/>
  <c r="N773" i="1"/>
  <c r="L774" i="1"/>
  <c r="M774" i="1"/>
  <c r="N774" i="1"/>
  <c r="L775" i="1"/>
  <c r="M775" i="1"/>
  <c r="N775" i="1"/>
  <c r="L776" i="1"/>
  <c r="M776" i="1"/>
  <c r="N776" i="1"/>
  <c r="L777" i="1"/>
  <c r="M777" i="1"/>
  <c r="N777" i="1"/>
  <c r="L778" i="1"/>
  <c r="M778" i="1"/>
  <c r="N778" i="1"/>
  <c r="L779" i="1"/>
  <c r="M779" i="1"/>
  <c r="N779" i="1"/>
  <c r="L780" i="1"/>
  <c r="M780" i="1"/>
  <c r="N780" i="1"/>
  <c r="L781" i="1"/>
  <c r="M781" i="1"/>
  <c r="N781" i="1"/>
  <c r="L782" i="1"/>
  <c r="M782" i="1"/>
  <c r="N782" i="1"/>
  <c r="L783" i="1"/>
  <c r="M783" i="1"/>
  <c r="N783" i="1"/>
  <c r="L784" i="1"/>
  <c r="M784" i="1"/>
  <c r="N784" i="1"/>
  <c r="L785" i="1"/>
  <c r="M785" i="1"/>
  <c r="N785" i="1"/>
  <c r="L786" i="1"/>
  <c r="M786" i="1"/>
  <c r="N786" i="1"/>
  <c r="L787" i="1"/>
  <c r="M787" i="1"/>
  <c r="N787" i="1"/>
  <c r="L788" i="1"/>
  <c r="M788" i="1"/>
  <c r="N788" i="1"/>
  <c r="L789" i="1"/>
  <c r="M789" i="1"/>
  <c r="N789" i="1"/>
  <c r="L790" i="1"/>
  <c r="M790" i="1"/>
  <c r="N790" i="1"/>
  <c r="L791" i="1"/>
  <c r="M791" i="1"/>
  <c r="N791" i="1"/>
  <c r="L792" i="1"/>
  <c r="M792" i="1"/>
  <c r="N792" i="1"/>
  <c r="L793" i="1"/>
  <c r="M793" i="1"/>
  <c r="N793" i="1"/>
  <c r="L794" i="1"/>
  <c r="M794" i="1"/>
  <c r="N794" i="1"/>
  <c r="L795" i="1"/>
  <c r="M795" i="1"/>
  <c r="N795" i="1"/>
  <c r="L796" i="1"/>
  <c r="M796" i="1"/>
  <c r="N796" i="1"/>
  <c r="L797" i="1"/>
  <c r="M797" i="1"/>
  <c r="N797" i="1"/>
  <c r="L798" i="1"/>
  <c r="M798" i="1"/>
  <c r="N798" i="1"/>
  <c r="L799" i="1"/>
  <c r="M799" i="1"/>
  <c r="N799" i="1"/>
  <c r="L800" i="1"/>
  <c r="M800" i="1"/>
  <c r="N800" i="1"/>
  <c r="L801" i="1"/>
  <c r="M801" i="1"/>
  <c r="N801" i="1"/>
  <c r="L802" i="1"/>
  <c r="M802" i="1"/>
  <c r="N802" i="1"/>
  <c r="L803" i="1"/>
  <c r="M803" i="1"/>
  <c r="N803" i="1"/>
  <c r="L804" i="1"/>
  <c r="M804" i="1"/>
  <c r="N804" i="1"/>
  <c r="L805" i="1"/>
  <c r="M805" i="1"/>
  <c r="N805" i="1"/>
  <c r="L806" i="1"/>
  <c r="M806" i="1"/>
  <c r="N806" i="1"/>
  <c r="L807" i="1"/>
  <c r="M807" i="1"/>
  <c r="N807" i="1"/>
  <c r="L808" i="1"/>
  <c r="M808" i="1"/>
  <c r="N808" i="1"/>
  <c r="L809" i="1"/>
  <c r="M809" i="1"/>
  <c r="N809" i="1"/>
  <c r="L810" i="1"/>
  <c r="M810" i="1"/>
  <c r="N810" i="1"/>
  <c r="L811" i="1"/>
  <c r="M811" i="1"/>
  <c r="N811" i="1"/>
  <c r="L812" i="1"/>
  <c r="M812" i="1"/>
  <c r="N812" i="1"/>
  <c r="L813" i="1"/>
  <c r="M813" i="1"/>
  <c r="N813" i="1"/>
  <c r="L814" i="1"/>
  <c r="M814" i="1"/>
  <c r="N814" i="1"/>
  <c r="L815" i="1"/>
  <c r="M815" i="1"/>
  <c r="N815" i="1"/>
  <c r="L816" i="1"/>
  <c r="M816" i="1"/>
  <c r="N816" i="1"/>
  <c r="L817" i="1"/>
  <c r="M817" i="1"/>
  <c r="N817" i="1"/>
  <c r="L818" i="1"/>
  <c r="M818" i="1"/>
  <c r="N818" i="1"/>
  <c r="L819" i="1"/>
  <c r="M819" i="1"/>
  <c r="N819" i="1"/>
  <c r="L820" i="1"/>
  <c r="M820" i="1"/>
  <c r="N820" i="1"/>
  <c r="L821" i="1"/>
  <c r="M821" i="1"/>
  <c r="N821" i="1"/>
  <c r="L822" i="1"/>
  <c r="M822" i="1"/>
  <c r="N822" i="1"/>
  <c r="L823" i="1"/>
  <c r="M823" i="1"/>
  <c r="N823" i="1"/>
  <c r="L824" i="1"/>
  <c r="M824" i="1"/>
  <c r="N824" i="1"/>
  <c r="L825" i="1"/>
  <c r="M825" i="1"/>
  <c r="N825" i="1"/>
  <c r="L826" i="1"/>
  <c r="M826" i="1"/>
  <c r="N826" i="1"/>
  <c r="L827" i="1"/>
  <c r="M827" i="1"/>
  <c r="N827" i="1"/>
  <c r="L828" i="1"/>
  <c r="M828" i="1"/>
  <c r="N828" i="1"/>
  <c r="L829" i="1"/>
  <c r="M829" i="1"/>
  <c r="N829" i="1"/>
  <c r="L830" i="1"/>
  <c r="M830" i="1"/>
  <c r="N830" i="1"/>
  <c r="L831" i="1"/>
  <c r="M831" i="1"/>
  <c r="N831" i="1"/>
  <c r="L832" i="1"/>
  <c r="M832" i="1"/>
  <c r="N832" i="1"/>
  <c r="L833" i="1"/>
  <c r="M833" i="1"/>
  <c r="N833" i="1"/>
  <c r="L834" i="1"/>
  <c r="M834" i="1"/>
  <c r="N834" i="1"/>
  <c r="L835" i="1"/>
  <c r="M835" i="1"/>
  <c r="N835" i="1"/>
  <c r="L836" i="1"/>
  <c r="M836" i="1"/>
  <c r="N836" i="1"/>
  <c r="L837" i="1"/>
  <c r="M837" i="1"/>
  <c r="N837" i="1"/>
  <c r="L838" i="1"/>
  <c r="M838" i="1"/>
  <c r="N838" i="1"/>
  <c r="L839" i="1"/>
  <c r="M839" i="1"/>
  <c r="N839" i="1"/>
  <c r="L840" i="1"/>
  <c r="M840" i="1"/>
  <c r="N840" i="1"/>
  <c r="L841" i="1"/>
  <c r="M841" i="1"/>
  <c r="N841" i="1"/>
  <c r="L842" i="1"/>
  <c r="M842" i="1"/>
  <c r="N842" i="1"/>
  <c r="L843" i="1"/>
  <c r="M843" i="1"/>
  <c r="N843" i="1"/>
  <c r="L844" i="1"/>
  <c r="M844" i="1"/>
  <c r="N844" i="1"/>
  <c r="L845" i="1"/>
  <c r="M845" i="1"/>
  <c r="N845" i="1"/>
  <c r="L846" i="1"/>
  <c r="M846" i="1"/>
  <c r="N846" i="1"/>
  <c r="L847" i="1"/>
  <c r="M847" i="1"/>
  <c r="N847" i="1"/>
  <c r="L848" i="1"/>
  <c r="M848" i="1"/>
  <c r="N848" i="1"/>
  <c r="L849" i="1"/>
  <c r="M849" i="1"/>
  <c r="N849" i="1"/>
  <c r="L850" i="1"/>
  <c r="M850" i="1"/>
  <c r="N850" i="1"/>
  <c r="L851" i="1"/>
  <c r="M851" i="1"/>
  <c r="N851" i="1"/>
  <c r="L852" i="1"/>
  <c r="M852" i="1"/>
  <c r="N852" i="1"/>
  <c r="L853" i="1"/>
  <c r="M853" i="1"/>
  <c r="N853" i="1"/>
  <c r="L854" i="1"/>
  <c r="M854" i="1"/>
  <c r="N854" i="1"/>
  <c r="L855" i="1"/>
  <c r="M855" i="1"/>
  <c r="N855" i="1"/>
  <c r="L856" i="1"/>
  <c r="M856" i="1"/>
  <c r="N856" i="1"/>
  <c r="L857" i="1"/>
  <c r="M857" i="1"/>
  <c r="N857" i="1"/>
  <c r="L858" i="1"/>
  <c r="M858" i="1"/>
  <c r="N858" i="1"/>
  <c r="L859" i="1"/>
  <c r="M859" i="1"/>
  <c r="N859" i="1"/>
  <c r="L860" i="1"/>
  <c r="M860" i="1"/>
  <c r="N860" i="1"/>
  <c r="L861" i="1"/>
  <c r="M861" i="1"/>
  <c r="N861" i="1"/>
  <c r="L862" i="1"/>
  <c r="M862" i="1"/>
  <c r="N862" i="1"/>
  <c r="L863" i="1"/>
  <c r="M863" i="1"/>
  <c r="N863" i="1"/>
  <c r="L864" i="1"/>
  <c r="M864" i="1"/>
  <c r="N864" i="1"/>
  <c r="L865" i="1"/>
  <c r="M865" i="1"/>
  <c r="N865" i="1"/>
  <c r="L866" i="1"/>
  <c r="M866" i="1"/>
  <c r="N866" i="1"/>
  <c r="L867" i="1"/>
  <c r="M867" i="1"/>
  <c r="N867" i="1"/>
  <c r="L868" i="1"/>
  <c r="M868" i="1"/>
  <c r="N868" i="1"/>
  <c r="L869" i="1"/>
  <c r="M869" i="1"/>
  <c r="N869" i="1"/>
  <c r="L870" i="1"/>
  <c r="M870" i="1"/>
  <c r="N870" i="1"/>
  <c r="L871" i="1"/>
  <c r="M871" i="1"/>
  <c r="N871" i="1"/>
  <c r="L872" i="1"/>
  <c r="M872" i="1"/>
  <c r="N872" i="1"/>
  <c r="L873" i="1"/>
  <c r="M873" i="1"/>
  <c r="N873" i="1"/>
  <c r="L874" i="1"/>
  <c r="M874" i="1"/>
  <c r="N874" i="1"/>
  <c r="L875" i="1"/>
  <c r="M875" i="1"/>
  <c r="N875" i="1"/>
  <c r="L876" i="1"/>
  <c r="M876" i="1"/>
  <c r="N876" i="1"/>
  <c r="L877" i="1"/>
  <c r="M877" i="1"/>
  <c r="N877" i="1"/>
  <c r="L878" i="1"/>
  <c r="M878" i="1"/>
  <c r="N878" i="1"/>
  <c r="L879" i="1"/>
  <c r="M879" i="1"/>
  <c r="N879" i="1"/>
  <c r="L880" i="1"/>
  <c r="M880" i="1"/>
  <c r="N880" i="1"/>
  <c r="L881" i="1"/>
  <c r="M881" i="1"/>
  <c r="N881" i="1"/>
  <c r="L882" i="1"/>
  <c r="M882" i="1"/>
  <c r="N882" i="1"/>
  <c r="L883" i="1"/>
  <c r="M883" i="1"/>
  <c r="N883" i="1"/>
  <c r="L884" i="1"/>
  <c r="M884" i="1"/>
  <c r="N884" i="1"/>
  <c r="L885" i="1"/>
  <c r="M885" i="1"/>
  <c r="N885" i="1"/>
  <c r="L886" i="1"/>
  <c r="M886" i="1"/>
  <c r="N886" i="1"/>
  <c r="L887" i="1"/>
  <c r="M887" i="1"/>
  <c r="N887" i="1"/>
  <c r="L888" i="1"/>
  <c r="M888" i="1"/>
  <c r="N888" i="1"/>
  <c r="L889" i="1"/>
  <c r="M889" i="1"/>
  <c r="N889" i="1"/>
  <c r="L890" i="1"/>
  <c r="M890" i="1"/>
  <c r="N890" i="1"/>
  <c r="L891" i="1"/>
  <c r="M891" i="1"/>
  <c r="N891" i="1"/>
  <c r="L892" i="1"/>
  <c r="M892" i="1"/>
  <c r="N892" i="1"/>
  <c r="L893" i="1"/>
  <c r="M893" i="1"/>
  <c r="N893" i="1"/>
  <c r="L894" i="1"/>
  <c r="M894" i="1"/>
  <c r="N894" i="1"/>
  <c r="L895" i="1"/>
  <c r="M895" i="1"/>
  <c r="N895" i="1"/>
  <c r="L896" i="1"/>
  <c r="M896" i="1"/>
  <c r="N896" i="1"/>
  <c r="L897" i="1"/>
  <c r="M897" i="1"/>
  <c r="N897" i="1"/>
  <c r="L898" i="1"/>
  <c r="M898" i="1"/>
  <c r="N898" i="1"/>
  <c r="L899" i="1"/>
  <c r="M899" i="1"/>
  <c r="N899" i="1"/>
  <c r="L900" i="1"/>
  <c r="M900" i="1"/>
  <c r="N900" i="1"/>
  <c r="L901" i="1"/>
  <c r="M901" i="1"/>
  <c r="N901" i="1"/>
  <c r="L902" i="1"/>
  <c r="M902" i="1"/>
  <c r="N902" i="1"/>
  <c r="L903" i="1"/>
  <c r="M903" i="1"/>
  <c r="N903" i="1"/>
  <c r="L904" i="1"/>
  <c r="M904" i="1"/>
  <c r="N904" i="1"/>
  <c r="L905" i="1"/>
  <c r="M905" i="1"/>
  <c r="N905" i="1"/>
  <c r="L906" i="1"/>
  <c r="M906" i="1"/>
  <c r="N906" i="1"/>
  <c r="L907" i="1"/>
  <c r="M907" i="1"/>
  <c r="N907" i="1"/>
  <c r="L908" i="1"/>
  <c r="M908" i="1"/>
  <c r="N908" i="1"/>
  <c r="L909" i="1"/>
  <c r="M909" i="1"/>
  <c r="N909" i="1"/>
  <c r="L910" i="1"/>
  <c r="M910" i="1"/>
  <c r="N910" i="1"/>
  <c r="L911" i="1"/>
  <c r="M911" i="1"/>
  <c r="N911" i="1"/>
  <c r="L912" i="1"/>
  <c r="M912" i="1"/>
  <c r="N912" i="1"/>
  <c r="L913" i="1"/>
  <c r="M913" i="1"/>
  <c r="N913" i="1"/>
  <c r="L914" i="1"/>
  <c r="M914" i="1"/>
  <c r="N914" i="1"/>
  <c r="L915" i="1"/>
  <c r="M915" i="1"/>
  <c r="N915" i="1"/>
  <c r="L916" i="1"/>
  <c r="M916" i="1"/>
  <c r="N916" i="1"/>
  <c r="L917" i="1"/>
  <c r="M917" i="1"/>
  <c r="N917" i="1"/>
  <c r="L918" i="1"/>
  <c r="M918" i="1"/>
  <c r="N918" i="1"/>
  <c r="L919" i="1"/>
  <c r="M919" i="1"/>
  <c r="N919" i="1"/>
  <c r="L920" i="1"/>
  <c r="M920" i="1"/>
  <c r="N920" i="1"/>
  <c r="L921" i="1"/>
  <c r="M921" i="1"/>
  <c r="N921" i="1"/>
  <c r="L922" i="1"/>
  <c r="M922" i="1"/>
  <c r="N922" i="1"/>
  <c r="L923" i="1"/>
  <c r="M923" i="1"/>
  <c r="N923" i="1"/>
  <c r="L924" i="1"/>
  <c r="M924" i="1"/>
  <c r="N924" i="1"/>
  <c r="L925" i="1"/>
  <c r="M925" i="1"/>
  <c r="N925" i="1"/>
  <c r="L926" i="1"/>
  <c r="M926" i="1"/>
  <c r="N926" i="1"/>
  <c r="L927" i="1"/>
  <c r="M927" i="1"/>
  <c r="N927" i="1"/>
  <c r="L928" i="1"/>
  <c r="M928" i="1"/>
  <c r="N928" i="1"/>
  <c r="L929" i="1"/>
  <c r="M929" i="1"/>
  <c r="N929" i="1"/>
  <c r="L930" i="1"/>
  <c r="M930" i="1"/>
  <c r="N930" i="1"/>
  <c r="L931" i="1"/>
  <c r="M931" i="1"/>
  <c r="N931" i="1"/>
  <c r="L932" i="1"/>
  <c r="M932" i="1"/>
  <c r="N932" i="1"/>
  <c r="L933" i="1"/>
  <c r="M933" i="1"/>
  <c r="N933" i="1"/>
  <c r="L934" i="1"/>
  <c r="M934" i="1"/>
  <c r="N934" i="1"/>
  <c r="L935" i="1"/>
  <c r="M935" i="1"/>
  <c r="N935" i="1"/>
  <c r="L936" i="1"/>
  <c r="M936" i="1"/>
  <c r="N936" i="1"/>
  <c r="L937" i="1"/>
  <c r="M937" i="1"/>
  <c r="N937" i="1"/>
  <c r="L938" i="1"/>
  <c r="M938" i="1"/>
  <c r="N938" i="1"/>
  <c r="L939" i="1"/>
  <c r="M939" i="1"/>
  <c r="N939" i="1"/>
  <c r="L940" i="1"/>
  <c r="M940" i="1"/>
  <c r="N940" i="1"/>
  <c r="L941" i="1"/>
  <c r="M941" i="1"/>
  <c r="N941" i="1"/>
  <c r="L942" i="1"/>
  <c r="M942" i="1"/>
  <c r="N942" i="1"/>
  <c r="L943" i="1"/>
  <c r="M943" i="1"/>
  <c r="N943" i="1"/>
  <c r="L944" i="1"/>
  <c r="M944" i="1"/>
  <c r="N944" i="1"/>
  <c r="L945" i="1"/>
  <c r="M945" i="1"/>
  <c r="N945" i="1"/>
  <c r="L946" i="1"/>
  <c r="M946" i="1"/>
  <c r="N946" i="1"/>
  <c r="L947" i="1"/>
  <c r="M947" i="1"/>
  <c r="N947" i="1"/>
  <c r="L948" i="1"/>
  <c r="M948" i="1"/>
  <c r="N948" i="1"/>
  <c r="L949" i="1"/>
  <c r="M949" i="1"/>
  <c r="N949" i="1"/>
  <c r="L950" i="1"/>
  <c r="M950" i="1"/>
  <c r="N950" i="1"/>
  <c r="L951" i="1"/>
  <c r="M951" i="1"/>
  <c r="N951" i="1"/>
  <c r="L952" i="1"/>
  <c r="M952" i="1"/>
  <c r="N952" i="1"/>
  <c r="L953" i="1"/>
  <c r="M953" i="1"/>
  <c r="N953" i="1"/>
  <c r="L954" i="1"/>
  <c r="M954" i="1"/>
  <c r="N954" i="1"/>
  <c r="L955" i="1"/>
  <c r="M955" i="1"/>
  <c r="N955" i="1"/>
  <c r="L956" i="1"/>
  <c r="M956" i="1"/>
  <c r="N956" i="1"/>
  <c r="L957" i="1"/>
  <c r="M957" i="1"/>
  <c r="N957" i="1"/>
  <c r="L958" i="1"/>
  <c r="M958" i="1"/>
  <c r="N958" i="1"/>
  <c r="L959" i="1"/>
  <c r="M959" i="1"/>
  <c r="N959" i="1"/>
  <c r="L960" i="1"/>
  <c r="M960" i="1"/>
  <c r="N960" i="1"/>
  <c r="L961" i="1"/>
  <c r="M961" i="1"/>
  <c r="N961" i="1"/>
  <c r="L962" i="1"/>
  <c r="M962" i="1"/>
  <c r="N962" i="1"/>
  <c r="L963" i="1"/>
  <c r="M963" i="1"/>
  <c r="N963" i="1"/>
  <c r="L964" i="1"/>
  <c r="M964" i="1"/>
  <c r="N964" i="1"/>
  <c r="L965" i="1"/>
  <c r="M965" i="1"/>
  <c r="N965" i="1"/>
  <c r="L966" i="1"/>
  <c r="M966" i="1"/>
  <c r="N966" i="1"/>
  <c r="L967" i="1"/>
  <c r="M967" i="1"/>
  <c r="N967" i="1"/>
  <c r="L968" i="1"/>
  <c r="M968" i="1"/>
  <c r="N968" i="1"/>
  <c r="L969" i="1"/>
  <c r="M969" i="1"/>
  <c r="N969" i="1"/>
  <c r="L970" i="1"/>
  <c r="M970" i="1"/>
  <c r="N970" i="1"/>
  <c r="L971" i="1"/>
  <c r="M971" i="1"/>
  <c r="N971" i="1"/>
  <c r="L972" i="1"/>
  <c r="M972" i="1"/>
  <c r="N972" i="1"/>
  <c r="L973" i="1"/>
  <c r="M973" i="1"/>
  <c r="N973" i="1"/>
  <c r="L974" i="1"/>
  <c r="M974" i="1"/>
  <c r="N974" i="1"/>
  <c r="L975" i="1"/>
  <c r="M975" i="1"/>
  <c r="N975" i="1"/>
  <c r="L976" i="1"/>
  <c r="M976" i="1"/>
  <c r="N976" i="1"/>
  <c r="L977" i="1"/>
  <c r="M977" i="1"/>
  <c r="N977" i="1"/>
  <c r="L978" i="1"/>
  <c r="M978" i="1"/>
  <c r="N978" i="1"/>
  <c r="L979" i="1"/>
  <c r="M979" i="1"/>
  <c r="N979" i="1"/>
  <c r="L980" i="1"/>
  <c r="M980" i="1"/>
  <c r="N980" i="1"/>
  <c r="L981" i="1"/>
  <c r="M981" i="1"/>
  <c r="N981" i="1"/>
  <c r="L982" i="1"/>
  <c r="M982" i="1"/>
  <c r="N982" i="1"/>
  <c r="L983" i="1"/>
  <c r="M983" i="1"/>
  <c r="N983" i="1"/>
  <c r="L984" i="1"/>
  <c r="M984" i="1"/>
  <c r="N984" i="1"/>
  <c r="L985" i="1"/>
  <c r="M985" i="1"/>
  <c r="N985" i="1"/>
  <c r="L986" i="1"/>
  <c r="M986" i="1"/>
  <c r="N986" i="1"/>
  <c r="L987" i="1"/>
  <c r="M987" i="1"/>
  <c r="N987" i="1"/>
  <c r="L988" i="1"/>
  <c r="M988" i="1"/>
  <c r="N988" i="1"/>
  <c r="L989" i="1"/>
  <c r="M989" i="1"/>
  <c r="N989" i="1"/>
  <c r="L990" i="1"/>
  <c r="M990" i="1"/>
  <c r="N990" i="1"/>
  <c r="L991" i="1"/>
  <c r="M991" i="1"/>
  <c r="N991" i="1"/>
  <c r="L992" i="1"/>
  <c r="M992" i="1"/>
  <c r="N992" i="1"/>
  <c r="L993" i="1"/>
  <c r="M993" i="1"/>
  <c r="N993" i="1"/>
  <c r="L994" i="1"/>
  <c r="M994" i="1"/>
  <c r="N994" i="1"/>
  <c r="L995" i="1"/>
  <c r="M995" i="1"/>
  <c r="N995" i="1"/>
  <c r="L996" i="1"/>
  <c r="M996" i="1"/>
  <c r="N996" i="1"/>
  <c r="L997" i="1"/>
  <c r="M997" i="1"/>
  <c r="N997" i="1"/>
  <c r="L998" i="1"/>
  <c r="M998" i="1"/>
  <c r="N998" i="1"/>
  <c r="L999" i="1"/>
  <c r="M999" i="1"/>
  <c r="N999" i="1"/>
  <c r="L1000" i="1"/>
  <c r="M1000" i="1"/>
  <c r="N1000" i="1"/>
  <c r="L1001" i="1"/>
  <c r="M1001" i="1"/>
  <c r="N1001" i="1"/>
  <c r="L1002" i="1"/>
  <c r="M1002" i="1"/>
  <c r="N1002" i="1"/>
  <c r="L1003" i="1"/>
  <c r="M1003" i="1"/>
  <c r="N1003" i="1"/>
  <c r="L1004" i="1"/>
  <c r="M1004" i="1"/>
  <c r="N1004" i="1"/>
  <c r="L1005" i="1"/>
  <c r="M1005" i="1"/>
  <c r="N1005" i="1"/>
  <c r="L1006" i="1"/>
  <c r="M1006" i="1"/>
  <c r="N1006" i="1"/>
  <c r="L1007" i="1"/>
  <c r="M1007" i="1"/>
  <c r="N1007" i="1"/>
  <c r="L1008" i="1"/>
  <c r="M1008" i="1"/>
  <c r="N1008" i="1"/>
  <c r="L1009" i="1"/>
  <c r="M1009" i="1"/>
  <c r="N1009" i="1"/>
  <c r="L1010" i="1"/>
  <c r="M1010" i="1"/>
  <c r="N1010" i="1"/>
  <c r="L1011" i="1"/>
  <c r="M1011" i="1"/>
  <c r="N1011" i="1"/>
  <c r="L1012" i="1"/>
  <c r="M1012" i="1"/>
  <c r="N1012" i="1"/>
  <c r="L1013" i="1"/>
  <c r="M1013" i="1"/>
  <c r="N1013" i="1"/>
  <c r="L1014" i="1"/>
  <c r="M1014" i="1"/>
  <c r="N1014" i="1"/>
  <c r="L1015" i="1"/>
  <c r="M1015" i="1"/>
  <c r="N1015" i="1"/>
  <c r="L1016" i="1"/>
  <c r="M1016" i="1"/>
  <c r="N1016" i="1"/>
  <c r="L1017" i="1"/>
  <c r="M1017" i="1"/>
  <c r="N1017" i="1"/>
  <c r="L1018" i="1"/>
  <c r="M1018" i="1"/>
  <c r="N1018" i="1"/>
  <c r="L1019" i="1"/>
  <c r="M1019" i="1"/>
  <c r="N1019" i="1"/>
  <c r="L1020" i="1"/>
  <c r="M1020" i="1"/>
  <c r="N1020" i="1"/>
  <c r="L1021" i="1"/>
  <c r="M1021" i="1"/>
  <c r="N1021" i="1"/>
  <c r="L1022" i="1"/>
  <c r="M1022" i="1"/>
  <c r="N1022" i="1"/>
  <c r="L1023" i="1"/>
  <c r="M1023" i="1"/>
  <c r="N1023" i="1"/>
  <c r="L1024" i="1"/>
  <c r="M1024" i="1"/>
  <c r="N1024" i="1"/>
  <c r="L1025" i="1"/>
  <c r="M1025" i="1"/>
  <c r="N1025" i="1"/>
  <c r="L1026" i="1"/>
  <c r="M1026" i="1"/>
  <c r="N1026" i="1"/>
  <c r="L1027" i="1"/>
  <c r="M1027" i="1"/>
  <c r="N1027" i="1"/>
  <c r="L1028" i="1"/>
  <c r="M1028" i="1"/>
  <c r="N1028" i="1"/>
  <c r="L1029" i="1"/>
  <c r="M1029" i="1"/>
  <c r="N1029" i="1"/>
  <c r="L1030" i="1"/>
  <c r="M1030" i="1"/>
  <c r="N1030" i="1"/>
  <c r="L1031" i="1"/>
  <c r="M1031" i="1"/>
  <c r="N1031" i="1"/>
  <c r="L1032" i="1"/>
  <c r="M1032" i="1"/>
  <c r="N1032" i="1"/>
  <c r="L1033" i="1"/>
  <c r="M1033" i="1"/>
  <c r="N1033" i="1"/>
  <c r="L1034" i="1"/>
  <c r="M1034" i="1"/>
  <c r="N1034" i="1"/>
  <c r="L1035" i="1"/>
  <c r="M1035" i="1"/>
  <c r="N1035" i="1"/>
  <c r="L1036" i="1"/>
  <c r="M1036" i="1"/>
  <c r="N1036" i="1"/>
  <c r="L1037" i="1"/>
  <c r="M1037" i="1"/>
  <c r="N1037" i="1"/>
  <c r="L1038" i="1"/>
  <c r="M1038" i="1"/>
  <c r="N1038" i="1"/>
  <c r="L1039" i="1"/>
  <c r="M1039" i="1"/>
  <c r="N1039" i="1"/>
  <c r="L1040" i="1"/>
  <c r="M1040" i="1"/>
  <c r="N1040" i="1"/>
  <c r="L1041" i="1"/>
  <c r="M1041" i="1"/>
  <c r="N1041" i="1"/>
  <c r="L1042" i="1"/>
  <c r="M1042" i="1"/>
  <c r="N1042" i="1"/>
  <c r="L1043" i="1"/>
  <c r="M1043" i="1"/>
  <c r="N1043" i="1"/>
  <c r="L1044" i="1"/>
  <c r="M1044" i="1"/>
  <c r="N1044" i="1"/>
  <c r="L1045" i="1"/>
  <c r="M1045" i="1"/>
  <c r="N1045" i="1"/>
  <c r="L1046" i="1"/>
  <c r="M1046" i="1"/>
  <c r="N1046" i="1"/>
  <c r="L1047" i="1"/>
  <c r="M1047" i="1"/>
  <c r="N1047" i="1"/>
  <c r="L1048" i="1"/>
  <c r="M1048" i="1"/>
  <c r="N1048" i="1"/>
  <c r="L1049" i="1"/>
  <c r="M1049" i="1"/>
  <c r="N1049" i="1"/>
  <c r="L1050" i="1"/>
  <c r="M1050" i="1"/>
  <c r="N1050" i="1"/>
  <c r="L1051" i="1"/>
  <c r="M1051" i="1"/>
  <c r="N1051" i="1"/>
  <c r="L1052" i="1"/>
  <c r="M1052" i="1"/>
  <c r="N1052" i="1"/>
  <c r="L1053" i="1"/>
  <c r="M1053" i="1"/>
  <c r="N1053" i="1"/>
  <c r="L1054" i="1"/>
  <c r="M1054" i="1"/>
  <c r="N1054" i="1"/>
  <c r="L1055" i="1"/>
  <c r="M1055" i="1"/>
  <c r="N1055" i="1"/>
  <c r="L1056" i="1"/>
  <c r="M1056" i="1"/>
  <c r="N1056" i="1"/>
  <c r="L1057" i="1"/>
  <c r="M1057" i="1"/>
  <c r="N1057" i="1"/>
  <c r="L1058" i="1"/>
  <c r="M1058" i="1"/>
  <c r="N1058" i="1"/>
  <c r="L1059" i="1"/>
  <c r="M1059" i="1"/>
  <c r="N1059" i="1"/>
  <c r="L1060" i="1"/>
  <c r="M1060" i="1"/>
  <c r="N1060" i="1"/>
  <c r="L1061" i="1"/>
  <c r="M1061" i="1"/>
  <c r="N1061" i="1"/>
  <c r="L1062" i="1"/>
  <c r="M1062" i="1"/>
  <c r="N1062" i="1"/>
  <c r="L1063" i="1"/>
  <c r="M1063" i="1"/>
  <c r="N1063" i="1"/>
  <c r="L1064" i="1"/>
  <c r="M1064" i="1"/>
  <c r="N1064" i="1"/>
  <c r="L1065" i="1"/>
  <c r="M1065" i="1"/>
  <c r="N1065" i="1"/>
  <c r="L1066" i="1"/>
  <c r="M1066" i="1"/>
  <c r="N1066" i="1"/>
  <c r="L1067" i="1"/>
  <c r="M1067" i="1"/>
  <c r="N1067" i="1"/>
  <c r="L1068" i="1"/>
  <c r="M1068" i="1"/>
  <c r="N1068" i="1"/>
  <c r="L1069" i="1"/>
  <c r="M1069" i="1"/>
  <c r="N1069" i="1"/>
  <c r="L1070" i="1"/>
  <c r="M1070" i="1"/>
  <c r="N1070" i="1"/>
  <c r="L1071" i="1"/>
  <c r="M1071" i="1"/>
  <c r="N1071" i="1"/>
  <c r="L1072" i="1"/>
  <c r="M1072" i="1"/>
  <c r="N1072" i="1"/>
  <c r="L1073" i="1"/>
  <c r="M1073" i="1"/>
  <c r="N1073" i="1"/>
  <c r="L1074" i="1"/>
  <c r="M1074" i="1"/>
  <c r="N1074" i="1"/>
  <c r="L1075" i="1"/>
  <c r="M1075" i="1"/>
  <c r="N1075" i="1"/>
  <c r="L1076" i="1"/>
  <c r="M1076" i="1"/>
  <c r="N1076" i="1"/>
  <c r="L1077" i="1"/>
  <c r="M1077" i="1"/>
  <c r="N1077" i="1"/>
  <c r="L1078" i="1"/>
  <c r="M1078" i="1"/>
  <c r="N1078" i="1"/>
  <c r="L1079" i="1"/>
  <c r="M1079" i="1"/>
  <c r="N1079" i="1"/>
  <c r="L1080" i="1"/>
  <c r="M1080" i="1"/>
  <c r="N1080" i="1"/>
  <c r="L1081" i="1"/>
  <c r="M1081" i="1"/>
  <c r="N1081" i="1"/>
  <c r="L1082" i="1"/>
  <c r="M1082" i="1"/>
  <c r="N1082" i="1"/>
  <c r="L1083" i="1"/>
  <c r="M1083" i="1"/>
  <c r="N1083" i="1"/>
  <c r="L1084" i="1"/>
  <c r="M1084" i="1"/>
  <c r="N1084" i="1"/>
  <c r="L1085" i="1"/>
  <c r="M1085" i="1"/>
  <c r="N1085" i="1"/>
  <c r="L1086" i="1"/>
  <c r="M1086" i="1"/>
  <c r="N1086" i="1"/>
  <c r="L1087" i="1"/>
  <c r="M1087" i="1"/>
  <c r="N1087" i="1"/>
  <c r="L1088" i="1"/>
  <c r="M1088" i="1"/>
  <c r="N1088" i="1"/>
  <c r="L1089" i="1"/>
  <c r="M1089" i="1"/>
  <c r="N1089" i="1"/>
  <c r="L1090" i="1"/>
  <c r="M1090" i="1"/>
  <c r="N1090" i="1"/>
  <c r="L1091" i="1"/>
  <c r="M1091" i="1"/>
  <c r="N1091" i="1"/>
  <c r="L1092" i="1"/>
  <c r="M1092" i="1"/>
  <c r="N1092" i="1"/>
  <c r="L1093" i="1"/>
  <c r="M1093" i="1"/>
  <c r="N1093" i="1"/>
  <c r="L1094" i="1"/>
  <c r="M1094" i="1"/>
  <c r="N1094" i="1"/>
  <c r="L1095" i="1"/>
  <c r="M1095" i="1"/>
  <c r="N1095" i="1"/>
  <c r="L1096" i="1"/>
  <c r="M1096" i="1"/>
  <c r="N1096" i="1"/>
  <c r="L1097" i="1"/>
  <c r="M1097" i="1"/>
  <c r="N1097" i="1"/>
  <c r="L1098" i="1"/>
  <c r="M1098" i="1"/>
  <c r="N1098" i="1"/>
  <c r="L1099" i="1"/>
  <c r="M1099" i="1"/>
  <c r="N1099" i="1"/>
  <c r="L1100" i="1"/>
  <c r="M1100" i="1"/>
  <c r="N1100" i="1"/>
  <c r="L1101" i="1"/>
  <c r="M1101" i="1"/>
  <c r="N1101" i="1"/>
  <c r="L1102" i="1"/>
  <c r="M1102" i="1"/>
  <c r="N1102" i="1"/>
  <c r="L1103" i="1"/>
  <c r="M1103" i="1"/>
  <c r="N1103" i="1"/>
  <c r="L1104" i="1"/>
  <c r="M1104" i="1"/>
  <c r="N1104" i="1"/>
  <c r="L1105" i="1"/>
  <c r="M1105" i="1"/>
  <c r="N1105" i="1"/>
  <c r="L1106" i="1"/>
  <c r="M1106" i="1"/>
  <c r="N1106" i="1"/>
  <c r="L1107" i="1"/>
  <c r="M1107" i="1"/>
  <c r="N1107" i="1"/>
  <c r="L1108" i="1"/>
  <c r="M1108" i="1"/>
  <c r="N1108" i="1"/>
  <c r="L1109" i="1"/>
  <c r="M1109" i="1"/>
  <c r="N1109" i="1"/>
  <c r="L1110" i="1"/>
  <c r="M1110" i="1"/>
  <c r="N1110" i="1"/>
  <c r="L1111" i="1"/>
  <c r="M1111" i="1"/>
  <c r="N1111" i="1"/>
  <c r="L1112" i="1"/>
  <c r="M1112" i="1"/>
  <c r="N1112" i="1"/>
  <c r="L1113" i="1"/>
  <c r="M1113" i="1"/>
  <c r="N1113" i="1"/>
  <c r="L1114" i="1"/>
  <c r="M1114" i="1"/>
  <c r="N1114" i="1"/>
  <c r="L1115" i="1"/>
  <c r="M1115" i="1"/>
  <c r="N1115" i="1"/>
  <c r="L1116" i="1"/>
  <c r="M1116" i="1"/>
  <c r="N1116" i="1"/>
  <c r="L1117" i="1"/>
  <c r="M1117" i="1"/>
  <c r="N1117" i="1"/>
  <c r="L1118" i="1"/>
  <c r="M1118" i="1"/>
  <c r="N1118" i="1"/>
  <c r="L1119" i="1"/>
  <c r="M1119" i="1"/>
  <c r="N1119" i="1"/>
  <c r="L1120" i="1"/>
  <c r="M1120" i="1"/>
  <c r="N1120" i="1"/>
  <c r="L1121" i="1"/>
  <c r="M1121" i="1"/>
  <c r="N1121" i="1"/>
  <c r="L1122" i="1"/>
  <c r="M1122" i="1"/>
  <c r="N1122" i="1"/>
  <c r="L1123" i="1"/>
  <c r="M1123" i="1"/>
  <c r="N1123" i="1"/>
  <c r="L1124" i="1"/>
  <c r="M1124" i="1"/>
  <c r="N1124" i="1"/>
  <c r="L1125" i="1"/>
  <c r="M1125" i="1"/>
  <c r="N1125" i="1"/>
  <c r="L1126" i="1"/>
  <c r="M1126" i="1"/>
  <c r="N1126" i="1"/>
  <c r="L1127" i="1"/>
  <c r="M1127" i="1"/>
  <c r="N1127" i="1"/>
  <c r="L1128" i="1"/>
  <c r="M1128" i="1"/>
  <c r="N1128" i="1"/>
  <c r="L1129" i="1"/>
  <c r="M1129" i="1"/>
  <c r="N1129" i="1"/>
  <c r="L1130" i="1"/>
  <c r="M1130" i="1"/>
  <c r="N1130" i="1"/>
  <c r="L1131" i="1"/>
  <c r="M1131" i="1"/>
  <c r="N1131" i="1"/>
  <c r="L1132" i="1"/>
  <c r="M1132" i="1"/>
  <c r="N1132" i="1"/>
  <c r="L1133" i="1"/>
  <c r="M1133" i="1"/>
  <c r="N1133" i="1"/>
  <c r="L1134" i="1"/>
  <c r="M1134" i="1"/>
  <c r="N1134" i="1"/>
  <c r="L1135" i="1"/>
  <c r="M1135" i="1"/>
  <c r="N1135" i="1"/>
  <c r="L1136" i="1"/>
  <c r="M1136" i="1"/>
  <c r="N1136" i="1"/>
  <c r="L1137" i="1"/>
  <c r="M1137" i="1"/>
  <c r="N1137" i="1"/>
  <c r="L1138" i="1"/>
  <c r="M1138" i="1"/>
  <c r="N1138" i="1"/>
  <c r="L1139" i="1"/>
  <c r="M1139" i="1"/>
  <c r="N1139" i="1"/>
  <c r="L1140" i="1"/>
  <c r="M1140" i="1"/>
  <c r="N1140" i="1"/>
  <c r="L1141" i="1"/>
  <c r="M1141" i="1"/>
  <c r="N1141" i="1"/>
  <c r="L1142" i="1"/>
  <c r="M1142" i="1"/>
  <c r="N1142" i="1"/>
  <c r="L1143" i="1"/>
  <c r="M1143" i="1"/>
  <c r="N1143" i="1"/>
  <c r="L1144" i="1"/>
  <c r="M1144" i="1"/>
  <c r="N1144" i="1"/>
  <c r="L1145" i="1"/>
  <c r="M1145" i="1"/>
  <c r="N1145" i="1"/>
  <c r="L1146" i="1"/>
  <c r="M1146" i="1"/>
  <c r="N1146" i="1"/>
  <c r="L1147" i="1"/>
  <c r="M1147" i="1"/>
  <c r="N1147" i="1"/>
  <c r="L1148" i="1"/>
  <c r="M1148" i="1"/>
  <c r="N1148" i="1"/>
  <c r="L1149" i="1"/>
  <c r="M1149" i="1"/>
  <c r="N1149" i="1"/>
  <c r="L1150" i="1"/>
  <c r="M1150" i="1"/>
  <c r="N1150" i="1"/>
  <c r="L1151" i="1"/>
  <c r="M1151" i="1"/>
  <c r="N1151" i="1"/>
  <c r="L1152" i="1"/>
  <c r="M1152" i="1"/>
  <c r="N1152" i="1"/>
  <c r="L1153" i="1"/>
  <c r="M1153" i="1"/>
  <c r="N1153" i="1"/>
  <c r="L1154" i="1"/>
  <c r="M1154" i="1"/>
  <c r="N1154" i="1"/>
  <c r="L1155" i="1"/>
  <c r="M1155" i="1"/>
  <c r="N1155" i="1"/>
  <c r="L1156" i="1"/>
  <c r="M1156" i="1"/>
  <c r="N1156" i="1"/>
  <c r="L1157" i="1"/>
  <c r="M1157" i="1"/>
  <c r="N1157" i="1"/>
  <c r="L1158" i="1"/>
  <c r="M1158" i="1"/>
  <c r="N1158" i="1"/>
  <c r="L1159" i="1"/>
  <c r="M1159" i="1"/>
  <c r="N1159" i="1"/>
  <c r="L1160" i="1"/>
  <c r="M1160" i="1"/>
  <c r="N1160" i="1"/>
  <c r="L1161" i="1"/>
  <c r="M1161" i="1"/>
  <c r="N1161" i="1"/>
  <c r="L1162" i="1"/>
  <c r="M1162" i="1"/>
  <c r="N1162" i="1"/>
  <c r="L1163" i="1"/>
  <c r="M1163" i="1"/>
  <c r="N1163" i="1"/>
  <c r="L1164" i="1"/>
  <c r="M1164" i="1"/>
  <c r="N1164" i="1"/>
  <c r="L1165" i="1"/>
  <c r="M1165" i="1"/>
  <c r="N1165" i="1"/>
  <c r="L1166" i="1"/>
  <c r="M1166" i="1"/>
  <c r="N1166" i="1"/>
  <c r="L1167" i="1"/>
  <c r="M1167" i="1"/>
  <c r="N1167" i="1"/>
  <c r="L1168" i="1"/>
  <c r="M1168" i="1"/>
  <c r="N1168" i="1"/>
  <c r="L1169" i="1"/>
  <c r="M1169" i="1"/>
  <c r="N1169" i="1"/>
  <c r="L1170" i="1"/>
  <c r="M1170" i="1"/>
  <c r="N1170" i="1"/>
  <c r="L1171" i="1"/>
  <c r="M1171" i="1"/>
  <c r="N1171" i="1"/>
  <c r="L1172" i="1"/>
  <c r="M1172" i="1"/>
  <c r="N1172" i="1"/>
  <c r="L1173" i="1"/>
  <c r="M1173" i="1"/>
  <c r="N1173" i="1"/>
  <c r="L1174" i="1"/>
  <c r="M1174" i="1"/>
  <c r="N1174" i="1"/>
  <c r="L1175" i="1"/>
  <c r="M1175" i="1"/>
  <c r="N1175" i="1"/>
  <c r="L1176" i="1"/>
  <c r="M1176" i="1"/>
  <c r="N1176" i="1"/>
  <c r="L1177" i="1"/>
  <c r="M1177" i="1"/>
  <c r="N1177" i="1"/>
  <c r="L1178" i="1"/>
  <c r="M1178" i="1"/>
  <c r="N1178" i="1"/>
  <c r="L1179" i="1"/>
  <c r="M1179" i="1"/>
  <c r="N1179" i="1"/>
  <c r="L1180" i="1"/>
  <c r="M1180" i="1"/>
  <c r="N1180" i="1"/>
  <c r="L1181" i="1"/>
  <c r="M1181" i="1"/>
  <c r="N1181" i="1"/>
  <c r="L1182" i="1"/>
  <c r="M1182" i="1"/>
  <c r="N1182" i="1"/>
  <c r="L1183" i="1"/>
  <c r="M1183" i="1"/>
  <c r="N1183" i="1"/>
  <c r="L1184" i="1"/>
  <c r="M1184" i="1"/>
  <c r="N1184" i="1"/>
  <c r="L1185" i="1"/>
  <c r="M1185" i="1"/>
  <c r="N1185" i="1"/>
  <c r="L1186" i="1"/>
  <c r="M1186" i="1"/>
  <c r="N1186" i="1"/>
  <c r="L1187" i="1"/>
  <c r="M1187" i="1"/>
  <c r="N1187" i="1"/>
  <c r="L1188" i="1"/>
  <c r="M1188" i="1"/>
  <c r="N1188" i="1"/>
  <c r="L1189" i="1"/>
  <c r="M1189" i="1"/>
  <c r="N1189" i="1"/>
  <c r="L1190" i="1"/>
  <c r="M1190" i="1"/>
  <c r="N1190" i="1"/>
  <c r="L1191" i="1"/>
  <c r="M1191" i="1"/>
  <c r="N1191" i="1"/>
  <c r="L1192" i="1"/>
  <c r="M1192" i="1"/>
  <c r="N1192" i="1"/>
  <c r="L1193" i="1"/>
  <c r="M1193" i="1"/>
  <c r="N1193" i="1"/>
  <c r="L1194" i="1"/>
  <c r="M1194" i="1"/>
  <c r="N1194" i="1"/>
  <c r="L1195" i="1"/>
  <c r="M1195" i="1"/>
  <c r="N1195" i="1"/>
  <c r="L1196" i="1"/>
  <c r="M1196" i="1"/>
  <c r="N1196" i="1"/>
  <c r="L1197" i="1"/>
  <c r="M1197" i="1"/>
  <c r="N1197" i="1"/>
  <c r="L1198" i="1"/>
  <c r="M1198" i="1"/>
  <c r="N1198" i="1"/>
  <c r="L1199" i="1"/>
  <c r="M1199" i="1"/>
  <c r="N1199" i="1"/>
  <c r="L1200" i="1"/>
  <c r="M1200" i="1"/>
  <c r="N1200" i="1"/>
  <c r="L1201" i="1"/>
  <c r="M1201" i="1"/>
  <c r="N1201" i="1"/>
  <c r="L1202" i="1"/>
  <c r="M1202" i="1"/>
  <c r="N1202" i="1"/>
  <c r="L1203" i="1"/>
  <c r="M1203" i="1"/>
  <c r="N1203" i="1"/>
  <c r="L1204" i="1"/>
  <c r="M1204" i="1"/>
  <c r="N1204" i="1"/>
  <c r="L1205" i="1"/>
  <c r="M1205" i="1"/>
  <c r="N1205" i="1"/>
  <c r="L1206" i="1"/>
  <c r="M1206" i="1"/>
  <c r="N1206" i="1"/>
  <c r="L1207" i="1"/>
  <c r="M1207" i="1"/>
  <c r="N1207" i="1"/>
  <c r="L1208" i="1"/>
  <c r="M1208" i="1"/>
  <c r="N1208" i="1"/>
  <c r="L1209" i="1"/>
  <c r="M1209" i="1"/>
  <c r="N1209" i="1"/>
  <c r="L1210" i="1"/>
  <c r="M1210" i="1"/>
  <c r="N1210" i="1"/>
  <c r="L1211" i="1"/>
  <c r="M1211" i="1"/>
  <c r="N1211" i="1"/>
  <c r="L1212" i="1"/>
  <c r="M1212" i="1"/>
  <c r="N1212" i="1"/>
  <c r="L1213" i="1"/>
  <c r="M1213" i="1"/>
  <c r="N1213" i="1"/>
  <c r="L1214" i="1"/>
  <c r="M1214" i="1"/>
  <c r="N1214" i="1"/>
  <c r="L1215" i="1"/>
  <c r="M1215" i="1"/>
  <c r="N1215" i="1"/>
  <c r="L1216" i="1"/>
  <c r="M1216" i="1"/>
  <c r="N1216" i="1"/>
  <c r="L1217" i="1"/>
  <c r="M1217" i="1"/>
  <c r="N1217" i="1"/>
  <c r="L1218" i="1"/>
  <c r="M1218" i="1"/>
  <c r="N1218" i="1"/>
  <c r="L1219" i="1"/>
  <c r="M1219" i="1"/>
  <c r="N1219" i="1"/>
  <c r="L1220" i="1"/>
  <c r="M1220" i="1"/>
  <c r="N1220" i="1"/>
  <c r="L1221" i="1"/>
  <c r="M1221" i="1"/>
  <c r="N1221" i="1"/>
  <c r="L1222" i="1"/>
  <c r="M1222" i="1"/>
  <c r="N1222" i="1"/>
  <c r="L1223" i="1"/>
  <c r="M1223" i="1"/>
  <c r="N1223" i="1"/>
  <c r="L1224" i="1"/>
  <c r="M1224" i="1"/>
  <c r="N1224" i="1"/>
  <c r="L1225" i="1"/>
  <c r="M1225" i="1"/>
  <c r="N1225" i="1"/>
  <c r="L1226" i="1"/>
  <c r="M1226" i="1"/>
  <c r="N1226" i="1"/>
  <c r="L1227" i="1"/>
  <c r="M1227" i="1"/>
  <c r="N1227" i="1"/>
  <c r="L1228" i="1"/>
  <c r="M1228" i="1"/>
  <c r="N1228" i="1"/>
  <c r="L1229" i="1"/>
  <c r="M1229" i="1"/>
  <c r="N1229" i="1"/>
  <c r="L1230" i="1"/>
  <c r="M1230" i="1"/>
  <c r="N1230" i="1"/>
  <c r="L1231" i="1"/>
  <c r="M1231" i="1"/>
  <c r="N1231" i="1"/>
  <c r="L1232" i="1"/>
  <c r="M1232" i="1"/>
  <c r="N1232" i="1"/>
  <c r="L1233" i="1"/>
  <c r="M1233" i="1"/>
  <c r="N1233" i="1"/>
  <c r="L1234" i="1"/>
  <c r="M1234" i="1"/>
  <c r="N1234" i="1"/>
  <c r="L1235" i="1"/>
  <c r="M1235" i="1"/>
  <c r="N1235" i="1"/>
  <c r="L1236" i="1"/>
  <c r="M1236" i="1"/>
  <c r="N1236" i="1"/>
  <c r="L1237" i="1"/>
  <c r="M1237" i="1"/>
  <c r="N1237" i="1"/>
  <c r="L1238" i="1"/>
  <c r="M1238" i="1"/>
  <c r="N1238" i="1"/>
  <c r="L1239" i="1"/>
  <c r="M1239" i="1"/>
  <c r="N1239" i="1"/>
  <c r="L1240" i="1"/>
  <c r="M1240" i="1"/>
  <c r="N1240" i="1"/>
  <c r="L1241" i="1"/>
  <c r="M1241" i="1"/>
  <c r="N1241" i="1"/>
  <c r="L1242" i="1"/>
  <c r="M1242" i="1"/>
  <c r="N1242" i="1"/>
  <c r="L1243" i="1"/>
  <c r="M1243" i="1"/>
  <c r="N1243" i="1"/>
  <c r="L1244" i="1"/>
  <c r="M1244" i="1"/>
  <c r="N1244" i="1"/>
  <c r="L1245" i="1"/>
  <c r="M1245" i="1"/>
  <c r="N1245" i="1"/>
  <c r="L1246" i="1"/>
  <c r="M1246" i="1"/>
  <c r="N1246" i="1"/>
  <c r="L1247" i="1"/>
  <c r="M1247" i="1"/>
  <c r="N1247" i="1"/>
  <c r="L1248" i="1"/>
  <c r="M1248" i="1"/>
  <c r="N1248" i="1"/>
  <c r="L1249" i="1"/>
  <c r="M1249" i="1"/>
  <c r="N1249" i="1"/>
  <c r="L1250" i="1"/>
  <c r="M1250" i="1"/>
  <c r="N1250" i="1"/>
  <c r="L1251" i="1"/>
  <c r="M1251" i="1"/>
  <c r="N1251" i="1"/>
  <c r="L1252" i="1"/>
  <c r="M1252" i="1"/>
  <c r="N1252" i="1"/>
  <c r="L1253" i="1"/>
  <c r="M1253" i="1"/>
  <c r="N1253" i="1"/>
  <c r="L1254" i="1"/>
  <c r="M1254" i="1"/>
  <c r="N1254" i="1"/>
  <c r="L1255" i="1"/>
  <c r="M1255" i="1"/>
  <c r="N1255" i="1"/>
  <c r="L1256" i="1"/>
  <c r="M1256" i="1"/>
  <c r="N1256" i="1"/>
  <c r="L1257" i="1"/>
  <c r="M1257" i="1"/>
  <c r="N1257" i="1"/>
  <c r="L1258" i="1"/>
  <c r="M1258" i="1"/>
  <c r="N1258" i="1"/>
  <c r="L1259" i="1"/>
  <c r="M1259" i="1"/>
  <c r="N1259" i="1"/>
  <c r="L1260" i="1"/>
  <c r="M1260" i="1"/>
  <c r="N1260" i="1"/>
  <c r="L1261" i="1"/>
  <c r="M1261" i="1"/>
  <c r="N1261" i="1"/>
  <c r="L1262" i="1"/>
  <c r="M1262" i="1"/>
  <c r="N1262" i="1"/>
  <c r="L1263" i="1"/>
  <c r="M1263" i="1"/>
  <c r="N1263" i="1"/>
  <c r="L1264" i="1"/>
  <c r="M1264" i="1"/>
  <c r="N1264" i="1"/>
  <c r="L1265" i="1"/>
  <c r="M1265" i="1"/>
  <c r="N1265" i="1"/>
  <c r="L1266" i="1"/>
  <c r="M1266" i="1"/>
  <c r="N1266" i="1"/>
  <c r="L1267" i="1"/>
  <c r="M1267" i="1"/>
  <c r="N1267" i="1"/>
  <c r="L1268" i="1"/>
  <c r="M1268" i="1"/>
  <c r="N1268" i="1"/>
  <c r="L1269" i="1"/>
  <c r="M1269" i="1"/>
  <c r="N1269" i="1"/>
  <c r="L1270" i="1"/>
  <c r="M1270" i="1"/>
  <c r="N1270" i="1"/>
  <c r="L1271" i="1"/>
  <c r="M1271" i="1"/>
  <c r="N1271" i="1"/>
  <c r="L1272" i="1"/>
  <c r="M1272" i="1"/>
  <c r="N1272" i="1"/>
  <c r="L1273" i="1"/>
  <c r="M1273" i="1"/>
  <c r="N1273" i="1"/>
  <c r="L1274" i="1"/>
  <c r="M1274" i="1"/>
  <c r="N1274" i="1"/>
  <c r="L1275" i="1"/>
  <c r="M1275" i="1"/>
  <c r="N1275" i="1"/>
  <c r="L1276" i="1"/>
  <c r="M1276" i="1"/>
  <c r="N1276" i="1"/>
  <c r="L1277" i="1"/>
  <c r="M1277" i="1"/>
  <c r="N1277" i="1"/>
  <c r="L1278" i="1"/>
  <c r="M1278" i="1"/>
  <c r="N1278" i="1"/>
  <c r="L1279" i="1"/>
  <c r="M1279" i="1"/>
  <c r="N1279" i="1"/>
  <c r="L1280" i="1"/>
  <c r="M1280" i="1"/>
  <c r="N1280" i="1"/>
  <c r="L1281" i="1"/>
  <c r="M1281" i="1"/>
  <c r="N1281" i="1"/>
  <c r="L1282" i="1"/>
  <c r="M1282" i="1"/>
  <c r="N1282" i="1"/>
  <c r="L1283" i="1"/>
  <c r="M1283" i="1"/>
  <c r="N1283" i="1"/>
  <c r="L1284" i="1"/>
  <c r="M1284" i="1"/>
  <c r="N1284" i="1"/>
  <c r="L1285" i="1"/>
  <c r="M1285" i="1"/>
  <c r="N1285" i="1"/>
  <c r="L1286" i="1"/>
  <c r="M1286" i="1"/>
  <c r="N1286" i="1"/>
  <c r="L1287" i="1"/>
  <c r="M1287" i="1"/>
  <c r="N1287" i="1"/>
  <c r="L1288" i="1"/>
  <c r="M1288" i="1"/>
  <c r="N1288" i="1"/>
  <c r="L1289" i="1"/>
  <c r="M1289" i="1"/>
  <c r="N1289" i="1"/>
  <c r="L1290" i="1"/>
  <c r="M1290" i="1"/>
  <c r="N1290" i="1"/>
  <c r="L1291" i="1"/>
  <c r="M1291" i="1"/>
  <c r="N1291" i="1"/>
  <c r="L1292" i="1"/>
  <c r="M1292" i="1"/>
  <c r="N1292" i="1"/>
  <c r="L1293" i="1"/>
  <c r="M1293" i="1"/>
  <c r="N1293" i="1"/>
  <c r="L1294" i="1"/>
  <c r="M1294" i="1"/>
  <c r="N1294" i="1"/>
  <c r="L1295" i="1"/>
  <c r="M1295" i="1"/>
  <c r="N1295" i="1"/>
  <c r="L1296" i="1"/>
  <c r="M1296" i="1"/>
  <c r="N1296" i="1"/>
  <c r="L1297" i="1"/>
  <c r="M1297" i="1"/>
  <c r="N1297" i="1"/>
  <c r="L1298" i="1"/>
  <c r="M1298" i="1"/>
  <c r="N1298" i="1"/>
  <c r="L1299" i="1"/>
  <c r="M1299" i="1"/>
  <c r="N1299" i="1"/>
  <c r="L1300" i="1"/>
  <c r="M1300" i="1"/>
  <c r="N1300" i="1"/>
  <c r="L1301" i="1"/>
  <c r="M1301" i="1"/>
  <c r="N1301" i="1"/>
  <c r="L1302" i="1"/>
  <c r="M1302" i="1"/>
  <c r="N1302" i="1"/>
  <c r="L1303" i="1"/>
  <c r="M1303" i="1"/>
  <c r="N1303" i="1"/>
  <c r="L1304" i="1"/>
  <c r="M1304" i="1"/>
  <c r="N1304" i="1"/>
  <c r="L1305" i="1"/>
  <c r="M1305" i="1"/>
  <c r="N1305" i="1"/>
  <c r="L1306" i="1"/>
  <c r="M1306" i="1"/>
  <c r="N1306" i="1"/>
  <c r="L1307" i="1"/>
  <c r="M1307" i="1"/>
  <c r="N1307" i="1"/>
  <c r="L1308" i="1"/>
  <c r="M1308" i="1"/>
  <c r="N1308" i="1"/>
  <c r="L1309" i="1"/>
  <c r="M1309" i="1"/>
  <c r="N1309" i="1"/>
  <c r="L1310" i="1"/>
  <c r="M1310" i="1"/>
  <c r="N1310" i="1"/>
  <c r="L1311" i="1"/>
  <c r="M1311" i="1"/>
  <c r="N1311" i="1"/>
  <c r="L1312" i="1"/>
  <c r="M1312" i="1"/>
  <c r="N1312" i="1"/>
  <c r="L1313" i="1"/>
  <c r="M1313" i="1"/>
  <c r="N1313" i="1"/>
  <c r="L1314" i="1"/>
  <c r="M1314" i="1"/>
  <c r="N1314" i="1"/>
  <c r="L1315" i="1"/>
  <c r="M1315" i="1"/>
  <c r="N1315" i="1"/>
  <c r="L1316" i="1"/>
  <c r="M1316" i="1"/>
  <c r="N1316" i="1"/>
  <c r="L1317" i="1"/>
  <c r="M1317" i="1"/>
  <c r="N1317" i="1"/>
  <c r="L1318" i="1"/>
  <c r="M1318" i="1"/>
  <c r="N1318" i="1"/>
  <c r="L1319" i="1"/>
  <c r="M1319" i="1"/>
  <c r="N1319" i="1"/>
  <c r="L1320" i="1"/>
  <c r="M1320" i="1"/>
  <c r="N1320" i="1"/>
  <c r="L1321" i="1"/>
  <c r="M1321" i="1"/>
  <c r="N1321" i="1"/>
  <c r="L1322" i="1"/>
  <c r="M1322" i="1"/>
  <c r="N1322" i="1"/>
  <c r="L1323" i="1"/>
  <c r="M1323" i="1"/>
  <c r="N1323" i="1"/>
  <c r="L1324" i="1"/>
  <c r="M1324" i="1"/>
  <c r="N1324" i="1"/>
  <c r="L1325" i="1"/>
  <c r="M1325" i="1"/>
  <c r="N1325" i="1"/>
  <c r="L1326" i="1"/>
  <c r="M1326" i="1"/>
  <c r="N1326" i="1"/>
  <c r="L1327" i="1"/>
  <c r="M1327" i="1"/>
  <c r="N1327" i="1"/>
  <c r="L1328" i="1"/>
  <c r="M1328" i="1"/>
  <c r="N1328" i="1"/>
  <c r="L1329" i="1"/>
  <c r="M1329" i="1"/>
  <c r="N1329" i="1"/>
  <c r="L1330" i="1"/>
  <c r="M1330" i="1"/>
  <c r="N1330" i="1"/>
  <c r="L1331" i="1"/>
  <c r="M1331" i="1"/>
  <c r="N1331" i="1"/>
  <c r="L1332" i="1"/>
  <c r="M1332" i="1"/>
  <c r="N1332" i="1"/>
  <c r="L1333" i="1"/>
  <c r="M1333" i="1"/>
  <c r="N1333" i="1"/>
  <c r="L1334" i="1"/>
  <c r="M1334" i="1"/>
  <c r="N1334" i="1"/>
  <c r="L1335" i="1"/>
  <c r="M1335" i="1"/>
  <c r="N1335" i="1"/>
  <c r="L1336" i="1"/>
  <c r="M1336" i="1"/>
  <c r="N1336" i="1"/>
  <c r="L1337" i="1"/>
  <c r="M1337" i="1"/>
  <c r="N1337" i="1"/>
  <c r="L1338" i="1"/>
  <c r="M1338" i="1"/>
  <c r="N1338" i="1"/>
  <c r="L1339" i="1"/>
  <c r="M1339" i="1"/>
  <c r="N1339" i="1"/>
  <c r="L1340" i="1"/>
  <c r="M1340" i="1"/>
  <c r="N1340" i="1"/>
  <c r="L1341" i="1"/>
  <c r="M1341" i="1"/>
  <c r="N1341" i="1"/>
  <c r="L1342" i="1"/>
  <c r="M1342" i="1"/>
  <c r="N1342" i="1"/>
  <c r="L1343" i="1"/>
  <c r="M1343" i="1"/>
  <c r="N1343" i="1"/>
  <c r="L1344" i="1"/>
  <c r="M1344" i="1"/>
  <c r="N1344" i="1"/>
  <c r="L1345" i="1"/>
  <c r="M1345" i="1"/>
  <c r="N1345" i="1"/>
  <c r="L1346" i="1"/>
  <c r="M1346" i="1"/>
  <c r="N1346" i="1"/>
  <c r="L1347" i="1"/>
  <c r="M1347" i="1"/>
  <c r="N1347" i="1"/>
  <c r="L1348" i="1"/>
  <c r="M1348" i="1"/>
  <c r="N1348" i="1"/>
  <c r="L1349" i="1"/>
  <c r="M1349" i="1"/>
  <c r="N1349" i="1"/>
  <c r="L1350" i="1"/>
  <c r="M1350" i="1"/>
  <c r="N1350" i="1"/>
  <c r="L1351" i="1"/>
  <c r="M1351" i="1"/>
  <c r="N1351" i="1"/>
  <c r="L1352" i="1"/>
  <c r="M1352" i="1"/>
  <c r="N1352" i="1"/>
  <c r="L1353" i="1"/>
  <c r="M1353" i="1"/>
  <c r="N1353" i="1"/>
  <c r="L1354" i="1"/>
  <c r="M1354" i="1"/>
  <c r="N1354" i="1"/>
  <c r="L1355" i="1"/>
  <c r="M1355" i="1"/>
  <c r="N1355" i="1"/>
  <c r="L1356" i="1"/>
  <c r="M1356" i="1"/>
  <c r="N1356" i="1"/>
  <c r="L1357" i="1"/>
  <c r="M1357" i="1"/>
  <c r="N1357" i="1"/>
  <c r="L1358" i="1"/>
  <c r="M1358" i="1"/>
  <c r="N1358" i="1"/>
  <c r="L1359" i="1"/>
  <c r="M1359" i="1"/>
  <c r="N1359" i="1"/>
  <c r="L1360" i="1"/>
  <c r="M1360" i="1"/>
  <c r="N1360" i="1"/>
  <c r="L1361" i="1"/>
  <c r="M1361" i="1"/>
  <c r="N1361" i="1"/>
  <c r="L1362" i="1"/>
  <c r="M1362" i="1"/>
  <c r="N1362" i="1"/>
  <c r="L1363" i="1"/>
  <c r="M1363" i="1"/>
  <c r="N1363" i="1"/>
  <c r="L1364" i="1"/>
  <c r="M1364" i="1"/>
  <c r="N1364" i="1"/>
  <c r="L1365" i="1"/>
  <c r="M1365" i="1"/>
  <c r="N1365" i="1"/>
  <c r="L1366" i="1"/>
  <c r="M1366" i="1"/>
  <c r="N1366" i="1"/>
  <c r="L1367" i="1"/>
  <c r="M1367" i="1"/>
  <c r="N1367" i="1"/>
  <c r="L1368" i="1"/>
  <c r="M1368" i="1"/>
  <c r="N1368" i="1"/>
  <c r="L1369" i="1"/>
  <c r="M1369" i="1"/>
  <c r="N1369" i="1"/>
  <c r="L1370" i="1"/>
  <c r="M1370" i="1"/>
  <c r="N1370" i="1"/>
  <c r="L1371" i="1"/>
  <c r="M1371" i="1"/>
  <c r="N1371" i="1"/>
  <c r="L1372" i="1"/>
  <c r="M1372" i="1"/>
  <c r="N1372" i="1"/>
  <c r="L1373" i="1"/>
  <c r="M1373" i="1"/>
  <c r="N1373" i="1"/>
  <c r="L1374" i="1"/>
  <c r="M1374" i="1"/>
  <c r="N1374" i="1"/>
  <c r="L1375" i="1"/>
  <c r="M1375" i="1"/>
  <c r="N1375" i="1"/>
  <c r="L1376" i="1"/>
  <c r="M1376" i="1"/>
  <c r="N1376" i="1"/>
  <c r="L1377" i="1"/>
  <c r="M1377" i="1"/>
  <c r="N1377" i="1"/>
  <c r="L1378" i="1"/>
  <c r="M1378" i="1"/>
  <c r="N1378" i="1"/>
  <c r="L1379" i="1"/>
  <c r="M1379" i="1"/>
  <c r="N1379" i="1"/>
  <c r="L1380" i="1"/>
  <c r="M1380" i="1"/>
  <c r="N1380" i="1"/>
  <c r="L1381" i="1"/>
  <c r="M1381" i="1"/>
  <c r="N1381" i="1"/>
  <c r="L1382" i="1"/>
  <c r="M1382" i="1"/>
  <c r="N1382" i="1"/>
  <c r="L1383" i="1"/>
  <c r="M1383" i="1"/>
  <c r="N1383" i="1"/>
  <c r="L1384" i="1"/>
  <c r="M1384" i="1"/>
  <c r="N1384" i="1"/>
  <c r="L1385" i="1"/>
  <c r="M1385" i="1"/>
  <c r="N1385" i="1"/>
  <c r="L1386" i="1"/>
  <c r="M1386" i="1"/>
  <c r="N1386" i="1"/>
  <c r="L1387" i="1"/>
  <c r="M1387" i="1"/>
  <c r="N1387" i="1"/>
  <c r="L1388" i="1"/>
  <c r="M1388" i="1"/>
  <c r="N1388" i="1"/>
  <c r="L1389" i="1"/>
  <c r="M1389" i="1"/>
  <c r="N1389" i="1"/>
  <c r="L1390" i="1"/>
  <c r="M1390" i="1"/>
  <c r="N1390" i="1"/>
  <c r="L1391" i="1"/>
  <c r="M1391" i="1"/>
  <c r="N1391" i="1"/>
  <c r="L1392" i="1"/>
  <c r="M1392" i="1"/>
  <c r="N1392" i="1"/>
  <c r="L1393" i="1"/>
  <c r="M1393" i="1"/>
  <c r="N1393" i="1"/>
  <c r="L1394" i="1"/>
  <c r="M1394" i="1"/>
  <c r="N1394" i="1"/>
  <c r="L1395" i="1"/>
  <c r="M1395" i="1"/>
  <c r="N1395" i="1"/>
  <c r="L1396" i="1"/>
  <c r="M1396" i="1"/>
  <c r="N1396" i="1"/>
  <c r="L1397" i="1"/>
  <c r="M1397" i="1"/>
  <c r="N1397" i="1"/>
  <c r="L1398" i="1"/>
  <c r="M1398" i="1"/>
  <c r="N1398" i="1"/>
  <c r="L1399" i="1"/>
  <c r="M1399" i="1"/>
  <c r="N1399" i="1"/>
  <c r="L1400" i="1"/>
  <c r="M1400" i="1"/>
  <c r="N1400" i="1"/>
  <c r="L1401" i="1"/>
  <c r="M1401" i="1"/>
  <c r="N1401" i="1"/>
  <c r="L1402" i="1"/>
  <c r="M1402" i="1"/>
  <c r="N1402" i="1"/>
  <c r="L1403" i="1"/>
  <c r="M1403" i="1"/>
  <c r="N1403" i="1"/>
  <c r="L1404" i="1"/>
  <c r="M1404" i="1"/>
  <c r="N1404" i="1"/>
  <c r="L1405" i="1"/>
  <c r="M1405" i="1"/>
  <c r="N1405" i="1"/>
  <c r="L1406" i="1"/>
  <c r="M1406" i="1"/>
  <c r="N1406" i="1"/>
  <c r="L1407" i="1"/>
  <c r="M1407" i="1"/>
  <c r="N1407" i="1"/>
  <c r="L1408" i="1"/>
  <c r="M1408" i="1"/>
  <c r="N1408" i="1"/>
  <c r="L1409" i="1"/>
  <c r="M1409" i="1"/>
  <c r="N1409" i="1"/>
  <c r="L1410" i="1"/>
  <c r="M1410" i="1"/>
  <c r="N1410" i="1"/>
  <c r="L1411" i="1"/>
  <c r="M1411" i="1"/>
  <c r="N1411" i="1"/>
  <c r="L1412" i="1"/>
  <c r="M1412" i="1"/>
  <c r="N1412" i="1"/>
  <c r="L1413" i="1"/>
  <c r="M1413" i="1"/>
  <c r="N1413" i="1"/>
  <c r="L1414" i="1"/>
  <c r="M1414" i="1"/>
  <c r="N1414" i="1"/>
  <c r="L1415" i="1"/>
  <c r="M1415" i="1"/>
  <c r="N1415" i="1"/>
  <c r="L1416" i="1"/>
  <c r="M1416" i="1"/>
  <c r="N1416" i="1"/>
  <c r="L1417" i="1"/>
  <c r="M1417" i="1"/>
  <c r="N1417" i="1"/>
  <c r="L1418" i="1"/>
  <c r="M1418" i="1"/>
  <c r="N1418" i="1"/>
  <c r="L1419" i="1"/>
  <c r="M1419" i="1"/>
  <c r="N1419" i="1"/>
  <c r="L1420" i="1"/>
  <c r="M1420" i="1"/>
  <c r="N1420" i="1"/>
  <c r="L1421" i="1"/>
  <c r="M1421" i="1"/>
  <c r="N1421" i="1"/>
  <c r="L1422" i="1"/>
  <c r="M1422" i="1"/>
  <c r="N1422" i="1"/>
  <c r="L1423" i="1"/>
  <c r="M1423" i="1"/>
  <c r="N1423" i="1"/>
  <c r="L1424" i="1"/>
  <c r="M1424" i="1"/>
  <c r="N1424" i="1"/>
  <c r="L1425" i="1"/>
  <c r="M1425" i="1"/>
  <c r="N1425" i="1"/>
  <c r="L1426" i="1"/>
  <c r="M1426" i="1"/>
  <c r="N1426" i="1"/>
  <c r="L1427" i="1"/>
  <c r="M1427" i="1"/>
  <c r="N1427" i="1"/>
  <c r="L1428" i="1"/>
  <c r="M1428" i="1"/>
  <c r="N1428" i="1"/>
  <c r="L1429" i="1"/>
  <c r="M1429" i="1"/>
  <c r="N1429" i="1"/>
  <c r="L1430" i="1"/>
  <c r="M1430" i="1"/>
  <c r="N1430" i="1"/>
  <c r="L1431" i="1"/>
  <c r="M1431" i="1"/>
  <c r="N1431" i="1"/>
  <c r="L1432" i="1"/>
  <c r="M1432" i="1"/>
  <c r="N1432" i="1"/>
  <c r="L1433" i="1"/>
  <c r="M1433" i="1"/>
  <c r="N1433" i="1"/>
  <c r="L1434" i="1"/>
  <c r="M1434" i="1"/>
  <c r="N1434" i="1"/>
  <c r="L1435" i="1"/>
  <c r="M1435" i="1"/>
  <c r="N1435" i="1"/>
  <c r="L1436" i="1"/>
  <c r="M1436" i="1"/>
  <c r="N1436" i="1"/>
  <c r="L1437" i="1"/>
  <c r="M1437" i="1"/>
  <c r="N1437" i="1"/>
  <c r="L1438" i="1"/>
  <c r="M1438" i="1"/>
  <c r="N1438" i="1"/>
  <c r="L1439" i="1"/>
  <c r="M1439" i="1"/>
  <c r="N1439" i="1"/>
  <c r="L1440" i="1"/>
  <c r="M1440" i="1"/>
  <c r="N1440" i="1"/>
  <c r="L1441" i="1"/>
  <c r="M1441" i="1"/>
  <c r="N1441" i="1"/>
  <c r="L1442" i="1"/>
  <c r="M1442" i="1"/>
  <c r="N1442" i="1"/>
  <c r="L1443" i="1"/>
  <c r="M1443" i="1"/>
  <c r="N1443" i="1"/>
  <c r="L1444" i="1"/>
  <c r="M1444" i="1"/>
  <c r="N1444" i="1"/>
  <c r="L1445" i="1"/>
  <c r="M1445" i="1"/>
  <c r="N1445" i="1"/>
  <c r="L1446" i="1"/>
  <c r="M1446" i="1"/>
  <c r="N1446" i="1"/>
  <c r="L1447" i="1"/>
  <c r="M1447" i="1"/>
  <c r="N1447" i="1"/>
  <c r="L1448" i="1"/>
  <c r="M1448" i="1"/>
  <c r="N1448" i="1"/>
  <c r="L1449" i="1"/>
  <c r="M1449" i="1"/>
  <c r="N1449" i="1"/>
  <c r="L1450" i="1"/>
  <c r="M1450" i="1"/>
  <c r="N1450" i="1"/>
  <c r="L1451" i="1"/>
  <c r="M1451" i="1"/>
  <c r="N1451" i="1"/>
  <c r="L1452" i="1"/>
  <c r="M1452" i="1"/>
  <c r="N1452" i="1"/>
  <c r="L1453" i="1"/>
  <c r="M1453" i="1"/>
  <c r="N1453" i="1"/>
  <c r="L1454" i="1"/>
  <c r="M1454" i="1"/>
  <c r="N1454" i="1"/>
  <c r="L1455" i="1"/>
  <c r="M1455" i="1"/>
  <c r="N1455" i="1"/>
  <c r="L1456" i="1"/>
  <c r="M1456" i="1"/>
  <c r="N1456" i="1"/>
  <c r="L1457" i="1"/>
  <c r="M1457" i="1"/>
  <c r="N1457" i="1"/>
  <c r="L1458" i="1"/>
  <c r="M1458" i="1"/>
  <c r="N1458" i="1"/>
  <c r="L1459" i="1"/>
  <c r="M1459" i="1"/>
  <c r="N1459" i="1"/>
  <c r="L1460" i="1"/>
  <c r="M1460" i="1"/>
  <c r="N1460" i="1"/>
  <c r="L1461" i="1"/>
  <c r="M1461" i="1"/>
  <c r="N1461" i="1"/>
  <c r="L1462" i="1"/>
  <c r="M1462" i="1"/>
  <c r="N1462" i="1"/>
  <c r="L1463" i="1"/>
  <c r="M1463" i="1"/>
  <c r="N1463" i="1"/>
  <c r="L1464" i="1"/>
  <c r="M1464" i="1"/>
  <c r="N1464" i="1"/>
  <c r="L1465" i="1"/>
  <c r="M1465" i="1"/>
  <c r="N1465" i="1"/>
  <c r="L1466" i="1"/>
  <c r="M1466" i="1"/>
  <c r="N1466" i="1"/>
  <c r="L1467" i="1"/>
  <c r="M1467" i="1"/>
  <c r="N1467" i="1"/>
  <c r="L1468" i="1"/>
  <c r="M1468" i="1"/>
  <c r="N1468" i="1"/>
  <c r="L1469" i="1"/>
  <c r="M1469" i="1"/>
  <c r="N1469" i="1"/>
  <c r="L1470" i="1"/>
  <c r="M1470" i="1"/>
  <c r="N1470" i="1"/>
  <c r="L1471" i="1"/>
  <c r="M1471" i="1"/>
  <c r="N1471" i="1"/>
  <c r="L1472" i="1"/>
  <c r="M1472" i="1"/>
  <c r="N1472" i="1"/>
  <c r="L1473" i="1"/>
  <c r="M1473" i="1"/>
  <c r="N1473" i="1"/>
  <c r="L1474" i="1"/>
  <c r="M1474" i="1"/>
  <c r="N1474" i="1"/>
  <c r="L1475" i="1"/>
  <c r="M1475" i="1"/>
  <c r="N1475" i="1"/>
  <c r="L1476" i="1"/>
  <c r="M1476" i="1"/>
  <c r="N1476" i="1"/>
  <c r="L1477" i="1"/>
  <c r="M1477" i="1"/>
  <c r="N1477" i="1"/>
  <c r="L1478" i="1"/>
  <c r="M1478" i="1"/>
  <c r="N1478" i="1"/>
  <c r="L1479" i="1"/>
  <c r="M1479" i="1"/>
  <c r="N1479" i="1"/>
  <c r="L1480" i="1"/>
  <c r="M1480" i="1"/>
  <c r="N1480" i="1"/>
  <c r="L1481" i="1"/>
  <c r="M1481" i="1"/>
  <c r="N1481" i="1"/>
  <c r="L1482" i="1"/>
  <c r="M1482" i="1"/>
  <c r="N1482" i="1"/>
  <c r="L1483" i="1"/>
  <c r="M1483" i="1"/>
  <c r="N1483" i="1"/>
  <c r="L1484" i="1"/>
  <c r="M1484" i="1"/>
  <c r="N1484" i="1"/>
  <c r="L1485" i="1"/>
  <c r="M1485" i="1"/>
  <c r="N1485" i="1"/>
  <c r="L1486" i="1"/>
  <c r="M1486" i="1"/>
  <c r="N1486" i="1"/>
  <c r="L1487" i="1"/>
  <c r="M1487" i="1"/>
  <c r="N1487" i="1"/>
  <c r="L1488" i="1"/>
  <c r="M1488" i="1"/>
  <c r="N1488" i="1"/>
  <c r="L1489" i="1"/>
  <c r="M1489" i="1"/>
  <c r="N1489" i="1"/>
  <c r="L1490" i="1"/>
  <c r="M1490" i="1"/>
  <c r="N1490" i="1"/>
  <c r="L1491" i="1"/>
  <c r="M1491" i="1"/>
  <c r="N1491" i="1"/>
  <c r="L1492" i="1"/>
  <c r="M1492" i="1"/>
  <c r="N1492" i="1"/>
  <c r="L1493" i="1"/>
  <c r="M1493" i="1"/>
  <c r="N1493" i="1"/>
  <c r="L1494" i="1"/>
  <c r="M1494" i="1"/>
  <c r="N1494" i="1"/>
  <c r="L1495" i="1"/>
  <c r="M1495" i="1"/>
  <c r="N1495" i="1"/>
  <c r="L1496" i="1"/>
  <c r="M1496" i="1"/>
  <c r="N1496" i="1"/>
  <c r="L1497" i="1"/>
  <c r="M1497" i="1"/>
  <c r="N1497" i="1"/>
  <c r="L1498" i="1"/>
  <c r="M1498" i="1"/>
  <c r="N1498" i="1"/>
  <c r="L1499" i="1"/>
  <c r="M1499" i="1"/>
  <c r="N1499" i="1"/>
  <c r="L1500" i="1"/>
  <c r="M1500" i="1"/>
  <c r="N1500" i="1"/>
  <c r="L1501" i="1"/>
  <c r="M1501" i="1"/>
  <c r="N1501" i="1"/>
  <c r="L1502" i="1"/>
  <c r="M1502" i="1"/>
  <c r="N1502" i="1"/>
  <c r="L1503" i="1"/>
  <c r="M1503" i="1"/>
  <c r="N1503" i="1"/>
  <c r="L1504" i="1"/>
  <c r="M1504" i="1"/>
  <c r="N1504" i="1"/>
  <c r="L1505" i="1"/>
  <c r="M1505" i="1"/>
  <c r="N1505" i="1"/>
  <c r="L1506" i="1"/>
  <c r="M1506" i="1"/>
  <c r="N1506" i="1"/>
  <c r="L1507" i="1"/>
  <c r="M1507" i="1"/>
  <c r="N1507" i="1"/>
  <c r="L1508" i="1"/>
  <c r="M1508" i="1"/>
  <c r="N1508" i="1"/>
  <c r="L1509" i="1"/>
  <c r="M1509" i="1"/>
  <c r="N1509" i="1"/>
  <c r="L1510" i="1"/>
  <c r="M1510" i="1"/>
  <c r="N1510" i="1"/>
  <c r="L1511" i="1"/>
  <c r="M1511" i="1"/>
  <c r="N1511" i="1"/>
  <c r="L1512" i="1"/>
  <c r="M1512" i="1"/>
  <c r="N1512" i="1"/>
  <c r="L1513" i="1"/>
  <c r="M1513" i="1"/>
  <c r="N1513" i="1"/>
  <c r="L1514" i="1"/>
  <c r="M1514" i="1"/>
  <c r="N1514" i="1"/>
  <c r="L1515" i="1"/>
  <c r="M1515" i="1"/>
  <c r="N1515" i="1"/>
  <c r="L1516" i="1"/>
  <c r="M1516" i="1"/>
  <c r="N1516" i="1"/>
  <c r="L1517" i="1"/>
  <c r="M1517" i="1"/>
  <c r="N1517" i="1"/>
  <c r="L1518" i="1"/>
  <c r="M1518" i="1"/>
  <c r="N1518" i="1"/>
  <c r="L1519" i="1"/>
  <c r="M1519" i="1"/>
  <c r="N1519" i="1"/>
  <c r="L1520" i="1"/>
  <c r="M1520" i="1"/>
  <c r="N1520" i="1"/>
  <c r="L1521" i="1"/>
  <c r="M1521" i="1"/>
  <c r="N1521" i="1"/>
  <c r="L1522" i="1"/>
  <c r="M1522" i="1"/>
  <c r="N1522" i="1"/>
  <c r="L1523" i="1"/>
  <c r="M1523" i="1"/>
  <c r="N1523" i="1"/>
  <c r="L1524" i="1"/>
  <c r="M1524" i="1"/>
  <c r="N1524" i="1"/>
  <c r="L1525" i="1"/>
  <c r="M1525" i="1"/>
  <c r="N1525" i="1"/>
  <c r="L1526" i="1"/>
  <c r="M1526" i="1"/>
  <c r="N1526" i="1"/>
  <c r="L1527" i="1"/>
  <c r="M1527" i="1"/>
  <c r="N1527" i="1"/>
  <c r="L1528" i="1"/>
  <c r="M1528" i="1"/>
  <c r="N1528" i="1"/>
  <c r="L1529" i="1"/>
  <c r="M1529" i="1"/>
  <c r="N1529" i="1"/>
  <c r="L1530" i="1"/>
  <c r="M1530" i="1"/>
  <c r="N1530" i="1"/>
  <c r="L1531" i="1"/>
  <c r="M1531" i="1"/>
  <c r="N1531" i="1"/>
  <c r="L1532" i="1"/>
  <c r="M1532" i="1"/>
  <c r="N1532" i="1"/>
  <c r="L1533" i="1"/>
  <c r="M1533" i="1"/>
  <c r="N1533" i="1"/>
  <c r="L1534" i="1"/>
  <c r="M1534" i="1"/>
  <c r="N1534" i="1"/>
  <c r="L1535" i="1"/>
  <c r="M1535" i="1"/>
  <c r="N1535" i="1"/>
  <c r="L1536" i="1"/>
  <c r="M1536" i="1"/>
  <c r="N1536" i="1"/>
  <c r="L1537" i="1"/>
  <c r="M1537" i="1"/>
  <c r="N1537" i="1"/>
  <c r="L1538" i="1"/>
  <c r="M1538" i="1"/>
  <c r="N1538" i="1"/>
  <c r="L1539" i="1"/>
  <c r="M1539" i="1"/>
  <c r="N1539" i="1"/>
  <c r="L1540" i="1"/>
  <c r="M1540" i="1"/>
  <c r="N1540" i="1"/>
  <c r="L1541" i="1"/>
  <c r="M1541" i="1"/>
  <c r="N1541" i="1"/>
  <c r="L1542" i="1"/>
  <c r="M1542" i="1"/>
  <c r="N1542" i="1"/>
  <c r="L1543" i="1"/>
  <c r="M1543" i="1"/>
  <c r="N1543" i="1"/>
  <c r="L1544" i="1"/>
  <c r="M1544" i="1"/>
  <c r="N1544" i="1"/>
  <c r="L1545" i="1"/>
  <c r="M1545" i="1"/>
  <c r="N1545" i="1"/>
  <c r="L1546" i="1"/>
  <c r="M1546" i="1"/>
  <c r="N1546" i="1"/>
  <c r="L1547" i="1"/>
  <c r="M1547" i="1"/>
  <c r="N1547" i="1"/>
  <c r="L1548" i="1"/>
  <c r="M1548" i="1"/>
  <c r="N1548" i="1"/>
  <c r="L1549" i="1"/>
  <c r="M1549" i="1"/>
  <c r="N1549" i="1"/>
  <c r="L1550" i="1"/>
  <c r="M1550" i="1"/>
  <c r="N1550" i="1"/>
  <c r="L1551" i="1"/>
  <c r="M1551" i="1"/>
  <c r="N1551" i="1"/>
  <c r="L1552" i="1"/>
  <c r="M1552" i="1"/>
  <c r="N1552" i="1"/>
  <c r="L1553" i="1"/>
  <c r="M1553" i="1"/>
  <c r="N1553" i="1"/>
  <c r="L1554" i="1"/>
  <c r="M1554" i="1"/>
  <c r="N1554" i="1"/>
  <c r="L1555" i="1"/>
  <c r="M1555" i="1"/>
  <c r="N1555" i="1"/>
  <c r="L1556" i="1"/>
  <c r="M1556" i="1"/>
  <c r="N1556" i="1"/>
  <c r="L1557" i="1"/>
  <c r="M1557" i="1"/>
  <c r="N1557" i="1"/>
  <c r="L1558" i="1"/>
  <c r="M1558" i="1"/>
  <c r="N1558" i="1"/>
  <c r="L1559" i="1"/>
  <c r="M1559" i="1"/>
  <c r="N1559" i="1"/>
  <c r="L1560" i="1"/>
  <c r="M1560" i="1"/>
  <c r="N1560" i="1"/>
  <c r="L1561" i="1"/>
  <c r="M1561" i="1"/>
  <c r="N1561" i="1"/>
  <c r="L1562" i="1"/>
  <c r="M1562" i="1"/>
  <c r="N1562" i="1"/>
  <c r="L1563" i="1"/>
  <c r="M1563" i="1"/>
  <c r="N1563" i="1"/>
  <c r="L1564" i="1"/>
  <c r="M1564" i="1"/>
  <c r="N1564" i="1"/>
  <c r="L1565" i="1"/>
  <c r="M1565" i="1"/>
  <c r="N1565" i="1"/>
  <c r="L1566" i="1"/>
  <c r="M1566" i="1"/>
  <c r="N1566" i="1"/>
  <c r="L1567" i="1"/>
  <c r="M1567" i="1"/>
  <c r="N1567" i="1"/>
  <c r="L1568" i="1"/>
  <c r="M1568" i="1"/>
  <c r="N1568" i="1"/>
  <c r="L1569" i="1"/>
  <c r="M1569" i="1"/>
  <c r="N1569" i="1"/>
  <c r="L1570" i="1"/>
  <c r="M1570" i="1"/>
  <c r="N1570" i="1"/>
  <c r="L1571" i="1"/>
  <c r="M1571" i="1"/>
  <c r="N1571" i="1"/>
  <c r="L1572" i="1"/>
  <c r="M1572" i="1"/>
  <c r="N1572" i="1"/>
  <c r="L1573" i="1"/>
  <c r="M1573" i="1"/>
  <c r="N1573" i="1"/>
  <c r="L1574" i="1"/>
  <c r="M1574" i="1"/>
  <c r="N1574" i="1"/>
  <c r="L1575" i="1"/>
  <c r="M1575" i="1"/>
  <c r="N1575" i="1"/>
  <c r="L1576" i="1"/>
  <c r="M1576" i="1"/>
  <c r="N1576" i="1"/>
  <c r="L1577" i="1"/>
  <c r="M1577" i="1"/>
  <c r="N1577" i="1"/>
  <c r="L1578" i="1"/>
  <c r="M1578" i="1"/>
  <c r="N1578" i="1"/>
  <c r="L1579" i="1"/>
  <c r="M1579" i="1"/>
  <c r="N1579" i="1"/>
  <c r="L1580" i="1"/>
  <c r="M1580" i="1"/>
  <c r="N1580" i="1"/>
  <c r="L1581" i="1"/>
  <c r="M1581" i="1"/>
  <c r="N1581" i="1"/>
  <c r="L1582" i="1"/>
  <c r="M1582" i="1"/>
  <c r="N1582" i="1"/>
  <c r="L1583" i="1"/>
  <c r="M1583" i="1"/>
  <c r="N1583" i="1"/>
  <c r="L1584" i="1"/>
  <c r="M1584" i="1"/>
  <c r="N1584" i="1"/>
  <c r="L1585" i="1"/>
  <c r="M1585" i="1"/>
  <c r="N1585" i="1"/>
  <c r="L1586" i="1"/>
  <c r="M1586" i="1"/>
  <c r="N1586" i="1"/>
  <c r="L1587" i="1"/>
  <c r="M1587" i="1"/>
  <c r="N1587" i="1"/>
  <c r="L1588" i="1"/>
  <c r="M1588" i="1"/>
  <c r="N1588" i="1"/>
  <c r="L1589" i="1"/>
  <c r="M1589" i="1"/>
  <c r="N1589" i="1"/>
  <c r="L1590" i="1"/>
  <c r="M1590" i="1"/>
  <c r="N1590" i="1"/>
  <c r="L1591" i="1"/>
  <c r="M1591" i="1"/>
  <c r="N1591" i="1"/>
  <c r="L1592" i="1"/>
  <c r="M1592" i="1"/>
  <c r="N1592" i="1"/>
  <c r="L1593" i="1"/>
  <c r="M1593" i="1"/>
  <c r="N1593" i="1"/>
  <c r="L1594" i="1"/>
  <c r="M1594" i="1"/>
  <c r="N1594" i="1"/>
  <c r="L1595" i="1"/>
  <c r="M1595" i="1"/>
  <c r="N1595" i="1"/>
  <c r="L1596" i="1"/>
  <c r="M1596" i="1"/>
  <c r="N1596" i="1"/>
  <c r="L1597" i="1"/>
  <c r="M1597" i="1"/>
  <c r="N1597" i="1"/>
  <c r="L1598" i="1"/>
  <c r="M1598" i="1"/>
  <c r="N1598" i="1"/>
  <c r="L1599" i="1"/>
  <c r="M1599" i="1"/>
  <c r="N1599" i="1"/>
  <c r="L1600" i="1"/>
  <c r="M1600" i="1"/>
  <c r="N1600" i="1"/>
  <c r="L1601" i="1"/>
  <c r="M1601" i="1"/>
  <c r="N1601" i="1"/>
  <c r="L1602" i="1"/>
  <c r="M1602" i="1"/>
  <c r="N1602" i="1"/>
  <c r="L1603" i="1"/>
  <c r="M1603" i="1"/>
  <c r="N1603" i="1"/>
  <c r="L1604" i="1"/>
  <c r="M1604" i="1"/>
  <c r="N1604" i="1"/>
  <c r="L1605" i="1"/>
  <c r="M1605" i="1"/>
  <c r="N1605" i="1"/>
  <c r="L1606" i="1"/>
  <c r="M1606" i="1"/>
  <c r="N1606" i="1"/>
  <c r="L1607" i="1"/>
  <c r="M1607" i="1"/>
  <c r="N1607" i="1"/>
  <c r="L1608" i="1"/>
  <c r="M1608" i="1"/>
  <c r="N1608" i="1"/>
  <c r="L1609" i="1"/>
  <c r="M1609" i="1"/>
  <c r="N1609" i="1"/>
  <c r="L1610" i="1"/>
  <c r="M1610" i="1"/>
  <c r="N1610" i="1"/>
  <c r="L1611" i="1"/>
  <c r="M1611" i="1"/>
  <c r="N1611" i="1"/>
  <c r="L1612" i="1"/>
  <c r="M1612" i="1"/>
  <c r="N1612" i="1"/>
  <c r="L1613" i="1"/>
  <c r="M1613" i="1"/>
  <c r="N1613" i="1"/>
  <c r="L1614" i="1"/>
  <c r="M1614" i="1"/>
  <c r="N1614" i="1"/>
  <c r="L1615" i="1"/>
  <c r="M1615" i="1"/>
  <c r="N1615" i="1"/>
  <c r="L1616" i="1"/>
  <c r="M1616" i="1"/>
  <c r="N1616" i="1"/>
  <c r="L1617" i="1"/>
  <c r="M1617" i="1"/>
  <c r="N1617" i="1"/>
  <c r="L1618" i="1"/>
  <c r="M1618" i="1"/>
  <c r="N1618" i="1"/>
  <c r="L1619" i="1"/>
  <c r="M1619" i="1"/>
  <c r="N1619" i="1"/>
  <c r="L1620" i="1"/>
  <c r="M1620" i="1"/>
  <c r="N1620" i="1"/>
  <c r="L1621" i="1"/>
  <c r="M1621" i="1"/>
  <c r="N1621" i="1"/>
  <c r="L1622" i="1"/>
  <c r="M1622" i="1"/>
  <c r="N1622" i="1"/>
  <c r="L1623" i="1"/>
  <c r="M1623" i="1"/>
  <c r="N1623" i="1"/>
  <c r="L1624" i="1"/>
  <c r="M1624" i="1"/>
  <c r="N1624" i="1"/>
  <c r="L1625" i="1"/>
  <c r="M1625" i="1"/>
  <c r="N1625" i="1"/>
  <c r="L1626" i="1"/>
  <c r="M1626" i="1"/>
  <c r="N1626" i="1"/>
  <c r="L1627" i="1"/>
  <c r="M1627" i="1"/>
  <c r="N1627" i="1"/>
  <c r="L1628" i="1"/>
  <c r="M1628" i="1"/>
  <c r="N1628" i="1"/>
  <c r="L1629" i="1"/>
  <c r="M1629" i="1"/>
  <c r="N1629" i="1"/>
  <c r="L1630" i="1"/>
  <c r="M1630" i="1"/>
  <c r="N1630" i="1"/>
  <c r="L1631" i="1"/>
  <c r="M1631" i="1"/>
  <c r="N1631" i="1"/>
  <c r="L1632" i="1"/>
  <c r="M1632" i="1"/>
  <c r="N1632" i="1"/>
  <c r="L1633" i="1"/>
  <c r="M1633" i="1"/>
  <c r="N1633" i="1"/>
  <c r="L1634" i="1"/>
  <c r="M1634" i="1"/>
  <c r="N1634" i="1"/>
  <c r="L1635" i="1"/>
  <c r="M1635" i="1"/>
  <c r="N1635" i="1"/>
  <c r="L1636" i="1"/>
  <c r="M1636" i="1"/>
  <c r="N1636" i="1"/>
  <c r="L1637" i="1"/>
  <c r="M1637" i="1"/>
  <c r="N1637" i="1"/>
  <c r="L1638" i="1"/>
  <c r="M1638" i="1"/>
  <c r="N1638" i="1"/>
  <c r="L1639" i="1"/>
  <c r="M1639" i="1"/>
  <c r="N1639" i="1"/>
  <c r="L1640" i="1"/>
  <c r="M1640" i="1"/>
  <c r="N1640" i="1"/>
  <c r="L1641" i="1"/>
  <c r="M1641" i="1"/>
  <c r="N1641" i="1"/>
  <c r="L1642" i="1"/>
  <c r="M1642" i="1"/>
  <c r="N1642" i="1"/>
  <c r="L1643" i="1"/>
  <c r="M1643" i="1"/>
  <c r="N1643" i="1"/>
  <c r="L1644" i="1"/>
  <c r="M1644" i="1"/>
  <c r="N1644" i="1"/>
  <c r="L1645" i="1"/>
  <c r="M1645" i="1"/>
  <c r="N1645" i="1"/>
  <c r="L1646" i="1"/>
  <c r="M1646" i="1"/>
  <c r="N1646" i="1"/>
  <c r="L1647" i="1"/>
  <c r="M1647" i="1"/>
  <c r="N1647" i="1"/>
  <c r="L1648" i="1"/>
  <c r="M1648" i="1"/>
  <c r="N1648" i="1"/>
  <c r="L1649" i="1"/>
  <c r="M1649" i="1"/>
  <c r="N1649" i="1"/>
  <c r="L1650" i="1"/>
  <c r="M1650" i="1"/>
  <c r="N1650" i="1"/>
  <c r="L1651" i="1"/>
  <c r="M1651" i="1"/>
  <c r="N1651" i="1"/>
  <c r="L1652" i="1"/>
  <c r="M1652" i="1"/>
  <c r="N1652" i="1"/>
  <c r="L1653" i="1"/>
  <c r="M1653" i="1"/>
  <c r="N1653" i="1"/>
  <c r="L1654" i="1"/>
  <c r="M1654" i="1"/>
  <c r="N1654" i="1"/>
  <c r="L1655" i="1"/>
  <c r="M1655" i="1"/>
  <c r="N1655" i="1"/>
  <c r="L1656" i="1"/>
  <c r="M1656" i="1"/>
  <c r="N1656" i="1"/>
  <c r="L1657" i="1"/>
  <c r="M1657" i="1"/>
  <c r="N1657" i="1"/>
  <c r="L1658" i="1"/>
  <c r="M1658" i="1"/>
  <c r="N1658" i="1"/>
  <c r="L1659" i="1"/>
  <c r="M1659" i="1"/>
  <c r="N1659" i="1"/>
  <c r="L1660" i="1"/>
  <c r="M1660" i="1"/>
  <c r="N1660" i="1"/>
  <c r="L1661" i="1"/>
  <c r="M1661" i="1"/>
  <c r="N1661" i="1"/>
  <c r="L1662" i="1"/>
  <c r="M1662" i="1"/>
  <c r="N1662" i="1"/>
  <c r="L1663" i="1"/>
  <c r="M1663" i="1"/>
  <c r="N1663" i="1"/>
  <c r="L1664" i="1"/>
  <c r="M1664" i="1"/>
  <c r="N1664" i="1"/>
  <c r="L1665" i="1"/>
  <c r="M1665" i="1"/>
  <c r="N1665" i="1"/>
  <c r="L1666" i="1"/>
  <c r="M1666" i="1"/>
  <c r="N1666" i="1"/>
  <c r="L1667" i="1"/>
  <c r="M1667" i="1"/>
  <c r="N1667" i="1"/>
  <c r="L1668" i="1"/>
  <c r="M1668" i="1"/>
  <c r="N1668" i="1"/>
  <c r="L1669" i="1"/>
  <c r="M1669" i="1"/>
  <c r="N1669" i="1"/>
  <c r="L1670" i="1"/>
  <c r="M1670" i="1"/>
  <c r="N1670" i="1"/>
  <c r="L1671" i="1"/>
  <c r="M1671" i="1"/>
  <c r="N1671" i="1"/>
  <c r="L1672" i="1"/>
  <c r="M1672" i="1"/>
  <c r="N1672" i="1"/>
  <c r="L1673" i="1"/>
  <c r="M1673" i="1"/>
  <c r="N1673" i="1"/>
  <c r="L1674" i="1"/>
  <c r="M1674" i="1"/>
  <c r="N1674" i="1"/>
  <c r="L1675" i="1"/>
  <c r="M1675" i="1"/>
  <c r="N1675" i="1"/>
  <c r="L1676" i="1"/>
  <c r="M1676" i="1"/>
  <c r="N1676" i="1"/>
  <c r="L1677" i="1"/>
  <c r="M1677" i="1"/>
  <c r="N1677" i="1"/>
  <c r="L1678" i="1"/>
  <c r="M1678" i="1"/>
  <c r="N1678" i="1"/>
  <c r="L1679" i="1"/>
  <c r="M1679" i="1"/>
  <c r="N1679" i="1"/>
  <c r="L1680" i="1"/>
  <c r="M1680" i="1"/>
  <c r="N1680" i="1"/>
  <c r="L1681" i="1"/>
  <c r="M1681" i="1"/>
  <c r="N1681" i="1"/>
  <c r="L1682" i="1"/>
  <c r="M1682" i="1"/>
  <c r="N1682" i="1"/>
  <c r="L1683" i="1"/>
  <c r="M1683" i="1"/>
  <c r="N1683" i="1"/>
  <c r="L1684" i="1"/>
  <c r="M1684" i="1"/>
  <c r="N1684" i="1"/>
  <c r="L1685" i="1"/>
  <c r="M1685" i="1"/>
  <c r="N1685" i="1"/>
  <c r="L1686" i="1"/>
  <c r="M1686" i="1"/>
  <c r="N1686" i="1"/>
  <c r="L1687" i="1"/>
  <c r="M1687" i="1"/>
  <c r="N1687" i="1"/>
  <c r="L1688" i="1"/>
  <c r="M1688" i="1"/>
  <c r="N1688" i="1"/>
  <c r="L1689" i="1"/>
  <c r="M1689" i="1"/>
  <c r="N1689" i="1"/>
  <c r="L1690" i="1"/>
  <c r="M1690" i="1"/>
  <c r="N1690" i="1"/>
  <c r="L1691" i="1"/>
  <c r="M1691" i="1"/>
  <c r="N1691" i="1"/>
  <c r="L1692" i="1"/>
  <c r="M1692" i="1"/>
  <c r="N1692" i="1"/>
  <c r="L1693" i="1"/>
  <c r="M1693" i="1"/>
  <c r="N1693" i="1"/>
  <c r="L1694" i="1"/>
  <c r="M1694" i="1"/>
  <c r="N1694" i="1"/>
  <c r="L1695" i="1"/>
  <c r="M1695" i="1"/>
  <c r="N1695" i="1"/>
  <c r="L1696" i="1"/>
  <c r="M1696" i="1"/>
  <c r="N1696" i="1"/>
  <c r="L1697" i="1"/>
  <c r="M1697" i="1"/>
  <c r="N1697" i="1"/>
  <c r="L1698" i="1"/>
  <c r="M1698" i="1"/>
  <c r="N1698" i="1"/>
  <c r="L1699" i="1"/>
  <c r="M1699" i="1"/>
  <c r="N1699" i="1"/>
  <c r="L1700" i="1"/>
  <c r="M1700" i="1"/>
  <c r="N1700" i="1"/>
  <c r="L1701" i="1"/>
  <c r="M1701" i="1"/>
  <c r="N1701" i="1"/>
  <c r="L1702" i="1"/>
  <c r="M1702" i="1"/>
  <c r="N1702" i="1"/>
  <c r="L1703" i="1"/>
  <c r="M1703" i="1"/>
  <c r="N1703" i="1"/>
  <c r="L1704" i="1"/>
  <c r="M1704" i="1"/>
  <c r="N1704" i="1"/>
  <c r="L1705" i="1"/>
  <c r="M1705" i="1"/>
  <c r="N1705" i="1"/>
  <c r="L1706" i="1"/>
  <c r="M1706" i="1"/>
  <c r="N1706" i="1"/>
  <c r="L1707" i="1"/>
  <c r="M1707" i="1"/>
  <c r="N1707" i="1"/>
  <c r="L1708" i="1"/>
  <c r="M1708" i="1"/>
  <c r="N1708" i="1"/>
  <c r="L1709" i="1"/>
  <c r="M1709" i="1"/>
  <c r="N1709" i="1"/>
  <c r="L1710" i="1"/>
  <c r="M1710" i="1"/>
  <c r="N1710" i="1"/>
  <c r="L1711" i="1"/>
  <c r="M1711" i="1"/>
  <c r="N1711" i="1"/>
  <c r="L1712" i="1"/>
  <c r="M1712" i="1"/>
  <c r="N1712" i="1"/>
  <c r="L1713" i="1"/>
  <c r="M1713" i="1"/>
  <c r="N1713" i="1"/>
  <c r="L1714" i="1"/>
  <c r="M1714" i="1"/>
  <c r="N1714" i="1"/>
  <c r="L1715" i="1"/>
  <c r="M1715" i="1"/>
  <c r="N1715" i="1"/>
  <c r="L1716" i="1"/>
  <c r="M1716" i="1"/>
  <c r="N1716" i="1"/>
  <c r="L1717" i="1"/>
  <c r="M1717" i="1"/>
  <c r="N1717" i="1"/>
  <c r="L1718" i="1"/>
  <c r="M1718" i="1"/>
  <c r="N1718" i="1"/>
  <c r="L1719" i="1"/>
  <c r="M1719" i="1"/>
  <c r="N1719" i="1"/>
  <c r="L1720" i="1"/>
  <c r="M1720" i="1"/>
  <c r="N1720" i="1"/>
  <c r="L1721" i="1"/>
  <c r="M1721" i="1"/>
  <c r="N1721" i="1"/>
  <c r="L1722" i="1"/>
  <c r="M1722" i="1"/>
  <c r="N1722" i="1"/>
  <c r="L1723" i="1"/>
  <c r="M1723" i="1"/>
  <c r="N1723" i="1"/>
  <c r="L1724" i="1"/>
  <c r="M1724" i="1"/>
  <c r="N1724" i="1"/>
  <c r="L1725" i="1"/>
  <c r="M1725" i="1"/>
  <c r="N1725" i="1"/>
  <c r="L1726" i="1"/>
  <c r="M1726" i="1"/>
  <c r="N1726" i="1"/>
  <c r="L1727" i="1"/>
  <c r="M1727" i="1"/>
  <c r="N1727" i="1"/>
  <c r="L1728" i="1"/>
  <c r="M1728" i="1"/>
  <c r="N1728" i="1"/>
  <c r="L1729" i="1"/>
  <c r="M1729" i="1"/>
  <c r="N1729" i="1"/>
  <c r="L1730" i="1"/>
  <c r="M1730" i="1"/>
  <c r="N1730" i="1"/>
  <c r="L1731" i="1"/>
  <c r="M1731" i="1"/>
  <c r="N1731" i="1"/>
  <c r="L1732" i="1"/>
  <c r="M1732" i="1"/>
  <c r="N1732" i="1"/>
  <c r="L1733" i="1"/>
  <c r="M1733" i="1"/>
  <c r="N1733" i="1"/>
  <c r="L1734" i="1"/>
  <c r="M1734" i="1"/>
  <c r="N1734" i="1"/>
  <c r="L1735" i="1"/>
  <c r="M1735" i="1"/>
  <c r="N1735" i="1"/>
  <c r="L1736" i="1"/>
  <c r="M1736" i="1"/>
  <c r="N1736" i="1"/>
  <c r="L1737" i="1"/>
  <c r="M1737" i="1"/>
  <c r="N1737" i="1"/>
  <c r="L1738" i="1"/>
  <c r="M1738" i="1"/>
  <c r="N1738" i="1"/>
  <c r="L1739" i="1"/>
  <c r="M1739" i="1"/>
  <c r="N1739" i="1"/>
  <c r="L1740" i="1"/>
  <c r="M1740" i="1"/>
  <c r="N1740" i="1"/>
  <c r="L1741" i="1"/>
  <c r="M1741" i="1"/>
  <c r="N1741" i="1"/>
  <c r="L1742" i="1"/>
  <c r="M1742" i="1"/>
  <c r="N1742" i="1"/>
  <c r="L1743" i="1"/>
  <c r="M1743" i="1"/>
  <c r="N1743" i="1"/>
  <c r="L1744" i="1"/>
  <c r="M1744" i="1"/>
  <c r="N1744" i="1"/>
  <c r="L1745" i="1"/>
  <c r="M1745" i="1"/>
  <c r="N1745" i="1"/>
  <c r="L1746" i="1"/>
  <c r="M1746" i="1"/>
  <c r="N1746" i="1"/>
  <c r="L1747" i="1"/>
  <c r="M1747" i="1"/>
  <c r="N1747" i="1"/>
  <c r="L1748" i="1"/>
  <c r="M1748" i="1"/>
  <c r="N1748" i="1"/>
  <c r="L1749" i="1"/>
  <c r="M1749" i="1"/>
  <c r="N1749" i="1"/>
  <c r="L1750" i="1"/>
  <c r="M1750" i="1"/>
  <c r="N1750" i="1"/>
  <c r="L1751" i="1"/>
  <c r="M1751" i="1"/>
  <c r="N1751" i="1"/>
  <c r="L1752" i="1"/>
  <c r="M1752" i="1"/>
  <c r="N1752" i="1"/>
  <c r="L1753" i="1"/>
  <c r="M1753" i="1"/>
  <c r="N1753" i="1"/>
  <c r="L1754" i="1"/>
  <c r="M1754" i="1"/>
  <c r="N1754" i="1"/>
  <c r="L1755" i="1"/>
  <c r="M1755" i="1"/>
  <c r="N1755" i="1"/>
  <c r="L1756" i="1"/>
  <c r="M1756" i="1"/>
  <c r="N1756" i="1"/>
  <c r="L1757" i="1"/>
  <c r="M1757" i="1"/>
  <c r="N1757" i="1"/>
  <c r="L1758" i="1"/>
  <c r="M1758" i="1"/>
  <c r="N1758" i="1"/>
  <c r="L1759" i="1"/>
  <c r="M1759" i="1"/>
  <c r="N1759" i="1"/>
  <c r="L1760" i="1"/>
  <c r="M1760" i="1"/>
  <c r="N1760" i="1"/>
  <c r="L1761" i="1"/>
  <c r="M1761" i="1"/>
  <c r="N1761" i="1"/>
  <c r="L1762" i="1"/>
  <c r="M1762" i="1"/>
  <c r="N1762" i="1"/>
  <c r="L1763" i="1"/>
  <c r="M1763" i="1"/>
  <c r="N1763" i="1"/>
  <c r="L1764" i="1"/>
  <c r="M1764" i="1"/>
  <c r="N1764" i="1"/>
  <c r="L1765" i="1"/>
  <c r="M1765" i="1"/>
  <c r="N1765" i="1"/>
  <c r="L1766" i="1"/>
  <c r="M1766" i="1"/>
  <c r="N1766" i="1"/>
  <c r="L1767" i="1"/>
  <c r="M1767" i="1"/>
  <c r="N1767" i="1"/>
  <c r="L1768" i="1"/>
  <c r="M1768" i="1"/>
  <c r="N1768" i="1"/>
  <c r="L1769" i="1"/>
  <c r="M1769" i="1"/>
  <c r="N1769" i="1"/>
  <c r="L1770" i="1"/>
  <c r="M1770" i="1"/>
  <c r="N1770" i="1"/>
  <c r="L1771" i="1"/>
  <c r="M1771" i="1"/>
  <c r="N1771" i="1"/>
  <c r="L1772" i="1"/>
  <c r="M1772" i="1"/>
  <c r="N1772" i="1"/>
  <c r="L1773" i="1"/>
  <c r="M1773" i="1"/>
  <c r="N1773" i="1"/>
  <c r="L1774" i="1"/>
  <c r="M1774" i="1"/>
  <c r="N1774" i="1"/>
  <c r="L1775" i="1"/>
  <c r="M1775" i="1"/>
  <c r="N1775" i="1"/>
  <c r="L1776" i="1"/>
  <c r="M1776" i="1"/>
  <c r="N1776" i="1"/>
  <c r="L1777" i="1"/>
  <c r="M1777" i="1"/>
  <c r="N1777" i="1"/>
  <c r="L1778" i="1"/>
  <c r="M1778" i="1"/>
  <c r="N1778" i="1"/>
  <c r="L1779" i="1"/>
  <c r="M1779" i="1"/>
  <c r="N1779" i="1"/>
  <c r="L1780" i="1"/>
  <c r="M1780" i="1"/>
  <c r="N1780" i="1"/>
  <c r="L1781" i="1"/>
  <c r="M1781" i="1"/>
  <c r="N1781" i="1"/>
  <c r="L1782" i="1"/>
  <c r="M1782" i="1"/>
  <c r="N1782" i="1"/>
  <c r="L1783" i="1"/>
  <c r="M1783" i="1"/>
  <c r="N1783" i="1"/>
  <c r="L1784" i="1"/>
  <c r="M1784" i="1"/>
  <c r="N1784" i="1"/>
  <c r="L1785" i="1"/>
  <c r="M1785" i="1"/>
  <c r="N1785" i="1"/>
  <c r="L1786" i="1"/>
  <c r="M1786" i="1"/>
  <c r="N1786" i="1"/>
  <c r="L1787" i="1"/>
  <c r="M1787" i="1"/>
  <c r="N1787" i="1"/>
  <c r="L1788" i="1"/>
  <c r="M1788" i="1"/>
  <c r="N1788" i="1"/>
  <c r="L1789" i="1"/>
  <c r="M1789" i="1"/>
  <c r="N1789" i="1"/>
  <c r="L1790" i="1"/>
  <c r="M1790" i="1"/>
  <c r="N1790" i="1"/>
  <c r="L1791" i="1"/>
  <c r="M1791" i="1"/>
  <c r="N1791" i="1"/>
  <c r="L1792" i="1"/>
  <c r="M1792" i="1"/>
  <c r="N1792" i="1"/>
  <c r="L1793" i="1"/>
  <c r="M1793" i="1"/>
  <c r="N1793" i="1"/>
  <c r="L1794" i="1"/>
  <c r="M1794" i="1"/>
  <c r="N1794" i="1"/>
  <c r="L1795" i="1"/>
  <c r="M1795" i="1"/>
  <c r="N1795" i="1"/>
  <c r="L1796" i="1"/>
  <c r="M1796" i="1"/>
  <c r="N1796" i="1"/>
  <c r="L1797" i="1"/>
  <c r="M1797" i="1"/>
  <c r="N1797" i="1"/>
  <c r="L1798" i="1"/>
  <c r="M1798" i="1"/>
  <c r="N1798" i="1"/>
  <c r="L1799" i="1"/>
  <c r="M1799" i="1"/>
  <c r="N1799" i="1"/>
  <c r="L1800" i="1"/>
  <c r="M1800" i="1"/>
  <c r="N1800" i="1"/>
  <c r="L1801" i="1"/>
  <c r="M1801" i="1"/>
  <c r="N1801" i="1"/>
  <c r="L1802" i="1"/>
  <c r="M1802" i="1"/>
  <c r="N1802" i="1"/>
  <c r="L1803" i="1"/>
  <c r="M1803" i="1"/>
  <c r="N1803" i="1"/>
  <c r="L1804" i="1"/>
  <c r="M1804" i="1"/>
  <c r="N1804" i="1"/>
  <c r="L1805" i="1"/>
  <c r="M1805" i="1"/>
  <c r="N1805" i="1"/>
  <c r="L1806" i="1"/>
  <c r="M1806" i="1"/>
  <c r="N1806" i="1"/>
  <c r="L1807" i="1"/>
  <c r="M1807" i="1"/>
  <c r="N1807" i="1"/>
  <c r="L1808" i="1"/>
  <c r="M1808" i="1"/>
  <c r="N1808" i="1"/>
  <c r="L1809" i="1"/>
  <c r="M1809" i="1"/>
  <c r="N1809" i="1"/>
  <c r="L1810" i="1"/>
  <c r="M1810" i="1"/>
  <c r="N1810" i="1"/>
  <c r="L1811" i="1"/>
  <c r="M1811" i="1"/>
  <c r="N1811" i="1"/>
  <c r="L1812" i="1"/>
  <c r="M1812" i="1"/>
  <c r="N1812" i="1"/>
  <c r="L1813" i="1"/>
  <c r="M1813" i="1"/>
  <c r="N1813" i="1"/>
  <c r="L1814" i="1"/>
  <c r="M1814" i="1"/>
  <c r="N1814" i="1"/>
  <c r="L1815" i="1"/>
  <c r="M1815" i="1"/>
  <c r="N1815" i="1"/>
  <c r="L1816" i="1"/>
  <c r="M1816" i="1"/>
  <c r="N1816" i="1"/>
  <c r="L1817" i="1"/>
  <c r="M1817" i="1"/>
  <c r="N1817" i="1"/>
  <c r="L1818" i="1"/>
  <c r="M1818" i="1"/>
  <c r="N1818" i="1"/>
  <c r="L1819" i="1"/>
  <c r="M1819" i="1"/>
  <c r="N1819" i="1"/>
  <c r="L1820" i="1"/>
  <c r="M1820" i="1"/>
  <c r="N1820" i="1"/>
  <c r="L1821" i="1"/>
  <c r="M1821" i="1"/>
  <c r="N1821" i="1"/>
  <c r="L1822" i="1"/>
  <c r="M1822" i="1"/>
  <c r="N1822" i="1"/>
  <c r="L1823" i="1"/>
  <c r="M1823" i="1"/>
  <c r="N1823" i="1"/>
  <c r="L1824" i="1"/>
  <c r="M1824" i="1"/>
  <c r="N1824" i="1"/>
  <c r="L1825" i="1"/>
  <c r="M1825" i="1"/>
  <c r="N1825" i="1"/>
  <c r="L1826" i="1"/>
  <c r="M1826" i="1"/>
  <c r="N1826" i="1"/>
  <c r="L1827" i="1"/>
  <c r="M1827" i="1"/>
  <c r="N1827" i="1"/>
  <c r="L1828" i="1"/>
  <c r="M1828" i="1"/>
  <c r="N1828" i="1"/>
  <c r="L1829" i="1"/>
  <c r="M1829" i="1"/>
  <c r="N1829" i="1"/>
  <c r="L1830" i="1"/>
  <c r="M1830" i="1"/>
  <c r="N1830" i="1"/>
  <c r="L1831" i="1"/>
  <c r="M1831" i="1"/>
  <c r="N1831" i="1"/>
  <c r="L1832" i="1"/>
  <c r="M1832" i="1"/>
  <c r="N1832" i="1"/>
  <c r="L1833" i="1"/>
  <c r="M1833" i="1"/>
  <c r="N1833" i="1"/>
  <c r="L1834" i="1"/>
  <c r="M1834" i="1"/>
  <c r="N1834" i="1"/>
  <c r="L1835" i="1"/>
  <c r="M1835" i="1"/>
  <c r="N1835" i="1"/>
  <c r="L1836" i="1"/>
  <c r="M1836" i="1"/>
  <c r="N1836" i="1"/>
  <c r="L1837" i="1"/>
  <c r="M1837" i="1"/>
  <c r="N1837" i="1"/>
  <c r="L1838" i="1"/>
  <c r="M1838" i="1"/>
  <c r="N1838" i="1"/>
  <c r="L1839" i="1"/>
  <c r="M1839" i="1"/>
  <c r="N1839" i="1"/>
  <c r="L1840" i="1"/>
  <c r="M1840" i="1"/>
  <c r="N1840" i="1"/>
  <c r="L1841" i="1"/>
  <c r="M1841" i="1"/>
  <c r="N1841" i="1"/>
  <c r="L1842" i="1"/>
  <c r="M1842" i="1"/>
  <c r="N1842" i="1"/>
  <c r="L1843" i="1"/>
  <c r="M1843" i="1"/>
  <c r="N1843" i="1"/>
  <c r="L1844" i="1"/>
  <c r="M1844" i="1"/>
  <c r="N1844" i="1"/>
  <c r="L1845" i="1"/>
  <c r="M1845" i="1"/>
  <c r="N1845" i="1"/>
  <c r="L1846" i="1"/>
  <c r="M1846" i="1"/>
  <c r="N1846" i="1"/>
  <c r="L1847" i="1"/>
  <c r="M1847" i="1"/>
  <c r="N1847" i="1"/>
  <c r="L1848" i="1"/>
  <c r="M1848" i="1"/>
  <c r="N1848" i="1"/>
  <c r="L1849" i="1"/>
  <c r="M1849" i="1"/>
  <c r="N1849" i="1"/>
  <c r="L1850" i="1"/>
  <c r="M1850" i="1"/>
  <c r="N1850" i="1"/>
  <c r="L1851" i="1"/>
  <c r="M1851" i="1"/>
  <c r="N1851" i="1"/>
  <c r="L1852" i="1"/>
  <c r="M1852" i="1"/>
  <c r="N1852" i="1"/>
  <c r="L1853" i="1"/>
  <c r="M1853" i="1"/>
  <c r="N1853" i="1"/>
  <c r="L1854" i="1"/>
  <c r="M1854" i="1"/>
  <c r="N1854" i="1"/>
  <c r="L1855" i="1"/>
  <c r="M1855" i="1"/>
  <c r="N1855" i="1"/>
  <c r="L1856" i="1"/>
  <c r="M1856" i="1"/>
  <c r="N1856" i="1"/>
  <c r="L1857" i="1"/>
  <c r="M1857" i="1"/>
  <c r="N1857" i="1"/>
  <c r="L1858" i="1"/>
  <c r="M1858" i="1"/>
  <c r="N1858" i="1"/>
  <c r="L1859" i="1"/>
  <c r="M1859" i="1"/>
  <c r="N1859" i="1"/>
  <c r="L1860" i="1"/>
  <c r="M1860" i="1"/>
  <c r="N1860" i="1"/>
  <c r="L1861" i="1"/>
  <c r="M1861" i="1"/>
  <c r="N1861" i="1"/>
  <c r="L1862" i="1"/>
  <c r="M1862" i="1"/>
  <c r="N1862" i="1"/>
  <c r="L1863" i="1"/>
  <c r="M1863" i="1"/>
  <c r="N1863" i="1"/>
  <c r="L1864" i="1"/>
  <c r="M1864" i="1"/>
  <c r="N1864" i="1"/>
  <c r="L1865" i="1"/>
  <c r="M1865" i="1"/>
  <c r="N1865" i="1"/>
  <c r="L1866" i="1"/>
  <c r="M1866" i="1"/>
  <c r="N1866" i="1"/>
  <c r="L1867" i="1"/>
  <c r="M1867" i="1"/>
  <c r="N1867" i="1"/>
  <c r="L1868" i="1"/>
  <c r="M1868" i="1"/>
  <c r="N1868" i="1"/>
  <c r="L1869" i="1"/>
  <c r="M1869" i="1"/>
  <c r="N1869" i="1"/>
  <c r="L1870" i="1"/>
  <c r="M1870" i="1"/>
  <c r="N1870" i="1"/>
  <c r="L1871" i="1"/>
  <c r="M1871" i="1"/>
  <c r="N1871" i="1"/>
  <c r="L1872" i="1"/>
  <c r="M1872" i="1"/>
  <c r="N1872" i="1"/>
  <c r="L1873" i="1"/>
  <c r="M1873" i="1"/>
  <c r="N1873" i="1"/>
  <c r="L1874" i="1"/>
  <c r="M1874" i="1"/>
  <c r="N1874" i="1"/>
  <c r="L1875" i="1"/>
  <c r="M1875" i="1"/>
  <c r="N1875" i="1"/>
  <c r="L1876" i="1"/>
  <c r="M1876" i="1"/>
  <c r="N1876" i="1"/>
  <c r="L1877" i="1"/>
  <c r="M1877" i="1"/>
  <c r="N1877" i="1"/>
  <c r="L1878" i="1"/>
  <c r="M1878" i="1"/>
  <c r="N1878" i="1"/>
  <c r="L1879" i="1"/>
  <c r="M1879" i="1"/>
  <c r="N1879" i="1"/>
  <c r="L1880" i="1"/>
  <c r="M1880" i="1"/>
  <c r="N1880" i="1"/>
  <c r="L1881" i="1"/>
  <c r="M1881" i="1"/>
  <c r="N1881" i="1"/>
  <c r="L1882" i="1"/>
  <c r="M1882" i="1"/>
  <c r="N1882" i="1"/>
  <c r="L1883" i="1"/>
  <c r="M1883" i="1"/>
  <c r="N1883" i="1"/>
  <c r="L1884" i="1"/>
  <c r="M1884" i="1"/>
  <c r="N1884" i="1"/>
  <c r="L1885" i="1"/>
  <c r="M1885" i="1"/>
  <c r="N1885" i="1"/>
  <c r="L1886" i="1"/>
  <c r="M1886" i="1"/>
  <c r="N1886" i="1"/>
  <c r="L1887" i="1"/>
  <c r="M1887" i="1"/>
  <c r="N1887" i="1"/>
  <c r="L1888" i="1"/>
  <c r="M1888" i="1"/>
  <c r="N1888" i="1"/>
  <c r="L1889" i="1"/>
  <c r="M1889" i="1"/>
  <c r="N1889" i="1"/>
  <c r="L1890" i="1"/>
  <c r="M1890" i="1"/>
  <c r="N1890" i="1"/>
  <c r="L1891" i="1"/>
  <c r="M1891" i="1"/>
  <c r="N1891" i="1"/>
  <c r="L1892" i="1"/>
  <c r="M1892" i="1"/>
  <c r="N1892" i="1"/>
  <c r="L1893" i="1"/>
  <c r="M1893" i="1"/>
  <c r="N1893" i="1"/>
  <c r="L1894" i="1"/>
  <c r="M1894" i="1"/>
  <c r="N1894" i="1"/>
  <c r="L1895" i="1"/>
  <c r="M1895" i="1"/>
  <c r="N1895" i="1"/>
  <c r="L1896" i="1"/>
  <c r="M1896" i="1"/>
  <c r="N1896" i="1"/>
  <c r="L1897" i="1"/>
  <c r="M1897" i="1"/>
  <c r="N1897" i="1"/>
  <c r="L1898" i="1"/>
  <c r="M1898" i="1"/>
  <c r="N1898" i="1"/>
  <c r="L1899" i="1"/>
  <c r="M1899" i="1"/>
  <c r="N1899" i="1"/>
  <c r="L1900" i="1"/>
  <c r="M1900" i="1"/>
  <c r="N1900" i="1"/>
  <c r="L1901" i="1"/>
  <c r="M1901" i="1"/>
  <c r="N1901" i="1"/>
  <c r="L1902" i="1"/>
  <c r="M1902" i="1"/>
  <c r="N1902" i="1"/>
  <c r="L1903" i="1"/>
  <c r="M1903" i="1"/>
  <c r="N1903" i="1"/>
  <c r="L1904" i="1"/>
  <c r="M1904" i="1"/>
  <c r="N1904" i="1"/>
  <c r="L1905" i="1"/>
  <c r="M1905" i="1"/>
  <c r="N1905" i="1"/>
  <c r="L1906" i="1"/>
  <c r="M1906" i="1"/>
  <c r="N1906" i="1"/>
  <c r="L1907" i="1"/>
  <c r="M1907" i="1"/>
  <c r="N1907" i="1"/>
  <c r="L1908" i="1"/>
  <c r="M1908" i="1"/>
  <c r="N1908" i="1"/>
  <c r="L1909" i="1"/>
  <c r="M1909" i="1"/>
  <c r="N1909" i="1"/>
  <c r="L1910" i="1"/>
  <c r="M1910" i="1"/>
  <c r="N1910" i="1"/>
  <c r="L1911" i="1"/>
  <c r="M1911" i="1"/>
  <c r="N1911" i="1"/>
  <c r="L1912" i="1"/>
  <c r="M1912" i="1"/>
  <c r="N1912" i="1"/>
  <c r="L1913" i="1"/>
  <c r="M1913" i="1"/>
  <c r="N1913" i="1"/>
  <c r="L1914" i="1"/>
  <c r="M1914" i="1"/>
  <c r="N1914" i="1"/>
  <c r="L1915" i="1"/>
  <c r="M1915" i="1"/>
  <c r="N1915" i="1"/>
  <c r="L1916" i="1"/>
  <c r="M1916" i="1"/>
  <c r="N1916" i="1"/>
  <c r="L1917" i="1"/>
  <c r="M1917" i="1"/>
  <c r="N1917" i="1"/>
  <c r="L1918" i="1"/>
  <c r="M1918" i="1"/>
  <c r="N1918" i="1"/>
  <c r="L1919" i="1"/>
  <c r="M1919" i="1"/>
  <c r="N1919" i="1"/>
  <c r="L1920" i="1"/>
  <c r="M1920" i="1"/>
  <c r="N1920" i="1"/>
  <c r="L1921" i="1"/>
  <c r="M1921" i="1"/>
  <c r="N1921" i="1"/>
  <c r="L1922" i="1"/>
  <c r="M1922" i="1"/>
  <c r="N1922" i="1"/>
  <c r="L1923" i="1"/>
  <c r="M1923" i="1"/>
  <c r="N1923" i="1"/>
  <c r="L1924" i="1"/>
  <c r="M1924" i="1"/>
  <c r="N1924" i="1"/>
  <c r="L1925" i="1"/>
  <c r="M1925" i="1"/>
  <c r="N1925" i="1"/>
  <c r="L1926" i="1"/>
  <c r="M1926" i="1"/>
  <c r="N1926" i="1"/>
  <c r="L1927" i="1"/>
  <c r="M1927" i="1"/>
  <c r="N1927" i="1"/>
  <c r="L1928" i="1"/>
  <c r="M1928" i="1"/>
  <c r="N1928" i="1"/>
  <c r="L1929" i="1"/>
  <c r="M1929" i="1"/>
  <c r="N1929" i="1"/>
  <c r="L1930" i="1"/>
  <c r="M1930" i="1"/>
  <c r="N1930" i="1"/>
  <c r="L1931" i="1"/>
  <c r="M1931" i="1"/>
  <c r="N1931" i="1"/>
  <c r="L1932" i="1"/>
  <c r="M1932" i="1"/>
  <c r="N1932" i="1"/>
  <c r="L1933" i="1"/>
  <c r="M1933" i="1"/>
  <c r="N1933" i="1"/>
  <c r="L1934" i="1"/>
  <c r="M1934" i="1"/>
  <c r="N1934" i="1"/>
  <c r="L1935" i="1"/>
  <c r="M1935" i="1"/>
  <c r="N1935" i="1"/>
  <c r="L1936" i="1"/>
  <c r="M1936" i="1"/>
  <c r="N1936" i="1"/>
  <c r="L1937" i="1"/>
  <c r="M1937" i="1"/>
  <c r="N1937" i="1"/>
  <c r="L1938" i="1"/>
  <c r="M1938" i="1"/>
  <c r="N1938" i="1"/>
  <c r="L1939" i="1"/>
  <c r="M1939" i="1"/>
  <c r="N1939" i="1"/>
  <c r="L1940" i="1"/>
  <c r="M1940" i="1"/>
  <c r="N1940" i="1"/>
  <c r="L1941" i="1"/>
  <c r="M1941" i="1"/>
  <c r="N1941" i="1"/>
  <c r="L1942" i="1"/>
  <c r="M1942" i="1"/>
  <c r="N1942" i="1"/>
  <c r="L1943" i="1"/>
  <c r="M1943" i="1"/>
  <c r="N1943" i="1"/>
  <c r="L1944" i="1"/>
  <c r="M1944" i="1"/>
  <c r="N1944" i="1"/>
  <c r="L1945" i="1"/>
  <c r="M1945" i="1"/>
  <c r="N1945" i="1"/>
  <c r="L1946" i="1"/>
  <c r="M1946" i="1"/>
  <c r="N1946" i="1"/>
  <c r="L1947" i="1"/>
  <c r="M1947" i="1"/>
  <c r="N1947" i="1"/>
  <c r="L1948" i="1"/>
  <c r="M1948" i="1"/>
  <c r="N1948" i="1"/>
  <c r="L1949" i="1"/>
  <c r="M1949" i="1"/>
  <c r="N1949" i="1"/>
  <c r="L1950" i="1"/>
  <c r="M1950" i="1"/>
  <c r="N1950" i="1"/>
  <c r="L1951" i="1"/>
  <c r="M1951" i="1"/>
  <c r="N1951" i="1"/>
  <c r="L1952" i="1"/>
  <c r="M1952" i="1"/>
  <c r="N1952" i="1"/>
  <c r="L1953" i="1"/>
  <c r="M1953" i="1"/>
  <c r="N1953" i="1"/>
  <c r="L1954" i="1"/>
  <c r="M1954" i="1"/>
  <c r="N1954" i="1"/>
  <c r="L1955" i="1"/>
  <c r="M1955" i="1"/>
  <c r="N1955" i="1"/>
  <c r="L1956" i="1"/>
  <c r="M1956" i="1"/>
  <c r="N1956" i="1"/>
  <c r="L1957" i="1"/>
  <c r="M1957" i="1"/>
  <c r="N1957" i="1"/>
  <c r="L1958" i="1"/>
  <c r="M1958" i="1"/>
  <c r="N1958" i="1"/>
  <c r="L1959" i="1"/>
  <c r="M1959" i="1"/>
  <c r="N1959" i="1"/>
  <c r="L1960" i="1"/>
  <c r="M1960" i="1"/>
  <c r="N1960" i="1"/>
  <c r="L1961" i="1"/>
  <c r="M1961" i="1"/>
  <c r="N1961" i="1"/>
  <c r="L1962" i="1"/>
  <c r="M1962" i="1"/>
  <c r="N1962" i="1"/>
  <c r="L1963" i="1"/>
  <c r="M1963" i="1"/>
  <c r="N1963" i="1"/>
  <c r="L1964" i="1"/>
  <c r="M1964" i="1"/>
  <c r="N1964" i="1"/>
  <c r="L1965" i="1"/>
  <c r="M1965" i="1"/>
  <c r="N1965" i="1"/>
  <c r="L1966" i="1"/>
  <c r="M1966" i="1"/>
  <c r="N1966" i="1"/>
  <c r="L1967" i="1"/>
  <c r="M1967" i="1"/>
  <c r="N1967" i="1"/>
  <c r="L1968" i="1"/>
  <c r="M1968" i="1"/>
  <c r="N1968" i="1"/>
  <c r="L1969" i="1"/>
  <c r="M1969" i="1"/>
  <c r="N1969" i="1"/>
  <c r="L1970" i="1"/>
  <c r="M1970" i="1"/>
  <c r="N1970" i="1"/>
  <c r="L1971" i="1"/>
  <c r="M1971" i="1"/>
  <c r="N1971" i="1"/>
  <c r="L1972" i="1"/>
  <c r="M1972" i="1"/>
  <c r="N1972" i="1"/>
  <c r="L1973" i="1"/>
  <c r="M1973" i="1"/>
  <c r="N1973" i="1"/>
  <c r="L1974" i="1"/>
  <c r="M1974" i="1"/>
  <c r="N1974" i="1"/>
  <c r="L1975" i="1"/>
  <c r="M1975" i="1"/>
  <c r="N1975" i="1"/>
  <c r="L1976" i="1"/>
  <c r="M1976" i="1"/>
  <c r="N1976" i="1"/>
  <c r="L1977" i="1"/>
  <c r="M1977" i="1"/>
  <c r="N1977" i="1"/>
  <c r="L1978" i="1"/>
  <c r="M1978" i="1"/>
  <c r="N1978" i="1"/>
  <c r="L1979" i="1"/>
  <c r="M1979" i="1"/>
  <c r="N1979" i="1"/>
  <c r="L1980" i="1"/>
  <c r="M1980" i="1"/>
  <c r="N1980" i="1"/>
  <c r="L1981" i="1"/>
  <c r="M1981" i="1"/>
  <c r="N1981" i="1"/>
  <c r="L1982" i="1"/>
  <c r="M1982" i="1"/>
  <c r="N1982" i="1"/>
  <c r="L1983" i="1"/>
  <c r="M1983" i="1"/>
  <c r="N1983" i="1"/>
  <c r="L1984" i="1"/>
  <c r="M1984" i="1"/>
  <c r="N1984" i="1"/>
  <c r="L1985" i="1"/>
  <c r="M1985" i="1"/>
  <c r="N1985" i="1"/>
  <c r="L1986" i="1"/>
  <c r="M1986" i="1"/>
  <c r="N1986" i="1"/>
  <c r="L1987" i="1"/>
  <c r="M1987" i="1"/>
  <c r="N1987" i="1"/>
  <c r="L1988" i="1"/>
  <c r="M1988" i="1"/>
  <c r="N1988" i="1"/>
  <c r="L1989" i="1"/>
  <c r="M1989" i="1"/>
  <c r="N1989" i="1"/>
  <c r="L1990" i="1"/>
  <c r="M1990" i="1"/>
  <c r="N1990" i="1"/>
  <c r="L1991" i="1"/>
  <c r="M1991" i="1"/>
  <c r="N1991" i="1"/>
  <c r="L1992" i="1"/>
  <c r="M1992" i="1"/>
  <c r="N1992" i="1"/>
  <c r="L1993" i="1"/>
  <c r="M1993" i="1"/>
  <c r="N1993" i="1"/>
  <c r="L1994" i="1"/>
  <c r="M1994" i="1"/>
  <c r="N1994" i="1"/>
  <c r="L1995" i="1"/>
  <c r="M1995" i="1"/>
  <c r="N1995" i="1"/>
  <c r="L1996" i="1"/>
  <c r="M1996" i="1"/>
  <c r="N1996" i="1"/>
  <c r="L1997" i="1"/>
  <c r="M1997" i="1"/>
  <c r="N1997" i="1"/>
  <c r="L1998" i="1"/>
  <c r="M1998" i="1"/>
  <c r="N1998" i="1"/>
  <c r="L1999" i="1"/>
  <c r="M1999" i="1"/>
  <c r="N1999" i="1"/>
  <c r="L2000" i="1"/>
  <c r="M2000" i="1"/>
  <c r="N2000" i="1"/>
  <c r="F332" i="1" l="1"/>
  <c r="F332" i="4" s="1"/>
  <c r="E332" i="1"/>
  <c r="E332" i="4" s="1"/>
  <c r="D332" i="1"/>
  <c r="D332" i="4" s="1"/>
  <c r="F331" i="1"/>
  <c r="F331" i="4" s="1"/>
  <c r="E331" i="1"/>
  <c r="E331" i="4" s="1"/>
  <c r="F330" i="1"/>
  <c r="F330" i="4" s="1"/>
  <c r="D331" i="1"/>
  <c r="D331" i="4" s="1"/>
  <c r="E330" i="1"/>
  <c r="E330" i="4" s="1"/>
  <c r="D330" i="1"/>
  <c r="D330" i="4" s="1"/>
  <c r="D368" i="1"/>
  <c r="D368" i="4" s="1"/>
  <c r="F370" i="1"/>
  <c r="F370" i="4" s="1"/>
  <c r="E373" i="1"/>
  <c r="E373" i="4" s="1"/>
  <c r="D376" i="1"/>
  <c r="D376" i="4" s="1"/>
  <c r="F378" i="1"/>
  <c r="F378" i="4" s="1"/>
  <c r="E381" i="1"/>
  <c r="E381" i="4" s="1"/>
  <c r="D384" i="1"/>
  <c r="D384" i="4" s="1"/>
  <c r="F386" i="1"/>
  <c r="F386" i="4" s="1"/>
  <c r="E389" i="1"/>
  <c r="E389" i="4" s="1"/>
  <c r="E368" i="1"/>
  <c r="E368" i="4" s="1"/>
  <c r="D371" i="1"/>
  <c r="D371" i="4" s="1"/>
  <c r="F373" i="1"/>
  <c r="F373" i="4" s="1"/>
  <c r="E376" i="1"/>
  <c r="E376" i="4" s="1"/>
  <c r="D379" i="1"/>
  <c r="D379" i="4" s="1"/>
  <c r="F381" i="1"/>
  <c r="F381" i="4" s="1"/>
  <c r="E384" i="1"/>
  <c r="E384" i="4" s="1"/>
  <c r="D387" i="1"/>
  <c r="D387" i="4" s="1"/>
  <c r="F389" i="1"/>
  <c r="F389" i="4" s="1"/>
  <c r="F368" i="1"/>
  <c r="F368" i="4" s="1"/>
  <c r="E371" i="1"/>
  <c r="E371" i="4" s="1"/>
  <c r="D374" i="1"/>
  <c r="D374" i="4" s="1"/>
  <c r="F376" i="1"/>
  <c r="F376" i="4" s="1"/>
  <c r="E379" i="1"/>
  <c r="E379" i="4" s="1"/>
  <c r="D382" i="1"/>
  <c r="D382" i="4" s="1"/>
  <c r="F384" i="1"/>
  <c r="F384" i="4" s="1"/>
  <c r="E387" i="1"/>
  <c r="E387" i="4" s="1"/>
  <c r="D390" i="1"/>
  <c r="D390" i="4" s="1"/>
  <c r="D369" i="1"/>
  <c r="D369" i="4" s="1"/>
  <c r="F371" i="1"/>
  <c r="F371" i="4" s="1"/>
  <c r="E374" i="1"/>
  <c r="E374" i="4" s="1"/>
  <c r="D377" i="1"/>
  <c r="D377" i="4" s="1"/>
  <c r="F379" i="1"/>
  <c r="F379" i="4" s="1"/>
  <c r="E382" i="1"/>
  <c r="E382" i="4" s="1"/>
  <c r="D385" i="1"/>
  <c r="D385" i="4" s="1"/>
  <c r="F387" i="1"/>
  <c r="F387" i="4" s="1"/>
  <c r="E390" i="1"/>
  <c r="E390" i="4" s="1"/>
  <c r="E369" i="1"/>
  <c r="E369" i="4" s="1"/>
  <c r="D372" i="1"/>
  <c r="D372" i="4" s="1"/>
  <c r="F374" i="1"/>
  <c r="F374" i="4" s="1"/>
  <c r="E377" i="1"/>
  <c r="E377" i="4" s="1"/>
  <c r="D380" i="1"/>
  <c r="D380" i="4" s="1"/>
  <c r="F382" i="1"/>
  <c r="F382" i="4" s="1"/>
  <c r="E385" i="1"/>
  <c r="E385" i="4" s="1"/>
  <c r="D388" i="1"/>
  <c r="D388" i="4" s="1"/>
  <c r="F390" i="1"/>
  <c r="F390" i="4" s="1"/>
  <c r="F369" i="1"/>
  <c r="F369" i="4" s="1"/>
  <c r="E372" i="1"/>
  <c r="E372" i="4" s="1"/>
  <c r="D375" i="1"/>
  <c r="D375" i="4" s="1"/>
  <c r="F377" i="1"/>
  <c r="F377" i="4" s="1"/>
  <c r="E380" i="1"/>
  <c r="E380" i="4" s="1"/>
  <c r="D383" i="1"/>
  <c r="D383" i="4" s="1"/>
  <c r="F385" i="1"/>
  <c r="F385" i="4" s="1"/>
  <c r="E388" i="1"/>
  <c r="E388" i="4" s="1"/>
  <c r="D391" i="1"/>
  <c r="D391" i="4" s="1"/>
  <c r="D370" i="1"/>
  <c r="D370" i="4" s="1"/>
  <c r="F372" i="1"/>
  <c r="F372" i="4" s="1"/>
  <c r="E375" i="1"/>
  <c r="E375" i="4" s="1"/>
  <c r="D378" i="1"/>
  <c r="D378" i="4" s="1"/>
  <c r="F380" i="1"/>
  <c r="F380" i="4" s="1"/>
  <c r="E383" i="1"/>
  <c r="E383" i="4" s="1"/>
  <c r="D386" i="1"/>
  <c r="D386" i="4" s="1"/>
  <c r="F388" i="1"/>
  <c r="F388" i="4" s="1"/>
  <c r="E391" i="1"/>
  <c r="E391" i="4" s="1"/>
  <c r="E370" i="1"/>
  <c r="E370" i="4" s="1"/>
  <c r="D373" i="1"/>
  <c r="D373" i="4" s="1"/>
  <c r="F375" i="1"/>
  <c r="F375" i="4" s="1"/>
  <c r="E378" i="1"/>
  <c r="E378" i="4" s="1"/>
  <c r="D381" i="1"/>
  <c r="D381" i="4" s="1"/>
  <c r="F383" i="1"/>
  <c r="F383" i="4" s="1"/>
  <c r="E386" i="1"/>
  <c r="E386" i="4" s="1"/>
  <c r="D389" i="1"/>
  <c r="D389" i="4" s="1"/>
  <c r="F391" i="1"/>
  <c r="F391" i="4" s="1"/>
  <c r="D233" i="1"/>
  <c r="D233" i="4" s="1"/>
  <c r="F235" i="1"/>
  <c r="F235" i="4" s="1"/>
  <c r="E238" i="1"/>
  <c r="E238" i="4" s="1"/>
  <c r="D241" i="1"/>
  <c r="D241" i="4" s="1"/>
  <c r="F243" i="1"/>
  <c r="F243" i="4" s="1"/>
  <c r="E246" i="1"/>
  <c r="E246" i="4" s="1"/>
  <c r="D249" i="1"/>
  <c r="D249" i="4" s="1"/>
  <c r="F251" i="1"/>
  <c r="F251" i="4" s="1"/>
  <c r="E254" i="1"/>
  <c r="E254" i="4" s="1"/>
  <c r="D257" i="1"/>
  <c r="D257" i="4" s="1"/>
  <c r="F259" i="1"/>
  <c r="F259" i="4" s="1"/>
  <c r="E262" i="1"/>
  <c r="E262" i="4" s="1"/>
  <c r="D265" i="1"/>
  <c r="D265" i="4" s="1"/>
  <c r="F267" i="1"/>
  <c r="F267" i="4" s="1"/>
  <c r="E270" i="1"/>
  <c r="E270" i="4" s="1"/>
  <c r="D273" i="1"/>
  <c r="D273" i="4" s="1"/>
  <c r="F275" i="1"/>
  <c r="F275" i="4" s="1"/>
  <c r="E278" i="1"/>
  <c r="E278" i="4" s="1"/>
  <c r="D281" i="1"/>
  <c r="D281" i="4" s="1"/>
  <c r="F283" i="1"/>
  <c r="F283" i="4" s="1"/>
  <c r="E286" i="1"/>
  <c r="E286" i="4" s="1"/>
  <c r="D289" i="1"/>
  <c r="D289" i="4" s="1"/>
  <c r="F291" i="1"/>
  <c r="F291" i="4" s="1"/>
  <c r="E294" i="1"/>
  <c r="E294" i="4" s="1"/>
  <c r="D297" i="1"/>
  <c r="D297" i="4" s="1"/>
  <c r="F299" i="1"/>
  <c r="F299" i="4" s="1"/>
  <c r="E302" i="1"/>
  <c r="E302" i="4" s="1"/>
  <c r="D305" i="1"/>
  <c r="D305" i="4" s="1"/>
  <c r="F307" i="1"/>
  <c r="F307" i="4" s="1"/>
  <c r="E310" i="1"/>
  <c r="E310" i="4" s="1"/>
  <c r="D313" i="1"/>
  <c r="D313" i="4" s="1"/>
  <c r="F315" i="1"/>
  <c r="F315" i="4" s="1"/>
  <c r="E318" i="1"/>
  <c r="E318" i="4" s="1"/>
  <c r="D321" i="1"/>
  <c r="D321" i="4" s="1"/>
  <c r="F323" i="1"/>
  <c r="F323" i="4" s="1"/>
  <c r="E326" i="1"/>
  <c r="E326" i="4" s="1"/>
  <c r="D329" i="1"/>
  <c r="D329" i="4" s="1"/>
  <c r="E334" i="1"/>
  <c r="E334" i="4" s="1"/>
  <c r="D337" i="1"/>
  <c r="D337" i="4" s="1"/>
  <c r="F339" i="1"/>
  <c r="F339" i="4" s="1"/>
  <c r="E342" i="1"/>
  <c r="E342" i="4" s="1"/>
  <c r="D345" i="1"/>
  <c r="D345" i="4" s="1"/>
  <c r="F347" i="1"/>
  <c r="F347" i="4" s="1"/>
  <c r="E350" i="1"/>
  <c r="E350" i="4" s="1"/>
  <c r="D353" i="1"/>
  <c r="D353" i="4" s="1"/>
  <c r="F355" i="1"/>
  <c r="F355" i="4" s="1"/>
  <c r="E358" i="1"/>
  <c r="E358" i="4" s="1"/>
  <c r="D361" i="1"/>
  <c r="D361" i="4" s="1"/>
  <c r="F363" i="1"/>
  <c r="F363" i="4" s="1"/>
  <c r="E366" i="1"/>
  <c r="E366" i="4" s="1"/>
  <c r="F244" i="1"/>
  <c r="F244" i="4" s="1"/>
  <c r="E271" i="1"/>
  <c r="E271" i="4" s="1"/>
  <c r="F276" i="1"/>
  <c r="F276" i="4" s="1"/>
  <c r="D298" i="1"/>
  <c r="D298" i="4" s="1"/>
  <c r="E303" i="1"/>
  <c r="E303" i="4" s="1"/>
  <c r="F308" i="1"/>
  <c r="F308" i="4" s="1"/>
  <c r="E335" i="1"/>
  <c r="E335" i="4" s="1"/>
  <c r="F340" i="1"/>
  <c r="F340" i="4" s="1"/>
  <c r="D362" i="1"/>
  <c r="D362" i="4" s="1"/>
  <c r="E233" i="1"/>
  <c r="E233" i="4" s="1"/>
  <c r="D236" i="1"/>
  <c r="D236" i="4" s="1"/>
  <c r="F238" i="1"/>
  <c r="F238" i="4" s="1"/>
  <c r="E241" i="1"/>
  <c r="E241" i="4" s="1"/>
  <c r="D244" i="1"/>
  <c r="D244" i="4" s="1"/>
  <c r="F246" i="1"/>
  <c r="F246" i="4" s="1"/>
  <c r="E249" i="1"/>
  <c r="E249" i="4" s="1"/>
  <c r="D252" i="1"/>
  <c r="D252" i="4" s="1"/>
  <c r="F254" i="1"/>
  <c r="F254" i="4" s="1"/>
  <c r="E257" i="1"/>
  <c r="E257" i="4" s="1"/>
  <c r="D260" i="1"/>
  <c r="D260" i="4" s="1"/>
  <c r="F262" i="1"/>
  <c r="F262" i="4" s="1"/>
  <c r="E265" i="1"/>
  <c r="E265" i="4" s="1"/>
  <c r="D268" i="1"/>
  <c r="D268" i="4" s="1"/>
  <c r="F270" i="1"/>
  <c r="F270" i="4" s="1"/>
  <c r="E273" i="1"/>
  <c r="E273" i="4" s="1"/>
  <c r="D276" i="1"/>
  <c r="D276" i="4" s="1"/>
  <c r="F278" i="1"/>
  <c r="F278" i="4" s="1"/>
  <c r="E281" i="1"/>
  <c r="E281" i="4" s="1"/>
  <c r="D284" i="1"/>
  <c r="D284" i="4" s="1"/>
  <c r="F286" i="1"/>
  <c r="F286" i="4" s="1"/>
  <c r="E289" i="1"/>
  <c r="E289" i="4" s="1"/>
  <c r="D292" i="1"/>
  <c r="D292" i="4" s="1"/>
  <c r="F294" i="1"/>
  <c r="F294" i="4" s="1"/>
  <c r="E297" i="1"/>
  <c r="E297" i="4" s="1"/>
  <c r="D300" i="1"/>
  <c r="D300" i="4" s="1"/>
  <c r="F302" i="1"/>
  <c r="F302" i="4" s="1"/>
  <c r="E305" i="1"/>
  <c r="E305" i="4" s="1"/>
  <c r="D308" i="1"/>
  <c r="D308" i="4" s="1"/>
  <c r="F310" i="1"/>
  <c r="F310" i="4" s="1"/>
  <c r="E313" i="1"/>
  <c r="E313" i="4" s="1"/>
  <c r="D316" i="1"/>
  <c r="D316" i="4" s="1"/>
  <c r="F318" i="1"/>
  <c r="F318" i="4" s="1"/>
  <c r="E321" i="1"/>
  <c r="E321" i="4" s="1"/>
  <c r="D324" i="1"/>
  <c r="D324" i="4" s="1"/>
  <c r="F326" i="1"/>
  <c r="F326" i="4" s="1"/>
  <c r="E329" i="1"/>
  <c r="E329" i="4" s="1"/>
  <c r="F334" i="1"/>
  <c r="F334" i="4" s="1"/>
  <c r="E337" i="1"/>
  <c r="E337" i="4" s="1"/>
  <c r="D340" i="1"/>
  <c r="D340" i="4" s="1"/>
  <c r="F342" i="1"/>
  <c r="F342" i="4" s="1"/>
  <c r="E345" i="1"/>
  <c r="E345" i="4" s="1"/>
  <c r="D348" i="1"/>
  <c r="D348" i="4" s="1"/>
  <c r="F350" i="1"/>
  <c r="F350" i="4" s="1"/>
  <c r="E353" i="1"/>
  <c r="E353" i="4" s="1"/>
  <c r="D356" i="1"/>
  <c r="D356" i="4" s="1"/>
  <c r="F358" i="1"/>
  <c r="F358" i="4" s="1"/>
  <c r="E361" i="1"/>
  <c r="E361" i="4" s="1"/>
  <c r="D364" i="1"/>
  <c r="D364" i="4" s="1"/>
  <c r="F366" i="1"/>
  <c r="F366" i="4" s="1"/>
  <c r="E247" i="1"/>
  <c r="E247" i="4" s="1"/>
  <c r="D250" i="1"/>
  <c r="D250" i="4" s="1"/>
  <c r="D258" i="1"/>
  <c r="D258" i="4" s="1"/>
  <c r="E263" i="1"/>
  <c r="E263" i="4" s="1"/>
  <c r="D266" i="1"/>
  <c r="D266" i="4" s="1"/>
  <c r="F268" i="1"/>
  <c r="F268" i="4" s="1"/>
  <c r="D282" i="1"/>
  <c r="D282" i="4" s="1"/>
  <c r="D290" i="1"/>
  <c r="D290" i="4" s="1"/>
  <c r="E295" i="1"/>
  <c r="E295" i="4" s="1"/>
  <c r="F300" i="1"/>
  <c r="F300" i="4" s="1"/>
  <c r="F316" i="1"/>
  <c r="F316" i="4" s="1"/>
  <c r="D338" i="1"/>
  <c r="D338" i="4" s="1"/>
  <c r="E343" i="1"/>
  <c r="E343" i="4" s="1"/>
  <c r="F348" i="1"/>
  <c r="F348" i="4" s="1"/>
  <c r="E367" i="1"/>
  <c r="E367" i="4" s="1"/>
  <c r="F233" i="1"/>
  <c r="F233" i="4" s="1"/>
  <c r="E236" i="1"/>
  <c r="E236" i="4" s="1"/>
  <c r="D239" i="1"/>
  <c r="D239" i="4" s="1"/>
  <c r="F241" i="1"/>
  <c r="F241" i="4" s="1"/>
  <c r="E244" i="1"/>
  <c r="E244" i="4" s="1"/>
  <c r="D247" i="1"/>
  <c r="D247" i="4" s="1"/>
  <c r="F249" i="1"/>
  <c r="F249" i="4" s="1"/>
  <c r="E252" i="1"/>
  <c r="E252" i="4" s="1"/>
  <c r="D255" i="1"/>
  <c r="D255" i="4" s="1"/>
  <c r="F257" i="1"/>
  <c r="F257" i="4" s="1"/>
  <c r="E260" i="1"/>
  <c r="E260" i="4" s="1"/>
  <c r="D263" i="1"/>
  <c r="D263" i="4" s="1"/>
  <c r="F265" i="1"/>
  <c r="F265" i="4" s="1"/>
  <c r="E268" i="1"/>
  <c r="E268" i="4" s="1"/>
  <c r="D271" i="1"/>
  <c r="D271" i="4" s="1"/>
  <c r="F273" i="1"/>
  <c r="F273" i="4" s="1"/>
  <c r="E276" i="1"/>
  <c r="E276" i="4" s="1"/>
  <c r="D279" i="1"/>
  <c r="D279" i="4" s="1"/>
  <c r="F281" i="1"/>
  <c r="F281" i="4" s="1"/>
  <c r="E284" i="1"/>
  <c r="E284" i="4" s="1"/>
  <c r="D287" i="1"/>
  <c r="D287" i="4" s="1"/>
  <c r="F289" i="1"/>
  <c r="F289" i="4" s="1"/>
  <c r="E292" i="1"/>
  <c r="E292" i="4" s="1"/>
  <c r="D295" i="1"/>
  <c r="D295" i="4" s="1"/>
  <c r="F297" i="1"/>
  <c r="F297" i="4" s="1"/>
  <c r="E300" i="1"/>
  <c r="E300" i="4" s="1"/>
  <c r="D303" i="1"/>
  <c r="D303" i="4" s="1"/>
  <c r="F305" i="1"/>
  <c r="F305" i="4" s="1"/>
  <c r="E308" i="1"/>
  <c r="E308" i="4" s="1"/>
  <c r="D311" i="1"/>
  <c r="D311" i="4" s="1"/>
  <c r="F313" i="1"/>
  <c r="F313" i="4" s="1"/>
  <c r="E316" i="1"/>
  <c r="E316" i="4" s="1"/>
  <c r="D319" i="1"/>
  <c r="D319" i="4" s="1"/>
  <c r="F321" i="1"/>
  <c r="F321" i="4" s="1"/>
  <c r="E324" i="1"/>
  <c r="E324" i="4" s="1"/>
  <c r="D327" i="1"/>
  <c r="D327" i="4" s="1"/>
  <c r="F329" i="1"/>
  <c r="F329" i="4" s="1"/>
  <c r="D335" i="1"/>
  <c r="D335" i="4" s="1"/>
  <c r="F337" i="1"/>
  <c r="F337" i="4" s="1"/>
  <c r="E340" i="1"/>
  <c r="E340" i="4" s="1"/>
  <c r="D343" i="1"/>
  <c r="D343" i="4" s="1"/>
  <c r="F345" i="1"/>
  <c r="F345" i="4" s="1"/>
  <c r="E348" i="1"/>
  <c r="E348" i="4" s="1"/>
  <c r="D351" i="1"/>
  <c r="D351" i="4" s="1"/>
  <c r="F353" i="1"/>
  <c r="F353" i="4" s="1"/>
  <c r="E356" i="1"/>
  <c r="E356" i="4" s="1"/>
  <c r="D359" i="1"/>
  <c r="D359" i="4" s="1"/>
  <c r="F361" i="1"/>
  <c r="F361" i="4" s="1"/>
  <c r="E364" i="1"/>
  <c r="E364" i="4" s="1"/>
  <c r="D367" i="1"/>
  <c r="D367" i="4" s="1"/>
  <c r="E239" i="1"/>
  <c r="E239" i="4" s="1"/>
  <c r="F252" i="1"/>
  <c r="F252" i="4" s="1"/>
  <c r="D274" i="1"/>
  <c r="D274" i="4" s="1"/>
  <c r="F284" i="1"/>
  <c r="F284" i="4" s="1"/>
  <c r="D306" i="1"/>
  <c r="D306" i="4" s="1"/>
  <c r="D314" i="1"/>
  <c r="D314" i="4" s="1"/>
  <c r="D322" i="1"/>
  <c r="D322" i="4" s="1"/>
  <c r="E327" i="1"/>
  <c r="E327" i="4" s="1"/>
  <c r="E351" i="1"/>
  <c r="E351" i="4" s="1"/>
  <c r="F356" i="1"/>
  <c r="F356" i="4" s="1"/>
  <c r="D234" i="1"/>
  <c r="D234" i="4" s="1"/>
  <c r="F236" i="1"/>
  <c r="F236" i="4" s="1"/>
  <c r="E234" i="1"/>
  <c r="E234" i="4" s="1"/>
  <c r="D237" i="1"/>
  <c r="D237" i="4" s="1"/>
  <c r="F239" i="1"/>
  <c r="F239" i="4" s="1"/>
  <c r="E242" i="1"/>
  <c r="E242" i="4" s="1"/>
  <c r="D245" i="1"/>
  <c r="D245" i="4" s="1"/>
  <c r="F247" i="1"/>
  <c r="F247" i="4" s="1"/>
  <c r="E250" i="1"/>
  <c r="E250" i="4" s="1"/>
  <c r="D253" i="1"/>
  <c r="D253" i="4" s="1"/>
  <c r="F255" i="1"/>
  <c r="F255" i="4" s="1"/>
  <c r="E258" i="1"/>
  <c r="E258" i="4" s="1"/>
  <c r="D261" i="1"/>
  <c r="D261" i="4" s="1"/>
  <c r="F263" i="1"/>
  <c r="F263" i="4" s="1"/>
  <c r="E266" i="1"/>
  <c r="E266" i="4" s="1"/>
  <c r="D269" i="1"/>
  <c r="D269" i="4" s="1"/>
  <c r="F271" i="1"/>
  <c r="F271" i="4" s="1"/>
  <c r="E274" i="1"/>
  <c r="E274" i="4" s="1"/>
  <c r="D277" i="1"/>
  <c r="D277" i="4" s="1"/>
  <c r="F279" i="1"/>
  <c r="F279" i="4" s="1"/>
  <c r="E282" i="1"/>
  <c r="E282" i="4" s="1"/>
  <c r="D285" i="1"/>
  <c r="D285" i="4" s="1"/>
  <c r="F287" i="1"/>
  <c r="F287" i="4" s="1"/>
  <c r="E290" i="1"/>
  <c r="E290" i="4" s="1"/>
  <c r="D293" i="1"/>
  <c r="D293" i="4" s="1"/>
  <c r="F295" i="1"/>
  <c r="F295" i="4" s="1"/>
  <c r="E298" i="1"/>
  <c r="E298" i="4" s="1"/>
  <c r="D301" i="1"/>
  <c r="D301" i="4" s="1"/>
  <c r="F303" i="1"/>
  <c r="F303" i="4" s="1"/>
  <c r="E306" i="1"/>
  <c r="E306" i="4" s="1"/>
  <c r="D309" i="1"/>
  <c r="D309" i="4" s="1"/>
  <c r="F311" i="1"/>
  <c r="F311" i="4" s="1"/>
  <c r="E314" i="1"/>
  <c r="E314" i="4" s="1"/>
  <c r="D317" i="1"/>
  <c r="D317" i="4" s="1"/>
  <c r="F319" i="1"/>
  <c r="F319" i="4" s="1"/>
  <c r="E322" i="1"/>
  <c r="E322" i="4" s="1"/>
  <c r="D325" i="1"/>
  <c r="D325" i="4" s="1"/>
  <c r="F327" i="1"/>
  <c r="F327" i="4" s="1"/>
  <c r="D333" i="1"/>
  <c r="D333" i="4" s="1"/>
  <c r="F335" i="1"/>
  <c r="F335" i="4" s="1"/>
  <c r="E338" i="1"/>
  <c r="E338" i="4" s="1"/>
  <c r="D341" i="1"/>
  <c r="D341" i="4" s="1"/>
  <c r="F343" i="1"/>
  <c r="F343" i="4" s="1"/>
  <c r="E346" i="1"/>
  <c r="E346" i="4" s="1"/>
  <c r="D349" i="1"/>
  <c r="D349" i="4" s="1"/>
  <c r="F351" i="1"/>
  <c r="F351" i="4" s="1"/>
  <c r="E354" i="1"/>
  <c r="E354" i="4" s="1"/>
  <c r="D357" i="1"/>
  <c r="D357" i="4" s="1"/>
  <c r="F359" i="1"/>
  <c r="F359" i="4" s="1"/>
  <c r="E362" i="1"/>
  <c r="E362" i="4" s="1"/>
  <c r="D365" i="1"/>
  <c r="D365" i="4" s="1"/>
  <c r="F367" i="1"/>
  <c r="F367" i="4" s="1"/>
  <c r="F234" i="1"/>
  <c r="F234" i="4" s="1"/>
  <c r="E237" i="1"/>
  <c r="E237" i="4" s="1"/>
  <c r="D240" i="1"/>
  <c r="D240" i="4" s="1"/>
  <c r="F242" i="1"/>
  <c r="F242" i="4" s="1"/>
  <c r="E245" i="1"/>
  <c r="E245" i="4" s="1"/>
  <c r="D248" i="1"/>
  <c r="D248" i="4" s="1"/>
  <c r="F250" i="1"/>
  <c r="F250" i="4" s="1"/>
  <c r="E253" i="1"/>
  <c r="E253" i="4" s="1"/>
  <c r="D256" i="1"/>
  <c r="D256" i="4" s="1"/>
  <c r="F258" i="1"/>
  <c r="F258" i="4" s="1"/>
  <c r="E261" i="1"/>
  <c r="E261" i="4" s="1"/>
  <c r="D264" i="1"/>
  <c r="D264" i="4" s="1"/>
  <c r="F266" i="1"/>
  <c r="F266" i="4" s="1"/>
  <c r="E269" i="1"/>
  <c r="E269" i="4" s="1"/>
  <c r="D272" i="1"/>
  <c r="D272" i="4" s="1"/>
  <c r="F274" i="1"/>
  <c r="F274" i="4" s="1"/>
  <c r="E277" i="1"/>
  <c r="E277" i="4" s="1"/>
  <c r="D280" i="1"/>
  <c r="D280" i="4" s="1"/>
  <c r="F282" i="1"/>
  <c r="F282" i="4" s="1"/>
  <c r="E285" i="1"/>
  <c r="E285" i="4" s="1"/>
  <c r="D288" i="1"/>
  <c r="D288" i="4" s="1"/>
  <c r="F290" i="1"/>
  <c r="F290" i="4" s="1"/>
  <c r="E293" i="1"/>
  <c r="E293" i="4" s="1"/>
  <c r="D296" i="1"/>
  <c r="D296" i="4" s="1"/>
  <c r="F298" i="1"/>
  <c r="F298" i="4" s="1"/>
  <c r="E301" i="1"/>
  <c r="E301" i="4" s="1"/>
  <c r="D304" i="1"/>
  <c r="D304" i="4" s="1"/>
  <c r="F306" i="1"/>
  <c r="F306" i="4" s="1"/>
  <c r="E309" i="1"/>
  <c r="E309" i="4" s="1"/>
  <c r="D312" i="1"/>
  <c r="D312" i="4" s="1"/>
  <c r="F314" i="1"/>
  <c r="F314" i="4" s="1"/>
  <c r="E317" i="1"/>
  <c r="E317" i="4" s="1"/>
  <c r="D320" i="1"/>
  <c r="D320" i="4" s="1"/>
  <c r="F322" i="1"/>
  <c r="F322" i="4" s="1"/>
  <c r="E325" i="1"/>
  <c r="E325" i="4" s="1"/>
  <c r="D328" i="1"/>
  <c r="D328" i="4" s="1"/>
  <c r="E333" i="1"/>
  <c r="E333" i="4" s="1"/>
  <c r="D336" i="1"/>
  <c r="D336" i="4" s="1"/>
  <c r="F338" i="1"/>
  <c r="F338" i="4" s="1"/>
  <c r="E341" i="1"/>
  <c r="E341" i="4" s="1"/>
  <c r="D344" i="1"/>
  <c r="D344" i="4" s="1"/>
  <c r="F346" i="1"/>
  <c r="F346" i="4" s="1"/>
  <c r="E349" i="1"/>
  <c r="E349" i="4" s="1"/>
  <c r="D352" i="1"/>
  <c r="D352" i="4" s="1"/>
  <c r="F354" i="1"/>
  <c r="F354" i="4" s="1"/>
  <c r="E357" i="1"/>
  <c r="E357" i="4" s="1"/>
  <c r="D360" i="1"/>
  <c r="D360" i="4" s="1"/>
  <c r="F362" i="1"/>
  <c r="F362" i="4" s="1"/>
  <c r="E365" i="1"/>
  <c r="E365" i="4" s="1"/>
  <c r="D235" i="1"/>
  <c r="D235" i="4" s="1"/>
  <c r="F237" i="1"/>
  <c r="F237" i="4" s="1"/>
  <c r="E240" i="1"/>
  <c r="E240" i="4" s="1"/>
  <c r="D243" i="1"/>
  <c r="D243" i="4" s="1"/>
  <c r="F245" i="1"/>
  <c r="F245" i="4" s="1"/>
  <c r="E248" i="1"/>
  <c r="E248" i="4" s="1"/>
  <c r="D251" i="1"/>
  <c r="D251" i="4" s="1"/>
  <c r="F253" i="1"/>
  <c r="F253" i="4" s="1"/>
  <c r="E256" i="1"/>
  <c r="E256" i="4" s="1"/>
  <c r="D259" i="1"/>
  <c r="D259" i="4" s="1"/>
  <c r="F261" i="1"/>
  <c r="F261" i="4" s="1"/>
  <c r="E264" i="1"/>
  <c r="E264" i="4" s="1"/>
  <c r="D267" i="1"/>
  <c r="D267" i="4" s="1"/>
  <c r="F269" i="1"/>
  <c r="F269" i="4" s="1"/>
  <c r="E272" i="1"/>
  <c r="E272" i="4" s="1"/>
  <c r="D275" i="1"/>
  <c r="D275" i="4" s="1"/>
  <c r="F277" i="1"/>
  <c r="F277" i="4" s="1"/>
  <c r="E280" i="1"/>
  <c r="E280" i="4" s="1"/>
  <c r="D283" i="1"/>
  <c r="D283" i="4" s="1"/>
  <c r="F285" i="1"/>
  <c r="F285" i="4" s="1"/>
  <c r="E288" i="1"/>
  <c r="E288" i="4" s="1"/>
  <c r="D291" i="1"/>
  <c r="D291" i="4" s="1"/>
  <c r="F293" i="1"/>
  <c r="F293" i="4" s="1"/>
  <c r="E296" i="1"/>
  <c r="E296" i="4" s="1"/>
  <c r="D299" i="1"/>
  <c r="D299" i="4" s="1"/>
  <c r="F301" i="1"/>
  <c r="F301" i="4" s="1"/>
  <c r="E304" i="1"/>
  <c r="E304" i="4" s="1"/>
  <c r="D307" i="1"/>
  <c r="D307" i="4" s="1"/>
  <c r="F309" i="1"/>
  <c r="F309" i="4" s="1"/>
  <c r="E312" i="1"/>
  <c r="E312" i="4" s="1"/>
  <c r="D315" i="1"/>
  <c r="D315" i="4" s="1"/>
  <c r="F317" i="1"/>
  <c r="F317" i="4" s="1"/>
  <c r="E320" i="1"/>
  <c r="E320" i="4" s="1"/>
  <c r="D323" i="1"/>
  <c r="D323" i="4" s="1"/>
  <c r="F325" i="1"/>
  <c r="F325" i="4" s="1"/>
  <c r="E328" i="1"/>
  <c r="E328" i="4" s="1"/>
  <c r="F333" i="1"/>
  <c r="F333" i="4" s="1"/>
  <c r="E336" i="1"/>
  <c r="E336" i="4" s="1"/>
  <c r="D339" i="1"/>
  <c r="D339" i="4" s="1"/>
  <c r="F341" i="1"/>
  <c r="F341" i="4" s="1"/>
  <c r="E344" i="1"/>
  <c r="E344" i="4" s="1"/>
  <c r="D347" i="1"/>
  <c r="D347" i="4" s="1"/>
  <c r="F349" i="1"/>
  <c r="F349" i="4" s="1"/>
  <c r="E352" i="1"/>
  <c r="E352" i="4" s="1"/>
  <c r="D355" i="1"/>
  <c r="D355" i="4" s="1"/>
  <c r="F357" i="1"/>
  <c r="F357" i="4" s="1"/>
  <c r="E360" i="1"/>
  <c r="E360" i="4" s="1"/>
  <c r="D363" i="1"/>
  <c r="D363" i="4" s="1"/>
  <c r="F365" i="1"/>
  <c r="F365" i="4" s="1"/>
  <c r="E235" i="1"/>
  <c r="E235" i="4" s="1"/>
  <c r="D238" i="1"/>
  <c r="D238" i="4" s="1"/>
  <c r="F240" i="1"/>
  <c r="F240" i="4" s="1"/>
  <c r="E243" i="1"/>
  <c r="E243" i="4" s="1"/>
  <c r="D246" i="1"/>
  <c r="D246" i="4" s="1"/>
  <c r="F248" i="1"/>
  <c r="F248" i="4" s="1"/>
  <c r="E251" i="1"/>
  <c r="E251" i="4" s="1"/>
  <c r="D254" i="1"/>
  <c r="D254" i="4" s="1"/>
  <c r="F256" i="1"/>
  <c r="F256" i="4" s="1"/>
  <c r="E259" i="1"/>
  <c r="E259" i="4" s="1"/>
  <c r="D262" i="1"/>
  <c r="D262" i="4" s="1"/>
  <c r="F264" i="1"/>
  <c r="F264" i="4" s="1"/>
  <c r="E267" i="1"/>
  <c r="E267" i="4" s="1"/>
  <c r="D270" i="1"/>
  <c r="D270" i="4" s="1"/>
  <c r="F272" i="1"/>
  <c r="F272" i="4" s="1"/>
  <c r="E275" i="1"/>
  <c r="E275" i="4" s="1"/>
  <c r="D278" i="1"/>
  <c r="D278" i="4" s="1"/>
  <c r="F280" i="1"/>
  <c r="F280" i="4" s="1"/>
  <c r="E283" i="1"/>
  <c r="E283" i="4" s="1"/>
  <c r="D286" i="1"/>
  <c r="D286" i="4" s="1"/>
  <c r="F288" i="1"/>
  <c r="F288" i="4" s="1"/>
  <c r="E291" i="1"/>
  <c r="E291" i="4" s="1"/>
  <c r="D294" i="1"/>
  <c r="D294" i="4" s="1"/>
  <c r="F296" i="1"/>
  <c r="F296" i="4" s="1"/>
  <c r="E299" i="1"/>
  <c r="E299" i="4" s="1"/>
  <c r="D302" i="1"/>
  <c r="D302" i="4" s="1"/>
  <c r="F304" i="1"/>
  <c r="F304" i="4" s="1"/>
  <c r="E307" i="1"/>
  <c r="E307" i="4" s="1"/>
  <c r="D310" i="1"/>
  <c r="D310" i="4" s="1"/>
  <c r="F312" i="1"/>
  <c r="F312" i="4" s="1"/>
  <c r="E315" i="1"/>
  <c r="E315" i="4" s="1"/>
  <c r="D318" i="1"/>
  <c r="D318" i="4" s="1"/>
  <c r="F320" i="1"/>
  <c r="F320" i="4" s="1"/>
  <c r="E323" i="1"/>
  <c r="E323" i="4" s="1"/>
  <c r="D326" i="1"/>
  <c r="D326" i="4" s="1"/>
  <c r="F328" i="1"/>
  <c r="F328" i="4" s="1"/>
  <c r="D334" i="1"/>
  <c r="D334" i="4" s="1"/>
  <c r="F336" i="1"/>
  <c r="F336" i="4" s="1"/>
  <c r="E339" i="1"/>
  <c r="E339" i="4" s="1"/>
  <c r="D342" i="1"/>
  <c r="D342" i="4" s="1"/>
  <c r="F344" i="1"/>
  <c r="F344" i="4" s="1"/>
  <c r="E347" i="1"/>
  <c r="E347" i="4" s="1"/>
  <c r="D350" i="1"/>
  <c r="D350" i="4" s="1"/>
  <c r="F352" i="1"/>
  <c r="F352" i="4" s="1"/>
  <c r="E355" i="1"/>
  <c r="E355" i="4" s="1"/>
  <c r="D358" i="1"/>
  <c r="D358" i="4" s="1"/>
  <c r="F360" i="1"/>
  <c r="F360" i="4" s="1"/>
  <c r="E363" i="1"/>
  <c r="E363" i="4" s="1"/>
  <c r="D366" i="1"/>
  <c r="D366" i="4" s="1"/>
  <c r="D242" i="1"/>
  <c r="D242" i="4" s="1"/>
  <c r="E255" i="1"/>
  <c r="E255" i="4" s="1"/>
  <c r="F260" i="1"/>
  <c r="F260" i="4" s="1"/>
  <c r="E279" i="1"/>
  <c r="E279" i="4" s="1"/>
  <c r="E287" i="1"/>
  <c r="E287" i="4" s="1"/>
  <c r="F292" i="1"/>
  <c r="F292" i="4" s="1"/>
  <c r="E311" i="1"/>
  <c r="E311" i="4" s="1"/>
  <c r="E319" i="1"/>
  <c r="E319" i="4" s="1"/>
  <c r="F324" i="1"/>
  <c r="F324" i="4" s="1"/>
  <c r="D346" i="1"/>
  <c r="D346" i="4" s="1"/>
  <c r="D354" i="1"/>
  <c r="D354" i="4" s="1"/>
  <c r="E359" i="1"/>
  <c r="E359" i="4" s="1"/>
  <c r="F364" i="1"/>
  <c r="F364" i="4" s="1"/>
  <c r="D175" i="1"/>
  <c r="D175" i="4" s="1"/>
  <c r="E176" i="1"/>
  <c r="E176" i="4" s="1"/>
  <c r="F177" i="1"/>
  <c r="F177" i="4" s="1"/>
  <c r="D179" i="1"/>
  <c r="D179" i="4" s="1"/>
  <c r="E180" i="1"/>
  <c r="E180" i="4" s="1"/>
  <c r="F181" i="1"/>
  <c r="F181" i="4" s="1"/>
  <c r="D183" i="1"/>
  <c r="D183" i="4" s="1"/>
  <c r="E184" i="1"/>
  <c r="E184" i="4" s="1"/>
  <c r="F185" i="1"/>
  <c r="F185" i="4" s="1"/>
  <c r="D187" i="1"/>
  <c r="D187" i="4" s="1"/>
  <c r="E188" i="1"/>
  <c r="E188" i="4" s="1"/>
  <c r="F189" i="1"/>
  <c r="F189" i="4" s="1"/>
  <c r="D191" i="1"/>
  <c r="D191" i="4" s="1"/>
  <c r="E192" i="1"/>
  <c r="E192" i="4" s="1"/>
  <c r="F193" i="1"/>
  <c r="F193" i="4" s="1"/>
  <c r="D195" i="1"/>
  <c r="D195" i="4" s="1"/>
  <c r="E196" i="1"/>
  <c r="E196" i="4" s="1"/>
  <c r="F197" i="1"/>
  <c r="F197" i="4" s="1"/>
  <c r="D199" i="1"/>
  <c r="D199" i="4" s="1"/>
  <c r="E200" i="1"/>
  <c r="E200" i="4" s="1"/>
  <c r="F201" i="1"/>
  <c r="F201" i="4" s="1"/>
  <c r="D203" i="1"/>
  <c r="D203" i="4" s="1"/>
  <c r="E204" i="1"/>
  <c r="E204" i="4" s="1"/>
  <c r="F205" i="1"/>
  <c r="F205" i="4" s="1"/>
  <c r="D207" i="1"/>
  <c r="D207" i="4" s="1"/>
  <c r="E208" i="1"/>
  <c r="E208" i="4" s="1"/>
  <c r="F209" i="1"/>
  <c r="F209" i="4" s="1"/>
  <c r="D211" i="1"/>
  <c r="D211" i="4" s="1"/>
  <c r="E212" i="1"/>
  <c r="E212" i="4" s="1"/>
  <c r="F213" i="1"/>
  <c r="F213" i="4" s="1"/>
  <c r="D215" i="1"/>
  <c r="D215" i="4" s="1"/>
  <c r="E216" i="1"/>
  <c r="E216" i="4" s="1"/>
  <c r="F217" i="1"/>
  <c r="F217" i="4" s="1"/>
  <c r="D219" i="1"/>
  <c r="D219" i="4" s="1"/>
  <c r="E220" i="1"/>
  <c r="E220" i="4" s="1"/>
  <c r="F221" i="1"/>
  <c r="F221" i="4" s="1"/>
  <c r="D223" i="1"/>
  <c r="D223" i="4" s="1"/>
  <c r="E224" i="1"/>
  <c r="E224" i="4" s="1"/>
  <c r="F225" i="1"/>
  <c r="F225" i="4" s="1"/>
  <c r="D227" i="1"/>
  <c r="D227" i="4" s="1"/>
  <c r="E228" i="1"/>
  <c r="E228" i="4" s="1"/>
  <c r="F229" i="1"/>
  <c r="F229" i="4" s="1"/>
  <c r="D231" i="1"/>
  <c r="D231" i="4" s="1"/>
  <c r="E232" i="1"/>
  <c r="E232" i="4" s="1"/>
  <c r="E175" i="1"/>
  <c r="E175" i="4" s="1"/>
  <c r="F176" i="1"/>
  <c r="F176" i="4" s="1"/>
  <c r="D178" i="1"/>
  <c r="D178" i="4" s="1"/>
  <c r="E179" i="1"/>
  <c r="E179" i="4" s="1"/>
  <c r="F180" i="1"/>
  <c r="F180" i="4" s="1"/>
  <c r="D182" i="1"/>
  <c r="D182" i="4" s="1"/>
  <c r="E183" i="1"/>
  <c r="E183" i="4" s="1"/>
  <c r="F184" i="1"/>
  <c r="F184" i="4" s="1"/>
  <c r="D186" i="1"/>
  <c r="D186" i="4" s="1"/>
  <c r="E187" i="1"/>
  <c r="E187" i="4" s="1"/>
  <c r="F188" i="1"/>
  <c r="F188" i="4" s="1"/>
  <c r="D190" i="1"/>
  <c r="D190" i="4" s="1"/>
  <c r="E191" i="1"/>
  <c r="E191" i="4" s="1"/>
  <c r="F192" i="1"/>
  <c r="F192" i="4" s="1"/>
  <c r="D194" i="1"/>
  <c r="D194" i="4" s="1"/>
  <c r="E195" i="1"/>
  <c r="E195" i="4" s="1"/>
  <c r="F196" i="1"/>
  <c r="F196" i="4" s="1"/>
  <c r="D198" i="1"/>
  <c r="D198" i="4" s="1"/>
  <c r="E199" i="1"/>
  <c r="E199" i="4" s="1"/>
  <c r="F200" i="1"/>
  <c r="F200" i="4" s="1"/>
  <c r="D202" i="1"/>
  <c r="D202" i="4" s="1"/>
  <c r="E203" i="1"/>
  <c r="E203" i="4" s="1"/>
  <c r="F204" i="1"/>
  <c r="F204" i="4" s="1"/>
  <c r="D206" i="1"/>
  <c r="D206" i="4" s="1"/>
  <c r="E207" i="1"/>
  <c r="E207" i="4" s="1"/>
  <c r="F208" i="1"/>
  <c r="F208" i="4" s="1"/>
  <c r="D210" i="1"/>
  <c r="D210" i="4" s="1"/>
  <c r="E211" i="1"/>
  <c r="E211" i="4" s="1"/>
  <c r="F212" i="1"/>
  <c r="F212" i="4" s="1"/>
  <c r="D214" i="1"/>
  <c r="D214" i="4" s="1"/>
  <c r="E215" i="1"/>
  <c r="E215" i="4" s="1"/>
  <c r="F216" i="1"/>
  <c r="F216" i="4" s="1"/>
  <c r="D218" i="1"/>
  <c r="D218" i="4" s="1"/>
  <c r="E219" i="1"/>
  <c r="E219" i="4" s="1"/>
  <c r="F220" i="1"/>
  <c r="F220" i="4" s="1"/>
  <c r="D222" i="1"/>
  <c r="D222" i="4" s="1"/>
  <c r="E223" i="1"/>
  <c r="E223" i="4" s="1"/>
  <c r="F224" i="1"/>
  <c r="F224" i="4" s="1"/>
  <c r="D226" i="1"/>
  <c r="D226" i="4" s="1"/>
  <c r="E227" i="1"/>
  <c r="E227" i="4" s="1"/>
  <c r="F228" i="1"/>
  <c r="F228" i="4" s="1"/>
  <c r="D230" i="1"/>
  <c r="D230" i="4" s="1"/>
  <c r="E231" i="1"/>
  <c r="E231" i="4" s="1"/>
  <c r="F232" i="1"/>
  <c r="F232" i="4" s="1"/>
  <c r="F175" i="1"/>
  <c r="F175" i="4" s="1"/>
  <c r="D177" i="1"/>
  <c r="D177" i="4" s="1"/>
  <c r="E178" i="1"/>
  <c r="E178" i="4" s="1"/>
  <c r="F179" i="1"/>
  <c r="F179" i="4" s="1"/>
  <c r="D181" i="1"/>
  <c r="D181" i="4" s="1"/>
  <c r="E182" i="1"/>
  <c r="E182" i="4" s="1"/>
  <c r="F183" i="1"/>
  <c r="F183" i="4" s="1"/>
  <c r="D185" i="1"/>
  <c r="D185" i="4" s="1"/>
  <c r="E186" i="1"/>
  <c r="E186" i="4" s="1"/>
  <c r="F187" i="1"/>
  <c r="F187" i="4" s="1"/>
  <c r="D189" i="1"/>
  <c r="D189" i="4" s="1"/>
  <c r="E190" i="1"/>
  <c r="E190" i="4" s="1"/>
  <c r="F191" i="1"/>
  <c r="F191" i="4" s="1"/>
  <c r="D193" i="1"/>
  <c r="D193" i="4" s="1"/>
  <c r="E194" i="1"/>
  <c r="E194" i="4" s="1"/>
  <c r="F195" i="1"/>
  <c r="F195" i="4" s="1"/>
  <c r="D197" i="1"/>
  <c r="D197" i="4" s="1"/>
  <c r="E198" i="1"/>
  <c r="E198" i="4" s="1"/>
  <c r="F199" i="1"/>
  <c r="F199" i="4" s="1"/>
  <c r="D201" i="1"/>
  <c r="D201" i="4" s="1"/>
  <c r="E202" i="1"/>
  <c r="E202" i="4" s="1"/>
  <c r="F203" i="1"/>
  <c r="F203" i="4" s="1"/>
  <c r="D205" i="1"/>
  <c r="D205" i="4" s="1"/>
  <c r="E206" i="1"/>
  <c r="E206" i="4" s="1"/>
  <c r="F207" i="1"/>
  <c r="F207" i="4" s="1"/>
  <c r="D209" i="1"/>
  <c r="D209" i="4" s="1"/>
  <c r="E210" i="1"/>
  <c r="E210" i="4" s="1"/>
  <c r="F211" i="1"/>
  <c r="F211" i="4" s="1"/>
  <c r="D213" i="1"/>
  <c r="D213" i="4" s="1"/>
  <c r="E214" i="1"/>
  <c r="E214" i="4" s="1"/>
  <c r="F215" i="1"/>
  <c r="F215" i="4" s="1"/>
  <c r="D217" i="1"/>
  <c r="D217" i="4" s="1"/>
  <c r="E218" i="1"/>
  <c r="E218" i="4" s="1"/>
  <c r="F219" i="1"/>
  <c r="F219" i="4" s="1"/>
  <c r="D221" i="1"/>
  <c r="D221" i="4" s="1"/>
  <c r="E222" i="1"/>
  <c r="E222" i="4" s="1"/>
  <c r="F223" i="1"/>
  <c r="F223" i="4" s="1"/>
  <c r="D225" i="1"/>
  <c r="D225" i="4" s="1"/>
  <c r="E226" i="1"/>
  <c r="E226" i="4" s="1"/>
  <c r="F227" i="1"/>
  <c r="F227" i="4" s="1"/>
  <c r="D229" i="1"/>
  <c r="D229" i="4" s="1"/>
  <c r="E230" i="1"/>
  <c r="E230" i="4" s="1"/>
  <c r="F231" i="1"/>
  <c r="F231" i="4" s="1"/>
  <c r="D176" i="1"/>
  <c r="D176" i="4" s="1"/>
  <c r="E177" i="1"/>
  <c r="E177" i="4" s="1"/>
  <c r="F178" i="1"/>
  <c r="F178" i="4" s="1"/>
  <c r="D180" i="1"/>
  <c r="D180" i="4" s="1"/>
  <c r="E181" i="1"/>
  <c r="E181" i="4" s="1"/>
  <c r="F182" i="1"/>
  <c r="F182" i="4" s="1"/>
  <c r="D184" i="1"/>
  <c r="D184" i="4" s="1"/>
  <c r="E185" i="1"/>
  <c r="E185" i="4" s="1"/>
  <c r="F186" i="1"/>
  <c r="F186" i="4" s="1"/>
  <c r="D188" i="1"/>
  <c r="D188" i="4" s="1"/>
  <c r="E189" i="1"/>
  <c r="E189" i="4" s="1"/>
  <c r="F190" i="1"/>
  <c r="F190" i="4" s="1"/>
  <c r="D192" i="1"/>
  <c r="D192" i="4" s="1"/>
  <c r="E193" i="1"/>
  <c r="E193" i="4" s="1"/>
  <c r="F194" i="1"/>
  <c r="F194" i="4" s="1"/>
  <c r="D196" i="1"/>
  <c r="D196" i="4" s="1"/>
  <c r="E197" i="1"/>
  <c r="E197" i="4" s="1"/>
  <c r="F198" i="1"/>
  <c r="F198" i="4" s="1"/>
  <c r="D200" i="1"/>
  <c r="D200" i="4" s="1"/>
  <c r="E201" i="1"/>
  <c r="E201" i="4" s="1"/>
  <c r="F202" i="1"/>
  <c r="F202" i="4" s="1"/>
  <c r="D204" i="1"/>
  <c r="D204" i="4" s="1"/>
  <c r="E205" i="1"/>
  <c r="E205" i="4" s="1"/>
  <c r="F206" i="1"/>
  <c r="F206" i="4" s="1"/>
  <c r="D208" i="1"/>
  <c r="D208" i="4" s="1"/>
  <c r="E209" i="1"/>
  <c r="E209" i="4" s="1"/>
  <c r="F210" i="1"/>
  <c r="F210" i="4" s="1"/>
  <c r="D212" i="1"/>
  <c r="D212" i="4" s="1"/>
  <c r="E213" i="1"/>
  <c r="E213" i="4" s="1"/>
  <c r="F214" i="1"/>
  <c r="F214" i="4" s="1"/>
  <c r="D216" i="1"/>
  <c r="D216" i="4" s="1"/>
  <c r="E217" i="1"/>
  <c r="E217" i="4" s="1"/>
  <c r="F218" i="1"/>
  <c r="F218" i="4" s="1"/>
  <c r="D220" i="1"/>
  <c r="D220" i="4" s="1"/>
  <c r="E221" i="1"/>
  <c r="E221" i="4" s="1"/>
  <c r="F222" i="1"/>
  <c r="F222" i="4" s="1"/>
  <c r="D224" i="1"/>
  <c r="D224" i="4" s="1"/>
  <c r="E225" i="1"/>
  <c r="E225" i="4" s="1"/>
  <c r="F226" i="1"/>
  <c r="F226" i="4" s="1"/>
  <c r="D228" i="1"/>
  <c r="D228" i="4" s="1"/>
  <c r="E229" i="1"/>
  <c r="E229" i="4" s="1"/>
  <c r="F230" i="1"/>
  <c r="F230" i="4" s="1"/>
  <c r="D232" i="1"/>
  <c r="D232" i="4" s="1"/>
  <c r="D153" i="1"/>
  <c r="D153" i="4" s="1"/>
  <c r="E154" i="1"/>
  <c r="E154" i="4" s="1"/>
  <c r="F155" i="1"/>
  <c r="F155" i="4" s="1"/>
  <c r="D157" i="1"/>
  <c r="D157" i="4" s="1"/>
  <c r="E158" i="1"/>
  <c r="E158" i="4" s="1"/>
  <c r="F159" i="1"/>
  <c r="F159" i="4" s="1"/>
  <c r="D161" i="1"/>
  <c r="D161" i="4" s="1"/>
  <c r="E162" i="1"/>
  <c r="E162" i="4" s="1"/>
  <c r="F163" i="1"/>
  <c r="F163" i="4" s="1"/>
  <c r="D165" i="1"/>
  <c r="D165" i="4" s="1"/>
  <c r="E166" i="1"/>
  <c r="E166" i="4" s="1"/>
  <c r="F167" i="1"/>
  <c r="F167" i="4" s="1"/>
  <c r="D169" i="1"/>
  <c r="D169" i="4" s="1"/>
  <c r="E170" i="1"/>
  <c r="E170" i="4" s="1"/>
  <c r="F171" i="1"/>
  <c r="F171" i="4" s="1"/>
  <c r="D173" i="1"/>
  <c r="D173" i="4" s="1"/>
  <c r="E174" i="1"/>
  <c r="E174" i="4" s="1"/>
  <c r="E153" i="1"/>
  <c r="E153" i="4" s="1"/>
  <c r="F154" i="1"/>
  <c r="F154" i="4" s="1"/>
  <c r="D156" i="1"/>
  <c r="D156" i="4" s="1"/>
  <c r="E157" i="1"/>
  <c r="E157" i="4" s="1"/>
  <c r="F158" i="1"/>
  <c r="F158" i="4" s="1"/>
  <c r="D160" i="1"/>
  <c r="D160" i="4" s="1"/>
  <c r="E161" i="1"/>
  <c r="E161" i="4" s="1"/>
  <c r="F162" i="1"/>
  <c r="F162" i="4" s="1"/>
  <c r="D164" i="1"/>
  <c r="D164" i="4" s="1"/>
  <c r="E165" i="1"/>
  <c r="E165" i="4" s="1"/>
  <c r="F166" i="1"/>
  <c r="F166" i="4" s="1"/>
  <c r="D168" i="1"/>
  <c r="D168" i="4" s="1"/>
  <c r="E169" i="1"/>
  <c r="E169" i="4" s="1"/>
  <c r="F170" i="1"/>
  <c r="F170" i="4" s="1"/>
  <c r="D172" i="1"/>
  <c r="D172" i="4" s="1"/>
  <c r="E173" i="1"/>
  <c r="E173" i="4" s="1"/>
  <c r="F174" i="1"/>
  <c r="F174" i="4" s="1"/>
  <c r="F153" i="1"/>
  <c r="F153" i="4" s="1"/>
  <c r="E156" i="1"/>
  <c r="E156" i="4" s="1"/>
  <c r="D159" i="1"/>
  <c r="D159" i="4" s="1"/>
  <c r="F161" i="1"/>
  <c r="F161" i="4" s="1"/>
  <c r="E164" i="1"/>
  <c r="E164" i="4" s="1"/>
  <c r="D167" i="1"/>
  <c r="D167" i="4" s="1"/>
  <c r="F169" i="1"/>
  <c r="F169" i="4" s="1"/>
  <c r="E172" i="1"/>
  <c r="E172" i="4" s="1"/>
  <c r="D154" i="1"/>
  <c r="D154" i="4" s="1"/>
  <c r="F157" i="1"/>
  <c r="F157" i="4" s="1"/>
  <c r="F160" i="1"/>
  <c r="F160" i="4" s="1"/>
  <c r="F164" i="1"/>
  <c r="F164" i="4" s="1"/>
  <c r="E168" i="1"/>
  <c r="E168" i="4" s="1"/>
  <c r="E171" i="1"/>
  <c r="E171" i="4" s="1"/>
  <c r="D155" i="1"/>
  <c r="D155" i="4" s="1"/>
  <c r="E159" i="1"/>
  <c r="E159" i="4" s="1"/>
  <c r="E163" i="1"/>
  <c r="E163" i="4" s="1"/>
  <c r="F168" i="1"/>
  <c r="F168" i="4" s="1"/>
  <c r="F173" i="1"/>
  <c r="F173" i="4" s="1"/>
  <c r="E155" i="1"/>
  <c r="E155" i="4" s="1"/>
  <c r="E160" i="1"/>
  <c r="E160" i="4" s="1"/>
  <c r="F165" i="1"/>
  <c r="F165" i="4" s="1"/>
  <c r="D170" i="1"/>
  <c r="D170" i="4" s="1"/>
  <c r="D174" i="1"/>
  <c r="D174" i="4" s="1"/>
  <c r="F156" i="1"/>
  <c r="F156" i="4" s="1"/>
  <c r="D166" i="1"/>
  <c r="D166" i="4" s="1"/>
  <c r="D158" i="1"/>
  <c r="D158" i="4" s="1"/>
  <c r="E167" i="1"/>
  <c r="E167" i="4" s="1"/>
  <c r="D162" i="1"/>
  <c r="D162" i="4" s="1"/>
  <c r="D163" i="1"/>
  <c r="D163" i="4" s="1"/>
  <c r="D171" i="1"/>
  <c r="D171" i="4" s="1"/>
  <c r="F172" i="1"/>
  <c r="F172" i="4" s="1"/>
  <c r="M586" i="1"/>
  <c r="M588" i="1"/>
  <c r="M590" i="1"/>
  <c r="M592" i="1"/>
  <c r="M594" i="1"/>
  <c r="M596" i="1"/>
  <c r="M598" i="1"/>
  <c r="M600" i="1"/>
  <c r="M602" i="1"/>
  <c r="M604" i="1"/>
  <c r="M606" i="1"/>
  <c r="M608" i="1"/>
  <c r="M610" i="1"/>
  <c r="M612" i="1"/>
  <c r="M614" i="1"/>
  <c r="M616" i="1"/>
  <c r="M618" i="1"/>
  <c r="M620" i="1"/>
  <c r="M622" i="1"/>
  <c r="M624" i="1"/>
  <c r="M626" i="1"/>
  <c r="M628" i="1"/>
  <c r="M630" i="1"/>
  <c r="M632" i="1"/>
  <c r="M634" i="1"/>
  <c r="M636" i="1"/>
  <c r="M638" i="1"/>
  <c r="M640" i="1"/>
  <c r="M642" i="1"/>
  <c r="M644" i="1"/>
  <c r="M646" i="1"/>
  <c r="M648" i="1"/>
  <c r="M650" i="1"/>
  <c r="M652" i="1"/>
  <c r="M654" i="1"/>
  <c r="M656" i="1"/>
  <c r="M658" i="1"/>
  <c r="M660" i="1"/>
  <c r="M662" i="1"/>
  <c r="M664" i="1"/>
  <c r="M666" i="1"/>
  <c r="M668" i="1"/>
  <c r="M670" i="1"/>
  <c r="M672" i="1"/>
  <c r="M674" i="1"/>
  <c r="M676" i="1"/>
  <c r="M678" i="1"/>
  <c r="M680" i="1"/>
  <c r="M682" i="1"/>
  <c r="M684" i="1"/>
  <c r="M686" i="1"/>
  <c r="M688" i="1"/>
  <c r="M690" i="1"/>
  <c r="M692" i="1"/>
  <c r="M694" i="1"/>
  <c r="M696" i="1"/>
  <c r="M698" i="1"/>
  <c r="N586" i="1"/>
  <c r="L587" i="1"/>
  <c r="N588" i="1"/>
  <c r="L589" i="1"/>
  <c r="N590" i="1"/>
  <c r="L591" i="1"/>
  <c r="N592" i="1"/>
  <c r="L593" i="1"/>
  <c r="N594" i="1"/>
  <c r="L595" i="1"/>
  <c r="N596" i="1"/>
  <c r="L597" i="1"/>
  <c r="N598" i="1"/>
  <c r="L599" i="1"/>
  <c r="N600" i="1"/>
  <c r="L601" i="1"/>
  <c r="N602" i="1"/>
  <c r="L603" i="1"/>
  <c r="N604" i="1"/>
  <c r="L605" i="1"/>
  <c r="N606" i="1"/>
  <c r="L607" i="1"/>
  <c r="N608" i="1"/>
  <c r="L609" i="1"/>
  <c r="N610" i="1"/>
  <c r="L611" i="1"/>
  <c r="N612" i="1"/>
  <c r="L613" i="1"/>
  <c r="N614" i="1"/>
  <c r="L615" i="1"/>
  <c r="N616" i="1"/>
  <c r="L617" i="1"/>
  <c r="N618" i="1"/>
  <c r="L619" i="1"/>
  <c r="N620" i="1"/>
  <c r="L621" i="1"/>
  <c r="N622" i="1"/>
  <c r="L623" i="1"/>
  <c r="N624" i="1"/>
  <c r="L625" i="1"/>
  <c r="N626" i="1"/>
  <c r="L627" i="1"/>
  <c r="N628" i="1"/>
  <c r="L629" i="1"/>
  <c r="N630" i="1"/>
  <c r="L631" i="1"/>
  <c r="N632" i="1"/>
  <c r="L633" i="1"/>
  <c r="N634" i="1"/>
  <c r="L635" i="1"/>
  <c r="N636" i="1"/>
  <c r="L637" i="1"/>
  <c r="N638" i="1"/>
  <c r="L639" i="1"/>
  <c r="N640" i="1"/>
  <c r="L641" i="1"/>
  <c r="N642" i="1"/>
  <c r="L643" i="1"/>
  <c r="N644" i="1"/>
  <c r="L645" i="1"/>
  <c r="N646" i="1"/>
  <c r="L647" i="1"/>
  <c r="N648" i="1"/>
  <c r="L649" i="1"/>
  <c r="N650" i="1"/>
  <c r="L651" i="1"/>
  <c r="N652" i="1"/>
  <c r="L653" i="1"/>
  <c r="N654" i="1"/>
  <c r="L655" i="1"/>
  <c r="N656" i="1"/>
  <c r="L657" i="1"/>
  <c r="N658" i="1"/>
  <c r="L659" i="1"/>
  <c r="N660" i="1"/>
  <c r="L661" i="1"/>
  <c r="N662" i="1"/>
  <c r="L663" i="1"/>
  <c r="N664" i="1"/>
  <c r="L665" i="1"/>
  <c r="N666" i="1"/>
  <c r="L667" i="1"/>
  <c r="N668" i="1"/>
  <c r="L669" i="1"/>
  <c r="N670" i="1"/>
  <c r="L671" i="1"/>
  <c r="N672" i="1"/>
  <c r="L673" i="1"/>
  <c r="N674" i="1"/>
  <c r="L675" i="1"/>
  <c r="N676" i="1"/>
  <c r="L677" i="1"/>
  <c r="N678" i="1"/>
  <c r="L679" i="1"/>
  <c r="N680" i="1"/>
  <c r="L681" i="1"/>
  <c r="N682" i="1"/>
  <c r="L683" i="1"/>
  <c r="N684" i="1"/>
  <c r="L685" i="1"/>
  <c r="N686" i="1"/>
  <c r="L687" i="1"/>
  <c r="N688" i="1"/>
  <c r="L689" i="1"/>
  <c r="N690" i="1"/>
  <c r="L691" i="1"/>
  <c r="N692" i="1"/>
  <c r="L693" i="1"/>
  <c r="N694" i="1"/>
  <c r="L695" i="1"/>
  <c r="N696" i="1"/>
  <c r="L697" i="1"/>
  <c r="N698" i="1"/>
  <c r="M587" i="1"/>
  <c r="M589" i="1"/>
  <c r="M591" i="1"/>
  <c r="M593" i="1"/>
  <c r="M595" i="1"/>
  <c r="M597" i="1"/>
  <c r="M599" i="1"/>
  <c r="M601" i="1"/>
  <c r="M603" i="1"/>
  <c r="M605" i="1"/>
  <c r="M607" i="1"/>
  <c r="M609" i="1"/>
  <c r="M611" i="1"/>
  <c r="M613" i="1"/>
  <c r="M615" i="1"/>
  <c r="M617" i="1"/>
  <c r="M619" i="1"/>
  <c r="M621" i="1"/>
  <c r="M623" i="1"/>
  <c r="M625" i="1"/>
  <c r="M627" i="1"/>
  <c r="M629" i="1"/>
  <c r="M631" i="1"/>
  <c r="M633" i="1"/>
  <c r="M635" i="1"/>
  <c r="M637" i="1"/>
  <c r="M639" i="1"/>
  <c r="M641" i="1"/>
  <c r="M643" i="1"/>
  <c r="M645" i="1"/>
  <c r="M647" i="1"/>
  <c r="M649" i="1"/>
  <c r="M651" i="1"/>
  <c r="M653" i="1"/>
  <c r="M655" i="1"/>
  <c r="M657" i="1"/>
  <c r="M659" i="1"/>
  <c r="M661" i="1"/>
  <c r="M663" i="1"/>
  <c r="M665" i="1"/>
  <c r="M667" i="1"/>
  <c r="M669" i="1"/>
  <c r="M671" i="1"/>
  <c r="M673" i="1"/>
  <c r="M675" i="1"/>
  <c r="M677" i="1"/>
  <c r="M679" i="1"/>
  <c r="M681" i="1"/>
  <c r="M683" i="1"/>
  <c r="M685" i="1"/>
  <c r="M687" i="1"/>
  <c r="M689" i="1"/>
  <c r="M691" i="1"/>
  <c r="M693" i="1"/>
  <c r="M695" i="1"/>
  <c r="M697" i="1"/>
  <c r="M699" i="1"/>
  <c r="L586" i="1"/>
  <c r="N587" i="1"/>
  <c r="L588" i="1"/>
  <c r="N589" i="1"/>
  <c r="L590" i="1"/>
  <c r="N591" i="1"/>
  <c r="L592" i="1"/>
  <c r="N593" i="1"/>
  <c r="L594" i="1"/>
  <c r="N595" i="1"/>
  <c r="L596" i="1"/>
  <c r="N597" i="1"/>
  <c r="L598" i="1"/>
  <c r="N599" i="1"/>
  <c r="L600" i="1"/>
  <c r="N601" i="1"/>
  <c r="L602" i="1"/>
  <c r="N603" i="1"/>
  <c r="L604" i="1"/>
  <c r="N605" i="1"/>
  <c r="L606" i="1"/>
  <c r="N607" i="1"/>
  <c r="L608" i="1"/>
  <c r="N609" i="1"/>
  <c r="L610" i="1"/>
  <c r="N611" i="1"/>
  <c r="L612" i="1"/>
  <c r="N613" i="1"/>
  <c r="L614" i="1"/>
  <c r="N615" i="1"/>
  <c r="L616" i="1"/>
  <c r="N617" i="1"/>
  <c r="L618" i="1"/>
  <c r="N619" i="1"/>
  <c r="L620" i="1"/>
  <c r="N621" i="1"/>
  <c r="L622" i="1"/>
  <c r="N623" i="1"/>
  <c r="L624" i="1"/>
  <c r="N625" i="1"/>
  <c r="L626" i="1"/>
  <c r="N627" i="1"/>
  <c r="L628" i="1"/>
  <c r="N629" i="1"/>
  <c r="L630" i="1"/>
  <c r="N631" i="1"/>
  <c r="L632" i="1"/>
  <c r="N633" i="1"/>
  <c r="L634" i="1"/>
  <c r="N635" i="1"/>
  <c r="L636" i="1"/>
  <c r="N637" i="1"/>
  <c r="L638" i="1"/>
  <c r="N639" i="1"/>
  <c r="L640" i="1"/>
  <c r="N641" i="1"/>
  <c r="L642" i="1"/>
  <c r="N643" i="1"/>
  <c r="L644" i="1"/>
  <c r="N645" i="1"/>
  <c r="L646" i="1"/>
  <c r="N647" i="1"/>
  <c r="L648" i="1"/>
  <c r="N649" i="1"/>
  <c r="L650" i="1"/>
  <c r="N651" i="1"/>
  <c r="L652" i="1"/>
  <c r="N653" i="1"/>
  <c r="L654" i="1"/>
  <c r="N655" i="1"/>
  <c r="L656" i="1"/>
  <c r="N657" i="1"/>
  <c r="L658" i="1"/>
  <c r="N659" i="1"/>
  <c r="L660" i="1"/>
  <c r="N661" i="1"/>
  <c r="L662" i="1"/>
  <c r="N663" i="1"/>
  <c r="L664" i="1"/>
  <c r="N665" i="1"/>
  <c r="L666" i="1"/>
  <c r="N667" i="1"/>
  <c r="L668" i="1"/>
  <c r="N669" i="1"/>
  <c r="L670" i="1"/>
  <c r="N671" i="1"/>
  <c r="L672" i="1"/>
  <c r="N673" i="1"/>
  <c r="L674" i="1"/>
  <c r="N675" i="1"/>
  <c r="L676" i="1"/>
  <c r="N677" i="1"/>
  <c r="L678" i="1"/>
  <c r="N679" i="1"/>
  <c r="L680" i="1"/>
  <c r="N681" i="1"/>
  <c r="L682" i="1"/>
  <c r="N683" i="1"/>
  <c r="L684" i="1"/>
  <c r="N685" i="1"/>
  <c r="L686" i="1"/>
  <c r="N687" i="1"/>
  <c r="L688" i="1"/>
  <c r="N689" i="1"/>
  <c r="L690" i="1"/>
  <c r="N691" i="1"/>
  <c r="L692" i="1"/>
  <c r="N693" i="1"/>
  <c r="L694" i="1"/>
  <c r="N695" i="1"/>
  <c r="L696" i="1"/>
  <c r="N697" i="1"/>
  <c r="L698" i="1"/>
  <c r="L699" i="1"/>
  <c r="M701" i="1"/>
  <c r="M703" i="1"/>
  <c r="M705" i="1"/>
  <c r="M707" i="1"/>
  <c r="M709" i="1"/>
  <c r="M711" i="1"/>
  <c r="M713" i="1"/>
  <c r="M715" i="1"/>
  <c r="M717" i="1"/>
  <c r="M719" i="1"/>
  <c r="M721" i="1"/>
  <c r="M723" i="1"/>
  <c r="M725" i="1"/>
  <c r="M727" i="1"/>
  <c r="M729" i="1"/>
  <c r="M731" i="1"/>
  <c r="M733" i="1"/>
  <c r="M735" i="1"/>
  <c r="M737" i="1"/>
  <c r="M739" i="1"/>
  <c r="M741" i="1"/>
  <c r="M743" i="1"/>
  <c r="M745" i="1"/>
  <c r="M747" i="1"/>
  <c r="M749" i="1"/>
  <c r="M751" i="1"/>
  <c r="M753" i="1"/>
  <c r="M755" i="1"/>
  <c r="M757" i="1"/>
  <c r="M759" i="1"/>
  <c r="N699" i="1"/>
  <c r="L700" i="1"/>
  <c r="N701" i="1"/>
  <c r="L702" i="1"/>
  <c r="N703" i="1"/>
  <c r="L704" i="1"/>
  <c r="N705" i="1"/>
  <c r="L706" i="1"/>
  <c r="N707" i="1"/>
  <c r="L708" i="1"/>
  <c r="N709" i="1"/>
  <c r="L710" i="1"/>
  <c r="N711" i="1"/>
  <c r="L712" i="1"/>
  <c r="N713" i="1"/>
  <c r="L714" i="1"/>
  <c r="N715" i="1"/>
  <c r="L716" i="1"/>
  <c r="N717" i="1"/>
  <c r="L718" i="1"/>
  <c r="N719" i="1"/>
  <c r="L720" i="1"/>
  <c r="N721" i="1"/>
  <c r="L722" i="1"/>
  <c r="N723" i="1"/>
  <c r="L724" i="1"/>
  <c r="N725" i="1"/>
  <c r="L726" i="1"/>
  <c r="N727" i="1"/>
  <c r="L728" i="1"/>
  <c r="N729" i="1"/>
  <c r="L730" i="1"/>
  <c r="N731" i="1"/>
  <c r="L732" i="1"/>
  <c r="N733" i="1"/>
  <c r="L734" i="1"/>
  <c r="N735" i="1"/>
  <c r="L736" i="1"/>
  <c r="N737" i="1"/>
  <c r="L738" i="1"/>
  <c r="N739" i="1"/>
  <c r="L740" i="1"/>
  <c r="N741" i="1"/>
  <c r="L742" i="1"/>
  <c r="N743" i="1"/>
  <c r="L744" i="1"/>
  <c r="N745" i="1"/>
  <c r="L746" i="1"/>
  <c r="N747" i="1"/>
  <c r="L748" i="1"/>
  <c r="N749" i="1"/>
  <c r="L750" i="1"/>
  <c r="N751" i="1"/>
  <c r="L752" i="1"/>
  <c r="N753" i="1"/>
  <c r="L754" i="1"/>
  <c r="N755" i="1"/>
  <c r="L756" i="1"/>
  <c r="N757" i="1"/>
  <c r="L758" i="1"/>
  <c r="N759" i="1"/>
  <c r="L760" i="1"/>
  <c r="M700" i="1"/>
  <c r="M702" i="1"/>
  <c r="M704" i="1"/>
  <c r="M706" i="1"/>
  <c r="M708" i="1"/>
  <c r="M710" i="1"/>
  <c r="M712" i="1"/>
  <c r="M714" i="1"/>
  <c r="M716" i="1"/>
  <c r="M718" i="1"/>
  <c r="M720" i="1"/>
  <c r="M722" i="1"/>
  <c r="M724" i="1"/>
  <c r="M726" i="1"/>
  <c r="M728" i="1"/>
  <c r="M730" i="1"/>
  <c r="M732" i="1"/>
  <c r="M734" i="1"/>
  <c r="M736" i="1"/>
  <c r="M738" i="1"/>
  <c r="M740" i="1"/>
  <c r="M742" i="1"/>
  <c r="M744" i="1"/>
  <c r="M746" i="1"/>
  <c r="M748" i="1"/>
  <c r="M750" i="1"/>
  <c r="M752" i="1"/>
  <c r="M754" i="1"/>
  <c r="M756" i="1"/>
  <c r="M758" i="1"/>
  <c r="M760" i="1"/>
  <c r="N700" i="1"/>
  <c r="L701" i="1"/>
  <c r="N702" i="1"/>
  <c r="L703" i="1"/>
  <c r="N704" i="1"/>
  <c r="L705" i="1"/>
  <c r="N706" i="1"/>
  <c r="L707" i="1"/>
  <c r="N708" i="1"/>
  <c r="L709" i="1"/>
  <c r="N710" i="1"/>
  <c r="L711" i="1"/>
  <c r="N712" i="1"/>
  <c r="L713" i="1"/>
  <c r="N714" i="1"/>
  <c r="L715" i="1"/>
  <c r="N716" i="1"/>
  <c r="L717" i="1"/>
  <c r="N718" i="1"/>
  <c r="L719" i="1"/>
  <c r="N720" i="1"/>
  <c r="L721" i="1"/>
  <c r="N722" i="1"/>
  <c r="L723" i="1"/>
  <c r="N724" i="1"/>
  <c r="L725" i="1"/>
  <c r="N726" i="1"/>
  <c r="L727" i="1"/>
  <c r="N728" i="1"/>
  <c r="L729" i="1"/>
  <c r="N730" i="1"/>
  <c r="L731" i="1"/>
  <c r="N732" i="1"/>
  <c r="L733" i="1"/>
  <c r="N734" i="1"/>
  <c r="L735" i="1"/>
  <c r="N736" i="1"/>
  <c r="L737" i="1"/>
  <c r="N738" i="1"/>
  <c r="L739" i="1"/>
  <c r="N740" i="1"/>
  <c r="L741" i="1"/>
  <c r="N742" i="1"/>
  <c r="L743" i="1"/>
  <c r="N744" i="1"/>
  <c r="L745" i="1"/>
  <c r="N746" i="1"/>
  <c r="L747" i="1"/>
  <c r="N748" i="1"/>
  <c r="L749" i="1"/>
  <c r="N750" i="1"/>
  <c r="L751" i="1"/>
  <c r="N752" i="1"/>
  <c r="L753" i="1"/>
  <c r="N754" i="1"/>
  <c r="L755" i="1"/>
  <c r="N756" i="1"/>
  <c r="L757" i="1"/>
  <c r="N758" i="1"/>
  <c r="L759" i="1"/>
  <c r="N760" i="1"/>
  <c r="L462" i="1"/>
  <c r="M463" i="1"/>
  <c r="N464" i="1"/>
  <c r="L466" i="1"/>
  <c r="M467" i="1"/>
  <c r="N468" i="1"/>
  <c r="L470" i="1"/>
  <c r="M471" i="1"/>
  <c r="N472" i="1"/>
  <c r="L474" i="1"/>
  <c r="M475" i="1"/>
  <c r="N476" i="1"/>
  <c r="L478" i="1"/>
  <c r="M479" i="1"/>
  <c r="N480" i="1"/>
  <c r="L482" i="1"/>
  <c r="M483" i="1"/>
  <c r="N484" i="1"/>
  <c r="L486" i="1"/>
  <c r="M487" i="1"/>
  <c r="N488" i="1"/>
  <c r="L490" i="1"/>
  <c r="M491" i="1"/>
  <c r="N492" i="1"/>
  <c r="L494" i="1"/>
  <c r="M495" i="1"/>
  <c r="N496" i="1"/>
  <c r="L498" i="1"/>
  <c r="M499" i="1"/>
  <c r="N500" i="1"/>
  <c r="L502" i="1"/>
  <c r="M503" i="1"/>
  <c r="N504" i="1"/>
  <c r="L506" i="1"/>
  <c r="M507" i="1"/>
  <c r="N508" i="1"/>
  <c r="L510" i="1"/>
  <c r="M511" i="1"/>
  <c r="N512" i="1"/>
  <c r="L514" i="1"/>
  <c r="M515" i="1"/>
  <c r="N516" i="1"/>
  <c r="L518" i="1"/>
  <c r="M519" i="1"/>
  <c r="N520" i="1"/>
  <c r="L522" i="1"/>
  <c r="M523" i="1"/>
  <c r="N524" i="1"/>
  <c r="L526" i="1"/>
  <c r="M527" i="1"/>
  <c r="N528" i="1"/>
  <c r="L530" i="1"/>
  <c r="M531" i="1"/>
  <c r="N532" i="1"/>
  <c r="L534" i="1"/>
  <c r="M535" i="1"/>
  <c r="N536" i="1"/>
  <c r="L538" i="1"/>
  <c r="M539" i="1"/>
  <c r="N540" i="1"/>
  <c r="L542" i="1"/>
  <c r="M543" i="1"/>
  <c r="N544" i="1"/>
  <c r="L546" i="1"/>
  <c r="M547" i="1"/>
  <c r="N548" i="1"/>
  <c r="L550" i="1"/>
  <c r="M551" i="1"/>
  <c r="N552" i="1"/>
  <c r="L554" i="1"/>
  <c r="M555" i="1"/>
  <c r="N556" i="1"/>
  <c r="L558" i="1"/>
  <c r="M559" i="1"/>
  <c r="N560" i="1"/>
  <c r="L562" i="1"/>
  <c r="M563" i="1"/>
  <c r="N564" i="1"/>
  <c r="L566" i="1"/>
  <c r="M567" i="1"/>
  <c r="N568" i="1"/>
  <c r="L570" i="1"/>
  <c r="M571" i="1"/>
  <c r="N572" i="1"/>
  <c r="L574" i="1"/>
  <c r="M575" i="1"/>
  <c r="N576" i="1"/>
  <c r="L578" i="1"/>
  <c r="M579" i="1"/>
  <c r="N580" i="1"/>
  <c r="L582" i="1"/>
  <c r="M583" i="1"/>
  <c r="N584" i="1"/>
  <c r="L461" i="1"/>
  <c r="M462" i="1"/>
  <c r="N463" i="1"/>
  <c r="L465" i="1"/>
  <c r="M466" i="1"/>
  <c r="N467" i="1"/>
  <c r="L469" i="1"/>
  <c r="M470" i="1"/>
  <c r="N471" i="1"/>
  <c r="L473" i="1"/>
  <c r="M474" i="1"/>
  <c r="N475" i="1"/>
  <c r="L477" i="1"/>
  <c r="M478" i="1"/>
  <c r="N479" i="1"/>
  <c r="L481" i="1"/>
  <c r="M482" i="1"/>
  <c r="N483" i="1"/>
  <c r="L485" i="1"/>
  <c r="M486" i="1"/>
  <c r="N487" i="1"/>
  <c r="L489" i="1"/>
  <c r="M490" i="1"/>
  <c r="N491" i="1"/>
  <c r="L493" i="1"/>
  <c r="M494" i="1"/>
  <c r="N495" i="1"/>
  <c r="L497" i="1"/>
  <c r="M498" i="1"/>
  <c r="N499" i="1"/>
  <c r="L501" i="1"/>
  <c r="M502" i="1"/>
  <c r="N503" i="1"/>
  <c r="L505" i="1"/>
  <c r="M506" i="1"/>
  <c r="N507" i="1"/>
  <c r="L509" i="1"/>
  <c r="M510" i="1"/>
  <c r="N511" i="1"/>
  <c r="L513" i="1"/>
  <c r="M514" i="1"/>
  <c r="N515" i="1"/>
  <c r="L517" i="1"/>
  <c r="M518" i="1"/>
  <c r="N519" i="1"/>
  <c r="L521" i="1"/>
  <c r="M522" i="1"/>
  <c r="N523" i="1"/>
  <c r="L525" i="1"/>
  <c r="M526" i="1"/>
  <c r="N527" i="1"/>
  <c r="L529" i="1"/>
  <c r="M530" i="1"/>
  <c r="N531" i="1"/>
  <c r="L533" i="1"/>
  <c r="M534" i="1"/>
  <c r="N535" i="1"/>
  <c r="L537" i="1"/>
  <c r="M538" i="1"/>
  <c r="N539" i="1"/>
  <c r="L541" i="1"/>
  <c r="M542" i="1"/>
  <c r="N543" i="1"/>
  <c r="L545" i="1"/>
  <c r="M546" i="1"/>
  <c r="N547" i="1"/>
  <c r="L549" i="1"/>
  <c r="M550" i="1"/>
  <c r="N551" i="1"/>
  <c r="L553" i="1"/>
  <c r="M554" i="1"/>
  <c r="N555" i="1"/>
  <c r="L557" i="1"/>
  <c r="M558" i="1"/>
  <c r="N559" i="1"/>
  <c r="L561" i="1"/>
  <c r="M562" i="1"/>
  <c r="N563" i="1"/>
  <c r="L565" i="1"/>
  <c r="M566" i="1"/>
  <c r="N567" i="1"/>
  <c r="L569" i="1"/>
  <c r="M570" i="1"/>
  <c r="N571" i="1"/>
  <c r="L573" i="1"/>
  <c r="M574" i="1"/>
  <c r="N575" i="1"/>
  <c r="L577" i="1"/>
  <c r="M578" i="1"/>
  <c r="N579" i="1"/>
  <c r="L581" i="1"/>
  <c r="M582" i="1"/>
  <c r="N583" i="1"/>
  <c r="L585" i="1"/>
  <c r="M461" i="1"/>
  <c r="N462" i="1"/>
  <c r="L464" i="1"/>
  <c r="M465" i="1"/>
  <c r="N466" i="1"/>
  <c r="L468" i="1"/>
  <c r="M469" i="1"/>
  <c r="N470" i="1"/>
  <c r="L472" i="1"/>
  <c r="M473" i="1"/>
  <c r="N474" i="1"/>
  <c r="L476" i="1"/>
  <c r="M477" i="1"/>
  <c r="N478" i="1"/>
  <c r="L480" i="1"/>
  <c r="M481" i="1"/>
  <c r="N482" i="1"/>
  <c r="L484" i="1"/>
  <c r="M485" i="1"/>
  <c r="N486" i="1"/>
  <c r="L488" i="1"/>
  <c r="M489" i="1"/>
  <c r="N490" i="1"/>
  <c r="L492" i="1"/>
  <c r="M493" i="1"/>
  <c r="N494" i="1"/>
  <c r="L496" i="1"/>
  <c r="M497" i="1"/>
  <c r="N498" i="1"/>
  <c r="L500" i="1"/>
  <c r="M501" i="1"/>
  <c r="N502" i="1"/>
  <c r="L504" i="1"/>
  <c r="M505" i="1"/>
  <c r="N506" i="1"/>
  <c r="L508" i="1"/>
  <c r="M509" i="1"/>
  <c r="N510" i="1"/>
  <c r="L512" i="1"/>
  <c r="M513" i="1"/>
  <c r="N514" i="1"/>
  <c r="L516" i="1"/>
  <c r="M517" i="1"/>
  <c r="N518" i="1"/>
  <c r="L520" i="1"/>
  <c r="M521" i="1"/>
  <c r="N522" i="1"/>
  <c r="L524" i="1"/>
  <c r="M525" i="1"/>
  <c r="N526" i="1"/>
  <c r="L528" i="1"/>
  <c r="M529" i="1"/>
  <c r="N530" i="1"/>
  <c r="L532" i="1"/>
  <c r="M533" i="1"/>
  <c r="N534" i="1"/>
  <c r="L536" i="1"/>
  <c r="M537" i="1"/>
  <c r="N538" i="1"/>
  <c r="L540" i="1"/>
  <c r="M541" i="1"/>
  <c r="N542" i="1"/>
  <c r="L544" i="1"/>
  <c r="M545" i="1"/>
  <c r="N546" i="1"/>
  <c r="L548" i="1"/>
  <c r="M549" i="1"/>
  <c r="N550" i="1"/>
  <c r="L552" i="1"/>
  <c r="M553" i="1"/>
  <c r="N554" i="1"/>
  <c r="L556" i="1"/>
  <c r="M557" i="1"/>
  <c r="N558" i="1"/>
  <c r="L560" i="1"/>
  <c r="M561" i="1"/>
  <c r="N562" i="1"/>
  <c r="L564" i="1"/>
  <c r="M565" i="1"/>
  <c r="N566" i="1"/>
  <c r="L568" i="1"/>
  <c r="M569" i="1"/>
  <c r="N570" i="1"/>
  <c r="L572" i="1"/>
  <c r="M573" i="1"/>
  <c r="N574" i="1"/>
  <c r="L576" i="1"/>
  <c r="M577" i="1"/>
  <c r="N578" i="1"/>
  <c r="L580" i="1"/>
  <c r="M581" i="1"/>
  <c r="N582" i="1"/>
  <c r="L584" i="1"/>
  <c r="M585" i="1"/>
  <c r="N461" i="1"/>
  <c r="L463" i="1"/>
  <c r="M464" i="1"/>
  <c r="N465" i="1"/>
  <c r="L467" i="1"/>
  <c r="M468" i="1"/>
  <c r="N469" i="1"/>
  <c r="L471" i="1"/>
  <c r="M472" i="1"/>
  <c r="N473" i="1"/>
  <c r="L475" i="1"/>
  <c r="M476" i="1"/>
  <c r="N477" i="1"/>
  <c r="L479" i="1"/>
  <c r="M480" i="1"/>
  <c r="N481" i="1"/>
  <c r="L483" i="1"/>
  <c r="M484" i="1"/>
  <c r="N485" i="1"/>
  <c r="L487" i="1"/>
  <c r="M488" i="1"/>
  <c r="N489" i="1"/>
  <c r="L491" i="1"/>
  <c r="M492" i="1"/>
  <c r="N493" i="1"/>
  <c r="L495" i="1"/>
  <c r="M496" i="1"/>
  <c r="N497" i="1"/>
  <c r="L499" i="1"/>
  <c r="M500" i="1"/>
  <c r="N501" i="1"/>
  <c r="L503" i="1"/>
  <c r="M504" i="1"/>
  <c r="N505" i="1"/>
  <c r="L507" i="1"/>
  <c r="M508" i="1"/>
  <c r="N509" i="1"/>
  <c r="L511" i="1"/>
  <c r="M512" i="1"/>
  <c r="N513" i="1"/>
  <c r="L515" i="1"/>
  <c r="M516" i="1"/>
  <c r="N517" i="1"/>
  <c r="L519" i="1"/>
  <c r="M520" i="1"/>
  <c r="N521" i="1"/>
  <c r="L523" i="1"/>
  <c r="M524" i="1"/>
  <c r="N525" i="1"/>
  <c r="L527" i="1"/>
  <c r="M528" i="1"/>
  <c r="N529" i="1"/>
  <c r="L531" i="1"/>
  <c r="M532" i="1"/>
  <c r="N533" i="1"/>
  <c r="L535" i="1"/>
  <c r="M536" i="1"/>
  <c r="N537" i="1"/>
  <c r="L539" i="1"/>
  <c r="M540" i="1"/>
  <c r="N541" i="1"/>
  <c r="L543" i="1"/>
  <c r="M544" i="1"/>
  <c r="N545" i="1"/>
  <c r="L547" i="1"/>
  <c r="M548" i="1"/>
  <c r="N549" i="1"/>
  <c r="L551" i="1"/>
  <c r="M552" i="1"/>
  <c r="N553" i="1"/>
  <c r="L555" i="1"/>
  <c r="M556" i="1"/>
  <c r="N557" i="1"/>
  <c r="L559" i="1"/>
  <c r="M560" i="1"/>
  <c r="N561" i="1"/>
  <c r="L563" i="1"/>
  <c r="M564" i="1"/>
  <c r="N565" i="1"/>
  <c r="L567" i="1"/>
  <c r="M568" i="1"/>
  <c r="N569" i="1"/>
  <c r="L571" i="1"/>
  <c r="M572" i="1"/>
  <c r="N573" i="1"/>
  <c r="L575" i="1"/>
  <c r="M576" i="1"/>
  <c r="N577" i="1"/>
  <c r="L579" i="1"/>
  <c r="M580" i="1"/>
  <c r="N581" i="1"/>
  <c r="L583" i="1"/>
  <c r="M584" i="1"/>
  <c r="N585" i="1"/>
  <c r="L228" i="1"/>
  <c r="M229" i="1"/>
  <c r="N230" i="1"/>
  <c r="L232" i="1"/>
  <c r="M233" i="1"/>
  <c r="N234" i="1"/>
  <c r="L236" i="1"/>
  <c r="M237" i="1"/>
  <c r="N238" i="1"/>
  <c r="L240" i="1"/>
  <c r="M241" i="1"/>
  <c r="N242" i="1"/>
  <c r="L244" i="1"/>
  <c r="M245" i="1"/>
  <c r="N246" i="1"/>
  <c r="L248" i="1"/>
  <c r="M249" i="1"/>
  <c r="N250" i="1"/>
  <c r="L252" i="1"/>
  <c r="M253" i="1"/>
  <c r="N254" i="1"/>
  <c r="L256" i="1"/>
  <c r="M257" i="1"/>
  <c r="N258" i="1"/>
  <c r="L260" i="1"/>
  <c r="M261" i="1"/>
  <c r="N262" i="1"/>
  <c r="L264" i="1"/>
  <c r="M265" i="1"/>
  <c r="N266" i="1"/>
  <c r="L268" i="1"/>
  <c r="M269" i="1"/>
  <c r="N270" i="1"/>
  <c r="L272" i="1"/>
  <c r="M273" i="1"/>
  <c r="N274" i="1"/>
  <c r="L276" i="1"/>
  <c r="M277" i="1"/>
  <c r="N278" i="1"/>
  <c r="L280" i="1"/>
  <c r="M281" i="1"/>
  <c r="N282" i="1"/>
  <c r="L284" i="1"/>
  <c r="M285" i="1"/>
  <c r="N286" i="1"/>
  <c r="L288" i="1"/>
  <c r="M289" i="1"/>
  <c r="N290" i="1"/>
  <c r="L292" i="1"/>
  <c r="M293" i="1"/>
  <c r="N294" i="1"/>
  <c r="L296" i="1"/>
  <c r="M297" i="1"/>
  <c r="N298" i="1"/>
  <c r="L300" i="1"/>
  <c r="M301" i="1"/>
  <c r="N302" i="1"/>
  <c r="L304" i="1"/>
  <c r="M305" i="1"/>
  <c r="N306" i="1"/>
  <c r="L308" i="1"/>
  <c r="M309" i="1"/>
  <c r="N310" i="1"/>
  <c r="L312" i="1"/>
  <c r="M313" i="1"/>
  <c r="N314" i="1"/>
  <c r="L316" i="1"/>
  <c r="M317" i="1"/>
  <c r="N318" i="1"/>
  <c r="L320" i="1"/>
  <c r="M321" i="1"/>
  <c r="N322" i="1"/>
  <c r="L324" i="1"/>
  <c r="M325" i="1"/>
  <c r="N326" i="1"/>
  <c r="L328" i="1"/>
  <c r="M329" i="1"/>
  <c r="N330" i="1"/>
  <c r="L332" i="1"/>
  <c r="M333" i="1"/>
  <c r="N334" i="1"/>
  <c r="L336" i="1"/>
  <c r="M337" i="1"/>
  <c r="N338" i="1"/>
  <c r="L340" i="1"/>
  <c r="M341" i="1"/>
  <c r="N342" i="1"/>
  <c r="L344" i="1"/>
  <c r="M345" i="1"/>
  <c r="N346" i="1"/>
  <c r="L348" i="1"/>
  <c r="M349" i="1"/>
  <c r="N350" i="1"/>
  <c r="L352" i="1"/>
  <c r="M353" i="1"/>
  <c r="N354" i="1"/>
  <c r="L356" i="1"/>
  <c r="M357" i="1"/>
  <c r="N358" i="1"/>
  <c r="L360" i="1"/>
  <c r="M361" i="1"/>
  <c r="N362" i="1"/>
  <c r="L364" i="1"/>
  <c r="M365" i="1"/>
  <c r="N366" i="1"/>
  <c r="L368" i="1"/>
  <c r="M369" i="1"/>
  <c r="N370" i="1"/>
  <c r="L372" i="1"/>
  <c r="M373" i="1"/>
  <c r="N374" i="1"/>
  <c r="L376" i="1"/>
  <c r="M377" i="1"/>
  <c r="N378" i="1"/>
  <c r="L380" i="1"/>
  <c r="M381" i="1"/>
  <c r="N382" i="1"/>
  <c r="L384" i="1"/>
  <c r="M385" i="1"/>
  <c r="N386" i="1"/>
  <c r="L388" i="1"/>
  <c r="M389" i="1"/>
  <c r="N390" i="1"/>
  <c r="L392" i="1"/>
  <c r="M393" i="1"/>
  <c r="N394" i="1"/>
  <c r="L396" i="1"/>
  <c r="M397" i="1"/>
  <c r="N398" i="1"/>
  <c r="L400" i="1"/>
  <c r="M401" i="1"/>
  <c r="N402" i="1"/>
  <c r="L404" i="1"/>
  <c r="M405" i="1"/>
  <c r="N406" i="1"/>
  <c r="L408" i="1"/>
  <c r="M409" i="1"/>
  <c r="N410" i="1"/>
  <c r="L412" i="1"/>
  <c r="M413" i="1"/>
  <c r="N414" i="1"/>
  <c r="L416" i="1"/>
  <c r="M417" i="1"/>
  <c r="N418" i="1"/>
  <c r="L420" i="1"/>
  <c r="M421" i="1"/>
  <c r="N422" i="1"/>
  <c r="L424" i="1"/>
  <c r="M425" i="1"/>
  <c r="N426" i="1"/>
  <c r="L428" i="1"/>
  <c r="M429" i="1"/>
  <c r="N430" i="1"/>
  <c r="L432" i="1"/>
  <c r="M433" i="1"/>
  <c r="N434" i="1"/>
  <c r="L436" i="1"/>
  <c r="M437" i="1"/>
  <c r="N438" i="1"/>
  <c r="L440" i="1"/>
  <c r="M441" i="1"/>
  <c r="N442" i="1"/>
  <c r="L444" i="1"/>
  <c r="M445" i="1"/>
  <c r="N446" i="1"/>
  <c r="L448" i="1"/>
  <c r="M449" i="1"/>
  <c r="N450" i="1"/>
  <c r="L452" i="1"/>
  <c r="M453" i="1"/>
  <c r="N454" i="1"/>
  <c r="L456" i="1"/>
  <c r="M457" i="1"/>
  <c r="N458" i="1"/>
  <c r="L460" i="1"/>
  <c r="L231" i="1"/>
  <c r="M232" i="1"/>
  <c r="N233" i="1"/>
  <c r="L235" i="1"/>
  <c r="M236" i="1"/>
  <c r="N237" i="1"/>
  <c r="L239" i="1"/>
  <c r="M240" i="1"/>
  <c r="N241" i="1"/>
  <c r="L243" i="1"/>
  <c r="M244" i="1"/>
  <c r="N245" i="1"/>
  <c r="L247" i="1"/>
  <c r="M248" i="1"/>
  <c r="N249" i="1"/>
  <c r="L251" i="1"/>
  <c r="M252" i="1"/>
  <c r="N253" i="1"/>
  <c r="L255" i="1"/>
  <c r="M256" i="1"/>
  <c r="N257" i="1"/>
  <c r="L259" i="1"/>
  <c r="M260" i="1"/>
  <c r="N261" i="1"/>
  <c r="L263" i="1"/>
  <c r="M264" i="1"/>
  <c r="N265" i="1"/>
  <c r="L267" i="1"/>
  <c r="M268" i="1"/>
  <c r="N269" i="1"/>
  <c r="L271" i="1"/>
  <c r="M272" i="1"/>
  <c r="N273" i="1"/>
  <c r="L275" i="1"/>
  <c r="M276" i="1"/>
  <c r="N277" i="1"/>
  <c r="L279" i="1"/>
  <c r="M280" i="1"/>
  <c r="N281" i="1"/>
  <c r="L283" i="1"/>
  <c r="M284" i="1"/>
  <c r="N285" i="1"/>
  <c r="L287" i="1"/>
  <c r="M288" i="1"/>
  <c r="N289" i="1"/>
  <c r="L291" i="1"/>
  <c r="M292" i="1"/>
  <c r="N293" i="1"/>
  <c r="L295" i="1"/>
  <c r="M296" i="1"/>
  <c r="N297" i="1"/>
  <c r="L299" i="1"/>
  <c r="M300" i="1"/>
  <c r="N301" i="1"/>
  <c r="L303" i="1"/>
  <c r="M304" i="1"/>
  <c r="N305" i="1"/>
  <c r="L307" i="1"/>
  <c r="M308" i="1"/>
  <c r="N309" i="1"/>
  <c r="L311" i="1"/>
  <c r="M312" i="1"/>
  <c r="N313" i="1"/>
  <c r="L315" i="1"/>
  <c r="M316" i="1"/>
  <c r="N317" i="1"/>
  <c r="L319" i="1"/>
  <c r="M320" i="1"/>
  <c r="N321" i="1"/>
  <c r="L323" i="1"/>
  <c r="M324" i="1"/>
  <c r="N325" i="1"/>
  <c r="L327" i="1"/>
  <c r="M328" i="1"/>
  <c r="N329" i="1"/>
  <c r="L331" i="1"/>
  <c r="M332" i="1"/>
  <c r="N333" i="1"/>
  <c r="L335" i="1"/>
  <c r="M336" i="1"/>
  <c r="N337" i="1"/>
  <c r="L339" i="1"/>
  <c r="M340" i="1"/>
  <c r="N341" i="1"/>
  <c r="L343" i="1"/>
  <c r="M344" i="1"/>
  <c r="N345" i="1"/>
  <c r="N349" i="1"/>
  <c r="L351" i="1"/>
  <c r="M352" i="1"/>
  <c r="N353" i="1"/>
  <c r="L355" i="1"/>
  <c r="L359" i="1"/>
  <c r="N361" i="1"/>
  <c r="N369" i="1"/>
  <c r="L379" i="1"/>
  <c r="M380" i="1"/>
  <c r="L383" i="1"/>
  <c r="M384" i="1"/>
  <c r="L387" i="1"/>
  <c r="M388" i="1"/>
  <c r="N389" i="1"/>
  <c r="L399" i="1"/>
  <c r="M400" i="1"/>
  <c r="N401" i="1"/>
  <c r="L411" i="1"/>
  <c r="M412" i="1"/>
  <c r="L415" i="1"/>
  <c r="M416" i="1"/>
  <c r="L419" i="1"/>
  <c r="M420" i="1"/>
  <c r="L423" i="1"/>
  <c r="M424" i="1"/>
  <c r="N425" i="1"/>
  <c r="N433" i="1"/>
  <c r="L443" i="1"/>
  <c r="M444" i="1"/>
  <c r="L447" i="1"/>
  <c r="M448" i="1"/>
  <c r="L451" i="1"/>
  <c r="M452" i="1"/>
  <c r="L455" i="1"/>
  <c r="M456" i="1"/>
  <c r="N457" i="1"/>
  <c r="M228" i="1"/>
  <c r="N229" i="1"/>
  <c r="N228" i="1"/>
  <c r="L230" i="1"/>
  <c r="M231" i="1"/>
  <c r="N232" i="1"/>
  <c r="L234" i="1"/>
  <c r="M235" i="1"/>
  <c r="N236" i="1"/>
  <c r="L238" i="1"/>
  <c r="M239" i="1"/>
  <c r="N240" i="1"/>
  <c r="L242" i="1"/>
  <c r="M243" i="1"/>
  <c r="N244" i="1"/>
  <c r="L246" i="1"/>
  <c r="M247" i="1"/>
  <c r="N248" i="1"/>
  <c r="L250" i="1"/>
  <c r="M251" i="1"/>
  <c r="N252" i="1"/>
  <c r="L254" i="1"/>
  <c r="M255" i="1"/>
  <c r="N256" i="1"/>
  <c r="L258" i="1"/>
  <c r="M259" i="1"/>
  <c r="N260" i="1"/>
  <c r="L262" i="1"/>
  <c r="M263" i="1"/>
  <c r="N264" i="1"/>
  <c r="L266" i="1"/>
  <c r="M267" i="1"/>
  <c r="N268" i="1"/>
  <c r="L270" i="1"/>
  <c r="M271" i="1"/>
  <c r="N272" i="1"/>
  <c r="L274" i="1"/>
  <c r="M275" i="1"/>
  <c r="N276" i="1"/>
  <c r="L278" i="1"/>
  <c r="M279" i="1"/>
  <c r="N280" i="1"/>
  <c r="L282" i="1"/>
  <c r="M283" i="1"/>
  <c r="N284" i="1"/>
  <c r="L286" i="1"/>
  <c r="M287" i="1"/>
  <c r="N288" i="1"/>
  <c r="L290" i="1"/>
  <c r="M291" i="1"/>
  <c r="N292" i="1"/>
  <c r="L294" i="1"/>
  <c r="M295" i="1"/>
  <c r="N296" i="1"/>
  <c r="L298" i="1"/>
  <c r="M299" i="1"/>
  <c r="N300" i="1"/>
  <c r="L302" i="1"/>
  <c r="M303" i="1"/>
  <c r="N304" i="1"/>
  <c r="L306" i="1"/>
  <c r="M307" i="1"/>
  <c r="N308" i="1"/>
  <c r="L310" i="1"/>
  <c r="M311" i="1"/>
  <c r="N312" i="1"/>
  <c r="L314" i="1"/>
  <c r="M315" i="1"/>
  <c r="N316" i="1"/>
  <c r="L318" i="1"/>
  <c r="M319" i="1"/>
  <c r="N320" i="1"/>
  <c r="L322" i="1"/>
  <c r="M323" i="1"/>
  <c r="N324" i="1"/>
  <c r="L326" i="1"/>
  <c r="M327" i="1"/>
  <c r="N328" i="1"/>
  <c r="L330" i="1"/>
  <c r="M331" i="1"/>
  <c r="N332" i="1"/>
  <c r="L334" i="1"/>
  <c r="M335" i="1"/>
  <c r="N336" i="1"/>
  <c r="L338" i="1"/>
  <c r="M339" i="1"/>
  <c r="N340" i="1"/>
  <c r="L342" i="1"/>
  <c r="M343" i="1"/>
  <c r="N344" i="1"/>
  <c r="L346" i="1"/>
  <c r="M347" i="1"/>
  <c r="N348" i="1"/>
  <c r="L350" i="1"/>
  <c r="M351" i="1"/>
  <c r="N352" i="1"/>
  <c r="L354" i="1"/>
  <c r="M355" i="1"/>
  <c r="N356" i="1"/>
  <c r="L358" i="1"/>
  <c r="M359" i="1"/>
  <c r="N360" i="1"/>
  <c r="L362" i="1"/>
  <c r="M363" i="1"/>
  <c r="N364" i="1"/>
  <c r="L366" i="1"/>
  <c r="M367" i="1"/>
  <c r="N368" i="1"/>
  <c r="L370" i="1"/>
  <c r="M371" i="1"/>
  <c r="N372" i="1"/>
  <c r="L374" i="1"/>
  <c r="M375" i="1"/>
  <c r="N376" i="1"/>
  <c r="L378" i="1"/>
  <c r="M379" i="1"/>
  <c r="N380" i="1"/>
  <c r="L382" i="1"/>
  <c r="M383" i="1"/>
  <c r="N384" i="1"/>
  <c r="L386" i="1"/>
  <c r="M387" i="1"/>
  <c r="N388" i="1"/>
  <c r="L390" i="1"/>
  <c r="M391" i="1"/>
  <c r="N392" i="1"/>
  <c r="L394" i="1"/>
  <c r="M395" i="1"/>
  <c r="N396" i="1"/>
  <c r="L398" i="1"/>
  <c r="M399" i="1"/>
  <c r="N400" i="1"/>
  <c r="L402" i="1"/>
  <c r="M403" i="1"/>
  <c r="N404" i="1"/>
  <c r="L406" i="1"/>
  <c r="M407" i="1"/>
  <c r="N408" i="1"/>
  <c r="L410" i="1"/>
  <c r="M411" i="1"/>
  <c r="N412" i="1"/>
  <c r="L414" i="1"/>
  <c r="M415" i="1"/>
  <c r="N416" i="1"/>
  <c r="L418" i="1"/>
  <c r="M419" i="1"/>
  <c r="N420" i="1"/>
  <c r="L422" i="1"/>
  <c r="M423" i="1"/>
  <c r="N424" i="1"/>
  <c r="L426" i="1"/>
  <c r="M427" i="1"/>
  <c r="N428" i="1"/>
  <c r="L430" i="1"/>
  <c r="M431" i="1"/>
  <c r="N432" i="1"/>
  <c r="L434" i="1"/>
  <c r="M435" i="1"/>
  <c r="N436" i="1"/>
  <c r="L438" i="1"/>
  <c r="M439" i="1"/>
  <c r="N440" i="1"/>
  <c r="L442" i="1"/>
  <c r="M443" i="1"/>
  <c r="N444" i="1"/>
  <c r="L446" i="1"/>
  <c r="M447" i="1"/>
  <c r="N448" i="1"/>
  <c r="L450" i="1"/>
  <c r="M451" i="1"/>
  <c r="N452" i="1"/>
  <c r="L454" i="1"/>
  <c r="M455" i="1"/>
  <c r="N456" i="1"/>
  <c r="L458" i="1"/>
  <c r="M459" i="1"/>
  <c r="N460" i="1"/>
  <c r="M348" i="1"/>
  <c r="M356" i="1"/>
  <c r="M360" i="1"/>
  <c r="L363" i="1"/>
  <c r="M364" i="1"/>
  <c r="N365" i="1"/>
  <c r="N373" i="1"/>
  <c r="N381" i="1"/>
  <c r="L391" i="1"/>
  <c r="M392" i="1"/>
  <c r="L395" i="1"/>
  <c r="M396" i="1"/>
  <c r="N397" i="1"/>
  <c r="L407" i="1"/>
  <c r="M408" i="1"/>
  <c r="N409" i="1"/>
  <c r="N417" i="1"/>
  <c r="L427" i="1"/>
  <c r="M428" i="1"/>
  <c r="L431" i="1"/>
  <c r="M432" i="1"/>
  <c r="L435" i="1"/>
  <c r="M436" i="1"/>
  <c r="L439" i="1"/>
  <c r="M440" i="1"/>
  <c r="N441" i="1"/>
  <c r="N449" i="1"/>
  <c r="L459" i="1"/>
  <c r="M460" i="1"/>
  <c r="L229" i="1"/>
  <c r="M230" i="1"/>
  <c r="N231" i="1"/>
  <c r="L233" i="1"/>
  <c r="M234" i="1"/>
  <c r="N235" i="1"/>
  <c r="L237" i="1"/>
  <c r="M238" i="1"/>
  <c r="N239" i="1"/>
  <c r="L241" i="1"/>
  <c r="M242" i="1"/>
  <c r="N243" i="1"/>
  <c r="L245" i="1"/>
  <c r="M246" i="1"/>
  <c r="N247" i="1"/>
  <c r="L249" i="1"/>
  <c r="M250" i="1"/>
  <c r="N251" i="1"/>
  <c r="L253" i="1"/>
  <c r="M254" i="1"/>
  <c r="N255" i="1"/>
  <c r="L257" i="1"/>
  <c r="M258" i="1"/>
  <c r="N259" i="1"/>
  <c r="L261" i="1"/>
  <c r="M262" i="1"/>
  <c r="N263" i="1"/>
  <c r="L265" i="1"/>
  <c r="M266" i="1"/>
  <c r="N267" i="1"/>
  <c r="L269" i="1"/>
  <c r="M270" i="1"/>
  <c r="N271" i="1"/>
  <c r="L273" i="1"/>
  <c r="M274" i="1"/>
  <c r="N275" i="1"/>
  <c r="L277" i="1"/>
  <c r="M278" i="1"/>
  <c r="N279" i="1"/>
  <c r="L281" i="1"/>
  <c r="M282" i="1"/>
  <c r="N283" i="1"/>
  <c r="L285" i="1"/>
  <c r="M286" i="1"/>
  <c r="N287" i="1"/>
  <c r="L289" i="1"/>
  <c r="M290" i="1"/>
  <c r="N291" i="1"/>
  <c r="L293" i="1"/>
  <c r="M294" i="1"/>
  <c r="N295" i="1"/>
  <c r="L297" i="1"/>
  <c r="M298" i="1"/>
  <c r="N299" i="1"/>
  <c r="L301" i="1"/>
  <c r="M302" i="1"/>
  <c r="N303" i="1"/>
  <c r="L305" i="1"/>
  <c r="M306" i="1"/>
  <c r="N307" i="1"/>
  <c r="L309" i="1"/>
  <c r="M310" i="1"/>
  <c r="N311" i="1"/>
  <c r="L313" i="1"/>
  <c r="M314" i="1"/>
  <c r="N315" i="1"/>
  <c r="L317" i="1"/>
  <c r="M318" i="1"/>
  <c r="N319" i="1"/>
  <c r="L321" i="1"/>
  <c r="M322" i="1"/>
  <c r="N323" i="1"/>
  <c r="L325" i="1"/>
  <c r="M326" i="1"/>
  <c r="N327" i="1"/>
  <c r="L329" i="1"/>
  <c r="M330" i="1"/>
  <c r="N331" i="1"/>
  <c r="L333" i="1"/>
  <c r="M334" i="1"/>
  <c r="N335" i="1"/>
  <c r="L337" i="1"/>
  <c r="M338" i="1"/>
  <c r="N339" i="1"/>
  <c r="L341" i="1"/>
  <c r="M342" i="1"/>
  <c r="N343" i="1"/>
  <c r="L345" i="1"/>
  <c r="M346" i="1"/>
  <c r="N347" i="1"/>
  <c r="L349" i="1"/>
  <c r="M350" i="1"/>
  <c r="N351" i="1"/>
  <c r="L353" i="1"/>
  <c r="M354" i="1"/>
  <c r="N355" i="1"/>
  <c r="L357" i="1"/>
  <c r="M358" i="1"/>
  <c r="N359" i="1"/>
  <c r="L361" i="1"/>
  <c r="M362" i="1"/>
  <c r="N363" i="1"/>
  <c r="L365" i="1"/>
  <c r="M366" i="1"/>
  <c r="N367" i="1"/>
  <c r="L369" i="1"/>
  <c r="M370" i="1"/>
  <c r="N371" i="1"/>
  <c r="L373" i="1"/>
  <c r="M374" i="1"/>
  <c r="N375" i="1"/>
  <c r="L377" i="1"/>
  <c r="M378" i="1"/>
  <c r="N379" i="1"/>
  <c r="L381" i="1"/>
  <c r="M382" i="1"/>
  <c r="N383" i="1"/>
  <c r="L385" i="1"/>
  <c r="M386" i="1"/>
  <c r="N387" i="1"/>
  <c r="L389" i="1"/>
  <c r="M390" i="1"/>
  <c r="N391" i="1"/>
  <c r="L393" i="1"/>
  <c r="M394" i="1"/>
  <c r="N395" i="1"/>
  <c r="L397" i="1"/>
  <c r="M398" i="1"/>
  <c r="N399" i="1"/>
  <c r="L401" i="1"/>
  <c r="M402" i="1"/>
  <c r="N403" i="1"/>
  <c r="L405" i="1"/>
  <c r="M406" i="1"/>
  <c r="N407" i="1"/>
  <c r="L409" i="1"/>
  <c r="M410" i="1"/>
  <c r="N411" i="1"/>
  <c r="L413" i="1"/>
  <c r="M414" i="1"/>
  <c r="N415" i="1"/>
  <c r="L417" i="1"/>
  <c r="M418" i="1"/>
  <c r="N419" i="1"/>
  <c r="L421" i="1"/>
  <c r="M422" i="1"/>
  <c r="N423" i="1"/>
  <c r="L425" i="1"/>
  <c r="M426" i="1"/>
  <c r="N427" i="1"/>
  <c r="L429" i="1"/>
  <c r="M430" i="1"/>
  <c r="N431" i="1"/>
  <c r="L433" i="1"/>
  <c r="M434" i="1"/>
  <c r="N435" i="1"/>
  <c r="L437" i="1"/>
  <c r="M438" i="1"/>
  <c r="N439" i="1"/>
  <c r="L441" i="1"/>
  <c r="M442" i="1"/>
  <c r="N443" i="1"/>
  <c r="L445" i="1"/>
  <c r="M446" i="1"/>
  <c r="N447" i="1"/>
  <c r="L449" i="1"/>
  <c r="M450" i="1"/>
  <c r="N451" i="1"/>
  <c r="L453" i="1"/>
  <c r="M454" i="1"/>
  <c r="N455" i="1"/>
  <c r="L457" i="1"/>
  <c r="M458" i="1"/>
  <c r="N459" i="1"/>
  <c r="L347" i="1"/>
  <c r="N357" i="1"/>
  <c r="L367" i="1"/>
  <c r="M368" i="1"/>
  <c r="L371" i="1"/>
  <c r="M372" i="1"/>
  <c r="L375" i="1"/>
  <c r="M376" i="1"/>
  <c r="N377" i="1"/>
  <c r="N385" i="1"/>
  <c r="N393" i="1"/>
  <c r="L403" i="1"/>
  <c r="M404" i="1"/>
  <c r="N405" i="1"/>
  <c r="N413" i="1"/>
  <c r="N421" i="1"/>
  <c r="N429" i="1"/>
  <c r="N437" i="1"/>
  <c r="N445" i="1"/>
  <c r="N453" i="1"/>
  <c r="L79" i="1"/>
  <c r="L83" i="1"/>
  <c r="L80" i="1"/>
  <c r="L84" i="1"/>
  <c r="N112" i="4" s="1"/>
  <c r="L88" i="1"/>
  <c r="L85" i="1"/>
  <c r="L81" i="1"/>
  <c r="N107" i="4" s="1"/>
  <c r="L82" i="1"/>
  <c r="L86" i="1"/>
  <c r="L90" i="1"/>
  <c r="N123" i="4" s="1"/>
  <c r="L87" i="1"/>
  <c r="L89" i="1"/>
  <c r="L108" i="1"/>
  <c r="M109" i="1"/>
  <c r="N110" i="1"/>
  <c r="L112" i="1"/>
  <c r="M113" i="1"/>
  <c r="N114" i="1"/>
  <c r="L116" i="1"/>
  <c r="M117" i="1"/>
  <c r="N118" i="1"/>
  <c r="L120" i="1"/>
  <c r="M121" i="1"/>
  <c r="N122" i="1"/>
  <c r="L124" i="1"/>
  <c r="M125" i="1"/>
  <c r="N126" i="1"/>
  <c r="L128" i="1"/>
  <c r="M129" i="1"/>
  <c r="N130" i="1"/>
  <c r="L132" i="1"/>
  <c r="M133" i="1"/>
  <c r="N134" i="1"/>
  <c r="L136" i="1"/>
  <c r="M137" i="1"/>
  <c r="N138" i="1"/>
  <c r="L140" i="1"/>
  <c r="M141" i="1"/>
  <c r="N142" i="1"/>
  <c r="L144" i="1"/>
  <c r="M145" i="1"/>
  <c r="N146" i="1"/>
  <c r="L148" i="1"/>
  <c r="M149" i="1"/>
  <c r="N150" i="1"/>
  <c r="L152" i="1"/>
  <c r="M153" i="1"/>
  <c r="N154" i="1"/>
  <c r="L156" i="1"/>
  <c r="M157" i="1"/>
  <c r="N158" i="1"/>
  <c r="L160" i="1"/>
  <c r="M161" i="1"/>
  <c r="N162" i="1"/>
  <c r="L164" i="1"/>
  <c r="M165" i="1"/>
  <c r="N166" i="1"/>
  <c r="L168" i="1"/>
  <c r="M169" i="1"/>
  <c r="N170" i="1"/>
  <c r="L172" i="1"/>
  <c r="M173" i="1"/>
  <c r="N174" i="1"/>
  <c r="L176" i="1"/>
  <c r="M177" i="1"/>
  <c r="N178" i="1"/>
  <c r="L180" i="1"/>
  <c r="M181" i="1"/>
  <c r="N182" i="1"/>
  <c r="L184" i="1"/>
  <c r="M185" i="1"/>
  <c r="N186" i="1"/>
  <c r="L188" i="1"/>
  <c r="M189" i="1"/>
  <c r="N190" i="1"/>
  <c r="L192" i="1"/>
  <c r="M193" i="1"/>
  <c r="N194" i="1"/>
  <c r="L196" i="1"/>
  <c r="M197" i="1"/>
  <c r="N198" i="1"/>
  <c r="L200" i="1"/>
  <c r="M201" i="1"/>
  <c r="N202" i="1"/>
  <c r="L204" i="1"/>
  <c r="M205" i="1"/>
  <c r="N206" i="1"/>
  <c r="L208" i="1"/>
  <c r="M209" i="1"/>
  <c r="N210" i="1"/>
  <c r="L212" i="1"/>
  <c r="M213" i="1"/>
  <c r="N214" i="1"/>
  <c r="L216" i="1"/>
  <c r="M217" i="1"/>
  <c r="N218" i="1"/>
  <c r="L220" i="1"/>
  <c r="M108" i="1"/>
  <c r="N109" i="1"/>
  <c r="L111" i="1"/>
  <c r="M112" i="1"/>
  <c r="N113" i="1"/>
  <c r="L115" i="1"/>
  <c r="M116" i="1"/>
  <c r="N117" i="1"/>
  <c r="L119" i="1"/>
  <c r="M120" i="1"/>
  <c r="N121" i="1"/>
  <c r="L123" i="1"/>
  <c r="M124" i="1"/>
  <c r="N125" i="1"/>
  <c r="L127" i="1"/>
  <c r="M128" i="1"/>
  <c r="N129" i="1"/>
  <c r="L131" i="1"/>
  <c r="M132" i="1"/>
  <c r="N133" i="1"/>
  <c r="L135" i="1"/>
  <c r="M136" i="1"/>
  <c r="N137" i="1"/>
  <c r="L139" i="1"/>
  <c r="M140" i="1"/>
  <c r="N141" i="1"/>
  <c r="L143" i="1"/>
  <c r="M144" i="1"/>
  <c r="N145" i="1"/>
  <c r="L147" i="1"/>
  <c r="M148" i="1"/>
  <c r="N149" i="1"/>
  <c r="L151" i="1"/>
  <c r="M152" i="1"/>
  <c r="N153" i="1"/>
  <c r="L155" i="1"/>
  <c r="M156" i="1"/>
  <c r="N157" i="1"/>
  <c r="L159" i="1"/>
  <c r="M160" i="1"/>
  <c r="N161" i="1"/>
  <c r="L163" i="1"/>
  <c r="M164" i="1"/>
  <c r="N165" i="1"/>
  <c r="L167" i="1"/>
  <c r="M168" i="1"/>
  <c r="N169" i="1"/>
  <c r="L171" i="1"/>
  <c r="M172" i="1"/>
  <c r="N173" i="1"/>
  <c r="L175" i="1"/>
  <c r="M176" i="1"/>
  <c r="N177" i="1"/>
  <c r="L179" i="1"/>
  <c r="M180" i="1"/>
  <c r="N181" i="1"/>
  <c r="L183" i="1"/>
  <c r="M184" i="1"/>
  <c r="N185" i="1"/>
  <c r="L187" i="1"/>
  <c r="M188" i="1"/>
  <c r="N189" i="1"/>
  <c r="L191" i="1"/>
  <c r="M192" i="1"/>
  <c r="N193" i="1"/>
  <c r="L195" i="1"/>
  <c r="M196" i="1"/>
  <c r="N197" i="1"/>
  <c r="L199" i="1"/>
  <c r="M200" i="1"/>
  <c r="N201" i="1"/>
  <c r="L203" i="1"/>
  <c r="M204" i="1"/>
  <c r="N205" i="1"/>
  <c r="L207" i="1"/>
  <c r="M208" i="1"/>
  <c r="N209" i="1"/>
  <c r="L211" i="1"/>
  <c r="M212" i="1"/>
  <c r="N213" i="1"/>
  <c r="L215" i="1"/>
  <c r="M216" i="1"/>
  <c r="N217" i="1"/>
  <c r="L219" i="1"/>
  <c r="M220" i="1"/>
  <c r="N108" i="1"/>
  <c r="L110" i="1"/>
  <c r="M111" i="1"/>
  <c r="N112" i="1"/>
  <c r="L114" i="1"/>
  <c r="M115" i="1"/>
  <c r="N116" i="1"/>
  <c r="L118" i="1"/>
  <c r="M119" i="1"/>
  <c r="N120" i="1"/>
  <c r="L122" i="1"/>
  <c r="M123" i="1"/>
  <c r="N124" i="1"/>
  <c r="L126" i="1"/>
  <c r="M127" i="1"/>
  <c r="N128" i="1"/>
  <c r="L130" i="1"/>
  <c r="M131" i="1"/>
  <c r="N132" i="1"/>
  <c r="L134" i="1"/>
  <c r="M135" i="1"/>
  <c r="N136" i="1"/>
  <c r="L138" i="1"/>
  <c r="M139" i="1"/>
  <c r="N140" i="1"/>
  <c r="L142" i="1"/>
  <c r="M143" i="1"/>
  <c r="N144" i="1"/>
  <c r="L146" i="1"/>
  <c r="M147" i="1"/>
  <c r="N148" i="1"/>
  <c r="L150" i="1"/>
  <c r="M151" i="1"/>
  <c r="N152" i="1"/>
  <c r="L154" i="1"/>
  <c r="M155" i="1"/>
  <c r="N156" i="1"/>
  <c r="L158" i="1"/>
  <c r="M159" i="1"/>
  <c r="N160" i="1"/>
  <c r="L162" i="1"/>
  <c r="M163" i="1"/>
  <c r="N164" i="1"/>
  <c r="L166" i="1"/>
  <c r="M167" i="1"/>
  <c r="N168" i="1"/>
  <c r="L170" i="1"/>
  <c r="M171" i="1"/>
  <c r="N172" i="1"/>
  <c r="L174" i="1"/>
  <c r="M175" i="1"/>
  <c r="N176" i="1"/>
  <c r="L178" i="1"/>
  <c r="M179" i="1"/>
  <c r="N180" i="1"/>
  <c r="L182" i="1"/>
  <c r="M183" i="1"/>
  <c r="N184" i="1"/>
  <c r="L186" i="1"/>
  <c r="M187" i="1"/>
  <c r="N188" i="1"/>
  <c r="L190" i="1"/>
  <c r="M191" i="1"/>
  <c r="N192" i="1"/>
  <c r="L194" i="1"/>
  <c r="M195" i="1"/>
  <c r="N196" i="1"/>
  <c r="L198" i="1"/>
  <c r="M199" i="1"/>
  <c r="N200" i="1"/>
  <c r="L202" i="1"/>
  <c r="M203" i="1"/>
  <c r="N204" i="1"/>
  <c r="L206" i="1"/>
  <c r="M207" i="1"/>
  <c r="N208" i="1"/>
  <c r="L210" i="1"/>
  <c r="M211" i="1"/>
  <c r="N212" i="1"/>
  <c r="L214" i="1"/>
  <c r="M215" i="1"/>
  <c r="N216" i="1"/>
  <c r="L218" i="1"/>
  <c r="M219" i="1"/>
  <c r="N220" i="1"/>
  <c r="L109" i="1"/>
  <c r="M110" i="1"/>
  <c r="N111" i="1"/>
  <c r="L113" i="1"/>
  <c r="M114" i="1"/>
  <c r="N115" i="1"/>
  <c r="L117" i="1"/>
  <c r="M118" i="1"/>
  <c r="N119" i="1"/>
  <c r="L121" i="1"/>
  <c r="M122" i="1"/>
  <c r="N123" i="1"/>
  <c r="L125" i="1"/>
  <c r="M126" i="1"/>
  <c r="N127" i="1"/>
  <c r="L129" i="1"/>
  <c r="M130" i="1"/>
  <c r="N131" i="1"/>
  <c r="L133" i="1"/>
  <c r="M134" i="1"/>
  <c r="N135" i="1"/>
  <c r="L137" i="1"/>
  <c r="M138" i="1"/>
  <c r="N139" i="1"/>
  <c r="L141" i="1"/>
  <c r="M142" i="1"/>
  <c r="N143" i="1"/>
  <c r="L145" i="1"/>
  <c r="M146" i="1"/>
  <c r="N147" i="1"/>
  <c r="L149" i="1"/>
  <c r="M150" i="1"/>
  <c r="N151" i="1"/>
  <c r="L153" i="1"/>
  <c r="M154" i="1"/>
  <c r="N155" i="1"/>
  <c r="L157" i="1"/>
  <c r="M158" i="1"/>
  <c r="N159" i="1"/>
  <c r="L161" i="1"/>
  <c r="M162" i="1"/>
  <c r="N163" i="1"/>
  <c r="L165" i="1"/>
  <c r="M166" i="1"/>
  <c r="N167" i="1"/>
  <c r="L169" i="1"/>
  <c r="M170" i="1"/>
  <c r="N171" i="1"/>
  <c r="L173" i="1"/>
  <c r="M174" i="1"/>
  <c r="N175" i="1"/>
  <c r="L177" i="1"/>
  <c r="M178" i="1"/>
  <c r="N179" i="1"/>
  <c r="L181" i="1"/>
  <c r="M182" i="1"/>
  <c r="N183" i="1"/>
  <c r="L185" i="1"/>
  <c r="M186" i="1"/>
  <c r="N187" i="1"/>
  <c r="L189" i="1"/>
  <c r="M190" i="1"/>
  <c r="N191" i="1"/>
  <c r="L193" i="1"/>
  <c r="M194" i="1"/>
  <c r="N195" i="1"/>
  <c r="L197" i="1"/>
  <c r="M198" i="1"/>
  <c r="N199" i="1"/>
  <c r="L201" i="1"/>
  <c r="M202" i="1"/>
  <c r="N203" i="1"/>
  <c r="L205" i="1"/>
  <c r="M206" i="1"/>
  <c r="N207" i="1"/>
  <c r="L209" i="1"/>
  <c r="M210" i="1"/>
  <c r="N211" i="1"/>
  <c r="L213" i="1"/>
  <c r="M214" i="1"/>
  <c r="N215" i="1"/>
  <c r="L217" i="1"/>
  <c r="M218" i="1"/>
  <c r="N219" i="1"/>
  <c r="L221" i="1"/>
  <c r="M222" i="1"/>
  <c r="N223" i="1"/>
  <c r="L225" i="1"/>
  <c r="M226" i="1"/>
  <c r="N227" i="1"/>
  <c r="E101" i="1"/>
  <c r="E101" i="4" s="1"/>
  <c r="F102" i="1"/>
  <c r="F102" i="4" s="1"/>
  <c r="D104" i="1"/>
  <c r="D104" i="4" s="1"/>
  <c r="E105" i="1"/>
  <c r="E105" i="4" s="1"/>
  <c r="F106" i="1"/>
  <c r="F106" i="4" s="1"/>
  <c r="D108" i="1"/>
  <c r="D108" i="4" s="1"/>
  <c r="E109" i="1"/>
  <c r="E109" i="4" s="1"/>
  <c r="F110" i="1"/>
  <c r="F110" i="4" s="1"/>
  <c r="D112" i="1"/>
  <c r="D112" i="4" s="1"/>
  <c r="E113" i="1"/>
  <c r="E113" i="4" s="1"/>
  <c r="F114" i="1"/>
  <c r="F114" i="4" s="1"/>
  <c r="D116" i="1"/>
  <c r="D116" i="4" s="1"/>
  <c r="E117" i="1"/>
  <c r="E117" i="4" s="1"/>
  <c r="F118" i="1"/>
  <c r="F118" i="4" s="1"/>
  <c r="D120" i="1"/>
  <c r="D120" i="4" s="1"/>
  <c r="E121" i="1"/>
  <c r="E121" i="4" s="1"/>
  <c r="F122" i="1"/>
  <c r="F122" i="4" s="1"/>
  <c r="D124" i="1"/>
  <c r="D124" i="4" s="1"/>
  <c r="E125" i="1"/>
  <c r="E125" i="4" s="1"/>
  <c r="F126" i="1"/>
  <c r="F126" i="4" s="1"/>
  <c r="D128" i="1"/>
  <c r="D128" i="4" s="1"/>
  <c r="E129" i="1"/>
  <c r="E129" i="4" s="1"/>
  <c r="F130" i="1"/>
  <c r="F130" i="4" s="1"/>
  <c r="D132" i="1"/>
  <c r="D132" i="4" s="1"/>
  <c r="E133" i="1"/>
  <c r="E133" i="4" s="1"/>
  <c r="F134" i="1"/>
  <c r="F134" i="4" s="1"/>
  <c r="D136" i="1"/>
  <c r="D136" i="4" s="1"/>
  <c r="E137" i="1"/>
  <c r="E137" i="4" s="1"/>
  <c r="F138" i="1"/>
  <c r="F138" i="4" s="1"/>
  <c r="D140" i="1"/>
  <c r="D140" i="4" s="1"/>
  <c r="E141" i="1"/>
  <c r="E141" i="4" s="1"/>
  <c r="F142" i="1"/>
  <c r="F142" i="4" s="1"/>
  <c r="D144" i="1"/>
  <c r="D144" i="4" s="1"/>
  <c r="E145" i="1"/>
  <c r="E145" i="4" s="1"/>
  <c r="F146" i="1"/>
  <c r="F146" i="4" s="1"/>
  <c r="D148" i="1"/>
  <c r="D148" i="4" s="1"/>
  <c r="E149" i="1"/>
  <c r="E149" i="4" s="1"/>
  <c r="F150" i="1"/>
  <c r="F150" i="4" s="1"/>
  <c r="D152" i="1"/>
  <c r="D152" i="4" s="1"/>
  <c r="M221" i="1"/>
  <c r="N222" i="1"/>
  <c r="L224" i="1"/>
  <c r="M225" i="1"/>
  <c r="N226" i="1"/>
  <c r="F101" i="1"/>
  <c r="F101" i="4" s="1"/>
  <c r="D103" i="1"/>
  <c r="D103" i="4" s="1"/>
  <c r="E104" i="1"/>
  <c r="E104" i="4" s="1"/>
  <c r="F105" i="1"/>
  <c r="F105" i="4" s="1"/>
  <c r="D107" i="1"/>
  <c r="D107" i="4" s="1"/>
  <c r="E108" i="1"/>
  <c r="E108" i="4" s="1"/>
  <c r="F109" i="1"/>
  <c r="F109" i="4" s="1"/>
  <c r="D111" i="1"/>
  <c r="D111" i="4" s="1"/>
  <c r="E112" i="1"/>
  <c r="E112" i="4" s="1"/>
  <c r="F113" i="1"/>
  <c r="F113" i="4" s="1"/>
  <c r="D115" i="1"/>
  <c r="D115" i="4" s="1"/>
  <c r="E116" i="1"/>
  <c r="E116" i="4" s="1"/>
  <c r="F117" i="1"/>
  <c r="F117" i="4" s="1"/>
  <c r="D119" i="1"/>
  <c r="D119" i="4" s="1"/>
  <c r="E120" i="1"/>
  <c r="E120" i="4" s="1"/>
  <c r="F121" i="1"/>
  <c r="F121" i="4" s="1"/>
  <c r="D123" i="1"/>
  <c r="D123" i="4" s="1"/>
  <c r="E124" i="1"/>
  <c r="E124" i="4" s="1"/>
  <c r="F125" i="1"/>
  <c r="F125" i="4" s="1"/>
  <c r="D127" i="1"/>
  <c r="D127" i="4" s="1"/>
  <c r="E128" i="1"/>
  <c r="E128" i="4" s="1"/>
  <c r="F129" i="1"/>
  <c r="F129" i="4" s="1"/>
  <c r="D131" i="1"/>
  <c r="D131" i="4" s="1"/>
  <c r="E132" i="1"/>
  <c r="E132" i="4" s="1"/>
  <c r="F133" i="1"/>
  <c r="F133" i="4" s="1"/>
  <c r="D135" i="1"/>
  <c r="D135" i="4" s="1"/>
  <c r="E136" i="1"/>
  <c r="E136" i="4" s="1"/>
  <c r="F137" i="1"/>
  <c r="F137" i="4" s="1"/>
  <c r="D139" i="1"/>
  <c r="D139" i="4" s="1"/>
  <c r="E140" i="1"/>
  <c r="E140" i="4" s="1"/>
  <c r="F141" i="1"/>
  <c r="F141" i="4" s="1"/>
  <c r="D143" i="1"/>
  <c r="D143" i="4" s="1"/>
  <c r="E144" i="1"/>
  <c r="E144" i="4" s="1"/>
  <c r="F145" i="1"/>
  <c r="F145" i="4" s="1"/>
  <c r="D147" i="1"/>
  <c r="D147" i="4" s="1"/>
  <c r="E148" i="1"/>
  <c r="E148" i="4" s="1"/>
  <c r="F149" i="1"/>
  <c r="F149" i="4" s="1"/>
  <c r="D151" i="1"/>
  <c r="D151" i="4" s="1"/>
  <c r="E152" i="1"/>
  <c r="E152" i="4" s="1"/>
  <c r="N221" i="1"/>
  <c r="L223" i="1"/>
  <c r="M224" i="1"/>
  <c r="N225" i="1"/>
  <c r="L227" i="1"/>
  <c r="D102" i="1"/>
  <c r="D102" i="4" s="1"/>
  <c r="E103" i="1"/>
  <c r="E103" i="4" s="1"/>
  <c r="F104" i="1"/>
  <c r="F104" i="4" s="1"/>
  <c r="D106" i="1"/>
  <c r="D106" i="4" s="1"/>
  <c r="E107" i="1"/>
  <c r="E107" i="4" s="1"/>
  <c r="F108" i="1"/>
  <c r="F108" i="4" s="1"/>
  <c r="D110" i="1"/>
  <c r="D110" i="4" s="1"/>
  <c r="E111" i="1"/>
  <c r="E111" i="4" s="1"/>
  <c r="F112" i="1"/>
  <c r="F112" i="4" s="1"/>
  <c r="D114" i="1"/>
  <c r="D114" i="4" s="1"/>
  <c r="E115" i="1"/>
  <c r="E115" i="4" s="1"/>
  <c r="F116" i="1"/>
  <c r="F116" i="4" s="1"/>
  <c r="D118" i="1"/>
  <c r="D118" i="4" s="1"/>
  <c r="E119" i="1"/>
  <c r="E119" i="4" s="1"/>
  <c r="F120" i="1"/>
  <c r="F120" i="4" s="1"/>
  <c r="D122" i="1"/>
  <c r="D122" i="4" s="1"/>
  <c r="E123" i="1"/>
  <c r="E123" i="4" s="1"/>
  <c r="F124" i="1"/>
  <c r="F124" i="4" s="1"/>
  <c r="D126" i="1"/>
  <c r="D126" i="4" s="1"/>
  <c r="E127" i="1"/>
  <c r="E127" i="4" s="1"/>
  <c r="F128" i="1"/>
  <c r="F128" i="4" s="1"/>
  <c r="D130" i="1"/>
  <c r="D130" i="4" s="1"/>
  <c r="E131" i="1"/>
  <c r="E131" i="4" s="1"/>
  <c r="F132" i="1"/>
  <c r="F132" i="4" s="1"/>
  <c r="D134" i="1"/>
  <c r="D134" i="4" s="1"/>
  <c r="E135" i="1"/>
  <c r="E135" i="4" s="1"/>
  <c r="F136" i="1"/>
  <c r="F136" i="4" s="1"/>
  <c r="D138" i="1"/>
  <c r="D138" i="4" s="1"/>
  <c r="E139" i="1"/>
  <c r="E139" i="4" s="1"/>
  <c r="F140" i="1"/>
  <c r="F140" i="4" s="1"/>
  <c r="D142" i="1"/>
  <c r="D142" i="4" s="1"/>
  <c r="E143" i="1"/>
  <c r="E143" i="4" s="1"/>
  <c r="F144" i="1"/>
  <c r="F144" i="4" s="1"/>
  <c r="D146" i="1"/>
  <c r="D146" i="4" s="1"/>
  <c r="E147" i="1"/>
  <c r="E147" i="4" s="1"/>
  <c r="F148" i="1"/>
  <c r="F148" i="4" s="1"/>
  <c r="D150" i="1"/>
  <c r="D150" i="4" s="1"/>
  <c r="E151" i="1"/>
  <c r="E151" i="4" s="1"/>
  <c r="F152" i="1"/>
  <c r="F152" i="4" s="1"/>
  <c r="L222" i="1"/>
  <c r="M223" i="1"/>
  <c r="N224" i="1"/>
  <c r="L226" i="1"/>
  <c r="M227" i="1"/>
  <c r="D101" i="1"/>
  <c r="D101" i="4" s="1"/>
  <c r="E102" i="1"/>
  <c r="E102" i="4" s="1"/>
  <c r="F103" i="1"/>
  <c r="F103" i="4" s="1"/>
  <c r="D105" i="1"/>
  <c r="D105" i="4" s="1"/>
  <c r="E106" i="1"/>
  <c r="E106" i="4" s="1"/>
  <c r="F107" i="1"/>
  <c r="F107" i="4" s="1"/>
  <c r="D109" i="1"/>
  <c r="D109" i="4" s="1"/>
  <c r="E110" i="1"/>
  <c r="E110" i="4" s="1"/>
  <c r="F111" i="1"/>
  <c r="F111" i="4" s="1"/>
  <c r="D113" i="1"/>
  <c r="D113" i="4" s="1"/>
  <c r="E114" i="1"/>
  <c r="E114" i="4" s="1"/>
  <c r="F115" i="1"/>
  <c r="F115" i="4" s="1"/>
  <c r="D117" i="1"/>
  <c r="D117" i="4" s="1"/>
  <c r="E118" i="1"/>
  <c r="E118" i="4" s="1"/>
  <c r="F119" i="1"/>
  <c r="F119" i="4" s="1"/>
  <c r="D121" i="1"/>
  <c r="D121" i="4" s="1"/>
  <c r="E122" i="1"/>
  <c r="E122" i="4" s="1"/>
  <c r="F123" i="1"/>
  <c r="F123" i="4" s="1"/>
  <c r="D125" i="1"/>
  <c r="D125" i="4" s="1"/>
  <c r="E126" i="1"/>
  <c r="E126" i="4" s="1"/>
  <c r="F127" i="1"/>
  <c r="F127" i="4" s="1"/>
  <c r="D129" i="1"/>
  <c r="D129" i="4" s="1"/>
  <c r="E130" i="1"/>
  <c r="E130" i="4" s="1"/>
  <c r="F131" i="1"/>
  <c r="F131" i="4" s="1"/>
  <c r="D133" i="1"/>
  <c r="D133" i="4" s="1"/>
  <c r="E134" i="1"/>
  <c r="E134" i="4" s="1"/>
  <c r="F135" i="1"/>
  <c r="F135" i="4" s="1"/>
  <c r="D137" i="1"/>
  <c r="D137" i="4" s="1"/>
  <c r="E138" i="1"/>
  <c r="E138" i="4" s="1"/>
  <c r="F139" i="1"/>
  <c r="F139" i="4" s="1"/>
  <c r="D141" i="1"/>
  <c r="D141" i="4" s="1"/>
  <c r="E142" i="1"/>
  <c r="E142" i="4" s="1"/>
  <c r="F143" i="1"/>
  <c r="F143" i="4" s="1"/>
  <c r="D145" i="1"/>
  <c r="D145" i="4" s="1"/>
  <c r="E146" i="1"/>
  <c r="E146" i="4" s="1"/>
  <c r="F147" i="1"/>
  <c r="F147" i="4" s="1"/>
  <c r="D149" i="1"/>
  <c r="D149" i="4" s="1"/>
  <c r="E150" i="1"/>
  <c r="E150" i="4" s="1"/>
  <c r="F151" i="1"/>
  <c r="F151" i="4" s="1"/>
  <c r="L13" i="1"/>
  <c r="N15" i="1"/>
  <c r="M18" i="1"/>
  <c r="L21" i="1"/>
  <c r="N23" i="1"/>
  <c r="M26" i="1"/>
  <c r="L29" i="1"/>
  <c r="N31" i="1"/>
  <c r="M34" i="1"/>
  <c r="L37" i="1"/>
  <c r="N39" i="1"/>
  <c r="M42" i="1"/>
  <c r="O37" i="4" s="1"/>
  <c r="L45" i="1"/>
  <c r="N47" i="1"/>
  <c r="P43" i="4" s="1"/>
  <c r="M50" i="1"/>
  <c r="L53" i="1"/>
  <c r="N55" i="1"/>
  <c r="M58" i="1"/>
  <c r="L61" i="1"/>
  <c r="N63" i="1"/>
  <c r="M66" i="1"/>
  <c r="L69" i="1"/>
  <c r="N88" i="4" s="1"/>
  <c r="N71" i="1"/>
  <c r="M74" i="1"/>
  <c r="L77" i="1"/>
  <c r="N103" i="4" s="1"/>
  <c r="N79" i="1"/>
  <c r="M82" i="1"/>
  <c r="N87" i="1"/>
  <c r="M90" i="1"/>
  <c r="O123" i="4" s="1"/>
  <c r="L93" i="1"/>
  <c r="N95" i="1"/>
  <c r="M98" i="1"/>
  <c r="L101" i="1"/>
  <c r="N103" i="1"/>
  <c r="M106" i="1"/>
  <c r="E24" i="1"/>
  <c r="E24" i="4" s="1"/>
  <c r="D27" i="1"/>
  <c r="D27" i="4" s="1"/>
  <c r="F29" i="1"/>
  <c r="F29" i="4" s="1"/>
  <c r="E32" i="1"/>
  <c r="E32" i="4" s="1"/>
  <c r="D35" i="1"/>
  <c r="D35" i="4" s="1"/>
  <c r="F37" i="1"/>
  <c r="F37" i="4" s="1"/>
  <c r="E40" i="1"/>
  <c r="E40" i="4" s="1"/>
  <c r="D43" i="1"/>
  <c r="D43" i="4" s="1"/>
  <c r="F45" i="1"/>
  <c r="F45" i="4" s="1"/>
  <c r="E48" i="1"/>
  <c r="E48" i="4" s="1"/>
  <c r="D51" i="1"/>
  <c r="D51" i="4" s="1"/>
  <c r="F53" i="1"/>
  <c r="F53" i="4" s="1"/>
  <c r="E56" i="1"/>
  <c r="E56" i="4" s="1"/>
  <c r="D59" i="1"/>
  <c r="D59" i="4" s="1"/>
  <c r="F61" i="1"/>
  <c r="F61" i="4" s="1"/>
  <c r="E64" i="1"/>
  <c r="E64" i="4" s="1"/>
  <c r="D67" i="1"/>
  <c r="D67" i="4" s="1"/>
  <c r="F69" i="1"/>
  <c r="F69" i="4" s="1"/>
  <c r="E72" i="1"/>
  <c r="E72" i="4" s="1"/>
  <c r="D75" i="1"/>
  <c r="D75" i="4" s="1"/>
  <c r="F77" i="1"/>
  <c r="F77" i="4" s="1"/>
  <c r="E80" i="1"/>
  <c r="E80" i="4" s="1"/>
  <c r="D83" i="1"/>
  <c r="D83" i="4" s="1"/>
  <c r="F85" i="1"/>
  <c r="F85" i="4" s="1"/>
  <c r="E88" i="1"/>
  <c r="E88" i="4" s="1"/>
  <c r="D91" i="1"/>
  <c r="D91" i="4" s="1"/>
  <c r="F93" i="1"/>
  <c r="F93" i="4" s="1"/>
  <c r="E96" i="1"/>
  <c r="E96" i="4" s="1"/>
  <c r="D99" i="1"/>
  <c r="D99" i="4" s="1"/>
  <c r="M31" i="1"/>
  <c r="N68" i="1"/>
  <c r="N100" i="1"/>
  <c r="F34" i="1"/>
  <c r="F34" i="4" s="1"/>
  <c r="D72" i="1"/>
  <c r="D72" i="4" s="1"/>
  <c r="E85" i="1"/>
  <c r="E85" i="4" s="1"/>
  <c r="F98" i="1"/>
  <c r="F98" i="4" s="1"/>
  <c r="M13" i="1"/>
  <c r="L16" i="1"/>
  <c r="N18" i="1"/>
  <c r="M21" i="1"/>
  <c r="L24" i="1"/>
  <c r="N26" i="1"/>
  <c r="M29" i="1"/>
  <c r="L32" i="1"/>
  <c r="N34" i="1"/>
  <c r="M37" i="1"/>
  <c r="L40" i="1"/>
  <c r="N42" i="1"/>
  <c r="P37" i="4" s="1"/>
  <c r="M45" i="1"/>
  <c r="L48" i="1"/>
  <c r="N50" i="1"/>
  <c r="M53" i="1"/>
  <c r="L56" i="1"/>
  <c r="N58" i="1"/>
  <c r="M61" i="1"/>
  <c r="L64" i="1"/>
  <c r="N66" i="1"/>
  <c r="M69" i="1"/>
  <c r="O88" i="4" s="1"/>
  <c r="L72" i="1"/>
  <c r="N74" i="1"/>
  <c r="M77" i="1"/>
  <c r="O103" i="4" s="1"/>
  <c r="N82" i="1"/>
  <c r="M85" i="1"/>
  <c r="N90" i="1"/>
  <c r="P123" i="4" s="1"/>
  <c r="M93" i="1"/>
  <c r="L96" i="1"/>
  <c r="N134" i="4" s="1"/>
  <c r="N98" i="1"/>
  <c r="M101" i="1"/>
  <c r="L104" i="1"/>
  <c r="N106" i="1"/>
  <c r="F24" i="1"/>
  <c r="F24" i="4" s="1"/>
  <c r="E27" i="1"/>
  <c r="E27" i="4" s="1"/>
  <c r="D30" i="1"/>
  <c r="D30" i="4" s="1"/>
  <c r="F32" i="1"/>
  <c r="F32" i="4" s="1"/>
  <c r="E35" i="1"/>
  <c r="E35" i="4" s="1"/>
  <c r="D38" i="1"/>
  <c r="D38" i="4" s="1"/>
  <c r="F40" i="1"/>
  <c r="F40" i="4" s="1"/>
  <c r="E43" i="1"/>
  <c r="E43" i="4" s="1"/>
  <c r="D46" i="1"/>
  <c r="D46" i="4" s="1"/>
  <c r="F48" i="1"/>
  <c r="F48" i="4" s="1"/>
  <c r="E51" i="1"/>
  <c r="E51" i="4" s="1"/>
  <c r="D54" i="1"/>
  <c r="D54" i="4" s="1"/>
  <c r="F56" i="1"/>
  <c r="F56" i="4" s="1"/>
  <c r="E59" i="1"/>
  <c r="E59" i="4" s="1"/>
  <c r="D62" i="1"/>
  <c r="D62" i="4" s="1"/>
  <c r="F64" i="1"/>
  <c r="F64" i="4" s="1"/>
  <c r="E67" i="1"/>
  <c r="E67" i="4" s="1"/>
  <c r="D70" i="1"/>
  <c r="D70" i="4" s="1"/>
  <c r="F72" i="1"/>
  <c r="F72" i="4" s="1"/>
  <c r="E75" i="1"/>
  <c r="E75" i="4" s="1"/>
  <c r="D78" i="1"/>
  <c r="D78" i="4" s="1"/>
  <c r="F80" i="1"/>
  <c r="F80" i="4" s="1"/>
  <c r="E83" i="1"/>
  <c r="E83" i="4" s="1"/>
  <c r="D86" i="1"/>
  <c r="D86" i="4" s="1"/>
  <c r="F88" i="1"/>
  <c r="F88" i="4" s="1"/>
  <c r="E91" i="1"/>
  <c r="E91" i="4" s="1"/>
  <c r="D94" i="1"/>
  <c r="D94" i="4" s="1"/>
  <c r="F96" i="1"/>
  <c r="F96" i="4" s="1"/>
  <c r="E99" i="1"/>
  <c r="E99" i="4" s="1"/>
  <c r="N20" i="1"/>
  <c r="M95" i="1"/>
  <c r="E29" i="1"/>
  <c r="E29" i="4" s="1"/>
  <c r="E45" i="1"/>
  <c r="E45" i="4" s="1"/>
  <c r="D56" i="1"/>
  <c r="D56" i="4" s="1"/>
  <c r="D64" i="1"/>
  <c r="D64" i="4" s="1"/>
  <c r="F74" i="1"/>
  <c r="F74" i="4" s="1"/>
  <c r="N13" i="1"/>
  <c r="M16" i="1"/>
  <c r="L19" i="1"/>
  <c r="N21" i="1"/>
  <c r="M24" i="1"/>
  <c r="L27" i="1"/>
  <c r="N29" i="1"/>
  <c r="M32" i="1"/>
  <c r="L35" i="1"/>
  <c r="N37" i="1"/>
  <c r="M40" i="1"/>
  <c r="L43" i="1"/>
  <c r="N38" i="4" s="1"/>
  <c r="N45" i="1"/>
  <c r="M48" i="1"/>
  <c r="L51" i="1"/>
  <c r="N53" i="1"/>
  <c r="M56" i="1"/>
  <c r="L59" i="1"/>
  <c r="N66" i="4" s="1"/>
  <c r="N61" i="1"/>
  <c r="M64" i="1"/>
  <c r="L67" i="1"/>
  <c r="N69" i="1"/>
  <c r="P88" i="4" s="1"/>
  <c r="M72" i="1"/>
  <c r="L75" i="1"/>
  <c r="N77" i="1"/>
  <c r="P103" i="4" s="1"/>
  <c r="M80" i="1"/>
  <c r="N85" i="1"/>
  <c r="M88" i="1"/>
  <c r="L91" i="1"/>
  <c r="N93" i="1"/>
  <c r="M96" i="1"/>
  <c r="O134" i="4" s="1"/>
  <c r="L99" i="1"/>
  <c r="N101" i="1"/>
  <c r="M104" i="1"/>
  <c r="L107" i="1"/>
  <c r="D25" i="1"/>
  <c r="D25" i="4" s="1"/>
  <c r="F27" i="1"/>
  <c r="F27" i="4" s="1"/>
  <c r="E30" i="1"/>
  <c r="E30" i="4" s="1"/>
  <c r="D33" i="1"/>
  <c r="D33" i="4" s="1"/>
  <c r="F35" i="1"/>
  <c r="F35" i="4" s="1"/>
  <c r="E38" i="1"/>
  <c r="E38" i="4" s="1"/>
  <c r="D41" i="1"/>
  <c r="D41" i="4" s="1"/>
  <c r="F43" i="1"/>
  <c r="F43" i="4" s="1"/>
  <c r="E46" i="1"/>
  <c r="E46" i="4" s="1"/>
  <c r="D49" i="1"/>
  <c r="D49" i="4" s="1"/>
  <c r="F51" i="1"/>
  <c r="F51" i="4" s="1"/>
  <c r="E54" i="1"/>
  <c r="E54" i="4" s="1"/>
  <c r="D57" i="1"/>
  <c r="D57" i="4" s="1"/>
  <c r="F59" i="1"/>
  <c r="F59" i="4" s="1"/>
  <c r="E62" i="1"/>
  <c r="E62" i="4" s="1"/>
  <c r="D65" i="1"/>
  <c r="D65" i="4" s="1"/>
  <c r="F67" i="1"/>
  <c r="F67" i="4" s="1"/>
  <c r="E70" i="1"/>
  <c r="E70" i="4" s="1"/>
  <c r="D73" i="1"/>
  <c r="D73" i="4" s="1"/>
  <c r="F75" i="1"/>
  <c r="F75" i="4" s="1"/>
  <c r="E78" i="1"/>
  <c r="E78" i="4" s="1"/>
  <c r="D81" i="1"/>
  <c r="D81" i="4" s="1"/>
  <c r="F83" i="1"/>
  <c r="F83" i="4" s="1"/>
  <c r="E86" i="1"/>
  <c r="E86" i="4" s="1"/>
  <c r="D89" i="1"/>
  <c r="D89" i="4" s="1"/>
  <c r="F91" i="1"/>
  <c r="F91" i="4" s="1"/>
  <c r="E94" i="1"/>
  <c r="E94" i="4" s="1"/>
  <c r="D97" i="1"/>
  <c r="D97" i="4" s="1"/>
  <c r="F99" i="1"/>
  <c r="F99" i="4" s="1"/>
  <c r="M23" i="1"/>
  <c r="O17" i="4" s="1"/>
  <c r="N76" i="1"/>
  <c r="L106" i="1"/>
  <c r="D32" i="1"/>
  <c r="D32" i="4" s="1"/>
  <c r="D48" i="1"/>
  <c r="D48" i="4" s="1"/>
  <c r="F58" i="1"/>
  <c r="F58" i="4" s="1"/>
  <c r="F82" i="1"/>
  <c r="F82" i="4" s="1"/>
  <c r="L14" i="1"/>
  <c r="N6" i="4" s="1"/>
  <c r="N16" i="1"/>
  <c r="M19" i="1"/>
  <c r="L22" i="1"/>
  <c r="N24" i="1"/>
  <c r="M27" i="1"/>
  <c r="L30" i="1"/>
  <c r="N32" i="1"/>
  <c r="M35" i="1"/>
  <c r="L38" i="1"/>
  <c r="N32" i="4" s="1"/>
  <c r="N40" i="1"/>
  <c r="M43" i="1"/>
  <c r="O38" i="4" s="1"/>
  <c r="L46" i="1"/>
  <c r="N42" i="4" s="1"/>
  <c r="N48" i="1"/>
  <c r="M51" i="1"/>
  <c r="L54" i="1"/>
  <c r="N56" i="4" s="1"/>
  <c r="N56" i="1"/>
  <c r="M59" i="1"/>
  <c r="O66" i="4" s="1"/>
  <c r="L62" i="1"/>
  <c r="N64" i="1"/>
  <c r="M67" i="1"/>
  <c r="L70" i="1"/>
  <c r="N72" i="1"/>
  <c r="M75" i="1"/>
  <c r="L78" i="1"/>
  <c r="N104" i="4" s="1"/>
  <c r="N80" i="1"/>
  <c r="M83" i="1"/>
  <c r="N88" i="1"/>
  <c r="M91" i="1"/>
  <c r="L94" i="1"/>
  <c r="N96" i="1"/>
  <c r="P134" i="4" s="1"/>
  <c r="M99" i="1"/>
  <c r="L102" i="1"/>
  <c r="N104" i="1"/>
  <c r="M107" i="1"/>
  <c r="E25" i="1"/>
  <c r="E25" i="4" s="1"/>
  <c r="D28" i="1"/>
  <c r="D28" i="4" s="1"/>
  <c r="F30" i="1"/>
  <c r="F30" i="4" s="1"/>
  <c r="E33" i="1"/>
  <c r="E33" i="4" s="1"/>
  <c r="D36" i="1"/>
  <c r="D36" i="4" s="1"/>
  <c r="F38" i="1"/>
  <c r="F38" i="4" s="1"/>
  <c r="E41" i="1"/>
  <c r="E41" i="4" s="1"/>
  <c r="D44" i="1"/>
  <c r="D44" i="4" s="1"/>
  <c r="F46" i="1"/>
  <c r="F46" i="4" s="1"/>
  <c r="E49" i="1"/>
  <c r="E49" i="4" s="1"/>
  <c r="D52" i="1"/>
  <c r="D52" i="4" s="1"/>
  <c r="F54" i="1"/>
  <c r="F54" i="4" s="1"/>
  <c r="E57" i="1"/>
  <c r="E57" i="4" s="1"/>
  <c r="D60" i="1"/>
  <c r="D60" i="4" s="1"/>
  <c r="F62" i="1"/>
  <c r="F62" i="4" s="1"/>
  <c r="E65" i="1"/>
  <c r="E65" i="4" s="1"/>
  <c r="D68" i="1"/>
  <c r="D68" i="4" s="1"/>
  <c r="F70" i="1"/>
  <c r="F70" i="4" s="1"/>
  <c r="E73" i="1"/>
  <c r="E73" i="4" s="1"/>
  <c r="D76" i="1"/>
  <c r="D76" i="4" s="1"/>
  <c r="F78" i="1"/>
  <c r="F78" i="4" s="1"/>
  <c r="E81" i="1"/>
  <c r="E81" i="4" s="1"/>
  <c r="D84" i="1"/>
  <c r="D84" i="4" s="1"/>
  <c r="F86" i="1"/>
  <c r="F86" i="4" s="1"/>
  <c r="E89" i="1"/>
  <c r="E89" i="4" s="1"/>
  <c r="D92" i="1"/>
  <c r="D92" i="4" s="1"/>
  <c r="F94" i="1"/>
  <c r="F94" i="4" s="1"/>
  <c r="E97" i="1"/>
  <c r="E97" i="4" s="1"/>
  <c r="D100" i="1"/>
  <c r="D100" i="4" s="1"/>
  <c r="N28" i="1"/>
  <c r="F26" i="1"/>
  <c r="F26" i="4" s="1"/>
  <c r="E69" i="1"/>
  <c r="E69" i="4" s="1"/>
  <c r="D88" i="1"/>
  <c r="D88" i="4" s="1"/>
  <c r="M14" i="1"/>
  <c r="O6" i="4" s="1"/>
  <c r="L17" i="1"/>
  <c r="N19" i="1"/>
  <c r="P13" i="4" s="1"/>
  <c r="M22" i="1"/>
  <c r="O16" i="4" s="1"/>
  <c r="L25" i="1"/>
  <c r="N27" i="1"/>
  <c r="M30" i="1"/>
  <c r="L33" i="1"/>
  <c r="N35" i="1"/>
  <c r="M38" i="1"/>
  <c r="L41" i="1"/>
  <c r="N43" i="1"/>
  <c r="P38" i="4" s="1"/>
  <c r="M46" i="1"/>
  <c r="O42" i="4" s="1"/>
  <c r="L49" i="1"/>
  <c r="N51" i="1"/>
  <c r="M54" i="1"/>
  <c r="O56" i="4" s="1"/>
  <c r="L57" i="1"/>
  <c r="N62" i="4" s="1"/>
  <c r="N59" i="1"/>
  <c r="P66" i="4" s="1"/>
  <c r="M62" i="1"/>
  <c r="L65" i="1"/>
  <c r="N67" i="1"/>
  <c r="M70" i="1"/>
  <c r="L73" i="1"/>
  <c r="N95" i="4" s="1"/>
  <c r="N75" i="1"/>
  <c r="M78" i="1"/>
  <c r="O104" i="4" s="1"/>
  <c r="N83" i="1"/>
  <c r="M86" i="1"/>
  <c r="N91" i="1"/>
  <c r="M94" i="1"/>
  <c r="L97" i="1"/>
  <c r="N99" i="1"/>
  <c r="M102" i="1"/>
  <c r="L105" i="1"/>
  <c r="N107" i="1"/>
  <c r="F25" i="1"/>
  <c r="F25" i="4" s="1"/>
  <c r="E28" i="1"/>
  <c r="E28" i="4" s="1"/>
  <c r="D31" i="1"/>
  <c r="D31" i="4" s="1"/>
  <c r="F33" i="1"/>
  <c r="F33" i="4" s="1"/>
  <c r="E36" i="1"/>
  <c r="E36" i="4" s="1"/>
  <c r="D39" i="1"/>
  <c r="D39" i="4" s="1"/>
  <c r="F41" i="1"/>
  <c r="F41" i="4" s="1"/>
  <c r="E44" i="1"/>
  <c r="E44" i="4" s="1"/>
  <c r="D47" i="1"/>
  <c r="D47" i="4" s="1"/>
  <c r="F49" i="1"/>
  <c r="F49" i="4" s="1"/>
  <c r="E52" i="1"/>
  <c r="E52" i="4" s="1"/>
  <c r="D55" i="1"/>
  <c r="D55" i="4" s="1"/>
  <c r="F57" i="1"/>
  <c r="F57" i="4" s="1"/>
  <c r="E60" i="1"/>
  <c r="E60" i="4" s="1"/>
  <c r="D63" i="1"/>
  <c r="D63" i="4" s="1"/>
  <c r="F65" i="1"/>
  <c r="F65" i="4" s="1"/>
  <c r="E68" i="1"/>
  <c r="E68" i="4" s="1"/>
  <c r="D71" i="1"/>
  <c r="D71" i="4" s="1"/>
  <c r="F73" i="1"/>
  <c r="F73" i="4" s="1"/>
  <c r="E76" i="1"/>
  <c r="E76" i="4" s="1"/>
  <c r="D79" i="1"/>
  <c r="D79" i="4" s="1"/>
  <c r="F81" i="1"/>
  <c r="F81" i="4" s="1"/>
  <c r="E84" i="1"/>
  <c r="E84" i="4" s="1"/>
  <c r="D87" i="1"/>
  <c r="D87" i="4" s="1"/>
  <c r="F89" i="1"/>
  <c r="F89" i="4" s="1"/>
  <c r="E92" i="1"/>
  <c r="E92" i="4" s="1"/>
  <c r="D95" i="1"/>
  <c r="D95" i="4" s="1"/>
  <c r="F97" i="1"/>
  <c r="F97" i="4" s="1"/>
  <c r="E100" i="1"/>
  <c r="E100" i="4" s="1"/>
  <c r="L26" i="1"/>
  <c r="M63" i="1"/>
  <c r="L66" i="1"/>
  <c r="L74" i="1"/>
  <c r="N84" i="1"/>
  <c r="P112" i="4" s="1"/>
  <c r="D24" i="1"/>
  <c r="D24" i="4" s="1"/>
  <c r="E37" i="1"/>
  <c r="E37" i="4" s="1"/>
  <c r="F50" i="1"/>
  <c r="F50" i="4" s="1"/>
  <c r="D80" i="1"/>
  <c r="D80" i="4" s="1"/>
  <c r="E93" i="1"/>
  <c r="E93" i="4" s="1"/>
  <c r="N14" i="1"/>
  <c r="M17" i="1"/>
  <c r="O10" i="4" s="1"/>
  <c r="L20" i="1"/>
  <c r="N14" i="4" s="1"/>
  <c r="N22" i="1"/>
  <c r="P16" i="4" s="1"/>
  <c r="M25" i="1"/>
  <c r="O20" i="4" s="1"/>
  <c r="L28" i="1"/>
  <c r="N30" i="1"/>
  <c r="M33" i="1"/>
  <c r="L36" i="1"/>
  <c r="N30" i="4" s="1"/>
  <c r="N38" i="1"/>
  <c r="P32" i="4" s="1"/>
  <c r="M41" i="1"/>
  <c r="L44" i="1"/>
  <c r="N39" i="4" s="1"/>
  <c r="N46" i="1"/>
  <c r="P42" i="4" s="1"/>
  <c r="M49" i="1"/>
  <c r="L52" i="1"/>
  <c r="N52" i="4" s="1"/>
  <c r="N54" i="1"/>
  <c r="P56" i="4" s="1"/>
  <c r="M57" i="1"/>
  <c r="O62" i="4" s="1"/>
  <c r="L60" i="1"/>
  <c r="N62" i="1"/>
  <c r="M65" i="1"/>
  <c r="L68" i="1"/>
  <c r="N70" i="1"/>
  <c r="M73" i="1"/>
  <c r="O95" i="4" s="1"/>
  <c r="L76" i="1"/>
  <c r="N78" i="1"/>
  <c r="P104" i="4" s="1"/>
  <c r="M81" i="1"/>
  <c r="O107" i="4" s="1"/>
  <c r="N86" i="1"/>
  <c r="M89" i="1"/>
  <c r="L92" i="1"/>
  <c r="N126" i="4" s="1"/>
  <c r="N94" i="1"/>
  <c r="M97" i="1"/>
  <c r="L100" i="1"/>
  <c r="N102" i="1"/>
  <c r="M105" i="1"/>
  <c r="D26" i="1"/>
  <c r="D26" i="4" s="1"/>
  <c r="F28" i="1"/>
  <c r="F28" i="4" s="1"/>
  <c r="E31" i="1"/>
  <c r="E31" i="4" s="1"/>
  <c r="D34" i="1"/>
  <c r="D34" i="4" s="1"/>
  <c r="F36" i="1"/>
  <c r="F36" i="4" s="1"/>
  <c r="E39" i="1"/>
  <c r="E39" i="4" s="1"/>
  <c r="D42" i="1"/>
  <c r="D42" i="4" s="1"/>
  <c r="F44" i="1"/>
  <c r="F44" i="4" s="1"/>
  <c r="E47" i="1"/>
  <c r="E47" i="4" s="1"/>
  <c r="D50" i="1"/>
  <c r="D50" i="4" s="1"/>
  <c r="F52" i="1"/>
  <c r="F52" i="4" s="1"/>
  <c r="E55" i="1"/>
  <c r="E55" i="4" s="1"/>
  <c r="D58" i="1"/>
  <c r="D58" i="4" s="1"/>
  <c r="F60" i="1"/>
  <c r="F60" i="4" s="1"/>
  <c r="E63" i="1"/>
  <c r="E63" i="4" s="1"/>
  <c r="D66" i="1"/>
  <c r="D66" i="4" s="1"/>
  <c r="F68" i="1"/>
  <c r="F68" i="4" s="1"/>
  <c r="E71" i="1"/>
  <c r="E71" i="4" s="1"/>
  <c r="D74" i="1"/>
  <c r="D74" i="4" s="1"/>
  <c r="F76" i="1"/>
  <c r="F76" i="4" s="1"/>
  <c r="E79" i="1"/>
  <c r="E79" i="4" s="1"/>
  <c r="D82" i="1"/>
  <c r="D82" i="4" s="1"/>
  <c r="F84" i="1"/>
  <c r="F84" i="4" s="1"/>
  <c r="E87" i="1"/>
  <c r="E87" i="4" s="1"/>
  <c r="D90" i="1"/>
  <c r="D90" i="4" s="1"/>
  <c r="F92" i="1"/>
  <c r="F92" i="4" s="1"/>
  <c r="E95" i="1"/>
  <c r="E95" i="4" s="1"/>
  <c r="D98" i="1"/>
  <c r="D98" i="4" s="1"/>
  <c r="F100" i="1"/>
  <c r="F100" i="4" s="1"/>
  <c r="L18" i="1"/>
  <c r="M79" i="1"/>
  <c r="L98" i="1"/>
  <c r="M103" i="1"/>
  <c r="D40" i="1"/>
  <c r="D40" i="4" s="1"/>
  <c r="E53" i="1"/>
  <c r="E53" i="4" s="1"/>
  <c r="E61" i="1"/>
  <c r="E61" i="4" s="1"/>
  <c r="F66" i="1"/>
  <c r="F66" i="4" s="1"/>
  <c r="D96" i="1"/>
  <c r="D96" i="4" s="1"/>
  <c r="L15" i="1"/>
  <c r="N7" i="4" s="1"/>
  <c r="N17" i="1"/>
  <c r="M20" i="1"/>
  <c r="O14" i="4" s="1"/>
  <c r="L23" i="1"/>
  <c r="N25" i="1"/>
  <c r="M28" i="1"/>
  <c r="L31" i="1"/>
  <c r="N33" i="1"/>
  <c r="M36" i="1"/>
  <c r="O30" i="4" s="1"/>
  <c r="L39" i="1"/>
  <c r="N41" i="1"/>
  <c r="M44" i="1"/>
  <c r="O39" i="4" s="1"/>
  <c r="L47" i="1"/>
  <c r="N43" i="4" s="1"/>
  <c r="N49" i="1"/>
  <c r="M52" i="1"/>
  <c r="O52" i="4" s="1"/>
  <c r="L55" i="1"/>
  <c r="N57" i="1"/>
  <c r="P62" i="4" s="1"/>
  <c r="M60" i="1"/>
  <c r="L63" i="1"/>
  <c r="N65" i="1"/>
  <c r="M68" i="1"/>
  <c r="L71" i="1"/>
  <c r="N73" i="1"/>
  <c r="P95" i="4" s="1"/>
  <c r="M76" i="1"/>
  <c r="N81" i="1"/>
  <c r="P107" i="4" s="1"/>
  <c r="M84" i="1"/>
  <c r="O112" i="4" s="1"/>
  <c r="N89" i="1"/>
  <c r="M92" i="1"/>
  <c r="O126" i="4" s="1"/>
  <c r="L95" i="1"/>
  <c r="N97" i="1"/>
  <c r="M100" i="1"/>
  <c r="L103" i="1"/>
  <c r="N105" i="1"/>
  <c r="E26" i="1"/>
  <c r="E26" i="4" s="1"/>
  <c r="D29" i="1"/>
  <c r="D29" i="4" s="1"/>
  <c r="F31" i="1"/>
  <c r="F31" i="4" s="1"/>
  <c r="E34" i="1"/>
  <c r="E34" i="4" s="1"/>
  <c r="D37" i="1"/>
  <c r="D37" i="4" s="1"/>
  <c r="F39" i="1"/>
  <c r="F39" i="4" s="1"/>
  <c r="E42" i="1"/>
  <c r="E42" i="4" s="1"/>
  <c r="D45" i="1"/>
  <c r="D45" i="4" s="1"/>
  <c r="F47" i="1"/>
  <c r="F47" i="4" s="1"/>
  <c r="E50" i="1"/>
  <c r="E50" i="4" s="1"/>
  <c r="D53" i="1"/>
  <c r="D53" i="4" s="1"/>
  <c r="F55" i="1"/>
  <c r="F55" i="4" s="1"/>
  <c r="E58" i="1"/>
  <c r="E58" i="4" s="1"/>
  <c r="D61" i="1"/>
  <c r="D61" i="4" s="1"/>
  <c r="F63" i="1"/>
  <c r="F63" i="4" s="1"/>
  <c r="E66" i="1"/>
  <c r="E66" i="4" s="1"/>
  <c r="D69" i="1"/>
  <c r="D69" i="4" s="1"/>
  <c r="F71" i="1"/>
  <c r="F71" i="4" s="1"/>
  <c r="E74" i="1"/>
  <c r="E74" i="4" s="1"/>
  <c r="D77" i="1"/>
  <c r="D77" i="4" s="1"/>
  <c r="F79" i="1"/>
  <c r="F79" i="4" s="1"/>
  <c r="E82" i="1"/>
  <c r="E82" i="4" s="1"/>
  <c r="D85" i="1"/>
  <c r="D85" i="4" s="1"/>
  <c r="F87" i="1"/>
  <c r="F87" i="4" s="1"/>
  <c r="E90" i="1"/>
  <c r="E90" i="4" s="1"/>
  <c r="D93" i="1"/>
  <c r="D93" i="4" s="1"/>
  <c r="F95" i="1"/>
  <c r="F95" i="4" s="1"/>
  <c r="E98" i="1"/>
  <c r="E98" i="4" s="1"/>
  <c r="M15" i="1"/>
  <c r="L34" i="1"/>
  <c r="N28" i="4" s="1"/>
  <c r="N36" i="1"/>
  <c r="P30" i="4" s="1"/>
  <c r="M39" i="1"/>
  <c r="L42" i="1"/>
  <c r="N37" i="4" s="1"/>
  <c r="N44" i="1"/>
  <c r="P39" i="4" s="1"/>
  <c r="M47" i="1"/>
  <c r="O43" i="4" s="1"/>
  <c r="L50" i="1"/>
  <c r="N52" i="1"/>
  <c r="P52" i="4" s="1"/>
  <c r="M55" i="1"/>
  <c r="L58" i="1"/>
  <c r="N60" i="1"/>
  <c r="M71" i="1"/>
  <c r="M87" i="1"/>
  <c r="N92" i="1"/>
  <c r="P126" i="4" s="1"/>
  <c r="F42" i="1"/>
  <c r="F42" i="4" s="1"/>
  <c r="E77" i="1"/>
  <c r="E77" i="4" s="1"/>
  <c r="F90" i="1"/>
  <c r="F90" i="4" s="1"/>
  <c r="L9" i="1"/>
  <c r="M10" i="1"/>
  <c r="N11" i="1"/>
  <c r="E20" i="1"/>
  <c r="E20" i="4" s="1"/>
  <c r="F21" i="1"/>
  <c r="F21" i="4" s="1"/>
  <c r="D23" i="1"/>
  <c r="D23" i="4" s="1"/>
  <c r="D20" i="1"/>
  <c r="D20" i="4" s="1"/>
  <c r="L8" i="1"/>
  <c r="M9" i="1"/>
  <c r="N10" i="1"/>
  <c r="L12" i="1"/>
  <c r="F20" i="1"/>
  <c r="F20" i="4" s="1"/>
  <c r="D22" i="1"/>
  <c r="D22" i="4" s="1"/>
  <c r="E23" i="1"/>
  <c r="E23" i="4" s="1"/>
  <c r="F22" i="1"/>
  <c r="F22" i="4" s="1"/>
  <c r="M8" i="1"/>
  <c r="N9" i="1"/>
  <c r="L11" i="1"/>
  <c r="M12" i="1"/>
  <c r="D21" i="1"/>
  <c r="D21" i="4" s="1"/>
  <c r="E22" i="1"/>
  <c r="E22" i="4" s="1"/>
  <c r="F23" i="1"/>
  <c r="F23" i="4" s="1"/>
  <c r="E21" i="1"/>
  <c r="E21" i="4" s="1"/>
  <c r="N8" i="1"/>
  <c r="L10" i="1"/>
  <c r="M11" i="1"/>
  <c r="N12" i="1"/>
  <c r="L5" i="1"/>
  <c r="M6" i="1"/>
  <c r="N7" i="1"/>
  <c r="M4" i="1"/>
  <c r="O4" i="4" s="1"/>
  <c r="F16" i="1"/>
  <c r="F16" i="4" s="1"/>
  <c r="D18" i="1"/>
  <c r="D18" i="4" s="1"/>
  <c r="E19" i="1"/>
  <c r="E19" i="4" s="1"/>
  <c r="L7" i="1"/>
  <c r="E17" i="1"/>
  <c r="E17" i="4" s="1"/>
  <c r="L6" i="1"/>
  <c r="E16" i="1"/>
  <c r="E16" i="4" s="1"/>
  <c r="F17" i="1"/>
  <c r="F17" i="4" s="1"/>
  <c r="M5" i="1"/>
  <c r="N6" i="1"/>
  <c r="N4" i="1"/>
  <c r="P4" i="4" s="1"/>
  <c r="D17" i="1"/>
  <c r="D17" i="4" s="1"/>
  <c r="E18" i="1"/>
  <c r="E18" i="4" s="1"/>
  <c r="F19" i="1"/>
  <c r="F19" i="4" s="1"/>
  <c r="N5" i="1"/>
  <c r="D16" i="1"/>
  <c r="D16" i="4" s="1"/>
  <c r="F18" i="1"/>
  <c r="F18" i="4" s="1"/>
  <c r="M7" i="1"/>
  <c r="L4" i="1"/>
  <c r="N4" i="4" s="1"/>
  <c r="D19" i="1"/>
  <c r="D19" i="4" s="1"/>
  <c r="F14" i="1"/>
  <c r="F14" i="4" s="1"/>
  <c r="E15" i="1"/>
  <c r="E15" i="4" s="1"/>
  <c r="E14" i="1"/>
  <c r="E14" i="4" s="1"/>
  <c r="D15" i="1"/>
  <c r="D15" i="4" s="1"/>
  <c r="D14" i="1"/>
  <c r="D14" i="4" s="1"/>
  <c r="F15" i="1"/>
  <c r="F15" i="4" s="1"/>
  <c r="D5" i="1"/>
  <c r="D5" i="4" s="1"/>
  <c r="E6" i="1"/>
  <c r="E6" i="4" s="1"/>
  <c r="F7" i="1"/>
  <c r="F7" i="4" s="1"/>
  <c r="D9" i="1"/>
  <c r="D9" i="4" s="1"/>
  <c r="E10" i="1"/>
  <c r="E10" i="4" s="1"/>
  <c r="F11" i="1"/>
  <c r="F11" i="4" s="1"/>
  <c r="D13" i="1"/>
  <c r="D13" i="4" s="1"/>
  <c r="E4" i="1"/>
  <c r="E4" i="4" s="1"/>
  <c r="E7" i="1"/>
  <c r="E7" i="4" s="1"/>
  <c r="E5" i="1"/>
  <c r="E5" i="4" s="1"/>
  <c r="F6" i="1"/>
  <c r="F6" i="4" s="1"/>
  <c r="D8" i="1"/>
  <c r="D8" i="4" s="1"/>
  <c r="E9" i="1"/>
  <c r="E9" i="4" s="1"/>
  <c r="F10" i="1"/>
  <c r="F10" i="4" s="1"/>
  <c r="D12" i="1"/>
  <c r="D12" i="4" s="1"/>
  <c r="E13" i="1"/>
  <c r="E13" i="4" s="1"/>
  <c r="D4" i="1"/>
  <c r="D4" i="4" s="1"/>
  <c r="F8" i="1"/>
  <c r="F8" i="4" s="1"/>
  <c r="F4" i="1"/>
  <c r="F4" i="4" s="1"/>
  <c r="F5" i="1"/>
  <c r="F5" i="4" s="1"/>
  <c r="D7" i="1"/>
  <c r="D7" i="4" s="1"/>
  <c r="E8" i="1"/>
  <c r="E8" i="4" s="1"/>
  <c r="F9" i="1"/>
  <c r="F9" i="4" s="1"/>
  <c r="D11" i="1"/>
  <c r="D11" i="4" s="1"/>
  <c r="E12" i="1"/>
  <c r="E12" i="4" s="1"/>
  <c r="F13" i="1"/>
  <c r="F13" i="4" s="1"/>
  <c r="D6" i="1"/>
  <c r="D6" i="4" s="1"/>
  <c r="D10" i="1"/>
  <c r="D10" i="4" s="1"/>
  <c r="E11" i="1"/>
  <c r="E11" i="4" s="1"/>
  <c r="F12" i="1"/>
  <c r="F12" i="4" s="1"/>
  <c r="P20" i="4" l="1"/>
  <c r="O32" i="4"/>
  <c r="N10" i="4"/>
  <c r="O31" i="4"/>
  <c r="N29" i="4"/>
  <c r="P5" i="4"/>
  <c r="O26" i="4"/>
  <c r="O21" i="4"/>
  <c r="P26" i="4"/>
  <c r="N15" i="4"/>
  <c r="P10" i="4"/>
  <c r="N27" i="4"/>
  <c r="O15" i="4"/>
  <c r="P6" i="4"/>
  <c r="N31" i="4"/>
  <c r="P7" i="4"/>
  <c r="P15" i="4"/>
  <c r="O28" i="4"/>
  <c r="N5" i="4"/>
  <c r="P27" i="4"/>
  <c r="N21" i="4"/>
  <c r="N16" i="4"/>
  <c r="N13" i="4"/>
  <c r="P28" i="4"/>
  <c r="O5" i="4"/>
  <c r="P29" i="4"/>
  <c r="O7" i="4"/>
  <c r="O25" i="4"/>
  <c r="N25" i="4"/>
  <c r="O27" i="4"/>
  <c r="O13" i="4"/>
  <c r="P31" i="4"/>
  <c r="P14" i="4"/>
  <c r="N26" i="4"/>
  <c r="N17" i="4"/>
  <c r="N20" i="4"/>
  <c r="P25" i="4"/>
  <c r="O29" i="4"/>
  <c r="P21" i="4"/>
  <c r="P17" i="4"/>
  <c r="P80" i="4"/>
  <c r="P78" i="4"/>
  <c r="P79" i="4"/>
  <c r="O121" i="4"/>
  <c r="O122" i="4"/>
  <c r="O80" i="4"/>
  <c r="O78" i="4"/>
  <c r="O79" i="4"/>
  <c r="O118" i="4"/>
  <c r="O117" i="4"/>
  <c r="P121" i="4"/>
  <c r="P122" i="4"/>
  <c r="N74" i="4"/>
  <c r="N75" i="4"/>
  <c r="N73" i="4"/>
  <c r="P116" i="4"/>
  <c r="P115" i="4"/>
  <c r="P72" i="4"/>
  <c r="P71" i="4"/>
  <c r="P125" i="4"/>
  <c r="P124" i="4"/>
  <c r="N79" i="4"/>
  <c r="N78" i="4"/>
  <c r="N80" i="4"/>
  <c r="O99" i="4"/>
  <c r="O98" i="4"/>
  <c r="O94" i="4"/>
  <c r="O93" i="4"/>
  <c r="N51" i="4"/>
  <c r="N50" i="4"/>
  <c r="O127" i="4"/>
  <c r="O128" i="4"/>
  <c r="P82" i="4"/>
  <c r="P81" i="4"/>
  <c r="O41" i="4"/>
  <c r="O40" i="4"/>
  <c r="N18" i="4"/>
  <c r="N19" i="4"/>
  <c r="P118" i="4"/>
  <c r="P117" i="4"/>
  <c r="P74" i="4"/>
  <c r="P73" i="4"/>
  <c r="P75" i="4"/>
  <c r="N122" i="4"/>
  <c r="N121" i="4"/>
  <c r="P68" i="4"/>
  <c r="P67" i="4"/>
  <c r="O92" i="4"/>
  <c r="O91" i="4"/>
  <c r="O68" i="4"/>
  <c r="O67" i="4"/>
  <c r="N34" i="4"/>
  <c r="N33" i="4"/>
  <c r="N67" i="4"/>
  <c r="N68" i="4"/>
  <c r="N96" i="4"/>
  <c r="N97" i="4"/>
  <c r="O116" i="4"/>
  <c r="O115" i="4"/>
  <c r="O72" i="4"/>
  <c r="O71" i="4"/>
  <c r="P94" i="4"/>
  <c r="P93" i="4"/>
  <c r="O50" i="4"/>
  <c r="O51" i="4"/>
  <c r="P128" i="4"/>
  <c r="P127" i="4"/>
  <c r="O44" i="4"/>
  <c r="O45" i="4"/>
  <c r="N22" i="4"/>
  <c r="N24" i="4"/>
  <c r="N23" i="4"/>
  <c r="N76" i="4"/>
  <c r="N77" i="4"/>
  <c r="O108" i="4"/>
  <c r="O109" i="4"/>
  <c r="N70" i="4"/>
  <c r="N69" i="4"/>
  <c r="P34" i="4"/>
  <c r="P33" i="4"/>
  <c r="O12" i="4"/>
  <c r="O11" i="4"/>
  <c r="N118" i="4"/>
  <c r="N117" i="4"/>
  <c r="N106" i="4"/>
  <c r="N105" i="4"/>
  <c r="N82" i="4"/>
  <c r="N81" i="4"/>
  <c r="P110" i="4"/>
  <c r="P111" i="4"/>
  <c r="N129" i="4"/>
  <c r="N130" i="4"/>
  <c r="N131" i="4"/>
  <c r="N90" i="4"/>
  <c r="N89" i="4"/>
  <c r="P45" i="4"/>
  <c r="P44" i="4"/>
  <c r="O22" i="4"/>
  <c r="O23" i="4"/>
  <c r="O24" i="4"/>
  <c r="N124" i="4"/>
  <c r="N125" i="4"/>
  <c r="N84" i="4"/>
  <c r="N83" i="4"/>
  <c r="P40" i="4"/>
  <c r="P41" i="4"/>
  <c r="O19" i="4"/>
  <c r="O18" i="4"/>
  <c r="O114" i="4"/>
  <c r="O113" i="4"/>
  <c r="O70" i="4"/>
  <c r="O69" i="4"/>
  <c r="N35" i="4"/>
  <c r="N36" i="4"/>
  <c r="P11" i="4"/>
  <c r="P12" i="4"/>
  <c r="P87" i="4"/>
  <c r="P86" i="4"/>
  <c r="P85" i="4"/>
  <c r="O63" i="4"/>
  <c r="O64" i="4"/>
  <c r="O65" i="4"/>
  <c r="N111" i="4"/>
  <c r="N110" i="4"/>
  <c r="N64" i="4"/>
  <c r="N65" i="4"/>
  <c r="N63" i="4"/>
  <c r="O101" i="4"/>
  <c r="O102" i="4"/>
  <c r="O100" i="4"/>
  <c r="N58" i="4"/>
  <c r="N57" i="4"/>
  <c r="N12" i="4"/>
  <c r="N11" i="4"/>
  <c r="N100" i="4"/>
  <c r="N101" i="4"/>
  <c r="N102" i="4"/>
  <c r="O75" i="4"/>
  <c r="O73" i="4"/>
  <c r="O74" i="4"/>
  <c r="O124" i="4"/>
  <c r="O125" i="4"/>
  <c r="O84" i="4"/>
  <c r="O83" i="4"/>
  <c r="P18" i="4"/>
  <c r="P19" i="4"/>
  <c r="O119" i="4"/>
  <c r="O120" i="4"/>
  <c r="O76" i="4"/>
  <c r="O77" i="4"/>
  <c r="P108" i="4"/>
  <c r="P109" i="4"/>
  <c r="P63" i="4"/>
  <c r="P64" i="4"/>
  <c r="P65" i="4"/>
  <c r="N9" i="4"/>
  <c r="N8" i="4"/>
  <c r="P57" i="4"/>
  <c r="P58" i="4"/>
  <c r="N115" i="4"/>
  <c r="N116" i="4"/>
  <c r="O58" i="4"/>
  <c r="O57" i="4"/>
  <c r="P99" i="4"/>
  <c r="P98" i="4"/>
  <c r="P119" i="4"/>
  <c r="P120" i="4"/>
  <c r="P77" i="4"/>
  <c r="P76" i="4"/>
  <c r="P114" i="4"/>
  <c r="P113" i="4"/>
  <c r="P69" i="4"/>
  <c r="P70" i="4"/>
  <c r="O36" i="4"/>
  <c r="O35" i="4"/>
  <c r="O133" i="4"/>
  <c r="O132" i="4"/>
  <c r="N60" i="4"/>
  <c r="N61" i="4"/>
  <c r="N59" i="4"/>
  <c r="O96" i="4"/>
  <c r="O97" i="4"/>
  <c r="N54" i="4"/>
  <c r="N55" i="4"/>
  <c r="N53" i="4"/>
  <c r="N108" i="4"/>
  <c r="N109" i="4"/>
  <c r="O33" i="4"/>
  <c r="O34" i="4"/>
  <c r="N92" i="4"/>
  <c r="N91" i="4"/>
  <c r="P46" i="4"/>
  <c r="P47" i="4"/>
  <c r="P131" i="4"/>
  <c r="P130" i="4"/>
  <c r="P129" i="4"/>
  <c r="P89" i="4"/>
  <c r="P90" i="4"/>
  <c r="O46" i="4"/>
  <c r="O47" i="4"/>
  <c r="P51" i="4"/>
  <c r="P50" i="4"/>
  <c r="O111" i="4"/>
  <c r="O110" i="4"/>
  <c r="N71" i="4"/>
  <c r="N72" i="4"/>
  <c r="P35" i="4"/>
  <c r="P36" i="4"/>
  <c r="P101" i="4"/>
  <c r="P100" i="4"/>
  <c r="P102" i="4"/>
  <c r="O105" i="4"/>
  <c r="O106" i="4"/>
  <c r="O8" i="4"/>
  <c r="O9" i="4"/>
  <c r="P97" i="4"/>
  <c r="P96" i="4"/>
  <c r="O54" i="4"/>
  <c r="O53" i="4"/>
  <c r="O55" i="4"/>
  <c r="P133" i="4"/>
  <c r="P132" i="4"/>
  <c r="P92" i="4"/>
  <c r="P91" i="4"/>
  <c r="O49" i="4"/>
  <c r="O48" i="4"/>
  <c r="N49" i="4"/>
  <c r="N48" i="4"/>
  <c r="N133" i="4"/>
  <c r="N132" i="4"/>
  <c r="O87" i="4"/>
  <c r="O85" i="4"/>
  <c r="O86" i="4"/>
  <c r="N85" i="4"/>
  <c r="N87" i="4"/>
  <c r="N86" i="4"/>
  <c r="O90" i="4"/>
  <c r="O89" i="4"/>
  <c r="N47" i="4"/>
  <c r="N46" i="4"/>
  <c r="P22" i="4"/>
  <c r="P24" i="4"/>
  <c r="P23" i="4"/>
  <c r="P105" i="4"/>
  <c r="P106" i="4"/>
  <c r="P8" i="4"/>
  <c r="P9" i="4"/>
  <c r="O61" i="4"/>
  <c r="O60" i="4"/>
  <c r="O59" i="4"/>
  <c r="N94" i="4"/>
  <c r="N93" i="4"/>
  <c r="P48" i="4"/>
  <c r="P49" i="4"/>
  <c r="N127" i="4"/>
  <c r="N128" i="4"/>
  <c r="N113" i="4"/>
  <c r="N114" i="4"/>
  <c r="O129" i="4"/>
  <c r="O130" i="4"/>
  <c r="O131" i="4"/>
  <c r="P83" i="4"/>
  <c r="P84" i="4"/>
  <c r="P60" i="4"/>
  <c r="P61" i="4"/>
  <c r="P59" i="4"/>
  <c r="N99" i="4"/>
  <c r="N98" i="4"/>
  <c r="P54" i="4"/>
  <c r="P53" i="4"/>
  <c r="P55" i="4"/>
  <c r="N44" i="4"/>
  <c r="N45" i="4"/>
  <c r="O82" i="4"/>
  <c r="O81" i="4"/>
  <c r="N40" i="4"/>
  <c r="N41" i="4"/>
  <c r="N120" i="4"/>
  <c r="N119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Ronnarong Wongmalasit</author>
  </authors>
  <commentList>
    <comment ref="Q2" authorId="0" shapeId="0" xr:uid="{E8869F3A-1910-43FB-BE0F-AF4674C566E8}">
      <text>
        <r>
          <rPr>
            <sz val="9"/>
            <color indexed="81"/>
            <rFont val="Tahoma"/>
            <family val="2"/>
          </rPr>
          <t>Note:
0.00 is "Reading Error"
9.99 is "Out of Range"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Ronnarong Wongmalasit</author>
  </authors>
  <commentList>
    <comment ref="I1" authorId="0" shapeId="0" xr:uid="{3D359DC2-A095-42BC-8847-E2B22D0DFA3C}">
      <text>
        <r>
          <rPr>
            <b/>
            <sz val="9"/>
            <color indexed="81"/>
            <rFont val="Tahoma"/>
            <family val="2"/>
          </rPr>
          <t>Flow Rate/RPM</t>
        </r>
      </text>
    </comment>
    <comment ref="J1" authorId="0" shapeId="0" xr:uid="{2470DB80-C155-4C69-B00B-64798BDF9E8B}">
      <text>
        <r>
          <rPr>
            <sz val="9"/>
            <color indexed="81"/>
            <rFont val="Tahoma"/>
            <family val="2"/>
          </rPr>
          <t>Flow Rate/RPM</t>
        </r>
      </text>
    </comment>
  </commentList>
</comments>
</file>

<file path=xl/sharedStrings.xml><?xml version="1.0" encoding="utf-8"?>
<sst xmlns="http://schemas.openxmlformats.org/spreadsheetml/2006/main" count="161" uniqueCount="120">
  <si>
    <t>MWD</t>
  </si>
  <si>
    <t>Depth</t>
  </si>
  <si>
    <t>INC</t>
  </si>
  <si>
    <t>AZI</t>
  </si>
  <si>
    <t>BR</t>
  </si>
  <si>
    <t>TR</t>
  </si>
  <si>
    <t>DLS</t>
  </si>
  <si>
    <t>Level</t>
  </si>
  <si>
    <t>Low</t>
  </si>
  <si>
    <t>Medium</t>
  </si>
  <si>
    <t>High</t>
  </si>
  <si>
    <t>Color</t>
  </si>
  <si>
    <t>Comment</t>
  </si>
  <si>
    <t>Note: Sheet Password 1-0</t>
  </si>
  <si>
    <t>File Path:</t>
  </si>
  <si>
    <t>INCL_CONT_RT</t>
  </si>
  <si>
    <t>PDINCL</t>
  </si>
  <si>
    <t>AZIM_CONT_RT</t>
  </si>
  <si>
    <t>PDAZIM</t>
  </si>
  <si>
    <t>RSSDEP_CONT_RT</t>
  </si>
  <si>
    <t>SDEP_CONT_RT</t>
  </si>
  <si>
    <t>Ch</t>
  </si>
  <si>
    <t>PD</t>
  </si>
  <si>
    <t>D&amp;I</t>
  </si>
  <si>
    <t>Inclination</t>
  </si>
  <si>
    <t>Azimuth</t>
  </si>
  <si>
    <t>Name</t>
  </si>
  <si>
    <t>Buffer</t>
  </si>
  <si>
    <t>RSS</t>
  </si>
  <si>
    <t>Unit</t>
  </si>
  <si>
    <t>deg</t>
  </si>
  <si>
    <t>AutoRun</t>
  </si>
  <si>
    <t>lRow</t>
  </si>
  <si>
    <t>mRow</t>
  </si>
  <si>
    <t>Counter</t>
  </si>
  <si>
    <t>Debug</t>
  </si>
  <si>
    <t>Seperation</t>
  </si>
  <si>
    <t>Update Mode</t>
  </si>
  <si>
    <t>ft|deg/100ft</t>
  </si>
  <si>
    <t>Depth &amp; INC &amp; AZI</t>
  </si>
  <si>
    <t>Command</t>
  </si>
  <si>
    <t>Bit Period</t>
  </si>
  <si>
    <t>Bit Depth</t>
  </si>
  <si>
    <t>Tool Mode</t>
  </si>
  <si>
    <t>DL Mode</t>
  </si>
  <si>
    <t>Result</t>
  </si>
  <si>
    <t>1-1</t>
  </si>
  <si>
    <t>2-1</t>
  </si>
  <si>
    <t>Cmd</t>
  </si>
  <si>
    <t>2-30</t>
  </si>
  <si>
    <t>Downlink Command</t>
  </si>
  <si>
    <t>Tool Face
IH Target</t>
  </si>
  <si>
    <t>Steering %
AZIM Target</t>
  </si>
  <si>
    <t>ON/OFF
Bottom</t>
  </si>
  <si>
    <t>1-2</t>
  </si>
  <si>
    <t>1-3</t>
  </si>
  <si>
    <t>1-4</t>
  </si>
  <si>
    <t>1-5</t>
  </si>
  <si>
    <t>1-6</t>
  </si>
  <si>
    <t>1-7</t>
  </si>
  <si>
    <t>1-8</t>
  </si>
  <si>
    <t>1-9</t>
  </si>
  <si>
    <t>1-10</t>
  </si>
  <si>
    <t>1-11</t>
  </si>
  <si>
    <t>1-12</t>
  </si>
  <si>
    <t>1-13</t>
  </si>
  <si>
    <t>1-14</t>
  </si>
  <si>
    <t>1-15</t>
  </si>
  <si>
    <t>1-16</t>
  </si>
  <si>
    <t>1-17</t>
  </si>
  <si>
    <t>1-18</t>
  </si>
  <si>
    <t>1-19</t>
  </si>
  <si>
    <t>1-20</t>
  </si>
  <si>
    <t>1-21</t>
  </si>
  <si>
    <t>1-22</t>
  </si>
  <si>
    <t>1-23</t>
  </si>
  <si>
    <t>1-0</t>
  </si>
  <si>
    <t>1-24</t>
  </si>
  <si>
    <t>1-25</t>
  </si>
  <si>
    <t>1-26</t>
  </si>
  <si>
    <t>1-27</t>
  </si>
  <si>
    <t>1-28</t>
  </si>
  <si>
    <t>1-29</t>
  </si>
  <si>
    <t>1-30</t>
  </si>
  <si>
    <t>1-31</t>
  </si>
  <si>
    <t>2-0</t>
  </si>
  <si>
    <t>2-2</t>
  </si>
  <si>
    <t>2-3</t>
  </si>
  <si>
    <t>2-4</t>
  </si>
  <si>
    <t>2-5</t>
  </si>
  <si>
    <t>2-6</t>
  </si>
  <si>
    <t>2-7</t>
  </si>
  <si>
    <t>2-8</t>
  </si>
  <si>
    <t>2-9</t>
  </si>
  <si>
    <t>2-10</t>
  </si>
  <si>
    <t>2-11</t>
  </si>
  <si>
    <t>2-12</t>
  </si>
  <si>
    <t>2-13</t>
  </si>
  <si>
    <t>2-14</t>
  </si>
  <si>
    <t>2-15</t>
  </si>
  <si>
    <t>2-16</t>
  </si>
  <si>
    <t>2-17</t>
  </si>
  <si>
    <t>2-18</t>
  </si>
  <si>
    <t>2-19</t>
  </si>
  <si>
    <t>2-20</t>
  </si>
  <si>
    <t>2-21</t>
  </si>
  <si>
    <t>2-22</t>
  </si>
  <si>
    <t>2-23</t>
  </si>
  <si>
    <t>2-24</t>
  </si>
  <si>
    <t>2-25</t>
  </si>
  <si>
    <t>2-26</t>
  </si>
  <si>
    <t>2-27</t>
  </si>
  <si>
    <t>2-28</t>
  </si>
  <si>
    <t>2-29</t>
  </si>
  <si>
    <t>2-31</t>
  </si>
  <si>
    <t>Cmd List</t>
  </si>
  <si>
    <t>C:\Users\RWongmalasit\OneDrive - Schlumberger\Personal\Code\ReadScreen\output.csv</t>
  </si>
  <si>
    <r>
      <rPr>
        <b/>
        <sz val="12"/>
        <color theme="1"/>
        <rFont val="Calibri"/>
        <family val="2"/>
      </rPr>
      <t>∆</t>
    </r>
    <r>
      <rPr>
        <b/>
        <sz val="12"/>
        <color theme="1"/>
        <rFont val="Calibri"/>
        <family val="2"/>
        <scheme val="minor"/>
      </rPr>
      <t>INC</t>
    </r>
  </si>
  <si>
    <t>∆AZI</t>
  </si>
  <si>
    <t>By Ronnarong Wongmalasit (ron@slb.com); Version 0.3.6; Date 30-Sep-2021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</si>
</sst>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\-mmm\-yy\ hh:mm:ss"/>
  </numFmts>
  <fonts count="18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b/>
      <sz val="12"/>
      <name val="Calibri"/>
      <family val="2"/>
      <scheme val="minor"/>
    </font>
    <font>
      <sz val="9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9"/>
      <color indexed="81"/>
      <name val="Tahoma"/>
      <family val="2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9"/>
      <color indexed="81"/>
      <name val="Tahoma"/>
      <family val="2"/>
    </font>
    <font>
      <b/>
      <sz val="12"/>
      <color theme="1"/>
      <name val="Calibri"/>
      <family val="2"/>
    </font>
  </fonts>
  <fills count="18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0">
    <xf numFmtId="0" fontId="0" fillId="0" borderId="0"/>
    <xf numFmtId="0" fontId="6" fillId="0" borderId="0" applyNumberFormat="0" applyFill="0" applyBorder="0" applyAlignment="0" applyProtection="0"/>
    <xf numFmtId="0" fontId="7" fillId="0" borderId="0"/>
    <xf numFmtId="0" fontId="7" fillId="0" borderId="0"/>
    <xf numFmtId="0" fontId="8" fillId="0" borderId="0" applyNumberFormat="0" applyFill="0" applyBorder="0" applyAlignment="0" applyProtection="0">
      <alignment vertical="top"/>
      <protection locked="0"/>
    </xf>
    <xf numFmtId="0" fontId="7" fillId="0" borderId="0"/>
    <xf numFmtId="0" fontId="7" fillId="0" borderId="0"/>
    <xf numFmtId="0" fontId="11" fillId="0" borderId="0"/>
    <xf numFmtId="0" fontId="12" fillId="0" borderId="0"/>
    <xf numFmtId="0" fontId="7" fillId="0" borderId="0"/>
  </cellStyleXfs>
  <cellXfs count="107">
    <xf numFmtId="0" fontId="0" fillId="0" borderId="0" xfId="0"/>
    <xf numFmtId="0" fontId="0" fillId="0" borderId="1" xfId="0" applyBorder="1" applyAlignment="1" applyProtection="1">
      <alignment horizontal="center"/>
      <protection locked="0"/>
    </xf>
    <xf numFmtId="0" fontId="0" fillId="9" borderId="0" xfId="0" applyFill="1" applyBorder="1" applyProtection="1">
      <protection locked="0"/>
    </xf>
    <xf numFmtId="2" fontId="0" fillId="0" borderId="1" xfId="0" quotePrefix="1" applyNumberFormat="1" applyFill="1" applyBorder="1" applyAlignment="1" applyProtection="1">
      <alignment horizontal="left"/>
      <protection locked="0"/>
    </xf>
    <xf numFmtId="2" fontId="0" fillId="0" borderId="1" xfId="0" applyNumberFormat="1" applyFill="1" applyBorder="1" applyAlignment="1" applyProtection="1">
      <alignment horizontal="left"/>
      <protection locked="0"/>
    </xf>
    <xf numFmtId="2" fontId="0" fillId="4" borderId="1" xfId="0" applyNumberFormat="1" applyFill="1" applyBorder="1" applyProtection="1">
      <protection hidden="1"/>
    </xf>
    <xf numFmtId="0" fontId="0" fillId="0" borderId="1" xfId="0" quotePrefix="1" applyNumberFormat="1" applyFill="1" applyBorder="1" applyAlignment="1" applyProtection="1">
      <alignment horizontal="left"/>
      <protection locked="0"/>
    </xf>
    <xf numFmtId="2" fontId="0" fillId="9" borderId="1" xfId="0" applyNumberFormat="1" applyFill="1" applyBorder="1" applyProtection="1">
      <protection locked="0"/>
    </xf>
    <xf numFmtId="0" fontId="2" fillId="9" borderId="0" xfId="0" applyFont="1" applyFill="1" applyBorder="1" applyProtection="1">
      <protection locked="0"/>
    </xf>
    <xf numFmtId="1" fontId="0" fillId="9" borderId="0" xfId="0" applyNumberFormat="1" applyFill="1" applyBorder="1" applyProtection="1">
      <protection locked="0"/>
    </xf>
    <xf numFmtId="2" fontId="0" fillId="0" borderId="0" xfId="0" applyNumberFormat="1" applyFill="1" applyBorder="1" applyProtection="1">
      <protection locked="0"/>
    </xf>
    <xf numFmtId="2" fontId="0" fillId="0" borderId="1" xfId="0" applyNumberFormat="1" applyBorder="1" applyProtection="1">
      <protection locked="0"/>
    </xf>
    <xf numFmtId="0" fontId="0" fillId="9" borderId="10" xfId="0" applyFill="1" applyBorder="1" applyProtection="1">
      <protection locked="0"/>
    </xf>
    <xf numFmtId="22" fontId="0" fillId="9" borderId="10" xfId="0" applyNumberFormat="1" applyFill="1" applyBorder="1" applyProtection="1">
      <protection locked="0"/>
    </xf>
    <xf numFmtId="2" fontId="1" fillId="0" borderId="1" xfId="0" applyNumberFormat="1" applyFont="1" applyFill="1" applyBorder="1" applyProtection="1">
      <protection locked="0"/>
    </xf>
    <xf numFmtId="2" fontId="1" fillId="0" borderId="1" xfId="0" applyNumberFormat="1" applyFont="1" applyBorder="1" applyAlignment="1" applyProtection="1">
      <alignment vertical="center" wrapText="1"/>
      <protection locked="0"/>
    </xf>
    <xf numFmtId="2" fontId="1" fillId="0" borderId="1" xfId="0" applyNumberFormat="1" applyFont="1" applyFill="1" applyBorder="1" applyAlignment="1" applyProtection="1">
      <alignment horizontal="right"/>
      <protection locked="0"/>
    </xf>
    <xf numFmtId="2" fontId="1" fillId="0" borderId="0" xfId="0" applyNumberFormat="1" applyFont="1" applyFill="1" applyBorder="1" applyProtection="1">
      <protection locked="0"/>
    </xf>
    <xf numFmtId="0" fontId="0" fillId="0" borderId="0" xfId="0" applyProtection="1"/>
    <xf numFmtId="0" fontId="14" fillId="0" borderId="1" xfId="0" applyNumberFormat="1" applyFont="1" applyFill="1" applyBorder="1" applyAlignment="1" applyProtection="1">
      <alignment horizontal="left" vertical="center" wrapText="1"/>
      <protection locked="0"/>
    </xf>
    <xf numFmtId="0" fontId="14" fillId="0" borderId="1" xfId="0" quotePrefix="1" applyNumberFormat="1" applyFont="1" applyFill="1" applyBorder="1" applyAlignment="1" applyProtection="1">
      <alignment horizontal="left"/>
      <protection locked="0"/>
    </xf>
    <xf numFmtId="2" fontId="14" fillId="0" borderId="0" xfId="0" applyNumberFormat="1" applyFont="1" applyFill="1" applyBorder="1" applyAlignment="1" applyProtection="1">
      <alignment horizontal="center"/>
      <protection locked="0"/>
    </xf>
    <xf numFmtId="2" fontId="14" fillId="0" borderId="1" xfId="0" quotePrefix="1" applyNumberFormat="1" applyFont="1" applyFill="1" applyBorder="1" applyAlignment="1" applyProtection="1">
      <alignment horizontal="left"/>
      <protection locked="0"/>
    </xf>
    <xf numFmtId="2" fontId="14" fillId="0" borderId="1" xfId="0" applyNumberFormat="1" applyFont="1" applyFill="1" applyBorder="1" applyAlignment="1" applyProtection="1">
      <alignment horizontal="left"/>
      <protection locked="0"/>
    </xf>
    <xf numFmtId="0" fontId="0" fillId="0" borderId="1" xfId="0" applyBorder="1" applyProtection="1"/>
    <xf numFmtId="2" fontId="4" fillId="7" borderId="1" xfId="0" applyNumberFormat="1" applyFont="1" applyFill="1" applyBorder="1" applyAlignment="1" applyProtection="1">
      <alignment horizontal="center" vertical="center" wrapText="1"/>
      <protection hidden="1"/>
    </xf>
    <xf numFmtId="2" fontId="4" fillId="3" borderId="1" xfId="0" applyNumberFormat="1" applyFont="1" applyFill="1" applyBorder="1" applyAlignment="1" applyProtection="1">
      <alignment horizontal="center" vertical="center" wrapText="1"/>
      <protection hidden="1"/>
    </xf>
    <xf numFmtId="2" fontId="4" fillId="2" borderId="1" xfId="0" applyNumberFormat="1" applyFont="1" applyFill="1" applyBorder="1" applyAlignment="1" applyProtection="1">
      <alignment horizontal="center" vertical="center" wrapText="1"/>
      <protection hidden="1"/>
    </xf>
    <xf numFmtId="2" fontId="2" fillId="0" borderId="1" xfId="0" applyNumberFormat="1" applyFont="1" applyFill="1" applyBorder="1" applyAlignment="1" applyProtection="1">
      <alignment horizontal="center" vertical="center" wrapText="1"/>
      <protection hidden="1"/>
    </xf>
    <xf numFmtId="2" fontId="2" fillId="4" borderId="1" xfId="0" applyNumberFormat="1" applyFont="1" applyFill="1" applyBorder="1" applyAlignment="1" applyProtection="1">
      <alignment horizontal="center" vertical="center" wrapText="1"/>
      <protection hidden="1"/>
    </xf>
    <xf numFmtId="2" fontId="2" fillId="3" borderId="1" xfId="0" applyNumberFormat="1" applyFont="1" applyFill="1" applyBorder="1" applyAlignment="1" applyProtection="1">
      <alignment horizontal="center" vertical="center" wrapText="1"/>
      <protection hidden="1"/>
    </xf>
    <xf numFmtId="2" fontId="0" fillId="0" borderId="1" xfId="0" applyNumberFormat="1" applyBorder="1" applyProtection="1">
      <protection hidden="1"/>
    </xf>
    <xf numFmtId="2" fontId="0" fillId="14" borderId="1" xfId="0" applyNumberFormat="1" applyFill="1" applyBorder="1" applyProtection="1">
      <protection hidden="1"/>
    </xf>
    <xf numFmtId="0" fontId="0" fillId="3" borderId="1" xfId="0" applyFill="1" applyBorder="1" applyProtection="1">
      <protection hidden="1"/>
    </xf>
    <xf numFmtId="0" fontId="0" fillId="0" borderId="1" xfId="0" applyBorder="1" applyProtection="1">
      <protection hidden="1"/>
    </xf>
    <xf numFmtId="2" fontId="4" fillId="3" borderId="1" xfId="0" applyNumberFormat="1" applyFont="1" applyFill="1" applyBorder="1" applyProtection="1">
      <protection hidden="1"/>
    </xf>
    <xf numFmtId="0" fontId="0" fillId="0" borderId="0" xfId="0" applyProtection="1">
      <protection hidden="1"/>
    </xf>
    <xf numFmtId="2" fontId="0" fillId="0" borderId="0" xfId="0" applyNumberFormat="1" applyProtection="1">
      <protection hidden="1"/>
    </xf>
    <xf numFmtId="0" fontId="0" fillId="0" borderId="0" xfId="0" applyFill="1" applyProtection="1">
      <protection hidden="1"/>
    </xf>
    <xf numFmtId="2" fontId="0" fillId="0" borderId="0" xfId="0" applyNumberFormat="1" applyFill="1" applyProtection="1">
      <protection hidden="1"/>
    </xf>
    <xf numFmtId="0" fontId="0" fillId="0" borderId="0" xfId="0" applyFill="1" applyBorder="1" applyProtection="1"/>
    <xf numFmtId="0" fontId="0" fillId="9" borderId="2" xfId="0" applyFill="1" applyBorder="1" applyProtection="1"/>
    <xf numFmtId="0" fontId="0" fillId="9" borderId="3" xfId="0" applyFill="1" applyBorder="1" applyProtection="1"/>
    <xf numFmtId="0" fontId="0" fillId="9" borderId="4" xfId="0" applyFill="1" applyBorder="1" applyProtection="1"/>
    <xf numFmtId="0" fontId="0" fillId="9" borderId="5" xfId="0" applyFill="1" applyBorder="1" applyProtection="1"/>
    <xf numFmtId="0" fontId="0" fillId="9" borderId="0" xfId="0" applyFill="1" applyBorder="1" applyProtection="1"/>
    <xf numFmtId="0" fontId="0" fillId="9" borderId="6" xfId="0" applyFill="1" applyBorder="1" applyProtection="1"/>
    <xf numFmtId="0" fontId="0" fillId="0" borderId="7" xfId="0" applyFill="1" applyBorder="1" applyProtection="1"/>
    <xf numFmtId="0" fontId="0" fillId="9" borderId="8" xfId="0" applyFill="1" applyBorder="1" applyProtection="1"/>
    <xf numFmtId="0" fontId="0" fillId="9" borderId="9" xfId="0" applyFill="1" applyBorder="1" applyProtection="1"/>
    <xf numFmtId="0" fontId="0" fillId="0" borderId="1" xfId="0" applyBorder="1" applyAlignment="1" applyProtection="1">
      <alignment horizontal="left"/>
    </xf>
    <xf numFmtId="0" fontId="0" fillId="5" borderId="1" xfId="0" applyFill="1" applyBorder="1" applyProtection="1"/>
    <xf numFmtId="0" fontId="0" fillId="6" borderId="1" xfId="0" applyFill="1" applyBorder="1" applyProtection="1"/>
    <xf numFmtId="0" fontId="1" fillId="2" borderId="1" xfId="0" applyFont="1" applyFill="1" applyBorder="1" applyProtection="1"/>
    <xf numFmtId="0" fontId="3" fillId="8" borderId="1" xfId="0" applyFont="1" applyFill="1" applyBorder="1" applyAlignment="1" applyProtection="1">
      <alignment horizontal="center"/>
    </xf>
    <xf numFmtId="0" fontId="3" fillId="10" borderId="1" xfId="0" applyFont="1" applyFill="1" applyBorder="1" applyAlignment="1" applyProtection="1">
      <alignment horizontal="center"/>
    </xf>
    <xf numFmtId="0" fontId="3" fillId="12" borderId="1" xfId="0" applyFont="1" applyFill="1" applyBorder="1" applyAlignment="1" applyProtection="1">
      <alignment horizontal="center"/>
    </xf>
    <xf numFmtId="0" fontId="3" fillId="15" borderId="1" xfId="0" applyFont="1" applyFill="1" applyBorder="1" applyAlignment="1" applyProtection="1">
      <alignment horizontal="center"/>
    </xf>
    <xf numFmtId="0" fontId="3" fillId="13" borderId="1" xfId="0" applyFont="1" applyFill="1" applyBorder="1" applyAlignment="1" applyProtection="1">
      <alignment horizontal="center"/>
    </xf>
    <xf numFmtId="0" fontId="0" fillId="9" borderId="10" xfId="0" applyFill="1" applyBorder="1" applyProtection="1"/>
    <xf numFmtId="0" fontId="0" fillId="11" borderId="1" xfId="0" applyFill="1" applyBorder="1" applyAlignment="1" applyProtection="1">
      <alignment horizontal="center"/>
    </xf>
    <xf numFmtId="0" fontId="0" fillId="7" borderId="1" xfId="0" applyFill="1" applyBorder="1" applyAlignment="1" applyProtection="1">
      <alignment horizontal="center"/>
    </xf>
    <xf numFmtId="0" fontId="2" fillId="9" borderId="0" xfId="0" applyFont="1" applyFill="1" applyBorder="1" applyProtection="1"/>
    <xf numFmtId="0" fontId="2" fillId="0" borderId="0" xfId="0" applyFont="1" applyFill="1" applyBorder="1" applyProtection="1"/>
    <xf numFmtId="0" fontId="0" fillId="2" borderId="1" xfId="0" applyFill="1" applyBorder="1" applyAlignment="1" applyProtection="1">
      <alignment horizontal="center"/>
    </xf>
    <xf numFmtId="2" fontId="0" fillId="3" borderId="1" xfId="0" quotePrefix="1" applyNumberFormat="1" applyFill="1" applyBorder="1" applyProtection="1"/>
    <xf numFmtId="2" fontId="0" fillId="3" borderId="1" xfId="0" applyNumberFormat="1" applyFill="1" applyBorder="1" applyProtection="1"/>
    <xf numFmtId="2" fontId="0" fillId="3" borderId="0" xfId="0" applyNumberFormat="1" applyFill="1" applyBorder="1" applyProtection="1"/>
    <xf numFmtId="2" fontId="9" fillId="7" borderId="1" xfId="0" applyNumberFormat="1" applyFont="1" applyFill="1" applyBorder="1" applyAlignment="1" applyProtection="1">
      <alignment horizontal="center" vertical="center" wrapText="1"/>
      <protection hidden="1"/>
    </xf>
    <xf numFmtId="2" fontId="9" fillId="2" borderId="1" xfId="0" applyNumberFormat="1" applyFont="1" applyFill="1" applyBorder="1" applyAlignment="1" applyProtection="1">
      <alignment horizontal="center" vertical="center" wrapText="1"/>
      <protection hidden="1"/>
    </xf>
    <xf numFmtId="2" fontId="14" fillId="0" borderId="1" xfId="0" applyNumberFormat="1" applyFont="1" applyBorder="1" applyProtection="1">
      <protection locked="0"/>
    </xf>
    <xf numFmtId="2" fontId="1" fillId="0" borderId="1" xfId="0" applyNumberFormat="1" applyFont="1" applyBorder="1" applyProtection="1">
      <protection locked="0"/>
    </xf>
    <xf numFmtId="0" fontId="14" fillId="0" borderId="1" xfId="0" applyFont="1" applyBorder="1" applyAlignment="1" applyProtection="1">
      <alignment horizontal="left"/>
      <protection hidden="1"/>
    </xf>
    <xf numFmtId="0" fontId="0" fillId="0" borderId="1" xfId="0" applyBorder="1" applyAlignment="1" applyProtection="1">
      <alignment horizontal="left"/>
      <protection hidden="1"/>
    </xf>
    <xf numFmtId="0" fontId="0" fillId="0" borderId="1" xfId="0" applyBorder="1" applyProtection="1">
      <protection locked="0"/>
    </xf>
    <xf numFmtId="0" fontId="0" fillId="0" borderId="1" xfId="0" quotePrefix="1" applyNumberFormat="1" applyBorder="1" applyAlignment="1" applyProtection="1">
      <alignment horizontal="center"/>
      <protection locked="0"/>
    </xf>
    <xf numFmtId="2" fontId="14" fillId="0" borderId="1" xfId="0" applyNumberFormat="1" applyFont="1" applyFill="1" applyBorder="1" applyAlignment="1" applyProtection="1">
      <alignment horizontal="left" vertical="center" wrapText="1"/>
      <protection locked="0"/>
    </xf>
    <xf numFmtId="0" fontId="6" fillId="9" borderId="3" xfId="1" applyFill="1" applyBorder="1" applyProtection="1">
      <protection locked="0"/>
    </xf>
    <xf numFmtId="2" fontId="10" fillId="0" borderId="1" xfId="0" applyNumberFormat="1" applyFont="1" applyFill="1" applyBorder="1" applyAlignment="1" applyProtection="1">
      <alignment horizontal="center" vertical="center" wrapText="1"/>
      <protection hidden="1"/>
    </xf>
    <xf numFmtId="2" fontId="2" fillId="0" borderId="1" xfId="0" applyNumberFormat="1" applyFont="1" applyFill="1" applyBorder="1" applyAlignment="1" applyProtection="1">
      <alignment horizontal="left" vertical="center" wrapText="1"/>
      <protection locked="0"/>
    </xf>
    <xf numFmtId="0" fontId="0" fillId="0" borderId="0" xfId="0" applyBorder="1" applyAlignment="1" applyProtection="1">
      <alignment horizontal="left"/>
      <protection hidden="1"/>
    </xf>
    <xf numFmtId="0" fontId="0" fillId="0" borderId="1" xfId="0" applyFont="1" applyBorder="1" applyAlignment="1" applyProtection="1">
      <alignment horizontal="left"/>
      <protection hidden="1"/>
    </xf>
    <xf numFmtId="2" fontId="0" fillId="0" borderId="1" xfId="0" applyNumberFormat="1" applyFont="1" applyBorder="1" applyAlignment="1" applyProtection="1">
      <alignment horizontal="left"/>
      <protection locked="0"/>
    </xf>
    <xf numFmtId="49" fontId="0" fillId="0" borderId="0" xfId="0" applyNumberFormat="1" applyAlignment="1">
      <alignment horizontal="center"/>
    </xf>
    <xf numFmtId="0" fontId="0" fillId="0" borderId="1" xfId="0" applyFill="1" applyBorder="1" applyProtection="1">
      <protection hidden="1"/>
    </xf>
    <xf numFmtId="0" fontId="3" fillId="16" borderId="1" xfId="0" applyFont="1" applyFill="1" applyBorder="1" applyAlignment="1">
      <alignment horizontal="center" vertical="top" wrapText="1"/>
    </xf>
    <xf numFmtId="49" fontId="3" fillId="16" borderId="1" xfId="0" applyNumberFormat="1" applyFont="1" applyFill="1" applyBorder="1" applyAlignment="1">
      <alignment horizontal="center" vertical="top" wrapText="1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2" fontId="0" fillId="14" borderId="1" xfId="0" applyNumberFormat="1" applyFill="1" applyBorder="1" applyAlignment="1" applyProtection="1">
      <alignment horizontal="right"/>
    </xf>
    <xf numFmtId="0" fontId="14" fillId="0" borderId="1" xfId="0" applyNumberFormat="1" applyFont="1" applyFill="1" applyBorder="1" applyAlignment="1" applyProtection="1">
      <alignment horizontal="left" vertical="center" wrapText="1"/>
      <protection locked="0" hidden="1"/>
    </xf>
    <xf numFmtId="2" fontId="0" fillId="0" borderId="1" xfId="0" applyNumberFormat="1" applyFont="1" applyBorder="1" applyAlignment="1" applyProtection="1">
      <alignment horizontal="left"/>
      <protection locked="0" hidden="1"/>
    </xf>
    <xf numFmtId="0" fontId="0" fillId="0" borderId="1" xfId="0" applyFont="1" applyBorder="1" applyAlignment="1" applyProtection="1">
      <alignment horizontal="left"/>
      <protection locked="0" hidden="1"/>
    </xf>
    <xf numFmtId="0" fontId="0" fillId="0" borderId="1" xfId="0" applyFont="1" applyBorder="1" applyAlignment="1" applyProtection="1">
      <alignment horizontal="left"/>
      <protection locked="0"/>
    </xf>
    <xf numFmtId="49" fontId="0" fillId="0" borderId="1" xfId="0" applyNumberFormat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right"/>
      <protection locked="0"/>
    </xf>
    <xf numFmtId="0" fontId="3" fillId="14" borderId="1" xfId="0" applyFont="1" applyFill="1" applyBorder="1" applyAlignment="1">
      <alignment horizontal="center" vertical="top"/>
    </xf>
    <xf numFmtId="0" fontId="3" fillId="17" borderId="13" xfId="0" applyFont="1" applyFill="1" applyBorder="1" applyAlignment="1">
      <alignment horizontal="center" vertical="top" wrapText="1"/>
    </xf>
    <xf numFmtId="2" fontId="3" fillId="16" borderId="1" xfId="0" applyNumberFormat="1" applyFont="1" applyFill="1" applyBorder="1" applyAlignment="1">
      <alignment horizontal="center" vertical="top" wrapText="1"/>
    </xf>
    <xf numFmtId="2" fontId="0" fillId="0" borderId="0" xfId="0" applyNumberFormat="1"/>
    <xf numFmtId="2" fontId="17" fillId="2" borderId="1" xfId="0" applyNumberFormat="1" applyFont="1" applyFill="1" applyBorder="1" applyAlignment="1" applyProtection="1">
      <alignment horizontal="center" vertical="center" wrapText="1"/>
      <protection hidden="1"/>
    </xf>
    <xf numFmtId="2" fontId="4" fillId="7" borderId="1" xfId="0" applyNumberFormat="1" applyFont="1" applyFill="1" applyBorder="1" applyAlignment="1" applyProtection="1">
      <alignment horizontal="center" vertical="center"/>
      <protection hidden="1"/>
    </xf>
    <xf numFmtId="2" fontId="4" fillId="2" borderId="1" xfId="0" applyNumberFormat="1" applyFont="1" applyFill="1" applyBorder="1" applyAlignment="1" applyProtection="1">
      <alignment horizontal="center" vertical="center"/>
      <protection hidden="1"/>
    </xf>
    <xf numFmtId="0" fontId="0" fillId="9" borderId="1" xfId="0" applyFill="1" applyBorder="1" applyAlignment="1" applyProtection="1">
      <alignment horizontal="center"/>
      <protection locked="0"/>
    </xf>
    <xf numFmtId="164" fontId="0" fillId="9" borderId="10" xfId="0" applyNumberFormat="1" applyFill="1" applyBorder="1" applyAlignment="1" applyProtection="1">
      <alignment horizontal="right"/>
      <protection locked="0"/>
    </xf>
    <xf numFmtId="2" fontId="4" fillId="16" borderId="11" xfId="0" applyNumberFormat="1" applyFont="1" applyFill="1" applyBorder="1" applyAlignment="1" applyProtection="1">
      <alignment horizontal="center" vertical="center"/>
      <protection hidden="1"/>
    </xf>
    <xf numFmtId="2" fontId="4" fillId="16" borderId="12" xfId="0" applyNumberFormat="1" applyFont="1" applyFill="1" applyBorder="1" applyAlignment="1" applyProtection="1">
      <alignment horizontal="center" vertical="center"/>
      <protection hidden="1"/>
    </xf>
  </cellXfs>
  <cellStyles count="10">
    <cellStyle name="Hyperlink" xfId="1" builtinId="8"/>
    <cellStyle name="Hyperlink 2" xfId="4" xr:uid="{9A66C8B7-17C3-4004-A39B-0FCAD6D960B8}"/>
    <cellStyle name="Normal" xfId="0" builtinId="0"/>
    <cellStyle name="Normal 2" xfId="2" xr:uid="{CCC7FA0E-9D35-4FB7-88E2-C0C8B958F551}"/>
    <cellStyle name="Normal 2 2" xfId="3" xr:uid="{06A03767-5D80-4174-A56C-A02F7043A02E}"/>
    <cellStyle name="Normal 2 3" xfId="5" xr:uid="{69F89DB1-F23C-4C5E-8DCF-C4CA1364B8B0}"/>
    <cellStyle name="Normal 23" xfId="7" xr:uid="{3C4F5344-5204-49F8-A848-F617068A06C6}"/>
    <cellStyle name="Normal 3" xfId="6" xr:uid="{0221EF84-10C2-4395-BE2E-379FEA7ECAEA}"/>
    <cellStyle name="Normal 4" xfId="8" xr:uid="{83F54424-E12E-401C-93BC-A3FB95F4FA9A}"/>
    <cellStyle name="Normal 5" xfId="9" xr:uid="{C1B68FF2-7EBB-408C-9E79-656FA1F3214F}"/>
  </cellStyles>
  <dxfs count="76"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 tint="-4.9989318521683403E-2"/>
      </font>
    </dxf>
    <dxf>
      <font>
        <color theme="0" tint="-4.9989318521683403E-2"/>
      </font>
    </dxf>
    <dxf>
      <font>
        <color theme="0"/>
      </font>
    </dxf>
    <dxf>
      <font>
        <color theme="0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6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1499679555650502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10</xdr:row>
          <xdr:rowOff>133350</xdr:rowOff>
        </xdr:from>
        <xdr:to>
          <xdr:col>20</xdr:col>
          <xdr:colOff>19050</xdr:colOff>
          <xdr:row>13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Control Box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9</xdr:row>
          <xdr:rowOff>142875</xdr:rowOff>
        </xdr:from>
        <xdr:to>
          <xdr:col>7</xdr:col>
          <xdr:colOff>600075</xdr:colOff>
          <xdr:row>11</xdr:row>
          <xdr:rowOff>85725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file:///\\100.125.29.19\d\Python\ReadScreen-EXE\output.csv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6" tint="0.59999389629810485"/>
  </sheetPr>
  <dimension ref="A1:BN3000"/>
  <sheetViews>
    <sheetView tabSelected="1" zoomScaleNormal="100" workbookViewId="0">
      <selection activeCell="O8" sqref="O8"/>
    </sheetView>
  </sheetViews>
  <sheetFormatPr defaultColWidth="9.140625" defaultRowHeight="15" x14ac:dyDescent="0.25"/>
  <cols>
    <col min="1" max="3" width="8.5703125" style="17" customWidth="1"/>
    <col min="4" max="6" width="9.28515625" style="10" customWidth="1"/>
    <col min="7" max="7" width="26.42578125" style="21" customWidth="1"/>
    <col min="8" max="8" width="0.42578125" style="67" customWidth="1"/>
    <col min="9" max="11" width="8.5703125" style="17" customWidth="1"/>
    <col min="12" max="14" width="9.28515625" style="10" customWidth="1"/>
    <col min="15" max="15" width="25.7109375" style="10" customWidth="1"/>
    <col min="16" max="16" width="10" style="2" customWidth="1"/>
    <col min="17" max="17" width="10.140625" style="2" customWidth="1"/>
    <col min="18" max="20" width="10" style="2" customWidth="1"/>
    <col min="21" max="21" width="9.140625" style="2"/>
    <col min="22" max="23" width="9.140625" style="45" customWidth="1"/>
    <col min="24" max="24" width="9.140625" style="45" hidden="1" customWidth="1"/>
    <col min="25" max="66" width="9.140625" style="45"/>
    <col min="67" max="16384" width="9.140625" style="40"/>
  </cols>
  <sheetData>
    <row r="1" spans="1:66" ht="19.5" customHeight="1" x14ac:dyDescent="0.25">
      <c r="A1" s="101" t="s">
        <v>28</v>
      </c>
      <c r="B1" s="101"/>
      <c r="C1" s="101"/>
      <c r="D1" s="101"/>
      <c r="E1" s="101"/>
      <c r="F1" s="101"/>
      <c r="G1" s="101"/>
      <c r="H1" s="35"/>
      <c r="I1" s="102" t="s">
        <v>0</v>
      </c>
      <c r="J1" s="102"/>
      <c r="K1" s="102"/>
      <c r="L1" s="102"/>
      <c r="M1" s="102"/>
      <c r="N1" s="102"/>
      <c r="O1" s="102"/>
    </row>
    <row r="2" spans="1:66" ht="15.75" x14ac:dyDescent="0.25">
      <c r="A2" s="68" t="s">
        <v>1</v>
      </c>
      <c r="B2" s="68" t="s">
        <v>2</v>
      </c>
      <c r="C2" s="68" t="s">
        <v>3</v>
      </c>
      <c r="D2" s="25" t="s">
        <v>4</v>
      </c>
      <c r="E2" s="25" t="s">
        <v>5</v>
      </c>
      <c r="F2" s="25" t="s">
        <v>6</v>
      </c>
      <c r="G2" s="25" t="s">
        <v>12</v>
      </c>
      <c r="H2" s="26"/>
      <c r="I2" s="69" t="s">
        <v>1</v>
      </c>
      <c r="J2" s="69" t="s">
        <v>2</v>
      </c>
      <c r="K2" s="69" t="s">
        <v>3</v>
      </c>
      <c r="L2" s="27" t="s">
        <v>4</v>
      </c>
      <c r="M2" s="27" t="s">
        <v>5</v>
      </c>
      <c r="N2" s="27" t="s">
        <v>6</v>
      </c>
      <c r="O2" s="27" t="s">
        <v>12</v>
      </c>
      <c r="Q2" s="60" t="s">
        <v>27</v>
      </c>
      <c r="R2" s="60" t="s">
        <v>1</v>
      </c>
      <c r="S2" s="60" t="s">
        <v>2</v>
      </c>
      <c r="T2" s="60" t="s">
        <v>3</v>
      </c>
    </row>
    <row r="3" spans="1:66" s="63" customFormat="1" x14ac:dyDescent="0.25">
      <c r="A3" s="78" t="str">
        <f>IF(Setting!N2="ft|deg/100ft","ft","m")</f>
        <v>ft</v>
      </c>
      <c r="B3" s="78" t="s">
        <v>30</v>
      </c>
      <c r="C3" s="78" t="s">
        <v>30</v>
      </c>
      <c r="D3" s="29" t="str">
        <f>IF(Setting!N2="m|deg/10m","deg/10m",IF(Setting!N2="m|deg/30m","deg/30m","deg/100ft"))</f>
        <v>deg/100ft</v>
      </c>
      <c r="E3" s="29" t="str">
        <f>D3</f>
        <v>deg/100ft</v>
      </c>
      <c r="F3" s="29" t="str">
        <f>D3</f>
        <v>deg/100ft</v>
      </c>
      <c r="G3" s="19"/>
      <c r="H3" s="30"/>
      <c r="I3" s="78" t="str">
        <f>A3</f>
        <v>ft</v>
      </c>
      <c r="J3" s="78" t="s">
        <v>30</v>
      </c>
      <c r="K3" s="78" t="s">
        <v>30</v>
      </c>
      <c r="L3" s="29" t="str">
        <f>D3</f>
        <v>deg/100ft</v>
      </c>
      <c r="M3" s="29" t="str">
        <f>D3</f>
        <v>deg/100ft</v>
      </c>
      <c r="N3" s="29" t="str">
        <f>D3</f>
        <v>deg/100ft</v>
      </c>
      <c r="O3" s="79"/>
      <c r="P3" s="8"/>
      <c r="Q3" s="64" t="s">
        <v>0</v>
      </c>
      <c r="R3" s="7"/>
      <c r="S3" s="7"/>
      <c r="T3" s="7"/>
      <c r="U3" s="8"/>
      <c r="V3" s="62"/>
      <c r="W3" s="62"/>
      <c r="X3" s="62" t="s">
        <v>29</v>
      </c>
      <c r="Y3" s="62"/>
      <c r="Z3" s="62"/>
      <c r="AA3" s="62"/>
      <c r="AB3" s="62"/>
      <c r="AC3" s="62"/>
      <c r="AD3" s="62"/>
      <c r="AE3" s="62"/>
      <c r="AF3" s="62"/>
      <c r="AG3" s="62"/>
      <c r="AH3" s="62"/>
      <c r="AI3" s="62"/>
      <c r="AJ3" s="62"/>
      <c r="AK3" s="62"/>
      <c r="AL3" s="62"/>
      <c r="AM3" s="62"/>
      <c r="AN3" s="62"/>
      <c r="AO3" s="62"/>
      <c r="AP3" s="62"/>
      <c r="AQ3" s="62"/>
      <c r="AR3" s="62"/>
      <c r="AS3" s="62"/>
      <c r="AT3" s="62"/>
      <c r="AU3" s="62"/>
      <c r="AV3" s="62"/>
      <c r="AW3" s="62"/>
      <c r="AX3" s="62"/>
      <c r="AY3" s="62"/>
      <c r="AZ3" s="62"/>
      <c r="BA3" s="62"/>
      <c r="BB3" s="62"/>
      <c r="BC3" s="62"/>
      <c r="BD3" s="62"/>
      <c r="BE3" s="62"/>
      <c r="BF3" s="62"/>
      <c r="BG3" s="62"/>
      <c r="BH3" s="62"/>
      <c r="BI3" s="62"/>
      <c r="BJ3" s="62"/>
      <c r="BK3" s="62"/>
      <c r="BL3" s="62"/>
      <c r="BM3" s="62"/>
      <c r="BN3" s="62"/>
    </row>
    <row r="4" spans="1:66" ht="14.25" customHeight="1" x14ac:dyDescent="0.25">
      <c r="A4" s="15"/>
      <c r="B4" s="15"/>
      <c r="C4" s="15"/>
      <c r="D4" s="5" t="str">
        <f>IFERROR( IF(A4&lt;&gt;"",((B4-B3)*$X$4/(A4-A3))*$X$5,""),"")</f>
        <v/>
      </c>
      <c r="E4" s="5" t="str">
        <f>IFERROR(IF(A4&lt;&gt;"",((C4-C3)*$X$4/(A4-A3))*$X$5,""),"")</f>
        <v/>
      </c>
      <c r="F4" s="5" t="str">
        <f>IFERROR(IF(A4&lt;&gt;"",((ACOS((COS(RADIANS(B3))*COS(RADIANS(B4)))+(SIN(RADIANS(B3))*SIN(RADIANS(B4)))*COS(RADIANS(C4-C3)))*180/PI()*($X$4/(A4-A3))))*$X$5,""),"")</f>
        <v/>
      </c>
      <c r="G4" s="19"/>
      <c r="H4" s="65"/>
      <c r="I4" s="71"/>
      <c r="J4" s="71"/>
      <c r="K4" s="71"/>
      <c r="L4" s="5" t="str">
        <f>IFERROR(IF(I4&lt;&gt;"",(((J4-J3)*$X$4/(I4-I3)))*$X$5,""),"")</f>
        <v/>
      </c>
      <c r="M4" s="5" t="str">
        <f>IFERROR(IF(I4&lt;&gt;"",(((K4-K3)*$X$4/(I4-I3)))*$X$5,""),"")</f>
        <v/>
      </c>
      <c r="N4" s="5" t="str">
        <f>IFERROR(IF(I4&lt;&gt;"",((ACOS((COS(RADIANS(J3))*COS(RADIANS(J4)))+(SIN(RADIANS(J3))*SIN(RADIANS(J4)))*COS(RADIANS(K4-K3)))*180/PI()*($X$4/(I4-I3))))*$X$5,""),"")</f>
        <v/>
      </c>
      <c r="O4" s="3"/>
      <c r="Q4" s="61" t="s">
        <v>28</v>
      </c>
      <c r="R4" s="7"/>
      <c r="S4" s="7"/>
      <c r="T4" s="7"/>
      <c r="X4" s="45">
        <f>IF(Setting!N2="ft|deg/100ft",100,10)</f>
        <v>100</v>
      </c>
    </row>
    <row r="5" spans="1:66" x14ac:dyDescent="0.25">
      <c r="A5" s="15"/>
      <c r="B5" s="15"/>
      <c r="C5" s="15"/>
      <c r="D5" s="5" t="str">
        <f t="shared" ref="D5:D68" si="0">IFERROR( IF(A5&lt;&gt;"",((B5-B4)*$X$4/(A5-A4))*$X$5,""),"")</f>
        <v/>
      </c>
      <c r="E5" s="5" t="str">
        <f t="shared" ref="E5:E68" si="1">IFERROR(IF(A5&lt;&gt;"",((C5-C4)*$X$4/(A5-A4))*$X$5,""),"")</f>
        <v/>
      </c>
      <c r="F5" s="5" t="str">
        <f t="shared" ref="F5:F68" si="2">IFERROR(IF(A5&lt;&gt;"",((ACOS((COS(RADIANS(B4))*COS(RADIANS(B5)))+(SIN(RADIANS(B4))*SIN(RADIANS(B5)))*COS(RADIANS(C5-C4)))*180/PI()*($X$4/(A5-A4))))*$X$5,""),"")</f>
        <v/>
      </c>
      <c r="G5" s="76"/>
      <c r="H5" s="65"/>
      <c r="I5" s="71"/>
      <c r="J5" s="71"/>
      <c r="K5" s="71"/>
      <c r="L5" s="5" t="str">
        <f t="shared" ref="L5:L68" si="3">IFERROR(IF(I5&lt;&gt;"",(((J5-J4)*$X$4/(I5-I4)))*$X$5,""),"")</f>
        <v/>
      </c>
      <c r="M5" s="5" t="str">
        <f t="shared" ref="M5:M68" si="4">IFERROR(IF(I5&lt;&gt;"",(((K5-K4)*$X$4/(I5-I4)))*$X$5,""),"")</f>
        <v/>
      </c>
      <c r="N5" s="5" t="str">
        <f t="shared" ref="N5:N68" si="5">IFERROR(IF(I5&lt;&gt;"",((ACOS((COS(RADIANS(J4))*COS(RADIANS(J5)))+(SIN(RADIANS(J4))*SIN(RADIANS(J5)))*COS(RADIANS(K5-K4)))*180/PI()*($X$4/(I5-I4))))*$X$5,""),"")</f>
        <v/>
      </c>
      <c r="O5" s="3"/>
      <c r="X5" s="45">
        <f>IF(Setting!N2="m|deg/30m",3,1)</f>
        <v>1</v>
      </c>
    </row>
    <row r="6" spans="1:66" x14ac:dyDescent="0.25">
      <c r="A6" s="15"/>
      <c r="B6" s="15"/>
      <c r="C6" s="15"/>
      <c r="D6" s="5" t="str">
        <f t="shared" si="0"/>
        <v/>
      </c>
      <c r="E6" s="5" t="str">
        <f t="shared" si="1"/>
        <v/>
      </c>
      <c r="F6" s="5" t="str">
        <f t="shared" si="2"/>
        <v/>
      </c>
      <c r="G6" s="76"/>
      <c r="H6" s="66"/>
      <c r="I6" s="15"/>
      <c r="J6" s="15"/>
      <c r="K6" s="15"/>
      <c r="L6" s="5" t="str">
        <f t="shared" si="3"/>
        <v/>
      </c>
      <c r="M6" s="5" t="str">
        <f t="shared" si="4"/>
        <v/>
      </c>
      <c r="N6" s="5" t="str">
        <f t="shared" si="5"/>
        <v/>
      </c>
      <c r="O6" s="3"/>
      <c r="Q6" s="60" t="s">
        <v>31</v>
      </c>
      <c r="R6" s="103"/>
      <c r="S6" s="103"/>
      <c r="T6" s="103"/>
    </row>
    <row r="7" spans="1:66" x14ac:dyDescent="0.25">
      <c r="A7" s="15"/>
      <c r="B7" s="15"/>
      <c r="C7" s="15"/>
      <c r="D7" s="5" t="str">
        <f t="shared" si="0"/>
        <v/>
      </c>
      <c r="E7" s="5" t="str">
        <f t="shared" si="1"/>
        <v/>
      </c>
      <c r="F7" s="5" t="str">
        <f t="shared" si="2"/>
        <v/>
      </c>
      <c r="G7" s="22"/>
      <c r="H7" s="66"/>
      <c r="I7" s="15"/>
      <c r="J7" s="15"/>
      <c r="K7" s="15"/>
      <c r="L7" s="5" t="str">
        <f t="shared" si="3"/>
        <v/>
      </c>
      <c r="M7" s="5" t="str">
        <f t="shared" si="4"/>
        <v/>
      </c>
      <c r="N7" s="5" t="str">
        <f t="shared" si="5"/>
        <v/>
      </c>
      <c r="O7" s="3"/>
    </row>
    <row r="8" spans="1:66" x14ac:dyDescent="0.25">
      <c r="A8" s="15"/>
      <c r="B8" s="15"/>
      <c r="C8" s="15"/>
      <c r="D8" s="5" t="str">
        <f t="shared" si="0"/>
        <v/>
      </c>
      <c r="E8" s="5" t="str">
        <f t="shared" si="1"/>
        <v/>
      </c>
      <c r="F8" s="5" t="str">
        <f t="shared" si="2"/>
        <v/>
      </c>
      <c r="G8" s="22"/>
      <c r="H8" s="66"/>
      <c r="I8" s="15"/>
      <c r="J8" s="15"/>
      <c r="K8" s="15"/>
      <c r="L8" s="5" t="str">
        <f t="shared" si="3"/>
        <v/>
      </c>
      <c r="M8" s="5" t="str">
        <f t="shared" si="4"/>
        <v/>
      </c>
      <c r="N8" s="5" t="str">
        <f t="shared" si="5"/>
        <v/>
      </c>
      <c r="O8" s="3"/>
      <c r="Q8" s="59" t="s">
        <v>35</v>
      </c>
      <c r="R8" s="104"/>
      <c r="S8" s="104"/>
      <c r="T8" s="104"/>
    </row>
    <row r="9" spans="1:66" x14ac:dyDescent="0.25">
      <c r="A9" s="15"/>
      <c r="B9" s="15"/>
      <c r="C9" s="15"/>
      <c r="D9" s="5" t="str">
        <f t="shared" si="0"/>
        <v/>
      </c>
      <c r="E9" s="5" t="str">
        <f t="shared" si="1"/>
        <v/>
      </c>
      <c r="F9" s="5" t="str">
        <f t="shared" si="2"/>
        <v/>
      </c>
      <c r="G9" s="22"/>
      <c r="H9" s="66"/>
      <c r="I9" s="15"/>
      <c r="J9" s="15"/>
      <c r="K9" s="15"/>
      <c r="L9" s="5" t="str">
        <f t="shared" si="3"/>
        <v/>
      </c>
      <c r="M9" s="5" t="str">
        <f t="shared" si="4"/>
        <v/>
      </c>
      <c r="N9" s="5" t="str">
        <f t="shared" si="5"/>
        <v/>
      </c>
      <c r="O9" s="3"/>
      <c r="Q9" s="59" t="s">
        <v>32</v>
      </c>
      <c r="R9" s="12"/>
      <c r="S9" s="59" t="s">
        <v>34</v>
      </c>
      <c r="T9" s="12"/>
    </row>
    <row r="10" spans="1:66" x14ac:dyDescent="0.25">
      <c r="A10" s="15"/>
      <c r="B10" s="15"/>
      <c r="C10" s="15"/>
      <c r="D10" s="5" t="str">
        <f t="shared" si="0"/>
        <v/>
      </c>
      <c r="E10" s="5" t="str">
        <f t="shared" si="1"/>
        <v/>
      </c>
      <c r="F10" s="5" t="str">
        <f t="shared" si="2"/>
        <v/>
      </c>
      <c r="G10" s="76"/>
      <c r="H10" s="66"/>
      <c r="I10" s="15"/>
      <c r="J10" s="15"/>
      <c r="K10" s="15"/>
      <c r="L10" s="5" t="str">
        <f t="shared" si="3"/>
        <v/>
      </c>
      <c r="M10" s="5" t="str">
        <f t="shared" si="4"/>
        <v/>
      </c>
      <c r="N10" s="5" t="str">
        <f t="shared" si="5"/>
        <v/>
      </c>
      <c r="O10" s="3"/>
      <c r="Q10" s="59" t="s">
        <v>33</v>
      </c>
      <c r="R10" s="12"/>
      <c r="S10" s="12"/>
      <c r="T10" s="13"/>
    </row>
    <row r="11" spans="1:66" x14ac:dyDescent="0.25">
      <c r="A11" s="15"/>
      <c r="B11" s="15"/>
      <c r="C11" s="15"/>
      <c r="D11" s="5" t="str">
        <f t="shared" si="0"/>
        <v/>
      </c>
      <c r="E11" s="5" t="str">
        <f t="shared" si="1"/>
        <v/>
      </c>
      <c r="F11" s="5" t="str">
        <f t="shared" si="2"/>
        <v/>
      </c>
      <c r="G11" s="76"/>
      <c r="H11" s="66"/>
      <c r="I11" s="15"/>
      <c r="J11" s="15"/>
      <c r="K11" s="15"/>
      <c r="L11" s="5" t="str">
        <f t="shared" si="3"/>
        <v/>
      </c>
      <c r="M11" s="5" t="str">
        <f t="shared" si="4"/>
        <v/>
      </c>
      <c r="N11" s="5" t="str">
        <f t="shared" si="5"/>
        <v/>
      </c>
      <c r="O11" s="3"/>
    </row>
    <row r="12" spans="1:66" x14ac:dyDescent="0.25">
      <c r="A12" s="15"/>
      <c r="B12" s="15"/>
      <c r="C12" s="15"/>
      <c r="D12" s="5" t="str">
        <f t="shared" si="0"/>
        <v/>
      </c>
      <c r="E12" s="5" t="str">
        <f t="shared" si="1"/>
        <v/>
      </c>
      <c r="F12" s="5" t="str">
        <f t="shared" si="2"/>
        <v/>
      </c>
      <c r="G12" s="22"/>
      <c r="H12" s="66"/>
      <c r="I12" s="15"/>
      <c r="J12" s="15"/>
      <c r="K12" s="15"/>
      <c r="L12" s="5" t="str">
        <f t="shared" si="3"/>
        <v/>
      </c>
      <c r="M12" s="5" t="str">
        <f t="shared" si="4"/>
        <v/>
      </c>
      <c r="N12" s="5" t="str">
        <f t="shared" si="5"/>
        <v/>
      </c>
      <c r="O12" s="3"/>
    </row>
    <row r="13" spans="1:66" x14ac:dyDescent="0.25">
      <c r="A13" s="15"/>
      <c r="B13" s="15"/>
      <c r="C13" s="15"/>
      <c r="D13" s="5" t="str">
        <f t="shared" si="0"/>
        <v/>
      </c>
      <c r="E13" s="5" t="str">
        <f t="shared" si="1"/>
        <v/>
      </c>
      <c r="F13" s="5" t="str">
        <f t="shared" si="2"/>
        <v/>
      </c>
      <c r="G13" s="22"/>
      <c r="H13" s="66"/>
      <c r="I13" s="15"/>
      <c r="J13" s="15"/>
      <c r="K13" s="15"/>
      <c r="L13" s="5" t="str">
        <f t="shared" si="3"/>
        <v/>
      </c>
      <c r="M13" s="5" t="str">
        <f t="shared" si="4"/>
        <v/>
      </c>
      <c r="N13" s="5" t="str">
        <f t="shared" si="5"/>
        <v/>
      </c>
      <c r="O13" s="3"/>
    </row>
    <row r="14" spans="1:66" x14ac:dyDescent="0.25">
      <c r="A14" s="15"/>
      <c r="B14" s="15"/>
      <c r="C14" s="15"/>
      <c r="D14" s="5" t="str">
        <f t="shared" si="0"/>
        <v/>
      </c>
      <c r="E14" s="5" t="str">
        <f t="shared" si="1"/>
        <v/>
      </c>
      <c r="F14" s="5" t="str">
        <f t="shared" si="2"/>
        <v/>
      </c>
      <c r="G14" s="22"/>
      <c r="H14" s="66"/>
      <c r="I14" s="15"/>
      <c r="J14" s="15"/>
      <c r="K14" s="15"/>
      <c r="L14" s="5" t="str">
        <f t="shared" si="3"/>
        <v/>
      </c>
      <c r="M14" s="5" t="str">
        <f t="shared" si="4"/>
        <v/>
      </c>
      <c r="N14" s="5" t="str">
        <f t="shared" si="5"/>
        <v/>
      </c>
      <c r="O14" s="3"/>
      <c r="R14" s="9"/>
      <c r="S14" s="9"/>
      <c r="T14" s="9"/>
    </row>
    <row r="15" spans="1:66" x14ac:dyDescent="0.25">
      <c r="A15" s="15"/>
      <c r="B15" s="15"/>
      <c r="C15" s="15"/>
      <c r="D15" s="5" t="str">
        <f t="shared" si="0"/>
        <v/>
      </c>
      <c r="E15" s="5" t="str">
        <f t="shared" si="1"/>
        <v/>
      </c>
      <c r="F15" s="5" t="str">
        <f t="shared" si="2"/>
        <v/>
      </c>
      <c r="G15" s="22"/>
      <c r="H15" s="66"/>
      <c r="I15" s="15"/>
      <c r="J15" s="15"/>
      <c r="K15" s="15"/>
      <c r="L15" s="5" t="str">
        <f t="shared" si="3"/>
        <v/>
      </c>
      <c r="M15" s="5" t="str">
        <f t="shared" si="4"/>
        <v/>
      </c>
      <c r="N15" s="5" t="str">
        <f t="shared" si="5"/>
        <v/>
      </c>
      <c r="O15" s="3"/>
    </row>
    <row r="16" spans="1:66" x14ac:dyDescent="0.25">
      <c r="A16" s="15"/>
      <c r="B16" s="15"/>
      <c r="C16" s="15"/>
      <c r="D16" s="5" t="str">
        <f t="shared" si="0"/>
        <v/>
      </c>
      <c r="E16" s="5" t="str">
        <f t="shared" si="1"/>
        <v/>
      </c>
      <c r="F16" s="5" t="str">
        <f t="shared" si="2"/>
        <v/>
      </c>
      <c r="G16" s="76"/>
      <c r="H16" s="66"/>
      <c r="I16" s="15"/>
      <c r="J16" s="15"/>
      <c r="K16" s="15"/>
      <c r="L16" s="5" t="str">
        <f t="shared" si="3"/>
        <v/>
      </c>
      <c r="M16" s="5" t="str">
        <f t="shared" si="4"/>
        <v/>
      </c>
      <c r="N16" s="5" t="str">
        <f t="shared" si="5"/>
        <v/>
      </c>
      <c r="O16" s="3"/>
    </row>
    <row r="17" spans="1:15" x14ac:dyDescent="0.25">
      <c r="A17" s="15"/>
      <c r="B17" s="15"/>
      <c r="C17" s="15"/>
      <c r="D17" s="5" t="str">
        <f t="shared" si="0"/>
        <v/>
      </c>
      <c r="E17" s="5" t="str">
        <f t="shared" si="1"/>
        <v/>
      </c>
      <c r="F17" s="5" t="str">
        <f t="shared" si="2"/>
        <v/>
      </c>
      <c r="G17" s="76"/>
      <c r="H17" s="66"/>
      <c r="I17" s="15"/>
      <c r="J17" s="15"/>
      <c r="K17" s="15"/>
      <c r="L17" s="5" t="str">
        <f t="shared" si="3"/>
        <v/>
      </c>
      <c r="M17" s="5" t="str">
        <f t="shared" si="4"/>
        <v/>
      </c>
      <c r="N17" s="5" t="str">
        <f t="shared" si="5"/>
        <v/>
      </c>
      <c r="O17" s="3"/>
    </row>
    <row r="18" spans="1:15" x14ac:dyDescent="0.25">
      <c r="A18" s="15"/>
      <c r="B18" s="15"/>
      <c r="C18" s="15"/>
      <c r="D18" s="5" t="str">
        <f t="shared" si="0"/>
        <v/>
      </c>
      <c r="E18" s="5" t="str">
        <f t="shared" si="1"/>
        <v/>
      </c>
      <c r="F18" s="5" t="str">
        <f t="shared" si="2"/>
        <v/>
      </c>
      <c r="G18" s="76"/>
      <c r="H18" s="66"/>
      <c r="I18" s="15"/>
      <c r="J18" s="15"/>
      <c r="K18" s="15"/>
      <c r="L18" s="5" t="str">
        <f t="shared" si="3"/>
        <v/>
      </c>
      <c r="M18" s="5" t="str">
        <f t="shared" si="4"/>
        <v/>
      </c>
      <c r="N18" s="5" t="str">
        <f t="shared" si="5"/>
        <v/>
      </c>
      <c r="O18" s="3"/>
    </row>
    <row r="19" spans="1:15" x14ac:dyDescent="0.25">
      <c r="A19" s="15"/>
      <c r="B19" s="15"/>
      <c r="C19" s="15"/>
      <c r="D19" s="5" t="str">
        <f t="shared" si="0"/>
        <v/>
      </c>
      <c r="E19" s="5" t="str">
        <f t="shared" si="1"/>
        <v/>
      </c>
      <c r="F19" s="5" t="str">
        <f t="shared" si="2"/>
        <v/>
      </c>
      <c r="G19" s="22"/>
      <c r="H19" s="66"/>
      <c r="I19" s="15"/>
      <c r="J19" s="15"/>
      <c r="K19" s="15"/>
      <c r="L19" s="5" t="str">
        <f t="shared" si="3"/>
        <v/>
      </c>
      <c r="M19" s="5" t="str">
        <f t="shared" si="4"/>
        <v/>
      </c>
      <c r="N19" s="5" t="str">
        <f t="shared" si="5"/>
        <v/>
      </c>
      <c r="O19" s="3"/>
    </row>
    <row r="20" spans="1:15" x14ac:dyDescent="0.25">
      <c r="A20" s="15"/>
      <c r="B20" s="15"/>
      <c r="C20" s="15"/>
      <c r="D20" s="5" t="str">
        <f t="shared" si="0"/>
        <v/>
      </c>
      <c r="E20" s="5" t="str">
        <f t="shared" si="1"/>
        <v/>
      </c>
      <c r="F20" s="5" t="str">
        <f t="shared" si="2"/>
        <v/>
      </c>
      <c r="G20" s="76"/>
      <c r="H20" s="66"/>
      <c r="I20" s="15"/>
      <c r="J20" s="15"/>
      <c r="K20" s="15"/>
      <c r="L20" s="5" t="str">
        <f t="shared" si="3"/>
        <v/>
      </c>
      <c r="M20" s="5" t="str">
        <f t="shared" si="4"/>
        <v/>
      </c>
      <c r="N20" s="5" t="str">
        <f t="shared" si="5"/>
        <v/>
      </c>
      <c r="O20" s="3"/>
    </row>
    <row r="21" spans="1:15" x14ac:dyDescent="0.25">
      <c r="A21" s="15"/>
      <c r="B21" s="15"/>
      <c r="C21" s="15"/>
      <c r="D21" s="5" t="str">
        <f t="shared" si="0"/>
        <v/>
      </c>
      <c r="E21" s="5" t="str">
        <f t="shared" si="1"/>
        <v/>
      </c>
      <c r="F21" s="5" t="str">
        <f t="shared" si="2"/>
        <v/>
      </c>
      <c r="G21" s="76"/>
      <c r="H21" s="66"/>
      <c r="I21" s="15"/>
      <c r="J21" s="15"/>
      <c r="K21" s="15"/>
      <c r="L21" s="5" t="str">
        <f t="shared" si="3"/>
        <v/>
      </c>
      <c r="M21" s="5" t="str">
        <f t="shared" si="4"/>
        <v/>
      </c>
      <c r="N21" s="5" t="str">
        <f t="shared" si="5"/>
        <v/>
      </c>
      <c r="O21" s="6"/>
    </row>
    <row r="22" spans="1:15" x14ac:dyDescent="0.25">
      <c r="A22" s="15"/>
      <c r="B22" s="15"/>
      <c r="C22" s="15"/>
      <c r="D22" s="5" t="str">
        <f t="shared" si="0"/>
        <v/>
      </c>
      <c r="E22" s="5" t="str">
        <f t="shared" si="1"/>
        <v/>
      </c>
      <c r="F22" s="5" t="str">
        <f t="shared" si="2"/>
        <v/>
      </c>
      <c r="G22" s="22"/>
      <c r="H22" s="66"/>
      <c r="I22" s="15"/>
      <c r="J22" s="15"/>
      <c r="K22" s="15"/>
      <c r="L22" s="5" t="str">
        <f t="shared" si="3"/>
        <v/>
      </c>
      <c r="M22" s="5" t="str">
        <f t="shared" si="4"/>
        <v/>
      </c>
      <c r="N22" s="5" t="str">
        <f t="shared" si="5"/>
        <v/>
      </c>
      <c r="O22" s="3"/>
    </row>
    <row r="23" spans="1:15" x14ac:dyDescent="0.25">
      <c r="A23" s="15"/>
      <c r="B23" s="15"/>
      <c r="C23" s="15"/>
      <c r="D23" s="5" t="str">
        <f t="shared" si="0"/>
        <v/>
      </c>
      <c r="E23" s="5" t="str">
        <f t="shared" si="1"/>
        <v/>
      </c>
      <c r="F23" s="5" t="str">
        <f t="shared" si="2"/>
        <v/>
      </c>
      <c r="G23" s="19"/>
      <c r="H23" s="66"/>
      <c r="I23" s="15"/>
      <c r="J23" s="15"/>
      <c r="K23" s="15"/>
      <c r="L23" s="5" t="str">
        <f t="shared" si="3"/>
        <v/>
      </c>
      <c r="M23" s="5" t="str">
        <f t="shared" si="4"/>
        <v/>
      </c>
      <c r="N23" s="5" t="str">
        <f t="shared" si="5"/>
        <v/>
      </c>
      <c r="O23" s="3"/>
    </row>
    <row r="24" spans="1:15" x14ac:dyDescent="0.25">
      <c r="A24" s="15"/>
      <c r="B24" s="15"/>
      <c r="C24" s="15"/>
      <c r="D24" s="5" t="str">
        <f t="shared" si="0"/>
        <v/>
      </c>
      <c r="E24" s="5" t="str">
        <f t="shared" si="1"/>
        <v/>
      </c>
      <c r="F24" s="5" t="str">
        <f t="shared" si="2"/>
        <v/>
      </c>
      <c r="G24" s="20"/>
      <c r="H24" s="66"/>
      <c r="I24" s="15"/>
      <c r="J24" s="15"/>
      <c r="K24" s="15"/>
      <c r="L24" s="5" t="str">
        <f t="shared" si="3"/>
        <v/>
      </c>
      <c r="M24" s="5" t="str">
        <f t="shared" si="4"/>
        <v/>
      </c>
      <c r="N24" s="5" t="str">
        <f t="shared" si="5"/>
        <v/>
      </c>
      <c r="O24" s="3"/>
    </row>
    <row r="25" spans="1:15" x14ac:dyDescent="0.25">
      <c r="A25" s="15"/>
      <c r="B25" s="15"/>
      <c r="C25" s="15"/>
      <c r="D25" s="5" t="str">
        <f t="shared" si="0"/>
        <v/>
      </c>
      <c r="E25" s="5" t="str">
        <f t="shared" si="1"/>
        <v/>
      </c>
      <c r="F25" s="5" t="str">
        <f t="shared" si="2"/>
        <v/>
      </c>
      <c r="G25" s="19"/>
      <c r="H25" s="66"/>
      <c r="I25" s="15"/>
      <c r="J25" s="15"/>
      <c r="K25" s="15"/>
      <c r="L25" s="5" t="str">
        <f t="shared" si="3"/>
        <v/>
      </c>
      <c r="M25" s="5" t="str">
        <f t="shared" si="4"/>
        <v/>
      </c>
      <c r="N25" s="5" t="str">
        <f t="shared" si="5"/>
        <v/>
      </c>
      <c r="O25" s="3"/>
    </row>
    <row r="26" spans="1:15" x14ac:dyDescent="0.25">
      <c r="A26" s="15"/>
      <c r="B26" s="15"/>
      <c r="C26" s="15"/>
      <c r="D26" s="5" t="str">
        <f t="shared" si="0"/>
        <v/>
      </c>
      <c r="E26" s="5" t="str">
        <f t="shared" si="1"/>
        <v/>
      </c>
      <c r="F26" s="5" t="str">
        <f t="shared" si="2"/>
        <v/>
      </c>
      <c r="G26" s="19"/>
      <c r="H26" s="66"/>
      <c r="I26" s="15"/>
      <c r="J26" s="15"/>
      <c r="K26" s="15"/>
      <c r="L26" s="5" t="str">
        <f t="shared" si="3"/>
        <v/>
      </c>
      <c r="M26" s="5" t="str">
        <f t="shared" si="4"/>
        <v/>
      </c>
      <c r="N26" s="5" t="str">
        <f t="shared" si="5"/>
        <v/>
      </c>
      <c r="O26" s="3"/>
    </row>
    <row r="27" spans="1:15" x14ac:dyDescent="0.25">
      <c r="A27" s="15"/>
      <c r="B27" s="15"/>
      <c r="C27" s="15"/>
      <c r="D27" s="5" t="str">
        <f t="shared" si="0"/>
        <v/>
      </c>
      <c r="E27" s="5" t="str">
        <f t="shared" si="1"/>
        <v/>
      </c>
      <c r="F27" s="5" t="str">
        <f t="shared" si="2"/>
        <v/>
      </c>
      <c r="G27" s="76"/>
      <c r="H27" s="66"/>
      <c r="I27" s="15"/>
      <c r="J27" s="15"/>
      <c r="K27" s="15"/>
      <c r="L27" s="5" t="str">
        <f t="shared" si="3"/>
        <v/>
      </c>
      <c r="M27" s="5" t="str">
        <f t="shared" si="4"/>
        <v/>
      </c>
      <c r="N27" s="5" t="str">
        <f t="shared" si="5"/>
        <v/>
      </c>
      <c r="O27" s="3"/>
    </row>
    <row r="28" spans="1:15" x14ac:dyDescent="0.25">
      <c r="A28" s="15"/>
      <c r="B28" s="15"/>
      <c r="C28" s="15"/>
      <c r="D28" s="5" t="str">
        <f t="shared" si="0"/>
        <v/>
      </c>
      <c r="E28" s="5" t="str">
        <f t="shared" si="1"/>
        <v/>
      </c>
      <c r="F28" s="5" t="str">
        <f t="shared" si="2"/>
        <v/>
      </c>
      <c r="G28" s="76"/>
      <c r="H28" s="66"/>
      <c r="I28" s="15"/>
      <c r="J28" s="15"/>
      <c r="K28" s="15"/>
      <c r="L28" s="5" t="str">
        <f t="shared" si="3"/>
        <v/>
      </c>
      <c r="M28" s="5" t="str">
        <f t="shared" si="4"/>
        <v/>
      </c>
      <c r="N28" s="5" t="str">
        <f t="shared" si="5"/>
        <v/>
      </c>
      <c r="O28" s="3"/>
    </row>
    <row r="29" spans="1:15" x14ac:dyDescent="0.25">
      <c r="A29" s="15"/>
      <c r="B29" s="15"/>
      <c r="C29" s="15"/>
      <c r="D29" s="5" t="str">
        <f t="shared" si="0"/>
        <v/>
      </c>
      <c r="E29" s="5" t="str">
        <f t="shared" si="1"/>
        <v/>
      </c>
      <c r="F29" s="5" t="str">
        <f t="shared" si="2"/>
        <v/>
      </c>
      <c r="G29" s="19"/>
      <c r="H29" s="66"/>
      <c r="I29" s="15"/>
      <c r="J29" s="15"/>
      <c r="K29" s="15"/>
      <c r="L29" s="5" t="str">
        <f t="shared" si="3"/>
        <v/>
      </c>
      <c r="M29" s="5" t="str">
        <f t="shared" si="4"/>
        <v/>
      </c>
      <c r="N29" s="5" t="str">
        <f t="shared" si="5"/>
        <v/>
      </c>
      <c r="O29" s="3"/>
    </row>
    <row r="30" spans="1:15" x14ac:dyDescent="0.25">
      <c r="A30" s="15"/>
      <c r="B30" s="15"/>
      <c r="C30" s="15"/>
      <c r="D30" s="5" t="str">
        <f t="shared" si="0"/>
        <v/>
      </c>
      <c r="E30" s="5" t="str">
        <f t="shared" si="1"/>
        <v/>
      </c>
      <c r="F30" s="5" t="str">
        <f t="shared" si="2"/>
        <v/>
      </c>
      <c r="G30" s="19"/>
      <c r="H30" s="66"/>
      <c r="I30" s="15"/>
      <c r="J30" s="15"/>
      <c r="K30" s="15"/>
      <c r="L30" s="5" t="str">
        <f t="shared" si="3"/>
        <v/>
      </c>
      <c r="M30" s="5" t="str">
        <f t="shared" si="4"/>
        <v/>
      </c>
      <c r="N30" s="5" t="str">
        <f t="shared" si="5"/>
        <v/>
      </c>
      <c r="O30" s="3"/>
    </row>
    <row r="31" spans="1:15" x14ac:dyDescent="0.25">
      <c r="A31" s="15"/>
      <c r="B31" s="15"/>
      <c r="C31" s="15"/>
      <c r="D31" s="5" t="str">
        <f t="shared" si="0"/>
        <v/>
      </c>
      <c r="E31" s="5" t="str">
        <f t="shared" si="1"/>
        <v/>
      </c>
      <c r="F31" s="5" t="str">
        <f t="shared" si="2"/>
        <v/>
      </c>
      <c r="G31" s="19"/>
      <c r="H31" s="66"/>
      <c r="I31" s="15"/>
      <c r="J31" s="15"/>
      <c r="K31" s="15"/>
      <c r="L31" s="5" t="str">
        <f t="shared" si="3"/>
        <v/>
      </c>
      <c r="M31" s="5" t="str">
        <f t="shared" si="4"/>
        <v/>
      </c>
      <c r="N31" s="5" t="str">
        <f t="shared" si="5"/>
        <v/>
      </c>
      <c r="O31" s="3"/>
    </row>
    <row r="32" spans="1:15" x14ac:dyDescent="0.25">
      <c r="A32" s="15"/>
      <c r="B32" s="15"/>
      <c r="C32" s="15"/>
      <c r="D32" s="5" t="str">
        <f t="shared" si="0"/>
        <v/>
      </c>
      <c r="E32" s="5" t="str">
        <f t="shared" si="1"/>
        <v/>
      </c>
      <c r="F32" s="5" t="str">
        <f t="shared" si="2"/>
        <v/>
      </c>
      <c r="G32" s="19"/>
      <c r="H32" s="66"/>
      <c r="I32" s="15"/>
      <c r="J32" s="15"/>
      <c r="K32" s="15"/>
      <c r="L32" s="5" t="str">
        <f t="shared" si="3"/>
        <v/>
      </c>
      <c r="M32" s="5" t="str">
        <f t="shared" si="4"/>
        <v/>
      </c>
      <c r="N32" s="5" t="str">
        <f t="shared" si="5"/>
        <v/>
      </c>
      <c r="O32" s="3"/>
    </row>
    <row r="33" spans="1:15" x14ac:dyDescent="0.25">
      <c r="A33" s="15"/>
      <c r="B33" s="15"/>
      <c r="C33" s="15"/>
      <c r="D33" s="5" t="str">
        <f t="shared" si="0"/>
        <v/>
      </c>
      <c r="E33" s="5" t="str">
        <f t="shared" si="1"/>
        <v/>
      </c>
      <c r="F33" s="5" t="str">
        <f t="shared" si="2"/>
        <v/>
      </c>
      <c r="G33" s="76"/>
      <c r="H33" s="66"/>
      <c r="I33" s="15"/>
      <c r="J33" s="15"/>
      <c r="K33" s="15"/>
      <c r="L33" s="5" t="str">
        <f t="shared" si="3"/>
        <v/>
      </c>
      <c r="M33" s="5" t="str">
        <f t="shared" si="4"/>
        <v/>
      </c>
      <c r="N33" s="5" t="str">
        <f t="shared" si="5"/>
        <v/>
      </c>
      <c r="O33" s="3"/>
    </row>
    <row r="34" spans="1:15" x14ac:dyDescent="0.25">
      <c r="A34" s="15"/>
      <c r="B34" s="15"/>
      <c r="C34" s="15"/>
      <c r="D34" s="5" t="str">
        <f t="shared" si="0"/>
        <v/>
      </c>
      <c r="E34" s="5" t="str">
        <f t="shared" si="1"/>
        <v/>
      </c>
      <c r="F34" s="5" t="str">
        <f t="shared" si="2"/>
        <v/>
      </c>
      <c r="G34" s="76"/>
      <c r="H34" s="66"/>
      <c r="I34" s="15"/>
      <c r="J34" s="15"/>
      <c r="K34" s="15"/>
      <c r="L34" s="5" t="str">
        <f t="shared" si="3"/>
        <v/>
      </c>
      <c r="M34" s="5" t="str">
        <f t="shared" si="4"/>
        <v/>
      </c>
      <c r="N34" s="5" t="str">
        <f t="shared" si="5"/>
        <v/>
      </c>
      <c r="O34" s="3"/>
    </row>
    <row r="35" spans="1:15" x14ac:dyDescent="0.25">
      <c r="A35" s="15"/>
      <c r="B35" s="15"/>
      <c r="C35" s="15"/>
      <c r="D35" s="5" t="str">
        <f t="shared" si="0"/>
        <v/>
      </c>
      <c r="E35" s="5" t="str">
        <f t="shared" si="1"/>
        <v/>
      </c>
      <c r="F35" s="5" t="str">
        <f t="shared" si="2"/>
        <v/>
      </c>
      <c r="G35" s="76"/>
      <c r="H35" s="66"/>
      <c r="I35" s="15"/>
      <c r="J35" s="15"/>
      <c r="K35" s="15"/>
      <c r="L35" s="5" t="str">
        <f t="shared" si="3"/>
        <v/>
      </c>
      <c r="M35" s="5" t="str">
        <f t="shared" si="4"/>
        <v/>
      </c>
      <c r="N35" s="5" t="str">
        <f t="shared" si="5"/>
        <v/>
      </c>
      <c r="O35" s="3"/>
    </row>
    <row r="36" spans="1:15" x14ac:dyDescent="0.25">
      <c r="A36" s="15"/>
      <c r="B36" s="15"/>
      <c r="C36" s="15"/>
      <c r="D36" s="5" t="str">
        <f t="shared" si="0"/>
        <v/>
      </c>
      <c r="E36" s="5" t="str">
        <f t="shared" si="1"/>
        <v/>
      </c>
      <c r="F36" s="5" t="str">
        <f t="shared" si="2"/>
        <v/>
      </c>
      <c r="G36" s="20"/>
      <c r="H36" s="66"/>
      <c r="I36" s="15"/>
      <c r="J36" s="15"/>
      <c r="K36" s="15"/>
      <c r="L36" s="5" t="str">
        <f t="shared" si="3"/>
        <v/>
      </c>
      <c r="M36" s="5" t="str">
        <f t="shared" si="4"/>
        <v/>
      </c>
      <c r="N36" s="5" t="str">
        <f t="shared" si="5"/>
        <v/>
      </c>
      <c r="O36" s="3"/>
    </row>
    <row r="37" spans="1:15" x14ac:dyDescent="0.25">
      <c r="A37" s="15"/>
      <c r="B37" s="15"/>
      <c r="C37" s="15"/>
      <c r="D37" s="5" t="str">
        <f t="shared" si="0"/>
        <v/>
      </c>
      <c r="E37" s="5" t="str">
        <f t="shared" si="1"/>
        <v/>
      </c>
      <c r="F37" s="5" t="str">
        <f t="shared" si="2"/>
        <v/>
      </c>
      <c r="G37" s="19"/>
      <c r="H37" s="66"/>
      <c r="I37" s="15"/>
      <c r="J37" s="15"/>
      <c r="K37" s="15"/>
      <c r="L37" s="5" t="str">
        <f t="shared" si="3"/>
        <v/>
      </c>
      <c r="M37" s="5" t="str">
        <f t="shared" si="4"/>
        <v/>
      </c>
      <c r="N37" s="5" t="str">
        <f t="shared" si="5"/>
        <v/>
      </c>
      <c r="O37" s="3"/>
    </row>
    <row r="38" spans="1:15" x14ac:dyDescent="0.25">
      <c r="A38" s="15"/>
      <c r="B38" s="15"/>
      <c r="C38" s="15"/>
      <c r="D38" s="5" t="str">
        <f t="shared" si="0"/>
        <v/>
      </c>
      <c r="E38" s="5" t="str">
        <f t="shared" si="1"/>
        <v/>
      </c>
      <c r="F38" s="5" t="str">
        <f t="shared" si="2"/>
        <v/>
      </c>
      <c r="G38" s="19"/>
      <c r="H38" s="66"/>
      <c r="I38" s="15"/>
      <c r="J38" s="15"/>
      <c r="K38" s="15"/>
      <c r="L38" s="5" t="str">
        <f t="shared" si="3"/>
        <v/>
      </c>
      <c r="M38" s="5" t="str">
        <f t="shared" si="4"/>
        <v/>
      </c>
      <c r="N38" s="5" t="str">
        <f t="shared" si="5"/>
        <v/>
      </c>
      <c r="O38" s="3"/>
    </row>
    <row r="39" spans="1:15" x14ac:dyDescent="0.25">
      <c r="A39" s="15"/>
      <c r="B39" s="15"/>
      <c r="C39" s="15"/>
      <c r="D39" s="5" t="str">
        <f t="shared" si="0"/>
        <v/>
      </c>
      <c r="E39" s="5" t="str">
        <f t="shared" si="1"/>
        <v/>
      </c>
      <c r="F39" s="5" t="str">
        <f t="shared" si="2"/>
        <v/>
      </c>
      <c r="G39" s="20"/>
      <c r="H39" s="66"/>
      <c r="I39" s="15"/>
      <c r="J39" s="15"/>
      <c r="K39" s="15"/>
      <c r="L39" s="5" t="str">
        <f t="shared" si="3"/>
        <v/>
      </c>
      <c r="M39" s="5" t="str">
        <f t="shared" si="4"/>
        <v/>
      </c>
      <c r="N39" s="5" t="str">
        <f t="shared" si="5"/>
        <v/>
      </c>
      <c r="O39" s="3"/>
    </row>
    <row r="40" spans="1:15" x14ac:dyDescent="0.25">
      <c r="A40" s="15"/>
      <c r="B40" s="15"/>
      <c r="C40" s="15"/>
      <c r="D40" s="5" t="str">
        <f t="shared" si="0"/>
        <v/>
      </c>
      <c r="E40" s="5" t="str">
        <f t="shared" si="1"/>
        <v/>
      </c>
      <c r="F40" s="5" t="str">
        <f t="shared" si="2"/>
        <v/>
      </c>
      <c r="G40" s="20"/>
      <c r="H40" s="66"/>
      <c r="I40" s="15"/>
      <c r="J40" s="15"/>
      <c r="K40" s="15"/>
      <c r="L40" s="5" t="str">
        <f t="shared" si="3"/>
        <v/>
      </c>
      <c r="M40" s="5" t="str">
        <f t="shared" si="4"/>
        <v/>
      </c>
      <c r="N40" s="5" t="str">
        <f t="shared" si="5"/>
        <v/>
      </c>
      <c r="O40" s="3"/>
    </row>
    <row r="41" spans="1:15" x14ac:dyDescent="0.25">
      <c r="A41" s="15"/>
      <c r="B41" s="15"/>
      <c r="C41" s="15"/>
      <c r="D41" s="5" t="str">
        <f t="shared" si="0"/>
        <v/>
      </c>
      <c r="E41" s="5" t="str">
        <f t="shared" si="1"/>
        <v/>
      </c>
      <c r="F41" s="5" t="str">
        <f t="shared" si="2"/>
        <v/>
      </c>
      <c r="G41" s="19"/>
      <c r="H41" s="66"/>
      <c r="I41" s="15"/>
      <c r="J41" s="15"/>
      <c r="K41" s="15"/>
      <c r="L41" s="5" t="str">
        <f t="shared" si="3"/>
        <v/>
      </c>
      <c r="M41" s="5" t="str">
        <f t="shared" si="4"/>
        <v/>
      </c>
      <c r="N41" s="5" t="str">
        <f t="shared" si="5"/>
        <v/>
      </c>
      <c r="O41" s="3"/>
    </row>
    <row r="42" spans="1:15" x14ac:dyDescent="0.25">
      <c r="A42" s="15"/>
      <c r="B42" s="15"/>
      <c r="C42" s="15"/>
      <c r="D42" s="5" t="str">
        <f t="shared" si="0"/>
        <v/>
      </c>
      <c r="E42" s="5" t="str">
        <f t="shared" si="1"/>
        <v/>
      </c>
      <c r="F42" s="5" t="str">
        <f t="shared" si="2"/>
        <v/>
      </c>
      <c r="G42" s="19"/>
      <c r="H42" s="66"/>
      <c r="I42" s="15"/>
      <c r="J42" s="15"/>
      <c r="K42" s="15"/>
      <c r="L42" s="5" t="str">
        <f t="shared" si="3"/>
        <v/>
      </c>
      <c r="M42" s="5" t="str">
        <f t="shared" si="4"/>
        <v/>
      </c>
      <c r="N42" s="5" t="str">
        <f t="shared" si="5"/>
        <v/>
      </c>
      <c r="O42" s="3"/>
    </row>
    <row r="43" spans="1:15" x14ac:dyDescent="0.25">
      <c r="A43" s="15"/>
      <c r="B43" s="15"/>
      <c r="C43" s="15"/>
      <c r="D43" s="5" t="str">
        <f t="shared" si="0"/>
        <v/>
      </c>
      <c r="E43" s="5" t="str">
        <f t="shared" si="1"/>
        <v/>
      </c>
      <c r="F43" s="5" t="str">
        <f t="shared" si="2"/>
        <v/>
      </c>
      <c r="G43" s="20"/>
      <c r="H43" s="66"/>
      <c r="I43" s="15"/>
      <c r="J43" s="15"/>
      <c r="K43" s="15"/>
      <c r="L43" s="5" t="str">
        <f t="shared" si="3"/>
        <v/>
      </c>
      <c r="M43" s="5" t="str">
        <f t="shared" si="4"/>
        <v/>
      </c>
      <c r="N43" s="5" t="str">
        <f t="shared" si="5"/>
        <v/>
      </c>
      <c r="O43" s="3"/>
    </row>
    <row r="44" spans="1:15" x14ac:dyDescent="0.25">
      <c r="A44" s="15"/>
      <c r="B44" s="15"/>
      <c r="C44" s="15"/>
      <c r="D44" s="5" t="str">
        <f t="shared" si="0"/>
        <v/>
      </c>
      <c r="E44" s="5" t="str">
        <f t="shared" si="1"/>
        <v/>
      </c>
      <c r="F44" s="5" t="str">
        <f t="shared" si="2"/>
        <v/>
      </c>
      <c r="G44" s="19"/>
      <c r="H44" s="66"/>
      <c r="I44" s="15"/>
      <c r="J44" s="15"/>
      <c r="K44" s="15"/>
      <c r="L44" s="5" t="str">
        <f t="shared" si="3"/>
        <v/>
      </c>
      <c r="M44" s="5" t="str">
        <f t="shared" si="4"/>
        <v/>
      </c>
      <c r="N44" s="5" t="str">
        <f t="shared" si="5"/>
        <v/>
      </c>
      <c r="O44" s="3"/>
    </row>
    <row r="45" spans="1:15" x14ac:dyDescent="0.25">
      <c r="A45" s="15"/>
      <c r="B45" s="15"/>
      <c r="C45" s="15"/>
      <c r="D45" s="5" t="str">
        <f t="shared" si="0"/>
        <v/>
      </c>
      <c r="E45" s="5" t="str">
        <f t="shared" si="1"/>
        <v/>
      </c>
      <c r="F45" s="5" t="str">
        <f t="shared" si="2"/>
        <v/>
      </c>
      <c r="G45" s="19"/>
      <c r="H45" s="66"/>
      <c r="I45" s="15"/>
      <c r="J45" s="15"/>
      <c r="K45" s="15"/>
      <c r="L45" s="5" t="str">
        <f t="shared" si="3"/>
        <v/>
      </c>
      <c r="M45" s="5" t="str">
        <f t="shared" si="4"/>
        <v/>
      </c>
      <c r="N45" s="5" t="str">
        <f t="shared" si="5"/>
        <v/>
      </c>
      <c r="O45" s="3"/>
    </row>
    <row r="46" spans="1:15" x14ac:dyDescent="0.25">
      <c r="A46" s="15"/>
      <c r="B46" s="15"/>
      <c r="C46" s="15"/>
      <c r="D46" s="5" t="str">
        <f t="shared" si="0"/>
        <v/>
      </c>
      <c r="E46" s="5" t="str">
        <f t="shared" si="1"/>
        <v/>
      </c>
      <c r="F46" s="5" t="str">
        <f t="shared" si="2"/>
        <v/>
      </c>
      <c r="G46" s="19"/>
      <c r="H46" s="66"/>
      <c r="I46" s="15"/>
      <c r="J46" s="15"/>
      <c r="K46" s="15"/>
      <c r="L46" s="5" t="str">
        <f t="shared" si="3"/>
        <v/>
      </c>
      <c r="M46" s="5" t="str">
        <f t="shared" si="4"/>
        <v/>
      </c>
      <c r="N46" s="5" t="str">
        <f t="shared" si="5"/>
        <v/>
      </c>
      <c r="O46" s="3"/>
    </row>
    <row r="47" spans="1:15" x14ac:dyDescent="0.25">
      <c r="A47" s="15"/>
      <c r="B47" s="15"/>
      <c r="C47" s="15"/>
      <c r="D47" s="5" t="str">
        <f t="shared" si="0"/>
        <v/>
      </c>
      <c r="E47" s="5" t="str">
        <f t="shared" si="1"/>
        <v/>
      </c>
      <c r="F47" s="5" t="str">
        <f t="shared" si="2"/>
        <v/>
      </c>
      <c r="G47" s="22"/>
      <c r="H47" s="66"/>
      <c r="I47" s="15"/>
      <c r="J47" s="15"/>
      <c r="K47" s="15"/>
      <c r="L47" s="5" t="str">
        <f t="shared" si="3"/>
        <v/>
      </c>
      <c r="M47" s="5" t="str">
        <f t="shared" si="4"/>
        <v/>
      </c>
      <c r="N47" s="5" t="str">
        <f t="shared" si="5"/>
        <v/>
      </c>
      <c r="O47" s="3"/>
    </row>
    <row r="48" spans="1:15" x14ac:dyDescent="0.25">
      <c r="A48" s="15"/>
      <c r="B48" s="15"/>
      <c r="C48" s="15"/>
      <c r="D48" s="5" t="str">
        <f t="shared" si="0"/>
        <v/>
      </c>
      <c r="E48" s="5" t="str">
        <f t="shared" si="1"/>
        <v/>
      </c>
      <c r="F48" s="5" t="str">
        <f t="shared" si="2"/>
        <v/>
      </c>
      <c r="G48" s="19"/>
      <c r="H48" s="66"/>
      <c r="I48" s="15"/>
      <c r="J48" s="15"/>
      <c r="K48" s="15"/>
      <c r="L48" s="5" t="str">
        <f t="shared" si="3"/>
        <v/>
      </c>
      <c r="M48" s="5" t="str">
        <f t="shared" si="4"/>
        <v/>
      </c>
      <c r="N48" s="5" t="str">
        <f t="shared" si="5"/>
        <v/>
      </c>
      <c r="O48" s="3"/>
    </row>
    <row r="49" spans="1:15" x14ac:dyDescent="0.25">
      <c r="A49" s="15"/>
      <c r="B49" s="15"/>
      <c r="C49" s="15"/>
      <c r="D49" s="5" t="str">
        <f t="shared" si="0"/>
        <v/>
      </c>
      <c r="E49" s="5" t="str">
        <f t="shared" si="1"/>
        <v/>
      </c>
      <c r="F49" s="5" t="str">
        <f t="shared" si="2"/>
        <v/>
      </c>
      <c r="G49" s="22"/>
      <c r="H49" s="66"/>
      <c r="I49" s="15"/>
      <c r="J49" s="15"/>
      <c r="K49" s="15"/>
      <c r="L49" s="5" t="str">
        <f t="shared" si="3"/>
        <v/>
      </c>
      <c r="M49" s="5" t="str">
        <f t="shared" si="4"/>
        <v/>
      </c>
      <c r="N49" s="5" t="str">
        <f t="shared" si="5"/>
        <v/>
      </c>
      <c r="O49" s="3"/>
    </row>
    <row r="50" spans="1:15" x14ac:dyDescent="0.25">
      <c r="A50" s="15"/>
      <c r="B50" s="15"/>
      <c r="C50" s="15"/>
      <c r="D50" s="5" t="str">
        <f t="shared" si="0"/>
        <v/>
      </c>
      <c r="E50" s="5" t="str">
        <f t="shared" si="1"/>
        <v/>
      </c>
      <c r="F50" s="5" t="str">
        <f t="shared" si="2"/>
        <v/>
      </c>
      <c r="G50" s="22"/>
      <c r="H50" s="66"/>
      <c r="I50" s="15"/>
      <c r="J50" s="15"/>
      <c r="K50" s="15"/>
      <c r="L50" s="5" t="str">
        <f t="shared" si="3"/>
        <v/>
      </c>
      <c r="M50" s="5" t="str">
        <f t="shared" si="4"/>
        <v/>
      </c>
      <c r="N50" s="5" t="str">
        <f t="shared" si="5"/>
        <v/>
      </c>
      <c r="O50" s="3"/>
    </row>
    <row r="51" spans="1:15" x14ac:dyDescent="0.25">
      <c r="A51" s="15"/>
      <c r="B51" s="15"/>
      <c r="C51" s="15"/>
      <c r="D51" s="5" t="str">
        <f t="shared" si="0"/>
        <v/>
      </c>
      <c r="E51" s="5" t="str">
        <f t="shared" si="1"/>
        <v/>
      </c>
      <c r="F51" s="5" t="str">
        <f t="shared" si="2"/>
        <v/>
      </c>
      <c r="G51" s="22"/>
      <c r="H51" s="66"/>
      <c r="I51" s="15"/>
      <c r="J51" s="15"/>
      <c r="K51" s="15"/>
      <c r="L51" s="5" t="str">
        <f t="shared" si="3"/>
        <v/>
      </c>
      <c r="M51" s="5" t="str">
        <f t="shared" si="4"/>
        <v/>
      </c>
      <c r="N51" s="5" t="str">
        <f t="shared" si="5"/>
        <v/>
      </c>
      <c r="O51" s="3"/>
    </row>
    <row r="52" spans="1:15" x14ac:dyDescent="0.25">
      <c r="A52" s="15"/>
      <c r="B52" s="15"/>
      <c r="C52" s="15"/>
      <c r="D52" s="5" t="str">
        <f t="shared" si="0"/>
        <v/>
      </c>
      <c r="E52" s="5" t="str">
        <f t="shared" si="1"/>
        <v/>
      </c>
      <c r="F52" s="5" t="str">
        <f t="shared" si="2"/>
        <v/>
      </c>
      <c r="G52" s="22"/>
      <c r="H52" s="66"/>
      <c r="I52" s="15"/>
      <c r="J52" s="15"/>
      <c r="K52" s="15"/>
      <c r="L52" s="5" t="str">
        <f t="shared" si="3"/>
        <v/>
      </c>
      <c r="M52" s="5" t="str">
        <f t="shared" si="4"/>
        <v/>
      </c>
      <c r="N52" s="5" t="str">
        <f t="shared" si="5"/>
        <v/>
      </c>
      <c r="O52" s="3"/>
    </row>
    <row r="53" spans="1:15" x14ac:dyDescent="0.25">
      <c r="A53" s="15"/>
      <c r="B53" s="15"/>
      <c r="C53" s="15"/>
      <c r="D53" s="5" t="str">
        <f t="shared" si="0"/>
        <v/>
      </c>
      <c r="E53" s="5" t="str">
        <f t="shared" si="1"/>
        <v/>
      </c>
      <c r="F53" s="5" t="str">
        <f t="shared" si="2"/>
        <v/>
      </c>
      <c r="G53" s="76"/>
      <c r="H53" s="66"/>
      <c r="I53" s="15"/>
      <c r="J53" s="15"/>
      <c r="K53" s="15"/>
      <c r="L53" s="5" t="str">
        <f t="shared" si="3"/>
        <v/>
      </c>
      <c r="M53" s="5" t="str">
        <f t="shared" si="4"/>
        <v/>
      </c>
      <c r="N53" s="5" t="str">
        <f t="shared" si="5"/>
        <v/>
      </c>
      <c r="O53" s="3"/>
    </row>
    <row r="54" spans="1:15" x14ac:dyDescent="0.25">
      <c r="A54" s="15"/>
      <c r="B54" s="15"/>
      <c r="C54" s="15"/>
      <c r="D54" s="5" t="str">
        <f t="shared" si="0"/>
        <v/>
      </c>
      <c r="E54" s="5" t="str">
        <f t="shared" si="1"/>
        <v/>
      </c>
      <c r="F54" s="5" t="str">
        <f t="shared" si="2"/>
        <v/>
      </c>
      <c r="G54" s="19"/>
      <c r="H54" s="66"/>
      <c r="I54" s="15"/>
      <c r="J54" s="15"/>
      <c r="K54" s="15"/>
      <c r="L54" s="5" t="str">
        <f t="shared" si="3"/>
        <v/>
      </c>
      <c r="M54" s="5" t="str">
        <f t="shared" si="4"/>
        <v/>
      </c>
      <c r="N54" s="5" t="str">
        <f t="shared" si="5"/>
        <v/>
      </c>
      <c r="O54" s="3"/>
    </row>
    <row r="55" spans="1:15" x14ac:dyDescent="0.25">
      <c r="A55" s="15"/>
      <c r="B55" s="15"/>
      <c r="C55" s="15"/>
      <c r="D55" s="5" t="str">
        <f t="shared" si="0"/>
        <v/>
      </c>
      <c r="E55" s="5" t="str">
        <f t="shared" si="1"/>
        <v/>
      </c>
      <c r="F55" s="5" t="str">
        <f t="shared" si="2"/>
        <v/>
      </c>
      <c r="G55" s="19"/>
      <c r="H55" s="66"/>
      <c r="I55" s="15"/>
      <c r="J55" s="15"/>
      <c r="K55" s="15"/>
      <c r="L55" s="5" t="str">
        <f t="shared" si="3"/>
        <v/>
      </c>
      <c r="M55" s="5" t="str">
        <f t="shared" si="4"/>
        <v/>
      </c>
      <c r="N55" s="5" t="str">
        <f t="shared" si="5"/>
        <v/>
      </c>
      <c r="O55" s="3"/>
    </row>
    <row r="56" spans="1:15" x14ac:dyDescent="0.25">
      <c r="A56" s="15"/>
      <c r="B56" s="15"/>
      <c r="C56" s="15"/>
      <c r="D56" s="5" t="str">
        <f t="shared" si="0"/>
        <v/>
      </c>
      <c r="E56" s="5" t="str">
        <f t="shared" si="1"/>
        <v/>
      </c>
      <c r="F56" s="5" t="str">
        <f t="shared" si="2"/>
        <v/>
      </c>
      <c r="G56" s="19"/>
      <c r="H56" s="66"/>
      <c r="I56" s="15"/>
      <c r="J56" s="15"/>
      <c r="K56" s="15"/>
      <c r="L56" s="5" t="str">
        <f t="shared" si="3"/>
        <v/>
      </c>
      <c r="M56" s="5" t="str">
        <f t="shared" si="4"/>
        <v/>
      </c>
      <c r="N56" s="5" t="str">
        <f t="shared" si="5"/>
        <v/>
      </c>
      <c r="O56" s="3"/>
    </row>
    <row r="57" spans="1:15" x14ac:dyDescent="0.25">
      <c r="A57" s="15"/>
      <c r="B57" s="15"/>
      <c r="C57" s="15"/>
      <c r="D57" s="5" t="str">
        <f t="shared" si="0"/>
        <v/>
      </c>
      <c r="E57" s="5" t="str">
        <f t="shared" si="1"/>
        <v/>
      </c>
      <c r="F57" s="5" t="str">
        <f t="shared" si="2"/>
        <v/>
      </c>
      <c r="G57" s="22"/>
      <c r="H57" s="66"/>
      <c r="I57" s="15"/>
      <c r="J57" s="15"/>
      <c r="K57" s="15"/>
      <c r="L57" s="5" t="str">
        <f t="shared" si="3"/>
        <v/>
      </c>
      <c r="M57" s="5" t="str">
        <f t="shared" si="4"/>
        <v/>
      </c>
      <c r="N57" s="5" t="str">
        <f t="shared" si="5"/>
        <v/>
      </c>
      <c r="O57" s="3"/>
    </row>
    <row r="58" spans="1:15" x14ac:dyDescent="0.25">
      <c r="A58" s="15"/>
      <c r="B58" s="15"/>
      <c r="C58" s="15"/>
      <c r="D58" s="5" t="str">
        <f t="shared" si="0"/>
        <v/>
      </c>
      <c r="E58" s="5" t="str">
        <f t="shared" si="1"/>
        <v/>
      </c>
      <c r="F58" s="5" t="str">
        <f t="shared" si="2"/>
        <v/>
      </c>
      <c r="G58" s="76"/>
      <c r="H58" s="66"/>
      <c r="I58" s="15"/>
      <c r="J58" s="15"/>
      <c r="K58" s="15"/>
      <c r="L58" s="5" t="str">
        <f t="shared" si="3"/>
        <v/>
      </c>
      <c r="M58" s="5" t="str">
        <f t="shared" si="4"/>
        <v/>
      </c>
      <c r="N58" s="5" t="str">
        <f t="shared" si="5"/>
        <v/>
      </c>
      <c r="O58" s="3"/>
    </row>
    <row r="59" spans="1:15" x14ac:dyDescent="0.25">
      <c r="A59" s="15"/>
      <c r="B59" s="15"/>
      <c r="C59" s="15"/>
      <c r="D59" s="5" t="str">
        <f t="shared" si="0"/>
        <v/>
      </c>
      <c r="E59" s="5" t="str">
        <f t="shared" si="1"/>
        <v/>
      </c>
      <c r="F59" s="5" t="str">
        <f t="shared" si="2"/>
        <v/>
      </c>
      <c r="G59" s="76"/>
      <c r="H59" s="66"/>
      <c r="I59" s="15"/>
      <c r="J59" s="15"/>
      <c r="K59" s="15"/>
      <c r="L59" s="5" t="str">
        <f t="shared" si="3"/>
        <v/>
      </c>
      <c r="M59" s="5" t="str">
        <f t="shared" si="4"/>
        <v/>
      </c>
      <c r="N59" s="5" t="str">
        <f t="shared" si="5"/>
        <v/>
      </c>
      <c r="O59" s="3"/>
    </row>
    <row r="60" spans="1:15" x14ac:dyDescent="0.25">
      <c r="A60" s="15"/>
      <c r="B60" s="15"/>
      <c r="C60" s="15"/>
      <c r="D60" s="5" t="str">
        <f t="shared" si="0"/>
        <v/>
      </c>
      <c r="E60" s="5" t="str">
        <f t="shared" si="1"/>
        <v/>
      </c>
      <c r="F60" s="5" t="str">
        <f t="shared" si="2"/>
        <v/>
      </c>
      <c r="G60" s="22"/>
      <c r="H60" s="66"/>
      <c r="I60" s="15"/>
      <c r="J60" s="15"/>
      <c r="K60" s="15"/>
      <c r="L60" s="5" t="str">
        <f t="shared" si="3"/>
        <v/>
      </c>
      <c r="M60" s="5" t="str">
        <f t="shared" si="4"/>
        <v/>
      </c>
      <c r="N60" s="5" t="str">
        <f t="shared" si="5"/>
        <v/>
      </c>
      <c r="O60" s="3"/>
    </row>
    <row r="61" spans="1:15" x14ac:dyDescent="0.25">
      <c r="A61" s="15"/>
      <c r="B61" s="15"/>
      <c r="C61" s="15"/>
      <c r="D61" s="5" t="str">
        <f t="shared" si="0"/>
        <v/>
      </c>
      <c r="E61" s="5" t="str">
        <f t="shared" si="1"/>
        <v/>
      </c>
      <c r="F61" s="5" t="str">
        <f t="shared" si="2"/>
        <v/>
      </c>
      <c r="G61" s="22"/>
      <c r="H61" s="66"/>
      <c r="I61" s="15"/>
      <c r="J61" s="15"/>
      <c r="K61" s="15"/>
      <c r="L61" s="5" t="str">
        <f t="shared" si="3"/>
        <v/>
      </c>
      <c r="M61" s="5" t="str">
        <f t="shared" si="4"/>
        <v/>
      </c>
      <c r="N61" s="5" t="str">
        <f t="shared" si="5"/>
        <v/>
      </c>
      <c r="O61" s="3"/>
    </row>
    <row r="62" spans="1:15" x14ac:dyDescent="0.25">
      <c r="A62" s="15"/>
      <c r="B62" s="15"/>
      <c r="C62" s="15"/>
      <c r="D62" s="5" t="str">
        <f t="shared" si="0"/>
        <v/>
      </c>
      <c r="E62" s="5" t="str">
        <f t="shared" si="1"/>
        <v/>
      </c>
      <c r="F62" s="5" t="str">
        <f t="shared" si="2"/>
        <v/>
      </c>
      <c r="G62" s="22"/>
      <c r="H62" s="66"/>
      <c r="I62" s="15"/>
      <c r="J62" s="15"/>
      <c r="K62" s="15"/>
      <c r="L62" s="5" t="str">
        <f t="shared" si="3"/>
        <v/>
      </c>
      <c r="M62" s="5" t="str">
        <f t="shared" si="4"/>
        <v/>
      </c>
      <c r="N62" s="5" t="str">
        <f t="shared" si="5"/>
        <v/>
      </c>
      <c r="O62" s="3"/>
    </row>
    <row r="63" spans="1:15" x14ac:dyDescent="0.25">
      <c r="A63" s="15"/>
      <c r="B63" s="15"/>
      <c r="C63" s="15"/>
      <c r="D63" s="5" t="str">
        <f t="shared" si="0"/>
        <v/>
      </c>
      <c r="E63" s="5" t="str">
        <f t="shared" si="1"/>
        <v/>
      </c>
      <c r="F63" s="5" t="str">
        <f t="shared" si="2"/>
        <v/>
      </c>
      <c r="G63" s="22"/>
      <c r="H63" s="66"/>
      <c r="I63" s="15"/>
      <c r="J63" s="15"/>
      <c r="K63" s="15"/>
      <c r="L63" s="5" t="str">
        <f t="shared" si="3"/>
        <v/>
      </c>
      <c r="M63" s="5" t="str">
        <f t="shared" si="4"/>
        <v/>
      </c>
      <c r="N63" s="5" t="str">
        <f t="shared" si="5"/>
        <v/>
      </c>
      <c r="O63" s="3"/>
    </row>
    <row r="64" spans="1:15" x14ac:dyDescent="0.25">
      <c r="A64" s="15"/>
      <c r="B64" s="15"/>
      <c r="C64" s="15"/>
      <c r="D64" s="5" t="str">
        <f t="shared" si="0"/>
        <v/>
      </c>
      <c r="E64" s="5" t="str">
        <f t="shared" si="1"/>
        <v/>
      </c>
      <c r="F64" s="5" t="str">
        <f t="shared" si="2"/>
        <v/>
      </c>
      <c r="G64" s="19"/>
      <c r="H64" s="66"/>
      <c r="I64" s="15"/>
      <c r="J64" s="15"/>
      <c r="K64" s="15"/>
      <c r="L64" s="5" t="str">
        <f t="shared" si="3"/>
        <v/>
      </c>
      <c r="M64" s="5" t="str">
        <f t="shared" si="4"/>
        <v/>
      </c>
      <c r="N64" s="5" t="str">
        <f t="shared" si="5"/>
        <v/>
      </c>
      <c r="O64" s="3"/>
    </row>
    <row r="65" spans="1:15" x14ac:dyDescent="0.25">
      <c r="A65" s="15"/>
      <c r="B65" s="15"/>
      <c r="C65" s="15"/>
      <c r="D65" s="5" t="str">
        <f t="shared" si="0"/>
        <v/>
      </c>
      <c r="E65" s="5" t="str">
        <f t="shared" si="1"/>
        <v/>
      </c>
      <c r="F65" s="5" t="str">
        <f t="shared" si="2"/>
        <v/>
      </c>
      <c r="G65" s="22"/>
      <c r="H65" s="66"/>
      <c r="I65" s="15"/>
      <c r="J65" s="15"/>
      <c r="K65" s="15"/>
      <c r="L65" s="5" t="str">
        <f t="shared" si="3"/>
        <v/>
      </c>
      <c r="M65" s="5" t="str">
        <f t="shared" si="4"/>
        <v/>
      </c>
      <c r="N65" s="5" t="str">
        <f t="shared" si="5"/>
        <v/>
      </c>
      <c r="O65" s="3"/>
    </row>
    <row r="66" spans="1:15" x14ac:dyDescent="0.25">
      <c r="A66" s="15"/>
      <c r="B66" s="15"/>
      <c r="C66" s="15"/>
      <c r="D66" s="5" t="str">
        <f t="shared" si="0"/>
        <v/>
      </c>
      <c r="E66" s="5" t="str">
        <f t="shared" si="1"/>
        <v/>
      </c>
      <c r="F66" s="5" t="str">
        <f t="shared" si="2"/>
        <v/>
      </c>
      <c r="G66" s="20"/>
      <c r="H66" s="66"/>
      <c r="I66" s="15"/>
      <c r="J66" s="15"/>
      <c r="K66" s="15"/>
      <c r="L66" s="5" t="str">
        <f t="shared" si="3"/>
        <v/>
      </c>
      <c r="M66" s="5" t="str">
        <f t="shared" si="4"/>
        <v/>
      </c>
      <c r="N66" s="5" t="str">
        <f t="shared" si="5"/>
        <v/>
      </c>
      <c r="O66" s="3"/>
    </row>
    <row r="67" spans="1:15" x14ac:dyDescent="0.25">
      <c r="A67" s="15"/>
      <c r="B67" s="15"/>
      <c r="C67" s="15"/>
      <c r="D67" s="5" t="str">
        <f t="shared" si="0"/>
        <v/>
      </c>
      <c r="E67" s="5" t="str">
        <f t="shared" si="1"/>
        <v/>
      </c>
      <c r="F67" s="5" t="str">
        <f t="shared" si="2"/>
        <v/>
      </c>
      <c r="G67" s="20"/>
      <c r="H67" s="66"/>
      <c r="I67" s="15"/>
      <c r="J67" s="15"/>
      <c r="K67" s="15"/>
      <c r="L67" s="5" t="str">
        <f t="shared" si="3"/>
        <v/>
      </c>
      <c r="M67" s="5" t="str">
        <f t="shared" si="4"/>
        <v/>
      </c>
      <c r="N67" s="5" t="str">
        <f t="shared" si="5"/>
        <v/>
      </c>
      <c r="O67" s="3"/>
    </row>
    <row r="68" spans="1:15" x14ac:dyDescent="0.25">
      <c r="A68" s="15"/>
      <c r="B68" s="15"/>
      <c r="C68" s="15"/>
      <c r="D68" s="5" t="str">
        <f t="shared" si="0"/>
        <v/>
      </c>
      <c r="E68" s="5" t="str">
        <f t="shared" si="1"/>
        <v/>
      </c>
      <c r="F68" s="5" t="str">
        <f t="shared" si="2"/>
        <v/>
      </c>
      <c r="G68" s="19"/>
      <c r="H68" s="66"/>
      <c r="I68" s="15"/>
      <c r="J68" s="15"/>
      <c r="K68" s="15"/>
      <c r="L68" s="5" t="str">
        <f t="shared" si="3"/>
        <v/>
      </c>
      <c r="M68" s="5" t="str">
        <f t="shared" si="4"/>
        <v/>
      </c>
      <c r="N68" s="5" t="str">
        <f t="shared" si="5"/>
        <v/>
      </c>
      <c r="O68" s="3"/>
    </row>
    <row r="69" spans="1:15" x14ac:dyDescent="0.25">
      <c r="A69" s="15"/>
      <c r="B69" s="15"/>
      <c r="C69" s="15"/>
      <c r="D69" s="5" t="str">
        <f t="shared" ref="D69:D132" si="6">IFERROR( IF(A69&lt;&gt;"",((B69-B68)*$X$4/(A69-A68))*$X$5,""),"")</f>
        <v/>
      </c>
      <c r="E69" s="5" t="str">
        <f t="shared" ref="E69:E132" si="7">IFERROR(IF(A69&lt;&gt;"",((C69-C68)*$X$4/(A69-A68))*$X$5,""),"")</f>
        <v/>
      </c>
      <c r="F69" s="5" t="str">
        <f t="shared" ref="F69:F132" si="8">IFERROR(IF(A69&lt;&gt;"",((ACOS((COS(RADIANS(B68))*COS(RADIANS(B69)))+(SIN(RADIANS(B68))*SIN(RADIANS(B69)))*COS(RADIANS(C69-C68)))*180/PI()*($X$4/(A69-A68))))*$X$5,""),"")</f>
        <v/>
      </c>
      <c r="G69" s="20"/>
      <c r="H69" s="66"/>
      <c r="I69" s="15"/>
      <c r="J69" s="15"/>
      <c r="K69" s="15"/>
      <c r="L69" s="5" t="str">
        <f t="shared" ref="L69:L132" si="9">IFERROR(IF(I69&lt;&gt;"",(((J69-J68)*$X$4/(I69-I68)))*$X$5,""),"")</f>
        <v/>
      </c>
      <c r="M69" s="5" t="str">
        <f t="shared" ref="M69:M132" si="10">IFERROR(IF(I69&lt;&gt;"",(((K69-K68)*$X$4/(I69-I68)))*$X$5,""),"")</f>
        <v/>
      </c>
      <c r="N69" s="5" t="str">
        <f t="shared" ref="N69:N132" si="11">IFERROR(IF(I69&lt;&gt;"",((ACOS((COS(RADIANS(J68))*COS(RADIANS(J69)))+(SIN(RADIANS(J68))*SIN(RADIANS(J69)))*COS(RADIANS(K69-K68)))*180/PI()*($X$4/(I69-I68))))*$X$5,""),"")</f>
        <v/>
      </c>
      <c r="O69" s="3"/>
    </row>
    <row r="70" spans="1:15" x14ac:dyDescent="0.25">
      <c r="A70" s="15"/>
      <c r="B70" s="15"/>
      <c r="C70" s="15"/>
      <c r="D70" s="5" t="str">
        <f t="shared" si="6"/>
        <v/>
      </c>
      <c r="E70" s="5" t="str">
        <f t="shared" si="7"/>
        <v/>
      </c>
      <c r="F70" s="5" t="str">
        <f t="shared" si="8"/>
        <v/>
      </c>
      <c r="G70" s="19"/>
      <c r="H70" s="66"/>
      <c r="I70" s="15"/>
      <c r="J70" s="15"/>
      <c r="K70" s="15"/>
      <c r="L70" s="5" t="str">
        <f t="shared" si="9"/>
        <v/>
      </c>
      <c r="M70" s="5" t="str">
        <f t="shared" si="10"/>
        <v/>
      </c>
      <c r="N70" s="5" t="str">
        <f t="shared" si="11"/>
        <v/>
      </c>
      <c r="O70" s="3"/>
    </row>
    <row r="71" spans="1:15" x14ac:dyDescent="0.25">
      <c r="A71" s="15"/>
      <c r="B71" s="15"/>
      <c r="C71" s="15"/>
      <c r="D71" s="5" t="str">
        <f t="shared" si="6"/>
        <v/>
      </c>
      <c r="E71" s="5" t="str">
        <f t="shared" si="7"/>
        <v/>
      </c>
      <c r="F71" s="5" t="str">
        <f t="shared" si="8"/>
        <v/>
      </c>
      <c r="G71" s="22"/>
      <c r="H71" s="66"/>
      <c r="I71" s="15"/>
      <c r="J71" s="15"/>
      <c r="K71" s="15"/>
      <c r="L71" s="5" t="str">
        <f t="shared" si="9"/>
        <v/>
      </c>
      <c r="M71" s="5" t="str">
        <f t="shared" si="10"/>
        <v/>
      </c>
      <c r="N71" s="5" t="str">
        <f t="shared" si="11"/>
        <v/>
      </c>
      <c r="O71" s="3"/>
    </row>
    <row r="72" spans="1:15" x14ac:dyDescent="0.25">
      <c r="A72" s="15"/>
      <c r="B72" s="15"/>
      <c r="C72" s="15"/>
      <c r="D72" s="5" t="str">
        <f t="shared" si="6"/>
        <v/>
      </c>
      <c r="E72" s="5" t="str">
        <f t="shared" si="7"/>
        <v/>
      </c>
      <c r="F72" s="5" t="str">
        <f t="shared" si="8"/>
        <v/>
      </c>
      <c r="G72" s="22"/>
      <c r="H72" s="66"/>
      <c r="I72" s="15"/>
      <c r="J72" s="15"/>
      <c r="K72" s="15"/>
      <c r="L72" s="5" t="str">
        <f t="shared" si="9"/>
        <v/>
      </c>
      <c r="M72" s="5" t="str">
        <f t="shared" si="10"/>
        <v/>
      </c>
      <c r="N72" s="5" t="str">
        <f t="shared" si="11"/>
        <v/>
      </c>
      <c r="O72" s="3"/>
    </row>
    <row r="73" spans="1:15" x14ac:dyDescent="0.25">
      <c r="A73" s="15"/>
      <c r="B73" s="15"/>
      <c r="C73" s="15"/>
      <c r="D73" s="5" t="str">
        <f t="shared" si="6"/>
        <v/>
      </c>
      <c r="E73" s="5" t="str">
        <f t="shared" si="7"/>
        <v/>
      </c>
      <c r="F73" s="5" t="str">
        <f t="shared" si="8"/>
        <v/>
      </c>
      <c r="G73" s="19"/>
      <c r="H73" s="66"/>
      <c r="I73" s="15"/>
      <c r="J73" s="15"/>
      <c r="K73" s="15"/>
      <c r="L73" s="5" t="str">
        <f t="shared" si="9"/>
        <v/>
      </c>
      <c r="M73" s="5" t="str">
        <f t="shared" si="10"/>
        <v/>
      </c>
      <c r="N73" s="5" t="str">
        <f t="shared" si="11"/>
        <v/>
      </c>
      <c r="O73" s="3"/>
    </row>
    <row r="74" spans="1:15" x14ac:dyDescent="0.25">
      <c r="A74" s="15"/>
      <c r="B74" s="15"/>
      <c r="C74" s="15"/>
      <c r="D74" s="5" t="str">
        <f t="shared" si="6"/>
        <v/>
      </c>
      <c r="E74" s="5" t="str">
        <f t="shared" si="7"/>
        <v/>
      </c>
      <c r="F74" s="5" t="str">
        <f t="shared" si="8"/>
        <v/>
      </c>
      <c r="G74" s="19"/>
      <c r="H74" s="66"/>
      <c r="I74" s="15"/>
      <c r="J74" s="15"/>
      <c r="K74" s="15"/>
      <c r="L74" s="5" t="str">
        <f t="shared" si="9"/>
        <v/>
      </c>
      <c r="M74" s="5" t="str">
        <f t="shared" si="10"/>
        <v/>
      </c>
      <c r="N74" s="5" t="str">
        <f t="shared" si="11"/>
        <v/>
      </c>
      <c r="O74" s="3"/>
    </row>
    <row r="75" spans="1:15" x14ac:dyDescent="0.25">
      <c r="A75" s="15"/>
      <c r="B75" s="15"/>
      <c r="C75" s="15"/>
      <c r="D75" s="5" t="str">
        <f t="shared" si="6"/>
        <v/>
      </c>
      <c r="E75" s="5" t="str">
        <f t="shared" si="7"/>
        <v/>
      </c>
      <c r="F75" s="5" t="str">
        <f t="shared" si="8"/>
        <v/>
      </c>
      <c r="G75" s="19"/>
      <c r="H75" s="66"/>
      <c r="I75" s="15"/>
      <c r="J75" s="15"/>
      <c r="K75" s="15"/>
      <c r="L75" s="5" t="str">
        <f t="shared" si="9"/>
        <v/>
      </c>
      <c r="M75" s="5" t="str">
        <f t="shared" si="10"/>
        <v/>
      </c>
      <c r="N75" s="5" t="str">
        <f t="shared" si="11"/>
        <v/>
      </c>
      <c r="O75" s="3"/>
    </row>
    <row r="76" spans="1:15" x14ac:dyDescent="0.25">
      <c r="A76" s="15"/>
      <c r="B76" s="15"/>
      <c r="C76" s="15"/>
      <c r="D76" s="5" t="str">
        <f t="shared" si="6"/>
        <v/>
      </c>
      <c r="E76" s="5" t="str">
        <f t="shared" si="7"/>
        <v/>
      </c>
      <c r="F76" s="5" t="str">
        <f t="shared" si="8"/>
        <v/>
      </c>
      <c r="G76" s="19"/>
      <c r="H76" s="66"/>
      <c r="I76" s="15"/>
      <c r="J76" s="15"/>
      <c r="K76" s="15"/>
      <c r="L76" s="5" t="str">
        <f t="shared" si="9"/>
        <v/>
      </c>
      <c r="M76" s="5" t="str">
        <f t="shared" si="10"/>
        <v/>
      </c>
      <c r="N76" s="5" t="str">
        <f t="shared" si="11"/>
        <v/>
      </c>
      <c r="O76" s="3"/>
    </row>
    <row r="77" spans="1:15" x14ac:dyDescent="0.25">
      <c r="A77" s="15"/>
      <c r="B77" s="15"/>
      <c r="C77" s="15"/>
      <c r="D77" s="5" t="str">
        <f t="shared" si="6"/>
        <v/>
      </c>
      <c r="E77" s="5" t="str">
        <f t="shared" si="7"/>
        <v/>
      </c>
      <c r="F77" s="5" t="str">
        <f t="shared" si="8"/>
        <v/>
      </c>
      <c r="G77" s="19"/>
      <c r="H77" s="66"/>
      <c r="I77" s="15"/>
      <c r="J77" s="15"/>
      <c r="K77" s="15"/>
      <c r="L77" s="5" t="str">
        <f t="shared" si="9"/>
        <v/>
      </c>
      <c r="M77" s="5" t="str">
        <f t="shared" si="10"/>
        <v/>
      </c>
      <c r="N77" s="5" t="str">
        <f t="shared" si="11"/>
        <v/>
      </c>
      <c r="O77" s="3"/>
    </row>
    <row r="78" spans="1:15" x14ac:dyDescent="0.25">
      <c r="A78" s="15"/>
      <c r="B78" s="15"/>
      <c r="C78" s="15"/>
      <c r="D78" s="5" t="str">
        <f t="shared" si="6"/>
        <v/>
      </c>
      <c r="E78" s="5" t="str">
        <f t="shared" si="7"/>
        <v/>
      </c>
      <c r="F78" s="5" t="str">
        <f t="shared" si="8"/>
        <v/>
      </c>
      <c r="G78" s="22"/>
      <c r="H78" s="66"/>
      <c r="I78" s="15"/>
      <c r="J78" s="15"/>
      <c r="K78" s="15"/>
      <c r="L78" s="5" t="str">
        <f t="shared" si="9"/>
        <v/>
      </c>
      <c r="M78" s="5" t="str">
        <f t="shared" si="10"/>
        <v/>
      </c>
      <c r="N78" s="5" t="str">
        <f t="shared" si="11"/>
        <v/>
      </c>
      <c r="O78" s="3"/>
    </row>
    <row r="79" spans="1:15" x14ac:dyDescent="0.25">
      <c r="A79" s="15"/>
      <c r="B79" s="15"/>
      <c r="C79" s="15"/>
      <c r="D79" s="5" t="str">
        <f t="shared" si="6"/>
        <v/>
      </c>
      <c r="E79" s="5" t="str">
        <f t="shared" si="7"/>
        <v/>
      </c>
      <c r="F79" s="5" t="str">
        <f t="shared" si="8"/>
        <v/>
      </c>
      <c r="G79" s="20"/>
      <c r="H79" s="66"/>
      <c r="I79" s="15"/>
      <c r="J79" s="15"/>
      <c r="K79" s="15"/>
      <c r="L79" s="5" t="str">
        <f t="shared" si="9"/>
        <v/>
      </c>
      <c r="M79" s="5" t="str">
        <f t="shared" si="10"/>
        <v/>
      </c>
      <c r="N79" s="5" t="str">
        <f t="shared" si="11"/>
        <v/>
      </c>
      <c r="O79" s="3"/>
    </row>
    <row r="80" spans="1:15" x14ac:dyDescent="0.25">
      <c r="A80" s="15"/>
      <c r="B80" s="15"/>
      <c r="C80" s="15"/>
      <c r="D80" s="5" t="str">
        <f t="shared" si="6"/>
        <v/>
      </c>
      <c r="E80" s="5" t="str">
        <f t="shared" si="7"/>
        <v/>
      </c>
      <c r="F80" s="5" t="str">
        <f t="shared" si="8"/>
        <v/>
      </c>
      <c r="G80" s="20"/>
      <c r="H80" s="66"/>
      <c r="I80" s="15"/>
      <c r="J80" s="15"/>
      <c r="K80" s="15"/>
      <c r="L80" s="5" t="str">
        <f t="shared" si="9"/>
        <v/>
      </c>
      <c r="M80" s="5" t="str">
        <f t="shared" si="10"/>
        <v/>
      </c>
      <c r="N80" s="5" t="str">
        <f t="shared" si="11"/>
        <v/>
      </c>
      <c r="O80" s="3"/>
    </row>
    <row r="81" spans="1:15" x14ac:dyDescent="0.25">
      <c r="A81" s="15"/>
      <c r="B81" s="15"/>
      <c r="C81" s="15"/>
      <c r="D81" s="5" t="str">
        <f t="shared" si="6"/>
        <v/>
      </c>
      <c r="E81" s="5" t="str">
        <f t="shared" si="7"/>
        <v/>
      </c>
      <c r="F81" s="5" t="str">
        <f t="shared" si="8"/>
        <v/>
      </c>
      <c r="G81" s="20"/>
      <c r="H81" s="66"/>
      <c r="I81" s="15"/>
      <c r="J81" s="15"/>
      <c r="K81" s="15"/>
      <c r="L81" s="5" t="str">
        <f t="shared" si="9"/>
        <v/>
      </c>
      <c r="M81" s="5" t="str">
        <f t="shared" si="10"/>
        <v/>
      </c>
      <c r="N81" s="5" t="str">
        <f t="shared" si="11"/>
        <v/>
      </c>
      <c r="O81" s="3"/>
    </row>
    <row r="82" spans="1:15" x14ac:dyDescent="0.25">
      <c r="A82" s="15"/>
      <c r="B82" s="15"/>
      <c r="C82" s="15"/>
      <c r="D82" s="5" t="str">
        <f t="shared" si="6"/>
        <v/>
      </c>
      <c r="E82" s="5" t="str">
        <f t="shared" si="7"/>
        <v/>
      </c>
      <c r="F82" s="5" t="str">
        <f t="shared" si="8"/>
        <v/>
      </c>
      <c r="G82" s="22"/>
      <c r="H82" s="66"/>
      <c r="I82" s="15"/>
      <c r="J82" s="15"/>
      <c r="K82" s="15"/>
      <c r="L82" s="5" t="str">
        <f t="shared" si="9"/>
        <v/>
      </c>
      <c r="M82" s="5" t="str">
        <f t="shared" si="10"/>
        <v/>
      </c>
      <c r="N82" s="5" t="str">
        <f t="shared" si="11"/>
        <v/>
      </c>
      <c r="O82" s="3"/>
    </row>
    <row r="83" spans="1:15" x14ac:dyDescent="0.25">
      <c r="A83" s="15"/>
      <c r="B83" s="15"/>
      <c r="C83" s="15"/>
      <c r="D83" s="5" t="str">
        <f t="shared" si="6"/>
        <v/>
      </c>
      <c r="E83" s="5" t="str">
        <f t="shared" si="7"/>
        <v/>
      </c>
      <c r="F83" s="5" t="str">
        <f t="shared" si="8"/>
        <v/>
      </c>
      <c r="G83" s="20"/>
      <c r="H83" s="66"/>
      <c r="I83" s="15"/>
      <c r="J83" s="15"/>
      <c r="K83" s="15"/>
      <c r="L83" s="5" t="str">
        <f t="shared" si="9"/>
        <v/>
      </c>
      <c r="M83" s="5" t="str">
        <f t="shared" si="10"/>
        <v/>
      </c>
      <c r="N83" s="5" t="str">
        <f t="shared" si="11"/>
        <v/>
      </c>
      <c r="O83" s="3"/>
    </row>
    <row r="84" spans="1:15" x14ac:dyDescent="0.25">
      <c r="A84" s="15"/>
      <c r="B84" s="15"/>
      <c r="C84" s="15"/>
      <c r="D84" s="5" t="str">
        <f t="shared" si="6"/>
        <v/>
      </c>
      <c r="E84" s="5" t="str">
        <f t="shared" si="7"/>
        <v/>
      </c>
      <c r="F84" s="5" t="str">
        <f t="shared" si="8"/>
        <v/>
      </c>
      <c r="G84" s="19"/>
      <c r="H84" s="66"/>
      <c r="I84" s="15"/>
      <c r="J84" s="15"/>
      <c r="K84" s="15"/>
      <c r="L84" s="5" t="str">
        <f t="shared" si="9"/>
        <v/>
      </c>
      <c r="M84" s="5" t="str">
        <f t="shared" si="10"/>
        <v/>
      </c>
      <c r="N84" s="5" t="str">
        <f t="shared" si="11"/>
        <v/>
      </c>
      <c r="O84" s="3"/>
    </row>
    <row r="85" spans="1:15" x14ac:dyDescent="0.25">
      <c r="A85" s="15"/>
      <c r="B85" s="15"/>
      <c r="C85" s="15"/>
      <c r="D85" s="5" t="str">
        <f t="shared" si="6"/>
        <v/>
      </c>
      <c r="E85" s="5" t="str">
        <f t="shared" si="7"/>
        <v/>
      </c>
      <c r="F85" s="5" t="str">
        <f t="shared" si="8"/>
        <v/>
      </c>
      <c r="G85" s="19"/>
      <c r="H85" s="66"/>
      <c r="I85" s="15"/>
      <c r="J85" s="15"/>
      <c r="K85" s="15"/>
      <c r="L85" s="5" t="str">
        <f t="shared" si="9"/>
        <v/>
      </c>
      <c r="M85" s="5" t="str">
        <f t="shared" si="10"/>
        <v/>
      </c>
      <c r="N85" s="5" t="str">
        <f t="shared" si="11"/>
        <v/>
      </c>
      <c r="O85" s="3"/>
    </row>
    <row r="86" spans="1:15" x14ac:dyDescent="0.25">
      <c r="A86" s="14"/>
      <c r="B86" s="16"/>
      <c r="C86" s="14"/>
      <c r="D86" s="5" t="str">
        <f t="shared" si="6"/>
        <v/>
      </c>
      <c r="E86" s="5" t="str">
        <f t="shared" si="7"/>
        <v/>
      </c>
      <c r="F86" s="5" t="str">
        <f t="shared" si="8"/>
        <v/>
      </c>
      <c r="G86" s="22"/>
      <c r="H86" s="66"/>
      <c r="I86" s="15"/>
      <c r="J86" s="15"/>
      <c r="K86" s="15"/>
      <c r="L86" s="5" t="str">
        <f t="shared" si="9"/>
        <v/>
      </c>
      <c r="M86" s="5" t="str">
        <f t="shared" si="10"/>
        <v/>
      </c>
      <c r="N86" s="5" t="str">
        <f t="shared" si="11"/>
        <v/>
      </c>
      <c r="O86" s="3"/>
    </row>
    <row r="87" spans="1:15" x14ac:dyDescent="0.25">
      <c r="A87" s="14"/>
      <c r="B87" s="16"/>
      <c r="C87" s="14"/>
      <c r="D87" s="5" t="str">
        <f t="shared" si="6"/>
        <v/>
      </c>
      <c r="E87" s="5" t="str">
        <f t="shared" si="7"/>
        <v/>
      </c>
      <c r="F87" s="5" t="str">
        <f t="shared" si="8"/>
        <v/>
      </c>
      <c r="G87" s="22"/>
      <c r="H87" s="66"/>
      <c r="I87" s="15"/>
      <c r="J87" s="15"/>
      <c r="K87" s="15"/>
      <c r="L87" s="5" t="str">
        <f t="shared" si="9"/>
        <v/>
      </c>
      <c r="M87" s="5" t="str">
        <f t="shared" si="10"/>
        <v/>
      </c>
      <c r="N87" s="5" t="str">
        <f t="shared" si="11"/>
        <v/>
      </c>
      <c r="O87" s="3"/>
    </row>
    <row r="88" spans="1:15" x14ac:dyDescent="0.25">
      <c r="A88" s="14"/>
      <c r="B88" s="16"/>
      <c r="C88" s="14"/>
      <c r="D88" s="5" t="str">
        <f t="shared" si="6"/>
        <v/>
      </c>
      <c r="E88" s="5" t="str">
        <f t="shared" si="7"/>
        <v/>
      </c>
      <c r="F88" s="5" t="str">
        <f t="shared" si="8"/>
        <v/>
      </c>
      <c r="G88" s="76"/>
      <c r="H88" s="66"/>
      <c r="I88" s="14"/>
      <c r="J88" s="14"/>
      <c r="K88" s="14"/>
      <c r="L88" s="5" t="str">
        <f t="shared" si="9"/>
        <v/>
      </c>
      <c r="M88" s="5" t="str">
        <f t="shared" si="10"/>
        <v/>
      </c>
      <c r="N88" s="5" t="str">
        <f t="shared" si="11"/>
        <v/>
      </c>
      <c r="O88" s="3"/>
    </row>
    <row r="89" spans="1:15" x14ac:dyDescent="0.25">
      <c r="A89" s="14"/>
      <c r="B89" s="16"/>
      <c r="C89" s="14"/>
      <c r="D89" s="5" t="str">
        <f t="shared" si="6"/>
        <v/>
      </c>
      <c r="E89" s="5" t="str">
        <f t="shared" si="7"/>
        <v/>
      </c>
      <c r="F89" s="5" t="str">
        <f t="shared" si="8"/>
        <v/>
      </c>
      <c r="G89" s="76"/>
      <c r="H89" s="66"/>
      <c r="I89" s="14"/>
      <c r="J89" s="14"/>
      <c r="K89" s="14"/>
      <c r="L89" s="5" t="str">
        <f t="shared" si="9"/>
        <v/>
      </c>
      <c r="M89" s="5" t="str">
        <f t="shared" si="10"/>
        <v/>
      </c>
      <c r="N89" s="5" t="str">
        <f t="shared" si="11"/>
        <v/>
      </c>
      <c r="O89" s="3"/>
    </row>
    <row r="90" spans="1:15" x14ac:dyDescent="0.25">
      <c r="A90" s="14"/>
      <c r="B90" s="16"/>
      <c r="C90" s="14"/>
      <c r="D90" s="5" t="str">
        <f t="shared" si="6"/>
        <v/>
      </c>
      <c r="E90" s="5" t="str">
        <f t="shared" si="7"/>
        <v/>
      </c>
      <c r="F90" s="5" t="str">
        <f t="shared" si="8"/>
        <v/>
      </c>
      <c r="G90" s="19"/>
      <c r="H90" s="66"/>
      <c r="I90" s="14"/>
      <c r="J90" s="14"/>
      <c r="K90" s="14"/>
      <c r="L90" s="5" t="str">
        <f t="shared" si="9"/>
        <v/>
      </c>
      <c r="M90" s="5" t="str">
        <f t="shared" si="10"/>
        <v/>
      </c>
      <c r="N90" s="5" t="str">
        <f t="shared" si="11"/>
        <v/>
      </c>
      <c r="O90" s="3"/>
    </row>
    <row r="91" spans="1:15" x14ac:dyDescent="0.25">
      <c r="A91" s="14"/>
      <c r="B91" s="16"/>
      <c r="C91" s="14"/>
      <c r="D91" s="5" t="str">
        <f t="shared" si="6"/>
        <v/>
      </c>
      <c r="E91" s="5" t="str">
        <f t="shared" si="7"/>
        <v/>
      </c>
      <c r="F91" s="5" t="str">
        <f t="shared" si="8"/>
        <v/>
      </c>
      <c r="G91" s="20"/>
      <c r="H91" s="66"/>
      <c r="I91" s="14"/>
      <c r="J91" s="14"/>
      <c r="K91" s="14"/>
      <c r="L91" s="5" t="str">
        <f t="shared" si="9"/>
        <v/>
      </c>
      <c r="M91" s="5" t="str">
        <f t="shared" si="10"/>
        <v/>
      </c>
      <c r="N91" s="5" t="str">
        <f t="shared" si="11"/>
        <v/>
      </c>
      <c r="O91" s="3"/>
    </row>
    <row r="92" spans="1:15" x14ac:dyDescent="0.25">
      <c r="A92" s="14"/>
      <c r="B92" s="16"/>
      <c r="C92" s="14"/>
      <c r="D92" s="5" t="str">
        <f t="shared" si="6"/>
        <v/>
      </c>
      <c r="E92" s="5" t="str">
        <f t="shared" si="7"/>
        <v/>
      </c>
      <c r="F92" s="5" t="str">
        <f t="shared" si="8"/>
        <v/>
      </c>
      <c r="G92" s="19"/>
      <c r="H92" s="66"/>
      <c r="I92" s="14"/>
      <c r="J92" s="14"/>
      <c r="K92" s="14"/>
      <c r="L92" s="5" t="str">
        <f t="shared" si="9"/>
        <v/>
      </c>
      <c r="M92" s="5" t="str">
        <f t="shared" si="10"/>
        <v/>
      </c>
      <c r="N92" s="5" t="str">
        <f t="shared" si="11"/>
        <v/>
      </c>
      <c r="O92" s="3"/>
    </row>
    <row r="93" spans="1:15" x14ac:dyDescent="0.25">
      <c r="A93" s="14"/>
      <c r="B93" s="16"/>
      <c r="C93" s="14"/>
      <c r="D93" s="5" t="str">
        <f t="shared" si="6"/>
        <v/>
      </c>
      <c r="E93" s="5" t="str">
        <f t="shared" si="7"/>
        <v/>
      </c>
      <c r="F93" s="5" t="str">
        <f t="shared" si="8"/>
        <v/>
      </c>
      <c r="G93" s="76"/>
      <c r="H93" s="66"/>
      <c r="I93" s="14"/>
      <c r="J93" s="14"/>
      <c r="K93" s="14"/>
      <c r="L93" s="5" t="str">
        <f t="shared" si="9"/>
        <v/>
      </c>
      <c r="M93" s="5" t="str">
        <f t="shared" si="10"/>
        <v/>
      </c>
      <c r="N93" s="5" t="str">
        <f t="shared" si="11"/>
        <v/>
      </c>
      <c r="O93" s="3"/>
    </row>
    <row r="94" spans="1:15" x14ac:dyDescent="0.25">
      <c r="A94" s="14"/>
      <c r="B94" s="16"/>
      <c r="C94" s="14"/>
      <c r="D94" s="5" t="str">
        <f t="shared" si="6"/>
        <v/>
      </c>
      <c r="E94" s="5" t="str">
        <f t="shared" si="7"/>
        <v/>
      </c>
      <c r="F94" s="5" t="str">
        <f t="shared" si="8"/>
        <v/>
      </c>
      <c r="G94" s="76"/>
      <c r="H94" s="66"/>
      <c r="I94" s="14"/>
      <c r="J94" s="14"/>
      <c r="K94" s="14"/>
      <c r="L94" s="5" t="str">
        <f t="shared" si="9"/>
        <v/>
      </c>
      <c r="M94" s="5" t="str">
        <f t="shared" si="10"/>
        <v/>
      </c>
      <c r="N94" s="5" t="str">
        <f t="shared" si="11"/>
        <v/>
      </c>
      <c r="O94" s="3"/>
    </row>
    <row r="95" spans="1:15" x14ac:dyDescent="0.25">
      <c r="A95" s="14"/>
      <c r="B95" s="14"/>
      <c r="C95" s="14"/>
      <c r="D95" s="5" t="str">
        <f t="shared" si="6"/>
        <v/>
      </c>
      <c r="E95" s="5" t="str">
        <f t="shared" si="7"/>
        <v/>
      </c>
      <c r="F95" s="5" t="str">
        <f t="shared" si="8"/>
        <v/>
      </c>
      <c r="G95" s="22"/>
      <c r="H95" s="66"/>
      <c r="I95" s="14"/>
      <c r="J95" s="14"/>
      <c r="K95" s="14"/>
      <c r="L95" s="5" t="str">
        <f t="shared" si="9"/>
        <v/>
      </c>
      <c r="M95" s="5" t="str">
        <f t="shared" si="10"/>
        <v/>
      </c>
      <c r="N95" s="5" t="str">
        <f t="shared" si="11"/>
        <v/>
      </c>
      <c r="O95" s="3"/>
    </row>
    <row r="96" spans="1:15" x14ac:dyDescent="0.25">
      <c r="A96" s="14"/>
      <c r="B96" s="14"/>
      <c r="C96" s="14"/>
      <c r="D96" s="5" t="str">
        <f t="shared" si="6"/>
        <v/>
      </c>
      <c r="E96" s="5" t="str">
        <f t="shared" si="7"/>
        <v/>
      </c>
      <c r="F96" s="5" t="str">
        <f t="shared" si="8"/>
        <v/>
      </c>
      <c r="G96" s="76"/>
      <c r="H96" s="66"/>
      <c r="I96" s="14"/>
      <c r="J96" s="14"/>
      <c r="K96" s="14"/>
      <c r="L96" s="5" t="str">
        <f t="shared" si="9"/>
        <v/>
      </c>
      <c r="M96" s="5" t="str">
        <f t="shared" si="10"/>
        <v/>
      </c>
      <c r="N96" s="5" t="str">
        <f t="shared" si="11"/>
        <v/>
      </c>
      <c r="O96" s="3"/>
    </row>
    <row r="97" spans="1:15" x14ac:dyDescent="0.25">
      <c r="A97" s="14"/>
      <c r="B97" s="14"/>
      <c r="C97" s="14"/>
      <c r="D97" s="5" t="str">
        <f t="shared" si="6"/>
        <v/>
      </c>
      <c r="E97" s="5" t="str">
        <f t="shared" si="7"/>
        <v/>
      </c>
      <c r="F97" s="5" t="str">
        <f t="shared" si="8"/>
        <v/>
      </c>
      <c r="G97" s="22"/>
      <c r="H97" s="66"/>
      <c r="I97" s="14"/>
      <c r="J97" s="14"/>
      <c r="K97" s="14"/>
      <c r="L97" s="5" t="str">
        <f t="shared" si="9"/>
        <v/>
      </c>
      <c r="M97" s="5" t="str">
        <f t="shared" si="10"/>
        <v/>
      </c>
      <c r="N97" s="5" t="str">
        <f t="shared" si="11"/>
        <v/>
      </c>
      <c r="O97" s="3"/>
    </row>
    <row r="98" spans="1:15" x14ac:dyDescent="0.25">
      <c r="A98" s="14"/>
      <c r="B98" s="14"/>
      <c r="C98" s="14"/>
      <c r="D98" s="5" t="str">
        <f t="shared" si="6"/>
        <v/>
      </c>
      <c r="E98" s="5" t="str">
        <f t="shared" si="7"/>
        <v/>
      </c>
      <c r="F98" s="5" t="str">
        <f t="shared" si="8"/>
        <v/>
      </c>
      <c r="G98" s="76"/>
      <c r="H98" s="66"/>
      <c r="I98" s="14"/>
      <c r="J98" s="14"/>
      <c r="K98" s="14"/>
      <c r="L98" s="5" t="str">
        <f t="shared" si="9"/>
        <v/>
      </c>
      <c r="M98" s="5" t="str">
        <f t="shared" si="10"/>
        <v/>
      </c>
      <c r="N98" s="5" t="str">
        <f t="shared" si="11"/>
        <v/>
      </c>
      <c r="O98" s="3"/>
    </row>
    <row r="99" spans="1:15" x14ac:dyDescent="0.25">
      <c r="A99" s="14"/>
      <c r="B99" s="14"/>
      <c r="C99" s="14"/>
      <c r="D99" s="5" t="str">
        <f t="shared" si="6"/>
        <v/>
      </c>
      <c r="E99" s="5" t="str">
        <f t="shared" si="7"/>
        <v/>
      </c>
      <c r="F99" s="5" t="str">
        <f t="shared" si="8"/>
        <v/>
      </c>
      <c r="G99" s="19"/>
      <c r="H99" s="66"/>
      <c r="I99" s="14"/>
      <c r="J99" s="14"/>
      <c r="K99" s="14"/>
      <c r="L99" s="5" t="str">
        <f t="shared" si="9"/>
        <v/>
      </c>
      <c r="M99" s="5" t="str">
        <f t="shared" si="10"/>
        <v/>
      </c>
      <c r="N99" s="5" t="str">
        <f t="shared" si="11"/>
        <v/>
      </c>
      <c r="O99" s="3"/>
    </row>
    <row r="100" spans="1:15" x14ac:dyDescent="0.25">
      <c r="A100" s="14"/>
      <c r="B100" s="14"/>
      <c r="C100" s="14"/>
      <c r="D100" s="5" t="str">
        <f t="shared" si="6"/>
        <v/>
      </c>
      <c r="E100" s="5" t="str">
        <f t="shared" si="7"/>
        <v/>
      </c>
      <c r="F100" s="5" t="str">
        <f t="shared" si="8"/>
        <v/>
      </c>
      <c r="G100" s="20"/>
      <c r="H100" s="66"/>
      <c r="I100" s="14"/>
      <c r="J100" s="14"/>
      <c r="K100" s="14"/>
      <c r="L100" s="5" t="str">
        <f t="shared" si="9"/>
        <v/>
      </c>
      <c r="M100" s="5" t="str">
        <f t="shared" si="10"/>
        <v/>
      </c>
      <c r="N100" s="5" t="str">
        <f t="shared" si="11"/>
        <v/>
      </c>
      <c r="O100" s="3"/>
    </row>
    <row r="101" spans="1:15" x14ac:dyDescent="0.25">
      <c r="A101" s="14"/>
      <c r="B101" s="14"/>
      <c r="C101" s="14"/>
      <c r="D101" s="5" t="str">
        <f t="shared" si="6"/>
        <v/>
      </c>
      <c r="E101" s="5" t="str">
        <f t="shared" si="7"/>
        <v/>
      </c>
      <c r="F101" s="5" t="str">
        <f t="shared" si="8"/>
        <v/>
      </c>
      <c r="G101" s="19"/>
      <c r="H101" s="66"/>
      <c r="I101" s="14"/>
      <c r="J101" s="14"/>
      <c r="K101" s="14"/>
      <c r="L101" s="5" t="str">
        <f t="shared" si="9"/>
        <v/>
      </c>
      <c r="M101" s="5" t="str">
        <f t="shared" si="10"/>
        <v/>
      </c>
      <c r="N101" s="5" t="str">
        <f t="shared" si="11"/>
        <v/>
      </c>
      <c r="O101" s="3"/>
    </row>
    <row r="102" spans="1:15" x14ac:dyDescent="0.25">
      <c r="A102" s="14"/>
      <c r="B102" s="14"/>
      <c r="C102" s="14"/>
      <c r="D102" s="5" t="str">
        <f t="shared" si="6"/>
        <v/>
      </c>
      <c r="E102" s="5" t="str">
        <f t="shared" si="7"/>
        <v/>
      </c>
      <c r="F102" s="5" t="str">
        <f t="shared" si="8"/>
        <v/>
      </c>
      <c r="G102" s="22"/>
      <c r="H102" s="66"/>
      <c r="I102" s="14"/>
      <c r="J102" s="14"/>
      <c r="K102" s="14"/>
      <c r="L102" s="5" t="str">
        <f t="shared" si="9"/>
        <v/>
      </c>
      <c r="M102" s="5" t="str">
        <f t="shared" si="10"/>
        <v/>
      </c>
      <c r="N102" s="5" t="str">
        <f t="shared" si="11"/>
        <v/>
      </c>
      <c r="O102" s="3"/>
    </row>
    <row r="103" spans="1:15" x14ac:dyDescent="0.25">
      <c r="A103" s="14"/>
      <c r="B103" s="14"/>
      <c r="C103" s="14"/>
      <c r="D103" s="5" t="str">
        <f t="shared" si="6"/>
        <v/>
      </c>
      <c r="E103" s="5" t="str">
        <f t="shared" si="7"/>
        <v/>
      </c>
      <c r="F103" s="5" t="str">
        <f t="shared" si="8"/>
        <v/>
      </c>
      <c r="G103" s="22"/>
      <c r="H103" s="66"/>
      <c r="I103" s="14"/>
      <c r="J103" s="14"/>
      <c r="K103" s="14"/>
      <c r="L103" s="5" t="str">
        <f t="shared" si="9"/>
        <v/>
      </c>
      <c r="M103" s="5" t="str">
        <f t="shared" si="10"/>
        <v/>
      </c>
      <c r="N103" s="5" t="str">
        <f t="shared" si="11"/>
        <v/>
      </c>
      <c r="O103" s="3"/>
    </row>
    <row r="104" spans="1:15" x14ac:dyDescent="0.25">
      <c r="A104" s="14"/>
      <c r="B104" s="14"/>
      <c r="C104" s="14"/>
      <c r="D104" s="5" t="str">
        <f t="shared" si="6"/>
        <v/>
      </c>
      <c r="E104" s="5" t="str">
        <f t="shared" si="7"/>
        <v/>
      </c>
      <c r="F104" s="5" t="str">
        <f t="shared" si="8"/>
        <v/>
      </c>
      <c r="G104" s="22"/>
      <c r="H104" s="66"/>
      <c r="I104" s="14"/>
      <c r="J104" s="14"/>
      <c r="K104" s="14"/>
      <c r="L104" s="5" t="str">
        <f t="shared" si="9"/>
        <v/>
      </c>
      <c r="M104" s="5" t="str">
        <f t="shared" si="10"/>
        <v/>
      </c>
      <c r="N104" s="5" t="str">
        <f t="shared" si="11"/>
        <v/>
      </c>
      <c r="O104" s="3"/>
    </row>
    <row r="105" spans="1:15" x14ac:dyDescent="0.25">
      <c r="A105" s="14"/>
      <c r="B105" s="14"/>
      <c r="C105" s="14"/>
      <c r="D105" s="5" t="str">
        <f t="shared" si="6"/>
        <v/>
      </c>
      <c r="E105" s="5" t="str">
        <f t="shared" si="7"/>
        <v/>
      </c>
      <c r="F105" s="5" t="str">
        <f t="shared" si="8"/>
        <v/>
      </c>
      <c r="G105" s="19"/>
      <c r="H105" s="66"/>
      <c r="I105" s="14"/>
      <c r="J105" s="14"/>
      <c r="K105" s="14"/>
      <c r="L105" s="5" t="str">
        <f t="shared" si="9"/>
        <v/>
      </c>
      <c r="M105" s="5" t="str">
        <f t="shared" si="10"/>
        <v/>
      </c>
      <c r="N105" s="5" t="str">
        <f t="shared" si="11"/>
        <v/>
      </c>
      <c r="O105" s="3"/>
    </row>
    <row r="106" spans="1:15" x14ac:dyDescent="0.25">
      <c r="A106" s="14"/>
      <c r="B106" s="14"/>
      <c r="C106" s="14"/>
      <c r="D106" s="5" t="str">
        <f t="shared" si="6"/>
        <v/>
      </c>
      <c r="E106" s="5" t="str">
        <f t="shared" si="7"/>
        <v/>
      </c>
      <c r="F106" s="5" t="str">
        <f t="shared" si="8"/>
        <v/>
      </c>
      <c r="G106" s="19"/>
      <c r="H106" s="66"/>
      <c r="I106" s="14"/>
      <c r="J106" s="14"/>
      <c r="K106" s="14"/>
      <c r="L106" s="5" t="str">
        <f t="shared" si="9"/>
        <v/>
      </c>
      <c r="M106" s="5" t="str">
        <f t="shared" si="10"/>
        <v/>
      </c>
      <c r="N106" s="5" t="str">
        <f t="shared" si="11"/>
        <v/>
      </c>
      <c r="O106" s="3"/>
    </row>
    <row r="107" spans="1:15" x14ac:dyDescent="0.25">
      <c r="A107" s="14"/>
      <c r="B107" s="14"/>
      <c r="C107" s="14"/>
      <c r="D107" s="5" t="str">
        <f t="shared" si="6"/>
        <v/>
      </c>
      <c r="E107" s="5" t="str">
        <f t="shared" si="7"/>
        <v/>
      </c>
      <c r="F107" s="5" t="str">
        <f t="shared" si="8"/>
        <v/>
      </c>
      <c r="G107" s="22"/>
      <c r="H107" s="66"/>
      <c r="I107" s="14"/>
      <c r="J107" s="14"/>
      <c r="K107" s="14"/>
      <c r="L107" s="5" t="str">
        <f t="shared" si="9"/>
        <v/>
      </c>
      <c r="M107" s="5" t="str">
        <f t="shared" si="10"/>
        <v/>
      </c>
      <c r="N107" s="5" t="str">
        <f t="shared" si="11"/>
        <v/>
      </c>
      <c r="O107" s="3"/>
    </row>
    <row r="108" spans="1:15" x14ac:dyDescent="0.25">
      <c r="A108" s="14"/>
      <c r="B108" s="14"/>
      <c r="C108" s="14"/>
      <c r="D108" s="5" t="str">
        <f t="shared" si="6"/>
        <v/>
      </c>
      <c r="E108" s="5" t="str">
        <f t="shared" si="7"/>
        <v/>
      </c>
      <c r="F108" s="5" t="str">
        <f t="shared" si="8"/>
        <v/>
      </c>
      <c r="G108" s="22"/>
      <c r="H108" s="66"/>
      <c r="I108" s="14"/>
      <c r="J108" s="14"/>
      <c r="K108" s="14"/>
      <c r="L108" s="5" t="str">
        <f t="shared" si="9"/>
        <v/>
      </c>
      <c r="M108" s="5" t="str">
        <f t="shared" si="10"/>
        <v/>
      </c>
      <c r="N108" s="5" t="str">
        <f t="shared" si="11"/>
        <v/>
      </c>
      <c r="O108" s="3"/>
    </row>
    <row r="109" spans="1:15" x14ac:dyDescent="0.25">
      <c r="A109" s="14"/>
      <c r="B109" s="14"/>
      <c r="C109" s="14"/>
      <c r="D109" s="5" t="str">
        <f t="shared" si="6"/>
        <v/>
      </c>
      <c r="E109" s="5" t="str">
        <f t="shared" si="7"/>
        <v/>
      </c>
      <c r="F109" s="5" t="str">
        <f t="shared" si="8"/>
        <v/>
      </c>
      <c r="G109" s="19"/>
      <c r="H109" s="66"/>
      <c r="I109" s="14"/>
      <c r="J109" s="14"/>
      <c r="K109" s="14"/>
      <c r="L109" s="5" t="str">
        <f t="shared" si="9"/>
        <v/>
      </c>
      <c r="M109" s="5" t="str">
        <f t="shared" si="10"/>
        <v/>
      </c>
      <c r="N109" s="5" t="str">
        <f t="shared" si="11"/>
        <v/>
      </c>
      <c r="O109" s="3"/>
    </row>
    <row r="110" spans="1:15" x14ac:dyDescent="0.25">
      <c r="A110" s="14"/>
      <c r="B110" s="14"/>
      <c r="C110" s="14"/>
      <c r="D110" s="5" t="str">
        <f t="shared" si="6"/>
        <v/>
      </c>
      <c r="E110" s="5" t="str">
        <f t="shared" si="7"/>
        <v/>
      </c>
      <c r="F110" s="5" t="str">
        <f t="shared" si="8"/>
        <v/>
      </c>
      <c r="G110" s="22"/>
      <c r="H110" s="66"/>
      <c r="I110" s="14"/>
      <c r="J110" s="14"/>
      <c r="K110" s="14"/>
      <c r="L110" s="5" t="str">
        <f t="shared" si="9"/>
        <v/>
      </c>
      <c r="M110" s="5" t="str">
        <f t="shared" si="10"/>
        <v/>
      </c>
      <c r="N110" s="5" t="str">
        <f t="shared" si="11"/>
        <v/>
      </c>
      <c r="O110" s="3"/>
    </row>
    <row r="111" spans="1:15" x14ac:dyDescent="0.25">
      <c r="A111" s="14"/>
      <c r="B111" s="14"/>
      <c r="C111" s="14"/>
      <c r="D111" s="5" t="str">
        <f t="shared" si="6"/>
        <v/>
      </c>
      <c r="E111" s="5" t="str">
        <f t="shared" si="7"/>
        <v/>
      </c>
      <c r="F111" s="5" t="str">
        <f t="shared" si="8"/>
        <v/>
      </c>
      <c r="G111" s="22"/>
      <c r="H111" s="66"/>
      <c r="I111" s="14"/>
      <c r="J111" s="14"/>
      <c r="K111" s="14"/>
      <c r="L111" s="5" t="str">
        <f t="shared" si="9"/>
        <v/>
      </c>
      <c r="M111" s="5" t="str">
        <f t="shared" si="10"/>
        <v/>
      </c>
      <c r="N111" s="5" t="str">
        <f t="shared" si="11"/>
        <v/>
      </c>
      <c r="O111" s="3"/>
    </row>
    <row r="112" spans="1:15" x14ac:dyDescent="0.25">
      <c r="A112" s="14"/>
      <c r="B112" s="14"/>
      <c r="C112" s="14"/>
      <c r="D112" s="5" t="str">
        <f t="shared" si="6"/>
        <v/>
      </c>
      <c r="E112" s="5" t="str">
        <f t="shared" si="7"/>
        <v/>
      </c>
      <c r="F112" s="5" t="str">
        <f t="shared" si="8"/>
        <v/>
      </c>
      <c r="G112" s="22"/>
      <c r="H112" s="66"/>
      <c r="I112" s="14"/>
      <c r="J112" s="14"/>
      <c r="K112" s="14"/>
      <c r="L112" s="5" t="str">
        <f t="shared" si="9"/>
        <v/>
      </c>
      <c r="M112" s="5" t="str">
        <f t="shared" si="10"/>
        <v/>
      </c>
      <c r="N112" s="5" t="str">
        <f t="shared" si="11"/>
        <v/>
      </c>
      <c r="O112" s="3"/>
    </row>
    <row r="113" spans="1:15" x14ac:dyDescent="0.25">
      <c r="A113" s="14"/>
      <c r="B113" s="14"/>
      <c r="C113" s="14"/>
      <c r="D113" s="5" t="str">
        <f t="shared" si="6"/>
        <v/>
      </c>
      <c r="E113" s="5" t="str">
        <f t="shared" si="7"/>
        <v/>
      </c>
      <c r="F113" s="5" t="str">
        <f t="shared" si="8"/>
        <v/>
      </c>
      <c r="G113" s="22"/>
      <c r="H113" s="66"/>
      <c r="I113" s="14"/>
      <c r="J113" s="14"/>
      <c r="K113" s="14"/>
      <c r="L113" s="5" t="str">
        <f t="shared" si="9"/>
        <v/>
      </c>
      <c r="M113" s="5" t="str">
        <f t="shared" si="10"/>
        <v/>
      </c>
      <c r="N113" s="5" t="str">
        <f t="shared" si="11"/>
        <v/>
      </c>
      <c r="O113" s="3"/>
    </row>
    <row r="114" spans="1:15" x14ac:dyDescent="0.25">
      <c r="A114" s="14"/>
      <c r="B114" s="14"/>
      <c r="C114" s="14"/>
      <c r="D114" s="5" t="str">
        <f t="shared" si="6"/>
        <v/>
      </c>
      <c r="E114" s="5" t="str">
        <f t="shared" si="7"/>
        <v/>
      </c>
      <c r="F114" s="5" t="str">
        <f t="shared" si="8"/>
        <v/>
      </c>
      <c r="G114" s="19"/>
      <c r="H114" s="66"/>
      <c r="I114" s="14"/>
      <c r="J114" s="14"/>
      <c r="K114" s="14"/>
      <c r="L114" s="5" t="str">
        <f t="shared" si="9"/>
        <v/>
      </c>
      <c r="M114" s="5" t="str">
        <f t="shared" si="10"/>
        <v/>
      </c>
      <c r="N114" s="5" t="str">
        <f t="shared" si="11"/>
        <v/>
      </c>
      <c r="O114" s="3"/>
    </row>
    <row r="115" spans="1:15" x14ac:dyDescent="0.25">
      <c r="A115" s="14"/>
      <c r="B115" s="14"/>
      <c r="C115" s="14"/>
      <c r="D115" s="5" t="str">
        <f t="shared" si="6"/>
        <v/>
      </c>
      <c r="E115" s="5" t="str">
        <f t="shared" si="7"/>
        <v/>
      </c>
      <c r="F115" s="5" t="str">
        <f t="shared" si="8"/>
        <v/>
      </c>
      <c r="G115" s="19"/>
      <c r="H115" s="66"/>
      <c r="I115" s="14"/>
      <c r="J115" s="14"/>
      <c r="K115" s="14"/>
      <c r="L115" s="5" t="str">
        <f t="shared" si="9"/>
        <v/>
      </c>
      <c r="M115" s="5" t="str">
        <f t="shared" si="10"/>
        <v/>
      </c>
      <c r="N115" s="5" t="str">
        <f t="shared" si="11"/>
        <v/>
      </c>
      <c r="O115" s="3"/>
    </row>
    <row r="116" spans="1:15" x14ac:dyDescent="0.25">
      <c r="A116" s="14"/>
      <c r="B116" s="14"/>
      <c r="C116" s="14"/>
      <c r="D116" s="5" t="str">
        <f t="shared" si="6"/>
        <v/>
      </c>
      <c r="E116" s="5" t="str">
        <f t="shared" si="7"/>
        <v/>
      </c>
      <c r="F116" s="5" t="str">
        <f t="shared" si="8"/>
        <v/>
      </c>
      <c r="G116" s="19"/>
      <c r="H116" s="66"/>
      <c r="I116" s="14"/>
      <c r="J116" s="14"/>
      <c r="K116" s="14"/>
      <c r="L116" s="5" t="str">
        <f t="shared" si="9"/>
        <v/>
      </c>
      <c r="M116" s="5" t="str">
        <f t="shared" si="10"/>
        <v/>
      </c>
      <c r="N116" s="5" t="str">
        <f t="shared" si="11"/>
        <v/>
      </c>
      <c r="O116" s="3"/>
    </row>
    <row r="117" spans="1:15" x14ac:dyDescent="0.25">
      <c r="A117" s="14"/>
      <c r="B117" s="14"/>
      <c r="C117" s="14"/>
      <c r="D117" s="5" t="str">
        <f t="shared" si="6"/>
        <v/>
      </c>
      <c r="E117" s="5" t="str">
        <f t="shared" si="7"/>
        <v/>
      </c>
      <c r="F117" s="5" t="str">
        <f t="shared" si="8"/>
        <v/>
      </c>
      <c r="G117" s="22"/>
      <c r="H117" s="66"/>
      <c r="I117" s="14"/>
      <c r="J117" s="14"/>
      <c r="K117" s="14"/>
      <c r="L117" s="5" t="str">
        <f t="shared" si="9"/>
        <v/>
      </c>
      <c r="M117" s="5" t="str">
        <f t="shared" si="10"/>
        <v/>
      </c>
      <c r="N117" s="5" t="str">
        <f t="shared" si="11"/>
        <v/>
      </c>
      <c r="O117" s="3"/>
    </row>
    <row r="118" spans="1:15" x14ac:dyDescent="0.25">
      <c r="A118" s="14"/>
      <c r="B118" s="14"/>
      <c r="C118" s="14"/>
      <c r="D118" s="5" t="str">
        <f t="shared" si="6"/>
        <v/>
      </c>
      <c r="E118" s="5" t="str">
        <f t="shared" si="7"/>
        <v/>
      </c>
      <c r="F118" s="5" t="str">
        <f t="shared" si="8"/>
        <v/>
      </c>
      <c r="G118" s="22"/>
      <c r="H118" s="66"/>
      <c r="I118" s="14"/>
      <c r="J118" s="14"/>
      <c r="K118" s="14"/>
      <c r="L118" s="5" t="str">
        <f t="shared" si="9"/>
        <v/>
      </c>
      <c r="M118" s="5" t="str">
        <f t="shared" si="10"/>
        <v/>
      </c>
      <c r="N118" s="5" t="str">
        <f t="shared" si="11"/>
        <v/>
      </c>
      <c r="O118" s="3"/>
    </row>
    <row r="119" spans="1:15" x14ac:dyDescent="0.25">
      <c r="A119" s="14"/>
      <c r="B119" s="14"/>
      <c r="C119" s="14"/>
      <c r="D119" s="5" t="str">
        <f t="shared" si="6"/>
        <v/>
      </c>
      <c r="E119" s="5" t="str">
        <f t="shared" si="7"/>
        <v/>
      </c>
      <c r="F119" s="5" t="str">
        <f t="shared" si="8"/>
        <v/>
      </c>
      <c r="G119" s="20"/>
      <c r="H119" s="66"/>
      <c r="I119" s="14"/>
      <c r="J119" s="14"/>
      <c r="K119" s="14"/>
      <c r="L119" s="5" t="str">
        <f t="shared" si="9"/>
        <v/>
      </c>
      <c r="M119" s="5" t="str">
        <f t="shared" si="10"/>
        <v/>
      </c>
      <c r="N119" s="5" t="str">
        <f t="shared" si="11"/>
        <v/>
      </c>
      <c r="O119" s="3"/>
    </row>
    <row r="120" spans="1:15" x14ac:dyDescent="0.25">
      <c r="A120" s="14"/>
      <c r="B120" s="14"/>
      <c r="C120" s="14"/>
      <c r="D120" s="5" t="str">
        <f t="shared" si="6"/>
        <v/>
      </c>
      <c r="E120" s="5" t="str">
        <f t="shared" si="7"/>
        <v/>
      </c>
      <c r="F120" s="5" t="str">
        <f t="shared" si="8"/>
        <v/>
      </c>
      <c r="G120" s="22"/>
      <c r="H120" s="66"/>
      <c r="I120" s="14"/>
      <c r="J120" s="14"/>
      <c r="K120" s="14"/>
      <c r="L120" s="5" t="str">
        <f t="shared" si="9"/>
        <v/>
      </c>
      <c r="M120" s="5" t="str">
        <f t="shared" si="10"/>
        <v/>
      </c>
      <c r="N120" s="5" t="str">
        <f t="shared" si="11"/>
        <v/>
      </c>
      <c r="O120" s="3"/>
    </row>
    <row r="121" spans="1:15" x14ac:dyDescent="0.25">
      <c r="A121" s="14"/>
      <c r="B121" s="14"/>
      <c r="C121" s="14"/>
      <c r="D121" s="5" t="str">
        <f t="shared" si="6"/>
        <v/>
      </c>
      <c r="E121" s="5" t="str">
        <f t="shared" si="7"/>
        <v/>
      </c>
      <c r="F121" s="5" t="str">
        <f t="shared" si="8"/>
        <v/>
      </c>
      <c r="G121" s="22"/>
      <c r="H121" s="66"/>
      <c r="I121" s="14"/>
      <c r="J121" s="14"/>
      <c r="K121" s="14"/>
      <c r="L121" s="5" t="str">
        <f t="shared" si="9"/>
        <v/>
      </c>
      <c r="M121" s="5" t="str">
        <f t="shared" si="10"/>
        <v/>
      </c>
      <c r="N121" s="5" t="str">
        <f t="shared" si="11"/>
        <v/>
      </c>
      <c r="O121" s="3"/>
    </row>
    <row r="122" spans="1:15" x14ac:dyDescent="0.25">
      <c r="A122" s="14"/>
      <c r="B122" s="14"/>
      <c r="C122" s="14"/>
      <c r="D122" s="5" t="str">
        <f t="shared" si="6"/>
        <v/>
      </c>
      <c r="E122" s="5" t="str">
        <f t="shared" si="7"/>
        <v/>
      </c>
      <c r="F122" s="5" t="str">
        <f t="shared" si="8"/>
        <v/>
      </c>
      <c r="G122" s="19"/>
      <c r="H122" s="66"/>
      <c r="I122" s="14"/>
      <c r="J122" s="14"/>
      <c r="K122" s="14"/>
      <c r="L122" s="5" t="str">
        <f t="shared" si="9"/>
        <v/>
      </c>
      <c r="M122" s="5" t="str">
        <f t="shared" si="10"/>
        <v/>
      </c>
      <c r="N122" s="5" t="str">
        <f t="shared" si="11"/>
        <v/>
      </c>
      <c r="O122" s="3"/>
    </row>
    <row r="123" spans="1:15" x14ac:dyDescent="0.25">
      <c r="A123" s="14"/>
      <c r="B123" s="14"/>
      <c r="C123" s="14"/>
      <c r="D123" s="5" t="str">
        <f t="shared" si="6"/>
        <v/>
      </c>
      <c r="E123" s="5" t="str">
        <f t="shared" si="7"/>
        <v/>
      </c>
      <c r="F123" s="5" t="str">
        <f t="shared" si="8"/>
        <v/>
      </c>
      <c r="G123" s="22"/>
      <c r="H123" s="66"/>
      <c r="I123" s="14"/>
      <c r="J123" s="14"/>
      <c r="K123" s="14"/>
      <c r="L123" s="5" t="str">
        <f t="shared" si="9"/>
        <v/>
      </c>
      <c r="M123" s="5" t="str">
        <f t="shared" si="10"/>
        <v/>
      </c>
      <c r="N123" s="5" t="str">
        <f t="shared" si="11"/>
        <v/>
      </c>
      <c r="O123" s="3"/>
    </row>
    <row r="124" spans="1:15" x14ac:dyDescent="0.25">
      <c r="A124" s="14"/>
      <c r="B124" s="14"/>
      <c r="C124" s="14"/>
      <c r="D124" s="5" t="str">
        <f t="shared" si="6"/>
        <v/>
      </c>
      <c r="E124" s="5" t="str">
        <f t="shared" si="7"/>
        <v/>
      </c>
      <c r="F124" s="5" t="str">
        <f t="shared" si="8"/>
        <v/>
      </c>
      <c r="G124" s="22"/>
      <c r="H124" s="66"/>
      <c r="I124" s="14"/>
      <c r="J124" s="14"/>
      <c r="K124" s="14"/>
      <c r="L124" s="5" t="str">
        <f t="shared" si="9"/>
        <v/>
      </c>
      <c r="M124" s="5" t="str">
        <f t="shared" si="10"/>
        <v/>
      </c>
      <c r="N124" s="5" t="str">
        <f t="shared" si="11"/>
        <v/>
      </c>
      <c r="O124" s="3"/>
    </row>
    <row r="125" spans="1:15" x14ac:dyDescent="0.25">
      <c r="A125" s="14"/>
      <c r="B125" s="14"/>
      <c r="C125" s="14"/>
      <c r="D125" s="5" t="str">
        <f t="shared" si="6"/>
        <v/>
      </c>
      <c r="E125" s="5" t="str">
        <f t="shared" si="7"/>
        <v/>
      </c>
      <c r="F125" s="5" t="str">
        <f t="shared" si="8"/>
        <v/>
      </c>
      <c r="G125" s="19"/>
      <c r="H125" s="66"/>
      <c r="I125" s="14"/>
      <c r="J125" s="14"/>
      <c r="K125" s="14"/>
      <c r="L125" s="5" t="str">
        <f t="shared" si="9"/>
        <v/>
      </c>
      <c r="M125" s="5" t="str">
        <f t="shared" si="10"/>
        <v/>
      </c>
      <c r="N125" s="5" t="str">
        <f t="shared" si="11"/>
        <v/>
      </c>
      <c r="O125" s="3"/>
    </row>
    <row r="126" spans="1:15" x14ac:dyDescent="0.25">
      <c r="A126" s="14"/>
      <c r="B126" s="14"/>
      <c r="C126" s="14"/>
      <c r="D126" s="5" t="str">
        <f t="shared" si="6"/>
        <v/>
      </c>
      <c r="E126" s="5" t="str">
        <f t="shared" si="7"/>
        <v/>
      </c>
      <c r="F126" s="5" t="str">
        <f t="shared" si="8"/>
        <v/>
      </c>
      <c r="G126" s="22"/>
      <c r="H126" s="66"/>
      <c r="I126" s="14"/>
      <c r="J126" s="14"/>
      <c r="K126" s="14"/>
      <c r="L126" s="5" t="str">
        <f t="shared" si="9"/>
        <v/>
      </c>
      <c r="M126" s="5" t="str">
        <f t="shared" si="10"/>
        <v/>
      </c>
      <c r="N126" s="5" t="str">
        <f t="shared" si="11"/>
        <v/>
      </c>
      <c r="O126" s="3"/>
    </row>
    <row r="127" spans="1:15" x14ac:dyDescent="0.25">
      <c r="A127" s="14"/>
      <c r="B127" s="14"/>
      <c r="C127" s="14"/>
      <c r="D127" s="5" t="str">
        <f t="shared" si="6"/>
        <v/>
      </c>
      <c r="E127" s="5" t="str">
        <f t="shared" si="7"/>
        <v/>
      </c>
      <c r="F127" s="5" t="str">
        <f t="shared" si="8"/>
        <v/>
      </c>
      <c r="G127" s="22"/>
      <c r="H127" s="66"/>
      <c r="I127" s="14"/>
      <c r="J127" s="14"/>
      <c r="K127" s="14"/>
      <c r="L127" s="5" t="str">
        <f t="shared" si="9"/>
        <v/>
      </c>
      <c r="M127" s="5" t="str">
        <f t="shared" si="10"/>
        <v/>
      </c>
      <c r="N127" s="5" t="str">
        <f t="shared" si="11"/>
        <v/>
      </c>
      <c r="O127" s="3"/>
    </row>
    <row r="128" spans="1:15" x14ac:dyDescent="0.25">
      <c r="A128" s="14"/>
      <c r="B128" s="14"/>
      <c r="C128" s="14"/>
      <c r="D128" s="5" t="str">
        <f t="shared" si="6"/>
        <v/>
      </c>
      <c r="E128" s="5" t="str">
        <f t="shared" si="7"/>
        <v/>
      </c>
      <c r="F128" s="5" t="str">
        <f t="shared" si="8"/>
        <v/>
      </c>
      <c r="G128" s="20"/>
      <c r="H128" s="66"/>
      <c r="I128" s="14"/>
      <c r="J128" s="14"/>
      <c r="K128" s="14"/>
      <c r="L128" s="5" t="str">
        <f t="shared" si="9"/>
        <v/>
      </c>
      <c r="M128" s="5" t="str">
        <f t="shared" si="10"/>
        <v/>
      </c>
      <c r="N128" s="5" t="str">
        <f t="shared" si="11"/>
        <v/>
      </c>
      <c r="O128" s="3"/>
    </row>
    <row r="129" spans="1:15" x14ac:dyDescent="0.25">
      <c r="A129" s="14"/>
      <c r="B129" s="14"/>
      <c r="C129" s="14"/>
      <c r="D129" s="5" t="str">
        <f t="shared" si="6"/>
        <v/>
      </c>
      <c r="E129" s="5" t="str">
        <f t="shared" si="7"/>
        <v/>
      </c>
      <c r="F129" s="5" t="str">
        <f t="shared" si="8"/>
        <v/>
      </c>
      <c r="G129" s="22"/>
      <c r="H129" s="66"/>
      <c r="I129" s="14"/>
      <c r="J129" s="14"/>
      <c r="K129" s="14"/>
      <c r="L129" s="5" t="str">
        <f t="shared" si="9"/>
        <v/>
      </c>
      <c r="M129" s="5" t="str">
        <f t="shared" si="10"/>
        <v/>
      </c>
      <c r="N129" s="5" t="str">
        <f t="shared" si="11"/>
        <v/>
      </c>
      <c r="O129" s="3"/>
    </row>
    <row r="130" spans="1:15" x14ac:dyDescent="0.25">
      <c r="A130" s="14"/>
      <c r="B130" s="14"/>
      <c r="C130" s="14"/>
      <c r="D130" s="5" t="str">
        <f t="shared" si="6"/>
        <v/>
      </c>
      <c r="E130" s="5" t="str">
        <f t="shared" si="7"/>
        <v/>
      </c>
      <c r="F130" s="5" t="str">
        <f t="shared" si="8"/>
        <v/>
      </c>
      <c r="G130" s="22"/>
      <c r="H130" s="66"/>
      <c r="I130" s="14"/>
      <c r="J130" s="14"/>
      <c r="K130" s="14"/>
      <c r="L130" s="5" t="str">
        <f t="shared" si="9"/>
        <v/>
      </c>
      <c r="M130" s="5" t="str">
        <f t="shared" si="10"/>
        <v/>
      </c>
      <c r="N130" s="5" t="str">
        <f t="shared" si="11"/>
        <v/>
      </c>
      <c r="O130" s="3"/>
    </row>
    <row r="131" spans="1:15" x14ac:dyDescent="0.25">
      <c r="A131" s="14"/>
      <c r="B131" s="14"/>
      <c r="C131" s="14"/>
      <c r="D131" s="5" t="str">
        <f t="shared" si="6"/>
        <v/>
      </c>
      <c r="E131" s="5" t="str">
        <f t="shared" si="7"/>
        <v/>
      </c>
      <c r="F131" s="5" t="str">
        <f t="shared" si="8"/>
        <v/>
      </c>
      <c r="G131" s="19"/>
      <c r="H131" s="66"/>
      <c r="I131" s="14"/>
      <c r="J131" s="14"/>
      <c r="K131" s="14"/>
      <c r="L131" s="5" t="str">
        <f t="shared" si="9"/>
        <v/>
      </c>
      <c r="M131" s="5" t="str">
        <f t="shared" si="10"/>
        <v/>
      </c>
      <c r="N131" s="5" t="str">
        <f t="shared" si="11"/>
        <v/>
      </c>
      <c r="O131" s="3"/>
    </row>
    <row r="132" spans="1:15" x14ac:dyDescent="0.25">
      <c r="A132" s="14"/>
      <c r="B132" s="14"/>
      <c r="C132" s="14"/>
      <c r="D132" s="5" t="str">
        <f t="shared" si="6"/>
        <v/>
      </c>
      <c r="E132" s="5" t="str">
        <f t="shared" si="7"/>
        <v/>
      </c>
      <c r="F132" s="5" t="str">
        <f t="shared" si="8"/>
        <v/>
      </c>
      <c r="G132" s="22"/>
      <c r="H132" s="66"/>
      <c r="I132" s="14"/>
      <c r="J132" s="14"/>
      <c r="K132" s="14"/>
      <c r="L132" s="5" t="str">
        <f t="shared" si="9"/>
        <v/>
      </c>
      <c r="M132" s="5" t="str">
        <f t="shared" si="10"/>
        <v/>
      </c>
      <c r="N132" s="5" t="str">
        <f t="shared" si="11"/>
        <v/>
      </c>
      <c r="O132" s="3"/>
    </row>
    <row r="133" spans="1:15" x14ac:dyDescent="0.25">
      <c r="A133" s="14"/>
      <c r="B133" s="14"/>
      <c r="C133" s="14"/>
      <c r="D133" s="5" t="str">
        <f t="shared" ref="D133:D152" si="12">IFERROR( IF(A133&lt;&gt;"",((B133-B132)*$X$4/(A133-A132))*$X$5,""),"")</f>
        <v/>
      </c>
      <c r="E133" s="5" t="str">
        <f t="shared" ref="E133:E152" si="13">IFERROR(IF(A133&lt;&gt;"",((C133-C132)*$X$4/(A133-A132))*$X$5,""),"")</f>
        <v/>
      </c>
      <c r="F133" s="5" t="str">
        <f t="shared" ref="F133:F152" si="14">IFERROR(IF(A133&lt;&gt;"",((ACOS((COS(RADIANS(B132))*COS(RADIANS(B133)))+(SIN(RADIANS(B132))*SIN(RADIANS(B133)))*COS(RADIANS(C133-C132)))*180/PI()*($X$4/(A133-A132))))*$X$5,""),"")</f>
        <v/>
      </c>
      <c r="G133" s="22"/>
      <c r="H133" s="66"/>
      <c r="I133" s="14"/>
      <c r="J133" s="14"/>
      <c r="K133" s="14"/>
      <c r="L133" s="5" t="str">
        <f t="shared" ref="L133:L196" si="15">IFERROR(IF(I133&lt;&gt;"",(((J133-J132)*$X$4/(I133-I132)))*$X$5,""),"")</f>
        <v/>
      </c>
      <c r="M133" s="5" t="str">
        <f t="shared" ref="M133:M196" si="16">IFERROR(IF(I133&lt;&gt;"",(((K133-K132)*$X$4/(I133-I132)))*$X$5,""),"")</f>
        <v/>
      </c>
      <c r="N133" s="5" t="str">
        <f t="shared" ref="N133:N196" si="17">IFERROR(IF(I133&lt;&gt;"",((ACOS((COS(RADIANS(J132))*COS(RADIANS(J133)))+(SIN(RADIANS(J132))*SIN(RADIANS(J133)))*COS(RADIANS(K133-K132)))*180/PI()*($X$4/(I133-I132))))*$X$5,""),"")</f>
        <v/>
      </c>
      <c r="O133" s="3"/>
    </row>
    <row r="134" spans="1:15" x14ac:dyDescent="0.25">
      <c r="A134" s="14"/>
      <c r="B134" s="14"/>
      <c r="C134" s="14"/>
      <c r="D134" s="5" t="str">
        <f t="shared" si="12"/>
        <v/>
      </c>
      <c r="E134" s="5" t="str">
        <f t="shared" si="13"/>
        <v/>
      </c>
      <c r="F134" s="5" t="str">
        <f t="shared" si="14"/>
        <v/>
      </c>
      <c r="G134" s="22"/>
      <c r="H134" s="66"/>
      <c r="I134" s="14"/>
      <c r="J134" s="14"/>
      <c r="K134" s="14"/>
      <c r="L134" s="5" t="str">
        <f t="shared" si="15"/>
        <v/>
      </c>
      <c r="M134" s="5" t="str">
        <f t="shared" si="16"/>
        <v/>
      </c>
      <c r="N134" s="5" t="str">
        <f t="shared" si="17"/>
        <v/>
      </c>
      <c r="O134" s="3"/>
    </row>
    <row r="135" spans="1:15" x14ac:dyDescent="0.25">
      <c r="A135" s="14"/>
      <c r="B135" s="14"/>
      <c r="C135" s="14"/>
      <c r="D135" s="5" t="str">
        <f t="shared" si="12"/>
        <v/>
      </c>
      <c r="E135" s="5" t="str">
        <f t="shared" si="13"/>
        <v/>
      </c>
      <c r="F135" s="5" t="str">
        <f t="shared" si="14"/>
        <v/>
      </c>
      <c r="G135" s="22"/>
      <c r="H135" s="66"/>
      <c r="I135" s="14"/>
      <c r="J135" s="14"/>
      <c r="K135" s="14"/>
      <c r="L135" s="5" t="str">
        <f t="shared" si="15"/>
        <v/>
      </c>
      <c r="M135" s="5" t="str">
        <f t="shared" si="16"/>
        <v/>
      </c>
      <c r="N135" s="5" t="str">
        <f t="shared" si="17"/>
        <v/>
      </c>
      <c r="O135" s="3"/>
    </row>
    <row r="136" spans="1:15" x14ac:dyDescent="0.25">
      <c r="A136" s="14"/>
      <c r="B136" s="14"/>
      <c r="C136" s="14"/>
      <c r="D136" s="5" t="str">
        <f t="shared" si="12"/>
        <v/>
      </c>
      <c r="E136" s="5" t="str">
        <f t="shared" si="13"/>
        <v/>
      </c>
      <c r="F136" s="5" t="str">
        <f t="shared" si="14"/>
        <v/>
      </c>
      <c r="G136" s="22"/>
      <c r="H136" s="66"/>
      <c r="I136" s="14"/>
      <c r="J136" s="14"/>
      <c r="K136" s="14"/>
      <c r="L136" s="5" t="str">
        <f t="shared" si="15"/>
        <v/>
      </c>
      <c r="M136" s="5" t="str">
        <f t="shared" si="16"/>
        <v/>
      </c>
      <c r="N136" s="5" t="str">
        <f t="shared" si="17"/>
        <v/>
      </c>
      <c r="O136" s="4"/>
    </row>
    <row r="137" spans="1:15" x14ac:dyDescent="0.25">
      <c r="A137" s="14"/>
      <c r="B137" s="14"/>
      <c r="C137" s="14"/>
      <c r="D137" s="5" t="str">
        <f t="shared" si="12"/>
        <v/>
      </c>
      <c r="E137" s="5" t="str">
        <f t="shared" si="13"/>
        <v/>
      </c>
      <c r="F137" s="5" t="str">
        <f t="shared" si="14"/>
        <v/>
      </c>
      <c r="G137" s="19"/>
      <c r="H137" s="66"/>
      <c r="I137" s="14"/>
      <c r="J137" s="14"/>
      <c r="K137" s="14"/>
      <c r="L137" s="5" t="str">
        <f t="shared" si="15"/>
        <v/>
      </c>
      <c r="M137" s="5" t="str">
        <f t="shared" si="16"/>
        <v/>
      </c>
      <c r="N137" s="5" t="str">
        <f t="shared" si="17"/>
        <v/>
      </c>
      <c r="O137" s="4"/>
    </row>
    <row r="138" spans="1:15" x14ac:dyDescent="0.25">
      <c r="A138" s="14"/>
      <c r="B138" s="14"/>
      <c r="C138" s="14"/>
      <c r="D138" s="5" t="str">
        <f t="shared" si="12"/>
        <v/>
      </c>
      <c r="E138" s="5" t="str">
        <f t="shared" si="13"/>
        <v/>
      </c>
      <c r="F138" s="5" t="str">
        <f t="shared" si="14"/>
        <v/>
      </c>
      <c r="G138" s="22"/>
      <c r="H138" s="66"/>
      <c r="I138" s="14"/>
      <c r="J138" s="14"/>
      <c r="K138" s="14"/>
      <c r="L138" s="5" t="str">
        <f t="shared" si="15"/>
        <v/>
      </c>
      <c r="M138" s="5" t="str">
        <f t="shared" si="16"/>
        <v/>
      </c>
      <c r="N138" s="5" t="str">
        <f t="shared" si="17"/>
        <v/>
      </c>
      <c r="O138" s="4"/>
    </row>
    <row r="139" spans="1:15" x14ac:dyDescent="0.25">
      <c r="A139" s="14"/>
      <c r="B139" s="14"/>
      <c r="C139" s="14"/>
      <c r="D139" s="5" t="str">
        <f t="shared" si="12"/>
        <v/>
      </c>
      <c r="E139" s="5" t="str">
        <f t="shared" si="13"/>
        <v/>
      </c>
      <c r="F139" s="5" t="str">
        <f t="shared" si="14"/>
        <v/>
      </c>
      <c r="G139" s="22"/>
      <c r="H139" s="66"/>
      <c r="I139" s="14"/>
      <c r="J139" s="14"/>
      <c r="K139" s="14"/>
      <c r="L139" s="5" t="str">
        <f t="shared" si="15"/>
        <v/>
      </c>
      <c r="M139" s="5" t="str">
        <f t="shared" si="16"/>
        <v/>
      </c>
      <c r="N139" s="5" t="str">
        <f t="shared" si="17"/>
        <v/>
      </c>
      <c r="O139" s="4"/>
    </row>
    <row r="140" spans="1:15" x14ac:dyDescent="0.25">
      <c r="A140" s="14"/>
      <c r="B140" s="14"/>
      <c r="C140" s="14"/>
      <c r="D140" s="5" t="str">
        <f t="shared" si="12"/>
        <v/>
      </c>
      <c r="E140" s="5" t="str">
        <f t="shared" si="13"/>
        <v/>
      </c>
      <c r="F140" s="5" t="str">
        <f t="shared" si="14"/>
        <v/>
      </c>
      <c r="G140" s="22"/>
      <c r="H140" s="66"/>
      <c r="I140" s="14"/>
      <c r="J140" s="14"/>
      <c r="K140" s="14"/>
      <c r="L140" s="5" t="str">
        <f t="shared" si="15"/>
        <v/>
      </c>
      <c r="M140" s="5" t="str">
        <f t="shared" si="16"/>
        <v/>
      </c>
      <c r="N140" s="5" t="str">
        <f t="shared" si="17"/>
        <v/>
      </c>
      <c r="O140" s="4"/>
    </row>
    <row r="141" spans="1:15" x14ac:dyDescent="0.25">
      <c r="A141" s="14"/>
      <c r="B141" s="14"/>
      <c r="C141" s="14"/>
      <c r="D141" s="5" t="str">
        <f t="shared" si="12"/>
        <v/>
      </c>
      <c r="E141" s="5" t="str">
        <f t="shared" si="13"/>
        <v/>
      </c>
      <c r="F141" s="5" t="str">
        <f t="shared" si="14"/>
        <v/>
      </c>
      <c r="G141" s="22"/>
      <c r="H141" s="66"/>
      <c r="I141" s="14"/>
      <c r="J141" s="14"/>
      <c r="K141" s="14"/>
      <c r="L141" s="5" t="str">
        <f t="shared" si="15"/>
        <v/>
      </c>
      <c r="M141" s="5" t="str">
        <f t="shared" si="16"/>
        <v/>
      </c>
      <c r="N141" s="5" t="str">
        <f t="shared" si="17"/>
        <v/>
      </c>
      <c r="O141" s="4"/>
    </row>
    <row r="142" spans="1:15" x14ac:dyDescent="0.25">
      <c r="A142" s="14"/>
      <c r="B142" s="14"/>
      <c r="C142" s="14"/>
      <c r="D142" s="5" t="str">
        <f t="shared" si="12"/>
        <v/>
      </c>
      <c r="E142" s="5" t="str">
        <f t="shared" si="13"/>
        <v/>
      </c>
      <c r="F142" s="5" t="str">
        <f t="shared" si="14"/>
        <v/>
      </c>
      <c r="G142" s="22"/>
      <c r="H142" s="66"/>
      <c r="I142" s="14"/>
      <c r="J142" s="14"/>
      <c r="K142" s="14"/>
      <c r="L142" s="5" t="str">
        <f t="shared" si="15"/>
        <v/>
      </c>
      <c r="M142" s="5" t="str">
        <f t="shared" si="16"/>
        <v/>
      </c>
      <c r="N142" s="5" t="str">
        <f t="shared" si="17"/>
        <v/>
      </c>
      <c r="O142" s="4"/>
    </row>
    <row r="143" spans="1:15" x14ac:dyDescent="0.25">
      <c r="A143" s="14"/>
      <c r="B143" s="14"/>
      <c r="C143" s="14"/>
      <c r="D143" s="5" t="str">
        <f t="shared" si="12"/>
        <v/>
      </c>
      <c r="E143" s="5" t="str">
        <f t="shared" si="13"/>
        <v/>
      </c>
      <c r="F143" s="5" t="str">
        <f t="shared" si="14"/>
        <v/>
      </c>
      <c r="G143" s="22"/>
      <c r="H143" s="66"/>
      <c r="I143" s="14"/>
      <c r="J143" s="14"/>
      <c r="K143" s="14"/>
      <c r="L143" s="5" t="str">
        <f t="shared" si="15"/>
        <v/>
      </c>
      <c r="M143" s="5" t="str">
        <f t="shared" si="16"/>
        <v/>
      </c>
      <c r="N143" s="5" t="str">
        <f t="shared" si="17"/>
        <v/>
      </c>
      <c r="O143" s="4"/>
    </row>
    <row r="144" spans="1:15" x14ac:dyDescent="0.25">
      <c r="A144" s="14"/>
      <c r="B144" s="14"/>
      <c r="C144" s="14"/>
      <c r="D144" s="5" t="str">
        <f t="shared" si="12"/>
        <v/>
      </c>
      <c r="E144" s="5" t="str">
        <f t="shared" si="13"/>
        <v/>
      </c>
      <c r="F144" s="5" t="str">
        <f t="shared" si="14"/>
        <v/>
      </c>
      <c r="G144" s="22"/>
      <c r="H144" s="66"/>
      <c r="I144" s="14"/>
      <c r="J144" s="14"/>
      <c r="K144" s="14"/>
      <c r="L144" s="5" t="str">
        <f t="shared" si="15"/>
        <v/>
      </c>
      <c r="M144" s="5" t="str">
        <f t="shared" si="16"/>
        <v/>
      </c>
      <c r="N144" s="5" t="str">
        <f t="shared" si="17"/>
        <v/>
      </c>
      <c r="O144" s="4"/>
    </row>
    <row r="145" spans="1:15" x14ac:dyDescent="0.25">
      <c r="A145" s="14"/>
      <c r="B145" s="14"/>
      <c r="C145" s="14"/>
      <c r="D145" s="5" t="str">
        <f t="shared" si="12"/>
        <v/>
      </c>
      <c r="E145" s="5" t="str">
        <f t="shared" si="13"/>
        <v/>
      </c>
      <c r="F145" s="5" t="str">
        <f t="shared" si="14"/>
        <v/>
      </c>
      <c r="G145" s="22"/>
      <c r="H145" s="66"/>
      <c r="I145" s="14"/>
      <c r="J145" s="14"/>
      <c r="K145" s="14"/>
      <c r="L145" s="5" t="str">
        <f t="shared" si="15"/>
        <v/>
      </c>
      <c r="M145" s="5" t="str">
        <f t="shared" si="16"/>
        <v/>
      </c>
      <c r="N145" s="5" t="str">
        <f t="shared" si="17"/>
        <v/>
      </c>
      <c r="O145" s="4"/>
    </row>
    <row r="146" spans="1:15" x14ac:dyDescent="0.25">
      <c r="A146" s="14"/>
      <c r="B146" s="14"/>
      <c r="C146" s="14"/>
      <c r="D146" s="5" t="str">
        <f t="shared" si="12"/>
        <v/>
      </c>
      <c r="E146" s="5" t="str">
        <f t="shared" si="13"/>
        <v/>
      </c>
      <c r="F146" s="5" t="str">
        <f t="shared" si="14"/>
        <v/>
      </c>
      <c r="G146" s="22"/>
      <c r="H146" s="66"/>
      <c r="I146" s="14"/>
      <c r="J146" s="14"/>
      <c r="K146" s="14"/>
      <c r="L146" s="5" t="str">
        <f t="shared" si="15"/>
        <v/>
      </c>
      <c r="M146" s="5" t="str">
        <f t="shared" si="16"/>
        <v/>
      </c>
      <c r="N146" s="5" t="str">
        <f t="shared" si="17"/>
        <v/>
      </c>
      <c r="O146" s="4"/>
    </row>
    <row r="147" spans="1:15" x14ac:dyDescent="0.25">
      <c r="A147" s="14"/>
      <c r="B147" s="14"/>
      <c r="C147" s="14"/>
      <c r="D147" s="5" t="str">
        <f t="shared" si="12"/>
        <v/>
      </c>
      <c r="E147" s="5" t="str">
        <f t="shared" si="13"/>
        <v/>
      </c>
      <c r="F147" s="5" t="str">
        <f t="shared" si="14"/>
        <v/>
      </c>
      <c r="G147" s="22"/>
      <c r="H147" s="66"/>
      <c r="I147" s="14"/>
      <c r="J147" s="14"/>
      <c r="K147" s="14"/>
      <c r="L147" s="5" t="str">
        <f t="shared" si="15"/>
        <v/>
      </c>
      <c r="M147" s="5" t="str">
        <f t="shared" si="16"/>
        <v/>
      </c>
      <c r="N147" s="5" t="str">
        <f t="shared" si="17"/>
        <v/>
      </c>
      <c r="O147" s="4"/>
    </row>
    <row r="148" spans="1:15" x14ac:dyDescent="0.25">
      <c r="A148" s="14"/>
      <c r="B148" s="14"/>
      <c r="C148" s="14"/>
      <c r="D148" s="5" t="str">
        <f t="shared" si="12"/>
        <v/>
      </c>
      <c r="E148" s="5" t="str">
        <f t="shared" si="13"/>
        <v/>
      </c>
      <c r="F148" s="5" t="str">
        <f t="shared" si="14"/>
        <v/>
      </c>
      <c r="G148" s="22"/>
      <c r="H148" s="66"/>
      <c r="I148" s="14"/>
      <c r="J148" s="14"/>
      <c r="K148" s="14"/>
      <c r="L148" s="5" t="str">
        <f t="shared" si="15"/>
        <v/>
      </c>
      <c r="M148" s="5" t="str">
        <f t="shared" si="16"/>
        <v/>
      </c>
      <c r="N148" s="5" t="str">
        <f t="shared" si="17"/>
        <v/>
      </c>
      <c r="O148" s="4"/>
    </row>
    <row r="149" spans="1:15" x14ac:dyDescent="0.25">
      <c r="A149" s="14"/>
      <c r="B149" s="14"/>
      <c r="C149" s="14"/>
      <c r="D149" s="5" t="str">
        <f t="shared" si="12"/>
        <v/>
      </c>
      <c r="E149" s="5" t="str">
        <f t="shared" si="13"/>
        <v/>
      </c>
      <c r="F149" s="5" t="str">
        <f t="shared" si="14"/>
        <v/>
      </c>
      <c r="G149" s="22"/>
      <c r="H149" s="66"/>
      <c r="I149" s="14"/>
      <c r="J149" s="14"/>
      <c r="K149" s="14"/>
      <c r="L149" s="5" t="str">
        <f t="shared" si="15"/>
        <v/>
      </c>
      <c r="M149" s="5" t="str">
        <f t="shared" si="16"/>
        <v/>
      </c>
      <c r="N149" s="5" t="str">
        <f t="shared" si="17"/>
        <v/>
      </c>
      <c r="O149" s="4"/>
    </row>
    <row r="150" spans="1:15" x14ac:dyDescent="0.25">
      <c r="A150" s="14"/>
      <c r="B150" s="14"/>
      <c r="C150" s="14"/>
      <c r="D150" s="5" t="str">
        <f t="shared" si="12"/>
        <v/>
      </c>
      <c r="E150" s="5" t="str">
        <f t="shared" si="13"/>
        <v/>
      </c>
      <c r="F150" s="5" t="str">
        <f t="shared" si="14"/>
        <v/>
      </c>
      <c r="G150" s="22"/>
      <c r="H150" s="66"/>
      <c r="I150" s="14"/>
      <c r="J150" s="14"/>
      <c r="K150" s="14"/>
      <c r="L150" s="5" t="str">
        <f t="shared" si="15"/>
        <v/>
      </c>
      <c r="M150" s="5" t="str">
        <f t="shared" si="16"/>
        <v/>
      </c>
      <c r="N150" s="5" t="str">
        <f t="shared" si="17"/>
        <v/>
      </c>
      <c r="O150" s="4"/>
    </row>
    <row r="151" spans="1:15" x14ac:dyDescent="0.25">
      <c r="A151" s="14"/>
      <c r="B151" s="14"/>
      <c r="C151" s="14"/>
      <c r="D151" s="5" t="str">
        <f t="shared" si="12"/>
        <v/>
      </c>
      <c r="E151" s="5" t="str">
        <f t="shared" si="13"/>
        <v/>
      </c>
      <c r="F151" s="5" t="str">
        <f t="shared" si="14"/>
        <v/>
      </c>
      <c r="G151" s="22"/>
      <c r="H151" s="66"/>
      <c r="I151" s="14"/>
      <c r="J151" s="14"/>
      <c r="K151" s="14"/>
      <c r="L151" s="5" t="str">
        <f t="shared" si="15"/>
        <v/>
      </c>
      <c r="M151" s="5" t="str">
        <f t="shared" si="16"/>
        <v/>
      </c>
      <c r="N151" s="5" t="str">
        <f t="shared" si="17"/>
        <v/>
      </c>
      <c r="O151" s="4"/>
    </row>
    <row r="152" spans="1:15" x14ac:dyDescent="0.25">
      <c r="A152" s="14"/>
      <c r="B152" s="14"/>
      <c r="C152" s="14"/>
      <c r="D152" s="5" t="str">
        <f t="shared" si="12"/>
        <v/>
      </c>
      <c r="E152" s="5" t="str">
        <f t="shared" si="13"/>
        <v/>
      </c>
      <c r="F152" s="5" t="str">
        <f t="shared" si="14"/>
        <v/>
      </c>
      <c r="G152" s="22"/>
      <c r="H152" s="66"/>
      <c r="I152" s="14"/>
      <c r="J152" s="14"/>
      <c r="K152" s="14"/>
      <c r="L152" s="5" t="str">
        <f t="shared" si="15"/>
        <v/>
      </c>
      <c r="M152" s="5" t="str">
        <f t="shared" si="16"/>
        <v/>
      </c>
      <c r="N152" s="5" t="str">
        <f t="shared" si="17"/>
        <v/>
      </c>
      <c r="O152" s="4"/>
    </row>
    <row r="153" spans="1:15" x14ac:dyDescent="0.25">
      <c r="A153" s="14"/>
      <c r="B153" s="14"/>
      <c r="C153" s="14"/>
      <c r="D153" s="5" t="str">
        <f t="shared" ref="D153:D216" si="18">IFERROR( IF(A153&lt;&gt;"",((B153-B152)*$X$4/(A153-A152))*$X$5,""),"")</f>
        <v/>
      </c>
      <c r="E153" s="5" t="str">
        <f t="shared" ref="E153:E216" si="19">IFERROR(IF(A153&lt;&gt;"",((C153-C152)*$X$4/(A153-A152))*$X$5,""),"")</f>
        <v/>
      </c>
      <c r="F153" s="5" t="str">
        <f t="shared" ref="F153:F216" si="20">IFERROR(IF(A153&lt;&gt;"",((ACOS((COS(RADIANS(B152))*COS(RADIANS(B153)))+(SIN(RADIANS(B152))*SIN(RADIANS(B153)))*COS(RADIANS(C153-C152)))*180/PI()*($X$4/(A153-A152))))*$X$5,""),"")</f>
        <v/>
      </c>
      <c r="G153" s="22"/>
      <c r="H153" s="66"/>
      <c r="I153" s="14"/>
      <c r="J153" s="14"/>
      <c r="K153" s="14"/>
      <c r="L153" s="5" t="str">
        <f t="shared" si="15"/>
        <v/>
      </c>
      <c r="M153" s="5" t="str">
        <f t="shared" si="16"/>
        <v/>
      </c>
      <c r="N153" s="5" t="str">
        <f t="shared" si="17"/>
        <v/>
      </c>
      <c r="O153" s="4"/>
    </row>
    <row r="154" spans="1:15" x14ac:dyDescent="0.25">
      <c r="A154" s="14"/>
      <c r="B154" s="14"/>
      <c r="C154" s="14"/>
      <c r="D154" s="5" t="str">
        <f t="shared" si="18"/>
        <v/>
      </c>
      <c r="E154" s="5" t="str">
        <f t="shared" si="19"/>
        <v/>
      </c>
      <c r="F154" s="5" t="str">
        <f t="shared" si="20"/>
        <v/>
      </c>
      <c r="G154" s="22"/>
      <c r="H154" s="66"/>
      <c r="I154" s="14"/>
      <c r="J154" s="14"/>
      <c r="K154" s="14"/>
      <c r="L154" s="5" t="str">
        <f t="shared" si="15"/>
        <v/>
      </c>
      <c r="M154" s="5" t="str">
        <f t="shared" si="16"/>
        <v/>
      </c>
      <c r="N154" s="5" t="str">
        <f t="shared" si="17"/>
        <v/>
      </c>
      <c r="O154" s="4"/>
    </row>
    <row r="155" spans="1:15" x14ac:dyDescent="0.25">
      <c r="A155" s="14"/>
      <c r="B155" s="14"/>
      <c r="C155" s="14"/>
      <c r="D155" s="5" t="str">
        <f t="shared" si="18"/>
        <v/>
      </c>
      <c r="E155" s="5" t="str">
        <f t="shared" si="19"/>
        <v/>
      </c>
      <c r="F155" s="5" t="str">
        <f t="shared" si="20"/>
        <v/>
      </c>
      <c r="G155" s="22"/>
      <c r="H155" s="66"/>
      <c r="I155" s="14"/>
      <c r="J155" s="14"/>
      <c r="K155" s="14"/>
      <c r="L155" s="5" t="str">
        <f t="shared" si="15"/>
        <v/>
      </c>
      <c r="M155" s="5" t="str">
        <f t="shared" si="16"/>
        <v/>
      </c>
      <c r="N155" s="5" t="str">
        <f t="shared" si="17"/>
        <v/>
      </c>
      <c r="O155" s="4"/>
    </row>
    <row r="156" spans="1:15" x14ac:dyDescent="0.25">
      <c r="A156" s="14"/>
      <c r="B156" s="14"/>
      <c r="C156" s="14"/>
      <c r="D156" s="5" t="str">
        <f t="shared" si="18"/>
        <v/>
      </c>
      <c r="E156" s="5" t="str">
        <f t="shared" si="19"/>
        <v/>
      </c>
      <c r="F156" s="5" t="str">
        <f t="shared" si="20"/>
        <v/>
      </c>
      <c r="G156" s="22"/>
      <c r="H156" s="66"/>
      <c r="I156" s="14"/>
      <c r="J156" s="14"/>
      <c r="K156" s="14"/>
      <c r="L156" s="5" t="str">
        <f t="shared" si="15"/>
        <v/>
      </c>
      <c r="M156" s="5" t="str">
        <f t="shared" si="16"/>
        <v/>
      </c>
      <c r="N156" s="5" t="str">
        <f t="shared" si="17"/>
        <v/>
      </c>
      <c r="O156" s="4"/>
    </row>
    <row r="157" spans="1:15" x14ac:dyDescent="0.25">
      <c r="A157" s="14"/>
      <c r="B157" s="14"/>
      <c r="C157" s="14"/>
      <c r="D157" s="5" t="str">
        <f t="shared" si="18"/>
        <v/>
      </c>
      <c r="E157" s="5" t="str">
        <f t="shared" si="19"/>
        <v/>
      </c>
      <c r="F157" s="5" t="str">
        <f t="shared" si="20"/>
        <v/>
      </c>
      <c r="G157" s="22"/>
      <c r="H157" s="66"/>
      <c r="I157" s="14"/>
      <c r="J157" s="14"/>
      <c r="K157" s="14"/>
      <c r="L157" s="5" t="str">
        <f t="shared" si="15"/>
        <v/>
      </c>
      <c r="M157" s="5" t="str">
        <f t="shared" si="16"/>
        <v/>
      </c>
      <c r="N157" s="5" t="str">
        <f t="shared" si="17"/>
        <v/>
      </c>
      <c r="O157" s="4"/>
    </row>
    <row r="158" spans="1:15" x14ac:dyDescent="0.25">
      <c r="A158" s="14"/>
      <c r="B158" s="14"/>
      <c r="C158" s="14"/>
      <c r="D158" s="5" t="str">
        <f t="shared" si="18"/>
        <v/>
      </c>
      <c r="E158" s="5" t="str">
        <f t="shared" si="19"/>
        <v/>
      </c>
      <c r="F158" s="5" t="str">
        <f t="shared" si="20"/>
        <v/>
      </c>
      <c r="G158" s="22"/>
      <c r="H158" s="66"/>
      <c r="I158" s="14"/>
      <c r="J158" s="14"/>
      <c r="K158" s="14"/>
      <c r="L158" s="5" t="str">
        <f t="shared" si="15"/>
        <v/>
      </c>
      <c r="M158" s="5" t="str">
        <f t="shared" si="16"/>
        <v/>
      </c>
      <c r="N158" s="5" t="str">
        <f t="shared" si="17"/>
        <v/>
      </c>
      <c r="O158" s="4"/>
    </row>
    <row r="159" spans="1:15" x14ac:dyDescent="0.25">
      <c r="A159" s="14"/>
      <c r="B159" s="14"/>
      <c r="C159" s="14"/>
      <c r="D159" s="5" t="str">
        <f t="shared" si="18"/>
        <v/>
      </c>
      <c r="E159" s="5" t="str">
        <f t="shared" si="19"/>
        <v/>
      </c>
      <c r="F159" s="5" t="str">
        <f t="shared" si="20"/>
        <v/>
      </c>
      <c r="G159" s="22"/>
      <c r="H159" s="66"/>
      <c r="I159" s="14"/>
      <c r="J159" s="14"/>
      <c r="K159" s="14"/>
      <c r="L159" s="5" t="str">
        <f t="shared" si="15"/>
        <v/>
      </c>
      <c r="M159" s="5" t="str">
        <f t="shared" si="16"/>
        <v/>
      </c>
      <c r="N159" s="5" t="str">
        <f t="shared" si="17"/>
        <v/>
      </c>
      <c r="O159" s="4"/>
    </row>
    <row r="160" spans="1:15" x14ac:dyDescent="0.25">
      <c r="A160" s="14"/>
      <c r="B160" s="14"/>
      <c r="C160" s="14"/>
      <c r="D160" s="5" t="str">
        <f t="shared" si="18"/>
        <v/>
      </c>
      <c r="E160" s="5" t="str">
        <f t="shared" si="19"/>
        <v/>
      </c>
      <c r="F160" s="5" t="str">
        <f t="shared" si="20"/>
        <v/>
      </c>
      <c r="G160" s="20"/>
      <c r="H160" s="66"/>
      <c r="I160" s="14"/>
      <c r="J160" s="14"/>
      <c r="K160" s="14"/>
      <c r="L160" s="5" t="str">
        <f t="shared" si="15"/>
        <v/>
      </c>
      <c r="M160" s="5" t="str">
        <f t="shared" si="16"/>
        <v/>
      </c>
      <c r="N160" s="5" t="str">
        <f t="shared" si="17"/>
        <v/>
      </c>
      <c r="O160" s="3"/>
    </row>
    <row r="161" spans="1:15" x14ac:dyDescent="0.25">
      <c r="A161" s="14"/>
      <c r="B161" s="14"/>
      <c r="C161" s="14"/>
      <c r="D161" s="5" t="str">
        <f t="shared" si="18"/>
        <v/>
      </c>
      <c r="E161" s="5" t="str">
        <f t="shared" si="19"/>
        <v/>
      </c>
      <c r="F161" s="5" t="str">
        <f t="shared" si="20"/>
        <v/>
      </c>
      <c r="G161" s="22"/>
      <c r="H161" s="66"/>
      <c r="I161" s="14"/>
      <c r="J161" s="14"/>
      <c r="K161" s="14"/>
      <c r="L161" s="5" t="str">
        <f t="shared" si="15"/>
        <v/>
      </c>
      <c r="M161" s="5" t="str">
        <f t="shared" si="16"/>
        <v/>
      </c>
      <c r="N161" s="5" t="str">
        <f t="shared" si="17"/>
        <v/>
      </c>
      <c r="O161" s="4"/>
    </row>
    <row r="162" spans="1:15" x14ac:dyDescent="0.25">
      <c r="A162" s="14"/>
      <c r="B162" s="14"/>
      <c r="C162" s="14"/>
      <c r="D162" s="5" t="str">
        <f t="shared" si="18"/>
        <v/>
      </c>
      <c r="E162" s="5" t="str">
        <f t="shared" si="19"/>
        <v/>
      </c>
      <c r="F162" s="5" t="str">
        <f t="shared" si="20"/>
        <v/>
      </c>
      <c r="G162" s="22"/>
      <c r="H162" s="66"/>
      <c r="I162" s="14"/>
      <c r="J162" s="14"/>
      <c r="K162" s="14"/>
      <c r="L162" s="5" t="str">
        <f t="shared" si="15"/>
        <v/>
      </c>
      <c r="M162" s="5" t="str">
        <f t="shared" si="16"/>
        <v/>
      </c>
      <c r="N162" s="5" t="str">
        <f t="shared" si="17"/>
        <v/>
      </c>
      <c r="O162" s="4"/>
    </row>
    <row r="163" spans="1:15" x14ac:dyDescent="0.25">
      <c r="A163" s="14"/>
      <c r="B163" s="14"/>
      <c r="C163" s="14"/>
      <c r="D163" s="5" t="str">
        <f t="shared" si="18"/>
        <v/>
      </c>
      <c r="E163" s="5" t="str">
        <f t="shared" si="19"/>
        <v/>
      </c>
      <c r="F163" s="5" t="str">
        <f t="shared" si="20"/>
        <v/>
      </c>
      <c r="G163" s="22"/>
      <c r="H163" s="66"/>
      <c r="I163" s="14"/>
      <c r="J163" s="14"/>
      <c r="K163" s="14"/>
      <c r="L163" s="5" t="str">
        <f t="shared" si="15"/>
        <v/>
      </c>
      <c r="M163" s="5" t="str">
        <f t="shared" si="16"/>
        <v/>
      </c>
      <c r="N163" s="5" t="str">
        <f t="shared" si="17"/>
        <v/>
      </c>
      <c r="O163" s="4"/>
    </row>
    <row r="164" spans="1:15" x14ac:dyDescent="0.25">
      <c r="A164" s="14"/>
      <c r="B164" s="14"/>
      <c r="C164" s="14"/>
      <c r="D164" s="5" t="str">
        <f t="shared" si="18"/>
        <v/>
      </c>
      <c r="E164" s="5" t="str">
        <f t="shared" si="19"/>
        <v/>
      </c>
      <c r="F164" s="5" t="str">
        <f t="shared" si="20"/>
        <v/>
      </c>
      <c r="G164" s="22"/>
      <c r="H164" s="66"/>
      <c r="I164" s="14"/>
      <c r="J164" s="14"/>
      <c r="K164" s="14"/>
      <c r="L164" s="5" t="str">
        <f t="shared" si="15"/>
        <v/>
      </c>
      <c r="M164" s="5" t="str">
        <f t="shared" si="16"/>
        <v/>
      </c>
      <c r="N164" s="5" t="str">
        <f t="shared" si="17"/>
        <v/>
      </c>
      <c r="O164" s="4"/>
    </row>
    <row r="165" spans="1:15" x14ac:dyDescent="0.25">
      <c r="A165" s="14"/>
      <c r="B165" s="14"/>
      <c r="C165" s="14"/>
      <c r="D165" s="5" t="str">
        <f t="shared" si="18"/>
        <v/>
      </c>
      <c r="E165" s="5" t="str">
        <f t="shared" si="19"/>
        <v/>
      </c>
      <c r="F165" s="5" t="str">
        <f t="shared" si="20"/>
        <v/>
      </c>
      <c r="G165" s="22"/>
      <c r="H165" s="66"/>
      <c r="I165" s="14"/>
      <c r="J165" s="14"/>
      <c r="K165" s="14"/>
      <c r="L165" s="5" t="str">
        <f t="shared" si="15"/>
        <v/>
      </c>
      <c r="M165" s="5" t="str">
        <f t="shared" si="16"/>
        <v/>
      </c>
      <c r="N165" s="5" t="str">
        <f t="shared" si="17"/>
        <v/>
      </c>
      <c r="O165" s="4"/>
    </row>
    <row r="166" spans="1:15" x14ac:dyDescent="0.25">
      <c r="A166" s="14"/>
      <c r="B166" s="14"/>
      <c r="C166" s="14"/>
      <c r="D166" s="5" t="str">
        <f t="shared" si="18"/>
        <v/>
      </c>
      <c r="E166" s="5" t="str">
        <f t="shared" si="19"/>
        <v/>
      </c>
      <c r="F166" s="5" t="str">
        <f t="shared" si="20"/>
        <v/>
      </c>
      <c r="G166" s="22"/>
      <c r="H166" s="66"/>
      <c r="I166" s="14"/>
      <c r="J166" s="14"/>
      <c r="K166" s="14"/>
      <c r="L166" s="5" t="str">
        <f t="shared" si="15"/>
        <v/>
      </c>
      <c r="M166" s="5" t="str">
        <f t="shared" si="16"/>
        <v/>
      </c>
      <c r="N166" s="5" t="str">
        <f t="shared" si="17"/>
        <v/>
      </c>
      <c r="O166" s="4"/>
    </row>
    <row r="167" spans="1:15" x14ac:dyDescent="0.25">
      <c r="A167" s="14"/>
      <c r="B167" s="14"/>
      <c r="C167" s="14"/>
      <c r="D167" s="5" t="str">
        <f t="shared" si="18"/>
        <v/>
      </c>
      <c r="E167" s="5" t="str">
        <f t="shared" si="19"/>
        <v/>
      </c>
      <c r="F167" s="5" t="str">
        <f t="shared" si="20"/>
        <v/>
      </c>
      <c r="G167" s="22"/>
      <c r="H167" s="66"/>
      <c r="I167" s="14"/>
      <c r="J167" s="14"/>
      <c r="K167" s="14"/>
      <c r="L167" s="5" t="str">
        <f t="shared" si="15"/>
        <v/>
      </c>
      <c r="M167" s="5" t="str">
        <f t="shared" si="16"/>
        <v/>
      </c>
      <c r="N167" s="5" t="str">
        <f t="shared" si="17"/>
        <v/>
      </c>
      <c r="O167" s="4"/>
    </row>
    <row r="168" spans="1:15" x14ac:dyDescent="0.25">
      <c r="A168" s="14"/>
      <c r="B168" s="14"/>
      <c r="C168" s="14"/>
      <c r="D168" s="5" t="str">
        <f t="shared" si="18"/>
        <v/>
      </c>
      <c r="E168" s="5" t="str">
        <f t="shared" si="19"/>
        <v/>
      </c>
      <c r="F168" s="5" t="str">
        <f t="shared" si="20"/>
        <v/>
      </c>
      <c r="G168" s="22"/>
      <c r="H168" s="66"/>
      <c r="I168" s="14"/>
      <c r="J168" s="14"/>
      <c r="K168" s="14"/>
      <c r="L168" s="5" t="str">
        <f t="shared" si="15"/>
        <v/>
      </c>
      <c r="M168" s="5" t="str">
        <f t="shared" si="16"/>
        <v/>
      </c>
      <c r="N168" s="5" t="str">
        <f t="shared" si="17"/>
        <v/>
      </c>
      <c r="O168" s="4"/>
    </row>
    <row r="169" spans="1:15" x14ac:dyDescent="0.25">
      <c r="A169" s="14"/>
      <c r="B169" s="14"/>
      <c r="C169" s="14"/>
      <c r="D169" s="5" t="str">
        <f t="shared" si="18"/>
        <v/>
      </c>
      <c r="E169" s="5" t="str">
        <f t="shared" si="19"/>
        <v/>
      </c>
      <c r="F169" s="5" t="str">
        <f t="shared" si="20"/>
        <v/>
      </c>
      <c r="G169" s="22"/>
      <c r="H169" s="66"/>
      <c r="I169" s="14"/>
      <c r="J169" s="14"/>
      <c r="K169" s="14"/>
      <c r="L169" s="5" t="str">
        <f t="shared" si="15"/>
        <v/>
      </c>
      <c r="M169" s="5" t="str">
        <f t="shared" si="16"/>
        <v/>
      </c>
      <c r="N169" s="5" t="str">
        <f t="shared" si="17"/>
        <v/>
      </c>
      <c r="O169" s="4"/>
    </row>
    <row r="170" spans="1:15" x14ac:dyDescent="0.25">
      <c r="A170" s="14"/>
      <c r="B170" s="14"/>
      <c r="C170" s="14"/>
      <c r="D170" s="5" t="str">
        <f t="shared" si="18"/>
        <v/>
      </c>
      <c r="E170" s="5" t="str">
        <f t="shared" si="19"/>
        <v/>
      </c>
      <c r="F170" s="5" t="str">
        <f t="shared" si="20"/>
        <v/>
      </c>
      <c r="G170" s="22"/>
      <c r="H170" s="66"/>
      <c r="I170" s="14"/>
      <c r="J170" s="14"/>
      <c r="K170" s="14"/>
      <c r="L170" s="5" t="str">
        <f t="shared" si="15"/>
        <v/>
      </c>
      <c r="M170" s="5" t="str">
        <f t="shared" si="16"/>
        <v/>
      </c>
      <c r="N170" s="5" t="str">
        <f t="shared" si="17"/>
        <v/>
      </c>
      <c r="O170" s="4"/>
    </row>
    <row r="171" spans="1:15" x14ac:dyDescent="0.25">
      <c r="A171" s="14"/>
      <c r="B171" s="14"/>
      <c r="C171" s="14"/>
      <c r="D171" s="5" t="str">
        <f t="shared" si="18"/>
        <v/>
      </c>
      <c r="E171" s="5" t="str">
        <f t="shared" si="19"/>
        <v/>
      </c>
      <c r="F171" s="5" t="str">
        <f t="shared" si="20"/>
        <v/>
      </c>
      <c r="G171" s="22"/>
      <c r="H171" s="66"/>
      <c r="I171" s="14"/>
      <c r="J171" s="14"/>
      <c r="K171" s="14"/>
      <c r="L171" s="5" t="str">
        <f t="shared" si="15"/>
        <v/>
      </c>
      <c r="M171" s="5" t="str">
        <f t="shared" si="16"/>
        <v/>
      </c>
      <c r="N171" s="5" t="str">
        <f t="shared" si="17"/>
        <v/>
      </c>
      <c r="O171" s="4"/>
    </row>
    <row r="172" spans="1:15" x14ac:dyDescent="0.25">
      <c r="A172" s="14"/>
      <c r="B172" s="14"/>
      <c r="C172" s="14"/>
      <c r="D172" s="5" t="str">
        <f t="shared" si="18"/>
        <v/>
      </c>
      <c r="E172" s="5" t="str">
        <f t="shared" si="19"/>
        <v/>
      </c>
      <c r="F172" s="5" t="str">
        <f t="shared" si="20"/>
        <v/>
      </c>
      <c r="G172" s="22"/>
      <c r="H172" s="66"/>
      <c r="I172" s="14"/>
      <c r="J172" s="14"/>
      <c r="K172" s="14"/>
      <c r="L172" s="5" t="str">
        <f t="shared" si="15"/>
        <v/>
      </c>
      <c r="M172" s="5" t="str">
        <f t="shared" si="16"/>
        <v/>
      </c>
      <c r="N172" s="5" t="str">
        <f t="shared" si="17"/>
        <v/>
      </c>
      <c r="O172" s="4"/>
    </row>
    <row r="173" spans="1:15" x14ac:dyDescent="0.25">
      <c r="A173" s="14"/>
      <c r="B173" s="14"/>
      <c r="C173" s="14"/>
      <c r="D173" s="5" t="str">
        <f t="shared" si="18"/>
        <v/>
      </c>
      <c r="E173" s="5" t="str">
        <f t="shared" si="19"/>
        <v/>
      </c>
      <c r="F173" s="5" t="str">
        <f t="shared" si="20"/>
        <v/>
      </c>
      <c r="G173" s="22"/>
      <c r="H173" s="66"/>
      <c r="I173" s="14"/>
      <c r="J173" s="14"/>
      <c r="K173" s="14"/>
      <c r="L173" s="5" t="str">
        <f t="shared" si="15"/>
        <v/>
      </c>
      <c r="M173" s="5" t="str">
        <f t="shared" si="16"/>
        <v/>
      </c>
      <c r="N173" s="5" t="str">
        <f t="shared" si="17"/>
        <v/>
      </c>
      <c r="O173" s="4"/>
    </row>
    <row r="174" spans="1:15" x14ac:dyDescent="0.25">
      <c r="A174" s="14"/>
      <c r="B174" s="14"/>
      <c r="C174" s="14"/>
      <c r="D174" s="5" t="str">
        <f t="shared" si="18"/>
        <v/>
      </c>
      <c r="E174" s="5" t="str">
        <f t="shared" si="19"/>
        <v/>
      </c>
      <c r="F174" s="5" t="str">
        <f t="shared" si="20"/>
        <v/>
      </c>
      <c r="G174" s="22"/>
      <c r="H174" s="66"/>
      <c r="I174" s="14"/>
      <c r="J174" s="14"/>
      <c r="K174" s="14"/>
      <c r="L174" s="5" t="str">
        <f t="shared" si="15"/>
        <v/>
      </c>
      <c r="M174" s="5" t="str">
        <f t="shared" si="16"/>
        <v/>
      </c>
      <c r="N174" s="5" t="str">
        <f t="shared" si="17"/>
        <v/>
      </c>
      <c r="O174" s="4"/>
    </row>
    <row r="175" spans="1:15" x14ac:dyDescent="0.25">
      <c r="A175" s="14"/>
      <c r="B175" s="14"/>
      <c r="C175" s="14"/>
      <c r="D175" s="5" t="str">
        <f t="shared" si="18"/>
        <v/>
      </c>
      <c r="E175" s="5" t="str">
        <f t="shared" si="19"/>
        <v/>
      </c>
      <c r="F175" s="5" t="str">
        <f t="shared" si="20"/>
        <v/>
      </c>
      <c r="G175" s="22"/>
      <c r="H175" s="66"/>
      <c r="I175" s="14"/>
      <c r="J175" s="14"/>
      <c r="K175" s="14"/>
      <c r="L175" s="5" t="str">
        <f t="shared" si="15"/>
        <v/>
      </c>
      <c r="M175" s="5" t="str">
        <f t="shared" si="16"/>
        <v/>
      </c>
      <c r="N175" s="5" t="str">
        <f t="shared" si="17"/>
        <v/>
      </c>
      <c r="O175" s="4"/>
    </row>
    <row r="176" spans="1:15" x14ac:dyDescent="0.25">
      <c r="A176" s="14"/>
      <c r="B176" s="14"/>
      <c r="C176" s="14"/>
      <c r="D176" s="5" t="str">
        <f t="shared" si="18"/>
        <v/>
      </c>
      <c r="E176" s="5" t="str">
        <f t="shared" si="19"/>
        <v/>
      </c>
      <c r="F176" s="5" t="str">
        <f t="shared" si="20"/>
        <v/>
      </c>
      <c r="G176" s="22"/>
      <c r="H176" s="66"/>
      <c r="I176" s="14"/>
      <c r="J176" s="14"/>
      <c r="K176" s="14"/>
      <c r="L176" s="5" t="str">
        <f t="shared" si="15"/>
        <v/>
      </c>
      <c r="M176" s="5" t="str">
        <f t="shared" si="16"/>
        <v/>
      </c>
      <c r="N176" s="5" t="str">
        <f t="shared" si="17"/>
        <v/>
      </c>
      <c r="O176" s="4"/>
    </row>
    <row r="177" spans="1:15" x14ac:dyDescent="0.25">
      <c r="A177" s="14"/>
      <c r="B177" s="14"/>
      <c r="C177" s="14"/>
      <c r="D177" s="5" t="str">
        <f t="shared" si="18"/>
        <v/>
      </c>
      <c r="E177" s="5" t="str">
        <f t="shared" si="19"/>
        <v/>
      </c>
      <c r="F177" s="5" t="str">
        <f t="shared" si="20"/>
        <v/>
      </c>
      <c r="G177" s="22"/>
      <c r="H177" s="66"/>
      <c r="I177" s="14"/>
      <c r="J177" s="14"/>
      <c r="K177" s="14"/>
      <c r="L177" s="5" t="str">
        <f t="shared" si="15"/>
        <v/>
      </c>
      <c r="M177" s="5" t="str">
        <f t="shared" si="16"/>
        <v/>
      </c>
      <c r="N177" s="5" t="str">
        <f t="shared" si="17"/>
        <v/>
      </c>
      <c r="O177" s="4"/>
    </row>
    <row r="178" spans="1:15" x14ac:dyDescent="0.25">
      <c r="A178" s="14"/>
      <c r="B178" s="14"/>
      <c r="C178" s="14"/>
      <c r="D178" s="5" t="str">
        <f t="shared" si="18"/>
        <v/>
      </c>
      <c r="E178" s="5" t="str">
        <f t="shared" si="19"/>
        <v/>
      </c>
      <c r="F178" s="5" t="str">
        <f t="shared" si="20"/>
        <v/>
      </c>
      <c r="G178" s="20"/>
      <c r="H178" s="66"/>
      <c r="I178" s="14"/>
      <c r="J178" s="14"/>
      <c r="K178" s="14"/>
      <c r="L178" s="5" t="str">
        <f t="shared" si="15"/>
        <v/>
      </c>
      <c r="M178" s="5" t="str">
        <f t="shared" si="16"/>
        <v/>
      </c>
      <c r="N178" s="5" t="str">
        <f t="shared" si="17"/>
        <v/>
      </c>
      <c r="O178" s="4"/>
    </row>
    <row r="179" spans="1:15" x14ac:dyDescent="0.25">
      <c r="A179" s="14"/>
      <c r="B179" s="14"/>
      <c r="C179" s="14"/>
      <c r="D179" s="5" t="str">
        <f t="shared" si="18"/>
        <v/>
      </c>
      <c r="E179" s="5" t="str">
        <f t="shared" si="19"/>
        <v/>
      </c>
      <c r="F179" s="5" t="str">
        <f t="shared" si="20"/>
        <v/>
      </c>
      <c r="G179" s="22"/>
      <c r="H179" s="66"/>
      <c r="I179" s="14"/>
      <c r="J179" s="14"/>
      <c r="K179" s="14"/>
      <c r="L179" s="5" t="str">
        <f t="shared" si="15"/>
        <v/>
      </c>
      <c r="M179" s="5" t="str">
        <f t="shared" si="16"/>
        <v/>
      </c>
      <c r="N179" s="5" t="str">
        <f t="shared" si="17"/>
        <v/>
      </c>
      <c r="O179" s="4"/>
    </row>
    <row r="180" spans="1:15" x14ac:dyDescent="0.25">
      <c r="A180" s="14"/>
      <c r="B180" s="14"/>
      <c r="C180" s="14"/>
      <c r="D180" s="5" t="str">
        <f t="shared" si="18"/>
        <v/>
      </c>
      <c r="E180" s="5" t="str">
        <f t="shared" si="19"/>
        <v/>
      </c>
      <c r="F180" s="5" t="str">
        <f t="shared" si="20"/>
        <v/>
      </c>
      <c r="G180" s="22"/>
      <c r="H180" s="66"/>
      <c r="I180" s="14"/>
      <c r="J180" s="14"/>
      <c r="K180" s="14"/>
      <c r="L180" s="5" t="str">
        <f t="shared" si="15"/>
        <v/>
      </c>
      <c r="M180" s="5" t="str">
        <f t="shared" si="16"/>
        <v/>
      </c>
      <c r="N180" s="5" t="str">
        <f t="shared" si="17"/>
        <v/>
      </c>
      <c r="O180" s="4"/>
    </row>
    <row r="181" spans="1:15" x14ac:dyDescent="0.25">
      <c r="A181" s="14"/>
      <c r="B181" s="14"/>
      <c r="C181" s="14"/>
      <c r="D181" s="5" t="str">
        <f t="shared" si="18"/>
        <v/>
      </c>
      <c r="E181" s="5" t="str">
        <f t="shared" si="19"/>
        <v/>
      </c>
      <c r="F181" s="5" t="str">
        <f t="shared" si="20"/>
        <v/>
      </c>
      <c r="G181" s="22"/>
      <c r="H181" s="66"/>
      <c r="I181" s="14"/>
      <c r="J181" s="14"/>
      <c r="K181" s="14"/>
      <c r="L181" s="5" t="str">
        <f t="shared" si="15"/>
        <v/>
      </c>
      <c r="M181" s="5" t="str">
        <f t="shared" si="16"/>
        <v/>
      </c>
      <c r="N181" s="5" t="str">
        <f t="shared" si="17"/>
        <v/>
      </c>
      <c r="O181" s="4"/>
    </row>
    <row r="182" spans="1:15" x14ac:dyDescent="0.25">
      <c r="A182" s="14"/>
      <c r="B182" s="14"/>
      <c r="C182" s="14"/>
      <c r="D182" s="5" t="str">
        <f t="shared" si="18"/>
        <v/>
      </c>
      <c r="E182" s="5" t="str">
        <f t="shared" si="19"/>
        <v/>
      </c>
      <c r="F182" s="5" t="str">
        <f t="shared" si="20"/>
        <v/>
      </c>
      <c r="G182" s="22"/>
      <c r="H182" s="66"/>
      <c r="I182" s="14"/>
      <c r="J182" s="14"/>
      <c r="K182" s="14"/>
      <c r="L182" s="5" t="str">
        <f t="shared" si="15"/>
        <v/>
      </c>
      <c r="M182" s="5" t="str">
        <f t="shared" si="16"/>
        <v/>
      </c>
      <c r="N182" s="5" t="str">
        <f t="shared" si="17"/>
        <v/>
      </c>
      <c r="O182" s="4"/>
    </row>
    <row r="183" spans="1:15" x14ac:dyDescent="0.25">
      <c r="A183" s="14"/>
      <c r="B183" s="14"/>
      <c r="C183" s="14"/>
      <c r="D183" s="5" t="str">
        <f t="shared" si="18"/>
        <v/>
      </c>
      <c r="E183" s="5" t="str">
        <f t="shared" si="19"/>
        <v/>
      </c>
      <c r="F183" s="5" t="str">
        <f t="shared" si="20"/>
        <v/>
      </c>
      <c r="G183" s="22"/>
      <c r="H183" s="66"/>
      <c r="I183" s="14"/>
      <c r="J183" s="14"/>
      <c r="K183" s="14"/>
      <c r="L183" s="5" t="str">
        <f t="shared" si="15"/>
        <v/>
      </c>
      <c r="M183" s="5" t="str">
        <f t="shared" si="16"/>
        <v/>
      </c>
      <c r="N183" s="5" t="str">
        <f t="shared" si="17"/>
        <v/>
      </c>
      <c r="O183" s="4"/>
    </row>
    <row r="184" spans="1:15" x14ac:dyDescent="0.25">
      <c r="A184" s="14"/>
      <c r="B184" s="14"/>
      <c r="C184" s="14"/>
      <c r="D184" s="5" t="str">
        <f t="shared" si="18"/>
        <v/>
      </c>
      <c r="E184" s="5" t="str">
        <f t="shared" si="19"/>
        <v/>
      </c>
      <c r="F184" s="5" t="str">
        <f t="shared" si="20"/>
        <v/>
      </c>
      <c r="G184" s="22"/>
      <c r="H184" s="66"/>
      <c r="I184" s="14"/>
      <c r="J184" s="14"/>
      <c r="K184" s="14"/>
      <c r="L184" s="5" t="str">
        <f t="shared" si="15"/>
        <v/>
      </c>
      <c r="M184" s="5" t="str">
        <f t="shared" si="16"/>
        <v/>
      </c>
      <c r="N184" s="5" t="str">
        <f t="shared" si="17"/>
        <v/>
      </c>
      <c r="O184" s="4"/>
    </row>
    <row r="185" spans="1:15" x14ac:dyDescent="0.25">
      <c r="A185" s="14"/>
      <c r="B185" s="14"/>
      <c r="C185" s="14"/>
      <c r="D185" s="5" t="str">
        <f t="shared" si="18"/>
        <v/>
      </c>
      <c r="E185" s="5" t="str">
        <f t="shared" si="19"/>
        <v/>
      </c>
      <c r="F185" s="5" t="str">
        <f t="shared" si="20"/>
        <v/>
      </c>
      <c r="G185" s="22"/>
      <c r="H185" s="66"/>
      <c r="I185" s="14"/>
      <c r="J185" s="14"/>
      <c r="K185" s="14"/>
      <c r="L185" s="5" t="str">
        <f t="shared" si="15"/>
        <v/>
      </c>
      <c r="M185" s="5" t="str">
        <f t="shared" si="16"/>
        <v/>
      </c>
      <c r="N185" s="5" t="str">
        <f t="shared" si="17"/>
        <v/>
      </c>
      <c r="O185" s="4"/>
    </row>
    <row r="186" spans="1:15" x14ac:dyDescent="0.25">
      <c r="A186" s="14"/>
      <c r="B186" s="14"/>
      <c r="C186" s="14"/>
      <c r="D186" s="5" t="str">
        <f t="shared" si="18"/>
        <v/>
      </c>
      <c r="E186" s="5" t="str">
        <f t="shared" si="19"/>
        <v/>
      </c>
      <c r="F186" s="5" t="str">
        <f t="shared" si="20"/>
        <v/>
      </c>
      <c r="G186" s="22"/>
      <c r="H186" s="66"/>
      <c r="I186" s="14"/>
      <c r="J186" s="14"/>
      <c r="K186" s="14"/>
      <c r="L186" s="5" t="str">
        <f t="shared" si="15"/>
        <v/>
      </c>
      <c r="M186" s="5" t="str">
        <f t="shared" si="16"/>
        <v/>
      </c>
      <c r="N186" s="5" t="str">
        <f t="shared" si="17"/>
        <v/>
      </c>
      <c r="O186" s="3"/>
    </row>
    <row r="187" spans="1:15" x14ac:dyDescent="0.25">
      <c r="A187" s="14"/>
      <c r="B187" s="14"/>
      <c r="C187" s="14"/>
      <c r="D187" s="5" t="str">
        <f t="shared" si="18"/>
        <v/>
      </c>
      <c r="E187" s="5" t="str">
        <f t="shared" si="19"/>
        <v/>
      </c>
      <c r="F187" s="5" t="str">
        <f t="shared" si="20"/>
        <v/>
      </c>
      <c r="G187" s="22"/>
      <c r="H187" s="66"/>
      <c r="I187" s="14"/>
      <c r="J187" s="14"/>
      <c r="K187" s="14"/>
      <c r="L187" s="5" t="str">
        <f t="shared" si="15"/>
        <v/>
      </c>
      <c r="M187" s="5" t="str">
        <f t="shared" si="16"/>
        <v/>
      </c>
      <c r="N187" s="5" t="str">
        <f t="shared" si="17"/>
        <v/>
      </c>
      <c r="O187" s="3"/>
    </row>
    <row r="188" spans="1:15" x14ac:dyDescent="0.25">
      <c r="A188" s="14"/>
      <c r="B188" s="14"/>
      <c r="C188" s="14"/>
      <c r="D188" s="5" t="str">
        <f t="shared" si="18"/>
        <v/>
      </c>
      <c r="E188" s="5" t="str">
        <f t="shared" si="19"/>
        <v/>
      </c>
      <c r="F188" s="5" t="str">
        <f t="shared" si="20"/>
        <v/>
      </c>
      <c r="G188" s="22"/>
      <c r="H188" s="66"/>
      <c r="I188" s="14"/>
      <c r="J188" s="14"/>
      <c r="K188" s="14"/>
      <c r="L188" s="5" t="str">
        <f t="shared" si="15"/>
        <v/>
      </c>
      <c r="M188" s="5" t="str">
        <f t="shared" si="16"/>
        <v/>
      </c>
      <c r="N188" s="5" t="str">
        <f t="shared" si="17"/>
        <v/>
      </c>
      <c r="O188" s="4"/>
    </row>
    <row r="189" spans="1:15" x14ac:dyDescent="0.25">
      <c r="A189" s="14"/>
      <c r="B189" s="14"/>
      <c r="C189" s="14"/>
      <c r="D189" s="5" t="str">
        <f t="shared" si="18"/>
        <v/>
      </c>
      <c r="E189" s="5" t="str">
        <f t="shared" si="19"/>
        <v/>
      </c>
      <c r="F189" s="5" t="str">
        <f t="shared" si="20"/>
        <v/>
      </c>
      <c r="G189" s="22"/>
      <c r="H189" s="66"/>
      <c r="I189" s="14"/>
      <c r="J189" s="14"/>
      <c r="K189" s="14"/>
      <c r="L189" s="5" t="str">
        <f t="shared" si="15"/>
        <v/>
      </c>
      <c r="M189" s="5" t="str">
        <f t="shared" si="16"/>
        <v/>
      </c>
      <c r="N189" s="5" t="str">
        <f t="shared" si="17"/>
        <v/>
      </c>
      <c r="O189" s="4"/>
    </row>
    <row r="190" spans="1:15" x14ac:dyDescent="0.25">
      <c r="A190" s="14"/>
      <c r="B190" s="14"/>
      <c r="C190" s="14"/>
      <c r="D190" s="5" t="str">
        <f t="shared" si="18"/>
        <v/>
      </c>
      <c r="E190" s="5" t="str">
        <f t="shared" si="19"/>
        <v/>
      </c>
      <c r="F190" s="5" t="str">
        <f t="shared" si="20"/>
        <v/>
      </c>
      <c r="G190" s="22"/>
      <c r="H190" s="66"/>
      <c r="I190" s="14"/>
      <c r="J190" s="14"/>
      <c r="K190" s="14"/>
      <c r="L190" s="5" t="str">
        <f t="shared" si="15"/>
        <v/>
      </c>
      <c r="M190" s="5" t="str">
        <f t="shared" si="16"/>
        <v/>
      </c>
      <c r="N190" s="5" t="str">
        <f t="shared" si="17"/>
        <v/>
      </c>
      <c r="O190" s="4"/>
    </row>
    <row r="191" spans="1:15" x14ac:dyDescent="0.25">
      <c r="A191" s="14"/>
      <c r="B191" s="14"/>
      <c r="C191" s="14"/>
      <c r="D191" s="5" t="str">
        <f t="shared" si="18"/>
        <v/>
      </c>
      <c r="E191" s="5" t="str">
        <f t="shared" si="19"/>
        <v/>
      </c>
      <c r="F191" s="5" t="str">
        <f t="shared" si="20"/>
        <v/>
      </c>
      <c r="G191" s="22"/>
      <c r="H191" s="66"/>
      <c r="I191" s="14"/>
      <c r="J191" s="14"/>
      <c r="K191" s="14"/>
      <c r="L191" s="5" t="str">
        <f t="shared" si="15"/>
        <v/>
      </c>
      <c r="M191" s="5" t="str">
        <f t="shared" si="16"/>
        <v/>
      </c>
      <c r="N191" s="5" t="str">
        <f t="shared" si="17"/>
        <v/>
      </c>
      <c r="O191" s="4"/>
    </row>
    <row r="192" spans="1:15" x14ac:dyDescent="0.25">
      <c r="A192" s="14"/>
      <c r="B192" s="14"/>
      <c r="C192" s="14"/>
      <c r="D192" s="5" t="str">
        <f t="shared" si="18"/>
        <v/>
      </c>
      <c r="E192" s="5" t="str">
        <f t="shared" si="19"/>
        <v/>
      </c>
      <c r="F192" s="5" t="str">
        <f t="shared" si="20"/>
        <v/>
      </c>
      <c r="G192" s="22"/>
      <c r="H192" s="66"/>
      <c r="I192" s="14"/>
      <c r="J192" s="14"/>
      <c r="K192" s="14"/>
      <c r="L192" s="5" t="str">
        <f t="shared" si="15"/>
        <v/>
      </c>
      <c r="M192" s="5" t="str">
        <f t="shared" si="16"/>
        <v/>
      </c>
      <c r="N192" s="5" t="str">
        <f t="shared" si="17"/>
        <v/>
      </c>
      <c r="O192" s="4"/>
    </row>
    <row r="193" spans="1:15" x14ac:dyDescent="0.25">
      <c r="A193" s="14"/>
      <c r="B193" s="14"/>
      <c r="C193" s="14"/>
      <c r="D193" s="5" t="str">
        <f t="shared" si="18"/>
        <v/>
      </c>
      <c r="E193" s="5" t="str">
        <f t="shared" si="19"/>
        <v/>
      </c>
      <c r="F193" s="5" t="str">
        <f t="shared" si="20"/>
        <v/>
      </c>
      <c r="G193" s="22"/>
      <c r="H193" s="66"/>
      <c r="I193" s="14"/>
      <c r="J193" s="14"/>
      <c r="K193" s="14"/>
      <c r="L193" s="5" t="str">
        <f t="shared" si="15"/>
        <v/>
      </c>
      <c r="M193" s="5" t="str">
        <f t="shared" si="16"/>
        <v/>
      </c>
      <c r="N193" s="5" t="str">
        <f t="shared" si="17"/>
        <v/>
      </c>
      <c r="O193" s="4"/>
    </row>
    <row r="194" spans="1:15" x14ac:dyDescent="0.25">
      <c r="A194" s="14"/>
      <c r="B194" s="14"/>
      <c r="C194" s="14"/>
      <c r="D194" s="5" t="str">
        <f t="shared" si="18"/>
        <v/>
      </c>
      <c r="E194" s="5" t="str">
        <f t="shared" si="19"/>
        <v/>
      </c>
      <c r="F194" s="5" t="str">
        <f t="shared" si="20"/>
        <v/>
      </c>
      <c r="G194" s="22"/>
      <c r="H194" s="66"/>
      <c r="I194" s="14"/>
      <c r="J194" s="14"/>
      <c r="K194" s="14"/>
      <c r="L194" s="5" t="str">
        <f t="shared" si="15"/>
        <v/>
      </c>
      <c r="M194" s="5" t="str">
        <f t="shared" si="16"/>
        <v/>
      </c>
      <c r="N194" s="5" t="str">
        <f t="shared" si="17"/>
        <v/>
      </c>
      <c r="O194" s="4"/>
    </row>
    <row r="195" spans="1:15" x14ac:dyDescent="0.25">
      <c r="A195" s="14"/>
      <c r="B195" s="14"/>
      <c r="C195" s="14"/>
      <c r="D195" s="5" t="str">
        <f t="shared" si="18"/>
        <v/>
      </c>
      <c r="E195" s="5" t="str">
        <f t="shared" si="19"/>
        <v/>
      </c>
      <c r="F195" s="5" t="str">
        <f t="shared" si="20"/>
        <v/>
      </c>
      <c r="G195" s="22"/>
      <c r="H195" s="66"/>
      <c r="I195" s="14"/>
      <c r="J195" s="14"/>
      <c r="K195" s="14"/>
      <c r="L195" s="5" t="str">
        <f t="shared" si="15"/>
        <v/>
      </c>
      <c r="M195" s="5" t="str">
        <f t="shared" si="16"/>
        <v/>
      </c>
      <c r="N195" s="5" t="str">
        <f t="shared" si="17"/>
        <v/>
      </c>
      <c r="O195" s="4"/>
    </row>
    <row r="196" spans="1:15" x14ac:dyDescent="0.25">
      <c r="A196" s="14"/>
      <c r="B196" s="14"/>
      <c r="C196" s="14"/>
      <c r="D196" s="5" t="str">
        <f t="shared" si="18"/>
        <v/>
      </c>
      <c r="E196" s="5" t="str">
        <f t="shared" si="19"/>
        <v/>
      </c>
      <c r="F196" s="5" t="str">
        <f t="shared" si="20"/>
        <v/>
      </c>
      <c r="G196" s="20"/>
      <c r="H196" s="66"/>
      <c r="I196" s="14"/>
      <c r="J196" s="14"/>
      <c r="K196" s="14"/>
      <c r="L196" s="5" t="str">
        <f t="shared" si="15"/>
        <v/>
      </c>
      <c r="M196" s="5" t="str">
        <f t="shared" si="16"/>
        <v/>
      </c>
      <c r="N196" s="5" t="str">
        <f t="shared" si="17"/>
        <v/>
      </c>
      <c r="O196" s="4"/>
    </row>
    <row r="197" spans="1:15" x14ac:dyDescent="0.25">
      <c r="A197" s="14"/>
      <c r="B197" s="14"/>
      <c r="C197" s="14"/>
      <c r="D197" s="5" t="str">
        <f t="shared" si="18"/>
        <v/>
      </c>
      <c r="E197" s="5" t="str">
        <f t="shared" si="19"/>
        <v/>
      </c>
      <c r="F197" s="5" t="str">
        <f t="shared" si="20"/>
        <v/>
      </c>
      <c r="G197" s="20"/>
      <c r="H197" s="66"/>
      <c r="I197" s="14"/>
      <c r="J197" s="14"/>
      <c r="K197" s="14"/>
      <c r="L197" s="5" t="str">
        <f t="shared" ref="L197:L260" si="21">IFERROR(IF(I197&lt;&gt;"",(((J197-J196)*$X$4/(I197-I196)))*$X$5,""),"")</f>
        <v/>
      </c>
      <c r="M197" s="5" t="str">
        <f t="shared" ref="M197:M260" si="22">IFERROR(IF(I197&lt;&gt;"",(((K197-K196)*$X$4/(I197-I196)))*$X$5,""),"")</f>
        <v/>
      </c>
      <c r="N197" s="5" t="str">
        <f t="shared" ref="N197:N260" si="23">IFERROR(IF(I197&lt;&gt;"",((ACOS((COS(RADIANS(J196))*COS(RADIANS(J197)))+(SIN(RADIANS(J196))*SIN(RADIANS(J197)))*COS(RADIANS(K197-K196)))*180/PI()*($X$4/(I197-I196))))*$X$5,""),"")</f>
        <v/>
      </c>
      <c r="O197" s="4"/>
    </row>
    <row r="198" spans="1:15" x14ac:dyDescent="0.25">
      <c r="A198" s="14"/>
      <c r="B198" s="14"/>
      <c r="C198" s="14"/>
      <c r="D198" s="5" t="str">
        <f t="shared" si="18"/>
        <v/>
      </c>
      <c r="E198" s="5" t="str">
        <f t="shared" si="19"/>
        <v/>
      </c>
      <c r="F198" s="5" t="str">
        <f t="shared" si="20"/>
        <v/>
      </c>
      <c r="G198" s="22"/>
      <c r="H198" s="66"/>
      <c r="I198" s="14"/>
      <c r="J198" s="14"/>
      <c r="K198" s="14"/>
      <c r="L198" s="5" t="str">
        <f t="shared" si="21"/>
        <v/>
      </c>
      <c r="M198" s="5" t="str">
        <f t="shared" si="22"/>
        <v/>
      </c>
      <c r="N198" s="5" t="str">
        <f t="shared" si="23"/>
        <v/>
      </c>
      <c r="O198" s="3"/>
    </row>
    <row r="199" spans="1:15" x14ac:dyDescent="0.25">
      <c r="A199" s="14"/>
      <c r="B199" s="14"/>
      <c r="C199" s="14"/>
      <c r="D199" s="5" t="str">
        <f t="shared" si="18"/>
        <v/>
      </c>
      <c r="E199" s="5" t="str">
        <f t="shared" si="19"/>
        <v/>
      </c>
      <c r="F199" s="5" t="str">
        <f t="shared" si="20"/>
        <v/>
      </c>
      <c r="G199" s="22"/>
      <c r="H199" s="66"/>
      <c r="I199" s="14"/>
      <c r="J199" s="14"/>
      <c r="K199" s="14"/>
      <c r="L199" s="5" t="str">
        <f t="shared" si="21"/>
        <v/>
      </c>
      <c r="M199" s="5" t="str">
        <f t="shared" si="22"/>
        <v/>
      </c>
      <c r="N199" s="5" t="str">
        <f t="shared" si="23"/>
        <v/>
      </c>
      <c r="O199" s="4"/>
    </row>
    <row r="200" spans="1:15" x14ac:dyDescent="0.25">
      <c r="A200" s="14"/>
      <c r="B200" s="14"/>
      <c r="C200" s="14"/>
      <c r="D200" s="5" t="str">
        <f t="shared" si="18"/>
        <v/>
      </c>
      <c r="E200" s="5" t="str">
        <f t="shared" si="19"/>
        <v/>
      </c>
      <c r="F200" s="5" t="str">
        <f t="shared" si="20"/>
        <v/>
      </c>
      <c r="G200" s="22"/>
      <c r="H200" s="66"/>
      <c r="I200" s="14"/>
      <c r="J200" s="14"/>
      <c r="K200" s="14"/>
      <c r="L200" s="5" t="str">
        <f t="shared" si="21"/>
        <v/>
      </c>
      <c r="M200" s="5" t="str">
        <f t="shared" si="22"/>
        <v/>
      </c>
      <c r="N200" s="5" t="str">
        <f t="shared" si="23"/>
        <v/>
      </c>
      <c r="O200" s="4"/>
    </row>
    <row r="201" spans="1:15" x14ac:dyDescent="0.25">
      <c r="A201" s="14"/>
      <c r="B201" s="14"/>
      <c r="C201" s="14"/>
      <c r="D201" s="5" t="str">
        <f t="shared" si="18"/>
        <v/>
      </c>
      <c r="E201" s="5" t="str">
        <f t="shared" si="19"/>
        <v/>
      </c>
      <c r="F201" s="5" t="str">
        <f t="shared" si="20"/>
        <v/>
      </c>
      <c r="G201" s="22"/>
      <c r="H201" s="66"/>
      <c r="I201" s="14"/>
      <c r="J201" s="14"/>
      <c r="K201" s="14"/>
      <c r="L201" s="5" t="str">
        <f t="shared" si="21"/>
        <v/>
      </c>
      <c r="M201" s="5" t="str">
        <f t="shared" si="22"/>
        <v/>
      </c>
      <c r="N201" s="5" t="str">
        <f t="shared" si="23"/>
        <v/>
      </c>
      <c r="O201" s="3"/>
    </row>
    <row r="202" spans="1:15" x14ac:dyDescent="0.25">
      <c r="A202" s="14"/>
      <c r="B202" s="14"/>
      <c r="C202" s="14"/>
      <c r="D202" s="5" t="str">
        <f t="shared" si="18"/>
        <v/>
      </c>
      <c r="E202" s="5" t="str">
        <f t="shared" si="19"/>
        <v/>
      </c>
      <c r="F202" s="5" t="str">
        <f t="shared" si="20"/>
        <v/>
      </c>
      <c r="G202" s="22"/>
      <c r="H202" s="66"/>
      <c r="I202" s="14"/>
      <c r="J202" s="14"/>
      <c r="K202" s="14"/>
      <c r="L202" s="5" t="str">
        <f t="shared" si="21"/>
        <v/>
      </c>
      <c r="M202" s="5" t="str">
        <f t="shared" si="22"/>
        <v/>
      </c>
      <c r="N202" s="5" t="str">
        <f t="shared" si="23"/>
        <v/>
      </c>
      <c r="O202" s="4"/>
    </row>
    <row r="203" spans="1:15" x14ac:dyDescent="0.25">
      <c r="A203" s="14"/>
      <c r="B203" s="14"/>
      <c r="C203" s="14"/>
      <c r="D203" s="5" t="str">
        <f t="shared" si="18"/>
        <v/>
      </c>
      <c r="E203" s="5" t="str">
        <f t="shared" si="19"/>
        <v/>
      </c>
      <c r="F203" s="5" t="str">
        <f t="shared" si="20"/>
        <v/>
      </c>
      <c r="G203" s="22"/>
      <c r="H203" s="66"/>
      <c r="I203" s="14"/>
      <c r="J203" s="14"/>
      <c r="K203" s="14"/>
      <c r="L203" s="5" t="str">
        <f t="shared" si="21"/>
        <v/>
      </c>
      <c r="M203" s="5" t="str">
        <f t="shared" si="22"/>
        <v/>
      </c>
      <c r="N203" s="5" t="str">
        <f t="shared" si="23"/>
        <v/>
      </c>
      <c r="O203" s="4"/>
    </row>
    <row r="204" spans="1:15" x14ac:dyDescent="0.25">
      <c r="A204" s="14"/>
      <c r="B204" s="14"/>
      <c r="C204" s="14"/>
      <c r="D204" s="5" t="str">
        <f t="shared" si="18"/>
        <v/>
      </c>
      <c r="E204" s="5" t="str">
        <f t="shared" si="19"/>
        <v/>
      </c>
      <c r="F204" s="5" t="str">
        <f t="shared" si="20"/>
        <v/>
      </c>
      <c r="G204" s="22"/>
      <c r="H204" s="66"/>
      <c r="I204" s="14"/>
      <c r="J204" s="14"/>
      <c r="K204" s="14"/>
      <c r="L204" s="5" t="str">
        <f t="shared" si="21"/>
        <v/>
      </c>
      <c r="M204" s="5" t="str">
        <f t="shared" si="22"/>
        <v/>
      </c>
      <c r="N204" s="5" t="str">
        <f t="shared" si="23"/>
        <v/>
      </c>
      <c r="O204" s="4"/>
    </row>
    <row r="205" spans="1:15" x14ac:dyDescent="0.25">
      <c r="A205" s="14"/>
      <c r="B205" s="14"/>
      <c r="C205" s="14"/>
      <c r="D205" s="5" t="str">
        <f t="shared" si="18"/>
        <v/>
      </c>
      <c r="E205" s="5" t="str">
        <f t="shared" si="19"/>
        <v/>
      </c>
      <c r="F205" s="5" t="str">
        <f t="shared" si="20"/>
        <v/>
      </c>
      <c r="G205" s="22"/>
      <c r="H205" s="66"/>
      <c r="I205" s="14"/>
      <c r="J205" s="14"/>
      <c r="K205" s="14"/>
      <c r="L205" s="5" t="str">
        <f t="shared" si="21"/>
        <v/>
      </c>
      <c r="M205" s="5" t="str">
        <f t="shared" si="22"/>
        <v/>
      </c>
      <c r="N205" s="5" t="str">
        <f t="shared" si="23"/>
        <v/>
      </c>
      <c r="O205" s="4"/>
    </row>
    <row r="206" spans="1:15" x14ac:dyDescent="0.25">
      <c r="A206" s="14"/>
      <c r="B206" s="14"/>
      <c r="C206" s="14"/>
      <c r="D206" s="5" t="str">
        <f t="shared" si="18"/>
        <v/>
      </c>
      <c r="E206" s="5" t="str">
        <f t="shared" si="19"/>
        <v/>
      </c>
      <c r="F206" s="5" t="str">
        <f t="shared" si="20"/>
        <v/>
      </c>
      <c r="G206" s="22"/>
      <c r="H206" s="66"/>
      <c r="I206" s="14"/>
      <c r="J206" s="14"/>
      <c r="K206" s="14"/>
      <c r="L206" s="5" t="str">
        <f t="shared" si="21"/>
        <v/>
      </c>
      <c r="M206" s="5" t="str">
        <f t="shared" si="22"/>
        <v/>
      </c>
      <c r="N206" s="5" t="str">
        <f t="shared" si="23"/>
        <v/>
      </c>
      <c r="O206" s="4"/>
    </row>
    <row r="207" spans="1:15" x14ac:dyDescent="0.25">
      <c r="A207" s="14"/>
      <c r="B207" s="14"/>
      <c r="C207" s="14"/>
      <c r="D207" s="5" t="str">
        <f t="shared" si="18"/>
        <v/>
      </c>
      <c r="E207" s="5" t="str">
        <f t="shared" si="19"/>
        <v/>
      </c>
      <c r="F207" s="5" t="str">
        <f t="shared" si="20"/>
        <v/>
      </c>
      <c r="G207" s="22"/>
      <c r="H207" s="66"/>
      <c r="I207" s="14"/>
      <c r="J207" s="14"/>
      <c r="K207" s="14"/>
      <c r="L207" s="5" t="str">
        <f t="shared" si="21"/>
        <v/>
      </c>
      <c r="M207" s="5" t="str">
        <f t="shared" si="22"/>
        <v/>
      </c>
      <c r="N207" s="5" t="str">
        <f t="shared" si="23"/>
        <v/>
      </c>
      <c r="O207" s="4"/>
    </row>
    <row r="208" spans="1:15" x14ac:dyDescent="0.25">
      <c r="A208" s="14"/>
      <c r="B208" s="14"/>
      <c r="C208" s="14"/>
      <c r="D208" s="5" t="str">
        <f t="shared" si="18"/>
        <v/>
      </c>
      <c r="E208" s="5" t="str">
        <f t="shared" si="19"/>
        <v/>
      </c>
      <c r="F208" s="5" t="str">
        <f t="shared" si="20"/>
        <v/>
      </c>
      <c r="G208" s="22"/>
      <c r="H208" s="66"/>
      <c r="I208" s="14"/>
      <c r="J208" s="14"/>
      <c r="K208" s="14"/>
      <c r="L208" s="5" t="str">
        <f t="shared" si="21"/>
        <v/>
      </c>
      <c r="M208" s="5" t="str">
        <f t="shared" si="22"/>
        <v/>
      </c>
      <c r="N208" s="5" t="str">
        <f t="shared" si="23"/>
        <v/>
      </c>
      <c r="O208" s="4"/>
    </row>
    <row r="209" spans="1:15" x14ac:dyDescent="0.25">
      <c r="A209" s="14"/>
      <c r="B209" s="14"/>
      <c r="C209" s="14"/>
      <c r="D209" s="5" t="str">
        <f t="shared" si="18"/>
        <v/>
      </c>
      <c r="E209" s="5" t="str">
        <f t="shared" si="19"/>
        <v/>
      </c>
      <c r="F209" s="5" t="str">
        <f t="shared" si="20"/>
        <v/>
      </c>
      <c r="G209" s="22"/>
      <c r="H209" s="66"/>
      <c r="I209" s="14"/>
      <c r="J209" s="14"/>
      <c r="K209" s="14"/>
      <c r="L209" s="5" t="str">
        <f t="shared" si="21"/>
        <v/>
      </c>
      <c r="M209" s="5" t="str">
        <f t="shared" si="22"/>
        <v/>
      </c>
      <c r="N209" s="5" t="str">
        <f t="shared" si="23"/>
        <v/>
      </c>
      <c r="O209" s="4"/>
    </row>
    <row r="210" spans="1:15" x14ac:dyDescent="0.25">
      <c r="A210" s="14"/>
      <c r="B210" s="14"/>
      <c r="C210" s="14"/>
      <c r="D210" s="5" t="str">
        <f t="shared" si="18"/>
        <v/>
      </c>
      <c r="E210" s="5" t="str">
        <f t="shared" si="19"/>
        <v/>
      </c>
      <c r="F210" s="5" t="str">
        <f t="shared" si="20"/>
        <v/>
      </c>
      <c r="G210" s="22"/>
      <c r="H210" s="66"/>
      <c r="I210" s="14"/>
      <c r="J210" s="14"/>
      <c r="K210" s="14"/>
      <c r="L210" s="5" t="str">
        <f t="shared" si="21"/>
        <v/>
      </c>
      <c r="M210" s="5" t="str">
        <f t="shared" si="22"/>
        <v/>
      </c>
      <c r="N210" s="5" t="str">
        <f t="shared" si="23"/>
        <v/>
      </c>
      <c r="O210" s="4"/>
    </row>
    <row r="211" spans="1:15" x14ac:dyDescent="0.25">
      <c r="A211" s="14"/>
      <c r="B211" s="14"/>
      <c r="C211" s="14"/>
      <c r="D211" s="5" t="str">
        <f t="shared" si="18"/>
        <v/>
      </c>
      <c r="E211" s="5" t="str">
        <f t="shared" si="19"/>
        <v/>
      </c>
      <c r="F211" s="5" t="str">
        <f t="shared" si="20"/>
        <v/>
      </c>
      <c r="G211" s="22"/>
      <c r="H211" s="66"/>
      <c r="I211" s="14"/>
      <c r="J211" s="14"/>
      <c r="K211" s="14"/>
      <c r="L211" s="5" t="str">
        <f t="shared" si="21"/>
        <v/>
      </c>
      <c r="M211" s="5" t="str">
        <f t="shared" si="22"/>
        <v/>
      </c>
      <c r="N211" s="5" t="str">
        <f t="shared" si="23"/>
        <v/>
      </c>
      <c r="O211" s="4"/>
    </row>
    <row r="212" spans="1:15" x14ac:dyDescent="0.25">
      <c r="A212" s="14"/>
      <c r="B212" s="14"/>
      <c r="C212" s="14"/>
      <c r="D212" s="5" t="str">
        <f t="shared" si="18"/>
        <v/>
      </c>
      <c r="E212" s="5" t="str">
        <f t="shared" si="19"/>
        <v/>
      </c>
      <c r="F212" s="5" t="str">
        <f t="shared" si="20"/>
        <v/>
      </c>
      <c r="G212" s="22"/>
      <c r="H212" s="66"/>
      <c r="I212" s="14"/>
      <c r="J212" s="14"/>
      <c r="K212" s="14"/>
      <c r="L212" s="5" t="str">
        <f t="shared" si="21"/>
        <v/>
      </c>
      <c r="M212" s="5" t="str">
        <f t="shared" si="22"/>
        <v/>
      </c>
      <c r="N212" s="5" t="str">
        <f t="shared" si="23"/>
        <v/>
      </c>
      <c r="O212" s="4"/>
    </row>
    <row r="213" spans="1:15" x14ac:dyDescent="0.25">
      <c r="A213" s="14"/>
      <c r="B213" s="14"/>
      <c r="C213" s="14"/>
      <c r="D213" s="5" t="str">
        <f t="shared" si="18"/>
        <v/>
      </c>
      <c r="E213" s="5" t="str">
        <f t="shared" si="19"/>
        <v/>
      </c>
      <c r="F213" s="5" t="str">
        <f t="shared" si="20"/>
        <v/>
      </c>
      <c r="G213" s="22"/>
      <c r="H213" s="66"/>
      <c r="I213" s="14"/>
      <c r="J213" s="14"/>
      <c r="K213" s="14"/>
      <c r="L213" s="5" t="str">
        <f t="shared" si="21"/>
        <v/>
      </c>
      <c r="M213" s="5" t="str">
        <f t="shared" si="22"/>
        <v/>
      </c>
      <c r="N213" s="5" t="str">
        <f t="shared" si="23"/>
        <v/>
      </c>
      <c r="O213" s="4"/>
    </row>
    <row r="214" spans="1:15" x14ac:dyDescent="0.25">
      <c r="A214" s="14"/>
      <c r="B214" s="14"/>
      <c r="C214" s="14"/>
      <c r="D214" s="5" t="str">
        <f t="shared" si="18"/>
        <v/>
      </c>
      <c r="E214" s="5" t="str">
        <f t="shared" si="19"/>
        <v/>
      </c>
      <c r="F214" s="5" t="str">
        <f t="shared" si="20"/>
        <v/>
      </c>
      <c r="G214" s="22"/>
      <c r="H214" s="66"/>
      <c r="I214" s="14"/>
      <c r="J214" s="14"/>
      <c r="K214" s="14"/>
      <c r="L214" s="5" t="str">
        <f t="shared" si="21"/>
        <v/>
      </c>
      <c r="M214" s="5" t="str">
        <f t="shared" si="22"/>
        <v/>
      </c>
      <c r="N214" s="5" t="str">
        <f t="shared" si="23"/>
        <v/>
      </c>
      <c r="O214" s="4"/>
    </row>
    <row r="215" spans="1:15" x14ac:dyDescent="0.25">
      <c r="A215" s="14"/>
      <c r="B215" s="14"/>
      <c r="C215" s="14"/>
      <c r="D215" s="5" t="str">
        <f t="shared" si="18"/>
        <v/>
      </c>
      <c r="E215" s="5" t="str">
        <f t="shared" si="19"/>
        <v/>
      </c>
      <c r="F215" s="5" t="str">
        <f t="shared" si="20"/>
        <v/>
      </c>
      <c r="G215" s="22"/>
      <c r="H215" s="66"/>
      <c r="I215" s="14"/>
      <c r="J215" s="14"/>
      <c r="K215" s="14"/>
      <c r="L215" s="5" t="str">
        <f t="shared" si="21"/>
        <v/>
      </c>
      <c r="M215" s="5" t="str">
        <f t="shared" si="22"/>
        <v/>
      </c>
      <c r="N215" s="5" t="str">
        <f t="shared" si="23"/>
        <v/>
      </c>
      <c r="O215" s="4"/>
    </row>
    <row r="216" spans="1:15" x14ac:dyDescent="0.25">
      <c r="A216" s="14"/>
      <c r="B216" s="14"/>
      <c r="C216" s="14"/>
      <c r="D216" s="5" t="str">
        <f t="shared" si="18"/>
        <v/>
      </c>
      <c r="E216" s="5" t="str">
        <f t="shared" si="19"/>
        <v/>
      </c>
      <c r="F216" s="5" t="str">
        <f t="shared" si="20"/>
        <v/>
      </c>
      <c r="G216" s="22"/>
      <c r="H216" s="66"/>
      <c r="I216" s="14"/>
      <c r="J216" s="14"/>
      <c r="K216" s="14"/>
      <c r="L216" s="5" t="str">
        <f t="shared" si="21"/>
        <v/>
      </c>
      <c r="M216" s="5" t="str">
        <f t="shared" si="22"/>
        <v/>
      </c>
      <c r="N216" s="5" t="str">
        <f t="shared" si="23"/>
        <v/>
      </c>
      <c r="O216" s="4"/>
    </row>
    <row r="217" spans="1:15" x14ac:dyDescent="0.25">
      <c r="A217" s="14"/>
      <c r="B217" s="14"/>
      <c r="C217" s="14"/>
      <c r="D217" s="5" t="str">
        <f t="shared" ref="D217:D280" si="24">IFERROR( IF(A217&lt;&gt;"",((B217-B216)*$X$4/(A217-A216))*$X$5,""),"")</f>
        <v/>
      </c>
      <c r="E217" s="5" t="str">
        <f t="shared" ref="E217:E280" si="25">IFERROR(IF(A217&lt;&gt;"",((C217-C216)*$X$4/(A217-A216))*$X$5,""),"")</f>
        <v/>
      </c>
      <c r="F217" s="5" t="str">
        <f t="shared" ref="F217:F280" si="26">IFERROR(IF(A217&lt;&gt;"",((ACOS((COS(RADIANS(B216))*COS(RADIANS(B217)))+(SIN(RADIANS(B216))*SIN(RADIANS(B217)))*COS(RADIANS(C217-C216)))*180/PI()*($X$4/(A217-A216))))*$X$5,""),"")</f>
        <v/>
      </c>
      <c r="G217" s="22"/>
      <c r="H217" s="66"/>
      <c r="I217" s="14"/>
      <c r="J217" s="14"/>
      <c r="K217" s="14"/>
      <c r="L217" s="5" t="str">
        <f t="shared" si="21"/>
        <v/>
      </c>
      <c r="M217" s="5" t="str">
        <f t="shared" si="22"/>
        <v/>
      </c>
      <c r="N217" s="5" t="str">
        <f t="shared" si="23"/>
        <v/>
      </c>
      <c r="O217" s="4"/>
    </row>
    <row r="218" spans="1:15" x14ac:dyDescent="0.25">
      <c r="A218" s="14"/>
      <c r="B218" s="14"/>
      <c r="C218" s="14"/>
      <c r="D218" s="5" t="str">
        <f t="shared" si="24"/>
        <v/>
      </c>
      <c r="E218" s="5" t="str">
        <f t="shared" si="25"/>
        <v/>
      </c>
      <c r="F218" s="5" t="str">
        <f t="shared" si="26"/>
        <v/>
      </c>
      <c r="G218" s="22"/>
      <c r="H218" s="66"/>
      <c r="I218" s="14"/>
      <c r="J218" s="14"/>
      <c r="K218" s="14"/>
      <c r="L218" s="5" t="str">
        <f t="shared" si="21"/>
        <v/>
      </c>
      <c r="M218" s="5" t="str">
        <f t="shared" si="22"/>
        <v/>
      </c>
      <c r="N218" s="5" t="str">
        <f t="shared" si="23"/>
        <v/>
      </c>
      <c r="O218" s="4"/>
    </row>
    <row r="219" spans="1:15" x14ac:dyDescent="0.25">
      <c r="A219" s="14"/>
      <c r="B219" s="14"/>
      <c r="C219" s="14"/>
      <c r="D219" s="5" t="str">
        <f t="shared" si="24"/>
        <v/>
      </c>
      <c r="E219" s="5" t="str">
        <f t="shared" si="25"/>
        <v/>
      </c>
      <c r="F219" s="5" t="str">
        <f t="shared" si="26"/>
        <v/>
      </c>
      <c r="G219" s="22"/>
      <c r="H219" s="66"/>
      <c r="I219" s="14"/>
      <c r="J219" s="14"/>
      <c r="K219" s="14"/>
      <c r="L219" s="5" t="str">
        <f t="shared" si="21"/>
        <v/>
      </c>
      <c r="M219" s="5" t="str">
        <f t="shared" si="22"/>
        <v/>
      </c>
      <c r="N219" s="5" t="str">
        <f t="shared" si="23"/>
        <v/>
      </c>
      <c r="O219" s="4"/>
    </row>
    <row r="220" spans="1:15" x14ac:dyDescent="0.25">
      <c r="A220" s="14"/>
      <c r="B220" s="14"/>
      <c r="C220" s="14"/>
      <c r="D220" s="5" t="str">
        <f t="shared" si="24"/>
        <v/>
      </c>
      <c r="E220" s="5" t="str">
        <f t="shared" si="25"/>
        <v/>
      </c>
      <c r="F220" s="5" t="str">
        <f t="shared" si="26"/>
        <v/>
      </c>
      <c r="G220" s="22"/>
      <c r="H220" s="66"/>
      <c r="I220" s="14"/>
      <c r="J220" s="14"/>
      <c r="K220" s="14"/>
      <c r="L220" s="5" t="str">
        <f t="shared" si="21"/>
        <v/>
      </c>
      <c r="M220" s="5" t="str">
        <f t="shared" si="22"/>
        <v/>
      </c>
      <c r="N220" s="5" t="str">
        <f t="shared" si="23"/>
        <v/>
      </c>
      <c r="O220" s="4"/>
    </row>
    <row r="221" spans="1:15" x14ac:dyDescent="0.25">
      <c r="A221" s="14"/>
      <c r="B221" s="14"/>
      <c r="C221" s="14"/>
      <c r="D221" s="5" t="str">
        <f t="shared" si="24"/>
        <v/>
      </c>
      <c r="E221" s="5" t="str">
        <f t="shared" si="25"/>
        <v/>
      </c>
      <c r="F221" s="5" t="str">
        <f t="shared" si="26"/>
        <v/>
      </c>
      <c r="G221" s="22"/>
      <c r="H221" s="66"/>
      <c r="I221" s="14"/>
      <c r="J221" s="14"/>
      <c r="K221" s="14"/>
      <c r="L221" s="5" t="str">
        <f t="shared" si="21"/>
        <v/>
      </c>
      <c r="M221" s="5" t="str">
        <f t="shared" si="22"/>
        <v/>
      </c>
      <c r="N221" s="5" t="str">
        <f t="shared" si="23"/>
        <v/>
      </c>
      <c r="O221" s="4"/>
    </row>
    <row r="222" spans="1:15" x14ac:dyDescent="0.25">
      <c r="A222" s="14"/>
      <c r="B222" s="14"/>
      <c r="C222" s="14"/>
      <c r="D222" s="5" t="str">
        <f t="shared" si="24"/>
        <v/>
      </c>
      <c r="E222" s="5" t="str">
        <f t="shared" si="25"/>
        <v/>
      </c>
      <c r="F222" s="5" t="str">
        <f t="shared" si="26"/>
        <v/>
      </c>
      <c r="G222" s="22"/>
      <c r="H222" s="66"/>
      <c r="I222" s="14"/>
      <c r="J222" s="14"/>
      <c r="K222" s="14"/>
      <c r="L222" s="5" t="str">
        <f t="shared" si="21"/>
        <v/>
      </c>
      <c r="M222" s="5" t="str">
        <f t="shared" si="22"/>
        <v/>
      </c>
      <c r="N222" s="5" t="str">
        <f t="shared" si="23"/>
        <v/>
      </c>
      <c r="O222" s="4"/>
    </row>
    <row r="223" spans="1:15" x14ac:dyDescent="0.25">
      <c r="A223" s="14"/>
      <c r="B223" s="14"/>
      <c r="C223" s="14"/>
      <c r="D223" s="5" t="str">
        <f t="shared" si="24"/>
        <v/>
      </c>
      <c r="E223" s="5" t="str">
        <f t="shared" si="25"/>
        <v/>
      </c>
      <c r="F223" s="5" t="str">
        <f t="shared" si="26"/>
        <v/>
      </c>
      <c r="G223" s="22"/>
      <c r="H223" s="66"/>
      <c r="I223" s="14"/>
      <c r="J223" s="14"/>
      <c r="K223" s="14"/>
      <c r="L223" s="5" t="str">
        <f t="shared" si="21"/>
        <v/>
      </c>
      <c r="M223" s="5" t="str">
        <f t="shared" si="22"/>
        <v/>
      </c>
      <c r="N223" s="5" t="str">
        <f t="shared" si="23"/>
        <v/>
      </c>
      <c r="O223" s="4"/>
    </row>
    <row r="224" spans="1:15" x14ac:dyDescent="0.25">
      <c r="A224" s="14"/>
      <c r="B224" s="14"/>
      <c r="C224" s="14"/>
      <c r="D224" s="5" t="str">
        <f t="shared" si="24"/>
        <v/>
      </c>
      <c r="E224" s="5" t="str">
        <f t="shared" si="25"/>
        <v/>
      </c>
      <c r="F224" s="5" t="str">
        <f t="shared" si="26"/>
        <v/>
      </c>
      <c r="G224" s="22"/>
      <c r="H224" s="66"/>
      <c r="I224" s="14"/>
      <c r="J224" s="14"/>
      <c r="K224" s="14"/>
      <c r="L224" s="5" t="str">
        <f t="shared" si="21"/>
        <v/>
      </c>
      <c r="M224" s="5" t="str">
        <f t="shared" si="22"/>
        <v/>
      </c>
      <c r="N224" s="5" t="str">
        <f t="shared" si="23"/>
        <v/>
      </c>
      <c r="O224" s="4"/>
    </row>
    <row r="225" spans="1:15" x14ac:dyDescent="0.25">
      <c r="A225" s="14"/>
      <c r="B225" s="14"/>
      <c r="C225" s="14"/>
      <c r="D225" s="5" t="str">
        <f t="shared" si="24"/>
        <v/>
      </c>
      <c r="E225" s="5" t="str">
        <f t="shared" si="25"/>
        <v/>
      </c>
      <c r="F225" s="5" t="str">
        <f t="shared" si="26"/>
        <v/>
      </c>
      <c r="G225" s="22"/>
      <c r="H225" s="66"/>
      <c r="I225" s="14"/>
      <c r="J225" s="14"/>
      <c r="K225" s="14"/>
      <c r="L225" s="5" t="str">
        <f t="shared" si="21"/>
        <v/>
      </c>
      <c r="M225" s="5" t="str">
        <f t="shared" si="22"/>
        <v/>
      </c>
      <c r="N225" s="5" t="str">
        <f t="shared" si="23"/>
        <v/>
      </c>
      <c r="O225" s="4"/>
    </row>
    <row r="226" spans="1:15" x14ac:dyDescent="0.25">
      <c r="A226" s="14"/>
      <c r="B226" s="14"/>
      <c r="C226" s="14"/>
      <c r="D226" s="5" t="str">
        <f t="shared" si="24"/>
        <v/>
      </c>
      <c r="E226" s="5" t="str">
        <f t="shared" si="25"/>
        <v/>
      </c>
      <c r="F226" s="5" t="str">
        <f t="shared" si="26"/>
        <v/>
      </c>
      <c r="G226" s="22"/>
      <c r="H226" s="66"/>
      <c r="I226" s="14"/>
      <c r="J226" s="14"/>
      <c r="K226" s="14"/>
      <c r="L226" s="5" t="str">
        <f t="shared" si="21"/>
        <v/>
      </c>
      <c r="M226" s="5" t="str">
        <f t="shared" si="22"/>
        <v/>
      </c>
      <c r="N226" s="5" t="str">
        <f t="shared" si="23"/>
        <v/>
      </c>
      <c r="O226" s="4"/>
    </row>
    <row r="227" spans="1:15" x14ac:dyDescent="0.25">
      <c r="A227" s="14"/>
      <c r="B227" s="14"/>
      <c r="C227" s="14"/>
      <c r="D227" s="5" t="str">
        <f t="shared" si="24"/>
        <v/>
      </c>
      <c r="E227" s="5" t="str">
        <f t="shared" si="25"/>
        <v/>
      </c>
      <c r="F227" s="5" t="str">
        <f t="shared" si="26"/>
        <v/>
      </c>
      <c r="G227" s="22"/>
      <c r="H227" s="66"/>
      <c r="I227" s="14"/>
      <c r="J227" s="14"/>
      <c r="K227" s="14"/>
      <c r="L227" s="5" t="str">
        <f t="shared" si="21"/>
        <v/>
      </c>
      <c r="M227" s="5" t="str">
        <f t="shared" si="22"/>
        <v/>
      </c>
      <c r="N227" s="5" t="str">
        <f t="shared" si="23"/>
        <v/>
      </c>
      <c r="O227" s="4"/>
    </row>
    <row r="228" spans="1:15" x14ac:dyDescent="0.25">
      <c r="A228" s="14"/>
      <c r="B228" s="14"/>
      <c r="C228" s="14"/>
      <c r="D228" s="5" t="str">
        <f t="shared" si="24"/>
        <v/>
      </c>
      <c r="E228" s="5" t="str">
        <f t="shared" si="25"/>
        <v/>
      </c>
      <c r="F228" s="5" t="str">
        <f t="shared" si="26"/>
        <v/>
      </c>
      <c r="G228" s="22"/>
      <c r="H228" s="66"/>
      <c r="I228" s="14"/>
      <c r="J228" s="14"/>
      <c r="K228" s="14"/>
      <c r="L228" s="5" t="str">
        <f t="shared" si="21"/>
        <v/>
      </c>
      <c r="M228" s="5" t="str">
        <f t="shared" si="22"/>
        <v/>
      </c>
      <c r="N228" s="5" t="str">
        <f t="shared" si="23"/>
        <v/>
      </c>
      <c r="O228" s="4"/>
    </row>
    <row r="229" spans="1:15" x14ac:dyDescent="0.25">
      <c r="A229" s="14"/>
      <c r="B229" s="14"/>
      <c r="C229" s="14"/>
      <c r="D229" s="5" t="str">
        <f t="shared" si="24"/>
        <v/>
      </c>
      <c r="E229" s="5" t="str">
        <f t="shared" si="25"/>
        <v/>
      </c>
      <c r="F229" s="5" t="str">
        <f t="shared" si="26"/>
        <v/>
      </c>
      <c r="G229" s="22"/>
      <c r="H229" s="66"/>
      <c r="I229" s="14"/>
      <c r="J229" s="14"/>
      <c r="K229" s="14"/>
      <c r="L229" s="5" t="str">
        <f t="shared" si="21"/>
        <v/>
      </c>
      <c r="M229" s="5" t="str">
        <f t="shared" si="22"/>
        <v/>
      </c>
      <c r="N229" s="5" t="str">
        <f t="shared" si="23"/>
        <v/>
      </c>
      <c r="O229" s="4"/>
    </row>
    <row r="230" spans="1:15" x14ac:dyDescent="0.25">
      <c r="A230" s="14"/>
      <c r="B230" s="14"/>
      <c r="C230" s="14"/>
      <c r="D230" s="5" t="str">
        <f t="shared" si="24"/>
        <v/>
      </c>
      <c r="E230" s="5" t="str">
        <f t="shared" si="25"/>
        <v/>
      </c>
      <c r="F230" s="5" t="str">
        <f t="shared" si="26"/>
        <v/>
      </c>
      <c r="G230" s="22"/>
      <c r="H230" s="66"/>
      <c r="I230" s="14"/>
      <c r="J230" s="14"/>
      <c r="K230" s="14"/>
      <c r="L230" s="5" t="str">
        <f t="shared" si="21"/>
        <v/>
      </c>
      <c r="M230" s="5" t="str">
        <f t="shared" si="22"/>
        <v/>
      </c>
      <c r="N230" s="5" t="str">
        <f t="shared" si="23"/>
        <v/>
      </c>
      <c r="O230" s="4"/>
    </row>
    <row r="231" spans="1:15" x14ac:dyDescent="0.25">
      <c r="A231" s="14"/>
      <c r="B231" s="14"/>
      <c r="C231" s="14"/>
      <c r="D231" s="5" t="str">
        <f t="shared" si="24"/>
        <v/>
      </c>
      <c r="E231" s="5" t="str">
        <f t="shared" si="25"/>
        <v/>
      </c>
      <c r="F231" s="5" t="str">
        <f t="shared" si="26"/>
        <v/>
      </c>
      <c r="G231" s="22"/>
      <c r="H231" s="66"/>
      <c r="I231" s="14"/>
      <c r="J231" s="14"/>
      <c r="K231" s="14"/>
      <c r="L231" s="5" t="str">
        <f t="shared" si="21"/>
        <v/>
      </c>
      <c r="M231" s="5" t="str">
        <f t="shared" si="22"/>
        <v/>
      </c>
      <c r="N231" s="5" t="str">
        <f t="shared" si="23"/>
        <v/>
      </c>
      <c r="O231" s="4"/>
    </row>
    <row r="232" spans="1:15" x14ac:dyDescent="0.25">
      <c r="A232" s="14"/>
      <c r="B232" s="14"/>
      <c r="C232" s="14"/>
      <c r="D232" s="5" t="str">
        <f t="shared" si="24"/>
        <v/>
      </c>
      <c r="E232" s="5" t="str">
        <f t="shared" si="25"/>
        <v/>
      </c>
      <c r="F232" s="5" t="str">
        <f t="shared" si="26"/>
        <v/>
      </c>
      <c r="G232" s="22"/>
      <c r="H232" s="66"/>
      <c r="I232" s="14"/>
      <c r="J232" s="14"/>
      <c r="K232" s="14"/>
      <c r="L232" s="5" t="str">
        <f t="shared" si="21"/>
        <v/>
      </c>
      <c r="M232" s="5" t="str">
        <f t="shared" si="22"/>
        <v/>
      </c>
      <c r="N232" s="5" t="str">
        <f t="shared" si="23"/>
        <v/>
      </c>
      <c r="O232" s="4"/>
    </row>
    <row r="233" spans="1:15" x14ac:dyDescent="0.25">
      <c r="A233" s="14"/>
      <c r="B233" s="14"/>
      <c r="C233" s="14"/>
      <c r="D233" s="5" t="str">
        <f t="shared" si="24"/>
        <v/>
      </c>
      <c r="E233" s="5" t="str">
        <f t="shared" si="25"/>
        <v/>
      </c>
      <c r="F233" s="5" t="str">
        <f t="shared" si="26"/>
        <v/>
      </c>
      <c r="G233" s="22"/>
      <c r="H233" s="66"/>
      <c r="I233" s="14"/>
      <c r="J233" s="14"/>
      <c r="K233" s="14"/>
      <c r="L233" s="5" t="str">
        <f t="shared" si="21"/>
        <v/>
      </c>
      <c r="M233" s="5" t="str">
        <f t="shared" si="22"/>
        <v/>
      </c>
      <c r="N233" s="5" t="str">
        <f t="shared" si="23"/>
        <v/>
      </c>
      <c r="O233" s="4"/>
    </row>
    <row r="234" spans="1:15" x14ac:dyDescent="0.25">
      <c r="A234" s="14"/>
      <c r="B234" s="14"/>
      <c r="C234" s="14"/>
      <c r="D234" s="5" t="str">
        <f t="shared" si="24"/>
        <v/>
      </c>
      <c r="E234" s="5" t="str">
        <f t="shared" si="25"/>
        <v/>
      </c>
      <c r="F234" s="5" t="str">
        <f t="shared" si="26"/>
        <v/>
      </c>
      <c r="G234" s="22"/>
      <c r="H234" s="66"/>
      <c r="I234" s="14"/>
      <c r="J234" s="14"/>
      <c r="K234" s="14"/>
      <c r="L234" s="5" t="str">
        <f t="shared" si="21"/>
        <v/>
      </c>
      <c r="M234" s="5" t="str">
        <f t="shared" si="22"/>
        <v/>
      </c>
      <c r="N234" s="5" t="str">
        <f t="shared" si="23"/>
        <v/>
      </c>
      <c r="O234" s="4"/>
    </row>
    <row r="235" spans="1:15" x14ac:dyDescent="0.25">
      <c r="A235" s="14"/>
      <c r="B235" s="14"/>
      <c r="C235" s="14"/>
      <c r="D235" s="5" t="str">
        <f t="shared" si="24"/>
        <v/>
      </c>
      <c r="E235" s="5" t="str">
        <f t="shared" si="25"/>
        <v/>
      </c>
      <c r="F235" s="5" t="str">
        <f t="shared" si="26"/>
        <v/>
      </c>
      <c r="G235" s="22"/>
      <c r="H235" s="66"/>
      <c r="I235" s="14"/>
      <c r="J235" s="14"/>
      <c r="K235" s="14"/>
      <c r="L235" s="5" t="str">
        <f t="shared" si="21"/>
        <v/>
      </c>
      <c r="M235" s="5" t="str">
        <f t="shared" si="22"/>
        <v/>
      </c>
      <c r="N235" s="5" t="str">
        <f t="shared" si="23"/>
        <v/>
      </c>
      <c r="O235" s="4"/>
    </row>
    <row r="236" spans="1:15" x14ac:dyDescent="0.25">
      <c r="A236" s="14"/>
      <c r="B236" s="14"/>
      <c r="C236" s="14"/>
      <c r="D236" s="5" t="str">
        <f t="shared" si="24"/>
        <v/>
      </c>
      <c r="E236" s="5" t="str">
        <f t="shared" si="25"/>
        <v/>
      </c>
      <c r="F236" s="5" t="str">
        <f t="shared" si="26"/>
        <v/>
      </c>
      <c r="G236" s="22"/>
      <c r="H236" s="66"/>
      <c r="I236" s="14"/>
      <c r="J236" s="14"/>
      <c r="K236" s="14"/>
      <c r="L236" s="5" t="str">
        <f t="shared" si="21"/>
        <v/>
      </c>
      <c r="M236" s="5" t="str">
        <f t="shared" si="22"/>
        <v/>
      </c>
      <c r="N236" s="5" t="str">
        <f t="shared" si="23"/>
        <v/>
      </c>
      <c r="O236" s="4"/>
    </row>
    <row r="237" spans="1:15" x14ac:dyDescent="0.25">
      <c r="A237" s="14"/>
      <c r="B237" s="14"/>
      <c r="C237" s="14"/>
      <c r="D237" s="5" t="str">
        <f t="shared" si="24"/>
        <v/>
      </c>
      <c r="E237" s="5" t="str">
        <f t="shared" si="25"/>
        <v/>
      </c>
      <c r="F237" s="5" t="str">
        <f t="shared" si="26"/>
        <v/>
      </c>
      <c r="G237" s="22"/>
      <c r="H237" s="66"/>
      <c r="I237" s="14"/>
      <c r="J237" s="14"/>
      <c r="K237" s="14"/>
      <c r="L237" s="5" t="str">
        <f t="shared" si="21"/>
        <v/>
      </c>
      <c r="M237" s="5" t="str">
        <f t="shared" si="22"/>
        <v/>
      </c>
      <c r="N237" s="5" t="str">
        <f t="shared" si="23"/>
        <v/>
      </c>
      <c r="O237" s="4"/>
    </row>
    <row r="238" spans="1:15" x14ac:dyDescent="0.25">
      <c r="A238" s="14"/>
      <c r="B238" s="14"/>
      <c r="C238" s="14"/>
      <c r="D238" s="5" t="str">
        <f t="shared" si="24"/>
        <v/>
      </c>
      <c r="E238" s="5" t="str">
        <f t="shared" si="25"/>
        <v/>
      </c>
      <c r="F238" s="5" t="str">
        <f t="shared" si="26"/>
        <v/>
      </c>
      <c r="G238" s="22"/>
      <c r="H238" s="66"/>
      <c r="I238" s="14"/>
      <c r="J238" s="14"/>
      <c r="K238" s="14"/>
      <c r="L238" s="5" t="str">
        <f t="shared" si="21"/>
        <v/>
      </c>
      <c r="M238" s="5" t="str">
        <f t="shared" si="22"/>
        <v/>
      </c>
      <c r="N238" s="5" t="str">
        <f t="shared" si="23"/>
        <v/>
      </c>
      <c r="O238" s="4"/>
    </row>
    <row r="239" spans="1:15" x14ac:dyDescent="0.25">
      <c r="A239" s="14"/>
      <c r="B239" s="14"/>
      <c r="C239" s="14"/>
      <c r="D239" s="5" t="str">
        <f t="shared" si="24"/>
        <v/>
      </c>
      <c r="E239" s="5" t="str">
        <f t="shared" si="25"/>
        <v/>
      </c>
      <c r="F239" s="5" t="str">
        <f t="shared" si="26"/>
        <v/>
      </c>
      <c r="G239" s="22"/>
      <c r="H239" s="66"/>
      <c r="I239" s="14"/>
      <c r="J239" s="14"/>
      <c r="K239" s="14"/>
      <c r="L239" s="5" t="str">
        <f t="shared" si="21"/>
        <v/>
      </c>
      <c r="M239" s="5" t="str">
        <f t="shared" si="22"/>
        <v/>
      </c>
      <c r="N239" s="5" t="str">
        <f t="shared" si="23"/>
        <v/>
      </c>
      <c r="O239" s="4"/>
    </row>
    <row r="240" spans="1:15" x14ac:dyDescent="0.25">
      <c r="A240" s="14"/>
      <c r="B240" s="14"/>
      <c r="C240" s="14"/>
      <c r="D240" s="5" t="str">
        <f t="shared" si="24"/>
        <v/>
      </c>
      <c r="E240" s="5" t="str">
        <f t="shared" si="25"/>
        <v/>
      </c>
      <c r="F240" s="5" t="str">
        <f t="shared" si="26"/>
        <v/>
      </c>
      <c r="G240" s="22"/>
      <c r="H240" s="66"/>
      <c r="I240" s="14"/>
      <c r="J240" s="14"/>
      <c r="K240" s="14"/>
      <c r="L240" s="5" t="str">
        <f t="shared" si="21"/>
        <v/>
      </c>
      <c r="M240" s="5" t="str">
        <f t="shared" si="22"/>
        <v/>
      </c>
      <c r="N240" s="5" t="str">
        <f t="shared" si="23"/>
        <v/>
      </c>
      <c r="O240" s="4"/>
    </row>
    <row r="241" spans="1:15" x14ac:dyDescent="0.25">
      <c r="A241" s="14"/>
      <c r="B241" s="14"/>
      <c r="C241" s="14"/>
      <c r="D241" s="5" t="str">
        <f t="shared" si="24"/>
        <v/>
      </c>
      <c r="E241" s="5" t="str">
        <f t="shared" si="25"/>
        <v/>
      </c>
      <c r="F241" s="5" t="str">
        <f t="shared" si="26"/>
        <v/>
      </c>
      <c r="G241" s="22"/>
      <c r="H241" s="66"/>
      <c r="I241" s="14"/>
      <c r="J241" s="14"/>
      <c r="K241" s="14"/>
      <c r="L241" s="5" t="str">
        <f t="shared" si="21"/>
        <v/>
      </c>
      <c r="M241" s="5" t="str">
        <f t="shared" si="22"/>
        <v/>
      </c>
      <c r="N241" s="5" t="str">
        <f t="shared" si="23"/>
        <v/>
      </c>
      <c r="O241" s="4"/>
    </row>
    <row r="242" spans="1:15" x14ac:dyDescent="0.25">
      <c r="A242" s="14"/>
      <c r="B242" s="14"/>
      <c r="C242" s="14"/>
      <c r="D242" s="5" t="str">
        <f t="shared" si="24"/>
        <v/>
      </c>
      <c r="E242" s="5" t="str">
        <f t="shared" si="25"/>
        <v/>
      </c>
      <c r="F242" s="5" t="str">
        <f t="shared" si="26"/>
        <v/>
      </c>
      <c r="G242" s="22"/>
      <c r="H242" s="66"/>
      <c r="I242" s="14"/>
      <c r="J242" s="14"/>
      <c r="K242" s="14"/>
      <c r="L242" s="5" t="str">
        <f t="shared" si="21"/>
        <v/>
      </c>
      <c r="M242" s="5" t="str">
        <f t="shared" si="22"/>
        <v/>
      </c>
      <c r="N242" s="5" t="str">
        <f t="shared" si="23"/>
        <v/>
      </c>
      <c r="O242" s="4"/>
    </row>
    <row r="243" spans="1:15" x14ac:dyDescent="0.25">
      <c r="A243" s="14"/>
      <c r="B243" s="14"/>
      <c r="C243" s="14"/>
      <c r="D243" s="5" t="str">
        <f t="shared" si="24"/>
        <v/>
      </c>
      <c r="E243" s="5" t="str">
        <f t="shared" si="25"/>
        <v/>
      </c>
      <c r="F243" s="5" t="str">
        <f t="shared" si="26"/>
        <v/>
      </c>
      <c r="G243" s="22"/>
      <c r="H243" s="66"/>
      <c r="I243" s="14"/>
      <c r="J243" s="14"/>
      <c r="K243" s="14"/>
      <c r="L243" s="5" t="str">
        <f t="shared" si="21"/>
        <v/>
      </c>
      <c r="M243" s="5" t="str">
        <f t="shared" si="22"/>
        <v/>
      </c>
      <c r="N243" s="5" t="str">
        <f t="shared" si="23"/>
        <v/>
      </c>
      <c r="O243" s="4"/>
    </row>
    <row r="244" spans="1:15" x14ac:dyDescent="0.25">
      <c r="A244" s="14"/>
      <c r="B244" s="14"/>
      <c r="C244" s="14"/>
      <c r="D244" s="5" t="str">
        <f t="shared" si="24"/>
        <v/>
      </c>
      <c r="E244" s="5" t="str">
        <f t="shared" si="25"/>
        <v/>
      </c>
      <c r="F244" s="5" t="str">
        <f t="shared" si="26"/>
        <v/>
      </c>
      <c r="G244" s="22"/>
      <c r="H244" s="66"/>
      <c r="I244" s="14"/>
      <c r="J244" s="14"/>
      <c r="K244" s="14"/>
      <c r="L244" s="5" t="str">
        <f t="shared" si="21"/>
        <v/>
      </c>
      <c r="M244" s="5" t="str">
        <f t="shared" si="22"/>
        <v/>
      </c>
      <c r="N244" s="5" t="str">
        <f t="shared" si="23"/>
        <v/>
      </c>
      <c r="O244" s="4"/>
    </row>
    <row r="245" spans="1:15" x14ac:dyDescent="0.25">
      <c r="A245" s="14"/>
      <c r="B245" s="14"/>
      <c r="C245" s="14"/>
      <c r="D245" s="5" t="str">
        <f t="shared" si="24"/>
        <v/>
      </c>
      <c r="E245" s="5" t="str">
        <f t="shared" si="25"/>
        <v/>
      </c>
      <c r="F245" s="5" t="str">
        <f t="shared" si="26"/>
        <v/>
      </c>
      <c r="G245" s="22"/>
      <c r="H245" s="66"/>
      <c r="I245" s="14"/>
      <c r="J245" s="14"/>
      <c r="K245" s="14"/>
      <c r="L245" s="5" t="str">
        <f t="shared" si="21"/>
        <v/>
      </c>
      <c r="M245" s="5" t="str">
        <f t="shared" si="22"/>
        <v/>
      </c>
      <c r="N245" s="5" t="str">
        <f t="shared" si="23"/>
        <v/>
      </c>
      <c r="O245" s="4"/>
    </row>
    <row r="246" spans="1:15" x14ac:dyDescent="0.25">
      <c r="A246" s="14"/>
      <c r="B246" s="14"/>
      <c r="C246" s="14"/>
      <c r="D246" s="5" t="str">
        <f t="shared" si="24"/>
        <v/>
      </c>
      <c r="E246" s="5" t="str">
        <f t="shared" si="25"/>
        <v/>
      </c>
      <c r="F246" s="5" t="str">
        <f t="shared" si="26"/>
        <v/>
      </c>
      <c r="G246" s="22"/>
      <c r="H246" s="66"/>
      <c r="I246" s="14"/>
      <c r="J246" s="14"/>
      <c r="K246" s="14"/>
      <c r="L246" s="5" t="str">
        <f t="shared" si="21"/>
        <v/>
      </c>
      <c r="M246" s="5" t="str">
        <f t="shared" si="22"/>
        <v/>
      </c>
      <c r="N246" s="5" t="str">
        <f t="shared" si="23"/>
        <v/>
      </c>
      <c r="O246" s="4"/>
    </row>
    <row r="247" spans="1:15" x14ac:dyDescent="0.25">
      <c r="A247" s="14"/>
      <c r="B247" s="14"/>
      <c r="C247" s="14"/>
      <c r="D247" s="5" t="str">
        <f t="shared" si="24"/>
        <v/>
      </c>
      <c r="E247" s="5" t="str">
        <f t="shared" si="25"/>
        <v/>
      </c>
      <c r="F247" s="5" t="str">
        <f t="shared" si="26"/>
        <v/>
      </c>
      <c r="G247" s="22"/>
      <c r="H247" s="66"/>
      <c r="I247" s="14"/>
      <c r="J247" s="14"/>
      <c r="K247" s="14"/>
      <c r="L247" s="5" t="str">
        <f t="shared" si="21"/>
        <v/>
      </c>
      <c r="M247" s="5" t="str">
        <f t="shared" si="22"/>
        <v/>
      </c>
      <c r="N247" s="5" t="str">
        <f t="shared" si="23"/>
        <v/>
      </c>
      <c r="O247" s="4"/>
    </row>
    <row r="248" spans="1:15" x14ac:dyDescent="0.25">
      <c r="A248" s="14"/>
      <c r="B248" s="14"/>
      <c r="C248" s="14"/>
      <c r="D248" s="5" t="str">
        <f t="shared" si="24"/>
        <v/>
      </c>
      <c r="E248" s="5" t="str">
        <f t="shared" si="25"/>
        <v/>
      </c>
      <c r="F248" s="5" t="str">
        <f t="shared" si="26"/>
        <v/>
      </c>
      <c r="G248" s="22"/>
      <c r="H248" s="66"/>
      <c r="I248" s="14"/>
      <c r="J248" s="14"/>
      <c r="K248" s="14"/>
      <c r="L248" s="5" t="str">
        <f t="shared" si="21"/>
        <v/>
      </c>
      <c r="M248" s="5" t="str">
        <f t="shared" si="22"/>
        <v/>
      </c>
      <c r="N248" s="5" t="str">
        <f t="shared" si="23"/>
        <v/>
      </c>
      <c r="O248" s="4"/>
    </row>
    <row r="249" spans="1:15" x14ac:dyDescent="0.25">
      <c r="A249" s="14"/>
      <c r="B249" s="14"/>
      <c r="C249" s="14"/>
      <c r="D249" s="5" t="str">
        <f t="shared" si="24"/>
        <v/>
      </c>
      <c r="E249" s="5" t="str">
        <f t="shared" si="25"/>
        <v/>
      </c>
      <c r="F249" s="5" t="str">
        <f t="shared" si="26"/>
        <v/>
      </c>
      <c r="G249" s="22"/>
      <c r="H249" s="66"/>
      <c r="I249" s="14"/>
      <c r="J249" s="14"/>
      <c r="K249" s="14"/>
      <c r="L249" s="5" t="str">
        <f t="shared" si="21"/>
        <v/>
      </c>
      <c r="M249" s="5" t="str">
        <f t="shared" si="22"/>
        <v/>
      </c>
      <c r="N249" s="5" t="str">
        <f t="shared" si="23"/>
        <v/>
      </c>
      <c r="O249" s="4"/>
    </row>
    <row r="250" spans="1:15" x14ac:dyDescent="0.25">
      <c r="A250" s="14"/>
      <c r="B250" s="14"/>
      <c r="C250" s="14"/>
      <c r="D250" s="5" t="str">
        <f t="shared" si="24"/>
        <v/>
      </c>
      <c r="E250" s="5" t="str">
        <f t="shared" si="25"/>
        <v/>
      </c>
      <c r="F250" s="5" t="str">
        <f t="shared" si="26"/>
        <v/>
      </c>
      <c r="G250" s="22"/>
      <c r="H250" s="66"/>
      <c r="I250" s="14"/>
      <c r="J250" s="14"/>
      <c r="K250" s="14"/>
      <c r="L250" s="5" t="str">
        <f t="shared" si="21"/>
        <v/>
      </c>
      <c r="M250" s="5" t="str">
        <f t="shared" si="22"/>
        <v/>
      </c>
      <c r="N250" s="5" t="str">
        <f t="shared" si="23"/>
        <v/>
      </c>
      <c r="O250" s="4"/>
    </row>
    <row r="251" spans="1:15" x14ac:dyDescent="0.25">
      <c r="A251" s="14"/>
      <c r="B251" s="14"/>
      <c r="C251" s="14"/>
      <c r="D251" s="5" t="str">
        <f t="shared" si="24"/>
        <v/>
      </c>
      <c r="E251" s="5" t="str">
        <f t="shared" si="25"/>
        <v/>
      </c>
      <c r="F251" s="5" t="str">
        <f t="shared" si="26"/>
        <v/>
      </c>
      <c r="G251" s="22"/>
      <c r="H251" s="66"/>
      <c r="I251" s="14"/>
      <c r="J251" s="14"/>
      <c r="K251" s="14"/>
      <c r="L251" s="5" t="str">
        <f t="shared" si="21"/>
        <v/>
      </c>
      <c r="M251" s="5" t="str">
        <f t="shared" si="22"/>
        <v/>
      </c>
      <c r="N251" s="5" t="str">
        <f t="shared" si="23"/>
        <v/>
      </c>
      <c r="O251" s="4"/>
    </row>
    <row r="252" spans="1:15" x14ac:dyDescent="0.25">
      <c r="A252" s="14"/>
      <c r="B252" s="14"/>
      <c r="C252" s="14"/>
      <c r="D252" s="5" t="str">
        <f t="shared" si="24"/>
        <v/>
      </c>
      <c r="E252" s="5" t="str">
        <f t="shared" si="25"/>
        <v/>
      </c>
      <c r="F252" s="5" t="str">
        <f t="shared" si="26"/>
        <v/>
      </c>
      <c r="G252" s="22"/>
      <c r="H252" s="66"/>
      <c r="I252" s="14"/>
      <c r="J252" s="14"/>
      <c r="K252" s="14"/>
      <c r="L252" s="5" t="str">
        <f t="shared" si="21"/>
        <v/>
      </c>
      <c r="M252" s="5" t="str">
        <f t="shared" si="22"/>
        <v/>
      </c>
      <c r="N252" s="5" t="str">
        <f t="shared" si="23"/>
        <v/>
      </c>
      <c r="O252" s="4"/>
    </row>
    <row r="253" spans="1:15" x14ac:dyDescent="0.25">
      <c r="A253" s="14"/>
      <c r="B253" s="14"/>
      <c r="C253" s="14"/>
      <c r="D253" s="5" t="str">
        <f t="shared" si="24"/>
        <v/>
      </c>
      <c r="E253" s="5" t="str">
        <f t="shared" si="25"/>
        <v/>
      </c>
      <c r="F253" s="5" t="str">
        <f t="shared" si="26"/>
        <v/>
      </c>
      <c r="G253" s="22"/>
      <c r="H253" s="66"/>
      <c r="I253" s="14"/>
      <c r="J253" s="14"/>
      <c r="K253" s="14"/>
      <c r="L253" s="5" t="str">
        <f t="shared" si="21"/>
        <v/>
      </c>
      <c r="M253" s="5" t="str">
        <f t="shared" si="22"/>
        <v/>
      </c>
      <c r="N253" s="5" t="str">
        <f t="shared" si="23"/>
        <v/>
      </c>
      <c r="O253" s="4"/>
    </row>
    <row r="254" spans="1:15" x14ac:dyDescent="0.25">
      <c r="A254" s="14"/>
      <c r="B254" s="14"/>
      <c r="C254" s="14"/>
      <c r="D254" s="5" t="str">
        <f t="shared" si="24"/>
        <v/>
      </c>
      <c r="E254" s="5" t="str">
        <f t="shared" si="25"/>
        <v/>
      </c>
      <c r="F254" s="5" t="str">
        <f t="shared" si="26"/>
        <v/>
      </c>
      <c r="G254" s="22"/>
      <c r="H254" s="66"/>
      <c r="I254" s="14"/>
      <c r="J254" s="14"/>
      <c r="K254" s="14"/>
      <c r="L254" s="5" t="str">
        <f t="shared" si="21"/>
        <v/>
      </c>
      <c r="M254" s="5" t="str">
        <f t="shared" si="22"/>
        <v/>
      </c>
      <c r="N254" s="5" t="str">
        <f t="shared" si="23"/>
        <v/>
      </c>
      <c r="O254" s="4"/>
    </row>
    <row r="255" spans="1:15" x14ac:dyDescent="0.25">
      <c r="A255" s="14"/>
      <c r="B255" s="14"/>
      <c r="C255" s="14"/>
      <c r="D255" s="5" t="str">
        <f t="shared" si="24"/>
        <v/>
      </c>
      <c r="E255" s="5" t="str">
        <f t="shared" si="25"/>
        <v/>
      </c>
      <c r="F255" s="5" t="str">
        <f t="shared" si="26"/>
        <v/>
      </c>
      <c r="G255" s="19"/>
      <c r="H255" s="66"/>
      <c r="I255" s="14"/>
      <c r="J255" s="14"/>
      <c r="K255" s="14"/>
      <c r="L255" s="5" t="str">
        <f t="shared" si="21"/>
        <v/>
      </c>
      <c r="M255" s="5" t="str">
        <f t="shared" si="22"/>
        <v/>
      </c>
      <c r="N255" s="5" t="str">
        <f t="shared" si="23"/>
        <v/>
      </c>
      <c r="O255" s="4"/>
    </row>
    <row r="256" spans="1:15" x14ac:dyDescent="0.25">
      <c r="A256" s="14"/>
      <c r="B256" s="14"/>
      <c r="C256" s="14"/>
      <c r="D256" s="5" t="str">
        <f t="shared" si="24"/>
        <v/>
      </c>
      <c r="E256" s="5" t="str">
        <f t="shared" si="25"/>
        <v/>
      </c>
      <c r="F256" s="5" t="str">
        <f t="shared" si="26"/>
        <v/>
      </c>
      <c r="G256" s="23"/>
      <c r="H256" s="66"/>
      <c r="I256" s="14"/>
      <c r="J256" s="14"/>
      <c r="K256" s="14"/>
      <c r="L256" s="5" t="str">
        <f t="shared" si="21"/>
        <v/>
      </c>
      <c r="M256" s="5" t="str">
        <f t="shared" si="22"/>
        <v/>
      </c>
      <c r="N256" s="5" t="str">
        <f t="shared" si="23"/>
        <v/>
      </c>
      <c r="O256" s="4"/>
    </row>
    <row r="257" spans="1:15" x14ac:dyDescent="0.25">
      <c r="A257" s="14"/>
      <c r="B257" s="14"/>
      <c r="C257" s="14"/>
      <c r="D257" s="5" t="str">
        <f t="shared" si="24"/>
        <v/>
      </c>
      <c r="E257" s="5" t="str">
        <f t="shared" si="25"/>
        <v/>
      </c>
      <c r="F257" s="5" t="str">
        <f t="shared" si="26"/>
        <v/>
      </c>
      <c r="G257" s="23"/>
      <c r="H257" s="66"/>
      <c r="I257" s="14"/>
      <c r="J257" s="14"/>
      <c r="K257" s="14"/>
      <c r="L257" s="5" t="str">
        <f t="shared" si="21"/>
        <v/>
      </c>
      <c r="M257" s="5" t="str">
        <f t="shared" si="22"/>
        <v/>
      </c>
      <c r="N257" s="5" t="str">
        <f t="shared" si="23"/>
        <v/>
      </c>
      <c r="O257" s="4"/>
    </row>
    <row r="258" spans="1:15" x14ac:dyDescent="0.25">
      <c r="A258" s="14"/>
      <c r="B258" s="14"/>
      <c r="C258" s="14"/>
      <c r="D258" s="5" t="str">
        <f t="shared" si="24"/>
        <v/>
      </c>
      <c r="E258" s="5" t="str">
        <f t="shared" si="25"/>
        <v/>
      </c>
      <c r="F258" s="5" t="str">
        <f t="shared" si="26"/>
        <v/>
      </c>
      <c r="G258" s="23"/>
      <c r="H258" s="66"/>
      <c r="I258" s="14"/>
      <c r="J258" s="14"/>
      <c r="K258" s="14"/>
      <c r="L258" s="5" t="str">
        <f t="shared" si="21"/>
        <v/>
      </c>
      <c r="M258" s="5" t="str">
        <f t="shared" si="22"/>
        <v/>
      </c>
      <c r="N258" s="5" t="str">
        <f t="shared" si="23"/>
        <v/>
      </c>
      <c r="O258" s="4"/>
    </row>
    <row r="259" spans="1:15" x14ac:dyDescent="0.25">
      <c r="A259" s="14"/>
      <c r="B259" s="14"/>
      <c r="C259" s="14"/>
      <c r="D259" s="5" t="str">
        <f t="shared" si="24"/>
        <v/>
      </c>
      <c r="E259" s="5" t="str">
        <f t="shared" si="25"/>
        <v/>
      </c>
      <c r="F259" s="5" t="str">
        <f t="shared" si="26"/>
        <v/>
      </c>
      <c r="G259" s="22"/>
      <c r="H259" s="66"/>
      <c r="I259" s="14"/>
      <c r="J259" s="14"/>
      <c r="K259" s="14"/>
      <c r="L259" s="5" t="str">
        <f t="shared" si="21"/>
        <v/>
      </c>
      <c r="M259" s="5" t="str">
        <f t="shared" si="22"/>
        <v/>
      </c>
      <c r="N259" s="5" t="str">
        <f t="shared" si="23"/>
        <v/>
      </c>
      <c r="O259" s="4"/>
    </row>
    <row r="260" spans="1:15" x14ac:dyDescent="0.25">
      <c r="A260" s="14"/>
      <c r="B260" s="14"/>
      <c r="C260" s="14"/>
      <c r="D260" s="5" t="str">
        <f t="shared" si="24"/>
        <v/>
      </c>
      <c r="E260" s="5" t="str">
        <f t="shared" si="25"/>
        <v/>
      </c>
      <c r="F260" s="5" t="str">
        <f t="shared" si="26"/>
        <v/>
      </c>
      <c r="G260" s="22"/>
      <c r="H260" s="66"/>
      <c r="I260" s="14"/>
      <c r="J260" s="14"/>
      <c r="K260" s="14"/>
      <c r="L260" s="5" t="str">
        <f t="shared" si="21"/>
        <v/>
      </c>
      <c r="M260" s="5" t="str">
        <f t="shared" si="22"/>
        <v/>
      </c>
      <c r="N260" s="5" t="str">
        <f t="shared" si="23"/>
        <v/>
      </c>
      <c r="O260" s="4"/>
    </row>
    <row r="261" spans="1:15" x14ac:dyDescent="0.25">
      <c r="A261" s="14"/>
      <c r="B261" s="14"/>
      <c r="C261" s="14"/>
      <c r="D261" s="5" t="str">
        <f t="shared" si="24"/>
        <v/>
      </c>
      <c r="E261" s="5" t="str">
        <f t="shared" si="25"/>
        <v/>
      </c>
      <c r="F261" s="5" t="str">
        <f t="shared" si="26"/>
        <v/>
      </c>
      <c r="G261" s="23"/>
      <c r="H261" s="66"/>
      <c r="I261" s="14"/>
      <c r="J261" s="14"/>
      <c r="K261" s="14"/>
      <c r="L261" s="5" t="str">
        <f t="shared" ref="L261:L324" si="27">IFERROR(IF(I261&lt;&gt;"",(((J261-J260)*$X$4/(I261-I260)))*$X$5,""),"")</f>
        <v/>
      </c>
      <c r="M261" s="5" t="str">
        <f t="shared" ref="M261:M324" si="28">IFERROR(IF(I261&lt;&gt;"",(((K261-K260)*$X$4/(I261-I260)))*$X$5,""),"")</f>
        <v/>
      </c>
      <c r="N261" s="5" t="str">
        <f t="shared" ref="N261:N324" si="29">IFERROR(IF(I261&lt;&gt;"",((ACOS((COS(RADIANS(J260))*COS(RADIANS(J261)))+(SIN(RADIANS(J260))*SIN(RADIANS(J261)))*COS(RADIANS(K261-K260)))*180/PI()*($X$4/(I261-I260))))*$X$5,""),"")</f>
        <v/>
      </c>
      <c r="O261" s="4"/>
    </row>
    <row r="262" spans="1:15" x14ac:dyDescent="0.25">
      <c r="A262" s="14"/>
      <c r="B262" s="14"/>
      <c r="C262" s="14"/>
      <c r="D262" s="5" t="str">
        <f t="shared" si="24"/>
        <v/>
      </c>
      <c r="E262" s="5" t="str">
        <f t="shared" si="25"/>
        <v/>
      </c>
      <c r="F262" s="5" t="str">
        <f t="shared" si="26"/>
        <v/>
      </c>
      <c r="G262" s="23"/>
      <c r="H262" s="66"/>
      <c r="I262" s="14"/>
      <c r="J262" s="14"/>
      <c r="K262" s="14"/>
      <c r="L262" s="5" t="str">
        <f t="shared" si="27"/>
        <v/>
      </c>
      <c r="M262" s="5" t="str">
        <f t="shared" si="28"/>
        <v/>
      </c>
      <c r="N262" s="5" t="str">
        <f t="shared" si="29"/>
        <v/>
      </c>
      <c r="O262" s="4"/>
    </row>
    <row r="263" spans="1:15" x14ac:dyDescent="0.25">
      <c r="A263" s="14"/>
      <c r="B263" s="14"/>
      <c r="C263" s="14"/>
      <c r="D263" s="5" t="str">
        <f t="shared" si="24"/>
        <v/>
      </c>
      <c r="E263" s="5" t="str">
        <f t="shared" si="25"/>
        <v/>
      </c>
      <c r="F263" s="5" t="str">
        <f t="shared" si="26"/>
        <v/>
      </c>
      <c r="G263" s="23"/>
      <c r="H263" s="66"/>
      <c r="I263" s="14"/>
      <c r="J263" s="14"/>
      <c r="K263" s="14"/>
      <c r="L263" s="5" t="str">
        <f t="shared" si="27"/>
        <v/>
      </c>
      <c r="M263" s="5" t="str">
        <f t="shared" si="28"/>
        <v/>
      </c>
      <c r="N263" s="5" t="str">
        <f t="shared" si="29"/>
        <v/>
      </c>
      <c r="O263" s="4"/>
    </row>
    <row r="264" spans="1:15" x14ac:dyDescent="0.25">
      <c r="A264" s="14"/>
      <c r="B264" s="14"/>
      <c r="C264" s="14"/>
      <c r="D264" s="5" t="str">
        <f t="shared" si="24"/>
        <v/>
      </c>
      <c r="E264" s="5" t="str">
        <f t="shared" si="25"/>
        <v/>
      </c>
      <c r="F264" s="5" t="str">
        <f t="shared" si="26"/>
        <v/>
      </c>
      <c r="G264" s="23"/>
      <c r="H264" s="66"/>
      <c r="I264" s="14"/>
      <c r="J264" s="14"/>
      <c r="K264" s="14"/>
      <c r="L264" s="5" t="str">
        <f t="shared" si="27"/>
        <v/>
      </c>
      <c r="M264" s="5" t="str">
        <f t="shared" si="28"/>
        <v/>
      </c>
      <c r="N264" s="5" t="str">
        <f t="shared" si="29"/>
        <v/>
      </c>
      <c r="O264" s="4"/>
    </row>
    <row r="265" spans="1:15" x14ac:dyDescent="0.25">
      <c r="A265" s="14"/>
      <c r="B265" s="14"/>
      <c r="C265" s="14"/>
      <c r="D265" s="5" t="str">
        <f t="shared" si="24"/>
        <v/>
      </c>
      <c r="E265" s="5" t="str">
        <f t="shared" si="25"/>
        <v/>
      </c>
      <c r="F265" s="5" t="str">
        <f t="shared" si="26"/>
        <v/>
      </c>
      <c r="G265" s="22"/>
      <c r="H265" s="66"/>
      <c r="I265" s="14"/>
      <c r="J265" s="14"/>
      <c r="K265" s="14"/>
      <c r="L265" s="5" t="str">
        <f t="shared" si="27"/>
        <v/>
      </c>
      <c r="M265" s="5" t="str">
        <f t="shared" si="28"/>
        <v/>
      </c>
      <c r="N265" s="5" t="str">
        <f t="shared" si="29"/>
        <v/>
      </c>
      <c r="O265" s="4"/>
    </row>
    <row r="266" spans="1:15" x14ac:dyDescent="0.25">
      <c r="A266" s="14"/>
      <c r="B266" s="14"/>
      <c r="C266" s="14"/>
      <c r="D266" s="5" t="str">
        <f t="shared" si="24"/>
        <v/>
      </c>
      <c r="E266" s="5" t="str">
        <f t="shared" si="25"/>
        <v/>
      </c>
      <c r="F266" s="5" t="str">
        <f t="shared" si="26"/>
        <v/>
      </c>
      <c r="G266" s="23"/>
      <c r="H266" s="66"/>
      <c r="I266" s="14"/>
      <c r="J266" s="14"/>
      <c r="K266" s="14"/>
      <c r="L266" s="5" t="str">
        <f t="shared" si="27"/>
        <v/>
      </c>
      <c r="M266" s="5" t="str">
        <f t="shared" si="28"/>
        <v/>
      </c>
      <c r="N266" s="5" t="str">
        <f t="shared" si="29"/>
        <v/>
      </c>
      <c r="O266" s="4"/>
    </row>
    <row r="267" spans="1:15" x14ac:dyDescent="0.25">
      <c r="A267" s="14"/>
      <c r="B267" s="14"/>
      <c r="C267" s="14"/>
      <c r="D267" s="5" t="str">
        <f t="shared" si="24"/>
        <v/>
      </c>
      <c r="E267" s="5" t="str">
        <f t="shared" si="25"/>
        <v/>
      </c>
      <c r="F267" s="5" t="str">
        <f t="shared" si="26"/>
        <v/>
      </c>
      <c r="G267" s="23"/>
      <c r="H267" s="66"/>
      <c r="I267" s="14"/>
      <c r="J267" s="14"/>
      <c r="K267" s="14"/>
      <c r="L267" s="5" t="str">
        <f t="shared" si="27"/>
        <v/>
      </c>
      <c r="M267" s="5" t="str">
        <f t="shared" si="28"/>
        <v/>
      </c>
      <c r="N267" s="5" t="str">
        <f t="shared" si="29"/>
        <v/>
      </c>
      <c r="O267" s="4"/>
    </row>
    <row r="268" spans="1:15" x14ac:dyDescent="0.25">
      <c r="A268" s="14"/>
      <c r="B268" s="14"/>
      <c r="C268" s="14"/>
      <c r="D268" s="5" t="str">
        <f t="shared" si="24"/>
        <v/>
      </c>
      <c r="E268" s="5" t="str">
        <f t="shared" si="25"/>
        <v/>
      </c>
      <c r="F268" s="5" t="str">
        <f t="shared" si="26"/>
        <v/>
      </c>
      <c r="G268" s="23"/>
      <c r="H268" s="66"/>
      <c r="I268" s="14"/>
      <c r="J268" s="14"/>
      <c r="K268" s="14"/>
      <c r="L268" s="5" t="str">
        <f t="shared" si="27"/>
        <v/>
      </c>
      <c r="M268" s="5" t="str">
        <f t="shared" si="28"/>
        <v/>
      </c>
      <c r="N268" s="5" t="str">
        <f t="shared" si="29"/>
        <v/>
      </c>
      <c r="O268" s="4"/>
    </row>
    <row r="269" spans="1:15" x14ac:dyDescent="0.25">
      <c r="A269" s="14"/>
      <c r="B269" s="14"/>
      <c r="C269" s="14"/>
      <c r="D269" s="5" t="str">
        <f t="shared" si="24"/>
        <v/>
      </c>
      <c r="E269" s="5" t="str">
        <f t="shared" si="25"/>
        <v/>
      </c>
      <c r="F269" s="5" t="str">
        <f t="shared" si="26"/>
        <v/>
      </c>
      <c r="G269" s="22"/>
      <c r="H269" s="66"/>
      <c r="I269" s="14"/>
      <c r="J269" s="14"/>
      <c r="K269" s="14"/>
      <c r="L269" s="5" t="str">
        <f t="shared" si="27"/>
        <v/>
      </c>
      <c r="M269" s="5" t="str">
        <f t="shared" si="28"/>
        <v/>
      </c>
      <c r="N269" s="5" t="str">
        <f t="shared" si="29"/>
        <v/>
      </c>
      <c r="O269" s="4"/>
    </row>
    <row r="270" spans="1:15" x14ac:dyDescent="0.25">
      <c r="A270" s="14"/>
      <c r="B270" s="14"/>
      <c r="C270" s="14"/>
      <c r="D270" s="5" t="str">
        <f t="shared" si="24"/>
        <v/>
      </c>
      <c r="E270" s="5" t="str">
        <f t="shared" si="25"/>
        <v/>
      </c>
      <c r="F270" s="5" t="str">
        <f t="shared" si="26"/>
        <v/>
      </c>
      <c r="G270" s="19"/>
      <c r="H270" s="66"/>
      <c r="I270" s="14"/>
      <c r="J270" s="14"/>
      <c r="K270" s="14"/>
      <c r="L270" s="5" t="str">
        <f t="shared" si="27"/>
        <v/>
      </c>
      <c r="M270" s="5" t="str">
        <f t="shared" si="28"/>
        <v/>
      </c>
      <c r="N270" s="5" t="str">
        <f t="shared" si="29"/>
        <v/>
      </c>
      <c r="O270" s="4"/>
    </row>
    <row r="271" spans="1:15" x14ac:dyDescent="0.25">
      <c r="A271" s="14"/>
      <c r="B271" s="14"/>
      <c r="C271" s="14"/>
      <c r="D271" s="5" t="str">
        <f t="shared" si="24"/>
        <v/>
      </c>
      <c r="E271" s="5" t="str">
        <f t="shared" si="25"/>
        <v/>
      </c>
      <c r="F271" s="5" t="str">
        <f t="shared" si="26"/>
        <v/>
      </c>
      <c r="G271" s="23"/>
      <c r="H271" s="66"/>
      <c r="I271" s="14"/>
      <c r="J271" s="14"/>
      <c r="K271" s="14"/>
      <c r="L271" s="5" t="str">
        <f t="shared" si="27"/>
        <v/>
      </c>
      <c r="M271" s="5" t="str">
        <f t="shared" si="28"/>
        <v/>
      </c>
      <c r="N271" s="5" t="str">
        <f t="shared" si="29"/>
        <v/>
      </c>
      <c r="O271" s="4"/>
    </row>
    <row r="272" spans="1:15" x14ac:dyDescent="0.25">
      <c r="A272" s="14"/>
      <c r="B272" s="14"/>
      <c r="C272" s="14"/>
      <c r="D272" s="5" t="str">
        <f t="shared" si="24"/>
        <v/>
      </c>
      <c r="E272" s="5" t="str">
        <f t="shared" si="25"/>
        <v/>
      </c>
      <c r="F272" s="5" t="str">
        <f t="shared" si="26"/>
        <v/>
      </c>
      <c r="G272" s="23"/>
      <c r="H272" s="66"/>
      <c r="I272" s="14"/>
      <c r="J272" s="14"/>
      <c r="K272" s="14"/>
      <c r="L272" s="5" t="str">
        <f t="shared" si="27"/>
        <v/>
      </c>
      <c r="M272" s="5" t="str">
        <f t="shared" si="28"/>
        <v/>
      </c>
      <c r="N272" s="5" t="str">
        <f t="shared" si="29"/>
        <v/>
      </c>
      <c r="O272" s="4"/>
    </row>
    <row r="273" spans="1:15" x14ac:dyDescent="0.25">
      <c r="A273" s="14"/>
      <c r="B273" s="14"/>
      <c r="C273" s="14"/>
      <c r="D273" s="5" t="str">
        <f t="shared" si="24"/>
        <v/>
      </c>
      <c r="E273" s="5" t="str">
        <f t="shared" si="25"/>
        <v/>
      </c>
      <c r="F273" s="5" t="str">
        <f t="shared" si="26"/>
        <v/>
      </c>
      <c r="G273" s="23"/>
      <c r="H273" s="66"/>
      <c r="I273" s="14"/>
      <c r="J273" s="14"/>
      <c r="K273" s="14"/>
      <c r="L273" s="5" t="str">
        <f t="shared" si="27"/>
        <v/>
      </c>
      <c r="M273" s="5" t="str">
        <f t="shared" si="28"/>
        <v/>
      </c>
      <c r="N273" s="5" t="str">
        <f t="shared" si="29"/>
        <v/>
      </c>
      <c r="O273" s="4"/>
    </row>
    <row r="274" spans="1:15" x14ac:dyDescent="0.25">
      <c r="A274" s="14"/>
      <c r="B274" s="14"/>
      <c r="C274" s="14"/>
      <c r="D274" s="5" t="str">
        <f t="shared" si="24"/>
        <v/>
      </c>
      <c r="E274" s="5" t="str">
        <f t="shared" si="25"/>
        <v/>
      </c>
      <c r="F274" s="5" t="str">
        <f t="shared" si="26"/>
        <v/>
      </c>
      <c r="G274" s="19"/>
      <c r="H274" s="66"/>
      <c r="I274" s="14"/>
      <c r="J274" s="14"/>
      <c r="K274" s="14"/>
      <c r="L274" s="5" t="str">
        <f t="shared" si="27"/>
        <v/>
      </c>
      <c r="M274" s="5" t="str">
        <f t="shared" si="28"/>
        <v/>
      </c>
      <c r="N274" s="5" t="str">
        <f t="shared" si="29"/>
        <v/>
      </c>
      <c r="O274" s="4"/>
    </row>
    <row r="275" spans="1:15" x14ac:dyDescent="0.25">
      <c r="A275" s="14"/>
      <c r="B275" s="14"/>
      <c r="C275" s="14"/>
      <c r="D275" s="5" t="str">
        <f t="shared" si="24"/>
        <v/>
      </c>
      <c r="E275" s="5" t="str">
        <f t="shared" si="25"/>
        <v/>
      </c>
      <c r="F275" s="5" t="str">
        <f t="shared" si="26"/>
        <v/>
      </c>
      <c r="G275" s="20"/>
      <c r="H275" s="66"/>
      <c r="I275" s="14"/>
      <c r="J275" s="14"/>
      <c r="K275" s="14"/>
      <c r="L275" s="5" t="str">
        <f t="shared" si="27"/>
        <v/>
      </c>
      <c r="M275" s="5" t="str">
        <f t="shared" si="28"/>
        <v/>
      </c>
      <c r="N275" s="5" t="str">
        <f t="shared" si="29"/>
        <v/>
      </c>
      <c r="O275" s="4"/>
    </row>
    <row r="276" spans="1:15" x14ac:dyDescent="0.25">
      <c r="A276" s="14"/>
      <c r="B276" s="14"/>
      <c r="C276" s="14"/>
      <c r="D276" s="5" t="str">
        <f t="shared" si="24"/>
        <v/>
      </c>
      <c r="E276" s="5" t="str">
        <f t="shared" si="25"/>
        <v/>
      </c>
      <c r="F276" s="5" t="str">
        <f t="shared" si="26"/>
        <v/>
      </c>
      <c r="G276" s="23"/>
      <c r="H276" s="66"/>
      <c r="I276" s="14"/>
      <c r="J276" s="14"/>
      <c r="K276" s="14"/>
      <c r="L276" s="5" t="str">
        <f t="shared" si="27"/>
        <v/>
      </c>
      <c r="M276" s="5" t="str">
        <f t="shared" si="28"/>
        <v/>
      </c>
      <c r="N276" s="5" t="str">
        <f t="shared" si="29"/>
        <v/>
      </c>
      <c r="O276" s="4"/>
    </row>
    <row r="277" spans="1:15" x14ac:dyDescent="0.25">
      <c r="A277" s="14"/>
      <c r="B277" s="14"/>
      <c r="C277" s="14"/>
      <c r="D277" s="5" t="str">
        <f t="shared" si="24"/>
        <v/>
      </c>
      <c r="E277" s="5" t="str">
        <f t="shared" si="25"/>
        <v/>
      </c>
      <c r="F277" s="5" t="str">
        <f t="shared" si="26"/>
        <v/>
      </c>
      <c r="G277" s="22"/>
      <c r="H277" s="66"/>
      <c r="I277" s="14"/>
      <c r="J277" s="14"/>
      <c r="K277" s="14"/>
      <c r="L277" s="5" t="str">
        <f t="shared" si="27"/>
        <v/>
      </c>
      <c r="M277" s="5" t="str">
        <f t="shared" si="28"/>
        <v/>
      </c>
      <c r="N277" s="5" t="str">
        <f t="shared" si="29"/>
        <v/>
      </c>
      <c r="O277" s="4"/>
    </row>
    <row r="278" spans="1:15" x14ac:dyDescent="0.25">
      <c r="A278" s="14"/>
      <c r="B278" s="14"/>
      <c r="C278" s="14"/>
      <c r="D278" s="5" t="str">
        <f t="shared" si="24"/>
        <v/>
      </c>
      <c r="E278" s="5" t="str">
        <f t="shared" si="25"/>
        <v/>
      </c>
      <c r="F278" s="5" t="str">
        <f t="shared" si="26"/>
        <v/>
      </c>
      <c r="G278" s="23"/>
      <c r="H278" s="66"/>
      <c r="I278" s="14"/>
      <c r="J278" s="14"/>
      <c r="K278" s="14"/>
      <c r="L278" s="5" t="str">
        <f t="shared" si="27"/>
        <v/>
      </c>
      <c r="M278" s="5" t="str">
        <f t="shared" si="28"/>
        <v/>
      </c>
      <c r="N278" s="5" t="str">
        <f t="shared" si="29"/>
        <v/>
      </c>
      <c r="O278" s="4"/>
    </row>
    <row r="279" spans="1:15" x14ac:dyDescent="0.25">
      <c r="A279" s="14"/>
      <c r="B279" s="14"/>
      <c r="C279" s="14"/>
      <c r="D279" s="5" t="str">
        <f t="shared" si="24"/>
        <v/>
      </c>
      <c r="E279" s="5" t="str">
        <f t="shared" si="25"/>
        <v/>
      </c>
      <c r="F279" s="5" t="str">
        <f t="shared" si="26"/>
        <v/>
      </c>
      <c r="G279" s="23"/>
      <c r="H279" s="66"/>
      <c r="I279" s="14"/>
      <c r="J279" s="14"/>
      <c r="K279" s="14"/>
      <c r="L279" s="5" t="str">
        <f t="shared" si="27"/>
        <v/>
      </c>
      <c r="M279" s="5" t="str">
        <f t="shared" si="28"/>
        <v/>
      </c>
      <c r="N279" s="5" t="str">
        <f t="shared" si="29"/>
        <v/>
      </c>
      <c r="O279" s="4"/>
    </row>
    <row r="280" spans="1:15" x14ac:dyDescent="0.25">
      <c r="A280" s="14"/>
      <c r="B280" s="14"/>
      <c r="C280" s="14"/>
      <c r="D280" s="5" t="str">
        <f t="shared" si="24"/>
        <v/>
      </c>
      <c r="E280" s="5" t="str">
        <f t="shared" si="25"/>
        <v/>
      </c>
      <c r="F280" s="5" t="str">
        <f t="shared" si="26"/>
        <v/>
      </c>
      <c r="G280" s="22"/>
      <c r="H280" s="66"/>
      <c r="I280" s="14"/>
      <c r="J280" s="14"/>
      <c r="K280" s="14"/>
      <c r="L280" s="5" t="str">
        <f t="shared" si="27"/>
        <v/>
      </c>
      <c r="M280" s="5" t="str">
        <f t="shared" si="28"/>
        <v/>
      </c>
      <c r="N280" s="5" t="str">
        <f t="shared" si="29"/>
        <v/>
      </c>
      <c r="O280" s="4"/>
    </row>
    <row r="281" spans="1:15" x14ac:dyDescent="0.25">
      <c r="A281" s="14"/>
      <c r="B281" s="14"/>
      <c r="C281" s="14"/>
      <c r="D281" s="5" t="str">
        <f t="shared" ref="D281:D344" si="30">IFERROR( IF(A281&lt;&gt;"",((B281-B280)*$X$4/(A281-A280))*$X$5,""),"")</f>
        <v/>
      </c>
      <c r="E281" s="5" t="str">
        <f t="shared" ref="E281:E344" si="31">IFERROR(IF(A281&lt;&gt;"",((C281-C280)*$X$4/(A281-A280))*$X$5,""),"")</f>
        <v/>
      </c>
      <c r="F281" s="5" t="str">
        <f t="shared" ref="F281:F344" si="32">IFERROR(IF(A281&lt;&gt;"",((ACOS((COS(RADIANS(B280))*COS(RADIANS(B281)))+(SIN(RADIANS(B280))*SIN(RADIANS(B281)))*COS(RADIANS(C281-C280)))*180/PI()*($X$4/(A281-A280))))*$X$5,""),"")</f>
        <v/>
      </c>
      <c r="G281" s="23"/>
      <c r="H281" s="66"/>
      <c r="I281" s="14"/>
      <c r="J281" s="14"/>
      <c r="K281" s="14"/>
      <c r="L281" s="5" t="str">
        <f t="shared" si="27"/>
        <v/>
      </c>
      <c r="M281" s="5" t="str">
        <f t="shared" si="28"/>
        <v/>
      </c>
      <c r="N281" s="5" t="str">
        <f t="shared" si="29"/>
        <v/>
      </c>
      <c r="O281" s="4"/>
    </row>
    <row r="282" spans="1:15" x14ac:dyDescent="0.25">
      <c r="A282" s="14"/>
      <c r="B282" s="14"/>
      <c r="C282" s="14"/>
      <c r="D282" s="5" t="str">
        <f t="shared" si="30"/>
        <v/>
      </c>
      <c r="E282" s="5" t="str">
        <f t="shared" si="31"/>
        <v/>
      </c>
      <c r="F282" s="5" t="str">
        <f t="shared" si="32"/>
        <v/>
      </c>
      <c r="G282" s="22"/>
      <c r="H282" s="66"/>
      <c r="I282" s="14"/>
      <c r="J282" s="14"/>
      <c r="K282" s="14"/>
      <c r="L282" s="5" t="str">
        <f t="shared" si="27"/>
        <v/>
      </c>
      <c r="M282" s="5" t="str">
        <f t="shared" si="28"/>
        <v/>
      </c>
      <c r="N282" s="5" t="str">
        <f t="shared" si="29"/>
        <v/>
      </c>
      <c r="O282" s="4"/>
    </row>
    <row r="283" spans="1:15" x14ac:dyDescent="0.25">
      <c r="A283" s="14"/>
      <c r="B283" s="14"/>
      <c r="C283" s="14"/>
      <c r="D283" s="5" t="str">
        <f t="shared" si="30"/>
        <v/>
      </c>
      <c r="E283" s="5" t="str">
        <f t="shared" si="31"/>
        <v/>
      </c>
      <c r="F283" s="5" t="str">
        <f t="shared" si="32"/>
        <v/>
      </c>
      <c r="G283" s="23"/>
      <c r="H283" s="66"/>
      <c r="I283" s="14"/>
      <c r="J283" s="14"/>
      <c r="K283" s="14"/>
      <c r="L283" s="5" t="str">
        <f t="shared" si="27"/>
        <v/>
      </c>
      <c r="M283" s="5" t="str">
        <f t="shared" si="28"/>
        <v/>
      </c>
      <c r="N283" s="5" t="str">
        <f t="shared" si="29"/>
        <v/>
      </c>
      <c r="O283" s="4"/>
    </row>
    <row r="284" spans="1:15" x14ac:dyDescent="0.25">
      <c r="A284" s="14"/>
      <c r="B284" s="14"/>
      <c r="C284" s="14"/>
      <c r="D284" s="5" t="str">
        <f t="shared" si="30"/>
        <v/>
      </c>
      <c r="E284" s="5" t="str">
        <f t="shared" si="31"/>
        <v/>
      </c>
      <c r="F284" s="5" t="str">
        <f t="shared" si="32"/>
        <v/>
      </c>
      <c r="G284" s="23"/>
      <c r="H284" s="66"/>
      <c r="I284" s="14"/>
      <c r="J284" s="14"/>
      <c r="K284" s="14"/>
      <c r="L284" s="5" t="str">
        <f t="shared" si="27"/>
        <v/>
      </c>
      <c r="M284" s="5" t="str">
        <f t="shared" si="28"/>
        <v/>
      </c>
      <c r="N284" s="5" t="str">
        <f t="shared" si="29"/>
        <v/>
      </c>
      <c r="O284" s="4"/>
    </row>
    <row r="285" spans="1:15" x14ac:dyDescent="0.25">
      <c r="A285" s="14"/>
      <c r="B285" s="14"/>
      <c r="C285" s="14"/>
      <c r="D285" s="5" t="str">
        <f t="shared" si="30"/>
        <v/>
      </c>
      <c r="E285" s="5" t="str">
        <f t="shared" si="31"/>
        <v/>
      </c>
      <c r="F285" s="5" t="str">
        <f t="shared" si="32"/>
        <v/>
      </c>
      <c r="G285" s="23"/>
      <c r="H285" s="66"/>
      <c r="I285" s="14"/>
      <c r="J285" s="14"/>
      <c r="K285" s="14"/>
      <c r="L285" s="5" t="str">
        <f t="shared" si="27"/>
        <v/>
      </c>
      <c r="M285" s="5" t="str">
        <f t="shared" si="28"/>
        <v/>
      </c>
      <c r="N285" s="5" t="str">
        <f t="shared" si="29"/>
        <v/>
      </c>
      <c r="O285" s="4"/>
    </row>
    <row r="286" spans="1:15" x14ac:dyDescent="0.25">
      <c r="A286" s="14"/>
      <c r="B286" s="14"/>
      <c r="C286" s="14"/>
      <c r="D286" s="5" t="str">
        <f t="shared" si="30"/>
        <v/>
      </c>
      <c r="E286" s="5" t="str">
        <f t="shared" si="31"/>
        <v/>
      </c>
      <c r="F286" s="5" t="str">
        <f t="shared" si="32"/>
        <v/>
      </c>
      <c r="G286" s="22"/>
      <c r="H286" s="66"/>
      <c r="I286" s="14"/>
      <c r="J286" s="14"/>
      <c r="K286" s="14"/>
      <c r="L286" s="5" t="str">
        <f t="shared" si="27"/>
        <v/>
      </c>
      <c r="M286" s="5" t="str">
        <f t="shared" si="28"/>
        <v/>
      </c>
      <c r="N286" s="5" t="str">
        <f t="shared" si="29"/>
        <v/>
      </c>
      <c r="O286" s="4"/>
    </row>
    <row r="287" spans="1:15" x14ac:dyDescent="0.25">
      <c r="A287" s="14"/>
      <c r="B287" s="14"/>
      <c r="C287" s="14"/>
      <c r="D287" s="5" t="str">
        <f t="shared" si="30"/>
        <v/>
      </c>
      <c r="E287" s="5" t="str">
        <f t="shared" si="31"/>
        <v/>
      </c>
      <c r="F287" s="5" t="str">
        <f t="shared" si="32"/>
        <v/>
      </c>
      <c r="G287" s="20"/>
      <c r="H287" s="66"/>
      <c r="I287" s="14"/>
      <c r="J287" s="14"/>
      <c r="K287" s="14"/>
      <c r="L287" s="5" t="str">
        <f t="shared" si="27"/>
        <v/>
      </c>
      <c r="M287" s="5" t="str">
        <f t="shared" si="28"/>
        <v/>
      </c>
      <c r="N287" s="5" t="str">
        <f t="shared" si="29"/>
        <v/>
      </c>
      <c r="O287" s="4"/>
    </row>
    <row r="288" spans="1:15" x14ac:dyDescent="0.25">
      <c r="A288" s="14"/>
      <c r="B288" s="14"/>
      <c r="C288" s="14"/>
      <c r="D288" s="5" t="str">
        <f t="shared" si="30"/>
        <v/>
      </c>
      <c r="E288" s="5" t="str">
        <f t="shared" si="31"/>
        <v/>
      </c>
      <c r="F288" s="5" t="str">
        <f t="shared" si="32"/>
        <v/>
      </c>
      <c r="G288" s="22"/>
      <c r="H288" s="66"/>
      <c r="I288" s="14"/>
      <c r="J288" s="14"/>
      <c r="K288" s="14"/>
      <c r="L288" s="5" t="str">
        <f t="shared" si="27"/>
        <v/>
      </c>
      <c r="M288" s="5" t="str">
        <f t="shared" si="28"/>
        <v/>
      </c>
      <c r="N288" s="5" t="str">
        <f t="shared" si="29"/>
        <v/>
      </c>
      <c r="O288" s="4"/>
    </row>
    <row r="289" spans="1:15" x14ac:dyDescent="0.25">
      <c r="A289" s="14"/>
      <c r="B289" s="14"/>
      <c r="C289" s="14"/>
      <c r="D289" s="5" t="str">
        <f t="shared" si="30"/>
        <v/>
      </c>
      <c r="E289" s="5" t="str">
        <f t="shared" si="31"/>
        <v/>
      </c>
      <c r="F289" s="5" t="str">
        <f t="shared" si="32"/>
        <v/>
      </c>
      <c r="G289" s="23"/>
      <c r="H289" s="66"/>
      <c r="I289" s="14"/>
      <c r="J289" s="14"/>
      <c r="K289" s="14"/>
      <c r="L289" s="5" t="str">
        <f t="shared" si="27"/>
        <v/>
      </c>
      <c r="M289" s="5" t="str">
        <f t="shared" si="28"/>
        <v/>
      </c>
      <c r="N289" s="5" t="str">
        <f t="shared" si="29"/>
        <v/>
      </c>
      <c r="O289" s="4"/>
    </row>
    <row r="290" spans="1:15" x14ac:dyDescent="0.25">
      <c r="A290" s="14"/>
      <c r="B290" s="14"/>
      <c r="C290" s="14"/>
      <c r="D290" s="5" t="str">
        <f t="shared" si="30"/>
        <v/>
      </c>
      <c r="E290" s="5" t="str">
        <f t="shared" si="31"/>
        <v/>
      </c>
      <c r="F290" s="5" t="str">
        <f t="shared" si="32"/>
        <v/>
      </c>
      <c r="G290" s="23"/>
      <c r="H290" s="66"/>
      <c r="I290" s="14"/>
      <c r="J290" s="14"/>
      <c r="K290" s="14"/>
      <c r="L290" s="5" t="str">
        <f t="shared" si="27"/>
        <v/>
      </c>
      <c r="M290" s="5" t="str">
        <f t="shared" si="28"/>
        <v/>
      </c>
      <c r="N290" s="5" t="str">
        <f t="shared" si="29"/>
        <v/>
      </c>
      <c r="O290" s="4"/>
    </row>
    <row r="291" spans="1:15" x14ac:dyDescent="0.25">
      <c r="A291" s="14"/>
      <c r="B291" s="14"/>
      <c r="C291" s="14"/>
      <c r="D291" s="5" t="str">
        <f t="shared" si="30"/>
        <v/>
      </c>
      <c r="E291" s="5" t="str">
        <f t="shared" si="31"/>
        <v/>
      </c>
      <c r="F291" s="5" t="str">
        <f t="shared" si="32"/>
        <v/>
      </c>
      <c r="G291" s="23"/>
      <c r="H291" s="66"/>
      <c r="I291" s="14"/>
      <c r="J291" s="14"/>
      <c r="K291" s="14"/>
      <c r="L291" s="5" t="str">
        <f t="shared" si="27"/>
        <v/>
      </c>
      <c r="M291" s="5" t="str">
        <f t="shared" si="28"/>
        <v/>
      </c>
      <c r="N291" s="5" t="str">
        <f t="shared" si="29"/>
        <v/>
      </c>
      <c r="O291" s="4"/>
    </row>
    <row r="292" spans="1:15" x14ac:dyDescent="0.25">
      <c r="A292" s="14"/>
      <c r="B292" s="14"/>
      <c r="C292" s="14"/>
      <c r="D292" s="5" t="str">
        <f t="shared" si="30"/>
        <v/>
      </c>
      <c r="E292" s="5" t="str">
        <f t="shared" si="31"/>
        <v/>
      </c>
      <c r="F292" s="5" t="str">
        <f t="shared" si="32"/>
        <v/>
      </c>
      <c r="G292" s="23"/>
      <c r="H292" s="66"/>
      <c r="I292" s="14"/>
      <c r="J292" s="14"/>
      <c r="K292" s="14"/>
      <c r="L292" s="5" t="str">
        <f t="shared" si="27"/>
        <v/>
      </c>
      <c r="M292" s="5" t="str">
        <f t="shared" si="28"/>
        <v/>
      </c>
      <c r="N292" s="5" t="str">
        <f t="shared" si="29"/>
        <v/>
      </c>
      <c r="O292" s="4"/>
    </row>
    <row r="293" spans="1:15" x14ac:dyDescent="0.25">
      <c r="A293" s="14"/>
      <c r="B293" s="14"/>
      <c r="C293" s="14"/>
      <c r="D293" s="5" t="str">
        <f t="shared" si="30"/>
        <v/>
      </c>
      <c r="E293" s="5" t="str">
        <f t="shared" si="31"/>
        <v/>
      </c>
      <c r="F293" s="5" t="str">
        <f t="shared" si="32"/>
        <v/>
      </c>
      <c r="G293" s="23"/>
      <c r="H293" s="66"/>
      <c r="I293" s="14"/>
      <c r="J293" s="14"/>
      <c r="K293" s="14"/>
      <c r="L293" s="5" t="str">
        <f t="shared" si="27"/>
        <v/>
      </c>
      <c r="M293" s="5" t="str">
        <f t="shared" si="28"/>
        <v/>
      </c>
      <c r="N293" s="5" t="str">
        <f t="shared" si="29"/>
        <v/>
      </c>
      <c r="O293" s="4"/>
    </row>
    <row r="294" spans="1:15" x14ac:dyDescent="0.25">
      <c r="A294" s="14"/>
      <c r="B294" s="14"/>
      <c r="C294" s="14"/>
      <c r="D294" s="5" t="str">
        <f t="shared" si="30"/>
        <v/>
      </c>
      <c r="E294" s="5" t="str">
        <f t="shared" si="31"/>
        <v/>
      </c>
      <c r="F294" s="5" t="str">
        <f t="shared" si="32"/>
        <v/>
      </c>
      <c r="G294" s="22"/>
      <c r="H294" s="66"/>
      <c r="I294" s="14"/>
      <c r="J294" s="14"/>
      <c r="K294" s="14"/>
      <c r="L294" s="5" t="str">
        <f t="shared" si="27"/>
        <v/>
      </c>
      <c r="M294" s="5" t="str">
        <f t="shared" si="28"/>
        <v/>
      </c>
      <c r="N294" s="5" t="str">
        <f t="shared" si="29"/>
        <v/>
      </c>
      <c r="O294" s="4"/>
    </row>
    <row r="295" spans="1:15" x14ac:dyDescent="0.25">
      <c r="A295" s="14"/>
      <c r="B295" s="14"/>
      <c r="C295" s="14"/>
      <c r="D295" s="5" t="str">
        <f t="shared" si="30"/>
        <v/>
      </c>
      <c r="E295" s="5" t="str">
        <f t="shared" si="31"/>
        <v/>
      </c>
      <c r="F295" s="5" t="str">
        <f t="shared" si="32"/>
        <v/>
      </c>
      <c r="G295" s="19"/>
      <c r="H295" s="66"/>
      <c r="I295" s="14"/>
      <c r="J295" s="14"/>
      <c r="K295" s="14"/>
      <c r="L295" s="5" t="str">
        <f t="shared" si="27"/>
        <v/>
      </c>
      <c r="M295" s="5" t="str">
        <f t="shared" si="28"/>
        <v/>
      </c>
      <c r="N295" s="5" t="str">
        <f t="shared" si="29"/>
        <v/>
      </c>
      <c r="O295" s="4"/>
    </row>
    <row r="296" spans="1:15" x14ac:dyDescent="0.25">
      <c r="A296" s="14"/>
      <c r="B296" s="14"/>
      <c r="C296" s="14"/>
      <c r="D296" s="5" t="str">
        <f t="shared" si="30"/>
        <v/>
      </c>
      <c r="E296" s="5" t="str">
        <f t="shared" si="31"/>
        <v/>
      </c>
      <c r="F296" s="5" t="str">
        <f t="shared" si="32"/>
        <v/>
      </c>
      <c r="G296" s="23"/>
      <c r="H296" s="66"/>
      <c r="I296" s="14"/>
      <c r="J296" s="14"/>
      <c r="K296" s="14"/>
      <c r="L296" s="5" t="str">
        <f t="shared" si="27"/>
        <v/>
      </c>
      <c r="M296" s="5" t="str">
        <f t="shared" si="28"/>
        <v/>
      </c>
      <c r="N296" s="5" t="str">
        <f t="shared" si="29"/>
        <v/>
      </c>
      <c r="O296" s="4"/>
    </row>
    <row r="297" spans="1:15" x14ac:dyDescent="0.25">
      <c r="A297" s="14"/>
      <c r="B297" s="14"/>
      <c r="C297" s="14"/>
      <c r="D297" s="5" t="str">
        <f t="shared" si="30"/>
        <v/>
      </c>
      <c r="E297" s="5" t="str">
        <f t="shared" si="31"/>
        <v/>
      </c>
      <c r="F297" s="5" t="str">
        <f t="shared" si="32"/>
        <v/>
      </c>
      <c r="G297" s="23"/>
      <c r="H297" s="66"/>
      <c r="I297" s="14"/>
      <c r="J297" s="14"/>
      <c r="K297" s="14"/>
      <c r="L297" s="5" t="str">
        <f t="shared" si="27"/>
        <v/>
      </c>
      <c r="M297" s="5" t="str">
        <f t="shared" si="28"/>
        <v/>
      </c>
      <c r="N297" s="5" t="str">
        <f t="shared" si="29"/>
        <v/>
      </c>
      <c r="O297" s="4"/>
    </row>
    <row r="298" spans="1:15" x14ac:dyDescent="0.25">
      <c r="A298" s="14"/>
      <c r="B298" s="14"/>
      <c r="C298" s="14"/>
      <c r="D298" s="5" t="str">
        <f t="shared" si="30"/>
        <v/>
      </c>
      <c r="E298" s="5" t="str">
        <f t="shared" si="31"/>
        <v/>
      </c>
      <c r="F298" s="5" t="str">
        <f t="shared" si="32"/>
        <v/>
      </c>
      <c r="G298" s="23"/>
      <c r="H298" s="66"/>
      <c r="I298" s="14"/>
      <c r="J298" s="14"/>
      <c r="K298" s="14"/>
      <c r="L298" s="5" t="str">
        <f t="shared" si="27"/>
        <v/>
      </c>
      <c r="M298" s="5" t="str">
        <f t="shared" si="28"/>
        <v/>
      </c>
      <c r="N298" s="5" t="str">
        <f t="shared" si="29"/>
        <v/>
      </c>
      <c r="O298" s="4"/>
    </row>
    <row r="299" spans="1:15" x14ac:dyDescent="0.25">
      <c r="A299" s="14"/>
      <c r="B299" s="14"/>
      <c r="C299" s="14"/>
      <c r="D299" s="5" t="str">
        <f t="shared" si="30"/>
        <v/>
      </c>
      <c r="E299" s="5" t="str">
        <f t="shared" si="31"/>
        <v/>
      </c>
      <c r="F299" s="5" t="str">
        <f t="shared" si="32"/>
        <v/>
      </c>
      <c r="G299" s="20"/>
      <c r="H299" s="66"/>
      <c r="I299" s="14"/>
      <c r="J299" s="14"/>
      <c r="K299" s="14"/>
      <c r="L299" s="5" t="str">
        <f t="shared" si="27"/>
        <v/>
      </c>
      <c r="M299" s="5" t="str">
        <f t="shared" si="28"/>
        <v/>
      </c>
      <c r="N299" s="5" t="str">
        <f t="shared" si="29"/>
        <v/>
      </c>
      <c r="O299" s="4"/>
    </row>
    <row r="300" spans="1:15" x14ac:dyDescent="0.25">
      <c r="A300" s="14"/>
      <c r="B300" s="14"/>
      <c r="C300" s="14"/>
      <c r="D300" s="5" t="str">
        <f t="shared" si="30"/>
        <v/>
      </c>
      <c r="E300" s="5" t="str">
        <f t="shared" si="31"/>
        <v/>
      </c>
      <c r="F300" s="5" t="str">
        <f t="shared" si="32"/>
        <v/>
      </c>
      <c r="G300" s="20"/>
      <c r="H300" s="66"/>
      <c r="I300" s="14"/>
      <c r="J300" s="14"/>
      <c r="K300" s="14"/>
      <c r="L300" s="5" t="str">
        <f t="shared" si="27"/>
        <v/>
      </c>
      <c r="M300" s="5" t="str">
        <f t="shared" si="28"/>
        <v/>
      </c>
      <c r="N300" s="5" t="str">
        <f t="shared" si="29"/>
        <v/>
      </c>
      <c r="O300" s="4"/>
    </row>
    <row r="301" spans="1:15" x14ac:dyDescent="0.25">
      <c r="A301" s="14"/>
      <c r="B301" s="14"/>
      <c r="C301" s="14"/>
      <c r="D301" s="5" t="str">
        <f t="shared" si="30"/>
        <v/>
      </c>
      <c r="E301" s="5" t="str">
        <f t="shared" si="31"/>
        <v/>
      </c>
      <c r="F301" s="5" t="str">
        <f t="shared" si="32"/>
        <v/>
      </c>
      <c r="G301" s="22"/>
      <c r="H301" s="66"/>
      <c r="I301" s="14"/>
      <c r="J301" s="14"/>
      <c r="K301" s="14"/>
      <c r="L301" s="5" t="str">
        <f t="shared" si="27"/>
        <v/>
      </c>
      <c r="M301" s="5" t="str">
        <f t="shared" si="28"/>
        <v/>
      </c>
      <c r="N301" s="5" t="str">
        <f t="shared" si="29"/>
        <v/>
      </c>
      <c r="O301" s="4"/>
    </row>
    <row r="302" spans="1:15" x14ac:dyDescent="0.25">
      <c r="A302" s="14"/>
      <c r="B302" s="14"/>
      <c r="C302" s="14"/>
      <c r="D302" s="5" t="str">
        <f t="shared" si="30"/>
        <v/>
      </c>
      <c r="E302" s="5" t="str">
        <f t="shared" si="31"/>
        <v/>
      </c>
      <c r="F302" s="5" t="str">
        <f t="shared" si="32"/>
        <v/>
      </c>
      <c r="G302" s="23"/>
      <c r="H302" s="66"/>
      <c r="I302" s="14"/>
      <c r="J302" s="14"/>
      <c r="K302" s="14"/>
      <c r="L302" s="5" t="str">
        <f t="shared" si="27"/>
        <v/>
      </c>
      <c r="M302" s="5" t="str">
        <f t="shared" si="28"/>
        <v/>
      </c>
      <c r="N302" s="5" t="str">
        <f t="shared" si="29"/>
        <v/>
      </c>
      <c r="O302" s="4"/>
    </row>
    <row r="303" spans="1:15" x14ac:dyDescent="0.25">
      <c r="A303" s="14"/>
      <c r="B303" s="14"/>
      <c r="C303" s="14"/>
      <c r="D303" s="5" t="str">
        <f t="shared" si="30"/>
        <v/>
      </c>
      <c r="E303" s="5" t="str">
        <f t="shared" si="31"/>
        <v/>
      </c>
      <c r="F303" s="5" t="str">
        <f t="shared" si="32"/>
        <v/>
      </c>
      <c r="G303" s="19"/>
      <c r="H303" s="66"/>
      <c r="I303" s="14"/>
      <c r="J303" s="14"/>
      <c r="K303" s="14"/>
      <c r="L303" s="5" t="str">
        <f t="shared" si="27"/>
        <v/>
      </c>
      <c r="M303" s="5" t="str">
        <f t="shared" si="28"/>
        <v/>
      </c>
      <c r="N303" s="5" t="str">
        <f t="shared" si="29"/>
        <v/>
      </c>
      <c r="O303" s="4"/>
    </row>
    <row r="304" spans="1:15" x14ac:dyDescent="0.25">
      <c r="A304" s="14"/>
      <c r="B304" s="14"/>
      <c r="C304" s="14"/>
      <c r="D304" s="5" t="str">
        <f t="shared" si="30"/>
        <v/>
      </c>
      <c r="E304" s="5" t="str">
        <f t="shared" si="31"/>
        <v/>
      </c>
      <c r="F304" s="5" t="str">
        <f t="shared" si="32"/>
        <v/>
      </c>
      <c r="G304" s="23"/>
      <c r="H304" s="66"/>
      <c r="I304" s="14"/>
      <c r="J304" s="14"/>
      <c r="K304" s="14"/>
      <c r="L304" s="5" t="str">
        <f t="shared" si="27"/>
        <v/>
      </c>
      <c r="M304" s="5" t="str">
        <f t="shared" si="28"/>
        <v/>
      </c>
      <c r="N304" s="5" t="str">
        <f t="shared" si="29"/>
        <v/>
      </c>
      <c r="O304" s="4"/>
    </row>
    <row r="305" spans="1:15" x14ac:dyDescent="0.25">
      <c r="A305" s="14"/>
      <c r="B305" s="14"/>
      <c r="C305" s="14"/>
      <c r="D305" s="5" t="str">
        <f t="shared" si="30"/>
        <v/>
      </c>
      <c r="E305" s="5" t="str">
        <f t="shared" si="31"/>
        <v/>
      </c>
      <c r="F305" s="5" t="str">
        <f t="shared" si="32"/>
        <v/>
      </c>
      <c r="G305" s="23"/>
      <c r="H305" s="66"/>
      <c r="I305" s="14"/>
      <c r="J305" s="14"/>
      <c r="K305" s="14"/>
      <c r="L305" s="5" t="str">
        <f t="shared" si="27"/>
        <v/>
      </c>
      <c r="M305" s="5" t="str">
        <f t="shared" si="28"/>
        <v/>
      </c>
      <c r="N305" s="5" t="str">
        <f t="shared" si="29"/>
        <v/>
      </c>
      <c r="O305" s="4"/>
    </row>
    <row r="306" spans="1:15" x14ac:dyDescent="0.25">
      <c r="A306" s="14"/>
      <c r="B306" s="14"/>
      <c r="C306" s="14"/>
      <c r="D306" s="5" t="str">
        <f t="shared" si="30"/>
        <v/>
      </c>
      <c r="E306" s="5" t="str">
        <f t="shared" si="31"/>
        <v/>
      </c>
      <c r="F306" s="5" t="str">
        <f t="shared" si="32"/>
        <v/>
      </c>
      <c r="G306" s="23"/>
      <c r="H306" s="66"/>
      <c r="I306" s="14"/>
      <c r="J306" s="14"/>
      <c r="K306" s="14"/>
      <c r="L306" s="5" t="str">
        <f t="shared" si="27"/>
        <v/>
      </c>
      <c r="M306" s="5" t="str">
        <f t="shared" si="28"/>
        <v/>
      </c>
      <c r="N306" s="5" t="str">
        <f t="shared" si="29"/>
        <v/>
      </c>
      <c r="O306" s="4"/>
    </row>
    <row r="307" spans="1:15" x14ac:dyDescent="0.25">
      <c r="A307" s="14"/>
      <c r="B307" s="14"/>
      <c r="C307" s="14"/>
      <c r="D307" s="5" t="str">
        <f t="shared" si="30"/>
        <v/>
      </c>
      <c r="E307" s="5" t="str">
        <f t="shared" si="31"/>
        <v/>
      </c>
      <c r="F307" s="5" t="str">
        <f t="shared" si="32"/>
        <v/>
      </c>
      <c r="G307" s="23"/>
      <c r="H307" s="66"/>
      <c r="I307" s="14"/>
      <c r="J307" s="14"/>
      <c r="K307" s="14"/>
      <c r="L307" s="5" t="str">
        <f t="shared" si="27"/>
        <v/>
      </c>
      <c r="M307" s="5" t="str">
        <f t="shared" si="28"/>
        <v/>
      </c>
      <c r="N307" s="5" t="str">
        <f t="shared" si="29"/>
        <v/>
      </c>
      <c r="O307" s="4"/>
    </row>
    <row r="308" spans="1:15" x14ac:dyDescent="0.25">
      <c r="A308" s="14"/>
      <c r="B308" s="14"/>
      <c r="C308" s="14"/>
      <c r="D308" s="5" t="str">
        <f t="shared" si="30"/>
        <v/>
      </c>
      <c r="E308" s="5" t="str">
        <f t="shared" si="31"/>
        <v/>
      </c>
      <c r="F308" s="5" t="str">
        <f t="shared" si="32"/>
        <v/>
      </c>
      <c r="G308" s="22"/>
      <c r="H308" s="66"/>
      <c r="I308" s="14"/>
      <c r="J308" s="14"/>
      <c r="K308" s="14"/>
      <c r="L308" s="5" t="str">
        <f t="shared" si="27"/>
        <v/>
      </c>
      <c r="M308" s="5" t="str">
        <f t="shared" si="28"/>
        <v/>
      </c>
      <c r="N308" s="5" t="str">
        <f t="shared" si="29"/>
        <v/>
      </c>
      <c r="O308" s="4"/>
    </row>
    <row r="309" spans="1:15" x14ac:dyDescent="0.25">
      <c r="A309" s="14"/>
      <c r="B309" s="14"/>
      <c r="C309" s="14"/>
      <c r="D309" s="5" t="str">
        <f t="shared" si="30"/>
        <v/>
      </c>
      <c r="E309" s="5" t="str">
        <f t="shared" si="31"/>
        <v/>
      </c>
      <c r="F309" s="5" t="str">
        <f t="shared" si="32"/>
        <v/>
      </c>
      <c r="G309" s="23"/>
      <c r="H309" s="66"/>
      <c r="I309" s="14"/>
      <c r="J309" s="14"/>
      <c r="K309" s="14"/>
      <c r="L309" s="5" t="str">
        <f t="shared" si="27"/>
        <v/>
      </c>
      <c r="M309" s="5" t="str">
        <f t="shared" si="28"/>
        <v/>
      </c>
      <c r="N309" s="5" t="str">
        <f t="shared" si="29"/>
        <v/>
      </c>
      <c r="O309" s="4"/>
    </row>
    <row r="310" spans="1:15" x14ac:dyDescent="0.25">
      <c r="A310" s="14"/>
      <c r="B310" s="14"/>
      <c r="C310" s="14"/>
      <c r="D310" s="5" t="str">
        <f t="shared" si="30"/>
        <v/>
      </c>
      <c r="E310" s="5" t="str">
        <f t="shared" si="31"/>
        <v/>
      </c>
      <c r="F310" s="5" t="str">
        <f t="shared" si="32"/>
        <v/>
      </c>
      <c r="G310" s="23"/>
      <c r="H310" s="66"/>
      <c r="I310" s="14"/>
      <c r="J310" s="14"/>
      <c r="K310" s="14"/>
      <c r="L310" s="5" t="str">
        <f t="shared" si="27"/>
        <v/>
      </c>
      <c r="M310" s="5" t="str">
        <f t="shared" si="28"/>
        <v/>
      </c>
      <c r="N310" s="5" t="str">
        <f t="shared" si="29"/>
        <v/>
      </c>
      <c r="O310" s="4"/>
    </row>
    <row r="311" spans="1:15" x14ac:dyDescent="0.25">
      <c r="A311" s="14"/>
      <c r="B311" s="14"/>
      <c r="C311" s="14"/>
      <c r="D311" s="5" t="str">
        <f t="shared" si="30"/>
        <v/>
      </c>
      <c r="E311" s="5" t="str">
        <f t="shared" si="31"/>
        <v/>
      </c>
      <c r="F311" s="5" t="str">
        <f t="shared" si="32"/>
        <v/>
      </c>
      <c r="G311" s="22"/>
      <c r="H311" s="66"/>
      <c r="I311" s="14"/>
      <c r="J311" s="14"/>
      <c r="K311" s="14"/>
      <c r="L311" s="5" t="str">
        <f t="shared" si="27"/>
        <v/>
      </c>
      <c r="M311" s="5" t="str">
        <f t="shared" si="28"/>
        <v/>
      </c>
      <c r="N311" s="5" t="str">
        <f t="shared" si="29"/>
        <v/>
      </c>
      <c r="O311" s="4"/>
    </row>
    <row r="312" spans="1:15" x14ac:dyDescent="0.25">
      <c r="A312" s="14"/>
      <c r="B312" s="14"/>
      <c r="C312" s="14"/>
      <c r="D312" s="5" t="str">
        <f t="shared" si="30"/>
        <v/>
      </c>
      <c r="E312" s="5" t="str">
        <f t="shared" si="31"/>
        <v/>
      </c>
      <c r="F312" s="5" t="str">
        <f t="shared" si="32"/>
        <v/>
      </c>
      <c r="G312" s="23"/>
      <c r="H312" s="66"/>
      <c r="I312" s="14"/>
      <c r="J312" s="14"/>
      <c r="K312" s="14"/>
      <c r="L312" s="5" t="str">
        <f t="shared" si="27"/>
        <v/>
      </c>
      <c r="M312" s="5" t="str">
        <f t="shared" si="28"/>
        <v/>
      </c>
      <c r="N312" s="5" t="str">
        <f t="shared" si="29"/>
        <v/>
      </c>
      <c r="O312" s="4"/>
    </row>
    <row r="313" spans="1:15" x14ac:dyDescent="0.25">
      <c r="A313" s="14"/>
      <c r="B313" s="14"/>
      <c r="C313" s="14"/>
      <c r="D313" s="5" t="str">
        <f t="shared" si="30"/>
        <v/>
      </c>
      <c r="E313" s="5" t="str">
        <f t="shared" si="31"/>
        <v/>
      </c>
      <c r="F313" s="5" t="str">
        <f t="shared" si="32"/>
        <v/>
      </c>
      <c r="G313" s="22"/>
      <c r="H313" s="66"/>
      <c r="I313" s="14"/>
      <c r="J313" s="14"/>
      <c r="K313" s="14"/>
      <c r="L313" s="5" t="str">
        <f t="shared" si="27"/>
        <v/>
      </c>
      <c r="M313" s="5" t="str">
        <f t="shared" si="28"/>
        <v/>
      </c>
      <c r="N313" s="5" t="str">
        <f t="shared" si="29"/>
        <v/>
      </c>
      <c r="O313" s="4"/>
    </row>
    <row r="314" spans="1:15" x14ac:dyDescent="0.25">
      <c r="A314" s="14"/>
      <c r="B314" s="14"/>
      <c r="C314" s="14"/>
      <c r="D314" s="5" t="str">
        <f t="shared" si="30"/>
        <v/>
      </c>
      <c r="E314" s="5" t="str">
        <f t="shared" si="31"/>
        <v/>
      </c>
      <c r="F314" s="5" t="str">
        <f t="shared" si="32"/>
        <v/>
      </c>
      <c r="G314" s="23"/>
      <c r="H314" s="66"/>
      <c r="I314" s="14"/>
      <c r="J314" s="14"/>
      <c r="K314" s="14"/>
      <c r="L314" s="5" t="str">
        <f t="shared" si="27"/>
        <v/>
      </c>
      <c r="M314" s="5" t="str">
        <f t="shared" si="28"/>
        <v/>
      </c>
      <c r="N314" s="5" t="str">
        <f t="shared" si="29"/>
        <v/>
      </c>
      <c r="O314" s="4"/>
    </row>
    <row r="315" spans="1:15" x14ac:dyDescent="0.25">
      <c r="A315" s="14"/>
      <c r="B315" s="14"/>
      <c r="C315" s="14"/>
      <c r="D315" s="5" t="str">
        <f t="shared" si="30"/>
        <v/>
      </c>
      <c r="E315" s="5" t="str">
        <f t="shared" si="31"/>
        <v/>
      </c>
      <c r="F315" s="5" t="str">
        <f t="shared" si="32"/>
        <v/>
      </c>
      <c r="G315" s="23"/>
      <c r="H315" s="66"/>
      <c r="I315" s="14"/>
      <c r="J315" s="14"/>
      <c r="K315" s="14"/>
      <c r="L315" s="5" t="str">
        <f t="shared" si="27"/>
        <v/>
      </c>
      <c r="M315" s="5" t="str">
        <f t="shared" si="28"/>
        <v/>
      </c>
      <c r="N315" s="5" t="str">
        <f t="shared" si="29"/>
        <v/>
      </c>
      <c r="O315" s="4"/>
    </row>
    <row r="316" spans="1:15" x14ac:dyDescent="0.25">
      <c r="A316" s="14"/>
      <c r="B316" s="14"/>
      <c r="C316" s="14"/>
      <c r="D316" s="5" t="str">
        <f t="shared" si="30"/>
        <v/>
      </c>
      <c r="E316" s="5" t="str">
        <f t="shared" si="31"/>
        <v/>
      </c>
      <c r="F316" s="5" t="str">
        <f t="shared" si="32"/>
        <v/>
      </c>
      <c r="G316" s="23"/>
      <c r="H316" s="66"/>
      <c r="I316" s="14"/>
      <c r="J316" s="14"/>
      <c r="K316" s="14"/>
      <c r="L316" s="5" t="str">
        <f t="shared" si="27"/>
        <v/>
      </c>
      <c r="M316" s="5" t="str">
        <f t="shared" si="28"/>
        <v/>
      </c>
      <c r="N316" s="5" t="str">
        <f t="shared" si="29"/>
        <v/>
      </c>
      <c r="O316" s="4"/>
    </row>
    <row r="317" spans="1:15" x14ac:dyDescent="0.25">
      <c r="A317" s="14"/>
      <c r="B317" s="14"/>
      <c r="C317" s="14"/>
      <c r="D317" s="5" t="str">
        <f t="shared" si="30"/>
        <v/>
      </c>
      <c r="E317" s="5" t="str">
        <f t="shared" si="31"/>
        <v/>
      </c>
      <c r="F317" s="5" t="str">
        <f t="shared" si="32"/>
        <v/>
      </c>
      <c r="G317" s="19"/>
      <c r="H317" s="66"/>
      <c r="I317" s="14"/>
      <c r="J317" s="14"/>
      <c r="K317" s="14"/>
      <c r="L317" s="5" t="str">
        <f t="shared" si="27"/>
        <v/>
      </c>
      <c r="M317" s="5" t="str">
        <f t="shared" si="28"/>
        <v/>
      </c>
      <c r="N317" s="5" t="str">
        <f t="shared" si="29"/>
        <v/>
      </c>
      <c r="O317" s="4"/>
    </row>
    <row r="318" spans="1:15" x14ac:dyDescent="0.25">
      <c r="A318" s="14"/>
      <c r="B318" s="14"/>
      <c r="C318" s="14"/>
      <c r="D318" s="5" t="str">
        <f t="shared" si="30"/>
        <v/>
      </c>
      <c r="E318" s="5" t="str">
        <f t="shared" si="31"/>
        <v/>
      </c>
      <c r="F318" s="5" t="str">
        <f t="shared" si="32"/>
        <v/>
      </c>
      <c r="G318" s="23"/>
      <c r="H318" s="66"/>
      <c r="I318" s="14"/>
      <c r="J318" s="14"/>
      <c r="K318" s="14"/>
      <c r="L318" s="5" t="str">
        <f t="shared" si="27"/>
        <v/>
      </c>
      <c r="M318" s="5" t="str">
        <f t="shared" si="28"/>
        <v/>
      </c>
      <c r="N318" s="5" t="str">
        <f t="shared" si="29"/>
        <v/>
      </c>
      <c r="O318" s="4"/>
    </row>
    <row r="319" spans="1:15" x14ac:dyDescent="0.25">
      <c r="A319" s="14"/>
      <c r="B319" s="14"/>
      <c r="C319" s="14"/>
      <c r="D319" s="5" t="str">
        <f t="shared" si="30"/>
        <v/>
      </c>
      <c r="E319" s="5" t="str">
        <f t="shared" si="31"/>
        <v/>
      </c>
      <c r="F319" s="5" t="str">
        <f t="shared" si="32"/>
        <v/>
      </c>
      <c r="G319" s="19"/>
      <c r="H319" s="66"/>
      <c r="I319" s="14"/>
      <c r="J319" s="14"/>
      <c r="K319" s="14"/>
      <c r="L319" s="5" t="str">
        <f t="shared" si="27"/>
        <v/>
      </c>
      <c r="M319" s="5" t="str">
        <f t="shared" si="28"/>
        <v/>
      </c>
      <c r="N319" s="5" t="str">
        <f t="shared" si="29"/>
        <v/>
      </c>
      <c r="O319" s="4"/>
    </row>
    <row r="320" spans="1:15" x14ac:dyDescent="0.25">
      <c r="A320" s="14"/>
      <c r="B320" s="14"/>
      <c r="C320" s="14"/>
      <c r="D320" s="5" t="str">
        <f t="shared" si="30"/>
        <v/>
      </c>
      <c r="E320" s="5" t="str">
        <f t="shared" si="31"/>
        <v/>
      </c>
      <c r="F320" s="5" t="str">
        <f t="shared" si="32"/>
        <v/>
      </c>
      <c r="G320" s="23"/>
      <c r="H320" s="66"/>
      <c r="I320" s="14"/>
      <c r="J320" s="14"/>
      <c r="K320" s="14"/>
      <c r="L320" s="5" t="str">
        <f t="shared" si="27"/>
        <v/>
      </c>
      <c r="M320" s="5" t="str">
        <f t="shared" si="28"/>
        <v/>
      </c>
      <c r="N320" s="5" t="str">
        <f t="shared" si="29"/>
        <v/>
      </c>
      <c r="O320" s="4"/>
    </row>
    <row r="321" spans="1:15" x14ac:dyDescent="0.25">
      <c r="A321" s="14"/>
      <c r="B321" s="14"/>
      <c r="C321" s="14"/>
      <c r="D321" s="5" t="str">
        <f t="shared" si="30"/>
        <v/>
      </c>
      <c r="E321" s="5" t="str">
        <f t="shared" si="31"/>
        <v/>
      </c>
      <c r="F321" s="5" t="str">
        <f t="shared" si="32"/>
        <v/>
      </c>
      <c r="G321" s="23"/>
      <c r="H321" s="66"/>
      <c r="I321" s="14"/>
      <c r="J321" s="14"/>
      <c r="K321" s="14"/>
      <c r="L321" s="5" t="str">
        <f t="shared" si="27"/>
        <v/>
      </c>
      <c r="M321" s="5" t="str">
        <f t="shared" si="28"/>
        <v/>
      </c>
      <c r="N321" s="5" t="str">
        <f t="shared" si="29"/>
        <v/>
      </c>
      <c r="O321" s="4"/>
    </row>
    <row r="322" spans="1:15" x14ac:dyDescent="0.25">
      <c r="A322" s="14"/>
      <c r="B322" s="14"/>
      <c r="C322" s="14"/>
      <c r="D322" s="5" t="str">
        <f t="shared" si="30"/>
        <v/>
      </c>
      <c r="E322" s="5" t="str">
        <f t="shared" si="31"/>
        <v/>
      </c>
      <c r="F322" s="5" t="str">
        <f t="shared" si="32"/>
        <v/>
      </c>
      <c r="G322" s="23"/>
      <c r="H322" s="66"/>
      <c r="I322" s="14"/>
      <c r="J322" s="14"/>
      <c r="K322" s="14"/>
      <c r="L322" s="5" t="str">
        <f t="shared" si="27"/>
        <v/>
      </c>
      <c r="M322" s="5" t="str">
        <f t="shared" si="28"/>
        <v/>
      </c>
      <c r="N322" s="5" t="str">
        <f t="shared" si="29"/>
        <v/>
      </c>
      <c r="O322" s="4"/>
    </row>
    <row r="323" spans="1:15" x14ac:dyDescent="0.25">
      <c r="A323" s="14"/>
      <c r="B323" s="14"/>
      <c r="C323" s="14"/>
      <c r="D323" s="5" t="str">
        <f t="shared" si="30"/>
        <v/>
      </c>
      <c r="E323" s="5" t="str">
        <f t="shared" si="31"/>
        <v/>
      </c>
      <c r="F323" s="5" t="str">
        <f t="shared" si="32"/>
        <v/>
      </c>
      <c r="G323" s="23"/>
      <c r="H323" s="66"/>
      <c r="I323" s="14"/>
      <c r="J323" s="14"/>
      <c r="K323" s="14"/>
      <c r="L323" s="5" t="str">
        <f t="shared" si="27"/>
        <v/>
      </c>
      <c r="M323" s="5" t="str">
        <f t="shared" si="28"/>
        <v/>
      </c>
      <c r="N323" s="5" t="str">
        <f t="shared" si="29"/>
        <v/>
      </c>
      <c r="O323" s="4"/>
    </row>
    <row r="324" spans="1:15" x14ac:dyDescent="0.25">
      <c r="A324" s="14"/>
      <c r="B324" s="14"/>
      <c r="C324" s="14"/>
      <c r="D324" s="5" t="str">
        <f t="shared" si="30"/>
        <v/>
      </c>
      <c r="E324" s="5" t="str">
        <f t="shared" si="31"/>
        <v/>
      </c>
      <c r="F324" s="5" t="str">
        <f t="shared" si="32"/>
        <v/>
      </c>
      <c r="G324" s="23"/>
      <c r="H324" s="66"/>
      <c r="I324" s="14"/>
      <c r="J324" s="14"/>
      <c r="K324" s="14"/>
      <c r="L324" s="5" t="str">
        <f t="shared" si="27"/>
        <v/>
      </c>
      <c r="M324" s="5" t="str">
        <f t="shared" si="28"/>
        <v/>
      </c>
      <c r="N324" s="5" t="str">
        <f t="shared" si="29"/>
        <v/>
      </c>
      <c r="O324" s="4"/>
    </row>
    <row r="325" spans="1:15" x14ac:dyDescent="0.25">
      <c r="A325" s="14"/>
      <c r="B325" s="14"/>
      <c r="C325" s="14"/>
      <c r="D325" s="5" t="str">
        <f t="shared" si="30"/>
        <v/>
      </c>
      <c r="E325" s="5" t="str">
        <f t="shared" si="31"/>
        <v/>
      </c>
      <c r="F325" s="5" t="str">
        <f t="shared" si="32"/>
        <v/>
      </c>
      <c r="G325" s="23"/>
      <c r="H325" s="66"/>
      <c r="I325" s="14"/>
      <c r="J325" s="14"/>
      <c r="K325" s="14"/>
      <c r="L325" s="5" t="str">
        <f t="shared" ref="L325:L388" si="33">IFERROR(IF(I325&lt;&gt;"",(((J325-J324)*$X$4/(I325-I324)))*$X$5,""),"")</f>
        <v/>
      </c>
      <c r="M325" s="5" t="str">
        <f t="shared" ref="M325:M388" si="34">IFERROR(IF(I325&lt;&gt;"",(((K325-K324)*$X$4/(I325-I324)))*$X$5,""),"")</f>
        <v/>
      </c>
      <c r="N325" s="5" t="str">
        <f t="shared" ref="N325:N388" si="35">IFERROR(IF(I325&lt;&gt;"",((ACOS((COS(RADIANS(J324))*COS(RADIANS(J325)))+(SIN(RADIANS(J324))*SIN(RADIANS(J325)))*COS(RADIANS(K325-K324)))*180/PI()*($X$4/(I325-I324))))*$X$5,""),"")</f>
        <v/>
      </c>
      <c r="O325" s="4"/>
    </row>
    <row r="326" spans="1:15" x14ac:dyDescent="0.25">
      <c r="A326" s="14"/>
      <c r="B326" s="14"/>
      <c r="C326" s="14"/>
      <c r="D326" s="5" t="str">
        <f t="shared" si="30"/>
        <v/>
      </c>
      <c r="E326" s="5" t="str">
        <f t="shared" si="31"/>
        <v/>
      </c>
      <c r="F326" s="5" t="str">
        <f t="shared" si="32"/>
        <v/>
      </c>
      <c r="G326" s="22"/>
      <c r="H326" s="66"/>
      <c r="I326" s="14"/>
      <c r="J326" s="14"/>
      <c r="K326" s="14"/>
      <c r="L326" s="5" t="str">
        <f t="shared" si="33"/>
        <v/>
      </c>
      <c r="M326" s="5" t="str">
        <f t="shared" si="34"/>
        <v/>
      </c>
      <c r="N326" s="5" t="str">
        <f t="shared" si="35"/>
        <v/>
      </c>
      <c r="O326" s="4"/>
    </row>
    <row r="327" spans="1:15" x14ac:dyDescent="0.25">
      <c r="A327" s="14"/>
      <c r="B327" s="14"/>
      <c r="C327" s="14"/>
      <c r="D327" s="5" t="str">
        <f t="shared" si="30"/>
        <v/>
      </c>
      <c r="E327" s="5" t="str">
        <f t="shared" si="31"/>
        <v/>
      </c>
      <c r="F327" s="5" t="str">
        <f t="shared" si="32"/>
        <v/>
      </c>
      <c r="G327" s="22"/>
      <c r="H327" s="66"/>
      <c r="I327" s="14"/>
      <c r="J327" s="14"/>
      <c r="K327" s="14"/>
      <c r="L327" s="5" t="str">
        <f t="shared" si="33"/>
        <v/>
      </c>
      <c r="M327" s="5" t="str">
        <f t="shared" si="34"/>
        <v/>
      </c>
      <c r="N327" s="5" t="str">
        <f t="shared" si="35"/>
        <v/>
      </c>
      <c r="O327" s="4"/>
    </row>
    <row r="328" spans="1:15" x14ac:dyDescent="0.25">
      <c r="A328" s="14"/>
      <c r="B328" s="14"/>
      <c r="C328" s="14"/>
      <c r="D328" s="5" t="str">
        <f t="shared" si="30"/>
        <v/>
      </c>
      <c r="E328" s="5" t="str">
        <f t="shared" si="31"/>
        <v/>
      </c>
      <c r="F328" s="5" t="str">
        <f t="shared" si="32"/>
        <v/>
      </c>
      <c r="G328" s="23"/>
      <c r="H328" s="66"/>
      <c r="I328" s="14"/>
      <c r="J328" s="14"/>
      <c r="K328" s="14"/>
      <c r="L328" s="5" t="str">
        <f t="shared" si="33"/>
        <v/>
      </c>
      <c r="M328" s="5" t="str">
        <f t="shared" si="34"/>
        <v/>
      </c>
      <c r="N328" s="5" t="str">
        <f t="shared" si="35"/>
        <v/>
      </c>
      <c r="O328" s="4"/>
    </row>
    <row r="329" spans="1:15" x14ac:dyDescent="0.25">
      <c r="A329" s="14"/>
      <c r="B329" s="14"/>
      <c r="C329" s="14"/>
      <c r="D329" s="5" t="str">
        <f t="shared" si="30"/>
        <v/>
      </c>
      <c r="E329" s="5" t="str">
        <f t="shared" si="31"/>
        <v/>
      </c>
      <c r="F329" s="5" t="str">
        <f t="shared" si="32"/>
        <v/>
      </c>
      <c r="G329" s="23"/>
      <c r="H329" s="66"/>
      <c r="I329" s="14"/>
      <c r="J329" s="14"/>
      <c r="K329" s="14"/>
      <c r="L329" s="5" t="str">
        <f t="shared" si="33"/>
        <v/>
      </c>
      <c r="M329" s="5" t="str">
        <f t="shared" si="34"/>
        <v/>
      </c>
      <c r="N329" s="5" t="str">
        <f t="shared" si="35"/>
        <v/>
      </c>
      <c r="O329" s="4"/>
    </row>
    <row r="330" spans="1:15" x14ac:dyDescent="0.25">
      <c r="A330" s="14"/>
      <c r="B330" s="14"/>
      <c r="C330" s="14"/>
      <c r="D330" s="5" t="str">
        <f>IFERROR( IF(A330&lt;&gt;"",((B331-B329)*$X$4/(A331-A329))*$X$5,""),"")</f>
        <v/>
      </c>
      <c r="E330" s="5" t="str">
        <f>IFERROR(IF(A330&lt;&gt;"",((C331-C329)*$X$4/(A331-A329))*$X$5,""),"")</f>
        <v/>
      </c>
      <c r="F330" s="5" t="str">
        <f>IFERROR(IF(A330&lt;&gt;"",((ACOS((COS(RADIANS(B329))*COS(RADIANS(B331)))+(SIN(RADIANS(B329))*SIN(RADIANS(B331)))*COS(RADIANS(C331-C329)))*180/PI()*($X$4/(A331-A329))))*$X$5,""),"")</f>
        <v/>
      </c>
      <c r="G330" s="22"/>
      <c r="H330" s="66"/>
      <c r="I330" s="14"/>
      <c r="J330" s="14"/>
      <c r="K330" s="14"/>
      <c r="L330" s="5" t="str">
        <f t="shared" si="33"/>
        <v/>
      </c>
      <c r="M330" s="5" t="str">
        <f t="shared" si="34"/>
        <v/>
      </c>
      <c r="N330" s="5" t="str">
        <f t="shared" si="35"/>
        <v/>
      </c>
      <c r="O330" s="4"/>
    </row>
    <row r="331" spans="1:15" x14ac:dyDescent="0.25">
      <c r="A331" s="14"/>
      <c r="B331" s="14"/>
      <c r="C331" s="14"/>
      <c r="D331" s="5" t="str">
        <f>IFERROR( IF(A331&lt;&gt;"",((B332-B330)*$X$4/(A332-A330))*$X$5,""),"")</f>
        <v/>
      </c>
      <c r="E331" s="5" t="str">
        <f>IFERROR(IF(A331&lt;&gt;"",((C332-C330)*$X$4/(A332-A330))*$X$5,""),"")</f>
        <v/>
      </c>
      <c r="F331" s="5" t="str">
        <f>IFERROR(IF(A331&lt;&gt;"",((ACOS((COS(RADIANS(B330))*COS(RADIANS(B332)))+(SIN(RADIANS(B330))*SIN(RADIANS(B332)))*COS(RADIANS(C332-C330)))*180/PI()*($X$4/(A332-A330))))*$X$5,""),"")</f>
        <v/>
      </c>
      <c r="G331" s="22"/>
      <c r="H331" s="66"/>
      <c r="I331" s="14"/>
      <c r="J331" s="14"/>
      <c r="K331" s="14"/>
      <c r="L331" s="5" t="str">
        <f t="shared" si="33"/>
        <v/>
      </c>
      <c r="M331" s="5" t="str">
        <f t="shared" si="34"/>
        <v/>
      </c>
      <c r="N331" s="5" t="str">
        <f t="shared" si="35"/>
        <v/>
      </c>
      <c r="O331" s="4"/>
    </row>
    <row r="332" spans="1:15" x14ac:dyDescent="0.25">
      <c r="A332" s="14"/>
      <c r="B332" s="14"/>
      <c r="C332" s="14"/>
      <c r="D332" s="5" t="str">
        <f>IFERROR( IF(A332&lt;&gt;"",((B333-B331)*$X$4/(A333-A331))*$X$5,""),"")</f>
        <v/>
      </c>
      <c r="E332" s="5" t="str">
        <f>IFERROR(IF(A332&lt;&gt;"",((C333-C331)*$X$4/(A333-A331))*$X$5,""),"")</f>
        <v/>
      </c>
      <c r="F332" s="5" t="str">
        <f>IFERROR(IF(A332&lt;&gt;"",((ACOS((COS(RADIANS(B331))*COS(RADIANS(B333)))+(SIN(RADIANS(B331))*SIN(RADIANS(B333)))*COS(RADIANS(C333-C331)))*180/PI()*($X$4/(A333-A331))))*$X$5,""),"")</f>
        <v/>
      </c>
      <c r="G332" s="23"/>
      <c r="H332" s="66"/>
      <c r="I332" s="14"/>
      <c r="J332" s="14"/>
      <c r="K332" s="14"/>
      <c r="L332" s="5" t="str">
        <f t="shared" si="33"/>
        <v/>
      </c>
      <c r="M332" s="5" t="str">
        <f t="shared" si="34"/>
        <v/>
      </c>
      <c r="N332" s="5" t="str">
        <f t="shared" si="35"/>
        <v/>
      </c>
      <c r="O332" s="4"/>
    </row>
    <row r="333" spans="1:15" x14ac:dyDescent="0.25">
      <c r="A333" s="14"/>
      <c r="B333" s="14"/>
      <c r="C333" s="14"/>
      <c r="D333" s="5" t="str">
        <f t="shared" si="30"/>
        <v/>
      </c>
      <c r="E333" s="5" t="str">
        <f t="shared" si="31"/>
        <v/>
      </c>
      <c r="F333" s="5" t="str">
        <f t="shared" si="32"/>
        <v/>
      </c>
      <c r="G333" s="23"/>
      <c r="H333" s="66"/>
      <c r="I333" s="14"/>
      <c r="J333" s="14"/>
      <c r="K333" s="14"/>
      <c r="L333" s="5" t="str">
        <f t="shared" si="33"/>
        <v/>
      </c>
      <c r="M333" s="5" t="str">
        <f t="shared" si="34"/>
        <v/>
      </c>
      <c r="N333" s="5" t="str">
        <f t="shared" si="35"/>
        <v/>
      </c>
      <c r="O333" s="4"/>
    </row>
    <row r="334" spans="1:15" x14ac:dyDescent="0.25">
      <c r="A334" s="14"/>
      <c r="B334" s="14"/>
      <c r="C334" s="14"/>
      <c r="D334" s="5" t="str">
        <f t="shared" si="30"/>
        <v/>
      </c>
      <c r="E334" s="5" t="str">
        <f t="shared" si="31"/>
        <v/>
      </c>
      <c r="F334" s="5" t="str">
        <f t="shared" si="32"/>
        <v/>
      </c>
      <c r="G334" s="23"/>
      <c r="H334" s="66"/>
      <c r="I334" s="14"/>
      <c r="J334" s="14"/>
      <c r="K334" s="14"/>
      <c r="L334" s="5" t="str">
        <f t="shared" si="33"/>
        <v/>
      </c>
      <c r="M334" s="5" t="str">
        <f t="shared" si="34"/>
        <v/>
      </c>
      <c r="N334" s="5" t="str">
        <f t="shared" si="35"/>
        <v/>
      </c>
      <c r="O334" s="4"/>
    </row>
    <row r="335" spans="1:15" x14ac:dyDescent="0.25">
      <c r="A335" s="14"/>
      <c r="B335" s="14"/>
      <c r="C335" s="14"/>
      <c r="D335" s="5" t="str">
        <f t="shared" si="30"/>
        <v/>
      </c>
      <c r="E335" s="5" t="str">
        <f t="shared" si="31"/>
        <v/>
      </c>
      <c r="F335" s="5" t="str">
        <f t="shared" si="32"/>
        <v/>
      </c>
      <c r="G335" s="19"/>
      <c r="H335" s="66"/>
      <c r="I335" s="14"/>
      <c r="J335" s="14"/>
      <c r="K335" s="14"/>
      <c r="L335" s="5" t="str">
        <f t="shared" si="33"/>
        <v/>
      </c>
      <c r="M335" s="5" t="str">
        <f t="shared" si="34"/>
        <v/>
      </c>
      <c r="N335" s="5" t="str">
        <f t="shared" si="35"/>
        <v/>
      </c>
      <c r="O335" s="4"/>
    </row>
    <row r="336" spans="1:15" x14ac:dyDescent="0.25">
      <c r="A336" s="14"/>
      <c r="B336" s="14"/>
      <c r="C336" s="14"/>
      <c r="D336" s="5" t="str">
        <f t="shared" si="30"/>
        <v/>
      </c>
      <c r="E336" s="5" t="str">
        <f t="shared" si="31"/>
        <v/>
      </c>
      <c r="F336" s="5" t="str">
        <f t="shared" si="32"/>
        <v/>
      </c>
      <c r="G336" s="23"/>
      <c r="H336" s="66"/>
      <c r="I336" s="14"/>
      <c r="J336" s="14"/>
      <c r="K336" s="14"/>
      <c r="L336" s="5" t="str">
        <f t="shared" si="33"/>
        <v/>
      </c>
      <c r="M336" s="5" t="str">
        <f t="shared" si="34"/>
        <v/>
      </c>
      <c r="N336" s="5" t="str">
        <f t="shared" si="35"/>
        <v/>
      </c>
      <c r="O336" s="4"/>
    </row>
    <row r="337" spans="1:15" x14ac:dyDescent="0.25">
      <c r="A337" s="14"/>
      <c r="B337" s="14"/>
      <c r="C337" s="14"/>
      <c r="D337" s="5" t="str">
        <f t="shared" si="30"/>
        <v/>
      </c>
      <c r="E337" s="5" t="str">
        <f t="shared" si="31"/>
        <v/>
      </c>
      <c r="F337" s="5" t="str">
        <f t="shared" si="32"/>
        <v/>
      </c>
      <c r="G337" s="22"/>
      <c r="H337" s="66"/>
      <c r="I337" s="14"/>
      <c r="J337" s="14"/>
      <c r="K337" s="14"/>
      <c r="L337" s="5" t="str">
        <f t="shared" si="33"/>
        <v/>
      </c>
      <c r="M337" s="5" t="str">
        <f t="shared" si="34"/>
        <v/>
      </c>
      <c r="N337" s="5" t="str">
        <f t="shared" si="35"/>
        <v/>
      </c>
      <c r="O337" s="4"/>
    </row>
    <row r="338" spans="1:15" x14ac:dyDescent="0.25">
      <c r="A338" s="14"/>
      <c r="B338" s="14"/>
      <c r="C338" s="14"/>
      <c r="D338" s="5" t="str">
        <f t="shared" si="30"/>
        <v/>
      </c>
      <c r="E338" s="5" t="str">
        <f t="shared" si="31"/>
        <v/>
      </c>
      <c r="F338" s="5" t="str">
        <f t="shared" si="32"/>
        <v/>
      </c>
      <c r="G338" s="22"/>
      <c r="H338" s="66"/>
      <c r="I338" s="14"/>
      <c r="J338" s="14"/>
      <c r="K338" s="14"/>
      <c r="L338" s="5" t="str">
        <f t="shared" si="33"/>
        <v/>
      </c>
      <c r="M338" s="5" t="str">
        <f t="shared" si="34"/>
        <v/>
      </c>
      <c r="N338" s="5" t="str">
        <f t="shared" si="35"/>
        <v/>
      </c>
      <c r="O338" s="4"/>
    </row>
    <row r="339" spans="1:15" x14ac:dyDescent="0.25">
      <c r="A339" s="14"/>
      <c r="B339" s="14"/>
      <c r="C339" s="14"/>
      <c r="D339" s="5" t="str">
        <f t="shared" si="30"/>
        <v/>
      </c>
      <c r="E339" s="5" t="str">
        <f t="shared" si="31"/>
        <v/>
      </c>
      <c r="F339" s="5" t="str">
        <f t="shared" si="32"/>
        <v/>
      </c>
      <c r="G339" s="22"/>
      <c r="H339" s="66"/>
      <c r="I339" s="14"/>
      <c r="J339" s="14"/>
      <c r="K339" s="14"/>
      <c r="L339" s="5" t="str">
        <f t="shared" si="33"/>
        <v/>
      </c>
      <c r="M339" s="5" t="str">
        <f t="shared" si="34"/>
        <v/>
      </c>
      <c r="N339" s="5" t="str">
        <f t="shared" si="35"/>
        <v/>
      </c>
      <c r="O339" s="4"/>
    </row>
    <row r="340" spans="1:15" x14ac:dyDescent="0.25">
      <c r="A340" s="14"/>
      <c r="B340" s="14"/>
      <c r="C340" s="14"/>
      <c r="D340" s="5" t="str">
        <f t="shared" si="30"/>
        <v/>
      </c>
      <c r="E340" s="5" t="str">
        <f t="shared" si="31"/>
        <v/>
      </c>
      <c r="F340" s="5" t="str">
        <f t="shared" si="32"/>
        <v/>
      </c>
      <c r="G340" s="23"/>
      <c r="H340" s="66"/>
      <c r="I340" s="14"/>
      <c r="J340" s="14"/>
      <c r="K340" s="14"/>
      <c r="L340" s="5" t="str">
        <f t="shared" si="33"/>
        <v/>
      </c>
      <c r="M340" s="5" t="str">
        <f t="shared" si="34"/>
        <v/>
      </c>
      <c r="N340" s="5" t="str">
        <f t="shared" si="35"/>
        <v/>
      </c>
      <c r="O340" s="4"/>
    </row>
    <row r="341" spans="1:15" x14ac:dyDescent="0.25">
      <c r="A341" s="14"/>
      <c r="B341" s="14"/>
      <c r="C341" s="14"/>
      <c r="D341" s="5" t="str">
        <f t="shared" si="30"/>
        <v/>
      </c>
      <c r="E341" s="5" t="str">
        <f t="shared" si="31"/>
        <v/>
      </c>
      <c r="F341" s="5" t="str">
        <f t="shared" si="32"/>
        <v/>
      </c>
      <c r="G341" s="23"/>
      <c r="H341" s="66"/>
      <c r="I341" s="14"/>
      <c r="J341" s="14"/>
      <c r="K341" s="14"/>
      <c r="L341" s="5" t="str">
        <f t="shared" si="33"/>
        <v/>
      </c>
      <c r="M341" s="5" t="str">
        <f t="shared" si="34"/>
        <v/>
      </c>
      <c r="N341" s="5" t="str">
        <f t="shared" si="35"/>
        <v/>
      </c>
      <c r="O341" s="4"/>
    </row>
    <row r="342" spans="1:15" x14ac:dyDescent="0.25">
      <c r="A342" s="14"/>
      <c r="B342" s="14"/>
      <c r="C342" s="14"/>
      <c r="D342" s="5" t="str">
        <f t="shared" si="30"/>
        <v/>
      </c>
      <c r="E342" s="5" t="str">
        <f t="shared" si="31"/>
        <v/>
      </c>
      <c r="F342" s="5" t="str">
        <f t="shared" si="32"/>
        <v/>
      </c>
      <c r="G342" s="23"/>
      <c r="H342" s="66"/>
      <c r="I342" s="14"/>
      <c r="J342" s="14"/>
      <c r="K342" s="14"/>
      <c r="L342" s="5" t="str">
        <f t="shared" si="33"/>
        <v/>
      </c>
      <c r="M342" s="5" t="str">
        <f t="shared" si="34"/>
        <v/>
      </c>
      <c r="N342" s="5" t="str">
        <f t="shared" si="35"/>
        <v/>
      </c>
      <c r="O342" s="4"/>
    </row>
    <row r="343" spans="1:15" x14ac:dyDescent="0.25">
      <c r="A343" s="14"/>
      <c r="B343" s="14"/>
      <c r="C343" s="14"/>
      <c r="D343" s="5" t="str">
        <f t="shared" si="30"/>
        <v/>
      </c>
      <c r="E343" s="5" t="str">
        <f t="shared" si="31"/>
        <v/>
      </c>
      <c r="F343" s="5" t="str">
        <f t="shared" si="32"/>
        <v/>
      </c>
      <c r="G343" s="23"/>
      <c r="H343" s="66"/>
      <c r="I343" s="14"/>
      <c r="J343" s="14"/>
      <c r="K343" s="14"/>
      <c r="L343" s="5" t="str">
        <f t="shared" si="33"/>
        <v/>
      </c>
      <c r="M343" s="5" t="str">
        <f t="shared" si="34"/>
        <v/>
      </c>
      <c r="N343" s="5" t="str">
        <f t="shared" si="35"/>
        <v/>
      </c>
      <c r="O343" s="4"/>
    </row>
    <row r="344" spans="1:15" x14ac:dyDescent="0.25">
      <c r="A344" s="14"/>
      <c r="B344" s="14"/>
      <c r="C344" s="14"/>
      <c r="D344" s="5" t="str">
        <f t="shared" si="30"/>
        <v/>
      </c>
      <c r="E344" s="5" t="str">
        <f t="shared" si="31"/>
        <v/>
      </c>
      <c r="F344" s="5" t="str">
        <f t="shared" si="32"/>
        <v/>
      </c>
      <c r="G344" s="23"/>
      <c r="H344" s="66"/>
      <c r="I344" s="14"/>
      <c r="J344" s="14"/>
      <c r="K344" s="14"/>
      <c r="L344" s="5" t="str">
        <f t="shared" si="33"/>
        <v/>
      </c>
      <c r="M344" s="5" t="str">
        <f t="shared" si="34"/>
        <v/>
      </c>
      <c r="N344" s="5" t="str">
        <f t="shared" si="35"/>
        <v/>
      </c>
      <c r="O344" s="4"/>
    </row>
    <row r="345" spans="1:15" x14ac:dyDescent="0.25">
      <c r="A345" s="14"/>
      <c r="B345" s="14"/>
      <c r="C345" s="14"/>
      <c r="D345" s="5" t="str">
        <f t="shared" ref="D345:D408" si="36">IFERROR( IF(A345&lt;&gt;"",((B345-B344)*$X$4/(A345-A344))*$X$5,""),"")</f>
        <v/>
      </c>
      <c r="E345" s="5" t="str">
        <f t="shared" ref="E345:E408" si="37">IFERROR(IF(A345&lt;&gt;"",((C345-C344)*$X$4/(A345-A344))*$X$5,""),"")</f>
        <v/>
      </c>
      <c r="F345" s="5" t="str">
        <f t="shared" ref="F345:F408" si="38">IFERROR(IF(A345&lt;&gt;"",((ACOS((COS(RADIANS(B344))*COS(RADIANS(B345)))+(SIN(RADIANS(B344))*SIN(RADIANS(B345)))*COS(RADIANS(C345-C344)))*180/PI()*($X$4/(A345-A344))))*$X$5,""),"")</f>
        <v/>
      </c>
      <c r="G345" s="23"/>
      <c r="H345" s="66"/>
      <c r="I345" s="14"/>
      <c r="J345" s="14"/>
      <c r="K345" s="14"/>
      <c r="L345" s="5" t="str">
        <f t="shared" si="33"/>
        <v/>
      </c>
      <c r="M345" s="5" t="str">
        <f t="shared" si="34"/>
        <v/>
      </c>
      <c r="N345" s="5" t="str">
        <f t="shared" si="35"/>
        <v/>
      </c>
      <c r="O345" s="4"/>
    </row>
    <row r="346" spans="1:15" x14ac:dyDescent="0.25">
      <c r="A346" s="14"/>
      <c r="B346" s="14"/>
      <c r="C346" s="14"/>
      <c r="D346" s="5" t="str">
        <f t="shared" si="36"/>
        <v/>
      </c>
      <c r="E346" s="5" t="str">
        <f t="shared" si="37"/>
        <v/>
      </c>
      <c r="F346" s="5" t="str">
        <f t="shared" si="38"/>
        <v/>
      </c>
      <c r="G346" s="23"/>
      <c r="H346" s="66"/>
      <c r="I346" s="14"/>
      <c r="J346" s="14"/>
      <c r="K346" s="14"/>
      <c r="L346" s="5" t="str">
        <f t="shared" si="33"/>
        <v/>
      </c>
      <c r="M346" s="5" t="str">
        <f t="shared" si="34"/>
        <v/>
      </c>
      <c r="N346" s="5" t="str">
        <f t="shared" si="35"/>
        <v/>
      </c>
      <c r="O346" s="4"/>
    </row>
    <row r="347" spans="1:15" x14ac:dyDescent="0.25">
      <c r="A347" s="14"/>
      <c r="B347" s="14"/>
      <c r="C347" s="14"/>
      <c r="D347" s="5" t="str">
        <f t="shared" si="36"/>
        <v/>
      </c>
      <c r="E347" s="5" t="str">
        <f t="shared" si="37"/>
        <v/>
      </c>
      <c r="F347" s="5" t="str">
        <f t="shared" si="38"/>
        <v/>
      </c>
      <c r="G347" s="23"/>
      <c r="H347" s="66"/>
      <c r="I347" s="14"/>
      <c r="J347" s="14"/>
      <c r="K347" s="14"/>
      <c r="L347" s="5" t="str">
        <f t="shared" si="33"/>
        <v/>
      </c>
      <c r="M347" s="5" t="str">
        <f t="shared" si="34"/>
        <v/>
      </c>
      <c r="N347" s="5" t="str">
        <f t="shared" si="35"/>
        <v/>
      </c>
      <c r="O347" s="4"/>
    </row>
    <row r="348" spans="1:15" x14ac:dyDescent="0.25">
      <c r="A348" s="14"/>
      <c r="B348" s="14"/>
      <c r="C348" s="14"/>
      <c r="D348" s="5" t="str">
        <f t="shared" si="36"/>
        <v/>
      </c>
      <c r="E348" s="5" t="str">
        <f t="shared" si="37"/>
        <v/>
      </c>
      <c r="F348" s="5" t="str">
        <f t="shared" si="38"/>
        <v/>
      </c>
      <c r="G348" s="23"/>
      <c r="H348" s="66"/>
      <c r="I348" s="14"/>
      <c r="J348" s="14"/>
      <c r="K348" s="14"/>
      <c r="L348" s="5" t="str">
        <f t="shared" si="33"/>
        <v/>
      </c>
      <c r="M348" s="5" t="str">
        <f t="shared" si="34"/>
        <v/>
      </c>
      <c r="N348" s="5" t="str">
        <f t="shared" si="35"/>
        <v/>
      </c>
      <c r="O348" s="4"/>
    </row>
    <row r="349" spans="1:15" x14ac:dyDescent="0.25">
      <c r="A349" s="14"/>
      <c r="B349" s="14"/>
      <c r="C349" s="14"/>
      <c r="D349" s="5" t="str">
        <f t="shared" si="36"/>
        <v/>
      </c>
      <c r="E349" s="5" t="str">
        <f t="shared" si="37"/>
        <v/>
      </c>
      <c r="F349" s="5" t="str">
        <f t="shared" si="38"/>
        <v/>
      </c>
      <c r="G349" s="23"/>
      <c r="H349" s="66"/>
      <c r="I349" s="14"/>
      <c r="J349" s="14"/>
      <c r="K349" s="14"/>
      <c r="L349" s="5" t="str">
        <f t="shared" si="33"/>
        <v/>
      </c>
      <c r="M349" s="5" t="str">
        <f t="shared" si="34"/>
        <v/>
      </c>
      <c r="N349" s="5" t="str">
        <f t="shared" si="35"/>
        <v/>
      </c>
      <c r="O349" s="4"/>
    </row>
    <row r="350" spans="1:15" x14ac:dyDescent="0.25">
      <c r="A350" s="14"/>
      <c r="B350" s="14"/>
      <c r="C350" s="14"/>
      <c r="D350" s="5" t="str">
        <f t="shared" si="36"/>
        <v/>
      </c>
      <c r="E350" s="5" t="str">
        <f t="shared" si="37"/>
        <v/>
      </c>
      <c r="F350" s="5" t="str">
        <f t="shared" si="38"/>
        <v/>
      </c>
      <c r="G350" s="23"/>
      <c r="H350" s="66"/>
      <c r="I350" s="14"/>
      <c r="J350" s="14"/>
      <c r="K350" s="14"/>
      <c r="L350" s="5" t="str">
        <f t="shared" si="33"/>
        <v/>
      </c>
      <c r="M350" s="5" t="str">
        <f t="shared" si="34"/>
        <v/>
      </c>
      <c r="N350" s="5" t="str">
        <f t="shared" si="35"/>
        <v/>
      </c>
      <c r="O350" s="4"/>
    </row>
    <row r="351" spans="1:15" x14ac:dyDescent="0.25">
      <c r="A351" s="14"/>
      <c r="B351" s="14"/>
      <c r="C351" s="14"/>
      <c r="D351" s="5" t="str">
        <f t="shared" si="36"/>
        <v/>
      </c>
      <c r="E351" s="5" t="str">
        <f t="shared" si="37"/>
        <v/>
      </c>
      <c r="F351" s="5" t="str">
        <f t="shared" si="38"/>
        <v/>
      </c>
      <c r="G351" s="20"/>
      <c r="H351" s="66"/>
      <c r="I351" s="14"/>
      <c r="J351" s="14"/>
      <c r="K351" s="14"/>
      <c r="L351" s="5" t="str">
        <f t="shared" si="33"/>
        <v/>
      </c>
      <c r="M351" s="5" t="str">
        <f t="shared" si="34"/>
        <v/>
      </c>
      <c r="N351" s="5" t="str">
        <f t="shared" si="35"/>
        <v/>
      </c>
      <c r="O351" s="4"/>
    </row>
    <row r="352" spans="1:15" x14ac:dyDescent="0.25">
      <c r="A352" s="14"/>
      <c r="B352" s="14"/>
      <c r="C352" s="14"/>
      <c r="D352" s="5" t="str">
        <f t="shared" si="36"/>
        <v/>
      </c>
      <c r="E352" s="5" t="str">
        <f t="shared" si="37"/>
        <v/>
      </c>
      <c r="F352" s="5" t="str">
        <f t="shared" si="38"/>
        <v/>
      </c>
      <c r="G352" s="19"/>
      <c r="H352" s="66"/>
      <c r="I352" s="14"/>
      <c r="J352" s="14"/>
      <c r="K352" s="14"/>
      <c r="L352" s="5" t="str">
        <f t="shared" si="33"/>
        <v/>
      </c>
      <c r="M352" s="5" t="str">
        <f t="shared" si="34"/>
        <v/>
      </c>
      <c r="N352" s="5" t="str">
        <f t="shared" si="35"/>
        <v/>
      </c>
      <c r="O352" s="4"/>
    </row>
    <row r="353" spans="1:15" x14ac:dyDescent="0.25">
      <c r="A353" s="14"/>
      <c r="B353" s="14"/>
      <c r="C353" s="14"/>
      <c r="D353" s="5" t="str">
        <f t="shared" si="36"/>
        <v/>
      </c>
      <c r="E353" s="5" t="str">
        <f t="shared" si="37"/>
        <v/>
      </c>
      <c r="F353" s="5" t="str">
        <f t="shared" si="38"/>
        <v/>
      </c>
      <c r="G353" s="23"/>
      <c r="H353" s="66"/>
      <c r="I353" s="14"/>
      <c r="J353" s="14"/>
      <c r="K353" s="14"/>
      <c r="L353" s="5" t="str">
        <f t="shared" si="33"/>
        <v/>
      </c>
      <c r="M353" s="5" t="str">
        <f t="shared" si="34"/>
        <v/>
      </c>
      <c r="N353" s="5" t="str">
        <f t="shared" si="35"/>
        <v/>
      </c>
      <c r="O353" s="4"/>
    </row>
    <row r="354" spans="1:15" x14ac:dyDescent="0.25">
      <c r="A354" s="14"/>
      <c r="B354" s="14"/>
      <c r="C354" s="14"/>
      <c r="D354" s="5" t="str">
        <f t="shared" si="36"/>
        <v/>
      </c>
      <c r="E354" s="5" t="str">
        <f t="shared" si="37"/>
        <v/>
      </c>
      <c r="F354" s="5" t="str">
        <f t="shared" si="38"/>
        <v/>
      </c>
      <c r="G354" s="19"/>
      <c r="H354" s="66"/>
      <c r="I354" s="14"/>
      <c r="J354" s="14"/>
      <c r="K354" s="14"/>
      <c r="L354" s="5" t="str">
        <f t="shared" si="33"/>
        <v/>
      </c>
      <c r="M354" s="5" t="str">
        <f t="shared" si="34"/>
        <v/>
      </c>
      <c r="N354" s="5" t="str">
        <f t="shared" si="35"/>
        <v/>
      </c>
      <c r="O354" s="4"/>
    </row>
    <row r="355" spans="1:15" x14ac:dyDescent="0.25">
      <c r="A355" s="14"/>
      <c r="B355" s="14"/>
      <c r="C355" s="14"/>
      <c r="D355" s="5" t="str">
        <f t="shared" si="36"/>
        <v/>
      </c>
      <c r="E355" s="5" t="str">
        <f t="shared" si="37"/>
        <v/>
      </c>
      <c r="F355" s="5" t="str">
        <f t="shared" si="38"/>
        <v/>
      </c>
      <c r="G355" s="23"/>
      <c r="H355" s="66"/>
      <c r="I355" s="14"/>
      <c r="J355" s="14"/>
      <c r="K355" s="14"/>
      <c r="L355" s="5" t="str">
        <f t="shared" si="33"/>
        <v/>
      </c>
      <c r="M355" s="5" t="str">
        <f t="shared" si="34"/>
        <v/>
      </c>
      <c r="N355" s="5" t="str">
        <f t="shared" si="35"/>
        <v/>
      </c>
      <c r="O355" s="4"/>
    </row>
    <row r="356" spans="1:15" x14ac:dyDescent="0.25">
      <c r="A356" s="14"/>
      <c r="B356" s="14"/>
      <c r="C356" s="14"/>
      <c r="D356" s="5" t="str">
        <f t="shared" si="36"/>
        <v/>
      </c>
      <c r="E356" s="5" t="str">
        <f t="shared" si="37"/>
        <v/>
      </c>
      <c r="F356" s="5" t="str">
        <f t="shared" si="38"/>
        <v/>
      </c>
      <c r="G356" s="23"/>
      <c r="H356" s="66"/>
      <c r="I356" s="14"/>
      <c r="J356" s="14"/>
      <c r="K356" s="14"/>
      <c r="L356" s="5" t="str">
        <f t="shared" si="33"/>
        <v/>
      </c>
      <c r="M356" s="5" t="str">
        <f t="shared" si="34"/>
        <v/>
      </c>
      <c r="N356" s="5" t="str">
        <f t="shared" si="35"/>
        <v/>
      </c>
      <c r="O356" s="4"/>
    </row>
    <row r="357" spans="1:15" x14ac:dyDescent="0.25">
      <c r="A357" s="14"/>
      <c r="B357" s="14"/>
      <c r="C357" s="14"/>
      <c r="D357" s="5" t="str">
        <f t="shared" si="36"/>
        <v/>
      </c>
      <c r="E357" s="5" t="str">
        <f t="shared" si="37"/>
        <v/>
      </c>
      <c r="F357" s="5" t="str">
        <f t="shared" si="38"/>
        <v/>
      </c>
      <c r="G357" s="23"/>
      <c r="H357" s="66"/>
      <c r="I357" s="14"/>
      <c r="J357" s="14"/>
      <c r="K357" s="14"/>
      <c r="L357" s="5" t="str">
        <f t="shared" si="33"/>
        <v/>
      </c>
      <c r="M357" s="5" t="str">
        <f t="shared" si="34"/>
        <v/>
      </c>
      <c r="N357" s="5" t="str">
        <f t="shared" si="35"/>
        <v/>
      </c>
      <c r="O357" s="4"/>
    </row>
    <row r="358" spans="1:15" x14ac:dyDescent="0.25">
      <c r="A358" s="14"/>
      <c r="B358" s="14"/>
      <c r="C358" s="14"/>
      <c r="D358" s="5" t="str">
        <f t="shared" si="36"/>
        <v/>
      </c>
      <c r="E358" s="5" t="str">
        <f t="shared" si="37"/>
        <v/>
      </c>
      <c r="F358" s="5" t="str">
        <f t="shared" si="38"/>
        <v/>
      </c>
      <c r="G358" s="23"/>
      <c r="H358" s="66"/>
      <c r="I358" s="14"/>
      <c r="J358" s="14"/>
      <c r="K358" s="14"/>
      <c r="L358" s="5" t="str">
        <f t="shared" si="33"/>
        <v/>
      </c>
      <c r="M358" s="5" t="str">
        <f t="shared" si="34"/>
        <v/>
      </c>
      <c r="N358" s="5" t="str">
        <f t="shared" si="35"/>
        <v/>
      </c>
      <c r="O358" s="4"/>
    </row>
    <row r="359" spans="1:15" x14ac:dyDescent="0.25">
      <c r="A359" s="14"/>
      <c r="B359" s="14"/>
      <c r="C359" s="14"/>
      <c r="D359" s="5" t="str">
        <f t="shared" si="36"/>
        <v/>
      </c>
      <c r="E359" s="5" t="str">
        <f t="shared" si="37"/>
        <v/>
      </c>
      <c r="F359" s="5" t="str">
        <f t="shared" si="38"/>
        <v/>
      </c>
      <c r="G359" s="23"/>
      <c r="H359" s="66"/>
      <c r="I359" s="14"/>
      <c r="J359" s="14"/>
      <c r="K359" s="14"/>
      <c r="L359" s="5" t="str">
        <f t="shared" si="33"/>
        <v/>
      </c>
      <c r="M359" s="5" t="str">
        <f t="shared" si="34"/>
        <v/>
      </c>
      <c r="N359" s="5" t="str">
        <f t="shared" si="35"/>
        <v/>
      </c>
      <c r="O359" s="4"/>
    </row>
    <row r="360" spans="1:15" x14ac:dyDescent="0.25">
      <c r="A360" s="14"/>
      <c r="B360" s="14"/>
      <c r="C360" s="14"/>
      <c r="D360" s="5" t="str">
        <f t="shared" si="36"/>
        <v/>
      </c>
      <c r="E360" s="5" t="str">
        <f t="shared" si="37"/>
        <v/>
      </c>
      <c r="F360" s="5" t="str">
        <f t="shared" si="38"/>
        <v/>
      </c>
      <c r="G360" s="20"/>
      <c r="H360" s="66"/>
      <c r="I360" s="14"/>
      <c r="J360" s="14"/>
      <c r="K360" s="14"/>
      <c r="L360" s="5" t="str">
        <f t="shared" si="33"/>
        <v/>
      </c>
      <c r="M360" s="5" t="str">
        <f t="shared" si="34"/>
        <v/>
      </c>
      <c r="N360" s="5" t="str">
        <f t="shared" si="35"/>
        <v/>
      </c>
      <c r="O360" s="4"/>
    </row>
    <row r="361" spans="1:15" x14ac:dyDescent="0.25">
      <c r="A361" s="14"/>
      <c r="B361" s="14"/>
      <c r="C361" s="14"/>
      <c r="D361" s="5" t="str">
        <f t="shared" si="36"/>
        <v/>
      </c>
      <c r="E361" s="5" t="str">
        <f t="shared" si="37"/>
        <v/>
      </c>
      <c r="F361" s="5" t="str">
        <f t="shared" si="38"/>
        <v/>
      </c>
      <c r="G361" s="19"/>
      <c r="H361" s="66"/>
      <c r="I361" s="14"/>
      <c r="J361" s="14"/>
      <c r="K361" s="14"/>
      <c r="L361" s="5" t="str">
        <f t="shared" si="33"/>
        <v/>
      </c>
      <c r="M361" s="5" t="str">
        <f t="shared" si="34"/>
        <v/>
      </c>
      <c r="N361" s="5" t="str">
        <f t="shared" si="35"/>
        <v/>
      </c>
      <c r="O361" s="4"/>
    </row>
    <row r="362" spans="1:15" x14ac:dyDescent="0.25">
      <c r="A362" s="14"/>
      <c r="B362" s="14"/>
      <c r="C362" s="14"/>
      <c r="D362" s="5" t="str">
        <f t="shared" si="36"/>
        <v/>
      </c>
      <c r="E362" s="5" t="str">
        <f t="shared" si="37"/>
        <v/>
      </c>
      <c r="F362" s="5" t="str">
        <f t="shared" si="38"/>
        <v/>
      </c>
      <c r="G362" s="23"/>
      <c r="H362" s="66"/>
      <c r="I362" s="14"/>
      <c r="J362" s="14"/>
      <c r="K362" s="14"/>
      <c r="L362" s="5" t="str">
        <f t="shared" si="33"/>
        <v/>
      </c>
      <c r="M362" s="5" t="str">
        <f t="shared" si="34"/>
        <v/>
      </c>
      <c r="N362" s="5" t="str">
        <f t="shared" si="35"/>
        <v/>
      </c>
      <c r="O362" s="4"/>
    </row>
    <row r="363" spans="1:15" x14ac:dyDescent="0.25">
      <c r="A363" s="14"/>
      <c r="B363" s="14"/>
      <c r="C363" s="14"/>
      <c r="D363" s="5" t="str">
        <f t="shared" si="36"/>
        <v/>
      </c>
      <c r="E363" s="5" t="str">
        <f t="shared" si="37"/>
        <v/>
      </c>
      <c r="F363" s="5" t="str">
        <f t="shared" si="38"/>
        <v/>
      </c>
      <c r="G363" s="23"/>
      <c r="H363" s="66"/>
      <c r="I363" s="14"/>
      <c r="J363" s="14"/>
      <c r="K363" s="14"/>
      <c r="L363" s="5" t="str">
        <f t="shared" si="33"/>
        <v/>
      </c>
      <c r="M363" s="5" t="str">
        <f t="shared" si="34"/>
        <v/>
      </c>
      <c r="N363" s="5" t="str">
        <f t="shared" si="35"/>
        <v/>
      </c>
      <c r="O363" s="4"/>
    </row>
    <row r="364" spans="1:15" x14ac:dyDescent="0.25">
      <c r="A364" s="14"/>
      <c r="B364" s="14"/>
      <c r="C364" s="14"/>
      <c r="D364" s="5" t="str">
        <f t="shared" si="36"/>
        <v/>
      </c>
      <c r="E364" s="5" t="str">
        <f t="shared" si="37"/>
        <v/>
      </c>
      <c r="F364" s="5" t="str">
        <f t="shared" si="38"/>
        <v/>
      </c>
      <c r="G364" s="23"/>
      <c r="H364" s="66"/>
      <c r="I364" s="14"/>
      <c r="J364" s="14"/>
      <c r="K364" s="14"/>
      <c r="L364" s="5" t="str">
        <f t="shared" si="33"/>
        <v/>
      </c>
      <c r="M364" s="5" t="str">
        <f t="shared" si="34"/>
        <v/>
      </c>
      <c r="N364" s="5" t="str">
        <f t="shared" si="35"/>
        <v/>
      </c>
      <c r="O364" s="4"/>
    </row>
    <row r="365" spans="1:15" x14ac:dyDescent="0.25">
      <c r="A365" s="14"/>
      <c r="B365" s="14"/>
      <c r="C365" s="14"/>
      <c r="D365" s="5" t="str">
        <f t="shared" si="36"/>
        <v/>
      </c>
      <c r="E365" s="5" t="str">
        <f t="shared" si="37"/>
        <v/>
      </c>
      <c r="F365" s="5" t="str">
        <f t="shared" si="38"/>
        <v/>
      </c>
      <c r="G365" s="23"/>
      <c r="H365" s="66"/>
      <c r="I365" s="14"/>
      <c r="J365" s="14"/>
      <c r="K365" s="14"/>
      <c r="L365" s="5" t="str">
        <f t="shared" si="33"/>
        <v/>
      </c>
      <c r="M365" s="5" t="str">
        <f t="shared" si="34"/>
        <v/>
      </c>
      <c r="N365" s="5" t="str">
        <f t="shared" si="35"/>
        <v/>
      </c>
      <c r="O365" s="4"/>
    </row>
    <row r="366" spans="1:15" x14ac:dyDescent="0.25">
      <c r="A366" s="14"/>
      <c r="B366" s="14"/>
      <c r="C366" s="14"/>
      <c r="D366" s="5" t="str">
        <f t="shared" si="36"/>
        <v/>
      </c>
      <c r="E366" s="5" t="str">
        <f t="shared" si="37"/>
        <v/>
      </c>
      <c r="F366" s="5" t="str">
        <f t="shared" si="38"/>
        <v/>
      </c>
      <c r="G366" s="20"/>
      <c r="H366" s="66"/>
      <c r="I366" s="14"/>
      <c r="J366" s="14"/>
      <c r="K366" s="14"/>
      <c r="L366" s="5" t="str">
        <f t="shared" si="33"/>
        <v/>
      </c>
      <c r="M366" s="5" t="str">
        <f t="shared" si="34"/>
        <v/>
      </c>
      <c r="N366" s="5" t="str">
        <f t="shared" si="35"/>
        <v/>
      </c>
      <c r="O366" s="4"/>
    </row>
    <row r="367" spans="1:15" x14ac:dyDescent="0.25">
      <c r="A367" s="14"/>
      <c r="B367" s="14"/>
      <c r="C367" s="14"/>
      <c r="D367" s="5" t="str">
        <f t="shared" si="36"/>
        <v/>
      </c>
      <c r="E367" s="5" t="str">
        <f t="shared" si="37"/>
        <v/>
      </c>
      <c r="F367" s="5" t="str">
        <f t="shared" si="38"/>
        <v/>
      </c>
      <c r="G367" s="23"/>
      <c r="H367" s="66"/>
      <c r="I367" s="14"/>
      <c r="J367" s="14"/>
      <c r="K367" s="14"/>
      <c r="L367" s="5" t="str">
        <f t="shared" si="33"/>
        <v/>
      </c>
      <c r="M367" s="5" t="str">
        <f t="shared" si="34"/>
        <v/>
      </c>
      <c r="N367" s="5" t="str">
        <f t="shared" si="35"/>
        <v/>
      </c>
      <c r="O367" s="4"/>
    </row>
    <row r="368" spans="1:15" x14ac:dyDescent="0.25">
      <c r="A368" s="14"/>
      <c r="B368" s="14"/>
      <c r="C368" s="14"/>
      <c r="D368" s="5" t="str">
        <f t="shared" si="36"/>
        <v/>
      </c>
      <c r="E368" s="5" t="str">
        <f t="shared" si="37"/>
        <v/>
      </c>
      <c r="F368" s="5" t="str">
        <f t="shared" si="38"/>
        <v/>
      </c>
      <c r="G368" s="23"/>
      <c r="H368" s="66"/>
      <c r="I368" s="14"/>
      <c r="J368" s="14"/>
      <c r="K368" s="14"/>
      <c r="L368" s="5" t="str">
        <f t="shared" si="33"/>
        <v/>
      </c>
      <c r="M368" s="5" t="str">
        <f t="shared" si="34"/>
        <v/>
      </c>
      <c r="N368" s="5" t="str">
        <f t="shared" si="35"/>
        <v/>
      </c>
      <c r="O368" s="4"/>
    </row>
    <row r="369" spans="1:15" x14ac:dyDescent="0.25">
      <c r="A369" s="14"/>
      <c r="B369" s="14"/>
      <c r="C369" s="14"/>
      <c r="D369" s="5" t="str">
        <f t="shared" si="36"/>
        <v/>
      </c>
      <c r="E369" s="5" t="str">
        <f t="shared" si="37"/>
        <v/>
      </c>
      <c r="F369" s="5" t="str">
        <f t="shared" si="38"/>
        <v/>
      </c>
      <c r="G369" s="23"/>
      <c r="H369" s="66"/>
      <c r="I369" s="14"/>
      <c r="J369" s="14"/>
      <c r="K369" s="14"/>
      <c r="L369" s="5" t="str">
        <f t="shared" si="33"/>
        <v/>
      </c>
      <c r="M369" s="5" t="str">
        <f t="shared" si="34"/>
        <v/>
      </c>
      <c r="N369" s="5" t="str">
        <f t="shared" si="35"/>
        <v/>
      </c>
      <c r="O369" s="4"/>
    </row>
    <row r="370" spans="1:15" x14ac:dyDescent="0.25">
      <c r="A370" s="14"/>
      <c r="B370" s="14"/>
      <c r="C370" s="14"/>
      <c r="D370" s="5" t="str">
        <f t="shared" si="36"/>
        <v/>
      </c>
      <c r="E370" s="5" t="str">
        <f t="shared" si="37"/>
        <v/>
      </c>
      <c r="F370" s="5" t="str">
        <f t="shared" si="38"/>
        <v/>
      </c>
      <c r="G370" s="19"/>
      <c r="H370" s="66"/>
      <c r="I370" s="14"/>
      <c r="J370" s="14"/>
      <c r="K370" s="14"/>
      <c r="L370" s="5" t="str">
        <f t="shared" si="33"/>
        <v/>
      </c>
      <c r="M370" s="5" t="str">
        <f t="shared" si="34"/>
        <v/>
      </c>
      <c r="N370" s="5" t="str">
        <f t="shared" si="35"/>
        <v/>
      </c>
      <c r="O370" s="4"/>
    </row>
    <row r="371" spans="1:15" x14ac:dyDescent="0.25">
      <c r="A371" s="14"/>
      <c r="B371" s="14"/>
      <c r="C371" s="14"/>
      <c r="D371" s="5" t="str">
        <f t="shared" si="36"/>
        <v/>
      </c>
      <c r="E371" s="5" t="str">
        <f t="shared" si="37"/>
        <v/>
      </c>
      <c r="F371" s="5" t="str">
        <f t="shared" si="38"/>
        <v/>
      </c>
      <c r="G371" s="23"/>
      <c r="H371" s="66"/>
      <c r="I371" s="14"/>
      <c r="J371" s="14"/>
      <c r="K371" s="14"/>
      <c r="L371" s="5" t="str">
        <f t="shared" si="33"/>
        <v/>
      </c>
      <c r="M371" s="5" t="str">
        <f t="shared" si="34"/>
        <v/>
      </c>
      <c r="N371" s="5" t="str">
        <f t="shared" si="35"/>
        <v/>
      </c>
      <c r="O371" s="4"/>
    </row>
    <row r="372" spans="1:15" x14ac:dyDescent="0.25">
      <c r="A372" s="14"/>
      <c r="B372" s="14"/>
      <c r="C372" s="14"/>
      <c r="D372" s="5" t="str">
        <f t="shared" si="36"/>
        <v/>
      </c>
      <c r="E372" s="5" t="str">
        <f t="shared" si="37"/>
        <v/>
      </c>
      <c r="F372" s="5" t="str">
        <f t="shared" si="38"/>
        <v/>
      </c>
      <c r="G372" s="23"/>
      <c r="H372" s="66"/>
      <c r="I372" s="14"/>
      <c r="J372" s="14"/>
      <c r="K372" s="14"/>
      <c r="L372" s="5" t="str">
        <f t="shared" si="33"/>
        <v/>
      </c>
      <c r="M372" s="5" t="str">
        <f t="shared" si="34"/>
        <v/>
      </c>
      <c r="N372" s="5" t="str">
        <f t="shared" si="35"/>
        <v/>
      </c>
      <c r="O372" s="4"/>
    </row>
    <row r="373" spans="1:15" x14ac:dyDescent="0.25">
      <c r="A373" s="14"/>
      <c r="B373" s="14"/>
      <c r="C373" s="14"/>
      <c r="D373" s="5" t="str">
        <f t="shared" si="36"/>
        <v/>
      </c>
      <c r="E373" s="5" t="str">
        <f t="shared" si="37"/>
        <v/>
      </c>
      <c r="F373" s="5" t="str">
        <f t="shared" si="38"/>
        <v/>
      </c>
      <c r="G373" s="23"/>
      <c r="H373" s="66"/>
      <c r="I373" s="14"/>
      <c r="J373" s="14"/>
      <c r="K373" s="14"/>
      <c r="L373" s="5" t="str">
        <f t="shared" si="33"/>
        <v/>
      </c>
      <c r="M373" s="5" t="str">
        <f t="shared" si="34"/>
        <v/>
      </c>
      <c r="N373" s="5" t="str">
        <f t="shared" si="35"/>
        <v/>
      </c>
      <c r="O373" s="4"/>
    </row>
    <row r="374" spans="1:15" x14ac:dyDescent="0.25">
      <c r="A374" s="14"/>
      <c r="B374" s="14"/>
      <c r="C374" s="14"/>
      <c r="D374" s="5" t="str">
        <f t="shared" si="36"/>
        <v/>
      </c>
      <c r="E374" s="5" t="str">
        <f t="shared" si="37"/>
        <v/>
      </c>
      <c r="F374" s="5" t="str">
        <f t="shared" si="38"/>
        <v/>
      </c>
      <c r="G374" s="23"/>
      <c r="H374" s="66"/>
      <c r="I374" s="14"/>
      <c r="J374" s="14"/>
      <c r="K374" s="14"/>
      <c r="L374" s="5" t="str">
        <f t="shared" si="33"/>
        <v/>
      </c>
      <c r="M374" s="5" t="str">
        <f t="shared" si="34"/>
        <v/>
      </c>
      <c r="N374" s="5" t="str">
        <f t="shared" si="35"/>
        <v/>
      </c>
      <c r="O374" s="4"/>
    </row>
    <row r="375" spans="1:15" x14ac:dyDescent="0.25">
      <c r="A375" s="14"/>
      <c r="B375" s="14"/>
      <c r="C375" s="14"/>
      <c r="D375" s="5" t="str">
        <f t="shared" si="36"/>
        <v/>
      </c>
      <c r="E375" s="5" t="str">
        <f t="shared" si="37"/>
        <v/>
      </c>
      <c r="F375" s="5" t="str">
        <f t="shared" si="38"/>
        <v/>
      </c>
      <c r="G375" s="23"/>
      <c r="H375" s="66"/>
      <c r="I375" s="14"/>
      <c r="J375" s="14"/>
      <c r="K375" s="14"/>
      <c r="L375" s="5" t="str">
        <f t="shared" si="33"/>
        <v/>
      </c>
      <c r="M375" s="5" t="str">
        <f t="shared" si="34"/>
        <v/>
      </c>
      <c r="N375" s="5" t="str">
        <f t="shared" si="35"/>
        <v/>
      </c>
      <c r="O375" s="4"/>
    </row>
    <row r="376" spans="1:15" x14ac:dyDescent="0.25">
      <c r="A376" s="14"/>
      <c r="B376" s="14"/>
      <c r="C376" s="14"/>
      <c r="D376" s="5" t="str">
        <f t="shared" si="36"/>
        <v/>
      </c>
      <c r="E376" s="5" t="str">
        <f t="shared" si="37"/>
        <v/>
      </c>
      <c r="F376" s="5" t="str">
        <f t="shared" si="38"/>
        <v/>
      </c>
      <c r="G376" s="19"/>
      <c r="H376" s="66"/>
      <c r="I376" s="14"/>
      <c r="J376" s="14"/>
      <c r="K376" s="14"/>
      <c r="L376" s="5" t="str">
        <f t="shared" si="33"/>
        <v/>
      </c>
      <c r="M376" s="5" t="str">
        <f t="shared" si="34"/>
        <v/>
      </c>
      <c r="N376" s="5" t="str">
        <f t="shared" si="35"/>
        <v/>
      </c>
      <c r="O376" s="4"/>
    </row>
    <row r="377" spans="1:15" x14ac:dyDescent="0.25">
      <c r="A377" s="14"/>
      <c r="B377" s="14"/>
      <c r="C377" s="14"/>
      <c r="D377" s="5" t="str">
        <f t="shared" si="36"/>
        <v/>
      </c>
      <c r="E377" s="5" t="str">
        <f t="shared" si="37"/>
        <v/>
      </c>
      <c r="F377" s="5" t="str">
        <f t="shared" si="38"/>
        <v/>
      </c>
      <c r="G377" s="23"/>
      <c r="H377" s="66"/>
      <c r="I377" s="14"/>
      <c r="J377" s="14"/>
      <c r="K377" s="14"/>
      <c r="L377" s="5" t="str">
        <f t="shared" si="33"/>
        <v/>
      </c>
      <c r="M377" s="5" t="str">
        <f t="shared" si="34"/>
        <v/>
      </c>
      <c r="N377" s="5" t="str">
        <f t="shared" si="35"/>
        <v/>
      </c>
      <c r="O377" s="4"/>
    </row>
    <row r="378" spans="1:15" x14ac:dyDescent="0.25">
      <c r="A378" s="14"/>
      <c r="B378" s="14"/>
      <c r="C378" s="14"/>
      <c r="D378" s="5" t="str">
        <f t="shared" si="36"/>
        <v/>
      </c>
      <c r="E378" s="5" t="str">
        <f t="shared" si="37"/>
        <v/>
      </c>
      <c r="F378" s="5" t="str">
        <f t="shared" si="38"/>
        <v/>
      </c>
      <c r="G378" s="23"/>
      <c r="H378" s="66"/>
      <c r="I378" s="14"/>
      <c r="J378" s="14"/>
      <c r="K378" s="14"/>
      <c r="L378" s="5" t="str">
        <f t="shared" si="33"/>
        <v/>
      </c>
      <c r="M378" s="5" t="str">
        <f t="shared" si="34"/>
        <v/>
      </c>
      <c r="N378" s="5" t="str">
        <f t="shared" si="35"/>
        <v/>
      </c>
      <c r="O378" s="4"/>
    </row>
    <row r="379" spans="1:15" x14ac:dyDescent="0.25">
      <c r="A379" s="14"/>
      <c r="B379" s="14"/>
      <c r="C379" s="14"/>
      <c r="D379" s="5" t="str">
        <f t="shared" si="36"/>
        <v/>
      </c>
      <c r="E379" s="5" t="str">
        <f t="shared" si="37"/>
        <v/>
      </c>
      <c r="F379" s="5" t="str">
        <f t="shared" si="38"/>
        <v/>
      </c>
      <c r="G379" s="23"/>
      <c r="H379" s="66"/>
      <c r="I379" s="14"/>
      <c r="J379" s="14"/>
      <c r="K379" s="14"/>
      <c r="L379" s="5" t="str">
        <f t="shared" si="33"/>
        <v/>
      </c>
      <c r="M379" s="5" t="str">
        <f t="shared" si="34"/>
        <v/>
      </c>
      <c r="N379" s="5" t="str">
        <f t="shared" si="35"/>
        <v/>
      </c>
      <c r="O379" s="4"/>
    </row>
    <row r="380" spans="1:15" x14ac:dyDescent="0.25">
      <c r="A380" s="14"/>
      <c r="B380" s="14"/>
      <c r="C380" s="14"/>
      <c r="D380" s="5" t="str">
        <f t="shared" si="36"/>
        <v/>
      </c>
      <c r="E380" s="5" t="str">
        <f t="shared" si="37"/>
        <v/>
      </c>
      <c r="F380" s="5" t="str">
        <f t="shared" si="38"/>
        <v/>
      </c>
      <c r="G380" s="23"/>
      <c r="H380" s="66"/>
      <c r="I380" s="14"/>
      <c r="J380" s="14"/>
      <c r="K380" s="14"/>
      <c r="L380" s="5" t="str">
        <f t="shared" si="33"/>
        <v/>
      </c>
      <c r="M380" s="5" t="str">
        <f t="shared" si="34"/>
        <v/>
      </c>
      <c r="N380" s="5" t="str">
        <f t="shared" si="35"/>
        <v/>
      </c>
      <c r="O380" s="4"/>
    </row>
    <row r="381" spans="1:15" x14ac:dyDescent="0.25">
      <c r="A381" s="14"/>
      <c r="B381" s="14"/>
      <c r="C381" s="14"/>
      <c r="D381" s="5" t="str">
        <f t="shared" si="36"/>
        <v/>
      </c>
      <c r="E381" s="5" t="str">
        <f t="shared" si="37"/>
        <v/>
      </c>
      <c r="F381" s="5" t="str">
        <f t="shared" si="38"/>
        <v/>
      </c>
      <c r="G381" s="23"/>
      <c r="H381" s="66"/>
      <c r="I381" s="14"/>
      <c r="J381" s="14"/>
      <c r="K381" s="14"/>
      <c r="L381" s="5" t="str">
        <f t="shared" si="33"/>
        <v/>
      </c>
      <c r="M381" s="5" t="str">
        <f t="shared" si="34"/>
        <v/>
      </c>
      <c r="N381" s="5" t="str">
        <f t="shared" si="35"/>
        <v/>
      </c>
      <c r="O381" s="4"/>
    </row>
    <row r="382" spans="1:15" x14ac:dyDescent="0.25">
      <c r="A382" s="14"/>
      <c r="B382" s="14"/>
      <c r="C382" s="14"/>
      <c r="D382" s="5" t="str">
        <f t="shared" si="36"/>
        <v/>
      </c>
      <c r="E382" s="5" t="str">
        <f t="shared" si="37"/>
        <v/>
      </c>
      <c r="F382" s="5" t="str">
        <f t="shared" si="38"/>
        <v/>
      </c>
      <c r="G382" s="23"/>
      <c r="H382" s="66"/>
      <c r="I382" s="14"/>
      <c r="J382" s="14"/>
      <c r="K382" s="14"/>
      <c r="L382" s="5" t="str">
        <f t="shared" si="33"/>
        <v/>
      </c>
      <c r="M382" s="5" t="str">
        <f t="shared" si="34"/>
        <v/>
      </c>
      <c r="N382" s="5" t="str">
        <f t="shared" si="35"/>
        <v/>
      </c>
      <c r="O382" s="4"/>
    </row>
    <row r="383" spans="1:15" x14ac:dyDescent="0.25">
      <c r="A383" s="14"/>
      <c r="B383" s="14"/>
      <c r="C383" s="14"/>
      <c r="D383" s="5" t="str">
        <f t="shared" si="36"/>
        <v/>
      </c>
      <c r="E383" s="5" t="str">
        <f t="shared" si="37"/>
        <v/>
      </c>
      <c r="F383" s="5" t="str">
        <f t="shared" si="38"/>
        <v/>
      </c>
      <c r="G383" s="23"/>
      <c r="H383" s="66"/>
      <c r="I383" s="14"/>
      <c r="J383" s="14"/>
      <c r="K383" s="14"/>
      <c r="L383" s="5" t="str">
        <f t="shared" si="33"/>
        <v/>
      </c>
      <c r="M383" s="5" t="str">
        <f t="shared" si="34"/>
        <v/>
      </c>
      <c r="N383" s="5" t="str">
        <f t="shared" si="35"/>
        <v/>
      </c>
      <c r="O383" s="4"/>
    </row>
    <row r="384" spans="1:15" x14ac:dyDescent="0.25">
      <c r="A384" s="14"/>
      <c r="B384" s="14"/>
      <c r="C384" s="14"/>
      <c r="D384" s="5" t="str">
        <f t="shared" si="36"/>
        <v/>
      </c>
      <c r="E384" s="5" t="str">
        <f t="shared" si="37"/>
        <v/>
      </c>
      <c r="F384" s="5" t="str">
        <f t="shared" si="38"/>
        <v/>
      </c>
      <c r="G384" s="23"/>
      <c r="H384" s="66"/>
      <c r="I384" s="14"/>
      <c r="J384" s="14"/>
      <c r="K384" s="14"/>
      <c r="L384" s="5" t="str">
        <f t="shared" si="33"/>
        <v/>
      </c>
      <c r="M384" s="5" t="str">
        <f t="shared" si="34"/>
        <v/>
      </c>
      <c r="N384" s="5" t="str">
        <f t="shared" si="35"/>
        <v/>
      </c>
      <c r="O384" s="4"/>
    </row>
    <row r="385" spans="1:15" x14ac:dyDescent="0.25">
      <c r="A385" s="14"/>
      <c r="B385" s="14"/>
      <c r="C385" s="14"/>
      <c r="D385" s="5" t="str">
        <f t="shared" si="36"/>
        <v/>
      </c>
      <c r="E385" s="5" t="str">
        <f t="shared" si="37"/>
        <v/>
      </c>
      <c r="F385" s="5" t="str">
        <f t="shared" si="38"/>
        <v/>
      </c>
      <c r="G385" s="23"/>
      <c r="H385" s="66"/>
      <c r="I385" s="14"/>
      <c r="J385" s="14"/>
      <c r="K385" s="14"/>
      <c r="L385" s="5" t="str">
        <f t="shared" si="33"/>
        <v/>
      </c>
      <c r="M385" s="5" t="str">
        <f t="shared" si="34"/>
        <v/>
      </c>
      <c r="N385" s="5" t="str">
        <f t="shared" si="35"/>
        <v/>
      </c>
      <c r="O385" s="4"/>
    </row>
    <row r="386" spans="1:15" x14ac:dyDescent="0.25">
      <c r="A386" s="14"/>
      <c r="B386" s="14"/>
      <c r="C386" s="14"/>
      <c r="D386" s="5" t="str">
        <f t="shared" si="36"/>
        <v/>
      </c>
      <c r="E386" s="5" t="str">
        <f t="shared" si="37"/>
        <v/>
      </c>
      <c r="F386" s="5" t="str">
        <f t="shared" si="38"/>
        <v/>
      </c>
      <c r="G386" s="19"/>
      <c r="H386" s="66"/>
      <c r="I386" s="14"/>
      <c r="J386" s="14"/>
      <c r="K386" s="14"/>
      <c r="L386" s="5" t="str">
        <f t="shared" si="33"/>
        <v/>
      </c>
      <c r="M386" s="5" t="str">
        <f t="shared" si="34"/>
        <v/>
      </c>
      <c r="N386" s="5" t="str">
        <f t="shared" si="35"/>
        <v/>
      </c>
      <c r="O386" s="4"/>
    </row>
    <row r="387" spans="1:15" x14ac:dyDescent="0.25">
      <c r="A387" s="14"/>
      <c r="B387" s="14"/>
      <c r="C387" s="14"/>
      <c r="D387" s="5" t="str">
        <f t="shared" si="36"/>
        <v/>
      </c>
      <c r="E387" s="5" t="str">
        <f t="shared" si="37"/>
        <v/>
      </c>
      <c r="F387" s="5" t="str">
        <f t="shared" si="38"/>
        <v/>
      </c>
      <c r="G387" s="19"/>
      <c r="H387" s="66"/>
      <c r="I387" s="14"/>
      <c r="J387" s="14"/>
      <c r="K387" s="14"/>
      <c r="L387" s="5" t="str">
        <f t="shared" si="33"/>
        <v/>
      </c>
      <c r="M387" s="5" t="str">
        <f t="shared" si="34"/>
        <v/>
      </c>
      <c r="N387" s="5" t="str">
        <f t="shared" si="35"/>
        <v/>
      </c>
      <c r="O387" s="4"/>
    </row>
    <row r="388" spans="1:15" x14ac:dyDescent="0.25">
      <c r="A388" s="14"/>
      <c r="B388" s="14"/>
      <c r="C388" s="14"/>
      <c r="D388" s="5" t="str">
        <f t="shared" si="36"/>
        <v/>
      </c>
      <c r="E388" s="5" t="str">
        <f t="shared" si="37"/>
        <v/>
      </c>
      <c r="F388" s="5" t="str">
        <f t="shared" si="38"/>
        <v/>
      </c>
      <c r="G388" s="23"/>
      <c r="H388" s="66"/>
      <c r="I388" s="14"/>
      <c r="J388" s="14"/>
      <c r="K388" s="14"/>
      <c r="L388" s="5" t="str">
        <f t="shared" si="33"/>
        <v/>
      </c>
      <c r="M388" s="5" t="str">
        <f t="shared" si="34"/>
        <v/>
      </c>
      <c r="N388" s="5" t="str">
        <f t="shared" si="35"/>
        <v/>
      </c>
      <c r="O388" s="4"/>
    </row>
    <row r="389" spans="1:15" x14ac:dyDescent="0.25">
      <c r="A389" s="14"/>
      <c r="B389" s="14"/>
      <c r="C389" s="14"/>
      <c r="D389" s="5" t="str">
        <f t="shared" si="36"/>
        <v/>
      </c>
      <c r="E389" s="5" t="str">
        <f t="shared" si="37"/>
        <v/>
      </c>
      <c r="F389" s="5" t="str">
        <f t="shared" si="38"/>
        <v/>
      </c>
      <c r="G389" s="23"/>
      <c r="H389" s="66"/>
      <c r="I389" s="14"/>
      <c r="J389" s="14"/>
      <c r="K389" s="14"/>
      <c r="L389" s="5" t="str">
        <f t="shared" ref="L389:L452" si="39">IFERROR(IF(I389&lt;&gt;"",(((J389-J388)*$X$4/(I389-I388)))*$X$5,""),"")</f>
        <v/>
      </c>
      <c r="M389" s="5" t="str">
        <f t="shared" ref="M389:M452" si="40">IFERROR(IF(I389&lt;&gt;"",(((K389-K388)*$X$4/(I389-I388)))*$X$5,""),"")</f>
        <v/>
      </c>
      <c r="N389" s="5" t="str">
        <f t="shared" ref="N389:N452" si="41">IFERROR(IF(I389&lt;&gt;"",((ACOS((COS(RADIANS(J388))*COS(RADIANS(J389)))+(SIN(RADIANS(J388))*SIN(RADIANS(J389)))*COS(RADIANS(K389-K388)))*180/PI()*($X$4/(I389-I388))))*$X$5,""),"")</f>
        <v/>
      </c>
      <c r="O389" s="4"/>
    </row>
    <row r="390" spans="1:15" x14ac:dyDescent="0.25">
      <c r="A390" s="14"/>
      <c r="B390" s="14"/>
      <c r="C390" s="14"/>
      <c r="D390" s="5" t="str">
        <f t="shared" si="36"/>
        <v/>
      </c>
      <c r="E390" s="5" t="str">
        <f t="shared" si="37"/>
        <v/>
      </c>
      <c r="F390" s="5" t="str">
        <f t="shared" si="38"/>
        <v/>
      </c>
      <c r="G390" s="23"/>
      <c r="H390" s="66"/>
      <c r="I390" s="14"/>
      <c r="J390" s="14"/>
      <c r="K390" s="14"/>
      <c r="L390" s="5" t="str">
        <f t="shared" si="39"/>
        <v/>
      </c>
      <c r="M390" s="5" t="str">
        <f t="shared" si="40"/>
        <v/>
      </c>
      <c r="N390" s="5" t="str">
        <f t="shared" si="41"/>
        <v/>
      </c>
      <c r="O390" s="4"/>
    </row>
    <row r="391" spans="1:15" x14ac:dyDescent="0.25">
      <c r="A391" s="14"/>
      <c r="B391" s="14"/>
      <c r="C391" s="14"/>
      <c r="D391" s="5" t="str">
        <f t="shared" si="36"/>
        <v/>
      </c>
      <c r="E391" s="5" t="str">
        <f t="shared" si="37"/>
        <v/>
      </c>
      <c r="F391" s="5" t="str">
        <f t="shared" si="38"/>
        <v/>
      </c>
      <c r="G391" s="23"/>
      <c r="H391" s="66"/>
      <c r="I391" s="14"/>
      <c r="J391" s="14"/>
      <c r="K391" s="14"/>
      <c r="L391" s="5" t="str">
        <f t="shared" si="39"/>
        <v/>
      </c>
      <c r="M391" s="5" t="str">
        <f t="shared" si="40"/>
        <v/>
      </c>
      <c r="N391" s="5" t="str">
        <f t="shared" si="41"/>
        <v/>
      </c>
      <c r="O391" s="4"/>
    </row>
    <row r="392" spans="1:15" x14ac:dyDescent="0.25">
      <c r="A392" s="14"/>
      <c r="B392" s="14"/>
      <c r="C392" s="14"/>
      <c r="D392" s="5" t="str">
        <f t="shared" si="36"/>
        <v/>
      </c>
      <c r="E392" s="5" t="str">
        <f t="shared" si="37"/>
        <v/>
      </c>
      <c r="F392" s="5" t="str">
        <f t="shared" si="38"/>
        <v/>
      </c>
      <c r="G392" s="23"/>
      <c r="H392" s="66"/>
      <c r="I392" s="14"/>
      <c r="J392" s="14"/>
      <c r="K392" s="14"/>
      <c r="L392" s="5" t="str">
        <f t="shared" si="39"/>
        <v/>
      </c>
      <c r="M392" s="5" t="str">
        <f t="shared" si="40"/>
        <v/>
      </c>
      <c r="N392" s="5" t="str">
        <f t="shared" si="41"/>
        <v/>
      </c>
      <c r="O392" s="4"/>
    </row>
    <row r="393" spans="1:15" x14ac:dyDescent="0.25">
      <c r="A393" s="14"/>
      <c r="B393" s="14"/>
      <c r="C393" s="14"/>
      <c r="D393" s="5" t="str">
        <f t="shared" si="36"/>
        <v/>
      </c>
      <c r="E393" s="5" t="str">
        <f t="shared" si="37"/>
        <v/>
      </c>
      <c r="F393" s="5" t="str">
        <f t="shared" si="38"/>
        <v/>
      </c>
      <c r="G393" s="23"/>
      <c r="H393" s="66"/>
      <c r="I393" s="14"/>
      <c r="J393" s="14"/>
      <c r="K393" s="14"/>
      <c r="L393" s="5" t="str">
        <f t="shared" si="39"/>
        <v/>
      </c>
      <c r="M393" s="5" t="str">
        <f t="shared" si="40"/>
        <v/>
      </c>
      <c r="N393" s="5" t="str">
        <f t="shared" si="41"/>
        <v/>
      </c>
      <c r="O393" s="4"/>
    </row>
    <row r="394" spans="1:15" x14ac:dyDescent="0.25">
      <c r="A394" s="14"/>
      <c r="B394" s="14"/>
      <c r="C394" s="14"/>
      <c r="D394" s="5" t="str">
        <f t="shared" si="36"/>
        <v/>
      </c>
      <c r="E394" s="5" t="str">
        <f t="shared" si="37"/>
        <v/>
      </c>
      <c r="F394" s="5" t="str">
        <f t="shared" si="38"/>
        <v/>
      </c>
      <c r="G394" s="23"/>
      <c r="H394" s="66"/>
      <c r="I394" s="14"/>
      <c r="J394" s="14"/>
      <c r="K394" s="14"/>
      <c r="L394" s="5" t="str">
        <f t="shared" si="39"/>
        <v/>
      </c>
      <c r="M394" s="5" t="str">
        <f t="shared" si="40"/>
        <v/>
      </c>
      <c r="N394" s="5" t="str">
        <f t="shared" si="41"/>
        <v/>
      </c>
      <c r="O394" s="4"/>
    </row>
    <row r="395" spans="1:15" x14ac:dyDescent="0.25">
      <c r="A395" s="14"/>
      <c r="B395" s="14"/>
      <c r="C395" s="14"/>
      <c r="D395" s="5" t="str">
        <f t="shared" si="36"/>
        <v/>
      </c>
      <c r="E395" s="5" t="str">
        <f t="shared" si="37"/>
        <v/>
      </c>
      <c r="F395" s="5" t="str">
        <f t="shared" si="38"/>
        <v/>
      </c>
      <c r="G395" s="23"/>
      <c r="H395" s="66"/>
      <c r="I395" s="14"/>
      <c r="J395" s="14"/>
      <c r="K395" s="14"/>
      <c r="L395" s="5" t="str">
        <f t="shared" si="39"/>
        <v/>
      </c>
      <c r="M395" s="5" t="str">
        <f t="shared" si="40"/>
        <v/>
      </c>
      <c r="N395" s="5" t="str">
        <f t="shared" si="41"/>
        <v/>
      </c>
      <c r="O395" s="4"/>
    </row>
    <row r="396" spans="1:15" x14ac:dyDescent="0.25">
      <c r="A396" s="14"/>
      <c r="B396" s="14"/>
      <c r="C396" s="14"/>
      <c r="D396" s="5" t="str">
        <f t="shared" si="36"/>
        <v/>
      </c>
      <c r="E396" s="5" t="str">
        <f t="shared" si="37"/>
        <v/>
      </c>
      <c r="F396" s="5" t="str">
        <f t="shared" si="38"/>
        <v/>
      </c>
      <c r="G396" s="23"/>
      <c r="H396" s="66"/>
      <c r="I396" s="14"/>
      <c r="J396" s="14"/>
      <c r="K396" s="14"/>
      <c r="L396" s="5" t="str">
        <f t="shared" si="39"/>
        <v/>
      </c>
      <c r="M396" s="5" t="str">
        <f t="shared" si="40"/>
        <v/>
      </c>
      <c r="N396" s="5" t="str">
        <f t="shared" si="41"/>
        <v/>
      </c>
      <c r="O396" s="4"/>
    </row>
    <row r="397" spans="1:15" x14ac:dyDescent="0.25">
      <c r="A397" s="14"/>
      <c r="B397" s="14"/>
      <c r="C397" s="14"/>
      <c r="D397" s="5" t="str">
        <f t="shared" si="36"/>
        <v/>
      </c>
      <c r="E397" s="5" t="str">
        <f t="shared" si="37"/>
        <v/>
      </c>
      <c r="F397" s="5" t="str">
        <f t="shared" si="38"/>
        <v/>
      </c>
      <c r="G397" s="23"/>
      <c r="H397" s="66"/>
      <c r="I397" s="14"/>
      <c r="J397" s="14"/>
      <c r="K397" s="14"/>
      <c r="L397" s="5" t="str">
        <f t="shared" si="39"/>
        <v/>
      </c>
      <c r="M397" s="5" t="str">
        <f t="shared" si="40"/>
        <v/>
      </c>
      <c r="N397" s="5" t="str">
        <f t="shared" si="41"/>
        <v/>
      </c>
      <c r="O397" s="4"/>
    </row>
    <row r="398" spans="1:15" x14ac:dyDescent="0.25">
      <c r="A398" s="14"/>
      <c r="B398" s="14"/>
      <c r="C398" s="14"/>
      <c r="D398" s="5" t="str">
        <f t="shared" si="36"/>
        <v/>
      </c>
      <c r="E398" s="5" t="str">
        <f t="shared" si="37"/>
        <v/>
      </c>
      <c r="F398" s="5" t="str">
        <f t="shared" si="38"/>
        <v/>
      </c>
      <c r="G398" s="23"/>
      <c r="H398" s="66"/>
      <c r="I398" s="14"/>
      <c r="J398" s="14"/>
      <c r="K398" s="14"/>
      <c r="L398" s="5" t="str">
        <f t="shared" si="39"/>
        <v/>
      </c>
      <c r="M398" s="5" t="str">
        <f t="shared" si="40"/>
        <v/>
      </c>
      <c r="N398" s="5" t="str">
        <f t="shared" si="41"/>
        <v/>
      </c>
      <c r="O398" s="4"/>
    </row>
    <row r="399" spans="1:15" x14ac:dyDescent="0.25">
      <c r="A399" s="14"/>
      <c r="B399" s="14"/>
      <c r="C399" s="14"/>
      <c r="D399" s="5" t="str">
        <f t="shared" si="36"/>
        <v/>
      </c>
      <c r="E399" s="5" t="str">
        <f t="shared" si="37"/>
        <v/>
      </c>
      <c r="F399" s="5" t="str">
        <f t="shared" si="38"/>
        <v/>
      </c>
      <c r="G399" s="23"/>
      <c r="H399" s="66"/>
      <c r="I399" s="14"/>
      <c r="J399" s="14"/>
      <c r="K399" s="14"/>
      <c r="L399" s="5" t="str">
        <f t="shared" si="39"/>
        <v/>
      </c>
      <c r="M399" s="5" t="str">
        <f t="shared" si="40"/>
        <v/>
      </c>
      <c r="N399" s="5" t="str">
        <f t="shared" si="41"/>
        <v/>
      </c>
      <c r="O399" s="4"/>
    </row>
    <row r="400" spans="1:15" x14ac:dyDescent="0.25">
      <c r="A400" s="14"/>
      <c r="B400" s="14"/>
      <c r="C400" s="14"/>
      <c r="D400" s="5" t="str">
        <f t="shared" si="36"/>
        <v/>
      </c>
      <c r="E400" s="5" t="str">
        <f t="shared" si="37"/>
        <v/>
      </c>
      <c r="F400" s="5" t="str">
        <f t="shared" si="38"/>
        <v/>
      </c>
      <c r="G400" s="23"/>
      <c r="H400" s="66"/>
      <c r="I400" s="14"/>
      <c r="J400" s="14"/>
      <c r="K400" s="14"/>
      <c r="L400" s="5" t="str">
        <f t="shared" si="39"/>
        <v/>
      </c>
      <c r="M400" s="5" t="str">
        <f t="shared" si="40"/>
        <v/>
      </c>
      <c r="N400" s="5" t="str">
        <f t="shared" si="41"/>
        <v/>
      </c>
      <c r="O400" s="4"/>
    </row>
    <row r="401" spans="1:15" x14ac:dyDescent="0.25">
      <c r="A401" s="14"/>
      <c r="B401" s="14"/>
      <c r="C401" s="14"/>
      <c r="D401" s="5" t="str">
        <f t="shared" si="36"/>
        <v/>
      </c>
      <c r="E401" s="5" t="str">
        <f t="shared" si="37"/>
        <v/>
      </c>
      <c r="F401" s="5" t="str">
        <f t="shared" si="38"/>
        <v/>
      </c>
      <c r="G401" s="23"/>
      <c r="H401" s="66"/>
      <c r="I401" s="14"/>
      <c r="J401" s="14"/>
      <c r="K401" s="14"/>
      <c r="L401" s="5" t="str">
        <f t="shared" si="39"/>
        <v/>
      </c>
      <c r="M401" s="5" t="str">
        <f t="shared" si="40"/>
        <v/>
      </c>
      <c r="N401" s="5" t="str">
        <f t="shared" si="41"/>
        <v/>
      </c>
      <c r="O401" s="4"/>
    </row>
    <row r="402" spans="1:15" x14ac:dyDescent="0.25">
      <c r="A402" s="14"/>
      <c r="B402" s="14"/>
      <c r="C402" s="14"/>
      <c r="D402" s="5" t="str">
        <f t="shared" si="36"/>
        <v/>
      </c>
      <c r="E402" s="5" t="str">
        <f t="shared" si="37"/>
        <v/>
      </c>
      <c r="F402" s="5" t="str">
        <f t="shared" si="38"/>
        <v/>
      </c>
      <c r="G402" s="23"/>
      <c r="H402" s="66"/>
      <c r="I402" s="14"/>
      <c r="J402" s="14"/>
      <c r="K402" s="14"/>
      <c r="L402" s="5" t="str">
        <f t="shared" si="39"/>
        <v/>
      </c>
      <c r="M402" s="5" t="str">
        <f t="shared" si="40"/>
        <v/>
      </c>
      <c r="N402" s="5" t="str">
        <f t="shared" si="41"/>
        <v/>
      </c>
      <c r="O402" s="4"/>
    </row>
    <row r="403" spans="1:15" x14ac:dyDescent="0.25">
      <c r="A403" s="14"/>
      <c r="B403" s="14"/>
      <c r="C403" s="14"/>
      <c r="D403" s="5" t="str">
        <f t="shared" si="36"/>
        <v/>
      </c>
      <c r="E403" s="5" t="str">
        <f t="shared" si="37"/>
        <v/>
      </c>
      <c r="F403" s="5" t="str">
        <f t="shared" si="38"/>
        <v/>
      </c>
      <c r="G403" s="23"/>
      <c r="H403" s="66"/>
      <c r="I403" s="14"/>
      <c r="J403" s="14"/>
      <c r="K403" s="14"/>
      <c r="L403" s="5" t="str">
        <f t="shared" si="39"/>
        <v/>
      </c>
      <c r="M403" s="5" t="str">
        <f t="shared" si="40"/>
        <v/>
      </c>
      <c r="N403" s="5" t="str">
        <f t="shared" si="41"/>
        <v/>
      </c>
      <c r="O403" s="4"/>
    </row>
    <row r="404" spans="1:15" x14ac:dyDescent="0.25">
      <c r="A404" s="14"/>
      <c r="B404" s="14"/>
      <c r="C404" s="14"/>
      <c r="D404" s="5" t="str">
        <f t="shared" si="36"/>
        <v/>
      </c>
      <c r="E404" s="5" t="str">
        <f t="shared" si="37"/>
        <v/>
      </c>
      <c r="F404" s="5" t="str">
        <f t="shared" si="38"/>
        <v/>
      </c>
      <c r="G404" s="23"/>
      <c r="H404" s="66"/>
      <c r="I404" s="14"/>
      <c r="J404" s="14"/>
      <c r="K404" s="14"/>
      <c r="L404" s="5" t="str">
        <f t="shared" si="39"/>
        <v/>
      </c>
      <c r="M404" s="5" t="str">
        <f t="shared" si="40"/>
        <v/>
      </c>
      <c r="N404" s="5" t="str">
        <f t="shared" si="41"/>
        <v/>
      </c>
      <c r="O404" s="4"/>
    </row>
    <row r="405" spans="1:15" x14ac:dyDescent="0.25">
      <c r="A405" s="14"/>
      <c r="B405" s="14"/>
      <c r="C405" s="14"/>
      <c r="D405" s="5" t="str">
        <f t="shared" si="36"/>
        <v/>
      </c>
      <c r="E405" s="5" t="str">
        <f t="shared" si="37"/>
        <v/>
      </c>
      <c r="F405" s="5" t="str">
        <f t="shared" si="38"/>
        <v/>
      </c>
      <c r="G405" s="23"/>
      <c r="H405" s="66"/>
      <c r="I405" s="14"/>
      <c r="J405" s="14"/>
      <c r="K405" s="14"/>
      <c r="L405" s="5" t="str">
        <f t="shared" si="39"/>
        <v/>
      </c>
      <c r="M405" s="5" t="str">
        <f t="shared" si="40"/>
        <v/>
      </c>
      <c r="N405" s="5" t="str">
        <f t="shared" si="41"/>
        <v/>
      </c>
      <c r="O405" s="4"/>
    </row>
    <row r="406" spans="1:15" x14ac:dyDescent="0.25">
      <c r="A406" s="14"/>
      <c r="B406" s="14"/>
      <c r="C406" s="14"/>
      <c r="D406" s="5" t="str">
        <f t="shared" si="36"/>
        <v/>
      </c>
      <c r="E406" s="5" t="str">
        <f t="shared" si="37"/>
        <v/>
      </c>
      <c r="F406" s="5" t="str">
        <f t="shared" si="38"/>
        <v/>
      </c>
      <c r="G406" s="23"/>
      <c r="H406" s="66"/>
      <c r="I406" s="14"/>
      <c r="J406" s="14"/>
      <c r="K406" s="14"/>
      <c r="L406" s="5" t="str">
        <f t="shared" si="39"/>
        <v/>
      </c>
      <c r="M406" s="5" t="str">
        <f t="shared" si="40"/>
        <v/>
      </c>
      <c r="N406" s="5" t="str">
        <f t="shared" si="41"/>
        <v/>
      </c>
      <c r="O406" s="4"/>
    </row>
    <row r="407" spans="1:15" x14ac:dyDescent="0.25">
      <c r="A407" s="14"/>
      <c r="B407" s="14"/>
      <c r="C407" s="14"/>
      <c r="D407" s="5" t="str">
        <f t="shared" si="36"/>
        <v/>
      </c>
      <c r="E407" s="5" t="str">
        <f t="shared" si="37"/>
        <v/>
      </c>
      <c r="F407" s="5" t="str">
        <f t="shared" si="38"/>
        <v/>
      </c>
      <c r="G407" s="23"/>
      <c r="H407" s="66"/>
      <c r="I407" s="14"/>
      <c r="J407" s="14"/>
      <c r="K407" s="14"/>
      <c r="L407" s="5" t="str">
        <f t="shared" si="39"/>
        <v/>
      </c>
      <c r="M407" s="5" t="str">
        <f t="shared" si="40"/>
        <v/>
      </c>
      <c r="N407" s="5" t="str">
        <f t="shared" si="41"/>
        <v/>
      </c>
      <c r="O407" s="4"/>
    </row>
    <row r="408" spans="1:15" x14ac:dyDescent="0.25">
      <c r="A408" s="14"/>
      <c r="B408" s="14"/>
      <c r="C408" s="14"/>
      <c r="D408" s="5" t="str">
        <f t="shared" si="36"/>
        <v/>
      </c>
      <c r="E408" s="5" t="str">
        <f t="shared" si="37"/>
        <v/>
      </c>
      <c r="F408" s="5" t="str">
        <f t="shared" si="38"/>
        <v/>
      </c>
      <c r="G408" s="23"/>
      <c r="H408" s="66"/>
      <c r="I408" s="14"/>
      <c r="J408" s="14"/>
      <c r="K408" s="14"/>
      <c r="L408" s="5" t="str">
        <f t="shared" si="39"/>
        <v/>
      </c>
      <c r="M408" s="5" t="str">
        <f t="shared" si="40"/>
        <v/>
      </c>
      <c r="N408" s="5" t="str">
        <f t="shared" si="41"/>
        <v/>
      </c>
      <c r="O408" s="4"/>
    </row>
    <row r="409" spans="1:15" x14ac:dyDescent="0.25">
      <c r="A409" s="14"/>
      <c r="B409" s="14"/>
      <c r="C409" s="14"/>
      <c r="D409" s="5" t="str">
        <f t="shared" ref="D409:D472" si="42">IFERROR( IF(A409&lt;&gt;"",((B409-B408)*$X$4/(A409-A408))*$X$5,""),"")</f>
        <v/>
      </c>
      <c r="E409" s="5" t="str">
        <f t="shared" ref="E409:E472" si="43">IFERROR(IF(A409&lt;&gt;"",((C409-C408)*$X$4/(A409-A408))*$X$5,""),"")</f>
        <v/>
      </c>
      <c r="F409" s="5" t="str">
        <f t="shared" ref="F409:F472" si="44">IFERROR(IF(A409&lt;&gt;"",((ACOS((COS(RADIANS(B408))*COS(RADIANS(B409)))+(SIN(RADIANS(B408))*SIN(RADIANS(B409)))*COS(RADIANS(C409-C408)))*180/PI()*($X$4/(A409-A408))))*$X$5,""),"")</f>
        <v/>
      </c>
      <c r="G409" s="23"/>
      <c r="H409" s="66"/>
      <c r="I409" s="14"/>
      <c r="J409" s="14"/>
      <c r="K409" s="14"/>
      <c r="L409" s="5" t="str">
        <f t="shared" si="39"/>
        <v/>
      </c>
      <c r="M409" s="5" t="str">
        <f t="shared" si="40"/>
        <v/>
      </c>
      <c r="N409" s="5" t="str">
        <f t="shared" si="41"/>
        <v/>
      </c>
      <c r="O409" s="4"/>
    </row>
    <row r="410" spans="1:15" x14ac:dyDescent="0.25">
      <c r="A410" s="14"/>
      <c r="B410" s="14"/>
      <c r="C410" s="14"/>
      <c r="D410" s="5" t="str">
        <f t="shared" si="42"/>
        <v/>
      </c>
      <c r="E410" s="5" t="str">
        <f t="shared" si="43"/>
        <v/>
      </c>
      <c r="F410" s="5" t="str">
        <f t="shared" si="44"/>
        <v/>
      </c>
      <c r="G410" s="23"/>
      <c r="H410" s="66"/>
      <c r="I410" s="14"/>
      <c r="J410" s="14"/>
      <c r="K410" s="14"/>
      <c r="L410" s="5" t="str">
        <f t="shared" si="39"/>
        <v/>
      </c>
      <c r="M410" s="5" t="str">
        <f t="shared" si="40"/>
        <v/>
      </c>
      <c r="N410" s="5" t="str">
        <f t="shared" si="41"/>
        <v/>
      </c>
      <c r="O410" s="4"/>
    </row>
    <row r="411" spans="1:15" x14ac:dyDescent="0.25">
      <c r="A411" s="14"/>
      <c r="B411" s="14"/>
      <c r="C411" s="14"/>
      <c r="D411" s="5" t="str">
        <f t="shared" si="42"/>
        <v/>
      </c>
      <c r="E411" s="5" t="str">
        <f t="shared" si="43"/>
        <v/>
      </c>
      <c r="F411" s="5" t="str">
        <f t="shared" si="44"/>
        <v/>
      </c>
      <c r="G411" s="23"/>
      <c r="H411" s="66"/>
      <c r="I411" s="14"/>
      <c r="J411" s="14"/>
      <c r="K411" s="14"/>
      <c r="L411" s="5" t="str">
        <f t="shared" si="39"/>
        <v/>
      </c>
      <c r="M411" s="5" t="str">
        <f t="shared" si="40"/>
        <v/>
      </c>
      <c r="N411" s="5" t="str">
        <f t="shared" si="41"/>
        <v/>
      </c>
      <c r="O411" s="4"/>
    </row>
    <row r="412" spans="1:15" x14ac:dyDescent="0.25">
      <c r="A412" s="14"/>
      <c r="B412" s="14"/>
      <c r="C412" s="14"/>
      <c r="D412" s="5" t="str">
        <f t="shared" si="42"/>
        <v/>
      </c>
      <c r="E412" s="5" t="str">
        <f t="shared" si="43"/>
        <v/>
      </c>
      <c r="F412" s="5" t="str">
        <f t="shared" si="44"/>
        <v/>
      </c>
      <c r="G412" s="23"/>
      <c r="H412" s="66"/>
      <c r="I412" s="14"/>
      <c r="J412" s="14"/>
      <c r="K412" s="14"/>
      <c r="L412" s="5" t="str">
        <f t="shared" si="39"/>
        <v/>
      </c>
      <c r="M412" s="5" t="str">
        <f t="shared" si="40"/>
        <v/>
      </c>
      <c r="N412" s="5" t="str">
        <f t="shared" si="41"/>
        <v/>
      </c>
      <c r="O412" s="4"/>
    </row>
    <row r="413" spans="1:15" x14ac:dyDescent="0.25">
      <c r="A413" s="14"/>
      <c r="B413" s="14"/>
      <c r="C413" s="14"/>
      <c r="D413" s="5" t="str">
        <f t="shared" si="42"/>
        <v/>
      </c>
      <c r="E413" s="5" t="str">
        <f t="shared" si="43"/>
        <v/>
      </c>
      <c r="F413" s="5" t="str">
        <f t="shared" si="44"/>
        <v/>
      </c>
      <c r="G413" s="23"/>
      <c r="H413" s="66"/>
      <c r="I413" s="14"/>
      <c r="J413" s="14"/>
      <c r="K413" s="14"/>
      <c r="L413" s="5" t="str">
        <f t="shared" si="39"/>
        <v/>
      </c>
      <c r="M413" s="5" t="str">
        <f t="shared" si="40"/>
        <v/>
      </c>
      <c r="N413" s="5" t="str">
        <f t="shared" si="41"/>
        <v/>
      </c>
      <c r="O413" s="4"/>
    </row>
    <row r="414" spans="1:15" x14ac:dyDescent="0.25">
      <c r="A414" s="14"/>
      <c r="B414" s="14"/>
      <c r="C414" s="14"/>
      <c r="D414" s="5" t="str">
        <f t="shared" si="42"/>
        <v/>
      </c>
      <c r="E414" s="5" t="str">
        <f t="shared" si="43"/>
        <v/>
      </c>
      <c r="F414" s="5" t="str">
        <f t="shared" si="44"/>
        <v/>
      </c>
      <c r="G414" s="23"/>
      <c r="H414" s="66"/>
      <c r="I414" s="14"/>
      <c r="J414" s="14"/>
      <c r="K414" s="14"/>
      <c r="L414" s="5" t="str">
        <f t="shared" si="39"/>
        <v/>
      </c>
      <c r="M414" s="5" t="str">
        <f t="shared" si="40"/>
        <v/>
      </c>
      <c r="N414" s="5" t="str">
        <f t="shared" si="41"/>
        <v/>
      </c>
      <c r="O414" s="4"/>
    </row>
    <row r="415" spans="1:15" x14ac:dyDescent="0.25">
      <c r="A415" s="14"/>
      <c r="B415" s="14"/>
      <c r="C415" s="14"/>
      <c r="D415" s="5" t="str">
        <f t="shared" si="42"/>
        <v/>
      </c>
      <c r="E415" s="5" t="str">
        <f t="shared" si="43"/>
        <v/>
      </c>
      <c r="F415" s="5" t="str">
        <f t="shared" si="44"/>
        <v/>
      </c>
      <c r="G415" s="23"/>
      <c r="H415" s="66"/>
      <c r="I415" s="14"/>
      <c r="J415" s="14"/>
      <c r="K415" s="14"/>
      <c r="L415" s="5" t="str">
        <f t="shared" si="39"/>
        <v/>
      </c>
      <c r="M415" s="5" t="str">
        <f t="shared" si="40"/>
        <v/>
      </c>
      <c r="N415" s="5" t="str">
        <f t="shared" si="41"/>
        <v/>
      </c>
      <c r="O415" s="4"/>
    </row>
    <row r="416" spans="1:15" x14ac:dyDescent="0.25">
      <c r="A416" s="14"/>
      <c r="B416" s="14"/>
      <c r="C416" s="14"/>
      <c r="D416" s="5" t="str">
        <f t="shared" si="42"/>
        <v/>
      </c>
      <c r="E416" s="5" t="str">
        <f t="shared" si="43"/>
        <v/>
      </c>
      <c r="F416" s="5" t="str">
        <f t="shared" si="44"/>
        <v/>
      </c>
      <c r="G416" s="23"/>
      <c r="H416" s="66"/>
      <c r="I416" s="14"/>
      <c r="J416" s="14"/>
      <c r="K416" s="14"/>
      <c r="L416" s="5" t="str">
        <f t="shared" si="39"/>
        <v/>
      </c>
      <c r="M416" s="5" t="str">
        <f t="shared" si="40"/>
        <v/>
      </c>
      <c r="N416" s="5" t="str">
        <f t="shared" si="41"/>
        <v/>
      </c>
      <c r="O416" s="4"/>
    </row>
    <row r="417" spans="1:15" x14ac:dyDescent="0.25">
      <c r="A417" s="14"/>
      <c r="B417" s="14"/>
      <c r="C417" s="14"/>
      <c r="D417" s="5" t="str">
        <f t="shared" si="42"/>
        <v/>
      </c>
      <c r="E417" s="5" t="str">
        <f t="shared" si="43"/>
        <v/>
      </c>
      <c r="F417" s="5" t="str">
        <f t="shared" si="44"/>
        <v/>
      </c>
      <c r="G417" s="23"/>
      <c r="H417" s="66"/>
      <c r="I417" s="14"/>
      <c r="J417" s="14"/>
      <c r="K417" s="14"/>
      <c r="L417" s="5" t="str">
        <f t="shared" si="39"/>
        <v/>
      </c>
      <c r="M417" s="5" t="str">
        <f t="shared" si="40"/>
        <v/>
      </c>
      <c r="N417" s="5" t="str">
        <f t="shared" si="41"/>
        <v/>
      </c>
      <c r="O417" s="4"/>
    </row>
    <row r="418" spans="1:15" x14ac:dyDescent="0.25">
      <c r="A418" s="14"/>
      <c r="B418" s="14"/>
      <c r="C418" s="14"/>
      <c r="D418" s="5" t="str">
        <f t="shared" si="42"/>
        <v/>
      </c>
      <c r="E418" s="5" t="str">
        <f t="shared" si="43"/>
        <v/>
      </c>
      <c r="F418" s="5" t="str">
        <f t="shared" si="44"/>
        <v/>
      </c>
      <c r="G418" s="23"/>
      <c r="H418" s="66"/>
      <c r="I418" s="14"/>
      <c r="J418" s="14"/>
      <c r="K418" s="14"/>
      <c r="L418" s="5" t="str">
        <f t="shared" si="39"/>
        <v/>
      </c>
      <c r="M418" s="5" t="str">
        <f t="shared" si="40"/>
        <v/>
      </c>
      <c r="N418" s="5" t="str">
        <f t="shared" si="41"/>
        <v/>
      </c>
      <c r="O418" s="4"/>
    </row>
    <row r="419" spans="1:15" x14ac:dyDescent="0.25">
      <c r="A419" s="14"/>
      <c r="B419" s="14"/>
      <c r="C419" s="14"/>
      <c r="D419" s="5" t="str">
        <f t="shared" si="42"/>
        <v/>
      </c>
      <c r="E419" s="5" t="str">
        <f t="shared" si="43"/>
        <v/>
      </c>
      <c r="F419" s="5" t="str">
        <f t="shared" si="44"/>
        <v/>
      </c>
      <c r="G419" s="23"/>
      <c r="H419" s="66"/>
      <c r="I419" s="14"/>
      <c r="J419" s="14"/>
      <c r="K419" s="14"/>
      <c r="L419" s="5" t="str">
        <f t="shared" si="39"/>
        <v/>
      </c>
      <c r="M419" s="5" t="str">
        <f t="shared" si="40"/>
        <v/>
      </c>
      <c r="N419" s="5" t="str">
        <f t="shared" si="41"/>
        <v/>
      </c>
      <c r="O419" s="4"/>
    </row>
    <row r="420" spans="1:15" x14ac:dyDescent="0.25">
      <c r="A420" s="14"/>
      <c r="B420" s="14"/>
      <c r="C420" s="14"/>
      <c r="D420" s="5" t="str">
        <f t="shared" si="42"/>
        <v/>
      </c>
      <c r="E420" s="5" t="str">
        <f t="shared" si="43"/>
        <v/>
      </c>
      <c r="F420" s="5" t="str">
        <f t="shared" si="44"/>
        <v/>
      </c>
      <c r="G420" s="23"/>
      <c r="H420" s="66"/>
      <c r="I420" s="14"/>
      <c r="J420" s="14"/>
      <c r="K420" s="14"/>
      <c r="L420" s="5" t="str">
        <f t="shared" si="39"/>
        <v/>
      </c>
      <c r="M420" s="5" t="str">
        <f t="shared" si="40"/>
        <v/>
      </c>
      <c r="N420" s="5" t="str">
        <f t="shared" si="41"/>
        <v/>
      </c>
      <c r="O420" s="4"/>
    </row>
    <row r="421" spans="1:15" x14ac:dyDescent="0.25">
      <c r="A421" s="14"/>
      <c r="B421" s="14"/>
      <c r="C421" s="14"/>
      <c r="D421" s="5" t="str">
        <f t="shared" si="42"/>
        <v/>
      </c>
      <c r="E421" s="5" t="str">
        <f t="shared" si="43"/>
        <v/>
      </c>
      <c r="F421" s="5" t="str">
        <f t="shared" si="44"/>
        <v/>
      </c>
      <c r="G421" s="23"/>
      <c r="H421" s="66"/>
      <c r="I421" s="14"/>
      <c r="J421" s="14"/>
      <c r="K421" s="14"/>
      <c r="L421" s="5" t="str">
        <f t="shared" si="39"/>
        <v/>
      </c>
      <c r="M421" s="5" t="str">
        <f t="shared" si="40"/>
        <v/>
      </c>
      <c r="N421" s="5" t="str">
        <f t="shared" si="41"/>
        <v/>
      </c>
      <c r="O421" s="4"/>
    </row>
    <row r="422" spans="1:15" x14ac:dyDescent="0.25">
      <c r="A422" s="14"/>
      <c r="B422" s="14"/>
      <c r="C422" s="14"/>
      <c r="D422" s="5" t="str">
        <f t="shared" si="42"/>
        <v/>
      </c>
      <c r="E422" s="5" t="str">
        <f t="shared" si="43"/>
        <v/>
      </c>
      <c r="F422" s="5" t="str">
        <f t="shared" si="44"/>
        <v/>
      </c>
      <c r="G422" s="23"/>
      <c r="H422" s="66"/>
      <c r="I422" s="14"/>
      <c r="J422" s="14"/>
      <c r="K422" s="14"/>
      <c r="L422" s="5" t="str">
        <f t="shared" si="39"/>
        <v/>
      </c>
      <c r="M422" s="5" t="str">
        <f t="shared" si="40"/>
        <v/>
      </c>
      <c r="N422" s="5" t="str">
        <f t="shared" si="41"/>
        <v/>
      </c>
      <c r="O422" s="4"/>
    </row>
    <row r="423" spans="1:15" x14ac:dyDescent="0.25">
      <c r="A423" s="14"/>
      <c r="B423" s="14"/>
      <c r="C423" s="14"/>
      <c r="D423" s="5" t="str">
        <f t="shared" si="42"/>
        <v/>
      </c>
      <c r="E423" s="5" t="str">
        <f t="shared" si="43"/>
        <v/>
      </c>
      <c r="F423" s="5" t="str">
        <f t="shared" si="44"/>
        <v/>
      </c>
      <c r="G423" s="23"/>
      <c r="H423" s="66"/>
      <c r="I423" s="14"/>
      <c r="J423" s="14"/>
      <c r="K423" s="14"/>
      <c r="L423" s="5" t="str">
        <f t="shared" si="39"/>
        <v/>
      </c>
      <c r="M423" s="5" t="str">
        <f t="shared" si="40"/>
        <v/>
      </c>
      <c r="N423" s="5" t="str">
        <f t="shared" si="41"/>
        <v/>
      </c>
      <c r="O423" s="4"/>
    </row>
    <row r="424" spans="1:15" x14ac:dyDescent="0.25">
      <c r="A424" s="14"/>
      <c r="B424" s="14"/>
      <c r="C424" s="14"/>
      <c r="D424" s="5" t="str">
        <f t="shared" si="42"/>
        <v/>
      </c>
      <c r="E424" s="5" t="str">
        <f t="shared" si="43"/>
        <v/>
      </c>
      <c r="F424" s="5" t="str">
        <f t="shared" si="44"/>
        <v/>
      </c>
      <c r="G424" s="23"/>
      <c r="H424" s="66"/>
      <c r="I424" s="14"/>
      <c r="J424" s="14"/>
      <c r="K424" s="14"/>
      <c r="L424" s="5" t="str">
        <f t="shared" si="39"/>
        <v/>
      </c>
      <c r="M424" s="5" t="str">
        <f t="shared" si="40"/>
        <v/>
      </c>
      <c r="N424" s="5" t="str">
        <f t="shared" si="41"/>
        <v/>
      </c>
      <c r="O424" s="4"/>
    </row>
    <row r="425" spans="1:15" x14ac:dyDescent="0.25">
      <c r="A425" s="14"/>
      <c r="B425" s="14"/>
      <c r="C425" s="14"/>
      <c r="D425" s="5" t="str">
        <f t="shared" si="42"/>
        <v/>
      </c>
      <c r="E425" s="5" t="str">
        <f t="shared" si="43"/>
        <v/>
      </c>
      <c r="F425" s="5" t="str">
        <f t="shared" si="44"/>
        <v/>
      </c>
      <c r="G425" s="23"/>
      <c r="H425" s="66"/>
      <c r="I425" s="14"/>
      <c r="J425" s="14"/>
      <c r="K425" s="14"/>
      <c r="L425" s="5" t="str">
        <f t="shared" si="39"/>
        <v/>
      </c>
      <c r="M425" s="5" t="str">
        <f t="shared" si="40"/>
        <v/>
      </c>
      <c r="N425" s="5" t="str">
        <f t="shared" si="41"/>
        <v/>
      </c>
      <c r="O425" s="4"/>
    </row>
    <row r="426" spans="1:15" x14ac:dyDescent="0.25">
      <c r="A426" s="14"/>
      <c r="B426" s="14"/>
      <c r="C426" s="14"/>
      <c r="D426" s="5" t="str">
        <f t="shared" si="42"/>
        <v/>
      </c>
      <c r="E426" s="5" t="str">
        <f t="shared" si="43"/>
        <v/>
      </c>
      <c r="F426" s="5" t="str">
        <f t="shared" si="44"/>
        <v/>
      </c>
      <c r="G426" s="23"/>
      <c r="H426" s="66"/>
      <c r="I426" s="14"/>
      <c r="J426" s="14"/>
      <c r="K426" s="14"/>
      <c r="L426" s="5" t="str">
        <f t="shared" si="39"/>
        <v/>
      </c>
      <c r="M426" s="5" t="str">
        <f t="shared" si="40"/>
        <v/>
      </c>
      <c r="N426" s="5" t="str">
        <f t="shared" si="41"/>
        <v/>
      </c>
      <c r="O426" s="4"/>
    </row>
    <row r="427" spans="1:15" x14ac:dyDescent="0.25">
      <c r="A427" s="14"/>
      <c r="B427" s="14"/>
      <c r="C427" s="14"/>
      <c r="D427" s="5" t="str">
        <f t="shared" si="42"/>
        <v/>
      </c>
      <c r="E427" s="5" t="str">
        <f t="shared" si="43"/>
        <v/>
      </c>
      <c r="F427" s="5" t="str">
        <f t="shared" si="44"/>
        <v/>
      </c>
      <c r="G427" s="23"/>
      <c r="H427" s="66"/>
      <c r="I427" s="14"/>
      <c r="J427" s="14"/>
      <c r="K427" s="14"/>
      <c r="L427" s="5" t="str">
        <f t="shared" si="39"/>
        <v/>
      </c>
      <c r="M427" s="5" t="str">
        <f t="shared" si="40"/>
        <v/>
      </c>
      <c r="N427" s="5" t="str">
        <f t="shared" si="41"/>
        <v/>
      </c>
      <c r="O427" s="4"/>
    </row>
    <row r="428" spans="1:15" x14ac:dyDescent="0.25">
      <c r="A428" s="14"/>
      <c r="B428" s="14"/>
      <c r="C428" s="14"/>
      <c r="D428" s="5" t="str">
        <f t="shared" si="42"/>
        <v/>
      </c>
      <c r="E428" s="5" t="str">
        <f t="shared" si="43"/>
        <v/>
      </c>
      <c r="F428" s="5" t="str">
        <f t="shared" si="44"/>
        <v/>
      </c>
      <c r="G428" s="23"/>
      <c r="H428" s="66"/>
      <c r="I428" s="14"/>
      <c r="J428" s="14"/>
      <c r="K428" s="14"/>
      <c r="L428" s="5" t="str">
        <f t="shared" si="39"/>
        <v/>
      </c>
      <c r="M428" s="5" t="str">
        <f t="shared" si="40"/>
        <v/>
      </c>
      <c r="N428" s="5" t="str">
        <f t="shared" si="41"/>
        <v/>
      </c>
      <c r="O428" s="4"/>
    </row>
    <row r="429" spans="1:15" x14ac:dyDescent="0.25">
      <c r="A429" s="14"/>
      <c r="B429" s="14"/>
      <c r="C429" s="14"/>
      <c r="D429" s="5" t="str">
        <f t="shared" si="42"/>
        <v/>
      </c>
      <c r="E429" s="5" t="str">
        <f t="shared" si="43"/>
        <v/>
      </c>
      <c r="F429" s="5" t="str">
        <f t="shared" si="44"/>
        <v/>
      </c>
      <c r="G429" s="23"/>
      <c r="H429" s="66"/>
      <c r="I429" s="14"/>
      <c r="J429" s="14"/>
      <c r="K429" s="14"/>
      <c r="L429" s="5" t="str">
        <f t="shared" si="39"/>
        <v/>
      </c>
      <c r="M429" s="5" t="str">
        <f t="shared" si="40"/>
        <v/>
      </c>
      <c r="N429" s="5" t="str">
        <f t="shared" si="41"/>
        <v/>
      </c>
      <c r="O429" s="4"/>
    </row>
    <row r="430" spans="1:15" x14ac:dyDescent="0.25">
      <c r="A430" s="14"/>
      <c r="B430" s="14"/>
      <c r="C430" s="14"/>
      <c r="D430" s="5" t="str">
        <f t="shared" si="42"/>
        <v/>
      </c>
      <c r="E430" s="5" t="str">
        <f t="shared" si="43"/>
        <v/>
      </c>
      <c r="F430" s="5" t="str">
        <f t="shared" si="44"/>
        <v/>
      </c>
      <c r="G430" s="23"/>
      <c r="H430" s="66"/>
      <c r="I430" s="14"/>
      <c r="J430" s="14"/>
      <c r="K430" s="14"/>
      <c r="L430" s="5" t="str">
        <f t="shared" si="39"/>
        <v/>
      </c>
      <c r="M430" s="5" t="str">
        <f t="shared" si="40"/>
        <v/>
      </c>
      <c r="N430" s="5" t="str">
        <f t="shared" si="41"/>
        <v/>
      </c>
      <c r="O430" s="4"/>
    </row>
    <row r="431" spans="1:15" x14ac:dyDescent="0.25">
      <c r="A431" s="14"/>
      <c r="B431" s="14"/>
      <c r="C431" s="14"/>
      <c r="D431" s="5" t="str">
        <f t="shared" si="42"/>
        <v/>
      </c>
      <c r="E431" s="5" t="str">
        <f t="shared" si="43"/>
        <v/>
      </c>
      <c r="F431" s="5" t="str">
        <f t="shared" si="44"/>
        <v/>
      </c>
      <c r="G431" s="23"/>
      <c r="H431" s="66"/>
      <c r="I431" s="14"/>
      <c r="J431" s="14"/>
      <c r="K431" s="14"/>
      <c r="L431" s="5" t="str">
        <f t="shared" si="39"/>
        <v/>
      </c>
      <c r="M431" s="5" t="str">
        <f t="shared" si="40"/>
        <v/>
      </c>
      <c r="N431" s="5" t="str">
        <f t="shared" si="41"/>
        <v/>
      </c>
      <c r="O431" s="4"/>
    </row>
    <row r="432" spans="1:15" x14ac:dyDescent="0.25">
      <c r="A432" s="14"/>
      <c r="B432" s="14"/>
      <c r="C432" s="14"/>
      <c r="D432" s="5" t="str">
        <f t="shared" si="42"/>
        <v/>
      </c>
      <c r="E432" s="5" t="str">
        <f t="shared" si="43"/>
        <v/>
      </c>
      <c r="F432" s="5" t="str">
        <f t="shared" si="44"/>
        <v/>
      </c>
      <c r="G432" s="23"/>
      <c r="H432" s="66"/>
      <c r="I432" s="14"/>
      <c r="J432" s="14"/>
      <c r="K432" s="14"/>
      <c r="L432" s="5" t="str">
        <f t="shared" si="39"/>
        <v/>
      </c>
      <c r="M432" s="5" t="str">
        <f t="shared" si="40"/>
        <v/>
      </c>
      <c r="N432" s="5" t="str">
        <f t="shared" si="41"/>
        <v/>
      </c>
      <c r="O432" s="4"/>
    </row>
    <row r="433" spans="1:15" x14ac:dyDescent="0.25">
      <c r="A433" s="14"/>
      <c r="B433" s="14"/>
      <c r="C433" s="14"/>
      <c r="D433" s="5" t="str">
        <f t="shared" si="42"/>
        <v/>
      </c>
      <c r="E433" s="5" t="str">
        <f t="shared" si="43"/>
        <v/>
      </c>
      <c r="F433" s="5" t="str">
        <f t="shared" si="44"/>
        <v/>
      </c>
      <c r="G433" s="23"/>
      <c r="H433" s="66"/>
      <c r="I433" s="14"/>
      <c r="J433" s="14"/>
      <c r="K433" s="14"/>
      <c r="L433" s="5" t="str">
        <f t="shared" si="39"/>
        <v/>
      </c>
      <c r="M433" s="5" t="str">
        <f t="shared" si="40"/>
        <v/>
      </c>
      <c r="N433" s="5" t="str">
        <f t="shared" si="41"/>
        <v/>
      </c>
      <c r="O433" s="4"/>
    </row>
    <row r="434" spans="1:15" x14ac:dyDescent="0.25">
      <c r="A434" s="14"/>
      <c r="B434" s="14"/>
      <c r="C434" s="14"/>
      <c r="D434" s="5" t="str">
        <f t="shared" si="42"/>
        <v/>
      </c>
      <c r="E434" s="5" t="str">
        <f t="shared" si="43"/>
        <v/>
      </c>
      <c r="F434" s="5" t="str">
        <f t="shared" si="44"/>
        <v/>
      </c>
      <c r="G434" s="23"/>
      <c r="H434" s="66"/>
      <c r="I434" s="14"/>
      <c r="J434" s="14"/>
      <c r="K434" s="14"/>
      <c r="L434" s="5" t="str">
        <f t="shared" si="39"/>
        <v/>
      </c>
      <c r="M434" s="5" t="str">
        <f t="shared" si="40"/>
        <v/>
      </c>
      <c r="N434" s="5" t="str">
        <f t="shared" si="41"/>
        <v/>
      </c>
      <c r="O434" s="4"/>
    </row>
    <row r="435" spans="1:15" x14ac:dyDescent="0.25">
      <c r="A435" s="14"/>
      <c r="B435" s="14"/>
      <c r="C435" s="14"/>
      <c r="D435" s="5" t="str">
        <f t="shared" si="42"/>
        <v/>
      </c>
      <c r="E435" s="5" t="str">
        <f t="shared" si="43"/>
        <v/>
      </c>
      <c r="F435" s="5" t="str">
        <f t="shared" si="44"/>
        <v/>
      </c>
      <c r="G435" s="23"/>
      <c r="H435" s="66"/>
      <c r="I435" s="14"/>
      <c r="J435" s="14"/>
      <c r="K435" s="14"/>
      <c r="L435" s="5" t="str">
        <f t="shared" si="39"/>
        <v/>
      </c>
      <c r="M435" s="5" t="str">
        <f t="shared" si="40"/>
        <v/>
      </c>
      <c r="N435" s="5" t="str">
        <f t="shared" si="41"/>
        <v/>
      </c>
      <c r="O435" s="4"/>
    </row>
    <row r="436" spans="1:15" x14ac:dyDescent="0.25">
      <c r="A436" s="14"/>
      <c r="B436" s="14"/>
      <c r="C436" s="14"/>
      <c r="D436" s="5" t="str">
        <f t="shared" si="42"/>
        <v/>
      </c>
      <c r="E436" s="5" t="str">
        <f t="shared" si="43"/>
        <v/>
      </c>
      <c r="F436" s="5" t="str">
        <f t="shared" si="44"/>
        <v/>
      </c>
      <c r="G436" s="23"/>
      <c r="H436" s="66"/>
      <c r="I436" s="14"/>
      <c r="J436" s="14"/>
      <c r="K436" s="14"/>
      <c r="L436" s="5" t="str">
        <f t="shared" si="39"/>
        <v/>
      </c>
      <c r="M436" s="5" t="str">
        <f t="shared" si="40"/>
        <v/>
      </c>
      <c r="N436" s="5" t="str">
        <f t="shared" si="41"/>
        <v/>
      </c>
      <c r="O436" s="4"/>
    </row>
    <row r="437" spans="1:15" x14ac:dyDescent="0.25">
      <c r="A437" s="14"/>
      <c r="B437" s="14"/>
      <c r="C437" s="14"/>
      <c r="D437" s="5" t="str">
        <f t="shared" si="42"/>
        <v/>
      </c>
      <c r="E437" s="5" t="str">
        <f t="shared" si="43"/>
        <v/>
      </c>
      <c r="F437" s="5" t="str">
        <f t="shared" si="44"/>
        <v/>
      </c>
      <c r="G437" s="23"/>
      <c r="H437" s="66"/>
      <c r="I437" s="14"/>
      <c r="J437" s="14"/>
      <c r="K437" s="14"/>
      <c r="L437" s="5" t="str">
        <f t="shared" si="39"/>
        <v/>
      </c>
      <c r="M437" s="5" t="str">
        <f t="shared" si="40"/>
        <v/>
      </c>
      <c r="N437" s="5" t="str">
        <f t="shared" si="41"/>
        <v/>
      </c>
      <c r="O437" s="4"/>
    </row>
    <row r="438" spans="1:15" x14ac:dyDescent="0.25">
      <c r="A438" s="14"/>
      <c r="B438" s="14"/>
      <c r="C438" s="14"/>
      <c r="D438" s="5" t="str">
        <f t="shared" si="42"/>
        <v/>
      </c>
      <c r="E438" s="5" t="str">
        <f t="shared" si="43"/>
        <v/>
      </c>
      <c r="F438" s="5" t="str">
        <f t="shared" si="44"/>
        <v/>
      </c>
      <c r="G438" s="23"/>
      <c r="H438" s="66"/>
      <c r="I438" s="14"/>
      <c r="J438" s="14"/>
      <c r="K438" s="14"/>
      <c r="L438" s="5" t="str">
        <f t="shared" si="39"/>
        <v/>
      </c>
      <c r="M438" s="5" t="str">
        <f t="shared" si="40"/>
        <v/>
      </c>
      <c r="N438" s="5" t="str">
        <f t="shared" si="41"/>
        <v/>
      </c>
      <c r="O438" s="4"/>
    </row>
    <row r="439" spans="1:15" x14ac:dyDescent="0.25">
      <c r="A439" s="14"/>
      <c r="B439" s="14"/>
      <c r="C439" s="14"/>
      <c r="D439" s="5" t="str">
        <f t="shared" si="42"/>
        <v/>
      </c>
      <c r="E439" s="5" t="str">
        <f t="shared" si="43"/>
        <v/>
      </c>
      <c r="F439" s="5" t="str">
        <f t="shared" si="44"/>
        <v/>
      </c>
      <c r="G439" s="23"/>
      <c r="H439" s="66"/>
      <c r="I439" s="14"/>
      <c r="J439" s="14"/>
      <c r="K439" s="14"/>
      <c r="L439" s="5" t="str">
        <f t="shared" si="39"/>
        <v/>
      </c>
      <c r="M439" s="5" t="str">
        <f t="shared" si="40"/>
        <v/>
      </c>
      <c r="N439" s="5" t="str">
        <f t="shared" si="41"/>
        <v/>
      </c>
      <c r="O439" s="4"/>
    </row>
    <row r="440" spans="1:15" x14ac:dyDescent="0.25">
      <c r="A440" s="14"/>
      <c r="B440" s="14"/>
      <c r="C440" s="14"/>
      <c r="D440" s="5" t="str">
        <f t="shared" si="42"/>
        <v/>
      </c>
      <c r="E440" s="5" t="str">
        <f t="shared" si="43"/>
        <v/>
      </c>
      <c r="F440" s="5" t="str">
        <f t="shared" si="44"/>
        <v/>
      </c>
      <c r="G440" s="23"/>
      <c r="H440" s="66"/>
      <c r="I440" s="14"/>
      <c r="J440" s="14"/>
      <c r="K440" s="14"/>
      <c r="L440" s="5" t="str">
        <f t="shared" si="39"/>
        <v/>
      </c>
      <c r="M440" s="5" t="str">
        <f t="shared" si="40"/>
        <v/>
      </c>
      <c r="N440" s="5" t="str">
        <f t="shared" si="41"/>
        <v/>
      </c>
      <c r="O440" s="4"/>
    </row>
    <row r="441" spans="1:15" x14ac:dyDescent="0.25">
      <c r="A441" s="14"/>
      <c r="B441" s="14"/>
      <c r="C441" s="14"/>
      <c r="D441" s="5" t="str">
        <f t="shared" si="42"/>
        <v/>
      </c>
      <c r="E441" s="5" t="str">
        <f t="shared" si="43"/>
        <v/>
      </c>
      <c r="F441" s="5" t="str">
        <f t="shared" si="44"/>
        <v/>
      </c>
      <c r="G441" s="23"/>
      <c r="H441" s="66"/>
      <c r="I441" s="14"/>
      <c r="J441" s="14"/>
      <c r="K441" s="14"/>
      <c r="L441" s="5" t="str">
        <f t="shared" si="39"/>
        <v/>
      </c>
      <c r="M441" s="5" t="str">
        <f t="shared" si="40"/>
        <v/>
      </c>
      <c r="N441" s="5" t="str">
        <f t="shared" si="41"/>
        <v/>
      </c>
      <c r="O441" s="4"/>
    </row>
    <row r="442" spans="1:15" x14ac:dyDescent="0.25">
      <c r="A442" s="14"/>
      <c r="B442" s="14"/>
      <c r="C442" s="14"/>
      <c r="D442" s="5" t="str">
        <f t="shared" si="42"/>
        <v/>
      </c>
      <c r="E442" s="5" t="str">
        <f t="shared" si="43"/>
        <v/>
      </c>
      <c r="F442" s="5" t="str">
        <f t="shared" si="44"/>
        <v/>
      </c>
      <c r="G442" s="23"/>
      <c r="H442" s="66"/>
      <c r="I442" s="14"/>
      <c r="J442" s="14"/>
      <c r="K442" s="14"/>
      <c r="L442" s="5" t="str">
        <f t="shared" si="39"/>
        <v/>
      </c>
      <c r="M442" s="5" t="str">
        <f t="shared" si="40"/>
        <v/>
      </c>
      <c r="N442" s="5" t="str">
        <f t="shared" si="41"/>
        <v/>
      </c>
      <c r="O442" s="4"/>
    </row>
    <row r="443" spans="1:15" x14ac:dyDescent="0.25">
      <c r="A443" s="14"/>
      <c r="B443" s="14"/>
      <c r="C443" s="14"/>
      <c r="D443" s="5" t="str">
        <f t="shared" si="42"/>
        <v/>
      </c>
      <c r="E443" s="5" t="str">
        <f t="shared" si="43"/>
        <v/>
      </c>
      <c r="F443" s="5" t="str">
        <f t="shared" si="44"/>
        <v/>
      </c>
      <c r="G443" s="23"/>
      <c r="H443" s="66"/>
      <c r="I443" s="14"/>
      <c r="J443" s="14"/>
      <c r="K443" s="14"/>
      <c r="L443" s="5" t="str">
        <f t="shared" si="39"/>
        <v/>
      </c>
      <c r="M443" s="5" t="str">
        <f t="shared" si="40"/>
        <v/>
      </c>
      <c r="N443" s="5" t="str">
        <f t="shared" si="41"/>
        <v/>
      </c>
      <c r="O443" s="4"/>
    </row>
    <row r="444" spans="1:15" x14ac:dyDescent="0.25">
      <c r="A444" s="14"/>
      <c r="B444" s="14"/>
      <c r="C444" s="14"/>
      <c r="D444" s="5" t="str">
        <f t="shared" si="42"/>
        <v/>
      </c>
      <c r="E444" s="5" t="str">
        <f t="shared" si="43"/>
        <v/>
      </c>
      <c r="F444" s="5" t="str">
        <f t="shared" si="44"/>
        <v/>
      </c>
      <c r="G444" s="23"/>
      <c r="H444" s="66"/>
      <c r="I444" s="14"/>
      <c r="J444" s="14"/>
      <c r="K444" s="14"/>
      <c r="L444" s="5" t="str">
        <f t="shared" si="39"/>
        <v/>
      </c>
      <c r="M444" s="5" t="str">
        <f t="shared" si="40"/>
        <v/>
      </c>
      <c r="N444" s="5" t="str">
        <f t="shared" si="41"/>
        <v/>
      </c>
      <c r="O444" s="4"/>
    </row>
    <row r="445" spans="1:15" x14ac:dyDescent="0.25">
      <c r="A445" s="14"/>
      <c r="B445" s="14"/>
      <c r="C445" s="14"/>
      <c r="D445" s="5" t="str">
        <f t="shared" si="42"/>
        <v/>
      </c>
      <c r="E445" s="5" t="str">
        <f t="shared" si="43"/>
        <v/>
      </c>
      <c r="F445" s="5" t="str">
        <f t="shared" si="44"/>
        <v/>
      </c>
      <c r="G445" s="23"/>
      <c r="H445" s="66"/>
      <c r="I445" s="14"/>
      <c r="J445" s="14"/>
      <c r="K445" s="14"/>
      <c r="L445" s="5" t="str">
        <f t="shared" si="39"/>
        <v/>
      </c>
      <c r="M445" s="5" t="str">
        <f t="shared" si="40"/>
        <v/>
      </c>
      <c r="N445" s="5" t="str">
        <f t="shared" si="41"/>
        <v/>
      </c>
      <c r="O445" s="4"/>
    </row>
    <row r="446" spans="1:15" x14ac:dyDescent="0.25">
      <c r="A446" s="14"/>
      <c r="B446" s="14"/>
      <c r="C446" s="14"/>
      <c r="D446" s="5" t="str">
        <f t="shared" si="42"/>
        <v/>
      </c>
      <c r="E446" s="5" t="str">
        <f t="shared" si="43"/>
        <v/>
      </c>
      <c r="F446" s="5" t="str">
        <f t="shared" si="44"/>
        <v/>
      </c>
      <c r="G446" s="23"/>
      <c r="H446" s="66"/>
      <c r="I446" s="14"/>
      <c r="J446" s="14"/>
      <c r="K446" s="14"/>
      <c r="L446" s="5" t="str">
        <f t="shared" si="39"/>
        <v/>
      </c>
      <c r="M446" s="5" t="str">
        <f t="shared" si="40"/>
        <v/>
      </c>
      <c r="N446" s="5" t="str">
        <f t="shared" si="41"/>
        <v/>
      </c>
      <c r="O446" s="4"/>
    </row>
    <row r="447" spans="1:15" x14ac:dyDescent="0.25">
      <c r="A447" s="14"/>
      <c r="B447" s="14"/>
      <c r="C447" s="14"/>
      <c r="D447" s="5" t="str">
        <f t="shared" si="42"/>
        <v/>
      </c>
      <c r="E447" s="5" t="str">
        <f t="shared" si="43"/>
        <v/>
      </c>
      <c r="F447" s="5" t="str">
        <f t="shared" si="44"/>
        <v/>
      </c>
      <c r="G447" s="23"/>
      <c r="H447" s="66"/>
      <c r="I447" s="14"/>
      <c r="J447" s="14"/>
      <c r="K447" s="14"/>
      <c r="L447" s="5" t="str">
        <f t="shared" si="39"/>
        <v/>
      </c>
      <c r="M447" s="5" t="str">
        <f t="shared" si="40"/>
        <v/>
      </c>
      <c r="N447" s="5" t="str">
        <f t="shared" si="41"/>
        <v/>
      </c>
      <c r="O447" s="4"/>
    </row>
    <row r="448" spans="1:15" x14ac:dyDescent="0.25">
      <c r="A448" s="14"/>
      <c r="B448" s="14"/>
      <c r="C448" s="14"/>
      <c r="D448" s="5" t="str">
        <f t="shared" si="42"/>
        <v/>
      </c>
      <c r="E448" s="5" t="str">
        <f t="shared" si="43"/>
        <v/>
      </c>
      <c r="F448" s="5" t="str">
        <f t="shared" si="44"/>
        <v/>
      </c>
      <c r="G448" s="23"/>
      <c r="H448" s="66"/>
      <c r="I448" s="14"/>
      <c r="J448" s="14"/>
      <c r="K448" s="14"/>
      <c r="L448" s="5" t="str">
        <f t="shared" si="39"/>
        <v/>
      </c>
      <c r="M448" s="5" t="str">
        <f t="shared" si="40"/>
        <v/>
      </c>
      <c r="N448" s="5" t="str">
        <f t="shared" si="41"/>
        <v/>
      </c>
      <c r="O448" s="4"/>
    </row>
    <row r="449" spans="1:15" x14ac:dyDescent="0.25">
      <c r="A449" s="14"/>
      <c r="B449" s="14"/>
      <c r="C449" s="14"/>
      <c r="D449" s="5" t="str">
        <f t="shared" si="42"/>
        <v/>
      </c>
      <c r="E449" s="5" t="str">
        <f t="shared" si="43"/>
        <v/>
      </c>
      <c r="F449" s="5" t="str">
        <f t="shared" si="44"/>
        <v/>
      </c>
      <c r="G449" s="23"/>
      <c r="H449" s="66"/>
      <c r="I449" s="14"/>
      <c r="J449" s="14"/>
      <c r="K449" s="14"/>
      <c r="L449" s="5" t="str">
        <f t="shared" si="39"/>
        <v/>
      </c>
      <c r="M449" s="5" t="str">
        <f t="shared" si="40"/>
        <v/>
      </c>
      <c r="N449" s="5" t="str">
        <f t="shared" si="41"/>
        <v/>
      </c>
      <c r="O449" s="4"/>
    </row>
    <row r="450" spans="1:15" x14ac:dyDescent="0.25">
      <c r="A450" s="14"/>
      <c r="B450" s="14"/>
      <c r="C450" s="14"/>
      <c r="D450" s="5" t="str">
        <f t="shared" si="42"/>
        <v/>
      </c>
      <c r="E450" s="5" t="str">
        <f t="shared" si="43"/>
        <v/>
      </c>
      <c r="F450" s="5" t="str">
        <f t="shared" si="44"/>
        <v/>
      </c>
      <c r="G450" s="23"/>
      <c r="H450" s="66"/>
      <c r="I450" s="14"/>
      <c r="J450" s="14"/>
      <c r="K450" s="14"/>
      <c r="L450" s="5" t="str">
        <f t="shared" si="39"/>
        <v/>
      </c>
      <c r="M450" s="5" t="str">
        <f t="shared" si="40"/>
        <v/>
      </c>
      <c r="N450" s="5" t="str">
        <f t="shared" si="41"/>
        <v/>
      </c>
      <c r="O450" s="4"/>
    </row>
    <row r="451" spans="1:15" x14ac:dyDescent="0.25">
      <c r="A451" s="14"/>
      <c r="B451" s="14"/>
      <c r="C451" s="14"/>
      <c r="D451" s="5" t="str">
        <f t="shared" si="42"/>
        <v/>
      </c>
      <c r="E451" s="5" t="str">
        <f t="shared" si="43"/>
        <v/>
      </c>
      <c r="F451" s="5" t="str">
        <f t="shared" si="44"/>
        <v/>
      </c>
      <c r="G451" s="23"/>
      <c r="H451" s="66"/>
      <c r="I451" s="14"/>
      <c r="J451" s="14"/>
      <c r="K451" s="14"/>
      <c r="L451" s="5" t="str">
        <f t="shared" si="39"/>
        <v/>
      </c>
      <c r="M451" s="5" t="str">
        <f t="shared" si="40"/>
        <v/>
      </c>
      <c r="N451" s="5" t="str">
        <f t="shared" si="41"/>
        <v/>
      </c>
      <c r="O451" s="4"/>
    </row>
    <row r="452" spans="1:15" x14ac:dyDescent="0.25">
      <c r="A452" s="14"/>
      <c r="B452" s="14"/>
      <c r="C452" s="14"/>
      <c r="D452" s="5" t="str">
        <f t="shared" si="42"/>
        <v/>
      </c>
      <c r="E452" s="5" t="str">
        <f t="shared" si="43"/>
        <v/>
      </c>
      <c r="F452" s="5" t="str">
        <f t="shared" si="44"/>
        <v/>
      </c>
      <c r="G452" s="23"/>
      <c r="H452" s="66"/>
      <c r="I452" s="14"/>
      <c r="J452" s="14"/>
      <c r="K452" s="14"/>
      <c r="L452" s="5" t="str">
        <f t="shared" si="39"/>
        <v/>
      </c>
      <c r="M452" s="5" t="str">
        <f t="shared" si="40"/>
        <v/>
      </c>
      <c r="N452" s="5" t="str">
        <f t="shared" si="41"/>
        <v/>
      </c>
      <c r="O452" s="4"/>
    </row>
    <row r="453" spans="1:15" x14ac:dyDescent="0.25">
      <c r="A453" s="14"/>
      <c r="B453" s="14"/>
      <c r="C453" s="14"/>
      <c r="D453" s="5" t="str">
        <f t="shared" si="42"/>
        <v/>
      </c>
      <c r="E453" s="5" t="str">
        <f t="shared" si="43"/>
        <v/>
      </c>
      <c r="F453" s="5" t="str">
        <f t="shared" si="44"/>
        <v/>
      </c>
      <c r="G453" s="23"/>
      <c r="H453" s="66"/>
      <c r="I453" s="14"/>
      <c r="J453" s="14"/>
      <c r="K453" s="14"/>
      <c r="L453" s="5" t="str">
        <f t="shared" ref="L453:L516" si="45">IFERROR(IF(I453&lt;&gt;"",(((J453-J452)*$X$4/(I453-I452)))*$X$5,""),"")</f>
        <v/>
      </c>
      <c r="M453" s="5" t="str">
        <f t="shared" ref="M453:M516" si="46">IFERROR(IF(I453&lt;&gt;"",(((K453-K452)*$X$4/(I453-I452)))*$X$5,""),"")</f>
        <v/>
      </c>
      <c r="N453" s="5" t="str">
        <f t="shared" ref="N453:N516" si="47">IFERROR(IF(I453&lt;&gt;"",((ACOS((COS(RADIANS(J452))*COS(RADIANS(J453)))+(SIN(RADIANS(J452))*SIN(RADIANS(J453)))*COS(RADIANS(K453-K452)))*180/PI()*($X$4/(I453-I452))))*$X$5,""),"")</f>
        <v/>
      </c>
      <c r="O453" s="4"/>
    </row>
    <row r="454" spans="1:15" x14ac:dyDescent="0.25">
      <c r="A454" s="14"/>
      <c r="B454" s="14"/>
      <c r="C454" s="14"/>
      <c r="D454" s="5" t="str">
        <f t="shared" si="42"/>
        <v/>
      </c>
      <c r="E454" s="5" t="str">
        <f t="shared" si="43"/>
        <v/>
      </c>
      <c r="F454" s="5" t="str">
        <f t="shared" si="44"/>
        <v/>
      </c>
      <c r="G454" s="23"/>
      <c r="H454" s="66"/>
      <c r="I454" s="14"/>
      <c r="J454" s="14"/>
      <c r="K454" s="14"/>
      <c r="L454" s="5" t="str">
        <f t="shared" si="45"/>
        <v/>
      </c>
      <c r="M454" s="5" t="str">
        <f t="shared" si="46"/>
        <v/>
      </c>
      <c r="N454" s="5" t="str">
        <f t="shared" si="47"/>
        <v/>
      </c>
      <c r="O454" s="4"/>
    </row>
    <row r="455" spans="1:15" x14ac:dyDescent="0.25">
      <c r="A455" s="14"/>
      <c r="B455" s="14"/>
      <c r="C455" s="14"/>
      <c r="D455" s="5" t="str">
        <f t="shared" si="42"/>
        <v/>
      </c>
      <c r="E455" s="5" t="str">
        <f t="shared" si="43"/>
        <v/>
      </c>
      <c r="F455" s="5" t="str">
        <f t="shared" si="44"/>
        <v/>
      </c>
      <c r="G455" s="23"/>
      <c r="H455" s="66"/>
      <c r="I455" s="14"/>
      <c r="J455" s="14"/>
      <c r="K455" s="14"/>
      <c r="L455" s="5" t="str">
        <f t="shared" si="45"/>
        <v/>
      </c>
      <c r="M455" s="5" t="str">
        <f t="shared" si="46"/>
        <v/>
      </c>
      <c r="N455" s="5" t="str">
        <f t="shared" si="47"/>
        <v/>
      </c>
      <c r="O455" s="4"/>
    </row>
    <row r="456" spans="1:15" x14ac:dyDescent="0.25">
      <c r="A456" s="14"/>
      <c r="B456" s="14"/>
      <c r="C456" s="14"/>
      <c r="D456" s="5" t="str">
        <f t="shared" si="42"/>
        <v/>
      </c>
      <c r="E456" s="5" t="str">
        <f t="shared" si="43"/>
        <v/>
      </c>
      <c r="F456" s="5" t="str">
        <f t="shared" si="44"/>
        <v/>
      </c>
      <c r="G456" s="23"/>
      <c r="H456" s="66"/>
      <c r="I456" s="14"/>
      <c r="J456" s="14"/>
      <c r="K456" s="14"/>
      <c r="L456" s="5" t="str">
        <f t="shared" si="45"/>
        <v/>
      </c>
      <c r="M456" s="5" t="str">
        <f t="shared" si="46"/>
        <v/>
      </c>
      <c r="N456" s="5" t="str">
        <f t="shared" si="47"/>
        <v/>
      </c>
      <c r="O456" s="4"/>
    </row>
    <row r="457" spans="1:15" x14ac:dyDescent="0.25">
      <c r="A457" s="14"/>
      <c r="B457" s="14"/>
      <c r="C457" s="14"/>
      <c r="D457" s="5" t="str">
        <f t="shared" si="42"/>
        <v/>
      </c>
      <c r="E457" s="5" t="str">
        <f t="shared" si="43"/>
        <v/>
      </c>
      <c r="F457" s="5" t="str">
        <f t="shared" si="44"/>
        <v/>
      </c>
      <c r="G457" s="23"/>
      <c r="H457" s="66"/>
      <c r="I457" s="14"/>
      <c r="J457" s="14"/>
      <c r="K457" s="14"/>
      <c r="L457" s="5" t="str">
        <f t="shared" si="45"/>
        <v/>
      </c>
      <c r="M457" s="5" t="str">
        <f t="shared" si="46"/>
        <v/>
      </c>
      <c r="N457" s="5" t="str">
        <f t="shared" si="47"/>
        <v/>
      </c>
      <c r="O457" s="4"/>
    </row>
    <row r="458" spans="1:15" x14ac:dyDescent="0.25">
      <c r="A458" s="14"/>
      <c r="B458" s="14"/>
      <c r="C458" s="14"/>
      <c r="D458" s="5" t="str">
        <f t="shared" si="42"/>
        <v/>
      </c>
      <c r="E458" s="5" t="str">
        <f t="shared" si="43"/>
        <v/>
      </c>
      <c r="F458" s="5" t="str">
        <f t="shared" si="44"/>
        <v/>
      </c>
      <c r="G458" s="23"/>
      <c r="H458" s="66"/>
      <c r="I458" s="14"/>
      <c r="J458" s="14"/>
      <c r="K458" s="14"/>
      <c r="L458" s="5" t="str">
        <f t="shared" si="45"/>
        <v/>
      </c>
      <c r="M458" s="5" t="str">
        <f t="shared" si="46"/>
        <v/>
      </c>
      <c r="N458" s="5" t="str">
        <f t="shared" si="47"/>
        <v/>
      </c>
      <c r="O458" s="4"/>
    </row>
    <row r="459" spans="1:15" x14ac:dyDescent="0.25">
      <c r="A459" s="14"/>
      <c r="B459" s="14"/>
      <c r="C459" s="14"/>
      <c r="D459" s="5" t="str">
        <f t="shared" si="42"/>
        <v/>
      </c>
      <c r="E459" s="5" t="str">
        <f t="shared" si="43"/>
        <v/>
      </c>
      <c r="F459" s="5" t="str">
        <f t="shared" si="44"/>
        <v/>
      </c>
      <c r="G459" s="23"/>
      <c r="H459" s="66"/>
      <c r="I459" s="14"/>
      <c r="J459" s="14"/>
      <c r="K459" s="14"/>
      <c r="L459" s="5" t="str">
        <f t="shared" si="45"/>
        <v/>
      </c>
      <c r="M459" s="5" t="str">
        <f t="shared" si="46"/>
        <v/>
      </c>
      <c r="N459" s="5" t="str">
        <f t="shared" si="47"/>
        <v/>
      </c>
      <c r="O459" s="4"/>
    </row>
    <row r="460" spans="1:15" x14ac:dyDescent="0.25">
      <c r="A460" s="14"/>
      <c r="B460" s="14"/>
      <c r="C460" s="14"/>
      <c r="D460" s="5" t="str">
        <f t="shared" si="42"/>
        <v/>
      </c>
      <c r="E460" s="5" t="str">
        <f t="shared" si="43"/>
        <v/>
      </c>
      <c r="F460" s="5" t="str">
        <f t="shared" si="44"/>
        <v/>
      </c>
      <c r="G460" s="23"/>
      <c r="H460" s="66"/>
      <c r="I460" s="14"/>
      <c r="J460" s="14"/>
      <c r="K460" s="14"/>
      <c r="L460" s="5" t="str">
        <f t="shared" si="45"/>
        <v/>
      </c>
      <c r="M460" s="5" t="str">
        <f t="shared" si="46"/>
        <v/>
      </c>
      <c r="N460" s="5" t="str">
        <f t="shared" si="47"/>
        <v/>
      </c>
      <c r="O460" s="4"/>
    </row>
    <row r="461" spans="1:15" x14ac:dyDescent="0.25">
      <c r="A461" s="14"/>
      <c r="B461" s="14"/>
      <c r="C461" s="14"/>
      <c r="D461" s="5" t="str">
        <f t="shared" si="42"/>
        <v/>
      </c>
      <c r="E461" s="5" t="str">
        <f t="shared" si="43"/>
        <v/>
      </c>
      <c r="F461" s="5" t="str">
        <f t="shared" si="44"/>
        <v/>
      </c>
      <c r="G461" s="23"/>
      <c r="H461" s="66"/>
      <c r="I461" s="14"/>
      <c r="J461" s="14"/>
      <c r="K461" s="14"/>
      <c r="L461" s="5" t="str">
        <f t="shared" si="45"/>
        <v/>
      </c>
      <c r="M461" s="5" t="str">
        <f t="shared" si="46"/>
        <v/>
      </c>
      <c r="N461" s="5" t="str">
        <f t="shared" si="47"/>
        <v/>
      </c>
      <c r="O461" s="4"/>
    </row>
    <row r="462" spans="1:15" x14ac:dyDescent="0.25">
      <c r="A462" s="14"/>
      <c r="B462" s="14"/>
      <c r="C462" s="14"/>
      <c r="D462" s="5" t="str">
        <f t="shared" si="42"/>
        <v/>
      </c>
      <c r="E462" s="5" t="str">
        <f t="shared" si="43"/>
        <v/>
      </c>
      <c r="F462" s="5" t="str">
        <f t="shared" si="44"/>
        <v/>
      </c>
      <c r="G462" s="23"/>
      <c r="H462" s="66"/>
      <c r="I462" s="14"/>
      <c r="J462" s="14"/>
      <c r="K462" s="14"/>
      <c r="L462" s="5" t="str">
        <f t="shared" si="45"/>
        <v/>
      </c>
      <c r="M462" s="5" t="str">
        <f t="shared" si="46"/>
        <v/>
      </c>
      <c r="N462" s="5" t="str">
        <f t="shared" si="47"/>
        <v/>
      </c>
      <c r="O462" s="4"/>
    </row>
    <row r="463" spans="1:15" x14ac:dyDescent="0.25">
      <c r="A463" s="14"/>
      <c r="B463" s="14"/>
      <c r="C463" s="14"/>
      <c r="D463" s="5" t="str">
        <f t="shared" si="42"/>
        <v/>
      </c>
      <c r="E463" s="5" t="str">
        <f t="shared" si="43"/>
        <v/>
      </c>
      <c r="F463" s="5" t="str">
        <f t="shared" si="44"/>
        <v/>
      </c>
      <c r="G463" s="23"/>
      <c r="H463" s="66"/>
      <c r="I463" s="14"/>
      <c r="J463" s="14"/>
      <c r="K463" s="14"/>
      <c r="L463" s="5" t="str">
        <f t="shared" si="45"/>
        <v/>
      </c>
      <c r="M463" s="5" t="str">
        <f t="shared" si="46"/>
        <v/>
      </c>
      <c r="N463" s="5" t="str">
        <f t="shared" si="47"/>
        <v/>
      </c>
      <c r="O463" s="4"/>
    </row>
    <row r="464" spans="1:15" x14ac:dyDescent="0.25">
      <c r="A464" s="14"/>
      <c r="B464" s="14"/>
      <c r="C464" s="14"/>
      <c r="D464" s="5" t="str">
        <f t="shared" si="42"/>
        <v/>
      </c>
      <c r="E464" s="5" t="str">
        <f t="shared" si="43"/>
        <v/>
      </c>
      <c r="F464" s="5" t="str">
        <f t="shared" si="44"/>
        <v/>
      </c>
      <c r="G464" s="23"/>
      <c r="H464" s="66"/>
      <c r="I464" s="14"/>
      <c r="J464" s="14"/>
      <c r="K464" s="14"/>
      <c r="L464" s="5" t="str">
        <f t="shared" si="45"/>
        <v/>
      </c>
      <c r="M464" s="5" t="str">
        <f t="shared" si="46"/>
        <v/>
      </c>
      <c r="N464" s="5" t="str">
        <f t="shared" si="47"/>
        <v/>
      </c>
      <c r="O464" s="4"/>
    </row>
    <row r="465" spans="1:15" x14ac:dyDescent="0.25">
      <c r="A465" s="14"/>
      <c r="B465" s="14"/>
      <c r="C465" s="14"/>
      <c r="D465" s="5" t="str">
        <f t="shared" si="42"/>
        <v/>
      </c>
      <c r="E465" s="5" t="str">
        <f t="shared" si="43"/>
        <v/>
      </c>
      <c r="F465" s="5" t="str">
        <f t="shared" si="44"/>
        <v/>
      </c>
      <c r="G465" s="23"/>
      <c r="H465" s="66"/>
      <c r="I465" s="14"/>
      <c r="J465" s="14"/>
      <c r="K465" s="14"/>
      <c r="L465" s="5" t="str">
        <f t="shared" si="45"/>
        <v/>
      </c>
      <c r="M465" s="5" t="str">
        <f t="shared" si="46"/>
        <v/>
      </c>
      <c r="N465" s="5" t="str">
        <f t="shared" si="47"/>
        <v/>
      </c>
      <c r="O465" s="4"/>
    </row>
    <row r="466" spans="1:15" x14ac:dyDescent="0.25">
      <c r="A466" s="14"/>
      <c r="B466" s="14"/>
      <c r="C466" s="14"/>
      <c r="D466" s="5" t="str">
        <f t="shared" si="42"/>
        <v/>
      </c>
      <c r="E466" s="5" t="str">
        <f t="shared" si="43"/>
        <v/>
      </c>
      <c r="F466" s="5" t="str">
        <f t="shared" si="44"/>
        <v/>
      </c>
      <c r="G466" s="23"/>
      <c r="H466" s="66"/>
      <c r="I466" s="14"/>
      <c r="J466" s="14"/>
      <c r="K466" s="14"/>
      <c r="L466" s="5" t="str">
        <f t="shared" si="45"/>
        <v/>
      </c>
      <c r="M466" s="5" t="str">
        <f t="shared" si="46"/>
        <v/>
      </c>
      <c r="N466" s="5" t="str">
        <f t="shared" si="47"/>
        <v/>
      </c>
      <c r="O466" s="4"/>
    </row>
    <row r="467" spans="1:15" x14ac:dyDescent="0.25">
      <c r="A467" s="14"/>
      <c r="B467" s="14"/>
      <c r="C467" s="14"/>
      <c r="D467" s="5" t="str">
        <f t="shared" si="42"/>
        <v/>
      </c>
      <c r="E467" s="5" t="str">
        <f t="shared" si="43"/>
        <v/>
      </c>
      <c r="F467" s="5" t="str">
        <f t="shared" si="44"/>
        <v/>
      </c>
      <c r="G467" s="23"/>
      <c r="H467" s="66"/>
      <c r="I467" s="14"/>
      <c r="J467" s="14"/>
      <c r="K467" s="14"/>
      <c r="L467" s="5" t="str">
        <f t="shared" si="45"/>
        <v/>
      </c>
      <c r="M467" s="5" t="str">
        <f t="shared" si="46"/>
        <v/>
      </c>
      <c r="N467" s="5" t="str">
        <f t="shared" si="47"/>
        <v/>
      </c>
      <c r="O467" s="4"/>
    </row>
    <row r="468" spans="1:15" x14ac:dyDescent="0.25">
      <c r="A468" s="14"/>
      <c r="B468" s="14"/>
      <c r="C468" s="14"/>
      <c r="D468" s="5" t="str">
        <f t="shared" si="42"/>
        <v/>
      </c>
      <c r="E468" s="5" t="str">
        <f t="shared" si="43"/>
        <v/>
      </c>
      <c r="F468" s="5" t="str">
        <f t="shared" si="44"/>
        <v/>
      </c>
      <c r="G468" s="23"/>
      <c r="H468" s="66"/>
      <c r="I468" s="14"/>
      <c r="J468" s="14"/>
      <c r="K468" s="14"/>
      <c r="L468" s="5" t="str">
        <f t="shared" si="45"/>
        <v/>
      </c>
      <c r="M468" s="5" t="str">
        <f t="shared" si="46"/>
        <v/>
      </c>
      <c r="N468" s="5" t="str">
        <f t="shared" si="47"/>
        <v/>
      </c>
      <c r="O468" s="4"/>
    </row>
    <row r="469" spans="1:15" x14ac:dyDescent="0.25">
      <c r="A469" s="14"/>
      <c r="B469" s="14"/>
      <c r="C469" s="14"/>
      <c r="D469" s="5" t="str">
        <f t="shared" si="42"/>
        <v/>
      </c>
      <c r="E469" s="5" t="str">
        <f t="shared" si="43"/>
        <v/>
      </c>
      <c r="F469" s="5" t="str">
        <f t="shared" si="44"/>
        <v/>
      </c>
      <c r="G469" s="23"/>
      <c r="H469" s="66"/>
      <c r="I469" s="14"/>
      <c r="J469" s="14"/>
      <c r="K469" s="14"/>
      <c r="L469" s="5" t="str">
        <f t="shared" si="45"/>
        <v/>
      </c>
      <c r="M469" s="5" t="str">
        <f t="shared" si="46"/>
        <v/>
      </c>
      <c r="N469" s="5" t="str">
        <f t="shared" si="47"/>
        <v/>
      </c>
      <c r="O469" s="4"/>
    </row>
    <row r="470" spans="1:15" x14ac:dyDescent="0.25">
      <c r="A470" s="14"/>
      <c r="B470" s="14"/>
      <c r="C470" s="14"/>
      <c r="D470" s="5" t="str">
        <f t="shared" si="42"/>
        <v/>
      </c>
      <c r="E470" s="5" t="str">
        <f t="shared" si="43"/>
        <v/>
      </c>
      <c r="F470" s="5" t="str">
        <f t="shared" si="44"/>
        <v/>
      </c>
      <c r="G470" s="23"/>
      <c r="H470" s="66"/>
      <c r="I470" s="14"/>
      <c r="J470" s="14"/>
      <c r="K470" s="14"/>
      <c r="L470" s="5" t="str">
        <f t="shared" si="45"/>
        <v/>
      </c>
      <c r="M470" s="5" t="str">
        <f t="shared" si="46"/>
        <v/>
      </c>
      <c r="N470" s="5" t="str">
        <f t="shared" si="47"/>
        <v/>
      </c>
      <c r="O470" s="4"/>
    </row>
    <row r="471" spans="1:15" x14ac:dyDescent="0.25">
      <c r="A471" s="14"/>
      <c r="B471" s="14"/>
      <c r="C471" s="14"/>
      <c r="D471" s="5" t="str">
        <f t="shared" si="42"/>
        <v/>
      </c>
      <c r="E471" s="5" t="str">
        <f t="shared" si="43"/>
        <v/>
      </c>
      <c r="F471" s="5" t="str">
        <f t="shared" si="44"/>
        <v/>
      </c>
      <c r="G471" s="23"/>
      <c r="H471" s="66"/>
      <c r="I471" s="14"/>
      <c r="J471" s="14"/>
      <c r="K471" s="14"/>
      <c r="L471" s="5" t="str">
        <f t="shared" si="45"/>
        <v/>
      </c>
      <c r="M471" s="5" t="str">
        <f t="shared" si="46"/>
        <v/>
      </c>
      <c r="N471" s="5" t="str">
        <f t="shared" si="47"/>
        <v/>
      </c>
      <c r="O471" s="4"/>
    </row>
    <row r="472" spans="1:15" x14ac:dyDescent="0.25">
      <c r="A472" s="14"/>
      <c r="B472" s="14"/>
      <c r="C472" s="14"/>
      <c r="D472" s="5" t="str">
        <f t="shared" si="42"/>
        <v/>
      </c>
      <c r="E472" s="5" t="str">
        <f t="shared" si="43"/>
        <v/>
      </c>
      <c r="F472" s="5" t="str">
        <f t="shared" si="44"/>
        <v/>
      </c>
      <c r="G472" s="23"/>
      <c r="H472" s="66"/>
      <c r="I472" s="14"/>
      <c r="J472" s="14"/>
      <c r="K472" s="14"/>
      <c r="L472" s="5" t="str">
        <f t="shared" si="45"/>
        <v/>
      </c>
      <c r="M472" s="5" t="str">
        <f t="shared" si="46"/>
        <v/>
      </c>
      <c r="N472" s="5" t="str">
        <f t="shared" si="47"/>
        <v/>
      </c>
      <c r="O472" s="4"/>
    </row>
    <row r="473" spans="1:15" x14ac:dyDescent="0.25">
      <c r="A473" s="14"/>
      <c r="B473" s="14"/>
      <c r="C473" s="14"/>
      <c r="D473" s="5" t="str">
        <f t="shared" ref="D473:D536" si="48">IFERROR( IF(A473&lt;&gt;"",((B473-B472)*$X$4/(A473-A472))*$X$5,""),"")</f>
        <v/>
      </c>
      <c r="E473" s="5" t="str">
        <f t="shared" ref="E473:E536" si="49">IFERROR(IF(A473&lt;&gt;"",((C473-C472)*$X$4/(A473-A472))*$X$5,""),"")</f>
        <v/>
      </c>
      <c r="F473" s="5" t="str">
        <f t="shared" ref="F473:F536" si="50">IFERROR(IF(A473&lt;&gt;"",((ACOS((COS(RADIANS(B472))*COS(RADIANS(B473)))+(SIN(RADIANS(B472))*SIN(RADIANS(B473)))*COS(RADIANS(C473-C472)))*180/PI()*($X$4/(A473-A472))))*$X$5,""),"")</f>
        <v/>
      </c>
      <c r="G473" s="23"/>
      <c r="H473" s="66"/>
      <c r="I473" s="14"/>
      <c r="J473" s="14"/>
      <c r="K473" s="14"/>
      <c r="L473" s="5" t="str">
        <f t="shared" si="45"/>
        <v/>
      </c>
      <c r="M473" s="5" t="str">
        <f t="shared" si="46"/>
        <v/>
      </c>
      <c r="N473" s="5" t="str">
        <f t="shared" si="47"/>
        <v/>
      </c>
      <c r="O473" s="4"/>
    </row>
    <row r="474" spans="1:15" x14ac:dyDescent="0.25">
      <c r="A474" s="14"/>
      <c r="B474" s="14"/>
      <c r="C474" s="14"/>
      <c r="D474" s="5" t="str">
        <f t="shared" si="48"/>
        <v/>
      </c>
      <c r="E474" s="5" t="str">
        <f t="shared" si="49"/>
        <v/>
      </c>
      <c r="F474" s="5" t="str">
        <f t="shared" si="50"/>
        <v/>
      </c>
      <c r="G474" s="23"/>
      <c r="H474" s="66"/>
      <c r="I474" s="14"/>
      <c r="J474" s="14"/>
      <c r="K474" s="14"/>
      <c r="L474" s="5" t="str">
        <f t="shared" si="45"/>
        <v/>
      </c>
      <c r="M474" s="5" t="str">
        <f t="shared" si="46"/>
        <v/>
      </c>
      <c r="N474" s="5" t="str">
        <f t="shared" si="47"/>
        <v/>
      </c>
      <c r="O474" s="4"/>
    </row>
    <row r="475" spans="1:15" x14ac:dyDescent="0.25">
      <c r="A475" s="14"/>
      <c r="B475" s="14"/>
      <c r="C475" s="14"/>
      <c r="D475" s="5" t="str">
        <f t="shared" si="48"/>
        <v/>
      </c>
      <c r="E475" s="5" t="str">
        <f t="shared" si="49"/>
        <v/>
      </c>
      <c r="F475" s="5" t="str">
        <f t="shared" si="50"/>
        <v/>
      </c>
      <c r="G475" s="23"/>
      <c r="H475" s="66"/>
      <c r="I475" s="14"/>
      <c r="J475" s="14"/>
      <c r="K475" s="14"/>
      <c r="L475" s="5" t="str">
        <f t="shared" si="45"/>
        <v/>
      </c>
      <c r="M475" s="5" t="str">
        <f t="shared" si="46"/>
        <v/>
      </c>
      <c r="N475" s="5" t="str">
        <f t="shared" si="47"/>
        <v/>
      </c>
      <c r="O475" s="4"/>
    </row>
    <row r="476" spans="1:15" x14ac:dyDescent="0.25">
      <c r="A476" s="14"/>
      <c r="B476" s="14"/>
      <c r="C476" s="14"/>
      <c r="D476" s="5" t="str">
        <f t="shared" si="48"/>
        <v/>
      </c>
      <c r="E476" s="5" t="str">
        <f t="shared" si="49"/>
        <v/>
      </c>
      <c r="F476" s="5" t="str">
        <f t="shared" si="50"/>
        <v/>
      </c>
      <c r="G476" s="23"/>
      <c r="H476" s="66"/>
      <c r="I476" s="14"/>
      <c r="J476" s="14"/>
      <c r="K476" s="14"/>
      <c r="L476" s="5" t="str">
        <f t="shared" si="45"/>
        <v/>
      </c>
      <c r="M476" s="5" t="str">
        <f t="shared" si="46"/>
        <v/>
      </c>
      <c r="N476" s="5" t="str">
        <f t="shared" si="47"/>
        <v/>
      </c>
      <c r="O476" s="4"/>
    </row>
    <row r="477" spans="1:15" x14ac:dyDescent="0.25">
      <c r="A477" s="14"/>
      <c r="B477" s="14"/>
      <c r="C477" s="14"/>
      <c r="D477" s="5" t="str">
        <f t="shared" si="48"/>
        <v/>
      </c>
      <c r="E477" s="5" t="str">
        <f t="shared" si="49"/>
        <v/>
      </c>
      <c r="F477" s="5" t="str">
        <f t="shared" si="50"/>
        <v/>
      </c>
      <c r="G477" s="23"/>
      <c r="H477" s="66"/>
      <c r="I477" s="14"/>
      <c r="J477" s="14"/>
      <c r="K477" s="14"/>
      <c r="L477" s="5" t="str">
        <f t="shared" si="45"/>
        <v/>
      </c>
      <c r="M477" s="5" t="str">
        <f t="shared" si="46"/>
        <v/>
      </c>
      <c r="N477" s="5" t="str">
        <f t="shared" si="47"/>
        <v/>
      </c>
      <c r="O477" s="4"/>
    </row>
    <row r="478" spans="1:15" x14ac:dyDescent="0.25">
      <c r="A478" s="14"/>
      <c r="B478" s="14"/>
      <c r="C478" s="14"/>
      <c r="D478" s="5" t="str">
        <f t="shared" si="48"/>
        <v/>
      </c>
      <c r="E478" s="5" t="str">
        <f t="shared" si="49"/>
        <v/>
      </c>
      <c r="F478" s="5" t="str">
        <f t="shared" si="50"/>
        <v/>
      </c>
      <c r="G478" s="23"/>
      <c r="H478" s="66"/>
      <c r="I478" s="14"/>
      <c r="J478" s="14"/>
      <c r="K478" s="14"/>
      <c r="L478" s="5" t="str">
        <f t="shared" si="45"/>
        <v/>
      </c>
      <c r="M478" s="5" t="str">
        <f t="shared" si="46"/>
        <v/>
      </c>
      <c r="N478" s="5" t="str">
        <f t="shared" si="47"/>
        <v/>
      </c>
      <c r="O478" s="4"/>
    </row>
    <row r="479" spans="1:15" x14ac:dyDescent="0.25">
      <c r="A479" s="14"/>
      <c r="B479" s="14"/>
      <c r="C479" s="14"/>
      <c r="D479" s="5" t="str">
        <f t="shared" si="48"/>
        <v/>
      </c>
      <c r="E479" s="5" t="str">
        <f t="shared" si="49"/>
        <v/>
      </c>
      <c r="F479" s="5" t="str">
        <f t="shared" si="50"/>
        <v/>
      </c>
      <c r="G479" s="23"/>
      <c r="H479" s="66"/>
      <c r="I479" s="14"/>
      <c r="J479" s="14"/>
      <c r="K479" s="14"/>
      <c r="L479" s="5" t="str">
        <f t="shared" si="45"/>
        <v/>
      </c>
      <c r="M479" s="5" t="str">
        <f t="shared" si="46"/>
        <v/>
      </c>
      <c r="N479" s="5" t="str">
        <f t="shared" si="47"/>
        <v/>
      </c>
      <c r="O479" s="4"/>
    </row>
    <row r="480" spans="1:15" x14ac:dyDescent="0.25">
      <c r="A480" s="14"/>
      <c r="B480" s="14"/>
      <c r="C480" s="14"/>
      <c r="D480" s="5" t="str">
        <f t="shared" si="48"/>
        <v/>
      </c>
      <c r="E480" s="5" t="str">
        <f t="shared" si="49"/>
        <v/>
      </c>
      <c r="F480" s="5" t="str">
        <f t="shared" si="50"/>
        <v/>
      </c>
      <c r="G480" s="23"/>
      <c r="H480" s="66"/>
      <c r="I480" s="14"/>
      <c r="J480" s="14"/>
      <c r="K480" s="14"/>
      <c r="L480" s="5" t="str">
        <f t="shared" si="45"/>
        <v/>
      </c>
      <c r="M480" s="5" t="str">
        <f t="shared" si="46"/>
        <v/>
      </c>
      <c r="N480" s="5" t="str">
        <f t="shared" si="47"/>
        <v/>
      </c>
      <c r="O480" s="4"/>
    </row>
    <row r="481" spans="1:15" x14ac:dyDescent="0.25">
      <c r="A481" s="14"/>
      <c r="B481" s="14"/>
      <c r="C481" s="14"/>
      <c r="D481" s="5" t="str">
        <f t="shared" si="48"/>
        <v/>
      </c>
      <c r="E481" s="5" t="str">
        <f t="shared" si="49"/>
        <v/>
      </c>
      <c r="F481" s="5" t="str">
        <f t="shared" si="50"/>
        <v/>
      </c>
      <c r="G481" s="23"/>
      <c r="H481" s="66"/>
      <c r="I481" s="14"/>
      <c r="J481" s="14"/>
      <c r="K481" s="14"/>
      <c r="L481" s="5" t="str">
        <f t="shared" si="45"/>
        <v/>
      </c>
      <c r="M481" s="5" t="str">
        <f t="shared" si="46"/>
        <v/>
      </c>
      <c r="N481" s="5" t="str">
        <f t="shared" si="47"/>
        <v/>
      </c>
      <c r="O481" s="4"/>
    </row>
    <row r="482" spans="1:15" x14ac:dyDescent="0.25">
      <c r="A482" s="14"/>
      <c r="B482" s="14"/>
      <c r="C482" s="14"/>
      <c r="D482" s="5" t="str">
        <f t="shared" si="48"/>
        <v/>
      </c>
      <c r="E482" s="5" t="str">
        <f t="shared" si="49"/>
        <v/>
      </c>
      <c r="F482" s="5" t="str">
        <f t="shared" si="50"/>
        <v/>
      </c>
      <c r="G482" s="23"/>
      <c r="H482" s="66"/>
      <c r="I482" s="14"/>
      <c r="J482" s="14"/>
      <c r="K482" s="14"/>
      <c r="L482" s="5" t="str">
        <f t="shared" si="45"/>
        <v/>
      </c>
      <c r="M482" s="5" t="str">
        <f t="shared" si="46"/>
        <v/>
      </c>
      <c r="N482" s="5" t="str">
        <f t="shared" si="47"/>
        <v/>
      </c>
      <c r="O482" s="4"/>
    </row>
    <row r="483" spans="1:15" x14ac:dyDescent="0.25">
      <c r="A483" s="14"/>
      <c r="B483" s="14"/>
      <c r="C483" s="14"/>
      <c r="D483" s="5" t="str">
        <f t="shared" si="48"/>
        <v/>
      </c>
      <c r="E483" s="5" t="str">
        <f t="shared" si="49"/>
        <v/>
      </c>
      <c r="F483" s="5" t="str">
        <f t="shared" si="50"/>
        <v/>
      </c>
      <c r="G483" s="23"/>
      <c r="H483" s="66"/>
      <c r="I483" s="14"/>
      <c r="J483" s="14"/>
      <c r="K483" s="14"/>
      <c r="L483" s="5" t="str">
        <f t="shared" si="45"/>
        <v/>
      </c>
      <c r="M483" s="5" t="str">
        <f t="shared" si="46"/>
        <v/>
      </c>
      <c r="N483" s="5" t="str">
        <f t="shared" si="47"/>
        <v/>
      </c>
      <c r="O483" s="4"/>
    </row>
    <row r="484" spans="1:15" x14ac:dyDescent="0.25">
      <c r="A484" s="14"/>
      <c r="B484" s="14"/>
      <c r="C484" s="14"/>
      <c r="D484" s="5" t="str">
        <f t="shared" si="48"/>
        <v/>
      </c>
      <c r="E484" s="5" t="str">
        <f t="shared" si="49"/>
        <v/>
      </c>
      <c r="F484" s="5" t="str">
        <f t="shared" si="50"/>
        <v/>
      </c>
      <c r="G484" s="23"/>
      <c r="H484" s="66"/>
      <c r="I484" s="14"/>
      <c r="J484" s="14"/>
      <c r="K484" s="14"/>
      <c r="L484" s="5" t="str">
        <f t="shared" si="45"/>
        <v/>
      </c>
      <c r="M484" s="5" t="str">
        <f t="shared" si="46"/>
        <v/>
      </c>
      <c r="N484" s="5" t="str">
        <f t="shared" si="47"/>
        <v/>
      </c>
      <c r="O484" s="4"/>
    </row>
    <row r="485" spans="1:15" x14ac:dyDescent="0.25">
      <c r="A485" s="14"/>
      <c r="B485" s="14"/>
      <c r="C485" s="14"/>
      <c r="D485" s="5" t="str">
        <f t="shared" si="48"/>
        <v/>
      </c>
      <c r="E485" s="5" t="str">
        <f t="shared" si="49"/>
        <v/>
      </c>
      <c r="F485" s="5" t="str">
        <f t="shared" si="50"/>
        <v/>
      </c>
      <c r="G485" s="23"/>
      <c r="H485" s="66"/>
      <c r="I485" s="14"/>
      <c r="J485" s="14"/>
      <c r="K485" s="14"/>
      <c r="L485" s="5" t="str">
        <f t="shared" si="45"/>
        <v/>
      </c>
      <c r="M485" s="5" t="str">
        <f t="shared" si="46"/>
        <v/>
      </c>
      <c r="N485" s="5" t="str">
        <f t="shared" si="47"/>
        <v/>
      </c>
      <c r="O485" s="4"/>
    </row>
    <row r="486" spans="1:15" x14ac:dyDescent="0.25">
      <c r="A486" s="14"/>
      <c r="B486" s="14"/>
      <c r="C486" s="14"/>
      <c r="D486" s="5" t="str">
        <f t="shared" si="48"/>
        <v/>
      </c>
      <c r="E486" s="5" t="str">
        <f t="shared" si="49"/>
        <v/>
      </c>
      <c r="F486" s="5" t="str">
        <f t="shared" si="50"/>
        <v/>
      </c>
      <c r="G486" s="23"/>
      <c r="H486" s="66"/>
      <c r="I486" s="14"/>
      <c r="J486" s="14"/>
      <c r="K486" s="14"/>
      <c r="L486" s="5" t="str">
        <f t="shared" si="45"/>
        <v/>
      </c>
      <c r="M486" s="5" t="str">
        <f t="shared" si="46"/>
        <v/>
      </c>
      <c r="N486" s="5" t="str">
        <f t="shared" si="47"/>
        <v/>
      </c>
      <c r="O486" s="4"/>
    </row>
    <row r="487" spans="1:15" x14ac:dyDescent="0.25">
      <c r="A487" s="14"/>
      <c r="B487" s="14"/>
      <c r="C487" s="14"/>
      <c r="D487" s="5" t="str">
        <f t="shared" si="48"/>
        <v/>
      </c>
      <c r="E487" s="5" t="str">
        <f t="shared" si="49"/>
        <v/>
      </c>
      <c r="F487" s="5" t="str">
        <f t="shared" si="50"/>
        <v/>
      </c>
      <c r="G487" s="23"/>
      <c r="H487" s="66"/>
      <c r="I487" s="14"/>
      <c r="J487" s="14"/>
      <c r="K487" s="14"/>
      <c r="L487" s="5" t="str">
        <f t="shared" si="45"/>
        <v/>
      </c>
      <c r="M487" s="5" t="str">
        <f t="shared" si="46"/>
        <v/>
      </c>
      <c r="N487" s="5" t="str">
        <f t="shared" si="47"/>
        <v/>
      </c>
      <c r="O487" s="4"/>
    </row>
    <row r="488" spans="1:15" x14ac:dyDescent="0.25">
      <c r="A488" s="14"/>
      <c r="B488" s="14"/>
      <c r="C488" s="14"/>
      <c r="D488" s="5" t="str">
        <f t="shared" si="48"/>
        <v/>
      </c>
      <c r="E488" s="5" t="str">
        <f t="shared" si="49"/>
        <v/>
      </c>
      <c r="F488" s="5" t="str">
        <f t="shared" si="50"/>
        <v/>
      </c>
      <c r="G488" s="23"/>
      <c r="H488" s="66"/>
      <c r="I488" s="14"/>
      <c r="J488" s="14"/>
      <c r="K488" s="14"/>
      <c r="L488" s="5" t="str">
        <f t="shared" si="45"/>
        <v/>
      </c>
      <c r="M488" s="5" t="str">
        <f t="shared" si="46"/>
        <v/>
      </c>
      <c r="N488" s="5" t="str">
        <f t="shared" si="47"/>
        <v/>
      </c>
      <c r="O488" s="4"/>
    </row>
    <row r="489" spans="1:15" x14ac:dyDescent="0.25">
      <c r="A489" s="14"/>
      <c r="B489" s="14"/>
      <c r="C489" s="14"/>
      <c r="D489" s="5" t="str">
        <f t="shared" si="48"/>
        <v/>
      </c>
      <c r="E489" s="5" t="str">
        <f t="shared" si="49"/>
        <v/>
      </c>
      <c r="F489" s="5" t="str">
        <f t="shared" si="50"/>
        <v/>
      </c>
      <c r="G489" s="23"/>
      <c r="H489" s="66"/>
      <c r="I489" s="14"/>
      <c r="J489" s="14"/>
      <c r="K489" s="14"/>
      <c r="L489" s="5" t="str">
        <f t="shared" si="45"/>
        <v/>
      </c>
      <c r="M489" s="5" t="str">
        <f t="shared" si="46"/>
        <v/>
      </c>
      <c r="N489" s="5" t="str">
        <f t="shared" si="47"/>
        <v/>
      </c>
      <c r="O489" s="4"/>
    </row>
    <row r="490" spans="1:15" x14ac:dyDescent="0.25">
      <c r="A490" s="14"/>
      <c r="B490" s="14"/>
      <c r="C490" s="14"/>
      <c r="D490" s="5" t="str">
        <f t="shared" si="48"/>
        <v/>
      </c>
      <c r="E490" s="5" t="str">
        <f t="shared" si="49"/>
        <v/>
      </c>
      <c r="F490" s="5" t="str">
        <f t="shared" si="50"/>
        <v/>
      </c>
      <c r="G490" s="23"/>
      <c r="H490" s="66"/>
      <c r="I490" s="14"/>
      <c r="J490" s="14"/>
      <c r="K490" s="14"/>
      <c r="L490" s="5" t="str">
        <f t="shared" si="45"/>
        <v/>
      </c>
      <c r="M490" s="5" t="str">
        <f t="shared" si="46"/>
        <v/>
      </c>
      <c r="N490" s="5" t="str">
        <f t="shared" si="47"/>
        <v/>
      </c>
      <c r="O490" s="4"/>
    </row>
    <row r="491" spans="1:15" x14ac:dyDescent="0.25">
      <c r="A491" s="14"/>
      <c r="B491" s="14"/>
      <c r="C491" s="14"/>
      <c r="D491" s="5" t="str">
        <f t="shared" si="48"/>
        <v/>
      </c>
      <c r="E491" s="5" t="str">
        <f t="shared" si="49"/>
        <v/>
      </c>
      <c r="F491" s="5" t="str">
        <f t="shared" si="50"/>
        <v/>
      </c>
      <c r="G491" s="23"/>
      <c r="H491" s="66"/>
      <c r="I491" s="14"/>
      <c r="J491" s="14"/>
      <c r="K491" s="14"/>
      <c r="L491" s="5" t="str">
        <f t="shared" si="45"/>
        <v/>
      </c>
      <c r="M491" s="5" t="str">
        <f t="shared" si="46"/>
        <v/>
      </c>
      <c r="N491" s="5" t="str">
        <f t="shared" si="47"/>
        <v/>
      </c>
      <c r="O491" s="4"/>
    </row>
    <row r="492" spans="1:15" x14ac:dyDescent="0.25">
      <c r="A492" s="14"/>
      <c r="B492" s="14"/>
      <c r="C492" s="14"/>
      <c r="D492" s="5" t="str">
        <f t="shared" si="48"/>
        <v/>
      </c>
      <c r="E492" s="5" t="str">
        <f t="shared" si="49"/>
        <v/>
      </c>
      <c r="F492" s="5" t="str">
        <f t="shared" si="50"/>
        <v/>
      </c>
      <c r="G492" s="23"/>
      <c r="H492" s="66"/>
      <c r="I492" s="14"/>
      <c r="J492" s="14"/>
      <c r="K492" s="14"/>
      <c r="L492" s="5" t="str">
        <f t="shared" si="45"/>
        <v/>
      </c>
      <c r="M492" s="5" t="str">
        <f t="shared" si="46"/>
        <v/>
      </c>
      <c r="N492" s="5" t="str">
        <f t="shared" si="47"/>
        <v/>
      </c>
      <c r="O492" s="4"/>
    </row>
    <row r="493" spans="1:15" x14ac:dyDescent="0.25">
      <c r="A493" s="14"/>
      <c r="B493" s="14"/>
      <c r="C493" s="14"/>
      <c r="D493" s="5" t="str">
        <f t="shared" si="48"/>
        <v/>
      </c>
      <c r="E493" s="5" t="str">
        <f t="shared" si="49"/>
        <v/>
      </c>
      <c r="F493" s="5" t="str">
        <f t="shared" si="50"/>
        <v/>
      </c>
      <c r="G493" s="23"/>
      <c r="H493" s="66"/>
      <c r="I493" s="14"/>
      <c r="J493" s="14"/>
      <c r="K493" s="14"/>
      <c r="L493" s="5" t="str">
        <f t="shared" si="45"/>
        <v/>
      </c>
      <c r="M493" s="5" t="str">
        <f t="shared" si="46"/>
        <v/>
      </c>
      <c r="N493" s="5" t="str">
        <f t="shared" si="47"/>
        <v/>
      </c>
      <c r="O493" s="4"/>
    </row>
    <row r="494" spans="1:15" x14ac:dyDescent="0.25">
      <c r="A494" s="14"/>
      <c r="B494" s="14"/>
      <c r="C494" s="14"/>
      <c r="D494" s="5" t="str">
        <f t="shared" si="48"/>
        <v/>
      </c>
      <c r="E494" s="5" t="str">
        <f t="shared" si="49"/>
        <v/>
      </c>
      <c r="F494" s="5" t="str">
        <f t="shared" si="50"/>
        <v/>
      </c>
      <c r="G494" s="23"/>
      <c r="H494" s="66"/>
      <c r="I494" s="14"/>
      <c r="J494" s="14"/>
      <c r="K494" s="14"/>
      <c r="L494" s="5" t="str">
        <f t="shared" si="45"/>
        <v/>
      </c>
      <c r="M494" s="5" t="str">
        <f t="shared" si="46"/>
        <v/>
      </c>
      <c r="N494" s="5" t="str">
        <f t="shared" si="47"/>
        <v/>
      </c>
      <c r="O494" s="4"/>
    </row>
    <row r="495" spans="1:15" x14ac:dyDescent="0.25">
      <c r="A495" s="14"/>
      <c r="B495" s="14"/>
      <c r="C495" s="14"/>
      <c r="D495" s="5" t="str">
        <f t="shared" si="48"/>
        <v/>
      </c>
      <c r="E495" s="5" t="str">
        <f t="shared" si="49"/>
        <v/>
      </c>
      <c r="F495" s="5" t="str">
        <f t="shared" si="50"/>
        <v/>
      </c>
      <c r="G495" s="23"/>
      <c r="H495" s="66"/>
      <c r="I495" s="14"/>
      <c r="J495" s="14"/>
      <c r="K495" s="14"/>
      <c r="L495" s="5" t="str">
        <f t="shared" si="45"/>
        <v/>
      </c>
      <c r="M495" s="5" t="str">
        <f t="shared" si="46"/>
        <v/>
      </c>
      <c r="N495" s="5" t="str">
        <f t="shared" si="47"/>
        <v/>
      </c>
      <c r="O495" s="4"/>
    </row>
    <row r="496" spans="1:15" x14ac:dyDescent="0.25">
      <c r="A496" s="14"/>
      <c r="B496" s="14"/>
      <c r="C496" s="14"/>
      <c r="D496" s="5" t="str">
        <f t="shared" si="48"/>
        <v/>
      </c>
      <c r="E496" s="5" t="str">
        <f t="shared" si="49"/>
        <v/>
      </c>
      <c r="F496" s="5" t="str">
        <f t="shared" si="50"/>
        <v/>
      </c>
      <c r="G496" s="23"/>
      <c r="H496" s="66"/>
      <c r="I496" s="14"/>
      <c r="J496" s="14"/>
      <c r="K496" s="14"/>
      <c r="L496" s="5" t="str">
        <f t="shared" si="45"/>
        <v/>
      </c>
      <c r="M496" s="5" t="str">
        <f t="shared" si="46"/>
        <v/>
      </c>
      <c r="N496" s="5" t="str">
        <f t="shared" si="47"/>
        <v/>
      </c>
      <c r="O496" s="4"/>
    </row>
    <row r="497" spans="1:15" x14ac:dyDescent="0.25">
      <c r="A497" s="14"/>
      <c r="B497" s="14"/>
      <c r="C497" s="14"/>
      <c r="D497" s="5" t="str">
        <f t="shared" si="48"/>
        <v/>
      </c>
      <c r="E497" s="5" t="str">
        <f t="shared" si="49"/>
        <v/>
      </c>
      <c r="F497" s="5" t="str">
        <f t="shared" si="50"/>
        <v/>
      </c>
      <c r="G497" s="23"/>
      <c r="H497" s="66"/>
      <c r="I497" s="14"/>
      <c r="J497" s="14"/>
      <c r="K497" s="14"/>
      <c r="L497" s="5" t="str">
        <f t="shared" si="45"/>
        <v/>
      </c>
      <c r="M497" s="5" t="str">
        <f t="shared" si="46"/>
        <v/>
      </c>
      <c r="N497" s="5" t="str">
        <f t="shared" si="47"/>
        <v/>
      </c>
      <c r="O497" s="4"/>
    </row>
    <row r="498" spans="1:15" x14ac:dyDescent="0.25">
      <c r="A498" s="14"/>
      <c r="B498" s="14"/>
      <c r="C498" s="14"/>
      <c r="D498" s="5" t="str">
        <f t="shared" si="48"/>
        <v/>
      </c>
      <c r="E498" s="5" t="str">
        <f t="shared" si="49"/>
        <v/>
      </c>
      <c r="F498" s="5" t="str">
        <f t="shared" si="50"/>
        <v/>
      </c>
      <c r="G498" s="23"/>
      <c r="H498" s="66"/>
      <c r="I498" s="14"/>
      <c r="J498" s="14"/>
      <c r="K498" s="14"/>
      <c r="L498" s="5" t="str">
        <f t="shared" si="45"/>
        <v/>
      </c>
      <c r="M498" s="5" t="str">
        <f t="shared" si="46"/>
        <v/>
      </c>
      <c r="N498" s="5" t="str">
        <f t="shared" si="47"/>
        <v/>
      </c>
      <c r="O498" s="4"/>
    </row>
    <row r="499" spans="1:15" x14ac:dyDescent="0.25">
      <c r="A499" s="14"/>
      <c r="B499" s="14"/>
      <c r="C499" s="14"/>
      <c r="D499" s="5" t="str">
        <f t="shared" si="48"/>
        <v/>
      </c>
      <c r="E499" s="5" t="str">
        <f t="shared" si="49"/>
        <v/>
      </c>
      <c r="F499" s="5" t="str">
        <f t="shared" si="50"/>
        <v/>
      </c>
      <c r="G499" s="23"/>
      <c r="H499" s="66"/>
      <c r="I499" s="14"/>
      <c r="J499" s="14"/>
      <c r="K499" s="14"/>
      <c r="L499" s="5" t="str">
        <f t="shared" si="45"/>
        <v/>
      </c>
      <c r="M499" s="5" t="str">
        <f t="shared" si="46"/>
        <v/>
      </c>
      <c r="N499" s="5" t="str">
        <f t="shared" si="47"/>
        <v/>
      </c>
      <c r="O499" s="4"/>
    </row>
    <row r="500" spans="1:15" x14ac:dyDescent="0.25">
      <c r="A500" s="14"/>
      <c r="B500" s="14"/>
      <c r="C500" s="14"/>
      <c r="D500" s="5" t="str">
        <f t="shared" si="48"/>
        <v/>
      </c>
      <c r="E500" s="5" t="str">
        <f t="shared" si="49"/>
        <v/>
      </c>
      <c r="F500" s="5" t="str">
        <f t="shared" si="50"/>
        <v/>
      </c>
      <c r="G500" s="23"/>
      <c r="H500" s="66"/>
      <c r="I500" s="14"/>
      <c r="J500" s="14"/>
      <c r="K500" s="14"/>
      <c r="L500" s="5" t="str">
        <f t="shared" si="45"/>
        <v/>
      </c>
      <c r="M500" s="5" t="str">
        <f t="shared" si="46"/>
        <v/>
      </c>
      <c r="N500" s="5" t="str">
        <f t="shared" si="47"/>
        <v/>
      </c>
      <c r="O500" s="4"/>
    </row>
    <row r="501" spans="1:15" x14ac:dyDescent="0.25">
      <c r="A501" s="14"/>
      <c r="B501" s="14"/>
      <c r="C501" s="14"/>
      <c r="D501" s="5" t="str">
        <f t="shared" si="48"/>
        <v/>
      </c>
      <c r="E501" s="5" t="str">
        <f t="shared" si="49"/>
        <v/>
      </c>
      <c r="F501" s="5" t="str">
        <f t="shared" si="50"/>
        <v/>
      </c>
      <c r="G501" s="23"/>
      <c r="H501" s="66"/>
      <c r="I501" s="14"/>
      <c r="J501" s="14"/>
      <c r="K501" s="14"/>
      <c r="L501" s="5" t="str">
        <f t="shared" si="45"/>
        <v/>
      </c>
      <c r="M501" s="5" t="str">
        <f t="shared" si="46"/>
        <v/>
      </c>
      <c r="N501" s="5" t="str">
        <f t="shared" si="47"/>
        <v/>
      </c>
      <c r="O501" s="4"/>
    </row>
    <row r="502" spans="1:15" x14ac:dyDescent="0.25">
      <c r="A502" s="14"/>
      <c r="B502" s="14"/>
      <c r="C502" s="14"/>
      <c r="D502" s="5" t="str">
        <f t="shared" si="48"/>
        <v/>
      </c>
      <c r="E502" s="5" t="str">
        <f t="shared" si="49"/>
        <v/>
      </c>
      <c r="F502" s="5" t="str">
        <f t="shared" si="50"/>
        <v/>
      </c>
      <c r="G502" s="23"/>
      <c r="H502" s="66"/>
      <c r="I502" s="14"/>
      <c r="J502" s="14"/>
      <c r="K502" s="14"/>
      <c r="L502" s="5" t="str">
        <f t="shared" si="45"/>
        <v/>
      </c>
      <c r="M502" s="5" t="str">
        <f t="shared" si="46"/>
        <v/>
      </c>
      <c r="N502" s="5" t="str">
        <f t="shared" si="47"/>
        <v/>
      </c>
      <c r="O502" s="4"/>
    </row>
    <row r="503" spans="1:15" x14ac:dyDescent="0.25">
      <c r="A503" s="14"/>
      <c r="B503" s="14"/>
      <c r="C503" s="14"/>
      <c r="D503" s="5" t="str">
        <f t="shared" si="48"/>
        <v/>
      </c>
      <c r="E503" s="5" t="str">
        <f t="shared" si="49"/>
        <v/>
      </c>
      <c r="F503" s="5" t="str">
        <f t="shared" si="50"/>
        <v/>
      </c>
      <c r="G503" s="23"/>
      <c r="H503" s="66"/>
      <c r="I503" s="14"/>
      <c r="J503" s="14"/>
      <c r="K503" s="14"/>
      <c r="L503" s="5" t="str">
        <f t="shared" si="45"/>
        <v/>
      </c>
      <c r="M503" s="5" t="str">
        <f t="shared" si="46"/>
        <v/>
      </c>
      <c r="N503" s="5" t="str">
        <f t="shared" si="47"/>
        <v/>
      </c>
      <c r="O503" s="4"/>
    </row>
    <row r="504" spans="1:15" x14ac:dyDescent="0.25">
      <c r="A504" s="14"/>
      <c r="B504" s="14"/>
      <c r="C504" s="14"/>
      <c r="D504" s="5" t="str">
        <f t="shared" si="48"/>
        <v/>
      </c>
      <c r="E504" s="5" t="str">
        <f t="shared" si="49"/>
        <v/>
      </c>
      <c r="F504" s="5" t="str">
        <f t="shared" si="50"/>
        <v/>
      </c>
      <c r="G504" s="23"/>
      <c r="H504" s="66"/>
      <c r="I504" s="14"/>
      <c r="J504" s="14"/>
      <c r="K504" s="14"/>
      <c r="L504" s="5" t="str">
        <f t="shared" si="45"/>
        <v/>
      </c>
      <c r="M504" s="5" t="str">
        <f t="shared" si="46"/>
        <v/>
      </c>
      <c r="N504" s="5" t="str">
        <f t="shared" si="47"/>
        <v/>
      </c>
      <c r="O504" s="4"/>
    </row>
    <row r="505" spans="1:15" x14ac:dyDescent="0.25">
      <c r="A505" s="14"/>
      <c r="B505" s="14"/>
      <c r="C505" s="14"/>
      <c r="D505" s="5" t="str">
        <f t="shared" si="48"/>
        <v/>
      </c>
      <c r="E505" s="5" t="str">
        <f t="shared" si="49"/>
        <v/>
      </c>
      <c r="F505" s="5" t="str">
        <f t="shared" si="50"/>
        <v/>
      </c>
      <c r="G505" s="23"/>
      <c r="H505" s="66"/>
      <c r="I505" s="14"/>
      <c r="J505" s="14"/>
      <c r="K505" s="14"/>
      <c r="L505" s="5" t="str">
        <f t="shared" si="45"/>
        <v/>
      </c>
      <c r="M505" s="5" t="str">
        <f t="shared" si="46"/>
        <v/>
      </c>
      <c r="N505" s="5" t="str">
        <f t="shared" si="47"/>
        <v/>
      </c>
      <c r="O505" s="4"/>
    </row>
    <row r="506" spans="1:15" x14ac:dyDescent="0.25">
      <c r="A506" s="14"/>
      <c r="B506" s="14"/>
      <c r="C506" s="14"/>
      <c r="D506" s="5" t="str">
        <f t="shared" si="48"/>
        <v/>
      </c>
      <c r="E506" s="5" t="str">
        <f t="shared" si="49"/>
        <v/>
      </c>
      <c r="F506" s="5" t="str">
        <f t="shared" si="50"/>
        <v/>
      </c>
      <c r="G506" s="23"/>
      <c r="H506" s="66"/>
      <c r="I506" s="14"/>
      <c r="J506" s="14"/>
      <c r="K506" s="14"/>
      <c r="L506" s="5" t="str">
        <f t="shared" si="45"/>
        <v/>
      </c>
      <c r="M506" s="5" t="str">
        <f t="shared" si="46"/>
        <v/>
      </c>
      <c r="N506" s="5" t="str">
        <f t="shared" si="47"/>
        <v/>
      </c>
      <c r="O506" s="4"/>
    </row>
    <row r="507" spans="1:15" x14ac:dyDescent="0.25">
      <c r="A507" s="14"/>
      <c r="B507" s="14"/>
      <c r="C507" s="14"/>
      <c r="D507" s="5" t="str">
        <f t="shared" si="48"/>
        <v/>
      </c>
      <c r="E507" s="5" t="str">
        <f t="shared" si="49"/>
        <v/>
      </c>
      <c r="F507" s="5" t="str">
        <f t="shared" si="50"/>
        <v/>
      </c>
      <c r="G507" s="23"/>
      <c r="H507" s="66"/>
      <c r="I507" s="14"/>
      <c r="J507" s="14"/>
      <c r="K507" s="14"/>
      <c r="L507" s="5" t="str">
        <f t="shared" si="45"/>
        <v/>
      </c>
      <c r="M507" s="5" t="str">
        <f t="shared" si="46"/>
        <v/>
      </c>
      <c r="N507" s="5" t="str">
        <f t="shared" si="47"/>
        <v/>
      </c>
      <c r="O507" s="4"/>
    </row>
    <row r="508" spans="1:15" x14ac:dyDescent="0.25">
      <c r="A508" s="14"/>
      <c r="B508" s="14"/>
      <c r="C508" s="14"/>
      <c r="D508" s="5" t="str">
        <f t="shared" si="48"/>
        <v/>
      </c>
      <c r="E508" s="5" t="str">
        <f t="shared" si="49"/>
        <v/>
      </c>
      <c r="F508" s="5" t="str">
        <f t="shared" si="50"/>
        <v/>
      </c>
      <c r="G508" s="23"/>
      <c r="H508" s="66"/>
      <c r="I508" s="14"/>
      <c r="J508" s="14"/>
      <c r="K508" s="14"/>
      <c r="L508" s="5" t="str">
        <f t="shared" si="45"/>
        <v/>
      </c>
      <c r="M508" s="5" t="str">
        <f t="shared" si="46"/>
        <v/>
      </c>
      <c r="N508" s="5" t="str">
        <f t="shared" si="47"/>
        <v/>
      </c>
      <c r="O508" s="4"/>
    </row>
    <row r="509" spans="1:15" x14ac:dyDescent="0.25">
      <c r="A509" s="14"/>
      <c r="B509" s="14"/>
      <c r="C509" s="14"/>
      <c r="D509" s="5" t="str">
        <f t="shared" si="48"/>
        <v/>
      </c>
      <c r="E509" s="5" t="str">
        <f t="shared" si="49"/>
        <v/>
      </c>
      <c r="F509" s="5" t="str">
        <f t="shared" si="50"/>
        <v/>
      </c>
      <c r="G509" s="23"/>
      <c r="H509" s="66"/>
      <c r="I509" s="14"/>
      <c r="J509" s="14"/>
      <c r="K509" s="14"/>
      <c r="L509" s="5" t="str">
        <f t="shared" si="45"/>
        <v/>
      </c>
      <c r="M509" s="5" t="str">
        <f t="shared" si="46"/>
        <v/>
      </c>
      <c r="N509" s="5" t="str">
        <f t="shared" si="47"/>
        <v/>
      </c>
      <c r="O509" s="4"/>
    </row>
    <row r="510" spans="1:15" x14ac:dyDescent="0.25">
      <c r="A510" s="14"/>
      <c r="B510" s="14"/>
      <c r="C510" s="14"/>
      <c r="D510" s="5" t="str">
        <f t="shared" si="48"/>
        <v/>
      </c>
      <c r="E510" s="5" t="str">
        <f t="shared" si="49"/>
        <v/>
      </c>
      <c r="F510" s="5" t="str">
        <f t="shared" si="50"/>
        <v/>
      </c>
      <c r="G510" s="23"/>
      <c r="H510" s="66"/>
      <c r="I510" s="14"/>
      <c r="J510" s="14"/>
      <c r="K510" s="14"/>
      <c r="L510" s="5" t="str">
        <f t="shared" si="45"/>
        <v/>
      </c>
      <c r="M510" s="5" t="str">
        <f t="shared" si="46"/>
        <v/>
      </c>
      <c r="N510" s="5" t="str">
        <f t="shared" si="47"/>
        <v/>
      </c>
      <c r="O510" s="4"/>
    </row>
    <row r="511" spans="1:15" x14ac:dyDescent="0.25">
      <c r="A511" s="14"/>
      <c r="B511" s="14"/>
      <c r="C511" s="14"/>
      <c r="D511" s="5" t="str">
        <f t="shared" si="48"/>
        <v/>
      </c>
      <c r="E511" s="5" t="str">
        <f t="shared" si="49"/>
        <v/>
      </c>
      <c r="F511" s="5" t="str">
        <f t="shared" si="50"/>
        <v/>
      </c>
      <c r="G511" s="23"/>
      <c r="H511" s="66"/>
      <c r="I511" s="14"/>
      <c r="J511" s="14"/>
      <c r="K511" s="14"/>
      <c r="L511" s="5" t="str">
        <f t="shared" si="45"/>
        <v/>
      </c>
      <c r="M511" s="5" t="str">
        <f t="shared" si="46"/>
        <v/>
      </c>
      <c r="N511" s="5" t="str">
        <f t="shared" si="47"/>
        <v/>
      </c>
      <c r="O511" s="4"/>
    </row>
    <row r="512" spans="1:15" x14ac:dyDescent="0.25">
      <c r="A512" s="14"/>
      <c r="B512" s="14"/>
      <c r="C512" s="14"/>
      <c r="D512" s="5" t="str">
        <f t="shared" si="48"/>
        <v/>
      </c>
      <c r="E512" s="5" t="str">
        <f t="shared" si="49"/>
        <v/>
      </c>
      <c r="F512" s="5" t="str">
        <f t="shared" si="50"/>
        <v/>
      </c>
      <c r="G512" s="23"/>
      <c r="H512" s="66"/>
      <c r="I512" s="14"/>
      <c r="J512" s="14"/>
      <c r="K512" s="14"/>
      <c r="L512" s="5" t="str">
        <f t="shared" si="45"/>
        <v/>
      </c>
      <c r="M512" s="5" t="str">
        <f t="shared" si="46"/>
        <v/>
      </c>
      <c r="N512" s="5" t="str">
        <f t="shared" si="47"/>
        <v/>
      </c>
      <c r="O512" s="4"/>
    </row>
    <row r="513" spans="1:15" x14ac:dyDescent="0.25">
      <c r="A513" s="14"/>
      <c r="B513" s="14"/>
      <c r="C513" s="14"/>
      <c r="D513" s="5" t="str">
        <f t="shared" si="48"/>
        <v/>
      </c>
      <c r="E513" s="5" t="str">
        <f t="shared" si="49"/>
        <v/>
      </c>
      <c r="F513" s="5" t="str">
        <f t="shared" si="50"/>
        <v/>
      </c>
      <c r="G513" s="23"/>
      <c r="H513" s="66"/>
      <c r="I513" s="14"/>
      <c r="J513" s="14"/>
      <c r="K513" s="14"/>
      <c r="L513" s="5" t="str">
        <f t="shared" si="45"/>
        <v/>
      </c>
      <c r="M513" s="5" t="str">
        <f t="shared" si="46"/>
        <v/>
      </c>
      <c r="N513" s="5" t="str">
        <f t="shared" si="47"/>
        <v/>
      </c>
      <c r="O513" s="4"/>
    </row>
    <row r="514" spans="1:15" x14ac:dyDescent="0.25">
      <c r="A514" s="14"/>
      <c r="B514" s="14"/>
      <c r="C514" s="14"/>
      <c r="D514" s="5" t="str">
        <f t="shared" si="48"/>
        <v/>
      </c>
      <c r="E514" s="5" t="str">
        <f t="shared" si="49"/>
        <v/>
      </c>
      <c r="F514" s="5" t="str">
        <f t="shared" si="50"/>
        <v/>
      </c>
      <c r="G514" s="23"/>
      <c r="H514" s="66"/>
      <c r="I514" s="14"/>
      <c r="J514" s="14"/>
      <c r="K514" s="14"/>
      <c r="L514" s="5" t="str">
        <f t="shared" si="45"/>
        <v/>
      </c>
      <c r="M514" s="5" t="str">
        <f t="shared" si="46"/>
        <v/>
      </c>
      <c r="N514" s="5" t="str">
        <f t="shared" si="47"/>
        <v/>
      </c>
      <c r="O514" s="4"/>
    </row>
    <row r="515" spans="1:15" x14ac:dyDescent="0.25">
      <c r="A515" s="14"/>
      <c r="B515" s="14"/>
      <c r="C515" s="14"/>
      <c r="D515" s="5" t="str">
        <f t="shared" si="48"/>
        <v/>
      </c>
      <c r="E515" s="5" t="str">
        <f t="shared" si="49"/>
        <v/>
      </c>
      <c r="F515" s="5" t="str">
        <f t="shared" si="50"/>
        <v/>
      </c>
      <c r="G515" s="23"/>
      <c r="H515" s="66"/>
      <c r="I515" s="14"/>
      <c r="J515" s="14"/>
      <c r="K515" s="14"/>
      <c r="L515" s="5" t="str">
        <f t="shared" si="45"/>
        <v/>
      </c>
      <c r="M515" s="5" t="str">
        <f t="shared" si="46"/>
        <v/>
      </c>
      <c r="N515" s="5" t="str">
        <f t="shared" si="47"/>
        <v/>
      </c>
      <c r="O515" s="4"/>
    </row>
    <row r="516" spans="1:15" x14ac:dyDescent="0.25">
      <c r="A516" s="14"/>
      <c r="B516" s="14"/>
      <c r="C516" s="14"/>
      <c r="D516" s="5" t="str">
        <f t="shared" si="48"/>
        <v/>
      </c>
      <c r="E516" s="5" t="str">
        <f t="shared" si="49"/>
        <v/>
      </c>
      <c r="F516" s="5" t="str">
        <f t="shared" si="50"/>
        <v/>
      </c>
      <c r="G516" s="23"/>
      <c r="H516" s="66"/>
      <c r="I516" s="14"/>
      <c r="J516" s="14"/>
      <c r="K516" s="14"/>
      <c r="L516" s="5" t="str">
        <f t="shared" si="45"/>
        <v/>
      </c>
      <c r="M516" s="5" t="str">
        <f t="shared" si="46"/>
        <v/>
      </c>
      <c r="N516" s="5" t="str">
        <f t="shared" si="47"/>
        <v/>
      </c>
      <c r="O516" s="4"/>
    </row>
    <row r="517" spans="1:15" x14ac:dyDescent="0.25">
      <c r="A517" s="14"/>
      <c r="B517" s="14"/>
      <c r="C517" s="14"/>
      <c r="D517" s="5" t="str">
        <f t="shared" si="48"/>
        <v/>
      </c>
      <c r="E517" s="5" t="str">
        <f t="shared" si="49"/>
        <v/>
      </c>
      <c r="F517" s="5" t="str">
        <f t="shared" si="50"/>
        <v/>
      </c>
      <c r="G517" s="23"/>
      <c r="H517" s="66"/>
      <c r="I517" s="14"/>
      <c r="J517" s="14"/>
      <c r="K517" s="14"/>
      <c r="L517" s="5" t="str">
        <f t="shared" ref="L517:L580" si="51">IFERROR(IF(I517&lt;&gt;"",(((J517-J516)*$X$4/(I517-I516)))*$X$5,""),"")</f>
        <v/>
      </c>
      <c r="M517" s="5" t="str">
        <f t="shared" ref="M517:M580" si="52">IFERROR(IF(I517&lt;&gt;"",(((K517-K516)*$X$4/(I517-I516)))*$X$5,""),"")</f>
        <v/>
      </c>
      <c r="N517" s="5" t="str">
        <f t="shared" ref="N517:N580" si="53">IFERROR(IF(I517&lt;&gt;"",((ACOS((COS(RADIANS(J516))*COS(RADIANS(J517)))+(SIN(RADIANS(J516))*SIN(RADIANS(J517)))*COS(RADIANS(K517-K516)))*180/PI()*($X$4/(I517-I516))))*$X$5,""),"")</f>
        <v/>
      </c>
      <c r="O517" s="4"/>
    </row>
    <row r="518" spans="1:15" x14ac:dyDescent="0.25">
      <c r="A518" s="14"/>
      <c r="B518" s="14"/>
      <c r="C518" s="14"/>
      <c r="D518" s="5" t="str">
        <f t="shared" si="48"/>
        <v/>
      </c>
      <c r="E518" s="5" t="str">
        <f t="shared" si="49"/>
        <v/>
      </c>
      <c r="F518" s="5" t="str">
        <f t="shared" si="50"/>
        <v/>
      </c>
      <c r="G518" s="23"/>
      <c r="H518" s="66"/>
      <c r="I518" s="14"/>
      <c r="J518" s="14"/>
      <c r="K518" s="14"/>
      <c r="L518" s="5" t="str">
        <f t="shared" si="51"/>
        <v/>
      </c>
      <c r="M518" s="5" t="str">
        <f t="shared" si="52"/>
        <v/>
      </c>
      <c r="N518" s="5" t="str">
        <f t="shared" si="53"/>
        <v/>
      </c>
      <c r="O518" s="4"/>
    </row>
    <row r="519" spans="1:15" x14ac:dyDescent="0.25">
      <c r="A519" s="14"/>
      <c r="B519" s="14"/>
      <c r="C519" s="14"/>
      <c r="D519" s="5" t="str">
        <f t="shared" si="48"/>
        <v/>
      </c>
      <c r="E519" s="5" t="str">
        <f t="shared" si="49"/>
        <v/>
      </c>
      <c r="F519" s="5" t="str">
        <f t="shared" si="50"/>
        <v/>
      </c>
      <c r="G519" s="23"/>
      <c r="H519" s="66"/>
      <c r="I519" s="14"/>
      <c r="J519" s="14"/>
      <c r="K519" s="14"/>
      <c r="L519" s="5" t="str">
        <f t="shared" si="51"/>
        <v/>
      </c>
      <c r="M519" s="5" t="str">
        <f t="shared" si="52"/>
        <v/>
      </c>
      <c r="N519" s="5" t="str">
        <f t="shared" si="53"/>
        <v/>
      </c>
      <c r="O519" s="4"/>
    </row>
    <row r="520" spans="1:15" x14ac:dyDescent="0.25">
      <c r="A520" s="14"/>
      <c r="B520" s="14"/>
      <c r="C520" s="14"/>
      <c r="D520" s="5" t="str">
        <f t="shared" si="48"/>
        <v/>
      </c>
      <c r="E520" s="5" t="str">
        <f t="shared" si="49"/>
        <v/>
      </c>
      <c r="F520" s="5" t="str">
        <f t="shared" si="50"/>
        <v/>
      </c>
      <c r="G520" s="23"/>
      <c r="H520" s="66"/>
      <c r="I520" s="14"/>
      <c r="J520" s="14"/>
      <c r="K520" s="14"/>
      <c r="L520" s="5" t="str">
        <f t="shared" si="51"/>
        <v/>
      </c>
      <c r="M520" s="5" t="str">
        <f t="shared" si="52"/>
        <v/>
      </c>
      <c r="N520" s="5" t="str">
        <f t="shared" si="53"/>
        <v/>
      </c>
      <c r="O520" s="4"/>
    </row>
    <row r="521" spans="1:15" x14ac:dyDescent="0.25">
      <c r="A521" s="14"/>
      <c r="B521" s="14"/>
      <c r="C521" s="14"/>
      <c r="D521" s="5" t="str">
        <f t="shared" si="48"/>
        <v/>
      </c>
      <c r="E521" s="5" t="str">
        <f t="shared" si="49"/>
        <v/>
      </c>
      <c r="F521" s="5" t="str">
        <f t="shared" si="50"/>
        <v/>
      </c>
      <c r="G521" s="23"/>
      <c r="H521" s="66"/>
      <c r="I521" s="14"/>
      <c r="J521" s="14"/>
      <c r="K521" s="14"/>
      <c r="L521" s="5" t="str">
        <f t="shared" si="51"/>
        <v/>
      </c>
      <c r="M521" s="5" t="str">
        <f t="shared" si="52"/>
        <v/>
      </c>
      <c r="N521" s="5" t="str">
        <f t="shared" si="53"/>
        <v/>
      </c>
      <c r="O521" s="4"/>
    </row>
    <row r="522" spans="1:15" x14ac:dyDescent="0.25">
      <c r="A522" s="14"/>
      <c r="B522" s="14"/>
      <c r="C522" s="14"/>
      <c r="D522" s="5" t="str">
        <f t="shared" si="48"/>
        <v/>
      </c>
      <c r="E522" s="5" t="str">
        <f t="shared" si="49"/>
        <v/>
      </c>
      <c r="F522" s="5" t="str">
        <f t="shared" si="50"/>
        <v/>
      </c>
      <c r="G522" s="23"/>
      <c r="H522" s="66"/>
      <c r="I522" s="14"/>
      <c r="J522" s="14"/>
      <c r="K522" s="14"/>
      <c r="L522" s="5" t="str">
        <f t="shared" si="51"/>
        <v/>
      </c>
      <c r="M522" s="5" t="str">
        <f t="shared" si="52"/>
        <v/>
      </c>
      <c r="N522" s="5" t="str">
        <f t="shared" si="53"/>
        <v/>
      </c>
      <c r="O522" s="4"/>
    </row>
    <row r="523" spans="1:15" x14ac:dyDescent="0.25">
      <c r="A523" s="14"/>
      <c r="B523" s="14"/>
      <c r="C523" s="14"/>
      <c r="D523" s="5" t="str">
        <f t="shared" si="48"/>
        <v/>
      </c>
      <c r="E523" s="5" t="str">
        <f t="shared" si="49"/>
        <v/>
      </c>
      <c r="F523" s="5" t="str">
        <f t="shared" si="50"/>
        <v/>
      </c>
      <c r="G523" s="23"/>
      <c r="H523" s="66"/>
      <c r="I523" s="14"/>
      <c r="J523" s="14"/>
      <c r="K523" s="14"/>
      <c r="L523" s="5" t="str">
        <f t="shared" si="51"/>
        <v/>
      </c>
      <c r="M523" s="5" t="str">
        <f t="shared" si="52"/>
        <v/>
      </c>
      <c r="N523" s="5" t="str">
        <f t="shared" si="53"/>
        <v/>
      </c>
      <c r="O523" s="4"/>
    </row>
    <row r="524" spans="1:15" x14ac:dyDescent="0.25">
      <c r="A524" s="14"/>
      <c r="B524" s="14"/>
      <c r="C524" s="14"/>
      <c r="D524" s="5" t="str">
        <f t="shared" si="48"/>
        <v/>
      </c>
      <c r="E524" s="5" t="str">
        <f t="shared" si="49"/>
        <v/>
      </c>
      <c r="F524" s="5" t="str">
        <f t="shared" si="50"/>
        <v/>
      </c>
      <c r="G524" s="23"/>
      <c r="H524" s="66"/>
      <c r="I524" s="14"/>
      <c r="J524" s="14"/>
      <c r="K524" s="14"/>
      <c r="L524" s="5" t="str">
        <f t="shared" si="51"/>
        <v/>
      </c>
      <c r="M524" s="5" t="str">
        <f t="shared" si="52"/>
        <v/>
      </c>
      <c r="N524" s="5" t="str">
        <f t="shared" si="53"/>
        <v/>
      </c>
      <c r="O524" s="4"/>
    </row>
    <row r="525" spans="1:15" x14ac:dyDescent="0.25">
      <c r="A525" s="14"/>
      <c r="B525" s="14"/>
      <c r="C525" s="14"/>
      <c r="D525" s="5" t="str">
        <f t="shared" si="48"/>
        <v/>
      </c>
      <c r="E525" s="5" t="str">
        <f t="shared" si="49"/>
        <v/>
      </c>
      <c r="F525" s="5" t="str">
        <f t="shared" si="50"/>
        <v/>
      </c>
      <c r="G525" s="23"/>
      <c r="H525" s="66"/>
      <c r="I525" s="14"/>
      <c r="J525" s="14"/>
      <c r="K525" s="14"/>
      <c r="L525" s="5" t="str">
        <f t="shared" si="51"/>
        <v/>
      </c>
      <c r="M525" s="5" t="str">
        <f t="shared" si="52"/>
        <v/>
      </c>
      <c r="N525" s="5" t="str">
        <f t="shared" si="53"/>
        <v/>
      </c>
      <c r="O525" s="4"/>
    </row>
    <row r="526" spans="1:15" x14ac:dyDescent="0.25">
      <c r="A526" s="14"/>
      <c r="B526" s="14"/>
      <c r="C526" s="14"/>
      <c r="D526" s="5" t="str">
        <f t="shared" si="48"/>
        <v/>
      </c>
      <c r="E526" s="5" t="str">
        <f t="shared" si="49"/>
        <v/>
      </c>
      <c r="F526" s="5" t="str">
        <f t="shared" si="50"/>
        <v/>
      </c>
      <c r="G526" s="23"/>
      <c r="H526" s="66"/>
      <c r="I526" s="14"/>
      <c r="J526" s="14"/>
      <c r="K526" s="14"/>
      <c r="L526" s="5" t="str">
        <f t="shared" si="51"/>
        <v/>
      </c>
      <c r="M526" s="5" t="str">
        <f t="shared" si="52"/>
        <v/>
      </c>
      <c r="N526" s="5" t="str">
        <f t="shared" si="53"/>
        <v/>
      </c>
      <c r="O526" s="4"/>
    </row>
    <row r="527" spans="1:15" x14ac:dyDescent="0.25">
      <c r="A527" s="14"/>
      <c r="B527" s="14"/>
      <c r="C527" s="14"/>
      <c r="D527" s="5" t="str">
        <f t="shared" si="48"/>
        <v/>
      </c>
      <c r="E527" s="5" t="str">
        <f t="shared" si="49"/>
        <v/>
      </c>
      <c r="F527" s="5" t="str">
        <f t="shared" si="50"/>
        <v/>
      </c>
      <c r="G527" s="23"/>
      <c r="H527" s="66"/>
      <c r="I527" s="14"/>
      <c r="J527" s="14"/>
      <c r="K527" s="14"/>
      <c r="L527" s="5" t="str">
        <f t="shared" si="51"/>
        <v/>
      </c>
      <c r="M527" s="5" t="str">
        <f t="shared" si="52"/>
        <v/>
      </c>
      <c r="N527" s="5" t="str">
        <f t="shared" si="53"/>
        <v/>
      </c>
      <c r="O527" s="4"/>
    </row>
    <row r="528" spans="1:15" x14ac:dyDescent="0.25">
      <c r="A528" s="14"/>
      <c r="B528" s="14"/>
      <c r="C528" s="14"/>
      <c r="D528" s="5" t="str">
        <f t="shared" si="48"/>
        <v/>
      </c>
      <c r="E528" s="5" t="str">
        <f t="shared" si="49"/>
        <v/>
      </c>
      <c r="F528" s="5" t="str">
        <f t="shared" si="50"/>
        <v/>
      </c>
      <c r="G528" s="23"/>
      <c r="H528" s="66"/>
      <c r="I528" s="14"/>
      <c r="J528" s="14"/>
      <c r="K528" s="14"/>
      <c r="L528" s="5" t="str">
        <f t="shared" si="51"/>
        <v/>
      </c>
      <c r="M528" s="5" t="str">
        <f t="shared" si="52"/>
        <v/>
      </c>
      <c r="N528" s="5" t="str">
        <f t="shared" si="53"/>
        <v/>
      </c>
      <c r="O528" s="4"/>
    </row>
    <row r="529" spans="1:15" x14ac:dyDescent="0.25">
      <c r="A529" s="14"/>
      <c r="B529" s="14"/>
      <c r="C529" s="14"/>
      <c r="D529" s="5" t="str">
        <f t="shared" si="48"/>
        <v/>
      </c>
      <c r="E529" s="5" t="str">
        <f t="shared" si="49"/>
        <v/>
      </c>
      <c r="F529" s="5" t="str">
        <f t="shared" si="50"/>
        <v/>
      </c>
      <c r="G529" s="23"/>
      <c r="H529" s="66"/>
      <c r="I529" s="14"/>
      <c r="J529" s="14"/>
      <c r="K529" s="14"/>
      <c r="L529" s="5" t="str">
        <f t="shared" si="51"/>
        <v/>
      </c>
      <c r="M529" s="5" t="str">
        <f t="shared" si="52"/>
        <v/>
      </c>
      <c r="N529" s="5" t="str">
        <f t="shared" si="53"/>
        <v/>
      </c>
      <c r="O529" s="4"/>
    </row>
    <row r="530" spans="1:15" x14ac:dyDescent="0.25">
      <c r="A530" s="14"/>
      <c r="B530" s="14"/>
      <c r="C530" s="14"/>
      <c r="D530" s="5" t="str">
        <f t="shared" si="48"/>
        <v/>
      </c>
      <c r="E530" s="5" t="str">
        <f t="shared" si="49"/>
        <v/>
      </c>
      <c r="F530" s="5" t="str">
        <f t="shared" si="50"/>
        <v/>
      </c>
      <c r="G530" s="23"/>
      <c r="H530" s="66"/>
      <c r="I530" s="14"/>
      <c r="J530" s="14"/>
      <c r="K530" s="14"/>
      <c r="L530" s="5" t="str">
        <f t="shared" si="51"/>
        <v/>
      </c>
      <c r="M530" s="5" t="str">
        <f t="shared" si="52"/>
        <v/>
      </c>
      <c r="N530" s="5" t="str">
        <f t="shared" si="53"/>
        <v/>
      </c>
      <c r="O530" s="4"/>
    </row>
    <row r="531" spans="1:15" x14ac:dyDescent="0.25">
      <c r="A531" s="14"/>
      <c r="B531" s="14"/>
      <c r="C531" s="14"/>
      <c r="D531" s="5" t="str">
        <f t="shared" si="48"/>
        <v/>
      </c>
      <c r="E531" s="5" t="str">
        <f t="shared" si="49"/>
        <v/>
      </c>
      <c r="F531" s="5" t="str">
        <f t="shared" si="50"/>
        <v/>
      </c>
      <c r="G531" s="23"/>
      <c r="H531" s="66"/>
      <c r="I531" s="14"/>
      <c r="J531" s="14"/>
      <c r="K531" s="14"/>
      <c r="L531" s="5" t="str">
        <f t="shared" si="51"/>
        <v/>
      </c>
      <c r="M531" s="5" t="str">
        <f t="shared" si="52"/>
        <v/>
      </c>
      <c r="N531" s="5" t="str">
        <f t="shared" si="53"/>
        <v/>
      </c>
      <c r="O531" s="4"/>
    </row>
    <row r="532" spans="1:15" x14ac:dyDescent="0.25">
      <c r="A532" s="14"/>
      <c r="B532" s="14"/>
      <c r="C532" s="14"/>
      <c r="D532" s="5" t="str">
        <f t="shared" si="48"/>
        <v/>
      </c>
      <c r="E532" s="5" t="str">
        <f t="shared" si="49"/>
        <v/>
      </c>
      <c r="F532" s="5" t="str">
        <f t="shared" si="50"/>
        <v/>
      </c>
      <c r="G532" s="23"/>
      <c r="H532" s="66"/>
      <c r="I532" s="14"/>
      <c r="J532" s="14"/>
      <c r="K532" s="14"/>
      <c r="L532" s="5" t="str">
        <f t="shared" si="51"/>
        <v/>
      </c>
      <c r="M532" s="5" t="str">
        <f t="shared" si="52"/>
        <v/>
      </c>
      <c r="N532" s="5" t="str">
        <f t="shared" si="53"/>
        <v/>
      </c>
      <c r="O532" s="4"/>
    </row>
    <row r="533" spans="1:15" x14ac:dyDescent="0.25">
      <c r="A533" s="14"/>
      <c r="B533" s="14"/>
      <c r="C533" s="14"/>
      <c r="D533" s="5" t="str">
        <f t="shared" si="48"/>
        <v/>
      </c>
      <c r="E533" s="5" t="str">
        <f t="shared" si="49"/>
        <v/>
      </c>
      <c r="F533" s="5" t="str">
        <f t="shared" si="50"/>
        <v/>
      </c>
      <c r="G533" s="23"/>
      <c r="H533" s="66"/>
      <c r="I533" s="14"/>
      <c r="J533" s="14"/>
      <c r="K533" s="14"/>
      <c r="L533" s="5" t="str">
        <f t="shared" si="51"/>
        <v/>
      </c>
      <c r="M533" s="5" t="str">
        <f t="shared" si="52"/>
        <v/>
      </c>
      <c r="N533" s="5" t="str">
        <f t="shared" si="53"/>
        <v/>
      </c>
      <c r="O533" s="4"/>
    </row>
    <row r="534" spans="1:15" x14ac:dyDescent="0.25">
      <c r="A534" s="14"/>
      <c r="B534" s="14"/>
      <c r="C534" s="14"/>
      <c r="D534" s="5" t="str">
        <f t="shared" si="48"/>
        <v/>
      </c>
      <c r="E534" s="5" t="str">
        <f t="shared" si="49"/>
        <v/>
      </c>
      <c r="F534" s="5" t="str">
        <f t="shared" si="50"/>
        <v/>
      </c>
      <c r="G534" s="23"/>
      <c r="H534" s="66"/>
      <c r="I534" s="14"/>
      <c r="J534" s="14"/>
      <c r="K534" s="14"/>
      <c r="L534" s="5" t="str">
        <f t="shared" si="51"/>
        <v/>
      </c>
      <c r="M534" s="5" t="str">
        <f t="shared" si="52"/>
        <v/>
      </c>
      <c r="N534" s="5" t="str">
        <f t="shared" si="53"/>
        <v/>
      </c>
      <c r="O534" s="4"/>
    </row>
    <row r="535" spans="1:15" x14ac:dyDescent="0.25">
      <c r="A535" s="14"/>
      <c r="B535" s="14"/>
      <c r="C535" s="14"/>
      <c r="D535" s="5" t="str">
        <f t="shared" si="48"/>
        <v/>
      </c>
      <c r="E535" s="5" t="str">
        <f t="shared" si="49"/>
        <v/>
      </c>
      <c r="F535" s="5" t="str">
        <f t="shared" si="50"/>
        <v/>
      </c>
      <c r="G535" s="23"/>
      <c r="H535" s="66"/>
      <c r="I535" s="14"/>
      <c r="J535" s="14"/>
      <c r="K535" s="14"/>
      <c r="L535" s="5" t="str">
        <f t="shared" si="51"/>
        <v/>
      </c>
      <c r="M535" s="5" t="str">
        <f t="shared" si="52"/>
        <v/>
      </c>
      <c r="N535" s="5" t="str">
        <f t="shared" si="53"/>
        <v/>
      </c>
      <c r="O535" s="4"/>
    </row>
    <row r="536" spans="1:15" x14ac:dyDescent="0.25">
      <c r="A536" s="14"/>
      <c r="B536" s="14"/>
      <c r="C536" s="14"/>
      <c r="D536" s="5" t="str">
        <f t="shared" si="48"/>
        <v/>
      </c>
      <c r="E536" s="5" t="str">
        <f t="shared" si="49"/>
        <v/>
      </c>
      <c r="F536" s="5" t="str">
        <f t="shared" si="50"/>
        <v/>
      </c>
      <c r="G536" s="23"/>
      <c r="H536" s="66"/>
      <c r="I536" s="14"/>
      <c r="J536" s="14"/>
      <c r="K536" s="14"/>
      <c r="L536" s="5" t="str">
        <f t="shared" si="51"/>
        <v/>
      </c>
      <c r="M536" s="5" t="str">
        <f t="shared" si="52"/>
        <v/>
      </c>
      <c r="N536" s="5" t="str">
        <f t="shared" si="53"/>
        <v/>
      </c>
      <c r="O536" s="4"/>
    </row>
    <row r="537" spans="1:15" x14ac:dyDescent="0.25">
      <c r="A537" s="14"/>
      <c r="B537" s="14"/>
      <c r="C537" s="14"/>
      <c r="D537" s="5" t="str">
        <f t="shared" ref="D537:D600" si="54">IFERROR( IF(A537&lt;&gt;"",((B537-B536)*$X$4/(A537-A536))*$X$5,""),"")</f>
        <v/>
      </c>
      <c r="E537" s="5" t="str">
        <f t="shared" ref="E537:E600" si="55">IFERROR(IF(A537&lt;&gt;"",((C537-C536)*$X$4/(A537-A536))*$X$5,""),"")</f>
        <v/>
      </c>
      <c r="F537" s="5" t="str">
        <f t="shared" ref="F537:F600" si="56">IFERROR(IF(A537&lt;&gt;"",((ACOS((COS(RADIANS(B536))*COS(RADIANS(B537)))+(SIN(RADIANS(B536))*SIN(RADIANS(B537)))*COS(RADIANS(C537-C536)))*180/PI()*($X$4/(A537-A536))))*$X$5,""),"")</f>
        <v/>
      </c>
      <c r="G537" s="23"/>
      <c r="H537" s="66"/>
      <c r="I537" s="14"/>
      <c r="J537" s="14"/>
      <c r="K537" s="14"/>
      <c r="L537" s="5" t="str">
        <f t="shared" si="51"/>
        <v/>
      </c>
      <c r="M537" s="5" t="str">
        <f t="shared" si="52"/>
        <v/>
      </c>
      <c r="N537" s="5" t="str">
        <f t="shared" si="53"/>
        <v/>
      </c>
      <c r="O537" s="4"/>
    </row>
    <row r="538" spans="1:15" x14ac:dyDescent="0.25">
      <c r="A538" s="14"/>
      <c r="B538" s="14"/>
      <c r="C538" s="14"/>
      <c r="D538" s="5" t="str">
        <f t="shared" si="54"/>
        <v/>
      </c>
      <c r="E538" s="5" t="str">
        <f t="shared" si="55"/>
        <v/>
      </c>
      <c r="F538" s="5" t="str">
        <f t="shared" si="56"/>
        <v/>
      </c>
      <c r="G538" s="23"/>
      <c r="H538" s="66"/>
      <c r="I538" s="14"/>
      <c r="J538" s="14"/>
      <c r="K538" s="14"/>
      <c r="L538" s="5" t="str">
        <f t="shared" si="51"/>
        <v/>
      </c>
      <c r="M538" s="5" t="str">
        <f t="shared" si="52"/>
        <v/>
      </c>
      <c r="N538" s="5" t="str">
        <f t="shared" si="53"/>
        <v/>
      </c>
      <c r="O538" s="4"/>
    </row>
    <row r="539" spans="1:15" x14ac:dyDescent="0.25">
      <c r="A539" s="14"/>
      <c r="B539" s="14"/>
      <c r="C539" s="14"/>
      <c r="D539" s="5" t="str">
        <f t="shared" si="54"/>
        <v/>
      </c>
      <c r="E539" s="5" t="str">
        <f t="shared" si="55"/>
        <v/>
      </c>
      <c r="F539" s="5" t="str">
        <f t="shared" si="56"/>
        <v/>
      </c>
      <c r="G539" s="23"/>
      <c r="H539" s="66"/>
      <c r="I539" s="14"/>
      <c r="J539" s="14"/>
      <c r="K539" s="14"/>
      <c r="L539" s="5" t="str">
        <f t="shared" si="51"/>
        <v/>
      </c>
      <c r="M539" s="5" t="str">
        <f t="shared" si="52"/>
        <v/>
      </c>
      <c r="N539" s="5" t="str">
        <f t="shared" si="53"/>
        <v/>
      </c>
      <c r="O539" s="4"/>
    </row>
    <row r="540" spans="1:15" x14ac:dyDescent="0.25">
      <c r="A540" s="14"/>
      <c r="B540" s="14"/>
      <c r="C540" s="14"/>
      <c r="D540" s="5" t="str">
        <f t="shared" si="54"/>
        <v/>
      </c>
      <c r="E540" s="5" t="str">
        <f t="shared" si="55"/>
        <v/>
      </c>
      <c r="F540" s="5" t="str">
        <f t="shared" si="56"/>
        <v/>
      </c>
      <c r="G540" s="23"/>
      <c r="H540" s="66"/>
      <c r="I540" s="14"/>
      <c r="J540" s="14"/>
      <c r="K540" s="14"/>
      <c r="L540" s="5" t="str">
        <f t="shared" si="51"/>
        <v/>
      </c>
      <c r="M540" s="5" t="str">
        <f t="shared" si="52"/>
        <v/>
      </c>
      <c r="N540" s="5" t="str">
        <f t="shared" si="53"/>
        <v/>
      </c>
      <c r="O540" s="4"/>
    </row>
    <row r="541" spans="1:15" x14ac:dyDescent="0.25">
      <c r="A541" s="14"/>
      <c r="B541" s="14"/>
      <c r="C541" s="14"/>
      <c r="D541" s="5" t="str">
        <f t="shared" si="54"/>
        <v/>
      </c>
      <c r="E541" s="5" t="str">
        <f t="shared" si="55"/>
        <v/>
      </c>
      <c r="F541" s="5" t="str">
        <f t="shared" si="56"/>
        <v/>
      </c>
      <c r="G541" s="23"/>
      <c r="H541" s="66"/>
      <c r="I541" s="14"/>
      <c r="J541" s="14"/>
      <c r="K541" s="14"/>
      <c r="L541" s="5" t="str">
        <f t="shared" si="51"/>
        <v/>
      </c>
      <c r="M541" s="5" t="str">
        <f t="shared" si="52"/>
        <v/>
      </c>
      <c r="N541" s="5" t="str">
        <f t="shared" si="53"/>
        <v/>
      </c>
      <c r="O541" s="4"/>
    </row>
    <row r="542" spans="1:15" x14ac:dyDescent="0.25">
      <c r="A542" s="14"/>
      <c r="B542" s="14"/>
      <c r="C542" s="14"/>
      <c r="D542" s="5" t="str">
        <f t="shared" si="54"/>
        <v/>
      </c>
      <c r="E542" s="5" t="str">
        <f t="shared" si="55"/>
        <v/>
      </c>
      <c r="F542" s="5" t="str">
        <f t="shared" si="56"/>
        <v/>
      </c>
      <c r="G542" s="23"/>
      <c r="H542" s="66"/>
      <c r="I542" s="14"/>
      <c r="J542" s="14"/>
      <c r="K542" s="14"/>
      <c r="L542" s="5" t="str">
        <f t="shared" si="51"/>
        <v/>
      </c>
      <c r="M542" s="5" t="str">
        <f t="shared" si="52"/>
        <v/>
      </c>
      <c r="N542" s="5" t="str">
        <f t="shared" si="53"/>
        <v/>
      </c>
      <c r="O542" s="4"/>
    </row>
    <row r="543" spans="1:15" x14ac:dyDescent="0.25">
      <c r="A543" s="14"/>
      <c r="B543" s="14"/>
      <c r="C543" s="14"/>
      <c r="D543" s="5" t="str">
        <f t="shared" si="54"/>
        <v/>
      </c>
      <c r="E543" s="5" t="str">
        <f t="shared" si="55"/>
        <v/>
      </c>
      <c r="F543" s="5" t="str">
        <f t="shared" si="56"/>
        <v/>
      </c>
      <c r="G543" s="23"/>
      <c r="H543" s="66"/>
      <c r="I543" s="14"/>
      <c r="J543" s="14"/>
      <c r="K543" s="14"/>
      <c r="L543" s="5" t="str">
        <f t="shared" si="51"/>
        <v/>
      </c>
      <c r="M543" s="5" t="str">
        <f t="shared" si="52"/>
        <v/>
      </c>
      <c r="N543" s="5" t="str">
        <f t="shared" si="53"/>
        <v/>
      </c>
      <c r="O543" s="4"/>
    </row>
    <row r="544" spans="1:15" x14ac:dyDescent="0.25">
      <c r="A544" s="14"/>
      <c r="B544" s="14"/>
      <c r="C544" s="14"/>
      <c r="D544" s="5" t="str">
        <f t="shared" si="54"/>
        <v/>
      </c>
      <c r="E544" s="5" t="str">
        <f t="shared" si="55"/>
        <v/>
      </c>
      <c r="F544" s="5" t="str">
        <f t="shared" si="56"/>
        <v/>
      </c>
      <c r="G544" s="23"/>
      <c r="H544" s="66"/>
      <c r="I544" s="14"/>
      <c r="J544" s="14"/>
      <c r="K544" s="14"/>
      <c r="L544" s="5" t="str">
        <f t="shared" si="51"/>
        <v/>
      </c>
      <c r="M544" s="5" t="str">
        <f t="shared" si="52"/>
        <v/>
      </c>
      <c r="N544" s="5" t="str">
        <f t="shared" si="53"/>
        <v/>
      </c>
      <c r="O544" s="4"/>
    </row>
    <row r="545" spans="1:15" x14ac:dyDescent="0.25">
      <c r="A545" s="14"/>
      <c r="B545" s="14"/>
      <c r="C545" s="14"/>
      <c r="D545" s="5" t="str">
        <f t="shared" si="54"/>
        <v/>
      </c>
      <c r="E545" s="5" t="str">
        <f t="shared" si="55"/>
        <v/>
      </c>
      <c r="F545" s="5" t="str">
        <f t="shared" si="56"/>
        <v/>
      </c>
      <c r="G545" s="23"/>
      <c r="H545" s="66"/>
      <c r="I545" s="14"/>
      <c r="J545" s="14"/>
      <c r="K545" s="14"/>
      <c r="L545" s="5" t="str">
        <f t="shared" si="51"/>
        <v/>
      </c>
      <c r="M545" s="5" t="str">
        <f t="shared" si="52"/>
        <v/>
      </c>
      <c r="N545" s="5" t="str">
        <f t="shared" si="53"/>
        <v/>
      </c>
      <c r="O545" s="4"/>
    </row>
    <row r="546" spans="1:15" x14ac:dyDescent="0.25">
      <c r="A546" s="14"/>
      <c r="B546" s="14"/>
      <c r="C546" s="14"/>
      <c r="D546" s="5" t="str">
        <f t="shared" si="54"/>
        <v/>
      </c>
      <c r="E546" s="5" t="str">
        <f t="shared" si="55"/>
        <v/>
      </c>
      <c r="F546" s="5" t="str">
        <f t="shared" si="56"/>
        <v/>
      </c>
      <c r="G546" s="23"/>
      <c r="H546" s="66"/>
      <c r="I546" s="14"/>
      <c r="J546" s="14"/>
      <c r="K546" s="14"/>
      <c r="L546" s="5" t="str">
        <f t="shared" si="51"/>
        <v/>
      </c>
      <c r="M546" s="5" t="str">
        <f t="shared" si="52"/>
        <v/>
      </c>
      <c r="N546" s="5" t="str">
        <f t="shared" si="53"/>
        <v/>
      </c>
      <c r="O546" s="4"/>
    </row>
    <row r="547" spans="1:15" x14ac:dyDescent="0.25">
      <c r="A547" s="14"/>
      <c r="B547" s="14"/>
      <c r="C547" s="14"/>
      <c r="D547" s="5" t="str">
        <f t="shared" si="54"/>
        <v/>
      </c>
      <c r="E547" s="5" t="str">
        <f t="shared" si="55"/>
        <v/>
      </c>
      <c r="F547" s="5" t="str">
        <f t="shared" si="56"/>
        <v/>
      </c>
      <c r="G547" s="23"/>
      <c r="H547" s="66"/>
      <c r="I547" s="14"/>
      <c r="J547" s="14"/>
      <c r="K547" s="14"/>
      <c r="L547" s="5" t="str">
        <f t="shared" si="51"/>
        <v/>
      </c>
      <c r="M547" s="5" t="str">
        <f t="shared" si="52"/>
        <v/>
      </c>
      <c r="N547" s="5" t="str">
        <f t="shared" si="53"/>
        <v/>
      </c>
      <c r="O547" s="4"/>
    </row>
    <row r="548" spans="1:15" x14ac:dyDescent="0.25">
      <c r="A548" s="14"/>
      <c r="B548" s="14"/>
      <c r="C548" s="14"/>
      <c r="D548" s="5" t="str">
        <f t="shared" si="54"/>
        <v/>
      </c>
      <c r="E548" s="5" t="str">
        <f t="shared" si="55"/>
        <v/>
      </c>
      <c r="F548" s="5" t="str">
        <f t="shared" si="56"/>
        <v/>
      </c>
      <c r="G548" s="23"/>
      <c r="H548" s="66"/>
      <c r="I548" s="14"/>
      <c r="J548" s="14"/>
      <c r="K548" s="14"/>
      <c r="L548" s="5" t="str">
        <f t="shared" si="51"/>
        <v/>
      </c>
      <c r="M548" s="5" t="str">
        <f t="shared" si="52"/>
        <v/>
      </c>
      <c r="N548" s="5" t="str">
        <f t="shared" si="53"/>
        <v/>
      </c>
      <c r="O548" s="4"/>
    </row>
    <row r="549" spans="1:15" x14ac:dyDescent="0.25">
      <c r="A549" s="14"/>
      <c r="B549" s="14"/>
      <c r="C549" s="14"/>
      <c r="D549" s="5" t="str">
        <f t="shared" si="54"/>
        <v/>
      </c>
      <c r="E549" s="5" t="str">
        <f t="shared" si="55"/>
        <v/>
      </c>
      <c r="F549" s="5" t="str">
        <f t="shared" si="56"/>
        <v/>
      </c>
      <c r="G549" s="23"/>
      <c r="H549" s="66"/>
      <c r="I549" s="14"/>
      <c r="J549" s="14"/>
      <c r="K549" s="14"/>
      <c r="L549" s="5" t="str">
        <f t="shared" si="51"/>
        <v/>
      </c>
      <c r="M549" s="5" t="str">
        <f t="shared" si="52"/>
        <v/>
      </c>
      <c r="N549" s="5" t="str">
        <f t="shared" si="53"/>
        <v/>
      </c>
      <c r="O549" s="4"/>
    </row>
    <row r="550" spans="1:15" x14ac:dyDescent="0.25">
      <c r="A550" s="14"/>
      <c r="B550" s="14"/>
      <c r="C550" s="14"/>
      <c r="D550" s="5" t="str">
        <f t="shared" si="54"/>
        <v/>
      </c>
      <c r="E550" s="5" t="str">
        <f t="shared" si="55"/>
        <v/>
      </c>
      <c r="F550" s="5" t="str">
        <f t="shared" si="56"/>
        <v/>
      </c>
      <c r="G550" s="23"/>
      <c r="H550" s="66"/>
      <c r="I550" s="14"/>
      <c r="J550" s="14"/>
      <c r="K550" s="14"/>
      <c r="L550" s="5" t="str">
        <f t="shared" si="51"/>
        <v/>
      </c>
      <c r="M550" s="5" t="str">
        <f t="shared" si="52"/>
        <v/>
      </c>
      <c r="N550" s="5" t="str">
        <f t="shared" si="53"/>
        <v/>
      </c>
      <c r="O550" s="4"/>
    </row>
    <row r="551" spans="1:15" x14ac:dyDescent="0.25">
      <c r="A551" s="14"/>
      <c r="B551" s="14"/>
      <c r="C551" s="14"/>
      <c r="D551" s="5" t="str">
        <f t="shared" si="54"/>
        <v/>
      </c>
      <c r="E551" s="5" t="str">
        <f t="shared" si="55"/>
        <v/>
      </c>
      <c r="F551" s="5" t="str">
        <f t="shared" si="56"/>
        <v/>
      </c>
      <c r="G551" s="23"/>
      <c r="H551" s="66"/>
      <c r="I551" s="14"/>
      <c r="J551" s="14"/>
      <c r="K551" s="14"/>
      <c r="L551" s="5" t="str">
        <f t="shared" si="51"/>
        <v/>
      </c>
      <c r="M551" s="5" t="str">
        <f t="shared" si="52"/>
        <v/>
      </c>
      <c r="N551" s="5" t="str">
        <f t="shared" si="53"/>
        <v/>
      </c>
      <c r="O551" s="4"/>
    </row>
    <row r="552" spans="1:15" x14ac:dyDescent="0.25">
      <c r="A552" s="14"/>
      <c r="B552" s="14"/>
      <c r="C552" s="14"/>
      <c r="D552" s="5" t="str">
        <f t="shared" si="54"/>
        <v/>
      </c>
      <c r="E552" s="5" t="str">
        <f t="shared" si="55"/>
        <v/>
      </c>
      <c r="F552" s="5" t="str">
        <f t="shared" si="56"/>
        <v/>
      </c>
      <c r="G552" s="23"/>
      <c r="H552" s="66"/>
      <c r="I552" s="14"/>
      <c r="J552" s="14"/>
      <c r="K552" s="14"/>
      <c r="L552" s="5" t="str">
        <f t="shared" si="51"/>
        <v/>
      </c>
      <c r="M552" s="5" t="str">
        <f t="shared" si="52"/>
        <v/>
      </c>
      <c r="N552" s="5" t="str">
        <f t="shared" si="53"/>
        <v/>
      </c>
      <c r="O552" s="4"/>
    </row>
    <row r="553" spans="1:15" x14ac:dyDescent="0.25">
      <c r="A553" s="14"/>
      <c r="B553" s="14"/>
      <c r="C553" s="14"/>
      <c r="D553" s="5" t="str">
        <f t="shared" si="54"/>
        <v/>
      </c>
      <c r="E553" s="5" t="str">
        <f t="shared" si="55"/>
        <v/>
      </c>
      <c r="F553" s="5" t="str">
        <f t="shared" si="56"/>
        <v/>
      </c>
      <c r="G553" s="23"/>
      <c r="H553" s="66"/>
      <c r="I553" s="14"/>
      <c r="J553" s="14"/>
      <c r="K553" s="14"/>
      <c r="L553" s="5" t="str">
        <f t="shared" si="51"/>
        <v/>
      </c>
      <c r="M553" s="5" t="str">
        <f t="shared" si="52"/>
        <v/>
      </c>
      <c r="N553" s="5" t="str">
        <f t="shared" si="53"/>
        <v/>
      </c>
      <c r="O553" s="4"/>
    </row>
    <row r="554" spans="1:15" x14ac:dyDescent="0.25">
      <c r="A554" s="14"/>
      <c r="B554" s="14"/>
      <c r="C554" s="14"/>
      <c r="D554" s="5" t="str">
        <f t="shared" si="54"/>
        <v/>
      </c>
      <c r="E554" s="5" t="str">
        <f t="shared" si="55"/>
        <v/>
      </c>
      <c r="F554" s="5" t="str">
        <f t="shared" si="56"/>
        <v/>
      </c>
      <c r="G554" s="23"/>
      <c r="H554" s="66"/>
      <c r="I554" s="14"/>
      <c r="J554" s="14"/>
      <c r="K554" s="14"/>
      <c r="L554" s="5" t="str">
        <f t="shared" si="51"/>
        <v/>
      </c>
      <c r="M554" s="5" t="str">
        <f t="shared" si="52"/>
        <v/>
      </c>
      <c r="N554" s="5" t="str">
        <f t="shared" si="53"/>
        <v/>
      </c>
      <c r="O554" s="4"/>
    </row>
    <row r="555" spans="1:15" x14ac:dyDescent="0.25">
      <c r="A555" s="14"/>
      <c r="B555" s="14"/>
      <c r="C555" s="14"/>
      <c r="D555" s="5" t="str">
        <f t="shared" si="54"/>
        <v/>
      </c>
      <c r="E555" s="5" t="str">
        <f t="shared" si="55"/>
        <v/>
      </c>
      <c r="F555" s="5" t="str">
        <f t="shared" si="56"/>
        <v/>
      </c>
      <c r="G555" s="23"/>
      <c r="H555" s="66"/>
      <c r="I555" s="14"/>
      <c r="J555" s="14"/>
      <c r="K555" s="14"/>
      <c r="L555" s="5" t="str">
        <f t="shared" si="51"/>
        <v/>
      </c>
      <c r="M555" s="5" t="str">
        <f t="shared" si="52"/>
        <v/>
      </c>
      <c r="N555" s="5" t="str">
        <f t="shared" si="53"/>
        <v/>
      </c>
      <c r="O555" s="4"/>
    </row>
    <row r="556" spans="1:15" x14ac:dyDescent="0.25">
      <c r="A556" s="14"/>
      <c r="B556" s="14"/>
      <c r="C556" s="14"/>
      <c r="D556" s="5" t="str">
        <f t="shared" si="54"/>
        <v/>
      </c>
      <c r="E556" s="5" t="str">
        <f t="shared" si="55"/>
        <v/>
      </c>
      <c r="F556" s="5" t="str">
        <f t="shared" si="56"/>
        <v/>
      </c>
      <c r="G556" s="23"/>
      <c r="H556" s="66"/>
      <c r="I556" s="14"/>
      <c r="J556" s="14"/>
      <c r="K556" s="14"/>
      <c r="L556" s="5" t="str">
        <f t="shared" si="51"/>
        <v/>
      </c>
      <c r="M556" s="5" t="str">
        <f t="shared" si="52"/>
        <v/>
      </c>
      <c r="N556" s="5" t="str">
        <f t="shared" si="53"/>
        <v/>
      </c>
      <c r="O556" s="4"/>
    </row>
    <row r="557" spans="1:15" x14ac:dyDescent="0.25">
      <c r="A557" s="14"/>
      <c r="B557" s="14"/>
      <c r="C557" s="14"/>
      <c r="D557" s="5" t="str">
        <f t="shared" si="54"/>
        <v/>
      </c>
      <c r="E557" s="5" t="str">
        <f t="shared" si="55"/>
        <v/>
      </c>
      <c r="F557" s="5" t="str">
        <f t="shared" si="56"/>
        <v/>
      </c>
      <c r="G557" s="23"/>
      <c r="H557" s="66"/>
      <c r="I557" s="14"/>
      <c r="J557" s="14"/>
      <c r="K557" s="14"/>
      <c r="L557" s="5" t="str">
        <f t="shared" si="51"/>
        <v/>
      </c>
      <c r="M557" s="5" t="str">
        <f t="shared" si="52"/>
        <v/>
      </c>
      <c r="N557" s="5" t="str">
        <f t="shared" si="53"/>
        <v/>
      </c>
      <c r="O557" s="4"/>
    </row>
    <row r="558" spans="1:15" x14ac:dyDescent="0.25">
      <c r="A558" s="14"/>
      <c r="B558" s="14"/>
      <c r="C558" s="14"/>
      <c r="D558" s="5" t="str">
        <f t="shared" si="54"/>
        <v/>
      </c>
      <c r="E558" s="5" t="str">
        <f t="shared" si="55"/>
        <v/>
      </c>
      <c r="F558" s="5" t="str">
        <f t="shared" si="56"/>
        <v/>
      </c>
      <c r="G558" s="23"/>
      <c r="H558" s="66"/>
      <c r="I558" s="14"/>
      <c r="J558" s="14"/>
      <c r="K558" s="14"/>
      <c r="L558" s="5" t="str">
        <f t="shared" si="51"/>
        <v/>
      </c>
      <c r="M558" s="5" t="str">
        <f t="shared" si="52"/>
        <v/>
      </c>
      <c r="N558" s="5" t="str">
        <f t="shared" si="53"/>
        <v/>
      </c>
      <c r="O558" s="4"/>
    </row>
    <row r="559" spans="1:15" x14ac:dyDescent="0.25">
      <c r="A559" s="14"/>
      <c r="B559" s="14"/>
      <c r="C559" s="14"/>
      <c r="D559" s="5" t="str">
        <f t="shared" si="54"/>
        <v/>
      </c>
      <c r="E559" s="5" t="str">
        <f t="shared" si="55"/>
        <v/>
      </c>
      <c r="F559" s="5" t="str">
        <f t="shared" si="56"/>
        <v/>
      </c>
      <c r="G559" s="23"/>
      <c r="H559" s="66"/>
      <c r="I559" s="14"/>
      <c r="J559" s="14"/>
      <c r="K559" s="14"/>
      <c r="L559" s="5" t="str">
        <f t="shared" si="51"/>
        <v/>
      </c>
      <c r="M559" s="5" t="str">
        <f t="shared" si="52"/>
        <v/>
      </c>
      <c r="N559" s="5" t="str">
        <f t="shared" si="53"/>
        <v/>
      </c>
      <c r="O559" s="4"/>
    </row>
    <row r="560" spans="1:15" x14ac:dyDescent="0.25">
      <c r="A560" s="14"/>
      <c r="B560" s="14"/>
      <c r="C560" s="14"/>
      <c r="D560" s="5" t="str">
        <f t="shared" si="54"/>
        <v/>
      </c>
      <c r="E560" s="5" t="str">
        <f t="shared" si="55"/>
        <v/>
      </c>
      <c r="F560" s="5" t="str">
        <f t="shared" si="56"/>
        <v/>
      </c>
      <c r="G560" s="23"/>
      <c r="H560" s="66"/>
      <c r="I560" s="14"/>
      <c r="J560" s="14"/>
      <c r="K560" s="14"/>
      <c r="L560" s="5" t="str">
        <f t="shared" si="51"/>
        <v/>
      </c>
      <c r="M560" s="5" t="str">
        <f t="shared" si="52"/>
        <v/>
      </c>
      <c r="N560" s="5" t="str">
        <f t="shared" si="53"/>
        <v/>
      </c>
      <c r="O560" s="4"/>
    </row>
    <row r="561" spans="1:15" x14ac:dyDescent="0.25">
      <c r="A561" s="14"/>
      <c r="B561" s="14"/>
      <c r="C561" s="14"/>
      <c r="D561" s="5" t="str">
        <f t="shared" si="54"/>
        <v/>
      </c>
      <c r="E561" s="5" t="str">
        <f t="shared" si="55"/>
        <v/>
      </c>
      <c r="F561" s="5" t="str">
        <f t="shared" si="56"/>
        <v/>
      </c>
      <c r="G561" s="23"/>
      <c r="H561" s="66"/>
      <c r="I561" s="14"/>
      <c r="J561" s="14"/>
      <c r="K561" s="14"/>
      <c r="L561" s="5" t="str">
        <f t="shared" si="51"/>
        <v/>
      </c>
      <c r="M561" s="5" t="str">
        <f t="shared" si="52"/>
        <v/>
      </c>
      <c r="N561" s="5" t="str">
        <f t="shared" si="53"/>
        <v/>
      </c>
      <c r="O561" s="4"/>
    </row>
    <row r="562" spans="1:15" x14ac:dyDescent="0.25">
      <c r="A562" s="14"/>
      <c r="B562" s="14"/>
      <c r="C562" s="14"/>
      <c r="D562" s="5" t="str">
        <f t="shared" si="54"/>
        <v/>
      </c>
      <c r="E562" s="5" t="str">
        <f t="shared" si="55"/>
        <v/>
      </c>
      <c r="F562" s="5" t="str">
        <f t="shared" si="56"/>
        <v/>
      </c>
      <c r="G562" s="23"/>
      <c r="H562" s="66"/>
      <c r="I562" s="14"/>
      <c r="J562" s="14"/>
      <c r="K562" s="14"/>
      <c r="L562" s="5" t="str">
        <f t="shared" si="51"/>
        <v/>
      </c>
      <c r="M562" s="5" t="str">
        <f t="shared" si="52"/>
        <v/>
      </c>
      <c r="N562" s="5" t="str">
        <f t="shared" si="53"/>
        <v/>
      </c>
      <c r="O562" s="4"/>
    </row>
    <row r="563" spans="1:15" x14ac:dyDescent="0.25">
      <c r="A563" s="14"/>
      <c r="B563" s="14"/>
      <c r="C563" s="14"/>
      <c r="D563" s="5" t="str">
        <f t="shared" si="54"/>
        <v/>
      </c>
      <c r="E563" s="5" t="str">
        <f t="shared" si="55"/>
        <v/>
      </c>
      <c r="F563" s="5" t="str">
        <f t="shared" si="56"/>
        <v/>
      </c>
      <c r="G563" s="23"/>
      <c r="H563" s="66"/>
      <c r="I563" s="14"/>
      <c r="J563" s="14"/>
      <c r="K563" s="14"/>
      <c r="L563" s="5" t="str">
        <f t="shared" si="51"/>
        <v/>
      </c>
      <c r="M563" s="5" t="str">
        <f t="shared" si="52"/>
        <v/>
      </c>
      <c r="N563" s="5" t="str">
        <f t="shared" si="53"/>
        <v/>
      </c>
      <c r="O563" s="4"/>
    </row>
    <row r="564" spans="1:15" x14ac:dyDescent="0.25">
      <c r="A564" s="14"/>
      <c r="B564" s="14"/>
      <c r="C564" s="14"/>
      <c r="D564" s="5" t="str">
        <f t="shared" si="54"/>
        <v/>
      </c>
      <c r="E564" s="5" t="str">
        <f t="shared" si="55"/>
        <v/>
      </c>
      <c r="F564" s="5" t="str">
        <f t="shared" si="56"/>
        <v/>
      </c>
      <c r="G564" s="23"/>
      <c r="H564" s="66"/>
      <c r="I564" s="14"/>
      <c r="J564" s="14"/>
      <c r="K564" s="14"/>
      <c r="L564" s="5" t="str">
        <f t="shared" si="51"/>
        <v/>
      </c>
      <c r="M564" s="5" t="str">
        <f t="shared" si="52"/>
        <v/>
      </c>
      <c r="N564" s="5" t="str">
        <f t="shared" si="53"/>
        <v/>
      </c>
      <c r="O564" s="4"/>
    </row>
    <row r="565" spans="1:15" x14ac:dyDescent="0.25">
      <c r="A565" s="14"/>
      <c r="B565" s="14"/>
      <c r="C565" s="14"/>
      <c r="D565" s="5" t="str">
        <f t="shared" si="54"/>
        <v/>
      </c>
      <c r="E565" s="5" t="str">
        <f t="shared" si="55"/>
        <v/>
      </c>
      <c r="F565" s="5" t="str">
        <f t="shared" si="56"/>
        <v/>
      </c>
      <c r="G565" s="23"/>
      <c r="H565" s="66"/>
      <c r="I565" s="14"/>
      <c r="J565" s="14"/>
      <c r="K565" s="14"/>
      <c r="L565" s="5" t="str">
        <f t="shared" si="51"/>
        <v/>
      </c>
      <c r="M565" s="5" t="str">
        <f t="shared" si="52"/>
        <v/>
      </c>
      <c r="N565" s="5" t="str">
        <f t="shared" si="53"/>
        <v/>
      </c>
      <c r="O565" s="4"/>
    </row>
    <row r="566" spans="1:15" x14ac:dyDescent="0.25">
      <c r="A566" s="14"/>
      <c r="B566" s="14"/>
      <c r="C566" s="14"/>
      <c r="D566" s="5" t="str">
        <f t="shared" si="54"/>
        <v/>
      </c>
      <c r="E566" s="5" t="str">
        <f t="shared" si="55"/>
        <v/>
      </c>
      <c r="F566" s="5" t="str">
        <f t="shared" si="56"/>
        <v/>
      </c>
      <c r="G566" s="23"/>
      <c r="H566" s="66"/>
      <c r="I566" s="14"/>
      <c r="J566" s="14"/>
      <c r="K566" s="14"/>
      <c r="L566" s="5" t="str">
        <f t="shared" si="51"/>
        <v/>
      </c>
      <c r="M566" s="5" t="str">
        <f t="shared" si="52"/>
        <v/>
      </c>
      <c r="N566" s="5" t="str">
        <f t="shared" si="53"/>
        <v/>
      </c>
      <c r="O566" s="4"/>
    </row>
    <row r="567" spans="1:15" x14ac:dyDescent="0.25">
      <c r="A567" s="14"/>
      <c r="B567" s="14"/>
      <c r="C567" s="14"/>
      <c r="D567" s="5" t="str">
        <f t="shared" si="54"/>
        <v/>
      </c>
      <c r="E567" s="5" t="str">
        <f t="shared" si="55"/>
        <v/>
      </c>
      <c r="F567" s="5" t="str">
        <f t="shared" si="56"/>
        <v/>
      </c>
      <c r="G567" s="23"/>
      <c r="H567" s="66"/>
      <c r="I567" s="14"/>
      <c r="J567" s="14"/>
      <c r="K567" s="14"/>
      <c r="L567" s="5" t="str">
        <f t="shared" si="51"/>
        <v/>
      </c>
      <c r="M567" s="5" t="str">
        <f t="shared" si="52"/>
        <v/>
      </c>
      <c r="N567" s="5" t="str">
        <f t="shared" si="53"/>
        <v/>
      </c>
      <c r="O567" s="4"/>
    </row>
    <row r="568" spans="1:15" x14ac:dyDescent="0.25">
      <c r="A568" s="14"/>
      <c r="B568" s="14"/>
      <c r="C568" s="14"/>
      <c r="D568" s="5" t="str">
        <f t="shared" si="54"/>
        <v/>
      </c>
      <c r="E568" s="5" t="str">
        <f t="shared" si="55"/>
        <v/>
      </c>
      <c r="F568" s="5" t="str">
        <f t="shared" si="56"/>
        <v/>
      </c>
      <c r="G568" s="23"/>
      <c r="H568" s="66"/>
      <c r="I568" s="14"/>
      <c r="J568" s="14"/>
      <c r="K568" s="14"/>
      <c r="L568" s="5" t="str">
        <f t="shared" si="51"/>
        <v/>
      </c>
      <c r="M568" s="5" t="str">
        <f t="shared" si="52"/>
        <v/>
      </c>
      <c r="N568" s="5" t="str">
        <f t="shared" si="53"/>
        <v/>
      </c>
      <c r="O568" s="4"/>
    </row>
    <row r="569" spans="1:15" x14ac:dyDescent="0.25">
      <c r="A569" s="14"/>
      <c r="B569" s="14"/>
      <c r="C569" s="14"/>
      <c r="D569" s="5" t="str">
        <f t="shared" si="54"/>
        <v/>
      </c>
      <c r="E569" s="5" t="str">
        <f t="shared" si="55"/>
        <v/>
      </c>
      <c r="F569" s="5" t="str">
        <f t="shared" si="56"/>
        <v/>
      </c>
      <c r="G569" s="23"/>
      <c r="H569" s="66"/>
      <c r="I569" s="14"/>
      <c r="J569" s="14"/>
      <c r="K569" s="14"/>
      <c r="L569" s="5" t="str">
        <f t="shared" si="51"/>
        <v/>
      </c>
      <c r="M569" s="5" t="str">
        <f t="shared" si="52"/>
        <v/>
      </c>
      <c r="N569" s="5" t="str">
        <f t="shared" si="53"/>
        <v/>
      </c>
      <c r="O569" s="4"/>
    </row>
    <row r="570" spans="1:15" x14ac:dyDescent="0.25">
      <c r="A570" s="14"/>
      <c r="B570" s="14"/>
      <c r="C570" s="14"/>
      <c r="D570" s="5" t="str">
        <f t="shared" si="54"/>
        <v/>
      </c>
      <c r="E570" s="5" t="str">
        <f t="shared" si="55"/>
        <v/>
      </c>
      <c r="F570" s="5" t="str">
        <f t="shared" si="56"/>
        <v/>
      </c>
      <c r="G570" s="23"/>
      <c r="H570" s="66"/>
      <c r="I570" s="14"/>
      <c r="J570" s="14"/>
      <c r="K570" s="14"/>
      <c r="L570" s="5" t="str">
        <f t="shared" si="51"/>
        <v/>
      </c>
      <c r="M570" s="5" t="str">
        <f t="shared" si="52"/>
        <v/>
      </c>
      <c r="N570" s="5" t="str">
        <f t="shared" si="53"/>
        <v/>
      </c>
      <c r="O570" s="4"/>
    </row>
    <row r="571" spans="1:15" x14ac:dyDescent="0.25">
      <c r="A571" s="14"/>
      <c r="B571" s="14"/>
      <c r="C571" s="14"/>
      <c r="D571" s="5" t="str">
        <f t="shared" si="54"/>
        <v/>
      </c>
      <c r="E571" s="5" t="str">
        <f t="shared" si="55"/>
        <v/>
      </c>
      <c r="F571" s="5" t="str">
        <f t="shared" si="56"/>
        <v/>
      </c>
      <c r="G571" s="23"/>
      <c r="H571" s="66"/>
      <c r="I571" s="14"/>
      <c r="J571" s="14"/>
      <c r="K571" s="14"/>
      <c r="L571" s="5" t="str">
        <f t="shared" si="51"/>
        <v/>
      </c>
      <c r="M571" s="5" t="str">
        <f t="shared" si="52"/>
        <v/>
      </c>
      <c r="N571" s="5" t="str">
        <f t="shared" si="53"/>
        <v/>
      </c>
      <c r="O571" s="4"/>
    </row>
    <row r="572" spans="1:15" x14ac:dyDescent="0.25">
      <c r="A572" s="14"/>
      <c r="B572" s="14"/>
      <c r="C572" s="14"/>
      <c r="D572" s="5" t="str">
        <f t="shared" si="54"/>
        <v/>
      </c>
      <c r="E572" s="5" t="str">
        <f t="shared" si="55"/>
        <v/>
      </c>
      <c r="F572" s="5" t="str">
        <f t="shared" si="56"/>
        <v/>
      </c>
      <c r="G572" s="23"/>
      <c r="H572" s="66"/>
      <c r="I572" s="14"/>
      <c r="J572" s="14"/>
      <c r="K572" s="14"/>
      <c r="L572" s="5" t="str">
        <f t="shared" si="51"/>
        <v/>
      </c>
      <c r="M572" s="5" t="str">
        <f t="shared" si="52"/>
        <v/>
      </c>
      <c r="N572" s="5" t="str">
        <f t="shared" si="53"/>
        <v/>
      </c>
      <c r="O572" s="4"/>
    </row>
    <row r="573" spans="1:15" x14ac:dyDescent="0.25">
      <c r="A573" s="14"/>
      <c r="B573" s="14"/>
      <c r="C573" s="14"/>
      <c r="D573" s="5" t="str">
        <f t="shared" si="54"/>
        <v/>
      </c>
      <c r="E573" s="5" t="str">
        <f t="shared" si="55"/>
        <v/>
      </c>
      <c r="F573" s="5" t="str">
        <f t="shared" si="56"/>
        <v/>
      </c>
      <c r="G573" s="23"/>
      <c r="H573" s="66"/>
      <c r="I573" s="14"/>
      <c r="J573" s="14"/>
      <c r="K573" s="14"/>
      <c r="L573" s="5" t="str">
        <f t="shared" si="51"/>
        <v/>
      </c>
      <c r="M573" s="5" t="str">
        <f t="shared" si="52"/>
        <v/>
      </c>
      <c r="N573" s="5" t="str">
        <f t="shared" si="53"/>
        <v/>
      </c>
      <c r="O573" s="4"/>
    </row>
    <row r="574" spans="1:15" x14ac:dyDescent="0.25">
      <c r="A574" s="14"/>
      <c r="B574" s="14"/>
      <c r="C574" s="14"/>
      <c r="D574" s="5" t="str">
        <f t="shared" si="54"/>
        <v/>
      </c>
      <c r="E574" s="5" t="str">
        <f t="shared" si="55"/>
        <v/>
      </c>
      <c r="F574" s="5" t="str">
        <f t="shared" si="56"/>
        <v/>
      </c>
      <c r="G574" s="23"/>
      <c r="H574" s="66"/>
      <c r="I574" s="14"/>
      <c r="J574" s="14"/>
      <c r="K574" s="14"/>
      <c r="L574" s="5" t="str">
        <f t="shared" si="51"/>
        <v/>
      </c>
      <c r="M574" s="5" t="str">
        <f t="shared" si="52"/>
        <v/>
      </c>
      <c r="N574" s="5" t="str">
        <f t="shared" si="53"/>
        <v/>
      </c>
      <c r="O574" s="4"/>
    </row>
    <row r="575" spans="1:15" x14ac:dyDescent="0.25">
      <c r="A575" s="14"/>
      <c r="B575" s="14"/>
      <c r="C575" s="14"/>
      <c r="D575" s="5" t="str">
        <f t="shared" si="54"/>
        <v/>
      </c>
      <c r="E575" s="5" t="str">
        <f t="shared" si="55"/>
        <v/>
      </c>
      <c r="F575" s="5" t="str">
        <f t="shared" si="56"/>
        <v/>
      </c>
      <c r="G575" s="23"/>
      <c r="H575" s="66"/>
      <c r="I575" s="14"/>
      <c r="J575" s="14"/>
      <c r="K575" s="14"/>
      <c r="L575" s="5" t="str">
        <f t="shared" si="51"/>
        <v/>
      </c>
      <c r="M575" s="5" t="str">
        <f t="shared" si="52"/>
        <v/>
      </c>
      <c r="N575" s="5" t="str">
        <f t="shared" si="53"/>
        <v/>
      </c>
      <c r="O575" s="4"/>
    </row>
    <row r="576" spans="1:15" x14ac:dyDescent="0.25">
      <c r="A576" s="14"/>
      <c r="B576" s="14"/>
      <c r="C576" s="14"/>
      <c r="D576" s="5" t="str">
        <f t="shared" si="54"/>
        <v/>
      </c>
      <c r="E576" s="5" t="str">
        <f t="shared" si="55"/>
        <v/>
      </c>
      <c r="F576" s="5" t="str">
        <f t="shared" si="56"/>
        <v/>
      </c>
      <c r="G576" s="23"/>
      <c r="H576" s="66"/>
      <c r="I576" s="14"/>
      <c r="J576" s="14"/>
      <c r="K576" s="14"/>
      <c r="L576" s="5" t="str">
        <f t="shared" si="51"/>
        <v/>
      </c>
      <c r="M576" s="5" t="str">
        <f t="shared" si="52"/>
        <v/>
      </c>
      <c r="N576" s="5" t="str">
        <f t="shared" si="53"/>
        <v/>
      </c>
      <c r="O576" s="4"/>
    </row>
    <row r="577" spans="1:15" x14ac:dyDescent="0.25">
      <c r="A577" s="14"/>
      <c r="B577" s="14"/>
      <c r="C577" s="14"/>
      <c r="D577" s="5" t="str">
        <f t="shared" si="54"/>
        <v/>
      </c>
      <c r="E577" s="5" t="str">
        <f t="shared" si="55"/>
        <v/>
      </c>
      <c r="F577" s="5" t="str">
        <f t="shared" si="56"/>
        <v/>
      </c>
      <c r="G577" s="23"/>
      <c r="H577" s="66"/>
      <c r="I577" s="14"/>
      <c r="J577" s="14"/>
      <c r="K577" s="14"/>
      <c r="L577" s="5" t="str">
        <f t="shared" si="51"/>
        <v/>
      </c>
      <c r="M577" s="5" t="str">
        <f t="shared" si="52"/>
        <v/>
      </c>
      <c r="N577" s="5" t="str">
        <f t="shared" si="53"/>
        <v/>
      </c>
      <c r="O577" s="4"/>
    </row>
    <row r="578" spans="1:15" x14ac:dyDescent="0.25">
      <c r="A578" s="14"/>
      <c r="B578" s="14"/>
      <c r="C578" s="14"/>
      <c r="D578" s="5" t="str">
        <f t="shared" si="54"/>
        <v/>
      </c>
      <c r="E578" s="5" t="str">
        <f t="shared" si="55"/>
        <v/>
      </c>
      <c r="F578" s="5" t="str">
        <f t="shared" si="56"/>
        <v/>
      </c>
      <c r="G578" s="23"/>
      <c r="H578" s="66"/>
      <c r="I578" s="14"/>
      <c r="J578" s="14"/>
      <c r="K578" s="14"/>
      <c r="L578" s="5" t="str">
        <f t="shared" si="51"/>
        <v/>
      </c>
      <c r="M578" s="5" t="str">
        <f t="shared" si="52"/>
        <v/>
      </c>
      <c r="N578" s="5" t="str">
        <f t="shared" si="53"/>
        <v/>
      </c>
      <c r="O578" s="4"/>
    </row>
    <row r="579" spans="1:15" x14ac:dyDescent="0.25">
      <c r="A579" s="14"/>
      <c r="B579" s="14"/>
      <c r="C579" s="14"/>
      <c r="D579" s="5" t="str">
        <f t="shared" si="54"/>
        <v/>
      </c>
      <c r="E579" s="5" t="str">
        <f t="shared" si="55"/>
        <v/>
      </c>
      <c r="F579" s="5" t="str">
        <f t="shared" si="56"/>
        <v/>
      </c>
      <c r="G579" s="23"/>
      <c r="H579" s="66"/>
      <c r="I579" s="14"/>
      <c r="J579" s="14"/>
      <c r="K579" s="14"/>
      <c r="L579" s="5" t="str">
        <f t="shared" si="51"/>
        <v/>
      </c>
      <c r="M579" s="5" t="str">
        <f t="shared" si="52"/>
        <v/>
      </c>
      <c r="N579" s="5" t="str">
        <f t="shared" si="53"/>
        <v/>
      </c>
      <c r="O579" s="4"/>
    </row>
    <row r="580" spans="1:15" x14ac:dyDescent="0.25">
      <c r="A580" s="14"/>
      <c r="B580" s="14"/>
      <c r="C580" s="14"/>
      <c r="D580" s="5" t="str">
        <f t="shared" si="54"/>
        <v/>
      </c>
      <c r="E580" s="5" t="str">
        <f t="shared" si="55"/>
        <v/>
      </c>
      <c r="F580" s="5" t="str">
        <f t="shared" si="56"/>
        <v/>
      </c>
      <c r="G580" s="23"/>
      <c r="H580" s="66"/>
      <c r="I580" s="14"/>
      <c r="J580" s="14"/>
      <c r="K580" s="14"/>
      <c r="L580" s="5" t="str">
        <f t="shared" si="51"/>
        <v/>
      </c>
      <c r="M580" s="5" t="str">
        <f t="shared" si="52"/>
        <v/>
      </c>
      <c r="N580" s="5" t="str">
        <f t="shared" si="53"/>
        <v/>
      </c>
      <c r="O580" s="4"/>
    </row>
    <row r="581" spans="1:15" x14ac:dyDescent="0.25">
      <c r="A581" s="14"/>
      <c r="B581" s="14"/>
      <c r="C581" s="14"/>
      <c r="D581" s="5" t="str">
        <f t="shared" si="54"/>
        <v/>
      </c>
      <c r="E581" s="5" t="str">
        <f t="shared" si="55"/>
        <v/>
      </c>
      <c r="F581" s="5" t="str">
        <f t="shared" si="56"/>
        <v/>
      </c>
      <c r="G581" s="23"/>
      <c r="H581" s="66"/>
      <c r="I581" s="14"/>
      <c r="J581" s="14"/>
      <c r="K581" s="14"/>
      <c r="L581" s="5" t="str">
        <f t="shared" ref="L581:L585" si="57">IFERROR(IF(I581&lt;&gt;"",(((J581-J580)*$X$4/(I581-I580)))*$X$5,""),"")</f>
        <v/>
      </c>
      <c r="M581" s="5" t="str">
        <f t="shared" ref="M581:M585" si="58">IFERROR(IF(I581&lt;&gt;"",(((K581-K580)*$X$4/(I581-I580)))*$X$5,""),"")</f>
        <v/>
      </c>
      <c r="N581" s="5" t="str">
        <f t="shared" ref="N581:N585" si="59">IFERROR(IF(I581&lt;&gt;"",((ACOS((COS(RADIANS(J580))*COS(RADIANS(J581)))+(SIN(RADIANS(J580))*SIN(RADIANS(J581)))*COS(RADIANS(K581-K580)))*180/PI()*($X$4/(I581-I580))))*$X$5,""),"")</f>
        <v/>
      </c>
      <c r="O581" s="4"/>
    </row>
    <row r="582" spans="1:15" x14ac:dyDescent="0.25">
      <c r="A582" s="14"/>
      <c r="B582" s="14"/>
      <c r="C582" s="14"/>
      <c r="D582" s="5" t="str">
        <f t="shared" si="54"/>
        <v/>
      </c>
      <c r="E582" s="5" t="str">
        <f t="shared" si="55"/>
        <v/>
      </c>
      <c r="F582" s="5" t="str">
        <f t="shared" si="56"/>
        <v/>
      </c>
      <c r="G582" s="23"/>
      <c r="H582" s="66"/>
      <c r="I582" s="14"/>
      <c r="J582" s="14"/>
      <c r="K582" s="14"/>
      <c r="L582" s="5" t="str">
        <f t="shared" si="57"/>
        <v/>
      </c>
      <c r="M582" s="5" t="str">
        <f t="shared" si="58"/>
        <v/>
      </c>
      <c r="N582" s="5" t="str">
        <f t="shared" si="59"/>
        <v/>
      </c>
      <c r="O582" s="4"/>
    </row>
    <row r="583" spans="1:15" x14ac:dyDescent="0.25">
      <c r="A583" s="14"/>
      <c r="B583" s="14"/>
      <c r="C583" s="14"/>
      <c r="D583" s="5" t="str">
        <f t="shared" si="54"/>
        <v/>
      </c>
      <c r="E583" s="5" t="str">
        <f t="shared" si="55"/>
        <v/>
      </c>
      <c r="F583" s="5" t="str">
        <f t="shared" si="56"/>
        <v/>
      </c>
      <c r="G583" s="23"/>
      <c r="H583" s="66"/>
      <c r="I583" s="14"/>
      <c r="J583" s="14"/>
      <c r="K583" s="14"/>
      <c r="L583" s="5" t="str">
        <f t="shared" si="57"/>
        <v/>
      </c>
      <c r="M583" s="5" t="str">
        <f t="shared" si="58"/>
        <v/>
      </c>
      <c r="N583" s="5" t="str">
        <f t="shared" si="59"/>
        <v/>
      </c>
      <c r="O583" s="4"/>
    </row>
    <row r="584" spans="1:15" x14ac:dyDescent="0.25">
      <c r="A584" s="14"/>
      <c r="B584" s="14"/>
      <c r="C584" s="14"/>
      <c r="D584" s="5" t="str">
        <f t="shared" si="54"/>
        <v/>
      </c>
      <c r="E584" s="5" t="str">
        <f t="shared" si="55"/>
        <v/>
      </c>
      <c r="F584" s="5" t="str">
        <f t="shared" si="56"/>
        <v/>
      </c>
      <c r="G584" s="23"/>
      <c r="H584" s="66"/>
      <c r="I584" s="14"/>
      <c r="J584" s="14"/>
      <c r="K584" s="14"/>
      <c r="L584" s="5" t="str">
        <f t="shared" si="57"/>
        <v/>
      </c>
      <c r="M584" s="5" t="str">
        <f t="shared" si="58"/>
        <v/>
      </c>
      <c r="N584" s="5" t="str">
        <f t="shared" si="59"/>
        <v/>
      </c>
      <c r="O584" s="4"/>
    </row>
    <row r="585" spans="1:15" x14ac:dyDescent="0.25">
      <c r="A585" s="14"/>
      <c r="B585" s="14"/>
      <c r="C585" s="14"/>
      <c r="D585" s="5" t="str">
        <f t="shared" si="54"/>
        <v/>
      </c>
      <c r="E585" s="5" t="str">
        <f t="shared" si="55"/>
        <v/>
      </c>
      <c r="F585" s="5" t="str">
        <f t="shared" si="56"/>
        <v/>
      </c>
      <c r="G585" s="23"/>
      <c r="H585" s="66"/>
      <c r="I585" s="14"/>
      <c r="J585" s="14"/>
      <c r="K585" s="14"/>
      <c r="L585" s="5" t="str">
        <f t="shared" si="57"/>
        <v/>
      </c>
      <c r="M585" s="5" t="str">
        <f t="shared" si="58"/>
        <v/>
      </c>
      <c r="N585" s="5" t="str">
        <f t="shared" si="59"/>
        <v/>
      </c>
      <c r="O585" s="4"/>
    </row>
    <row r="586" spans="1:15" x14ac:dyDescent="0.25">
      <c r="A586" s="14"/>
      <c r="B586" s="14"/>
      <c r="C586" s="14"/>
      <c r="D586" s="5" t="str">
        <f t="shared" si="54"/>
        <v/>
      </c>
      <c r="E586" s="5" t="str">
        <f t="shared" si="55"/>
        <v/>
      </c>
      <c r="F586" s="5" t="str">
        <f t="shared" si="56"/>
        <v/>
      </c>
      <c r="G586" s="23"/>
      <c r="H586" s="66"/>
      <c r="I586" s="14"/>
      <c r="J586" s="14"/>
      <c r="K586" s="14"/>
      <c r="L586" s="5" t="str">
        <f t="shared" ref="L586:L649" si="60">IFERROR(IF(I586&lt;&gt;"",(((J586-J585)*$X$4/(I586-I585)))*$X$5,""),"")</f>
        <v/>
      </c>
      <c r="M586" s="5" t="str">
        <f t="shared" ref="M586:M649" si="61">IFERROR(IF(I586&lt;&gt;"",(((K586-K585)*$X$4/(I586-I585)))*$X$5,""),"")</f>
        <v/>
      </c>
      <c r="N586" s="5" t="str">
        <f t="shared" ref="N586:N649" si="62">IFERROR(IF(I586&lt;&gt;"",((ACOS((COS(RADIANS(J585))*COS(RADIANS(J586)))+(SIN(RADIANS(J585))*SIN(RADIANS(J586)))*COS(RADIANS(K586-K585)))*180/PI()*($X$4/(I586-I585))))*$X$5,""),"")</f>
        <v/>
      </c>
      <c r="O586" s="4"/>
    </row>
    <row r="587" spans="1:15" x14ac:dyDescent="0.25">
      <c r="A587" s="14"/>
      <c r="B587" s="14"/>
      <c r="C587" s="14"/>
      <c r="D587" s="5" t="str">
        <f t="shared" si="54"/>
        <v/>
      </c>
      <c r="E587" s="5" t="str">
        <f t="shared" si="55"/>
        <v/>
      </c>
      <c r="F587" s="5" t="str">
        <f t="shared" si="56"/>
        <v/>
      </c>
      <c r="G587" s="23"/>
      <c r="H587" s="66"/>
      <c r="I587" s="14"/>
      <c r="J587" s="14"/>
      <c r="K587" s="14"/>
      <c r="L587" s="5" t="str">
        <f t="shared" si="60"/>
        <v/>
      </c>
      <c r="M587" s="5" t="str">
        <f t="shared" si="61"/>
        <v/>
      </c>
      <c r="N587" s="5" t="str">
        <f t="shared" si="62"/>
        <v/>
      </c>
      <c r="O587" s="4"/>
    </row>
    <row r="588" spans="1:15" x14ac:dyDescent="0.25">
      <c r="A588" s="14"/>
      <c r="B588" s="14"/>
      <c r="C588" s="14"/>
      <c r="D588" s="5" t="str">
        <f t="shared" si="54"/>
        <v/>
      </c>
      <c r="E588" s="5" t="str">
        <f t="shared" si="55"/>
        <v/>
      </c>
      <c r="F588" s="5" t="str">
        <f t="shared" si="56"/>
        <v/>
      </c>
      <c r="G588" s="23"/>
      <c r="H588" s="66"/>
      <c r="I588" s="14"/>
      <c r="J588" s="14"/>
      <c r="K588" s="14"/>
      <c r="L588" s="5" t="str">
        <f t="shared" si="60"/>
        <v/>
      </c>
      <c r="M588" s="5" t="str">
        <f t="shared" si="61"/>
        <v/>
      </c>
      <c r="N588" s="5" t="str">
        <f t="shared" si="62"/>
        <v/>
      </c>
      <c r="O588" s="4"/>
    </row>
    <row r="589" spans="1:15" x14ac:dyDescent="0.25">
      <c r="A589" s="14"/>
      <c r="B589" s="14"/>
      <c r="C589" s="14"/>
      <c r="D589" s="5" t="str">
        <f t="shared" si="54"/>
        <v/>
      </c>
      <c r="E589" s="5" t="str">
        <f t="shared" si="55"/>
        <v/>
      </c>
      <c r="F589" s="5" t="str">
        <f t="shared" si="56"/>
        <v/>
      </c>
      <c r="G589" s="23"/>
      <c r="H589" s="66"/>
      <c r="I589" s="14"/>
      <c r="J589" s="14"/>
      <c r="K589" s="14"/>
      <c r="L589" s="5" t="str">
        <f t="shared" si="60"/>
        <v/>
      </c>
      <c r="M589" s="5" t="str">
        <f t="shared" si="61"/>
        <v/>
      </c>
      <c r="N589" s="5" t="str">
        <f t="shared" si="62"/>
        <v/>
      </c>
      <c r="O589" s="4"/>
    </row>
    <row r="590" spans="1:15" x14ac:dyDescent="0.25">
      <c r="A590" s="14"/>
      <c r="B590" s="14"/>
      <c r="C590" s="14"/>
      <c r="D590" s="5" t="str">
        <f t="shared" si="54"/>
        <v/>
      </c>
      <c r="E590" s="5" t="str">
        <f t="shared" si="55"/>
        <v/>
      </c>
      <c r="F590" s="5" t="str">
        <f t="shared" si="56"/>
        <v/>
      </c>
      <c r="G590" s="23"/>
      <c r="H590" s="66"/>
      <c r="I590" s="14"/>
      <c r="J590" s="14"/>
      <c r="K590" s="14"/>
      <c r="L590" s="5" t="str">
        <f t="shared" si="60"/>
        <v/>
      </c>
      <c r="M590" s="5" t="str">
        <f t="shared" si="61"/>
        <v/>
      </c>
      <c r="N590" s="5" t="str">
        <f t="shared" si="62"/>
        <v/>
      </c>
      <c r="O590" s="4"/>
    </row>
    <row r="591" spans="1:15" x14ac:dyDescent="0.25">
      <c r="A591" s="14"/>
      <c r="B591" s="14"/>
      <c r="C591" s="14"/>
      <c r="D591" s="5" t="str">
        <f t="shared" si="54"/>
        <v/>
      </c>
      <c r="E591" s="5" t="str">
        <f t="shared" si="55"/>
        <v/>
      </c>
      <c r="F591" s="5" t="str">
        <f t="shared" si="56"/>
        <v/>
      </c>
      <c r="G591" s="23"/>
      <c r="H591" s="66"/>
      <c r="I591" s="14"/>
      <c r="J591" s="14"/>
      <c r="K591" s="14"/>
      <c r="L591" s="5" t="str">
        <f t="shared" si="60"/>
        <v/>
      </c>
      <c r="M591" s="5" t="str">
        <f t="shared" si="61"/>
        <v/>
      </c>
      <c r="N591" s="5" t="str">
        <f t="shared" si="62"/>
        <v/>
      </c>
      <c r="O591" s="4"/>
    </row>
    <row r="592" spans="1:15" x14ac:dyDescent="0.25">
      <c r="A592" s="14"/>
      <c r="B592" s="14"/>
      <c r="C592" s="14"/>
      <c r="D592" s="5" t="str">
        <f t="shared" si="54"/>
        <v/>
      </c>
      <c r="E592" s="5" t="str">
        <f t="shared" si="55"/>
        <v/>
      </c>
      <c r="F592" s="5" t="str">
        <f t="shared" si="56"/>
        <v/>
      </c>
      <c r="G592" s="23"/>
      <c r="H592" s="66"/>
      <c r="I592" s="14"/>
      <c r="J592" s="14"/>
      <c r="K592" s="14"/>
      <c r="L592" s="5" t="str">
        <f t="shared" si="60"/>
        <v/>
      </c>
      <c r="M592" s="5" t="str">
        <f t="shared" si="61"/>
        <v/>
      </c>
      <c r="N592" s="5" t="str">
        <f t="shared" si="62"/>
        <v/>
      </c>
      <c r="O592" s="4"/>
    </row>
    <row r="593" spans="1:15" x14ac:dyDescent="0.25">
      <c r="A593" s="14"/>
      <c r="B593" s="14"/>
      <c r="C593" s="14"/>
      <c r="D593" s="5" t="str">
        <f t="shared" si="54"/>
        <v/>
      </c>
      <c r="E593" s="5" t="str">
        <f t="shared" si="55"/>
        <v/>
      </c>
      <c r="F593" s="5" t="str">
        <f t="shared" si="56"/>
        <v/>
      </c>
      <c r="G593" s="23"/>
      <c r="H593" s="66"/>
      <c r="I593" s="14"/>
      <c r="J593" s="14"/>
      <c r="K593" s="14"/>
      <c r="L593" s="5" t="str">
        <f t="shared" si="60"/>
        <v/>
      </c>
      <c r="M593" s="5" t="str">
        <f t="shared" si="61"/>
        <v/>
      </c>
      <c r="N593" s="5" t="str">
        <f t="shared" si="62"/>
        <v/>
      </c>
      <c r="O593" s="4"/>
    </row>
    <row r="594" spans="1:15" x14ac:dyDescent="0.25">
      <c r="A594" s="14"/>
      <c r="B594" s="14"/>
      <c r="C594" s="14"/>
      <c r="D594" s="5" t="str">
        <f t="shared" si="54"/>
        <v/>
      </c>
      <c r="E594" s="5" t="str">
        <f t="shared" si="55"/>
        <v/>
      </c>
      <c r="F594" s="5" t="str">
        <f t="shared" si="56"/>
        <v/>
      </c>
      <c r="G594" s="23"/>
      <c r="H594" s="66"/>
      <c r="I594" s="14"/>
      <c r="J594" s="14"/>
      <c r="K594" s="14"/>
      <c r="L594" s="5" t="str">
        <f t="shared" si="60"/>
        <v/>
      </c>
      <c r="M594" s="5" t="str">
        <f t="shared" si="61"/>
        <v/>
      </c>
      <c r="N594" s="5" t="str">
        <f t="shared" si="62"/>
        <v/>
      </c>
      <c r="O594" s="4"/>
    </row>
    <row r="595" spans="1:15" x14ac:dyDescent="0.25">
      <c r="A595" s="14"/>
      <c r="B595" s="14"/>
      <c r="C595" s="14"/>
      <c r="D595" s="5" t="str">
        <f t="shared" si="54"/>
        <v/>
      </c>
      <c r="E595" s="5" t="str">
        <f t="shared" si="55"/>
        <v/>
      </c>
      <c r="F595" s="5" t="str">
        <f t="shared" si="56"/>
        <v/>
      </c>
      <c r="G595" s="23"/>
      <c r="H595" s="66"/>
      <c r="I595" s="14"/>
      <c r="J595" s="14"/>
      <c r="K595" s="14"/>
      <c r="L595" s="5" t="str">
        <f t="shared" si="60"/>
        <v/>
      </c>
      <c r="M595" s="5" t="str">
        <f t="shared" si="61"/>
        <v/>
      </c>
      <c r="N595" s="5" t="str">
        <f t="shared" si="62"/>
        <v/>
      </c>
      <c r="O595" s="4"/>
    </row>
    <row r="596" spans="1:15" x14ac:dyDescent="0.25">
      <c r="A596" s="14"/>
      <c r="B596" s="14"/>
      <c r="C596" s="14"/>
      <c r="D596" s="5" t="str">
        <f t="shared" si="54"/>
        <v/>
      </c>
      <c r="E596" s="5" t="str">
        <f t="shared" si="55"/>
        <v/>
      </c>
      <c r="F596" s="5" t="str">
        <f t="shared" si="56"/>
        <v/>
      </c>
      <c r="G596" s="23"/>
      <c r="H596" s="66"/>
      <c r="I596" s="14"/>
      <c r="J596" s="14"/>
      <c r="K596" s="14"/>
      <c r="L596" s="5" t="str">
        <f t="shared" si="60"/>
        <v/>
      </c>
      <c r="M596" s="5" t="str">
        <f t="shared" si="61"/>
        <v/>
      </c>
      <c r="N596" s="5" t="str">
        <f t="shared" si="62"/>
        <v/>
      </c>
      <c r="O596" s="4"/>
    </row>
    <row r="597" spans="1:15" x14ac:dyDescent="0.25">
      <c r="A597" s="14"/>
      <c r="B597" s="14"/>
      <c r="C597" s="14"/>
      <c r="D597" s="5" t="str">
        <f t="shared" si="54"/>
        <v/>
      </c>
      <c r="E597" s="5" t="str">
        <f t="shared" si="55"/>
        <v/>
      </c>
      <c r="F597" s="5" t="str">
        <f t="shared" si="56"/>
        <v/>
      </c>
      <c r="G597" s="23"/>
      <c r="H597" s="66"/>
      <c r="I597" s="14"/>
      <c r="J597" s="14"/>
      <c r="K597" s="14"/>
      <c r="L597" s="5" t="str">
        <f t="shared" si="60"/>
        <v/>
      </c>
      <c r="M597" s="5" t="str">
        <f t="shared" si="61"/>
        <v/>
      </c>
      <c r="N597" s="5" t="str">
        <f t="shared" si="62"/>
        <v/>
      </c>
      <c r="O597" s="4"/>
    </row>
    <row r="598" spans="1:15" x14ac:dyDescent="0.25">
      <c r="A598" s="14"/>
      <c r="B598" s="14"/>
      <c r="C598" s="14"/>
      <c r="D598" s="5" t="str">
        <f t="shared" si="54"/>
        <v/>
      </c>
      <c r="E598" s="5" t="str">
        <f t="shared" si="55"/>
        <v/>
      </c>
      <c r="F598" s="5" t="str">
        <f t="shared" si="56"/>
        <v/>
      </c>
      <c r="G598" s="23"/>
      <c r="H598" s="66"/>
      <c r="I598" s="14"/>
      <c r="J598" s="14"/>
      <c r="K598" s="14"/>
      <c r="L598" s="5" t="str">
        <f t="shared" si="60"/>
        <v/>
      </c>
      <c r="M598" s="5" t="str">
        <f t="shared" si="61"/>
        <v/>
      </c>
      <c r="N598" s="5" t="str">
        <f t="shared" si="62"/>
        <v/>
      </c>
      <c r="O598" s="4"/>
    </row>
    <row r="599" spans="1:15" x14ac:dyDescent="0.25">
      <c r="A599" s="14"/>
      <c r="B599" s="14"/>
      <c r="C599" s="14"/>
      <c r="D599" s="5" t="str">
        <f t="shared" si="54"/>
        <v/>
      </c>
      <c r="E599" s="5" t="str">
        <f t="shared" si="55"/>
        <v/>
      </c>
      <c r="F599" s="5" t="str">
        <f t="shared" si="56"/>
        <v/>
      </c>
      <c r="G599" s="23"/>
      <c r="H599" s="66"/>
      <c r="I599" s="14"/>
      <c r="J599" s="14"/>
      <c r="K599" s="14"/>
      <c r="L599" s="5" t="str">
        <f t="shared" si="60"/>
        <v/>
      </c>
      <c r="M599" s="5" t="str">
        <f t="shared" si="61"/>
        <v/>
      </c>
      <c r="N599" s="5" t="str">
        <f t="shared" si="62"/>
        <v/>
      </c>
      <c r="O599" s="4"/>
    </row>
    <row r="600" spans="1:15" x14ac:dyDescent="0.25">
      <c r="A600" s="14"/>
      <c r="B600" s="14"/>
      <c r="C600" s="14"/>
      <c r="D600" s="5" t="str">
        <f t="shared" si="54"/>
        <v/>
      </c>
      <c r="E600" s="5" t="str">
        <f t="shared" si="55"/>
        <v/>
      </c>
      <c r="F600" s="5" t="str">
        <f t="shared" si="56"/>
        <v/>
      </c>
      <c r="G600" s="23"/>
      <c r="H600" s="66"/>
      <c r="I600" s="14"/>
      <c r="J600" s="14"/>
      <c r="K600" s="14"/>
      <c r="L600" s="5" t="str">
        <f t="shared" si="60"/>
        <v/>
      </c>
      <c r="M600" s="5" t="str">
        <f t="shared" si="61"/>
        <v/>
      </c>
      <c r="N600" s="5" t="str">
        <f t="shared" si="62"/>
        <v/>
      </c>
      <c r="O600" s="4"/>
    </row>
    <row r="601" spans="1:15" x14ac:dyDescent="0.25">
      <c r="A601" s="14"/>
      <c r="B601" s="14"/>
      <c r="C601" s="14"/>
      <c r="D601" s="5" t="str">
        <f t="shared" ref="D601:D664" si="63">IFERROR( IF(A601&lt;&gt;"",((B601-B600)*$X$4/(A601-A600))*$X$5,""),"")</f>
        <v/>
      </c>
      <c r="E601" s="5" t="str">
        <f t="shared" ref="E601:E664" si="64">IFERROR(IF(A601&lt;&gt;"",((C601-C600)*$X$4/(A601-A600))*$X$5,""),"")</f>
        <v/>
      </c>
      <c r="F601" s="5" t="str">
        <f t="shared" ref="F601:F664" si="65">IFERROR(IF(A601&lt;&gt;"",((ACOS((COS(RADIANS(B600))*COS(RADIANS(B601)))+(SIN(RADIANS(B600))*SIN(RADIANS(B601)))*COS(RADIANS(C601-C600)))*180/PI()*($X$4/(A601-A600))))*$X$5,""),"")</f>
        <v/>
      </c>
      <c r="G601" s="23"/>
      <c r="H601" s="66"/>
      <c r="I601" s="14"/>
      <c r="J601" s="14"/>
      <c r="K601" s="14"/>
      <c r="L601" s="5" t="str">
        <f t="shared" si="60"/>
        <v/>
      </c>
      <c r="M601" s="5" t="str">
        <f t="shared" si="61"/>
        <v/>
      </c>
      <c r="N601" s="5" t="str">
        <f t="shared" si="62"/>
        <v/>
      </c>
      <c r="O601" s="4"/>
    </row>
    <row r="602" spans="1:15" x14ac:dyDescent="0.25">
      <c r="A602" s="14"/>
      <c r="B602" s="14"/>
      <c r="C602" s="14"/>
      <c r="D602" s="5" t="str">
        <f t="shared" si="63"/>
        <v/>
      </c>
      <c r="E602" s="5" t="str">
        <f t="shared" si="64"/>
        <v/>
      </c>
      <c r="F602" s="5" t="str">
        <f t="shared" si="65"/>
        <v/>
      </c>
      <c r="G602" s="23"/>
      <c r="H602" s="66"/>
      <c r="I602" s="14"/>
      <c r="J602" s="14"/>
      <c r="K602" s="14"/>
      <c r="L602" s="5" t="str">
        <f t="shared" si="60"/>
        <v/>
      </c>
      <c r="M602" s="5" t="str">
        <f t="shared" si="61"/>
        <v/>
      </c>
      <c r="N602" s="5" t="str">
        <f t="shared" si="62"/>
        <v/>
      </c>
      <c r="O602" s="4"/>
    </row>
    <row r="603" spans="1:15" x14ac:dyDescent="0.25">
      <c r="A603" s="14"/>
      <c r="B603" s="14"/>
      <c r="C603" s="14"/>
      <c r="D603" s="5" t="str">
        <f t="shared" si="63"/>
        <v/>
      </c>
      <c r="E603" s="5" t="str">
        <f t="shared" si="64"/>
        <v/>
      </c>
      <c r="F603" s="5" t="str">
        <f t="shared" si="65"/>
        <v/>
      </c>
      <c r="G603" s="23"/>
      <c r="H603" s="66"/>
      <c r="I603" s="14"/>
      <c r="J603" s="14"/>
      <c r="K603" s="14"/>
      <c r="L603" s="5" t="str">
        <f t="shared" si="60"/>
        <v/>
      </c>
      <c r="M603" s="5" t="str">
        <f t="shared" si="61"/>
        <v/>
      </c>
      <c r="N603" s="5" t="str">
        <f t="shared" si="62"/>
        <v/>
      </c>
      <c r="O603" s="4"/>
    </row>
    <row r="604" spans="1:15" x14ac:dyDescent="0.25">
      <c r="A604" s="14"/>
      <c r="B604" s="14"/>
      <c r="C604" s="14"/>
      <c r="D604" s="5" t="str">
        <f t="shared" si="63"/>
        <v/>
      </c>
      <c r="E604" s="5" t="str">
        <f t="shared" si="64"/>
        <v/>
      </c>
      <c r="F604" s="5" t="str">
        <f t="shared" si="65"/>
        <v/>
      </c>
      <c r="G604" s="23"/>
      <c r="H604" s="66"/>
      <c r="I604" s="14"/>
      <c r="J604" s="14"/>
      <c r="K604" s="14"/>
      <c r="L604" s="5" t="str">
        <f t="shared" si="60"/>
        <v/>
      </c>
      <c r="M604" s="5" t="str">
        <f t="shared" si="61"/>
        <v/>
      </c>
      <c r="N604" s="5" t="str">
        <f t="shared" si="62"/>
        <v/>
      </c>
      <c r="O604" s="4"/>
    </row>
    <row r="605" spans="1:15" x14ac:dyDescent="0.25">
      <c r="A605" s="14"/>
      <c r="B605" s="14"/>
      <c r="C605" s="14"/>
      <c r="D605" s="5" t="str">
        <f t="shared" si="63"/>
        <v/>
      </c>
      <c r="E605" s="5" t="str">
        <f t="shared" si="64"/>
        <v/>
      </c>
      <c r="F605" s="5" t="str">
        <f t="shared" si="65"/>
        <v/>
      </c>
      <c r="G605" s="23"/>
      <c r="H605" s="66"/>
      <c r="I605" s="14"/>
      <c r="J605" s="14"/>
      <c r="K605" s="14"/>
      <c r="L605" s="5" t="str">
        <f t="shared" si="60"/>
        <v/>
      </c>
      <c r="M605" s="5" t="str">
        <f t="shared" si="61"/>
        <v/>
      </c>
      <c r="N605" s="5" t="str">
        <f t="shared" si="62"/>
        <v/>
      </c>
      <c r="O605" s="4"/>
    </row>
    <row r="606" spans="1:15" x14ac:dyDescent="0.25">
      <c r="A606" s="14"/>
      <c r="B606" s="14"/>
      <c r="C606" s="14"/>
      <c r="D606" s="5" t="str">
        <f t="shared" si="63"/>
        <v/>
      </c>
      <c r="E606" s="5" t="str">
        <f t="shared" si="64"/>
        <v/>
      </c>
      <c r="F606" s="5" t="str">
        <f t="shared" si="65"/>
        <v/>
      </c>
      <c r="G606" s="23"/>
      <c r="H606" s="66"/>
      <c r="I606" s="14"/>
      <c r="J606" s="14"/>
      <c r="K606" s="14"/>
      <c r="L606" s="5" t="str">
        <f t="shared" si="60"/>
        <v/>
      </c>
      <c r="M606" s="5" t="str">
        <f t="shared" si="61"/>
        <v/>
      </c>
      <c r="N606" s="5" t="str">
        <f t="shared" si="62"/>
        <v/>
      </c>
      <c r="O606" s="4"/>
    </row>
    <row r="607" spans="1:15" x14ac:dyDescent="0.25">
      <c r="A607" s="14"/>
      <c r="B607" s="14"/>
      <c r="C607" s="14"/>
      <c r="D607" s="5" t="str">
        <f t="shared" si="63"/>
        <v/>
      </c>
      <c r="E607" s="5" t="str">
        <f t="shared" si="64"/>
        <v/>
      </c>
      <c r="F607" s="5" t="str">
        <f t="shared" si="65"/>
        <v/>
      </c>
      <c r="G607" s="23"/>
      <c r="H607" s="66"/>
      <c r="I607" s="14"/>
      <c r="J607" s="14"/>
      <c r="K607" s="14"/>
      <c r="L607" s="5" t="str">
        <f t="shared" si="60"/>
        <v/>
      </c>
      <c r="M607" s="5" t="str">
        <f t="shared" si="61"/>
        <v/>
      </c>
      <c r="N607" s="5" t="str">
        <f t="shared" si="62"/>
        <v/>
      </c>
      <c r="O607" s="4"/>
    </row>
    <row r="608" spans="1:15" x14ac:dyDescent="0.25">
      <c r="A608" s="14"/>
      <c r="B608" s="14"/>
      <c r="C608" s="14"/>
      <c r="D608" s="5" t="str">
        <f t="shared" si="63"/>
        <v/>
      </c>
      <c r="E608" s="5" t="str">
        <f t="shared" si="64"/>
        <v/>
      </c>
      <c r="F608" s="5" t="str">
        <f t="shared" si="65"/>
        <v/>
      </c>
      <c r="G608" s="23"/>
      <c r="H608" s="66"/>
      <c r="I608" s="14"/>
      <c r="J608" s="14"/>
      <c r="K608" s="14"/>
      <c r="L608" s="5" t="str">
        <f t="shared" si="60"/>
        <v/>
      </c>
      <c r="M608" s="5" t="str">
        <f t="shared" si="61"/>
        <v/>
      </c>
      <c r="N608" s="5" t="str">
        <f t="shared" si="62"/>
        <v/>
      </c>
      <c r="O608" s="4"/>
    </row>
    <row r="609" spans="1:15" x14ac:dyDescent="0.25">
      <c r="A609" s="14"/>
      <c r="B609" s="14"/>
      <c r="C609" s="14"/>
      <c r="D609" s="5" t="str">
        <f t="shared" si="63"/>
        <v/>
      </c>
      <c r="E609" s="5" t="str">
        <f t="shared" si="64"/>
        <v/>
      </c>
      <c r="F609" s="5" t="str">
        <f t="shared" si="65"/>
        <v/>
      </c>
      <c r="G609" s="23"/>
      <c r="H609" s="66"/>
      <c r="I609" s="14"/>
      <c r="J609" s="14"/>
      <c r="K609" s="14"/>
      <c r="L609" s="5" t="str">
        <f t="shared" si="60"/>
        <v/>
      </c>
      <c r="M609" s="5" t="str">
        <f t="shared" si="61"/>
        <v/>
      </c>
      <c r="N609" s="5" t="str">
        <f t="shared" si="62"/>
        <v/>
      </c>
      <c r="O609" s="4"/>
    </row>
    <row r="610" spans="1:15" x14ac:dyDescent="0.25">
      <c r="A610" s="14"/>
      <c r="B610" s="14"/>
      <c r="C610" s="14"/>
      <c r="D610" s="5" t="str">
        <f t="shared" si="63"/>
        <v/>
      </c>
      <c r="E610" s="5" t="str">
        <f t="shared" si="64"/>
        <v/>
      </c>
      <c r="F610" s="5" t="str">
        <f t="shared" si="65"/>
        <v/>
      </c>
      <c r="G610" s="23"/>
      <c r="H610" s="66"/>
      <c r="I610" s="14"/>
      <c r="J610" s="14"/>
      <c r="K610" s="14"/>
      <c r="L610" s="5" t="str">
        <f t="shared" si="60"/>
        <v/>
      </c>
      <c r="M610" s="5" t="str">
        <f t="shared" si="61"/>
        <v/>
      </c>
      <c r="N610" s="5" t="str">
        <f t="shared" si="62"/>
        <v/>
      </c>
      <c r="O610" s="4"/>
    </row>
    <row r="611" spans="1:15" x14ac:dyDescent="0.25">
      <c r="A611" s="14"/>
      <c r="B611" s="14"/>
      <c r="C611" s="14"/>
      <c r="D611" s="5" t="str">
        <f t="shared" si="63"/>
        <v/>
      </c>
      <c r="E611" s="5" t="str">
        <f t="shared" si="64"/>
        <v/>
      </c>
      <c r="F611" s="5" t="str">
        <f t="shared" si="65"/>
        <v/>
      </c>
      <c r="G611" s="23"/>
      <c r="H611" s="66"/>
      <c r="I611" s="14"/>
      <c r="J611" s="14"/>
      <c r="K611" s="14"/>
      <c r="L611" s="5" t="str">
        <f t="shared" si="60"/>
        <v/>
      </c>
      <c r="M611" s="5" t="str">
        <f t="shared" si="61"/>
        <v/>
      </c>
      <c r="N611" s="5" t="str">
        <f t="shared" si="62"/>
        <v/>
      </c>
      <c r="O611" s="4"/>
    </row>
    <row r="612" spans="1:15" x14ac:dyDescent="0.25">
      <c r="A612" s="14"/>
      <c r="B612" s="14"/>
      <c r="C612" s="14"/>
      <c r="D612" s="5" t="str">
        <f t="shared" si="63"/>
        <v/>
      </c>
      <c r="E612" s="5" t="str">
        <f t="shared" si="64"/>
        <v/>
      </c>
      <c r="F612" s="5" t="str">
        <f t="shared" si="65"/>
        <v/>
      </c>
      <c r="G612" s="23"/>
      <c r="H612" s="66"/>
      <c r="I612" s="14"/>
      <c r="J612" s="14"/>
      <c r="K612" s="14"/>
      <c r="L612" s="5" t="str">
        <f t="shared" si="60"/>
        <v/>
      </c>
      <c r="M612" s="5" t="str">
        <f t="shared" si="61"/>
        <v/>
      </c>
      <c r="N612" s="5" t="str">
        <f t="shared" si="62"/>
        <v/>
      </c>
      <c r="O612" s="4"/>
    </row>
    <row r="613" spans="1:15" x14ac:dyDescent="0.25">
      <c r="A613" s="14"/>
      <c r="B613" s="14"/>
      <c r="C613" s="14"/>
      <c r="D613" s="5" t="str">
        <f t="shared" si="63"/>
        <v/>
      </c>
      <c r="E613" s="5" t="str">
        <f t="shared" si="64"/>
        <v/>
      </c>
      <c r="F613" s="5" t="str">
        <f t="shared" si="65"/>
        <v/>
      </c>
      <c r="G613" s="23"/>
      <c r="H613" s="66"/>
      <c r="I613" s="14"/>
      <c r="J613" s="14"/>
      <c r="K613" s="14"/>
      <c r="L613" s="5" t="str">
        <f t="shared" si="60"/>
        <v/>
      </c>
      <c r="M613" s="5" t="str">
        <f t="shared" si="61"/>
        <v/>
      </c>
      <c r="N613" s="5" t="str">
        <f t="shared" si="62"/>
        <v/>
      </c>
      <c r="O613" s="4"/>
    </row>
    <row r="614" spans="1:15" x14ac:dyDescent="0.25">
      <c r="A614" s="14"/>
      <c r="B614" s="14"/>
      <c r="C614" s="14"/>
      <c r="D614" s="5" t="str">
        <f t="shared" si="63"/>
        <v/>
      </c>
      <c r="E614" s="5" t="str">
        <f t="shared" si="64"/>
        <v/>
      </c>
      <c r="F614" s="5" t="str">
        <f t="shared" si="65"/>
        <v/>
      </c>
      <c r="G614" s="23"/>
      <c r="H614" s="66"/>
      <c r="I614" s="14"/>
      <c r="J614" s="14"/>
      <c r="K614" s="14"/>
      <c r="L614" s="5" t="str">
        <f t="shared" si="60"/>
        <v/>
      </c>
      <c r="M614" s="5" t="str">
        <f t="shared" si="61"/>
        <v/>
      </c>
      <c r="N614" s="5" t="str">
        <f t="shared" si="62"/>
        <v/>
      </c>
      <c r="O614" s="4"/>
    </row>
    <row r="615" spans="1:15" x14ac:dyDescent="0.25">
      <c r="A615" s="14"/>
      <c r="B615" s="14"/>
      <c r="C615" s="14"/>
      <c r="D615" s="5" t="str">
        <f t="shared" si="63"/>
        <v/>
      </c>
      <c r="E615" s="5" t="str">
        <f t="shared" si="64"/>
        <v/>
      </c>
      <c r="F615" s="5" t="str">
        <f t="shared" si="65"/>
        <v/>
      </c>
      <c r="G615" s="23"/>
      <c r="H615" s="66"/>
      <c r="I615" s="14"/>
      <c r="J615" s="14"/>
      <c r="K615" s="14"/>
      <c r="L615" s="5" t="str">
        <f t="shared" si="60"/>
        <v/>
      </c>
      <c r="M615" s="5" t="str">
        <f t="shared" si="61"/>
        <v/>
      </c>
      <c r="N615" s="5" t="str">
        <f t="shared" si="62"/>
        <v/>
      </c>
      <c r="O615" s="4"/>
    </row>
    <row r="616" spans="1:15" x14ac:dyDescent="0.25">
      <c r="A616" s="14"/>
      <c r="B616" s="14"/>
      <c r="C616" s="14"/>
      <c r="D616" s="5" t="str">
        <f t="shared" si="63"/>
        <v/>
      </c>
      <c r="E616" s="5" t="str">
        <f t="shared" si="64"/>
        <v/>
      </c>
      <c r="F616" s="5" t="str">
        <f t="shared" si="65"/>
        <v/>
      </c>
      <c r="G616" s="23"/>
      <c r="H616" s="66"/>
      <c r="I616" s="14"/>
      <c r="J616" s="14"/>
      <c r="K616" s="14"/>
      <c r="L616" s="5" t="str">
        <f t="shared" si="60"/>
        <v/>
      </c>
      <c r="M616" s="5" t="str">
        <f t="shared" si="61"/>
        <v/>
      </c>
      <c r="N616" s="5" t="str">
        <f t="shared" si="62"/>
        <v/>
      </c>
      <c r="O616" s="4"/>
    </row>
    <row r="617" spans="1:15" x14ac:dyDescent="0.25">
      <c r="A617" s="14"/>
      <c r="B617" s="14"/>
      <c r="C617" s="14"/>
      <c r="D617" s="5" t="str">
        <f t="shared" si="63"/>
        <v/>
      </c>
      <c r="E617" s="5" t="str">
        <f t="shared" si="64"/>
        <v/>
      </c>
      <c r="F617" s="5" t="str">
        <f t="shared" si="65"/>
        <v/>
      </c>
      <c r="G617" s="23"/>
      <c r="H617" s="66"/>
      <c r="I617" s="14"/>
      <c r="J617" s="14"/>
      <c r="K617" s="14"/>
      <c r="L617" s="5" t="str">
        <f t="shared" si="60"/>
        <v/>
      </c>
      <c r="M617" s="5" t="str">
        <f t="shared" si="61"/>
        <v/>
      </c>
      <c r="N617" s="5" t="str">
        <f t="shared" si="62"/>
        <v/>
      </c>
      <c r="O617" s="4"/>
    </row>
    <row r="618" spans="1:15" x14ac:dyDescent="0.25">
      <c r="A618" s="14"/>
      <c r="B618" s="14"/>
      <c r="C618" s="14"/>
      <c r="D618" s="5" t="str">
        <f t="shared" si="63"/>
        <v/>
      </c>
      <c r="E618" s="5" t="str">
        <f t="shared" si="64"/>
        <v/>
      </c>
      <c r="F618" s="5" t="str">
        <f t="shared" si="65"/>
        <v/>
      </c>
      <c r="G618" s="23"/>
      <c r="H618" s="66"/>
      <c r="I618" s="14"/>
      <c r="J618" s="14"/>
      <c r="K618" s="14"/>
      <c r="L618" s="5" t="str">
        <f t="shared" si="60"/>
        <v/>
      </c>
      <c r="M618" s="5" t="str">
        <f t="shared" si="61"/>
        <v/>
      </c>
      <c r="N618" s="5" t="str">
        <f t="shared" si="62"/>
        <v/>
      </c>
      <c r="O618" s="4"/>
    </row>
    <row r="619" spans="1:15" x14ac:dyDescent="0.25">
      <c r="A619" s="14"/>
      <c r="B619" s="14"/>
      <c r="C619" s="14"/>
      <c r="D619" s="5" t="str">
        <f t="shared" si="63"/>
        <v/>
      </c>
      <c r="E619" s="5" t="str">
        <f t="shared" si="64"/>
        <v/>
      </c>
      <c r="F619" s="5" t="str">
        <f t="shared" si="65"/>
        <v/>
      </c>
      <c r="G619" s="23"/>
      <c r="H619" s="66"/>
      <c r="I619" s="14"/>
      <c r="J619" s="14"/>
      <c r="K619" s="14"/>
      <c r="L619" s="5" t="str">
        <f t="shared" si="60"/>
        <v/>
      </c>
      <c r="M619" s="5" t="str">
        <f t="shared" si="61"/>
        <v/>
      </c>
      <c r="N619" s="5" t="str">
        <f t="shared" si="62"/>
        <v/>
      </c>
      <c r="O619" s="4"/>
    </row>
    <row r="620" spans="1:15" x14ac:dyDescent="0.25">
      <c r="A620" s="14"/>
      <c r="B620" s="14"/>
      <c r="C620" s="14"/>
      <c r="D620" s="5" t="str">
        <f t="shared" si="63"/>
        <v/>
      </c>
      <c r="E620" s="5" t="str">
        <f t="shared" si="64"/>
        <v/>
      </c>
      <c r="F620" s="5" t="str">
        <f t="shared" si="65"/>
        <v/>
      </c>
      <c r="G620" s="23"/>
      <c r="H620" s="66"/>
      <c r="I620" s="14"/>
      <c r="J620" s="14"/>
      <c r="K620" s="14"/>
      <c r="L620" s="5" t="str">
        <f t="shared" si="60"/>
        <v/>
      </c>
      <c r="M620" s="5" t="str">
        <f t="shared" si="61"/>
        <v/>
      </c>
      <c r="N620" s="5" t="str">
        <f t="shared" si="62"/>
        <v/>
      </c>
      <c r="O620" s="4"/>
    </row>
    <row r="621" spans="1:15" x14ac:dyDescent="0.25">
      <c r="A621" s="14"/>
      <c r="B621" s="14"/>
      <c r="C621" s="14"/>
      <c r="D621" s="5" t="str">
        <f t="shared" si="63"/>
        <v/>
      </c>
      <c r="E621" s="5" t="str">
        <f t="shared" si="64"/>
        <v/>
      </c>
      <c r="F621" s="5" t="str">
        <f t="shared" si="65"/>
        <v/>
      </c>
      <c r="G621" s="23"/>
      <c r="H621" s="66"/>
      <c r="I621" s="14"/>
      <c r="J621" s="14"/>
      <c r="K621" s="14"/>
      <c r="L621" s="5" t="str">
        <f t="shared" si="60"/>
        <v/>
      </c>
      <c r="M621" s="5" t="str">
        <f t="shared" si="61"/>
        <v/>
      </c>
      <c r="N621" s="5" t="str">
        <f t="shared" si="62"/>
        <v/>
      </c>
      <c r="O621" s="4"/>
    </row>
    <row r="622" spans="1:15" x14ac:dyDescent="0.25">
      <c r="A622" s="14"/>
      <c r="B622" s="14"/>
      <c r="C622" s="14"/>
      <c r="D622" s="5" t="str">
        <f t="shared" si="63"/>
        <v/>
      </c>
      <c r="E622" s="5" t="str">
        <f t="shared" si="64"/>
        <v/>
      </c>
      <c r="F622" s="5" t="str">
        <f t="shared" si="65"/>
        <v/>
      </c>
      <c r="G622" s="23"/>
      <c r="H622" s="66"/>
      <c r="I622" s="14"/>
      <c r="J622" s="14"/>
      <c r="K622" s="14"/>
      <c r="L622" s="5" t="str">
        <f t="shared" si="60"/>
        <v/>
      </c>
      <c r="M622" s="5" t="str">
        <f t="shared" si="61"/>
        <v/>
      </c>
      <c r="N622" s="5" t="str">
        <f t="shared" si="62"/>
        <v/>
      </c>
      <c r="O622" s="4"/>
    </row>
    <row r="623" spans="1:15" x14ac:dyDescent="0.25">
      <c r="A623" s="14"/>
      <c r="B623" s="14"/>
      <c r="C623" s="14"/>
      <c r="D623" s="5" t="str">
        <f t="shared" si="63"/>
        <v/>
      </c>
      <c r="E623" s="5" t="str">
        <f t="shared" si="64"/>
        <v/>
      </c>
      <c r="F623" s="5" t="str">
        <f t="shared" si="65"/>
        <v/>
      </c>
      <c r="G623" s="23"/>
      <c r="H623" s="66"/>
      <c r="I623" s="14"/>
      <c r="J623" s="14"/>
      <c r="K623" s="14"/>
      <c r="L623" s="5" t="str">
        <f t="shared" si="60"/>
        <v/>
      </c>
      <c r="M623" s="5" t="str">
        <f t="shared" si="61"/>
        <v/>
      </c>
      <c r="N623" s="5" t="str">
        <f t="shared" si="62"/>
        <v/>
      </c>
      <c r="O623" s="4"/>
    </row>
    <row r="624" spans="1:15" x14ac:dyDescent="0.25">
      <c r="A624" s="14"/>
      <c r="B624" s="14"/>
      <c r="C624" s="14"/>
      <c r="D624" s="5" t="str">
        <f t="shared" si="63"/>
        <v/>
      </c>
      <c r="E624" s="5" t="str">
        <f t="shared" si="64"/>
        <v/>
      </c>
      <c r="F624" s="5" t="str">
        <f t="shared" si="65"/>
        <v/>
      </c>
      <c r="G624" s="23"/>
      <c r="H624" s="66"/>
      <c r="I624" s="14"/>
      <c r="J624" s="14"/>
      <c r="K624" s="14"/>
      <c r="L624" s="5" t="str">
        <f t="shared" si="60"/>
        <v/>
      </c>
      <c r="M624" s="5" t="str">
        <f t="shared" si="61"/>
        <v/>
      </c>
      <c r="N624" s="5" t="str">
        <f t="shared" si="62"/>
        <v/>
      </c>
      <c r="O624" s="4"/>
    </row>
    <row r="625" spans="1:15" x14ac:dyDescent="0.25">
      <c r="A625" s="14"/>
      <c r="B625" s="14"/>
      <c r="C625" s="14"/>
      <c r="D625" s="5" t="str">
        <f t="shared" si="63"/>
        <v/>
      </c>
      <c r="E625" s="5" t="str">
        <f t="shared" si="64"/>
        <v/>
      </c>
      <c r="F625" s="5" t="str">
        <f t="shared" si="65"/>
        <v/>
      </c>
      <c r="G625" s="23"/>
      <c r="H625" s="66"/>
      <c r="I625" s="14"/>
      <c r="J625" s="14"/>
      <c r="K625" s="14"/>
      <c r="L625" s="5" t="str">
        <f t="shared" si="60"/>
        <v/>
      </c>
      <c r="M625" s="5" t="str">
        <f t="shared" si="61"/>
        <v/>
      </c>
      <c r="N625" s="5" t="str">
        <f t="shared" si="62"/>
        <v/>
      </c>
      <c r="O625" s="4"/>
    </row>
    <row r="626" spans="1:15" x14ac:dyDescent="0.25">
      <c r="A626" s="14"/>
      <c r="B626" s="14"/>
      <c r="C626" s="14"/>
      <c r="D626" s="5" t="str">
        <f t="shared" si="63"/>
        <v/>
      </c>
      <c r="E626" s="5" t="str">
        <f t="shared" si="64"/>
        <v/>
      </c>
      <c r="F626" s="5" t="str">
        <f t="shared" si="65"/>
        <v/>
      </c>
      <c r="G626" s="23"/>
      <c r="H626" s="66"/>
      <c r="I626" s="14"/>
      <c r="J626" s="14"/>
      <c r="K626" s="14"/>
      <c r="L626" s="5" t="str">
        <f t="shared" si="60"/>
        <v/>
      </c>
      <c r="M626" s="5" t="str">
        <f t="shared" si="61"/>
        <v/>
      </c>
      <c r="N626" s="5" t="str">
        <f t="shared" si="62"/>
        <v/>
      </c>
      <c r="O626" s="4"/>
    </row>
    <row r="627" spans="1:15" x14ac:dyDescent="0.25">
      <c r="A627" s="14"/>
      <c r="B627" s="14"/>
      <c r="C627" s="14"/>
      <c r="D627" s="5" t="str">
        <f t="shared" si="63"/>
        <v/>
      </c>
      <c r="E627" s="5" t="str">
        <f t="shared" si="64"/>
        <v/>
      </c>
      <c r="F627" s="5" t="str">
        <f t="shared" si="65"/>
        <v/>
      </c>
      <c r="G627" s="23"/>
      <c r="H627" s="66"/>
      <c r="I627" s="14"/>
      <c r="J627" s="14"/>
      <c r="K627" s="14"/>
      <c r="L627" s="5" t="str">
        <f t="shared" si="60"/>
        <v/>
      </c>
      <c r="M627" s="5" t="str">
        <f t="shared" si="61"/>
        <v/>
      </c>
      <c r="N627" s="5" t="str">
        <f t="shared" si="62"/>
        <v/>
      </c>
      <c r="O627" s="4"/>
    </row>
    <row r="628" spans="1:15" x14ac:dyDescent="0.25">
      <c r="A628" s="14"/>
      <c r="B628" s="14"/>
      <c r="C628" s="14"/>
      <c r="D628" s="5" t="str">
        <f t="shared" si="63"/>
        <v/>
      </c>
      <c r="E628" s="5" t="str">
        <f t="shared" si="64"/>
        <v/>
      </c>
      <c r="F628" s="5" t="str">
        <f t="shared" si="65"/>
        <v/>
      </c>
      <c r="G628" s="23"/>
      <c r="H628" s="66"/>
      <c r="I628" s="14"/>
      <c r="J628" s="14"/>
      <c r="K628" s="14"/>
      <c r="L628" s="5" t="str">
        <f t="shared" si="60"/>
        <v/>
      </c>
      <c r="M628" s="5" t="str">
        <f t="shared" si="61"/>
        <v/>
      </c>
      <c r="N628" s="5" t="str">
        <f t="shared" si="62"/>
        <v/>
      </c>
      <c r="O628" s="4"/>
    </row>
    <row r="629" spans="1:15" x14ac:dyDescent="0.25">
      <c r="A629" s="14"/>
      <c r="B629" s="14"/>
      <c r="C629" s="14"/>
      <c r="D629" s="5" t="str">
        <f t="shared" si="63"/>
        <v/>
      </c>
      <c r="E629" s="5" t="str">
        <f t="shared" si="64"/>
        <v/>
      </c>
      <c r="F629" s="5" t="str">
        <f t="shared" si="65"/>
        <v/>
      </c>
      <c r="G629" s="23"/>
      <c r="H629" s="66"/>
      <c r="I629" s="14"/>
      <c r="J629" s="14"/>
      <c r="K629" s="14"/>
      <c r="L629" s="5" t="str">
        <f t="shared" si="60"/>
        <v/>
      </c>
      <c r="M629" s="5" t="str">
        <f t="shared" si="61"/>
        <v/>
      </c>
      <c r="N629" s="5" t="str">
        <f t="shared" si="62"/>
        <v/>
      </c>
      <c r="O629" s="4"/>
    </row>
    <row r="630" spans="1:15" x14ac:dyDescent="0.25">
      <c r="A630" s="14"/>
      <c r="B630" s="14"/>
      <c r="C630" s="14"/>
      <c r="D630" s="5" t="str">
        <f t="shared" si="63"/>
        <v/>
      </c>
      <c r="E630" s="5" t="str">
        <f t="shared" si="64"/>
        <v/>
      </c>
      <c r="F630" s="5" t="str">
        <f t="shared" si="65"/>
        <v/>
      </c>
      <c r="G630" s="23"/>
      <c r="H630" s="66"/>
      <c r="I630" s="14"/>
      <c r="J630" s="14"/>
      <c r="K630" s="14"/>
      <c r="L630" s="5" t="str">
        <f t="shared" si="60"/>
        <v/>
      </c>
      <c r="M630" s="5" t="str">
        <f t="shared" si="61"/>
        <v/>
      </c>
      <c r="N630" s="5" t="str">
        <f t="shared" si="62"/>
        <v/>
      </c>
      <c r="O630" s="4"/>
    </row>
    <row r="631" spans="1:15" x14ac:dyDescent="0.25">
      <c r="A631" s="14"/>
      <c r="B631" s="14"/>
      <c r="C631" s="14"/>
      <c r="D631" s="5" t="str">
        <f t="shared" si="63"/>
        <v/>
      </c>
      <c r="E631" s="5" t="str">
        <f t="shared" si="64"/>
        <v/>
      </c>
      <c r="F631" s="5" t="str">
        <f t="shared" si="65"/>
        <v/>
      </c>
      <c r="G631" s="23"/>
      <c r="H631" s="66"/>
      <c r="I631" s="14"/>
      <c r="J631" s="14"/>
      <c r="K631" s="14"/>
      <c r="L631" s="5" t="str">
        <f t="shared" si="60"/>
        <v/>
      </c>
      <c r="M631" s="5" t="str">
        <f t="shared" si="61"/>
        <v/>
      </c>
      <c r="N631" s="5" t="str">
        <f t="shared" si="62"/>
        <v/>
      </c>
      <c r="O631" s="4"/>
    </row>
    <row r="632" spans="1:15" x14ac:dyDescent="0.25">
      <c r="A632" s="14"/>
      <c r="B632" s="14"/>
      <c r="C632" s="14"/>
      <c r="D632" s="5" t="str">
        <f t="shared" si="63"/>
        <v/>
      </c>
      <c r="E632" s="5" t="str">
        <f t="shared" si="64"/>
        <v/>
      </c>
      <c r="F632" s="5" t="str">
        <f t="shared" si="65"/>
        <v/>
      </c>
      <c r="G632" s="23"/>
      <c r="H632" s="66"/>
      <c r="I632" s="14"/>
      <c r="J632" s="14"/>
      <c r="K632" s="14"/>
      <c r="L632" s="5" t="str">
        <f t="shared" si="60"/>
        <v/>
      </c>
      <c r="M632" s="5" t="str">
        <f t="shared" si="61"/>
        <v/>
      </c>
      <c r="N632" s="5" t="str">
        <f t="shared" si="62"/>
        <v/>
      </c>
      <c r="O632" s="4"/>
    </row>
    <row r="633" spans="1:15" x14ac:dyDescent="0.25">
      <c r="A633" s="14"/>
      <c r="B633" s="14"/>
      <c r="C633" s="14"/>
      <c r="D633" s="5" t="str">
        <f t="shared" si="63"/>
        <v/>
      </c>
      <c r="E633" s="5" t="str">
        <f t="shared" si="64"/>
        <v/>
      </c>
      <c r="F633" s="5" t="str">
        <f t="shared" si="65"/>
        <v/>
      </c>
      <c r="G633" s="23"/>
      <c r="H633" s="66"/>
      <c r="I633" s="14"/>
      <c r="J633" s="14"/>
      <c r="K633" s="14"/>
      <c r="L633" s="5" t="str">
        <f t="shared" si="60"/>
        <v/>
      </c>
      <c r="M633" s="5" t="str">
        <f t="shared" si="61"/>
        <v/>
      </c>
      <c r="N633" s="5" t="str">
        <f t="shared" si="62"/>
        <v/>
      </c>
      <c r="O633" s="4"/>
    </row>
    <row r="634" spans="1:15" x14ac:dyDescent="0.25">
      <c r="A634" s="14"/>
      <c r="B634" s="14"/>
      <c r="C634" s="14"/>
      <c r="D634" s="5" t="str">
        <f t="shared" si="63"/>
        <v/>
      </c>
      <c r="E634" s="5" t="str">
        <f t="shared" si="64"/>
        <v/>
      </c>
      <c r="F634" s="5" t="str">
        <f t="shared" si="65"/>
        <v/>
      </c>
      <c r="G634" s="23"/>
      <c r="H634" s="66"/>
      <c r="I634" s="14"/>
      <c r="J634" s="14"/>
      <c r="K634" s="14"/>
      <c r="L634" s="5" t="str">
        <f t="shared" si="60"/>
        <v/>
      </c>
      <c r="M634" s="5" t="str">
        <f t="shared" si="61"/>
        <v/>
      </c>
      <c r="N634" s="5" t="str">
        <f t="shared" si="62"/>
        <v/>
      </c>
      <c r="O634" s="4"/>
    </row>
    <row r="635" spans="1:15" x14ac:dyDescent="0.25">
      <c r="A635" s="14"/>
      <c r="B635" s="14"/>
      <c r="C635" s="14"/>
      <c r="D635" s="5" t="str">
        <f t="shared" si="63"/>
        <v/>
      </c>
      <c r="E635" s="5" t="str">
        <f t="shared" si="64"/>
        <v/>
      </c>
      <c r="F635" s="5" t="str">
        <f t="shared" si="65"/>
        <v/>
      </c>
      <c r="G635" s="23"/>
      <c r="H635" s="66"/>
      <c r="I635" s="14"/>
      <c r="J635" s="14"/>
      <c r="K635" s="14"/>
      <c r="L635" s="5" t="str">
        <f t="shared" si="60"/>
        <v/>
      </c>
      <c r="M635" s="5" t="str">
        <f t="shared" si="61"/>
        <v/>
      </c>
      <c r="N635" s="5" t="str">
        <f t="shared" si="62"/>
        <v/>
      </c>
      <c r="O635" s="4"/>
    </row>
    <row r="636" spans="1:15" x14ac:dyDescent="0.25">
      <c r="A636" s="14"/>
      <c r="B636" s="14"/>
      <c r="C636" s="14"/>
      <c r="D636" s="5" t="str">
        <f t="shared" si="63"/>
        <v/>
      </c>
      <c r="E636" s="5" t="str">
        <f t="shared" si="64"/>
        <v/>
      </c>
      <c r="F636" s="5" t="str">
        <f t="shared" si="65"/>
        <v/>
      </c>
      <c r="G636" s="23"/>
      <c r="H636" s="66"/>
      <c r="I636" s="14"/>
      <c r="J636" s="14"/>
      <c r="K636" s="14"/>
      <c r="L636" s="5" t="str">
        <f t="shared" si="60"/>
        <v/>
      </c>
      <c r="M636" s="5" t="str">
        <f t="shared" si="61"/>
        <v/>
      </c>
      <c r="N636" s="5" t="str">
        <f t="shared" si="62"/>
        <v/>
      </c>
      <c r="O636" s="4"/>
    </row>
    <row r="637" spans="1:15" x14ac:dyDescent="0.25">
      <c r="A637" s="14"/>
      <c r="B637" s="14"/>
      <c r="C637" s="14"/>
      <c r="D637" s="5" t="str">
        <f t="shared" si="63"/>
        <v/>
      </c>
      <c r="E637" s="5" t="str">
        <f t="shared" si="64"/>
        <v/>
      </c>
      <c r="F637" s="5" t="str">
        <f t="shared" si="65"/>
        <v/>
      </c>
      <c r="G637" s="23"/>
      <c r="H637" s="66"/>
      <c r="I637" s="14"/>
      <c r="J637" s="14"/>
      <c r="K637" s="14"/>
      <c r="L637" s="5" t="str">
        <f t="shared" si="60"/>
        <v/>
      </c>
      <c r="M637" s="5" t="str">
        <f t="shared" si="61"/>
        <v/>
      </c>
      <c r="N637" s="5" t="str">
        <f t="shared" si="62"/>
        <v/>
      </c>
      <c r="O637" s="4"/>
    </row>
    <row r="638" spans="1:15" x14ac:dyDescent="0.25">
      <c r="A638" s="14"/>
      <c r="B638" s="14"/>
      <c r="C638" s="14"/>
      <c r="D638" s="5" t="str">
        <f t="shared" si="63"/>
        <v/>
      </c>
      <c r="E638" s="5" t="str">
        <f t="shared" si="64"/>
        <v/>
      </c>
      <c r="F638" s="5" t="str">
        <f t="shared" si="65"/>
        <v/>
      </c>
      <c r="G638" s="23"/>
      <c r="H638" s="66"/>
      <c r="I638" s="14"/>
      <c r="J638" s="14"/>
      <c r="K638" s="14"/>
      <c r="L638" s="5" t="str">
        <f t="shared" si="60"/>
        <v/>
      </c>
      <c r="M638" s="5" t="str">
        <f t="shared" si="61"/>
        <v/>
      </c>
      <c r="N638" s="5" t="str">
        <f t="shared" si="62"/>
        <v/>
      </c>
      <c r="O638" s="4"/>
    </row>
    <row r="639" spans="1:15" x14ac:dyDescent="0.25">
      <c r="A639" s="14"/>
      <c r="B639" s="14"/>
      <c r="C639" s="14"/>
      <c r="D639" s="5" t="str">
        <f t="shared" si="63"/>
        <v/>
      </c>
      <c r="E639" s="5" t="str">
        <f t="shared" si="64"/>
        <v/>
      </c>
      <c r="F639" s="5" t="str">
        <f t="shared" si="65"/>
        <v/>
      </c>
      <c r="G639" s="23"/>
      <c r="H639" s="66"/>
      <c r="I639" s="14"/>
      <c r="J639" s="14"/>
      <c r="K639" s="14"/>
      <c r="L639" s="5" t="str">
        <f t="shared" si="60"/>
        <v/>
      </c>
      <c r="M639" s="5" t="str">
        <f t="shared" si="61"/>
        <v/>
      </c>
      <c r="N639" s="5" t="str">
        <f t="shared" si="62"/>
        <v/>
      </c>
      <c r="O639" s="4"/>
    </row>
    <row r="640" spans="1:15" x14ac:dyDescent="0.25">
      <c r="A640" s="14"/>
      <c r="B640" s="14"/>
      <c r="C640" s="14"/>
      <c r="D640" s="5" t="str">
        <f t="shared" si="63"/>
        <v/>
      </c>
      <c r="E640" s="5" t="str">
        <f t="shared" si="64"/>
        <v/>
      </c>
      <c r="F640" s="5" t="str">
        <f t="shared" si="65"/>
        <v/>
      </c>
      <c r="G640" s="23"/>
      <c r="H640" s="66"/>
      <c r="I640" s="14"/>
      <c r="J640" s="14"/>
      <c r="K640" s="14"/>
      <c r="L640" s="5" t="str">
        <f t="shared" si="60"/>
        <v/>
      </c>
      <c r="M640" s="5" t="str">
        <f t="shared" si="61"/>
        <v/>
      </c>
      <c r="N640" s="5" t="str">
        <f t="shared" si="62"/>
        <v/>
      </c>
      <c r="O640" s="4"/>
    </row>
    <row r="641" spans="1:15" x14ac:dyDescent="0.25">
      <c r="A641" s="14"/>
      <c r="B641" s="14"/>
      <c r="C641" s="14"/>
      <c r="D641" s="5" t="str">
        <f t="shared" si="63"/>
        <v/>
      </c>
      <c r="E641" s="5" t="str">
        <f t="shared" si="64"/>
        <v/>
      </c>
      <c r="F641" s="5" t="str">
        <f t="shared" si="65"/>
        <v/>
      </c>
      <c r="G641" s="23"/>
      <c r="H641" s="66"/>
      <c r="I641" s="14"/>
      <c r="J641" s="14"/>
      <c r="K641" s="14"/>
      <c r="L641" s="5" t="str">
        <f t="shared" si="60"/>
        <v/>
      </c>
      <c r="M641" s="5" t="str">
        <f t="shared" si="61"/>
        <v/>
      </c>
      <c r="N641" s="5" t="str">
        <f t="shared" si="62"/>
        <v/>
      </c>
      <c r="O641" s="4"/>
    </row>
    <row r="642" spans="1:15" x14ac:dyDescent="0.25">
      <c r="A642" s="14"/>
      <c r="B642" s="14"/>
      <c r="C642" s="14"/>
      <c r="D642" s="5" t="str">
        <f t="shared" si="63"/>
        <v/>
      </c>
      <c r="E642" s="5" t="str">
        <f t="shared" si="64"/>
        <v/>
      </c>
      <c r="F642" s="5" t="str">
        <f t="shared" si="65"/>
        <v/>
      </c>
      <c r="G642" s="23"/>
      <c r="H642" s="66"/>
      <c r="I642" s="14"/>
      <c r="J642" s="14"/>
      <c r="K642" s="14"/>
      <c r="L642" s="5" t="str">
        <f t="shared" si="60"/>
        <v/>
      </c>
      <c r="M642" s="5" t="str">
        <f t="shared" si="61"/>
        <v/>
      </c>
      <c r="N642" s="5" t="str">
        <f t="shared" si="62"/>
        <v/>
      </c>
      <c r="O642" s="4"/>
    </row>
    <row r="643" spans="1:15" x14ac:dyDescent="0.25">
      <c r="A643" s="14"/>
      <c r="B643" s="14"/>
      <c r="C643" s="14"/>
      <c r="D643" s="5" t="str">
        <f t="shared" si="63"/>
        <v/>
      </c>
      <c r="E643" s="5" t="str">
        <f t="shared" si="64"/>
        <v/>
      </c>
      <c r="F643" s="5" t="str">
        <f t="shared" si="65"/>
        <v/>
      </c>
      <c r="G643" s="23"/>
      <c r="H643" s="66"/>
      <c r="I643" s="14"/>
      <c r="J643" s="14"/>
      <c r="K643" s="14"/>
      <c r="L643" s="5" t="str">
        <f t="shared" si="60"/>
        <v/>
      </c>
      <c r="M643" s="5" t="str">
        <f t="shared" si="61"/>
        <v/>
      </c>
      <c r="N643" s="5" t="str">
        <f t="shared" si="62"/>
        <v/>
      </c>
      <c r="O643" s="4"/>
    </row>
    <row r="644" spans="1:15" x14ac:dyDescent="0.25">
      <c r="A644" s="14"/>
      <c r="B644" s="14"/>
      <c r="C644" s="14"/>
      <c r="D644" s="5" t="str">
        <f t="shared" si="63"/>
        <v/>
      </c>
      <c r="E644" s="5" t="str">
        <f t="shared" si="64"/>
        <v/>
      </c>
      <c r="F644" s="5" t="str">
        <f t="shared" si="65"/>
        <v/>
      </c>
      <c r="G644" s="23"/>
      <c r="H644" s="66"/>
      <c r="I644" s="14"/>
      <c r="J644" s="14"/>
      <c r="K644" s="14"/>
      <c r="L644" s="5" t="str">
        <f t="shared" si="60"/>
        <v/>
      </c>
      <c r="M644" s="5" t="str">
        <f t="shared" si="61"/>
        <v/>
      </c>
      <c r="N644" s="5" t="str">
        <f t="shared" si="62"/>
        <v/>
      </c>
      <c r="O644" s="4"/>
    </row>
    <row r="645" spans="1:15" x14ac:dyDescent="0.25">
      <c r="A645" s="14"/>
      <c r="B645" s="14"/>
      <c r="C645" s="14"/>
      <c r="D645" s="5" t="str">
        <f t="shared" si="63"/>
        <v/>
      </c>
      <c r="E645" s="5" t="str">
        <f t="shared" si="64"/>
        <v/>
      </c>
      <c r="F645" s="5" t="str">
        <f t="shared" si="65"/>
        <v/>
      </c>
      <c r="G645" s="23"/>
      <c r="H645" s="66"/>
      <c r="I645" s="14"/>
      <c r="J645" s="14"/>
      <c r="K645" s="14"/>
      <c r="L645" s="5" t="str">
        <f t="shared" si="60"/>
        <v/>
      </c>
      <c r="M645" s="5" t="str">
        <f t="shared" si="61"/>
        <v/>
      </c>
      <c r="N645" s="5" t="str">
        <f t="shared" si="62"/>
        <v/>
      </c>
      <c r="O645" s="4"/>
    </row>
    <row r="646" spans="1:15" x14ac:dyDescent="0.25">
      <c r="A646" s="14"/>
      <c r="B646" s="14"/>
      <c r="C646" s="14"/>
      <c r="D646" s="5" t="str">
        <f t="shared" si="63"/>
        <v/>
      </c>
      <c r="E646" s="5" t="str">
        <f t="shared" si="64"/>
        <v/>
      </c>
      <c r="F646" s="5" t="str">
        <f t="shared" si="65"/>
        <v/>
      </c>
      <c r="G646" s="23"/>
      <c r="H646" s="66"/>
      <c r="I646" s="14"/>
      <c r="J646" s="14"/>
      <c r="K646" s="14"/>
      <c r="L646" s="5" t="str">
        <f t="shared" si="60"/>
        <v/>
      </c>
      <c r="M646" s="5" t="str">
        <f t="shared" si="61"/>
        <v/>
      </c>
      <c r="N646" s="5" t="str">
        <f t="shared" si="62"/>
        <v/>
      </c>
      <c r="O646" s="4"/>
    </row>
    <row r="647" spans="1:15" x14ac:dyDescent="0.25">
      <c r="A647" s="14"/>
      <c r="B647" s="14"/>
      <c r="C647" s="14"/>
      <c r="D647" s="5" t="str">
        <f t="shared" si="63"/>
        <v/>
      </c>
      <c r="E647" s="5" t="str">
        <f t="shared" si="64"/>
        <v/>
      </c>
      <c r="F647" s="5" t="str">
        <f t="shared" si="65"/>
        <v/>
      </c>
      <c r="G647" s="23"/>
      <c r="H647" s="66"/>
      <c r="I647" s="14"/>
      <c r="J647" s="14"/>
      <c r="K647" s="14"/>
      <c r="L647" s="5" t="str">
        <f t="shared" si="60"/>
        <v/>
      </c>
      <c r="M647" s="5" t="str">
        <f t="shared" si="61"/>
        <v/>
      </c>
      <c r="N647" s="5" t="str">
        <f t="shared" si="62"/>
        <v/>
      </c>
      <c r="O647" s="4"/>
    </row>
    <row r="648" spans="1:15" x14ac:dyDescent="0.25">
      <c r="A648" s="14"/>
      <c r="B648" s="14"/>
      <c r="C648" s="14"/>
      <c r="D648" s="5" t="str">
        <f t="shared" si="63"/>
        <v/>
      </c>
      <c r="E648" s="5" t="str">
        <f t="shared" si="64"/>
        <v/>
      </c>
      <c r="F648" s="5" t="str">
        <f t="shared" si="65"/>
        <v/>
      </c>
      <c r="G648" s="23"/>
      <c r="H648" s="66"/>
      <c r="I648" s="14"/>
      <c r="J648" s="14"/>
      <c r="K648" s="14"/>
      <c r="L648" s="5" t="str">
        <f t="shared" si="60"/>
        <v/>
      </c>
      <c r="M648" s="5" t="str">
        <f t="shared" si="61"/>
        <v/>
      </c>
      <c r="N648" s="5" t="str">
        <f t="shared" si="62"/>
        <v/>
      </c>
      <c r="O648" s="4"/>
    </row>
    <row r="649" spans="1:15" x14ac:dyDescent="0.25">
      <c r="A649" s="14"/>
      <c r="B649" s="14"/>
      <c r="C649" s="14"/>
      <c r="D649" s="5" t="str">
        <f t="shared" si="63"/>
        <v/>
      </c>
      <c r="E649" s="5" t="str">
        <f t="shared" si="64"/>
        <v/>
      </c>
      <c r="F649" s="5" t="str">
        <f t="shared" si="65"/>
        <v/>
      </c>
      <c r="G649" s="23"/>
      <c r="H649" s="66"/>
      <c r="I649" s="14"/>
      <c r="J649" s="14"/>
      <c r="K649" s="14"/>
      <c r="L649" s="5" t="str">
        <f t="shared" si="60"/>
        <v/>
      </c>
      <c r="M649" s="5" t="str">
        <f t="shared" si="61"/>
        <v/>
      </c>
      <c r="N649" s="5" t="str">
        <f t="shared" si="62"/>
        <v/>
      </c>
      <c r="O649" s="4"/>
    </row>
    <row r="650" spans="1:15" x14ac:dyDescent="0.25">
      <c r="A650" s="14"/>
      <c r="B650" s="14"/>
      <c r="C650" s="14"/>
      <c r="D650" s="5" t="str">
        <f t="shared" si="63"/>
        <v/>
      </c>
      <c r="E650" s="5" t="str">
        <f t="shared" si="64"/>
        <v/>
      </c>
      <c r="F650" s="5" t="str">
        <f t="shared" si="65"/>
        <v/>
      </c>
      <c r="G650" s="23"/>
      <c r="H650" s="66"/>
      <c r="I650" s="14"/>
      <c r="J650" s="14"/>
      <c r="K650" s="14"/>
      <c r="L650" s="5" t="str">
        <f t="shared" ref="L650:L713" si="66">IFERROR(IF(I650&lt;&gt;"",(((J650-J649)*$X$4/(I650-I649)))*$X$5,""),"")</f>
        <v/>
      </c>
      <c r="M650" s="5" t="str">
        <f t="shared" ref="M650:M713" si="67">IFERROR(IF(I650&lt;&gt;"",(((K650-K649)*$X$4/(I650-I649)))*$X$5,""),"")</f>
        <v/>
      </c>
      <c r="N650" s="5" t="str">
        <f t="shared" ref="N650:N713" si="68">IFERROR(IF(I650&lt;&gt;"",((ACOS((COS(RADIANS(J649))*COS(RADIANS(J650)))+(SIN(RADIANS(J649))*SIN(RADIANS(J650)))*COS(RADIANS(K650-K649)))*180/PI()*($X$4/(I650-I649))))*$X$5,""),"")</f>
        <v/>
      </c>
      <c r="O650" s="4"/>
    </row>
    <row r="651" spans="1:15" x14ac:dyDescent="0.25">
      <c r="A651" s="14"/>
      <c r="B651" s="14"/>
      <c r="C651" s="14"/>
      <c r="D651" s="5" t="str">
        <f t="shared" si="63"/>
        <v/>
      </c>
      <c r="E651" s="5" t="str">
        <f t="shared" si="64"/>
        <v/>
      </c>
      <c r="F651" s="5" t="str">
        <f t="shared" si="65"/>
        <v/>
      </c>
      <c r="G651" s="23"/>
      <c r="H651" s="66"/>
      <c r="I651" s="14"/>
      <c r="J651" s="14"/>
      <c r="K651" s="14"/>
      <c r="L651" s="5" t="str">
        <f t="shared" si="66"/>
        <v/>
      </c>
      <c r="M651" s="5" t="str">
        <f t="shared" si="67"/>
        <v/>
      </c>
      <c r="N651" s="5" t="str">
        <f t="shared" si="68"/>
        <v/>
      </c>
      <c r="O651" s="4"/>
    </row>
    <row r="652" spans="1:15" x14ac:dyDescent="0.25">
      <c r="A652" s="14"/>
      <c r="B652" s="14"/>
      <c r="C652" s="14"/>
      <c r="D652" s="5" t="str">
        <f t="shared" si="63"/>
        <v/>
      </c>
      <c r="E652" s="5" t="str">
        <f t="shared" si="64"/>
        <v/>
      </c>
      <c r="F652" s="5" t="str">
        <f t="shared" si="65"/>
        <v/>
      </c>
      <c r="G652" s="23"/>
      <c r="H652" s="66"/>
      <c r="I652" s="14"/>
      <c r="J652" s="14"/>
      <c r="K652" s="14"/>
      <c r="L652" s="5" t="str">
        <f t="shared" si="66"/>
        <v/>
      </c>
      <c r="M652" s="5" t="str">
        <f t="shared" si="67"/>
        <v/>
      </c>
      <c r="N652" s="5" t="str">
        <f t="shared" si="68"/>
        <v/>
      </c>
      <c r="O652" s="4"/>
    </row>
    <row r="653" spans="1:15" x14ac:dyDescent="0.25">
      <c r="A653" s="14"/>
      <c r="B653" s="14"/>
      <c r="C653" s="14"/>
      <c r="D653" s="5" t="str">
        <f t="shared" si="63"/>
        <v/>
      </c>
      <c r="E653" s="5" t="str">
        <f t="shared" si="64"/>
        <v/>
      </c>
      <c r="F653" s="5" t="str">
        <f t="shared" si="65"/>
        <v/>
      </c>
      <c r="G653" s="23"/>
      <c r="H653" s="66"/>
      <c r="I653" s="14"/>
      <c r="J653" s="14"/>
      <c r="K653" s="14"/>
      <c r="L653" s="5" t="str">
        <f t="shared" si="66"/>
        <v/>
      </c>
      <c r="M653" s="5" t="str">
        <f t="shared" si="67"/>
        <v/>
      </c>
      <c r="N653" s="5" t="str">
        <f t="shared" si="68"/>
        <v/>
      </c>
      <c r="O653" s="4"/>
    </row>
    <row r="654" spans="1:15" x14ac:dyDescent="0.25">
      <c r="A654" s="14"/>
      <c r="B654" s="14"/>
      <c r="C654" s="14"/>
      <c r="D654" s="5" t="str">
        <f t="shared" si="63"/>
        <v/>
      </c>
      <c r="E654" s="5" t="str">
        <f t="shared" si="64"/>
        <v/>
      </c>
      <c r="F654" s="5" t="str">
        <f t="shared" si="65"/>
        <v/>
      </c>
      <c r="G654" s="23"/>
      <c r="H654" s="66"/>
      <c r="I654" s="14"/>
      <c r="J654" s="14"/>
      <c r="K654" s="14"/>
      <c r="L654" s="5" t="str">
        <f t="shared" si="66"/>
        <v/>
      </c>
      <c r="M654" s="5" t="str">
        <f t="shared" si="67"/>
        <v/>
      </c>
      <c r="N654" s="5" t="str">
        <f t="shared" si="68"/>
        <v/>
      </c>
      <c r="O654" s="4"/>
    </row>
    <row r="655" spans="1:15" x14ac:dyDescent="0.25">
      <c r="A655" s="14"/>
      <c r="B655" s="14"/>
      <c r="C655" s="14"/>
      <c r="D655" s="5" t="str">
        <f t="shared" si="63"/>
        <v/>
      </c>
      <c r="E655" s="5" t="str">
        <f t="shared" si="64"/>
        <v/>
      </c>
      <c r="F655" s="5" t="str">
        <f t="shared" si="65"/>
        <v/>
      </c>
      <c r="G655" s="23"/>
      <c r="H655" s="66"/>
      <c r="I655" s="14"/>
      <c r="J655" s="14"/>
      <c r="K655" s="14"/>
      <c r="L655" s="5" t="str">
        <f t="shared" si="66"/>
        <v/>
      </c>
      <c r="M655" s="5" t="str">
        <f t="shared" si="67"/>
        <v/>
      </c>
      <c r="N655" s="5" t="str">
        <f t="shared" si="68"/>
        <v/>
      </c>
      <c r="O655" s="4"/>
    </row>
    <row r="656" spans="1:15" x14ac:dyDescent="0.25">
      <c r="A656" s="14"/>
      <c r="B656" s="14"/>
      <c r="C656" s="14"/>
      <c r="D656" s="5" t="str">
        <f t="shared" si="63"/>
        <v/>
      </c>
      <c r="E656" s="5" t="str">
        <f t="shared" si="64"/>
        <v/>
      </c>
      <c r="F656" s="5" t="str">
        <f t="shared" si="65"/>
        <v/>
      </c>
      <c r="G656" s="23"/>
      <c r="H656" s="66"/>
      <c r="I656" s="14"/>
      <c r="J656" s="14"/>
      <c r="K656" s="14"/>
      <c r="L656" s="5" t="str">
        <f t="shared" si="66"/>
        <v/>
      </c>
      <c r="M656" s="5" t="str">
        <f t="shared" si="67"/>
        <v/>
      </c>
      <c r="N656" s="5" t="str">
        <f t="shared" si="68"/>
        <v/>
      </c>
      <c r="O656" s="4"/>
    </row>
    <row r="657" spans="1:15" x14ac:dyDescent="0.25">
      <c r="A657" s="14"/>
      <c r="B657" s="14"/>
      <c r="C657" s="14"/>
      <c r="D657" s="5" t="str">
        <f t="shared" si="63"/>
        <v/>
      </c>
      <c r="E657" s="5" t="str">
        <f t="shared" si="64"/>
        <v/>
      </c>
      <c r="F657" s="5" t="str">
        <f t="shared" si="65"/>
        <v/>
      </c>
      <c r="G657" s="23"/>
      <c r="H657" s="66"/>
      <c r="I657" s="14"/>
      <c r="J657" s="14"/>
      <c r="K657" s="14"/>
      <c r="L657" s="5" t="str">
        <f t="shared" si="66"/>
        <v/>
      </c>
      <c r="M657" s="5" t="str">
        <f t="shared" si="67"/>
        <v/>
      </c>
      <c r="N657" s="5" t="str">
        <f t="shared" si="68"/>
        <v/>
      </c>
      <c r="O657" s="4"/>
    </row>
    <row r="658" spans="1:15" x14ac:dyDescent="0.25">
      <c r="A658" s="14"/>
      <c r="B658" s="14"/>
      <c r="C658" s="14"/>
      <c r="D658" s="5" t="str">
        <f t="shared" si="63"/>
        <v/>
      </c>
      <c r="E658" s="5" t="str">
        <f t="shared" si="64"/>
        <v/>
      </c>
      <c r="F658" s="5" t="str">
        <f t="shared" si="65"/>
        <v/>
      </c>
      <c r="G658" s="70"/>
      <c r="H658" s="66"/>
      <c r="I658" s="14"/>
      <c r="J658" s="14"/>
      <c r="K658" s="14"/>
      <c r="L658" s="5" t="str">
        <f t="shared" si="66"/>
        <v/>
      </c>
      <c r="M658" s="5" t="str">
        <f t="shared" si="67"/>
        <v/>
      </c>
      <c r="N658" s="5" t="str">
        <f t="shared" si="68"/>
        <v/>
      </c>
      <c r="O658" s="4"/>
    </row>
    <row r="659" spans="1:15" x14ac:dyDescent="0.25">
      <c r="A659" s="14"/>
      <c r="B659" s="14"/>
      <c r="C659" s="14"/>
      <c r="D659" s="5" t="str">
        <f t="shared" si="63"/>
        <v/>
      </c>
      <c r="E659" s="5" t="str">
        <f t="shared" si="64"/>
        <v/>
      </c>
      <c r="F659" s="5" t="str">
        <f t="shared" si="65"/>
        <v/>
      </c>
      <c r="G659" s="23"/>
      <c r="H659" s="66"/>
      <c r="I659" s="14"/>
      <c r="J659" s="14"/>
      <c r="K659" s="14"/>
      <c r="L659" s="5" t="str">
        <f t="shared" si="66"/>
        <v/>
      </c>
      <c r="M659" s="5" t="str">
        <f t="shared" si="67"/>
        <v/>
      </c>
      <c r="N659" s="5" t="str">
        <f t="shared" si="68"/>
        <v/>
      </c>
      <c r="O659" s="4"/>
    </row>
    <row r="660" spans="1:15" x14ac:dyDescent="0.25">
      <c r="A660" s="14"/>
      <c r="B660" s="14"/>
      <c r="C660" s="14"/>
      <c r="D660" s="5" t="str">
        <f t="shared" si="63"/>
        <v/>
      </c>
      <c r="E660" s="5" t="str">
        <f t="shared" si="64"/>
        <v/>
      </c>
      <c r="F660" s="5" t="str">
        <f t="shared" si="65"/>
        <v/>
      </c>
      <c r="G660" s="23"/>
      <c r="H660" s="66"/>
      <c r="I660" s="14"/>
      <c r="J660" s="14"/>
      <c r="K660" s="14"/>
      <c r="L660" s="5" t="str">
        <f t="shared" si="66"/>
        <v/>
      </c>
      <c r="M660" s="5" t="str">
        <f t="shared" si="67"/>
        <v/>
      </c>
      <c r="N660" s="5" t="str">
        <f t="shared" si="68"/>
        <v/>
      </c>
      <c r="O660" s="4"/>
    </row>
    <row r="661" spans="1:15" x14ac:dyDescent="0.25">
      <c r="A661" s="14"/>
      <c r="B661" s="14"/>
      <c r="C661" s="14"/>
      <c r="D661" s="5" t="str">
        <f t="shared" si="63"/>
        <v/>
      </c>
      <c r="E661" s="5" t="str">
        <f t="shared" si="64"/>
        <v/>
      </c>
      <c r="F661" s="5" t="str">
        <f t="shared" si="65"/>
        <v/>
      </c>
      <c r="G661" s="23"/>
      <c r="H661" s="66"/>
      <c r="I661" s="14"/>
      <c r="J661" s="14"/>
      <c r="K661" s="14"/>
      <c r="L661" s="5" t="str">
        <f t="shared" si="66"/>
        <v/>
      </c>
      <c r="M661" s="5" t="str">
        <f t="shared" si="67"/>
        <v/>
      </c>
      <c r="N661" s="5" t="str">
        <f t="shared" si="68"/>
        <v/>
      </c>
      <c r="O661" s="4"/>
    </row>
    <row r="662" spans="1:15" x14ac:dyDescent="0.25">
      <c r="A662" s="14"/>
      <c r="B662" s="14"/>
      <c r="C662" s="14"/>
      <c r="D662" s="5" t="str">
        <f t="shared" si="63"/>
        <v/>
      </c>
      <c r="E662" s="5" t="str">
        <f t="shared" si="64"/>
        <v/>
      </c>
      <c r="F662" s="5" t="str">
        <f t="shared" si="65"/>
        <v/>
      </c>
      <c r="G662" s="23"/>
      <c r="H662" s="66"/>
      <c r="I662" s="14"/>
      <c r="J662" s="14"/>
      <c r="K662" s="14"/>
      <c r="L662" s="5" t="str">
        <f t="shared" si="66"/>
        <v/>
      </c>
      <c r="M662" s="5" t="str">
        <f t="shared" si="67"/>
        <v/>
      </c>
      <c r="N662" s="5" t="str">
        <f t="shared" si="68"/>
        <v/>
      </c>
      <c r="O662" s="4"/>
    </row>
    <row r="663" spans="1:15" x14ac:dyDescent="0.25">
      <c r="A663" s="14"/>
      <c r="B663" s="14"/>
      <c r="C663" s="14"/>
      <c r="D663" s="5" t="str">
        <f t="shared" si="63"/>
        <v/>
      </c>
      <c r="E663" s="5" t="str">
        <f t="shared" si="64"/>
        <v/>
      </c>
      <c r="F663" s="5" t="str">
        <f t="shared" si="65"/>
        <v/>
      </c>
      <c r="G663" s="23"/>
      <c r="H663" s="66"/>
      <c r="I663" s="14"/>
      <c r="J663" s="14"/>
      <c r="K663" s="14"/>
      <c r="L663" s="5" t="str">
        <f t="shared" si="66"/>
        <v/>
      </c>
      <c r="M663" s="5" t="str">
        <f t="shared" si="67"/>
        <v/>
      </c>
      <c r="N663" s="5" t="str">
        <f t="shared" si="68"/>
        <v/>
      </c>
      <c r="O663" s="4"/>
    </row>
    <row r="664" spans="1:15" x14ac:dyDescent="0.25">
      <c r="A664" s="14"/>
      <c r="B664" s="14"/>
      <c r="C664" s="14"/>
      <c r="D664" s="5" t="str">
        <f t="shared" si="63"/>
        <v/>
      </c>
      <c r="E664" s="5" t="str">
        <f t="shared" si="64"/>
        <v/>
      </c>
      <c r="F664" s="5" t="str">
        <f t="shared" si="65"/>
        <v/>
      </c>
      <c r="G664" s="23"/>
      <c r="H664" s="66"/>
      <c r="I664" s="14"/>
      <c r="J664" s="14"/>
      <c r="K664" s="14"/>
      <c r="L664" s="5" t="str">
        <f t="shared" si="66"/>
        <v/>
      </c>
      <c r="M664" s="5" t="str">
        <f t="shared" si="67"/>
        <v/>
      </c>
      <c r="N664" s="5" t="str">
        <f t="shared" si="68"/>
        <v/>
      </c>
      <c r="O664" s="4"/>
    </row>
    <row r="665" spans="1:15" x14ac:dyDescent="0.25">
      <c r="A665" s="14"/>
      <c r="B665" s="14"/>
      <c r="C665" s="14"/>
      <c r="D665" s="5" t="str">
        <f t="shared" ref="D665:D728" si="69">IFERROR( IF(A665&lt;&gt;"",((B665-B664)*$X$4/(A665-A664))*$X$5,""),"")</f>
        <v/>
      </c>
      <c r="E665" s="5" t="str">
        <f t="shared" ref="E665:E728" si="70">IFERROR(IF(A665&lt;&gt;"",((C665-C664)*$X$4/(A665-A664))*$X$5,""),"")</f>
        <v/>
      </c>
      <c r="F665" s="5" t="str">
        <f t="shared" ref="F665:F728" si="71">IFERROR(IF(A665&lt;&gt;"",((ACOS((COS(RADIANS(B664))*COS(RADIANS(B665)))+(SIN(RADIANS(B664))*SIN(RADIANS(B665)))*COS(RADIANS(C665-C664)))*180/PI()*($X$4/(A665-A664))))*$X$5,""),"")</f>
        <v/>
      </c>
      <c r="G665" s="23"/>
      <c r="H665" s="66"/>
      <c r="I665" s="14"/>
      <c r="J665" s="14"/>
      <c r="K665" s="14"/>
      <c r="L665" s="5" t="str">
        <f t="shared" si="66"/>
        <v/>
      </c>
      <c r="M665" s="5" t="str">
        <f t="shared" si="67"/>
        <v/>
      </c>
      <c r="N665" s="5" t="str">
        <f t="shared" si="68"/>
        <v/>
      </c>
      <c r="O665" s="4"/>
    </row>
    <row r="666" spans="1:15" x14ac:dyDescent="0.25">
      <c r="A666" s="14"/>
      <c r="B666" s="14"/>
      <c r="C666" s="14"/>
      <c r="D666" s="5" t="str">
        <f t="shared" si="69"/>
        <v/>
      </c>
      <c r="E666" s="5" t="str">
        <f t="shared" si="70"/>
        <v/>
      </c>
      <c r="F666" s="5" t="str">
        <f t="shared" si="71"/>
        <v/>
      </c>
      <c r="G666" s="23"/>
      <c r="H666" s="66"/>
      <c r="I666" s="14"/>
      <c r="J666" s="14"/>
      <c r="K666" s="14"/>
      <c r="L666" s="5" t="str">
        <f t="shared" si="66"/>
        <v/>
      </c>
      <c r="M666" s="5" t="str">
        <f t="shared" si="67"/>
        <v/>
      </c>
      <c r="N666" s="5" t="str">
        <f t="shared" si="68"/>
        <v/>
      </c>
      <c r="O666" s="4"/>
    </row>
    <row r="667" spans="1:15" x14ac:dyDescent="0.25">
      <c r="A667" s="14"/>
      <c r="B667" s="14"/>
      <c r="C667" s="14"/>
      <c r="D667" s="5" t="str">
        <f t="shared" si="69"/>
        <v/>
      </c>
      <c r="E667" s="5" t="str">
        <f t="shared" si="70"/>
        <v/>
      </c>
      <c r="F667" s="5" t="str">
        <f t="shared" si="71"/>
        <v/>
      </c>
      <c r="G667" s="23"/>
      <c r="H667" s="66"/>
      <c r="I667" s="14"/>
      <c r="J667" s="14"/>
      <c r="K667" s="14"/>
      <c r="L667" s="5" t="str">
        <f t="shared" si="66"/>
        <v/>
      </c>
      <c r="M667" s="5" t="str">
        <f t="shared" si="67"/>
        <v/>
      </c>
      <c r="N667" s="5" t="str">
        <f t="shared" si="68"/>
        <v/>
      </c>
      <c r="O667" s="4"/>
    </row>
    <row r="668" spans="1:15" x14ac:dyDescent="0.25">
      <c r="A668" s="14"/>
      <c r="B668" s="14"/>
      <c r="C668" s="14"/>
      <c r="D668" s="5" t="str">
        <f t="shared" si="69"/>
        <v/>
      </c>
      <c r="E668" s="5" t="str">
        <f t="shared" si="70"/>
        <v/>
      </c>
      <c r="F668" s="5" t="str">
        <f t="shared" si="71"/>
        <v/>
      </c>
      <c r="G668" s="23"/>
      <c r="H668" s="66"/>
      <c r="I668" s="14"/>
      <c r="J668" s="14"/>
      <c r="K668" s="14"/>
      <c r="L668" s="5" t="str">
        <f t="shared" si="66"/>
        <v/>
      </c>
      <c r="M668" s="5" t="str">
        <f t="shared" si="67"/>
        <v/>
      </c>
      <c r="N668" s="5" t="str">
        <f t="shared" si="68"/>
        <v/>
      </c>
      <c r="O668" s="4"/>
    </row>
    <row r="669" spans="1:15" x14ac:dyDescent="0.25">
      <c r="A669" s="14"/>
      <c r="B669" s="14"/>
      <c r="C669" s="14"/>
      <c r="D669" s="5" t="str">
        <f t="shared" si="69"/>
        <v/>
      </c>
      <c r="E669" s="5" t="str">
        <f t="shared" si="70"/>
        <v/>
      </c>
      <c r="F669" s="5" t="str">
        <f t="shared" si="71"/>
        <v/>
      </c>
      <c r="G669" s="23"/>
      <c r="H669" s="66"/>
      <c r="I669" s="14"/>
      <c r="J669" s="14"/>
      <c r="K669" s="14"/>
      <c r="L669" s="5" t="str">
        <f t="shared" si="66"/>
        <v/>
      </c>
      <c r="M669" s="5" t="str">
        <f t="shared" si="67"/>
        <v/>
      </c>
      <c r="N669" s="5" t="str">
        <f t="shared" si="68"/>
        <v/>
      </c>
      <c r="O669" s="4"/>
    </row>
    <row r="670" spans="1:15" x14ac:dyDescent="0.25">
      <c r="A670" s="14"/>
      <c r="B670" s="14"/>
      <c r="C670" s="14"/>
      <c r="D670" s="5" t="str">
        <f t="shared" si="69"/>
        <v/>
      </c>
      <c r="E670" s="5" t="str">
        <f t="shared" si="70"/>
        <v/>
      </c>
      <c r="F670" s="5" t="str">
        <f t="shared" si="71"/>
        <v/>
      </c>
      <c r="G670" s="23"/>
      <c r="H670" s="66"/>
      <c r="I670" s="14"/>
      <c r="J670" s="14"/>
      <c r="K670" s="14"/>
      <c r="L670" s="5" t="str">
        <f t="shared" si="66"/>
        <v/>
      </c>
      <c r="M670" s="5" t="str">
        <f t="shared" si="67"/>
        <v/>
      </c>
      <c r="N670" s="5" t="str">
        <f t="shared" si="68"/>
        <v/>
      </c>
      <c r="O670" s="4"/>
    </row>
    <row r="671" spans="1:15" x14ac:dyDescent="0.25">
      <c r="A671" s="14"/>
      <c r="B671" s="14"/>
      <c r="C671" s="14"/>
      <c r="D671" s="5" t="str">
        <f t="shared" si="69"/>
        <v/>
      </c>
      <c r="E671" s="5" t="str">
        <f t="shared" si="70"/>
        <v/>
      </c>
      <c r="F671" s="5" t="str">
        <f t="shared" si="71"/>
        <v/>
      </c>
      <c r="G671" s="23"/>
      <c r="H671" s="66"/>
      <c r="I671" s="14"/>
      <c r="J671" s="14"/>
      <c r="K671" s="14"/>
      <c r="L671" s="5" t="str">
        <f t="shared" si="66"/>
        <v/>
      </c>
      <c r="M671" s="5" t="str">
        <f t="shared" si="67"/>
        <v/>
      </c>
      <c r="N671" s="5" t="str">
        <f t="shared" si="68"/>
        <v/>
      </c>
      <c r="O671" s="4"/>
    </row>
    <row r="672" spans="1:15" x14ac:dyDescent="0.25">
      <c r="A672" s="14"/>
      <c r="B672" s="14"/>
      <c r="C672" s="14"/>
      <c r="D672" s="5" t="str">
        <f t="shared" si="69"/>
        <v/>
      </c>
      <c r="E672" s="5" t="str">
        <f t="shared" si="70"/>
        <v/>
      </c>
      <c r="F672" s="5" t="str">
        <f t="shared" si="71"/>
        <v/>
      </c>
      <c r="G672" s="23"/>
      <c r="H672" s="66"/>
      <c r="I672" s="14"/>
      <c r="J672" s="14"/>
      <c r="K672" s="14"/>
      <c r="L672" s="5" t="str">
        <f t="shared" si="66"/>
        <v/>
      </c>
      <c r="M672" s="5" t="str">
        <f t="shared" si="67"/>
        <v/>
      </c>
      <c r="N672" s="5" t="str">
        <f t="shared" si="68"/>
        <v/>
      </c>
      <c r="O672" s="4"/>
    </row>
    <row r="673" spans="1:15" x14ac:dyDescent="0.25">
      <c r="A673" s="14"/>
      <c r="B673" s="14"/>
      <c r="C673" s="14"/>
      <c r="D673" s="5" t="str">
        <f t="shared" si="69"/>
        <v/>
      </c>
      <c r="E673" s="5" t="str">
        <f t="shared" si="70"/>
        <v/>
      </c>
      <c r="F673" s="5" t="str">
        <f t="shared" si="71"/>
        <v/>
      </c>
      <c r="G673" s="23"/>
      <c r="H673" s="66"/>
      <c r="I673" s="14"/>
      <c r="J673" s="14"/>
      <c r="K673" s="14"/>
      <c r="L673" s="5" t="str">
        <f t="shared" si="66"/>
        <v/>
      </c>
      <c r="M673" s="5" t="str">
        <f t="shared" si="67"/>
        <v/>
      </c>
      <c r="N673" s="5" t="str">
        <f t="shared" si="68"/>
        <v/>
      </c>
      <c r="O673" s="4"/>
    </row>
    <row r="674" spans="1:15" x14ac:dyDescent="0.25">
      <c r="A674" s="14"/>
      <c r="B674" s="14"/>
      <c r="C674" s="14"/>
      <c r="D674" s="5" t="str">
        <f t="shared" si="69"/>
        <v/>
      </c>
      <c r="E674" s="5" t="str">
        <f t="shared" si="70"/>
        <v/>
      </c>
      <c r="F674" s="5" t="str">
        <f t="shared" si="71"/>
        <v/>
      </c>
      <c r="G674" s="23"/>
      <c r="H674" s="66"/>
      <c r="I674" s="14"/>
      <c r="J674" s="14"/>
      <c r="K674" s="14"/>
      <c r="L674" s="5" t="str">
        <f t="shared" si="66"/>
        <v/>
      </c>
      <c r="M674" s="5" t="str">
        <f t="shared" si="67"/>
        <v/>
      </c>
      <c r="N674" s="5" t="str">
        <f t="shared" si="68"/>
        <v/>
      </c>
      <c r="O674" s="4"/>
    </row>
    <row r="675" spans="1:15" x14ac:dyDescent="0.25">
      <c r="A675" s="14"/>
      <c r="B675" s="14"/>
      <c r="C675" s="14"/>
      <c r="D675" s="5" t="str">
        <f t="shared" si="69"/>
        <v/>
      </c>
      <c r="E675" s="5" t="str">
        <f t="shared" si="70"/>
        <v/>
      </c>
      <c r="F675" s="5" t="str">
        <f t="shared" si="71"/>
        <v/>
      </c>
      <c r="G675" s="23"/>
      <c r="H675" s="66"/>
      <c r="I675" s="14"/>
      <c r="J675" s="14"/>
      <c r="K675" s="14"/>
      <c r="L675" s="5" t="str">
        <f t="shared" si="66"/>
        <v/>
      </c>
      <c r="M675" s="5" t="str">
        <f t="shared" si="67"/>
        <v/>
      </c>
      <c r="N675" s="5" t="str">
        <f t="shared" si="68"/>
        <v/>
      </c>
      <c r="O675" s="4"/>
    </row>
    <row r="676" spans="1:15" x14ac:dyDescent="0.25">
      <c r="A676" s="14"/>
      <c r="B676" s="14"/>
      <c r="C676" s="14"/>
      <c r="D676" s="5" t="str">
        <f t="shared" si="69"/>
        <v/>
      </c>
      <c r="E676" s="5" t="str">
        <f t="shared" si="70"/>
        <v/>
      </c>
      <c r="F676" s="5" t="str">
        <f t="shared" si="71"/>
        <v/>
      </c>
      <c r="G676" s="23"/>
      <c r="H676" s="66"/>
      <c r="I676" s="14"/>
      <c r="J676" s="14"/>
      <c r="K676" s="14"/>
      <c r="L676" s="5" t="str">
        <f t="shared" si="66"/>
        <v/>
      </c>
      <c r="M676" s="5" t="str">
        <f t="shared" si="67"/>
        <v/>
      </c>
      <c r="N676" s="5" t="str">
        <f t="shared" si="68"/>
        <v/>
      </c>
      <c r="O676" s="4"/>
    </row>
    <row r="677" spans="1:15" x14ac:dyDescent="0.25">
      <c r="A677" s="14"/>
      <c r="B677" s="14"/>
      <c r="C677" s="14"/>
      <c r="D677" s="5" t="str">
        <f t="shared" si="69"/>
        <v/>
      </c>
      <c r="E677" s="5" t="str">
        <f t="shared" si="70"/>
        <v/>
      </c>
      <c r="F677" s="5" t="str">
        <f t="shared" si="71"/>
        <v/>
      </c>
      <c r="G677" s="23"/>
      <c r="H677" s="66"/>
      <c r="I677" s="14"/>
      <c r="J677" s="14"/>
      <c r="K677" s="14"/>
      <c r="L677" s="5" t="str">
        <f t="shared" si="66"/>
        <v/>
      </c>
      <c r="M677" s="5" t="str">
        <f t="shared" si="67"/>
        <v/>
      </c>
      <c r="N677" s="5" t="str">
        <f t="shared" si="68"/>
        <v/>
      </c>
      <c r="O677" s="4"/>
    </row>
    <row r="678" spans="1:15" x14ac:dyDescent="0.25">
      <c r="A678" s="14"/>
      <c r="B678" s="14"/>
      <c r="C678" s="14"/>
      <c r="D678" s="5" t="str">
        <f t="shared" si="69"/>
        <v/>
      </c>
      <c r="E678" s="5" t="str">
        <f t="shared" si="70"/>
        <v/>
      </c>
      <c r="F678" s="5" t="str">
        <f t="shared" si="71"/>
        <v/>
      </c>
      <c r="G678" s="23"/>
      <c r="H678" s="66"/>
      <c r="I678" s="14"/>
      <c r="J678" s="14"/>
      <c r="K678" s="14"/>
      <c r="L678" s="5" t="str">
        <f t="shared" si="66"/>
        <v/>
      </c>
      <c r="M678" s="5" t="str">
        <f t="shared" si="67"/>
        <v/>
      </c>
      <c r="N678" s="5" t="str">
        <f t="shared" si="68"/>
        <v/>
      </c>
      <c r="O678" s="4"/>
    </row>
    <row r="679" spans="1:15" x14ac:dyDescent="0.25">
      <c r="A679" s="14"/>
      <c r="B679" s="14"/>
      <c r="C679" s="14"/>
      <c r="D679" s="5" t="str">
        <f t="shared" si="69"/>
        <v/>
      </c>
      <c r="E679" s="5" t="str">
        <f t="shared" si="70"/>
        <v/>
      </c>
      <c r="F679" s="5" t="str">
        <f t="shared" si="71"/>
        <v/>
      </c>
      <c r="G679" s="23"/>
      <c r="H679" s="66"/>
      <c r="I679" s="14"/>
      <c r="J679" s="14"/>
      <c r="K679" s="14"/>
      <c r="L679" s="5" t="str">
        <f t="shared" si="66"/>
        <v/>
      </c>
      <c r="M679" s="5" t="str">
        <f t="shared" si="67"/>
        <v/>
      </c>
      <c r="N679" s="5" t="str">
        <f t="shared" si="68"/>
        <v/>
      </c>
      <c r="O679" s="4"/>
    </row>
    <row r="680" spans="1:15" x14ac:dyDescent="0.25">
      <c r="A680" s="14"/>
      <c r="B680" s="14"/>
      <c r="C680" s="14"/>
      <c r="D680" s="5" t="str">
        <f t="shared" si="69"/>
        <v/>
      </c>
      <c r="E680" s="5" t="str">
        <f t="shared" si="70"/>
        <v/>
      </c>
      <c r="F680" s="5" t="str">
        <f t="shared" si="71"/>
        <v/>
      </c>
      <c r="G680" s="23"/>
      <c r="H680" s="66"/>
      <c r="I680" s="14"/>
      <c r="J680" s="14"/>
      <c r="K680" s="14"/>
      <c r="L680" s="5" t="str">
        <f t="shared" si="66"/>
        <v/>
      </c>
      <c r="M680" s="5" t="str">
        <f t="shared" si="67"/>
        <v/>
      </c>
      <c r="N680" s="5" t="str">
        <f t="shared" si="68"/>
        <v/>
      </c>
      <c r="O680" s="4"/>
    </row>
    <row r="681" spans="1:15" x14ac:dyDescent="0.25">
      <c r="A681" s="14"/>
      <c r="B681" s="14"/>
      <c r="C681" s="14"/>
      <c r="D681" s="5" t="str">
        <f t="shared" si="69"/>
        <v/>
      </c>
      <c r="E681" s="5" t="str">
        <f t="shared" si="70"/>
        <v/>
      </c>
      <c r="F681" s="5" t="str">
        <f t="shared" si="71"/>
        <v/>
      </c>
      <c r="G681" s="23"/>
      <c r="H681" s="66"/>
      <c r="I681" s="14"/>
      <c r="J681" s="14"/>
      <c r="K681" s="14"/>
      <c r="L681" s="5" t="str">
        <f t="shared" si="66"/>
        <v/>
      </c>
      <c r="M681" s="5" t="str">
        <f t="shared" si="67"/>
        <v/>
      </c>
      <c r="N681" s="5" t="str">
        <f t="shared" si="68"/>
        <v/>
      </c>
      <c r="O681" s="4"/>
    </row>
    <row r="682" spans="1:15" x14ac:dyDescent="0.25">
      <c r="A682" s="14"/>
      <c r="B682" s="14"/>
      <c r="C682" s="14"/>
      <c r="D682" s="5" t="str">
        <f t="shared" si="69"/>
        <v/>
      </c>
      <c r="E682" s="5" t="str">
        <f t="shared" si="70"/>
        <v/>
      </c>
      <c r="F682" s="5" t="str">
        <f t="shared" si="71"/>
        <v/>
      </c>
      <c r="G682" s="23"/>
      <c r="H682" s="66"/>
      <c r="I682" s="14"/>
      <c r="J682" s="14"/>
      <c r="K682" s="14"/>
      <c r="L682" s="5" t="str">
        <f t="shared" si="66"/>
        <v/>
      </c>
      <c r="M682" s="5" t="str">
        <f t="shared" si="67"/>
        <v/>
      </c>
      <c r="N682" s="5" t="str">
        <f t="shared" si="68"/>
        <v/>
      </c>
      <c r="O682" s="4"/>
    </row>
    <row r="683" spans="1:15" x14ac:dyDescent="0.25">
      <c r="A683" s="14"/>
      <c r="B683" s="14"/>
      <c r="C683" s="14"/>
      <c r="D683" s="5" t="str">
        <f t="shared" si="69"/>
        <v/>
      </c>
      <c r="E683" s="5" t="str">
        <f t="shared" si="70"/>
        <v/>
      </c>
      <c r="F683" s="5" t="str">
        <f t="shared" si="71"/>
        <v/>
      </c>
      <c r="G683" s="23"/>
      <c r="H683" s="66"/>
      <c r="I683" s="14"/>
      <c r="J683" s="14"/>
      <c r="K683" s="14"/>
      <c r="L683" s="5" t="str">
        <f t="shared" si="66"/>
        <v/>
      </c>
      <c r="M683" s="5" t="str">
        <f t="shared" si="67"/>
        <v/>
      </c>
      <c r="N683" s="5" t="str">
        <f t="shared" si="68"/>
        <v/>
      </c>
      <c r="O683" s="4"/>
    </row>
    <row r="684" spans="1:15" x14ac:dyDescent="0.25">
      <c r="A684" s="14"/>
      <c r="B684" s="14"/>
      <c r="C684" s="14"/>
      <c r="D684" s="5" t="str">
        <f t="shared" si="69"/>
        <v/>
      </c>
      <c r="E684" s="5" t="str">
        <f t="shared" si="70"/>
        <v/>
      </c>
      <c r="F684" s="5" t="str">
        <f t="shared" si="71"/>
        <v/>
      </c>
      <c r="G684" s="23"/>
      <c r="H684" s="66"/>
      <c r="I684" s="14"/>
      <c r="J684" s="14"/>
      <c r="K684" s="14"/>
      <c r="L684" s="5" t="str">
        <f t="shared" si="66"/>
        <v/>
      </c>
      <c r="M684" s="5" t="str">
        <f t="shared" si="67"/>
        <v/>
      </c>
      <c r="N684" s="5" t="str">
        <f t="shared" si="68"/>
        <v/>
      </c>
      <c r="O684" s="4"/>
    </row>
    <row r="685" spans="1:15" x14ac:dyDescent="0.25">
      <c r="A685" s="14"/>
      <c r="B685" s="14"/>
      <c r="C685" s="14"/>
      <c r="D685" s="5" t="str">
        <f t="shared" si="69"/>
        <v/>
      </c>
      <c r="E685" s="5" t="str">
        <f t="shared" si="70"/>
        <v/>
      </c>
      <c r="F685" s="5" t="str">
        <f t="shared" si="71"/>
        <v/>
      </c>
      <c r="G685" s="23"/>
      <c r="H685" s="66"/>
      <c r="I685" s="14"/>
      <c r="J685" s="14"/>
      <c r="K685" s="14"/>
      <c r="L685" s="5" t="str">
        <f t="shared" si="66"/>
        <v/>
      </c>
      <c r="M685" s="5" t="str">
        <f t="shared" si="67"/>
        <v/>
      </c>
      <c r="N685" s="5" t="str">
        <f t="shared" si="68"/>
        <v/>
      </c>
      <c r="O685" s="4"/>
    </row>
    <row r="686" spans="1:15" x14ac:dyDescent="0.25">
      <c r="A686" s="14"/>
      <c r="B686" s="14"/>
      <c r="C686" s="14"/>
      <c r="D686" s="5" t="str">
        <f t="shared" si="69"/>
        <v/>
      </c>
      <c r="E686" s="5" t="str">
        <f t="shared" si="70"/>
        <v/>
      </c>
      <c r="F686" s="5" t="str">
        <f t="shared" si="71"/>
        <v/>
      </c>
      <c r="G686" s="23"/>
      <c r="H686" s="66"/>
      <c r="I686" s="14"/>
      <c r="J686" s="14"/>
      <c r="K686" s="14"/>
      <c r="L686" s="5" t="str">
        <f t="shared" si="66"/>
        <v/>
      </c>
      <c r="M686" s="5" t="str">
        <f t="shared" si="67"/>
        <v/>
      </c>
      <c r="N686" s="5" t="str">
        <f t="shared" si="68"/>
        <v/>
      </c>
      <c r="O686" s="4"/>
    </row>
    <row r="687" spans="1:15" x14ac:dyDescent="0.25">
      <c r="A687" s="14"/>
      <c r="B687" s="14"/>
      <c r="C687" s="14"/>
      <c r="D687" s="5" t="str">
        <f t="shared" si="69"/>
        <v/>
      </c>
      <c r="E687" s="5" t="str">
        <f t="shared" si="70"/>
        <v/>
      </c>
      <c r="F687" s="5" t="str">
        <f t="shared" si="71"/>
        <v/>
      </c>
      <c r="G687" s="23"/>
      <c r="H687" s="66"/>
      <c r="I687" s="14"/>
      <c r="J687" s="14"/>
      <c r="K687" s="14"/>
      <c r="L687" s="5" t="str">
        <f t="shared" si="66"/>
        <v/>
      </c>
      <c r="M687" s="5" t="str">
        <f t="shared" si="67"/>
        <v/>
      </c>
      <c r="N687" s="5" t="str">
        <f t="shared" si="68"/>
        <v/>
      </c>
      <c r="O687" s="4"/>
    </row>
    <row r="688" spans="1:15" x14ac:dyDescent="0.25">
      <c r="A688" s="14"/>
      <c r="B688" s="14"/>
      <c r="C688" s="14"/>
      <c r="D688" s="5" t="str">
        <f t="shared" si="69"/>
        <v/>
      </c>
      <c r="E688" s="5" t="str">
        <f t="shared" si="70"/>
        <v/>
      </c>
      <c r="F688" s="5" t="str">
        <f t="shared" si="71"/>
        <v/>
      </c>
      <c r="G688" s="23"/>
      <c r="H688" s="66"/>
      <c r="I688" s="14"/>
      <c r="J688" s="14"/>
      <c r="K688" s="14"/>
      <c r="L688" s="5" t="str">
        <f t="shared" si="66"/>
        <v/>
      </c>
      <c r="M688" s="5" t="str">
        <f t="shared" si="67"/>
        <v/>
      </c>
      <c r="N688" s="5" t="str">
        <f t="shared" si="68"/>
        <v/>
      </c>
      <c r="O688" s="4"/>
    </row>
    <row r="689" spans="1:15" x14ac:dyDescent="0.25">
      <c r="A689" s="14"/>
      <c r="B689" s="14"/>
      <c r="C689" s="14"/>
      <c r="D689" s="5" t="str">
        <f t="shared" si="69"/>
        <v/>
      </c>
      <c r="E689" s="5" t="str">
        <f t="shared" si="70"/>
        <v/>
      </c>
      <c r="F689" s="5" t="str">
        <f t="shared" si="71"/>
        <v/>
      </c>
      <c r="G689" s="23"/>
      <c r="H689" s="66"/>
      <c r="I689" s="14"/>
      <c r="J689" s="14"/>
      <c r="K689" s="14"/>
      <c r="L689" s="5" t="str">
        <f t="shared" si="66"/>
        <v/>
      </c>
      <c r="M689" s="5" t="str">
        <f t="shared" si="67"/>
        <v/>
      </c>
      <c r="N689" s="5" t="str">
        <f t="shared" si="68"/>
        <v/>
      </c>
      <c r="O689" s="4"/>
    </row>
    <row r="690" spans="1:15" x14ac:dyDescent="0.25">
      <c r="A690" s="14"/>
      <c r="B690" s="14"/>
      <c r="C690" s="14"/>
      <c r="D690" s="5" t="str">
        <f t="shared" si="69"/>
        <v/>
      </c>
      <c r="E690" s="5" t="str">
        <f t="shared" si="70"/>
        <v/>
      </c>
      <c r="F690" s="5" t="str">
        <f t="shared" si="71"/>
        <v/>
      </c>
      <c r="G690" s="23"/>
      <c r="H690" s="66"/>
      <c r="I690" s="14"/>
      <c r="J690" s="14"/>
      <c r="K690" s="14"/>
      <c r="L690" s="5" t="str">
        <f t="shared" si="66"/>
        <v/>
      </c>
      <c r="M690" s="5" t="str">
        <f t="shared" si="67"/>
        <v/>
      </c>
      <c r="N690" s="5" t="str">
        <f t="shared" si="68"/>
        <v/>
      </c>
      <c r="O690" s="4"/>
    </row>
    <row r="691" spans="1:15" x14ac:dyDescent="0.25">
      <c r="A691" s="14"/>
      <c r="B691" s="14"/>
      <c r="C691" s="14"/>
      <c r="D691" s="5" t="str">
        <f t="shared" si="69"/>
        <v/>
      </c>
      <c r="E691" s="5" t="str">
        <f t="shared" si="70"/>
        <v/>
      </c>
      <c r="F691" s="5" t="str">
        <f t="shared" si="71"/>
        <v/>
      </c>
      <c r="G691" s="23"/>
      <c r="H691" s="66"/>
      <c r="I691" s="14"/>
      <c r="J691" s="14"/>
      <c r="K691" s="14"/>
      <c r="L691" s="5" t="str">
        <f t="shared" si="66"/>
        <v/>
      </c>
      <c r="M691" s="5" t="str">
        <f t="shared" si="67"/>
        <v/>
      </c>
      <c r="N691" s="5" t="str">
        <f t="shared" si="68"/>
        <v/>
      </c>
      <c r="O691" s="4"/>
    </row>
    <row r="692" spans="1:15" x14ac:dyDescent="0.25">
      <c r="A692" s="14"/>
      <c r="B692" s="14"/>
      <c r="C692" s="14"/>
      <c r="D692" s="5" t="str">
        <f t="shared" si="69"/>
        <v/>
      </c>
      <c r="E692" s="5" t="str">
        <f t="shared" si="70"/>
        <v/>
      </c>
      <c r="F692" s="5" t="str">
        <f t="shared" si="71"/>
        <v/>
      </c>
      <c r="G692" s="23"/>
      <c r="H692" s="66"/>
      <c r="I692" s="14"/>
      <c r="J692" s="14"/>
      <c r="K692" s="14"/>
      <c r="L692" s="5" t="str">
        <f t="shared" si="66"/>
        <v/>
      </c>
      <c r="M692" s="5" t="str">
        <f t="shared" si="67"/>
        <v/>
      </c>
      <c r="N692" s="5" t="str">
        <f t="shared" si="68"/>
        <v/>
      </c>
      <c r="O692" s="4"/>
    </row>
    <row r="693" spans="1:15" x14ac:dyDescent="0.25">
      <c r="A693" s="14"/>
      <c r="B693" s="14"/>
      <c r="C693" s="14"/>
      <c r="D693" s="5" t="str">
        <f t="shared" si="69"/>
        <v/>
      </c>
      <c r="E693" s="5" t="str">
        <f t="shared" si="70"/>
        <v/>
      </c>
      <c r="F693" s="5" t="str">
        <f t="shared" si="71"/>
        <v/>
      </c>
      <c r="G693" s="23"/>
      <c r="H693" s="66"/>
      <c r="I693" s="14"/>
      <c r="J693" s="14"/>
      <c r="K693" s="14"/>
      <c r="L693" s="5" t="str">
        <f t="shared" si="66"/>
        <v/>
      </c>
      <c r="M693" s="5" t="str">
        <f t="shared" si="67"/>
        <v/>
      </c>
      <c r="N693" s="5" t="str">
        <f t="shared" si="68"/>
        <v/>
      </c>
      <c r="O693" s="4"/>
    </row>
    <row r="694" spans="1:15" x14ac:dyDescent="0.25">
      <c r="A694" s="14"/>
      <c r="B694" s="14"/>
      <c r="C694" s="14"/>
      <c r="D694" s="5" t="str">
        <f t="shared" si="69"/>
        <v/>
      </c>
      <c r="E694" s="5" t="str">
        <f t="shared" si="70"/>
        <v/>
      </c>
      <c r="F694" s="5" t="str">
        <f t="shared" si="71"/>
        <v/>
      </c>
      <c r="G694" s="23"/>
      <c r="H694" s="66"/>
      <c r="I694" s="14"/>
      <c r="J694" s="14"/>
      <c r="K694" s="14"/>
      <c r="L694" s="5" t="str">
        <f t="shared" si="66"/>
        <v/>
      </c>
      <c r="M694" s="5" t="str">
        <f t="shared" si="67"/>
        <v/>
      </c>
      <c r="N694" s="5" t="str">
        <f t="shared" si="68"/>
        <v/>
      </c>
      <c r="O694" s="4"/>
    </row>
    <row r="695" spans="1:15" x14ac:dyDescent="0.25">
      <c r="A695" s="14"/>
      <c r="B695" s="14"/>
      <c r="C695" s="14"/>
      <c r="D695" s="5" t="str">
        <f t="shared" si="69"/>
        <v/>
      </c>
      <c r="E695" s="5" t="str">
        <f t="shared" si="70"/>
        <v/>
      </c>
      <c r="F695" s="5" t="str">
        <f t="shared" si="71"/>
        <v/>
      </c>
      <c r="G695" s="23"/>
      <c r="H695" s="66"/>
      <c r="I695" s="14"/>
      <c r="J695" s="14"/>
      <c r="K695" s="14"/>
      <c r="L695" s="5" t="str">
        <f t="shared" si="66"/>
        <v/>
      </c>
      <c r="M695" s="5" t="str">
        <f t="shared" si="67"/>
        <v/>
      </c>
      <c r="N695" s="5" t="str">
        <f t="shared" si="68"/>
        <v/>
      </c>
      <c r="O695" s="4"/>
    </row>
    <row r="696" spans="1:15" x14ac:dyDescent="0.25">
      <c r="A696" s="14"/>
      <c r="B696" s="14"/>
      <c r="C696" s="14"/>
      <c r="D696" s="5" t="str">
        <f t="shared" si="69"/>
        <v/>
      </c>
      <c r="E696" s="5" t="str">
        <f t="shared" si="70"/>
        <v/>
      </c>
      <c r="F696" s="5" t="str">
        <f t="shared" si="71"/>
        <v/>
      </c>
      <c r="G696" s="23"/>
      <c r="H696" s="66"/>
      <c r="I696" s="14"/>
      <c r="J696" s="14"/>
      <c r="K696" s="14"/>
      <c r="L696" s="5" t="str">
        <f t="shared" si="66"/>
        <v/>
      </c>
      <c r="M696" s="5" t="str">
        <f t="shared" si="67"/>
        <v/>
      </c>
      <c r="N696" s="5" t="str">
        <f t="shared" si="68"/>
        <v/>
      </c>
      <c r="O696" s="4"/>
    </row>
    <row r="697" spans="1:15" x14ac:dyDescent="0.25">
      <c r="A697" s="14"/>
      <c r="B697" s="14"/>
      <c r="C697" s="14"/>
      <c r="D697" s="5" t="str">
        <f t="shared" si="69"/>
        <v/>
      </c>
      <c r="E697" s="5" t="str">
        <f t="shared" si="70"/>
        <v/>
      </c>
      <c r="F697" s="5" t="str">
        <f t="shared" si="71"/>
        <v/>
      </c>
      <c r="G697" s="70"/>
      <c r="H697" s="66"/>
      <c r="I697" s="14"/>
      <c r="J697" s="14"/>
      <c r="K697" s="14"/>
      <c r="L697" s="5" t="str">
        <f t="shared" si="66"/>
        <v/>
      </c>
      <c r="M697" s="5" t="str">
        <f t="shared" si="67"/>
        <v/>
      </c>
      <c r="N697" s="5" t="str">
        <f t="shared" si="68"/>
        <v/>
      </c>
      <c r="O697" s="4"/>
    </row>
    <row r="698" spans="1:15" x14ac:dyDescent="0.25">
      <c r="A698" s="14"/>
      <c r="B698" s="14"/>
      <c r="C698" s="14"/>
      <c r="D698" s="5" t="str">
        <f t="shared" si="69"/>
        <v/>
      </c>
      <c r="E698" s="5" t="str">
        <f t="shared" si="70"/>
        <v/>
      </c>
      <c r="F698" s="5" t="str">
        <f t="shared" si="71"/>
        <v/>
      </c>
      <c r="G698" s="23"/>
      <c r="H698" s="66"/>
      <c r="I698" s="14"/>
      <c r="J698" s="14"/>
      <c r="K698" s="14"/>
      <c r="L698" s="5" t="str">
        <f t="shared" si="66"/>
        <v/>
      </c>
      <c r="M698" s="5" t="str">
        <f t="shared" si="67"/>
        <v/>
      </c>
      <c r="N698" s="5" t="str">
        <f t="shared" si="68"/>
        <v/>
      </c>
      <c r="O698" s="4"/>
    </row>
    <row r="699" spans="1:15" x14ac:dyDescent="0.25">
      <c r="A699" s="14"/>
      <c r="B699" s="14"/>
      <c r="C699" s="14"/>
      <c r="D699" s="5" t="str">
        <f t="shared" si="69"/>
        <v/>
      </c>
      <c r="E699" s="5" t="str">
        <f t="shared" si="70"/>
        <v/>
      </c>
      <c r="F699" s="5" t="str">
        <f t="shared" si="71"/>
        <v/>
      </c>
      <c r="G699" s="23"/>
      <c r="H699" s="66"/>
      <c r="I699" s="14"/>
      <c r="J699" s="14"/>
      <c r="K699" s="14"/>
      <c r="L699" s="5" t="str">
        <f t="shared" si="66"/>
        <v/>
      </c>
      <c r="M699" s="5" t="str">
        <f t="shared" si="67"/>
        <v/>
      </c>
      <c r="N699" s="5" t="str">
        <f t="shared" si="68"/>
        <v/>
      </c>
      <c r="O699" s="4"/>
    </row>
    <row r="700" spans="1:15" x14ac:dyDescent="0.25">
      <c r="A700" s="14"/>
      <c r="B700" s="14"/>
      <c r="C700" s="14"/>
      <c r="D700" s="5" t="str">
        <f t="shared" si="69"/>
        <v/>
      </c>
      <c r="E700" s="5" t="str">
        <f t="shared" si="70"/>
        <v/>
      </c>
      <c r="F700" s="5" t="str">
        <f t="shared" si="71"/>
        <v/>
      </c>
      <c r="G700" s="23"/>
      <c r="H700" s="66"/>
      <c r="I700" s="14"/>
      <c r="J700" s="14"/>
      <c r="K700" s="14"/>
      <c r="L700" s="5" t="str">
        <f t="shared" si="66"/>
        <v/>
      </c>
      <c r="M700" s="5" t="str">
        <f t="shared" si="67"/>
        <v/>
      </c>
      <c r="N700" s="5" t="str">
        <f t="shared" si="68"/>
        <v/>
      </c>
      <c r="O700" s="4"/>
    </row>
    <row r="701" spans="1:15" x14ac:dyDescent="0.25">
      <c r="A701" s="14"/>
      <c r="B701" s="14"/>
      <c r="C701" s="14"/>
      <c r="D701" s="5" t="str">
        <f t="shared" si="69"/>
        <v/>
      </c>
      <c r="E701" s="5" t="str">
        <f t="shared" si="70"/>
        <v/>
      </c>
      <c r="F701" s="5" t="str">
        <f t="shared" si="71"/>
        <v/>
      </c>
      <c r="G701" s="23"/>
      <c r="H701" s="66"/>
      <c r="I701" s="14"/>
      <c r="J701" s="14"/>
      <c r="K701" s="14"/>
      <c r="L701" s="5" t="str">
        <f t="shared" si="66"/>
        <v/>
      </c>
      <c r="M701" s="5" t="str">
        <f t="shared" si="67"/>
        <v/>
      </c>
      <c r="N701" s="5" t="str">
        <f t="shared" si="68"/>
        <v/>
      </c>
      <c r="O701" s="4"/>
    </row>
    <row r="702" spans="1:15" x14ac:dyDescent="0.25">
      <c r="A702" s="14"/>
      <c r="B702" s="14"/>
      <c r="C702" s="14"/>
      <c r="D702" s="5" t="str">
        <f t="shared" si="69"/>
        <v/>
      </c>
      <c r="E702" s="5" t="str">
        <f t="shared" si="70"/>
        <v/>
      </c>
      <c r="F702" s="5" t="str">
        <f t="shared" si="71"/>
        <v/>
      </c>
      <c r="G702" s="23"/>
      <c r="H702" s="66"/>
      <c r="I702" s="14"/>
      <c r="J702" s="14"/>
      <c r="K702" s="14"/>
      <c r="L702" s="5" t="str">
        <f t="shared" si="66"/>
        <v/>
      </c>
      <c r="M702" s="5" t="str">
        <f t="shared" si="67"/>
        <v/>
      </c>
      <c r="N702" s="5" t="str">
        <f t="shared" si="68"/>
        <v/>
      </c>
      <c r="O702" s="4"/>
    </row>
    <row r="703" spans="1:15" x14ac:dyDescent="0.25">
      <c r="A703" s="14"/>
      <c r="B703" s="14"/>
      <c r="C703" s="14"/>
      <c r="D703" s="5" t="str">
        <f t="shared" si="69"/>
        <v/>
      </c>
      <c r="E703" s="5" t="str">
        <f t="shared" si="70"/>
        <v/>
      </c>
      <c r="F703" s="5" t="str">
        <f t="shared" si="71"/>
        <v/>
      </c>
      <c r="G703" s="23"/>
      <c r="H703" s="66"/>
      <c r="I703" s="14"/>
      <c r="J703" s="14"/>
      <c r="K703" s="14"/>
      <c r="L703" s="5" t="str">
        <f t="shared" si="66"/>
        <v/>
      </c>
      <c r="M703" s="5" t="str">
        <f t="shared" si="67"/>
        <v/>
      </c>
      <c r="N703" s="5" t="str">
        <f t="shared" si="68"/>
        <v/>
      </c>
      <c r="O703" s="4"/>
    </row>
    <row r="704" spans="1:15" x14ac:dyDescent="0.25">
      <c r="A704" s="14"/>
      <c r="B704" s="14"/>
      <c r="C704" s="14"/>
      <c r="D704" s="5" t="str">
        <f t="shared" si="69"/>
        <v/>
      </c>
      <c r="E704" s="5" t="str">
        <f t="shared" si="70"/>
        <v/>
      </c>
      <c r="F704" s="5" t="str">
        <f t="shared" si="71"/>
        <v/>
      </c>
      <c r="G704" s="23"/>
      <c r="H704" s="66"/>
      <c r="I704" s="14"/>
      <c r="J704" s="14"/>
      <c r="K704" s="14"/>
      <c r="L704" s="5" t="str">
        <f t="shared" si="66"/>
        <v/>
      </c>
      <c r="M704" s="5" t="str">
        <f t="shared" si="67"/>
        <v/>
      </c>
      <c r="N704" s="5" t="str">
        <f t="shared" si="68"/>
        <v/>
      </c>
      <c r="O704" s="4"/>
    </row>
    <row r="705" spans="1:15" x14ac:dyDescent="0.25">
      <c r="A705" s="14"/>
      <c r="B705" s="14"/>
      <c r="C705" s="14"/>
      <c r="D705" s="5" t="str">
        <f t="shared" si="69"/>
        <v/>
      </c>
      <c r="E705" s="5" t="str">
        <f t="shared" si="70"/>
        <v/>
      </c>
      <c r="F705" s="5" t="str">
        <f t="shared" si="71"/>
        <v/>
      </c>
      <c r="G705" s="23"/>
      <c r="H705" s="66"/>
      <c r="I705" s="14"/>
      <c r="J705" s="14"/>
      <c r="K705" s="14"/>
      <c r="L705" s="5" t="str">
        <f t="shared" si="66"/>
        <v/>
      </c>
      <c r="M705" s="5" t="str">
        <f t="shared" si="67"/>
        <v/>
      </c>
      <c r="N705" s="5" t="str">
        <f t="shared" si="68"/>
        <v/>
      </c>
      <c r="O705" s="4"/>
    </row>
    <row r="706" spans="1:15" x14ac:dyDescent="0.25">
      <c r="A706" s="14"/>
      <c r="B706" s="14"/>
      <c r="C706" s="14"/>
      <c r="D706" s="5" t="str">
        <f t="shared" si="69"/>
        <v/>
      </c>
      <c r="E706" s="5" t="str">
        <f t="shared" si="70"/>
        <v/>
      </c>
      <c r="F706" s="5" t="str">
        <f t="shared" si="71"/>
        <v/>
      </c>
      <c r="G706" s="23"/>
      <c r="H706" s="66"/>
      <c r="I706" s="14"/>
      <c r="J706" s="14"/>
      <c r="K706" s="14"/>
      <c r="L706" s="5" t="str">
        <f t="shared" si="66"/>
        <v/>
      </c>
      <c r="M706" s="5" t="str">
        <f t="shared" si="67"/>
        <v/>
      </c>
      <c r="N706" s="5" t="str">
        <f t="shared" si="68"/>
        <v/>
      </c>
      <c r="O706" s="4"/>
    </row>
    <row r="707" spans="1:15" x14ac:dyDescent="0.25">
      <c r="A707" s="14"/>
      <c r="B707" s="14"/>
      <c r="C707" s="14"/>
      <c r="D707" s="5" t="str">
        <f t="shared" si="69"/>
        <v/>
      </c>
      <c r="E707" s="5" t="str">
        <f t="shared" si="70"/>
        <v/>
      </c>
      <c r="F707" s="5" t="str">
        <f t="shared" si="71"/>
        <v/>
      </c>
      <c r="G707" s="23"/>
      <c r="H707" s="66"/>
      <c r="I707" s="14"/>
      <c r="J707" s="14"/>
      <c r="K707" s="14"/>
      <c r="L707" s="5" t="str">
        <f t="shared" si="66"/>
        <v/>
      </c>
      <c r="M707" s="5" t="str">
        <f t="shared" si="67"/>
        <v/>
      </c>
      <c r="N707" s="5" t="str">
        <f t="shared" si="68"/>
        <v/>
      </c>
      <c r="O707" s="4"/>
    </row>
    <row r="708" spans="1:15" x14ac:dyDescent="0.25">
      <c r="A708" s="14"/>
      <c r="B708" s="14"/>
      <c r="C708" s="14"/>
      <c r="D708" s="5" t="str">
        <f t="shared" si="69"/>
        <v/>
      </c>
      <c r="E708" s="5" t="str">
        <f t="shared" si="70"/>
        <v/>
      </c>
      <c r="F708" s="5" t="str">
        <f t="shared" si="71"/>
        <v/>
      </c>
      <c r="G708" s="23"/>
      <c r="H708" s="66"/>
      <c r="I708" s="14"/>
      <c r="J708" s="14"/>
      <c r="K708" s="14"/>
      <c r="L708" s="5" t="str">
        <f t="shared" si="66"/>
        <v/>
      </c>
      <c r="M708" s="5" t="str">
        <f t="shared" si="67"/>
        <v/>
      </c>
      <c r="N708" s="5" t="str">
        <f t="shared" si="68"/>
        <v/>
      </c>
      <c r="O708" s="4"/>
    </row>
    <row r="709" spans="1:15" x14ac:dyDescent="0.25">
      <c r="A709" s="14"/>
      <c r="B709" s="14"/>
      <c r="C709" s="14"/>
      <c r="D709" s="5" t="str">
        <f t="shared" si="69"/>
        <v/>
      </c>
      <c r="E709" s="5" t="str">
        <f t="shared" si="70"/>
        <v/>
      </c>
      <c r="F709" s="5" t="str">
        <f t="shared" si="71"/>
        <v/>
      </c>
      <c r="G709" s="23"/>
      <c r="H709" s="66"/>
      <c r="I709" s="14"/>
      <c r="J709" s="14"/>
      <c r="K709" s="14"/>
      <c r="L709" s="5" t="str">
        <f t="shared" si="66"/>
        <v/>
      </c>
      <c r="M709" s="5" t="str">
        <f t="shared" si="67"/>
        <v/>
      </c>
      <c r="N709" s="5" t="str">
        <f t="shared" si="68"/>
        <v/>
      </c>
      <c r="O709" s="4"/>
    </row>
    <row r="710" spans="1:15" x14ac:dyDescent="0.25">
      <c r="A710" s="14"/>
      <c r="B710" s="14"/>
      <c r="C710" s="14"/>
      <c r="D710" s="5" t="str">
        <f t="shared" si="69"/>
        <v/>
      </c>
      <c r="E710" s="5" t="str">
        <f t="shared" si="70"/>
        <v/>
      </c>
      <c r="F710" s="5" t="str">
        <f t="shared" si="71"/>
        <v/>
      </c>
      <c r="G710" s="23"/>
      <c r="H710" s="66"/>
      <c r="I710" s="14"/>
      <c r="J710" s="14"/>
      <c r="K710" s="14"/>
      <c r="L710" s="5" t="str">
        <f t="shared" si="66"/>
        <v/>
      </c>
      <c r="M710" s="5" t="str">
        <f t="shared" si="67"/>
        <v/>
      </c>
      <c r="N710" s="5" t="str">
        <f t="shared" si="68"/>
        <v/>
      </c>
      <c r="O710" s="4"/>
    </row>
    <row r="711" spans="1:15" x14ac:dyDescent="0.25">
      <c r="A711" s="14"/>
      <c r="B711" s="14"/>
      <c r="C711" s="14"/>
      <c r="D711" s="5" t="str">
        <f t="shared" si="69"/>
        <v/>
      </c>
      <c r="E711" s="5" t="str">
        <f t="shared" si="70"/>
        <v/>
      </c>
      <c r="F711" s="5" t="str">
        <f t="shared" si="71"/>
        <v/>
      </c>
      <c r="G711" s="23"/>
      <c r="H711" s="66"/>
      <c r="I711" s="14"/>
      <c r="J711" s="14"/>
      <c r="K711" s="14"/>
      <c r="L711" s="5" t="str">
        <f t="shared" si="66"/>
        <v/>
      </c>
      <c r="M711" s="5" t="str">
        <f t="shared" si="67"/>
        <v/>
      </c>
      <c r="N711" s="5" t="str">
        <f t="shared" si="68"/>
        <v/>
      </c>
      <c r="O711" s="4"/>
    </row>
    <row r="712" spans="1:15" x14ac:dyDescent="0.25">
      <c r="A712" s="14"/>
      <c r="B712" s="14"/>
      <c r="C712" s="14"/>
      <c r="D712" s="5" t="str">
        <f t="shared" si="69"/>
        <v/>
      </c>
      <c r="E712" s="5" t="str">
        <f t="shared" si="70"/>
        <v/>
      </c>
      <c r="F712" s="5" t="str">
        <f t="shared" si="71"/>
        <v/>
      </c>
      <c r="G712" s="23"/>
      <c r="H712" s="66"/>
      <c r="I712" s="14"/>
      <c r="J712" s="14"/>
      <c r="K712" s="14"/>
      <c r="L712" s="5" t="str">
        <f t="shared" si="66"/>
        <v/>
      </c>
      <c r="M712" s="5" t="str">
        <f t="shared" si="67"/>
        <v/>
      </c>
      <c r="N712" s="5" t="str">
        <f t="shared" si="68"/>
        <v/>
      </c>
      <c r="O712" s="4"/>
    </row>
    <row r="713" spans="1:15" x14ac:dyDescent="0.25">
      <c r="A713" s="14"/>
      <c r="B713" s="14"/>
      <c r="C713" s="14"/>
      <c r="D713" s="5" t="str">
        <f t="shared" si="69"/>
        <v/>
      </c>
      <c r="E713" s="5" t="str">
        <f t="shared" si="70"/>
        <v/>
      </c>
      <c r="F713" s="5" t="str">
        <f t="shared" si="71"/>
        <v/>
      </c>
      <c r="G713" s="23"/>
      <c r="H713" s="66"/>
      <c r="I713" s="14"/>
      <c r="J713" s="14"/>
      <c r="K713" s="14"/>
      <c r="L713" s="5" t="str">
        <f t="shared" si="66"/>
        <v/>
      </c>
      <c r="M713" s="5" t="str">
        <f t="shared" si="67"/>
        <v/>
      </c>
      <c r="N713" s="5" t="str">
        <f t="shared" si="68"/>
        <v/>
      </c>
      <c r="O713" s="4"/>
    </row>
    <row r="714" spans="1:15" x14ac:dyDescent="0.25">
      <c r="A714" s="14"/>
      <c r="B714" s="14"/>
      <c r="C714" s="14"/>
      <c r="D714" s="5" t="str">
        <f t="shared" si="69"/>
        <v/>
      </c>
      <c r="E714" s="5" t="str">
        <f t="shared" si="70"/>
        <v/>
      </c>
      <c r="F714" s="5" t="str">
        <f t="shared" si="71"/>
        <v/>
      </c>
      <c r="G714" s="23"/>
      <c r="H714" s="66"/>
      <c r="I714" s="14"/>
      <c r="J714" s="14"/>
      <c r="K714" s="14"/>
      <c r="L714" s="5" t="str">
        <f t="shared" ref="L714:L777" si="72">IFERROR(IF(I714&lt;&gt;"",(((J714-J713)*$X$4/(I714-I713)))*$X$5,""),"")</f>
        <v/>
      </c>
      <c r="M714" s="5" t="str">
        <f t="shared" ref="M714:M777" si="73">IFERROR(IF(I714&lt;&gt;"",(((K714-K713)*$X$4/(I714-I713)))*$X$5,""),"")</f>
        <v/>
      </c>
      <c r="N714" s="5" t="str">
        <f t="shared" ref="N714:N777" si="74">IFERROR(IF(I714&lt;&gt;"",((ACOS((COS(RADIANS(J713))*COS(RADIANS(J714)))+(SIN(RADIANS(J713))*SIN(RADIANS(J714)))*COS(RADIANS(K714-K713)))*180/PI()*($X$4/(I714-I713))))*$X$5,""),"")</f>
        <v/>
      </c>
      <c r="O714" s="4"/>
    </row>
    <row r="715" spans="1:15" x14ac:dyDescent="0.25">
      <c r="A715" s="14"/>
      <c r="B715" s="14"/>
      <c r="C715" s="14"/>
      <c r="D715" s="5" t="str">
        <f t="shared" si="69"/>
        <v/>
      </c>
      <c r="E715" s="5" t="str">
        <f t="shared" si="70"/>
        <v/>
      </c>
      <c r="F715" s="5" t="str">
        <f t="shared" si="71"/>
        <v/>
      </c>
      <c r="G715" s="23"/>
      <c r="H715" s="66"/>
      <c r="I715" s="14"/>
      <c r="J715" s="14"/>
      <c r="K715" s="14"/>
      <c r="L715" s="5" t="str">
        <f t="shared" si="72"/>
        <v/>
      </c>
      <c r="M715" s="5" t="str">
        <f t="shared" si="73"/>
        <v/>
      </c>
      <c r="N715" s="5" t="str">
        <f t="shared" si="74"/>
        <v/>
      </c>
      <c r="O715" s="4"/>
    </row>
    <row r="716" spans="1:15" x14ac:dyDescent="0.25">
      <c r="A716" s="14"/>
      <c r="B716" s="14"/>
      <c r="C716" s="14"/>
      <c r="D716" s="5" t="str">
        <f t="shared" si="69"/>
        <v/>
      </c>
      <c r="E716" s="5" t="str">
        <f t="shared" si="70"/>
        <v/>
      </c>
      <c r="F716" s="5" t="str">
        <f t="shared" si="71"/>
        <v/>
      </c>
      <c r="G716" s="23"/>
      <c r="H716" s="66"/>
      <c r="I716" s="14"/>
      <c r="J716" s="14"/>
      <c r="K716" s="14"/>
      <c r="L716" s="5" t="str">
        <f t="shared" si="72"/>
        <v/>
      </c>
      <c r="M716" s="5" t="str">
        <f t="shared" si="73"/>
        <v/>
      </c>
      <c r="N716" s="5" t="str">
        <f t="shared" si="74"/>
        <v/>
      </c>
      <c r="O716" s="4"/>
    </row>
    <row r="717" spans="1:15" x14ac:dyDescent="0.25">
      <c r="A717" s="14"/>
      <c r="B717" s="14"/>
      <c r="C717" s="14"/>
      <c r="D717" s="5" t="str">
        <f t="shared" si="69"/>
        <v/>
      </c>
      <c r="E717" s="5" t="str">
        <f t="shared" si="70"/>
        <v/>
      </c>
      <c r="F717" s="5" t="str">
        <f t="shared" si="71"/>
        <v/>
      </c>
      <c r="G717" s="23"/>
      <c r="H717" s="66"/>
      <c r="I717" s="14"/>
      <c r="J717" s="14"/>
      <c r="K717" s="14"/>
      <c r="L717" s="5" t="str">
        <f t="shared" si="72"/>
        <v/>
      </c>
      <c r="M717" s="5" t="str">
        <f t="shared" si="73"/>
        <v/>
      </c>
      <c r="N717" s="5" t="str">
        <f t="shared" si="74"/>
        <v/>
      </c>
      <c r="O717" s="4"/>
    </row>
    <row r="718" spans="1:15" x14ac:dyDescent="0.25">
      <c r="A718" s="14"/>
      <c r="B718" s="14"/>
      <c r="C718" s="14"/>
      <c r="D718" s="5" t="str">
        <f t="shared" si="69"/>
        <v/>
      </c>
      <c r="E718" s="5" t="str">
        <f t="shared" si="70"/>
        <v/>
      </c>
      <c r="F718" s="5" t="str">
        <f t="shared" si="71"/>
        <v/>
      </c>
      <c r="G718" s="23"/>
      <c r="H718" s="66"/>
      <c r="I718" s="14"/>
      <c r="J718" s="14"/>
      <c r="K718" s="14"/>
      <c r="L718" s="5" t="str">
        <f t="shared" si="72"/>
        <v/>
      </c>
      <c r="M718" s="5" t="str">
        <f t="shared" si="73"/>
        <v/>
      </c>
      <c r="N718" s="5" t="str">
        <f t="shared" si="74"/>
        <v/>
      </c>
      <c r="O718" s="4"/>
    </row>
    <row r="719" spans="1:15" x14ac:dyDescent="0.25">
      <c r="A719" s="14"/>
      <c r="B719" s="14"/>
      <c r="C719" s="14"/>
      <c r="D719" s="5" t="str">
        <f t="shared" si="69"/>
        <v/>
      </c>
      <c r="E719" s="5" t="str">
        <f t="shared" si="70"/>
        <v/>
      </c>
      <c r="F719" s="5" t="str">
        <f t="shared" si="71"/>
        <v/>
      </c>
      <c r="G719" s="23"/>
      <c r="H719" s="66"/>
      <c r="I719" s="14"/>
      <c r="J719" s="14"/>
      <c r="K719" s="14"/>
      <c r="L719" s="5" t="str">
        <f t="shared" si="72"/>
        <v/>
      </c>
      <c r="M719" s="5" t="str">
        <f t="shared" si="73"/>
        <v/>
      </c>
      <c r="N719" s="5" t="str">
        <f t="shared" si="74"/>
        <v/>
      </c>
      <c r="O719" s="4"/>
    </row>
    <row r="720" spans="1:15" x14ac:dyDescent="0.25">
      <c r="A720" s="14"/>
      <c r="B720" s="14"/>
      <c r="C720" s="14"/>
      <c r="D720" s="5" t="str">
        <f t="shared" si="69"/>
        <v/>
      </c>
      <c r="E720" s="5" t="str">
        <f t="shared" si="70"/>
        <v/>
      </c>
      <c r="F720" s="5" t="str">
        <f t="shared" si="71"/>
        <v/>
      </c>
      <c r="G720" s="23"/>
      <c r="H720" s="66"/>
      <c r="I720" s="14"/>
      <c r="J720" s="14"/>
      <c r="K720" s="14"/>
      <c r="L720" s="5" t="str">
        <f t="shared" si="72"/>
        <v/>
      </c>
      <c r="M720" s="5" t="str">
        <f t="shared" si="73"/>
        <v/>
      </c>
      <c r="N720" s="5" t="str">
        <f t="shared" si="74"/>
        <v/>
      </c>
      <c r="O720" s="4"/>
    </row>
    <row r="721" spans="1:15" x14ac:dyDescent="0.25">
      <c r="A721" s="14"/>
      <c r="B721" s="14"/>
      <c r="C721" s="14"/>
      <c r="D721" s="5" t="str">
        <f t="shared" si="69"/>
        <v/>
      </c>
      <c r="E721" s="5" t="str">
        <f t="shared" si="70"/>
        <v/>
      </c>
      <c r="F721" s="5" t="str">
        <f t="shared" si="71"/>
        <v/>
      </c>
      <c r="G721" s="23"/>
      <c r="H721" s="66"/>
      <c r="I721" s="14"/>
      <c r="J721" s="14"/>
      <c r="K721" s="14"/>
      <c r="L721" s="5" t="str">
        <f t="shared" si="72"/>
        <v/>
      </c>
      <c r="M721" s="5" t="str">
        <f t="shared" si="73"/>
        <v/>
      </c>
      <c r="N721" s="5" t="str">
        <f t="shared" si="74"/>
        <v/>
      </c>
      <c r="O721" s="4"/>
    </row>
    <row r="722" spans="1:15" x14ac:dyDescent="0.25">
      <c r="A722" s="14"/>
      <c r="B722" s="14"/>
      <c r="C722" s="14"/>
      <c r="D722" s="5" t="str">
        <f t="shared" si="69"/>
        <v/>
      </c>
      <c r="E722" s="5" t="str">
        <f t="shared" si="70"/>
        <v/>
      </c>
      <c r="F722" s="5" t="str">
        <f t="shared" si="71"/>
        <v/>
      </c>
      <c r="G722" s="23"/>
      <c r="H722" s="66"/>
      <c r="I722" s="14"/>
      <c r="J722" s="14"/>
      <c r="K722" s="14"/>
      <c r="L722" s="5" t="str">
        <f t="shared" si="72"/>
        <v/>
      </c>
      <c r="M722" s="5" t="str">
        <f t="shared" si="73"/>
        <v/>
      </c>
      <c r="N722" s="5" t="str">
        <f t="shared" si="74"/>
        <v/>
      </c>
      <c r="O722" s="4"/>
    </row>
    <row r="723" spans="1:15" x14ac:dyDescent="0.25">
      <c r="A723" s="14"/>
      <c r="B723" s="14"/>
      <c r="C723" s="14"/>
      <c r="D723" s="5" t="str">
        <f t="shared" si="69"/>
        <v/>
      </c>
      <c r="E723" s="5" t="str">
        <f t="shared" si="70"/>
        <v/>
      </c>
      <c r="F723" s="5" t="str">
        <f t="shared" si="71"/>
        <v/>
      </c>
      <c r="G723" s="23"/>
      <c r="H723" s="66"/>
      <c r="I723" s="14"/>
      <c r="J723" s="14"/>
      <c r="K723" s="14"/>
      <c r="L723" s="5" t="str">
        <f t="shared" si="72"/>
        <v/>
      </c>
      <c r="M723" s="5" t="str">
        <f t="shared" si="73"/>
        <v/>
      </c>
      <c r="N723" s="5" t="str">
        <f t="shared" si="74"/>
        <v/>
      </c>
      <c r="O723" s="4"/>
    </row>
    <row r="724" spans="1:15" x14ac:dyDescent="0.25">
      <c r="A724" s="14"/>
      <c r="B724" s="14"/>
      <c r="C724" s="14"/>
      <c r="D724" s="5" t="str">
        <f t="shared" si="69"/>
        <v/>
      </c>
      <c r="E724" s="5" t="str">
        <f t="shared" si="70"/>
        <v/>
      </c>
      <c r="F724" s="5" t="str">
        <f t="shared" si="71"/>
        <v/>
      </c>
      <c r="G724" s="23"/>
      <c r="H724" s="66"/>
      <c r="I724" s="14"/>
      <c r="J724" s="14"/>
      <c r="K724" s="14"/>
      <c r="L724" s="5" t="str">
        <f t="shared" si="72"/>
        <v/>
      </c>
      <c r="M724" s="5" t="str">
        <f t="shared" si="73"/>
        <v/>
      </c>
      <c r="N724" s="5" t="str">
        <f t="shared" si="74"/>
        <v/>
      </c>
      <c r="O724" s="4"/>
    </row>
    <row r="725" spans="1:15" x14ac:dyDescent="0.25">
      <c r="A725" s="14"/>
      <c r="B725" s="14"/>
      <c r="C725" s="14"/>
      <c r="D725" s="5" t="str">
        <f t="shared" si="69"/>
        <v/>
      </c>
      <c r="E725" s="5" t="str">
        <f t="shared" si="70"/>
        <v/>
      </c>
      <c r="F725" s="5" t="str">
        <f t="shared" si="71"/>
        <v/>
      </c>
      <c r="G725" s="23"/>
      <c r="H725" s="66"/>
      <c r="I725" s="14"/>
      <c r="J725" s="14"/>
      <c r="K725" s="14"/>
      <c r="L725" s="5" t="str">
        <f t="shared" si="72"/>
        <v/>
      </c>
      <c r="M725" s="5" t="str">
        <f t="shared" si="73"/>
        <v/>
      </c>
      <c r="N725" s="5" t="str">
        <f t="shared" si="74"/>
        <v/>
      </c>
      <c r="O725" s="4"/>
    </row>
    <row r="726" spans="1:15" x14ac:dyDescent="0.25">
      <c r="A726" s="14"/>
      <c r="B726" s="14"/>
      <c r="C726" s="14"/>
      <c r="D726" s="5" t="str">
        <f t="shared" si="69"/>
        <v/>
      </c>
      <c r="E726" s="5" t="str">
        <f t="shared" si="70"/>
        <v/>
      </c>
      <c r="F726" s="5" t="str">
        <f t="shared" si="71"/>
        <v/>
      </c>
      <c r="G726" s="23"/>
      <c r="H726" s="66"/>
      <c r="I726" s="14"/>
      <c r="J726" s="14"/>
      <c r="K726" s="14"/>
      <c r="L726" s="5" t="str">
        <f t="shared" si="72"/>
        <v/>
      </c>
      <c r="M726" s="5" t="str">
        <f t="shared" si="73"/>
        <v/>
      </c>
      <c r="N726" s="5" t="str">
        <f t="shared" si="74"/>
        <v/>
      </c>
      <c r="O726" s="4"/>
    </row>
    <row r="727" spans="1:15" x14ac:dyDescent="0.25">
      <c r="A727" s="14"/>
      <c r="B727" s="14"/>
      <c r="C727" s="14"/>
      <c r="D727" s="5" t="str">
        <f t="shared" si="69"/>
        <v/>
      </c>
      <c r="E727" s="5" t="str">
        <f t="shared" si="70"/>
        <v/>
      </c>
      <c r="F727" s="5" t="str">
        <f t="shared" si="71"/>
        <v/>
      </c>
      <c r="G727" s="23"/>
      <c r="H727" s="66"/>
      <c r="I727" s="14"/>
      <c r="J727" s="14"/>
      <c r="K727" s="14"/>
      <c r="L727" s="5" t="str">
        <f t="shared" si="72"/>
        <v/>
      </c>
      <c r="M727" s="5" t="str">
        <f t="shared" si="73"/>
        <v/>
      </c>
      <c r="N727" s="5" t="str">
        <f t="shared" si="74"/>
        <v/>
      </c>
      <c r="O727" s="4"/>
    </row>
    <row r="728" spans="1:15" x14ac:dyDescent="0.25">
      <c r="A728" s="14"/>
      <c r="B728" s="14"/>
      <c r="C728" s="14"/>
      <c r="D728" s="5" t="str">
        <f t="shared" si="69"/>
        <v/>
      </c>
      <c r="E728" s="5" t="str">
        <f t="shared" si="70"/>
        <v/>
      </c>
      <c r="F728" s="5" t="str">
        <f t="shared" si="71"/>
        <v/>
      </c>
      <c r="G728" s="23"/>
      <c r="H728" s="66"/>
      <c r="I728" s="14"/>
      <c r="J728" s="14"/>
      <c r="K728" s="14"/>
      <c r="L728" s="5" t="str">
        <f t="shared" si="72"/>
        <v/>
      </c>
      <c r="M728" s="5" t="str">
        <f t="shared" si="73"/>
        <v/>
      </c>
      <c r="N728" s="5" t="str">
        <f t="shared" si="74"/>
        <v/>
      </c>
      <c r="O728" s="4"/>
    </row>
    <row r="729" spans="1:15" x14ac:dyDescent="0.25">
      <c r="A729" s="14"/>
      <c r="B729" s="14"/>
      <c r="C729" s="14"/>
      <c r="D729" s="5" t="str">
        <f t="shared" ref="D729:D792" si="75">IFERROR( IF(A729&lt;&gt;"",((B729-B728)*$X$4/(A729-A728))*$X$5,""),"")</f>
        <v/>
      </c>
      <c r="E729" s="5" t="str">
        <f t="shared" ref="E729:E792" si="76">IFERROR(IF(A729&lt;&gt;"",((C729-C728)*$X$4/(A729-A728))*$X$5,""),"")</f>
        <v/>
      </c>
      <c r="F729" s="5" t="str">
        <f t="shared" ref="F729:F792" si="77">IFERROR(IF(A729&lt;&gt;"",((ACOS((COS(RADIANS(B728))*COS(RADIANS(B729)))+(SIN(RADIANS(B728))*SIN(RADIANS(B729)))*COS(RADIANS(C729-C728)))*180/PI()*($X$4/(A729-A728))))*$X$5,""),"")</f>
        <v/>
      </c>
      <c r="G729" s="23"/>
      <c r="H729" s="66"/>
      <c r="I729" s="14"/>
      <c r="J729" s="14"/>
      <c r="K729" s="14"/>
      <c r="L729" s="5" t="str">
        <f t="shared" si="72"/>
        <v/>
      </c>
      <c r="M729" s="5" t="str">
        <f t="shared" si="73"/>
        <v/>
      </c>
      <c r="N729" s="5" t="str">
        <f t="shared" si="74"/>
        <v/>
      </c>
      <c r="O729" s="4"/>
    </row>
    <row r="730" spans="1:15" x14ac:dyDescent="0.25">
      <c r="A730" s="14"/>
      <c r="B730" s="14"/>
      <c r="C730" s="14"/>
      <c r="D730" s="5" t="str">
        <f t="shared" si="75"/>
        <v/>
      </c>
      <c r="E730" s="5" t="str">
        <f t="shared" si="76"/>
        <v/>
      </c>
      <c r="F730" s="5" t="str">
        <f t="shared" si="77"/>
        <v/>
      </c>
      <c r="G730" s="23"/>
      <c r="H730" s="66"/>
      <c r="I730" s="14"/>
      <c r="J730" s="14"/>
      <c r="K730" s="14"/>
      <c r="L730" s="5" t="str">
        <f t="shared" si="72"/>
        <v/>
      </c>
      <c r="M730" s="5" t="str">
        <f t="shared" si="73"/>
        <v/>
      </c>
      <c r="N730" s="5" t="str">
        <f t="shared" si="74"/>
        <v/>
      </c>
      <c r="O730" s="4"/>
    </row>
    <row r="731" spans="1:15" x14ac:dyDescent="0.25">
      <c r="A731" s="14"/>
      <c r="B731" s="14"/>
      <c r="C731" s="14"/>
      <c r="D731" s="5" t="str">
        <f t="shared" si="75"/>
        <v/>
      </c>
      <c r="E731" s="5" t="str">
        <f t="shared" si="76"/>
        <v/>
      </c>
      <c r="F731" s="5" t="str">
        <f t="shared" si="77"/>
        <v/>
      </c>
      <c r="G731" s="23"/>
      <c r="H731" s="66"/>
      <c r="I731" s="14"/>
      <c r="J731" s="14"/>
      <c r="K731" s="14"/>
      <c r="L731" s="5" t="str">
        <f t="shared" si="72"/>
        <v/>
      </c>
      <c r="M731" s="5" t="str">
        <f t="shared" si="73"/>
        <v/>
      </c>
      <c r="N731" s="5" t="str">
        <f t="shared" si="74"/>
        <v/>
      </c>
      <c r="O731" s="4"/>
    </row>
    <row r="732" spans="1:15" x14ac:dyDescent="0.25">
      <c r="A732" s="14"/>
      <c r="B732" s="14"/>
      <c r="C732" s="14"/>
      <c r="D732" s="5" t="str">
        <f t="shared" si="75"/>
        <v/>
      </c>
      <c r="E732" s="5" t="str">
        <f t="shared" si="76"/>
        <v/>
      </c>
      <c r="F732" s="5" t="str">
        <f t="shared" si="77"/>
        <v/>
      </c>
      <c r="G732" s="23"/>
      <c r="H732" s="66"/>
      <c r="I732" s="14"/>
      <c r="J732" s="14"/>
      <c r="K732" s="14"/>
      <c r="L732" s="5" t="str">
        <f t="shared" si="72"/>
        <v/>
      </c>
      <c r="M732" s="5" t="str">
        <f t="shared" si="73"/>
        <v/>
      </c>
      <c r="N732" s="5" t="str">
        <f t="shared" si="74"/>
        <v/>
      </c>
      <c r="O732" s="4"/>
    </row>
    <row r="733" spans="1:15" x14ac:dyDescent="0.25">
      <c r="A733" s="14"/>
      <c r="B733" s="14"/>
      <c r="C733" s="14"/>
      <c r="D733" s="5" t="str">
        <f t="shared" si="75"/>
        <v/>
      </c>
      <c r="E733" s="5" t="str">
        <f t="shared" si="76"/>
        <v/>
      </c>
      <c r="F733" s="5" t="str">
        <f t="shared" si="77"/>
        <v/>
      </c>
      <c r="G733" s="23"/>
      <c r="H733" s="66"/>
      <c r="I733" s="14"/>
      <c r="J733" s="14"/>
      <c r="K733" s="14"/>
      <c r="L733" s="5" t="str">
        <f t="shared" si="72"/>
        <v/>
      </c>
      <c r="M733" s="5" t="str">
        <f t="shared" si="73"/>
        <v/>
      </c>
      <c r="N733" s="5" t="str">
        <f t="shared" si="74"/>
        <v/>
      </c>
      <c r="O733" s="4"/>
    </row>
    <row r="734" spans="1:15" x14ac:dyDescent="0.25">
      <c r="A734" s="14"/>
      <c r="B734" s="14"/>
      <c r="C734" s="14"/>
      <c r="D734" s="5" t="str">
        <f t="shared" si="75"/>
        <v/>
      </c>
      <c r="E734" s="5" t="str">
        <f t="shared" si="76"/>
        <v/>
      </c>
      <c r="F734" s="5" t="str">
        <f t="shared" si="77"/>
        <v/>
      </c>
      <c r="G734" s="23"/>
      <c r="H734" s="66"/>
      <c r="I734" s="14"/>
      <c r="J734" s="14"/>
      <c r="K734" s="14"/>
      <c r="L734" s="5" t="str">
        <f t="shared" si="72"/>
        <v/>
      </c>
      <c r="M734" s="5" t="str">
        <f t="shared" si="73"/>
        <v/>
      </c>
      <c r="N734" s="5" t="str">
        <f t="shared" si="74"/>
        <v/>
      </c>
      <c r="O734" s="4"/>
    </row>
    <row r="735" spans="1:15" x14ac:dyDescent="0.25">
      <c r="A735" s="14"/>
      <c r="B735" s="14"/>
      <c r="C735" s="14"/>
      <c r="D735" s="5" t="str">
        <f t="shared" si="75"/>
        <v/>
      </c>
      <c r="E735" s="5" t="str">
        <f t="shared" si="76"/>
        <v/>
      </c>
      <c r="F735" s="5" t="str">
        <f t="shared" si="77"/>
        <v/>
      </c>
      <c r="G735" s="23"/>
      <c r="H735" s="66"/>
      <c r="I735" s="14"/>
      <c r="J735" s="14"/>
      <c r="K735" s="14"/>
      <c r="L735" s="5" t="str">
        <f t="shared" si="72"/>
        <v/>
      </c>
      <c r="M735" s="5" t="str">
        <f t="shared" si="73"/>
        <v/>
      </c>
      <c r="N735" s="5" t="str">
        <f t="shared" si="74"/>
        <v/>
      </c>
      <c r="O735" s="4"/>
    </row>
    <row r="736" spans="1:15" x14ac:dyDescent="0.25">
      <c r="A736" s="14"/>
      <c r="B736" s="14"/>
      <c r="C736" s="14"/>
      <c r="D736" s="5" t="str">
        <f t="shared" si="75"/>
        <v/>
      </c>
      <c r="E736" s="5" t="str">
        <f t="shared" si="76"/>
        <v/>
      </c>
      <c r="F736" s="5" t="str">
        <f t="shared" si="77"/>
        <v/>
      </c>
      <c r="G736" s="23"/>
      <c r="H736" s="66"/>
      <c r="I736" s="14"/>
      <c r="J736" s="14"/>
      <c r="K736" s="14"/>
      <c r="L736" s="5" t="str">
        <f t="shared" si="72"/>
        <v/>
      </c>
      <c r="M736" s="5" t="str">
        <f t="shared" si="73"/>
        <v/>
      </c>
      <c r="N736" s="5" t="str">
        <f t="shared" si="74"/>
        <v/>
      </c>
      <c r="O736" s="4"/>
    </row>
    <row r="737" spans="1:15" x14ac:dyDescent="0.25">
      <c r="A737" s="14"/>
      <c r="B737" s="14"/>
      <c r="C737" s="14"/>
      <c r="D737" s="5" t="str">
        <f t="shared" si="75"/>
        <v/>
      </c>
      <c r="E737" s="5" t="str">
        <f t="shared" si="76"/>
        <v/>
      </c>
      <c r="F737" s="5" t="str">
        <f t="shared" si="77"/>
        <v/>
      </c>
      <c r="G737" s="23"/>
      <c r="H737" s="66"/>
      <c r="I737" s="14"/>
      <c r="J737" s="14"/>
      <c r="K737" s="14"/>
      <c r="L737" s="5" t="str">
        <f t="shared" si="72"/>
        <v/>
      </c>
      <c r="M737" s="5" t="str">
        <f t="shared" si="73"/>
        <v/>
      </c>
      <c r="N737" s="5" t="str">
        <f t="shared" si="74"/>
        <v/>
      </c>
      <c r="O737" s="4"/>
    </row>
    <row r="738" spans="1:15" x14ac:dyDescent="0.25">
      <c r="A738" s="14"/>
      <c r="B738" s="14"/>
      <c r="C738" s="14"/>
      <c r="D738" s="5" t="str">
        <f t="shared" si="75"/>
        <v/>
      </c>
      <c r="E738" s="5" t="str">
        <f t="shared" si="76"/>
        <v/>
      </c>
      <c r="F738" s="5" t="str">
        <f t="shared" si="77"/>
        <v/>
      </c>
      <c r="G738" s="23"/>
      <c r="H738" s="66"/>
      <c r="I738" s="14"/>
      <c r="J738" s="14"/>
      <c r="K738" s="14"/>
      <c r="L738" s="5" t="str">
        <f t="shared" si="72"/>
        <v/>
      </c>
      <c r="M738" s="5" t="str">
        <f t="shared" si="73"/>
        <v/>
      </c>
      <c r="N738" s="5" t="str">
        <f t="shared" si="74"/>
        <v/>
      </c>
      <c r="O738" s="4"/>
    </row>
    <row r="739" spans="1:15" x14ac:dyDescent="0.25">
      <c r="A739" s="14"/>
      <c r="B739" s="14"/>
      <c r="C739" s="14"/>
      <c r="D739" s="5" t="str">
        <f t="shared" si="75"/>
        <v/>
      </c>
      <c r="E739" s="5" t="str">
        <f t="shared" si="76"/>
        <v/>
      </c>
      <c r="F739" s="5" t="str">
        <f t="shared" si="77"/>
        <v/>
      </c>
      <c r="G739" s="23"/>
      <c r="H739" s="66"/>
      <c r="I739" s="14"/>
      <c r="J739" s="14"/>
      <c r="K739" s="14"/>
      <c r="L739" s="5" t="str">
        <f t="shared" si="72"/>
        <v/>
      </c>
      <c r="M739" s="5" t="str">
        <f t="shared" si="73"/>
        <v/>
      </c>
      <c r="N739" s="5" t="str">
        <f t="shared" si="74"/>
        <v/>
      </c>
      <c r="O739" s="4"/>
    </row>
    <row r="740" spans="1:15" x14ac:dyDescent="0.25">
      <c r="A740" s="14"/>
      <c r="B740" s="14"/>
      <c r="C740" s="14"/>
      <c r="D740" s="5" t="str">
        <f t="shared" si="75"/>
        <v/>
      </c>
      <c r="E740" s="5" t="str">
        <f t="shared" si="76"/>
        <v/>
      </c>
      <c r="F740" s="5" t="str">
        <f t="shared" si="77"/>
        <v/>
      </c>
      <c r="G740" s="23"/>
      <c r="H740" s="66"/>
      <c r="I740" s="14"/>
      <c r="J740" s="14"/>
      <c r="K740" s="14"/>
      <c r="L740" s="5" t="str">
        <f t="shared" si="72"/>
        <v/>
      </c>
      <c r="M740" s="5" t="str">
        <f t="shared" si="73"/>
        <v/>
      </c>
      <c r="N740" s="5" t="str">
        <f t="shared" si="74"/>
        <v/>
      </c>
      <c r="O740" s="4"/>
    </row>
    <row r="741" spans="1:15" x14ac:dyDescent="0.25">
      <c r="A741" s="14"/>
      <c r="B741" s="14"/>
      <c r="C741" s="14"/>
      <c r="D741" s="5" t="str">
        <f t="shared" si="75"/>
        <v/>
      </c>
      <c r="E741" s="5" t="str">
        <f t="shared" si="76"/>
        <v/>
      </c>
      <c r="F741" s="5" t="str">
        <f t="shared" si="77"/>
        <v/>
      </c>
      <c r="G741" s="23"/>
      <c r="H741" s="66"/>
      <c r="I741" s="14"/>
      <c r="J741" s="14"/>
      <c r="K741" s="14"/>
      <c r="L741" s="5" t="str">
        <f t="shared" si="72"/>
        <v/>
      </c>
      <c r="M741" s="5" t="str">
        <f t="shared" si="73"/>
        <v/>
      </c>
      <c r="N741" s="5" t="str">
        <f t="shared" si="74"/>
        <v/>
      </c>
      <c r="O741" s="4"/>
    </row>
    <row r="742" spans="1:15" x14ac:dyDescent="0.25">
      <c r="A742" s="14"/>
      <c r="B742" s="14"/>
      <c r="C742" s="14"/>
      <c r="D742" s="5" t="str">
        <f t="shared" si="75"/>
        <v/>
      </c>
      <c r="E742" s="5" t="str">
        <f t="shared" si="76"/>
        <v/>
      </c>
      <c r="F742" s="5" t="str">
        <f t="shared" si="77"/>
        <v/>
      </c>
      <c r="G742" s="23"/>
      <c r="H742" s="66"/>
      <c r="I742" s="14"/>
      <c r="J742" s="14"/>
      <c r="K742" s="14"/>
      <c r="L742" s="5" t="str">
        <f t="shared" si="72"/>
        <v/>
      </c>
      <c r="M742" s="5" t="str">
        <f t="shared" si="73"/>
        <v/>
      </c>
      <c r="N742" s="5" t="str">
        <f t="shared" si="74"/>
        <v/>
      </c>
      <c r="O742" s="4"/>
    </row>
    <row r="743" spans="1:15" x14ac:dyDescent="0.25">
      <c r="A743" s="14"/>
      <c r="B743" s="14"/>
      <c r="C743" s="14"/>
      <c r="D743" s="5" t="str">
        <f t="shared" si="75"/>
        <v/>
      </c>
      <c r="E743" s="5" t="str">
        <f t="shared" si="76"/>
        <v/>
      </c>
      <c r="F743" s="5" t="str">
        <f t="shared" si="77"/>
        <v/>
      </c>
      <c r="G743" s="23"/>
      <c r="H743" s="66"/>
      <c r="I743" s="14"/>
      <c r="J743" s="14"/>
      <c r="K743" s="14"/>
      <c r="L743" s="5" t="str">
        <f t="shared" si="72"/>
        <v/>
      </c>
      <c r="M743" s="5" t="str">
        <f t="shared" si="73"/>
        <v/>
      </c>
      <c r="N743" s="5" t="str">
        <f t="shared" si="74"/>
        <v/>
      </c>
      <c r="O743" s="4"/>
    </row>
    <row r="744" spans="1:15" x14ac:dyDescent="0.25">
      <c r="A744" s="14"/>
      <c r="B744" s="14"/>
      <c r="C744" s="14"/>
      <c r="D744" s="5" t="str">
        <f t="shared" si="75"/>
        <v/>
      </c>
      <c r="E744" s="5" t="str">
        <f t="shared" si="76"/>
        <v/>
      </c>
      <c r="F744" s="5" t="str">
        <f t="shared" si="77"/>
        <v/>
      </c>
      <c r="G744" s="23"/>
      <c r="H744" s="66"/>
      <c r="I744" s="14"/>
      <c r="J744" s="14"/>
      <c r="K744" s="14"/>
      <c r="L744" s="5" t="str">
        <f t="shared" si="72"/>
        <v/>
      </c>
      <c r="M744" s="5" t="str">
        <f t="shared" si="73"/>
        <v/>
      </c>
      <c r="N744" s="5" t="str">
        <f t="shared" si="74"/>
        <v/>
      </c>
      <c r="O744" s="4"/>
    </row>
    <row r="745" spans="1:15" x14ac:dyDescent="0.25">
      <c r="A745" s="14"/>
      <c r="B745" s="14"/>
      <c r="C745" s="14"/>
      <c r="D745" s="5" t="str">
        <f t="shared" si="75"/>
        <v/>
      </c>
      <c r="E745" s="5" t="str">
        <f t="shared" si="76"/>
        <v/>
      </c>
      <c r="F745" s="5" t="str">
        <f t="shared" si="77"/>
        <v/>
      </c>
      <c r="G745" s="23"/>
      <c r="H745" s="66"/>
      <c r="I745" s="14"/>
      <c r="J745" s="14"/>
      <c r="K745" s="14"/>
      <c r="L745" s="5" t="str">
        <f t="shared" si="72"/>
        <v/>
      </c>
      <c r="M745" s="5" t="str">
        <f t="shared" si="73"/>
        <v/>
      </c>
      <c r="N745" s="5" t="str">
        <f t="shared" si="74"/>
        <v/>
      </c>
      <c r="O745" s="4"/>
    </row>
    <row r="746" spans="1:15" x14ac:dyDescent="0.25">
      <c r="A746" s="14"/>
      <c r="B746" s="14"/>
      <c r="C746" s="14"/>
      <c r="D746" s="5" t="str">
        <f t="shared" si="75"/>
        <v/>
      </c>
      <c r="E746" s="5" t="str">
        <f t="shared" si="76"/>
        <v/>
      </c>
      <c r="F746" s="5" t="str">
        <f t="shared" si="77"/>
        <v/>
      </c>
      <c r="G746" s="23"/>
      <c r="H746" s="66"/>
      <c r="I746" s="14"/>
      <c r="J746" s="14"/>
      <c r="K746" s="14"/>
      <c r="L746" s="5" t="str">
        <f t="shared" si="72"/>
        <v/>
      </c>
      <c r="M746" s="5" t="str">
        <f t="shared" si="73"/>
        <v/>
      </c>
      <c r="N746" s="5" t="str">
        <f t="shared" si="74"/>
        <v/>
      </c>
      <c r="O746" s="4"/>
    </row>
    <row r="747" spans="1:15" x14ac:dyDescent="0.25">
      <c r="A747" s="14"/>
      <c r="B747" s="14"/>
      <c r="C747" s="14"/>
      <c r="D747" s="5" t="str">
        <f t="shared" si="75"/>
        <v/>
      </c>
      <c r="E747" s="5" t="str">
        <f t="shared" si="76"/>
        <v/>
      </c>
      <c r="F747" s="5" t="str">
        <f t="shared" si="77"/>
        <v/>
      </c>
      <c r="G747" s="23"/>
      <c r="H747" s="66"/>
      <c r="I747" s="14"/>
      <c r="J747" s="14"/>
      <c r="K747" s="14"/>
      <c r="L747" s="5" t="str">
        <f t="shared" si="72"/>
        <v/>
      </c>
      <c r="M747" s="5" t="str">
        <f t="shared" si="73"/>
        <v/>
      </c>
      <c r="N747" s="5" t="str">
        <f t="shared" si="74"/>
        <v/>
      </c>
      <c r="O747" s="4"/>
    </row>
    <row r="748" spans="1:15" x14ac:dyDescent="0.25">
      <c r="A748" s="14"/>
      <c r="B748" s="14"/>
      <c r="C748" s="14"/>
      <c r="D748" s="5" t="str">
        <f t="shared" si="75"/>
        <v/>
      </c>
      <c r="E748" s="5" t="str">
        <f t="shared" si="76"/>
        <v/>
      </c>
      <c r="F748" s="5" t="str">
        <f t="shared" si="77"/>
        <v/>
      </c>
      <c r="G748" s="23"/>
      <c r="H748" s="66"/>
      <c r="I748" s="14"/>
      <c r="J748" s="14"/>
      <c r="K748" s="14"/>
      <c r="L748" s="5" t="str">
        <f t="shared" si="72"/>
        <v/>
      </c>
      <c r="M748" s="5" t="str">
        <f t="shared" si="73"/>
        <v/>
      </c>
      <c r="N748" s="5" t="str">
        <f t="shared" si="74"/>
        <v/>
      </c>
      <c r="O748" s="4"/>
    </row>
    <row r="749" spans="1:15" x14ac:dyDescent="0.25">
      <c r="A749" s="14"/>
      <c r="B749" s="14"/>
      <c r="C749" s="14"/>
      <c r="D749" s="5" t="str">
        <f t="shared" si="75"/>
        <v/>
      </c>
      <c r="E749" s="5" t="str">
        <f t="shared" si="76"/>
        <v/>
      </c>
      <c r="F749" s="5" t="str">
        <f t="shared" si="77"/>
        <v/>
      </c>
      <c r="G749" s="23"/>
      <c r="H749" s="66"/>
      <c r="I749" s="14"/>
      <c r="J749" s="14"/>
      <c r="K749" s="14"/>
      <c r="L749" s="5" t="str">
        <f t="shared" si="72"/>
        <v/>
      </c>
      <c r="M749" s="5" t="str">
        <f t="shared" si="73"/>
        <v/>
      </c>
      <c r="N749" s="5" t="str">
        <f t="shared" si="74"/>
        <v/>
      </c>
      <c r="O749" s="4"/>
    </row>
    <row r="750" spans="1:15" x14ac:dyDescent="0.25">
      <c r="A750" s="14"/>
      <c r="B750" s="14"/>
      <c r="C750" s="14"/>
      <c r="D750" s="5" t="str">
        <f t="shared" si="75"/>
        <v/>
      </c>
      <c r="E750" s="5" t="str">
        <f t="shared" si="76"/>
        <v/>
      </c>
      <c r="F750" s="5" t="str">
        <f t="shared" si="77"/>
        <v/>
      </c>
      <c r="G750" s="23"/>
      <c r="H750" s="66"/>
      <c r="I750" s="14"/>
      <c r="J750" s="14"/>
      <c r="K750" s="14"/>
      <c r="L750" s="5" t="str">
        <f t="shared" si="72"/>
        <v/>
      </c>
      <c r="M750" s="5" t="str">
        <f t="shared" si="73"/>
        <v/>
      </c>
      <c r="N750" s="5" t="str">
        <f t="shared" si="74"/>
        <v/>
      </c>
      <c r="O750" s="4"/>
    </row>
    <row r="751" spans="1:15" x14ac:dyDescent="0.25">
      <c r="A751" s="14"/>
      <c r="B751" s="14"/>
      <c r="C751" s="14"/>
      <c r="D751" s="5" t="str">
        <f t="shared" si="75"/>
        <v/>
      </c>
      <c r="E751" s="5" t="str">
        <f t="shared" si="76"/>
        <v/>
      </c>
      <c r="F751" s="5" t="str">
        <f t="shared" si="77"/>
        <v/>
      </c>
      <c r="G751" s="23"/>
      <c r="H751" s="66"/>
      <c r="I751" s="14"/>
      <c r="J751" s="14"/>
      <c r="K751" s="14"/>
      <c r="L751" s="5" t="str">
        <f t="shared" si="72"/>
        <v/>
      </c>
      <c r="M751" s="5" t="str">
        <f t="shared" si="73"/>
        <v/>
      </c>
      <c r="N751" s="5" t="str">
        <f t="shared" si="74"/>
        <v/>
      </c>
      <c r="O751" s="4"/>
    </row>
    <row r="752" spans="1:15" x14ac:dyDescent="0.25">
      <c r="A752" s="14"/>
      <c r="B752" s="14"/>
      <c r="C752" s="14"/>
      <c r="D752" s="5" t="str">
        <f t="shared" si="75"/>
        <v/>
      </c>
      <c r="E752" s="5" t="str">
        <f t="shared" si="76"/>
        <v/>
      </c>
      <c r="F752" s="5" t="str">
        <f t="shared" si="77"/>
        <v/>
      </c>
      <c r="G752" s="23"/>
      <c r="H752" s="66"/>
      <c r="I752" s="14"/>
      <c r="J752" s="14"/>
      <c r="K752" s="14"/>
      <c r="L752" s="5" t="str">
        <f t="shared" si="72"/>
        <v/>
      </c>
      <c r="M752" s="5" t="str">
        <f t="shared" si="73"/>
        <v/>
      </c>
      <c r="N752" s="5" t="str">
        <f t="shared" si="74"/>
        <v/>
      </c>
      <c r="O752" s="4"/>
    </row>
    <row r="753" spans="1:15" x14ac:dyDescent="0.25">
      <c r="A753" s="14"/>
      <c r="B753" s="14"/>
      <c r="C753" s="14"/>
      <c r="D753" s="5" t="str">
        <f t="shared" si="75"/>
        <v/>
      </c>
      <c r="E753" s="5" t="str">
        <f t="shared" si="76"/>
        <v/>
      </c>
      <c r="F753" s="5" t="str">
        <f t="shared" si="77"/>
        <v/>
      </c>
      <c r="G753" s="23"/>
      <c r="H753" s="66"/>
      <c r="I753" s="14"/>
      <c r="J753" s="14"/>
      <c r="K753" s="14"/>
      <c r="L753" s="5" t="str">
        <f t="shared" si="72"/>
        <v/>
      </c>
      <c r="M753" s="5" t="str">
        <f t="shared" si="73"/>
        <v/>
      </c>
      <c r="N753" s="5" t="str">
        <f t="shared" si="74"/>
        <v/>
      </c>
      <c r="O753" s="4"/>
    </row>
    <row r="754" spans="1:15" x14ac:dyDescent="0.25">
      <c r="A754" s="14"/>
      <c r="B754" s="14"/>
      <c r="C754" s="14"/>
      <c r="D754" s="5" t="str">
        <f t="shared" si="75"/>
        <v/>
      </c>
      <c r="E754" s="5" t="str">
        <f t="shared" si="76"/>
        <v/>
      </c>
      <c r="F754" s="5" t="str">
        <f t="shared" si="77"/>
        <v/>
      </c>
      <c r="G754" s="23"/>
      <c r="H754" s="66"/>
      <c r="I754" s="14"/>
      <c r="J754" s="14"/>
      <c r="K754" s="14"/>
      <c r="L754" s="5" t="str">
        <f t="shared" si="72"/>
        <v/>
      </c>
      <c r="M754" s="5" t="str">
        <f t="shared" si="73"/>
        <v/>
      </c>
      <c r="N754" s="5" t="str">
        <f t="shared" si="74"/>
        <v/>
      </c>
      <c r="O754" s="4"/>
    </row>
    <row r="755" spans="1:15" x14ac:dyDescent="0.25">
      <c r="A755" s="14"/>
      <c r="B755" s="14"/>
      <c r="C755" s="14"/>
      <c r="D755" s="5" t="str">
        <f t="shared" si="75"/>
        <v/>
      </c>
      <c r="E755" s="5" t="str">
        <f t="shared" si="76"/>
        <v/>
      </c>
      <c r="F755" s="5" t="str">
        <f t="shared" si="77"/>
        <v/>
      </c>
      <c r="G755" s="23"/>
      <c r="H755" s="66"/>
      <c r="I755" s="14"/>
      <c r="J755" s="14"/>
      <c r="K755" s="14"/>
      <c r="L755" s="5" t="str">
        <f t="shared" si="72"/>
        <v/>
      </c>
      <c r="M755" s="5" t="str">
        <f t="shared" si="73"/>
        <v/>
      </c>
      <c r="N755" s="5" t="str">
        <f t="shared" si="74"/>
        <v/>
      </c>
      <c r="O755" s="4"/>
    </row>
    <row r="756" spans="1:15" x14ac:dyDescent="0.25">
      <c r="A756" s="14"/>
      <c r="B756" s="14"/>
      <c r="C756" s="14"/>
      <c r="D756" s="5" t="str">
        <f t="shared" si="75"/>
        <v/>
      </c>
      <c r="E756" s="5" t="str">
        <f t="shared" si="76"/>
        <v/>
      </c>
      <c r="F756" s="5" t="str">
        <f t="shared" si="77"/>
        <v/>
      </c>
      <c r="G756" s="23"/>
      <c r="H756" s="66"/>
      <c r="I756" s="14"/>
      <c r="J756" s="14"/>
      <c r="K756" s="14"/>
      <c r="L756" s="5" t="str">
        <f t="shared" si="72"/>
        <v/>
      </c>
      <c r="M756" s="5" t="str">
        <f t="shared" si="73"/>
        <v/>
      </c>
      <c r="N756" s="5" t="str">
        <f t="shared" si="74"/>
        <v/>
      </c>
      <c r="O756" s="4"/>
    </row>
    <row r="757" spans="1:15" x14ac:dyDescent="0.25">
      <c r="A757" s="14"/>
      <c r="B757" s="14"/>
      <c r="C757" s="14"/>
      <c r="D757" s="5" t="str">
        <f t="shared" si="75"/>
        <v/>
      </c>
      <c r="E757" s="5" t="str">
        <f t="shared" si="76"/>
        <v/>
      </c>
      <c r="F757" s="5" t="str">
        <f t="shared" si="77"/>
        <v/>
      </c>
      <c r="G757" s="23"/>
      <c r="H757" s="66"/>
      <c r="I757" s="14"/>
      <c r="J757" s="14"/>
      <c r="K757" s="14"/>
      <c r="L757" s="5" t="str">
        <f t="shared" si="72"/>
        <v/>
      </c>
      <c r="M757" s="5" t="str">
        <f t="shared" si="73"/>
        <v/>
      </c>
      <c r="N757" s="5" t="str">
        <f t="shared" si="74"/>
        <v/>
      </c>
      <c r="O757" s="4"/>
    </row>
    <row r="758" spans="1:15" x14ac:dyDescent="0.25">
      <c r="A758" s="14"/>
      <c r="B758" s="14"/>
      <c r="C758" s="14"/>
      <c r="D758" s="5" t="str">
        <f t="shared" si="75"/>
        <v/>
      </c>
      <c r="E758" s="5" t="str">
        <f t="shared" si="76"/>
        <v/>
      </c>
      <c r="F758" s="5" t="str">
        <f t="shared" si="77"/>
        <v/>
      </c>
      <c r="G758" s="23"/>
      <c r="H758" s="66"/>
      <c r="I758" s="14"/>
      <c r="J758" s="14"/>
      <c r="K758" s="14"/>
      <c r="L758" s="5" t="str">
        <f t="shared" si="72"/>
        <v/>
      </c>
      <c r="M758" s="5" t="str">
        <f t="shared" si="73"/>
        <v/>
      </c>
      <c r="N758" s="5" t="str">
        <f t="shared" si="74"/>
        <v/>
      </c>
      <c r="O758" s="4"/>
    </row>
    <row r="759" spans="1:15" x14ac:dyDescent="0.25">
      <c r="A759" s="14"/>
      <c r="B759" s="14"/>
      <c r="C759" s="14"/>
      <c r="D759" s="5" t="str">
        <f t="shared" si="75"/>
        <v/>
      </c>
      <c r="E759" s="5" t="str">
        <f t="shared" si="76"/>
        <v/>
      </c>
      <c r="F759" s="5" t="str">
        <f t="shared" si="77"/>
        <v/>
      </c>
      <c r="G759" s="23"/>
      <c r="H759" s="66"/>
      <c r="I759" s="14"/>
      <c r="J759" s="14"/>
      <c r="K759" s="14"/>
      <c r="L759" s="5" t="str">
        <f t="shared" si="72"/>
        <v/>
      </c>
      <c r="M759" s="5" t="str">
        <f t="shared" si="73"/>
        <v/>
      </c>
      <c r="N759" s="5" t="str">
        <f t="shared" si="74"/>
        <v/>
      </c>
      <c r="O759" s="4"/>
    </row>
    <row r="760" spans="1:15" x14ac:dyDescent="0.25">
      <c r="A760" s="14"/>
      <c r="B760" s="14"/>
      <c r="C760" s="14"/>
      <c r="D760" s="5" t="str">
        <f t="shared" si="75"/>
        <v/>
      </c>
      <c r="E760" s="5" t="str">
        <f t="shared" si="76"/>
        <v/>
      </c>
      <c r="F760" s="5" t="str">
        <f t="shared" si="77"/>
        <v/>
      </c>
      <c r="G760" s="23"/>
      <c r="H760" s="66"/>
      <c r="I760" s="14"/>
      <c r="J760" s="14"/>
      <c r="K760" s="14"/>
      <c r="L760" s="5" t="str">
        <f t="shared" si="72"/>
        <v/>
      </c>
      <c r="M760" s="5" t="str">
        <f t="shared" si="73"/>
        <v/>
      </c>
      <c r="N760" s="5" t="str">
        <f t="shared" si="74"/>
        <v/>
      </c>
      <c r="O760" s="4"/>
    </row>
    <row r="761" spans="1:15" x14ac:dyDescent="0.25">
      <c r="A761" s="14"/>
      <c r="B761" s="14"/>
      <c r="C761" s="14"/>
      <c r="D761" s="5" t="str">
        <f t="shared" si="75"/>
        <v/>
      </c>
      <c r="E761" s="5" t="str">
        <f t="shared" si="76"/>
        <v/>
      </c>
      <c r="F761" s="5" t="str">
        <f t="shared" si="77"/>
        <v/>
      </c>
      <c r="G761" s="23"/>
      <c r="H761" s="66"/>
      <c r="I761" s="14"/>
      <c r="J761" s="14"/>
      <c r="K761" s="14"/>
      <c r="L761" s="5" t="str">
        <f t="shared" si="72"/>
        <v/>
      </c>
      <c r="M761" s="5" t="str">
        <f t="shared" si="73"/>
        <v/>
      </c>
      <c r="N761" s="5" t="str">
        <f t="shared" si="74"/>
        <v/>
      </c>
      <c r="O761" s="4"/>
    </row>
    <row r="762" spans="1:15" x14ac:dyDescent="0.25">
      <c r="A762" s="14"/>
      <c r="B762" s="14"/>
      <c r="C762" s="14"/>
      <c r="D762" s="5" t="str">
        <f t="shared" si="75"/>
        <v/>
      </c>
      <c r="E762" s="5" t="str">
        <f t="shared" si="76"/>
        <v/>
      </c>
      <c r="F762" s="5" t="str">
        <f t="shared" si="77"/>
        <v/>
      </c>
      <c r="G762" s="23"/>
      <c r="H762" s="66"/>
      <c r="I762" s="14"/>
      <c r="J762" s="14"/>
      <c r="K762" s="14"/>
      <c r="L762" s="5" t="str">
        <f t="shared" si="72"/>
        <v/>
      </c>
      <c r="M762" s="5" t="str">
        <f t="shared" si="73"/>
        <v/>
      </c>
      <c r="N762" s="5" t="str">
        <f t="shared" si="74"/>
        <v/>
      </c>
      <c r="O762" s="4"/>
    </row>
    <row r="763" spans="1:15" x14ac:dyDescent="0.25">
      <c r="A763" s="14"/>
      <c r="B763" s="14"/>
      <c r="C763" s="14"/>
      <c r="D763" s="5" t="str">
        <f t="shared" si="75"/>
        <v/>
      </c>
      <c r="E763" s="5" t="str">
        <f t="shared" si="76"/>
        <v/>
      </c>
      <c r="F763" s="5" t="str">
        <f t="shared" si="77"/>
        <v/>
      </c>
      <c r="G763" s="23"/>
      <c r="H763" s="66"/>
      <c r="I763" s="14"/>
      <c r="J763" s="14"/>
      <c r="K763" s="14"/>
      <c r="L763" s="5" t="str">
        <f t="shared" si="72"/>
        <v/>
      </c>
      <c r="M763" s="5" t="str">
        <f t="shared" si="73"/>
        <v/>
      </c>
      <c r="N763" s="5" t="str">
        <f t="shared" si="74"/>
        <v/>
      </c>
      <c r="O763" s="4"/>
    </row>
    <row r="764" spans="1:15" x14ac:dyDescent="0.25">
      <c r="A764" s="14"/>
      <c r="B764" s="14"/>
      <c r="C764" s="14"/>
      <c r="D764" s="5" t="str">
        <f t="shared" si="75"/>
        <v/>
      </c>
      <c r="E764" s="5" t="str">
        <f t="shared" si="76"/>
        <v/>
      </c>
      <c r="F764" s="5" t="str">
        <f t="shared" si="77"/>
        <v/>
      </c>
      <c r="G764" s="23"/>
      <c r="H764" s="66"/>
      <c r="I764" s="14"/>
      <c r="J764" s="14"/>
      <c r="K764" s="14"/>
      <c r="L764" s="5" t="str">
        <f t="shared" si="72"/>
        <v/>
      </c>
      <c r="M764" s="5" t="str">
        <f t="shared" si="73"/>
        <v/>
      </c>
      <c r="N764" s="5" t="str">
        <f t="shared" si="74"/>
        <v/>
      </c>
      <c r="O764" s="4"/>
    </row>
    <row r="765" spans="1:15" x14ac:dyDescent="0.25">
      <c r="A765" s="14"/>
      <c r="B765" s="14"/>
      <c r="C765" s="14"/>
      <c r="D765" s="5" t="str">
        <f t="shared" si="75"/>
        <v/>
      </c>
      <c r="E765" s="5" t="str">
        <f t="shared" si="76"/>
        <v/>
      </c>
      <c r="F765" s="5" t="str">
        <f t="shared" si="77"/>
        <v/>
      </c>
      <c r="G765" s="23"/>
      <c r="H765" s="66"/>
      <c r="I765" s="14"/>
      <c r="J765" s="14"/>
      <c r="K765" s="14"/>
      <c r="L765" s="5" t="str">
        <f t="shared" si="72"/>
        <v/>
      </c>
      <c r="M765" s="5" t="str">
        <f t="shared" si="73"/>
        <v/>
      </c>
      <c r="N765" s="5" t="str">
        <f t="shared" si="74"/>
        <v/>
      </c>
      <c r="O765" s="4"/>
    </row>
    <row r="766" spans="1:15" x14ac:dyDescent="0.25">
      <c r="A766" s="14"/>
      <c r="B766" s="14"/>
      <c r="C766" s="14"/>
      <c r="D766" s="5" t="str">
        <f t="shared" si="75"/>
        <v/>
      </c>
      <c r="E766" s="5" t="str">
        <f t="shared" si="76"/>
        <v/>
      </c>
      <c r="F766" s="5" t="str">
        <f t="shared" si="77"/>
        <v/>
      </c>
      <c r="G766" s="23"/>
      <c r="H766" s="66"/>
      <c r="I766" s="14"/>
      <c r="J766" s="14"/>
      <c r="K766" s="14"/>
      <c r="L766" s="5" t="str">
        <f t="shared" si="72"/>
        <v/>
      </c>
      <c r="M766" s="5" t="str">
        <f t="shared" si="73"/>
        <v/>
      </c>
      <c r="N766" s="5" t="str">
        <f t="shared" si="74"/>
        <v/>
      </c>
      <c r="O766" s="4"/>
    </row>
    <row r="767" spans="1:15" x14ac:dyDescent="0.25">
      <c r="A767" s="14"/>
      <c r="B767" s="14"/>
      <c r="C767" s="14"/>
      <c r="D767" s="5" t="str">
        <f t="shared" si="75"/>
        <v/>
      </c>
      <c r="E767" s="5" t="str">
        <f t="shared" si="76"/>
        <v/>
      </c>
      <c r="F767" s="5" t="str">
        <f t="shared" si="77"/>
        <v/>
      </c>
      <c r="G767" s="23"/>
      <c r="H767" s="66"/>
      <c r="I767" s="14"/>
      <c r="J767" s="14"/>
      <c r="K767" s="14"/>
      <c r="L767" s="5" t="str">
        <f t="shared" si="72"/>
        <v/>
      </c>
      <c r="M767" s="5" t="str">
        <f t="shared" si="73"/>
        <v/>
      </c>
      <c r="N767" s="5" t="str">
        <f t="shared" si="74"/>
        <v/>
      </c>
      <c r="O767" s="4"/>
    </row>
    <row r="768" spans="1:15" x14ac:dyDescent="0.25">
      <c r="A768" s="14"/>
      <c r="B768" s="14"/>
      <c r="C768" s="14"/>
      <c r="D768" s="5" t="str">
        <f t="shared" si="75"/>
        <v/>
      </c>
      <c r="E768" s="5" t="str">
        <f t="shared" si="76"/>
        <v/>
      </c>
      <c r="F768" s="5" t="str">
        <f t="shared" si="77"/>
        <v/>
      </c>
      <c r="G768" s="23"/>
      <c r="H768" s="66"/>
      <c r="I768" s="14"/>
      <c r="J768" s="14"/>
      <c r="K768" s="14"/>
      <c r="L768" s="5" t="str">
        <f t="shared" si="72"/>
        <v/>
      </c>
      <c r="M768" s="5" t="str">
        <f t="shared" si="73"/>
        <v/>
      </c>
      <c r="N768" s="5" t="str">
        <f t="shared" si="74"/>
        <v/>
      </c>
      <c r="O768" s="4"/>
    </row>
    <row r="769" spans="1:15" x14ac:dyDescent="0.25">
      <c r="A769" s="14"/>
      <c r="B769" s="14"/>
      <c r="C769" s="14"/>
      <c r="D769" s="5" t="str">
        <f t="shared" si="75"/>
        <v/>
      </c>
      <c r="E769" s="5" t="str">
        <f t="shared" si="76"/>
        <v/>
      </c>
      <c r="F769" s="5" t="str">
        <f t="shared" si="77"/>
        <v/>
      </c>
      <c r="G769" s="23"/>
      <c r="H769" s="66"/>
      <c r="I769" s="14"/>
      <c r="J769" s="14"/>
      <c r="K769" s="14"/>
      <c r="L769" s="5" t="str">
        <f t="shared" si="72"/>
        <v/>
      </c>
      <c r="M769" s="5" t="str">
        <f t="shared" si="73"/>
        <v/>
      </c>
      <c r="N769" s="5" t="str">
        <f t="shared" si="74"/>
        <v/>
      </c>
      <c r="O769" s="4"/>
    </row>
    <row r="770" spans="1:15" x14ac:dyDescent="0.25">
      <c r="A770" s="14"/>
      <c r="B770" s="14"/>
      <c r="C770" s="14"/>
      <c r="D770" s="5" t="str">
        <f t="shared" si="75"/>
        <v/>
      </c>
      <c r="E770" s="5" t="str">
        <f t="shared" si="76"/>
        <v/>
      </c>
      <c r="F770" s="5" t="str">
        <f t="shared" si="77"/>
        <v/>
      </c>
      <c r="G770" s="23"/>
      <c r="H770" s="66"/>
      <c r="I770" s="14"/>
      <c r="J770" s="14"/>
      <c r="K770" s="14"/>
      <c r="L770" s="5" t="str">
        <f t="shared" si="72"/>
        <v/>
      </c>
      <c r="M770" s="5" t="str">
        <f t="shared" si="73"/>
        <v/>
      </c>
      <c r="N770" s="5" t="str">
        <f t="shared" si="74"/>
        <v/>
      </c>
      <c r="O770" s="4"/>
    </row>
    <row r="771" spans="1:15" x14ac:dyDescent="0.25">
      <c r="A771" s="14"/>
      <c r="B771" s="14"/>
      <c r="C771" s="14"/>
      <c r="D771" s="5" t="str">
        <f t="shared" si="75"/>
        <v/>
      </c>
      <c r="E771" s="5" t="str">
        <f t="shared" si="76"/>
        <v/>
      </c>
      <c r="F771" s="5" t="str">
        <f t="shared" si="77"/>
        <v/>
      </c>
      <c r="G771" s="23"/>
      <c r="H771" s="66"/>
      <c r="I771" s="14"/>
      <c r="J771" s="14"/>
      <c r="K771" s="14"/>
      <c r="L771" s="5" t="str">
        <f t="shared" si="72"/>
        <v/>
      </c>
      <c r="M771" s="5" t="str">
        <f t="shared" si="73"/>
        <v/>
      </c>
      <c r="N771" s="5" t="str">
        <f t="shared" si="74"/>
        <v/>
      </c>
      <c r="O771" s="4"/>
    </row>
    <row r="772" spans="1:15" x14ac:dyDescent="0.25">
      <c r="A772" s="14"/>
      <c r="B772" s="14"/>
      <c r="C772" s="14"/>
      <c r="D772" s="5" t="str">
        <f t="shared" si="75"/>
        <v/>
      </c>
      <c r="E772" s="5" t="str">
        <f t="shared" si="76"/>
        <v/>
      </c>
      <c r="F772" s="5" t="str">
        <f t="shared" si="77"/>
        <v/>
      </c>
      <c r="G772" s="23"/>
      <c r="H772" s="66"/>
      <c r="I772" s="14"/>
      <c r="J772" s="14"/>
      <c r="K772" s="14"/>
      <c r="L772" s="5" t="str">
        <f t="shared" si="72"/>
        <v/>
      </c>
      <c r="M772" s="5" t="str">
        <f t="shared" si="73"/>
        <v/>
      </c>
      <c r="N772" s="5" t="str">
        <f t="shared" si="74"/>
        <v/>
      </c>
      <c r="O772" s="4"/>
    </row>
    <row r="773" spans="1:15" x14ac:dyDescent="0.25">
      <c r="A773" s="14"/>
      <c r="B773" s="14"/>
      <c r="C773" s="14"/>
      <c r="D773" s="5" t="str">
        <f t="shared" si="75"/>
        <v/>
      </c>
      <c r="E773" s="5" t="str">
        <f t="shared" si="76"/>
        <v/>
      </c>
      <c r="F773" s="5" t="str">
        <f t="shared" si="77"/>
        <v/>
      </c>
      <c r="G773" s="23"/>
      <c r="H773" s="66"/>
      <c r="I773" s="14"/>
      <c r="J773" s="14"/>
      <c r="K773" s="14"/>
      <c r="L773" s="5" t="str">
        <f t="shared" si="72"/>
        <v/>
      </c>
      <c r="M773" s="5" t="str">
        <f t="shared" si="73"/>
        <v/>
      </c>
      <c r="N773" s="5" t="str">
        <f t="shared" si="74"/>
        <v/>
      </c>
      <c r="O773" s="4"/>
    </row>
    <row r="774" spans="1:15" x14ac:dyDescent="0.25">
      <c r="A774" s="14"/>
      <c r="B774" s="14"/>
      <c r="C774" s="14"/>
      <c r="D774" s="5" t="str">
        <f t="shared" si="75"/>
        <v/>
      </c>
      <c r="E774" s="5" t="str">
        <f t="shared" si="76"/>
        <v/>
      </c>
      <c r="F774" s="5" t="str">
        <f t="shared" si="77"/>
        <v/>
      </c>
      <c r="G774" s="23"/>
      <c r="H774" s="66"/>
      <c r="I774" s="14"/>
      <c r="J774" s="14"/>
      <c r="K774" s="14"/>
      <c r="L774" s="5" t="str">
        <f t="shared" si="72"/>
        <v/>
      </c>
      <c r="M774" s="5" t="str">
        <f t="shared" si="73"/>
        <v/>
      </c>
      <c r="N774" s="5" t="str">
        <f t="shared" si="74"/>
        <v/>
      </c>
      <c r="O774" s="4"/>
    </row>
    <row r="775" spans="1:15" x14ac:dyDescent="0.25">
      <c r="A775" s="14"/>
      <c r="B775" s="14"/>
      <c r="C775" s="14"/>
      <c r="D775" s="5" t="str">
        <f t="shared" si="75"/>
        <v/>
      </c>
      <c r="E775" s="5" t="str">
        <f t="shared" si="76"/>
        <v/>
      </c>
      <c r="F775" s="5" t="str">
        <f t="shared" si="77"/>
        <v/>
      </c>
      <c r="G775" s="23"/>
      <c r="H775" s="66"/>
      <c r="I775" s="14"/>
      <c r="J775" s="14"/>
      <c r="K775" s="14"/>
      <c r="L775" s="5" t="str">
        <f t="shared" si="72"/>
        <v/>
      </c>
      <c r="M775" s="5" t="str">
        <f t="shared" si="73"/>
        <v/>
      </c>
      <c r="N775" s="5" t="str">
        <f t="shared" si="74"/>
        <v/>
      </c>
      <c r="O775" s="4"/>
    </row>
    <row r="776" spans="1:15" x14ac:dyDescent="0.25">
      <c r="A776" s="14"/>
      <c r="B776" s="14"/>
      <c r="C776" s="14"/>
      <c r="D776" s="5" t="str">
        <f t="shared" si="75"/>
        <v/>
      </c>
      <c r="E776" s="5" t="str">
        <f t="shared" si="76"/>
        <v/>
      </c>
      <c r="F776" s="5" t="str">
        <f t="shared" si="77"/>
        <v/>
      </c>
      <c r="G776" s="23"/>
      <c r="H776" s="66"/>
      <c r="I776" s="14"/>
      <c r="J776" s="14"/>
      <c r="K776" s="14"/>
      <c r="L776" s="5" t="str">
        <f t="shared" si="72"/>
        <v/>
      </c>
      <c r="M776" s="5" t="str">
        <f t="shared" si="73"/>
        <v/>
      </c>
      <c r="N776" s="5" t="str">
        <f t="shared" si="74"/>
        <v/>
      </c>
      <c r="O776" s="4"/>
    </row>
    <row r="777" spans="1:15" x14ac:dyDescent="0.25">
      <c r="A777" s="14"/>
      <c r="B777" s="14"/>
      <c r="C777" s="14"/>
      <c r="D777" s="5" t="str">
        <f t="shared" si="75"/>
        <v/>
      </c>
      <c r="E777" s="5" t="str">
        <f t="shared" si="76"/>
        <v/>
      </c>
      <c r="F777" s="5" t="str">
        <f t="shared" si="77"/>
        <v/>
      </c>
      <c r="G777" s="23"/>
      <c r="H777" s="66"/>
      <c r="I777" s="14"/>
      <c r="J777" s="14"/>
      <c r="K777" s="14"/>
      <c r="L777" s="5" t="str">
        <f t="shared" si="72"/>
        <v/>
      </c>
      <c r="M777" s="5" t="str">
        <f t="shared" si="73"/>
        <v/>
      </c>
      <c r="N777" s="5" t="str">
        <f t="shared" si="74"/>
        <v/>
      </c>
      <c r="O777" s="4"/>
    </row>
    <row r="778" spans="1:15" x14ac:dyDescent="0.25">
      <c r="A778" s="14"/>
      <c r="B778" s="14"/>
      <c r="C778" s="14"/>
      <c r="D778" s="5" t="str">
        <f t="shared" si="75"/>
        <v/>
      </c>
      <c r="E778" s="5" t="str">
        <f t="shared" si="76"/>
        <v/>
      </c>
      <c r="F778" s="5" t="str">
        <f t="shared" si="77"/>
        <v/>
      </c>
      <c r="G778" s="23"/>
      <c r="H778" s="66"/>
      <c r="I778" s="14"/>
      <c r="J778" s="14"/>
      <c r="K778" s="14"/>
      <c r="L778" s="5" t="str">
        <f t="shared" ref="L778:L841" si="78">IFERROR(IF(I778&lt;&gt;"",(((J778-J777)*$X$4/(I778-I777)))*$X$5,""),"")</f>
        <v/>
      </c>
      <c r="M778" s="5" t="str">
        <f t="shared" ref="M778:M841" si="79">IFERROR(IF(I778&lt;&gt;"",(((K778-K777)*$X$4/(I778-I777)))*$X$5,""),"")</f>
        <v/>
      </c>
      <c r="N778" s="5" t="str">
        <f t="shared" ref="N778:N841" si="80">IFERROR(IF(I778&lt;&gt;"",((ACOS((COS(RADIANS(J777))*COS(RADIANS(J778)))+(SIN(RADIANS(J777))*SIN(RADIANS(J778)))*COS(RADIANS(K778-K777)))*180/PI()*($X$4/(I778-I777))))*$X$5,""),"")</f>
        <v/>
      </c>
      <c r="O778" s="4"/>
    </row>
    <row r="779" spans="1:15" x14ac:dyDescent="0.25">
      <c r="A779" s="14"/>
      <c r="B779" s="14"/>
      <c r="C779" s="14"/>
      <c r="D779" s="5" t="str">
        <f t="shared" si="75"/>
        <v/>
      </c>
      <c r="E779" s="5" t="str">
        <f t="shared" si="76"/>
        <v/>
      </c>
      <c r="F779" s="5" t="str">
        <f t="shared" si="77"/>
        <v/>
      </c>
      <c r="G779" s="23"/>
      <c r="H779" s="66"/>
      <c r="I779" s="14"/>
      <c r="J779" s="14"/>
      <c r="K779" s="14"/>
      <c r="L779" s="5" t="str">
        <f t="shared" si="78"/>
        <v/>
      </c>
      <c r="M779" s="5" t="str">
        <f t="shared" si="79"/>
        <v/>
      </c>
      <c r="N779" s="5" t="str">
        <f t="shared" si="80"/>
        <v/>
      </c>
      <c r="O779" s="4"/>
    </row>
    <row r="780" spans="1:15" x14ac:dyDescent="0.25">
      <c r="A780" s="14"/>
      <c r="B780" s="14"/>
      <c r="C780" s="14"/>
      <c r="D780" s="5" t="str">
        <f t="shared" si="75"/>
        <v/>
      </c>
      <c r="E780" s="5" t="str">
        <f t="shared" si="76"/>
        <v/>
      </c>
      <c r="F780" s="5" t="str">
        <f t="shared" si="77"/>
        <v/>
      </c>
      <c r="G780" s="23"/>
      <c r="H780" s="66"/>
      <c r="I780" s="14"/>
      <c r="J780" s="14"/>
      <c r="K780" s="14"/>
      <c r="L780" s="5" t="str">
        <f t="shared" si="78"/>
        <v/>
      </c>
      <c r="M780" s="5" t="str">
        <f t="shared" si="79"/>
        <v/>
      </c>
      <c r="N780" s="5" t="str">
        <f t="shared" si="80"/>
        <v/>
      </c>
      <c r="O780" s="4"/>
    </row>
    <row r="781" spans="1:15" x14ac:dyDescent="0.25">
      <c r="A781" s="14"/>
      <c r="B781" s="14"/>
      <c r="C781" s="14"/>
      <c r="D781" s="5" t="str">
        <f t="shared" si="75"/>
        <v/>
      </c>
      <c r="E781" s="5" t="str">
        <f t="shared" si="76"/>
        <v/>
      </c>
      <c r="F781" s="5" t="str">
        <f t="shared" si="77"/>
        <v/>
      </c>
      <c r="G781" s="23"/>
      <c r="H781" s="66"/>
      <c r="I781" s="14"/>
      <c r="J781" s="14"/>
      <c r="K781" s="14"/>
      <c r="L781" s="5" t="str">
        <f t="shared" si="78"/>
        <v/>
      </c>
      <c r="M781" s="5" t="str">
        <f t="shared" si="79"/>
        <v/>
      </c>
      <c r="N781" s="5" t="str">
        <f t="shared" si="80"/>
        <v/>
      </c>
      <c r="O781" s="4"/>
    </row>
    <row r="782" spans="1:15" x14ac:dyDescent="0.25">
      <c r="A782" s="14"/>
      <c r="B782" s="14"/>
      <c r="C782" s="14"/>
      <c r="D782" s="5" t="str">
        <f t="shared" si="75"/>
        <v/>
      </c>
      <c r="E782" s="5" t="str">
        <f t="shared" si="76"/>
        <v/>
      </c>
      <c r="F782" s="5" t="str">
        <f t="shared" si="77"/>
        <v/>
      </c>
      <c r="G782" s="23"/>
      <c r="H782" s="66"/>
      <c r="I782" s="14"/>
      <c r="J782" s="14"/>
      <c r="K782" s="14"/>
      <c r="L782" s="5" t="str">
        <f t="shared" si="78"/>
        <v/>
      </c>
      <c r="M782" s="5" t="str">
        <f t="shared" si="79"/>
        <v/>
      </c>
      <c r="N782" s="5" t="str">
        <f t="shared" si="80"/>
        <v/>
      </c>
      <c r="O782" s="4"/>
    </row>
    <row r="783" spans="1:15" x14ac:dyDescent="0.25">
      <c r="A783" s="14"/>
      <c r="B783" s="14"/>
      <c r="C783" s="14"/>
      <c r="D783" s="5" t="str">
        <f t="shared" si="75"/>
        <v/>
      </c>
      <c r="E783" s="5" t="str">
        <f t="shared" si="76"/>
        <v/>
      </c>
      <c r="F783" s="5" t="str">
        <f t="shared" si="77"/>
        <v/>
      </c>
      <c r="G783" s="23"/>
      <c r="H783" s="66"/>
      <c r="I783" s="14"/>
      <c r="J783" s="14"/>
      <c r="K783" s="14"/>
      <c r="L783" s="5" t="str">
        <f t="shared" si="78"/>
        <v/>
      </c>
      <c r="M783" s="5" t="str">
        <f t="shared" si="79"/>
        <v/>
      </c>
      <c r="N783" s="5" t="str">
        <f t="shared" si="80"/>
        <v/>
      </c>
      <c r="O783" s="4"/>
    </row>
    <row r="784" spans="1:15" x14ac:dyDescent="0.25">
      <c r="A784" s="14"/>
      <c r="B784" s="14"/>
      <c r="C784" s="14"/>
      <c r="D784" s="5" t="str">
        <f t="shared" si="75"/>
        <v/>
      </c>
      <c r="E784" s="5" t="str">
        <f t="shared" si="76"/>
        <v/>
      </c>
      <c r="F784" s="5" t="str">
        <f t="shared" si="77"/>
        <v/>
      </c>
      <c r="G784" s="23"/>
      <c r="H784" s="66"/>
      <c r="I784" s="14"/>
      <c r="J784" s="14"/>
      <c r="K784" s="14"/>
      <c r="L784" s="5" t="str">
        <f t="shared" si="78"/>
        <v/>
      </c>
      <c r="M784" s="5" t="str">
        <f t="shared" si="79"/>
        <v/>
      </c>
      <c r="N784" s="5" t="str">
        <f t="shared" si="80"/>
        <v/>
      </c>
      <c r="O784" s="4"/>
    </row>
    <row r="785" spans="1:15" x14ac:dyDescent="0.25">
      <c r="A785" s="14"/>
      <c r="B785" s="14"/>
      <c r="C785" s="14"/>
      <c r="D785" s="5" t="str">
        <f t="shared" si="75"/>
        <v/>
      </c>
      <c r="E785" s="5" t="str">
        <f t="shared" si="76"/>
        <v/>
      </c>
      <c r="F785" s="5" t="str">
        <f t="shared" si="77"/>
        <v/>
      </c>
      <c r="G785" s="23"/>
      <c r="H785" s="66"/>
      <c r="I785" s="14"/>
      <c r="J785" s="14"/>
      <c r="K785" s="14"/>
      <c r="L785" s="5" t="str">
        <f t="shared" si="78"/>
        <v/>
      </c>
      <c r="M785" s="5" t="str">
        <f t="shared" si="79"/>
        <v/>
      </c>
      <c r="N785" s="5" t="str">
        <f t="shared" si="80"/>
        <v/>
      </c>
      <c r="O785" s="4"/>
    </row>
    <row r="786" spans="1:15" x14ac:dyDescent="0.25">
      <c r="A786" s="14"/>
      <c r="B786" s="14"/>
      <c r="C786" s="14"/>
      <c r="D786" s="5" t="str">
        <f t="shared" si="75"/>
        <v/>
      </c>
      <c r="E786" s="5" t="str">
        <f t="shared" si="76"/>
        <v/>
      </c>
      <c r="F786" s="5" t="str">
        <f t="shared" si="77"/>
        <v/>
      </c>
      <c r="G786" s="23"/>
      <c r="H786" s="66"/>
      <c r="I786" s="14"/>
      <c r="J786" s="14"/>
      <c r="K786" s="14"/>
      <c r="L786" s="5" t="str">
        <f t="shared" si="78"/>
        <v/>
      </c>
      <c r="M786" s="5" t="str">
        <f t="shared" si="79"/>
        <v/>
      </c>
      <c r="N786" s="5" t="str">
        <f t="shared" si="80"/>
        <v/>
      </c>
      <c r="O786" s="4"/>
    </row>
    <row r="787" spans="1:15" x14ac:dyDescent="0.25">
      <c r="A787" s="14"/>
      <c r="B787" s="14"/>
      <c r="C787" s="14"/>
      <c r="D787" s="5" t="str">
        <f t="shared" si="75"/>
        <v/>
      </c>
      <c r="E787" s="5" t="str">
        <f t="shared" si="76"/>
        <v/>
      </c>
      <c r="F787" s="5" t="str">
        <f t="shared" si="77"/>
        <v/>
      </c>
      <c r="G787" s="23"/>
      <c r="H787" s="66"/>
      <c r="I787" s="14"/>
      <c r="J787" s="14"/>
      <c r="K787" s="14"/>
      <c r="L787" s="5" t="str">
        <f t="shared" si="78"/>
        <v/>
      </c>
      <c r="M787" s="5" t="str">
        <f t="shared" si="79"/>
        <v/>
      </c>
      <c r="N787" s="5" t="str">
        <f t="shared" si="80"/>
        <v/>
      </c>
      <c r="O787" s="4"/>
    </row>
    <row r="788" spans="1:15" x14ac:dyDescent="0.25">
      <c r="A788" s="14"/>
      <c r="B788" s="14"/>
      <c r="C788" s="14"/>
      <c r="D788" s="5" t="str">
        <f t="shared" si="75"/>
        <v/>
      </c>
      <c r="E788" s="5" t="str">
        <f t="shared" si="76"/>
        <v/>
      </c>
      <c r="F788" s="5" t="str">
        <f t="shared" si="77"/>
        <v/>
      </c>
      <c r="G788" s="23"/>
      <c r="H788" s="66"/>
      <c r="I788" s="14"/>
      <c r="J788" s="14"/>
      <c r="K788" s="14"/>
      <c r="L788" s="5" t="str">
        <f t="shared" si="78"/>
        <v/>
      </c>
      <c r="M788" s="5" t="str">
        <f t="shared" si="79"/>
        <v/>
      </c>
      <c r="N788" s="5" t="str">
        <f t="shared" si="80"/>
        <v/>
      </c>
      <c r="O788" s="4"/>
    </row>
    <row r="789" spans="1:15" x14ac:dyDescent="0.25">
      <c r="A789" s="14"/>
      <c r="B789" s="14"/>
      <c r="C789" s="14"/>
      <c r="D789" s="5" t="str">
        <f t="shared" si="75"/>
        <v/>
      </c>
      <c r="E789" s="5" t="str">
        <f t="shared" si="76"/>
        <v/>
      </c>
      <c r="F789" s="5" t="str">
        <f t="shared" si="77"/>
        <v/>
      </c>
      <c r="G789" s="23"/>
      <c r="H789" s="66"/>
      <c r="I789" s="14"/>
      <c r="J789" s="14"/>
      <c r="K789" s="14"/>
      <c r="L789" s="5" t="str">
        <f t="shared" si="78"/>
        <v/>
      </c>
      <c r="M789" s="5" t="str">
        <f t="shared" si="79"/>
        <v/>
      </c>
      <c r="N789" s="5" t="str">
        <f t="shared" si="80"/>
        <v/>
      </c>
      <c r="O789" s="4"/>
    </row>
    <row r="790" spans="1:15" x14ac:dyDescent="0.25">
      <c r="A790" s="14"/>
      <c r="B790" s="14"/>
      <c r="C790" s="14"/>
      <c r="D790" s="5" t="str">
        <f t="shared" si="75"/>
        <v/>
      </c>
      <c r="E790" s="5" t="str">
        <f t="shared" si="76"/>
        <v/>
      </c>
      <c r="F790" s="5" t="str">
        <f t="shared" si="77"/>
        <v/>
      </c>
      <c r="G790" s="23"/>
      <c r="H790" s="66"/>
      <c r="I790" s="14"/>
      <c r="J790" s="14"/>
      <c r="K790" s="14"/>
      <c r="L790" s="5" t="str">
        <f t="shared" si="78"/>
        <v/>
      </c>
      <c r="M790" s="5" t="str">
        <f t="shared" si="79"/>
        <v/>
      </c>
      <c r="N790" s="5" t="str">
        <f t="shared" si="80"/>
        <v/>
      </c>
      <c r="O790" s="4"/>
    </row>
    <row r="791" spans="1:15" x14ac:dyDescent="0.25">
      <c r="A791" s="14"/>
      <c r="B791" s="14"/>
      <c r="C791" s="14"/>
      <c r="D791" s="5" t="str">
        <f t="shared" si="75"/>
        <v/>
      </c>
      <c r="E791" s="5" t="str">
        <f t="shared" si="76"/>
        <v/>
      </c>
      <c r="F791" s="5" t="str">
        <f t="shared" si="77"/>
        <v/>
      </c>
      <c r="G791" s="23"/>
      <c r="H791" s="66"/>
      <c r="I791" s="14"/>
      <c r="J791" s="14"/>
      <c r="K791" s="14"/>
      <c r="L791" s="5" t="str">
        <f t="shared" si="78"/>
        <v/>
      </c>
      <c r="M791" s="5" t="str">
        <f t="shared" si="79"/>
        <v/>
      </c>
      <c r="N791" s="5" t="str">
        <f t="shared" si="80"/>
        <v/>
      </c>
      <c r="O791" s="4"/>
    </row>
    <row r="792" spans="1:15" x14ac:dyDescent="0.25">
      <c r="A792" s="14"/>
      <c r="B792" s="14"/>
      <c r="C792" s="14"/>
      <c r="D792" s="5" t="str">
        <f t="shared" si="75"/>
        <v/>
      </c>
      <c r="E792" s="5" t="str">
        <f t="shared" si="76"/>
        <v/>
      </c>
      <c r="F792" s="5" t="str">
        <f t="shared" si="77"/>
        <v/>
      </c>
      <c r="G792" s="23"/>
      <c r="H792" s="66"/>
      <c r="I792" s="14"/>
      <c r="J792" s="14"/>
      <c r="K792" s="14"/>
      <c r="L792" s="5" t="str">
        <f t="shared" si="78"/>
        <v/>
      </c>
      <c r="M792" s="5" t="str">
        <f t="shared" si="79"/>
        <v/>
      </c>
      <c r="N792" s="5" t="str">
        <f t="shared" si="80"/>
        <v/>
      </c>
      <c r="O792" s="4"/>
    </row>
    <row r="793" spans="1:15" x14ac:dyDescent="0.25">
      <c r="A793" s="14"/>
      <c r="B793" s="14"/>
      <c r="C793" s="14"/>
      <c r="D793" s="5" t="str">
        <f t="shared" ref="D793:D856" si="81">IFERROR( IF(A793&lt;&gt;"",((B793-B792)*$X$4/(A793-A792))*$X$5,""),"")</f>
        <v/>
      </c>
      <c r="E793" s="5" t="str">
        <f t="shared" ref="E793:E856" si="82">IFERROR(IF(A793&lt;&gt;"",((C793-C792)*$X$4/(A793-A792))*$X$5,""),"")</f>
        <v/>
      </c>
      <c r="F793" s="5" t="str">
        <f t="shared" ref="F793:F856" si="83">IFERROR(IF(A793&lt;&gt;"",((ACOS((COS(RADIANS(B792))*COS(RADIANS(B793)))+(SIN(RADIANS(B792))*SIN(RADIANS(B793)))*COS(RADIANS(C793-C792)))*180/PI()*($X$4/(A793-A792))))*$X$5,""),"")</f>
        <v/>
      </c>
      <c r="G793" s="23"/>
      <c r="H793" s="66"/>
      <c r="I793" s="14"/>
      <c r="J793" s="14"/>
      <c r="K793" s="14"/>
      <c r="L793" s="5" t="str">
        <f t="shared" si="78"/>
        <v/>
      </c>
      <c r="M793" s="5" t="str">
        <f t="shared" si="79"/>
        <v/>
      </c>
      <c r="N793" s="5" t="str">
        <f t="shared" si="80"/>
        <v/>
      </c>
      <c r="O793" s="4"/>
    </row>
    <row r="794" spans="1:15" x14ac:dyDescent="0.25">
      <c r="A794" s="14"/>
      <c r="B794" s="14"/>
      <c r="C794" s="14"/>
      <c r="D794" s="5" t="str">
        <f t="shared" si="81"/>
        <v/>
      </c>
      <c r="E794" s="5" t="str">
        <f t="shared" si="82"/>
        <v/>
      </c>
      <c r="F794" s="5" t="str">
        <f t="shared" si="83"/>
        <v/>
      </c>
      <c r="G794" s="23"/>
      <c r="H794" s="66"/>
      <c r="I794" s="14"/>
      <c r="J794" s="14"/>
      <c r="K794" s="14"/>
      <c r="L794" s="5" t="str">
        <f t="shared" si="78"/>
        <v/>
      </c>
      <c r="M794" s="5" t="str">
        <f t="shared" si="79"/>
        <v/>
      </c>
      <c r="N794" s="5" t="str">
        <f t="shared" si="80"/>
        <v/>
      </c>
      <c r="O794" s="4"/>
    </row>
    <row r="795" spans="1:15" x14ac:dyDescent="0.25">
      <c r="A795" s="14"/>
      <c r="B795" s="14"/>
      <c r="C795" s="14"/>
      <c r="D795" s="5" t="str">
        <f t="shared" si="81"/>
        <v/>
      </c>
      <c r="E795" s="5" t="str">
        <f t="shared" si="82"/>
        <v/>
      </c>
      <c r="F795" s="5" t="str">
        <f t="shared" si="83"/>
        <v/>
      </c>
      <c r="G795" s="23"/>
      <c r="H795" s="66"/>
      <c r="I795" s="14"/>
      <c r="J795" s="14"/>
      <c r="K795" s="14"/>
      <c r="L795" s="5" t="str">
        <f t="shared" si="78"/>
        <v/>
      </c>
      <c r="M795" s="5" t="str">
        <f t="shared" si="79"/>
        <v/>
      </c>
      <c r="N795" s="5" t="str">
        <f t="shared" si="80"/>
        <v/>
      </c>
      <c r="O795" s="4"/>
    </row>
    <row r="796" spans="1:15" x14ac:dyDescent="0.25">
      <c r="A796" s="14"/>
      <c r="B796" s="14"/>
      <c r="C796" s="14"/>
      <c r="D796" s="5" t="str">
        <f t="shared" si="81"/>
        <v/>
      </c>
      <c r="E796" s="5" t="str">
        <f t="shared" si="82"/>
        <v/>
      </c>
      <c r="F796" s="5" t="str">
        <f t="shared" si="83"/>
        <v/>
      </c>
      <c r="G796" s="23"/>
      <c r="H796" s="66"/>
      <c r="I796" s="14"/>
      <c r="J796" s="14"/>
      <c r="K796" s="14"/>
      <c r="L796" s="5" t="str">
        <f t="shared" si="78"/>
        <v/>
      </c>
      <c r="M796" s="5" t="str">
        <f t="shared" si="79"/>
        <v/>
      </c>
      <c r="N796" s="5" t="str">
        <f t="shared" si="80"/>
        <v/>
      </c>
      <c r="O796" s="4"/>
    </row>
    <row r="797" spans="1:15" x14ac:dyDescent="0.25">
      <c r="A797" s="14"/>
      <c r="B797" s="14"/>
      <c r="C797" s="14"/>
      <c r="D797" s="5" t="str">
        <f t="shared" si="81"/>
        <v/>
      </c>
      <c r="E797" s="5" t="str">
        <f t="shared" si="82"/>
        <v/>
      </c>
      <c r="F797" s="5" t="str">
        <f t="shared" si="83"/>
        <v/>
      </c>
      <c r="G797" s="23"/>
      <c r="H797" s="66"/>
      <c r="I797" s="14"/>
      <c r="J797" s="14"/>
      <c r="K797" s="14"/>
      <c r="L797" s="5" t="str">
        <f t="shared" si="78"/>
        <v/>
      </c>
      <c r="M797" s="5" t="str">
        <f t="shared" si="79"/>
        <v/>
      </c>
      <c r="N797" s="5" t="str">
        <f t="shared" si="80"/>
        <v/>
      </c>
      <c r="O797" s="4"/>
    </row>
    <row r="798" spans="1:15" x14ac:dyDescent="0.25">
      <c r="A798" s="14"/>
      <c r="B798" s="14"/>
      <c r="C798" s="14"/>
      <c r="D798" s="5" t="str">
        <f t="shared" si="81"/>
        <v/>
      </c>
      <c r="E798" s="5" t="str">
        <f t="shared" si="82"/>
        <v/>
      </c>
      <c r="F798" s="5" t="str">
        <f t="shared" si="83"/>
        <v/>
      </c>
      <c r="G798" s="23"/>
      <c r="H798" s="66"/>
      <c r="I798" s="14"/>
      <c r="J798" s="14"/>
      <c r="K798" s="14"/>
      <c r="L798" s="5" t="str">
        <f t="shared" si="78"/>
        <v/>
      </c>
      <c r="M798" s="5" t="str">
        <f t="shared" si="79"/>
        <v/>
      </c>
      <c r="N798" s="5" t="str">
        <f t="shared" si="80"/>
        <v/>
      </c>
      <c r="O798" s="4"/>
    </row>
    <row r="799" spans="1:15" x14ac:dyDescent="0.25">
      <c r="A799" s="14"/>
      <c r="B799" s="14"/>
      <c r="C799" s="14"/>
      <c r="D799" s="5" t="str">
        <f t="shared" si="81"/>
        <v/>
      </c>
      <c r="E799" s="5" t="str">
        <f t="shared" si="82"/>
        <v/>
      </c>
      <c r="F799" s="5" t="str">
        <f t="shared" si="83"/>
        <v/>
      </c>
      <c r="G799" s="23"/>
      <c r="H799" s="66"/>
      <c r="I799" s="14"/>
      <c r="J799" s="14"/>
      <c r="K799" s="14"/>
      <c r="L799" s="5" t="str">
        <f t="shared" si="78"/>
        <v/>
      </c>
      <c r="M799" s="5" t="str">
        <f t="shared" si="79"/>
        <v/>
      </c>
      <c r="N799" s="5" t="str">
        <f t="shared" si="80"/>
        <v/>
      </c>
      <c r="O799" s="4"/>
    </row>
    <row r="800" spans="1:15" x14ac:dyDescent="0.25">
      <c r="A800" s="14"/>
      <c r="B800" s="14"/>
      <c r="C800" s="14"/>
      <c r="D800" s="5" t="str">
        <f t="shared" si="81"/>
        <v/>
      </c>
      <c r="E800" s="5" t="str">
        <f t="shared" si="82"/>
        <v/>
      </c>
      <c r="F800" s="5" t="str">
        <f t="shared" si="83"/>
        <v/>
      </c>
      <c r="G800" s="23"/>
      <c r="H800" s="66"/>
      <c r="I800" s="14"/>
      <c r="J800" s="14"/>
      <c r="K800" s="14"/>
      <c r="L800" s="5" t="str">
        <f t="shared" si="78"/>
        <v/>
      </c>
      <c r="M800" s="5" t="str">
        <f t="shared" si="79"/>
        <v/>
      </c>
      <c r="N800" s="5" t="str">
        <f t="shared" si="80"/>
        <v/>
      </c>
      <c r="O800" s="4"/>
    </row>
    <row r="801" spans="1:15" x14ac:dyDescent="0.25">
      <c r="A801" s="14"/>
      <c r="B801" s="14"/>
      <c r="C801" s="14"/>
      <c r="D801" s="5" t="str">
        <f t="shared" si="81"/>
        <v/>
      </c>
      <c r="E801" s="5" t="str">
        <f t="shared" si="82"/>
        <v/>
      </c>
      <c r="F801" s="5" t="str">
        <f t="shared" si="83"/>
        <v/>
      </c>
      <c r="G801" s="23"/>
      <c r="H801" s="66"/>
      <c r="I801" s="14"/>
      <c r="J801" s="14"/>
      <c r="K801" s="14"/>
      <c r="L801" s="5" t="str">
        <f t="shared" si="78"/>
        <v/>
      </c>
      <c r="M801" s="5" t="str">
        <f t="shared" si="79"/>
        <v/>
      </c>
      <c r="N801" s="5" t="str">
        <f t="shared" si="80"/>
        <v/>
      </c>
      <c r="O801" s="4"/>
    </row>
    <row r="802" spans="1:15" x14ac:dyDescent="0.25">
      <c r="A802" s="14"/>
      <c r="B802" s="14"/>
      <c r="C802" s="14"/>
      <c r="D802" s="5" t="str">
        <f t="shared" si="81"/>
        <v/>
      </c>
      <c r="E802" s="5" t="str">
        <f t="shared" si="82"/>
        <v/>
      </c>
      <c r="F802" s="5" t="str">
        <f t="shared" si="83"/>
        <v/>
      </c>
      <c r="G802" s="23"/>
      <c r="H802" s="66"/>
      <c r="I802" s="14"/>
      <c r="J802" s="14"/>
      <c r="K802" s="14"/>
      <c r="L802" s="5" t="str">
        <f t="shared" si="78"/>
        <v/>
      </c>
      <c r="M802" s="5" t="str">
        <f t="shared" si="79"/>
        <v/>
      </c>
      <c r="N802" s="5" t="str">
        <f t="shared" si="80"/>
        <v/>
      </c>
      <c r="O802" s="4"/>
    </row>
    <row r="803" spans="1:15" x14ac:dyDescent="0.25">
      <c r="A803" s="14"/>
      <c r="B803" s="14"/>
      <c r="C803" s="14"/>
      <c r="D803" s="5" t="str">
        <f t="shared" si="81"/>
        <v/>
      </c>
      <c r="E803" s="5" t="str">
        <f t="shared" si="82"/>
        <v/>
      </c>
      <c r="F803" s="5" t="str">
        <f t="shared" si="83"/>
        <v/>
      </c>
      <c r="G803" s="23"/>
      <c r="H803" s="66"/>
      <c r="I803" s="14"/>
      <c r="J803" s="14"/>
      <c r="K803" s="14"/>
      <c r="L803" s="5" t="str">
        <f t="shared" si="78"/>
        <v/>
      </c>
      <c r="M803" s="5" t="str">
        <f t="shared" si="79"/>
        <v/>
      </c>
      <c r="N803" s="5" t="str">
        <f t="shared" si="80"/>
        <v/>
      </c>
      <c r="O803" s="4"/>
    </row>
    <row r="804" spans="1:15" x14ac:dyDescent="0.25">
      <c r="A804" s="14"/>
      <c r="B804" s="14"/>
      <c r="C804" s="14"/>
      <c r="D804" s="5" t="str">
        <f t="shared" si="81"/>
        <v/>
      </c>
      <c r="E804" s="5" t="str">
        <f t="shared" si="82"/>
        <v/>
      </c>
      <c r="F804" s="5" t="str">
        <f t="shared" si="83"/>
        <v/>
      </c>
      <c r="G804" s="23"/>
      <c r="H804" s="66"/>
      <c r="I804" s="14"/>
      <c r="J804" s="14"/>
      <c r="K804" s="14"/>
      <c r="L804" s="5" t="str">
        <f t="shared" si="78"/>
        <v/>
      </c>
      <c r="M804" s="5" t="str">
        <f t="shared" si="79"/>
        <v/>
      </c>
      <c r="N804" s="5" t="str">
        <f t="shared" si="80"/>
        <v/>
      </c>
      <c r="O804" s="4"/>
    </row>
    <row r="805" spans="1:15" x14ac:dyDescent="0.25">
      <c r="A805" s="14"/>
      <c r="B805" s="14"/>
      <c r="C805" s="14"/>
      <c r="D805" s="5" t="str">
        <f t="shared" si="81"/>
        <v/>
      </c>
      <c r="E805" s="5" t="str">
        <f t="shared" si="82"/>
        <v/>
      </c>
      <c r="F805" s="5" t="str">
        <f t="shared" si="83"/>
        <v/>
      </c>
      <c r="G805" s="23"/>
      <c r="H805" s="66"/>
      <c r="I805" s="14"/>
      <c r="J805" s="14"/>
      <c r="K805" s="14"/>
      <c r="L805" s="5" t="str">
        <f t="shared" si="78"/>
        <v/>
      </c>
      <c r="M805" s="5" t="str">
        <f t="shared" si="79"/>
        <v/>
      </c>
      <c r="N805" s="5" t="str">
        <f t="shared" si="80"/>
        <v/>
      </c>
      <c r="O805" s="4"/>
    </row>
    <row r="806" spans="1:15" x14ac:dyDescent="0.25">
      <c r="A806" s="14"/>
      <c r="B806" s="14"/>
      <c r="C806" s="14"/>
      <c r="D806" s="5" t="str">
        <f t="shared" si="81"/>
        <v/>
      </c>
      <c r="E806" s="5" t="str">
        <f t="shared" si="82"/>
        <v/>
      </c>
      <c r="F806" s="5" t="str">
        <f t="shared" si="83"/>
        <v/>
      </c>
      <c r="G806" s="23"/>
      <c r="H806" s="66"/>
      <c r="I806" s="14"/>
      <c r="J806" s="14"/>
      <c r="K806" s="14"/>
      <c r="L806" s="5" t="str">
        <f t="shared" si="78"/>
        <v/>
      </c>
      <c r="M806" s="5" t="str">
        <f t="shared" si="79"/>
        <v/>
      </c>
      <c r="N806" s="5" t="str">
        <f t="shared" si="80"/>
        <v/>
      </c>
      <c r="O806" s="4"/>
    </row>
    <row r="807" spans="1:15" x14ac:dyDescent="0.25">
      <c r="A807" s="14"/>
      <c r="B807" s="14"/>
      <c r="C807" s="14"/>
      <c r="D807" s="5" t="str">
        <f t="shared" si="81"/>
        <v/>
      </c>
      <c r="E807" s="5" t="str">
        <f t="shared" si="82"/>
        <v/>
      </c>
      <c r="F807" s="5" t="str">
        <f t="shared" si="83"/>
        <v/>
      </c>
      <c r="G807" s="23"/>
      <c r="H807" s="66"/>
      <c r="I807" s="14"/>
      <c r="J807" s="14"/>
      <c r="K807" s="14"/>
      <c r="L807" s="5" t="str">
        <f t="shared" si="78"/>
        <v/>
      </c>
      <c r="M807" s="5" t="str">
        <f t="shared" si="79"/>
        <v/>
      </c>
      <c r="N807" s="5" t="str">
        <f t="shared" si="80"/>
        <v/>
      </c>
      <c r="O807" s="4"/>
    </row>
    <row r="808" spans="1:15" x14ac:dyDescent="0.25">
      <c r="A808" s="14"/>
      <c r="B808" s="14"/>
      <c r="C808" s="14"/>
      <c r="D808" s="5" t="str">
        <f t="shared" si="81"/>
        <v/>
      </c>
      <c r="E808" s="5" t="str">
        <f t="shared" si="82"/>
        <v/>
      </c>
      <c r="F808" s="5" t="str">
        <f t="shared" si="83"/>
        <v/>
      </c>
      <c r="G808" s="23"/>
      <c r="H808" s="66"/>
      <c r="I808" s="14"/>
      <c r="J808" s="14"/>
      <c r="K808" s="14"/>
      <c r="L808" s="5" t="str">
        <f t="shared" si="78"/>
        <v/>
      </c>
      <c r="M808" s="5" t="str">
        <f t="shared" si="79"/>
        <v/>
      </c>
      <c r="N808" s="5" t="str">
        <f t="shared" si="80"/>
        <v/>
      </c>
      <c r="O808" s="4"/>
    </row>
    <row r="809" spans="1:15" x14ac:dyDescent="0.25">
      <c r="A809" s="14"/>
      <c r="B809" s="14"/>
      <c r="C809" s="14"/>
      <c r="D809" s="5" t="str">
        <f t="shared" si="81"/>
        <v/>
      </c>
      <c r="E809" s="5" t="str">
        <f t="shared" si="82"/>
        <v/>
      </c>
      <c r="F809" s="5" t="str">
        <f t="shared" si="83"/>
        <v/>
      </c>
      <c r="G809" s="23"/>
      <c r="H809" s="66"/>
      <c r="I809" s="14"/>
      <c r="J809" s="14"/>
      <c r="K809" s="14"/>
      <c r="L809" s="5" t="str">
        <f t="shared" si="78"/>
        <v/>
      </c>
      <c r="M809" s="5" t="str">
        <f t="shared" si="79"/>
        <v/>
      </c>
      <c r="N809" s="5" t="str">
        <f t="shared" si="80"/>
        <v/>
      </c>
      <c r="O809" s="4"/>
    </row>
    <row r="810" spans="1:15" x14ac:dyDescent="0.25">
      <c r="A810" s="14"/>
      <c r="B810" s="14"/>
      <c r="C810" s="14"/>
      <c r="D810" s="5" t="str">
        <f t="shared" si="81"/>
        <v/>
      </c>
      <c r="E810" s="5" t="str">
        <f t="shared" si="82"/>
        <v/>
      </c>
      <c r="F810" s="5" t="str">
        <f t="shared" si="83"/>
        <v/>
      </c>
      <c r="G810" s="23"/>
      <c r="H810" s="66"/>
      <c r="I810" s="14"/>
      <c r="J810" s="14"/>
      <c r="K810" s="14"/>
      <c r="L810" s="5" t="str">
        <f t="shared" si="78"/>
        <v/>
      </c>
      <c r="M810" s="5" t="str">
        <f t="shared" si="79"/>
        <v/>
      </c>
      <c r="N810" s="5" t="str">
        <f t="shared" si="80"/>
        <v/>
      </c>
      <c r="O810" s="4"/>
    </row>
    <row r="811" spans="1:15" x14ac:dyDescent="0.25">
      <c r="A811" s="14"/>
      <c r="B811" s="14"/>
      <c r="C811" s="14"/>
      <c r="D811" s="5" t="str">
        <f t="shared" si="81"/>
        <v/>
      </c>
      <c r="E811" s="5" t="str">
        <f t="shared" si="82"/>
        <v/>
      </c>
      <c r="F811" s="5" t="str">
        <f t="shared" si="83"/>
        <v/>
      </c>
      <c r="G811" s="23"/>
      <c r="H811" s="66"/>
      <c r="I811" s="14"/>
      <c r="J811" s="14"/>
      <c r="K811" s="14"/>
      <c r="L811" s="5" t="str">
        <f t="shared" si="78"/>
        <v/>
      </c>
      <c r="M811" s="5" t="str">
        <f t="shared" si="79"/>
        <v/>
      </c>
      <c r="N811" s="5" t="str">
        <f t="shared" si="80"/>
        <v/>
      </c>
      <c r="O811" s="4"/>
    </row>
    <row r="812" spans="1:15" x14ac:dyDescent="0.25">
      <c r="A812" s="14"/>
      <c r="B812" s="14"/>
      <c r="C812" s="14"/>
      <c r="D812" s="5" t="str">
        <f t="shared" si="81"/>
        <v/>
      </c>
      <c r="E812" s="5" t="str">
        <f t="shared" si="82"/>
        <v/>
      </c>
      <c r="F812" s="5" t="str">
        <f t="shared" si="83"/>
        <v/>
      </c>
      <c r="G812" s="23"/>
      <c r="H812" s="66"/>
      <c r="I812" s="14"/>
      <c r="J812" s="14"/>
      <c r="K812" s="14"/>
      <c r="L812" s="5" t="str">
        <f t="shared" si="78"/>
        <v/>
      </c>
      <c r="M812" s="5" t="str">
        <f t="shared" si="79"/>
        <v/>
      </c>
      <c r="N812" s="5" t="str">
        <f t="shared" si="80"/>
        <v/>
      </c>
      <c r="O812" s="4"/>
    </row>
    <row r="813" spans="1:15" x14ac:dyDescent="0.25">
      <c r="A813" s="14"/>
      <c r="B813" s="14"/>
      <c r="C813" s="14"/>
      <c r="D813" s="5" t="str">
        <f t="shared" si="81"/>
        <v/>
      </c>
      <c r="E813" s="5" t="str">
        <f t="shared" si="82"/>
        <v/>
      </c>
      <c r="F813" s="5" t="str">
        <f t="shared" si="83"/>
        <v/>
      </c>
      <c r="G813" s="23"/>
      <c r="H813" s="66"/>
      <c r="I813" s="14"/>
      <c r="J813" s="14"/>
      <c r="K813" s="14"/>
      <c r="L813" s="5" t="str">
        <f t="shared" si="78"/>
        <v/>
      </c>
      <c r="M813" s="5" t="str">
        <f t="shared" si="79"/>
        <v/>
      </c>
      <c r="N813" s="5" t="str">
        <f t="shared" si="80"/>
        <v/>
      </c>
      <c r="O813" s="4"/>
    </row>
    <row r="814" spans="1:15" x14ac:dyDescent="0.25">
      <c r="A814" s="14"/>
      <c r="B814" s="14"/>
      <c r="C814" s="14"/>
      <c r="D814" s="5" t="str">
        <f t="shared" si="81"/>
        <v/>
      </c>
      <c r="E814" s="5" t="str">
        <f t="shared" si="82"/>
        <v/>
      </c>
      <c r="F814" s="5" t="str">
        <f t="shared" si="83"/>
        <v/>
      </c>
      <c r="G814" s="23"/>
      <c r="H814" s="66"/>
      <c r="I814" s="14"/>
      <c r="J814" s="14"/>
      <c r="K814" s="14"/>
      <c r="L814" s="5" t="str">
        <f t="shared" si="78"/>
        <v/>
      </c>
      <c r="M814" s="5" t="str">
        <f t="shared" si="79"/>
        <v/>
      </c>
      <c r="N814" s="5" t="str">
        <f t="shared" si="80"/>
        <v/>
      </c>
      <c r="O814" s="4"/>
    </row>
    <row r="815" spans="1:15" x14ac:dyDescent="0.25">
      <c r="A815" s="14"/>
      <c r="B815" s="14"/>
      <c r="C815" s="14"/>
      <c r="D815" s="5" t="str">
        <f t="shared" si="81"/>
        <v/>
      </c>
      <c r="E815" s="5" t="str">
        <f t="shared" si="82"/>
        <v/>
      </c>
      <c r="F815" s="5" t="str">
        <f t="shared" si="83"/>
        <v/>
      </c>
      <c r="G815" s="23"/>
      <c r="H815" s="66"/>
      <c r="I815" s="14"/>
      <c r="J815" s="14"/>
      <c r="K815" s="14"/>
      <c r="L815" s="5" t="str">
        <f t="shared" si="78"/>
        <v/>
      </c>
      <c r="M815" s="5" t="str">
        <f t="shared" si="79"/>
        <v/>
      </c>
      <c r="N815" s="5" t="str">
        <f t="shared" si="80"/>
        <v/>
      </c>
      <c r="O815" s="4"/>
    </row>
    <row r="816" spans="1:15" x14ac:dyDescent="0.25">
      <c r="A816" s="14"/>
      <c r="B816" s="14"/>
      <c r="C816" s="14"/>
      <c r="D816" s="5" t="str">
        <f t="shared" si="81"/>
        <v/>
      </c>
      <c r="E816" s="5" t="str">
        <f t="shared" si="82"/>
        <v/>
      </c>
      <c r="F816" s="5" t="str">
        <f t="shared" si="83"/>
        <v/>
      </c>
      <c r="G816" s="23"/>
      <c r="H816" s="66"/>
      <c r="I816" s="14"/>
      <c r="J816" s="14"/>
      <c r="K816" s="14"/>
      <c r="L816" s="5" t="str">
        <f t="shared" si="78"/>
        <v/>
      </c>
      <c r="M816" s="5" t="str">
        <f t="shared" si="79"/>
        <v/>
      </c>
      <c r="N816" s="5" t="str">
        <f t="shared" si="80"/>
        <v/>
      </c>
      <c r="O816" s="4"/>
    </row>
    <row r="817" spans="1:15" x14ac:dyDescent="0.25">
      <c r="A817" s="14"/>
      <c r="B817" s="14"/>
      <c r="C817" s="14"/>
      <c r="D817" s="5" t="str">
        <f t="shared" si="81"/>
        <v/>
      </c>
      <c r="E817" s="5" t="str">
        <f t="shared" si="82"/>
        <v/>
      </c>
      <c r="F817" s="5" t="str">
        <f t="shared" si="83"/>
        <v/>
      </c>
      <c r="G817" s="23"/>
      <c r="H817" s="66"/>
      <c r="I817" s="14"/>
      <c r="J817" s="14"/>
      <c r="K817" s="14"/>
      <c r="L817" s="5" t="str">
        <f t="shared" si="78"/>
        <v/>
      </c>
      <c r="M817" s="5" t="str">
        <f t="shared" si="79"/>
        <v/>
      </c>
      <c r="N817" s="5" t="str">
        <f t="shared" si="80"/>
        <v/>
      </c>
      <c r="O817" s="4"/>
    </row>
    <row r="818" spans="1:15" x14ac:dyDescent="0.25">
      <c r="A818" s="14"/>
      <c r="B818" s="14"/>
      <c r="C818" s="14"/>
      <c r="D818" s="5" t="str">
        <f t="shared" si="81"/>
        <v/>
      </c>
      <c r="E818" s="5" t="str">
        <f t="shared" si="82"/>
        <v/>
      </c>
      <c r="F818" s="5" t="str">
        <f t="shared" si="83"/>
        <v/>
      </c>
      <c r="G818" s="23"/>
      <c r="H818" s="66"/>
      <c r="I818" s="14"/>
      <c r="J818" s="14"/>
      <c r="K818" s="14"/>
      <c r="L818" s="5" t="str">
        <f t="shared" si="78"/>
        <v/>
      </c>
      <c r="M818" s="5" t="str">
        <f t="shared" si="79"/>
        <v/>
      </c>
      <c r="N818" s="5" t="str">
        <f t="shared" si="80"/>
        <v/>
      </c>
      <c r="O818" s="4"/>
    </row>
    <row r="819" spans="1:15" x14ac:dyDescent="0.25">
      <c r="A819" s="14"/>
      <c r="B819" s="14"/>
      <c r="C819" s="14"/>
      <c r="D819" s="5" t="str">
        <f t="shared" si="81"/>
        <v/>
      </c>
      <c r="E819" s="5" t="str">
        <f t="shared" si="82"/>
        <v/>
      </c>
      <c r="F819" s="5" t="str">
        <f t="shared" si="83"/>
        <v/>
      </c>
      <c r="G819" s="23"/>
      <c r="H819" s="66"/>
      <c r="I819" s="14"/>
      <c r="J819" s="14"/>
      <c r="K819" s="14"/>
      <c r="L819" s="5" t="str">
        <f t="shared" si="78"/>
        <v/>
      </c>
      <c r="M819" s="5" t="str">
        <f t="shared" si="79"/>
        <v/>
      </c>
      <c r="N819" s="5" t="str">
        <f t="shared" si="80"/>
        <v/>
      </c>
      <c r="O819" s="4"/>
    </row>
    <row r="820" spans="1:15" x14ac:dyDescent="0.25">
      <c r="A820" s="14"/>
      <c r="B820" s="14"/>
      <c r="C820" s="14"/>
      <c r="D820" s="5" t="str">
        <f t="shared" si="81"/>
        <v/>
      </c>
      <c r="E820" s="5" t="str">
        <f t="shared" si="82"/>
        <v/>
      </c>
      <c r="F820" s="5" t="str">
        <f t="shared" si="83"/>
        <v/>
      </c>
      <c r="G820" s="23"/>
      <c r="H820" s="66"/>
      <c r="I820" s="14"/>
      <c r="J820" s="14"/>
      <c r="K820" s="14"/>
      <c r="L820" s="5" t="str">
        <f t="shared" si="78"/>
        <v/>
      </c>
      <c r="M820" s="5" t="str">
        <f t="shared" si="79"/>
        <v/>
      </c>
      <c r="N820" s="5" t="str">
        <f t="shared" si="80"/>
        <v/>
      </c>
      <c r="O820" s="4"/>
    </row>
    <row r="821" spans="1:15" x14ac:dyDescent="0.25">
      <c r="A821" s="14"/>
      <c r="B821" s="14"/>
      <c r="C821" s="14"/>
      <c r="D821" s="5" t="str">
        <f t="shared" si="81"/>
        <v/>
      </c>
      <c r="E821" s="5" t="str">
        <f t="shared" si="82"/>
        <v/>
      </c>
      <c r="F821" s="5" t="str">
        <f t="shared" si="83"/>
        <v/>
      </c>
      <c r="G821" s="23"/>
      <c r="H821" s="66"/>
      <c r="I821" s="14"/>
      <c r="J821" s="14"/>
      <c r="K821" s="14"/>
      <c r="L821" s="5" t="str">
        <f t="shared" si="78"/>
        <v/>
      </c>
      <c r="M821" s="5" t="str">
        <f t="shared" si="79"/>
        <v/>
      </c>
      <c r="N821" s="5" t="str">
        <f t="shared" si="80"/>
        <v/>
      </c>
      <c r="O821" s="4"/>
    </row>
    <row r="822" spans="1:15" x14ac:dyDescent="0.25">
      <c r="A822" s="14"/>
      <c r="B822" s="14"/>
      <c r="C822" s="14"/>
      <c r="D822" s="5" t="str">
        <f t="shared" si="81"/>
        <v/>
      </c>
      <c r="E822" s="5" t="str">
        <f t="shared" si="82"/>
        <v/>
      </c>
      <c r="F822" s="5" t="str">
        <f t="shared" si="83"/>
        <v/>
      </c>
      <c r="G822" s="23"/>
      <c r="H822" s="66"/>
      <c r="I822" s="14"/>
      <c r="J822" s="14"/>
      <c r="K822" s="14"/>
      <c r="L822" s="5" t="str">
        <f t="shared" si="78"/>
        <v/>
      </c>
      <c r="M822" s="5" t="str">
        <f t="shared" si="79"/>
        <v/>
      </c>
      <c r="N822" s="5" t="str">
        <f t="shared" si="80"/>
        <v/>
      </c>
      <c r="O822" s="4"/>
    </row>
    <row r="823" spans="1:15" x14ac:dyDescent="0.25">
      <c r="A823" s="14"/>
      <c r="B823" s="14"/>
      <c r="C823" s="14"/>
      <c r="D823" s="5" t="str">
        <f t="shared" si="81"/>
        <v/>
      </c>
      <c r="E823" s="5" t="str">
        <f t="shared" si="82"/>
        <v/>
      </c>
      <c r="F823" s="5" t="str">
        <f t="shared" si="83"/>
        <v/>
      </c>
      <c r="G823" s="23"/>
      <c r="H823" s="66"/>
      <c r="I823" s="14"/>
      <c r="J823" s="14"/>
      <c r="K823" s="14"/>
      <c r="L823" s="5" t="str">
        <f t="shared" si="78"/>
        <v/>
      </c>
      <c r="M823" s="5" t="str">
        <f t="shared" si="79"/>
        <v/>
      </c>
      <c r="N823" s="5" t="str">
        <f t="shared" si="80"/>
        <v/>
      </c>
      <c r="O823" s="4"/>
    </row>
    <row r="824" spans="1:15" x14ac:dyDescent="0.25">
      <c r="A824" s="14"/>
      <c r="B824" s="14"/>
      <c r="C824" s="14"/>
      <c r="D824" s="5" t="str">
        <f t="shared" si="81"/>
        <v/>
      </c>
      <c r="E824" s="5" t="str">
        <f t="shared" si="82"/>
        <v/>
      </c>
      <c r="F824" s="5" t="str">
        <f t="shared" si="83"/>
        <v/>
      </c>
      <c r="G824" s="23"/>
      <c r="H824" s="66"/>
      <c r="I824" s="14"/>
      <c r="J824" s="14"/>
      <c r="K824" s="14"/>
      <c r="L824" s="5" t="str">
        <f t="shared" si="78"/>
        <v/>
      </c>
      <c r="M824" s="5" t="str">
        <f t="shared" si="79"/>
        <v/>
      </c>
      <c r="N824" s="5" t="str">
        <f t="shared" si="80"/>
        <v/>
      </c>
      <c r="O824" s="4"/>
    </row>
    <row r="825" spans="1:15" x14ac:dyDescent="0.25">
      <c r="A825" s="14"/>
      <c r="B825" s="14"/>
      <c r="C825" s="14"/>
      <c r="D825" s="5" t="str">
        <f t="shared" si="81"/>
        <v/>
      </c>
      <c r="E825" s="5" t="str">
        <f t="shared" si="82"/>
        <v/>
      </c>
      <c r="F825" s="5" t="str">
        <f t="shared" si="83"/>
        <v/>
      </c>
      <c r="G825" s="23"/>
      <c r="H825" s="66"/>
      <c r="I825" s="14"/>
      <c r="J825" s="14"/>
      <c r="K825" s="14"/>
      <c r="L825" s="5" t="str">
        <f t="shared" si="78"/>
        <v/>
      </c>
      <c r="M825" s="5" t="str">
        <f t="shared" si="79"/>
        <v/>
      </c>
      <c r="N825" s="5" t="str">
        <f t="shared" si="80"/>
        <v/>
      </c>
      <c r="O825" s="4"/>
    </row>
    <row r="826" spans="1:15" x14ac:dyDescent="0.25">
      <c r="A826" s="14"/>
      <c r="B826" s="14"/>
      <c r="C826" s="14"/>
      <c r="D826" s="5" t="str">
        <f t="shared" si="81"/>
        <v/>
      </c>
      <c r="E826" s="5" t="str">
        <f t="shared" si="82"/>
        <v/>
      </c>
      <c r="F826" s="5" t="str">
        <f t="shared" si="83"/>
        <v/>
      </c>
      <c r="G826" s="23"/>
      <c r="H826" s="66"/>
      <c r="I826" s="14"/>
      <c r="J826" s="14"/>
      <c r="K826" s="14"/>
      <c r="L826" s="5" t="str">
        <f t="shared" si="78"/>
        <v/>
      </c>
      <c r="M826" s="5" t="str">
        <f t="shared" si="79"/>
        <v/>
      </c>
      <c r="N826" s="5" t="str">
        <f t="shared" si="80"/>
        <v/>
      </c>
      <c r="O826" s="4"/>
    </row>
    <row r="827" spans="1:15" x14ac:dyDescent="0.25">
      <c r="A827" s="14"/>
      <c r="B827" s="14"/>
      <c r="C827" s="14"/>
      <c r="D827" s="5" t="str">
        <f t="shared" si="81"/>
        <v/>
      </c>
      <c r="E827" s="5" t="str">
        <f t="shared" si="82"/>
        <v/>
      </c>
      <c r="F827" s="5" t="str">
        <f t="shared" si="83"/>
        <v/>
      </c>
      <c r="G827" s="23"/>
      <c r="H827" s="66"/>
      <c r="I827" s="14"/>
      <c r="J827" s="14"/>
      <c r="K827" s="14"/>
      <c r="L827" s="5" t="str">
        <f t="shared" si="78"/>
        <v/>
      </c>
      <c r="M827" s="5" t="str">
        <f t="shared" si="79"/>
        <v/>
      </c>
      <c r="N827" s="5" t="str">
        <f t="shared" si="80"/>
        <v/>
      </c>
      <c r="O827" s="4"/>
    </row>
    <row r="828" spans="1:15" x14ac:dyDescent="0.25">
      <c r="A828" s="14"/>
      <c r="B828" s="14"/>
      <c r="C828" s="14"/>
      <c r="D828" s="5" t="str">
        <f t="shared" si="81"/>
        <v/>
      </c>
      <c r="E828" s="5" t="str">
        <f t="shared" si="82"/>
        <v/>
      </c>
      <c r="F828" s="5" t="str">
        <f t="shared" si="83"/>
        <v/>
      </c>
      <c r="G828" s="23"/>
      <c r="H828" s="66"/>
      <c r="I828" s="14"/>
      <c r="J828" s="14"/>
      <c r="K828" s="14"/>
      <c r="L828" s="5" t="str">
        <f t="shared" si="78"/>
        <v/>
      </c>
      <c r="M828" s="5" t="str">
        <f t="shared" si="79"/>
        <v/>
      </c>
      <c r="N828" s="5" t="str">
        <f t="shared" si="80"/>
        <v/>
      </c>
      <c r="O828" s="4"/>
    </row>
    <row r="829" spans="1:15" x14ac:dyDescent="0.25">
      <c r="A829" s="14"/>
      <c r="B829" s="14"/>
      <c r="C829" s="14"/>
      <c r="D829" s="5" t="str">
        <f t="shared" si="81"/>
        <v/>
      </c>
      <c r="E829" s="5" t="str">
        <f t="shared" si="82"/>
        <v/>
      </c>
      <c r="F829" s="5" t="str">
        <f t="shared" si="83"/>
        <v/>
      </c>
      <c r="G829" s="23"/>
      <c r="H829" s="66"/>
      <c r="I829" s="14"/>
      <c r="J829" s="14"/>
      <c r="K829" s="14"/>
      <c r="L829" s="5" t="str">
        <f t="shared" si="78"/>
        <v/>
      </c>
      <c r="M829" s="5" t="str">
        <f t="shared" si="79"/>
        <v/>
      </c>
      <c r="N829" s="5" t="str">
        <f t="shared" si="80"/>
        <v/>
      </c>
      <c r="O829" s="4"/>
    </row>
    <row r="830" spans="1:15" x14ac:dyDescent="0.25">
      <c r="A830" s="14"/>
      <c r="B830" s="14"/>
      <c r="C830" s="14"/>
      <c r="D830" s="5" t="str">
        <f t="shared" si="81"/>
        <v/>
      </c>
      <c r="E830" s="5" t="str">
        <f t="shared" si="82"/>
        <v/>
      </c>
      <c r="F830" s="5" t="str">
        <f t="shared" si="83"/>
        <v/>
      </c>
      <c r="G830" s="23"/>
      <c r="H830" s="66"/>
      <c r="I830" s="14"/>
      <c r="J830" s="14"/>
      <c r="K830" s="14"/>
      <c r="L830" s="5" t="str">
        <f t="shared" si="78"/>
        <v/>
      </c>
      <c r="M830" s="5" t="str">
        <f t="shared" si="79"/>
        <v/>
      </c>
      <c r="N830" s="5" t="str">
        <f t="shared" si="80"/>
        <v/>
      </c>
      <c r="O830" s="4"/>
    </row>
    <row r="831" spans="1:15" x14ac:dyDescent="0.25">
      <c r="A831" s="14"/>
      <c r="B831" s="14"/>
      <c r="C831" s="14"/>
      <c r="D831" s="5" t="str">
        <f t="shared" si="81"/>
        <v/>
      </c>
      <c r="E831" s="5" t="str">
        <f t="shared" si="82"/>
        <v/>
      </c>
      <c r="F831" s="5" t="str">
        <f t="shared" si="83"/>
        <v/>
      </c>
      <c r="G831" s="23"/>
      <c r="H831" s="66"/>
      <c r="I831" s="14"/>
      <c r="J831" s="14"/>
      <c r="K831" s="14"/>
      <c r="L831" s="5" t="str">
        <f t="shared" si="78"/>
        <v/>
      </c>
      <c r="M831" s="5" t="str">
        <f t="shared" si="79"/>
        <v/>
      </c>
      <c r="N831" s="5" t="str">
        <f t="shared" si="80"/>
        <v/>
      </c>
      <c r="O831" s="4"/>
    </row>
    <row r="832" spans="1:15" x14ac:dyDescent="0.25">
      <c r="A832" s="14"/>
      <c r="B832" s="14"/>
      <c r="C832" s="14"/>
      <c r="D832" s="5" t="str">
        <f t="shared" si="81"/>
        <v/>
      </c>
      <c r="E832" s="5" t="str">
        <f t="shared" si="82"/>
        <v/>
      </c>
      <c r="F832" s="5" t="str">
        <f t="shared" si="83"/>
        <v/>
      </c>
      <c r="G832" s="23"/>
      <c r="H832" s="66"/>
      <c r="I832" s="14"/>
      <c r="J832" s="14"/>
      <c r="K832" s="14"/>
      <c r="L832" s="5" t="str">
        <f t="shared" si="78"/>
        <v/>
      </c>
      <c r="M832" s="5" t="str">
        <f t="shared" si="79"/>
        <v/>
      </c>
      <c r="N832" s="5" t="str">
        <f t="shared" si="80"/>
        <v/>
      </c>
      <c r="O832" s="4"/>
    </row>
    <row r="833" spans="1:15" x14ac:dyDescent="0.25">
      <c r="A833" s="14"/>
      <c r="B833" s="14"/>
      <c r="C833" s="14"/>
      <c r="D833" s="5" t="str">
        <f t="shared" si="81"/>
        <v/>
      </c>
      <c r="E833" s="5" t="str">
        <f t="shared" si="82"/>
        <v/>
      </c>
      <c r="F833" s="5" t="str">
        <f t="shared" si="83"/>
        <v/>
      </c>
      <c r="G833" s="23"/>
      <c r="H833" s="66"/>
      <c r="I833" s="14"/>
      <c r="J833" s="14"/>
      <c r="K833" s="14"/>
      <c r="L833" s="5" t="str">
        <f t="shared" si="78"/>
        <v/>
      </c>
      <c r="M833" s="5" t="str">
        <f t="shared" si="79"/>
        <v/>
      </c>
      <c r="N833" s="5" t="str">
        <f t="shared" si="80"/>
        <v/>
      </c>
      <c r="O833" s="4"/>
    </row>
    <row r="834" spans="1:15" x14ac:dyDescent="0.25">
      <c r="A834" s="14"/>
      <c r="B834" s="14"/>
      <c r="C834" s="14"/>
      <c r="D834" s="5" t="str">
        <f t="shared" si="81"/>
        <v/>
      </c>
      <c r="E834" s="5" t="str">
        <f t="shared" si="82"/>
        <v/>
      </c>
      <c r="F834" s="5" t="str">
        <f t="shared" si="83"/>
        <v/>
      </c>
      <c r="G834" s="23"/>
      <c r="H834" s="66"/>
      <c r="I834" s="14"/>
      <c r="J834" s="14"/>
      <c r="K834" s="14"/>
      <c r="L834" s="5" t="str">
        <f t="shared" si="78"/>
        <v/>
      </c>
      <c r="M834" s="5" t="str">
        <f t="shared" si="79"/>
        <v/>
      </c>
      <c r="N834" s="5" t="str">
        <f t="shared" si="80"/>
        <v/>
      </c>
      <c r="O834" s="4"/>
    </row>
    <row r="835" spans="1:15" x14ac:dyDescent="0.25">
      <c r="A835" s="14"/>
      <c r="B835" s="14"/>
      <c r="C835" s="14"/>
      <c r="D835" s="5" t="str">
        <f t="shared" si="81"/>
        <v/>
      </c>
      <c r="E835" s="5" t="str">
        <f t="shared" si="82"/>
        <v/>
      </c>
      <c r="F835" s="5" t="str">
        <f t="shared" si="83"/>
        <v/>
      </c>
      <c r="G835" s="23"/>
      <c r="H835" s="66"/>
      <c r="I835" s="14"/>
      <c r="J835" s="14"/>
      <c r="K835" s="14"/>
      <c r="L835" s="5" t="str">
        <f t="shared" si="78"/>
        <v/>
      </c>
      <c r="M835" s="5" t="str">
        <f t="shared" si="79"/>
        <v/>
      </c>
      <c r="N835" s="5" t="str">
        <f t="shared" si="80"/>
        <v/>
      </c>
      <c r="O835" s="4"/>
    </row>
    <row r="836" spans="1:15" x14ac:dyDescent="0.25">
      <c r="A836" s="14"/>
      <c r="B836" s="14"/>
      <c r="C836" s="14"/>
      <c r="D836" s="5" t="str">
        <f t="shared" si="81"/>
        <v/>
      </c>
      <c r="E836" s="5" t="str">
        <f t="shared" si="82"/>
        <v/>
      </c>
      <c r="F836" s="5" t="str">
        <f t="shared" si="83"/>
        <v/>
      </c>
      <c r="G836" s="23"/>
      <c r="H836" s="66"/>
      <c r="I836" s="14"/>
      <c r="J836" s="14"/>
      <c r="K836" s="14"/>
      <c r="L836" s="5" t="str">
        <f t="shared" si="78"/>
        <v/>
      </c>
      <c r="M836" s="5" t="str">
        <f t="shared" si="79"/>
        <v/>
      </c>
      <c r="N836" s="5" t="str">
        <f t="shared" si="80"/>
        <v/>
      </c>
      <c r="O836" s="4"/>
    </row>
    <row r="837" spans="1:15" x14ac:dyDescent="0.25">
      <c r="A837" s="14"/>
      <c r="B837" s="14"/>
      <c r="C837" s="14"/>
      <c r="D837" s="5" t="str">
        <f t="shared" si="81"/>
        <v/>
      </c>
      <c r="E837" s="5" t="str">
        <f t="shared" si="82"/>
        <v/>
      </c>
      <c r="F837" s="5" t="str">
        <f t="shared" si="83"/>
        <v/>
      </c>
      <c r="G837" s="23"/>
      <c r="H837" s="66"/>
      <c r="I837" s="14"/>
      <c r="J837" s="14"/>
      <c r="K837" s="14"/>
      <c r="L837" s="5" t="str">
        <f t="shared" si="78"/>
        <v/>
      </c>
      <c r="M837" s="5" t="str">
        <f t="shared" si="79"/>
        <v/>
      </c>
      <c r="N837" s="5" t="str">
        <f t="shared" si="80"/>
        <v/>
      </c>
      <c r="O837" s="4"/>
    </row>
    <row r="838" spans="1:15" x14ac:dyDescent="0.25">
      <c r="A838" s="14"/>
      <c r="B838" s="14"/>
      <c r="C838" s="14"/>
      <c r="D838" s="5" t="str">
        <f t="shared" si="81"/>
        <v/>
      </c>
      <c r="E838" s="5" t="str">
        <f t="shared" si="82"/>
        <v/>
      </c>
      <c r="F838" s="5" t="str">
        <f t="shared" si="83"/>
        <v/>
      </c>
      <c r="G838" s="23"/>
      <c r="H838" s="66"/>
      <c r="I838" s="14"/>
      <c r="J838" s="14"/>
      <c r="K838" s="14"/>
      <c r="L838" s="5" t="str">
        <f t="shared" si="78"/>
        <v/>
      </c>
      <c r="M838" s="5" t="str">
        <f t="shared" si="79"/>
        <v/>
      </c>
      <c r="N838" s="5" t="str">
        <f t="shared" si="80"/>
        <v/>
      </c>
      <c r="O838" s="4"/>
    </row>
    <row r="839" spans="1:15" x14ac:dyDescent="0.25">
      <c r="A839" s="14"/>
      <c r="B839" s="14"/>
      <c r="C839" s="14"/>
      <c r="D839" s="5" t="str">
        <f t="shared" si="81"/>
        <v/>
      </c>
      <c r="E839" s="5" t="str">
        <f t="shared" si="82"/>
        <v/>
      </c>
      <c r="F839" s="5" t="str">
        <f t="shared" si="83"/>
        <v/>
      </c>
      <c r="G839" s="23"/>
      <c r="H839" s="66"/>
      <c r="I839" s="14"/>
      <c r="J839" s="14"/>
      <c r="K839" s="14"/>
      <c r="L839" s="5" t="str">
        <f t="shared" si="78"/>
        <v/>
      </c>
      <c r="M839" s="5" t="str">
        <f t="shared" si="79"/>
        <v/>
      </c>
      <c r="N839" s="5" t="str">
        <f t="shared" si="80"/>
        <v/>
      </c>
      <c r="O839" s="4"/>
    </row>
    <row r="840" spans="1:15" x14ac:dyDescent="0.25">
      <c r="A840" s="14"/>
      <c r="B840" s="14"/>
      <c r="C840" s="14"/>
      <c r="D840" s="5" t="str">
        <f t="shared" si="81"/>
        <v/>
      </c>
      <c r="E840" s="5" t="str">
        <f t="shared" si="82"/>
        <v/>
      </c>
      <c r="F840" s="5" t="str">
        <f t="shared" si="83"/>
        <v/>
      </c>
      <c r="G840" s="23"/>
      <c r="H840" s="66"/>
      <c r="I840" s="14"/>
      <c r="J840" s="14"/>
      <c r="K840" s="14"/>
      <c r="L840" s="5" t="str">
        <f t="shared" si="78"/>
        <v/>
      </c>
      <c r="M840" s="5" t="str">
        <f t="shared" si="79"/>
        <v/>
      </c>
      <c r="N840" s="5" t="str">
        <f t="shared" si="80"/>
        <v/>
      </c>
      <c r="O840" s="4"/>
    </row>
    <row r="841" spans="1:15" x14ac:dyDescent="0.25">
      <c r="A841" s="14"/>
      <c r="B841" s="14"/>
      <c r="C841" s="14"/>
      <c r="D841" s="5" t="str">
        <f t="shared" si="81"/>
        <v/>
      </c>
      <c r="E841" s="5" t="str">
        <f t="shared" si="82"/>
        <v/>
      </c>
      <c r="F841" s="5" t="str">
        <f t="shared" si="83"/>
        <v/>
      </c>
      <c r="G841" s="23"/>
      <c r="H841" s="66"/>
      <c r="I841" s="14"/>
      <c r="J841" s="14"/>
      <c r="K841" s="14"/>
      <c r="L841" s="5" t="str">
        <f t="shared" si="78"/>
        <v/>
      </c>
      <c r="M841" s="5" t="str">
        <f t="shared" si="79"/>
        <v/>
      </c>
      <c r="N841" s="5" t="str">
        <f t="shared" si="80"/>
        <v/>
      </c>
      <c r="O841" s="4"/>
    </row>
    <row r="842" spans="1:15" x14ac:dyDescent="0.25">
      <c r="A842" s="14"/>
      <c r="B842" s="14"/>
      <c r="C842" s="14"/>
      <c r="D842" s="5" t="str">
        <f t="shared" si="81"/>
        <v/>
      </c>
      <c r="E842" s="5" t="str">
        <f t="shared" si="82"/>
        <v/>
      </c>
      <c r="F842" s="5" t="str">
        <f t="shared" si="83"/>
        <v/>
      </c>
      <c r="G842" s="23"/>
      <c r="H842" s="66"/>
      <c r="I842" s="14"/>
      <c r="J842" s="14"/>
      <c r="K842" s="14"/>
      <c r="L842" s="5" t="str">
        <f t="shared" ref="L842:L905" si="84">IFERROR(IF(I842&lt;&gt;"",(((J842-J841)*$X$4/(I842-I841)))*$X$5,""),"")</f>
        <v/>
      </c>
      <c r="M842" s="5" t="str">
        <f t="shared" ref="M842:M905" si="85">IFERROR(IF(I842&lt;&gt;"",(((K842-K841)*$X$4/(I842-I841)))*$X$5,""),"")</f>
        <v/>
      </c>
      <c r="N842" s="5" t="str">
        <f t="shared" ref="N842:N905" si="86">IFERROR(IF(I842&lt;&gt;"",((ACOS((COS(RADIANS(J841))*COS(RADIANS(J842)))+(SIN(RADIANS(J841))*SIN(RADIANS(J842)))*COS(RADIANS(K842-K841)))*180/PI()*($X$4/(I842-I841))))*$X$5,""),"")</f>
        <v/>
      </c>
      <c r="O842" s="4"/>
    </row>
    <row r="843" spans="1:15" x14ac:dyDescent="0.25">
      <c r="A843" s="14"/>
      <c r="B843" s="14"/>
      <c r="C843" s="14"/>
      <c r="D843" s="5" t="str">
        <f t="shared" si="81"/>
        <v/>
      </c>
      <c r="E843" s="5" t="str">
        <f t="shared" si="82"/>
        <v/>
      </c>
      <c r="F843" s="5" t="str">
        <f t="shared" si="83"/>
        <v/>
      </c>
      <c r="G843" s="23"/>
      <c r="H843" s="66"/>
      <c r="I843" s="14"/>
      <c r="J843" s="14"/>
      <c r="K843" s="14"/>
      <c r="L843" s="5" t="str">
        <f t="shared" si="84"/>
        <v/>
      </c>
      <c r="M843" s="5" t="str">
        <f t="shared" si="85"/>
        <v/>
      </c>
      <c r="N843" s="5" t="str">
        <f t="shared" si="86"/>
        <v/>
      </c>
      <c r="O843" s="4"/>
    </row>
    <row r="844" spans="1:15" x14ac:dyDescent="0.25">
      <c r="A844" s="14"/>
      <c r="B844" s="14"/>
      <c r="C844" s="14"/>
      <c r="D844" s="5" t="str">
        <f t="shared" si="81"/>
        <v/>
      </c>
      <c r="E844" s="5" t="str">
        <f t="shared" si="82"/>
        <v/>
      </c>
      <c r="F844" s="5" t="str">
        <f t="shared" si="83"/>
        <v/>
      </c>
      <c r="G844" s="23"/>
      <c r="H844" s="66"/>
      <c r="I844" s="14"/>
      <c r="J844" s="14"/>
      <c r="K844" s="14"/>
      <c r="L844" s="5" t="str">
        <f t="shared" si="84"/>
        <v/>
      </c>
      <c r="M844" s="5" t="str">
        <f t="shared" si="85"/>
        <v/>
      </c>
      <c r="N844" s="5" t="str">
        <f t="shared" si="86"/>
        <v/>
      </c>
      <c r="O844" s="4"/>
    </row>
    <row r="845" spans="1:15" x14ac:dyDescent="0.25">
      <c r="A845" s="14"/>
      <c r="B845" s="14"/>
      <c r="C845" s="14"/>
      <c r="D845" s="5" t="str">
        <f t="shared" si="81"/>
        <v/>
      </c>
      <c r="E845" s="5" t="str">
        <f t="shared" si="82"/>
        <v/>
      </c>
      <c r="F845" s="5" t="str">
        <f t="shared" si="83"/>
        <v/>
      </c>
      <c r="G845" s="23"/>
      <c r="H845" s="66"/>
      <c r="I845" s="14"/>
      <c r="J845" s="14"/>
      <c r="K845" s="14"/>
      <c r="L845" s="5" t="str">
        <f t="shared" si="84"/>
        <v/>
      </c>
      <c r="M845" s="5" t="str">
        <f t="shared" si="85"/>
        <v/>
      </c>
      <c r="N845" s="5" t="str">
        <f t="shared" si="86"/>
        <v/>
      </c>
      <c r="O845" s="4"/>
    </row>
    <row r="846" spans="1:15" x14ac:dyDescent="0.25">
      <c r="A846" s="14"/>
      <c r="B846" s="14"/>
      <c r="C846" s="14"/>
      <c r="D846" s="5" t="str">
        <f t="shared" si="81"/>
        <v/>
      </c>
      <c r="E846" s="5" t="str">
        <f t="shared" si="82"/>
        <v/>
      </c>
      <c r="F846" s="5" t="str">
        <f t="shared" si="83"/>
        <v/>
      </c>
      <c r="G846" s="23"/>
      <c r="H846" s="66"/>
      <c r="I846" s="14"/>
      <c r="J846" s="14"/>
      <c r="K846" s="14"/>
      <c r="L846" s="5" t="str">
        <f t="shared" si="84"/>
        <v/>
      </c>
      <c r="M846" s="5" t="str">
        <f t="shared" si="85"/>
        <v/>
      </c>
      <c r="N846" s="5" t="str">
        <f t="shared" si="86"/>
        <v/>
      </c>
      <c r="O846" s="4"/>
    </row>
    <row r="847" spans="1:15" x14ac:dyDescent="0.25">
      <c r="A847" s="14"/>
      <c r="B847" s="14"/>
      <c r="C847" s="14"/>
      <c r="D847" s="5" t="str">
        <f t="shared" si="81"/>
        <v/>
      </c>
      <c r="E847" s="5" t="str">
        <f t="shared" si="82"/>
        <v/>
      </c>
      <c r="F847" s="5" t="str">
        <f t="shared" si="83"/>
        <v/>
      </c>
      <c r="G847" s="23"/>
      <c r="H847" s="66"/>
      <c r="I847" s="14"/>
      <c r="J847" s="14"/>
      <c r="K847" s="14"/>
      <c r="L847" s="5" t="str">
        <f t="shared" si="84"/>
        <v/>
      </c>
      <c r="M847" s="5" t="str">
        <f t="shared" si="85"/>
        <v/>
      </c>
      <c r="N847" s="5" t="str">
        <f t="shared" si="86"/>
        <v/>
      </c>
      <c r="O847" s="4"/>
    </row>
    <row r="848" spans="1:15" x14ac:dyDescent="0.25">
      <c r="A848" s="14"/>
      <c r="B848" s="14"/>
      <c r="C848" s="14"/>
      <c r="D848" s="5" t="str">
        <f t="shared" si="81"/>
        <v/>
      </c>
      <c r="E848" s="5" t="str">
        <f t="shared" si="82"/>
        <v/>
      </c>
      <c r="F848" s="5" t="str">
        <f t="shared" si="83"/>
        <v/>
      </c>
      <c r="G848" s="23"/>
      <c r="H848" s="66"/>
      <c r="I848" s="14"/>
      <c r="J848" s="14"/>
      <c r="K848" s="14"/>
      <c r="L848" s="5" t="str">
        <f t="shared" si="84"/>
        <v/>
      </c>
      <c r="M848" s="5" t="str">
        <f t="shared" si="85"/>
        <v/>
      </c>
      <c r="N848" s="5" t="str">
        <f t="shared" si="86"/>
        <v/>
      </c>
      <c r="O848" s="4"/>
    </row>
    <row r="849" spans="1:15" x14ac:dyDescent="0.25">
      <c r="A849" s="14"/>
      <c r="B849" s="14"/>
      <c r="C849" s="14"/>
      <c r="D849" s="5" t="str">
        <f t="shared" si="81"/>
        <v/>
      </c>
      <c r="E849" s="5" t="str">
        <f t="shared" si="82"/>
        <v/>
      </c>
      <c r="F849" s="5" t="str">
        <f t="shared" si="83"/>
        <v/>
      </c>
      <c r="G849" s="23"/>
      <c r="H849" s="66"/>
      <c r="I849" s="14"/>
      <c r="J849" s="14"/>
      <c r="K849" s="14"/>
      <c r="L849" s="5" t="str">
        <f t="shared" si="84"/>
        <v/>
      </c>
      <c r="M849" s="5" t="str">
        <f t="shared" si="85"/>
        <v/>
      </c>
      <c r="N849" s="5" t="str">
        <f t="shared" si="86"/>
        <v/>
      </c>
      <c r="O849" s="4"/>
    </row>
    <row r="850" spans="1:15" x14ac:dyDescent="0.25">
      <c r="A850" s="14"/>
      <c r="B850" s="14"/>
      <c r="C850" s="14"/>
      <c r="D850" s="5" t="str">
        <f t="shared" si="81"/>
        <v/>
      </c>
      <c r="E850" s="5" t="str">
        <f t="shared" si="82"/>
        <v/>
      </c>
      <c r="F850" s="5" t="str">
        <f t="shared" si="83"/>
        <v/>
      </c>
      <c r="G850" s="23"/>
      <c r="H850" s="66"/>
      <c r="I850" s="14"/>
      <c r="J850" s="14"/>
      <c r="K850" s="14"/>
      <c r="L850" s="5" t="str">
        <f t="shared" si="84"/>
        <v/>
      </c>
      <c r="M850" s="5" t="str">
        <f t="shared" si="85"/>
        <v/>
      </c>
      <c r="N850" s="5" t="str">
        <f t="shared" si="86"/>
        <v/>
      </c>
      <c r="O850" s="4"/>
    </row>
    <row r="851" spans="1:15" x14ac:dyDescent="0.25">
      <c r="A851" s="14"/>
      <c r="B851" s="14"/>
      <c r="C851" s="14"/>
      <c r="D851" s="5" t="str">
        <f t="shared" si="81"/>
        <v/>
      </c>
      <c r="E851" s="5" t="str">
        <f t="shared" si="82"/>
        <v/>
      </c>
      <c r="F851" s="5" t="str">
        <f t="shared" si="83"/>
        <v/>
      </c>
      <c r="G851" s="23"/>
      <c r="H851" s="66"/>
      <c r="I851" s="14"/>
      <c r="J851" s="14"/>
      <c r="K851" s="14"/>
      <c r="L851" s="5" t="str">
        <f t="shared" si="84"/>
        <v/>
      </c>
      <c r="M851" s="5" t="str">
        <f t="shared" si="85"/>
        <v/>
      </c>
      <c r="N851" s="5" t="str">
        <f t="shared" si="86"/>
        <v/>
      </c>
      <c r="O851" s="4"/>
    </row>
    <row r="852" spans="1:15" x14ac:dyDescent="0.25">
      <c r="A852" s="14"/>
      <c r="B852" s="14"/>
      <c r="C852" s="14"/>
      <c r="D852" s="5" t="str">
        <f t="shared" si="81"/>
        <v/>
      </c>
      <c r="E852" s="5" t="str">
        <f t="shared" si="82"/>
        <v/>
      </c>
      <c r="F852" s="5" t="str">
        <f t="shared" si="83"/>
        <v/>
      </c>
      <c r="G852" s="23"/>
      <c r="H852" s="66"/>
      <c r="I852" s="14"/>
      <c r="J852" s="14"/>
      <c r="K852" s="14"/>
      <c r="L852" s="5" t="str">
        <f t="shared" si="84"/>
        <v/>
      </c>
      <c r="M852" s="5" t="str">
        <f t="shared" si="85"/>
        <v/>
      </c>
      <c r="N852" s="5" t="str">
        <f t="shared" si="86"/>
        <v/>
      </c>
      <c r="O852" s="4"/>
    </row>
    <row r="853" spans="1:15" x14ac:dyDescent="0.25">
      <c r="A853" s="14"/>
      <c r="B853" s="14"/>
      <c r="C853" s="14"/>
      <c r="D853" s="5" t="str">
        <f t="shared" si="81"/>
        <v/>
      </c>
      <c r="E853" s="5" t="str">
        <f t="shared" si="82"/>
        <v/>
      </c>
      <c r="F853" s="5" t="str">
        <f t="shared" si="83"/>
        <v/>
      </c>
      <c r="G853" s="23"/>
      <c r="H853" s="66"/>
      <c r="I853" s="14"/>
      <c r="J853" s="14"/>
      <c r="K853" s="14"/>
      <c r="L853" s="5" t="str">
        <f t="shared" si="84"/>
        <v/>
      </c>
      <c r="M853" s="5" t="str">
        <f t="shared" si="85"/>
        <v/>
      </c>
      <c r="N853" s="5" t="str">
        <f t="shared" si="86"/>
        <v/>
      </c>
      <c r="O853" s="4"/>
    </row>
    <row r="854" spans="1:15" x14ac:dyDescent="0.25">
      <c r="A854" s="14"/>
      <c r="B854" s="14"/>
      <c r="C854" s="14"/>
      <c r="D854" s="5" t="str">
        <f t="shared" si="81"/>
        <v/>
      </c>
      <c r="E854" s="5" t="str">
        <f t="shared" si="82"/>
        <v/>
      </c>
      <c r="F854" s="5" t="str">
        <f t="shared" si="83"/>
        <v/>
      </c>
      <c r="G854" s="23"/>
      <c r="H854" s="66"/>
      <c r="I854" s="14"/>
      <c r="J854" s="14"/>
      <c r="K854" s="14"/>
      <c r="L854" s="5" t="str">
        <f t="shared" si="84"/>
        <v/>
      </c>
      <c r="M854" s="5" t="str">
        <f t="shared" si="85"/>
        <v/>
      </c>
      <c r="N854" s="5" t="str">
        <f t="shared" si="86"/>
        <v/>
      </c>
      <c r="O854" s="4"/>
    </row>
    <row r="855" spans="1:15" x14ac:dyDescent="0.25">
      <c r="A855" s="14"/>
      <c r="B855" s="14"/>
      <c r="C855" s="14"/>
      <c r="D855" s="5" t="str">
        <f t="shared" si="81"/>
        <v/>
      </c>
      <c r="E855" s="5" t="str">
        <f t="shared" si="82"/>
        <v/>
      </c>
      <c r="F855" s="5" t="str">
        <f t="shared" si="83"/>
        <v/>
      </c>
      <c r="G855" s="23"/>
      <c r="H855" s="66"/>
      <c r="I855" s="14"/>
      <c r="J855" s="14"/>
      <c r="K855" s="14"/>
      <c r="L855" s="5" t="str">
        <f t="shared" si="84"/>
        <v/>
      </c>
      <c r="M855" s="5" t="str">
        <f t="shared" si="85"/>
        <v/>
      </c>
      <c r="N855" s="5" t="str">
        <f t="shared" si="86"/>
        <v/>
      </c>
      <c r="O855" s="4"/>
    </row>
    <row r="856" spans="1:15" x14ac:dyDescent="0.25">
      <c r="A856" s="14"/>
      <c r="B856" s="14"/>
      <c r="C856" s="14"/>
      <c r="D856" s="5" t="str">
        <f t="shared" si="81"/>
        <v/>
      </c>
      <c r="E856" s="5" t="str">
        <f t="shared" si="82"/>
        <v/>
      </c>
      <c r="F856" s="5" t="str">
        <f t="shared" si="83"/>
        <v/>
      </c>
      <c r="G856" s="23"/>
      <c r="H856" s="66"/>
      <c r="I856" s="14"/>
      <c r="J856" s="14"/>
      <c r="K856" s="14"/>
      <c r="L856" s="5" t="str">
        <f t="shared" si="84"/>
        <v/>
      </c>
      <c r="M856" s="5" t="str">
        <f t="shared" si="85"/>
        <v/>
      </c>
      <c r="N856" s="5" t="str">
        <f t="shared" si="86"/>
        <v/>
      </c>
      <c r="O856" s="4"/>
    </row>
    <row r="857" spans="1:15" x14ac:dyDescent="0.25">
      <c r="A857" s="14"/>
      <c r="B857" s="14"/>
      <c r="C857" s="14"/>
      <c r="D857" s="5" t="str">
        <f t="shared" ref="D857:D920" si="87">IFERROR( IF(A857&lt;&gt;"",((B857-B856)*$X$4/(A857-A856))*$X$5,""),"")</f>
        <v/>
      </c>
      <c r="E857" s="5" t="str">
        <f t="shared" ref="E857:E920" si="88">IFERROR(IF(A857&lt;&gt;"",((C857-C856)*$X$4/(A857-A856))*$X$5,""),"")</f>
        <v/>
      </c>
      <c r="F857" s="5" t="str">
        <f t="shared" ref="F857:F920" si="89">IFERROR(IF(A857&lt;&gt;"",((ACOS((COS(RADIANS(B856))*COS(RADIANS(B857)))+(SIN(RADIANS(B856))*SIN(RADIANS(B857)))*COS(RADIANS(C857-C856)))*180/PI()*($X$4/(A857-A856))))*$X$5,""),"")</f>
        <v/>
      </c>
      <c r="G857" s="23"/>
      <c r="H857" s="66"/>
      <c r="I857" s="14"/>
      <c r="J857" s="14"/>
      <c r="K857" s="14"/>
      <c r="L857" s="5" t="str">
        <f t="shared" si="84"/>
        <v/>
      </c>
      <c r="M857" s="5" t="str">
        <f t="shared" si="85"/>
        <v/>
      </c>
      <c r="N857" s="5" t="str">
        <f t="shared" si="86"/>
        <v/>
      </c>
      <c r="O857" s="4"/>
    </row>
    <row r="858" spans="1:15" x14ac:dyDescent="0.25">
      <c r="A858" s="14"/>
      <c r="B858" s="14"/>
      <c r="C858" s="14"/>
      <c r="D858" s="5" t="str">
        <f t="shared" si="87"/>
        <v/>
      </c>
      <c r="E858" s="5" t="str">
        <f t="shared" si="88"/>
        <v/>
      </c>
      <c r="F858" s="5" t="str">
        <f t="shared" si="89"/>
        <v/>
      </c>
      <c r="G858" s="23"/>
      <c r="H858" s="66"/>
      <c r="I858" s="14"/>
      <c r="J858" s="14"/>
      <c r="K858" s="14"/>
      <c r="L858" s="5" t="str">
        <f t="shared" si="84"/>
        <v/>
      </c>
      <c r="M858" s="5" t="str">
        <f t="shared" si="85"/>
        <v/>
      </c>
      <c r="N858" s="5" t="str">
        <f t="shared" si="86"/>
        <v/>
      </c>
      <c r="O858" s="4"/>
    </row>
    <row r="859" spans="1:15" x14ac:dyDescent="0.25">
      <c r="A859" s="14"/>
      <c r="B859" s="14"/>
      <c r="C859" s="14"/>
      <c r="D859" s="5" t="str">
        <f t="shared" si="87"/>
        <v/>
      </c>
      <c r="E859" s="5" t="str">
        <f t="shared" si="88"/>
        <v/>
      </c>
      <c r="F859" s="5" t="str">
        <f t="shared" si="89"/>
        <v/>
      </c>
      <c r="G859" s="23"/>
      <c r="H859" s="66"/>
      <c r="I859" s="14"/>
      <c r="J859" s="14"/>
      <c r="K859" s="14"/>
      <c r="L859" s="5" t="str">
        <f t="shared" si="84"/>
        <v/>
      </c>
      <c r="M859" s="5" t="str">
        <f t="shared" si="85"/>
        <v/>
      </c>
      <c r="N859" s="5" t="str">
        <f t="shared" si="86"/>
        <v/>
      </c>
      <c r="O859" s="4"/>
    </row>
    <row r="860" spans="1:15" x14ac:dyDescent="0.25">
      <c r="A860" s="14"/>
      <c r="B860" s="14"/>
      <c r="C860" s="14"/>
      <c r="D860" s="5" t="str">
        <f t="shared" si="87"/>
        <v/>
      </c>
      <c r="E860" s="5" t="str">
        <f t="shared" si="88"/>
        <v/>
      </c>
      <c r="F860" s="5" t="str">
        <f t="shared" si="89"/>
        <v/>
      </c>
      <c r="G860" s="23"/>
      <c r="H860" s="66"/>
      <c r="I860" s="14"/>
      <c r="J860" s="14"/>
      <c r="K860" s="14"/>
      <c r="L860" s="5" t="str">
        <f t="shared" si="84"/>
        <v/>
      </c>
      <c r="M860" s="5" t="str">
        <f t="shared" si="85"/>
        <v/>
      </c>
      <c r="N860" s="5" t="str">
        <f t="shared" si="86"/>
        <v/>
      </c>
      <c r="O860" s="4"/>
    </row>
    <row r="861" spans="1:15" x14ac:dyDescent="0.25">
      <c r="A861" s="14"/>
      <c r="B861" s="14"/>
      <c r="C861" s="14"/>
      <c r="D861" s="5" t="str">
        <f t="shared" si="87"/>
        <v/>
      </c>
      <c r="E861" s="5" t="str">
        <f t="shared" si="88"/>
        <v/>
      </c>
      <c r="F861" s="5" t="str">
        <f t="shared" si="89"/>
        <v/>
      </c>
      <c r="G861" s="23"/>
      <c r="H861" s="66"/>
      <c r="I861" s="14"/>
      <c r="J861" s="14"/>
      <c r="K861" s="14"/>
      <c r="L861" s="5" t="str">
        <f t="shared" si="84"/>
        <v/>
      </c>
      <c r="M861" s="5" t="str">
        <f t="shared" si="85"/>
        <v/>
      </c>
      <c r="N861" s="5" t="str">
        <f t="shared" si="86"/>
        <v/>
      </c>
      <c r="O861" s="4"/>
    </row>
    <row r="862" spans="1:15" x14ac:dyDescent="0.25">
      <c r="A862" s="14"/>
      <c r="B862" s="14"/>
      <c r="C862" s="14"/>
      <c r="D862" s="5" t="str">
        <f t="shared" si="87"/>
        <v/>
      </c>
      <c r="E862" s="5" t="str">
        <f t="shared" si="88"/>
        <v/>
      </c>
      <c r="F862" s="5" t="str">
        <f t="shared" si="89"/>
        <v/>
      </c>
      <c r="G862" s="23"/>
      <c r="H862" s="66"/>
      <c r="I862" s="14"/>
      <c r="J862" s="14"/>
      <c r="K862" s="14"/>
      <c r="L862" s="5" t="str">
        <f t="shared" si="84"/>
        <v/>
      </c>
      <c r="M862" s="5" t="str">
        <f t="shared" si="85"/>
        <v/>
      </c>
      <c r="N862" s="5" t="str">
        <f t="shared" si="86"/>
        <v/>
      </c>
      <c r="O862" s="4"/>
    </row>
    <row r="863" spans="1:15" x14ac:dyDescent="0.25">
      <c r="A863" s="14"/>
      <c r="B863" s="14"/>
      <c r="C863" s="14"/>
      <c r="D863" s="5" t="str">
        <f t="shared" si="87"/>
        <v/>
      </c>
      <c r="E863" s="5" t="str">
        <f t="shared" si="88"/>
        <v/>
      </c>
      <c r="F863" s="5" t="str">
        <f t="shared" si="89"/>
        <v/>
      </c>
      <c r="G863" s="23"/>
      <c r="H863" s="66"/>
      <c r="I863" s="14"/>
      <c r="J863" s="14"/>
      <c r="K863" s="14"/>
      <c r="L863" s="5" t="str">
        <f t="shared" si="84"/>
        <v/>
      </c>
      <c r="M863" s="5" t="str">
        <f t="shared" si="85"/>
        <v/>
      </c>
      <c r="N863" s="5" t="str">
        <f t="shared" si="86"/>
        <v/>
      </c>
      <c r="O863" s="4"/>
    </row>
    <row r="864" spans="1:15" x14ac:dyDescent="0.25">
      <c r="A864" s="14"/>
      <c r="B864" s="14"/>
      <c r="C864" s="14"/>
      <c r="D864" s="5" t="str">
        <f t="shared" si="87"/>
        <v/>
      </c>
      <c r="E864" s="5" t="str">
        <f t="shared" si="88"/>
        <v/>
      </c>
      <c r="F864" s="5" t="str">
        <f t="shared" si="89"/>
        <v/>
      </c>
      <c r="G864" s="23"/>
      <c r="H864" s="66"/>
      <c r="I864" s="14"/>
      <c r="J864" s="14"/>
      <c r="K864" s="14"/>
      <c r="L864" s="5" t="str">
        <f t="shared" si="84"/>
        <v/>
      </c>
      <c r="M864" s="5" t="str">
        <f t="shared" si="85"/>
        <v/>
      </c>
      <c r="N864" s="5" t="str">
        <f t="shared" si="86"/>
        <v/>
      </c>
      <c r="O864" s="4"/>
    </row>
    <row r="865" spans="1:15" x14ac:dyDescent="0.25">
      <c r="A865" s="14"/>
      <c r="B865" s="14"/>
      <c r="C865" s="14"/>
      <c r="D865" s="5" t="str">
        <f t="shared" si="87"/>
        <v/>
      </c>
      <c r="E865" s="5" t="str">
        <f t="shared" si="88"/>
        <v/>
      </c>
      <c r="F865" s="5" t="str">
        <f t="shared" si="89"/>
        <v/>
      </c>
      <c r="G865" s="23"/>
      <c r="H865" s="66"/>
      <c r="I865" s="14"/>
      <c r="J865" s="14"/>
      <c r="K865" s="14"/>
      <c r="L865" s="5" t="str">
        <f t="shared" si="84"/>
        <v/>
      </c>
      <c r="M865" s="5" t="str">
        <f t="shared" si="85"/>
        <v/>
      </c>
      <c r="N865" s="5" t="str">
        <f t="shared" si="86"/>
        <v/>
      </c>
      <c r="O865" s="4"/>
    </row>
    <row r="866" spans="1:15" x14ac:dyDescent="0.25">
      <c r="A866" s="14"/>
      <c r="B866" s="14"/>
      <c r="C866" s="14"/>
      <c r="D866" s="5" t="str">
        <f t="shared" si="87"/>
        <v/>
      </c>
      <c r="E866" s="5" t="str">
        <f t="shared" si="88"/>
        <v/>
      </c>
      <c r="F866" s="5" t="str">
        <f t="shared" si="89"/>
        <v/>
      </c>
      <c r="G866" s="23"/>
      <c r="H866" s="66"/>
      <c r="I866" s="14"/>
      <c r="J866" s="14"/>
      <c r="K866" s="14"/>
      <c r="L866" s="5" t="str">
        <f t="shared" si="84"/>
        <v/>
      </c>
      <c r="M866" s="5" t="str">
        <f t="shared" si="85"/>
        <v/>
      </c>
      <c r="N866" s="5" t="str">
        <f t="shared" si="86"/>
        <v/>
      </c>
      <c r="O866" s="4"/>
    </row>
    <row r="867" spans="1:15" x14ac:dyDescent="0.25">
      <c r="A867" s="14"/>
      <c r="B867" s="14"/>
      <c r="C867" s="14"/>
      <c r="D867" s="5" t="str">
        <f t="shared" si="87"/>
        <v/>
      </c>
      <c r="E867" s="5" t="str">
        <f t="shared" si="88"/>
        <v/>
      </c>
      <c r="F867" s="5" t="str">
        <f t="shared" si="89"/>
        <v/>
      </c>
      <c r="G867" s="23"/>
      <c r="H867" s="66"/>
      <c r="I867" s="14"/>
      <c r="J867" s="14"/>
      <c r="K867" s="14"/>
      <c r="L867" s="5" t="str">
        <f t="shared" si="84"/>
        <v/>
      </c>
      <c r="M867" s="5" t="str">
        <f t="shared" si="85"/>
        <v/>
      </c>
      <c r="N867" s="5" t="str">
        <f t="shared" si="86"/>
        <v/>
      </c>
      <c r="O867" s="4"/>
    </row>
    <row r="868" spans="1:15" x14ac:dyDescent="0.25">
      <c r="A868" s="14"/>
      <c r="B868" s="14"/>
      <c r="C868" s="14"/>
      <c r="D868" s="5" t="str">
        <f t="shared" si="87"/>
        <v/>
      </c>
      <c r="E868" s="5" t="str">
        <f t="shared" si="88"/>
        <v/>
      </c>
      <c r="F868" s="5" t="str">
        <f t="shared" si="89"/>
        <v/>
      </c>
      <c r="G868" s="23"/>
      <c r="H868" s="66"/>
      <c r="I868" s="14"/>
      <c r="J868" s="14"/>
      <c r="K868" s="14"/>
      <c r="L868" s="5" t="str">
        <f t="shared" si="84"/>
        <v/>
      </c>
      <c r="M868" s="5" t="str">
        <f t="shared" si="85"/>
        <v/>
      </c>
      <c r="N868" s="5" t="str">
        <f t="shared" si="86"/>
        <v/>
      </c>
      <c r="O868" s="4"/>
    </row>
    <row r="869" spans="1:15" x14ac:dyDescent="0.25">
      <c r="A869" s="14"/>
      <c r="B869" s="14"/>
      <c r="C869" s="14"/>
      <c r="D869" s="5" t="str">
        <f t="shared" si="87"/>
        <v/>
      </c>
      <c r="E869" s="5" t="str">
        <f t="shared" si="88"/>
        <v/>
      </c>
      <c r="F869" s="5" t="str">
        <f t="shared" si="89"/>
        <v/>
      </c>
      <c r="G869" s="23"/>
      <c r="H869" s="66"/>
      <c r="I869" s="14"/>
      <c r="J869" s="14"/>
      <c r="K869" s="14"/>
      <c r="L869" s="5" t="str">
        <f t="shared" si="84"/>
        <v/>
      </c>
      <c r="M869" s="5" t="str">
        <f t="shared" si="85"/>
        <v/>
      </c>
      <c r="N869" s="5" t="str">
        <f t="shared" si="86"/>
        <v/>
      </c>
      <c r="O869" s="4"/>
    </row>
    <row r="870" spans="1:15" x14ac:dyDescent="0.25">
      <c r="A870" s="14"/>
      <c r="B870" s="14"/>
      <c r="C870" s="14"/>
      <c r="D870" s="5" t="str">
        <f t="shared" si="87"/>
        <v/>
      </c>
      <c r="E870" s="5" t="str">
        <f t="shared" si="88"/>
        <v/>
      </c>
      <c r="F870" s="5" t="str">
        <f t="shared" si="89"/>
        <v/>
      </c>
      <c r="G870" s="23"/>
      <c r="H870" s="66"/>
      <c r="I870" s="14"/>
      <c r="J870" s="14"/>
      <c r="K870" s="14"/>
      <c r="L870" s="5" t="str">
        <f t="shared" si="84"/>
        <v/>
      </c>
      <c r="M870" s="5" t="str">
        <f t="shared" si="85"/>
        <v/>
      </c>
      <c r="N870" s="5" t="str">
        <f t="shared" si="86"/>
        <v/>
      </c>
      <c r="O870" s="4"/>
    </row>
    <row r="871" spans="1:15" x14ac:dyDescent="0.25">
      <c r="A871" s="14"/>
      <c r="B871" s="14"/>
      <c r="C871" s="14"/>
      <c r="D871" s="5" t="str">
        <f t="shared" si="87"/>
        <v/>
      </c>
      <c r="E871" s="5" t="str">
        <f t="shared" si="88"/>
        <v/>
      </c>
      <c r="F871" s="5" t="str">
        <f t="shared" si="89"/>
        <v/>
      </c>
      <c r="G871" s="23"/>
      <c r="H871" s="66"/>
      <c r="I871" s="14"/>
      <c r="J871" s="14"/>
      <c r="K871" s="14"/>
      <c r="L871" s="5" t="str">
        <f t="shared" si="84"/>
        <v/>
      </c>
      <c r="M871" s="5" t="str">
        <f t="shared" si="85"/>
        <v/>
      </c>
      <c r="N871" s="5" t="str">
        <f t="shared" si="86"/>
        <v/>
      </c>
      <c r="O871" s="4"/>
    </row>
    <row r="872" spans="1:15" x14ac:dyDescent="0.25">
      <c r="A872" s="14"/>
      <c r="B872" s="14"/>
      <c r="C872" s="14"/>
      <c r="D872" s="5" t="str">
        <f t="shared" si="87"/>
        <v/>
      </c>
      <c r="E872" s="5" t="str">
        <f t="shared" si="88"/>
        <v/>
      </c>
      <c r="F872" s="5" t="str">
        <f t="shared" si="89"/>
        <v/>
      </c>
      <c r="G872" s="23"/>
      <c r="H872" s="66"/>
      <c r="I872" s="14"/>
      <c r="J872" s="14"/>
      <c r="K872" s="14"/>
      <c r="L872" s="5" t="str">
        <f t="shared" si="84"/>
        <v/>
      </c>
      <c r="M872" s="5" t="str">
        <f t="shared" si="85"/>
        <v/>
      </c>
      <c r="N872" s="5" t="str">
        <f t="shared" si="86"/>
        <v/>
      </c>
      <c r="O872" s="4"/>
    </row>
    <row r="873" spans="1:15" x14ac:dyDescent="0.25">
      <c r="A873" s="14"/>
      <c r="B873" s="14"/>
      <c r="C873" s="14"/>
      <c r="D873" s="5" t="str">
        <f t="shared" si="87"/>
        <v/>
      </c>
      <c r="E873" s="5" t="str">
        <f t="shared" si="88"/>
        <v/>
      </c>
      <c r="F873" s="5" t="str">
        <f t="shared" si="89"/>
        <v/>
      </c>
      <c r="G873" s="23"/>
      <c r="H873" s="66"/>
      <c r="I873" s="14"/>
      <c r="J873" s="14"/>
      <c r="K873" s="14"/>
      <c r="L873" s="5" t="str">
        <f t="shared" si="84"/>
        <v/>
      </c>
      <c r="M873" s="5" t="str">
        <f t="shared" si="85"/>
        <v/>
      </c>
      <c r="N873" s="5" t="str">
        <f t="shared" si="86"/>
        <v/>
      </c>
      <c r="O873" s="4"/>
    </row>
    <row r="874" spans="1:15" x14ac:dyDescent="0.25">
      <c r="A874" s="14"/>
      <c r="B874" s="14"/>
      <c r="C874" s="14"/>
      <c r="D874" s="5" t="str">
        <f t="shared" si="87"/>
        <v/>
      </c>
      <c r="E874" s="5" t="str">
        <f t="shared" si="88"/>
        <v/>
      </c>
      <c r="F874" s="5" t="str">
        <f t="shared" si="89"/>
        <v/>
      </c>
      <c r="G874" s="23"/>
      <c r="H874" s="66"/>
      <c r="I874" s="14"/>
      <c r="J874" s="14"/>
      <c r="K874" s="14"/>
      <c r="L874" s="5" t="str">
        <f t="shared" si="84"/>
        <v/>
      </c>
      <c r="M874" s="5" t="str">
        <f t="shared" si="85"/>
        <v/>
      </c>
      <c r="N874" s="5" t="str">
        <f t="shared" si="86"/>
        <v/>
      </c>
      <c r="O874" s="4"/>
    </row>
    <row r="875" spans="1:15" x14ac:dyDescent="0.25">
      <c r="A875" s="14"/>
      <c r="B875" s="14"/>
      <c r="C875" s="14"/>
      <c r="D875" s="5" t="str">
        <f t="shared" si="87"/>
        <v/>
      </c>
      <c r="E875" s="5" t="str">
        <f t="shared" si="88"/>
        <v/>
      </c>
      <c r="F875" s="5" t="str">
        <f t="shared" si="89"/>
        <v/>
      </c>
      <c r="G875" s="23"/>
      <c r="H875" s="66"/>
      <c r="I875" s="14"/>
      <c r="J875" s="14"/>
      <c r="K875" s="14"/>
      <c r="L875" s="5" t="str">
        <f t="shared" si="84"/>
        <v/>
      </c>
      <c r="M875" s="5" t="str">
        <f t="shared" si="85"/>
        <v/>
      </c>
      <c r="N875" s="5" t="str">
        <f t="shared" si="86"/>
        <v/>
      </c>
      <c r="O875" s="4"/>
    </row>
    <row r="876" spans="1:15" x14ac:dyDescent="0.25">
      <c r="A876" s="14"/>
      <c r="B876" s="14"/>
      <c r="C876" s="14"/>
      <c r="D876" s="5" t="str">
        <f t="shared" si="87"/>
        <v/>
      </c>
      <c r="E876" s="5" t="str">
        <f t="shared" si="88"/>
        <v/>
      </c>
      <c r="F876" s="5" t="str">
        <f t="shared" si="89"/>
        <v/>
      </c>
      <c r="G876" s="23"/>
      <c r="H876" s="66"/>
      <c r="I876" s="14"/>
      <c r="J876" s="14"/>
      <c r="K876" s="14"/>
      <c r="L876" s="5" t="str">
        <f t="shared" si="84"/>
        <v/>
      </c>
      <c r="M876" s="5" t="str">
        <f t="shared" si="85"/>
        <v/>
      </c>
      <c r="N876" s="5" t="str">
        <f t="shared" si="86"/>
        <v/>
      </c>
      <c r="O876" s="4"/>
    </row>
    <row r="877" spans="1:15" x14ac:dyDescent="0.25">
      <c r="A877" s="14"/>
      <c r="B877" s="14"/>
      <c r="C877" s="14"/>
      <c r="D877" s="5" t="str">
        <f t="shared" si="87"/>
        <v/>
      </c>
      <c r="E877" s="5" t="str">
        <f t="shared" si="88"/>
        <v/>
      </c>
      <c r="F877" s="5" t="str">
        <f t="shared" si="89"/>
        <v/>
      </c>
      <c r="G877" s="23"/>
      <c r="H877" s="66"/>
      <c r="I877" s="14"/>
      <c r="J877" s="14"/>
      <c r="K877" s="14"/>
      <c r="L877" s="5" t="str">
        <f t="shared" si="84"/>
        <v/>
      </c>
      <c r="M877" s="5" t="str">
        <f t="shared" si="85"/>
        <v/>
      </c>
      <c r="N877" s="5" t="str">
        <f t="shared" si="86"/>
        <v/>
      </c>
      <c r="O877" s="4"/>
    </row>
    <row r="878" spans="1:15" x14ac:dyDescent="0.25">
      <c r="A878" s="14"/>
      <c r="B878" s="14"/>
      <c r="C878" s="14"/>
      <c r="D878" s="5" t="str">
        <f t="shared" si="87"/>
        <v/>
      </c>
      <c r="E878" s="5" t="str">
        <f t="shared" si="88"/>
        <v/>
      </c>
      <c r="F878" s="5" t="str">
        <f t="shared" si="89"/>
        <v/>
      </c>
      <c r="G878" s="23"/>
      <c r="H878" s="66"/>
      <c r="I878" s="14"/>
      <c r="J878" s="14"/>
      <c r="K878" s="14"/>
      <c r="L878" s="5" t="str">
        <f t="shared" si="84"/>
        <v/>
      </c>
      <c r="M878" s="5" t="str">
        <f t="shared" si="85"/>
        <v/>
      </c>
      <c r="N878" s="5" t="str">
        <f t="shared" si="86"/>
        <v/>
      </c>
      <c r="O878" s="4"/>
    </row>
    <row r="879" spans="1:15" x14ac:dyDescent="0.25">
      <c r="A879" s="14"/>
      <c r="B879" s="14"/>
      <c r="C879" s="14"/>
      <c r="D879" s="5" t="str">
        <f t="shared" si="87"/>
        <v/>
      </c>
      <c r="E879" s="5" t="str">
        <f t="shared" si="88"/>
        <v/>
      </c>
      <c r="F879" s="5" t="str">
        <f t="shared" si="89"/>
        <v/>
      </c>
      <c r="G879" s="23"/>
      <c r="H879" s="66"/>
      <c r="I879" s="14"/>
      <c r="J879" s="14"/>
      <c r="K879" s="14"/>
      <c r="L879" s="5" t="str">
        <f t="shared" si="84"/>
        <v/>
      </c>
      <c r="M879" s="5" t="str">
        <f t="shared" si="85"/>
        <v/>
      </c>
      <c r="N879" s="5" t="str">
        <f t="shared" si="86"/>
        <v/>
      </c>
      <c r="O879" s="4"/>
    </row>
    <row r="880" spans="1:15" x14ac:dyDescent="0.25">
      <c r="A880" s="14"/>
      <c r="B880" s="14"/>
      <c r="C880" s="14"/>
      <c r="D880" s="5" t="str">
        <f t="shared" si="87"/>
        <v/>
      </c>
      <c r="E880" s="5" t="str">
        <f t="shared" si="88"/>
        <v/>
      </c>
      <c r="F880" s="5" t="str">
        <f t="shared" si="89"/>
        <v/>
      </c>
      <c r="G880" s="23"/>
      <c r="H880" s="66"/>
      <c r="I880" s="14"/>
      <c r="J880" s="14"/>
      <c r="K880" s="14"/>
      <c r="L880" s="5" t="str">
        <f t="shared" si="84"/>
        <v/>
      </c>
      <c r="M880" s="5" t="str">
        <f t="shared" si="85"/>
        <v/>
      </c>
      <c r="N880" s="5" t="str">
        <f t="shared" si="86"/>
        <v/>
      </c>
      <c r="O880" s="4"/>
    </row>
    <row r="881" spans="1:15" x14ac:dyDescent="0.25">
      <c r="A881" s="14"/>
      <c r="B881" s="14"/>
      <c r="C881" s="14"/>
      <c r="D881" s="5" t="str">
        <f t="shared" si="87"/>
        <v/>
      </c>
      <c r="E881" s="5" t="str">
        <f t="shared" si="88"/>
        <v/>
      </c>
      <c r="F881" s="5" t="str">
        <f t="shared" si="89"/>
        <v/>
      </c>
      <c r="G881" s="23"/>
      <c r="H881" s="66"/>
      <c r="I881" s="14"/>
      <c r="J881" s="14"/>
      <c r="K881" s="14"/>
      <c r="L881" s="5" t="str">
        <f t="shared" si="84"/>
        <v/>
      </c>
      <c r="M881" s="5" t="str">
        <f t="shared" si="85"/>
        <v/>
      </c>
      <c r="N881" s="5" t="str">
        <f t="shared" si="86"/>
        <v/>
      </c>
      <c r="O881" s="4"/>
    </row>
    <row r="882" spans="1:15" x14ac:dyDescent="0.25">
      <c r="A882" s="14"/>
      <c r="B882" s="14"/>
      <c r="C882" s="14"/>
      <c r="D882" s="5" t="str">
        <f t="shared" si="87"/>
        <v/>
      </c>
      <c r="E882" s="5" t="str">
        <f t="shared" si="88"/>
        <v/>
      </c>
      <c r="F882" s="5" t="str">
        <f t="shared" si="89"/>
        <v/>
      </c>
      <c r="G882" s="23"/>
      <c r="H882" s="66"/>
      <c r="I882" s="14"/>
      <c r="J882" s="14"/>
      <c r="K882" s="14"/>
      <c r="L882" s="5" t="str">
        <f t="shared" si="84"/>
        <v/>
      </c>
      <c r="M882" s="5" t="str">
        <f t="shared" si="85"/>
        <v/>
      </c>
      <c r="N882" s="5" t="str">
        <f t="shared" si="86"/>
        <v/>
      </c>
      <c r="O882" s="4"/>
    </row>
    <row r="883" spans="1:15" x14ac:dyDescent="0.25">
      <c r="A883" s="14"/>
      <c r="B883" s="14"/>
      <c r="C883" s="14"/>
      <c r="D883" s="5" t="str">
        <f t="shared" si="87"/>
        <v/>
      </c>
      <c r="E883" s="5" t="str">
        <f t="shared" si="88"/>
        <v/>
      </c>
      <c r="F883" s="5" t="str">
        <f t="shared" si="89"/>
        <v/>
      </c>
      <c r="G883" s="23"/>
      <c r="H883" s="66"/>
      <c r="I883" s="14"/>
      <c r="J883" s="14"/>
      <c r="K883" s="14"/>
      <c r="L883" s="5" t="str">
        <f t="shared" si="84"/>
        <v/>
      </c>
      <c r="M883" s="5" t="str">
        <f t="shared" si="85"/>
        <v/>
      </c>
      <c r="N883" s="5" t="str">
        <f t="shared" si="86"/>
        <v/>
      </c>
      <c r="O883" s="4"/>
    </row>
    <row r="884" spans="1:15" x14ac:dyDescent="0.25">
      <c r="A884" s="14"/>
      <c r="B884" s="14"/>
      <c r="C884" s="14"/>
      <c r="D884" s="5" t="str">
        <f t="shared" si="87"/>
        <v/>
      </c>
      <c r="E884" s="5" t="str">
        <f t="shared" si="88"/>
        <v/>
      </c>
      <c r="F884" s="5" t="str">
        <f t="shared" si="89"/>
        <v/>
      </c>
      <c r="G884" s="23"/>
      <c r="H884" s="66"/>
      <c r="I884" s="14"/>
      <c r="J884" s="14"/>
      <c r="K884" s="14"/>
      <c r="L884" s="5" t="str">
        <f t="shared" si="84"/>
        <v/>
      </c>
      <c r="M884" s="5" t="str">
        <f t="shared" si="85"/>
        <v/>
      </c>
      <c r="N884" s="5" t="str">
        <f t="shared" si="86"/>
        <v/>
      </c>
      <c r="O884" s="4"/>
    </row>
    <row r="885" spans="1:15" x14ac:dyDescent="0.25">
      <c r="A885" s="14"/>
      <c r="B885" s="14"/>
      <c r="C885" s="14"/>
      <c r="D885" s="5" t="str">
        <f t="shared" si="87"/>
        <v/>
      </c>
      <c r="E885" s="5" t="str">
        <f t="shared" si="88"/>
        <v/>
      </c>
      <c r="F885" s="5" t="str">
        <f t="shared" si="89"/>
        <v/>
      </c>
      <c r="G885" s="23"/>
      <c r="H885" s="66"/>
      <c r="I885" s="14"/>
      <c r="J885" s="14"/>
      <c r="K885" s="14"/>
      <c r="L885" s="5" t="str">
        <f t="shared" si="84"/>
        <v/>
      </c>
      <c r="M885" s="5" t="str">
        <f t="shared" si="85"/>
        <v/>
      </c>
      <c r="N885" s="5" t="str">
        <f t="shared" si="86"/>
        <v/>
      </c>
      <c r="O885" s="4"/>
    </row>
    <row r="886" spans="1:15" x14ac:dyDescent="0.25">
      <c r="A886" s="14"/>
      <c r="B886" s="14"/>
      <c r="C886" s="14"/>
      <c r="D886" s="5" t="str">
        <f t="shared" si="87"/>
        <v/>
      </c>
      <c r="E886" s="5" t="str">
        <f t="shared" si="88"/>
        <v/>
      </c>
      <c r="F886" s="5" t="str">
        <f t="shared" si="89"/>
        <v/>
      </c>
      <c r="G886" s="23"/>
      <c r="H886" s="66"/>
      <c r="I886" s="14"/>
      <c r="J886" s="14"/>
      <c r="K886" s="14"/>
      <c r="L886" s="5" t="str">
        <f t="shared" si="84"/>
        <v/>
      </c>
      <c r="M886" s="5" t="str">
        <f t="shared" si="85"/>
        <v/>
      </c>
      <c r="N886" s="5" t="str">
        <f t="shared" si="86"/>
        <v/>
      </c>
      <c r="O886" s="4"/>
    </row>
    <row r="887" spans="1:15" x14ac:dyDescent="0.25">
      <c r="A887" s="14"/>
      <c r="B887" s="14"/>
      <c r="C887" s="14"/>
      <c r="D887" s="5" t="str">
        <f t="shared" si="87"/>
        <v/>
      </c>
      <c r="E887" s="5" t="str">
        <f t="shared" si="88"/>
        <v/>
      </c>
      <c r="F887" s="5" t="str">
        <f t="shared" si="89"/>
        <v/>
      </c>
      <c r="G887" s="23"/>
      <c r="H887" s="66"/>
      <c r="I887" s="14"/>
      <c r="J887" s="14"/>
      <c r="K887" s="14"/>
      <c r="L887" s="5" t="str">
        <f t="shared" si="84"/>
        <v/>
      </c>
      <c r="M887" s="5" t="str">
        <f t="shared" si="85"/>
        <v/>
      </c>
      <c r="N887" s="5" t="str">
        <f t="shared" si="86"/>
        <v/>
      </c>
      <c r="O887" s="4"/>
    </row>
    <row r="888" spans="1:15" x14ac:dyDescent="0.25">
      <c r="A888" s="14"/>
      <c r="B888" s="14"/>
      <c r="C888" s="14"/>
      <c r="D888" s="5" t="str">
        <f t="shared" si="87"/>
        <v/>
      </c>
      <c r="E888" s="5" t="str">
        <f t="shared" si="88"/>
        <v/>
      </c>
      <c r="F888" s="5" t="str">
        <f t="shared" si="89"/>
        <v/>
      </c>
      <c r="G888" s="23"/>
      <c r="H888" s="66"/>
      <c r="I888" s="14"/>
      <c r="J888" s="14"/>
      <c r="K888" s="14"/>
      <c r="L888" s="5" t="str">
        <f t="shared" si="84"/>
        <v/>
      </c>
      <c r="M888" s="5" t="str">
        <f t="shared" si="85"/>
        <v/>
      </c>
      <c r="N888" s="5" t="str">
        <f t="shared" si="86"/>
        <v/>
      </c>
      <c r="O888" s="4"/>
    </row>
    <row r="889" spans="1:15" x14ac:dyDescent="0.25">
      <c r="A889" s="14"/>
      <c r="B889" s="14"/>
      <c r="C889" s="14"/>
      <c r="D889" s="5" t="str">
        <f t="shared" si="87"/>
        <v/>
      </c>
      <c r="E889" s="5" t="str">
        <f t="shared" si="88"/>
        <v/>
      </c>
      <c r="F889" s="5" t="str">
        <f t="shared" si="89"/>
        <v/>
      </c>
      <c r="G889" s="23"/>
      <c r="H889" s="66"/>
      <c r="I889" s="14"/>
      <c r="J889" s="14"/>
      <c r="K889" s="14"/>
      <c r="L889" s="5" t="str">
        <f t="shared" si="84"/>
        <v/>
      </c>
      <c r="M889" s="5" t="str">
        <f t="shared" si="85"/>
        <v/>
      </c>
      <c r="N889" s="5" t="str">
        <f t="shared" si="86"/>
        <v/>
      </c>
      <c r="O889" s="4"/>
    </row>
    <row r="890" spans="1:15" x14ac:dyDescent="0.25">
      <c r="A890" s="14"/>
      <c r="B890" s="14"/>
      <c r="C890" s="14"/>
      <c r="D890" s="5" t="str">
        <f t="shared" si="87"/>
        <v/>
      </c>
      <c r="E890" s="5" t="str">
        <f t="shared" si="88"/>
        <v/>
      </c>
      <c r="F890" s="5" t="str">
        <f t="shared" si="89"/>
        <v/>
      </c>
      <c r="G890" s="23"/>
      <c r="H890" s="66"/>
      <c r="I890" s="14"/>
      <c r="J890" s="14"/>
      <c r="K890" s="14"/>
      <c r="L890" s="5" t="str">
        <f t="shared" si="84"/>
        <v/>
      </c>
      <c r="M890" s="5" t="str">
        <f t="shared" si="85"/>
        <v/>
      </c>
      <c r="N890" s="5" t="str">
        <f t="shared" si="86"/>
        <v/>
      </c>
      <c r="O890" s="4"/>
    </row>
    <row r="891" spans="1:15" x14ac:dyDescent="0.25">
      <c r="A891" s="14"/>
      <c r="B891" s="14"/>
      <c r="C891" s="14"/>
      <c r="D891" s="5" t="str">
        <f t="shared" si="87"/>
        <v/>
      </c>
      <c r="E891" s="5" t="str">
        <f t="shared" si="88"/>
        <v/>
      </c>
      <c r="F891" s="5" t="str">
        <f t="shared" si="89"/>
        <v/>
      </c>
      <c r="G891" s="23"/>
      <c r="H891" s="66"/>
      <c r="I891" s="14"/>
      <c r="J891" s="14"/>
      <c r="K891" s="14"/>
      <c r="L891" s="5" t="str">
        <f t="shared" si="84"/>
        <v/>
      </c>
      <c r="M891" s="5" t="str">
        <f t="shared" si="85"/>
        <v/>
      </c>
      <c r="N891" s="5" t="str">
        <f t="shared" si="86"/>
        <v/>
      </c>
      <c r="O891" s="4"/>
    </row>
    <row r="892" spans="1:15" x14ac:dyDescent="0.25">
      <c r="A892" s="14"/>
      <c r="B892" s="14"/>
      <c r="C892" s="14"/>
      <c r="D892" s="5" t="str">
        <f t="shared" si="87"/>
        <v/>
      </c>
      <c r="E892" s="5" t="str">
        <f t="shared" si="88"/>
        <v/>
      </c>
      <c r="F892" s="5" t="str">
        <f t="shared" si="89"/>
        <v/>
      </c>
      <c r="G892" s="23"/>
      <c r="H892" s="66"/>
      <c r="I892" s="14"/>
      <c r="J892" s="14"/>
      <c r="K892" s="14"/>
      <c r="L892" s="5" t="str">
        <f t="shared" si="84"/>
        <v/>
      </c>
      <c r="M892" s="5" t="str">
        <f t="shared" si="85"/>
        <v/>
      </c>
      <c r="N892" s="5" t="str">
        <f t="shared" si="86"/>
        <v/>
      </c>
      <c r="O892" s="4"/>
    </row>
    <row r="893" spans="1:15" x14ac:dyDescent="0.25">
      <c r="A893" s="14"/>
      <c r="B893" s="14"/>
      <c r="C893" s="14"/>
      <c r="D893" s="5" t="str">
        <f t="shared" si="87"/>
        <v/>
      </c>
      <c r="E893" s="5" t="str">
        <f t="shared" si="88"/>
        <v/>
      </c>
      <c r="F893" s="5" t="str">
        <f t="shared" si="89"/>
        <v/>
      </c>
      <c r="G893" s="23"/>
      <c r="H893" s="66"/>
      <c r="I893" s="14"/>
      <c r="J893" s="14"/>
      <c r="K893" s="14"/>
      <c r="L893" s="5" t="str">
        <f t="shared" si="84"/>
        <v/>
      </c>
      <c r="M893" s="5" t="str">
        <f t="shared" si="85"/>
        <v/>
      </c>
      <c r="N893" s="5" t="str">
        <f t="shared" si="86"/>
        <v/>
      </c>
      <c r="O893" s="4"/>
    </row>
    <row r="894" spans="1:15" x14ac:dyDescent="0.25">
      <c r="A894" s="14"/>
      <c r="B894" s="14"/>
      <c r="C894" s="14"/>
      <c r="D894" s="5" t="str">
        <f t="shared" si="87"/>
        <v/>
      </c>
      <c r="E894" s="5" t="str">
        <f t="shared" si="88"/>
        <v/>
      </c>
      <c r="F894" s="5" t="str">
        <f t="shared" si="89"/>
        <v/>
      </c>
      <c r="G894" s="23"/>
      <c r="H894" s="66"/>
      <c r="I894" s="14"/>
      <c r="J894" s="14"/>
      <c r="K894" s="14"/>
      <c r="L894" s="5" t="str">
        <f t="shared" si="84"/>
        <v/>
      </c>
      <c r="M894" s="5" t="str">
        <f t="shared" si="85"/>
        <v/>
      </c>
      <c r="N894" s="5" t="str">
        <f t="shared" si="86"/>
        <v/>
      </c>
      <c r="O894" s="4"/>
    </row>
    <row r="895" spans="1:15" x14ac:dyDescent="0.25">
      <c r="A895" s="14"/>
      <c r="B895" s="14"/>
      <c r="C895" s="14"/>
      <c r="D895" s="5" t="str">
        <f t="shared" si="87"/>
        <v/>
      </c>
      <c r="E895" s="5" t="str">
        <f t="shared" si="88"/>
        <v/>
      </c>
      <c r="F895" s="5" t="str">
        <f t="shared" si="89"/>
        <v/>
      </c>
      <c r="G895" s="23"/>
      <c r="H895" s="66"/>
      <c r="I895" s="14"/>
      <c r="J895" s="14"/>
      <c r="K895" s="14"/>
      <c r="L895" s="5" t="str">
        <f t="shared" si="84"/>
        <v/>
      </c>
      <c r="M895" s="5" t="str">
        <f t="shared" si="85"/>
        <v/>
      </c>
      <c r="N895" s="5" t="str">
        <f t="shared" si="86"/>
        <v/>
      </c>
      <c r="O895" s="4"/>
    </row>
    <row r="896" spans="1:15" x14ac:dyDescent="0.25">
      <c r="A896" s="14"/>
      <c r="B896" s="14"/>
      <c r="C896" s="14"/>
      <c r="D896" s="5" t="str">
        <f t="shared" si="87"/>
        <v/>
      </c>
      <c r="E896" s="5" t="str">
        <f t="shared" si="88"/>
        <v/>
      </c>
      <c r="F896" s="5" t="str">
        <f t="shared" si="89"/>
        <v/>
      </c>
      <c r="G896" s="23"/>
      <c r="H896" s="66"/>
      <c r="I896" s="14"/>
      <c r="J896" s="14"/>
      <c r="K896" s="14"/>
      <c r="L896" s="5" t="str">
        <f t="shared" si="84"/>
        <v/>
      </c>
      <c r="M896" s="5" t="str">
        <f t="shared" si="85"/>
        <v/>
      </c>
      <c r="N896" s="5" t="str">
        <f t="shared" si="86"/>
        <v/>
      </c>
      <c r="O896" s="4"/>
    </row>
    <row r="897" spans="1:15" x14ac:dyDescent="0.25">
      <c r="A897" s="14"/>
      <c r="B897" s="14"/>
      <c r="C897" s="14"/>
      <c r="D897" s="5" t="str">
        <f t="shared" si="87"/>
        <v/>
      </c>
      <c r="E897" s="5" t="str">
        <f t="shared" si="88"/>
        <v/>
      </c>
      <c r="F897" s="5" t="str">
        <f t="shared" si="89"/>
        <v/>
      </c>
      <c r="G897" s="23"/>
      <c r="H897" s="66"/>
      <c r="I897" s="14"/>
      <c r="J897" s="14"/>
      <c r="K897" s="14"/>
      <c r="L897" s="5" t="str">
        <f t="shared" si="84"/>
        <v/>
      </c>
      <c r="M897" s="5" t="str">
        <f t="shared" si="85"/>
        <v/>
      </c>
      <c r="N897" s="5" t="str">
        <f t="shared" si="86"/>
        <v/>
      </c>
      <c r="O897" s="4"/>
    </row>
    <row r="898" spans="1:15" x14ac:dyDescent="0.25">
      <c r="A898" s="14"/>
      <c r="B898" s="14"/>
      <c r="C898" s="14"/>
      <c r="D898" s="5" t="str">
        <f t="shared" si="87"/>
        <v/>
      </c>
      <c r="E898" s="5" t="str">
        <f t="shared" si="88"/>
        <v/>
      </c>
      <c r="F898" s="5" t="str">
        <f t="shared" si="89"/>
        <v/>
      </c>
      <c r="G898" s="23"/>
      <c r="H898" s="66"/>
      <c r="I898" s="14"/>
      <c r="J898" s="14"/>
      <c r="K898" s="14"/>
      <c r="L898" s="5" t="str">
        <f t="shared" si="84"/>
        <v/>
      </c>
      <c r="M898" s="5" t="str">
        <f t="shared" si="85"/>
        <v/>
      </c>
      <c r="N898" s="5" t="str">
        <f t="shared" si="86"/>
        <v/>
      </c>
      <c r="O898" s="4"/>
    </row>
    <row r="899" spans="1:15" x14ac:dyDescent="0.25">
      <c r="A899" s="14"/>
      <c r="B899" s="14"/>
      <c r="C899" s="14"/>
      <c r="D899" s="5" t="str">
        <f t="shared" si="87"/>
        <v/>
      </c>
      <c r="E899" s="5" t="str">
        <f t="shared" si="88"/>
        <v/>
      </c>
      <c r="F899" s="5" t="str">
        <f t="shared" si="89"/>
        <v/>
      </c>
      <c r="G899" s="23"/>
      <c r="H899" s="66"/>
      <c r="I899" s="14"/>
      <c r="J899" s="14"/>
      <c r="K899" s="14"/>
      <c r="L899" s="5" t="str">
        <f t="shared" si="84"/>
        <v/>
      </c>
      <c r="M899" s="5" t="str">
        <f t="shared" si="85"/>
        <v/>
      </c>
      <c r="N899" s="5" t="str">
        <f t="shared" si="86"/>
        <v/>
      </c>
      <c r="O899" s="4"/>
    </row>
    <row r="900" spans="1:15" x14ac:dyDescent="0.25">
      <c r="A900" s="14"/>
      <c r="B900" s="14"/>
      <c r="C900" s="14"/>
      <c r="D900" s="5" t="str">
        <f t="shared" si="87"/>
        <v/>
      </c>
      <c r="E900" s="5" t="str">
        <f t="shared" si="88"/>
        <v/>
      </c>
      <c r="F900" s="5" t="str">
        <f t="shared" si="89"/>
        <v/>
      </c>
      <c r="G900" s="23"/>
      <c r="H900" s="66"/>
      <c r="I900" s="14"/>
      <c r="J900" s="14"/>
      <c r="K900" s="14"/>
      <c r="L900" s="5" t="str">
        <f t="shared" si="84"/>
        <v/>
      </c>
      <c r="M900" s="5" t="str">
        <f t="shared" si="85"/>
        <v/>
      </c>
      <c r="N900" s="5" t="str">
        <f t="shared" si="86"/>
        <v/>
      </c>
      <c r="O900" s="4"/>
    </row>
    <row r="901" spans="1:15" x14ac:dyDescent="0.25">
      <c r="A901" s="14"/>
      <c r="B901" s="14"/>
      <c r="C901" s="14"/>
      <c r="D901" s="5" t="str">
        <f t="shared" si="87"/>
        <v/>
      </c>
      <c r="E901" s="5" t="str">
        <f t="shared" si="88"/>
        <v/>
      </c>
      <c r="F901" s="5" t="str">
        <f t="shared" si="89"/>
        <v/>
      </c>
      <c r="G901" s="23"/>
      <c r="H901" s="66"/>
      <c r="I901" s="14"/>
      <c r="J901" s="14"/>
      <c r="K901" s="14"/>
      <c r="L901" s="5" t="str">
        <f t="shared" si="84"/>
        <v/>
      </c>
      <c r="M901" s="5" t="str">
        <f t="shared" si="85"/>
        <v/>
      </c>
      <c r="N901" s="5" t="str">
        <f t="shared" si="86"/>
        <v/>
      </c>
      <c r="O901" s="4"/>
    </row>
    <row r="902" spans="1:15" x14ac:dyDescent="0.25">
      <c r="A902" s="14"/>
      <c r="B902" s="14"/>
      <c r="C902" s="14"/>
      <c r="D902" s="5" t="str">
        <f t="shared" si="87"/>
        <v/>
      </c>
      <c r="E902" s="5" t="str">
        <f t="shared" si="88"/>
        <v/>
      </c>
      <c r="F902" s="5" t="str">
        <f t="shared" si="89"/>
        <v/>
      </c>
      <c r="G902" s="23"/>
      <c r="H902" s="66"/>
      <c r="I902" s="14"/>
      <c r="J902" s="14"/>
      <c r="K902" s="14"/>
      <c r="L902" s="5" t="str">
        <f t="shared" si="84"/>
        <v/>
      </c>
      <c r="M902" s="5" t="str">
        <f t="shared" si="85"/>
        <v/>
      </c>
      <c r="N902" s="5" t="str">
        <f t="shared" si="86"/>
        <v/>
      </c>
      <c r="O902" s="4"/>
    </row>
    <row r="903" spans="1:15" x14ac:dyDescent="0.25">
      <c r="A903" s="14"/>
      <c r="B903" s="14"/>
      <c r="C903" s="14"/>
      <c r="D903" s="5" t="str">
        <f t="shared" si="87"/>
        <v/>
      </c>
      <c r="E903" s="5" t="str">
        <f t="shared" si="88"/>
        <v/>
      </c>
      <c r="F903" s="5" t="str">
        <f t="shared" si="89"/>
        <v/>
      </c>
      <c r="G903" s="23"/>
      <c r="H903" s="66"/>
      <c r="I903" s="14"/>
      <c r="J903" s="14"/>
      <c r="K903" s="14"/>
      <c r="L903" s="5" t="str">
        <f t="shared" si="84"/>
        <v/>
      </c>
      <c r="M903" s="5" t="str">
        <f t="shared" si="85"/>
        <v/>
      </c>
      <c r="N903" s="5" t="str">
        <f t="shared" si="86"/>
        <v/>
      </c>
      <c r="O903" s="4"/>
    </row>
    <row r="904" spans="1:15" x14ac:dyDescent="0.25">
      <c r="A904" s="14"/>
      <c r="B904" s="14"/>
      <c r="C904" s="14"/>
      <c r="D904" s="5" t="str">
        <f t="shared" si="87"/>
        <v/>
      </c>
      <c r="E904" s="5" t="str">
        <f t="shared" si="88"/>
        <v/>
      </c>
      <c r="F904" s="5" t="str">
        <f t="shared" si="89"/>
        <v/>
      </c>
      <c r="G904" s="23"/>
      <c r="H904" s="66"/>
      <c r="I904" s="14"/>
      <c r="J904" s="14"/>
      <c r="K904" s="14"/>
      <c r="L904" s="5" t="str">
        <f t="shared" si="84"/>
        <v/>
      </c>
      <c r="M904" s="5" t="str">
        <f t="shared" si="85"/>
        <v/>
      </c>
      <c r="N904" s="5" t="str">
        <f t="shared" si="86"/>
        <v/>
      </c>
      <c r="O904" s="4"/>
    </row>
    <row r="905" spans="1:15" x14ac:dyDescent="0.25">
      <c r="A905" s="14"/>
      <c r="B905" s="14"/>
      <c r="C905" s="14"/>
      <c r="D905" s="5" t="str">
        <f t="shared" si="87"/>
        <v/>
      </c>
      <c r="E905" s="5" t="str">
        <f t="shared" si="88"/>
        <v/>
      </c>
      <c r="F905" s="5" t="str">
        <f t="shared" si="89"/>
        <v/>
      </c>
      <c r="G905" s="23"/>
      <c r="H905" s="66"/>
      <c r="I905" s="14"/>
      <c r="J905" s="14"/>
      <c r="K905" s="14"/>
      <c r="L905" s="5" t="str">
        <f t="shared" si="84"/>
        <v/>
      </c>
      <c r="M905" s="5" t="str">
        <f t="shared" si="85"/>
        <v/>
      </c>
      <c r="N905" s="5" t="str">
        <f t="shared" si="86"/>
        <v/>
      </c>
      <c r="O905" s="4"/>
    </row>
    <row r="906" spans="1:15" x14ac:dyDescent="0.25">
      <c r="A906" s="14"/>
      <c r="B906" s="14"/>
      <c r="C906" s="14"/>
      <c r="D906" s="5" t="str">
        <f t="shared" si="87"/>
        <v/>
      </c>
      <c r="E906" s="5" t="str">
        <f t="shared" si="88"/>
        <v/>
      </c>
      <c r="F906" s="5" t="str">
        <f t="shared" si="89"/>
        <v/>
      </c>
      <c r="G906" s="23"/>
      <c r="H906" s="66"/>
      <c r="I906" s="14"/>
      <c r="J906" s="14"/>
      <c r="K906" s="14"/>
      <c r="L906" s="5" t="str">
        <f t="shared" ref="L906:L969" si="90">IFERROR(IF(I906&lt;&gt;"",(((J906-J905)*$X$4/(I906-I905)))*$X$5,""),"")</f>
        <v/>
      </c>
      <c r="M906" s="5" t="str">
        <f t="shared" ref="M906:M969" si="91">IFERROR(IF(I906&lt;&gt;"",(((K906-K905)*$X$4/(I906-I905)))*$X$5,""),"")</f>
        <v/>
      </c>
      <c r="N906" s="5" t="str">
        <f t="shared" ref="N906:N969" si="92">IFERROR(IF(I906&lt;&gt;"",((ACOS((COS(RADIANS(J905))*COS(RADIANS(J906)))+(SIN(RADIANS(J905))*SIN(RADIANS(J906)))*COS(RADIANS(K906-K905)))*180/PI()*($X$4/(I906-I905))))*$X$5,""),"")</f>
        <v/>
      </c>
      <c r="O906" s="4"/>
    </row>
    <row r="907" spans="1:15" x14ac:dyDescent="0.25">
      <c r="A907" s="14"/>
      <c r="B907" s="14"/>
      <c r="C907" s="14"/>
      <c r="D907" s="5" t="str">
        <f t="shared" si="87"/>
        <v/>
      </c>
      <c r="E907" s="5" t="str">
        <f t="shared" si="88"/>
        <v/>
      </c>
      <c r="F907" s="5" t="str">
        <f t="shared" si="89"/>
        <v/>
      </c>
      <c r="G907" s="23"/>
      <c r="H907" s="66"/>
      <c r="I907" s="14"/>
      <c r="J907" s="14"/>
      <c r="K907" s="14"/>
      <c r="L907" s="5" t="str">
        <f t="shared" si="90"/>
        <v/>
      </c>
      <c r="M907" s="5" t="str">
        <f t="shared" si="91"/>
        <v/>
      </c>
      <c r="N907" s="5" t="str">
        <f t="shared" si="92"/>
        <v/>
      </c>
      <c r="O907" s="4"/>
    </row>
    <row r="908" spans="1:15" x14ac:dyDescent="0.25">
      <c r="A908" s="14"/>
      <c r="B908" s="14"/>
      <c r="C908" s="14"/>
      <c r="D908" s="5" t="str">
        <f t="shared" si="87"/>
        <v/>
      </c>
      <c r="E908" s="5" t="str">
        <f t="shared" si="88"/>
        <v/>
      </c>
      <c r="F908" s="5" t="str">
        <f t="shared" si="89"/>
        <v/>
      </c>
      <c r="G908" s="23"/>
      <c r="H908" s="66"/>
      <c r="I908" s="14"/>
      <c r="J908" s="14"/>
      <c r="K908" s="14"/>
      <c r="L908" s="5" t="str">
        <f t="shared" si="90"/>
        <v/>
      </c>
      <c r="M908" s="5" t="str">
        <f t="shared" si="91"/>
        <v/>
      </c>
      <c r="N908" s="5" t="str">
        <f t="shared" si="92"/>
        <v/>
      </c>
      <c r="O908" s="4"/>
    </row>
    <row r="909" spans="1:15" x14ac:dyDescent="0.25">
      <c r="A909" s="14"/>
      <c r="B909" s="14"/>
      <c r="C909" s="14"/>
      <c r="D909" s="5" t="str">
        <f t="shared" si="87"/>
        <v/>
      </c>
      <c r="E909" s="5" t="str">
        <f t="shared" si="88"/>
        <v/>
      </c>
      <c r="F909" s="5" t="str">
        <f t="shared" si="89"/>
        <v/>
      </c>
      <c r="G909" s="23"/>
      <c r="H909" s="66"/>
      <c r="I909" s="14"/>
      <c r="J909" s="14"/>
      <c r="K909" s="14"/>
      <c r="L909" s="5" t="str">
        <f t="shared" si="90"/>
        <v/>
      </c>
      <c r="M909" s="5" t="str">
        <f t="shared" si="91"/>
        <v/>
      </c>
      <c r="N909" s="5" t="str">
        <f t="shared" si="92"/>
        <v/>
      </c>
      <c r="O909" s="4"/>
    </row>
    <row r="910" spans="1:15" x14ac:dyDescent="0.25">
      <c r="A910" s="14"/>
      <c r="B910" s="14"/>
      <c r="C910" s="14"/>
      <c r="D910" s="5" t="str">
        <f t="shared" si="87"/>
        <v/>
      </c>
      <c r="E910" s="5" t="str">
        <f t="shared" si="88"/>
        <v/>
      </c>
      <c r="F910" s="5" t="str">
        <f t="shared" si="89"/>
        <v/>
      </c>
      <c r="G910" s="23"/>
      <c r="H910" s="66"/>
      <c r="I910" s="14"/>
      <c r="J910" s="14"/>
      <c r="K910" s="14"/>
      <c r="L910" s="5" t="str">
        <f t="shared" si="90"/>
        <v/>
      </c>
      <c r="M910" s="5" t="str">
        <f t="shared" si="91"/>
        <v/>
      </c>
      <c r="N910" s="5" t="str">
        <f t="shared" si="92"/>
        <v/>
      </c>
      <c r="O910" s="4"/>
    </row>
    <row r="911" spans="1:15" x14ac:dyDescent="0.25">
      <c r="A911" s="14"/>
      <c r="B911" s="14"/>
      <c r="C911" s="14"/>
      <c r="D911" s="5" t="str">
        <f t="shared" si="87"/>
        <v/>
      </c>
      <c r="E911" s="5" t="str">
        <f t="shared" si="88"/>
        <v/>
      </c>
      <c r="F911" s="5" t="str">
        <f t="shared" si="89"/>
        <v/>
      </c>
      <c r="G911" s="23"/>
      <c r="H911" s="66"/>
      <c r="I911" s="14"/>
      <c r="J911" s="14"/>
      <c r="K911" s="14"/>
      <c r="L911" s="5" t="str">
        <f t="shared" si="90"/>
        <v/>
      </c>
      <c r="M911" s="5" t="str">
        <f t="shared" si="91"/>
        <v/>
      </c>
      <c r="N911" s="5" t="str">
        <f t="shared" si="92"/>
        <v/>
      </c>
      <c r="O911" s="4"/>
    </row>
    <row r="912" spans="1:15" x14ac:dyDescent="0.25">
      <c r="A912" s="14"/>
      <c r="B912" s="14"/>
      <c r="C912" s="14"/>
      <c r="D912" s="5" t="str">
        <f t="shared" si="87"/>
        <v/>
      </c>
      <c r="E912" s="5" t="str">
        <f t="shared" si="88"/>
        <v/>
      </c>
      <c r="F912" s="5" t="str">
        <f t="shared" si="89"/>
        <v/>
      </c>
      <c r="G912" s="23"/>
      <c r="H912" s="66"/>
      <c r="I912" s="14"/>
      <c r="J912" s="14"/>
      <c r="K912" s="14"/>
      <c r="L912" s="5" t="str">
        <f t="shared" si="90"/>
        <v/>
      </c>
      <c r="M912" s="5" t="str">
        <f t="shared" si="91"/>
        <v/>
      </c>
      <c r="N912" s="5" t="str">
        <f t="shared" si="92"/>
        <v/>
      </c>
      <c r="O912" s="4"/>
    </row>
    <row r="913" spans="1:15" x14ac:dyDescent="0.25">
      <c r="A913" s="14"/>
      <c r="B913" s="14"/>
      <c r="C913" s="14"/>
      <c r="D913" s="5" t="str">
        <f t="shared" si="87"/>
        <v/>
      </c>
      <c r="E913" s="5" t="str">
        <f t="shared" si="88"/>
        <v/>
      </c>
      <c r="F913" s="5" t="str">
        <f t="shared" si="89"/>
        <v/>
      </c>
      <c r="G913" s="23"/>
      <c r="H913" s="66"/>
      <c r="I913" s="14"/>
      <c r="J913" s="14"/>
      <c r="K913" s="14"/>
      <c r="L913" s="5" t="str">
        <f t="shared" si="90"/>
        <v/>
      </c>
      <c r="M913" s="5" t="str">
        <f t="shared" si="91"/>
        <v/>
      </c>
      <c r="N913" s="5" t="str">
        <f t="shared" si="92"/>
        <v/>
      </c>
      <c r="O913" s="4"/>
    </row>
    <row r="914" spans="1:15" x14ac:dyDescent="0.25">
      <c r="A914" s="14"/>
      <c r="B914" s="14"/>
      <c r="C914" s="14"/>
      <c r="D914" s="5" t="str">
        <f t="shared" si="87"/>
        <v/>
      </c>
      <c r="E914" s="5" t="str">
        <f t="shared" si="88"/>
        <v/>
      </c>
      <c r="F914" s="5" t="str">
        <f t="shared" si="89"/>
        <v/>
      </c>
      <c r="G914" s="23"/>
      <c r="H914" s="66"/>
      <c r="I914" s="14"/>
      <c r="J914" s="14"/>
      <c r="K914" s="14"/>
      <c r="L914" s="5" t="str">
        <f t="shared" si="90"/>
        <v/>
      </c>
      <c r="M914" s="5" t="str">
        <f t="shared" si="91"/>
        <v/>
      </c>
      <c r="N914" s="5" t="str">
        <f t="shared" si="92"/>
        <v/>
      </c>
      <c r="O914" s="4"/>
    </row>
    <row r="915" spans="1:15" x14ac:dyDescent="0.25">
      <c r="A915" s="14"/>
      <c r="B915" s="14"/>
      <c r="C915" s="14"/>
      <c r="D915" s="5" t="str">
        <f t="shared" si="87"/>
        <v/>
      </c>
      <c r="E915" s="5" t="str">
        <f t="shared" si="88"/>
        <v/>
      </c>
      <c r="F915" s="5" t="str">
        <f t="shared" si="89"/>
        <v/>
      </c>
      <c r="G915" s="23"/>
      <c r="H915" s="66"/>
      <c r="I915" s="14"/>
      <c r="J915" s="14"/>
      <c r="K915" s="14"/>
      <c r="L915" s="5" t="str">
        <f t="shared" si="90"/>
        <v/>
      </c>
      <c r="M915" s="5" t="str">
        <f t="shared" si="91"/>
        <v/>
      </c>
      <c r="N915" s="5" t="str">
        <f t="shared" si="92"/>
        <v/>
      </c>
      <c r="O915" s="4"/>
    </row>
    <row r="916" spans="1:15" x14ac:dyDescent="0.25">
      <c r="A916" s="14"/>
      <c r="B916" s="14"/>
      <c r="C916" s="14"/>
      <c r="D916" s="5" t="str">
        <f t="shared" si="87"/>
        <v/>
      </c>
      <c r="E916" s="5" t="str">
        <f t="shared" si="88"/>
        <v/>
      </c>
      <c r="F916" s="5" t="str">
        <f t="shared" si="89"/>
        <v/>
      </c>
      <c r="G916" s="23"/>
      <c r="H916" s="66"/>
      <c r="I916" s="14"/>
      <c r="J916" s="14"/>
      <c r="K916" s="14"/>
      <c r="L916" s="5" t="str">
        <f t="shared" si="90"/>
        <v/>
      </c>
      <c r="M916" s="5" t="str">
        <f t="shared" si="91"/>
        <v/>
      </c>
      <c r="N916" s="5" t="str">
        <f t="shared" si="92"/>
        <v/>
      </c>
      <c r="O916" s="4"/>
    </row>
    <row r="917" spans="1:15" x14ac:dyDescent="0.25">
      <c r="A917" s="14"/>
      <c r="B917" s="14"/>
      <c r="C917" s="14"/>
      <c r="D917" s="5" t="str">
        <f t="shared" si="87"/>
        <v/>
      </c>
      <c r="E917" s="5" t="str">
        <f t="shared" si="88"/>
        <v/>
      </c>
      <c r="F917" s="5" t="str">
        <f t="shared" si="89"/>
        <v/>
      </c>
      <c r="G917" s="23"/>
      <c r="H917" s="66"/>
      <c r="I917" s="14"/>
      <c r="J917" s="14"/>
      <c r="K917" s="14"/>
      <c r="L917" s="5" t="str">
        <f t="shared" si="90"/>
        <v/>
      </c>
      <c r="M917" s="5" t="str">
        <f t="shared" si="91"/>
        <v/>
      </c>
      <c r="N917" s="5" t="str">
        <f t="shared" si="92"/>
        <v/>
      </c>
      <c r="O917" s="4"/>
    </row>
    <row r="918" spans="1:15" x14ac:dyDescent="0.25">
      <c r="A918" s="14"/>
      <c r="B918" s="14"/>
      <c r="C918" s="14"/>
      <c r="D918" s="5" t="str">
        <f t="shared" si="87"/>
        <v/>
      </c>
      <c r="E918" s="5" t="str">
        <f t="shared" si="88"/>
        <v/>
      </c>
      <c r="F918" s="5" t="str">
        <f t="shared" si="89"/>
        <v/>
      </c>
      <c r="G918" s="23"/>
      <c r="H918" s="66"/>
      <c r="I918" s="14"/>
      <c r="J918" s="14"/>
      <c r="K918" s="14"/>
      <c r="L918" s="5" t="str">
        <f t="shared" si="90"/>
        <v/>
      </c>
      <c r="M918" s="5" t="str">
        <f t="shared" si="91"/>
        <v/>
      </c>
      <c r="N918" s="5" t="str">
        <f t="shared" si="92"/>
        <v/>
      </c>
      <c r="O918" s="4"/>
    </row>
    <row r="919" spans="1:15" x14ac:dyDescent="0.25">
      <c r="A919" s="14"/>
      <c r="B919" s="14"/>
      <c r="C919" s="14"/>
      <c r="D919" s="5" t="str">
        <f t="shared" si="87"/>
        <v/>
      </c>
      <c r="E919" s="5" t="str">
        <f t="shared" si="88"/>
        <v/>
      </c>
      <c r="F919" s="5" t="str">
        <f t="shared" si="89"/>
        <v/>
      </c>
      <c r="G919" s="23"/>
      <c r="H919" s="66"/>
      <c r="I919" s="14"/>
      <c r="J919" s="14"/>
      <c r="K919" s="14"/>
      <c r="L919" s="5" t="str">
        <f t="shared" si="90"/>
        <v/>
      </c>
      <c r="M919" s="5" t="str">
        <f t="shared" si="91"/>
        <v/>
      </c>
      <c r="N919" s="5" t="str">
        <f t="shared" si="92"/>
        <v/>
      </c>
      <c r="O919" s="4"/>
    </row>
    <row r="920" spans="1:15" x14ac:dyDescent="0.25">
      <c r="A920" s="14"/>
      <c r="B920" s="14"/>
      <c r="C920" s="14"/>
      <c r="D920" s="5" t="str">
        <f t="shared" si="87"/>
        <v/>
      </c>
      <c r="E920" s="5" t="str">
        <f t="shared" si="88"/>
        <v/>
      </c>
      <c r="F920" s="5" t="str">
        <f t="shared" si="89"/>
        <v/>
      </c>
      <c r="G920" s="23"/>
      <c r="H920" s="66"/>
      <c r="I920" s="14"/>
      <c r="J920" s="14"/>
      <c r="K920" s="14"/>
      <c r="L920" s="5" t="str">
        <f t="shared" si="90"/>
        <v/>
      </c>
      <c r="M920" s="5" t="str">
        <f t="shared" si="91"/>
        <v/>
      </c>
      <c r="N920" s="5" t="str">
        <f t="shared" si="92"/>
        <v/>
      </c>
      <c r="O920" s="4"/>
    </row>
    <row r="921" spans="1:15" x14ac:dyDescent="0.25">
      <c r="A921" s="14"/>
      <c r="B921" s="14"/>
      <c r="C921" s="14"/>
      <c r="D921" s="5" t="str">
        <f t="shared" ref="D921:D984" si="93">IFERROR( IF(A921&lt;&gt;"",((B921-B920)*$X$4/(A921-A920))*$X$5,""),"")</f>
        <v/>
      </c>
      <c r="E921" s="5" t="str">
        <f t="shared" ref="E921:E984" si="94">IFERROR(IF(A921&lt;&gt;"",((C921-C920)*$X$4/(A921-A920))*$X$5,""),"")</f>
        <v/>
      </c>
      <c r="F921" s="5" t="str">
        <f t="shared" ref="F921:F984" si="95">IFERROR(IF(A921&lt;&gt;"",((ACOS((COS(RADIANS(B920))*COS(RADIANS(B921)))+(SIN(RADIANS(B920))*SIN(RADIANS(B921)))*COS(RADIANS(C921-C920)))*180/PI()*($X$4/(A921-A920))))*$X$5,""),"")</f>
        <v/>
      </c>
      <c r="G921" s="23"/>
      <c r="H921" s="66"/>
      <c r="I921" s="14"/>
      <c r="J921" s="14"/>
      <c r="K921" s="14"/>
      <c r="L921" s="5" t="str">
        <f t="shared" si="90"/>
        <v/>
      </c>
      <c r="M921" s="5" t="str">
        <f t="shared" si="91"/>
        <v/>
      </c>
      <c r="N921" s="5" t="str">
        <f t="shared" si="92"/>
        <v/>
      </c>
      <c r="O921" s="4"/>
    </row>
    <row r="922" spans="1:15" x14ac:dyDescent="0.25">
      <c r="A922" s="14"/>
      <c r="B922" s="14"/>
      <c r="C922" s="14"/>
      <c r="D922" s="5" t="str">
        <f t="shared" si="93"/>
        <v/>
      </c>
      <c r="E922" s="5" t="str">
        <f t="shared" si="94"/>
        <v/>
      </c>
      <c r="F922" s="5" t="str">
        <f t="shared" si="95"/>
        <v/>
      </c>
      <c r="G922" s="23"/>
      <c r="H922" s="66"/>
      <c r="I922" s="14"/>
      <c r="J922" s="14"/>
      <c r="K922" s="14"/>
      <c r="L922" s="5" t="str">
        <f t="shared" si="90"/>
        <v/>
      </c>
      <c r="M922" s="5" t="str">
        <f t="shared" si="91"/>
        <v/>
      </c>
      <c r="N922" s="5" t="str">
        <f t="shared" si="92"/>
        <v/>
      </c>
      <c r="O922" s="4"/>
    </row>
    <row r="923" spans="1:15" x14ac:dyDescent="0.25">
      <c r="A923" s="14"/>
      <c r="B923" s="14"/>
      <c r="C923" s="14"/>
      <c r="D923" s="5" t="str">
        <f t="shared" si="93"/>
        <v/>
      </c>
      <c r="E923" s="5" t="str">
        <f t="shared" si="94"/>
        <v/>
      </c>
      <c r="F923" s="5" t="str">
        <f t="shared" si="95"/>
        <v/>
      </c>
      <c r="G923" s="23"/>
      <c r="H923" s="66"/>
      <c r="I923" s="14"/>
      <c r="J923" s="14"/>
      <c r="K923" s="14"/>
      <c r="L923" s="5" t="str">
        <f t="shared" si="90"/>
        <v/>
      </c>
      <c r="M923" s="5" t="str">
        <f t="shared" si="91"/>
        <v/>
      </c>
      <c r="N923" s="5" t="str">
        <f t="shared" si="92"/>
        <v/>
      </c>
      <c r="O923" s="4"/>
    </row>
    <row r="924" spans="1:15" x14ac:dyDescent="0.25">
      <c r="A924" s="14"/>
      <c r="B924" s="14"/>
      <c r="C924" s="14"/>
      <c r="D924" s="5" t="str">
        <f t="shared" si="93"/>
        <v/>
      </c>
      <c r="E924" s="5" t="str">
        <f t="shared" si="94"/>
        <v/>
      </c>
      <c r="F924" s="5" t="str">
        <f t="shared" si="95"/>
        <v/>
      </c>
      <c r="G924" s="23"/>
      <c r="H924" s="66"/>
      <c r="I924" s="14"/>
      <c r="J924" s="14"/>
      <c r="K924" s="14"/>
      <c r="L924" s="5" t="str">
        <f t="shared" si="90"/>
        <v/>
      </c>
      <c r="M924" s="5" t="str">
        <f t="shared" si="91"/>
        <v/>
      </c>
      <c r="N924" s="5" t="str">
        <f t="shared" si="92"/>
        <v/>
      </c>
      <c r="O924" s="4"/>
    </row>
    <row r="925" spans="1:15" x14ac:dyDescent="0.25">
      <c r="A925" s="14"/>
      <c r="B925" s="14"/>
      <c r="C925" s="14"/>
      <c r="D925" s="5" t="str">
        <f t="shared" si="93"/>
        <v/>
      </c>
      <c r="E925" s="5" t="str">
        <f t="shared" si="94"/>
        <v/>
      </c>
      <c r="F925" s="5" t="str">
        <f t="shared" si="95"/>
        <v/>
      </c>
      <c r="G925" s="23"/>
      <c r="H925" s="66"/>
      <c r="I925" s="14"/>
      <c r="J925" s="14"/>
      <c r="K925" s="14"/>
      <c r="L925" s="5" t="str">
        <f t="shared" si="90"/>
        <v/>
      </c>
      <c r="M925" s="5" t="str">
        <f t="shared" si="91"/>
        <v/>
      </c>
      <c r="N925" s="5" t="str">
        <f t="shared" si="92"/>
        <v/>
      </c>
      <c r="O925" s="4"/>
    </row>
    <row r="926" spans="1:15" x14ac:dyDescent="0.25">
      <c r="A926" s="14"/>
      <c r="B926" s="14"/>
      <c r="C926" s="14"/>
      <c r="D926" s="5" t="str">
        <f t="shared" si="93"/>
        <v/>
      </c>
      <c r="E926" s="5" t="str">
        <f t="shared" si="94"/>
        <v/>
      </c>
      <c r="F926" s="5" t="str">
        <f t="shared" si="95"/>
        <v/>
      </c>
      <c r="G926" s="23"/>
      <c r="H926" s="66"/>
      <c r="I926" s="14"/>
      <c r="J926" s="14"/>
      <c r="K926" s="14"/>
      <c r="L926" s="5" t="str">
        <f t="shared" si="90"/>
        <v/>
      </c>
      <c r="M926" s="5" t="str">
        <f t="shared" si="91"/>
        <v/>
      </c>
      <c r="N926" s="5" t="str">
        <f t="shared" si="92"/>
        <v/>
      </c>
      <c r="O926" s="4"/>
    </row>
    <row r="927" spans="1:15" x14ac:dyDescent="0.25">
      <c r="A927" s="14"/>
      <c r="B927" s="14"/>
      <c r="C927" s="14"/>
      <c r="D927" s="5" t="str">
        <f t="shared" si="93"/>
        <v/>
      </c>
      <c r="E927" s="5" t="str">
        <f t="shared" si="94"/>
        <v/>
      </c>
      <c r="F927" s="5" t="str">
        <f t="shared" si="95"/>
        <v/>
      </c>
      <c r="G927" s="23"/>
      <c r="H927" s="66"/>
      <c r="I927" s="14"/>
      <c r="J927" s="14"/>
      <c r="K927" s="14"/>
      <c r="L927" s="5" t="str">
        <f t="shared" si="90"/>
        <v/>
      </c>
      <c r="M927" s="5" t="str">
        <f t="shared" si="91"/>
        <v/>
      </c>
      <c r="N927" s="5" t="str">
        <f t="shared" si="92"/>
        <v/>
      </c>
      <c r="O927" s="4"/>
    </row>
    <row r="928" spans="1:15" x14ac:dyDescent="0.25">
      <c r="A928" s="14"/>
      <c r="B928" s="14"/>
      <c r="C928" s="14"/>
      <c r="D928" s="5" t="str">
        <f t="shared" si="93"/>
        <v/>
      </c>
      <c r="E928" s="5" t="str">
        <f t="shared" si="94"/>
        <v/>
      </c>
      <c r="F928" s="5" t="str">
        <f t="shared" si="95"/>
        <v/>
      </c>
      <c r="G928" s="23"/>
      <c r="H928" s="66"/>
      <c r="I928" s="14"/>
      <c r="J928" s="14"/>
      <c r="K928" s="14"/>
      <c r="L928" s="5" t="str">
        <f t="shared" si="90"/>
        <v/>
      </c>
      <c r="M928" s="5" t="str">
        <f t="shared" si="91"/>
        <v/>
      </c>
      <c r="N928" s="5" t="str">
        <f t="shared" si="92"/>
        <v/>
      </c>
      <c r="O928" s="4"/>
    </row>
    <row r="929" spans="1:15" x14ac:dyDescent="0.25">
      <c r="A929" s="14"/>
      <c r="B929" s="14"/>
      <c r="C929" s="14"/>
      <c r="D929" s="5" t="str">
        <f t="shared" si="93"/>
        <v/>
      </c>
      <c r="E929" s="5" t="str">
        <f t="shared" si="94"/>
        <v/>
      </c>
      <c r="F929" s="5" t="str">
        <f t="shared" si="95"/>
        <v/>
      </c>
      <c r="G929" s="23"/>
      <c r="H929" s="66"/>
      <c r="I929" s="14"/>
      <c r="J929" s="14"/>
      <c r="K929" s="14"/>
      <c r="L929" s="5" t="str">
        <f t="shared" si="90"/>
        <v/>
      </c>
      <c r="M929" s="5" t="str">
        <f t="shared" si="91"/>
        <v/>
      </c>
      <c r="N929" s="5" t="str">
        <f t="shared" si="92"/>
        <v/>
      </c>
      <c r="O929" s="4"/>
    </row>
    <row r="930" spans="1:15" x14ac:dyDescent="0.25">
      <c r="A930" s="14"/>
      <c r="B930" s="14"/>
      <c r="C930" s="14"/>
      <c r="D930" s="5" t="str">
        <f t="shared" si="93"/>
        <v/>
      </c>
      <c r="E930" s="5" t="str">
        <f t="shared" si="94"/>
        <v/>
      </c>
      <c r="F930" s="5" t="str">
        <f t="shared" si="95"/>
        <v/>
      </c>
      <c r="G930" s="23"/>
      <c r="H930" s="66"/>
      <c r="I930" s="14"/>
      <c r="J930" s="14"/>
      <c r="K930" s="14"/>
      <c r="L930" s="5" t="str">
        <f t="shared" si="90"/>
        <v/>
      </c>
      <c r="M930" s="5" t="str">
        <f t="shared" si="91"/>
        <v/>
      </c>
      <c r="N930" s="5" t="str">
        <f t="shared" si="92"/>
        <v/>
      </c>
      <c r="O930" s="4"/>
    </row>
    <row r="931" spans="1:15" x14ac:dyDescent="0.25">
      <c r="A931" s="14"/>
      <c r="B931" s="14"/>
      <c r="C931" s="14"/>
      <c r="D931" s="5" t="str">
        <f t="shared" si="93"/>
        <v/>
      </c>
      <c r="E931" s="5" t="str">
        <f t="shared" si="94"/>
        <v/>
      </c>
      <c r="F931" s="5" t="str">
        <f t="shared" si="95"/>
        <v/>
      </c>
      <c r="G931" s="23"/>
      <c r="H931" s="66"/>
      <c r="I931" s="14"/>
      <c r="J931" s="14"/>
      <c r="K931" s="14"/>
      <c r="L931" s="5" t="str">
        <f t="shared" si="90"/>
        <v/>
      </c>
      <c r="M931" s="5" t="str">
        <f t="shared" si="91"/>
        <v/>
      </c>
      <c r="N931" s="5" t="str">
        <f t="shared" si="92"/>
        <v/>
      </c>
      <c r="O931" s="4"/>
    </row>
    <row r="932" spans="1:15" x14ac:dyDescent="0.25">
      <c r="A932" s="14"/>
      <c r="B932" s="14"/>
      <c r="C932" s="14"/>
      <c r="D932" s="5" t="str">
        <f t="shared" si="93"/>
        <v/>
      </c>
      <c r="E932" s="5" t="str">
        <f t="shared" si="94"/>
        <v/>
      </c>
      <c r="F932" s="5" t="str">
        <f t="shared" si="95"/>
        <v/>
      </c>
      <c r="G932" s="23"/>
      <c r="H932" s="66"/>
      <c r="I932" s="14"/>
      <c r="J932" s="14"/>
      <c r="K932" s="14"/>
      <c r="L932" s="5" t="str">
        <f t="shared" si="90"/>
        <v/>
      </c>
      <c r="M932" s="5" t="str">
        <f t="shared" si="91"/>
        <v/>
      </c>
      <c r="N932" s="5" t="str">
        <f t="shared" si="92"/>
        <v/>
      </c>
      <c r="O932" s="4"/>
    </row>
    <row r="933" spans="1:15" x14ac:dyDescent="0.25">
      <c r="A933" s="14"/>
      <c r="B933" s="14"/>
      <c r="C933" s="14"/>
      <c r="D933" s="5" t="str">
        <f t="shared" si="93"/>
        <v/>
      </c>
      <c r="E933" s="5" t="str">
        <f t="shared" si="94"/>
        <v/>
      </c>
      <c r="F933" s="5" t="str">
        <f t="shared" si="95"/>
        <v/>
      </c>
      <c r="G933" s="23"/>
      <c r="H933" s="66"/>
      <c r="I933" s="14"/>
      <c r="J933" s="14"/>
      <c r="K933" s="14"/>
      <c r="L933" s="5" t="str">
        <f t="shared" si="90"/>
        <v/>
      </c>
      <c r="M933" s="5" t="str">
        <f t="shared" si="91"/>
        <v/>
      </c>
      <c r="N933" s="5" t="str">
        <f t="shared" si="92"/>
        <v/>
      </c>
      <c r="O933" s="4"/>
    </row>
    <row r="934" spans="1:15" x14ac:dyDescent="0.25">
      <c r="A934" s="14"/>
      <c r="B934" s="14"/>
      <c r="C934" s="14"/>
      <c r="D934" s="5" t="str">
        <f t="shared" si="93"/>
        <v/>
      </c>
      <c r="E934" s="5" t="str">
        <f t="shared" si="94"/>
        <v/>
      </c>
      <c r="F934" s="5" t="str">
        <f t="shared" si="95"/>
        <v/>
      </c>
      <c r="G934" s="23"/>
      <c r="H934" s="66"/>
      <c r="I934" s="14"/>
      <c r="J934" s="14"/>
      <c r="K934" s="14"/>
      <c r="L934" s="5" t="str">
        <f t="shared" si="90"/>
        <v/>
      </c>
      <c r="M934" s="5" t="str">
        <f t="shared" si="91"/>
        <v/>
      </c>
      <c r="N934" s="5" t="str">
        <f t="shared" si="92"/>
        <v/>
      </c>
      <c r="O934" s="4"/>
    </row>
    <row r="935" spans="1:15" x14ac:dyDescent="0.25">
      <c r="A935" s="14"/>
      <c r="B935" s="14"/>
      <c r="C935" s="14"/>
      <c r="D935" s="5" t="str">
        <f t="shared" si="93"/>
        <v/>
      </c>
      <c r="E935" s="5" t="str">
        <f t="shared" si="94"/>
        <v/>
      </c>
      <c r="F935" s="5" t="str">
        <f t="shared" si="95"/>
        <v/>
      </c>
      <c r="G935" s="23"/>
      <c r="H935" s="66"/>
      <c r="I935" s="14"/>
      <c r="J935" s="14"/>
      <c r="K935" s="14"/>
      <c r="L935" s="5" t="str">
        <f t="shared" si="90"/>
        <v/>
      </c>
      <c r="M935" s="5" t="str">
        <f t="shared" si="91"/>
        <v/>
      </c>
      <c r="N935" s="5" t="str">
        <f t="shared" si="92"/>
        <v/>
      </c>
      <c r="O935" s="4"/>
    </row>
    <row r="936" spans="1:15" x14ac:dyDescent="0.25">
      <c r="A936" s="14"/>
      <c r="B936" s="14"/>
      <c r="C936" s="14"/>
      <c r="D936" s="5" t="str">
        <f t="shared" si="93"/>
        <v/>
      </c>
      <c r="E936" s="5" t="str">
        <f t="shared" si="94"/>
        <v/>
      </c>
      <c r="F936" s="5" t="str">
        <f t="shared" si="95"/>
        <v/>
      </c>
      <c r="G936" s="23"/>
      <c r="H936" s="66"/>
      <c r="I936" s="14"/>
      <c r="J936" s="14"/>
      <c r="K936" s="14"/>
      <c r="L936" s="5" t="str">
        <f t="shared" si="90"/>
        <v/>
      </c>
      <c r="M936" s="5" t="str">
        <f t="shared" si="91"/>
        <v/>
      </c>
      <c r="N936" s="5" t="str">
        <f t="shared" si="92"/>
        <v/>
      </c>
      <c r="O936" s="4"/>
    </row>
    <row r="937" spans="1:15" x14ac:dyDescent="0.25">
      <c r="A937" s="14"/>
      <c r="B937" s="14"/>
      <c r="C937" s="14"/>
      <c r="D937" s="5" t="str">
        <f t="shared" si="93"/>
        <v/>
      </c>
      <c r="E937" s="5" t="str">
        <f t="shared" si="94"/>
        <v/>
      </c>
      <c r="F937" s="5" t="str">
        <f t="shared" si="95"/>
        <v/>
      </c>
      <c r="G937" s="23"/>
      <c r="H937" s="66"/>
      <c r="I937" s="14"/>
      <c r="J937" s="14"/>
      <c r="K937" s="14"/>
      <c r="L937" s="5" t="str">
        <f t="shared" si="90"/>
        <v/>
      </c>
      <c r="M937" s="5" t="str">
        <f t="shared" si="91"/>
        <v/>
      </c>
      <c r="N937" s="5" t="str">
        <f t="shared" si="92"/>
        <v/>
      </c>
      <c r="O937" s="4"/>
    </row>
    <row r="938" spans="1:15" x14ac:dyDescent="0.25">
      <c r="A938" s="14"/>
      <c r="B938" s="14"/>
      <c r="C938" s="14"/>
      <c r="D938" s="5" t="str">
        <f t="shared" si="93"/>
        <v/>
      </c>
      <c r="E938" s="5" t="str">
        <f t="shared" si="94"/>
        <v/>
      </c>
      <c r="F938" s="5" t="str">
        <f t="shared" si="95"/>
        <v/>
      </c>
      <c r="G938" s="23"/>
      <c r="H938" s="66"/>
      <c r="I938" s="14"/>
      <c r="J938" s="14"/>
      <c r="K938" s="14"/>
      <c r="L938" s="5" t="str">
        <f t="shared" si="90"/>
        <v/>
      </c>
      <c r="M938" s="5" t="str">
        <f t="shared" si="91"/>
        <v/>
      </c>
      <c r="N938" s="5" t="str">
        <f t="shared" si="92"/>
        <v/>
      </c>
      <c r="O938" s="4"/>
    </row>
    <row r="939" spans="1:15" x14ac:dyDescent="0.25">
      <c r="A939" s="14"/>
      <c r="B939" s="14"/>
      <c r="C939" s="14"/>
      <c r="D939" s="5" t="str">
        <f t="shared" si="93"/>
        <v/>
      </c>
      <c r="E939" s="5" t="str">
        <f t="shared" si="94"/>
        <v/>
      </c>
      <c r="F939" s="5" t="str">
        <f t="shared" si="95"/>
        <v/>
      </c>
      <c r="G939" s="23"/>
      <c r="H939" s="66"/>
      <c r="I939" s="14"/>
      <c r="J939" s="14"/>
      <c r="K939" s="14"/>
      <c r="L939" s="5" t="str">
        <f t="shared" si="90"/>
        <v/>
      </c>
      <c r="M939" s="5" t="str">
        <f t="shared" si="91"/>
        <v/>
      </c>
      <c r="N939" s="5" t="str">
        <f t="shared" si="92"/>
        <v/>
      </c>
      <c r="O939" s="4"/>
    </row>
    <row r="940" spans="1:15" x14ac:dyDescent="0.25">
      <c r="A940" s="14"/>
      <c r="B940" s="14"/>
      <c r="C940" s="14"/>
      <c r="D940" s="5" t="str">
        <f t="shared" si="93"/>
        <v/>
      </c>
      <c r="E940" s="5" t="str">
        <f t="shared" si="94"/>
        <v/>
      </c>
      <c r="F940" s="5" t="str">
        <f t="shared" si="95"/>
        <v/>
      </c>
      <c r="G940" s="23"/>
      <c r="H940" s="66"/>
      <c r="I940" s="14"/>
      <c r="J940" s="14"/>
      <c r="K940" s="14"/>
      <c r="L940" s="5" t="str">
        <f t="shared" si="90"/>
        <v/>
      </c>
      <c r="M940" s="5" t="str">
        <f t="shared" si="91"/>
        <v/>
      </c>
      <c r="N940" s="5" t="str">
        <f t="shared" si="92"/>
        <v/>
      </c>
      <c r="O940" s="4"/>
    </row>
    <row r="941" spans="1:15" x14ac:dyDescent="0.25">
      <c r="A941" s="14"/>
      <c r="B941" s="14"/>
      <c r="C941" s="14"/>
      <c r="D941" s="5" t="str">
        <f t="shared" si="93"/>
        <v/>
      </c>
      <c r="E941" s="5" t="str">
        <f t="shared" si="94"/>
        <v/>
      </c>
      <c r="F941" s="5" t="str">
        <f t="shared" si="95"/>
        <v/>
      </c>
      <c r="G941" s="23"/>
      <c r="H941" s="66"/>
      <c r="I941" s="14"/>
      <c r="J941" s="14"/>
      <c r="K941" s="14"/>
      <c r="L941" s="5" t="str">
        <f t="shared" si="90"/>
        <v/>
      </c>
      <c r="M941" s="5" t="str">
        <f t="shared" si="91"/>
        <v/>
      </c>
      <c r="N941" s="5" t="str">
        <f t="shared" si="92"/>
        <v/>
      </c>
      <c r="O941" s="4"/>
    </row>
    <row r="942" spans="1:15" x14ac:dyDescent="0.25">
      <c r="A942" s="14"/>
      <c r="B942" s="14"/>
      <c r="C942" s="14"/>
      <c r="D942" s="5" t="str">
        <f t="shared" si="93"/>
        <v/>
      </c>
      <c r="E942" s="5" t="str">
        <f t="shared" si="94"/>
        <v/>
      </c>
      <c r="F942" s="5" t="str">
        <f t="shared" si="95"/>
        <v/>
      </c>
      <c r="G942" s="23"/>
      <c r="H942" s="66"/>
      <c r="I942" s="14"/>
      <c r="J942" s="14"/>
      <c r="K942" s="14"/>
      <c r="L942" s="5" t="str">
        <f t="shared" si="90"/>
        <v/>
      </c>
      <c r="M942" s="5" t="str">
        <f t="shared" si="91"/>
        <v/>
      </c>
      <c r="N942" s="5" t="str">
        <f t="shared" si="92"/>
        <v/>
      </c>
      <c r="O942" s="4"/>
    </row>
    <row r="943" spans="1:15" x14ac:dyDescent="0.25">
      <c r="A943" s="14"/>
      <c r="B943" s="14"/>
      <c r="C943" s="14"/>
      <c r="D943" s="5" t="str">
        <f t="shared" si="93"/>
        <v/>
      </c>
      <c r="E943" s="5" t="str">
        <f t="shared" si="94"/>
        <v/>
      </c>
      <c r="F943" s="5" t="str">
        <f t="shared" si="95"/>
        <v/>
      </c>
      <c r="G943" s="23"/>
      <c r="H943" s="66"/>
      <c r="I943" s="14"/>
      <c r="J943" s="14"/>
      <c r="K943" s="14"/>
      <c r="L943" s="5" t="str">
        <f t="shared" si="90"/>
        <v/>
      </c>
      <c r="M943" s="5" t="str">
        <f t="shared" si="91"/>
        <v/>
      </c>
      <c r="N943" s="5" t="str">
        <f t="shared" si="92"/>
        <v/>
      </c>
      <c r="O943" s="4"/>
    </row>
    <row r="944" spans="1:15" x14ac:dyDescent="0.25">
      <c r="A944" s="14"/>
      <c r="B944" s="14"/>
      <c r="C944" s="14"/>
      <c r="D944" s="5" t="str">
        <f t="shared" si="93"/>
        <v/>
      </c>
      <c r="E944" s="5" t="str">
        <f t="shared" si="94"/>
        <v/>
      </c>
      <c r="F944" s="5" t="str">
        <f t="shared" si="95"/>
        <v/>
      </c>
      <c r="G944" s="23"/>
      <c r="H944" s="66"/>
      <c r="I944" s="14"/>
      <c r="J944" s="14"/>
      <c r="K944" s="14"/>
      <c r="L944" s="5" t="str">
        <f t="shared" si="90"/>
        <v/>
      </c>
      <c r="M944" s="5" t="str">
        <f t="shared" si="91"/>
        <v/>
      </c>
      <c r="N944" s="5" t="str">
        <f t="shared" si="92"/>
        <v/>
      </c>
      <c r="O944" s="4"/>
    </row>
    <row r="945" spans="1:15" x14ac:dyDescent="0.25">
      <c r="A945" s="14"/>
      <c r="B945" s="14"/>
      <c r="C945" s="14"/>
      <c r="D945" s="5" t="str">
        <f t="shared" si="93"/>
        <v/>
      </c>
      <c r="E945" s="5" t="str">
        <f t="shared" si="94"/>
        <v/>
      </c>
      <c r="F945" s="5" t="str">
        <f t="shared" si="95"/>
        <v/>
      </c>
      <c r="G945" s="23"/>
      <c r="H945" s="66"/>
      <c r="I945" s="14"/>
      <c r="J945" s="14"/>
      <c r="K945" s="14"/>
      <c r="L945" s="5" t="str">
        <f t="shared" si="90"/>
        <v/>
      </c>
      <c r="M945" s="5" t="str">
        <f t="shared" si="91"/>
        <v/>
      </c>
      <c r="N945" s="5" t="str">
        <f t="shared" si="92"/>
        <v/>
      </c>
      <c r="O945" s="4"/>
    </row>
    <row r="946" spans="1:15" x14ac:dyDescent="0.25">
      <c r="A946" s="14"/>
      <c r="B946" s="14"/>
      <c r="C946" s="14"/>
      <c r="D946" s="5" t="str">
        <f t="shared" si="93"/>
        <v/>
      </c>
      <c r="E946" s="5" t="str">
        <f t="shared" si="94"/>
        <v/>
      </c>
      <c r="F946" s="5" t="str">
        <f t="shared" si="95"/>
        <v/>
      </c>
      <c r="G946" s="23"/>
      <c r="H946" s="66"/>
      <c r="I946" s="14"/>
      <c r="J946" s="14"/>
      <c r="K946" s="14"/>
      <c r="L946" s="5" t="str">
        <f t="shared" si="90"/>
        <v/>
      </c>
      <c r="M946" s="5" t="str">
        <f t="shared" si="91"/>
        <v/>
      </c>
      <c r="N946" s="5" t="str">
        <f t="shared" si="92"/>
        <v/>
      </c>
      <c r="O946" s="4"/>
    </row>
    <row r="947" spans="1:15" x14ac:dyDescent="0.25">
      <c r="A947" s="14"/>
      <c r="B947" s="14"/>
      <c r="C947" s="14"/>
      <c r="D947" s="5" t="str">
        <f t="shared" si="93"/>
        <v/>
      </c>
      <c r="E947" s="5" t="str">
        <f t="shared" si="94"/>
        <v/>
      </c>
      <c r="F947" s="5" t="str">
        <f t="shared" si="95"/>
        <v/>
      </c>
      <c r="G947" s="23"/>
      <c r="H947" s="66"/>
      <c r="I947" s="14"/>
      <c r="J947" s="14"/>
      <c r="K947" s="14"/>
      <c r="L947" s="5" t="str">
        <f t="shared" si="90"/>
        <v/>
      </c>
      <c r="M947" s="5" t="str">
        <f t="shared" si="91"/>
        <v/>
      </c>
      <c r="N947" s="5" t="str">
        <f t="shared" si="92"/>
        <v/>
      </c>
      <c r="O947" s="4"/>
    </row>
    <row r="948" spans="1:15" x14ac:dyDescent="0.25">
      <c r="A948" s="14"/>
      <c r="B948" s="14"/>
      <c r="C948" s="14"/>
      <c r="D948" s="5" t="str">
        <f t="shared" si="93"/>
        <v/>
      </c>
      <c r="E948" s="5" t="str">
        <f t="shared" si="94"/>
        <v/>
      </c>
      <c r="F948" s="5" t="str">
        <f t="shared" si="95"/>
        <v/>
      </c>
      <c r="G948" s="23"/>
      <c r="H948" s="66"/>
      <c r="I948" s="14"/>
      <c r="J948" s="14"/>
      <c r="K948" s="14"/>
      <c r="L948" s="5" t="str">
        <f t="shared" si="90"/>
        <v/>
      </c>
      <c r="M948" s="5" t="str">
        <f t="shared" si="91"/>
        <v/>
      </c>
      <c r="N948" s="5" t="str">
        <f t="shared" si="92"/>
        <v/>
      </c>
      <c r="O948" s="4"/>
    </row>
    <row r="949" spans="1:15" x14ac:dyDescent="0.25">
      <c r="A949" s="14"/>
      <c r="B949" s="14"/>
      <c r="C949" s="14"/>
      <c r="D949" s="5" t="str">
        <f t="shared" si="93"/>
        <v/>
      </c>
      <c r="E949" s="5" t="str">
        <f t="shared" si="94"/>
        <v/>
      </c>
      <c r="F949" s="5" t="str">
        <f t="shared" si="95"/>
        <v/>
      </c>
      <c r="G949" s="23"/>
      <c r="H949" s="66"/>
      <c r="I949" s="14"/>
      <c r="J949" s="14"/>
      <c r="K949" s="14"/>
      <c r="L949" s="5" t="str">
        <f t="shared" si="90"/>
        <v/>
      </c>
      <c r="M949" s="5" t="str">
        <f t="shared" si="91"/>
        <v/>
      </c>
      <c r="N949" s="5" t="str">
        <f t="shared" si="92"/>
        <v/>
      </c>
      <c r="O949" s="4"/>
    </row>
    <row r="950" spans="1:15" x14ac:dyDescent="0.25">
      <c r="A950" s="14"/>
      <c r="B950" s="14"/>
      <c r="C950" s="14"/>
      <c r="D950" s="5" t="str">
        <f t="shared" si="93"/>
        <v/>
      </c>
      <c r="E950" s="5" t="str">
        <f t="shared" si="94"/>
        <v/>
      </c>
      <c r="F950" s="5" t="str">
        <f t="shared" si="95"/>
        <v/>
      </c>
      <c r="G950" s="23"/>
      <c r="H950" s="66"/>
      <c r="I950" s="14"/>
      <c r="J950" s="14"/>
      <c r="K950" s="14"/>
      <c r="L950" s="5" t="str">
        <f t="shared" si="90"/>
        <v/>
      </c>
      <c r="M950" s="5" t="str">
        <f t="shared" si="91"/>
        <v/>
      </c>
      <c r="N950" s="5" t="str">
        <f t="shared" si="92"/>
        <v/>
      </c>
      <c r="O950" s="4"/>
    </row>
    <row r="951" spans="1:15" x14ac:dyDescent="0.25">
      <c r="A951" s="14"/>
      <c r="B951" s="14"/>
      <c r="C951" s="14"/>
      <c r="D951" s="5" t="str">
        <f t="shared" si="93"/>
        <v/>
      </c>
      <c r="E951" s="5" t="str">
        <f t="shared" si="94"/>
        <v/>
      </c>
      <c r="F951" s="5" t="str">
        <f t="shared" si="95"/>
        <v/>
      </c>
      <c r="G951" s="23"/>
      <c r="H951" s="66"/>
      <c r="I951" s="14"/>
      <c r="J951" s="14"/>
      <c r="K951" s="14"/>
      <c r="L951" s="5" t="str">
        <f t="shared" si="90"/>
        <v/>
      </c>
      <c r="M951" s="5" t="str">
        <f t="shared" si="91"/>
        <v/>
      </c>
      <c r="N951" s="5" t="str">
        <f t="shared" si="92"/>
        <v/>
      </c>
      <c r="O951" s="4"/>
    </row>
    <row r="952" spans="1:15" x14ac:dyDescent="0.25">
      <c r="A952" s="14"/>
      <c r="B952" s="14"/>
      <c r="C952" s="14"/>
      <c r="D952" s="5" t="str">
        <f t="shared" si="93"/>
        <v/>
      </c>
      <c r="E952" s="5" t="str">
        <f t="shared" si="94"/>
        <v/>
      </c>
      <c r="F952" s="5" t="str">
        <f t="shared" si="95"/>
        <v/>
      </c>
      <c r="G952" s="23"/>
      <c r="H952" s="66"/>
      <c r="I952" s="14"/>
      <c r="J952" s="14"/>
      <c r="K952" s="14"/>
      <c r="L952" s="5" t="str">
        <f t="shared" si="90"/>
        <v/>
      </c>
      <c r="M952" s="5" t="str">
        <f t="shared" si="91"/>
        <v/>
      </c>
      <c r="N952" s="5" t="str">
        <f t="shared" si="92"/>
        <v/>
      </c>
      <c r="O952" s="4"/>
    </row>
    <row r="953" spans="1:15" x14ac:dyDescent="0.25">
      <c r="A953" s="14"/>
      <c r="B953" s="14"/>
      <c r="C953" s="14"/>
      <c r="D953" s="5" t="str">
        <f t="shared" si="93"/>
        <v/>
      </c>
      <c r="E953" s="5" t="str">
        <f t="shared" si="94"/>
        <v/>
      </c>
      <c r="F953" s="5" t="str">
        <f t="shared" si="95"/>
        <v/>
      </c>
      <c r="G953" s="23"/>
      <c r="H953" s="66"/>
      <c r="I953" s="14"/>
      <c r="J953" s="14"/>
      <c r="K953" s="14"/>
      <c r="L953" s="5" t="str">
        <f t="shared" si="90"/>
        <v/>
      </c>
      <c r="M953" s="5" t="str">
        <f t="shared" si="91"/>
        <v/>
      </c>
      <c r="N953" s="5" t="str">
        <f t="shared" si="92"/>
        <v/>
      </c>
      <c r="O953" s="4"/>
    </row>
    <row r="954" spans="1:15" x14ac:dyDescent="0.25">
      <c r="A954" s="14"/>
      <c r="B954" s="14"/>
      <c r="C954" s="14"/>
      <c r="D954" s="5" t="str">
        <f t="shared" si="93"/>
        <v/>
      </c>
      <c r="E954" s="5" t="str">
        <f t="shared" si="94"/>
        <v/>
      </c>
      <c r="F954" s="5" t="str">
        <f t="shared" si="95"/>
        <v/>
      </c>
      <c r="G954" s="23"/>
      <c r="H954" s="66"/>
      <c r="I954" s="14"/>
      <c r="J954" s="14"/>
      <c r="K954" s="14"/>
      <c r="L954" s="5" t="str">
        <f t="shared" si="90"/>
        <v/>
      </c>
      <c r="M954" s="5" t="str">
        <f t="shared" si="91"/>
        <v/>
      </c>
      <c r="N954" s="5" t="str">
        <f t="shared" si="92"/>
        <v/>
      </c>
      <c r="O954" s="4"/>
    </row>
    <row r="955" spans="1:15" x14ac:dyDescent="0.25">
      <c r="A955" s="14"/>
      <c r="B955" s="14"/>
      <c r="C955" s="14"/>
      <c r="D955" s="5" t="str">
        <f t="shared" si="93"/>
        <v/>
      </c>
      <c r="E955" s="5" t="str">
        <f t="shared" si="94"/>
        <v/>
      </c>
      <c r="F955" s="5" t="str">
        <f t="shared" si="95"/>
        <v/>
      </c>
      <c r="G955" s="23"/>
      <c r="H955" s="66"/>
      <c r="I955" s="14"/>
      <c r="J955" s="14"/>
      <c r="K955" s="14"/>
      <c r="L955" s="5" t="str">
        <f t="shared" si="90"/>
        <v/>
      </c>
      <c r="M955" s="5" t="str">
        <f t="shared" si="91"/>
        <v/>
      </c>
      <c r="N955" s="5" t="str">
        <f t="shared" si="92"/>
        <v/>
      </c>
      <c r="O955" s="4"/>
    </row>
    <row r="956" spans="1:15" x14ac:dyDescent="0.25">
      <c r="A956" s="14"/>
      <c r="B956" s="14"/>
      <c r="C956" s="14"/>
      <c r="D956" s="5" t="str">
        <f t="shared" si="93"/>
        <v/>
      </c>
      <c r="E956" s="5" t="str">
        <f t="shared" si="94"/>
        <v/>
      </c>
      <c r="F956" s="5" t="str">
        <f t="shared" si="95"/>
        <v/>
      </c>
      <c r="G956" s="23"/>
      <c r="H956" s="66"/>
      <c r="I956" s="14"/>
      <c r="J956" s="14"/>
      <c r="K956" s="14"/>
      <c r="L956" s="5" t="str">
        <f t="shared" si="90"/>
        <v/>
      </c>
      <c r="M956" s="5" t="str">
        <f t="shared" si="91"/>
        <v/>
      </c>
      <c r="N956" s="5" t="str">
        <f t="shared" si="92"/>
        <v/>
      </c>
      <c r="O956" s="4"/>
    </row>
    <row r="957" spans="1:15" x14ac:dyDescent="0.25">
      <c r="A957" s="14"/>
      <c r="B957" s="14"/>
      <c r="C957" s="14"/>
      <c r="D957" s="5" t="str">
        <f t="shared" si="93"/>
        <v/>
      </c>
      <c r="E957" s="5" t="str">
        <f t="shared" si="94"/>
        <v/>
      </c>
      <c r="F957" s="5" t="str">
        <f t="shared" si="95"/>
        <v/>
      </c>
      <c r="G957" s="23"/>
      <c r="H957" s="66"/>
      <c r="I957" s="14"/>
      <c r="J957" s="14"/>
      <c r="K957" s="14"/>
      <c r="L957" s="5" t="str">
        <f t="shared" si="90"/>
        <v/>
      </c>
      <c r="M957" s="5" t="str">
        <f t="shared" si="91"/>
        <v/>
      </c>
      <c r="N957" s="5" t="str">
        <f t="shared" si="92"/>
        <v/>
      </c>
      <c r="O957" s="4"/>
    </row>
    <row r="958" spans="1:15" x14ac:dyDescent="0.25">
      <c r="A958" s="14"/>
      <c r="B958" s="14"/>
      <c r="C958" s="14"/>
      <c r="D958" s="5" t="str">
        <f t="shared" si="93"/>
        <v/>
      </c>
      <c r="E958" s="5" t="str">
        <f t="shared" si="94"/>
        <v/>
      </c>
      <c r="F958" s="5" t="str">
        <f t="shared" si="95"/>
        <v/>
      </c>
      <c r="G958" s="23"/>
      <c r="H958" s="66"/>
      <c r="I958" s="14"/>
      <c r="J958" s="14"/>
      <c r="K958" s="14"/>
      <c r="L958" s="5" t="str">
        <f t="shared" si="90"/>
        <v/>
      </c>
      <c r="M958" s="5" t="str">
        <f t="shared" si="91"/>
        <v/>
      </c>
      <c r="N958" s="5" t="str">
        <f t="shared" si="92"/>
        <v/>
      </c>
      <c r="O958" s="4"/>
    </row>
    <row r="959" spans="1:15" x14ac:dyDescent="0.25">
      <c r="A959" s="14"/>
      <c r="B959" s="14"/>
      <c r="C959" s="14"/>
      <c r="D959" s="5" t="str">
        <f t="shared" si="93"/>
        <v/>
      </c>
      <c r="E959" s="5" t="str">
        <f t="shared" si="94"/>
        <v/>
      </c>
      <c r="F959" s="5" t="str">
        <f t="shared" si="95"/>
        <v/>
      </c>
      <c r="G959" s="23"/>
      <c r="H959" s="66"/>
      <c r="I959" s="14"/>
      <c r="J959" s="14"/>
      <c r="K959" s="14"/>
      <c r="L959" s="5" t="str">
        <f t="shared" si="90"/>
        <v/>
      </c>
      <c r="M959" s="5" t="str">
        <f t="shared" si="91"/>
        <v/>
      </c>
      <c r="N959" s="5" t="str">
        <f t="shared" si="92"/>
        <v/>
      </c>
      <c r="O959" s="4"/>
    </row>
    <row r="960" spans="1:15" x14ac:dyDescent="0.25">
      <c r="A960" s="14"/>
      <c r="B960" s="14"/>
      <c r="C960" s="14"/>
      <c r="D960" s="5" t="str">
        <f t="shared" si="93"/>
        <v/>
      </c>
      <c r="E960" s="5" t="str">
        <f t="shared" si="94"/>
        <v/>
      </c>
      <c r="F960" s="5" t="str">
        <f t="shared" si="95"/>
        <v/>
      </c>
      <c r="G960" s="23"/>
      <c r="H960" s="66"/>
      <c r="I960" s="14"/>
      <c r="J960" s="14"/>
      <c r="K960" s="14"/>
      <c r="L960" s="5" t="str">
        <f t="shared" si="90"/>
        <v/>
      </c>
      <c r="M960" s="5" t="str">
        <f t="shared" si="91"/>
        <v/>
      </c>
      <c r="N960" s="5" t="str">
        <f t="shared" si="92"/>
        <v/>
      </c>
      <c r="O960" s="4"/>
    </row>
    <row r="961" spans="1:15" x14ac:dyDescent="0.25">
      <c r="A961" s="14"/>
      <c r="B961" s="14"/>
      <c r="C961" s="14"/>
      <c r="D961" s="5" t="str">
        <f t="shared" si="93"/>
        <v/>
      </c>
      <c r="E961" s="5" t="str">
        <f t="shared" si="94"/>
        <v/>
      </c>
      <c r="F961" s="5" t="str">
        <f t="shared" si="95"/>
        <v/>
      </c>
      <c r="G961" s="23"/>
      <c r="H961" s="66"/>
      <c r="I961" s="14"/>
      <c r="J961" s="14"/>
      <c r="K961" s="14"/>
      <c r="L961" s="5" t="str">
        <f t="shared" si="90"/>
        <v/>
      </c>
      <c r="M961" s="5" t="str">
        <f t="shared" si="91"/>
        <v/>
      </c>
      <c r="N961" s="5" t="str">
        <f t="shared" si="92"/>
        <v/>
      </c>
      <c r="O961" s="4"/>
    </row>
    <row r="962" spans="1:15" x14ac:dyDescent="0.25">
      <c r="A962" s="14"/>
      <c r="B962" s="14"/>
      <c r="C962" s="14"/>
      <c r="D962" s="5" t="str">
        <f t="shared" si="93"/>
        <v/>
      </c>
      <c r="E962" s="5" t="str">
        <f t="shared" si="94"/>
        <v/>
      </c>
      <c r="F962" s="5" t="str">
        <f t="shared" si="95"/>
        <v/>
      </c>
      <c r="G962" s="23"/>
      <c r="H962" s="66"/>
      <c r="I962" s="14"/>
      <c r="J962" s="14"/>
      <c r="K962" s="14"/>
      <c r="L962" s="5" t="str">
        <f t="shared" si="90"/>
        <v/>
      </c>
      <c r="M962" s="5" t="str">
        <f t="shared" si="91"/>
        <v/>
      </c>
      <c r="N962" s="5" t="str">
        <f t="shared" si="92"/>
        <v/>
      </c>
      <c r="O962" s="4"/>
    </row>
    <row r="963" spans="1:15" x14ac:dyDescent="0.25">
      <c r="A963" s="14"/>
      <c r="B963" s="14"/>
      <c r="C963" s="14"/>
      <c r="D963" s="5" t="str">
        <f t="shared" si="93"/>
        <v/>
      </c>
      <c r="E963" s="5" t="str">
        <f t="shared" si="94"/>
        <v/>
      </c>
      <c r="F963" s="5" t="str">
        <f t="shared" si="95"/>
        <v/>
      </c>
      <c r="G963" s="23"/>
      <c r="H963" s="66"/>
      <c r="I963" s="14"/>
      <c r="J963" s="14"/>
      <c r="K963" s="14"/>
      <c r="L963" s="5" t="str">
        <f t="shared" si="90"/>
        <v/>
      </c>
      <c r="M963" s="5" t="str">
        <f t="shared" si="91"/>
        <v/>
      </c>
      <c r="N963" s="5" t="str">
        <f t="shared" si="92"/>
        <v/>
      </c>
      <c r="O963" s="4"/>
    </row>
    <row r="964" spans="1:15" x14ac:dyDescent="0.25">
      <c r="A964" s="14"/>
      <c r="B964" s="14"/>
      <c r="C964" s="14"/>
      <c r="D964" s="5" t="str">
        <f t="shared" si="93"/>
        <v/>
      </c>
      <c r="E964" s="5" t="str">
        <f t="shared" si="94"/>
        <v/>
      </c>
      <c r="F964" s="5" t="str">
        <f t="shared" si="95"/>
        <v/>
      </c>
      <c r="G964" s="23"/>
      <c r="H964" s="66"/>
      <c r="I964" s="14"/>
      <c r="J964" s="14"/>
      <c r="K964" s="14"/>
      <c r="L964" s="5" t="str">
        <f t="shared" si="90"/>
        <v/>
      </c>
      <c r="M964" s="5" t="str">
        <f t="shared" si="91"/>
        <v/>
      </c>
      <c r="N964" s="5" t="str">
        <f t="shared" si="92"/>
        <v/>
      </c>
      <c r="O964" s="4"/>
    </row>
    <row r="965" spans="1:15" x14ac:dyDescent="0.25">
      <c r="A965" s="14"/>
      <c r="B965" s="14"/>
      <c r="C965" s="14"/>
      <c r="D965" s="5" t="str">
        <f t="shared" si="93"/>
        <v/>
      </c>
      <c r="E965" s="5" t="str">
        <f t="shared" si="94"/>
        <v/>
      </c>
      <c r="F965" s="5" t="str">
        <f t="shared" si="95"/>
        <v/>
      </c>
      <c r="G965" s="23"/>
      <c r="H965" s="66"/>
      <c r="I965" s="14"/>
      <c r="J965" s="14"/>
      <c r="K965" s="14"/>
      <c r="L965" s="5" t="str">
        <f t="shared" si="90"/>
        <v/>
      </c>
      <c r="M965" s="5" t="str">
        <f t="shared" si="91"/>
        <v/>
      </c>
      <c r="N965" s="5" t="str">
        <f t="shared" si="92"/>
        <v/>
      </c>
      <c r="O965" s="4"/>
    </row>
    <row r="966" spans="1:15" x14ac:dyDescent="0.25">
      <c r="A966" s="14"/>
      <c r="B966" s="14"/>
      <c r="C966" s="14"/>
      <c r="D966" s="5" t="str">
        <f t="shared" si="93"/>
        <v/>
      </c>
      <c r="E966" s="5" t="str">
        <f t="shared" si="94"/>
        <v/>
      </c>
      <c r="F966" s="5" t="str">
        <f t="shared" si="95"/>
        <v/>
      </c>
      <c r="G966" s="23"/>
      <c r="H966" s="66"/>
      <c r="I966" s="14"/>
      <c r="J966" s="14"/>
      <c r="K966" s="14"/>
      <c r="L966" s="5" t="str">
        <f t="shared" si="90"/>
        <v/>
      </c>
      <c r="M966" s="5" t="str">
        <f t="shared" si="91"/>
        <v/>
      </c>
      <c r="N966" s="5" t="str">
        <f t="shared" si="92"/>
        <v/>
      </c>
      <c r="O966" s="4"/>
    </row>
    <row r="967" spans="1:15" x14ac:dyDescent="0.25">
      <c r="A967" s="14"/>
      <c r="B967" s="14"/>
      <c r="C967" s="14"/>
      <c r="D967" s="5" t="str">
        <f t="shared" si="93"/>
        <v/>
      </c>
      <c r="E967" s="5" t="str">
        <f t="shared" si="94"/>
        <v/>
      </c>
      <c r="F967" s="5" t="str">
        <f t="shared" si="95"/>
        <v/>
      </c>
      <c r="G967" s="23"/>
      <c r="H967" s="66"/>
      <c r="I967" s="14"/>
      <c r="J967" s="14"/>
      <c r="K967" s="14"/>
      <c r="L967" s="5" t="str">
        <f t="shared" si="90"/>
        <v/>
      </c>
      <c r="M967" s="5" t="str">
        <f t="shared" si="91"/>
        <v/>
      </c>
      <c r="N967" s="5" t="str">
        <f t="shared" si="92"/>
        <v/>
      </c>
      <c r="O967" s="4"/>
    </row>
    <row r="968" spans="1:15" x14ac:dyDescent="0.25">
      <c r="A968" s="14"/>
      <c r="B968" s="14"/>
      <c r="C968" s="14"/>
      <c r="D968" s="5" t="str">
        <f t="shared" si="93"/>
        <v/>
      </c>
      <c r="E968" s="5" t="str">
        <f t="shared" si="94"/>
        <v/>
      </c>
      <c r="F968" s="5" t="str">
        <f t="shared" si="95"/>
        <v/>
      </c>
      <c r="G968" s="23"/>
      <c r="H968" s="66"/>
      <c r="I968" s="14"/>
      <c r="J968" s="14"/>
      <c r="K968" s="14"/>
      <c r="L968" s="5" t="str">
        <f t="shared" si="90"/>
        <v/>
      </c>
      <c r="M968" s="5" t="str">
        <f t="shared" si="91"/>
        <v/>
      </c>
      <c r="N968" s="5" t="str">
        <f t="shared" si="92"/>
        <v/>
      </c>
      <c r="O968" s="4"/>
    </row>
    <row r="969" spans="1:15" x14ac:dyDescent="0.25">
      <c r="A969" s="14"/>
      <c r="B969" s="14"/>
      <c r="C969" s="14"/>
      <c r="D969" s="5" t="str">
        <f t="shared" si="93"/>
        <v/>
      </c>
      <c r="E969" s="5" t="str">
        <f t="shared" si="94"/>
        <v/>
      </c>
      <c r="F969" s="5" t="str">
        <f t="shared" si="95"/>
        <v/>
      </c>
      <c r="G969" s="23"/>
      <c r="H969" s="66"/>
      <c r="I969" s="14"/>
      <c r="J969" s="14"/>
      <c r="K969" s="14"/>
      <c r="L969" s="5" t="str">
        <f t="shared" si="90"/>
        <v/>
      </c>
      <c r="M969" s="5" t="str">
        <f t="shared" si="91"/>
        <v/>
      </c>
      <c r="N969" s="5" t="str">
        <f t="shared" si="92"/>
        <v/>
      </c>
      <c r="O969" s="4"/>
    </row>
    <row r="970" spans="1:15" x14ac:dyDescent="0.25">
      <c r="A970" s="14"/>
      <c r="B970" s="14"/>
      <c r="C970" s="14"/>
      <c r="D970" s="5" t="str">
        <f t="shared" si="93"/>
        <v/>
      </c>
      <c r="E970" s="5" t="str">
        <f t="shared" si="94"/>
        <v/>
      </c>
      <c r="F970" s="5" t="str">
        <f t="shared" si="95"/>
        <v/>
      </c>
      <c r="G970" s="23"/>
      <c r="H970" s="66"/>
      <c r="I970" s="14"/>
      <c r="J970" s="14"/>
      <c r="K970" s="14"/>
      <c r="L970" s="5" t="str">
        <f t="shared" ref="L970:L1033" si="96">IFERROR(IF(I970&lt;&gt;"",(((J970-J969)*$X$4/(I970-I969)))*$X$5,""),"")</f>
        <v/>
      </c>
      <c r="M970" s="5" t="str">
        <f t="shared" ref="M970:M1033" si="97">IFERROR(IF(I970&lt;&gt;"",(((K970-K969)*$X$4/(I970-I969)))*$X$5,""),"")</f>
        <v/>
      </c>
      <c r="N970" s="5" t="str">
        <f t="shared" ref="N970:N1033" si="98">IFERROR(IF(I970&lt;&gt;"",((ACOS((COS(RADIANS(J969))*COS(RADIANS(J970)))+(SIN(RADIANS(J969))*SIN(RADIANS(J970)))*COS(RADIANS(K970-K969)))*180/PI()*($X$4/(I970-I969))))*$X$5,""),"")</f>
        <v/>
      </c>
      <c r="O970" s="4"/>
    </row>
    <row r="971" spans="1:15" x14ac:dyDescent="0.25">
      <c r="A971" s="14"/>
      <c r="B971" s="14"/>
      <c r="C971" s="14"/>
      <c r="D971" s="5" t="str">
        <f t="shared" si="93"/>
        <v/>
      </c>
      <c r="E971" s="5" t="str">
        <f t="shared" si="94"/>
        <v/>
      </c>
      <c r="F971" s="5" t="str">
        <f t="shared" si="95"/>
        <v/>
      </c>
      <c r="G971" s="23"/>
      <c r="H971" s="66"/>
      <c r="I971" s="14"/>
      <c r="J971" s="14"/>
      <c r="K971" s="14"/>
      <c r="L971" s="5" t="str">
        <f t="shared" si="96"/>
        <v/>
      </c>
      <c r="M971" s="5" t="str">
        <f t="shared" si="97"/>
        <v/>
      </c>
      <c r="N971" s="5" t="str">
        <f t="shared" si="98"/>
        <v/>
      </c>
      <c r="O971" s="4"/>
    </row>
    <row r="972" spans="1:15" x14ac:dyDescent="0.25">
      <c r="A972" s="14"/>
      <c r="B972" s="14"/>
      <c r="C972" s="14"/>
      <c r="D972" s="5" t="str">
        <f t="shared" si="93"/>
        <v/>
      </c>
      <c r="E972" s="5" t="str">
        <f t="shared" si="94"/>
        <v/>
      </c>
      <c r="F972" s="5" t="str">
        <f t="shared" si="95"/>
        <v/>
      </c>
      <c r="G972" s="23"/>
      <c r="H972" s="66"/>
      <c r="I972" s="14"/>
      <c r="J972" s="14"/>
      <c r="K972" s="14"/>
      <c r="L972" s="5" t="str">
        <f t="shared" si="96"/>
        <v/>
      </c>
      <c r="M972" s="5" t="str">
        <f t="shared" si="97"/>
        <v/>
      </c>
      <c r="N972" s="5" t="str">
        <f t="shared" si="98"/>
        <v/>
      </c>
      <c r="O972" s="4"/>
    </row>
    <row r="973" spans="1:15" x14ac:dyDescent="0.25">
      <c r="A973" s="14"/>
      <c r="B973" s="14"/>
      <c r="C973" s="14"/>
      <c r="D973" s="5" t="str">
        <f t="shared" si="93"/>
        <v/>
      </c>
      <c r="E973" s="5" t="str">
        <f t="shared" si="94"/>
        <v/>
      </c>
      <c r="F973" s="5" t="str">
        <f t="shared" si="95"/>
        <v/>
      </c>
      <c r="G973" s="23"/>
      <c r="H973" s="66"/>
      <c r="I973" s="14"/>
      <c r="J973" s="14"/>
      <c r="K973" s="14"/>
      <c r="L973" s="5" t="str">
        <f t="shared" si="96"/>
        <v/>
      </c>
      <c r="M973" s="5" t="str">
        <f t="shared" si="97"/>
        <v/>
      </c>
      <c r="N973" s="5" t="str">
        <f t="shared" si="98"/>
        <v/>
      </c>
      <c r="O973" s="4"/>
    </row>
    <row r="974" spans="1:15" x14ac:dyDescent="0.25">
      <c r="A974" s="14"/>
      <c r="B974" s="14"/>
      <c r="C974" s="14"/>
      <c r="D974" s="5" t="str">
        <f t="shared" si="93"/>
        <v/>
      </c>
      <c r="E974" s="5" t="str">
        <f t="shared" si="94"/>
        <v/>
      </c>
      <c r="F974" s="5" t="str">
        <f t="shared" si="95"/>
        <v/>
      </c>
      <c r="G974" s="23"/>
      <c r="H974" s="66"/>
      <c r="I974" s="14"/>
      <c r="J974" s="14"/>
      <c r="K974" s="14"/>
      <c r="L974" s="5" t="str">
        <f t="shared" si="96"/>
        <v/>
      </c>
      <c r="M974" s="5" t="str">
        <f t="shared" si="97"/>
        <v/>
      </c>
      <c r="N974" s="5" t="str">
        <f t="shared" si="98"/>
        <v/>
      </c>
      <c r="O974" s="4"/>
    </row>
    <row r="975" spans="1:15" x14ac:dyDescent="0.25">
      <c r="A975" s="14"/>
      <c r="B975" s="14"/>
      <c r="C975" s="14"/>
      <c r="D975" s="5" t="str">
        <f t="shared" si="93"/>
        <v/>
      </c>
      <c r="E975" s="5" t="str">
        <f t="shared" si="94"/>
        <v/>
      </c>
      <c r="F975" s="5" t="str">
        <f t="shared" si="95"/>
        <v/>
      </c>
      <c r="G975" s="23"/>
      <c r="H975" s="66"/>
      <c r="I975" s="14"/>
      <c r="J975" s="14"/>
      <c r="K975" s="14"/>
      <c r="L975" s="5" t="str">
        <f t="shared" si="96"/>
        <v/>
      </c>
      <c r="M975" s="5" t="str">
        <f t="shared" si="97"/>
        <v/>
      </c>
      <c r="N975" s="5" t="str">
        <f t="shared" si="98"/>
        <v/>
      </c>
      <c r="O975" s="4"/>
    </row>
    <row r="976" spans="1:15" x14ac:dyDescent="0.25">
      <c r="A976" s="14"/>
      <c r="B976" s="14"/>
      <c r="C976" s="14"/>
      <c r="D976" s="5" t="str">
        <f t="shared" si="93"/>
        <v/>
      </c>
      <c r="E976" s="5" t="str">
        <f t="shared" si="94"/>
        <v/>
      </c>
      <c r="F976" s="5" t="str">
        <f t="shared" si="95"/>
        <v/>
      </c>
      <c r="G976" s="23"/>
      <c r="H976" s="66"/>
      <c r="I976" s="14"/>
      <c r="J976" s="14"/>
      <c r="K976" s="14"/>
      <c r="L976" s="5" t="str">
        <f t="shared" si="96"/>
        <v/>
      </c>
      <c r="M976" s="5" t="str">
        <f t="shared" si="97"/>
        <v/>
      </c>
      <c r="N976" s="5" t="str">
        <f t="shared" si="98"/>
        <v/>
      </c>
      <c r="O976" s="4"/>
    </row>
    <row r="977" spans="1:15" x14ac:dyDescent="0.25">
      <c r="A977" s="14"/>
      <c r="B977" s="14"/>
      <c r="C977" s="14"/>
      <c r="D977" s="5" t="str">
        <f t="shared" si="93"/>
        <v/>
      </c>
      <c r="E977" s="5" t="str">
        <f t="shared" si="94"/>
        <v/>
      </c>
      <c r="F977" s="5" t="str">
        <f t="shared" si="95"/>
        <v/>
      </c>
      <c r="G977" s="23"/>
      <c r="H977" s="66"/>
      <c r="I977" s="14"/>
      <c r="J977" s="14"/>
      <c r="K977" s="14"/>
      <c r="L977" s="5" t="str">
        <f t="shared" si="96"/>
        <v/>
      </c>
      <c r="M977" s="5" t="str">
        <f t="shared" si="97"/>
        <v/>
      </c>
      <c r="N977" s="5" t="str">
        <f t="shared" si="98"/>
        <v/>
      </c>
      <c r="O977" s="4"/>
    </row>
    <row r="978" spans="1:15" x14ac:dyDescent="0.25">
      <c r="A978" s="14"/>
      <c r="B978" s="14"/>
      <c r="C978" s="14"/>
      <c r="D978" s="5" t="str">
        <f t="shared" si="93"/>
        <v/>
      </c>
      <c r="E978" s="5" t="str">
        <f t="shared" si="94"/>
        <v/>
      </c>
      <c r="F978" s="5" t="str">
        <f t="shared" si="95"/>
        <v/>
      </c>
      <c r="G978" s="23"/>
      <c r="H978" s="66"/>
      <c r="I978" s="14"/>
      <c r="J978" s="14"/>
      <c r="K978" s="14"/>
      <c r="L978" s="5" t="str">
        <f t="shared" si="96"/>
        <v/>
      </c>
      <c r="M978" s="5" t="str">
        <f t="shared" si="97"/>
        <v/>
      </c>
      <c r="N978" s="5" t="str">
        <f t="shared" si="98"/>
        <v/>
      </c>
      <c r="O978" s="4"/>
    </row>
    <row r="979" spans="1:15" x14ac:dyDescent="0.25">
      <c r="A979" s="14"/>
      <c r="B979" s="14"/>
      <c r="C979" s="14"/>
      <c r="D979" s="5" t="str">
        <f t="shared" si="93"/>
        <v/>
      </c>
      <c r="E979" s="5" t="str">
        <f t="shared" si="94"/>
        <v/>
      </c>
      <c r="F979" s="5" t="str">
        <f t="shared" si="95"/>
        <v/>
      </c>
      <c r="G979" s="23"/>
      <c r="H979" s="66"/>
      <c r="I979" s="14"/>
      <c r="J979" s="14"/>
      <c r="K979" s="14"/>
      <c r="L979" s="5" t="str">
        <f t="shared" si="96"/>
        <v/>
      </c>
      <c r="M979" s="5" t="str">
        <f t="shared" si="97"/>
        <v/>
      </c>
      <c r="N979" s="5" t="str">
        <f t="shared" si="98"/>
        <v/>
      </c>
      <c r="O979" s="4"/>
    </row>
    <row r="980" spans="1:15" x14ac:dyDescent="0.25">
      <c r="A980" s="14"/>
      <c r="B980" s="14"/>
      <c r="C980" s="14"/>
      <c r="D980" s="5" t="str">
        <f t="shared" si="93"/>
        <v/>
      </c>
      <c r="E980" s="5" t="str">
        <f t="shared" si="94"/>
        <v/>
      </c>
      <c r="F980" s="5" t="str">
        <f t="shared" si="95"/>
        <v/>
      </c>
      <c r="G980" s="23"/>
      <c r="H980" s="66"/>
      <c r="I980" s="14"/>
      <c r="J980" s="14"/>
      <c r="K980" s="14"/>
      <c r="L980" s="5" t="str">
        <f t="shared" si="96"/>
        <v/>
      </c>
      <c r="M980" s="5" t="str">
        <f t="shared" si="97"/>
        <v/>
      </c>
      <c r="N980" s="5" t="str">
        <f t="shared" si="98"/>
        <v/>
      </c>
      <c r="O980" s="4"/>
    </row>
    <row r="981" spans="1:15" x14ac:dyDescent="0.25">
      <c r="A981" s="14"/>
      <c r="B981" s="14"/>
      <c r="C981" s="14"/>
      <c r="D981" s="5" t="str">
        <f t="shared" si="93"/>
        <v/>
      </c>
      <c r="E981" s="5" t="str">
        <f t="shared" si="94"/>
        <v/>
      </c>
      <c r="F981" s="5" t="str">
        <f t="shared" si="95"/>
        <v/>
      </c>
      <c r="G981" s="23"/>
      <c r="H981" s="66"/>
      <c r="I981" s="14"/>
      <c r="J981" s="14"/>
      <c r="K981" s="14"/>
      <c r="L981" s="5" t="str">
        <f t="shared" si="96"/>
        <v/>
      </c>
      <c r="M981" s="5" t="str">
        <f t="shared" si="97"/>
        <v/>
      </c>
      <c r="N981" s="5" t="str">
        <f t="shared" si="98"/>
        <v/>
      </c>
      <c r="O981" s="4"/>
    </row>
    <row r="982" spans="1:15" x14ac:dyDescent="0.25">
      <c r="A982" s="14"/>
      <c r="B982" s="14"/>
      <c r="C982" s="14"/>
      <c r="D982" s="5" t="str">
        <f t="shared" si="93"/>
        <v/>
      </c>
      <c r="E982" s="5" t="str">
        <f t="shared" si="94"/>
        <v/>
      </c>
      <c r="F982" s="5" t="str">
        <f t="shared" si="95"/>
        <v/>
      </c>
      <c r="G982" s="23"/>
      <c r="H982" s="66"/>
      <c r="I982" s="14"/>
      <c r="J982" s="14"/>
      <c r="K982" s="14"/>
      <c r="L982" s="5" t="str">
        <f t="shared" si="96"/>
        <v/>
      </c>
      <c r="M982" s="5" t="str">
        <f t="shared" si="97"/>
        <v/>
      </c>
      <c r="N982" s="5" t="str">
        <f t="shared" si="98"/>
        <v/>
      </c>
      <c r="O982" s="4"/>
    </row>
    <row r="983" spans="1:15" x14ac:dyDescent="0.25">
      <c r="A983" s="14"/>
      <c r="B983" s="14"/>
      <c r="C983" s="14"/>
      <c r="D983" s="5" t="str">
        <f t="shared" si="93"/>
        <v/>
      </c>
      <c r="E983" s="5" t="str">
        <f t="shared" si="94"/>
        <v/>
      </c>
      <c r="F983" s="5" t="str">
        <f t="shared" si="95"/>
        <v/>
      </c>
      <c r="G983" s="23"/>
      <c r="H983" s="66"/>
      <c r="I983" s="14"/>
      <c r="J983" s="14"/>
      <c r="K983" s="14"/>
      <c r="L983" s="5" t="str">
        <f t="shared" si="96"/>
        <v/>
      </c>
      <c r="M983" s="5" t="str">
        <f t="shared" si="97"/>
        <v/>
      </c>
      <c r="N983" s="5" t="str">
        <f t="shared" si="98"/>
        <v/>
      </c>
      <c r="O983" s="4"/>
    </row>
    <row r="984" spans="1:15" x14ac:dyDescent="0.25">
      <c r="A984" s="14"/>
      <c r="B984" s="14"/>
      <c r="C984" s="14"/>
      <c r="D984" s="5" t="str">
        <f t="shared" si="93"/>
        <v/>
      </c>
      <c r="E984" s="5" t="str">
        <f t="shared" si="94"/>
        <v/>
      </c>
      <c r="F984" s="5" t="str">
        <f t="shared" si="95"/>
        <v/>
      </c>
      <c r="G984" s="23"/>
      <c r="H984" s="66"/>
      <c r="I984" s="14"/>
      <c r="J984" s="14"/>
      <c r="K984" s="14"/>
      <c r="L984" s="5" t="str">
        <f t="shared" si="96"/>
        <v/>
      </c>
      <c r="M984" s="5" t="str">
        <f t="shared" si="97"/>
        <v/>
      </c>
      <c r="N984" s="5" t="str">
        <f t="shared" si="98"/>
        <v/>
      </c>
      <c r="O984" s="4"/>
    </row>
    <row r="985" spans="1:15" x14ac:dyDescent="0.25">
      <c r="A985" s="14"/>
      <c r="B985" s="14"/>
      <c r="C985" s="14"/>
      <c r="D985" s="5" t="str">
        <f t="shared" ref="D985:D1048" si="99">IFERROR( IF(A985&lt;&gt;"",((B985-B984)*$X$4/(A985-A984))*$X$5,""),"")</f>
        <v/>
      </c>
      <c r="E985" s="5" t="str">
        <f t="shared" ref="E985:E1048" si="100">IFERROR(IF(A985&lt;&gt;"",((C985-C984)*$X$4/(A985-A984))*$X$5,""),"")</f>
        <v/>
      </c>
      <c r="F985" s="5" t="str">
        <f t="shared" ref="F985:F1048" si="101">IFERROR(IF(A985&lt;&gt;"",((ACOS((COS(RADIANS(B984))*COS(RADIANS(B985)))+(SIN(RADIANS(B984))*SIN(RADIANS(B985)))*COS(RADIANS(C985-C984)))*180/PI()*($X$4/(A985-A984))))*$X$5,""),"")</f>
        <v/>
      </c>
      <c r="G985" s="23"/>
      <c r="H985" s="66"/>
      <c r="I985" s="14"/>
      <c r="J985" s="14"/>
      <c r="K985" s="14"/>
      <c r="L985" s="5" t="str">
        <f t="shared" si="96"/>
        <v/>
      </c>
      <c r="M985" s="5" t="str">
        <f t="shared" si="97"/>
        <v/>
      </c>
      <c r="N985" s="5" t="str">
        <f t="shared" si="98"/>
        <v/>
      </c>
      <c r="O985" s="4"/>
    </row>
    <row r="986" spans="1:15" x14ac:dyDescent="0.25">
      <c r="A986" s="14"/>
      <c r="B986" s="14"/>
      <c r="C986" s="14"/>
      <c r="D986" s="5" t="str">
        <f t="shared" si="99"/>
        <v/>
      </c>
      <c r="E986" s="5" t="str">
        <f t="shared" si="100"/>
        <v/>
      </c>
      <c r="F986" s="5" t="str">
        <f t="shared" si="101"/>
        <v/>
      </c>
      <c r="G986" s="23"/>
      <c r="H986" s="66"/>
      <c r="I986" s="14"/>
      <c r="J986" s="14"/>
      <c r="K986" s="14"/>
      <c r="L986" s="5" t="str">
        <f t="shared" si="96"/>
        <v/>
      </c>
      <c r="M986" s="5" t="str">
        <f t="shared" si="97"/>
        <v/>
      </c>
      <c r="N986" s="5" t="str">
        <f t="shared" si="98"/>
        <v/>
      </c>
      <c r="O986" s="4"/>
    </row>
    <row r="987" spans="1:15" x14ac:dyDescent="0.25">
      <c r="A987" s="14"/>
      <c r="B987" s="14"/>
      <c r="C987" s="14"/>
      <c r="D987" s="5" t="str">
        <f t="shared" si="99"/>
        <v/>
      </c>
      <c r="E987" s="5" t="str">
        <f t="shared" si="100"/>
        <v/>
      </c>
      <c r="F987" s="5" t="str">
        <f t="shared" si="101"/>
        <v/>
      </c>
      <c r="G987" s="23"/>
      <c r="H987" s="66"/>
      <c r="I987" s="14"/>
      <c r="J987" s="14"/>
      <c r="K987" s="14"/>
      <c r="L987" s="5" t="str">
        <f t="shared" si="96"/>
        <v/>
      </c>
      <c r="M987" s="5" t="str">
        <f t="shared" si="97"/>
        <v/>
      </c>
      <c r="N987" s="5" t="str">
        <f t="shared" si="98"/>
        <v/>
      </c>
      <c r="O987" s="4"/>
    </row>
    <row r="988" spans="1:15" x14ac:dyDescent="0.25">
      <c r="A988" s="14"/>
      <c r="B988" s="14"/>
      <c r="C988" s="14"/>
      <c r="D988" s="5" t="str">
        <f t="shared" si="99"/>
        <v/>
      </c>
      <c r="E988" s="5" t="str">
        <f t="shared" si="100"/>
        <v/>
      </c>
      <c r="F988" s="5" t="str">
        <f t="shared" si="101"/>
        <v/>
      </c>
      <c r="G988" s="23"/>
      <c r="H988" s="66"/>
      <c r="I988" s="14"/>
      <c r="J988" s="14"/>
      <c r="K988" s="14"/>
      <c r="L988" s="5" t="str">
        <f t="shared" si="96"/>
        <v/>
      </c>
      <c r="M988" s="5" t="str">
        <f t="shared" si="97"/>
        <v/>
      </c>
      <c r="N988" s="5" t="str">
        <f t="shared" si="98"/>
        <v/>
      </c>
      <c r="O988" s="4"/>
    </row>
    <row r="989" spans="1:15" x14ac:dyDescent="0.25">
      <c r="A989" s="14"/>
      <c r="B989" s="14"/>
      <c r="C989" s="14"/>
      <c r="D989" s="5" t="str">
        <f t="shared" si="99"/>
        <v/>
      </c>
      <c r="E989" s="5" t="str">
        <f t="shared" si="100"/>
        <v/>
      </c>
      <c r="F989" s="5" t="str">
        <f t="shared" si="101"/>
        <v/>
      </c>
      <c r="G989" s="23"/>
      <c r="H989" s="66"/>
      <c r="I989" s="14"/>
      <c r="J989" s="14"/>
      <c r="K989" s="14"/>
      <c r="L989" s="5" t="str">
        <f t="shared" si="96"/>
        <v/>
      </c>
      <c r="M989" s="5" t="str">
        <f t="shared" si="97"/>
        <v/>
      </c>
      <c r="N989" s="5" t="str">
        <f t="shared" si="98"/>
        <v/>
      </c>
      <c r="O989" s="4"/>
    </row>
    <row r="990" spans="1:15" x14ac:dyDescent="0.25">
      <c r="A990" s="14"/>
      <c r="B990" s="14"/>
      <c r="C990" s="14"/>
      <c r="D990" s="5" t="str">
        <f t="shared" si="99"/>
        <v/>
      </c>
      <c r="E990" s="5" t="str">
        <f t="shared" si="100"/>
        <v/>
      </c>
      <c r="F990" s="5" t="str">
        <f t="shared" si="101"/>
        <v/>
      </c>
      <c r="G990" s="23"/>
      <c r="H990" s="66"/>
      <c r="I990" s="14"/>
      <c r="J990" s="14"/>
      <c r="K990" s="14"/>
      <c r="L990" s="5" t="str">
        <f t="shared" si="96"/>
        <v/>
      </c>
      <c r="M990" s="5" t="str">
        <f t="shared" si="97"/>
        <v/>
      </c>
      <c r="N990" s="5" t="str">
        <f t="shared" si="98"/>
        <v/>
      </c>
      <c r="O990" s="4"/>
    </row>
    <row r="991" spans="1:15" x14ac:dyDescent="0.25">
      <c r="A991" s="14"/>
      <c r="B991" s="14"/>
      <c r="C991" s="14"/>
      <c r="D991" s="5" t="str">
        <f t="shared" si="99"/>
        <v/>
      </c>
      <c r="E991" s="5" t="str">
        <f t="shared" si="100"/>
        <v/>
      </c>
      <c r="F991" s="5" t="str">
        <f t="shared" si="101"/>
        <v/>
      </c>
      <c r="G991" s="23"/>
      <c r="H991" s="66"/>
      <c r="I991" s="14"/>
      <c r="J991" s="14"/>
      <c r="K991" s="14"/>
      <c r="L991" s="5" t="str">
        <f t="shared" si="96"/>
        <v/>
      </c>
      <c r="M991" s="5" t="str">
        <f t="shared" si="97"/>
        <v/>
      </c>
      <c r="N991" s="5" t="str">
        <f t="shared" si="98"/>
        <v/>
      </c>
      <c r="O991" s="4"/>
    </row>
    <row r="992" spans="1:15" x14ac:dyDescent="0.25">
      <c r="A992" s="14"/>
      <c r="B992" s="14"/>
      <c r="C992" s="14"/>
      <c r="D992" s="5" t="str">
        <f t="shared" si="99"/>
        <v/>
      </c>
      <c r="E992" s="5" t="str">
        <f t="shared" si="100"/>
        <v/>
      </c>
      <c r="F992" s="5" t="str">
        <f t="shared" si="101"/>
        <v/>
      </c>
      <c r="G992" s="23"/>
      <c r="H992" s="66"/>
      <c r="I992" s="14"/>
      <c r="J992" s="14"/>
      <c r="K992" s="14"/>
      <c r="L992" s="5" t="str">
        <f t="shared" si="96"/>
        <v/>
      </c>
      <c r="M992" s="5" t="str">
        <f t="shared" si="97"/>
        <v/>
      </c>
      <c r="N992" s="5" t="str">
        <f t="shared" si="98"/>
        <v/>
      </c>
      <c r="O992" s="4"/>
    </row>
    <row r="993" spans="1:15" x14ac:dyDescent="0.25">
      <c r="A993" s="14"/>
      <c r="B993" s="14"/>
      <c r="C993" s="14"/>
      <c r="D993" s="5" t="str">
        <f t="shared" si="99"/>
        <v/>
      </c>
      <c r="E993" s="5" t="str">
        <f t="shared" si="100"/>
        <v/>
      </c>
      <c r="F993" s="5" t="str">
        <f t="shared" si="101"/>
        <v/>
      </c>
      <c r="G993" s="23"/>
      <c r="H993" s="66"/>
      <c r="I993" s="14"/>
      <c r="J993" s="14"/>
      <c r="K993" s="14"/>
      <c r="L993" s="5" t="str">
        <f t="shared" si="96"/>
        <v/>
      </c>
      <c r="M993" s="5" t="str">
        <f t="shared" si="97"/>
        <v/>
      </c>
      <c r="N993" s="5" t="str">
        <f t="shared" si="98"/>
        <v/>
      </c>
      <c r="O993" s="4"/>
    </row>
    <row r="994" spans="1:15" x14ac:dyDescent="0.25">
      <c r="A994" s="14"/>
      <c r="B994" s="14"/>
      <c r="C994" s="14"/>
      <c r="D994" s="5" t="str">
        <f t="shared" si="99"/>
        <v/>
      </c>
      <c r="E994" s="5" t="str">
        <f t="shared" si="100"/>
        <v/>
      </c>
      <c r="F994" s="5" t="str">
        <f t="shared" si="101"/>
        <v/>
      </c>
      <c r="G994" s="23"/>
      <c r="H994" s="66"/>
      <c r="I994" s="14"/>
      <c r="J994" s="14"/>
      <c r="K994" s="14"/>
      <c r="L994" s="5" t="str">
        <f t="shared" si="96"/>
        <v/>
      </c>
      <c r="M994" s="5" t="str">
        <f t="shared" si="97"/>
        <v/>
      </c>
      <c r="N994" s="5" t="str">
        <f t="shared" si="98"/>
        <v/>
      </c>
      <c r="O994" s="4"/>
    </row>
    <row r="995" spans="1:15" x14ac:dyDescent="0.25">
      <c r="A995" s="14"/>
      <c r="B995" s="14"/>
      <c r="C995" s="14"/>
      <c r="D995" s="5" t="str">
        <f t="shared" si="99"/>
        <v/>
      </c>
      <c r="E995" s="5" t="str">
        <f t="shared" si="100"/>
        <v/>
      </c>
      <c r="F995" s="5" t="str">
        <f t="shared" si="101"/>
        <v/>
      </c>
      <c r="G995" s="23"/>
      <c r="H995" s="66"/>
      <c r="I995" s="14"/>
      <c r="J995" s="14"/>
      <c r="K995" s="14"/>
      <c r="L995" s="5" t="str">
        <f t="shared" si="96"/>
        <v/>
      </c>
      <c r="M995" s="5" t="str">
        <f t="shared" si="97"/>
        <v/>
      </c>
      <c r="N995" s="5" t="str">
        <f t="shared" si="98"/>
        <v/>
      </c>
      <c r="O995" s="4"/>
    </row>
    <row r="996" spans="1:15" x14ac:dyDescent="0.25">
      <c r="A996" s="14"/>
      <c r="B996" s="14"/>
      <c r="C996" s="14"/>
      <c r="D996" s="5" t="str">
        <f t="shared" si="99"/>
        <v/>
      </c>
      <c r="E996" s="5" t="str">
        <f t="shared" si="100"/>
        <v/>
      </c>
      <c r="F996" s="5" t="str">
        <f t="shared" si="101"/>
        <v/>
      </c>
      <c r="G996" s="23"/>
      <c r="H996" s="66"/>
      <c r="I996" s="14"/>
      <c r="J996" s="14"/>
      <c r="K996" s="14"/>
      <c r="L996" s="5" t="str">
        <f t="shared" si="96"/>
        <v/>
      </c>
      <c r="M996" s="5" t="str">
        <f t="shared" si="97"/>
        <v/>
      </c>
      <c r="N996" s="5" t="str">
        <f t="shared" si="98"/>
        <v/>
      </c>
      <c r="O996" s="4"/>
    </row>
    <row r="997" spans="1:15" x14ac:dyDescent="0.25">
      <c r="A997" s="14"/>
      <c r="B997" s="14"/>
      <c r="C997" s="14"/>
      <c r="D997" s="5" t="str">
        <f t="shared" si="99"/>
        <v/>
      </c>
      <c r="E997" s="5" t="str">
        <f t="shared" si="100"/>
        <v/>
      </c>
      <c r="F997" s="5" t="str">
        <f t="shared" si="101"/>
        <v/>
      </c>
      <c r="G997" s="23"/>
      <c r="H997" s="66"/>
      <c r="I997" s="14"/>
      <c r="J997" s="14"/>
      <c r="K997" s="14"/>
      <c r="L997" s="5" t="str">
        <f t="shared" si="96"/>
        <v/>
      </c>
      <c r="M997" s="5" t="str">
        <f t="shared" si="97"/>
        <v/>
      </c>
      <c r="N997" s="5" t="str">
        <f t="shared" si="98"/>
        <v/>
      </c>
      <c r="O997" s="4"/>
    </row>
    <row r="998" spans="1:15" x14ac:dyDescent="0.25">
      <c r="A998" s="14"/>
      <c r="B998" s="14"/>
      <c r="C998" s="14"/>
      <c r="D998" s="5" t="str">
        <f t="shared" si="99"/>
        <v/>
      </c>
      <c r="E998" s="5" t="str">
        <f t="shared" si="100"/>
        <v/>
      </c>
      <c r="F998" s="5" t="str">
        <f t="shared" si="101"/>
        <v/>
      </c>
      <c r="G998" s="23"/>
      <c r="H998" s="66"/>
      <c r="I998" s="14"/>
      <c r="J998" s="14"/>
      <c r="K998" s="14"/>
      <c r="L998" s="5" t="str">
        <f t="shared" si="96"/>
        <v/>
      </c>
      <c r="M998" s="5" t="str">
        <f t="shared" si="97"/>
        <v/>
      </c>
      <c r="N998" s="5" t="str">
        <f t="shared" si="98"/>
        <v/>
      </c>
      <c r="O998" s="4"/>
    </row>
    <row r="999" spans="1:15" x14ac:dyDescent="0.25">
      <c r="A999" s="14"/>
      <c r="B999" s="14"/>
      <c r="C999" s="14"/>
      <c r="D999" s="5" t="str">
        <f t="shared" si="99"/>
        <v/>
      </c>
      <c r="E999" s="5" t="str">
        <f t="shared" si="100"/>
        <v/>
      </c>
      <c r="F999" s="5" t="str">
        <f t="shared" si="101"/>
        <v/>
      </c>
      <c r="G999" s="23"/>
      <c r="H999" s="66"/>
      <c r="I999" s="14"/>
      <c r="J999" s="14"/>
      <c r="K999" s="14"/>
      <c r="L999" s="5" t="str">
        <f t="shared" si="96"/>
        <v/>
      </c>
      <c r="M999" s="5" t="str">
        <f t="shared" si="97"/>
        <v/>
      </c>
      <c r="N999" s="5" t="str">
        <f t="shared" si="98"/>
        <v/>
      </c>
      <c r="O999" s="4"/>
    </row>
    <row r="1000" spans="1:15" x14ac:dyDescent="0.25">
      <c r="A1000" s="14"/>
      <c r="B1000" s="14"/>
      <c r="C1000" s="14"/>
      <c r="D1000" s="5" t="str">
        <f t="shared" si="99"/>
        <v/>
      </c>
      <c r="E1000" s="5" t="str">
        <f t="shared" si="100"/>
        <v/>
      </c>
      <c r="F1000" s="5" t="str">
        <f t="shared" si="101"/>
        <v/>
      </c>
      <c r="G1000" s="23"/>
      <c r="H1000" s="66"/>
      <c r="I1000" s="14"/>
      <c r="J1000" s="14"/>
      <c r="K1000" s="14"/>
      <c r="L1000" s="5" t="str">
        <f t="shared" si="96"/>
        <v/>
      </c>
      <c r="M1000" s="5" t="str">
        <f t="shared" si="97"/>
        <v/>
      </c>
      <c r="N1000" s="5" t="str">
        <f t="shared" si="98"/>
        <v/>
      </c>
      <c r="O1000" s="4"/>
    </row>
    <row r="1001" spans="1:15" x14ac:dyDescent="0.25">
      <c r="A1001" s="14"/>
      <c r="B1001" s="14"/>
      <c r="C1001" s="14"/>
      <c r="D1001" s="5" t="str">
        <f t="shared" si="99"/>
        <v/>
      </c>
      <c r="E1001" s="5" t="str">
        <f t="shared" si="100"/>
        <v/>
      </c>
      <c r="F1001" s="5" t="str">
        <f t="shared" si="101"/>
        <v/>
      </c>
      <c r="G1001" s="23"/>
      <c r="H1001" s="66"/>
      <c r="I1001" s="14"/>
      <c r="J1001" s="14"/>
      <c r="K1001" s="14"/>
      <c r="L1001" s="5" t="str">
        <f t="shared" si="96"/>
        <v/>
      </c>
      <c r="M1001" s="5" t="str">
        <f t="shared" si="97"/>
        <v/>
      </c>
      <c r="N1001" s="5" t="str">
        <f t="shared" si="98"/>
        <v/>
      </c>
      <c r="O1001" s="4"/>
    </row>
    <row r="1002" spans="1:15" x14ac:dyDescent="0.25">
      <c r="A1002" s="14"/>
      <c r="B1002" s="14"/>
      <c r="C1002" s="14"/>
      <c r="D1002" s="5" t="str">
        <f t="shared" si="99"/>
        <v/>
      </c>
      <c r="E1002" s="5" t="str">
        <f t="shared" si="100"/>
        <v/>
      </c>
      <c r="F1002" s="5" t="str">
        <f t="shared" si="101"/>
        <v/>
      </c>
      <c r="G1002" s="23"/>
      <c r="H1002" s="66"/>
      <c r="I1002" s="14"/>
      <c r="J1002" s="14"/>
      <c r="K1002" s="14"/>
      <c r="L1002" s="5" t="str">
        <f t="shared" si="96"/>
        <v/>
      </c>
      <c r="M1002" s="5" t="str">
        <f t="shared" si="97"/>
        <v/>
      </c>
      <c r="N1002" s="5" t="str">
        <f t="shared" si="98"/>
        <v/>
      </c>
      <c r="O1002" s="4"/>
    </row>
    <row r="1003" spans="1:15" x14ac:dyDescent="0.25">
      <c r="A1003" s="14"/>
      <c r="B1003" s="14"/>
      <c r="C1003" s="14"/>
      <c r="D1003" s="5" t="str">
        <f t="shared" si="99"/>
        <v/>
      </c>
      <c r="E1003" s="5" t="str">
        <f t="shared" si="100"/>
        <v/>
      </c>
      <c r="F1003" s="5" t="str">
        <f t="shared" si="101"/>
        <v/>
      </c>
      <c r="G1003" s="23"/>
      <c r="H1003" s="66"/>
      <c r="I1003" s="14"/>
      <c r="J1003" s="14"/>
      <c r="K1003" s="14"/>
      <c r="L1003" s="5" t="str">
        <f t="shared" si="96"/>
        <v/>
      </c>
      <c r="M1003" s="5" t="str">
        <f t="shared" si="97"/>
        <v/>
      </c>
      <c r="N1003" s="5" t="str">
        <f t="shared" si="98"/>
        <v/>
      </c>
      <c r="O1003" s="4"/>
    </row>
    <row r="1004" spans="1:15" x14ac:dyDescent="0.25">
      <c r="A1004" s="14"/>
      <c r="B1004" s="14"/>
      <c r="C1004" s="14"/>
      <c r="D1004" s="5" t="str">
        <f t="shared" si="99"/>
        <v/>
      </c>
      <c r="E1004" s="5" t="str">
        <f t="shared" si="100"/>
        <v/>
      </c>
      <c r="F1004" s="5" t="str">
        <f t="shared" si="101"/>
        <v/>
      </c>
      <c r="G1004" s="23"/>
      <c r="H1004" s="66"/>
      <c r="I1004" s="14"/>
      <c r="J1004" s="14"/>
      <c r="K1004" s="14"/>
      <c r="L1004" s="5" t="str">
        <f t="shared" si="96"/>
        <v/>
      </c>
      <c r="M1004" s="5" t="str">
        <f t="shared" si="97"/>
        <v/>
      </c>
      <c r="N1004" s="5" t="str">
        <f t="shared" si="98"/>
        <v/>
      </c>
      <c r="O1004" s="4"/>
    </row>
    <row r="1005" spans="1:15" x14ac:dyDescent="0.25">
      <c r="A1005" s="14"/>
      <c r="B1005" s="14"/>
      <c r="C1005" s="14"/>
      <c r="D1005" s="5" t="str">
        <f t="shared" si="99"/>
        <v/>
      </c>
      <c r="E1005" s="5" t="str">
        <f t="shared" si="100"/>
        <v/>
      </c>
      <c r="F1005" s="5" t="str">
        <f t="shared" si="101"/>
        <v/>
      </c>
      <c r="G1005" s="23"/>
      <c r="H1005" s="66"/>
      <c r="I1005" s="14"/>
      <c r="J1005" s="14"/>
      <c r="K1005" s="14"/>
      <c r="L1005" s="5" t="str">
        <f t="shared" si="96"/>
        <v/>
      </c>
      <c r="M1005" s="5" t="str">
        <f t="shared" si="97"/>
        <v/>
      </c>
      <c r="N1005" s="5" t="str">
        <f t="shared" si="98"/>
        <v/>
      </c>
      <c r="O1005" s="4"/>
    </row>
    <row r="1006" spans="1:15" x14ac:dyDescent="0.25">
      <c r="A1006" s="14"/>
      <c r="B1006" s="14"/>
      <c r="C1006" s="14"/>
      <c r="D1006" s="5" t="str">
        <f t="shared" si="99"/>
        <v/>
      </c>
      <c r="E1006" s="5" t="str">
        <f t="shared" si="100"/>
        <v/>
      </c>
      <c r="F1006" s="5" t="str">
        <f t="shared" si="101"/>
        <v/>
      </c>
      <c r="G1006" s="23"/>
      <c r="H1006" s="66"/>
      <c r="I1006" s="14"/>
      <c r="J1006" s="14"/>
      <c r="K1006" s="14"/>
      <c r="L1006" s="5" t="str">
        <f t="shared" si="96"/>
        <v/>
      </c>
      <c r="M1006" s="5" t="str">
        <f t="shared" si="97"/>
        <v/>
      </c>
      <c r="N1006" s="5" t="str">
        <f t="shared" si="98"/>
        <v/>
      </c>
      <c r="O1006" s="4"/>
    </row>
    <row r="1007" spans="1:15" x14ac:dyDescent="0.25">
      <c r="A1007" s="14"/>
      <c r="B1007" s="14"/>
      <c r="C1007" s="14"/>
      <c r="D1007" s="5" t="str">
        <f t="shared" si="99"/>
        <v/>
      </c>
      <c r="E1007" s="5" t="str">
        <f t="shared" si="100"/>
        <v/>
      </c>
      <c r="F1007" s="5" t="str">
        <f t="shared" si="101"/>
        <v/>
      </c>
      <c r="G1007" s="23"/>
      <c r="H1007" s="66"/>
      <c r="I1007" s="14"/>
      <c r="J1007" s="14"/>
      <c r="K1007" s="14"/>
      <c r="L1007" s="5" t="str">
        <f t="shared" si="96"/>
        <v/>
      </c>
      <c r="M1007" s="5" t="str">
        <f t="shared" si="97"/>
        <v/>
      </c>
      <c r="N1007" s="5" t="str">
        <f t="shared" si="98"/>
        <v/>
      </c>
      <c r="O1007" s="4"/>
    </row>
    <row r="1008" spans="1:15" x14ac:dyDescent="0.25">
      <c r="A1008" s="14"/>
      <c r="B1008" s="14"/>
      <c r="C1008" s="14"/>
      <c r="D1008" s="5" t="str">
        <f t="shared" si="99"/>
        <v/>
      </c>
      <c r="E1008" s="5" t="str">
        <f t="shared" si="100"/>
        <v/>
      </c>
      <c r="F1008" s="5" t="str">
        <f t="shared" si="101"/>
        <v/>
      </c>
      <c r="G1008" s="23"/>
      <c r="H1008" s="66"/>
      <c r="I1008" s="14"/>
      <c r="J1008" s="14"/>
      <c r="K1008" s="14"/>
      <c r="L1008" s="5" t="str">
        <f t="shared" si="96"/>
        <v/>
      </c>
      <c r="M1008" s="5" t="str">
        <f t="shared" si="97"/>
        <v/>
      </c>
      <c r="N1008" s="5" t="str">
        <f t="shared" si="98"/>
        <v/>
      </c>
      <c r="O1008" s="4"/>
    </row>
    <row r="1009" spans="1:15" x14ac:dyDescent="0.25">
      <c r="A1009" s="14"/>
      <c r="B1009" s="14"/>
      <c r="C1009" s="14"/>
      <c r="D1009" s="5" t="str">
        <f t="shared" si="99"/>
        <v/>
      </c>
      <c r="E1009" s="5" t="str">
        <f t="shared" si="100"/>
        <v/>
      </c>
      <c r="F1009" s="5" t="str">
        <f t="shared" si="101"/>
        <v/>
      </c>
      <c r="G1009" s="23"/>
      <c r="H1009" s="66"/>
      <c r="I1009" s="14"/>
      <c r="J1009" s="14"/>
      <c r="K1009" s="14"/>
      <c r="L1009" s="5" t="str">
        <f t="shared" si="96"/>
        <v/>
      </c>
      <c r="M1009" s="5" t="str">
        <f t="shared" si="97"/>
        <v/>
      </c>
      <c r="N1009" s="5" t="str">
        <f t="shared" si="98"/>
        <v/>
      </c>
      <c r="O1009" s="4"/>
    </row>
    <row r="1010" spans="1:15" x14ac:dyDescent="0.25">
      <c r="A1010" s="14"/>
      <c r="B1010" s="14"/>
      <c r="C1010" s="14"/>
      <c r="D1010" s="5" t="str">
        <f t="shared" si="99"/>
        <v/>
      </c>
      <c r="E1010" s="5" t="str">
        <f t="shared" si="100"/>
        <v/>
      </c>
      <c r="F1010" s="5" t="str">
        <f t="shared" si="101"/>
        <v/>
      </c>
      <c r="G1010" s="23"/>
      <c r="H1010" s="66"/>
      <c r="I1010" s="14"/>
      <c r="J1010" s="14"/>
      <c r="K1010" s="14"/>
      <c r="L1010" s="5" t="str">
        <f t="shared" si="96"/>
        <v/>
      </c>
      <c r="M1010" s="5" t="str">
        <f t="shared" si="97"/>
        <v/>
      </c>
      <c r="N1010" s="5" t="str">
        <f t="shared" si="98"/>
        <v/>
      </c>
      <c r="O1010" s="4"/>
    </row>
    <row r="1011" spans="1:15" x14ac:dyDescent="0.25">
      <c r="A1011" s="14"/>
      <c r="B1011" s="14"/>
      <c r="C1011" s="14"/>
      <c r="D1011" s="5" t="str">
        <f t="shared" si="99"/>
        <v/>
      </c>
      <c r="E1011" s="5" t="str">
        <f t="shared" si="100"/>
        <v/>
      </c>
      <c r="F1011" s="5" t="str">
        <f t="shared" si="101"/>
        <v/>
      </c>
      <c r="G1011" s="23"/>
      <c r="H1011" s="66"/>
      <c r="I1011" s="14"/>
      <c r="J1011" s="14"/>
      <c r="K1011" s="14"/>
      <c r="L1011" s="5" t="str">
        <f t="shared" si="96"/>
        <v/>
      </c>
      <c r="M1011" s="5" t="str">
        <f t="shared" si="97"/>
        <v/>
      </c>
      <c r="N1011" s="5" t="str">
        <f t="shared" si="98"/>
        <v/>
      </c>
      <c r="O1011" s="4"/>
    </row>
    <row r="1012" spans="1:15" x14ac:dyDescent="0.25">
      <c r="A1012" s="14"/>
      <c r="B1012" s="14"/>
      <c r="C1012" s="14"/>
      <c r="D1012" s="5" t="str">
        <f t="shared" si="99"/>
        <v/>
      </c>
      <c r="E1012" s="5" t="str">
        <f t="shared" si="100"/>
        <v/>
      </c>
      <c r="F1012" s="5" t="str">
        <f t="shared" si="101"/>
        <v/>
      </c>
      <c r="G1012" s="23"/>
      <c r="H1012" s="66"/>
      <c r="I1012" s="14"/>
      <c r="J1012" s="14"/>
      <c r="K1012" s="14"/>
      <c r="L1012" s="5" t="str">
        <f t="shared" si="96"/>
        <v/>
      </c>
      <c r="M1012" s="5" t="str">
        <f t="shared" si="97"/>
        <v/>
      </c>
      <c r="N1012" s="5" t="str">
        <f t="shared" si="98"/>
        <v/>
      </c>
      <c r="O1012" s="4"/>
    </row>
    <row r="1013" spans="1:15" x14ac:dyDescent="0.25">
      <c r="A1013" s="14"/>
      <c r="B1013" s="14"/>
      <c r="C1013" s="14"/>
      <c r="D1013" s="5" t="str">
        <f t="shared" si="99"/>
        <v/>
      </c>
      <c r="E1013" s="5" t="str">
        <f t="shared" si="100"/>
        <v/>
      </c>
      <c r="F1013" s="5" t="str">
        <f t="shared" si="101"/>
        <v/>
      </c>
      <c r="G1013" s="23"/>
      <c r="H1013" s="66"/>
      <c r="I1013" s="14"/>
      <c r="J1013" s="14"/>
      <c r="K1013" s="14"/>
      <c r="L1013" s="5" t="str">
        <f t="shared" si="96"/>
        <v/>
      </c>
      <c r="M1013" s="5" t="str">
        <f t="shared" si="97"/>
        <v/>
      </c>
      <c r="N1013" s="5" t="str">
        <f t="shared" si="98"/>
        <v/>
      </c>
      <c r="O1013" s="4"/>
    </row>
    <row r="1014" spans="1:15" x14ac:dyDescent="0.25">
      <c r="A1014" s="14"/>
      <c r="B1014" s="14"/>
      <c r="C1014" s="14"/>
      <c r="D1014" s="5" t="str">
        <f t="shared" si="99"/>
        <v/>
      </c>
      <c r="E1014" s="5" t="str">
        <f t="shared" si="100"/>
        <v/>
      </c>
      <c r="F1014" s="5" t="str">
        <f t="shared" si="101"/>
        <v/>
      </c>
      <c r="G1014" s="23"/>
      <c r="H1014" s="66"/>
      <c r="I1014" s="14"/>
      <c r="J1014" s="14"/>
      <c r="K1014" s="14"/>
      <c r="L1014" s="5" t="str">
        <f t="shared" si="96"/>
        <v/>
      </c>
      <c r="M1014" s="5" t="str">
        <f t="shared" si="97"/>
        <v/>
      </c>
      <c r="N1014" s="5" t="str">
        <f t="shared" si="98"/>
        <v/>
      </c>
      <c r="O1014" s="4"/>
    </row>
    <row r="1015" spans="1:15" x14ac:dyDescent="0.25">
      <c r="A1015" s="14"/>
      <c r="B1015" s="14"/>
      <c r="C1015" s="14"/>
      <c r="D1015" s="5" t="str">
        <f t="shared" si="99"/>
        <v/>
      </c>
      <c r="E1015" s="5" t="str">
        <f t="shared" si="100"/>
        <v/>
      </c>
      <c r="F1015" s="5" t="str">
        <f t="shared" si="101"/>
        <v/>
      </c>
      <c r="G1015" s="23"/>
      <c r="H1015" s="66"/>
      <c r="I1015" s="14"/>
      <c r="J1015" s="14"/>
      <c r="K1015" s="14"/>
      <c r="L1015" s="5" t="str">
        <f t="shared" si="96"/>
        <v/>
      </c>
      <c r="M1015" s="5" t="str">
        <f t="shared" si="97"/>
        <v/>
      </c>
      <c r="N1015" s="5" t="str">
        <f t="shared" si="98"/>
        <v/>
      </c>
      <c r="O1015" s="4"/>
    </row>
    <row r="1016" spans="1:15" x14ac:dyDescent="0.25">
      <c r="A1016" s="14"/>
      <c r="B1016" s="14"/>
      <c r="C1016" s="14"/>
      <c r="D1016" s="5" t="str">
        <f t="shared" si="99"/>
        <v/>
      </c>
      <c r="E1016" s="5" t="str">
        <f t="shared" si="100"/>
        <v/>
      </c>
      <c r="F1016" s="5" t="str">
        <f t="shared" si="101"/>
        <v/>
      </c>
      <c r="G1016" s="23"/>
      <c r="H1016" s="66"/>
      <c r="I1016" s="14"/>
      <c r="J1016" s="14"/>
      <c r="K1016" s="14"/>
      <c r="L1016" s="5" t="str">
        <f t="shared" si="96"/>
        <v/>
      </c>
      <c r="M1016" s="5" t="str">
        <f t="shared" si="97"/>
        <v/>
      </c>
      <c r="N1016" s="5" t="str">
        <f t="shared" si="98"/>
        <v/>
      </c>
      <c r="O1016" s="4"/>
    </row>
    <row r="1017" spans="1:15" x14ac:dyDescent="0.25">
      <c r="A1017" s="14"/>
      <c r="B1017" s="14"/>
      <c r="C1017" s="14"/>
      <c r="D1017" s="5" t="str">
        <f t="shared" si="99"/>
        <v/>
      </c>
      <c r="E1017" s="5" t="str">
        <f t="shared" si="100"/>
        <v/>
      </c>
      <c r="F1017" s="5" t="str">
        <f t="shared" si="101"/>
        <v/>
      </c>
      <c r="G1017" s="23"/>
      <c r="H1017" s="66"/>
      <c r="I1017" s="14"/>
      <c r="J1017" s="14"/>
      <c r="K1017" s="14"/>
      <c r="L1017" s="5" t="str">
        <f t="shared" si="96"/>
        <v/>
      </c>
      <c r="M1017" s="5" t="str">
        <f t="shared" si="97"/>
        <v/>
      </c>
      <c r="N1017" s="5" t="str">
        <f t="shared" si="98"/>
        <v/>
      </c>
      <c r="O1017" s="4"/>
    </row>
    <row r="1018" spans="1:15" x14ac:dyDescent="0.25">
      <c r="A1018" s="14"/>
      <c r="B1018" s="14"/>
      <c r="C1018" s="14"/>
      <c r="D1018" s="5" t="str">
        <f t="shared" si="99"/>
        <v/>
      </c>
      <c r="E1018" s="5" t="str">
        <f t="shared" si="100"/>
        <v/>
      </c>
      <c r="F1018" s="5" t="str">
        <f t="shared" si="101"/>
        <v/>
      </c>
      <c r="G1018" s="23"/>
      <c r="H1018" s="66"/>
      <c r="I1018" s="14"/>
      <c r="J1018" s="14"/>
      <c r="K1018" s="14"/>
      <c r="L1018" s="5" t="str">
        <f t="shared" si="96"/>
        <v/>
      </c>
      <c r="M1018" s="5" t="str">
        <f t="shared" si="97"/>
        <v/>
      </c>
      <c r="N1018" s="5" t="str">
        <f t="shared" si="98"/>
        <v/>
      </c>
      <c r="O1018" s="4"/>
    </row>
    <row r="1019" spans="1:15" x14ac:dyDescent="0.25">
      <c r="A1019" s="14"/>
      <c r="B1019" s="14"/>
      <c r="C1019" s="14"/>
      <c r="D1019" s="5" t="str">
        <f t="shared" si="99"/>
        <v/>
      </c>
      <c r="E1019" s="5" t="str">
        <f t="shared" si="100"/>
        <v/>
      </c>
      <c r="F1019" s="5" t="str">
        <f t="shared" si="101"/>
        <v/>
      </c>
      <c r="G1019" s="23"/>
      <c r="H1019" s="66"/>
      <c r="I1019" s="14"/>
      <c r="J1019" s="14"/>
      <c r="K1019" s="14"/>
      <c r="L1019" s="5" t="str">
        <f t="shared" si="96"/>
        <v/>
      </c>
      <c r="M1019" s="5" t="str">
        <f t="shared" si="97"/>
        <v/>
      </c>
      <c r="N1019" s="5" t="str">
        <f t="shared" si="98"/>
        <v/>
      </c>
      <c r="O1019" s="4"/>
    </row>
    <row r="1020" spans="1:15" x14ac:dyDescent="0.25">
      <c r="A1020" s="14"/>
      <c r="B1020" s="14"/>
      <c r="C1020" s="14"/>
      <c r="D1020" s="5" t="str">
        <f t="shared" si="99"/>
        <v/>
      </c>
      <c r="E1020" s="5" t="str">
        <f t="shared" si="100"/>
        <v/>
      </c>
      <c r="F1020" s="5" t="str">
        <f t="shared" si="101"/>
        <v/>
      </c>
      <c r="G1020" s="23"/>
      <c r="H1020" s="66"/>
      <c r="I1020" s="14"/>
      <c r="J1020" s="14"/>
      <c r="K1020" s="14"/>
      <c r="L1020" s="5" t="str">
        <f t="shared" si="96"/>
        <v/>
      </c>
      <c r="M1020" s="5" t="str">
        <f t="shared" si="97"/>
        <v/>
      </c>
      <c r="N1020" s="5" t="str">
        <f t="shared" si="98"/>
        <v/>
      </c>
      <c r="O1020" s="4"/>
    </row>
    <row r="1021" spans="1:15" x14ac:dyDescent="0.25">
      <c r="A1021" s="14"/>
      <c r="B1021" s="14"/>
      <c r="C1021" s="14"/>
      <c r="D1021" s="5" t="str">
        <f t="shared" si="99"/>
        <v/>
      </c>
      <c r="E1021" s="5" t="str">
        <f t="shared" si="100"/>
        <v/>
      </c>
      <c r="F1021" s="5" t="str">
        <f t="shared" si="101"/>
        <v/>
      </c>
      <c r="G1021" s="23"/>
      <c r="H1021" s="66"/>
      <c r="I1021" s="14"/>
      <c r="J1021" s="14"/>
      <c r="K1021" s="14"/>
      <c r="L1021" s="5" t="str">
        <f t="shared" si="96"/>
        <v/>
      </c>
      <c r="M1021" s="5" t="str">
        <f t="shared" si="97"/>
        <v/>
      </c>
      <c r="N1021" s="5" t="str">
        <f t="shared" si="98"/>
        <v/>
      </c>
      <c r="O1021" s="4"/>
    </row>
    <row r="1022" spans="1:15" x14ac:dyDescent="0.25">
      <c r="A1022" s="14"/>
      <c r="B1022" s="14"/>
      <c r="C1022" s="14"/>
      <c r="D1022" s="5" t="str">
        <f t="shared" si="99"/>
        <v/>
      </c>
      <c r="E1022" s="5" t="str">
        <f t="shared" si="100"/>
        <v/>
      </c>
      <c r="F1022" s="5" t="str">
        <f t="shared" si="101"/>
        <v/>
      </c>
      <c r="G1022" s="23"/>
      <c r="H1022" s="66"/>
      <c r="I1022" s="14"/>
      <c r="J1022" s="14"/>
      <c r="K1022" s="14"/>
      <c r="L1022" s="5" t="str">
        <f t="shared" si="96"/>
        <v/>
      </c>
      <c r="M1022" s="5" t="str">
        <f t="shared" si="97"/>
        <v/>
      </c>
      <c r="N1022" s="5" t="str">
        <f t="shared" si="98"/>
        <v/>
      </c>
      <c r="O1022" s="4"/>
    </row>
    <row r="1023" spans="1:15" x14ac:dyDescent="0.25">
      <c r="A1023" s="14"/>
      <c r="B1023" s="14"/>
      <c r="C1023" s="14"/>
      <c r="D1023" s="5" t="str">
        <f t="shared" si="99"/>
        <v/>
      </c>
      <c r="E1023" s="5" t="str">
        <f t="shared" si="100"/>
        <v/>
      </c>
      <c r="F1023" s="5" t="str">
        <f t="shared" si="101"/>
        <v/>
      </c>
      <c r="G1023" s="23"/>
      <c r="H1023" s="66"/>
      <c r="I1023" s="14"/>
      <c r="J1023" s="14"/>
      <c r="K1023" s="14"/>
      <c r="L1023" s="5" t="str">
        <f t="shared" si="96"/>
        <v/>
      </c>
      <c r="M1023" s="5" t="str">
        <f t="shared" si="97"/>
        <v/>
      </c>
      <c r="N1023" s="5" t="str">
        <f t="shared" si="98"/>
        <v/>
      </c>
      <c r="O1023" s="4"/>
    </row>
    <row r="1024" spans="1:15" x14ac:dyDescent="0.25">
      <c r="A1024" s="14"/>
      <c r="B1024" s="14"/>
      <c r="C1024" s="14"/>
      <c r="D1024" s="5" t="str">
        <f t="shared" si="99"/>
        <v/>
      </c>
      <c r="E1024" s="5" t="str">
        <f t="shared" si="100"/>
        <v/>
      </c>
      <c r="F1024" s="5" t="str">
        <f t="shared" si="101"/>
        <v/>
      </c>
      <c r="G1024" s="23"/>
      <c r="H1024" s="66"/>
      <c r="I1024" s="14"/>
      <c r="J1024" s="14"/>
      <c r="K1024" s="14"/>
      <c r="L1024" s="5" t="str">
        <f t="shared" si="96"/>
        <v/>
      </c>
      <c r="M1024" s="5" t="str">
        <f t="shared" si="97"/>
        <v/>
      </c>
      <c r="N1024" s="5" t="str">
        <f t="shared" si="98"/>
        <v/>
      </c>
      <c r="O1024" s="4"/>
    </row>
    <row r="1025" spans="1:15" x14ac:dyDescent="0.25">
      <c r="A1025" s="14"/>
      <c r="B1025" s="14"/>
      <c r="C1025" s="14"/>
      <c r="D1025" s="5" t="str">
        <f t="shared" si="99"/>
        <v/>
      </c>
      <c r="E1025" s="5" t="str">
        <f t="shared" si="100"/>
        <v/>
      </c>
      <c r="F1025" s="5" t="str">
        <f t="shared" si="101"/>
        <v/>
      </c>
      <c r="G1025" s="23"/>
      <c r="H1025" s="66"/>
      <c r="I1025" s="14"/>
      <c r="J1025" s="14"/>
      <c r="K1025" s="14"/>
      <c r="L1025" s="5" t="str">
        <f t="shared" si="96"/>
        <v/>
      </c>
      <c r="M1025" s="5" t="str">
        <f t="shared" si="97"/>
        <v/>
      </c>
      <c r="N1025" s="5" t="str">
        <f t="shared" si="98"/>
        <v/>
      </c>
      <c r="O1025" s="4"/>
    </row>
    <row r="1026" spans="1:15" x14ac:dyDescent="0.25">
      <c r="A1026" s="14"/>
      <c r="B1026" s="14"/>
      <c r="C1026" s="14"/>
      <c r="D1026" s="5" t="str">
        <f t="shared" si="99"/>
        <v/>
      </c>
      <c r="E1026" s="5" t="str">
        <f t="shared" si="100"/>
        <v/>
      </c>
      <c r="F1026" s="5" t="str">
        <f t="shared" si="101"/>
        <v/>
      </c>
      <c r="G1026" s="23"/>
      <c r="H1026" s="66"/>
      <c r="I1026" s="14"/>
      <c r="J1026" s="14"/>
      <c r="K1026" s="14"/>
      <c r="L1026" s="5" t="str">
        <f t="shared" si="96"/>
        <v/>
      </c>
      <c r="M1026" s="5" t="str">
        <f t="shared" si="97"/>
        <v/>
      </c>
      <c r="N1026" s="5" t="str">
        <f t="shared" si="98"/>
        <v/>
      </c>
      <c r="O1026" s="4"/>
    </row>
    <row r="1027" spans="1:15" x14ac:dyDescent="0.25">
      <c r="A1027" s="14"/>
      <c r="B1027" s="14"/>
      <c r="C1027" s="14"/>
      <c r="D1027" s="5" t="str">
        <f t="shared" si="99"/>
        <v/>
      </c>
      <c r="E1027" s="5" t="str">
        <f t="shared" si="100"/>
        <v/>
      </c>
      <c r="F1027" s="5" t="str">
        <f t="shared" si="101"/>
        <v/>
      </c>
      <c r="G1027" s="23"/>
      <c r="H1027" s="66"/>
      <c r="I1027" s="14"/>
      <c r="J1027" s="14"/>
      <c r="K1027" s="14"/>
      <c r="L1027" s="5" t="str">
        <f t="shared" si="96"/>
        <v/>
      </c>
      <c r="M1027" s="5" t="str">
        <f t="shared" si="97"/>
        <v/>
      </c>
      <c r="N1027" s="5" t="str">
        <f t="shared" si="98"/>
        <v/>
      </c>
      <c r="O1027" s="4"/>
    </row>
    <row r="1028" spans="1:15" x14ac:dyDescent="0.25">
      <c r="A1028" s="14"/>
      <c r="B1028" s="14"/>
      <c r="C1028" s="14"/>
      <c r="D1028" s="5" t="str">
        <f t="shared" si="99"/>
        <v/>
      </c>
      <c r="E1028" s="5" t="str">
        <f t="shared" si="100"/>
        <v/>
      </c>
      <c r="F1028" s="5" t="str">
        <f t="shared" si="101"/>
        <v/>
      </c>
      <c r="G1028" s="23"/>
      <c r="H1028" s="66"/>
      <c r="I1028" s="14"/>
      <c r="J1028" s="14"/>
      <c r="K1028" s="14"/>
      <c r="L1028" s="5" t="str">
        <f t="shared" si="96"/>
        <v/>
      </c>
      <c r="M1028" s="5" t="str">
        <f t="shared" si="97"/>
        <v/>
      </c>
      <c r="N1028" s="5" t="str">
        <f t="shared" si="98"/>
        <v/>
      </c>
      <c r="O1028" s="4"/>
    </row>
    <row r="1029" spans="1:15" x14ac:dyDescent="0.25">
      <c r="A1029" s="14"/>
      <c r="B1029" s="14"/>
      <c r="C1029" s="14"/>
      <c r="D1029" s="5" t="str">
        <f t="shared" si="99"/>
        <v/>
      </c>
      <c r="E1029" s="5" t="str">
        <f t="shared" si="100"/>
        <v/>
      </c>
      <c r="F1029" s="5" t="str">
        <f t="shared" si="101"/>
        <v/>
      </c>
      <c r="G1029" s="23"/>
      <c r="H1029" s="66"/>
      <c r="I1029" s="14"/>
      <c r="J1029" s="14"/>
      <c r="K1029" s="14"/>
      <c r="L1029" s="5" t="str">
        <f t="shared" si="96"/>
        <v/>
      </c>
      <c r="M1029" s="5" t="str">
        <f t="shared" si="97"/>
        <v/>
      </c>
      <c r="N1029" s="5" t="str">
        <f t="shared" si="98"/>
        <v/>
      </c>
      <c r="O1029" s="4"/>
    </row>
    <row r="1030" spans="1:15" x14ac:dyDescent="0.25">
      <c r="A1030" s="14"/>
      <c r="B1030" s="14"/>
      <c r="C1030" s="14"/>
      <c r="D1030" s="5" t="str">
        <f t="shared" si="99"/>
        <v/>
      </c>
      <c r="E1030" s="5" t="str">
        <f t="shared" si="100"/>
        <v/>
      </c>
      <c r="F1030" s="5" t="str">
        <f t="shared" si="101"/>
        <v/>
      </c>
      <c r="G1030" s="23"/>
      <c r="H1030" s="66"/>
      <c r="I1030" s="14"/>
      <c r="J1030" s="14"/>
      <c r="K1030" s="14"/>
      <c r="L1030" s="5" t="str">
        <f t="shared" si="96"/>
        <v/>
      </c>
      <c r="M1030" s="5" t="str">
        <f t="shared" si="97"/>
        <v/>
      </c>
      <c r="N1030" s="5" t="str">
        <f t="shared" si="98"/>
        <v/>
      </c>
      <c r="O1030" s="4"/>
    </row>
    <row r="1031" spans="1:15" x14ac:dyDescent="0.25">
      <c r="A1031" s="14"/>
      <c r="B1031" s="14"/>
      <c r="C1031" s="14"/>
      <c r="D1031" s="5" t="str">
        <f t="shared" si="99"/>
        <v/>
      </c>
      <c r="E1031" s="5" t="str">
        <f t="shared" si="100"/>
        <v/>
      </c>
      <c r="F1031" s="5" t="str">
        <f t="shared" si="101"/>
        <v/>
      </c>
      <c r="G1031" s="23"/>
      <c r="H1031" s="66"/>
      <c r="I1031" s="14"/>
      <c r="J1031" s="14"/>
      <c r="K1031" s="14"/>
      <c r="L1031" s="5" t="str">
        <f t="shared" si="96"/>
        <v/>
      </c>
      <c r="M1031" s="5" t="str">
        <f t="shared" si="97"/>
        <v/>
      </c>
      <c r="N1031" s="5" t="str">
        <f t="shared" si="98"/>
        <v/>
      </c>
      <c r="O1031" s="4"/>
    </row>
    <row r="1032" spans="1:15" x14ac:dyDescent="0.25">
      <c r="A1032" s="14"/>
      <c r="B1032" s="14"/>
      <c r="C1032" s="14"/>
      <c r="D1032" s="5" t="str">
        <f t="shared" si="99"/>
        <v/>
      </c>
      <c r="E1032" s="5" t="str">
        <f t="shared" si="100"/>
        <v/>
      </c>
      <c r="F1032" s="5" t="str">
        <f t="shared" si="101"/>
        <v/>
      </c>
      <c r="G1032" s="23"/>
      <c r="H1032" s="66"/>
      <c r="I1032" s="14"/>
      <c r="J1032" s="14"/>
      <c r="K1032" s="14"/>
      <c r="L1032" s="5" t="str">
        <f t="shared" si="96"/>
        <v/>
      </c>
      <c r="M1032" s="5" t="str">
        <f t="shared" si="97"/>
        <v/>
      </c>
      <c r="N1032" s="5" t="str">
        <f t="shared" si="98"/>
        <v/>
      </c>
      <c r="O1032" s="4"/>
    </row>
    <row r="1033" spans="1:15" x14ac:dyDescent="0.25">
      <c r="A1033" s="14"/>
      <c r="B1033" s="14"/>
      <c r="C1033" s="14"/>
      <c r="D1033" s="5" t="str">
        <f t="shared" si="99"/>
        <v/>
      </c>
      <c r="E1033" s="5" t="str">
        <f t="shared" si="100"/>
        <v/>
      </c>
      <c r="F1033" s="5" t="str">
        <f t="shared" si="101"/>
        <v/>
      </c>
      <c r="G1033" s="23"/>
      <c r="H1033" s="66"/>
      <c r="I1033" s="14"/>
      <c r="J1033" s="14"/>
      <c r="K1033" s="14"/>
      <c r="L1033" s="5" t="str">
        <f t="shared" si="96"/>
        <v/>
      </c>
      <c r="M1033" s="5" t="str">
        <f t="shared" si="97"/>
        <v/>
      </c>
      <c r="N1033" s="5" t="str">
        <f t="shared" si="98"/>
        <v/>
      </c>
      <c r="O1033" s="4"/>
    </row>
    <row r="1034" spans="1:15" x14ac:dyDescent="0.25">
      <c r="A1034" s="14"/>
      <c r="B1034" s="14"/>
      <c r="C1034" s="14"/>
      <c r="D1034" s="5" t="str">
        <f t="shared" si="99"/>
        <v/>
      </c>
      <c r="E1034" s="5" t="str">
        <f t="shared" si="100"/>
        <v/>
      </c>
      <c r="F1034" s="5" t="str">
        <f t="shared" si="101"/>
        <v/>
      </c>
      <c r="G1034" s="23"/>
      <c r="H1034" s="66"/>
      <c r="I1034" s="14"/>
      <c r="J1034" s="14"/>
      <c r="K1034" s="14"/>
      <c r="L1034" s="5" t="str">
        <f t="shared" ref="L1034:L1097" si="102">IFERROR(IF(I1034&lt;&gt;"",(((J1034-J1033)*$X$4/(I1034-I1033)))*$X$5,""),"")</f>
        <v/>
      </c>
      <c r="M1034" s="5" t="str">
        <f t="shared" ref="M1034:M1097" si="103">IFERROR(IF(I1034&lt;&gt;"",(((K1034-K1033)*$X$4/(I1034-I1033)))*$X$5,""),"")</f>
        <v/>
      </c>
      <c r="N1034" s="5" t="str">
        <f t="shared" ref="N1034:N1097" si="104">IFERROR(IF(I1034&lt;&gt;"",((ACOS((COS(RADIANS(J1033))*COS(RADIANS(J1034)))+(SIN(RADIANS(J1033))*SIN(RADIANS(J1034)))*COS(RADIANS(K1034-K1033)))*180/PI()*($X$4/(I1034-I1033))))*$X$5,""),"")</f>
        <v/>
      </c>
      <c r="O1034" s="4"/>
    </row>
    <row r="1035" spans="1:15" x14ac:dyDescent="0.25">
      <c r="A1035" s="14"/>
      <c r="B1035" s="14"/>
      <c r="C1035" s="14"/>
      <c r="D1035" s="5" t="str">
        <f t="shared" si="99"/>
        <v/>
      </c>
      <c r="E1035" s="5" t="str">
        <f t="shared" si="100"/>
        <v/>
      </c>
      <c r="F1035" s="5" t="str">
        <f t="shared" si="101"/>
        <v/>
      </c>
      <c r="G1035" s="23"/>
      <c r="H1035" s="66"/>
      <c r="I1035" s="14"/>
      <c r="J1035" s="14"/>
      <c r="K1035" s="14"/>
      <c r="L1035" s="5" t="str">
        <f t="shared" si="102"/>
        <v/>
      </c>
      <c r="M1035" s="5" t="str">
        <f t="shared" si="103"/>
        <v/>
      </c>
      <c r="N1035" s="5" t="str">
        <f t="shared" si="104"/>
        <v/>
      </c>
      <c r="O1035" s="4"/>
    </row>
    <row r="1036" spans="1:15" x14ac:dyDescent="0.25">
      <c r="A1036" s="14"/>
      <c r="B1036" s="14"/>
      <c r="C1036" s="14"/>
      <c r="D1036" s="5" t="str">
        <f t="shared" si="99"/>
        <v/>
      </c>
      <c r="E1036" s="5" t="str">
        <f t="shared" si="100"/>
        <v/>
      </c>
      <c r="F1036" s="5" t="str">
        <f t="shared" si="101"/>
        <v/>
      </c>
      <c r="G1036" s="23"/>
      <c r="H1036" s="66"/>
      <c r="I1036" s="14"/>
      <c r="J1036" s="14"/>
      <c r="K1036" s="14"/>
      <c r="L1036" s="5" t="str">
        <f t="shared" si="102"/>
        <v/>
      </c>
      <c r="M1036" s="5" t="str">
        <f t="shared" si="103"/>
        <v/>
      </c>
      <c r="N1036" s="5" t="str">
        <f t="shared" si="104"/>
        <v/>
      </c>
      <c r="O1036" s="4"/>
    </row>
    <row r="1037" spans="1:15" x14ac:dyDescent="0.25">
      <c r="A1037" s="14"/>
      <c r="B1037" s="14"/>
      <c r="C1037" s="14"/>
      <c r="D1037" s="5" t="str">
        <f t="shared" si="99"/>
        <v/>
      </c>
      <c r="E1037" s="5" t="str">
        <f t="shared" si="100"/>
        <v/>
      </c>
      <c r="F1037" s="5" t="str">
        <f t="shared" si="101"/>
        <v/>
      </c>
      <c r="G1037" s="23"/>
      <c r="H1037" s="66"/>
      <c r="I1037" s="14"/>
      <c r="J1037" s="14"/>
      <c r="K1037" s="14"/>
      <c r="L1037" s="5" t="str">
        <f t="shared" si="102"/>
        <v/>
      </c>
      <c r="M1037" s="5" t="str">
        <f t="shared" si="103"/>
        <v/>
      </c>
      <c r="N1037" s="5" t="str">
        <f t="shared" si="104"/>
        <v/>
      </c>
      <c r="O1037" s="4"/>
    </row>
    <row r="1038" spans="1:15" x14ac:dyDescent="0.25">
      <c r="A1038" s="14"/>
      <c r="B1038" s="14"/>
      <c r="C1038" s="14"/>
      <c r="D1038" s="5" t="str">
        <f t="shared" si="99"/>
        <v/>
      </c>
      <c r="E1038" s="5" t="str">
        <f t="shared" si="100"/>
        <v/>
      </c>
      <c r="F1038" s="5" t="str">
        <f t="shared" si="101"/>
        <v/>
      </c>
      <c r="G1038" s="23"/>
      <c r="H1038" s="66"/>
      <c r="I1038" s="14"/>
      <c r="J1038" s="14"/>
      <c r="K1038" s="14"/>
      <c r="L1038" s="5" t="str">
        <f t="shared" si="102"/>
        <v/>
      </c>
      <c r="M1038" s="5" t="str">
        <f t="shared" si="103"/>
        <v/>
      </c>
      <c r="N1038" s="5" t="str">
        <f t="shared" si="104"/>
        <v/>
      </c>
      <c r="O1038" s="4"/>
    </row>
    <row r="1039" spans="1:15" x14ac:dyDescent="0.25">
      <c r="A1039" s="14"/>
      <c r="B1039" s="14"/>
      <c r="C1039" s="14"/>
      <c r="D1039" s="5" t="str">
        <f t="shared" si="99"/>
        <v/>
      </c>
      <c r="E1039" s="5" t="str">
        <f t="shared" si="100"/>
        <v/>
      </c>
      <c r="F1039" s="5" t="str">
        <f t="shared" si="101"/>
        <v/>
      </c>
      <c r="G1039" s="23"/>
      <c r="H1039" s="66"/>
      <c r="I1039" s="14"/>
      <c r="J1039" s="14"/>
      <c r="K1039" s="14"/>
      <c r="L1039" s="5" t="str">
        <f t="shared" si="102"/>
        <v/>
      </c>
      <c r="M1039" s="5" t="str">
        <f t="shared" si="103"/>
        <v/>
      </c>
      <c r="N1039" s="5" t="str">
        <f t="shared" si="104"/>
        <v/>
      </c>
      <c r="O1039" s="4"/>
    </row>
    <row r="1040" spans="1:15" x14ac:dyDescent="0.25">
      <c r="A1040" s="14"/>
      <c r="B1040" s="14"/>
      <c r="C1040" s="14"/>
      <c r="D1040" s="5" t="str">
        <f t="shared" si="99"/>
        <v/>
      </c>
      <c r="E1040" s="5" t="str">
        <f t="shared" si="100"/>
        <v/>
      </c>
      <c r="F1040" s="5" t="str">
        <f t="shared" si="101"/>
        <v/>
      </c>
      <c r="G1040" s="23"/>
      <c r="H1040" s="66"/>
      <c r="I1040" s="14"/>
      <c r="J1040" s="14"/>
      <c r="K1040" s="14"/>
      <c r="L1040" s="5" t="str">
        <f t="shared" si="102"/>
        <v/>
      </c>
      <c r="M1040" s="5" t="str">
        <f t="shared" si="103"/>
        <v/>
      </c>
      <c r="N1040" s="5" t="str">
        <f t="shared" si="104"/>
        <v/>
      </c>
      <c r="O1040" s="4"/>
    </row>
    <row r="1041" spans="1:15" x14ac:dyDescent="0.25">
      <c r="A1041" s="14"/>
      <c r="B1041" s="14"/>
      <c r="C1041" s="14"/>
      <c r="D1041" s="5" t="str">
        <f t="shared" si="99"/>
        <v/>
      </c>
      <c r="E1041" s="5" t="str">
        <f t="shared" si="100"/>
        <v/>
      </c>
      <c r="F1041" s="5" t="str">
        <f t="shared" si="101"/>
        <v/>
      </c>
      <c r="G1041" s="23"/>
      <c r="H1041" s="66"/>
      <c r="I1041" s="14"/>
      <c r="J1041" s="14"/>
      <c r="K1041" s="14"/>
      <c r="L1041" s="5" t="str">
        <f t="shared" si="102"/>
        <v/>
      </c>
      <c r="M1041" s="5" t="str">
        <f t="shared" si="103"/>
        <v/>
      </c>
      <c r="N1041" s="5" t="str">
        <f t="shared" si="104"/>
        <v/>
      </c>
      <c r="O1041" s="4"/>
    </row>
    <row r="1042" spans="1:15" x14ac:dyDescent="0.25">
      <c r="A1042" s="14"/>
      <c r="B1042" s="14"/>
      <c r="C1042" s="14"/>
      <c r="D1042" s="5" t="str">
        <f t="shared" si="99"/>
        <v/>
      </c>
      <c r="E1042" s="5" t="str">
        <f t="shared" si="100"/>
        <v/>
      </c>
      <c r="F1042" s="5" t="str">
        <f t="shared" si="101"/>
        <v/>
      </c>
      <c r="G1042" s="23"/>
      <c r="H1042" s="66"/>
      <c r="I1042" s="14"/>
      <c r="J1042" s="14"/>
      <c r="K1042" s="14"/>
      <c r="L1042" s="5" t="str">
        <f t="shared" si="102"/>
        <v/>
      </c>
      <c r="M1042" s="5" t="str">
        <f t="shared" si="103"/>
        <v/>
      </c>
      <c r="N1042" s="5" t="str">
        <f t="shared" si="104"/>
        <v/>
      </c>
      <c r="O1042" s="4"/>
    </row>
    <row r="1043" spans="1:15" x14ac:dyDescent="0.25">
      <c r="A1043" s="14"/>
      <c r="B1043" s="14"/>
      <c r="C1043" s="14"/>
      <c r="D1043" s="5" t="str">
        <f t="shared" si="99"/>
        <v/>
      </c>
      <c r="E1043" s="5" t="str">
        <f t="shared" si="100"/>
        <v/>
      </c>
      <c r="F1043" s="5" t="str">
        <f t="shared" si="101"/>
        <v/>
      </c>
      <c r="G1043" s="23"/>
      <c r="H1043" s="66"/>
      <c r="I1043" s="14"/>
      <c r="J1043" s="14"/>
      <c r="K1043" s="14"/>
      <c r="L1043" s="5" t="str">
        <f t="shared" si="102"/>
        <v/>
      </c>
      <c r="M1043" s="5" t="str">
        <f t="shared" si="103"/>
        <v/>
      </c>
      <c r="N1043" s="5" t="str">
        <f t="shared" si="104"/>
        <v/>
      </c>
      <c r="O1043" s="4"/>
    </row>
    <row r="1044" spans="1:15" x14ac:dyDescent="0.25">
      <c r="A1044" s="14"/>
      <c r="B1044" s="14"/>
      <c r="C1044" s="14"/>
      <c r="D1044" s="5" t="str">
        <f t="shared" si="99"/>
        <v/>
      </c>
      <c r="E1044" s="5" t="str">
        <f t="shared" si="100"/>
        <v/>
      </c>
      <c r="F1044" s="5" t="str">
        <f t="shared" si="101"/>
        <v/>
      </c>
      <c r="G1044" s="23"/>
      <c r="H1044" s="66"/>
      <c r="I1044" s="14"/>
      <c r="J1044" s="14"/>
      <c r="K1044" s="14"/>
      <c r="L1044" s="5" t="str">
        <f t="shared" si="102"/>
        <v/>
      </c>
      <c r="M1044" s="5" t="str">
        <f t="shared" si="103"/>
        <v/>
      </c>
      <c r="N1044" s="5" t="str">
        <f t="shared" si="104"/>
        <v/>
      </c>
      <c r="O1044" s="4"/>
    </row>
    <row r="1045" spans="1:15" x14ac:dyDescent="0.25">
      <c r="A1045" s="14"/>
      <c r="B1045" s="14"/>
      <c r="C1045" s="14"/>
      <c r="D1045" s="5" t="str">
        <f t="shared" si="99"/>
        <v/>
      </c>
      <c r="E1045" s="5" t="str">
        <f t="shared" si="100"/>
        <v/>
      </c>
      <c r="F1045" s="5" t="str">
        <f t="shared" si="101"/>
        <v/>
      </c>
      <c r="G1045" s="23"/>
      <c r="H1045" s="66"/>
      <c r="I1045" s="14"/>
      <c r="J1045" s="14"/>
      <c r="K1045" s="14"/>
      <c r="L1045" s="5" t="str">
        <f t="shared" si="102"/>
        <v/>
      </c>
      <c r="M1045" s="5" t="str">
        <f t="shared" si="103"/>
        <v/>
      </c>
      <c r="N1045" s="5" t="str">
        <f t="shared" si="104"/>
        <v/>
      </c>
      <c r="O1045" s="4"/>
    </row>
    <row r="1046" spans="1:15" x14ac:dyDescent="0.25">
      <c r="A1046" s="14"/>
      <c r="B1046" s="14"/>
      <c r="C1046" s="14"/>
      <c r="D1046" s="5" t="str">
        <f t="shared" si="99"/>
        <v/>
      </c>
      <c r="E1046" s="5" t="str">
        <f t="shared" si="100"/>
        <v/>
      </c>
      <c r="F1046" s="5" t="str">
        <f t="shared" si="101"/>
        <v/>
      </c>
      <c r="G1046" s="23"/>
      <c r="H1046" s="66"/>
      <c r="I1046" s="14"/>
      <c r="J1046" s="14"/>
      <c r="K1046" s="14"/>
      <c r="L1046" s="5" t="str">
        <f t="shared" si="102"/>
        <v/>
      </c>
      <c r="M1046" s="5" t="str">
        <f t="shared" si="103"/>
        <v/>
      </c>
      <c r="N1046" s="5" t="str">
        <f t="shared" si="104"/>
        <v/>
      </c>
      <c r="O1046" s="4"/>
    </row>
    <row r="1047" spans="1:15" x14ac:dyDescent="0.25">
      <c r="A1047" s="14"/>
      <c r="B1047" s="14"/>
      <c r="C1047" s="14"/>
      <c r="D1047" s="5" t="str">
        <f t="shared" si="99"/>
        <v/>
      </c>
      <c r="E1047" s="5" t="str">
        <f t="shared" si="100"/>
        <v/>
      </c>
      <c r="F1047" s="5" t="str">
        <f t="shared" si="101"/>
        <v/>
      </c>
      <c r="G1047" s="23"/>
      <c r="H1047" s="66"/>
      <c r="I1047" s="14"/>
      <c r="J1047" s="14"/>
      <c r="K1047" s="14"/>
      <c r="L1047" s="5" t="str">
        <f t="shared" si="102"/>
        <v/>
      </c>
      <c r="M1047" s="5" t="str">
        <f t="shared" si="103"/>
        <v/>
      </c>
      <c r="N1047" s="5" t="str">
        <f t="shared" si="104"/>
        <v/>
      </c>
      <c r="O1047" s="4"/>
    </row>
    <row r="1048" spans="1:15" x14ac:dyDescent="0.25">
      <c r="A1048" s="14"/>
      <c r="B1048" s="14"/>
      <c r="C1048" s="14"/>
      <c r="D1048" s="5" t="str">
        <f t="shared" si="99"/>
        <v/>
      </c>
      <c r="E1048" s="5" t="str">
        <f t="shared" si="100"/>
        <v/>
      </c>
      <c r="F1048" s="5" t="str">
        <f t="shared" si="101"/>
        <v/>
      </c>
      <c r="G1048" s="23"/>
      <c r="H1048" s="66"/>
      <c r="I1048" s="14"/>
      <c r="J1048" s="14"/>
      <c r="K1048" s="14"/>
      <c r="L1048" s="5" t="str">
        <f t="shared" si="102"/>
        <v/>
      </c>
      <c r="M1048" s="5" t="str">
        <f t="shared" si="103"/>
        <v/>
      </c>
      <c r="N1048" s="5" t="str">
        <f t="shared" si="104"/>
        <v/>
      </c>
      <c r="O1048" s="4"/>
    </row>
    <row r="1049" spans="1:15" x14ac:dyDescent="0.25">
      <c r="A1049" s="14"/>
      <c r="B1049" s="14"/>
      <c r="C1049" s="14"/>
      <c r="D1049" s="5" t="str">
        <f t="shared" ref="D1049:D1112" si="105">IFERROR( IF(A1049&lt;&gt;"",((B1049-B1048)*$X$4/(A1049-A1048))*$X$5,""),"")</f>
        <v/>
      </c>
      <c r="E1049" s="5" t="str">
        <f t="shared" ref="E1049:E1112" si="106">IFERROR(IF(A1049&lt;&gt;"",((C1049-C1048)*$X$4/(A1049-A1048))*$X$5,""),"")</f>
        <v/>
      </c>
      <c r="F1049" s="5" t="str">
        <f t="shared" ref="F1049:F1112" si="107">IFERROR(IF(A1049&lt;&gt;"",((ACOS((COS(RADIANS(B1048))*COS(RADIANS(B1049)))+(SIN(RADIANS(B1048))*SIN(RADIANS(B1049)))*COS(RADIANS(C1049-C1048)))*180/PI()*($X$4/(A1049-A1048))))*$X$5,""),"")</f>
        <v/>
      </c>
      <c r="G1049" s="23"/>
      <c r="H1049" s="66"/>
      <c r="I1049" s="14"/>
      <c r="J1049" s="14"/>
      <c r="K1049" s="14"/>
      <c r="L1049" s="5" t="str">
        <f t="shared" si="102"/>
        <v/>
      </c>
      <c r="M1049" s="5" t="str">
        <f t="shared" si="103"/>
        <v/>
      </c>
      <c r="N1049" s="5" t="str">
        <f t="shared" si="104"/>
        <v/>
      </c>
      <c r="O1049" s="4"/>
    </row>
    <row r="1050" spans="1:15" x14ac:dyDescent="0.25">
      <c r="A1050" s="14"/>
      <c r="B1050" s="14"/>
      <c r="C1050" s="14"/>
      <c r="D1050" s="5" t="str">
        <f t="shared" si="105"/>
        <v/>
      </c>
      <c r="E1050" s="5" t="str">
        <f t="shared" si="106"/>
        <v/>
      </c>
      <c r="F1050" s="5" t="str">
        <f t="shared" si="107"/>
        <v/>
      </c>
      <c r="G1050" s="23"/>
      <c r="H1050" s="66"/>
      <c r="I1050" s="14"/>
      <c r="J1050" s="14"/>
      <c r="K1050" s="14"/>
      <c r="L1050" s="5" t="str">
        <f t="shared" si="102"/>
        <v/>
      </c>
      <c r="M1050" s="5" t="str">
        <f t="shared" si="103"/>
        <v/>
      </c>
      <c r="N1050" s="5" t="str">
        <f t="shared" si="104"/>
        <v/>
      </c>
      <c r="O1050" s="4"/>
    </row>
    <row r="1051" spans="1:15" x14ac:dyDescent="0.25">
      <c r="A1051" s="14"/>
      <c r="B1051" s="14"/>
      <c r="C1051" s="14"/>
      <c r="D1051" s="5" t="str">
        <f t="shared" si="105"/>
        <v/>
      </c>
      <c r="E1051" s="5" t="str">
        <f t="shared" si="106"/>
        <v/>
      </c>
      <c r="F1051" s="5" t="str">
        <f t="shared" si="107"/>
        <v/>
      </c>
      <c r="G1051" s="23"/>
      <c r="H1051" s="66"/>
      <c r="I1051" s="14"/>
      <c r="J1051" s="14"/>
      <c r="K1051" s="14"/>
      <c r="L1051" s="5" t="str">
        <f t="shared" si="102"/>
        <v/>
      </c>
      <c r="M1051" s="5" t="str">
        <f t="shared" si="103"/>
        <v/>
      </c>
      <c r="N1051" s="5" t="str">
        <f t="shared" si="104"/>
        <v/>
      </c>
      <c r="O1051" s="4"/>
    </row>
    <row r="1052" spans="1:15" x14ac:dyDescent="0.25">
      <c r="A1052" s="14"/>
      <c r="B1052" s="14"/>
      <c r="C1052" s="14"/>
      <c r="D1052" s="5" t="str">
        <f t="shared" si="105"/>
        <v/>
      </c>
      <c r="E1052" s="5" t="str">
        <f t="shared" si="106"/>
        <v/>
      </c>
      <c r="F1052" s="5" t="str">
        <f t="shared" si="107"/>
        <v/>
      </c>
      <c r="G1052" s="23"/>
      <c r="H1052" s="66"/>
      <c r="I1052" s="14"/>
      <c r="J1052" s="14"/>
      <c r="K1052" s="14"/>
      <c r="L1052" s="5" t="str">
        <f t="shared" si="102"/>
        <v/>
      </c>
      <c r="M1052" s="5" t="str">
        <f t="shared" si="103"/>
        <v/>
      </c>
      <c r="N1052" s="5" t="str">
        <f t="shared" si="104"/>
        <v/>
      </c>
      <c r="O1052" s="4"/>
    </row>
    <row r="1053" spans="1:15" x14ac:dyDescent="0.25">
      <c r="A1053" s="14"/>
      <c r="B1053" s="14"/>
      <c r="C1053" s="14"/>
      <c r="D1053" s="5" t="str">
        <f t="shared" si="105"/>
        <v/>
      </c>
      <c r="E1053" s="5" t="str">
        <f t="shared" si="106"/>
        <v/>
      </c>
      <c r="F1053" s="5" t="str">
        <f t="shared" si="107"/>
        <v/>
      </c>
      <c r="G1053" s="23"/>
      <c r="H1053" s="66"/>
      <c r="I1053" s="14"/>
      <c r="J1053" s="14"/>
      <c r="K1053" s="14"/>
      <c r="L1053" s="5" t="str">
        <f t="shared" si="102"/>
        <v/>
      </c>
      <c r="M1053" s="5" t="str">
        <f t="shared" si="103"/>
        <v/>
      </c>
      <c r="N1053" s="5" t="str">
        <f t="shared" si="104"/>
        <v/>
      </c>
      <c r="O1053" s="4"/>
    </row>
    <row r="1054" spans="1:15" x14ac:dyDescent="0.25">
      <c r="A1054" s="14"/>
      <c r="B1054" s="14"/>
      <c r="C1054" s="14"/>
      <c r="D1054" s="5" t="str">
        <f t="shared" si="105"/>
        <v/>
      </c>
      <c r="E1054" s="5" t="str">
        <f t="shared" si="106"/>
        <v/>
      </c>
      <c r="F1054" s="5" t="str">
        <f t="shared" si="107"/>
        <v/>
      </c>
      <c r="G1054" s="23"/>
      <c r="H1054" s="66"/>
      <c r="I1054" s="14"/>
      <c r="J1054" s="14"/>
      <c r="K1054" s="14"/>
      <c r="L1054" s="5" t="str">
        <f t="shared" si="102"/>
        <v/>
      </c>
      <c r="M1054" s="5" t="str">
        <f t="shared" si="103"/>
        <v/>
      </c>
      <c r="N1054" s="5" t="str">
        <f t="shared" si="104"/>
        <v/>
      </c>
      <c r="O1054" s="4"/>
    </row>
    <row r="1055" spans="1:15" x14ac:dyDescent="0.25">
      <c r="A1055" s="14"/>
      <c r="B1055" s="14"/>
      <c r="C1055" s="14"/>
      <c r="D1055" s="5" t="str">
        <f t="shared" si="105"/>
        <v/>
      </c>
      <c r="E1055" s="5" t="str">
        <f t="shared" si="106"/>
        <v/>
      </c>
      <c r="F1055" s="5" t="str">
        <f t="shared" si="107"/>
        <v/>
      </c>
      <c r="G1055" s="23"/>
      <c r="H1055" s="66"/>
      <c r="I1055" s="14"/>
      <c r="J1055" s="14"/>
      <c r="K1055" s="14"/>
      <c r="L1055" s="5" t="str">
        <f t="shared" si="102"/>
        <v/>
      </c>
      <c r="M1055" s="5" t="str">
        <f t="shared" si="103"/>
        <v/>
      </c>
      <c r="N1055" s="5" t="str">
        <f t="shared" si="104"/>
        <v/>
      </c>
      <c r="O1055" s="4"/>
    </row>
    <row r="1056" spans="1:15" x14ac:dyDescent="0.25">
      <c r="A1056" s="14"/>
      <c r="B1056" s="14"/>
      <c r="C1056" s="14"/>
      <c r="D1056" s="5" t="str">
        <f t="shared" si="105"/>
        <v/>
      </c>
      <c r="E1056" s="5" t="str">
        <f t="shared" si="106"/>
        <v/>
      </c>
      <c r="F1056" s="5" t="str">
        <f t="shared" si="107"/>
        <v/>
      </c>
      <c r="G1056" s="23"/>
      <c r="H1056" s="66"/>
      <c r="I1056" s="14"/>
      <c r="J1056" s="14"/>
      <c r="K1056" s="14"/>
      <c r="L1056" s="5" t="str">
        <f t="shared" si="102"/>
        <v/>
      </c>
      <c r="M1056" s="5" t="str">
        <f t="shared" si="103"/>
        <v/>
      </c>
      <c r="N1056" s="5" t="str">
        <f t="shared" si="104"/>
        <v/>
      </c>
      <c r="O1056" s="4"/>
    </row>
    <row r="1057" spans="1:15" x14ac:dyDescent="0.25">
      <c r="A1057" s="14"/>
      <c r="B1057" s="14"/>
      <c r="C1057" s="14"/>
      <c r="D1057" s="5" t="str">
        <f t="shared" si="105"/>
        <v/>
      </c>
      <c r="E1057" s="5" t="str">
        <f t="shared" si="106"/>
        <v/>
      </c>
      <c r="F1057" s="5" t="str">
        <f t="shared" si="107"/>
        <v/>
      </c>
      <c r="G1057" s="23"/>
      <c r="H1057" s="66"/>
      <c r="I1057" s="14"/>
      <c r="J1057" s="14"/>
      <c r="K1057" s="14"/>
      <c r="L1057" s="5" t="str">
        <f t="shared" si="102"/>
        <v/>
      </c>
      <c r="M1057" s="5" t="str">
        <f t="shared" si="103"/>
        <v/>
      </c>
      <c r="N1057" s="5" t="str">
        <f t="shared" si="104"/>
        <v/>
      </c>
      <c r="O1057" s="4"/>
    </row>
    <row r="1058" spans="1:15" x14ac:dyDescent="0.25">
      <c r="A1058" s="14"/>
      <c r="B1058" s="14"/>
      <c r="C1058" s="14"/>
      <c r="D1058" s="5" t="str">
        <f t="shared" si="105"/>
        <v/>
      </c>
      <c r="E1058" s="5" t="str">
        <f t="shared" si="106"/>
        <v/>
      </c>
      <c r="F1058" s="5" t="str">
        <f t="shared" si="107"/>
        <v/>
      </c>
      <c r="G1058" s="23"/>
      <c r="H1058" s="66"/>
      <c r="I1058" s="14"/>
      <c r="J1058" s="14"/>
      <c r="K1058" s="14"/>
      <c r="L1058" s="5" t="str">
        <f t="shared" si="102"/>
        <v/>
      </c>
      <c r="M1058" s="5" t="str">
        <f t="shared" si="103"/>
        <v/>
      </c>
      <c r="N1058" s="5" t="str">
        <f t="shared" si="104"/>
        <v/>
      </c>
      <c r="O1058" s="4"/>
    </row>
    <row r="1059" spans="1:15" x14ac:dyDescent="0.25">
      <c r="A1059" s="14"/>
      <c r="B1059" s="14"/>
      <c r="C1059" s="14"/>
      <c r="D1059" s="5" t="str">
        <f t="shared" si="105"/>
        <v/>
      </c>
      <c r="E1059" s="5" t="str">
        <f t="shared" si="106"/>
        <v/>
      </c>
      <c r="F1059" s="5" t="str">
        <f t="shared" si="107"/>
        <v/>
      </c>
      <c r="G1059" s="23"/>
      <c r="H1059" s="66"/>
      <c r="I1059" s="14"/>
      <c r="J1059" s="14"/>
      <c r="K1059" s="14"/>
      <c r="L1059" s="5" t="str">
        <f t="shared" si="102"/>
        <v/>
      </c>
      <c r="M1059" s="5" t="str">
        <f t="shared" si="103"/>
        <v/>
      </c>
      <c r="N1059" s="5" t="str">
        <f t="shared" si="104"/>
        <v/>
      </c>
      <c r="O1059" s="4"/>
    </row>
    <row r="1060" spans="1:15" x14ac:dyDescent="0.25">
      <c r="A1060" s="14"/>
      <c r="B1060" s="14"/>
      <c r="C1060" s="14"/>
      <c r="D1060" s="5" t="str">
        <f t="shared" si="105"/>
        <v/>
      </c>
      <c r="E1060" s="5" t="str">
        <f t="shared" si="106"/>
        <v/>
      </c>
      <c r="F1060" s="5" t="str">
        <f t="shared" si="107"/>
        <v/>
      </c>
      <c r="G1060" s="23"/>
      <c r="H1060" s="66"/>
      <c r="I1060" s="14"/>
      <c r="J1060" s="14"/>
      <c r="K1060" s="14"/>
      <c r="L1060" s="5" t="str">
        <f t="shared" si="102"/>
        <v/>
      </c>
      <c r="M1060" s="5" t="str">
        <f t="shared" si="103"/>
        <v/>
      </c>
      <c r="N1060" s="5" t="str">
        <f t="shared" si="104"/>
        <v/>
      </c>
      <c r="O1060" s="4"/>
    </row>
    <row r="1061" spans="1:15" x14ac:dyDescent="0.25">
      <c r="A1061" s="14"/>
      <c r="B1061" s="14"/>
      <c r="C1061" s="14"/>
      <c r="D1061" s="5" t="str">
        <f t="shared" si="105"/>
        <v/>
      </c>
      <c r="E1061" s="5" t="str">
        <f t="shared" si="106"/>
        <v/>
      </c>
      <c r="F1061" s="5" t="str">
        <f t="shared" si="107"/>
        <v/>
      </c>
      <c r="G1061" s="23"/>
      <c r="H1061" s="66"/>
      <c r="I1061" s="14"/>
      <c r="J1061" s="14"/>
      <c r="K1061" s="14"/>
      <c r="L1061" s="5" t="str">
        <f t="shared" si="102"/>
        <v/>
      </c>
      <c r="M1061" s="5" t="str">
        <f t="shared" si="103"/>
        <v/>
      </c>
      <c r="N1061" s="5" t="str">
        <f t="shared" si="104"/>
        <v/>
      </c>
      <c r="O1061" s="4"/>
    </row>
    <row r="1062" spans="1:15" x14ac:dyDescent="0.25">
      <c r="A1062" s="14"/>
      <c r="B1062" s="14"/>
      <c r="C1062" s="14"/>
      <c r="D1062" s="5" t="str">
        <f t="shared" si="105"/>
        <v/>
      </c>
      <c r="E1062" s="5" t="str">
        <f t="shared" si="106"/>
        <v/>
      </c>
      <c r="F1062" s="5" t="str">
        <f t="shared" si="107"/>
        <v/>
      </c>
      <c r="G1062" s="23"/>
      <c r="H1062" s="66"/>
      <c r="I1062" s="14"/>
      <c r="J1062" s="14"/>
      <c r="K1062" s="14"/>
      <c r="L1062" s="5" t="str">
        <f t="shared" si="102"/>
        <v/>
      </c>
      <c r="M1062" s="5" t="str">
        <f t="shared" si="103"/>
        <v/>
      </c>
      <c r="N1062" s="5" t="str">
        <f t="shared" si="104"/>
        <v/>
      </c>
      <c r="O1062" s="4"/>
    </row>
    <row r="1063" spans="1:15" x14ac:dyDescent="0.25">
      <c r="A1063" s="14"/>
      <c r="B1063" s="14"/>
      <c r="C1063" s="14"/>
      <c r="D1063" s="5" t="str">
        <f t="shared" si="105"/>
        <v/>
      </c>
      <c r="E1063" s="5" t="str">
        <f t="shared" si="106"/>
        <v/>
      </c>
      <c r="F1063" s="5" t="str">
        <f t="shared" si="107"/>
        <v/>
      </c>
      <c r="G1063" s="23"/>
      <c r="H1063" s="66"/>
      <c r="I1063" s="14"/>
      <c r="J1063" s="14"/>
      <c r="K1063" s="14"/>
      <c r="L1063" s="5" t="str">
        <f t="shared" si="102"/>
        <v/>
      </c>
      <c r="M1063" s="5" t="str">
        <f t="shared" si="103"/>
        <v/>
      </c>
      <c r="N1063" s="5" t="str">
        <f t="shared" si="104"/>
        <v/>
      </c>
      <c r="O1063" s="4"/>
    </row>
    <row r="1064" spans="1:15" x14ac:dyDescent="0.25">
      <c r="A1064" s="14"/>
      <c r="B1064" s="14"/>
      <c r="C1064" s="14"/>
      <c r="D1064" s="5" t="str">
        <f t="shared" si="105"/>
        <v/>
      </c>
      <c r="E1064" s="5" t="str">
        <f t="shared" si="106"/>
        <v/>
      </c>
      <c r="F1064" s="5" t="str">
        <f t="shared" si="107"/>
        <v/>
      </c>
      <c r="G1064" s="23"/>
      <c r="H1064" s="66"/>
      <c r="I1064" s="14"/>
      <c r="J1064" s="14"/>
      <c r="K1064" s="14"/>
      <c r="L1064" s="5" t="str">
        <f t="shared" si="102"/>
        <v/>
      </c>
      <c r="M1064" s="5" t="str">
        <f t="shared" si="103"/>
        <v/>
      </c>
      <c r="N1064" s="5" t="str">
        <f t="shared" si="104"/>
        <v/>
      </c>
      <c r="O1064" s="4"/>
    </row>
    <row r="1065" spans="1:15" x14ac:dyDescent="0.25">
      <c r="A1065" s="14"/>
      <c r="B1065" s="14"/>
      <c r="C1065" s="14"/>
      <c r="D1065" s="5" t="str">
        <f t="shared" si="105"/>
        <v/>
      </c>
      <c r="E1065" s="5" t="str">
        <f t="shared" si="106"/>
        <v/>
      </c>
      <c r="F1065" s="5" t="str">
        <f t="shared" si="107"/>
        <v/>
      </c>
      <c r="G1065" s="23"/>
      <c r="H1065" s="66"/>
      <c r="I1065" s="14"/>
      <c r="J1065" s="14"/>
      <c r="K1065" s="14"/>
      <c r="L1065" s="5" t="str">
        <f t="shared" si="102"/>
        <v/>
      </c>
      <c r="M1065" s="5" t="str">
        <f t="shared" si="103"/>
        <v/>
      </c>
      <c r="N1065" s="5" t="str">
        <f t="shared" si="104"/>
        <v/>
      </c>
      <c r="O1065" s="4"/>
    </row>
    <row r="1066" spans="1:15" x14ac:dyDescent="0.25">
      <c r="A1066" s="14"/>
      <c r="B1066" s="14"/>
      <c r="C1066" s="14"/>
      <c r="D1066" s="5" t="str">
        <f t="shared" si="105"/>
        <v/>
      </c>
      <c r="E1066" s="5" t="str">
        <f t="shared" si="106"/>
        <v/>
      </c>
      <c r="F1066" s="5" t="str">
        <f t="shared" si="107"/>
        <v/>
      </c>
      <c r="G1066" s="23"/>
      <c r="H1066" s="66"/>
      <c r="I1066" s="14"/>
      <c r="J1066" s="14"/>
      <c r="K1066" s="14"/>
      <c r="L1066" s="5" t="str">
        <f t="shared" si="102"/>
        <v/>
      </c>
      <c r="M1066" s="5" t="str">
        <f t="shared" si="103"/>
        <v/>
      </c>
      <c r="N1066" s="5" t="str">
        <f t="shared" si="104"/>
        <v/>
      </c>
      <c r="O1066" s="4"/>
    </row>
    <row r="1067" spans="1:15" x14ac:dyDescent="0.25">
      <c r="A1067" s="14"/>
      <c r="B1067" s="14"/>
      <c r="C1067" s="14"/>
      <c r="D1067" s="5" t="str">
        <f t="shared" si="105"/>
        <v/>
      </c>
      <c r="E1067" s="5" t="str">
        <f t="shared" si="106"/>
        <v/>
      </c>
      <c r="F1067" s="5" t="str">
        <f t="shared" si="107"/>
        <v/>
      </c>
      <c r="G1067" s="23"/>
      <c r="H1067" s="66"/>
      <c r="I1067" s="14"/>
      <c r="J1067" s="14"/>
      <c r="K1067" s="14"/>
      <c r="L1067" s="5" t="str">
        <f t="shared" si="102"/>
        <v/>
      </c>
      <c r="M1067" s="5" t="str">
        <f t="shared" si="103"/>
        <v/>
      </c>
      <c r="N1067" s="5" t="str">
        <f t="shared" si="104"/>
        <v/>
      </c>
      <c r="O1067" s="4"/>
    </row>
    <row r="1068" spans="1:15" x14ac:dyDescent="0.25">
      <c r="A1068" s="14"/>
      <c r="B1068" s="14"/>
      <c r="C1068" s="14"/>
      <c r="D1068" s="5" t="str">
        <f t="shared" si="105"/>
        <v/>
      </c>
      <c r="E1068" s="5" t="str">
        <f t="shared" si="106"/>
        <v/>
      </c>
      <c r="F1068" s="5" t="str">
        <f t="shared" si="107"/>
        <v/>
      </c>
      <c r="G1068" s="23"/>
      <c r="H1068" s="66"/>
      <c r="I1068" s="14"/>
      <c r="J1068" s="14"/>
      <c r="K1068" s="14"/>
      <c r="L1068" s="5" t="str">
        <f t="shared" si="102"/>
        <v/>
      </c>
      <c r="M1068" s="5" t="str">
        <f t="shared" si="103"/>
        <v/>
      </c>
      <c r="N1068" s="5" t="str">
        <f t="shared" si="104"/>
        <v/>
      </c>
      <c r="O1068" s="4"/>
    </row>
    <row r="1069" spans="1:15" x14ac:dyDescent="0.25">
      <c r="A1069" s="14"/>
      <c r="B1069" s="14"/>
      <c r="C1069" s="14"/>
      <c r="D1069" s="5" t="str">
        <f t="shared" si="105"/>
        <v/>
      </c>
      <c r="E1069" s="5" t="str">
        <f t="shared" si="106"/>
        <v/>
      </c>
      <c r="F1069" s="5" t="str">
        <f t="shared" si="107"/>
        <v/>
      </c>
      <c r="G1069" s="23"/>
      <c r="H1069" s="66"/>
      <c r="I1069" s="14"/>
      <c r="J1069" s="14"/>
      <c r="K1069" s="14"/>
      <c r="L1069" s="5" t="str">
        <f t="shared" si="102"/>
        <v/>
      </c>
      <c r="M1069" s="5" t="str">
        <f t="shared" si="103"/>
        <v/>
      </c>
      <c r="N1069" s="5" t="str">
        <f t="shared" si="104"/>
        <v/>
      </c>
      <c r="O1069" s="4"/>
    </row>
    <row r="1070" spans="1:15" x14ac:dyDescent="0.25">
      <c r="A1070" s="14"/>
      <c r="B1070" s="14"/>
      <c r="C1070" s="14"/>
      <c r="D1070" s="5" t="str">
        <f t="shared" si="105"/>
        <v/>
      </c>
      <c r="E1070" s="5" t="str">
        <f t="shared" si="106"/>
        <v/>
      </c>
      <c r="F1070" s="5" t="str">
        <f t="shared" si="107"/>
        <v/>
      </c>
      <c r="G1070" s="23"/>
      <c r="H1070" s="66"/>
      <c r="I1070" s="14"/>
      <c r="J1070" s="14"/>
      <c r="K1070" s="14"/>
      <c r="L1070" s="5" t="str">
        <f t="shared" si="102"/>
        <v/>
      </c>
      <c r="M1070" s="5" t="str">
        <f t="shared" si="103"/>
        <v/>
      </c>
      <c r="N1070" s="5" t="str">
        <f t="shared" si="104"/>
        <v/>
      </c>
      <c r="O1070" s="4"/>
    </row>
    <row r="1071" spans="1:15" x14ac:dyDescent="0.25">
      <c r="A1071" s="14"/>
      <c r="B1071" s="14"/>
      <c r="C1071" s="14"/>
      <c r="D1071" s="5" t="str">
        <f t="shared" si="105"/>
        <v/>
      </c>
      <c r="E1071" s="5" t="str">
        <f t="shared" si="106"/>
        <v/>
      </c>
      <c r="F1071" s="5" t="str">
        <f t="shared" si="107"/>
        <v/>
      </c>
      <c r="G1071" s="23"/>
      <c r="H1071" s="66"/>
      <c r="I1071" s="14"/>
      <c r="J1071" s="14"/>
      <c r="K1071" s="14"/>
      <c r="L1071" s="5" t="str">
        <f t="shared" si="102"/>
        <v/>
      </c>
      <c r="M1071" s="5" t="str">
        <f t="shared" si="103"/>
        <v/>
      </c>
      <c r="N1071" s="5" t="str">
        <f t="shared" si="104"/>
        <v/>
      </c>
      <c r="O1071" s="4"/>
    </row>
    <row r="1072" spans="1:15" x14ac:dyDescent="0.25">
      <c r="A1072" s="14"/>
      <c r="B1072" s="14"/>
      <c r="C1072" s="14"/>
      <c r="D1072" s="5" t="str">
        <f t="shared" si="105"/>
        <v/>
      </c>
      <c r="E1072" s="5" t="str">
        <f t="shared" si="106"/>
        <v/>
      </c>
      <c r="F1072" s="5" t="str">
        <f t="shared" si="107"/>
        <v/>
      </c>
      <c r="G1072" s="23"/>
      <c r="H1072" s="66"/>
      <c r="I1072" s="14"/>
      <c r="J1072" s="14"/>
      <c r="K1072" s="14"/>
      <c r="L1072" s="5" t="str">
        <f t="shared" si="102"/>
        <v/>
      </c>
      <c r="M1072" s="5" t="str">
        <f t="shared" si="103"/>
        <v/>
      </c>
      <c r="N1072" s="5" t="str">
        <f t="shared" si="104"/>
        <v/>
      </c>
      <c r="O1072" s="4"/>
    </row>
    <row r="1073" spans="1:15" x14ac:dyDescent="0.25">
      <c r="A1073" s="14"/>
      <c r="B1073" s="14"/>
      <c r="C1073" s="14"/>
      <c r="D1073" s="5" t="str">
        <f t="shared" si="105"/>
        <v/>
      </c>
      <c r="E1073" s="5" t="str">
        <f t="shared" si="106"/>
        <v/>
      </c>
      <c r="F1073" s="5" t="str">
        <f t="shared" si="107"/>
        <v/>
      </c>
      <c r="G1073" s="23"/>
      <c r="H1073" s="66"/>
      <c r="I1073" s="14"/>
      <c r="J1073" s="14"/>
      <c r="K1073" s="14"/>
      <c r="L1073" s="5" t="str">
        <f t="shared" si="102"/>
        <v/>
      </c>
      <c r="M1073" s="5" t="str">
        <f t="shared" si="103"/>
        <v/>
      </c>
      <c r="N1073" s="5" t="str">
        <f t="shared" si="104"/>
        <v/>
      </c>
      <c r="O1073" s="4"/>
    </row>
    <row r="1074" spans="1:15" x14ac:dyDescent="0.25">
      <c r="A1074" s="14"/>
      <c r="B1074" s="14"/>
      <c r="C1074" s="14"/>
      <c r="D1074" s="5" t="str">
        <f t="shared" si="105"/>
        <v/>
      </c>
      <c r="E1074" s="5" t="str">
        <f t="shared" si="106"/>
        <v/>
      </c>
      <c r="F1074" s="5" t="str">
        <f t="shared" si="107"/>
        <v/>
      </c>
      <c r="G1074" s="23"/>
      <c r="H1074" s="66"/>
      <c r="I1074" s="14"/>
      <c r="J1074" s="14"/>
      <c r="K1074" s="14"/>
      <c r="L1074" s="5" t="str">
        <f t="shared" si="102"/>
        <v/>
      </c>
      <c r="M1074" s="5" t="str">
        <f t="shared" si="103"/>
        <v/>
      </c>
      <c r="N1074" s="5" t="str">
        <f t="shared" si="104"/>
        <v/>
      </c>
      <c r="O1074" s="4"/>
    </row>
    <row r="1075" spans="1:15" x14ac:dyDescent="0.25">
      <c r="A1075" s="14"/>
      <c r="B1075" s="14"/>
      <c r="C1075" s="14"/>
      <c r="D1075" s="5" t="str">
        <f t="shared" si="105"/>
        <v/>
      </c>
      <c r="E1075" s="5" t="str">
        <f t="shared" si="106"/>
        <v/>
      </c>
      <c r="F1075" s="5" t="str">
        <f t="shared" si="107"/>
        <v/>
      </c>
      <c r="G1075" s="23"/>
      <c r="H1075" s="66"/>
      <c r="I1075" s="14"/>
      <c r="J1075" s="14"/>
      <c r="K1075" s="14"/>
      <c r="L1075" s="5" t="str">
        <f t="shared" si="102"/>
        <v/>
      </c>
      <c r="M1075" s="5" t="str">
        <f t="shared" si="103"/>
        <v/>
      </c>
      <c r="N1075" s="5" t="str">
        <f t="shared" si="104"/>
        <v/>
      </c>
      <c r="O1075" s="4"/>
    </row>
    <row r="1076" spans="1:15" x14ac:dyDescent="0.25">
      <c r="A1076" s="14"/>
      <c r="B1076" s="14"/>
      <c r="C1076" s="14"/>
      <c r="D1076" s="5" t="str">
        <f t="shared" si="105"/>
        <v/>
      </c>
      <c r="E1076" s="5" t="str">
        <f t="shared" si="106"/>
        <v/>
      </c>
      <c r="F1076" s="5" t="str">
        <f t="shared" si="107"/>
        <v/>
      </c>
      <c r="G1076" s="23"/>
      <c r="H1076" s="66"/>
      <c r="I1076" s="14"/>
      <c r="J1076" s="14"/>
      <c r="K1076" s="14"/>
      <c r="L1076" s="5" t="str">
        <f t="shared" si="102"/>
        <v/>
      </c>
      <c r="M1076" s="5" t="str">
        <f t="shared" si="103"/>
        <v/>
      </c>
      <c r="N1076" s="5" t="str">
        <f t="shared" si="104"/>
        <v/>
      </c>
      <c r="O1076" s="4"/>
    </row>
    <row r="1077" spans="1:15" x14ac:dyDescent="0.25">
      <c r="A1077" s="14"/>
      <c r="B1077" s="14"/>
      <c r="C1077" s="14"/>
      <c r="D1077" s="5" t="str">
        <f t="shared" si="105"/>
        <v/>
      </c>
      <c r="E1077" s="5" t="str">
        <f t="shared" si="106"/>
        <v/>
      </c>
      <c r="F1077" s="5" t="str">
        <f t="shared" si="107"/>
        <v/>
      </c>
      <c r="G1077" s="23"/>
      <c r="H1077" s="66"/>
      <c r="I1077" s="14"/>
      <c r="J1077" s="14"/>
      <c r="K1077" s="14"/>
      <c r="L1077" s="5" t="str">
        <f t="shared" si="102"/>
        <v/>
      </c>
      <c r="M1077" s="5" t="str">
        <f t="shared" si="103"/>
        <v/>
      </c>
      <c r="N1077" s="5" t="str">
        <f t="shared" si="104"/>
        <v/>
      </c>
      <c r="O1077" s="4"/>
    </row>
    <row r="1078" spans="1:15" x14ac:dyDescent="0.25">
      <c r="A1078" s="14"/>
      <c r="B1078" s="14"/>
      <c r="C1078" s="14"/>
      <c r="D1078" s="5" t="str">
        <f t="shared" si="105"/>
        <v/>
      </c>
      <c r="E1078" s="5" t="str">
        <f t="shared" si="106"/>
        <v/>
      </c>
      <c r="F1078" s="5" t="str">
        <f t="shared" si="107"/>
        <v/>
      </c>
      <c r="G1078" s="23"/>
      <c r="H1078" s="66"/>
      <c r="I1078" s="14"/>
      <c r="J1078" s="14"/>
      <c r="K1078" s="14"/>
      <c r="L1078" s="5" t="str">
        <f t="shared" si="102"/>
        <v/>
      </c>
      <c r="M1078" s="5" t="str">
        <f t="shared" si="103"/>
        <v/>
      </c>
      <c r="N1078" s="5" t="str">
        <f t="shared" si="104"/>
        <v/>
      </c>
      <c r="O1078" s="4"/>
    </row>
    <row r="1079" spans="1:15" x14ac:dyDescent="0.25">
      <c r="A1079" s="14"/>
      <c r="B1079" s="14"/>
      <c r="C1079" s="14"/>
      <c r="D1079" s="5" t="str">
        <f t="shared" si="105"/>
        <v/>
      </c>
      <c r="E1079" s="5" t="str">
        <f t="shared" si="106"/>
        <v/>
      </c>
      <c r="F1079" s="5" t="str">
        <f t="shared" si="107"/>
        <v/>
      </c>
      <c r="G1079" s="23"/>
      <c r="H1079" s="66"/>
      <c r="I1079" s="14"/>
      <c r="J1079" s="14"/>
      <c r="K1079" s="14"/>
      <c r="L1079" s="5" t="str">
        <f t="shared" si="102"/>
        <v/>
      </c>
      <c r="M1079" s="5" t="str">
        <f t="shared" si="103"/>
        <v/>
      </c>
      <c r="N1079" s="5" t="str">
        <f t="shared" si="104"/>
        <v/>
      </c>
      <c r="O1079" s="4"/>
    </row>
    <row r="1080" spans="1:15" x14ac:dyDescent="0.25">
      <c r="A1080" s="14"/>
      <c r="B1080" s="14"/>
      <c r="C1080" s="14"/>
      <c r="D1080" s="5" t="str">
        <f t="shared" si="105"/>
        <v/>
      </c>
      <c r="E1080" s="5" t="str">
        <f t="shared" si="106"/>
        <v/>
      </c>
      <c r="F1080" s="5" t="str">
        <f t="shared" si="107"/>
        <v/>
      </c>
      <c r="G1080" s="23"/>
      <c r="H1080" s="66"/>
      <c r="I1080" s="14"/>
      <c r="J1080" s="14"/>
      <c r="K1080" s="14"/>
      <c r="L1080" s="5" t="str">
        <f t="shared" si="102"/>
        <v/>
      </c>
      <c r="M1080" s="5" t="str">
        <f t="shared" si="103"/>
        <v/>
      </c>
      <c r="N1080" s="5" t="str">
        <f t="shared" si="104"/>
        <v/>
      </c>
      <c r="O1080" s="4"/>
    </row>
    <row r="1081" spans="1:15" x14ac:dyDescent="0.25">
      <c r="A1081" s="14"/>
      <c r="B1081" s="14"/>
      <c r="C1081" s="14"/>
      <c r="D1081" s="5" t="str">
        <f t="shared" si="105"/>
        <v/>
      </c>
      <c r="E1081" s="5" t="str">
        <f t="shared" si="106"/>
        <v/>
      </c>
      <c r="F1081" s="5" t="str">
        <f t="shared" si="107"/>
        <v/>
      </c>
      <c r="G1081" s="23"/>
      <c r="H1081" s="66"/>
      <c r="I1081" s="14"/>
      <c r="J1081" s="14"/>
      <c r="K1081" s="14"/>
      <c r="L1081" s="5" t="str">
        <f t="shared" si="102"/>
        <v/>
      </c>
      <c r="M1081" s="5" t="str">
        <f t="shared" si="103"/>
        <v/>
      </c>
      <c r="N1081" s="5" t="str">
        <f t="shared" si="104"/>
        <v/>
      </c>
      <c r="O1081" s="4"/>
    </row>
    <row r="1082" spans="1:15" x14ac:dyDescent="0.25">
      <c r="A1082" s="14"/>
      <c r="B1082" s="14"/>
      <c r="C1082" s="14"/>
      <c r="D1082" s="5" t="str">
        <f t="shared" si="105"/>
        <v/>
      </c>
      <c r="E1082" s="5" t="str">
        <f t="shared" si="106"/>
        <v/>
      </c>
      <c r="F1082" s="5" t="str">
        <f t="shared" si="107"/>
        <v/>
      </c>
      <c r="G1082" s="23"/>
      <c r="H1082" s="66"/>
      <c r="I1082" s="14"/>
      <c r="J1082" s="14"/>
      <c r="K1082" s="14"/>
      <c r="L1082" s="5" t="str">
        <f t="shared" si="102"/>
        <v/>
      </c>
      <c r="M1082" s="5" t="str">
        <f t="shared" si="103"/>
        <v/>
      </c>
      <c r="N1082" s="5" t="str">
        <f t="shared" si="104"/>
        <v/>
      </c>
      <c r="O1082" s="4"/>
    </row>
    <row r="1083" spans="1:15" x14ac:dyDescent="0.25">
      <c r="A1083" s="14"/>
      <c r="B1083" s="14"/>
      <c r="C1083" s="14"/>
      <c r="D1083" s="5" t="str">
        <f t="shared" si="105"/>
        <v/>
      </c>
      <c r="E1083" s="5" t="str">
        <f t="shared" si="106"/>
        <v/>
      </c>
      <c r="F1083" s="5" t="str">
        <f t="shared" si="107"/>
        <v/>
      </c>
      <c r="G1083" s="23"/>
      <c r="H1083" s="66"/>
      <c r="I1083" s="14"/>
      <c r="J1083" s="14"/>
      <c r="K1083" s="14"/>
      <c r="L1083" s="5" t="str">
        <f t="shared" si="102"/>
        <v/>
      </c>
      <c r="M1083" s="5" t="str">
        <f t="shared" si="103"/>
        <v/>
      </c>
      <c r="N1083" s="5" t="str">
        <f t="shared" si="104"/>
        <v/>
      </c>
      <c r="O1083" s="4"/>
    </row>
    <row r="1084" spans="1:15" x14ac:dyDescent="0.25">
      <c r="A1084" s="14"/>
      <c r="B1084" s="14"/>
      <c r="C1084" s="14"/>
      <c r="D1084" s="5" t="str">
        <f t="shared" si="105"/>
        <v/>
      </c>
      <c r="E1084" s="5" t="str">
        <f t="shared" si="106"/>
        <v/>
      </c>
      <c r="F1084" s="5" t="str">
        <f t="shared" si="107"/>
        <v/>
      </c>
      <c r="G1084" s="23"/>
      <c r="H1084" s="66"/>
      <c r="I1084" s="14"/>
      <c r="J1084" s="14"/>
      <c r="K1084" s="14"/>
      <c r="L1084" s="5" t="str">
        <f t="shared" si="102"/>
        <v/>
      </c>
      <c r="M1084" s="5" t="str">
        <f t="shared" si="103"/>
        <v/>
      </c>
      <c r="N1084" s="5" t="str">
        <f t="shared" si="104"/>
        <v/>
      </c>
      <c r="O1084" s="4"/>
    </row>
    <row r="1085" spans="1:15" x14ac:dyDescent="0.25">
      <c r="A1085" s="14"/>
      <c r="B1085" s="14"/>
      <c r="C1085" s="14"/>
      <c r="D1085" s="5" t="str">
        <f t="shared" si="105"/>
        <v/>
      </c>
      <c r="E1085" s="5" t="str">
        <f t="shared" si="106"/>
        <v/>
      </c>
      <c r="F1085" s="5" t="str">
        <f t="shared" si="107"/>
        <v/>
      </c>
      <c r="G1085" s="23"/>
      <c r="H1085" s="66"/>
      <c r="I1085" s="14"/>
      <c r="J1085" s="14"/>
      <c r="K1085" s="14"/>
      <c r="L1085" s="5" t="str">
        <f t="shared" si="102"/>
        <v/>
      </c>
      <c r="M1085" s="5" t="str">
        <f t="shared" si="103"/>
        <v/>
      </c>
      <c r="N1085" s="5" t="str">
        <f t="shared" si="104"/>
        <v/>
      </c>
      <c r="O1085" s="4"/>
    </row>
    <row r="1086" spans="1:15" x14ac:dyDescent="0.25">
      <c r="A1086" s="14"/>
      <c r="B1086" s="14"/>
      <c r="C1086" s="14"/>
      <c r="D1086" s="5" t="str">
        <f t="shared" si="105"/>
        <v/>
      </c>
      <c r="E1086" s="5" t="str">
        <f t="shared" si="106"/>
        <v/>
      </c>
      <c r="F1086" s="5" t="str">
        <f t="shared" si="107"/>
        <v/>
      </c>
      <c r="G1086" s="23"/>
      <c r="H1086" s="66"/>
      <c r="I1086" s="14"/>
      <c r="J1086" s="14"/>
      <c r="K1086" s="14"/>
      <c r="L1086" s="5" t="str">
        <f t="shared" si="102"/>
        <v/>
      </c>
      <c r="M1086" s="5" t="str">
        <f t="shared" si="103"/>
        <v/>
      </c>
      <c r="N1086" s="5" t="str">
        <f t="shared" si="104"/>
        <v/>
      </c>
      <c r="O1086" s="4"/>
    </row>
    <row r="1087" spans="1:15" x14ac:dyDescent="0.25">
      <c r="A1087" s="14"/>
      <c r="B1087" s="14"/>
      <c r="C1087" s="14"/>
      <c r="D1087" s="5" t="str">
        <f t="shared" si="105"/>
        <v/>
      </c>
      <c r="E1087" s="5" t="str">
        <f t="shared" si="106"/>
        <v/>
      </c>
      <c r="F1087" s="5" t="str">
        <f t="shared" si="107"/>
        <v/>
      </c>
      <c r="G1087" s="23"/>
      <c r="H1087" s="66"/>
      <c r="I1087" s="14"/>
      <c r="J1087" s="14"/>
      <c r="K1087" s="14"/>
      <c r="L1087" s="5" t="str">
        <f t="shared" si="102"/>
        <v/>
      </c>
      <c r="M1087" s="5" t="str">
        <f t="shared" si="103"/>
        <v/>
      </c>
      <c r="N1087" s="5" t="str">
        <f t="shared" si="104"/>
        <v/>
      </c>
      <c r="O1087" s="4"/>
    </row>
    <row r="1088" spans="1:15" x14ac:dyDescent="0.25">
      <c r="A1088" s="14"/>
      <c r="B1088" s="14"/>
      <c r="C1088" s="14"/>
      <c r="D1088" s="5" t="str">
        <f t="shared" si="105"/>
        <v/>
      </c>
      <c r="E1088" s="5" t="str">
        <f t="shared" si="106"/>
        <v/>
      </c>
      <c r="F1088" s="5" t="str">
        <f t="shared" si="107"/>
        <v/>
      </c>
      <c r="G1088" s="23"/>
      <c r="H1088" s="66"/>
      <c r="I1088" s="14"/>
      <c r="J1088" s="14"/>
      <c r="K1088" s="14"/>
      <c r="L1088" s="5" t="str">
        <f t="shared" si="102"/>
        <v/>
      </c>
      <c r="M1088" s="5" t="str">
        <f t="shared" si="103"/>
        <v/>
      </c>
      <c r="N1088" s="5" t="str">
        <f t="shared" si="104"/>
        <v/>
      </c>
      <c r="O1088" s="4"/>
    </row>
    <row r="1089" spans="1:15" x14ac:dyDescent="0.25">
      <c r="A1089" s="14"/>
      <c r="B1089" s="14"/>
      <c r="C1089" s="14"/>
      <c r="D1089" s="5" t="str">
        <f t="shared" si="105"/>
        <v/>
      </c>
      <c r="E1089" s="5" t="str">
        <f t="shared" si="106"/>
        <v/>
      </c>
      <c r="F1089" s="5" t="str">
        <f t="shared" si="107"/>
        <v/>
      </c>
      <c r="G1089" s="23"/>
      <c r="H1089" s="66"/>
      <c r="I1089" s="14"/>
      <c r="J1089" s="14"/>
      <c r="K1089" s="14"/>
      <c r="L1089" s="5" t="str">
        <f t="shared" si="102"/>
        <v/>
      </c>
      <c r="M1089" s="5" t="str">
        <f t="shared" si="103"/>
        <v/>
      </c>
      <c r="N1089" s="5" t="str">
        <f t="shared" si="104"/>
        <v/>
      </c>
      <c r="O1089" s="4"/>
    </row>
    <row r="1090" spans="1:15" x14ac:dyDescent="0.25">
      <c r="A1090" s="14"/>
      <c r="B1090" s="14"/>
      <c r="C1090" s="14"/>
      <c r="D1090" s="5" t="str">
        <f t="shared" si="105"/>
        <v/>
      </c>
      <c r="E1090" s="5" t="str">
        <f t="shared" si="106"/>
        <v/>
      </c>
      <c r="F1090" s="5" t="str">
        <f t="shared" si="107"/>
        <v/>
      </c>
      <c r="G1090" s="23"/>
      <c r="H1090" s="66"/>
      <c r="I1090" s="14"/>
      <c r="J1090" s="14"/>
      <c r="K1090" s="14"/>
      <c r="L1090" s="5" t="str">
        <f t="shared" si="102"/>
        <v/>
      </c>
      <c r="M1090" s="5" t="str">
        <f t="shared" si="103"/>
        <v/>
      </c>
      <c r="N1090" s="5" t="str">
        <f t="shared" si="104"/>
        <v/>
      </c>
      <c r="O1090" s="4"/>
    </row>
    <row r="1091" spans="1:15" x14ac:dyDescent="0.25">
      <c r="A1091" s="14"/>
      <c r="B1091" s="14"/>
      <c r="C1091" s="14"/>
      <c r="D1091" s="5" t="str">
        <f t="shared" si="105"/>
        <v/>
      </c>
      <c r="E1091" s="5" t="str">
        <f t="shared" si="106"/>
        <v/>
      </c>
      <c r="F1091" s="5" t="str">
        <f t="shared" si="107"/>
        <v/>
      </c>
      <c r="G1091" s="23"/>
      <c r="H1091" s="66"/>
      <c r="I1091" s="14"/>
      <c r="J1091" s="14"/>
      <c r="K1091" s="14"/>
      <c r="L1091" s="5" t="str">
        <f t="shared" si="102"/>
        <v/>
      </c>
      <c r="M1091" s="5" t="str">
        <f t="shared" si="103"/>
        <v/>
      </c>
      <c r="N1091" s="5" t="str">
        <f t="shared" si="104"/>
        <v/>
      </c>
      <c r="O1091" s="4"/>
    </row>
    <row r="1092" spans="1:15" x14ac:dyDescent="0.25">
      <c r="A1092" s="14"/>
      <c r="B1092" s="14"/>
      <c r="C1092" s="14"/>
      <c r="D1092" s="5" t="str">
        <f t="shared" si="105"/>
        <v/>
      </c>
      <c r="E1092" s="5" t="str">
        <f t="shared" si="106"/>
        <v/>
      </c>
      <c r="F1092" s="5" t="str">
        <f t="shared" si="107"/>
        <v/>
      </c>
      <c r="G1092" s="23"/>
      <c r="H1092" s="66"/>
      <c r="I1092" s="14"/>
      <c r="J1092" s="14"/>
      <c r="K1092" s="14"/>
      <c r="L1092" s="5" t="str">
        <f t="shared" si="102"/>
        <v/>
      </c>
      <c r="M1092" s="5" t="str">
        <f t="shared" si="103"/>
        <v/>
      </c>
      <c r="N1092" s="5" t="str">
        <f t="shared" si="104"/>
        <v/>
      </c>
      <c r="O1092" s="4"/>
    </row>
    <row r="1093" spans="1:15" x14ac:dyDescent="0.25">
      <c r="A1093" s="14"/>
      <c r="B1093" s="14"/>
      <c r="C1093" s="14"/>
      <c r="D1093" s="5" t="str">
        <f t="shared" si="105"/>
        <v/>
      </c>
      <c r="E1093" s="5" t="str">
        <f t="shared" si="106"/>
        <v/>
      </c>
      <c r="F1093" s="5" t="str">
        <f t="shared" si="107"/>
        <v/>
      </c>
      <c r="G1093" s="23"/>
      <c r="H1093" s="66"/>
      <c r="I1093" s="14"/>
      <c r="J1093" s="14"/>
      <c r="K1093" s="14"/>
      <c r="L1093" s="5" t="str">
        <f t="shared" si="102"/>
        <v/>
      </c>
      <c r="M1093" s="5" t="str">
        <f t="shared" si="103"/>
        <v/>
      </c>
      <c r="N1093" s="5" t="str">
        <f t="shared" si="104"/>
        <v/>
      </c>
      <c r="O1093" s="4"/>
    </row>
    <row r="1094" spans="1:15" x14ac:dyDescent="0.25">
      <c r="A1094" s="14"/>
      <c r="B1094" s="14"/>
      <c r="C1094" s="14"/>
      <c r="D1094" s="5" t="str">
        <f t="shared" si="105"/>
        <v/>
      </c>
      <c r="E1094" s="5" t="str">
        <f t="shared" si="106"/>
        <v/>
      </c>
      <c r="F1094" s="5" t="str">
        <f t="shared" si="107"/>
        <v/>
      </c>
      <c r="G1094" s="23"/>
      <c r="H1094" s="66"/>
      <c r="I1094" s="14"/>
      <c r="J1094" s="14"/>
      <c r="K1094" s="14"/>
      <c r="L1094" s="5" t="str">
        <f t="shared" si="102"/>
        <v/>
      </c>
      <c r="M1094" s="5" t="str">
        <f t="shared" si="103"/>
        <v/>
      </c>
      <c r="N1094" s="5" t="str">
        <f t="shared" si="104"/>
        <v/>
      </c>
      <c r="O1094" s="4"/>
    </row>
    <row r="1095" spans="1:15" x14ac:dyDescent="0.25">
      <c r="A1095" s="14"/>
      <c r="B1095" s="14"/>
      <c r="C1095" s="14"/>
      <c r="D1095" s="5" t="str">
        <f t="shared" si="105"/>
        <v/>
      </c>
      <c r="E1095" s="5" t="str">
        <f t="shared" si="106"/>
        <v/>
      </c>
      <c r="F1095" s="5" t="str">
        <f t="shared" si="107"/>
        <v/>
      </c>
      <c r="G1095" s="23"/>
      <c r="H1095" s="66"/>
      <c r="I1095" s="14"/>
      <c r="J1095" s="14"/>
      <c r="K1095" s="14"/>
      <c r="L1095" s="5" t="str">
        <f t="shared" si="102"/>
        <v/>
      </c>
      <c r="M1095" s="5" t="str">
        <f t="shared" si="103"/>
        <v/>
      </c>
      <c r="N1095" s="5" t="str">
        <f t="shared" si="104"/>
        <v/>
      </c>
      <c r="O1095" s="4"/>
    </row>
    <row r="1096" spans="1:15" x14ac:dyDescent="0.25">
      <c r="A1096" s="14"/>
      <c r="B1096" s="14"/>
      <c r="C1096" s="14"/>
      <c r="D1096" s="5" t="str">
        <f t="shared" si="105"/>
        <v/>
      </c>
      <c r="E1096" s="5" t="str">
        <f t="shared" si="106"/>
        <v/>
      </c>
      <c r="F1096" s="5" t="str">
        <f t="shared" si="107"/>
        <v/>
      </c>
      <c r="G1096" s="23"/>
      <c r="H1096" s="66"/>
      <c r="I1096" s="14"/>
      <c r="J1096" s="14"/>
      <c r="K1096" s="14"/>
      <c r="L1096" s="5" t="str">
        <f t="shared" si="102"/>
        <v/>
      </c>
      <c r="M1096" s="5" t="str">
        <f t="shared" si="103"/>
        <v/>
      </c>
      <c r="N1096" s="5" t="str">
        <f t="shared" si="104"/>
        <v/>
      </c>
      <c r="O1096" s="4"/>
    </row>
    <row r="1097" spans="1:15" x14ac:dyDescent="0.25">
      <c r="A1097" s="14"/>
      <c r="B1097" s="14"/>
      <c r="C1097" s="14"/>
      <c r="D1097" s="5" t="str">
        <f t="shared" si="105"/>
        <v/>
      </c>
      <c r="E1097" s="5" t="str">
        <f t="shared" si="106"/>
        <v/>
      </c>
      <c r="F1097" s="5" t="str">
        <f t="shared" si="107"/>
        <v/>
      </c>
      <c r="G1097" s="23"/>
      <c r="H1097" s="66"/>
      <c r="I1097" s="14"/>
      <c r="J1097" s="14"/>
      <c r="K1097" s="14"/>
      <c r="L1097" s="5" t="str">
        <f t="shared" si="102"/>
        <v/>
      </c>
      <c r="M1097" s="5" t="str">
        <f t="shared" si="103"/>
        <v/>
      </c>
      <c r="N1097" s="5" t="str">
        <f t="shared" si="104"/>
        <v/>
      </c>
      <c r="O1097" s="4"/>
    </row>
    <row r="1098" spans="1:15" x14ac:dyDescent="0.25">
      <c r="A1098" s="14"/>
      <c r="B1098" s="14"/>
      <c r="C1098" s="14"/>
      <c r="D1098" s="5" t="str">
        <f t="shared" si="105"/>
        <v/>
      </c>
      <c r="E1098" s="5" t="str">
        <f t="shared" si="106"/>
        <v/>
      </c>
      <c r="F1098" s="5" t="str">
        <f t="shared" si="107"/>
        <v/>
      </c>
      <c r="G1098" s="23"/>
      <c r="H1098" s="66"/>
      <c r="I1098" s="14"/>
      <c r="J1098" s="14"/>
      <c r="K1098" s="14"/>
      <c r="L1098" s="5" t="str">
        <f t="shared" ref="L1098:L1161" si="108">IFERROR(IF(I1098&lt;&gt;"",(((J1098-J1097)*$X$4/(I1098-I1097)))*$X$5,""),"")</f>
        <v/>
      </c>
      <c r="M1098" s="5" t="str">
        <f t="shared" ref="M1098:M1161" si="109">IFERROR(IF(I1098&lt;&gt;"",(((K1098-K1097)*$X$4/(I1098-I1097)))*$X$5,""),"")</f>
        <v/>
      </c>
      <c r="N1098" s="5" t="str">
        <f t="shared" ref="N1098:N1161" si="110">IFERROR(IF(I1098&lt;&gt;"",((ACOS((COS(RADIANS(J1097))*COS(RADIANS(J1098)))+(SIN(RADIANS(J1097))*SIN(RADIANS(J1098)))*COS(RADIANS(K1098-K1097)))*180/PI()*($X$4/(I1098-I1097))))*$X$5,""),"")</f>
        <v/>
      </c>
      <c r="O1098" s="4"/>
    </row>
    <row r="1099" spans="1:15" x14ac:dyDescent="0.25">
      <c r="A1099" s="14"/>
      <c r="B1099" s="14"/>
      <c r="C1099" s="14"/>
      <c r="D1099" s="5" t="str">
        <f t="shared" si="105"/>
        <v/>
      </c>
      <c r="E1099" s="5" t="str">
        <f t="shared" si="106"/>
        <v/>
      </c>
      <c r="F1099" s="5" t="str">
        <f t="shared" si="107"/>
        <v/>
      </c>
      <c r="G1099" s="23"/>
      <c r="H1099" s="66"/>
      <c r="I1099" s="14"/>
      <c r="J1099" s="14"/>
      <c r="K1099" s="14"/>
      <c r="L1099" s="5" t="str">
        <f t="shared" si="108"/>
        <v/>
      </c>
      <c r="M1099" s="5" t="str">
        <f t="shared" si="109"/>
        <v/>
      </c>
      <c r="N1099" s="5" t="str">
        <f t="shared" si="110"/>
        <v/>
      </c>
      <c r="O1099" s="4"/>
    </row>
    <row r="1100" spans="1:15" x14ac:dyDescent="0.25">
      <c r="A1100" s="14"/>
      <c r="B1100" s="14"/>
      <c r="C1100" s="14"/>
      <c r="D1100" s="5" t="str">
        <f t="shared" si="105"/>
        <v/>
      </c>
      <c r="E1100" s="5" t="str">
        <f t="shared" si="106"/>
        <v/>
      </c>
      <c r="F1100" s="5" t="str">
        <f t="shared" si="107"/>
        <v/>
      </c>
      <c r="G1100" s="23"/>
      <c r="H1100" s="66"/>
      <c r="I1100" s="14"/>
      <c r="J1100" s="14"/>
      <c r="K1100" s="14"/>
      <c r="L1100" s="5" t="str">
        <f t="shared" si="108"/>
        <v/>
      </c>
      <c r="M1100" s="5" t="str">
        <f t="shared" si="109"/>
        <v/>
      </c>
      <c r="N1100" s="5" t="str">
        <f t="shared" si="110"/>
        <v/>
      </c>
      <c r="O1100" s="4"/>
    </row>
    <row r="1101" spans="1:15" x14ac:dyDescent="0.25">
      <c r="A1101" s="14"/>
      <c r="B1101" s="14"/>
      <c r="C1101" s="14"/>
      <c r="D1101" s="5" t="str">
        <f t="shared" si="105"/>
        <v/>
      </c>
      <c r="E1101" s="5" t="str">
        <f t="shared" si="106"/>
        <v/>
      </c>
      <c r="F1101" s="5" t="str">
        <f t="shared" si="107"/>
        <v/>
      </c>
      <c r="G1101" s="23"/>
      <c r="H1101" s="66"/>
      <c r="I1101" s="14"/>
      <c r="J1101" s="14"/>
      <c r="K1101" s="14"/>
      <c r="L1101" s="5" t="str">
        <f t="shared" si="108"/>
        <v/>
      </c>
      <c r="M1101" s="5" t="str">
        <f t="shared" si="109"/>
        <v/>
      </c>
      <c r="N1101" s="5" t="str">
        <f t="shared" si="110"/>
        <v/>
      </c>
      <c r="O1101" s="4"/>
    </row>
    <row r="1102" spans="1:15" x14ac:dyDescent="0.25">
      <c r="A1102" s="14"/>
      <c r="B1102" s="14"/>
      <c r="C1102" s="14"/>
      <c r="D1102" s="5" t="str">
        <f t="shared" si="105"/>
        <v/>
      </c>
      <c r="E1102" s="5" t="str">
        <f t="shared" si="106"/>
        <v/>
      </c>
      <c r="F1102" s="5" t="str">
        <f t="shared" si="107"/>
        <v/>
      </c>
      <c r="G1102" s="23"/>
      <c r="H1102" s="66"/>
      <c r="I1102" s="14"/>
      <c r="J1102" s="14"/>
      <c r="K1102" s="14"/>
      <c r="L1102" s="5" t="str">
        <f t="shared" si="108"/>
        <v/>
      </c>
      <c r="M1102" s="5" t="str">
        <f t="shared" si="109"/>
        <v/>
      </c>
      <c r="N1102" s="5" t="str">
        <f t="shared" si="110"/>
        <v/>
      </c>
      <c r="O1102" s="4"/>
    </row>
    <row r="1103" spans="1:15" x14ac:dyDescent="0.25">
      <c r="A1103" s="14"/>
      <c r="B1103" s="14"/>
      <c r="C1103" s="14"/>
      <c r="D1103" s="5" t="str">
        <f t="shared" si="105"/>
        <v/>
      </c>
      <c r="E1103" s="5" t="str">
        <f t="shared" si="106"/>
        <v/>
      </c>
      <c r="F1103" s="5" t="str">
        <f t="shared" si="107"/>
        <v/>
      </c>
      <c r="G1103" s="23"/>
      <c r="H1103" s="66"/>
      <c r="I1103" s="14"/>
      <c r="J1103" s="14"/>
      <c r="K1103" s="14"/>
      <c r="L1103" s="5" t="str">
        <f t="shared" si="108"/>
        <v/>
      </c>
      <c r="M1103" s="5" t="str">
        <f t="shared" si="109"/>
        <v/>
      </c>
      <c r="N1103" s="5" t="str">
        <f t="shared" si="110"/>
        <v/>
      </c>
      <c r="O1103" s="4"/>
    </row>
    <row r="1104" spans="1:15" x14ac:dyDescent="0.25">
      <c r="A1104" s="14"/>
      <c r="B1104" s="14"/>
      <c r="C1104" s="14"/>
      <c r="D1104" s="5" t="str">
        <f t="shared" si="105"/>
        <v/>
      </c>
      <c r="E1104" s="5" t="str">
        <f t="shared" si="106"/>
        <v/>
      </c>
      <c r="F1104" s="5" t="str">
        <f t="shared" si="107"/>
        <v/>
      </c>
      <c r="G1104" s="23"/>
      <c r="H1104" s="66"/>
      <c r="I1104" s="14"/>
      <c r="J1104" s="14"/>
      <c r="K1104" s="14"/>
      <c r="L1104" s="5" t="str">
        <f t="shared" si="108"/>
        <v/>
      </c>
      <c r="M1104" s="5" t="str">
        <f t="shared" si="109"/>
        <v/>
      </c>
      <c r="N1104" s="5" t="str">
        <f t="shared" si="110"/>
        <v/>
      </c>
      <c r="O1104" s="4"/>
    </row>
    <row r="1105" spans="1:15" x14ac:dyDescent="0.25">
      <c r="A1105" s="14"/>
      <c r="B1105" s="14"/>
      <c r="C1105" s="14"/>
      <c r="D1105" s="5" t="str">
        <f t="shared" si="105"/>
        <v/>
      </c>
      <c r="E1105" s="5" t="str">
        <f t="shared" si="106"/>
        <v/>
      </c>
      <c r="F1105" s="5" t="str">
        <f t="shared" si="107"/>
        <v/>
      </c>
      <c r="G1105" s="23"/>
      <c r="H1105" s="66"/>
      <c r="I1105" s="14"/>
      <c r="J1105" s="14"/>
      <c r="K1105" s="14"/>
      <c r="L1105" s="5" t="str">
        <f t="shared" si="108"/>
        <v/>
      </c>
      <c r="M1105" s="5" t="str">
        <f t="shared" si="109"/>
        <v/>
      </c>
      <c r="N1105" s="5" t="str">
        <f t="shared" si="110"/>
        <v/>
      </c>
      <c r="O1105" s="4"/>
    </row>
    <row r="1106" spans="1:15" x14ac:dyDescent="0.25">
      <c r="A1106" s="14"/>
      <c r="B1106" s="14"/>
      <c r="C1106" s="14"/>
      <c r="D1106" s="5" t="str">
        <f t="shared" si="105"/>
        <v/>
      </c>
      <c r="E1106" s="5" t="str">
        <f t="shared" si="106"/>
        <v/>
      </c>
      <c r="F1106" s="5" t="str">
        <f t="shared" si="107"/>
        <v/>
      </c>
      <c r="G1106" s="23"/>
      <c r="H1106" s="66"/>
      <c r="I1106" s="14"/>
      <c r="J1106" s="14"/>
      <c r="K1106" s="14"/>
      <c r="L1106" s="5" t="str">
        <f t="shared" si="108"/>
        <v/>
      </c>
      <c r="M1106" s="5" t="str">
        <f t="shared" si="109"/>
        <v/>
      </c>
      <c r="N1106" s="5" t="str">
        <f t="shared" si="110"/>
        <v/>
      </c>
      <c r="O1106" s="4"/>
    </row>
    <row r="1107" spans="1:15" x14ac:dyDescent="0.25">
      <c r="A1107" s="14"/>
      <c r="B1107" s="14"/>
      <c r="C1107" s="14"/>
      <c r="D1107" s="5" t="str">
        <f t="shared" si="105"/>
        <v/>
      </c>
      <c r="E1107" s="5" t="str">
        <f t="shared" si="106"/>
        <v/>
      </c>
      <c r="F1107" s="5" t="str">
        <f t="shared" si="107"/>
        <v/>
      </c>
      <c r="G1107" s="23"/>
      <c r="H1107" s="66"/>
      <c r="I1107" s="14"/>
      <c r="J1107" s="14"/>
      <c r="K1107" s="14"/>
      <c r="L1107" s="5" t="str">
        <f t="shared" si="108"/>
        <v/>
      </c>
      <c r="M1107" s="5" t="str">
        <f t="shared" si="109"/>
        <v/>
      </c>
      <c r="N1107" s="5" t="str">
        <f t="shared" si="110"/>
        <v/>
      </c>
      <c r="O1107" s="4"/>
    </row>
    <row r="1108" spans="1:15" x14ac:dyDescent="0.25">
      <c r="A1108" s="14"/>
      <c r="B1108" s="14"/>
      <c r="C1108" s="14"/>
      <c r="D1108" s="5" t="str">
        <f t="shared" si="105"/>
        <v/>
      </c>
      <c r="E1108" s="5" t="str">
        <f t="shared" si="106"/>
        <v/>
      </c>
      <c r="F1108" s="5" t="str">
        <f t="shared" si="107"/>
        <v/>
      </c>
      <c r="G1108" s="23"/>
      <c r="H1108" s="66"/>
      <c r="I1108" s="14"/>
      <c r="J1108" s="14"/>
      <c r="K1108" s="14"/>
      <c r="L1108" s="5" t="str">
        <f t="shared" si="108"/>
        <v/>
      </c>
      <c r="M1108" s="5" t="str">
        <f t="shared" si="109"/>
        <v/>
      </c>
      <c r="N1108" s="5" t="str">
        <f t="shared" si="110"/>
        <v/>
      </c>
      <c r="O1108" s="4"/>
    </row>
    <row r="1109" spans="1:15" x14ac:dyDescent="0.25">
      <c r="A1109" s="14"/>
      <c r="B1109" s="14"/>
      <c r="C1109" s="14"/>
      <c r="D1109" s="5" t="str">
        <f t="shared" si="105"/>
        <v/>
      </c>
      <c r="E1109" s="5" t="str">
        <f t="shared" si="106"/>
        <v/>
      </c>
      <c r="F1109" s="5" t="str">
        <f t="shared" si="107"/>
        <v/>
      </c>
      <c r="G1109" s="23"/>
      <c r="H1109" s="66"/>
      <c r="I1109" s="14"/>
      <c r="J1109" s="14"/>
      <c r="K1109" s="14"/>
      <c r="L1109" s="5" t="str">
        <f t="shared" si="108"/>
        <v/>
      </c>
      <c r="M1109" s="5" t="str">
        <f t="shared" si="109"/>
        <v/>
      </c>
      <c r="N1109" s="5" t="str">
        <f t="shared" si="110"/>
        <v/>
      </c>
      <c r="O1109" s="4"/>
    </row>
    <row r="1110" spans="1:15" x14ac:dyDescent="0.25">
      <c r="A1110" s="14"/>
      <c r="B1110" s="14"/>
      <c r="C1110" s="14"/>
      <c r="D1110" s="5" t="str">
        <f t="shared" si="105"/>
        <v/>
      </c>
      <c r="E1110" s="5" t="str">
        <f t="shared" si="106"/>
        <v/>
      </c>
      <c r="F1110" s="5" t="str">
        <f t="shared" si="107"/>
        <v/>
      </c>
      <c r="G1110" s="23"/>
      <c r="H1110" s="66"/>
      <c r="I1110" s="14"/>
      <c r="J1110" s="14"/>
      <c r="K1110" s="14"/>
      <c r="L1110" s="5" t="str">
        <f t="shared" si="108"/>
        <v/>
      </c>
      <c r="M1110" s="5" t="str">
        <f t="shared" si="109"/>
        <v/>
      </c>
      <c r="N1110" s="5" t="str">
        <f t="shared" si="110"/>
        <v/>
      </c>
      <c r="O1110" s="4"/>
    </row>
    <row r="1111" spans="1:15" x14ac:dyDescent="0.25">
      <c r="A1111" s="14"/>
      <c r="B1111" s="14"/>
      <c r="C1111" s="14"/>
      <c r="D1111" s="5" t="str">
        <f t="shared" si="105"/>
        <v/>
      </c>
      <c r="E1111" s="5" t="str">
        <f t="shared" si="106"/>
        <v/>
      </c>
      <c r="F1111" s="5" t="str">
        <f t="shared" si="107"/>
        <v/>
      </c>
      <c r="G1111" s="23"/>
      <c r="H1111" s="66"/>
      <c r="I1111" s="14"/>
      <c r="J1111" s="14"/>
      <c r="K1111" s="14"/>
      <c r="L1111" s="5" t="str">
        <f t="shared" si="108"/>
        <v/>
      </c>
      <c r="M1111" s="5" t="str">
        <f t="shared" si="109"/>
        <v/>
      </c>
      <c r="N1111" s="5" t="str">
        <f t="shared" si="110"/>
        <v/>
      </c>
      <c r="O1111" s="4"/>
    </row>
    <row r="1112" spans="1:15" x14ac:dyDescent="0.25">
      <c r="A1112" s="14"/>
      <c r="B1112" s="14"/>
      <c r="C1112" s="14"/>
      <c r="D1112" s="5" t="str">
        <f t="shared" si="105"/>
        <v/>
      </c>
      <c r="E1112" s="5" t="str">
        <f t="shared" si="106"/>
        <v/>
      </c>
      <c r="F1112" s="5" t="str">
        <f t="shared" si="107"/>
        <v/>
      </c>
      <c r="G1112" s="23"/>
      <c r="H1112" s="66"/>
      <c r="I1112" s="14"/>
      <c r="J1112" s="14"/>
      <c r="K1112" s="14"/>
      <c r="L1112" s="5" t="str">
        <f t="shared" si="108"/>
        <v/>
      </c>
      <c r="M1112" s="5" t="str">
        <f t="shared" si="109"/>
        <v/>
      </c>
      <c r="N1112" s="5" t="str">
        <f t="shared" si="110"/>
        <v/>
      </c>
      <c r="O1112" s="4"/>
    </row>
    <row r="1113" spans="1:15" x14ac:dyDescent="0.25">
      <c r="A1113" s="14"/>
      <c r="B1113" s="14"/>
      <c r="C1113" s="14"/>
      <c r="D1113" s="5" t="str">
        <f t="shared" ref="D1113:D1176" si="111">IFERROR( IF(A1113&lt;&gt;"",((B1113-B1112)*$X$4/(A1113-A1112))*$X$5,""),"")</f>
        <v/>
      </c>
      <c r="E1113" s="5" t="str">
        <f t="shared" ref="E1113:E1176" si="112">IFERROR(IF(A1113&lt;&gt;"",((C1113-C1112)*$X$4/(A1113-A1112))*$X$5,""),"")</f>
        <v/>
      </c>
      <c r="F1113" s="5" t="str">
        <f t="shared" ref="F1113:F1176" si="113">IFERROR(IF(A1113&lt;&gt;"",((ACOS((COS(RADIANS(B1112))*COS(RADIANS(B1113)))+(SIN(RADIANS(B1112))*SIN(RADIANS(B1113)))*COS(RADIANS(C1113-C1112)))*180/PI()*($X$4/(A1113-A1112))))*$X$5,""),"")</f>
        <v/>
      </c>
      <c r="G1113" s="23"/>
      <c r="H1113" s="66"/>
      <c r="I1113" s="14"/>
      <c r="J1113" s="14"/>
      <c r="K1113" s="14"/>
      <c r="L1113" s="5" t="str">
        <f t="shared" si="108"/>
        <v/>
      </c>
      <c r="M1113" s="5" t="str">
        <f t="shared" si="109"/>
        <v/>
      </c>
      <c r="N1113" s="5" t="str">
        <f t="shared" si="110"/>
        <v/>
      </c>
      <c r="O1113" s="4"/>
    </row>
    <row r="1114" spans="1:15" x14ac:dyDescent="0.25">
      <c r="A1114" s="14"/>
      <c r="B1114" s="14"/>
      <c r="C1114" s="14"/>
      <c r="D1114" s="5" t="str">
        <f t="shared" si="111"/>
        <v/>
      </c>
      <c r="E1114" s="5" t="str">
        <f t="shared" si="112"/>
        <v/>
      </c>
      <c r="F1114" s="5" t="str">
        <f t="shared" si="113"/>
        <v/>
      </c>
      <c r="G1114" s="23"/>
      <c r="H1114" s="66"/>
      <c r="I1114" s="14"/>
      <c r="J1114" s="14"/>
      <c r="K1114" s="14"/>
      <c r="L1114" s="5" t="str">
        <f t="shared" si="108"/>
        <v/>
      </c>
      <c r="M1114" s="5" t="str">
        <f t="shared" si="109"/>
        <v/>
      </c>
      <c r="N1114" s="5" t="str">
        <f t="shared" si="110"/>
        <v/>
      </c>
      <c r="O1114" s="4"/>
    </row>
    <row r="1115" spans="1:15" x14ac:dyDescent="0.25">
      <c r="A1115" s="14"/>
      <c r="B1115" s="14"/>
      <c r="C1115" s="14"/>
      <c r="D1115" s="5" t="str">
        <f t="shared" si="111"/>
        <v/>
      </c>
      <c r="E1115" s="5" t="str">
        <f t="shared" si="112"/>
        <v/>
      </c>
      <c r="F1115" s="5" t="str">
        <f t="shared" si="113"/>
        <v/>
      </c>
      <c r="G1115" s="23"/>
      <c r="H1115" s="66"/>
      <c r="I1115" s="14"/>
      <c r="J1115" s="14"/>
      <c r="K1115" s="14"/>
      <c r="L1115" s="5" t="str">
        <f t="shared" si="108"/>
        <v/>
      </c>
      <c r="M1115" s="5" t="str">
        <f t="shared" si="109"/>
        <v/>
      </c>
      <c r="N1115" s="5" t="str">
        <f t="shared" si="110"/>
        <v/>
      </c>
      <c r="O1115" s="4"/>
    </row>
    <row r="1116" spans="1:15" x14ac:dyDescent="0.25">
      <c r="A1116" s="14"/>
      <c r="B1116" s="14"/>
      <c r="C1116" s="14"/>
      <c r="D1116" s="5" t="str">
        <f t="shared" si="111"/>
        <v/>
      </c>
      <c r="E1116" s="5" t="str">
        <f t="shared" si="112"/>
        <v/>
      </c>
      <c r="F1116" s="5" t="str">
        <f t="shared" si="113"/>
        <v/>
      </c>
      <c r="G1116" s="23"/>
      <c r="H1116" s="66"/>
      <c r="I1116" s="14"/>
      <c r="J1116" s="14"/>
      <c r="K1116" s="14"/>
      <c r="L1116" s="5" t="str">
        <f t="shared" si="108"/>
        <v/>
      </c>
      <c r="M1116" s="5" t="str">
        <f t="shared" si="109"/>
        <v/>
      </c>
      <c r="N1116" s="5" t="str">
        <f t="shared" si="110"/>
        <v/>
      </c>
      <c r="O1116" s="4"/>
    </row>
    <row r="1117" spans="1:15" x14ac:dyDescent="0.25">
      <c r="A1117" s="14"/>
      <c r="B1117" s="14"/>
      <c r="C1117" s="14"/>
      <c r="D1117" s="5" t="str">
        <f t="shared" si="111"/>
        <v/>
      </c>
      <c r="E1117" s="5" t="str">
        <f t="shared" si="112"/>
        <v/>
      </c>
      <c r="F1117" s="5" t="str">
        <f t="shared" si="113"/>
        <v/>
      </c>
      <c r="G1117" s="23"/>
      <c r="H1117" s="66"/>
      <c r="I1117" s="14"/>
      <c r="J1117" s="14"/>
      <c r="K1117" s="14"/>
      <c r="L1117" s="5" t="str">
        <f t="shared" si="108"/>
        <v/>
      </c>
      <c r="M1117" s="5" t="str">
        <f t="shared" si="109"/>
        <v/>
      </c>
      <c r="N1117" s="5" t="str">
        <f t="shared" si="110"/>
        <v/>
      </c>
      <c r="O1117" s="4"/>
    </row>
    <row r="1118" spans="1:15" x14ac:dyDescent="0.25">
      <c r="A1118" s="14"/>
      <c r="B1118" s="14"/>
      <c r="C1118" s="14"/>
      <c r="D1118" s="5" t="str">
        <f t="shared" si="111"/>
        <v/>
      </c>
      <c r="E1118" s="5" t="str">
        <f t="shared" si="112"/>
        <v/>
      </c>
      <c r="F1118" s="5" t="str">
        <f t="shared" si="113"/>
        <v/>
      </c>
      <c r="G1118" s="23"/>
      <c r="H1118" s="66"/>
      <c r="I1118" s="14"/>
      <c r="J1118" s="14"/>
      <c r="K1118" s="14"/>
      <c r="L1118" s="5" t="str">
        <f t="shared" si="108"/>
        <v/>
      </c>
      <c r="M1118" s="5" t="str">
        <f t="shared" si="109"/>
        <v/>
      </c>
      <c r="N1118" s="5" t="str">
        <f t="shared" si="110"/>
        <v/>
      </c>
      <c r="O1118" s="4"/>
    </row>
    <row r="1119" spans="1:15" x14ac:dyDescent="0.25">
      <c r="A1119" s="14"/>
      <c r="B1119" s="14"/>
      <c r="C1119" s="14"/>
      <c r="D1119" s="5" t="str">
        <f t="shared" si="111"/>
        <v/>
      </c>
      <c r="E1119" s="5" t="str">
        <f t="shared" si="112"/>
        <v/>
      </c>
      <c r="F1119" s="5" t="str">
        <f t="shared" si="113"/>
        <v/>
      </c>
      <c r="G1119" s="23"/>
      <c r="H1119" s="66"/>
      <c r="I1119" s="14"/>
      <c r="J1119" s="14"/>
      <c r="K1119" s="14"/>
      <c r="L1119" s="5" t="str">
        <f t="shared" si="108"/>
        <v/>
      </c>
      <c r="M1119" s="5" t="str">
        <f t="shared" si="109"/>
        <v/>
      </c>
      <c r="N1119" s="5" t="str">
        <f t="shared" si="110"/>
        <v/>
      </c>
      <c r="O1119" s="4"/>
    </row>
    <row r="1120" spans="1:15" x14ac:dyDescent="0.25">
      <c r="A1120" s="14"/>
      <c r="B1120" s="14"/>
      <c r="C1120" s="14"/>
      <c r="D1120" s="5" t="str">
        <f t="shared" si="111"/>
        <v/>
      </c>
      <c r="E1120" s="5" t="str">
        <f t="shared" si="112"/>
        <v/>
      </c>
      <c r="F1120" s="5" t="str">
        <f t="shared" si="113"/>
        <v/>
      </c>
      <c r="G1120" s="23"/>
      <c r="H1120" s="66"/>
      <c r="I1120" s="14"/>
      <c r="J1120" s="14"/>
      <c r="K1120" s="14"/>
      <c r="L1120" s="5" t="str">
        <f t="shared" si="108"/>
        <v/>
      </c>
      <c r="M1120" s="5" t="str">
        <f t="shared" si="109"/>
        <v/>
      </c>
      <c r="N1120" s="5" t="str">
        <f t="shared" si="110"/>
        <v/>
      </c>
      <c r="O1120" s="4"/>
    </row>
    <row r="1121" spans="1:15" x14ac:dyDescent="0.25">
      <c r="A1121" s="14"/>
      <c r="B1121" s="14"/>
      <c r="C1121" s="14"/>
      <c r="D1121" s="5" t="str">
        <f t="shared" si="111"/>
        <v/>
      </c>
      <c r="E1121" s="5" t="str">
        <f t="shared" si="112"/>
        <v/>
      </c>
      <c r="F1121" s="5" t="str">
        <f t="shared" si="113"/>
        <v/>
      </c>
      <c r="G1121" s="23"/>
      <c r="H1121" s="66"/>
      <c r="I1121" s="14"/>
      <c r="J1121" s="14"/>
      <c r="K1121" s="14"/>
      <c r="L1121" s="5" t="str">
        <f t="shared" si="108"/>
        <v/>
      </c>
      <c r="M1121" s="5" t="str">
        <f t="shared" si="109"/>
        <v/>
      </c>
      <c r="N1121" s="5" t="str">
        <f t="shared" si="110"/>
        <v/>
      </c>
      <c r="O1121" s="4"/>
    </row>
    <row r="1122" spans="1:15" x14ac:dyDescent="0.25">
      <c r="A1122" s="14"/>
      <c r="B1122" s="14"/>
      <c r="C1122" s="14"/>
      <c r="D1122" s="5" t="str">
        <f t="shared" si="111"/>
        <v/>
      </c>
      <c r="E1122" s="5" t="str">
        <f t="shared" si="112"/>
        <v/>
      </c>
      <c r="F1122" s="5" t="str">
        <f t="shared" si="113"/>
        <v/>
      </c>
      <c r="G1122" s="23"/>
      <c r="H1122" s="66"/>
      <c r="I1122" s="14"/>
      <c r="J1122" s="14"/>
      <c r="K1122" s="14"/>
      <c r="L1122" s="5" t="str">
        <f t="shared" si="108"/>
        <v/>
      </c>
      <c r="M1122" s="5" t="str">
        <f t="shared" si="109"/>
        <v/>
      </c>
      <c r="N1122" s="5" t="str">
        <f t="shared" si="110"/>
        <v/>
      </c>
      <c r="O1122" s="4"/>
    </row>
    <row r="1123" spans="1:15" x14ac:dyDescent="0.25">
      <c r="A1123" s="14"/>
      <c r="B1123" s="14"/>
      <c r="C1123" s="14"/>
      <c r="D1123" s="5" t="str">
        <f t="shared" si="111"/>
        <v/>
      </c>
      <c r="E1123" s="5" t="str">
        <f t="shared" si="112"/>
        <v/>
      </c>
      <c r="F1123" s="5" t="str">
        <f t="shared" si="113"/>
        <v/>
      </c>
      <c r="G1123" s="23"/>
      <c r="H1123" s="66"/>
      <c r="I1123" s="14"/>
      <c r="J1123" s="14"/>
      <c r="K1123" s="14"/>
      <c r="L1123" s="5" t="str">
        <f t="shared" si="108"/>
        <v/>
      </c>
      <c r="M1123" s="5" t="str">
        <f t="shared" si="109"/>
        <v/>
      </c>
      <c r="N1123" s="5" t="str">
        <f t="shared" si="110"/>
        <v/>
      </c>
      <c r="O1123" s="4"/>
    </row>
    <row r="1124" spans="1:15" x14ac:dyDescent="0.25">
      <c r="A1124" s="14"/>
      <c r="B1124" s="14"/>
      <c r="C1124" s="14"/>
      <c r="D1124" s="5" t="str">
        <f t="shared" si="111"/>
        <v/>
      </c>
      <c r="E1124" s="5" t="str">
        <f t="shared" si="112"/>
        <v/>
      </c>
      <c r="F1124" s="5" t="str">
        <f t="shared" si="113"/>
        <v/>
      </c>
      <c r="G1124" s="23"/>
      <c r="H1124" s="66"/>
      <c r="I1124" s="14"/>
      <c r="J1124" s="14"/>
      <c r="K1124" s="14"/>
      <c r="L1124" s="5" t="str">
        <f t="shared" si="108"/>
        <v/>
      </c>
      <c r="M1124" s="5" t="str">
        <f t="shared" si="109"/>
        <v/>
      </c>
      <c r="N1124" s="5" t="str">
        <f t="shared" si="110"/>
        <v/>
      </c>
      <c r="O1124" s="4"/>
    </row>
    <row r="1125" spans="1:15" x14ac:dyDescent="0.25">
      <c r="A1125" s="14"/>
      <c r="B1125" s="14"/>
      <c r="C1125" s="14"/>
      <c r="D1125" s="5" t="str">
        <f t="shared" si="111"/>
        <v/>
      </c>
      <c r="E1125" s="5" t="str">
        <f t="shared" si="112"/>
        <v/>
      </c>
      <c r="F1125" s="5" t="str">
        <f t="shared" si="113"/>
        <v/>
      </c>
      <c r="G1125" s="23"/>
      <c r="H1125" s="66"/>
      <c r="I1125" s="14"/>
      <c r="J1125" s="14"/>
      <c r="K1125" s="14"/>
      <c r="L1125" s="5" t="str">
        <f t="shared" si="108"/>
        <v/>
      </c>
      <c r="M1125" s="5" t="str">
        <f t="shared" si="109"/>
        <v/>
      </c>
      <c r="N1125" s="5" t="str">
        <f t="shared" si="110"/>
        <v/>
      </c>
      <c r="O1125" s="4"/>
    </row>
    <row r="1126" spans="1:15" x14ac:dyDescent="0.25">
      <c r="A1126" s="14"/>
      <c r="B1126" s="14"/>
      <c r="C1126" s="14"/>
      <c r="D1126" s="5" t="str">
        <f t="shared" si="111"/>
        <v/>
      </c>
      <c r="E1126" s="5" t="str">
        <f t="shared" si="112"/>
        <v/>
      </c>
      <c r="F1126" s="5" t="str">
        <f t="shared" si="113"/>
        <v/>
      </c>
      <c r="G1126" s="23"/>
      <c r="H1126" s="66"/>
      <c r="I1126" s="14"/>
      <c r="J1126" s="14"/>
      <c r="K1126" s="14"/>
      <c r="L1126" s="5" t="str">
        <f t="shared" si="108"/>
        <v/>
      </c>
      <c r="M1126" s="5" t="str">
        <f t="shared" si="109"/>
        <v/>
      </c>
      <c r="N1126" s="5" t="str">
        <f t="shared" si="110"/>
        <v/>
      </c>
      <c r="O1126" s="4"/>
    </row>
    <row r="1127" spans="1:15" x14ac:dyDescent="0.25">
      <c r="A1127" s="14"/>
      <c r="B1127" s="14"/>
      <c r="C1127" s="14"/>
      <c r="D1127" s="5" t="str">
        <f t="shared" si="111"/>
        <v/>
      </c>
      <c r="E1127" s="5" t="str">
        <f t="shared" si="112"/>
        <v/>
      </c>
      <c r="F1127" s="5" t="str">
        <f t="shared" si="113"/>
        <v/>
      </c>
      <c r="G1127" s="23"/>
      <c r="H1127" s="66"/>
      <c r="I1127" s="14"/>
      <c r="J1127" s="14"/>
      <c r="K1127" s="14"/>
      <c r="L1127" s="5" t="str">
        <f t="shared" si="108"/>
        <v/>
      </c>
      <c r="M1127" s="5" t="str">
        <f t="shared" si="109"/>
        <v/>
      </c>
      <c r="N1127" s="5" t="str">
        <f t="shared" si="110"/>
        <v/>
      </c>
      <c r="O1127" s="4"/>
    </row>
    <row r="1128" spans="1:15" x14ac:dyDescent="0.25">
      <c r="A1128" s="14"/>
      <c r="B1128" s="14"/>
      <c r="C1128" s="14"/>
      <c r="D1128" s="5" t="str">
        <f t="shared" si="111"/>
        <v/>
      </c>
      <c r="E1128" s="5" t="str">
        <f t="shared" si="112"/>
        <v/>
      </c>
      <c r="F1128" s="5" t="str">
        <f t="shared" si="113"/>
        <v/>
      </c>
      <c r="G1128" s="23"/>
      <c r="H1128" s="66"/>
      <c r="I1128" s="14"/>
      <c r="J1128" s="14"/>
      <c r="K1128" s="14"/>
      <c r="L1128" s="5" t="str">
        <f t="shared" si="108"/>
        <v/>
      </c>
      <c r="M1128" s="5" t="str">
        <f t="shared" si="109"/>
        <v/>
      </c>
      <c r="N1128" s="5" t="str">
        <f t="shared" si="110"/>
        <v/>
      </c>
      <c r="O1128" s="4"/>
    </row>
    <row r="1129" spans="1:15" x14ac:dyDescent="0.25">
      <c r="A1129" s="14"/>
      <c r="B1129" s="14"/>
      <c r="C1129" s="14"/>
      <c r="D1129" s="5" t="str">
        <f t="shared" si="111"/>
        <v/>
      </c>
      <c r="E1129" s="5" t="str">
        <f t="shared" si="112"/>
        <v/>
      </c>
      <c r="F1129" s="5" t="str">
        <f t="shared" si="113"/>
        <v/>
      </c>
      <c r="G1129" s="23"/>
      <c r="H1129" s="66"/>
      <c r="I1129" s="14"/>
      <c r="J1129" s="14"/>
      <c r="K1129" s="14"/>
      <c r="L1129" s="5" t="str">
        <f t="shared" si="108"/>
        <v/>
      </c>
      <c r="M1129" s="5" t="str">
        <f t="shared" si="109"/>
        <v/>
      </c>
      <c r="N1129" s="5" t="str">
        <f t="shared" si="110"/>
        <v/>
      </c>
      <c r="O1129" s="4"/>
    </row>
    <row r="1130" spans="1:15" x14ac:dyDescent="0.25">
      <c r="A1130" s="14"/>
      <c r="B1130" s="14"/>
      <c r="C1130" s="14"/>
      <c r="D1130" s="5" t="str">
        <f t="shared" si="111"/>
        <v/>
      </c>
      <c r="E1130" s="5" t="str">
        <f t="shared" si="112"/>
        <v/>
      </c>
      <c r="F1130" s="5" t="str">
        <f t="shared" si="113"/>
        <v/>
      </c>
      <c r="G1130" s="23"/>
      <c r="H1130" s="66"/>
      <c r="I1130" s="14"/>
      <c r="J1130" s="14"/>
      <c r="K1130" s="14"/>
      <c r="L1130" s="5" t="str">
        <f t="shared" si="108"/>
        <v/>
      </c>
      <c r="M1130" s="5" t="str">
        <f t="shared" si="109"/>
        <v/>
      </c>
      <c r="N1130" s="5" t="str">
        <f t="shared" si="110"/>
        <v/>
      </c>
      <c r="O1130" s="4"/>
    </row>
    <row r="1131" spans="1:15" x14ac:dyDescent="0.25">
      <c r="A1131" s="14"/>
      <c r="B1131" s="14"/>
      <c r="C1131" s="14"/>
      <c r="D1131" s="5" t="str">
        <f t="shared" si="111"/>
        <v/>
      </c>
      <c r="E1131" s="5" t="str">
        <f t="shared" si="112"/>
        <v/>
      </c>
      <c r="F1131" s="5" t="str">
        <f t="shared" si="113"/>
        <v/>
      </c>
      <c r="G1131" s="23"/>
      <c r="H1131" s="66"/>
      <c r="I1131" s="14"/>
      <c r="J1131" s="14"/>
      <c r="K1131" s="14"/>
      <c r="L1131" s="5" t="str">
        <f t="shared" si="108"/>
        <v/>
      </c>
      <c r="M1131" s="5" t="str">
        <f t="shared" si="109"/>
        <v/>
      </c>
      <c r="N1131" s="5" t="str">
        <f t="shared" si="110"/>
        <v/>
      </c>
      <c r="O1131" s="4"/>
    </row>
    <row r="1132" spans="1:15" x14ac:dyDescent="0.25">
      <c r="A1132" s="14"/>
      <c r="B1132" s="14"/>
      <c r="C1132" s="14"/>
      <c r="D1132" s="5" t="str">
        <f t="shared" si="111"/>
        <v/>
      </c>
      <c r="E1132" s="5" t="str">
        <f t="shared" si="112"/>
        <v/>
      </c>
      <c r="F1132" s="5" t="str">
        <f t="shared" si="113"/>
        <v/>
      </c>
      <c r="G1132" s="23"/>
      <c r="H1132" s="66"/>
      <c r="I1132" s="14"/>
      <c r="J1132" s="14"/>
      <c r="K1132" s="14"/>
      <c r="L1132" s="5" t="str">
        <f t="shared" si="108"/>
        <v/>
      </c>
      <c r="M1132" s="5" t="str">
        <f t="shared" si="109"/>
        <v/>
      </c>
      <c r="N1132" s="5" t="str">
        <f t="shared" si="110"/>
        <v/>
      </c>
      <c r="O1132" s="4"/>
    </row>
    <row r="1133" spans="1:15" x14ac:dyDescent="0.25">
      <c r="A1133" s="14"/>
      <c r="B1133" s="14"/>
      <c r="C1133" s="14"/>
      <c r="D1133" s="5" t="str">
        <f t="shared" si="111"/>
        <v/>
      </c>
      <c r="E1133" s="5" t="str">
        <f t="shared" si="112"/>
        <v/>
      </c>
      <c r="F1133" s="5" t="str">
        <f t="shared" si="113"/>
        <v/>
      </c>
      <c r="G1133" s="23"/>
      <c r="H1133" s="66"/>
      <c r="I1133" s="14"/>
      <c r="J1133" s="14"/>
      <c r="K1133" s="14"/>
      <c r="L1133" s="5" t="str">
        <f t="shared" si="108"/>
        <v/>
      </c>
      <c r="M1133" s="5" t="str">
        <f t="shared" si="109"/>
        <v/>
      </c>
      <c r="N1133" s="5" t="str">
        <f t="shared" si="110"/>
        <v/>
      </c>
      <c r="O1133" s="4"/>
    </row>
    <row r="1134" spans="1:15" x14ac:dyDescent="0.25">
      <c r="A1134" s="14"/>
      <c r="B1134" s="14"/>
      <c r="C1134" s="14"/>
      <c r="D1134" s="5" t="str">
        <f t="shared" si="111"/>
        <v/>
      </c>
      <c r="E1134" s="5" t="str">
        <f t="shared" si="112"/>
        <v/>
      </c>
      <c r="F1134" s="5" t="str">
        <f t="shared" si="113"/>
        <v/>
      </c>
      <c r="G1134" s="23"/>
      <c r="H1134" s="66"/>
      <c r="I1134" s="14"/>
      <c r="J1134" s="14"/>
      <c r="K1134" s="14"/>
      <c r="L1134" s="5" t="str">
        <f t="shared" si="108"/>
        <v/>
      </c>
      <c r="M1134" s="5" t="str">
        <f t="shared" si="109"/>
        <v/>
      </c>
      <c r="N1134" s="5" t="str">
        <f t="shared" si="110"/>
        <v/>
      </c>
      <c r="O1134" s="4"/>
    </row>
    <row r="1135" spans="1:15" x14ac:dyDescent="0.25">
      <c r="A1135" s="14"/>
      <c r="B1135" s="14"/>
      <c r="C1135" s="14"/>
      <c r="D1135" s="5" t="str">
        <f t="shared" si="111"/>
        <v/>
      </c>
      <c r="E1135" s="5" t="str">
        <f t="shared" si="112"/>
        <v/>
      </c>
      <c r="F1135" s="5" t="str">
        <f t="shared" si="113"/>
        <v/>
      </c>
      <c r="G1135" s="23"/>
      <c r="H1135" s="66"/>
      <c r="I1135" s="14"/>
      <c r="J1135" s="14"/>
      <c r="K1135" s="14"/>
      <c r="L1135" s="5" t="str">
        <f t="shared" si="108"/>
        <v/>
      </c>
      <c r="M1135" s="5" t="str">
        <f t="shared" si="109"/>
        <v/>
      </c>
      <c r="N1135" s="5" t="str">
        <f t="shared" si="110"/>
        <v/>
      </c>
      <c r="O1135" s="4"/>
    </row>
    <row r="1136" spans="1:15" x14ac:dyDescent="0.25">
      <c r="A1136" s="14"/>
      <c r="B1136" s="14"/>
      <c r="C1136" s="14"/>
      <c r="D1136" s="5" t="str">
        <f t="shared" si="111"/>
        <v/>
      </c>
      <c r="E1136" s="5" t="str">
        <f t="shared" si="112"/>
        <v/>
      </c>
      <c r="F1136" s="5" t="str">
        <f t="shared" si="113"/>
        <v/>
      </c>
      <c r="G1136" s="23"/>
      <c r="H1136" s="66"/>
      <c r="I1136" s="14"/>
      <c r="J1136" s="14"/>
      <c r="K1136" s="14"/>
      <c r="L1136" s="5" t="str">
        <f t="shared" si="108"/>
        <v/>
      </c>
      <c r="M1136" s="5" t="str">
        <f t="shared" si="109"/>
        <v/>
      </c>
      <c r="N1136" s="5" t="str">
        <f t="shared" si="110"/>
        <v/>
      </c>
      <c r="O1136" s="4"/>
    </row>
    <row r="1137" spans="1:15" x14ac:dyDescent="0.25">
      <c r="A1137" s="14"/>
      <c r="B1137" s="14"/>
      <c r="C1137" s="14"/>
      <c r="D1137" s="5" t="str">
        <f t="shared" si="111"/>
        <v/>
      </c>
      <c r="E1137" s="5" t="str">
        <f t="shared" si="112"/>
        <v/>
      </c>
      <c r="F1137" s="5" t="str">
        <f t="shared" si="113"/>
        <v/>
      </c>
      <c r="G1137" s="23"/>
      <c r="H1137" s="66"/>
      <c r="I1137" s="14"/>
      <c r="J1137" s="14"/>
      <c r="K1137" s="14"/>
      <c r="L1137" s="5" t="str">
        <f t="shared" si="108"/>
        <v/>
      </c>
      <c r="M1137" s="5" t="str">
        <f t="shared" si="109"/>
        <v/>
      </c>
      <c r="N1137" s="5" t="str">
        <f t="shared" si="110"/>
        <v/>
      </c>
      <c r="O1137" s="4"/>
    </row>
    <row r="1138" spans="1:15" x14ac:dyDescent="0.25">
      <c r="A1138" s="14"/>
      <c r="B1138" s="14"/>
      <c r="C1138" s="14"/>
      <c r="D1138" s="5" t="str">
        <f t="shared" si="111"/>
        <v/>
      </c>
      <c r="E1138" s="5" t="str">
        <f t="shared" si="112"/>
        <v/>
      </c>
      <c r="F1138" s="5" t="str">
        <f t="shared" si="113"/>
        <v/>
      </c>
      <c r="G1138" s="23"/>
      <c r="H1138" s="66"/>
      <c r="I1138" s="14"/>
      <c r="J1138" s="14"/>
      <c r="K1138" s="14"/>
      <c r="L1138" s="5" t="str">
        <f t="shared" si="108"/>
        <v/>
      </c>
      <c r="M1138" s="5" t="str">
        <f t="shared" si="109"/>
        <v/>
      </c>
      <c r="N1138" s="5" t="str">
        <f t="shared" si="110"/>
        <v/>
      </c>
      <c r="O1138" s="4"/>
    </row>
    <row r="1139" spans="1:15" x14ac:dyDescent="0.25">
      <c r="A1139" s="14"/>
      <c r="B1139" s="14"/>
      <c r="C1139" s="14"/>
      <c r="D1139" s="5" t="str">
        <f t="shared" si="111"/>
        <v/>
      </c>
      <c r="E1139" s="5" t="str">
        <f t="shared" si="112"/>
        <v/>
      </c>
      <c r="F1139" s="5" t="str">
        <f t="shared" si="113"/>
        <v/>
      </c>
      <c r="G1139" s="23"/>
      <c r="H1139" s="66"/>
      <c r="I1139" s="14"/>
      <c r="J1139" s="14"/>
      <c r="K1139" s="14"/>
      <c r="L1139" s="5" t="str">
        <f t="shared" si="108"/>
        <v/>
      </c>
      <c r="M1139" s="5" t="str">
        <f t="shared" si="109"/>
        <v/>
      </c>
      <c r="N1139" s="5" t="str">
        <f t="shared" si="110"/>
        <v/>
      </c>
      <c r="O1139" s="4"/>
    </row>
    <row r="1140" spans="1:15" x14ac:dyDescent="0.25">
      <c r="A1140" s="14"/>
      <c r="B1140" s="14"/>
      <c r="C1140" s="14"/>
      <c r="D1140" s="5" t="str">
        <f t="shared" si="111"/>
        <v/>
      </c>
      <c r="E1140" s="5" t="str">
        <f t="shared" si="112"/>
        <v/>
      </c>
      <c r="F1140" s="5" t="str">
        <f t="shared" si="113"/>
        <v/>
      </c>
      <c r="G1140" s="23"/>
      <c r="H1140" s="66"/>
      <c r="I1140" s="14"/>
      <c r="J1140" s="14"/>
      <c r="K1140" s="14"/>
      <c r="L1140" s="5" t="str">
        <f t="shared" si="108"/>
        <v/>
      </c>
      <c r="M1140" s="5" t="str">
        <f t="shared" si="109"/>
        <v/>
      </c>
      <c r="N1140" s="5" t="str">
        <f t="shared" si="110"/>
        <v/>
      </c>
      <c r="O1140" s="4"/>
    </row>
    <row r="1141" spans="1:15" x14ac:dyDescent="0.25">
      <c r="A1141" s="14"/>
      <c r="B1141" s="14"/>
      <c r="C1141" s="14"/>
      <c r="D1141" s="5" t="str">
        <f t="shared" si="111"/>
        <v/>
      </c>
      <c r="E1141" s="5" t="str">
        <f t="shared" si="112"/>
        <v/>
      </c>
      <c r="F1141" s="5" t="str">
        <f t="shared" si="113"/>
        <v/>
      </c>
      <c r="G1141" s="23"/>
      <c r="H1141" s="66"/>
      <c r="I1141" s="14"/>
      <c r="J1141" s="14"/>
      <c r="K1141" s="14"/>
      <c r="L1141" s="5" t="str">
        <f t="shared" si="108"/>
        <v/>
      </c>
      <c r="M1141" s="5" t="str">
        <f t="shared" si="109"/>
        <v/>
      </c>
      <c r="N1141" s="5" t="str">
        <f t="shared" si="110"/>
        <v/>
      </c>
      <c r="O1141" s="4"/>
    </row>
    <row r="1142" spans="1:15" x14ac:dyDescent="0.25">
      <c r="A1142" s="14"/>
      <c r="B1142" s="14"/>
      <c r="C1142" s="14"/>
      <c r="D1142" s="5" t="str">
        <f t="shared" si="111"/>
        <v/>
      </c>
      <c r="E1142" s="5" t="str">
        <f t="shared" si="112"/>
        <v/>
      </c>
      <c r="F1142" s="5" t="str">
        <f t="shared" si="113"/>
        <v/>
      </c>
      <c r="G1142" s="23"/>
      <c r="H1142" s="66"/>
      <c r="I1142" s="14"/>
      <c r="J1142" s="14"/>
      <c r="K1142" s="14"/>
      <c r="L1142" s="5" t="str">
        <f t="shared" si="108"/>
        <v/>
      </c>
      <c r="M1142" s="5" t="str">
        <f t="shared" si="109"/>
        <v/>
      </c>
      <c r="N1142" s="5" t="str">
        <f t="shared" si="110"/>
        <v/>
      </c>
      <c r="O1142" s="4"/>
    </row>
    <row r="1143" spans="1:15" x14ac:dyDescent="0.25">
      <c r="A1143" s="14"/>
      <c r="B1143" s="14"/>
      <c r="C1143" s="14"/>
      <c r="D1143" s="5" t="str">
        <f t="shared" si="111"/>
        <v/>
      </c>
      <c r="E1143" s="5" t="str">
        <f t="shared" si="112"/>
        <v/>
      </c>
      <c r="F1143" s="5" t="str">
        <f t="shared" si="113"/>
        <v/>
      </c>
      <c r="G1143" s="23"/>
      <c r="H1143" s="66"/>
      <c r="I1143" s="14"/>
      <c r="J1143" s="14"/>
      <c r="K1143" s="14"/>
      <c r="L1143" s="5" t="str">
        <f t="shared" si="108"/>
        <v/>
      </c>
      <c r="M1143" s="5" t="str">
        <f t="shared" si="109"/>
        <v/>
      </c>
      <c r="N1143" s="5" t="str">
        <f t="shared" si="110"/>
        <v/>
      </c>
      <c r="O1143" s="4"/>
    </row>
    <row r="1144" spans="1:15" x14ac:dyDescent="0.25">
      <c r="A1144" s="14"/>
      <c r="B1144" s="14"/>
      <c r="C1144" s="14"/>
      <c r="D1144" s="5" t="str">
        <f t="shared" si="111"/>
        <v/>
      </c>
      <c r="E1144" s="5" t="str">
        <f t="shared" si="112"/>
        <v/>
      </c>
      <c r="F1144" s="5" t="str">
        <f t="shared" si="113"/>
        <v/>
      </c>
      <c r="G1144" s="23"/>
      <c r="H1144" s="66"/>
      <c r="I1144" s="14"/>
      <c r="J1144" s="14"/>
      <c r="K1144" s="14"/>
      <c r="L1144" s="5" t="str">
        <f t="shared" si="108"/>
        <v/>
      </c>
      <c r="M1144" s="5" t="str">
        <f t="shared" si="109"/>
        <v/>
      </c>
      <c r="N1144" s="5" t="str">
        <f t="shared" si="110"/>
        <v/>
      </c>
      <c r="O1144" s="4"/>
    </row>
    <row r="1145" spans="1:15" x14ac:dyDescent="0.25">
      <c r="A1145" s="14"/>
      <c r="B1145" s="14"/>
      <c r="C1145" s="14"/>
      <c r="D1145" s="5" t="str">
        <f t="shared" si="111"/>
        <v/>
      </c>
      <c r="E1145" s="5" t="str">
        <f t="shared" si="112"/>
        <v/>
      </c>
      <c r="F1145" s="5" t="str">
        <f t="shared" si="113"/>
        <v/>
      </c>
      <c r="G1145" s="23"/>
      <c r="H1145" s="66"/>
      <c r="I1145" s="14"/>
      <c r="J1145" s="14"/>
      <c r="K1145" s="14"/>
      <c r="L1145" s="5" t="str">
        <f t="shared" si="108"/>
        <v/>
      </c>
      <c r="M1145" s="5" t="str">
        <f t="shared" si="109"/>
        <v/>
      </c>
      <c r="N1145" s="5" t="str">
        <f t="shared" si="110"/>
        <v/>
      </c>
      <c r="O1145" s="4"/>
    </row>
    <row r="1146" spans="1:15" x14ac:dyDescent="0.25">
      <c r="A1146" s="14"/>
      <c r="B1146" s="14"/>
      <c r="C1146" s="14"/>
      <c r="D1146" s="5" t="str">
        <f t="shared" si="111"/>
        <v/>
      </c>
      <c r="E1146" s="5" t="str">
        <f t="shared" si="112"/>
        <v/>
      </c>
      <c r="F1146" s="5" t="str">
        <f t="shared" si="113"/>
        <v/>
      </c>
      <c r="G1146" s="23"/>
      <c r="H1146" s="66"/>
      <c r="I1146" s="14"/>
      <c r="J1146" s="14"/>
      <c r="K1146" s="14"/>
      <c r="L1146" s="5" t="str">
        <f t="shared" si="108"/>
        <v/>
      </c>
      <c r="M1146" s="5" t="str">
        <f t="shared" si="109"/>
        <v/>
      </c>
      <c r="N1146" s="5" t="str">
        <f t="shared" si="110"/>
        <v/>
      </c>
      <c r="O1146" s="4"/>
    </row>
    <row r="1147" spans="1:15" x14ac:dyDescent="0.25">
      <c r="A1147" s="14"/>
      <c r="B1147" s="14"/>
      <c r="C1147" s="14"/>
      <c r="D1147" s="5" t="str">
        <f t="shared" si="111"/>
        <v/>
      </c>
      <c r="E1147" s="5" t="str">
        <f t="shared" si="112"/>
        <v/>
      </c>
      <c r="F1147" s="5" t="str">
        <f t="shared" si="113"/>
        <v/>
      </c>
      <c r="G1147" s="23"/>
      <c r="H1147" s="66"/>
      <c r="I1147" s="14"/>
      <c r="J1147" s="14"/>
      <c r="K1147" s="14"/>
      <c r="L1147" s="5" t="str">
        <f t="shared" si="108"/>
        <v/>
      </c>
      <c r="M1147" s="5" t="str">
        <f t="shared" si="109"/>
        <v/>
      </c>
      <c r="N1147" s="5" t="str">
        <f t="shared" si="110"/>
        <v/>
      </c>
      <c r="O1147" s="4"/>
    </row>
    <row r="1148" spans="1:15" x14ac:dyDescent="0.25">
      <c r="A1148" s="14"/>
      <c r="B1148" s="14"/>
      <c r="C1148" s="14"/>
      <c r="D1148" s="5" t="str">
        <f t="shared" si="111"/>
        <v/>
      </c>
      <c r="E1148" s="5" t="str">
        <f t="shared" si="112"/>
        <v/>
      </c>
      <c r="F1148" s="5" t="str">
        <f t="shared" si="113"/>
        <v/>
      </c>
      <c r="G1148" s="23"/>
      <c r="H1148" s="66"/>
      <c r="I1148" s="14"/>
      <c r="J1148" s="14"/>
      <c r="K1148" s="14"/>
      <c r="L1148" s="5" t="str">
        <f t="shared" si="108"/>
        <v/>
      </c>
      <c r="M1148" s="5" t="str">
        <f t="shared" si="109"/>
        <v/>
      </c>
      <c r="N1148" s="5" t="str">
        <f t="shared" si="110"/>
        <v/>
      </c>
      <c r="O1148" s="4"/>
    </row>
    <row r="1149" spans="1:15" x14ac:dyDescent="0.25">
      <c r="A1149" s="14"/>
      <c r="B1149" s="14"/>
      <c r="C1149" s="14"/>
      <c r="D1149" s="5" t="str">
        <f t="shared" si="111"/>
        <v/>
      </c>
      <c r="E1149" s="5" t="str">
        <f t="shared" si="112"/>
        <v/>
      </c>
      <c r="F1149" s="5" t="str">
        <f t="shared" si="113"/>
        <v/>
      </c>
      <c r="G1149" s="23"/>
      <c r="H1149" s="66"/>
      <c r="I1149" s="14"/>
      <c r="J1149" s="14"/>
      <c r="K1149" s="14"/>
      <c r="L1149" s="5" t="str">
        <f t="shared" si="108"/>
        <v/>
      </c>
      <c r="M1149" s="5" t="str">
        <f t="shared" si="109"/>
        <v/>
      </c>
      <c r="N1149" s="5" t="str">
        <f t="shared" si="110"/>
        <v/>
      </c>
      <c r="O1149" s="4"/>
    </row>
    <row r="1150" spans="1:15" x14ac:dyDescent="0.25">
      <c r="A1150" s="14"/>
      <c r="B1150" s="14"/>
      <c r="C1150" s="14"/>
      <c r="D1150" s="5" t="str">
        <f t="shared" si="111"/>
        <v/>
      </c>
      <c r="E1150" s="5" t="str">
        <f t="shared" si="112"/>
        <v/>
      </c>
      <c r="F1150" s="5" t="str">
        <f t="shared" si="113"/>
        <v/>
      </c>
      <c r="G1150" s="23"/>
      <c r="H1150" s="66"/>
      <c r="I1150" s="14"/>
      <c r="J1150" s="14"/>
      <c r="K1150" s="14"/>
      <c r="L1150" s="5" t="str">
        <f t="shared" si="108"/>
        <v/>
      </c>
      <c r="M1150" s="5" t="str">
        <f t="shared" si="109"/>
        <v/>
      </c>
      <c r="N1150" s="5" t="str">
        <f t="shared" si="110"/>
        <v/>
      </c>
      <c r="O1150" s="4"/>
    </row>
    <row r="1151" spans="1:15" x14ac:dyDescent="0.25">
      <c r="A1151" s="14"/>
      <c r="B1151" s="14"/>
      <c r="C1151" s="14"/>
      <c r="D1151" s="5" t="str">
        <f t="shared" si="111"/>
        <v/>
      </c>
      <c r="E1151" s="5" t="str">
        <f t="shared" si="112"/>
        <v/>
      </c>
      <c r="F1151" s="5" t="str">
        <f t="shared" si="113"/>
        <v/>
      </c>
      <c r="G1151" s="23"/>
      <c r="H1151" s="66"/>
      <c r="I1151" s="14"/>
      <c r="J1151" s="14"/>
      <c r="K1151" s="14"/>
      <c r="L1151" s="5" t="str">
        <f t="shared" si="108"/>
        <v/>
      </c>
      <c r="M1151" s="5" t="str">
        <f t="shared" si="109"/>
        <v/>
      </c>
      <c r="N1151" s="5" t="str">
        <f t="shared" si="110"/>
        <v/>
      </c>
      <c r="O1151" s="4"/>
    </row>
    <row r="1152" spans="1:15" x14ac:dyDescent="0.25">
      <c r="A1152" s="14"/>
      <c r="B1152" s="14"/>
      <c r="C1152" s="14"/>
      <c r="D1152" s="5" t="str">
        <f t="shared" si="111"/>
        <v/>
      </c>
      <c r="E1152" s="5" t="str">
        <f t="shared" si="112"/>
        <v/>
      </c>
      <c r="F1152" s="5" t="str">
        <f t="shared" si="113"/>
        <v/>
      </c>
      <c r="G1152" s="23"/>
      <c r="H1152" s="66"/>
      <c r="I1152" s="14"/>
      <c r="J1152" s="14"/>
      <c r="K1152" s="14"/>
      <c r="L1152" s="5" t="str">
        <f t="shared" si="108"/>
        <v/>
      </c>
      <c r="M1152" s="5" t="str">
        <f t="shared" si="109"/>
        <v/>
      </c>
      <c r="N1152" s="5" t="str">
        <f t="shared" si="110"/>
        <v/>
      </c>
      <c r="O1152" s="4"/>
    </row>
    <row r="1153" spans="1:15" x14ac:dyDescent="0.25">
      <c r="A1153" s="14"/>
      <c r="B1153" s="14"/>
      <c r="C1153" s="14"/>
      <c r="D1153" s="5" t="str">
        <f t="shared" si="111"/>
        <v/>
      </c>
      <c r="E1153" s="5" t="str">
        <f t="shared" si="112"/>
        <v/>
      </c>
      <c r="F1153" s="5" t="str">
        <f t="shared" si="113"/>
        <v/>
      </c>
      <c r="G1153" s="23"/>
      <c r="H1153" s="66"/>
      <c r="I1153" s="14"/>
      <c r="J1153" s="14"/>
      <c r="K1153" s="14"/>
      <c r="L1153" s="5" t="str">
        <f t="shared" si="108"/>
        <v/>
      </c>
      <c r="M1153" s="5" t="str">
        <f t="shared" si="109"/>
        <v/>
      </c>
      <c r="N1153" s="5" t="str">
        <f t="shared" si="110"/>
        <v/>
      </c>
      <c r="O1153" s="4"/>
    </row>
    <row r="1154" spans="1:15" x14ac:dyDescent="0.25">
      <c r="A1154" s="14"/>
      <c r="B1154" s="14"/>
      <c r="C1154" s="14"/>
      <c r="D1154" s="5" t="str">
        <f t="shared" si="111"/>
        <v/>
      </c>
      <c r="E1154" s="5" t="str">
        <f t="shared" si="112"/>
        <v/>
      </c>
      <c r="F1154" s="5" t="str">
        <f t="shared" si="113"/>
        <v/>
      </c>
      <c r="G1154" s="23"/>
      <c r="H1154" s="66"/>
      <c r="I1154" s="14"/>
      <c r="J1154" s="14"/>
      <c r="K1154" s="14"/>
      <c r="L1154" s="5" t="str">
        <f t="shared" si="108"/>
        <v/>
      </c>
      <c r="M1154" s="5" t="str">
        <f t="shared" si="109"/>
        <v/>
      </c>
      <c r="N1154" s="5" t="str">
        <f t="shared" si="110"/>
        <v/>
      </c>
      <c r="O1154" s="4"/>
    </row>
    <row r="1155" spans="1:15" x14ac:dyDescent="0.25">
      <c r="A1155" s="14"/>
      <c r="B1155" s="14"/>
      <c r="C1155" s="14"/>
      <c r="D1155" s="5" t="str">
        <f t="shared" si="111"/>
        <v/>
      </c>
      <c r="E1155" s="5" t="str">
        <f t="shared" si="112"/>
        <v/>
      </c>
      <c r="F1155" s="5" t="str">
        <f t="shared" si="113"/>
        <v/>
      </c>
      <c r="G1155" s="23"/>
      <c r="H1155" s="66"/>
      <c r="I1155" s="14"/>
      <c r="J1155" s="14"/>
      <c r="K1155" s="14"/>
      <c r="L1155" s="5" t="str">
        <f t="shared" si="108"/>
        <v/>
      </c>
      <c r="M1155" s="5" t="str">
        <f t="shared" si="109"/>
        <v/>
      </c>
      <c r="N1155" s="5" t="str">
        <f t="shared" si="110"/>
        <v/>
      </c>
      <c r="O1155" s="4"/>
    </row>
    <row r="1156" spans="1:15" x14ac:dyDescent="0.25">
      <c r="A1156" s="14"/>
      <c r="B1156" s="14"/>
      <c r="C1156" s="14"/>
      <c r="D1156" s="5" t="str">
        <f t="shared" si="111"/>
        <v/>
      </c>
      <c r="E1156" s="5" t="str">
        <f t="shared" si="112"/>
        <v/>
      </c>
      <c r="F1156" s="5" t="str">
        <f t="shared" si="113"/>
        <v/>
      </c>
      <c r="G1156" s="23"/>
      <c r="H1156" s="66"/>
      <c r="I1156" s="14"/>
      <c r="J1156" s="14"/>
      <c r="K1156" s="14"/>
      <c r="L1156" s="5" t="str">
        <f t="shared" si="108"/>
        <v/>
      </c>
      <c r="M1156" s="5" t="str">
        <f t="shared" si="109"/>
        <v/>
      </c>
      <c r="N1156" s="5" t="str">
        <f t="shared" si="110"/>
        <v/>
      </c>
      <c r="O1156" s="4"/>
    </row>
    <row r="1157" spans="1:15" x14ac:dyDescent="0.25">
      <c r="A1157" s="14"/>
      <c r="B1157" s="14"/>
      <c r="C1157" s="14"/>
      <c r="D1157" s="5" t="str">
        <f t="shared" si="111"/>
        <v/>
      </c>
      <c r="E1157" s="5" t="str">
        <f t="shared" si="112"/>
        <v/>
      </c>
      <c r="F1157" s="5" t="str">
        <f t="shared" si="113"/>
        <v/>
      </c>
      <c r="G1157" s="23"/>
      <c r="H1157" s="66"/>
      <c r="I1157" s="14"/>
      <c r="J1157" s="14"/>
      <c r="K1157" s="14"/>
      <c r="L1157" s="5" t="str">
        <f t="shared" si="108"/>
        <v/>
      </c>
      <c r="M1157" s="5" t="str">
        <f t="shared" si="109"/>
        <v/>
      </c>
      <c r="N1157" s="5" t="str">
        <f t="shared" si="110"/>
        <v/>
      </c>
      <c r="O1157" s="4"/>
    </row>
    <row r="1158" spans="1:15" x14ac:dyDescent="0.25">
      <c r="A1158" s="14"/>
      <c r="B1158" s="14"/>
      <c r="C1158" s="14"/>
      <c r="D1158" s="5" t="str">
        <f t="shared" si="111"/>
        <v/>
      </c>
      <c r="E1158" s="5" t="str">
        <f t="shared" si="112"/>
        <v/>
      </c>
      <c r="F1158" s="5" t="str">
        <f t="shared" si="113"/>
        <v/>
      </c>
      <c r="G1158" s="23"/>
      <c r="H1158" s="66"/>
      <c r="I1158" s="14"/>
      <c r="J1158" s="14"/>
      <c r="K1158" s="14"/>
      <c r="L1158" s="5" t="str">
        <f t="shared" si="108"/>
        <v/>
      </c>
      <c r="M1158" s="5" t="str">
        <f t="shared" si="109"/>
        <v/>
      </c>
      <c r="N1158" s="5" t="str">
        <f t="shared" si="110"/>
        <v/>
      </c>
      <c r="O1158" s="4"/>
    </row>
    <row r="1159" spans="1:15" x14ac:dyDescent="0.25">
      <c r="A1159" s="14"/>
      <c r="B1159" s="14"/>
      <c r="C1159" s="14"/>
      <c r="D1159" s="5" t="str">
        <f t="shared" si="111"/>
        <v/>
      </c>
      <c r="E1159" s="5" t="str">
        <f t="shared" si="112"/>
        <v/>
      </c>
      <c r="F1159" s="5" t="str">
        <f t="shared" si="113"/>
        <v/>
      </c>
      <c r="G1159" s="23"/>
      <c r="H1159" s="66"/>
      <c r="I1159" s="14"/>
      <c r="J1159" s="14"/>
      <c r="K1159" s="14"/>
      <c r="L1159" s="5" t="str">
        <f t="shared" si="108"/>
        <v/>
      </c>
      <c r="M1159" s="5" t="str">
        <f t="shared" si="109"/>
        <v/>
      </c>
      <c r="N1159" s="5" t="str">
        <f t="shared" si="110"/>
        <v/>
      </c>
      <c r="O1159" s="4"/>
    </row>
    <row r="1160" spans="1:15" x14ac:dyDescent="0.25">
      <c r="A1160" s="14"/>
      <c r="B1160" s="14"/>
      <c r="C1160" s="14"/>
      <c r="D1160" s="5" t="str">
        <f t="shared" si="111"/>
        <v/>
      </c>
      <c r="E1160" s="5" t="str">
        <f t="shared" si="112"/>
        <v/>
      </c>
      <c r="F1160" s="5" t="str">
        <f t="shared" si="113"/>
        <v/>
      </c>
      <c r="G1160" s="23"/>
      <c r="H1160" s="66"/>
      <c r="I1160" s="14"/>
      <c r="J1160" s="14"/>
      <c r="K1160" s="14"/>
      <c r="L1160" s="5" t="str">
        <f t="shared" si="108"/>
        <v/>
      </c>
      <c r="M1160" s="5" t="str">
        <f t="shared" si="109"/>
        <v/>
      </c>
      <c r="N1160" s="5" t="str">
        <f t="shared" si="110"/>
        <v/>
      </c>
      <c r="O1160" s="4"/>
    </row>
    <row r="1161" spans="1:15" x14ac:dyDescent="0.25">
      <c r="A1161" s="14"/>
      <c r="B1161" s="14"/>
      <c r="C1161" s="14"/>
      <c r="D1161" s="5" t="str">
        <f t="shared" si="111"/>
        <v/>
      </c>
      <c r="E1161" s="5" t="str">
        <f t="shared" si="112"/>
        <v/>
      </c>
      <c r="F1161" s="5" t="str">
        <f t="shared" si="113"/>
        <v/>
      </c>
      <c r="G1161" s="23"/>
      <c r="H1161" s="66"/>
      <c r="I1161" s="14"/>
      <c r="J1161" s="14"/>
      <c r="K1161" s="14"/>
      <c r="L1161" s="5" t="str">
        <f t="shared" si="108"/>
        <v/>
      </c>
      <c r="M1161" s="5" t="str">
        <f t="shared" si="109"/>
        <v/>
      </c>
      <c r="N1161" s="5" t="str">
        <f t="shared" si="110"/>
        <v/>
      </c>
      <c r="O1161" s="4"/>
    </row>
    <row r="1162" spans="1:15" x14ac:dyDescent="0.25">
      <c r="A1162" s="14"/>
      <c r="B1162" s="14"/>
      <c r="C1162" s="14"/>
      <c r="D1162" s="5" t="str">
        <f t="shared" si="111"/>
        <v/>
      </c>
      <c r="E1162" s="5" t="str">
        <f t="shared" si="112"/>
        <v/>
      </c>
      <c r="F1162" s="5" t="str">
        <f t="shared" si="113"/>
        <v/>
      </c>
      <c r="G1162" s="23"/>
      <c r="H1162" s="66"/>
      <c r="I1162" s="14"/>
      <c r="J1162" s="14"/>
      <c r="K1162" s="14"/>
      <c r="L1162" s="5" t="str">
        <f t="shared" ref="L1162:L1225" si="114">IFERROR(IF(I1162&lt;&gt;"",(((J1162-J1161)*$X$4/(I1162-I1161)))*$X$5,""),"")</f>
        <v/>
      </c>
      <c r="M1162" s="5" t="str">
        <f t="shared" ref="M1162:M1225" si="115">IFERROR(IF(I1162&lt;&gt;"",(((K1162-K1161)*$X$4/(I1162-I1161)))*$X$5,""),"")</f>
        <v/>
      </c>
      <c r="N1162" s="5" t="str">
        <f t="shared" ref="N1162:N1225" si="116">IFERROR(IF(I1162&lt;&gt;"",((ACOS((COS(RADIANS(J1161))*COS(RADIANS(J1162)))+(SIN(RADIANS(J1161))*SIN(RADIANS(J1162)))*COS(RADIANS(K1162-K1161)))*180/PI()*($X$4/(I1162-I1161))))*$X$5,""),"")</f>
        <v/>
      </c>
      <c r="O1162" s="4"/>
    </row>
    <row r="1163" spans="1:15" x14ac:dyDescent="0.25">
      <c r="A1163" s="14"/>
      <c r="B1163" s="14"/>
      <c r="C1163" s="14"/>
      <c r="D1163" s="5" t="str">
        <f t="shared" si="111"/>
        <v/>
      </c>
      <c r="E1163" s="5" t="str">
        <f t="shared" si="112"/>
        <v/>
      </c>
      <c r="F1163" s="5" t="str">
        <f t="shared" si="113"/>
        <v/>
      </c>
      <c r="G1163" s="23"/>
      <c r="H1163" s="66"/>
      <c r="I1163" s="14"/>
      <c r="J1163" s="14"/>
      <c r="K1163" s="14"/>
      <c r="L1163" s="5" t="str">
        <f t="shared" si="114"/>
        <v/>
      </c>
      <c r="M1163" s="5" t="str">
        <f t="shared" si="115"/>
        <v/>
      </c>
      <c r="N1163" s="5" t="str">
        <f t="shared" si="116"/>
        <v/>
      </c>
      <c r="O1163" s="4"/>
    </row>
    <row r="1164" spans="1:15" x14ac:dyDescent="0.25">
      <c r="A1164" s="14"/>
      <c r="B1164" s="14"/>
      <c r="C1164" s="14"/>
      <c r="D1164" s="5" t="str">
        <f t="shared" si="111"/>
        <v/>
      </c>
      <c r="E1164" s="5" t="str">
        <f t="shared" si="112"/>
        <v/>
      </c>
      <c r="F1164" s="5" t="str">
        <f t="shared" si="113"/>
        <v/>
      </c>
      <c r="G1164" s="23"/>
      <c r="H1164" s="66"/>
      <c r="I1164" s="14"/>
      <c r="J1164" s="14"/>
      <c r="K1164" s="14"/>
      <c r="L1164" s="5" t="str">
        <f t="shared" si="114"/>
        <v/>
      </c>
      <c r="M1164" s="5" t="str">
        <f t="shared" si="115"/>
        <v/>
      </c>
      <c r="N1164" s="5" t="str">
        <f t="shared" si="116"/>
        <v/>
      </c>
      <c r="O1164" s="4"/>
    </row>
    <row r="1165" spans="1:15" x14ac:dyDescent="0.25">
      <c r="A1165" s="14"/>
      <c r="B1165" s="14"/>
      <c r="C1165" s="14"/>
      <c r="D1165" s="5" t="str">
        <f t="shared" si="111"/>
        <v/>
      </c>
      <c r="E1165" s="5" t="str">
        <f t="shared" si="112"/>
        <v/>
      </c>
      <c r="F1165" s="5" t="str">
        <f t="shared" si="113"/>
        <v/>
      </c>
      <c r="G1165" s="23"/>
      <c r="H1165" s="66"/>
      <c r="I1165" s="14"/>
      <c r="J1165" s="14"/>
      <c r="K1165" s="14"/>
      <c r="L1165" s="5" t="str">
        <f t="shared" si="114"/>
        <v/>
      </c>
      <c r="M1165" s="5" t="str">
        <f t="shared" si="115"/>
        <v/>
      </c>
      <c r="N1165" s="5" t="str">
        <f t="shared" si="116"/>
        <v/>
      </c>
      <c r="O1165" s="4"/>
    </row>
    <row r="1166" spans="1:15" x14ac:dyDescent="0.25">
      <c r="A1166" s="14"/>
      <c r="B1166" s="14"/>
      <c r="C1166" s="14"/>
      <c r="D1166" s="5" t="str">
        <f t="shared" si="111"/>
        <v/>
      </c>
      <c r="E1166" s="5" t="str">
        <f t="shared" si="112"/>
        <v/>
      </c>
      <c r="F1166" s="5" t="str">
        <f t="shared" si="113"/>
        <v/>
      </c>
      <c r="G1166" s="23"/>
      <c r="H1166" s="66"/>
      <c r="I1166" s="14"/>
      <c r="J1166" s="14"/>
      <c r="K1166" s="14"/>
      <c r="L1166" s="5" t="str">
        <f t="shared" si="114"/>
        <v/>
      </c>
      <c r="M1166" s="5" t="str">
        <f t="shared" si="115"/>
        <v/>
      </c>
      <c r="N1166" s="5" t="str">
        <f t="shared" si="116"/>
        <v/>
      </c>
      <c r="O1166" s="4"/>
    </row>
    <row r="1167" spans="1:15" x14ac:dyDescent="0.25">
      <c r="A1167" s="14"/>
      <c r="B1167" s="14"/>
      <c r="C1167" s="14"/>
      <c r="D1167" s="5" t="str">
        <f t="shared" si="111"/>
        <v/>
      </c>
      <c r="E1167" s="5" t="str">
        <f t="shared" si="112"/>
        <v/>
      </c>
      <c r="F1167" s="5" t="str">
        <f t="shared" si="113"/>
        <v/>
      </c>
      <c r="G1167" s="23"/>
      <c r="H1167" s="66"/>
      <c r="I1167" s="14"/>
      <c r="J1167" s="14"/>
      <c r="K1167" s="14"/>
      <c r="L1167" s="5" t="str">
        <f t="shared" si="114"/>
        <v/>
      </c>
      <c r="M1167" s="5" t="str">
        <f t="shared" si="115"/>
        <v/>
      </c>
      <c r="N1167" s="5" t="str">
        <f t="shared" si="116"/>
        <v/>
      </c>
      <c r="O1167" s="4"/>
    </row>
    <row r="1168" spans="1:15" x14ac:dyDescent="0.25">
      <c r="A1168" s="14"/>
      <c r="B1168" s="14"/>
      <c r="C1168" s="14"/>
      <c r="D1168" s="5" t="str">
        <f t="shared" si="111"/>
        <v/>
      </c>
      <c r="E1168" s="5" t="str">
        <f t="shared" si="112"/>
        <v/>
      </c>
      <c r="F1168" s="5" t="str">
        <f t="shared" si="113"/>
        <v/>
      </c>
      <c r="G1168" s="23"/>
      <c r="H1168" s="66"/>
      <c r="I1168" s="14"/>
      <c r="J1168" s="14"/>
      <c r="K1168" s="14"/>
      <c r="L1168" s="5" t="str">
        <f t="shared" si="114"/>
        <v/>
      </c>
      <c r="M1168" s="5" t="str">
        <f t="shared" si="115"/>
        <v/>
      </c>
      <c r="N1168" s="5" t="str">
        <f t="shared" si="116"/>
        <v/>
      </c>
      <c r="O1168" s="4"/>
    </row>
    <row r="1169" spans="1:15" x14ac:dyDescent="0.25">
      <c r="A1169" s="14"/>
      <c r="B1169" s="14"/>
      <c r="C1169" s="14"/>
      <c r="D1169" s="5" t="str">
        <f t="shared" si="111"/>
        <v/>
      </c>
      <c r="E1169" s="5" t="str">
        <f t="shared" si="112"/>
        <v/>
      </c>
      <c r="F1169" s="5" t="str">
        <f t="shared" si="113"/>
        <v/>
      </c>
      <c r="G1169" s="23"/>
      <c r="H1169" s="66"/>
      <c r="I1169" s="14"/>
      <c r="J1169" s="14"/>
      <c r="K1169" s="14"/>
      <c r="L1169" s="5" t="str">
        <f t="shared" si="114"/>
        <v/>
      </c>
      <c r="M1169" s="5" t="str">
        <f t="shared" si="115"/>
        <v/>
      </c>
      <c r="N1169" s="5" t="str">
        <f t="shared" si="116"/>
        <v/>
      </c>
      <c r="O1169" s="4"/>
    </row>
    <row r="1170" spans="1:15" x14ac:dyDescent="0.25">
      <c r="A1170" s="14"/>
      <c r="B1170" s="14"/>
      <c r="C1170" s="14"/>
      <c r="D1170" s="5" t="str">
        <f t="shared" si="111"/>
        <v/>
      </c>
      <c r="E1170" s="5" t="str">
        <f t="shared" si="112"/>
        <v/>
      </c>
      <c r="F1170" s="5" t="str">
        <f t="shared" si="113"/>
        <v/>
      </c>
      <c r="G1170" s="23"/>
      <c r="H1170" s="66"/>
      <c r="I1170" s="14"/>
      <c r="J1170" s="14"/>
      <c r="K1170" s="14"/>
      <c r="L1170" s="5" t="str">
        <f t="shared" si="114"/>
        <v/>
      </c>
      <c r="M1170" s="5" t="str">
        <f t="shared" si="115"/>
        <v/>
      </c>
      <c r="N1170" s="5" t="str">
        <f t="shared" si="116"/>
        <v/>
      </c>
      <c r="O1170" s="4"/>
    </row>
    <row r="1171" spans="1:15" x14ac:dyDescent="0.25">
      <c r="A1171" s="14"/>
      <c r="B1171" s="14"/>
      <c r="C1171" s="14"/>
      <c r="D1171" s="5" t="str">
        <f t="shared" si="111"/>
        <v/>
      </c>
      <c r="E1171" s="5" t="str">
        <f t="shared" si="112"/>
        <v/>
      </c>
      <c r="F1171" s="5" t="str">
        <f t="shared" si="113"/>
        <v/>
      </c>
      <c r="G1171" s="23"/>
      <c r="H1171" s="66"/>
      <c r="I1171" s="14"/>
      <c r="J1171" s="14"/>
      <c r="K1171" s="14"/>
      <c r="L1171" s="5" t="str">
        <f t="shared" si="114"/>
        <v/>
      </c>
      <c r="M1171" s="5" t="str">
        <f t="shared" si="115"/>
        <v/>
      </c>
      <c r="N1171" s="5" t="str">
        <f t="shared" si="116"/>
        <v/>
      </c>
      <c r="O1171" s="4"/>
    </row>
    <row r="1172" spans="1:15" x14ac:dyDescent="0.25">
      <c r="A1172" s="14"/>
      <c r="B1172" s="14"/>
      <c r="C1172" s="14"/>
      <c r="D1172" s="5" t="str">
        <f t="shared" si="111"/>
        <v/>
      </c>
      <c r="E1172" s="5" t="str">
        <f t="shared" si="112"/>
        <v/>
      </c>
      <c r="F1172" s="5" t="str">
        <f t="shared" si="113"/>
        <v/>
      </c>
      <c r="G1172" s="23"/>
      <c r="H1172" s="66"/>
      <c r="I1172" s="14"/>
      <c r="J1172" s="14"/>
      <c r="K1172" s="14"/>
      <c r="L1172" s="5" t="str">
        <f t="shared" si="114"/>
        <v/>
      </c>
      <c r="M1172" s="5" t="str">
        <f t="shared" si="115"/>
        <v/>
      </c>
      <c r="N1172" s="5" t="str">
        <f t="shared" si="116"/>
        <v/>
      </c>
      <c r="O1172" s="4"/>
    </row>
    <row r="1173" spans="1:15" x14ac:dyDescent="0.25">
      <c r="A1173" s="14"/>
      <c r="B1173" s="14"/>
      <c r="C1173" s="14"/>
      <c r="D1173" s="5" t="str">
        <f t="shared" si="111"/>
        <v/>
      </c>
      <c r="E1173" s="5" t="str">
        <f t="shared" si="112"/>
        <v/>
      </c>
      <c r="F1173" s="5" t="str">
        <f t="shared" si="113"/>
        <v/>
      </c>
      <c r="G1173" s="23"/>
      <c r="H1173" s="66"/>
      <c r="I1173" s="14"/>
      <c r="J1173" s="14"/>
      <c r="K1173" s="14"/>
      <c r="L1173" s="5" t="str">
        <f t="shared" si="114"/>
        <v/>
      </c>
      <c r="M1173" s="5" t="str">
        <f t="shared" si="115"/>
        <v/>
      </c>
      <c r="N1173" s="5" t="str">
        <f t="shared" si="116"/>
        <v/>
      </c>
      <c r="O1173" s="4"/>
    </row>
    <row r="1174" spans="1:15" x14ac:dyDescent="0.25">
      <c r="A1174" s="14"/>
      <c r="B1174" s="14"/>
      <c r="C1174" s="14"/>
      <c r="D1174" s="5" t="str">
        <f t="shared" si="111"/>
        <v/>
      </c>
      <c r="E1174" s="5" t="str">
        <f t="shared" si="112"/>
        <v/>
      </c>
      <c r="F1174" s="5" t="str">
        <f t="shared" si="113"/>
        <v/>
      </c>
      <c r="G1174" s="23"/>
      <c r="H1174" s="66"/>
      <c r="I1174" s="14"/>
      <c r="J1174" s="14"/>
      <c r="K1174" s="14"/>
      <c r="L1174" s="5" t="str">
        <f t="shared" si="114"/>
        <v/>
      </c>
      <c r="M1174" s="5" t="str">
        <f t="shared" si="115"/>
        <v/>
      </c>
      <c r="N1174" s="5" t="str">
        <f t="shared" si="116"/>
        <v/>
      </c>
      <c r="O1174" s="4"/>
    </row>
    <row r="1175" spans="1:15" x14ac:dyDescent="0.25">
      <c r="A1175" s="14"/>
      <c r="B1175" s="14"/>
      <c r="C1175" s="14"/>
      <c r="D1175" s="5" t="str">
        <f t="shared" si="111"/>
        <v/>
      </c>
      <c r="E1175" s="5" t="str">
        <f t="shared" si="112"/>
        <v/>
      </c>
      <c r="F1175" s="5" t="str">
        <f t="shared" si="113"/>
        <v/>
      </c>
      <c r="G1175" s="23"/>
      <c r="H1175" s="66"/>
      <c r="I1175" s="14"/>
      <c r="J1175" s="14"/>
      <c r="K1175" s="14"/>
      <c r="L1175" s="5" t="str">
        <f t="shared" si="114"/>
        <v/>
      </c>
      <c r="M1175" s="5" t="str">
        <f t="shared" si="115"/>
        <v/>
      </c>
      <c r="N1175" s="5" t="str">
        <f t="shared" si="116"/>
        <v/>
      </c>
      <c r="O1175" s="4"/>
    </row>
    <row r="1176" spans="1:15" x14ac:dyDescent="0.25">
      <c r="A1176" s="14"/>
      <c r="B1176" s="14"/>
      <c r="C1176" s="14"/>
      <c r="D1176" s="5" t="str">
        <f t="shared" si="111"/>
        <v/>
      </c>
      <c r="E1176" s="5" t="str">
        <f t="shared" si="112"/>
        <v/>
      </c>
      <c r="F1176" s="5" t="str">
        <f t="shared" si="113"/>
        <v/>
      </c>
      <c r="G1176" s="23"/>
      <c r="H1176" s="66"/>
      <c r="I1176" s="14"/>
      <c r="J1176" s="14"/>
      <c r="K1176" s="14"/>
      <c r="L1176" s="5" t="str">
        <f t="shared" si="114"/>
        <v/>
      </c>
      <c r="M1176" s="5" t="str">
        <f t="shared" si="115"/>
        <v/>
      </c>
      <c r="N1176" s="5" t="str">
        <f t="shared" si="116"/>
        <v/>
      </c>
      <c r="O1176" s="4"/>
    </row>
    <row r="1177" spans="1:15" x14ac:dyDescent="0.25">
      <c r="A1177" s="14"/>
      <c r="B1177" s="14"/>
      <c r="C1177" s="14"/>
      <c r="D1177" s="5" t="str">
        <f t="shared" ref="D1177:D1240" si="117">IFERROR( IF(A1177&lt;&gt;"",((B1177-B1176)*$X$4/(A1177-A1176))*$X$5,""),"")</f>
        <v/>
      </c>
      <c r="E1177" s="5" t="str">
        <f t="shared" ref="E1177:E1240" si="118">IFERROR(IF(A1177&lt;&gt;"",((C1177-C1176)*$X$4/(A1177-A1176))*$X$5,""),"")</f>
        <v/>
      </c>
      <c r="F1177" s="5" t="str">
        <f t="shared" ref="F1177:F1240" si="119">IFERROR(IF(A1177&lt;&gt;"",((ACOS((COS(RADIANS(B1176))*COS(RADIANS(B1177)))+(SIN(RADIANS(B1176))*SIN(RADIANS(B1177)))*COS(RADIANS(C1177-C1176)))*180/PI()*($X$4/(A1177-A1176))))*$X$5,""),"")</f>
        <v/>
      </c>
      <c r="G1177" s="23"/>
      <c r="H1177" s="66"/>
      <c r="I1177" s="14"/>
      <c r="J1177" s="14"/>
      <c r="K1177" s="14"/>
      <c r="L1177" s="5" t="str">
        <f t="shared" si="114"/>
        <v/>
      </c>
      <c r="M1177" s="5" t="str">
        <f t="shared" si="115"/>
        <v/>
      </c>
      <c r="N1177" s="5" t="str">
        <f t="shared" si="116"/>
        <v/>
      </c>
      <c r="O1177" s="4"/>
    </row>
    <row r="1178" spans="1:15" x14ac:dyDescent="0.25">
      <c r="A1178" s="14"/>
      <c r="B1178" s="14"/>
      <c r="C1178" s="14"/>
      <c r="D1178" s="5" t="str">
        <f t="shared" si="117"/>
        <v/>
      </c>
      <c r="E1178" s="5" t="str">
        <f t="shared" si="118"/>
        <v/>
      </c>
      <c r="F1178" s="5" t="str">
        <f t="shared" si="119"/>
        <v/>
      </c>
      <c r="G1178" s="23"/>
      <c r="H1178" s="66"/>
      <c r="I1178" s="14"/>
      <c r="J1178" s="14"/>
      <c r="K1178" s="14"/>
      <c r="L1178" s="5" t="str">
        <f t="shared" si="114"/>
        <v/>
      </c>
      <c r="M1178" s="5" t="str">
        <f t="shared" si="115"/>
        <v/>
      </c>
      <c r="N1178" s="5" t="str">
        <f t="shared" si="116"/>
        <v/>
      </c>
      <c r="O1178" s="4"/>
    </row>
    <row r="1179" spans="1:15" x14ac:dyDescent="0.25">
      <c r="A1179" s="14"/>
      <c r="B1179" s="14"/>
      <c r="C1179" s="14"/>
      <c r="D1179" s="5" t="str">
        <f t="shared" si="117"/>
        <v/>
      </c>
      <c r="E1179" s="5" t="str">
        <f t="shared" si="118"/>
        <v/>
      </c>
      <c r="F1179" s="5" t="str">
        <f t="shared" si="119"/>
        <v/>
      </c>
      <c r="G1179" s="23"/>
      <c r="H1179" s="66"/>
      <c r="I1179" s="14"/>
      <c r="J1179" s="14"/>
      <c r="K1179" s="14"/>
      <c r="L1179" s="5" t="str">
        <f t="shared" si="114"/>
        <v/>
      </c>
      <c r="M1179" s="5" t="str">
        <f t="shared" si="115"/>
        <v/>
      </c>
      <c r="N1179" s="5" t="str">
        <f t="shared" si="116"/>
        <v/>
      </c>
      <c r="O1179" s="4"/>
    </row>
    <row r="1180" spans="1:15" x14ac:dyDescent="0.25">
      <c r="A1180" s="14"/>
      <c r="B1180" s="14"/>
      <c r="C1180" s="14"/>
      <c r="D1180" s="5" t="str">
        <f t="shared" si="117"/>
        <v/>
      </c>
      <c r="E1180" s="5" t="str">
        <f t="shared" si="118"/>
        <v/>
      </c>
      <c r="F1180" s="5" t="str">
        <f t="shared" si="119"/>
        <v/>
      </c>
      <c r="G1180" s="23"/>
      <c r="H1180" s="66"/>
      <c r="I1180" s="14"/>
      <c r="J1180" s="14"/>
      <c r="K1180" s="14"/>
      <c r="L1180" s="5" t="str">
        <f t="shared" si="114"/>
        <v/>
      </c>
      <c r="M1180" s="5" t="str">
        <f t="shared" si="115"/>
        <v/>
      </c>
      <c r="N1180" s="5" t="str">
        <f t="shared" si="116"/>
        <v/>
      </c>
      <c r="O1180" s="4"/>
    </row>
    <row r="1181" spans="1:15" x14ac:dyDescent="0.25">
      <c r="A1181" s="14"/>
      <c r="B1181" s="14"/>
      <c r="C1181" s="14"/>
      <c r="D1181" s="5" t="str">
        <f t="shared" si="117"/>
        <v/>
      </c>
      <c r="E1181" s="5" t="str">
        <f t="shared" si="118"/>
        <v/>
      </c>
      <c r="F1181" s="5" t="str">
        <f t="shared" si="119"/>
        <v/>
      </c>
      <c r="G1181" s="23"/>
      <c r="H1181" s="66"/>
      <c r="I1181" s="14"/>
      <c r="J1181" s="14"/>
      <c r="K1181" s="14"/>
      <c r="L1181" s="5" t="str">
        <f t="shared" si="114"/>
        <v/>
      </c>
      <c r="M1181" s="5" t="str">
        <f t="shared" si="115"/>
        <v/>
      </c>
      <c r="N1181" s="5" t="str">
        <f t="shared" si="116"/>
        <v/>
      </c>
      <c r="O1181" s="4"/>
    </row>
    <row r="1182" spans="1:15" x14ac:dyDescent="0.25">
      <c r="A1182" s="14"/>
      <c r="B1182" s="14"/>
      <c r="C1182" s="14"/>
      <c r="D1182" s="5" t="str">
        <f t="shared" si="117"/>
        <v/>
      </c>
      <c r="E1182" s="5" t="str">
        <f t="shared" si="118"/>
        <v/>
      </c>
      <c r="F1182" s="5" t="str">
        <f t="shared" si="119"/>
        <v/>
      </c>
      <c r="G1182" s="23"/>
      <c r="H1182" s="66"/>
      <c r="I1182" s="14"/>
      <c r="J1182" s="14"/>
      <c r="K1182" s="14"/>
      <c r="L1182" s="5" t="str">
        <f t="shared" si="114"/>
        <v/>
      </c>
      <c r="M1182" s="5" t="str">
        <f t="shared" si="115"/>
        <v/>
      </c>
      <c r="N1182" s="5" t="str">
        <f t="shared" si="116"/>
        <v/>
      </c>
      <c r="O1182" s="4"/>
    </row>
    <row r="1183" spans="1:15" x14ac:dyDescent="0.25">
      <c r="A1183" s="14"/>
      <c r="B1183" s="14"/>
      <c r="C1183" s="14"/>
      <c r="D1183" s="5" t="str">
        <f t="shared" si="117"/>
        <v/>
      </c>
      <c r="E1183" s="5" t="str">
        <f t="shared" si="118"/>
        <v/>
      </c>
      <c r="F1183" s="5" t="str">
        <f t="shared" si="119"/>
        <v/>
      </c>
      <c r="G1183" s="23"/>
      <c r="H1183" s="66"/>
      <c r="I1183" s="14"/>
      <c r="J1183" s="14"/>
      <c r="K1183" s="14"/>
      <c r="L1183" s="5" t="str">
        <f t="shared" si="114"/>
        <v/>
      </c>
      <c r="M1183" s="5" t="str">
        <f t="shared" si="115"/>
        <v/>
      </c>
      <c r="N1183" s="5" t="str">
        <f t="shared" si="116"/>
        <v/>
      </c>
      <c r="O1183" s="4"/>
    </row>
    <row r="1184" spans="1:15" x14ac:dyDescent="0.25">
      <c r="A1184" s="14"/>
      <c r="B1184" s="14"/>
      <c r="C1184" s="14"/>
      <c r="D1184" s="5" t="str">
        <f t="shared" si="117"/>
        <v/>
      </c>
      <c r="E1184" s="5" t="str">
        <f t="shared" si="118"/>
        <v/>
      </c>
      <c r="F1184" s="5" t="str">
        <f t="shared" si="119"/>
        <v/>
      </c>
      <c r="G1184" s="23"/>
      <c r="H1184" s="66"/>
      <c r="I1184" s="14"/>
      <c r="J1184" s="14"/>
      <c r="K1184" s="14"/>
      <c r="L1184" s="5" t="str">
        <f t="shared" si="114"/>
        <v/>
      </c>
      <c r="M1184" s="5" t="str">
        <f t="shared" si="115"/>
        <v/>
      </c>
      <c r="N1184" s="5" t="str">
        <f t="shared" si="116"/>
        <v/>
      </c>
      <c r="O1184" s="4"/>
    </row>
    <row r="1185" spans="1:15" x14ac:dyDescent="0.25">
      <c r="A1185" s="14"/>
      <c r="B1185" s="14"/>
      <c r="C1185" s="14"/>
      <c r="D1185" s="5" t="str">
        <f t="shared" si="117"/>
        <v/>
      </c>
      <c r="E1185" s="5" t="str">
        <f t="shared" si="118"/>
        <v/>
      </c>
      <c r="F1185" s="5" t="str">
        <f t="shared" si="119"/>
        <v/>
      </c>
      <c r="G1185" s="23"/>
      <c r="H1185" s="66"/>
      <c r="I1185" s="14"/>
      <c r="J1185" s="14"/>
      <c r="K1185" s="14"/>
      <c r="L1185" s="5" t="str">
        <f t="shared" si="114"/>
        <v/>
      </c>
      <c r="M1185" s="5" t="str">
        <f t="shared" si="115"/>
        <v/>
      </c>
      <c r="N1185" s="5" t="str">
        <f t="shared" si="116"/>
        <v/>
      </c>
      <c r="O1185" s="4"/>
    </row>
    <row r="1186" spans="1:15" x14ac:dyDescent="0.25">
      <c r="A1186" s="14"/>
      <c r="B1186" s="14"/>
      <c r="C1186" s="14"/>
      <c r="D1186" s="5" t="str">
        <f t="shared" si="117"/>
        <v/>
      </c>
      <c r="E1186" s="5" t="str">
        <f t="shared" si="118"/>
        <v/>
      </c>
      <c r="F1186" s="5" t="str">
        <f t="shared" si="119"/>
        <v/>
      </c>
      <c r="G1186" s="23"/>
      <c r="H1186" s="66"/>
      <c r="I1186" s="14"/>
      <c r="J1186" s="14"/>
      <c r="K1186" s="14"/>
      <c r="L1186" s="5" t="str">
        <f t="shared" si="114"/>
        <v/>
      </c>
      <c r="M1186" s="5" t="str">
        <f t="shared" si="115"/>
        <v/>
      </c>
      <c r="N1186" s="5" t="str">
        <f t="shared" si="116"/>
        <v/>
      </c>
      <c r="O1186" s="4"/>
    </row>
    <row r="1187" spans="1:15" x14ac:dyDescent="0.25">
      <c r="A1187" s="14"/>
      <c r="B1187" s="14"/>
      <c r="C1187" s="14"/>
      <c r="D1187" s="5" t="str">
        <f t="shared" si="117"/>
        <v/>
      </c>
      <c r="E1187" s="5" t="str">
        <f t="shared" si="118"/>
        <v/>
      </c>
      <c r="F1187" s="5" t="str">
        <f t="shared" si="119"/>
        <v/>
      </c>
      <c r="G1187" s="23"/>
      <c r="H1187" s="66"/>
      <c r="I1187" s="14"/>
      <c r="J1187" s="14"/>
      <c r="K1187" s="14"/>
      <c r="L1187" s="5" t="str">
        <f t="shared" si="114"/>
        <v/>
      </c>
      <c r="M1187" s="5" t="str">
        <f t="shared" si="115"/>
        <v/>
      </c>
      <c r="N1187" s="5" t="str">
        <f t="shared" si="116"/>
        <v/>
      </c>
      <c r="O1187" s="4"/>
    </row>
    <row r="1188" spans="1:15" x14ac:dyDescent="0.25">
      <c r="A1188" s="14"/>
      <c r="B1188" s="14"/>
      <c r="C1188" s="14"/>
      <c r="D1188" s="5" t="str">
        <f t="shared" si="117"/>
        <v/>
      </c>
      <c r="E1188" s="5" t="str">
        <f t="shared" si="118"/>
        <v/>
      </c>
      <c r="F1188" s="5" t="str">
        <f t="shared" si="119"/>
        <v/>
      </c>
      <c r="G1188" s="23"/>
      <c r="H1188" s="66"/>
      <c r="I1188" s="14"/>
      <c r="J1188" s="14"/>
      <c r="K1188" s="14"/>
      <c r="L1188" s="5" t="str">
        <f t="shared" si="114"/>
        <v/>
      </c>
      <c r="M1188" s="5" t="str">
        <f t="shared" si="115"/>
        <v/>
      </c>
      <c r="N1188" s="5" t="str">
        <f t="shared" si="116"/>
        <v/>
      </c>
      <c r="O1188" s="4"/>
    </row>
    <row r="1189" spans="1:15" x14ac:dyDescent="0.25">
      <c r="A1189" s="14"/>
      <c r="B1189" s="14"/>
      <c r="C1189" s="14"/>
      <c r="D1189" s="5" t="str">
        <f t="shared" si="117"/>
        <v/>
      </c>
      <c r="E1189" s="5" t="str">
        <f t="shared" si="118"/>
        <v/>
      </c>
      <c r="F1189" s="5" t="str">
        <f t="shared" si="119"/>
        <v/>
      </c>
      <c r="G1189" s="23"/>
      <c r="H1189" s="66"/>
      <c r="I1189" s="14"/>
      <c r="J1189" s="14"/>
      <c r="K1189" s="14"/>
      <c r="L1189" s="5" t="str">
        <f t="shared" si="114"/>
        <v/>
      </c>
      <c r="M1189" s="5" t="str">
        <f t="shared" si="115"/>
        <v/>
      </c>
      <c r="N1189" s="5" t="str">
        <f t="shared" si="116"/>
        <v/>
      </c>
      <c r="O1189" s="4"/>
    </row>
    <row r="1190" spans="1:15" x14ac:dyDescent="0.25">
      <c r="A1190" s="14"/>
      <c r="B1190" s="14"/>
      <c r="C1190" s="14"/>
      <c r="D1190" s="5" t="str">
        <f t="shared" si="117"/>
        <v/>
      </c>
      <c r="E1190" s="5" t="str">
        <f t="shared" si="118"/>
        <v/>
      </c>
      <c r="F1190" s="5" t="str">
        <f t="shared" si="119"/>
        <v/>
      </c>
      <c r="G1190" s="23"/>
      <c r="H1190" s="66"/>
      <c r="I1190" s="14"/>
      <c r="J1190" s="14"/>
      <c r="K1190" s="14"/>
      <c r="L1190" s="5" t="str">
        <f t="shared" si="114"/>
        <v/>
      </c>
      <c r="M1190" s="5" t="str">
        <f t="shared" si="115"/>
        <v/>
      </c>
      <c r="N1190" s="5" t="str">
        <f t="shared" si="116"/>
        <v/>
      </c>
      <c r="O1190" s="4"/>
    </row>
    <row r="1191" spans="1:15" x14ac:dyDescent="0.25">
      <c r="A1191" s="14"/>
      <c r="B1191" s="14"/>
      <c r="C1191" s="14"/>
      <c r="D1191" s="5" t="str">
        <f t="shared" si="117"/>
        <v/>
      </c>
      <c r="E1191" s="5" t="str">
        <f t="shared" si="118"/>
        <v/>
      </c>
      <c r="F1191" s="5" t="str">
        <f t="shared" si="119"/>
        <v/>
      </c>
      <c r="G1191" s="23"/>
      <c r="H1191" s="66"/>
      <c r="I1191" s="14"/>
      <c r="J1191" s="14"/>
      <c r="K1191" s="14"/>
      <c r="L1191" s="5" t="str">
        <f t="shared" si="114"/>
        <v/>
      </c>
      <c r="M1191" s="5" t="str">
        <f t="shared" si="115"/>
        <v/>
      </c>
      <c r="N1191" s="5" t="str">
        <f t="shared" si="116"/>
        <v/>
      </c>
      <c r="O1191" s="4"/>
    </row>
    <row r="1192" spans="1:15" x14ac:dyDescent="0.25">
      <c r="A1192" s="14"/>
      <c r="B1192" s="14"/>
      <c r="C1192" s="14"/>
      <c r="D1192" s="5" t="str">
        <f t="shared" si="117"/>
        <v/>
      </c>
      <c r="E1192" s="5" t="str">
        <f t="shared" si="118"/>
        <v/>
      </c>
      <c r="F1192" s="5" t="str">
        <f t="shared" si="119"/>
        <v/>
      </c>
      <c r="G1192" s="23"/>
      <c r="H1192" s="66"/>
      <c r="I1192" s="14"/>
      <c r="J1192" s="14"/>
      <c r="K1192" s="14"/>
      <c r="L1192" s="5" t="str">
        <f t="shared" si="114"/>
        <v/>
      </c>
      <c r="M1192" s="5" t="str">
        <f t="shared" si="115"/>
        <v/>
      </c>
      <c r="N1192" s="5" t="str">
        <f t="shared" si="116"/>
        <v/>
      </c>
      <c r="O1192" s="4"/>
    </row>
    <row r="1193" spans="1:15" x14ac:dyDescent="0.25">
      <c r="A1193" s="14"/>
      <c r="B1193" s="14"/>
      <c r="C1193" s="14"/>
      <c r="D1193" s="5" t="str">
        <f t="shared" si="117"/>
        <v/>
      </c>
      <c r="E1193" s="5" t="str">
        <f t="shared" si="118"/>
        <v/>
      </c>
      <c r="F1193" s="5" t="str">
        <f t="shared" si="119"/>
        <v/>
      </c>
      <c r="G1193" s="23"/>
      <c r="H1193" s="66"/>
      <c r="I1193" s="14"/>
      <c r="J1193" s="14"/>
      <c r="K1193" s="14"/>
      <c r="L1193" s="5" t="str">
        <f t="shared" si="114"/>
        <v/>
      </c>
      <c r="M1193" s="5" t="str">
        <f t="shared" si="115"/>
        <v/>
      </c>
      <c r="N1193" s="5" t="str">
        <f t="shared" si="116"/>
        <v/>
      </c>
      <c r="O1193" s="4"/>
    </row>
    <row r="1194" spans="1:15" x14ac:dyDescent="0.25">
      <c r="A1194" s="14"/>
      <c r="B1194" s="14"/>
      <c r="C1194" s="14"/>
      <c r="D1194" s="5" t="str">
        <f t="shared" si="117"/>
        <v/>
      </c>
      <c r="E1194" s="5" t="str">
        <f t="shared" si="118"/>
        <v/>
      </c>
      <c r="F1194" s="5" t="str">
        <f t="shared" si="119"/>
        <v/>
      </c>
      <c r="G1194" s="23"/>
      <c r="H1194" s="66"/>
      <c r="I1194" s="14"/>
      <c r="J1194" s="14"/>
      <c r="K1194" s="14"/>
      <c r="L1194" s="5" t="str">
        <f t="shared" si="114"/>
        <v/>
      </c>
      <c r="M1194" s="5" t="str">
        <f t="shared" si="115"/>
        <v/>
      </c>
      <c r="N1194" s="5" t="str">
        <f t="shared" si="116"/>
        <v/>
      </c>
      <c r="O1194" s="4"/>
    </row>
    <row r="1195" spans="1:15" x14ac:dyDescent="0.25">
      <c r="A1195" s="14"/>
      <c r="B1195" s="14"/>
      <c r="C1195" s="14"/>
      <c r="D1195" s="5" t="str">
        <f t="shared" si="117"/>
        <v/>
      </c>
      <c r="E1195" s="5" t="str">
        <f t="shared" si="118"/>
        <v/>
      </c>
      <c r="F1195" s="5" t="str">
        <f t="shared" si="119"/>
        <v/>
      </c>
      <c r="G1195" s="23"/>
      <c r="H1195" s="66"/>
      <c r="I1195" s="14"/>
      <c r="J1195" s="14"/>
      <c r="K1195" s="14"/>
      <c r="L1195" s="5" t="str">
        <f t="shared" si="114"/>
        <v/>
      </c>
      <c r="M1195" s="5" t="str">
        <f t="shared" si="115"/>
        <v/>
      </c>
      <c r="N1195" s="5" t="str">
        <f t="shared" si="116"/>
        <v/>
      </c>
      <c r="O1195" s="4"/>
    </row>
    <row r="1196" spans="1:15" x14ac:dyDescent="0.25">
      <c r="A1196" s="14"/>
      <c r="B1196" s="14"/>
      <c r="C1196" s="14"/>
      <c r="D1196" s="5" t="str">
        <f t="shared" si="117"/>
        <v/>
      </c>
      <c r="E1196" s="5" t="str">
        <f t="shared" si="118"/>
        <v/>
      </c>
      <c r="F1196" s="5" t="str">
        <f t="shared" si="119"/>
        <v/>
      </c>
      <c r="G1196" s="23"/>
      <c r="H1196" s="66"/>
      <c r="I1196" s="14"/>
      <c r="J1196" s="14"/>
      <c r="K1196" s="14"/>
      <c r="L1196" s="5" t="str">
        <f t="shared" si="114"/>
        <v/>
      </c>
      <c r="M1196" s="5" t="str">
        <f t="shared" si="115"/>
        <v/>
      </c>
      <c r="N1196" s="5" t="str">
        <f t="shared" si="116"/>
        <v/>
      </c>
      <c r="O1196" s="4"/>
    </row>
    <row r="1197" spans="1:15" x14ac:dyDescent="0.25">
      <c r="A1197" s="14"/>
      <c r="B1197" s="14"/>
      <c r="C1197" s="14"/>
      <c r="D1197" s="5" t="str">
        <f t="shared" si="117"/>
        <v/>
      </c>
      <c r="E1197" s="5" t="str">
        <f t="shared" si="118"/>
        <v/>
      </c>
      <c r="F1197" s="5" t="str">
        <f t="shared" si="119"/>
        <v/>
      </c>
      <c r="G1197" s="23"/>
      <c r="H1197" s="66"/>
      <c r="I1197" s="14"/>
      <c r="J1197" s="14"/>
      <c r="K1197" s="14"/>
      <c r="L1197" s="5" t="str">
        <f t="shared" si="114"/>
        <v/>
      </c>
      <c r="M1197" s="5" t="str">
        <f t="shared" si="115"/>
        <v/>
      </c>
      <c r="N1197" s="5" t="str">
        <f t="shared" si="116"/>
        <v/>
      </c>
      <c r="O1197" s="4"/>
    </row>
    <row r="1198" spans="1:15" x14ac:dyDescent="0.25">
      <c r="A1198" s="14"/>
      <c r="B1198" s="14"/>
      <c r="C1198" s="14"/>
      <c r="D1198" s="5" t="str">
        <f t="shared" si="117"/>
        <v/>
      </c>
      <c r="E1198" s="5" t="str">
        <f t="shared" si="118"/>
        <v/>
      </c>
      <c r="F1198" s="5" t="str">
        <f t="shared" si="119"/>
        <v/>
      </c>
      <c r="G1198" s="23"/>
      <c r="H1198" s="66"/>
      <c r="I1198" s="14"/>
      <c r="J1198" s="14"/>
      <c r="K1198" s="14"/>
      <c r="L1198" s="5" t="str">
        <f t="shared" si="114"/>
        <v/>
      </c>
      <c r="M1198" s="5" t="str">
        <f t="shared" si="115"/>
        <v/>
      </c>
      <c r="N1198" s="5" t="str">
        <f t="shared" si="116"/>
        <v/>
      </c>
      <c r="O1198" s="4"/>
    </row>
    <row r="1199" spans="1:15" x14ac:dyDescent="0.25">
      <c r="A1199" s="14"/>
      <c r="B1199" s="14"/>
      <c r="C1199" s="14"/>
      <c r="D1199" s="5" t="str">
        <f t="shared" si="117"/>
        <v/>
      </c>
      <c r="E1199" s="5" t="str">
        <f t="shared" si="118"/>
        <v/>
      </c>
      <c r="F1199" s="5" t="str">
        <f t="shared" si="119"/>
        <v/>
      </c>
      <c r="G1199" s="23"/>
      <c r="H1199" s="66"/>
      <c r="I1199" s="14"/>
      <c r="J1199" s="14"/>
      <c r="K1199" s="14"/>
      <c r="L1199" s="5" t="str">
        <f t="shared" si="114"/>
        <v/>
      </c>
      <c r="M1199" s="5" t="str">
        <f t="shared" si="115"/>
        <v/>
      </c>
      <c r="N1199" s="5" t="str">
        <f t="shared" si="116"/>
        <v/>
      </c>
      <c r="O1199" s="4"/>
    </row>
    <row r="1200" spans="1:15" x14ac:dyDescent="0.25">
      <c r="A1200" s="14"/>
      <c r="B1200" s="14"/>
      <c r="C1200" s="14"/>
      <c r="D1200" s="5" t="str">
        <f t="shared" si="117"/>
        <v/>
      </c>
      <c r="E1200" s="5" t="str">
        <f t="shared" si="118"/>
        <v/>
      </c>
      <c r="F1200" s="5" t="str">
        <f t="shared" si="119"/>
        <v/>
      </c>
      <c r="G1200" s="23"/>
      <c r="H1200" s="66"/>
      <c r="I1200" s="14"/>
      <c r="J1200" s="14"/>
      <c r="K1200" s="14"/>
      <c r="L1200" s="5" t="str">
        <f t="shared" si="114"/>
        <v/>
      </c>
      <c r="M1200" s="5" t="str">
        <f t="shared" si="115"/>
        <v/>
      </c>
      <c r="N1200" s="5" t="str">
        <f t="shared" si="116"/>
        <v/>
      </c>
      <c r="O1200" s="4"/>
    </row>
    <row r="1201" spans="1:15" x14ac:dyDescent="0.25">
      <c r="A1201" s="14"/>
      <c r="B1201" s="14"/>
      <c r="C1201" s="14"/>
      <c r="D1201" s="5" t="str">
        <f t="shared" si="117"/>
        <v/>
      </c>
      <c r="E1201" s="5" t="str">
        <f t="shared" si="118"/>
        <v/>
      </c>
      <c r="F1201" s="5" t="str">
        <f t="shared" si="119"/>
        <v/>
      </c>
      <c r="G1201" s="23"/>
      <c r="H1201" s="66"/>
      <c r="I1201" s="14"/>
      <c r="J1201" s="14"/>
      <c r="K1201" s="14"/>
      <c r="L1201" s="5" t="str">
        <f t="shared" si="114"/>
        <v/>
      </c>
      <c r="M1201" s="5" t="str">
        <f t="shared" si="115"/>
        <v/>
      </c>
      <c r="N1201" s="5" t="str">
        <f t="shared" si="116"/>
        <v/>
      </c>
      <c r="O1201" s="4"/>
    </row>
    <row r="1202" spans="1:15" x14ac:dyDescent="0.25">
      <c r="A1202" s="14"/>
      <c r="B1202" s="14"/>
      <c r="C1202" s="14"/>
      <c r="D1202" s="5" t="str">
        <f t="shared" si="117"/>
        <v/>
      </c>
      <c r="E1202" s="5" t="str">
        <f t="shared" si="118"/>
        <v/>
      </c>
      <c r="F1202" s="5" t="str">
        <f t="shared" si="119"/>
        <v/>
      </c>
      <c r="G1202" s="23"/>
      <c r="H1202" s="66"/>
      <c r="I1202" s="14"/>
      <c r="J1202" s="14"/>
      <c r="K1202" s="14"/>
      <c r="L1202" s="5" t="str">
        <f t="shared" si="114"/>
        <v/>
      </c>
      <c r="M1202" s="5" t="str">
        <f t="shared" si="115"/>
        <v/>
      </c>
      <c r="N1202" s="5" t="str">
        <f t="shared" si="116"/>
        <v/>
      </c>
      <c r="O1202" s="4"/>
    </row>
    <row r="1203" spans="1:15" x14ac:dyDescent="0.25">
      <c r="A1203" s="14"/>
      <c r="B1203" s="14"/>
      <c r="C1203" s="14"/>
      <c r="D1203" s="5" t="str">
        <f t="shared" si="117"/>
        <v/>
      </c>
      <c r="E1203" s="5" t="str">
        <f t="shared" si="118"/>
        <v/>
      </c>
      <c r="F1203" s="5" t="str">
        <f t="shared" si="119"/>
        <v/>
      </c>
      <c r="G1203" s="23"/>
      <c r="H1203" s="66"/>
      <c r="I1203" s="14"/>
      <c r="J1203" s="14"/>
      <c r="K1203" s="14"/>
      <c r="L1203" s="5" t="str">
        <f t="shared" si="114"/>
        <v/>
      </c>
      <c r="M1203" s="5" t="str">
        <f t="shared" si="115"/>
        <v/>
      </c>
      <c r="N1203" s="5" t="str">
        <f t="shared" si="116"/>
        <v/>
      </c>
      <c r="O1203" s="4"/>
    </row>
    <row r="1204" spans="1:15" x14ac:dyDescent="0.25">
      <c r="A1204" s="14"/>
      <c r="B1204" s="14"/>
      <c r="C1204" s="14"/>
      <c r="D1204" s="5" t="str">
        <f t="shared" si="117"/>
        <v/>
      </c>
      <c r="E1204" s="5" t="str">
        <f t="shared" si="118"/>
        <v/>
      </c>
      <c r="F1204" s="5" t="str">
        <f t="shared" si="119"/>
        <v/>
      </c>
      <c r="G1204" s="23"/>
      <c r="H1204" s="66"/>
      <c r="I1204" s="14"/>
      <c r="J1204" s="14"/>
      <c r="K1204" s="14"/>
      <c r="L1204" s="5" t="str">
        <f t="shared" si="114"/>
        <v/>
      </c>
      <c r="M1204" s="5" t="str">
        <f t="shared" si="115"/>
        <v/>
      </c>
      <c r="N1204" s="5" t="str">
        <f t="shared" si="116"/>
        <v/>
      </c>
      <c r="O1204" s="4"/>
    </row>
    <row r="1205" spans="1:15" x14ac:dyDescent="0.25">
      <c r="A1205" s="14"/>
      <c r="B1205" s="14"/>
      <c r="C1205" s="14"/>
      <c r="D1205" s="5" t="str">
        <f t="shared" si="117"/>
        <v/>
      </c>
      <c r="E1205" s="5" t="str">
        <f t="shared" si="118"/>
        <v/>
      </c>
      <c r="F1205" s="5" t="str">
        <f t="shared" si="119"/>
        <v/>
      </c>
      <c r="G1205" s="23"/>
      <c r="H1205" s="66"/>
      <c r="I1205" s="14"/>
      <c r="J1205" s="14"/>
      <c r="K1205" s="14"/>
      <c r="L1205" s="5" t="str">
        <f t="shared" si="114"/>
        <v/>
      </c>
      <c r="M1205" s="5" t="str">
        <f t="shared" si="115"/>
        <v/>
      </c>
      <c r="N1205" s="5" t="str">
        <f t="shared" si="116"/>
        <v/>
      </c>
      <c r="O1205" s="4"/>
    </row>
    <row r="1206" spans="1:15" x14ac:dyDescent="0.25">
      <c r="A1206" s="14"/>
      <c r="B1206" s="14"/>
      <c r="C1206" s="14"/>
      <c r="D1206" s="5" t="str">
        <f t="shared" si="117"/>
        <v/>
      </c>
      <c r="E1206" s="5" t="str">
        <f t="shared" si="118"/>
        <v/>
      </c>
      <c r="F1206" s="5" t="str">
        <f t="shared" si="119"/>
        <v/>
      </c>
      <c r="G1206" s="23"/>
      <c r="H1206" s="66"/>
      <c r="I1206" s="14"/>
      <c r="J1206" s="14"/>
      <c r="K1206" s="14"/>
      <c r="L1206" s="5" t="str">
        <f t="shared" si="114"/>
        <v/>
      </c>
      <c r="M1206" s="5" t="str">
        <f t="shared" si="115"/>
        <v/>
      </c>
      <c r="N1206" s="5" t="str">
        <f t="shared" si="116"/>
        <v/>
      </c>
      <c r="O1206" s="4"/>
    </row>
    <row r="1207" spans="1:15" x14ac:dyDescent="0.25">
      <c r="A1207" s="14"/>
      <c r="B1207" s="14"/>
      <c r="C1207" s="14"/>
      <c r="D1207" s="5" t="str">
        <f t="shared" si="117"/>
        <v/>
      </c>
      <c r="E1207" s="5" t="str">
        <f t="shared" si="118"/>
        <v/>
      </c>
      <c r="F1207" s="5" t="str">
        <f t="shared" si="119"/>
        <v/>
      </c>
      <c r="G1207" s="23"/>
      <c r="H1207" s="66"/>
      <c r="I1207" s="14"/>
      <c r="J1207" s="14"/>
      <c r="K1207" s="14"/>
      <c r="L1207" s="5" t="str">
        <f t="shared" si="114"/>
        <v/>
      </c>
      <c r="M1207" s="5" t="str">
        <f t="shared" si="115"/>
        <v/>
      </c>
      <c r="N1207" s="5" t="str">
        <f t="shared" si="116"/>
        <v/>
      </c>
      <c r="O1207" s="4"/>
    </row>
    <row r="1208" spans="1:15" x14ac:dyDescent="0.25">
      <c r="A1208" s="14"/>
      <c r="B1208" s="14"/>
      <c r="C1208" s="14"/>
      <c r="D1208" s="5" t="str">
        <f t="shared" si="117"/>
        <v/>
      </c>
      <c r="E1208" s="5" t="str">
        <f t="shared" si="118"/>
        <v/>
      </c>
      <c r="F1208" s="5" t="str">
        <f t="shared" si="119"/>
        <v/>
      </c>
      <c r="G1208" s="23"/>
      <c r="H1208" s="66"/>
      <c r="I1208" s="14"/>
      <c r="J1208" s="14"/>
      <c r="K1208" s="14"/>
      <c r="L1208" s="5" t="str">
        <f t="shared" si="114"/>
        <v/>
      </c>
      <c r="M1208" s="5" t="str">
        <f t="shared" si="115"/>
        <v/>
      </c>
      <c r="N1208" s="5" t="str">
        <f t="shared" si="116"/>
        <v/>
      </c>
      <c r="O1208" s="4"/>
    </row>
    <row r="1209" spans="1:15" x14ac:dyDescent="0.25">
      <c r="A1209" s="14"/>
      <c r="B1209" s="14"/>
      <c r="C1209" s="14"/>
      <c r="D1209" s="5" t="str">
        <f t="shared" si="117"/>
        <v/>
      </c>
      <c r="E1209" s="5" t="str">
        <f t="shared" si="118"/>
        <v/>
      </c>
      <c r="F1209" s="5" t="str">
        <f t="shared" si="119"/>
        <v/>
      </c>
      <c r="G1209" s="23"/>
      <c r="H1209" s="66"/>
      <c r="I1209" s="14"/>
      <c r="J1209" s="14"/>
      <c r="K1209" s="14"/>
      <c r="L1209" s="5" t="str">
        <f t="shared" si="114"/>
        <v/>
      </c>
      <c r="M1209" s="5" t="str">
        <f t="shared" si="115"/>
        <v/>
      </c>
      <c r="N1209" s="5" t="str">
        <f t="shared" si="116"/>
        <v/>
      </c>
      <c r="O1209" s="4"/>
    </row>
    <row r="1210" spans="1:15" x14ac:dyDescent="0.25">
      <c r="A1210" s="14"/>
      <c r="B1210" s="14"/>
      <c r="C1210" s="14"/>
      <c r="D1210" s="5" t="str">
        <f t="shared" si="117"/>
        <v/>
      </c>
      <c r="E1210" s="5" t="str">
        <f t="shared" si="118"/>
        <v/>
      </c>
      <c r="F1210" s="5" t="str">
        <f t="shared" si="119"/>
        <v/>
      </c>
      <c r="G1210" s="23"/>
      <c r="H1210" s="66"/>
      <c r="I1210" s="14"/>
      <c r="J1210" s="14"/>
      <c r="K1210" s="14"/>
      <c r="L1210" s="5" t="str">
        <f t="shared" si="114"/>
        <v/>
      </c>
      <c r="M1210" s="5" t="str">
        <f t="shared" si="115"/>
        <v/>
      </c>
      <c r="N1210" s="5" t="str">
        <f t="shared" si="116"/>
        <v/>
      </c>
      <c r="O1210" s="4"/>
    </row>
    <row r="1211" spans="1:15" x14ac:dyDescent="0.25">
      <c r="A1211" s="14"/>
      <c r="B1211" s="14"/>
      <c r="C1211" s="14"/>
      <c r="D1211" s="5" t="str">
        <f t="shared" si="117"/>
        <v/>
      </c>
      <c r="E1211" s="5" t="str">
        <f t="shared" si="118"/>
        <v/>
      </c>
      <c r="F1211" s="5" t="str">
        <f t="shared" si="119"/>
        <v/>
      </c>
      <c r="G1211" s="23"/>
      <c r="H1211" s="66"/>
      <c r="I1211" s="14"/>
      <c r="J1211" s="14"/>
      <c r="K1211" s="14"/>
      <c r="L1211" s="5" t="str">
        <f t="shared" si="114"/>
        <v/>
      </c>
      <c r="M1211" s="5" t="str">
        <f t="shared" si="115"/>
        <v/>
      </c>
      <c r="N1211" s="5" t="str">
        <f t="shared" si="116"/>
        <v/>
      </c>
      <c r="O1211" s="4"/>
    </row>
    <row r="1212" spans="1:15" x14ac:dyDescent="0.25">
      <c r="A1212" s="14"/>
      <c r="B1212" s="14"/>
      <c r="C1212" s="14"/>
      <c r="D1212" s="5" t="str">
        <f t="shared" si="117"/>
        <v/>
      </c>
      <c r="E1212" s="5" t="str">
        <f t="shared" si="118"/>
        <v/>
      </c>
      <c r="F1212" s="5" t="str">
        <f t="shared" si="119"/>
        <v/>
      </c>
      <c r="G1212" s="23"/>
      <c r="H1212" s="66"/>
      <c r="I1212" s="14"/>
      <c r="J1212" s="14"/>
      <c r="K1212" s="14"/>
      <c r="L1212" s="5" t="str">
        <f t="shared" si="114"/>
        <v/>
      </c>
      <c r="M1212" s="5" t="str">
        <f t="shared" si="115"/>
        <v/>
      </c>
      <c r="N1212" s="5" t="str">
        <f t="shared" si="116"/>
        <v/>
      </c>
      <c r="O1212" s="4"/>
    </row>
    <row r="1213" spans="1:15" x14ac:dyDescent="0.25">
      <c r="A1213" s="14"/>
      <c r="B1213" s="14"/>
      <c r="C1213" s="14"/>
      <c r="D1213" s="5" t="str">
        <f t="shared" si="117"/>
        <v/>
      </c>
      <c r="E1213" s="5" t="str">
        <f t="shared" si="118"/>
        <v/>
      </c>
      <c r="F1213" s="5" t="str">
        <f t="shared" si="119"/>
        <v/>
      </c>
      <c r="G1213" s="23"/>
      <c r="H1213" s="66"/>
      <c r="I1213" s="14"/>
      <c r="J1213" s="14"/>
      <c r="K1213" s="14"/>
      <c r="L1213" s="5" t="str">
        <f t="shared" si="114"/>
        <v/>
      </c>
      <c r="M1213" s="5" t="str">
        <f t="shared" si="115"/>
        <v/>
      </c>
      <c r="N1213" s="5" t="str">
        <f t="shared" si="116"/>
        <v/>
      </c>
      <c r="O1213" s="4"/>
    </row>
    <row r="1214" spans="1:15" x14ac:dyDescent="0.25">
      <c r="A1214" s="14"/>
      <c r="B1214" s="14"/>
      <c r="C1214" s="14"/>
      <c r="D1214" s="5" t="str">
        <f t="shared" si="117"/>
        <v/>
      </c>
      <c r="E1214" s="5" t="str">
        <f t="shared" si="118"/>
        <v/>
      </c>
      <c r="F1214" s="5" t="str">
        <f t="shared" si="119"/>
        <v/>
      </c>
      <c r="G1214" s="23"/>
      <c r="H1214" s="66"/>
      <c r="I1214" s="14"/>
      <c r="J1214" s="14"/>
      <c r="K1214" s="14"/>
      <c r="L1214" s="5" t="str">
        <f t="shared" si="114"/>
        <v/>
      </c>
      <c r="M1214" s="5" t="str">
        <f t="shared" si="115"/>
        <v/>
      </c>
      <c r="N1214" s="5" t="str">
        <f t="shared" si="116"/>
        <v/>
      </c>
      <c r="O1214" s="4"/>
    </row>
    <row r="1215" spans="1:15" x14ac:dyDescent="0.25">
      <c r="A1215" s="14"/>
      <c r="B1215" s="14"/>
      <c r="C1215" s="14"/>
      <c r="D1215" s="5" t="str">
        <f t="shared" si="117"/>
        <v/>
      </c>
      <c r="E1215" s="5" t="str">
        <f t="shared" si="118"/>
        <v/>
      </c>
      <c r="F1215" s="5" t="str">
        <f t="shared" si="119"/>
        <v/>
      </c>
      <c r="G1215" s="23"/>
      <c r="H1215" s="66"/>
      <c r="I1215" s="14"/>
      <c r="J1215" s="14"/>
      <c r="K1215" s="14"/>
      <c r="L1215" s="5" t="str">
        <f t="shared" si="114"/>
        <v/>
      </c>
      <c r="M1215" s="5" t="str">
        <f t="shared" si="115"/>
        <v/>
      </c>
      <c r="N1215" s="5" t="str">
        <f t="shared" si="116"/>
        <v/>
      </c>
      <c r="O1215" s="4"/>
    </row>
    <row r="1216" spans="1:15" x14ac:dyDescent="0.25">
      <c r="A1216" s="14"/>
      <c r="B1216" s="14"/>
      <c r="C1216" s="14"/>
      <c r="D1216" s="5" t="str">
        <f t="shared" si="117"/>
        <v/>
      </c>
      <c r="E1216" s="5" t="str">
        <f t="shared" si="118"/>
        <v/>
      </c>
      <c r="F1216" s="5" t="str">
        <f t="shared" si="119"/>
        <v/>
      </c>
      <c r="G1216" s="23"/>
      <c r="H1216" s="66"/>
      <c r="I1216" s="14"/>
      <c r="J1216" s="14"/>
      <c r="K1216" s="14"/>
      <c r="L1216" s="5" t="str">
        <f t="shared" si="114"/>
        <v/>
      </c>
      <c r="M1216" s="5" t="str">
        <f t="shared" si="115"/>
        <v/>
      </c>
      <c r="N1216" s="5" t="str">
        <f t="shared" si="116"/>
        <v/>
      </c>
      <c r="O1216" s="4"/>
    </row>
    <row r="1217" spans="1:15" x14ac:dyDescent="0.25">
      <c r="A1217" s="14"/>
      <c r="B1217" s="14"/>
      <c r="C1217" s="14"/>
      <c r="D1217" s="5" t="str">
        <f t="shared" si="117"/>
        <v/>
      </c>
      <c r="E1217" s="5" t="str">
        <f t="shared" si="118"/>
        <v/>
      </c>
      <c r="F1217" s="5" t="str">
        <f t="shared" si="119"/>
        <v/>
      </c>
      <c r="G1217" s="23"/>
      <c r="H1217" s="66"/>
      <c r="I1217" s="14"/>
      <c r="J1217" s="14"/>
      <c r="K1217" s="14"/>
      <c r="L1217" s="5" t="str">
        <f t="shared" si="114"/>
        <v/>
      </c>
      <c r="M1217" s="5" t="str">
        <f t="shared" si="115"/>
        <v/>
      </c>
      <c r="N1217" s="5" t="str">
        <f t="shared" si="116"/>
        <v/>
      </c>
      <c r="O1217" s="4"/>
    </row>
    <row r="1218" spans="1:15" x14ac:dyDescent="0.25">
      <c r="A1218" s="14"/>
      <c r="B1218" s="14"/>
      <c r="C1218" s="14"/>
      <c r="D1218" s="5" t="str">
        <f t="shared" si="117"/>
        <v/>
      </c>
      <c r="E1218" s="5" t="str">
        <f t="shared" si="118"/>
        <v/>
      </c>
      <c r="F1218" s="5" t="str">
        <f t="shared" si="119"/>
        <v/>
      </c>
      <c r="G1218" s="23"/>
      <c r="H1218" s="66"/>
      <c r="I1218" s="14"/>
      <c r="J1218" s="14"/>
      <c r="K1218" s="14"/>
      <c r="L1218" s="5" t="str">
        <f t="shared" si="114"/>
        <v/>
      </c>
      <c r="M1218" s="5" t="str">
        <f t="shared" si="115"/>
        <v/>
      </c>
      <c r="N1218" s="5" t="str">
        <f t="shared" si="116"/>
        <v/>
      </c>
      <c r="O1218" s="4"/>
    </row>
    <row r="1219" spans="1:15" x14ac:dyDescent="0.25">
      <c r="A1219" s="14"/>
      <c r="B1219" s="14"/>
      <c r="C1219" s="14"/>
      <c r="D1219" s="5" t="str">
        <f t="shared" si="117"/>
        <v/>
      </c>
      <c r="E1219" s="5" t="str">
        <f t="shared" si="118"/>
        <v/>
      </c>
      <c r="F1219" s="5" t="str">
        <f t="shared" si="119"/>
        <v/>
      </c>
      <c r="G1219" s="23"/>
      <c r="H1219" s="66"/>
      <c r="I1219" s="14"/>
      <c r="J1219" s="14"/>
      <c r="K1219" s="14"/>
      <c r="L1219" s="5" t="str">
        <f t="shared" si="114"/>
        <v/>
      </c>
      <c r="M1219" s="5" t="str">
        <f t="shared" si="115"/>
        <v/>
      </c>
      <c r="N1219" s="5" t="str">
        <f t="shared" si="116"/>
        <v/>
      </c>
      <c r="O1219" s="4"/>
    </row>
    <row r="1220" spans="1:15" x14ac:dyDescent="0.25">
      <c r="A1220" s="14"/>
      <c r="B1220" s="14"/>
      <c r="C1220" s="14"/>
      <c r="D1220" s="5" t="str">
        <f t="shared" si="117"/>
        <v/>
      </c>
      <c r="E1220" s="5" t="str">
        <f t="shared" si="118"/>
        <v/>
      </c>
      <c r="F1220" s="5" t="str">
        <f t="shared" si="119"/>
        <v/>
      </c>
      <c r="G1220" s="23"/>
      <c r="H1220" s="66"/>
      <c r="I1220" s="14"/>
      <c r="J1220" s="14"/>
      <c r="K1220" s="14"/>
      <c r="L1220" s="5" t="str">
        <f t="shared" si="114"/>
        <v/>
      </c>
      <c r="M1220" s="5" t="str">
        <f t="shared" si="115"/>
        <v/>
      </c>
      <c r="N1220" s="5" t="str">
        <f t="shared" si="116"/>
        <v/>
      </c>
      <c r="O1220" s="4"/>
    </row>
    <row r="1221" spans="1:15" x14ac:dyDescent="0.25">
      <c r="A1221" s="14"/>
      <c r="B1221" s="14"/>
      <c r="C1221" s="14"/>
      <c r="D1221" s="5" t="str">
        <f t="shared" si="117"/>
        <v/>
      </c>
      <c r="E1221" s="5" t="str">
        <f t="shared" si="118"/>
        <v/>
      </c>
      <c r="F1221" s="5" t="str">
        <f t="shared" si="119"/>
        <v/>
      </c>
      <c r="G1221" s="23"/>
      <c r="H1221" s="66"/>
      <c r="I1221" s="14"/>
      <c r="J1221" s="14"/>
      <c r="K1221" s="14"/>
      <c r="L1221" s="5" t="str">
        <f t="shared" si="114"/>
        <v/>
      </c>
      <c r="M1221" s="5" t="str">
        <f t="shared" si="115"/>
        <v/>
      </c>
      <c r="N1221" s="5" t="str">
        <f t="shared" si="116"/>
        <v/>
      </c>
      <c r="O1221" s="4"/>
    </row>
    <row r="1222" spans="1:15" x14ac:dyDescent="0.25">
      <c r="A1222" s="14"/>
      <c r="B1222" s="14"/>
      <c r="C1222" s="14"/>
      <c r="D1222" s="5" t="str">
        <f t="shared" si="117"/>
        <v/>
      </c>
      <c r="E1222" s="5" t="str">
        <f t="shared" si="118"/>
        <v/>
      </c>
      <c r="F1222" s="5" t="str">
        <f t="shared" si="119"/>
        <v/>
      </c>
      <c r="G1222" s="23"/>
      <c r="H1222" s="66"/>
      <c r="I1222" s="14"/>
      <c r="J1222" s="14"/>
      <c r="K1222" s="14"/>
      <c r="L1222" s="5" t="str">
        <f t="shared" si="114"/>
        <v/>
      </c>
      <c r="M1222" s="5" t="str">
        <f t="shared" si="115"/>
        <v/>
      </c>
      <c r="N1222" s="5" t="str">
        <f t="shared" si="116"/>
        <v/>
      </c>
      <c r="O1222" s="4"/>
    </row>
    <row r="1223" spans="1:15" x14ac:dyDescent="0.25">
      <c r="A1223" s="14"/>
      <c r="B1223" s="14"/>
      <c r="C1223" s="14"/>
      <c r="D1223" s="5" t="str">
        <f t="shared" si="117"/>
        <v/>
      </c>
      <c r="E1223" s="5" t="str">
        <f t="shared" si="118"/>
        <v/>
      </c>
      <c r="F1223" s="5" t="str">
        <f t="shared" si="119"/>
        <v/>
      </c>
      <c r="G1223" s="23"/>
      <c r="H1223" s="66"/>
      <c r="I1223" s="14"/>
      <c r="J1223" s="14"/>
      <c r="K1223" s="14"/>
      <c r="L1223" s="5" t="str">
        <f t="shared" si="114"/>
        <v/>
      </c>
      <c r="M1223" s="5" t="str">
        <f t="shared" si="115"/>
        <v/>
      </c>
      <c r="N1223" s="5" t="str">
        <f t="shared" si="116"/>
        <v/>
      </c>
      <c r="O1223" s="4"/>
    </row>
    <row r="1224" spans="1:15" x14ac:dyDescent="0.25">
      <c r="A1224" s="14"/>
      <c r="B1224" s="14"/>
      <c r="C1224" s="14"/>
      <c r="D1224" s="5" t="str">
        <f t="shared" si="117"/>
        <v/>
      </c>
      <c r="E1224" s="5" t="str">
        <f t="shared" si="118"/>
        <v/>
      </c>
      <c r="F1224" s="5" t="str">
        <f t="shared" si="119"/>
        <v/>
      </c>
      <c r="G1224" s="23"/>
      <c r="H1224" s="66"/>
      <c r="I1224" s="14"/>
      <c r="J1224" s="14"/>
      <c r="K1224" s="14"/>
      <c r="L1224" s="5" t="str">
        <f t="shared" si="114"/>
        <v/>
      </c>
      <c r="M1224" s="5" t="str">
        <f t="shared" si="115"/>
        <v/>
      </c>
      <c r="N1224" s="5" t="str">
        <f t="shared" si="116"/>
        <v/>
      </c>
      <c r="O1224" s="4"/>
    </row>
    <row r="1225" spans="1:15" x14ac:dyDescent="0.25">
      <c r="A1225" s="14"/>
      <c r="B1225" s="14"/>
      <c r="C1225" s="14"/>
      <c r="D1225" s="5" t="str">
        <f t="shared" si="117"/>
        <v/>
      </c>
      <c r="E1225" s="5" t="str">
        <f t="shared" si="118"/>
        <v/>
      </c>
      <c r="F1225" s="5" t="str">
        <f t="shared" si="119"/>
        <v/>
      </c>
      <c r="G1225" s="23"/>
      <c r="H1225" s="66"/>
      <c r="I1225" s="14"/>
      <c r="J1225" s="14"/>
      <c r="K1225" s="14"/>
      <c r="L1225" s="5" t="str">
        <f t="shared" si="114"/>
        <v/>
      </c>
      <c r="M1225" s="5" t="str">
        <f t="shared" si="115"/>
        <v/>
      </c>
      <c r="N1225" s="5" t="str">
        <f t="shared" si="116"/>
        <v/>
      </c>
      <c r="O1225" s="4"/>
    </row>
    <row r="1226" spans="1:15" x14ac:dyDescent="0.25">
      <c r="A1226" s="14"/>
      <c r="B1226" s="14"/>
      <c r="C1226" s="14"/>
      <c r="D1226" s="5" t="str">
        <f t="shared" si="117"/>
        <v/>
      </c>
      <c r="E1226" s="5" t="str">
        <f t="shared" si="118"/>
        <v/>
      </c>
      <c r="F1226" s="5" t="str">
        <f t="shared" si="119"/>
        <v/>
      </c>
      <c r="G1226" s="23"/>
      <c r="H1226" s="66"/>
      <c r="I1226" s="14"/>
      <c r="J1226" s="14"/>
      <c r="K1226" s="14"/>
      <c r="L1226" s="5" t="str">
        <f t="shared" ref="L1226:L1289" si="120">IFERROR(IF(I1226&lt;&gt;"",(((J1226-J1225)*$X$4/(I1226-I1225)))*$X$5,""),"")</f>
        <v/>
      </c>
      <c r="M1226" s="5" t="str">
        <f t="shared" ref="M1226:M1289" si="121">IFERROR(IF(I1226&lt;&gt;"",(((K1226-K1225)*$X$4/(I1226-I1225)))*$X$5,""),"")</f>
        <v/>
      </c>
      <c r="N1226" s="5" t="str">
        <f t="shared" ref="N1226:N1289" si="122">IFERROR(IF(I1226&lt;&gt;"",((ACOS((COS(RADIANS(J1225))*COS(RADIANS(J1226)))+(SIN(RADIANS(J1225))*SIN(RADIANS(J1226)))*COS(RADIANS(K1226-K1225)))*180/PI()*($X$4/(I1226-I1225))))*$X$5,""),"")</f>
        <v/>
      </c>
      <c r="O1226" s="4"/>
    </row>
    <row r="1227" spans="1:15" x14ac:dyDescent="0.25">
      <c r="A1227" s="14"/>
      <c r="B1227" s="14"/>
      <c r="C1227" s="14"/>
      <c r="D1227" s="5" t="str">
        <f t="shared" si="117"/>
        <v/>
      </c>
      <c r="E1227" s="5" t="str">
        <f t="shared" si="118"/>
        <v/>
      </c>
      <c r="F1227" s="5" t="str">
        <f t="shared" si="119"/>
        <v/>
      </c>
      <c r="G1227" s="23"/>
      <c r="H1227" s="66"/>
      <c r="I1227" s="14"/>
      <c r="J1227" s="14"/>
      <c r="K1227" s="14"/>
      <c r="L1227" s="5" t="str">
        <f t="shared" si="120"/>
        <v/>
      </c>
      <c r="M1227" s="5" t="str">
        <f t="shared" si="121"/>
        <v/>
      </c>
      <c r="N1227" s="5" t="str">
        <f t="shared" si="122"/>
        <v/>
      </c>
      <c r="O1227" s="4"/>
    </row>
    <row r="1228" spans="1:15" x14ac:dyDescent="0.25">
      <c r="A1228" s="14"/>
      <c r="B1228" s="14"/>
      <c r="C1228" s="14"/>
      <c r="D1228" s="5" t="str">
        <f t="shared" si="117"/>
        <v/>
      </c>
      <c r="E1228" s="5" t="str">
        <f t="shared" si="118"/>
        <v/>
      </c>
      <c r="F1228" s="5" t="str">
        <f t="shared" si="119"/>
        <v/>
      </c>
      <c r="G1228" s="23"/>
      <c r="H1228" s="66"/>
      <c r="I1228" s="14"/>
      <c r="J1228" s="14"/>
      <c r="K1228" s="14"/>
      <c r="L1228" s="5" t="str">
        <f t="shared" si="120"/>
        <v/>
      </c>
      <c r="M1228" s="5" t="str">
        <f t="shared" si="121"/>
        <v/>
      </c>
      <c r="N1228" s="5" t="str">
        <f t="shared" si="122"/>
        <v/>
      </c>
      <c r="O1228" s="4"/>
    </row>
    <row r="1229" spans="1:15" x14ac:dyDescent="0.25">
      <c r="A1229" s="14"/>
      <c r="B1229" s="14"/>
      <c r="C1229" s="14"/>
      <c r="D1229" s="5" t="str">
        <f t="shared" si="117"/>
        <v/>
      </c>
      <c r="E1229" s="5" t="str">
        <f t="shared" si="118"/>
        <v/>
      </c>
      <c r="F1229" s="5" t="str">
        <f t="shared" si="119"/>
        <v/>
      </c>
      <c r="G1229" s="23"/>
      <c r="H1229" s="66"/>
      <c r="I1229" s="14"/>
      <c r="J1229" s="14"/>
      <c r="K1229" s="14"/>
      <c r="L1229" s="5" t="str">
        <f t="shared" si="120"/>
        <v/>
      </c>
      <c r="M1229" s="5" t="str">
        <f t="shared" si="121"/>
        <v/>
      </c>
      <c r="N1229" s="5" t="str">
        <f t="shared" si="122"/>
        <v/>
      </c>
      <c r="O1229" s="4"/>
    </row>
    <row r="1230" spans="1:15" x14ac:dyDescent="0.25">
      <c r="A1230" s="14"/>
      <c r="B1230" s="14"/>
      <c r="C1230" s="14"/>
      <c r="D1230" s="5" t="str">
        <f t="shared" si="117"/>
        <v/>
      </c>
      <c r="E1230" s="5" t="str">
        <f t="shared" si="118"/>
        <v/>
      </c>
      <c r="F1230" s="5" t="str">
        <f t="shared" si="119"/>
        <v/>
      </c>
      <c r="G1230" s="23"/>
      <c r="H1230" s="66"/>
      <c r="I1230" s="14"/>
      <c r="J1230" s="14"/>
      <c r="K1230" s="14"/>
      <c r="L1230" s="5" t="str">
        <f t="shared" si="120"/>
        <v/>
      </c>
      <c r="M1230" s="5" t="str">
        <f t="shared" si="121"/>
        <v/>
      </c>
      <c r="N1230" s="5" t="str">
        <f t="shared" si="122"/>
        <v/>
      </c>
      <c r="O1230" s="4"/>
    </row>
    <row r="1231" spans="1:15" x14ac:dyDescent="0.25">
      <c r="A1231" s="14"/>
      <c r="B1231" s="14"/>
      <c r="C1231" s="14"/>
      <c r="D1231" s="5" t="str">
        <f t="shared" si="117"/>
        <v/>
      </c>
      <c r="E1231" s="5" t="str">
        <f t="shared" si="118"/>
        <v/>
      </c>
      <c r="F1231" s="5" t="str">
        <f t="shared" si="119"/>
        <v/>
      </c>
      <c r="G1231" s="23"/>
      <c r="H1231" s="66"/>
      <c r="I1231" s="14"/>
      <c r="J1231" s="14"/>
      <c r="K1231" s="14"/>
      <c r="L1231" s="5" t="str">
        <f t="shared" si="120"/>
        <v/>
      </c>
      <c r="M1231" s="5" t="str">
        <f t="shared" si="121"/>
        <v/>
      </c>
      <c r="N1231" s="5" t="str">
        <f t="shared" si="122"/>
        <v/>
      </c>
      <c r="O1231" s="4"/>
    </row>
    <row r="1232" spans="1:15" x14ac:dyDescent="0.25">
      <c r="A1232" s="14"/>
      <c r="B1232" s="14"/>
      <c r="C1232" s="14"/>
      <c r="D1232" s="5" t="str">
        <f t="shared" si="117"/>
        <v/>
      </c>
      <c r="E1232" s="5" t="str">
        <f t="shared" si="118"/>
        <v/>
      </c>
      <c r="F1232" s="5" t="str">
        <f t="shared" si="119"/>
        <v/>
      </c>
      <c r="G1232" s="23"/>
      <c r="H1232" s="66"/>
      <c r="I1232" s="14"/>
      <c r="J1232" s="14"/>
      <c r="K1232" s="14"/>
      <c r="L1232" s="5" t="str">
        <f t="shared" si="120"/>
        <v/>
      </c>
      <c r="M1232" s="5" t="str">
        <f t="shared" si="121"/>
        <v/>
      </c>
      <c r="N1232" s="5" t="str">
        <f t="shared" si="122"/>
        <v/>
      </c>
      <c r="O1232" s="4"/>
    </row>
    <row r="1233" spans="1:15" x14ac:dyDescent="0.25">
      <c r="A1233" s="14"/>
      <c r="B1233" s="14"/>
      <c r="C1233" s="14"/>
      <c r="D1233" s="5" t="str">
        <f t="shared" si="117"/>
        <v/>
      </c>
      <c r="E1233" s="5" t="str">
        <f t="shared" si="118"/>
        <v/>
      </c>
      <c r="F1233" s="5" t="str">
        <f t="shared" si="119"/>
        <v/>
      </c>
      <c r="G1233" s="23"/>
      <c r="H1233" s="66"/>
      <c r="I1233" s="14"/>
      <c r="J1233" s="14"/>
      <c r="K1233" s="14"/>
      <c r="L1233" s="5" t="str">
        <f t="shared" si="120"/>
        <v/>
      </c>
      <c r="M1233" s="5" t="str">
        <f t="shared" si="121"/>
        <v/>
      </c>
      <c r="N1233" s="5" t="str">
        <f t="shared" si="122"/>
        <v/>
      </c>
      <c r="O1233" s="4"/>
    </row>
    <row r="1234" spans="1:15" x14ac:dyDescent="0.25">
      <c r="A1234" s="14"/>
      <c r="B1234" s="14"/>
      <c r="C1234" s="14"/>
      <c r="D1234" s="5" t="str">
        <f t="shared" si="117"/>
        <v/>
      </c>
      <c r="E1234" s="5" t="str">
        <f t="shared" si="118"/>
        <v/>
      </c>
      <c r="F1234" s="5" t="str">
        <f t="shared" si="119"/>
        <v/>
      </c>
      <c r="G1234" s="23"/>
      <c r="H1234" s="66"/>
      <c r="I1234" s="14"/>
      <c r="J1234" s="14"/>
      <c r="K1234" s="14"/>
      <c r="L1234" s="5" t="str">
        <f t="shared" si="120"/>
        <v/>
      </c>
      <c r="M1234" s="5" t="str">
        <f t="shared" si="121"/>
        <v/>
      </c>
      <c r="N1234" s="5" t="str">
        <f t="shared" si="122"/>
        <v/>
      </c>
      <c r="O1234" s="4"/>
    </row>
    <row r="1235" spans="1:15" x14ac:dyDescent="0.25">
      <c r="A1235" s="14"/>
      <c r="B1235" s="14"/>
      <c r="C1235" s="14"/>
      <c r="D1235" s="5" t="str">
        <f t="shared" si="117"/>
        <v/>
      </c>
      <c r="E1235" s="5" t="str">
        <f t="shared" si="118"/>
        <v/>
      </c>
      <c r="F1235" s="5" t="str">
        <f t="shared" si="119"/>
        <v/>
      </c>
      <c r="G1235" s="23"/>
      <c r="H1235" s="66"/>
      <c r="I1235" s="14"/>
      <c r="J1235" s="14"/>
      <c r="K1235" s="14"/>
      <c r="L1235" s="5" t="str">
        <f t="shared" si="120"/>
        <v/>
      </c>
      <c r="M1235" s="5" t="str">
        <f t="shared" si="121"/>
        <v/>
      </c>
      <c r="N1235" s="5" t="str">
        <f t="shared" si="122"/>
        <v/>
      </c>
      <c r="O1235" s="4"/>
    </row>
    <row r="1236" spans="1:15" x14ac:dyDescent="0.25">
      <c r="A1236" s="14"/>
      <c r="B1236" s="14"/>
      <c r="C1236" s="14"/>
      <c r="D1236" s="5" t="str">
        <f t="shared" si="117"/>
        <v/>
      </c>
      <c r="E1236" s="5" t="str">
        <f t="shared" si="118"/>
        <v/>
      </c>
      <c r="F1236" s="5" t="str">
        <f t="shared" si="119"/>
        <v/>
      </c>
      <c r="G1236" s="23"/>
      <c r="H1236" s="66"/>
      <c r="I1236" s="14"/>
      <c r="J1236" s="14"/>
      <c r="K1236" s="14"/>
      <c r="L1236" s="5" t="str">
        <f t="shared" si="120"/>
        <v/>
      </c>
      <c r="M1236" s="5" t="str">
        <f t="shared" si="121"/>
        <v/>
      </c>
      <c r="N1236" s="5" t="str">
        <f t="shared" si="122"/>
        <v/>
      </c>
      <c r="O1236" s="4"/>
    </row>
    <row r="1237" spans="1:15" x14ac:dyDescent="0.25">
      <c r="A1237" s="14"/>
      <c r="B1237" s="14"/>
      <c r="C1237" s="14"/>
      <c r="D1237" s="5" t="str">
        <f t="shared" si="117"/>
        <v/>
      </c>
      <c r="E1237" s="5" t="str">
        <f t="shared" si="118"/>
        <v/>
      </c>
      <c r="F1237" s="5" t="str">
        <f t="shared" si="119"/>
        <v/>
      </c>
      <c r="G1237" s="23"/>
      <c r="H1237" s="66"/>
      <c r="I1237" s="14"/>
      <c r="J1237" s="14"/>
      <c r="K1237" s="14"/>
      <c r="L1237" s="5" t="str">
        <f t="shared" si="120"/>
        <v/>
      </c>
      <c r="M1237" s="5" t="str">
        <f t="shared" si="121"/>
        <v/>
      </c>
      <c r="N1237" s="5" t="str">
        <f t="shared" si="122"/>
        <v/>
      </c>
      <c r="O1237" s="4"/>
    </row>
    <row r="1238" spans="1:15" x14ac:dyDescent="0.25">
      <c r="A1238" s="14"/>
      <c r="B1238" s="14"/>
      <c r="C1238" s="14"/>
      <c r="D1238" s="5" t="str">
        <f t="shared" si="117"/>
        <v/>
      </c>
      <c r="E1238" s="5" t="str">
        <f t="shared" si="118"/>
        <v/>
      </c>
      <c r="F1238" s="5" t="str">
        <f t="shared" si="119"/>
        <v/>
      </c>
      <c r="G1238" s="23"/>
      <c r="H1238" s="66"/>
      <c r="I1238" s="14"/>
      <c r="J1238" s="14"/>
      <c r="K1238" s="14"/>
      <c r="L1238" s="5" t="str">
        <f t="shared" si="120"/>
        <v/>
      </c>
      <c r="M1238" s="5" t="str">
        <f t="shared" si="121"/>
        <v/>
      </c>
      <c r="N1238" s="5" t="str">
        <f t="shared" si="122"/>
        <v/>
      </c>
      <c r="O1238" s="4"/>
    </row>
    <row r="1239" spans="1:15" x14ac:dyDescent="0.25">
      <c r="A1239" s="14"/>
      <c r="B1239" s="14"/>
      <c r="C1239" s="14"/>
      <c r="D1239" s="5" t="str">
        <f t="shared" si="117"/>
        <v/>
      </c>
      <c r="E1239" s="5" t="str">
        <f t="shared" si="118"/>
        <v/>
      </c>
      <c r="F1239" s="5" t="str">
        <f t="shared" si="119"/>
        <v/>
      </c>
      <c r="G1239" s="23"/>
      <c r="H1239" s="66"/>
      <c r="I1239" s="14"/>
      <c r="J1239" s="14"/>
      <c r="K1239" s="14"/>
      <c r="L1239" s="5" t="str">
        <f t="shared" si="120"/>
        <v/>
      </c>
      <c r="M1239" s="5" t="str">
        <f t="shared" si="121"/>
        <v/>
      </c>
      <c r="N1239" s="5" t="str">
        <f t="shared" si="122"/>
        <v/>
      </c>
      <c r="O1239" s="4"/>
    </row>
    <row r="1240" spans="1:15" x14ac:dyDescent="0.25">
      <c r="A1240" s="14"/>
      <c r="B1240" s="14"/>
      <c r="C1240" s="14"/>
      <c r="D1240" s="5" t="str">
        <f t="shared" si="117"/>
        <v/>
      </c>
      <c r="E1240" s="5" t="str">
        <f t="shared" si="118"/>
        <v/>
      </c>
      <c r="F1240" s="5" t="str">
        <f t="shared" si="119"/>
        <v/>
      </c>
      <c r="G1240" s="23"/>
      <c r="H1240" s="66"/>
      <c r="I1240" s="14"/>
      <c r="J1240" s="14"/>
      <c r="K1240" s="14"/>
      <c r="L1240" s="5" t="str">
        <f t="shared" si="120"/>
        <v/>
      </c>
      <c r="M1240" s="5" t="str">
        <f t="shared" si="121"/>
        <v/>
      </c>
      <c r="N1240" s="5" t="str">
        <f t="shared" si="122"/>
        <v/>
      </c>
      <c r="O1240" s="4"/>
    </row>
    <row r="1241" spans="1:15" x14ac:dyDescent="0.25">
      <c r="A1241" s="14"/>
      <c r="B1241" s="14"/>
      <c r="C1241" s="14"/>
      <c r="D1241" s="5" t="str">
        <f t="shared" ref="D1241:D1304" si="123">IFERROR( IF(A1241&lt;&gt;"",((B1241-B1240)*$X$4/(A1241-A1240))*$X$5,""),"")</f>
        <v/>
      </c>
      <c r="E1241" s="5" t="str">
        <f t="shared" ref="E1241:E1304" si="124">IFERROR(IF(A1241&lt;&gt;"",((C1241-C1240)*$X$4/(A1241-A1240))*$X$5,""),"")</f>
        <v/>
      </c>
      <c r="F1241" s="5" t="str">
        <f t="shared" ref="F1241:F1304" si="125">IFERROR(IF(A1241&lt;&gt;"",((ACOS((COS(RADIANS(B1240))*COS(RADIANS(B1241)))+(SIN(RADIANS(B1240))*SIN(RADIANS(B1241)))*COS(RADIANS(C1241-C1240)))*180/PI()*($X$4/(A1241-A1240))))*$X$5,""),"")</f>
        <v/>
      </c>
      <c r="G1241" s="23"/>
      <c r="H1241" s="66"/>
      <c r="I1241" s="14"/>
      <c r="J1241" s="14"/>
      <c r="K1241" s="14"/>
      <c r="L1241" s="5" t="str">
        <f t="shared" si="120"/>
        <v/>
      </c>
      <c r="M1241" s="5" t="str">
        <f t="shared" si="121"/>
        <v/>
      </c>
      <c r="N1241" s="5" t="str">
        <f t="shared" si="122"/>
        <v/>
      </c>
      <c r="O1241" s="4"/>
    </row>
    <row r="1242" spans="1:15" x14ac:dyDescent="0.25">
      <c r="A1242" s="14"/>
      <c r="B1242" s="14"/>
      <c r="C1242" s="14"/>
      <c r="D1242" s="5" t="str">
        <f t="shared" si="123"/>
        <v/>
      </c>
      <c r="E1242" s="5" t="str">
        <f t="shared" si="124"/>
        <v/>
      </c>
      <c r="F1242" s="5" t="str">
        <f t="shared" si="125"/>
        <v/>
      </c>
      <c r="G1242" s="23"/>
      <c r="H1242" s="66"/>
      <c r="I1242" s="14"/>
      <c r="J1242" s="14"/>
      <c r="K1242" s="14"/>
      <c r="L1242" s="5" t="str">
        <f t="shared" si="120"/>
        <v/>
      </c>
      <c r="M1242" s="5" t="str">
        <f t="shared" si="121"/>
        <v/>
      </c>
      <c r="N1242" s="5" t="str">
        <f t="shared" si="122"/>
        <v/>
      </c>
      <c r="O1242" s="4"/>
    </row>
    <row r="1243" spans="1:15" x14ac:dyDescent="0.25">
      <c r="A1243" s="14"/>
      <c r="B1243" s="14"/>
      <c r="C1243" s="14"/>
      <c r="D1243" s="5" t="str">
        <f t="shared" si="123"/>
        <v/>
      </c>
      <c r="E1243" s="5" t="str">
        <f t="shared" si="124"/>
        <v/>
      </c>
      <c r="F1243" s="5" t="str">
        <f t="shared" si="125"/>
        <v/>
      </c>
      <c r="G1243" s="23"/>
      <c r="H1243" s="66"/>
      <c r="I1243" s="14"/>
      <c r="J1243" s="14"/>
      <c r="K1243" s="14"/>
      <c r="L1243" s="5" t="str">
        <f t="shared" si="120"/>
        <v/>
      </c>
      <c r="M1243" s="5" t="str">
        <f t="shared" si="121"/>
        <v/>
      </c>
      <c r="N1243" s="5" t="str">
        <f t="shared" si="122"/>
        <v/>
      </c>
      <c r="O1243" s="4"/>
    </row>
    <row r="1244" spans="1:15" x14ac:dyDescent="0.25">
      <c r="A1244" s="14"/>
      <c r="B1244" s="14"/>
      <c r="C1244" s="14"/>
      <c r="D1244" s="5" t="str">
        <f t="shared" si="123"/>
        <v/>
      </c>
      <c r="E1244" s="5" t="str">
        <f t="shared" si="124"/>
        <v/>
      </c>
      <c r="F1244" s="5" t="str">
        <f t="shared" si="125"/>
        <v/>
      </c>
      <c r="G1244" s="23"/>
      <c r="H1244" s="66"/>
      <c r="I1244" s="14"/>
      <c r="J1244" s="14"/>
      <c r="K1244" s="14"/>
      <c r="L1244" s="5" t="str">
        <f t="shared" si="120"/>
        <v/>
      </c>
      <c r="M1244" s="5" t="str">
        <f t="shared" si="121"/>
        <v/>
      </c>
      <c r="N1244" s="5" t="str">
        <f t="shared" si="122"/>
        <v/>
      </c>
      <c r="O1244" s="4"/>
    </row>
    <row r="1245" spans="1:15" x14ac:dyDescent="0.25">
      <c r="A1245" s="14"/>
      <c r="B1245" s="14"/>
      <c r="C1245" s="14"/>
      <c r="D1245" s="5" t="str">
        <f t="shared" si="123"/>
        <v/>
      </c>
      <c r="E1245" s="5" t="str">
        <f t="shared" si="124"/>
        <v/>
      </c>
      <c r="F1245" s="5" t="str">
        <f t="shared" si="125"/>
        <v/>
      </c>
      <c r="G1245" s="23"/>
      <c r="H1245" s="66"/>
      <c r="I1245" s="14"/>
      <c r="J1245" s="14"/>
      <c r="K1245" s="14"/>
      <c r="L1245" s="5" t="str">
        <f t="shared" si="120"/>
        <v/>
      </c>
      <c r="M1245" s="5" t="str">
        <f t="shared" si="121"/>
        <v/>
      </c>
      <c r="N1245" s="5" t="str">
        <f t="shared" si="122"/>
        <v/>
      </c>
      <c r="O1245" s="4"/>
    </row>
    <row r="1246" spans="1:15" x14ac:dyDescent="0.25">
      <c r="A1246" s="14"/>
      <c r="B1246" s="14"/>
      <c r="C1246" s="14"/>
      <c r="D1246" s="5" t="str">
        <f t="shared" si="123"/>
        <v/>
      </c>
      <c r="E1246" s="5" t="str">
        <f t="shared" si="124"/>
        <v/>
      </c>
      <c r="F1246" s="5" t="str">
        <f t="shared" si="125"/>
        <v/>
      </c>
      <c r="G1246" s="23"/>
      <c r="H1246" s="66"/>
      <c r="I1246" s="14"/>
      <c r="J1246" s="14"/>
      <c r="K1246" s="14"/>
      <c r="L1246" s="5" t="str">
        <f t="shared" si="120"/>
        <v/>
      </c>
      <c r="M1246" s="5" t="str">
        <f t="shared" si="121"/>
        <v/>
      </c>
      <c r="N1246" s="5" t="str">
        <f t="shared" si="122"/>
        <v/>
      </c>
      <c r="O1246" s="4"/>
    </row>
    <row r="1247" spans="1:15" x14ac:dyDescent="0.25">
      <c r="A1247" s="14"/>
      <c r="B1247" s="14"/>
      <c r="C1247" s="14"/>
      <c r="D1247" s="5" t="str">
        <f t="shared" si="123"/>
        <v/>
      </c>
      <c r="E1247" s="5" t="str">
        <f t="shared" si="124"/>
        <v/>
      </c>
      <c r="F1247" s="5" t="str">
        <f t="shared" si="125"/>
        <v/>
      </c>
      <c r="G1247" s="23"/>
      <c r="H1247" s="66"/>
      <c r="I1247" s="14"/>
      <c r="J1247" s="14"/>
      <c r="K1247" s="14"/>
      <c r="L1247" s="5" t="str">
        <f t="shared" si="120"/>
        <v/>
      </c>
      <c r="M1247" s="5" t="str">
        <f t="shared" si="121"/>
        <v/>
      </c>
      <c r="N1247" s="5" t="str">
        <f t="shared" si="122"/>
        <v/>
      </c>
      <c r="O1247" s="4"/>
    </row>
    <row r="1248" spans="1:15" x14ac:dyDescent="0.25">
      <c r="A1248" s="14"/>
      <c r="B1248" s="14"/>
      <c r="C1248" s="14"/>
      <c r="D1248" s="5" t="str">
        <f t="shared" si="123"/>
        <v/>
      </c>
      <c r="E1248" s="5" t="str">
        <f t="shared" si="124"/>
        <v/>
      </c>
      <c r="F1248" s="5" t="str">
        <f t="shared" si="125"/>
        <v/>
      </c>
      <c r="G1248" s="23"/>
      <c r="H1248" s="66"/>
      <c r="I1248" s="14"/>
      <c r="J1248" s="14"/>
      <c r="K1248" s="14"/>
      <c r="L1248" s="5" t="str">
        <f t="shared" si="120"/>
        <v/>
      </c>
      <c r="M1248" s="5" t="str">
        <f t="shared" si="121"/>
        <v/>
      </c>
      <c r="N1248" s="5" t="str">
        <f t="shared" si="122"/>
        <v/>
      </c>
      <c r="O1248" s="4"/>
    </row>
    <row r="1249" spans="1:15" x14ac:dyDescent="0.25">
      <c r="A1249" s="14"/>
      <c r="B1249" s="14"/>
      <c r="C1249" s="14"/>
      <c r="D1249" s="5" t="str">
        <f t="shared" si="123"/>
        <v/>
      </c>
      <c r="E1249" s="5" t="str">
        <f t="shared" si="124"/>
        <v/>
      </c>
      <c r="F1249" s="5" t="str">
        <f t="shared" si="125"/>
        <v/>
      </c>
      <c r="G1249" s="23"/>
      <c r="H1249" s="66"/>
      <c r="I1249" s="14"/>
      <c r="J1249" s="14"/>
      <c r="K1249" s="14"/>
      <c r="L1249" s="5" t="str">
        <f t="shared" si="120"/>
        <v/>
      </c>
      <c r="M1249" s="5" t="str">
        <f t="shared" si="121"/>
        <v/>
      </c>
      <c r="N1249" s="5" t="str">
        <f t="shared" si="122"/>
        <v/>
      </c>
      <c r="O1249" s="4"/>
    </row>
    <row r="1250" spans="1:15" x14ac:dyDescent="0.25">
      <c r="A1250" s="14"/>
      <c r="B1250" s="14"/>
      <c r="C1250" s="14"/>
      <c r="D1250" s="5" t="str">
        <f t="shared" si="123"/>
        <v/>
      </c>
      <c r="E1250" s="5" t="str">
        <f t="shared" si="124"/>
        <v/>
      </c>
      <c r="F1250" s="5" t="str">
        <f t="shared" si="125"/>
        <v/>
      </c>
      <c r="G1250" s="23"/>
      <c r="H1250" s="66"/>
      <c r="I1250" s="14"/>
      <c r="J1250" s="14"/>
      <c r="K1250" s="14"/>
      <c r="L1250" s="5" t="str">
        <f t="shared" si="120"/>
        <v/>
      </c>
      <c r="M1250" s="5" t="str">
        <f t="shared" si="121"/>
        <v/>
      </c>
      <c r="N1250" s="5" t="str">
        <f t="shared" si="122"/>
        <v/>
      </c>
      <c r="O1250" s="4"/>
    </row>
    <row r="1251" spans="1:15" x14ac:dyDescent="0.25">
      <c r="A1251" s="14"/>
      <c r="B1251" s="14"/>
      <c r="C1251" s="14"/>
      <c r="D1251" s="5" t="str">
        <f t="shared" si="123"/>
        <v/>
      </c>
      <c r="E1251" s="5" t="str">
        <f t="shared" si="124"/>
        <v/>
      </c>
      <c r="F1251" s="5" t="str">
        <f t="shared" si="125"/>
        <v/>
      </c>
      <c r="G1251" s="23"/>
      <c r="H1251" s="66"/>
      <c r="I1251" s="14"/>
      <c r="J1251" s="14"/>
      <c r="K1251" s="14"/>
      <c r="L1251" s="5" t="str">
        <f t="shared" si="120"/>
        <v/>
      </c>
      <c r="M1251" s="5" t="str">
        <f t="shared" si="121"/>
        <v/>
      </c>
      <c r="N1251" s="5" t="str">
        <f t="shared" si="122"/>
        <v/>
      </c>
      <c r="O1251" s="4"/>
    </row>
    <row r="1252" spans="1:15" x14ac:dyDescent="0.25">
      <c r="A1252" s="14"/>
      <c r="B1252" s="14"/>
      <c r="C1252" s="14"/>
      <c r="D1252" s="5" t="str">
        <f t="shared" si="123"/>
        <v/>
      </c>
      <c r="E1252" s="5" t="str">
        <f t="shared" si="124"/>
        <v/>
      </c>
      <c r="F1252" s="5" t="str">
        <f t="shared" si="125"/>
        <v/>
      </c>
      <c r="G1252" s="23"/>
      <c r="H1252" s="66"/>
      <c r="I1252" s="14"/>
      <c r="J1252" s="14"/>
      <c r="K1252" s="14"/>
      <c r="L1252" s="5" t="str">
        <f t="shared" si="120"/>
        <v/>
      </c>
      <c r="M1252" s="5" t="str">
        <f t="shared" si="121"/>
        <v/>
      </c>
      <c r="N1252" s="5" t="str">
        <f t="shared" si="122"/>
        <v/>
      </c>
      <c r="O1252" s="4"/>
    </row>
    <row r="1253" spans="1:15" x14ac:dyDescent="0.25">
      <c r="A1253" s="14"/>
      <c r="B1253" s="14"/>
      <c r="C1253" s="14"/>
      <c r="D1253" s="5" t="str">
        <f t="shared" si="123"/>
        <v/>
      </c>
      <c r="E1253" s="5" t="str">
        <f t="shared" si="124"/>
        <v/>
      </c>
      <c r="F1253" s="5" t="str">
        <f t="shared" si="125"/>
        <v/>
      </c>
      <c r="G1253" s="23"/>
      <c r="H1253" s="66"/>
      <c r="I1253" s="14"/>
      <c r="J1253" s="14"/>
      <c r="K1253" s="14"/>
      <c r="L1253" s="5" t="str">
        <f t="shared" si="120"/>
        <v/>
      </c>
      <c r="M1253" s="5" t="str">
        <f t="shared" si="121"/>
        <v/>
      </c>
      <c r="N1253" s="5" t="str">
        <f t="shared" si="122"/>
        <v/>
      </c>
      <c r="O1253" s="4"/>
    </row>
    <row r="1254" spans="1:15" x14ac:dyDescent="0.25">
      <c r="A1254" s="14"/>
      <c r="B1254" s="14"/>
      <c r="C1254" s="14"/>
      <c r="D1254" s="5" t="str">
        <f t="shared" si="123"/>
        <v/>
      </c>
      <c r="E1254" s="5" t="str">
        <f t="shared" si="124"/>
        <v/>
      </c>
      <c r="F1254" s="5" t="str">
        <f t="shared" si="125"/>
        <v/>
      </c>
      <c r="G1254" s="23"/>
      <c r="H1254" s="66"/>
      <c r="I1254" s="14"/>
      <c r="J1254" s="14"/>
      <c r="K1254" s="14"/>
      <c r="L1254" s="5" t="str">
        <f t="shared" si="120"/>
        <v/>
      </c>
      <c r="M1254" s="5" t="str">
        <f t="shared" si="121"/>
        <v/>
      </c>
      <c r="N1254" s="5" t="str">
        <f t="shared" si="122"/>
        <v/>
      </c>
      <c r="O1254" s="4"/>
    </row>
    <row r="1255" spans="1:15" x14ac:dyDescent="0.25">
      <c r="A1255" s="14"/>
      <c r="B1255" s="14"/>
      <c r="C1255" s="14"/>
      <c r="D1255" s="5" t="str">
        <f t="shared" si="123"/>
        <v/>
      </c>
      <c r="E1255" s="5" t="str">
        <f t="shared" si="124"/>
        <v/>
      </c>
      <c r="F1255" s="5" t="str">
        <f t="shared" si="125"/>
        <v/>
      </c>
      <c r="G1255" s="23"/>
      <c r="H1255" s="66"/>
      <c r="I1255" s="14"/>
      <c r="J1255" s="14"/>
      <c r="K1255" s="14"/>
      <c r="L1255" s="5" t="str">
        <f t="shared" si="120"/>
        <v/>
      </c>
      <c r="M1255" s="5" t="str">
        <f t="shared" si="121"/>
        <v/>
      </c>
      <c r="N1255" s="5" t="str">
        <f t="shared" si="122"/>
        <v/>
      </c>
      <c r="O1255" s="4"/>
    </row>
    <row r="1256" spans="1:15" x14ac:dyDescent="0.25">
      <c r="A1256" s="14"/>
      <c r="B1256" s="14"/>
      <c r="C1256" s="14"/>
      <c r="D1256" s="5" t="str">
        <f t="shared" si="123"/>
        <v/>
      </c>
      <c r="E1256" s="5" t="str">
        <f t="shared" si="124"/>
        <v/>
      </c>
      <c r="F1256" s="5" t="str">
        <f t="shared" si="125"/>
        <v/>
      </c>
      <c r="G1256" s="23"/>
      <c r="H1256" s="66"/>
      <c r="I1256" s="14"/>
      <c r="J1256" s="14"/>
      <c r="K1256" s="14"/>
      <c r="L1256" s="5" t="str">
        <f t="shared" si="120"/>
        <v/>
      </c>
      <c r="M1256" s="5" t="str">
        <f t="shared" si="121"/>
        <v/>
      </c>
      <c r="N1256" s="5" t="str">
        <f t="shared" si="122"/>
        <v/>
      </c>
      <c r="O1256" s="4"/>
    </row>
    <row r="1257" spans="1:15" x14ac:dyDescent="0.25">
      <c r="A1257" s="14"/>
      <c r="B1257" s="14"/>
      <c r="C1257" s="14"/>
      <c r="D1257" s="5" t="str">
        <f t="shared" si="123"/>
        <v/>
      </c>
      <c r="E1257" s="5" t="str">
        <f t="shared" si="124"/>
        <v/>
      </c>
      <c r="F1257" s="5" t="str">
        <f t="shared" si="125"/>
        <v/>
      </c>
      <c r="G1257" s="23"/>
      <c r="H1257" s="66"/>
      <c r="I1257" s="14"/>
      <c r="J1257" s="14"/>
      <c r="K1257" s="14"/>
      <c r="L1257" s="5" t="str">
        <f t="shared" si="120"/>
        <v/>
      </c>
      <c r="M1257" s="5" t="str">
        <f t="shared" si="121"/>
        <v/>
      </c>
      <c r="N1257" s="5" t="str">
        <f t="shared" si="122"/>
        <v/>
      </c>
      <c r="O1257" s="4"/>
    </row>
    <row r="1258" spans="1:15" x14ac:dyDescent="0.25">
      <c r="A1258" s="14"/>
      <c r="B1258" s="14"/>
      <c r="C1258" s="14"/>
      <c r="D1258" s="5" t="str">
        <f t="shared" si="123"/>
        <v/>
      </c>
      <c r="E1258" s="5" t="str">
        <f t="shared" si="124"/>
        <v/>
      </c>
      <c r="F1258" s="5" t="str">
        <f t="shared" si="125"/>
        <v/>
      </c>
      <c r="G1258" s="23"/>
      <c r="H1258" s="66"/>
      <c r="I1258" s="14"/>
      <c r="J1258" s="14"/>
      <c r="K1258" s="14"/>
      <c r="L1258" s="5" t="str">
        <f t="shared" si="120"/>
        <v/>
      </c>
      <c r="M1258" s="5" t="str">
        <f t="shared" si="121"/>
        <v/>
      </c>
      <c r="N1258" s="5" t="str">
        <f t="shared" si="122"/>
        <v/>
      </c>
      <c r="O1258" s="4"/>
    </row>
    <row r="1259" spans="1:15" x14ac:dyDescent="0.25">
      <c r="A1259" s="14"/>
      <c r="B1259" s="14"/>
      <c r="C1259" s="14"/>
      <c r="D1259" s="5" t="str">
        <f t="shared" si="123"/>
        <v/>
      </c>
      <c r="E1259" s="5" t="str">
        <f t="shared" si="124"/>
        <v/>
      </c>
      <c r="F1259" s="5" t="str">
        <f t="shared" si="125"/>
        <v/>
      </c>
      <c r="G1259" s="23"/>
      <c r="H1259" s="66"/>
      <c r="I1259" s="14"/>
      <c r="J1259" s="14"/>
      <c r="K1259" s="14"/>
      <c r="L1259" s="5" t="str">
        <f t="shared" si="120"/>
        <v/>
      </c>
      <c r="M1259" s="5" t="str">
        <f t="shared" si="121"/>
        <v/>
      </c>
      <c r="N1259" s="5" t="str">
        <f t="shared" si="122"/>
        <v/>
      </c>
      <c r="O1259" s="4"/>
    </row>
    <row r="1260" spans="1:15" x14ac:dyDescent="0.25">
      <c r="A1260" s="14"/>
      <c r="B1260" s="14"/>
      <c r="C1260" s="14"/>
      <c r="D1260" s="5" t="str">
        <f t="shared" si="123"/>
        <v/>
      </c>
      <c r="E1260" s="5" t="str">
        <f t="shared" si="124"/>
        <v/>
      </c>
      <c r="F1260" s="5" t="str">
        <f t="shared" si="125"/>
        <v/>
      </c>
      <c r="G1260" s="23"/>
      <c r="H1260" s="66"/>
      <c r="I1260" s="14"/>
      <c r="J1260" s="14"/>
      <c r="K1260" s="14"/>
      <c r="L1260" s="5" t="str">
        <f t="shared" si="120"/>
        <v/>
      </c>
      <c r="M1260" s="5" t="str">
        <f t="shared" si="121"/>
        <v/>
      </c>
      <c r="N1260" s="5" t="str">
        <f t="shared" si="122"/>
        <v/>
      </c>
      <c r="O1260" s="4"/>
    </row>
    <row r="1261" spans="1:15" x14ac:dyDescent="0.25">
      <c r="A1261" s="14"/>
      <c r="B1261" s="14"/>
      <c r="C1261" s="14"/>
      <c r="D1261" s="5" t="str">
        <f t="shared" si="123"/>
        <v/>
      </c>
      <c r="E1261" s="5" t="str">
        <f t="shared" si="124"/>
        <v/>
      </c>
      <c r="F1261" s="5" t="str">
        <f t="shared" si="125"/>
        <v/>
      </c>
      <c r="G1261" s="23"/>
      <c r="H1261" s="66"/>
      <c r="I1261" s="14"/>
      <c r="J1261" s="14"/>
      <c r="K1261" s="14"/>
      <c r="L1261" s="5" t="str">
        <f t="shared" si="120"/>
        <v/>
      </c>
      <c r="M1261" s="5" t="str">
        <f t="shared" si="121"/>
        <v/>
      </c>
      <c r="N1261" s="5" t="str">
        <f t="shared" si="122"/>
        <v/>
      </c>
      <c r="O1261" s="4"/>
    </row>
    <row r="1262" spans="1:15" x14ac:dyDescent="0.25">
      <c r="A1262" s="14"/>
      <c r="B1262" s="14"/>
      <c r="C1262" s="14"/>
      <c r="D1262" s="5" t="str">
        <f t="shared" si="123"/>
        <v/>
      </c>
      <c r="E1262" s="5" t="str">
        <f t="shared" si="124"/>
        <v/>
      </c>
      <c r="F1262" s="5" t="str">
        <f t="shared" si="125"/>
        <v/>
      </c>
      <c r="G1262" s="23"/>
      <c r="H1262" s="66"/>
      <c r="I1262" s="14"/>
      <c r="J1262" s="14"/>
      <c r="K1262" s="14"/>
      <c r="L1262" s="5" t="str">
        <f t="shared" si="120"/>
        <v/>
      </c>
      <c r="M1262" s="5" t="str">
        <f t="shared" si="121"/>
        <v/>
      </c>
      <c r="N1262" s="5" t="str">
        <f t="shared" si="122"/>
        <v/>
      </c>
      <c r="O1262" s="4"/>
    </row>
    <row r="1263" spans="1:15" x14ac:dyDescent="0.25">
      <c r="A1263" s="14"/>
      <c r="B1263" s="14"/>
      <c r="C1263" s="14"/>
      <c r="D1263" s="5" t="str">
        <f t="shared" si="123"/>
        <v/>
      </c>
      <c r="E1263" s="5" t="str">
        <f t="shared" si="124"/>
        <v/>
      </c>
      <c r="F1263" s="5" t="str">
        <f t="shared" si="125"/>
        <v/>
      </c>
      <c r="G1263" s="23"/>
      <c r="H1263" s="66"/>
      <c r="I1263" s="14"/>
      <c r="J1263" s="14"/>
      <c r="K1263" s="14"/>
      <c r="L1263" s="5" t="str">
        <f t="shared" si="120"/>
        <v/>
      </c>
      <c r="M1263" s="5" t="str">
        <f t="shared" si="121"/>
        <v/>
      </c>
      <c r="N1263" s="5" t="str">
        <f t="shared" si="122"/>
        <v/>
      </c>
      <c r="O1263" s="4"/>
    </row>
    <row r="1264" spans="1:15" x14ac:dyDescent="0.25">
      <c r="A1264" s="14"/>
      <c r="B1264" s="14"/>
      <c r="C1264" s="14"/>
      <c r="D1264" s="5" t="str">
        <f t="shared" si="123"/>
        <v/>
      </c>
      <c r="E1264" s="5" t="str">
        <f t="shared" si="124"/>
        <v/>
      </c>
      <c r="F1264" s="5" t="str">
        <f t="shared" si="125"/>
        <v/>
      </c>
      <c r="G1264" s="23"/>
      <c r="H1264" s="66"/>
      <c r="I1264" s="14"/>
      <c r="J1264" s="14"/>
      <c r="K1264" s="14"/>
      <c r="L1264" s="5" t="str">
        <f t="shared" si="120"/>
        <v/>
      </c>
      <c r="M1264" s="5" t="str">
        <f t="shared" si="121"/>
        <v/>
      </c>
      <c r="N1264" s="5" t="str">
        <f t="shared" si="122"/>
        <v/>
      </c>
      <c r="O1264" s="4"/>
    </row>
    <row r="1265" spans="1:15" x14ac:dyDescent="0.25">
      <c r="A1265" s="14"/>
      <c r="B1265" s="14"/>
      <c r="C1265" s="14"/>
      <c r="D1265" s="5" t="str">
        <f t="shared" si="123"/>
        <v/>
      </c>
      <c r="E1265" s="5" t="str">
        <f t="shared" si="124"/>
        <v/>
      </c>
      <c r="F1265" s="5" t="str">
        <f t="shared" si="125"/>
        <v/>
      </c>
      <c r="G1265" s="23"/>
      <c r="H1265" s="66"/>
      <c r="I1265" s="14"/>
      <c r="J1265" s="14"/>
      <c r="K1265" s="14"/>
      <c r="L1265" s="5" t="str">
        <f t="shared" si="120"/>
        <v/>
      </c>
      <c r="M1265" s="5" t="str">
        <f t="shared" si="121"/>
        <v/>
      </c>
      <c r="N1265" s="5" t="str">
        <f t="shared" si="122"/>
        <v/>
      </c>
      <c r="O1265" s="4"/>
    </row>
    <row r="1266" spans="1:15" x14ac:dyDescent="0.25">
      <c r="A1266" s="14"/>
      <c r="B1266" s="14"/>
      <c r="C1266" s="14"/>
      <c r="D1266" s="5" t="str">
        <f t="shared" si="123"/>
        <v/>
      </c>
      <c r="E1266" s="5" t="str">
        <f t="shared" si="124"/>
        <v/>
      </c>
      <c r="F1266" s="5" t="str">
        <f t="shared" si="125"/>
        <v/>
      </c>
      <c r="G1266" s="23"/>
      <c r="H1266" s="66"/>
      <c r="I1266" s="14"/>
      <c r="J1266" s="14"/>
      <c r="K1266" s="14"/>
      <c r="L1266" s="5" t="str">
        <f t="shared" si="120"/>
        <v/>
      </c>
      <c r="M1266" s="5" t="str">
        <f t="shared" si="121"/>
        <v/>
      </c>
      <c r="N1266" s="5" t="str">
        <f t="shared" si="122"/>
        <v/>
      </c>
      <c r="O1266" s="4"/>
    </row>
    <row r="1267" spans="1:15" x14ac:dyDescent="0.25">
      <c r="A1267" s="14"/>
      <c r="B1267" s="14"/>
      <c r="C1267" s="14"/>
      <c r="D1267" s="5" t="str">
        <f t="shared" si="123"/>
        <v/>
      </c>
      <c r="E1267" s="5" t="str">
        <f t="shared" si="124"/>
        <v/>
      </c>
      <c r="F1267" s="5" t="str">
        <f t="shared" si="125"/>
        <v/>
      </c>
      <c r="G1267" s="23"/>
      <c r="H1267" s="66"/>
      <c r="I1267" s="14"/>
      <c r="J1267" s="14"/>
      <c r="K1267" s="14"/>
      <c r="L1267" s="5" t="str">
        <f t="shared" si="120"/>
        <v/>
      </c>
      <c r="M1267" s="5" t="str">
        <f t="shared" si="121"/>
        <v/>
      </c>
      <c r="N1267" s="5" t="str">
        <f t="shared" si="122"/>
        <v/>
      </c>
      <c r="O1267" s="4"/>
    </row>
    <row r="1268" spans="1:15" x14ac:dyDescent="0.25">
      <c r="A1268" s="14"/>
      <c r="B1268" s="14"/>
      <c r="C1268" s="14"/>
      <c r="D1268" s="5" t="str">
        <f t="shared" si="123"/>
        <v/>
      </c>
      <c r="E1268" s="5" t="str">
        <f t="shared" si="124"/>
        <v/>
      </c>
      <c r="F1268" s="5" t="str">
        <f t="shared" si="125"/>
        <v/>
      </c>
      <c r="G1268" s="23"/>
      <c r="H1268" s="66"/>
      <c r="I1268" s="14"/>
      <c r="J1268" s="14"/>
      <c r="K1268" s="14"/>
      <c r="L1268" s="5" t="str">
        <f t="shared" si="120"/>
        <v/>
      </c>
      <c r="M1268" s="5" t="str">
        <f t="shared" si="121"/>
        <v/>
      </c>
      <c r="N1268" s="5" t="str">
        <f t="shared" si="122"/>
        <v/>
      </c>
      <c r="O1268" s="4"/>
    </row>
    <row r="1269" spans="1:15" x14ac:dyDescent="0.25">
      <c r="A1269" s="14"/>
      <c r="B1269" s="14"/>
      <c r="C1269" s="14"/>
      <c r="D1269" s="5" t="str">
        <f t="shared" si="123"/>
        <v/>
      </c>
      <c r="E1269" s="5" t="str">
        <f t="shared" si="124"/>
        <v/>
      </c>
      <c r="F1269" s="5" t="str">
        <f t="shared" si="125"/>
        <v/>
      </c>
      <c r="G1269" s="23"/>
      <c r="H1269" s="66"/>
      <c r="I1269" s="14"/>
      <c r="J1269" s="14"/>
      <c r="K1269" s="14"/>
      <c r="L1269" s="5" t="str">
        <f t="shared" si="120"/>
        <v/>
      </c>
      <c r="M1269" s="5" t="str">
        <f t="shared" si="121"/>
        <v/>
      </c>
      <c r="N1269" s="5" t="str">
        <f t="shared" si="122"/>
        <v/>
      </c>
      <c r="O1269" s="4"/>
    </row>
    <row r="1270" spans="1:15" x14ac:dyDescent="0.25">
      <c r="A1270" s="14"/>
      <c r="B1270" s="14"/>
      <c r="C1270" s="14"/>
      <c r="D1270" s="5" t="str">
        <f t="shared" si="123"/>
        <v/>
      </c>
      <c r="E1270" s="5" t="str">
        <f t="shared" si="124"/>
        <v/>
      </c>
      <c r="F1270" s="5" t="str">
        <f t="shared" si="125"/>
        <v/>
      </c>
      <c r="G1270" s="23"/>
      <c r="H1270" s="66"/>
      <c r="I1270" s="14"/>
      <c r="J1270" s="14"/>
      <c r="K1270" s="14"/>
      <c r="L1270" s="5" t="str">
        <f t="shared" si="120"/>
        <v/>
      </c>
      <c r="M1270" s="5" t="str">
        <f t="shared" si="121"/>
        <v/>
      </c>
      <c r="N1270" s="5" t="str">
        <f t="shared" si="122"/>
        <v/>
      </c>
      <c r="O1270" s="4"/>
    </row>
    <row r="1271" spans="1:15" x14ac:dyDescent="0.25">
      <c r="A1271" s="14"/>
      <c r="B1271" s="14"/>
      <c r="C1271" s="14"/>
      <c r="D1271" s="5" t="str">
        <f t="shared" si="123"/>
        <v/>
      </c>
      <c r="E1271" s="5" t="str">
        <f t="shared" si="124"/>
        <v/>
      </c>
      <c r="F1271" s="5" t="str">
        <f t="shared" si="125"/>
        <v/>
      </c>
      <c r="G1271" s="23"/>
      <c r="H1271" s="66"/>
      <c r="I1271" s="14"/>
      <c r="J1271" s="14"/>
      <c r="K1271" s="14"/>
      <c r="L1271" s="5" t="str">
        <f t="shared" si="120"/>
        <v/>
      </c>
      <c r="M1271" s="5" t="str">
        <f t="shared" si="121"/>
        <v/>
      </c>
      <c r="N1271" s="5" t="str">
        <f t="shared" si="122"/>
        <v/>
      </c>
      <c r="O1271" s="4"/>
    </row>
    <row r="1272" spans="1:15" x14ac:dyDescent="0.25">
      <c r="A1272" s="14"/>
      <c r="B1272" s="14"/>
      <c r="C1272" s="14"/>
      <c r="D1272" s="5" t="str">
        <f t="shared" si="123"/>
        <v/>
      </c>
      <c r="E1272" s="5" t="str">
        <f t="shared" si="124"/>
        <v/>
      </c>
      <c r="F1272" s="5" t="str">
        <f t="shared" si="125"/>
        <v/>
      </c>
      <c r="G1272" s="23"/>
      <c r="H1272" s="66"/>
      <c r="I1272" s="14"/>
      <c r="J1272" s="14"/>
      <c r="K1272" s="14"/>
      <c r="L1272" s="5" t="str">
        <f t="shared" si="120"/>
        <v/>
      </c>
      <c r="M1272" s="5" t="str">
        <f t="shared" si="121"/>
        <v/>
      </c>
      <c r="N1272" s="5" t="str">
        <f t="shared" si="122"/>
        <v/>
      </c>
      <c r="O1272" s="4"/>
    </row>
    <row r="1273" spans="1:15" x14ac:dyDescent="0.25">
      <c r="A1273" s="14"/>
      <c r="B1273" s="14"/>
      <c r="C1273" s="14"/>
      <c r="D1273" s="5" t="str">
        <f t="shared" si="123"/>
        <v/>
      </c>
      <c r="E1273" s="5" t="str">
        <f t="shared" si="124"/>
        <v/>
      </c>
      <c r="F1273" s="5" t="str">
        <f t="shared" si="125"/>
        <v/>
      </c>
      <c r="G1273" s="23"/>
      <c r="H1273" s="66"/>
      <c r="I1273" s="14"/>
      <c r="J1273" s="14"/>
      <c r="K1273" s="14"/>
      <c r="L1273" s="5" t="str">
        <f t="shared" si="120"/>
        <v/>
      </c>
      <c r="M1273" s="5" t="str">
        <f t="shared" si="121"/>
        <v/>
      </c>
      <c r="N1273" s="5" t="str">
        <f t="shared" si="122"/>
        <v/>
      </c>
      <c r="O1273" s="4"/>
    </row>
    <row r="1274" spans="1:15" x14ac:dyDescent="0.25">
      <c r="A1274" s="14"/>
      <c r="B1274" s="14"/>
      <c r="C1274" s="14"/>
      <c r="D1274" s="5" t="str">
        <f t="shared" si="123"/>
        <v/>
      </c>
      <c r="E1274" s="5" t="str">
        <f t="shared" si="124"/>
        <v/>
      </c>
      <c r="F1274" s="5" t="str">
        <f t="shared" si="125"/>
        <v/>
      </c>
      <c r="G1274" s="23"/>
      <c r="H1274" s="66"/>
      <c r="I1274" s="14"/>
      <c r="J1274" s="14"/>
      <c r="K1274" s="14"/>
      <c r="L1274" s="5" t="str">
        <f t="shared" si="120"/>
        <v/>
      </c>
      <c r="M1274" s="5" t="str">
        <f t="shared" si="121"/>
        <v/>
      </c>
      <c r="N1274" s="5" t="str">
        <f t="shared" si="122"/>
        <v/>
      </c>
      <c r="O1274" s="4"/>
    </row>
    <row r="1275" spans="1:15" x14ac:dyDescent="0.25">
      <c r="A1275" s="14"/>
      <c r="B1275" s="14"/>
      <c r="C1275" s="14"/>
      <c r="D1275" s="5" t="str">
        <f t="shared" si="123"/>
        <v/>
      </c>
      <c r="E1275" s="5" t="str">
        <f t="shared" si="124"/>
        <v/>
      </c>
      <c r="F1275" s="5" t="str">
        <f t="shared" si="125"/>
        <v/>
      </c>
      <c r="G1275" s="23"/>
      <c r="H1275" s="66"/>
      <c r="I1275" s="14"/>
      <c r="J1275" s="14"/>
      <c r="K1275" s="14"/>
      <c r="L1275" s="5" t="str">
        <f t="shared" si="120"/>
        <v/>
      </c>
      <c r="M1275" s="5" t="str">
        <f t="shared" si="121"/>
        <v/>
      </c>
      <c r="N1275" s="5" t="str">
        <f t="shared" si="122"/>
        <v/>
      </c>
      <c r="O1275" s="4"/>
    </row>
    <row r="1276" spans="1:15" x14ac:dyDescent="0.25">
      <c r="A1276" s="14"/>
      <c r="B1276" s="14"/>
      <c r="C1276" s="14"/>
      <c r="D1276" s="5" t="str">
        <f t="shared" si="123"/>
        <v/>
      </c>
      <c r="E1276" s="5" t="str">
        <f t="shared" si="124"/>
        <v/>
      </c>
      <c r="F1276" s="5" t="str">
        <f t="shared" si="125"/>
        <v/>
      </c>
      <c r="G1276" s="23"/>
      <c r="H1276" s="66"/>
      <c r="I1276" s="14"/>
      <c r="J1276" s="14"/>
      <c r="K1276" s="14"/>
      <c r="L1276" s="5" t="str">
        <f t="shared" si="120"/>
        <v/>
      </c>
      <c r="M1276" s="5" t="str">
        <f t="shared" si="121"/>
        <v/>
      </c>
      <c r="N1276" s="5" t="str">
        <f t="shared" si="122"/>
        <v/>
      </c>
      <c r="O1276" s="4"/>
    </row>
    <row r="1277" spans="1:15" x14ac:dyDescent="0.25">
      <c r="A1277" s="14"/>
      <c r="B1277" s="14"/>
      <c r="C1277" s="14"/>
      <c r="D1277" s="5" t="str">
        <f t="shared" si="123"/>
        <v/>
      </c>
      <c r="E1277" s="5" t="str">
        <f t="shared" si="124"/>
        <v/>
      </c>
      <c r="F1277" s="5" t="str">
        <f t="shared" si="125"/>
        <v/>
      </c>
      <c r="G1277" s="23"/>
      <c r="H1277" s="66"/>
      <c r="I1277" s="14"/>
      <c r="J1277" s="14"/>
      <c r="K1277" s="14"/>
      <c r="L1277" s="5" t="str">
        <f t="shared" si="120"/>
        <v/>
      </c>
      <c r="M1277" s="5" t="str">
        <f t="shared" si="121"/>
        <v/>
      </c>
      <c r="N1277" s="5" t="str">
        <f t="shared" si="122"/>
        <v/>
      </c>
      <c r="O1277" s="4"/>
    </row>
    <row r="1278" spans="1:15" x14ac:dyDescent="0.25">
      <c r="A1278" s="14"/>
      <c r="B1278" s="14"/>
      <c r="C1278" s="14"/>
      <c r="D1278" s="5" t="str">
        <f t="shared" si="123"/>
        <v/>
      </c>
      <c r="E1278" s="5" t="str">
        <f t="shared" si="124"/>
        <v/>
      </c>
      <c r="F1278" s="5" t="str">
        <f t="shared" si="125"/>
        <v/>
      </c>
      <c r="G1278" s="23"/>
      <c r="H1278" s="66"/>
      <c r="I1278" s="14"/>
      <c r="J1278" s="14"/>
      <c r="K1278" s="14"/>
      <c r="L1278" s="5" t="str">
        <f t="shared" si="120"/>
        <v/>
      </c>
      <c r="M1278" s="5" t="str">
        <f t="shared" si="121"/>
        <v/>
      </c>
      <c r="N1278" s="5" t="str">
        <f t="shared" si="122"/>
        <v/>
      </c>
      <c r="O1278" s="4"/>
    </row>
    <row r="1279" spans="1:15" x14ac:dyDescent="0.25">
      <c r="A1279" s="14"/>
      <c r="B1279" s="14"/>
      <c r="C1279" s="14"/>
      <c r="D1279" s="5" t="str">
        <f t="shared" si="123"/>
        <v/>
      </c>
      <c r="E1279" s="5" t="str">
        <f t="shared" si="124"/>
        <v/>
      </c>
      <c r="F1279" s="5" t="str">
        <f t="shared" si="125"/>
        <v/>
      </c>
      <c r="G1279" s="23"/>
      <c r="H1279" s="66"/>
      <c r="I1279" s="14"/>
      <c r="J1279" s="14"/>
      <c r="K1279" s="14"/>
      <c r="L1279" s="5" t="str">
        <f t="shared" si="120"/>
        <v/>
      </c>
      <c r="M1279" s="5" t="str">
        <f t="shared" si="121"/>
        <v/>
      </c>
      <c r="N1279" s="5" t="str">
        <f t="shared" si="122"/>
        <v/>
      </c>
      <c r="O1279" s="4"/>
    </row>
    <row r="1280" spans="1:15" x14ac:dyDescent="0.25">
      <c r="A1280" s="14"/>
      <c r="B1280" s="14"/>
      <c r="C1280" s="14"/>
      <c r="D1280" s="5" t="str">
        <f t="shared" si="123"/>
        <v/>
      </c>
      <c r="E1280" s="5" t="str">
        <f t="shared" si="124"/>
        <v/>
      </c>
      <c r="F1280" s="5" t="str">
        <f t="shared" si="125"/>
        <v/>
      </c>
      <c r="G1280" s="23"/>
      <c r="H1280" s="66"/>
      <c r="I1280" s="14"/>
      <c r="J1280" s="14"/>
      <c r="K1280" s="14"/>
      <c r="L1280" s="5" t="str">
        <f t="shared" si="120"/>
        <v/>
      </c>
      <c r="M1280" s="5" t="str">
        <f t="shared" si="121"/>
        <v/>
      </c>
      <c r="N1280" s="5" t="str">
        <f t="shared" si="122"/>
        <v/>
      </c>
      <c r="O1280" s="4"/>
    </row>
    <row r="1281" spans="1:15" x14ac:dyDescent="0.25">
      <c r="A1281" s="14"/>
      <c r="B1281" s="14"/>
      <c r="C1281" s="14"/>
      <c r="D1281" s="5" t="str">
        <f t="shared" si="123"/>
        <v/>
      </c>
      <c r="E1281" s="5" t="str">
        <f t="shared" si="124"/>
        <v/>
      </c>
      <c r="F1281" s="5" t="str">
        <f t="shared" si="125"/>
        <v/>
      </c>
      <c r="G1281" s="23"/>
      <c r="H1281" s="66"/>
      <c r="I1281" s="14"/>
      <c r="J1281" s="14"/>
      <c r="K1281" s="14"/>
      <c r="L1281" s="5" t="str">
        <f t="shared" si="120"/>
        <v/>
      </c>
      <c r="M1281" s="5" t="str">
        <f t="shared" si="121"/>
        <v/>
      </c>
      <c r="N1281" s="5" t="str">
        <f t="shared" si="122"/>
        <v/>
      </c>
      <c r="O1281" s="4"/>
    </row>
    <row r="1282" spans="1:15" x14ac:dyDescent="0.25">
      <c r="A1282" s="14"/>
      <c r="B1282" s="14"/>
      <c r="C1282" s="14"/>
      <c r="D1282" s="5" t="str">
        <f t="shared" si="123"/>
        <v/>
      </c>
      <c r="E1282" s="5" t="str">
        <f t="shared" si="124"/>
        <v/>
      </c>
      <c r="F1282" s="5" t="str">
        <f t="shared" si="125"/>
        <v/>
      </c>
      <c r="G1282" s="23"/>
      <c r="H1282" s="66"/>
      <c r="I1282" s="14"/>
      <c r="J1282" s="14"/>
      <c r="K1282" s="14"/>
      <c r="L1282" s="5" t="str">
        <f t="shared" si="120"/>
        <v/>
      </c>
      <c r="M1282" s="5" t="str">
        <f t="shared" si="121"/>
        <v/>
      </c>
      <c r="N1282" s="5" t="str">
        <f t="shared" si="122"/>
        <v/>
      </c>
      <c r="O1282" s="4"/>
    </row>
    <row r="1283" spans="1:15" x14ac:dyDescent="0.25">
      <c r="A1283" s="14"/>
      <c r="B1283" s="14"/>
      <c r="C1283" s="14"/>
      <c r="D1283" s="5" t="str">
        <f t="shared" si="123"/>
        <v/>
      </c>
      <c r="E1283" s="5" t="str">
        <f t="shared" si="124"/>
        <v/>
      </c>
      <c r="F1283" s="5" t="str">
        <f t="shared" si="125"/>
        <v/>
      </c>
      <c r="G1283" s="23"/>
      <c r="H1283" s="66"/>
      <c r="I1283" s="14"/>
      <c r="J1283" s="14"/>
      <c r="K1283" s="14"/>
      <c r="L1283" s="5" t="str">
        <f t="shared" si="120"/>
        <v/>
      </c>
      <c r="M1283" s="5" t="str">
        <f t="shared" si="121"/>
        <v/>
      </c>
      <c r="N1283" s="5" t="str">
        <f t="shared" si="122"/>
        <v/>
      </c>
      <c r="O1283" s="4"/>
    </row>
    <row r="1284" spans="1:15" x14ac:dyDescent="0.25">
      <c r="A1284" s="14"/>
      <c r="B1284" s="14"/>
      <c r="C1284" s="14"/>
      <c r="D1284" s="5" t="str">
        <f t="shared" si="123"/>
        <v/>
      </c>
      <c r="E1284" s="5" t="str">
        <f t="shared" si="124"/>
        <v/>
      </c>
      <c r="F1284" s="5" t="str">
        <f t="shared" si="125"/>
        <v/>
      </c>
      <c r="G1284" s="23"/>
      <c r="H1284" s="66"/>
      <c r="I1284" s="14"/>
      <c r="J1284" s="14"/>
      <c r="K1284" s="14"/>
      <c r="L1284" s="5" t="str">
        <f t="shared" si="120"/>
        <v/>
      </c>
      <c r="M1284" s="5" t="str">
        <f t="shared" si="121"/>
        <v/>
      </c>
      <c r="N1284" s="5" t="str">
        <f t="shared" si="122"/>
        <v/>
      </c>
      <c r="O1284" s="4"/>
    </row>
    <row r="1285" spans="1:15" x14ac:dyDescent="0.25">
      <c r="A1285" s="14"/>
      <c r="B1285" s="14"/>
      <c r="C1285" s="14"/>
      <c r="D1285" s="5" t="str">
        <f t="shared" si="123"/>
        <v/>
      </c>
      <c r="E1285" s="5" t="str">
        <f t="shared" si="124"/>
        <v/>
      </c>
      <c r="F1285" s="5" t="str">
        <f t="shared" si="125"/>
        <v/>
      </c>
      <c r="G1285" s="23"/>
      <c r="H1285" s="66"/>
      <c r="I1285" s="14"/>
      <c r="J1285" s="14"/>
      <c r="K1285" s="14"/>
      <c r="L1285" s="5" t="str">
        <f t="shared" si="120"/>
        <v/>
      </c>
      <c r="M1285" s="5" t="str">
        <f t="shared" si="121"/>
        <v/>
      </c>
      <c r="N1285" s="5" t="str">
        <f t="shared" si="122"/>
        <v/>
      </c>
      <c r="O1285" s="4"/>
    </row>
    <row r="1286" spans="1:15" x14ac:dyDescent="0.25">
      <c r="A1286" s="14"/>
      <c r="B1286" s="14"/>
      <c r="C1286" s="14"/>
      <c r="D1286" s="5" t="str">
        <f t="shared" si="123"/>
        <v/>
      </c>
      <c r="E1286" s="5" t="str">
        <f t="shared" si="124"/>
        <v/>
      </c>
      <c r="F1286" s="5" t="str">
        <f t="shared" si="125"/>
        <v/>
      </c>
      <c r="G1286" s="23"/>
      <c r="H1286" s="66"/>
      <c r="I1286" s="14"/>
      <c r="J1286" s="14"/>
      <c r="K1286" s="14"/>
      <c r="L1286" s="5" t="str">
        <f t="shared" si="120"/>
        <v/>
      </c>
      <c r="M1286" s="5" t="str">
        <f t="shared" si="121"/>
        <v/>
      </c>
      <c r="N1286" s="5" t="str">
        <f t="shared" si="122"/>
        <v/>
      </c>
      <c r="O1286" s="4"/>
    </row>
    <row r="1287" spans="1:15" x14ac:dyDescent="0.25">
      <c r="A1287" s="14"/>
      <c r="B1287" s="14"/>
      <c r="C1287" s="14"/>
      <c r="D1287" s="5" t="str">
        <f t="shared" si="123"/>
        <v/>
      </c>
      <c r="E1287" s="5" t="str">
        <f t="shared" si="124"/>
        <v/>
      </c>
      <c r="F1287" s="5" t="str">
        <f t="shared" si="125"/>
        <v/>
      </c>
      <c r="G1287" s="23"/>
      <c r="H1287" s="66"/>
      <c r="I1287" s="14"/>
      <c r="J1287" s="14"/>
      <c r="K1287" s="14"/>
      <c r="L1287" s="5" t="str">
        <f t="shared" si="120"/>
        <v/>
      </c>
      <c r="M1287" s="5" t="str">
        <f t="shared" si="121"/>
        <v/>
      </c>
      <c r="N1287" s="5" t="str">
        <f t="shared" si="122"/>
        <v/>
      </c>
      <c r="O1287" s="4"/>
    </row>
    <row r="1288" spans="1:15" x14ac:dyDescent="0.25">
      <c r="A1288" s="14"/>
      <c r="B1288" s="14"/>
      <c r="C1288" s="14"/>
      <c r="D1288" s="5" t="str">
        <f t="shared" si="123"/>
        <v/>
      </c>
      <c r="E1288" s="5" t="str">
        <f t="shared" si="124"/>
        <v/>
      </c>
      <c r="F1288" s="5" t="str">
        <f t="shared" si="125"/>
        <v/>
      </c>
      <c r="G1288" s="23"/>
      <c r="H1288" s="66"/>
      <c r="I1288" s="14"/>
      <c r="J1288" s="14"/>
      <c r="K1288" s="14"/>
      <c r="L1288" s="5" t="str">
        <f t="shared" si="120"/>
        <v/>
      </c>
      <c r="M1288" s="5" t="str">
        <f t="shared" si="121"/>
        <v/>
      </c>
      <c r="N1288" s="5" t="str">
        <f t="shared" si="122"/>
        <v/>
      </c>
      <c r="O1288" s="4"/>
    </row>
    <row r="1289" spans="1:15" x14ac:dyDescent="0.25">
      <c r="A1289" s="14"/>
      <c r="B1289" s="14"/>
      <c r="C1289" s="14"/>
      <c r="D1289" s="5" t="str">
        <f t="shared" si="123"/>
        <v/>
      </c>
      <c r="E1289" s="5" t="str">
        <f t="shared" si="124"/>
        <v/>
      </c>
      <c r="F1289" s="5" t="str">
        <f t="shared" si="125"/>
        <v/>
      </c>
      <c r="G1289" s="23"/>
      <c r="H1289" s="66"/>
      <c r="I1289" s="14"/>
      <c r="J1289" s="14"/>
      <c r="K1289" s="14"/>
      <c r="L1289" s="5" t="str">
        <f t="shared" si="120"/>
        <v/>
      </c>
      <c r="M1289" s="5" t="str">
        <f t="shared" si="121"/>
        <v/>
      </c>
      <c r="N1289" s="5" t="str">
        <f t="shared" si="122"/>
        <v/>
      </c>
      <c r="O1289" s="4"/>
    </row>
    <row r="1290" spans="1:15" x14ac:dyDescent="0.25">
      <c r="A1290" s="14"/>
      <c r="B1290" s="14"/>
      <c r="C1290" s="14"/>
      <c r="D1290" s="5" t="str">
        <f t="shared" si="123"/>
        <v/>
      </c>
      <c r="E1290" s="5" t="str">
        <f t="shared" si="124"/>
        <v/>
      </c>
      <c r="F1290" s="5" t="str">
        <f t="shared" si="125"/>
        <v/>
      </c>
      <c r="G1290" s="23"/>
      <c r="H1290" s="66"/>
      <c r="I1290" s="14"/>
      <c r="J1290" s="14"/>
      <c r="K1290" s="14"/>
      <c r="L1290" s="5" t="str">
        <f t="shared" ref="L1290:L1353" si="126">IFERROR(IF(I1290&lt;&gt;"",(((J1290-J1289)*$X$4/(I1290-I1289)))*$X$5,""),"")</f>
        <v/>
      </c>
      <c r="M1290" s="5" t="str">
        <f t="shared" ref="M1290:M1353" si="127">IFERROR(IF(I1290&lt;&gt;"",(((K1290-K1289)*$X$4/(I1290-I1289)))*$X$5,""),"")</f>
        <v/>
      </c>
      <c r="N1290" s="5" t="str">
        <f t="shared" ref="N1290:N1353" si="128">IFERROR(IF(I1290&lt;&gt;"",((ACOS((COS(RADIANS(J1289))*COS(RADIANS(J1290)))+(SIN(RADIANS(J1289))*SIN(RADIANS(J1290)))*COS(RADIANS(K1290-K1289)))*180/PI()*($X$4/(I1290-I1289))))*$X$5,""),"")</f>
        <v/>
      </c>
      <c r="O1290" s="4"/>
    </row>
    <row r="1291" spans="1:15" x14ac:dyDescent="0.25">
      <c r="A1291" s="14"/>
      <c r="B1291" s="14"/>
      <c r="C1291" s="14"/>
      <c r="D1291" s="5" t="str">
        <f t="shared" si="123"/>
        <v/>
      </c>
      <c r="E1291" s="5" t="str">
        <f t="shared" si="124"/>
        <v/>
      </c>
      <c r="F1291" s="5" t="str">
        <f t="shared" si="125"/>
        <v/>
      </c>
      <c r="G1291" s="23"/>
      <c r="H1291" s="66"/>
      <c r="I1291" s="14"/>
      <c r="J1291" s="14"/>
      <c r="K1291" s="14"/>
      <c r="L1291" s="5" t="str">
        <f t="shared" si="126"/>
        <v/>
      </c>
      <c r="M1291" s="5" t="str">
        <f t="shared" si="127"/>
        <v/>
      </c>
      <c r="N1291" s="5" t="str">
        <f t="shared" si="128"/>
        <v/>
      </c>
      <c r="O1291" s="4"/>
    </row>
    <row r="1292" spans="1:15" x14ac:dyDescent="0.25">
      <c r="A1292" s="14"/>
      <c r="B1292" s="14"/>
      <c r="C1292" s="14"/>
      <c r="D1292" s="5" t="str">
        <f t="shared" si="123"/>
        <v/>
      </c>
      <c r="E1292" s="5" t="str">
        <f t="shared" si="124"/>
        <v/>
      </c>
      <c r="F1292" s="5" t="str">
        <f t="shared" si="125"/>
        <v/>
      </c>
      <c r="G1292" s="23"/>
      <c r="H1292" s="66"/>
      <c r="I1292" s="14"/>
      <c r="J1292" s="14"/>
      <c r="K1292" s="14"/>
      <c r="L1292" s="5" t="str">
        <f t="shared" si="126"/>
        <v/>
      </c>
      <c r="M1292" s="5" t="str">
        <f t="shared" si="127"/>
        <v/>
      </c>
      <c r="N1292" s="5" t="str">
        <f t="shared" si="128"/>
        <v/>
      </c>
      <c r="O1292" s="4"/>
    </row>
    <row r="1293" spans="1:15" x14ac:dyDescent="0.25">
      <c r="A1293" s="14"/>
      <c r="B1293" s="14"/>
      <c r="C1293" s="14"/>
      <c r="D1293" s="5" t="str">
        <f t="shared" si="123"/>
        <v/>
      </c>
      <c r="E1293" s="5" t="str">
        <f t="shared" si="124"/>
        <v/>
      </c>
      <c r="F1293" s="5" t="str">
        <f t="shared" si="125"/>
        <v/>
      </c>
      <c r="G1293" s="23"/>
      <c r="H1293" s="66"/>
      <c r="I1293" s="14"/>
      <c r="J1293" s="14"/>
      <c r="K1293" s="14"/>
      <c r="L1293" s="5" t="str">
        <f t="shared" si="126"/>
        <v/>
      </c>
      <c r="M1293" s="5" t="str">
        <f t="shared" si="127"/>
        <v/>
      </c>
      <c r="N1293" s="5" t="str">
        <f t="shared" si="128"/>
        <v/>
      </c>
      <c r="O1293" s="4"/>
    </row>
    <row r="1294" spans="1:15" x14ac:dyDescent="0.25">
      <c r="A1294" s="14"/>
      <c r="B1294" s="14"/>
      <c r="C1294" s="14"/>
      <c r="D1294" s="5" t="str">
        <f t="shared" si="123"/>
        <v/>
      </c>
      <c r="E1294" s="5" t="str">
        <f t="shared" si="124"/>
        <v/>
      </c>
      <c r="F1294" s="5" t="str">
        <f t="shared" si="125"/>
        <v/>
      </c>
      <c r="G1294" s="23"/>
      <c r="H1294" s="66"/>
      <c r="I1294" s="14"/>
      <c r="J1294" s="14"/>
      <c r="K1294" s="14"/>
      <c r="L1294" s="5" t="str">
        <f t="shared" si="126"/>
        <v/>
      </c>
      <c r="M1294" s="5" t="str">
        <f t="shared" si="127"/>
        <v/>
      </c>
      <c r="N1294" s="5" t="str">
        <f t="shared" si="128"/>
        <v/>
      </c>
      <c r="O1294" s="4"/>
    </row>
    <row r="1295" spans="1:15" x14ac:dyDescent="0.25">
      <c r="A1295" s="14"/>
      <c r="B1295" s="14"/>
      <c r="C1295" s="14"/>
      <c r="D1295" s="5" t="str">
        <f t="shared" si="123"/>
        <v/>
      </c>
      <c r="E1295" s="5" t="str">
        <f t="shared" si="124"/>
        <v/>
      </c>
      <c r="F1295" s="5" t="str">
        <f t="shared" si="125"/>
        <v/>
      </c>
      <c r="G1295" s="23"/>
      <c r="H1295" s="66"/>
      <c r="I1295" s="14"/>
      <c r="J1295" s="14"/>
      <c r="K1295" s="14"/>
      <c r="L1295" s="5" t="str">
        <f t="shared" si="126"/>
        <v/>
      </c>
      <c r="M1295" s="5" t="str">
        <f t="shared" si="127"/>
        <v/>
      </c>
      <c r="N1295" s="5" t="str">
        <f t="shared" si="128"/>
        <v/>
      </c>
      <c r="O1295" s="4"/>
    </row>
    <row r="1296" spans="1:15" x14ac:dyDescent="0.25">
      <c r="A1296" s="14"/>
      <c r="B1296" s="14"/>
      <c r="C1296" s="14"/>
      <c r="D1296" s="5" t="str">
        <f t="shared" si="123"/>
        <v/>
      </c>
      <c r="E1296" s="5" t="str">
        <f t="shared" si="124"/>
        <v/>
      </c>
      <c r="F1296" s="5" t="str">
        <f t="shared" si="125"/>
        <v/>
      </c>
      <c r="G1296" s="23"/>
      <c r="H1296" s="66"/>
      <c r="I1296" s="14"/>
      <c r="J1296" s="14"/>
      <c r="K1296" s="14"/>
      <c r="L1296" s="5" t="str">
        <f t="shared" si="126"/>
        <v/>
      </c>
      <c r="M1296" s="5" t="str">
        <f t="shared" si="127"/>
        <v/>
      </c>
      <c r="N1296" s="5" t="str">
        <f t="shared" si="128"/>
        <v/>
      </c>
      <c r="O1296" s="4"/>
    </row>
    <row r="1297" spans="1:15" x14ac:dyDescent="0.25">
      <c r="A1297" s="14"/>
      <c r="B1297" s="14"/>
      <c r="C1297" s="14"/>
      <c r="D1297" s="5" t="str">
        <f t="shared" si="123"/>
        <v/>
      </c>
      <c r="E1297" s="5" t="str">
        <f t="shared" si="124"/>
        <v/>
      </c>
      <c r="F1297" s="5" t="str">
        <f t="shared" si="125"/>
        <v/>
      </c>
      <c r="G1297" s="23"/>
      <c r="H1297" s="66"/>
      <c r="I1297" s="14"/>
      <c r="J1297" s="14"/>
      <c r="K1297" s="14"/>
      <c r="L1297" s="5" t="str">
        <f t="shared" si="126"/>
        <v/>
      </c>
      <c r="M1297" s="5" t="str">
        <f t="shared" si="127"/>
        <v/>
      </c>
      <c r="N1297" s="5" t="str">
        <f t="shared" si="128"/>
        <v/>
      </c>
      <c r="O1297" s="4"/>
    </row>
    <row r="1298" spans="1:15" x14ac:dyDescent="0.25">
      <c r="A1298" s="14"/>
      <c r="B1298" s="14"/>
      <c r="C1298" s="14"/>
      <c r="D1298" s="5" t="str">
        <f t="shared" si="123"/>
        <v/>
      </c>
      <c r="E1298" s="5" t="str">
        <f t="shared" si="124"/>
        <v/>
      </c>
      <c r="F1298" s="5" t="str">
        <f t="shared" si="125"/>
        <v/>
      </c>
      <c r="G1298" s="23"/>
      <c r="H1298" s="66"/>
      <c r="I1298" s="14"/>
      <c r="J1298" s="14"/>
      <c r="K1298" s="14"/>
      <c r="L1298" s="5" t="str">
        <f t="shared" si="126"/>
        <v/>
      </c>
      <c r="M1298" s="5" t="str">
        <f t="shared" si="127"/>
        <v/>
      </c>
      <c r="N1298" s="5" t="str">
        <f t="shared" si="128"/>
        <v/>
      </c>
      <c r="O1298" s="4"/>
    </row>
    <row r="1299" spans="1:15" x14ac:dyDescent="0.25">
      <c r="A1299" s="14"/>
      <c r="B1299" s="14"/>
      <c r="C1299" s="14"/>
      <c r="D1299" s="5" t="str">
        <f t="shared" si="123"/>
        <v/>
      </c>
      <c r="E1299" s="5" t="str">
        <f t="shared" si="124"/>
        <v/>
      </c>
      <c r="F1299" s="5" t="str">
        <f t="shared" si="125"/>
        <v/>
      </c>
      <c r="G1299" s="23"/>
      <c r="H1299" s="66"/>
      <c r="I1299" s="14"/>
      <c r="J1299" s="14"/>
      <c r="K1299" s="14"/>
      <c r="L1299" s="5" t="str">
        <f t="shared" si="126"/>
        <v/>
      </c>
      <c r="M1299" s="5" t="str">
        <f t="shared" si="127"/>
        <v/>
      </c>
      <c r="N1299" s="5" t="str">
        <f t="shared" si="128"/>
        <v/>
      </c>
      <c r="O1299" s="4"/>
    </row>
    <row r="1300" spans="1:15" x14ac:dyDescent="0.25">
      <c r="A1300" s="14"/>
      <c r="B1300" s="14"/>
      <c r="C1300" s="14"/>
      <c r="D1300" s="5" t="str">
        <f t="shared" si="123"/>
        <v/>
      </c>
      <c r="E1300" s="5" t="str">
        <f t="shared" si="124"/>
        <v/>
      </c>
      <c r="F1300" s="5" t="str">
        <f t="shared" si="125"/>
        <v/>
      </c>
      <c r="G1300" s="23"/>
      <c r="H1300" s="66"/>
      <c r="I1300" s="14"/>
      <c r="J1300" s="14"/>
      <c r="K1300" s="14"/>
      <c r="L1300" s="5" t="str">
        <f t="shared" si="126"/>
        <v/>
      </c>
      <c r="M1300" s="5" t="str">
        <f t="shared" si="127"/>
        <v/>
      </c>
      <c r="N1300" s="5" t="str">
        <f t="shared" si="128"/>
        <v/>
      </c>
      <c r="O1300" s="4"/>
    </row>
    <row r="1301" spans="1:15" x14ac:dyDescent="0.25">
      <c r="A1301" s="14"/>
      <c r="B1301" s="14"/>
      <c r="C1301" s="14"/>
      <c r="D1301" s="5" t="str">
        <f t="shared" si="123"/>
        <v/>
      </c>
      <c r="E1301" s="5" t="str">
        <f t="shared" si="124"/>
        <v/>
      </c>
      <c r="F1301" s="5" t="str">
        <f t="shared" si="125"/>
        <v/>
      </c>
      <c r="G1301" s="23"/>
      <c r="H1301" s="66"/>
      <c r="I1301" s="14"/>
      <c r="J1301" s="14"/>
      <c r="K1301" s="14"/>
      <c r="L1301" s="5" t="str">
        <f t="shared" si="126"/>
        <v/>
      </c>
      <c r="M1301" s="5" t="str">
        <f t="shared" si="127"/>
        <v/>
      </c>
      <c r="N1301" s="5" t="str">
        <f t="shared" si="128"/>
        <v/>
      </c>
      <c r="O1301" s="4"/>
    </row>
    <row r="1302" spans="1:15" x14ac:dyDescent="0.25">
      <c r="A1302" s="14"/>
      <c r="B1302" s="14"/>
      <c r="C1302" s="14"/>
      <c r="D1302" s="5" t="str">
        <f t="shared" si="123"/>
        <v/>
      </c>
      <c r="E1302" s="5" t="str">
        <f t="shared" si="124"/>
        <v/>
      </c>
      <c r="F1302" s="5" t="str">
        <f t="shared" si="125"/>
        <v/>
      </c>
      <c r="G1302" s="23"/>
      <c r="H1302" s="66"/>
      <c r="I1302" s="14"/>
      <c r="J1302" s="14"/>
      <c r="K1302" s="14"/>
      <c r="L1302" s="5" t="str">
        <f t="shared" si="126"/>
        <v/>
      </c>
      <c r="M1302" s="5" t="str">
        <f t="shared" si="127"/>
        <v/>
      </c>
      <c r="N1302" s="5" t="str">
        <f t="shared" si="128"/>
        <v/>
      </c>
      <c r="O1302" s="4"/>
    </row>
    <row r="1303" spans="1:15" x14ac:dyDescent="0.25">
      <c r="A1303" s="14"/>
      <c r="B1303" s="14"/>
      <c r="C1303" s="14"/>
      <c r="D1303" s="5" t="str">
        <f t="shared" si="123"/>
        <v/>
      </c>
      <c r="E1303" s="5" t="str">
        <f t="shared" si="124"/>
        <v/>
      </c>
      <c r="F1303" s="5" t="str">
        <f t="shared" si="125"/>
        <v/>
      </c>
      <c r="G1303" s="23"/>
      <c r="H1303" s="66"/>
      <c r="I1303" s="14"/>
      <c r="J1303" s="14"/>
      <c r="K1303" s="14"/>
      <c r="L1303" s="5" t="str">
        <f t="shared" si="126"/>
        <v/>
      </c>
      <c r="M1303" s="5" t="str">
        <f t="shared" si="127"/>
        <v/>
      </c>
      <c r="N1303" s="5" t="str">
        <f t="shared" si="128"/>
        <v/>
      </c>
      <c r="O1303" s="4"/>
    </row>
    <row r="1304" spans="1:15" x14ac:dyDescent="0.25">
      <c r="A1304" s="14"/>
      <c r="B1304" s="14"/>
      <c r="C1304" s="14"/>
      <c r="D1304" s="5" t="str">
        <f t="shared" si="123"/>
        <v/>
      </c>
      <c r="E1304" s="5" t="str">
        <f t="shared" si="124"/>
        <v/>
      </c>
      <c r="F1304" s="5" t="str">
        <f t="shared" si="125"/>
        <v/>
      </c>
      <c r="G1304" s="23"/>
      <c r="H1304" s="66"/>
      <c r="I1304" s="14"/>
      <c r="J1304" s="14"/>
      <c r="K1304" s="14"/>
      <c r="L1304" s="5" t="str">
        <f t="shared" si="126"/>
        <v/>
      </c>
      <c r="M1304" s="5" t="str">
        <f t="shared" si="127"/>
        <v/>
      </c>
      <c r="N1304" s="5" t="str">
        <f t="shared" si="128"/>
        <v/>
      </c>
      <c r="O1304" s="4"/>
    </row>
    <row r="1305" spans="1:15" x14ac:dyDescent="0.25">
      <c r="A1305" s="14"/>
      <c r="B1305" s="14"/>
      <c r="C1305" s="14"/>
      <c r="D1305" s="5" t="str">
        <f t="shared" ref="D1305:D1368" si="129">IFERROR( IF(A1305&lt;&gt;"",((B1305-B1304)*$X$4/(A1305-A1304))*$X$5,""),"")</f>
        <v/>
      </c>
      <c r="E1305" s="5" t="str">
        <f t="shared" ref="E1305:E1368" si="130">IFERROR(IF(A1305&lt;&gt;"",((C1305-C1304)*$X$4/(A1305-A1304))*$X$5,""),"")</f>
        <v/>
      </c>
      <c r="F1305" s="5" t="str">
        <f t="shared" ref="F1305:F1368" si="131">IFERROR(IF(A1305&lt;&gt;"",((ACOS((COS(RADIANS(B1304))*COS(RADIANS(B1305)))+(SIN(RADIANS(B1304))*SIN(RADIANS(B1305)))*COS(RADIANS(C1305-C1304)))*180/PI()*($X$4/(A1305-A1304))))*$X$5,""),"")</f>
        <v/>
      </c>
      <c r="G1305" s="23"/>
      <c r="H1305" s="66"/>
      <c r="I1305" s="14"/>
      <c r="J1305" s="14"/>
      <c r="K1305" s="14"/>
      <c r="L1305" s="5" t="str">
        <f t="shared" si="126"/>
        <v/>
      </c>
      <c r="M1305" s="5" t="str">
        <f t="shared" si="127"/>
        <v/>
      </c>
      <c r="N1305" s="5" t="str">
        <f t="shared" si="128"/>
        <v/>
      </c>
      <c r="O1305" s="4"/>
    </row>
    <row r="1306" spans="1:15" x14ac:dyDescent="0.25">
      <c r="A1306" s="14"/>
      <c r="B1306" s="14"/>
      <c r="C1306" s="14"/>
      <c r="D1306" s="5" t="str">
        <f t="shared" si="129"/>
        <v/>
      </c>
      <c r="E1306" s="5" t="str">
        <f t="shared" si="130"/>
        <v/>
      </c>
      <c r="F1306" s="5" t="str">
        <f t="shared" si="131"/>
        <v/>
      </c>
      <c r="G1306" s="23"/>
      <c r="H1306" s="66"/>
      <c r="I1306" s="14"/>
      <c r="J1306" s="14"/>
      <c r="K1306" s="14"/>
      <c r="L1306" s="5" t="str">
        <f t="shared" si="126"/>
        <v/>
      </c>
      <c r="M1306" s="5" t="str">
        <f t="shared" si="127"/>
        <v/>
      </c>
      <c r="N1306" s="5" t="str">
        <f t="shared" si="128"/>
        <v/>
      </c>
      <c r="O1306" s="4"/>
    </row>
    <row r="1307" spans="1:15" x14ac:dyDescent="0.25">
      <c r="A1307" s="14"/>
      <c r="B1307" s="14"/>
      <c r="C1307" s="14"/>
      <c r="D1307" s="5" t="str">
        <f t="shared" si="129"/>
        <v/>
      </c>
      <c r="E1307" s="5" t="str">
        <f t="shared" si="130"/>
        <v/>
      </c>
      <c r="F1307" s="5" t="str">
        <f t="shared" si="131"/>
        <v/>
      </c>
      <c r="G1307" s="23"/>
      <c r="H1307" s="66"/>
      <c r="I1307" s="14"/>
      <c r="J1307" s="14"/>
      <c r="K1307" s="14"/>
      <c r="L1307" s="5" t="str">
        <f t="shared" si="126"/>
        <v/>
      </c>
      <c r="M1307" s="5" t="str">
        <f t="shared" si="127"/>
        <v/>
      </c>
      <c r="N1307" s="5" t="str">
        <f t="shared" si="128"/>
        <v/>
      </c>
      <c r="O1307" s="4"/>
    </row>
    <row r="1308" spans="1:15" x14ac:dyDescent="0.25">
      <c r="A1308" s="14"/>
      <c r="B1308" s="14"/>
      <c r="C1308" s="14"/>
      <c r="D1308" s="5" t="str">
        <f t="shared" si="129"/>
        <v/>
      </c>
      <c r="E1308" s="5" t="str">
        <f t="shared" si="130"/>
        <v/>
      </c>
      <c r="F1308" s="5" t="str">
        <f t="shared" si="131"/>
        <v/>
      </c>
      <c r="G1308" s="23"/>
      <c r="H1308" s="66"/>
      <c r="I1308" s="14"/>
      <c r="J1308" s="14"/>
      <c r="K1308" s="14"/>
      <c r="L1308" s="5" t="str">
        <f t="shared" si="126"/>
        <v/>
      </c>
      <c r="M1308" s="5" t="str">
        <f t="shared" si="127"/>
        <v/>
      </c>
      <c r="N1308" s="5" t="str">
        <f t="shared" si="128"/>
        <v/>
      </c>
      <c r="O1308" s="4"/>
    </row>
    <row r="1309" spans="1:15" x14ac:dyDescent="0.25">
      <c r="A1309" s="14"/>
      <c r="B1309" s="14"/>
      <c r="C1309" s="14"/>
      <c r="D1309" s="5" t="str">
        <f t="shared" si="129"/>
        <v/>
      </c>
      <c r="E1309" s="5" t="str">
        <f t="shared" si="130"/>
        <v/>
      </c>
      <c r="F1309" s="5" t="str">
        <f t="shared" si="131"/>
        <v/>
      </c>
      <c r="G1309" s="23"/>
      <c r="H1309" s="66"/>
      <c r="I1309" s="14"/>
      <c r="J1309" s="14"/>
      <c r="K1309" s="14"/>
      <c r="L1309" s="5" t="str">
        <f t="shared" si="126"/>
        <v/>
      </c>
      <c r="M1309" s="5" t="str">
        <f t="shared" si="127"/>
        <v/>
      </c>
      <c r="N1309" s="5" t="str">
        <f t="shared" si="128"/>
        <v/>
      </c>
      <c r="O1309" s="4"/>
    </row>
    <row r="1310" spans="1:15" x14ac:dyDescent="0.25">
      <c r="A1310" s="14"/>
      <c r="B1310" s="14"/>
      <c r="C1310" s="14"/>
      <c r="D1310" s="5" t="str">
        <f t="shared" si="129"/>
        <v/>
      </c>
      <c r="E1310" s="5" t="str">
        <f t="shared" si="130"/>
        <v/>
      </c>
      <c r="F1310" s="5" t="str">
        <f t="shared" si="131"/>
        <v/>
      </c>
      <c r="G1310" s="23"/>
      <c r="H1310" s="66"/>
      <c r="I1310" s="14"/>
      <c r="J1310" s="14"/>
      <c r="K1310" s="14"/>
      <c r="L1310" s="5" t="str">
        <f t="shared" si="126"/>
        <v/>
      </c>
      <c r="M1310" s="5" t="str">
        <f t="shared" si="127"/>
        <v/>
      </c>
      <c r="N1310" s="5" t="str">
        <f t="shared" si="128"/>
        <v/>
      </c>
      <c r="O1310" s="4"/>
    </row>
    <row r="1311" spans="1:15" x14ac:dyDescent="0.25">
      <c r="A1311" s="14"/>
      <c r="B1311" s="14"/>
      <c r="C1311" s="14"/>
      <c r="D1311" s="5" t="str">
        <f t="shared" si="129"/>
        <v/>
      </c>
      <c r="E1311" s="5" t="str">
        <f t="shared" si="130"/>
        <v/>
      </c>
      <c r="F1311" s="5" t="str">
        <f t="shared" si="131"/>
        <v/>
      </c>
      <c r="G1311" s="23"/>
      <c r="H1311" s="66"/>
      <c r="I1311" s="14"/>
      <c r="J1311" s="14"/>
      <c r="K1311" s="14"/>
      <c r="L1311" s="5" t="str">
        <f t="shared" si="126"/>
        <v/>
      </c>
      <c r="M1311" s="5" t="str">
        <f t="shared" si="127"/>
        <v/>
      </c>
      <c r="N1311" s="5" t="str">
        <f t="shared" si="128"/>
        <v/>
      </c>
      <c r="O1311" s="4"/>
    </row>
    <row r="1312" spans="1:15" x14ac:dyDescent="0.25">
      <c r="A1312" s="14"/>
      <c r="B1312" s="14"/>
      <c r="C1312" s="14"/>
      <c r="D1312" s="5" t="str">
        <f t="shared" si="129"/>
        <v/>
      </c>
      <c r="E1312" s="5" t="str">
        <f t="shared" si="130"/>
        <v/>
      </c>
      <c r="F1312" s="5" t="str">
        <f t="shared" si="131"/>
        <v/>
      </c>
      <c r="G1312" s="23"/>
      <c r="H1312" s="66"/>
      <c r="I1312" s="14"/>
      <c r="J1312" s="14"/>
      <c r="K1312" s="14"/>
      <c r="L1312" s="5" t="str">
        <f t="shared" si="126"/>
        <v/>
      </c>
      <c r="M1312" s="5" t="str">
        <f t="shared" si="127"/>
        <v/>
      </c>
      <c r="N1312" s="5" t="str">
        <f t="shared" si="128"/>
        <v/>
      </c>
      <c r="O1312" s="4"/>
    </row>
    <row r="1313" spans="1:15" x14ac:dyDescent="0.25">
      <c r="A1313" s="14"/>
      <c r="B1313" s="14"/>
      <c r="C1313" s="14"/>
      <c r="D1313" s="5" t="str">
        <f t="shared" si="129"/>
        <v/>
      </c>
      <c r="E1313" s="5" t="str">
        <f t="shared" si="130"/>
        <v/>
      </c>
      <c r="F1313" s="5" t="str">
        <f t="shared" si="131"/>
        <v/>
      </c>
      <c r="G1313" s="23"/>
      <c r="H1313" s="66"/>
      <c r="I1313" s="14"/>
      <c r="J1313" s="14"/>
      <c r="K1313" s="14"/>
      <c r="L1313" s="5" t="str">
        <f t="shared" si="126"/>
        <v/>
      </c>
      <c r="M1313" s="5" t="str">
        <f t="shared" si="127"/>
        <v/>
      </c>
      <c r="N1313" s="5" t="str">
        <f t="shared" si="128"/>
        <v/>
      </c>
      <c r="O1313" s="4"/>
    </row>
    <row r="1314" spans="1:15" x14ac:dyDescent="0.25">
      <c r="A1314" s="14"/>
      <c r="B1314" s="14"/>
      <c r="C1314" s="14"/>
      <c r="D1314" s="5" t="str">
        <f t="shared" si="129"/>
        <v/>
      </c>
      <c r="E1314" s="5" t="str">
        <f t="shared" si="130"/>
        <v/>
      </c>
      <c r="F1314" s="5" t="str">
        <f t="shared" si="131"/>
        <v/>
      </c>
      <c r="G1314" s="23"/>
      <c r="H1314" s="66"/>
      <c r="I1314" s="14"/>
      <c r="J1314" s="14"/>
      <c r="K1314" s="14"/>
      <c r="L1314" s="5" t="str">
        <f t="shared" si="126"/>
        <v/>
      </c>
      <c r="M1314" s="5" t="str">
        <f t="shared" si="127"/>
        <v/>
      </c>
      <c r="N1314" s="5" t="str">
        <f t="shared" si="128"/>
        <v/>
      </c>
      <c r="O1314" s="4"/>
    </row>
    <row r="1315" spans="1:15" x14ac:dyDescent="0.25">
      <c r="A1315" s="14"/>
      <c r="B1315" s="14"/>
      <c r="C1315" s="14"/>
      <c r="D1315" s="5" t="str">
        <f t="shared" si="129"/>
        <v/>
      </c>
      <c r="E1315" s="5" t="str">
        <f t="shared" si="130"/>
        <v/>
      </c>
      <c r="F1315" s="5" t="str">
        <f t="shared" si="131"/>
        <v/>
      </c>
      <c r="G1315" s="23"/>
      <c r="H1315" s="66"/>
      <c r="I1315" s="14"/>
      <c r="J1315" s="14"/>
      <c r="K1315" s="14"/>
      <c r="L1315" s="5" t="str">
        <f t="shared" si="126"/>
        <v/>
      </c>
      <c r="M1315" s="5" t="str">
        <f t="shared" si="127"/>
        <v/>
      </c>
      <c r="N1315" s="5" t="str">
        <f t="shared" si="128"/>
        <v/>
      </c>
      <c r="O1315" s="4"/>
    </row>
    <row r="1316" spans="1:15" x14ac:dyDescent="0.25">
      <c r="A1316" s="14"/>
      <c r="B1316" s="14"/>
      <c r="C1316" s="14"/>
      <c r="D1316" s="5" t="str">
        <f t="shared" si="129"/>
        <v/>
      </c>
      <c r="E1316" s="5" t="str">
        <f t="shared" si="130"/>
        <v/>
      </c>
      <c r="F1316" s="5" t="str">
        <f t="shared" si="131"/>
        <v/>
      </c>
      <c r="G1316" s="23"/>
      <c r="H1316" s="66"/>
      <c r="I1316" s="14"/>
      <c r="J1316" s="14"/>
      <c r="K1316" s="14"/>
      <c r="L1316" s="5" t="str">
        <f t="shared" si="126"/>
        <v/>
      </c>
      <c r="M1316" s="5" t="str">
        <f t="shared" si="127"/>
        <v/>
      </c>
      <c r="N1316" s="5" t="str">
        <f t="shared" si="128"/>
        <v/>
      </c>
      <c r="O1316" s="4"/>
    </row>
    <row r="1317" spans="1:15" x14ac:dyDescent="0.25">
      <c r="A1317" s="14"/>
      <c r="B1317" s="14"/>
      <c r="C1317" s="14"/>
      <c r="D1317" s="5" t="str">
        <f t="shared" si="129"/>
        <v/>
      </c>
      <c r="E1317" s="5" t="str">
        <f t="shared" si="130"/>
        <v/>
      </c>
      <c r="F1317" s="5" t="str">
        <f t="shared" si="131"/>
        <v/>
      </c>
      <c r="G1317" s="23"/>
      <c r="H1317" s="66"/>
      <c r="I1317" s="14"/>
      <c r="J1317" s="14"/>
      <c r="K1317" s="14"/>
      <c r="L1317" s="5" t="str">
        <f t="shared" si="126"/>
        <v/>
      </c>
      <c r="M1317" s="5" t="str">
        <f t="shared" si="127"/>
        <v/>
      </c>
      <c r="N1317" s="5" t="str">
        <f t="shared" si="128"/>
        <v/>
      </c>
      <c r="O1317" s="4"/>
    </row>
    <row r="1318" spans="1:15" x14ac:dyDescent="0.25">
      <c r="A1318" s="14"/>
      <c r="B1318" s="14"/>
      <c r="C1318" s="14"/>
      <c r="D1318" s="5" t="str">
        <f t="shared" si="129"/>
        <v/>
      </c>
      <c r="E1318" s="5" t="str">
        <f t="shared" si="130"/>
        <v/>
      </c>
      <c r="F1318" s="5" t="str">
        <f t="shared" si="131"/>
        <v/>
      </c>
      <c r="G1318" s="23"/>
      <c r="H1318" s="66"/>
      <c r="I1318" s="14"/>
      <c r="J1318" s="14"/>
      <c r="K1318" s="14"/>
      <c r="L1318" s="5" t="str">
        <f t="shared" si="126"/>
        <v/>
      </c>
      <c r="M1318" s="5" t="str">
        <f t="shared" si="127"/>
        <v/>
      </c>
      <c r="N1318" s="5" t="str">
        <f t="shared" si="128"/>
        <v/>
      </c>
      <c r="O1318" s="4"/>
    </row>
    <row r="1319" spans="1:15" x14ac:dyDescent="0.25">
      <c r="A1319" s="14"/>
      <c r="B1319" s="14"/>
      <c r="C1319" s="14"/>
      <c r="D1319" s="5" t="str">
        <f t="shared" si="129"/>
        <v/>
      </c>
      <c r="E1319" s="5" t="str">
        <f t="shared" si="130"/>
        <v/>
      </c>
      <c r="F1319" s="5" t="str">
        <f t="shared" si="131"/>
        <v/>
      </c>
      <c r="G1319" s="23"/>
      <c r="H1319" s="66"/>
      <c r="I1319" s="14"/>
      <c r="J1319" s="14"/>
      <c r="K1319" s="14"/>
      <c r="L1319" s="5" t="str">
        <f t="shared" si="126"/>
        <v/>
      </c>
      <c r="M1319" s="5" t="str">
        <f t="shared" si="127"/>
        <v/>
      </c>
      <c r="N1319" s="5" t="str">
        <f t="shared" si="128"/>
        <v/>
      </c>
      <c r="O1319" s="4"/>
    </row>
    <row r="1320" spans="1:15" x14ac:dyDescent="0.25">
      <c r="A1320" s="14"/>
      <c r="B1320" s="14"/>
      <c r="C1320" s="14"/>
      <c r="D1320" s="5" t="str">
        <f t="shared" si="129"/>
        <v/>
      </c>
      <c r="E1320" s="5" t="str">
        <f t="shared" si="130"/>
        <v/>
      </c>
      <c r="F1320" s="5" t="str">
        <f t="shared" si="131"/>
        <v/>
      </c>
      <c r="G1320" s="23"/>
      <c r="H1320" s="66"/>
      <c r="I1320" s="14"/>
      <c r="J1320" s="14"/>
      <c r="K1320" s="14"/>
      <c r="L1320" s="5" t="str">
        <f t="shared" si="126"/>
        <v/>
      </c>
      <c r="M1320" s="5" t="str">
        <f t="shared" si="127"/>
        <v/>
      </c>
      <c r="N1320" s="5" t="str">
        <f t="shared" si="128"/>
        <v/>
      </c>
      <c r="O1320" s="4"/>
    </row>
    <row r="1321" spans="1:15" x14ac:dyDescent="0.25">
      <c r="A1321" s="14"/>
      <c r="B1321" s="14"/>
      <c r="C1321" s="14"/>
      <c r="D1321" s="5" t="str">
        <f t="shared" si="129"/>
        <v/>
      </c>
      <c r="E1321" s="5" t="str">
        <f t="shared" si="130"/>
        <v/>
      </c>
      <c r="F1321" s="5" t="str">
        <f t="shared" si="131"/>
        <v/>
      </c>
      <c r="G1321" s="23"/>
      <c r="H1321" s="66"/>
      <c r="I1321" s="14"/>
      <c r="J1321" s="14"/>
      <c r="K1321" s="14"/>
      <c r="L1321" s="5" t="str">
        <f t="shared" si="126"/>
        <v/>
      </c>
      <c r="M1321" s="5" t="str">
        <f t="shared" si="127"/>
        <v/>
      </c>
      <c r="N1321" s="5" t="str">
        <f t="shared" si="128"/>
        <v/>
      </c>
      <c r="O1321" s="4"/>
    </row>
    <row r="1322" spans="1:15" x14ac:dyDescent="0.25">
      <c r="A1322" s="14"/>
      <c r="B1322" s="14"/>
      <c r="C1322" s="14"/>
      <c r="D1322" s="5" t="str">
        <f t="shared" si="129"/>
        <v/>
      </c>
      <c r="E1322" s="5" t="str">
        <f t="shared" si="130"/>
        <v/>
      </c>
      <c r="F1322" s="5" t="str">
        <f t="shared" si="131"/>
        <v/>
      </c>
      <c r="G1322" s="23"/>
      <c r="H1322" s="66"/>
      <c r="I1322" s="14"/>
      <c r="J1322" s="14"/>
      <c r="K1322" s="14"/>
      <c r="L1322" s="5" t="str">
        <f t="shared" si="126"/>
        <v/>
      </c>
      <c r="M1322" s="5" t="str">
        <f t="shared" si="127"/>
        <v/>
      </c>
      <c r="N1322" s="5" t="str">
        <f t="shared" si="128"/>
        <v/>
      </c>
      <c r="O1322" s="4"/>
    </row>
    <row r="1323" spans="1:15" x14ac:dyDescent="0.25">
      <c r="A1323" s="14"/>
      <c r="B1323" s="14"/>
      <c r="C1323" s="14"/>
      <c r="D1323" s="5" t="str">
        <f t="shared" si="129"/>
        <v/>
      </c>
      <c r="E1323" s="5" t="str">
        <f t="shared" si="130"/>
        <v/>
      </c>
      <c r="F1323" s="5" t="str">
        <f t="shared" si="131"/>
        <v/>
      </c>
      <c r="G1323" s="23"/>
      <c r="H1323" s="66"/>
      <c r="I1323" s="14"/>
      <c r="J1323" s="14"/>
      <c r="K1323" s="14"/>
      <c r="L1323" s="5" t="str">
        <f t="shared" si="126"/>
        <v/>
      </c>
      <c r="M1323" s="5" t="str">
        <f t="shared" si="127"/>
        <v/>
      </c>
      <c r="N1323" s="5" t="str">
        <f t="shared" si="128"/>
        <v/>
      </c>
      <c r="O1323" s="4"/>
    </row>
    <row r="1324" spans="1:15" x14ac:dyDescent="0.25">
      <c r="A1324" s="14"/>
      <c r="B1324" s="14"/>
      <c r="C1324" s="14"/>
      <c r="D1324" s="5" t="str">
        <f t="shared" si="129"/>
        <v/>
      </c>
      <c r="E1324" s="5" t="str">
        <f t="shared" si="130"/>
        <v/>
      </c>
      <c r="F1324" s="5" t="str">
        <f t="shared" si="131"/>
        <v/>
      </c>
      <c r="G1324" s="23"/>
      <c r="H1324" s="66"/>
      <c r="I1324" s="14"/>
      <c r="J1324" s="14"/>
      <c r="K1324" s="14"/>
      <c r="L1324" s="5" t="str">
        <f t="shared" si="126"/>
        <v/>
      </c>
      <c r="M1324" s="5" t="str">
        <f t="shared" si="127"/>
        <v/>
      </c>
      <c r="N1324" s="5" t="str">
        <f t="shared" si="128"/>
        <v/>
      </c>
      <c r="O1324" s="4"/>
    </row>
    <row r="1325" spans="1:15" x14ac:dyDescent="0.25">
      <c r="A1325" s="14"/>
      <c r="B1325" s="14"/>
      <c r="C1325" s="14"/>
      <c r="D1325" s="5" t="str">
        <f t="shared" si="129"/>
        <v/>
      </c>
      <c r="E1325" s="5" t="str">
        <f t="shared" si="130"/>
        <v/>
      </c>
      <c r="F1325" s="5" t="str">
        <f t="shared" si="131"/>
        <v/>
      </c>
      <c r="G1325" s="23"/>
      <c r="H1325" s="66"/>
      <c r="I1325" s="14"/>
      <c r="J1325" s="14"/>
      <c r="K1325" s="14"/>
      <c r="L1325" s="5" t="str">
        <f t="shared" si="126"/>
        <v/>
      </c>
      <c r="M1325" s="5" t="str">
        <f t="shared" si="127"/>
        <v/>
      </c>
      <c r="N1325" s="5" t="str">
        <f t="shared" si="128"/>
        <v/>
      </c>
      <c r="O1325" s="4"/>
    </row>
    <row r="1326" spans="1:15" x14ac:dyDescent="0.25">
      <c r="A1326" s="14"/>
      <c r="B1326" s="14"/>
      <c r="C1326" s="14"/>
      <c r="D1326" s="5" t="str">
        <f t="shared" si="129"/>
        <v/>
      </c>
      <c r="E1326" s="5" t="str">
        <f t="shared" si="130"/>
        <v/>
      </c>
      <c r="F1326" s="5" t="str">
        <f t="shared" si="131"/>
        <v/>
      </c>
      <c r="G1326" s="23"/>
      <c r="H1326" s="66"/>
      <c r="I1326" s="14"/>
      <c r="J1326" s="14"/>
      <c r="K1326" s="14"/>
      <c r="L1326" s="5" t="str">
        <f t="shared" si="126"/>
        <v/>
      </c>
      <c r="M1326" s="5" t="str">
        <f t="shared" si="127"/>
        <v/>
      </c>
      <c r="N1326" s="5" t="str">
        <f t="shared" si="128"/>
        <v/>
      </c>
      <c r="O1326" s="4"/>
    </row>
    <row r="1327" spans="1:15" x14ac:dyDescent="0.25">
      <c r="A1327" s="14"/>
      <c r="B1327" s="14"/>
      <c r="C1327" s="14"/>
      <c r="D1327" s="5" t="str">
        <f t="shared" si="129"/>
        <v/>
      </c>
      <c r="E1327" s="5" t="str">
        <f t="shared" si="130"/>
        <v/>
      </c>
      <c r="F1327" s="5" t="str">
        <f t="shared" si="131"/>
        <v/>
      </c>
      <c r="G1327" s="23"/>
      <c r="H1327" s="66"/>
      <c r="I1327" s="14"/>
      <c r="J1327" s="14"/>
      <c r="K1327" s="14"/>
      <c r="L1327" s="5" t="str">
        <f t="shared" si="126"/>
        <v/>
      </c>
      <c r="M1327" s="5" t="str">
        <f t="shared" si="127"/>
        <v/>
      </c>
      <c r="N1327" s="5" t="str">
        <f t="shared" si="128"/>
        <v/>
      </c>
      <c r="O1327" s="4"/>
    </row>
    <row r="1328" spans="1:15" x14ac:dyDescent="0.25">
      <c r="A1328" s="14"/>
      <c r="B1328" s="14"/>
      <c r="C1328" s="14"/>
      <c r="D1328" s="5" t="str">
        <f t="shared" si="129"/>
        <v/>
      </c>
      <c r="E1328" s="5" t="str">
        <f t="shared" si="130"/>
        <v/>
      </c>
      <c r="F1328" s="5" t="str">
        <f t="shared" si="131"/>
        <v/>
      </c>
      <c r="G1328" s="23"/>
      <c r="H1328" s="66"/>
      <c r="I1328" s="14"/>
      <c r="J1328" s="14"/>
      <c r="K1328" s="14"/>
      <c r="L1328" s="5" t="str">
        <f t="shared" si="126"/>
        <v/>
      </c>
      <c r="M1328" s="5" t="str">
        <f t="shared" si="127"/>
        <v/>
      </c>
      <c r="N1328" s="5" t="str">
        <f t="shared" si="128"/>
        <v/>
      </c>
      <c r="O1328" s="4"/>
    </row>
    <row r="1329" spans="1:15" x14ac:dyDescent="0.25">
      <c r="A1329" s="14"/>
      <c r="B1329" s="14"/>
      <c r="C1329" s="14"/>
      <c r="D1329" s="5" t="str">
        <f t="shared" si="129"/>
        <v/>
      </c>
      <c r="E1329" s="5" t="str">
        <f t="shared" si="130"/>
        <v/>
      </c>
      <c r="F1329" s="5" t="str">
        <f t="shared" si="131"/>
        <v/>
      </c>
      <c r="G1329" s="23"/>
      <c r="H1329" s="66"/>
      <c r="I1329" s="14"/>
      <c r="J1329" s="14"/>
      <c r="K1329" s="14"/>
      <c r="L1329" s="5" t="str">
        <f t="shared" si="126"/>
        <v/>
      </c>
      <c r="M1329" s="5" t="str">
        <f t="shared" si="127"/>
        <v/>
      </c>
      <c r="N1329" s="5" t="str">
        <f t="shared" si="128"/>
        <v/>
      </c>
      <c r="O1329" s="4"/>
    </row>
    <row r="1330" spans="1:15" x14ac:dyDescent="0.25">
      <c r="A1330" s="14"/>
      <c r="B1330" s="14"/>
      <c r="C1330" s="14"/>
      <c r="D1330" s="5" t="str">
        <f t="shared" si="129"/>
        <v/>
      </c>
      <c r="E1330" s="5" t="str">
        <f t="shared" si="130"/>
        <v/>
      </c>
      <c r="F1330" s="5" t="str">
        <f t="shared" si="131"/>
        <v/>
      </c>
      <c r="G1330" s="23"/>
      <c r="H1330" s="66"/>
      <c r="I1330" s="14"/>
      <c r="J1330" s="14"/>
      <c r="K1330" s="14"/>
      <c r="L1330" s="5" t="str">
        <f t="shared" si="126"/>
        <v/>
      </c>
      <c r="M1330" s="5" t="str">
        <f t="shared" si="127"/>
        <v/>
      </c>
      <c r="N1330" s="5" t="str">
        <f t="shared" si="128"/>
        <v/>
      </c>
      <c r="O1330" s="4"/>
    </row>
    <row r="1331" spans="1:15" x14ac:dyDescent="0.25">
      <c r="A1331" s="14"/>
      <c r="B1331" s="14"/>
      <c r="C1331" s="14"/>
      <c r="D1331" s="5" t="str">
        <f t="shared" si="129"/>
        <v/>
      </c>
      <c r="E1331" s="5" t="str">
        <f t="shared" si="130"/>
        <v/>
      </c>
      <c r="F1331" s="5" t="str">
        <f t="shared" si="131"/>
        <v/>
      </c>
      <c r="G1331" s="23"/>
      <c r="H1331" s="66"/>
      <c r="I1331" s="14"/>
      <c r="J1331" s="14"/>
      <c r="K1331" s="14"/>
      <c r="L1331" s="5" t="str">
        <f t="shared" si="126"/>
        <v/>
      </c>
      <c r="M1331" s="5" t="str">
        <f t="shared" si="127"/>
        <v/>
      </c>
      <c r="N1331" s="5" t="str">
        <f t="shared" si="128"/>
        <v/>
      </c>
      <c r="O1331" s="4"/>
    </row>
    <row r="1332" spans="1:15" x14ac:dyDescent="0.25">
      <c r="A1332" s="14"/>
      <c r="B1332" s="14"/>
      <c r="C1332" s="14"/>
      <c r="D1332" s="5" t="str">
        <f t="shared" si="129"/>
        <v/>
      </c>
      <c r="E1332" s="5" t="str">
        <f t="shared" si="130"/>
        <v/>
      </c>
      <c r="F1332" s="5" t="str">
        <f t="shared" si="131"/>
        <v/>
      </c>
      <c r="G1332" s="23"/>
      <c r="H1332" s="66"/>
      <c r="I1332" s="14"/>
      <c r="J1332" s="14"/>
      <c r="K1332" s="14"/>
      <c r="L1332" s="5" t="str">
        <f t="shared" si="126"/>
        <v/>
      </c>
      <c r="M1332" s="5" t="str">
        <f t="shared" si="127"/>
        <v/>
      </c>
      <c r="N1332" s="5" t="str">
        <f t="shared" si="128"/>
        <v/>
      </c>
      <c r="O1332" s="4"/>
    </row>
    <row r="1333" spans="1:15" x14ac:dyDescent="0.25">
      <c r="A1333" s="14"/>
      <c r="B1333" s="14"/>
      <c r="C1333" s="14"/>
      <c r="D1333" s="5" t="str">
        <f t="shared" si="129"/>
        <v/>
      </c>
      <c r="E1333" s="5" t="str">
        <f t="shared" si="130"/>
        <v/>
      </c>
      <c r="F1333" s="5" t="str">
        <f t="shared" si="131"/>
        <v/>
      </c>
      <c r="G1333" s="23"/>
      <c r="H1333" s="66"/>
      <c r="I1333" s="14"/>
      <c r="J1333" s="14"/>
      <c r="K1333" s="14"/>
      <c r="L1333" s="5" t="str">
        <f t="shared" si="126"/>
        <v/>
      </c>
      <c r="M1333" s="5" t="str">
        <f t="shared" si="127"/>
        <v/>
      </c>
      <c r="N1333" s="5" t="str">
        <f t="shared" si="128"/>
        <v/>
      </c>
      <c r="O1333" s="4"/>
    </row>
    <row r="1334" spans="1:15" x14ac:dyDescent="0.25">
      <c r="A1334" s="14"/>
      <c r="B1334" s="14"/>
      <c r="C1334" s="14"/>
      <c r="D1334" s="5" t="str">
        <f t="shared" si="129"/>
        <v/>
      </c>
      <c r="E1334" s="5" t="str">
        <f t="shared" si="130"/>
        <v/>
      </c>
      <c r="F1334" s="5" t="str">
        <f t="shared" si="131"/>
        <v/>
      </c>
      <c r="G1334" s="23"/>
      <c r="H1334" s="66"/>
      <c r="I1334" s="14"/>
      <c r="J1334" s="14"/>
      <c r="K1334" s="14"/>
      <c r="L1334" s="5" t="str">
        <f t="shared" si="126"/>
        <v/>
      </c>
      <c r="M1334" s="5" t="str">
        <f t="shared" si="127"/>
        <v/>
      </c>
      <c r="N1334" s="5" t="str">
        <f t="shared" si="128"/>
        <v/>
      </c>
      <c r="O1334" s="4"/>
    </row>
    <row r="1335" spans="1:15" x14ac:dyDescent="0.25">
      <c r="A1335" s="14"/>
      <c r="B1335" s="14"/>
      <c r="C1335" s="14"/>
      <c r="D1335" s="5" t="str">
        <f t="shared" si="129"/>
        <v/>
      </c>
      <c r="E1335" s="5" t="str">
        <f t="shared" si="130"/>
        <v/>
      </c>
      <c r="F1335" s="5" t="str">
        <f t="shared" si="131"/>
        <v/>
      </c>
      <c r="G1335" s="23"/>
      <c r="H1335" s="66"/>
      <c r="I1335" s="14"/>
      <c r="J1335" s="14"/>
      <c r="K1335" s="14"/>
      <c r="L1335" s="5" t="str">
        <f t="shared" si="126"/>
        <v/>
      </c>
      <c r="M1335" s="5" t="str">
        <f t="shared" si="127"/>
        <v/>
      </c>
      <c r="N1335" s="5" t="str">
        <f t="shared" si="128"/>
        <v/>
      </c>
      <c r="O1335" s="4"/>
    </row>
    <row r="1336" spans="1:15" x14ac:dyDescent="0.25">
      <c r="A1336" s="14"/>
      <c r="B1336" s="14"/>
      <c r="C1336" s="14"/>
      <c r="D1336" s="5" t="str">
        <f t="shared" si="129"/>
        <v/>
      </c>
      <c r="E1336" s="5" t="str">
        <f t="shared" si="130"/>
        <v/>
      </c>
      <c r="F1336" s="5" t="str">
        <f t="shared" si="131"/>
        <v/>
      </c>
      <c r="G1336" s="23"/>
      <c r="H1336" s="66"/>
      <c r="I1336" s="14"/>
      <c r="J1336" s="14"/>
      <c r="K1336" s="14"/>
      <c r="L1336" s="5" t="str">
        <f t="shared" si="126"/>
        <v/>
      </c>
      <c r="M1336" s="5" t="str">
        <f t="shared" si="127"/>
        <v/>
      </c>
      <c r="N1336" s="5" t="str">
        <f t="shared" si="128"/>
        <v/>
      </c>
      <c r="O1336" s="4"/>
    </row>
    <row r="1337" spans="1:15" x14ac:dyDescent="0.25">
      <c r="A1337" s="14"/>
      <c r="B1337" s="14"/>
      <c r="C1337" s="14"/>
      <c r="D1337" s="5" t="str">
        <f t="shared" si="129"/>
        <v/>
      </c>
      <c r="E1337" s="5" t="str">
        <f t="shared" si="130"/>
        <v/>
      </c>
      <c r="F1337" s="5" t="str">
        <f t="shared" si="131"/>
        <v/>
      </c>
      <c r="G1337" s="23"/>
      <c r="H1337" s="66"/>
      <c r="I1337" s="14"/>
      <c r="J1337" s="14"/>
      <c r="K1337" s="14"/>
      <c r="L1337" s="5" t="str">
        <f t="shared" si="126"/>
        <v/>
      </c>
      <c r="M1337" s="5" t="str">
        <f t="shared" si="127"/>
        <v/>
      </c>
      <c r="N1337" s="5" t="str">
        <f t="shared" si="128"/>
        <v/>
      </c>
      <c r="O1337" s="4"/>
    </row>
    <row r="1338" spans="1:15" x14ac:dyDescent="0.25">
      <c r="A1338" s="14"/>
      <c r="B1338" s="14"/>
      <c r="C1338" s="14"/>
      <c r="D1338" s="5" t="str">
        <f t="shared" si="129"/>
        <v/>
      </c>
      <c r="E1338" s="5" t="str">
        <f t="shared" si="130"/>
        <v/>
      </c>
      <c r="F1338" s="5" t="str">
        <f t="shared" si="131"/>
        <v/>
      </c>
      <c r="G1338" s="23"/>
      <c r="H1338" s="66"/>
      <c r="I1338" s="14"/>
      <c r="J1338" s="14"/>
      <c r="K1338" s="14"/>
      <c r="L1338" s="5" t="str">
        <f t="shared" si="126"/>
        <v/>
      </c>
      <c r="M1338" s="5" t="str">
        <f t="shared" si="127"/>
        <v/>
      </c>
      <c r="N1338" s="5" t="str">
        <f t="shared" si="128"/>
        <v/>
      </c>
      <c r="O1338" s="4"/>
    </row>
    <row r="1339" spans="1:15" x14ac:dyDescent="0.25">
      <c r="A1339" s="14"/>
      <c r="B1339" s="14"/>
      <c r="C1339" s="14"/>
      <c r="D1339" s="5" t="str">
        <f t="shared" si="129"/>
        <v/>
      </c>
      <c r="E1339" s="5" t="str">
        <f t="shared" si="130"/>
        <v/>
      </c>
      <c r="F1339" s="5" t="str">
        <f t="shared" si="131"/>
        <v/>
      </c>
      <c r="G1339" s="23"/>
      <c r="H1339" s="66"/>
      <c r="I1339" s="14"/>
      <c r="J1339" s="14"/>
      <c r="K1339" s="14"/>
      <c r="L1339" s="5" t="str">
        <f t="shared" si="126"/>
        <v/>
      </c>
      <c r="M1339" s="5" t="str">
        <f t="shared" si="127"/>
        <v/>
      </c>
      <c r="N1339" s="5" t="str">
        <f t="shared" si="128"/>
        <v/>
      </c>
      <c r="O1339" s="4"/>
    </row>
    <row r="1340" spans="1:15" x14ac:dyDescent="0.25">
      <c r="A1340" s="14"/>
      <c r="B1340" s="14"/>
      <c r="C1340" s="14"/>
      <c r="D1340" s="5" t="str">
        <f t="shared" si="129"/>
        <v/>
      </c>
      <c r="E1340" s="5" t="str">
        <f t="shared" si="130"/>
        <v/>
      </c>
      <c r="F1340" s="5" t="str">
        <f t="shared" si="131"/>
        <v/>
      </c>
      <c r="G1340" s="23"/>
      <c r="H1340" s="66"/>
      <c r="I1340" s="14"/>
      <c r="J1340" s="14"/>
      <c r="K1340" s="14"/>
      <c r="L1340" s="5" t="str">
        <f t="shared" si="126"/>
        <v/>
      </c>
      <c r="M1340" s="5" t="str">
        <f t="shared" si="127"/>
        <v/>
      </c>
      <c r="N1340" s="5" t="str">
        <f t="shared" si="128"/>
        <v/>
      </c>
      <c r="O1340" s="4"/>
    </row>
    <row r="1341" spans="1:15" x14ac:dyDescent="0.25">
      <c r="A1341" s="14"/>
      <c r="B1341" s="14"/>
      <c r="C1341" s="14"/>
      <c r="D1341" s="5" t="str">
        <f t="shared" si="129"/>
        <v/>
      </c>
      <c r="E1341" s="5" t="str">
        <f t="shared" si="130"/>
        <v/>
      </c>
      <c r="F1341" s="5" t="str">
        <f t="shared" si="131"/>
        <v/>
      </c>
      <c r="G1341" s="23"/>
      <c r="H1341" s="66"/>
      <c r="I1341" s="14"/>
      <c r="J1341" s="14"/>
      <c r="K1341" s="14"/>
      <c r="L1341" s="5" t="str">
        <f t="shared" si="126"/>
        <v/>
      </c>
      <c r="M1341" s="5" t="str">
        <f t="shared" si="127"/>
        <v/>
      </c>
      <c r="N1341" s="5" t="str">
        <f t="shared" si="128"/>
        <v/>
      </c>
      <c r="O1341" s="4"/>
    </row>
    <row r="1342" spans="1:15" x14ac:dyDescent="0.25">
      <c r="A1342" s="14"/>
      <c r="B1342" s="14"/>
      <c r="C1342" s="14"/>
      <c r="D1342" s="5" t="str">
        <f t="shared" si="129"/>
        <v/>
      </c>
      <c r="E1342" s="5" t="str">
        <f t="shared" si="130"/>
        <v/>
      </c>
      <c r="F1342" s="5" t="str">
        <f t="shared" si="131"/>
        <v/>
      </c>
      <c r="G1342" s="23"/>
      <c r="H1342" s="66"/>
      <c r="I1342" s="14"/>
      <c r="J1342" s="14"/>
      <c r="K1342" s="14"/>
      <c r="L1342" s="5" t="str">
        <f t="shared" si="126"/>
        <v/>
      </c>
      <c r="M1342" s="5" t="str">
        <f t="shared" si="127"/>
        <v/>
      </c>
      <c r="N1342" s="5" t="str">
        <f t="shared" si="128"/>
        <v/>
      </c>
      <c r="O1342" s="4"/>
    </row>
    <row r="1343" spans="1:15" x14ac:dyDescent="0.25">
      <c r="A1343" s="14"/>
      <c r="B1343" s="14"/>
      <c r="C1343" s="14"/>
      <c r="D1343" s="5" t="str">
        <f t="shared" si="129"/>
        <v/>
      </c>
      <c r="E1343" s="5" t="str">
        <f t="shared" si="130"/>
        <v/>
      </c>
      <c r="F1343" s="5" t="str">
        <f t="shared" si="131"/>
        <v/>
      </c>
      <c r="G1343" s="23"/>
      <c r="H1343" s="66"/>
      <c r="I1343" s="14"/>
      <c r="J1343" s="14"/>
      <c r="K1343" s="14"/>
      <c r="L1343" s="5" t="str">
        <f t="shared" si="126"/>
        <v/>
      </c>
      <c r="M1343" s="5" t="str">
        <f t="shared" si="127"/>
        <v/>
      </c>
      <c r="N1343" s="5" t="str">
        <f t="shared" si="128"/>
        <v/>
      </c>
      <c r="O1343" s="4"/>
    </row>
    <row r="1344" spans="1:15" x14ac:dyDescent="0.25">
      <c r="A1344" s="14"/>
      <c r="B1344" s="14"/>
      <c r="C1344" s="14"/>
      <c r="D1344" s="5" t="str">
        <f t="shared" si="129"/>
        <v/>
      </c>
      <c r="E1344" s="5" t="str">
        <f t="shared" si="130"/>
        <v/>
      </c>
      <c r="F1344" s="5" t="str">
        <f t="shared" si="131"/>
        <v/>
      </c>
      <c r="G1344" s="23"/>
      <c r="H1344" s="66"/>
      <c r="I1344" s="14"/>
      <c r="J1344" s="14"/>
      <c r="K1344" s="14"/>
      <c r="L1344" s="5" t="str">
        <f t="shared" si="126"/>
        <v/>
      </c>
      <c r="M1344" s="5" t="str">
        <f t="shared" si="127"/>
        <v/>
      </c>
      <c r="N1344" s="5" t="str">
        <f t="shared" si="128"/>
        <v/>
      </c>
      <c r="O1344" s="4"/>
    </row>
    <row r="1345" spans="1:15" x14ac:dyDescent="0.25">
      <c r="A1345" s="14"/>
      <c r="B1345" s="14"/>
      <c r="C1345" s="14"/>
      <c r="D1345" s="5" t="str">
        <f t="shared" si="129"/>
        <v/>
      </c>
      <c r="E1345" s="5" t="str">
        <f t="shared" si="130"/>
        <v/>
      </c>
      <c r="F1345" s="5" t="str">
        <f t="shared" si="131"/>
        <v/>
      </c>
      <c r="G1345" s="23"/>
      <c r="H1345" s="66"/>
      <c r="I1345" s="14"/>
      <c r="J1345" s="14"/>
      <c r="K1345" s="14"/>
      <c r="L1345" s="5" t="str">
        <f t="shared" si="126"/>
        <v/>
      </c>
      <c r="M1345" s="5" t="str">
        <f t="shared" si="127"/>
        <v/>
      </c>
      <c r="N1345" s="5" t="str">
        <f t="shared" si="128"/>
        <v/>
      </c>
      <c r="O1345" s="4"/>
    </row>
    <row r="1346" spans="1:15" x14ac:dyDescent="0.25">
      <c r="A1346" s="14"/>
      <c r="B1346" s="14"/>
      <c r="C1346" s="14"/>
      <c r="D1346" s="5" t="str">
        <f t="shared" si="129"/>
        <v/>
      </c>
      <c r="E1346" s="5" t="str">
        <f t="shared" si="130"/>
        <v/>
      </c>
      <c r="F1346" s="5" t="str">
        <f t="shared" si="131"/>
        <v/>
      </c>
      <c r="G1346" s="23"/>
      <c r="H1346" s="66"/>
      <c r="I1346" s="14"/>
      <c r="J1346" s="14"/>
      <c r="K1346" s="14"/>
      <c r="L1346" s="5" t="str">
        <f t="shared" si="126"/>
        <v/>
      </c>
      <c r="M1346" s="5" t="str">
        <f t="shared" si="127"/>
        <v/>
      </c>
      <c r="N1346" s="5" t="str">
        <f t="shared" si="128"/>
        <v/>
      </c>
      <c r="O1346" s="4"/>
    </row>
    <row r="1347" spans="1:15" x14ac:dyDescent="0.25">
      <c r="A1347" s="14"/>
      <c r="B1347" s="14"/>
      <c r="C1347" s="14"/>
      <c r="D1347" s="5" t="str">
        <f t="shared" si="129"/>
        <v/>
      </c>
      <c r="E1347" s="5" t="str">
        <f t="shared" si="130"/>
        <v/>
      </c>
      <c r="F1347" s="5" t="str">
        <f t="shared" si="131"/>
        <v/>
      </c>
      <c r="G1347" s="23"/>
      <c r="H1347" s="66"/>
      <c r="I1347" s="14"/>
      <c r="J1347" s="14"/>
      <c r="K1347" s="14"/>
      <c r="L1347" s="5" t="str">
        <f t="shared" si="126"/>
        <v/>
      </c>
      <c r="M1347" s="5" t="str">
        <f t="shared" si="127"/>
        <v/>
      </c>
      <c r="N1347" s="5" t="str">
        <f t="shared" si="128"/>
        <v/>
      </c>
      <c r="O1347" s="4"/>
    </row>
    <row r="1348" spans="1:15" x14ac:dyDescent="0.25">
      <c r="A1348" s="14"/>
      <c r="B1348" s="14"/>
      <c r="C1348" s="14"/>
      <c r="D1348" s="5" t="str">
        <f t="shared" si="129"/>
        <v/>
      </c>
      <c r="E1348" s="5" t="str">
        <f t="shared" si="130"/>
        <v/>
      </c>
      <c r="F1348" s="5" t="str">
        <f t="shared" si="131"/>
        <v/>
      </c>
      <c r="G1348" s="23"/>
      <c r="H1348" s="66"/>
      <c r="I1348" s="14"/>
      <c r="J1348" s="14"/>
      <c r="K1348" s="14"/>
      <c r="L1348" s="5" t="str">
        <f t="shared" si="126"/>
        <v/>
      </c>
      <c r="M1348" s="5" t="str">
        <f t="shared" si="127"/>
        <v/>
      </c>
      <c r="N1348" s="5" t="str">
        <f t="shared" si="128"/>
        <v/>
      </c>
      <c r="O1348" s="4"/>
    </row>
    <row r="1349" spans="1:15" x14ac:dyDescent="0.25">
      <c r="A1349" s="14"/>
      <c r="B1349" s="14"/>
      <c r="C1349" s="14"/>
      <c r="D1349" s="5" t="str">
        <f t="shared" si="129"/>
        <v/>
      </c>
      <c r="E1349" s="5" t="str">
        <f t="shared" si="130"/>
        <v/>
      </c>
      <c r="F1349" s="5" t="str">
        <f t="shared" si="131"/>
        <v/>
      </c>
      <c r="G1349" s="23"/>
      <c r="H1349" s="66"/>
      <c r="I1349" s="14"/>
      <c r="J1349" s="14"/>
      <c r="K1349" s="14"/>
      <c r="L1349" s="5" t="str">
        <f t="shared" si="126"/>
        <v/>
      </c>
      <c r="M1349" s="5" t="str">
        <f t="shared" si="127"/>
        <v/>
      </c>
      <c r="N1349" s="5" t="str">
        <f t="shared" si="128"/>
        <v/>
      </c>
      <c r="O1349" s="4"/>
    </row>
    <row r="1350" spans="1:15" x14ac:dyDescent="0.25">
      <c r="A1350" s="14"/>
      <c r="B1350" s="14"/>
      <c r="C1350" s="14"/>
      <c r="D1350" s="5" t="str">
        <f t="shared" si="129"/>
        <v/>
      </c>
      <c r="E1350" s="5" t="str">
        <f t="shared" si="130"/>
        <v/>
      </c>
      <c r="F1350" s="5" t="str">
        <f t="shared" si="131"/>
        <v/>
      </c>
      <c r="G1350" s="23"/>
      <c r="H1350" s="66"/>
      <c r="I1350" s="14"/>
      <c r="J1350" s="14"/>
      <c r="K1350" s="14"/>
      <c r="L1350" s="5" t="str">
        <f t="shared" si="126"/>
        <v/>
      </c>
      <c r="M1350" s="5" t="str">
        <f t="shared" si="127"/>
        <v/>
      </c>
      <c r="N1350" s="5" t="str">
        <f t="shared" si="128"/>
        <v/>
      </c>
      <c r="O1350" s="4"/>
    </row>
    <row r="1351" spans="1:15" x14ac:dyDescent="0.25">
      <c r="A1351" s="14"/>
      <c r="B1351" s="14"/>
      <c r="C1351" s="14"/>
      <c r="D1351" s="5" t="str">
        <f t="shared" si="129"/>
        <v/>
      </c>
      <c r="E1351" s="5" t="str">
        <f t="shared" si="130"/>
        <v/>
      </c>
      <c r="F1351" s="5" t="str">
        <f t="shared" si="131"/>
        <v/>
      </c>
      <c r="G1351" s="23"/>
      <c r="H1351" s="66"/>
      <c r="I1351" s="14"/>
      <c r="J1351" s="14"/>
      <c r="K1351" s="14"/>
      <c r="L1351" s="5" t="str">
        <f t="shared" si="126"/>
        <v/>
      </c>
      <c r="M1351" s="5" t="str">
        <f t="shared" si="127"/>
        <v/>
      </c>
      <c r="N1351" s="5" t="str">
        <f t="shared" si="128"/>
        <v/>
      </c>
      <c r="O1351" s="4"/>
    </row>
    <row r="1352" spans="1:15" x14ac:dyDescent="0.25">
      <c r="A1352" s="14"/>
      <c r="B1352" s="14"/>
      <c r="C1352" s="14"/>
      <c r="D1352" s="5" t="str">
        <f t="shared" si="129"/>
        <v/>
      </c>
      <c r="E1352" s="5" t="str">
        <f t="shared" si="130"/>
        <v/>
      </c>
      <c r="F1352" s="5" t="str">
        <f t="shared" si="131"/>
        <v/>
      </c>
      <c r="G1352" s="23"/>
      <c r="H1352" s="66"/>
      <c r="I1352" s="14"/>
      <c r="J1352" s="14"/>
      <c r="K1352" s="14"/>
      <c r="L1352" s="5" t="str">
        <f t="shared" si="126"/>
        <v/>
      </c>
      <c r="M1352" s="5" t="str">
        <f t="shared" si="127"/>
        <v/>
      </c>
      <c r="N1352" s="5" t="str">
        <f t="shared" si="128"/>
        <v/>
      </c>
      <c r="O1352" s="4"/>
    </row>
    <row r="1353" spans="1:15" x14ac:dyDescent="0.25">
      <c r="A1353" s="14"/>
      <c r="B1353" s="14"/>
      <c r="C1353" s="14"/>
      <c r="D1353" s="5" t="str">
        <f t="shared" si="129"/>
        <v/>
      </c>
      <c r="E1353" s="5" t="str">
        <f t="shared" si="130"/>
        <v/>
      </c>
      <c r="F1353" s="5" t="str">
        <f t="shared" si="131"/>
        <v/>
      </c>
      <c r="G1353" s="23"/>
      <c r="H1353" s="66"/>
      <c r="I1353" s="14"/>
      <c r="J1353" s="14"/>
      <c r="K1353" s="14"/>
      <c r="L1353" s="5" t="str">
        <f t="shared" si="126"/>
        <v/>
      </c>
      <c r="M1353" s="5" t="str">
        <f t="shared" si="127"/>
        <v/>
      </c>
      <c r="N1353" s="5" t="str">
        <f t="shared" si="128"/>
        <v/>
      </c>
      <c r="O1353" s="4"/>
    </row>
    <row r="1354" spans="1:15" x14ac:dyDescent="0.25">
      <c r="A1354" s="14"/>
      <c r="B1354" s="14"/>
      <c r="C1354" s="14"/>
      <c r="D1354" s="5" t="str">
        <f t="shared" si="129"/>
        <v/>
      </c>
      <c r="E1354" s="5" t="str">
        <f t="shared" si="130"/>
        <v/>
      </c>
      <c r="F1354" s="5" t="str">
        <f t="shared" si="131"/>
        <v/>
      </c>
      <c r="G1354" s="23"/>
      <c r="H1354" s="66"/>
      <c r="I1354" s="14"/>
      <c r="J1354" s="14"/>
      <c r="K1354" s="14"/>
      <c r="L1354" s="5" t="str">
        <f t="shared" ref="L1354:L1417" si="132">IFERROR(IF(I1354&lt;&gt;"",(((J1354-J1353)*$X$4/(I1354-I1353)))*$X$5,""),"")</f>
        <v/>
      </c>
      <c r="M1354" s="5" t="str">
        <f t="shared" ref="M1354:M1417" si="133">IFERROR(IF(I1354&lt;&gt;"",(((K1354-K1353)*$X$4/(I1354-I1353)))*$X$5,""),"")</f>
        <v/>
      </c>
      <c r="N1354" s="5" t="str">
        <f t="shared" ref="N1354:N1417" si="134">IFERROR(IF(I1354&lt;&gt;"",((ACOS((COS(RADIANS(J1353))*COS(RADIANS(J1354)))+(SIN(RADIANS(J1353))*SIN(RADIANS(J1354)))*COS(RADIANS(K1354-K1353)))*180/PI()*($X$4/(I1354-I1353))))*$X$5,""),"")</f>
        <v/>
      </c>
      <c r="O1354" s="4"/>
    </row>
    <row r="1355" spans="1:15" x14ac:dyDescent="0.25">
      <c r="A1355" s="14"/>
      <c r="B1355" s="14"/>
      <c r="C1355" s="14"/>
      <c r="D1355" s="5" t="str">
        <f t="shared" si="129"/>
        <v/>
      </c>
      <c r="E1355" s="5" t="str">
        <f t="shared" si="130"/>
        <v/>
      </c>
      <c r="F1355" s="5" t="str">
        <f t="shared" si="131"/>
        <v/>
      </c>
      <c r="G1355" s="23"/>
      <c r="H1355" s="66"/>
      <c r="I1355" s="14"/>
      <c r="J1355" s="14"/>
      <c r="K1355" s="14"/>
      <c r="L1355" s="5" t="str">
        <f t="shared" si="132"/>
        <v/>
      </c>
      <c r="M1355" s="5" t="str">
        <f t="shared" si="133"/>
        <v/>
      </c>
      <c r="N1355" s="5" t="str">
        <f t="shared" si="134"/>
        <v/>
      </c>
      <c r="O1355" s="4"/>
    </row>
    <row r="1356" spans="1:15" x14ac:dyDescent="0.25">
      <c r="A1356" s="14"/>
      <c r="B1356" s="14"/>
      <c r="C1356" s="14"/>
      <c r="D1356" s="5" t="str">
        <f t="shared" si="129"/>
        <v/>
      </c>
      <c r="E1356" s="5" t="str">
        <f t="shared" si="130"/>
        <v/>
      </c>
      <c r="F1356" s="5" t="str">
        <f t="shared" si="131"/>
        <v/>
      </c>
      <c r="G1356" s="23"/>
      <c r="H1356" s="66"/>
      <c r="I1356" s="14"/>
      <c r="J1356" s="14"/>
      <c r="K1356" s="14"/>
      <c r="L1356" s="5" t="str">
        <f t="shared" si="132"/>
        <v/>
      </c>
      <c r="M1356" s="5" t="str">
        <f t="shared" si="133"/>
        <v/>
      </c>
      <c r="N1356" s="5" t="str">
        <f t="shared" si="134"/>
        <v/>
      </c>
      <c r="O1356" s="4"/>
    </row>
    <row r="1357" spans="1:15" x14ac:dyDescent="0.25">
      <c r="A1357" s="14"/>
      <c r="B1357" s="14"/>
      <c r="C1357" s="14"/>
      <c r="D1357" s="5" t="str">
        <f t="shared" si="129"/>
        <v/>
      </c>
      <c r="E1357" s="5" t="str">
        <f t="shared" si="130"/>
        <v/>
      </c>
      <c r="F1357" s="5" t="str">
        <f t="shared" si="131"/>
        <v/>
      </c>
      <c r="G1357" s="23"/>
      <c r="H1357" s="66"/>
      <c r="I1357" s="14"/>
      <c r="J1357" s="14"/>
      <c r="K1357" s="14"/>
      <c r="L1357" s="5" t="str">
        <f t="shared" si="132"/>
        <v/>
      </c>
      <c r="M1357" s="5" t="str">
        <f t="shared" si="133"/>
        <v/>
      </c>
      <c r="N1357" s="5" t="str">
        <f t="shared" si="134"/>
        <v/>
      </c>
      <c r="O1357" s="4"/>
    </row>
    <row r="1358" spans="1:15" x14ac:dyDescent="0.25">
      <c r="A1358" s="14"/>
      <c r="B1358" s="14"/>
      <c r="C1358" s="14"/>
      <c r="D1358" s="5" t="str">
        <f t="shared" si="129"/>
        <v/>
      </c>
      <c r="E1358" s="5" t="str">
        <f t="shared" si="130"/>
        <v/>
      </c>
      <c r="F1358" s="5" t="str">
        <f t="shared" si="131"/>
        <v/>
      </c>
      <c r="G1358" s="23"/>
      <c r="H1358" s="66"/>
      <c r="I1358" s="14"/>
      <c r="J1358" s="14"/>
      <c r="K1358" s="14"/>
      <c r="L1358" s="5" t="str">
        <f t="shared" si="132"/>
        <v/>
      </c>
      <c r="M1358" s="5" t="str">
        <f t="shared" si="133"/>
        <v/>
      </c>
      <c r="N1358" s="5" t="str">
        <f t="shared" si="134"/>
        <v/>
      </c>
      <c r="O1358" s="4"/>
    </row>
    <row r="1359" spans="1:15" x14ac:dyDescent="0.25">
      <c r="A1359" s="14"/>
      <c r="B1359" s="14"/>
      <c r="C1359" s="14"/>
      <c r="D1359" s="5" t="str">
        <f t="shared" si="129"/>
        <v/>
      </c>
      <c r="E1359" s="5" t="str">
        <f t="shared" si="130"/>
        <v/>
      </c>
      <c r="F1359" s="5" t="str">
        <f t="shared" si="131"/>
        <v/>
      </c>
      <c r="G1359" s="23"/>
      <c r="H1359" s="66"/>
      <c r="I1359" s="14"/>
      <c r="J1359" s="14"/>
      <c r="K1359" s="14"/>
      <c r="L1359" s="5" t="str">
        <f t="shared" si="132"/>
        <v/>
      </c>
      <c r="M1359" s="5" t="str">
        <f t="shared" si="133"/>
        <v/>
      </c>
      <c r="N1359" s="5" t="str">
        <f t="shared" si="134"/>
        <v/>
      </c>
      <c r="O1359" s="4"/>
    </row>
    <row r="1360" spans="1:15" x14ac:dyDescent="0.25">
      <c r="A1360" s="14"/>
      <c r="B1360" s="14"/>
      <c r="C1360" s="14"/>
      <c r="D1360" s="5" t="str">
        <f t="shared" si="129"/>
        <v/>
      </c>
      <c r="E1360" s="5" t="str">
        <f t="shared" si="130"/>
        <v/>
      </c>
      <c r="F1360" s="5" t="str">
        <f t="shared" si="131"/>
        <v/>
      </c>
      <c r="G1360" s="23"/>
      <c r="H1360" s="66"/>
      <c r="I1360" s="14"/>
      <c r="J1360" s="14"/>
      <c r="K1360" s="14"/>
      <c r="L1360" s="5" t="str">
        <f t="shared" si="132"/>
        <v/>
      </c>
      <c r="M1360" s="5" t="str">
        <f t="shared" si="133"/>
        <v/>
      </c>
      <c r="N1360" s="5" t="str">
        <f t="shared" si="134"/>
        <v/>
      </c>
      <c r="O1360" s="4"/>
    </row>
    <row r="1361" spans="1:15" x14ac:dyDescent="0.25">
      <c r="A1361" s="14"/>
      <c r="B1361" s="14"/>
      <c r="C1361" s="14"/>
      <c r="D1361" s="5" t="str">
        <f t="shared" si="129"/>
        <v/>
      </c>
      <c r="E1361" s="5" t="str">
        <f t="shared" si="130"/>
        <v/>
      </c>
      <c r="F1361" s="5" t="str">
        <f t="shared" si="131"/>
        <v/>
      </c>
      <c r="G1361" s="23"/>
      <c r="H1361" s="66"/>
      <c r="I1361" s="14"/>
      <c r="J1361" s="14"/>
      <c r="K1361" s="14"/>
      <c r="L1361" s="5" t="str">
        <f t="shared" si="132"/>
        <v/>
      </c>
      <c r="M1361" s="5" t="str">
        <f t="shared" si="133"/>
        <v/>
      </c>
      <c r="N1361" s="5" t="str">
        <f t="shared" si="134"/>
        <v/>
      </c>
      <c r="O1361" s="4"/>
    </row>
    <row r="1362" spans="1:15" x14ac:dyDescent="0.25">
      <c r="A1362" s="14"/>
      <c r="B1362" s="14"/>
      <c r="C1362" s="14"/>
      <c r="D1362" s="5" t="str">
        <f t="shared" si="129"/>
        <v/>
      </c>
      <c r="E1362" s="5" t="str">
        <f t="shared" si="130"/>
        <v/>
      </c>
      <c r="F1362" s="5" t="str">
        <f t="shared" si="131"/>
        <v/>
      </c>
      <c r="G1362" s="23"/>
      <c r="H1362" s="66"/>
      <c r="I1362" s="14"/>
      <c r="J1362" s="14"/>
      <c r="K1362" s="14"/>
      <c r="L1362" s="5" t="str">
        <f t="shared" si="132"/>
        <v/>
      </c>
      <c r="M1362" s="5" t="str">
        <f t="shared" si="133"/>
        <v/>
      </c>
      <c r="N1362" s="5" t="str">
        <f t="shared" si="134"/>
        <v/>
      </c>
      <c r="O1362" s="4"/>
    </row>
    <row r="1363" spans="1:15" x14ac:dyDescent="0.25">
      <c r="A1363" s="14"/>
      <c r="B1363" s="14"/>
      <c r="C1363" s="14"/>
      <c r="D1363" s="5" t="str">
        <f t="shared" si="129"/>
        <v/>
      </c>
      <c r="E1363" s="5" t="str">
        <f t="shared" si="130"/>
        <v/>
      </c>
      <c r="F1363" s="5" t="str">
        <f t="shared" si="131"/>
        <v/>
      </c>
      <c r="G1363" s="23"/>
      <c r="H1363" s="66"/>
      <c r="I1363" s="14"/>
      <c r="J1363" s="14"/>
      <c r="K1363" s="14"/>
      <c r="L1363" s="5" t="str">
        <f t="shared" si="132"/>
        <v/>
      </c>
      <c r="M1363" s="5" t="str">
        <f t="shared" si="133"/>
        <v/>
      </c>
      <c r="N1363" s="5" t="str">
        <f t="shared" si="134"/>
        <v/>
      </c>
      <c r="O1363" s="4"/>
    </row>
    <row r="1364" spans="1:15" x14ac:dyDescent="0.25">
      <c r="A1364" s="14"/>
      <c r="B1364" s="14"/>
      <c r="C1364" s="14"/>
      <c r="D1364" s="5" t="str">
        <f t="shared" si="129"/>
        <v/>
      </c>
      <c r="E1364" s="5" t="str">
        <f t="shared" si="130"/>
        <v/>
      </c>
      <c r="F1364" s="5" t="str">
        <f t="shared" si="131"/>
        <v/>
      </c>
      <c r="G1364" s="23"/>
      <c r="H1364" s="66"/>
      <c r="I1364" s="14"/>
      <c r="J1364" s="14"/>
      <c r="K1364" s="14"/>
      <c r="L1364" s="5" t="str">
        <f t="shared" si="132"/>
        <v/>
      </c>
      <c r="M1364" s="5" t="str">
        <f t="shared" si="133"/>
        <v/>
      </c>
      <c r="N1364" s="5" t="str">
        <f t="shared" si="134"/>
        <v/>
      </c>
      <c r="O1364" s="4"/>
    </row>
    <row r="1365" spans="1:15" x14ac:dyDescent="0.25">
      <c r="A1365" s="14"/>
      <c r="B1365" s="14"/>
      <c r="C1365" s="14"/>
      <c r="D1365" s="5" t="str">
        <f t="shared" si="129"/>
        <v/>
      </c>
      <c r="E1365" s="5" t="str">
        <f t="shared" si="130"/>
        <v/>
      </c>
      <c r="F1365" s="5" t="str">
        <f t="shared" si="131"/>
        <v/>
      </c>
      <c r="G1365" s="23"/>
      <c r="H1365" s="66"/>
      <c r="I1365" s="14"/>
      <c r="J1365" s="14"/>
      <c r="K1365" s="14"/>
      <c r="L1365" s="5" t="str">
        <f t="shared" si="132"/>
        <v/>
      </c>
      <c r="M1365" s="5" t="str">
        <f t="shared" si="133"/>
        <v/>
      </c>
      <c r="N1365" s="5" t="str">
        <f t="shared" si="134"/>
        <v/>
      </c>
      <c r="O1365" s="4"/>
    </row>
    <row r="1366" spans="1:15" x14ac:dyDescent="0.25">
      <c r="A1366" s="14"/>
      <c r="B1366" s="14"/>
      <c r="C1366" s="14"/>
      <c r="D1366" s="5" t="str">
        <f t="shared" si="129"/>
        <v/>
      </c>
      <c r="E1366" s="5" t="str">
        <f t="shared" si="130"/>
        <v/>
      </c>
      <c r="F1366" s="5" t="str">
        <f t="shared" si="131"/>
        <v/>
      </c>
      <c r="G1366" s="23"/>
      <c r="H1366" s="66"/>
      <c r="I1366" s="14"/>
      <c r="J1366" s="14"/>
      <c r="K1366" s="14"/>
      <c r="L1366" s="5" t="str">
        <f t="shared" si="132"/>
        <v/>
      </c>
      <c r="M1366" s="5" t="str">
        <f t="shared" si="133"/>
        <v/>
      </c>
      <c r="N1366" s="5" t="str">
        <f t="shared" si="134"/>
        <v/>
      </c>
      <c r="O1366" s="4"/>
    </row>
    <row r="1367" spans="1:15" x14ac:dyDescent="0.25">
      <c r="A1367" s="14"/>
      <c r="B1367" s="14"/>
      <c r="C1367" s="14"/>
      <c r="D1367" s="5" t="str">
        <f t="shared" si="129"/>
        <v/>
      </c>
      <c r="E1367" s="5" t="str">
        <f t="shared" si="130"/>
        <v/>
      </c>
      <c r="F1367" s="5" t="str">
        <f t="shared" si="131"/>
        <v/>
      </c>
      <c r="G1367" s="23"/>
      <c r="H1367" s="66"/>
      <c r="I1367" s="14"/>
      <c r="J1367" s="14"/>
      <c r="K1367" s="14"/>
      <c r="L1367" s="5" t="str">
        <f t="shared" si="132"/>
        <v/>
      </c>
      <c r="M1367" s="5" t="str">
        <f t="shared" si="133"/>
        <v/>
      </c>
      <c r="N1367" s="5" t="str">
        <f t="shared" si="134"/>
        <v/>
      </c>
      <c r="O1367" s="4"/>
    </row>
    <row r="1368" spans="1:15" x14ac:dyDescent="0.25">
      <c r="A1368" s="14"/>
      <c r="B1368" s="14"/>
      <c r="C1368" s="14"/>
      <c r="D1368" s="5" t="str">
        <f t="shared" si="129"/>
        <v/>
      </c>
      <c r="E1368" s="5" t="str">
        <f t="shared" si="130"/>
        <v/>
      </c>
      <c r="F1368" s="5" t="str">
        <f t="shared" si="131"/>
        <v/>
      </c>
      <c r="G1368" s="23"/>
      <c r="H1368" s="66"/>
      <c r="I1368" s="14"/>
      <c r="J1368" s="14"/>
      <c r="K1368" s="14"/>
      <c r="L1368" s="5" t="str">
        <f t="shared" si="132"/>
        <v/>
      </c>
      <c r="M1368" s="5" t="str">
        <f t="shared" si="133"/>
        <v/>
      </c>
      <c r="N1368" s="5" t="str">
        <f t="shared" si="134"/>
        <v/>
      </c>
      <c r="O1368" s="4"/>
    </row>
    <row r="1369" spans="1:15" x14ac:dyDescent="0.25">
      <c r="A1369" s="14"/>
      <c r="B1369" s="14"/>
      <c r="C1369" s="14"/>
      <c r="D1369" s="5" t="str">
        <f t="shared" ref="D1369:D1432" si="135">IFERROR( IF(A1369&lt;&gt;"",((B1369-B1368)*$X$4/(A1369-A1368))*$X$5,""),"")</f>
        <v/>
      </c>
      <c r="E1369" s="5" t="str">
        <f t="shared" ref="E1369:E1432" si="136">IFERROR(IF(A1369&lt;&gt;"",((C1369-C1368)*$X$4/(A1369-A1368))*$X$5,""),"")</f>
        <v/>
      </c>
      <c r="F1369" s="5" t="str">
        <f t="shared" ref="F1369:F1432" si="137">IFERROR(IF(A1369&lt;&gt;"",((ACOS((COS(RADIANS(B1368))*COS(RADIANS(B1369)))+(SIN(RADIANS(B1368))*SIN(RADIANS(B1369)))*COS(RADIANS(C1369-C1368)))*180/PI()*($X$4/(A1369-A1368))))*$X$5,""),"")</f>
        <v/>
      </c>
      <c r="G1369" s="23"/>
      <c r="H1369" s="66"/>
      <c r="I1369" s="14"/>
      <c r="J1369" s="14"/>
      <c r="K1369" s="14"/>
      <c r="L1369" s="5" t="str">
        <f t="shared" si="132"/>
        <v/>
      </c>
      <c r="M1369" s="5" t="str">
        <f t="shared" si="133"/>
        <v/>
      </c>
      <c r="N1369" s="5" t="str">
        <f t="shared" si="134"/>
        <v/>
      </c>
      <c r="O1369" s="4"/>
    </row>
    <row r="1370" spans="1:15" x14ac:dyDescent="0.25">
      <c r="A1370" s="14"/>
      <c r="B1370" s="14"/>
      <c r="C1370" s="14"/>
      <c r="D1370" s="5" t="str">
        <f t="shared" si="135"/>
        <v/>
      </c>
      <c r="E1370" s="5" t="str">
        <f t="shared" si="136"/>
        <v/>
      </c>
      <c r="F1370" s="5" t="str">
        <f t="shared" si="137"/>
        <v/>
      </c>
      <c r="G1370" s="23"/>
      <c r="H1370" s="66"/>
      <c r="I1370" s="14"/>
      <c r="J1370" s="14"/>
      <c r="K1370" s="14"/>
      <c r="L1370" s="5" t="str">
        <f t="shared" si="132"/>
        <v/>
      </c>
      <c r="M1370" s="5" t="str">
        <f t="shared" si="133"/>
        <v/>
      </c>
      <c r="N1370" s="5" t="str">
        <f t="shared" si="134"/>
        <v/>
      </c>
      <c r="O1370" s="4"/>
    </row>
    <row r="1371" spans="1:15" x14ac:dyDescent="0.25">
      <c r="A1371" s="14"/>
      <c r="B1371" s="14"/>
      <c r="C1371" s="14"/>
      <c r="D1371" s="5" t="str">
        <f t="shared" si="135"/>
        <v/>
      </c>
      <c r="E1371" s="5" t="str">
        <f t="shared" si="136"/>
        <v/>
      </c>
      <c r="F1371" s="5" t="str">
        <f t="shared" si="137"/>
        <v/>
      </c>
      <c r="G1371" s="23"/>
      <c r="H1371" s="66"/>
      <c r="I1371" s="14"/>
      <c r="J1371" s="14"/>
      <c r="K1371" s="14"/>
      <c r="L1371" s="5" t="str">
        <f t="shared" si="132"/>
        <v/>
      </c>
      <c r="M1371" s="5" t="str">
        <f t="shared" si="133"/>
        <v/>
      </c>
      <c r="N1371" s="5" t="str">
        <f t="shared" si="134"/>
        <v/>
      </c>
      <c r="O1371" s="4"/>
    </row>
    <row r="1372" spans="1:15" x14ac:dyDescent="0.25">
      <c r="A1372" s="14"/>
      <c r="B1372" s="14"/>
      <c r="C1372" s="14"/>
      <c r="D1372" s="5" t="str">
        <f t="shared" si="135"/>
        <v/>
      </c>
      <c r="E1372" s="5" t="str">
        <f t="shared" si="136"/>
        <v/>
      </c>
      <c r="F1372" s="5" t="str">
        <f t="shared" si="137"/>
        <v/>
      </c>
      <c r="G1372" s="23"/>
      <c r="H1372" s="66"/>
      <c r="I1372" s="14"/>
      <c r="J1372" s="14"/>
      <c r="K1372" s="14"/>
      <c r="L1372" s="5" t="str">
        <f t="shared" si="132"/>
        <v/>
      </c>
      <c r="M1372" s="5" t="str">
        <f t="shared" si="133"/>
        <v/>
      </c>
      <c r="N1372" s="5" t="str">
        <f t="shared" si="134"/>
        <v/>
      </c>
      <c r="O1372" s="4"/>
    </row>
    <row r="1373" spans="1:15" x14ac:dyDescent="0.25">
      <c r="A1373" s="14"/>
      <c r="B1373" s="14"/>
      <c r="C1373" s="14"/>
      <c r="D1373" s="5" t="str">
        <f t="shared" si="135"/>
        <v/>
      </c>
      <c r="E1373" s="5" t="str">
        <f t="shared" si="136"/>
        <v/>
      </c>
      <c r="F1373" s="5" t="str">
        <f t="shared" si="137"/>
        <v/>
      </c>
      <c r="G1373" s="23"/>
      <c r="H1373" s="66"/>
      <c r="I1373" s="14"/>
      <c r="J1373" s="14"/>
      <c r="K1373" s="14"/>
      <c r="L1373" s="5" t="str">
        <f t="shared" si="132"/>
        <v/>
      </c>
      <c r="M1373" s="5" t="str">
        <f t="shared" si="133"/>
        <v/>
      </c>
      <c r="N1373" s="5" t="str">
        <f t="shared" si="134"/>
        <v/>
      </c>
      <c r="O1373" s="4"/>
    </row>
    <row r="1374" spans="1:15" x14ac:dyDescent="0.25">
      <c r="A1374" s="14"/>
      <c r="B1374" s="14"/>
      <c r="C1374" s="14"/>
      <c r="D1374" s="5" t="str">
        <f t="shared" si="135"/>
        <v/>
      </c>
      <c r="E1374" s="5" t="str">
        <f t="shared" si="136"/>
        <v/>
      </c>
      <c r="F1374" s="5" t="str">
        <f t="shared" si="137"/>
        <v/>
      </c>
      <c r="G1374" s="23"/>
      <c r="H1374" s="66"/>
      <c r="I1374" s="14"/>
      <c r="J1374" s="14"/>
      <c r="K1374" s="14"/>
      <c r="L1374" s="5" t="str">
        <f t="shared" si="132"/>
        <v/>
      </c>
      <c r="M1374" s="5" t="str">
        <f t="shared" si="133"/>
        <v/>
      </c>
      <c r="N1374" s="5" t="str">
        <f t="shared" si="134"/>
        <v/>
      </c>
      <c r="O1374" s="4"/>
    </row>
    <row r="1375" spans="1:15" x14ac:dyDescent="0.25">
      <c r="A1375" s="14"/>
      <c r="B1375" s="14"/>
      <c r="C1375" s="14"/>
      <c r="D1375" s="5" t="str">
        <f t="shared" si="135"/>
        <v/>
      </c>
      <c r="E1375" s="5" t="str">
        <f t="shared" si="136"/>
        <v/>
      </c>
      <c r="F1375" s="5" t="str">
        <f t="shared" si="137"/>
        <v/>
      </c>
      <c r="G1375" s="23"/>
      <c r="H1375" s="66"/>
      <c r="I1375" s="14"/>
      <c r="J1375" s="14"/>
      <c r="K1375" s="14"/>
      <c r="L1375" s="5" t="str">
        <f t="shared" si="132"/>
        <v/>
      </c>
      <c r="M1375" s="5" t="str">
        <f t="shared" si="133"/>
        <v/>
      </c>
      <c r="N1375" s="5" t="str">
        <f t="shared" si="134"/>
        <v/>
      </c>
      <c r="O1375" s="4"/>
    </row>
    <row r="1376" spans="1:15" x14ac:dyDescent="0.25">
      <c r="A1376" s="14"/>
      <c r="B1376" s="14"/>
      <c r="C1376" s="14"/>
      <c r="D1376" s="5" t="str">
        <f t="shared" si="135"/>
        <v/>
      </c>
      <c r="E1376" s="5" t="str">
        <f t="shared" si="136"/>
        <v/>
      </c>
      <c r="F1376" s="5" t="str">
        <f t="shared" si="137"/>
        <v/>
      </c>
      <c r="G1376" s="23"/>
      <c r="H1376" s="66"/>
      <c r="I1376" s="14"/>
      <c r="J1376" s="14"/>
      <c r="K1376" s="14"/>
      <c r="L1376" s="5" t="str">
        <f t="shared" si="132"/>
        <v/>
      </c>
      <c r="M1376" s="5" t="str">
        <f t="shared" si="133"/>
        <v/>
      </c>
      <c r="N1376" s="5" t="str">
        <f t="shared" si="134"/>
        <v/>
      </c>
      <c r="O1376" s="4"/>
    </row>
    <row r="1377" spans="1:15" x14ac:dyDescent="0.25">
      <c r="A1377" s="14"/>
      <c r="B1377" s="14"/>
      <c r="C1377" s="14"/>
      <c r="D1377" s="5" t="str">
        <f t="shared" si="135"/>
        <v/>
      </c>
      <c r="E1377" s="5" t="str">
        <f t="shared" si="136"/>
        <v/>
      </c>
      <c r="F1377" s="5" t="str">
        <f t="shared" si="137"/>
        <v/>
      </c>
      <c r="G1377" s="23"/>
      <c r="H1377" s="66"/>
      <c r="I1377" s="14"/>
      <c r="J1377" s="14"/>
      <c r="K1377" s="14"/>
      <c r="L1377" s="5" t="str">
        <f t="shared" si="132"/>
        <v/>
      </c>
      <c r="M1377" s="5" t="str">
        <f t="shared" si="133"/>
        <v/>
      </c>
      <c r="N1377" s="5" t="str">
        <f t="shared" si="134"/>
        <v/>
      </c>
      <c r="O1377" s="4"/>
    </row>
    <row r="1378" spans="1:15" x14ac:dyDescent="0.25">
      <c r="A1378" s="14"/>
      <c r="B1378" s="14"/>
      <c r="C1378" s="14"/>
      <c r="D1378" s="5" t="str">
        <f t="shared" si="135"/>
        <v/>
      </c>
      <c r="E1378" s="5" t="str">
        <f t="shared" si="136"/>
        <v/>
      </c>
      <c r="F1378" s="5" t="str">
        <f t="shared" si="137"/>
        <v/>
      </c>
      <c r="G1378" s="23"/>
      <c r="H1378" s="66"/>
      <c r="I1378" s="14"/>
      <c r="J1378" s="14"/>
      <c r="K1378" s="14"/>
      <c r="L1378" s="5" t="str">
        <f t="shared" si="132"/>
        <v/>
      </c>
      <c r="M1378" s="5" t="str">
        <f t="shared" si="133"/>
        <v/>
      </c>
      <c r="N1378" s="5" t="str">
        <f t="shared" si="134"/>
        <v/>
      </c>
      <c r="O1378" s="4"/>
    </row>
    <row r="1379" spans="1:15" x14ac:dyDescent="0.25">
      <c r="A1379" s="14"/>
      <c r="B1379" s="14"/>
      <c r="C1379" s="14"/>
      <c r="D1379" s="5" t="str">
        <f t="shared" si="135"/>
        <v/>
      </c>
      <c r="E1379" s="5" t="str">
        <f t="shared" si="136"/>
        <v/>
      </c>
      <c r="F1379" s="5" t="str">
        <f t="shared" si="137"/>
        <v/>
      </c>
      <c r="G1379" s="23"/>
      <c r="H1379" s="66"/>
      <c r="I1379" s="14"/>
      <c r="J1379" s="14"/>
      <c r="K1379" s="14"/>
      <c r="L1379" s="5" t="str">
        <f t="shared" si="132"/>
        <v/>
      </c>
      <c r="M1379" s="5" t="str">
        <f t="shared" si="133"/>
        <v/>
      </c>
      <c r="N1379" s="5" t="str">
        <f t="shared" si="134"/>
        <v/>
      </c>
      <c r="O1379" s="4"/>
    </row>
    <row r="1380" spans="1:15" x14ac:dyDescent="0.25">
      <c r="A1380" s="14"/>
      <c r="B1380" s="14"/>
      <c r="C1380" s="14"/>
      <c r="D1380" s="5" t="str">
        <f t="shared" si="135"/>
        <v/>
      </c>
      <c r="E1380" s="5" t="str">
        <f t="shared" si="136"/>
        <v/>
      </c>
      <c r="F1380" s="5" t="str">
        <f t="shared" si="137"/>
        <v/>
      </c>
      <c r="G1380" s="23"/>
      <c r="H1380" s="66"/>
      <c r="I1380" s="14"/>
      <c r="J1380" s="14"/>
      <c r="K1380" s="14"/>
      <c r="L1380" s="5" t="str">
        <f t="shared" si="132"/>
        <v/>
      </c>
      <c r="M1380" s="5" t="str">
        <f t="shared" si="133"/>
        <v/>
      </c>
      <c r="N1380" s="5" t="str">
        <f t="shared" si="134"/>
        <v/>
      </c>
      <c r="O1380" s="4"/>
    </row>
    <row r="1381" spans="1:15" x14ac:dyDescent="0.25">
      <c r="A1381" s="14"/>
      <c r="B1381" s="14"/>
      <c r="C1381" s="14"/>
      <c r="D1381" s="5" t="str">
        <f t="shared" si="135"/>
        <v/>
      </c>
      <c r="E1381" s="5" t="str">
        <f t="shared" si="136"/>
        <v/>
      </c>
      <c r="F1381" s="5" t="str">
        <f t="shared" si="137"/>
        <v/>
      </c>
      <c r="G1381" s="23"/>
      <c r="H1381" s="66"/>
      <c r="I1381" s="14"/>
      <c r="J1381" s="14"/>
      <c r="K1381" s="14"/>
      <c r="L1381" s="5" t="str">
        <f t="shared" si="132"/>
        <v/>
      </c>
      <c r="M1381" s="5" t="str">
        <f t="shared" si="133"/>
        <v/>
      </c>
      <c r="N1381" s="5" t="str">
        <f t="shared" si="134"/>
        <v/>
      </c>
      <c r="O1381" s="4"/>
    </row>
    <row r="1382" spans="1:15" x14ac:dyDescent="0.25">
      <c r="A1382" s="14"/>
      <c r="B1382" s="14"/>
      <c r="C1382" s="14"/>
      <c r="D1382" s="5" t="str">
        <f t="shared" si="135"/>
        <v/>
      </c>
      <c r="E1382" s="5" t="str">
        <f t="shared" si="136"/>
        <v/>
      </c>
      <c r="F1382" s="5" t="str">
        <f t="shared" si="137"/>
        <v/>
      </c>
      <c r="G1382" s="23"/>
      <c r="H1382" s="66"/>
      <c r="I1382" s="14"/>
      <c r="J1382" s="14"/>
      <c r="K1382" s="14"/>
      <c r="L1382" s="5" t="str">
        <f t="shared" si="132"/>
        <v/>
      </c>
      <c r="M1382" s="5" t="str">
        <f t="shared" si="133"/>
        <v/>
      </c>
      <c r="N1382" s="5" t="str">
        <f t="shared" si="134"/>
        <v/>
      </c>
      <c r="O1382" s="4"/>
    </row>
    <row r="1383" spans="1:15" x14ac:dyDescent="0.25">
      <c r="A1383" s="14"/>
      <c r="B1383" s="14"/>
      <c r="C1383" s="14"/>
      <c r="D1383" s="5" t="str">
        <f t="shared" si="135"/>
        <v/>
      </c>
      <c r="E1383" s="5" t="str">
        <f t="shared" si="136"/>
        <v/>
      </c>
      <c r="F1383" s="5" t="str">
        <f t="shared" si="137"/>
        <v/>
      </c>
      <c r="G1383" s="23"/>
      <c r="H1383" s="66"/>
      <c r="I1383" s="14"/>
      <c r="J1383" s="14"/>
      <c r="K1383" s="14"/>
      <c r="L1383" s="5" t="str">
        <f t="shared" si="132"/>
        <v/>
      </c>
      <c r="M1383" s="5" t="str">
        <f t="shared" si="133"/>
        <v/>
      </c>
      <c r="N1383" s="5" t="str">
        <f t="shared" si="134"/>
        <v/>
      </c>
      <c r="O1383" s="4"/>
    </row>
    <row r="1384" spans="1:15" x14ac:dyDescent="0.25">
      <c r="A1384" s="14"/>
      <c r="B1384" s="14"/>
      <c r="C1384" s="14"/>
      <c r="D1384" s="5" t="str">
        <f t="shared" si="135"/>
        <v/>
      </c>
      <c r="E1384" s="5" t="str">
        <f t="shared" si="136"/>
        <v/>
      </c>
      <c r="F1384" s="5" t="str">
        <f t="shared" si="137"/>
        <v/>
      </c>
      <c r="G1384" s="23"/>
      <c r="H1384" s="66"/>
      <c r="I1384" s="14"/>
      <c r="J1384" s="14"/>
      <c r="K1384" s="14"/>
      <c r="L1384" s="5" t="str">
        <f t="shared" si="132"/>
        <v/>
      </c>
      <c r="M1384" s="5" t="str">
        <f t="shared" si="133"/>
        <v/>
      </c>
      <c r="N1384" s="5" t="str">
        <f t="shared" si="134"/>
        <v/>
      </c>
      <c r="O1384" s="4"/>
    </row>
    <row r="1385" spans="1:15" x14ac:dyDescent="0.25">
      <c r="A1385" s="14"/>
      <c r="B1385" s="14"/>
      <c r="C1385" s="14"/>
      <c r="D1385" s="5" t="str">
        <f t="shared" si="135"/>
        <v/>
      </c>
      <c r="E1385" s="5" t="str">
        <f t="shared" si="136"/>
        <v/>
      </c>
      <c r="F1385" s="5" t="str">
        <f t="shared" si="137"/>
        <v/>
      </c>
      <c r="G1385" s="23"/>
      <c r="H1385" s="66"/>
      <c r="I1385" s="14"/>
      <c r="J1385" s="14"/>
      <c r="K1385" s="14"/>
      <c r="L1385" s="5" t="str">
        <f t="shared" si="132"/>
        <v/>
      </c>
      <c r="M1385" s="5" t="str">
        <f t="shared" si="133"/>
        <v/>
      </c>
      <c r="N1385" s="5" t="str">
        <f t="shared" si="134"/>
        <v/>
      </c>
      <c r="O1385" s="4"/>
    </row>
    <row r="1386" spans="1:15" x14ac:dyDescent="0.25">
      <c r="A1386" s="14"/>
      <c r="B1386" s="14"/>
      <c r="C1386" s="14"/>
      <c r="D1386" s="5" t="str">
        <f t="shared" si="135"/>
        <v/>
      </c>
      <c r="E1386" s="5" t="str">
        <f t="shared" si="136"/>
        <v/>
      </c>
      <c r="F1386" s="5" t="str">
        <f t="shared" si="137"/>
        <v/>
      </c>
      <c r="G1386" s="23"/>
      <c r="H1386" s="66"/>
      <c r="I1386" s="14"/>
      <c r="J1386" s="14"/>
      <c r="K1386" s="14"/>
      <c r="L1386" s="5" t="str">
        <f t="shared" si="132"/>
        <v/>
      </c>
      <c r="M1386" s="5" t="str">
        <f t="shared" si="133"/>
        <v/>
      </c>
      <c r="N1386" s="5" t="str">
        <f t="shared" si="134"/>
        <v/>
      </c>
      <c r="O1386" s="4"/>
    </row>
    <row r="1387" spans="1:15" x14ac:dyDescent="0.25">
      <c r="A1387" s="14"/>
      <c r="B1387" s="14"/>
      <c r="C1387" s="14"/>
      <c r="D1387" s="5" t="str">
        <f t="shared" si="135"/>
        <v/>
      </c>
      <c r="E1387" s="5" t="str">
        <f t="shared" si="136"/>
        <v/>
      </c>
      <c r="F1387" s="5" t="str">
        <f t="shared" si="137"/>
        <v/>
      </c>
      <c r="G1387" s="23"/>
      <c r="H1387" s="66"/>
      <c r="I1387" s="14"/>
      <c r="J1387" s="14"/>
      <c r="K1387" s="14"/>
      <c r="L1387" s="5" t="str">
        <f t="shared" si="132"/>
        <v/>
      </c>
      <c r="M1387" s="5" t="str">
        <f t="shared" si="133"/>
        <v/>
      </c>
      <c r="N1387" s="5" t="str">
        <f t="shared" si="134"/>
        <v/>
      </c>
      <c r="O1387" s="4"/>
    </row>
    <row r="1388" spans="1:15" x14ac:dyDescent="0.25">
      <c r="A1388" s="14"/>
      <c r="B1388" s="14"/>
      <c r="C1388" s="14"/>
      <c r="D1388" s="5" t="str">
        <f t="shared" si="135"/>
        <v/>
      </c>
      <c r="E1388" s="5" t="str">
        <f t="shared" si="136"/>
        <v/>
      </c>
      <c r="F1388" s="5" t="str">
        <f t="shared" si="137"/>
        <v/>
      </c>
      <c r="G1388" s="23"/>
      <c r="H1388" s="66"/>
      <c r="I1388" s="14"/>
      <c r="J1388" s="14"/>
      <c r="K1388" s="14"/>
      <c r="L1388" s="5" t="str">
        <f t="shared" si="132"/>
        <v/>
      </c>
      <c r="M1388" s="5" t="str">
        <f t="shared" si="133"/>
        <v/>
      </c>
      <c r="N1388" s="5" t="str">
        <f t="shared" si="134"/>
        <v/>
      </c>
      <c r="O1388" s="4"/>
    </row>
    <row r="1389" spans="1:15" x14ac:dyDescent="0.25">
      <c r="A1389" s="14"/>
      <c r="B1389" s="14"/>
      <c r="C1389" s="14"/>
      <c r="D1389" s="5" t="str">
        <f t="shared" si="135"/>
        <v/>
      </c>
      <c r="E1389" s="5" t="str">
        <f t="shared" si="136"/>
        <v/>
      </c>
      <c r="F1389" s="5" t="str">
        <f t="shared" si="137"/>
        <v/>
      </c>
      <c r="G1389" s="23"/>
      <c r="H1389" s="66"/>
      <c r="I1389" s="14"/>
      <c r="J1389" s="14"/>
      <c r="K1389" s="14"/>
      <c r="L1389" s="5" t="str">
        <f t="shared" si="132"/>
        <v/>
      </c>
      <c r="M1389" s="5" t="str">
        <f t="shared" si="133"/>
        <v/>
      </c>
      <c r="N1389" s="5" t="str">
        <f t="shared" si="134"/>
        <v/>
      </c>
      <c r="O1389" s="4"/>
    </row>
    <row r="1390" spans="1:15" x14ac:dyDescent="0.25">
      <c r="A1390" s="14"/>
      <c r="B1390" s="14"/>
      <c r="C1390" s="14"/>
      <c r="D1390" s="5" t="str">
        <f t="shared" si="135"/>
        <v/>
      </c>
      <c r="E1390" s="5" t="str">
        <f t="shared" si="136"/>
        <v/>
      </c>
      <c r="F1390" s="5" t="str">
        <f t="shared" si="137"/>
        <v/>
      </c>
      <c r="G1390" s="23"/>
      <c r="H1390" s="66"/>
      <c r="I1390" s="14"/>
      <c r="J1390" s="14"/>
      <c r="K1390" s="14"/>
      <c r="L1390" s="5" t="str">
        <f t="shared" si="132"/>
        <v/>
      </c>
      <c r="M1390" s="5" t="str">
        <f t="shared" si="133"/>
        <v/>
      </c>
      <c r="N1390" s="5" t="str">
        <f t="shared" si="134"/>
        <v/>
      </c>
      <c r="O1390" s="4"/>
    </row>
    <row r="1391" spans="1:15" x14ac:dyDescent="0.25">
      <c r="A1391" s="14"/>
      <c r="B1391" s="14"/>
      <c r="C1391" s="14"/>
      <c r="D1391" s="5" t="str">
        <f t="shared" si="135"/>
        <v/>
      </c>
      <c r="E1391" s="5" t="str">
        <f t="shared" si="136"/>
        <v/>
      </c>
      <c r="F1391" s="5" t="str">
        <f t="shared" si="137"/>
        <v/>
      </c>
      <c r="G1391" s="23"/>
      <c r="H1391" s="66"/>
      <c r="I1391" s="14"/>
      <c r="J1391" s="14"/>
      <c r="K1391" s="14"/>
      <c r="L1391" s="5" t="str">
        <f t="shared" si="132"/>
        <v/>
      </c>
      <c r="M1391" s="5" t="str">
        <f t="shared" si="133"/>
        <v/>
      </c>
      <c r="N1391" s="5" t="str">
        <f t="shared" si="134"/>
        <v/>
      </c>
      <c r="O1391" s="4"/>
    </row>
    <row r="1392" spans="1:15" x14ac:dyDescent="0.25">
      <c r="A1392" s="14"/>
      <c r="B1392" s="14"/>
      <c r="C1392" s="14"/>
      <c r="D1392" s="5" t="str">
        <f t="shared" si="135"/>
        <v/>
      </c>
      <c r="E1392" s="5" t="str">
        <f t="shared" si="136"/>
        <v/>
      </c>
      <c r="F1392" s="5" t="str">
        <f t="shared" si="137"/>
        <v/>
      </c>
      <c r="G1392" s="23"/>
      <c r="H1392" s="66"/>
      <c r="I1392" s="14"/>
      <c r="J1392" s="14"/>
      <c r="K1392" s="14"/>
      <c r="L1392" s="5" t="str">
        <f t="shared" si="132"/>
        <v/>
      </c>
      <c r="M1392" s="5" t="str">
        <f t="shared" si="133"/>
        <v/>
      </c>
      <c r="N1392" s="5" t="str">
        <f t="shared" si="134"/>
        <v/>
      </c>
      <c r="O1392" s="4"/>
    </row>
    <row r="1393" spans="1:15" x14ac:dyDescent="0.25">
      <c r="A1393" s="14"/>
      <c r="B1393" s="14"/>
      <c r="C1393" s="14"/>
      <c r="D1393" s="5" t="str">
        <f t="shared" si="135"/>
        <v/>
      </c>
      <c r="E1393" s="5" t="str">
        <f t="shared" si="136"/>
        <v/>
      </c>
      <c r="F1393" s="5" t="str">
        <f t="shared" si="137"/>
        <v/>
      </c>
      <c r="G1393" s="23"/>
      <c r="H1393" s="66"/>
      <c r="I1393" s="14"/>
      <c r="J1393" s="14"/>
      <c r="K1393" s="14"/>
      <c r="L1393" s="5" t="str">
        <f t="shared" si="132"/>
        <v/>
      </c>
      <c r="M1393" s="5" t="str">
        <f t="shared" si="133"/>
        <v/>
      </c>
      <c r="N1393" s="5" t="str">
        <f t="shared" si="134"/>
        <v/>
      </c>
      <c r="O1393" s="4"/>
    </row>
    <row r="1394" spans="1:15" x14ac:dyDescent="0.25">
      <c r="A1394" s="14"/>
      <c r="B1394" s="14"/>
      <c r="C1394" s="14"/>
      <c r="D1394" s="5" t="str">
        <f t="shared" si="135"/>
        <v/>
      </c>
      <c r="E1394" s="5" t="str">
        <f t="shared" si="136"/>
        <v/>
      </c>
      <c r="F1394" s="5" t="str">
        <f t="shared" si="137"/>
        <v/>
      </c>
      <c r="G1394" s="23"/>
      <c r="H1394" s="66"/>
      <c r="I1394" s="14"/>
      <c r="J1394" s="14"/>
      <c r="K1394" s="14"/>
      <c r="L1394" s="5" t="str">
        <f t="shared" si="132"/>
        <v/>
      </c>
      <c r="M1394" s="5" t="str">
        <f t="shared" si="133"/>
        <v/>
      </c>
      <c r="N1394" s="5" t="str">
        <f t="shared" si="134"/>
        <v/>
      </c>
      <c r="O1394" s="4"/>
    </row>
    <row r="1395" spans="1:15" x14ac:dyDescent="0.25">
      <c r="A1395" s="14"/>
      <c r="B1395" s="14"/>
      <c r="C1395" s="14"/>
      <c r="D1395" s="5" t="str">
        <f t="shared" si="135"/>
        <v/>
      </c>
      <c r="E1395" s="5" t="str">
        <f t="shared" si="136"/>
        <v/>
      </c>
      <c r="F1395" s="5" t="str">
        <f t="shared" si="137"/>
        <v/>
      </c>
      <c r="G1395" s="23"/>
      <c r="H1395" s="66"/>
      <c r="I1395" s="14"/>
      <c r="J1395" s="14"/>
      <c r="K1395" s="14"/>
      <c r="L1395" s="5" t="str">
        <f t="shared" si="132"/>
        <v/>
      </c>
      <c r="M1395" s="5" t="str">
        <f t="shared" si="133"/>
        <v/>
      </c>
      <c r="N1395" s="5" t="str">
        <f t="shared" si="134"/>
        <v/>
      </c>
      <c r="O1395" s="4"/>
    </row>
    <row r="1396" spans="1:15" x14ac:dyDescent="0.25">
      <c r="A1396" s="14"/>
      <c r="B1396" s="14"/>
      <c r="C1396" s="14"/>
      <c r="D1396" s="5" t="str">
        <f t="shared" si="135"/>
        <v/>
      </c>
      <c r="E1396" s="5" t="str">
        <f t="shared" si="136"/>
        <v/>
      </c>
      <c r="F1396" s="5" t="str">
        <f t="shared" si="137"/>
        <v/>
      </c>
      <c r="G1396" s="23"/>
      <c r="H1396" s="66"/>
      <c r="I1396" s="14"/>
      <c r="J1396" s="14"/>
      <c r="K1396" s="14"/>
      <c r="L1396" s="5" t="str">
        <f t="shared" si="132"/>
        <v/>
      </c>
      <c r="M1396" s="5" t="str">
        <f t="shared" si="133"/>
        <v/>
      </c>
      <c r="N1396" s="5" t="str">
        <f t="shared" si="134"/>
        <v/>
      </c>
      <c r="O1396" s="4"/>
    </row>
    <row r="1397" spans="1:15" x14ac:dyDescent="0.25">
      <c r="A1397" s="14"/>
      <c r="B1397" s="14"/>
      <c r="C1397" s="14"/>
      <c r="D1397" s="5" t="str">
        <f t="shared" si="135"/>
        <v/>
      </c>
      <c r="E1397" s="5" t="str">
        <f t="shared" si="136"/>
        <v/>
      </c>
      <c r="F1397" s="5" t="str">
        <f t="shared" si="137"/>
        <v/>
      </c>
      <c r="G1397" s="23"/>
      <c r="H1397" s="66"/>
      <c r="I1397" s="14"/>
      <c r="J1397" s="14"/>
      <c r="K1397" s="14"/>
      <c r="L1397" s="5" t="str">
        <f t="shared" si="132"/>
        <v/>
      </c>
      <c r="M1397" s="5" t="str">
        <f t="shared" si="133"/>
        <v/>
      </c>
      <c r="N1397" s="5" t="str">
        <f t="shared" si="134"/>
        <v/>
      </c>
      <c r="O1397" s="4"/>
    </row>
    <row r="1398" spans="1:15" x14ac:dyDescent="0.25">
      <c r="A1398" s="14"/>
      <c r="B1398" s="14"/>
      <c r="C1398" s="14"/>
      <c r="D1398" s="5" t="str">
        <f t="shared" si="135"/>
        <v/>
      </c>
      <c r="E1398" s="5" t="str">
        <f t="shared" si="136"/>
        <v/>
      </c>
      <c r="F1398" s="5" t="str">
        <f t="shared" si="137"/>
        <v/>
      </c>
      <c r="G1398" s="23"/>
      <c r="H1398" s="66"/>
      <c r="I1398" s="14"/>
      <c r="J1398" s="14"/>
      <c r="K1398" s="14"/>
      <c r="L1398" s="5" t="str">
        <f t="shared" si="132"/>
        <v/>
      </c>
      <c r="M1398" s="5" t="str">
        <f t="shared" si="133"/>
        <v/>
      </c>
      <c r="N1398" s="5" t="str">
        <f t="shared" si="134"/>
        <v/>
      </c>
      <c r="O1398" s="4"/>
    </row>
    <row r="1399" spans="1:15" x14ac:dyDescent="0.25">
      <c r="A1399" s="14"/>
      <c r="B1399" s="14"/>
      <c r="C1399" s="14"/>
      <c r="D1399" s="5" t="str">
        <f t="shared" si="135"/>
        <v/>
      </c>
      <c r="E1399" s="5" t="str">
        <f t="shared" si="136"/>
        <v/>
      </c>
      <c r="F1399" s="5" t="str">
        <f t="shared" si="137"/>
        <v/>
      </c>
      <c r="G1399" s="23"/>
      <c r="H1399" s="66"/>
      <c r="I1399" s="14"/>
      <c r="J1399" s="14"/>
      <c r="K1399" s="14"/>
      <c r="L1399" s="5" t="str">
        <f t="shared" si="132"/>
        <v/>
      </c>
      <c r="M1399" s="5" t="str">
        <f t="shared" si="133"/>
        <v/>
      </c>
      <c r="N1399" s="5" t="str">
        <f t="shared" si="134"/>
        <v/>
      </c>
      <c r="O1399" s="4"/>
    </row>
    <row r="1400" spans="1:15" x14ac:dyDescent="0.25">
      <c r="A1400" s="14"/>
      <c r="B1400" s="14"/>
      <c r="C1400" s="14"/>
      <c r="D1400" s="5" t="str">
        <f t="shared" si="135"/>
        <v/>
      </c>
      <c r="E1400" s="5" t="str">
        <f t="shared" si="136"/>
        <v/>
      </c>
      <c r="F1400" s="5" t="str">
        <f t="shared" si="137"/>
        <v/>
      </c>
      <c r="G1400" s="23"/>
      <c r="H1400" s="66"/>
      <c r="I1400" s="14"/>
      <c r="J1400" s="14"/>
      <c r="K1400" s="14"/>
      <c r="L1400" s="5" t="str">
        <f t="shared" si="132"/>
        <v/>
      </c>
      <c r="M1400" s="5" t="str">
        <f t="shared" si="133"/>
        <v/>
      </c>
      <c r="N1400" s="5" t="str">
        <f t="shared" si="134"/>
        <v/>
      </c>
      <c r="O1400" s="4"/>
    </row>
    <row r="1401" spans="1:15" x14ac:dyDescent="0.25">
      <c r="A1401" s="14"/>
      <c r="B1401" s="14"/>
      <c r="C1401" s="14"/>
      <c r="D1401" s="5" t="str">
        <f t="shared" si="135"/>
        <v/>
      </c>
      <c r="E1401" s="5" t="str">
        <f t="shared" si="136"/>
        <v/>
      </c>
      <c r="F1401" s="5" t="str">
        <f t="shared" si="137"/>
        <v/>
      </c>
      <c r="G1401" s="23"/>
      <c r="H1401" s="66"/>
      <c r="I1401" s="14"/>
      <c r="J1401" s="14"/>
      <c r="K1401" s="14"/>
      <c r="L1401" s="5" t="str">
        <f t="shared" si="132"/>
        <v/>
      </c>
      <c r="M1401" s="5" t="str">
        <f t="shared" si="133"/>
        <v/>
      </c>
      <c r="N1401" s="5" t="str">
        <f t="shared" si="134"/>
        <v/>
      </c>
      <c r="O1401" s="4"/>
    </row>
    <row r="1402" spans="1:15" x14ac:dyDescent="0.25">
      <c r="A1402" s="14"/>
      <c r="B1402" s="14"/>
      <c r="C1402" s="14"/>
      <c r="D1402" s="5" t="str">
        <f t="shared" si="135"/>
        <v/>
      </c>
      <c r="E1402" s="5" t="str">
        <f t="shared" si="136"/>
        <v/>
      </c>
      <c r="F1402" s="5" t="str">
        <f t="shared" si="137"/>
        <v/>
      </c>
      <c r="G1402" s="23"/>
      <c r="H1402" s="66"/>
      <c r="I1402" s="14"/>
      <c r="J1402" s="14"/>
      <c r="K1402" s="14"/>
      <c r="L1402" s="5" t="str">
        <f t="shared" si="132"/>
        <v/>
      </c>
      <c r="M1402" s="5" t="str">
        <f t="shared" si="133"/>
        <v/>
      </c>
      <c r="N1402" s="5" t="str">
        <f t="shared" si="134"/>
        <v/>
      </c>
      <c r="O1402" s="4"/>
    </row>
    <row r="1403" spans="1:15" x14ac:dyDescent="0.25">
      <c r="A1403" s="14"/>
      <c r="B1403" s="14"/>
      <c r="C1403" s="14"/>
      <c r="D1403" s="5" t="str">
        <f t="shared" si="135"/>
        <v/>
      </c>
      <c r="E1403" s="5" t="str">
        <f t="shared" si="136"/>
        <v/>
      </c>
      <c r="F1403" s="5" t="str">
        <f t="shared" si="137"/>
        <v/>
      </c>
      <c r="G1403" s="23"/>
      <c r="H1403" s="66"/>
      <c r="I1403" s="14"/>
      <c r="J1403" s="14"/>
      <c r="K1403" s="14"/>
      <c r="L1403" s="5" t="str">
        <f t="shared" si="132"/>
        <v/>
      </c>
      <c r="M1403" s="5" t="str">
        <f t="shared" si="133"/>
        <v/>
      </c>
      <c r="N1403" s="5" t="str">
        <f t="shared" si="134"/>
        <v/>
      </c>
      <c r="O1403" s="4"/>
    </row>
    <row r="1404" spans="1:15" x14ac:dyDescent="0.25">
      <c r="A1404" s="14"/>
      <c r="B1404" s="14"/>
      <c r="C1404" s="14"/>
      <c r="D1404" s="5" t="str">
        <f t="shared" si="135"/>
        <v/>
      </c>
      <c r="E1404" s="5" t="str">
        <f t="shared" si="136"/>
        <v/>
      </c>
      <c r="F1404" s="5" t="str">
        <f t="shared" si="137"/>
        <v/>
      </c>
      <c r="G1404" s="23"/>
      <c r="H1404" s="66"/>
      <c r="I1404" s="14"/>
      <c r="J1404" s="14"/>
      <c r="K1404" s="14"/>
      <c r="L1404" s="5" t="str">
        <f t="shared" si="132"/>
        <v/>
      </c>
      <c r="M1404" s="5" t="str">
        <f t="shared" si="133"/>
        <v/>
      </c>
      <c r="N1404" s="5" t="str">
        <f t="shared" si="134"/>
        <v/>
      </c>
      <c r="O1404" s="4"/>
    </row>
    <row r="1405" spans="1:15" x14ac:dyDescent="0.25">
      <c r="A1405" s="14"/>
      <c r="B1405" s="14"/>
      <c r="C1405" s="14"/>
      <c r="D1405" s="5" t="str">
        <f t="shared" si="135"/>
        <v/>
      </c>
      <c r="E1405" s="5" t="str">
        <f t="shared" si="136"/>
        <v/>
      </c>
      <c r="F1405" s="5" t="str">
        <f t="shared" si="137"/>
        <v/>
      </c>
      <c r="G1405" s="23"/>
      <c r="H1405" s="66"/>
      <c r="I1405" s="14"/>
      <c r="J1405" s="14"/>
      <c r="K1405" s="14"/>
      <c r="L1405" s="5" t="str">
        <f t="shared" si="132"/>
        <v/>
      </c>
      <c r="M1405" s="5" t="str">
        <f t="shared" si="133"/>
        <v/>
      </c>
      <c r="N1405" s="5" t="str">
        <f t="shared" si="134"/>
        <v/>
      </c>
      <c r="O1405" s="4"/>
    </row>
    <row r="1406" spans="1:15" x14ac:dyDescent="0.25">
      <c r="A1406" s="14"/>
      <c r="B1406" s="14"/>
      <c r="C1406" s="14"/>
      <c r="D1406" s="5" t="str">
        <f t="shared" si="135"/>
        <v/>
      </c>
      <c r="E1406" s="5" t="str">
        <f t="shared" si="136"/>
        <v/>
      </c>
      <c r="F1406" s="5" t="str">
        <f t="shared" si="137"/>
        <v/>
      </c>
      <c r="G1406" s="23"/>
      <c r="H1406" s="66"/>
      <c r="I1406" s="14"/>
      <c r="J1406" s="14"/>
      <c r="K1406" s="14"/>
      <c r="L1406" s="5" t="str">
        <f t="shared" si="132"/>
        <v/>
      </c>
      <c r="M1406" s="5" t="str">
        <f t="shared" si="133"/>
        <v/>
      </c>
      <c r="N1406" s="5" t="str">
        <f t="shared" si="134"/>
        <v/>
      </c>
      <c r="O1406" s="4"/>
    </row>
    <row r="1407" spans="1:15" x14ac:dyDescent="0.25">
      <c r="A1407" s="14"/>
      <c r="B1407" s="14"/>
      <c r="C1407" s="14"/>
      <c r="D1407" s="5" t="str">
        <f t="shared" si="135"/>
        <v/>
      </c>
      <c r="E1407" s="5" t="str">
        <f t="shared" si="136"/>
        <v/>
      </c>
      <c r="F1407" s="5" t="str">
        <f t="shared" si="137"/>
        <v/>
      </c>
      <c r="G1407" s="23"/>
      <c r="H1407" s="66"/>
      <c r="I1407" s="14"/>
      <c r="J1407" s="14"/>
      <c r="K1407" s="14"/>
      <c r="L1407" s="5" t="str">
        <f t="shared" si="132"/>
        <v/>
      </c>
      <c r="M1407" s="5" t="str">
        <f t="shared" si="133"/>
        <v/>
      </c>
      <c r="N1407" s="5" t="str">
        <f t="shared" si="134"/>
        <v/>
      </c>
      <c r="O1407" s="4"/>
    </row>
    <row r="1408" spans="1:15" x14ac:dyDescent="0.25">
      <c r="A1408" s="14"/>
      <c r="B1408" s="14"/>
      <c r="C1408" s="14"/>
      <c r="D1408" s="5" t="str">
        <f t="shared" si="135"/>
        <v/>
      </c>
      <c r="E1408" s="5" t="str">
        <f t="shared" si="136"/>
        <v/>
      </c>
      <c r="F1408" s="5" t="str">
        <f t="shared" si="137"/>
        <v/>
      </c>
      <c r="G1408" s="23"/>
      <c r="H1408" s="66"/>
      <c r="I1408" s="14"/>
      <c r="J1408" s="14"/>
      <c r="K1408" s="14"/>
      <c r="L1408" s="5" t="str">
        <f t="shared" si="132"/>
        <v/>
      </c>
      <c r="M1408" s="5" t="str">
        <f t="shared" si="133"/>
        <v/>
      </c>
      <c r="N1408" s="5" t="str">
        <f t="shared" si="134"/>
        <v/>
      </c>
      <c r="O1408" s="4"/>
    </row>
    <row r="1409" spans="1:15" x14ac:dyDescent="0.25">
      <c r="A1409" s="14"/>
      <c r="B1409" s="14"/>
      <c r="C1409" s="14"/>
      <c r="D1409" s="5" t="str">
        <f t="shared" si="135"/>
        <v/>
      </c>
      <c r="E1409" s="5" t="str">
        <f t="shared" si="136"/>
        <v/>
      </c>
      <c r="F1409" s="5" t="str">
        <f t="shared" si="137"/>
        <v/>
      </c>
      <c r="G1409" s="23"/>
      <c r="H1409" s="66"/>
      <c r="I1409" s="14"/>
      <c r="J1409" s="14"/>
      <c r="K1409" s="14"/>
      <c r="L1409" s="5" t="str">
        <f t="shared" si="132"/>
        <v/>
      </c>
      <c r="M1409" s="5" t="str">
        <f t="shared" si="133"/>
        <v/>
      </c>
      <c r="N1409" s="5" t="str">
        <f t="shared" si="134"/>
        <v/>
      </c>
      <c r="O1409" s="4"/>
    </row>
    <row r="1410" spans="1:15" x14ac:dyDescent="0.25">
      <c r="A1410" s="14"/>
      <c r="B1410" s="14"/>
      <c r="C1410" s="14"/>
      <c r="D1410" s="5" t="str">
        <f t="shared" si="135"/>
        <v/>
      </c>
      <c r="E1410" s="5" t="str">
        <f t="shared" si="136"/>
        <v/>
      </c>
      <c r="F1410" s="5" t="str">
        <f t="shared" si="137"/>
        <v/>
      </c>
      <c r="G1410" s="23"/>
      <c r="H1410" s="66"/>
      <c r="I1410" s="14"/>
      <c r="J1410" s="14"/>
      <c r="K1410" s="14"/>
      <c r="L1410" s="5" t="str">
        <f t="shared" si="132"/>
        <v/>
      </c>
      <c r="M1410" s="5" t="str">
        <f t="shared" si="133"/>
        <v/>
      </c>
      <c r="N1410" s="5" t="str">
        <f t="shared" si="134"/>
        <v/>
      </c>
      <c r="O1410" s="4"/>
    </row>
    <row r="1411" spans="1:15" x14ac:dyDescent="0.25">
      <c r="A1411" s="14"/>
      <c r="B1411" s="14"/>
      <c r="C1411" s="14"/>
      <c r="D1411" s="5" t="str">
        <f t="shared" si="135"/>
        <v/>
      </c>
      <c r="E1411" s="5" t="str">
        <f t="shared" si="136"/>
        <v/>
      </c>
      <c r="F1411" s="5" t="str">
        <f t="shared" si="137"/>
        <v/>
      </c>
      <c r="G1411" s="23"/>
      <c r="H1411" s="66"/>
      <c r="I1411" s="14"/>
      <c r="J1411" s="14"/>
      <c r="K1411" s="14"/>
      <c r="L1411" s="5" t="str">
        <f t="shared" si="132"/>
        <v/>
      </c>
      <c r="M1411" s="5" t="str">
        <f t="shared" si="133"/>
        <v/>
      </c>
      <c r="N1411" s="5" t="str">
        <f t="shared" si="134"/>
        <v/>
      </c>
      <c r="O1411" s="4"/>
    </row>
    <row r="1412" spans="1:15" x14ac:dyDescent="0.25">
      <c r="A1412" s="14"/>
      <c r="B1412" s="14"/>
      <c r="C1412" s="14"/>
      <c r="D1412" s="5" t="str">
        <f t="shared" si="135"/>
        <v/>
      </c>
      <c r="E1412" s="5" t="str">
        <f t="shared" si="136"/>
        <v/>
      </c>
      <c r="F1412" s="5" t="str">
        <f t="shared" si="137"/>
        <v/>
      </c>
      <c r="G1412" s="23"/>
      <c r="H1412" s="66"/>
      <c r="I1412" s="14"/>
      <c r="J1412" s="14"/>
      <c r="K1412" s="14"/>
      <c r="L1412" s="5" t="str">
        <f t="shared" si="132"/>
        <v/>
      </c>
      <c r="M1412" s="5" t="str">
        <f t="shared" si="133"/>
        <v/>
      </c>
      <c r="N1412" s="5" t="str">
        <f t="shared" si="134"/>
        <v/>
      </c>
      <c r="O1412" s="4"/>
    </row>
    <row r="1413" spans="1:15" x14ac:dyDescent="0.25">
      <c r="A1413" s="14"/>
      <c r="B1413" s="14"/>
      <c r="C1413" s="14"/>
      <c r="D1413" s="5" t="str">
        <f t="shared" si="135"/>
        <v/>
      </c>
      <c r="E1413" s="5" t="str">
        <f t="shared" si="136"/>
        <v/>
      </c>
      <c r="F1413" s="5" t="str">
        <f t="shared" si="137"/>
        <v/>
      </c>
      <c r="G1413" s="23"/>
      <c r="H1413" s="66"/>
      <c r="I1413" s="14"/>
      <c r="J1413" s="14"/>
      <c r="K1413" s="14"/>
      <c r="L1413" s="5" t="str">
        <f t="shared" si="132"/>
        <v/>
      </c>
      <c r="M1413" s="5" t="str">
        <f t="shared" si="133"/>
        <v/>
      </c>
      <c r="N1413" s="5" t="str">
        <f t="shared" si="134"/>
        <v/>
      </c>
      <c r="O1413" s="4"/>
    </row>
    <row r="1414" spans="1:15" x14ac:dyDescent="0.25">
      <c r="A1414" s="14"/>
      <c r="B1414" s="14"/>
      <c r="C1414" s="14"/>
      <c r="D1414" s="5" t="str">
        <f t="shared" si="135"/>
        <v/>
      </c>
      <c r="E1414" s="5" t="str">
        <f t="shared" si="136"/>
        <v/>
      </c>
      <c r="F1414" s="5" t="str">
        <f t="shared" si="137"/>
        <v/>
      </c>
      <c r="G1414" s="23"/>
      <c r="H1414" s="66"/>
      <c r="I1414" s="14"/>
      <c r="J1414" s="14"/>
      <c r="K1414" s="14"/>
      <c r="L1414" s="5" t="str">
        <f t="shared" si="132"/>
        <v/>
      </c>
      <c r="M1414" s="5" t="str">
        <f t="shared" si="133"/>
        <v/>
      </c>
      <c r="N1414" s="5" t="str">
        <f t="shared" si="134"/>
        <v/>
      </c>
      <c r="O1414" s="4"/>
    </row>
    <row r="1415" spans="1:15" x14ac:dyDescent="0.25">
      <c r="A1415" s="14"/>
      <c r="B1415" s="14"/>
      <c r="C1415" s="14"/>
      <c r="D1415" s="5" t="str">
        <f t="shared" si="135"/>
        <v/>
      </c>
      <c r="E1415" s="5" t="str">
        <f t="shared" si="136"/>
        <v/>
      </c>
      <c r="F1415" s="5" t="str">
        <f t="shared" si="137"/>
        <v/>
      </c>
      <c r="G1415" s="23"/>
      <c r="H1415" s="66"/>
      <c r="I1415" s="14"/>
      <c r="J1415" s="14"/>
      <c r="K1415" s="14"/>
      <c r="L1415" s="5" t="str">
        <f t="shared" si="132"/>
        <v/>
      </c>
      <c r="M1415" s="5" t="str">
        <f t="shared" si="133"/>
        <v/>
      </c>
      <c r="N1415" s="5" t="str">
        <f t="shared" si="134"/>
        <v/>
      </c>
      <c r="O1415" s="4"/>
    </row>
    <row r="1416" spans="1:15" x14ac:dyDescent="0.25">
      <c r="A1416" s="14"/>
      <c r="B1416" s="14"/>
      <c r="C1416" s="14"/>
      <c r="D1416" s="5" t="str">
        <f t="shared" si="135"/>
        <v/>
      </c>
      <c r="E1416" s="5" t="str">
        <f t="shared" si="136"/>
        <v/>
      </c>
      <c r="F1416" s="5" t="str">
        <f t="shared" si="137"/>
        <v/>
      </c>
      <c r="G1416" s="23"/>
      <c r="H1416" s="66"/>
      <c r="I1416" s="14"/>
      <c r="J1416" s="14"/>
      <c r="K1416" s="14"/>
      <c r="L1416" s="5" t="str">
        <f t="shared" si="132"/>
        <v/>
      </c>
      <c r="M1416" s="5" t="str">
        <f t="shared" si="133"/>
        <v/>
      </c>
      <c r="N1416" s="5" t="str">
        <f t="shared" si="134"/>
        <v/>
      </c>
      <c r="O1416" s="4"/>
    </row>
    <row r="1417" spans="1:15" x14ac:dyDescent="0.25">
      <c r="A1417" s="14"/>
      <c r="B1417" s="14"/>
      <c r="C1417" s="14"/>
      <c r="D1417" s="5" t="str">
        <f t="shared" si="135"/>
        <v/>
      </c>
      <c r="E1417" s="5" t="str">
        <f t="shared" si="136"/>
        <v/>
      </c>
      <c r="F1417" s="5" t="str">
        <f t="shared" si="137"/>
        <v/>
      </c>
      <c r="G1417" s="23"/>
      <c r="H1417" s="66"/>
      <c r="I1417" s="14"/>
      <c r="J1417" s="14"/>
      <c r="K1417" s="14"/>
      <c r="L1417" s="5" t="str">
        <f t="shared" si="132"/>
        <v/>
      </c>
      <c r="M1417" s="5" t="str">
        <f t="shared" si="133"/>
        <v/>
      </c>
      <c r="N1417" s="5" t="str">
        <f t="shared" si="134"/>
        <v/>
      </c>
      <c r="O1417" s="4"/>
    </row>
    <row r="1418" spans="1:15" x14ac:dyDescent="0.25">
      <c r="A1418" s="14"/>
      <c r="B1418" s="14"/>
      <c r="C1418" s="14"/>
      <c r="D1418" s="5" t="str">
        <f t="shared" si="135"/>
        <v/>
      </c>
      <c r="E1418" s="5" t="str">
        <f t="shared" si="136"/>
        <v/>
      </c>
      <c r="F1418" s="5" t="str">
        <f t="shared" si="137"/>
        <v/>
      </c>
      <c r="G1418" s="23"/>
      <c r="H1418" s="66"/>
      <c r="I1418" s="14"/>
      <c r="J1418" s="14"/>
      <c r="K1418" s="14"/>
      <c r="L1418" s="5" t="str">
        <f t="shared" ref="L1418:L1481" si="138">IFERROR(IF(I1418&lt;&gt;"",(((J1418-J1417)*$X$4/(I1418-I1417)))*$X$5,""),"")</f>
        <v/>
      </c>
      <c r="M1418" s="5" t="str">
        <f t="shared" ref="M1418:M1481" si="139">IFERROR(IF(I1418&lt;&gt;"",(((K1418-K1417)*$X$4/(I1418-I1417)))*$X$5,""),"")</f>
        <v/>
      </c>
      <c r="N1418" s="5" t="str">
        <f t="shared" ref="N1418:N1481" si="140">IFERROR(IF(I1418&lt;&gt;"",((ACOS((COS(RADIANS(J1417))*COS(RADIANS(J1418)))+(SIN(RADIANS(J1417))*SIN(RADIANS(J1418)))*COS(RADIANS(K1418-K1417)))*180/PI()*($X$4/(I1418-I1417))))*$X$5,""),"")</f>
        <v/>
      </c>
      <c r="O1418" s="4"/>
    </row>
    <row r="1419" spans="1:15" x14ac:dyDescent="0.25">
      <c r="A1419" s="14"/>
      <c r="B1419" s="14"/>
      <c r="C1419" s="14"/>
      <c r="D1419" s="5" t="str">
        <f t="shared" si="135"/>
        <v/>
      </c>
      <c r="E1419" s="5" t="str">
        <f t="shared" si="136"/>
        <v/>
      </c>
      <c r="F1419" s="5" t="str">
        <f t="shared" si="137"/>
        <v/>
      </c>
      <c r="G1419" s="23"/>
      <c r="H1419" s="66"/>
      <c r="I1419" s="14"/>
      <c r="J1419" s="14"/>
      <c r="K1419" s="14"/>
      <c r="L1419" s="5" t="str">
        <f t="shared" si="138"/>
        <v/>
      </c>
      <c r="M1419" s="5" t="str">
        <f t="shared" si="139"/>
        <v/>
      </c>
      <c r="N1419" s="5" t="str">
        <f t="shared" si="140"/>
        <v/>
      </c>
      <c r="O1419" s="4"/>
    </row>
    <row r="1420" spans="1:15" x14ac:dyDescent="0.25">
      <c r="A1420" s="14"/>
      <c r="B1420" s="14"/>
      <c r="C1420" s="14"/>
      <c r="D1420" s="5" t="str">
        <f t="shared" si="135"/>
        <v/>
      </c>
      <c r="E1420" s="5" t="str">
        <f t="shared" si="136"/>
        <v/>
      </c>
      <c r="F1420" s="5" t="str">
        <f t="shared" si="137"/>
        <v/>
      </c>
      <c r="G1420" s="23"/>
      <c r="H1420" s="66"/>
      <c r="I1420" s="14"/>
      <c r="J1420" s="14"/>
      <c r="K1420" s="14"/>
      <c r="L1420" s="5" t="str">
        <f t="shared" si="138"/>
        <v/>
      </c>
      <c r="M1420" s="5" t="str">
        <f t="shared" si="139"/>
        <v/>
      </c>
      <c r="N1420" s="5" t="str">
        <f t="shared" si="140"/>
        <v/>
      </c>
      <c r="O1420" s="4"/>
    </row>
    <row r="1421" spans="1:15" x14ac:dyDescent="0.25">
      <c r="A1421" s="14"/>
      <c r="B1421" s="14"/>
      <c r="C1421" s="14"/>
      <c r="D1421" s="5" t="str">
        <f t="shared" si="135"/>
        <v/>
      </c>
      <c r="E1421" s="5" t="str">
        <f t="shared" si="136"/>
        <v/>
      </c>
      <c r="F1421" s="5" t="str">
        <f t="shared" si="137"/>
        <v/>
      </c>
      <c r="G1421" s="23"/>
      <c r="H1421" s="66"/>
      <c r="I1421" s="14"/>
      <c r="J1421" s="14"/>
      <c r="K1421" s="14"/>
      <c r="L1421" s="5" t="str">
        <f t="shared" si="138"/>
        <v/>
      </c>
      <c r="M1421" s="5" t="str">
        <f t="shared" si="139"/>
        <v/>
      </c>
      <c r="N1421" s="5" t="str">
        <f t="shared" si="140"/>
        <v/>
      </c>
      <c r="O1421" s="4"/>
    </row>
    <row r="1422" spans="1:15" x14ac:dyDescent="0.25">
      <c r="A1422" s="14"/>
      <c r="B1422" s="14"/>
      <c r="C1422" s="14"/>
      <c r="D1422" s="5" t="str">
        <f t="shared" si="135"/>
        <v/>
      </c>
      <c r="E1422" s="5" t="str">
        <f t="shared" si="136"/>
        <v/>
      </c>
      <c r="F1422" s="5" t="str">
        <f t="shared" si="137"/>
        <v/>
      </c>
      <c r="G1422" s="23"/>
      <c r="H1422" s="66"/>
      <c r="I1422" s="14"/>
      <c r="J1422" s="14"/>
      <c r="K1422" s="14"/>
      <c r="L1422" s="5" t="str">
        <f t="shared" si="138"/>
        <v/>
      </c>
      <c r="M1422" s="5" t="str">
        <f t="shared" si="139"/>
        <v/>
      </c>
      <c r="N1422" s="5" t="str">
        <f t="shared" si="140"/>
        <v/>
      </c>
      <c r="O1422" s="4"/>
    </row>
    <row r="1423" spans="1:15" x14ac:dyDescent="0.25">
      <c r="A1423" s="14"/>
      <c r="B1423" s="14"/>
      <c r="C1423" s="14"/>
      <c r="D1423" s="5" t="str">
        <f t="shared" si="135"/>
        <v/>
      </c>
      <c r="E1423" s="5" t="str">
        <f t="shared" si="136"/>
        <v/>
      </c>
      <c r="F1423" s="5" t="str">
        <f t="shared" si="137"/>
        <v/>
      </c>
      <c r="G1423" s="23"/>
      <c r="H1423" s="66"/>
      <c r="I1423" s="14"/>
      <c r="J1423" s="14"/>
      <c r="K1423" s="14"/>
      <c r="L1423" s="5" t="str">
        <f t="shared" si="138"/>
        <v/>
      </c>
      <c r="M1423" s="5" t="str">
        <f t="shared" si="139"/>
        <v/>
      </c>
      <c r="N1423" s="5" t="str">
        <f t="shared" si="140"/>
        <v/>
      </c>
      <c r="O1423" s="4"/>
    </row>
    <row r="1424" spans="1:15" x14ac:dyDescent="0.25">
      <c r="A1424" s="14"/>
      <c r="B1424" s="14"/>
      <c r="C1424" s="14"/>
      <c r="D1424" s="5" t="str">
        <f t="shared" si="135"/>
        <v/>
      </c>
      <c r="E1424" s="5" t="str">
        <f t="shared" si="136"/>
        <v/>
      </c>
      <c r="F1424" s="5" t="str">
        <f t="shared" si="137"/>
        <v/>
      </c>
      <c r="G1424" s="23"/>
      <c r="H1424" s="66"/>
      <c r="I1424" s="14"/>
      <c r="J1424" s="14"/>
      <c r="K1424" s="14"/>
      <c r="L1424" s="5" t="str">
        <f t="shared" si="138"/>
        <v/>
      </c>
      <c r="M1424" s="5" t="str">
        <f t="shared" si="139"/>
        <v/>
      </c>
      <c r="N1424" s="5" t="str">
        <f t="shared" si="140"/>
        <v/>
      </c>
      <c r="O1424" s="4"/>
    </row>
    <row r="1425" spans="1:15" x14ac:dyDescent="0.25">
      <c r="A1425" s="14"/>
      <c r="B1425" s="14"/>
      <c r="C1425" s="14"/>
      <c r="D1425" s="5" t="str">
        <f t="shared" si="135"/>
        <v/>
      </c>
      <c r="E1425" s="5" t="str">
        <f t="shared" si="136"/>
        <v/>
      </c>
      <c r="F1425" s="5" t="str">
        <f t="shared" si="137"/>
        <v/>
      </c>
      <c r="G1425" s="23"/>
      <c r="H1425" s="66"/>
      <c r="I1425" s="14"/>
      <c r="J1425" s="14"/>
      <c r="K1425" s="14"/>
      <c r="L1425" s="5" t="str">
        <f t="shared" si="138"/>
        <v/>
      </c>
      <c r="M1425" s="5" t="str">
        <f t="shared" si="139"/>
        <v/>
      </c>
      <c r="N1425" s="5" t="str">
        <f t="shared" si="140"/>
        <v/>
      </c>
      <c r="O1425" s="4"/>
    </row>
    <row r="1426" spans="1:15" x14ac:dyDescent="0.25">
      <c r="A1426" s="14"/>
      <c r="B1426" s="14"/>
      <c r="C1426" s="14"/>
      <c r="D1426" s="5" t="str">
        <f t="shared" si="135"/>
        <v/>
      </c>
      <c r="E1426" s="5" t="str">
        <f t="shared" si="136"/>
        <v/>
      </c>
      <c r="F1426" s="5" t="str">
        <f t="shared" si="137"/>
        <v/>
      </c>
      <c r="G1426" s="23"/>
      <c r="H1426" s="66"/>
      <c r="I1426" s="14"/>
      <c r="J1426" s="14"/>
      <c r="K1426" s="14"/>
      <c r="L1426" s="5" t="str">
        <f t="shared" si="138"/>
        <v/>
      </c>
      <c r="M1426" s="5" t="str">
        <f t="shared" si="139"/>
        <v/>
      </c>
      <c r="N1426" s="5" t="str">
        <f t="shared" si="140"/>
        <v/>
      </c>
      <c r="O1426" s="4"/>
    </row>
    <row r="1427" spans="1:15" x14ac:dyDescent="0.25">
      <c r="A1427" s="14"/>
      <c r="B1427" s="14"/>
      <c r="C1427" s="14"/>
      <c r="D1427" s="5" t="str">
        <f t="shared" si="135"/>
        <v/>
      </c>
      <c r="E1427" s="5" t="str">
        <f t="shared" si="136"/>
        <v/>
      </c>
      <c r="F1427" s="5" t="str">
        <f t="shared" si="137"/>
        <v/>
      </c>
      <c r="G1427" s="23"/>
      <c r="H1427" s="66"/>
      <c r="I1427" s="14"/>
      <c r="J1427" s="14"/>
      <c r="K1427" s="14"/>
      <c r="L1427" s="5" t="str">
        <f t="shared" si="138"/>
        <v/>
      </c>
      <c r="M1427" s="5" t="str">
        <f t="shared" si="139"/>
        <v/>
      </c>
      <c r="N1427" s="5" t="str">
        <f t="shared" si="140"/>
        <v/>
      </c>
      <c r="O1427" s="4"/>
    </row>
    <row r="1428" spans="1:15" x14ac:dyDescent="0.25">
      <c r="A1428" s="14"/>
      <c r="B1428" s="14"/>
      <c r="C1428" s="14"/>
      <c r="D1428" s="5" t="str">
        <f t="shared" si="135"/>
        <v/>
      </c>
      <c r="E1428" s="5" t="str">
        <f t="shared" si="136"/>
        <v/>
      </c>
      <c r="F1428" s="5" t="str">
        <f t="shared" si="137"/>
        <v/>
      </c>
      <c r="G1428" s="23"/>
      <c r="H1428" s="66"/>
      <c r="I1428" s="14"/>
      <c r="J1428" s="14"/>
      <c r="K1428" s="14"/>
      <c r="L1428" s="5" t="str">
        <f t="shared" si="138"/>
        <v/>
      </c>
      <c r="M1428" s="5" t="str">
        <f t="shared" si="139"/>
        <v/>
      </c>
      <c r="N1428" s="5" t="str">
        <f t="shared" si="140"/>
        <v/>
      </c>
      <c r="O1428" s="4"/>
    </row>
    <row r="1429" spans="1:15" x14ac:dyDescent="0.25">
      <c r="A1429" s="14"/>
      <c r="B1429" s="14"/>
      <c r="C1429" s="14"/>
      <c r="D1429" s="5" t="str">
        <f t="shared" si="135"/>
        <v/>
      </c>
      <c r="E1429" s="5" t="str">
        <f t="shared" si="136"/>
        <v/>
      </c>
      <c r="F1429" s="5" t="str">
        <f t="shared" si="137"/>
        <v/>
      </c>
      <c r="G1429" s="23"/>
      <c r="H1429" s="66"/>
      <c r="I1429" s="14"/>
      <c r="J1429" s="14"/>
      <c r="K1429" s="14"/>
      <c r="L1429" s="5" t="str">
        <f t="shared" si="138"/>
        <v/>
      </c>
      <c r="M1429" s="5" t="str">
        <f t="shared" si="139"/>
        <v/>
      </c>
      <c r="N1429" s="5" t="str">
        <f t="shared" si="140"/>
        <v/>
      </c>
      <c r="O1429" s="4"/>
    </row>
    <row r="1430" spans="1:15" x14ac:dyDescent="0.25">
      <c r="A1430" s="14"/>
      <c r="B1430" s="14"/>
      <c r="C1430" s="14"/>
      <c r="D1430" s="5" t="str">
        <f t="shared" si="135"/>
        <v/>
      </c>
      <c r="E1430" s="5" t="str">
        <f t="shared" si="136"/>
        <v/>
      </c>
      <c r="F1430" s="5" t="str">
        <f t="shared" si="137"/>
        <v/>
      </c>
      <c r="G1430" s="23"/>
      <c r="H1430" s="66"/>
      <c r="I1430" s="14"/>
      <c r="J1430" s="14"/>
      <c r="K1430" s="14"/>
      <c r="L1430" s="5" t="str">
        <f t="shared" si="138"/>
        <v/>
      </c>
      <c r="M1430" s="5" t="str">
        <f t="shared" si="139"/>
        <v/>
      </c>
      <c r="N1430" s="5" t="str">
        <f t="shared" si="140"/>
        <v/>
      </c>
      <c r="O1430" s="4"/>
    </row>
    <row r="1431" spans="1:15" x14ac:dyDescent="0.25">
      <c r="A1431" s="14"/>
      <c r="B1431" s="14"/>
      <c r="C1431" s="14"/>
      <c r="D1431" s="5" t="str">
        <f t="shared" si="135"/>
        <v/>
      </c>
      <c r="E1431" s="5" t="str">
        <f t="shared" si="136"/>
        <v/>
      </c>
      <c r="F1431" s="5" t="str">
        <f t="shared" si="137"/>
        <v/>
      </c>
      <c r="G1431" s="23"/>
      <c r="H1431" s="66"/>
      <c r="I1431" s="14"/>
      <c r="J1431" s="14"/>
      <c r="K1431" s="14"/>
      <c r="L1431" s="5" t="str">
        <f t="shared" si="138"/>
        <v/>
      </c>
      <c r="M1431" s="5" t="str">
        <f t="shared" si="139"/>
        <v/>
      </c>
      <c r="N1431" s="5" t="str">
        <f t="shared" si="140"/>
        <v/>
      </c>
      <c r="O1431" s="4"/>
    </row>
    <row r="1432" spans="1:15" x14ac:dyDescent="0.25">
      <c r="A1432" s="14"/>
      <c r="B1432" s="14"/>
      <c r="C1432" s="14"/>
      <c r="D1432" s="5" t="str">
        <f t="shared" si="135"/>
        <v/>
      </c>
      <c r="E1432" s="5" t="str">
        <f t="shared" si="136"/>
        <v/>
      </c>
      <c r="F1432" s="5" t="str">
        <f t="shared" si="137"/>
        <v/>
      </c>
      <c r="G1432" s="23"/>
      <c r="H1432" s="66"/>
      <c r="I1432" s="14"/>
      <c r="J1432" s="14"/>
      <c r="K1432" s="14"/>
      <c r="L1432" s="5" t="str">
        <f t="shared" si="138"/>
        <v/>
      </c>
      <c r="M1432" s="5" t="str">
        <f t="shared" si="139"/>
        <v/>
      </c>
      <c r="N1432" s="5" t="str">
        <f t="shared" si="140"/>
        <v/>
      </c>
      <c r="O1432" s="4"/>
    </row>
    <row r="1433" spans="1:15" x14ac:dyDescent="0.25">
      <c r="A1433" s="14"/>
      <c r="B1433" s="14"/>
      <c r="C1433" s="14"/>
      <c r="D1433" s="5" t="str">
        <f t="shared" ref="D1433:D1496" si="141">IFERROR( IF(A1433&lt;&gt;"",((B1433-B1432)*$X$4/(A1433-A1432))*$X$5,""),"")</f>
        <v/>
      </c>
      <c r="E1433" s="5" t="str">
        <f t="shared" ref="E1433:E1496" si="142">IFERROR(IF(A1433&lt;&gt;"",((C1433-C1432)*$X$4/(A1433-A1432))*$X$5,""),"")</f>
        <v/>
      </c>
      <c r="F1433" s="5" t="str">
        <f t="shared" ref="F1433:F1496" si="143">IFERROR(IF(A1433&lt;&gt;"",((ACOS((COS(RADIANS(B1432))*COS(RADIANS(B1433)))+(SIN(RADIANS(B1432))*SIN(RADIANS(B1433)))*COS(RADIANS(C1433-C1432)))*180/PI()*($X$4/(A1433-A1432))))*$X$5,""),"")</f>
        <v/>
      </c>
      <c r="G1433" s="23"/>
      <c r="H1433" s="66"/>
      <c r="I1433" s="14"/>
      <c r="J1433" s="14"/>
      <c r="K1433" s="14"/>
      <c r="L1433" s="5" t="str">
        <f t="shared" si="138"/>
        <v/>
      </c>
      <c r="M1433" s="5" t="str">
        <f t="shared" si="139"/>
        <v/>
      </c>
      <c r="N1433" s="5" t="str">
        <f t="shared" si="140"/>
        <v/>
      </c>
      <c r="O1433" s="4"/>
    </row>
    <row r="1434" spans="1:15" x14ac:dyDescent="0.25">
      <c r="A1434" s="14"/>
      <c r="B1434" s="14"/>
      <c r="C1434" s="14"/>
      <c r="D1434" s="5" t="str">
        <f t="shared" si="141"/>
        <v/>
      </c>
      <c r="E1434" s="5" t="str">
        <f t="shared" si="142"/>
        <v/>
      </c>
      <c r="F1434" s="5" t="str">
        <f t="shared" si="143"/>
        <v/>
      </c>
      <c r="G1434" s="23"/>
      <c r="H1434" s="66"/>
      <c r="I1434" s="14"/>
      <c r="J1434" s="14"/>
      <c r="K1434" s="14"/>
      <c r="L1434" s="5" t="str">
        <f t="shared" si="138"/>
        <v/>
      </c>
      <c r="M1434" s="5" t="str">
        <f t="shared" si="139"/>
        <v/>
      </c>
      <c r="N1434" s="5" t="str">
        <f t="shared" si="140"/>
        <v/>
      </c>
      <c r="O1434" s="4"/>
    </row>
    <row r="1435" spans="1:15" x14ac:dyDescent="0.25">
      <c r="A1435" s="14"/>
      <c r="B1435" s="14"/>
      <c r="C1435" s="14"/>
      <c r="D1435" s="5" t="str">
        <f t="shared" si="141"/>
        <v/>
      </c>
      <c r="E1435" s="5" t="str">
        <f t="shared" si="142"/>
        <v/>
      </c>
      <c r="F1435" s="5" t="str">
        <f t="shared" si="143"/>
        <v/>
      </c>
      <c r="G1435" s="23"/>
      <c r="H1435" s="66"/>
      <c r="I1435" s="14"/>
      <c r="J1435" s="14"/>
      <c r="K1435" s="14"/>
      <c r="L1435" s="5" t="str">
        <f t="shared" si="138"/>
        <v/>
      </c>
      <c r="M1435" s="5" t="str">
        <f t="shared" si="139"/>
        <v/>
      </c>
      <c r="N1435" s="5" t="str">
        <f t="shared" si="140"/>
        <v/>
      </c>
      <c r="O1435" s="4"/>
    </row>
    <row r="1436" spans="1:15" x14ac:dyDescent="0.25">
      <c r="A1436" s="14"/>
      <c r="B1436" s="14"/>
      <c r="C1436" s="14"/>
      <c r="D1436" s="5" t="str">
        <f t="shared" si="141"/>
        <v/>
      </c>
      <c r="E1436" s="5" t="str">
        <f t="shared" si="142"/>
        <v/>
      </c>
      <c r="F1436" s="5" t="str">
        <f t="shared" si="143"/>
        <v/>
      </c>
      <c r="G1436" s="23"/>
      <c r="H1436" s="66"/>
      <c r="I1436" s="14"/>
      <c r="J1436" s="14"/>
      <c r="K1436" s="14"/>
      <c r="L1436" s="5" t="str">
        <f t="shared" si="138"/>
        <v/>
      </c>
      <c r="M1436" s="5" t="str">
        <f t="shared" si="139"/>
        <v/>
      </c>
      <c r="N1436" s="5" t="str">
        <f t="shared" si="140"/>
        <v/>
      </c>
      <c r="O1436" s="4"/>
    </row>
    <row r="1437" spans="1:15" x14ac:dyDescent="0.25">
      <c r="A1437" s="14"/>
      <c r="B1437" s="14"/>
      <c r="C1437" s="14"/>
      <c r="D1437" s="5" t="str">
        <f t="shared" si="141"/>
        <v/>
      </c>
      <c r="E1437" s="5" t="str">
        <f t="shared" si="142"/>
        <v/>
      </c>
      <c r="F1437" s="5" t="str">
        <f t="shared" si="143"/>
        <v/>
      </c>
      <c r="G1437" s="23"/>
      <c r="H1437" s="66"/>
      <c r="I1437" s="14"/>
      <c r="J1437" s="14"/>
      <c r="K1437" s="14"/>
      <c r="L1437" s="5" t="str">
        <f t="shared" si="138"/>
        <v/>
      </c>
      <c r="M1437" s="5" t="str">
        <f t="shared" si="139"/>
        <v/>
      </c>
      <c r="N1437" s="5" t="str">
        <f t="shared" si="140"/>
        <v/>
      </c>
      <c r="O1437" s="4"/>
    </row>
    <row r="1438" spans="1:15" x14ac:dyDescent="0.25">
      <c r="A1438" s="14"/>
      <c r="B1438" s="14"/>
      <c r="C1438" s="14"/>
      <c r="D1438" s="5" t="str">
        <f t="shared" si="141"/>
        <v/>
      </c>
      <c r="E1438" s="5" t="str">
        <f t="shared" si="142"/>
        <v/>
      </c>
      <c r="F1438" s="5" t="str">
        <f t="shared" si="143"/>
        <v/>
      </c>
      <c r="G1438" s="23"/>
      <c r="H1438" s="66"/>
      <c r="I1438" s="14"/>
      <c r="J1438" s="14"/>
      <c r="K1438" s="14"/>
      <c r="L1438" s="5" t="str">
        <f t="shared" si="138"/>
        <v/>
      </c>
      <c r="M1438" s="5" t="str">
        <f t="shared" si="139"/>
        <v/>
      </c>
      <c r="N1438" s="5" t="str">
        <f t="shared" si="140"/>
        <v/>
      </c>
      <c r="O1438" s="4"/>
    </row>
    <row r="1439" spans="1:15" x14ac:dyDescent="0.25">
      <c r="A1439" s="14"/>
      <c r="B1439" s="14"/>
      <c r="C1439" s="14"/>
      <c r="D1439" s="5" t="str">
        <f t="shared" si="141"/>
        <v/>
      </c>
      <c r="E1439" s="5" t="str">
        <f t="shared" si="142"/>
        <v/>
      </c>
      <c r="F1439" s="5" t="str">
        <f t="shared" si="143"/>
        <v/>
      </c>
      <c r="G1439" s="23"/>
      <c r="H1439" s="66"/>
      <c r="I1439" s="14"/>
      <c r="J1439" s="14"/>
      <c r="K1439" s="14"/>
      <c r="L1439" s="5" t="str">
        <f t="shared" si="138"/>
        <v/>
      </c>
      <c r="M1439" s="5" t="str">
        <f t="shared" si="139"/>
        <v/>
      </c>
      <c r="N1439" s="5" t="str">
        <f t="shared" si="140"/>
        <v/>
      </c>
      <c r="O1439" s="4"/>
    </row>
    <row r="1440" spans="1:15" x14ac:dyDescent="0.25">
      <c r="A1440" s="14"/>
      <c r="B1440" s="14"/>
      <c r="C1440" s="14"/>
      <c r="D1440" s="5" t="str">
        <f t="shared" si="141"/>
        <v/>
      </c>
      <c r="E1440" s="5" t="str">
        <f t="shared" si="142"/>
        <v/>
      </c>
      <c r="F1440" s="5" t="str">
        <f t="shared" si="143"/>
        <v/>
      </c>
      <c r="G1440" s="23"/>
      <c r="H1440" s="66"/>
      <c r="I1440" s="14"/>
      <c r="J1440" s="14"/>
      <c r="K1440" s="14"/>
      <c r="L1440" s="5" t="str">
        <f t="shared" si="138"/>
        <v/>
      </c>
      <c r="M1440" s="5" t="str">
        <f t="shared" si="139"/>
        <v/>
      </c>
      <c r="N1440" s="5" t="str">
        <f t="shared" si="140"/>
        <v/>
      </c>
      <c r="O1440" s="4"/>
    </row>
    <row r="1441" spans="1:15" x14ac:dyDescent="0.25">
      <c r="A1441" s="14"/>
      <c r="B1441" s="14"/>
      <c r="C1441" s="14"/>
      <c r="D1441" s="5" t="str">
        <f t="shared" si="141"/>
        <v/>
      </c>
      <c r="E1441" s="5" t="str">
        <f t="shared" si="142"/>
        <v/>
      </c>
      <c r="F1441" s="5" t="str">
        <f t="shared" si="143"/>
        <v/>
      </c>
      <c r="G1441" s="23"/>
      <c r="H1441" s="66"/>
      <c r="I1441" s="14"/>
      <c r="J1441" s="14"/>
      <c r="K1441" s="14"/>
      <c r="L1441" s="5" t="str">
        <f t="shared" si="138"/>
        <v/>
      </c>
      <c r="M1441" s="5" t="str">
        <f t="shared" si="139"/>
        <v/>
      </c>
      <c r="N1441" s="5" t="str">
        <f t="shared" si="140"/>
        <v/>
      </c>
      <c r="O1441" s="4"/>
    </row>
    <row r="1442" spans="1:15" x14ac:dyDescent="0.25">
      <c r="A1442" s="14"/>
      <c r="B1442" s="14"/>
      <c r="C1442" s="14"/>
      <c r="D1442" s="5" t="str">
        <f t="shared" si="141"/>
        <v/>
      </c>
      <c r="E1442" s="5" t="str">
        <f t="shared" si="142"/>
        <v/>
      </c>
      <c r="F1442" s="5" t="str">
        <f t="shared" si="143"/>
        <v/>
      </c>
      <c r="G1442" s="23"/>
      <c r="H1442" s="66"/>
      <c r="I1442" s="14"/>
      <c r="J1442" s="14"/>
      <c r="K1442" s="14"/>
      <c r="L1442" s="5" t="str">
        <f t="shared" si="138"/>
        <v/>
      </c>
      <c r="M1442" s="5" t="str">
        <f t="shared" si="139"/>
        <v/>
      </c>
      <c r="N1442" s="5" t="str">
        <f t="shared" si="140"/>
        <v/>
      </c>
      <c r="O1442" s="4"/>
    </row>
    <row r="1443" spans="1:15" x14ac:dyDescent="0.25">
      <c r="A1443" s="14"/>
      <c r="B1443" s="14"/>
      <c r="C1443" s="14"/>
      <c r="D1443" s="5" t="str">
        <f t="shared" si="141"/>
        <v/>
      </c>
      <c r="E1443" s="5" t="str">
        <f t="shared" si="142"/>
        <v/>
      </c>
      <c r="F1443" s="5" t="str">
        <f t="shared" si="143"/>
        <v/>
      </c>
      <c r="G1443" s="23"/>
      <c r="H1443" s="66"/>
      <c r="I1443" s="14"/>
      <c r="J1443" s="14"/>
      <c r="K1443" s="14"/>
      <c r="L1443" s="5" t="str">
        <f t="shared" si="138"/>
        <v/>
      </c>
      <c r="M1443" s="5" t="str">
        <f t="shared" si="139"/>
        <v/>
      </c>
      <c r="N1443" s="5" t="str">
        <f t="shared" si="140"/>
        <v/>
      </c>
      <c r="O1443" s="4"/>
    </row>
    <row r="1444" spans="1:15" x14ac:dyDescent="0.25">
      <c r="A1444" s="14"/>
      <c r="B1444" s="14"/>
      <c r="C1444" s="14"/>
      <c r="D1444" s="5" t="str">
        <f t="shared" si="141"/>
        <v/>
      </c>
      <c r="E1444" s="5" t="str">
        <f t="shared" si="142"/>
        <v/>
      </c>
      <c r="F1444" s="5" t="str">
        <f t="shared" si="143"/>
        <v/>
      </c>
      <c r="G1444" s="23"/>
      <c r="H1444" s="66"/>
      <c r="I1444" s="14"/>
      <c r="J1444" s="14"/>
      <c r="K1444" s="14"/>
      <c r="L1444" s="5" t="str">
        <f t="shared" si="138"/>
        <v/>
      </c>
      <c r="M1444" s="5" t="str">
        <f t="shared" si="139"/>
        <v/>
      </c>
      <c r="N1444" s="5" t="str">
        <f t="shared" si="140"/>
        <v/>
      </c>
      <c r="O1444" s="4"/>
    </row>
    <row r="1445" spans="1:15" x14ac:dyDescent="0.25">
      <c r="A1445" s="14"/>
      <c r="B1445" s="14"/>
      <c r="C1445" s="14"/>
      <c r="D1445" s="5" t="str">
        <f t="shared" si="141"/>
        <v/>
      </c>
      <c r="E1445" s="5" t="str">
        <f t="shared" si="142"/>
        <v/>
      </c>
      <c r="F1445" s="5" t="str">
        <f t="shared" si="143"/>
        <v/>
      </c>
      <c r="G1445" s="23"/>
      <c r="H1445" s="66"/>
      <c r="I1445" s="14"/>
      <c r="J1445" s="14"/>
      <c r="K1445" s="14"/>
      <c r="L1445" s="5" t="str">
        <f t="shared" si="138"/>
        <v/>
      </c>
      <c r="M1445" s="5" t="str">
        <f t="shared" si="139"/>
        <v/>
      </c>
      <c r="N1445" s="5" t="str">
        <f t="shared" si="140"/>
        <v/>
      </c>
      <c r="O1445" s="4"/>
    </row>
    <row r="1446" spans="1:15" x14ac:dyDescent="0.25">
      <c r="A1446" s="14"/>
      <c r="B1446" s="14"/>
      <c r="C1446" s="14"/>
      <c r="D1446" s="5" t="str">
        <f t="shared" si="141"/>
        <v/>
      </c>
      <c r="E1446" s="5" t="str">
        <f t="shared" si="142"/>
        <v/>
      </c>
      <c r="F1446" s="5" t="str">
        <f t="shared" si="143"/>
        <v/>
      </c>
      <c r="G1446" s="23"/>
      <c r="H1446" s="66"/>
      <c r="I1446" s="14"/>
      <c r="J1446" s="14"/>
      <c r="K1446" s="14"/>
      <c r="L1446" s="5" t="str">
        <f t="shared" si="138"/>
        <v/>
      </c>
      <c r="M1446" s="5" t="str">
        <f t="shared" si="139"/>
        <v/>
      </c>
      <c r="N1446" s="5" t="str">
        <f t="shared" si="140"/>
        <v/>
      </c>
      <c r="O1446" s="4"/>
    </row>
    <row r="1447" spans="1:15" x14ac:dyDescent="0.25">
      <c r="A1447" s="14"/>
      <c r="B1447" s="14"/>
      <c r="C1447" s="14"/>
      <c r="D1447" s="5" t="str">
        <f t="shared" si="141"/>
        <v/>
      </c>
      <c r="E1447" s="5" t="str">
        <f t="shared" si="142"/>
        <v/>
      </c>
      <c r="F1447" s="5" t="str">
        <f t="shared" si="143"/>
        <v/>
      </c>
      <c r="G1447" s="23"/>
      <c r="H1447" s="66"/>
      <c r="I1447" s="14"/>
      <c r="J1447" s="14"/>
      <c r="K1447" s="14"/>
      <c r="L1447" s="5" t="str">
        <f t="shared" si="138"/>
        <v/>
      </c>
      <c r="M1447" s="5" t="str">
        <f t="shared" si="139"/>
        <v/>
      </c>
      <c r="N1447" s="5" t="str">
        <f t="shared" si="140"/>
        <v/>
      </c>
      <c r="O1447" s="4"/>
    </row>
    <row r="1448" spans="1:15" x14ac:dyDescent="0.25">
      <c r="A1448" s="14"/>
      <c r="B1448" s="14"/>
      <c r="C1448" s="14"/>
      <c r="D1448" s="5" t="str">
        <f t="shared" si="141"/>
        <v/>
      </c>
      <c r="E1448" s="5" t="str">
        <f t="shared" si="142"/>
        <v/>
      </c>
      <c r="F1448" s="5" t="str">
        <f t="shared" si="143"/>
        <v/>
      </c>
      <c r="G1448" s="23"/>
      <c r="H1448" s="66"/>
      <c r="I1448" s="14"/>
      <c r="J1448" s="14"/>
      <c r="K1448" s="14"/>
      <c r="L1448" s="5" t="str">
        <f t="shared" si="138"/>
        <v/>
      </c>
      <c r="M1448" s="5" t="str">
        <f t="shared" si="139"/>
        <v/>
      </c>
      <c r="N1448" s="5" t="str">
        <f t="shared" si="140"/>
        <v/>
      </c>
      <c r="O1448" s="4"/>
    </row>
    <row r="1449" spans="1:15" x14ac:dyDescent="0.25">
      <c r="A1449" s="14"/>
      <c r="B1449" s="14"/>
      <c r="C1449" s="14"/>
      <c r="D1449" s="5" t="str">
        <f t="shared" si="141"/>
        <v/>
      </c>
      <c r="E1449" s="5" t="str">
        <f t="shared" si="142"/>
        <v/>
      </c>
      <c r="F1449" s="5" t="str">
        <f t="shared" si="143"/>
        <v/>
      </c>
      <c r="G1449" s="23"/>
      <c r="H1449" s="66"/>
      <c r="I1449" s="14"/>
      <c r="J1449" s="14"/>
      <c r="K1449" s="14"/>
      <c r="L1449" s="5" t="str">
        <f t="shared" si="138"/>
        <v/>
      </c>
      <c r="M1449" s="5" t="str">
        <f t="shared" si="139"/>
        <v/>
      </c>
      <c r="N1449" s="5" t="str">
        <f t="shared" si="140"/>
        <v/>
      </c>
      <c r="O1449" s="4"/>
    </row>
    <row r="1450" spans="1:15" x14ac:dyDescent="0.25">
      <c r="A1450" s="14"/>
      <c r="B1450" s="14"/>
      <c r="C1450" s="14"/>
      <c r="D1450" s="5" t="str">
        <f t="shared" si="141"/>
        <v/>
      </c>
      <c r="E1450" s="5" t="str">
        <f t="shared" si="142"/>
        <v/>
      </c>
      <c r="F1450" s="5" t="str">
        <f t="shared" si="143"/>
        <v/>
      </c>
      <c r="G1450" s="23"/>
      <c r="H1450" s="66"/>
      <c r="I1450" s="14"/>
      <c r="J1450" s="14"/>
      <c r="K1450" s="14"/>
      <c r="L1450" s="5" t="str">
        <f t="shared" si="138"/>
        <v/>
      </c>
      <c r="M1450" s="5" t="str">
        <f t="shared" si="139"/>
        <v/>
      </c>
      <c r="N1450" s="5" t="str">
        <f t="shared" si="140"/>
        <v/>
      </c>
      <c r="O1450" s="4"/>
    </row>
    <row r="1451" spans="1:15" x14ac:dyDescent="0.25">
      <c r="A1451" s="14"/>
      <c r="B1451" s="14"/>
      <c r="C1451" s="14"/>
      <c r="D1451" s="5" t="str">
        <f t="shared" si="141"/>
        <v/>
      </c>
      <c r="E1451" s="5" t="str">
        <f t="shared" si="142"/>
        <v/>
      </c>
      <c r="F1451" s="5" t="str">
        <f t="shared" si="143"/>
        <v/>
      </c>
      <c r="G1451" s="23"/>
      <c r="H1451" s="66"/>
      <c r="I1451" s="14"/>
      <c r="J1451" s="14"/>
      <c r="K1451" s="14"/>
      <c r="L1451" s="5" t="str">
        <f t="shared" si="138"/>
        <v/>
      </c>
      <c r="M1451" s="5" t="str">
        <f t="shared" si="139"/>
        <v/>
      </c>
      <c r="N1451" s="5" t="str">
        <f t="shared" si="140"/>
        <v/>
      </c>
      <c r="O1451" s="4"/>
    </row>
    <row r="1452" spans="1:15" x14ac:dyDescent="0.25">
      <c r="A1452" s="14"/>
      <c r="B1452" s="14"/>
      <c r="C1452" s="14"/>
      <c r="D1452" s="5" t="str">
        <f t="shared" si="141"/>
        <v/>
      </c>
      <c r="E1452" s="5" t="str">
        <f t="shared" si="142"/>
        <v/>
      </c>
      <c r="F1452" s="5" t="str">
        <f t="shared" si="143"/>
        <v/>
      </c>
      <c r="G1452" s="23"/>
      <c r="H1452" s="66"/>
      <c r="I1452" s="14"/>
      <c r="J1452" s="14"/>
      <c r="K1452" s="14"/>
      <c r="L1452" s="5" t="str">
        <f t="shared" si="138"/>
        <v/>
      </c>
      <c r="M1452" s="5" t="str">
        <f t="shared" si="139"/>
        <v/>
      </c>
      <c r="N1452" s="5" t="str">
        <f t="shared" si="140"/>
        <v/>
      </c>
      <c r="O1452" s="4"/>
    </row>
    <row r="1453" spans="1:15" x14ac:dyDescent="0.25">
      <c r="A1453" s="14"/>
      <c r="B1453" s="14"/>
      <c r="C1453" s="14"/>
      <c r="D1453" s="5" t="str">
        <f t="shared" si="141"/>
        <v/>
      </c>
      <c r="E1453" s="5" t="str">
        <f t="shared" si="142"/>
        <v/>
      </c>
      <c r="F1453" s="5" t="str">
        <f t="shared" si="143"/>
        <v/>
      </c>
      <c r="G1453" s="23"/>
      <c r="H1453" s="66"/>
      <c r="I1453" s="14"/>
      <c r="J1453" s="14"/>
      <c r="K1453" s="14"/>
      <c r="L1453" s="5" t="str">
        <f t="shared" si="138"/>
        <v/>
      </c>
      <c r="M1453" s="5" t="str">
        <f t="shared" si="139"/>
        <v/>
      </c>
      <c r="N1453" s="5" t="str">
        <f t="shared" si="140"/>
        <v/>
      </c>
      <c r="O1453" s="4"/>
    </row>
    <row r="1454" spans="1:15" x14ac:dyDescent="0.25">
      <c r="A1454" s="14"/>
      <c r="B1454" s="14"/>
      <c r="C1454" s="14"/>
      <c r="D1454" s="5" t="str">
        <f t="shared" si="141"/>
        <v/>
      </c>
      <c r="E1454" s="5" t="str">
        <f t="shared" si="142"/>
        <v/>
      </c>
      <c r="F1454" s="5" t="str">
        <f t="shared" si="143"/>
        <v/>
      </c>
      <c r="G1454" s="23"/>
      <c r="H1454" s="66"/>
      <c r="I1454" s="14"/>
      <c r="J1454" s="14"/>
      <c r="K1454" s="14"/>
      <c r="L1454" s="5" t="str">
        <f t="shared" si="138"/>
        <v/>
      </c>
      <c r="M1454" s="5" t="str">
        <f t="shared" si="139"/>
        <v/>
      </c>
      <c r="N1454" s="5" t="str">
        <f t="shared" si="140"/>
        <v/>
      </c>
      <c r="O1454" s="4"/>
    </row>
    <row r="1455" spans="1:15" x14ac:dyDescent="0.25">
      <c r="A1455" s="14"/>
      <c r="B1455" s="14"/>
      <c r="C1455" s="14"/>
      <c r="D1455" s="5" t="str">
        <f t="shared" si="141"/>
        <v/>
      </c>
      <c r="E1455" s="5" t="str">
        <f t="shared" si="142"/>
        <v/>
      </c>
      <c r="F1455" s="5" t="str">
        <f t="shared" si="143"/>
        <v/>
      </c>
      <c r="G1455" s="23"/>
      <c r="H1455" s="66"/>
      <c r="I1455" s="14"/>
      <c r="J1455" s="14"/>
      <c r="K1455" s="14"/>
      <c r="L1455" s="5" t="str">
        <f t="shared" si="138"/>
        <v/>
      </c>
      <c r="M1455" s="5" t="str">
        <f t="shared" si="139"/>
        <v/>
      </c>
      <c r="N1455" s="5" t="str">
        <f t="shared" si="140"/>
        <v/>
      </c>
      <c r="O1455" s="4"/>
    </row>
    <row r="1456" spans="1:15" x14ac:dyDescent="0.25">
      <c r="A1456" s="14"/>
      <c r="B1456" s="14"/>
      <c r="C1456" s="14"/>
      <c r="D1456" s="5" t="str">
        <f t="shared" si="141"/>
        <v/>
      </c>
      <c r="E1456" s="5" t="str">
        <f t="shared" si="142"/>
        <v/>
      </c>
      <c r="F1456" s="5" t="str">
        <f t="shared" si="143"/>
        <v/>
      </c>
      <c r="G1456" s="23"/>
      <c r="H1456" s="66"/>
      <c r="I1456" s="14"/>
      <c r="J1456" s="14"/>
      <c r="K1456" s="14"/>
      <c r="L1456" s="5" t="str">
        <f t="shared" si="138"/>
        <v/>
      </c>
      <c r="M1456" s="5" t="str">
        <f t="shared" si="139"/>
        <v/>
      </c>
      <c r="N1456" s="5" t="str">
        <f t="shared" si="140"/>
        <v/>
      </c>
      <c r="O1456" s="4"/>
    </row>
    <row r="1457" spans="1:15" x14ac:dyDescent="0.25">
      <c r="A1457" s="14"/>
      <c r="B1457" s="14"/>
      <c r="C1457" s="14"/>
      <c r="D1457" s="5" t="str">
        <f t="shared" si="141"/>
        <v/>
      </c>
      <c r="E1457" s="5" t="str">
        <f t="shared" si="142"/>
        <v/>
      </c>
      <c r="F1457" s="5" t="str">
        <f t="shared" si="143"/>
        <v/>
      </c>
      <c r="G1457" s="23"/>
      <c r="H1457" s="66"/>
      <c r="I1457" s="14"/>
      <c r="J1457" s="14"/>
      <c r="K1457" s="14"/>
      <c r="L1457" s="5" t="str">
        <f t="shared" si="138"/>
        <v/>
      </c>
      <c r="M1457" s="5" t="str">
        <f t="shared" si="139"/>
        <v/>
      </c>
      <c r="N1457" s="5" t="str">
        <f t="shared" si="140"/>
        <v/>
      </c>
      <c r="O1457" s="4"/>
    </row>
    <row r="1458" spans="1:15" x14ac:dyDescent="0.25">
      <c r="A1458" s="14"/>
      <c r="B1458" s="14"/>
      <c r="C1458" s="14"/>
      <c r="D1458" s="5" t="str">
        <f t="shared" si="141"/>
        <v/>
      </c>
      <c r="E1458" s="5" t="str">
        <f t="shared" si="142"/>
        <v/>
      </c>
      <c r="F1458" s="5" t="str">
        <f t="shared" si="143"/>
        <v/>
      </c>
      <c r="G1458" s="23"/>
      <c r="H1458" s="66"/>
      <c r="I1458" s="14"/>
      <c r="J1458" s="14"/>
      <c r="K1458" s="14"/>
      <c r="L1458" s="5" t="str">
        <f t="shared" si="138"/>
        <v/>
      </c>
      <c r="M1458" s="5" t="str">
        <f t="shared" si="139"/>
        <v/>
      </c>
      <c r="N1458" s="5" t="str">
        <f t="shared" si="140"/>
        <v/>
      </c>
      <c r="O1458" s="4"/>
    </row>
    <row r="1459" spans="1:15" x14ac:dyDescent="0.25">
      <c r="A1459" s="14"/>
      <c r="B1459" s="14"/>
      <c r="C1459" s="14"/>
      <c r="D1459" s="5" t="str">
        <f t="shared" si="141"/>
        <v/>
      </c>
      <c r="E1459" s="5" t="str">
        <f t="shared" si="142"/>
        <v/>
      </c>
      <c r="F1459" s="5" t="str">
        <f t="shared" si="143"/>
        <v/>
      </c>
      <c r="G1459" s="23"/>
      <c r="H1459" s="66"/>
      <c r="I1459" s="14"/>
      <c r="J1459" s="14"/>
      <c r="K1459" s="14"/>
      <c r="L1459" s="5" t="str">
        <f t="shared" si="138"/>
        <v/>
      </c>
      <c r="M1459" s="5" t="str">
        <f t="shared" si="139"/>
        <v/>
      </c>
      <c r="N1459" s="5" t="str">
        <f t="shared" si="140"/>
        <v/>
      </c>
      <c r="O1459" s="4"/>
    </row>
    <row r="1460" spans="1:15" x14ac:dyDescent="0.25">
      <c r="A1460" s="14"/>
      <c r="B1460" s="14"/>
      <c r="C1460" s="14"/>
      <c r="D1460" s="5" t="str">
        <f t="shared" si="141"/>
        <v/>
      </c>
      <c r="E1460" s="5" t="str">
        <f t="shared" si="142"/>
        <v/>
      </c>
      <c r="F1460" s="5" t="str">
        <f t="shared" si="143"/>
        <v/>
      </c>
      <c r="G1460" s="23"/>
      <c r="H1460" s="66"/>
      <c r="I1460" s="14"/>
      <c r="J1460" s="14"/>
      <c r="K1460" s="14"/>
      <c r="L1460" s="5" t="str">
        <f t="shared" si="138"/>
        <v/>
      </c>
      <c r="M1460" s="5" t="str">
        <f t="shared" si="139"/>
        <v/>
      </c>
      <c r="N1460" s="5" t="str">
        <f t="shared" si="140"/>
        <v/>
      </c>
      <c r="O1460" s="4"/>
    </row>
    <row r="1461" spans="1:15" x14ac:dyDescent="0.25">
      <c r="A1461" s="14"/>
      <c r="B1461" s="14"/>
      <c r="C1461" s="14"/>
      <c r="D1461" s="5" t="str">
        <f t="shared" si="141"/>
        <v/>
      </c>
      <c r="E1461" s="5" t="str">
        <f t="shared" si="142"/>
        <v/>
      </c>
      <c r="F1461" s="5" t="str">
        <f t="shared" si="143"/>
        <v/>
      </c>
      <c r="G1461" s="23"/>
      <c r="H1461" s="66"/>
      <c r="I1461" s="14"/>
      <c r="J1461" s="14"/>
      <c r="K1461" s="14"/>
      <c r="L1461" s="5" t="str">
        <f t="shared" si="138"/>
        <v/>
      </c>
      <c r="M1461" s="5" t="str">
        <f t="shared" si="139"/>
        <v/>
      </c>
      <c r="N1461" s="5" t="str">
        <f t="shared" si="140"/>
        <v/>
      </c>
      <c r="O1461" s="4"/>
    </row>
    <row r="1462" spans="1:15" x14ac:dyDescent="0.25">
      <c r="A1462" s="14"/>
      <c r="B1462" s="14"/>
      <c r="C1462" s="14"/>
      <c r="D1462" s="5" t="str">
        <f t="shared" si="141"/>
        <v/>
      </c>
      <c r="E1462" s="5" t="str">
        <f t="shared" si="142"/>
        <v/>
      </c>
      <c r="F1462" s="5" t="str">
        <f t="shared" si="143"/>
        <v/>
      </c>
      <c r="G1462" s="23"/>
      <c r="H1462" s="66"/>
      <c r="I1462" s="14"/>
      <c r="J1462" s="14"/>
      <c r="K1462" s="14"/>
      <c r="L1462" s="5" t="str">
        <f t="shared" si="138"/>
        <v/>
      </c>
      <c r="M1462" s="5" t="str">
        <f t="shared" si="139"/>
        <v/>
      </c>
      <c r="N1462" s="5" t="str">
        <f t="shared" si="140"/>
        <v/>
      </c>
      <c r="O1462" s="4"/>
    </row>
    <row r="1463" spans="1:15" x14ac:dyDescent="0.25">
      <c r="A1463" s="14"/>
      <c r="B1463" s="14"/>
      <c r="C1463" s="14"/>
      <c r="D1463" s="5" t="str">
        <f t="shared" si="141"/>
        <v/>
      </c>
      <c r="E1463" s="5" t="str">
        <f t="shared" si="142"/>
        <v/>
      </c>
      <c r="F1463" s="5" t="str">
        <f t="shared" si="143"/>
        <v/>
      </c>
      <c r="G1463" s="23"/>
      <c r="H1463" s="66"/>
      <c r="I1463" s="14"/>
      <c r="J1463" s="14"/>
      <c r="K1463" s="14"/>
      <c r="L1463" s="5" t="str">
        <f t="shared" si="138"/>
        <v/>
      </c>
      <c r="M1463" s="5" t="str">
        <f t="shared" si="139"/>
        <v/>
      </c>
      <c r="N1463" s="5" t="str">
        <f t="shared" si="140"/>
        <v/>
      </c>
      <c r="O1463" s="4"/>
    </row>
    <row r="1464" spans="1:15" x14ac:dyDescent="0.25">
      <c r="A1464" s="14"/>
      <c r="B1464" s="14"/>
      <c r="C1464" s="14"/>
      <c r="D1464" s="5" t="str">
        <f t="shared" si="141"/>
        <v/>
      </c>
      <c r="E1464" s="5" t="str">
        <f t="shared" si="142"/>
        <v/>
      </c>
      <c r="F1464" s="5" t="str">
        <f t="shared" si="143"/>
        <v/>
      </c>
      <c r="G1464" s="23"/>
      <c r="H1464" s="66"/>
      <c r="I1464" s="14"/>
      <c r="J1464" s="14"/>
      <c r="K1464" s="14"/>
      <c r="L1464" s="5" t="str">
        <f t="shared" si="138"/>
        <v/>
      </c>
      <c r="M1464" s="5" t="str">
        <f t="shared" si="139"/>
        <v/>
      </c>
      <c r="N1464" s="5" t="str">
        <f t="shared" si="140"/>
        <v/>
      </c>
      <c r="O1464" s="4"/>
    </row>
    <row r="1465" spans="1:15" x14ac:dyDescent="0.25">
      <c r="A1465" s="14"/>
      <c r="B1465" s="14"/>
      <c r="C1465" s="14"/>
      <c r="D1465" s="5" t="str">
        <f t="shared" si="141"/>
        <v/>
      </c>
      <c r="E1465" s="5" t="str">
        <f t="shared" si="142"/>
        <v/>
      </c>
      <c r="F1465" s="5" t="str">
        <f t="shared" si="143"/>
        <v/>
      </c>
      <c r="G1465" s="23"/>
      <c r="H1465" s="66"/>
      <c r="I1465" s="14"/>
      <c r="J1465" s="14"/>
      <c r="K1465" s="14"/>
      <c r="L1465" s="5" t="str">
        <f t="shared" si="138"/>
        <v/>
      </c>
      <c r="M1465" s="5" t="str">
        <f t="shared" si="139"/>
        <v/>
      </c>
      <c r="N1465" s="5" t="str">
        <f t="shared" si="140"/>
        <v/>
      </c>
      <c r="O1465" s="4"/>
    </row>
    <row r="1466" spans="1:15" x14ac:dyDescent="0.25">
      <c r="A1466" s="14"/>
      <c r="B1466" s="14"/>
      <c r="C1466" s="14"/>
      <c r="D1466" s="5" t="str">
        <f t="shared" si="141"/>
        <v/>
      </c>
      <c r="E1466" s="5" t="str">
        <f t="shared" si="142"/>
        <v/>
      </c>
      <c r="F1466" s="5" t="str">
        <f t="shared" si="143"/>
        <v/>
      </c>
      <c r="G1466" s="23"/>
      <c r="H1466" s="66"/>
      <c r="I1466" s="14"/>
      <c r="J1466" s="14"/>
      <c r="K1466" s="14"/>
      <c r="L1466" s="5" t="str">
        <f t="shared" si="138"/>
        <v/>
      </c>
      <c r="M1466" s="5" t="str">
        <f t="shared" si="139"/>
        <v/>
      </c>
      <c r="N1466" s="5" t="str">
        <f t="shared" si="140"/>
        <v/>
      </c>
      <c r="O1466" s="4"/>
    </row>
    <row r="1467" spans="1:15" x14ac:dyDescent="0.25">
      <c r="A1467" s="14"/>
      <c r="B1467" s="14"/>
      <c r="C1467" s="14"/>
      <c r="D1467" s="5" t="str">
        <f t="shared" si="141"/>
        <v/>
      </c>
      <c r="E1467" s="5" t="str">
        <f t="shared" si="142"/>
        <v/>
      </c>
      <c r="F1467" s="5" t="str">
        <f t="shared" si="143"/>
        <v/>
      </c>
      <c r="G1467" s="23"/>
      <c r="H1467" s="66"/>
      <c r="I1467" s="14"/>
      <c r="J1467" s="14"/>
      <c r="K1467" s="14"/>
      <c r="L1467" s="5" t="str">
        <f t="shared" si="138"/>
        <v/>
      </c>
      <c r="M1467" s="5" t="str">
        <f t="shared" si="139"/>
        <v/>
      </c>
      <c r="N1467" s="5" t="str">
        <f t="shared" si="140"/>
        <v/>
      </c>
      <c r="O1467" s="4"/>
    </row>
    <row r="1468" spans="1:15" x14ac:dyDescent="0.25">
      <c r="A1468" s="14"/>
      <c r="B1468" s="14"/>
      <c r="C1468" s="14"/>
      <c r="D1468" s="5" t="str">
        <f t="shared" si="141"/>
        <v/>
      </c>
      <c r="E1468" s="5" t="str">
        <f t="shared" si="142"/>
        <v/>
      </c>
      <c r="F1468" s="5" t="str">
        <f t="shared" si="143"/>
        <v/>
      </c>
      <c r="G1468" s="23"/>
      <c r="H1468" s="66"/>
      <c r="I1468" s="14"/>
      <c r="J1468" s="14"/>
      <c r="K1468" s="14"/>
      <c r="L1468" s="5" t="str">
        <f t="shared" si="138"/>
        <v/>
      </c>
      <c r="M1468" s="5" t="str">
        <f t="shared" si="139"/>
        <v/>
      </c>
      <c r="N1468" s="5" t="str">
        <f t="shared" si="140"/>
        <v/>
      </c>
      <c r="O1468" s="4"/>
    </row>
    <row r="1469" spans="1:15" x14ac:dyDescent="0.25">
      <c r="A1469" s="14"/>
      <c r="B1469" s="14"/>
      <c r="C1469" s="14"/>
      <c r="D1469" s="5" t="str">
        <f t="shared" si="141"/>
        <v/>
      </c>
      <c r="E1469" s="5" t="str">
        <f t="shared" si="142"/>
        <v/>
      </c>
      <c r="F1469" s="5" t="str">
        <f t="shared" si="143"/>
        <v/>
      </c>
      <c r="G1469" s="23"/>
      <c r="H1469" s="66"/>
      <c r="I1469" s="14"/>
      <c r="J1469" s="14"/>
      <c r="K1469" s="14"/>
      <c r="L1469" s="5" t="str">
        <f t="shared" si="138"/>
        <v/>
      </c>
      <c r="M1469" s="5" t="str">
        <f t="shared" si="139"/>
        <v/>
      </c>
      <c r="N1469" s="5" t="str">
        <f t="shared" si="140"/>
        <v/>
      </c>
      <c r="O1469" s="4"/>
    </row>
    <row r="1470" spans="1:15" x14ac:dyDescent="0.25">
      <c r="A1470" s="14"/>
      <c r="B1470" s="14"/>
      <c r="C1470" s="14"/>
      <c r="D1470" s="5" t="str">
        <f t="shared" si="141"/>
        <v/>
      </c>
      <c r="E1470" s="5" t="str">
        <f t="shared" si="142"/>
        <v/>
      </c>
      <c r="F1470" s="5" t="str">
        <f t="shared" si="143"/>
        <v/>
      </c>
      <c r="G1470" s="23"/>
      <c r="H1470" s="66"/>
      <c r="I1470" s="14"/>
      <c r="J1470" s="14"/>
      <c r="K1470" s="14"/>
      <c r="L1470" s="5" t="str">
        <f t="shared" si="138"/>
        <v/>
      </c>
      <c r="M1470" s="5" t="str">
        <f t="shared" si="139"/>
        <v/>
      </c>
      <c r="N1470" s="5" t="str">
        <f t="shared" si="140"/>
        <v/>
      </c>
      <c r="O1470" s="4"/>
    </row>
    <row r="1471" spans="1:15" x14ac:dyDescent="0.25">
      <c r="A1471" s="14"/>
      <c r="B1471" s="14"/>
      <c r="C1471" s="14"/>
      <c r="D1471" s="5" t="str">
        <f t="shared" si="141"/>
        <v/>
      </c>
      <c r="E1471" s="5" t="str">
        <f t="shared" si="142"/>
        <v/>
      </c>
      <c r="F1471" s="5" t="str">
        <f t="shared" si="143"/>
        <v/>
      </c>
      <c r="G1471" s="23"/>
      <c r="H1471" s="66"/>
      <c r="I1471" s="14"/>
      <c r="J1471" s="14"/>
      <c r="K1471" s="14"/>
      <c r="L1471" s="5" t="str">
        <f t="shared" si="138"/>
        <v/>
      </c>
      <c r="M1471" s="5" t="str">
        <f t="shared" si="139"/>
        <v/>
      </c>
      <c r="N1471" s="5" t="str">
        <f t="shared" si="140"/>
        <v/>
      </c>
      <c r="O1471" s="4"/>
    </row>
    <row r="1472" spans="1:15" x14ac:dyDescent="0.25">
      <c r="A1472" s="14"/>
      <c r="B1472" s="14"/>
      <c r="C1472" s="14"/>
      <c r="D1472" s="5" t="str">
        <f t="shared" si="141"/>
        <v/>
      </c>
      <c r="E1472" s="5" t="str">
        <f t="shared" si="142"/>
        <v/>
      </c>
      <c r="F1472" s="5" t="str">
        <f t="shared" si="143"/>
        <v/>
      </c>
      <c r="G1472" s="23"/>
      <c r="H1472" s="66"/>
      <c r="I1472" s="14"/>
      <c r="J1472" s="14"/>
      <c r="K1472" s="14"/>
      <c r="L1472" s="5" t="str">
        <f t="shared" si="138"/>
        <v/>
      </c>
      <c r="M1472" s="5" t="str">
        <f t="shared" si="139"/>
        <v/>
      </c>
      <c r="N1472" s="5" t="str">
        <f t="shared" si="140"/>
        <v/>
      </c>
      <c r="O1472" s="4"/>
    </row>
    <row r="1473" spans="1:15" x14ac:dyDescent="0.25">
      <c r="A1473" s="14"/>
      <c r="B1473" s="14"/>
      <c r="C1473" s="14"/>
      <c r="D1473" s="5" t="str">
        <f t="shared" si="141"/>
        <v/>
      </c>
      <c r="E1473" s="5" t="str">
        <f t="shared" si="142"/>
        <v/>
      </c>
      <c r="F1473" s="5" t="str">
        <f t="shared" si="143"/>
        <v/>
      </c>
      <c r="G1473" s="23"/>
      <c r="H1473" s="66"/>
      <c r="I1473" s="14"/>
      <c r="J1473" s="14"/>
      <c r="K1473" s="14"/>
      <c r="L1473" s="5" t="str">
        <f t="shared" si="138"/>
        <v/>
      </c>
      <c r="M1473" s="5" t="str">
        <f t="shared" si="139"/>
        <v/>
      </c>
      <c r="N1473" s="5" t="str">
        <f t="shared" si="140"/>
        <v/>
      </c>
      <c r="O1473" s="4"/>
    </row>
    <row r="1474" spans="1:15" x14ac:dyDescent="0.25">
      <c r="A1474" s="14"/>
      <c r="B1474" s="14"/>
      <c r="C1474" s="14"/>
      <c r="D1474" s="5" t="str">
        <f t="shared" si="141"/>
        <v/>
      </c>
      <c r="E1474" s="5" t="str">
        <f t="shared" si="142"/>
        <v/>
      </c>
      <c r="F1474" s="5" t="str">
        <f t="shared" si="143"/>
        <v/>
      </c>
      <c r="G1474" s="23"/>
      <c r="H1474" s="66"/>
      <c r="I1474" s="14"/>
      <c r="J1474" s="14"/>
      <c r="K1474" s="14"/>
      <c r="L1474" s="5" t="str">
        <f t="shared" si="138"/>
        <v/>
      </c>
      <c r="M1474" s="5" t="str">
        <f t="shared" si="139"/>
        <v/>
      </c>
      <c r="N1474" s="5" t="str">
        <f t="shared" si="140"/>
        <v/>
      </c>
      <c r="O1474" s="4"/>
    </row>
    <row r="1475" spans="1:15" x14ac:dyDescent="0.25">
      <c r="A1475" s="14"/>
      <c r="B1475" s="14"/>
      <c r="C1475" s="14"/>
      <c r="D1475" s="5" t="str">
        <f t="shared" si="141"/>
        <v/>
      </c>
      <c r="E1475" s="5" t="str">
        <f t="shared" si="142"/>
        <v/>
      </c>
      <c r="F1475" s="5" t="str">
        <f t="shared" si="143"/>
        <v/>
      </c>
      <c r="G1475" s="23"/>
      <c r="H1475" s="66"/>
      <c r="I1475" s="14"/>
      <c r="J1475" s="14"/>
      <c r="K1475" s="14"/>
      <c r="L1475" s="5" t="str">
        <f t="shared" si="138"/>
        <v/>
      </c>
      <c r="M1475" s="5" t="str">
        <f t="shared" si="139"/>
        <v/>
      </c>
      <c r="N1475" s="5" t="str">
        <f t="shared" si="140"/>
        <v/>
      </c>
      <c r="O1475" s="4"/>
    </row>
    <row r="1476" spans="1:15" x14ac:dyDescent="0.25">
      <c r="A1476" s="14"/>
      <c r="B1476" s="14"/>
      <c r="C1476" s="14"/>
      <c r="D1476" s="5" t="str">
        <f t="shared" si="141"/>
        <v/>
      </c>
      <c r="E1476" s="5" t="str">
        <f t="shared" si="142"/>
        <v/>
      </c>
      <c r="F1476" s="5" t="str">
        <f t="shared" si="143"/>
        <v/>
      </c>
      <c r="G1476" s="23"/>
      <c r="H1476" s="66"/>
      <c r="I1476" s="14"/>
      <c r="J1476" s="14"/>
      <c r="K1476" s="14"/>
      <c r="L1476" s="5" t="str">
        <f t="shared" si="138"/>
        <v/>
      </c>
      <c r="M1476" s="5" t="str">
        <f t="shared" si="139"/>
        <v/>
      </c>
      <c r="N1476" s="5" t="str">
        <f t="shared" si="140"/>
        <v/>
      </c>
      <c r="O1476" s="4"/>
    </row>
    <row r="1477" spans="1:15" x14ac:dyDescent="0.25">
      <c r="A1477" s="14"/>
      <c r="B1477" s="14"/>
      <c r="C1477" s="14"/>
      <c r="D1477" s="5" t="str">
        <f t="shared" si="141"/>
        <v/>
      </c>
      <c r="E1477" s="5" t="str">
        <f t="shared" si="142"/>
        <v/>
      </c>
      <c r="F1477" s="5" t="str">
        <f t="shared" si="143"/>
        <v/>
      </c>
      <c r="G1477" s="23"/>
      <c r="H1477" s="66"/>
      <c r="I1477" s="14"/>
      <c r="J1477" s="14"/>
      <c r="K1477" s="14"/>
      <c r="L1477" s="5" t="str">
        <f t="shared" si="138"/>
        <v/>
      </c>
      <c r="M1477" s="5" t="str">
        <f t="shared" si="139"/>
        <v/>
      </c>
      <c r="N1477" s="5" t="str">
        <f t="shared" si="140"/>
        <v/>
      </c>
      <c r="O1477" s="4"/>
    </row>
    <row r="1478" spans="1:15" x14ac:dyDescent="0.25">
      <c r="A1478" s="14"/>
      <c r="B1478" s="14"/>
      <c r="C1478" s="14"/>
      <c r="D1478" s="5" t="str">
        <f t="shared" si="141"/>
        <v/>
      </c>
      <c r="E1478" s="5" t="str">
        <f t="shared" si="142"/>
        <v/>
      </c>
      <c r="F1478" s="5" t="str">
        <f t="shared" si="143"/>
        <v/>
      </c>
      <c r="G1478" s="23"/>
      <c r="H1478" s="66"/>
      <c r="I1478" s="14"/>
      <c r="J1478" s="14"/>
      <c r="K1478" s="14"/>
      <c r="L1478" s="5" t="str">
        <f t="shared" si="138"/>
        <v/>
      </c>
      <c r="M1478" s="5" t="str">
        <f t="shared" si="139"/>
        <v/>
      </c>
      <c r="N1478" s="5" t="str">
        <f t="shared" si="140"/>
        <v/>
      </c>
      <c r="O1478" s="4"/>
    </row>
    <row r="1479" spans="1:15" x14ac:dyDescent="0.25">
      <c r="A1479" s="14"/>
      <c r="B1479" s="14"/>
      <c r="C1479" s="14"/>
      <c r="D1479" s="5" t="str">
        <f t="shared" si="141"/>
        <v/>
      </c>
      <c r="E1479" s="5" t="str">
        <f t="shared" si="142"/>
        <v/>
      </c>
      <c r="F1479" s="5" t="str">
        <f t="shared" si="143"/>
        <v/>
      </c>
      <c r="G1479" s="23"/>
      <c r="H1479" s="66"/>
      <c r="I1479" s="14"/>
      <c r="J1479" s="14"/>
      <c r="K1479" s="14"/>
      <c r="L1479" s="5" t="str">
        <f t="shared" si="138"/>
        <v/>
      </c>
      <c r="M1479" s="5" t="str">
        <f t="shared" si="139"/>
        <v/>
      </c>
      <c r="N1479" s="5" t="str">
        <f t="shared" si="140"/>
        <v/>
      </c>
      <c r="O1479" s="4"/>
    </row>
    <row r="1480" spans="1:15" x14ac:dyDescent="0.25">
      <c r="A1480" s="14"/>
      <c r="B1480" s="14"/>
      <c r="C1480" s="14"/>
      <c r="D1480" s="5" t="str">
        <f t="shared" si="141"/>
        <v/>
      </c>
      <c r="E1480" s="5" t="str">
        <f t="shared" si="142"/>
        <v/>
      </c>
      <c r="F1480" s="5" t="str">
        <f t="shared" si="143"/>
        <v/>
      </c>
      <c r="G1480" s="23"/>
      <c r="H1480" s="66"/>
      <c r="I1480" s="14"/>
      <c r="J1480" s="14"/>
      <c r="K1480" s="14"/>
      <c r="L1480" s="5" t="str">
        <f t="shared" si="138"/>
        <v/>
      </c>
      <c r="M1480" s="5" t="str">
        <f t="shared" si="139"/>
        <v/>
      </c>
      <c r="N1480" s="5" t="str">
        <f t="shared" si="140"/>
        <v/>
      </c>
      <c r="O1480" s="4"/>
    </row>
    <row r="1481" spans="1:15" x14ac:dyDescent="0.25">
      <c r="A1481" s="14"/>
      <c r="B1481" s="14"/>
      <c r="C1481" s="14"/>
      <c r="D1481" s="5" t="str">
        <f t="shared" si="141"/>
        <v/>
      </c>
      <c r="E1481" s="5" t="str">
        <f t="shared" si="142"/>
        <v/>
      </c>
      <c r="F1481" s="5" t="str">
        <f t="shared" si="143"/>
        <v/>
      </c>
      <c r="G1481" s="23"/>
      <c r="H1481" s="66"/>
      <c r="I1481" s="14"/>
      <c r="J1481" s="14"/>
      <c r="K1481" s="14"/>
      <c r="L1481" s="5" t="str">
        <f t="shared" si="138"/>
        <v/>
      </c>
      <c r="M1481" s="5" t="str">
        <f t="shared" si="139"/>
        <v/>
      </c>
      <c r="N1481" s="5" t="str">
        <f t="shared" si="140"/>
        <v/>
      </c>
      <c r="O1481" s="4"/>
    </row>
    <row r="1482" spans="1:15" x14ac:dyDescent="0.25">
      <c r="A1482" s="14"/>
      <c r="B1482" s="14"/>
      <c r="C1482" s="14"/>
      <c r="D1482" s="5" t="str">
        <f t="shared" si="141"/>
        <v/>
      </c>
      <c r="E1482" s="5" t="str">
        <f t="shared" si="142"/>
        <v/>
      </c>
      <c r="F1482" s="5" t="str">
        <f t="shared" si="143"/>
        <v/>
      </c>
      <c r="G1482" s="23"/>
      <c r="H1482" s="66"/>
      <c r="I1482" s="14"/>
      <c r="J1482" s="14"/>
      <c r="K1482" s="14"/>
      <c r="L1482" s="5" t="str">
        <f t="shared" ref="L1482:L1545" si="144">IFERROR(IF(I1482&lt;&gt;"",(((J1482-J1481)*$X$4/(I1482-I1481)))*$X$5,""),"")</f>
        <v/>
      </c>
      <c r="M1482" s="5" t="str">
        <f t="shared" ref="M1482:M1545" si="145">IFERROR(IF(I1482&lt;&gt;"",(((K1482-K1481)*$X$4/(I1482-I1481)))*$X$5,""),"")</f>
        <v/>
      </c>
      <c r="N1482" s="5" t="str">
        <f t="shared" ref="N1482:N1545" si="146">IFERROR(IF(I1482&lt;&gt;"",((ACOS((COS(RADIANS(J1481))*COS(RADIANS(J1482)))+(SIN(RADIANS(J1481))*SIN(RADIANS(J1482)))*COS(RADIANS(K1482-K1481)))*180/PI()*($X$4/(I1482-I1481))))*$X$5,""),"")</f>
        <v/>
      </c>
      <c r="O1482" s="4"/>
    </row>
    <row r="1483" spans="1:15" x14ac:dyDescent="0.25">
      <c r="A1483" s="14"/>
      <c r="B1483" s="14"/>
      <c r="C1483" s="14"/>
      <c r="D1483" s="5" t="str">
        <f t="shared" si="141"/>
        <v/>
      </c>
      <c r="E1483" s="5" t="str">
        <f t="shared" si="142"/>
        <v/>
      </c>
      <c r="F1483" s="5" t="str">
        <f t="shared" si="143"/>
        <v/>
      </c>
      <c r="G1483" s="23"/>
      <c r="H1483" s="66"/>
      <c r="I1483" s="14"/>
      <c r="J1483" s="14"/>
      <c r="K1483" s="14"/>
      <c r="L1483" s="5" t="str">
        <f t="shared" si="144"/>
        <v/>
      </c>
      <c r="M1483" s="5" t="str">
        <f t="shared" si="145"/>
        <v/>
      </c>
      <c r="N1483" s="5" t="str">
        <f t="shared" si="146"/>
        <v/>
      </c>
      <c r="O1483" s="4"/>
    </row>
    <row r="1484" spans="1:15" x14ac:dyDescent="0.25">
      <c r="A1484" s="14"/>
      <c r="B1484" s="14"/>
      <c r="C1484" s="14"/>
      <c r="D1484" s="5" t="str">
        <f t="shared" si="141"/>
        <v/>
      </c>
      <c r="E1484" s="5" t="str">
        <f t="shared" si="142"/>
        <v/>
      </c>
      <c r="F1484" s="5" t="str">
        <f t="shared" si="143"/>
        <v/>
      </c>
      <c r="G1484" s="23"/>
      <c r="H1484" s="66"/>
      <c r="I1484" s="14"/>
      <c r="J1484" s="14"/>
      <c r="K1484" s="14"/>
      <c r="L1484" s="5" t="str">
        <f t="shared" si="144"/>
        <v/>
      </c>
      <c r="M1484" s="5" t="str">
        <f t="shared" si="145"/>
        <v/>
      </c>
      <c r="N1484" s="5" t="str">
        <f t="shared" si="146"/>
        <v/>
      </c>
      <c r="O1484" s="4"/>
    </row>
    <row r="1485" spans="1:15" x14ac:dyDescent="0.25">
      <c r="A1485" s="14"/>
      <c r="B1485" s="14"/>
      <c r="C1485" s="14"/>
      <c r="D1485" s="5" t="str">
        <f t="shared" si="141"/>
        <v/>
      </c>
      <c r="E1485" s="5" t="str">
        <f t="shared" si="142"/>
        <v/>
      </c>
      <c r="F1485" s="5" t="str">
        <f t="shared" si="143"/>
        <v/>
      </c>
      <c r="G1485" s="23"/>
      <c r="H1485" s="66"/>
      <c r="I1485" s="14"/>
      <c r="J1485" s="14"/>
      <c r="K1485" s="14"/>
      <c r="L1485" s="5" t="str">
        <f t="shared" si="144"/>
        <v/>
      </c>
      <c r="M1485" s="5" t="str">
        <f t="shared" si="145"/>
        <v/>
      </c>
      <c r="N1485" s="5" t="str">
        <f t="shared" si="146"/>
        <v/>
      </c>
      <c r="O1485" s="4"/>
    </row>
    <row r="1486" spans="1:15" x14ac:dyDescent="0.25">
      <c r="A1486" s="14"/>
      <c r="B1486" s="14"/>
      <c r="C1486" s="14"/>
      <c r="D1486" s="5" t="str">
        <f t="shared" si="141"/>
        <v/>
      </c>
      <c r="E1486" s="5" t="str">
        <f t="shared" si="142"/>
        <v/>
      </c>
      <c r="F1486" s="5" t="str">
        <f t="shared" si="143"/>
        <v/>
      </c>
      <c r="G1486" s="23"/>
      <c r="H1486" s="66"/>
      <c r="I1486" s="14"/>
      <c r="J1486" s="14"/>
      <c r="K1486" s="14"/>
      <c r="L1486" s="5" t="str">
        <f t="shared" si="144"/>
        <v/>
      </c>
      <c r="M1486" s="5" t="str">
        <f t="shared" si="145"/>
        <v/>
      </c>
      <c r="N1486" s="5" t="str">
        <f t="shared" si="146"/>
        <v/>
      </c>
      <c r="O1486" s="4"/>
    </row>
    <row r="1487" spans="1:15" x14ac:dyDescent="0.25">
      <c r="A1487" s="14"/>
      <c r="B1487" s="14"/>
      <c r="C1487" s="14"/>
      <c r="D1487" s="5" t="str">
        <f t="shared" si="141"/>
        <v/>
      </c>
      <c r="E1487" s="5" t="str">
        <f t="shared" si="142"/>
        <v/>
      </c>
      <c r="F1487" s="5" t="str">
        <f t="shared" si="143"/>
        <v/>
      </c>
      <c r="G1487" s="23"/>
      <c r="H1487" s="66"/>
      <c r="I1487" s="14"/>
      <c r="J1487" s="14"/>
      <c r="K1487" s="14"/>
      <c r="L1487" s="5" t="str">
        <f t="shared" si="144"/>
        <v/>
      </c>
      <c r="M1487" s="5" t="str">
        <f t="shared" si="145"/>
        <v/>
      </c>
      <c r="N1487" s="5" t="str">
        <f t="shared" si="146"/>
        <v/>
      </c>
      <c r="O1487" s="4"/>
    </row>
    <row r="1488" spans="1:15" x14ac:dyDescent="0.25">
      <c r="A1488" s="14"/>
      <c r="B1488" s="14"/>
      <c r="C1488" s="14"/>
      <c r="D1488" s="5" t="str">
        <f t="shared" si="141"/>
        <v/>
      </c>
      <c r="E1488" s="5" t="str">
        <f t="shared" si="142"/>
        <v/>
      </c>
      <c r="F1488" s="5" t="str">
        <f t="shared" si="143"/>
        <v/>
      </c>
      <c r="G1488" s="23"/>
      <c r="H1488" s="66"/>
      <c r="I1488" s="14"/>
      <c r="J1488" s="14"/>
      <c r="K1488" s="14"/>
      <c r="L1488" s="5" t="str">
        <f t="shared" si="144"/>
        <v/>
      </c>
      <c r="M1488" s="5" t="str">
        <f t="shared" si="145"/>
        <v/>
      </c>
      <c r="N1488" s="5" t="str">
        <f t="shared" si="146"/>
        <v/>
      </c>
      <c r="O1488" s="4"/>
    </row>
    <row r="1489" spans="1:15" x14ac:dyDescent="0.25">
      <c r="A1489" s="14"/>
      <c r="B1489" s="14"/>
      <c r="C1489" s="14"/>
      <c r="D1489" s="5" t="str">
        <f t="shared" si="141"/>
        <v/>
      </c>
      <c r="E1489" s="5" t="str">
        <f t="shared" si="142"/>
        <v/>
      </c>
      <c r="F1489" s="5" t="str">
        <f t="shared" si="143"/>
        <v/>
      </c>
      <c r="G1489" s="23"/>
      <c r="H1489" s="66"/>
      <c r="I1489" s="14"/>
      <c r="J1489" s="14"/>
      <c r="K1489" s="14"/>
      <c r="L1489" s="5" t="str">
        <f t="shared" si="144"/>
        <v/>
      </c>
      <c r="M1489" s="5" t="str">
        <f t="shared" si="145"/>
        <v/>
      </c>
      <c r="N1489" s="5" t="str">
        <f t="shared" si="146"/>
        <v/>
      </c>
      <c r="O1489" s="4"/>
    </row>
    <row r="1490" spans="1:15" x14ac:dyDescent="0.25">
      <c r="A1490" s="14"/>
      <c r="B1490" s="14"/>
      <c r="C1490" s="14"/>
      <c r="D1490" s="5" t="str">
        <f t="shared" si="141"/>
        <v/>
      </c>
      <c r="E1490" s="5" t="str">
        <f t="shared" si="142"/>
        <v/>
      </c>
      <c r="F1490" s="5" t="str">
        <f t="shared" si="143"/>
        <v/>
      </c>
      <c r="G1490" s="23"/>
      <c r="H1490" s="66"/>
      <c r="I1490" s="14"/>
      <c r="J1490" s="14"/>
      <c r="K1490" s="14"/>
      <c r="L1490" s="5" t="str">
        <f t="shared" si="144"/>
        <v/>
      </c>
      <c r="M1490" s="5" t="str">
        <f t="shared" si="145"/>
        <v/>
      </c>
      <c r="N1490" s="5" t="str">
        <f t="shared" si="146"/>
        <v/>
      </c>
      <c r="O1490" s="4"/>
    </row>
    <row r="1491" spans="1:15" x14ac:dyDescent="0.25">
      <c r="A1491" s="14"/>
      <c r="B1491" s="14"/>
      <c r="C1491" s="14"/>
      <c r="D1491" s="5" t="str">
        <f t="shared" si="141"/>
        <v/>
      </c>
      <c r="E1491" s="5" t="str">
        <f t="shared" si="142"/>
        <v/>
      </c>
      <c r="F1491" s="5" t="str">
        <f t="shared" si="143"/>
        <v/>
      </c>
      <c r="G1491" s="23"/>
      <c r="H1491" s="66"/>
      <c r="I1491" s="14"/>
      <c r="J1491" s="14"/>
      <c r="K1491" s="14"/>
      <c r="L1491" s="5" t="str">
        <f t="shared" si="144"/>
        <v/>
      </c>
      <c r="M1491" s="5" t="str">
        <f t="shared" si="145"/>
        <v/>
      </c>
      <c r="N1491" s="5" t="str">
        <f t="shared" si="146"/>
        <v/>
      </c>
      <c r="O1491" s="4"/>
    </row>
    <row r="1492" spans="1:15" x14ac:dyDescent="0.25">
      <c r="A1492" s="14"/>
      <c r="B1492" s="14"/>
      <c r="C1492" s="14"/>
      <c r="D1492" s="5" t="str">
        <f t="shared" si="141"/>
        <v/>
      </c>
      <c r="E1492" s="5" t="str">
        <f t="shared" si="142"/>
        <v/>
      </c>
      <c r="F1492" s="5" t="str">
        <f t="shared" si="143"/>
        <v/>
      </c>
      <c r="G1492" s="23"/>
      <c r="H1492" s="66"/>
      <c r="I1492" s="14"/>
      <c r="J1492" s="14"/>
      <c r="K1492" s="14"/>
      <c r="L1492" s="5" t="str">
        <f t="shared" si="144"/>
        <v/>
      </c>
      <c r="M1492" s="5" t="str">
        <f t="shared" si="145"/>
        <v/>
      </c>
      <c r="N1492" s="5" t="str">
        <f t="shared" si="146"/>
        <v/>
      </c>
      <c r="O1492" s="4"/>
    </row>
    <row r="1493" spans="1:15" x14ac:dyDescent="0.25">
      <c r="A1493" s="14"/>
      <c r="B1493" s="14"/>
      <c r="C1493" s="14"/>
      <c r="D1493" s="5" t="str">
        <f t="shared" si="141"/>
        <v/>
      </c>
      <c r="E1493" s="5" t="str">
        <f t="shared" si="142"/>
        <v/>
      </c>
      <c r="F1493" s="5" t="str">
        <f t="shared" si="143"/>
        <v/>
      </c>
      <c r="G1493" s="23"/>
      <c r="H1493" s="66"/>
      <c r="I1493" s="14"/>
      <c r="J1493" s="14"/>
      <c r="K1493" s="14"/>
      <c r="L1493" s="5" t="str">
        <f t="shared" si="144"/>
        <v/>
      </c>
      <c r="M1493" s="5" t="str">
        <f t="shared" si="145"/>
        <v/>
      </c>
      <c r="N1493" s="5" t="str">
        <f t="shared" si="146"/>
        <v/>
      </c>
      <c r="O1493" s="4"/>
    </row>
    <row r="1494" spans="1:15" x14ac:dyDescent="0.25">
      <c r="A1494" s="14"/>
      <c r="B1494" s="14"/>
      <c r="C1494" s="14"/>
      <c r="D1494" s="5" t="str">
        <f t="shared" si="141"/>
        <v/>
      </c>
      <c r="E1494" s="5" t="str">
        <f t="shared" si="142"/>
        <v/>
      </c>
      <c r="F1494" s="5" t="str">
        <f t="shared" si="143"/>
        <v/>
      </c>
      <c r="G1494" s="23"/>
      <c r="H1494" s="66"/>
      <c r="I1494" s="14"/>
      <c r="J1494" s="14"/>
      <c r="K1494" s="14"/>
      <c r="L1494" s="5" t="str">
        <f t="shared" si="144"/>
        <v/>
      </c>
      <c r="M1494" s="5" t="str">
        <f t="shared" si="145"/>
        <v/>
      </c>
      <c r="N1494" s="5" t="str">
        <f t="shared" si="146"/>
        <v/>
      </c>
      <c r="O1494" s="4"/>
    </row>
    <row r="1495" spans="1:15" x14ac:dyDescent="0.25">
      <c r="A1495" s="14"/>
      <c r="B1495" s="14"/>
      <c r="C1495" s="14"/>
      <c r="D1495" s="5" t="str">
        <f t="shared" si="141"/>
        <v/>
      </c>
      <c r="E1495" s="5" t="str">
        <f t="shared" si="142"/>
        <v/>
      </c>
      <c r="F1495" s="5" t="str">
        <f t="shared" si="143"/>
        <v/>
      </c>
      <c r="G1495" s="23"/>
      <c r="H1495" s="66"/>
      <c r="I1495" s="14"/>
      <c r="J1495" s="14"/>
      <c r="K1495" s="14"/>
      <c r="L1495" s="5" t="str">
        <f t="shared" si="144"/>
        <v/>
      </c>
      <c r="M1495" s="5" t="str">
        <f t="shared" si="145"/>
        <v/>
      </c>
      <c r="N1495" s="5" t="str">
        <f t="shared" si="146"/>
        <v/>
      </c>
      <c r="O1495" s="4"/>
    </row>
    <row r="1496" spans="1:15" x14ac:dyDescent="0.25">
      <c r="A1496" s="14"/>
      <c r="B1496" s="14"/>
      <c r="C1496" s="14"/>
      <c r="D1496" s="5" t="str">
        <f t="shared" si="141"/>
        <v/>
      </c>
      <c r="E1496" s="5" t="str">
        <f t="shared" si="142"/>
        <v/>
      </c>
      <c r="F1496" s="5" t="str">
        <f t="shared" si="143"/>
        <v/>
      </c>
      <c r="G1496" s="23"/>
      <c r="H1496" s="66"/>
      <c r="I1496" s="14"/>
      <c r="J1496" s="14"/>
      <c r="K1496" s="14"/>
      <c r="L1496" s="5" t="str">
        <f t="shared" si="144"/>
        <v/>
      </c>
      <c r="M1496" s="5" t="str">
        <f t="shared" si="145"/>
        <v/>
      </c>
      <c r="N1496" s="5" t="str">
        <f t="shared" si="146"/>
        <v/>
      </c>
      <c r="O1496" s="4"/>
    </row>
    <row r="1497" spans="1:15" x14ac:dyDescent="0.25">
      <c r="A1497" s="14"/>
      <c r="B1497" s="14"/>
      <c r="C1497" s="14"/>
      <c r="D1497" s="5" t="str">
        <f t="shared" ref="D1497:D1560" si="147">IFERROR( IF(A1497&lt;&gt;"",((B1497-B1496)*$X$4/(A1497-A1496))*$X$5,""),"")</f>
        <v/>
      </c>
      <c r="E1497" s="5" t="str">
        <f t="shared" ref="E1497:E1560" si="148">IFERROR(IF(A1497&lt;&gt;"",((C1497-C1496)*$X$4/(A1497-A1496))*$X$5,""),"")</f>
        <v/>
      </c>
      <c r="F1497" s="5" t="str">
        <f t="shared" ref="F1497:F1560" si="149">IFERROR(IF(A1497&lt;&gt;"",((ACOS((COS(RADIANS(B1496))*COS(RADIANS(B1497)))+(SIN(RADIANS(B1496))*SIN(RADIANS(B1497)))*COS(RADIANS(C1497-C1496)))*180/PI()*($X$4/(A1497-A1496))))*$X$5,""),"")</f>
        <v/>
      </c>
      <c r="G1497" s="23"/>
      <c r="H1497" s="66"/>
      <c r="I1497" s="14"/>
      <c r="J1497" s="14"/>
      <c r="K1497" s="14"/>
      <c r="L1497" s="5" t="str">
        <f t="shared" si="144"/>
        <v/>
      </c>
      <c r="M1497" s="5" t="str">
        <f t="shared" si="145"/>
        <v/>
      </c>
      <c r="N1497" s="5" t="str">
        <f t="shared" si="146"/>
        <v/>
      </c>
      <c r="O1497" s="4"/>
    </row>
    <row r="1498" spans="1:15" x14ac:dyDescent="0.25">
      <c r="A1498" s="14"/>
      <c r="B1498" s="14"/>
      <c r="C1498" s="14"/>
      <c r="D1498" s="5" t="str">
        <f t="shared" si="147"/>
        <v/>
      </c>
      <c r="E1498" s="5" t="str">
        <f t="shared" si="148"/>
        <v/>
      </c>
      <c r="F1498" s="5" t="str">
        <f t="shared" si="149"/>
        <v/>
      </c>
      <c r="G1498" s="23"/>
      <c r="H1498" s="66"/>
      <c r="I1498" s="14"/>
      <c r="J1498" s="14"/>
      <c r="K1498" s="14"/>
      <c r="L1498" s="5" t="str">
        <f t="shared" si="144"/>
        <v/>
      </c>
      <c r="M1498" s="5" t="str">
        <f t="shared" si="145"/>
        <v/>
      </c>
      <c r="N1498" s="5" t="str">
        <f t="shared" si="146"/>
        <v/>
      </c>
      <c r="O1498" s="4"/>
    </row>
    <row r="1499" spans="1:15" x14ac:dyDescent="0.25">
      <c r="A1499" s="14"/>
      <c r="B1499" s="14"/>
      <c r="C1499" s="14"/>
      <c r="D1499" s="5" t="str">
        <f t="shared" si="147"/>
        <v/>
      </c>
      <c r="E1499" s="5" t="str">
        <f t="shared" si="148"/>
        <v/>
      </c>
      <c r="F1499" s="5" t="str">
        <f t="shared" si="149"/>
        <v/>
      </c>
      <c r="G1499" s="23"/>
      <c r="H1499" s="66"/>
      <c r="I1499" s="14"/>
      <c r="J1499" s="14"/>
      <c r="K1499" s="14"/>
      <c r="L1499" s="5" t="str">
        <f t="shared" si="144"/>
        <v/>
      </c>
      <c r="M1499" s="5" t="str">
        <f t="shared" si="145"/>
        <v/>
      </c>
      <c r="N1499" s="5" t="str">
        <f t="shared" si="146"/>
        <v/>
      </c>
      <c r="O1499" s="4"/>
    </row>
    <row r="1500" spans="1:15" x14ac:dyDescent="0.25">
      <c r="A1500" s="14"/>
      <c r="B1500" s="14"/>
      <c r="C1500" s="14"/>
      <c r="D1500" s="5" t="str">
        <f t="shared" si="147"/>
        <v/>
      </c>
      <c r="E1500" s="5" t="str">
        <f t="shared" si="148"/>
        <v/>
      </c>
      <c r="F1500" s="5" t="str">
        <f t="shared" si="149"/>
        <v/>
      </c>
      <c r="G1500" s="23"/>
      <c r="H1500" s="66"/>
      <c r="I1500" s="14"/>
      <c r="J1500" s="14"/>
      <c r="K1500" s="14"/>
      <c r="L1500" s="5" t="str">
        <f t="shared" si="144"/>
        <v/>
      </c>
      <c r="M1500" s="5" t="str">
        <f t="shared" si="145"/>
        <v/>
      </c>
      <c r="N1500" s="5" t="str">
        <f t="shared" si="146"/>
        <v/>
      </c>
      <c r="O1500" s="4"/>
    </row>
    <row r="1501" spans="1:15" x14ac:dyDescent="0.25">
      <c r="A1501" s="14"/>
      <c r="B1501" s="14"/>
      <c r="C1501" s="14"/>
      <c r="D1501" s="5" t="str">
        <f t="shared" si="147"/>
        <v/>
      </c>
      <c r="E1501" s="5" t="str">
        <f t="shared" si="148"/>
        <v/>
      </c>
      <c r="F1501" s="5" t="str">
        <f t="shared" si="149"/>
        <v/>
      </c>
      <c r="G1501" s="23"/>
      <c r="H1501" s="66"/>
      <c r="I1501" s="14"/>
      <c r="J1501" s="14"/>
      <c r="K1501" s="14"/>
      <c r="L1501" s="5" t="str">
        <f t="shared" si="144"/>
        <v/>
      </c>
      <c r="M1501" s="5" t="str">
        <f t="shared" si="145"/>
        <v/>
      </c>
      <c r="N1501" s="5" t="str">
        <f t="shared" si="146"/>
        <v/>
      </c>
      <c r="O1501" s="4"/>
    </row>
    <row r="1502" spans="1:15" x14ac:dyDescent="0.25">
      <c r="A1502" s="14"/>
      <c r="B1502" s="14"/>
      <c r="C1502" s="14"/>
      <c r="D1502" s="5" t="str">
        <f t="shared" si="147"/>
        <v/>
      </c>
      <c r="E1502" s="5" t="str">
        <f t="shared" si="148"/>
        <v/>
      </c>
      <c r="F1502" s="5" t="str">
        <f t="shared" si="149"/>
        <v/>
      </c>
      <c r="G1502" s="23"/>
      <c r="H1502" s="66"/>
      <c r="I1502" s="14"/>
      <c r="J1502" s="14"/>
      <c r="K1502" s="14"/>
      <c r="L1502" s="5" t="str">
        <f t="shared" si="144"/>
        <v/>
      </c>
      <c r="M1502" s="5" t="str">
        <f t="shared" si="145"/>
        <v/>
      </c>
      <c r="N1502" s="5" t="str">
        <f t="shared" si="146"/>
        <v/>
      </c>
      <c r="O1502" s="4"/>
    </row>
    <row r="1503" spans="1:15" x14ac:dyDescent="0.25">
      <c r="A1503" s="14"/>
      <c r="B1503" s="14"/>
      <c r="C1503" s="14"/>
      <c r="D1503" s="5" t="str">
        <f t="shared" si="147"/>
        <v/>
      </c>
      <c r="E1503" s="5" t="str">
        <f t="shared" si="148"/>
        <v/>
      </c>
      <c r="F1503" s="5" t="str">
        <f t="shared" si="149"/>
        <v/>
      </c>
      <c r="G1503" s="23"/>
      <c r="H1503" s="66"/>
      <c r="I1503" s="14"/>
      <c r="J1503" s="14"/>
      <c r="K1503" s="14"/>
      <c r="L1503" s="5" t="str">
        <f t="shared" si="144"/>
        <v/>
      </c>
      <c r="M1503" s="5" t="str">
        <f t="shared" si="145"/>
        <v/>
      </c>
      <c r="N1503" s="5" t="str">
        <f t="shared" si="146"/>
        <v/>
      </c>
      <c r="O1503" s="4"/>
    </row>
    <row r="1504" spans="1:15" x14ac:dyDescent="0.25">
      <c r="A1504" s="14"/>
      <c r="B1504" s="14"/>
      <c r="C1504" s="14"/>
      <c r="D1504" s="5" t="str">
        <f t="shared" si="147"/>
        <v/>
      </c>
      <c r="E1504" s="5" t="str">
        <f t="shared" si="148"/>
        <v/>
      </c>
      <c r="F1504" s="5" t="str">
        <f t="shared" si="149"/>
        <v/>
      </c>
      <c r="G1504" s="23"/>
      <c r="H1504" s="66"/>
      <c r="I1504" s="14"/>
      <c r="J1504" s="14"/>
      <c r="K1504" s="14"/>
      <c r="L1504" s="5" t="str">
        <f t="shared" si="144"/>
        <v/>
      </c>
      <c r="M1504" s="5" t="str">
        <f t="shared" si="145"/>
        <v/>
      </c>
      <c r="N1504" s="5" t="str">
        <f t="shared" si="146"/>
        <v/>
      </c>
      <c r="O1504" s="4"/>
    </row>
    <row r="1505" spans="1:15" x14ac:dyDescent="0.25">
      <c r="A1505" s="14"/>
      <c r="B1505" s="14"/>
      <c r="C1505" s="14"/>
      <c r="D1505" s="5" t="str">
        <f t="shared" si="147"/>
        <v/>
      </c>
      <c r="E1505" s="5" t="str">
        <f t="shared" si="148"/>
        <v/>
      </c>
      <c r="F1505" s="5" t="str">
        <f t="shared" si="149"/>
        <v/>
      </c>
      <c r="G1505" s="23"/>
      <c r="H1505" s="66"/>
      <c r="I1505" s="14"/>
      <c r="J1505" s="14"/>
      <c r="K1505" s="14"/>
      <c r="L1505" s="5" t="str">
        <f t="shared" si="144"/>
        <v/>
      </c>
      <c r="M1505" s="5" t="str">
        <f t="shared" si="145"/>
        <v/>
      </c>
      <c r="N1505" s="5" t="str">
        <f t="shared" si="146"/>
        <v/>
      </c>
      <c r="O1505" s="4"/>
    </row>
    <row r="1506" spans="1:15" x14ac:dyDescent="0.25">
      <c r="A1506" s="14"/>
      <c r="B1506" s="14"/>
      <c r="C1506" s="14"/>
      <c r="D1506" s="5" t="str">
        <f t="shared" si="147"/>
        <v/>
      </c>
      <c r="E1506" s="5" t="str">
        <f t="shared" si="148"/>
        <v/>
      </c>
      <c r="F1506" s="5" t="str">
        <f t="shared" si="149"/>
        <v/>
      </c>
      <c r="G1506" s="23"/>
      <c r="H1506" s="66"/>
      <c r="I1506" s="14"/>
      <c r="J1506" s="14"/>
      <c r="K1506" s="14"/>
      <c r="L1506" s="5" t="str">
        <f t="shared" si="144"/>
        <v/>
      </c>
      <c r="M1506" s="5" t="str">
        <f t="shared" si="145"/>
        <v/>
      </c>
      <c r="N1506" s="5" t="str">
        <f t="shared" si="146"/>
        <v/>
      </c>
      <c r="O1506" s="4"/>
    </row>
    <row r="1507" spans="1:15" x14ac:dyDescent="0.25">
      <c r="A1507" s="14"/>
      <c r="B1507" s="14"/>
      <c r="C1507" s="14"/>
      <c r="D1507" s="5" t="str">
        <f t="shared" si="147"/>
        <v/>
      </c>
      <c r="E1507" s="5" t="str">
        <f t="shared" si="148"/>
        <v/>
      </c>
      <c r="F1507" s="5" t="str">
        <f t="shared" si="149"/>
        <v/>
      </c>
      <c r="G1507" s="23"/>
      <c r="H1507" s="66"/>
      <c r="I1507" s="14"/>
      <c r="J1507" s="14"/>
      <c r="K1507" s="14"/>
      <c r="L1507" s="5" t="str">
        <f t="shared" si="144"/>
        <v/>
      </c>
      <c r="M1507" s="5" t="str">
        <f t="shared" si="145"/>
        <v/>
      </c>
      <c r="N1507" s="5" t="str">
        <f t="shared" si="146"/>
        <v/>
      </c>
      <c r="O1507" s="4"/>
    </row>
    <row r="1508" spans="1:15" x14ac:dyDescent="0.25">
      <c r="A1508" s="14"/>
      <c r="B1508" s="14"/>
      <c r="C1508" s="14"/>
      <c r="D1508" s="5" t="str">
        <f t="shared" si="147"/>
        <v/>
      </c>
      <c r="E1508" s="5" t="str">
        <f t="shared" si="148"/>
        <v/>
      </c>
      <c r="F1508" s="5" t="str">
        <f t="shared" si="149"/>
        <v/>
      </c>
      <c r="G1508" s="23"/>
      <c r="H1508" s="66"/>
      <c r="I1508" s="14"/>
      <c r="J1508" s="14"/>
      <c r="K1508" s="14"/>
      <c r="L1508" s="5" t="str">
        <f t="shared" si="144"/>
        <v/>
      </c>
      <c r="M1508" s="5" t="str">
        <f t="shared" si="145"/>
        <v/>
      </c>
      <c r="N1508" s="5" t="str">
        <f t="shared" si="146"/>
        <v/>
      </c>
      <c r="O1508" s="4"/>
    </row>
    <row r="1509" spans="1:15" x14ac:dyDescent="0.25">
      <c r="A1509" s="14"/>
      <c r="B1509" s="14"/>
      <c r="C1509" s="14"/>
      <c r="D1509" s="5" t="str">
        <f t="shared" si="147"/>
        <v/>
      </c>
      <c r="E1509" s="5" t="str">
        <f t="shared" si="148"/>
        <v/>
      </c>
      <c r="F1509" s="5" t="str">
        <f t="shared" si="149"/>
        <v/>
      </c>
      <c r="G1509" s="23"/>
      <c r="H1509" s="66"/>
      <c r="I1509" s="14"/>
      <c r="J1509" s="14"/>
      <c r="K1509" s="14"/>
      <c r="L1509" s="5" t="str">
        <f t="shared" si="144"/>
        <v/>
      </c>
      <c r="M1509" s="5" t="str">
        <f t="shared" si="145"/>
        <v/>
      </c>
      <c r="N1509" s="5" t="str">
        <f t="shared" si="146"/>
        <v/>
      </c>
      <c r="O1509" s="4"/>
    </row>
    <row r="1510" spans="1:15" x14ac:dyDescent="0.25">
      <c r="A1510" s="14"/>
      <c r="B1510" s="14"/>
      <c r="C1510" s="14"/>
      <c r="D1510" s="5" t="str">
        <f t="shared" si="147"/>
        <v/>
      </c>
      <c r="E1510" s="5" t="str">
        <f t="shared" si="148"/>
        <v/>
      </c>
      <c r="F1510" s="5" t="str">
        <f t="shared" si="149"/>
        <v/>
      </c>
      <c r="G1510" s="23"/>
      <c r="H1510" s="66"/>
      <c r="I1510" s="14"/>
      <c r="J1510" s="14"/>
      <c r="K1510" s="14"/>
      <c r="L1510" s="5" t="str">
        <f t="shared" si="144"/>
        <v/>
      </c>
      <c r="M1510" s="5" t="str">
        <f t="shared" si="145"/>
        <v/>
      </c>
      <c r="N1510" s="5" t="str">
        <f t="shared" si="146"/>
        <v/>
      </c>
      <c r="O1510" s="4"/>
    </row>
    <row r="1511" spans="1:15" x14ac:dyDescent="0.25">
      <c r="A1511" s="14"/>
      <c r="B1511" s="14"/>
      <c r="C1511" s="14"/>
      <c r="D1511" s="5" t="str">
        <f t="shared" si="147"/>
        <v/>
      </c>
      <c r="E1511" s="5" t="str">
        <f t="shared" si="148"/>
        <v/>
      </c>
      <c r="F1511" s="5" t="str">
        <f t="shared" si="149"/>
        <v/>
      </c>
      <c r="G1511" s="23"/>
      <c r="H1511" s="66"/>
      <c r="I1511" s="14"/>
      <c r="J1511" s="14"/>
      <c r="K1511" s="14"/>
      <c r="L1511" s="5" t="str">
        <f t="shared" si="144"/>
        <v/>
      </c>
      <c r="M1511" s="5" t="str">
        <f t="shared" si="145"/>
        <v/>
      </c>
      <c r="N1511" s="5" t="str">
        <f t="shared" si="146"/>
        <v/>
      </c>
      <c r="O1511" s="4"/>
    </row>
    <row r="1512" spans="1:15" x14ac:dyDescent="0.25">
      <c r="A1512" s="14"/>
      <c r="B1512" s="14"/>
      <c r="C1512" s="14"/>
      <c r="D1512" s="5" t="str">
        <f t="shared" si="147"/>
        <v/>
      </c>
      <c r="E1512" s="5" t="str">
        <f t="shared" si="148"/>
        <v/>
      </c>
      <c r="F1512" s="5" t="str">
        <f t="shared" si="149"/>
        <v/>
      </c>
      <c r="G1512" s="23"/>
      <c r="H1512" s="66"/>
      <c r="I1512" s="14"/>
      <c r="J1512" s="14"/>
      <c r="K1512" s="14"/>
      <c r="L1512" s="5" t="str">
        <f t="shared" si="144"/>
        <v/>
      </c>
      <c r="M1512" s="5" t="str">
        <f t="shared" si="145"/>
        <v/>
      </c>
      <c r="N1512" s="5" t="str">
        <f t="shared" si="146"/>
        <v/>
      </c>
      <c r="O1512" s="4"/>
    </row>
    <row r="1513" spans="1:15" x14ac:dyDescent="0.25">
      <c r="A1513" s="14"/>
      <c r="B1513" s="14"/>
      <c r="C1513" s="14"/>
      <c r="D1513" s="5" t="str">
        <f t="shared" si="147"/>
        <v/>
      </c>
      <c r="E1513" s="5" t="str">
        <f t="shared" si="148"/>
        <v/>
      </c>
      <c r="F1513" s="5" t="str">
        <f t="shared" si="149"/>
        <v/>
      </c>
      <c r="G1513" s="23"/>
      <c r="H1513" s="66"/>
      <c r="I1513" s="14"/>
      <c r="J1513" s="14"/>
      <c r="K1513" s="14"/>
      <c r="L1513" s="5" t="str">
        <f t="shared" si="144"/>
        <v/>
      </c>
      <c r="M1513" s="5" t="str">
        <f t="shared" si="145"/>
        <v/>
      </c>
      <c r="N1513" s="5" t="str">
        <f t="shared" si="146"/>
        <v/>
      </c>
      <c r="O1513" s="4"/>
    </row>
    <row r="1514" spans="1:15" x14ac:dyDescent="0.25">
      <c r="A1514" s="14"/>
      <c r="B1514" s="14"/>
      <c r="C1514" s="14"/>
      <c r="D1514" s="5" t="str">
        <f t="shared" si="147"/>
        <v/>
      </c>
      <c r="E1514" s="5" t="str">
        <f t="shared" si="148"/>
        <v/>
      </c>
      <c r="F1514" s="5" t="str">
        <f t="shared" si="149"/>
        <v/>
      </c>
      <c r="G1514" s="23"/>
      <c r="H1514" s="66"/>
      <c r="I1514" s="14"/>
      <c r="J1514" s="14"/>
      <c r="K1514" s="14"/>
      <c r="L1514" s="5" t="str">
        <f t="shared" si="144"/>
        <v/>
      </c>
      <c r="M1514" s="5" t="str">
        <f t="shared" si="145"/>
        <v/>
      </c>
      <c r="N1514" s="5" t="str">
        <f t="shared" si="146"/>
        <v/>
      </c>
      <c r="O1514" s="4"/>
    </row>
    <row r="1515" spans="1:15" x14ac:dyDescent="0.25">
      <c r="A1515" s="14"/>
      <c r="B1515" s="14"/>
      <c r="C1515" s="14"/>
      <c r="D1515" s="5" t="str">
        <f t="shared" si="147"/>
        <v/>
      </c>
      <c r="E1515" s="5" t="str">
        <f t="shared" si="148"/>
        <v/>
      </c>
      <c r="F1515" s="5" t="str">
        <f t="shared" si="149"/>
        <v/>
      </c>
      <c r="G1515" s="23"/>
      <c r="H1515" s="66"/>
      <c r="I1515" s="14"/>
      <c r="J1515" s="14"/>
      <c r="K1515" s="14"/>
      <c r="L1515" s="5" t="str">
        <f t="shared" si="144"/>
        <v/>
      </c>
      <c r="M1515" s="5" t="str">
        <f t="shared" si="145"/>
        <v/>
      </c>
      <c r="N1515" s="5" t="str">
        <f t="shared" si="146"/>
        <v/>
      </c>
      <c r="O1515" s="4"/>
    </row>
    <row r="1516" spans="1:15" x14ac:dyDescent="0.25">
      <c r="A1516" s="14"/>
      <c r="B1516" s="14"/>
      <c r="C1516" s="14"/>
      <c r="D1516" s="5" t="str">
        <f t="shared" si="147"/>
        <v/>
      </c>
      <c r="E1516" s="5" t="str">
        <f t="shared" si="148"/>
        <v/>
      </c>
      <c r="F1516" s="5" t="str">
        <f t="shared" si="149"/>
        <v/>
      </c>
      <c r="G1516" s="23"/>
      <c r="H1516" s="66"/>
      <c r="I1516" s="14"/>
      <c r="J1516" s="14"/>
      <c r="K1516" s="14"/>
      <c r="L1516" s="5" t="str">
        <f t="shared" si="144"/>
        <v/>
      </c>
      <c r="M1516" s="5" t="str">
        <f t="shared" si="145"/>
        <v/>
      </c>
      <c r="N1516" s="5" t="str">
        <f t="shared" si="146"/>
        <v/>
      </c>
      <c r="O1516" s="4"/>
    </row>
    <row r="1517" spans="1:15" x14ac:dyDescent="0.25">
      <c r="A1517" s="14"/>
      <c r="B1517" s="14"/>
      <c r="C1517" s="14"/>
      <c r="D1517" s="5" t="str">
        <f t="shared" si="147"/>
        <v/>
      </c>
      <c r="E1517" s="5" t="str">
        <f t="shared" si="148"/>
        <v/>
      </c>
      <c r="F1517" s="5" t="str">
        <f t="shared" si="149"/>
        <v/>
      </c>
      <c r="G1517" s="23"/>
      <c r="H1517" s="66"/>
      <c r="I1517" s="14"/>
      <c r="J1517" s="14"/>
      <c r="K1517" s="14"/>
      <c r="L1517" s="5" t="str">
        <f t="shared" si="144"/>
        <v/>
      </c>
      <c r="M1517" s="5" t="str">
        <f t="shared" si="145"/>
        <v/>
      </c>
      <c r="N1517" s="5" t="str">
        <f t="shared" si="146"/>
        <v/>
      </c>
      <c r="O1517" s="4"/>
    </row>
    <row r="1518" spans="1:15" x14ac:dyDescent="0.25">
      <c r="A1518" s="14"/>
      <c r="B1518" s="14"/>
      <c r="C1518" s="14"/>
      <c r="D1518" s="5" t="str">
        <f t="shared" si="147"/>
        <v/>
      </c>
      <c r="E1518" s="5" t="str">
        <f t="shared" si="148"/>
        <v/>
      </c>
      <c r="F1518" s="5" t="str">
        <f t="shared" si="149"/>
        <v/>
      </c>
      <c r="G1518" s="23"/>
      <c r="H1518" s="66"/>
      <c r="I1518" s="14"/>
      <c r="J1518" s="14"/>
      <c r="K1518" s="14"/>
      <c r="L1518" s="5" t="str">
        <f t="shared" si="144"/>
        <v/>
      </c>
      <c r="M1518" s="5" t="str">
        <f t="shared" si="145"/>
        <v/>
      </c>
      <c r="N1518" s="5" t="str">
        <f t="shared" si="146"/>
        <v/>
      </c>
      <c r="O1518" s="4"/>
    </row>
    <row r="1519" spans="1:15" x14ac:dyDescent="0.25">
      <c r="A1519" s="14"/>
      <c r="B1519" s="14"/>
      <c r="C1519" s="14"/>
      <c r="D1519" s="5" t="str">
        <f t="shared" si="147"/>
        <v/>
      </c>
      <c r="E1519" s="5" t="str">
        <f t="shared" si="148"/>
        <v/>
      </c>
      <c r="F1519" s="5" t="str">
        <f t="shared" si="149"/>
        <v/>
      </c>
      <c r="G1519" s="23"/>
      <c r="H1519" s="66"/>
      <c r="I1519" s="14"/>
      <c r="J1519" s="14"/>
      <c r="K1519" s="14"/>
      <c r="L1519" s="5" t="str">
        <f t="shared" si="144"/>
        <v/>
      </c>
      <c r="M1519" s="5" t="str">
        <f t="shared" si="145"/>
        <v/>
      </c>
      <c r="N1519" s="5" t="str">
        <f t="shared" si="146"/>
        <v/>
      </c>
      <c r="O1519" s="4"/>
    </row>
    <row r="1520" spans="1:15" x14ac:dyDescent="0.25">
      <c r="A1520" s="14"/>
      <c r="B1520" s="14"/>
      <c r="C1520" s="14"/>
      <c r="D1520" s="5" t="str">
        <f t="shared" si="147"/>
        <v/>
      </c>
      <c r="E1520" s="5" t="str">
        <f t="shared" si="148"/>
        <v/>
      </c>
      <c r="F1520" s="5" t="str">
        <f t="shared" si="149"/>
        <v/>
      </c>
      <c r="G1520" s="23"/>
      <c r="H1520" s="66"/>
      <c r="I1520" s="14"/>
      <c r="J1520" s="14"/>
      <c r="K1520" s="14"/>
      <c r="L1520" s="5" t="str">
        <f t="shared" si="144"/>
        <v/>
      </c>
      <c r="M1520" s="5" t="str">
        <f t="shared" si="145"/>
        <v/>
      </c>
      <c r="N1520" s="5" t="str">
        <f t="shared" si="146"/>
        <v/>
      </c>
      <c r="O1520" s="4"/>
    </row>
    <row r="1521" spans="1:15" x14ac:dyDescent="0.25">
      <c r="A1521" s="14"/>
      <c r="B1521" s="14"/>
      <c r="C1521" s="14"/>
      <c r="D1521" s="5" t="str">
        <f t="shared" si="147"/>
        <v/>
      </c>
      <c r="E1521" s="5" t="str">
        <f t="shared" si="148"/>
        <v/>
      </c>
      <c r="F1521" s="5" t="str">
        <f t="shared" si="149"/>
        <v/>
      </c>
      <c r="G1521" s="23"/>
      <c r="H1521" s="66"/>
      <c r="I1521" s="14"/>
      <c r="J1521" s="14"/>
      <c r="K1521" s="14"/>
      <c r="L1521" s="5" t="str">
        <f t="shared" si="144"/>
        <v/>
      </c>
      <c r="M1521" s="5" t="str">
        <f t="shared" si="145"/>
        <v/>
      </c>
      <c r="N1521" s="5" t="str">
        <f t="shared" si="146"/>
        <v/>
      </c>
      <c r="O1521" s="4"/>
    </row>
    <row r="1522" spans="1:15" x14ac:dyDescent="0.25">
      <c r="A1522" s="14"/>
      <c r="B1522" s="14"/>
      <c r="C1522" s="14"/>
      <c r="D1522" s="5" t="str">
        <f t="shared" si="147"/>
        <v/>
      </c>
      <c r="E1522" s="5" t="str">
        <f t="shared" si="148"/>
        <v/>
      </c>
      <c r="F1522" s="5" t="str">
        <f t="shared" si="149"/>
        <v/>
      </c>
      <c r="G1522" s="23"/>
      <c r="H1522" s="66"/>
      <c r="I1522" s="14"/>
      <c r="J1522" s="14"/>
      <c r="K1522" s="14"/>
      <c r="L1522" s="5" t="str">
        <f t="shared" si="144"/>
        <v/>
      </c>
      <c r="M1522" s="5" t="str">
        <f t="shared" si="145"/>
        <v/>
      </c>
      <c r="N1522" s="5" t="str">
        <f t="shared" si="146"/>
        <v/>
      </c>
      <c r="O1522" s="4"/>
    </row>
    <row r="1523" spans="1:15" x14ac:dyDescent="0.25">
      <c r="A1523" s="14"/>
      <c r="B1523" s="14"/>
      <c r="C1523" s="14"/>
      <c r="D1523" s="5" t="str">
        <f t="shared" si="147"/>
        <v/>
      </c>
      <c r="E1523" s="5" t="str">
        <f t="shared" si="148"/>
        <v/>
      </c>
      <c r="F1523" s="5" t="str">
        <f t="shared" si="149"/>
        <v/>
      </c>
      <c r="G1523" s="23"/>
      <c r="H1523" s="66"/>
      <c r="I1523" s="14"/>
      <c r="J1523" s="14"/>
      <c r="K1523" s="14"/>
      <c r="L1523" s="5" t="str">
        <f t="shared" si="144"/>
        <v/>
      </c>
      <c r="M1523" s="5" t="str">
        <f t="shared" si="145"/>
        <v/>
      </c>
      <c r="N1523" s="5" t="str">
        <f t="shared" si="146"/>
        <v/>
      </c>
      <c r="O1523" s="4"/>
    </row>
    <row r="1524" spans="1:15" x14ac:dyDescent="0.25">
      <c r="A1524" s="14"/>
      <c r="B1524" s="14"/>
      <c r="C1524" s="14"/>
      <c r="D1524" s="5" t="str">
        <f t="shared" si="147"/>
        <v/>
      </c>
      <c r="E1524" s="5" t="str">
        <f t="shared" si="148"/>
        <v/>
      </c>
      <c r="F1524" s="5" t="str">
        <f t="shared" si="149"/>
        <v/>
      </c>
      <c r="G1524" s="23"/>
      <c r="H1524" s="66"/>
      <c r="I1524" s="14"/>
      <c r="J1524" s="14"/>
      <c r="K1524" s="14"/>
      <c r="L1524" s="5" t="str">
        <f t="shared" si="144"/>
        <v/>
      </c>
      <c r="M1524" s="5" t="str">
        <f t="shared" si="145"/>
        <v/>
      </c>
      <c r="N1524" s="5" t="str">
        <f t="shared" si="146"/>
        <v/>
      </c>
      <c r="O1524" s="4"/>
    </row>
    <row r="1525" spans="1:15" x14ac:dyDescent="0.25">
      <c r="A1525" s="14"/>
      <c r="B1525" s="14"/>
      <c r="C1525" s="14"/>
      <c r="D1525" s="5" t="str">
        <f t="shared" si="147"/>
        <v/>
      </c>
      <c r="E1525" s="5" t="str">
        <f t="shared" si="148"/>
        <v/>
      </c>
      <c r="F1525" s="5" t="str">
        <f t="shared" si="149"/>
        <v/>
      </c>
      <c r="G1525" s="23"/>
      <c r="H1525" s="66"/>
      <c r="I1525" s="14"/>
      <c r="J1525" s="14"/>
      <c r="K1525" s="14"/>
      <c r="L1525" s="5" t="str">
        <f t="shared" si="144"/>
        <v/>
      </c>
      <c r="M1525" s="5" t="str">
        <f t="shared" si="145"/>
        <v/>
      </c>
      <c r="N1525" s="5" t="str">
        <f t="shared" si="146"/>
        <v/>
      </c>
      <c r="O1525" s="4"/>
    </row>
    <row r="1526" spans="1:15" x14ac:dyDescent="0.25">
      <c r="A1526" s="14"/>
      <c r="B1526" s="14"/>
      <c r="C1526" s="14"/>
      <c r="D1526" s="5" t="str">
        <f t="shared" si="147"/>
        <v/>
      </c>
      <c r="E1526" s="5" t="str">
        <f t="shared" si="148"/>
        <v/>
      </c>
      <c r="F1526" s="5" t="str">
        <f t="shared" si="149"/>
        <v/>
      </c>
      <c r="G1526" s="23"/>
      <c r="H1526" s="66"/>
      <c r="I1526" s="14"/>
      <c r="J1526" s="14"/>
      <c r="K1526" s="14"/>
      <c r="L1526" s="5" t="str">
        <f t="shared" si="144"/>
        <v/>
      </c>
      <c r="M1526" s="5" t="str">
        <f t="shared" si="145"/>
        <v/>
      </c>
      <c r="N1526" s="5" t="str">
        <f t="shared" si="146"/>
        <v/>
      </c>
      <c r="O1526" s="4"/>
    </row>
    <row r="1527" spans="1:15" x14ac:dyDescent="0.25">
      <c r="A1527" s="14"/>
      <c r="B1527" s="14"/>
      <c r="C1527" s="14"/>
      <c r="D1527" s="5" t="str">
        <f t="shared" si="147"/>
        <v/>
      </c>
      <c r="E1527" s="5" t="str">
        <f t="shared" si="148"/>
        <v/>
      </c>
      <c r="F1527" s="5" t="str">
        <f t="shared" si="149"/>
        <v/>
      </c>
      <c r="G1527" s="23"/>
      <c r="H1527" s="66"/>
      <c r="I1527" s="14"/>
      <c r="J1527" s="14"/>
      <c r="K1527" s="14"/>
      <c r="L1527" s="5" t="str">
        <f t="shared" si="144"/>
        <v/>
      </c>
      <c r="M1527" s="5" t="str">
        <f t="shared" si="145"/>
        <v/>
      </c>
      <c r="N1527" s="5" t="str">
        <f t="shared" si="146"/>
        <v/>
      </c>
      <c r="O1527" s="4"/>
    </row>
    <row r="1528" spans="1:15" x14ac:dyDescent="0.25">
      <c r="A1528" s="14"/>
      <c r="B1528" s="14"/>
      <c r="C1528" s="14"/>
      <c r="D1528" s="5" t="str">
        <f t="shared" si="147"/>
        <v/>
      </c>
      <c r="E1528" s="5" t="str">
        <f t="shared" si="148"/>
        <v/>
      </c>
      <c r="F1528" s="5" t="str">
        <f t="shared" si="149"/>
        <v/>
      </c>
      <c r="G1528" s="23"/>
      <c r="H1528" s="66"/>
      <c r="I1528" s="14"/>
      <c r="J1528" s="14"/>
      <c r="K1528" s="14"/>
      <c r="L1528" s="5" t="str">
        <f t="shared" si="144"/>
        <v/>
      </c>
      <c r="M1528" s="5" t="str">
        <f t="shared" si="145"/>
        <v/>
      </c>
      <c r="N1528" s="5" t="str">
        <f t="shared" si="146"/>
        <v/>
      </c>
      <c r="O1528" s="4"/>
    </row>
    <row r="1529" spans="1:15" x14ac:dyDescent="0.25">
      <c r="A1529" s="14"/>
      <c r="B1529" s="14"/>
      <c r="C1529" s="14"/>
      <c r="D1529" s="5" t="str">
        <f t="shared" si="147"/>
        <v/>
      </c>
      <c r="E1529" s="5" t="str">
        <f t="shared" si="148"/>
        <v/>
      </c>
      <c r="F1529" s="5" t="str">
        <f t="shared" si="149"/>
        <v/>
      </c>
      <c r="G1529" s="23"/>
      <c r="H1529" s="66"/>
      <c r="I1529" s="14"/>
      <c r="J1529" s="14"/>
      <c r="K1529" s="14"/>
      <c r="L1529" s="5" t="str">
        <f t="shared" si="144"/>
        <v/>
      </c>
      <c r="M1529" s="5" t="str">
        <f t="shared" si="145"/>
        <v/>
      </c>
      <c r="N1529" s="5" t="str">
        <f t="shared" si="146"/>
        <v/>
      </c>
      <c r="O1529" s="4"/>
    </row>
    <row r="1530" spans="1:15" x14ac:dyDescent="0.25">
      <c r="A1530" s="14"/>
      <c r="B1530" s="14"/>
      <c r="C1530" s="14"/>
      <c r="D1530" s="5" t="str">
        <f t="shared" si="147"/>
        <v/>
      </c>
      <c r="E1530" s="5" t="str">
        <f t="shared" si="148"/>
        <v/>
      </c>
      <c r="F1530" s="5" t="str">
        <f t="shared" si="149"/>
        <v/>
      </c>
      <c r="G1530" s="23"/>
      <c r="H1530" s="66"/>
      <c r="I1530" s="14"/>
      <c r="J1530" s="14"/>
      <c r="K1530" s="14"/>
      <c r="L1530" s="5" t="str">
        <f t="shared" si="144"/>
        <v/>
      </c>
      <c r="M1530" s="5" t="str">
        <f t="shared" si="145"/>
        <v/>
      </c>
      <c r="N1530" s="5" t="str">
        <f t="shared" si="146"/>
        <v/>
      </c>
      <c r="O1530" s="4"/>
    </row>
    <row r="1531" spans="1:15" x14ac:dyDescent="0.25">
      <c r="A1531" s="14"/>
      <c r="B1531" s="14"/>
      <c r="C1531" s="14"/>
      <c r="D1531" s="5" t="str">
        <f t="shared" si="147"/>
        <v/>
      </c>
      <c r="E1531" s="5" t="str">
        <f t="shared" si="148"/>
        <v/>
      </c>
      <c r="F1531" s="5" t="str">
        <f t="shared" si="149"/>
        <v/>
      </c>
      <c r="G1531" s="23"/>
      <c r="H1531" s="66"/>
      <c r="I1531" s="14"/>
      <c r="J1531" s="14"/>
      <c r="K1531" s="14"/>
      <c r="L1531" s="5" t="str">
        <f t="shared" si="144"/>
        <v/>
      </c>
      <c r="M1531" s="5" t="str">
        <f t="shared" si="145"/>
        <v/>
      </c>
      <c r="N1531" s="5" t="str">
        <f t="shared" si="146"/>
        <v/>
      </c>
      <c r="O1531" s="4"/>
    </row>
    <row r="1532" spans="1:15" x14ac:dyDescent="0.25">
      <c r="A1532" s="14"/>
      <c r="B1532" s="14"/>
      <c r="C1532" s="14"/>
      <c r="D1532" s="5" t="str">
        <f t="shared" si="147"/>
        <v/>
      </c>
      <c r="E1532" s="5" t="str">
        <f t="shared" si="148"/>
        <v/>
      </c>
      <c r="F1532" s="5" t="str">
        <f t="shared" si="149"/>
        <v/>
      </c>
      <c r="G1532" s="23"/>
      <c r="H1532" s="66"/>
      <c r="I1532" s="14"/>
      <c r="J1532" s="14"/>
      <c r="K1532" s="14"/>
      <c r="L1532" s="5" t="str">
        <f t="shared" si="144"/>
        <v/>
      </c>
      <c r="M1532" s="5" t="str">
        <f t="shared" si="145"/>
        <v/>
      </c>
      <c r="N1532" s="5" t="str">
        <f t="shared" si="146"/>
        <v/>
      </c>
      <c r="O1532" s="4"/>
    </row>
    <row r="1533" spans="1:15" x14ac:dyDescent="0.25">
      <c r="A1533" s="14"/>
      <c r="B1533" s="14"/>
      <c r="C1533" s="14"/>
      <c r="D1533" s="5" t="str">
        <f t="shared" si="147"/>
        <v/>
      </c>
      <c r="E1533" s="5" t="str">
        <f t="shared" si="148"/>
        <v/>
      </c>
      <c r="F1533" s="5" t="str">
        <f t="shared" si="149"/>
        <v/>
      </c>
      <c r="G1533" s="23"/>
      <c r="H1533" s="66"/>
      <c r="I1533" s="14"/>
      <c r="J1533" s="14"/>
      <c r="K1533" s="14"/>
      <c r="L1533" s="5" t="str">
        <f t="shared" si="144"/>
        <v/>
      </c>
      <c r="M1533" s="5" t="str">
        <f t="shared" si="145"/>
        <v/>
      </c>
      <c r="N1533" s="5" t="str">
        <f t="shared" si="146"/>
        <v/>
      </c>
      <c r="O1533" s="4"/>
    </row>
    <row r="1534" spans="1:15" x14ac:dyDescent="0.25">
      <c r="A1534" s="14"/>
      <c r="B1534" s="14"/>
      <c r="C1534" s="14"/>
      <c r="D1534" s="5" t="str">
        <f t="shared" si="147"/>
        <v/>
      </c>
      <c r="E1534" s="5" t="str">
        <f t="shared" si="148"/>
        <v/>
      </c>
      <c r="F1534" s="5" t="str">
        <f t="shared" si="149"/>
        <v/>
      </c>
      <c r="G1534" s="23"/>
      <c r="H1534" s="66"/>
      <c r="I1534" s="14"/>
      <c r="J1534" s="14"/>
      <c r="K1534" s="14"/>
      <c r="L1534" s="5" t="str">
        <f t="shared" si="144"/>
        <v/>
      </c>
      <c r="M1534" s="5" t="str">
        <f t="shared" si="145"/>
        <v/>
      </c>
      <c r="N1534" s="5" t="str">
        <f t="shared" si="146"/>
        <v/>
      </c>
      <c r="O1534" s="4"/>
    </row>
    <row r="1535" spans="1:15" x14ac:dyDescent="0.25">
      <c r="A1535" s="14"/>
      <c r="B1535" s="14"/>
      <c r="C1535" s="14"/>
      <c r="D1535" s="5" t="str">
        <f t="shared" si="147"/>
        <v/>
      </c>
      <c r="E1535" s="5" t="str">
        <f t="shared" si="148"/>
        <v/>
      </c>
      <c r="F1535" s="5" t="str">
        <f t="shared" si="149"/>
        <v/>
      </c>
      <c r="G1535" s="23"/>
      <c r="H1535" s="66"/>
      <c r="I1535" s="14"/>
      <c r="J1535" s="14"/>
      <c r="K1535" s="14"/>
      <c r="L1535" s="5" t="str">
        <f t="shared" si="144"/>
        <v/>
      </c>
      <c r="M1535" s="5" t="str">
        <f t="shared" si="145"/>
        <v/>
      </c>
      <c r="N1535" s="5" t="str">
        <f t="shared" si="146"/>
        <v/>
      </c>
      <c r="O1535" s="4"/>
    </row>
    <row r="1536" spans="1:15" x14ac:dyDescent="0.25">
      <c r="A1536" s="14"/>
      <c r="B1536" s="14"/>
      <c r="C1536" s="14"/>
      <c r="D1536" s="5" t="str">
        <f t="shared" si="147"/>
        <v/>
      </c>
      <c r="E1536" s="5" t="str">
        <f t="shared" si="148"/>
        <v/>
      </c>
      <c r="F1536" s="5" t="str">
        <f t="shared" si="149"/>
        <v/>
      </c>
      <c r="G1536" s="23"/>
      <c r="H1536" s="66"/>
      <c r="I1536" s="14"/>
      <c r="J1536" s="14"/>
      <c r="K1536" s="14"/>
      <c r="L1536" s="5" t="str">
        <f t="shared" si="144"/>
        <v/>
      </c>
      <c r="M1536" s="5" t="str">
        <f t="shared" si="145"/>
        <v/>
      </c>
      <c r="N1536" s="5" t="str">
        <f t="shared" si="146"/>
        <v/>
      </c>
      <c r="O1536" s="4"/>
    </row>
    <row r="1537" spans="1:15" x14ac:dyDescent="0.25">
      <c r="A1537" s="14"/>
      <c r="B1537" s="14"/>
      <c r="C1537" s="14"/>
      <c r="D1537" s="5" t="str">
        <f t="shared" si="147"/>
        <v/>
      </c>
      <c r="E1537" s="5" t="str">
        <f t="shared" si="148"/>
        <v/>
      </c>
      <c r="F1537" s="5" t="str">
        <f t="shared" si="149"/>
        <v/>
      </c>
      <c r="G1537" s="23"/>
      <c r="H1537" s="66"/>
      <c r="I1537" s="14"/>
      <c r="J1537" s="14"/>
      <c r="K1537" s="14"/>
      <c r="L1537" s="5" t="str">
        <f t="shared" si="144"/>
        <v/>
      </c>
      <c r="M1537" s="5" t="str">
        <f t="shared" si="145"/>
        <v/>
      </c>
      <c r="N1537" s="5" t="str">
        <f t="shared" si="146"/>
        <v/>
      </c>
      <c r="O1537" s="4"/>
    </row>
    <row r="1538" spans="1:15" x14ac:dyDescent="0.25">
      <c r="A1538" s="14"/>
      <c r="B1538" s="14"/>
      <c r="C1538" s="14"/>
      <c r="D1538" s="5" t="str">
        <f t="shared" si="147"/>
        <v/>
      </c>
      <c r="E1538" s="5" t="str">
        <f t="shared" si="148"/>
        <v/>
      </c>
      <c r="F1538" s="5" t="str">
        <f t="shared" si="149"/>
        <v/>
      </c>
      <c r="G1538" s="23"/>
      <c r="H1538" s="66"/>
      <c r="I1538" s="14"/>
      <c r="J1538" s="14"/>
      <c r="K1538" s="14"/>
      <c r="L1538" s="5" t="str">
        <f t="shared" si="144"/>
        <v/>
      </c>
      <c r="M1538" s="5" t="str">
        <f t="shared" si="145"/>
        <v/>
      </c>
      <c r="N1538" s="5" t="str">
        <f t="shared" si="146"/>
        <v/>
      </c>
      <c r="O1538" s="4"/>
    </row>
    <row r="1539" spans="1:15" x14ac:dyDescent="0.25">
      <c r="A1539" s="14"/>
      <c r="B1539" s="14"/>
      <c r="C1539" s="14"/>
      <c r="D1539" s="5" t="str">
        <f t="shared" si="147"/>
        <v/>
      </c>
      <c r="E1539" s="5" t="str">
        <f t="shared" si="148"/>
        <v/>
      </c>
      <c r="F1539" s="5" t="str">
        <f t="shared" si="149"/>
        <v/>
      </c>
      <c r="G1539" s="23"/>
      <c r="H1539" s="66"/>
      <c r="I1539" s="14"/>
      <c r="J1539" s="14"/>
      <c r="K1539" s="14"/>
      <c r="L1539" s="5" t="str">
        <f t="shared" si="144"/>
        <v/>
      </c>
      <c r="M1539" s="5" t="str">
        <f t="shared" si="145"/>
        <v/>
      </c>
      <c r="N1539" s="5" t="str">
        <f t="shared" si="146"/>
        <v/>
      </c>
      <c r="O1539" s="4"/>
    </row>
    <row r="1540" spans="1:15" x14ac:dyDescent="0.25">
      <c r="A1540" s="14"/>
      <c r="B1540" s="14"/>
      <c r="C1540" s="14"/>
      <c r="D1540" s="5" t="str">
        <f t="shared" si="147"/>
        <v/>
      </c>
      <c r="E1540" s="5" t="str">
        <f t="shared" si="148"/>
        <v/>
      </c>
      <c r="F1540" s="5" t="str">
        <f t="shared" si="149"/>
        <v/>
      </c>
      <c r="G1540" s="23"/>
      <c r="H1540" s="66"/>
      <c r="I1540" s="14"/>
      <c r="J1540" s="14"/>
      <c r="K1540" s="14"/>
      <c r="L1540" s="5" t="str">
        <f t="shared" si="144"/>
        <v/>
      </c>
      <c r="M1540" s="5" t="str">
        <f t="shared" si="145"/>
        <v/>
      </c>
      <c r="N1540" s="5" t="str">
        <f t="shared" si="146"/>
        <v/>
      </c>
      <c r="O1540" s="4"/>
    </row>
    <row r="1541" spans="1:15" x14ac:dyDescent="0.25">
      <c r="A1541" s="14"/>
      <c r="B1541" s="14"/>
      <c r="C1541" s="14"/>
      <c r="D1541" s="5" t="str">
        <f t="shared" si="147"/>
        <v/>
      </c>
      <c r="E1541" s="5" t="str">
        <f t="shared" si="148"/>
        <v/>
      </c>
      <c r="F1541" s="5" t="str">
        <f t="shared" si="149"/>
        <v/>
      </c>
      <c r="G1541" s="23"/>
      <c r="H1541" s="66"/>
      <c r="I1541" s="14"/>
      <c r="J1541" s="14"/>
      <c r="K1541" s="14"/>
      <c r="L1541" s="5" t="str">
        <f t="shared" si="144"/>
        <v/>
      </c>
      <c r="M1541" s="5" t="str">
        <f t="shared" si="145"/>
        <v/>
      </c>
      <c r="N1541" s="5" t="str">
        <f t="shared" si="146"/>
        <v/>
      </c>
      <c r="O1541" s="4"/>
    </row>
    <row r="1542" spans="1:15" x14ac:dyDescent="0.25">
      <c r="A1542" s="14"/>
      <c r="B1542" s="14"/>
      <c r="C1542" s="14"/>
      <c r="D1542" s="5" t="str">
        <f t="shared" si="147"/>
        <v/>
      </c>
      <c r="E1542" s="5" t="str">
        <f t="shared" si="148"/>
        <v/>
      </c>
      <c r="F1542" s="5" t="str">
        <f t="shared" si="149"/>
        <v/>
      </c>
      <c r="G1542" s="23"/>
      <c r="H1542" s="66"/>
      <c r="I1542" s="14"/>
      <c r="J1542" s="14"/>
      <c r="K1542" s="14"/>
      <c r="L1542" s="5" t="str">
        <f t="shared" si="144"/>
        <v/>
      </c>
      <c r="M1542" s="5" t="str">
        <f t="shared" si="145"/>
        <v/>
      </c>
      <c r="N1542" s="5" t="str">
        <f t="shared" si="146"/>
        <v/>
      </c>
      <c r="O1542" s="4"/>
    </row>
    <row r="1543" spans="1:15" x14ac:dyDescent="0.25">
      <c r="A1543" s="14"/>
      <c r="B1543" s="14"/>
      <c r="C1543" s="14"/>
      <c r="D1543" s="5" t="str">
        <f t="shared" si="147"/>
        <v/>
      </c>
      <c r="E1543" s="5" t="str">
        <f t="shared" si="148"/>
        <v/>
      </c>
      <c r="F1543" s="5" t="str">
        <f t="shared" si="149"/>
        <v/>
      </c>
      <c r="G1543" s="23"/>
      <c r="H1543" s="66"/>
      <c r="I1543" s="14"/>
      <c r="J1543" s="14"/>
      <c r="K1543" s="14"/>
      <c r="L1543" s="5" t="str">
        <f t="shared" si="144"/>
        <v/>
      </c>
      <c r="M1543" s="5" t="str">
        <f t="shared" si="145"/>
        <v/>
      </c>
      <c r="N1543" s="5" t="str">
        <f t="shared" si="146"/>
        <v/>
      </c>
      <c r="O1543" s="4"/>
    </row>
    <row r="1544" spans="1:15" x14ac:dyDescent="0.25">
      <c r="A1544" s="14"/>
      <c r="B1544" s="14"/>
      <c r="C1544" s="14"/>
      <c r="D1544" s="5" t="str">
        <f t="shared" si="147"/>
        <v/>
      </c>
      <c r="E1544" s="5" t="str">
        <f t="shared" si="148"/>
        <v/>
      </c>
      <c r="F1544" s="5" t="str">
        <f t="shared" si="149"/>
        <v/>
      </c>
      <c r="G1544" s="23"/>
      <c r="H1544" s="66"/>
      <c r="I1544" s="14"/>
      <c r="J1544" s="14"/>
      <c r="K1544" s="14"/>
      <c r="L1544" s="5" t="str">
        <f t="shared" si="144"/>
        <v/>
      </c>
      <c r="M1544" s="5" t="str">
        <f t="shared" si="145"/>
        <v/>
      </c>
      <c r="N1544" s="5" t="str">
        <f t="shared" si="146"/>
        <v/>
      </c>
      <c r="O1544" s="4"/>
    </row>
    <row r="1545" spans="1:15" x14ac:dyDescent="0.25">
      <c r="A1545" s="14"/>
      <c r="B1545" s="14"/>
      <c r="C1545" s="14"/>
      <c r="D1545" s="5" t="str">
        <f t="shared" si="147"/>
        <v/>
      </c>
      <c r="E1545" s="5" t="str">
        <f t="shared" si="148"/>
        <v/>
      </c>
      <c r="F1545" s="5" t="str">
        <f t="shared" si="149"/>
        <v/>
      </c>
      <c r="G1545" s="23"/>
      <c r="H1545" s="66"/>
      <c r="I1545" s="14"/>
      <c r="J1545" s="14"/>
      <c r="K1545" s="14"/>
      <c r="L1545" s="5" t="str">
        <f t="shared" si="144"/>
        <v/>
      </c>
      <c r="M1545" s="5" t="str">
        <f t="shared" si="145"/>
        <v/>
      </c>
      <c r="N1545" s="5" t="str">
        <f t="shared" si="146"/>
        <v/>
      </c>
      <c r="O1545" s="4"/>
    </row>
    <row r="1546" spans="1:15" x14ac:dyDescent="0.25">
      <c r="A1546" s="14"/>
      <c r="B1546" s="14"/>
      <c r="C1546" s="14"/>
      <c r="D1546" s="5" t="str">
        <f t="shared" si="147"/>
        <v/>
      </c>
      <c r="E1546" s="5" t="str">
        <f t="shared" si="148"/>
        <v/>
      </c>
      <c r="F1546" s="5" t="str">
        <f t="shared" si="149"/>
        <v/>
      </c>
      <c r="G1546" s="23"/>
      <c r="H1546" s="66"/>
      <c r="I1546" s="14"/>
      <c r="J1546" s="14"/>
      <c r="K1546" s="14"/>
      <c r="L1546" s="5" t="str">
        <f t="shared" ref="L1546:L1609" si="150">IFERROR(IF(I1546&lt;&gt;"",(((J1546-J1545)*$X$4/(I1546-I1545)))*$X$5,""),"")</f>
        <v/>
      </c>
      <c r="M1546" s="5" t="str">
        <f t="shared" ref="M1546:M1609" si="151">IFERROR(IF(I1546&lt;&gt;"",(((K1546-K1545)*$X$4/(I1546-I1545)))*$X$5,""),"")</f>
        <v/>
      </c>
      <c r="N1546" s="5" t="str">
        <f t="shared" ref="N1546:N1609" si="152">IFERROR(IF(I1546&lt;&gt;"",((ACOS((COS(RADIANS(J1545))*COS(RADIANS(J1546)))+(SIN(RADIANS(J1545))*SIN(RADIANS(J1546)))*COS(RADIANS(K1546-K1545)))*180/PI()*($X$4/(I1546-I1545))))*$X$5,""),"")</f>
        <v/>
      </c>
      <c r="O1546" s="4"/>
    </row>
    <row r="1547" spans="1:15" x14ac:dyDescent="0.25">
      <c r="A1547" s="14"/>
      <c r="B1547" s="14"/>
      <c r="C1547" s="14"/>
      <c r="D1547" s="5" t="str">
        <f t="shared" si="147"/>
        <v/>
      </c>
      <c r="E1547" s="5" t="str">
        <f t="shared" si="148"/>
        <v/>
      </c>
      <c r="F1547" s="5" t="str">
        <f t="shared" si="149"/>
        <v/>
      </c>
      <c r="G1547" s="23"/>
      <c r="H1547" s="66"/>
      <c r="I1547" s="14"/>
      <c r="J1547" s="14"/>
      <c r="K1547" s="14"/>
      <c r="L1547" s="5" t="str">
        <f t="shared" si="150"/>
        <v/>
      </c>
      <c r="M1547" s="5" t="str">
        <f t="shared" si="151"/>
        <v/>
      </c>
      <c r="N1547" s="5" t="str">
        <f t="shared" si="152"/>
        <v/>
      </c>
      <c r="O1547" s="4"/>
    </row>
    <row r="1548" spans="1:15" x14ac:dyDescent="0.25">
      <c r="A1548" s="14"/>
      <c r="B1548" s="14"/>
      <c r="C1548" s="14"/>
      <c r="D1548" s="5" t="str">
        <f t="shared" si="147"/>
        <v/>
      </c>
      <c r="E1548" s="5" t="str">
        <f t="shared" si="148"/>
        <v/>
      </c>
      <c r="F1548" s="5" t="str">
        <f t="shared" si="149"/>
        <v/>
      </c>
      <c r="G1548" s="23"/>
      <c r="H1548" s="66"/>
      <c r="I1548" s="14"/>
      <c r="J1548" s="14"/>
      <c r="K1548" s="14"/>
      <c r="L1548" s="5" t="str">
        <f t="shared" si="150"/>
        <v/>
      </c>
      <c r="M1548" s="5" t="str">
        <f t="shared" si="151"/>
        <v/>
      </c>
      <c r="N1548" s="5" t="str">
        <f t="shared" si="152"/>
        <v/>
      </c>
      <c r="O1548" s="4"/>
    </row>
    <row r="1549" spans="1:15" x14ac:dyDescent="0.25">
      <c r="A1549" s="14"/>
      <c r="B1549" s="14"/>
      <c r="C1549" s="14"/>
      <c r="D1549" s="5" t="str">
        <f t="shared" si="147"/>
        <v/>
      </c>
      <c r="E1549" s="5" t="str">
        <f t="shared" si="148"/>
        <v/>
      </c>
      <c r="F1549" s="5" t="str">
        <f t="shared" si="149"/>
        <v/>
      </c>
      <c r="G1549" s="23"/>
      <c r="H1549" s="66"/>
      <c r="I1549" s="14"/>
      <c r="J1549" s="14"/>
      <c r="K1549" s="14"/>
      <c r="L1549" s="5" t="str">
        <f t="shared" si="150"/>
        <v/>
      </c>
      <c r="M1549" s="5" t="str">
        <f t="shared" si="151"/>
        <v/>
      </c>
      <c r="N1549" s="5" t="str">
        <f t="shared" si="152"/>
        <v/>
      </c>
      <c r="O1549" s="4"/>
    </row>
    <row r="1550" spans="1:15" x14ac:dyDescent="0.25">
      <c r="A1550" s="14"/>
      <c r="B1550" s="14"/>
      <c r="C1550" s="14"/>
      <c r="D1550" s="5" t="str">
        <f t="shared" si="147"/>
        <v/>
      </c>
      <c r="E1550" s="5" t="str">
        <f t="shared" si="148"/>
        <v/>
      </c>
      <c r="F1550" s="5" t="str">
        <f t="shared" si="149"/>
        <v/>
      </c>
      <c r="G1550" s="23"/>
      <c r="H1550" s="66"/>
      <c r="I1550" s="14"/>
      <c r="J1550" s="14"/>
      <c r="K1550" s="14"/>
      <c r="L1550" s="5" t="str">
        <f t="shared" si="150"/>
        <v/>
      </c>
      <c r="M1550" s="5" t="str">
        <f t="shared" si="151"/>
        <v/>
      </c>
      <c r="N1550" s="5" t="str">
        <f t="shared" si="152"/>
        <v/>
      </c>
      <c r="O1550" s="4"/>
    </row>
    <row r="1551" spans="1:15" x14ac:dyDescent="0.25">
      <c r="A1551" s="14"/>
      <c r="B1551" s="14"/>
      <c r="C1551" s="14"/>
      <c r="D1551" s="5" t="str">
        <f t="shared" si="147"/>
        <v/>
      </c>
      <c r="E1551" s="5" t="str">
        <f t="shared" si="148"/>
        <v/>
      </c>
      <c r="F1551" s="5" t="str">
        <f t="shared" si="149"/>
        <v/>
      </c>
      <c r="G1551" s="23"/>
      <c r="H1551" s="66"/>
      <c r="I1551" s="14"/>
      <c r="J1551" s="14"/>
      <c r="K1551" s="14"/>
      <c r="L1551" s="5" t="str">
        <f t="shared" si="150"/>
        <v/>
      </c>
      <c r="M1551" s="5" t="str">
        <f t="shared" si="151"/>
        <v/>
      </c>
      <c r="N1551" s="5" t="str">
        <f t="shared" si="152"/>
        <v/>
      </c>
      <c r="O1551" s="4"/>
    </row>
    <row r="1552" spans="1:15" x14ac:dyDescent="0.25">
      <c r="A1552" s="14"/>
      <c r="B1552" s="14"/>
      <c r="C1552" s="14"/>
      <c r="D1552" s="5" t="str">
        <f t="shared" si="147"/>
        <v/>
      </c>
      <c r="E1552" s="5" t="str">
        <f t="shared" si="148"/>
        <v/>
      </c>
      <c r="F1552" s="5" t="str">
        <f t="shared" si="149"/>
        <v/>
      </c>
      <c r="G1552" s="23"/>
      <c r="H1552" s="66"/>
      <c r="I1552" s="14"/>
      <c r="J1552" s="14"/>
      <c r="K1552" s="14"/>
      <c r="L1552" s="5" t="str">
        <f t="shared" si="150"/>
        <v/>
      </c>
      <c r="M1552" s="5" t="str">
        <f t="shared" si="151"/>
        <v/>
      </c>
      <c r="N1552" s="5" t="str">
        <f t="shared" si="152"/>
        <v/>
      </c>
      <c r="O1552" s="4"/>
    </row>
    <row r="1553" spans="1:15" x14ac:dyDescent="0.25">
      <c r="A1553" s="14"/>
      <c r="B1553" s="14"/>
      <c r="C1553" s="14"/>
      <c r="D1553" s="5" t="str">
        <f t="shared" si="147"/>
        <v/>
      </c>
      <c r="E1553" s="5" t="str">
        <f t="shared" si="148"/>
        <v/>
      </c>
      <c r="F1553" s="5" t="str">
        <f t="shared" si="149"/>
        <v/>
      </c>
      <c r="G1553" s="23"/>
      <c r="H1553" s="66"/>
      <c r="I1553" s="14"/>
      <c r="J1553" s="14"/>
      <c r="K1553" s="14"/>
      <c r="L1553" s="5" t="str">
        <f t="shared" si="150"/>
        <v/>
      </c>
      <c r="M1553" s="5" t="str">
        <f t="shared" si="151"/>
        <v/>
      </c>
      <c r="N1553" s="5" t="str">
        <f t="shared" si="152"/>
        <v/>
      </c>
      <c r="O1553" s="4"/>
    </row>
    <row r="1554" spans="1:15" x14ac:dyDescent="0.25">
      <c r="A1554" s="14"/>
      <c r="B1554" s="14"/>
      <c r="C1554" s="14"/>
      <c r="D1554" s="5" t="str">
        <f t="shared" si="147"/>
        <v/>
      </c>
      <c r="E1554" s="5" t="str">
        <f t="shared" si="148"/>
        <v/>
      </c>
      <c r="F1554" s="5" t="str">
        <f t="shared" si="149"/>
        <v/>
      </c>
      <c r="G1554" s="23"/>
      <c r="H1554" s="66"/>
      <c r="I1554" s="14"/>
      <c r="J1554" s="14"/>
      <c r="K1554" s="14"/>
      <c r="L1554" s="5" t="str">
        <f t="shared" si="150"/>
        <v/>
      </c>
      <c r="M1554" s="5" t="str">
        <f t="shared" si="151"/>
        <v/>
      </c>
      <c r="N1554" s="5" t="str">
        <f t="shared" si="152"/>
        <v/>
      </c>
      <c r="O1554" s="4"/>
    </row>
    <row r="1555" spans="1:15" x14ac:dyDescent="0.25">
      <c r="A1555" s="14"/>
      <c r="B1555" s="14"/>
      <c r="C1555" s="14"/>
      <c r="D1555" s="5" t="str">
        <f t="shared" si="147"/>
        <v/>
      </c>
      <c r="E1555" s="5" t="str">
        <f t="shared" si="148"/>
        <v/>
      </c>
      <c r="F1555" s="5" t="str">
        <f t="shared" si="149"/>
        <v/>
      </c>
      <c r="G1555" s="23"/>
      <c r="H1555" s="66"/>
      <c r="I1555" s="14"/>
      <c r="J1555" s="14"/>
      <c r="K1555" s="14"/>
      <c r="L1555" s="5" t="str">
        <f t="shared" si="150"/>
        <v/>
      </c>
      <c r="M1555" s="5" t="str">
        <f t="shared" si="151"/>
        <v/>
      </c>
      <c r="N1555" s="5" t="str">
        <f t="shared" si="152"/>
        <v/>
      </c>
      <c r="O1555" s="4"/>
    </row>
    <row r="1556" spans="1:15" x14ac:dyDescent="0.25">
      <c r="A1556" s="14"/>
      <c r="B1556" s="14"/>
      <c r="C1556" s="14"/>
      <c r="D1556" s="5" t="str">
        <f t="shared" si="147"/>
        <v/>
      </c>
      <c r="E1556" s="5" t="str">
        <f t="shared" si="148"/>
        <v/>
      </c>
      <c r="F1556" s="5" t="str">
        <f t="shared" si="149"/>
        <v/>
      </c>
      <c r="G1556" s="23"/>
      <c r="H1556" s="66"/>
      <c r="I1556" s="14"/>
      <c r="J1556" s="14"/>
      <c r="K1556" s="14"/>
      <c r="L1556" s="5" t="str">
        <f t="shared" si="150"/>
        <v/>
      </c>
      <c r="M1556" s="5" t="str">
        <f t="shared" si="151"/>
        <v/>
      </c>
      <c r="N1556" s="5" t="str">
        <f t="shared" si="152"/>
        <v/>
      </c>
      <c r="O1556" s="4"/>
    </row>
    <row r="1557" spans="1:15" x14ac:dyDescent="0.25">
      <c r="A1557" s="14"/>
      <c r="B1557" s="14"/>
      <c r="C1557" s="14"/>
      <c r="D1557" s="5" t="str">
        <f t="shared" si="147"/>
        <v/>
      </c>
      <c r="E1557" s="5" t="str">
        <f t="shared" si="148"/>
        <v/>
      </c>
      <c r="F1557" s="5" t="str">
        <f t="shared" si="149"/>
        <v/>
      </c>
      <c r="G1557" s="23"/>
      <c r="H1557" s="66"/>
      <c r="I1557" s="14"/>
      <c r="J1557" s="14"/>
      <c r="K1557" s="14"/>
      <c r="L1557" s="5" t="str">
        <f t="shared" si="150"/>
        <v/>
      </c>
      <c r="M1557" s="5" t="str">
        <f t="shared" si="151"/>
        <v/>
      </c>
      <c r="N1557" s="5" t="str">
        <f t="shared" si="152"/>
        <v/>
      </c>
      <c r="O1557" s="4"/>
    </row>
    <row r="1558" spans="1:15" x14ac:dyDescent="0.25">
      <c r="A1558" s="14"/>
      <c r="B1558" s="14"/>
      <c r="C1558" s="14"/>
      <c r="D1558" s="5" t="str">
        <f t="shared" si="147"/>
        <v/>
      </c>
      <c r="E1558" s="5" t="str">
        <f t="shared" si="148"/>
        <v/>
      </c>
      <c r="F1558" s="5" t="str">
        <f t="shared" si="149"/>
        <v/>
      </c>
      <c r="G1558" s="23"/>
      <c r="H1558" s="66"/>
      <c r="I1558" s="14"/>
      <c r="J1558" s="14"/>
      <c r="K1558" s="14"/>
      <c r="L1558" s="5" t="str">
        <f t="shared" si="150"/>
        <v/>
      </c>
      <c r="M1558" s="5" t="str">
        <f t="shared" si="151"/>
        <v/>
      </c>
      <c r="N1558" s="5" t="str">
        <f t="shared" si="152"/>
        <v/>
      </c>
      <c r="O1558" s="4"/>
    </row>
    <row r="1559" spans="1:15" x14ac:dyDescent="0.25">
      <c r="A1559" s="14"/>
      <c r="B1559" s="14"/>
      <c r="C1559" s="14"/>
      <c r="D1559" s="5" t="str">
        <f t="shared" si="147"/>
        <v/>
      </c>
      <c r="E1559" s="5" t="str">
        <f t="shared" si="148"/>
        <v/>
      </c>
      <c r="F1559" s="5" t="str">
        <f t="shared" si="149"/>
        <v/>
      </c>
      <c r="G1559" s="23"/>
      <c r="H1559" s="66"/>
      <c r="I1559" s="14"/>
      <c r="J1559" s="14"/>
      <c r="K1559" s="14"/>
      <c r="L1559" s="5" t="str">
        <f t="shared" si="150"/>
        <v/>
      </c>
      <c r="M1559" s="5" t="str">
        <f t="shared" si="151"/>
        <v/>
      </c>
      <c r="N1559" s="5" t="str">
        <f t="shared" si="152"/>
        <v/>
      </c>
      <c r="O1559" s="4"/>
    </row>
    <row r="1560" spans="1:15" x14ac:dyDescent="0.25">
      <c r="A1560" s="14"/>
      <c r="B1560" s="14"/>
      <c r="C1560" s="14"/>
      <c r="D1560" s="5" t="str">
        <f t="shared" si="147"/>
        <v/>
      </c>
      <c r="E1560" s="5" t="str">
        <f t="shared" si="148"/>
        <v/>
      </c>
      <c r="F1560" s="5" t="str">
        <f t="shared" si="149"/>
        <v/>
      </c>
      <c r="G1560" s="23"/>
      <c r="H1560" s="66"/>
      <c r="I1560" s="14"/>
      <c r="J1560" s="14"/>
      <c r="K1560" s="14"/>
      <c r="L1560" s="5" t="str">
        <f t="shared" si="150"/>
        <v/>
      </c>
      <c r="M1560" s="5" t="str">
        <f t="shared" si="151"/>
        <v/>
      </c>
      <c r="N1560" s="5" t="str">
        <f t="shared" si="152"/>
        <v/>
      </c>
      <c r="O1560" s="4"/>
    </row>
    <row r="1561" spans="1:15" x14ac:dyDescent="0.25">
      <c r="A1561" s="14"/>
      <c r="B1561" s="14"/>
      <c r="C1561" s="14"/>
      <c r="D1561" s="5" t="str">
        <f t="shared" ref="D1561:D1624" si="153">IFERROR( IF(A1561&lt;&gt;"",((B1561-B1560)*$X$4/(A1561-A1560))*$X$5,""),"")</f>
        <v/>
      </c>
      <c r="E1561" s="5" t="str">
        <f t="shared" ref="E1561:E1624" si="154">IFERROR(IF(A1561&lt;&gt;"",((C1561-C1560)*$X$4/(A1561-A1560))*$X$5,""),"")</f>
        <v/>
      </c>
      <c r="F1561" s="5" t="str">
        <f t="shared" ref="F1561:F1624" si="155">IFERROR(IF(A1561&lt;&gt;"",((ACOS((COS(RADIANS(B1560))*COS(RADIANS(B1561)))+(SIN(RADIANS(B1560))*SIN(RADIANS(B1561)))*COS(RADIANS(C1561-C1560)))*180/PI()*($X$4/(A1561-A1560))))*$X$5,""),"")</f>
        <v/>
      </c>
      <c r="G1561" s="23"/>
      <c r="H1561" s="66"/>
      <c r="I1561" s="14"/>
      <c r="J1561" s="14"/>
      <c r="K1561" s="14"/>
      <c r="L1561" s="5" t="str">
        <f t="shared" si="150"/>
        <v/>
      </c>
      <c r="M1561" s="5" t="str">
        <f t="shared" si="151"/>
        <v/>
      </c>
      <c r="N1561" s="5" t="str">
        <f t="shared" si="152"/>
        <v/>
      </c>
      <c r="O1561" s="4"/>
    </row>
    <row r="1562" spans="1:15" x14ac:dyDescent="0.25">
      <c r="A1562" s="14"/>
      <c r="B1562" s="14"/>
      <c r="C1562" s="14"/>
      <c r="D1562" s="5" t="str">
        <f t="shared" si="153"/>
        <v/>
      </c>
      <c r="E1562" s="5" t="str">
        <f t="shared" si="154"/>
        <v/>
      </c>
      <c r="F1562" s="5" t="str">
        <f t="shared" si="155"/>
        <v/>
      </c>
      <c r="G1562" s="23"/>
      <c r="H1562" s="66"/>
      <c r="I1562" s="14"/>
      <c r="J1562" s="14"/>
      <c r="K1562" s="14"/>
      <c r="L1562" s="5" t="str">
        <f t="shared" si="150"/>
        <v/>
      </c>
      <c r="M1562" s="5" t="str">
        <f t="shared" si="151"/>
        <v/>
      </c>
      <c r="N1562" s="5" t="str">
        <f t="shared" si="152"/>
        <v/>
      </c>
      <c r="O1562" s="4"/>
    </row>
    <row r="1563" spans="1:15" x14ac:dyDescent="0.25">
      <c r="A1563" s="14"/>
      <c r="B1563" s="14"/>
      <c r="C1563" s="14"/>
      <c r="D1563" s="5" t="str">
        <f t="shared" si="153"/>
        <v/>
      </c>
      <c r="E1563" s="5" t="str">
        <f t="shared" si="154"/>
        <v/>
      </c>
      <c r="F1563" s="5" t="str">
        <f t="shared" si="155"/>
        <v/>
      </c>
      <c r="G1563" s="23"/>
      <c r="H1563" s="66"/>
      <c r="I1563" s="14"/>
      <c r="J1563" s="14"/>
      <c r="K1563" s="14"/>
      <c r="L1563" s="5" t="str">
        <f t="shared" si="150"/>
        <v/>
      </c>
      <c r="M1563" s="5" t="str">
        <f t="shared" si="151"/>
        <v/>
      </c>
      <c r="N1563" s="5" t="str">
        <f t="shared" si="152"/>
        <v/>
      </c>
      <c r="O1563" s="4"/>
    </row>
    <row r="1564" spans="1:15" x14ac:dyDescent="0.25">
      <c r="A1564" s="14"/>
      <c r="B1564" s="14"/>
      <c r="C1564" s="14"/>
      <c r="D1564" s="5" t="str">
        <f t="shared" si="153"/>
        <v/>
      </c>
      <c r="E1564" s="5" t="str">
        <f t="shared" si="154"/>
        <v/>
      </c>
      <c r="F1564" s="5" t="str">
        <f t="shared" si="155"/>
        <v/>
      </c>
      <c r="G1564" s="23"/>
      <c r="H1564" s="66"/>
      <c r="I1564" s="14"/>
      <c r="J1564" s="14"/>
      <c r="K1564" s="14"/>
      <c r="L1564" s="5" t="str">
        <f t="shared" si="150"/>
        <v/>
      </c>
      <c r="M1564" s="5" t="str">
        <f t="shared" si="151"/>
        <v/>
      </c>
      <c r="N1564" s="5" t="str">
        <f t="shared" si="152"/>
        <v/>
      </c>
      <c r="O1564" s="4"/>
    </row>
    <row r="1565" spans="1:15" x14ac:dyDescent="0.25">
      <c r="A1565" s="14"/>
      <c r="B1565" s="14"/>
      <c r="C1565" s="14"/>
      <c r="D1565" s="5" t="str">
        <f t="shared" si="153"/>
        <v/>
      </c>
      <c r="E1565" s="5" t="str">
        <f t="shared" si="154"/>
        <v/>
      </c>
      <c r="F1565" s="5" t="str">
        <f t="shared" si="155"/>
        <v/>
      </c>
      <c r="G1565" s="23"/>
      <c r="H1565" s="66"/>
      <c r="I1565" s="14"/>
      <c r="J1565" s="14"/>
      <c r="K1565" s="14"/>
      <c r="L1565" s="5" t="str">
        <f t="shared" si="150"/>
        <v/>
      </c>
      <c r="M1565" s="5" t="str">
        <f t="shared" si="151"/>
        <v/>
      </c>
      <c r="N1565" s="5" t="str">
        <f t="shared" si="152"/>
        <v/>
      </c>
      <c r="O1565" s="4"/>
    </row>
    <row r="1566" spans="1:15" x14ac:dyDescent="0.25">
      <c r="A1566" s="14"/>
      <c r="B1566" s="14"/>
      <c r="C1566" s="14"/>
      <c r="D1566" s="5" t="str">
        <f t="shared" si="153"/>
        <v/>
      </c>
      <c r="E1566" s="5" t="str">
        <f t="shared" si="154"/>
        <v/>
      </c>
      <c r="F1566" s="5" t="str">
        <f t="shared" si="155"/>
        <v/>
      </c>
      <c r="G1566" s="23"/>
      <c r="H1566" s="66"/>
      <c r="I1566" s="14"/>
      <c r="J1566" s="14"/>
      <c r="K1566" s="14"/>
      <c r="L1566" s="5" t="str">
        <f t="shared" si="150"/>
        <v/>
      </c>
      <c r="M1566" s="5" t="str">
        <f t="shared" si="151"/>
        <v/>
      </c>
      <c r="N1566" s="5" t="str">
        <f t="shared" si="152"/>
        <v/>
      </c>
      <c r="O1566" s="4"/>
    </row>
    <row r="1567" spans="1:15" x14ac:dyDescent="0.25">
      <c r="A1567" s="14"/>
      <c r="B1567" s="14"/>
      <c r="C1567" s="14"/>
      <c r="D1567" s="5" t="str">
        <f t="shared" si="153"/>
        <v/>
      </c>
      <c r="E1567" s="5" t="str">
        <f t="shared" si="154"/>
        <v/>
      </c>
      <c r="F1567" s="5" t="str">
        <f t="shared" si="155"/>
        <v/>
      </c>
      <c r="G1567" s="23"/>
      <c r="H1567" s="66"/>
      <c r="I1567" s="14"/>
      <c r="J1567" s="14"/>
      <c r="K1567" s="14"/>
      <c r="L1567" s="5" t="str">
        <f t="shared" si="150"/>
        <v/>
      </c>
      <c r="M1567" s="5" t="str">
        <f t="shared" si="151"/>
        <v/>
      </c>
      <c r="N1567" s="5" t="str">
        <f t="shared" si="152"/>
        <v/>
      </c>
      <c r="O1567" s="4"/>
    </row>
    <row r="1568" spans="1:15" x14ac:dyDescent="0.25">
      <c r="A1568" s="14"/>
      <c r="B1568" s="14"/>
      <c r="C1568" s="14"/>
      <c r="D1568" s="5" t="str">
        <f t="shared" si="153"/>
        <v/>
      </c>
      <c r="E1568" s="5" t="str">
        <f t="shared" si="154"/>
        <v/>
      </c>
      <c r="F1568" s="5" t="str">
        <f t="shared" si="155"/>
        <v/>
      </c>
      <c r="G1568" s="23"/>
      <c r="H1568" s="66"/>
      <c r="I1568" s="14"/>
      <c r="J1568" s="14"/>
      <c r="K1568" s="14"/>
      <c r="L1568" s="5" t="str">
        <f t="shared" si="150"/>
        <v/>
      </c>
      <c r="M1568" s="5" t="str">
        <f t="shared" si="151"/>
        <v/>
      </c>
      <c r="N1568" s="5" t="str">
        <f t="shared" si="152"/>
        <v/>
      </c>
      <c r="O1568" s="4"/>
    </row>
    <row r="1569" spans="1:15" x14ac:dyDescent="0.25">
      <c r="A1569" s="14"/>
      <c r="B1569" s="14"/>
      <c r="C1569" s="14"/>
      <c r="D1569" s="5" t="str">
        <f t="shared" si="153"/>
        <v/>
      </c>
      <c r="E1569" s="5" t="str">
        <f t="shared" si="154"/>
        <v/>
      </c>
      <c r="F1569" s="5" t="str">
        <f t="shared" si="155"/>
        <v/>
      </c>
      <c r="G1569" s="23"/>
      <c r="H1569" s="66"/>
      <c r="I1569" s="14"/>
      <c r="J1569" s="14"/>
      <c r="K1569" s="14"/>
      <c r="L1569" s="5" t="str">
        <f t="shared" si="150"/>
        <v/>
      </c>
      <c r="M1569" s="5" t="str">
        <f t="shared" si="151"/>
        <v/>
      </c>
      <c r="N1569" s="5" t="str">
        <f t="shared" si="152"/>
        <v/>
      </c>
      <c r="O1569" s="4"/>
    </row>
    <row r="1570" spans="1:15" x14ac:dyDescent="0.25">
      <c r="A1570" s="14"/>
      <c r="B1570" s="14"/>
      <c r="C1570" s="14"/>
      <c r="D1570" s="5" t="str">
        <f t="shared" si="153"/>
        <v/>
      </c>
      <c r="E1570" s="5" t="str">
        <f t="shared" si="154"/>
        <v/>
      </c>
      <c r="F1570" s="5" t="str">
        <f t="shared" si="155"/>
        <v/>
      </c>
      <c r="G1570" s="23"/>
      <c r="H1570" s="66"/>
      <c r="I1570" s="14"/>
      <c r="J1570" s="14"/>
      <c r="K1570" s="14"/>
      <c r="L1570" s="5" t="str">
        <f t="shared" si="150"/>
        <v/>
      </c>
      <c r="M1570" s="5" t="str">
        <f t="shared" si="151"/>
        <v/>
      </c>
      <c r="N1570" s="5" t="str">
        <f t="shared" si="152"/>
        <v/>
      </c>
      <c r="O1570" s="4"/>
    </row>
    <row r="1571" spans="1:15" x14ac:dyDescent="0.25">
      <c r="A1571" s="14"/>
      <c r="B1571" s="14"/>
      <c r="C1571" s="14"/>
      <c r="D1571" s="5" t="str">
        <f t="shared" si="153"/>
        <v/>
      </c>
      <c r="E1571" s="5" t="str">
        <f t="shared" si="154"/>
        <v/>
      </c>
      <c r="F1571" s="5" t="str">
        <f t="shared" si="155"/>
        <v/>
      </c>
      <c r="G1571" s="23"/>
      <c r="H1571" s="66"/>
      <c r="I1571" s="14"/>
      <c r="J1571" s="14"/>
      <c r="K1571" s="14"/>
      <c r="L1571" s="5" t="str">
        <f t="shared" si="150"/>
        <v/>
      </c>
      <c r="M1571" s="5" t="str">
        <f t="shared" si="151"/>
        <v/>
      </c>
      <c r="N1571" s="5" t="str">
        <f t="shared" si="152"/>
        <v/>
      </c>
      <c r="O1571" s="4"/>
    </row>
    <row r="1572" spans="1:15" x14ac:dyDescent="0.25">
      <c r="A1572" s="14"/>
      <c r="B1572" s="14"/>
      <c r="C1572" s="14"/>
      <c r="D1572" s="5" t="str">
        <f t="shared" si="153"/>
        <v/>
      </c>
      <c r="E1572" s="5" t="str">
        <f t="shared" si="154"/>
        <v/>
      </c>
      <c r="F1572" s="5" t="str">
        <f t="shared" si="155"/>
        <v/>
      </c>
      <c r="G1572" s="23"/>
      <c r="H1572" s="66"/>
      <c r="I1572" s="14"/>
      <c r="J1572" s="14"/>
      <c r="K1572" s="14"/>
      <c r="L1572" s="5" t="str">
        <f t="shared" si="150"/>
        <v/>
      </c>
      <c r="M1572" s="5" t="str">
        <f t="shared" si="151"/>
        <v/>
      </c>
      <c r="N1572" s="5" t="str">
        <f t="shared" si="152"/>
        <v/>
      </c>
      <c r="O1572" s="4"/>
    </row>
    <row r="1573" spans="1:15" x14ac:dyDescent="0.25">
      <c r="A1573" s="14"/>
      <c r="B1573" s="14"/>
      <c r="C1573" s="14"/>
      <c r="D1573" s="5" t="str">
        <f t="shared" si="153"/>
        <v/>
      </c>
      <c r="E1573" s="5" t="str">
        <f t="shared" si="154"/>
        <v/>
      </c>
      <c r="F1573" s="5" t="str">
        <f t="shared" si="155"/>
        <v/>
      </c>
      <c r="G1573" s="23"/>
      <c r="H1573" s="66"/>
      <c r="I1573" s="14"/>
      <c r="J1573" s="14"/>
      <c r="K1573" s="14"/>
      <c r="L1573" s="5" t="str">
        <f t="shared" si="150"/>
        <v/>
      </c>
      <c r="M1573" s="5" t="str">
        <f t="shared" si="151"/>
        <v/>
      </c>
      <c r="N1573" s="5" t="str">
        <f t="shared" si="152"/>
        <v/>
      </c>
      <c r="O1573" s="4"/>
    </row>
    <row r="1574" spans="1:15" x14ac:dyDescent="0.25">
      <c r="A1574" s="14"/>
      <c r="B1574" s="14"/>
      <c r="C1574" s="14"/>
      <c r="D1574" s="5" t="str">
        <f t="shared" si="153"/>
        <v/>
      </c>
      <c r="E1574" s="5" t="str">
        <f t="shared" si="154"/>
        <v/>
      </c>
      <c r="F1574" s="5" t="str">
        <f t="shared" si="155"/>
        <v/>
      </c>
      <c r="G1574" s="23"/>
      <c r="H1574" s="66"/>
      <c r="I1574" s="14"/>
      <c r="J1574" s="14"/>
      <c r="K1574" s="14"/>
      <c r="L1574" s="5" t="str">
        <f t="shared" si="150"/>
        <v/>
      </c>
      <c r="M1574" s="5" t="str">
        <f t="shared" si="151"/>
        <v/>
      </c>
      <c r="N1574" s="5" t="str">
        <f t="shared" si="152"/>
        <v/>
      </c>
      <c r="O1574" s="4"/>
    </row>
    <row r="1575" spans="1:15" x14ac:dyDescent="0.25">
      <c r="A1575" s="14"/>
      <c r="B1575" s="14"/>
      <c r="C1575" s="14"/>
      <c r="D1575" s="5" t="str">
        <f t="shared" si="153"/>
        <v/>
      </c>
      <c r="E1575" s="5" t="str">
        <f t="shared" si="154"/>
        <v/>
      </c>
      <c r="F1575" s="5" t="str">
        <f t="shared" si="155"/>
        <v/>
      </c>
      <c r="G1575" s="23"/>
      <c r="H1575" s="66"/>
      <c r="I1575" s="14"/>
      <c r="J1575" s="14"/>
      <c r="K1575" s="14"/>
      <c r="L1575" s="5" t="str">
        <f t="shared" si="150"/>
        <v/>
      </c>
      <c r="M1575" s="5" t="str">
        <f t="shared" si="151"/>
        <v/>
      </c>
      <c r="N1575" s="5" t="str">
        <f t="shared" si="152"/>
        <v/>
      </c>
      <c r="O1575" s="4"/>
    </row>
    <row r="1576" spans="1:15" x14ac:dyDescent="0.25">
      <c r="A1576" s="14"/>
      <c r="B1576" s="14"/>
      <c r="C1576" s="14"/>
      <c r="D1576" s="5" t="str">
        <f t="shared" si="153"/>
        <v/>
      </c>
      <c r="E1576" s="5" t="str">
        <f t="shared" si="154"/>
        <v/>
      </c>
      <c r="F1576" s="5" t="str">
        <f t="shared" si="155"/>
        <v/>
      </c>
      <c r="G1576" s="23"/>
      <c r="H1576" s="66"/>
      <c r="I1576" s="14"/>
      <c r="J1576" s="14"/>
      <c r="K1576" s="14"/>
      <c r="L1576" s="5" t="str">
        <f t="shared" si="150"/>
        <v/>
      </c>
      <c r="M1576" s="5" t="str">
        <f t="shared" si="151"/>
        <v/>
      </c>
      <c r="N1576" s="5" t="str">
        <f t="shared" si="152"/>
        <v/>
      </c>
      <c r="O1576" s="4"/>
    </row>
    <row r="1577" spans="1:15" x14ac:dyDescent="0.25">
      <c r="A1577" s="14"/>
      <c r="B1577" s="14"/>
      <c r="C1577" s="14"/>
      <c r="D1577" s="5" t="str">
        <f t="shared" si="153"/>
        <v/>
      </c>
      <c r="E1577" s="5" t="str">
        <f t="shared" si="154"/>
        <v/>
      </c>
      <c r="F1577" s="5" t="str">
        <f t="shared" si="155"/>
        <v/>
      </c>
      <c r="G1577" s="23"/>
      <c r="H1577" s="66"/>
      <c r="I1577" s="14"/>
      <c r="J1577" s="14"/>
      <c r="K1577" s="14"/>
      <c r="L1577" s="5" t="str">
        <f t="shared" si="150"/>
        <v/>
      </c>
      <c r="M1577" s="5" t="str">
        <f t="shared" si="151"/>
        <v/>
      </c>
      <c r="N1577" s="5" t="str">
        <f t="shared" si="152"/>
        <v/>
      </c>
      <c r="O1577" s="4"/>
    </row>
    <row r="1578" spans="1:15" x14ac:dyDescent="0.25">
      <c r="A1578" s="14"/>
      <c r="B1578" s="14"/>
      <c r="C1578" s="14"/>
      <c r="D1578" s="5" t="str">
        <f t="shared" si="153"/>
        <v/>
      </c>
      <c r="E1578" s="5" t="str">
        <f t="shared" si="154"/>
        <v/>
      </c>
      <c r="F1578" s="5" t="str">
        <f t="shared" si="155"/>
        <v/>
      </c>
      <c r="G1578" s="23"/>
      <c r="H1578" s="66"/>
      <c r="I1578" s="14"/>
      <c r="J1578" s="14"/>
      <c r="K1578" s="14"/>
      <c r="L1578" s="5" t="str">
        <f t="shared" si="150"/>
        <v/>
      </c>
      <c r="M1578" s="5" t="str">
        <f t="shared" si="151"/>
        <v/>
      </c>
      <c r="N1578" s="5" t="str">
        <f t="shared" si="152"/>
        <v/>
      </c>
      <c r="O1578" s="4"/>
    </row>
    <row r="1579" spans="1:15" x14ac:dyDescent="0.25">
      <c r="A1579" s="14"/>
      <c r="B1579" s="14"/>
      <c r="C1579" s="14"/>
      <c r="D1579" s="5" t="str">
        <f t="shared" si="153"/>
        <v/>
      </c>
      <c r="E1579" s="5" t="str">
        <f t="shared" si="154"/>
        <v/>
      </c>
      <c r="F1579" s="5" t="str">
        <f t="shared" si="155"/>
        <v/>
      </c>
      <c r="G1579" s="23"/>
      <c r="H1579" s="66"/>
      <c r="I1579" s="14"/>
      <c r="J1579" s="14"/>
      <c r="K1579" s="14"/>
      <c r="L1579" s="5" t="str">
        <f t="shared" si="150"/>
        <v/>
      </c>
      <c r="M1579" s="5" t="str">
        <f t="shared" si="151"/>
        <v/>
      </c>
      <c r="N1579" s="5" t="str">
        <f t="shared" si="152"/>
        <v/>
      </c>
      <c r="O1579" s="4"/>
    </row>
    <row r="1580" spans="1:15" x14ac:dyDescent="0.25">
      <c r="A1580" s="14"/>
      <c r="B1580" s="14"/>
      <c r="C1580" s="14"/>
      <c r="D1580" s="5" t="str">
        <f t="shared" si="153"/>
        <v/>
      </c>
      <c r="E1580" s="5" t="str">
        <f t="shared" si="154"/>
        <v/>
      </c>
      <c r="F1580" s="5" t="str">
        <f t="shared" si="155"/>
        <v/>
      </c>
      <c r="G1580" s="23"/>
      <c r="H1580" s="66"/>
      <c r="I1580" s="14"/>
      <c r="J1580" s="14"/>
      <c r="K1580" s="14"/>
      <c r="L1580" s="5" t="str">
        <f t="shared" si="150"/>
        <v/>
      </c>
      <c r="M1580" s="5" t="str">
        <f t="shared" si="151"/>
        <v/>
      </c>
      <c r="N1580" s="5" t="str">
        <f t="shared" si="152"/>
        <v/>
      </c>
      <c r="O1580" s="4"/>
    </row>
    <row r="1581" spans="1:15" x14ac:dyDescent="0.25">
      <c r="A1581" s="14"/>
      <c r="B1581" s="14"/>
      <c r="C1581" s="14"/>
      <c r="D1581" s="5" t="str">
        <f t="shared" si="153"/>
        <v/>
      </c>
      <c r="E1581" s="5" t="str">
        <f t="shared" si="154"/>
        <v/>
      </c>
      <c r="F1581" s="5" t="str">
        <f t="shared" si="155"/>
        <v/>
      </c>
      <c r="G1581" s="23"/>
      <c r="H1581" s="66"/>
      <c r="I1581" s="14"/>
      <c r="J1581" s="14"/>
      <c r="K1581" s="14"/>
      <c r="L1581" s="5" t="str">
        <f t="shared" si="150"/>
        <v/>
      </c>
      <c r="M1581" s="5" t="str">
        <f t="shared" si="151"/>
        <v/>
      </c>
      <c r="N1581" s="5" t="str">
        <f t="shared" si="152"/>
        <v/>
      </c>
      <c r="O1581" s="4"/>
    </row>
    <row r="1582" spans="1:15" x14ac:dyDescent="0.25">
      <c r="A1582" s="14"/>
      <c r="B1582" s="14"/>
      <c r="C1582" s="14"/>
      <c r="D1582" s="5" t="str">
        <f t="shared" si="153"/>
        <v/>
      </c>
      <c r="E1582" s="5" t="str">
        <f t="shared" si="154"/>
        <v/>
      </c>
      <c r="F1582" s="5" t="str">
        <f t="shared" si="155"/>
        <v/>
      </c>
      <c r="G1582" s="23"/>
      <c r="H1582" s="66"/>
      <c r="I1582" s="14"/>
      <c r="J1582" s="14"/>
      <c r="K1582" s="14"/>
      <c r="L1582" s="5" t="str">
        <f t="shared" si="150"/>
        <v/>
      </c>
      <c r="M1582" s="5" t="str">
        <f t="shared" si="151"/>
        <v/>
      </c>
      <c r="N1582" s="5" t="str">
        <f t="shared" si="152"/>
        <v/>
      </c>
      <c r="O1582" s="4"/>
    </row>
    <row r="1583" spans="1:15" x14ac:dyDescent="0.25">
      <c r="A1583" s="14"/>
      <c r="B1583" s="14"/>
      <c r="C1583" s="14"/>
      <c r="D1583" s="5" t="str">
        <f t="shared" si="153"/>
        <v/>
      </c>
      <c r="E1583" s="5" t="str">
        <f t="shared" si="154"/>
        <v/>
      </c>
      <c r="F1583" s="5" t="str">
        <f t="shared" si="155"/>
        <v/>
      </c>
      <c r="G1583" s="23"/>
      <c r="H1583" s="66"/>
      <c r="I1583" s="14"/>
      <c r="J1583" s="14"/>
      <c r="K1583" s="14"/>
      <c r="L1583" s="5" t="str">
        <f t="shared" si="150"/>
        <v/>
      </c>
      <c r="M1583" s="5" t="str">
        <f t="shared" si="151"/>
        <v/>
      </c>
      <c r="N1583" s="5" t="str">
        <f t="shared" si="152"/>
        <v/>
      </c>
      <c r="O1583" s="4"/>
    </row>
    <row r="1584" spans="1:15" x14ac:dyDescent="0.25">
      <c r="A1584" s="14"/>
      <c r="B1584" s="14"/>
      <c r="C1584" s="14"/>
      <c r="D1584" s="5" t="str">
        <f t="shared" si="153"/>
        <v/>
      </c>
      <c r="E1584" s="5" t="str">
        <f t="shared" si="154"/>
        <v/>
      </c>
      <c r="F1584" s="5" t="str">
        <f t="shared" si="155"/>
        <v/>
      </c>
      <c r="G1584" s="23"/>
      <c r="H1584" s="66"/>
      <c r="I1584" s="14"/>
      <c r="J1584" s="14"/>
      <c r="K1584" s="14"/>
      <c r="L1584" s="5" t="str">
        <f t="shared" si="150"/>
        <v/>
      </c>
      <c r="M1584" s="5" t="str">
        <f t="shared" si="151"/>
        <v/>
      </c>
      <c r="N1584" s="5" t="str">
        <f t="shared" si="152"/>
        <v/>
      </c>
      <c r="O1584" s="4"/>
    </row>
    <row r="1585" spans="1:15" x14ac:dyDescent="0.25">
      <c r="A1585" s="14"/>
      <c r="B1585" s="14"/>
      <c r="C1585" s="14"/>
      <c r="D1585" s="5" t="str">
        <f t="shared" si="153"/>
        <v/>
      </c>
      <c r="E1585" s="5" t="str">
        <f t="shared" si="154"/>
        <v/>
      </c>
      <c r="F1585" s="5" t="str">
        <f t="shared" si="155"/>
        <v/>
      </c>
      <c r="G1585" s="23"/>
      <c r="H1585" s="66"/>
      <c r="I1585" s="14"/>
      <c r="J1585" s="14"/>
      <c r="K1585" s="14"/>
      <c r="L1585" s="5" t="str">
        <f t="shared" si="150"/>
        <v/>
      </c>
      <c r="M1585" s="5" t="str">
        <f t="shared" si="151"/>
        <v/>
      </c>
      <c r="N1585" s="5" t="str">
        <f t="shared" si="152"/>
        <v/>
      </c>
      <c r="O1585" s="4"/>
    </row>
    <row r="1586" spans="1:15" x14ac:dyDescent="0.25">
      <c r="A1586" s="14"/>
      <c r="B1586" s="14"/>
      <c r="C1586" s="14"/>
      <c r="D1586" s="5" t="str">
        <f t="shared" si="153"/>
        <v/>
      </c>
      <c r="E1586" s="5" t="str">
        <f t="shared" si="154"/>
        <v/>
      </c>
      <c r="F1586" s="5" t="str">
        <f t="shared" si="155"/>
        <v/>
      </c>
      <c r="G1586" s="23"/>
      <c r="H1586" s="66"/>
      <c r="I1586" s="14"/>
      <c r="J1586" s="14"/>
      <c r="K1586" s="14"/>
      <c r="L1586" s="5" t="str">
        <f t="shared" si="150"/>
        <v/>
      </c>
      <c r="M1586" s="5" t="str">
        <f t="shared" si="151"/>
        <v/>
      </c>
      <c r="N1586" s="5" t="str">
        <f t="shared" si="152"/>
        <v/>
      </c>
      <c r="O1586" s="4"/>
    </row>
    <row r="1587" spans="1:15" x14ac:dyDescent="0.25">
      <c r="A1587" s="14"/>
      <c r="B1587" s="14"/>
      <c r="C1587" s="14"/>
      <c r="D1587" s="5" t="str">
        <f t="shared" si="153"/>
        <v/>
      </c>
      <c r="E1587" s="5" t="str">
        <f t="shared" si="154"/>
        <v/>
      </c>
      <c r="F1587" s="5" t="str">
        <f t="shared" si="155"/>
        <v/>
      </c>
      <c r="G1587" s="23"/>
      <c r="H1587" s="66"/>
      <c r="I1587" s="14"/>
      <c r="J1587" s="14"/>
      <c r="K1587" s="14"/>
      <c r="L1587" s="5" t="str">
        <f t="shared" si="150"/>
        <v/>
      </c>
      <c r="M1587" s="5" t="str">
        <f t="shared" si="151"/>
        <v/>
      </c>
      <c r="N1587" s="5" t="str">
        <f t="shared" si="152"/>
        <v/>
      </c>
      <c r="O1587" s="4"/>
    </row>
    <row r="1588" spans="1:15" x14ac:dyDescent="0.25">
      <c r="A1588" s="14"/>
      <c r="B1588" s="14"/>
      <c r="C1588" s="14"/>
      <c r="D1588" s="5" t="str">
        <f t="shared" si="153"/>
        <v/>
      </c>
      <c r="E1588" s="5" t="str">
        <f t="shared" si="154"/>
        <v/>
      </c>
      <c r="F1588" s="5" t="str">
        <f t="shared" si="155"/>
        <v/>
      </c>
      <c r="G1588" s="23"/>
      <c r="H1588" s="66"/>
      <c r="I1588" s="14"/>
      <c r="J1588" s="14"/>
      <c r="K1588" s="14"/>
      <c r="L1588" s="5" t="str">
        <f t="shared" si="150"/>
        <v/>
      </c>
      <c r="M1588" s="5" t="str">
        <f t="shared" si="151"/>
        <v/>
      </c>
      <c r="N1588" s="5" t="str">
        <f t="shared" si="152"/>
        <v/>
      </c>
      <c r="O1588" s="4"/>
    </row>
    <row r="1589" spans="1:15" x14ac:dyDescent="0.25">
      <c r="A1589" s="14"/>
      <c r="B1589" s="14"/>
      <c r="C1589" s="14"/>
      <c r="D1589" s="5" t="str">
        <f t="shared" si="153"/>
        <v/>
      </c>
      <c r="E1589" s="5" t="str">
        <f t="shared" si="154"/>
        <v/>
      </c>
      <c r="F1589" s="5" t="str">
        <f t="shared" si="155"/>
        <v/>
      </c>
      <c r="G1589" s="23"/>
      <c r="H1589" s="66"/>
      <c r="I1589" s="14"/>
      <c r="J1589" s="14"/>
      <c r="K1589" s="14"/>
      <c r="L1589" s="5" t="str">
        <f t="shared" si="150"/>
        <v/>
      </c>
      <c r="M1589" s="5" t="str">
        <f t="shared" si="151"/>
        <v/>
      </c>
      <c r="N1589" s="5" t="str">
        <f t="shared" si="152"/>
        <v/>
      </c>
      <c r="O1589" s="4"/>
    </row>
    <row r="1590" spans="1:15" x14ac:dyDescent="0.25">
      <c r="A1590" s="14"/>
      <c r="B1590" s="14"/>
      <c r="C1590" s="14"/>
      <c r="D1590" s="5" t="str">
        <f t="shared" si="153"/>
        <v/>
      </c>
      <c r="E1590" s="5" t="str">
        <f t="shared" si="154"/>
        <v/>
      </c>
      <c r="F1590" s="5" t="str">
        <f t="shared" si="155"/>
        <v/>
      </c>
      <c r="G1590" s="23"/>
      <c r="H1590" s="66"/>
      <c r="I1590" s="14"/>
      <c r="J1590" s="14"/>
      <c r="K1590" s="14"/>
      <c r="L1590" s="5" t="str">
        <f t="shared" si="150"/>
        <v/>
      </c>
      <c r="M1590" s="5" t="str">
        <f t="shared" si="151"/>
        <v/>
      </c>
      <c r="N1590" s="5" t="str">
        <f t="shared" si="152"/>
        <v/>
      </c>
      <c r="O1590" s="4"/>
    </row>
    <row r="1591" spans="1:15" x14ac:dyDescent="0.25">
      <c r="A1591" s="14"/>
      <c r="B1591" s="14"/>
      <c r="C1591" s="14"/>
      <c r="D1591" s="5" t="str">
        <f t="shared" si="153"/>
        <v/>
      </c>
      <c r="E1591" s="5" t="str">
        <f t="shared" si="154"/>
        <v/>
      </c>
      <c r="F1591" s="5" t="str">
        <f t="shared" si="155"/>
        <v/>
      </c>
      <c r="G1591" s="23"/>
      <c r="H1591" s="66"/>
      <c r="I1591" s="14"/>
      <c r="J1591" s="14"/>
      <c r="K1591" s="14"/>
      <c r="L1591" s="5" t="str">
        <f t="shared" si="150"/>
        <v/>
      </c>
      <c r="M1591" s="5" t="str">
        <f t="shared" si="151"/>
        <v/>
      </c>
      <c r="N1591" s="5" t="str">
        <f t="shared" si="152"/>
        <v/>
      </c>
      <c r="O1591" s="4"/>
    </row>
    <row r="1592" spans="1:15" x14ac:dyDescent="0.25">
      <c r="A1592" s="14"/>
      <c r="B1592" s="14"/>
      <c r="C1592" s="14"/>
      <c r="D1592" s="5" t="str">
        <f t="shared" si="153"/>
        <v/>
      </c>
      <c r="E1592" s="5" t="str">
        <f t="shared" si="154"/>
        <v/>
      </c>
      <c r="F1592" s="5" t="str">
        <f t="shared" si="155"/>
        <v/>
      </c>
      <c r="G1592" s="23"/>
      <c r="H1592" s="66"/>
      <c r="I1592" s="14"/>
      <c r="J1592" s="14"/>
      <c r="K1592" s="14"/>
      <c r="L1592" s="5" t="str">
        <f t="shared" si="150"/>
        <v/>
      </c>
      <c r="M1592" s="5" t="str">
        <f t="shared" si="151"/>
        <v/>
      </c>
      <c r="N1592" s="5" t="str">
        <f t="shared" si="152"/>
        <v/>
      </c>
      <c r="O1592" s="4"/>
    </row>
    <row r="1593" spans="1:15" x14ac:dyDescent="0.25">
      <c r="A1593" s="14"/>
      <c r="B1593" s="14"/>
      <c r="C1593" s="14"/>
      <c r="D1593" s="5" t="str">
        <f t="shared" si="153"/>
        <v/>
      </c>
      <c r="E1593" s="5" t="str">
        <f t="shared" si="154"/>
        <v/>
      </c>
      <c r="F1593" s="5" t="str">
        <f t="shared" si="155"/>
        <v/>
      </c>
      <c r="G1593" s="23"/>
      <c r="H1593" s="66"/>
      <c r="I1593" s="14"/>
      <c r="J1593" s="14"/>
      <c r="K1593" s="14"/>
      <c r="L1593" s="5" t="str">
        <f t="shared" si="150"/>
        <v/>
      </c>
      <c r="M1593" s="5" t="str">
        <f t="shared" si="151"/>
        <v/>
      </c>
      <c r="N1593" s="5" t="str">
        <f t="shared" si="152"/>
        <v/>
      </c>
      <c r="O1593" s="4"/>
    </row>
    <row r="1594" spans="1:15" x14ac:dyDescent="0.25">
      <c r="A1594" s="14"/>
      <c r="B1594" s="14"/>
      <c r="C1594" s="14"/>
      <c r="D1594" s="5" t="str">
        <f t="shared" si="153"/>
        <v/>
      </c>
      <c r="E1594" s="5" t="str">
        <f t="shared" si="154"/>
        <v/>
      </c>
      <c r="F1594" s="5" t="str">
        <f t="shared" si="155"/>
        <v/>
      </c>
      <c r="G1594" s="23"/>
      <c r="H1594" s="66"/>
      <c r="I1594" s="14"/>
      <c r="J1594" s="14"/>
      <c r="K1594" s="14"/>
      <c r="L1594" s="5" t="str">
        <f t="shared" si="150"/>
        <v/>
      </c>
      <c r="M1594" s="5" t="str">
        <f t="shared" si="151"/>
        <v/>
      </c>
      <c r="N1594" s="5" t="str">
        <f t="shared" si="152"/>
        <v/>
      </c>
      <c r="O1594" s="4"/>
    </row>
    <row r="1595" spans="1:15" x14ac:dyDescent="0.25">
      <c r="A1595" s="14"/>
      <c r="B1595" s="14"/>
      <c r="C1595" s="14"/>
      <c r="D1595" s="5" t="str">
        <f t="shared" si="153"/>
        <v/>
      </c>
      <c r="E1595" s="5" t="str">
        <f t="shared" si="154"/>
        <v/>
      </c>
      <c r="F1595" s="5" t="str">
        <f t="shared" si="155"/>
        <v/>
      </c>
      <c r="G1595" s="23"/>
      <c r="H1595" s="66"/>
      <c r="I1595" s="14"/>
      <c r="J1595" s="14"/>
      <c r="K1595" s="14"/>
      <c r="L1595" s="5" t="str">
        <f t="shared" si="150"/>
        <v/>
      </c>
      <c r="M1595" s="5" t="str">
        <f t="shared" si="151"/>
        <v/>
      </c>
      <c r="N1595" s="5" t="str">
        <f t="shared" si="152"/>
        <v/>
      </c>
      <c r="O1595" s="4"/>
    </row>
    <row r="1596" spans="1:15" x14ac:dyDescent="0.25">
      <c r="A1596" s="14"/>
      <c r="B1596" s="14"/>
      <c r="C1596" s="14"/>
      <c r="D1596" s="5" t="str">
        <f t="shared" si="153"/>
        <v/>
      </c>
      <c r="E1596" s="5" t="str">
        <f t="shared" si="154"/>
        <v/>
      </c>
      <c r="F1596" s="5" t="str">
        <f t="shared" si="155"/>
        <v/>
      </c>
      <c r="G1596" s="23"/>
      <c r="H1596" s="66"/>
      <c r="I1596" s="14"/>
      <c r="J1596" s="14"/>
      <c r="K1596" s="14"/>
      <c r="L1596" s="5" t="str">
        <f t="shared" si="150"/>
        <v/>
      </c>
      <c r="M1596" s="5" t="str">
        <f t="shared" si="151"/>
        <v/>
      </c>
      <c r="N1596" s="5" t="str">
        <f t="shared" si="152"/>
        <v/>
      </c>
      <c r="O1596" s="4"/>
    </row>
    <row r="1597" spans="1:15" x14ac:dyDescent="0.25">
      <c r="A1597" s="14"/>
      <c r="B1597" s="14"/>
      <c r="C1597" s="14"/>
      <c r="D1597" s="5" t="str">
        <f t="shared" si="153"/>
        <v/>
      </c>
      <c r="E1597" s="5" t="str">
        <f t="shared" si="154"/>
        <v/>
      </c>
      <c r="F1597" s="5" t="str">
        <f t="shared" si="155"/>
        <v/>
      </c>
      <c r="G1597" s="23"/>
      <c r="H1597" s="66"/>
      <c r="I1597" s="14"/>
      <c r="J1597" s="14"/>
      <c r="K1597" s="14"/>
      <c r="L1597" s="5" t="str">
        <f t="shared" si="150"/>
        <v/>
      </c>
      <c r="M1597" s="5" t="str">
        <f t="shared" si="151"/>
        <v/>
      </c>
      <c r="N1597" s="5" t="str">
        <f t="shared" si="152"/>
        <v/>
      </c>
      <c r="O1597" s="4"/>
    </row>
    <row r="1598" spans="1:15" x14ac:dyDescent="0.25">
      <c r="A1598" s="14"/>
      <c r="B1598" s="14"/>
      <c r="C1598" s="14"/>
      <c r="D1598" s="5" t="str">
        <f t="shared" si="153"/>
        <v/>
      </c>
      <c r="E1598" s="5" t="str">
        <f t="shared" si="154"/>
        <v/>
      </c>
      <c r="F1598" s="5" t="str">
        <f t="shared" si="155"/>
        <v/>
      </c>
      <c r="G1598" s="23"/>
      <c r="H1598" s="66"/>
      <c r="I1598" s="14"/>
      <c r="J1598" s="14"/>
      <c r="K1598" s="14"/>
      <c r="L1598" s="5" t="str">
        <f t="shared" si="150"/>
        <v/>
      </c>
      <c r="M1598" s="5" t="str">
        <f t="shared" si="151"/>
        <v/>
      </c>
      <c r="N1598" s="5" t="str">
        <f t="shared" si="152"/>
        <v/>
      </c>
      <c r="O1598" s="4"/>
    </row>
    <row r="1599" spans="1:15" x14ac:dyDescent="0.25">
      <c r="A1599" s="14"/>
      <c r="B1599" s="14"/>
      <c r="C1599" s="14"/>
      <c r="D1599" s="5" t="str">
        <f t="shared" si="153"/>
        <v/>
      </c>
      <c r="E1599" s="5" t="str">
        <f t="shared" si="154"/>
        <v/>
      </c>
      <c r="F1599" s="5" t="str">
        <f t="shared" si="155"/>
        <v/>
      </c>
      <c r="G1599" s="23"/>
      <c r="H1599" s="66"/>
      <c r="I1599" s="14"/>
      <c r="J1599" s="14"/>
      <c r="K1599" s="14"/>
      <c r="L1599" s="5" t="str">
        <f t="shared" si="150"/>
        <v/>
      </c>
      <c r="M1599" s="5" t="str">
        <f t="shared" si="151"/>
        <v/>
      </c>
      <c r="N1599" s="5" t="str">
        <f t="shared" si="152"/>
        <v/>
      </c>
      <c r="O1599" s="4"/>
    </row>
    <row r="1600" spans="1:15" x14ac:dyDescent="0.25">
      <c r="A1600" s="14"/>
      <c r="B1600" s="14"/>
      <c r="C1600" s="14"/>
      <c r="D1600" s="5" t="str">
        <f t="shared" si="153"/>
        <v/>
      </c>
      <c r="E1600" s="5" t="str">
        <f t="shared" si="154"/>
        <v/>
      </c>
      <c r="F1600" s="5" t="str">
        <f t="shared" si="155"/>
        <v/>
      </c>
      <c r="G1600" s="23"/>
      <c r="H1600" s="66"/>
      <c r="I1600" s="14"/>
      <c r="J1600" s="14"/>
      <c r="K1600" s="14"/>
      <c r="L1600" s="5" t="str">
        <f t="shared" si="150"/>
        <v/>
      </c>
      <c r="M1600" s="5" t="str">
        <f t="shared" si="151"/>
        <v/>
      </c>
      <c r="N1600" s="5" t="str">
        <f t="shared" si="152"/>
        <v/>
      </c>
      <c r="O1600" s="4"/>
    </row>
    <row r="1601" spans="1:15" x14ac:dyDescent="0.25">
      <c r="A1601" s="14"/>
      <c r="B1601" s="14"/>
      <c r="C1601" s="14"/>
      <c r="D1601" s="5" t="str">
        <f t="shared" si="153"/>
        <v/>
      </c>
      <c r="E1601" s="5" t="str">
        <f t="shared" si="154"/>
        <v/>
      </c>
      <c r="F1601" s="5" t="str">
        <f t="shared" si="155"/>
        <v/>
      </c>
      <c r="G1601" s="23"/>
      <c r="H1601" s="66"/>
      <c r="I1601" s="14"/>
      <c r="J1601" s="14"/>
      <c r="K1601" s="14"/>
      <c r="L1601" s="5" t="str">
        <f t="shared" si="150"/>
        <v/>
      </c>
      <c r="M1601" s="5" t="str">
        <f t="shared" si="151"/>
        <v/>
      </c>
      <c r="N1601" s="5" t="str">
        <f t="shared" si="152"/>
        <v/>
      </c>
      <c r="O1601" s="4"/>
    </row>
    <row r="1602" spans="1:15" x14ac:dyDescent="0.25">
      <c r="A1602" s="14"/>
      <c r="B1602" s="14"/>
      <c r="C1602" s="14"/>
      <c r="D1602" s="5" t="str">
        <f t="shared" si="153"/>
        <v/>
      </c>
      <c r="E1602" s="5" t="str">
        <f t="shared" si="154"/>
        <v/>
      </c>
      <c r="F1602" s="5" t="str">
        <f t="shared" si="155"/>
        <v/>
      </c>
      <c r="G1602" s="23"/>
      <c r="H1602" s="66"/>
      <c r="I1602" s="14"/>
      <c r="J1602" s="14"/>
      <c r="K1602" s="14"/>
      <c r="L1602" s="5" t="str">
        <f t="shared" si="150"/>
        <v/>
      </c>
      <c r="M1602" s="5" t="str">
        <f t="shared" si="151"/>
        <v/>
      </c>
      <c r="N1602" s="5" t="str">
        <f t="shared" si="152"/>
        <v/>
      </c>
      <c r="O1602" s="4"/>
    </row>
    <row r="1603" spans="1:15" x14ac:dyDescent="0.25">
      <c r="A1603" s="14"/>
      <c r="B1603" s="14"/>
      <c r="C1603" s="14"/>
      <c r="D1603" s="5" t="str">
        <f t="shared" si="153"/>
        <v/>
      </c>
      <c r="E1603" s="5" t="str">
        <f t="shared" si="154"/>
        <v/>
      </c>
      <c r="F1603" s="5" t="str">
        <f t="shared" si="155"/>
        <v/>
      </c>
      <c r="G1603" s="23"/>
      <c r="H1603" s="66"/>
      <c r="I1603" s="14"/>
      <c r="J1603" s="14"/>
      <c r="K1603" s="14"/>
      <c r="L1603" s="5" t="str">
        <f t="shared" si="150"/>
        <v/>
      </c>
      <c r="M1603" s="5" t="str">
        <f t="shared" si="151"/>
        <v/>
      </c>
      <c r="N1603" s="5" t="str">
        <f t="shared" si="152"/>
        <v/>
      </c>
      <c r="O1603" s="4"/>
    </row>
    <row r="1604" spans="1:15" x14ac:dyDescent="0.25">
      <c r="A1604" s="14"/>
      <c r="B1604" s="14"/>
      <c r="C1604" s="14"/>
      <c r="D1604" s="5" t="str">
        <f t="shared" si="153"/>
        <v/>
      </c>
      <c r="E1604" s="5" t="str">
        <f t="shared" si="154"/>
        <v/>
      </c>
      <c r="F1604" s="5" t="str">
        <f t="shared" si="155"/>
        <v/>
      </c>
      <c r="G1604" s="23"/>
      <c r="H1604" s="66"/>
      <c r="I1604" s="14"/>
      <c r="J1604" s="14"/>
      <c r="K1604" s="14"/>
      <c r="L1604" s="5" t="str">
        <f t="shared" si="150"/>
        <v/>
      </c>
      <c r="M1604" s="5" t="str">
        <f t="shared" si="151"/>
        <v/>
      </c>
      <c r="N1604" s="5" t="str">
        <f t="shared" si="152"/>
        <v/>
      </c>
      <c r="O1604" s="4"/>
    </row>
    <row r="1605" spans="1:15" x14ac:dyDescent="0.25">
      <c r="A1605" s="14"/>
      <c r="B1605" s="14"/>
      <c r="C1605" s="14"/>
      <c r="D1605" s="5" t="str">
        <f t="shared" si="153"/>
        <v/>
      </c>
      <c r="E1605" s="5" t="str">
        <f t="shared" si="154"/>
        <v/>
      </c>
      <c r="F1605" s="5" t="str">
        <f t="shared" si="155"/>
        <v/>
      </c>
      <c r="G1605" s="23"/>
      <c r="H1605" s="66"/>
      <c r="I1605" s="14"/>
      <c r="J1605" s="14"/>
      <c r="K1605" s="14"/>
      <c r="L1605" s="5" t="str">
        <f t="shared" si="150"/>
        <v/>
      </c>
      <c r="M1605" s="5" t="str">
        <f t="shared" si="151"/>
        <v/>
      </c>
      <c r="N1605" s="5" t="str">
        <f t="shared" si="152"/>
        <v/>
      </c>
      <c r="O1605" s="4"/>
    </row>
    <row r="1606" spans="1:15" x14ac:dyDescent="0.25">
      <c r="A1606" s="14"/>
      <c r="B1606" s="14"/>
      <c r="C1606" s="14"/>
      <c r="D1606" s="5" t="str">
        <f t="shared" si="153"/>
        <v/>
      </c>
      <c r="E1606" s="5" t="str">
        <f t="shared" si="154"/>
        <v/>
      </c>
      <c r="F1606" s="5" t="str">
        <f t="shared" si="155"/>
        <v/>
      </c>
      <c r="G1606" s="23"/>
      <c r="H1606" s="66"/>
      <c r="I1606" s="14"/>
      <c r="J1606" s="14"/>
      <c r="K1606" s="14"/>
      <c r="L1606" s="5" t="str">
        <f t="shared" si="150"/>
        <v/>
      </c>
      <c r="M1606" s="5" t="str">
        <f t="shared" si="151"/>
        <v/>
      </c>
      <c r="N1606" s="5" t="str">
        <f t="shared" si="152"/>
        <v/>
      </c>
      <c r="O1606" s="4"/>
    </row>
    <row r="1607" spans="1:15" x14ac:dyDescent="0.25">
      <c r="A1607" s="14"/>
      <c r="B1607" s="14"/>
      <c r="C1607" s="14"/>
      <c r="D1607" s="5" t="str">
        <f t="shared" si="153"/>
        <v/>
      </c>
      <c r="E1607" s="5" t="str">
        <f t="shared" si="154"/>
        <v/>
      </c>
      <c r="F1607" s="5" t="str">
        <f t="shared" si="155"/>
        <v/>
      </c>
      <c r="G1607" s="23"/>
      <c r="H1607" s="66"/>
      <c r="I1607" s="14"/>
      <c r="J1607" s="14"/>
      <c r="K1607" s="14"/>
      <c r="L1607" s="5" t="str">
        <f t="shared" si="150"/>
        <v/>
      </c>
      <c r="M1607" s="5" t="str">
        <f t="shared" si="151"/>
        <v/>
      </c>
      <c r="N1607" s="5" t="str">
        <f t="shared" si="152"/>
        <v/>
      </c>
      <c r="O1607" s="4"/>
    </row>
    <row r="1608" spans="1:15" x14ac:dyDescent="0.25">
      <c r="A1608" s="14"/>
      <c r="B1608" s="14"/>
      <c r="C1608" s="14"/>
      <c r="D1608" s="5" t="str">
        <f t="shared" si="153"/>
        <v/>
      </c>
      <c r="E1608" s="5" t="str">
        <f t="shared" si="154"/>
        <v/>
      </c>
      <c r="F1608" s="5" t="str">
        <f t="shared" si="155"/>
        <v/>
      </c>
      <c r="G1608" s="23"/>
      <c r="H1608" s="66"/>
      <c r="I1608" s="14"/>
      <c r="J1608" s="14"/>
      <c r="K1608" s="14"/>
      <c r="L1608" s="5" t="str">
        <f t="shared" si="150"/>
        <v/>
      </c>
      <c r="M1608" s="5" t="str">
        <f t="shared" si="151"/>
        <v/>
      </c>
      <c r="N1608" s="5" t="str">
        <f t="shared" si="152"/>
        <v/>
      </c>
      <c r="O1608" s="4"/>
    </row>
    <row r="1609" spans="1:15" x14ac:dyDescent="0.25">
      <c r="A1609" s="14"/>
      <c r="B1609" s="14"/>
      <c r="C1609" s="14"/>
      <c r="D1609" s="5" t="str">
        <f t="shared" si="153"/>
        <v/>
      </c>
      <c r="E1609" s="5" t="str">
        <f t="shared" si="154"/>
        <v/>
      </c>
      <c r="F1609" s="5" t="str">
        <f t="shared" si="155"/>
        <v/>
      </c>
      <c r="G1609" s="23"/>
      <c r="H1609" s="66"/>
      <c r="I1609" s="14"/>
      <c r="J1609" s="14"/>
      <c r="K1609" s="14"/>
      <c r="L1609" s="5" t="str">
        <f t="shared" si="150"/>
        <v/>
      </c>
      <c r="M1609" s="5" t="str">
        <f t="shared" si="151"/>
        <v/>
      </c>
      <c r="N1609" s="5" t="str">
        <f t="shared" si="152"/>
        <v/>
      </c>
      <c r="O1609" s="4"/>
    </row>
    <row r="1610" spans="1:15" x14ac:dyDescent="0.25">
      <c r="A1610" s="14"/>
      <c r="B1610" s="14"/>
      <c r="C1610" s="14"/>
      <c r="D1610" s="5" t="str">
        <f t="shared" si="153"/>
        <v/>
      </c>
      <c r="E1610" s="5" t="str">
        <f t="shared" si="154"/>
        <v/>
      </c>
      <c r="F1610" s="5" t="str">
        <f t="shared" si="155"/>
        <v/>
      </c>
      <c r="G1610" s="23"/>
      <c r="H1610" s="66"/>
      <c r="I1610" s="14"/>
      <c r="J1610" s="14"/>
      <c r="K1610" s="14"/>
      <c r="L1610" s="5" t="str">
        <f t="shared" ref="L1610:L1673" si="156">IFERROR(IF(I1610&lt;&gt;"",(((J1610-J1609)*$X$4/(I1610-I1609)))*$X$5,""),"")</f>
        <v/>
      </c>
      <c r="M1610" s="5" t="str">
        <f t="shared" ref="M1610:M1673" si="157">IFERROR(IF(I1610&lt;&gt;"",(((K1610-K1609)*$X$4/(I1610-I1609)))*$X$5,""),"")</f>
        <v/>
      </c>
      <c r="N1610" s="5" t="str">
        <f t="shared" ref="N1610:N1673" si="158">IFERROR(IF(I1610&lt;&gt;"",((ACOS((COS(RADIANS(J1609))*COS(RADIANS(J1610)))+(SIN(RADIANS(J1609))*SIN(RADIANS(J1610)))*COS(RADIANS(K1610-K1609)))*180/PI()*($X$4/(I1610-I1609))))*$X$5,""),"")</f>
        <v/>
      </c>
      <c r="O1610" s="4"/>
    </row>
    <row r="1611" spans="1:15" x14ac:dyDescent="0.25">
      <c r="A1611" s="14"/>
      <c r="B1611" s="14"/>
      <c r="C1611" s="14"/>
      <c r="D1611" s="5" t="str">
        <f t="shared" si="153"/>
        <v/>
      </c>
      <c r="E1611" s="5" t="str">
        <f t="shared" si="154"/>
        <v/>
      </c>
      <c r="F1611" s="5" t="str">
        <f t="shared" si="155"/>
        <v/>
      </c>
      <c r="G1611" s="23"/>
      <c r="H1611" s="66"/>
      <c r="I1611" s="14"/>
      <c r="J1611" s="14"/>
      <c r="K1611" s="14"/>
      <c r="L1611" s="5" t="str">
        <f t="shared" si="156"/>
        <v/>
      </c>
      <c r="M1611" s="5" t="str">
        <f t="shared" si="157"/>
        <v/>
      </c>
      <c r="N1611" s="5" t="str">
        <f t="shared" si="158"/>
        <v/>
      </c>
      <c r="O1611" s="4"/>
    </row>
    <row r="1612" spans="1:15" x14ac:dyDescent="0.25">
      <c r="A1612" s="14"/>
      <c r="B1612" s="14"/>
      <c r="C1612" s="14"/>
      <c r="D1612" s="5" t="str">
        <f t="shared" si="153"/>
        <v/>
      </c>
      <c r="E1612" s="5" t="str">
        <f t="shared" si="154"/>
        <v/>
      </c>
      <c r="F1612" s="5" t="str">
        <f t="shared" si="155"/>
        <v/>
      </c>
      <c r="G1612" s="23"/>
      <c r="H1612" s="66"/>
      <c r="I1612" s="14"/>
      <c r="J1612" s="14"/>
      <c r="K1612" s="14"/>
      <c r="L1612" s="5" t="str">
        <f t="shared" si="156"/>
        <v/>
      </c>
      <c r="M1612" s="5" t="str">
        <f t="shared" si="157"/>
        <v/>
      </c>
      <c r="N1612" s="5" t="str">
        <f t="shared" si="158"/>
        <v/>
      </c>
      <c r="O1612" s="4"/>
    </row>
    <row r="1613" spans="1:15" x14ac:dyDescent="0.25">
      <c r="A1613" s="14"/>
      <c r="B1613" s="14"/>
      <c r="C1613" s="14"/>
      <c r="D1613" s="5" t="str">
        <f t="shared" si="153"/>
        <v/>
      </c>
      <c r="E1613" s="5" t="str">
        <f t="shared" si="154"/>
        <v/>
      </c>
      <c r="F1613" s="5" t="str">
        <f t="shared" si="155"/>
        <v/>
      </c>
      <c r="G1613" s="23"/>
      <c r="H1613" s="66"/>
      <c r="I1613" s="14"/>
      <c r="J1613" s="14"/>
      <c r="K1613" s="14"/>
      <c r="L1613" s="5" t="str">
        <f t="shared" si="156"/>
        <v/>
      </c>
      <c r="M1613" s="5" t="str">
        <f t="shared" si="157"/>
        <v/>
      </c>
      <c r="N1613" s="5" t="str">
        <f t="shared" si="158"/>
        <v/>
      </c>
      <c r="O1613" s="4"/>
    </row>
    <row r="1614" spans="1:15" x14ac:dyDescent="0.25">
      <c r="A1614" s="14"/>
      <c r="B1614" s="14"/>
      <c r="C1614" s="14"/>
      <c r="D1614" s="5" t="str">
        <f t="shared" si="153"/>
        <v/>
      </c>
      <c r="E1614" s="5" t="str">
        <f t="shared" si="154"/>
        <v/>
      </c>
      <c r="F1614" s="5" t="str">
        <f t="shared" si="155"/>
        <v/>
      </c>
      <c r="G1614" s="23"/>
      <c r="H1614" s="66"/>
      <c r="I1614" s="14"/>
      <c r="J1614" s="14"/>
      <c r="K1614" s="14"/>
      <c r="L1614" s="5" t="str">
        <f t="shared" si="156"/>
        <v/>
      </c>
      <c r="M1614" s="5" t="str">
        <f t="shared" si="157"/>
        <v/>
      </c>
      <c r="N1614" s="5" t="str">
        <f t="shared" si="158"/>
        <v/>
      </c>
      <c r="O1614" s="4"/>
    </row>
    <row r="1615" spans="1:15" x14ac:dyDescent="0.25">
      <c r="A1615" s="14"/>
      <c r="B1615" s="14"/>
      <c r="C1615" s="14"/>
      <c r="D1615" s="5" t="str">
        <f t="shared" si="153"/>
        <v/>
      </c>
      <c r="E1615" s="5" t="str">
        <f t="shared" si="154"/>
        <v/>
      </c>
      <c r="F1615" s="5" t="str">
        <f t="shared" si="155"/>
        <v/>
      </c>
      <c r="G1615" s="23"/>
      <c r="H1615" s="66"/>
      <c r="I1615" s="14"/>
      <c r="J1615" s="14"/>
      <c r="K1615" s="14"/>
      <c r="L1615" s="5" t="str">
        <f t="shared" si="156"/>
        <v/>
      </c>
      <c r="M1615" s="5" t="str">
        <f t="shared" si="157"/>
        <v/>
      </c>
      <c r="N1615" s="5" t="str">
        <f t="shared" si="158"/>
        <v/>
      </c>
      <c r="O1615" s="4"/>
    </row>
    <row r="1616" spans="1:15" x14ac:dyDescent="0.25">
      <c r="A1616" s="14"/>
      <c r="B1616" s="14"/>
      <c r="C1616" s="14"/>
      <c r="D1616" s="5" t="str">
        <f t="shared" si="153"/>
        <v/>
      </c>
      <c r="E1616" s="5" t="str">
        <f t="shared" si="154"/>
        <v/>
      </c>
      <c r="F1616" s="5" t="str">
        <f t="shared" si="155"/>
        <v/>
      </c>
      <c r="G1616" s="23"/>
      <c r="H1616" s="66"/>
      <c r="I1616" s="14"/>
      <c r="J1616" s="14"/>
      <c r="K1616" s="14"/>
      <c r="L1616" s="5" t="str">
        <f t="shared" si="156"/>
        <v/>
      </c>
      <c r="M1616" s="5" t="str">
        <f t="shared" si="157"/>
        <v/>
      </c>
      <c r="N1616" s="5" t="str">
        <f t="shared" si="158"/>
        <v/>
      </c>
      <c r="O1616" s="4"/>
    </row>
    <row r="1617" spans="1:15" x14ac:dyDescent="0.25">
      <c r="A1617" s="14"/>
      <c r="B1617" s="14"/>
      <c r="C1617" s="14"/>
      <c r="D1617" s="5" t="str">
        <f t="shared" si="153"/>
        <v/>
      </c>
      <c r="E1617" s="5" t="str">
        <f t="shared" si="154"/>
        <v/>
      </c>
      <c r="F1617" s="5" t="str">
        <f t="shared" si="155"/>
        <v/>
      </c>
      <c r="G1617" s="23"/>
      <c r="H1617" s="66"/>
      <c r="I1617" s="14"/>
      <c r="J1617" s="14"/>
      <c r="K1617" s="14"/>
      <c r="L1617" s="5" t="str">
        <f t="shared" si="156"/>
        <v/>
      </c>
      <c r="M1617" s="5" t="str">
        <f t="shared" si="157"/>
        <v/>
      </c>
      <c r="N1617" s="5" t="str">
        <f t="shared" si="158"/>
        <v/>
      </c>
      <c r="O1617" s="4"/>
    </row>
    <row r="1618" spans="1:15" x14ac:dyDescent="0.25">
      <c r="A1618" s="14"/>
      <c r="B1618" s="14"/>
      <c r="C1618" s="14"/>
      <c r="D1618" s="5" t="str">
        <f t="shared" si="153"/>
        <v/>
      </c>
      <c r="E1618" s="5" t="str">
        <f t="shared" si="154"/>
        <v/>
      </c>
      <c r="F1618" s="5" t="str">
        <f t="shared" si="155"/>
        <v/>
      </c>
      <c r="G1618" s="23"/>
      <c r="H1618" s="66"/>
      <c r="I1618" s="14"/>
      <c r="J1618" s="14"/>
      <c r="K1618" s="14"/>
      <c r="L1618" s="5" t="str">
        <f t="shared" si="156"/>
        <v/>
      </c>
      <c r="M1618" s="5" t="str">
        <f t="shared" si="157"/>
        <v/>
      </c>
      <c r="N1618" s="5" t="str">
        <f t="shared" si="158"/>
        <v/>
      </c>
      <c r="O1618" s="4"/>
    </row>
    <row r="1619" spans="1:15" x14ac:dyDescent="0.25">
      <c r="A1619" s="14"/>
      <c r="B1619" s="14"/>
      <c r="C1619" s="14"/>
      <c r="D1619" s="5" t="str">
        <f t="shared" si="153"/>
        <v/>
      </c>
      <c r="E1619" s="5" t="str">
        <f t="shared" si="154"/>
        <v/>
      </c>
      <c r="F1619" s="5" t="str">
        <f t="shared" si="155"/>
        <v/>
      </c>
      <c r="G1619" s="23"/>
      <c r="H1619" s="66"/>
      <c r="I1619" s="14"/>
      <c r="J1619" s="14"/>
      <c r="K1619" s="14"/>
      <c r="L1619" s="5" t="str">
        <f t="shared" si="156"/>
        <v/>
      </c>
      <c r="M1619" s="5" t="str">
        <f t="shared" si="157"/>
        <v/>
      </c>
      <c r="N1619" s="5" t="str">
        <f t="shared" si="158"/>
        <v/>
      </c>
      <c r="O1619" s="4"/>
    </row>
    <row r="1620" spans="1:15" x14ac:dyDescent="0.25">
      <c r="A1620" s="14"/>
      <c r="B1620" s="14"/>
      <c r="C1620" s="14"/>
      <c r="D1620" s="5" t="str">
        <f t="shared" si="153"/>
        <v/>
      </c>
      <c r="E1620" s="5" t="str">
        <f t="shared" si="154"/>
        <v/>
      </c>
      <c r="F1620" s="5" t="str">
        <f t="shared" si="155"/>
        <v/>
      </c>
      <c r="G1620" s="23"/>
      <c r="H1620" s="66"/>
      <c r="I1620" s="14"/>
      <c r="J1620" s="14"/>
      <c r="K1620" s="14"/>
      <c r="L1620" s="5" t="str">
        <f t="shared" si="156"/>
        <v/>
      </c>
      <c r="M1620" s="5" t="str">
        <f t="shared" si="157"/>
        <v/>
      </c>
      <c r="N1620" s="5" t="str">
        <f t="shared" si="158"/>
        <v/>
      </c>
      <c r="O1620" s="4"/>
    </row>
    <row r="1621" spans="1:15" x14ac:dyDescent="0.25">
      <c r="A1621" s="14"/>
      <c r="B1621" s="14"/>
      <c r="C1621" s="14"/>
      <c r="D1621" s="5" t="str">
        <f t="shared" si="153"/>
        <v/>
      </c>
      <c r="E1621" s="5" t="str">
        <f t="shared" si="154"/>
        <v/>
      </c>
      <c r="F1621" s="5" t="str">
        <f t="shared" si="155"/>
        <v/>
      </c>
      <c r="G1621" s="23"/>
      <c r="H1621" s="66"/>
      <c r="I1621" s="14"/>
      <c r="J1621" s="14"/>
      <c r="K1621" s="14"/>
      <c r="L1621" s="5" t="str">
        <f t="shared" si="156"/>
        <v/>
      </c>
      <c r="M1621" s="5" t="str">
        <f t="shared" si="157"/>
        <v/>
      </c>
      <c r="N1621" s="5" t="str">
        <f t="shared" si="158"/>
        <v/>
      </c>
      <c r="O1621" s="4"/>
    </row>
    <row r="1622" spans="1:15" x14ac:dyDescent="0.25">
      <c r="A1622" s="14"/>
      <c r="B1622" s="14"/>
      <c r="C1622" s="14"/>
      <c r="D1622" s="5" t="str">
        <f t="shared" si="153"/>
        <v/>
      </c>
      <c r="E1622" s="5" t="str">
        <f t="shared" si="154"/>
        <v/>
      </c>
      <c r="F1622" s="5" t="str">
        <f t="shared" si="155"/>
        <v/>
      </c>
      <c r="G1622" s="23"/>
      <c r="H1622" s="66"/>
      <c r="I1622" s="14"/>
      <c r="J1622" s="14"/>
      <c r="K1622" s="14"/>
      <c r="L1622" s="5" t="str">
        <f t="shared" si="156"/>
        <v/>
      </c>
      <c r="M1622" s="5" t="str">
        <f t="shared" si="157"/>
        <v/>
      </c>
      <c r="N1622" s="5" t="str">
        <f t="shared" si="158"/>
        <v/>
      </c>
      <c r="O1622" s="4"/>
    </row>
    <row r="1623" spans="1:15" x14ac:dyDescent="0.25">
      <c r="A1623" s="14"/>
      <c r="B1623" s="14"/>
      <c r="C1623" s="14"/>
      <c r="D1623" s="5" t="str">
        <f t="shared" si="153"/>
        <v/>
      </c>
      <c r="E1623" s="5" t="str">
        <f t="shared" si="154"/>
        <v/>
      </c>
      <c r="F1623" s="5" t="str">
        <f t="shared" si="155"/>
        <v/>
      </c>
      <c r="G1623" s="23"/>
      <c r="H1623" s="66"/>
      <c r="I1623" s="14"/>
      <c r="J1623" s="14"/>
      <c r="K1623" s="14"/>
      <c r="L1623" s="5" t="str">
        <f t="shared" si="156"/>
        <v/>
      </c>
      <c r="M1623" s="5" t="str">
        <f t="shared" si="157"/>
        <v/>
      </c>
      <c r="N1623" s="5" t="str">
        <f t="shared" si="158"/>
        <v/>
      </c>
      <c r="O1623" s="4"/>
    </row>
    <row r="1624" spans="1:15" x14ac:dyDescent="0.25">
      <c r="A1624" s="14"/>
      <c r="B1624" s="14"/>
      <c r="C1624" s="14"/>
      <c r="D1624" s="5" t="str">
        <f t="shared" si="153"/>
        <v/>
      </c>
      <c r="E1624" s="5" t="str">
        <f t="shared" si="154"/>
        <v/>
      </c>
      <c r="F1624" s="5" t="str">
        <f t="shared" si="155"/>
        <v/>
      </c>
      <c r="G1624" s="23"/>
      <c r="H1624" s="66"/>
      <c r="I1624" s="14"/>
      <c r="J1624" s="14"/>
      <c r="K1624" s="14"/>
      <c r="L1624" s="5" t="str">
        <f t="shared" si="156"/>
        <v/>
      </c>
      <c r="M1624" s="5" t="str">
        <f t="shared" si="157"/>
        <v/>
      </c>
      <c r="N1624" s="5" t="str">
        <f t="shared" si="158"/>
        <v/>
      </c>
      <c r="O1624" s="4"/>
    </row>
    <row r="1625" spans="1:15" x14ac:dyDescent="0.25">
      <c r="A1625" s="14"/>
      <c r="B1625" s="14"/>
      <c r="C1625" s="14"/>
      <c r="D1625" s="5" t="str">
        <f t="shared" ref="D1625:D1688" si="159">IFERROR( IF(A1625&lt;&gt;"",((B1625-B1624)*$X$4/(A1625-A1624))*$X$5,""),"")</f>
        <v/>
      </c>
      <c r="E1625" s="5" t="str">
        <f t="shared" ref="E1625:E1688" si="160">IFERROR(IF(A1625&lt;&gt;"",((C1625-C1624)*$X$4/(A1625-A1624))*$X$5,""),"")</f>
        <v/>
      </c>
      <c r="F1625" s="5" t="str">
        <f t="shared" ref="F1625:F1688" si="161">IFERROR(IF(A1625&lt;&gt;"",((ACOS((COS(RADIANS(B1624))*COS(RADIANS(B1625)))+(SIN(RADIANS(B1624))*SIN(RADIANS(B1625)))*COS(RADIANS(C1625-C1624)))*180/PI()*($X$4/(A1625-A1624))))*$X$5,""),"")</f>
        <v/>
      </c>
      <c r="G1625" s="23"/>
      <c r="H1625" s="66"/>
      <c r="I1625" s="14"/>
      <c r="J1625" s="14"/>
      <c r="K1625" s="14"/>
      <c r="L1625" s="5" t="str">
        <f t="shared" si="156"/>
        <v/>
      </c>
      <c r="M1625" s="5" t="str">
        <f t="shared" si="157"/>
        <v/>
      </c>
      <c r="N1625" s="5" t="str">
        <f t="shared" si="158"/>
        <v/>
      </c>
      <c r="O1625" s="4"/>
    </row>
    <row r="1626" spans="1:15" x14ac:dyDescent="0.25">
      <c r="A1626" s="14"/>
      <c r="B1626" s="14"/>
      <c r="C1626" s="14"/>
      <c r="D1626" s="5" t="str">
        <f t="shared" si="159"/>
        <v/>
      </c>
      <c r="E1626" s="5" t="str">
        <f t="shared" si="160"/>
        <v/>
      </c>
      <c r="F1626" s="5" t="str">
        <f t="shared" si="161"/>
        <v/>
      </c>
      <c r="G1626" s="23"/>
      <c r="H1626" s="66"/>
      <c r="I1626" s="14"/>
      <c r="J1626" s="14"/>
      <c r="K1626" s="14"/>
      <c r="L1626" s="5" t="str">
        <f t="shared" si="156"/>
        <v/>
      </c>
      <c r="M1626" s="5" t="str">
        <f t="shared" si="157"/>
        <v/>
      </c>
      <c r="N1626" s="5" t="str">
        <f t="shared" si="158"/>
        <v/>
      </c>
      <c r="O1626" s="4"/>
    </row>
    <row r="1627" spans="1:15" x14ac:dyDescent="0.25">
      <c r="A1627" s="14"/>
      <c r="B1627" s="14"/>
      <c r="C1627" s="14"/>
      <c r="D1627" s="5" t="str">
        <f t="shared" si="159"/>
        <v/>
      </c>
      <c r="E1627" s="5" t="str">
        <f t="shared" si="160"/>
        <v/>
      </c>
      <c r="F1627" s="5" t="str">
        <f t="shared" si="161"/>
        <v/>
      </c>
      <c r="G1627" s="23"/>
      <c r="H1627" s="66"/>
      <c r="I1627" s="14"/>
      <c r="J1627" s="14"/>
      <c r="K1627" s="14"/>
      <c r="L1627" s="5" t="str">
        <f t="shared" si="156"/>
        <v/>
      </c>
      <c r="M1627" s="5" t="str">
        <f t="shared" si="157"/>
        <v/>
      </c>
      <c r="N1627" s="5" t="str">
        <f t="shared" si="158"/>
        <v/>
      </c>
      <c r="O1627" s="4"/>
    </row>
    <row r="1628" spans="1:15" x14ac:dyDescent="0.25">
      <c r="A1628" s="14"/>
      <c r="B1628" s="14"/>
      <c r="C1628" s="14"/>
      <c r="D1628" s="5" t="str">
        <f t="shared" si="159"/>
        <v/>
      </c>
      <c r="E1628" s="5" t="str">
        <f t="shared" si="160"/>
        <v/>
      </c>
      <c r="F1628" s="5" t="str">
        <f t="shared" si="161"/>
        <v/>
      </c>
      <c r="G1628" s="23"/>
      <c r="H1628" s="66"/>
      <c r="I1628" s="14"/>
      <c r="J1628" s="14"/>
      <c r="K1628" s="14"/>
      <c r="L1628" s="5" t="str">
        <f t="shared" si="156"/>
        <v/>
      </c>
      <c r="M1628" s="5" t="str">
        <f t="shared" si="157"/>
        <v/>
      </c>
      <c r="N1628" s="5" t="str">
        <f t="shared" si="158"/>
        <v/>
      </c>
      <c r="O1628" s="4"/>
    </row>
    <row r="1629" spans="1:15" x14ac:dyDescent="0.25">
      <c r="A1629" s="14"/>
      <c r="B1629" s="14"/>
      <c r="C1629" s="14"/>
      <c r="D1629" s="5" t="str">
        <f t="shared" si="159"/>
        <v/>
      </c>
      <c r="E1629" s="5" t="str">
        <f t="shared" si="160"/>
        <v/>
      </c>
      <c r="F1629" s="5" t="str">
        <f t="shared" si="161"/>
        <v/>
      </c>
      <c r="G1629" s="23"/>
      <c r="H1629" s="66"/>
      <c r="I1629" s="14"/>
      <c r="J1629" s="14"/>
      <c r="K1629" s="14"/>
      <c r="L1629" s="5" t="str">
        <f t="shared" si="156"/>
        <v/>
      </c>
      <c r="M1629" s="5" t="str">
        <f t="shared" si="157"/>
        <v/>
      </c>
      <c r="N1629" s="5" t="str">
        <f t="shared" si="158"/>
        <v/>
      </c>
      <c r="O1629" s="4"/>
    </row>
    <row r="1630" spans="1:15" x14ac:dyDescent="0.25">
      <c r="A1630" s="14"/>
      <c r="B1630" s="14"/>
      <c r="C1630" s="14"/>
      <c r="D1630" s="5" t="str">
        <f t="shared" si="159"/>
        <v/>
      </c>
      <c r="E1630" s="5" t="str">
        <f t="shared" si="160"/>
        <v/>
      </c>
      <c r="F1630" s="5" t="str">
        <f t="shared" si="161"/>
        <v/>
      </c>
      <c r="G1630" s="23"/>
      <c r="H1630" s="66"/>
      <c r="I1630" s="14"/>
      <c r="J1630" s="14"/>
      <c r="K1630" s="14"/>
      <c r="L1630" s="5" t="str">
        <f t="shared" si="156"/>
        <v/>
      </c>
      <c r="M1630" s="5" t="str">
        <f t="shared" si="157"/>
        <v/>
      </c>
      <c r="N1630" s="5" t="str">
        <f t="shared" si="158"/>
        <v/>
      </c>
      <c r="O1630" s="4"/>
    </row>
    <row r="1631" spans="1:15" x14ac:dyDescent="0.25">
      <c r="A1631" s="14"/>
      <c r="B1631" s="14"/>
      <c r="C1631" s="14"/>
      <c r="D1631" s="5" t="str">
        <f t="shared" si="159"/>
        <v/>
      </c>
      <c r="E1631" s="5" t="str">
        <f t="shared" si="160"/>
        <v/>
      </c>
      <c r="F1631" s="5" t="str">
        <f t="shared" si="161"/>
        <v/>
      </c>
      <c r="G1631" s="23"/>
      <c r="H1631" s="66"/>
      <c r="I1631" s="14"/>
      <c r="J1631" s="14"/>
      <c r="K1631" s="14"/>
      <c r="L1631" s="5" t="str">
        <f t="shared" si="156"/>
        <v/>
      </c>
      <c r="M1631" s="5" t="str">
        <f t="shared" si="157"/>
        <v/>
      </c>
      <c r="N1631" s="5" t="str">
        <f t="shared" si="158"/>
        <v/>
      </c>
      <c r="O1631" s="4"/>
    </row>
    <row r="1632" spans="1:15" x14ac:dyDescent="0.25">
      <c r="A1632" s="14"/>
      <c r="B1632" s="14"/>
      <c r="C1632" s="14"/>
      <c r="D1632" s="5" t="str">
        <f t="shared" si="159"/>
        <v/>
      </c>
      <c r="E1632" s="5" t="str">
        <f t="shared" si="160"/>
        <v/>
      </c>
      <c r="F1632" s="5" t="str">
        <f t="shared" si="161"/>
        <v/>
      </c>
      <c r="G1632" s="23"/>
      <c r="H1632" s="66"/>
      <c r="I1632" s="14"/>
      <c r="J1632" s="14"/>
      <c r="K1632" s="14"/>
      <c r="L1632" s="5" t="str">
        <f t="shared" si="156"/>
        <v/>
      </c>
      <c r="M1632" s="5" t="str">
        <f t="shared" si="157"/>
        <v/>
      </c>
      <c r="N1632" s="5" t="str">
        <f t="shared" si="158"/>
        <v/>
      </c>
      <c r="O1632" s="4"/>
    </row>
    <row r="1633" spans="1:15" x14ac:dyDescent="0.25">
      <c r="A1633" s="14"/>
      <c r="B1633" s="14"/>
      <c r="C1633" s="14"/>
      <c r="D1633" s="5" t="str">
        <f t="shared" si="159"/>
        <v/>
      </c>
      <c r="E1633" s="5" t="str">
        <f t="shared" si="160"/>
        <v/>
      </c>
      <c r="F1633" s="5" t="str">
        <f t="shared" si="161"/>
        <v/>
      </c>
      <c r="G1633" s="23"/>
      <c r="H1633" s="66"/>
      <c r="I1633" s="14"/>
      <c r="J1633" s="14"/>
      <c r="K1633" s="14"/>
      <c r="L1633" s="5" t="str">
        <f t="shared" si="156"/>
        <v/>
      </c>
      <c r="M1633" s="5" t="str">
        <f t="shared" si="157"/>
        <v/>
      </c>
      <c r="N1633" s="5" t="str">
        <f t="shared" si="158"/>
        <v/>
      </c>
      <c r="O1633" s="4"/>
    </row>
    <row r="1634" spans="1:15" x14ac:dyDescent="0.25">
      <c r="A1634" s="14"/>
      <c r="B1634" s="14"/>
      <c r="C1634" s="14"/>
      <c r="D1634" s="5" t="str">
        <f t="shared" si="159"/>
        <v/>
      </c>
      <c r="E1634" s="5" t="str">
        <f t="shared" si="160"/>
        <v/>
      </c>
      <c r="F1634" s="5" t="str">
        <f t="shared" si="161"/>
        <v/>
      </c>
      <c r="G1634" s="23"/>
      <c r="H1634" s="66"/>
      <c r="I1634" s="14"/>
      <c r="J1634" s="14"/>
      <c r="K1634" s="14"/>
      <c r="L1634" s="5" t="str">
        <f t="shared" si="156"/>
        <v/>
      </c>
      <c r="M1634" s="5" t="str">
        <f t="shared" si="157"/>
        <v/>
      </c>
      <c r="N1634" s="5" t="str">
        <f t="shared" si="158"/>
        <v/>
      </c>
      <c r="O1634" s="4"/>
    </row>
    <row r="1635" spans="1:15" x14ac:dyDescent="0.25">
      <c r="A1635" s="14"/>
      <c r="B1635" s="14"/>
      <c r="C1635" s="14"/>
      <c r="D1635" s="5" t="str">
        <f t="shared" si="159"/>
        <v/>
      </c>
      <c r="E1635" s="5" t="str">
        <f t="shared" si="160"/>
        <v/>
      </c>
      <c r="F1635" s="5" t="str">
        <f t="shared" si="161"/>
        <v/>
      </c>
      <c r="G1635" s="23"/>
      <c r="H1635" s="66"/>
      <c r="I1635" s="14"/>
      <c r="J1635" s="14"/>
      <c r="K1635" s="14"/>
      <c r="L1635" s="5" t="str">
        <f t="shared" si="156"/>
        <v/>
      </c>
      <c r="M1635" s="5" t="str">
        <f t="shared" si="157"/>
        <v/>
      </c>
      <c r="N1635" s="5" t="str">
        <f t="shared" si="158"/>
        <v/>
      </c>
      <c r="O1635" s="4"/>
    </row>
    <row r="1636" spans="1:15" x14ac:dyDescent="0.25">
      <c r="A1636" s="14"/>
      <c r="B1636" s="14"/>
      <c r="C1636" s="14"/>
      <c r="D1636" s="5" t="str">
        <f t="shared" si="159"/>
        <v/>
      </c>
      <c r="E1636" s="5" t="str">
        <f t="shared" si="160"/>
        <v/>
      </c>
      <c r="F1636" s="5" t="str">
        <f t="shared" si="161"/>
        <v/>
      </c>
      <c r="G1636" s="23"/>
      <c r="H1636" s="66"/>
      <c r="I1636" s="14"/>
      <c r="J1636" s="14"/>
      <c r="K1636" s="14"/>
      <c r="L1636" s="5" t="str">
        <f t="shared" si="156"/>
        <v/>
      </c>
      <c r="M1636" s="5" t="str">
        <f t="shared" si="157"/>
        <v/>
      </c>
      <c r="N1636" s="5" t="str">
        <f t="shared" si="158"/>
        <v/>
      </c>
      <c r="O1636" s="4"/>
    </row>
    <row r="1637" spans="1:15" x14ac:dyDescent="0.25">
      <c r="A1637" s="14"/>
      <c r="B1637" s="14"/>
      <c r="C1637" s="14"/>
      <c r="D1637" s="5" t="str">
        <f t="shared" si="159"/>
        <v/>
      </c>
      <c r="E1637" s="5" t="str">
        <f t="shared" si="160"/>
        <v/>
      </c>
      <c r="F1637" s="5" t="str">
        <f t="shared" si="161"/>
        <v/>
      </c>
      <c r="G1637" s="23"/>
      <c r="H1637" s="66"/>
      <c r="I1637" s="14"/>
      <c r="J1637" s="14"/>
      <c r="K1637" s="14"/>
      <c r="L1637" s="5" t="str">
        <f t="shared" si="156"/>
        <v/>
      </c>
      <c r="M1637" s="5" t="str">
        <f t="shared" si="157"/>
        <v/>
      </c>
      <c r="N1637" s="5" t="str">
        <f t="shared" si="158"/>
        <v/>
      </c>
      <c r="O1637" s="4"/>
    </row>
    <row r="1638" spans="1:15" x14ac:dyDescent="0.25">
      <c r="A1638" s="14"/>
      <c r="B1638" s="14"/>
      <c r="C1638" s="14"/>
      <c r="D1638" s="5" t="str">
        <f t="shared" si="159"/>
        <v/>
      </c>
      <c r="E1638" s="5" t="str">
        <f t="shared" si="160"/>
        <v/>
      </c>
      <c r="F1638" s="5" t="str">
        <f t="shared" si="161"/>
        <v/>
      </c>
      <c r="G1638" s="23"/>
      <c r="H1638" s="66"/>
      <c r="I1638" s="14"/>
      <c r="J1638" s="14"/>
      <c r="K1638" s="14"/>
      <c r="L1638" s="5" t="str">
        <f t="shared" si="156"/>
        <v/>
      </c>
      <c r="M1638" s="5" t="str">
        <f t="shared" si="157"/>
        <v/>
      </c>
      <c r="N1638" s="5" t="str">
        <f t="shared" si="158"/>
        <v/>
      </c>
      <c r="O1638" s="4"/>
    </row>
    <row r="1639" spans="1:15" x14ac:dyDescent="0.25">
      <c r="A1639" s="14"/>
      <c r="B1639" s="14"/>
      <c r="C1639" s="14"/>
      <c r="D1639" s="5" t="str">
        <f t="shared" si="159"/>
        <v/>
      </c>
      <c r="E1639" s="5" t="str">
        <f t="shared" si="160"/>
        <v/>
      </c>
      <c r="F1639" s="5" t="str">
        <f t="shared" si="161"/>
        <v/>
      </c>
      <c r="G1639" s="23"/>
      <c r="H1639" s="66"/>
      <c r="I1639" s="14"/>
      <c r="J1639" s="14"/>
      <c r="K1639" s="14"/>
      <c r="L1639" s="5" t="str">
        <f t="shared" si="156"/>
        <v/>
      </c>
      <c r="M1639" s="5" t="str">
        <f t="shared" si="157"/>
        <v/>
      </c>
      <c r="N1639" s="5" t="str">
        <f t="shared" si="158"/>
        <v/>
      </c>
      <c r="O1639" s="4"/>
    </row>
    <row r="1640" spans="1:15" x14ac:dyDescent="0.25">
      <c r="A1640" s="14"/>
      <c r="B1640" s="14"/>
      <c r="C1640" s="14"/>
      <c r="D1640" s="5" t="str">
        <f t="shared" si="159"/>
        <v/>
      </c>
      <c r="E1640" s="5" t="str">
        <f t="shared" si="160"/>
        <v/>
      </c>
      <c r="F1640" s="5" t="str">
        <f t="shared" si="161"/>
        <v/>
      </c>
      <c r="G1640" s="23"/>
      <c r="H1640" s="66"/>
      <c r="I1640" s="14"/>
      <c r="J1640" s="14"/>
      <c r="K1640" s="14"/>
      <c r="L1640" s="5" t="str">
        <f t="shared" si="156"/>
        <v/>
      </c>
      <c r="M1640" s="5" t="str">
        <f t="shared" si="157"/>
        <v/>
      </c>
      <c r="N1640" s="5" t="str">
        <f t="shared" si="158"/>
        <v/>
      </c>
      <c r="O1640" s="4"/>
    </row>
    <row r="1641" spans="1:15" x14ac:dyDescent="0.25">
      <c r="A1641" s="14"/>
      <c r="B1641" s="14"/>
      <c r="C1641" s="14"/>
      <c r="D1641" s="5" t="str">
        <f t="shared" si="159"/>
        <v/>
      </c>
      <c r="E1641" s="5" t="str">
        <f t="shared" si="160"/>
        <v/>
      </c>
      <c r="F1641" s="5" t="str">
        <f t="shared" si="161"/>
        <v/>
      </c>
      <c r="G1641" s="23"/>
      <c r="H1641" s="66"/>
      <c r="I1641" s="14"/>
      <c r="J1641" s="14"/>
      <c r="K1641" s="14"/>
      <c r="L1641" s="5" t="str">
        <f t="shared" si="156"/>
        <v/>
      </c>
      <c r="M1641" s="5" t="str">
        <f t="shared" si="157"/>
        <v/>
      </c>
      <c r="N1641" s="5" t="str">
        <f t="shared" si="158"/>
        <v/>
      </c>
      <c r="O1641" s="4"/>
    </row>
    <row r="1642" spans="1:15" x14ac:dyDescent="0.25">
      <c r="A1642" s="14"/>
      <c r="B1642" s="14"/>
      <c r="C1642" s="14"/>
      <c r="D1642" s="5" t="str">
        <f t="shared" si="159"/>
        <v/>
      </c>
      <c r="E1642" s="5" t="str">
        <f t="shared" si="160"/>
        <v/>
      </c>
      <c r="F1642" s="5" t="str">
        <f t="shared" si="161"/>
        <v/>
      </c>
      <c r="G1642" s="23"/>
      <c r="H1642" s="66"/>
      <c r="I1642" s="14"/>
      <c r="J1642" s="14"/>
      <c r="K1642" s="14"/>
      <c r="L1642" s="5" t="str">
        <f t="shared" si="156"/>
        <v/>
      </c>
      <c r="M1642" s="5" t="str">
        <f t="shared" si="157"/>
        <v/>
      </c>
      <c r="N1642" s="5" t="str">
        <f t="shared" si="158"/>
        <v/>
      </c>
      <c r="O1642" s="4"/>
    </row>
    <row r="1643" spans="1:15" x14ac:dyDescent="0.25">
      <c r="A1643" s="14"/>
      <c r="B1643" s="14"/>
      <c r="C1643" s="14"/>
      <c r="D1643" s="5" t="str">
        <f t="shared" si="159"/>
        <v/>
      </c>
      <c r="E1643" s="5" t="str">
        <f t="shared" si="160"/>
        <v/>
      </c>
      <c r="F1643" s="5" t="str">
        <f t="shared" si="161"/>
        <v/>
      </c>
      <c r="G1643" s="23"/>
      <c r="H1643" s="66"/>
      <c r="I1643" s="14"/>
      <c r="J1643" s="14"/>
      <c r="K1643" s="14"/>
      <c r="L1643" s="5" t="str">
        <f t="shared" si="156"/>
        <v/>
      </c>
      <c r="M1643" s="5" t="str">
        <f t="shared" si="157"/>
        <v/>
      </c>
      <c r="N1643" s="5" t="str">
        <f t="shared" si="158"/>
        <v/>
      </c>
      <c r="O1643" s="4"/>
    </row>
    <row r="1644" spans="1:15" x14ac:dyDescent="0.25">
      <c r="A1644" s="14"/>
      <c r="B1644" s="14"/>
      <c r="C1644" s="14"/>
      <c r="D1644" s="5" t="str">
        <f t="shared" si="159"/>
        <v/>
      </c>
      <c r="E1644" s="5" t="str">
        <f t="shared" si="160"/>
        <v/>
      </c>
      <c r="F1644" s="5" t="str">
        <f t="shared" si="161"/>
        <v/>
      </c>
      <c r="G1644" s="23"/>
      <c r="H1644" s="66"/>
      <c r="I1644" s="14"/>
      <c r="J1644" s="14"/>
      <c r="K1644" s="14"/>
      <c r="L1644" s="5" t="str">
        <f t="shared" si="156"/>
        <v/>
      </c>
      <c r="M1644" s="5" t="str">
        <f t="shared" si="157"/>
        <v/>
      </c>
      <c r="N1644" s="5" t="str">
        <f t="shared" si="158"/>
        <v/>
      </c>
      <c r="O1644" s="4"/>
    </row>
    <row r="1645" spans="1:15" x14ac:dyDescent="0.25">
      <c r="A1645" s="14"/>
      <c r="B1645" s="14"/>
      <c r="C1645" s="14"/>
      <c r="D1645" s="5" t="str">
        <f t="shared" si="159"/>
        <v/>
      </c>
      <c r="E1645" s="5" t="str">
        <f t="shared" si="160"/>
        <v/>
      </c>
      <c r="F1645" s="5" t="str">
        <f t="shared" si="161"/>
        <v/>
      </c>
      <c r="G1645" s="23"/>
      <c r="H1645" s="66"/>
      <c r="I1645" s="14"/>
      <c r="J1645" s="14"/>
      <c r="K1645" s="14"/>
      <c r="L1645" s="5" t="str">
        <f t="shared" si="156"/>
        <v/>
      </c>
      <c r="M1645" s="5" t="str">
        <f t="shared" si="157"/>
        <v/>
      </c>
      <c r="N1645" s="5" t="str">
        <f t="shared" si="158"/>
        <v/>
      </c>
      <c r="O1645" s="4"/>
    </row>
    <row r="1646" spans="1:15" x14ac:dyDescent="0.25">
      <c r="A1646" s="14"/>
      <c r="B1646" s="14"/>
      <c r="C1646" s="14"/>
      <c r="D1646" s="5" t="str">
        <f t="shared" si="159"/>
        <v/>
      </c>
      <c r="E1646" s="5" t="str">
        <f t="shared" si="160"/>
        <v/>
      </c>
      <c r="F1646" s="5" t="str">
        <f t="shared" si="161"/>
        <v/>
      </c>
      <c r="G1646" s="23"/>
      <c r="H1646" s="66"/>
      <c r="I1646" s="14"/>
      <c r="J1646" s="14"/>
      <c r="K1646" s="14"/>
      <c r="L1646" s="5" t="str">
        <f t="shared" si="156"/>
        <v/>
      </c>
      <c r="M1646" s="5" t="str">
        <f t="shared" si="157"/>
        <v/>
      </c>
      <c r="N1646" s="5" t="str">
        <f t="shared" si="158"/>
        <v/>
      </c>
      <c r="O1646" s="4"/>
    </row>
    <row r="1647" spans="1:15" x14ac:dyDescent="0.25">
      <c r="A1647" s="14"/>
      <c r="B1647" s="14"/>
      <c r="C1647" s="14"/>
      <c r="D1647" s="5" t="str">
        <f t="shared" si="159"/>
        <v/>
      </c>
      <c r="E1647" s="5" t="str">
        <f t="shared" si="160"/>
        <v/>
      </c>
      <c r="F1647" s="5" t="str">
        <f t="shared" si="161"/>
        <v/>
      </c>
      <c r="G1647" s="23"/>
      <c r="H1647" s="66"/>
      <c r="I1647" s="14"/>
      <c r="J1647" s="14"/>
      <c r="K1647" s="14"/>
      <c r="L1647" s="5" t="str">
        <f t="shared" si="156"/>
        <v/>
      </c>
      <c r="M1647" s="5" t="str">
        <f t="shared" si="157"/>
        <v/>
      </c>
      <c r="N1647" s="5" t="str">
        <f t="shared" si="158"/>
        <v/>
      </c>
      <c r="O1647" s="4"/>
    </row>
    <row r="1648" spans="1:15" x14ac:dyDescent="0.25">
      <c r="A1648" s="14"/>
      <c r="B1648" s="14"/>
      <c r="C1648" s="14"/>
      <c r="D1648" s="5" t="str">
        <f t="shared" si="159"/>
        <v/>
      </c>
      <c r="E1648" s="5" t="str">
        <f t="shared" si="160"/>
        <v/>
      </c>
      <c r="F1648" s="5" t="str">
        <f t="shared" si="161"/>
        <v/>
      </c>
      <c r="G1648" s="23"/>
      <c r="H1648" s="66"/>
      <c r="I1648" s="14"/>
      <c r="J1648" s="14"/>
      <c r="K1648" s="14"/>
      <c r="L1648" s="5" t="str">
        <f t="shared" si="156"/>
        <v/>
      </c>
      <c r="M1648" s="5" t="str">
        <f t="shared" si="157"/>
        <v/>
      </c>
      <c r="N1648" s="5" t="str">
        <f t="shared" si="158"/>
        <v/>
      </c>
      <c r="O1648" s="4"/>
    </row>
    <row r="1649" spans="1:15" x14ac:dyDescent="0.25">
      <c r="A1649" s="14"/>
      <c r="B1649" s="14"/>
      <c r="C1649" s="14"/>
      <c r="D1649" s="5" t="str">
        <f t="shared" si="159"/>
        <v/>
      </c>
      <c r="E1649" s="5" t="str">
        <f t="shared" si="160"/>
        <v/>
      </c>
      <c r="F1649" s="5" t="str">
        <f t="shared" si="161"/>
        <v/>
      </c>
      <c r="G1649" s="23"/>
      <c r="H1649" s="66"/>
      <c r="I1649" s="14"/>
      <c r="J1649" s="14"/>
      <c r="K1649" s="14"/>
      <c r="L1649" s="5" t="str">
        <f t="shared" si="156"/>
        <v/>
      </c>
      <c r="M1649" s="5" t="str">
        <f t="shared" si="157"/>
        <v/>
      </c>
      <c r="N1649" s="5" t="str">
        <f t="shared" si="158"/>
        <v/>
      </c>
      <c r="O1649" s="4"/>
    </row>
    <row r="1650" spans="1:15" x14ac:dyDescent="0.25">
      <c r="A1650" s="14"/>
      <c r="B1650" s="14"/>
      <c r="C1650" s="14"/>
      <c r="D1650" s="5" t="str">
        <f t="shared" si="159"/>
        <v/>
      </c>
      <c r="E1650" s="5" t="str">
        <f t="shared" si="160"/>
        <v/>
      </c>
      <c r="F1650" s="5" t="str">
        <f t="shared" si="161"/>
        <v/>
      </c>
      <c r="G1650" s="23"/>
      <c r="H1650" s="66"/>
      <c r="I1650" s="14"/>
      <c r="J1650" s="14"/>
      <c r="K1650" s="14"/>
      <c r="L1650" s="5" t="str">
        <f t="shared" si="156"/>
        <v/>
      </c>
      <c r="M1650" s="5" t="str">
        <f t="shared" si="157"/>
        <v/>
      </c>
      <c r="N1650" s="5" t="str">
        <f t="shared" si="158"/>
        <v/>
      </c>
      <c r="O1650" s="4"/>
    </row>
    <row r="1651" spans="1:15" x14ac:dyDescent="0.25">
      <c r="A1651" s="14"/>
      <c r="B1651" s="14"/>
      <c r="C1651" s="14"/>
      <c r="D1651" s="5" t="str">
        <f t="shared" si="159"/>
        <v/>
      </c>
      <c r="E1651" s="5" t="str">
        <f t="shared" si="160"/>
        <v/>
      </c>
      <c r="F1651" s="5" t="str">
        <f t="shared" si="161"/>
        <v/>
      </c>
      <c r="G1651" s="23"/>
      <c r="H1651" s="66"/>
      <c r="I1651" s="14"/>
      <c r="J1651" s="14"/>
      <c r="K1651" s="14"/>
      <c r="L1651" s="5" t="str">
        <f t="shared" si="156"/>
        <v/>
      </c>
      <c r="M1651" s="5" t="str">
        <f t="shared" si="157"/>
        <v/>
      </c>
      <c r="N1651" s="5" t="str">
        <f t="shared" si="158"/>
        <v/>
      </c>
      <c r="O1651" s="4"/>
    </row>
    <row r="1652" spans="1:15" x14ac:dyDescent="0.25">
      <c r="A1652" s="14"/>
      <c r="B1652" s="14"/>
      <c r="C1652" s="14"/>
      <c r="D1652" s="5" t="str">
        <f t="shared" si="159"/>
        <v/>
      </c>
      <c r="E1652" s="5" t="str">
        <f t="shared" si="160"/>
        <v/>
      </c>
      <c r="F1652" s="5" t="str">
        <f t="shared" si="161"/>
        <v/>
      </c>
      <c r="G1652" s="23"/>
      <c r="H1652" s="66"/>
      <c r="I1652" s="14"/>
      <c r="J1652" s="14"/>
      <c r="K1652" s="14"/>
      <c r="L1652" s="5" t="str">
        <f t="shared" si="156"/>
        <v/>
      </c>
      <c r="M1652" s="5" t="str">
        <f t="shared" si="157"/>
        <v/>
      </c>
      <c r="N1652" s="5" t="str">
        <f t="shared" si="158"/>
        <v/>
      </c>
      <c r="O1652" s="4"/>
    </row>
    <row r="1653" spans="1:15" x14ac:dyDescent="0.25">
      <c r="A1653" s="14"/>
      <c r="B1653" s="14"/>
      <c r="C1653" s="14"/>
      <c r="D1653" s="5" t="str">
        <f t="shared" si="159"/>
        <v/>
      </c>
      <c r="E1653" s="5" t="str">
        <f t="shared" si="160"/>
        <v/>
      </c>
      <c r="F1653" s="5" t="str">
        <f t="shared" si="161"/>
        <v/>
      </c>
      <c r="G1653" s="23"/>
      <c r="H1653" s="66"/>
      <c r="I1653" s="14"/>
      <c r="J1653" s="14"/>
      <c r="K1653" s="14"/>
      <c r="L1653" s="5" t="str">
        <f t="shared" si="156"/>
        <v/>
      </c>
      <c r="M1653" s="5" t="str">
        <f t="shared" si="157"/>
        <v/>
      </c>
      <c r="N1653" s="5" t="str">
        <f t="shared" si="158"/>
        <v/>
      </c>
      <c r="O1653" s="4"/>
    </row>
    <row r="1654" spans="1:15" x14ac:dyDescent="0.25">
      <c r="A1654" s="14"/>
      <c r="B1654" s="14"/>
      <c r="C1654" s="14"/>
      <c r="D1654" s="5" t="str">
        <f t="shared" si="159"/>
        <v/>
      </c>
      <c r="E1654" s="5" t="str">
        <f t="shared" si="160"/>
        <v/>
      </c>
      <c r="F1654" s="5" t="str">
        <f t="shared" si="161"/>
        <v/>
      </c>
      <c r="G1654" s="23"/>
      <c r="H1654" s="66"/>
      <c r="I1654" s="14"/>
      <c r="J1654" s="14"/>
      <c r="K1654" s="14"/>
      <c r="L1654" s="5" t="str">
        <f t="shared" si="156"/>
        <v/>
      </c>
      <c r="M1654" s="5" t="str">
        <f t="shared" si="157"/>
        <v/>
      </c>
      <c r="N1654" s="5" t="str">
        <f t="shared" si="158"/>
        <v/>
      </c>
      <c r="O1654" s="4"/>
    </row>
    <row r="1655" spans="1:15" x14ac:dyDescent="0.25">
      <c r="A1655" s="14"/>
      <c r="B1655" s="14"/>
      <c r="C1655" s="14"/>
      <c r="D1655" s="5" t="str">
        <f t="shared" si="159"/>
        <v/>
      </c>
      <c r="E1655" s="5" t="str">
        <f t="shared" si="160"/>
        <v/>
      </c>
      <c r="F1655" s="5" t="str">
        <f t="shared" si="161"/>
        <v/>
      </c>
      <c r="G1655" s="23"/>
      <c r="H1655" s="66"/>
      <c r="I1655" s="14"/>
      <c r="J1655" s="14"/>
      <c r="K1655" s="14"/>
      <c r="L1655" s="5" t="str">
        <f t="shared" si="156"/>
        <v/>
      </c>
      <c r="M1655" s="5" t="str">
        <f t="shared" si="157"/>
        <v/>
      </c>
      <c r="N1655" s="5" t="str">
        <f t="shared" si="158"/>
        <v/>
      </c>
      <c r="O1655" s="4"/>
    </row>
    <row r="1656" spans="1:15" x14ac:dyDescent="0.25">
      <c r="A1656" s="14"/>
      <c r="B1656" s="14"/>
      <c r="C1656" s="14"/>
      <c r="D1656" s="5" t="str">
        <f t="shared" si="159"/>
        <v/>
      </c>
      <c r="E1656" s="5" t="str">
        <f t="shared" si="160"/>
        <v/>
      </c>
      <c r="F1656" s="5" t="str">
        <f t="shared" si="161"/>
        <v/>
      </c>
      <c r="G1656" s="23"/>
      <c r="H1656" s="66"/>
      <c r="I1656" s="14"/>
      <c r="J1656" s="14"/>
      <c r="K1656" s="14"/>
      <c r="L1656" s="5" t="str">
        <f t="shared" si="156"/>
        <v/>
      </c>
      <c r="M1656" s="5" t="str">
        <f t="shared" si="157"/>
        <v/>
      </c>
      <c r="N1656" s="5" t="str">
        <f t="shared" si="158"/>
        <v/>
      </c>
      <c r="O1656" s="4"/>
    </row>
    <row r="1657" spans="1:15" x14ac:dyDescent="0.25">
      <c r="A1657" s="14"/>
      <c r="B1657" s="14"/>
      <c r="C1657" s="14"/>
      <c r="D1657" s="5" t="str">
        <f t="shared" si="159"/>
        <v/>
      </c>
      <c r="E1657" s="5" t="str">
        <f t="shared" si="160"/>
        <v/>
      </c>
      <c r="F1657" s="5" t="str">
        <f t="shared" si="161"/>
        <v/>
      </c>
      <c r="G1657" s="23"/>
      <c r="H1657" s="66"/>
      <c r="I1657" s="14"/>
      <c r="J1657" s="14"/>
      <c r="K1657" s="14"/>
      <c r="L1657" s="5" t="str">
        <f t="shared" si="156"/>
        <v/>
      </c>
      <c r="M1657" s="5" t="str">
        <f t="shared" si="157"/>
        <v/>
      </c>
      <c r="N1657" s="5" t="str">
        <f t="shared" si="158"/>
        <v/>
      </c>
      <c r="O1657" s="4"/>
    </row>
    <row r="1658" spans="1:15" x14ac:dyDescent="0.25">
      <c r="A1658" s="14"/>
      <c r="B1658" s="14"/>
      <c r="C1658" s="14"/>
      <c r="D1658" s="5" t="str">
        <f t="shared" si="159"/>
        <v/>
      </c>
      <c r="E1658" s="5" t="str">
        <f t="shared" si="160"/>
        <v/>
      </c>
      <c r="F1658" s="5" t="str">
        <f t="shared" si="161"/>
        <v/>
      </c>
      <c r="G1658" s="23"/>
      <c r="H1658" s="66"/>
      <c r="I1658" s="14"/>
      <c r="J1658" s="14"/>
      <c r="K1658" s="14"/>
      <c r="L1658" s="5" t="str">
        <f t="shared" si="156"/>
        <v/>
      </c>
      <c r="M1658" s="5" t="str">
        <f t="shared" si="157"/>
        <v/>
      </c>
      <c r="N1658" s="5" t="str">
        <f t="shared" si="158"/>
        <v/>
      </c>
      <c r="O1658" s="4"/>
    </row>
    <row r="1659" spans="1:15" x14ac:dyDescent="0.25">
      <c r="A1659" s="14"/>
      <c r="B1659" s="14"/>
      <c r="C1659" s="14"/>
      <c r="D1659" s="5" t="str">
        <f t="shared" si="159"/>
        <v/>
      </c>
      <c r="E1659" s="5" t="str">
        <f t="shared" si="160"/>
        <v/>
      </c>
      <c r="F1659" s="5" t="str">
        <f t="shared" si="161"/>
        <v/>
      </c>
      <c r="G1659" s="23"/>
      <c r="H1659" s="66"/>
      <c r="I1659" s="14"/>
      <c r="J1659" s="14"/>
      <c r="K1659" s="14"/>
      <c r="L1659" s="5" t="str">
        <f t="shared" si="156"/>
        <v/>
      </c>
      <c r="M1659" s="5" t="str">
        <f t="shared" si="157"/>
        <v/>
      </c>
      <c r="N1659" s="5" t="str">
        <f t="shared" si="158"/>
        <v/>
      </c>
      <c r="O1659" s="4"/>
    </row>
    <row r="1660" spans="1:15" x14ac:dyDescent="0.25">
      <c r="A1660" s="14"/>
      <c r="B1660" s="14"/>
      <c r="C1660" s="14"/>
      <c r="D1660" s="5" t="str">
        <f t="shared" si="159"/>
        <v/>
      </c>
      <c r="E1660" s="5" t="str">
        <f t="shared" si="160"/>
        <v/>
      </c>
      <c r="F1660" s="5" t="str">
        <f t="shared" si="161"/>
        <v/>
      </c>
      <c r="G1660" s="23"/>
      <c r="H1660" s="66"/>
      <c r="I1660" s="14"/>
      <c r="J1660" s="14"/>
      <c r="K1660" s="14"/>
      <c r="L1660" s="5" t="str">
        <f t="shared" si="156"/>
        <v/>
      </c>
      <c r="M1660" s="5" t="str">
        <f t="shared" si="157"/>
        <v/>
      </c>
      <c r="N1660" s="5" t="str">
        <f t="shared" si="158"/>
        <v/>
      </c>
      <c r="O1660" s="4"/>
    </row>
    <row r="1661" spans="1:15" x14ac:dyDescent="0.25">
      <c r="A1661" s="14"/>
      <c r="B1661" s="14"/>
      <c r="C1661" s="14"/>
      <c r="D1661" s="5" t="str">
        <f t="shared" si="159"/>
        <v/>
      </c>
      <c r="E1661" s="5" t="str">
        <f t="shared" si="160"/>
        <v/>
      </c>
      <c r="F1661" s="5" t="str">
        <f t="shared" si="161"/>
        <v/>
      </c>
      <c r="G1661" s="23"/>
      <c r="H1661" s="66"/>
      <c r="I1661" s="14"/>
      <c r="J1661" s="14"/>
      <c r="K1661" s="14"/>
      <c r="L1661" s="5" t="str">
        <f t="shared" si="156"/>
        <v/>
      </c>
      <c r="M1661" s="5" t="str">
        <f t="shared" si="157"/>
        <v/>
      </c>
      <c r="N1661" s="5" t="str">
        <f t="shared" si="158"/>
        <v/>
      </c>
      <c r="O1661" s="4"/>
    </row>
    <row r="1662" spans="1:15" x14ac:dyDescent="0.25">
      <c r="A1662" s="14"/>
      <c r="B1662" s="14"/>
      <c r="C1662" s="14"/>
      <c r="D1662" s="5" t="str">
        <f t="shared" si="159"/>
        <v/>
      </c>
      <c r="E1662" s="5" t="str">
        <f t="shared" si="160"/>
        <v/>
      </c>
      <c r="F1662" s="5" t="str">
        <f t="shared" si="161"/>
        <v/>
      </c>
      <c r="G1662" s="23"/>
      <c r="H1662" s="66"/>
      <c r="I1662" s="14"/>
      <c r="J1662" s="14"/>
      <c r="K1662" s="14"/>
      <c r="L1662" s="5" t="str">
        <f t="shared" si="156"/>
        <v/>
      </c>
      <c r="M1662" s="5" t="str">
        <f t="shared" si="157"/>
        <v/>
      </c>
      <c r="N1662" s="5" t="str">
        <f t="shared" si="158"/>
        <v/>
      </c>
      <c r="O1662" s="4"/>
    </row>
    <row r="1663" spans="1:15" x14ac:dyDescent="0.25">
      <c r="A1663" s="14"/>
      <c r="B1663" s="14"/>
      <c r="C1663" s="14"/>
      <c r="D1663" s="5" t="str">
        <f t="shared" si="159"/>
        <v/>
      </c>
      <c r="E1663" s="5" t="str">
        <f t="shared" si="160"/>
        <v/>
      </c>
      <c r="F1663" s="5" t="str">
        <f t="shared" si="161"/>
        <v/>
      </c>
      <c r="G1663" s="23"/>
      <c r="H1663" s="66"/>
      <c r="I1663" s="14"/>
      <c r="J1663" s="14"/>
      <c r="K1663" s="14"/>
      <c r="L1663" s="5" t="str">
        <f t="shared" si="156"/>
        <v/>
      </c>
      <c r="M1663" s="5" t="str">
        <f t="shared" si="157"/>
        <v/>
      </c>
      <c r="N1663" s="5" t="str">
        <f t="shared" si="158"/>
        <v/>
      </c>
      <c r="O1663" s="4"/>
    </row>
    <row r="1664" spans="1:15" x14ac:dyDescent="0.25">
      <c r="A1664" s="14"/>
      <c r="B1664" s="14"/>
      <c r="C1664" s="14"/>
      <c r="D1664" s="5" t="str">
        <f t="shared" si="159"/>
        <v/>
      </c>
      <c r="E1664" s="5" t="str">
        <f t="shared" si="160"/>
        <v/>
      </c>
      <c r="F1664" s="5" t="str">
        <f t="shared" si="161"/>
        <v/>
      </c>
      <c r="G1664" s="23"/>
      <c r="H1664" s="66"/>
      <c r="I1664" s="14"/>
      <c r="J1664" s="14"/>
      <c r="K1664" s="14"/>
      <c r="L1664" s="5" t="str">
        <f t="shared" si="156"/>
        <v/>
      </c>
      <c r="M1664" s="5" t="str">
        <f t="shared" si="157"/>
        <v/>
      </c>
      <c r="N1664" s="5" t="str">
        <f t="shared" si="158"/>
        <v/>
      </c>
      <c r="O1664" s="4"/>
    </row>
    <row r="1665" spans="1:15" x14ac:dyDescent="0.25">
      <c r="A1665" s="14"/>
      <c r="B1665" s="14"/>
      <c r="C1665" s="14"/>
      <c r="D1665" s="5" t="str">
        <f t="shared" si="159"/>
        <v/>
      </c>
      <c r="E1665" s="5" t="str">
        <f t="shared" si="160"/>
        <v/>
      </c>
      <c r="F1665" s="5" t="str">
        <f t="shared" si="161"/>
        <v/>
      </c>
      <c r="G1665" s="23"/>
      <c r="H1665" s="66"/>
      <c r="I1665" s="14"/>
      <c r="J1665" s="14"/>
      <c r="K1665" s="14"/>
      <c r="L1665" s="5" t="str">
        <f t="shared" si="156"/>
        <v/>
      </c>
      <c r="M1665" s="5" t="str">
        <f t="shared" si="157"/>
        <v/>
      </c>
      <c r="N1665" s="5" t="str">
        <f t="shared" si="158"/>
        <v/>
      </c>
      <c r="O1665" s="4"/>
    </row>
    <row r="1666" spans="1:15" x14ac:dyDescent="0.25">
      <c r="A1666" s="14"/>
      <c r="B1666" s="14"/>
      <c r="C1666" s="14"/>
      <c r="D1666" s="5" t="str">
        <f t="shared" si="159"/>
        <v/>
      </c>
      <c r="E1666" s="5" t="str">
        <f t="shared" si="160"/>
        <v/>
      </c>
      <c r="F1666" s="5" t="str">
        <f t="shared" si="161"/>
        <v/>
      </c>
      <c r="G1666" s="23"/>
      <c r="H1666" s="66"/>
      <c r="I1666" s="14"/>
      <c r="J1666" s="14"/>
      <c r="K1666" s="14"/>
      <c r="L1666" s="5" t="str">
        <f t="shared" si="156"/>
        <v/>
      </c>
      <c r="M1666" s="5" t="str">
        <f t="shared" si="157"/>
        <v/>
      </c>
      <c r="N1666" s="5" t="str">
        <f t="shared" si="158"/>
        <v/>
      </c>
      <c r="O1666" s="4"/>
    </row>
    <row r="1667" spans="1:15" x14ac:dyDescent="0.25">
      <c r="A1667" s="14"/>
      <c r="B1667" s="14"/>
      <c r="C1667" s="14"/>
      <c r="D1667" s="5" t="str">
        <f t="shared" si="159"/>
        <v/>
      </c>
      <c r="E1667" s="5" t="str">
        <f t="shared" si="160"/>
        <v/>
      </c>
      <c r="F1667" s="5" t="str">
        <f t="shared" si="161"/>
        <v/>
      </c>
      <c r="G1667" s="23"/>
      <c r="H1667" s="66"/>
      <c r="I1667" s="14"/>
      <c r="J1667" s="14"/>
      <c r="K1667" s="14"/>
      <c r="L1667" s="5" t="str">
        <f t="shared" si="156"/>
        <v/>
      </c>
      <c r="M1667" s="5" t="str">
        <f t="shared" si="157"/>
        <v/>
      </c>
      <c r="N1667" s="5" t="str">
        <f t="shared" si="158"/>
        <v/>
      </c>
      <c r="O1667" s="4"/>
    </row>
    <row r="1668" spans="1:15" x14ac:dyDescent="0.25">
      <c r="A1668" s="14"/>
      <c r="B1668" s="14"/>
      <c r="C1668" s="14"/>
      <c r="D1668" s="5" t="str">
        <f t="shared" si="159"/>
        <v/>
      </c>
      <c r="E1668" s="5" t="str">
        <f t="shared" si="160"/>
        <v/>
      </c>
      <c r="F1668" s="5" t="str">
        <f t="shared" si="161"/>
        <v/>
      </c>
      <c r="G1668" s="23"/>
      <c r="H1668" s="66"/>
      <c r="I1668" s="14"/>
      <c r="J1668" s="14"/>
      <c r="K1668" s="14"/>
      <c r="L1668" s="5" t="str">
        <f t="shared" si="156"/>
        <v/>
      </c>
      <c r="M1668" s="5" t="str">
        <f t="shared" si="157"/>
        <v/>
      </c>
      <c r="N1668" s="5" t="str">
        <f t="shared" si="158"/>
        <v/>
      </c>
      <c r="O1668" s="4"/>
    </row>
    <row r="1669" spans="1:15" x14ac:dyDescent="0.25">
      <c r="A1669" s="14"/>
      <c r="B1669" s="14"/>
      <c r="C1669" s="14"/>
      <c r="D1669" s="5" t="str">
        <f t="shared" si="159"/>
        <v/>
      </c>
      <c r="E1669" s="5" t="str">
        <f t="shared" si="160"/>
        <v/>
      </c>
      <c r="F1669" s="5" t="str">
        <f t="shared" si="161"/>
        <v/>
      </c>
      <c r="G1669" s="23"/>
      <c r="H1669" s="66"/>
      <c r="I1669" s="14"/>
      <c r="J1669" s="14"/>
      <c r="K1669" s="14"/>
      <c r="L1669" s="5" t="str">
        <f t="shared" si="156"/>
        <v/>
      </c>
      <c r="M1669" s="5" t="str">
        <f t="shared" si="157"/>
        <v/>
      </c>
      <c r="N1669" s="5" t="str">
        <f t="shared" si="158"/>
        <v/>
      </c>
      <c r="O1669" s="4"/>
    </row>
    <row r="1670" spans="1:15" x14ac:dyDescent="0.25">
      <c r="A1670" s="14"/>
      <c r="B1670" s="14"/>
      <c r="C1670" s="14"/>
      <c r="D1670" s="5" t="str">
        <f t="shared" si="159"/>
        <v/>
      </c>
      <c r="E1670" s="5" t="str">
        <f t="shared" si="160"/>
        <v/>
      </c>
      <c r="F1670" s="5" t="str">
        <f t="shared" si="161"/>
        <v/>
      </c>
      <c r="G1670" s="23"/>
      <c r="H1670" s="66"/>
      <c r="I1670" s="14"/>
      <c r="J1670" s="14"/>
      <c r="K1670" s="14"/>
      <c r="L1670" s="5" t="str">
        <f t="shared" si="156"/>
        <v/>
      </c>
      <c r="M1670" s="5" t="str">
        <f t="shared" si="157"/>
        <v/>
      </c>
      <c r="N1670" s="5" t="str">
        <f t="shared" si="158"/>
        <v/>
      </c>
      <c r="O1670" s="4"/>
    </row>
    <row r="1671" spans="1:15" x14ac:dyDescent="0.25">
      <c r="A1671" s="14"/>
      <c r="B1671" s="14"/>
      <c r="C1671" s="14"/>
      <c r="D1671" s="5" t="str">
        <f t="shared" si="159"/>
        <v/>
      </c>
      <c r="E1671" s="5" t="str">
        <f t="shared" si="160"/>
        <v/>
      </c>
      <c r="F1671" s="5" t="str">
        <f t="shared" si="161"/>
        <v/>
      </c>
      <c r="G1671" s="23"/>
      <c r="H1671" s="66"/>
      <c r="I1671" s="14"/>
      <c r="J1671" s="14"/>
      <c r="K1671" s="14"/>
      <c r="L1671" s="5" t="str">
        <f t="shared" si="156"/>
        <v/>
      </c>
      <c r="M1671" s="5" t="str">
        <f t="shared" si="157"/>
        <v/>
      </c>
      <c r="N1671" s="5" t="str">
        <f t="shared" si="158"/>
        <v/>
      </c>
      <c r="O1671" s="4"/>
    </row>
    <row r="1672" spans="1:15" x14ac:dyDescent="0.25">
      <c r="A1672" s="14"/>
      <c r="B1672" s="14"/>
      <c r="C1672" s="14"/>
      <c r="D1672" s="5" t="str">
        <f t="shared" si="159"/>
        <v/>
      </c>
      <c r="E1672" s="5" t="str">
        <f t="shared" si="160"/>
        <v/>
      </c>
      <c r="F1672" s="5" t="str">
        <f t="shared" si="161"/>
        <v/>
      </c>
      <c r="G1672" s="23"/>
      <c r="H1672" s="66"/>
      <c r="I1672" s="14"/>
      <c r="J1672" s="14"/>
      <c r="K1672" s="14"/>
      <c r="L1672" s="5" t="str">
        <f t="shared" si="156"/>
        <v/>
      </c>
      <c r="M1672" s="5" t="str">
        <f t="shared" si="157"/>
        <v/>
      </c>
      <c r="N1672" s="5" t="str">
        <f t="shared" si="158"/>
        <v/>
      </c>
      <c r="O1672" s="4"/>
    </row>
    <row r="1673" spans="1:15" x14ac:dyDescent="0.25">
      <c r="A1673" s="14"/>
      <c r="B1673" s="14"/>
      <c r="C1673" s="14"/>
      <c r="D1673" s="5" t="str">
        <f t="shared" si="159"/>
        <v/>
      </c>
      <c r="E1673" s="5" t="str">
        <f t="shared" si="160"/>
        <v/>
      </c>
      <c r="F1673" s="5" t="str">
        <f t="shared" si="161"/>
        <v/>
      </c>
      <c r="G1673" s="23"/>
      <c r="H1673" s="66"/>
      <c r="I1673" s="14"/>
      <c r="J1673" s="14"/>
      <c r="K1673" s="14"/>
      <c r="L1673" s="5" t="str">
        <f t="shared" si="156"/>
        <v/>
      </c>
      <c r="M1673" s="5" t="str">
        <f t="shared" si="157"/>
        <v/>
      </c>
      <c r="N1673" s="5" t="str">
        <f t="shared" si="158"/>
        <v/>
      </c>
      <c r="O1673" s="4"/>
    </row>
    <row r="1674" spans="1:15" x14ac:dyDescent="0.25">
      <c r="A1674" s="14"/>
      <c r="B1674" s="14"/>
      <c r="C1674" s="14"/>
      <c r="D1674" s="5" t="str">
        <f t="shared" si="159"/>
        <v/>
      </c>
      <c r="E1674" s="5" t="str">
        <f t="shared" si="160"/>
        <v/>
      </c>
      <c r="F1674" s="5" t="str">
        <f t="shared" si="161"/>
        <v/>
      </c>
      <c r="G1674" s="23"/>
      <c r="H1674" s="66"/>
      <c r="I1674" s="14"/>
      <c r="J1674" s="14"/>
      <c r="K1674" s="14"/>
      <c r="L1674" s="5" t="str">
        <f t="shared" ref="L1674:L1737" si="162">IFERROR(IF(I1674&lt;&gt;"",(((J1674-J1673)*$X$4/(I1674-I1673)))*$X$5,""),"")</f>
        <v/>
      </c>
      <c r="M1674" s="5" t="str">
        <f t="shared" ref="M1674:M1737" si="163">IFERROR(IF(I1674&lt;&gt;"",(((K1674-K1673)*$X$4/(I1674-I1673)))*$X$5,""),"")</f>
        <v/>
      </c>
      <c r="N1674" s="5" t="str">
        <f t="shared" ref="N1674:N1737" si="164">IFERROR(IF(I1674&lt;&gt;"",((ACOS((COS(RADIANS(J1673))*COS(RADIANS(J1674)))+(SIN(RADIANS(J1673))*SIN(RADIANS(J1674)))*COS(RADIANS(K1674-K1673)))*180/PI()*($X$4/(I1674-I1673))))*$X$5,""),"")</f>
        <v/>
      </c>
      <c r="O1674" s="4"/>
    </row>
    <row r="1675" spans="1:15" x14ac:dyDescent="0.25">
      <c r="A1675" s="14"/>
      <c r="B1675" s="14"/>
      <c r="C1675" s="14"/>
      <c r="D1675" s="5" t="str">
        <f t="shared" si="159"/>
        <v/>
      </c>
      <c r="E1675" s="5" t="str">
        <f t="shared" si="160"/>
        <v/>
      </c>
      <c r="F1675" s="5" t="str">
        <f t="shared" si="161"/>
        <v/>
      </c>
      <c r="G1675" s="23"/>
      <c r="H1675" s="66"/>
      <c r="I1675" s="14"/>
      <c r="J1675" s="14"/>
      <c r="K1675" s="14"/>
      <c r="L1675" s="5" t="str">
        <f t="shared" si="162"/>
        <v/>
      </c>
      <c r="M1675" s="5" t="str">
        <f t="shared" si="163"/>
        <v/>
      </c>
      <c r="N1675" s="5" t="str">
        <f t="shared" si="164"/>
        <v/>
      </c>
      <c r="O1675" s="4"/>
    </row>
    <row r="1676" spans="1:15" x14ac:dyDescent="0.25">
      <c r="A1676" s="14"/>
      <c r="B1676" s="14"/>
      <c r="C1676" s="14"/>
      <c r="D1676" s="5" t="str">
        <f t="shared" si="159"/>
        <v/>
      </c>
      <c r="E1676" s="5" t="str">
        <f t="shared" si="160"/>
        <v/>
      </c>
      <c r="F1676" s="5" t="str">
        <f t="shared" si="161"/>
        <v/>
      </c>
      <c r="G1676" s="23"/>
      <c r="H1676" s="66"/>
      <c r="I1676" s="14"/>
      <c r="J1676" s="14"/>
      <c r="K1676" s="14"/>
      <c r="L1676" s="5" t="str">
        <f t="shared" si="162"/>
        <v/>
      </c>
      <c r="M1676" s="5" t="str">
        <f t="shared" si="163"/>
        <v/>
      </c>
      <c r="N1676" s="5" t="str">
        <f t="shared" si="164"/>
        <v/>
      </c>
      <c r="O1676" s="4"/>
    </row>
    <row r="1677" spans="1:15" x14ac:dyDescent="0.25">
      <c r="A1677" s="14"/>
      <c r="B1677" s="14"/>
      <c r="C1677" s="14"/>
      <c r="D1677" s="5" t="str">
        <f t="shared" si="159"/>
        <v/>
      </c>
      <c r="E1677" s="5" t="str">
        <f t="shared" si="160"/>
        <v/>
      </c>
      <c r="F1677" s="5" t="str">
        <f t="shared" si="161"/>
        <v/>
      </c>
      <c r="G1677" s="23"/>
      <c r="H1677" s="66"/>
      <c r="I1677" s="14"/>
      <c r="J1677" s="14"/>
      <c r="K1677" s="14"/>
      <c r="L1677" s="5" t="str">
        <f t="shared" si="162"/>
        <v/>
      </c>
      <c r="M1677" s="5" t="str">
        <f t="shared" si="163"/>
        <v/>
      </c>
      <c r="N1677" s="5" t="str">
        <f t="shared" si="164"/>
        <v/>
      </c>
      <c r="O1677" s="4"/>
    </row>
    <row r="1678" spans="1:15" x14ac:dyDescent="0.25">
      <c r="A1678" s="14"/>
      <c r="B1678" s="14"/>
      <c r="C1678" s="14"/>
      <c r="D1678" s="5" t="str">
        <f t="shared" si="159"/>
        <v/>
      </c>
      <c r="E1678" s="5" t="str">
        <f t="shared" si="160"/>
        <v/>
      </c>
      <c r="F1678" s="5" t="str">
        <f t="shared" si="161"/>
        <v/>
      </c>
      <c r="G1678" s="23"/>
      <c r="H1678" s="66"/>
      <c r="I1678" s="14"/>
      <c r="J1678" s="14"/>
      <c r="K1678" s="14"/>
      <c r="L1678" s="5" t="str">
        <f t="shared" si="162"/>
        <v/>
      </c>
      <c r="M1678" s="5" t="str">
        <f t="shared" si="163"/>
        <v/>
      </c>
      <c r="N1678" s="5" t="str">
        <f t="shared" si="164"/>
        <v/>
      </c>
      <c r="O1678" s="4"/>
    </row>
    <row r="1679" spans="1:15" x14ac:dyDescent="0.25">
      <c r="A1679" s="14"/>
      <c r="B1679" s="14"/>
      <c r="C1679" s="14"/>
      <c r="D1679" s="5" t="str">
        <f t="shared" si="159"/>
        <v/>
      </c>
      <c r="E1679" s="5" t="str">
        <f t="shared" si="160"/>
        <v/>
      </c>
      <c r="F1679" s="5" t="str">
        <f t="shared" si="161"/>
        <v/>
      </c>
      <c r="G1679" s="23"/>
      <c r="H1679" s="66"/>
      <c r="I1679" s="14"/>
      <c r="J1679" s="14"/>
      <c r="K1679" s="14"/>
      <c r="L1679" s="5" t="str">
        <f t="shared" si="162"/>
        <v/>
      </c>
      <c r="M1679" s="5" t="str">
        <f t="shared" si="163"/>
        <v/>
      </c>
      <c r="N1679" s="5" t="str">
        <f t="shared" si="164"/>
        <v/>
      </c>
      <c r="O1679" s="4"/>
    </row>
    <row r="1680" spans="1:15" x14ac:dyDescent="0.25">
      <c r="A1680" s="14"/>
      <c r="B1680" s="14"/>
      <c r="C1680" s="14"/>
      <c r="D1680" s="5" t="str">
        <f t="shared" si="159"/>
        <v/>
      </c>
      <c r="E1680" s="5" t="str">
        <f t="shared" si="160"/>
        <v/>
      </c>
      <c r="F1680" s="5" t="str">
        <f t="shared" si="161"/>
        <v/>
      </c>
      <c r="G1680" s="23"/>
      <c r="H1680" s="66"/>
      <c r="I1680" s="14"/>
      <c r="J1680" s="14"/>
      <c r="K1680" s="14"/>
      <c r="L1680" s="5" t="str">
        <f t="shared" si="162"/>
        <v/>
      </c>
      <c r="M1680" s="5" t="str">
        <f t="shared" si="163"/>
        <v/>
      </c>
      <c r="N1680" s="5" t="str">
        <f t="shared" si="164"/>
        <v/>
      </c>
      <c r="O1680" s="4"/>
    </row>
    <row r="1681" spans="1:15" x14ac:dyDescent="0.25">
      <c r="A1681" s="14"/>
      <c r="B1681" s="14"/>
      <c r="C1681" s="14"/>
      <c r="D1681" s="5" t="str">
        <f t="shared" si="159"/>
        <v/>
      </c>
      <c r="E1681" s="5" t="str">
        <f t="shared" si="160"/>
        <v/>
      </c>
      <c r="F1681" s="5" t="str">
        <f t="shared" si="161"/>
        <v/>
      </c>
      <c r="G1681" s="23"/>
      <c r="H1681" s="66"/>
      <c r="I1681" s="14"/>
      <c r="J1681" s="14"/>
      <c r="K1681" s="14"/>
      <c r="L1681" s="5" t="str">
        <f t="shared" si="162"/>
        <v/>
      </c>
      <c r="M1681" s="5" t="str">
        <f t="shared" si="163"/>
        <v/>
      </c>
      <c r="N1681" s="5" t="str">
        <f t="shared" si="164"/>
        <v/>
      </c>
      <c r="O1681" s="4"/>
    </row>
    <row r="1682" spans="1:15" x14ac:dyDescent="0.25">
      <c r="A1682" s="14"/>
      <c r="B1682" s="14"/>
      <c r="C1682" s="14"/>
      <c r="D1682" s="5" t="str">
        <f t="shared" si="159"/>
        <v/>
      </c>
      <c r="E1682" s="5" t="str">
        <f t="shared" si="160"/>
        <v/>
      </c>
      <c r="F1682" s="5" t="str">
        <f t="shared" si="161"/>
        <v/>
      </c>
      <c r="G1682" s="23"/>
      <c r="H1682" s="66"/>
      <c r="I1682" s="14"/>
      <c r="J1682" s="14"/>
      <c r="K1682" s="14"/>
      <c r="L1682" s="5" t="str">
        <f t="shared" si="162"/>
        <v/>
      </c>
      <c r="M1682" s="5" t="str">
        <f t="shared" si="163"/>
        <v/>
      </c>
      <c r="N1682" s="5" t="str">
        <f t="shared" si="164"/>
        <v/>
      </c>
      <c r="O1682" s="4"/>
    </row>
    <row r="1683" spans="1:15" x14ac:dyDescent="0.25">
      <c r="A1683" s="14"/>
      <c r="B1683" s="14"/>
      <c r="C1683" s="14"/>
      <c r="D1683" s="5" t="str">
        <f t="shared" si="159"/>
        <v/>
      </c>
      <c r="E1683" s="5" t="str">
        <f t="shared" si="160"/>
        <v/>
      </c>
      <c r="F1683" s="5" t="str">
        <f t="shared" si="161"/>
        <v/>
      </c>
      <c r="G1683" s="23"/>
      <c r="H1683" s="66"/>
      <c r="I1683" s="14"/>
      <c r="J1683" s="14"/>
      <c r="K1683" s="14"/>
      <c r="L1683" s="5" t="str">
        <f t="shared" si="162"/>
        <v/>
      </c>
      <c r="M1683" s="5" t="str">
        <f t="shared" si="163"/>
        <v/>
      </c>
      <c r="N1683" s="5" t="str">
        <f t="shared" si="164"/>
        <v/>
      </c>
      <c r="O1683" s="4"/>
    </row>
    <row r="1684" spans="1:15" x14ac:dyDescent="0.25">
      <c r="A1684" s="14"/>
      <c r="B1684" s="14"/>
      <c r="C1684" s="14"/>
      <c r="D1684" s="5" t="str">
        <f t="shared" si="159"/>
        <v/>
      </c>
      <c r="E1684" s="5" t="str">
        <f t="shared" si="160"/>
        <v/>
      </c>
      <c r="F1684" s="5" t="str">
        <f t="shared" si="161"/>
        <v/>
      </c>
      <c r="G1684" s="23"/>
      <c r="H1684" s="66"/>
      <c r="I1684" s="14"/>
      <c r="J1684" s="14"/>
      <c r="K1684" s="14"/>
      <c r="L1684" s="5" t="str">
        <f t="shared" si="162"/>
        <v/>
      </c>
      <c r="M1684" s="5" t="str">
        <f t="shared" si="163"/>
        <v/>
      </c>
      <c r="N1684" s="5" t="str">
        <f t="shared" si="164"/>
        <v/>
      </c>
      <c r="O1684" s="4"/>
    </row>
    <row r="1685" spans="1:15" x14ac:dyDescent="0.25">
      <c r="A1685" s="14"/>
      <c r="B1685" s="14"/>
      <c r="C1685" s="14"/>
      <c r="D1685" s="5" t="str">
        <f t="shared" si="159"/>
        <v/>
      </c>
      <c r="E1685" s="5" t="str">
        <f t="shared" si="160"/>
        <v/>
      </c>
      <c r="F1685" s="5" t="str">
        <f t="shared" si="161"/>
        <v/>
      </c>
      <c r="G1685" s="23"/>
      <c r="H1685" s="66"/>
      <c r="I1685" s="14"/>
      <c r="J1685" s="14"/>
      <c r="K1685" s="14"/>
      <c r="L1685" s="5" t="str">
        <f t="shared" si="162"/>
        <v/>
      </c>
      <c r="M1685" s="5" t="str">
        <f t="shared" si="163"/>
        <v/>
      </c>
      <c r="N1685" s="5" t="str">
        <f t="shared" si="164"/>
        <v/>
      </c>
      <c r="O1685" s="4"/>
    </row>
    <row r="1686" spans="1:15" x14ac:dyDescent="0.25">
      <c r="A1686" s="14"/>
      <c r="B1686" s="14"/>
      <c r="C1686" s="14"/>
      <c r="D1686" s="5" t="str">
        <f t="shared" si="159"/>
        <v/>
      </c>
      <c r="E1686" s="5" t="str">
        <f t="shared" si="160"/>
        <v/>
      </c>
      <c r="F1686" s="5" t="str">
        <f t="shared" si="161"/>
        <v/>
      </c>
      <c r="G1686" s="23"/>
      <c r="H1686" s="66"/>
      <c r="I1686" s="14"/>
      <c r="J1686" s="14"/>
      <c r="K1686" s="14"/>
      <c r="L1686" s="5" t="str">
        <f t="shared" si="162"/>
        <v/>
      </c>
      <c r="M1686" s="5" t="str">
        <f t="shared" si="163"/>
        <v/>
      </c>
      <c r="N1686" s="5" t="str">
        <f t="shared" si="164"/>
        <v/>
      </c>
      <c r="O1686" s="4"/>
    </row>
    <row r="1687" spans="1:15" x14ac:dyDescent="0.25">
      <c r="A1687" s="14"/>
      <c r="B1687" s="14"/>
      <c r="C1687" s="14"/>
      <c r="D1687" s="5" t="str">
        <f t="shared" si="159"/>
        <v/>
      </c>
      <c r="E1687" s="5" t="str">
        <f t="shared" si="160"/>
        <v/>
      </c>
      <c r="F1687" s="5" t="str">
        <f t="shared" si="161"/>
        <v/>
      </c>
      <c r="G1687" s="23"/>
      <c r="H1687" s="66"/>
      <c r="I1687" s="14"/>
      <c r="J1687" s="14"/>
      <c r="K1687" s="14"/>
      <c r="L1687" s="5" t="str">
        <f t="shared" si="162"/>
        <v/>
      </c>
      <c r="M1687" s="5" t="str">
        <f t="shared" si="163"/>
        <v/>
      </c>
      <c r="N1687" s="5" t="str">
        <f t="shared" si="164"/>
        <v/>
      </c>
      <c r="O1687" s="4"/>
    </row>
    <row r="1688" spans="1:15" x14ac:dyDescent="0.25">
      <c r="A1688" s="14"/>
      <c r="B1688" s="14"/>
      <c r="C1688" s="14"/>
      <c r="D1688" s="5" t="str">
        <f t="shared" si="159"/>
        <v/>
      </c>
      <c r="E1688" s="5" t="str">
        <f t="shared" si="160"/>
        <v/>
      </c>
      <c r="F1688" s="5" t="str">
        <f t="shared" si="161"/>
        <v/>
      </c>
      <c r="G1688" s="23"/>
      <c r="H1688" s="66"/>
      <c r="I1688" s="14"/>
      <c r="J1688" s="14"/>
      <c r="K1688" s="14"/>
      <c r="L1688" s="5" t="str">
        <f t="shared" si="162"/>
        <v/>
      </c>
      <c r="M1688" s="5" t="str">
        <f t="shared" si="163"/>
        <v/>
      </c>
      <c r="N1688" s="5" t="str">
        <f t="shared" si="164"/>
        <v/>
      </c>
      <c r="O1688" s="4"/>
    </row>
    <row r="1689" spans="1:15" x14ac:dyDescent="0.25">
      <c r="A1689" s="14"/>
      <c r="B1689" s="14"/>
      <c r="C1689" s="14"/>
      <c r="D1689" s="5" t="str">
        <f t="shared" ref="D1689:D1752" si="165">IFERROR( IF(A1689&lt;&gt;"",((B1689-B1688)*$X$4/(A1689-A1688))*$X$5,""),"")</f>
        <v/>
      </c>
      <c r="E1689" s="5" t="str">
        <f t="shared" ref="E1689:E1752" si="166">IFERROR(IF(A1689&lt;&gt;"",((C1689-C1688)*$X$4/(A1689-A1688))*$X$5,""),"")</f>
        <v/>
      </c>
      <c r="F1689" s="5" t="str">
        <f t="shared" ref="F1689:F1752" si="167">IFERROR(IF(A1689&lt;&gt;"",((ACOS((COS(RADIANS(B1688))*COS(RADIANS(B1689)))+(SIN(RADIANS(B1688))*SIN(RADIANS(B1689)))*COS(RADIANS(C1689-C1688)))*180/PI()*($X$4/(A1689-A1688))))*$X$5,""),"")</f>
        <v/>
      </c>
      <c r="G1689" s="23"/>
      <c r="H1689" s="66"/>
      <c r="I1689" s="14"/>
      <c r="J1689" s="14"/>
      <c r="K1689" s="14"/>
      <c r="L1689" s="5" t="str">
        <f t="shared" si="162"/>
        <v/>
      </c>
      <c r="M1689" s="5" t="str">
        <f t="shared" si="163"/>
        <v/>
      </c>
      <c r="N1689" s="5" t="str">
        <f t="shared" si="164"/>
        <v/>
      </c>
      <c r="O1689" s="4"/>
    </row>
    <row r="1690" spans="1:15" x14ac:dyDescent="0.25">
      <c r="A1690" s="14"/>
      <c r="B1690" s="14"/>
      <c r="C1690" s="14"/>
      <c r="D1690" s="5" t="str">
        <f t="shared" si="165"/>
        <v/>
      </c>
      <c r="E1690" s="5" t="str">
        <f t="shared" si="166"/>
        <v/>
      </c>
      <c r="F1690" s="5" t="str">
        <f t="shared" si="167"/>
        <v/>
      </c>
      <c r="G1690" s="23"/>
      <c r="H1690" s="66"/>
      <c r="I1690" s="14"/>
      <c r="J1690" s="14"/>
      <c r="K1690" s="14"/>
      <c r="L1690" s="5" t="str">
        <f t="shared" si="162"/>
        <v/>
      </c>
      <c r="M1690" s="5" t="str">
        <f t="shared" si="163"/>
        <v/>
      </c>
      <c r="N1690" s="5" t="str">
        <f t="shared" si="164"/>
        <v/>
      </c>
      <c r="O1690" s="4"/>
    </row>
    <row r="1691" spans="1:15" x14ac:dyDescent="0.25">
      <c r="A1691" s="14"/>
      <c r="B1691" s="14"/>
      <c r="C1691" s="14"/>
      <c r="D1691" s="5" t="str">
        <f t="shared" si="165"/>
        <v/>
      </c>
      <c r="E1691" s="5" t="str">
        <f t="shared" si="166"/>
        <v/>
      </c>
      <c r="F1691" s="5" t="str">
        <f t="shared" si="167"/>
        <v/>
      </c>
      <c r="G1691" s="23"/>
      <c r="H1691" s="66"/>
      <c r="I1691" s="14"/>
      <c r="J1691" s="14"/>
      <c r="K1691" s="14"/>
      <c r="L1691" s="5" t="str">
        <f t="shared" si="162"/>
        <v/>
      </c>
      <c r="M1691" s="5" t="str">
        <f t="shared" si="163"/>
        <v/>
      </c>
      <c r="N1691" s="5" t="str">
        <f t="shared" si="164"/>
        <v/>
      </c>
      <c r="O1691" s="4"/>
    </row>
    <row r="1692" spans="1:15" x14ac:dyDescent="0.25">
      <c r="A1692" s="14"/>
      <c r="B1692" s="14"/>
      <c r="C1692" s="14"/>
      <c r="D1692" s="5" t="str">
        <f t="shared" si="165"/>
        <v/>
      </c>
      <c r="E1692" s="5" t="str">
        <f t="shared" si="166"/>
        <v/>
      </c>
      <c r="F1692" s="5" t="str">
        <f t="shared" si="167"/>
        <v/>
      </c>
      <c r="G1692" s="23"/>
      <c r="H1692" s="66"/>
      <c r="I1692" s="14"/>
      <c r="J1692" s="14"/>
      <c r="K1692" s="14"/>
      <c r="L1692" s="5" t="str">
        <f t="shared" si="162"/>
        <v/>
      </c>
      <c r="M1692" s="5" t="str">
        <f t="shared" si="163"/>
        <v/>
      </c>
      <c r="N1692" s="5" t="str">
        <f t="shared" si="164"/>
        <v/>
      </c>
      <c r="O1692" s="4"/>
    </row>
    <row r="1693" spans="1:15" x14ac:dyDescent="0.25">
      <c r="A1693" s="14"/>
      <c r="B1693" s="14"/>
      <c r="C1693" s="14"/>
      <c r="D1693" s="5" t="str">
        <f t="shared" si="165"/>
        <v/>
      </c>
      <c r="E1693" s="5" t="str">
        <f t="shared" si="166"/>
        <v/>
      </c>
      <c r="F1693" s="5" t="str">
        <f t="shared" si="167"/>
        <v/>
      </c>
      <c r="G1693" s="23"/>
      <c r="H1693" s="66"/>
      <c r="I1693" s="14"/>
      <c r="J1693" s="14"/>
      <c r="K1693" s="14"/>
      <c r="L1693" s="5" t="str">
        <f t="shared" si="162"/>
        <v/>
      </c>
      <c r="M1693" s="5" t="str">
        <f t="shared" si="163"/>
        <v/>
      </c>
      <c r="N1693" s="5" t="str">
        <f t="shared" si="164"/>
        <v/>
      </c>
      <c r="O1693" s="4"/>
    </row>
    <row r="1694" spans="1:15" x14ac:dyDescent="0.25">
      <c r="A1694" s="14"/>
      <c r="B1694" s="14"/>
      <c r="C1694" s="14"/>
      <c r="D1694" s="5" t="str">
        <f t="shared" si="165"/>
        <v/>
      </c>
      <c r="E1694" s="5" t="str">
        <f t="shared" si="166"/>
        <v/>
      </c>
      <c r="F1694" s="5" t="str">
        <f t="shared" si="167"/>
        <v/>
      </c>
      <c r="G1694" s="23"/>
      <c r="H1694" s="66"/>
      <c r="I1694" s="14"/>
      <c r="J1694" s="14"/>
      <c r="K1694" s="14"/>
      <c r="L1694" s="5" t="str">
        <f t="shared" si="162"/>
        <v/>
      </c>
      <c r="M1694" s="5" t="str">
        <f t="shared" si="163"/>
        <v/>
      </c>
      <c r="N1694" s="5" t="str">
        <f t="shared" si="164"/>
        <v/>
      </c>
      <c r="O1694" s="4"/>
    </row>
    <row r="1695" spans="1:15" x14ac:dyDescent="0.25">
      <c r="A1695" s="14"/>
      <c r="B1695" s="14"/>
      <c r="C1695" s="14"/>
      <c r="D1695" s="5" t="str">
        <f t="shared" si="165"/>
        <v/>
      </c>
      <c r="E1695" s="5" t="str">
        <f t="shared" si="166"/>
        <v/>
      </c>
      <c r="F1695" s="5" t="str">
        <f t="shared" si="167"/>
        <v/>
      </c>
      <c r="G1695" s="23"/>
      <c r="H1695" s="66"/>
      <c r="I1695" s="14"/>
      <c r="J1695" s="14"/>
      <c r="K1695" s="14"/>
      <c r="L1695" s="5" t="str">
        <f t="shared" si="162"/>
        <v/>
      </c>
      <c r="M1695" s="5" t="str">
        <f t="shared" si="163"/>
        <v/>
      </c>
      <c r="N1695" s="5" t="str">
        <f t="shared" si="164"/>
        <v/>
      </c>
      <c r="O1695" s="4"/>
    </row>
    <row r="1696" spans="1:15" x14ac:dyDescent="0.25">
      <c r="A1696" s="14"/>
      <c r="B1696" s="14"/>
      <c r="C1696" s="14"/>
      <c r="D1696" s="5" t="str">
        <f t="shared" si="165"/>
        <v/>
      </c>
      <c r="E1696" s="5" t="str">
        <f t="shared" si="166"/>
        <v/>
      </c>
      <c r="F1696" s="5" t="str">
        <f t="shared" si="167"/>
        <v/>
      </c>
      <c r="G1696" s="23"/>
      <c r="H1696" s="66"/>
      <c r="I1696" s="14"/>
      <c r="J1696" s="14"/>
      <c r="K1696" s="14"/>
      <c r="L1696" s="5" t="str">
        <f t="shared" si="162"/>
        <v/>
      </c>
      <c r="M1696" s="5" t="str">
        <f t="shared" si="163"/>
        <v/>
      </c>
      <c r="N1696" s="5" t="str">
        <f t="shared" si="164"/>
        <v/>
      </c>
      <c r="O1696" s="4"/>
    </row>
    <row r="1697" spans="1:15" x14ac:dyDescent="0.25">
      <c r="A1697" s="14"/>
      <c r="B1697" s="14"/>
      <c r="C1697" s="14"/>
      <c r="D1697" s="5" t="str">
        <f t="shared" si="165"/>
        <v/>
      </c>
      <c r="E1697" s="5" t="str">
        <f t="shared" si="166"/>
        <v/>
      </c>
      <c r="F1697" s="5" t="str">
        <f t="shared" si="167"/>
        <v/>
      </c>
      <c r="G1697" s="23"/>
      <c r="H1697" s="66"/>
      <c r="I1697" s="14"/>
      <c r="J1697" s="14"/>
      <c r="K1697" s="14"/>
      <c r="L1697" s="5" t="str">
        <f t="shared" si="162"/>
        <v/>
      </c>
      <c r="M1697" s="5" t="str">
        <f t="shared" si="163"/>
        <v/>
      </c>
      <c r="N1697" s="5" t="str">
        <f t="shared" si="164"/>
        <v/>
      </c>
      <c r="O1697" s="4"/>
    </row>
    <row r="1698" spans="1:15" x14ac:dyDescent="0.25">
      <c r="A1698" s="14"/>
      <c r="B1698" s="14"/>
      <c r="C1698" s="14"/>
      <c r="D1698" s="5" t="str">
        <f t="shared" si="165"/>
        <v/>
      </c>
      <c r="E1698" s="5" t="str">
        <f t="shared" si="166"/>
        <v/>
      </c>
      <c r="F1698" s="5" t="str">
        <f t="shared" si="167"/>
        <v/>
      </c>
      <c r="G1698" s="23"/>
      <c r="H1698" s="66"/>
      <c r="I1698" s="14"/>
      <c r="J1698" s="14"/>
      <c r="K1698" s="14"/>
      <c r="L1698" s="5" t="str">
        <f t="shared" si="162"/>
        <v/>
      </c>
      <c r="M1698" s="5" t="str">
        <f t="shared" si="163"/>
        <v/>
      </c>
      <c r="N1698" s="5" t="str">
        <f t="shared" si="164"/>
        <v/>
      </c>
      <c r="O1698" s="4"/>
    </row>
    <row r="1699" spans="1:15" x14ac:dyDescent="0.25">
      <c r="A1699" s="14"/>
      <c r="B1699" s="14"/>
      <c r="C1699" s="14"/>
      <c r="D1699" s="5" t="str">
        <f t="shared" si="165"/>
        <v/>
      </c>
      <c r="E1699" s="5" t="str">
        <f t="shared" si="166"/>
        <v/>
      </c>
      <c r="F1699" s="5" t="str">
        <f t="shared" si="167"/>
        <v/>
      </c>
      <c r="G1699" s="23"/>
      <c r="H1699" s="66"/>
      <c r="I1699" s="14"/>
      <c r="J1699" s="14"/>
      <c r="K1699" s="14"/>
      <c r="L1699" s="5" t="str">
        <f t="shared" si="162"/>
        <v/>
      </c>
      <c r="M1699" s="5" t="str">
        <f t="shared" si="163"/>
        <v/>
      </c>
      <c r="N1699" s="5" t="str">
        <f t="shared" si="164"/>
        <v/>
      </c>
      <c r="O1699" s="4"/>
    </row>
    <row r="1700" spans="1:15" x14ac:dyDescent="0.25">
      <c r="A1700" s="14"/>
      <c r="B1700" s="14"/>
      <c r="C1700" s="14"/>
      <c r="D1700" s="5" t="str">
        <f t="shared" si="165"/>
        <v/>
      </c>
      <c r="E1700" s="5" t="str">
        <f t="shared" si="166"/>
        <v/>
      </c>
      <c r="F1700" s="5" t="str">
        <f t="shared" si="167"/>
        <v/>
      </c>
      <c r="G1700" s="23"/>
      <c r="H1700" s="66"/>
      <c r="I1700" s="14"/>
      <c r="J1700" s="14"/>
      <c r="K1700" s="14"/>
      <c r="L1700" s="5" t="str">
        <f t="shared" si="162"/>
        <v/>
      </c>
      <c r="M1700" s="5" t="str">
        <f t="shared" si="163"/>
        <v/>
      </c>
      <c r="N1700" s="5" t="str">
        <f t="shared" si="164"/>
        <v/>
      </c>
      <c r="O1700" s="4"/>
    </row>
    <row r="1701" spans="1:15" x14ac:dyDescent="0.25">
      <c r="A1701" s="14"/>
      <c r="B1701" s="14"/>
      <c r="C1701" s="14"/>
      <c r="D1701" s="5" t="str">
        <f t="shared" si="165"/>
        <v/>
      </c>
      <c r="E1701" s="5" t="str">
        <f t="shared" si="166"/>
        <v/>
      </c>
      <c r="F1701" s="5" t="str">
        <f t="shared" si="167"/>
        <v/>
      </c>
      <c r="G1701" s="23"/>
      <c r="H1701" s="66"/>
      <c r="I1701" s="14"/>
      <c r="J1701" s="14"/>
      <c r="K1701" s="14"/>
      <c r="L1701" s="5" t="str">
        <f t="shared" si="162"/>
        <v/>
      </c>
      <c r="M1701" s="5" t="str">
        <f t="shared" si="163"/>
        <v/>
      </c>
      <c r="N1701" s="5" t="str">
        <f t="shared" si="164"/>
        <v/>
      </c>
      <c r="O1701" s="4"/>
    </row>
    <row r="1702" spans="1:15" x14ac:dyDescent="0.25">
      <c r="A1702" s="14"/>
      <c r="B1702" s="14"/>
      <c r="C1702" s="14"/>
      <c r="D1702" s="5" t="str">
        <f t="shared" si="165"/>
        <v/>
      </c>
      <c r="E1702" s="5" t="str">
        <f t="shared" si="166"/>
        <v/>
      </c>
      <c r="F1702" s="5" t="str">
        <f t="shared" si="167"/>
        <v/>
      </c>
      <c r="G1702" s="23"/>
      <c r="H1702" s="66"/>
      <c r="I1702" s="14"/>
      <c r="J1702" s="14"/>
      <c r="K1702" s="14"/>
      <c r="L1702" s="5" t="str">
        <f t="shared" si="162"/>
        <v/>
      </c>
      <c r="M1702" s="5" t="str">
        <f t="shared" si="163"/>
        <v/>
      </c>
      <c r="N1702" s="5" t="str">
        <f t="shared" si="164"/>
        <v/>
      </c>
      <c r="O1702" s="4"/>
    </row>
    <row r="1703" spans="1:15" x14ac:dyDescent="0.25">
      <c r="A1703" s="14"/>
      <c r="B1703" s="14"/>
      <c r="C1703" s="14"/>
      <c r="D1703" s="5" t="str">
        <f t="shared" si="165"/>
        <v/>
      </c>
      <c r="E1703" s="5" t="str">
        <f t="shared" si="166"/>
        <v/>
      </c>
      <c r="F1703" s="5" t="str">
        <f t="shared" si="167"/>
        <v/>
      </c>
      <c r="G1703" s="23"/>
      <c r="H1703" s="66"/>
      <c r="I1703" s="14"/>
      <c r="J1703" s="14"/>
      <c r="K1703" s="14"/>
      <c r="L1703" s="5" t="str">
        <f t="shared" si="162"/>
        <v/>
      </c>
      <c r="M1703" s="5" t="str">
        <f t="shared" si="163"/>
        <v/>
      </c>
      <c r="N1703" s="5" t="str">
        <f t="shared" si="164"/>
        <v/>
      </c>
      <c r="O1703" s="4"/>
    </row>
    <row r="1704" spans="1:15" x14ac:dyDescent="0.25">
      <c r="A1704" s="14"/>
      <c r="B1704" s="14"/>
      <c r="C1704" s="14"/>
      <c r="D1704" s="5" t="str">
        <f t="shared" si="165"/>
        <v/>
      </c>
      <c r="E1704" s="5" t="str">
        <f t="shared" si="166"/>
        <v/>
      </c>
      <c r="F1704" s="5" t="str">
        <f t="shared" si="167"/>
        <v/>
      </c>
      <c r="G1704" s="23"/>
      <c r="H1704" s="66"/>
      <c r="I1704" s="14"/>
      <c r="J1704" s="14"/>
      <c r="K1704" s="14"/>
      <c r="L1704" s="5" t="str">
        <f t="shared" si="162"/>
        <v/>
      </c>
      <c r="M1704" s="5" t="str">
        <f t="shared" si="163"/>
        <v/>
      </c>
      <c r="N1704" s="5" t="str">
        <f t="shared" si="164"/>
        <v/>
      </c>
      <c r="O1704" s="4"/>
    </row>
    <row r="1705" spans="1:15" x14ac:dyDescent="0.25">
      <c r="A1705" s="14"/>
      <c r="B1705" s="14"/>
      <c r="C1705" s="14"/>
      <c r="D1705" s="5" t="str">
        <f t="shared" si="165"/>
        <v/>
      </c>
      <c r="E1705" s="5" t="str">
        <f t="shared" si="166"/>
        <v/>
      </c>
      <c r="F1705" s="5" t="str">
        <f t="shared" si="167"/>
        <v/>
      </c>
      <c r="G1705" s="23"/>
      <c r="H1705" s="66"/>
      <c r="I1705" s="14"/>
      <c r="J1705" s="14"/>
      <c r="K1705" s="14"/>
      <c r="L1705" s="5" t="str">
        <f t="shared" si="162"/>
        <v/>
      </c>
      <c r="M1705" s="5" t="str">
        <f t="shared" si="163"/>
        <v/>
      </c>
      <c r="N1705" s="5" t="str">
        <f t="shared" si="164"/>
        <v/>
      </c>
      <c r="O1705" s="4"/>
    </row>
    <row r="1706" spans="1:15" x14ac:dyDescent="0.25">
      <c r="A1706" s="14"/>
      <c r="B1706" s="14"/>
      <c r="C1706" s="14"/>
      <c r="D1706" s="5" t="str">
        <f t="shared" si="165"/>
        <v/>
      </c>
      <c r="E1706" s="5" t="str">
        <f t="shared" si="166"/>
        <v/>
      </c>
      <c r="F1706" s="5" t="str">
        <f t="shared" si="167"/>
        <v/>
      </c>
      <c r="G1706" s="23"/>
      <c r="H1706" s="66"/>
      <c r="I1706" s="14"/>
      <c r="J1706" s="14"/>
      <c r="K1706" s="14"/>
      <c r="L1706" s="5" t="str">
        <f t="shared" si="162"/>
        <v/>
      </c>
      <c r="M1706" s="5" t="str">
        <f t="shared" si="163"/>
        <v/>
      </c>
      <c r="N1706" s="5" t="str">
        <f t="shared" si="164"/>
        <v/>
      </c>
      <c r="O1706" s="4"/>
    </row>
    <row r="1707" spans="1:15" x14ac:dyDescent="0.25">
      <c r="A1707" s="14"/>
      <c r="B1707" s="14"/>
      <c r="C1707" s="14"/>
      <c r="D1707" s="5" t="str">
        <f t="shared" si="165"/>
        <v/>
      </c>
      <c r="E1707" s="5" t="str">
        <f t="shared" si="166"/>
        <v/>
      </c>
      <c r="F1707" s="5" t="str">
        <f t="shared" si="167"/>
        <v/>
      </c>
      <c r="G1707" s="23"/>
      <c r="H1707" s="66"/>
      <c r="I1707" s="14"/>
      <c r="J1707" s="14"/>
      <c r="K1707" s="14"/>
      <c r="L1707" s="5" t="str">
        <f t="shared" si="162"/>
        <v/>
      </c>
      <c r="M1707" s="5" t="str">
        <f t="shared" si="163"/>
        <v/>
      </c>
      <c r="N1707" s="5" t="str">
        <f t="shared" si="164"/>
        <v/>
      </c>
      <c r="O1707" s="4"/>
    </row>
    <row r="1708" spans="1:15" x14ac:dyDescent="0.25">
      <c r="A1708" s="14"/>
      <c r="B1708" s="14"/>
      <c r="C1708" s="14"/>
      <c r="D1708" s="5" t="str">
        <f t="shared" si="165"/>
        <v/>
      </c>
      <c r="E1708" s="5" t="str">
        <f t="shared" si="166"/>
        <v/>
      </c>
      <c r="F1708" s="5" t="str">
        <f t="shared" si="167"/>
        <v/>
      </c>
      <c r="G1708" s="23"/>
      <c r="H1708" s="66"/>
      <c r="I1708" s="14"/>
      <c r="J1708" s="14"/>
      <c r="K1708" s="14"/>
      <c r="L1708" s="5" t="str">
        <f t="shared" si="162"/>
        <v/>
      </c>
      <c r="M1708" s="5" t="str">
        <f t="shared" si="163"/>
        <v/>
      </c>
      <c r="N1708" s="5" t="str">
        <f t="shared" si="164"/>
        <v/>
      </c>
      <c r="O1708" s="4"/>
    </row>
    <row r="1709" spans="1:15" x14ac:dyDescent="0.25">
      <c r="A1709" s="14"/>
      <c r="B1709" s="14"/>
      <c r="C1709" s="14"/>
      <c r="D1709" s="5" t="str">
        <f t="shared" si="165"/>
        <v/>
      </c>
      <c r="E1709" s="5" t="str">
        <f t="shared" si="166"/>
        <v/>
      </c>
      <c r="F1709" s="5" t="str">
        <f t="shared" si="167"/>
        <v/>
      </c>
      <c r="G1709" s="23"/>
      <c r="H1709" s="66"/>
      <c r="I1709" s="14"/>
      <c r="J1709" s="14"/>
      <c r="K1709" s="14"/>
      <c r="L1709" s="5" t="str">
        <f t="shared" si="162"/>
        <v/>
      </c>
      <c r="M1709" s="5" t="str">
        <f t="shared" si="163"/>
        <v/>
      </c>
      <c r="N1709" s="5" t="str">
        <f t="shared" si="164"/>
        <v/>
      </c>
      <c r="O1709" s="4"/>
    </row>
    <row r="1710" spans="1:15" x14ac:dyDescent="0.25">
      <c r="A1710" s="14"/>
      <c r="B1710" s="14"/>
      <c r="C1710" s="14"/>
      <c r="D1710" s="5" t="str">
        <f t="shared" si="165"/>
        <v/>
      </c>
      <c r="E1710" s="5" t="str">
        <f t="shared" si="166"/>
        <v/>
      </c>
      <c r="F1710" s="5" t="str">
        <f t="shared" si="167"/>
        <v/>
      </c>
      <c r="G1710" s="23"/>
      <c r="H1710" s="66"/>
      <c r="I1710" s="14"/>
      <c r="J1710" s="14"/>
      <c r="K1710" s="14"/>
      <c r="L1710" s="5" t="str">
        <f t="shared" si="162"/>
        <v/>
      </c>
      <c r="M1710" s="5" t="str">
        <f t="shared" si="163"/>
        <v/>
      </c>
      <c r="N1710" s="5" t="str">
        <f t="shared" si="164"/>
        <v/>
      </c>
      <c r="O1710" s="4"/>
    </row>
    <row r="1711" spans="1:15" x14ac:dyDescent="0.25">
      <c r="A1711" s="14"/>
      <c r="B1711" s="14"/>
      <c r="C1711" s="14"/>
      <c r="D1711" s="5" t="str">
        <f t="shared" si="165"/>
        <v/>
      </c>
      <c r="E1711" s="5" t="str">
        <f t="shared" si="166"/>
        <v/>
      </c>
      <c r="F1711" s="5" t="str">
        <f t="shared" si="167"/>
        <v/>
      </c>
      <c r="G1711" s="23"/>
      <c r="H1711" s="66"/>
      <c r="I1711" s="14"/>
      <c r="J1711" s="14"/>
      <c r="K1711" s="14"/>
      <c r="L1711" s="5" t="str">
        <f t="shared" si="162"/>
        <v/>
      </c>
      <c r="M1711" s="5" t="str">
        <f t="shared" si="163"/>
        <v/>
      </c>
      <c r="N1711" s="5" t="str">
        <f t="shared" si="164"/>
        <v/>
      </c>
      <c r="O1711" s="4"/>
    </row>
    <row r="1712" spans="1:15" x14ac:dyDescent="0.25">
      <c r="A1712" s="14"/>
      <c r="B1712" s="14"/>
      <c r="C1712" s="14"/>
      <c r="D1712" s="5" t="str">
        <f t="shared" si="165"/>
        <v/>
      </c>
      <c r="E1712" s="5" t="str">
        <f t="shared" si="166"/>
        <v/>
      </c>
      <c r="F1712" s="5" t="str">
        <f t="shared" si="167"/>
        <v/>
      </c>
      <c r="G1712" s="23"/>
      <c r="H1712" s="66"/>
      <c r="I1712" s="14"/>
      <c r="J1712" s="14"/>
      <c r="K1712" s="14"/>
      <c r="L1712" s="5" t="str">
        <f t="shared" si="162"/>
        <v/>
      </c>
      <c r="M1712" s="5" t="str">
        <f t="shared" si="163"/>
        <v/>
      </c>
      <c r="N1712" s="5" t="str">
        <f t="shared" si="164"/>
        <v/>
      </c>
      <c r="O1712" s="4"/>
    </row>
    <row r="1713" spans="1:15" x14ac:dyDescent="0.25">
      <c r="A1713" s="14"/>
      <c r="B1713" s="14"/>
      <c r="C1713" s="14"/>
      <c r="D1713" s="5" t="str">
        <f t="shared" si="165"/>
        <v/>
      </c>
      <c r="E1713" s="5" t="str">
        <f t="shared" si="166"/>
        <v/>
      </c>
      <c r="F1713" s="5" t="str">
        <f t="shared" si="167"/>
        <v/>
      </c>
      <c r="G1713" s="23"/>
      <c r="H1713" s="66"/>
      <c r="I1713" s="14"/>
      <c r="J1713" s="14"/>
      <c r="K1713" s="14"/>
      <c r="L1713" s="5" t="str">
        <f t="shared" si="162"/>
        <v/>
      </c>
      <c r="M1713" s="5" t="str">
        <f t="shared" si="163"/>
        <v/>
      </c>
      <c r="N1713" s="5" t="str">
        <f t="shared" si="164"/>
        <v/>
      </c>
      <c r="O1713" s="4"/>
    </row>
    <row r="1714" spans="1:15" x14ac:dyDescent="0.25">
      <c r="A1714" s="14"/>
      <c r="B1714" s="14"/>
      <c r="C1714" s="14"/>
      <c r="D1714" s="5" t="str">
        <f t="shared" si="165"/>
        <v/>
      </c>
      <c r="E1714" s="5" t="str">
        <f t="shared" si="166"/>
        <v/>
      </c>
      <c r="F1714" s="5" t="str">
        <f t="shared" si="167"/>
        <v/>
      </c>
      <c r="G1714" s="23"/>
      <c r="H1714" s="66"/>
      <c r="I1714" s="14"/>
      <c r="J1714" s="14"/>
      <c r="K1714" s="14"/>
      <c r="L1714" s="5" t="str">
        <f t="shared" si="162"/>
        <v/>
      </c>
      <c r="M1714" s="5" t="str">
        <f t="shared" si="163"/>
        <v/>
      </c>
      <c r="N1714" s="5" t="str">
        <f t="shared" si="164"/>
        <v/>
      </c>
      <c r="O1714" s="4"/>
    </row>
    <row r="1715" spans="1:15" x14ac:dyDescent="0.25">
      <c r="A1715" s="14"/>
      <c r="B1715" s="14"/>
      <c r="C1715" s="14"/>
      <c r="D1715" s="5" t="str">
        <f t="shared" si="165"/>
        <v/>
      </c>
      <c r="E1715" s="5" t="str">
        <f t="shared" si="166"/>
        <v/>
      </c>
      <c r="F1715" s="5" t="str">
        <f t="shared" si="167"/>
        <v/>
      </c>
      <c r="G1715" s="23"/>
      <c r="H1715" s="66"/>
      <c r="I1715" s="14"/>
      <c r="J1715" s="14"/>
      <c r="K1715" s="14"/>
      <c r="L1715" s="5" t="str">
        <f t="shared" si="162"/>
        <v/>
      </c>
      <c r="M1715" s="5" t="str">
        <f t="shared" si="163"/>
        <v/>
      </c>
      <c r="N1715" s="5" t="str">
        <f t="shared" si="164"/>
        <v/>
      </c>
      <c r="O1715" s="4"/>
    </row>
    <row r="1716" spans="1:15" x14ac:dyDescent="0.25">
      <c r="A1716" s="14"/>
      <c r="B1716" s="14"/>
      <c r="C1716" s="14"/>
      <c r="D1716" s="5" t="str">
        <f t="shared" si="165"/>
        <v/>
      </c>
      <c r="E1716" s="5" t="str">
        <f t="shared" si="166"/>
        <v/>
      </c>
      <c r="F1716" s="5" t="str">
        <f t="shared" si="167"/>
        <v/>
      </c>
      <c r="G1716" s="23"/>
      <c r="H1716" s="66"/>
      <c r="I1716" s="14"/>
      <c r="J1716" s="14"/>
      <c r="K1716" s="14"/>
      <c r="L1716" s="5" t="str">
        <f t="shared" si="162"/>
        <v/>
      </c>
      <c r="M1716" s="5" t="str">
        <f t="shared" si="163"/>
        <v/>
      </c>
      <c r="N1716" s="5" t="str">
        <f t="shared" si="164"/>
        <v/>
      </c>
      <c r="O1716" s="4"/>
    </row>
    <row r="1717" spans="1:15" x14ac:dyDescent="0.25">
      <c r="A1717" s="14"/>
      <c r="B1717" s="14"/>
      <c r="C1717" s="14"/>
      <c r="D1717" s="5" t="str">
        <f t="shared" si="165"/>
        <v/>
      </c>
      <c r="E1717" s="5" t="str">
        <f t="shared" si="166"/>
        <v/>
      </c>
      <c r="F1717" s="5" t="str">
        <f t="shared" si="167"/>
        <v/>
      </c>
      <c r="G1717" s="23"/>
      <c r="H1717" s="66"/>
      <c r="I1717" s="14"/>
      <c r="J1717" s="14"/>
      <c r="K1717" s="14"/>
      <c r="L1717" s="5" t="str">
        <f t="shared" si="162"/>
        <v/>
      </c>
      <c r="M1717" s="5" t="str">
        <f t="shared" si="163"/>
        <v/>
      </c>
      <c r="N1717" s="5" t="str">
        <f t="shared" si="164"/>
        <v/>
      </c>
      <c r="O1717" s="4"/>
    </row>
    <row r="1718" spans="1:15" x14ac:dyDescent="0.25">
      <c r="A1718" s="14"/>
      <c r="B1718" s="14"/>
      <c r="C1718" s="14"/>
      <c r="D1718" s="5" t="str">
        <f t="shared" si="165"/>
        <v/>
      </c>
      <c r="E1718" s="5" t="str">
        <f t="shared" si="166"/>
        <v/>
      </c>
      <c r="F1718" s="5" t="str">
        <f t="shared" si="167"/>
        <v/>
      </c>
      <c r="G1718" s="23"/>
      <c r="H1718" s="66"/>
      <c r="I1718" s="14"/>
      <c r="J1718" s="14"/>
      <c r="K1718" s="14"/>
      <c r="L1718" s="5" t="str">
        <f t="shared" si="162"/>
        <v/>
      </c>
      <c r="M1718" s="5" t="str">
        <f t="shared" si="163"/>
        <v/>
      </c>
      <c r="N1718" s="5" t="str">
        <f t="shared" si="164"/>
        <v/>
      </c>
      <c r="O1718" s="4"/>
    </row>
    <row r="1719" spans="1:15" x14ac:dyDescent="0.25">
      <c r="A1719" s="14"/>
      <c r="B1719" s="14"/>
      <c r="C1719" s="14"/>
      <c r="D1719" s="5" t="str">
        <f t="shared" si="165"/>
        <v/>
      </c>
      <c r="E1719" s="5" t="str">
        <f t="shared" si="166"/>
        <v/>
      </c>
      <c r="F1719" s="5" t="str">
        <f t="shared" si="167"/>
        <v/>
      </c>
      <c r="G1719" s="23"/>
      <c r="H1719" s="66"/>
      <c r="I1719" s="14"/>
      <c r="J1719" s="14"/>
      <c r="K1719" s="14"/>
      <c r="L1719" s="5" t="str">
        <f t="shared" si="162"/>
        <v/>
      </c>
      <c r="M1719" s="5" t="str">
        <f t="shared" si="163"/>
        <v/>
      </c>
      <c r="N1719" s="5" t="str">
        <f t="shared" si="164"/>
        <v/>
      </c>
      <c r="O1719" s="4"/>
    </row>
    <row r="1720" spans="1:15" x14ac:dyDescent="0.25">
      <c r="A1720" s="14"/>
      <c r="B1720" s="14"/>
      <c r="C1720" s="14"/>
      <c r="D1720" s="5" t="str">
        <f t="shared" si="165"/>
        <v/>
      </c>
      <c r="E1720" s="5" t="str">
        <f t="shared" si="166"/>
        <v/>
      </c>
      <c r="F1720" s="5" t="str">
        <f t="shared" si="167"/>
        <v/>
      </c>
      <c r="G1720" s="23"/>
      <c r="H1720" s="66"/>
      <c r="I1720" s="14"/>
      <c r="J1720" s="14"/>
      <c r="K1720" s="14"/>
      <c r="L1720" s="5" t="str">
        <f t="shared" si="162"/>
        <v/>
      </c>
      <c r="M1720" s="5" t="str">
        <f t="shared" si="163"/>
        <v/>
      </c>
      <c r="N1720" s="5" t="str">
        <f t="shared" si="164"/>
        <v/>
      </c>
      <c r="O1720" s="4"/>
    </row>
    <row r="1721" spans="1:15" x14ac:dyDescent="0.25">
      <c r="A1721" s="14"/>
      <c r="B1721" s="14"/>
      <c r="C1721" s="14"/>
      <c r="D1721" s="5" t="str">
        <f t="shared" si="165"/>
        <v/>
      </c>
      <c r="E1721" s="5" t="str">
        <f t="shared" si="166"/>
        <v/>
      </c>
      <c r="F1721" s="5" t="str">
        <f t="shared" si="167"/>
        <v/>
      </c>
      <c r="G1721" s="23"/>
      <c r="H1721" s="66"/>
      <c r="I1721" s="14"/>
      <c r="J1721" s="14"/>
      <c r="K1721" s="14"/>
      <c r="L1721" s="5" t="str">
        <f t="shared" si="162"/>
        <v/>
      </c>
      <c r="M1721" s="5" t="str">
        <f t="shared" si="163"/>
        <v/>
      </c>
      <c r="N1721" s="5" t="str">
        <f t="shared" si="164"/>
        <v/>
      </c>
      <c r="O1721" s="4"/>
    </row>
    <row r="1722" spans="1:15" x14ac:dyDescent="0.25">
      <c r="A1722" s="14"/>
      <c r="B1722" s="14"/>
      <c r="C1722" s="14"/>
      <c r="D1722" s="5" t="str">
        <f t="shared" si="165"/>
        <v/>
      </c>
      <c r="E1722" s="5" t="str">
        <f t="shared" si="166"/>
        <v/>
      </c>
      <c r="F1722" s="5" t="str">
        <f t="shared" si="167"/>
        <v/>
      </c>
      <c r="G1722" s="23"/>
      <c r="H1722" s="66"/>
      <c r="I1722" s="14"/>
      <c r="J1722" s="14"/>
      <c r="K1722" s="14"/>
      <c r="L1722" s="5" t="str">
        <f t="shared" si="162"/>
        <v/>
      </c>
      <c r="M1722" s="5" t="str">
        <f t="shared" si="163"/>
        <v/>
      </c>
      <c r="N1722" s="5" t="str">
        <f t="shared" si="164"/>
        <v/>
      </c>
      <c r="O1722" s="4"/>
    </row>
    <row r="1723" spans="1:15" x14ac:dyDescent="0.25">
      <c r="A1723" s="14"/>
      <c r="B1723" s="14"/>
      <c r="C1723" s="14"/>
      <c r="D1723" s="5" t="str">
        <f t="shared" si="165"/>
        <v/>
      </c>
      <c r="E1723" s="5" t="str">
        <f t="shared" si="166"/>
        <v/>
      </c>
      <c r="F1723" s="5" t="str">
        <f t="shared" si="167"/>
        <v/>
      </c>
      <c r="G1723" s="23"/>
      <c r="H1723" s="66"/>
      <c r="I1723" s="14"/>
      <c r="J1723" s="14"/>
      <c r="K1723" s="14"/>
      <c r="L1723" s="5" t="str">
        <f t="shared" si="162"/>
        <v/>
      </c>
      <c r="M1723" s="5" t="str">
        <f t="shared" si="163"/>
        <v/>
      </c>
      <c r="N1723" s="5" t="str">
        <f t="shared" si="164"/>
        <v/>
      </c>
      <c r="O1723" s="4"/>
    </row>
    <row r="1724" spans="1:15" x14ac:dyDescent="0.25">
      <c r="A1724" s="14"/>
      <c r="B1724" s="14"/>
      <c r="C1724" s="14"/>
      <c r="D1724" s="5" t="str">
        <f t="shared" si="165"/>
        <v/>
      </c>
      <c r="E1724" s="5" t="str">
        <f t="shared" si="166"/>
        <v/>
      </c>
      <c r="F1724" s="5" t="str">
        <f t="shared" si="167"/>
        <v/>
      </c>
      <c r="G1724" s="23"/>
      <c r="H1724" s="66"/>
      <c r="I1724" s="14"/>
      <c r="J1724" s="14"/>
      <c r="K1724" s="14"/>
      <c r="L1724" s="5" t="str">
        <f t="shared" si="162"/>
        <v/>
      </c>
      <c r="M1724" s="5" t="str">
        <f t="shared" si="163"/>
        <v/>
      </c>
      <c r="N1724" s="5" t="str">
        <f t="shared" si="164"/>
        <v/>
      </c>
      <c r="O1724" s="4"/>
    </row>
    <row r="1725" spans="1:15" x14ac:dyDescent="0.25">
      <c r="A1725" s="14"/>
      <c r="B1725" s="14"/>
      <c r="C1725" s="14"/>
      <c r="D1725" s="5" t="str">
        <f t="shared" si="165"/>
        <v/>
      </c>
      <c r="E1725" s="5" t="str">
        <f t="shared" si="166"/>
        <v/>
      </c>
      <c r="F1725" s="5" t="str">
        <f t="shared" si="167"/>
        <v/>
      </c>
      <c r="G1725" s="23"/>
      <c r="H1725" s="66"/>
      <c r="I1725" s="14"/>
      <c r="J1725" s="14"/>
      <c r="K1725" s="14"/>
      <c r="L1725" s="5" t="str">
        <f t="shared" si="162"/>
        <v/>
      </c>
      <c r="M1725" s="5" t="str">
        <f t="shared" si="163"/>
        <v/>
      </c>
      <c r="N1725" s="5" t="str">
        <f t="shared" si="164"/>
        <v/>
      </c>
      <c r="O1725" s="4"/>
    </row>
    <row r="1726" spans="1:15" x14ac:dyDescent="0.25">
      <c r="A1726" s="14"/>
      <c r="B1726" s="14"/>
      <c r="C1726" s="14"/>
      <c r="D1726" s="5" t="str">
        <f t="shared" si="165"/>
        <v/>
      </c>
      <c r="E1726" s="5" t="str">
        <f t="shared" si="166"/>
        <v/>
      </c>
      <c r="F1726" s="5" t="str">
        <f t="shared" si="167"/>
        <v/>
      </c>
      <c r="G1726" s="23"/>
      <c r="H1726" s="66"/>
      <c r="I1726" s="14"/>
      <c r="J1726" s="14"/>
      <c r="K1726" s="14"/>
      <c r="L1726" s="5" t="str">
        <f t="shared" si="162"/>
        <v/>
      </c>
      <c r="M1726" s="5" t="str">
        <f t="shared" si="163"/>
        <v/>
      </c>
      <c r="N1726" s="5" t="str">
        <f t="shared" si="164"/>
        <v/>
      </c>
      <c r="O1726" s="4"/>
    </row>
    <row r="1727" spans="1:15" x14ac:dyDescent="0.25">
      <c r="A1727" s="14"/>
      <c r="B1727" s="14"/>
      <c r="C1727" s="14"/>
      <c r="D1727" s="5" t="str">
        <f t="shared" si="165"/>
        <v/>
      </c>
      <c r="E1727" s="5" t="str">
        <f t="shared" si="166"/>
        <v/>
      </c>
      <c r="F1727" s="5" t="str">
        <f t="shared" si="167"/>
        <v/>
      </c>
      <c r="G1727" s="23"/>
      <c r="H1727" s="66"/>
      <c r="I1727" s="14"/>
      <c r="J1727" s="14"/>
      <c r="K1727" s="14"/>
      <c r="L1727" s="5" t="str">
        <f t="shared" si="162"/>
        <v/>
      </c>
      <c r="M1727" s="5" t="str">
        <f t="shared" si="163"/>
        <v/>
      </c>
      <c r="N1727" s="5" t="str">
        <f t="shared" si="164"/>
        <v/>
      </c>
      <c r="O1727" s="4"/>
    </row>
    <row r="1728" spans="1:15" x14ac:dyDescent="0.25">
      <c r="A1728" s="14"/>
      <c r="B1728" s="14"/>
      <c r="C1728" s="14"/>
      <c r="D1728" s="5" t="str">
        <f t="shared" si="165"/>
        <v/>
      </c>
      <c r="E1728" s="5" t="str">
        <f t="shared" si="166"/>
        <v/>
      </c>
      <c r="F1728" s="5" t="str">
        <f t="shared" si="167"/>
        <v/>
      </c>
      <c r="G1728" s="23"/>
      <c r="H1728" s="66"/>
      <c r="I1728" s="14"/>
      <c r="J1728" s="14"/>
      <c r="K1728" s="14"/>
      <c r="L1728" s="5" t="str">
        <f t="shared" si="162"/>
        <v/>
      </c>
      <c r="M1728" s="5" t="str">
        <f t="shared" si="163"/>
        <v/>
      </c>
      <c r="N1728" s="5" t="str">
        <f t="shared" si="164"/>
        <v/>
      </c>
      <c r="O1728" s="4"/>
    </row>
    <row r="1729" spans="1:15" x14ac:dyDescent="0.25">
      <c r="A1729" s="14"/>
      <c r="B1729" s="14"/>
      <c r="C1729" s="14"/>
      <c r="D1729" s="5" t="str">
        <f t="shared" si="165"/>
        <v/>
      </c>
      <c r="E1729" s="5" t="str">
        <f t="shared" si="166"/>
        <v/>
      </c>
      <c r="F1729" s="5" t="str">
        <f t="shared" si="167"/>
        <v/>
      </c>
      <c r="G1729" s="23"/>
      <c r="H1729" s="66"/>
      <c r="I1729" s="14"/>
      <c r="J1729" s="14"/>
      <c r="K1729" s="14"/>
      <c r="L1729" s="5" t="str">
        <f t="shared" si="162"/>
        <v/>
      </c>
      <c r="M1729" s="5" t="str">
        <f t="shared" si="163"/>
        <v/>
      </c>
      <c r="N1729" s="5" t="str">
        <f t="shared" si="164"/>
        <v/>
      </c>
      <c r="O1729" s="4"/>
    </row>
    <row r="1730" spans="1:15" x14ac:dyDescent="0.25">
      <c r="A1730" s="14"/>
      <c r="B1730" s="14"/>
      <c r="C1730" s="14"/>
      <c r="D1730" s="5" t="str">
        <f t="shared" si="165"/>
        <v/>
      </c>
      <c r="E1730" s="5" t="str">
        <f t="shared" si="166"/>
        <v/>
      </c>
      <c r="F1730" s="5" t="str">
        <f t="shared" si="167"/>
        <v/>
      </c>
      <c r="G1730" s="23"/>
      <c r="H1730" s="66"/>
      <c r="I1730" s="14"/>
      <c r="J1730" s="14"/>
      <c r="K1730" s="14"/>
      <c r="L1730" s="5" t="str">
        <f t="shared" si="162"/>
        <v/>
      </c>
      <c r="M1730" s="5" t="str">
        <f t="shared" si="163"/>
        <v/>
      </c>
      <c r="N1730" s="5" t="str">
        <f t="shared" si="164"/>
        <v/>
      </c>
      <c r="O1730" s="4"/>
    </row>
    <row r="1731" spans="1:15" x14ac:dyDescent="0.25">
      <c r="A1731" s="14"/>
      <c r="B1731" s="14"/>
      <c r="C1731" s="14"/>
      <c r="D1731" s="5" t="str">
        <f t="shared" si="165"/>
        <v/>
      </c>
      <c r="E1731" s="5" t="str">
        <f t="shared" si="166"/>
        <v/>
      </c>
      <c r="F1731" s="5" t="str">
        <f t="shared" si="167"/>
        <v/>
      </c>
      <c r="G1731" s="23"/>
      <c r="H1731" s="66"/>
      <c r="I1731" s="14"/>
      <c r="J1731" s="14"/>
      <c r="K1731" s="14"/>
      <c r="L1731" s="5" t="str">
        <f t="shared" si="162"/>
        <v/>
      </c>
      <c r="M1731" s="5" t="str">
        <f t="shared" si="163"/>
        <v/>
      </c>
      <c r="N1731" s="5" t="str">
        <f t="shared" si="164"/>
        <v/>
      </c>
      <c r="O1731" s="4"/>
    </row>
    <row r="1732" spans="1:15" x14ac:dyDescent="0.25">
      <c r="A1732" s="14"/>
      <c r="B1732" s="14"/>
      <c r="C1732" s="14"/>
      <c r="D1732" s="5" t="str">
        <f t="shared" si="165"/>
        <v/>
      </c>
      <c r="E1732" s="5" t="str">
        <f t="shared" si="166"/>
        <v/>
      </c>
      <c r="F1732" s="5" t="str">
        <f t="shared" si="167"/>
        <v/>
      </c>
      <c r="G1732" s="23"/>
      <c r="H1732" s="66"/>
      <c r="I1732" s="14"/>
      <c r="J1732" s="14"/>
      <c r="K1732" s="14"/>
      <c r="L1732" s="5" t="str">
        <f t="shared" si="162"/>
        <v/>
      </c>
      <c r="M1732" s="5" t="str">
        <f t="shared" si="163"/>
        <v/>
      </c>
      <c r="N1732" s="5" t="str">
        <f t="shared" si="164"/>
        <v/>
      </c>
      <c r="O1732" s="4"/>
    </row>
    <row r="1733" spans="1:15" x14ac:dyDescent="0.25">
      <c r="A1733" s="14"/>
      <c r="B1733" s="14"/>
      <c r="C1733" s="14"/>
      <c r="D1733" s="5" t="str">
        <f t="shared" si="165"/>
        <v/>
      </c>
      <c r="E1733" s="5" t="str">
        <f t="shared" si="166"/>
        <v/>
      </c>
      <c r="F1733" s="5" t="str">
        <f t="shared" si="167"/>
        <v/>
      </c>
      <c r="G1733" s="23"/>
      <c r="H1733" s="66"/>
      <c r="I1733" s="14"/>
      <c r="J1733" s="14"/>
      <c r="K1733" s="14"/>
      <c r="L1733" s="5" t="str">
        <f t="shared" si="162"/>
        <v/>
      </c>
      <c r="M1733" s="5" t="str">
        <f t="shared" si="163"/>
        <v/>
      </c>
      <c r="N1733" s="5" t="str">
        <f t="shared" si="164"/>
        <v/>
      </c>
      <c r="O1733" s="4"/>
    </row>
    <row r="1734" spans="1:15" x14ac:dyDescent="0.25">
      <c r="A1734" s="14"/>
      <c r="B1734" s="14"/>
      <c r="C1734" s="14"/>
      <c r="D1734" s="5" t="str">
        <f t="shared" si="165"/>
        <v/>
      </c>
      <c r="E1734" s="5" t="str">
        <f t="shared" si="166"/>
        <v/>
      </c>
      <c r="F1734" s="5" t="str">
        <f t="shared" si="167"/>
        <v/>
      </c>
      <c r="G1734" s="23"/>
      <c r="H1734" s="66"/>
      <c r="I1734" s="14"/>
      <c r="J1734" s="14"/>
      <c r="K1734" s="14"/>
      <c r="L1734" s="5" t="str">
        <f t="shared" si="162"/>
        <v/>
      </c>
      <c r="M1734" s="5" t="str">
        <f t="shared" si="163"/>
        <v/>
      </c>
      <c r="N1734" s="5" t="str">
        <f t="shared" si="164"/>
        <v/>
      </c>
      <c r="O1734" s="4"/>
    </row>
    <row r="1735" spans="1:15" x14ac:dyDescent="0.25">
      <c r="A1735" s="14"/>
      <c r="B1735" s="14"/>
      <c r="C1735" s="14"/>
      <c r="D1735" s="5" t="str">
        <f t="shared" si="165"/>
        <v/>
      </c>
      <c r="E1735" s="5" t="str">
        <f t="shared" si="166"/>
        <v/>
      </c>
      <c r="F1735" s="5" t="str">
        <f t="shared" si="167"/>
        <v/>
      </c>
      <c r="G1735" s="23"/>
      <c r="H1735" s="66"/>
      <c r="I1735" s="14"/>
      <c r="J1735" s="14"/>
      <c r="K1735" s="14"/>
      <c r="L1735" s="5" t="str">
        <f t="shared" si="162"/>
        <v/>
      </c>
      <c r="M1735" s="5" t="str">
        <f t="shared" si="163"/>
        <v/>
      </c>
      <c r="N1735" s="5" t="str">
        <f t="shared" si="164"/>
        <v/>
      </c>
      <c r="O1735" s="4"/>
    </row>
    <row r="1736" spans="1:15" x14ac:dyDescent="0.25">
      <c r="A1736" s="14"/>
      <c r="B1736" s="14"/>
      <c r="C1736" s="14"/>
      <c r="D1736" s="5" t="str">
        <f t="shared" si="165"/>
        <v/>
      </c>
      <c r="E1736" s="5" t="str">
        <f t="shared" si="166"/>
        <v/>
      </c>
      <c r="F1736" s="5" t="str">
        <f t="shared" si="167"/>
        <v/>
      </c>
      <c r="G1736" s="23"/>
      <c r="H1736" s="66"/>
      <c r="I1736" s="14"/>
      <c r="J1736" s="14"/>
      <c r="K1736" s="14"/>
      <c r="L1736" s="5" t="str">
        <f t="shared" si="162"/>
        <v/>
      </c>
      <c r="M1736" s="5" t="str">
        <f t="shared" si="163"/>
        <v/>
      </c>
      <c r="N1736" s="5" t="str">
        <f t="shared" si="164"/>
        <v/>
      </c>
      <c r="O1736" s="4"/>
    </row>
    <row r="1737" spans="1:15" x14ac:dyDescent="0.25">
      <c r="A1737" s="14"/>
      <c r="B1737" s="14"/>
      <c r="C1737" s="14"/>
      <c r="D1737" s="5" t="str">
        <f t="shared" si="165"/>
        <v/>
      </c>
      <c r="E1737" s="5" t="str">
        <f t="shared" si="166"/>
        <v/>
      </c>
      <c r="F1737" s="5" t="str">
        <f t="shared" si="167"/>
        <v/>
      </c>
      <c r="G1737" s="23"/>
      <c r="H1737" s="66"/>
      <c r="I1737" s="14"/>
      <c r="J1737" s="14"/>
      <c r="K1737" s="14"/>
      <c r="L1737" s="5" t="str">
        <f t="shared" si="162"/>
        <v/>
      </c>
      <c r="M1737" s="5" t="str">
        <f t="shared" si="163"/>
        <v/>
      </c>
      <c r="N1737" s="5" t="str">
        <f t="shared" si="164"/>
        <v/>
      </c>
      <c r="O1737" s="4"/>
    </row>
    <row r="1738" spans="1:15" x14ac:dyDescent="0.25">
      <c r="A1738" s="14"/>
      <c r="B1738" s="14"/>
      <c r="C1738" s="14"/>
      <c r="D1738" s="5" t="str">
        <f t="shared" si="165"/>
        <v/>
      </c>
      <c r="E1738" s="5" t="str">
        <f t="shared" si="166"/>
        <v/>
      </c>
      <c r="F1738" s="5" t="str">
        <f t="shared" si="167"/>
        <v/>
      </c>
      <c r="G1738" s="23"/>
      <c r="H1738" s="66"/>
      <c r="I1738" s="14"/>
      <c r="J1738" s="14"/>
      <c r="K1738" s="14"/>
      <c r="L1738" s="5" t="str">
        <f t="shared" ref="L1738:L1801" si="168">IFERROR(IF(I1738&lt;&gt;"",(((J1738-J1737)*$X$4/(I1738-I1737)))*$X$5,""),"")</f>
        <v/>
      </c>
      <c r="M1738" s="5" t="str">
        <f t="shared" ref="M1738:M1801" si="169">IFERROR(IF(I1738&lt;&gt;"",(((K1738-K1737)*$X$4/(I1738-I1737)))*$X$5,""),"")</f>
        <v/>
      </c>
      <c r="N1738" s="5" t="str">
        <f t="shared" ref="N1738:N1801" si="170">IFERROR(IF(I1738&lt;&gt;"",((ACOS((COS(RADIANS(J1737))*COS(RADIANS(J1738)))+(SIN(RADIANS(J1737))*SIN(RADIANS(J1738)))*COS(RADIANS(K1738-K1737)))*180/PI()*($X$4/(I1738-I1737))))*$X$5,""),"")</f>
        <v/>
      </c>
      <c r="O1738" s="4"/>
    </row>
    <row r="1739" spans="1:15" x14ac:dyDescent="0.25">
      <c r="A1739" s="14"/>
      <c r="B1739" s="14"/>
      <c r="C1739" s="14"/>
      <c r="D1739" s="5" t="str">
        <f t="shared" si="165"/>
        <v/>
      </c>
      <c r="E1739" s="5" t="str">
        <f t="shared" si="166"/>
        <v/>
      </c>
      <c r="F1739" s="5" t="str">
        <f t="shared" si="167"/>
        <v/>
      </c>
      <c r="G1739" s="23"/>
      <c r="H1739" s="66"/>
      <c r="I1739" s="14"/>
      <c r="J1739" s="14"/>
      <c r="K1739" s="14"/>
      <c r="L1739" s="5" t="str">
        <f t="shared" si="168"/>
        <v/>
      </c>
      <c r="M1739" s="5" t="str">
        <f t="shared" si="169"/>
        <v/>
      </c>
      <c r="N1739" s="5" t="str">
        <f t="shared" si="170"/>
        <v/>
      </c>
      <c r="O1739" s="4"/>
    </row>
    <row r="1740" spans="1:15" x14ac:dyDescent="0.25">
      <c r="A1740" s="14"/>
      <c r="B1740" s="14"/>
      <c r="C1740" s="14"/>
      <c r="D1740" s="5" t="str">
        <f t="shared" si="165"/>
        <v/>
      </c>
      <c r="E1740" s="5" t="str">
        <f t="shared" si="166"/>
        <v/>
      </c>
      <c r="F1740" s="5" t="str">
        <f t="shared" si="167"/>
        <v/>
      </c>
      <c r="G1740" s="23"/>
      <c r="H1740" s="66"/>
      <c r="I1740" s="14"/>
      <c r="J1740" s="14"/>
      <c r="K1740" s="14"/>
      <c r="L1740" s="5" t="str">
        <f t="shared" si="168"/>
        <v/>
      </c>
      <c r="M1740" s="5" t="str">
        <f t="shared" si="169"/>
        <v/>
      </c>
      <c r="N1740" s="5" t="str">
        <f t="shared" si="170"/>
        <v/>
      </c>
      <c r="O1740" s="4"/>
    </row>
    <row r="1741" spans="1:15" x14ac:dyDescent="0.25">
      <c r="A1741" s="14"/>
      <c r="B1741" s="14"/>
      <c r="C1741" s="14"/>
      <c r="D1741" s="5" t="str">
        <f t="shared" si="165"/>
        <v/>
      </c>
      <c r="E1741" s="5" t="str">
        <f t="shared" si="166"/>
        <v/>
      </c>
      <c r="F1741" s="5" t="str">
        <f t="shared" si="167"/>
        <v/>
      </c>
      <c r="G1741" s="23"/>
      <c r="H1741" s="66"/>
      <c r="I1741" s="14"/>
      <c r="J1741" s="14"/>
      <c r="K1741" s="14"/>
      <c r="L1741" s="5" t="str">
        <f t="shared" si="168"/>
        <v/>
      </c>
      <c r="M1741" s="5" t="str">
        <f t="shared" si="169"/>
        <v/>
      </c>
      <c r="N1741" s="5" t="str">
        <f t="shared" si="170"/>
        <v/>
      </c>
      <c r="O1741" s="4"/>
    </row>
    <row r="1742" spans="1:15" x14ac:dyDescent="0.25">
      <c r="A1742" s="14"/>
      <c r="B1742" s="14"/>
      <c r="C1742" s="14"/>
      <c r="D1742" s="5" t="str">
        <f t="shared" si="165"/>
        <v/>
      </c>
      <c r="E1742" s="5" t="str">
        <f t="shared" si="166"/>
        <v/>
      </c>
      <c r="F1742" s="5" t="str">
        <f t="shared" si="167"/>
        <v/>
      </c>
      <c r="G1742" s="23"/>
      <c r="H1742" s="66"/>
      <c r="I1742" s="14"/>
      <c r="J1742" s="14"/>
      <c r="K1742" s="14"/>
      <c r="L1742" s="5" t="str">
        <f t="shared" si="168"/>
        <v/>
      </c>
      <c r="M1742" s="5" t="str">
        <f t="shared" si="169"/>
        <v/>
      </c>
      <c r="N1742" s="5" t="str">
        <f t="shared" si="170"/>
        <v/>
      </c>
      <c r="O1742" s="4"/>
    </row>
    <row r="1743" spans="1:15" x14ac:dyDescent="0.25">
      <c r="A1743" s="14"/>
      <c r="B1743" s="14"/>
      <c r="C1743" s="14"/>
      <c r="D1743" s="5" t="str">
        <f t="shared" si="165"/>
        <v/>
      </c>
      <c r="E1743" s="5" t="str">
        <f t="shared" si="166"/>
        <v/>
      </c>
      <c r="F1743" s="5" t="str">
        <f t="shared" si="167"/>
        <v/>
      </c>
      <c r="G1743" s="23"/>
      <c r="H1743" s="66"/>
      <c r="I1743" s="14"/>
      <c r="J1743" s="14"/>
      <c r="K1743" s="14"/>
      <c r="L1743" s="5" t="str">
        <f t="shared" si="168"/>
        <v/>
      </c>
      <c r="M1743" s="5" t="str">
        <f t="shared" si="169"/>
        <v/>
      </c>
      <c r="N1743" s="5" t="str">
        <f t="shared" si="170"/>
        <v/>
      </c>
      <c r="O1743" s="4"/>
    </row>
    <row r="1744" spans="1:15" x14ac:dyDescent="0.25">
      <c r="A1744" s="14"/>
      <c r="B1744" s="14"/>
      <c r="C1744" s="14"/>
      <c r="D1744" s="5" t="str">
        <f t="shared" si="165"/>
        <v/>
      </c>
      <c r="E1744" s="5" t="str">
        <f t="shared" si="166"/>
        <v/>
      </c>
      <c r="F1744" s="5" t="str">
        <f t="shared" si="167"/>
        <v/>
      </c>
      <c r="G1744" s="23"/>
      <c r="H1744" s="66"/>
      <c r="I1744" s="14"/>
      <c r="J1744" s="14"/>
      <c r="K1744" s="14"/>
      <c r="L1744" s="5" t="str">
        <f t="shared" si="168"/>
        <v/>
      </c>
      <c r="M1744" s="5" t="str">
        <f t="shared" si="169"/>
        <v/>
      </c>
      <c r="N1744" s="5" t="str">
        <f t="shared" si="170"/>
        <v/>
      </c>
      <c r="O1744" s="4"/>
    </row>
    <row r="1745" spans="1:15" x14ac:dyDescent="0.25">
      <c r="A1745" s="14"/>
      <c r="B1745" s="14"/>
      <c r="C1745" s="14"/>
      <c r="D1745" s="5" t="str">
        <f t="shared" si="165"/>
        <v/>
      </c>
      <c r="E1745" s="5" t="str">
        <f t="shared" si="166"/>
        <v/>
      </c>
      <c r="F1745" s="5" t="str">
        <f t="shared" si="167"/>
        <v/>
      </c>
      <c r="G1745" s="23"/>
      <c r="H1745" s="66"/>
      <c r="I1745" s="14"/>
      <c r="J1745" s="14"/>
      <c r="K1745" s="14"/>
      <c r="L1745" s="5" t="str">
        <f t="shared" si="168"/>
        <v/>
      </c>
      <c r="M1745" s="5" t="str">
        <f t="shared" si="169"/>
        <v/>
      </c>
      <c r="N1745" s="5" t="str">
        <f t="shared" si="170"/>
        <v/>
      </c>
      <c r="O1745" s="4"/>
    </row>
    <row r="1746" spans="1:15" x14ac:dyDescent="0.25">
      <c r="A1746" s="14"/>
      <c r="B1746" s="14"/>
      <c r="C1746" s="14"/>
      <c r="D1746" s="5" t="str">
        <f t="shared" si="165"/>
        <v/>
      </c>
      <c r="E1746" s="5" t="str">
        <f t="shared" si="166"/>
        <v/>
      </c>
      <c r="F1746" s="5" t="str">
        <f t="shared" si="167"/>
        <v/>
      </c>
      <c r="G1746" s="23"/>
      <c r="H1746" s="66"/>
      <c r="I1746" s="14"/>
      <c r="J1746" s="14"/>
      <c r="K1746" s="14"/>
      <c r="L1746" s="5" t="str">
        <f t="shared" si="168"/>
        <v/>
      </c>
      <c r="M1746" s="5" t="str">
        <f t="shared" si="169"/>
        <v/>
      </c>
      <c r="N1746" s="5" t="str">
        <f t="shared" si="170"/>
        <v/>
      </c>
      <c r="O1746" s="4"/>
    </row>
    <row r="1747" spans="1:15" x14ac:dyDescent="0.25">
      <c r="A1747" s="14"/>
      <c r="B1747" s="14"/>
      <c r="C1747" s="14"/>
      <c r="D1747" s="5" t="str">
        <f t="shared" si="165"/>
        <v/>
      </c>
      <c r="E1747" s="5" t="str">
        <f t="shared" si="166"/>
        <v/>
      </c>
      <c r="F1747" s="5" t="str">
        <f t="shared" si="167"/>
        <v/>
      </c>
      <c r="G1747" s="23"/>
      <c r="H1747" s="66"/>
      <c r="I1747" s="14"/>
      <c r="J1747" s="14"/>
      <c r="K1747" s="14"/>
      <c r="L1747" s="5" t="str">
        <f t="shared" si="168"/>
        <v/>
      </c>
      <c r="M1747" s="5" t="str">
        <f t="shared" si="169"/>
        <v/>
      </c>
      <c r="N1747" s="5" t="str">
        <f t="shared" si="170"/>
        <v/>
      </c>
      <c r="O1747" s="4"/>
    </row>
    <row r="1748" spans="1:15" x14ac:dyDescent="0.25">
      <c r="A1748" s="14"/>
      <c r="B1748" s="14"/>
      <c r="C1748" s="14"/>
      <c r="D1748" s="5" t="str">
        <f t="shared" si="165"/>
        <v/>
      </c>
      <c r="E1748" s="5" t="str">
        <f t="shared" si="166"/>
        <v/>
      </c>
      <c r="F1748" s="5" t="str">
        <f t="shared" si="167"/>
        <v/>
      </c>
      <c r="G1748" s="23"/>
      <c r="H1748" s="66"/>
      <c r="I1748" s="14"/>
      <c r="J1748" s="14"/>
      <c r="K1748" s="14"/>
      <c r="L1748" s="5" t="str">
        <f t="shared" si="168"/>
        <v/>
      </c>
      <c r="M1748" s="5" t="str">
        <f t="shared" si="169"/>
        <v/>
      </c>
      <c r="N1748" s="5" t="str">
        <f t="shared" si="170"/>
        <v/>
      </c>
      <c r="O1748" s="4"/>
    </row>
    <row r="1749" spans="1:15" x14ac:dyDescent="0.25">
      <c r="A1749" s="14"/>
      <c r="B1749" s="14"/>
      <c r="C1749" s="14"/>
      <c r="D1749" s="5" t="str">
        <f t="shared" si="165"/>
        <v/>
      </c>
      <c r="E1749" s="5" t="str">
        <f t="shared" si="166"/>
        <v/>
      </c>
      <c r="F1749" s="5" t="str">
        <f t="shared" si="167"/>
        <v/>
      </c>
      <c r="G1749" s="23"/>
      <c r="H1749" s="66"/>
      <c r="I1749" s="14"/>
      <c r="J1749" s="14"/>
      <c r="K1749" s="14"/>
      <c r="L1749" s="5" t="str">
        <f t="shared" si="168"/>
        <v/>
      </c>
      <c r="M1749" s="5" t="str">
        <f t="shared" si="169"/>
        <v/>
      </c>
      <c r="N1749" s="5" t="str">
        <f t="shared" si="170"/>
        <v/>
      </c>
      <c r="O1749" s="4"/>
    </row>
    <row r="1750" spans="1:15" x14ac:dyDescent="0.25">
      <c r="A1750" s="14"/>
      <c r="B1750" s="14"/>
      <c r="C1750" s="14"/>
      <c r="D1750" s="5" t="str">
        <f t="shared" si="165"/>
        <v/>
      </c>
      <c r="E1750" s="5" t="str">
        <f t="shared" si="166"/>
        <v/>
      </c>
      <c r="F1750" s="5" t="str">
        <f t="shared" si="167"/>
        <v/>
      </c>
      <c r="G1750" s="23"/>
      <c r="H1750" s="66"/>
      <c r="I1750" s="14"/>
      <c r="J1750" s="14"/>
      <c r="K1750" s="14"/>
      <c r="L1750" s="5" t="str">
        <f t="shared" si="168"/>
        <v/>
      </c>
      <c r="M1750" s="5" t="str">
        <f t="shared" si="169"/>
        <v/>
      </c>
      <c r="N1750" s="5" t="str">
        <f t="shared" si="170"/>
        <v/>
      </c>
      <c r="O1750" s="4"/>
    </row>
    <row r="1751" spans="1:15" x14ac:dyDescent="0.25">
      <c r="A1751" s="14"/>
      <c r="B1751" s="14"/>
      <c r="C1751" s="14"/>
      <c r="D1751" s="5" t="str">
        <f t="shared" si="165"/>
        <v/>
      </c>
      <c r="E1751" s="5" t="str">
        <f t="shared" si="166"/>
        <v/>
      </c>
      <c r="F1751" s="5" t="str">
        <f t="shared" si="167"/>
        <v/>
      </c>
      <c r="G1751" s="23"/>
      <c r="H1751" s="66"/>
      <c r="I1751" s="14"/>
      <c r="J1751" s="14"/>
      <c r="K1751" s="14"/>
      <c r="L1751" s="5" t="str">
        <f t="shared" si="168"/>
        <v/>
      </c>
      <c r="M1751" s="5" t="str">
        <f t="shared" si="169"/>
        <v/>
      </c>
      <c r="N1751" s="5" t="str">
        <f t="shared" si="170"/>
        <v/>
      </c>
      <c r="O1751" s="4"/>
    </row>
    <row r="1752" spans="1:15" x14ac:dyDescent="0.25">
      <c r="A1752" s="14"/>
      <c r="B1752" s="14"/>
      <c r="C1752" s="14"/>
      <c r="D1752" s="5" t="str">
        <f t="shared" si="165"/>
        <v/>
      </c>
      <c r="E1752" s="5" t="str">
        <f t="shared" si="166"/>
        <v/>
      </c>
      <c r="F1752" s="5" t="str">
        <f t="shared" si="167"/>
        <v/>
      </c>
      <c r="G1752" s="23"/>
      <c r="H1752" s="66"/>
      <c r="I1752" s="14"/>
      <c r="J1752" s="14"/>
      <c r="K1752" s="14"/>
      <c r="L1752" s="5" t="str">
        <f t="shared" si="168"/>
        <v/>
      </c>
      <c r="M1752" s="5" t="str">
        <f t="shared" si="169"/>
        <v/>
      </c>
      <c r="N1752" s="5" t="str">
        <f t="shared" si="170"/>
        <v/>
      </c>
      <c r="O1752" s="4"/>
    </row>
    <row r="1753" spans="1:15" x14ac:dyDescent="0.25">
      <c r="A1753" s="14"/>
      <c r="B1753" s="14"/>
      <c r="C1753" s="14"/>
      <c r="D1753" s="5" t="str">
        <f t="shared" ref="D1753:D1816" si="171">IFERROR( IF(A1753&lt;&gt;"",((B1753-B1752)*$X$4/(A1753-A1752))*$X$5,""),"")</f>
        <v/>
      </c>
      <c r="E1753" s="5" t="str">
        <f t="shared" ref="E1753:E1816" si="172">IFERROR(IF(A1753&lt;&gt;"",((C1753-C1752)*$X$4/(A1753-A1752))*$X$5,""),"")</f>
        <v/>
      </c>
      <c r="F1753" s="5" t="str">
        <f t="shared" ref="F1753:F1816" si="173">IFERROR(IF(A1753&lt;&gt;"",((ACOS((COS(RADIANS(B1752))*COS(RADIANS(B1753)))+(SIN(RADIANS(B1752))*SIN(RADIANS(B1753)))*COS(RADIANS(C1753-C1752)))*180/PI()*($X$4/(A1753-A1752))))*$X$5,""),"")</f>
        <v/>
      </c>
      <c r="G1753" s="23"/>
      <c r="H1753" s="66"/>
      <c r="I1753" s="14"/>
      <c r="J1753" s="14"/>
      <c r="K1753" s="14"/>
      <c r="L1753" s="5" t="str">
        <f t="shared" si="168"/>
        <v/>
      </c>
      <c r="M1753" s="5" t="str">
        <f t="shared" si="169"/>
        <v/>
      </c>
      <c r="N1753" s="5" t="str">
        <f t="shared" si="170"/>
        <v/>
      </c>
      <c r="O1753" s="4"/>
    </row>
    <row r="1754" spans="1:15" x14ac:dyDescent="0.25">
      <c r="A1754" s="14"/>
      <c r="B1754" s="14"/>
      <c r="C1754" s="14"/>
      <c r="D1754" s="5" t="str">
        <f t="shared" si="171"/>
        <v/>
      </c>
      <c r="E1754" s="5" t="str">
        <f t="shared" si="172"/>
        <v/>
      </c>
      <c r="F1754" s="5" t="str">
        <f t="shared" si="173"/>
        <v/>
      </c>
      <c r="G1754" s="23"/>
      <c r="H1754" s="66"/>
      <c r="I1754" s="14"/>
      <c r="J1754" s="14"/>
      <c r="K1754" s="14"/>
      <c r="L1754" s="5" t="str">
        <f t="shared" si="168"/>
        <v/>
      </c>
      <c r="M1754" s="5" t="str">
        <f t="shared" si="169"/>
        <v/>
      </c>
      <c r="N1754" s="5" t="str">
        <f t="shared" si="170"/>
        <v/>
      </c>
      <c r="O1754" s="4"/>
    </row>
    <row r="1755" spans="1:15" x14ac:dyDescent="0.25">
      <c r="A1755" s="14"/>
      <c r="B1755" s="14"/>
      <c r="C1755" s="14"/>
      <c r="D1755" s="5" t="str">
        <f t="shared" si="171"/>
        <v/>
      </c>
      <c r="E1755" s="5" t="str">
        <f t="shared" si="172"/>
        <v/>
      </c>
      <c r="F1755" s="5" t="str">
        <f t="shared" si="173"/>
        <v/>
      </c>
      <c r="G1755" s="23"/>
      <c r="H1755" s="66"/>
      <c r="I1755" s="14"/>
      <c r="J1755" s="14"/>
      <c r="K1755" s="14"/>
      <c r="L1755" s="5" t="str">
        <f t="shared" si="168"/>
        <v/>
      </c>
      <c r="M1755" s="5" t="str">
        <f t="shared" si="169"/>
        <v/>
      </c>
      <c r="N1755" s="5" t="str">
        <f t="shared" si="170"/>
        <v/>
      </c>
      <c r="O1755" s="4"/>
    </row>
    <row r="1756" spans="1:15" x14ac:dyDescent="0.25">
      <c r="A1756" s="14"/>
      <c r="B1756" s="14"/>
      <c r="C1756" s="14"/>
      <c r="D1756" s="5" t="str">
        <f t="shared" si="171"/>
        <v/>
      </c>
      <c r="E1756" s="5" t="str">
        <f t="shared" si="172"/>
        <v/>
      </c>
      <c r="F1756" s="5" t="str">
        <f t="shared" si="173"/>
        <v/>
      </c>
      <c r="G1756" s="23"/>
      <c r="H1756" s="66"/>
      <c r="I1756" s="14"/>
      <c r="J1756" s="14"/>
      <c r="K1756" s="14"/>
      <c r="L1756" s="5" t="str">
        <f t="shared" si="168"/>
        <v/>
      </c>
      <c r="M1756" s="5" t="str">
        <f t="shared" si="169"/>
        <v/>
      </c>
      <c r="N1756" s="5" t="str">
        <f t="shared" si="170"/>
        <v/>
      </c>
      <c r="O1756" s="4"/>
    </row>
    <row r="1757" spans="1:15" x14ac:dyDescent="0.25">
      <c r="A1757" s="14"/>
      <c r="B1757" s="14"/>
      <c r="C1757" s="14"/>
      <c r="D1757" s="5" t="str">
        <f t="shared" si="171"/>
        <v/>
      </c>
      <c r="E1757" s="5" t="str">
        <f t="shared" si="172"/>
        <v/>
      </c>
      <c r="F1757" s="5" t="str">
        <f t="shared" si="173"/>
        <v/>
      </c>
      <c r="G1757" s="23"/>
      <c r="H1757" s="66"/>
      <c r="I1757" s="14"/>
      <c r="J1757" s="14"/>
      <c r="K1757" s="14"/>
      <c r="L1757" s="5" t="str">
        <f t="shared" si="168"/>
        <v/>
      </c>
      <c r="M1757" s="5" t="str">
        <f t="shared" si="169"/>
        <v/>
      </c>
      <c r="N1757" s="5" t="str">
        <f t="shared" si="170"/>
        <v/>
      </c>
      <c r="O1757" s="4"/>
    </row>
    <row r="1758" spans="1:15" x14ac:dyDescent="0.25">
      <c r="A1758" s="14"/>
      <c r="B1758" s="14"/>
      <c r="C1758" s="14"/>
      <c r="D1758" s="5" t="str">
        <f t="shared" si="171"/>
        <v/>
      </c>
      <c r="E1758" s="5" t="str">
        <f t="shared" si="172"/>
        <v/>
      </c>
      <c r="F1758" s="5" t="str">
        <f t="shared" si="173"/>
        <v/>
      </c>
      <c r="G1758" s="23"/>
      <c r="H1758" s="66"/>
      <c r="I1758" s="14"/>
      <c r="J1758" s="14"/>
      <c r="K1758" s="14"/>
      <c r="L1758" s="5" t="str">
        <f t="shared" si="168"/>
        <v/>
      </c>
      <c r="M1758" s="5" t="str">
        <f t="shared" si="169"/>
        <v/>
      </c>
      <c r="N1758" s="5" t="str">
        <f t="shared" si="170"/>
        <v/>
      </c>
      <c r="O1758" s="4"/>
    </row>
    <row r="1759" spans="1:15" x14ac:dyDescent="0.25">
      <c r="A1759" s="14"/>
      <c r="B1759" s="14"/>
      <c r="C1759" s="14"/>
      <c r="D1759" s="5" t="str">
        <f t="shared" si="171"/>
        <v/>
      </c>
      <c r="E1759" s="5" t="str">
        <f t="shared" si="172"/>
        <v/>
      </c>
      <c r="F1759" s="5" t="str">
        <f t="shared" si="173"/>
        <v/>
      </c>
      <c r="G1759" s="23"/>
      <c r="H1759" s="66"/>
      <c r="I1759" s="14"/>
      <c r="J1759" s="14"/>
      <c r="K1759" s="14"/>
      <c r="L1759" s="5" t="str">
        <f t="shared" si="168"/>
        <v/>
      </c>
      <c r="M1759" s="5" t="str">
        <f t="shared" si="169"/>
        <v/>
      </c>
      <c r="N1759" s="5" t="str">
        <f t="shared" si="170"/>
        <v/>
      </c>
      <c r="O1759" s="4"/>
    </row>
    <row r="1760" spans="1:15" x14ac:dyDescent="0.25">
      <c r="A1760" s="14"/>
      <c r="B1760" s="14"/>
      <c r="C1760" s="14"/>
      <c r="D1760" s="5" t="str">
        <f t="shared" si="171"/>
        <v/>
      </c>
      <c r="E1760" s="5" t="str">
        <f t="shared" si="172"/>
        <v/>
      </c>
      <c r="F1760" s="5" t="str">
        <f t="shared" si="173"/>
        <v/>
      </c>
      <c r="G1760" s="23"/>
      <c r="H1760" s="66"/>
      <c r="I1760" s="14"/>
      <c r="J1760" s="14"/>
      <c r="K1760" s="14"/>
      <c r="L1760" s="5" t="str">
        <f t="shared" si="168"/>
        <v/>
      </c>
      <c r="M1760" s="5" t="str">
        <f t="shared" si="169"/>
        <v/>
      </c>
      <c r="N1760" s="5" t="str">
        <f t="shared" si="170"/>
        <v/>
      </c>
      <c r="O1760" s="4"/>
    </row>
    <row r="1761" spans="1:15" x14ac:dyDescent="0.25">
      <c r="A1761" s="14"/>
      <c r="B1761" s="14"/>
      <c r="C1761" s="14"/>
      <c r="D1761" s="5" t="str">
        <f t="shared" si="171"/>
        <v/>
      </c>
      <c r="E1761" s="5" t="str">
        <f t="shared" si="172"/>
        <v/>
      </c>
      <c r="F1761" s="5" t="str">
        <f t="shared" si="173"/>
        <v/>
      </c>
      <c r="G1761" s="23"/>
      <c r="H1761" s="66"/>
      <c r="I1761" s="14"/>
      <c r="J1761" s="14"/>
      <c r="K1761" s="14"/>
      <c r="L1761" s="5" t="str">
        <f t="shared" si="168"/>
        <v/>
      </c>
      <c r="M1761" s="5" t="str">
        <f t="shared" si="169"/>
        <v/>
      </c>
      <c r="N1761" s="5" t="str">
        <f t="shared" si="170"/>
        <v/>
      </c>
      <c r="O1761" s="4"/>
    </row>
    <row r="1762" spans="1:15" x14ac:dyDescent="0.25">
      <c r="A1762" s="14"/>
      <c r="B1762" s="14"/>
      <c r="C1762" s="14"/>
      <c r="D1762" s="5" t="str">
        <f t="shared" si="171"/>
        <v/>
      </c>
      <c r="E1762" s="5" t="str">
        <f t="shared" si="172"/>
        <v/>
      </c>
      <c r="F1762" s="5" t="str">
        <f t="shared" si="173"/>
        <v/>
      </c>
      <c r="G1762" s="23"/>
      <c r="H1762" s="66"/>
      <c r="I1762" s="14"/>
      <c r="J1762" s="14"/>
      <c r="K1762" s="14"/>
      <c r="L1762" s="5" t="str">
        <f t="shared" si="168"/>
        <v/>
      </c>
      <c r="M1762" s="5" t="str">
        <f t="shared" si="169"/>
        <v/>
      </c>
      <c r="N1762" s="5" t="str">
        <f t="shared" si="170"/>
        <v/>
      </c>
      <c r="O1762" s="4"/>
    </row>
    <row r="1763" spans="1:15" x14ac:dyDescent="0.25">
      <c r="A1763" s="14"/>
      <c r="B1763" s="14"/>
      <c r="C1763" s="14"/>
      <c r="D1763" s="5" t="str">
        <f t="shared" si="171"/>
        <v/>
      </c>
      <c r="E1763" s="5" t="str">
        <f t="shared" si="172"/>
        <v/>
      </c>
      <c r="F1763" s="5" t="str">
        <f t="shared" si="173"/>
        <v/>
      </c>
      <c r="G1763" s="23"/>
      <c r="H1763" s="66"/>
      <c r="I1763" s="14"/>
      <c r="J1763" s="14"/>
      <c r="K1763" s="14"/>
      <c r="L1763" s="5" t="str">
        <f t="shared" si="168"/>
        <v/>
      </c>
      <c r="M1763" s="5" t="str">
        <f t="shared" si="169"/>
        <v/>
      </c>
      <c r="N1763" s="5" t="str">
        <f t="shared" si="170"/>
        <v/>
      </c>
      <c r="O1763" s="4"/>
    </row>
    <row r="1764" spans="1:15" x14ac:dyDescent="0.25">
      <c r="A1764" s="14"/>
      <c r="B1764" s="14"/>
      <c r="C1764" s="14"/>
      <c r="D1764" s="5" t="str">
        <f t="shared" si="171"/>
        <v/>
      </c>
      <c r="E1764" s="5" t="str">
        <f t="shared" si="172"/>
        <v/>
      </c>
      <c r="F1764" s="5" t="str">
        <f t="shared" si="173"/>
        <v/>
      </c>
      <c r="G1764" s="23"/>
      <c r="H1764" s="66"/>
      <c r="I1764" s="14"/>
      <c r="J1764" s="14"/>
      <c r="K1764" s="14"/>
      <c r="L1764" s="5" t="str">
        <f t="shared" si="168"/>
        <v/>
      </c>
      <c r="M1764" s="5" t="str">
        <f t="shared" si="169"/>
        <v/>
      </c>
      <c r="N1764" s="5" t="str">
        <f t="shared" si="170"/>
        <v/>
      </c>
      <c r="O1764" s="4"/>
    </row>
    <row r="1765" spans="1:15" x14ac:dyDescent="0.25">
      <c r="A1765" s="14"/>
      <c r="B1765" s="14"/>
      <c r="C1765" s="14"/>
      <c r="D1765" s="5" t="str">
        <f t="shared" si="171"/>
        <v/>
      </c>
      <c r="E1765" s="5" t="str">
        <f t="shared" si="172"/>
        <v/>
      </c>
      <c r="F1765" s="5" t="str">
        <f t="shared" si="173"/>
        <v/>
      </c>
      <c r="G1765" s="23"/>
      <c r="H1765" s="66"/>
      <c r="I1765" s="14"/>
      <c r="J1765" s="14"/>
      <c r="K1765" s="14"/>
      <c r="L1765" s="5" t="str">
        <f t="shared" si="168"/>
        <v/>
      </c>
      <c r="M1765" s="5" t="str">
        <f t="shared" si="169"/>
        <v/>
      </c>
      <c r="N1765" s="5" t="str">
        <f t="shared" si="170"/>
        <v/>
      </c>
      <c r="O1765" s="4"/>
    </row>
    <row r="1766" spans="1:15" x14ac:dyDescent="0.25">
      <c r="A1766" s="14"/>
      <c r="B1766" s="14"/>
      <c r="C1766" s="14"/>
      <c r="D1766" s="5" t="str">
        <f t="shared" si="171"/>
        <v/>
      </c>
      <c r="E1766" s="5" t="str">
        <f t="shared" si="172"/>
        <v/>
      </c>
      <c r="F1766" s="5" t="str">
        <f t="shared" si="173"/>
        <v/>
      </c>
      <c r="G1766" s="23"/>
      <c r="H1766" s="66"/>
      <c r="I1766" s="14"/>
      <c r="J1766" s="14"/>
      <c r="K1766" s="14"/>
      <c r="L1766" s="5" t="str">
        <f t="shared" si="168"/>
        <v/>
      </c>
      <c r="M1766" s="5" t="str">
        <f t="shared" si="169"/>
        <v/>
      </c>
      <c r="N1766" s="5" t="str">
        <f t="shared" si="170"/>
        <v/>
      </c>
      <c r="O1766" s="4"/>
    </row>
    <row r="1767" spans="1:15" x14ac:dyDescent="0.25">
      <c r="A1767" s="14"/>
      <c r="B1767" s="14"/>
      <c r="C1767" s="14"/>
      <c r="D1767" s="5" t="str">
        <f t="shared" si="171"/>
        <v/>
      </c>
      <c r="E1767" s="5" t="str">
        <f t="shared" si="172"/>
        <v/>
      </c>
      <c r="F1767" s="5" t="str">
        <f t="shared" si="173"/>
        <v/>
      </c>
      <c r="G1767" s="23"/>
      <c r="H1767" s="66"/>
      <c r="I1767" s="14"/>
      <c r="J1767" s="14"/>
      <c r="K1767" s="14"/>
      <c r="L1767" s="5" t="str">
        <f t="shared" si="168"/>
        <v/>
      </c>
      <c r="M1767" s="5" t="str">
        <f t="shared" si="169"/>
        <v/>
      </c>
      <c r="N1767" s="5" t="str">
        <f t="shared" si="170"/>
        <v/>
      </c>
      <c r="O1767" s="4"/>
    </row>
    <row r="1768" spans="1:15" x14ac:dyDescent="0.25">
      <c r="A1768" s="14"/>
      <c r="B1768" s="14"/>
      <c r="C1768" s="14"/>
      <c r="D1768" s="5" t="str">
        <f t="shared" si="171"/>
        <v/>
      </c>
      <c r="E1768" s="5" t="str">
        <f t="shared" si="172"/>
        <v/>
      </c>
      <c r="F1768" s="5" t="str">
        <f t="shared" si="173"/>
        <v/>
      </c>
      <c r="G1768" s="23"/>
      <c r="H1768" s="66"/>
      <c r="I1768" s="14"/>
      <c r="J1768" s="14"/>
      <c r="K1768" s="14"/>
      <c r="L1768" s="5" t="str">
        <f t="shared" si="168"/>
        <v/>
      </c>
      <c r="M1768" s="5" t="str">
        <f t="shared" si="169"/>
        <v/>
      </c>
      <c r="N1768" s="5" t="str">
        <f t="shared" si="170"/>
        <v/>
      </c>
      <c r="O1768" s="4"/>
    </row>
    <row r="1769" spans="1:15" x14ac:dyDescent="0.25">
      <c r="A1769" s="14"/>
      <c r="B1769" s="14"/>
      <c r="C1769" s="14"/>
      <c r="D1769" s="5" t="str">
        <f t="shared" si="171"/>
        <v/>
      </c>
      <c r="E1769" s="5" t="str">
        <f t="shared" si="172"/>
        <v/>
      </c>
      <c r="F1769" s="5" t="str">
        <f t="shared" si="173"/>
        <v/>
      </c>
      <c r="G1769" s="23"/>
      <c r="H1769" s="66"/>
      <c r="I1769" s="14"/>
      <c r="J1769" s="14"/>
      <c r="K1769" s="14"/>
      <c r="L1769" s="5" t="str">
        <f t="shared" si="168"/>
        <v/>
      </c>
      <c r="M1769" s="5" t="str">
        <f t="shared" si="169"/>
        <v/>
      </c>
      <c r="N1769" s="5" t="str">
        <f t="shared" si="170"/>
        <v/>
      </c>
      <c r="O1769" s="4"/>
    </row>
    <row r="1770" spans="1:15" x14ac:dyDescent="0.25">
      <c r="A1770" s="14"/>
      <c r="B1770" s="14"/>
      <c r="C1770" s="14"/>
      <c r="D1770" s="5" t="str">
        <f t="shared" si="171"/>
        <v/>
      </c>
      <c r="E1770" s="5" t="str">
        <f t="shared" si="172"/>
        <v/>
      </c>
      <c r="F1770" s="5" t="str">
        <f t="shared" si="173"/>
        <v/>
      </c>
      <c r="G1770" s="23"/>
      <c r="H1770" s="66"/>
      <c r="I1770" s="14"/>
      <c r="J1770" s="14"/>
      <c r="K1770" s="14"/>
      <c r="L1770" s="5" t="str">
        <f t="shared" si="168"/>
        <v/>
      </c>
      <c r="M1770" s="5" t="str">
        <f t="shared" si="169"/>
        <v/>
      </c>
      <c r="N1770" s="5" t="str">
        <f t="shared" si="170"/>
        <v/>
      </c>
      <c r="O1770" s="4"/>
    </row>
    <row r="1771" spans="1:15" x14ac:dyDescent="0.25">
      <c r="A1771" s="14"/>
      <c r="B1771" s="14"/>
      <c r="C1771" s="14"/>
      <c r="D1771" s="5" t="str">
        <f t="shared" si="171"/>
        <v/>
      </c>
      <c r="E1771" s="5" t="str">
        <f t="shared" si="172"/>
        <v/>
      </c>
      <c r="F1771" s="5" t="str">
        <f t="shared" si="173"/>
        <v/>
      </c>
      <c r="G1771" s="23"/>
      <c r="H1771" s="66"/>
      <c r="I1771" s="14"/>
      <c r="J1771" s="14"/>
      <c r="K1771" s="14"/>
      <c r="L1771" s="5" t="str">
        <f t="shared" si="168"/>
        <v/>
      </c>
      <c r="M1771" s="5" t="str">
        <f t="shared" si="169"/>
        <v/>
      </c>
      <c r="N1771" s="5" t="str">
        <f t="shared" si="170"/>
        <v/>
      </c>
      <c r="O1771" s="4"/>
    </row>
    <row r="1772" spans="1:15" x14ac:dyDescent="0.25">
      <c r="A1772" s="14"/>
      <c r="B1772" s="14"/>
      <c r="C1772" s="14"/>
      <c r="D1772" s="5" t="str">
        <f t="shared" si="171"/>
        <v/>
      </c>
      <c r="E1772" s="5" t="str">
        <f t="shared" si="172"/>
        <v/>
      </c>
      <c r="F1772" s="5" t="str">
        <f t="shared" si="173"/>
        <v/>
      </c>
      <c r="G1772" s="23"/>
      <c r="H1772" s="66"/>
      <c r="I1772" s="14"/>
      <c r="J1772" s="14"/>
      <c r="K1772" s="14"/>
      <c r="L1772" s="5" t="str">
        <f t="shared" si="168"/>
        <v/>
      </c>
      <c r="M1772" s="5" t="str">
        <f t="shared" si="169"/>
        <v/>
      </c>
      <c r="N1772" s="5" t="str">
        <f t="shared" si="170"/>
        <v/>
      </c>
      <c r="O1772" s="4"/>
    </row>
    <row r="1773" spans="1:15" x14ac:dyDescent="0.25">
      <c r="A1773" s="14"/>
      <c r="B1773" s="14"/>
      <c r="C1773" s="14"/>
      <c r="D1773" s="5" t="str">
        <f t="shared" si="171"/>
        <v/>
      </c>
      <c r="E1773" s="5" t="str">
        <f t="shared" si="172"/>
        <v/>
      </c>
      <c r="F1773" s="5" t="str">
        <f t="shared" si="173"/>
        <v/>
      </c>
      <c r="G1773" s="23"/>
      <c r="H1773" s="66"/>
      <c r="I1773" s="14"/>
      <c r="J1773" s="14"/>
      <c r="K1773" s="14"/>
      <c r="L1773" s="5" t="str">
        <f t="shared" si="168"/>
        <v/>
      </c>
      <c r="M1773" s="5" t="str">
        <f t="shared" si="169"/>
        <v/>
      </c>
      <c r="N1773" s="5" t="str">
        <f t="shared" si="170"/>
        <v/>
      </c>
      <c r="O1773" s="4"/>
    </row>
    <row r="1774" spans="1:15" x14ac:dyDescent="0.25">
      <c r="A1774" s="14"/>
      <c r="B1774" s="14"/>
      <c r="C1774" s="14"/>
      <c r="D1774" s="5" t="str">
        <f t="shared" si="171"/>
        <v/>
      </c>
      <c r="E1774" s="5" t="str">
        <f t="shared" si="172"/>
        <v/>
      </c>
      <c r="F1774" s="5" t="str">
        <f t="shared" si="173"/>
        <v/>
      </c>
      <c r="G1774" s="23"/>
      <c r="H1774" s="66"/>
      <c r="I1774" s="14"/>
      <c r="J1774" s="14"/>
      <c r="K1774" s="14"/>
      <c r="L1774" s="5" t="str">
        <f t="shared" si="168"/>
        <v/>
      </c>
      <c r="M1774" s="5" t="str">
        <f t="shared" si="169"/>
        <v/>
      </c>
      <c r="N1774" s="5" t="str">
        <f t="shared" si="170"/>
        <v/>
      </c>
      <c r="O1774" s="4"/>
    </row>
    <row r="1775" spans="1:15" x14ac:dyDescent="0.25">
      <c r="A1775" s="14"/>
      <c r="B1775" s="14"/>
      <c r="C1775" s="14"/>
      <c r="D1775" s="5" t="str">
        <f t="shared" si="171"/>
        <v/>
      </c>
      <c r="E1775" s="5" t="str">
        <f t="shared" si="172"/>
        <v/>
      </c>
      <c r="F1775" s="5" t="str">
        <f t="shared" si="173"/>
        <v/>
      </c>
      <c r="G1775" s="23"/>
      <c r="H1775" s="66"/>
      <c r="I1775" s="14"/>
      <c r="J1775" s="14"/>
      <c r="K1775" s="14"/>
      <c r="L1775" s="5" t="str">
        <f t="shared" si="168"/>
        <v/>
      </c>
      <c r="M1775" s="5" t="str">
        <f t="shared" si="169"/>
        <v/>
      </c>
      <c r="N1775" s="5" t="str">
        <f t="shared" si="170"/>
        <v/>
      </c>
      <c r="O1775" s="4"/>
    </row>
    <row r="1776" spans="1:15" x14ac:dyDescent="0.25">
      <c r="A1776" s="14"/>
      <c r="B1776" s="14"/>
      <c r="C1776" s="14"/>
      <c r="D1776" s="5" t="str">
        <f t="shared" si="171"/>
        <v/>
      </c>
      <c r="E1776" s="5" t="str">
        <f t="shared" si="172"/>
        <v/>
      </c>
      <c r="F1776" s="5" t="str">
        <f t="shared" si="173"/>
        <v/>
      </c>
      <c r="G1776" s="23"/>
      <c r="H1776" s="66"/>
      <c r="I1776" s="14"/>
      <c r="J1776" s="14"/>
      <c r="K1776" s="14"/>
      <c r="L1776" s="5" t="str">
        <f t="shared" si="168"/>
        <v/>
      </c>
      <c r="M1776" s="5" t="str">
        <f t="shared" si="169"/>
        <v/>
      </c>
      <c r="N1776" s="5" t="str">
        <f t="shared" si="170"/>
        <v/>
      </c>
      <c r="O1776" s="4"/>
    </row>
    <row r="1777" spans="1:15" x14ac:dyDescent="0.25">
      <c r="A1777" s="14"/>
      <c r="B1777" s="14"/>
      <c r="C1777" s="14"/>
      <c r="D1777" s="5" t="str">
        <f t="shared" si="171"/>
        <v/>
      </c>
      <c r="E1777" s="5" t="str">
        <f t="shared" si="172"/>
        <v/>
      </c>
      <c r="F1777" s="5" t="str">
        <f t="shared" si="173"/>
        <v/>
      </c>
      <c r="G1777" s="23"/>
      <c r="H1777" s="66"/>
      <c r="I1777" s="14"/>
      <c r="J1777" s="14"/>
      <c r="K1777" s="14"/>
      <c r="L1777" s="5" t="str">
        <f t="shared" si="168"/>
        <v/>
      </c>
      <c r="M1777" s="5" t="str">
        <f t="shared" si="169"/>
        <v/>
      </c>
      <c r="N1777" s="5" t="str">
        <f t="shared" si="170"/>
        <v/>
      </c>
      <c r="O1777" s="4"/>
    </row>
    <row r="1778" spans="1:15" x14ac:dyDescent="0.25">
      <c r="A1778" s="14"/>
      <c r="B1778" s="14"/>
      <c r="C1778" s="14"/>
      <c r="D1778" s="5" t="str">
        <f t="shared" si="171"/>
        <v/>
      </c>
      <c r="E1778" s="5" t="str">
        <f t="shared" si="172"/>
        <v/>
      </c>
      <c r="F1778" s="5" t="str">
        <f t="shared" si="173"/>
        <v/>
      </c>
      <c r="G1778" s="23"/>
      <c r="H1778" s="66"/>
      <c r="I1778" s="14"/>
      <c r="J1778" s="14"/>
      <c r="K1778" s="14"/>
      <c r="L1778" s="5" t="str">
        <f t="shared" si="168"/>
        <v/>
      </c>
      <c r="M1778" s="5" t="str">
        <f t="shared" si="169"/>
        <v/>
      </c>
      <c r="N1778" s="5" t="str">
        <f t="shared" si="170"/>
        <v/>
      </c>
      <c r="O1778" s="4"/>
    </row>
    <row r="1779" spans="1:15" x14ac:dyDescent="0.25">
      <c r="A1779" s="14"/>
      <c r="B1779" s="14"/>
      <c r="C1779" s="14"/>
      <c r="D1779" s="5" t="str">
        <f t="shared" si="171"/>
        <v/>
      </c>
      <c r="E1779" s="5" t="str">
        <f t="shared" si="172"/>
        <v/>
      </c>
      <c r="F1779" s="5" t="str">
        <f t="shared" si="173"/>
        <v/>
      </c>
      <c r="G1779" s="23"/>
      <c r="H1779" s="66"/>
      <c r="I1779" s="14"/>
      <c r="J1779" s="14"/>
      <c r="K1779" s="14"/>
      <c r="L1779" s="5" t="str">
        <f t="shared" si="168"/>
        <v/>
      </c>
      <c r="M1779" s="5" t="str">
        <f t="shared" si="169"/>
        <v/>
      </c>
      <c r="N1779" s="5" t="str">
        <f t="shared" si="170"/>
        <v/>
      </c>
      <c r="O1779" s="4"/>
    </row>
    <row r="1780" spans="1:15" x14ac:dyDescent="0.25">
      <c r="A1780" s="14"/>
      <c r="B1780" s="14"/>
      <c r="C1780" s="14"/>
      <c r="D1780" s="5" t="str">
        <f t="shared" si="171"/>
        <v/>
      </c>
      <c r="E1780" s="5" t="str">
        <f t="shared" si="172"/>
        <v/>
      </c>
      <c r="F1780" s="5" t="str">
        <f t="shared" si="173"/>
        <v/>
      </c>
      <c r="G1780" s="23"/>
      <c r="H1780" s="66"/>
      <c r="I1780" s="14"/>
      <c r="J1780" s="14"/>
      <c r="K1780" s="14"/>
      <c r="L1780" s="5" t="str">
        <f t="shared" si="168"/>
        <v/>
      </c>
      <c r="M1780" s="5" t="str">
        <f t="shared" si="169"/>
        <v/>
      </c>
      <c r="N1780" s="5" t="str">
        <f t="shared" si="170"/>
        <v/>
      </c>
      <c r="O1780" s="4"/>
    </row>
    <row r="1781" spans="1:15" x14ac:dyDescent="0.25">
      <c r="A1781" s="14"/>
      <c r="B1781" s="14"/>
      <c r="C1781" s="14"/>
      <c r="D1781" s="5" t="str">
        <f t="shared" si="171"/>
        <v/>
      </c>
      <c r="E1781" s="5" t="str">
        <f t="shared" si="172"/>
        <v/>
      </c>
      <c r="F1781" s="5" t="str">
        <f t="shared" si="173"/>
        <v/>
      </c>
      <c r="G1781" s="23"/>
      <c r="H1781" s="66"/>
      <c r="I1781" s="14"/>
      <c r="J1781" s="14"/>
      <c r="K1781" s="14"/>
      <c r="L1781" s="5" t="str">
        <f t="shared" si="168"/>
        <v/>
      </c>
      <c r="M1781" s="5" t="str">
        <f t="shared" si="169"/>
        <v/>
      </c>
      <c r="N1781" s="5" t="str">
        <f t="shared" si="170"/>
        <v/>
      </c>
      <c r="O1781" s="4"/>
    </row>
    <row r="1782" spans="1:15" x14ac:dyDescent="0.25">
      <c r="A1782" s="14"/>
      <c r="B1782" s="14"/>
      <c r="C1782" s="14"/>
      <c r="D1782" s="5" t="str">
        <f t="shared" si="171"/>
        <v/>
      </c>
      <c r="E1782" s="5" t="str">
        <f t="shared" si="172"/>
        <v/>
      </c>
      <c r="F1782" s="5" t="str">
        <f t="shared" si="173"/>
        <v/>
      </c>
      <c r="G1782" s="23"/>
      <c r="H1782" s="66"/>
      <c r="I1782" s="14"/>
      <c r="J1782" s="14"/>
      <c r="K1782" s="14"/>
      <c r="L1782" s="5" t="str">
        <f t="shared" si="168"/>
        <v/>
      </c>
      <c r="M1782" s="5" t="str">
        <f t="shared" si="169"/>
        <v/>
      </c>
      <c r="N1782" s="5" t="str">
        <f t="shared" si="170"/>
        <v/>
      </c>
      <c r="O1782" s="4"/>
    </row>
    <row r="1783" spans="1:15" x14ac:dyDescent="0.25">
      <c r="A1783" s="14"/>
      <c r="B1783" s="14"/>
      <c r="C1783" s="14"/>
      <c r="D1783" s="5" t="str">
        <f t="shared" si="171"/>
        <v/>
      </c>
      <c r="E1783" s="5" t="str">
        <f t="shared" si="172"/>
        <v/>
      </c>
      <c r="F1783" s="5" t="str">
        <f t="shared" si="173"/>
        <v/>
      </c>
      <c r="G1783" s="23"/>
      <c r="H1783" s="66"/>
      <c r="I1783" s="14"/>
      <c r="J1783" s="14"/>
      <c r="K1783" s="14"/>
      <c r="L1783" s="5" t="str">
        <f t="shared" si="168"/>
        <v/>
      </c>
      <c r="M1783" s="5" t="str">
        <f t="shared" si="169"/>
        <v/>
      </c>
      <c r="N1783" s="5" t="str">
        <f t="shared" si="170"/>
        <v/>
      </c>
      <c r="O1783" s="4"/>
    </row>
    <row r="1784" spans="1:15" x14ac:dyDescent="0.25">
      <c r="A1784" s="14"/>
      <c r="B1784" s="14"/>
      <c r="C1784" s="14"/>
      <c r="D1784" s="5" t="str">
        <f t="shared" si="171"/>
        <v/>
      </c>
      <c r="E1784" s="5" t="str">
        <f t="shared" si="172"/>
        <v/>
      </c>
      <c r="F1784" s="5" t="str">
        <f t="shared" si="173"/>
        <v/>
      </c>
      <c r="G1784" s="23"/>
      <c r="H1784" s="66"/>
      <c r="I1784" s="14"/>
      <c r="J1784" s="14"/>
      <c r="K1784" s="14"/>
      <c r="L1784" s="5" t="str">
        <f t="shared" si="168"/>
        <v/>
      </c>
      <c r="M1784" s="5" t="str">
        <f t="shared" si="169"/>
        <v/>
      </c>
      <c r="N1784" s="5" t="str">
        <f t="shared" si="170"/>
        <v/>
      </c>
      <c r="O1784" s="4"/>
    </row>
    <row r="1785" spans="1:15" x14ac:dyDescent="0.25">
      <c r="A1785" s="14"/>
      <c r="B1785" s="14"/>
      <c r="C1785" s="14"/>
      <c r="D1785" s="5" t="str">
        <f t="shared" si="171"/>
        <v/>
      </c>
      <c r="E1785" s="5" t="str">
        <f t="shared" si="172"/>
        <v/>
      </c>
      <c r="F1785" s="5" t="str">
        <f t="shared" si="173"/>
        <v/>
      </c>
      <c r="G1785" s="23"/>
      <c r="H1785" s="66"/>
      <c r="I1785" s="14"/>
      <c r="J1785" s="14"/>
      <c r="K1785" s="14"/>
      <c r="L1785" s="5" t="str">
        <f t="shared" si="168"/>
        <v/>
      </c>
      <c r="M1785" s="5" t="str">
        <f t="shared" si="169"/>
        <v/>
      </c>
      <c r="N1785" s="5" t="str">
        <f t="shared" si="170"/>
        <v/>
      </c>
      <c r="O1785" s="4"/>
    </row>
    <row r="1786" spans="1:15" x14ac:dyDescent="0.25">
      <c r="A1786" s="14"/>
      <c r="B1786" s="14"/>
      <c r="C1786" s="14"/>
      <c r="D1786" s="5" t="str">
        <f t="shared" si="171"/>
        <v/>
      </c>
      <c r="E1786" s="5" t="str">
        <f t="shared" si="172"/>
        <v/>
      </c>
      <c r="F1786" s="5" t="str">
        <f t="shared" si="173"/>
        <v/>
      </c>
      <c r="G1786" s="23"/>
      <c r="H1786" s="66"/>
      <c r="I1786" s="14"/>
      <c r="J1786" s="14"/>
      <c r="K1786" s="14"/>
      <c r="L1786" s="5" t="str">
        <f t="shared" si="168"/>
        <v/>
      </c>
      <c r="M1786" s="5" t="str">
        <f t="shared" si="169"/>
        <v/>
      </c>
      <c r="N1786" s="5" t="str">
        <f t="shared" si="170"/>
        <v/>
      </c>
      <c r="O1786" s="4"/>
    </row>
    <row r="1787" spans="1:15" x14ac:dyDescent="0.25">
      <c r="A1787" s="14"/>
      <c r="B1787" s="14"/>
      <c r="C1787" s="14"/>
      <c r="D1787" s="5" t="str">
        <f t="shared" si="171"/>
        <v/>
      </c>
      <c r="E1787" s="5" t="str">
        <f t="shared" si="172"/>
        <v/>
      </c>
      <c r="F1787" s="5" t="str">
        <f t="shared" si="173"/>
        <v/>
      </c>
      <c r="G1787" s="23"/>
      <c r="H1787" s="66"/>
      <c r="I1787" s="14"/>
      <c r="J1787" s="14"/>
      <c r="K1787" s="14"/>
      <c r="L1787" s="5" t="str">
        <f t="shared" si="168"/>
        <v/>
      </c>
      <c r="M1787" s="5" t="str">
        <f t="shared" si="169"/>
        <v/>
      </c>
      <c r="N1787" s="5" t="str">
        <f t="shared" si="170"/>
        <v/>
      </c>
      <c r="O1787" s="4"/>
    </row>
    <row r="1788" spans="1:15" x14ac:dyDescent="0.25">
      <c r="A1788" s="14"/>
      <c r="B1788" s="14"/>
      <c r="C1788" s="14"/>
      <c r="D1788" s="5" t="str">
        <f t="shared" si="171"/>
        <v/>
      </c>
      <c r="E1788" s="5" t="str">
        <f t="shared" si="172"/>
        <v/>
      </c>
      <c r="F1788" s="5" t="str">
        <f t="shared" si="173"/>
        <v/>
      </c>
      <c r="G1788" s="23"/>
      <c r="H1788" s="66"/>
      <c r="I1788" s="14"/>
      <c r="J1788" s="14"/>
      <c r="K1788" s="14"/>
      <c r="L1788" s="5" t="str">
        <f t="shared" si="168"/>
        <v/>
      </c>
      <c r="M1788" s="5" t="str">
        <f t="shared" si="169"/>
        <v/>
      </c>
      <c r="N1788" s="5" t="str">
        <f t="shared" si="170"/>
        <v/>
      </c>
      <c r="O1788" s="4"/>
    </row>
    <row r="1789" spans="1:15" x14ac:dyDescent="0.25">
      <c r="A1789" s="14"/>
      <c r="B1789" s="14"/>
      <c r="C1789" s="14"/>
      <c r="D1789" s="5" t="str">
        <f t="shared" si="171"/>
        <v/>
      </c>
      <c r="E1789" s="5" t="str">
        <f t="shared" si="172"/>
        <v/>
      </c>
      <c r="F1789" s="5" t="str">
        <f t="shared" si="173"/>
        <v/>
      </c>
      <c r="G1789" s="23"/>
      <c r="H1789" s="66"/>
      <c r="I1789" s="14"/>
      <c r="J1789" s="14"/>
      <c r="K1789" s="14"/>
      <c r="L1789" s="5" t="str">
        <f t="shared" si="168"/>
        <v/>
      </c>
      <c r="M1789" s="5" t="str">
        <f t="shared" si="169"/>
        <v/>
      </c>
      <c r="N1789" s="5" t="str">
        <f t="shared" si="170"/>
        <v/>
      </c>
      <c r="O1789" s="4"/>
    </row>
    <row r="1790" spans="1:15" x14ac:dyDescent="0.25">
      <c r="A1790" s="14"/>
      <c r="B1790" s="14"/>
      <c r="C1790" s="14"/>
      <c r="D1790" s="5" t="str">
        <f t="shared" si="171"/>
        <v/>
      </c>
      <c r="E1790" s="5" t="str">
        <f t="shared" si="172"/>
        <v/>
      </c>
      <c r="F1790" s="5" t="str">
        <f t="shared" si="173"/>
        <v/>
      </c>
      <c r="G1790" s="23"/>
      <c r="H1790" s="66"/>
      <c r="I1790" s="14"/>
      <c r="J1790" s="14"/>
      <c r="K1790" s="14"/>
      <c r="L1790" s="5" t="str">
        <f t="shared" si="168"/>
        <v/>
      </c>
      <c r="M1790" s="5" t="str">
        <f t="shared" si="169"/>
        <v/>
      </c>
      <c r="N1790" s="5" t="str">
        <f t="shared" si="170"/>
        <v/>
      </c>
      <c r="O1790" s="4"/>
    </row>
    <row r="1791" spans="1:15" x14ac:dyDescent="0.25">
      <c r="A1791" s="14"/>
      <c r="B1791" s="14"/>
      <c r="C1791" s="14"/>
      <c r="D1791" s="5" t="str">
        <f t="shared" si="171"/>
        <v/>
      </c>
      <c r="E1791" s="5" t="str">
        <f t="shared" si="172"/>
        <v/>
      </c>
      <c r="F1791" s="5" t="str">
        <f t="shared" si="173"/>
        <v/>
      </c>
      <c r="G1791" s="23"/>
      <c r="H1791" s="66"/>
      <c r="I1791" s="14"/>
      <c r="J1791" s="14"/>
      <c r="K1791" s="14"/>
      <c r="L1791" s="5" t="str">
        <f t="shared" si="168"/>
        <v/>
      </c>
      <c r="M1791" s="5" t="str">
        <f t="shared" si="169"/>
        <v/>
      </c>
      <c r="N1791" s="5" t="str">
        <f t="shared" si="170"/>
        <v/>
      </c>
      <c r="O1791" s="4"/>
    </row>
    <row r="1792" spans="1:15" x14ac:dyDescent="0.25">
      <c r="A1792" s="14"/>
      <c r="B1792" s="14"/>
      <c r="C1792" s="14"/>
      <c r="D1792" s="5" t="str">
        <f t="shared" si="171"/>
        <v/>
      </c>
      <c r="E1792" s="5" t="str">
        <f t="shared" si="172"/>
        <v/>
      </c>
      <c r="F1792" s="5" t="str">
        <f t="shared" si="173"/>
        <v/>
      </c>
      <c r="G1792" s="23"/>
      <c r="H1792" s="66"/>
      <c r="I1792" s="14"/>
      <c r="J1792" s="14"/>
      <c r="K1792" s="14"/>
      <c r="L1792" s="5" t="str">
        <f t="shared" si="168"/>
        <v/>
      </c>
      <c r="M1792" s="5" t="str">
        <f t="shared" si="169"/>
        <v/>
      </c>
      <c r="N1792" s="5" t="str">
        <f t="shared" si="170"/>
        <v/>
      </c>
      <c r="O1792" s="4"/>
    </row>
    <row r="1793" spans="1:15" x14ac:dyDescent="0.25">
      <c r="A1793" s="14"/>
      <c r="B1793" s="14"/>
      <c r="C1793" s="14"/>
      <c r="D1793" s="5" t="str">
        <f t="shared" si="171"/>
        <v/>
      </c>
      <c r="E1793" s="5" t="str">
        <f t="shared" si="172"/>
        <v/>
      </c>
      <c r="F1793" s="5" t="str">
        <f t="shared" si="173"/>
        <v/>
      </c>
      <c r="G1793" s="23"/>
      <c r="H1793" s="66"/>
      <c r="I1793" s="14"/>
      <c r="J1793" s="14"/>
      <c r="K1793" s="14"/>
      <c r="L1793" s="5" t="str">
        <f t="shared" si="168"/>
        <v/>
      </c>
      <c r="M1793" s="5" t="str">
        <f t="shared" si="169"/>
        <v/>
      </c>
      <c r="N1793" s="5" t="str">
        <f t="shared" si="170"/>
        <v/>
      </c>
      <c r="O1793" s="4"/>
    </row>
    <row r="1794" spans="1:15" x14ac:dyDescent="0.25">
      <c r="A1794" s="14"/>
      <c r="B1794" s="14"/>
      <c r="C1794" s="14"/>
      <c r="D1794" s="5" t="str">
        <f t="shared" si="171"/>
        <v/>
      </c>
      <c r="E1794" s="5" t="str">
        <f t="shared" si="172"/>
        <v/>
      </c>
      <c r="F1794" s="5" t="str">
        <f t="shared" si="173"/>
        <v/>
      </c>
      <c r="G1794" s="23"/>
      <c r="H1794" s="66"/>
      <c r="I1794" s="14"/>
      <c r="J1794" s="14"/>
      <c r="K1794" s="14"/>
      <c r="L1794" s="5" t="str">
        <f t="shared" si="168"/>
        <v/>
      </c>
      <c r="M1794" s="5" t="str">
        <f t="shared" si="169"/>
        <v/>
      </c>
      <c r="N1794" s="5" t="str">
        <f t="shared" si="170"/>
        <v/>
      </c>
      <c r="O1794" s="4"/>
    </row>
    <row r="1795" spans="1:15" x14ac:dyDescent="0.25">
      <c r="A1795" s="14"/>
      <c r="B1795" s="14"/>
      <c r="C1795" s="14"/>
      <c r="D1795" s="5" t="str">
        <f t="shared" si="171"/>
        <v/>
      </c>
      <c r="E1795" s="5" t="str">
        <f t="shared" si="172"/>
        <v/>
      </c>
      <c r="F1795" s="5" t="str">
        <f t="shared" si="173"/>
        <v/>
      </c>
      <c r="G1795" s="23"/>
      <c r="H1795" s="66"/>
      <c r="I1795" s="14"/>
      <c r="J1795" s="14"/>
      <c r="K1795" s="14"/>
      <c r="L1795" s="5" t="str">
        <f t="shared" si="168"/>
        <v/>
      </c>
      <c r="M1795" s="5" t="str">
        <f t="shared" si="169"/>
        <v/>
      </c>
      <c r="N1795" s="5" t="str">
        <f t="shared" si="170"/>
        <v/>
      </c>
      <c r="O1795" s="4"/>
    </row>
    <row r="1796" spans="1:15" x14ac:dyDescent="0.25">
      <c r="A1796" s="14"/>
      <c r="B1796" s="14"/>
      <c r="C1796" s="14"/>
      <c r="D1796" s="5" t="str">
        <f t="shared" si="171"/>
        <v/>
      </c>
      <c r="E1796" s="5" t="str">
        <f t="shared" si="172"/>
        <v/>
      </c>
      <c r="F1796" s="5" t="str">
        <f t="shared" si="173"/>
        <v/>
      </c>
      <c r="G1796" s="23"/>
      <c r="H1796" s="66"/>
      <c r="I1796" s="14"/>
      <c r="J1796" s="14"/>
      <c r="K1796" s="14"/>
      <c r="L1796" s="5" t="str">
        <f t="shared" si="168"/>
        <v/>
      </c>
      <c r="M1796" s="5" t="str">
        <f t="shared" si="169"/>
        <v/>
      </c>
      <c r="N1796" s="5" t="str">
        <f t="shared" si="170"/>
        <v/>
      </c>
      <c r="O1796" s="4"/>
    </row>
    <row r="1797" spans="1:15" x14ac:dyDescent="0.25">
      <c r="A1797" s="14"/>
      <c r="B1797" s="14"/>
      <c r="C1797" s="14"/>
      <c r="D1797" s="5" t="str">
        <f t="shared" si="171"/>
        <v/>
      </c>
      <c r="E1797" s="5" t="str">
        <f t="shared" si="172"/>
        <v/>
      </c>
      <c r="F1797" s="5" t="str">
        <f t="shared" si="173"/>
        <v/>
      </c>
      <c r="G1797" s="23"/>
      <c r="H1797" s="66"/>
      <c r="I1797" s="14"/>
      <c r="J1797" s="14"/>
      <c r="K1797" s="14"/>
      <c r="L1797" s="5" t="str">
        <f t="shared" si="168"/>
        <v/>
      </c>
      <c r="M1797" s="5" t="str">
        <f t="shared" si="169"/>
        <v/>
      </c>
      <c r="N1797" s="5" t="str">
        <f t="shared" si="170"/>
        <v/>
      </c>
      <c r="O1797" s="4"/>
    </row>
    <row r="1798" spans="1:15" x14ac:dyDescent="0.25">
      <c r="A1798" s="14"/>
      <c r="B1798" s="14"/>
      <c r="C1798" s="14"/>
      <c r="D1798" s="5" t="str">
        <f t="shared" si="171"/>
        <v/>
      </c>
      <c r="E1798" s="5" t="str">
        <f t="shared" si="172"/>
        <v/>
      </c>
      <c r="F1798" s="5" t="str">
        <f t="shared" si="173"/>
        <v/>
      </c>
      <c r="G1798" s="23"/>
      <c r="H1798" s="66"/>
      <c r="I1798" s="14"/>
      <c r="J1798" s="14"/>
      <c r="K1798" s="14"/>
      <c r="L1798" s="5" t="str">
        <f t="shared" si="168"/>
        <v/>
      </c>
      <c r="M1798" s="5" t="str">
        <f t="shared" si="169"/>
        <v/>
      </c>
      <c r="N1798" s="5" t="str">
        <f t="shared" si="170"/>
        <v/>
      </c>
      <c r="O1798" s="4"/>
    </row>
    <row r="1799" spans="1:15" x14ac:dyDescent="0.25">
      <c r="A1799" s="14"/>
      <c r="B1799" s="14"/>
      <c r="C1799" s="14"/>
      <c r="D1799" s="5" t="str">
        <f t="shared" si="171"/>
        <v/>
      </c>
      <c r="E1799" s="5" t="str">
        <f t="shared" si="172"/>
        <v/>
      </c>
      <c r="F1799" s="5" t="str">
        <f t="shared" si="173"/>
        <v/>
      </c>
      <c r="G1799" s="23"/>
      <c r="H1799" s="66"/>
      <c r="I1799" s="14"/>
      <c r="J1799" s="14"/>
      <c r="K1799" s="14"/>
      <c r="L1799" s="5" t="str">
        <f t="shared" si="168"/>
        <v/>
      </c>
      <c r="M1799" s="5" t="str">
        <f t="shared" si="169"/>
        <v/>
      </c>
      <c r="N1799" s="5" t="str">
        <f t="shared" si="170"/>
        <v/>
      </c>
      <c r="O1799" s="4"/>
    </row>
    <row r="1800" spans="1:15" x14ac:dyDescent="0.25">
      <c r="A1800" s="14"/>
      <c r="B1800" s="14"/>
      <c r="C1800" s="14"/>
      <c r="D1800" s="5" t="str">
        <f t="shared" si="171"/>
        <v/>
      </c>
      <c r="E1800" s="5" t="str">
        <f t="shared" si="172"/>
        <v/>
      </c>
      <c r="F1800" s="5" t="str">
        <f t="shared" si="173"/>
        <v/>
      </c>
      <c r="G1800" s="23"/>
      <c r="H1800" s="66"/>
      <c r="I1800" s="14"/>
      <c r="J1800" s="14"/>
      <c r="K1800" s="14"/>
      <c r="L1800" s="5" t="str">
        <f t="shared" si="168"/>
        <v/>
      </c>
      <c r="M1800" s="5" t="str">
        <f t="shared" si="169"/>
        <v/>
      </c>
      <c r="N1800" s="5" t="str">
        <f t="shared" si="170"/>
        <v/>
      </c>
      <c r="O1800" s="4"/>
    </row>
    <row r="1801" spans="1:15" x14ac:dyDescent="0.25">
      <c r="A1801" s="14"/>
      <c r="B1801" s="14"/>
      <c r="C1801" s="14"/>
      <c r="D1801" s="5" t="str">
        <f t="shared" si="171"/>
        <v/>
      </c>
      <c r="E1801" s="5" t="str">
        <f t="shared" si="172"/>
        <v/>
      </c>
      <c r="F1801" s="5" t="str">
        <f t="shared" si="173"/>
        <v/>
      </c>
      <c r="G1801" s="23"/>
      <c r="H1801" s="66"/>
      <c r="I1801" s="14"/>
      <c r="J1801" s="14"/>
      <c r="K1801" s="14"/>
      <c r="L1801" s="5" t="str">
        <f t="shared" si="168"/>
        <v/>
      </c>
      <c r="M1801" s="5" t="str">
        <f t="shared" si="169"/>
        <v/>
      </c>
      <c r="N1801" s="5" t="str">
        <f t="shared" si="170"/>
        <v/>
      </c>
      <c r="O1801" s="4"/>
    </row>
    <row r="1802" spans="1:15" x14ac:dyDescent="0.25">
      <c r="A1802" s="14"/>
      <c r="B1802" s="14"/>
      <c r="C1802" s="14"/>
      <c r="D1802" s="5" t="str">
        <f t="shared" si="171"/>
        <v/>
      </c>
      <c r="E1802" s="5" t="str">
        <f t="shared" si="172"/>
        <v/>
      </c>
      <c r="F1802" s="5" t="str">
        <f t="shared" si="173"/>
        <v/>
      </c>
      <c r="G1802" s="23"/>
      <c r="H1802" s="66"/>
      <c r="I1802" s="14"/>
      <c r="J1802" s="14"/>
      <c r="K1802" s="14"/>
      <c r="L1802" s="5" t="str">
        <f t="shared" ref="L1802:L1865" si="174">IFERROR(IF(I1802&lt;&gt;"",(((J1802-J1801)*$X$4/(I1802-I1801)))*$X$5,""),"")</f>
        <v/>
      </c>
      <c r="M1802" s="5" t="str">
        <f t="shared" ref="M1802:M1865" si="175">IFERROR(IF(I1802&lt;&gt;"",(((K1802-K1801)*$X$4/(I1802-I1801)))*$X$5,""),"")</f>
        <v/>
      </c>
      <c r="N1802" s="5" t="str">
        <f t="shared" ref="N1802:N1865" si="176">IFERROR(IF(I1802&lt;&gt;"",((ACOS((COS(RADIANS(J1801))*COS(RADIANS(J1802)))+(SIN(RADIANS(J1801))*SIN(RADIANS(J1802)))*COS(RADIANS(K1802-K1801)))*180/PI()*($X$4/(I1802-I1801))))*$X$5,""),"")</f>
        <v/>
      </c>
      <c r="O1802" s="4"/>
    </row>
    <row r="1803" spans="1:15" x14ac:dyDescent="0.25">
      <c r="A1803" s="14"/>
      <c r="B1803" s="14"/>
      <c r="C1803" s="14"/>
      <c r="D1803" s="5" t="str">
        <f t="shared" si="171"/>
        <v/>
      </c>
      <c r="E1803" s="5" t="str">
        <f t="shared" si="172"/>
        <v/>
      </c>
      <c r="F1803" s="5" t="str">
        <f t="shared" si="173"/>
        <v/>
      </c>
      <c r="G1803" s="23"/>
      <c r="H1803" s="66"/>
      <c r="I1803" s="14"/>
      <c r="J1803" s="14"/>
      <c r="K1803" s="14"/>
      <c r="L1803" s="5" t="str">
        <f t="shared" si="174"/>
        <v/>
      </c>
      <c r="M1803" s="5" t="str">
        <f t="shared" si="175"/>
        <v/>
      </c>
      <c r="N1803" s="5" t="str">
        <f t="shared" si="176"/>
        <v/>
      </c>
      <c r="O1803" s="4"/>
    </row>
    <row r="1804" spans="1:15" x14ac:dyDescent="0.25">
      <c r="A1804" s="14"/>
      <c r="B1804" s="14"/>
      <c r="C1804" s="14"/>
      <c r="D1804" s="5" t="str">
        <f t="shared" si="171"/>
        <v/>
      </c>
      <c r="E1804" s="5" t="str">
        <f t="shared" si="172"/>
        <v/>
      </c>
      <c r="F1804" s="5" t="str">
        <f t="shared" si="173"/>
        <v/>
      </c>
      <c r="G1804" s="23"/>
      <c r="H1804" s="66"/>
      <c r="I1804" s="14"/>
      <c r="J1804" s="14"/>
      <c r="K1804" s="14"/>
      <c r="L1804" s="5" t="str">
        <f t="shared" si="174"/>
        <v/>
      </c>
      <c r="M1804" s="5" t="str">
        <f t="shared" si="175"/>
        <v/>
      </c>
      <c r="N1804" s="5" t="str">
        <f t="shared" si="176"/>
        <v/>
      </c>
      <c r="O1804" s="4"/>
    </row>
    <row r="1805" spans="1:15" x14ac:dyDescent="0.25">
      <c r="A1805" s="14"/>
      <c r="B1805" s="14"/>
      <c r="C1805" s="14"/>
      <c r="D1805" s="5" t="str">
        <f t="shared" si="171"/>
        <v/>
      </c>
      <c r="E1805" s="5" t="str">
        <f t="shared" si="172"/>
        <v/>
      </c>
      <c r="F1805" s="5" t="str">
        <f t="shared" si="173"/>
        <v/>
      </c>
      <c r="G1805" s="23"/>
      <c r="H1805" s="66"/>
      <c r="I1805" s="14"/>
      <c r="J1805" s="14"/>
      <c r="K1805" s="14"/>
      <c r="L1805" s="5" t="str">
        <f t="shared" si="174"/>
        <v/>
      </c>
      <c r="M1805" s="5" t="str">
        <f t="shared" si="175"/>
        <v/>
      </c>
      <c r="N1805" s="5" t="str">
        <f t="shared" si="176"/>
        <v/>
      </c>
      <c r="O1805" s="4"/>
    </row>
    <row r="1806" spans="1:15" x14ac:dyDescent="0.25">
      <c r="A1806" s="14"/>
      <c r="B1806" s="14"/>
      <c r="C1806" s="14"/>
      <c r="D1806" s="5" t="str">
        <f t="shared" si="171"/>
        <v/>
      </c>
      <c r="E1806" s="5" t="str">
        <f t="shared" si="172"/>
        <v/>
      </c>
      <c r="F1806" s="5" t="str">
        <f t="shared" si="173"/>
        <v/>
      </c>
      <c r="G1806" s="23"/>
      <c r="H1806" s="66"/>
      <c r="I1806" s="14"/>
      <c r="J1806" s="14"/>
      <c r="K1806" s="14"/>
      <c r="L1806" s="5" t="str">
        <f t="shared" si="174"/>
        <v/>
      </c>
      <c r="M1806" s="5" t="str">
        <f t="shared" si="175"/>
        <v/>
      </c>
      <c r="N1806" s="5" t="str">
        <f t="shared" si="176"/>
        <v/>
      </c>
      <c r="O1806" s="4"/>
    </row>
    <row r="1807" spans="1:15" x14ac:dyDescent="0.25">
      <c r="A1807" s="14"/>
      <c r="B1807" s="14"/>
      <c r="C1807" s="14"/>
      <c r="D1807" s="5" t="str">
        <f t="shared" si="171"/>
        <v/>
      </c>
      <c r="E1807" s="5" t="str">
        <f t="shared" si="172"/>
        <v/>
      </c>
      <c r="F1807" s="5" t="str">
        <f t="shared" si="173"/>
        <v/>
      </c>
      <c r="G1807" s="23"/>
      <c r="H1807" s="66"/>
      <c r="I1807" s="14"/>
      <c r="J1807" s="14"/>
      <c r="K1807" s="14"/>
      <c r="L1807" s="5" t="str">
        <f t="shared" si="174"/>
        <v/>
      </c>
      <c r="M1807" s="5" t="str">
        <f t="shared" si="175"/>
        <v/>
      </c>
      <c r="N1807" s="5" t="str">
        <f t="shared" si="176"/>
        <v/>
      </c>
      <c r="O1807" s="4"/>
    </row>
    <row r="1808" spans="1:15" x14ac:dyDescent="0.25">
      <c r="A1808" s="14"/>
      <c r="B1808" s="14"/>
      <c r="C1808" s="14"/>
      <c r="D1808" s="5" t="str">
        <f t="shared" si="171"/>
        <v/>
      </c>
      <c r="E1808" s="5" t="str">
        <f t="shared" si="172"/>
        <v/>
      </c>
      <c r="F1808" s="5" t="str">
        <f t="shared" si="173"/>
        <v/>
      </c>
      <c r="G1808" s="23"/>
      <c r="H1808" s="66"/>
      <c r="I1808" s="14"/>
      <c r="J1808" s="14"/>
      <c r="K1808" s="14"/>
      <c r="L1808" s="5" t="str">
        <f t="shared" si="174"/>
        <v/>
      </c>
      <c r="M1808" s="5" t="str">
        <f t="shared" si="175"/>
        <v/>
      </c>
      <c r="N1808" s="5" t="str">
        <f t="shared" si="176"/>
        <v/>
      </c>
      <c r="O1808" s="4"/>
    </row>
    <row r="1809" spans="1:15" x14ac:dyDescent="0.25">
      <c r="A1809" s="14"/>
      <c r="B1809" s="14"/>
      <c r="C1809" s="14"/>
      <c r="D1809" s="5" t="str">
        <f t="shared" si="171"/>
        <v/>
      </c>
      <c r="E1809" s="5" t="str">
        <f t="shared" si="172"/>
        <v/>
      </c>
      <c r="F1809" s="5" t="str">
        <f t="shared" si="173"/>
        <v/>
      </c>
      <c r="G1809" s="23"/>
      <c r="H1809" s="66"/>
      <c r="I1809" s="14"/>
      <c r="J1809" s="14"/>
      <c r="K1809" s="14"/>
      <c r="L1809" s="5" t="str">
        <f t="shared" si="174"/>
        <v/>
      </c>
      <c r="M1809" s="5" t="str">
        <f t="shared" si="175"/>
        <v/>
      </c>
      <c r="N1809" s="5" t="str">
        <f t="shared" si="176"/>
        <v/>
      </c>
      <c r="O1809" s="4"/>
    </row>
    <row r="1810" spans="1:15" x14ac:dyDescent="0.25">
      <c r="A1810" s="14"/>
      <c r="B1810" s="14"/>
      <c r="C1810" s="14"/>
      <c r="D1810" s="5" t="str">
        <f t="shared" si="171"/>
        <v/>
      </c>
      <c r="E1810" s="5" t="str">
        <f t="shared" si="172"/>
        <v/>
      </c>
      <c r="F1810" s="5" t="str">
        <f t="shared" si="173"/>
        <v/>
      </c>
      <c r="G1810" s="23"/>
      <c r="H1810" s="66"/>
      <c r="I1810" s="14"/>
      <c r="J1810" s="14"/>
      <c r="K1810" s="14"/>
      <c r="L1810" s="5" t="str">
        <f t="shared" si="174"/>
        <v/>
      </c>
      <c r="M1810" s="5" t="str">
        <f t="shared" si="175"/>
        <v/>
      </c>
      <c r="N1810" s="5" t="str">
        <f t="shared" si="176"/>
        <v/>
      </c>
      <c r="O1810" s="4"/>
    </row>
    <row r="1811" spans="1:15" x14ac:dyDescent="0.25">
      <c r="A1811" s="14"/>
      <c r="B1811" s="14"/>
      <c r="C1811" s="14"/>
      <c r="D1811" s="5" t="str">
        <f t="shared" si="171"/>
        <v/>
      </c>
      <c r="E1811" s="5" t="str">
        <f t="shared" si="172"/>
        <v/>
      </c>
      <c r="F1811" s="5" t="str">
        <f t="shared" si="173"/>
        <v/>
      </c>
      <c r="G1811" s="23"/>
      <c r="H1811" s="66"/>
      <c r="I1811" s="14"/>
      <c r="J1811" s="14"/>
      <c r="K1811" s="14"/>
      <c r="L1811" s="5" t="str">
        <f t="shared" si="174"/>
        <v/>
      </c>
      <c r="M1811" s="5" t="str">
        <f t="shared" si="175"/>
        <v/>
      </c>
      <c r="N1811" s="5" t="str">
        <f t="shared" si="176"/>
        <v/>
      </c>
      <c r="O1811" s="4"/>
    </row>
    <row r="1812" spans="1:15" x14ac:dyDescent="0.25">
      <c r="A1812" s="14"/>
      <c r="B1812" s="14"/>
      <c r="C1812" s="14"/>
      <c r="D1812" s="5" t="str">
        <f t="shared" si="171"/>
        <v/>
      </c>
      <c r="E1812" s="5" t="str">
        <f t="shared" si="172"/>
        <v/>
      </c>
      <c r="F1812" s="5" t="str">
        <f t="shared" si="173"/>
        <v/>
      </c>
      <c r="G1812" s="23"/>
      <c r="H1812" s="66"/>
      <c r="I1812" s="14"/>
      <c r="J1812" s="14"/>
      <c r="K1812" s="14"/>
      <c r="L1812" s="5" t="str">
        <f t="shared" si="174"/>
        <v/>
      </c>
      <c r="M1812" s="5" t="str">
        <f t="shared" si="175"/>
        <v/>
      </c>
      <c r="N1812" s="5" t="str">
        <f t="shared" si="176"/>
        <v/>
      </c>
      <c r="O1812" s="4"/>
    </row>
    <row r="1813" spans="1:15" x14ac:dyDescent="0.25">
      <c r="A1813" s="14"/>
      <c r="B1813" s="14"/>
      <c r="C1813" s="14"/>
      <c r="D1813" s="5" t="str">
        <f t="shared" si="171"/>
        <v/>
      </c>
      <c r="E1813" s="5" t="str">
        <f t="shared" si="172"/>
        <v/>
      </c>
      <c r="F1813" s="5" t="str">
        <f t="shared" si="173"/>
        <v/>
      </c>
      <c r="G1813" s="23"/>
      <c r="H1813" s="66"/>
      <c r="I1813" s="14"/>
      <c r="J1813" s="14"/>
      <c r="K1813" s="14"/>
      <c r="L1813" s="5" t="str">
        <f t="shared" si="174"/>
        <v/>
      </c>
      <c r="M1813" s="5" t="str">
        <f t="shared" si="175"/>
        <v/>
      </c>
      <c r="N1813" s="5" t="str">
        <f t="shared" si="176"/>
        <v/>
      </c>
      <c r="O1813" s="4"/>
    </row>
    <row r="1814" spans="1:15" x14ac:dyDescent="0.25">
      <c r="A1814" s="14"/>
      <c r="B1814" s="14"/>
      <c r="C1814" s="14"/>
      <c r="D1814" s="5" t="str">
        <f t="shared" si="171"/>
        <v/>
      </c>
      <c r="E1814" s="5" t="str">
        <f t="shared" si="172"/>
        <v/>
      </c>
      <c r="F1814" s="5" t="str">
        <f t="shared" si="173"/>
        <v/>
      </c>
      <c r="G1814" s="23"/>
      <c r="H1814" s="66"/>
      <c r="I1814" s="14"/>
      <c r="J1814" s="14"/>
      <c r="K1814" s="14"/>
      <c r="L1814" s="5" t="str">
        <f t="shared" si="174"/>
        <v/>
      </c>
      <c r="M1814" s="5" t="str">
        <f t="shared" si="175"/>
        <v/>
      </c>
      <c r="N1814" s="5" t="str">
        <f t="shared" si="176"/>
        <v/>
      </c>
      <c r="O1814" s="4"/>
    </row>
    <row r="1815" spans="1:15" x14ac:dyDescent="0.25">
      <c r="A1815" s="14"/>
      <c r="B1815" s="14"/>
      <c r="C1815" s="14"/>
      <c r="D1815" s="5" t="str">
        <f t="shared" si="171"/>
        <v/>
      </c>
      <c r="E1815" s="5" t="str">
        <f t="shared" si="172"/>
        <v/>
      </c>
      <c r="F1815" s="5" t="str">
        <f t="shared" si="173"/>
        <v/>
      </c>
      <c r="G1815" s="23"/>
      <c r="H1815" s="66"/>
      <c r="I1815" s="14"/>
      <c r="J1815" s="14"/>
      <c r="K1815" s="14"/>
      <c r="L1815" s="5" t="str">
        <f t="shared" si="174"/>
        <v/>
      </c>
      <c r="M1815" s="5" t="str">
        <f t="shared" si="175"/>
        <v/>
      </c>
      <c r="N1815" s="5" t="str">
        <f t="shared" si="176"/>
        <v/>
      </c>
      <c r="O1815" s="4"/>
    </row>
    <row r="1816" spans="1:15" x14ac:dyDescent="0.25">
      <c r="A1816" s="14"/>
      <c r="B1816" s="14"/>
      <c r="C1816" s="14"/>
      <c r="D1816" s="5" t="str">
        <f t="shared" si="171"/>
        <v/>
      </c>
      <c r="E1816" s="5" t="str">
        <f t="shared" si="172"/>
        <v/>
      </c>
      <c r="F1816" s="5" t="str">
        <f t="shared" si="173"/>
        <v/>
      </c>
      <c r="G1816" s="23"/>
      <c r="H1816" s="66"/>
      <c r="I1816" s="14"/>
      <c r="J1816" s="14"/>
      <c r="K1816" s="14"/>
      <c r="L1816" s="5" t="str">
        <f t="shared" si="174"/>
        <v/>
      </c>
      <c r="M1816" s="5" t="str">
        <f t="shared" si="175"/>
        <v/>
      </c>
      <c r="N1816" s="5" t="str">
        <f t="shared" si="176"/>
        <v/>
      </c>
      <c r="O1816" s="4"/>
    </row>
    <row r="1817" spans="1:15" x14ac:dyDescent="0.25">
      <c r="A1817" s="14"/>
      <c r="B1817" s="14"/>
      <c r="C1817" s="14"/>
      <c r="D1817" s="5" t="str">
        <f t="shared" ref="D1817:D1880" si="177">IFERROR( IF(A1817&lt;&gt;"",((B1817-B1816)*$X$4/(A1817-A1816))*$X$5,""),"")</f>
        <v/>
      </c>
      <c r="E1817" s="5" t="str">
        <f t="shared" ref="E1817:E1880" si="178">IFERROR(IF(A1817&lt;&gt;"",((C1817-C1816)*$X$4/(A1817-A1816))*$X$5,""),"")</f>
        <v/>
      </c>
      <c r="F1817" s="5" t="str">
        <f t="shared" ref="F1817:F1880" si="179">IFERROR(IF(A1817&lt;&gt;"",((ACOS((COS(RADIANS(B1816))*COS(RADIANS(B1817)))+(SIN(RADIANS(B1816))*SIN(RADIANS(B1817)))*COS(RADIANS(C1817-C1816)))*180/PI()*($X$4/(A1817-A1816))))*$X$5,""),"")</f>
        <v/>
      </c>
      <c r="G1817" s="23"/>
      <c r="H1817" s="66"/>
      <c r="I1817" s="14"/>
      <c r="J1817" s="14"/>
      <c r="K1817" s="14"/>
      <c r="L1817" s="5" t="str">
        <f t="shared" si="174"/>
        <v/>
      </c>
      <c r="M1817" s="5" t="str">
        <f t="shared" si="175"/>
        <v/>
      </c>
      <c r="N1817" s="5" t="str">
        <f t="shared" si="176"/>
        <v/>
      </c>
      <c r="O1817" s="4"/>
    </row>
    <row r="1818" spans="1:15" x14ac:dyDescent="0.25">
      <c r="A1818" s="14"/>
      <c r="B1818" s="14"/>
      <c r="C1818" s="14"/>
      <c r="D1818" s="5" t="str">
        <f t="shared" si="177"/>
        <v/>
      </c>
      <c r="E1818" s="5" t="str">
        <f t="shared" si="178"/>
        <v/>
      </c>
      <c r="F1818" s="5" t="str">
        <f t="shared" si="179"/>
        <v/>
      </c>
      <c r="G1818" s="23"/>
      <c r="H1818" s="66"/>
      <c r="I1818" s="14"/>
      <c r="J1818" s="14"/>
      <c r="K1818" s="14"/>
      <c r="L1818" s="5" t="str">
        <f t="shared" si="174"/>
        <v/>
      </c>
      <c r="M1818" s="5" t="str">
        <f t="shared" si="175"/>
        <v/>
      </c>
      <c r="N1818" s="5" t="str">
        <f t="shared" si="176"/>
        <v/>
      </c>
      <c r="O1818" s="4"/>
    </row>
    <row r="1819" spans="1:15" x14ac:dyDescent="0.25">
      <c r="A1819" s="14"/>
      <c r="B1819" s="14"/>
      <c r="C1819" s="14"/>
      <c r="D1819" s="5" t="str">
        <f t="shared" si="177"/>
        <v/>
      </c>
      <c r="E1819" s="5" t="str">
        <f t="shared" si="178"/>
        <v/>
      </c>
      <c r="F1819" s="5" t="str">
        <f t="shared" si="179"/>
        <v/>
      </c>
      <c r="G1819" s="23"/>
      <c r="H1819" s="66"/>
      <c r="I1819" s="14"/>
      <c r="J1819" s="14"/>
      <c r="K1819" s="14"/>
      <c r="L1819" s="5" t="str">
        <f t="shared" si="174"/>
        <v/>
      </c>
      <c r="M1819" s="5" t="str">
        <f t="shared" si="175"/>
        <v/>
      </c>
      <c r="N1819" s="5" t="str">
        <f t="shared" si="176"/>
        <v/>
      </c>
      <c r="O1819" s="4"/>
    </row>
    <row r="1820" spans="1:15" x14ac:dyDescent="0.25">
      <c r="A1820" s="14"/>
      <c r="B1820" s="14"/>
      <c r="C1820" s="14"/>
      <c r="D1820" s="5" t="str">
        <f t="shared" si="177"/>
        <v/>
      </c>
      <c r="E1820" s="5" t="str">
        <f t="shared" si="178"/>
        <v/>
      </c>
      <c r="F1820" s="5" t="str">
        <f t="shared" si="179"/>
        <v/>
      </c>
      <c r="G1820" s="23"/>
      <c r="H1820" s="66"/>
      <c r="I1820" s="14"/>
      <c r="J1820" s="14"/>
      <c r="K1820" s="14"/>
      <c r="L1820" s="5" t="str">
        <f t="shared" si="174"/>
        <v/>
      </c>
      <c r="M1820" s="5" t="str">
        <f t="shared" si="175"/>
        <v/>
      </c>
      <c r="N1820" s="5" t="str">
        <f t="shared" si="176"/>
        <v/>
      </c>
      <c r="O1820" s="4"/>
    </row>
    <row r="1821" spans="1:15" x14ac:dyDescent="0.25">
      <c r="A1821" s="14"/>
      <c r="B1821" s="14"/>
      <c r="C1821" s="14"/>
      <c r="D1821" s="5" t="str">
        <f t="shared" si="177"/>
        <v/>
      </c>
      <c r="E1821" s="5" t="str">
        <f t="shared" si="178"/>
        <v/>
      </c>
      <c r="F1821" s="5" t="str">
        <f t="shared" si="179"/>
        <v/>
      </c>
      <c r="G1821" s="23"/>
      <c r="H1821" s="66"/>
      <c r="I1821" s="14"/>
      <c r="J1821" s="14"/>
      <c r="K1821" s="14"/>
      <c r="L1821" s="5" t="str">
        <f t="shared" si="174"/>
        <v/>
      </c>
      <c r="M1821" s="5" t="str">
        <f t="shared" si="175"/>
        <v/>
      </c>
      <c r="N1821" s="5" t="str">
        <f t="shared" si="176"/>
        <v/>
      </c>
      <c r="O1821" s="4"/>
    </row>
    <row r="1822" spans="1:15" x14ac:dyDescent="0.25">
      <c r="A1822" s="14"/>
      <c r="B1822" s="14"/>
      <c r="C1822" s="14"/>
      <c r="D1822" s="5" t="str">
        <f t="shared" si="177"/>
        <v/>
      </c>
      <c r="E1822" s="5" t="str">
        <f t="shared" si="178"/>
        <v/>
      </c>
      <c r="F1822" s="5" t="str">
        <f t="shared" si="179"/>
        <v/>
      </c>
      <c r="G1822" s="23"/>
      <c r="H1822" s="66"/>
      <c r="I1822" s="14"/>
      <c r="J1822" s="14"/>
      <c r="K1822" s="14"/>
      <c r="L1822" s="5" t="str">
        <f t="shared" si="174"/>
        <v/>
      </c>
      <c r="M1822" s="5" t="str">
        <f t="shared" si="175"/>
        <v/>
      </c>
      <c r="N1822" s="5" t="str">
        <f t="shared" si="176"/>
        <v/>
      </c>
      <c r="O1822" s="4"/>
    </row>
    <row r="1823" spans="1:15" x14ac:dyDescent="0.25">
      <c r="A1823" s="14"/>
      <c r="B1823" s="14"/>
      <c r="C1823" s="14"/>
      <c r="D1823" s="5" t="str">
        <f t="shared" si="177"/>
        <v/>
      </c>
      <c r="E1823" s="5" t="str">
        <f t="shared" si="178"/>
        <v/>
      </c>
      <c r="F1823" s="5" t="str">
        <f t="shared" si="179"/>
        <v/>
      </c>
      <c r="G1823" s="23"/>
      <c r="H1823" s="66"/>
      <c r="I1823" s="14"/>
      <c r="J1823" s="14"/>
      <c r="K1823" s="14"/>
      <c r="L1823" s="5" t="str">
        <f t="shared" si="174"/>
        <v/>
      </c>
      <c r="M1823" s="5" t="str">
        <f t="shared" si="175"/>
        <v/>
      </c>
      <c r="N1823" s="5" t="str">
        <f t="shared" si="176"/>
        <v/>
      </c>
      <c r="O1823" s="4"/>
    </row>
    <row r="1824" spans="1:15" x14ac:dyDescent="0.25">
      <c r="A1824" s="14"/>
      <c r="B1824" s="14"/>
      <c r="C1824" s="14"/>
      <c r="D1824" s="5" t="str">
        <f t="shared" si="177"/>
        <v/>
      </c>
      <c r="E1824" s="5" t="str">
        <f t="shared" si="178"/>
        <v/>
      </c>
      <c r="F1824" s="5" t="str">
        <f t="shared" si="179"/>
        <v/>
      </c>
      <c r="G1824" s="23"/>
      <c r="H1824" s="66"/>
      <c r="I1824" s="14"/>
      <c r="J1824" s="14"/>
      <c r="K1824" s="14"/>
      <c r="L1824" s="5" t="str">
        <f t="shared" si="174"/>
        <v/>
      </c>
      <c r="M1824" s="5" t="str">
        <f t="shared" si="175"/>
        <v/>
      </c>
      <c r="N1824" s="5" t="str">
        <f t="shared" si="176"/>
        <v/>
      </c>
      <c r="O1824" s="4"/>
    </row>
    <row r="1825" spans="1:15" x14ac:dyDescent="0.25">
      <c r="A1825" s="14"/>
      <c r="B1825" s="14"/>
      <c r="C1825" s="14"/>
      <c r="D1825" s="5" t="str">
        <f t="shared" si="177"/>
        <v/>
      </c>
      <c r="E1825" s="5" t="str">
        <f t="shared" si="178"/>
        <v/>
      </c>
      <c r="F1825" s="5" t="str">
        <f t="shared" si="179"/>
        <v/>
      </c>
      <c r="G1825" s="23"/>
      <c r="H1825" s="66"/>
      <c r="I1825" s="14"/>
      <c r="J1825" s="14"/>
      <c r="K1825" s="14"/>
      <c r="L1825" s="5" t="str">
        <f t="shared" si="174"/>
        <v/>
      </c>
      <c r="M1825" s="5" t="str">
        <f t="shared" si="175"/>
        <v/>
      </c>
      <c r="N1825" s="5" t="str">
        <f t="shared" si="176"/>
        <v/>
      </c>
      <c r="O1825" s="4"/>
    </row>
    <row r="1826" spans="1:15" x14ac:dyDescent="0.25">
      <c r="A1826" s="14"/>
      <c r="B1826" s="14"/>
      <c r="C1826" s="14"/>
      <c r="D1826" s="5" t="str">
        <f t="shared" si="177"/>
        <v/>
      </c>
      <c r="E1826" s="5" t="str">
        <f t="shared" si="178"/>
        <v/>
      </c>
      <c r="F1826" s="5" t="str">
        <f t="shared" si="179"/>
        <v/>
      </c>
      <c r="G1826" s="23"/>
      <c r="H1826" s="66"/>
      <c r="I1826" s="14"/>
      <c r="J1826" s="14"/>
      <c r="K1826" s="14"/>
      <c r="L1826" s="5" t="str">
        <f t="shared" si="174"/>
        <v/>
      </c>
      <c r="M1826" s="5" t="str">
        <f t="shared" si="175"/>
        <v/>
      </c>
      <c r="N1826" s="5" t="str">
        <f t="shared" si="176"/>
        <v/>
      </c>
      <c r="O1826" s="4"/>
    </row>
    <row r="1827" spans="1:15" x14ac:dyDescent="0.25">
      <c r="A1827" s="14"/>
      <c r="B1827" s="14"/>
      <c r="C1827" s="14"/>
      <c r="D1827" s="5" t="str">
        <f t="shared" si="177"/>
        <v/>
      </c>
      <c r="E1827" s="5" t="str">
        <f t="shared" si="178"/>
        <v/>
      </c>
      <c r="F1827" s="5" t="str">
        <f t="shared" si="179"/>
        <v/>
      </c>
      <c r="G1827" s="23"/>
      <c r="H1827" s="66"/>
      <c r="I1827" s="14"/>
      <c r="J1827" s="14"/>
      <c r="K1827" s="14"/>
      <c r="L1827" s="5" t="str">
        <f t="shared" si="174"/>
        <v/>
      </c>
      <c r="M1827" s="5" t="str">
        <f t="shared" si="175"/>
        <v/>
      </c>
      <c r="N1827" s="5" t="str">
        <f t="shared" si="176"/>
        <v/>
      </c>
      <c r="O1827" s="4"/>
    </row>
    <row r="1828" spans="1:15" x14ac:dyDescent="0.25">
      <c r="A1828" s="14"/>
      <c r="B1828" s="14"/>
      <c r="C1828" s="14"/>
      <c r="D1828" s="5" t="str">
        <f t="shared" si="177"/>
        <v/>
      </c>
      <c r="E1828" s="5" t="str">
        <f t="shared" si="178"/>
        <v/>
      </c>
      <c r="F1828" s="5" t="str">
        <f t="shared" si="179"/>
        <v/>
      </c>
      <c r="G1828" s="23"/>
      <c r="H1828" s="66"/>
      <c r="I1828" s="14"/>
      <c r="J1828" s="14"/>
      <c r="K1828" s="14"/>
      <c r="L1828" s="5" t="str">
        <f t="shared" si="174"/>
        <v/>
      </c>
      <c r="M1828" s="5" t="str">
        <f t="shared" si="175"/>
        <v/>
      </c>
      <c r="N1828" s="5" t="str">
        <f t="shared" si="176"/>
        <v/>
      </c>
      <c r="O1828" s="4"/>
    </row>
    <row r="1829" spans="1:15" x14ac:dyDescent="0.25">
      <c r="A1829" s="14"/>
      <c r="B1829" s="14"/>
      <c r="C1829" s="14"/>
      <c r="D1829" s="5" t="str">
        <f t="shared" si="177"/>
        <v/>
      </c>
      <c r="E1829" s="5" t="str">
        <f t="shared" si="178"/>
        <v/>
      </c>
      <c r="F1829" s="5" t="str">
        <f t="shared" si="179"/>
        <v/>
      </c>
      <c r="G1829" s="23"/>
      <c r="H1829" s="66"/>
      <c r="I1829" s="14"/>
      <c r="J1829" s="14"/>
      <c r="K1829" s="14"/>
      <c r="L1829" s="5" t="str">
        <f t="shared" si="174"/>
        <v/>
      </c>
      <c r="M1829" s="5" t="str">
        <f t="shared" si="175"/>
        <v/>
      </c>
      <c r="N1829" s="5" t="str">
        <f t="shared" si="176"/>
        <v/>
      </c>
      <c r="O1829" s="4"/>
    </row>
    <row r="1830" spans="1:15" x14ac:dyDescent="0.25">
      <c r="A1830" s="14"/>
      <c r="B1830" s="14"/>
      <c r="C1830" s="14"/>
      <c r="D1830" s="5" t="str">
        <f t="shared" si="177"/>
        <v/>
      </c>
      <c r="E1830" s="5" t="str">
        <f t="shared" si="178"/>
        <v/>
      </c>
      <c r="F1830" s="5" t="str">
        <f t="shared" si="179"/>
        <v/>
      </c>
      <c r="G1830" s="23"/>
      <c r="H1830" s="66"/>
      <c r="I1830" s="14"/>
      <c r="J1830" s="14"/>
      <c r="K1830" s="14"/>
      <c r="L1830" s="5" t="str">
        <f t="shared" si="174"/>
        <v/>
      </c>
      <c r="M1830" s="5" t="str">
        <f t="shared" si="175"/>
        <v/>
      </c>
      <c r="N1830" s="5" t="str">
        <f t="shared" si="176"/>
        <v/>
      </c>
      <c r="O1830" s="4"/>
    </row>
    <row r="1831" spans="1:15" x14ac:dyDescent="0.25">
      <c r="A1831" s="14"/>
      <c r="B1831" s="14"/>
      <c r="C1831" s="14"/>
      <c r="D1831" s="5" t="str">
        <f t="shared" si="177"/>
        <v/>
      </c>
      <c r="E1831" s="5" t="str">
        <f t="shared" si="178"/>
        <v/>
      </c>
      <c r="F1831" s="5" t="str">
        <f t="shared" si="179"/>
        <v/>
      </c>
      <c r="G1831" s="23"/>
      <c r="H1831" s="66"/>
      <c r="I1831" s="14"/>
      <c r="J1831" s="14"/>
      <c r="K1831" s="14"/>
      <c r="L1831" s="5" t="str">
        <f t="shared" si="174"/>
        <v/>
      </c>
      <c r="M1831" s="5" t="str">
        <f t="shared" si="175"/>
        <v/>
      </c>
      <c r="N1831" s="5" t="str">
        <f t="shared" si="176"/>
        <v/>
      </c>
      <c r="O1831" s="4"/>
    </row>
    <row r="1832" spans="1:15" x14ac:dyDescent="0.25">
      <c r="A1832" s="14"/>
      <c r="B1832" s="14"/>
      <c r="C1832" s="14"/>
      <c r="D1832" s="5" t="str">
        <f t="shared" si="177"/>
        <v/>
      </c>
      <c r="E1832" s="5" t="str">
        <f t="shared" si="178"/>
        <v/>
      </c>
      <c r="F1832" s="5" t="str">
        <f t="shared" si="179"/>
        <v/>
      </c>
      <c r="G1832" s="23"/>
      <c r="H1832" s="66"/>
      <c r="I1832" s="14"/>
      <c r="J1832" s="14"/>
      <c r="K1832" s="14"/>
      <c r="L1832" s="5" t="str">
        <f t="shared" si="174"/>
        <v/>
      </c>
      <c r="M1832" s="5" t="str">
        <f t="shared" si="175"/>
        <v/>
      </c>
      <c r="N1832" s="5" t="str">
        <f t="shared" si="176"/>
        <v/>
      </c>
      <c r="O1832" s="4"/>
    </row>
    <row r="1833" spans="1:15" x14ac:dyDescent="0.25">
      <c r="A1833" s="14"/>
      <c r="B1833" s="14"/>
      <c r="C1833" s="14"/>
      <c r="D1833" s="5" t="str">
        <f t="shared" si="177"/>
        <v/>
      </c>
      <c r="E1833" s="5" t="str">
        <f t="shared" si="178"/>
        <v/>
      </c>
      <c r="F1833" s="5" t="str">
        <f t="shared" si="179"/>
        <v/>
      </c>
      <c r="G1833" s="23"/>
      <c r="H1833" s="66"/>
      <c r="I1833" s="14"/>
      <c r="J1833" s="14"/>
      <c r="K1833" s="14"/>
      <c r="L1833" s="5" t="str">
        <f t="shared" si="174"/>
        <v/>
      </c>
      <c r="M1833" s="5" t="str">
        <f t="shared" si="175"/>
        <v/>
      </c>
      <c r="N1833" s="5" t="str">
        <f t="shared" si="176"/>
        <v/>
      </c>
      <c r="O1833" s="4"/>
    </row>
    <row r="1834" spans="1:15" x14ac:dyDescent="0.25">
      <c r="A1834" s="14"/>
      <c r="B1834" s="14"/>
      <c r="C1834" s="14"/>
      <c r="D1834" s="5" t="str">
        <f t="shared" si="177"/>
        <v/>
      </c>
      <c r="E1834" s="5" t="str">
        <f t="shared" si="178"/>
        <v/>
      </c>
      <c r="F1834" s="5" t="str">
        <f t="shared" si="179"/>
        <v/>
      </c>
      <c r="G1834" s="23"/>
      <c r="H1834" s="66"/>
      <c r="I1834" s="14"/>
      <c r="J1834" s="14"/>
      <c r="K1834" s="14"/>
      <c r="L1834" s="5" t="str">
        <f t="shared" si="174"/>
        <v/>
      </c>
      <c r="M1834" s="5" t="str">
        <f t="shared" si="175"/>
        <v/>
      </c>
      <c r="N1834" s="5" t="str">
        <f t="shared" si="176"/>
        <v/>
      </c>
      <c r="O1834" s="4"/>
    </row>
    <row r="1835" spans="1:15" x14ac:dyDescent="0.25">
      <c r="A1835" s="14"/>
      <c r="B1835" s="14"/>
      <c r="C1835" s="14"/>
      <c r="D1835" s="5" t="str">
        <f t="shared" si="177"/>
        <v/>
      </c>
      <c r="E1835" s="5" t="str">
        <f t="shared" si="178"/>
        <v/>
      </c>
      <c r="F1835" s="5" t="str">
        <f t="shared" si="179"/>
        <v/>
      </c>
      <c r="G1835" s="23"/>
      <c r="H1835" s="66"/>
      <c r="I1835" s="14"/>
      <c r="J1835" s="14"/>
      <c r="K1835" s="14"/>
      <c r="L1835" s="5" t="str">
        <f t="shared" si="174"/>
        <v/>
      </c>
      <c r="M1835" s="5" t="str">
        <f t="shared" si="175"/>
        <v/>
      </c>
      <c r="N1835" s="5" t="str">
        <f t="shared" si="176"/>
        <v/>
      </c>
      <c r="O1835" s="4"/>
    </row>
    <row r="1836" spans="1:15" x14ac:dyDescent="0.25">
      <c r="A1836" s="14"/>
      <c r="B1836" s="14"/>
      <c r="C1836" s="14"/>
      <c r="D1836" s="5" t="str">
        <f t="shared" si="177"/>
        <v/>
      </c>
      <c r="E1836" s="5" t="str">
        <f t="shared" si="178"/>
        <v/>
      </c>
      <c r="F1836" s="5" t="str">
        <f t="shared" si="179"/>
        <v/>
      </c>
      <c r="G1836" s="23"/>
      <c r="H1836" s="66"/>
      <c r="I1836" s="14"/>
      <c r="J1836" s="14"/>
      <c r="K1836" s="14"/>
      <c r="L1836" s="5" t="str">
        <f t="shared" si="174"/>
        <v/>
      </c>
      <c r="M1836" s="5" t="str">
        <f t="shared" si="175"/>
        <v/>
      </c>
      <c r="N1836" s="5" t="str">
        <f t="shared" si="176"/>
        <v/>
      </c>
      <c r="O1836" s="4"/>
    </row>
    <row r="1837" spans="1:15" x14ac:dyDescent="0.25">
      <c r="A1837" s="14"/>
      <c r="B1837" s="14"/>
      <c r="C1837" s="14"/>
      <c r="D1837" s="5" t="str">
        <f t="shared" si="177"/>
        <v/>
      </c>
      <c r="E1837" s="5" t="str">
        <f t="shared" si="178"/>
        <v/>
      </c>
      <c r="F1837" s="5" t="str">
        <f t="shared" si="179"/>
        <v/>
      </c>
      <c r="G1837" s="23"/>
      <c r="H1837" s="66"/>
      <c r="I1837" s="14"/>
      <c r="J1837" s="14"/>
      <c r="K1837" s="14"/>
      <c r="L1837" s="5" t="str">
        <f t="shared" si="174"/>
        <v/>
      </c>
      <c r="M1837" s="5" t="str">
        <f t="shared" si="175"/>
        <v/>
      </c>
      <c r="N1837" s="5" t="str">
        <f t="shared" si="176"/>
        <v/>
      </c>
      <c r="O1837" s="4"/>
    </row>
    <row r="1838" spans="1:15" x14ac:dyDescent="0.25">
      <c r="A1838" s="14"/>
      <c r="B1838" s="14"/>
      <c r="C1838" s="14"/>
      <c r="D1838" s="5" t="str">
        <f t="shared" si="177"/>
        <v/>
      </c>
      <c r="E1838" s="5" t="str">
        <f t="shared" si="178"/>
        <v/>
      </c>
      <c r="F1838" s="5" t="str">
        <f t="shared" si="179"/>
        <v/>
      </c>
      <c r="G1838" s="23"/>
      <c r="H1838" s="66"/>
      <c r="I1838" s="14"/>
      <c r="J1838" s="14"/>
      <c r="K1838" s="14"/>
      <c r="L1838" s="5" t="str">
        <f t="shared" si="174"/>
        <v/>
      </c>
      <c r="M1838" s="5" t="str">
        <f t="shared" si="175"/>
        <v/>
      </c>
      <c r="N1838" s="5" t="str">
        <f t="shared" si="176"/>
        <v/>
      </c>
      <c r="O1838" s="4"/>
    </row>
    <row r="1839" spans="1:15" x14ac:dyDescent="0.25">
      <c r="A1839" s="14"/>
      <c r="B1839" s="14"/>
      <c r="C1839" s="14"/>
      <c r="D1839" s="5" t="str">
        <f t="shared" si="177"/>
        <v/>
      </c>
      <c r="E1839" s="5" t="str">
        <f t="shared" si="178"/>
        <v/>
      </c>
      <c r="F1839" s="5" t="str">
        <f t="shared" si="179"/>
        <v/>
      </c>
      <c r="G1839" s="23"/>
      <c r="H1839" s="66"/>
      <c r="I1839" s="14"/>
      <c r="J1839" s="14"/>
      <c r="K1839" s="14"/>
      <c r="L1839" s="5" t="str">
        <f t="shared" si="174"/>
        <v/>
      </c>
      <c r="M1839" s="5" t="str">
        <f t="shared" si="175"/>
        <v/>
      </c>
      <c r="N1839" s="5" t="str">
        <f t="shared" si="176"/>
        <v/>
      </c>
      <c r="O1839" s="4"/>
    </row>
    <row r="1840" spans="1:15" x14ac:dyDescent="0.25">
      <c r="A1840" s="14"/>
      <c r="B1840" s="14"/>
      <c r="C1840" s="14"/>
      <c r="D1840" s="5" t="str">
        <f t="shared" si="177"/>
        <v/>
      </c>
      <c r="E1840" s="5" t="str">
        <f t="shared" si="178"/>
        <v/>
      </c>
      <c r="F1840" s="5" t="str">
        <f t="shared" si="179"/>
        <v/>
      </c>
      <c r="G1840" s="23"/>
      <c r="H1840" s="66"/>
      <c r="I1840" s="14"/>
      <c r="J1840" s="14"/>
      <c r="K1840" s="14"/>
      <c r="L1840" s="5" t="str">
        <f t="shared" si="174"/>
        <v/>
      </c>
      <c r="M1840" s="5" t="str">
        <f t="shared" si="175"/>
        <v/>
      </c>
      <c r="N1840" s="5" t="str">
        <f t="shared" si="176"/>
        <v/>
      </c>
      <c r="O1840" s="4"/>
    </row>
    <row r="1841" spans="1:15" x14ac:dyDescent="0.25">
      <c r="A1841" s="14"/>
      <c r="B1841" s="14"/>
      <c r="C1841" s="14"/>
      <c r="D1841" s="5" t="str">
        <f t="shared" si="177"/>
        <v/>
      </c>
      <c r="E1841" s="5" t="str">
        <f t="shared" si="178"/>
        <v/>
      </c>
      <c r="F1841" s="5" t="str">
        <f t="shared" si="179"/>
        <v/>
      </c>
      <c r="G1841" s="23"/>
      <c r="H1841" s="66"/>
      <c r="I1841" s="14"/>
      <c r="J1841" s="14"/>
      <c r="K1841" s="14"/>
      <c r="L1841" s="5" t="str">
        <f t="shared" si="174"/>
        <v/>
      </c>
      <c r="M1841" s="5" t="str">
        <f t="shared" si="175"/>
        <v/>
      </c>
      <c r="N1841" s="5" t="str">
        <f t="shared" si="176"/>
        <v/>
      </c>
      <c r="O1841" s="4"/>
    </row>
    <row r="1842" spans="1:15" x14ac:dyDescent="0.25">
      <c r="A1842" s="14"/>
      <c r="B1842" s="14"/>
      <c r="C1842" s="14"/>
      <c r="D1842" s="5" t="str">
        <f t="shared" si="177"/>
        <v/>
      </c>
      <c r="E1842" s="5" t="str">
        <f t="shared" si="178"/>
        <v/>
      </c>
      <c r="F1842" s="5" t="str">
        <f t="shared" si="179"/>
        <v/>
      </c>
      <c r="G1842" s="23"/>
      <c r="H1842" s="66"/>
      <c r="I1842" s="14"/>
      <c r="J1842" s="14"/>
      <c r="K1842" s="14"/>
      <c r="L1842" s="5" t="str">
        <f t="shared" si="174"/>
        <v/>
      </c>
      <c r="M1842" s="5" t="str">
        <f t="shared" si="175"/>
        <v/>
      </c>
      <c r="N1842" s="5" t="str">
        <f t="shared" si="176"/>
        <v/>
      </c>
      <c r="O1842" s="4"/>
    </row>
    <row r="1843" spans="1:15" x14ac:dyDescent="0.25">
      <c r="A1843" s="14"/>
      <c r="B1843" s="14"/>
      <c r="C1843" s="14"/>
      <c r="D1843" s="5" t="str">
        <f t="shared" si="177"/>
        <v/>
      </c>
      <c r="E1843" s="5" t="str">
        <f t="shared" si="178"/>
        <v/>
      </c>
      <c r="F1843" s="5" t="str">
        <f t="shared" si="179"/>
        <v/>
      </c>
      <c r="G1843" s="23"/>
      <c r="H1843" s="66"/>
      <c r="I1843" s="14"/>
      <c r="J1843" s="14"/>
      <c r="K1843" s="14"/>
      <c r="L1843" s="5" t="str">
        <f t="shared" si="174"/>
        <v/>
      </c>
      <c r="M1843" s="5" t="str">
        <f t="shared" si="175"/>
        <v/>
      </c>
      <c r="N1843" s="5" t="str">
        <f t="shared" si="176"/>
        <v/>
      </c>
      <c r="O1843" s="4"/>
    </row>
    <row r="1844" spans="1:15" x14ac:dyDescent="0.25">
      <c r="A1844" s="14"/>
      <c r="B1844" s="14"/>
      <c r="C1844" s="14"/>
      <c r="D1844" s="5" t="str">
        <f t="shared" si="177"/>
        <v/>
      </c>
      <c r="E1844" s="5" t="str">
        <f t="shared" si="178"/>
        <v/>
      </c>
      <c r="F1844" s="5" t="str">
        <f t="shared" si="179"/>
        <v/>
      </c>
      <c r="G1844" s="23"/>
      <c r="H1844" s="66"/>
      <c r="I1844" s="14"/>
      <c r="J1844" s="14"/>
      <c r="K1844" s="14"/>
      <c r="L1844" s="5" t="str">
        <f t="shared" si="174"/>
        <v/>
      </c>
      <c r="M1844" s="5" t="str">
        <f t="shared" si="175"/>
        <v/>
      </c>
      <c r="N1844" s="5" t="str">
        <f t="shared" si="176"/>
        <v/>
      </c>
      <c r="O1844" s="4"/>
    </row>
    <row r="1845" spans="1:15" x14ac:dyDescent="0.25">
      <c r="A1845" s="14"/>
      <c r="B1845" s="14"/>
      <c r="C1845" s="14"/>
      <c r="D1845" s="5" t="str">
        <f t="shared" si="177"/>
        <v/>
      </c>
      <c r="E1845" s="5" t="str">
        <f t="shared" si="178"/>
        <v/>
      </c>
      <c r="F1845" s="5" t="str">
        <f t="shared" si="179"/>
        <v/>
      </c>
      <c r="G1845" s="23"/>
      <c r="H1845" s="66"/>
      <c r="I1845" s="14"/>
      <c r="J1845" s="14"/>
      <c r="K1845" s="14"/>
      <c r="L1845" s="5" t="str">
        <f t="shared" si="174"/>
        <v/>
      </c>
      <c r="M1845" s="5" t="str">
        <f t="shared" si="175"/>
        <v/>
      </c>
      <c r="N1845" s="5" t="str">
        <f t="shared" si="176"/>
        <v/>
      </c>
      <c r="O1845" s="4"/>
    </row>
    <row r="1846" spans="1:15" x14ac:dyDescent="0.25">
      <c r="A1846" s="14"/>
      <c r="B1846" s="14"/>
      <c r="C1846" s="14"/>
      <c r="D1846" s="5" t="str">
        <f t="shared" si="177"/>
        <v/>
      </c>
      <c r="E1846" s="5" t="str">
        <f t="shared" si="178"/>
        <v/>
      </c>
      <c r="F1846" s="5" t="str">
        <f t="shared" si="179"/>
        <v/>
      </c>
      <c r="G1846" s="23"/>
      <c r="H1846" s="66"/>
      <c r="I1846" s="14"/>
      <c r="J1846" s="14"/>
      <c r="K1846" s="14"/>
      <c r="L1846" s="5" t="str">
        <f t="shared" si="174"/>
        <v/>
      </c>
      <c r="M1846" s="5" t="str">
        <f t="shared" si="175"/>
        <v/>
      </c>
      <c r="N1846" s="5" t="str">
        <f t="shared" si="176"/>
        <v/>
      </c>
      <c r="O1846" s="4"/>
    </row>
    <row r="1847" spans="1:15" x14ac:dyDescent="0.25">
      <c r="A1847" s="14"/>
      <c r="B1847" s="14"/>
      <c r="C1847" s="14"/>
      <c r="D1847" s="5" t="str">
        <f t="shared" si="177"/>
        <v/>
      </c>
      <c r="E1847" s="5" t="str">
        <f t="shared" si="178"/>
        <v/>
      </c>
      <c r="F1847" s="5" t="str">
        <f t="shared" si="179"/>
        <v/>
      </c>
      <c r="G1847" s="23"/>
      <c r="H1847" s="66"/>
      <c r="I1847" s="14"/>
      <c r="J1847" s="14"/>
      <c r="K1847" s="14"/>
      <c r="L1847" s="5" t="str">
        <f t="shared" si="174"/>
        <v/>
      </c>
      <c r="M1847" s="5" t="str">
        <f t="shared" si="175"/>
        <v/>
      </c>
      <c r="N1847" s="5" t="str">
        <f t="shared" si="176"/>
        <v/>
      </c>
      <c r="O1847" s="4"/>
    </row>
    <row r="1848" spans="1:15" x14ac:dyDescent="0.25">
      <c r="A1848" s="14"/>
      <c r="B1848" s="14"/>
      <c r="C1848" s="14"/>
      <c r="D1848" s="5" t="str">
        <f t="shared" si="177"/>
        <v/>
      </c>
      <c r="E1848" s="5" t="str">
        <f t="shared" si="178"/>
        <v/>
      </c>
      <c r="F1848" s="5" t="str">
        <f t="shared" si="179"/>
        <v/>
      </c>
      <c r="G1848" s="23"/>
      <c r="H1848" s="66"/>
      <c r="I1848" s="14"/>
      <c r="J1848" s="14"/>
      <c r="K1848" s="14"/>
      <c r="L1848" s="5" t="str">
        <f t="shared" si="174"/>
        <v/>
      </c>
      <c r="M1848" s="5" t="str">
        <f t="shared" si="175"/>
        <v/>
      </c>
      <c r="N1848" s="5" t="str">
        <f t="shared" si="176"/>
        <v/>
      </c>
      <c r="O1848" s="4"/>
    </row>
    <row r="1849" spans="1:15" x14ac:dyDescent="0.25">
      <c r="A1849" s="14"/>
      <c r="B1849" s="14"/>
      <c r="C1849" s="14"/>
      <c r="D1849" s="5" t="str">
        <f t="shared" si="177"/>
        <v/>
      </c>
      <c r="E1849" s="5" t="str">
        <f t="shared" si="178"/>
        <v/>
      </c>
      <c r="F1849" s="5" t="str">
        <f t="shared" si="179"/>
        <v/>
      </c>
      <c r="G1849" s="23"/>
      <c r="H1849" s="66"/>
      <c r="I1849" s="14"/>
      <c r="J1849" s="14"/>
      <c r="K1849" s="14"/>
      <c r="L1849" s="5" t="str">
        <f t="shared" si="174"/>
        <v/>
      </c>
      <c r="M1849" s="5" t="str">
        <f t="shared" si="175"/>
        <v/>
      </c>
      <c r="N1849" s="5" t="str">
        <f t="shared" si="176"/>
        <v/>
      </c>
      <c r="O1849" s="4"/>
    </row>
    <row r="1850" spans="1:15" x14ac:dyDescent="0.25">
      <c r="A1850" s="14"/>
      <c r="B1850" s="14"/>
      <c r="C1850" s="14"/>
      <c r="D1850" s="5" t="str">
        <f t="shared" si="177"/>
        <v/>
      </c>
      <c r="E1850" s="5" t="str">
        <f t="shared" si="178"/>
        <v/>
      </c>
      <c r="F1850" s="5" t="str">
        <f t="shared" si="179"/>
        <v/>
      </c>
      <c r="G1850" s="23"/>
      <c r="H1850" s="66"/>
      <c r="I1850" s="14"/>
      <c r="J1850" s="14"/>
      <c r="K1850" s="14"/>
      <c r="L1850" s="5" t="str">
        <f t="shared" si="174"/>
        <v/>
      </c>
      <c r="M1850" s="5" t="str">
        <f t="shared" si="175"/>
        <v/>
      </c>
      <c r="N1850" s="5" t="str">
        <f t="shared" si="176"/>
        <v/>
      </c>
      <c r="O1850" s="4"/>
    </row>
    <row r="1851" spans="1:15" x14ac:dyDescent="0.25">
      <c r="A1851" s="14"/>
      <c r="B1851" s="14"/>
      <c r="C1851" s="14"/>
      <c r="D1851" s="5" t="str">
        <f t="shared" si="177"/>
        <v/>
      </c>
      <c r="E1851" s="5" t="str">
        <f t="shared" si="178"/>
        <v/>
      </c>
      <c r="F1851" s="5" t="str">
        <f t="shared" si="179"/>
        <v/>
      </c>
      <c r="G1851" s="23"/>
      <c r="H1851" s="66"/>
      <c r="I1851" s="14"/>
      <c r="J1851" s="14"/>
      <c r="K1851" s="14"/>
      <c r="L1851" s="5" t="str">
        <f t="shared" si="174"/>
        <v/>
      </c>
      <c r="M1851" s="5" t="str">
        <f t="shared" si="175"/>
        <v/>
      </c>
      <c r="N1851" s="5" t="str">
        <f t="shared" si="176"/>
        <v/>
      </c>
      <c r="O1851" s="4"/>
    </row>
    <row r="1852" spans="1:15" x14ac:dyDescent="0.25">
      <c r="A1852" s="14"/>
      <c r="B1852" s="14"/>
      <c r="C1852" s="14"/>
      <c r="D1852" s="5" t="str">
        <f t="shared" si="177"/>
        <v/>
      </c>
      <c r="E1852" s="5" t="str">
        <f t="shared" si="178"/>
        <v/>
      </c>
      <c r="F1852" s="5" t="str">
        <f t="shared" si="179"/>
        <v/>
      </c>
      <c r="G1852" s="23"/>
      <c r="H1852" s="66"/>
      <c r="I1852" s="14"/>
      <c r="J1852" s="14"/>
      <c r="K1852" s="14"/>
      <c r="L1852" s="5" t="str">
        <f t="shared" si="174"/>
        <v/>
      </c>
      <c r="M1852" s="5" t="str">
        <f t="shared" si="175"/>
        <v/>
      </c>
      <c r="N1852" s="5" t="str">
        <f t="shared" si="176"/>
        <v/>
      </c>
      <c r="O1852" s="4"/>
    </row>
    <row r="1853" spans="1:15" x14ac:dyDescent="0.25">
      <c r="A1853" s="14"/>
      <c r="B1853" s="14"/>
      <c r="C1853" s="14"/>
      <c r="D1853" s="5" t="str">
        <f t="shared" si="177"/>
        <v/>
      </c>
      <c r="E1853" s="5" t="str">
        <f t="shared" si="178"/>
        <v/>
      </c>
      <c r="F1853" s="5" t="str">
        <f t="shared" si="179"/>
        <v/>
      </c>
      <c r="G1853" s="23"/>
      <c r="H1853" s="66"/>
      <c r="I1853" s="14"/>
      <c r="J1853" s="14"/>
      <c r="K1853" s="14"/>
      <c r="L1853" s="5" t="str">
        <f t="shared" si="174"/>
        <v/>
      </c>
      <c r="M1853" s="5" t="str">
        <f t="shared" si="175"/>
        <v/>
      </c>
      <c r="N1853" s="5" t="str">
        <f t="shared" si="176"/>
        <v/>
      </c>
      <c r="O1853" s="4"/>
    </row>
    <row r="1854" spans="1:15" x14ac:dyDescent="0.25">
      <c r="A1854" s="14"/>
      <c r="B1854" s="14"/>
      <c r="C1854" s="14"/>
      <c r="D1854" s="5" t="str">
        <f t="shared" si="177"/>
        <v/>
      </c>
      <c r="E1854" s="5" t="str">
        <f t="shared" si="178"/>
        <v/>
      </c>
      <c r="F1854" s="5" t="str">
        <f t="shared" si="179"/>
        <v/>
      </c>
      <c r="G1854" s="23"/>
      <c r="H1854" s="66"/>
      <c r="I1854" s="14"/>
      <c r="J1854" s="14"/>
      <c r="K1854" s="14"/>
      <c r="L1854" s="5" t="str">
        <f t="shared" si="174"/>
        <v/>
      </c>
      <c r="M1854" s="5" t="str">
        <f t="shared" si="175"/>
        <v/>
      </c>
      <c r="N1854" s="5" t="str">
        <f t="shared" si="176"/>
        <v/>
      </c>
      <c r="O1854" s="4"/>
    </row>
    <row r="1855" spans="1:15" x14ac:dyDescent="0.25">
      <c r="A1855" s="14"/>
      <c r="B1855" s="14"/>
      <c r="C1855" s="14"/>
      <c r="D1855" s="5" t="str">
        <f t="shared" si="177"/>
        <v/>
      </c>
      <c r="E1855" s="5" t="str">
        <f t="shared" si="178"/>
        <v/>
      </c>
      <c r="F1855" s="5" t="str">
        <f t="shared" si="179"/>
        <v/>
      </c>
      <c r="G1855" s="23"/>
      <c r="H1855" s="66"/>
      <c r="I1855" s="14"/>
      <c r="J1855" s="14"/>
      <c r="K1855" s="14"/>
      <c r="L1855" s="5" t="str">
        <f t="shared" si="174"/>
        <v/>
      </c>
      <c r="M1855" s="5" t="str">
        <f t="shared" si="175"/>
        <v/>
      </c>
      <c r="N1855" s="5" t="str">
        <f t="shared" si="176"/>
        <v/>
      </c>
      <c r="O1855" s="4"/>
    </row>
    <row r="1856" spans="1:15" x14ac:dyDescent="0.25">
      <c r="A1856" s="14"/>
      <c r="B1856" s="14"/>
      <c r="C1856" s="14"/>
      <c r="D1856" s="5" t="str">
        <f t="shared" si="177"/>
        <v/>
      </c>
      <c r="E1856" s="5" t="str">
        <f t="shared" si="178"/>
        <v/>
      </c>
      <c r="F1856" s="5" t="str">
        <f t="shared" si="179"/>
        <v/>
      </c>
      <c r="G1856" s="23"/>
      <c r="H1856" s="66"/>
      <c r="I1856" s="14"/>
      <c r="J1856" s="14"/>
      <c r="K1856" s="14"/>
      <c r="L1856" s="5" t="str">
        <f t="shared" si="174"/>
        <v/>
      </c>
      <c r="M1856" s="5" t="str">
        <f t="shared" si="175"/>
        <v/>
      </c>
      <c r="N1856" s="5" t="str">
        <f t="shared" si="176"/>
        <v/>
      </c>
      <c r="O1856" s="4"/>
    </row>
    <row r="1857" spans="1:15" x14ac:dyDescent="0.25">
      <c r="A1857" s="14"/>
      <c r="B1857" s="14"/>
      <c r="C1857" s="14"/>
      <c r="D1857" s="5" t="str">
        <f t="shared" si="177"/>
        <v/>
      </c>
      <c r="E1857" s="5" t="str">
        <f t="shared" si="178"/>
        <v/>
      </c>
      <c r="F1857" s="5" t="str">
        <f t="shared" si="179"/>
        <v/>
      </c>
      <c r="G1857" s="23"/>
      <c r="H1857" s="66"/>
      <c r="I1857" s="14"/>
      <c r="J1857" s="14"/>
      <c r="K1857" s="14"/>
      <c r="L1857" s="5" t="str">
        <f t="shared" si="174"/>
        <v/>
      </c>
      <c r="M1857" s="5" t="str">
        <f t="shared" si="175"/>
        <v/>
      </c>
      <c r="N1857" s="5" t="str">
        <f t="shared" si="176"/>
        <v/>
      </c>
      <c r="O1857" s="4"/>
    </row>
    <row r="1858" spans="1:15" x14ac:dyDescent="0.25">
      <c r="A1858" s="14"/>
      <c r="B1858" s="14"/>
      <c r="C1858" s="14"/>
      <c r="D1858" s="5" t="str">
        <f t="shared" si="177"/>
        <v/>
      </c>
      <c r="E1858" s="5" t="str">
        <f t="shared" si="178"/>
        <v/>
      </c>
      <c r="F1858" s="5" t="str">
        <f t="shared" si="179"/>
        <v/>
      </c>
      <c r="G1858" s="23"/>
      <c r="H1858" s="66"/>
      <c r="I1858" s="14"/>
      <c r="J1858" s="14"/>
      <c r="K1858" s="14"/>
      <c r="L1858" s="5" t="str">
        <f t="shared" si="174"/>
        <v/>
      </c>
      <c r="M1858" s="5" t="str">
        <f t="shared" si="175"/>
        <v/>
      </c>
      <c r="N1858" s="5" t="str">
        <f t="shared" si="176"/>
        <v/>
      </c>
      <c r="O1858" s="4"/>
    </row>
    <row r="1859" spans="1:15" x14ac:dyDescent="0.25">
      <c r="A1859" s="14"/>
      <c r="B1859" s="14"/>
      <c r="C1859" s="14"/>
      <c r="D1859" s="5" t="str">
        <f t="shared" si="177"/>
        <v/>
      </c>
      <c r="E1859" s="5" t="str">
        <f t="shared" si="178"/>
        <v/>
      </c>
      <c r="F1859" s="5" t="str">
        <f t="shared" si="179"/>
        <v/>
      </c>
      <c r="G1859" s="23"/>
      <c r="H1859" s="66"/>
      <c r="I1859" s="14"/>
      <c r="J1859" s="14"/>
      <c r="K1859" s="14"/>
      <c r="L1859" s="5" t="str">
        <f t="shared" si="174"/>
        <v/>
      </c>
      <c r="M1859" s="5" t="str">
        <f t="shared" si="175"/>
        <v/>
      </c>
      <c r="N1859" s="5" t="str">
        <f t="shared" si="176"/>
        <v/>
      </c>
      <c r="O1859" s="4"/>
    </row>
    <row r="1860" spans="1:15" x14ac:dyDescent="0.25">
      <c r="A1860" s="14"/>
      <c r="B1860" s="14"/>
      <c r="C1860" s="14"/>
      <c r="D1860" s="5" t="str">
        <f t="shared" si="177"/>
        <v/>
      </c>
      <c r="E1860" s="5" t="str">
        <f t="shared" si="178"/>
        <v/>
      </c>
      <c r="F1860" s="5" t="str">
        <f t="shared" si="179"/>
        <v/>
      </c>
      <c r="G1860" s="23"/>
      <c r="H1860" s="66"/>
      <c r="I1860" s="14"/>
      <c r="J1860" s="14"/>
      <c r="K1860" s="14"/>
      <c r="L1860" s="5" t="str">
        <f t="shared" si="174"/>
        <v/>
      </c>
      <c r="M1860" s="5" t="str">
        <f t="shared" si="175"/>
        <v/>
      </c>
      <c r="N1860" s="5" t="str">
        <f t="shared" si="176"/>
        <v/>
      </c>
      <c r="O1860" s="4"/>
    </row>
    <row r="1861" spans="1:15" x14ac:dyDescent="0.25">
      <c r="A1861" s="14"/>
      <c r="B1861" s="14"/>
      <c r="C1861" s="14"/>
      <c r="D1861" s="5" t="str">
        <f t="shared" si="177"/>
        <v/>
      </c>
      <c r="E1861" s="5" t="str">
        <f t="shared" si="178"/>
        <v/>
      </c>
      <c r="F1861" s="5" t="str">
        <f t="shared" si="179"/>
        <v/>
      </c>
      <c r="G1861" s="23"/>
      <c r="H1861" s="66"/>
      <c r="I1861" s="14"/>
      <c r="J1861" s="14"/>
      <c r="K1861" s="14"/>
      <c r="L1861" s="5" t="str">
        <f t="shared" si="174"/>
        <v/>
      </c>
      <c r="M1861" s="5" t="str">
        <f t="shared" si="175"/>
        <v/>
      </c>
      <c r="N1861" s="5" t="str">
        <f t="shared" si="176"/>
        <v/>
      </c>
      <c r="O1861" s="4"/>
    </row>
    <row r="1862" spans="1:15" x14ac:dyDescent="0.25">
      <c r="A1862" s="14"/>
      <c r="B1862" s="14"/>
      <c r="C1862" s="14"/>
      <c r="D1862" s="5" t="str">
        <f t="shared" si="177"/>
        <v/>
      </c>
      <c r="E1862" s="5" t="str">
        <f t="shared" si="178"/>
        <v/>
      </c>
      <c r="F1862" s="5" t="str">
        <f t="shared" si="179"/>
        <v/>
      </c>
      <c r="G1862" s="23"/>
      <c r="H1862" s="66"/>
      <c r="I1862" s="14"/>
      <c r="J1862" s="14"/>
      <c r="K1862" s="14"/>
      <c r="L1862" s="5" t="str">
        <f t="shared" si="174"/>
        <v/>
      </c>
      <c r="M1862" s="5" t="str">
        <f t="shared" si="175"/>
        <v/>
      </c>
      <c r="N1862" s="5" t="str">
        <f t="shared" si="176"/>
        <v/>
      </c>
      <c r="O1862" s="4"/>
    </row>
    <row r="1863" spans="1:15" x14ac:dyDescent="0.25">
      <c r="A1863" s="14"/>
      <c r="B1863" s="14"/>
      <c r="C1863" s="14"/>
      <c r="D1863" s="5" t="str">
        <f t="shared" si="177"/>
        <v/>
      </c>
      <c r="E1863" s="5" t="str">
        <f t="shared" si="178"/>
        <v/>
      </c>
      <c r="F1863" s="5" t="str">
        <f t="shared" si="179"/>
        <v/>
      </c>
      <c r="G1863" s="23"/>
      <c r="H1863" s="66"/>
      <c r="I1863" s="14"/>
      <c r="J1863" s="14"/>
      <c r="K1863" s="14"/>
      <c r="L1863" s="5" t="str">
        <f t="shared" si="174"/>
        <v/>
      </c>
      <c r="M1863" s="5" t="str">
        <f t="shared" si="175"/>
        <v/>
      </c>
      <c r="N1863" s="5" t="str">
        <f t="shared" si="176"/>
        <v/>
      </c>
      <c r="O1863" s="4"/>
    </row>
    <row r="1864" spans="1:15" x14ac:dyDescent="0.25">
      <c r="A1864" s="14"/>
      <c r="B1864" s="14"/>
      <c r="C1864" s="14"/>
      <c r="D1864" s="5" t="str">
        <f t="shared" si="177"/>
        <v/>
      </c>
      <c r="E1864" s="5" t="str">
        <f t="shared" si="178"/>
        <v/>
      </c>
      <c r="F1864" s="5" t="str">
        <f t="shared" si="179"/>
        <v/>
      </c>
      <c r="G1864" s="23"/>
      <c r="H1864" s="66"/>
      <c r="I1864" s="14"/>
      <c r="J1864" s="14"/>
      <c r="K1864" s="14"/>
      <c r="L1864" s="5" t="str">
        <f t="shared" si="174"/>
        <v/>
      </c>
      <c r="M1864" s="5" t="str">
        <f t="shared" si="175"/>
        <v/>
      </c>
      <c r="N1864" s="5" t="str">
        <f t="shared" si="176"/>
        <v/>
      </c>
      <c r="O1864" s="4"/>
    </row>
    <row r="1865" spans="1:15" x14ac:dyDescent="0.25">
      <c r="A1865" s="14"/>
      <c r="B1865" s="14"/>
      <c r="C1865" s="14"/>
      <c r="D1865" s="5" t="str">
        <f t="shared" si="177"/>
        <v/>
      </c>
      <c r="E1865" s="5" t="str">
        <f t="shared" si="178"/>
        <v/>
      </c>
      <c r="F1865" s="5" t="str">
        <f t="shared" si="179"/>
        <v/>
      </c>
      <c r="G1865" s="23"/>
      <c r="H1865" s="66"/>
      <c r="I1865" s="14"/>
      <c r="J1865" s="14"/>
      <c r="K1865" s="14"/>
      <c r="L1865" s="5" t="str">
        <f t="shared" si="174"/>
        <v/>
      </c>
      <c r="M1865" s="5" t="str">
        <f t="shared" si="175"/>
        <v/>
      </c>
      <c r="N1865" s="5" t="str">
        <f t="shared" si="176"/>
        <v/>
      </c>
      <c r="O1865" s="4"/>
    </row>
    <row r="1866" spans="1:15" x14ac:dyDescent="0.25">
      <c r="A1866" s="14"/>
      <c r="B1866" s="14"/>
      <c r="C1866" s="14"/>
      <c r="D1866" s="5" t="str">
        <f t="shared" si="177"/>
        <v/>
      </c>
      <c r="E1866" s="5" t="str">
        <f t="shared" si="178"/>
        <v/>
      </c>
      <c r="F1866" s="5" t="str">
        <f t="shared" si="179"/>
        <v/>
      </c>
      <c r="G1866" s="23"/>
      <c r="H1866" s="66"/>
      <c r="I1866" s="14"/>
      <c r="J1866" s="14"/>
      <c r="K1866" s="14"/>
      <c r="L1866" s="5" t="str">
        <f t="shared" ref="L1866:L1929" si="180">IFERROR(IF(I1866&lt;&gt;"",(((J1866-J1865)*$X$4/(I1866-I1865)))*$X$5,""),"")</f>
        <v/>
      </c>
      <c r="M1866" s="5" t="str">
        <f t="shared" ref="M1866:M1929" si="181">IFERROR(IF(I1866&lt;&gt;"",(((K1866-K1865)*$X$4/(I1866-I1865)))*$X$5,""),"")</f>
        <v/>
      </c>
      <c r="N1866" s="5" t="str">
        <f t="shared" ref="N1866:N1929" si="182">IFERROR(IF(I1866&lt;&gt;"",((ACOS((COS(RADIANS(J1865))*COS(RADIANS(J1866)))+(SIN(RADIANS(J1865))*SIN(RADIANS(J1866)))*COS(RADIANS(K1866-K1865)))*180/PI()*($X$4/(I1866-I1865))))*$X$5,""),"")</f>
        <v/>
      </c>
      <c r="O1866" s="4"/>
    </row>
    <row r="1867" spans="1:15" x14ac:dyDescent="0.25">
      <c r="A1867" s="14"/>
      <c r="B1867" s="14"/>
      <c r="C1867" s="14"/>
      <c r="D1867" s="5" t="str">
        <f t="shared" si="177"/>
        <v/>
      </c>
      <c r="E1867" s="5" t="str">
        <f t="shared" si="178"/>
        <v/>
      </c>
      <c r="F1867" s="5" t="str">
        <f t="shared" si="179"/>
        <v/>
      </c>
      <c r="G1867" s="23"/>
      <c r="H1867" s="66"/>
      <c r="I1867" s="14"/>
      <c r="J1867" s="14"/>
      <c r="K1867" s="14"/>
      <c r="L1867" s="5" t="str">
        <f t="shared" si="180"/>
        <v/>
      </c>
      <c r="M1867" s="5" t="str">
        <f t="shared" si="181"/>
        <v/>
      </c>
      <c r="N1867" s="5" t="str">
        <f t="shared" si="182"/>
        <v/>
      </c>
      <c r="O1867" s="4"/>
    </row>
    <row r="1868" spans="1:15" x14ac:dyDescent="0.25">
      <c r="A1868" s="14"/>
      <c r="B1868" s="14"/>
      <c r="C1868" s="14"/>
      <c r="D1868" s="5" t="str">
        <f t="shared" si="177"/>
        <v/>
      </c>
      <c r="E1868" s="5" t="str">
        <f t="shared" si="178"/>
        <v/>
      </c>
      <c r="F1868" s="5" t="str">
        <f t="shared" si="179"/>
        <v/>
      </c>
      <c r="G1868" s="23"/>
      <c r="H1868" s="66"/>
      <c r="I1868" s="14"/>
      <c r="J1868" s="14"/>
      <c r="K1868" s="14"/>
      <c r="L1868" s="5" t="str">
        <f t="shared" si="180"/>
        <v/>
      </c>
      <c r="M1868" s="5" t="str">
        <f t="shared" si="181"/>
        <v/>
      </c>
      <c r="N1868" s="5" t="str">
        <f t="shared" si="182"/>
        <v/>
      </c>
      <c r="O1868" s="4"/>
    </row>
    <row r="1869" spans="1:15" x14ac:dyDescent="0.25">
      <c r="A1869" s="14"/>
      <c r="B1869" s="14"/>
      <c r="C1869" s="14"/>
      <c r="D1869" s="5" t="str">
        <f t="shared" si="177"/>
        <v/>
      </c>
      <c r="E1869" s="5" t="str">
        <f t="shared" si="178"/>
        <v/>
      </c>
      <c r="F1869" s="5" t="str">
        <f t="shared" si="179"/>
        <v/>
      </c>
      <c r="G1869" s="23"/>
      <c r="H1869" s="66"/>
      <c r="I1869" s="14"/>
      <c r="J1869" s="14"/>
      <c r="K1869" s="14"/>
      <c r="L1869" s="5" t="str">
        <f t="shared" si="180"/>
        <v/>
      </c>
      <c r="M1869" s="5" t="str">
        <f t="shared" si="181"/>
        <v/>
      </c>
      <c r="N1869" s="5" t="str">
        <f t="shared" si="182"/>
        <v/>
      </c>
      <c r="O1869" s="4"/>
    </row>
    <row r="1870" spans="1:15" x14ac:dyDescent="0.25">
      <c r="A1870" s="14"/>
      <c r="B1870" s="14"/>
      <c r="C1870" s="14"/>
      <c r="D1870" s="5" t="str">
        <f t="shared" si="177"/>
        <v/>
      </c>
      <c r="E1870" s="5" t="str">
        <f t="shared" si="178"/>
        <v/>
      </c>
      <c r="F1870" s="5" t="str">
        <f t="shared" si="179"/>
        <v/>
      </c>
      <c r="G1870" s="23"/>
      <c r="H1870" s="66"/>
      <c r="I1870" s="14"/>
      <c r="J1870" s="14"/>
      <c r="K1870" s="14"/>
      <c r="L1870" s="5" t="str">
        <f t="shared" si="180"/>
        <v/>
      </c>
      <c r="M1870" s="5" t="str">
        <f t="shared" si="181"/>
        <v/>
      </c>
      <c r="N1870" s="5" t="str">
        <f t="shared" si="182"/>
        <v/>
      </c>
      <c r="O1870" s="4"/>
    </row>
    <row r="1871" spans="1:15" x14ac:dyDescent="0.25">
      <c r="A1871" s="14"/>
      <c r="B1871" s="14"/>
      <c r="C1871" s="14"/>
      <c r="D1871" s="5" t="str">
        <f t="shared" si="177"/>
        <v/>
      </c>
      <c r="E1871" s="5" t="str">
        <f t="shared" si="178"/>
        <v/>
      </c>
      <c r="F1871" s="5" t="str">
        <f t="shared" si="179"/>
        <v/>
      </c>
      <c r="G1871" s="23"/>
      <c r="H1871" s="66"/>
      <c r="I1871" s="14"/>
      <c r="J1871" s="14"/>
      <c r="K1871" s="14"/>
      <c r="L1871" s="5" t="str">
        <f t="shared" si="180"/>
        <v/>
      </c>
      <c r="M1871" s="5" t="str">
        <f t="shared" si="181"/>
        <v/>
      </c>
      <c r="N1871" s="5" t="str">
        <f t="shared" si="182"/>
        <v/>
      </c>
      <c r="O1871" s="4"/>
    </row>
    <row r="1872" spans="1:15" x14ac:dyDescent="0.25">
      <c r="A1872" s="14"/>
      <c r="B1872" s="14"/>
      <c r="C1872" s="14"/>
      <c r="D1872" s="5" t="str">
        <f t="shared" si="177"/>
        <v/>
      </c>
      <c r="E1872" s="5" t="str">
        <f t="shared" si="178"/>
        <v/>
      </c>
      <c r="F1872" s="5" t="str">
        <f t="shared" si="179"/>
        <v/>
      </c>
      <c r="G1872" s="23"/>
      <c r="H1872" s="66"/>
      <c r="I1872" s="14"/>
      <c r="J1872" s="14"/>
      <c r="K1872" s="14"/>
      <c r="L1872" s="5" t="str">
        <f t="shared" si="180"/>
        <v/>
      </c>
      <c r="M1872" s="5" t="str">
        <f t="shared" si="181"/>
        <v/>
      </c>
      <c r="N1872" s="5" t="str">
        <f t="shared" si="182"/>
        <v/>
      </c>
      <c r="O1872" s="4"/>
    </row>
    <row r="1873" spans="1:15" x14ac:dyDescent="0.25">
      <c r="A1873" s="14"/>
      <c r="B1873" s="14"/>
      <c r="C1873" s="14"/>
      <c r="D1873" s="5" t="str">
        <f t="shared" si="177"/>
        <v/>
      </c>
      <c r="E1873" s="5" t="str">
        <f t="shared" si="178"/>
        <v/>
      </c>
      <c r="F1873" s="5" t="str">
        <f t="shared" si="179"/>
        <v/>
      </c>
      <c r="G1873" s="23"/>
      <c r="H1873" s="66"/>
      <c r="I1873" s="14"/>
      <c r="J1873" s="14"/>
      <c r="K1873" s="14"/>
      <c r="L1873" s="5" t="str">
        <f t="shared" si="180"/>
        <v/>
      </c>
      <c r="M1873" s="5" t="str">
        <f t="shared" si="181"/>
        <v/>
      </c>
      <c r="N1873" s="5" t="str">
        <f t="shared" si="182"/>
        <v/>
      </c>
      <c r="O1873" s="4"/>
    </row>
    <row r="1874" spans="1:15" x14ac:dyDescent="0.25">
      <c r="A1874" s="14"/>
      <c r="B1874" s="14"/>
      <c r="C1874" s="14"/>
      <c r="D1874" s="5" t="str">
        <f t="shared" si="177"/>
        <v/>
      </c>
      <c r="E1874" s="5" t="str">
        <f t="shared" si="178"/>
        <v/>
      </c>
      <c r="F1874" s="5" t="str">
        <f t="shared" si="179"/>
        <v/>
      </c>
      <c r="G1874" s="23"/>
      <c r="H1874" s="66"/>
      <c r="I1874" s="14"/>
      <c r="J1874" s="14"/>
      <c r="K1874" s="14"/>
      <c r="L1874" s="5" t="str">
        <f t="shared" si="180"/>
        <v/>
      </c>
      <c r="M1874" s="5" t="str">
        <f t="shared" si="181"/>
        <v/>
      </c>
      <c r="N1874" s="5" t="str">
        <f t="shared" si="182"/>
        <v/>
      </c>
      <c r="O1874" s="4"/>
    </row>
    <row r="1875" spans="1:15" x14ac:dyDescent="0.25">
      <c r="A1875" s="14"/>
      <c r="B1875" s="14"/>
      <c r="C1875" s="14"/>
      <c r="D1875" s="5" t="str">
        <f t="shared" si="177"/>
        <v/>
      </c>
      <c r="E1875" s="5" t="str">
        <f t="shared" si="178"/>
        <v/>
      </c>
      <c r="F1875" s="5" t="str">
        <f t="shared" si="179"/>
        <v/>
      </c>
      <c r="G1875" s="23"/>
      <c r="H1875" s="66"/>
      <c r="I1875" s="14"/>
      <c r="J1875" s="14"/>
      <c r="K1875" s="14"/>
      <c r="L1875" s="5" t="str">
        <f t="shared" si="180"/>
        <v/>
      </c>
      <c r="M1875" s="5" t="str">
        <f t="shared" si="181"/>
        <v/>
      </c>
      <c r="N1875" s="5" t="str">
        <f t="shared" si="182"/>
        <v/>
      </c>
      <c r="O1875" s="4"/>
    </row>
    <row r="1876" spans="1:15" x14ac:dyDescent="0.25">
      <c r="A1876" s="14"/>
      <c r="B1876" s="14"/>
      <c r="C1876" s="14"/>
      <c r="D1876" s="5" t="str">
        <f t="shared" si="177"/>
        <v/>
      </c>
      <c r="E1876" s="5" t="str">
        <f t="shared" si="178"/>
        <v/>
      </c>
      <c r="F1876" s="5" t="str">
        <f t="shared" si="179"/>
        <v/>
      </c>
      <c r="G1876" s="23"/>
      <c r="H1876" s="66"/>
      <c r="I1876" s="14"/>
      <c r="J1876" s="14"/>
      <c r="K1876" s="14"/>
      <c r="L1876" s="5" t="str">
        <f t="shared" si="180"/>
        <v/>
      </c>
      <c r="M1876" s="5" t="str">
        <f t="shared" si="181"/>
        <v/>
      </c>
      <c r="N1876" s="5" t="str">
        <f t="shared" si="182"/>
        <v/>
      </c>
      <c r="O1876" s="4"/>
    </row>
    <row r="1877" spans="1:15" x14ac:dyDescent="0.25">
      <c r="A1877" s="14"/>
      <c r="B1877" s="14"/>
      <c r="C1877" s="14"/>
      <c r="D1877" s="5" t="str">
        <f t="shared" si="177"/>
        <v/>
      </c>
      <c r="E1877" s="5" t="str">
        <f t="shared" si="178"/>
        <v/>
      </c>
      <c r="F1877" s="5" t="str">
        <f t="shared" si="179"/>
        <v/>
      </c>
      <c r="G1877" s="23"/>
      <c r="H1877" s="66"/>
      <c r="I1877" s="14"/>
      <c r="J1877" s="14"/>
      <c r="K1877" s="14"/>
      <c r="L1877" s="5" t="str">
        <f t="shared" si="180"/>
        <v/>
      </c>
      <c r="M1877" s="5" t="str">
        <f t="shared" si="181"/>
        <v/>
      </c>
      <c r="N1877" s="5" t="str">
        <f t="shared" si="182"/>
        <v/>
      </c>
      <c r="O1877" s="4"/>
    </row>
    <row r="1878" spans="1:15" x14ac:dyDescent="0.25">
      <c r="A1878" s="14"/>
      <c r="B1878" s="14"/>
      <c r="C1878" s="14"/>
      <c r="D1878" s="5" t="str">
        <f t="shared" si="177"/>
        <v/>
      </c>
      <c r="E1878" s="5" t="str">
        <f t="shared" si="178"/>
        <v/>
      </c>
      <c r="F1878" s="5" t="str">
        <f t="shared" si="179"/>
        <v/>
      </c>
      <c r="G1878" s="23"/>
      <c r="H1878" s="66"/>
      <c r="I1878" s="14"/>
      <c r="J1878" s="14"/>
      <c r="K1878" s="14"/>
      <c r="L1878" s="5" t="str">
        <f t="shared" si="180"/>
        <v/>
      </c>
      <c r="M1878" s="5" t="str">
        <f t="shared" si="181"/>
        <v/>
      </c>
      <c r="N1878" s="5" t="str">
        <f t="shared" si="182"/>
        <v/>
      </c>
      <c r="O1878" s="4"/>
    </row>
    <row r="1879" spans="1:15" x14ac:dyDescent="0.25">
      <c r="A1879" s="14"/>
      <c r="B1879" s="14"/>
      <c r="C1879" s="14"/>
      <c r="D1879" s="5" t="str">
        <f t="shared" si="177"/>
        <v/>
      </c>
      <c r="E1879" s="5" t="str">
        <f t="shared" si="178"/>
        <v/>
      </c>
      <c r="F1879" s="5" t="str">
        <f t="shared" si="179"/>
        <v/>
      </c>
      <c r="G1879" s="23"/>
      <c r="H1879" s="66"/>
      <c r="I1879" s="14"/>
      <c r="J1879" s="14"/>
      <c r="K1879" s="14"/>
      <c r="L1879" s="5" t="str">
        <f t="shared" si="180"/>
        <v/>
      </c>
      <c r="M1879" s="5" t="str">
        <f t="shared" si="181"/>
        <v/>
      </c>
      <c r="N1879" s="5" t="str">
        <f t="shared" si="182"/>
        <v/>
      </c>
      <c r="O1879" s="4"/>
    </row>
    <row r="1880" spans="1:15" x14ac:dyDescent="0.25">
      <c r="A1880" s="14"/>
      <c r="B1880" s="14"/>
      <c r="C1880" s="14"/>
      <c r="D1880" s="5" t="str">
        <f t="shared" si="177"/>
        <v/>
      </c>
      <c r="E1880" s="5" t="str">
        <f t="shared" si="178"/>
        <v/>
      </c>
      <c r="F1880" s="5" t="str">
        <f t="shared" si="179"/>
        <v/>
      </c>
      <c r="G1880" s="23"/>
      <c r="H1880" s="66"/>
      <c r="I1880" s="14"/>
      <c r="J1880" s="14"/>
      <c r="K1880" s="14"/>
      <c r="L1880" s="5" t="str">
        <f t="shared" si="180"/>
        <v/>
      </c>
      <c r="M1880" s="5" t="str">
        <f t="shared" si="181"/>
        <v/>
      </c>
      <c r="N1880" s="5" t="str">
        <f t="shared" si="182"/>
        <v/>
      </c>
      <c r="O1880" s="4"/>
    </row>
    <row r="1881" spans="1:15" x14ac:dyDescent="0.25">
      <c r="A1881" s="14"/>
      <c r="B1881" s="14"/>
      <c r="C1881" s="14"/>
      <c r="D1881" s="5" t="str">
        <f t="shared" ref="D1881:D1944" si="183">IFERROR( IF(A1881&lt;&gt;"",((B1881-B1880)*$X$4/(A1881-A1880))*$X$5,""),"")</f>
        <v/>
      </c>
      <c r="E1881" s="5" t="str">
        <f t="shared" ref="E1881:E1944" si="184">IFERROR(IF(A1881&lt;&gt;"",((C1881-C1880)*$X$4/(A1881-A1880))*$X$5,""),"")</f>
        <v/>
      </c>
      <c r="F1881" s="5" t="str">
        <f t="shared" ref="F1881:F1944" si="185">IFERROR(IF(A1881&lt;&gt;"",((ACOS((COS(RADIANS(B1880))*COS(RADIANS(B1881)))+(SIN(RADIANS(B1880))*SIN(RADIANS(B1881)))*COS(RADIANS(C1881-C1880)))*180/PI()*($X$4/(A1881-A1880))))*$X$5,""),"")</f>
        <v/>
      </c>
      <c r="G1881" s="23"/>
      <c r="H1881" s="66"/>
      <c r="I1881" s="14"/>
      <c r="J1881" s="14"/>
      <c r="K1881" s="14"/>
      <c r="L1881" s="5" t="str">
        <f t="shared" si="180"/>
        <v/>
      </c>
      <c r="M1881" s="5" t="str">
        <f t="shared" si="181"/>
        <v/>
      </c>
      <c r="N1881" s="5" t="str">
        <f t="shared" si="182"/>
        <v/>
      </c>
      <c r="O1881" s="4"/>
    </row>
    <row r="1882" spans="1:15" x14ac:dyDescent="0.25">
      <c r="A1882" s="14"/>
      <c r="B1882" s="14"/>
      <c r="C1882" s="14"/>
      <c r="D1882" s="5" t="str">
        <f t="shared" si="183"/>
        <v/>
      </c>
      <c r="E1882" s="5" t="str">
        <f t="shared" si="184"/>
        <v/>
      </c>
      <c r="F1882" s="5" t="str">
        <f t="shared" si="185"/>
        <v/>
      </c>
      <c r="G1882" s="23"/>
      <c r="H1882" s="66"/>
      <c r="I1882" s="14"/>
      <c r="J1882" s="14"/>
      <c r="K1882" s="14"/>
      <c r="L1882" s="5" t="str">
        <f t="shared" si="180"/>
        <v/>
      </c>
      <c r="M1882" s="5" t="str">
        <f t="shared" si="181"/>
        <v/>
      </c>
      <c r="N1882" s="5" t="str">
        <f t="shared" si="182"/>
        <v/>
      </c>
      <c r="O1882" s="4"/>
    </row>
    <row r="1883" spans="1:15" x14ac:dyDescent="0.25">
      <c r="A1883" s="14"/>
      <c r="B1883" s="14"/>
      <c r="C1883" s="14"/>
      <c r="D1883" s="5" t="str">
        <f t="shared" si="183"/>
        <v/>
      </c>
      <c r="E1883" s="5" t="str">
        <f t="shared" si="184"/>
        <v/>
      </c>
      <c r="F1883" s="5" t="str">
        <f t="shared" si="185"/>
        <v/>
      </c>
      <c r="G1883" s="23"/>
      <c r="H1883" s="66"/>
      <c r="I1883" s="14"/>
      <c r="J1883" s="14"/>
      <c r="K1883" s="14"/>
      <c r="L1883" s="5" t="str">
        <f t="shared" si="180"/>
        <v/>
      </c>
      <c r="M1883" s="5" t="str">
        <f t="shared" si="181"/>
        <v/>
      </c>
      <c r="N1883" s="5" t="str">
        <f t="shared" si="182"/>
        <v/>
      </c>
      <c r="O1883" s="4"/>
    </row>
    <row r="1884" spans="1:15" x14ac:dyDescent="0.25">
      <c r="A1884" s="14"/>
      <c r="B1884" s="14"/>
      <c r="C1884" s="14"/>
      <c r="D1884" s="5" t="str">
        <f t="shared" si="183"/>
        <v/>
      </c>
      <c r="E1884" s="5" t="str">
        <f t="shared" si="184"/>
        <v/>
      </c>
      <c r="F1884" s="5" t="str">
        <f t="shared" si="185"/>
        <v/>
      </c>
      <c r="G1884" s="23"/>
      <c r="H1884" s="66"/>
      <c r="I1884" s="14"/>
      <c r="J1884" s="14"/>
      <c r="K1884" s="14"/>
      <c r="L1884" s="5" t="str">
        <f t="shared" si="180"/>
        <v/>
      </c>
      <c r="M1884" s="5" t="str">
        <f t="shared" si="181"/>
        <v/>
      </c>
      <c r="N1884" s="5" t="str">
        <f t="shared" si="182"/>
        <v/>
      </c>
      <c r="O1884" s="4"/>
    </row>
    <row r="1885" spans="1:15" x14ac:dyDescent="0.25">
      <c r="A1885" s="14"/>
      <c r="B1885" s="14"/>
      <c r="C1885" s="14"/>
      <c r="D1885" s="5" t="str">
        <f t="shared" si="183"/>
        <v/>
      </c>
      <c r="E1885" s="5" t="str">
        <f t="shared" si="184"/>
        <v/>
      </c>
      <c r="F1885" s="5" t="str">
        <f t="shared" si="185"/>
        <v/>
      </c>
      <c r="G1885" s="23"/>
      <c r="H1885" s="66"/>
      <c r="I1885" s="14"/>
      <c r="J1885" s="14"/>
      <c r="K1885" s="14"/>
      <c r="L1885" s="5" t="str">
        <f t="shared" si="180"/>
        <v/>
      </c>
      <c r="M1885" s="5" t="str">
        <f t="shared" si="181"/>
        <v/>
      </c>
      <c r="N1885" s="5" t="str">
        <f t="shared" si="182"/>
        <v/>
      </c>
      <c r="O1885" s="4"/>
    </row>
    <row r="1886" spans="1:15" x14ac:dyDescent="0.25">
      <c r="A1886" s="14"/>
      <c r="B1886" s="14"/>
      <c r="C1886" s="14"/>
      <c r="D1886" s="5" t="str">
        <f t="shared" si="183"/>
        <v/>
      </c>
      <c r="E1886" s="5" t="str">
        <f t="shared" si="184"/>
        <v/>
      </c>
      <c r="F1886" s="5" t="str">
        <f t="shared" si="185"/>
        <v/>
      </c>
      <c r="G1886" s="23"/>
      <c r="H1886" s="66"/>
      <c r="I1886" s="14"/>
      <c r="J1886" s="14"/>
      <c r="K1886" s="14"/>
      <c r="L1886" s="5" t="str">
        <f t="shared" si="180"/>
        <v/>
      </c>
      <c r="M1886" s="5" t="str">
        <f t="shared" si="181"/>
        <v/>
      </c>
      <c r="N1886" s="5" t="str">
        <f t="shared" si="182"/>
        <v/>
      </c>
      <c r="O1886" s="4"/>
    </row>
    <row r="1887" spans="1:15" x14ac:dyDescent="0.25">
      <c r="A1887" s="14"/>
      <c r="B1887" s="14"/>
      <c r="C1887" s="14"/>
      <c r="D1887" s="5" t="str">
        <f t="shared" si="183"/>
        <v/>
      </c>
      <c r="E1887" s="5" t="str">
        <f t="shared" si="184"/>
        <v/>
      </c>
      <c r="F1887" s="5" t="str">
        <f t="shared" si="185"/>
        <v/>
      </c>
      <c r="G1887" s="23"/>
      <c r="H1887" s="66"/>
      <c r="I1887" s="14"/>
      <c r="J1887" s="14"/>
      <c r="K1887" s="14"/>
      <c r="L1887" s="5" t="str">
        <f t="shared" si="180"/>
        <v/>
      </c>
      <c r="M1887" s="5" t="str">
        <f t="shared" si="181"/>
        <v/>
      </c>
      <c r="N1887" s="5" t="str">
        <f t="shared" si="182"/>
        <v/>
      </c>
      <c r="O1887" s="4"/>
    </row>
    <row r="1888" spans="1:15" x14ac:dyDescent="0.25">
      <c r="A1888" s="14"/>
      <c r="B1888" s="14"/>
      <c r="C1888" s="14"/>
      <c r="D1888" s="5" t="str">
        <f t="shared" si="183"/>
        <v/>
      </c>
      <c r="E1888" s="5" t="str">
        <f t="shared" si="184"/>
        <v/>
      </c>
      <c r="F1888" s="5" t="str">
        <f t="shared" si="185"/>
        <v/>
      </c>
      <c r="G1888" s="23"/>
      <c r="H1888" s="66"/>
      <c r="I1888" s="14"/>
      <c r="J1888" s="14"/>
      <c r="K1888" s="14"/>
      <c r="L1888" s="5" t="str">
        <f t="shared" si="180"/>
        <v/>
      </c>
      <c r="M1888" s="5" t="str">
        <f t="shared" si="181"/>
        <v/>
      </c>
      <c r="N1888" s="5" t="str">
        <f t="shared" si="182"/>
        <v/>
      </c>
      <c r="O1888" s="4"/>
    </row>
    <row r="1889" spans="1:15" x14ac:dyDescent="0.25">
      <c r="A1889" s="14"/>
      <c r="B1889" s="14"/>
      <c r="C1889" s="14"/>
      <c r="D1889" s="5" t="str">
        <f t="shared" si="183"/>
        <v/>
      </c>
      <c r="E1889" s="5" t="str">
        <f t="shared" si="184"/>
        <v/>
      </c>
      <c r="F1889" s="5" t="str">
        <f t="shared" si="185"/>
        <v/>
      </c>
      <c r="G1889" s="23"/>
      <c r="H1889" s="66"/>
      <c r="I1889" s="14"/>
      <c r="J1889" s="14"/>
      <c r="K1889" s="14"/>
      <c r="L1889" s="5" t="str">
        <f t="shared" si="180"/>
        <v/>
      </c>
      <c r="M1889" s="5" t="str">
        <f t="shared" si="181"/>
        <v/>
      </c>
      <c r="N1889" s="5" t="str">
        <f t="shared" si="182"/>
        <v/>
      </c>
      <c r="O1889" s="4"/>
    </row>
    <row r="1890" spans="1:15" x14ac:dyDescent="0.25">
      <c r="A1890" s="14"/>
      <c r="B1890" s="14"/>
      <c r="C1890" s="14"/>
      <c r="D1890" s="5" t="str">
        <f t="shared" si="183"/>
        <v/>
      </c>
      <c r="E1890" s="5" t="str">
        <f t="shared" si="184"/>
        <v/>
      </c>
      <c r="F1890" s="5" t="str">
        <f t="shared" si="185"/>
        <v/>
      </c>
      <c r="G1890" s="23"/>
      <c r="H1890" s="66"/>
      <c r="I1890" s="14"/>
      <c r="J1890" s="14"/>
      <c r="K1890" s="14"/>
      <c r="L1890" s="5" t="str">
        <f t="shared" si="180"/>
        <v/>
      </c>
      <c r="M1890" s="5" t="str">
        <f t="shared" si="181"/>
        <v/>
      </c>
      <c r="N1890" s="5" t="str">
        <f t="shared" si="182"/>
        <v/>
      </c>
      <c r="O1890" s="4"/>
    </row>
    <row r="1891" spans="1:15" x14ac:dyDescent="0.25">
      <c r="A1891" s="14"/>
      <c r="B1891" s="14"/>
      <c r="C1891" s="14"/>
      <c r="D1891" s="5" t="str">
        <f t="shared" si="183"/>
        <v/>
      </c>
      <c r="E1891" s="5" t="str">
        <f t="shared" si="184"/>
        <v/>
      </c>
      <c r="F1891" s="5" t="str">
        <f t="shared" si="185"/>
        <v/>
      </c>
      <c r="G1891" s="23"/>
      <c r="H1891" s="66"/>
      <c r="I1891" s="14"/>
      <c r="J1891" s="14"/>
      <c r="K1891" s="14"/>
      <c r="L1891" s="5" t="str">
        <f t="shared" si="180"/>
        <v/>
      </c>
      <c r="M1891" s="5" t="str">
        <f t="shared" si="181"/>
        <v/>
      </c>
      <c r="N1891" s="5" t="str">
        <f t="shared" si="182"/>
        <v/>
      </c>
      <c r="O1891" s="4"/>
    </row>
    <row r="1892" spans="1:15" x14ac:dyDescent="0.25">
      <c r="A1892" s="14"/>
      <c r="B1892" s="14"/>
      <c r="C1892" s="14"/>
      <c r="D1892" s="5" t="str">
        <f t="shared" si="183"/>
        <v/>
      </c>
      <c r="E1892" s="5" t="str">
        <f t="shared" si="184"/>
        <v/>
      </c>
      <c r="F1892" s="5" t="str">
        <f t="shared" si="185"/>
        <v/>
      </c>
      <c r="G1892" s="23"/>
      <c r="H1892" s="66"/>
      <c r="I1892" s="14"/>
      <c r="J1892" s="14"/>
      <c r="K1892" s="14"/>
      <c r="L1892" s="5" t="str">
        <f t="shared" si="180"/>
        <v/>
      </c>
      <c r="M1892" s="5" t="str">
        <f t="shared" si="181"/>
        <v/>
      </c>
      <c r="N1892" s="5" t="str">
        <f t="shared" si="182"/>
        <v/>
      </c>
      <c r="O1892" s="4"/>
    </row>
    <row r="1893" spans="1:15" x14ac:dyDescent="0.25">
      <c r="A1893" s="14"/>
      <c r="B1893" s="14"/>
      <c r="C1893" s="14"/>
      <c r="D1893" s="5" t="str">
        <f t="shared" si="183"/>
        <v/>
      </c>
      <c r="E1893" s="5" t="str">
        <f t="shared" si="184"/>
        <v/>
      </c>
      <c r="F1893" s="5" t="str">
        <f t="shared" si="185"/>
        <v/>
      </c>
      <c r="G1893" s="23"/>
      <c r="H1893" s="66"/>
      <c r="I1893" s="14"/>
      <c r="J1893" s="14"/>
      <c r="K1893" s="14"/>
      <c r="L1893" s="5" t="str">
        <f t="shared" si="180"/>
        <v/>
      </c>
      <c r="M1893" s="5" t="str">
        <f t="shared" si="181"/>
        <v/>
      </c>
      <c r="N1893" s="5" t="str">
        <f t="shared" si="182"/>
        <v/>
      </c>
      <c r="O1893" s="4"/>
    </row>
    <row r="1894" spans="1:15" x14ac:dyDescent="0.25">
      <c r="A1894" s="14"/>
      <c r="B1894" s="14"/>
      <c r="C1894" s="14"/>
      <c r="D1894" s="5" t="str">
        <f t="shared" si="183"/>
        <v/>
      </c>
      <c r="E1894" s="5" t="str">
        <f t="shared" si="184"/>
        <v/>
      </c>
      <c r="F1894" s="5" t="str">
        <f t="shared" si="185"/>
        <v/>
      </c>
      <c r="G1894" s="23"/>
      <c r="H1894" s="66"/>
      <c r="I1894" s="14"/>
      <c r="J1894" s="14"/>
      <c r="K1894" s="14"/>
      <c r="L1894" s="5" t="str">
        <f t="shared" si="180"/>
        <v/>
      </c>
      <c r="M1894" s="5" t="str">
        <f t="shared" si="181"/>
        <v/>
      </c>
      <c r="N1894" s="5" t="str">
        <f t="shared" si="182"/>
        <v/>
      </c>
      <c r="O1894" s="4"/>
    </row>
    <row r="1895" spans="1:15" x14ac:dyDescent="0.25">
      <c r="A1895" s="14"/>
      <c r="B1895" s="14"/>
      <c r="C1895" s="14"/>
      <c r="D1895" s="5" t="str">
        <f t="shared" si="183"/>
        <v/>
      </c>
      <c r="E1895" s="5" t="str">
        <f t="shared" si="184"/>
        <v/>
      </c>
      <c r="F1895" s="5" t="str">
        <f t="shared" si="185"/>
        <v/>
      </c>
      <c r="G1895" s="23"/>
      <c r="H1895" s="66"/>
      <c r="I1895" s="14"/>
      <c r="J1895" s="14"/>
      <c r="K1895" s="14"/>
      <c r="L1895" s="5" t="str">
        <f t="shared" si="180"/>
        <v/>
      </c>
      <c r="M1895" s="5" t="str">
        <f t="shared" si="181"/>
        <v/>
      </c>
      <c r="N1895" s="5" t="str">
        <f t="shared" si="182"/>
        <v/>
      </c>
      <c r="O1895" s="4"/>
    </row>
    <row r="1896" spans="1:15" x14ac:dyDescent="0.25">
      <c r="A1896" s="14"/>
      <c r="B1896" s="14"/>
      <c r="C1896" s="14"/>
      <c r="D1896" s="5" t="str">
        <f t="shared" si="183"/>
        <v/>
      </c>
      <c r="E1896" s="5" t="str">
        <f t="shared" si="184"/>
        <v/>
      </c>
      <c r="F1896" s="5" t="str">
        <f t="shared" si="185"/>
        <v/>
      </c>
      <c r="G1896" s="23"/>
      <c r="H1896" s="66"/>
      <c r="I1896" s="14"/>
      <c r="J1896" s="14"/>
      <c r="K1896" s="14"/>
      <c r="L1896" s="5" t="str">
        <f t="shared" si="180"/>
        <v/>
      </c>
      <c r="M1896" s="5" t="str">
        <f t="shared" si="181"/>
        <v/>
      </c>
      <c r="N1896" s="5" t="str">
        <f t="shared" si="182"/>
        <v/>
      </c>
      <c r="O1896" s="4"/>
    </row>
    <row r="1897" spans="1:15" x14ac:dyDescent="0.25">
      <c r="A1897" s="14"/>
      <c r="B1897" s="14"/>
      <c r="C1897" s="14"/>
      <c r="D1897" s="5" t="str">
        <f t="shared" si="183"/>
        <v/>
      </c>
      <c r="E1897" s="5" t="str">
        <f t="shared" si="184"/>
        <v/>
      </c>
      <c r="F1897" s="5" t="str">
        <f t="shared" si="185"/>
        <v/>
      </c>
      <c r="G1897" s="23"/>
      <c r="H1897" s="66"/>
      <c r="I1897" s="14"/>
      <c r="J1897" s="14"/>
      <c r="K1897" s="14"/>
      <c r="L1897" s="5" t="str">
        <f t="shared" si="180"/>
        <v/>
      </c>
      <c r="M1897" s="5" t="str">
        <f t="shared" si="181"/>
        <v/>
      </c>
      <c r="N1897" s="5" t="str">
        <f t="shared" si="182"/>
        <v/>
      </c>
      <c r="O1897" s="4"/>
    </row>
    <row r="1898" spans="1:15" x14ac:dyDescent="0.25">
      <c r="A1898" s="14"/>
      <c r="B1898" s="14"/>
      <c r="C1898" s="14"/>
      <c r="D1898" s="5" t="str">
        <f t="shared" si="183"/>
        <v/>
      </c>
      <c r="E1898" s="5" t="str">
        <f t="shared" si="184"/>
        <v/>
      </c>
      <c r="F1898" s="5" t="str">
        <f t="shared" si="185"/>
        <v/>
      </c>
      <c r="G1898" s="23"/>
      <c r="H1898" s="66"/>
      <c r="I1898" s="14"/>
      <c r="J1898" s="14"/>
      <c r="K1898" s="14"/>
      <c r="L1898" s="5" t="str">
        <f t="shared" si="180"/>
        <v/>
      </c>
      <c r="M1898" s="5" t="str">
        <f t="shared" si="181"/>
        <v/>
      </c>
      <c r="N1898" s="5" t="str">
        <f t="shared" si="182"/>
        <v/>
      </c>
      <c r="O1898" s="4"/>
    </row>
    <row r="1899" spans="1:15" x14ac:dyDescent="0.25">
      <c r="A1899" s="14"/>
      <c r="B1899" s="14"/>
      <c r="C1899" s="14"/>
      <c r="D1899" s="5" t="str">
        <f t="shared" si="183"/>
        <v/>
      </c>
      <c r="E1899" s="5" t="str">
        <f t="shared" si="184"/>
        <v/>
      </c>
      <c r="F1899" s="5" t="str">
        <f t="shared" si="185"/>
        <v/>
      </c>
      <c r="G1899" s="23"/>
      <c r="H1899" s="66"/>
      <c r="I1899" s="14"/>
      <c r="J1899" s="14"/>
      <c r="K1899" s="14"/>
      <c r="L1899" s="5" t="str">
        <f t="shared" si="180"/>
        <v/>
      </c>
      <c r="M1899" s="5" t="str">
        <f t="shared" si="181"/>
        <v/>
      </c>
      <c r="N1899" s="5" t="str">
        <f t="shared" si="182"/>
        <v/>
      </c>
      <c r="O1899" s="4"/>
    </row>
    <row r="1900" spans="1:15" x14ac:dyDescent="0.25">
      <c r="A1900" s="14"/>
      <c r="B1900" s="14"/>
      <c r="C1900" s="14"/>
      <c r="D1900" s="5" t="str">
        <f t="shared" si="183"/>
        <v/>
      </c>
      <c r="E1900" s="5" t="str">
        <f t="shared" si="184"/>
        <v/>
      </c>
      <c r="F1900" s="5" t="str">
        <f t="shared" si="185"/>
        <v/>
      </c>
      <c r="G1900" s="23"/>
      <c r="H1900" s="66"/>
      <c r="I1900" s="14"/>
      <c r="J1900" s="14"/>
      <c r="K1900" s="14"/>
      <c r="L1900" s="5" t="str">
        <f t="shared" si="180"/>
        <v/>
      </c>
      <c r="M1900" s="5" t="str">
        <f t="shared" si="181"/>
        <v/>
      </c>
      <c r="N1900" s="5" t="str">
        <f t="shared" si="182"/>
        <v/>
      </c>
      <c r="O1900" s="4"/>
    </row>
    <row r="1901" spans="1:15" x14ac:dyDescent="0.25">
      <c r="A1901" s="14"/>
      <c r="B1901" s="14"/>
      <c r="C1901" s="14"/>
      <c r="D1901" s="5" t="str">
        <f t="shared" si="183"/>
        <v/>
      </c>
      <c r="E1901" s="5" t="str">
        <f t="shared" si="184"/>
        <v/>
      </c>
      <c r="F1901" s="5" t="str">
        <f t="shared" si="185"/>
        <v/>
      </c>
      <c r="G1901" s="23"/>
      <c r="H1901" s="66"/>
      <c r="I1901" s="14"/>
      <c r="J1901" s="14"/>
      <c r="K1901" s="14"/>
      <c r="L1901" s="5" t="str">
        <f t="shared" si="180"/>
        <v/>
      </c>
      <c r="M1901" s="5" t="str">
        <f t="shared" si="181"/>
        <v/>
      </c>
      <c r="N1901" s="5" t="str">
        <f t="shared" si="182"/>
        <v/>
      </c>
      <c r="O1901" s="4"/>
    </row>
    <row r="1902" spans="1:15" x14ac:dyDescent="0.25">
      <c r="A1902" s="14"/>
      <c r="B1902" s="14"/>
      <c r="C1902" s="14"/>
      <c r="D1902" s="5" t="str">
        <f t="shared" si="183"/>
        <v/>
      </c>
      <c r="E1902" s="5" t="str">
        <f t="shared" si="184"/>
        <v/>
      </c>
      <c r="F1902" s="5" t="str">
        <f t="shared" si="185"/>
        <v/>
      </c>
      <c r="G1902" s="23"/>
      <c r="H1902" s="66"/>
      <c r="I1902" s="14"/>
      <c r="J1902" s="14"/>
      <c r="K1902" s="14"/>
      <c r="L1902" s="5" t="str">
        <f t="shared" si="180"/>
        <v/>
      </c>
      <c r="M1902" s="5" t="str">
        <f t="shared" si="181"/>
        <v/>
      </c>
      <c r="N1902" s="5" t="str">
        <f t="shared" si="182"/>
        <v/>
      </c>
      <c r="O1902" s="4"/>
    </row>
    <row r="1903" spans="1:15" x14ac:dyDescent="0.25">
      <c r="A1903" s="14"/>
      <c r="B1903" s="14"/>
      <c r="C1903" s="14"/>
      <c r="D1903" s="5" t="str">
        <f t="shared" si="183"/>
        <v/>
      </c>
      <c r="E1903" s="5" t="str">
        <f t="shared" si="184"/>
        <v/>
      </c>
      <c r="F1903" s="5" t="str">
        <f t="shared" si="185"/>
        <v/>
      </c>
      <c r="G1903" s="23"/>
      <c r="H1903" s="66"/>
      <c r="I1903" s="14"/>
      <c r="J1903" s="14"/>
      <c r="K1903" s="14"/>
      <c r="L1903" s="5" t="str">
        <f t="shared" si="180"/>
        <v/>
      </c>
      <c r="M1903" s="5" t="str">
        <f t="shared" si="181"/>
        <v/>
      </c>
      <c r="N1903" s="5" t="str">
        <f t="shared" si="182"/>
        <v/>
      </c>
      <c r="O1903" s="4"/>
    </row>
    <row r="1904" spans="1:15" x14ac:dyDescent="0.25">
      <c r="A1904" s="14"/>
      <c r="B1904" s="14"/>
      <c r="C1904" s="14"/>
      <c r="D1904" s="5" t="str">
        <f t="shared" si="183"/>
        <v/>
      </c>
      <c r="E1904" s="5" t="str">
        <f t="shared" si="184"/>
        <v/>
      </c>
      <c r="F1904" s="5" t="str">
        <f t="shared" si="185"/>
        <v/>
      </c>
      <c r="G1904" s="23"/>
      <c r="H1904" s="66"/>
      <c r="I1904" s="14"/>
      <c r="J1904" s="14"/>
      <c r="K1904" s="14"/>
      <c r="L1904" s="5" t="str">
        <f t="shared" si="180"/>
        <v/>
      </c>
      <c r="M1904" s="5" t="str">
        <f t="shared" si="181"/>
        <v/>
      </c>
      <c r="N1904" s="5" t="str">
        <f t="shared" si="182"/>
        <v/>
      </c>
      <c r="O1904" s="4"/>
    </row>
    <row r="1905" spans="1:15" x14ac:dyDescent="0.25">
      <c r="A1905" s="14"/>
      <c r="B1905" s="14"/>
      <c r="C1905" s="14"/>
      <c r="D1905" s="5" t="str">
        <f t="shared" si="183"/>
        <v/>
      </c>
      <c r="E1905" s="5" t="str">
        <f t="shared" si="184"/>
        <v/>
      </c>
      <c r="F1905" s="5" t="str">
        <f t="shared" si="185"/>
        <v/>
      </c>
      <c r="G1905" s="23"/>
      <c r="H1905" s="66"/>
      <c r="I1905" s="14"/>
      <c r="J1905" s="14"/>
      <c r="K1905" s="14"/>
      <c r="L1905" s="5" t="str">
        <f t="shared" si="180"/>
        <v/>
      </c>
      <c r="M1905" s="5" t="str">
        <f t="shared" si="181"/>
        <v/>
      </c>
      <c r="N1905" s="5" t="str">
        <f t="shared" si="182"/>
        <v/>
      </c>
      <c r="O1905" s="4"/>
    </row>
    <row r="1906" spans="1:15" x14ac:dyDescent="0.25">
      <c r="A1906" s="14"/>
      <c r="B1906" s="14"/>
      <c r="C1906" s="14"/>
      <c r="D1906" s="5" t="str">
        <f t="shared" si="183"/>
        <v/>
      </c>
      <c r="E1906" s="5" t="str">
        <f t="shared" si="184"/>
        <v/>
      </c>
      <c r="F1906" s="5" t="str">
        <f t="shared" si="185"/>
        <v/>
      </c>
      <c r="G1906" s="23"/>
      <c r="H1906" s="66"/>
      <c r="I1906" s="14"/>
      <c r="J1906" s="14"/>
      <c r="K1906" s="14"/>
      <c r="L1906" s="5" t="str">
        <f t="shared" si="180"/>
        <v/>
      </c>
      <c r="M1906" s="5" t="str">
        <f t="shared" si="181"/>
        <v/>
      </c>
      <c r="N1906" s="5" t="str">
        <f t="shared" si="182"/>
        <v/>
      </c>
      <c r="O1906" s="4"/>
    </row>
    <row r="1907" spans="1:15" x14ac:dyDescent="0.25">
      <c r="A1907" s="14"/>
      <c r="B1907" s="14"/>
      <c r="C1907" s="14"/>
      <c r="D1907" s="5" t="str">
        <f t="shared" si="183"/>
        <v/>
      </c>
      <c r="E1907" s="5" t="str">
        <f t="shared" si="184"/>
        <v/>
      </c>
      <c r="F1907" s="5" t="str">
        <f t="shared" si="185"/>
        <v/>
      </c>
      <c r="G1907" s="23"/>
      <c r="H1907" s="66"/>
      <c r="I1907" s="14"/>
      <c r="J1907" s="14"/>
      <c r="K1907" s="14"/>
      <c r="L1907" s="5" t="str">
        <f t="shared" si="180"/>
        <v/>
      </c>
      <c r="M1907" s="5" t="str">
        <f t="shared" si="181"/>
        <v/>
      </c>
      <c r="N1907" s="5" t="str">
        <f t="shared" si="182"/>
        <v/>
      </c>
      <c r="O1907" s="4"/>
    </row>
    <row r="1908" spans="1:15" x14ac:dyDescent="0.25">
      <c r="A1908" s="14"/>
      <c r="B1908" s="14"/>
      <c r="C1908" s="14"/>
      <c r="D1908" s="5" t="str">
        <f t="shared" si="183"/>
        <v/>
      </c>
      <c r="E1908" s="5" t="str">
        <f t="shared" si="184"/>
        <v/>
      </c>
      <c r="F1908" s="5" t="str">
        <f t="shared" si="185"/>
        <v/>
      </c>
      <c r="G1908" s="23"/>
      <c r="H1908" s="66"/>
      <c r="I1908" s="14"/>
      <c r="J1908" s="14"/>
      <c r="K1908" s="14"/>
      <c r="L1908" s="5" t="str">
        <f t="shared" si="180"/>
        <v/>
      </c>
      <c r="M1908" s="5" t="str">
        <f t="shared" si="181"/>
        <v/>
      </c>
      <c r="N1908" s="5" t="str">
        <f t="shared" si="182"/>
        <v/>
      </c>
      <c r="O1908" s="4"/>
    </row>
    <row r="1909" spans="1:15" x14ac:dyDescent="0.25">
      <c r="A1909" s="14"/>
      <c r="B1909" s="14"/>
      <c r="C1909" s="14"/>
      <c r="D1909" s="5" t="str">
        <f t="shared" si="183"/>
        <v/>
      </c>
      <c r="E1909" s="5" t="str">
        <f t="shared" si="184"/>
        <v/>
      </c>
      <c r="F1909" s="5" t="str">
        <f t="shared" si="185"/>
        <v/>
      </c>
      <c r="G1909" s="23"/>
      <c r="H1909" s="66"/>
      <c r="I1909" s="14"/>
      <c r="J1909" s="14"/>
      <c r="K1909" s="14"/>
      <c r="L1909" s="5" t="str">
        <f t="shared" si="180"/>
        <v/>
      </c>
      <c r="M1909" s="5" t="str">
        <f t="shared" si="181"/>
        <v/>
      </c>
      <c r="N1909" s="5" t="str">
        <f t="shared" si="182"/>
        <v/>
      </c>
      <c r="O1909" s="4"/>
    </row>
    <row r="1910" spans="1:15" x14ac:dyDescent="0.25">
      <c r="A1910" s="14"/>
      <c r="B1910" s="14"/>
      <c r="C1910" s="14"/>
      <c r="D1910" s="5" t="str">
        <f t="shared" si="183"/>
        <v/>
      </c>
      <c r="E1910" s="5" t="str">
        <f t="shared" si="184"/>
        <v/>
      </c>
      <c r="F1910" s="5" t="str">
        <f t="shared" si="185"/>
        <v/>
      </c>
      <c r="G1910" s="23"/>
      <c r="H1910" s="66"/>
      <c r="I1910" s="14"/>
      <c r="J1910" s="14"/>
      <c r="K1910" s="14"/>
      <c r="L1910" s="5" t="str">
        <f t="shared" si="180"/>
        <v/>
      </c>
      <c r="M1910" s="5" t="str">
        <f t="shared" si="181"/>
        <v/>
      </c>
      <c r="N1910" s="5" t="str">
        <f t="shared" si="182"/>
        <v/>
      </c>
      <c r="O1910" s="4"/>
    </row>
    <row r="1911" spans="1:15" x14ac:dyDescent="0.25">
      <c r="A1911" s="14"/>
      <c r="B1911" s="14"/>
      <c r="C1911" s="14"/>
      <c r="D1911" s="5" t="str">
        <f t="shared" si="183"/>
        <v/>
      </c>
      <c r="E1911" s="5" t="str">
        <f t="shared" si="184"/>
        <v/>
      </c>
      <c r="F1911" s="5" t="str">
        <f t="shared" si="185"/>
        <v/>
      </c>
      <c r="G1911" s="23"/>
      <c r="H1911" s="66"/>
      <c r="I1911" s="14"/>
      <c r="J1911" s="14"/>
      <c r="K1911" s="14"/>
      <c r="L1911" s="5" t="str">
        <f t="shared" si="180"/>
        <v/>
      </c>
      <c r="M1911" s="5" t="str">
        <f t="shared" si="181"/>
        <v/>
      </c>
      <c r="N1911" s="5" t="str">
        <f t="shared" si="182"/>
        <v/>
      </c>
      <c r="O1911" s="4"/>
    </row>
    <row r="1912" spans="1:15" x14ac:dyDescent="0.25">
      <c r="A1912" s="14"/>
      <c r="B1912" s="14"/>
      <c r="C1912" s="14"/>
      <c r="D1912" s="5" t="str">
        <f t="shared" si="183"/>
        <v/>
      </c>
      <c r="E1912" s="5" t="str">
        <f t="shared" si="184"/>
        <v/>
      </c>
      <c r="F1912" s="5" t="str">
        <f t="shared" si="185"/>
        <v/>
      </c>
      <c r="G1912" s="23"/>
      <c r="H1912" s="66"/>
      <c r="I1912" s="14"/>
      <c r="J1912" s="14"/>
      <c r="K1912" s="14"/>
      <c r="L1912" s="5" t="str">
        <f t="shared" si="180"/>
        <v/>
      </c>
      <c r="M1912" s="5" t="str">
        <f t="shared" si="181"/>
        <v/>
      </c>
      <c r="N1912" s="5" t="str">
        <f t="shared" si="182"/>
        <v/>
      </c>
      <c r="O1912" s="4"/>
    </row>
    <row r="1913" spans="1:15" x14ac:dyDescent="0.25">
      <c r="A1913" s="14"/>
      <c r="B1913" s="14"/>
      <c r="C1913" s="14"/>
      <c r="D1913" s="5" t="str">
        <f t="shared" si="183"/>
        <v/>
      </c>
      <c r="E1913" s="5" t="str">
        <f t="shared" si="184"/>
        <v/>
      </c>
      <c r="F1913" s="5" t="str">
        <f t="shared" si="185"/>
        <v/>
      </c>
      <c r="G1913" s="23"/>
      <c r="H1913" s="66"/>
      <c r="I1913" s="14"/>
      <c r="J1913" s="14"/>
      <c r="K1913" s="14"/>
      <c r="L1913" s="5" t="str">
        <f t="shared" si="180"/>
        <v/>
      </c>
      <c r="M1913" s="5" t="str">
        <f t="shared" si="181"/>
        <v/>
      </c>
      <c r="N1913" s="5" t="str">
        <f t="shared" si="182"/>
        <v/>
      </c>
      <c r="O1913" s="4"/>
    </row>
    <row r="1914" spans="1:15" x14ac:dyDescent="0.25">
      <c r="A1914" s="14"/>
      <c r="B1914" s="14"/>
      <c r="C1914" s="14"/>
      <c r="D1914" s="5" t="str">
        <f t="shared" si="183"/>
        <v/>
      </c>
      <c r="E1914" s="5" t="str">
        <f t="shared" si="184"/>
        <v/>
      </c>
      <c r="F1914" s="5" t="str">
        <f t="shared" si="185"/>
        <v/>
      </c>
      <c r="G1914" s="23"/>
      <c r="H1914" s="66"/>
      <c r="I1914" s="14"/>
      <c r="J1914" s="14"/>
      <c r="K1914" s="14"/>
      <c r="L1914" s="5" t="str">
        <f t="shared" si="180"/>
        <v/>
      </c>
      <c r="M1914" s="5" t="str">
        <f t="shared" si="181"/>
        <v/>
      </c>
      <c r="N1914" s="5" t="str">
        <f t="shared" si="182"/>
        <v/>
      </c>
      <c r="O1914" s="4"/>
    </row>
    <row r="1915" spans="1:15" x14ac:dyDescent="0.25">
      <c r="A1915" s="14"/>
      <c r="B1915" s="14"/>
      <c r="C1915" s="14"/>
      <c r="D1915" s="5" t="str">
        <f t="shared" si="183"/>
        <v/>
      </c>
      <c r="E1915" s="5" t="str">
        <f t="shared" si="184"/>
        <v/>
      </c>
      <c r="F1915" s="5" t="str">
        <f t="shared" si="185"/>
        <v/>
      </c>
      <c r="G1915" s="23"/>
      <c r="H1915" s="66"/>
      <c r="I1915" s="14"/>
      <c r="J1915" s="14"/>
      <c r="K1915" s="14"/>
      <c r="L1915" s="5" t="str">
        <f t="shared" si="180"/>
        <v/>
      </c>
      <c r="M1915" s="5" t="str">
        <f t="shared" si="181"/>
        <v/>
      </c>
      <c r="N1915" s="5" t="str">
        <f t="shared" si="182"/>
        <v/>
      </c>
      <c r="O1915" s="4"/>
    </row>
    <row r="1916" spans="1:15" x14ac:dyDescent="0.25">
      <c r="A1916" s="14"/>
      <c r="B1916" s="14"/>
      <c r="C1916" s="14"/>
      <c r="D1916" s="5" t="str">
        <f t="shared" si="183"/>
        <v/>
      </c>
      <c r="E1916" s="5" t="str">
        <f t="shared" si="184"/>
        <v/>
      </c>
      <c r="F1916" s="5" t="str">
        <f t="shared" si="185"/>
        <v/>
      </c>
      <c r="G1916" s="23"/>
      <c r="H1916" s="66"/>
      <c r="I1916" s="14"/>
      <c r="J1916" s="14"/>
      <c r="K1916" s="14"/>
      <c r="L1916" s="5" t="str">
        <f t="shared" si="180"/>
        <v/>
      </c>
      <c r="M1916" s="5" t="str">
        <f t="shared" si="181"/>
        <v/>
      </c>
      <c r="N1916" s="5" t="str">
        <f t="shared" si="182"/>
        <v/>
      </c>
      <c r="O1916" s="4"/>
    </row>
    <row r="1917" spans="1:15" x14ac:dyDescent="0.25">
      <c r="A1917" s="14"/>
      <c r="B1917" s="14"/>
      <c r="C1917" s="14"/>
      <c r="D1917" s="5" t="str">
        <f t="shared" si="183"/>
        <v/>
      </c>
      <c r="E1917" s="5" t="str">
        <f t="shared" si="184"/>
        <v/>
      </c>
      <c r="F1917" s="5" t="str">
        <f t="shared" si="185"/>
        <v/>
      </c>
      <c r="G1917" s="23"/>
      <c r="H1917" s="66"/>
      <c r="I1917" s="14"/>
      <c r="J1917" s="14"/>
      <c r="K1917" s="14"/>
      <c r="L1917" s="5" t="str">
        <f t="shared" si="180"/>
        <v/>
      </c>
      <c r="M1917" s="5" t="str">
        <f t="shared" si="181"/>
        <v/>
      </c>
      <c r="N1917" s="5" t="str">
        <f t="shared" si="182"/>
        <v/>
      </c>
      <c r="O1917" s="4"/>
    </row>
    <row r="1918" spans="1:15" x14ac:dyDescent="0.25">
      <c r="A1918" s="14"/>
      <c r="B1918" s="14"/>
      <c r="C1918" s="14"/>
      <c r="D1918" s="5" t="str">
        <f t="shared" si="183"/>
        <v/>
      </c>
      <c r="E1918" s="5" t="str">
        <f t="shared" si="184"/>
        <v/>
      </c>
      <c r="F1918" s="5" t="str">
        <f t="shared" si="185"/>
        <v/>
      </c>
      <c r="G1918" s="23"/>
      <c r="H1918" s="66"/>
      <c r="I1918" s="14"/>
      <c r="J1918" s="14"/>
      <c r="K1918" s="14"/>
      <c r="L1918" s="5" t="str">
        <f t="shared" si="180"/>
        <v/>
      </c>
      <c r="M1918" s="5" t="str">
        <f t="shared" si="181"/>
        <v/>
      </c>
      <c r="N1918" s="5" t="str">
        <f t="shared" si="182"/>
        <v/>
      </c>
      <c r="O1918" s="4"/>
    </row>
    <row r="1919" spans="1:15" x14ac:dyDescent="0.25">
      <c r="A1919" s="14"/>
      <c r="B1919" s="14"/>
      <c r="C1919" s="14"/>
      <c r="D1919" s="5" t="str">
        <f t="shared" si="183"/>
        <v/>
      </c>
      <c r="E1919" s="5" t="str">
        <f t="shared" si="184"/>
        <v/>
      </c>
      <c r="F1919" s="5" t="str">
        <f t="shared" si="185"/>
        <v/>
      </c>
      <c r="G1919" s="23"/>
      <c r="H1919" s="66"/>
      <c r="I1919" s="14"/>
      <c r="J1919" s="14"/>
      <c r="K1919" s="14"/>
      <c r="L1919" s="5" t="str">
        <f t="shared" si="180"/>
        <v/>
      </c>
      <c r="M1919" s="5" t="str">
        <f t="shared" si="181"/>
        <v/>
      </c>
      <c r="N1919" s="5" t="str">
        <f t="shared" si="182"/>
        <v/>
      </c>
      <c r="O1919" s="4"/>
    </row>
    <row r="1920" spans="1:15" x14ac:dyDescent="0.25">
      <c r="A1920" s="14"/>
      <c r="B1920" s="14"/>
      <c r="C1920" s="14"/>
      <c r="D1920" s="5" t="str">
        <f t="shared" si="183"/>
        <v/>
      </c>
      <c r="E1920" s="5" t="str">
        <f t="shared" si="184"/>
        <v/>
      </c>
      <c r="F1920" s="5" t="str">
        <f t="shared" si="185"/>
        <v/>
      </c>
      <c r="G1920" s="23"/>
      <c r="H1920" s="66"/>
      <c r="I1920" s="14"/>
      <c r="J1920" s="14"/>
      <c r="K1920" s="14"/>
      <c r="L1920" s="5" t="str">
        <f t="shared" si="180"/>
        <v/>
      </c>
      <c r="M1920" s="5" t="str">
        <f t="shared" si="181"/>
        <v/>
      </c>
      <c r="N1920" s="5" t="str">
        <f t="shared" si="182"/>
        <v/>
      </c>
      <c r="O1920" s="4"/>
    </row>
    <row r="1921" spans="1:15" x14ac:dyDescent="0.25">
      <c r="A1921" s="14"/>
      <c r="B1921" s="14"/>
      <c r="C1921" s="14"/>
      <c r="D1921" s="5" t="str">
        <f t="shared" si="183"/>
        <v/>
      </c>
      <c r="E1921" s="5" t="str">
        <f t="shared" si="184"/>
        <v/>
      </c>
      <c r="F1921" s="5" t="str">
        <f t="shared" si="185"/>
        <v/>
      </c>
      <c r="G1921" s="23"/>
      <c r="H1921" s="66"/>
      <c r="I1921" s="14"/>
      <c r="J1921" s="14"/>
      <c r="K1921" s="14"/>
      <c r="L1921" s="5" t="str">
        <f t="shared" si="180"/>
        <v/>
      </c>
      <c r="M1921" s="5" t="str">
        <f t="shared" si="181"/>
        <v/>
      </c>
      <c r="N1921" s="5" t="str">
        <f t="shared" si="182"/>
        <v/>
      </c>
      <c r="O1921" s="4"/>
    </row>
    <row r="1922" spans="1:15" x14ac:dyDescent="0.25">
      <c r="A1922" s="14"/>
      <c r="B1922" s="14"/>
      <c r="C1922" s="14"/>
      <c r="D1922" s="5" t="str">
        <f t="shared" si="183"/>
        <v/>
      </c>
      <c r="E1922" s="5" t="str">
        <f t="shared" si="184"/>
        <v/>
      </c>
      <c r="F1922" s="5" t="str">
        <f t="shared" si="185"/>
        <v/>
      </c>
      <c r="G1922" s="23"/>
      <c r="H1922" s="66"/>
      <c r="I1922" s="14"/>
      <c r="J1922" s="14"/>
      <c r="K1922" s="14"/>
      <c r="L1922" s="5" t="str">
        <f t="shared" si="180"/>
        <v/>
      </c>
      <c r="M1922" s="5" t="str">
        <f t="shared" si="181"/>
        <v/>
      </c>
      <c r="N1922" s="5" t="str">
        <f t="shared" si="182"/>
        <v/>
      </c>
      <c r="O1922" s="4"/>
    </row>
    <row r="1923" spans="1:15" x14ac:dyDescent="0.25">
      <c r="A1923" s="14"/>
      <c r="B1923" s="14"/>
      <c r="C1923" s="14"/>
      <c r="D1923" s="5" t="str">
        <f t="shared" si="183"/>
        <v/>
      </c>
      <c r="E1923" s="5" t="str">
        <f t="shared" si="184"/>
        <v/>
      </c>
      <c r="F1923" s="5" t="str">
        <f t="shared" si="185"/>
        <v/>
      </c>
      <c r="G1923" s="23"/>
      <c r="H1923" s="66"/>
      <c r="I1923" s="14"/>
      <c r="J1923" s="14"/>
      <c r="K1923" s="14"/>
      <c r="L1923" s="5" t="str">
        <f t="shared" si="180"/>
        <v/>
      </c>
      <c r="M1923" s="5" t="str">
        <f t="shared" si="181"/>
        <v/>
      </c>
      <c r="N1923" s="5" t="str">
        <f t="shared" si="182"/>
        <v/>
      </c>
      <c r="O1923" s="4"/>
    </row>
    <row r="1924" spans="1:15" x14ac:dyDescent="0.25">
      <c r="A1924" s="14"/>
      <c r="B1924" s="14"/>
      <c r="C1924" s="14"/>
      <c r="D1924" s="5" t="str">
        <f t="shared" si="183"/>
        <v/>
      </c>
      <c r="E1924" s="5" t="str">
        <f t="shared" si="184"/>
        <v/>
      </c>
      <c r="F1924" s="5" t="str">
        <f t="shared" si="185"/>
        <v/>
      </c>
      <c r="G1924" s="23"/>
      <c r="H1924" s="66"/>
      <c r="I1924" s="14"/>
      <c r="J1924" s="14"/>
      <c r="K1924" s="14"/>
      <c r="L1924" s="5" t="str">
        <f t="shared" si="180"/>
        <v/>
      </c>
      <c r="M1924" s="5" t="str">
        <f t="shared" si="181"/>
        <v/>
      </c>
      <c r="N1924" s="5" t="str">
        <f t="shared" si="182"/>
        <v/>
      </c>
      <c r="O1924" s="4"/>
    </row>
    <row r="1925" spans="1:15" x14ac:dyDescent="0.25">
      <c r="A1925" s="14"/>
      <c r="B1925" s="14"/>
      <c r="C1925" s="14"/>
      <c r="D1925" s="5" t="str">
        <f t="shared" si="183"/>
        <v/>
      </c>
      <c r="E1925" s="5" t="str">
        <f t="shared" si="184"/>
        <v/>
      </c>
      <c r="F1925" s="5" t="str">
        <f t="shared" si="185"/>
        <v/>
      </c>
      <c r="G1925" s="23"/>
      <c r="H1925" s="66"/>
      <c r="I1925" s="14"/>
      <c r="J1925" s="14"/>
      <c r="K1925" s="14"/>
      <c r="L1925" s="5" t="str">
        <f t="shared" si="180"/>
        <v/>
      </c>
      <c r="M1925" s="5" t="str">
        <f t="shared" si="181"/>
        <v/>
      </c>
      <c r="N1925" s="5" t="str">
        <f t="shared" si="182"/>
        <v/>
      </c>
      <c r="O1925" s="4"/>
    </row>
    <row r="1926" spans="1:15" x14ac:dyDescent="0.25">
      <c r="A1926" s="14"/>
      <c r="B1926" s="14"/>
      <c r="C1926" s="14"/>
      <c r="D1926" s="5" t="str">
        <f t="shared" si="183"/>
        <v/>
      </c>
      <c r="E1926" s="5" t="str">
        <f t="shared" si="184"/>
        <v/>
      </c>
      <c r="F1926" s="5" t="str">
        <f t="shared" si="185"/>
        <v/>
      </c>
      <c r="G1926" s="23"/>
      <c r="H1926" s="66"/>
      <c r="I1926" s="14"/>
      <c r="J1926" s="14"/>
      <c r="K1926" s="14"/>
      <c r="L1926" s="5" t="str">
        <f t="shared" si="180"/>
        <v/>
      </c>
      <c r="M1926" s="5" t="str">
        <f t="shared" si="181"/>
        <v/>
      </c>
      <c r="N1926" s="5" t="str">
        <f t="shared" si="182"/>
        <v/>
      </c>
      <c r="O1926" s="4"/>
    </row>
    <row r="1927" spans="1:15" x14ac:dyDescent="0.25">
      <c r="A1927" s="14"/>
      <c r="B1927" s="14"/>
      <c r="C1927" s="14"/>
      <c r="D1927" s="5" t="str">
        <f t="shared" si="183"/>
        <v/>
      </c>
      <c r="E1927" s="5" t="str">
        <f t="shared" si="184"/>
        <v/>
      </c>
      <c r="F1927" s="5" t="str">
        <f t="shared" si="185"/>
        <v/>
      </c>
      <c r="G1927" s="23"/>
      <c r="H1927" s="66"/>
      <c r="I1927" s="14"/>
      <c r="J1927" s="14"/>
      <c r="K1927" s="14"/>
      <c r="L1927" s="5" t="str">
        <f t="shared" si="180"/>
        <v/>
      </c>
      <c r="M1927" s="5" t="str">
        <f t="shared" si="181"/>
        <v/>
      </c>
      <c r="N1927" s="5" t="str">
        <f t="shared" si="182"/>
        <v/>
      </c>
      <c r="O1927" s="4"/>
    </row>
    <row r="1928" spans="1:15" x14ac:dyDescent="0.25">
      <c r="A1928" s="14"/>
      <c r="B1928" s="14"/>
      <c r="C1928" s="14"/>
      <c r="D1928" s="5" t="str">
        <f t="shared" si="183"/>
        <v/>
      </c>
      <c r="E1928" s="5" t="str">
        <f t="shared" si="184"/>
        <v/>
      </c>
      <c r="F1928" s="5" t="str">
        <f t="shared" si="185"/>
        <v/>
      </c>
      <c r="G1928" s="23"/>
      <c r="H1928" s="66"/>
      <c r="I1928" s="14"/>
      <c r="J1928" s="14"/>
      <c r="K1928" s="14"/>
      <c r="L1928" s="5" t="str">
        <f t="shared" si="180"/>
        <v/>
      </c>
      <c r="M1928" s="5" t="str">
        <f t="shared" si="181"/>
        <v/>
      </c>
      <c r="N1928" s="5" t="str">
        <f t="shared" si="182"/>
        <v/>
      </c>
      <c r="O1928" s="4"/>
    </row>
    <row r="1929" spans="1:15" x14ac:dyDescent="0.25">
      <c r="A1929" s="14"/>
      <c r="B1929" s="14"/>
      <c r="C1929" s="14"/>
      <c r="D1929" s="5" t="str">
        <f t="shared" si="183"/>
        <v/>
      </c>
      <c r="E1929" s="5" t="str">
        <f t="shared" si="184"/>
        <v/>
      </c>
      <c r="F1929" s="5" t="str">
        <f t="shared" si="185"/>
        <v/>
      </c>
      <c r="G1929" s="23"/>
      <c r="H1929" s="66"/>
      <c r="I1929" s="14"/>
      <c r="J1929" s="14"/>
      <c r="K1929" s="14"/>
      <c r="L1929" s="5" t="str">
        <f t="shared" si="180"/>
        <v/>
      </c>
      <c r="M1929" s="5" t="str">
        <f t="shared" si="181"/>
        <v/>
      </c>
      <c r="N1929" s="5" t="str">
        <f t="shared" si="182"/>
        <v/>
      </c>
      <c r="O1929" s="4"/>
    </row>
    <row r="1930" spans="1:15" x14ac:dyDescent="0.25">
      <c r="A1930" s="14"/>
      <c r="B1930" s="14"/>
      <c r="C1930" s="14"/>
      <c r="D1930" s="5" t="str">
        <f t="shared" si="183"/>
        <v/>
      </c>
      <c r="E1930" s="5" t="str">
        <f t="shared" si="184"/>
        <v/>
      </c>
      <c r="F1930" s="5" t="str">
        <f t="shared" si="185"/>
        <v/>
      </c>
      <c r="G1930" s="23"/>
      <c r="H1930" s="66"/>
      <c r="I1930" s="14"/>
      <c r="J1930" s="14"/>
      <c r="K1930" s="14"/>
      <c r="L1930" s="5" t="str">
        <f t="shared" ref="L1930:L1993" si="186">IFERROR(IF(I1930&lt;&gt;"",(((J1930-J1929)*$X$4/(I1930-I1929)))*$X$5,""),"")</f>
        <v/>
      </c>
      <c r="M1930" s="5" t="str">
        <f t="shared" ref="M1930:M1993" si="187">IFERROR(IF(I1930&lt;&gt;"",(((K1930-K1929)*$X$4/(I1930-I1929)))*$X$5,""),"")</f>
        <v/>
      </c>
      <c r="N1930" s="5" t="str">
        <f t="shared" ref="N1930:N1993" si="188">IFERROR(IF(I1930&lt;&gt;"",((ACOS((COS(RADIANS(J1929))*COS(RADIANS(J1930)))+(SIN(RADIANS(J1929))*SIN(RADIANS(J1930)))*COS(RADIANS(K1930-K1929)))*180/PI()*($X$4/(I1930-I1929))))*$X$5,""),"")</f>
        <v/>
      </c>
      <c r="O1930" s="4"/>
    </row>
    <row r="1931" spans="1:15" x14ac:dyDescent="0.25">
      <c r="A1931" s="14"/>
      <c r="B1931" s="14"/>
      <c r="C1931" s="14"/>
      <c r="D1931" s="5" t="str">
        <f t="shared" si="183"/>
        <v/>
      </c>
      <c r="E1931" s="5" t="str">
        <f t="shared" si="184"/>
        <v/>
      </c>
      <c r="F1931" s="5" t="str">
        <f t="shared" si="185"/>
        <v/>
      </c>
      <c r="G1931" s="23"/>
      <c r="H1931" s="66"/>
      <c r="I1931" s="14"/>
      <c r="J1931" s="14"/>
      <c r="K1931" s="14"/>
      <c r="L1931" s="5" t="str">
        <f t="shared" si="186"/>
        <v/>
      </c>
      <c r="M1931" s="5" t="str">
        <f t="shared" si="187"/>
        <v/>
      </c>
      <c r="N1931" s="5" t="str">
        <f t="shared" si="188"/>
        <v/>
      </c>
      <c r="O1931" s="4"/>
    </row>
    <row r="1932" spans="1:15" x14ac:dyDescent="0.25">
      <c r="A1932" s="14"/>
      <c r="B1932" s="14"/>
      <c r="C1932" s="14"/>
      <c r="D1932" s="5" t="str">
        <f t="shared" si="183"/>
        <v/>
      </c>
      <c r="E1932" s="5" t="str">
        <f t="shared" si="184"/>
        <v/>
      </c>
      <c r="F1932" s="5" t="str">
        <f t="shared" si="185"/>
        <v/>
      </c>
      <c r="G1932" s="23"/>
      <c r="H1932" s="66"/>
      <c r="I1932" s="14"/>
      <c r="J1932" s="14"/>
      <c r="K1932" s="14"/>
      <c r="L1932" s="5" t="str">
        <f t="shared" si="186"/>
        <v/>
      </c>
      <c r="M1932" s="5" t="str">
        <f t="shared" si="187"/>
        <v/>
      </c>
      <c r="N1932" s="5" t="str">
        <f t="shared" si="188"/>
        <v/>
      </c>
      <c r="O1932" s="4"/>
    </row>
    <row r="1933" spans="1:15" x14ac:dyDescent="0.25">
      <c r="A1933" s="14"/>
      <c r="B1933" s="14"/>
      <c r="C1933" s="14"/>
      <c r="D1933" s="5" t="str">
        <f t="shared" si="183"/>
        <v/>
      </c>
      <c r="E1933" s="5" t="str">
        <f t="shared" si="184"/>
        <v/>
      </c>
      <c r="F1933" s="5" t="str">
        <f t="shared" si="185"/>
        <v/>
      </c>
      <c r="G1933" s="23"/>
      <c r="H1933" s="66"/>
      <c r="I1933" s="14"/>
      <c r="J1933" s="14"/>
      <c r="K1933" s="14"/>
      <c r="L1933" s="5" t="str">
        <f t="shared" si="186"/>
        <v/>
      </c>
      <c r="M1933" s="5" t="str">
        <f t="shared" si="187"/>
        <v/>
      </c>
      <c r="N1933" s="5" t="str">
        <f t="shared" si="188"/>
        <v/>
      </c>
      <c r="O1933" s="4"/>
    </row>
    <row r="1934" spans="1:15" x14ac:dyDescent="0.25">
      <c r="A1934" s="14"/>
      <c r="B1934" s="14"/>
      <c r="C1934" s="14"/>
      <c r="D1934" s="5" t="str">
        <f t="shared" si="183"/>
        <v/>
      </c>
      <c r="E1934" s="5" t="str">
        <f t="shared" si="184"/>
        <v/>
      </c>
      <c r="F1934" s="5" t="str">
        <f t="shared" si="185"/>
        <v/>
      </c>
      <c r="G1934" s="23"/>
      <c r="H1934" s="66"/>
      <c r="I1934" s="14"/>
      <c r="J1934" s="14"/>
      <c r="K1934" s="14"/>
      <c r="L1934" s="5" t="str">
        <f t="shared" si="186"/>
        <v/>
      </c>
      <c r="M1934" s="5" t="str">
        <f t="shared" si="187"/>
        <v/>
      </c>
      <c r="N1934" s="5" t="str">
        <f t="shared" si="188"/>
        <v/>
      </c>
      <c r="O1934" s="4"/>
    </row>
    <row r="1935" spans="1:15" x14ac:dyDescent="0.25">
      <c r="A1935" s="14"/>
      <c r="B1935" s="14"/>
      <c r="C1935" s="14"/>
      <c r="D1935" s="5" t="str">
        <f t="shared" si="183"/>
        <v/>
      </c>
      <c r="E1935" s="5" t="str">
        <f t="shared" si="184"/>
        <v/>
      </c>
      <c r="F1935" s="5" t="str">
        <f t="shared" si="185"/>
        <v/>
      </c>
      <c r="G1935" s="23"/>
      <c r="H1935" s="66"/>
      <c r="I1935" s="14"/>
      <c r="J1935" s="14"/>
      <c r="K1935" s="14"/>
      <c r="L1935" s="5" t="str">
        <f t="shared" si="186"/>
        <v/>
      </c>
      <c r="M1935" s="5" t="str">
        <f t="shared" si="187"/>
        <v/>
      </c>
      <c r="N1935" s="5" t="str">
        <f t="shared" si="188"/>
        <v/>
      </c>
      <c r="O1935" s="4"/>
    </row>
    <row r="1936" spans="1:15" x14ac:dyDescent="0.25">
      <c r="A1936" s="14"/>
      <c r="B1936" s="14"/>
      <c r="C1936" s="14"/>
      <c r="D1936" s="5" t="str">
        <f t="shared" si="183"/>
        <v/>
      </c>
      <c r="E1936" s="5" t="str">
        <f t="shared" si="184"/>
        <v/>
      </c>
      <c r="F1936" s="5" t="str">
        <f t="shared" si="185"/>
        <v/>
      </c>
      <c r="G1936" s="23"/>
      <c r="H1936" s="66"/>
      <c r="I1936" s="14"/>
      <c r="J1936" s="14"/>
      <c r="K1936" s="14"/>
      <c r="L1936" s="5" t="str">
        <f t="shared" si="186"/>
        <v/>
      </c>
      <c r="M1936" s="5" t="str">
        <f t="shared" si="187"/>
        <v/>
      </c>
      <c r="N1936" s="5" t="str">
        <f t="shared" si="188"/>
        <v/>
      </c>
      <c r="O1936" s="4"/>
    </row>
    <row r="1937" spans="1:15" x14ac:dyDescent="0.25">
      <c r="A1937" s="14"/>
      <c r="B1937" s="14"/>
      <c r="C1937" s="14"/>
      <c r="D1937" s="5" t="str">
        <f t="shared" si="183"/>
        <v/>
      </c>
      <c r="E1937" s="5" t="str">
        <f t="shared" si="184"/>
        <v/>
      </c>
      <c r="F1937" s="5" t="str">
        <f t="shared" si="185"/>
        <v/>
      </c>
      <c r="G1937" s="23"/>
      <c r="H1937" s="66"/>
      <c r="I1937" s="14"/>
      <c r="J1937" s="14"/>
      <c r="K1937" s="14"/>
      <c r="L1937" s="5" t="str">
        <f t="shared" si="186"/>
        <v/>
      </c>
      <c r="M1937" s="5" t="str">
        <f t="shared" si="187"/>
        <v/>
      </c>
      <c r="N1937" s="5" t="str">
        <f t="shared" si="188"/>
        <v/>
      </c>
      <c r="O1937" s="4"/>
    </row>
    <row r="1938" spans="1:15" x14ac:dyDescent="0.25">
      <c r="A1938" s="14"/>
      <c r="B1938" s="14"/>
      <c r="C1938" s="14"/>
      <c r="D1938" s="5" t="str">
        <f t="shared" si="183"/>
        <v/>
      </c>
      <c r="E1938" s="5" t="str">
        <f t="shared" si="184"/>
        <v/>
      </c>
      <c r="F1938" s="5" t="str">
        <f t="shared" si="185"/>
        <v/>
      </c>
      <c r="G1938" s="23"/>
      <c r="H1938" s="66"/>
      <c r="I1938" s="14"/>
      <c r="J1938" s="14"/>
      <c r="K1938" s="14"/>
      <c r="L1938" s="5" t="str">
        <f t="shared" si="186"/>
        <v/>
      </c>
      <c r="M1938" s="5" t="str">
        <f t="shared" si="187"/>
        <v/>
      </c>
      <c r="N1938" s="5" t="str">
        <f t="shared" si="188"/>
        <v/>
      </c>
      <c r="O1938" s="4"/>
    </row>
    <row r="1939" spans="1:15" x14ac:dyDescent="0.25">
      <c r="A1939" s="14"/>
      <c r="B1939" s="14"/>
      <c r="C1939" s="14"/>
      <c r="D1939" s="5" t="str">
        <f t="shared" si="183"/>
        <v/>
      </c>
      <c r="E1939" s="5" t="str">
        <f t="shared" si="184"/>
        <v/>
      </c>
      <c r="F1939" s="5" t="str">
        <f t="shared" si="185"/>
        <v/>
      </c>
      <c r="G1939" s="23"/>
      <c r="H1939" s="66"/>
      <c r="I1939" s="14"/>
      <c r="J1939" s="14"/>
      <c r="K1939" s="14"/>
      <c r="L1939" s="5" t="str">
        <f t="shared" si="186"/>
        <v/>
      </c>
      <c r="M1939" s="5" t="str">
        <f t="shared" si="187"/>
        <v/>
      </c>
      <c r="N1939" s="5" t="str">
        <f t="shared" si="188"/>
        <v/>
      </c>
      <c r="O1939" s="4"/>
    </row>
    <row r="1940" spans="1:15" x14ac:dyDescent="0.25">
      <c r="A1940" s="14"/>
      <c r="B1940" s="14"/>
      <c r="C1940" s="14"/>
      <c r="D1940" s="5" t="str">
        <f t="shared" si="183"/>
        <v/>
      </c>
      <c r="E1940" s="5" t="str">
        <f t="shared" si="184"/>
        <v/>
      </c>
      <c r="F1940" s="5" t="str">
        <f t="shared" si="185"/>
        <v/>
      </c>
      <c r="G1940" s="23"/>
      <c r="H1940" s="66"/>
      <c r="I1940" s="14"/>
      <c r="J1940" s="14"/>
      <c r="K1940" s="14"/>
      <c r="L1940" s="5" t="str">
        <f t="shared" si="186"/>
        <v/>
      </c>
      <c r="M1940" s="5" t="str">
        <f t="shared" si="187"/>
        <v/>
      </c>
      <c r="N1940" s="5" t="str">
        <f t="shared" si="188"/>
        <v/>
      </c>
      <c r="O1940" s="4"/>
    </row>
    <row r="1941" spans="1:15" x14ac:dyDescent="0.25">
      <c r="A1941" s="14"/>
      <c r="B1941" s="14"/>
      <c r="C1941" s="14"/>
      <c r="D1941" s="5" t="str">
        <f t="shared" si="183"/>
        <v/>
      </c>
      <c r="E1941" s="5" t="str">
        <f t="shared" si="184"/>
        <v/>
      </c>
      <c r="F1941" s="5" t="str">
        <f t="shared" si="185"/>
        <v/>
      </c>
      <c r="G1941" s="23"/>
      <c r="H1941" s="66"/>
      <c r="I1941" s="14"/>
      <c r="J1941" s="14"/>
      <c r="K1941" s="14"/>
      <c r="L1941" s="5" t="str">
        <f t="shared" si="186"/>
        <v/>
      </c>
      <c r="M1941" s="5" t="str">
        <f t="shared" si="187"/>
        <v/>
      </c>
      <c r="N1941" s="5" t="str">
        <f t="shared" si="188"/>
        <v/>
      </c>
      <c r="O1941" s="4"/>
    </row>
    <row r="1942" spans="1:15" x14ac:dyDescent="0.25">
      <c r="A1942" s="14"/>
      <c r="B1942" s="14"/>
      <c r="C1942" s="14"/>
      <c r="D1942" s="5" t="str">
        <f t="shared" si="183"/>
        <v/>
      </c>
      <c r="E1942" s="5" t="str">
        <f t="shared" si="184"/>
        <v/>
      </c>
      <c r="F1942" s="5" t="str">
        <f t="shared" si="185"/>
        <v/>
      </c>
      <c r="G1942" s="23"/>
      <c r="H1942" s="66"/>
      <c r="I1942" s="14"/>
      <c r="J1942" s="14"/>
      <c r="K1942" s="14"/>
      <c r="L1942" s="5" t="str">
        <f t="shared" si="186"/>
        <v/>
      </c>
      <c r="M1942" s="5" t="str">
        <f t="shared" si="187"/>
        <v/>
      </c>
      <c r="N1942" s="5" t="str">
        <f t="shared" si="188"/>
        <v/>
      </c>
      <c r="O1942" s="4"/>
    </row>
    <row r="1943" spans="1:15" x14ac:dyDescent="0.25">
      <c r="A1943" s="14"/>
      <c r="B1943" s="14"/>
      <c r="C1943" s="14"/>
      <c r="D1943" s="5" t="str">
        <f t="shared" si="183"/>
        <v/>
      </c>
      <c r="E1943" s="5" t="str">
        <f t="shared" si="184"/>
        <v/>
      </c>
      <c r="F1943" s="5" t="str">
        <f t="shared" si="185"/>
        <v/>
      </c>
      <c r="G1943" s="23"/>
      <c r="H1943" s="66"/>
      <c r="I1943" s="14"/>
      <c r="J1943" s="14"/>
      <c r="K1943" s="14"/>
      <c r="L1943" s="5" t="str">
        <f t="shared" si="186"/>
        <v/>
      </c>
      <c r="M1943" s="5" t="str">
        <f t="shared" si="187"/>
        <v/>
      </c>
      <c r="N1943" s="5" t="str">
        <f t="shared" si="188"/>
        <v/>
      </c>
      <c r="O1943" s="4"/>
    </row>
    <row r="1944" spans="1:15" x14ac:dyDescent="0.25">
      <c r="A1944" s="14"/>
      <c r="B1944" s="14"/>
      <c r="C1944" s="14"/>
      <c r="D1944" s="5" t="str">
        <f t="shared" si="183"/>
        <v/>
      </c>
      <c r="E1944" s="5" t="str">
        <f t="shared" si="184"/>
        <v/>
      </c>
      <c r="F1944" s="5" t="str">
        <f t="shared" si="185"/>
        <v/>
      </c>
      <c r="G1944" s="23"/>
      <c r="H1944" s="66"/>
      <c r="I1944" s="14"/>
      <c r="J1944" s="14"/>
      <c r="K1944" s="14"/>
      <c r="L1944" s="5" t="str">
        <f t="shared" si="186"/>
        <v/>
      </c>
      <c r="M1944" s="5" t="str">
        <f t="shared" si="187"/>
        <v/>
      </c>
      <c r="N1944" s="5" t="str">
        <f t="shared" si="188"/>
        <v/>
      </c>
      <c r="O1944" s="4"/>
    </row>
    <row r="1945" spans="1:15" x14ac:dyDescent="0.25">
      <c r="A1945" s="14"/>
      <c r="B1945" s="14"/>
      <c r="C1945" s="14"/>
      <c r="D1945" s="5" t="str">
        <f t="shared" ref="D1945:D2008" si="189">IFERROR( IF(A1945&lt;&gt;"",((B1945-B1944)*$X$4/(A1945-A1944))*$X$5,""),"")</f>
        <v/>
      </c>
      <c r="E1945" s="5" t="str">
        <f t="shared" ref="E1945:E2008" si="190">IFERROR(IF(A1945&lt;&gt;"",((C1945-C1944)*$X$4/(A1945-A1944))*$X$5,""),"")</f>
        <v/>
      </c>
      <c r="F1945" s="5" t="str">
        <f t="shared" ref="F1945:F2008" si="191">IFERROR(IF(A1945&lt;&gt;"",((ACOS((COS(RADIANS(B1944))*COS(RADIANS(B1945)))+(SIN(RADIANS(B1944))*SIN(RADIANS(B1945)))*COS(RADIANS(C1945-C1944)))*180/PI()*($X$4/(A1945-A1944))))*$X$5,""),"")</f>
        <v/>
      </c>
      <c r="G1945" s="23"/>
      <c r="H1945" s="66"/>
      <c r="I1945" s="14"/>
      <c r="J1945" s="14"/>
      <c r="K1945" s="14"/>
      <c r="L1945" s="5" t="str">
        <f t="shared" si="186"/>
        <v/>
      </c>
      <c r="M1945" s="5" t="str">
        <f t="shared" si="187"/>
        <v/>
      </c>
      <c r="N1945" s="5" t="str">
        <f t="shared" si="188"/>
        <v/>
      </c>
      <c r="O1945" s="4"/>
    </row>
    <row r="1946" spans="1:15" x14ac:dyDescent="0.25">
      <c r="A1946" s="14"/>
      <c r="B1946" s="14"/>
      <c r="C1946" s="14"/>
      <c r="D1946" s="5" t="str">
        <f t="shared" si="189"/>
        <v/>
      </c>
      <c r="E1946" s="5" t="str">
        <f t="shared" si="190"/>
        <v/>
      </c>
      <c r="F1946" s="5" t="str">
        <f t="shared" si="191"/>
        <v/>
      </c>
      <c r="G1946" s="23"/>
      <c r="H1946" s="66"/>
      <c r="I1946" s="14"/>
      <c r="J1946" s="14"/>
      <c r="K1946" s="14"/>
      <c r="L1946" s="5" t="str">
        <f t="shared" si="186"/>
        <v/>
      </c>
      <c r="M1946" s="5" t="str">
        <f t="shared" si="187"/>
        <v/>
      </c>
      <c r="N1946" s="5" t="str">
        <f t="shared" si="188"/>
        <v/>
      </c>
      <c r="O1946" s="4"/>
    </row>
    <row r="1947" spans="1:15" x14ac:dyDescent="0.25">
      <c r="A1947" s="14"/>
      <c r="B1947" s="14"/>
      <c r="C1947" s="14"/>
      <c r="D1947" s="5" t="str">
        <f t="shared" si="189"/>
        <v/>
      </c>
      <c r="E1947" s="5" t="str">
        <f t="shared" si="190"/>
        <v/>
      </c>
      <c r="F1947" s="5" t="str">
        <f t="shared" si="191"/>
        <v/>
      </c>
      <c r="G1947" s="23"/>
      <c r="H1947" s="66"/>
      <c r="I1947" s="14"/>
      <c r="J1947" s="14"/>
      <c r="K1947" s="14"/>
      <c r="L1947" s="5" t="str">
        <f t="shared" si="186"/>
        <v/>
      </c>
      <c r="M1947" s="5" t="str">
        <f t="shared" si="187"/>
        <v/>
      </c>
      <c r="N1947" s="5" t="str">
        <f t="shared" si="188"/>
        <v/>
      </c>
      <c r="O1947" s="4"/>
    </row>
    <row r="1948" spans="1:15" x14ac:dyDescent="0.25">
      <c r="A1948" s="14"/>
      <c r="B1948" s="14"/>
      <c r="C1948" s="14"/>
      <c r="D1948" s="5" t="str">
        <f t="shared" si="189"/>
        <v/>
      </c>
      <c r="E1948" s="5" t="str">
        <f t="shared" si="190"/>
        <v/>
      </c>
      <c r="F1948" s="5" t="str">
        <f t="shared" si="191"/>
        <v/>
      </c>
      <c r="G1948" s="23"/>
      <c r="H1948" s="66"/>
      <c r="I1948" s="14"/>
      <c r="J1948" s="14"/>
      <c r="K1948" s="14"/>
      <c r="L1948" s="5" t="str">
        <f t="shared" si="186"/>
        <v/>
      </c>
      <c r="M1948" s="5" t="str">
        <f t="shared" si="187"/>
        <v/>
      </c>
      <c r="N1948" s="5" t="str">
        <f t="shared" si="188"/>
        <v/>
      </c>
      <c r="O1948" s="4"/>
    </row>
    <row r="1949" spans="1:15" x14ac:dyDescent="0.25">
      <c r="A1949" s="14"/>
      <c r="B1949" s="14"/>
      <c r="C1949" s="14"/>
      <c r="D1949" s="5" t="str">
        <f t="shared" si="189"/>
        <v/>
      </c>
      <c r="E1949" s="5" t="str">
        <f t="shared" si="190"/>
        <v/>
      </c>
      <c r="F1949" s="5" t="str">
        <f t="shared" si="191"/>
        <v/>
      </c>
      <c r="G1949" s="23"/>
      <c r="H1949" s="66"/>
      <c r="I1949" s="14"/>
      <c r="J1949" s="14"/>
      <c r="K1949" s="14"/>
      <c r="L1949" s="5" t="str">
        <f t="shared" si="186"/>
        <v/>
      </c>
      <c r="M1949" s="5" t="str">
        <f t="shared" si="187"/>
        <v/>
      </c>
      <c r="N1949" s="5" t="str">
        <f t="shared" si="188"/>
        <v/>
      </c>
      <c r="O1949" s="4"/>
    </row>
    <row r="1950" spans="1:15" x14ac:dyDescent="0.25">
      <c r="A1950" s="14"/>
      <c r="B1950" s="14"/>
      <c r="C1950" s="14"/>
      <c r="D1950" s="5" t="str">
        <f t="shared" si="189"/>
        <v/>
      </c>
      <c r="E1950" s="5" t="str">
        <f t="shared" si="190"/>
        <v/>
      </c>
      <c r="F1950" s="5" t="str">
        <f t="shared" si="191"/>
        <v/>
      </c>
      <c r="G1950" s="23"/>
      <c r="H1950" s="66"/>
      <c r="I1950" s="14"/>
      <c r="J1950" s="14"/>
      <c r="K1950" s="14"/>
      <c r="L1950" s="5" t="str">
        <f t="shared" si="186"/>
        <v/>
      </c>
      <c r="M1950" s="5" t="str">
        <f t="shared" si="187"/>
        <v/>
      </c>
      <c r="N1950" s="5" t="str">
        <f t="shared" si="188"/>
        <v/>
      </c>
      <c r="O1950" s="4"/>
    </row>
    <row r="1951" spans="1:15" x14ac:dyDescent="0.25">
      <c r="A1951" s="14"/>
      <c r="B1951" s="14"/>
      <c r="C1951" s="14"/>
      <c r="D1951" s="5" t="str">
        <f t="shared" si="189"/>
        <v/>
      </c>
      <c r="E1951" s="5" t="str">
        <f t="shared" si="190"/>
        <v/>
      </c>
      <c r="F1951" s="5" t="str">
        <f t="shared" si="191"/>
        <v/>
      </c>
      <c r="G1951" s="23"/>
      <c r="H1951" s="66"/>
      <c r="I1951" s="14"/>
      <c r="J1951" s="14"/>
      <c r="K1951" s="14"/>
      <c r="L1951" s="5" t="str">
        <f t="shared" si="186"/>
        <v/>
      </c>
      <c r="M1951" s="5" t="str">
        <f t="shared" si="187"/>
        <v/>
      </c>
      <c r="N1951" s="5" t="str">
        <f t="shared" si="188"/>
        <v/>
      </c>
      <c r="O1951" s="4"/>
    </row>
    <row r="1952" spans="1:15" x14ac:dyDescent="0.25">
      <c r="A1952" s="14"/>
      <c r="B1952" s="14"/>
      <c r="C1952" s="14"/>
      <c r="D1952" s="5" t="str">
        <f t="shared" si="189"/>
        <v/>
      </c>
      <c r="E1952" s="5" t="str">
        <f t="shared" si="190"/>
        <v/>
      </c>
      <c r="F1952" s="5" t="str">
        <f t="shared" si="191"/>
        <v/>
      </c>
      <c r="G1952" s="23"/>
      <c r="H1952" s="66"/>
      <c r="I1952" s="14"/>
      <c r="J1952" s="14"/>
      <c r="K1952" s="14"/>
      <c r="L1952" s="5" t="str">
        <f t="shared" si="186"/>
        <v/>
      </c>
      <c r="M1952" s="5" t="str">
        <f t="shared" si="187"/>
        <v/>
      </c>
      <c r="N1952" s="5" t="str">
        <f t="shared" si="188"/>
        <v/>
      </c>
      <c r="O1952" s="4"/>
    </row>
    <row r="1953" spans="1:15" x14ac:dyDescent="0.25">
      <c r="A1953" s="14"/>
      <c r="B1953" s="14"/>
      <c r="C1953" s="14"/>
      <c r="D1953" s="5" t="str">
        <f t="shared" si="189"/>
        <v/>
      </c>
      <c r="E1953" s="5" t="str">
        <f t="shared" si="190"/>
        <v/>
      </c>
      <c r="F1953" s="5" t="str">
        <f t="shared" si="191"/>
        <v/>
      </c>
      <c r="G1953" s="23"/>
      <c r="H1953" s="66"/>
      <c r="I1953" s="14"/>
      <c r="J1953" s="14"/>
      <c r="K1953" s="14"/>
      <c r="L1953" s="5" t="str">
        <f t="shared" si="186"/>
        <v/>
      </c>
      <c r="M1953" s="5" t="str">
        <f t="shared" si="187"/>
        <v/>
      </c>
      <c r="N1953" s="5" t="str">
        <f t="shared" si="188"/>
        <v/>
      </c>
      <c r="O1953" s="4"/>
    </row>
    <row r="1954" spans="1:15" x14ac:dyDescent="0.25">
      <c r="A1954" s="14"/>
      <c r="B1954" s="14"/>
      <c r="C1954" s="14"/>
      <c r="D1954" s="5" t="str">
        <f t="shared" si="189"/>
        <v/>
      </c>
      <c r="E1954" s="5" t="str">
        <f t="shared" si="190"/>
        <v/>
      </c>
      <c r="F1954" s="5" t="str">
        <f t="shared" si="191"/>
        <v/>
      </c>
      <c r="G1954" s="23"/>
      <c r="H1954" s="66"/>
      <c r="I1954" s="14"/>
      <c r="J1954" s="14"/>
      <c r="K1954" s="14"/>
      <c r="L1954" s="5" t="str">
        <f t="shared" si="186"/>
        <v/>
      </c>
      <c r="M1954" s="5" t="str">
        <f t="shared" si="187"/>
        <v/>
      </c>
      <c r="N1954" s="5" t="str">
        <f t="shared" si="188"/>
        <v/>
      </c>
      <c r="O1954" s="4"/>
    </row>
    <row r="1955" spans="1:15" x14ac:dyDescent="0.25">
      <c r="A1955" s="14"/>
      <c r="B1955" s="14"/>
      <c r="C1955" s="14"/>
      <c r="D1955" s="5" t="str">
        <f t="shared" si="189"/>
        <v/>
      </c>
      <c r="E1955" s="5" t="str">
        <f t="shared" si="190"/>
        <v/>
      </c>
      <c r="F1955" s="5" t="str">
        <f t="shared" si="191"/>
        <v/>
      </c>
      <c r="G1955" s="23"/>
      <c r="H1955" s="66"/>
      <c r="I1955" s="14"/>
      <c r="J1955" s="14"/>
      <c r="K1955" s="14"/>
      <c r="L1955" s="5" t="str">
        <f t="shared" si="186"/>
        <v/>
      </c>
      <c r="M1955" s="5" t="str">
        <f t="shared" si="187"/>
        <v/>
      </c>
      <c r="N1955" s="5" t="str">
        <f t="shared" si="188"/>
        <v/>
      </c>
      <c r="O1955" s="4"/>
    </row>
    <row r="1956" spans="1:15" x14ac:dyDescent="0.25">
      <c r="A1956" s="14"/>
      <c r="B1956" s="14"/>
      <c r="C1956" s="14"/>
      <c r="D1956" s="5" t="str">
        <f t="shared" si="189"/>
        <v/>
      </c>
      <c r="E1956" s="5" t="str">
        <f t="shared" si="190"/>
        <v/>
      </c>
      <c r="F1956" s="5" t="str">
        <f t="shared" si="191"/>
        <v/>
      </c>
      <c r="G1956" s="23"/>
      <c r="H1956" s="66"/>
      <c r="I1956" s="14"/>
      <c r="J1956" s="14"/>
      <c r="K1956" s="14"/>
      <c r="L1956" s="5" t="str">
        <f t="shared" si="186"/>
        <v/>
      </c>
      <c r="M1956" s="5" t="str">
        <f t="shared" si="187"/>
        <v/>
      </c>
      <c r="N1956" s="5" t="str">
        <f t="shared" si="188"/>
        <v/>
      </c>
      <c r="O1956" s="4"/>
    </row>
    <row r="1957" spans="1:15" x14ac:dyDescent="0.25">
      <c r="A1957" s="14"/>
      <c r="B1957" s="14"/>
      <c r="C1957" s="14"/>
      <c r="D1957" s="5" t="str">
        <f t="shared" si="189"/>
        <v/>
      </c>
      <c r="E1957" s="5" t="str">
        <f t="shared" si="190"/>
        <v/>
      </c>
      <c r="F1957" s="5" t="str">
        <f t="shared" si="191"/>
        <v/>
      </c>
      <c r="G1957" s="23"/>
      <c r="H1957" s="66"/>
      <c r="I1957" s="14"/>
      <c r="J1957" s="14"/>
      <c r="K1957" s="14"/>
      <c r="L1957" s="5" t="str">
        <f t="shared" si="186"/>
        <v/>
      </c>
      <c r="M1957" s="5" t="str">
        <f t="shared" si="187"/>
        <v/>
      </c>
      <c r="N1957" s="5" t="str">
        <f t="shared" si="188"/>
        <v/>
      </c>
      <c r="O1957" s="4"/>
    </row>
    <row r="1958" spans="1:15" x14ac:dyDescent="0.25">
      <c r="A1958" s="14"/>
      <c r="B1958" s="14"/>
      <c r="C1958" s="14"/>
      <c r="D1958" s="5" t="str">
        <f t="shared" si="189"/>
        <v/>
      </c>
      <c r="E1958" s="5" t="str">
        <f t="shared" si="190"/>
        <v/>
      </c>
      <c r="F1958" s="5" t="str">
        <f t="shared" si="191"/>
        <v/>
      </c>
      <c r="G1958" s="23"/>
      <c r="H1958" s="66"/>
      <c r="I1958" s="14"/>
      <c r="J1958" s="14"/>
      <c r="K1958" s="14"/>
      <c r="L1958" s="5" t="str">
        <f t="shared" si="186"/>
        <v/>
      </c>
      <c r="M1958" s="5" t="str">
        <f t="shared" si="187"/>
        <v/>
      </c>
      <c r="N1958" s="5" t="str">
        <f t="shared" si="188"/>
        <v/>
      </c>
      <c r="O1958" s="4"/>
    </row>
    <row r="1959" spans="1:15" x14ac:dyDescent="0.25">
      <c r="A1959" s="14"/>
      <c r="B1959" s="14"/>
      <c r="C1959" s="14"/>
      <c r="D1959" s="5" t="str">
        <f t="shared" si="189"/>
        <v/>
      </c>
      <c r="E1959" s="5" t="str">
        <f t="shared" si="190"/>
        <v/>
      </c>
      <c r="F1959" s="5" t="str">
        <f t="shared" si="191"/>
        <v/>
      </c>
      <c r="G1959" s="23"/>
      <c r="H1959" s="66"/>
      <c r="I1959" s="14"/>
      <c r="J1959" s="14"/>
      <c r="K1959" s="14"/>
      <c r="L1959" s="5" t="str">
        <f t="shared" si="186"/>
        <v/>
      </c>
      <c r="M1959" s="5" t="str">
        <f t="shared" si="187"/>
        <v/>
      </c>
      <c r="N1959" s="5" t="str">
        <f t="shared" si="188"/>
        <v/>
      </c>
      <c r="O1959" s="4"/>
    </row>
    <row r="1960" spans="1:15" x14ac:dyDescent="0.25">
      <c r="A1960" s="14"/>
      <c r="B1960" s="14"/>
      <c r="C1960" s="14"/>
      <c r="D1960" s="5" t="str">
        <f t="shared" si="189"/>
        <v/>
      </c>
      <c r="E1960" s="5" t="str">
        <f t="shared" si="190"/>
        <v/>
      </c>
      <c r="F1960" s="5" t="str">
        <f t="shared" si="191"/>
        <v/>
      </c>
      <c r="G1960" s="23"/>
      <c r="H1960" s="66"/>
      <c r="I1960" s="14"/>
      <c r="J1960" s="14"/>
      <c r="K1960" s="14"/>
      <c r="L1960" s="5" t="str">
        <f t="shared" si="186"/>
        <v/>
      </c>
      <c r="M1960" s="5" t="str">
        <f t="shared" si="187"/>
        <v/>
      </c>
      <c r="N1960" s="5" t="str">
        <f t="shared" si="188"/>
        <v/>
      </c>
      <c r="O1960" s="4"/>
    </row>
    <row r="1961" spans="1:15" x14ac:dyDescent="0.25">
      <c r="A1961" s="14"/>
      <c r="B1961" s="14"/>
      <c r="C1961" s="14"/>
      <c r="D1961" s="5" t="str">
        <f t="shared" si="189"/>
        <v/>
      </c>
      <c r="E1961" s="5" t="str">
        <f t="shared" si="190"/>
        <v/>
      </c>
      <c r="F1961" s="5" t="str">
        <f t="shared" si="191"/>
        <v/>
      </c>
      <c r="G1961" s="23"/>
      <c r="H1961" s="66"/>
      <c r="I1961" s="14"/>
      <c r="J1961" s="14"/>
      <c r="K1961" s="14"/>
      <c r="L1961" s="5" t="str">
        <f t="shared" si="186"/>
        <v/>
      </c>
      <c r="M1961" s="5" t="str">
        <f t="shared" si="187"/>
        <v/>
      </c>
      <c r="N1961" s="5" t="str">
        <f t="shared" si="188"/>
        <v/>
      </c>
      <c r="O1961" s="4"/>
    </row>
    <row r="1962" spans="1:15" x14ac:dyDescent="0.25">
      <c r="A1962" s="14"/>
      <c r="B1962" s="14"/>
      <c r="C1962" s="14"/>
      <c r="D1962" s="5" t="str">
        <f t="shared" si="189"/>
        <v/>
      </c>
      <c r="E1962" s="5" t="str">
        <f t="shared" si="190"/>
        <v/>
      </c>
      <c r="F1962" s="5" t="str">
        <f t="shared" si="191"/>
        <v/>
      </c>
      <c r="G1962" s="23"/>
      <c r="H1962" s="66"/>
      <c r="I1962" s="14"/>
      <c r="J1962" s="14"/>
      <c r="K1962" s="14"/>
      <c r="L1962" s="5" t="str">
        <f t="shared" si="186"/>
        <v/>
      </c>
      <c r="M1962" s="5" t="str">
        <f t="shared" si="187"/>
        <v/>
      </c>
      <c r="N1962" s="5" t="str">
        <f t="shared" si="188"/>
        <v/>
      </c>
      <c r="O1962" s="4"/>
    </row>
    <row r="1963" spans="1:15" x14ac:dyDescent="0.25">
      <c r="A1963" s="14"/>
      <c r="B1963" s="14"/>
      <c r="C1963" s="14"/>
      <c r="D1963" s="5" t="str">
        <f t="shared" si="189"/>
        <v/>
      </c>
      <c r="E1963" s="5" t="str">
        <f t="shared" si="190"/>
        <v/>
      </c>
      <c r="F1963" s="5" t="str">
        <f t="shared" si="191"/>
        <v/>
      </c>
      <c r="G1963" s="23"/>
      <c r="H1963" s="66"/>
      <c r="I1963" s="14"/>
      <c r="J1963" s="14"/>
      <c r="K1963" s="14"/>
      <c r="L1963" s="5" t="str">
        <f t="shared" si="186"/>
        <v/>
      </c>
      <c r="M1963" s="5" t="str">
        <f t="shared" si="187"/>
        <v/>
      </c>
      <c r="N1963" s="5" t="str">
        <f t="shared" si="188"/>
        <v/>
      </c>
      <c r="O1963" s="4"/>
    </row>
    <row r="1964" spans="1:15" x14ac:dyDescent="0.25">
      <c r="A1964" s="14"/>
      <c r="B1964" s="14"/>
      <c r="C1964" s="14"/>
      <c r="D1964" s="5" t="str">
        <f t="shared" si="189"/>
        <v/>
      </c>
      <c r="E1964" s="5" t="str">
        <f t="shared" si="190"/>
        <v/>
      </c>
      <c r="F1964" s="5" t="str">
        <f t="shared" si="191"/>
        <v/>
      </c>
      <c r="G1964" s="23"/>
      <c r="H1964" s="66"/>
      <c r="I1964" s="14"/>
      <c r="J1964" s="14"/>
      <c r="K1964" s="14"/>
      <c r="L1964" s="5" t="str">
        <f t="shared" si="186"/>
        <v/>
      </c>
      <c r="M1964" s="5" t="str">
        <f t="shared" si="187"/>
        <v/>
      </c>
      <c r="N1964" s="5" t="str">
        <f t="shared" si="188"/>
        <v/>
      </c>
      <c r="O1964" s="4"/>
    </row>
    <row r="1965" spans="1:15" x14ac:dyDescent="0.25">
      <c r="A1965" s="14"/>
      <c r="B1965" s="14"/>
      <c r="C1965" s="14"/>
      <c r="D1965" s="5" t="str">
        <f t="shared" si="189"/>
        <v/>
      </c>
      <c r="E1965" s="5" t="str">
        <f t="shared" si="190"/>
        <v/>
      </c>
      <c r="F1965" s="5" t="str">
        <f t="shared" si="191"/>
        <v/>
      </c>
      <c r="G1965" s="23"/>
      <c r="H1965" s="66"/>
      <c r="I1965" s="14"/>
      <c r="J1965" s="14"/>
      <c r="K1965" s="14"/>
      <c r="L1965" s="5" t="str">
        <f t="shared" si="186"/>
        <v/>
      </c>
      <c r="M1965" s="5" t="str">
        <f t="shared" si="187"/>
        <v/>
      </c>
      <c r="N1965" s="5" t="str">
        <f t="shared" si="188"/>
        <v/>
      </c>
      <c r="O1965" s="4"/>
    </row>
    <row r="1966" spans="1:15" x14ac:dyDescent="0.25">
      <c r="A1966" s="14"/>
      <c r="B1966" s="14"/>
      <c r="C1966" s="14"/>
      <c r="D1966" s="5" t="str">
        <f t="shared" si="189"/>
        <v/>
      </c>
      <c r="E1966" s="5" t="str">
        <f t="shared" si="190"/>
        <v/>
      </c>
      <c r="F1966" s="5" t="str">
        <f t="shared" si="191"/>
        <v/>
      </c>
      <c r="G1966" s="23"/>
      <c r="H1966" s="66"/>
      <c r="I1966" s="14"/>
      <c r="J1966" s="14"/>
      <c r="K1966" s="14"/>
      <c r="L1966" s="5" t="str">
        <f t="shared" si="186"/>
        <v/>
      </c>
      <c r="M1966" s="5" t="str">
        <f t="shared" si="187"/>
        <v/>
      </c>
      <c r="N1966" s="5" t="str">
        <f t="shared" si="188"/>
        <v/>
      </c>
      <c r="O1966" s="4"/>
    </row>
    <row r="1967" spans="1:15" x14ac:dyDescent="0.25">
      <c r="A1967" s="14"/>
      <c r="B1967" s="14"/>
      <c r="C1967" s="14"/>
      <c r="D1967" s="5" t="str">
        <f t="shared" si="189"/>
        <v/>
      </c>
      <c r="E1967" s="5" t="str">
        <f t="shared" si="190"/>
        <v/>
      </c>
      <c r="F1967" s="5" t="str">
        <f t="shared" si="191"/>
        <v/>
      </c>
      <c r="G1967" s="23"/>
      <c r="H1967" s="66"/>
      <c r="I1967" s="14"/>
      <c r="J1967" s="14"/>
      <c r="K1967" s="14"/>
      <c r="L1967" s="5" t="str">
        <f t="shared" si="186"/>
        <v/>
      </c>
      <c r="M1967" s="5" t="str">
        <f t="shared" si="187"/>
        <v/>
      </c>
      <c r="N1967" s="5" t="str">
        <f t="shared" si="188"/>
        <v/>
      </c>
      <c r="O1967" s="4"/>
    </row>
    <row r="1968" spans="1:15" x14ac:dyDescent="0.25">
      <c r="A1968" s="14"/>
      <c r="B1968" s="14"/>
      <c r="C1968" s="14"/>
      <c r="D1968" s="5" t="str">
        <f t="shared" si="189"/>
        <v/>
      </c>
      <c r="E1968" s="5" t="str">
        <f t="shared" si="190"/>
        <v/>
      </c>
      <c r="F1968" s="5" t="str">
        <f t="shared" si="191"/>
        <v/>
      </c>
      <c r="G1968" s="23"/>
      <c r="H1968" s="66"/>
      <c r="I1968" s="14"/>
      <c r="J1968" s="14"/>
      <c r="K1968" s="14"/>
      <c r="L1968" s="5" t="str">
        <f t="shared" si="186"/>
        <v/>
      </c>
      <c r="M1968" s="5" t="str">
        <f t="shared" si="187"/>
        <v/>
      </c>
      <c r="N1968" s="5" t="str">
        <f t="shared" si="188"/>
        <v/>
      </c>
      <c r="O1968" s="4"/>
    </row>
    <row r="1969" spans="1:15" x14ac:dyDescent="0.25">
      <c r="A1969" s="14"/>
      <c r="B1969" s="14"/>
      <c r="C1969" s="14"/>
      <c r="D1969" s="5" t="str">
        <f t="shared" si="189"/>
        <v/>
      </c>
      <c r="E1969" s="5" t="str">
        <f t="shared" si="190"/>
        <v/>
      </c>
      <c r="F1969" s="5" t="str">
        <f t="shared" si="191"/>
        <v/>
      </c>
      <c r="G1969" s="23"/>
      <c r="H1969" s="66"/>
      <c r="I1969" s="14"/>
      <c r="J1969" s="14"/>
      <c r="K1969" s="14"/>
      <c r="L1969" s="5" t="str">
        <f t="shared" si="186"/>
        <v/>
      </c>
      <c r="M1969" s="5" t="str">
        <f t="shared" si="187"/>
        <v/>
      </c>
      <c r="N1969" s="5" t="str">
        <f t="shared" si="188"/>
        <v/>
      </c>
      <c r="O1969" s="4"/>
    </row>
    <row r="1970" spans="1:15" x14ac:dyDescent="0.25">
      <c r="A1970" s="14"/>
      <c r="B1970" s="14"/>
      <c r="C1970" s="14"/>
      <c r="D1970" s="5" t="str">
        <f t="shared" si="189"/>
        <v/>
      </c>
      <c r="E1970" s="5" t="str">
        <f t="shared" si="190"/>
        <v/>
      </c>
      <c r="F1970" s="5" t="str">
        <f t="shared" si="191"/>
        <v/>
      </c>
      <c r="G1970" s="23"/>
      <c r="H1970" s="66"/>
      <c r="I1970" s="14"/>
      <c r="J1970" s="14"/>
      <c r="K1970" s="14"/>
      <c r="L1970" s="5" t="str">
        <f t="shared" si="186"/>
        <v/>
      </c>
      <c r="M1970" s="5" t="str">
        <f t="shared" si="187"/>
        <v/>
      </c>
      <c r="N1970" s="5" t="str">
        <f t="shared" si="188"/>
        <v/>
      </c>
      <c r="O1970" s="4"/>
    </row>
    <row r="1971" spans="1:15" x14ac:dyDescent="0.25">
      <c r="A1971" s="14"/>
      <c r="B1971" s="14"/>
      <c r="C1971" s="14"/>
      <c r="D1971" s="5" t="str">
        <f t="shared" si="189"/>
        <v/>
      </c>
      <c r="E1971" s="5" t="str">
        <f t="shared" si="190"/>
        <v/>
      </c>
      <c r="F1971" s="5" t="str">
        <f t="shared" si="191"/>
        <v/>
      </c>
      <c r="G1971" s="23"/>
      <c r="H1971" s="66"/>
      <c r="I1971" s="14"/>
      <c r="J1971" s="14"/>
      <c r="K1971" s="14"/>
      <c r="L1971" s="5" t="str">
        <f t="shared" si="186"/>
        <v/>
      </c>
      <c r="M1971" s="5" t="str">
        <f t="shared" si="187"/>
        <v/>
      </c>
      <c r="N1971" s="5" t="str">
        <f t="shared" si="188"/>
        <v/>
      </c>
      <c r="O1971" s="4"/>
    </row>
    <row r="1972" spans="1:15" x14ac:dyDescent="0.25">
      <c r="A1972" s="14"/>
      <c r="B1972" s="14"/>
      <c r="C1972" s="14"/>
      <c r="D1972" s="5" t="str">
        <f t="shared" si="189"/>
        <v/>
      </c>
      <c r="E1972" s="5" t="str">
        <f t="shared" si="190"/>
        <v/>
      </c>
      <c r="F1972" s="5" t="str">
        <f t="shared" si="191"/>
        <v/>
      </c>
      <c r="G1972" s="23"/>
      <c r="H1972" s="66"/>
      <c r="I1972" s="14"/>
      <c r="J1972" s="14"/>
      <c r="K1972" s="14"/>
      <c r="L1972" s="5" t="str">
        <f t="shared" si="186"/>
        <v/>
      </c>
      <c r="M1972" s="5" t="str">
        <f t="shared" si="187"/>
        <v/>
      </c>
      <c r="N1972" s="5" t="str">
        <f t="shared" si="188"/>
        <v/>
      </c>
      <c r="O1972" s="4"/>
    </row>
    <row r="1973" spans="1:15" x14ac:dyDescent="0.25">
      <c r="A1973" s="14"/>
      <c r="B1973" s="14"/>
      <c r="C1973" s="14"/>
      <c r="D1973" s="5" t="str">
        <f t="shared" si="189"/>
        <v/>
      </c>
      <c r="E1973" s="5" t="str">
        <f t="shared" si="190"/>
        <v/>
      </c>
      <c r="F1973" s="5" t="str">
        <f t="shared" si="191"/>
        <v/>
      </c>
      <c r="G1973" s="23"/>
      <c r="H1973" s="66"/>
      <c r="I1973" s="14"/>
      <c r="J1973" s="14"/>
      <c r="K1973" s="14"/>
      <c r="L1973" s="5" t="str">
        <f t="shared" si="186"/>
        <v/>
      </c>
      <c r="M1973" s="5" t="str">
        <f t="shared" si="187"/>
        <v/>
      </c>
      <c r="N1973" s="5" t="str">
        <f t="shared" si="188"/>
        <v/>
      </c>
      <c r="O1973" s="4"/>
    </row>
    <row r="1974" spans="1:15" x14ac:dyDescent="0.25">
      <c r="A1974" s="14"/>
      <c r="B1974" s="14"/>
      <c r="C1974" s="14"/>
      <c r="D1974" s="5" t="str">
        <f t="shared" si="189"/>
        <v/>
      </c>
      <c r="E1974" s="5" t="str">
        <f t="shared" si="190"/>
        <v/>
      </c>
      <c r="F1974" s="5" t="str">
        <f t="shared" si="191"/>
        <v/>
      </c>
      <c r="G1974" s="23"/>
      <c r="H1974" s="66"/>
      <c r="I1974" s="14"/>
      <c r="J1974" s="14"/>
      <c r="K1974" s="14"/>
      <c r="L1974" s="5" t="str">
        <f t="shared" si="186"/>
        <v/>
      </c>
      <c r="M1974" s="5" t="str">
        <f t="shared" si="187"/>
        <v/>
      </c>
      <c r="N1974" s="5" t="str">
        <f t="shared" si="188"/>
        <v/>
      </c>
      <c r="O1974" s="4"/>
    </row>
    <row r="1975" spans="1:15" x14ac:dyDescent="0.25">
      <c r="A1975" s="14"/>
      <c r="B1975" s="14"/>
      <c r="C1975" s="14"/>
      <c r="D1975" s="5" t="str">
        <f t="shared" si="189"/>
        <v/>
      </c>
      <c r="E1975" s="5" t="str">
        <f t="shared" si="190"/>
        <v/>
      </c>
      <c r="F1975" s="5" t="str">
        <f t="shared" si="191"/>
        <v/>
      </c>
      <c r="G1975" s="23"/>
      <c r="H1975" s="66"/>
      <c r="I1975" s="14"/>
      <c r="J1975" s="14"/>
      <c r="K1975" s="14"/>
      <c r="L1975" s="5" t="str">
        <f t="shared" si="186"/>
        <v/>
      </c>
      <c r="M1975" s="5" t="str">
        <f t="shared" si="187"/>
        <v/>
      </c>
      <c r="N1975" s="5" t="str">
        <f t="shared" si="188"/>
        <v/>
      </c>
      <c r="O1975" s="4"/>
    </row>
    <row r="1976" spans="1:15" x14ac:dyDescent="0.25">
      <c r="A1976" s="14"/>
      <c r="B1976" s="14"/>
      <c r="C1976" s="14"/>
      <c r="D1976" s="5" t="str">
        <f t="shared" si="189"/>
        <v/>
      </c>
      <c r="E1976" s="5" t="str">
        <f t="shared" si="190"/>
        <v/>
      </c>
      <c r="F1976" s="5" t="str">
        <f t="shared" si="191"/>
        <v/>
      </c>
      <c r="G1976" s="23"/>
      <c r="H1976" s="66"/>
      <c r="I1976" s="14"/>
      <c r="J1976" s="14"/>
      <c r="K1976" s="14"/>
      <c r="L1976" s="5" t="str">
        <f t="shared" si="186"/>
        <v/>
      </c>
      <c r="M1976" s="5" t="str">
        <f t="shared" si="187"/>
        <v/>
      </c>
      <c r="N1976" s="5" t="str">
        <f t="shared" si="188"/>
        <v/>
      </c>
      <c r="O1976" s="4"/>
    </row>
    <row r="1977" spans="1:15" x14ac:dyDescent="0.25">
      <c r="A1977" s="14"/>
      <c r="B1977" s="14"/>
      <c r="C1977" s="14"/>
      <c r="D1977" s="5" t="str">
        <f t="shared" si="189"/>
        <v/>
      </c>
      <c r="E1977" s="5" t="str">
        <f t="shared" si="190"/>
        <v/>
      </c>
      <c r="F1977" s="5" t="str">
        <f t="shared" si="191"/>
        <v/>
      </c>
      <c r="G1977" s="23"/>
      <c r="H1977" s="66"/>
      <c r="I1977" s="14"/>
      <c r="J1977" s="14"/>
      <c r="K1977" s="14"/>
      <c r="L1977" s="5" t="str">
        <f t="shared" si="186"/>
        <v/>
      </c>
      <c r="M1977" s="5" t="str">
        <f t="shared" si="187"/>
        <v/>
      </c>
      <c r="N1977" s="5" t="str">
        <f t="shared" si="188"/>
        <v/>
      </c>
      <c r="O1977" s="4"/>
    </row>
    <row r="1978" spans="1:15" x14ac:dyDescent="0.25">
      <c r="A1978" s="14"/>
      <c r="B1978" s="14"/>
      <c r="C1978" s="14"/>
      <c r="D1978" s="5" t="str">
        <f t="shared" si="189"/>
        <v/>
      </c>
      <c r="E1978" s="5" t="str">
        <f t="shared" si="190"/>
        <v/>
      </c>
      <c r="F1978" s="5" t="str">
        <f t="shared" si="191"/>
        <v/>
      </c>
      <c r="G1978" s="23"/>
      <c r="H1978" s="66"/>
      <c r="I1978" s="14"/>
      <c r="J1978" s="14"/>
      <c r="K1978" s="14"/>
      <c r="L1978" s="5" t="str">
        <f t="shared" si="186"/>
        <v/>
      </c>
      <c r="M1978" s="5" t="str">
        <f t="shared" si="187"/>
        <v/>
      </c>
      <c r="N1978" s="5" t="str">
        <f t="shared" si="188"/>
        <v/>
      </c>
      <c r="O1978" s="4"/>
    </row>
    <row r="1979" spans="1:15" x14ac:dyDescent="0.25">
      <c r="A1979" s="14"/>
      <c r="B1979" s="14"/>
      <c r="C1979" s="14"/>
      <c r="D1979" s="5" t="str">
        <f t="shared" si="189"/>
        <v/>
      </c>
      <c r="E1979" s="5" t="str">
        <f t="shared" si="190"/>
        <v/>
      </c>
      <c r="F1979" s="5" t="str">
        <f t="shared" si="191"/>
        <v/>
      </c>
      <c r="G1979" s="23"/>
      <c r="H1979" s="66"/>
      <c r="I1979" s="14"/>
      <c r="J1979" s="14"/>
      <c r="K1979" s="14"/>
      <c r="L1979" s="5" t="str">
        <f t="shared" si="186"/>
        <v/>
      </c>
      <c r="M1979" s="5" t="str">
        <f t="shared" si="187"/>
        <v/>
      </c>
      <c r="N1979" s="5" t="str">
        <f t="shared" si="188"/>
        <v/>
      </c>
      <c r="O1979" s="4"/>
    </row>
    <row r="1980" spans="1:15" x14ac:dyDescent="0.25">
      <c r="A1980" s="14"/>
      <c r="B1980" s="14"/>
      <c r="C1980" s="14"/>
      <c r="D1980" s="5" t="str">
        <f t="shared" si="189"/>
        <v/>
      </c>
      <c r="E1980" s="5" t="str">
        <f t="shared" si="190"/>
        <v/>
      </c>
      <c r="F1980" s="5" t="str">
        <f t="shared" si="191"/>
        <v/>
      </c>
      <c r="G1980" s="23"/>
      <c r="H1980" s="66"/>
      <c r="I1980" s="14"/>
      <c r="J1980" s="14"/>
      <c r="K1980" s="14"/>
      <c r="L1980" s="5" t="str">
        <f t="shared" si="186"/>
        <v/>
      </c>
      <c r="M1980" s="5" t="str">
        <f t="shared" si="187"/>
        <v/>
      </c>
      <c r="N1980" s="5" t="str">
        <f t="shared" si="188"/>
        <v/>
      </c>
      <c r="O1980" s="4"/>
    </row>
    <row r="1981" spans="1:15" x14ac:dyDescent="0.25">
      <c r="A1981" s="14"/>
      <c r="B1981" s="14"/>
      <c r="C1981" s="14"/>
      <c r="D1981" s="5" t="str">
        <f t="shared" si="189"/>
        <v/>
      </c>
      <c r="E1981" s="5" t="str">
        <f t="shared" si="190"/>
        <v/>
      </c>
      <c r="F1981" s="5" t="str">
        <f t="shared" si="191"/>
        <v/>
      </c>
      <c r="G1981" s="23"/>
      <c r="H1981" s="66"/>
      <c r="I1981" s="14"/>
      <c r="J1981" s="14"/>
      <c r="K1981" s="14"/>
      <c r="L1981" s="5" t="str">
        <f t="shared" si="186"/>
        <v/>
      </c>
      <c r="M1981" s="5" t="str">
        <f t="shared" si="187"/>
        <v/>
      </c>
      <c r="N1981" s="5" t="str">
        <f t="shared" si="188"/>
        <v/>
      </c>
      <c r="O1981" s="4"/>
    </row>
    <row r="1982" spans="1:15" x14ac:dyDescent="0.25">
      <c r="A1982" s="14"/>
      <c r="B1982" s="14"/>
      <c r="C1982" s="14"/>
      <c r="D1982" s="5" t="str">
        <f t="shared" si="189"/>
        <v/>
      </c>
      <c r="E1982" s="5" t="str">
        <f t="shared" si="190"/>
        <v/>
      </c>
      <c r="F1982" s="5" t="str">
        <f t="shared" si="191"/>
        <v/>
      </c>
      <c r="G1982" s="23"/>
      <c r="H1982" s="66"/>
      <c r="I1982" s="14"/>
      <c r="J1982" s="14"/>
      <c r="K1982" s="14"/>
      <c r="L1982" s="5" t="str">
        <f t="shared" si="186"/>
        <v/>
      </c>
      <c r="M1982" s="5" t="str">
        <f t="shared" si="187"/>
        <v/>
      </c>
      <c r="N1982" s="5" t="str">
        <f t="shared" si="188"/>
        <v/>
      </c>
      <c r="O1982" s="4"/>
    </row>
    <row r="1983" spans="1:15" x14ac:dyDescent="0.25">
      <c r="A1983" s="14"/>
      <c r="B1983" s="14"/>
      <c r="C1983" s="14"/>
      <c r="D1983" s="5" t="str">
        <f t="shared" si="189"/>
        <v/>
      </c>
      <c r="E1983" s="5" t="str">
        <f t="shared" si="190"/>
        <v/>
      </c>
      <c r="F1983" s="5" t="str">
        <f t="shared" si="191"/>
        <v/>
      </c>
      <c r="G1983" s="23"/>
      <c r="H1983" s="66"/>
      <c r="I1983" s="14"/>
      <c r="J1983" s="14"/>
      <c r="K1983" s="14"/>
      <c r="L1983" s="5" t="str">
        <f t="shared" si="186"/>
        <v/>
      </c>
      <c r="M1983" s="5" t="str">
        <f t="shared" si="187"/>
        <v/>
      </c>
      <c r="N1983" s="5" t="str">
        <f t="shared" si="188"/>
        <v/>
      </c>
      <c r="O1983" s="4"/>
    </row>
    <row r="1984" spans="1:15" x14ac:dyDescent="0.25">
      <c r="A1984" s="14"/>
      <c r="B1984" s="14"/>
      <c r="C1984" s="14"/>
      <c r="D1984" s="5" t="str">
        <f t="shared" si="189"/>
        <v/>
      </c>
      <c r="E1984" s="5" t="str">
        <f t="shared" si="190"/>
        <v/>
      </c>
      <c r="F1984" s="5" t="str">
        <f t="shared" si="191"/>
        <v/>
      </c>
      <c r="G1984" s="23"/>
      <c r="H1984" s="66"/>
      <c r="I1984" s="14"/>
      <c r="J1984" s="14"/>
      <c r="K1984" s="14"/>
      <c r="L1984" s="5" t="str">
        <f t="shared" si="186"/>
        <v/>
      </c>
      <c r="M1984" s="5" t="str">
        <f t="shared" si="187"/>
        <v/>
      </c>
      <c r="N1984" s="5" t="str">
        <f t="shared" si="188"/>
        <v/>
      </c>
      <c r="O1984" s="4"/>
    </row>
    <row r="1985" spans="1:15" x14ac:dyDescent="0.25">
      <c r="A1985" s="14"/>
      <c r="B1985" s="14"/>
      <c r="C1985" s="14"/>
      <c r="D1985" s="5" t="str">
        <f t="shared" si="189"/>
        <v/>
      </c>
      <c r="E1985" s="5" t="str">
        <f t="shared" si="190"/>
        <v/>
      </c>
      <c r="F1985" s="5" t="str">
        <f t="shared" si="191"/>
        <v/>
      </c>
      <c r="G1985" s="23"/>
      <c r="H1985" s="66"/>
      <c r="I1985" s="14"/>
      <c r="J1985" s="14"/>
      <c r="K1985" s="14"/>
      <c r="L1985" s="5" t="str">
        <f t="shared" si="186"/>
        <v/>
      </c>
      <c r="M1985" s="5" t="str">
        <f t="shared" si="187"/>
        <v/>
      </c>
      <c r="N1985" s="5" t="str">
        <f t="shared" si="188"/>
        <v/>
      </c>
      <c r="O1985" s="4"/>
    </row>
    <row r="1986" spans="1:15" x14ac:dyDescent="0.25">
      <c r="A1986" s="14"/>
      <c r="B1986" s="14"/>
      <c r="C1986" s="14"/>
      <c r="D1986" s="5" t="str">
        <f t="shared" si="189"/>
        <v/>
      </c>
      <c r="E1986" s="5" t="str">
        <f t="shared" si="190"/>
        <v/>
      </c>
      <c r="F1986" s="5" t="str">
        <f t="shared" si="191"/>
        <v/>
      </c>
      <c r="G1986" s="23"/>
      <c r="H1986" s="66"/>
      <c r="I1986" s="14"/>
      <c r="J1986" s="14"/>
      <c r="K1986" s="14"/>
      <c r="L1986" s="5" t="str">
        <f t="shared" si="186"/>
        <v/>
      </c>
      <c r="M1986" s="5" t="str">
        <f t="shared" si="187"/>
        <v/>
      </c>
      <c r="N1986" s="5" t="str">
        <f t="shared" si="188"/>
        <v/>
      </c>
      <c r="O1986" s="4"/>
    </row>
    <row r="1987" spans="1:15" x14ac:dyDescent="0.25">
      <c r="A1987" s="14"/>
      <c r="B1987" s="14"/>
      <c r="C1987" s="14"/>
      <c r="D1987" s="5" t="str">
        <f t="shared" si="189"/>
        <v/>
      </c>
      <c r="E1987" s="5" t="str">
        <f t="shared" si="190"/>
        <v/>
      </c>
      <c r="F1987" s="5" t="str">
        <f t="shared" si="191"/>
        <v/>
      </c>
      <c r="G1987" s="23"/>
      <c r="H1987" s="66"/>
      <c r="I1987" s="14"/>
      <c r="J1987" s="14"/>
      <c r="K1987" s="14"/>
      <c r="L1987" s="5" t="str">
        <f t="shared" si="186"/>
        <v/>
      </c>
      <c r="M1987" s="5" t="str">
        <f t="shared" si="187"/>
        <v/>
      </c>
      <c r="N1987" s="5" t="str">
        <f t="shared" si="188"/>
        <v/>
      </c>
      <c r="O1987" s="4"/>
    </row>
    <row r="1988" spans="1:15" x14ac:dyDescent="0.25">
      <c r="A1988" s="14"/>
      <c r="B1988" s="14"/>
      <c r="C1988" s="14"/>
      <c r="D1988" s="5" t="str">
        <f t="shared" si="189"/>
        <v/>
      </c>
      <c r="E1988" s="5" t="str">
        <f t="shared" si="190"/>
        <v/>
      </c>
      <c r="F1988" s="5" t="str">
        <f t="shared" si="191"/>
        <v/>
      </c>
      <c r="G1988" s="23"/>
      <c r="H1988" s="66"/>
      <c r="I1988" s="14"/>
      <c r="J1988" s="14"/>
      <c r="K1988" s="14"/>
      <c r="L1988" s="5" t="str">
        <f t="shared" si="186"/>
        <v/>
      </c>
      <c r="M1988" s="5" t="str">
        <f t="shared" si="187"/>
        <v/>
      </c>
      <c r="N1988" s="5" t="str">
        <f t="shared" si="188"/>
        <v/>
      </c>
      <c r="O1988" s="4"/>
    </row>
    <row r="1989" spans="1:15" x14ac:dyDescent="0.25">
      <c r="A1989" s="14"/>
      <c r="B1989" s="14"/>
      <c r="C1989" s="14"/>
      <c r="D1989" s="5" t="str">
        <f t="shared" si="189"/>
        <v/>
      </c>
      <c r="E1989" s="5" t="str">
        <f t="shared" si="190"/>
        <v/>
      </c>
      <c r="F1989" s="5" t="str">
        <f t="shared" si="191"/>
        <v/>
      </c>
      <c r="G1989" s="23"/>
      <c r="H1989" s="66"/>
      <c r="I1989" s="14"/>
      <c r="J1989" s="14"/>
      <c r="K1989" s="14"/>
      <c r="L1989" s="5" t="str">
        <f t="shared" si="186"/>
        <v/>
      </c>
      <c r="M1989" s="5" t="str">
        <f t="shared" si="187"/>
        <v/>
      </c>
      <c r="N1989" s="5" t="str">
        <f t="shared" si="188"/>
        <v/>
      </c>
      <c r="O1989" s="4"/>
    </row>
    <row r="1990" spans="1:15" x14ac:dyDescent="0.25">
      <c r="A1990" s="14"/>
      <c r="B1990" s="14"/>
      <c r="C1990" s="14"/>
      <c r="D1990" s="5" t="str">
        <f t="shared" si="189"/>
        <v/>
      </c>
      <c r="E1990" s="5" t="str">
        <f t="shared" si="190"/>
        <v/>
      </c>
      <c r="F1990" s="5" t="str">
        <f t="shared" si="191"/>
        <v/>
      </c>
      <c r="G1990" s="23"/>
      <c r="H1990" s="66"/>
      <c r="I1990" s="14"/>
      <c r="J1990" s="14"/>
      <c r="K1990" s="14"/>
      <c r="L1990" s="5" t="str">
        <f t="shared" si="186"/>
        <v/>
      </c>
      <c r="M1990" s="5" t="str">
        <f t="shared" si="187"/>
        <v/>
      </c>
      <c r="N1990" s="5" t="str">
        <f t="shared" si="188"/>
        <v/>
      </c>
      <c r="O1990" s="4"/>
    </row>
    <row r="1991" spans="1:15" x14ac:dyDescent="0.25">
      <c r="A1991" s="14"/>
      <c r="B1991" s="14"/>
      <c r="C1991" s="14"/>
      <c r="D1991" s="5" t="str">
        <f t="shared" si="189"/>
        <v/>
      </c>
      <c r="E1991" s="5" t="str">
        <f t="shared" si="190"/>
        <v/>
      </c>
      <c r="F1991" s="5" t="str">
        <f t="shared" si="191"/>
        <v/>
      </c>
      <c r="G1991" s="23"/>
      <c r="H1991" s="66"/>
      <c r="I1991" s="14"/>
      <c r="J1991" s="14"/>
      <c r="K1991" s="14"/>
      <c r="L1991" s="5" t="str">
        <f t="shared" si="186"/>
        <v/>
      </c>
      <c r="M1991" s="5" t="str">
        <f t="shared" si="187"/>
        <v/>
      </c>
      <c r="N1991" s="5" t="str">
        <f t="shared" si="188"/>
        <v/>
      </c>
      <c r="O1991" s="4"/>
    </row>
    <row r="1992" spans="1:15" x14ac:dyDescent="0.25">
      <c r="A1992" s="14"/>
      <c r="B1992" s="14"/>
      <c r="C1992" s="14"/>
      <c r="D1992" s="5" t="str">
        <f t="shared" si="189"/>
        <v/>
      </c>
      <c r="E1992" s="5" t="str">
        <f t="shared" si="190"/>
        <v/>
      </c>
      <c r="F1992" s="5" t="str">
        <f t="shared" si="191"/>
        <v/>
      </c>
      <c r="G1992" s="23"/>
      <c r="H1992" s="66"/>
      <c r="I1992" s="14"/>
      <c r="J1992" s="14"/>
      <c r="K1992" s="14"/>
      <c r="L1992" s="5" t="str">
        <f t="shared" si="186"/>
        <v/>
      </c>
      <c r="M1992" s="5" t="str">
        <f t="shared" si="187"/>
        <v/>
      </c>
      <c r="N1992" s="5" t="str">
        <f t="shared" si="188"/>
        <v/>
      </c>
      <c r="O1992" s="4"/>
    </row>
    <row r="1993" spans="1:15" x14ac:dyDescent="0.25">
      <c r="A1993" s="14"/>
      <c r="B1993" s="14"/>
      <c r="C1993" s="14"/>
      <c r="D1993" s="5" t="str">
        <f t="shared" si="189"/>
        <v/>
      </c>
      <c r="E1993" s="5" t="str">
        <f t="shared" si="190"/>
        <v/>
      </c>
      <c r="F1993" s="5" t="str">
        <f t="shared" si="191"/>
        <v/>
      </c>
      <c r="G1993" s="23"/>
      <c r="H1993" s="66"/>
      <c r="I1993" s="14"/>
      <c r="J1993" s="14"/>
      <c r="K1993" s="14"/>
      <c r="L1993" s="5" t="str">
        <f t="shared" si="186"/>
        <v/>
      </c>
      <c r="M1993" s="5" t="str">
        <f t="shared" si="187"/>
        <v/>
      </c>
      <c r="N1993" s="5" t="str">
        <f t="shared" si="188"/>
        <v/>
      </c>
      <c r="O1993" s="4"/>
    </row>
    <row r="1994" spans="1:15" x14ac:dyDescent="0.25">
      <c r="A1994" s="14"/>
      <c r="B1994" s="14"/>
      <c r="C1994" s="14"/>
      <c r="D1994" s="5" t="str">
        <f t="shared" si="189"/>
        <v/>
      </c>
      <c r="E1994" s="5" t="str">
        <f t="shared" si="190"/>
        <v/>
      </c>
      <c r="F1994" s="5" t="str">
        <f t="shared" si="191"/>
        <v/>
      </c>
      <c r="G1994" s="23"/>
      <c r="H1994" s="66"/>
      <c r="I1994" s="14"/>
      <c r="J1994" s="14"/>
      <c r="K1994" s="14"/>
      <c r="L1994" s="5" t="str">
        <f t="shared" ref="L1994:L2000" si="192">IFERROR(IF(I1994&lt;&gt;"",(((J1994-J1993)*$X$4/(I1994-I1993)))*$X$5,""),"")</f>
        <v/>
      </c>
      <c r="M1994" s="5" t="str">
        <f t="shared" ref="M1994:M2000" si="193">IFERROR(IF(I1994&lt;&gt;"",(((K1994-K1993)*$X$4/(I1994-I1993)))*$X$5,""),"")</f>
        <v/>
      </c>
      <c r="N1994" s="5" t="str">
        <f t="shared" ref="N1994:N2000" si="194">IFERROR(IF(I1994&lt;&gt;"",((ACOS((COS(RADIANS(J1993))*COS(RADIANS(J1994)))+(SIN(RADIANS(J1993))*SIN(RADIANS(J1994)))*COS(RADIANS(K1994-K1993)))*180/PI()*($X$4/(I1994-I1993))))*$X$5,""),"")</f>
        <v/>
      </c>
      <c r="O1994" s="4"/>
    </row>
    <row r="1995" spans="1:15" x14ac:dyDescent="0.25">
      <c r="A1995" s="14"/>
      <c r="B1995" s="14"/>
      <c r="C1995" s="14"/>
      <c r="D1995" s="5" t="str">
        <f t="shared" si="189"/>
        <v/>
      </c>
      <c r="E1995" s="5" t="str">
        <f t="shared" si="190"/>
        <v/>
      </c>
      <c r="F1995" s="5" t="str">
        <f t="shared" si="191"/>
        <v/>
      </c>
      <c r="G1995" s="23"/>
      <c r="H1995" s="66"/>
      <c r="I1995" s="14"/>
      <c r="J1995" s="14"/>
      <c r="K1995" s="14"/>
      <c r="L1995" s="5" t="str">
        <f t="shared" si="192"/>
        <v/>
      </c>
      <c r="M1995" s="5" t="str">
        <f t="shared" si="193"/>
        <v/>
      </c>
      <c r="N1995" s="5" t="str">
        <f t="shared" si="194"/>
        <v/>
      </c>
      <c r="O1995" s="4"/>
    </row>
    <row r="1996" spans="1:15" x14ac:dyDescent="0.25">
      <c r="A1996" s="14"/>
      <c r="B1996" s="14"/>
      <c r="C1996" s="14"/>
      <c r="D1996" s="5" t="str">
        <f t="shared" si="189"/>
        <v/>
      </c>
      <c r="E1996" s="5" t="str">
        <f t="shared" si="190"/>
        <v/>
      </c>
      <c r="F1996" s="5" t="str">
        <f t="shared" si="191"/>
        <v/>
      </c>
      <c r="G1996" s="23"/>
      <c r="H1996" s="66"/>
      <c r="I1996" s="14"/>
      <c r="J1996" s="14"/>
      <c r="K1996" s="14"/>
      <c r="L1996" s="5" t="str">
        <f t="shared" si="192"/>
        <v/>
      </c>
      <c r="M1996" s="5" t="str">
        <f t="shared" si="193"/>
        <v/>
      </c>
      <c r="N1996" s="5" t="str">
        <f t="shared" si="194"/>
        <v/>
      </c>
      <c r="O1996" s="4"/>
    </row>
    <row r="1997" spans="1:15" x14ac:dyDescent="0.25">
      <c r="A1997" s="14"/>
      <c r="B1997" s="14"/>
      <c r="C1997" s="14"/>
      <c r="D1997" s="5" t="str">
        <f t="shared" si="189"/>
        <v/>
      </c>
      <c r="E1997" s="5" t="str">
        <f t="shared" si="190"/>
        <v/>
      </c>
      <c r="F1997" s="5" t="str">
        <f t="shared" si="191"/>
        <v/>
      </c>
      <c r="G1997" s="23"/>
      <c r="H1997" s="66"/>
      <c r="I1997" s="14"/>
      <c r="J1997" s="14"/>
      <c r="K1997" s="14"/>
      <c r="L1997" s="5" t="str">
        <f t="shared" si="192"/>
        <v/>
      </c>
      <c r="M1997" s="5" t="str">
        <f t="shared" si="193"/>
        <v/>
      </c>
      <c r="N1997" s="5" t="str">
        <f t="shared" si="194"/>
        <v/>
      </c>
      <c r="O1997" s="4"/>
    </row>
    <row r="1998" spans="1:15" x14ac:dyDescent="0.25">
      <c r="A1998" s="14"/>
      <c r="B1998" s="14"/>
      <c r="C1998" s="14"/>
      <c r="D1998" s="5" t="str">
        <f t="shared" si="189"/>
        <v/>
      </c>
      <c r="E1998" s="5" t="str">
        <f t="shared" si="190"/>
        <v/>
      </c>
      <c r="F1998" s="5" t="str">
        <f t="shared" si="191"/>
        <v/>
      </c>
      <c r="G1998" s="23"/>
      <c r="H1998" s="66"/>
      <c r="I1998" s="14"/>
      <c r="J1998" s="14"/>
      <c r="K1998" s="14"/>
      <c r="L1998" s="5" t="str">
        <f t="shared" si="192"/>
        <v/>
      </c>
      <c r="M1998" s="5" t="str">
        <f t="shared" si="193"/>
        <v/>
      </c>
      <c r="N1998" s="5" t="str">
        <f t="shared" si="194"/>
        <v/>
      </c>
      <c r="O1998" s="4"/>
    </row>
    <row r="1999" spans="1:15" x14ac:dyDescent="0.25">
      <c r="A1999" s="14"/>
      <c r="B1999" s="14"/>
      <c r="C1999" s="14"/>
      <c r="D1999" s="5" t="str">
        <f t="shared" si="189"/>
        <v/>
      </c>
      <c r="E1999" s="5" t="str">
        <f t="shared" si="190"/>
        <v/>
      </c>
      <c r="F1999" s="5" t="str">
        <f t="shared" si="191"/>
        <v/>
      </c>
      <c r="G1999" s="23"/>
      <c r="H1999" s="66"/>
      <c r="I1999" s="14"/>
      <c r="J1999" s="14"/>
      <c r="K1999" s="14"/>
      <c r="L1999" s="5" t="str">
        <f t="shared" si="192"/>
        <v/>
      </c>
      <c r="M1999" s="5" t="str">
        <f t="shared" si="193"/>
        <v/>
      </c>
      <c r="N1999" s="5" t="str">
        <f t="shared" si="194"/>
        <v/>
      </c>
      <c r="O1999" s="4"/>
    </row>
    <row r="2000" spans="1:15" x14ac:dyDescent="0.25">
      <c r="A2000" s="14"/>
      <c r="B2000" s="14"/>
      <c r="C2000" s="14"/>
      <c r="D2000" s="5" t="str">
        <f t="shared" si="189"/>
        <v/>
      </c>
      <c r="E2000" s="5" t="str">
        <f t="shared" si="190"/>
        <v/>
      </c>
      <c r="F2000" s="5" t="str">
        <f t="shared" si="191"/>
        <v/>
      </c>
      <c r="G2000" s="23"/>
      <c r="H2000" s="66"/>
      <c r="I2000" s="14"/>
      <c r="J2000" s="14"/>
      <c r="K2000" s="14"/>
      <c r="L2000" s="5" t="str">
        <f t="shared" si="192"/>
        <v/>
      </c>
      <c r="M2000" s="5" t="str">
        <f t="shared" si="193"/>
        <v/>
      </c>
      <c r="N2000" s="5" t="str">
        <f t="shared" si="194"/>
        <v/>
      </c>
      <c r="O2000" s="4"/>
    </row>
    <row r="2001" spans="1:15" x14ac:dyDescent="0.25">
      <c r="A2001" s="14"/>
      <c r="B2001" s="14"/>
      <c r="C2001" s="14"/>
      <c r="D2001" s="5" t="str">
        <f t="shared" si="189"/>
        <v/>
      </c>
      <c r="E2001" s="5" t="str">
        <f t="shared" si="190"/>
        <v/>
      </c>
      <c r="F2001" s="5" t="str">
        <f t="shared" si="191"/>
        <v/>
      </c>
      <c r="G2001" s="23"/>
      <c r="H2001" s="66"/>
      <c r="I2001" s="14"/>
      <c r="J2001" s="14"/>
      <c r="K2001" s="14"/>
      <c r="L2001" s="5" t="str">
        <f t="shared" ref="L2001:L2064" si="195">IFERROR(IF(I2001&lt;&gt;"",(((J2001-J2000)*$X$4/(I2001-I2000)))*$X$5,""),"")</f>
        <v/>
      </c>
      <c r="M2001" s="5" t="str">
        <f t="shared" ref="M2001:M2064" si="196">IFERROR(IF(I2001&lt;&gt;"",(((K2001-K2000)*$X$4/(I2001-I2000)))*$X$5,""),"")</f>
        <v/>
      </c>
      <c r="N2001" s="5" t="str">
        <f t="shared" ref="N2001:N2064" si="197">IFERROR(IF(I2001&lt;&gt;"",((ACOS((COS(RADIANS(J2000))*COS(RADIANS(J2001)))+(SIN(RADIANS(J2000))*SIN(RADIANS(J2001)))*COS(RADIANS(K2001-K2000)))*180/PI()*($X$4/(I2001-I2000))))*$X$5,""),"")</f>
        <v/>
      </c>
      <c r="O2001" s="4"/>
    </row>
    <row r="2002" spans="1:15" x14ac:dyDescent="0.25">
      <c r="A2002" s="14"/>
      <c r="B2002" s="14"/>
      <c r="C2002" s="14"/>
      <c r="D2002" s="5" t="str">
        <f t="shared" si="189"/>
        <v/>
      </c>
      <c r="E2002" s="5" t="str">
        <f t="shared" si="190"/>
        <v/>
      </c>
      <c r="F2002" s="5" t="str">
        <f t="shared" si="191"/>
        <v/>
      </c>
      <c r="G2002" s="23"/>
      <c r="H2002" s="66"/>
      <c r="I2002" s="14"/>
      <c r="J2002" s="14"/>
      <c r="K2002" s="14"/>
      <c r="L2002" s="5" t="str">
        <f t="shared" si="195"/>
        <v/>
      </c>
      <c r="M2002" s="5" t="str">
        <f t="shared" si="196"/>
        <v/>
      </c>
      <c r="N2002" s="5" t="str">
        <f t="shared" si="197"/>
        <v/>
      </c>
      <c r="O2002" s="4"/>
    </row>
    <row r="2003" spans="1:15" x14ac:dyDescent="0.25">
      <c r="A2003" s="14"/>
      <c r="B2003" s="14"/>
      <c r="C2003" s="14"/>
      <c r="D2003" s="5" t="str">
        <f t="shared" si="189"/>
        <v/>
      </c>
      <c r="E2003" s="5" t="str">
        <f t="shared" si="190"/>
        <v/>
      </c>
      <c r="F2003" s="5" t="str">
        <f t="shared" si="191"/>
        <v/>
      </c>
      <c r="G2003" s="23"/>
      <c r="H2003" s="66"/>
      <c r="I2003" s="14"/>
      <c r="J2003" s="14"/>
      <c r="K2003" s="14"/>
      <c r="L2003" s="5" t="str">
        <f t="shared" si="195"/>
        <v/>
      </c>
      <c r="M2003" s="5" t="str">
        <f t="shared" si="196"/>
        <v/>
      </c>
      <c r="N2003" s="5" t="str">
        <f t="shared" si="197"/>
        <v/>
      </c>
      <c r="O2003" s="4"/>
    </row>
    <row r="2004" spans="1:15" x14ac:dyDescent="0.25">
      <c r="A2004" s="14"/>
      <c r="B2004" s="14"/>
      <c r="C2004" s="14"/>
      <c r="D2004" s="5" t="str">
        <f t="shared" si="189"/>
        <v/>
      </c>
      <c r="E2004" s="5" t="str">
        <f t="shared" si="190"/>
        <v/>
      </c>
      <c r="F2004" s="5" t="str">
        <f t="shared" si="191"/>
        <v/>
      </c>
      <c r="G2004" s="23"/>
      <c r="H2004" s="66"/>
      <c r="I2004" s="14"/>
      <c r="J2004" s="14"/>
      <c r="K2004" s="14"/>
      <c r="L2004" s="5" t="str">
        <f t="shared" si="195"/>
        <v/>
      </c>
      <c r="M2004" s="5" t="str">
        <f t="shared" si="196"/>
        <v/>
      </c>
      <c r="N2004" s="5" t="str">
        <f t="shared" si="197"/>
        <v/>
      </c>
      <c r="O2004" s="4"/>
    </row>
    <row r="2005" spans="1:15" x14ac:dyDescent="0.25">
      <c r="A2005" s="14"/>
      <c r="B2005" s="14"/>
      <c r="C2005" s="14"/>
      <c r="D2005" s="5" t="str">
        <f t="shared" si="189"/>
        <v/>
      </c>
      <c r="E2005" s="5" t="str">
        <f t="shared" si="190"/>
        <v/>
      </c>
      <c r="F2005" s="5" t="str">
        <f t="shared" si="191"/>
        <v/>
      </c>
      <c r="G2005" s="23"/>
      <c r="H2005" s="66"/>
      <c r="I2005" s="14"/>
      <c r="J2005" s="14"/>
      <c r="K2005" s="14"/>
      <c r="L2005" s="5" t="str">
        <f t="shared" si="195"/>
        <v/>
      </c>
      <c r="M2005" s="5" t="str">
        <f t="shared" si="196"/>
        <v/>
      </c>
      <c r="N2005" s="5" t="str">
        <f t="shared" si="197"/>
        <v/>
      </c>
      <c r="O2005" s="4"/>
    </row>
    <row r="2006" spans="1:15" x14ac:dyDescent="0.25">
      <c r="A2006" s="14"/>
      <c r="B2006" s="14"/>
      <c r="C2006" s="14"/>
      <c r="D2006" s="5" t="str">
        <f t="shared" si="189"/>
        <v/>
      </c>
      <c r="E2006" s="5" t="str">
        <f t="shared" si="190"/>
        <v/>
      </c>
      <c r="F2006" s="5" t="str">
        <f t="shared" si="191"/>
        <v/>
      </c>
      <c r="G2006" s="23"/>
      <c r="H2006" s="66"/>
      <c r="I2006" s="14"/>
      <c r="J2006" s="14"/>
      <c r="K2006" s="14"/>
      <c r="L2006" s="5" t="str">
        <f t="shared" si="195"/>
        <v/>
      </c>
      <c r="M2006" s="5" t="str">
        <f t="shared" si="196"/>
        <v/>
      </c>
      <c r="N2006" s="5" t="str">
        <f t="shared" si="197"/>
        <v/>
      </c>
      <c r="O2006" s="4"/>
    </row>
    <row r="2007" spans="1:15" x14ac:dyDescent="0.25">
      <c r="A2007" s="14"/>
      <c r="B2007" s="14"/>
      <c r="C2007" s="14"/>
      <c r="D2007" s="5" t="str">
        <f t="shared" si="189"/>
        <v/>
      </c>
      <c r="E2007" s="5" t="str">
        <f t="shared" si="190"/>
        <v/>
      </c>
      <c r="F2007" s="5" t="str">
        <f t="shared" si="191"/>
        <v/>
      </c>
      <c r="G2007" s="23"/>
      <c r="H2007" s="66"/>
      <c r="I2007" s="14"/>
      <c r="J2007" s="14"/>
      <c r="K2007" s="14"/>
      <c r="L2007" s="5" t="str">
        <f t="shared" si="195"/>
        <v/>
      </c>
      <c r="M2007" s="5" t="str">
        <f t="shared" si="196"/>
        <v/>
      </c>
      <c r="N2007" s="5" t="str">
        <f t="shared" si="197"/>
        <v/>
      </c>
      <c r="O2007" s="4"/>
    </row>
    <row r="2008" spans="1:15" x14ac:dyDescent="0.25">
      <c r="A2008" s="14"/>
      <c r="B2008" s="14"/>
      <c r="C2008" s="14"/>
      <c r="D2008" s="5" t="str">
        <f t="shared" si="189"/>
        <v/>
      </c>
      <c r="E2008" s="5" t="str">
        <f t="shared" si="190"/>
        <v/>
      </c>
      <c r="F2008" s="5" t="str">
        <f t="shared" si="191"/>
        <v/>
      </c>
      <c r="G2008" s="23"/>
      <c r="H2008" s="66"/>
      <c r="I2008" s="14"/>
      <c r="J2008" s="14"/>
      <c r="K2008" s="14"/>
      <c r="L2008" s="5" t="str">
        <f t="shared" si="195"/>
        <v/>
      </c>
      <c r="M2008" s="5" t="str">
        <f t="shared" si="196"/>
        <v/>
      </c>
      <c r="N2008" s="5" t="str">
        <f t="shared" si="197"/>
        <v/>
      </c>
      <c r="O2008" s="4"/>
    </row>
    <row r="2009" spans="1:15" x14ac:dyDescent="0.25">
      <c r="A2009" s="14"/>
      <c r="B2009" s="14"/>
      <c r="C2009" s="14"/>
      <c r="D2009" s="5" t="str">
        <f t="shared" ref="D2009:D2072" si="198">IFERROR( IF(A2009&lt;&gt;"",((B2009-B2008)*$X$4/(A2009-A2008))*$X$5,""),"")</f>
        <v/>
      </c>
      <c r="E2009" s="5" t="str">
        <f t="shared" ref="E2009:E2072" si="199">IFERROR(IF(A2009&lt;&gt;"",((C2009-C2008)*$X$4/(A2009-A2008))*$X$5,""),"")</f>
        <v/>
      </c>
      <c r="F2009" s="5" t="str">
        <f t="shared" ref="F2009:F2072" si="200">IFERROR(IF(A2009&lt;&gt;"",((ACOS((COS(RADIANS(B2008))*COS(RADIANS(B2009)))+(SIN(RADIANS(B2008))*SIN(RADIANS(B2009)))*COS(RADIANS(C2009-C2008)))*180/PI()*($X$4/(A2009-A2008))))*$X$5,""),"")</f>
        <v/>
      </c>
      <c r="G2009" s="23"/>
      <c r="H2009" s="66"/>
      <c r="I2009" s="14"/>
      <c r="J2009" s="14"/>
      <c r="K2009" s="14"/>
      <c r="L2009" s="5" t="str">
        <f t="shared" si="195"/>
        <v/>
      </c>
      <c r="M2009" s="5" t="str">
        <f t="shared" si="196"/>
        <v/>
      </c>
      <c r="N2009" s="5" t="str">
        <f t="shared" si="197"/>
        <v/>
      </c>
      <c r="O2009" s="4"/>
    </row>
    <row r="2010" spans="1:15" x14ac:dyDescent="0.25">
      <c r="A2010" s="14"/>
      <c r="B2010" s="14"/>
      <c r="C2010" s="14"/>
      <c r="D2010" s="5" t="str">
        <f t="shared" si="198"/>
        <v/>
      </c>
      <c r="E2010" s="5" t="str">
        <f t="shared" si="199"/>
        <v/>
      </c>
      <c r="F2010" s="5" t="str">
        <f t="shared" si="200"/>
        <v/>
      </c>
      <c r="G2010" s="23"/>
      <c r="H2010" s="66"/>
      <c r="I2010" s="14"/>
      <c r="J2010" s="14"/>
      <c r="K2010" s="14"/>
      <c r="L2010" s="5" t="str">
        <f t="shared" si="195"/>
        <v/>
      </c>
      <c r="M2010" s="5" t="str">
        <f t="shared" si="196"/>
        <v/>
      </c>
      <c r="N2010" s="5" t="str">
        <f t="shared" si="197"/>
        <v/>
      </c>
      <c r="O2010" s="4"/>
    </row>
    <row r="2011" spans="1:15" x14ac:dyDescent="0.25">
      <c r="A2011" s="14"/>
      <c r="B2011" s="14"/>
      <c r="C2011" s="14"/>
      <c r="D2011" s="5" t="str">
        <f t="shared" si="198"/>
        <v/>
      </c>
      <c r="E2011" s="5" t="str">
        <f t="shared" si="199"/>
        <v/>
      </c>
      <c r="F2011" s="5" t="str">
        <f t="shared" si="200"/>
        <v/>
      </c>
      <c r="G2011" s="23"/>
      <c r="H2011" s="66"/>
      <c r="I2011" s="14"/>
      <c r="J2011" s="14"/>
      <c r="K2011" s="14"/>
      <c r="L2011" s="5" t="str">
        <f t="shared" si="195"/>
        <v/>
      </c>
      <c r="M2011" s="5" t="str">
        <f t="shared" si="196"/>
        <v/>
      </c>
      <c r="N2011" s="5" t="str">
        <f t="shared" si="197"/>
        <v/>
      </c>
      <c r="O2011" s="4"/>
    </row>
    <row r="2012" spans="1:15" x14ac:dyDescent="0.25">
      <c r="A2012" s="14"/>
      <c r="B2012" s="14"/>
      <c r="C2012" s="14"/>
      <c r="D2012" s="5" t="str">
        <f t="shared" si="198"/>
        <v/>
      </c>
      <c r="E2012" s="5" t="str">
        <f t="shared" si="199"/>
        <v/>
      </c>
      <c r="F2012" s="5" t="str">
        <f t="shared" si="200"/>
        <v/>
      </c>
      <c r="G2012" s="23"/>
      <c r="H2012" s="66"/>
      <c r="I2012" s="14"/>
      <c r="J2012" s="14"/>
      <c r="K2012" s="14"/>
      <c r="L2012" s="5" t="str">
        <f t="shared" si="195"/>
        <v/>
      </c>
      <c r="M2012" s="5" t="str">
        <f t="shared" si="196"/>
        <v/>
      </c>
      <c r="N2012" s="5" t="str">
        <f t="shared" si="197"/>
        <v/>
      </c>
      <c r="O2012" s="4"/>
    </row>
    <row r="2013" spans="1:15" x14ac:dyDescent="0.25">
      <c r="A2013" s="14"/>
      <c r="B2013" s="14"/>
      <c r="C2013" s="14"/>
      <c r="D2013" s="5" t="str">
        <f t="shared" si="198"/>
        <v/>
      </c>
      <c r="E2013" s="5" t="str">
        <f t="shared" si="199"/>
        <v/>
      </c>
      <c r="F2013" s="5" t="str">
        <f t="shared" si="200"/>
        <v/>
      </c>
      <c r="G2013" s="23"/>
      <c r="H2013" s="66"/>
      <c r="I2013" s="14"/>
      <c r="J2013" s="14"/>
      <c r="K2013" s="14"/>
      <c r="L2013" s="5" t="str">
        <f t="shared" si="195"/>
        <v/>
      </c>
      <c r="M2013" s="5" t="str">
        <f t="shared" si="196"/>
        <v/>
      </c>
      <c r="N2013" s="5" t="str">
        <f t="shared" si="197"/>
        <v/>
      </c>
      <c r="O2013" s="4"/>
    </row>
    <row r="2014" spans="1:15" x14ac:dyDescent="0.25">
      <c r="A2014" s="14"/>
      <c r="B2014" s="14"/>
      <c r="C2014" s="14"/>
      <c r="D2014" s="5" t="str">
        <f t="shared" si="198"/>
        <v/>
      </c>
      <c r="E2014" s="5" t="str">
        <f t="shared" si="199"/>
        <v/>
      </c>
      <c r="F2014" s="5" t="str">
        <f t="shared" si="200"/>
        <v/>
      </c>
      <c r="G2014" s="23"/>
      <c r="H2014" s="66"/>
      <c r="I2014" s="14"/>
      <c r="J2014" s="14"/>
      <c r="K2014" s="14"/>
      <c r="L2014" s="5" t="str">
        <f t="shared" si="195"/>
        <v/>
      </c>
      <c r="M2014" s="5" t="str">
        <f t="shared" si="196"/>
        <v/>
      </c>
      <c r="N2014" s="5" t="str">
        <f t="shared" si="197"/>
        <v/>
      </c>
      <c r="O2014" s="4"/>
    </row>
    <row r="2015" spans="1:15" x14ac:dyDescent="0.25">
      <c r="A2015" s="14"/>
      <c r="B2015" s="14"/>
      <c r="C2015" s="14"/>
      <c r="D2015" s="5" t="str">
        <f t="shared" si="198"/>
        <v/>
      </c>
      <c r="E2015" s="5" t="str">
        <f t="shared" si="199"/>
        <v/>
      </c>
      <c r="F2015" s="5" t="str">
        <f t="shared" si="200"/>
        <v/>
      </c>
      <c r="G2015" s="23"/>
      <c r="H2015" s="66"/>
      <c r="I2015" s="14"/>
      <c r="J2015" s="14"/>
      <c r="K2015" s="14"/>
      <c r="L2015" s="5" t="str">
        <f t="shared" si="195"/>
        <v/>
      </c>
      <c r="M2015" s="5" t="str">
        <f t="shared" si="196"/>
        <v/>
      </c>
      <c r="N2015" s="5" t="str">
        <f t="shared" si="197"/>
        <v/>
      </c>
      <c r="O2015" s="4"/>
    </row>
    <row r="2016" spans="1:15" x14ac:dyDescent="0.25">
      <c r="A2016" s="14"/>
      <c r="B2016" s="14"/>
      <c r="C2016" s="14"/>
      <c r="D2016" s="5" t="str">
        <f t="shared" si="198"/>
        <v/>
      </c>
      <c r="E2016" s="5" t="str">
        <f t="shared" si="199"/>
        <v/>
      </c>
      <c r="F2016" s="5" t="str">
        <f t="shared" si="200"/>
        <v/>
      </c>
      <c r="G2016" s="23"/>
      <c r="H2016" s="66"/>
      <c r="I2016" s="14"/>
      <c r="J2016" s="14"/>
      <c r="K2016" s="14"/>
      <c r="L2016" s="5" t="str">
        <f t="shared" si="195"/>
        <v/>
      </c>
      <c r="M2016" s="5" t="str">
        <f t="shared" si="196"/>
        <v/>
      </c>
      <c r="N2016" s="5" t="str">
        <f t="shared" si="197"/>
        <v/>
      </c>
      <c r="O2016" s="4"/>
    </row>
    <row r="2017" spans="1:15" x14ac:dyDescent="0.25">
      <c r="A2017" s="14"/>
      <c r="B2017" s="14"/>
      <c r="C2017" s="14"/>
      <c r="D2017" s="5" t="str">
        <f t="shared" si="198"/>
        <v/>
      </c>
      <c r="E2017" s="5" t="str">
        <f t="shared" si="199"/>
        <v/>
      </c>
      <c r="F2017" s="5" t="str">
        <f t="shared" si="200"/>
        <v/>
      </c>
      <c r="G2017" s="23"/>
      <c r="H2017" s="66"/>
      <c r="I2017" s="14"/>
      <c r="J2017" s="14"/>
      <c r="K2017" s="14"/>
      <c r="L2017" s="5" t="str">
        <f t="shared" si="195"/>
        <v/>
      </c>
      <c r="M2017" s="5" t="str">
        <f t="shared" si="196"/>
        <v/>
      </c>
      <c r="N2017" s="5" t="str">
        <f t="shared" si="197"/>
        <v/>
      </c>
      <c r="O2017" s="4"/>
    </row>
    <row r="2018" spans="1:15" x14ac:dyDescent="0.25">
      <c r="A2018" s="14"/>
      <c r="B2018" s="14"/>
      <c r="C2018" s="14"/>
      <c r="D2018" s="5" t="str">
        <f t="shared" si="198"/>
        <v/>
      </c>
      <c r="E2018" s="5" t="str">
        <f t="shared" si="199"/>
        <v/>
      </c>
      <c r="F2018" s="5" t="str">
        <f t="shared" si="200"/>
        <v/>
      </c>
      <c r="G2018" s="23"/>
      <c r="H2018" s="66"/>
      <c r="I2018" s="14"/>
      <c r="J2018" s="14"/>
      <c r="K2018" s="14"/>
      <c r="L2018" s="5" t="str">
        <f t="shared" si="195"/>
        <v/>
      </c>
      <c r="M2018" s="5" t="str">
        <f t="shared" si="196"/>
        <v/>
      </c>
      <c r="N2018" s="5" t="str">
        <f t="shared" si="197"/>
        <v/>
      </c>
      <c r="O2018" s="4"/>
    </row>
    <row r="2019" spans="1:15" x14ac:dyDescent="0.25">
      <c r="A2019" s="14"/>
      <c r="B2019" s="14"/>
      <c r="C2019" s="14"/>
      <c r="D2019" s="5" t="str">
        <f t="shared" si="198"/>
        <v/>
      </c>
      <c r="E2019" s="5" t="str">
        <f t="shared" si="199"/>
        <v/>
      </c>
      <c r="F2019" s="5" t="str">
        <f t="shared" si="200"/>
        <v/>
      </c>
      <c r="G2019" s="23"/>
      <c r="H2019" s="66"/>
      <c r="I2019" s="14"/>
      <c r="J2019" s="14"/>
      <c r="K2019" s="14"/>
      <c r="L2019" s="5" t="str">
        <f t="shared" si="195"/>
        <v/>
      </c>
      <c r="M2019" s="5" t="str">
        <f t="shared" si="196"/>
        <v/>
      </c>
      <c r="N2019" s="5" t="str">
        <f t="shared" si="197"/>
        <v/>
      </c>
      <c r="O2019" s="4"/>
    </row>
    <row r="2020" spans="1:15" x14ac:dyDescent="0.25">
      <c r="A2020" s="14"/>
      <c r="B2020" s="14"/>
      <c r="C2020" s="14"/>
      <c r="D2020" s="5" t="str">
        <f t="shared" si="198"/>
        <v/>
      </c>
      <c r="E2020" s="5" t="str">
        <f t="shared" si="199"/>
        <v/>
      </c>
      <c r="F2020" s="5" t="str">
        <f t="shared" si="200"/>
        <v/>
      </c>
      <c r="G2020" s="23"/>
      <c r="H2020" s="66"/>
      <c r="I2020" s="14"/>
      <c r="J2020" s="14"/>
      <c r="K2020" s="14"/>
      <c r="L2020" s="5" t="str">
        <f t="shared" si="195"/>
        <v/>
      </c>
      <c r="M2020" s="5" t="str">
        <f t="shared" si="196"/>
        <v/>
      </c>
      <c r="N2020" s="5" t="str">
        <f t="shared" si="197"/>
        <v/>
      </c>
      <c r="O2020" s="4"/>
    </row>
    <row r="2021" spans="1:15" x14ac:dyDescent="0.25">
      <c r="A2021" s="14"/>
      <c r="B2021" s="14"/>
      <c r="C2021" s="14"/>
      <c r="D2021" s="5" t="str">
        <f t="shared" si="198"/>
        <v/>
      </c>
      <c r="E2021" s="5" t="str">
        <f t="shared" si="199"/>
        <v/>
      </c>
      <c r="F2021" s="5" t="str">
        <f t="shared" si="200"/>
        <v/>
      </c>
      <c r="G2021" s="23"/>
      <c r="H2021" s="66"/>
      <c r="I2021" s="14"/>
      <c r="J2021" s="14"/>
      <c r="K2021" s="14"/>
      <c r="L2021" s="5" t="str">
        <f t="shared" si="195"/>
        <v/>
      </c>
      <c r="M2021" s="5" t="str">
        <f t="shared" si="196"/>
        <v/>
      </c>
      <c r="N2021" s="5" t="str">
        <f t="shared" si="197"/>
        <v/>
      </c>
      <c r="O2021" s="4"/>
    </row>
    <row r="2022" spans="1:15" x14ac:dyDescent="0.25">
      <c r="A2022" s="14"/>
      <c r="B2022" s="14"/>
      <c r="C2022" s="14"/>
      <c r="D2022" s="5" t="str">
        <f t="shared" si="198"/>
        <v/>
      </c>
      <c r="E2022" s="5" t="str">
        <f t="shared" si="199"/>
        <v/>
      </c>
      <c r="F2022" s="5" t="str">
        <f t="shared" si="200"/>
        <v/>
      </c>
      <c r="G2022" s="23"/>
      <c r="H2022" s="66"/>
      <c r="I2022" s="14"/>
      <c r="J2022" s="14"/>
      <c r="K2022" s="14"/>
      <c r="L2022" s="5" t="str">
        <f t="shared" si="195"/>
        <v/>
      </c>
      <c r="M2022" s="5" t="str">
        <f t="shared" si="196"/>
        <v/>
      </c>
      <c r="N2022" s="5" t="str">
        <f t="shared" si="197"/>
        <v/>
      </c>
      <c r="O2022" s="4"/>
    </row>
    <row r="2023" spans="1:15" x14ac:dyDescent="0.25">
      <c r="A2023" s="14"/>
      <c r="B2023" s="14"/>
      <c r="C2023" s="14"/>
      <c r="D2023" s="5" t="str">
        <f t="shared" si="198"/>
        <v/>
      </c>
      <c r="E2023" s="5" t="str">
        <f t="shared" si="199"/>
        <v/>
      </c>
      <c r="F2023" s="5" t="str">
        <f t="shared" si="200"/>
        <v/>
      </c>
      <c r="G2023" s="23"/>
      <c r="H2023" s="66"/>
      <c r="I2023" s="14"/>
      <c r="J2023" s="14"/>
      <c r="K2023" s="14"/>
      <c r="L2023" s="5" t="str">
        <f t="shared" si="195"/>
        <v/>
      </c>
      <c r="M2023" s="5" t="str">
        <f t="shared" si="196"/>
        <v/>
      </c>
      <c r="N2023" s="5" t="str">
        <f t="shared" si="197"/>
        <v/>
      </c>
      <c r="O2023" s="4"/>
    </row>
    <row r="2024" spans="1:15" x14ac:dyDescent="0.25">
      <c r="A2024" s="14"/>
      <c r="B2024" s="14"/>
      <c r="C2024" s="14"/>
      <c r="D2024" s="5" t="str">
        <f t="shared" si="198"/>
        <v/>
      </c>
      <c r="E2024" s="5" t="str">
        <f t="shared" si="199"/>
        <v/>
      </c>
      <c r="F2024" s="5" t="str">
        <f t="shared" si="200"/>
        <v/>
      </c>
      <c r="G2024" s="23"/>
      <c r="H2024" s="66"/>
      <c r="I2024" s="14"/>
      <c r="J2024" s="14"/>
      <c r="K2024" s="14"/>
      <c r="L2024" s="5" t="str">
        <f t="shared" si="195"/>
        <v/>
      </c>
      <c r="M2024" s="5" t="str">
        <f t="shared" si="196"/>
        <v/>
      </c>
      <c r="N2024" s="5" t="str">
        <f t="shared" si="197"/>
        <v/>
      </c>
      <c r="O2024" s="4"/>
    </row>
    <row r="2025" spans="1:15" x14ac:dyDescent="0.25">
      <c r="A2025" s="14"/>
      <c r="B2025" s="14"/>
      <c r="C2025" s="14"/>
      <c r="D2025" s="5" t="str">
        <f t="shared" si="198"/>
        <v/>
      </c>
      <c r="E2025" s="5" t="str">
        <f t="shared" si="199"/>
        <v/>
      </c>
      <c r="F2025" s="5" t="str">
        <f t="shared" si="200"/>
        <v/>
      </c>
      <c r="G2025" s="23"/>
      <c r="H2025" s="66"/>
      <c r="I2025" s="14"/>
      <c r="J2025" s="14"/>
      <c r="K2025" s="14"/>
      <c r="L2025" s="5" t="str">
        <f t="shared" si="195"/>
        <v/>
      </c>
      <c r="M2025" s="5" t="str">
        <f t="shared" si="196"/>
        <v/>
      </c>
      <c r="N2025" s="5" t="str">
        <f t="shared" si="197"/>
        <v/>
      </c>
      <c r="O2025" s="4"/>
    </row>
    <row r="2026" spans="1:15" x14ac:dyDescent="0.25">
      <c r="A2026" s="14"/>
      <c r="B2026" s="14"/>
      <c r="C2026" s="14"/>
      <c r="D2026" s="5" t="str">
        <f t="shared" si="198"/>
        <v/>
      </c>
      <c r="E2026" s="5" t="str">
        <f t="shared" si="199"/>
        <v/>
      </c>
      <c r="F2026" s="5" t="str">
        <f t="shared" si="200"/>
        <v/>
      </c>
      <c r="G2026" s="23"/>
      <c r="H2026" s="66"/>
      <c r="I2026" s="14"/>
      <c r="J2026" s="14"/>
      <c r="K2026" s="14"/>
      <c r="L2026" s="5" t="str">
        <f t="shared" si="195"/>
        <v/>
      </c>
      <c r="M2026" s="5" t="str">
        <f t="shared" si="196"/>
        <v/>
      </c>
      <c r="N2026" s="5" t="str">
        <f t="shared" si="197"/>
        <v/>
      </c>
      <c r="O2026" s="4"/>
    </row>
    <row r="2027" spans="1:15" x14ac:dyDescent="0.25">
      <c r="A2027" s="14"/>
      <c r="B2027" s="14"/>
      <c r="C2027" s="14"/>
      <c r="D2027" s="5" t="str">
        <f t="shared" si="198"/>
        <v/>
      </c>
      <c r="E2027" s="5" t="str">
        <f t="shared" si="199"/>
        <v/>
      </c>
      <c r="F2027" s="5" t="str">
        <f t="shared" si="200"/>
        <v/>
      </c>
      <c r="G2027" s="23"/>
      <c r="H2027" s="66"/>
      <c r="I2027" s="14"/>
      <c r="J2027" s="14"/>
      <c r="K2027" s="14"/>
      <c r="L2027" s="5" t="str">
        <f t="shared" si="195"/>
        <v/>
      </c>
      <c r="M2027" s="5" t="str">
        <f t="shared" si="196"/>
        <v/>
      </c>
      <c r="N2027" s="5" t="str">
        <f t="shared" si="197"/>
        <v/>
      </c>
      <c r="O2027" s="4"/>
    </row>
    <row r="2028" spans="1:15" x14ac:dyDescent="0.25">
      <c r="A2028" s="14"/>
      <c r="B2028" s="14"/>
      <c r="C2028" s="14"/>
      <c r="D2028" s="5" t="str">
        <f t="shared" si="198"/>
        <v/>
      </c>
      <c r="E2028" s="5" t="str">
        <f t="shared" si="199"/>
        <v/>
      </c>
      <c r="F2028" s="5" t="str">
        <f t="shared" si="200"/>
        <v/>
      </c>
      <c r="G2028" s="23"/>
      <c r="H2028" s="66"/>
      <c r="I2028" s="14"/>
      <c r="J2028" s="14"/>
      <c r="K2028" s="14"/>
      <c r="L2028" s="5" t="str">
        <f t="shared" si="195"/>
        <v/>
      </c>
      <c r="M2028" s="5" t="str">
        <f t="shared" si="196"/>
        <v/>
      </c>
      <c r="N2028" s="5" t="str">
        <f t="shared" si="197"/>
        <v/>
      </c>
      <c r="O2028" s="4"/>
    </row>
    <row r="2029" spans="1:15" x14ac:dyDescent="0.25">
      <c r="A2029" s="14"/>
      <c r="B2029" s="14"/>
      <c r="C2029" s="14"/>
      <c r="D2029" s="5" t="str">
        <f t="shared" si="198"/>
        <v/>
      </c>
      <c r="E2029" s="5" t="str">
        <f t="shared" si="199"/>
        <v/>
      </c>
      <c r="F2029" s="5" t="str">
        <f t="shared" si="200"/>
        <v/>
      </c>
      <c r="G2029" s="23"/>
      <c r="H2029" s="66"/>
      <c r="I2029" s="14"/>
      <c r="J2029" s="14"/>
      <c r="K2029" s="14"/>
      <c r="L2029" s="5" t="str">
        <f t="shared" si="195"/>
        <v/>
      </c>
      <c r="M2029" s="5" t="str">
        <f t="shared" si="196"/>
        <v/>
      </c>
      <c r="N2029" s="5" t="str">
        <f t="shared" si="197"/>
        <v/>
      </c>
      <c r="O2029" s="4"/>
    </row>
    <row r="2030" spans="1:15" x14ac:dyDescent="0.25">
      <c r="A2030" s="14"/>
      <c r="B2030" s="14"/>
      <c r="C2030" s="14"/>
      <c r="D2030" s="5" t="str">
        <f t="shared" si="198"/>
        <v/>
      </c>
      <c r="E2030" s="5" t="str">
        <f t="shared" si="199"/>
        <v/>
      </c>
      <c r="F2030" s="5" t="str">
        <f t="shared" si="200"/>
        <v/>
      </c>
      <c r="G2030" s="23"/>
      <c r="H2030" s="66"/>
      <c r="I2030" s="14"/>
      <c r="J2030" s="14"/>
      <c r="K2030" s="14"/>
      <c r="L2030" s="5" t="str">
        <f t="shared" si="195"/>
        <v/>
      </c>
      <c r="M2030" s="5" t="str">
        <f t="shared" si="196"/>
        <v/>
      </c>
      <c r="N2030" s="5" t="str">
        <f t="shared" si="197"/>
        <v/>
      </c>
      <c r="O2030" s="4"/>
    </row>
    <row r="2031" spans="1:15" x14ac:dyDescent="0.25">
      <c r="A2031" s="14"/>
      <c r="B2031" s="14"/>
      <c r="C2031" s="14"/>
      <c r="D2031" s="5" t="str">
        <f t="shared" si="198"/>
        <v/>
      </c>
      <c r="E2031" s="5" t="str">
        <f t="shared" si="199"/>
        <v/>
      </c>
      <c r="F2031" s="5" t="str">
        <f t="shared" si="200"/>
        <v/>
      </c>
      <c r="G2031" s="23"/>
      <c r="H2031" s="66"/>
      <c r="I2031" s="14"/>
      <c r="J2031" s="14"/>
      <c r="K2031" s="14"/>
      <c r="L2031" s="5" t="str">
        <f t="shared" si="195"/>
        <v/>
      </c>
      <c r="M2031" s="5" t="str">
        <f t="shared" si="196"/>
        <v/>
      </c>
      <c r="N2031" s="5" t="str">
        <f t="shared" si="197"/>
        <v/>
      </c>
      <c r="O2031" s="4"/>
    </row>
    <row r="2032" spans="1:15" x14ac:dyDescent="0.25">
      <c r="A2032" s="14"/>
      <c r="B2032" s="14"/>
      <c r="C2032" s="14"/>
      <c r="D2032" s="5" t="str">
        <f t="shared" si="198"/>
        <v/>
      </c>
      <c r="E2032" s="5" t="str">
        <f t="shared" si="199"/>
        <v/>
      </c>
      <c r="F2032" s="5" t="str">
        <f t="shared" si="200"/>
        <v/>
      </c>
      <c r="G2032" s="23"/>
      <c r="H2032" s="66"/>
      <c r="I2032" s="14"/>
      <c r="J2032" s="14"/>
      <c r="K2032" s="14"/>
      <c r="L2032" s="5" t="str">
        <f t="shared" si="195"/>
        <v/>
      </c>
      <c r="M2032" s="5" t="str">
        <f t="shared" si="196"/>
        <v/>
      </c>
      <c r="N2032" s="5" t="str">
        <f t="shared" si="197"/>
        <v/>
      </c>
      <c r="O2032" s="4"/>
    </row>
    <row r="2033" spans="1:15" x14ac:dyDescent="0.25">
      <c r="A2033" s="14"/>
      <c r="B2033" s="14"/>
      <c r="C2033" s="14"/>
      <c r="D2033" s="5" t="str">
        <f t="shared" si="198"/>
        <v/>
      </c>
      <c r="E2033" s="5" t="str">
        <f t="shared" si="199"/>
        <v/>
      </c>
      <c r="F2033" s="5" t="str">
        <f t="shared" si="200"/>
        <v/>
      </c>
      <c r="G2033" s="23"/>
      <c r="H2033" s="66"/>
      <c r="I2033" s="14"/>
      <c r="J2033" s="14"/>
      <c r="K2033" s="14"/>
      <c r="L2033" s="5" t="str">
        <f t="shared" si="195"/>
        <v/>
      </c>
      <c r="M2033" s="5" t="str">
        <f t="shared" si="196"/>
        <v/>
      </c>
      <c r="N2033" s="5" t="str">
        <f t="shared" si="197"/>
        <v/>
      </c>
      <c r="O2033" s="4"/>
    </row>
    <row r="2034" spans="1:15" x14ac:dyDescent="0.25">
      <c r="A2034" s="14"/>
      <c r="B2034" s="14"/>
      <c r="C2034" s="14"/>
      <c r="D2034" s="5" t="str">
        <f t="shared" si="198"/>
        <v/>
      </c>
      <c r="E2034" s="5" t="str">
        <f t="shared" si="199"/>
        <v/>
      </c>
      <c r="F2034" s="5" t="str">
        <f t="shared" si="200"/>
        <v/>
      </c>
      <c r="G2034" s="23"/>
      <c r="H2034" s="66"/>
      <c r="I2034" s="14"/>
      <c r="J2034" s="14"/>
      <c r="K2034" s="14"/>
      <c r="L2034" s="5" t="str">
        <f t="shared" si="195"/>
        <v/>
      </c>
      <c r="M2034" s="5" t="str">
        <f t="shared" si="196"/>
        <v/>
      </c>
      <c r="N2034" s="5" t="str">
        <f t="shared" si="197"/>
        <v/>
      </c>
      <c r="O2034" s="4"/>
    </row>
    <row r="2035" spans="1:15" x14ac:dyDescent="0.25">
      <c r="A2035" s="14"/>
      <c r="B2035" s="14"/>
      <c r="C2035" s="14"/>
      <c r="D2035" s="5" t="str">
        <f t="shared" si="198"/>
        <v/>
      </c>
      <c r="E2035" s="5" t="str">
        <f t="shared" si="199"/>
        <v/>
      </c>
      <c r="F2035" s="5" t="str">
        <f t="shared" si="200"/>
        <v/>
      </c>
      <c r="G2035" s="23"/>
      <c r="H2035" s="66"/>
      <c r="I2035" s="14"/>
      <c r="J2035" s="14"/>
      <c r="K2035" s="14"/>
      <c r="L2035" s="5" t="str">
        <f t="shared" si="195"/>
        <v/>
      </c>
      <c r="M2035" s="5" t="str">
        <f t="shared" si="196"/>
        <v/>
      </c>
      <c r="N2035" s="5" t="str">
        <f t="shared" si="197"/>
        <v/>
      </c>
      <c r="O2035" s="4"/>
    </row>
    <row r="2036" spans="1:15" x14ac:dyDescent="0.25">
      <c r="A2036" s="14"/>
      <c r="B2036" s="14"/>
      <c r="C2036" s="14"/>
      <c r="D2036" s="5" t="str">
        <f t="shared" si="198"/>
        <v/>
      </c>
      <c r="E2036" s="5" t="str">
        <f t="shared" si="199"/>
        <v/>
      </c>
      <c r="F2036" s="5" t="str">
        <f t="shared" si="200"/>
        <v/>
      </c>
      <c r="G2036" s="23"/>
      <c r="H2036" s="66"/>
      <c r="I2036" s="14"/>
      <c r="J2036" s="14"/>
      <c r="K2036" s="14"/>
      <c r="L2036" s="5" t="str">
        <f t="shared" si="195"/>
        <v/>
      </c>
      <c r="M2036" s="5" t="str">
        <f t="shared" si="196"/>
        <v/>
      </c>
      <c r="N2036" s="5" t="str">
        <f t="shared" si="197"/>
        <v/>
      </c>
      <c r="O2036" s="4"/>
    </row>
    <row r="2037" spans="1:15" x14ac:dyDescent="0.25">
      <c r="A2037" s="14"/>
      <c r="B2037" s="14"/>
      <c r="C2037" s="14"/>
      <c r="D2037" s="5" t="str">
        <f t="shared" si="198"/>
        <v/>
      </c>
      <c r="E2037" s="5" t="str">
        <f t="shared" si="199"/>
        <v/>
      </c>
      <c r="F2037" s="5" t="str">
        <f t="shared" si="200"/>
        <v/>
      </c>
      <c r="G2037" s="23"/>
      <c r="H2037" s="66"/>
      <c r="I2037" s="14"/>
      <c r="J2037" s="14"/>
      <c r="K2037" s="14"/>
      <c r="L2037" s="5" t="str">
        <f t="shared" si="195"/>
        <v/>
      </c>
      <c r="M2037" s="5" t="str">
        <f t="shared" si="196"/>
        <v/>
      </c>
      <c r="N2037" s="5" t="str">
        <f t="shared" si="197"/>
        <v/>
      </c>
      <c r="O2037" s="4"/>
    </row>
    <row r="2038" spans="1:15" x14ac:dyDescent="0.25">
      <c r="A2038" s="14"/>
      <c r="B2038" s="14"/>
      <c r="C2038" s="14"/>
      <c r="D2038" s="5" t="str">
        <f t="shared" si="198"/>
        <v/>
      </c>
      <c r="E2038" s="5" t="str">
        <f t="shared" si="199"/>
        <v/>
      </c>
      <c r="F2038" s="5" t="str">
        <f t="shared" si="200"/>
        <v/>
      </c>
      <c r="G2038" s="23"/>
      <c r="H2038" s="66"/>
      <c r="I2038" s="14"/>
      <c r="J2038" s="14"/>
      <c r="K2038" s="14"/>
      <c r="L2038" s="5" t="str">
        <f t="shared" si="195"/>
        <v/>
      </c>
      <c r="M2038" s="5" t="str">
        <f t="shared" si="196"/>
        <v/>
      </c>
      <c r="N2038" s="5" t="str">
        <f t="shared" si="197"/>
        <v/>
      </c>
      <c r="O2038" s="4"/>
    </row>
    <row r="2039" spans="1:15" x14ac:dyDescent="0.25">
      <c r="A2039" s="14"/>
      <c r="B2039" s="14"/>
      <c r="C2039" s="14"/>
      <c r="D2039" s="5" t="str">
        <f t="shared" si="198"/>
        <v/>
      </c>
      <c r="E2039" s="5" t="str">
        <f t="shared" si="199"/>
        <v/>
      </c>
      <c r="F2039" s="5" t="str">
        <f t="shared" si="200"/>
        <v/>
      </c>
      <c r="G2039" s="23"/>
      <c r="H2039" s="66"/>
      <c r="I2039" s="14"/>
      <c r="J2039" s="14"/>
      <c r="K2039" s="14"/>
      <c r="L2039" s="5" t="str">
        <f t="shared" si="195"/>
        <v/>
      </c>
      <c r="M2039" s="5" t="str">
        <f t="shared" si="196"/>
        <v/>
      </c>
      <c r="N2039" s="5" t="str">
        <f t="shared" si="197"/>
        <v/>
      </c>
      <c r="O2039" s="4"/>
    </row>
    <row r="2040" spans="1:15" x14ac:dyDescent="0.25">
      <c r="A2040" s="14"/>
      <c r="B2040" s="14"/>
      <c r="C2040" s="14"/>
      <c r="D2040" s="5" t="str">
        <f t="shared" si="198"/>
        <v/>
      </c>
      <c r="E2040" s="5" t="str">
        <f t="shared" si="199"/>
        <v/>
      </c>
      <c r="F2040" s="5" t="str">
        <f t="shared" si="200"/>
        <v/>
      </c>
      <c r="G2040" s="23"/>
      <c r="H2040" s="66"/>
      <c r="I2040" s="14"/>
      <c r="J2040" s="14"/>
      <c r="K2040" s="14"/>
      <c r="L2040" s="5" t="str">
        <f t="shared" si="195"/>
        <v/>
      </c>
      <c r="M2040" s="5" t="str">
        <f t="shared" si="196"/>
        <v/>
      </c>
      <c r="N2040" s="5" t="str">
        <f t="shared" si="197"/>
        <v/>
      </c>
      <c r="O2040" s="4"/>
    </row>
    <row r="2041" spans="1:15" x14ac:dyDescent="0.25">
      <c r="A2041" s="14"/>
      <c r="B2041" s="14"/>
      <c r="C2041" s="14"/>
      <c r="D2041" s="5" t="str">
        <f t="shared" si="198"/>
        <v/>
      </c>
      <c r="E2041" s="5" t="str">
        <f t="shared" si="199"/>
        <v/>
      </c>
      <c r="F2041" s="5" t="str">
        <f t="shared" si="200"/>
        <v/>
      </c>
      <c r="G2041" s="23"/>
      <c r="H2041" s="66"/>
      <c r="I2041" s="14"/>
      <c r="J2041" s="14"/>
      <c r="K2041" s="14"/>
      <c r="L2041" s="5" t="str">
        <f t="shared" si="195"/>
        <v/>
      </c>
      <c r="M2041" s="5" t="str">
        <f t="shared" si="196"/>
        <v/>
      </c>
      <c r="N2041" s="5" t="str">
        <f t="shared" si="197"/>
        <v/>
      </c>
      <c r="O2041" s="4"/>
    </row>
    <row r="2042" spans="1:15" x14ac:dyDescent="0.25">
      <c r="A2042" s="14"/>
      <c r="B2042" s="14"/>
      <c r="C2042" s="14"/>
      <c r="D2042" s="5" t="str">
        <f t="shared" si="198"/>
        <v/>
      </c>
      <c r="E2042" s="5" t="str">
        <f t="shared" si="199"/>
        <v/>
      </c>
      <c r="F2042" s="5" t="str">
        <f t="shared" si="200"/>
        <v/>
      </c>
      <c r="G2042" s="23"/>
      <c r="H2042" s="66"/>
      <c r="I2042" s="14"/>
      <c r="J2042" s="14"/>
      <c r="K2042" s="14"/>
      <c r="L2042" s="5" t="str">
        <f t="shared" si="195"/>
        <v/>
      </c>
      <c r="M2042" s="5" t="str">
        <f t="shared" si="196"/>
        <v/>
      </c>
      <c r="N2042" s="5" t="str">
        <f t="shared" si="197"/>
        <v/>
      </c>
      <c r="O2042" s="4"/>
    </row>
    <row r="2043" spans="1:15" x14ac:dyDescent="0.25">
      <c r="A2043" s="14"/>
      <c r="B2043" s="14"/>
      <c r="C2043" s="14"/>
      <c r="D2043" s="5" t="str">
        <f t="shared" si="198"/>
        <v/>
      </c>
      <c r="E2043" s="5" t="str">
        <f t="shared" si="199"/>
        <v/>
      </c>
      <c r="F2043" s="5" t="str">
        <f t="shared" si="200"/>
        <v/>
      </c>
      <c r="G2043" s="23"/>
      <c r="H2043" s="66"/>
      <c r="I2043" s="14"/>
      <c r="J2043" s="14"/>
      <c r="K2043" s="14"/>
      <c r="L2043" s="5" t="str">
        <f t="shared" si="195"/>
        <v/>
      </c>
      <c r="M2043" s="5" t="str">
        <f t="shared" si="196"/>
        <v/>
      </c>
      <c r="N2043" s="5" t="str">
        <f t="shared" si="197"/>
        <v/>
      </c>
      <c r="O2043" s="4"/>
    </row>
    <row r="2044" spans="1:15" x14ac:dyDescent="0.25">
      <c r="A2044" s="14"/>
      <c r="B2044" s="14"/>
      <c r="C2044" s="14"/>
      <c r="D2044" s="5" t="str">
        <f t="shared" si="198"/>
        <v/>
      </c>
      <c r="E2044" s="5" t="str">
        <f t="shared" si="199"/>
        <v/>
      </c>
      <c r="F2044" s="5" t="str">
        <f t="shared" si="200"/>
        <v/>
      </c>
      <c r="G2044" s="23"/>
      <c r="H2044" s="66"/>
      <c r="I2044" s="14"/>
      <c r="J2044" s="14"/>
      <c r="K2044" s="14"/>
      <c r="L2044" s="5" t="str">
        <f t="shared" si="195"/>
        <v/>
      </c>
      <c r="M2044" s="5" t="str">
        <f t="shared" si="196"/>
        <v/>
      </c>
      <c r="N2044" s="5" t="str">
        <f t="shared" si="197"/>
        <v/>
      </c>
      <c r="O2044" s="4"/>
    </row>
    <row r="2045" spans="1:15" x14ac:dyDescent="0.25">
      <c r="A2045" s="14"/>
      <c r="B2045" s="14"/>
      <c r="C2045" s="14"/>
      <c r="D2045" s="5" t="str">
        <f t="shared" si="198"/>
        <v/>
      </c>
      <c r="E2045" s="5" t="str">
        <f t="shared" si="199"/>
        <v/>
      </c>
      <c r="F2045" s="5" t="str">
        <f t="shared" si="200"/>
        <v/>
      </c>
      <c r="G2045" s="23"/>
      <c r="H2045" s="66"/>
      <c r="I2045" s="14"/>
      <c r="J2045" s="14"/>
      <c r="K2045" s="14"/>
      <c r="L2045" s="5" t="str">
        <f t="shared" si="195"/>
        <v/>
      </c>
      <c r="M2045" s="5" t="str">
        <f t="shared" si="196"/>
        <v/>
      </c>
      <c r="N2045" s="5" t="str">
        <f t="shared" si="197"/>
        <v/>
      </c>
      <c r="O2045" s="4"/>
    </row>
    <row r="2046" spans="1:15" x14ac:dyDescent="0.25">
      <c r="A2046" s="14"/>
      <c r="B2046" s="14"/>
      <c r="C2046" s="14"/>
      <c r="D2046" s="5" t="str">
        <f t="shared" si="198"/>
        <v/>
      </c>
      <c r="E2046" s="5" t="str">
        <f t="shared" si="199"/>
        <v/>
      </c>
      <c r="F2046" s="5" t="str">
        <f t="shared" si="200"/>
        <v/>
      </c>
      <c r="G2046" s="23"/>
      <c r="H2046" s="66"/>
      <c r="I2046" s="14"/>
      <c r="J2046" s="14"/>
      <c r="K2046" s="14"/>
      <c r="L2046" s="5" t="str">
        <f t="shared" si="195"/>
        <v/>
      </c>
      <c r="M2046" s="5" t="str">
        <f t="shared" si="196"/>
        <v/>
      </c>
      <c r="N2046" s="5" t="str">
        <f t="shared" si="197"/>
        <v/>
      </c>
      <c r="O2046" s="4"/>
    </row>
    <row r="2047" spans="1:15" x14ac:dyDescent="0.25">
      <c r="A2047" s="14"/>
      <c r="B2047" s="14"/>
      <c r="C2047" s="14"/>
      <c r="D2047" s="5" t="str">
        <f t="shared" si="198"/>
        <v/>
      </c>
      <c r="E2047" s="5" t="str">
        <f t="shared" si="199"/>
        <v/>
      </c>
      <c r="F2047" s="5" t="str">
        <f t="shared" si="200"/>
        <v/>
      </c>
      <c r="G2047" s="23"/>
      <c r="H2047" s="66"/>
      <c r="I2047" s="14"/>
      <c r="J2047" s="14"/>
      <c r="K2047" s="14"/>
      <c r="L2047" s="5" t="str">
        <f t="shared" si="195"/>
        <v/>
      </c>
      <c r="M2047" s="5" t="str">
        <f t="shared" si="196"/>
        <v/>
      </c>
      <c r="N2047" s="5" t="str">
        <f t="shared" si="197"/>
        <v/>
      </c>
      <c r="O2047" s="4"/>
    </row>
    <row r="2048" spans="1:15" x14ac:dyDescent="0.25">
      <c r="A2048" s="14"/>
      <c r="B2048" s="14"/>
      <c r="C2048" s="14"/>
      <c r="D2048" s="5" t="str">
        <f t="shared" si="198"/>
        <v/>
      </c>
      <c r="E2048" s="5" t="str">
        <f t="shared" si="199"/>
        <v/>
      </c>
      <c r="F2048" s="5" t="str">
        <f t="shared" si="200"/>
        <v/>
      </c>
      <c r="G2048" s="23"/>
      <c r="H2048" s="66"/>
      <c r="I2048" s="14"/>
      <c r="J2048" s="14"/>
      <c r="K2048" s="14"/>
      <c r="L2048" s="5" t="str">
        <f t="shared" si="195"/>
        <v/>
      </c>
      <c r="M2048" s="5" t="str">
        <f t="shared" si="196"/>
        <v/>
      </c>
      <c r="N2048" s="5" t="str">
        <f t="shared" si="197"/>
        <v/>
      </c>
      <c r="O2048" s="4"/>
    </row>
    <row r="2049" spans="1:15" x14ac:dyDescent="0.25">
      <c r="A2049" s="14"/>
      <c r="B2049" s="14"/>
      <c r="C2049" s="14"/>
      <c r="D2049" s="5" t="str">
        <f t="shared" si="198"/>
        <v/>
      </c>
      <c r="E2049" s="5" t="str">
        <f t="shared" si="199"/>
        <v/>
      </c>
      <c r="F2049" s="5" t="str">
        <f t="shared" si="200"/>
        <v/>
      </c>
      <c r="G2049" s="23"/>
      <c r="H2049" s="66"/>
      <c r="I2049" s="14"/>
      <c r="J2049" s="14"/>
      <c r="K2049" s="14"/>
      <c r="L2049" s="5" t="str">
        <f t="shared" si="195"/>
        <v/>
      </c>
      <c r="M2049" s="5" t="str">
        <f t="shared" si="196"/>
        <v/>
      </c>
      <c r="N2049" s="5" t="str">
        <f t="shared" si="197"/>
        <v/>
      </c>
      <c r="O2049" s="4"/>
    </row>
    <row r="2050" spans="1:15" x14ac:dyDescent="0.25">
      <c r="A2050" s="14"/>
      <c r="B2050" s="14"/>
      <c r="C2050" s="14"/>
      <c r="D2050" s="5" t="str">
        <f t="shared" si="198"/>
        <v/>
      </c>
      <c r="E2050" s="5" t="str">
        <f t="shared" si="199"/>
        <v/>
      </c>
      <c r="F2050" s="5" t="str">
        <f t="shared" si="200"/>
        <v/>
      </c>
      <c r="G2050" s="23"/>
      <c r="H2050" s="66"/>
      <c r="I2050" s="14"/>
      <c r="J2050" s="14"/>
      <c r="K2050" s="14"/>
      <c r="L2050" s="5" t="str">
        <f t="shared" si="195"/>
        <v/>
      </c>
      <c r="M2050" s="5" t="str">
        <f t="shared" si="196"/>
        <v/>
      </c>
      <c r="N2050" s="5" t="str">
        <f t="shared" si="197"/>
        <v/>
      </c>
      <c r="O2050" s="4"/>
    </row>
    <row r="2051" spans="1:15" x14ac:dyDescent="0.25">
      <c r="A2051" s="14"/>
      <c r="B2051" s="14"/>
      <c r="C2051" s="14"/>
      <c r="D2051" s="5" t="str">
        <f t="shared" si="198"/>
        <v/>
      </c>
      <c r="E2051" s="5" t="str">
        <f t="shared" si="199"/>
        <v/>
      </c>
      <c r="F2051" s="5" t="str">
        <f t="shared" si="200"/>
        <v/>
      </c>
      <c r="G2051" s="23"/>
      <c r="H2051" s="66"/>
      <c r="I2051" s="14"/>
      <c r="J2051" s="14"/>
      <c r="K2051" s="14"/>
      <c r="L2051" s="5" t="str">
        <f t="shared" si="195"/>
        <v/>
      </c>
      <c r="M2051" s="5" t="str">
        <f t="shared" si="196"/>
        <v/>
      </c>
      <c r="N2051" s="5" t="str">
        <f t="shared" si="197"/>
        <v/>
      </c>
      <c r="O2051" s="4"/>
    </row>
    <row r="2052" spans="1:15" x14ac:dyDescent="0.25">
      <c r="A2052" s="14"/>
      <c r="B2052" s="14"/>
      <c r="C2052" s="14"/>
      <c r="D2052" s="5" t="str">
        <f t="shared" si="198"/>
        <v/>
      </c>
      <c r="E2052" s="5" t="str">
        <f t="shared" si="199"/>
        <v/>
      </c>
      <c r="F2052" s="5" t="str">
        <f t="shared" si="200"/>
        <v/>
      </c>
      <c r="G2052" s="23"/>
      <c r="H2052" s="66"/>
      <c r="I2052" s="14"/>
      <c r="J2052" s="14"/>
      <c r="K2052" s="14"/>
      <c r="L2052" s="5" t="str">
        <f t="shared" si="195"/>
        <v/>
      </c>
      <c r="M2052" s="5" t="str">
        <f t="shared" si="196"/>
        <v/>
      </c>
      <c r="N2052" s="5" t="str">
        <f t="shared" si="197"/>
        <v/>
      </c>
      <c r="O2052" s="4"/>
    </row>
    <row r="2053" spans="1:15" x14ac:dyDescent="0.25">
      <c r="A2053" s="14"/>
      <c r="B2053" s="14"/>
      <c r="C2053" s="14"/>
      <c r="D2053" s="5" t="str">
        <f t="shared" si="198"/>
        <v/>
      </c>
      <c r="E2053" s="5" t="str">
        <f t="shared" si="199"/>
        <v/>
      </c>
      <c r="F2053" s="5" t="str">
        <f t="shared" si="200"/>
        <v/>
      </c>
      <c r="G2053" s="23"/>
      <c r="H2053" s="66"/>
      <c r="I2053" s="14"/>
      <c r="J2053" s="14"/>
      <c r="K2053" s="14"/>
      <c r="L2053" s="5" t="str">
        <f t="shared" si="195"/>
        <v/>
      </c>
      <c r="M2053" s="5" t="str">
        <f t="shared" si="196"/>
        <v/>
      </c>
      <c r="N2053" s="5" t="str">
        <f t="shared" si="197"/>
        <v/>
      </c>
      <c r="O2053" s="4"/>
    </row>
    <row r="2054" spans="1:15" x14ac:dyDescent="0.25">
      <c r="A2054" s="14"/>
      <c r="B2054" s="14"/>
      <c r="C2054" s="14"/>
      <c r="D2054" s="5" t="str">
        <f t="shared" si="198"/>
        <v/>
      </c>
      <c r="E2054" s="5" t="str">
        <f t="shared" si="199"/>
        <v/>
      </c>
      <c r="F2054" s="5" t="str">
        <f t="shared" si="200"/>
        <v/>
      </c>
      <c r="G2054" s="23"/>
      <c r="H2054" s="66"/>
      <c r="I2054" s="14"/>
      <c r="J2054" s="14"/>
      <c r="K2054" s="14"/>
      <c r="L2054" s="5" t="str">
        <f t="shared" si="195"/>
        <v/>
      </c>
      <c r="M2054" s="5" t="str">
        <f t="shared" si="196"/>
        <v/>
      </c>
      <c r="N2054" s="5" t="str">
        <f t="shared" si="197"/>
        <v/>
      </c>
      <c r="O2054" s="4"/>
    </row>
    <row r="2055" spans="1:15" x14ac:dyDescent="0.25">
      <c r="A2055" s="14"/>
      <c r="B2055" s="14"/>
      <c r="C2055" s="14"/>
      <c r="D2055" s="5" t="str">
        <f t="shared" si="198"/>
        <v/>
      </c>
      <c r="E2055" s="5" t="str">
        <f t="shared" si="199"/>
        <v/>
      </c>
      <c r="F2055" s="5" t="str">
        <f t="shared" si="200"/>
        <v/>
      </c>
      <c r="G2055" s="23"/>
      <c r="H2055" s="66"/>
      <c r="I2055" s="14"/>
      <c r="J2055" s="14"/>
      <c r="K2055" s="14"/>
      <c r="L2055" s="5" t="str">
        <f t="shared" si="195"/>
        <v/>
      </c>
      <c r="M2055" s="5" t="str">
        <f t="shared" si="196"/>
        <v/>
      </c>
      <c r="N2055" s="5" t="str">
        <f t="shared" si="197"/>
        <v/>
      </c>
      <c r="O2055" s="4"/>
    </row>
    <row r="2056" spans="1:15" x14ac:dyDescent="0.25">
      <c r="A2056" s="14"/>
      <c r="B2056" s="14"/>
      <c r="C2056" s="14"/>
      <c r="D2056" s="5" t="str">
        <f t="shared" si="198"/>
        <v/>
      </c>
      <c r="E2056" s="5" t="str">
        <f t="shared" si="199"/>
        <v/>
      </c>
      <c r="F2056" s="5" t="str">
        <f t="shared" si="200"/>
        <v/>
      </c>
      <c r="G2056" s="23"/>
      <c r="H2056" s="66"/>
      <c r="I2056" s="14"/>
      <c r="J2056" s="14"/>
      <c r="K2056" s="14"/>
      <c r="L2056" s="5" t="str">
        <f t="shared" si="195"/>
        <v/>
      </c>
      <c r="M2056" s="5" t="str">
        <f t="shared" si="196"/>
        <v/>
      </c>
      <c r="N2056" s="5" t="str">
        <f t="shared" si="197"/>
        <v/>
      </c>
      <c r="O2056" s="4"/>
    </row>
    <row r="2057" spans="1:15" x14ac:dyDescent="0.25">
      <c r="A2057" s="14"/>
      <c r="B2057" s="14"/>
      <c r="C2057" s="14"/>
      <c r="D2057" s="5" t="str">
        <f t="shared" si="198"/>
        <v/>
      </c>
      <c r="E2057" s="5" t="str">
        <f t="shared" si="199"/>
        <v/>
      </c>
      <c r="F2057" s="5" t="str">
        <f t="shared" si="200"/>
        <v/>
      </c>
      <c r="G2057" s="23"/>
      <c r="H2057" s="66"/>
      <c r="I2057" s="14"/>
      <c r="J2057" s="14"/>
      <c r="K2057" s="14"/>
      <c r="L2057" s="5" t="str">
        <f t="shared" si="195"/>
        <v/>
      </c>
      <c r="M2057" s="5" t="str">
        <f t="shared" si="196"/>
        <v/>
      </c>
      <c r="N2057" s="5" t="str">
        <f t="shared" si="197"/>
        <v/>
      </c>
      <c r="O2057" s="4"/>
    </row>
    <row r="2058" spans="1:15" x14ac:dyDescent="0.25">
      <c r="A2058" s="14"/>
      <c r="B2058" s="14"/>
      <c r="C2058" s="14"/>
      <c r="D2058" s="5" t="str">
        <f t="shared" si="198"/>
        <v/>
      </c>
      <c r="E2058" s="5" t="str">
        <f t="shared" si="199"/>
        <v/>
      </c>
      <c r="F2058" s="5" t="str">
        <f t="shared" si="200"/>
        <v/>
      </c>
      <c r="G2058" s="23"/>
      <c r="H2058" s="66"/>
      <c r="I2058" s="14"/>
      <c r="J2058" s="14"/>
      <c r="K2058" s="14"/>
      <c r="L2058" s="5" t="str">
        <f t="shared" si="195"/>
        <v/>
      </c>
      <c r="M2058" s="5" t="str">
        <f t="shared" si="196"/>
        <v/>
      </c>
      <c r="N2058" s="5" t="str">
        <f t="shared" si="197"/>
        <v/>
      </c>
      <c r="O2058" s="4"/>
    </row>
    <row r="2059" spans="1:15" x14ac:dyDescent="0.25">
      <c r="A2059" s="14"/>
      <c r="B2059" s="14"/>
      <c r="C2059" s="14"/>
      <c r="D2059" s="5" t="str">
        <f t="shared" si="198"/>
        <v/>
      </c>
      <c r="E2059" s="5" t="str">
        <f t="shared" si="199"/>
        <v/>
      </c>
      <c r="F2059" s="5" t="str">
        <f t="shared" si="200"/>
        <v/>
      </c>
      <c r="G2059" s="23"/>
      <c r="H2059" s="66"/>
      <c r="I2059" s="14"/>
      <c r="J2059" s="14"/>
      <c r="K2059" s="14"/>
      <c r="L2059" s="5" t="str">
        <f t="shared" si="195"/>
        <v/>
      </c>
      <c r="M2059" s="5" t="str">
        <f t="shared" si="196"/>
        <v/>
      </c>
      <c r="N2059" s="5" t="str">
        <f t="shared" si="197"/>
        <v/>
      </c>
      <c r="O2059" s="4"/>
    </row>
    <row r="2060" spans="1:15" x14ac:dyDescent="0.25">
      <c r="A2060" s="14"/>
      <c r="B2060" s="14"/>
      <c r="C2060" s="14"/>
      <c r="D2060" s="5" t="str">
        <f t="shared" si="198"/>
        <v/>
      </c>
      <c r="E2060" s="5" t="str">
        <f t="shared" si="199"/>
        <v/>
      </c>
      <c r="F2060" s="5" t="str">
        <f t="shared" si="200"/>
        <v/>
      </c>
      <c r="G2060" s="23"/>
      <c r="H2060" s="66"/>
      <c r="I2060" s="14"/>
      <c r="J2060" s="14"/>
      <c r="K2060" s="14"/>
      <c r="L2060" s="5" t="str">
        <f t="shared" si="195"/>
        <v/>
      </c>
      <c r="M2060" s="5" t="str">
        <f t="shared" si="196"/>
        <v/>
      </c>
      <c r="N2060" s="5" t="str">
        <f t="shared" si="197"/>
        <v/>
      </c>
      <c r="O2060" s="4"/>
    </row>
    <row r="2061" spans="1:15" x14ac:dyDescent="0.25">
      <c r="A2061" s="14"/>
      <c r="B2061" s="14"/>
      <c r="C2061" s="14"/>
      <c r="D2061" s="5" t="str">
        <f t="shared" si="198"/>
        <v/>
      </c>
      <c r="E2061" s="5" t="str">
        <f t="shared" si="199"/>
        <v/>
      </c>
      <c r="F2061" s="5" t="str">
        <f t="shared" si="200"/>
        <v/>
      </c>
      <c r="G2061" s="23"/>
      <c r="H2061" s="66"/>
      <c r="I2061" s="14"/>
      <c r="J2061" s="14"/>
      <c r="K2061" s="14"/>
      <c r="L2061" s="5" t="str">
        <f t="shared" si="195"/>
        <v/>
      </c>
      <c r="M2061" s="5" t="str">
        <f t="shared" si="196"/>
        <v/>
      </c>
      <c r="N2061" s="5" t="str">
        <f t="shared" si="197"/>
        <v/>
      </c>
      <c r="O2061" s="4"/>
    </row>
    <row r="2062" spans="1:15" x14ac:dyDescent="0.25">
      <c r="A2062" s="14"/>
      <c r="B2062" s="14"/>
      <c r="C2062" s="14"/>
      <c r="D2062" s="5" t="str">
        <f t="shared" si="198"/>
        <v/>
      </c>
      <c r="E2062" s="5" t="str">
        <f t="shared" si="199"/>
        <v/>
      </c>
      <c r="F2062" s="5" t="str">
        <f t="shared" si="200"/>
        <v/>
      </c>
      <c r="G2062" s="23"/>
      <c r="H2062" s="66"/>
      <c r="I2062" s="14"/>
      <c r="J2062" s="14"/>
      <c r="K2062" s="14"/>
      <c r="L2062" s="5" t="str">
        <f t="shared" si="195"/>
        <v/>
      </c>
      <c r="M2062" s="5" t="str">
        <f t="shared" si="196"/>
        <v/>
      </c>
      <c r="N2062" s="5" t="str">
        <f t="shared" si="197"/>
        <v/>
      </c>
      <c r="O2062" s="4"/>
    </row>
    <row r="2063" spans="1:15" x14ac:dyDescent="0.25">
      <c r="A2063" s="14"/>
      <c r="B2063" s="14"/>
      <c r="C2063" s="14"/>
      <c r="D2063" s="5" t="str">
        <f t="shared" si="198"/>
        <v/>
      </c>
      <c r="E2063" s="5" t="str">
        <f t="shared" si="199"/>
        <v/>
      </c>
      <c r="F2063" s="5" t="str">
        <f t="shared" si="200"/>
        <v/>
      </c>
      <c r="G2063" s="23"/>
      <c r="H2063" s="66"/>
      <c r="I2063" s="14"/>
      <c r="J2063" s="14"/>
      <c r="K2063" s="14"/>
      <c r="L2063" s="5" t="str">
        <f t="shared" si="195"/>
        <v/>
      </c>
      <c r="M2063" s="5" t="str">
        <f t="shared" si="196"/>
        <v/>
      </c>
      <c r="N2063" s="5" t="str">
        <f t="shared" si="197"/>
        <v/>
      </c>
      <c r="O2063" s="4"/>
    </row>
    <row r="2064" spans="1:15" x14ac:dyDescent="0.25">
      <c r="A2064" s="14"/>
      <c r="B2064" s="14"/>
      <c r="C2064" s="14"/>
      <c r="D2064" s="5" t="str">
        <f t="shared" si="198"/>
        <v/>
      </c>
      <c r="E2064" s="5" t="str">
        <f t="shared" si="199"/>
        <v/>
      </c>
      <c r="F2064" s="5" t="str">
        <f t="shared" si="200"/>
        <v/>
      </c>
      <c r="G2064" s="23"/>
      <c r="H2064" s="66"/>
      <c r="I2064" s="14"/>
      <c r="J2064" s="14"/>
      <c r="K2064" s="14"/>
      <c r="L2064" s="5" t="str">
        <f t="shared" si="195"/>
        <v/>
      </c>
      <c r="M2064" s="5" t="str">
        <f t="shared" si="196"/>
        <v/>
      </c>
      <c r="N2064" s="5" t="str">
        <f t="shared" si="197"/>
        <v/>
      </c>
      <c r="O2064" s="4"/>
    </row>
    <row r="2065" spans="1:15" x14ac:dyDescent="0.25">
      <c r="A2065" s="14"/>
      <c r="B2065" s="14"/>
      <c r="C2065" s="14"/>
      <c r="D2065" s="5" t="str">
        <f t="shared" si="198"/>
        <v/>
      </c>
      <c r="E2065" s="5" t="str">
        <f t="shared" si="199"/>
        <v/>
      </c>
      <c r="F2065" s="5" t="str">
        <f t="shared" si="200"/>
        <v/>
      </c>
      <c r="G2065" s="23"/>
      <c r="H2065" s="66"/>
      <c r="I2065" s="14"/>
      <c r="J2065" s="14"/>
      <c r="K2065" s="14"/>
      <c r="L2065" s="5" t="str">
        <f t="shared" ref="L2065:L2128" si="201">IFERROR(IF(I2065&lt;&gt;"",(((J2065-J2064)*$X$4/(I2065-I2064)))*$X$5,""),"")</f>
        <v/>
      </c>
      <c r="M2065" s="5" t="str">
        <f t="shared" ref="M2065:M2128" si="202">IFERROR(IF(I2065&lt;&gt;"",(((K2065-K2064)*$X$4/(I2065-I2064)))*$X$5,""),"")</f>
        <v/>
      </c>
      <c r="N2065" s="5" t="str">
        <f t="shared" ref="N2065:N2128" si="203">IFERROR(IF(I2065&lt;&gt;"",((ACOS((COS(RADIANS(J2064))*COS(RADIANS(J2065)))+(SIN(RADIANS(J2064))*SIN(RADIANS(J2065)))*COS(RADIANS(K2065-K2064)))*180/PI()*($X$4/(I2065-I2064))))*$X$5,""),"")</f>
        <v/>
      </c>
      <c r="O2065" s="4"/>
    </row>
    <row r="2066" spans="1:15" x14ac:dyDescent="0.25">
      <c r="A2066" s="14"/>
      <c r="B2066" s="14"/>
      <c r="C2066" s="14"/>
      <c r="D2066" s="5" t="str">
        <f t="shared" si="198"/>
        <v/>
      </c>
      <c r="E2066" s="5" t="str">
        <f t="shared" si="199"/>
        <v/>
      </c>
      <c r="F2066" s="5" t="str">
        <f t="shared" si="200"/>
        <v/>
      </c>
      <c r="G2066" s="23"/>
      <c r="H2066" s="66"/>
      <c r="I2066" s="14"/>
      <c r="J2066" s="14"/>
      <c r="K2066" s="14"/>
      <c r="L2066" s="5" t="str">
        <f t="shared" si="201"/>
        <v/>
      </c>
      <c r="M2066" s="5" t="str">
        <f t="shared" si="202"/>
        <v/>
      </c>
      <c r="N2066" s="5" t="str">
        <f t="shared" si="203"/>
        <v/>
      </c>
      <c r="O2066" s="4"/>
    </row>
    <row r="2067" spans="1:15" x14ac:dyDescent="0.25">
      <c r="A2067" s="14"/>
      <c r="B2067" s="14"/>
      <c r="C2067" s="14"/>
      <c r="D2067" s="5" t="str">
        <f t="shared" si="198"/>
        <v/>
      </c>
      <c r="E2067" s="5" t="str">
        <f t="shared" si="199"/>
        <v/>
      </c>
      <c r="F2067" s="5" t="str">
        <f t="shared" si="200"/>
        <v/>
      </c>
      <c r="G2067" s="23"/>
      <c r="H2067" s="66"/>
      <c r="I2067" s="14"/>
      <c r="J2067" s="14"/>
      <c r="K2067" s="14"/>
      <c r="L2067" s="5" t="str">
        <f t="shared" si="201"/>
        <v/>
      </c>
      <c r="M2067" s="5" t="str">
        <f t="shared" si="202"/>
        <v/>
      </c>
      <c r="N2067" s="5" t="str">
        <f t="shared" si="203"/>
        <v/>
      </c>
      <c r="O2067" s="4"/>
    </row>
    <row r="2068" spans="1:15" x14ac:dyDescent="0.25">
      <c r="A2068" s="14"/>
      <c r="B2068" s="14"/>
      <c r="C2068" s="14"/>
      <c r="D2068" s="5" t="str">
        <f t="shared" si="198"/>
        <v/>
      </c>
      <c r="E2068" s="5" t="str">
        <f t="shared" si="199"/>
        <v/>
      </c>
      <c r="F2068" s="5" t="str">
        <f t="shared" si="200"/>
        <v/>
      </c>
      <c r="G2068" s="23"/>
      <c r="H2068" s="66"/>
      <c r="I2068" s="14"/>
      <c r="J2068" s="14"/>
      <c r="K2068" s="14"/>
      <c r="L2068" s="5" t="str">
        <f t="shared" si="201"/>
        <v/>
      </c>
      <c r="M2068" s="5" t="str">
        <f t="shared" si="202"/>
        <v/>
      </c>
      <c r="N2068" s="5" t="str">
        <f t="shared" si="203"/>
        <v/>
      </c>
      <c r="O2068" s="4"/>
    </row>
    <row r="2069" spans="1:15" x14ac:dyDescent="0.25">
      <c r="A2069" s="14"/>
      <c r="B2069" s="14"/>
      <c r="C2069" s="14"/>
      <c r="D2069" s="5" t="str">
        <f t="shared" si="198"/>
        <v/>
      </c>
      <c r="E2069" s="5" t="str">
        <f t="shared" si="199"/>
        <v/>
      </c>
      <c r="F2069" s="5" t="str">
        <f t="shared" si="200"/>
        <v/>
      </c>
      <c r="G2069" s="23"/>
      <c r="H2069" s="66"/>
      <c r="I2069" s="14"/>
      <c r="J2069" s="14"/>
      <c r="K2069" s="14"/>
      <c r="L2069" s="5" t="str">
        <f t="shared" si="201"/>
        <v/>
      </c>
      <c r="M2069" s="5" t="str">
        <f t="shared" si="202"/>
        <v/>
      </c>
      <c r="N2069" s="5" t="str">
        <f t="shared" si="203"/>
        <v/>
      </c>
      <c r="O2069" s="4"/>
    </row>
    <row r="2070" spans="1:15" x14ac:dyDescent="0.25">
      <c r="A2070" s="14"/>
      <c r="B2070" s="14"/>
      <c r="C2070" s="14"/>
      <c r="D2070" s="5" t="str">
        <f t="shared" si="198"/>
        <v/>
      </c>
      <c r="E2070" s="5" t="str">
        <f t="shared" si="199"/>
        <v/>
      </c>
      <c r="F2070" s="5" t="str">
        <f t="shared" si="200"/>
        <v/>
      </c>
      <c r="G2070" s="23"/>
      <c r="H2070" s="66"/>
      <c r="I2070" s="14"/>
      <c r="J2070" s="14"/>
      <c r="K2070" s="14"/>
      <c r="L2070" s="5" t="str">
        <f t="shared" si="201"/>
        <v/>
      </c>
      <c r="M2070" s="5" t="str">
        <f t="shared" si="202"/>
        <v/>
      </c>
      <c r="N2070" s="5" t="str">
        <f t="shared" si="203"/>
        <v/>
      </c>
      <c r="O2070" s="4"/>
    </row>
    <row r="2071" spans="1:15" x14ac:dyDescent="0.25">
      <c r="A2071" s="14"/>
      <c r="B2071" s="14"/>
      <c r="C2071" s="14"/>
      <c r="D2071" s="5" t="str">
        <f t="shared" si="198"/>
        <v/>
      </c>
      <c r="E2071" s="5" t="str">
        <f t="shared" si="199"/>
        <v/>
      </c>
      <c r="F2071" s="5" t="str">
        <f t="shared" si="200"/>
        <v/>
      </c>
      <c r="G2071" s="23"/>
      <c r="H2071" s="66"/>
      <c r="I2071" s="14"/>
      <c r="J2071" s="14"/>
      <c r="K2071" s="14"/>
      <c r="L2071" s="5" t="str">
        <f t="shared" si="201"/>
        <v/>
      </c>
      <c r="M2071" s="5" t="str">
        <f t="shared" si="202"/>
        <v/>
      </c>
      <c r="N2071" s="5" t="str">
        <f t="shared" si="203"/>
        <v/>
      </c>
      <c r="O2071" s="4"/>
    </row>
    <row r="2072" spans="1:15" x14ac:dyDescent="0.25">
      <c r="A2072" s="14"/>
      <c r="B2072" s="14"/>
      <c r="C2072" s="14"/>
      <c r="D2072" s="5" t="str">
        <f t="shared" si="198"/>
        <v/>
      </c>
      <c r="E2072" s="5" t="str">
        <f t="shared" si="199"/>
        <v/>
      </c>
      <c r="F2072" s="5" t="str">
        <f t="shared" si="200"/>
        <v/>
      </c>
      <c r="G2072" s="23"/>
      <c r="H2072" s="66"/>
      <c r="I2072" s="14"/>
      <c r="J2072" s="14"/>
      <c r="K2072" s="14"/>
      <c r="L2072" s="5" t="str">
        <f t="shared" si="201"/>
        <v/>
      </c>
      <c r="M2072" s="5" t="str">
        <f t="shared" si="202"/>
        <v/>
      </c>
      <c r="N2072" s="5" t="str">
        <f t="shared" si="203"/>
        <v/>
      </c>
      <c r="O2072" s="4"/>
    </row>
    <row r="2073" spans="1:15" x14ac:dyDescent="0.25">
      <c r="A2073" s="14"/>
      <c r="B2073" s="14"/>
      <c r="C2073" s="14"/>
      <c r="D2073" s="5" t="str">
        <f t="shared" ref="D2073:D2136" si="204">IFERROR( IF(A2073&lt;&gt;"",((B2073-B2072)*$X$4/(A2073-A2072))*$X$5,""),"")</f>
        <v/>
      </c>
      <c r="E2073" s="5" t="str">
        <f t="shared" ref="E2073:E2136" si="205">IFERROR(IF(A2073&lt;&gt;"",((C2073-C2072)*$X$4/(A2073-A2072))*$X$5,""),"")</f>
        <v/>
      </c>
      <c r="F2073" s="5" t="str">
        <f t="shared" ref="F2073:F2136" si="206">IFERROR(IF(A2073&lt;&gt;"",((ACOS((COS(RADIANS(B2072))*COS(RADIANS(B2073)))+(SIN(RADIANS(B2072))*SIN(RADIANS(B2073)))*COS(RADIANS(C2073-C2072)))*180/PI()*($X$4/(A2073-A2072))))*$X$5,""),"")</f>
        <v/>
      </c>
      <c r="G2073" s="23"/>
      <c r="H2073" s="66"/>
      <c r="I2073" s="14"/>
      <c r="J2073" s="14"/>
      <c r="K2073" s="14"/>
      <c r="L2073" s="5" t="str">
        <f t="shared" si="201"/>
        <v/>
      </c>
      <c r="M2073" s="5" t="str">
        <f t="shared" si="202"/>
        <v/>
      </c>
      <c r="N2073" s="5" t="str">
        <f t="shared" si="203"/>
        <v/>
      </c>
      <c r="O2073" s="4"/>
    </row>
    <row r="2074" spans="1:15" x14ac:dyDescent="0.25">
      <c r="A2074" s="14"/>
      <c r="B2074" s="14"/>
      <c r="C2074" s="14"/>
      <c r="D2074" s="5" t="str">
        <f t="shared" si="204"/>
        <v/>
      </c>
      <c r="E2074" s="5" t="str">
        <f t="shared" si="205"/>
        <v/>
      </c>
      <c r="F2074" s="5" t="str">
        <f t="shared" si="206"/>
        <v/>
      </c>
      <c r="G2074" s="23"/>
      <c r="H2074" s="66"/>
      <c r="I2074" s="14"/>
      <c r="J2074" s="14"/>
      <c r="K2074" s="14"/>
      <c r="L2074" s="5" t="str">
        <f t="shared" si="201"/>
        <v/>
      </c>
      <c r="M2074" s="5" t="str">
        <f t="shared" si="202"/>
        <v/>
      </c>
      <c r="N2074" s="5" t="str">
        <f t="shared" si="203"/>
        <v/>
      </c>
      <c r="O2074" s="4"/>
    </row>
    <row r="2075" spans="1:15" x14ac:dyDescent="0.25">
      <c r="A2075" s="14"/>
      <c r="B2075" s="14"/>
      <c r="C2075" s="14"/>
      <c r="D2075" s="5" t="str">
        <f t="shared" si="204"/>
        <v/>
      </c>
      <c r="E2075" s="5" t="str">
        <f t="shared" si="205"/>
        <v/>
      </c>
      <c r="F2075" s="5" t="str">
        <f t="shared" si="206"/>
        <v/>
      </c>
      <c r="G2075" s="23"/>
      <c r="H2075" s="66"/>
      <c r="I2075" s="14"/>
      <c r="J2075" s="14"/>
      <c r="K2075" s="14"/>
      <c r="L2075" s="5" t="str">
        <f t="shared" si="201"/>
        <v/>
      </c>
      <c r="M2075" s="5" t="str">
        <f t="shared" si="202"/>
        <v/>
      </c>
      <c r="N2075" s="5" t="str">
        <f t="shared" si="203"/>
        <v/>
      </c>
      <c r="O2075" s="4"/>
    </row>
    <row r="2076" spans="1:15" x14ac:dyDescent="0.25">
      <c r="A2076" s="14"/>
      <c r="B2076" s="14"/>
      <c r="C2076" s="14"/>
      <c r="D2076" s="5" t="str">
        <f t="shared" si="204"/>
        <v/>
      </c>
      <c r="E2076" s="5" t="str">
        <f t="shared" si="205"/>
        <v/>
      </c>
      <c r="F2076" s="5" t="str">
        <f t="shared" si="206"/>
        <v/>
      </c>
      <c r="G2076" s="23"/>
      <c r="H2076" s="66"/>
      <c r="I2076" s="14"/>
      <c r="J2076" s="14"/>
      <c r="K2076" s="14"/>
      <c r="L2076" s="5" t="str">
        <f t="shared" si="201"/>
        <v/>
      </c>
      <c r="M2076" s="5" t="str">
        <f t="shared" si="202"/>
        <v/>
      </c>
      <c r="N2076" s="5" t="str">
        <f t="shared" si="203"/>
        <v/>
      </c>
      <c r="O2076" s="4"/>
    </row>
    <row r="2077" spans="1:15" x14ac:dyDescent="0.25">
      <c r="A2077" s="14"/>
      <c r="B2077" s="14"/>
      <c r="C2077" s="14"/>
      <c r="D2077" s="5" t="str">
        <f t="shared" si="204"/>
        <v/>
      </c>
      <c r="E2077" s="5" t="str">
        <f t="shared" si="205"/>
        <v/>
      </c>
      <c r="F2077" s="5" t="str">
        <f t="shared" si="206"/>
        <v/>
      </c>
      <c r="G2077" s="23"/>
      <c r="H2077" s="66"/>
      <c r="I2077" s="14"/>
      <c r="J2077" s="14"/>
      <c r="K2077" s="14"/>
      <c r="L2077" s="5" t="str">
        <f t="shared" si="201"/>
        <v/>
      </c>
      <c r="M2077" s="5" t="str">
        <f t="shared" si="202"/>
        <v/>
      </c>
      <c r="N2077" s="5" t="str">
        <f t="shared" si="203"/>
        <v/>
      </c>
      <c r="O2077" s="4"/>
    </row>
    <row r="2078" spans="1:15" x14ac:dyDescent="0.25">
      <c r="A2078" s="14"/>
      <c r="B2078" s="14"/>
      <c r="C2078" s="14"/>
      <c r="D2078" s="5" t="str">
        <f t="shared" si="204"/>
        <v/>
      </c>
      <c r="E2078" s="5" t="str">
        <f t="shared" si="205"/>
        <v/>
      </c>
      <c r="F2078" s="5" t="str">
        <f t="shared" si="206"/>
        <v/>
      </c>
      <c r="G2078" s="23"/>
      <c r="H2078" s="66"/>
      <c r="I2078" s="14"/>
      <c r="J2078" s="14"/>
      <c r="K2078" s="14"/>
      <c r="L2078" s="5" t="str">
        <f t="shared" si="201"/>
        <v/>
      </c>
      <c r="M2078" s="5" t="str">
        <f t="shared" si="202"/>
        <v/>
      </c>
      <c r="N2078" s="5" t="str">
        <f t="shared" si="203"/>
        <v/>
      </c>
      <c r="O2078" s="4"/>
    </row>
    <row r="2079" spans="1:15" x14ac:dyDescent="0.25">
      <c r="A2079" s="14"/>
      <c r="B2079" s="14"/>
      <c r="C2079" s="14"/>
      <c r="D2079" s="5" t="str">
        <f t="shared" si="204"/>
        <v/>
      </c>
      <c r="E2079" s="5" t="str">
        <f t="shared" si="205"/>
        <v/>
      </c>
      <c r="F2079" s="5" t="str">
        <f t="shared" si="206"/>
        <v/>
      </c>
      <c r="G2079" s="23"/>
      <c r="H2079" s="66"/>
      <c r="I2079" s="14"/>
      <c r="J2079" s="14"/>
      <c r="K2079" s="14"/>
      <c r="L2079" s="5" t="str">
        <f t="shared" si="201"/>
        <v/>
      </c>
      <c r="M2079" s="5" t="str">
        <f t="shared" si="202"/>
        <v/>
      </c>
      <c r="N2079" s="5" t="str">
        <f t="shared" si="203"/>
        <v/>
      </c>
      <c r="O2079" s="4"/>
    </row>
    <row r="2080" spans="1:15" x14ac:dyDescent="0.25">
      <c r="A2080" s="14"/>
      <c r="B2080" s="14"/>
      <c r="C2080" s="14"/>
      <c r="D2080" s="5" t="str">
        <f t="shared" si="204"/>
        <v/>
      </c>
      <c r="E2080" s="5" t="str">
        <f t="shared" si="205"/>
        <v/>
      </c>
      <c r="F2080" s="5" t="str">
        <f t="shared" si="206"/>
        <v/>
      </c>
      <c r="G2080" s="23"/>
      <c r="H2080" s="66"/>
      <c r="I2080" s="14"/>
      <c r="J2080" s="14"/>
      <c r="K2080" s="14"/>
      <c r="L2080" s="5" t="str">
        <f t="shared" si="201"/>
        <v/>
      </c>
      <c r="M2080" s="5" t="str">
        <f t="shared" si="202"/>
        <v/>
      </c>
      <c r="N2080" s="5" t="str">
        <f t="shared" si="203"/>
        <v/>
      </c>
      <c r="O2080" s="4"/>
    </row>
    <row r="2081" spans="1:15" x14ac:dyDescent="0.25">
      <c r="A2081" s="14"/>
      <c r="B2081" s="14"/>
      <c r="C2081" s="14"/>
      <c r="D2081" s="5" t="str">
        <f t="shared" si="204"/>
        <v/>
      </c>
      <c r="E2081" s="5" t="str">
        <f t="shared" si="205"/>
        <v/>
      </c>
      <c r="F2081" s="5" t="str">
        <f t="shared" si="206"/>
        <v/>
      </c>
      <c r="G2081" s="23"/>
      <c r="H2081" s="66"/>
      <c r="I2081" s="14"/>
      <c r="J2081" s="14"/>
      <c r="K2081" s="14"/>
      <c r="L2081" s="5" t="str">
        <f t="shared" si="201"/>
        <v/>
      </c>
      <c r="M2081" s="5" t="str">
        <f t="shared" si="202"/>
        <v/>
      </c>
      <c r="N2081" s="5" t="str">
        <f t="shared" si="203"/>
        <v/>
      </c>
      <c r="O2081" s="4"/>
    </row>
    <row r="2082" spans="1:15" x14ac:dyDescent="0.25">
      <c r="A2082" s="14"/>
      <c r="B2082" s="14"/>
      <c r="C2082" s="14"/>
      <c r="D2082" s="5" t="str">
        <f t="shared" si="204"/>
        <v/>
      </c>
      <c r="E2082" s="5" t="str">
        <f t="shared" si="205"/>
        <v/>
      </c>
      <c r="F2082" s="5" t="str">
        <f t="shared" si="206"/>
        <v/>
      </c>
      <c r="G2082" s="23"/>
      <c r="H2082" s="66"/>
      <c r="I2082" s="14"/>
      <c r="J2082" s="14"/>
      <c r="K2082" s="14"/>
      <c r="L2082" s="5" t="str">
        <f t="shared" si="201"/>
        <v/>
      </c>
      <c r="M2082" s="5" t="str">
        <f t="shared" si="202"/>
        <v/>
      </c>
      <c r="N2082" s="5" t="str">
        <f t="shared" si="203"/>
        <v/>
      </c>
      <c r="O2082" s="4"/>
    </row>
    <row r="2083" spans="1:15" x14ac:dyDescent="0.25">
      <c r="A2083" s="14"/>
      <c r="B2083" s="14"/>
      <c r="C2083" s="14"/>
      <c r="D2083" s="5" t="str">
        <f t="shared" si="204"/>
        <v/>
      </c>
      <c r="E2083" s="5" t="str">
        <f t="shared" si="205"/>
        <v/>
      </c>
      <c r="F2083" s="5" t="str">
        <f t="shared" si="206"/>
        <v/>
      </c>
      <c r="G2083" s="23"/>
      <c r="H2083" s="66"/>
      <c r="I2083" s="14"/>
      <c r="J2083" s="14"/>
      <c r="K2083" s="14"/>
      <c r="L2083" s="5" t="str">
        <f t="shared" si="201"/>
        <v/>
      </c>
      <c r="M2083" s="5" t="str">
        <f t="shared" si="202"/>
        <v/>
      </c>
      <c r="N2083" s="5" t="str">
        <f t="shared" si="203"/>
        <v/>
      </c>
      <c r="O2083" s="4"/>
    </row>
    <row r="2084" spans="1:15" x14ac:dyDescent="0.25">
      <c r="A2084" s="14"/>
      <c r="B2084" s="14"/>
      <c r="C2084" s="14"/>
      <c r="D2084" s="5" t="str">
        <f t="shared" si="204"/>
        <v/>
      </c>
      <c r="E2084" s="5" t="str">
        <f t="shared" si="205"/>
        <v/>
      </c>
      <c r="F2084" s="5" t="str">
        <f t="shared" si="206"/>
        <v/>
      </c>
      <c r="G2084" s="23"/>
      <c r="H2084" s="66"/>
      <c r="I2084" s="14"/>
      <c r="J2084" s="14"/>
      <c r="K2084" s="14"/>
      <c r="L2084" s="5" t="str">
        <f t="shared" si="201"/>
        <v/>
      </c>
      <c r="M2084" s="5" t="str">
        <f t="shared" si="202"/>
        <v/>
      </c>
      <c r="N2084" s="5" t="str">
        <f t="shared" si="203"/>
        <v/>
      </c>
      <c r="O2084" s="4"/>
    </row>
    <row r="2085" spans="1:15" x14ac:dyDescent="0.25">
      <c r="A2085" s="14"/>
      <c r="B2085" s="14"/>
      <c r="C2085" s="14"/>
      <c r="D2085" s="5" t="str">
        <f t="shared" si="204"/>
        <v/>
      </c>
      <c r="E2085" s="5" t="str">
        <f t="shared" si="205"/>
        <v/>
      </c>
      <c r="F2085" s="5" t="str">
        <f t="shared" si="206"/>
        <v/>
      </c>
      <c r="G2085" s="23"/>
      <c r="H2085" s="66"/>
      <c r="I2085" s="14"/>
      <c r="J2085" s="14"/>
      <c r="K2085" s="14"/>
      <c r="L2085" s="5" t="str">
        <f t="shared" si="201"/>
        <v/>
      </c>
      <c r="M2085" s="5" t="str">
        <f t="shared" si="202"/>
        <v/>
      </c>
      <c r="N2085" s="5" t="str">
        <f t="shared" si="203"/>
        <v/>
      </c>
      <c r="O2085" s="4"/>
    </row>
    <row r="2086" spans="1:15" x14ac:dyDescent="0.25">
      <c r="A2086" s="14"/>
      <c r="B2086" s="14"/>
      <c r="C2086" s="14"/>
      <c r="D2086" s="5" t="str">
        <f t="shared" si="204"/>
        <v/>
      </c>
      <c r="E2086" s="5" t="str">
        <f t="shared" si="205"/>
        <v/>
      </c>
      <c r="F2086" s="5" t="str">
        <f t="shared" si="206"/>
        <v/>
      </c>
      <c r="G2086" s="23"/>
      <c r="H2086" s="66"/>
      <c r="I2086" s="14"/>
      <c r="J2086" s="14"/>
      <c r="K2086" s="14"/>
      <c r="L2086" s="5" t="str">
        <f t="shared" si="201"/>
        <v/>
      </c>
      <c r="M2086" s="5" t="str">
        <f t="shared" si="202"/>
        <v/>
      </c>
      <c r="N2086" s="5" t="str">
        <f t="shared" si="203"/>
        <v/>
      </c>
      <c r="O2086" s="4"/>
    </row>
    <row r="2087" spans="1:15" x14ac:dyDescent="0.25">
      <c r="A2087" s="14"/>
      <c r="B2087" s="14"/>
      <c r="C2087" s="14"/>
      <c r="D2087" s="5" t="str">
        <f t="shared" si="204"/>
        <v/>
      </c>
      <c r="E2087" s="5" t="str">
        <f t="shared" si="205"/>
        <v/>
      </c>
      <c r="F2087" s="5" t="str">
        <f t="shared" si="206"/>
        <v/>
      </c>
      <c r="G2087" s="23"/>
      <c r="H2087" s="66"/>
      <c r="I2087" s="14"/>
      <c r="J2087" s="14"/>
      <c r="K2087" s="14"/>
      <c r="L2087" s="5" t="str">
        <f t="shared" si="201"/>
        <v/>
      </c>
      <c r="M2087" s="5" t="str">
        <f t="shared" si="202"/>
        <v/>
      </c>
      <c r="N2087" s="5" t="str">
        <f t="shared" si="203"/>
        <v/>
      </c>
      <c r="O2087" s="4"/>
    </row>
    <row r="2088" spans="1:15" x14ac:dyDescent="0.25">
      <c r="A2088" s="14"/>
      <c r="B2088" s="14"/>
      <c r="C2088" s="14"/>
      <c r="D2088" s="5" t="str">
        <f t="shared" si="204"/>
        <v/>
      </c>
      <c r="E2088" s="5" t="str">
        <f t="shared" si="205"/>
        <v/>
      </c>
      <c r="F2088" s="5" t="str">
        <f t="shared" si="206"/>
        <v/>
      </c>
      <c r="G2088" s="23"/>
      <c r="H2088" s="66"/>
      <c r="I2088" s="14"/>
      <c r="J2088" s="14"/>
      <c r="K2088" s="14"/>
      <c r="L2088" s="5" t="str">
        <f t="shared" si="201"/>
        <v/>
      </c>
      <c r="M2088" s="5" t="str">
        <f t="shared" si="202"/>
        <v/>
      </c>
      <c r="N2088" s="5" t="str">
        <f t="shared" si="203"/>
        <v/>
      </c>
      <c r="O2088" s="4"/>
    </row>
    <row r="2089" spans="1:15" x14ac:dyDescent="0.25">
      <c r="A2089" s="14"/>
      <c r="B2089" s="14"/>
      <c r="C2089" s="14"/>
      <c r="D2089" s="5" t="str">
        <f t="shared" si="204"/>
        <v/>
      </c>
      <c r="E2089" s="5" t="str">
        <f t="shared" si="205"/>
        <v/>
      </c>
      <c r="F2089" s="5" t="str">
        <f t="shared" si="206"/>
        <v/>
      </c>
      <c r="G2089" s="23"/>
      <c r="H2089" s="66"/>
      <c r="I2089" s="14"/>
      <c r="J2089" s="14"/>
      <c r="K2089" s="14"/>
      <c r="L2089" s="5" t="str">
        <f t="shared" si="201"/>
        <v/>
      </c>
      <c r="M2089" s="5" t="str">
        <f t="shared" si="202"/>
        <v/>
      </c>
      <c r="N2089" s="5" t="str">
        <f t="shared" si="203"/>
        <v/>
      </c>
      <c r="O2089" s="4"/>
    </row>
    <row r="2090" spans="1:15" x14ac:dyDescent="0.25">
      <c r="A2090" s="14"/>
      <c r="B2090" s="14"/>
      <c r="C2090" s="14"/>
      <c r="D2090" s="5" t="str">
        <f t="shared" si="204"/>
        <v/>
      </c>
      <c r="E2090" s="5" t="str">
        <f t="shared" si="205"/>
        <v/>
      </c>
      <c r="F2090" s="5" t="str">
        <f t="shared" si="206"/>
        <v/>
      </c>
      <c r="G2090" s="23"/>
      <c r="H2090" s="66"/>
      <c r="I2090" s="14"/>
      <c r="J2090" s="14"/>
      <c r="K2090" s="14"/>
      <c r="L2090" s="5" t="str">
        <f t="shared" si="201"/>
        <v/>
      </c>
      <c r="M2090" s="5" t="str">
        <f t="shared" si="202"/>
        <v/>
      </c>
      <c r="N2090" s="5" t="str">
        <f t="shared" si="203"/>
        <v/>
      </c>
      <c r="O2090" s="4"/>
    </row>
    <row r="2091" spans="1:15" x14ac:dyDescent="0.25">
      <c r="A2091" s="14"/>
      <c r="B2091" s="14"/>
      <c r="C2091" s="14"/>
      <c r="D2091" s="5" t="str">
        <f t="shared" si="204"/>
        <v/>
      </c>
      <c r="E2091" s="5" t="str">
        <f t="shared" si="205"/>
        <v/>
      </c>
      <c r="F2091" s="5" t="str">
        <f t="shared" si="206"/>
        <v/>
      </c>
      <c r="G2091" s="23"/>
      <c r="H2091" s="66"/>
      <c r="I2091" s="14"/>
      <c r="J2091" s="14"/>
      <c r="K2091" s="14"/>
      <c r="L2091" s="5" t="str">
        <f t="shared" si="201"/>
        <v/>
      </c>
      <c r="M2091" s="5" t="str">
        <f t="shared" si="202"/>
        <v/>
      </c>
      <c r="N2091" s="5" t="str">
        <f t="shared" si="203"/>
        <v/>
      </c>
      <c r="O2091" s="4"/>
    </row>
    <row r="2092" spans="1:15" x14ac:dyDescent="0.25">
      <c r="A2092" s="14"/>
      <c r="B2092" s="14"/>
      <c r="C2092" s="14"/>
      <c r="D2092" s="5" t="str">
        <f t="shared" si="204"/>
        <v/>
      </c>
      <c r="E2092" s="5" t="str">
        <f t="shared" si="205"/>
        <v/>
      </c>
      <c r="F2092" s="5" t="str">
        <f t="shared" si="206"/>
        <v/>
      </c>
      <c r="G2092" s="23"/>
      <c r="H2092" s="66"/>
      <c r="I2092" s="14"/>
      <c r="J2092" s="14"/>
      <c r="K2092" s="14"/>
      <c r="L2092" s="5" t="str">
        <f t="shared" si="201"/>
        <v/>
      </c>
      <c r="M2092" s="5" t="str">
        <f t="shared" si="202"/>
        <v/>
      </c>
      <c r="N2092" s="5" t="str">
        <f t="shared" si="203"/>
        <v/>
      </c>
      <c r="O2092" s="4"/>
    </row>
    <row r="2093" spans="1:15" x14ac:dyDescent="0.25">
      <c r="A2093" s="14"/>
      <c r="B2093" s="14"/>
      <c r="C2093" s="14"/>
      <c r="D2093" s="5" t="str">
        <f t="shared" si="204"/>
        <v/>
      </c>
      <c r="E2093" s="5" t="str">
        <f t="shared" si="205"/>
        <v/>
      </c>
      <c r="F2093" s="5" t="str">
        <f t="shared" si="206"/>
        <v/>
      </c>
      <c r="G2093" s="23"/>
      <c r="H2093" s="66"/>
      <c r="I2093" s="14"/>
      <c r="J2093" s="14"/>
      <c r="K2093" s="14"/>
      <c r="L2093" s="5" t="str">
        <f t="shared" si="201"/>
        <v/>
      </c>
      <c r="M2093" s="5" t="str">
        <f t="shared" si="202"/>
        <v/>
      </c>
      <c r="N2093" s="5" t="str">
        <f t="shared" si="203"/>
        <v/>
      </c>
      <c r="O2093" s="4"/>
    </row>
    <row r="2094" spans="1:15" x14ac:dyDescent="0.25">
      <c r="A2094" s="14"/>
      <c r="B2094" s="14"/>
      <c r="C2094" s="14"/>
      <c r="D2094" s="5" t="str">
        <f t="shared" si="204"/>
        <v/>
      </c>
      <c r="E2094" s="5" t="str">
        <f t="shared" si="205"/>
        <v/>
      </c>
      <c r="F2094" s="5" t="str">
        <f t="shared" si="206"/>
        <v/>
      </c>
      <c r="G2094" s="23"/>
      <c r="H2094" s="66"/>
      <c r="I2094" s="14"/>
      <c r="J2094" s="14"/>
      <c r="K2094" s="14"/>
      <c r="L2094" s="5" t="str">
        <f t="shared" si="201"/>
        <v/>
      </c>
      <c r="M2094" s="5" t="str">
        <f t="shared" si="202"/>
        <v/>
      </c>
      <c r="N2094" s="5" t="str">
        <f t="shared" si="203"/>
        <v/>
      </c>
      <c r="O2094" s="4"/>
    </row>
    <row r="2095" spans="1:15" x14ac:dyDescent="0.25">
      <c r="A2095" s="14"/>
      <c r="B2095" s="14"/>
      <c r="C2095" s="14"/>
      <c r="D2095" s="5" t="str">
        <f t="shared" si="204"/>
        <v/>
      </c>
      <c r="E2095" s="5" t="str">
        <f t="shared" si="205"/>
        <v/>
      </c>
      <c r="F2095" s="5" t="str">
        <f t="shared" si="206"/>
        <v/>
      </c>
      <c r="G2095" s="23"/>
      <c r="H2095" s="66"/>
      <c r="I2095" s="14"/>
      <c r="J2095" s="14"/>
      <c r="K2095" s="14"/>
      <c r="L2095" s="5" t="str">
        <f t="shared" si="201"/>
        <v/>
      </c>
      <c r="M2095" s="5" t="str">
        <f t="shared" si="202"/>
        <v/>
      </c>
      <c r="N2095" s="5" t="str">
        <f t="shared" si="203"/>
        <v/>
      </c>
      <c r="O2095" s="4"/>
    </row>
    <row r="2096" spans="1:15" x14ac:dyDescent="0.25">
      <c r="A2096" s="14"/>
      <c r="B2096" s="14"/>
      <c r="C2096" s="14"/>
      <c r="D2096" s="5" t="str">
        <f t="shared" si="204"/>
        <v/>
      </c>
      <c r="E2096" s="5" t="str">
        <f t="shared" si="205"/>
        <v/>
      </c>
      <c r="F2096" s="5" t="str">
        <f t="shared" si="206"/>
        <v/>
      </c>
      <c r="G2096" s="23"/>
      <c r="H2096" s="66"/>
      <c r="I2096" s="14"/>
      <c r="J2096" s="14"/>
      <c r="K2096" s="14"/>
      <c r="L2096" s="5" t="str">
        <f t="shared" si="201"/>
        <v/>
      </c>
      <c r="M2096" s="5" t="str">
        <f t="shared" si="202"/>
        <v/>
      </c>
      <c r="N2096" s="5" t="str">
        <f t="shared" si="203"/>
        <v/>
      </c>
      <c r="O2096" s="4"/>
    </row>
    <row r="2097" spans="1:15" x14ac:dyDescent="0.25">
      <c r="A2097" s="14"/>
      <c r="B2097" s="14"/>
      <c r="C2097" s="14"/>
      <c r="D2097" s="5" t="str">
        <f t="shared" si="204"/>
        <v/>
      </c>
      <c r="E2097" s="5" t="str">
        <f t="shared" si="205"/>
        <v/>
      </c>
      <c r="F2097" s="5" t="str">
        <f t="shared" si="206"/>
        <v/>
      </c>
      <c r="G2097" s="23"/>
      <c r="H2097" s="66"/>
      <c r="I2097" s="14"/>
      <c r="J2097" s="14"/>
      <c r="K2097" s="14"/>
      <c r="L2097" s="5" t="str">
        <f t="shared" si="201"/>
        <v/>
      </c>
      <c r="M2097" s="5" t="str">
        <f t="shared" si="202"/>
        <v/>
      </c>
      <c r="N2097" s="5" t="str">
        <f t="shared" si="203"/>
        <v/>
      </c>
      <c r="O2097" s="4"/>
    </row>
    <row r="2098" spans="1:15" x14ac:dyDescent="0.25">
      <c r="A2098" s="14"/>
      <c r="B2098" s="14"/>
      <c r="C2098" s="14"/>
      <c r="D2098" s="5" t="str">
        <f t="shared" si="204"/>
        <v/>
      </c>
      <c r="E2098" s="5" t="str">
        <f t="shared" si="205"/>
        <v/>
      </c>
      <c r="F2098" s="5" t="str">
        <f t="shared" si="206"/>
        <v/>
      </c>
      <c r="G2098" s="23"/>
      <c r="H2098" s="66"/>
      <c r="I2098" s="14"/>
      <c r="J2098" s="14"/>
      <c r="K2098" s="14"/>
      <c r="L2098" s="5" t="str">
        <f t="shared" si="201"/>
        <v/>
      </c>
      <c r="M2098" s="5" t="str">
        <f t="shared" si="202"/>
        <v/>
      </c>
      <c r="N2098" s="5" t="str">
        <f t="shared" si="203"/>
        <v/>
      </c>
      <c r="O2098" s="4"/>
    </row>
    <row r="2099" spans="1:15" x14ac:dyDescent="0.25">
      <c r="A2099" s="14"/>
      <c r="B2099" s="14"/>
      <c r="C2099" s="14"/>
      <c r="D2099" s="5" t="str">
        <f t="shared" si="204"/>
        <v/>
      </c>
      <c r="E2099" s="5" t="str">
        <f t="shared" si="205"/>
        <v/>
      </c>
      <c r="F2099" s="5" t="str">
        <f t="shared" si="206"/>
        <v/>
      </c>
      <c r="G2099" s="23"/>
      <c r="H2099" s="66"/>
      <c r="I2099" s="14"/>
      <c r="J2099" s="14"/>
      <c r="K2099" s="14"/>
      <c r="L2099" s="5" t="str">
        <f t="shared" si="201"/>
        <v/>
      </c>
      <c r="M2099" s="5" t="str">
        <f t="shared" si="202"/>
        <v/>
      </c>
      <c r="N2099" s="5" t="str">
        <f t="shared" si="203"/>
        <v/>
      </c>
      <c r="O2099" s="4"/>
    </row>
    <row r="2100" spans="1:15" x14ac:dyDescent="0.25">
      <c r="A2100" s="14"/>
      <c r="B2100" s="14"/>
      <c r="C2100" s="14"/>
      <c r="D2100" s="5" t="str">
        <f t="shared" si="204"/>
        <v/>
      </c>
      <c r="E2100" s="5" t="str">
        <f t="shared" si="205"/>
        <v/>
      </c>
      <c r="F2100" s="5" t="str">
        <f t="shared" si="206"/>
        <v/>
      </c>
      <c r="G2100" s="23"/>
      <c r="H2100" s="66"/>
      <c r="I2100" s="14"/>
      <c r="J2100" s="14"/>
      <c r="K2100" s="14"/>
      <c r="L2100" s="5" t="str">
        <f t="shared" si="201"/>
        <v/>
      </c>
      <c r="M2100" s="5" t="str">
        <f t="shared" si="202"/>
        <v/>
      </c>
      <c r="N2100" s="5" t="str">
        <f t="shared" si="203"/>
        <v/>
      </c>
      <c r="O2100" s="4"/>
    </row>
    <row r="2101" spans="1:15" x14ac:dyDescent="0.25">
      <c r="A2101" s="14"/>
      <c r="B2101" s="14"/>
      <c r="C2101" s="14"/>
      <c r="D2101" s="5" t="str">
        <f t="shared" si="204"/>
        <v/>
      </c>
      <c r="E2101" s="5" t="str">
        <f t="shared" si="205"/>
        <v/>
      </c>
      <c r="F2101" s="5" t="str">
        <f t="shared" si="206"/>
        <v/>
      </c>
      <c r="G2101" s="23"/>
      <c r="H2101" s="66"/>
      <c r="I2101" s="14"/>
      <c r="J2101" s="14"/>
      <c r="K2101" s="14"/>
      <c r="L2101" s="5" t="str">
        <f t="shared" si="201"/>
        <v/>
      </c>
      <c r="M2101" s="5" t="str">
        <f t="shared" si="202"/>
        <v/>
      </c>
      <c r="N2101" s="5" t="str">
        <f t="shared" si="203"/>
        <v/>
      </c>
      <c r="O2101" s="4"/>
    </row>
    <row r="2102" spans="1:15" x14ac:dyDescent="0.25">
      <c r="A2102" s="14"/>
      <c r="B2102" s="14"/>
      <c r="C2102" s="14"/>
      <c r="D2102" s="5" t="str">
        <f t="shared" si="204"/>
        <v/>
      </c>
      <c r="E2102" s="5" t="str">
        <f t="shared" si="205"/>
        <v/>
      </c>
      <c r="F2102" s="5" t="str">
        <f t="shared" si="206"/>
        <v/>
      </c>
      <c r="G2102" s="23"/>
      <c r="H2102" s="66"/>
      <c r="I2102" s="14"/>
      <c r="J2102" s="14"/>
      <c r="K2102" s="14"/>
      <c r="L2102" s="5" t="str">
        <f t="shared" si="201"/>
        <v/>
      </c>
      <c r="M2102" s="5" t="str">
        <f t="shared" si="202"/>
        <v/>
      </c>
      <c r="N2102" s="5" t="str">
        <f t="shared" si="203"/>
        <v/>
      </c>
      <c r="O2102" s="4"/>
    </row>
    <row r="2103" spans="1:15" x14ac:dyDescent="0.25">
      <c r="A2103" s="14"/>
      <c r="B2103" s="14"/>
      <c r="C2103" s="14"/>
      <c r="D2103" s="5" t="str">
        <f t="shared" si="204"/>
        <v/>
      </c>
      <c r="E2103" s="5" t="str">
        <f t="shared" si="205"/>
        <v/>
      </c>
      <c r="F2103" s="5" t="str">
        <f t="shared" si="206"/>
        <v/>
      </c>
      <c r="G2103" s="23"/>
      <c r="H2103" s="66"/>
      <c r="I2103" s="14"/>
      <c r="J2103" s="14"/>
      <c r="K2103" s="14"/>
      <c r="L2103" s="5" t="str">
        <f t="shared" si="201"/>
        <v/>
      </c>
      <c r="M2103" s="5" t="str">
        <f t="shared" si="202"/>
        <v/>
      </c>
      <c r="N2103" s="5" t="str">
        <f t="shared" si="203"/>
        <v/>
      </c>
      <c r="O2103" s="4"/>
    </row>
    <row r="2104" spans="1:15" x14ac:dyDescent="0.25">
      <c r="A2104" s="14"/>
      <c r="B2104" s="14"/>
      <c r="C2104" s="14"/>
      <c r="D2104" s="5" t="str">
        <f t="shared" si="204"/>
        <v/>
      </c>
      <c r="E2104" s="5" t="str">
        <f t="shared" si="205"/>
        <v/>
      </c>
      <c r="F2104" s="5" t="str">
        <f t="shared" si="206"/>
        <v/>
      </c>
      <c r="G2104" s="23"/>
      <c r="H2104" s="66"/>
      <c r="I2104" s="14"/>
      <c r="J2104" s="14"/>
      <c r="K2104" s="14"/>
      <c r="L2104" s="5" t="str">
        <f t="shared" si="201"/>
        <v/>
      </c>
      <c r="M2104" s="5" t="str">
        <f t="shared" si="202"/>
        <v/>
      </c>
      <c r="N2104" s="5" t="str">
        <f t="shared" si="203"/>
        <v/>
      </c>
      <c r="O2104" s="4"/>
    </row>
    <row r="2105" spans="1:15" x14ac:dyDescent="0.25">
      <c r="A2105" s="14"/>
      <c r="B2105" s="14"/>
      <c r="C2105" s="14"/>
      <c r="D2105" s="5" t="str">
        <f t="shared" si="204"/>
        <v/>
      </c>
      <c r="E2105" s="5" t="str">
        <f t="shared" si="205"/>
        <v/>
      </c>
      <c r="F2105" s="5" t="str">
        <f t="shared" si="206"/>
        <v/>
      </c>
      <c r="G2105" s="23"/>
      <c r="H2105" s="66"/>
      <c r="I2105" s="14"/>
      <c r="J2105" s="14"/>
      <c r="K2105" s="14"/>
      <c r="L2105" s="5" t="str">
        <f t="shared" si="201"/>
        <v/>
      </c>
      <c r="M2105" s="5" t="str">
        <f t="shared" si="202"/>
        <v/>
      </c>
      <c r="N2105" s="5" t="str">
        <f t="shared" si="203"/>
        <v/>
      </c>
      <c r="O2105" s="4"/>
    </row>
    <row r="2106" spans="1:15" x14ac:dyDescent="0.25">
      <c r="A2106" s="14"/>
      <c r="B2106" s="14"/>
      <c r="C2106" s="14"/>
      <c r="D2106" s="5" t="str">
        <f t="shared" si="204"/>
        <v/>
      </c>
      <c r="E2106" s="5" t="str">
        <f t="shared" si="205"/>
        <v/>
      </c>
      <c r="F2106" s="5" t="str">
        <f t="shared" si="206"/>
        <v/>
      </c>
      <c r="G2106" s="23"/>
      <c r="H2106" s="66"/>
      <c r="I2106" s="14"/>
      <c r="J2106" s="14"/>
      <c r="K2106" s="14"/>
      <c r="L2106" s="5" t="str">
        <f t="shared" si="201"/>
        <v/>
      </c>
      <c r="M2106" s="5" t="str">
        <f t="shared" si="202"/>
        <v/>
      </c>
      <c r="N2106" s="5" t="str">
        <f t="shared" si="203"/>
        <v/>
      </c>
      <c r="O2106" s="4"/>
    </row>
    <row r="2107" spans="1:15" x14ac:dyDescent="0.25">
      <c r="A2107" s="14"/>
      <c r="B2107" s="14"/>
      <c r="C2107" s="14"/>
      <c r="D2107" s="5" t="str">
        <f t="shared" si="204"/>
        <v/>
      </c>
      <c r="E2107" s="5" t="str">
        <f t="shared" si="205"/>
        <v/>
      </c>
      <c r="F2107" s="5" t="str">
        <f t="shared" si="206"/>
        <v/>
      </c>
      <c r="G2107" s="23"/>
      <c r="H2107" s="66"/>
      <c r="I2107" s="14"/>
      <c r="J2107" s="14"/>
      <c r="K2107" s="14"/>
      <c r="L2107" s="5" t="str">
        <f t="shared" si="201"/>
        <v/>
      </c>
      <c r="M2107" s="5" t="str">
        <f t="shared" si="202"/>
        <v/>
      </c>
      <c r="N2107" s="5" t="str">
        <f t="shared" si="203"/>
        <v/>
      </c>
      <c r="O2107" s="4"/>
    </row>
    <row r="2108" spans="1:15" x14ac:dyDescent="0.25">
      <c r="A2108" s="14"/>
      <c r="B2108" s="14"/>
      <c r="C2108" s="14"/>
      <c r="D2108" s="5" t="str">
        <f t="shared" si="204"/>
        <v/>
      </c>
      <c r="E2108" s="5" t="str">
        <f t="shared" si="205"/>
        <v/>
      </c>
      <c r="F2108" s="5" t="str">
        <f t="shared" si="206"/>
        <v/>
      </c>
      <c r="G2108" s="23"/>
      <c r="H2108" s="66"/>
      <c r="I2108" s="14"/>
      <c r="J2108" s="14"/>
      <c r="K2108" s="14"/>
      <c r="L2108" s="5" t="str">
        <f t="shared" si="201"/>
        <v/>
      </c>
      <c r="M2108" s="5" t="str">
        <f t="shared" si="202"/>
        <v/>
      </c>
      <c r="N2108" s="5" t="str">
        <f t="shared" si="203"/>
        <v/>
      </c>
      <c r="O2108" s="4"/>
    </row>
    <row r="2109" spans="1:15" x14ac:dyDescent="0.25">
      <c r="A2109" s="14"/>
      <c r="B2109" s="14"/>
      <c r="C2109" s="14"/>
      <c r="D2109" s="5" t="str">
        <f t="shared" si="204"/>
        <v/>
      </c>
      <c r="E2109" s="5" t="str">
        <f t="shared" si="205"/>
        <v/>
      </c>
      <c r="F2109" s="5" t="str">
        <f t="shared" si="206"/>
        <v/>
      </c>
      <c r="G2109" s="23"/>
      <c r="H2109" s="66"/>
      <c r="I2109" s="14"/>
      <c r="J2109" s="14"/>
      <c r="K2109" s="14"/>
      <c r="L2109" s="5" t="str">
        <f t="shared" si="201"/>
        <v/>
      </c>
      <c r="M2109" s="5" t="str">
        <f t="shared" si="202"/>
        <v/>
      </c>
      <c r="N2109" s="5" t="str">
        <f t="shared" si="203"/>
        <v/>
      </c>
      <c r="O2109" s="4"/>
    </row>
    <row r="2110" spans="1:15" x14ac:dyDescent="0.25">
      <c r="A2110" s="14"/>
      <c r="B2110" s="14"/>
      <c r="C2110" s="14"/>
      <c r="D2110" s="5" t="str">
        <f t="shared" si="204"/>
        <v/>
      </c>
      <c r="E2110" s="5" t="str">
        <f t="shared" si="205"/>
        <v/>
      </c>
      <c r="F2110" s="5" t="str">
        <f t="shared" si="206"/>
        <v/>
      </c>
      <c r="G2110" s="23"/>
      <c r="H2110" s="66"/>
      <c r="I2110" s="14"/>
      <c r="J2110" s="14"/>
      <c r="K2110" s="14"/>
      <c r="L2110" s="5" t="str">
        <f t="shared" si="201"/>
        <v/>
      </c>
      <c r="M2110" s="5" t="str">
        <f t="shared" si="202"/>
        <v/>
      </c>
      <c r="N2110" s="5" t="str">
        <f t="shared" si="203"/>
        <v/>
      </c>
      <c r="O2110" s="4"/>
    </row>
    <row r="2111" spans="1:15" x14ac:dyDescent="0.25">
      <c r="A2111" s="14"/>
      <c r="B2111" s="14"/>
      <c r="C2111" s="14"/>
      <c r="D2111" s="5" t="str">
        <f t="shared" si="204"/>
        <v/>
      </c>
      <c r="E2111" s="5" t="str">
        <f t="shared" si="205"/>
        <v/>
      </c>
      <c r="F2111" s="5" t="str">
        <f t="shared" si="206"/>
        <v/>
      </c>
      <c r="G2111" s="23"/>
      <c r="H2111" s="66"/>
      <c r="I2111" s="14"/>
      <c r="J2111" s="14"/>
      <c r="K2111" s="14"/>
      <c r="L2111" s="5" t="str">
        <f t="shared" si="201"/>
        <v/>
      </c>
      <c r="M2111" s="5" t="str">
        <f t="shared" si="202"/>
        <v/>
      </c>
      <c r="N2111" s="5" t="str">
        <f t="shared" si="203"/>
        <v/>
      </c>
      <c r="O2111" s="4"/>
    </row>
    <row r="2112" spans="1:15" x14ac:dyDescent="0.25">
      <c r="A2112" s="14"/>
      <c r="B2112" s="14"/>
      <c r="C2112" s="14"/>
      <c r="D2112" s="5" t="str">
        <f t="shared" si="204"/>
        <v/>
      </c>
      <c r="E2112" s="5" t="str">
        <f t="shared" si="205"/>
        <v/>
      </c>
      <c r="F2112" s="5" t="str">
        <f t="shared" si="206"/>
        <v/>
      </c>
      <c r="G2112" s="23"/>
      <c r="H2112" s="66"/>
      <c r="I2112" s="14"/>
      <c r="J2112" s="14"/>
      <c r="K2112" s="14"/>
      <c r="L2112" s="5" t="str">
        <f t="shared" si="201"/>
        <v/>
      </c>
      <c r="M2112" s="5" t="str">
        <f t="shared" si="202"/>
        <v/>
      </c>
      <c r="N2112" s="5" t="str">
        <f t="shared" si="203"/>
        <v/>
      </c>
      <c r="O2112" s="4"/>
    </row>
    <row r="2113" spans="1:15" x14ac:dyDescent="0.25">
      <c r="A2113" s="14"/>
      <c r="B2113" s="14"/>
      <c r="C2113" s="14"/>
      <c r="D2113" s="5" t="str">
        <f t="shared" si="204"/>
        <v/>
      </c>
      <c r="E2113" s="5" t="str">
        <f t="shared" si="205"/>
        <v/>
      </c>
      <c r="F2113" s="5" t="str">
        <f t="shared" si="206"/>
        <v/>
      </c>
      <c r="G2113" s="23"/>
      <c r="H2113" s="66"/>
      <c r="I2113" s="14"/>
      <c r="J2113" s="14"/>
      <c r="K2113" s="14"/>
      <c r="L2113" s="5" t="str">
        <f t="shared" si="201"/>
        <v/>
      </c>
      <c r="M2113" s="5" t="str">
        <f t="shared" si="202"/>
        <v/>
      </c>
      <c r="N2113" s="5" t="str">
        <f t="shared" si="203"/>
        <v/>
      </c>
      <c r="O2113" s="4"/>
    </row>
    <row r="2114" spans="1:15" x14ac:dyDescent="0.25">
      <c r="A2114" s="14"/>
      <c r="B2114" s="14"/>
      <c r="C2114" s="14"/>
      <c r="D2114" s="5" t="str">
        <f t="shared" si="204"/>
        <v/>
      </c>
      <c r="E2114" s="5" t="str">
        <f t="shared" si="205"/>
        <v/>
      </c>
      <c r="F2114" s="5" t="str">
        <f t="shared" si="206"/>
        <v/>
      </c>
      <c r="G2114" s="23"/>
      <c r="H2114" s="66"/>
      <c r="I2114" s="14"/>
      <c r="J2114" s="14"/>
      <c r="K2114" s="14"/>
      <c r="L2114" s="5" t="str">
        <f t="shared" si="201"/>
        <v/>
      </c>
      <c r="M2114" s="5" t="str">
        <f t="shared" si="202"/>
        <v/>
      </c>
      <c r="N2114" s="5" t="str">
        <f t="shared" si="203"/>
        <v/>
      </c>
      <c r="O2114" s="4"/>
    </row>
    <row r="2115" spans="1:15" x14ac:dyDescent="0.25">
      <c r="A2115" s="14"/>
      <c r="B2115" s="14"/>
      <c r="C2115" s="14"/>
      <c r="D2115" s="5" t="str">
        <f t="shared" si="204"/>
        <v/>
      </c>
      <c r="E2115" s="5" t="str">
        <f t="shared" si="205"/>
        <v/>
      </c>
      <c r="F2115" s="5" t="str">
        <f t="shared" si="206"/>
        <v/>
      </c>
      <c r="G2115" s="23"/>
      <c r="H2115" s="66"/>
      <c r="I2115" s="14"/>
      <c r="J2115" s="14"/>
      <c r="K2115" s="14"/>
      <c r="L2115" s="5" t="str">
        <f t="shared" si="201"/>
        <v/>
      </c>
      <c r="M2115" s="5" t="str">
        <f t="shared" si="202"/>
        <v/>
      </c>
      <c r="N2115" s="5" t="str">
        <f t="shared" si="203"/>
        <v/>
      </c>
      <c r="O2115" s="4"/>
    </row>
    <row r="2116" spans="1:15" x14ac:dyDescent="0.25">
      <c r="A2116" s="14"/>
      <c r="B2116" s="14"/>
      <c r="C2116" s="14"/>
      <c r="D2116" s="5" t="str">
        <f t="shared" si="204"/>
        <v/>
      </c>
      <c r="E2116" s="5" t="str">
        <f t="shared" si="205"/>
        <v/>
      </c>
      <c r="F2116" s="5" t="str">
        <f t="shared" si="206"/>
        <v/>
      </c>
      <c r="G2116" s="23"/>
      <c r="H2116" s="66"/>
      <c r="I2116" s="14"/>
      <c r="J2116" s="14"/>
      <c r="K2116" s="14"/>
      <c r="L2116" s="5" t="str">
        <f t="shared" si="201"/>
        <v/>
      </c>
      <c r="M2116" s="5" t="str">
        <f t="shared" si="202"/>
        <v/>
      </c>
      <c r="N2116" s="5" t="str">
        <f t="shared" si="203"/>
        <v/>
      </c>
      <c r="O2116" s="4"/>
    </row>
    <row r="2117" spans="1:15" x14ac:dyDescent="0.25">
      <c r="A2117" s="14"/>
      <c r="B2117" s="14"/>
      <c r="C2117" s="14"/>
      <c r="D2117" s="5" t="str">
        <f t="shared" si="204"/>
        <v/>
      </c>
      <c r="E2117" s="5" t="str">
        <f t="shared" si="205"/>
        <v/>
      </c>
      <c r="F2117" s="5" t="str">
        <f t="shared" si="206"/>
        <v/>
      </c>
      <c r="G2117" s="23"/>
      <c r="H2117" s="66"/>
      <c r="I2117" s="14"/>
      <c r="J2117" s="14"/>
      <c r="K2117" s="14"/>
      <c r="L2117" s="5" t="str">
        <f t="shared" si="201"/>
        <v/>
      </c>
      <c r="M2117" s="5" t="str">
        <f t="shared" si="202"/>
        <v/>
      </c>
      <c r="N2117" s="5" t="str">
        <f t="shared" si="203"/>
        <v/>
      </c>
      <c r="O2117" s="4"/>
    </row>
    <row r="2118" spans="1:15" x14ac:dyDescent="0.25">
      <c r="A2118" s="14"/>
      <c r="B2118" s="14"/>
      <c r="C2118" s="14"/>
      <c r="D2118" s="5" t="str">
        <f t="shared" si="204"/>
        <v/>
      </c>
      <c r="E2118" s="5" t="str">
        <f t="shared" si="205"/>
        <v/>
      </c>
      <c r="F2118" s="5" t="str">
        <f t="shared" si="206"/>
        <v/>
      </c>
      <c r="G2118" s="23"/>
      <c r="H2118" s="66"/>
      <c r="I2118" s="14"/>
      <c r="J2118" s="14"/>
      <c r="K2118" s="14"/>
      <c r="L2118" s="5" t="str">
        <f t="shared" si="201"/>
        <v/>
      </c>
      <c r="M2118" s="5" t="str">
        <f t="shared" si="202"/>
        <v/>
      </c>
      <c r="N2118" s="5" t="str">
        <f t="shared" si="203"/>
        <v/>
      </c>
      <c r="O2118" s="4"/>
    </row>
    <row r="2119" spans="1:15" x14ac:dyDescent="0.25">
      <c r="A2119" s="14"/>
      <c r="B2119" s="14"/>
      <c r="C2119" s="14"/>
      <c r="D2119" s="5" t="str">
        <f t="shared" si="204"/>
        <v/>
      </c>
      <c r="E2119" s="5" t="str">
        <f t="shared" si="205"/>
        <v/>
      </c>
      <c r="F2119" s="5" t="str">
        <f t="shared" si="206"/>
        <v/>
      </c>
      <c r="G2119" s="23"/>
      <c r="H2119" s="66"/>
      <c r="I2119" s="14"/>
      <c r="J2119" s="14"/>
      <c r="K2119" s="14"/>
      <c r="L2119" s="5" t="str">
        <f t="shared" si="201"/>
        <v/>
      </c>
      <c r="M2119" s="5" t="str">
        <f t="shared" si="202"/>
        <v/>
      </c>
      <c r="N2119" s="5" t="str">
        <f t="shared" si="203"/>
        <v/>
      </c>
      <c r="O2119" s="4"/>
    </row>
    <row r="2120" spans="1:15" x14ac:dyDescent="0.25">
      <c r="A2120" s="14"/>
      <c r="B2120" s="14"/>
      <c r="C2120" s="14"/>
      <c r="D2120" s="5" t="str">
        <f t="shared" si="204"/>
        <v/>
      </c>
      <c r="E2120" s="5" t="str">
        <f t="shared" si="205"/>
        <v/>
      </c>
      <c r="F2120" s="5" t="str">
        <f t="shared" si="206"/>
        <v/>
      </c>
      <c r="G2120" s="23"/>
      <c r="H2120" s="66"/>
      <c r="I2120" s="14"/>
      <c r="J2120" s="14"/>
      <c r="K2120" s="14"/>
      <c r="L2120" s="5" t="str">
        <f t="shared" si="201"/>
        <v/>
      </c>
      <c r="M2120" s="5" t="str">
        <f t="shared" si="202"/>
        <v/>
      </c>
      <c r="N2120" s="5" t="str">
        <f t="shared" si="203"/>
        <v/>
      </c>
      <c r="O2120" s="4"/>
    </row>
    <row r="2121" spans="1:15" x14ac:dyDescent="0.25">
      <c r="A2121" s="14"/>
      <c r="B2121" s="14"/>
      <c r="C2121" s="14"/>
      <c r="D2121" s="5" t="str">
        <f t="shared" si="204"/>
        <v/>
      </c>
      <c r="E2121" s="5" t="str">
        <f t="shared" si="205"/>
        <v/>
      </c>
      <c r="F2121" s="5" t="str">
        <f t="shared" si="206"/>
        <v/>
      </c>
      <c r="G2121" s="23"/>
      <c r="H2121" s="66"/>
      <c r="I2121" s="14"/>
      <c r="J2121" s="14"/>
      <c r="K2121" s="14"/>
      <c r="L2121" s="5" t="str">
        <f t="shared" si="201"/>
        <v/>
      </c>
      <c r="M2121" s="5" t="str">
        <f t="shared" si="202"/>
        <v/>
      </c>
      <c r="N2121" s="5" t="str">
        <f t="shared" si="203"/>
        <v/>
      </c>
      <c r="O2121" s="4"/>
    </row>
    <row r="2122" spans="1:15" x14ac:dyDescent="0.25">
      <c r="A2122" s="14"/>
      <c r="B2122" s="14"/>
      <c r="C2122" s="14"/>
      <c r="D2122" s="5" t="str">
        <f t="shared" si="204"/>
        <v/>
      </c>
      <c r="E2122" s="5" t="str">
        <f t="shared" si="205"/>
        <v/>
      </c>
      <c r="F2122" s="5" t="str">
        <f t="shared" si="206"/>
        <v/>
      </c>
      <c r="G2122" s="23"/>
      <c r="H2122" s="66"/>
      <c r="I2122" s="14"/>
      <c r="J2122" s="14"/>
      <c r="K2122" s="14"/>
      <c r="L2122" s="5" t="str">
        <f t="shared" si="201"/>
        <v/>
      </c>
      <c r="M2122" s="5" t="str">
        <f t="shared" si="202"/>
        <v/>
      </c>
      <c r="N2122" s="5" t="str">
        <f t="shared" si="203"/>
        <v/>
      </c>
      <c r="O2122" s="4"/>
    </row>
    <row r="2123" spans="1:15" x14ac:dyDescent="0.25">
      <c r="A2123" s="14"/>
      <c r="B2123" s="14"/>
      <c r="C2123" s="14"/>
      <c r="D2123" s="5" t="str">
        <f t="shared" si="204"/>
        <v/>
      </c>
      <c r="E2123" s="5" t="str">
        <f t="shared" si="205"/>
        <v/>
      </c>
      <c r="F2123" s="5" t="str">
        <f t="shared" si="206"/>
        <v/>
      </c>
      <c r="G2123" s="23"/>
      <c r="H2123" s="66"/>
      <c r="I2123" s="14"/>
      <c r="J2123" s="14"/>
      <c r="K2123" s="14"/>
      <c r="L2123" s="5" t="str">
        <f t="shared" si="201"/>
        <v/>
      </c>
      <c r="M2123" s="5" t="str">
        <f t="shared" si="202"/>
        <v/>
      </c>
      <c r="N2123" s="5" t="str">
        <f t="shared" si="203"/>
        <v/>
      </c>
      <c r="O2123" s="4"/>
    </row>
    <row r="2124" spans="1:15" x14ac:dyDescent="0.25">
      <c r="A2124" s="14"/>
      <c r="B2124" s="14"/>
      <c r="C2124" s="14"/>
      <c r="D2124" s="5" t="str">
        <f t="shared" si="204"/>
        <v/>
      </c>
      <c r="E2124" s="5" t="str">
        <f t="shared" si="205"/>
        <v/>
      </c>
      <c r="F2124" s="5" t="str">
        <f t="shared" si="206"/>
        <v/>
      </c>
      <c r="G2124" s="23"/>
      <c r="H2124" s="66"/>
      <c r="I2124" s="14"/>
      <c r="J2124" s="14"/>
      <c r="K2124" s="14"/>
      <c r="L2124" s="5" t="str">
        <f t="shared" si="201"/>
        <v/>
      </c>
      <c r="M2124" s="5" t="str">
        <f t="shared" si="202"/>
        <v/>
      </c>
      <c r="N2124" s="5" t="str">
        <f t="shared" si="203"/>
        <v/>
      </c>
      <c r="O2124" s="4"/>
    </row>
    <row r="2125" spans="1:15" x14ac:dyDescent="0.25">
      <c r="A2125" s="14"/>
      <c r="B2125" s="14"/>
      <c r="C2125" s="14"/>
      <c r="D2125" s="5" t="str">
        <f t="shared" si="204"/>
        <v/>
      </c>
      <c r="E2125" s="5" t="str">
        <f t="shared" si="205"/>
        <v/>
      </c>
      <c r="F2125" s="5" t="str">
        <f t="shared" si="206"/>
        <v/>
      </c>
      <c r="G2125" s="23"/>
      <c r="H2125" s="66"/>
      <c r="I2125" s="14"/>
      <c r="J2125" s="14"/>
      <c r="K2125" s="14"/>
      <c r="L2125" s="5" t="str">
        <f t="shared" si="201"/>
        <v/>
      </c>
      <c r="M2125" s="5" t="str">
        <f t="shared" si="202"/>
        <v/>
      </c>
      <c r="N2125" s="5" t="str">
        <f t="shared" si="203"/>
        <v/>
      </c>
      <c r="O2125" s="4"/>
    </row>
    <row r="2126" spans="1:15" x14ac:dyDescent="0.25">
      <c r="A2126" s="14"/>
      <c r="B2126" s="14"/>
      <c r="C2126" s="14"/>
      <c r="D2126" s="5" t="str">
        <f t="shared" si="204"/>
        <v/>
      </c>
      <c r="E2126" s="5" t="str">
        <f t="shared" si="205"/>
        <v/>
      </c>
      <c r="F2126" s="5" t="str">
        <f t="shared" si="206"/>
        <v/>
      </c>
      <c r="G2126" s="23"/>
      <c r="H2126" s="66"/>
      <c r="I2126" s="14"/>
      <c r="J2126" s="14"/>
      <c r="K2126" s="14"/>
      <c r="L2126" s="5" t="str">
        <f t="shared" si="201"/>
        <v/>
      </c>
      <c r="M2126" s="5" t="str">
        <f t="shared" si="202"/>
        <v/>
      </c>
      <c r="N2126" s="5" t="str">
        <f t="shared" si="203"/>
        <v/>
      </c>
      <c r="O2126" s="4"/>
    </row>
    <row r="2127" spans="1:15" x14ac:dyDescent="0.25">
      <c r="A2127" s="14"/>
      <c r="B2127" s="14"/>
      <c r="C2127" s="14"/>
      <c r="D2127" s="5" t="str">
        <f t="shared" si="204"/>
        <v/>
      </c>
      <c r="E2127" s="5" t="str">
        <f t="shared" si="205"/>
        <v/>
      </c>
      <c r="F2127" s="5" t="str">
        <f t="shared" si="206"/>
        <v/>
      </c>
      <c r="G2127" s="23"/>
      <c r="H2127" s="66"/>
      <c r="I2127" s="14"/>
      <c r="J2127" s="14"/>
      <c r="K2127" s="14"/>
      <c r="L2127" s="5" t="str">
        <f t="shared" si="201"/>
        <v/>
      </c>
      <c r="M2127" s="5" t="str">
        <f t="shared" si="202"/>
        <v/>
      </c>
      <c r="N2127" s="5" t="str">
        <f t="shared" si="203"/>
        <v/>
      </c>
      <c r="O2127" s="4"/>
    </row>
    <row r="2128" spans="1:15" x14ac:dyDescent="0.25">
      <c r="A2128" s="14"/>
      <c r="B2128" s="14"/>
      <c r="C2128" s="14"/>
      <c r="D2128" s="5" t="str">
        <f t="shared" si="204"/>
        <v/>
      </c>
      <c r="E2128" s="5" t="str">
        <f t="shared" si="205"/>
        <v/>
      </c>
      <c r="F2128" s="5" t="str">
        <f t="shared" si="206"/>
        <v/>
      </c>
      <c r="G2128" s="23"/>
      <c r="H2128" s="66"/>
      <c r="I2128" s="14"/>
      <c r="J2128" s="14"/>
      <c r="K2128" s="14"/>
      <c r="L2128" s="5" t="str">
        <f t="shared" si="201"/>
        <v/>
      </c>
      <c r="M2128" s="5" t="str">
        <f t="shared" si="202"/>
        <v/>
      </c>
      <c r="N2128" s="5" t="str">
        <f t="shared" si="203"/>
        <v/>
      </c>
      <c r="O2128" s="4"/>
    </row>
    <row r="2129" spans="1:15" x14ac:dyDescent="0.25">
      <c r="A2129" s="14"/>
      <c r="B2129" s="14"/>
      <c r="C2129" s="14"/>
      <c r="D2129" s="5" t="str">
        <f t="shared" si="204"/>
        <v/>
      </c>
      <c r="E2129" s="5" t="str">
        <f t="shared" si="205"/>
        <v/>
      </c>
      <c r="F2129" s="5" t="str">
        <f t="shared" si="206"/>
        <v/>
      </c>
      <c r="G2129" s="23"/>
      <c r="H2129" s="66"/>
      <c r="I2129" s="14"/>
      <c r="J2129" s="14"/>
      <c r="K2129" s="14"/>
      <c r="L2129" s="5" t="str">
        <f t="shared" ref="L2129:L2192" si="207">IFERROR(IF(I2129&lt;&gt;"",(((J2129-J2128)*$X$4/(I2129-I2128)))*$X$5,""),"")</f>
        <v/>
      </c>
      <c r="M2129" s="5" t="str">
        <f t="shared" ref="M2129:M2192" si="208">IFERROR(IF(I2129&lt;&gt;"",(((K2129-K2128)*$X$4/(I2129-I2128)))*$X$5,""),"")</f>
        <v/>
      </c>
      <c r="N2129" s="5" t="str">
        <f t="shared" ref="N2129:N2192" si="209">IFERROR(IF(I2129&lt;&gt;"",((ACOS((COS(RADIANS(J2128))*COS(RADIANS(J2129)))+(SIN(RADIANS(J2128))*SIN(RADIANS(J2129)))*COS(RADIANS(K2129-K2128)))*180/PI()*($X$4/(I2129-I2128))))*$X$5,""),"")</f>
        <v/>
      </c>
      <c r="O2129" s="4"/>
    </row>
    <row r="2130" spans="1:15" x14ac:dyDescent="0.25">
      <c r="A2130" s="14"/>
      <c r="B2130" s="14"/>
      <c r="C2130" s="14"/>
      <c r="D2130" s="5" t="str">
        <f t="shared" si="204"/>
        <v/>
      </c>
      <c r="E2130" s="5" t="str">
        <f t="shared" si="205"/>
        <v/>
      </c>
      <c r="F2130" s="5" t="str">
        <f t="shared" si="206"/>
        <v/>
      </c>
      <c r="G2130" s="23"/>
      <c r="H2130" s="66"/>
      <c r="I2130" s="14"/>
      <c r="J2130" s="14"/>
      <c r="K2130" s="14"/>
      <c r="L2130" s="5" t="str">
        <f t="shared" si="207"/>
        <v/>
      </c>
      <c r="M2130" s="5" t="str">
        <f t="shared" si="208"/>
        <v/>
      </c>
      <c r="N2130" s="5" t="str">
        <f t="shared" si="209"/>
        <v/>
      </c>
      <c r="O2130" s="4"/>
    </row>
    <row r="2131" spans="1:15" x14ac:dyDescent="0.25">
      <c r="A2131" s="14"/>
      <c r="B2131" s="14"/>
      <c r="C2131" s="14"/>
      <c r="D2131" s="5" t="str">
        <f t="shared" si="204"/>
        <v/>
      </c>
      <c r="E2131" s="5" t="str">
        <f t="shared" si="205"/>
        <v/>
      </c>
      <c r="F2131" s="5" t="str">
        <f t="shared" si="206"/>
        <v/>
      </c>
      <c r="G2131" s="23"/>
      <c r="H2131" s="66"/>
      <c r="I2131" s="14"/>
      <c r="J2131" s="14"/>
      <c r="K2131" s="14"/>
      <c r="L2131" s="5" t="str">
        <f t="shared" si="207"/>
        <v/>
      </c>
      <c r="M2131" s="5" t="str">
        <f t="shared" si="208"/>
        <v/>
      </c>
      <c r="N2131" s="5" t="str">
        <f t="shared" si="209"/>
        <v/>
      </c>
      <c r="O2131" s="4"/>
    </row>
    <row r="2132" spans="1:15" x14ac:dyDescent="0.25">
      <c r="A2132" s="14"/>
      <c r="B2132" s="14"/>
      <c r="C2132" s="14"/>
      <c r="D2132" s="5" t="str">
        <f t="shared" si="204"/>
        <v/>
      </c>
      <c r="E2132" s="5" t="str">
        <f t="shared" si="205"/>
        <v/>
      </c>
      <c r="F2132" s="5" t="str">
        <f t="shared" si="206"/>
        <v/>
      </c>
      <c r="G2132" s="23"/>
      <c r="H2132" s="66"/>
      <c r="I2132" s="14"/>
      <c r="J2132" s="14"/>
      <c r="K2132" s="14"/>
      <c r="L2132" s="5" t="str">
        <f t="shared" si="207"/>
        <v/>
      </c>
      <c r="M2132" s="5" t="str">
        <f t="shared" si="208"/>
        <v/>
      </c>
      <c r="N2132" s="5" t="str">
        <f t="shared" si="209"/>
        <v/>
      </c>
      <c r="O2132" s="4"/>
    </row>
    <row r="2133" spans="1:15" x14ac:dyDescent="0.25">
      <c r="A2133" s="14"/>
      <c r="B2133" s="14"/>
      <c r="C2133" s="14"/>
      <c r="D2133" s="5" t="str">
        <f t="shared" si="204"/>
        <v/>
      </c>
      <c r="E2133" s="5" t="str">
        <f t="shared" si="205"/>
        <v/>
      </c>
      <c r="F2133" s="5" t="str">
        <f t="shared" si="206"/>
        <v/>
      </c>
      <c r="G2133" s="23"/>
      <c r="H2133" s="66"/>
      <c r="I2133" s="14"/>
      <c r="J2133" s="14"/>
      <c r="K2133" s="14"/>
      <c r="L2133" s="5" t="str">
        <f t="shared" si="207"/>
        <v/>
      </c>
      <c r="M2133" s="5" t="str">
        <f t="shared" si="208"/>
        <v/>
      </c>
      <c r="N2133" s="5" t="str">
        <f t="shared" si="209"/>
        <v/>
      </c>
      <c r="O2133" s="4"/>
    </row>
    <row r="2134" spans="1:15" x14ac:dyDescent="0.25">
      <c r="A2134" s="14"/>
      <c r="B2134" s="14"/>
      <c r="C2134" s="14"/>
      <c r="D2134" s="5" t="str">
        <f t="shared" si="204"/>
        <v/>
      </c>
      <c r="E2134" s="5" t="str">
        <f t="shared" si="205"/>
        <v/>
      </c>
      <c r="F2134" s="5" t="str">
        <f t="shared" si="206"/>
        <v/>
      </c>
      <c r="G2134" s="23"/>
      <c r="H2134" s="66"/>
      <c r="I2134" s="14"/>
      <c r="J2134" s="14"/>
      <c r="K2134" s="14"/>
      <c r="L2134" s="5" t="str">
        <f t="shared" si="207"/>
        <v/>
      </c>
      <c r="M2134" s="5" t="str">
        <f t="shared" si="208"/>
        <v/>
      </c>
      <c r="N2134" s="5" t="str">
        <f t="shared" si="209"/>
        <v/>
      </c>
      <c r="O2134" s="4"/>
    </row>
    <row r="2135" spans="1:15" x14ac:dyDescent="0.25">
      <c r="A2135" s="14"/>
      <c r="B2135" s="14"/>
      <c r="C2135" s="14"/>
      <c r="D2135" s="5" t="str">
        <f t="shared" si="204"/>
        <v/>
      </c>
      <c r="E2135" s="5" t="str">
        <f t="shared" si="205"/>
        <v/>
      </c>
      <c r="F2135" s="5" t="str">
        <f t="shared" si="206"/>
        <v/>
      </c>
      <c r="G2135" s="23"/>
      <c r="H2135" s="66"/>
      <c r="I2135" s="14"/>
      <c r="J2135" s="14"/>
      <c r="K2135" s="14"/>
      <c r="L2135" s="5" t="str">
        <f t="shared" si="207"/>
        <v/>
      </c>
      <c r="M2135" s="5" t="str">
        <f t="shared" si="208"/>
        <v/>
      </c>
      <c r="N2135" s="5" t="str">
        <f t="shared" si="209"/>
        <v/>
      </c>
      <c r="O2135" s="4"/>
    </row>
    <row r="2136" spans="1:15" x14ac:dyDescent="0.25">
      <c r="A2136" s="14"/>
      <c r="B2136" s="14"/>
      <c r="C2136" s="14"/>
      <c r="D2136" s="5" t="str">
        <f t="shared" si="204"/>
        <v/>
      </c>
      <c r="E2136" s="5" t="str">
        <f t="shared" si="205"/>
        <v/>
      </c>
      <c r="F2136" s="5" t="str">
        <f t="shared" si="206"/>
        <v/>
      </c>
      <c r="G2136" s="23"/>
      <c r="H2136" s="66"/>
      <c r="I2136" s="14"/>
      <c r="J2136" s="14"/>
      <c r="K2136" s="14"/>
      <c r="L2136" s="5" t="str">
        <f t="shared" si="207"/>
        <v/>
      </c>
      <c r="M2136" s="5" t="str">
        <f t="shared" si="208"/>
        <v/>
      </c>
      <c r="N2136" s="5" t="str">
        <f t="shared" si="209"/>
        <v/>
      </c>
      <c r="O2136" s="4"/>
    </row>
    <row r="2137" spans="1:15" x14ac:dyDescent="0.25">
      <c r="A2137" s="14"/>
      <c r="B2137" s="14"/>
      <c r="C2137" s="14"/>
      <c r="D2137" s="5" t="str">
        <f t="shared" ref="D2137:D2200" si="210">IFERROR( IF(A2137&lt;&gt;"",((B2137-B2136)*$X$4/(A2137-A2136))*$X$5,""),"")</f>
        <v/>
      </c>
      <c r="E2137" s="5" t="str">
        <f t="shared" ref="E2137:E2200" si="211">IFERROR(IF(A2137&lt;&gt;"",((C2137-C2136)*$X$4/(A2137-A2136))*$X$5,""),"")</f>
        <v/>
      </c>
      <c r="F2137" s="5" t="str">
        <f t="shared" ref="F2137:F2200" si="212">IFERROR(IF(A2137&lt;&gt;"",((ACOS((COS(RADIANS(B2136))*COS(RADIANS(B2137)))+(SIN(RADIANS(B2136))*SIN(RADIANS(B2137)))*COS(RADIANS(C2137-C2136)))*180/PI()*($X$4/(A2137-A2136))))*$X$5,""),"")</f>
        <v/>
      </c>
      <c r="G2137" s="23"/>
      <c r="H2137" s="66"/>
      <c r="I2137" s="14"/>
      <c r="J2137" s="14"/>
      <c r="K2137" s="14"/>
      <c r="L2137" s="5" t="str">
        <f t="shared" si="207"/>
        <v/>
      </c>
      <c r="M2137" s="5" t="str">
        <f t="shared" si="208"/>
        <v/>
      </c>
      <c r="N2137" s="5" t="str">
        <f t="shared" si="209"/>
        <v/>
      </c>
      <c r="O2137" s="4"/>
    </row>
    <row r="2138" spans="1:15" x14ac:dyDescent="0.25">
      <c r="A2138" s="14"/>
      <c r="B2138" s="14"/>
      <c r="C2138" s="14"/>
      <c r="D2138" s="5" t="str">
        <f t="shared" si="210"/>
        <v/>
      </c>
      <c r="E2138" s="5" t="str">
        <f t="shared" si="211"/>
        <v/>
      </c>
      <c r="F2138" s="5" t="str">
        <f t="shared" si="212"/>
        <v/>
      </c>
      <c r="G2138" s="23"/>
      <c r="H2138" s="66"/>
      <c r="I2138" s="14"/>
      <c r="J2138" s="14"/>
      <c r="K2138" s="14"/>
      <c r="L2138" s="5" t="str">
        <f t="shared" si="207"/>
        <v/>
      </c>
      <c r="M2138" s="5" t="str">
        <f t="shared" si="208"/>
        <v/>
      </c>
      <c r="N2138" s="5" t="str">
        <f t="shared" si="209"/>
        <v/>
      </c>
      <c r="O2138" s="4"/>
    </row>
    <row r="2139" spans="1:15" x14ac:dyDescent="0.25">
      <c r="A2139" s="14"/>
      <c r="B2139" s="14"/>
      <c r="C2139" s="14"/>
      <c r="D2139" s="5" t="str">
        <f t="shared" si="210"/>
        <v/>
      </c>
      <c r="E2139" s="5" t="str">
        <f t="shared" si="211"/>
        <v/>
      </c>
      <c r="F2139" s="5" t="str">
        <f t="shared" si="212"/>
        <v/>
      </c>
      <c r="G2139" s="23"/>
      <c r="H2139" s="66"/>
      <c r="I2139" s="14"/>
      <c r="J2139" s="14"/>
      <c r="K2139" s="14"/>
      <c r="L2139" s="5" t="str">
        <f t="shared" si="207"/>
        <v/>
      </c>
      <c r="M2139" s="5" t="str">
        <f t="shared" si="208"/>
        <v/>
      </c>
      <c r="N2139" s="5" t="str">
        <f t="shared" si="209"/>
        <v/>
      </c>
      <c r="O2139" s="4"/>
    </row>
    <row r="2140" spans="1:15" x14ac:dyDescent="0.25">
      <c r="A2140" s="14"/>
      <c r="B2140" s="14"/>
      <c r="C2140" s="14"/>
      <c r="D2140" s="5" t="str">
        <f t="shared" si="210"/>
        <v/>
      </c>
      <c r="E2140" s="5" t="str">
        <f t="shared" si="211"/>
        <v/>
      </c>
      <c r="F2140" s="5" t="str">
        <f t="shared" si="212"/>
        <v/>
      </c>
      <c r="G2140" s="23"/>
      <c r="H2140" s="66"/>
      <c r="I2140" s="14"/>
      <c r="J2140" s="14"/>
      <c r="K2140" s="14"/>
      <c r="L2140" s="5" t="str">
        <f t="shared" si="207"/>
        <v/>
      </c>
      <c r="M2140" s="5" t="str">
        <f t="shared" si="208"/>
        <v/>
      </c>
      <c r="N2140" s="5" t="str">
        <f t="shared" si="209"/>
        <v/>
      </c>
      <c r="O2140" s="4"/>
    </row>
    <row r="2141" spans="1:15" x14ac:dyDescent="0.25">
      <c r="A2141" s="14"/>
      <c r="B2141" s="14"/>
      <c r="C2141" s="14"/>
      <c r="D2141" s="5" t="str">
        <f t="shared" si="210"/>
        <v/>
      </c>
      <c r="E2141" s="5" t="str">
        <f t="shared" si="211"/>
        <v/>
      </c>
      <c r="F2141" s="5" t="str">
        <f t="shared" si="212"/>
        <v/>
      </c>
      <c r="G2141" s="23"/>
      <c r="H2141" s="66"/>
      <c r="I2141" s="14"/>
      <c r="J2141" s="14"/>
      <c r="K2141" s="14"/>
      <c r="L2141" s="5" t="str">
        <f t="shared" si="207"/>
        <v/>
      </c>
      <c r="M2141" s="5" t="str">
        <f t="shared" si="208"/>
        <v/>
      </c>
      <c r="N2141" s="5" t="str">
        <f t="shared" si="209"/>
        <v/>
      </c>
      <c r="O2141" s="4"/>
    </row>
    <row r="2142" spans="1:15" x14ac:dyDescent="0.25">
      <c r="A2142" s="14"/>
      <c r="B2142" s="14"/>
      <c r="C2142" s="14"/>
      <c r="D2142" s="5" t="str">
        <f t="shared" si="210"/>
        <v/>
      </c>
      <c r="E2142" s="5" t="str">
        <f t="shared" si="211"/>
        <v/>
      </c>
      <c r="F2142" s="5" t="str">
        <f t="shared" si="212"/>
        <v/>
      </c>
      <c r="G2142" s="23"/>
      <c r="H2142" s="66"/>
      <c r="I2142" s="14"/>
      <c r="J2142" s="14"/>
      <c r="K2142" s="14"/>
      <c r="L2142" s="5" t="str">
        <f t="shared" si="207"/>
        <v/>
      </c>
      <c r="M2142" s="5" t="str">
        <f t="shared" si="208"/>
        <v/>
      </c>
      <c r="N2142" s="5" t="str">
        <f t="shared" si="209"/>
        <v/>
      </c>
      <c r="O2142" s="4"/>
    </row>
    <row r="2143" spans="1:15" x14ac:dyDescent="0.25">
      <c r="A2143" s="14"/>
      <c r="B2143" s="14"/>
      <c r="C2143" s="14"/>
      <c r="D2143" s="5" t="str">
        <f t="shared" si="210"/>
        <v/>
      </c>
      <c r="E2143" s="5" t="str">
        <f t="shared" si="211"/>
        <v/>
      </c>
      <c r="F2143" s="5" t="str">
        <f t="shared" si="212"/>
        <v/>
      </c>
      <c r="G2143" s="23"/>
      <c r="H2143" s="66"/>
      <c r="I2143" s="14"/>
      <c r="J2143" s="14"/>
      <c r="K2143" s="14"/>
      <c r="L2143" s="5" t="str">
        <f t="shared" si="207"/>
        <v/>
      </c>
      <c r="M2143" s="5" t="str">
        <f t="shared" si="208"/>
        <v/>
      </c>
      <c r="N2143" s="5" t="str">
        <f t="shared" si="209"/>
        <v/>
      </c>
      <c r="O2143" s="4"/>
    </row>
    <row r="2144" spans="1:15" x14ac:dyDescent="0.25">
      <c r="A2144" s="14"/>
      <c r="B2144" s="14"/>
      <c r="C2144" s="14"/>
      <c r="D2144" s="5" t="str">
        <f t="shared" si="210"/>
        <v/>
      </c>
      <c r="E2144" s="5" t="str">
        <f t="shared" si="211"/>
        <v/>
      </c>
      <c r="F2144" s="5" t="str">
        <f t="shared" si="212"/>
        <v/>
      </c>
      <c r="G2144" s="23"/>
      <c r="H2144" s="66"/>
      <c r="I2144" s="14"/>
      <c r="J2144" s="14"/>
      <c r="K2144" s="14"/>
      <c r="L2144" s="5" t="str">
        <f t="shared" si="207"/>
        <v/>
      </c>
      <c r="M2144" s="5" t="str">
        <f t="shared" si="208"/>
        <v/>
      </c>
      <c r="N2144" s="5" t="str">
        <f t="shared" si="209"/>
        <v/>
      </c>
      <c r="O2144" s="4"/>
    </row>
    <row r="2145" spans="1:15" x14ac:dyDescent="0.25">
      <c r="A2145" s="14"/>
      <c r="B2145" s="14"/>
      <c r="C2145" s="14"/>
      <c r="D2145" s="5" t="str">
        <f t="shared" si="210"/>
        <v/>
      </c>
      <c r="E2145" s="5" t="str">
        <f t="shared" si="211"/>
        <v/>
      </c>
      <c r="F2145" s="5" t="str">
        <f t="shared" si="212"/>
        <v/>
      </c>
      <c r="G2145" s="23"/>
      <c r="H2145" s="66"/>
      <c r="I2145" s="14"/>
      <c r="J2145" s="14"/>
      <c r="K2145" s="14"/>
      <c r="L2145" s="5" t="str">
        <f t="shared" si="207"/>
        <v/>
      </c>
      <c r="M2145" s="5" t="str">
        <f t="shared" si="208"/>
        <v/>
      </c>
      <c r="N2145" s="5" t="str">
        <f t="shared" si="209"/>
        <v/>
      </c>
      <c r="O2145" s="4"/>
    </row>
    <row r="2146" spans="1:15" x14ac:dyDescent="0.25">
      <c r="A2146" s="14"/>
      <c r="B2146" s="14"/>
      <c r="C2146" s="14"/>
      <c r="D2146" s="5" t="str">
        <f t="shared" si="210"/>
        <v/>
      </c>
      <c r="E2146" s="5" t="str">
        <f t="shared" si="211"/>
        <v/>
      </c>
      <c r="F2146" s="5" t="str">
        <f t="shared" si="212"/>
        <v/>
      </c>
      <c r="G2146" s="23"/>
      <c r="H2146" s="66"/>
      <c r="I2146" s="14"/>
      <c r="J2146" s="14"/>
      <c r="K2146" s="14"/>
      <c r="L2146" s="5" t="str">
        <f t="shared" si="207"/>
        <v/>
      </c>
      <c r="M2146" s="5" t="str">
        <f t="shared" si="208"/>
        <v/>
      </c>
      <c r="N2146" s="5" t="str">
        <f t="shared" si="209"/>
        <v/>
      </c>
      <c r="O2146" s="4"/>
    </row>
    <row r="2147" spans="1:15" x14ac:dyDescent="0.25">
      <c r="A2147" s="14"/>
      <c r="B2147" s="14"/>
      <c r="C2147" s="14"/>
      <c r="D2147" s="5" t="str">
        <f t="shared" si="210"/>
        <v/>
      </c>
      <c r="E2147" s="5" t="str">
        <f t="shared" si="211"/>
        <v/>
      </c>
      <c r="F2147" s="5" t="str">
        <f t="shared" si="212"/>
        <v/>
      </c>
      <c r="G2147" s="23"/>
      <c r="H2147" s="66"/>
      <c r="I2147" s="14"/>
      <c r="J2147" s="14"/>
      <c r="K2147" s="14"/>
      <c r="L2147" s="5" t="str">
        <f t="shared" si="207"/>
        <v/>
      </c>
      <c r="M2147" s="5" t="str">
        <f t="shared" si="208"/>
        <v/>
      </c>
      <c r="N2147" s="5" t="str">
        <f t="shared" si="209"/>
        <v/>
      </c>
      <c r="O2147" s="4"/>
    </row>
    <row r="2148" spans="1:15" x14ac:dyDescent="0.25">
      <c r="A2148" s="14"/>
      <c r="B2148" s="14"/>
      <c r="C2148" s="14"/>
      <c r="D2148" s="5" t="str">
        <f t="shared" si="210"/>
        <v/>
      </c>
      <c r="E2148" s="5" t="str">
        <f t="shared" si="211"/>
        <v/>
      </c>
      <c r="F2148" s="5" t="str">
        <f t="shared" si="212"/>
        <v/>
      </c>
      <c r="G2148" s="23"/>
      <c r="H2148" s="66"/>
      <c r="I2148" s="14"/>
      <c r="J2148" s="14"/>
      <c r="K2148" s="14"/>
      <c r="L2148" s="5" t="str">
        <f t="shared" si="207"/>
        <v/>
      </c>
      <c r="M2148" s="5" t="str">
        <f t="shared" si="208"/>
        <v/>
      </c>
      <c r="N2148" s="5" t="str">
        <f t="shared" si="209"/>
        <v/>
      </c>
      <c r="O2148" s="4"/>
    </row>
    <row r="2149" spans="1:15" x14ac:dyDescent="0.25">
      <c r="A2149" s="14"/>
      <c r="B2149" s="14"/>
      <c r="C2149" s="14"/>
      <c r="D2149" s="5" t="str">
        <f t="shared" si="210"/>
        <v/>
      </c>
      <c r="E2149" s="5" t="str">
        <f t="shared" si="211"/>
        <v/>
      </c>
      <c r="F2149" s="5" t="str">
        <f t="shared" si="212"/>
        <v/>
      </c>
      <c r="G2149" s="23"/>
      <c r="H2149" s="66"/>
      <c r="I2149" s="14"/>
      <c r="J2149" s="14"/>
      <c r="K2149" s="14"/>
      <c r="L2149" s="5" t="str">
        <f t="shared" si="207"/>
        <v/>
      </c>
      <c r="M2149" s="5" t="str">
        <f t="shared" si="208"/>
        <v/>
      </c>
      <c r="N2149" s="5" t="str">
        <f t="shared" si="209"/>
        <v/>
      </c>
      <c r="O2149" s="4"/>
    </row>
    <row r="2150" spans="1:15" x14ac:dyDescent="0.25">
      <c r="A2150" s="14"/>
      <c r="B2150" s="14"/>
      <c r="C2150" s="14"/>
      <c r="D2150" s="5" t="str">
        <f t="shared" si="210"/>
        <v/>
      </c>
      <c r="E2150" s="5" t="str">
        <f t="shared" si="211"/>
        <v/>
      </c>
      <c r="F2150" s="5" t="str">
        <f t="shared" si="212"/>
        <v/>
      </c>
      <c r="G2150" s="23"/>
      <c r="H2150" s="66"/>
      <c r="I2150" s="14"/>
      <c r="J2150" s="14"/>
      <c r="K2150" s="14"/>
      <c r="L2150" s="5" t="str">
        <f t="shared" si="207"/>
        <v/>
      </c>
      <c r="M2150" s="5" t="str">
        <f t="shared" si="208"/>
        <v/>
      </c>
      <c r="N2150" s="5" t="str">
        <f t="shared" si="209"/>
        <v/>
      </c>
      <c r="O2150" s="4"/>
    </row>
    <row r="2151" spans="1:15" x14ac:dyDescent="0.25">
      <c r="A2151" s="14"/>
      <c r="B2151" s="14"/>
      <c r="C2151" s="14"/>
      <c r="D2151" s="5" t="str">
        <f t="shared" si="210"/>
        <v/>
      </c>
      <c r="E2151" s="5" t="str">
        <f t="shared" si="211"/>
        <v/>
      </c>
      <c r="F2151" s="5" t="str">
        <f t="shared" si="212"/>
        <v/>
      </c>
      <c r="G2151" s="23"/>
      <c r="H2151" s="66"/>
      <c r="I2151" s="14"/>
      <c r="J2151" s="14"/>
      <c r="K2151" s="14"/>
      <c r="L2151" s="5" t="str">
        <f t="shared" si="207"/>
        <v/>
      </c>
      <c r="M2151" s="5" t="str">
        <f t="shared" si="208"/>
        <v/>
      </c>
      <c r="N2151" s="5" t="str">
        <f t="shared" si="209"/>
        <v/>
      </c>
      <c r="O2151" s="4"/>
    </row>
    <row r="2152" spans="1:15" x14ac:dyDescent="0.25">
      <c r="A2152" s="14"/>
      <c r="B2152" s="14"/>
      <c r="C2152" s="14"/>
      <c r="D2152" s="5" t="str">
        <f t="shared" si="210"/>
        <v/>
      </c>
      <c r="E2152" s="5" t="str">
        <f t="shared" si="211"/>
        <v/>
      </c>
      <c r="F2152" s="5" t="str">
        <f t="shared" si="212"/>
        <v/>
      </c>
      <c r="G2152" s="23"/>
      <c r="H2152" s="66"/>
      <c r="I2152" s="14"/>
      <c r="J2152" s="14"/>
      <c r="K2152" s="14"/>
      <c r="L2152" s="5" t="str">
        <f t="shared" si="207"/>
        <v/>
      </c>
      <c r="M2152" s="5" t="str">
        <f t="shared" si="208"/>
        <v/>
      </c>
      <c r="N2152" s="5" t="str">
        <f t="shared" si="209"/>
        <v/>
      </c>
      <c r="O2152" s="4"/>
    </row>
    <row r="2153" spans="1:15" x14ac:dyDescent="0.25">
      <c r="A2153" s="14"/>
      <c r="B2153" s="14"/>
      <c r="C2153" s="14"/>
      <c r="D2153" s="5" t="str">
        <f t="shared" si="210"/>
        <v/>
      </c>
      <c r="E2153" s="5" t="str">
        <f t="shared" si="211"/>
        <v/>
      </c>
      <c r="F2153" s="5" t="str">
        <f t="shared" si="212"/>
        <v/>
      </c>
      <c r="G2153" s="23"/>
      <c r="H2153" s="66"/>
      <c r="I2153" s="14"/>
      <c r="J2153" s="14"/>
      <c r="K2153" s="14"/>
      <c r="L2153" s="5" t="str">
        <f t="shared" si="207"/>
        <v/>
      </c>
      <c r="M2153" s="5" t="str">
        <f t="shared" si="208"/>
        <v/>
      </c>
      <c r="N2153" s="5" t="str">
        <f t="shared" si="209"/>
        <v/>
      </c>
      <c r="O2153" s="4"/>
    </row>
    <row r="2154" spans="1:15" x14ac:dyDescent="0.25">
      <c r="A2154" s="14"/>
      <c r="B2154" s="14"/>
      <c r="C2154" s="14"/>
      <c r="D2154" s="5" t="str">
        <f t="shared" si="210"/>
        <v/>
      </c>
      <c r="E2154" s="5" t="str">
        <f t="shared" si="211"/>
        <v/>
      </c>
      <c r="F2154" s="5" t="str">
        <f t="shared" si="212"/>
        <v/>
      </c>
      <c r="G2154" s="23"/>
      <c r="H2154" s="66"/>
      <c r="I2154" s="14"/>
      <c r="J2154" s="14"/>
      <c r="K2154" s="14"/>
      <c r="L2154" s="5" t="str">
        <f t="shared" si="207"/>
        <v/>
      </c>
      <c r="M2154" s="5" t="str">
        <f t="shared" si="208"/>
        <v/>
      </c>
      <c r="N2154" s="5" t="str">
        <f t="shared" si="209"/>
        <v/>
      </c>
      <c r="O2154" s="4"/>
    </row>
    <row r="2155" spans="1:15" x14ac:dyDescent="0.25">
      <c r="A2155" s="14"/>
      <c r="B2155" s="14"/>
      <c r="C2155" s="14"/>
      <c r="D2155" s="5" t="str">
        <f t="shared" si="210"/>
        <v/>
      </c>
      <c r="E2155" s="5" t="str">
        <f t="shared" si="211"/>
        <v/>
      </c>
      <c r="F2155" s="5" t="str">
        <f t="shared" si="212"/>
        <v/>
      </c>
      <c r="G2155" s="23"/>
      <c r="H2155" s="66"/>
      <c r="I2155" s="14"/>
      <c r="J2155" s="14"/>
      <c r="K2155" s="14"/>
      <c r="L2155" s="5" t="str">
        <f t="shared" si="207"/>
        <v/>
      </c>
      <c r="M2155" s="5" t="str">
        <f t="shared" si="208"/>
        <v/>
      </c>
      <c r="N2155" s="5" t="str">
        <f t="shared" si="209"/>
        <v/>
      </c>
      <c r="O2155" s="4"/>
    </row>
    <row r="2156" spans="1:15" x14ac:dyDescent="0.25">
      <c r="A2156" s="14"/>
      <c r="B2156" s="14"/>
      <c r="C2156" s="14"/>
      <c r="D2156" s="5" t="str">
        <f t="shared" si="210"/>
        <v/>
      </c>
      <c r="E2156" s="5" t="str">
        <f t="shared" si="211"/>
        <v/>
      </c>
      <c r="F2156" s="5" t="str">
        <f t="shared" si="212"/>
        <v/>
      </c>
      <c r="G2156" s="23"/>
      <c r="H2156" s="66"/>
      <c r="I2156" s="14"/>
      <c r="J2156" s="14"/>
      <c r="K2156" s="14"/>
      <c r="L2156" s="5" t="str">
        <f t="shared" si="207"/>
        <v/>
      </c>
      <c r="M2156" s="5" t="str">
        <f t="shared" si="208"/>
        <v/>
      </c>
      <c r="N2156" s="5" t="str">
        <f t="shared" si="209"/>
        <v/>
      </c>
      <c r="O2156" s="4"/>
    </row>
    <row r="2157" spans="1:15" x14ac:dyDescent="0.25">
      <c r="A2157" s="14"/>
      <c r="B2157" s="14"/>
      <c r="C2157" s="14"/>
      <c r="D2157" s="5" t="str">
        <f t="shared" si="210"/>
        <v/>
      </c>
      <c r="E2157" s="5" t="str">
        <f t="shared" si="211"/>
        <v/>
      </c>
      <c r="F2157" s="5" t="str">
        <f t="shared" si="212"/>
        <v/>
      </c>
      <c r="G2157" s="23"/>
      <c r="H2157" s="66"/>
      <c r="I2157" s="14"/>
      <c r="J2157" s="14"/>
      <c r="K2157" s="14"/>
      <c r="L2157" s="5" t="str">
        <f t="shared" si="207"/>
        <v/>
      </c>
      <c r="M2157" s="5" t="str">
        <f t="shared" si="208"/>
        <v/>
      </c>
      <c r="N2157" s="5" t="str">
        <f t="shared" si="209"/>
        <v/>
      </c>
      <c r="O2157" s="4"/>
    </row>
    <row r="2158" spans="1:15" x14ac:dyDescent="0.25">
      <c r="A2158" s="14"/>
      <c r="B2158" s="14"/>
      <c r="C2158" s="14"/>
      <c r="D2158" s="5" t="str">
        <f t="shared" si="210"/>
        <v/>
      </c>
      <c r="E2158" s="5" t="str">
        <f t="shared" si="211"/>
        <v/>
      </c>
      <c r="F2158" s="5" t="str">
        <f t="shared" si="212"/>
        <v/>
      </c>
      <c r="G2158" s="23"/>
      <c r="H2158" s="66"/>
      <c r="I2158" s="14"/>
      <c r="J2158" s="14"/>
      <c r="K2158" s="14"/>
      <c r="L2158" s="5" t="str">
        <f t="shared" si="207"/>
        <v/>
      </c>
      <c r="M2158" s="5" t="str">
        <f t="shared" si="208"/>
        <v/>
      </c>
      <c r="N2158" s="5" t="str">
        <f t="shared" si="209"/>
        <v/>
      </c>
      <c r="O2158" s="4"/>
    </row>
    <row r="2159" spans="1:15" x14ac:dyDescent="0.25">
      <c r="A2159" s="14"/>
      <c r="B2159" s="14"/>
      <c r="C2159" s="14"/>
      <c r="D2159" s="5" t="str">
        <f t="shared" si="210"/>
        <v/>
      </c>
      <c r="E2159" s="5" t="str">
        <f t="shared" si="211"/>
        <v/>
      </c>
      <c r="F2159" s="5" t="str">
        <f t="shared" si="212"/>
        <v/>
      </c>
      <c r="G2159" s="23"/>
      <c r="H2159" s="66"/>
      <c r="I2159" s="14"/>
      <c r="J2159" s="14"/>
      <c r="K2159" s="14"/>
      <c r="L2159" s="5" t="str">
        <f t="shared" si="207"/>
        <v/>
      </c>
      <c r="M2159" s="5" t="str">
        <f t="shared" si="208"/>
        <v/>
      </c>
      <c r="N2159" s="5" t="str">
        <f t="shared" si="209"/>
        <v/>
      </c>
      <c r="O2159" s="4"/>
    </row>
    <row r="2160" spans="1:15" x14ac:dyDescent="0.25">
      <c r="A2160" s="14"/>
      <c r="B2160" s="14"/>
      <c r="C2160" s="14"/>
      <c r="D2160" s="5" t="str">
        <f t="shared" si="210"/>
        <v/>
      </c>
      <c r="E2160" s="5" t="str">
        <f t="shared" si="211"/>
        <v/>
      </c>
      <c r="F2160" s="5" t="str">
        <f t="shared" si="212"/>
        <v/>
      </c>
      <c r="G2160" s="23"/>
      <c r="H2160" s="66"/>
      <c r="I2160" s="14"/>
      <c r="J2160" s="14"/>
      <c r="K2160" s="14"/>
      <c r="L2160" s="5" t="str">
        <f t="shared" si="207"/>
        <v/>
      </c>
      <c r="M2160" s="5" t="str">
        <f t="shared" si="208"/>
        <v/>
      </c>
      <c r="N2160" s="5" t="str">
        <f t="shared" si="209"/>
        <v/>
      </c>
      <c r="O2160" s="4"/>
    </row>
    <row r="2161" spans="1:15" x14ac:dyDescent="0.25">
      <c r="A2161" s="14"/>
      <c r="B2161" s="14"/>
      <c r="C2161" s="14"/>
      <c r="D2161" s="5" t="str">
        <f t="shared" si="210"/>
        <v/>
      </c>
      <c r="E2161" s="5" t="str">
        <f t="shared" si="211"/>
        <v/>
      </c>
      <c r="F2161" s="5" t="str">
        <f t="shared" si="212"/>
        <v/>
      </c>
      <c r="G2161" s="23"/>
      <c r="H2161" s="66"/>
      <c r="I2161" s="14"/>
      <c r="J2161" s="14"/>
      <c r="K2161" s="14"/>
      <c r="L2161" s="5" t="str">
        <f t="shared" si="207"/>
        <v/>
      </c>
      <c r="M2161" s="5" t="str">
        <f t="shared" si="208"/>
        <v/>
      </c>
      <c r="N2161" s="5" t="str">
        <f t="shared" si="209"/>
        <v/>
      </c>
      <c r="O2161" s="4"/>
    </row>
    <row r="2162" spans="1:15" x14ac:dyDescent="0.25">
      <c r="A2162" s="14"/>
      <c r="B2162" s="14"/>
      <c r="C2162" s="14"/>
      <c r="D2162" s="5" t="str">
        <f t="shared" si="210"/>
        <v/>
      </c>
      <c r="E2162" s="5" t="str">
        <f t="shared" si="211"/>
        <v/>
      </c>
      <c r="F2162" s="5" t="str">
        <f t="shared" si="212"/>
        <v/>
      </c>
      <c r="G2162" s="23"/>
      <c r="H2162" s="66"/>
      <c r="I2162" s="14"/>
      <c r="J2162" s="14"/>
      <c r="K2162" s="14"/>
      <c r="L2162" s="5" t="str">
        <f t="shared" si="207"/>
        <v/>
      </c>
      <c r="M2162" s="5" t="str">
        <f t="shared" si="208"/>
        <v/>
      </c>
      <c r="N2162" s="5" t="str">
        <f t="shared" si="209"/>
        <v/>
      </c>
      <c r="O2162" s="4"/>
    </row>
    <row r="2163" spans="1:15" x14ac:dyDescent="0.25">
      <c r="A2163" s="14"/>
      <c r="B2163" s="14"/>
      <c r="C2163" s="14"/>
      <c r="D2163" s="5" t="str">
        <f t="shared" si="210"/>
        <v/>
      </c>
      <c r="E2163" s="5" t="str">
        <f t="shared" si="211"/>
        <v/>
      </c>
      <c r="F2163" s="5" t="str">
        <f t="shared" si="212"/>
        <v/>
      </c>
      <c r="G2163" s="23"/>
      <c r="H2163" s="66"/>
      <c r="I2163" s="14"/>
      <c r="J2163" s="14"/>
      <c r="K2163" s="14"/>
      <c r="L2163" s="5" t="str">
        <f t="shared" si="207"/>
        <v/>
      </c>
      <c r="M2163" s="5" t="str">
        <f t="shared" si="208"/>
        <v/>
      </c>
      <c r="N2163" s="5" t="str">
        <f t="shared" si="209"/>
        <v/>
      </c>
      <c r="O2163" s="4"/>
    </row>
    <row r="2164" spans="1:15" x14ac:dyDescent="0.25">
      <c r="A2164" s="14"/>
      <c r="B2164" s="14"/>
      <c r="C2164" s="14"/>
      <c r="D2164" s="5" t="str">
        <f t="shared" si="210"/>
        <v/>
      </c>
      <c r="E2164" s="5" t="str">
        <f t="shared" si="211"/>
        <v/>
      </c>
      <c r="F2164" s="5" t="str">
        <f t="shared" si="212"/>
        <v/>
      </c>
      <c r="G2164" s="23"/>
      <c r="H2164" s="66"/>
      <c r="I2164" s="14"/>
      <c r="J2164" s="14"/>
      <c r="K2164" s="14"/>
      <c r="L2164" s="5" t="str">
        <f t="shared" si="207"/>
        <v/>
      </c>
      <c r="M2164" s="5" t="str">
        <f t="shared" si="208"/>
        <v/>
      </c>
      <c r="N2164" s="5" t="str">
        <f t="shared" si="209"/>
        <v/>
      </c>
      <c r="O2164" s="4"/>
    </row>
    <row r="2165" spans="1:15" x14ac:dyDescent="0.25">
      <c r="A2165" s="14"/>
      <c r="B2165" s="14"/>
      <c r="C2165" s="14"/>
      <c r="D2165" s="5" t="str">
        <f t="shared" si="210"/>
        <v/>
      </c>
      <c r="E2165" s="5" t="str">
        <f t="shared" si="211"/>
        <v/>
      </c>
      <c r="F2165" s="5" t="str">
        <f t="shared" si="212"/>
        <v/>
      </c>
      <c r="G2165" s="23"/>
      <c r="H2165" s="66"/>
      <c r="I2165" s="14"/>
      <c r="J2165" s="14"/>
      <c r="K2165" s="14"/>
      <c r="L2165" s="5" t="str">
        <f t="shared" si="207"/>
        <v/>
      </c>
      <c r="M2165" s="5" t="str">
        <f t="shared" si="208"/>
        <v/>
      </c>
      <c r="N2165" s="5" t="str">
        <f t="shared" si="209"/>
        <v/>
      </c>
      <c r="O2165" s="4"/>
    </row>
    <row r="2166" spans="1:15" x14ac:dyDescent="0.25">
      <c r="A2166" s="14"/>
      <c r="B2166" s="14"/>
      <c r="C2166" s="14"/>
      <c r="D2166" s="5" t="str">
        <f t="shared" si="210"/>
        <v/>
      </c>
      <c r="E2166" s="5" t="str">
        <f t="shared" si="211"/>
        <v/>
      </c>
      <c r="F2166" s="5" t="str">
        <f t="shared" si="212"/>
        <v/>
      </c>
      <c r="G2166" s="23"/>
      <c r="H2166" s="66"/>
      <c r="I2166" s="14"/>
      <c r="J2166" s="14"/>
      <c r="K2166" s="14"/>
      <c r="L2166" s="5" t="str">
        <f t="shared" si="207"/>
        <v/>
      </c>
      <c r="M2166" s="5" t="str">
        <f t="shared" si="208"/>
        <v/>
      </c>
      <c r="N2166" s="5" t="str">
        <f t="shared" si="209"/>
        <v/>
      </c>
      <c r="O2166" s="4"/>
    </row>
    <row r="2167" spans="1:15" x14ac:dyDescent="0.25">
      <c r="A2167" s="14"/>
      <c r="B2167" s="14"/>
      <c r="C2167" s="14"/>
      <c r="D2167" s="5" t="str">
        <f t="shared" si="210"/>
        <v/>
      </c>
      <c r="E2167" s="5" t="str">
        <f t="shared" si="211"/>
        <v/>
      </c>
      <c r="F2167" s="5" t="str">
        <f t="shared" si="212"/>
        <v/>
      </c>
      <c r="G2167" s="23"/>
      <c r="H2167" s="66"/>
      <c r="I2167" s="14"/>
      <c r="J2167" s="14"/>
      <c r="K2167" s="14"/>
      <c r="L2167" s="5" t="str">
        <f t="shared" si="207"/>
        <v/>
      </c>
      <c r="M2167" s="5" t="str">
        <f t="shared" si="208"/>
        <v/>
      </c>
      <c r="N2167" s="5" t="str">
        <f t="shared" si="209"/>
        <v/>
      </c>
      <c r="O2167" s="4"/>
    </row>
    <row r="2168" spans="1:15" x14ac:dyDescent="0.25">
      <c r="A2168" s="14"/>
      <c r="B2168" s="14"/>
      <c r="C2168" s="14"/>
      <c r="D2168" s="5" t="str">
        <f t="shared" si="210"/>
        <v/>
      </c>
      <c r="E2168" s="5" t="str">
        <f t="shared" si="211"/>
        <v/>
      </c>
      <c r="F2168" s="5" t="str">
        <f t="shared" si="212"/>
        <v/>
      </c>
      <c r="G2168" s="23"/>
      <c r="H2168" s="66"/>
      <c r="I2168" s="14"/>
      <c r="J2168" s="14"/>
      <c r="K2168" s="14"/>
      <c r="L2168" s="5" t="str">
        <f t="shared" si="207"/>
        <v/>
      </c>
      <c r="M2168" s="5" t="str">
        <f t="shared" si="208"/>
        <v/>
      </c>
      <c r="N2168" s="5" t="str">
        <f t="shared" si="209"/>
        <v/>
      </c>
      <c r="O2168" s="4"/>
    </row>
    <row r="2169" spans="1:15" x14ac:dyDescent="0.25">
      <c r="A2169" s="14"/>
      <c r="B2169" s="14"/>
      <c r="C2169" s="14"/>
      <c r="D2169" s="5" t="str">
        <f t="shared" si="210"/>
        <v/>
      </c>
      <c r="E2169" s="5" t="str">
        <f t="shared" si="211"/>
        <v/>
      </c>
      <c r="F2169" s="5" t="str">
        <f t="shared" si="212"/>
        <v/>
      </c>
      <c r="G2169" s="23"/>
      <c r="H2169" s="66"/>
      <c r="I2169" s="14"/>
      <c r="J2169" s="14"/>
      <c r="K2169" s="14"/>
      <c r="L2169" s="5" t="str">
        <f t="shared" si="207"/>
        <v/>
      </c>
      <c r="M2169" s="5" t="str">
        <f t="shared" si="208"/>
        <v/>
      </c>
      <c r="N2169" s="5" t="str">
        <f t="shared" si="209"/>
        <v/>
      </c>
      <c r="O2169" s="4"/>
    </row>
    <row r="2170" spans="1:15" x14ac:dyDescent="0.25">
      <c r="A2170" s="14"/>
      <c r="B2170" s="14"/>
      <c r="C2170" s="14"/>
      <c r="D2170" s="5" t="str">
        <f t="shared" si="210"/>
        <v/>
      </c>
      <c r="E2170" s="5" t="str">
        <f t="shared" si="211"/>
        <v/>
      </c>
      <c r="F2170" s="5" t="str">
        <f t="shared" si="212"/>
        <v/>
      </c>
      <c r="G2170" s="23"/>
      <c r="H2170" s="66"/>
      <c r="I2170" s="14"/>
      <c r="J2170" s="14"/>
      <c r="K2170" s="14"/>
      <c r="L2170" s="5" t="str">
        <f t="shared" si="207"/>
        <v/>
      </c>
      <c r="M2170" s="5" t="str">
        <f t="shared" si="208"/>
        <v/>
      </c>
      <c r="N2170" s="5" t="str">
        <f t="shared" si="209"/>
        <v/>
      </c>
      <c r="O2170" s="4"/>
    </row>
    <row r="2171" spans="1:15" x14ac:dyDescent="0.25">
      <c r="A2171" s="14"/>
      <c r="B2171" s="14"/>
      <c r="C2171" s="14"/>
      <c r="D2171" s="5" t="str">
        <f t="shared" si="210"/>
        <v/>
      </c>
      <c r="E2171" s="5" t="str">
        <f t="shared" si="211"/>
        <v/>
      </c>
      <c r="F2171" s="5" t="str">
        <f t="shared" si="212"/>
        <v/>
      </c>
      <c r="G2171" s="23"/>
      <c r="H2171" s="66"/>
      <c r="I2171" s="14"/>
      <c r="J2171" s="14"/>
      <c r="K2171" s="14"/>
      <c r="L2171" s="5" t="str">
        <f t="shared" si="207"/>
        <v/>
      </c>
      <c r="M2171" s="5" t="str">
        <f t="shared" si="208"/>
        <v/>
      </c>
      <c r="N2171" s="5" t="str">
        <f t="shared" si="209"/>
        <v/>
      </c>
      <c r="O2171" s="4"/>
    </row>
    <row r="2172" spans="1:15" x14ac:dyDescent="0.25">
      <c r="A2172" s="14"/>
      <c r="B2172" s="14"/>
      <c r="C2172" s="14"/>
      <c r="D2172" s="5" t="str">
        <f t="shared" si="210"/>
        <v/>
      </c>
      <c r="E2172" s="5" t="str">
        <f t="shared" si="211"/>
        <v/>
      </c>
      <c r="F2172" s="5" t="str">
        <f t="shared" si="212"/>
        <v/>
      </c>
      <c r="G2172" s="23"/>
      <c r="H2172" s="66"/>
      <c r="I2172" s="14"/>
      <c r="J2172" s="14"/>
      <c r="K2172" s="14"/>
      <c r="L2172" s="5" t="str">
        <f t="shared" si="207"/>
        <v/>
      </c>
      <c r="M2172" s="5" t="str">
        <f t="shared" si="208"/>
        <v/>
      </c>
      <c r="N2172" s="5" t="str">
        <f t="shared" si="209"/>
        <v/>
      </c>
      <c r="O2172" s="4"/>
    </row>
    <row r="2173" spans="1:15" x14ac:dyDescent="0.25">
      <c r="A2173" s="14"/>
      <c r="B2173" s="14"/>
      <c r="C2173" s="14"/>
      <c r="D2173" s="5" t="str">
        <f t="shared" si="210"/>
        <v/>
      </c>
      <c r="E2173" s="5" t="str">
        <f t="shared" si="211"/>
        <v/>
      </c>
      <c r="F2173" s="5" t="str">
        <f t="shared" si="212"/>
        <v/>
      </c>
      <c r="G2173" s="23"/>
      <c r="H2173" s="66"/>
      <c r="I2173" s="14"/>
      <c r="J2173" s="14"/>
      <c r="K2173" s="14"/>
      <c r="L2173" s="5" t="str">
        <f t="shared" si="207"/>
        <v/>
      </c>
      <c r="M2173" s="5" t="str">
        <f t="shared" si="208"/>
        <v/>
      </c>
      <c r="N2173" s="5" t="str">
        <f t="shared" si="209"/>
        <v/>
      </c>
      <c r="O2173" s="4"/>
    </row>
    <row r="2174" spans="1:15" x14ac:dyDescent="0.25">
      <c r="A2174" s="14"/>
      <c r="B2174" s="14"/>
      <c r="C2174" s="14"/>
      <c r="D2174" s="5" t="str">
        <f t="shared" si="210"/>
        <v/>
      </c>
      <c r="E2174" s="5" t="str">
        <f t="shared" si="211"/>
        <v/>
      </c>
      <c r="F2174" s="5" t="str">
        <f t="shared" si="212"/>
        <v/>
      </c>
      <c r="G2174" s="23"/>
      <c r="H2174" s="66"/>
      <c r="I2174" s="14"/>
      <c r="J2174" s="14"/>
      <c r="K2174" s="14"/>
      <c r="L2174" s="5" t="str">
        <f t="shared" si="207"/>
        <v/>
      </c>
      <c r="M2174" s="5" t="str">
        <f t="shared" si="208"/>
        <v/>
      </c>
      <c r="N2174" s="5" t="str">
        <f t="shared" si="209"/>
        <v/>
      </c>
      <c r="O2174" s="4"/>
    </row>
    <row r="2175" spans="1:15" x14ac:dyDescent="0.25">
      <c r="A2175" s="14"/>
      <c r="B2175" s="14"/>
      <c r="C2175" s="14"/>
      <c r="D2175" s="5" t="str">
        <f t="shared" si="210"/>
        <v/>
      </c>
      <c r="E2175" s="5" t="str">
        <f t="shared" si="211"/>
        <v/>
      </c>
      <c r="F2175" s="5" t="str">
        <f t="shared" si="212"/>
        <v/>
      </c>
      <c r="G2175" s="23"/>
      <c r="H2175" s="66"/>
      <c r="I2175" s="14"/>
      <c r="J2175" s="14"/>
      <c r="K2175" s="14"/>
      <c r="L2175" s="5" t="str">
        <f t="shared" si="207"/>
        <v/>
      </c>
      <c r="M2175" s="5" t="str">
        <f t="shared" si="208"/>
        <v/>
      </c>
      <c r="N2175" s="5" t="str">
        <f t="shared" si="209"/>
        <v/>
      </c>
      <c r="O2175" s="4"/>
    </row>
    <row r="2176" spans="1:15" x14ac:dyDescent="0.25">
      <c r="A2176" s="14"/>
      <c r="B2176" s="14"/>
      <c r="C2176" s="14"/>
      <c r="D2176" s="5" t="str">
        <f t="shared" si="210"/>
        <v/>
      </c>
      <c r="E2176" s="5" t="str">
        <f t="shared" si="211"/>
        <v/>
      </c>
      <c r="F2176" s="5" t="str">
        <f t="shared" si="212"/>
        <v/>
      </c>
      <c r="G2176" s="23"/>
      <c r="H2176" s="66"/>
      <c r="I2176" s="14"/>
      <c r="J2176" s="14"/>
      <c r="K2176" s="14"/>
      <c r="L2176" s="5" t="str">
        <f t="shared" si="207"/>
        <v/>
      </c>
      <c r="M2176" s="5" t="str">
        <f t="shared" si="208"/>
        <v/>
      </c>
      <c r="N2176" s="5" t="str">
        <f t="shared" si="209"/>
        <v/>
      </c>
      <c r="O2176" s="4"/>
    </row>
    <row r="2177" spans="1:15" x14ac:dyDescent="0.25">
      <c r="A2177" s="14"/>
      <c r="B2177" s="14"/>
      <c r="C2177" s="14"/>
      <c r="D2177" s="5" t="str">
        <f t="shared" si="210"/>
        <v/>
      </c>
      <c r="E2177" s="5" t="str">
        <f t="shared" si="211"/>
        <v/>
      </c>
      <c r="F2177" s="5" t="str">
        <f t="shared" si="212"/>
        <v/>
      </c>
      <c r="G2177" s="23"/>
      <c r="H2177" s="66"/>
      <c r="I2177" s="14"/>
      <c r="J2177" s="14"/>
      <c r="K2177" s="14"/>
      <c r="L2177" s="5" t="str">
        <f t="shared" si="207"/>
        <v/>
      </c>
      <c r="M2177" s="5" t="str">
        <f t="shared" si="208"/>
        <v/>
      </c>
      <c r="N2177" s="5" t="str">
        <f t="shared" si="209"/>
        <v/>
      </c>
      <c r="O2177" s="4"/>
    </row>
    <row r="2178" spans="1:15" x14ac:dyDescent="0.25">
      <c r="A2178" s="14"/>
      <c r="B2178" s="14"/>
      <c r="C2178" s="14"/>
      <c r="D2178" s="5" t="str">
        <f t="shared" si="210"/>
        <v/>
      </c>
      <c r="E2178" s="5" t="str">
        <f t="shared" si="211"/>
        <v/>
      </c>
      <c r="F2178" s="5" t="str">
        <f t="shared" si="212"/>
        <v/>
      </c>
      <c r="G2178" s="23"/>
      <c r="H2178" s="66"/>
      <c r="I2178" s="14"/>
      <c r="J2178" s="14"/>
      <c r="K2178" s="14"/>
      <c r="L2178" s="5" t="str">
        <f t="shared" si="207"/>
        <v/>
      </c>
      <c r="M2178" s="5" t="str">
        <f t="shared" si="208"/>
        <v/>
      </c>
      <c r="N2178" s="5" t="str">
        <f t="shared" si="209"/>
        <v/>
      </c>
      <c r="O2178" s="4"/>
    </row>
    <row r="2179" spans="1:15" x14ac:dyDescent="0.25">
      <c r="A2179" s="14"/>
      <c r="B2179" s="14"/>
      <c r="C2179" s="14"/>
      <c r="D2179" s="5" t="str">
        <f t="shared" si="210"/>
        <v/>
      </c>
      <c r="E2179" s="5" t="str">
        <f t="shared" si="211"/>
        <v/>
      </c>
      <c r="F2179" s="5" t="str">
        <f t="shared" si="212"/>
        <v/>
      </c>
      <c r="G2179" s="23"/>
      <c r="H2179" s="66"/>
      <c r="I2179" s="14"/>
      <c r="J2179" s="14"/>
      <c r="K2179" s="14"/>
      <c r="L2179" s="5" t="str">
        <f t="shared" si="207"/>
        <v/>
      </c>
      <c r="M2179" s="5" t="str">
        <f t="shared" si="208"/>
        <v/>
      </c>
      <c r="N2179" s="5" t="str">
        <f t="shared" si="209"/>
        <v/>
      </c>
      <c r="O2179" s="4"/>
    </row>
    <row r="2180" spans="1:15" x14ac:dyDescent="0.25">
      <c r="A2180" s="14"/>
      <c r="B2180" s="14"/>
      <c r="C2180" s="14"/>
      <c r="D2180" s="5" t="str">
        <f t="shared" si="210"/>
        <v/>
      </c>
      <c r="E2180" s="5" t="str">
        <f t="shared" si="211"/>
        <v/>
      </c>
      <c r="F2180" s="5" t="str">
        <f t="shared" si="212"/>
        <v/>
      </c>
      <c r="G2180" s="23"/>
      <c r="H2180" s="66"/>
      <c r="I2180" s="14"/>
      <c r="J2180" s="14"/>
      <c r="K2180" s="14"/>
      <c r="L2180" s="5" t="str">
        <f t="shared" si="207"/>
        <v/>
      </c>
      <c r="M2180" s="5" t="str">
        <f t="shared" si="208"/>
        <v/>
      </c>
      <c r="N2180" s="5" t="str">
        <f t="shared" si="209"/>
        <v/>
      </c>
      <c r="O2180" s="4"/>
    </row>
    <row r="2181" spans="1:15" x14ac:dyDescent="0.25">
      <c r="A2181" s="14"/>
      <c r="B2181" s="14"/>
      <c r="C2181" s="14"/>
      <c r="D2181" s="5" t="str">
        <f t="shared" si="210"/>
        <v/>
      </c>
      <c r="E2181" s="5" t="str">
        <f t="shared" si="211"/>
        <v/>
      </c>
      <c r="F2181" s="5" t="str">
        <f t="shared" si="212"/>
        <v/>
      </c>
      <c r="G2181" s="23"/>
      <c r="H2181" s="66"/>
      <c r="I2181" s="14"/>
      <c r="J2181" s="14"/>
      <c r="K2181" s="14"/>
      <c r="L2181" s="5" t="str">
        <f t="shared" si="207"/>
        <v/>
      </c>
      <c r="M2181" s="5" t="str">
        <f t="shared" si="208"/>
        <v/>
      </c>
      <c r="N2181" s="5" t="str">
        <f t="shared" si="209"/>
        <v/>
      </c>
      <c r="O2181" s="4"/>
    </row>
    <row r="2182" spans="1:15" x14ac:dyDescent="0.25">
      <c r="A2182" s="14"/>
      <c r="B2182" s="14"/>
      <c r="C2182" s="14"/>
      <c r="D2182" s="5" t="str">
        <f t="shared" si="210"/>
        <v/>
      </c>
      <c r="E2182" s="5" t="str">
        <f t="shared" si="211"/>
        <v/>
      </c>
      <c r="F2182" s="5" t="str">
        <f t="shared" si="212"/>
        <v/>
      </c>
      <c r="G2182" s="23"/>
      <c r="H2182" s="66"/>
      <c r="I2182" s="14"/>
      <c r="J2182" s="14"/>
      <c r="K2182" s="14"/>
      <c r="L2182" s="5" t="str">
        <f t="shared" si="207"/>
        <v/>
      </c>
      <c r="M2182" s="5" t="str">
        <f t="shared" si="208"/>
        <v/>
      </c>
      <c r="N2182" s="5" t="str">
        <f t="shared" si="209"/>
        <v/>
      </c>
      <c r="O2182" s="4"/>
    </row>
    <row r="2183" spans="1:15" x14ac:dyDescent="0.25">
      <c r="A2183" s="14"/>
      <c r="B2183" s="14"/>
      <c r="C2183" s="14"/>
      <c r="D2183" s="5" t="str">
        <f t="shared" si="210"/>
        <v/>
      </c>
      <c r="E2183" s="5" t="str">
        <f t="shared" si="211"/>
        <v/>
      </c>
      <c r="F2183" s="5" t="str">
        <f t="shared" si="212"/>
        <v/>
      </c>
      <c r="G2183" s="23"/>
      <c r="H2183" s="66"/>
      <c r="I2183" s="14"/>
      <c r="J2183" s="14"/>
      <c r="K2183" s="14"/>
      <c r="L2183" s="5" t="str">
        <f t="shared" si="207"/>
        <v/>
      </c>
      <c r="M2183" s="5" t="str">
        <f t="shared" si="208"/>
        <v/>
      </c>
      <c r="N2183" s="5" t="str">
        <f t="shared" si="209"/>
        <v/>
      </c>
      <c r="O2183" s="4"/>
    </row>
    <row r="2184" spans="1:15" x14ac:dyDescent="0.25">
      <c r="A2184" s="14"/>
      <c r="B2184" s="14"/>
      <c r="C2184" s="14"/>
      <c r="D2184" s="5" t="str">
        <f t="shared" si="210"/>
        <v/>
      </c>
      <c r="E2184" s="5" t="str">
        <f t="shared" si="211"/>
        <v/>
      </c>
      <c r="F2184" s="5" t="str">
        <f t="shared" si="212"/>
        <v/>
      </c>
      <c r="G2184" s="23"/>
      <c r="H2184" s="66"/>
      <c r="I2184" s="14"/>
      <c r="J2184" s="14"/>
      <c r="K2184" s="14"/>
      <c r="L2184" s="5" t="str">
        <f t="shared" si="207"/>
        <v/>
      </c>
      <c r="M2184" s="5" t="str">
        <f t="shared" si="208"/>
        <v/>
      </c>
      <c r="N2184" s="5" t="str">
        <f t="shared" si="209"/>
        <v/>
      </c>
      <c r="O2184" s="4"/>
    </row>
    <row r="2185" spans="1:15" x14ac:dyDescent="0.25">
      <c r="A2185" s="14"/>
      <c r="B2185" s="14"/>
      <c r="C2185" s="14"/>
      <c r="D2185" s="5" t="str">
        <f t="shared" si="210"/>
        <v/>
      </c>
      <c r="E2185" s="5" t="str">
        <f t="shared" si="211"/>
        <v/>
      </c>
      <c r="F2185" s="5" t="str">
        <f t="shared" si="212"/>
        <v/>
      </c>
      <c r="G2185" s="23"/>
      <c r="H2185" s="66"/>
      <c r="I2185" s="14"/>
      <c r="J2185" s="14"/>
      <c r="K2185" s="14"/>
      <c r="L2185" s="5" t="str">
        <f t="shared" si="207"/>
        <v/>
      </c>
      <c r="M2185" s="5" t="str">
        <f t="shared" si="208"/>
        <v/>
      </c>
      <c r="N2185" s="5" t="str">
        <f t="shared" si="209"/>
        <v/>
      </c>
      <c r="O2185" s="4"/>
    </row>
    <row r="2186" spans="1:15" x14ac:dyDescent="0.25">
      <c r="A2186" s="14"/>
      <c r="B2186" s="14"/>
      <c r="C2186" s="14"/>
      <c r="D2186" s="5" t="str">
        <f t="shared" si="210"/>
        <v/>
      </c>
      <c r="E2186" s="5" t="str">
        <f t="shared" si="211"/>
        <v/>
      </c>
      <c r="F2186" s="5" t="str">
        <f t="shared" si="212"/>
        <v/>
      </c>
      <c r="G2186" s="23"/>
      <c r="H2186" s="66"/>
      <c r="I2186" s="14"/>
      <c r="J2186" s="14"/>
      <c r="K2186" s="14"/>
      <c r="L2186" s="5" t="str">
        <f t="shared" si="207"/>
        <v/>
      </c>
      <c r="M2186" s="5" t="str">
        <f t="shared" si="208"/>
        <v/>
      </c>
      <c r="N2186" s="5" t="str">
        <f t="shared" si="209"/>
        <v/>
      </c>
      <c r="O2186" s="4"/>
    </row>
    <row r="2187" spans="1:15" x14ac:dyDescent="0.25">
      <c r="A2187" s="14"/>
      <c r="B2187" s="14"/>
      <c r="C2187" s="14"/>
      <c r="D2187" s="5" t="str">
        <f t="shared" si="210"/>
        <v/>
      </c>
      <c r="E2187" s="5" t="str">
        <f t="shared" si="211"/>
        <v/>
      </c>
      <c r="F2187" s="5" t="str">
        <f t="shared" si="212"/>
        <v/>
      </c>
      <c r="G2187" s="23"/>
      <c r="H2187" s="66"/>
      <c r="I2187" s="14"/>
      <c r="J2187" s="14"/>
      <c r="K2187" s="14"/>
      <c r="L2187" s="5" t="str">
        <f t="shared" si="207"/>
        <v/>
      </c>
      <c r="M2187" s="5" t="str">
        <f t="shared" si="208"/>
        <v/>
      </c>
      <c r="N2187" s="5" t="str">
        <f t="shared" si="209"/>
        <v/>
      </c>
      <c r="O2187" s="4"/>
    </row>
    <row r="2188" spans="1:15" x14ac:dyDescent="0.25">
      <c r="A2188" s="14"/>
      <c r="B2188" s="14"/>
      <c r="C2188" s="14"/>
      <c r="D2188" s="5" t="str">
        <f t="shared" si="210"/>
        <v/>
      </c>
      <c r="E2188" s="5" t="str">
        <f t="shared" si="211"/>
        <v/>
      </c>
      <c r="F2188" s="5" t="str">
        <f t="shared" si="212"/>
        <v/>
      </c>
      <c r="G2188" s="23"/>
      <c r="H2188" s="66"/>
      <c r="I2188" s="14"/>
      <c r="J2188" s="14"/>
      <c r="K2188" s="14"/>
      <c r="L2188" s="5" t="str">
        <f t="shared" si="207"/>
        <v/>
      </c>
      <c r="M2188" s="5" t="str">
        <f t="shared" si="208"/>
        <v/>
      </c>
      <c r="N2188" s="5" t="str">
        <f t="shared" si="209"/>
        <v/>
      </c>
      <c r="O2188" s="4"/>
    </row>
    <row r="2189" spans="1:15" x14ac:dyDescent="0.25">
      <c r="A2189" s="14"/>
      <c r="B2189" s="14"/>
      <c r="C2189" s="14"/>
      <c r="D2189" s="5" t="str">
        <f t="shared" si="210"/>
        <v/>
      </c>
      <c r="E2189" s="5" t="str">
        <f t="shared" si="211"/>
        <v/>
      </c>
      <c r="F2189" s="5" t="str">
        <f t="shared" si="212"/>
        <v/>
      </c>
      <c r="G2189" s="23"/>
      <c r="H2189" s="66"/>
      <c r="I2189" s="14"/>
      <c r="J2189" s="14"/>
      <c r="K2189" s="14"/>
      <c r="L2189" s="5" t="str">
        <f t="shared" si="207"/>
        <v/>
      </c>
      <c r="M2189" s="5" t="str">
        <f t="shared" si="208"/>
        <v/>
      </c>
      <c r="N2189" s="5" t="str">
        <f t="shared" si="209"/>
        <v/>
      </c>
      <c r="O2189" s="4"/>
    </row>
    <row r="2190" spans="1:15" x14ac:dyDescent="0.25">
      <c r="A2190" s="14"/>
      <c r="B2190" s="14"/>
      <c r="C2190" s="14"/>
      <c r="D2190" s="5" t="str">
        <f t="shared" si="210"/>
        <v/>
      </c>
      <c r="E2190" s="5" t="str">
        <f t="shared" si="211"/>
        <v/>
      </c>
      <c r="F2190" s="5" t="str">
        <f t="shared" si="212"/>
        <v/>
      </c>
      <c r="G2190" s="23"/>
      <c r="H2190" s="66"/>
      <c r="I2190" s="14"/>
      <c r="J2190" s="14"/>
      <c r="K2190" s="14"/>
      <c r="L2190" s="5" t="str">
        <f t="shared" si="207"/>
        <v/>
      </c>
      <c r="M2190" s="5" t="str">
        <f t="shared" si="208"/>
        <v/>
      </c>
      <c r="N2190" s="5" t="str">
        <f t="shared" si="209"/>
        <v/>
      </c>
      <c r="O2190" s="4"/>
    </row>
    <row r="2191" spans="1:15" x14ac:dyDescent="0.25">
      <c r="A2191" s="14"/>
      <c r="B2191" s="14"/>
      <c r="C2191" s="14"/>
      <c r="D2191" s="5" t="str">
        <f t="shared" si="210"/>
        <v/>
      </c>
      <c r="E2191" s="5" t="str">
        <f t="shared" si="211"/>
        <v/>
      </c>
      <c r="F2191" s="5" t="str">
        <f t="shared" si="212"/>
        <v/>
      </c>
      <c r="G2191" s="23"/>
      <c r="H2191" s="66"/>
      <c r="I2191" s="14"/>
      <c r="J2191" s="14"/>
      <c r="K2191" s="14"/>
      <c r="L2191" s="5" t="str">
        <f t="shared" si="207"/>
        <v/>
      </c>
      <c r="M2191" s="5" t="str">
        <f t="shared" si="208"/>
        <v/>
      </c>
      <c r="N2191" s="5" t="str">
        <f t="shared" si="209"/>
        <v/>
      </c>
      <c r="O2191" s="4"/>
    </row>
    <row r="2192" spans="1:15" x14ac:dyDescent="0.25">
      <c r="A2192" s="14"/>
      <c r="B2192" s="14"/>
      <c r="C2192" s="14"/>
      <c r="D2192" s="5" t="str">
        <f t="shared" si="210"/>
        <v/>
      </c>
      <c r="E2192" s="5" t="str">
        <f t="shared" si="211"/>
        <v/>
      </c>
      <c r="F2192" s="5" t="str">
        <f t="shared" si="212"/>
        <v/>
      </c>
      <c r="G2192" s="23"/>
      <c r="H2192" s="66"/>
      <c r="I2192" s="14"/>
      <c r="J2192" s="14"/>
      <c r="K2192" s="14"/>
      <c r="L2192" s="5" t="str">
        <f t="shared" si="207"/>
        <v/>
      </c>
      <c r="M2192" s="5" t="str">
        <f t="shared" si="208"/>
        <v/>
      </c>
      <c r="N2192" s="5" t="str">
        <f t="shared" si="209"/>
        <v/>
      </c>
      <c r="O2192" s="4"/>
    </row>
    <row r="2193" spans="1:15" x14ac:dyDescent="0.25">
      <c r="A2193" s="14"/>
      <c r="B2193" s="14"/>
      <c r="C2193" s="14"/>
      <c r="D2193" s="5" t="str">
        <f t="shared" si="210"/>
        <v/>
      </c>
      <c r="E2193" s="5" t="str">
        <f t="shared" si="211"/>
        <v/>
      </c>
      <c r="F2193" s="5" t="str">
        <f t="shared" si="212"/>
        <v/>
      </c>
      <c r="G2193" s="23"/>
      <c r="H2193" s="66"/>
      <c r="I2193" s="14"/>
      <c r="J2193" s="14"/>
      <c r="K2193" s="14"/>
      <c r="L2193" s="5" t="str">
        <f t="shared" ref="L2193:L2256" si="213">IFERROR(IF(I2193&lt;&gt;"",(((J2193-J2192)*$X$4/(I2193-I2192)))*$X$5,""),"")</f>
        <v/>
      </c>
      <c r="M2193" s="5" t="str">
        <f t="shared" ref="M2193:M2256" si="214">IFERROR(IF(I2193&lt;&gt;"",(((K2193-K2192)*$X$4/(I2193-I2192)))*$X$5,""),"")</f>
        <v/>
      </c>
      <c r="N2193" s="5" t="str">
        <f t="shared" ref="N2193:N2256" si="215">IFERROR(IF(I2193&lt;&gt;"",((ACOS((COS(RADIANS(J2192))*COS(RADIANS(J2193)))+(SIN(RADIANS(J2192))*SIN(RADIANS(J2193)))*COS(RADIANS(K2193-K2192)))*180/PI()*($X$4/(I2193-I2192))))*$X$5,""),"")</f>
        <v/>
      </c>
      <c r="O2193" s="4"/>
    </row>
    <row r="2194" spans="1:15" x14ac:dyDescent="0.25">
      <c r="A2194" s="14"/>
      <c r="B2194" s="14"/>
      <c r="C2194" s="14"/>
      <c r="D2194" s="5" t="str">
        <f t="shared" si="210"/>
        <v/>
      </c>
      <c r="E2194" s="5" t="str">
        <f t="shared" si="211"/>
        <v/>
      </c>
      <c r="F2194" s="5" t="str">
        <f t="shared" si="212"/>
        <v/>
      </c>
      <c r="G2194" s="23"/>
      <c r="H2194" s="66"/>
      <c r="I2194" s="14"/>
      <c r="J2194" s="14"/>
      <c r="K2194" s="14"/>
      <c r="L2194" s="5" t="str">
        <f t="shared" si="213"/>
        <v/>
      </c>
      <c r="M2194" s="5" t="str">
        <f t="shared" si="214"/>
        <v/>
      </c>
      <c r="N2194" s="5" t="str">
        <f t="shared" si="215"/>
        <v/>
      </c>
      <c r="O2194" s="4"/>
    </row>
    <row r="2195" spans="1:15" x14ac:dyDescent="0.25">
      <c r="A2195" s="14"/>
      <c r="B2195" s="14"/>
      <c r="C2195" s="14"/>
      <c r="D2195" s="5" t="str">
        <f t="shared" si="210"/>
        <v/>
      </c>
      <c r="E2195" s="5" t="str">
        <f t="shared" si="211"/>
        <v/>
      </c>
      <c r="F2195" s="5" t="str">
        <f t="shared" si="212"/>
        <v/>
      </c>
      <c r="G2195" s="23"/>
      <c r="H2195" s="66"/>
      <c r="I2195" s="14"/>
      <c r="J2195" s="14"/>
      <c r="K2195" s="14"/>
      <c r="L2195" s="5" t="str">
        <f t="shared" si="213"/>
        <v/>
      </c>
      <c r="M2195" s="5" t="str">
        <f t="shared" si="214"/>
        <v/>
      </c>
      <c r="N2195" s="5" t="str">
        <f t="shared" si="215"/>
        <v/>
      </c>
      <c r="O2195" s="4"/>
    </row>
    <row r="2196" spans="1:15" x14ac:dyDescent="0.25">
      <c r="A2196" s="14"/>
      <c r="B2196" s="14"/>
      <c r="C2196" s="14"/>
      <c r="D2196" s="5" t="str">
        <f t="shared" si="210"/>
        <v/>
      </c>
      <c r="E2196" s="5" t="str">
        <f t="shared" si="211"/>
        <v/>
      </c>
      <c r="F2196" s="5" t="str">
        <f t="shared" si="212"/>
        <v/>
      </c>
      <c r="G2196" s="23"/>
      <c r="H2196" s="66"/>
      <c r="I2196" s="14"/>
      <c r="J2196" s="14"/>
      <c r="K2196" s="14"/>
      <c r="L2196" s="5" t="str">
        <f t="shared" si="213"/>
        <v/>
      </c>
      <c r="M2196" s="5" t="str">
        <f t="shared" si="214"/>
        <v/>
      </c>
      <c r="N2196" s="5" t="str">
        <f t="shared" si="215"/>
        <v/>
      </c>
      <c r="O2196" s="4"/>
    </row>
    <row r="2197" spans="1:15" x14ac:dyDescent="0.25">
      <c r="A2197" s="14"/>
      <c r="B2197" s="14"/>
      <c r="C2197" s="14"/>
      <c r="D2197" s="5" t="str">
        <f t="shared" si="210"/>
        <v/>
      </c>
      <c r="E2197" s="5" t="str">
        <f t="shared" si="211"/>
        <v/>
      </c>
      <c r="F2197" s="5" t="str">
        <f t="shared" si="212"/>
        <v/>
      </c>
      <c r="G2197" s="23"/>
      <c r="H2197" s="66"/>
      <c r="I2197" s="14"/>
      <c r="J2197" s="14"/>
      <c r="K2197" s="14"/>
      <c r="L2197" s="5" t="str">
        <f t="shared" si="213"/>
        <v/>
      </c>
      <c r="M2197" s="5" t="str">
        <f t="shared" si="214"/>
        <v/>
      </c>
      <c r="N2197" s="5" t="str">
        <f t="shared" si="215"/>
        <v/>
      </c>
      <c r="O2197" s="4"/>
    </row>
    <row r="2198" spans="1:15" x14ac:dyDescent="0.25">
      <c r="A2198" s="14"/>
      <c r="B2198" s="14"/>
      <c r="C2198" s="14"/>
      <c r="D2198" s="5" t="str">
        <f t="shared" si="210"/>
        <v/>
      </c>
      <c r="E2198" s="5" t="str">
        <f t="shared" si="211"/>
        <v/>
      </c>
      <c r="F2198" s="5" t="str">
        <f t="shared" si="212"/>
        <v/>
      </c>
      <c r="G2198" s="23"/>
      <c r="H2198" s="66"/>
      <c r="I2198" s="14"/>
      <c r="J2198" s="14"/>
      <c r="K2198" s="14"/>
      <c r="L2198" s="5" t="str">
        <f t="shared" si="213"/>
        <v/>
      </c>
      <c r="M2198" s="5" t="str">
        <f t="shared" si="214"/>
        <v/>
      </c>
      <c r="N2198" s="5" t="str">
        <f t="shared" si="215"/>
        <v/>
      </c>
      <c r="O2198" s="4"/>
    </row>
    <row r="2199" spans="1:15" x14ac:dyDescent="0.25">
      <c r="A2199" s="14"/>
      <c r="B2199" s="14"/>
      <c r="C2199" s="14"/>
      <c r="D2199" s="5" t="str">
        <f t="shared" si="210"/>
        <v/>
      </c>
      <c r="E2199" s="5" t="str">
        <f t="shared" si="211"/>
        <v/>
      </c>
      <c r="F2199" s="5" t="str">
        <f t="shared" si="212"/>
        <v/>
      </c>
      <c r="G2199" s="23"/>
      <c r="H2199" s="66"/>
      <c r="I2199" s="14"/>
      <c r="J2199" s="14"/>
      <c r="K2199" s="14"/>
      <c r="L2199" s="5" t="str">
        <f t="shared" si="213"/>
        <v/>
      </c>
      <c r="M2199" s="5" t="str">
        <f t="shared" si="214"/>
        <v/>
      </c>
      <c r="N2199" s="5" t="str">
        <f t="shared" si="215"/>
        <v/>
      </c>
      <c r="O2199" s="4"/>
    </row>
    <row r="2200" spans="1:15" x14ac:dyDescent="0.25">
      <c r="A2200" s="14"/>
      <c r="B2200" s="14"/>
      <c r="C2200" s="14"/>
      <c r="D2200" s="5" t="str">
        <f t="shared" si="210"/>
        <v/>
      </c>
      <c r="E2200" s="5" t="str">
        <f t="shared" si="211"/>
        <v/>
      </c>
      <c r="F2200" s="5" t="str">
        <f t="shared" si="212"/>
        <v/>
      </c>
      <c r="G2200" s="23"/>
      <c r="H2200" s="66"/>
      <c r="I2200" s="14"/>
      <c r="J2200" s="14"/>
      <c r="K2200" s="14"/>
      <c r="L2200" s="5" t="str">
        <f t="shared" si="213"/>
        <v/>
      </c>
      <c r="M2200" s="5" t="str">
        <f t="shared" si="214"/>
        <v/>
      </c>
      <c r="N2200" s="5" t="str">
        <f t="shared" si="215"/>
        <v/>
      </c>
      <c r="O2200" s="4"/>
    </row>
    <row r="2201" spans="1:15" x14ac:dyDescent="0.25">
      <c r="A2201" s="14"/>
      <c r="B2201" s="14"/>
      <c r="C2201" s="14"/>
      <c r="D2201" s="5" t="str">
        <f t="shared" ref="D2201:D2264" si="216">IFERROR( IF(A2201&lt;&gt;"",((B2201-B2200)*$X$4/(A2201-A2200))*$X$5,""),"")</f>
        <v/>
      </c>
      <c r="E2201" s="5" t="str">
        <f t="shared" ref="E2201:E2264" si="217">IFERROR(IF(A2201&lt;&gt;"",((C2201-C2200)*$X$4/(A2201-A2200))*$X$5,""),"")</f>
        <v/>
      </c>
      <c r="F2201" s="5" t="str">
        <f t="shared" ref="F2201:F2264" si="218">IFERROR(IF(A2201&lt;&gt;"",((ACOS((COS(RADIANS(B2200))*COS(RADIANS(B2201)))+(SIN(RADIANS(B2200))*SIN(RADIANS(B2201)))*COS(RADIANS(C2201-C2200)))*180/PI()*($X$4/(A2201-A2200))))*$X$5,""),"")</f>
        <v/>
      </c>
      <c r="G2201" s="23"/>
      <c r="H2201" s="66"/>
      <c r="I2201" s="14"/>
      <c r="J2201" s="14"/>
      <c r="K2201" s="14"/>
      <c r="L2201" s="5" t="str">
        <f t="shared" si="213"/>
        <v/>
      </c>
      <c r="M2201" s="5" t="str">
        <f t="shared" si="214"/>
        <v/>
      </c>
      <c r="N2201" s="5" t="str">
        <f t="shared" si="215"/>
        <v/>
      </c>
      <c r="O2201" s="4"/>
    </row>
    <row r="2202" spans="1:15" x14ac:dyDescent="0.25">
      <c r="A2202" s="14"/>
      <c r="B2202" s="14"/>
      <c r="C2202" s="14"/>
      <c r="D2202" s="5" t="str">
        <f t="shared" si="216"/>
        <v/>
      </c>
      <c r="E2202" s="5" t="str">
        <f t="shared" si="217"/>
        <v/>
      </c>
      <c r="F2202" s="5" t="str">
        <f t="shared" si="218"/>
        <v/>
      </c>
      <c r="G2202" s="23"/>
      <c r="H2202" s="66"/>
      <c r="I2202" s="14"/>
      <c r="J2202" s="14"/>
      <c r="K2202" s="14"/>
      <c r="L2202" s="5" t="str">
        <f t="shared" si="213"/>
        <v/>
      </c>
      <c r="M2202" s="5" t="str">
        <f t="shared" si="214"/>
        <v/>
      </c>
      <c r="N2202" s="5" t="str">
        <f t="shared" si="215"/>
        <v/>
      </c>
      <c r="O2202" s="4"/>
    </row>
    <row r="2203" spans="1:15" x14ac:dyDescent="0.25">
      <c r="A2203" s="14"/>
      <c r="B2203" s="14"/>
      <c r="C2203" s="14"/>
      <c r="D2203" s="5" t="str">
        <f t="shared" si="216"/>
        <v/>
      </c>
      <c r="E2203" s="5" t="str">
        <f t="shared" si="217"/>
        <v/>
      </c>
      <c r="F2203" s="5" t="str">
        <f t="shared" si="218"/>
        <v/>
      </c>
      <c r="G2203" s="23"/>
      <c r="H2203" s="66"/>
      <c r="I2203" s="14"/>
      <c r="J2203" s="14"/>
      <c r="K2203" s="14"/>
      <c r="L2203" s="5" t="str">
        <f t="shared" si="213"/>
        <v/>
      </c>
      <c r="M2203" s="5" t="str">
        <f t="shared" si="214"/>
        <v/>
      </c>
      <c r="N2203" s="5" t="str">
        <f t="shared" si="215"/>
        <v/>
      </c>
      <c r="O2203" s="4"/>
    </row>
    <row r="2204" spans="1:15" x14ac:dyDescent="0.25">
      <c r="A2204" s="14"/>
      <c r="B2204" s="14"/>
      <c r="C2204" s="14"/>
      <c r="D2204" s="5" t="str">
        <f t="shared" si="216"/>
        <v/>
      </c>
      <c r="E2204" s="5" t="str">
        <f t="shared" si="217"/>
        <v/>
      </c>
      <c r="F2204" s="5" t="str">
        <f t="shared" si="218"/>
        <v/>
      </c>
      <c r="G2204" s="23"/>
      <c r="H2204" s="66"/>
      <c r="I2204" s="14"/>
      <c r="J2204" s="14"/>
      <c r="K2204" s="14"/>
      <c r="L2204" s="5" t="str">
        <f t="shared" si="213"/>
        <v/>
      </c>
      <c r="M2204" s="5" t="str">
        <f t="shared" si="214"/>
        <v/>
      </c>
      <c r="N2204" s="5" t="str">
        <f t="shared" si="215"/>
        <v/>
      </c>
      <c r="O2204" s="4"/>
    </row>
    <row r="2205" spans="1:15" x14ac:dyDescent="0.25">
      <c r="A2205" s="14"/>
      <c r="B2205" s="14"/>
      <c r="C2205" s="14"/>
      <c r="D2205" s="5" t="str">
        <f t="shared" si="216"/>
        <v/>
      </c>
      <c r="E2205" s="5" t="str">
        <f t="shared" si="217"/>
        <v/>
      </c>
      <c r="F2205" s="5" t="str">
        <f t="shared" si="218"/>
        <v/>
      </c>
      <c r="G2205" s="23"/>
      <c r="H2205" s="66"/>
      <c r="I2205" s="14"/>
      <c r="J2205" s="14"/>
      <c r="K2205" s="14"/>
      <c r="L2205" s="5" t="str">
        <f t="shared" si="213"/>
        <v/>
      </c>
      <c r="M2205" s="5" t="str">
        <f t="shared" si="214"/>
        <v/>
      </c>
      <c r="N2205" s="5" t="str">
        <f t="shared" si="215"/>
        <v/>
      </c>
      <c r="O2205" s="4"/>
    </row>
    <row r="2206" spans="1:15" x14ac:dyDescent="0.25">
      <c r="A2206" s="14"/>
      <c r="B2206" s="14"/>
      <c r="C2206" s="14"/>
      <c r="D2206" s="5" t="str">
        <f t="shared" si="216"/>
        <v/>
      </c>
      <c r="E2206" s="5" t="str">
        <f t="shared" si="217"/>
        <v/>
      </c>
      <c r="F2206" s="5" t="str">
        <f t="shared" si="218"/>
        <v/>
      </c>
      <c r="G2206" s="23"/>
      <c r="H2206" s="66"/>
      <c r="I2206" s="14"/>
      <c r="J2206" s="14"/>
      <c r="K2206" s="14"/>
      <c r="L2206" s="5" t="str">
        <f t="shared" si="213"/>
        <v/>
      </c>
      <c r="M2206" s="5" t="str">
        <f t="shared" si="214"/>
        <v/>
      </c>
      <c r="N2206" s="5" t="str">
        <f t="shared" si="215"/>
        <v/>
      </c>
      <c r="O2206" s="4"/>
    </row>
    <row r="2207" spans="1:15" x14ac:dyDescent="0.25">
      <c r="A2207" s="14"/>
      <c r="B2207" s="14"/>
      <c r="C2207" s="14"/>
      <c r="D2207" s="5" t="str">
        <f t="shared" si="216"/>
        <v/>
      </c>
      <c r="E2207" s="5" t="str">
        <f t="shared" si="217"/>
        <v/>
      </c>
      <c r="F2207" s="5" t="str">
        <f t="shared" si="218"/>
        <v/>
      </c>
      <c r="G2207" s="23"/>
      <c r="H2207" s="66"/>
      <c r="I2207" s="14"/>
      <c r="J2207" s="14"/>
      <c r="K2207" s="14"/>
      <c r="L2207" s="5" t="str">
        <f t="shared" si="213"/>
        <v/>
      </c>
      <c r="M2207" s="5" t="str">
        <f t="shared" si="214"/>
        <v/>
      </c>
      <c r="N2207" s="5" t="str">
        <f t="shared" si="215"/>
        <v/>
      </c>
      <c r="O2207" s="4"/>
    </row>
    <row r="2208" spans="1:15" x14ac:dyDescent="0.25">
      <c r="A2208" s="14"/>
      <c r="B2208" s="14"/>
      <c r="C2208" s="14"/>
      <c r="D2208" s="5" t="str">
        <f t="shared" si="216"/>
        <v/>
      </c>
      <c r="E2208" s="5" t="str">
        <f t="shared" si="217"/>
        <v/>
      </c>
      <c r="F2208" s="5" t="str">
        <f t="shared" si="218"/>
        <v/>
      </c>
      <c r="G2208" s="23"/>
      <c r="H2208" s="66"/>
      <c r="I2208" s="14"/>
      <c r="J2208" s="14"/>
      <c r="K2208" s="14"/>
      <c r="L2208" s="5" t="str">
        <f t="shared" si="213"/>
        <v/>
      </c>
      <c r="M2208" s="5" t="str">
        <f t="shared" si="214"/>
        <v/>
      </c>
      <c r="N2208" s="5" t="str">
        <f t="shared" si="215"/>
        <v/>
      </c>
      <c r="O2208" s="4"/>
    </row>
    <row r="2209" spans="1:15" x14ac:dyDescent="0.25">
      <c r="A2209" s="14"/>
      <c r="B2209" s="14"/>
      <c r="C2209" s="14"/>
      <c r="D2209" s="5" t="str">
        <f t="shared" si="216"/>
        <v/>
      </c>
      <c r="E2209" s="5" t="str">
        <f t="shared" si="217"/>
        <v/>
      </c>
      <c r="F2209" s="5" t="str">
        <f t="shared" si="218"/>
        <v/>
      </c>
      <c r="G2209" s="23"/>
      <c r="H2209" s="66"/>
      <c r="I2209" s="14"/>
      <c r="J2209" s="14"/>
      <c r="K2209" s="14"/>
      <c r="L2209" s="5" t="str">
        <f t="shared" si="213"/>
        <v/>
      </c>
      <c r="M2209" s="5" t="str">
        <f t="shared" si="214"/>
        <v/>
      </c>
      <c r="N2209" s="5" t="str">
        <f t="shared" si="215"/>
        <v/>
      </c>
      <c r="O2209" s="4"/>
    </row>
    <row r="2210" spans="1:15" x14ac:dyDescent="0.25">
      <c r="A2210" s="14"/>
      <c r="B2210" s="14"/>
      <c r="C2210" s="14"/>
      <c r="D2210" s="5" t="str">
        <f t="shared" si="216"/>
        <v/>
      </c>
      <c r="E2210" s="5" t="str">
        <f t="shared" si="217"/>
        <v/>
      </c>
      <c r="F2210" s="5" t="str">
        <f t="shared" si="218"/>
        <v/>
      </c>
      <c r="G2210" s="23"/>
      <c r="H2210" s="66"/>
      <c r="I2210" s="14"/>
      <c r="J2210" s="14"/>
      <c r="K2210" s="14"/>
      <c r="L2210" s="5" t="str">
        <f t="shared" si="213"/>
        <v/>
      </c>
      <c r="M2210" s="5" t="str">
        <f t="shared" si="214"/>
        <v/>
      </c>
      <c r="N2210" s="5" t="str">
        <f t="shared" si="215"/>
        <v/>
      </c>
      <c r="O2210" s="4"/>
    </row>
    <row r="2211" spans="1:15" x14ac:dyDescent="0.25">
      <c r="A2211" s="14"/>
      <c r="B2211" s="14"/>
      <c r="C2211" s="14"/>
      <c r="D2211" s="5" t="str">
        <f t="shared" si="216"/>
        <v/>
      </c>
      <c r="E2211" s="5" t="str">
        <f t="shared" si="217"/>
        <v/>
      </c>
      <c r="F2211" s="5" t="str">
        <f t="shared" si="218"/>
        <v/>
      </c>
      <c r="G2211" s="23"/>
      <c r="H2211" s="66"/>
      <c r="I2211" s="14"/>
      <c r="J2211" s="14"/>
      <c r="K2211" s="14"/>
      <c r="L2211" s="5" t="str">
        <f t="shared" si="213"/>
        <v/>
      </c>
      <c r="M2211" s="5" t="str">
        <f t="shared" si="214"/>
        <v/>
      </c>
      <c r="N2211" s="5" t="str">
        <f t="shared" si="215"/>
        <v/>
      </c>
      <c r="O2211" s="4"/>
    </row>
    <row r="2212" spans="1:15" x14ac:dyDescent="0.25">
      <c r="A2212" s="14"/>
      <c r="B2212" s="14"/>
      <c r="C2212" s="14"/>
      <c r="D2212" s="5" t="str">
        <f t="shared" si="216"/>
        <v/>
      </c>
      <c r="E2212" s="5" t="str">
        <f t="shared" si="217"/>
        <v/>
      </c>
      <c r="F2212" s="5" t="str">
        <f t="shared" si="218"/>
        <v/>
      </c>
      <c r="G2212" s="23"/>
      <c r="H2212" s="66"/>
      <c r="I2212" s="14"/>
      <c r="J2212" s="14"/>
      <c r="K2212" s="14"/>
      <c r="L2212" s="5" t="str">
        <f t="shared" si="213"/>
        <v/>
      </c>
      <c r="M2212" s="5" t="str">
        <f t="shared" si="214"/>
        <v/>
      </c>
      <c r="N2212" s="5" t="str">
        <f t="shared" si="215"/>
        <v/>
      </c>
      <c r="O2212" s="4"/>
    </row>
    <row r="2213" spans="1:15" x14ac:dyDescent="0.25">
      <c r="A2213" s="14"/>
      <c r="B2213" s="14"/>
      <c r="C2213" s="14"/>
      <c r="D2213" s="5" t="str">
        <f t="shared" si="216"/>
        <v/>
      </c>
      <c r="E2213" s="5" t="str">
        <f t="shared" si="217"/>
        <v/>
      </c>
      <c r="F2213" s="5" t="str">
        <f t="shared" si="218"/>
        <v/>
      </c>
      <c r="G2213" s="23"/>
      <c r="H2213" s="66"/>
      <c r="I2213" s="14"/>
      <c r="J2213" s="14"/>
      <c r="K2213" s="14"/>
      <c r="L2213" s="5" t="str">
        <f t="shared" si="213"/>
        <v/>
      </c>
      <c r="M2213" s="5" t="str">
        <f t="shared" si="214"/>
        <v/>
      </c>
      <c r="N2213" s="5" t="str">
        <f t="shared" si="215"/>
        <v/>
      </c>
      <c r="O2213" s="4"/>
    </row>
    <row r="2214" spans="1:15" x14ac:dyDescent="0.25">
      <c r="A2214" s="14"/>
      <c r="B2214" s="14"/>
      <c r="C2214" s="14"/>
      <c r="D2214" s="5" t="str">
        <f t="shared" si="216"/>
        <v/>
      </c>
      <c r="E2214" s="5" t="str">
        <f t="shared" si="217"/>
        <v/>
      </c>
      <c r="F2214" s="5" t="str">
        <f t="shared" si="218"/>
        <v/>
      </c>
      <c r="G2214" s="23"/>
      <c r="H2214" s="66"/>
      <c r="I2214" s="14"/>
      <c r="J2214" s="14"/>
      <c r="K2214" s="14"/>
      <c r="L2214" s="5" t="str">
        <f t="shared" si="213"/>
        <v/>
      </c>
      <c r="M2214" s="5" t="str">
        <f t="shared" si="214"/>
        <v/>
      </c>
      <c r="N2214" s="5" t="str">
        <f t="shared" si="215"/>
        <v/>
      </c>
      <c r="O2214" s="4"/>
    </row>
    <row r="2215" spans="1:15" x14ac:dyDescent="0.25">
      <c r="A2215" s="14"/>
      <c r="B2215" s="14"/>
      <c r="C2215" s="14"/>
      <c r="D2215" s="5" t="str">
        <f t="shared" si="216"/>
        <v/>
      </c>
      <c r="E2215" s="5" t="str">
        <f t="shared" si="217"/>
        <v/>
      </c>
      <c r="F2215" s="5" t="str">
        <f t="shared" si="218"/>
        <v/>
      </c>
      <c r="G2215" s="23"/>
      <c r="H2215" s="66"/>
      <c r="I2215" s="14"/>
      <c r="J2215" s="14"/>
      <c r="K2215" s="14"/>
      <c r="L2215" s="5" t="str">
        <f t="shared" si="213"/>
        <v/>
      </c>
      <c r="M2215" s="5" t="str">
        <f t="shared" si="214"/>
        <v/>
      </c>
      <c r="N2215" s="5" t="str">
        <f t="shared" si="215"/>
        <v/>
      </c>
      <c r="O2215" s="4"/>
    </row>
    <row r="2216" spans="1:15" x14ac:dyDescent="0.25">
      <c r="A2216" s="14"/>
      <c r="B2216" s="14"/>
      <c r="C2216" s="14"/>
      <c r="D2216" s="5" t="str">
        <f t="shared" si="216"/>
        <v/>
      </c>
      <c r="E2216" s="5" t="str">
        <f t="shared" si="217"/>
        <v/>
      </c>
      <c r="F2216" s="5" t="str">
        <f t="shared" si="218"/>
        <v/>
      </c>
      <c r="G2216" s="23"/>
      <c r="H2216" s="66"/>
      <c r="I2216" s="14"/>
      <c r="J2216" s="14"/>
      <c r="K2216" s="14"/>
      <c r="L2216" s="5" t="str">
        <f t="shared" si="213"/>
        <v/>
      </c>
      <c r="M2216" s="5" t="str">
        <f t="shared" si="214"/>
        <v/>
      </c>
      <c r="N2216" s="5" t="str">
        <f t="shared" si="215"/>
        <v/>
      </c>
      <c r="O2216" s="4"/>
    </row>
    <row r="2217" spans="1:15" x14ac:dyDescent="0.25">
      <c r="A2217" s="14"/>
      <c r="B2217" s="14"/>
      <c r="C2217" s="14"/>
      <c r="D2217" s="5" t="str">
        <f t="shared" si="216"/>
        <v/>
      </c>
      <c r="E2217" s="5" t="str">
        <f t="shared" si="217"/>
        <v/>
      </c>
      <c r="F2217" s="5" t="str">
        <f t="shared" si="218"/>
        <v/>
      </c>
      <c r="G2217" s="23"/>
      <c r="H2217" s="66"/>
      <c r="I2217" s="14"/>
      <c r="J2217" s="14"/>
      <c r="K2217" s="14"/>
      <c r="L2217" s="5" t="str">
        <f t="shared" si="213"/>
        <v/>
      </c>
      <c r="M2217" s="5" t="str">
        <f t="shared" si="214"/>
        <v/>
      </c>
      <c r="N2217" s="5" t="str">
        <f t="shared" si="215"/>
        <v/>
      </c>
      <c r="O2217" s="4"/>
    </row>
    <row r="2218" spans="1:15" x14ac:dyDescent="0.25">
      <c r="A2218" s="14"/>
      <c r="B2218" s="14"/>
      <c r="C2218" s="14"/>
      <c r="D2218" s="5" t="str">
        <f t="shared" si="216"/>
        <v/>
      </c>
      <c r="E2218" s="5" t="str">
        <f t="shared" si="217"/>
        <v/>
      </c>
      <c r="F2218" s="5" t="str">
        <f t="shared" si="218"/>
        <v/>
      </c>
      <c r="G2218" s="23"/>
      <c r="H2218" s="66"/>
      <c r="I2218" s="14"/>
      <c r="J2218" s="14"/>
      <c r="K2218" s="14"/>
      <c r="L2218" s="5" t="str">
        <f t="shared" si="213"/>
        <v/>
      </c>
      <c r="M2218" s="5" t="str">
        <f t="shared" si="214"/>
        <v/>
      </c>
      <c r="N2218" s="5" t="str">
        <f t="shared" si="215"/>
        <v/>
      </c>
      <c r="O2218" s="4"/>
    </row>
    <row r="2219" spans="1:15" x14ac:dyDescent="0.25">
      <c r="A2219" s="14"/>
      <c r="B2219" s="14"/>
      <c r="C2219" s="14"/>
      <c r="D2219" s="5" t="str">
        <f t="shared" si="216"/>
        <v/>
      </c>
      <c r="E2219" s="5" t="str">
        <f t="shared" si="217"/>
        <v/>
      </c>
      <c r="F2219" s="5" t="str">
        <f t="shared" si="218"/>
        <v/>
      </c>
      <c r="G2219" s="23"/>
      <c r="H2219" s="66"/>
      <c r="I2219" s="14"/>
      <c r="J2219" s="14"/>
      <c r="K2219" s="14"/>
      <c r="L2219" s="5" t="str">
        <f t="shared" si="213"/>
        <v/>
      </c>
      <c r="M2219" s="5" t="str">
        <f t="shared" si="214"/>
        <v/>
      </c>
      <c r="N2219" s="5" t="str">
        <f t="shared" si="215"/>
        <v/>
      </c>
      <c r="O2219" s="4"/>
    </row>
    <row r="2220" spans="1:15" x14ac:dyDescent="0.25">
      <c r="A2220" s="14"/>
      <c r="B2220" s="14"/>
      <c r="C2220" s="14"/>
      <c r="D2220" s="5" t="str">
        <f t="shared" si="216"/>
        <v/>
      </c>
      <c r="E2220" s="5" t="str">
        <f t="shared" si="217"/>
        <v/>
      </c>
      <c r="F2220" s="5" t="str">
        <f t="shared" si="218"/>
        <v/>
      </c>
      <c r="G2220" s="23"/>
      <c r="H2220" s="66"/>
      <c r="I2220" s="14"/>
      <c r="J2220" s="14"/>
      <c r="K2220" s="14"/>
      <c r="L2220" s="5" t="str">
        <f t="shared" si="213"/>
        <v/>
      </c>
      <c r="M2220" s="5" t="str">
        <f t="shared" si="214"/>
        <v/>
      </c>
      <c r="N2220" s="5" t="str">
        <f t="shared" si="215"/>
        <v/>
      </c>
      <c r="O2220" s="4"/>
    </row>
    <row r="2221" spans="1:15" x14ac:dyDescent="0.25">
      <c r="A2221" s="14"/>
      <c r="B2221" s="14"/>
      <c r="C2221" s="14"/>
      <c r="D2221" s="5" t="str">
        <f t="shared" si="216"/>
        <v/>
      </c>
      <c r="E2221" s="5" t="str">
        <f t="shared" si="217"/>
        <v/>
      </c>
      <c r="F2221" s="5" t="str">
        <f t="shared" si="218"/>
        <v/>
      </c>
      <c r="G2221" s="23"/>
      <c r="H2221" s="66"/>
      <c r="I2221" s="14"/>
      <c r="J2221" s="14"/>
      <c r="K2221" s="14"/>
      <c r="L2221" s="5" t="str">
        <f t="shared" si="213"/>
        <v/>
      </c>
      <c r="M2221" s="5" t="str">
        <f t="shared" si="214"/>
        <v/>
      </c>
      <c r="N2221" s="5" t="str">
        <f t="shared" si="215"/>
        <v/>
      </c>
      <c r="O2221" s="4"/>
    </row>
    <row r="2222" spans="1:15" x14ac:dyDescent="0.25">
      <c r="A2222" s="14"/>
      <c r="B2222" s="14"/>
      <c r="C2222" s="14"/>
      <c r="D2222" s="5" t="str">
        <f t="shared" si="216"/>
        <v/>
      </c>
      <c r="E2222" s="5" t="str">
        <f t="shared" si="217"/>
        <v/>
      </c>
      <c r="F2222" s="5" t="str">
        <f t="shared" si="218"/>
        <v/>
      </c>
      <c r="G2222" s="23"/>
      <c r="H2222" s="66"/>
      <c r="I2222" s="14"/>
      <c r="J2222" s="14"/>
      <c r="K2222" s="14"/>
      <c r="L2222" s="5" t="str">
        <f t="shared" si="213"/>
        <v/>
      </c>
      <c r="M2222" s="5" t="str">
        <f t="shared" si="214"/>
        <v/>
      </c>
      <c r="N2222" s="5" t="str">
        <f t="shared" si="215"/>
        <v/>
      </c>
      <c r="O2222" s="4"/>
    </row>
    <row r="2223" spans="1:15" x14ac:dyDescent="0.25">
      <c r="A2223" s="14"/>
      <c r="B2223" s="14"/>
      <c r="C2223" s="14"/>
      <c r="D2223" s="5" t="str">
        <f t="shared" si="216"/>
        <v/>
      </c>
      <c r="E2223" s="5" t="str">
        <f t="shared" si="217"/>
        <v/>
      </c>
      <c r="F2223" s="5" t="str">
        <f t="shared" si="218"/>
        <v/>
      </c>
      <c r="G2223" s="23"/>
      <c r="H2223" s="66"/>
      <c r="I2223" s="14"/>
      <c r="J2223" s="14"/>
      <c r="K2223" s="14"/>
      <c r="L2223" s="5" t="str">
        <f t="shared" si="213"/>
        <v/>
      </c>
      <c r="M2223" s="5" t="str">
        <f t="shared" si="214"/>
        <v/>
      </c>
      <c r="N2223" s="5" t="str">
        <f t="shared" si="215"/>
        <v/>
      </c>
      <c r="O2223" s="4"/>
    </row>
    <row r="2224" spans="1:15" x14ac:dyDescent="0.25">
      <c r="A2224" s="14"/>
      <c r="B2224" s="14"/>
      <c r="C2224" s="14"/>
      <c r="D2224" s="5" t="str">
        <f t="shared" si="216"/>
        <v/>
      </c>
      <c r="E2224" s="5" t="str">
        <f t="shared" si="217"/>
        <v/>
      </c>
      <c r="F2224" s="5" t="str">
        <f t="shared" si="218"/>
        <v/>
      </c>
      <c r="G2224" s="23"/>
      <c r="H2224" s="66"/>
      <c r="I2224" s="14"/>
      <c r="J2224" s="14"/>
      <c r="K2224" s="14"/>
      <c r="L2224" s="5" t="str">
        <f t="shared" si="213"/>
        <v/>
      </c>
      <c r="M2224" s="5" t="str">
        <f t="shared" si="214"/>
        <v/>
      </c>
      <c r="N2224" s="5" t="str">
        <f t="shared" si="215"/>
        <v/>
      </c>
      <c r="O2224" s="4"/>
    </row>
    <row r="2225" spans="1:15" x14ac:dyDescent="0.25">
      <c r="A2225" s="14"/>
      <c r="B2225" s="14"/>
      <c r="C2225" s="14"/>
      <c r="D2225" s="5" t="str">
        <f t="shared" si="216"/>
        <v/>
      </c>
      <c r="E2225" s="5" t="str">
        <f t="shared" si="217"/>
        <v/>
      </c>
      <c r="F2225" s="5" t="str">
        <f t="shared" si="218"/>
        <v/>
      </c>
      <c r="G2225" s="23"/>
      <c r="H2225" s="66"/>
      <c r="I2225" s="14"/>
      <c r="J2225" s="14"/>
      <c r="K2225" s="14"/>
      <c r="L2225" s="5" t="str">
        <f t="shared" si="213"/>
        <v/>
      </c>
      <c r="M2225" s="5" t="str">
        <f t="shared" si="214"/>
        <v/>
      </c>
      <c r="N2225" s="5" t="str">
        <f t="shared" si="215"/>
        <v/>
      </c>
      <c r="O2225" s="4"/>
    </row>
    <row r="2226" spans="1:15" x14ac:dyDescent="0.25">
      <c r="A2226" s="14"/>
      <c r="B2226" s="14"/>
      <c r="C2226" s="14"/>
      <c r="D2226" s="5" t="str">
        <f t="shared" si="216"/>
        <v/>
      </c>
      <c r="E2226" s="5" t="str">
        <f t="shared" si="217"/>
        <v/>
      </c>
      <c r="F2226" s="5" t="str">
        <f t="shared" si="218"/>
        <v/>
      </c>
      <c r="G2226" s="23"/>
      <c r="H2226" s="66"/>
      <c r="I2226" s="14"/>
      <c r="J2226" s="14"/>
      <c r="K2226" s="14"/>
      <c r="L2226" s="5" t="str">
        <f t="shared" si="213"/>
        <v/>
      </c>
      <c r="M2226" s="5" t="str">
        <f t="shared" si="214"/>
        <v/>
      </c>
      <c r="N2226" s="5" t="str">
        <f t="shared" si="215"/>
        <v/>
      </c>
      <c r="O2226" s="4"/>
    </row>
    <row r="2227" spans="1:15" x14ac:dyDescent="0.25">
      <c r="A2227" s="14"/>
      <c r="B2227" s="14"/>
      <c r="C2227" s="14"/>
      <c r="D2227" s="5" t="str">
        <f t="shared" si="216"/>
        <v/>
      </c>
      <c r="E2227" s="5" t="str">
        <f t="shared" si="217"/>
        <v/>
      </c>
      <c r="F2227" s="5" t="str">
        <f t="shared" si="218"/>
        <v/>
      </c>
      <c r="G2227" s="23"/>
      <c r="H2227" s="66"/>
      <c r="I2227" s="14"/>
      <c r="J2227" s="14"/>
      <c r="K2227" s="14"/>
      <c r="L2227" s="5" t="str">
        <f t="shared" si="213"/>
        <v/>
      </c>
      <c r="M2227" s="5" t="str">
        <f t="shared" si="214"/>
        <v/>
      </c>
      <c r="N2227" s="5" t="str">
        <f t="shared" si="215"/>
        <v/>
      </c>
      <c r="O2227" s="4"/>
    </row>
    <row r="2228" spans="1:15" x14ac:dyDescent="0.25">
      <c r="A2228" s="14"/>
      <c r="B2228" s="14"/>
      <c r="C2228" s="14"/>
      <c r="D2228" s="5" t="str">
        <f t="shared" si="216"/>
        <v/>
      </c>
      <c r="E2228" s="5" t="str">
        <f t="shared" si="217"/>
        <v/>
      </c>
      <c r="F2228" s="5" t="str">
        <f t="shared" si="218"/>
        <v/>
      </c>
      <c r="G2228" s="23"/>
      <c r="H2228" s="66"/>
      <c r="I2228" s="14"/>
      <c r="J2228" s="14"/>
      <c r="K2228" s="14"/>
      <c r="L2228" s="5" t="str">
        <f t="shared" si="213"/>
        <v/>
      </c>
      <c r="M2228" s="5" t="str">
        <f t="shared" si="214"/>
        <v/>
      </c>
      <c r="N2228" s="5" t="str">
        <f t="shared" si="215"/>
        <v/>
      </c>
      <c r="O2228" s="4"/>
    </row>
    <row r="2229" spans="1:15" x14ac:dyDescent="0.25">
      <c r="A2229" s="14"/>
      <c r="B2229" s="14"/>
      <c r="C2229" s="14"/>
      <c r="D2229" s="5" t="str">
        <f t="shared" si="216"/>
        <v/>
      </c>
      <c r="E2229" s="5" t="str">
        <f t="shared" si="217"/>
        <v/>
      </c>
      <c r="F2229" s="5" t="str">
        <f t="shared" si="218"/>
        <v/>
      </c>
      <c r="G2229" s="23"/>
      <c r="H2229" s="66"/>
      <c r="I2229" s="14"/>
      <c r="J2229" s="14"/>
      <c r="K2229" s="14"/>
      <c r="L2229" s="5" t="str">
        <f t="shared" si="213"/>
        <v/>
      </c>
      <c r="M2229" s="5" t="str">
        <f t="shared" si="214"/>
        <v/>
      </c>
      <c r="N2229" s="5" t="str">
        <f t="shared" si="215"/>
        <v/>
      </c>
      <c r="O2229" s="4"/>
    </row>
    <row r="2230" spans="1:15" x14ac:dyDescent="0.25">
      <c r="A2230" s="14"/>
      <c r="B2230" s="14"/>
      <c r="C2230" s="14"/>
      <c r="D2230" s="5" t="str">
        <f t="shared" si="216"/>
        <v/>
      </c>
      <c r="E2230" s="5" t="str">
        <f t="shared" si="217"/>
        <v/>
      </c>
      <c r="F2230" s="5" t="str">
        <f t="shared" si="218"/>
        <v/>
      </c>
      <c r="G2230" s="23"/>
      <c r="H2230" s="66"/>
      <c r="I2230" s="14"/>
      <c r="J2230" s="14"/>
      <c r="K2230" s="14"/>
      <c r="L2230" s="5" t="str">
        <f t="shared" si="213"/>
        <v/>
      </c>
      <c r="M2230" s="5" t="str">
        <f t="shared" si="214"/>
        <v/>
      </c>
      <c r="N2230" s="5" t="str">
        <f t="shared" si="215"/>
        <v/>
      </c>
      <c r="O2230" s="4"/>
    </row>
    <row r="2231" spans="1:15" x14ac:dyDescent="0.25">
      <c r="A2231" s="14"/>
      <c r="B2231" s="14"/>
      <c r="C2231" s="14"/>
      <c r="D2231" s="5" t="str">
        <f t="shared" si="216"/>
        <v/>
      </c>
      <c r="E2231" s="5" t="str">
        <f t="shared" si="217"/>
        <v/>
      </c>
      <c r="F2231" s="5" t="str">
        <f t="shared" si="218"/>
        <v/>
      </c>
      <c r="G2231" s="23"/>
      <c r="H2231" s="66"/>
      <c r="I2231" s="14"/>
      <c r="J2231" s="14"/>
      <c r="K2231" s="14"/>
      <c r="L2231" s="5" t="str">
        <f t="shared" si="213"/>
        <v/>
      </c>
      <c r="M2231" s="5" t="str">
        <f t="shared" si="214"/>
        <v/>
      </c>
      <c r="N2231" s="5" t="str">
        <f t="shared" si="215"/>
        <v/>
      </c>
      <c r="O2231" s="4"/>
    </row>
    <row r="2232" spans="1:15" x14ac:dyDescent="0.25">
      <c r="A2232" s="14"/>
      <c r="B2232" s="14"/>
      <c r="C2232" s="14"/>
      <c r="D2232" s="5" t="str">
        <f t="shared" si="216"/>
        <v/>
      </c>
      <c r="E2232" s="5" t="str">
        <f t="shared" si="217"/>
        <v/>
      </c>
      <c r="F2232" s="5" t="str">
        <f t="shared" si="218"/>
        <v/>
      </c>
      <c r="G2232" s="23"/>
      <c r="H2232" s="66"/>
      <c r="I2232" s="14"/>
      <c r="J2232" s="14"/>
      <c r="K2232" s="14"/>
      <c r="L2232" s="5" t="str">
        <f t="shared" si="213"/>
        <v/>
      </c>
      <c r="M2232" s="5" t="str">
        <f t="shared" si="214"/>
        <v/>
      </c>
      <c r="N2232" s="5" t="str">
        <f t="shared" si="215"/>
        <v/>
      </c>
      <c r="O2232" s="4"/>
    </row>
    <row r="2233" spans="1:15" x14ac:dyDescent="0.25">
      <c r="A2233" s="14"/>
      <c r="B2233" s="14"/>
      <c r="C2233" s="14"/>
      <c r="D2233" s="5" t="str">
        <f t="shared" si="216"/>
        <v/>
      </c>
      <c r="E2233" s="5" t="str">
        <f t="shared" si="217"/>
        <v/>
      </c>
      <c r="F2233" s="5" t="str">
        <f t="shared" si="218"/>
        <v/>
      </c>
      <c r="G2233" s="23"/>
      <c r="H2233" s="66"/>
      <c r="I2233" s="14"/>
      <c r="J2233" s="14"/>
      <c r="K2233" s="14"/>
      <c r="L2233" s="5" t="str">
        <f t="shared" si="213"/>
        <v/>
      </c>
      <c r="M2233" s="5" t="str">
        <f t="shared" si="214"/>
        <v/>
      </c>
      <c r="N2233" s="5" t="str">
        <f t="shared" si="215"/>
        <v/>
      </c>
      <c r="O2233" s="4"/>
    </row>
    <row r="2234" spans="1:15" x14ac:dyDescent="0.25">
      <c r="A2234" s="14"/>
      <c r="B2234" s="14"/>
      <c r="C2234" s="14"/>
      <c r="D2234" s="5" t="str">
        <f t="shared" si="216"/>
        <v/>
      </c>
      <c r="E2234" s="5" t="str">
        <f t="shared" si="217"/>
        <v/>
      </c>
      <c r="F2234" s="5" t="str">
        <f t="shared" si="218"/>
        <v/>
      </c>
      <c r="G2234" s="23"/>
      <c r="H2234" s="66"/>
      <c r="I2234" s="14"/>
      <c r="J2234" s="14"/>
      <c r="K2234" s="14"/>
      <c r="L2234" s="5" t="str">
        <f t="shared" si="213"/>
        <v/>
      </c>
      <c r="M2234" s="5" t="str">
        <f t="shared" si="214"/>
        <v/>
      </c>
      <c r="N2234" s="5" t="str">
        <f t="shared" si="215"/>
        <v/>
      </c>
      <c r="O2234" s="4"/>
    </row>
    <row r="2235" spans="1:15" x14ac:dyDescent="0.25">
      <c r="A2235" s="14"/>
      <c r="B2235" s="14"/>
      <c r="C2235" s="14"/>
      <c r="D2235" s="5" t="str">
        <f t="shared" si="216"/>
        <v/>
      </c>
      <c r="E2235" s="5" t="str">
        <f t="shared" si="217"/>
        <v/>
      </c>
      <c r="F2235" s="5" t="str">
        <f t="shared" si="218"/>
        <v/>
      </c>
      <c r="G2235" s="23"/>
      <c r="H2235" s="66"/>
      <c r="I2235" s="14"/>
      <c r="J2235" s="14"/>
      <c r="K2235" s="14"/>
      <c r="L2235" s="5" t="str">
        <f t="shared" si="213"/>
        <v/>
      </c>
      <c r="M2235" s="5" t="str">
        <f t="shared" si="214"/>
        <v/>
      </c>
      <c r="N2235" s="5" t="str">
        <f t="shared" si="215"/>
        <v/>
      </c>
      <c r="O2235" s="4"/>
    </row>
    <row r="2236" spans="1:15" x14ac:dyDescent="0.25">
      <c r="A2236" s="14"/>
      <c r="B2236" s="14"/>
      <c r="C2236" s="14"/>
      <c r="D2236" s="5" t="str">
        <f t="shared" si="216"/>
        <v/>
      </c>
      <c r="E2236" s="5" t="str">
        <f t="shared" si="217"/>
        <v/>
      </c>
      <c r="F2236" s="5" t="str">
        <f t="shared" si="218"/>
        <v/>
      </c>
      <c r="G2236" s="23"/>
      <c r="H2236" s="66"/>
      <c r="I2236" s="14"/>
      <c r="J2236" s="14"/>
      <c r="K2236" s="14"/>
      <c r="L2236" s="5" t="str">
        <f t="shared" si="213"/>
        <v/>
      </c>
      <c r="M2236" s="5" t="str">
        <f t="shared" si="214"/>
        <v/>
      </c>
      <c r="N2236" s="5" t="str">
        <f t="shared" si="215"/>
        <v/>
      </c>
      <c r="O2236" s="4"/>
    </row>
    <row r="2237" spans="1:15" x14ac:dyDescent="0.25">
      <c r="A2237" s="14"/>
      <c r="B2237" s="14"/>
      <c r="C2237" s="14"/>
      <c r="D2237" s="5" t="str">
        <f t="shared" si="216"/>
        <v/>
      </c>
      <c r="E2237" s="5" t="str">
        <f t="shared" si="217"/>
        <v/>
      </c>
      <c r="F2237" s="5" t="str">
        <f t="shared" si="218"/>
        <v/>
      </c>
      <c r="G2237" s="23"/>
      <c r="H2237" s="66"/>
      <c r="I2237" s="14"/>
      <c r="J2237" s="14"/>
      <c r="K2237" s="14"/>
      <c r="L2237" s="5" t="str">
        <f t="shared" si="213"/>
        <v/>
      </c>
      <c r="M2237" s="5" t="str">
        <f t="shared" si="214"/>
        <v/>
      </c>
      <c r="N2237" s="5" t="str">
        <f t="shared" si="215"/>
        <v/>
      </c>
      <c r="O2237" s="4"/>
    </row>
    <row r="2238" spans="1:15" x14ac:dyDescent="0.25">
      <c r="A2238" s="14"/>
      <c r="B2238" s="14"/>
      <c r="C2238" s="14"/>
      <c r="D2238" s="5" t="str">
        <f t="shared" si="216"/>
        <v/>
      </c>
      <c r="E2238" s="5" t="str">
        <f t="shared" si="217"/>
        <v/>
      </c>
      <c r="F2238" s="5" t="str">
        <f t="shared" si="218"/>
        <v/>
      </c>
      <c r="G2238" s="23"/>
      <c r="H2238" s="66"/>
      <c r="I2238" s="14"/>
      <c r="J2238" s="14"/>
      <c r="K2238" s="14"/>
      <c r="L2238" s="5" t="str">
        <f t="shared" si="213"/>
        <v/>
      </c>
      <c r="M2238" s="5" t="str">
        <f t="shared" si="214"/>
        <v/>
      </c>
      <c r="N2238" s="5" t="str">
        <f t="shared" si="215"/>
        <v/>
      </c>
      <c r="O2238" s="4"/>
    </row>
    <row r="2239" spans="1:15" x14ac:dyDescent="0.25">
      <c r="A2239" s="14"/>
      <c r="B2239" s="14"/>
      <c r="C2239" s="14"/>
      <c r="D2239" s="5" t="str">
        <f t="shared" si="216"/>
        <v/>
      </c>
      <c r="E2239" s="5" t="str">
        <f t="shared" si="217"/>
        <v/>
      </c>
      <c r="F2239" s="5" t="str">
        <f t="shared" si="218"/>
        <v/>
      </c>
      <c r="G2239" s="23"/>
      <c r="H2239" s="66"/>
      <c r="I2239" s="14"/>
      <c r="J2239" s="14"/>
      <c r="K2239" s="14"/>
      <c r="L2239" s="5" t="str">
        <f t="shared" si="213"/>
        <v/>
      </c>
      <c r="M2239" s="5" t="str">
        <f t="shared" si="214"/>
        <v/>
      </c>
      <c r="N2239" s="5" t="str">
        <f t="shared" si="215"/>
        <v/>
      </c>
      <c r="O2239" s="4"/>
    </row>
    <row r="2240" spans="1:15" x14ac:dyDescent="0.25">
      <c r="A2240" s="14"/>
      <c r="B2240" s="14"/>
      <c r="C2240" s="14"/>
      <c r="D2240" s="5" t="str">
        <f t="shared" si="216"/>
        <v/>
      </c>
      <c r="E2240" s="5" t="str">
        <f t="shared" si="217"/>
        <v/>
      </c>
      <c r="F2240" s="5" t="str">
        <f t="shared" si="218"/>
        <v/>
      </c>
      <c r="G2240" s="23"/>
      <c r="H2240" s="66"/>
      <c r="I2240" s="14"/>
      <c r="J2240" s="14"/>
      <c r="K2240" s="14"/>
      <c r="L2240" s="5" t="str">
        <f t="shared" si="213"/>
        <v/>
      </c>
      <c r="M2240" s="5" t="str">
        <f t="shared" si="214"/>
        <v/>
      </c>
      <c r="N2240" s="5" t="str">
        <f t="shared" si="215"/>
        <v/>
      </c>
      <c r="O2240" s="4"/>
    </row>
    <row r="2241" spans="1:15" x14ac:dyDescent="0.25">
      <c r="A2241" s="14"/>
      <c r="B2241" s="14"/>
      <c r="C2241" s="14"/>
      <c r="D2241" s="5" t="str">
        <f t="shared" si="216"/>
        <v/>
      </c>
      <c r="E2241" s="5" t="str">
        <f t="shared" si="217"/>
        <v/>
      </c>
      <c r="F2241" s="5" t="str">
        <f t="shared" si="218"/>
        <v/>
      </c>
      <c r="G2241" s="23"/>
      <c r="H2241" s="66"/>
      <c r="I2241" s="14"/>
      <c r="J2241" s="14"/>
      <c r="K2241" s="14"/>
      <c r="L2241" s="5" t="str">
        <f t="shared" si="213"/>
        <v/>
      </c>
      <c r="M2241" s="5" t="str">
        <f t="shared" si="214"/>
        <v/>
      </c>
      <c r="N2241" s="5" t="str">
        <f t="shared" si="215"/>
        <v/>
      </c>
      <c r="O2241" s="4"/>
    </row>
    <row r="2242" spans="1:15" x14ac:dyDescent="0.25">
      <c r="A2242" s="14"/>
      <c r="B2242" s="14"/>
      <c r="C2242" s="14"/>
      <c r="D2242" s="5" t="str">
        <f t="shared" si="216"/>
        <v/>
      </c>
      <c r="E2242" s="5" t="str">
        <f t="shared" si="217"/>
        <v/>
      </c>
      <c r="F2242" s="5" t="str">
        <f t="shared" si="218"/>
        <v/>
      </c>
      <c r="G2242" s="23"/>
      <c r="H2242" s="66"/>
      <c r="I2242" s="14"/>
      <c r="J2242" s="14"/>
      <c r="K2242" s="14"/>
      <c r="L2242" s="5" t="str">
        <f t="shared" si="213"/>
        <v/>
      </c>
      <c r="M2242" s="5" t="str">
        <f t="shared" si="214"/>
        <v/>
      </c>
      <c r="N2242" s="5" t="str">
        <f t="shared" si="215"/>
        <v/>
      </c>
      <c r="O2242" s="4"/>
    </row>
    <row r="2243" spans="1:15" x14ac:dyDescent="0.25">
      <c r="A2243" s="14"/>
      <c r="B2243" s="14"/>
      <c r="C2243" s="14"/>
      <c r="D2243" s="5" t="str">
        <f t="shared" si="216"/>
        <v/>
      </c>
      <c r="E2243" s="5" t="str">
        <f t="shared" si="217"/>
        <v/>
      </c>
      <c r="F2243" s="5" t="str">
        <f t="shared" si="218"/>
        <v/>
      </c>
      <c r="G2243" s="23"/>
      <c r="H2243" s="66"/>
      <c r="I2243" s="14"/>
      <c r="J2243" s="14"/>
      <c r="K2243" s="14"/>
      <c r="L2243" s="5" t="str">
        <f t="shared" si="213"/>
        <v/>
      </c>
      <c r="M2243" s="5" t="str">
        <f t="shared" si="214"/>
        <v/>
      </c>
      <c r="N2243" s="5" t="str">
        <f t="shared" si="215"/>
        <v/>
      </c>
      <c r="O2243" s="4"/>
    </row>
    <row r="2244" spans="1:15" x14ac:dyDescent="0.25">
      <c r="A2244" s="14"/>
      <c r="B2244" s="14"/>
      <c r="C2244" s="14"/>
      <c r="D2244" s="5" t="str">
        <f t="shared" si="216"/>
        <v/>
      </c>
      <c r="E2244" s="5" t="str">
        <f t="shared" si="217"/>
        <v/>
      </c>
      <c r="F2244" s="5" t="str">
        <f t="shared" si="218"/>
        <v/>
      </c>
      <c r="G2244" s="23"/>
      <c r="H2244" s="66"/>
      <c r="I2244" s="14"/>
      <c r="J2244" s="14"/>
      <c r="K2244" s="14"/>
      <c r="L2244" s="5" t="str">
        <f t="shared" si="213"/>
        <v/>
      </c>
      <c r="M2244" s="5" t="str">
        <f t="shared" si="214"/>
        <v/>
      </c>
      <c r="N2244" s="5" t="str">
        <f t="shared" si="215"/>
        <v/>
      </c>
      <c r="O2244" s="4"/>
    </row>
    <row r="2245" spans="1:15" x14ac:dyDescent="0.25">
      <c r="A2245" s="14"/>
      <c r="B2245" s="14"/>
      <c r="C2245" s="14"/>
      <c r="D2245" s="5" t="str">
        <f t="shared" si="216"/>
        <v/>
      </c>
      <c r="E2245" s="5" t="str">
        <f t="shared" si="217"/>
        <v/>
      </c>
      <c r="F2245" s="5" t="str">
        <f t="shared" si="218"/>
        <v/>
      </c>
      <c r="G2245" s="23"/>
      <c r="H2245" s="66"/>
      <c r="I2245" s="14"/>
      <c r="J2245" s="14"/>
      <c r="K2245" s="14"/>
      <c r="L2245" s="5" t="str">
        <f t="shared" si="213"/>
        <v/>
      </c>
      <c r="M2245" s="5" t="str">
        <f t="shared" si="214"/>
        <v/>
      </c>
      <c r="N2245" s="5" t="str">
        <f t="shared" si="215"/>
        <v/>
      </c>
      <c r="O2245" s="4"/>
    </row>
    <row r="2246" spans="1:15" x14ac:dyDescent="0.25">
      <c r="A2246" s="14"/>
      <c r="B2246" s="14"/>
      <c r="C2246" s="14"/>
      <c r="D2246" s="5" t="str">
        <f t="shared" si="216"/>
        <v/>
      </c>
      <c r="E2246" s="5" t="str">
        <f t="shared" si="217"/>
        <v/>
      </c>
      <c r="F2246" s="5" t="str">
        <f t="shared" si="218"/>
        <v/>
      </c>
      <c r="G2246" s="23"/>
      <c r="H2246" s="66"/>
      <c r="I2246" s="14"/>
      <c r="J2246" s="14"/>
      <c r="K2246" s="14"/>
      <c r="L2246" s="5" t="str">
        <f t="shared" si="213"/>
        <v/>
      </c>
      <c r="M2246" s="5" t="str">
        <f t="shared" si="214"/>
        <v/>
      </c>
      <c r="N2246" s="5" t="str">
        <f t="shared" si="215"/>
        <v/>
      </c>
      <c r="O2246" s="4"/>
    </row>
    <row r="2247" spans="1:15" x14ac:dyDescent="0.25">
      <c r="A2247" s="14"/>
      <c r="B2247" s="14"/>
      <c r="C2247" s="14"/>
      <c r="D2247" s="5" t="str">
        <f t="shared" si="216"/>
        <v/>
      </c>
      <c r="E2247" s="5" t="str">
        <f t="shared" si="217"/>
        <v/>
      </c>
      <c r="F2247" s="5" t="str">
        <f t="shared" si="218"/>
        <v/>
      </c>
      <c r="G2247" s="23"/>
      <c r="H2247" s="66"/>
      <c r="I2247" s="14"/>
      <c r="J2247" s="14"/>
      <c r="K2247" s="14"/>
      <c r="L2247" s="5" t="str">
        <f t="shared" si="213"/>
        <v/>
      </c>
      <c r="M2247" s="5" t="str">
        <f t="shared" si="214"/>
        <v/>
      </c>
      <c r="N2247" s="5" t="str">
        <f t="shared" si="215"/>
        <v/>
      </c>
      <c r="O2247" s="4"/>
    </row>
    <row r="2248" spans="1:15" x14ac:dyDescent="0.25">
      <c r="A2248" s="14"/>
      <c r="B2248" s="14"/>
      <c r="C2248" s="14"/>
      <c r="D2248" s="5" t="str">
        <f t="shared" si="216"/>
        <v/>
      </c>
      <c r="E2248" s="5" t="str">
        <f t="shared" si="217"/>
        <v/>
      </c>
      <c r="F2248" s="5" t="str">
        <f t="shared" si="218"/>
        <v/>
      </c>
      <c r="G2248" s="23"/>
      <c r="H2248" s="66"/>
      <c r="I2248" s="14"/>
      <c r="J2248" s="14"/>
      <c r="K2248" s="14"/>
      <c r="L2248" s="5" t="str">
        <f t="shared" si="213"/>
        <v/>
      </c>
      <c r="M2248" s="5" t="str">
        <f t="shared" si="214"/>
        <v/>
      </c>
      <c r="N2248" s="5" t="str">
        <f t="shared" si="215"/>
        <v/>
      </c>
      <c r="O2248" s="4"/>
    </row>
    <row r="2249" spans="1:15" x14ac:dyDescent="0.25">
      <c r="A2249" s="14"/>
      <c r="B2249" s="14"/>
      <c r="C2249" s="14"/>
      <c r="D2249" s="5" t="str">
        <f t="shared" si="216"/>
        <v/>
      </c>
      <c r="E2249" s="5" t="str">
        <f t="shared" si="217"/>
        <v/>
      </c>
      <c r="F2249" s="5" t="str">
        <f t="shared" si="218"/>
        <v/>
      </c>
      <c r="G2249" s="23"/>
      <c r="H2249" s="66"/>
      <c r="I2249" s="14"/>
      <c r="J2249" s="14"/>
      <c r="K2249" s="14"/>
      <c r="L2249" s="5" t="str">
        <f t="shared" si="213"/>
        <v/>
      </c>
      <c r="M2249" s="5" t="str">
        <f t="shared" si="214"/>
        <v/>
      </c>
      <c r="N2249" s="5" t="str">
        <f t="shared" si="215"/>
        <v/>
      </c>
      <c r="O2249" s="4"/>
    </row>
    <row r="2250" spans="1:15" x14ac:dyDescent="0.25">
      <c r="A2250" s="14"/>
      <c r="B2250" s="14"/>
      <c r="C2250" s="14"/>
      <c r="D2250" s="5" t="str">
        <f t="shared" si="216"/>
        <v/>
      </c>
      <c r="E2250" s="5" t="str">
        <f t="shared" si="217"/>
        <v/>
      </c>
      <c r="F2250" s="5" t="str">
        <f t="shared" si="218"/>
        <v/>
      </c>
      <c r="G2250" s="23"/>
      <c r="H2250" s="66"/>
      <c r="I2250" s="14"/>
      <c r="J2250" s="14"/>
      <c r="K2250" s="14"/>
      <c r="L2250" s="5" t="str">
        <f t="shared" si="213"/>
        <v/>
      </c>
      <c r="M2250" s="5" t="str">
        <f t="shared" si="214"/>
        <v/>
      </c>
      <c r="N2250" s="5" t="str">
        <f t="shared" si="215"/>
        <v/>
      </c>
      <c r="O2250" s="4"/>
    </row>
    <row r="2251" spans="1:15" x14ac:dyDescent="0.25">
      <c r="A2251" s="14"/>
      <c r="B2251" s="14"/>
      <c r="C2251" s="14"/>
      <c r="D2251" s="5" t="str">
        <f t="shared" si="216"/>
        <v/>
      </c>
      <c r="E2251" s="5" t="str">
        <f t="shared" si="217"/>
        <v/>
      </c>
      <c r="F2251" s="5" t="str">
        <f t="shared" si="218"/>
        <v/>
      </c>
      <c r="G2251" s="23"/>
      <c r="H2251" s="66"/>
      <c r="I2251" s="14"/>
      <c r="J2251" s="14"/>
      <c r="K2251" s="14"/>
      <c r="L2251" s="5" t="str">
        <f t="shared" si="213"/>
        <v/>
      </c>
      <c r="M2251" s="5" t="str">
        <f t="shared" si="214"/>
        <v/>
      </c>
      <c r="N2251" s="5" t="str">
        <f t="shared" si="215"/>
        <v/>
      </c>
      <c r="O2251" s="4"/>
    </row>
    <row r="2252" spans="1:15" x14ac:dyDescent="0.25">
      <c r="A2252" s="14"/>
      <c r="B2252" s="14"/>
      <c r="C2252" s="14"/>
      <c r="D2252" s="5" t="str">
        <f t="shared" si="216"/>
        <v/>
      </c>
      <c r="E2252" s="5" t="str">
        <f t="shared" si="217"/>
        <v/>
      </c>
      <c r="F2252" s="5" t="str">
        <f t="shared" si="218"/>
        <v/>
      </c>
      <c r="G2252" s="23"/>
      <c r="H2252" s="66"/>
      <c r="I2252" s="14"/>
      <c r="J2252" s="14"/>
      <c r="K2252" s="14"/>
      <c r="L2252" s="5" t="str">
        <f t="shared" si="213"/>
        <v/>
      </c>
      <c r="M2252" s="5" t="str">
        <f t="shared" si="214"/>
        <v/>
      </c>
      <c r="N2252" s="5" t="str">
        <f t="shared" si="215"/>
        <v/>
      </c>
      <c r="O2252" s="4"/>
    </row>
    <row r="2253" spans="1:15" x14ac:dyDescent="0.25">
      <c r="A2253" s="14"/>
      <c r="B2253" s="14"/>
      <c r="C2253" s="14"/>
      <c r="D2253" s="5" t="str">
        <f t="shared" si="216"/>
        <v/>
      </c>
      <c r="E2253" s="5" t="str">
        <f t="shared" si="217"/>
        <v/>
      </c>
      <c r="F2253" s="5" t="str">
        <f t="shared" si="218"/>
        <v/>
      </c>
      <c r="G2253" s="23"/>
      <c r="H2253" s="66"/>
      <c r="I2253" s="14"/>
      <c r="J2253" s="14"/>
      <c r="K2253" s="14"/>
      <c r="L2253" s="5" t="str">
        <f t="shared" si="213"/>
        <v/>
      </c>
      <c r="M2253" s="5" t="str">
        <f t="shared" si="214"/>
        <v/>
      </c>
      <c r="N2253" s="5" t="str">
        <f t="shared" si="215"/>
        <v/>
      </c>
      <c r="O2253" s="4"/>
    </row>
    <row r="2254" spans="1:15" x14ac:dyDescent="0.25">
      <c r="A2254" s="14"/>
      <c r="B2254" s="14"/>
      <c r="C2254" s="14"/>
      <c r="D2254" s="5" t="str">
        <f t="shared" si="216"/>
        <v/>
      </c>
      <c r="E2254" s="5" t="str">
        <f t="shared" si="217"/>
        <v/>
      </c>
      <c r="F2254" s="5" t="str">
        <f t="shared" si="218"/>
        <v/>
      </c>
      <c r="G2254" s="23"/>
      <c r="H2254" s="66"/>
      <c r="I2254" s="14"/>
      <c r="J2254" s="14"/>
      <c r="K2254" s="14"/>
      <c r="L2254" s="5" t="str">
        <f t="shared" si="213"/>
        <v/>
      </c>
      <c r="M2254" s="5" t="str">
        <f t="shared" si="214"/>
        <v/>
      </c>
      <c r="N2254" s="5" t="str">
        <f t="shared" si="215"/>
        <v/>
      </c>
      <c r="O2254" s="4"/>
    </row>
    <row r="2255" spans="1:15" x14ac:dyDescent="0.25">
      <c r="A2255" s="14"/>
      <c r="B2255" s="14"/>
      <c r="C2255" s="14"/>
      <c r="D2255" s="5" t="str">
        <f t="shared" si="216"/>
        <v/>
      </c>
      <c r="E2255" s="5" t="str">
        <f t="shared" si="217"/>
        <v/>
      </c>
      <c r="F2255" s="5" t="str">
        <f t="shared" si="218"/>
        <v/>
      </c>
      <c r="G2255" s="23"/>
      <c r="H2255" s="66"/>
      <c r="I2255" s="14"/>
      <c r="J2255" s="14"/>
      <c r="K2255" s="14"/>
      <c r="L2255" s="5" t="str">
        <f t="shared" si="213"/>
        <v/>
      </c>
      <c r="M2255" s="5" t="str">
        <f t="shared" si="214"/>
        <v/>
      </c>
      <c r="N2255" s="5" t="str">
        <f t="shared" si="215"/>
        <v/>
      </c>
      <c r="O2255" s="4"/>
    </row>
    <row r="2256" spans="1:15" x14ac:dyDescent="0.25">
      <c r="A2256" s="14"/>
      <c r="B2256" s="14"/>
      <c r="C2256" s="14"/>
      <c r="D2256" s="5" t="str">
        <f t="shared" si="216"/>
        <v/>
      </c>
      <c r="E2256" s="5" t="str">
        <f t="shared" si="217"/>
        <v/>
      </c>
      <c r="F2256" s="5" t="str">
        <f t="shared" si="218"/>
        <v/>
      </c>
      <c r="G2256" s="23"/>
      <c r="H2256" s="66"/>
      <c r="I2256" s="14"/>
      <c r="J2256" s="14"/>
      <c r="K2256" s="14"/>
      <c r="L2256" s="5" t="str">
        <f t="shared" si="213"/>
        <v/>
      </c>
      <c r="M2256" s="5" t="str">
        <f t="shared" si="214"/>
        <v/>
      </c>
      <c r="N2256" s="5" t="str">
        <f t="shared" si="215"/>
        <v/>
      </c>
      <c r="O2256" s="4"/>
    </row>
    <row r="2257" spans="1:15" x14ac:dyDescent="0.25">
      <c r="A2257" s="14"/>
      <c r="B2257" s="14"/>
      <c r="C2257" s="14"/>
      <c r="D2257" s="5" t="str">
        <f t="shared" si="216"/>
        <v/>
      </c>
      <c r="E2257" s="5" t="str">
        <f t="shared" si="217"/>
        <v/>
      </c>
      <c r="F2257" s="5" t="str">
        <f t="shared" si="218"/>
        <v/>
      </c>
      <c r="G2257" s="23"/>
      <c r="H2257" s="66"/>
      <c r="I2257" s="14"/>
      <c r="J2257" s="14"/>
      <c r="K2257" s="14"/>
      <c r="L2257" s="5" t="str">
        <f t="shared" ref="L2257:L2320" si="219">IFERROR(IF(I2257&lt;&gt;"",(((J2257-J2256)*$X$4/(I2257-I2256)))*$X$5,""),"")</f>
        <v/>
      </c>
      <c r="M2257" s="5" t="str">
        <f t="shared" ref="M2257:M2320" si="220">IFERROR(IF(I2257&lt;&gt;"",(((K2257-K2256)*$X$4/(I2257-I2256)))*$X$5,""),"")</f>
        <v/>
      </c>
      <c r="N2257" s="5" t="str">
        <f t="shared" ref="N2257:N2320" si="221">IFERROR(IF(I2257&lt;&gt;"",((ACOS((COS(RADIANS(J2256))*COS(RADIANS(J2257)))+(SIN(RADIANS(J2256))*SIN(RADIANS(J2257)))*COS(RADIANS(K2257-K2256)))*180/PI()*($X$4/(I2257-I2256))))*$X$5,""),"")</f>
        <v/>
      </c>
      <c r="O2257" s="4"/>
    </row>
    <row r="2258" spans="1:15" x14ac:dyDescent="0.25">
      <c r="A2258" s="14"/>
      <c r="B2258" s="14"/>
      <c r="C2258" s="14"/>
      <c r="D2258" s="5" t="str">
        <f t="shared" si="216"/>
        <v/>
      </c>
      <c r="E2258" s="5" t="str">
        <f t="shared" si="217"/>
        <v/>
      </c>
      <c r="F2258" s="5" t="str">
        <f t="shared" si="218"/>
        <v/>
      </c>
      <c r="G2258" s="23"/>
      <c r="H2258" s="66"/>
      <c r="I2258" s="14"/>
      <c r="J2258" s="14"/>
      <c r="K2258" s="14"/>
      <c r="L2258" s="5" t="str">
        <f t="shared" si="219"/>
        <v/>
      </c>
      <c r="M2258" s="5" t="str">
        <f t="shared" si="220"/>
        <v/>
      </c>
      <c r="N2258" s="5" t="str">
        <f t="shared" si="221"/>
        <v/>
      </c>
      <c r="O2258" s="4"/>
    </row>
    <row r="2259" spans="1:15" x14ac:dyDescent="0.25">
      <c r="A2259" s="14"/>
      <c r="B2259" s="14"/>
      <c r="C2259" s="14"/>
      <c r="D2259" s="5" t="str">
        <f t="shared" si="216"/>
        <v/>
      </c>
      <c r="E2259" s="5" t="str">
        <f t="shared" si="217"/>
        <v/>
      </c>
      <c r="F2259" s="5" t="str">
        <f t="shared" si="218"/>
        <v/>
      </c>
      <c r="G2259" s="23"/>
      <c r="H2259" s="66"/>
      <c r="I2259" s="14"/>
      <c r="J2259" s="14"/>
      <c r="K2259" s="14"/>
      <c r="L2259" s="5" t="str">
        <f t="shared" si="219"/>
        <v/>
      </c>
      <c r="M2259" s="5" t="str">
        <f t="shared" si="220"/>
        <v/>
      </c>
      <c r="N2259" s="5" t="str">
        <f t="shared" si="221"/>
        <v/>
      </c>
      <c r="O2259" s="4"/>
    </row>
    <row r="2260" spans="1:15" x14ac:dyDescent="0.25">
      <c r="A2260" s="14"/>
      <c r="B2260" s="14"/>
      <c r="C2260" s="14"/>
      <c r="D2260" s="5" t="str">
        <f t="shared" si="216"/>
        <v/>
      </c>
      <c r="E2260" s="5" t="str">
        <f t="shared" si="217"/>
        <v/>
      </c>
      <c r="F2260" s="5" t="str">
        <f t="shared" si="218"/>
        <v/>
      </c>
      <c r="G2260" s="23"/>
      <c r="H2260" s="66"/>
      <c r="I2260" s="14"/>
      <c r="J2260" s="14"/>
      <c r="K2260" s="14"/>
      <c r="L2260" s="5" t="str">
        <f t="shared" si="219"/>
        <v/>
      </c>
      <c r="M2260" s="5" t="str">
        <f t="shared" si="220"/>
        <v/>
      </c>
      <c r="N2260" s="5" t="str">
        <f t="shared" si="221"/>
        <v/>
      </c>
      <c r="O2260" s="4"/>
    </row>
    <row r="2261" spans="1:15" x14ac:dyDescent="0.25">
      <c r="A2261" s="14"/>
      <c r="B2261" s="14"/>
      <c r="C2261" s="14"/>
      <c r="D2261" s="5" t="str">
        <f t="shared" si="216"/>
        <v/>
      </c>
      <c r="E2261" s="5" t="str">
        <f t="shared" si="217"/>
        <v/>
      </c>
      <c r="F2261" s="5" t="str">
        <f t="shared" si="218"/>
        <v/>
      </c>
      <c r="G2261" s="23"/>
      <c r="H2261" s="66"/>
      <c r="I2261" s="14"/>
      <c r="J2261" s="14"/>
      <c r="K2261" s="14"/>
      <c r="L2261" s="5" t="str">
        <f t="shared" si="219"/>
        <v/>
      </c>
      <c r="M2261" s="5" t="str">
        <f t="shared" si="220"/>
        <v/>
      </c>
      <c r="N2261" s="5" t="str">
        <f t="shared" si="221"/>
        <v/>
      </c>
      <c r="O2261" s="4"/>
    </row>
    <row r="2262" spans="1:15" x14ac:dyDescent="0.25">
      <c r="A2262" s="14"/>
      <c r="B2262" s="14"/>
      <c r="C2262" s="14"/>
      <c r="D2262" s="5" t="str">
        <f t="shared" si="216"/>
        <v/>
      </c>
      <c r="E2262" s="5" t="str">
        <f t="shared" si="217"/>
        <v/>
      </c>
      <c r="F2262" s="5" t="str">
        <f t="shared" si="218"/>
        <v/>
      </c>
      <c r="G2262" s="23"/>
      <c r="H2262" s="66"/>
      <c r="I2262" s="14"/>
      <c r="J2262" s="14"/>
      <c r="K2262" s="14"/>
      <c r="L2262" s="5" t="str">
        <f t="shared" si="219"/>
        <v/>
      </c>
      <c r="M2262" s="5" t="str">
        <f t="shared" si="220"/>
        <v/>
      </c>
      <c r="N2262" s="5" t="str">
        <f t="shared" si="221"/>
        <v/>
      </c>
      <c r="O2262" s="4"/>
    </row>
    <row r="2263" spans="1:15" x14ac:dyDescent="0.25">
      <c r="A2263" s="14"/>
      <c r="B2263" s="14"/>
      <c r="C2263" s="14"/>
      <c r="D2263" s="5" t="str">
        <f t="shared" si="216"/>
        <v/>
      </c>
      <c r="E2263" s="5" t="str">
        <f t="shared" si="217"/>
        <v/>
      </c>
      <c r="F2263" s="5" t="str">
        <f t="shared" si="218"/>
        <v/>
      </c>
      <c r="G2263" s="23"/>
      <c r="H2263" s="66"/>
      <c r="I2263" s="14"/>
      <c r="J2263" s="14"/>
      <c r="K2263" s="14"/>
      <c r="L2263" s="5" t="str">
        <f t="shared" si="219"/>
        <v/>
      </c>
      <c r="M2263" s="5" t="str">
        <f t="shared" si="220"/>
        <v/>
      </c>
      <c r="N2263" s="5" t="str">
        <f t="shared" si="221"/>
        <v/>
      </c>
      <c r="O2263" s="4"/>
    </row>
    <row r="2264" spans="1:15" x14ac:dyDescent="0.25">
      <c r="A2264" s="14"/>
      <c r="B2264" s="14"/>
      <c r="C2264" s="14"/>
      <c r="D2264" s="5" t="str">
        <f t="shared" si="216"/>
        <v/>
      </c>
      <c r="E2264" s="5" t="str">
        <f t="shared" si="217"/>
        <v/>
      </c>
      <c r="F2264" s="5" t="str">
        <f t="shared" si="218"/>
        <v/>
      </c>
      <c r="G2264" s="23"/>
      <c r="H2264" s="66"/>
      <c r="I2264" s="14"/>
      <c r="J2264" s="14"/>
      <c r="K2264" s="14"/>
      <c r="L2264" s="5" t="str">
        <f t="shared" si="219"/>
        <v/>
      </c>
      <c r="M2264" s="5" t="str">
        <f t="shared" si="220"/>
        <v/>
      </c>
      <c r="N2264" s="5" t="str">
        <f t="shared" si="221"/>
        <v/>
      </c>
      <c r="O2264" s="4"/>
    </row>
    <row r="2265" spans="1:15" x14ac:dyDescent="0.25">
      <c r="A2265" s="14"/>
      <c r="B2265" s="14"/>
      <c r="C2265" s="14"/>
      <c r="D2265" s="5" t="str">
        <f t="shared" ref="D2265:D2328" si="222">IFERROR( IF(A2265&lt;&gt;"",((B2265-B2264)*$X$4/(A2265-A2264))*$X$5,""),"")</f>
        <v/>
      </c>
      <c r="E2265" s="5" t="str">
        <f t="shared" ref="E2265:E2328" si="223">IFERROR(IF(A2265&lt;&gt;"",((C2265-C2264)*$X$4/(A2265-A2264))*$X$5,""),"")</f>
        <v/>
      </c>
      <c r="F2265" s="5" t="str">
        <f t="shared" ref="F2265:F2328" si="224">IFERROR(IF(A2265&lt;&gt;"",((ACOS((COS(RADIANS(B2264))*COS(RADIANS(B2265)))+(SIN(RADIANS(B2264))*SIN(RADIANS(B2265)))*COS(RADIANS(C2265-C2264)))*180/PI()*($X$4/(A2265-A2264))))*$X$5,""),"")</f>
        <v/>
      </c>
      <c r="G2265" s="23"/>
      <c r="H2265" s="66"/>
      <c r="I2265" s="14"/>
      <c r="J2265" s="14"/>
      <c r="K2265" s="14"/>
      <c r="L2265" s="5" t="str">
        <f t="shared" si="219"/>
        <v/>
      </c>
      <c r="M2265" s="5" t="str">
        <f t="shared" si="220"/>
        <v/>
      </c>
      <c r="N2265" s="5" t="str">
        <f t="shared" si="221"/>
        <v/>
      </c>
      <c r="O2265" s="4"/>
    </row>
    <row r="2266" spans="1:15" x14ac:dyDescent="0.25">
      <c r="A2266" s="14"/>
      <c r="B2266" s="14"/>
      <c r="C2266" s="14"/>
      <c r="D2266" s="5" t="str">
        <f t="shared" si="222"/>
        <v/>
      </c>
      <c r="E2266" s="5" t="str">
        <f t="shared" si="223"/>
        <v/>
      </c>
      <c r="F2266" s="5" t="str">
        <f t="shared" si="224"/>
        <v/>
      </c>
      <c r="G2266" s="23"/>
      <c r="H2266" s="66"/>
      <c r="I2266" s="14"/>
      <c r="J2266" s="14"/>
      <c r="K2266" s="14"/>
      <c r="L2266" s="5" t="str">
        <f t="shared" si="219"/>
        <v/>
      </c>
      <c r="M2266" s="5" t="str">
        <f t="shared" si="220"/>
        <v/>
      </c>
      <c r="N2266" s="5" t="str">
        <f t="shared" si="221"/>
        <v/>
      </c>
      <c r="O2266" s="4"/>
    </row>
    <row r="2267" spans="1:15" x14ac:dyDescent="0.25">
      <c r="A2267" s="14"/>
      <c r="B2267" s="14"/>
      <c r="C2267" s="14"/>
      <c r="D2267" s="5" t="str">
        <f t="shared" si="222"/>
        <v/>
      </c>
      <c r="E2267" s="5" t="str">
        <f t="shared" si="223"/>
        <v/>
      </c>
      <c r="F2267" s="5" t="str">
        <f t="shared" si="224"/>
        <v/>
      </c>
      <c r="G2267" s="23"/>
      <c r="H2267" s="66"/>
      <c r="I2267" s="14"/>
      <c r="J2267" s="14"/>
      <c r="K2267" s="14"/>
      <c r="L2267" s="5" t="str">
        <f t="shared" si="219"/>
        <v/>
      </c>
      <c r="M2267" s="5" t="str">
        <f t="shared" si="220"/>
        <v/>
      </c>
      <c r="N2267" s="5" t="str">
        <f t="shared" si="221"/>
        <v/>
      </c>
      <c r="O2267" s="4"/>
    </row>
    <row r="2268" spans="1:15" x14ac:dyDescent="0.25">
      <c r="A2268" s="14"/>
      <c r="B2268" s="14"/>
      <c r="C2268" s="14"/>
      <c r="D2268" s="5" t="str">
        <f t="shared" si="222"/>
        <v/>
      </c>
      <c r="E2268" s="5" t="str">
        <f t="shared" si="223"/>
        <v/>
      </c>
      <c r="F2268" s="5" t="str">
        <f t="shared" si="224"/>
        <v/>
      </c>
      <c r="G2268" s="23"/>
      <c r="H2268" s="66"/>
      <c r="I2268" s="14"/>
      <c r="J2268" s="14"/>
      <c r="K2268" s="14"/>
      <c r="L2268" s="5" t="str">
        <f t="shared" si="219"/>
        <v/>
      </c>
      <c r="M2268" s="5" t="str">
        <f t="shared" si="220"/>
        <v/>
      </c>
      <c r="N2268" s="5" t="str">
        <f t="shared" si="221"/>
        <v/>
      </c>
      <c r="O2268" s="4"/>
    </row>
    <row r="2269" spans="1:15" x14ac:dyDescent="0.25">
      <c r="A2269" s="14"/>
      <c r="B2269" s="14"/>
      <c r="C2269" s="14"/>
      <c r="D2269" s="5" t="str">
        <f t="shared" si="222"/>
        <v/>
      </c>
      <c r="E2269" s="5" t="str">
        <f t="shared" si="223"/>
        <v/>
      </c>
      <c r="F2269" s="5" t="str">
        <f t="shared" si="224"/>
        <v/>
      </c>
      <c r="G2269" s="23"/>
      <c r="H2269" s="66"/>
      <c r="I2269" s="14"/>
      <c r="J2269" s="14"/>
      <c r="K2269" s="14"/>
      <c r="L2269" s="5" t="str">
        <f t="shared" si="219"/>
        <v/>
      </c>
      <c r="M2269" s="5" t="str">
        <f t="shared" si="220"/>
        <v/>
      </c>
      <c r="N2269" s="5" t="str">
        <f t="shared" si="221"/>
        <v/>
      </c>
      <c r="O2269" s="4"/>
    </row>
    <row r="2270" spans="1:15" x14ac:dyDescent="0.25">
      <c r="A2270" s="14"/>
      <c r="B2270" s="14"/>
      <c r="C2270" s="14"/>
      <c r="D2270" s="5" t="str">
        <f t="shared" si="222"/>
        <v/>
      </c>
      <c r="E2270" s="5" t="str">
        <f t="shared" si="223"/>
        <v/>
      </c>
      <c r="F2270" s="5" t="str">
        <f t="shared" si="224"/>
        <v/>
      </c>
      <c r="G2270" s="23"/>
      <c r="H2270" s="66"/>
      <c r="I2270" s="14"/>
      <c r="J2270" s="14"/>
      <c r="K2270" s="14"/>
      <c r="L2270" s="5" t="str">
        <f t="shared" si="219"/>
        <v/>
      </c>
      <c r="M2270" s="5" t="str">
        <f t="shared" si="220"/>
        <v/>
      </c>
      <c r="N2270" s="5" t="str">
        <f t="shared" si="221"/>
        <v/>
      </c>
      <c r="O2270" s="4"/>
    </row>
    <row r="2271" spans="1:15" x14ac:dyDescent="0.25">
      <c r="A2271" s="14"/>
      <c r="B2271" s="14"/>
      <c r="C2271" s="14"/>
      <c r="D2271" s="5" t="str">
        <f t="shared" si="222"/>
        <v/>
      </c>
      <c r="E2271" s="5" t="str">
        <f t="shared" si="223"/>
        <v/>
      </c>
      <c r="F2271" s="5" t="str">
        <f t="shared" si="224"/>
        <v/>
      </c>
      <c r="G2271" s="23"/>
      <c r="H2271" s="66"/>
      <c r="I2271" s="14"/>
      <c r="J2271" s="14"/>
      <c r="K2271" s="14"/>
      <c r="L2271" s="5" t="str">
        <f t="shared" si="219"/>
        <v/>
      </c>
      <c r="M2271" s="5" t="str">
        <f t="shared" si="220"/>
        <v/>
      </c>
      <c r="N2271" s="5" t="str">
        <f t="shared" si="221"/>
        <v/>
      </c>
      <c r="O2271" s="4"/>
    </row>
    <row r="2272" spans="1:15" x14ac:dyDescent="0.25">
      <c r="A2272" s="14"/>
      <c r="B2272" s="14"/>
      <c r="C2272" s="14"/>
      <c r="D2272" s="5" t="str">
        <f t="shared" si="222"/>
        <v/>
      </c>
      <c r="E2272" s="5" t="str">
        <f t="shared" si="223"/>
        <v/>
      </c>
      <c r="F2272" s="5" t="str">
        <f t="shared" si="224"/>
        <v/>
      </c>
      <c r="G2272" s="23"/>
      <c r="H2272" s="66"/>
      <c r="I2272" s="14"/>
      <c r="J2272" s="14"/>
      <c r="K2272" s="14"/>
      <c r="L2272" s="5" t="str">
        <f t="shared" si="219"/>
        <v/>
      </c>
      <c r="M2272" s="5" t="str">
        <f t="shared" si="220"/>
        <v/>
      </c>
      <c r="N2272" s="5" t="str">
        <f t="shared" si="221"/>
        <v/>
      </c>
      <c r="O2272" s="4"/>
    </row>
    <row r="2273" spans="1:15" x14ac:dyDescent="0.25">
      <c r="A2273" s="14"/>
      <c r="B2273" s="14"/>
      <c r="C2273" s="14"/>
      <c r="D2273" s="5" t="str">
        <f t="shared" si="222"/>
        <v/>
      </c>
      <c r="E2273" s="5" t="str">
        <f t="shared" si="223"/>
        <v/>
      </c>
      <c r="F2273" s="5" t="str">
        <f t="shared" si="224"/>
        <v/>
      </c>
      <c r="G2273" s="23"/>
      <c r="H2273" s="66"/>
      <c r="I2273" s="14"/>
      <c r="J2273" s="14"/>
      <c r="K2273" s="14"/>
      <c r="L2273" s="5" t="str">
        <f t="shared" si="219"/>
        <v/>
      </c>
      <c r="M2273" s="5" t="str">
        <f t="shared" si="220"/>
        <v/>
      </c>
      <c r="N2273" s="5" t="str">
        <f t="shared" si="221"/>
        <v/>
      </c>
      <c r="O2273" s="4"/>
    </row>
    <row r="2274" spans="1:15" x14ac:dyDescent="0.25">
      <c r="A2274" s="14"/>
      <c r="B2274" s="14"/>
      <c r="C2274" s="14"/>
      <c r="D2274" s="5" t="str">
        <f t="shared" si="222"/>
        <v/>
      </c>
      <c r="E2274" s="5" t="str">
        <f t="shared" si="223"/>
        <v/>
      </c>
      <c r="F2274" s="5" t="str">
        <f t="shared" si="224"/>
        <v/>
      </c>
      <c r="G2274" s="23"/>
      <c r="H2274" s="66"/>
      <c r="I2274" s="14"/>
      <c r="J2274" s="14"/>
      <c r="K2274" s="14"/>
      <c r="L2274" s="5" t="str">
        <f t="shared" si="219"/>
        <v/>
      </c>
      <c r="M2274" s="5" t="str">
        <f t="shared" si="220"/>
        <v/>
      </c>
      <c r="N2274" s="5" t="str">
        <f t="shared" si="221"/>
        <v/>
      </c>
      <c r="O2274" s="4"/>
    </row>
    <row r="2275" spans="1:15" x14ac:dyDescent="0.25">
      <c r="A2275" s="14"/>
      <c r="B2275" s="14"/>
      <c r="C2275" s="14"/>
      <c r="D2275" s="5" t="str">
        <f t="shared" si="222"/>
        <v/>
      </c>
      <c r="E2275" s="5" t="str">
        <f t="shared" si="223"/>
        <v/>
      </c>
      <c r="F2275" s="5" t="str">
        <f t="shared" si="224"/>
        <v/>
      </c>
      <c r="G2275" s="23"/>
      <c r="H2275" s="66"/>
      <c r="I2275" s="14"/>
      <c r="J2275" s="14"/>
      <c r="K2275" s="14"/>
      <c r="L2275" s="5" t="str">
        <f t="shared" si="219"/>
        <v/>
      </c>
      <c r="M2275" s="5" t="str">
        <f t="shared" si="220"/>
        <v/>
      </c>
      <c r="N2275" s="5" t="str">
        <f t="shared" si="221"/>
        <v/>
      </c>
      <c r="O2275" s="4"/>
    </row>
    <row r="2276" spans="1:15" x14ac:dyDescent="0.25">
      <c r="A2276" s="14"/>
      <c r="B2276" s="14"/>
      <c r="C2276" s="14"/>
      <c r="D2276" s="5" t="str">
        <f t="shared" si="222"/>
        <v/>
      </c>
      <c r="E2276" s="5" t="str">
        <f t="shared" si="223"/>
        <v/>
      </c>
      <c r="F2276" s="5" t="str">
        <f t="shared" si="224"/>
        <v/>
      </c>
      <c r="G2276" s="23"/>
      <c r="H2276" s="66"/>
      <c r="I2276" s="14"/>
      <c r="J2276" s="14"/>
      <c r="K2276" s="14"/>
      <c r="L2276" s="5" t="str">
        <f t="shared" si="219"/>
        <v/>
      </c>
      <c r="M2276" s="5" t="str">
        <f t="shared" si="220"/>
        <v/>
      </c>
      <c r="N2276" s="5" t="str">
        <f t="shared" si="221"/>
        <v/>
      </c>
      <c r="O2276" s="4"/>
    </row>
    <row r="2277" spans="1:15" x14ac:dyDescent="0.25">
      <c r="A2277" s="14"/>
      <c r="B2277" s="14"/>
      <c r="C2277" s="14"/>
      <c r="D2277" s="5" t="str">
        <f t="shared" si="222"/>
        <v/>
      </c>
      <c r="E2277" s="5" t="str">
        <f t="shared" si="223"/>
        <v/>
      </c>
      <c r="F2277" s="5" t="str">
        <f t="shared" si="224"/>
        <v/>
      </c>
      <c r="G2277" s="23"/>
      <c r="H2277" s="66"/>
      <c r="I2277" s="14"/>
      <c r="J2277" s="14"/>
      <c r="K2277" s="14"/>
      <c r="L2277" s="5" t="str">
        <f t="shared" si="219"/>
        <v/>
      </c>
      <c r="M2277" s="5" t="str">
        <f t="shared" si="220"/>
        <v/>
      </c>
      <c r="N2277" s="5" t="str">
        <f t="shared" si="221"/>
        <v/>
      </c>
      <c r="O2277" s="4"/>
    </row>
    <row r="2278" spans="1:15" x14ac:dyDescent="0.25">
      <c r="A2278" s="14"/>
      <c r="B2278" s="14"/>
      <c r="C2278" s="14"/>
      <c r="D2278" s="5" t="str">
        <f t="shared" si="222"/>
        <v/>
      </c>
      <c r="E2278" s="5" t="str">
        <f t="shared" si="223"/>
        <v/>
      </c>
      <c r="F2278" s="5" t="str">
        <f t="shared" si="224"/>
        <v/>
      </c>
      <c r="G2278" s="23"/>
      <c r="H2278" s="66"/>
      <c r="I2278" s="14"/>
      <c r="J2278" s="14"/>
      <c r="K2278" s="14"/>
      <c r="L2278" s="5" t="str">
        <f t="shared" si="219"/>
        <v/>
      </c>
      <c r="M2278" s="5" t="str">
        <f t="shared" si="220"/>
        <v/>
      </c>
      <c r="N2278" s="5" t="str">
        <f t="shared" si="221"/>
        <v/>
      </c>
      <c r="O2278" s="4"/>
    </row>
    <row r="2279" spans="1:15" x14ac:dyDescent="0.25">
      <c r="A2279" s="14"/>
      <c r="B2279" s="14"/>
      <c r="C2279" s="14"/>
      <c r="D2279" s="5" t="str">
        <f t="shared" si="222"/>
        <v/>
      </c>
      <c r="E2279" s="5" t="str">
        <f t="shared" si="223"/>
        <v/>
      </c>
      <c r="F2279" s="5" t="str">
        <f t="shared" si="224"/>
        <v/>
      </c>
      <c r="G2279" s="23"/>
      <c r="H2279" s="66"/>
      <c r="I2279" s="14"/>
      <c r="J2279" s="14"/>
      <c r="K2279" s="14"/>
      <c r="L2279" s="5" t="str">
        <f t="shared" si="219"/>
        <v/>
      </c>
      <c r="M2279" s="5" t="str">
        <f t="shared" si="220"/>
        <v/>
      </c>
      <c r="N2279" s="5" t="str">
        <f t="shared" si="221"/>
        <v/>
      </c>
      <c r="O2279" s="4"/>
    </row>
    <row r="2280" spans="1:15" x14ac:dyDescent="0.25">
      <c r="A2280" s="14"/>
      <c r="B2280" s="14"/>
      <c r="C2280" s="14"/>
      <c r="D2280" s="5" t="str">
        <f t="shared" si="222"/>
        <v/>
      </c>
      <c r="E2280" s="5" t="str">
        <f t="shared" si="223"/>
        <v/>
      </c>
      <c r="F2280" s="5" t="str">
        <f t="shared" si="224"/>
        <v/>
      </c>
      <c r="G2280" s="23"/>
      <c r="H2280" s="66"/>
      <c r="I2280" s="14"/>
      <c r="J2280" s="14"/>
      <c r="K2280" s="14"/>
      <c r="L2280" s="5" t="str">
        <f t="shared" si="219"/>
        <v/>
      </c>
      <c r="M2280" s="5" t="str">
        <f t="shared" si="220"/>
        <v/>
      </c>
      <c r="N2280" s="5" t="str">
        <f t="shared" si="221"/>
        <v/>
      </c>
      <c r="O2280" s="4"/>
    </row>
    <row r="2281" spans="1:15" x14ac:dyDescent="0.25">
      <c r="A2281" s="14"/>
      <c r="B2281" s="14"/>
      <c r="C2281" s="14"/>
      <c r="D2281" s="5" t="str">
        <f t="shared" si="222"/>
        <v/>
      </c>
      <c r="E2281" s="5" t="str">
        <f t="shared" si="223"/>
        <v/>
      </c>
      <c r="F2281" s="5" t="str">
        <f t="shared" si="224"/>
        <v/>
      </c>
      <c r="G2281" s="23"/>
      <c r="H2281" s="66"/>
      <c r="I2281" s="14"/>
      <c r="J2281" s="14"/>
      <c r="K2281" s="14"/>
      <c r="L2281" s="5" t="str">
        <f t="shared" si="219"/>
        <v/>
      </c>
      <c r="M2281" s="5" t="str">
        <f t="shared" si="220"/>
        <v/>
      </c>
      <c r="N2281" s="5" t="str">
        <f t="shared" si="221"/>
        <v/>
      </c>
      <c r="O2281" s="4"/>
    </row>
    <row r="2282" spans="1:15" x14ac:dyDescent="0.25">
      <c r="A2282" s="14"/>
      <c r="B2282" s="14"/>
      <c r="C2282" s="14"/>
      <c r="D2282" s="5" t="str">
        <f t="shared" si="222"/>
        <v/>
      </c>
      <c r="E2282" s="5" t="str">
        <f t="shared" si="223"/>
        <v/>
      </c>
      <c r="F2282" s="5" t="str">
        <f t="shared" si="224"/>
        <v/>
      </c>
      <c r="G2282" s="23"/>
      <c r="H2282" s="66"/>
      <c r="I2282" s="14"/>
      <c r="J2282" s="14"/>
      <c r="K2282" s="14"/>
      <c r="L2282" s="5" t="str">
        <f t="shared" si="219"/>
        <v/>
      </c>
      <c r="M2282" s="5" t="str">
        <f t="shared" si="220"/>
        <v/>
      </c>
      <c r="N2282" s="5" t="str">
        <f t="shared" si="221"/>
        <v/>
      </c>
      <c r="O2282" s="4"/>
    </row>
    <row r="2283" spans="1:15" x14ac:dyDescent="0.25">
      <c r="A2283" s="14"/>
      <c r="B2283" s="14"/>
      <c r="C2283" s="14"/>
      <c r="D2283" s="5" t="str">
        <f t="shared" si="222"/>
        <v/>
      </c>
      <c r="E2283" s="5" t="str">
        <f t="shared" si="223"/>
        <v/>
      </c>
      <c r="F2283" s="5" t="str">
        <f t="shared" si="224"/>
        <v/>
      </c>
      <c r="G2283" s="23"/>
      <c r="H2283" s="66"/>
      <c r="I2283" s="14"/>
      <c r="J2283" s="14"/>
      <c r="K2283" s="14"/>
      <c r="L2283" s="5" t="str">
        <f t="shared" si="219"/>
        <v/>
      </c>
      <c r="M2283" s="5" t="str">
        <f t="shared" si="220"/>
        <v/>
      </c>
      <c r="N2283" s="5" t="str">
        <f t="shared" si="221"/>
        <v/>
      </c>
      <c r="O2283" s="4"/>
    </row>
    <row r="2284" spans="1:15" x14ac:dyDescent="0.25">
      <c r="A2284" s="14"/>
      <c r="B2284" s="14"/>
      <c r="C2284" s="14"/>
      <c r="D2284" s="5" t="str">
        <f t="shared" si="222"/>
        <v/>
      </c>
      <c r="E2284" s="5" t="str">
        <f t="shared" si="223"/>
        <v/>
      </c>
      <c r="F2284" s="5" t="str">
        <f t="shared" si="224"/>
        <v/>
      </c>
      <c r="G2284" s="23"/>
      <c r="H2284" s="66"/>
      <c r="I2284" s="14"/>
      <c r="J2284" s="14"/>
      <c r="K2284" s="14"/>
      <c r="L2284" s="5" t="str">
        <f t="shared" si="219"/>
        <v/>
      </c>
      <c r="M2284" s="5" t="str">
        <f t="shared" si="220"/>
        <v/>
      </c>
      <c r="N2284" s="5" t="str">
        <f t="shared" si="221"/>
        <v/>
      </c>
      <c r="O2284" s="4"/>
    </row>
    <row r="2285" spans="1:15" x14ac:dyDescent="0.25">
      <c r="A2285" s="14"/>
      <c r="B2285" s="14"/>
      <c r="C2285" s="14"/>
      <c r="D2285" s="5" t="str">
        <f t="shared" si="222"/>
        <v/>
      </c>
      <c r="E2285" s="5" t="str">
        <f t="shared" si="223"/>
        <v/>
      </c>
      <c r="F2285" s="5" t="str">
        <f t="shared" si="224"/>
        <v/>
      </c>
      <c r="G2285" s="23"/>
      <c r="H2285" s="66"/>
      <c r="I2285" s="14"/>
      <c r="J2285" s="14"/>
      <c r="K2285" s="14"/>
      <c r="L2285" s="5" t="str">
        <f t="shared" si="219"/>
        <v/>
      </c>
      <c r="M2285" s="5" t="str">
        <f t="shared" si="220"/>
        <v/>
      </c>
      <c r="N2285" s="5" t="str">
        <f t="shared" si="221"/>
        <v/>
      </c>
      <c r="O2285" s="4"/>
    </row>
    <row r="2286" spans="1:15" x14ac:dyDescent="0.25">
      <c r="A2286" s="14"/>
      <c r="B2286" s="14"/>
      <c r="C2286" s="14"/>
      <c r="D2286" s="5" t="str">
        <f t="shared" si="222"/>
        <v/>
      </c>
      <c r="E2286" s="5" t="str">
        <f t="shared" si="223"/>
        <v/>
      </c>
      <c r="F2286" s="5" t="str">
        <f t="shared" si="224"/>
        <v/>
      </c>
      <c r="G2286" s="23"/>
      <c r="H2286" s="66"/>
      <c r="I2286" s="14"/>
      <c r="J2286" s="14"/>
      <c r="K2286" s="14"/>
      <c r="L2286" s="5" t="str">
        <f t="shared" si="219"/>
        <v/>
      </c>
      <c r="M2286" s="5" t="str">
        <f t="shared" si="220"/>
        <v/>
      </c>
      <c r="N2286" s="5" t="str">
        <f t="shared" si="221"/>
        <v/>
      </c>
      <c r="O2286" s="4"/>
    </row>
    <row r="2287" spans="1:15" x14ac:dyDescent="0.25">
      <c r="A2287" s="14"/>
      <c r="B2287" s="14"/>
      <c r="C2287" s="14"/>
      <c r="D2287" s="5" t="str">
        <f t="shared" si="222"/>
        <v/>
      </c>
      <c r="E2287" s="5" t="str">
        <f t="shared" si="223"/>
        <v/>
      </c>
      <c r="F2287" s="5" t="str">
        <f t="shared" si="224"/>
        <v/>
      </c>
      <c r="G2287" s="23"/>
      <c r="H2287" s="66"/>
      <c r="I2287" s="14"/>
      <c r="J2287" s="14"/>
      <c r="K2287" s="14"/>
      <c r="L2287" s="5" t="str">
        <f t="shared" si="219"/>
        <v/>
      </c>
      <c r="M2287" s="5" t="str">
        <f t="shared" si="220"/>
        <v/>
      </c>
      <c r="N2287" s="5" t="str">
        <f t="shared" si="221"/>
        <v/>
      </c>
      <c r="O2287" s="4"/>
    </row>
    <row r="2288" spans="1:15" x14ac:dyDescent="0.25">
      <c r="A2288" s="14"/>
      <c r="B2288" s="14"/>
      <c r="C2288" s="14"/>
      <c r="D2288" s="5" t="str">
        <f t="shared" si="222"/>
        <v/>
      </c>
      <c r="E2288" s="5" t="str">
        <f t="shared" si="223"/>
        <v/>
      </c>
      <c r="F2288" s="5" t="str">
        <f t="shared" si="224"/>
        <v/>
      </c>
      <c r="G2288" s="23"/>
      <c r="H2288" s="66"/>
      <c r="I2288" s="14"/>
      <c r="J2288" s="14"/>
      <c r="K2288" s="14"/>
      <c r="L2288" s="5" t="str">
        <f t="shared" si="219"/>
        <v/>
      </c>
      <c r="M2288" s="5" t="str">
        <f t="shared" si="220"/>
        <v/>
      </c>
      <c r="N2288" s="5" t="str">
        <f t="shared" si="221"/>
        <v/>
      </c>
      <c r="O2288" s="4"/>
    </row>
    <row r="2289" spans="1:15" x14ac:dyDescent="0.25">
      <c r="A2289" s="14"/>
      <c r="B2289" s="14"/>
      <c r="C2289" s="14"/>
      <c r="D2289" s="5" t="str">
        <f t="shared" si="222"/>
        <v/>
      </c>
      <c r="E2289" s="5" t="str">
        <f t="shared" si="223"/>
        <v/>
      </c>
      <c r="F2289" s="5" t="str">
        <f t="shared" si="224"/>
        <v/>
      </c>
      <c r="G2289" s="23"/>
      <c r="H2289" s="66"/>
      <c r="I2289" s="14"/>
      <c r="J2289" s="14"/>
      <c r="K2289" s="14"/>
      <c r="L2289" s="5" t="str">
        <f t="shared" si="219"/>
        <v/>
      </c>
      <c r="M2289" s="5" t="str">
        <f t="shared" si="220"/>
        <v/>
      </c>
      <c r="N2289" s="5" t="str">
        <f t="shared" si="221"/>
        <v/>
      </c>
      <c r="O2289" s="4"/>
    </row>
    <row r="2290" spans="1:15" x14ac:dyDescent="0.25">
      <c r="A2290" s="14"/>
      <c r="B2290" s="14"/>
      <c r="C2290" s="14"/>
      <c r="D2290" s="5" t="str">
        <f t="shared" si="222"/>
        <v/>
      </c>
      <c r="E2290" s="5" t="str">
        <f t="shared" si="223"/>
        <v/>
      </c>
      <c r="F2290" s="5" t="str">
        <f t="shared" si="224"/>
        <v/>
      </c>
      <c r="G2290" s="23"/>
      <c r="H2290" s="66"/>
      <c r="I2290" s="14"/>
      <c r="J2290" s="14"/>
      <c r="K2290" s="14"/>
      <c r="L2290" s="5" t="str">
        <f t="shared" si="219"/>
        <v/>
      </c>
      <c r="M2290" s="5" t="str">
        <f t="shared" si="220"/>
        <v/>
      </c>
      <c r="N2290" s="5" t="str">
        <f t="shared" si="221"/>
        <v/>
      </c>
      <c r="O2290" s="4"/>
    </row>
    <row r="2291" spans="1:15" x14ac:dyDescent="0.25">
      <c r="A2291" s="14"/>
      <c r="B2291" s="14"/>
      <c r="C2291" s="14"/>
      <c r="D2291" s="5" t="str">
        <f t="shared" si="222"/>
        <v/>
      </c>
      <c r="E2291" s="5" t="str">
        <f t="shared" si="223"/>
        <v/>
      </c>
      <c r="F2291" s="5" t="str">
        <f t="shared" si="224"/>
        <v/>
      </c>
      <c r="G2291" s="23"/>
      <c r="H2291" s="66"/>
      <c r="I2291" s="14"/>
      <c r="J2291" s="14"/>
      <c r="K2291" s="14"/>
      <c r="L2291" s="5" t="str">
        <f t="shared" si="219"/>
        <v/>
      </c>
      <c r="M2291" s="5" t="str">
        <f t="shared" si="220"/>
        <v/>
      </c>
      <c r="N2291" s="5" t="str">
        <f t="shared" si="221"/>
        <v/>
      </c>
      <c r="O2291" s="4"/>
    </row>
    <row r="2292" spans="1:15" x14ac:dyDescent="0.25">
      <c r="A2292" s="14"/>
      <c r="B2292" s="14"/>
      <c r="C2292" s="14"/>
      <c r="D2292" s="5" t="str">
        <f t="shared" si="222"/>
        <v/>
      </c>
      <c r="E2292" s="5" t="str">
        <f t="shared" si="223"/>
        <v/>
      </c>
      <c r="F2292" s="5" t="str">
        <f t="shared" si="224"/>
        <v/>
      </c>
      <c r="G2292" s="23"/>
      <c r="H2292" s="66"/>
      <c r="I2292" s="14"/>
      <c r="J2292" s="14"/>
      <c r="K2292" s="14"/>
      <c r="L2292" s="5" t="str">
        <f t="shared" si="219"/>
        <v/>
      </c>
      <c r="M2292" s="5" t="str">
        <f t="shared" si="220"/>
        <v/>
      </c>
      <c r="N2292" s="5" t="str">
        <f t="shared" si="221"/>
        <v/>
      </c>
      <c r="O2292" s="4"/>
    </row>
    <row r="2293" spans="1:15" x14ac:dyDescent="0.25">
      <c r="A2293" s="14"/>
      <c r="B2293" s="14"/>
      <c r="C2293" s="14"/>
      <c r="D2293" s="5" t="str">
        <f t="shared" si="222"/>
        <v/>
      </c>
      <c r="E2293" s="5" t="str">
        <f t="shared" si="223"/>
        <v/>
      </c>
      <c r="F2293" s="5" t="str">
        <f t="shared" si="224"/>
        <v/>
      </c>
      <c r="G2293" s="23"/>
      <c r="H2293" s="66"/>
      <c r="I2293" s="14"/>
      <c r="J2293" s="14"/>
      <c r="K2293" s="14"/>
      <c r="L2293" s="5" t="str">
        <f t="shared" si="219"/>
        <v/>
      </c>
      <c r="M2293" s="5" t="str">
        <f t="shared" si="220"/>
        <v/>
      </c>
      <c r="N2293" s="5" t="str">
        <f t="shared" si="221"/>
        <v/>
      </c>
      <c r="O2293" s="4"/>
    </row>
    <row r="2294" spans="1:15" x14ac:dyDescent="0.25">
      <c r="A2294" s="14"/>
      <c r="B2294" s="14"/>
      <c r="C2294" s="14"/>
      <c r="D2294" s="5" t="str">
        <f t="shared" si="222"/>
        <v/>
      </c>
      <c r="E2294" s="5" t="str">
        <f t="shared" si="223"/>
        <v/>
      </c>
      <c r="F2294" s="5" t="str">
        <f t="shared" si="224"/>
        <v/>
      </c>
      <c r="G2294" s="23"/>
      <c r="H2294" s="66"/>
      <c r="I2294" s="14"/>
      <c r="J2294" s="14"/>
      <c r="K2294" s="14"/>
      <c r="L2294" s="5" t="str">
        <f t="shared" si="219"/>
        <v/>
      </c>
      <c r="M2294" s="5" t="str">
        <f t="shared" si="220"/>
        <v/>
      </c>
      <c r="N2294" s="5" t="str">
        <f t="shared" si="221"/>
        <v/>
      </c>
      <c r="O2294" s="4"/>
    </row>
    <row r="2295" spans="1:15" x14ac:dyDescent="0.25">
      <c r="A2295" s="14"/>
      <c r="B2295" s="14"/>
      <c r="C2295" s="14"/>
      <c r="D2295" s="5" t="str">
        <f t="shared" si="222"/>
        <v/>
      </c>
      <c r="E2295" s="5" t="str">
        <f t="shared" si="223"/>
        <v/>
      </c>
      <c r="F2295" s="5" t="str">
        <f t="shared" si="224"/>
        <v/>
      </c>
      <c r="G2295" s="23"/>
      <c r="H2295" s="66"/>
      <c r="I2295" s="14"/>
      <c r="J2295" s="14"/>
      <c r="K2295" s="14"/>
      <c r="L2295" s="5" t="str">
        <f t="shared" si="219"/>
        <v/>
      </c>
      <c r="M2295" s="5" t="str">
        <f t="shared" si="220"/>
        <v/>
      </c>
      <c r="N2295" s="5" t="str">
        <f t="shared" si="221"/>
        <v/>
      </c>
      <c r="O2295" s="4"/>
    </row>
    <row r="2296" spans="1:15" x14ac:dyDescent="0.25">
      <c r="A2296" s="14"/>
      <c r="B2296" s="14"/>
      <c r="C2296" s="14"/>
      <c r="D2296" s="5" t="str">
        <f t="shared" si="222"/>
        <v/>
      </c>
      <c r="E2296" s="5" t="str">
        <f t="shared" si="223"/>
        <v/>
      </c>
      <c r="F2296" s="5" t="str">
        <f t="shared" si="224"/>
        <v/>
      </c>
      <c r="G2296" s="23"/>
      <c r="H2296" s="66"/>
      <c r="I2296" s="14"/>
      <c r="J2296" s="14"/>
      <c r="K2296" s="14"/>
      <c r="L2296" s="5" t="str">
        <f t="shared" si="219"/>
        <v/>
      </c>
      <c r="M2296" s="5" t="str">
        <f t="shared" si="220"/>
        <v/>
      </c>
      <c r="N2296" s="5" t="str">
        <f t="shared" si="221"/>
        <v/>
      </c>
      <c r="O2296" s="4"/>
    </row>
    <row r="2297" spans="1:15" x14ac:dyDescent="0.25">
      <c r="A2297" s="14"/>
      <c r="B2297" s="14"/>
      <c r="C2297" s="14"/>
      <c r="D2297" s="5" t="str">
        <f t="shared" si="222"/>
        <v/>
      </c>
      <c r="E2297" s="5" t="str">
        <f t="shared" si="223"/>
        <v/>
      </c>
      <c r="F2297" s="5" t="str">
        <f t="shared" si="224"/>
        <v/>
      </c>
      <c r="G2297" s="23"/>
      <c r="H2297" s="66"/>
      <c r="I2297" s="14"/>
      <c r="J2297" s="14"/>
      <c r="K2297" s="14"/>
      <c r="L2297" s="5" t="str">
        <f t="shared" si="219"/>
        <v/>
      </c>
      <c r="M2297" s="5" t="str">
        <f t="shared" si="220"/>
        <v/>
      </c>
      <c r="N2297" s="5" t="str">
        <f t="shared" si="221"/>
        <v/>
      </c>
      <c r="O2297" s="4"/>
    </row>
    <row r="2298" spans="1:15" x14ac:dyDescent="0.25">
      <c r="A2298" s="14"/>
      <c r="B2298" s="14"/>
      <c r="C2298" s="14"/>
      <c r="D2298" s="5" t="str">
        <f t="shared" si="222"/>
        <v/>
      </c>
      <c r="E2298" s="5" t="str">
        <f t="shared" si="223"/>
        <v/>
      </c>
      <c r="F2298" s="5" t="str">
        <f t="shared" si="224"/>
        <v/>
      </c>
      <c r="G2298" s="23"/>
      <c r="H2298" s="66"/>
      <c r="I2298" s="14"/>
      <c r="J2298" s="14"/>
      <c r="K2298" s="14"/>
      <c r="L2298" s="5" t="str">
        <f t="shared" si="219"/>
        <v/>
      </c>
      <c r="M2298" s="5" t="str">
        <f t="shared" si="220"/>
        <v/>
      </c>
      <c r="N2298" s="5" t="str">
        <f t="shared" si="221"/>
        <v/>
      </c>
      <c r="O2298" s="4"/>
    </row>
    <row r="2299" spans="1:15" x14ac:dyDescent="0.25">
      <c r="A2299" s="14"/>
      <c r="B2299" s="14"/>
      <c r="C2299" s="14"/>
      <c r="D2299" s="5" t="str">
        <f t="shared" si="222"/>
        <v/>
      </c>
      <c r="E2299" s="5" t="str">
        <f t="shared" si="223"/>
        <v/>
      </c>
      <c r="F2299" s="5" t="str">
        <f t="shared" si="224"/>
        <v/>
      </c>
      <c r="G2299" s="23"/>
      <c r="H2299" s="66"/>
      <c r="I2299" s="14"/>
      <c r="J2299" s="14"/>
      <c r="K2299" s="14"/>
      <c r="L2299" s="5" t="str">
        <f t="shared" si="219"/>
        <v/>
      </c>
      <c r="M2299" s="5" t="str">
        <f t="shared" si="220"/>
        <v/>
      </c>
      <c r="N2299" s="5" t="str">
        <f t="shared" si="221"/>
        <v/>
      </c>
      <c r="O2299" s="4"/>
    </row>
    <row r="2300" spans="1:15" x14ac:dyDescent="0.25">
      <c r="A2300" s="14"/>
      <c r="B2300" s="14"/>
      <c r="C2300" s="14"/>
      <c r="D2300" s="5" t="str">
        <f t="shared" si="222"/>
        <v/>
      </c>
      <c r="E2300" s="5" t="str">
        <f t="shared" si="223"/>
        <v/>
      </c>
      <c r="F2300" s="5" t="str">
        <f t="shared" si="224"/>
        <v/>
      </c>
      <c r="G2300" s="23"/>
      <c r="H2300" s="66"/>
      <c r="I2300" s="14"/>
      <c r="J2300" s="14"/>
      <c r="K2300" s="14"/>
      <c r="L2300" s="5" t="str">
        <f t="shared" si="219"/>
        <v/>
      </c>
      <c r="M2300" s="5" t="str">
        <f t="shared" si="220"/>
        <v/>
      </c>
      <c r="N2300" s="5" t="str">
        <f t="shared" si="221"/>
        <v/>
      </c>
      <c r="O2300" s="4"/>
    </row>
    <row r="2301" spans="1:15" x14ac:dyDescent="0.25">
      <c r="A2301" s="14"/>
      <c r="B2301" s="14"/>
      <c r="C2301" s="14"/>
      <c r="D2301" s="5" t="str">
        <f t="shared" si="222"/>
        <v/>
      </c>
      <c r="E2301" s="5" t="str">
        <f t="shared" si="223"/>
        <v/>
      </c>
      <c r="F2301" s="5" t="str">
        <f t="shared" si="224"/>
        <v/>
      </c>
      <c r="G2301" s="23"/>
      <c r="H2301" s="66"/>
      <c r="I2301" s="14"/>
      <c r="J2301" s="14"/>
      <c r="K2301" s="14"/>
      <c r="L2301" s="5" t="str">
        <f t="shared" si="219"/>
        <v/>
      </c>
      <c r="M2301" s="5" t="str">
        <f t="shared" si="220"/>
        <v/>
      </c>
      <c r="N2301" s="5" t="str">
        <f t="shared" si="221"/>
        <v/>
      </c>
      <c r="O2301" s="4"/>
    </row>
    <row r="2302" spans="1:15" x14ac:dyDescent="0.25">
      <c r="A2302" s="14"/>
      <c r="B2302" s="14"/>
      <c r="C2302" s="14"/>
      <c r="D2302" s="5" t="str">
        <f t="shared" si="222"/>
        <v/>
      </c>
      <c r="E2302" s="5" t="str">
        <f t="shared" si="223"/>
        <v/>
      </c>
      <c r="F2302" s="5" t="str">
        <f t="shared" si="224"/>
        <v/>
      </c>
      <c r="G2302" s="23"/>
      <c r="H2302" s="66"/>
      <c r="I2302" s="14"/>
      <c r="J2302" s="14"/>
      <c r="K2302" s="14"/>
      <c r="L2302" s="5" t="str">
        <f t="shared" si="219"/>
        <v/>
      </c>
      <c r="M2302" s="5" t="str">
        <f t="shared" si="220"/>
        <v/>
      </c>
      <c r="N2302" s="5" t="str">
        <f t="shared" si="221"/>
        <v/>
      </c>
      <c r="O2302" s="4"/>
    </row>
    <row r="2303" spans="1:15" x14ac:dyDescent="0.25">
      <c r="A2303" s="14"/>
      <c r="B2303" s="14"/>
      <c r="C2303" s="14"/>
      <c r="D2303" s="5" t="str">
        <f t="shared" si="222"/>
        <v/>
      </c>
      <c r="E2303" s="5" t="str">
        <f t="shared" si="223"/>
        <v/>
      </c>
      <c r="F2303" s="5" t="str">
        <f t="shared" si="224"/>
        <v/>
      </c>
      <c r="G2303" s="23"/>
      <c r="H2303" s="66"/>
      <c r="I2303" s="14"/>
      <c r="J2303" s="14"/>
      <c r="K2303" s="14"/>
      <c r="L2303" s="5" t="str">
        <f t="shared" si="219"/>
        <v/>
      </c>
      <c r="M2303" s="5" t="str">
        <f t="shared" si="220"/>
        <v/>
      </c>
      <c r="N2303" s="5" t="str">
        <f t="shared" si="221"/>
        <v/>
      </c>
      <c r="O2303" s="4"/>
    </row>
    <row r="2304" spans="1:15" x14ac:dyDescent="0.25">
      <c r="A2304" s="14"/>
      <c r="B2304" s="14"/>
      <c r="C2304" s="14"/>
      <c r="D2304" s="5" t="str">
        <f t="shared" si="222"/>
        <v/>
      </c>
      <c r="E2304" s="5" t="str">
        <f t="shared" si="223"/>
        <v/>
      </c>
      <c r="F2304" s="5" t="str">
        <f t="shared" si="224"/>
        <v/>
      </c>
      <c r="G2304" s="23"/>
      <c r="H2304" s="66"/>
      <c r="I2304" s="14"/>
      <c r="J2304" s="14"/>
      <c r="K2304" s="14"/>
      <c r="L2304" s="5" t="str">
        <f t="shared" si="219"/>
        <v/>
      </c>
      <c r="M2304" s="5" t="str">
        <f t="shared" si="220"/>
        <v/>
      </c>
      <c r="N2304" s="5" t="str">
        <f t="shared" si="221"/>
        <v/>
      </c>
      <c r="O2304" s="4"/>
    </row>
    <row r="2305" spans="1:15" x14ac:dyDescent="0.25">
      <c r="A2305" s="14"/>
      <c r="B2305" s="14"/>
      <c r="C2305" s="14"/>
      <c r="D2305" s="5" t="str">
        <f t="shared" si="222"/>
        <v/>
      </c>
      <c r="E2305" s="5" t="str">
        <f t="shared" si="223"/>
        <v/>
      </c>
      <c r="F2305" s="5" t="str">
        <f t="shared" si="224"/>
        <v/>
      </c>
      <c r="G2305" s="23"/>
      <c r="H2305" s="66"/>
      <c r="I2305" s="14"/>
      <c r="J2305" s="14"/>
      <c r="K2305" s="14"/>
      <c r="L2305" s="5" t="str">
        <f t="shared" si="219"/>
        <v/>
      </c>
      <c r="M2305" s="5" t="str">
        <f t="shared" si="220"/>
        <v/>
      </c>
      <c r="N2305" s="5" t="str">
        <f t="shared" si="221"/>
        <v/>
      </c>
      <c r="O2305" s="4"/>
    </row>
    <row r="2306" spans="1:15" x14ac:dyDescent="0.25">
      <c r="A2306" s="14"/>
      <c r="B2306" s="14"/>
      <c r="C2306" s="14"/>
      <c r="D2306" s="5" t="str">
        <f t="shared" si="222"/>
        <v/>
      </c>
      <c r="E2306" s="5" t="str">
        <f t="shared" si="223"/>
        <v/>
      </c>
      <c r="F2306" s="5" t="str">
        <f t="shared" si="224"/>
        <v/>
      </c>
      <c r="G2306" s="23"/>
      <c r="H2306" s="66"/>
      <c r="I2306" s="14"/>
      <c r="J2306" s="14"/>
      <c r="K2306" s="14"/>
      <c r="L2306" s="5" t="str">
        <f t="shared" si="219"/>
        <v/>
      </c>
      <c r="M2306" s="5" t="str">
        <f t="shared" si="220"/>
        <v/>
      </c>
      <c r="N2306" s="5" t="str">
        <f t="shared" si="221"/>
        <v/>
      </c>
      <c r="O2306" s="4"/>
    </row>
    <row r="2307" spans="1:15" x14ac:dyDescent="0.25">
      <c r="A2307" s="14"/>
      <c r="B2307" s="14"/>
      <c r="C2307" s="14"/>
      <c r="D2307" s="5" t="str">
        <f t="shared" si="222"/>
        <v/>
      </c>
      <c r="E2307" s="5" t="str">
        <f t="shared" si="223"/>
        <v/>
      </c>
      <c r="F2307" s="5" t="str">
        <f t="shared" si="224"/>
        <v/>
      </c>
      <c r="G2307" s="23"/>
      <c r="H2307" s="66"/>
      <c r="I2307" s="14"/>
      <c r="J2307" s="14"/>
      <c r="K2307" s="14"/>
      <c r="L2307" s="5" t="str">
        <f t="shared" si="219"/>
        <v/>
      </c>
      <c r="M2307" s="5" t="str">
        <f t="shared" si="220"/>
        <v/>
      </c>
      <c r="N2307" s="5" t="str">
        <f t="shared" si="221"/>
        <v/>
      </c>
      <c r="O2307" s="4"/>
    </row>
    <row r="2308" spans="1:15" x14ac:dyDescent="0.25">
      <c r="A2308" s="14"/>
      <c r="B2308" s="14"/>
      <c r="C2308" s="14"/>
      <c r="D2308" s="5" t="str">
        <f t="shared" si="222"/>
        <v/>
      </c>
      <c r="E2308" s="5" t="str">
        <f t="shared" si="223"/>
        <v/>
      </c>
      <c r="F2308" s="5" t="str">
        <f t="shared" si="224"/>
        <v/>
      </c>
      <c r="G2308" s="23"/>
      <c r="H2308" s="66"/>
      <c r="I2308" s="14"/>
      <c r="J2308" s="14"/>
      <c r="K2308" s="14"/>
      <c r="L2308" s="5" t="str">
        <f t="shared" si="219"/>
        <v/>
      </c>
      <c r="M2308" s="5" t="str">
        <f t="shared" si="220"/>
        <v/>
      </c>
      <c r="N2308" s="5" t="str">
        <f t="shared" si="221"/>
        <v/>
      </c>
      <c r="O2308" s="4"/>
    </row>
    <row r="2309" spans="1:15" x14ac:dyDescent="0.25">
      <c r="A2309" s="14"/>
      <c r="B2309" s="14"/>
      <c r="C2309" s="14"/>
      <c r="D2309" s="5" t="str">
        <f t="shared" si="222"/>
        <v/>
      </c>
      <c r="E2309" s="5" t="str">
        <f t="shared" si="223"/>
        <v/>
      </c>
      <c r="F2309" s="5" t="str">
        <f t="shared" si="224"/>
        <v/>
      </c>
      <c r="G2309" s="23"/>
      <c r="H2309" s="66"/>
      <c r="I2309" s="14"/>
      <c r="J2309" s="14"/>
      <c r="K2309" s="14"/>
      <c r="L2309" s="5" t="str">
        <f t="shared" si="219"/>
        <v/>
      </c>
      <c r="M2309" s="5" t="str">
        <f t="shared" si="220"/>
        <v/>
      </c>
      <c r="N2309" s="5" t="str">
        <f t="shared" si="221"/>
        <v/>
      </c>
      <c r="O2309" s="4"/>
    </row>
    <row r="2310" spans="1:15" x14ac:dyDescent="0.25">
      <c r="A2310" s="14"/>
      <c r="B2310" s="14"/>
      <c r="C2310" s="14"/>
      <c r="D2310" s="5" t="str">
        <f t="shared" si="222"/>
        <v/>
      </c>
      <c r="E2310" s="5" t="str">
        <f t="shared" si="223"/>
        <v/>
      </c>
      <c r="F2310" s="5" t="str">
        <f t="shared" si="224"/>
        <v/>
      </c>
      <c r="G2310" s="23"/>
      <c r="H2310" s="66"/>
      <c r="I2310" s="14"/>
      <c r="J2310" s="14"/>
      <c r="K2310" s="14"/>
      <c r="L2310" s="5" t="str">
        <f t="shared" si="219"/>
        <v/>
      </c>
      <c r="M2310" s="5" t="str">
        <f t="shared" si="220"/>
        <v/>
      </c>
      <c r="N2310" s="5" t="str">
        <f t="shared" si="221"/>
        <v/>
      </c>
      <c r="O2310" s="4"/>
    </row>
    <row r="2311" spans="1:15" x14ac:dyDescent="0.25">
      <c r="A2311" s="14"/>
      <c r="B2311" s="14"/>
      <c r="C2311" s="14"/>
      <c r="D2311" s="5" t="str">
        <f t="shared" si="222"/>
        <v/>
      </c>
      <c r="E2311" s="5" t="str">
        <f t="shared" si="223"/>
        <v/>
      </c>
      <c r="F2311" s="5" t="str">
        <f t="shared" si="224"/>
        <v/>
      </c>
      <c r="G2311" s="23"/>
      <c r="H2311" s="66"/>
      <c r="I2311" s="14"/>
      <c r="J2311" s="14"/>
      <c r="K2311" s="14"/>
      <c r="L2311" s="5" t="str">
        <f t="shared" si="219"/>
        <v/>
      </c>
      <c r="M2311" s="5" t="str">
        <f t="shared" si="220"/>
        <v/>
      </c>
      <c r="N2311" s="5" t="str">
        <f t="shared" si="221"/>
        <v/>
      </c>
      <c r="O2311" s="4"/>
    </row>
    <row r="2312" spans="1:15" x14ac:dyDescent="0.25">
      <c r="A2312" s="14"/>
      <c r="B2312" s="14"/>
      <c r="C2312" s="14"/>
      <c r="D2312" s="5" t="str">
        <f t="shared" si="222"/>
        <v/>
      </c>
      <c r="E2312" s="5" t="str">
        <f t="shared" si="223"/>
        <v/>
      </c>
      <c r="F2312" s="5" t="str">
        <f t="shared" si="224"/>
        <v/>
      </c>
      <c r="G2312" s="23"/>
      <c r="H2312" s="66"/>
      <c r="I2312" s="14"/>
      <c r="J2312" s="14"/>
      <c r="K2312" s="14"/>
      <c r="L2312" s="5" t="str">
        <f t="shared" si="219"/>
        <v/>
      </c>
      <c r="M2312" s="5" t="str">
        <f t="shared" si="220"/>
        <v/>
      </c>
      <c r="N2312" s="5" t="str">
        <f t="shared" si="221"/>
        <v/>
      </c>
      <c r="O2312" s="4"/>
    </row>
    <row r="2313" spans="1:15" x14ac:dyDescent="0.25">
      <c r="A2313" s="14"/>
      <c r="B2313" s="14"/>
      <c r="C2313" s="14"/>
      <c r="D2313" s="5" t="str">
        <f t="shared" si="222"/>
        <v/>
      </c>
      <c r="E2313" s="5" t="str">
        <f t="shared" si="223"/>
        <v/>
      </c>
      <c r="F2313" s="5" t="str">
        <f t="shared" si="224"/>
        <v/>
      </c>
      <c r="G2313" s="23"/>
      <c r="H2313" s="66"/>
      <c r="I2313" s="14"/>
      <c r="J2313" s="14"/>
      <c r="K2313" s="14"/>
      <c r="L2313" s="5" t="str">
        <f t="shared" si="219"/>
        <v/>
      </c>
      <c r="M2313" s="5" t="str">
        <f t="shared" si="220"/>
        <v/>
      </c>
      <c r="N2313" s="5" t="str">
        <f t="shared" si="221"/>
        <v/>
      </c>
      <c r="O2313" s="4"/>
    </row>
    <row r="2314" spans="1:15" x14ac:dyDescent="0.25">
      <c r="A2314" s="14"/>
      <c r="B2314" s="14"/>
      <c r="C2314" s="14"/>
      <c r="D2314" s="5" t="str">
        <f t="shared" si="222"/>
        <v/>
      </c>
      <c r="E2314" s="5" t="str">
        <f t="shared" si="223"/>
        <v/>
      </c>
      <c r="F2314" s="5" t="str">
        <f t="shared" si="224"/>
        <v/>
      </c>
      <c r="G2314" s="23"/>
      <c r="H2314" s="66"/>
      <c r="I2314" s="14"/>
      <c r="J2314" s="14"/>
      <c r="K2314" s="14"/>
      <c r="L2314" s="5" t="str">
        <f t="shared" si="219"/>
        <v/>
      </c>
      <c r="M2314" s="5" t="str">
        <f t="shared" si="220"/>
        <v/>
      </c>
      <c r="N2314" s="5" t="str">
        <f t="shared" si="221"/>
        <v/>
      </c>
      <c r="O2314" s="4"/>
    </row>
    <row r="2315" spans="1:15" x14ac:dyDescent="0.25">
      <c r="A2315" s="14"/>
      <c r="B2315" s="14"/>
      <c r="C2315" s="14"/>
      <c r="D2315" s="5" t="str">
        <f t="shared" si="222"/>
        <v/>
      </c>
      <c r="E2315" s="5" t="str">
        <f t="shared" si="223"/>
        <v/>
      </c>
      <c r="F2315" s="5" t="str">
        <f t="shared" si="224"/>
        <v/>
      </c>
      <c r="G2315" s="23"/>
      <c r="H2315" s="66"/>
      <c r="I2315" s="14"/>
      <c r="J2315" s="14"/>
      <c r="K2315" s="14"/>
      <c r="L2315" s="5" t="str">
        <f t="shared" si="219"/>
        <v/>
      </c>
      <c r="M2315" s="5" t="str">
        <f t="shared" si="220"/>
        <v/>
      </c>
      <c r="N2315" s="5" t="str">
        <f t="shared" si="221"/>
        <v/>
      </c>
      <c r="O2315" s="4"/>
    </row>
    <row r="2316" spans="1:15" x14ac:dyDescent="0.25">
      <c r="A2316" s="14"/>
      <c r="B2316" s="14"/>
      <c r="C2316" s="14"/>
      <c r="D2316" s="5" t="str">
        <f t="shared" si="222"/>
        <v/>
      </c>
      <c r="E2316" s="5" t="str">
        <f t="shared" si="223"/>
        <v/>
      </c>
      <c r="F2316" s="5" t="str">
        <f t="shared" si="224"/>
        <v/>
      </c>
      <c r="G2316" s="23"/>
      <c r="H2316" s="66"/>
      <c r="I2316" s="14"/>
      <c r="J2316" s="14"/>
      <c r="K2316" s="14"/>
      <c r="L2316" s="5" t="str">
        <f t="shared" si="219"/>
        <v/>
      </c>
      <c r="M2316" s="5" t="str">
        <f t="shared" si="220"/>
        <v/>
      </c>
      <c r="N2316" s="5" t="str">
        <f t="shared" si="221"/>
        <v/>
      </c>
      <c r="O2316" s="4"/>
    </row>
    <row r="2317" spans="1:15" x14ac:dyDescent="0.25">
      <c r="A2317" s="14"/>
      <c r="B2317" s="14"/>
      <c r="C2317" s="14"/>
      <c r="D2317" s="5" t="str">
        <f t="shared" si="222"/>
        <v/>
      </c>
      <c r="E2317" s="5" t="str">
        <f t="shared" si="223"/>
        <v/>
      </c>
      <c r="F2317" s="5" t="str">
        <f t="shared" si="224"/>
        <v/>
      </c>
      <c r="G2317" s="23"/>
      <c r="H2317" s="66"/>
      <c r="I2317" s="14"/>
      <c r="J2317" s="14"/>
      <c r="K2317" s="14"/>
      <c r="L2317" s="5" t="str">
        <f t="shared" si="219"/>
        <v/>
      </c>
      <c r="M2317" s="5" t="str">
        <f t="shared" si="220"/>
        <v/>
      </c>
      <c r="N2317" s="5" t="str">
        <f t="shared" si="221"/>
        <v/>
      </c>
      <c r="O2317" s="4"/>
    </row>
    <row r="2318" spans="1:15" x14ac:dyDescent="0.25">
      <c r="A2318" s="14"/>
      <c r="B2318" s="14"/>
      <c r="C2318" s="14"/>
      <c r="D2318" s="5" t="str">
        <f t="shared" si="222"/>
        <v/>
      </c>
      <c r="E2318" s="5" t="str">
        <f t="shared" si="223"/>
        <v/>
      </c>
      <c r="F2318" s="5" t="str">
        <f t="shared" si="224"/>
        <v/>
      </c>
      <c r="G2318" s="23"/>
      <c r="H2318" s="66"/>
      <c r="I2318" s="14"/>
      <c r="J2318" s="14"/>
      <c r="K2318" s="14"/>
      <c r="L2318" s="5" t="str">
        <f t="shared" si="219"/>
        <v/>
      </c>
      <c r="M2318" s="5" t="str">
        <f t="shared" si="220"/>
        <v/>
      </c>
      <c r="N2318" s="5" t="str">
        <f t="shared" si="221"/>
        <v/>
      </c>
      <c r="O2318" s="4"/>
    </row>
    <row r="2319" spans="1:15" x14ac:dyDescent="0.25">
      <c r="A2319" s="14"/>
      <c r="B2319" s="14"/>
      <c r="C2319" s="14"/>
      <c r="D2319" s="5" t="str">
        <f t="shared" si="222"/>
        <v/>
      </c>
      <c r="E2319" s="5" t="str">
        <f t="shared" si="223"/>
        <v/>
      </c>
      <c r="F2319" s="5" t="str">
        <f t="shared" si="224"/>
        <v/>
      </c>
      <c r="G2319" s="23"/>
      <c r="H2319" s="66"/>
      <c r="I2319" s="14"/>
      <c r="J2319" s="14"/>
      <c r="K2319" s="14"/>
      <c r="L2319" s="5" t="str">
        <f t="shared" si="219"/>
        <v/>
      </c>
      <c r="M2319" s="5" t="str">
        <f t="shared" si="220"/>
        <v/>
      </c>
      <c r="N2319" s="5" t="str">
        <f t="shared" si="221"/>
        <v/>
      </c>
      <c r="O2319" s="4"/>
    </row>
    <row r="2320" spans="1:15" x14ac:dyDescent="0.25">
      <c r="A2320" s="14"/>
      <c r="B2320" s="14"/>
      <c r="C2320" s="14"/>
      <c r="D2320" s="5" t="str">
        <f t="shared" si="222"/>
        <v/>
      </c>
      <c r="E2320" s="5" t="str">
        <f t="shared" si="223"/>
        <v/>
      </c>
      <c r="F2320" s="5" t="str">
        <f t="shared" si="224"/>
        <v/>
      </c>
      <c r="G2320" s="23"/>
      <c r="H2320" s="66"/>
      <c r="I2320" s="14"/>
      <c r="J2320" s="14"/>
      <c r="K2320" s="14"/>
      <c r="L2320" s="5" t="str">
        <f t="shared" si="219"/>
        <v/>
      </c>
      <c r="M2320" s="5" t="str">
        <f t="shared" si="220"/>
        <v/>
      </c>
      <c r="N2320" s="5" t="str">
        <f t="shared" si="221"/>
        <v/>
      </c>
      <c r="O2320" s="4"/>
    </row>
    <row r="2321" spans="1:15" x14ac:dyDescent="0.25">
      <c r="A2321" s="14"/>
      <c r="B2321" s="14"/>
      <c r="C2321" s="14"/>
      <c r="D2321" s="5" t="str">
        <f t="shared" si="222"/>
        <v/>
      </c>
      <c r="E2321" s="5" t="str">
        <f t="shared" si="223"/>
        <v/>
      </c>
      <c r="F2321" s="5" t="str">
        <f t="shared" si="224"/>
        <v/>
      </c>
      <c r="G2321" s="23"/>
      <c r="H2321" s="66"/>
      <c r="I2321" s="14"/>
      <c r="J2321" s="14"/>
      <c r="K2321" s="14"/>
      <c r="L2321" s="5" t="str">
        <f t="shared" ref="L2321:L2384" si="225">IFERROR(IF(I2321&lt;&gt;"",(((J2321-J2320)*$X$4/(I2321-I2320)))*$X$5,""),"")</f>
        <v/>
      </c>
      <c r="M2321" s="5" t="str">
        <f t="shared" ref="M2321:M2384" si="226">IFERROR(IF(I2321&lt;&gt;"",(((K2321-K2320)*$X$4/(I2321-I2320)))*$X$5,""),"")</f>
        <v/>
      </c>
      <c r="N2321" s="5" t="str">
        <f t="shared" ref="N2321:N2384" si="227">IFERROR(IF(I2321&lt;&gt;"",((ACOS((COS(RADIANS(J2320))*COS(RADIANS(J2321)))+(SIN(RADIANS(J2320))*SIN(RADIANS(J2321)))*COS(RADIANS(K2321-K2320)))*180/PI()*($X$4/(I2321-I2320))))*$X$5,""),"")</f>
        <v/>
      </c>
      <c r="O2321" s="4"/>
    </row>
    <row r="2322" spans="1:15" x14ac:dyDescent="0.25">
      <c r="A2322" s="14"/>
      <c r="B2322" s="14"/>
      <c r="C2322" s="14"/>
      <c r="D2322" s="5" t="str">
        <f t="shared" si="222"/>
        <v/>
      </c>
      <c r="E2322" s="5" t="str">
        <f t="shared" si="223"/>
        <v/>
      </c>
      <c r="F2322" s="5" t="str">
        <f t="shared" si="224"/>
        <v/>
      </c>
      <c r="G2322" s="23"/>
      <c r="H2322" s="66"/>
      <c r="I2322" s="14"/>
      <c r="J2322" s="14"/>
      <c r="K2322" s="14"/>
      <c r="L2322" s="5" t="str">
        <f t="shared" si="225"/>
        <v/>
      </c>
      <c r="M2322" s="5" t="str">
        <f t="shared" si="226"/>
        <v/>
      </c>
      <c r="N2322" s="5" t="str">
        <f t="shared" si="227"/>
        <v/>
      </c>
      <c r="O2322" s="4"/>
    </row>
    <row r="2323" spans="1:15" x14ac:dyDescent="0.25">
      <c r="A2323" s="14"/>
      <c r="B2323" s="14"/>
      <c r="C2323" s="14"/>
      <c r="D2323" s="5" t="str">
        <f t="shared" si="222"/>
        <v/>
      </c>
      <c r="E2323" s="5" t="str">
        <f t="shared" si="223"/>
        <v/>
      </c>
      <c r="F2323" s="5" t="str">
        <f t="shared" si="224"/>
        <v/>
      </c>
      <c r="G2323" s="23"/>
      <c r="H2323" s="66"/>
      <c r="I2323" s="14"/>
      <c r="J2323" s="14"/>
      <c r="K2323" s="14"/>
      <c r="L2323" s="5" t="str">
        <f t="shared" si="225"/>
        <v/>
      </c>
      <c r="M2323" s="5" t="str">
        <f t="shared" si="226"/>
        <v/>
      </c>
      <c r="N2323" s="5" t="str">
        <f t="shared" si="227"/>
        <v/>
      </c>
      <c r="O2323" s="4"/>
    </row>
    <row r="2324" spans="1:15" x14ac:dyDescent="0.25">
      <c r="A2324" s="14"/>
      <c r="B2324" s="14"/>
      <c r="C2324" s="14"/>
      <c r="D2324" s="5" t="str">
        <f t="shared" si="222"/>
        <v/>
      </c>
      <c r="E2324" s="5" t="str">
        <f t="shared" si="223"/>
        <v/>
      </c>
      <c r="F2324" s="5" t="str">
        <f t="shared" si="224"/>
        <v/>
      </c>
      <c r="G2324" s="23"/>
      <c r="H2324" s="66"/>
      <c r="I2324" s="14"/>
      <c r="J2324" s="14"/>
      <c r="K2324" s="14"/>
      <c r="L2324" s="5" t="str">
        <f t="shared" si="225"/>
        <v/>
      </c>
      <c r="M2324" s="5" t="str">
        <f t="shared" si="226"/>
        <v/>
      </c>
      <c r="N2324" s="5" t="str">
        <f t="shared" si="227"/>
        <v/>
      </c>
      <c r="O2324" s="4"/>
    </row>
    <row r="2325" spans="1:15" x14ac:dyDescent="0.25">
      <c r="A2325" s="14"/>
      <c r="B2325" s="14"/>
      <c r="C2325" s="14"/>
      <c r="D2325" s="5" t="str">
        <f t="shared" si="222"/>
        <v/>
      </c>
      <c r="E2325" s="5" t="str">
        <f t="shared" si="223"/>
        <v/>
      </c>
      <c r="F2325" s="5" t="str">
        <f t="shared" si="224"/>
        <v/>
      </c>
      <c r="G2325" s="23"/>
      <c r="H2325" s="66"/>
      <c r="I2325" s="14"/>
      <c r="J2325" s="14"/>
      <c r="K2325" s="14"/>
      <c r="L2325" s="5" t="str">
        <f t="shared" si="225"/>
        <v/>
      </c>
      <c r="M2325" s="5" t="str">
        <f t="shared" si="226"/>
        <v/>
      </c>
      <c r="N2325" s="5" t="str">
        <f t="shared" si="227"/>
        <v/>
      </c>
      <c r="O2325" s="4"/>
    </row>
    <row r="2326" spans="1:15" x14ac:dyDescent="0.25">
      <c r="A2326" s="14"/>
      <c r="B2326" s="14"/>
      <c r="C2326" s="14"/>
      <c r="D2326" s="5" t="str">
        <f t="shared" si="222"/>
        <v/>
      </c>
      <c r="E2326" s="5" t="str">
        <f t="shared" si="223"/>
        <v/>
      </c>
      <c r="F2326" s="5" t="str">
        <f t="shared" si="224"/>
        <v/>
      </c>
      <c r="G2326" s="23"/>
      <c r="H2326" s="66"/>
      <c r="I2326" s="14"/>
      <c r="J2326" s="14"/>
      <c r="K2326" s="14"/>
      <c r="L2326" s="5" t="str">
        <f t="shared" si="225"/>
        <v/>
      </c>
      <c r="M2326" s="5" t="str">
        <f t="shared" si="226"/>
        <v/>
      </c>
      <c r="N2326" s="5" t="str">
        <f t="shared" si="227"/>
        <v/>
      </c>
      <c r="O2326" s="4"/>
    </row>
    <row r="2327" spans="1:15" x14ac:dyDescent="0.25">
      <c r="A2327" s="14"/>
      <c r="B2327" s="14"/>
      <c r="C2327" s="14"/>
      <c r="D2327" s="5" t="str">
        <f t="shared" si="222"/>
        <v/>
      </c>
      <c r="E2327" s="5" t="str">
        <f t="shared" si="223"/>
        <v/>
      </c>
      <c r="F2327" s="5" t="str">
        <f t="shared" si="224"/>
        <v/>
      </c>
      <c r="G2327" s="23"/>
      <c r="H2327" s="66"/>
      <c r="I2327" s="14"/>
      <c r="J2327" s="14"/>
      <c r="K2327" s="14"/>
      <c r="L2327" s="5" t="str">
        <f t="shared" si="225"/>
        <v/>
      </c>
      <c r="M2327" s="5" t="str">
        <f t="shared" si="226"/>
        <v/>
      </c>
      <c r="N2327" s="5" t="str">
        <f t="shared" si="227"/>
        <v/>
      </c>
      <c r="O2327" s="4"/>
    </row>
    <row r="2328" spans="1:15" x14ac:dyDescent="0.25">
      <c r="A2328" s="14"/>
      <c r="B2328" s="14"/>
      <c r="C2328" s="14"/>
      <c r="D2328" s="5" t="str">
        <f t="shared" si="222"/>
        <v/>
      </c>
      <c r="E2328" s="5" t="str">
        <f t="shared" si="223"/>
        <v/>
      </c>
      <c r="F2328" s="5" t="str">
        <f t="shared" si="224"/>
        <v/>
      </c>
      <c r="G2328" s="23"/>
      <c r="H2328" s="66"/>
      <c r="I2328" s="14"/>
      <c r="J2328" s="14"/>
      <c r="K2328" s="14"/>
      <c r="L2328" s="5" t="str">
        <f t="shared" si="225"/>
        <v/>
      </c>
      <c r="M2328" s="5" t="str">
        <f t="shared" si="226"/>
        <v/>
      </c>
      <c r="N2328" s="5" t="str">
        <f t="shared" si="227"/>
        <v/>
      </c>
      <c r="O2328" s="4"/>
    </row>
    <row r="2329" spans="1:15" x14ac:dyDescent="0.25">
      <c r="A2329" s="14"/>
      <c r="B2329" s="14"/>
      <c r="C2329" s="14"/>
      <c r="D2329" s="5" t="str">
        <f t="shared" ref="D2329:D2392" si="228">IFERROR( IF(A2329&lt;&gt;"",((B2329-B2328)*$X$4/(A2329-A2328))*$X$5,""),"")</f>
        <v/>
      </c>
      <c r="E2329" s="5" t="str">
        <f t="shared" ref="E2329:E2392" si="229">IFERROR(IF(A2329&lt;&gt;"",((C2329-C2328)*$X$4/(A2329-A2328))*$X$5,""),"")</f>
        <v/>
      </c>
      <c r="F2329" s="5" t="str">
        <f t="shared" ref="F2329:F2392" si="230">IFERROR(IF(A2329&lt;&gt;"",((ACOS((COS(RADIANS(B2328))*COS(RADIANS(B2329)))+(SIN(RADIANS(B2328))*SIN(RADIANS(B2329)))*COS(RADIANS(C2329-C2328)))*180/PI()*($X$4/(A2329-A2328))))*$X$5,""),"")</f>
        <v/>
      </c>
      <c r="G2329" s="23"/>
      <c r="H2329" s="66"/>
      <c r="I2329" s="14"/>
      <c r="J2329" s="14"/>
      <c r="K2329" s="14"/>
      <c r="L2329" s="5" t="str">
        <f t="shared" si="225"/>
        <v/>
      </c>
      <c r="M2329" s="5" t="str">
        <f t="shared" si="226"/>
        <v/>
      </c>
      <c r="N2329" s="5" t="str">
        <f t="shared" si="227"/>
        <v/>
      </c>
      <c r="O2329" s="4"/>
    </row>
    <row r="2330" spans="1:15" x14ac:dyDescent="0.25">
      <c r="A2330" s="14"/>
      <c r="B2330" s="14"/>
      <c r="C2330" s="14"/>
      <c r="D2330" s="5" t="str">
        <f t="shared" si="228"/>
        <v/>
      </c>
      <c r="E2330" s="5" t="str">
        <f t="shared" si="229"/>
        <v/>
      </c>
      <c r="F2330" s="5" t="str">
        <f t="shared" si="230"/>
        <v/>
      </c>
      <c r="G2330" s="23"/>
      <c r="H2330" s="66"/>
      <c r="I2330" s="14"/>
      <c r="J2330" s="14"/>
      <c r="K2330" s="14"/>
      <c r="L2330" s="5" t="str">
        <f t="shared" si="225"/>
        <v/>
      </c>
      <c r="M2330" s="5" t="str">
        <f t="shared" si="226"/>
        <v/>
      </c>
      <c r="N2330" s="5" t="str">
        <f t="shared" si="227"/>
        <v/>
      </c>
      <c r="O2330" s="4"/>
    </row>
    <row r="2331" spans="1:15" x14ac:dyDescent="0.25">
      <c r="A2331" s="14"/>
      <c r="B2331" s="14"/>
      <c r="C2331" s="14"/>
      <c r="D2331" s="5" t="str">
        <f t="shared" si="228"/>
        <v/>
      </c>
      <c r="E2331" s="5" t="str">
        <f t="shared" si="229"/>
        <v/>
      </c>
      <c r="F2331" s="5" t="str">
        <f t="shared" si="230"/>
        <v/>
      </c>
      <c r="G2331" s="23"/>
      <c r="H2331" s="66"/>
      <c r="I2331" s="14"/>
      <c r="J2331" s="14"/>
      <c r="K2331" s="14"/>
      <c r="L2331" s="5" t="str">
        <f t="shared" si="225"/>
        <v/>
      </c>
      <c r="M2331" s="5" t="str">
        <f t="shared" si="226"/>
        <v/>
      </c>
      <c r="N2331" s="5" t="str">
        <f t="shared" si="227"/>
        <v/>
      </c>
      <c r="O2331" s="4"/>
    </row>
    <row r="2332" spans="1:15" x14ac:dyDescent="0.25">
      <c r="A2332" s="14"/>
      <c r="B2332" s="14"/>
      <c r="C2332" s="14"/>
      <c r="D2332" s="5" t="str">
        <f t="shared" si="228"/>
        <v/>
      </c>
      <c r="E2332" s="5" t="str">
        <f t="shared" si="229"/>
        <v/>
      </c>
      <c r="F2332" s="5" t="str">
        <f t="shared" si="230"/>
        <v/>
      </c>
      <c r="G2332" s="23"/>
      <c r="H2332" s="66"/>
      <c r="I2332" s="14"/>
      <c r="J2332" s="14"/>
      <c r="K2332" s="14"/>
      <c r="L2332" s="5" t="str">
        <f t="shared" si="225"/>
        <v/>
      </c>
      <c r="M2332" s="5" t="str">
        <f t="shared" si="226"/>
        <v/>
      </c>
      <c r="N2332" s="5" t="str">
        <f t="shared" si="227"/>
        <v/>
      </c>
      <c r="O2332" s="4"/>
    </row>
    <row r="2333" spans="1:15" x14ac:dyDescent="0.25">
      <c r="A2333" s="14"/>
      <c r="B2333" s="14"/>
      <c r="C2333" s="14"/>
      <c r="D2333" s="5" t="str">
        <f t="shared" si="228"/>
        <v/>
      </c>
      <c r="E2333" s="5" t="str">
        <f t="shared" si="229"/>
        <v/>
      </c>
      <c r="F2333" s="5" t="str">
        <f t="shared" si="230"/>
        <v/>
      </c>
      <c r="G2333" s="23"/>
      <c r="H2333" s="66"/>
      <c r="I2333" s="14"/>
      <c r="J2333" s="14"/>
      <c r="K2333" s="14"/>
      <c r="L2333" s="5" t="str">
        <f t="shared" si="225"/>
        <v/>
      </c>
      <c r="M2333" s="5" t="str">
        <f t="shared" si="226"/>
        <v/>
      </c>
      <c r="N2333" s="5" t="str">
        <f t="shared" si="227"/>
        <v/>
      </c>
      <c r="O2333" s="4"/>
    </row>
    <row r="2334" spans="1:15" x14ac:dyDescent="0.25">
      <c r="A2334" s="14"/>
      <c r="B2334" s="14"/>
      <c r="C2334" s="14"/>
      <c r="D2334" s="5" t="str">
        <f t="shared" si="228"/>
        <v/>
      </c>
      <c r="E2334" s="5" t="str">
        <f t="shared" si="229"/>
        <v/>
      </c>
      <c r="F2334" s="5" t="str">
        <f t="shared" si="230"/>
        <v/>
      </c>
      <c r="G2334" s="23"/>
      <c r="H2334" s="66"/>
      <c r="I2334" s="14"/>
      <c r="J2334" s="14"/>
      <c r="K2334" s="14"/>
      <c r="L2334" s="5" t="str">
        <f t="shared" si="225"/>
        <v/>
      </c>
      <c r="M2334" s="5" t="str">
        <f t="shared" si="226"/>
        <v/>
      </c>
      <c r="N2334" s="5" t="str">
        <f t="shared" si="227"/>
        <v/>
      </c>
      <c r="O2334" s="4"/>
    </row>
    <row r="2335" spans="1:15" x14ac:dyDescent="0.25">
      <c r="A2335" s="14"/>
      <c r="B2335" s="14"/>
      <c r="C2335" s="14"/>
      <c r="D2335" s="5" t="str">
        <f t="shared" si="228"/>
        <v/>
      </c>
      <c r="E2335" s="5" t="str">
        <f t="shared" si="229"/>
        <v/>
      </c>
      <c r="F2335" s="5" t="str">
        <f t="shared" si="230"/>
        <v/>
      </c>
      <c r="G2335" s="23"/>
      <c r="H2335" s="66"/>
      <c r="I2335" s="14"/>
      <c r="J2335" s="14"/>
      <c r="K2335" s="14"/>
      <c r="L2335" s="5" t="str">
        <f t="shared" si="225"/>
        <v/>
      </c>
      <c r="M2335" s="5" t="str">
        <f t="shared" si="226"/>
        <v/>
      </c>
      <c r="N2335" s="5" t="str">
        <f t="shared" si="227"/>
        <v/>
      </c>
      <c r="O2335" s="4"/>
    </row>
    <row r="2336" spans="1:15" x14ac:dyDescent="0.25">
      <c r="A2336" s="14"/>
      <c r="B2336" s="14"/>
      <c r="C2336" s="14"/>
      <c r="D2336" s="5" t="str">
        <f t="shared" si="228"/>
        <v/>
      </c>
      <c r="E2336" s="5" t="str">
        <f t="shared" si="229"/>
        <v/>
      </c>
      <c r="F2336" s="5" t="str">
        <f t="shared" si="230"/>
        <v/>
      </c>
      <c r="G2336" s="23"/>
      <c r="H2336" s="66"/>
      <c r="I2336" s="14"/>
      <c r="J2336" s="14"/>
      <c r="K2336" s="14"/>
      <c r="L2336" s="5" t="str">
        <f t="shared" si="225"/>
        <v/>
      </c>
      <c r="M2336" s="5" t="str">
        <f t="shared" si="226"/>
        <v/>
      </c>
      <c r="N2336" s="5" t="str">
        <f t="shared" si="227"/>
        <v/>
      </c>
      <c r="O2336" s="4"/>
    </row>
    <row r="2337" spans="1:15" x14ac:dyDescent="0.25">
      <c r="A2337" s="14"/>
      <c r="B2337" s="14"/>
      <c r="C2337" s="14"/>
      <c r="D2337" s="5" t="str">
        <f t="shared" si="228"/>
        <v/>
      </c>
      <c r="E2337" s="5" t="str">
        <f t="shared" si="229"/>
        <v/>
      </c>
      <c r="F2337" s="5" t="str">
        <f t="shared" si="230"/>
        <v/>
      </c>
      <c r="G2337" s="23"/>
      <c r="H2337" s="66"/>
      <c r="I2337" s="14"/>
      <c r="J2337" s="14"/>
      <c r="K2337" s="14"/>
      <c r="L2337" s="5" t="str">
        <f t="shared" si="225"/>
        <v/>
      </c>
      <c r="M2337" s="5" t="str">
        <f t="shared" si="226"/>
        <v/>
      </c>
      <c r="N2337" s="5" t="str">
        <f t="shared" si="227"/>
        <v/>
      </c>
      <c r="O2337" s="4"/>
    </row>
    <row r="2338" spans="1:15" x14ac:dyDescent="0.25">
      <c r="A2338" s="14"/>
      <c r="B2338" s="14"/>
      <c r="C2338" s="14"/>
      <c r="D2338" s="5" t="str">
        <f t="shared" si="228"/>
        <v/>
      </c>
      <c r="E2338" s="5" t="str">
        <f t="shared" si="229"/>
        <v/>
      </c>
      <c r="F2338" s="5" t="str">
        <f t="shared" si="230"/>
        <v/>
      </c>
      <c r="G2338" s="23"/>
      <c r="H2338" s="66"/>
      <c r="I2338" s="14"/>
      <c r="J2338" s="14"/>
      <c r="K2338" s="14"/>
      <c r="L2338" s="5" t="str">
        <f t="shared" si="225"/>
        <v/>
      </c>
      <c r="M2338" s="5" t="str">
        <f t="shared" si="226"/>
        <v/>
      </c>
      <c r="N2338" s="5" t="str">
        <f t="shared" si="227"/>
        <v/>
      </c>
      <c r="O2338" s="4"/>
    </row>
    <row r="2339" spans="1:15" x14ac:dyDescent="0.25">
      <c r="A2339" s="14"/>
      <c r="B2339" s="14"/>
      <c r="C2339" s="14"/>
      <c r="D2339" s="5" t="str">
        <f t="shared" si="228"/>
        <v/>
      </c>
      <c r="E2339" s="5" t="str">
        <f t="shared" si="229"/>
        <v/>
      </c>
      <c r="F2339" s="5" t="str">
        <f t="shared" si="230"/>
        <v/>
      </c>
      <c r="G2339" s="23"/>
      <c r="H2339" s="66"/>
      <c r="I2339" s="14"/>
      <c r="J2339" s="14"/>
      <c r="K2339" s="14"/>
      <c r="L2339" s="5" t="str">
        <f t="shared" si="225"/>
        <v/>
      </c>
      <c r="M2339" s="5" t="str">
        <f t="shared" si="226"/>
        <v/>
      </c>
      <c r="N2339" s="5" t="str">
        <f t="shared" si="227"/>
        <v/>
      </c>
      <c r="O2339" s="4"/>
    </row>
    <row r="2340" spans="1:15" x14ac:dyDescent="0.25">
      <c r="A2340" s="14"/>
      <c r="B2340" s="14"/>
      <c r="C2340" s="14"/>
      <c r="D2340" s="5" t="str">
        <f t="shared" si="228"/>
        <v/>
      </c>
      <c r="E2340" s="5" t="str">
        <f t="shared" si="229"/>
        <v/>
      </c>
      <c r="F2340" s="5" t="str">
        <f t="shared" si="230"/>
        <v/>
      </c>
      <c r="G2340" s="23"/>
      <c r="H2340" s="66"/>
      <c r="I2340" s="14"/>
      <c r="J2340" s="14"/>
      <c r="K2340" s="14"/>
      <c r="L2340" s="5" t="str">
        <f t="shared" si="225"/>
        <v/>
      </c>
      <c r="M2340" s="5" t="str">
        <f t="shared" si="226"/>
        <v/>
      </c>
      <c r="N2340" s="5" t="str">
        <f t="shared" si="227"/>
        <v/>
      </c>
      <c r="O2340" s="4"/>
    </row>
    <row r="2341" spans="1:15" x14ac:dyDescent="0.25">
      <c r="A2341" s="14"/>
      <c r="B2341" s="14"/>
      <c r="C2341" s="14"/>
      <c r="D2341" s="5" t="str">
        <f t="shared" si="228"/>
        <v/>
      </c>
      <c r="E2341" s="5" t="str">
        <f t="shared" si="229"/>
        <v/>
      </c>
      <c r="F2341" s="5" t="str">
        <f t="shared" si="230"/>
        <v/>
      </c>
      <c r="G2341" s="23"/>
      <c r="H2341" s="66"/>
      <c r="I2341" s="14"/>
      <c r="J2341" s="14"/>
      <c r="K2341" s="14"/>
      <c r="L2341" s="5" t="str">
        <f t="shared" si="225"/>
        <v/>
      </c>
      <c r="M2341" s="5" t="str">
        <f t="shared" si="226"/>
        <v/>
      </c>
      <c r="N2341" s="5" t="str">
        <f t="shared" si="227"/>
        <v/>
      </c>
      <c r="O2341" s="4"/>
    </row>
    <row r="2342" spans="1:15" x14ac:dyDescent="0.25">
      <c r="A2342" s="14"/>
      <c r="B2342" s="14"/>
      <c r="C2342" s="14"/>
      <c r="D2342" s="5" t="str">
        <f t="shared" si="228"/>
        <v/>
      </c>
      <c r="E2342" s="5" t="str">
        <f t="shared" si="229"/>
        <v/>
      </c>
      <c r="F2342" s="5" t="str">
        <f t="shared" si="230"/>
        <v/>
      </c>
      <c r="G2342" s="23"/>
      <c r="H2342" s="66"/>
      <c r="I2342" s="14"/>
      <c r="J2342" s="14"/>
      <c r="K2342" s="14"/>
      <c r="L2342" s="5" t="str">
        <f t="shared" si="225"/>
        <v/>
      </c>
      <c r="M2342" s="5" t="str">
        <f t="shared" si="226"/>
        <v/>
      </c>
      <c r="N2342" s="5" t="str">
        <f t="shared" si="227"/>
        <v/>
      </c>
      <c r="O2342" s="4"/>
    </row>
    <row r="2343" spans="1:15" x14ac:dyDescent="0.25">
      <c r="A2343" s="14"/>
      <c r="B2343" s="14"/>
      <c r="C2343" s="14"/>
      <c r="D2343" s="5" t="str">
        <f t="shared" si="228"/>
        <v/>
      </c>
      <c r="E2343" s="5" t="str">
        <f t="shared" si="229"/>
        <v/>
      </c>
      <c r="F2343" s="5" t="str">
        <f t="shared" si="230"/>
        <v/>
      </c>
      <c r="G2343" s="23"/>
      <c r="H2343" s="66"/>
      <c r="I2343" s="14"/>
      <c r="J2343" s="14"/>
      <c r="K2343" s="14"/>
      <c r="L2343" s="5" t="str">
        <f t="shared" si="225"/>
        <v/>
      </c>
      <c r="M2343" s="5" t="str">
        <f t="shared" si="226"/>
        <v/>
      </c>
      <c r="N2343" s="5" t="str">
        <f t="shared" si="227"/>
        <v/>
      </c>
      <c r="O2343" s="4"/>
    </row>
    <row r="2344" spans="1:15" x14ac:dyDescent="0.25">
      <c r="A2344" s="14"/>
      <c r="B2344" s="14"/>
      <c r="C2344" s="14"/>
      <c r="D2344" s="5" t="str">
        <f t="shared" si="228"/>
        <v/>
      </c>
      <c r="E2344" s="5" t="str">
        <f t="shared" si="229"/>
        <v/>
      </c>
      <c r="F2344" s="5" t="str">
        <f t="shared" si="230"/>
        <v/>
      </c>
      <c r="G2344" s="23"/>
      <c r="H2344" s="66"/>
      <c r="I2344" s="14"/>
      <c r="J2344" s="14"/>
      <c r="K2344" s="14"/>
      <c r="L2344" s="5" t="str">
        <f t="shared" si="225"/>
        <v/>
      </c>
      <c r="M2344" s="5" t="str">
        <f t="shared" si="226"/>
        <v/>
      </c>
      <c r="N2344" s="5" t="str">
        <f t="shared" si="227"/>
        <v/>
      </c>
      <c r="O2344" s="4"/>
    </row>
    <row r="2345" spans="1:15" x14ac:dyDescent="0.25">
      <c r="A2345" s="14"/>
      <c r="B2345" s="14"/>
      <c r="C2345" s="14"/>
      <c r="D2345" s="5" t="str">
        <f t="shared" si="228"/>
        <v/>
      </c>
      <c r="E2345" s="5" t="str">
        <f t="shared" si="229"/>
        <v/>
      </c>
      <c r="F2345" s="5" t="str">
        <f t="shared" si="230"/>
        <v/>
      </c>
      <c r="G2345" s="23"/>
      <c r="H2345" s="66"/>
      <c r="I2345" s="14"/>
      <c r="J2345" s="14"/>
      <c r="K2345" s="14"/>
      <c r="L2345" s="5" t="str">
        <f t="shared" si="225"/>
        <v/>
      </c>
      <c r="M2345" s="5" t="str">
        <f t="shared" si="226"/>
        <v/>
      </c>
      <c r="N2345" s="5" t="str">
        <f t="shared" si="227"/>
        <v/>
      </c>
      <c r="O2345" s="4"/>
    </row>
    <row r="2346" spans="1:15" x14ac:dyDescent="0.25">
      <c r="A2346" s="14"/>
      <c r="B2346" s="14"/>
      <c r="C2346" s="14"/>
      <c r="D2346" s="5" t="str">
        <f t="shared" si="228"/>
        <v/>
      </c>
      <c r="E2346" s="5" t="str">
        <f t="shared" si="229"/>
        <v/>
      </c>
      <c r="F2346" s="5" t="str">
        <f t="shared" si="230"/>
        <v/>
      </c>
      <c r="G2346" s="23"/>
      <c r="H2346" s="66"/>
      <c r="I2346" s="14"/>
      <c r="J2346" s="14"/>
      <c r="K2346" s="14"/>
      <c r="L2346" s="5" t="str">
        <f t="shared" si="225"/>
        <v/>
      </c>
      <c r="M2346" s="5" t="str">
        <f t="shared" si="226"/>
        <v/>
      </c>
      <c r="N2346" s="5" t="str">
        <f t="shared" si="227"/>
        <v/>
      </c>
      <c r="O2346" s="4"/>
    </row>
    <row r="2347" spans="1:15" x14ac:dyDescent="0.25">
      <c r="A2347" s="14"/>
      <c r="B2347" s="14"/>
      <c r="C2347" s="14"/>
      <c r="D2347" s="5" t="str">
        <f t="shared" si="228"/>
        <v/>
      </c>
      <c r="E2347" s="5" t="str">
        <f t="shared" si="229"/>
        <v/>
      </c>
      <c r="F2347" s="5" t="str">
        <f t="shared" si="230"/>
        <v/>
      </c>
      <c r="G2347" s="23"/>
      <c r="H2347" s="66"/>
      <c r="I2347" s="14"/>
      <c r="J2347" s="14"/>
      <c r="K2347" s="14"/>
      <c r="L2347" s="5" t="str">
        <f t="shared" si="225"/>
        <v/>
      </c>
      <c r="M2347" s="5" t="str">
        <f t="shared" si="226"/>
        <v/>
      </c>
      <c r="N2347" s="5" t="str">
        <f t="shared" si="227"/>
        <v/>
      </c>
      <c r="O2347" s="4"/>
    </row>
    <row r="2348" spans="1:15" x14ac:dyDescent="0.25">
      <c r="A2348" s="14"/>
      <c r="B2348" s="14"/>
      <c r="C2348" s="14"/>
      <c r="D2348" s="5" t="str">
        <f t="shared" si="228"/>
        <v/>
      </c>
      <c r="E2348" s="5" t="str">
        <f t="shared" si="229"/>
        <v/>
      </c>
      <c r="F2348" s="5" t="str">
        <f t="shared" si="230"/>
        <v/>
      </c>
      <c r="G2348" s="23"/>
      <c r="H2348" s="66"/>
      <c r="I2348" s="14"/>
      <c r="J2348" s="14"/>
      <c r="K2348" s="14"/>
      <c r="L2348" s="5" t="str">
        <f t="shared" si="225"/>
        <v/>
      </c>
      <c r="M2348" s="5" t="str">
        <f t="shared" si="226"/>
        <v/>
      </c>
      <c r="N2348" s="5" t="str">
        <f t="shared" si="227"/>
        <v/>
      </c>
      <c r="O2348" s="4"/>
    </row>
    <row r="2349" spans="1:15" x14ac:dyDescent="0.25">
      <c r="A2349" s="14"/>
      <c r="B2349" s="14"/>
      <c r="C2349" s="14"/>
      <c r="D2349" s="5" t="str">
        <f t="shared" si="228"/>
        <v/>
      </c>
      <c r="E2349" s="5" t="str">
        <f t="shared" si="229"/>
        <v/>
      </c>
      <c r="F2349" s="5" t="str">
        <f t="shared" si="230"/>
        <v/>
      </c>
      <c r="G2349" s="23"/>
      <c r="H2349" s="66"/>
      <c r="I2349" s="14"/>
      <c r="J2349" s="14"/>
      <c r="K2349" s="14"/>
      <c r="L2349" s="5" t="str">
        <f t="shared" si="225"/>
        <v/>
      </c>
      <c r="M2349" s="5" t="str">
        <f t="shared" si="226"/>
        <v/>
      </c>
      <c r="N2349" s="5" t="str">
        <f t="shared" si="227"/>
        <v/>
      </c>
      <c r="O2349" s="4"/>
    </row>
    <row r="2350" spans="1:15" x14ac:dyDescent="0.25">
      <c r="A2350" s="14"/>
      <c r="B2350" s="14"/>
      <c r="C2350" s="14"/>
      <c r="D2350" s="5" t="str">
        <f t="shared" si="228"/>
        <v/>
      </c>
      <c r="E2350" s="5" t="str">
        <f t="shared" si="229"/>
        <v/>
      </c>
      <c r="F2350" s="5" t="str">
        <f t="shared" si="230"/>
        <v/>
      </c>
      <c r="G2350" s="23"/>
      <c r="H2350" s="66"/>
      <c r="I2350" s="14"/>
      <c r="J2350" s="14"/>
      <c r="K2350" s="14"/>
      <c r="L2350" s="5" t="str">
        <f t="shared" si="225"/>
        <v/>
      </c>
      <c r="M2350" s="5" t="str">
        <f t="shared" si="226"/>
        <v/>
      </c>
      <c r="N2350" s="5" t="str">
        <f t="shared" si="227"/>
        <v/>
      </c>
      <c r="O2350" s="4"/>
    </row>
    <row r="2351" spans="1:15" x14ac:dyDescent="0.25">
      <c r="A2351" s="14"/>
      <c r="B2351" s="14"/>
      <c r="C2351" s="14"/>
      <c r="D2351" s="5" t="str">
        <f t="shared" si="228"/>
        <v/>
      </c>
      <c r="E2351" s="5" t="str">
        <f t="shared" si="229"/>
        <v/>
      </c>
      <c r="F2351" s="5" t="str">
        <f t="shared" si="230"/>
        <v/>
      </c>
      <c r="G2351" s="23"/>
      <c r="H2351" s="66"/>
      <c r="I2351" s="14"/>
      <c r="J2351" s="14"/>
      <c r="K2351" s="14"/>
      <c r="L2351" s="5" t="str">
        <f t="shared" si="225"/>
        <v/>
      </c>
      <c r="M2351" s="5" t="str">
        <f t="shared" si="226"/>
        <v/>
      </c>
      <c r="N2351" s="5" t="str">
        <f t="shared" si="227"/>
        <v/>
      </c>
      <c r="O2351" s="4"/>
    </row>
    <row r="2352" spans="1:15" x14ac:dyDescent="0.25">
      <c r="A2352" s="14"/>
      <c r="B2352" s="14"/>
      <c r="C2352" s="14"/>
      <c r="D2352" s="5" t="str">
        <f t="shared" si="228"/>
        <v/>
      </c>
      <c r="E2352" s="5" t="str">
        <f t="shared" si="229"/>
        <v/>
      </c>
      <c r="F2352" s="5" t="str">
        <f t="shared" si="230"/>
        <v/>
      </c>
      <c r="G2352" s="23"/>
      <c r="H2352" s="66"/>
      <c r="I2352" s="14"/>
      <c r="J2352" s="14"/>
      <c r="K2352" s="14"/>
      <c r="L2352" s="5" t="str">
        <f t="shared" si="225"/>
        <v/>
      </c>
      <c r="M2352" s="5" t="str">
        <f t="shared" si="226"/>
        <v/>
      </c>
      <c r="N2352" s="5" t="str">
        <f t="shared" si="227"/>
        <v/>
      </c>
      <c r="O2352" s="4"/>
    </row>
    <row r="2353" spans="1:15" x14ac:dyDescent="0.25">
      <c r="A2353" s="14"/>
      <c r="B2353" s="14"/>
      <c r="C2353" s="14"/>
      <c r="D2353" s="5" t="str">
        <f t="shared" si="228"/>
        <v/>
      </c>
      <c r="E2353" s="5" t="str">
        <f t="shared" si="229"/>
        <v/>
      </c>
      <c r="F2353" s="5" t="str">
        <f t="shared" si="230"/>
        <v/>
      </c>
      <c r="G2353" s="23"/>
      <c r="H2353" s="66"/>
      <c r="I2353" s="14"/>
      <c r="J2353" s="14"/>
      <c r="K2353" s="14"/>
      <c r="L2353" s="5" t="str">
        <f t="shared" si="225"/>
        <v/>
      </c>
      <c r="M2353" s="5" t="str">
        <f t="shared" si="226"/>
        <v/>
      </c>
      <c r="N2353" s="5" t="str">
        <f t="shared" si="227"/>
        <v/>
      </c>
      <c r="O2353" s="4"/>
    </row>
    <row r="2354" spans="1:15" x14ac:dyDescent="0.25">
      <c r="A2354" s="14"/>
      <c r="B2354" s="14"/>
      <c r="C2354" s="14"/>
      <c r="D2354" s="5" t="str">
        <f t="shared" si="228"/>
        <v/>
      </c>
      <c r="E2354" s="5" t="str">
        <f t="shared" si="229"/>
        <v/>
      </c>
      <c r="F2354" s="5" t="str">
        <f t="shared" si="230"/>
        <v/>
      </c>
      <c r="G2354" s="23"/>
      <c r="H2354" s="66"/>
      <c r="I2354" s="14"/>
      <c r="J2354" s="14"/>
      <c r="K2354" s="14"/>
      <c r="L2354" s="5" t="str">
        <f t="shared" si="225"/>
        <v/>
      </c>
      <c r="M2354" s="5" t="str">
        <f t="shared" si="226"/>
        <v/>
      </c>
      <c r="N2354" s="5" t="str">
        <f t="shared" si="227"/>
        <v/>
      </c>
      <c r="O2354" s="4"/>
    </row>
    <row r="2355" spans="1:15" x14ac:dyDescent="0.25">
      <c r="A2355" s="14"/>
      <c r="B2355" s="14"/>
      <c r="C2355" s="14"/>
      <c r="D2355" s="5" t="str">
        <f t="shared" si="228"/>
        <v/>
      </c>
      <c r="E2355" s="5" t="str">
        <f t="shared" si="229"/>
        <v/>
      </c>
      <c r="F2355" s="5" t="str">
        <f t="shared" si="230"/>
        <v/>
      </c>
      <c r="G2355" s="23"/>
      <c r="H2355" s="66"/>
      <c r="I2355" s="14"/>
      <c r="J2355" s="14"/>
      <c r="K2355" s="14"/>
      <c r="L2355" s="5" t="str">
        <f t="shared" si="225"/>
        <v/>
      </c>
      <c r="M2355" s="5" t="str">
        <f t="shared" si="226"/>
        <v/>
      </c>
      <c r="N2355" s="5" t="str">
        <f t="shared" si="227"/>
        <v/>
      </c>
      <c r="O2355" s="4"/>
    </row>
    <row r="2356" spans="1:15" x14ac:dyDescent="0.25">
      <c r="A2356" s="14"/>
      <c r="B2356" s="14"/>
      <c r="C2356" s="14"/>
      <c r="D2356" s="5" t="str">
        <f t="shared" si="228"/>
        <v/>
      </c>
      <c r="E2356" s="5" t="str">
        <f t="shared" si="229"/>
        <v/>
      </c>
      <c r="F2356" s="5" t="str">
        <f t="shared" si="230"/>
        <v/>
      </c>
      <c r="G2356" s="23"/>
      <c r="H2356" s="66"/>
      <c r="I2356" s="14"/>
      <c r="J2356" s="14"/>
      <c r="K2356" s="14"/>
      <c r="L2356" s="5" t="str">
        <f t="shared" si="225"/>
        <v/>
      </c>
      <c r="M2356" s="5" t="str">
        <f t="shared" si="226"/>
        <v/>
      </c>
      <c r="N2356" s="5" t="str">
        <f t="shared" si="227"/>
        <v/>
      </c>
      <c r="O2356" s="4"/>
    </row>
    <row r="2357" spans="1:15" x14ac:dyDescent="0.25">
      <c r="A2357" s="14"/>
      <c r="B2357" s="14"/>
      <c r="C2357" s="14"/>
      <c r="D2357" s="5" t="str">
        <f t="shared" si="228"/>
        <v/>
      </c>
      <c r="E2357" s="5" t="str">
        <f t="shared" si="229"/>
        <v/>
      </c>
      <c r="F2357" s="5" t="str">
        <f t="shared" si="230"/>
        <v/>
      </c>
      <c r="G2357" s="23"/>
      <c r="H2357" s="66"/>
      <c r="I2357" s="14"/>
      <c r="J2357" s="14"/>
      <c r="K2357" s="14"/>
      <c r="L2357" s="5" t="str">
        <f t="shared" si="225"/>
        <v/>
      </c>
      <c r="M2357" s="5" t="str">
        <f t="shared" si="226"/>
        <v/>
      </c>
      <c r="N2357" s="5" t="str">
        <f t="shared" si="227"/>
        <v/>
      </c>
      <c r="O2357" s="4"/>
    </row>
    <row r="2358" spans="1:15" x14ac:dyDescent="0.25">
      <c r="A2358" s="14"/>
      <c r="B2358" s="14"/>
      <c r="C2358" s="14"/>
      <c r="D2358" s="5" t="str">
        <f t="shared" si="228"/>
        <v/>
      </c>
      <c r="E2358" s="5" t="str">
        <f t="shared" si="229"/>
        <v/>
      </c>
      <c r="F2358" s="5" t="str">
        <f t="shared" si="230"/>
        <v/>
      </c>
      <c r="G2358" s="23"/>
      <c r="H2358" s="66"/>
      <c r="I2358" s="14"/>
      <c r="J2358" s="14"/>
      <c r="K2358" s="14"/>
      <c r="L2358" s="5" t="str">
        <f t="shared" si="225"/>
        <v/>
      </c>
      <c r="M2358" s="5" t="str">
        <f t="shared" si="226"/>
        <v/>
      </c>
      <c r="N2358" s="5" t="str">
        <f t="shared" si="227"/>
        <v/>
      </c>
      <c r="O2358" s="4"/>
    </row>
    <row r="2359" spans="1:15" x14ac:dyDescent="0.25">
      <c r="A2359" s="14"/>
      <c r="B2359" s="14"/>
      <c r="C2359" s="14"/>
      <c r="D2359" s="5" t="str">
        <f t="shared" si="228"/>
        <v/>
      </c>
      <c r="E2359" s="5" t="str">
        <f t="shared" si="229"/>
        <v/>
      </c>
      <c r="F2359" s="5" t="str">
        <f t="shared" si="230"/>
        <v/>
      </c>
      <c r="G2359" s="23"/>
      <c r="H2359" s="66"/>
      <c r="I2359" s="14"/>
      <c r="J2359" s="14"/>
      <c r="K2359" s="14"/>
      <c r="L2359" s="5" t="str">
        <f t="shared" si="225"/>
        <v/>
      </c>
      <c r="M2359" s="5" t="str">
        <f t="shared" si="226"/>
        <v/>
      </c>
      <c r="N2359" s="5" t="str">
        <f t="shared" si="227"/>
        <v/>
      </c>
      <c r="O2359" s="4"/>
    </row>
    <row r="2360" spans="1:15" x14ac:dyDescent="0.25">
      <c r="A2360" s="14"/>
      <c r="B2360" s="14"/>
      <c r="C2360" s="14"/>
      <c r="D2360" s="5" t="str">
        <f t="shared" si="228"/>
        <v/>
      </c>
      <c r="E2360" s="5" t="str">
        <f t="shared" si="229"/>
        <v/>
      </c>
      <c r="F2360" s="5" t="str">
        <f t="shared" si="230"/>
        <v/>
      </c>
      <c r="G2360" s="23"/>
      <c r="H2360" s="66"/>
      <c r="I2360" s="14"/>
      <c r="J2360" s="14"/>
      <c r="K2360" s="14"/>
      <c r="L2360" s="5" t="str">
        <f t="shared" si="225"/>
        <v/>
      </c>
      <c r="M2360" s="5" t="str">
        <f t="shared" si="226"/>
        <v/>
      </c>
      <c r="N2360" s="5" t="str">
        <f t="shared" si="227"/>
        <v/>
      </c>
      <c r="O2360" s="4"/>
    </row>
    <row r="2361" spans="1:15" x14ac:dyDescent="0.25">
      <c r="A2361" s="14"/>
      <c r="B2361" s="14"/>
      <c r="C2361" s="14"/>
      <c r="D2361" s="5" t="str">
        <f t="shared" si="228"/>
        <v/>
      </c>
      <c r="E2361" s="5" t="str">
        <f t="shared" si="229"/>
        <v/>
      </c>
      <c r="F2361" s="5" t="str">
        <f t="shared" si="230"/>
        <v/>
      </c>
      <c r="G2361" s="23"/>
      <c r="H2361" s="66"/>
      <c r="I2361" s="14"/>
      <c r="J2361" s="14"/>
      <c r="K2361" s="14"/>
      <c r="L2361" s="5" t="str">
        <f t="shared" si="225"/>
        <v/>
      </c>
      <c r="M2361" s="5" t="str">
        <f t="shared" si="226"/>
        <v/>
      </c>
      <c r="N2361" s="5" t="str">
        <f t="shared" si="227"/>
        <v/>
      </c>
      <c r="O2361" s="4"/>
    </row>
    <row r="2362" spans="1:15" x14ac:dyDescent="0.25">
      <c r="A2362" s="14"/>
      <c r="B2362" s="14"/>
      <c r="C2362" s="14"/>
      <c r="D2362" s="5" t="str">
        <f t="shared" si="228"/>
        <v/>
      </c>
      <c r="E2362" s="5" t="str">
        <f t="shared" si="229"/>
        <v/>
      </c>
      <c r="F2362" s="5" t="str">
        <f t="shared" si="230"/>
        <v/>
      </c>
      <c r="G2362" s="23"/>
      <c r="H2362" s="66"/>
      <c r="I2362" s="14"/>
      <c r="J2362" s="14"/>
      <c r="K2362" s="14"/>
      <c r="L2362" s="5" t="str">
        <f t="shared" si="225"/>
        <v/>
      </c>
      <c r="M2362" s="5" t="str">
        <f t="shared" si="226"/>
        <v/>
      </c>
      <c r="N2362" s="5" t="str">
        <f t="shared" si="227"/>
        <v/>
      </c>
      <c r="O2362" s="4"/>
    </row>
    <row r="2363" spans="1:15" x14ac:dyDescent="0.25">
      <c r="A2363" s="14"/>
      <c r="B2363" s="14"/>
      <c r="C2363" s="14"/>
      <c r="D2363" s="5" t="str">
        <f t="shared" si="228"/>
        <v/>
      </c>
      <c r="E2363" s="5" t="str">
        <f t="shared" si="229"/>
        <v/>
      </c>
      <c r="F2363" s="5" t="str">
        <f t="shared" si="230"/>
        <v/>
      </c>
      <c r="G2363" s="23"/>
      <c r="H2363" s="66"/>
      <c r="I2363" s="14"/>
      <c r="J2363" s="14"/>
      <c r="K2363" s="14"/>
      <c r="L2363" s="5" t="str">
        <f t="shared" si="225"/>
        <v/>
      </c>
      <c r="M2363" s="5" t="str">
        <f t="shared" si="226"/>
        <v/>
      </c>
      <c r="N2363" s="5" t="str">
        <f t="shared" si="227"/>
        <v/>
      </c>
      <c r="O2363" s="4"/>
    </row>
    <row r="2364" spans="1:15" x14ac:dyDescent="0.25">
      <c r="A2364" s="14"/>
      <c r="B2364" s="14"/>
      <c r="C2364" s="14"/>
      <c r="D2364" s="5" t="str">
        <f t="shared" si="228"/>
        <v/>
      </c>
      <c r="E2364" s="5" t="str">
        <f t="shared" si="229"/>
        <v/>
      </c>
      <c r="F2364" s="5" t="str">
        <f t="shared" si="230"/>
        <v/>
      </c>
      <c r="G2364" s="23"/>
      <c r="H2364" s="66"/>
      <c r="I2364" s="14"/>
      <c r="J2364" s="14"/>
      <c r="K2364" s="14"/>
      <c r="L2364" s="5" t="str">
        <f t="shared" si="225"/>
        <v/>
      </c>
      <c r="M2364" s="5" t="str">
        <f t="shared" si="226"/>
        <v/>
      </c>
      <c r="N2364" s="5" t="str">
        <f t="shared" si="227"/>
        <v/>
      </c>
      <c r="O2364" s="4"/>
    </row>
    <row r="2365" spans="1:15" x14ac:dyDescent="0.25">
      <c r="A2365" s="14"/>
      <c r="B2365" s="14"/>
      <c r="C2365" s="14"/>
      <c r="D2365" s="5" t="str">
        <f t="shared" si="228"/>
        <v/>
      </c>
      <c r="E2365" s="5" t="str">
        <f t="shared" si="229"/>
        <v/>
      </c>
      <c r="F2365" s="5" t="str">
        <f t="shared" si="230"/>
        <v/>
      </c>
      <c r="G2365" s="23"/>
      <c r="H2365" s="66"/>
      <c r="I2365" s="14"/>
      <c r="J2365" s="14"/>
      <c r="K2365" s="14"/>
      <c r="L2365" s="5" t="str">
        <f t="shared" si="225"/>
        <v/>
      </c>
      <c r="M2365" s="5" t="str">
        <f t="shared" si="226"/>
        <v/>
      </c>
      <c r="N2365" s="5" t="str">
        <f t="shared" si="227"/>
        <v/>
      </c>
      <c r="O2365" s="4"/>
    </row>
    <row r="2366" spans="1:15" x14ac:dyDescent="0.25">
      <c r="A2366" s="14"/>
      <c r="B2366" s="14"/>
      <c r="C2366" s="14"/>
      <c r="D2366" s="5" t="str">
        <f t="shared" si="228"/>
        <v/>
      </c>
      <c r="E2366" s="5" t="str">
        <f t="shared" si="229"/>
        <v/>
      </c>
      <c r="F2366" s="5" t="str">
        <f t="shared" si="230"/>
        <v/>
      </c>
      <c r="G2366" s="23"/>
      <c r="H2366" s="66"/>
      <c r="I2366" s="14"/>
      <c r="J2366" s="14"/>
      <c r="K2366" s="14"/>
      <c r="L2366" s="5" t="str">
        <f t="shared" si="225"/>
        <v/>
      </c>
      <c r="M2366" s="5" t="str">
        <f t="shared" si="226"/>
        <v/>
      </c>
      <c r="N2366" s="5" t="str">
        <f t="shared" si="227"/>
        <v/>
      </c>
      <c r="O2366" s="4"/>
    </row>
    <row r="2367" spans="1:15" x14ac:dyDescent="0.25">
      <c r="A2367" s="14"/>
      <c r="B2367" s="14"/>
      <c r="C2367" s="14"/>
      <c r="D2367" s="5" t="str">
        <f t="shared" si="228"/>
        <v/>
      </c>
      <c r="E2367" s="5" t="str">
        <f t="shared" si="229"/>
        <v/>
      </c>
      <c r="F2367" s="5" t="str">
        <f t="shared" si="230"/>
        <v/>
      </c>
      <c r="G2367" s="23"/>
      <c r="H2367" s="66"/>
      <c r="I2367" s="14"/>
      <c r="J2367" s="14"/>
      <c r="K2367" s="14"/>
      <c r="L2367" s="5" t="str">
        <f t="shared" si="225"/>
        <v/>
      </c>
      <c r="M2367" s="5" t="str">
        <f t="shared" si="226"/>
        <v/>
      </c>
      <c r="N2367" s="5" t="str">
        <f t="shared" si="227"/>
        <v/>
      </c>
      <c r="O2367" s="4"/>
    </row>
    <row r="2368" spans="1:15" x14ac:dyDescent="0.25">
      <c r="A2368" s="14"/>
      <c r="B2368" s="14"/>
      <c r="C2368" s="14"/>
      <c r="D2368" s="5" t="str">
        <f t="shared" si="228"/>
        <v/>
      </c>
      <c r="E2368" s="5" t="str">
        <f t="shared" si="229"/>
        <v/>
      </c>
      <c r="F2368" s="5" t="str">
        <f t="shared" si="230"/>
        <v/>
      </c>
      <c r="G2368" s="23"/>
      <c r="H2368" s="66"/>
      <c r="I2368" s="14"/>
      <c r="J2368" s="14"/>
      <c r="K2368" s="14"/>
      <c r="L2368" s="5" t="str">
        <f t="shared" si="225"/>
        <v/>
      </c>
      <c r="M2368" s="5" t="str">
        <f t="shared" si="226"/>
        <v/>
      </c>
      <c r="N2368" s="5" t="str">
        <f t="shared" si="227"/>
        <v/>
      </c>
      <c r="O2368" s="4"/>
    </row>
    <row r="2369" spans="1:15" x14ac:dyDescent="0.25">
      <c r="A2369" s="14"/>
      <c r="B2369" s="14"/>
      <c r="C2369" s="14"/>
      <c r="D2369" s="5" t="str">
        <f t="shared" si="228"/>
        <v/>
      </c>
      <c r="E2369" s="5" t="str">
        <f t="shared" si="229"/>
        <v/>
      </c>
      <c r="F2369" s="5" t="str">
        <f t="shared" si="230"/>
        <v/>
      </c>
      <c r="G2369" s="23"/>
      <c r="H2369" s="66"/>
      <c r="I2369" s="14"/>
      <c r="J2369" s="14"/>
      <c r="K2369" s="14"/>
      <c r="L2369" s="5" t="str">
        <f t="shared" si="225"/>
        <v/>
      </c>
      <c r="M2369" s="5" t="str">
        <f t="shared" si="226"/>
        <v/>
      </c>
      <c r="N2369" s="5" t="str">
        <f t="shared" si="227"/>
        <v/>
      </c>
      <c r="O2369" s="4"/>
    </row>
    <row r="2370" spans="1:15" x14ac:dyDescent="0.25">
      <c r="A2370" s="14"/>
      <c r="B2370" s="14"/>
      <c r="C2370" s="14"/>
      <c r="D2370" s="5" t="str">
        <f t="shared" si="228"/>
        <v/>
      </c>
      <c r="E2370" s="5" t="str">
        <f t="shared" si="229"/>
        <v/>
      </c>
      <c r="F2370" s="5" t="str">
        <f t="shared" si="230"/>
        <v/>
      </c>
      <c r="G2370" s="23"/>
      <c r="H2370" s="66"/>
      <c r="I2370" s="14"/>
      <c r="J2370" s="14"/>
      <c r="K2370" s="14"/>
      <c r="L2370" s="5" t="str">
        <f t="shared" si="225"/>
        <v/>
      </c>
      <c r="M2370" s="5" t="str">
        <f t="shared" si="226"/>
        <v/>
      </c>
      <c r="N2370" s="5" t="str">
        <f t="shared" si="227"/>
        <v/>
      </c>
      <c r="O2370" s="4"/>
    </row>
    <row r="2371" spans="1:15" x14ac:dyDescent="0.25">
      <c r="A2371" s="14"/>
      <c r="B2371" s="14"/>
      <c r="C2371" s="14"/>
      <c r="D2371" s="5" t="str">
        <f t="shared" si="228"/>
        <v/>
      </c>
      <c r="E2371" s="5" t="str">
        <f t="shared" si="229"/>
        <v/>
      </c>
      <c r="F2371" s="5" t="str">
        <f t="shared" si="230"/>
        <v/>
      </c>
      <c r="G2371" s="23"/>
      <c r="H2371" s="66"/>
      <c r="I2371" s="14"/>
      <c r="J2371" s="14"/>
      <c r="K2371" s="14"/>
      <c r="L2371" s="5" t="str">
        <f t="shared" si="225"/>
        <v/>
      </c>
      <c r="M2371" s="5" t="str">
        <f t="shared" si="226"/>
        <v/>
      </c>
      <c r="N2371" s="5" t="str">
        <f t="shared" si="227"/>
        <v/>
      </c>
      <c r="O2371" s="4"/>
    </row>
    <row r="2372" spans="1:15" x14ac:dyDescent="0.25">
      <c r="A2372" s="14"/>
      <c r="B2372" s="14"/>
      <c r="C2372" s="14"/>
      <c r="D2372" s="5" t="str">
        <f t="shared" si="228"/>
        <v/>
      </c>
      <c r="E2372" s="5" t="str">
        <f t="shared" si="229"/>
        <v/>
      </c>
      <c r="F2372" s="5" t="str">
        <f t="shared" si="230"/>
        <v/>
      </c>
      <c r="G2372" s="23"/>
      <c r="H2372" s="66"/>
      <c r="I2372" s="14"/>
      <c r="J2372" s="14"/>
      <c r="K2372" s="14"/>
      <c r="L2372" s="5" t="str">
        <f t="shared" si="225"/>
        <v/>
      </c>
      <c r="M2372" s="5" t="str">
        <f t="shared" si="226"/>
        <v/>
      </c>
      <c r="N2372" s="5" t="str">
        <f t="shared" si="227"/>
        <v/>
      </c>
      <c r="O2372" s="4"/>
    </row>
    <row r="2373" spans="1:15" x14ac:dyDescent="0.25">
      <c r="A2373" s="14"/>
      <c r="B2373" s="14"/>
      <c r="C2373" s="14"/>
      <c r="D2373" s="5" t="str">
        <f t="shared" si="228"/>
        <v/>
      </c>
      <c r="E2373" s="5" t="str">
        <f t="shared" si="229"/>
        <v/>
      </c>
      <c r="F2373" s="5" t="str">
        <f t="shared" si="230"/>
        <v/>
      </c>
      <c r="G2373" s="23"/>
      <c r="H2373" s="66"/>
      <c r="I2373" s="14"/>
      <c r="J2373" s="14"/>
      <c r="K2373" s="14"/>
      <c r="L2373" s="5" t="str">
        <f t="shared" si="225"/>
        <v/>
      </c>
      <c r="M2373" s="5" t="str">
        <f t="shared" si="226"/>
        <v/>
      </c>
      <c r="N2373" s="5" t="str">
        <f t="shared" si="227"/>
        <v/>
      </c>
      <c r="O2373" s="4"/>
    </row>
    <row r="2374" spans="1:15" x14ac:dyDescent="0.25">
      <c r="A2374" s="14"/>
      <c r="B2374" s="14"/>
      <c r="C2374" s="14"/>
      <c r="D2374" s="5" t="str">
        <f t="shared" si="228"/>
        <v/>
      </c>
      <c r="E2374" s="5" t="str">
        <f t="shared" si="229"/>
        <v/>
      </c>
      <c r="F2374" s="5" t="str">
        <f t="shared" si="230"/>
        <v/>
      </c>
      <c r="G2374" s="23"/>
      <c r="H2374" s="66"/>
      <c r="I2374" s="14"/>
      <c r="J2374" s="14"/>
      <c r="K2374" s="14"/>
      <c r="L2374" s="5" t="str">
        <f t="shared" si="225"/>
        <v/>
      </c>
      <c r="M2374" s="5" t="str">
        <f t="shared" si="226"/>
        <v/>
      </c>
      <c r="N2374" s="5" t="str">
        <f t="shared" si="227"/>
        <v/>
      </c>
      <c r="O2374" s="4"/>
    </row>
    <row r="2375" spans="1:15" x14ac:dyDescent="0.25">
      <c r="A2375" s="14"/>
      <c r="B2375" s="14"/>
      <c r="C2375" s="14"/>
      <c r="D2375" s="5" t="str">
        <f t="shared" si="228"/>
        <v/>
      </c>
      <c r="E2375" s="5" t="str">
        <f t="shared" si="229"/>
        <v/>
      </c>
      <c r="F2375" s="5" t="str">
        <f t="shared" si="230"/>
        <v/>
      </c>
      <c r="G2375" s="23"/>
      <c r="H2375" s="66"/>
      <c r="I2375" s="14"/>
      <c r="J2375" s="14"/>
      <c r="K2375" s="14"/>
      <c r="L2375" s="5" t="str">
        <f t="shared" si="225"/>
        <v/>
      </c>
      <c r="M2375" s="5" t="str">
        <f t="shared" si="226"/>
        <v/>
      </c>
      <c r="N2375" s="5" t="str">
        <f t="shared" si="227"/>
        <v/>
      </c>
      <c r="O2375" s="4"/>
    </row>
    <row r="2376" spans="1:15" x14ac:dyDescent="0.25">
      <c r="A2376" s="14"/>
      <c r="B2376" s="14"/>
      <c r="C2376" s="14"/>
      <c r="D2376" s="5" t="str">
        <f t="shared" si="228"/>
        <v/>
      </c>
      <c r="E2376" s="5" t="str">
        <f t="shared" si="229"/>
        <v/>
      </c>
      <c r="F2376" s="5" t="str">
        <f t="shared" si="230"/>
        <v/>
      </c>
      <c r="G2376" s="23"/>
      <c r="H2376" s="66"/>
      <c r="I2376" s="14"/>
      <c r="J2376" s="14"/>
      <c r="K2376" s="14"/>
      <c r="L2376" s="5" t="str">
        <f t="shared" si="225"/>
        <v/>
      </c>
      <c r="M2376" s="5" t="str">
        <f t="shared" si="226"/>
        <v/>
      </c>
      <c r="N2376" s="5" t="str">
        <f t="shared" si="227"/>
        <v/>
      </c>
      <c r="O2376" s="4"/>
    </row>
    <row r="2377" spans="1:15" x14ac:dyDescent="0.25">
      <c r="A2377" s="14"/>
      <c r="B2377" s="14"/>
      <c r="C2377" s="14"/>
      <c r="D2377" s="5" t="str">
        <f t="shared" si="228"/>
        <v/>
      </c>
      <c r="E2377" s="5" t="str">
        <f t="shared" si="229"/>
        <v/>
      </c>
      <c r="F2377" s="5" t="str">
        <f t="shared" si="230"/>
        <v/>
      </c>
      <c r="G2377" s="23"/>
      <c r="H2377" s="66"/>
      <c r="I2377" s="14"/>
      <c r="J2377" s="14"/>
      <c r="K2377" s="14"/>
      <c r="L2377" s="5" t="str">
        <f t="shared" si="225"/>
        <v/>
      </c>
      <c r="M2377" s="5" t="str">
        <f t="shared" si="226"/>
        <v/>
      </c>
      <c r="N2377" s="5" t="str">
        <f t="shared" si="227"/>
        <v/>
      </c>
      <c r="O2377" s="4"/>
    </row>
    <row r="2378" spans="1:15" x14ac:dyDescent="0.25">
      <c r="A2378" s="14"/>
      <c r="B2378" s="14"/>
      <c r="C2378" s="14"/>
      <c r="D2378" s="5" t="str">
        <f t="shared" si="228"/>
        <v/>
      </c>
      <c r="E2378" s="5" t="str">
        <f t="shared" si="229"/>
        <v/>
      </c>
      <c r="F2378" s="5" t="str">
        <f t="shared" si="230"/>
        <v/>
      </c>
      <c r="G2378" s="23"/>
      <c r="H2378" s="66"/>
      <c r="I2378" s="14"/>
      <c r="J2378" s="14"/>
      <c r="K2378" s="14"/>
      <c r="L2378" s="5" t="str">
        <f t="shared" si="225"/>
        <v/>
      </c>
      <c r="M2378" s="5" t="str">
        <f t="shared" si="226"/>
        <v/>
      </c>
      <c r="N2378" s="5" t="str">
        <f t="shared" si="227"/>
        <v/>
      </c>
      <c r="O2378" s="4"/>
    </row>
    <row r="2379" spans="1:15" x14ac:dyDescent="0.25">
      <c r="A2379" s="14"/>
      <c r="B2379" s="14"/>
      <c r="C2379" s="14"/>
      <c r="D2379" s="5" t="str">
        <f t="shared" si="228"/>
        <v/>
      </c>
      <c r="E2379" s="5" t="str">
        <f t="shared" si="229"/>
        <v/>
      </c>
      <c r="F2379" s="5" t="str">
        <f t="shared" si="230"/>
        <v/>
      </c>
      <c r="G2379" s="23"/>
      <c r="H2379" s="66"/>
      <c r="I2379" s="14"/>
      <c r="J2379" s="14"/>
      <c r="K2379" s="14"/>
      <c r="L2379" s="5" t="str">
        <f t="shared" si="225"/>
        <v/>
      </c>
      <c r="M2379" s="5" t="str">
        <f t="shared" si="226"/>
        <v/>
      </c>
      <c r="N2379" s="5" t="str">
        <f t="shared" si="227"/>
        <v/>
      </c>
      <c r="O2379" s="4"/>
    </row>
    <row r="2380" spans="1:15" x14ac:dyDescent="0.25">
      <c r="A2380" s="14"/>
      <c r="B2380" s="14"/>
      <c r="C2380" s="14"/>
      <c r="D2380" s="5" t="str">
        <f t="shared" si="228"/>
        <v/>
      </c>
      <c r="E2380" s="5" t="str">
        <f t="shared" si="229"/>
        <v/>
      </c>
      <c r="F2380" s="5" t="str">
        <f t="shared" si="230"/>
        <v/>
      </c>
      <c r="G2380" s="23"/>
      <c r="H2380" s="66"/>
      <c r="I2380" s="14"/>
      <c r="J2380" s="14"/>
      <c r="K2380" s="14"/>
      <c r="L2380" s="5" t="str">
        <f t="shared" si="225"/>
        <v/>
      </c>
      <c r="M2380" s="5" t="str">
        <f t="shared" si="226"/>
        <v/>
      </c>
      <c r="N2380" s="5" t="str">
        <f t="shared" si="227"/>
        <v/>
      </c>
      <c r="O2380" s="4"/>
    </row>
    <row r="2381" spans="1:15" x14ac:dyDescent="0.25">
      <c r="A2381" s="14"/>
      <c r="B2381" s="14"/>
      <c r="C2381" s="14"/>
      <c r="D2381" s="5" t="str">
        <f t="shared" si="228"/>
        <v/>
      </c>
      <c r="E2381" s="5" t="str">
        <f t="shared" si="229"/>
        <v/>
      </c>
      <c r="F2381" s="5" t="str">
        <f t="shared" si="230"/>
        <v/>
      </c>
      <c r="G2381" s="23"/>
      <c r="H2381" s="66"/>
      <c r="I2381" s="14"/>
      <c r="J2381" s="14"/>
      <c r="K2381" s="14"/>
      <c r="L2381" s="5" t="str">
        <f t="shared" si="225"/>
        <v/>
      </c>
      <c r="M2381" s="5" t="str">
        <f t="shared" si="226"/>
        <v/>
      </c>
      <c r="N2381" s="5" t="str">
        <f t="shared" si="227"/>
        <v/>
      </c>
      <c r="O2381" s="4"/>
    </row>
    <row r="2382" spans="1:15" x14ac:dyDescent="0.25">
      <c r="A2382" s="14"/>
      <c r="B2382" s="14"/>
      <c r="C2382" s="14"/>
      <c r="D2382" s="5" t="str">
        <f t="shared" si="228"/>
        <v/>
      </c>
      <c r="E2382" s="5" t="str">
        <f t="shared" si="229"/>
        <v/>
      </c>
      <c r="F2382" s="5" t="str">
        <f t="shared" si="230"/>
        <v/>
      </c>
      <c r="G2382" s="23"/>
      <c r="H2382" s="66"/>
      <c r="I2382" s="14"/>
      <c r="J2382" s="14"/>
      <c r="K2382" s="14"/>
      <c r="L2382" s="5" t="str">
        <f t="shared" si="225"/>
        <v/>
      </c>
      <c r="M2382" s="5" t="str">
        <f t="shared" si="226"/>
        <v/>
      </c>
      <c r="N2382" s="5" t="str">
        <f t="shared" si="227"/>
        <v/>
      </c>
      <c r="O2382" s="4"/>
    </row>
    <row r="2383" spans="1:15" x14ac:dyDescent="0.25">
      <c r="A2383" s="14"/>
      <c r="B2383" s="14"/>
      <c r="C2383" s="14"/>
      <c r="D2383" s="5" t="str">
        <f t="shared" si="228"/>
        <v/>
      </c>
      <c r="E2383" s="5" t="str">
        <f t="shared" si="229"/>
        <v/>
      </c>
      <c r="F2383" s="5" t="str">
        <f t="shared" si="230"/>
        <v/>
      </c>
      <c r="G2383" s="23"/>
      <c r="H2383" s="66"/>
      <c r="I2383" s="14"/>
      <c r="J2383" s="14"/>
      <c r="K2383" s="14"/>
      <c r="L2383" s="5" t="str">
        <f t="shared" si="225"/>
        <v/>
      </c>
      <c r="M2383" s="5" t="str">
        <f t="shared" si="226"/>
        <v/>
      </c>
      <c r="N2383" s="5" t="str">
        <f t="shared" si="227"/>
        <v/>
      </c>
      <c r="O2383" s="4"/>
    </row>
    <row r="2384" spans="1:15" x14ac:dyDescent="0.25">
      <c r="A2384" s="14"/>
      <c r="B2384" s="14"/>
      <c r="C2384" s="14"/>
      <c r="D2384" s="5" t="str">
        <f t="shared" si="228"/>
        <v/>
      </c>
      <c r="E2384" s="5" t="str">
        <f t="shared" si="229"/>
        <v/>
      </c>
      <c r="F2384" s="5" t="str">
        <f t="shared" si="230"/>
        <v/>
      </c>
      <c r="G2384" s="23"/>
      <c r="H2384" s="66"/>
      <c r="I2384" s="14"/>
      <c r="J2384" s="14"/>
      <c r="K2384" s="14"/>
      <c r="L2384" s="5" t="str">
        <f t="shared" si="225"/>
        <v/>
      </c>
      <c r="M2384" s="5" t="str">
        <f t="shared" si="226"/>
        <v/>
      </c>
      <c r="N2384" s="5" t="str">
        <f t="shared" si="227"/>
        <v/>
      </c>
      <c r="O2384" s="4"/>
    </row>
    <row r="2385" spans="1:15" x14ac:dyDescent="0.25">
      <c r="A2385" s="14"/>
      <c r="B2385" s="14"/>
      <c r="C2385" s="14"/>
      <c r="D2385" s="5" t="str">
        <f t="shared" si="228"/>
        <v/>
      </c>
      <c r="E2385" s="5" t="str">
        <f t="shared" si="229"/>
        <v/>
      </c>
      <c r="F2385" s="5" t="str">
        <f t="shared" si="230"/>
        <v/>
      </c>
      <c r="G2385" s="23"/>
      <c r="H2385" s="66"/>
      <c r="I2385" s="14"/>
      <c r="J2385" s="14"/>
      <c r="K2385" s="14"/>
      <c r="L2385" s="5" t="str">
        <f t="shared" ref="L2385:L2448" si="231">IFERROR(IF(I2385&lt;&gt;"",(((J2385-J2384)*$X$4/(I2385-I2384)))*$X$5,""),"")</f>
        <v/>
      </c>
      <c r="M2385" s="5" t="str">
        <f t="shared" ref="M2385:M2448" si="232">IFERROR(IF(I2385&lt;&gt;"",(((K2385-K2384)*$X$4/(I2385-I2384)))*$X$5,""),"")</f>
        <v/>
      </c>
      <c r="N2385" s="5" t="str">
        <f t="shared" ref="N2385:N2448" si="233">IFERROR(IF(I2385&lt;&gt;"",((ACOS((COS(RADIANS(J2384))*COS(RADIANS(J2385)))+(SIN(RADIANS(J2384))*SIN(RADIANS(J2385)))*COS(RADIANS(K2385-K2384)))*180/PI()*($X$4/(I2385-I2384))))*$X$5,""),"")</f>
        <v/>
      </c>
      <c r="O2385" s="4"/>
    </row>
    <row r="2386" spans="1:15" x14ac:dyDescent="0.25">
      <c r="A2386" s="14"/>
      <c r="B2386" s="14"/>
      <c r="C2386" s="14"/>
      <c r="D2386" s="5" t="str">
        <f t="shared" si="228"/>
        <v/>
      </c>
      <c r="E2386" s="5" t="str">
        <f t="shared" si="229"/>
        <v/>
      </c>
      <c r="F2386" s="5" t="str">
        <f t="shared" si="230"/>
        <v/>
      </c>
      <c r="G2386" s="23"/>
      <c r="H2386" s="66"/>
      <c r="I2386" s="14"/>
      <c r="J2386" s="14"/>
      <c r="K2386" s="14"/>
      <c r="L2386" s="5" t="str">
        <f t="shared" si="231"/>
        <v/>
      </c>
      <c r="M2386" s="5" t="str">
        <f t="shared" si="232"/>
        <v/>
      </c>
      <c r="N2386" s="5" t="str">
        <f t="shared" si="233"/>
        <v/>
      </c>
      <c r="O2386" s="4"/>
    </row>
    <row r="2387" spans="1:15" x14ac:dyDescent="0.25">
      <c r="A2387" s="14"/>
      <c r="B2387" s="14"/>
      <c r="C2387" s="14"/>
      <c r="D2387" s="5" t="str">
        <f t="shared" si="228"/>
        <v/>
      </c>
      <c r="E2387" s="5" t="str">
        <f t="shared" si="229"/>
        <v/>
      </c>
      <c r="F2387" s="5" t="str">
        <f t="shared" si="230"/>
        <v/>
      </c>
      <c r="G2387" s="23"/>
      <c r="H2387" s="66"/>
      <c r="I2387" s="14"/>
      <c r="J2387" s="14"/>
      <c r="K2387" s="14"/>
      <c r="L2387" s="5" t="str">
        <f t="shared" si="231"/>
        <v/>
      </c>
      <c r="M2387" s="5" t="str">
        <f t="shared" si="232"/>
        <v/>
      </c>
      <c r="N2387" s="5" t="str">
        <f t="shared" si="233"/>
        <v/>
      </c>
      <c r="O2387" s="4"/>
    </row>
    <row r="2388" spans="1:15" x14ac:dyDescent="0.25">
      <c r="A2388" s="14"/>
      <c r="B2388" s="14"/>
      <c r="C2388" s="14"/>
      <c r="D2388" s="5" t="str">
        <f t="shared" si="228"/>
        <v/>
      </c>
      <c r="E2388" s="5" t="str">
        <f t="shared" si="229"/>
        <v/>
      </c>
      <c r="F2388" s="5" t="str">
        <f t="shared" si="230"/>
        <v/>
      </c>
      <c r="G2388" s="23"/>
      <c r="H2388" s="66"/>
      <c r="I2388" s="14"/>
      <c r="J2388" s="14"/>
      <c r="K2388" s="14"/>
      <c r="L2388" s="5" t="str">
        <f t="shared" si="231"/>
        <v/>
      </c>
      <c r="M2388" s="5" t="str">
        <f t="shared" si="232"/>
        <v/>
      </c>
      <c r="N2388" s="5" t="str">
        <f t="shared" si="233"/>
        <v/>
      </c>
      <c r="O2388" s="4"/>
    </row>
    <row r="2389" spans="1:15" x14ac:dyDescent="0.25">
      <c r="A2389" s="14"/>
      <c r="B2389" s="14"/>
      <c r="C2389" s="14"/>
      <c r="D2389" s="5" t="str">
        <f t="shared" si="228"/>
        <v/>
      </c>
      <c r="E2389" s="5" t="str">
        <f t="shared" si="229"/>
        <v/>
      </c>
      <c r="F2389" s="5" t="str">
        <f t="shared" si="230"/>
        <v/>
      </c>
      <c r="G2389" s="23"/>
      <c r="H2389" s="66"/>
      <c r="I2389" s="14"/>
      <c r="J2389" s="14"/>
      <c r="K2389" s="14"/>
      <c r="L2389" s="5" t="str">
        <f t="shared" si="231"/>
        <v/>
      </c>
      <c r="M2389" s="5" t="str">
        <f t="shared" si="232"/>
        <v/>
      </c>
      <c r="N2389" s="5" t="str">
        <f t="shared" si="233"/>
        <v/>
      </c>
      <c r="O2389" s="4"/>
    </row>
    <row r="2390" spans="1:15" x14ac:dyDescent="0.25">
      <c r="A2390" s="14"/>
      <c r="B2390" s="14"/>
      <c r="C2390" s="14"/>
      <c r="D2390" s="5" t="str">
        <f t="shared" si="228"/>
        <v/>
      </c>
      <c r="E2390" s="5" t="str">
        <f t="shared" si="229"/>
        <v/>
      </c>
      <c r="F2390" s="5" t="str">
        <f t="shared" si="230"/>
        <v/>
      </c>
      <c r="G2390" s="23"/>
      <c r="H2390" s="66"/>
      <c r="I2390" s="14"/>
      <c r="J2390" s="14"/>
      <c r="K2390" s="14"/>
      <c r="L2390" s="5" t="str">
        <f t="shared" si="231"/>
        <v/>
      </c>
      <c r="M2390" s="5" t="str">
        <f t="shared" si="232"/>
        <v/>
      </c>
      <c r="N2390" s="5" t="str">
        <f t="shared" si="233"/>
        <v/>
      </c>
      <c r="O2390" s="4"/>
    </row>
    <row r="2391" spans="1:15" x14ac:dyDescent="0.25">
      <c r="A2391" s="14"/>
      <c r="B2391" s="14"/>
      <c r="C2391" s="14"/>
      <c r="D2391" s="5" t="str">
        <f t="shared" si="228"/>
        <v/>
      </c>
      <c r="E2391" s="5" t="str">
        <f t="shared" si="229"/>
        <v/>
      </c>
      <c r="F2391" s="5" t="str">
        <f t="shared" si="230"/>
        <v/>
      </c>
      <c r="G2391" s="23"/>
      <c r="H2391" s="66"/>
      <c r="I2391" s="14"/>
      <c r="J2391" s="14"/>
      <c r="K2391" s="14"/>
      <c r="L2391" s="5" t="str">
        <f t="shared" si="231"/>
        <v/>
      </c>
      <c r="M2391" s="5" t="str">
        <f t="shared" si="232"/>
        <v/>
      </c>
      <c r="N2391" s="5" t="str">
        <f t="shared" si="233"/>
        <v/>
      </c>
      <c r="O2391" s="4"/>
    </row>
    <row r="2392" spans="1:15" x14ac:dyDescent="0.25">
      <c r="A2392" s="14"/>
      <c r="B2392" s="14"/>
      <c r="C2392" s="14"/>
      <c r="D2392" s="5" t="str">
        <f t="shared" si="228"/>
        <v/>
      </c>
      <c r="E2392" s="5" t="str">
        <f t="shared" si="229"/>
        <v/>
      </c>
      <c r="F2392" s="5" t="str">
        <f t="shared" si="230"/>
        <v/>
      </c>
      <c r="G2392" s="23"/>
      <c r="H2392" s="66"/>
      <c r="I2392" s="14"/>
      <c r="J2392" s="14"/>
      <c r="K2392" s="14"/>
      <c r="L2392" s="5" t="str">
        <f t="shared" si="231"/>
        <v/>
      </c>
      <c r="M2392" s="5" t="str">
        <f t="shared" si="232"/>
        <v/>
      </c>
      <c r="N2392" s="5" t="str">
        <f t="shared" si="233"/>
        <v/>
      </c>
      <c r="O2392" s="4"/>
    </row>
    <row r="2393" spans="1:15" x14ac:dyDescent="0.25">
      <c r="A2393" s="14"/>
      <c r="B2393" s="14"/>
      <c r="C2393" s="14"/>
      <c r="D2393" s="5" t="str">
        <f t="shared" ref="D2393:D2456" si="234">IFERROR( IF(A2393&lt;&gt;"",((B2393-B2392)*$X$4/(A2393-A2392))*$X$5,""),"")</f>
        <v/>
      </c>
      <c r="E2393" s="5" t="str">
        <f t="shared" ref="E2393:E2456" si="235">IFERROR(IF(A2393&lt;&gt;"",((C2393-C2392)*$X$4/(A2393-A2392))*$X$5,""),"")</f>
        <v/>
      </c>
      <c r="F2393" s="5" t="str">
        <f t="shared" ref="F2393:F2456" si="236">IFERROR(IF(A2393&lt;&gt;"",((ACOS((COS(RADIANS(B2392))*COS(RADIANS(B2393)))+(SIN(RADIANS(B2392))*SIN(RADIANS(B2393)))*COS(RADIANS(C2393-C2392)))*180/PI()*($X$4/(A2393-A2392))))*$X$5,""),"")</f>
        <v/>
      </c>
      <c r="G2393" s="23"/>
      <c r="H2393" s="66"/>
      <c r="I2393" s="14"/>
      <c r="J2393" s="14"/>
      <c r="K2393" s="14"/>
      <c r="L2393" s="5" t="str">
        <f t="shared" si="231"/>
        <v/>
      </c>
      <c r="M2393" s="5" t="str">
        <f t="shared" si="232"/>
        <v/>
      </c>
      <c r="N2393" s="5" t="str">
        <f t="shared" si="233"/>
        <v/>
      </c>
      <c r="O2393" s="4"/>
    </row>
    <row r="2394" spans="1:15" x14ac:dyDescent="0.25">
      <c r="A2394" s="14"/>
      <c r="B2394" s="14"/>
      <c r="C2394" s="14"/>
      <c r="D2394" s="5" t="str">
        <f t="shared" si="234"/>
        <v/>
      </c>
      <c r="E2394" s="5" t="str">
        <f t="shared" si="235"/>
        <v/>
      </c>
      <c r="F2394" s="5" t="str">
        <f t="shared" si="236"/>
        <v/>
      </c>
      <c r="G2394" s="23"/>
      <c r="H2394" s="66"/>
      <c r="I2394" s="14"/>
      <c r="J2394" s="14"/>
      <c r="K2394" s="14"/>
      <c r="L2394" s="5" t="str">
        <f t="shared" si="231"/>
        <v/>
      </c>
      <c r="M2394" s="5" t="str">
        <f t="shared" si="232"/>
        <v/>
      </c>
      <c r="N2394" s="5" t="str">
        <f t="shared" si="233"/>
        <v/>
      </c>
      <c r="O2394" s="4"/>
    </row>
    <row r="2395" spans="1:15" x14ac:dyDescent="0.25">
      <c r="A2395" s="14"/>
      <c r="B2395" s="14"/>
      <c r="C2395" s="14"/>
      <c r="D2395" s="5" t="str">
        <f t="shared" si="234"/>
        <v/>
      </c>
      <c r="E2395" s="5" t="str">
        <f t="shared" si="235"/>
        <v/>
      </c>
      <c r="F2395" s="5" t="str">
        <f t="shared" si="236"/>
        <v/>
      </c>
      <c r="G2395" s="23"/>
      <c r="H2395" s="66"/>
      <c r="I2395" s="14"/>
      <c r="J2395" s="14"/>
      <c r="K2395" s="14"/>
      <c r="L2395" s="5" t="str">
        <f t="shared" si="231"/>
        <v/>
      </c>
      <c r="M2395" s="5" t="str">
        <f t="shared" si="232"/>
        <v/>
      </c>
      <c r="N2395" s="5" t="str">
        <f t="shared" si="233"/>
        <v/>
      </c>
      <c r="O2395" s="4"/>
    </row>
    <row r="2396" spans="1:15" x14ac:dyDescent="0.25">
      <c r="A2396" s="14"/>
      <c r="B2396" s="14"/>
      <c r="C2396" s="14"/>
      <c r="D2396" s="5" t="str">
        <f t="shared" si="234"/>
        <v/>
      </c>
      <c r="E2396" s="5" t="str">
        <f t="shared" si="235"/>
        <v/>
      </c>
      <c r="F2396" s="5" t="str">
        <f t="shared" si="236"/>
        <v/>
      </c>
      <c r="G2396" s="23"/>
      <c r="H2396" s="66"/>
      <c r="I2396" s="14"/>
      <c r="J2396" s="14"/>
      <c r="K2396" s="14"/>
      <c r="L2396" s="5" t="str">
        <f t="shared" si="231"/>
        <v/>
      </c>
      <c r="M2396" s="5" t="str">
        <f t="shared" si="232"/>
        <v/>
      </c>
      <c r="N2396" s="5" t="str">
        <f t="shared" si="233"/>
        <v/>
      </c>
      <c r="O2396" s="4"/>
    </row>
    <row r="2397" spans="1:15" x14ac:dyDescent="0.25">
      <c r="A2397" s="14"/>
      <c r="B2397" s="14"/>
      <c r="C2397" s="14"/>
      <c r="D2397" s="5" t="str">
        <f t="shared" si="234"/>
        <v/>
      </c>
      <c r="E2397" s="5" t="str">
        <f t="shared" si="235"/>
        <v/>
      </c>
      <c r="F2397" s="5" t="str">
        <f t="shared" si="236"/>
        <v/>
      </c>
      <c r="G2397" s="23"/>
      <c r="H2397" s="66"/>
      <c r="I2397" s="14"/>
      <c r="J2397" s="14"/>
      <c r="K2397" s="14"/>
      <c r="L2397" s="5" t="str">
        <f t="shared" si="231"/>
        <v/>
      </c>
      <c r="M2397" s="5" t="str">
        <f t="shared" si="232"/>
        <v/>
      </c>
      <c r="N2397" s="5" t="str">
        <f t="shared" si="233"/>
        <v/>
      </c>
      <c r="O2397" s="4"/>
    </row>
    <row r="2398" spans="1:15" x14ac:dyDescent="0.25">
      <c r="A2398" s="14"/>
      <c r="B2398" s="14"/>
      <c r="C2398" s="14"/>
      <c r="D2398" s="5" t="str">
        <f t="shared" si="234"/>
        <v/>
      </c>
      <c r="E2398" s="5" t="str">
        <f t="shared" si="235"/>
        <v/>
      </c>
      <c r="F2398" s="5" t="str">
        <f t="shared" si="236"/>
        <v/>
      </c>
      <c r="G2398" s="23"/>
      <c r="H2398" s="66"/>
      <c r="I2398" s="14"/>
      <c r="J2398" s="14"/>
      <c r="K2398" s="14"/>
      <c r="L2398" s="5" t="str">
        <f t="shared" si="231"/>
        <v/>
      </c>
      <c r="M2398" s="5" t="str">
        <f t="shared" si="232"/>
        <v/>
      </c>
      <c r="N2398" s="5" t="str">
        <f t="shared" si="233"/>
        <v/>
      </c>
      <c r="O2398" s="4"/>
    </row>
    <row r="2399" spans="1:15" x14ac:dyDescent="0.25">
      <c r="A2399" s="14"/>
      <c r="B2399" s="14"/>
      <c r="C2399" s="14"/>
      <c r="D2399" s="5" t="str">
        <f t="shared" si="234"/>
        <v/>
      </c>
      <c r="E2399" s="5" t="str">
        <f t="shared" si="235"/>
        <v/>
      </c>
      <c r="F2399" s="5" t="str">
        <f t="shared" si="236"/>
        <v/>
      </c>
      <c r="G2399" s="23"/>
      <c r="H2399" s="66"/>
      <c r="I2399" s="14"/>
      <c r="J2399" s="14"/>
      <c r="K2399" s="14"/>
      <c r="L2399" s="5" t="str">
        <f t="shared" si="231"/>
        <v/>
      </c>
      <c r="M2399" s="5" t="str">
        <f t="shared" si="232"/>
        <v/>
      </c>
      <c r="N2399" s="5" t="str">
        <f t="shared" si="233"/>
        <v/>
      </c>
      <c r="O2399" s="4"/>
    </row>
    <row r="2400" spans="1:15" x14ac:dyDescent="0.25">
      <c r="A2400" s="14"/>
      <c r="B2400" s="14"/>
      <c r="C2400" s="14"/>
      <c r="D2400" s="5" t="str">
        <f t="shared" si="234"/>
        <v/>
      </c>
      <c r="E2400" s="5" t="str">
        <f t="shared" si="235"/>
        <v/>
      </c>
      <c r="F2400" s="5" t="str">
        <f t="shared" si="236"/>
        <v/>
      </c>
      <c r="G2400" s="23"/>
      <c r="H2400" s="66"/>
      <c r="I2400" s="14"/>
      <c r="J2400" s="14"/>
      <c r="K2400" s="14"/>
      <c r="L2400" s="5" t="str">
        <f t="shared" si="231"/>
        <v/>
      </c>
      <c r="M2400" s="5" t="str">
        <f t="shared" si="232"/>
        <v/>
      </c>
      <c r="N2400" s="5" t="str">
        <f t="shared" si="233"/>
        <v/>
      </c>
      <c r="O2400" s="4"/>
    </row>
    <row r="2401" spans="1:15" x14ac:dyDescent="0.25">
      <c r="A2401" s="14"/>
      <c r="B2401" s="14"/>
      <c r="C2401" s="14"/>
      <c r="D2401" s="5" t="str">
        <f t="shared" si="234"/>
        <v/>
      </c>
      <c r="E2401" s="5" t="str">
        <f t="shared" si="235"/>
        <v/>
      </c>
      <c r="F2401" s="5" t="str">
        <f t="shared" si="236"/>
        <v/>
      </c>
      <c r="G2401" s="23"/>
      <c r="H2401" s="66"/>
      <c r="I2401" s="14"/>
      <c r="J2401" s="14"/>
      <c r="K2401" s="14"/>
      <c r="L2401" s="5" t="str">
        <f t="shared" si="231"/>
        <v/>
      </c>
      <c r="M2401" s="5" t="str">
        <f t="shared" si="232"/>
        <v/>
      </c>
      <c r="N2401" s="5" t="str">
        <f t="shared" si="233"/>
        <v/>
      </c>
      <c r="O2401" s="4"/>
    </row>
    <row r="2402" spans="1:15" x14ac:dyDescent="0.25">
      <c r="A2402" s="14"/>
      <c r="B2402" s="14"/>
      <c r="C2402" s="14"/>
      <c r="D2402" s="5" t="str">
        <f t="shared" si="234"/>
        <v/>
      </c>
      <c r="E2402" s="5" t="str">
        <f t="shared" si="235"/>
        <v/>
      </c>
      <c r="F2402" s="5" t="str">
        <f t="shared" si="236"/>
        <v/>
      </c>
      <c r="G2402" s="23"/>
      <c r="H2402" s="66"/>
      <c r="I2402" s="14"/>
      <c r="J2402" s="14"/>
      <c r="K2402" s="14"/>
      <c r="L2402" s="5" t="str">
        <f t="shared" si="231"/>
        <v/>
      </c>
      <c r="M2402" s="5" t="str">
        <f t="shared" si="232"/>
        <v/>
      </c>
      <c r="N2402" s="5" t="str">
        <f t="shared" si="233"/>
        <v/>
      </c>
      <c r="O2402" s="4"/>
    </row>
    <row r="2403" spans="1:15" x14ac:dyDescent="0.25">
      <c r="A2403" s="14"/>
      <c r="B2403" s="14"/>
      <c r="C2403" s="14"/>
      <c r="D2403" s="5" t="str">
        <f t="shared" si="234"/>
        <v/>
      </c>
      <c r="E2403" s="5" t="str">
        <f t="shared" si="235"/>
        <v/>
      </c>
      <c r="F2403" s="5" t="str">
        <f t="shared" si="236"/>
        <v/>
      </c>
      <c r="G2403" s="23"/>
      <c r="H2403" s="66"/>
      <c r="I2403" s="14"/>
      <c r="J2403" s="14"/>
      <c r="K2403" s="14"/>
      <c r="L2403" s="5" t="str">
        <f t="shared" si="231"/>
        <v/>
      </c>
      <c r="M2403" s="5" t="str">
        <f t="shared" si="232"/>
        <v/>
      </c>
      <c r="N2403" s="5" t="str">
        <f t="shared" si="233"/>
        <v/>
      </c>
      <c r="O2403" s="4"/>
    </row>
    <row r="2404" spans="1:15" x14ac:dyDescent="0.25">
      <c r="A2404" s="14"/>
      <c r="B2404" s="14"/>
      <c r="C2404" s="14"/>
      <c r="D2404" s="5" t="str">
        <f t="shared" si="234"/>
        <v/>
      </c>
      <c r="E2404" s="5" t="str">
        <f t="shared" si="235"/>
        <v/>
      </c>
      <c r="F2404" s="5" t="str">
        <f t="shared" si="236"/>
        <v/>
      </c>
      <c r="G2404" s="23"/>
      <c r="H2404" s="66"/>
      <c r="I2404" s="14"/>
      <c r="J2404" s="14"/>
      <c r="K2404" s="14"/>
      <c r="L2404" s="5" t="str">
        <f t="shared" si="231"/>
        <v/>
      </c>
      <c r="M2404" s="5" t="str">
        <f t="shared" si="232"/>
        <v/>
      </c>
      <c r="N2404" s="5" t="str">
        <f t="shared" si="233"/>
        <v/>
      </c>
      <c r="O2404" s="4"/>
    </row>
    <row r="2405" spans="1:15" x14ac:dyDescent="0.25">
      <c r="A2405" s="14"/>
      <c r="B2405" s="14"/>
      <c r="C2405" s="14"/>
      <c r="D2405" s="5" t="str">
        <f t="shared" si="234"/>
        <v/>
      </c>
      <c r="E2405" s="5" t="str">
        <f t="shared" si="235"/>
        <v/>
      </c>
      <c r="F2405" s="5" t="str">
        <f t="shared" si="236"/>
        <v/>
      </c>
      <c r="G2405" s="23"/>
      <c r="H2405" s="66"/>
      <c r="I2405" s="14"/>
      <c r="J2405" s="14"/>
      <c r="K2405" s="14"/>
      <c r="L2405" s="5" t="str">
        <f t="shared" si="231"/>
        <v/>
      </c>
      <c r="M2405" s="5" t="str">
        <f t="shared" si="232"/>
        <v/>
      </c>
      <c r="N2405" s="5" t="str">
        <f t="shared" si="233"/>
        <v/>
      </c>
      <c r="O2405" s="4"/>
    </row>
    <row r="2406" spans="1:15" x14ac:dyDescent="0.25">
      <c r="A2406" s="14"/>
      <c r="B2406" s="14"/>
      <c r="C2406" s="14"/>
      <c r="D2406" s="5" t="str">
        <f t="shared" si="234"/>
        <v/>
      </c>
      <c r="E2406" s="5" t="str">
        <f t="shared" si="235"/>
        <v/>
      </c>
      <c r="F2406" s="5" t="str">
        <f t="shared" si="236"/>
        <v/>
      </c>
      <c r="G2406" s="23"/>
      <c r="H2406" s="66"/>
      <c r="I2406" s="14"/>
      <c r="J2406" s="14"/>
      <c r="K2406" s="14"/>
      <c r="L2406" s="5" t="str">
        <f t="shared" si="231"/>
        <v/>
      </c>
      <c r="M2406" s="5" t="str">
        <f t="shared" si="232"/>
        <v/>
      </c>
      <c r="N2406" s="5" t="str">
        <f t="shared" si="233"/>
        <v/>
      </c>
      <c r="O2406" s="4"/>
    </row>
    <row r="2407" spans="1:15" x14ac:dyDescent="0.25">
      <c r="A2407" s="14"/>
      <c r="B2407" s="14"/>
      <c r="C2407" s="14"/>
      <c r="D2407" s="5" t="str">
        <f t="shared" si="234"/>
        <v/>
      </c>
      <c r="E2407" s="5" t="str">
        <f t="shared" si="235"/>
        <v/>
      </c>
      <c r="F2407" s="5" t="str">
        <f t="shared" si="236"/>
        <v/>
      </c>
      <c r="G2407" s="23"/>
      <c r="H2407" s="66"/>
      <c r="I2407" s="14"/>
      <c r="J2407" s="14"/>
      <c r="K2407" s="14"/>
      <c r="L2407" s="5" t="str">
        <f t="shared" si="231"/>
        <v/>
      </c>
      <c r="M2407" s="5" t="str">
        <f t="shared" si="232"/>
        <v/>
      </c>
      <c r="N2407" s="5" t="str">
        <f t="shared" si="233"/>
        <v/>
      </c>
      <c r="O2407" s="4"/>
    </row>
    <row r="2408" spans="1:15" x14ac:dyDescent="0.25">
      <c r="A2408" s="14"/>
      <c r="B2408" s="14"/>
      <c r="C2408" s="14"/>
      <c r="D2408" s="5" t="str">
        <f t="shared" si="234"/>
        <v/>
      </c>
      <c r="E2408" s="5" t="str">
        <f t="shared" si="235"/>
        <v/>
      </c>
      <c r="F2408" s="5" t="str">
        <f t="shared" si="236"/>
        <v/>
      </c>
      <c r="G2408" s="23"/>
      <c r="H2408" s="66"/>
      <c r="I2408" s="14"/>
      <c r="J2408" s="14"/>
      <c r="K2408" s="14"/>
      <c r="L2408" s="5" t="str">
        <f t="shared" si="231"/>
        <v/>
      </c>
      <c r="M2408" s="5" t="str">
        <f t="shared" si="232"/>
        <v/>
      </c>
      <c r="N2408" s="5" t="str">
        <f t="shared" si="233"/>
        <v/>
      </c>
      <c r="O2408" s="4"/>
    </row>
    <row r="2409" spans="1:15" x14ac:dyDescent="0.25">
      <c r="A2409" s="14"/>
      <c r="B2409" s="14"/>
      <c r="C2409" s="14"/>
      <c r="D2409" s="5" t="str">
        <f t="shared" si="234"/>
        <v/>
      </c>
      <c r="E2409" s="5" t="str">
        <f t="shared" si="235"/>
        <v/>
      </c>
      <c r="F2409" s="5" t="str">
        <f t="shared" si="236"/>
        <v/>
      </c>
      <c r="G2409" s="23"/>
      <c r="H2409" s="66"/>
      <c r="I2409" s="14"/>
      <c r="J2409" s="14"/>
      <c r="K2409" s="14"/>
      <c r="L2409" s="5" t="str">
        <f t="shared" si="231"/>
        <v/>
      </c>
      <c r="M2409" s="5" t="str">
        <f t="shared" si="232"/>
        <v/>
      </c>
      <c r="N2409" s="5" t="str">
        <f t="shared" si="233"/>
        <v/>
      </c>
      <c r="O2409" s="4"/>
    </row>
    <row r="2410" spans="1:15" x14ac:dyDescent="0.25">
      <c r="A2410" s="14"/>
      <c r="B2410" s="14"/>
      <c r="C2410" s="14"/>
      <c r="D2410" s="5" t="str">
        <f t="shared" si="234"/>
        <v/>
      </c>
      <c r="E2410" s="5" t="str">
        <f t="shared" si="235"/>
        <v/>
      </c>
      <c r="F2410" s="5" t="str">
        <f t="shared" si="236"/>
        <v/>
      </c>
      <c r="G2410" s="23"/>
      <c r="H2410" s="66"/>
      <c r="I2410" s="14"/>
      <c r="J2410" s="14"/>
      <c r="K2410" s="14"/>
      <c r="L2410" s="5" t="str">
        <f t="shared" si="231"/>
        <v/>
      </c>
      <c r="M2410" s="5" t="str">
        <f t="shared" si="232"/>
        <v/>
      </c>
      <c r="N2410" s="5" t="str">
        <f t="shared" si="233"/>
        <v/>
      </c>
      <c r="O2410" s="4"/>
    </row>
    <row r="2411" spans="1:15" x14ac:dyDescent="0.25">
      <c r="A2411" s="14"/>
      <c r="B2411" s="14"/>
      <c r="C2411" s="14"/>
      <c r="D2411" s="5" t="str">
        <f t="shared" si="234"/>
        <v/>
      </c>
      <c r="E2411" s="5" t="str">
        <f t="shared" si="235"/>
        <v/>
      </c>
      <c r="F2411" s="5" t="str">
        <f t="shared" si="236"/>
        <v/>
      </c>
      <c r="G2411" s="23"/>
      <c r="H2411" s="66"/>
      <c r="I2411" s="14"/>
      <c r="J2411" s="14"/>
      <c r="K2411" s="14"/>
      <c r="L2411" s="5" t="str">
        <f t="shared" si="231"/>
        <v/>
      </c>
      <c r="M2411" s="5" t="str">
        <f t="shared" si="232"/>
        <v/>
      </c>
      <c r="N2411" s="5" t="str">
        <f t="shared" si="233"/>
        <v/>
      </c>
      <c r="O2411" s="4"/>
    </row>
    <row r="2412" spans="1:15" x14ac:dyDescent="0.25">
      <c r="A2412" s="14"/>
      <c r="B2412" s="14"/>
      <c r="C2412" s="14"/>
      <c r="D2412" s="5" t="str">
        <f t="shared" si="234"/>
        <v/>
      </c>
      <c r="E2412" s="5" t="str">
        <f t="shared" si="235"/>
        <v/>
      </c>
      <c r="F2412" s="5" t="str">
        <f t="shared" si="236"/>
        <v/>
      </c>
      <c r="G2412" s="23"/>
      <c r="H2412" s="66"/>
      <c r="I2412" s="14"/>
      <c r="J2412" s="14"/>
      <c r="K2412" s="14"/>
      <c r="L2412" s="5" t="str">
        <f t="shared" si="231"/>
        <v/>
      </c>
      <c r="M2412" s="5" t="str">
        <f t="shared" si="232"/>
        <v/>
      </c>
      <c r="N2412" s="5" t="str">
        <f t="shared" si="233"/>
        <v/>
      </c>
      <c r="O2412" s="4"/>
    </row>
    <row r="2413" spans="1:15" x14ac:dyDescent="0.25">
      <c r="A2413" s="14"/>
      <c r="B2413" s="14"/>
      <c r="C2413" s="14"/>
      <c r="D2413" s="5" t="str">
        <f t="shared" si="234"/>
        <v/>
      </c>
      <c r="E2413" s="5" t="str">
        <f t="shared" si="235"/>
        <v/>
      </c>
      <c r="F2413" s="5" t="str">
        <f t="shared" si="236"/>
        <v/>
      </c>
      <c r="G2413" s="23"/>
      <c r="H2413" s="66"/>
      <c r="I2413" s="14"/>
      <c r="J2413" s="14"/>
      <c r="K2413" s="14"/>
      <c r="L2413" s="5" t="str">
        <f t="shared" si="231"/>
        <v/>
      </c>
      <c r="M2413" s="5" t="str">
        <f t="shared" si="232"/>
        <v/>
      </c>
      <c r="N2413" s="5" t="str">
        <f t="shared" si="233"/>
        <v/>
      </c>
      <c r="O2413" s="4"/>
    </row>
    <row r="2414" spans="1:15" x14ac:dyDescent="0.25">
      <c r="A2414" s="14"/>
      <c r="B2414" s="14"/>
      <c r="C2414" s="14"/>
      <c r="D2414" s="5" t="str">
        <f t="shared" si="234"/>
        <v/>
      </c>
      <c r="E2414" s="5" t="str">
        <f t="shared" si="235"/>
        <v/>
      </c>
      <c r="F2414" s="5" t="str">
        <f t="shared" si="236"/>
        <v/>
      </c>
      <c r="G2414" s="23"/>
      <c r="H2414" s="66"/>
      <c r="I2414" s="14"/>
      <c r="J2414" s="14"/>
      <c r="K2414" s="14"/>
      <c r="L2414" s="5" t="str">
        <f t="shared" si="231"/>
        <v/>
      </c>
      <c r="M2414" s="5" t="str">
        <f t="shared" si="232"/>
        <v/>
      </c>
      <c r="N2414" s="5" t="str">
        <f t="shared" si="233"/>
        <v/>
      </c>
      <c r="O2414" s="4"/>
    </row>
    <row r="2415" spans="1:15" x14ac:dyDescent="0.25">
      <c r="A2415" s="14"/>
      <c r="B2415" s="14"/>
      <c r="C2415" s="14"/>
      <c r="D2415" s="5" t="str">
        <f t="shared" si="234"/>
        <v/>
      </c>
      <c r="E2415" s="5" t="str">
        <f t="shared" si="235"/>
        <v/>
      </c>
      <c r="F2415" s="5" t="str">
        <f t="shared" si="236"/>
        <v/>
      </c>
      <c r="G2415" s="23"/>
      <c r="H2415" s="66"/>
      <c r="I2415" s="14"/>
      <c r="J2415" s="14"/>
      <c r="K2415" s="14"/>
      <c r="L2415" s="5" t="str">
        <f t="shared" si="231"/>
        <v/>
      </c>
      <c r="M2415" s="5" t="str">
        <f t="shared" si="232"/>
        <v/>
      </c>
      <c r="N2415" s="5" t="str">
        <f t="shared" si="233"/>
        <v/>
      </c>
      <c r="O2415" s="4"/>
    </row>
    <row r="2416" spans="1:15" x14ac:dyDescent="0.25">
      <c r="A2416" s="14"/>
      <c r="B2416" s="14"/>
      <c r="C2416" s="14"/>
      <c r="D2416" s="5" t="str">
        <f t="shared" si="234"/>
        <v/>
      </c>
      <c r="E2416" s="5" t="str">
        <f t="shared" si="235"/>
        <v/>
      </c>
      <c r="F2416" s="5" t="str">
        <f t="shared" si="236"/>
        <v/>
      </c>
      <c r="G2416" s="23"/>
      <c r="H2416" s="66"/>
      <c r="I2416" s="14"/>
      <c r="J2416" s="14"/>
      <c r="K2416" s="14"/>
      <c r="L2416" s="5" t="str">
        <f t="shared" si="231"/>
        <v/>
      </c>
      <c r="M2416" s="5" t="str">
        <f t="shared" si="232"/>
        <v/>
      </c>
      <c r="N2416" s="5" t="str">
        <f t="shared" si="233"/>
        <v/>
      </c>
      <c r="O2416" s="4"/>
    </row>
    <row r="2417" spans="1:15" x14ac:dyDescent="0.25">
      <c r="A2417" s="14"/>
      <c r="B2417" s="14"/>
      <c r="C2417" s="14"/>
      <c r="D2417" s="5" t="str">
        <f t="shared" si="234"/>
        <v/>
      </c>
      <c r="E2417" s="5" t="str">
        <f t="shared" si="235"/>
        <v/>
      </c>
      <c r="F2417" s="5" t="str">
        <f t="shared" si="236"/>
        <v/>
      </c>
      <c r="G2417" s="23"/>
      <c r="H2417" s="66"/>
      <c r="I2417" s="14"/>
      <c r="J2417" s="14"/>
      <c r="K2417" s="14"/>
      <c r="L2417" s="5" t="str">
        <f t="shared" si="231"/>
        <v/>
      </c>
      <c r="M2417" s="5" t="str">
        <f t="shared" si="232"/>
        <v/>
      </c>
      <c r="N2417" s="5" t="str">
        <f t="shared" si="233"/>
        <v/>
      </c>
      <c r="O2417" s="4"/>
    </row>
    <row r="2418" spans="1:15" x14ac:dyDescent="0.25">
      <c r="A2418" s="14"/>
      <c r="B2418" s="14"/>
      <c r="C2418" s="14"/>
      <c r="D2418" s="5" t="str">
        <f t="shared" si="234"/>
        <v/>
      </c>
      <c r="E2418" s="5" t="str">
        <f t="shared" si="235"/>
        <v/>
      </c>
      <c r="F2418" s="5" t="str">
        <f t="shared" si="236"/>
        <v/>
      </c>
      <c r="G2418" s="23"/>
      <c r="H2418" s="66"/>
      <c r="I2418" s="14"/>
      <c r="J2418" s="14"/>
      <c r="K2418" s="14"/>
      <c r="L2418" s="5" t="str">
        <f t="shared" si="231"/>
        <v/>
      </c>
      <c r="M2418" s="5" t="str">
        <f t="shared" si="232"/>
        <v/>
      </c>
      <c r="N2418" s="5" t="str">
        <f t="shared" si="233"/>
        <v/>
      </c>
      <c r="O2418" s="4"/>
    </row>
    <row r="2419" spans="1:15" x14ac:dyDescent="0.25">
      <c r="A2419" s="14"/>
      <c r="B2419" s="14"/>
      <c r="C2419" s="14"/>
      <c r="D2419" s="5" t="str">
        <f t="shared" si="234"/>
        <v/>
      </c>
      <c r="E2419" s="5" t="str">
        <f t="shared" si="235"/>
        <v/>
      </c>
      <c r="F2419" s="5" t="str">
        <f t="shared" si="236"/>
        <v/>
      </c>
      <c r="G2419" s="23"/>
      <c r="H2419" s="66"/>
      <c r="I2419" s="14"/>
      <c r="J2419" s="14"/>
      <c r="K2419" s="14"/>
      <c r="L2419" s="5" t="str">
        <f t="shared" si="231"/>
        <v/>
      </c>
      <c r="M2419" s="5" t="str">
        <f t="shared" si="232"/>
        <v/>
      </c>
      <c r="N2419" s="5" t="str">
        <f t="shared" si="233"/>
        <v/>
      </c>
      <c r="O2419" s="4"/>
    </row>
    <row r="2420" spans="1:15" x14ac:dyDescent="0.25">
      <c r="A2420" s="14"/>
      <c r="B2420" s="14"/>
      <c r="C2420" s="14"/>
      <c r="D2420" s="5" t="str">
        <f t="shared" si="234"/>
        <v/>
      </c>
      <c r="E2420" s="5" t="str">
        <f t="shared" si="235"/>
        <v/>
      </c>
      <c r="F2420" s="5" t="str">
        <f t="shared" si="236"/>
        <v/>
      </c>
      <c r="G2420" s="23"/>
      <c r="H2420" s="66"/>
      <c r="I2420" s="14"/>
      <c r="J2420" s="14"/>
      <c r="K2420" s="14"/>
      <c r="L2420" s="5" t="str">
        <f t="shared" si="231"/>
        <v/>
      </c>
      <c r="M2420" s="5" t="str">
        <f t="shared" si="232"/>
        <v/>
      </c>
      <c r="N2420" s="5" t="str">
        <f t="shared" si="233"/>
        <v/>
      </c>
      <c r="O2420" s="4"/>
    </row>
    <row r="2421" spans="1:15" x14ac:dyDescent="0.25">
      <c r="A2421" s="14"/>
      <c r="B2421" s="14"/>
      <c r="C2421" s="14"/>
      <c r="D2421" s="5" t="str">
        <f t="shared" si="234"/>
        <v/>
      </c>
      <c r="E2421" s="5" t="str">
        <f t="shared" si="235"/>
        <v/>
      </c>
      <c r="F2421" s="5" t="str">
        <f t="shared" si="236"/>
        <v/>
      </c>
      <c r="G2421" s="23"/>
      <c r="H2421" s="66"/>
      <c r="I2421" s="14"/>
      <c r="J2421" s="14"/>
      <c r="K2421" s="14"/>
      <c r="L2421" s="5" t="str">
        <f t="shared" si="231"/>
        <v/>
      </c>
      <c r="M2421" s="5" t="str">
        <f t="shared" si="232"/>
        <v/>
      </c>
      <c r="N2421" s="5" t="str">
        <f t="shared" si="233"/>
        <v/>
      </c>
      <c r="O2421" s="4"/>
    </row>
    <row r="2422" spans="1:15" x14ac:dyDescent="0.25">
      <c r="A2422" s="14"/>
      <c r="B2422" s="14"/>
      <c r="C2422" s="14"/>
      <c r="D2422" s="5" t="str">
        <f t="shared" si="234"/>
        <v/>
      </c>
      <c r="E2422" s="5" t="str">
        <f t="shared" si="235"/>
        <v/>
      </c>
      <c r="F2422" s="5" t="str">
        <f t="shared" si="236"/>
        <v/>
      </c>
      <c r="G2422" s="23"/>
      <c r="H2422" s="66"/>
      <c r="I2422" s="14"/>
      <c r="J2422" s="14"/>
      <c r="K2422" s="14"/>
      <c r="L2422" s="5" t="str">
        <f t="shared" si="231"/>
        <v/>
      </c>
      <c r="M2422" s="5" t="str">
        <f t="shared" si="232"/>
        <v/>
      </c>
      <c r="N2422" s="5" t="str">
        <f t="shared" si="233"/>
        <v/>
      </c>
      <c r="O2422" s="4"/>
    </row>
    <row r="2423" spans="1:15" x14ac:dyDescent="0.25">
      <c r="A2423" s="14"/>
      <c r="B2423" s="14"/>
      <c r="C2423" s="14"/>
      <c r="D2423" s="5" t="str">
        <f t="shared" si="234"/>
        <v/>
      </c>
      <c r="E2423" s="5" t="str">
        <f t="shared" si="235"/>
        <v/>
      </c>
      <c r="F2423" s="5" t="str">
        <f t="shared" si="236"/>
        <v/>
      </c>
      <c r="G2423" s="23"/>
      <c r="H2423" s="66"/>
      <c r="I2423" s="14"/>
      <c r="J2423" s="14"/>
      <c r="K2423" s="14"/>
      <c r="L2423" s="5" t="str">
        <f t="shared" si="231"/>
        <v/>
      </c>
      <c r="M2423" s="5" t="str">
        <f t="shared" si="232"/>
        <v/>
      </c>
      <c r="N2423" s="5" t="str">
        <f t="shared" si="233"/>
        <v/>
      </c>
      <c r="O2423" s="4"/>
    </row>
    <row r="2424" spans="1:15" x14ac:dyDescent="0.25">
      <c r="A2424" s="14"/>
      <c r="B2424" s="14"/>
      <c r="C2424" s="14"/>
      <c r="D2424" s="5" t="str">
        <f t="shared" si="234"/>
        <v/>
      </c>
      <c r="E2424" s="5" t="str">
        <f t="shared" si="235"/>
        <v/>
      </c>
      <c r="F2424" s="5" t="str">
        <f t="shared" si="236"/>
        <v/>
      </c>
      <c r="G2424" s="23"/>
      <c r="H2424" s="66"/>
      <c r="I2424" s="14"/>
      <c r="J2424" s="14"/>
      <c r="K2424" s="14"/>
      <c r="L2424" s="5" t="str">
        <f t="shared" si="231"/>
        <v/>
      </c>
      <c r="M2424" s="5" t="str">
        <f t="shared" si="232"/>
        <v/>
      </c>
      <c r="N2424" s="5" t="str">
        <f t="shared" si="233"/>
        <v/>
      </c>
      <c r="O2424" s="4"/>
    </row>
    <row r="2425" spans="1:15" x14ac:dyDescent="0.25">
      <c r="A2425" s="14"/>
      <c r="B2425" s="14"/>
      <c r="C2425" s="14"/>
      <c r="D2425" s="5" t="str">
        <f t="shared" si="234"/>
        <v/>
      </c>
      <c r="E2425" s="5" t="str">
        <f t="shared" si="235"/>
        <v/>
      </c>
      <c r="F2425" s="5" t="str">
        <f t="shared" si="236"/>
        <v/>
      </c>
      <c r="G2425" s="23"/>
      <c r="H2425" s="66"/>
      <c r="I2425" s="14"/>
      <c r="J2425" s="14"/>
      <c r="K2425" s="14"/>
      <c r="L2425" s="5" t="str">
        <f t="shared" si="231"/>
        <v/>
      </c>
      <c r="M2425" s="5" t="str">
        <f t="shared" si="232"/>
        <v/>
      </c>
      <c r="N2425" s="5" t="str">
        <f t="shared" si="233"/>
        <v/>
      </c>
      <c r="O2425" s="4"/>
    </row>
    <row r="2426" spans="1:15" x14ac:dyDescent="0.25">
      <c r="A2426" s="14"/>
      <c r="B2426" s="14"/>
      <c r="C2426" s="14"/>
      <c r="D2426" s="5" t="str">
        <f t="shared" si="234"/>
        <v/>
      </c>
      <c r="E2426" s="5" t="str">
        <f t="shared" si="235"/>
        <v/>
      </c>
      <c r="F2426" s="5" t="str">
        <f t="shared" si="236"/>
        <v/>
      </c>
      <c r="G2426" s="23"/>
      <c r="H2426" s="66"/>
      <c r="I2426" s="14"/>
      <c r="J2426" s="14"/>
      <c r="K2426" s="14"/>
      <c r="L2426" s="5" t="str">
        <f t="shared" si="231"/>
        <v/>
      </c>
      <c r="M2426" s="5" t="str">
        <f t="shared" si="232"/>
        <v/>
      </c>
      <c r="N2426" s="5" t="str">
        <f t="shared" si="233"/>
        <v/>
      </c>
      <c r="O2426" s="4"/>
    </row>
    <row r="2427" spans="1:15" x14ac:dyDescent="0.25">
      <c r="A2427" s="14"/>
      <c r="B2427" s="14"/>
      <c r="C2427" s="14"/>
      <c r="D2427" s="5" t="str">
        <f t="shared" si="234"/>
        <v/>
      </c>
      <c r="E2427" s="5" t="str">
        <f t="shared" si="235"/>
        <v/>
      </c>
      <c r="F2427" s="5" t="str">
        <f t="shared" si="236"/>
        <v/>
      </c>
      <c r="G2427" s="23"/>
      <c r="H2427" s="66"/>
      <c r="I2427" s="14"/>
      <c r="J2427" s="14"/>
      <c r="K2427" s="14"/>
      <c r="L2427" s="5" t="str">
        <f t="shared" si="231"/>
        <v/>
      </c>
      <c r="M2427" s="5" t="str">
        <f t="shared" si="232"/>
        <v/>
      </c>
      <c r="N2427" s="5" t="str">
        <f t="shared" si="233"/>
        <v/>
      </c>
      <c r="O2427" s="4"/>
    </row>
    <row r="2428" spans="1:15" x14ac:dyDescent="0.25">
      <c r="A2428" s="14"/>
      <c r="B2428" s="14"/>
      <c r="C2428" s="14"/>
      <c r="D2428" s="5" t="str">
        <f t="shared" si="234"/>
        <v/>
      </c>
      <c r="E2428" s="5" t="str">
        <f t="shared" si="235"/>
        <v/>
      </c>
      <c r="F2428" s="5" t="str">
        <f t="shared" si="236"/>
        <v/>
      </c>
      <c r="G2428" s="23"/>
      <c r="H2428" s="66"/>
      <c r="I2428" s="14"/>
      <c r="J2428" s="14"/>
      <c r="K2428" s="14"/>
      <c r="L2428" s="5" t="str">
        <f t="shared" si="231"/>
        <v/>
      </c>
      <c r="M2428" s="5" t="str">
        <f t="shared" si="232"/>
        <v/>
      </c>
      <c r="N2428" s="5" t="str">
        <f t="shared" si="233"/>
        <v/>
      </c>
      <c r="O2428" s="4"/>
    </row>
    <row r="2429" spans="1:15" x14ac:dyDescent="0.25">
      <c r="A2429" s="14"/>
      <c r="B2429" s="14"/>
      <c r="C2429" s="14"/>
      <c r="D2429" s="5" t="str">
        <f t="shared" si="234"/>
        <v/>
      </c>
      <c r="E2429" s="5" t="str">
        <f t="shared" si="235"/>
        <v/>
      </c>
      <c r="F2429" s="5" t="str">
        <f t="shared" si="236"/>
        <v/>
      </c>
      <c r="G2429" s="23"/>
      <c r="H2429" s="66"/>
      <c r="I2429" s="14"/>
      <c r="J2429" s="14"/>
      <c r="K2429" s="14"/>
      <c r="L2429" s="5" t="str">
        <f t="shared" si="231"/>
        <v/>
      </c>
      <c r="M2429" s="5" t="str">
        <f t="shared" si="232"/>
        <v/>
      </c>
      <c r="N2429" s="5" t="str">
        <f t="shared" si="233"/>
        <v/>
      </c>
      <c r="O2429" s="4"/>
    </row>
    <row r="2430" spans="1:15" x14ac:dyDescent="0.25">
      <c r="A2430" s="14"/>
      <c r="B2430" s="14"/>
      <c r="C2430" s="14"/>
      <c r="D2430" s="5" t="str">
        <f t="shared" si="234"/>
        <v/>
      </c>
      <c r="E2430" s="5" t="str">
        <f t="shared" si="235"/>
        <v/>
      </c>
      <c r="F2430" s="5" t="str">
        <f t="shared" si="236"/>
        <v/>
      </c>
      <c r="G2430" s="23"/>
      <c r="H2430" s="66"/>
      <c r="I2430" s="14"/>
      <c r="J2430" s="14"/>
      <c r="K2430" s="14"/>
      <c r="L2430" s="5" t="str">
        <f t="shared" si="231"/>
        <v/>
      </c>
      <c r="M2430" s="5" t="str">
        <f t="shared" si="232"/>
        <v/>
      </c>
      <c r="N2430" s="5" t="str">
        <f t="shared" si="233"/>
        <v/>
      </c>
      <c r="O2430" s="4"/>
    </row>
    <row r="2431" spans="1:15" x14ac:dyDescent="0.25">
      <c r="A2431" s="14"/>
      <c r="B2431" s="14"/>
      <c r="C2431" s="14"/>
      <c r="D2431" s="5" t="str">
        <f t="shared" si="234"/>
        <v/>
      </c>
      <c r="E2431" s="5" t="str">
        <f t="shared" si="235"/>
        <v/>
      </c>
      <c r="F2431" s="5" t="str">
        <f t="shared" si="236"/>
        <v/>
      </c>
      <c r="G2431" s="23"/>
      <c r="H2431" s="66"/>
      <c r="I2431" s="14"/>
      <c r="J2431" s="14"/>
      <c r="K2431" s="14"/>
      <c r="L2431" s="5" t="str">
        <f t="shared" si="231"/>
        <v/>
      </c>
      <c r="M2431" s="5" t="str">
        <f t="shared" si="232"/>
        <v/>
      </c>
      <c r="N2431" s="5" t="str">
        <f t="shared" si="233"/>
        <v/>
      </c>
      <c r="O2431" s="4"/>
    </row>
    <row r="2432" spans="1:15" x14ac:dyDescent="0.25">
      <c r="A2432" s="14"/>
      <c r="B2432" s="14"/>
      <c r="C2432" s="14"/>
      <c r="D2432" s="5" t="str">
        <f t="shared" si="234"/>
        <v/>
      </c>
      <c r="E2432" s="5" t="str">
        <f t="shared" si="235"/>
        <v/>
      </c>
      <c r="F2432" s="5" t="str">
        <f t="shared" si="236"/>
        <v/>
      </c>
      <c r="G2432" s="23"/>
      <c r="H2432" s="66"/>
      <c r="I2432" s="14"/>
      <c r="J2432" s="14"/>
      <c r="K2432" s="14"/>
      <c r="L2432" s="5" t="str">
        <f t="shared" si="231"/>
        <v/>
      </c>
      <c r="M2432" s="5" t="str">
        <f t="shared" si="232"/>
        <v/>
      </c>
      <c r="N2432" s="5" t="str">
        <f t="shared" si="233"/>
        <v/>
      </c>
      <c r="O2432" s="4"/>
    </row>
    <row r="2433" spans="1:15" x14ac:dyDescent="0.25">
      <c r="A2433" s="14"/>
      <c r="B2433" s="14"/>
      <c r="C2433" s="14"/>
      <c r="D2433" s="5" t="str">
        <f t="shared" si="234"/>
        <v/>
      </c>
      <c r="E2433" s="5" t="str">
        <f t="shared" si="235"/>
        <v/>
      </c>
      <c r="F2433" s="5" t="str">
        <f t="shared" si="236"/>
        <v/>
      </c>
      <c r="G2433" s="23"/>
      <c r="H2433" s="66"/>
      <c r="I2433" s="14"/>
      <c r="J2433" s="14"/>
      <c r="K2433" s="14"/>
      <c r="L2433" s="5" t="str">
        <f t="shared" si="231"/>
        <v/>
      </c>
      <c r="M2433" s="5" t="str">
        <f t="shared" si="232"/>
        <v/>
      </c>
      <c r="N2433" s="5" t="str">
        <f t="shared" si="233"/>
        <v/>
      </c>
      <c r="O2433" s="4"/>
    </row>
    <row r="2434" spans="1:15" x14ac:dyDescent="0.25">
      <c r="A2434" s="14"/>
      <c r="B2434" s="14"/>
      <c r="C2434" s="14"/>
      <c r="D2434" s="5" t="str">
        <f t="shared" si="234"/>
        <v/>
      </c>
      <c r="E2434" s="5" t="str">
        <f t="shared" si="235"/>
        <v/>
      </c>
      <c r="F2434" s="5" t="str">
        <f t="shared" si="236"/>
        <v/>
      </c>
      <c r="G2434" s="23"/>
      <c r="H2434" s="66"/>
      <c r="I2434" s="14"/>
      <c r="J2434" s="14"/>
      <c r="K2434" s="14"/>
      <c r="L2434" s="5" t="str">
        <f t="shared" si="231"/>
        <v/>
      </c>
      <c r="M2434" s="5" t="str">
        <f t="shared" si="232"/>
        <v/>
      </c>
      <c r="N2434" s="5" t="str">
        <f t="shared" si="233"/>
        <v/>
      </c>
      <c r="O2434" s="4"/>
    </row>
    <row r="2435" spans="1:15" x14ac:dyDescent="0.25">
      <c r="A2435" s="14"/>
      <c r="B2435" s="14"/>
      <c r="C2435" s="14"/>
      <c r="D2435" s="5" t="str">
        <f t="shared" si="234"/>
        <v/>
      </c>
      <c r="E2435" s="5" t="str">
        <f t="shared" si="235"/>
        <v/>
      </c>
      <c r="F2435" s="5" t="str">
        <f t="shared" si="236"/>
        <v/>
      </c>
      <c r="G2435" s="23"/>
      <c r="H2435" s="66"/>
      <c r="I2435" s="14"/>
      <c r="J2435" s="14"/>
      <c r="K2435" s="14"/>
      <c r="L2435" s="5" t="str">
        <f t="shared" si="231"/>
        <v/>
      </c>
      <c r="M2435" s="5" t="str">
        <f t="shared" si="232"/>
        <v/>
      </c>
      <c r="N2435" s="5" t="str">
        <f t="shared" si="233"/>
        <v/>
      </c>
      <c r="O2435" s="4"/>
    </row>
    <row r="2436" spans="1:15" x14ac:dyDescent="0.25">
      <c r="A2436" s="14"/>
      <c r="B2436" s="14"/>
      <c r="C2436" s="14"/>
      <c r="D2436" s="5" t="str">
        <f t="shared" si="234"/>
        <v/>
      </c>
      <c r="E2436" s="5" t="str">
        <f t="shared" si="235"/>
        <v/>
      </c>
      <c r="F2436" s="5" t="str">
        <f t="shared" si="236"/>
        <v/>
      </c>
      <c r="G2436" s="23"/>
      <c r="H2436" s="66"/>
      <c r="I2436" s="14"/>
      <c r="J2436" s="14"/>
      <c r="K2436" s="14"/>
      <c r="L2436" s="5" t="str">
        <f t="shared" si="231"/>
        <v/>
      </c>
      <c r="M2436" s="5" t="str">
        <f t="shared" si="232"/>
        <v/>
      </c>
      <c r="N2436" s="5" t="str">
        <f t="shared" si="233"/>
        <v/>
      </c>
      <c r="O2436" s="4"/>
    </row>
    <row r="2437" spans="1:15" x14ac:dyDescent="0.25">
      <c r="A2437" s="14"/>
      <c r="B2437" s="14"/>
      <c r="C2437" s="14"/>
      <c r="D2437" s="5" t="str">
        <f t="shared" si="234"/>
        <v/>
      </c>
      <c r="E2437" s="5" t="str">
        <f t="shared" si="235"/>
        <v/>
      </c>
      <c r="F2437" s="5" t="str">
        <f t="shared" si="236"/>
        <v/>
      </c>
      <c r="G2437" s="23"/>
      <c r="H2437" s="66"/>
      <c r="I2437" s="14"/>
      <c r="J2437" s="14"/>
      <c r="K2437" s="14"/>
      <c r="L2437" s="5" t="str">
        <f t="shared" si="231"/>
        <v/>
      </c>
      <c r="M2437" s="5" t="str">
        <f t="shared" si="232"/>
        <v/>
      </c>
      <c r="N2437" s="5" t="str">
        <f t="shared" si="233"/>
        <v/>
      </c>
      <c r="O2437" s="4"/>
    </row>
    <row r="2438" spans="1:15" x14ac:dyDescent="0.25">
      <c r="A2438" s="14"/>
      <c r="B2438" s="14"/>
      <c r="C2438" s="14"/>
      <c r="D2438" s="5" t="str">
        <f t="shared" si="234"/>
        <v/>
      </c>
      <c r="E2438" s="5" t="str">
        <f t="shared" si="235"/>
        <v/>
      </c>
      <c r="F2438" s="5" t="str">
        <f t="shared" si="236"/>
        <v/>
      </c>
      <c r="G2438" s="23"/>
      <c r="H2438" s="66"/>
      <c r="I2438" s="14"/>
      <c r="J2438" s="14"/>
      <c r="K2438" s="14"/>
      <c r="L2438" s="5" t="str">
        <f t="shared" si="231"/>
        <v/>
      </c>
      <c r="M2438" s="5" t="str">
        <f t="shared" si="232"/>
        <v/>
      </c>
      <c r="N2438" s="5" t="str">
        <f t="shared" si="233"/>
        <v/>
      </c>
      <c r="O2438" s="4"/>
    </row>
    <row r="2439" spans="1:15" x14ac:dyDescent="0.25">
      <c r="A2439" s="14"/>
      <c r="B2439" s="14"/>
      <c r="C2439" s="14"/>
      <c r="D2439" s="5" t="str">
        <f t="shared" si="234"/>
        <v/>
      </c>
      <c r="E2439" s="5" t="str">
        <f t="shared" si="235"/>
        <v/>
      </c>
      <c r="F2439" s="5" t="str">
        <f t="shared" si="236"/>
        <v/>
      </c>
      <c r="G2439" s="23"/>
      <c r="H2439" s="66"/>
      <c r="I2439" s="14"/>
      <c r="J2439" s="14"/>
      <c r="K2439" s="14"/>
      <c r="L2439" s="5" t="str">
        <f t="shared" si="231"/>
        <v/>
      </c>
      <c r="M2439" s="5" t="str">
        <f t="shared" si="232"/>
        <v/>
      </c>
      <c r="N2439" s="5" t="str">
        <f t="shared" si="233"/>
        <v/>
      </c>
      <c r="O2439" s="4"/>
    </row>
    <row r="2440" spans="1:15" x14ac:dyDescent="0.25">
      <c r="A2440" s="14"/>
      <c r="B2440" s="14"/>
      <c r="C2440" s="14"/>
      <c r="D2440" s="5" t="str">
        <f t="shared" si="234"/>
        <v/>
      </c>
      <c r="E2440" s="5" t="str">
        <f t="shared" si="235"/>
        <v/>
      </c>
      <c r="F2440" s="5" t="str">
        <f t="shared" si="236"/>
        <v/>
      </c>
      <c r="G2440" s="23"/>
      <c r="H2440" s="66"/>
      <c r="I2440" s="14"/>
      <c r="J2440" s="14"/>
      <c r="K2440" s="14"/>
      <c r="L2440" s="5" t="str">
        <f t="shared" si="231"/>
        <v/>
      </c>
      <c r="M2440" s="5" t="str">
        <f t="shared" si="232"/>
        <v/>
      </c>
      <c r="N2440" s="5" t="str">
        <f t="shared" si="233"/>
        <v/>
      </c>
      <c r="O2440" s="4"/>
    </row>
    <row r="2441" spans="1:15" x14ac:dyDescent="0.25">
      <c r="A2441" s="14"/>
      <c r="B2441" s="14"/>
      <c r="C2441" s="14"/>
      <c r="D2441" s="5" t="str">
        <f t="shared" si="234"/>
        <v/>
      </c>
      <c r="E2441" s="5" t="str">
        <f t="shared" si="235"/>
        <v/>
      </c>
      <c r="F2441" s="5" t="str">
        <f t="shared" si="236"/>
        <v/>
      </c>
      <c r="G2441" s="23"/>
      <c r="H2441" s="66"/>
      <c r="I2441" s="14"/>
      <c r="J2441" s="14"/>
      <c r="K2441" s="14"/>
      <c r="L2441" s="5" t="str">
        <f t="shared" si="231"/>
        <v/>
      </c>
      <c r="M2441" s="5" t="str">
        <f t="shared" si="232"/>
        <v/>
      </c>
      <c r="N2441" s="5" t="str">
        <f t="shared" si="233"/>
        <v/>
      </c>
      <c r="O2441" s="4"/>
    </row>
    <row r="2442" spans="1:15" x14ac:dyDescent="0.25">
      <c r="A2442" s="14"/>
      <c r="B2442" s="14"/>
      <c r="C2442" s="14"/>
      <c r="D2442" s="5" t="str">
        <f t="shared" si="234"/>
        <v/>
      </c>
      <c r="E2442" s="5" t="str">
        <f t="shared" si="235"/>
        <v/>
      </c>
      <c r="F2442" s="5" t="str">
        <f t="shared" si="236"/>
        <v/>
      </c>
      <c r="G2442" s="23"/>
      <c r="H2442" s="66"/>
      <c r="I2442" s="14"/>
      <c r="J2442" s="14"/>
      <c r="K2442" s="14"/>
      <c r="L2442" s="5" t="str">
        <f t="shared" si="231"/>
        <v/>
      </c>
      <c r="M2442" s="5" t="str">
        <f t="shared" si="232"/>
        <v/>
      </c>
      <c r="N2442" s="5" t="str">
        <f t="shared" si="233"/>
        <v/>
      </c>
      <c r="O2442" s="4"/>
    </row>
    <row r="2443" spans="1:15" x14ac:dyDescent="0.25">
      <c r="A2443" s="14"/>
      <c r="B2443" s="14"/>
      <c r="C2443" s="14"/>
      <c r="D2443" s="5" t="str">
        <f t="shared" si="234"/>
        <v/>
      </c>
      <c r="E2443" s="5" t="str">
        <f t="shared" si="235"/>
        <v/>
      </c>
      <c r="F2443" s="5" t="str">
        <f t="shared" si="236"/>
        <v/>
      </c>
      <c r="G2443" s="23"/>
      <c r="H2443" s="66"/>
      <c r="I2443" s="14"/>
      <c r="J2443" s="14"/>
      <c r="K2443" s="14"/>
      <c r="L2443" s="5" t="str">
        <f t="shared" si="231"/>
        <v/>
      </c>
      <c r="M2443" s="5" t="str">
        <f t="shared" si="232"/>
        <v/>
      </c>
      <c r="N2443" s="5" t="str">
        <f t="shared" si="233"/>
        <v/>
      </c>
      <c r="O2443" s="4"/>
    </row>
    <row r="2444" spans="1:15" x14ac:dyDescent="0.25">
      <c r="A2444" s="14"/>
      <c r="B2444" s="14"/>
      <c r="C2444" s="14"/>
      <c r="D2444" s="5" t="str">
        <f t="shared" si="234"/>
        <v/>
      </c>
      <c r="E2444" s="5" t="str">
        <f t="shared" si="235"/>
        <v/>
      </c>
      <c r="F2444" s="5" t="str">
        <f t="shared" si="236"/>
        <v/>
      </c>
      <c r="G2444" s="23"/>
      <c r="H2444" s="66"/>
      <c r="I2444" s="14"/>
      <c r="J2444" s="14"/>
      <c r="K2444" s="14"/>
      <c r="L2444" s="5" t="str">
        <f t="shared" si="231"/>
        <v/>
      </c>
      <c r="M2444" s="5" t="str">
        <f t="shared" si="232"/>
        <v/>
      </c>
      <c r="N2444" s="5" t="str">
        <f t="shared" si="233"/>
        <v/>
      </c>
      <c r="O2444" s="4"/>
    </row>
    <row r="2445" spans="1:15" x14ac:dyDescent="0.25">
      <c r="A2445" s="14"/>
      <c r="B2445" s="14"/>
      <c r="C2445" s="14"/>
      <c r="D2445" s="5" t="str">
        <f t="shared" si="234"/>
        <v/>
      </c>
      <c r="E2445" s="5" t="str">
        <f t="shared" si="235"/>
        <v/>
      </c>
      <c r="F2445" s="5" t="str">
        <f t="shared" si="236"/>
        <v/>
      </c>
      <c r="G2445" s="23"/>
      <c r="H2445" s="66"/>
      <c r="I2445" s="14"/>
      <c r="J2445" s="14"/>
      <c r="K2445" s="14"/>
      <c r="L2445" s="5" t="str">
        <f t="shared" si="231"/>
        <v/>
      </c>
      <c r="M2445" s="5" t="str">
        <f t="shared" si="232"/>
        <v/>
      </c>
      <c r="N2445" s="5" t="str">
        <f t="shared" si="233"/>
        <v/>
      </c>
      <c r="O2445" s="4"/>
    </row>
    <row r="2446" spans="1:15" x14ac:dyDescent="0.25">
      <c r="A2446" s="14"/>
      <c r="B2446" s="14"/>
      <c r="C2446" s="14"/>
      <c r="D2446" s="5" t="str">
        <f t="shared" si="234"/>
        <v/>
      </c>
      <c r="E2446" s="5" t="str">
        <f t="shared" si="235"/>
        <v/>
      </c>
      <c r="F2446" s="5" t="str">
        <f t="shared" si="236"/>
        <v/>
      </c>
      <c r="G2446" s="23"/>
      <c r="H2446" s="66"/>
      <c r="I2446" s="14"/>
      <c r="J2446" s="14"/>
      <c r="K2446" s="14"/>
      <c r="L2446" s="5" t="str">
        <f t="shared" si="231"/>
        <v/>
      </c>
      <c r="M2446" s="5" t="str">
        <f t="shared" si="232"/>
        <v/>
      </c>
      <c r="N2446" s="5" t="str">
        <f t="shared" si="233"/>
        <v/>
      </c>
      <c r="O2446" s="4"/>
    </row>
    <row r="2447" spans="1:15" x14ac:dyDescent="0.25">
      <c r="A2447" s="14"/>
      <c r="B2447" s="14"/>
      <c r="C2447" s="14"/>
      <c r="D2447" s="5" t="str">
        <f t="shared" si="234"/>
        <v/>
      </c>
      <c r="E2447" s="5" t="str">
        <f t="shared" si="235"/>
        <v/>
      </c>
      <c r="F2447" s="5" t="str">
        <f t="shared" si="236"/>
        <v/>
      </c>
      <c r="G2447" s="23"/>
      <c r="H2447" s="66"/>
      <c r="I2447" s="14"/>
      <c r="J2447" s="14"/>
      <c r="K2447" s="14"/>
      <c r="L2447" s="5" t="str">
        <f t="shared" si="231"/>
        <v/>
      </c>
      <c r="M2447" s="5" t="str">
        <f t="shared" si="232"/>
        <v/>
      </c>
      <c r="N2447" s="5" t="str">
        <f t="shared" si="233"/>
        <v/>
      </c>
      <c r="O2447" s="4"/>
    </row>
    <row r="2448" spans="1:15" x14ac:dyDescent="0.25">
      <c r="A2448" s="14"/>
      <c r="B2448" s="14"/>
      <c r="C2448" s="14"/>
      <c r="D2448" s="5" t="str">
        <f t="shared" si="234"/>
        <v/>
      </c>
      <c r="E2448" s="5" t="str">
        <f t="shared" si="235"/>
        <v/>
      </c>
      <c r="F2448" s="5" t="str">
        <f t="shared" si="236"/>
        <v/>
      </c>
      <c r="G2448" s="23"/>
      <c r="H2448" s="66"/>
      <c r="I2448" s="14"/>
      <c r="J2448" s="14"/>
      <c r="K2448" s="14"/>
      <c r="L2448" s="5" t="str">
        <f t="shared" si="231"/>
        <v/>
      </c>
      <c r="M2448" s="5" t="str">
        <f t="shared" si="232"/>
        <v/>
      </c>
      <c r="N2448" s="5" t="str">
        <f t="shared" si="233"/>
        <v/>
      </c>
      <c r="O2448" s="4"/>
    </row>
    <row r="2449" spans="1:15" x14ac:dyDescent="0.25">
      <c r="A2449" s="14"/>
      <c r="B2449" s="14"/>
      <c r="C2449" s="14"/>
      <c r="D2449" s="5" t="str">
        <f t="shared" si="234"/>
        <v/>
      </c>
      <c r="E2449" s="5" t="str">
        <f t="shared" si="235"/>
        <v/>
      </c>
      <c r="F2449" s="5" t="str">
        <f t="shared" si="236"/>
        <v/>
      </c>
      <c r="G2449" s="23"/>
      <c r="H2449" s="66"/>
      <c r="I2449" s="14"/>
      <c r="J2449" s="14"/>
      <c r="K2449" s="14"/>
      <c r="L2449" s="5" t="str">
        <f t="shared" ref="L2449:L2512" si="237">IFERROR(IF(I2449&lt;&gt;"",(((J2449-J2448)*$X$4/(I2449-I2448)))*$X$5,""),"")</f>
        <v/>
      </c>
      <c r="M2449" s="5" t="str">
        <f t="shared" ref="M2449:M2512" si="238">IFERROR(IF(I2449&lt;&gt;"",(((K2449-K2448)*$X$4/(I2449-I2448)))*$X$5,""),"")</f>
        <v/>
      </c>
      <c r="N2449" s="5" t="str">
        <f t="shared" ref="N2449:N2512" si="239">IFERROR(IF(I2449&lt;&gt;"",((ACOS((COS(RADIANS(J2448))*COS(RADIANS(J2449)))+(SIN(RADIANS(J2448))*SIN(RADIANS(J2449)))*COS(RADIANS(K2449-K2448)))*180/PI()*($X$4/(I2449-I2448))))*$X$5,""),"")</f>
        <v/>
      </c>
      <c r="O2449" s="4"/>
    </row>
    <row r="2450" spans="1:15" x14ac:dyDescent="0.25">
      <c r="A2450" s="14"/>
      <c r="B2450" s="14"/>
      <c r="C2450" s="14"/>
      <c r="D2450" s="5" t="str">
        <f t="shared" si="234"/>
        <v/>
      </c>
      <c r="E2450" s="5" t="str">
        <f t="shared" si="235"/>
        <v/>
      </c>
      <c r="F2450" s="5" t="str">
        <f t="shared" si="236"/>
        <v/>
      </c>
      <c r="G2450" s="23"/>
      <c r="H2450" s="66"/>
      <c r="I2450" s="14"/>
      <c r="J2450" s="14"/>
      <c r="K2450" s="14"/>
      <c r="L2450" s="5" t="str">
        <f t="shared" si="237"/>
        <v/>
      </c>
      <c r="M2450" s="5" t="str">
        <f t="shared" si="238"/>
        <v/>
      </c>
      <c r="N2450" s="5" t="str">
        <f t="shared" si="239"/>
        <v/>
      </c>
      <c r="O2450" s="4"/>
    </row>
    <row r="2451" spans="1:15" x14ac:dyDescent="0.25">
      <c r="A2451" s="14"/>
      <c r="B2451" s="14"/>
      <c r="C2451" s="14"/>
      <c r="D2451" s="5" t="str">
        <f t="shared" si="234"/>
        <v/>
      </c>
      <c r="E2451" s="5" t="str">
        <f t="shared" si="235"/>
        <v/>
      </c>
      <c r="F2451" s="5" t="str">
        <f t="shared" si="236"/>
        <v/>
      </c>
      <c r="G2451" s="23"/>
      <c r="H2451" s="66"/>
      <c r="I2451" s="14"/>
      <c r="J2451" s="14"/>
      <c r="K2451" s="14"/>
      <c r="L2451" s="5" t="str">
        <f t="shared" si="237"/>
        <v/>
      </c>
      <c r="M2451" s="5" t="str">
        <f t="shared" si="238"/>
        <v/>
      </c>
      <c r="N2451" s="5" t="str">
        <f t="shared" si="239"/>
        <v/>
      </c>
      <c r="O2451" s="4"/>
    </row>
    <row r="2452" spans="1:15" x14ac:dyDescent="0.25">
      <c r="A2452" s="14"/>
      <c r="B2452" s="14"/>
      <c r="C2452" s="14"/>
      <c r="D2452" s="5" t="str">
        <f t="shared" si="234"/>
        <v/>
      </c>
      <c r="E2452" s="5" t="str">
        <f t="shared" si="235"/>
        <v/>
      </c>
      <c r="F2452" s="5" t="str">
        <f t="shared" si="236"/>
        <v/>
      </c>
      <c r="G2452" s="23"/>
      <c r="H2452" s="66"/>
      <c r="I2452" s="14"/>
      <c r="J2452" s="14"/>
      <c r="K2452" s="14"/>
      <c r="L2452" s="5" t="str">
        <f t="shared" si="237"/>
        <v/>
      </c>
      <c r="M2452" s="5" t="str">
        <f t="shared" si="238"/>
        <v/>
      </c>
      <c r="N2452" s="5" t="str">
        <f t="shared" si="239"/>
        <v/>
      </c>
      <c r="O2452" s="4"/>
    </row>
    <row r="2453" spans="1:15" x14ac:dyDescent="0.25">
      <c r="A2453" s="14"/>
      <c r="B2453" s="14"/>
      <c r="C2453" s="14"/>
      <c r="D2453" s="5" t="str">
        <f t="shared" si="234"/>
        <v/>
      </c>
      <c r="E2453" s="5" t="str">
        <f t="shared" si="235"/>
        <v/>
      </c>
      <c r="F2453" s="5" t="str">
        <f t="shared" si="236"/>
        <v/>
      </c>
      <c r="G2453" s="23"/>
      <c r="H2453" s="66"/>
      <c r="I2453" s="14"/>
      <c r="J2453" s="14"/>
      <c r="K2453" s="14"/>
      <c r="L2453" s="5" t="str">
        <f t="shared" si="237"/>
        <v/>
      </c>
      <c r="M2453" s="5" t="str">
        <f t="shared" si="238"/>
        <v/>
      </c>
      <c r="N2453" s="5" t="str">
        <f t="shared" si="239"/>
        <v/>
      </c>
      <c r="O2453" s="4"/>
    </row>
    <row r="2454" spans="1:15" x14ac:dyDescent="0.25">
      <c r="A2454" s="14"/>
      <c r="B2454" s="14"/>
      <c r="C2454" s="14"/>
      <c r="D2454" s="5" t="str">
        <f t="shared" si="234"/>
        <v/>
      </c>
      <c r="E2454" s="5" t="str">
        <f t="shared" si="235"/>
        <v/>
      </c>
      <c r="F2454" s="5" t="str">
        <f t="shared" si="236"/>
        <v/>
      </c>
      <c r="G2454" s="23"/>
      <c r="H2454" s="66"/>
      <c r="I2454" s="14"/>
      <c r="J2454" s="14"/>
      <c r="K2454" s="14"/>
      <c r="L2454" s="5" t="str">
        <f t="shared" si="237"/>
        <v/>
      </c>
      <c r="M2454" s="5" t="str">
        <f t="shared" si="238"/>
        <v/>
      </c>
      <c r="N2454" s="5" t="str">
        <f t="shared" si="239"/>
        <v/>
      </c>
      <c r="O2454" s="4"/>
    </row>
    <row r="2455" spans="1:15" x14ac:dyDescent="0.25">
      <c r="A2455" s="14"/>
      <c r="B2455" s="14"/>
      <c r="C2455" s="14"/>
      <c r="D2455" s="5" t="str">
        <f t="shared" si="234"/>
        <v/>
      </c>
      <c r="E2455" s="5" t="str">
        <f t="shared" si="235"/>
        <v/>
      </c>
      <c r="F2455" s="5" t="str">
        <f t="shared" si="236"/>
        <v/>
      </c>
      <c r="G2455" s="23"/>
      <c r="H2455" s="66"/>
      <c r="I2455" s="14"/>
      <c r="J2455" s="14"/>
      <c r="K2455" s="14"/>
      <c r="L2455" s="5" t="str">
        <f t="shared" si="237"/>
        <v/>
      </c>
      <c r="M2455" s="5" t="str">
        <f t="shared" si="238"/>
        <v/>
      </c>
      <c r="N2455" s="5" t="str">
        <f t="shared" si="239"/>
        <v/>
      </c>
      <c r="O2455" s="4"/>
    </row>
    <row r="2456" spans="1:15" x14ac:dyDescent="0.25">
      <c r="A2456" s="14"/>
      <c r="B2456" s="14"/>
      <c r="C2456" s="14"/>
      <c r="D2456" s="5" t="str">
        <f t="shared" si="234"/>
        <v/>
      </c>
      <c r="E2456" s="5" t="str">
        <f t="shared" si="235"/>
        <v/>
      </c>
      <c r="F2456" s="5" t="str">
        <f t="shared" si="236"/>
        <v/>
      </c>
      <c r="G2456" s="23"/>
      <c r="H2456" s="66"/>
      <c r="I2456" s="14"/>
      <c r="J2456" s="14"/>
      <c r="K2456" s="14"/>
      <c r="L2456" s="5" t="str">
        <f t="shared" si="237"/>
        <v/>
      </c>
      <c r="M2456" s="5" t="str">
        <f t="shared" si="238"/>
        <v/>
      </c>
      <c r="N2456" s="5" t="str">
        <f t="shared" si="239"/>
        <v/>
      </c>
      <c r="O2456" s="4"/>
    </row>
    <row r="2457" spans="1:15" x14ac:dyDescent="0.25">
      <c r="A2457" s="14"/>
      <c r="B2457" s="14"/>
      <c r="C2457" s="14"/>
      <c r="D2457" s="5" t="str">
        <f t="shared" ref="D2457:D2520" si="240">IFERROR( IF(A2457&lt;&gt;"",((B2457-B2456)*$X$4/(A2457-A2456))*$X$5,""),"")</f>
        <v/>
      </c>
      <c r="E2457" s="5" t="str">
        <f t="shared" ref="E2457:E2520" si="241">IFERROR(IF(A2457&lt;&gt;"",((C2457-C2456)*$X$4/(A2457-A2456))*$X$5,""),"")</f>
        <v/>
      </c>
      <c r="F2457" s="5" t="str">
        <f t="shared" ref="F2457:F2520" si="242">IFERROR(IF(A2457&lt;&gt;"",((ACOS((COS(RADIANS(B2456))*COS(RADIANS(B2457)))+(SIN(RADIANS(B2456))*SIN(RADIANS(B2457)))*COS(RADIANS(C2457-C2456)))*180/PI()*($X$4/(A2457-A2456))))*$X$5,""),"")</f>
        <v/>
      </c>
      <c r="G2457" s="23"/>
      <c r="H2457" s="66"/>
      <c r="I2457" s="14"/>
      <c r="J2457" s="14"/>
      <c r="K2457" s="14"/>
      <c r="L2457" s="5" t="str">
        <f t="shared" si="237"/>
        <v/>
      </c>
      <c r="M2457" s="5" t="str">
        <f t="shared" si="238"/>
        <v/>
      </c>
      <c r="N2457" s="5" t="str">
        <f t="shared" si="239"/>
        <v/>
      </c>
      <c r="O2457" s="4"/>
    </row>
    <row r="2458" spans="1:15" x14ac:dyDescent="0.25">
      <c r="A2458" s="14"/>
      <c r="B2458" s="14"/>
      <c r="C2458" s="14"/>
      <c r="D2458" s="5" t="str">
        <f t="shared" si="240"/>
        <v/>
      </c>
      <c r="E2458" s="5" t="str">
        <f t="shared" si="241"/>
        <v/>
      </c>
      <c r="F2458" s="5" t="str">
        <f t="shared" si="242"/>
        <v/>
      </c>
      <c r="G2458" s="23"/>
      <c r="H2458" s="66"/>
      <c r="I2458" s="14"/>
      <c r="J2458" s="14"/>
      <c r="K2458" s="14"/>
      <c r="L2458" s="5" t="str">
        <f t="shared" si="237"/>
        <v/>
      </c>
      <c r="M2458" s="5" t="str">
        <f t="shared" si="238"/>
        <v/>
      </c>
      <c r="N2458" s="5" t="str">
        <f t="shared" si="239"/>
        <v/>
      </c>
      <c r="O2458" s="4"/>
    </row>
    <row r="2459" spans="1:15" x14ac:dyDescent="0.25">
      <c r="A2459" s="14"/>
      <c r="B2459" s="14"/>
      <c r="C2459" s="14"/>
      <c r="D2459" s="5" t="str">
        <f t="shared" si="240"/>
        <v/>
      </c>
      <c r="E2459" s="5" t="str">
        <f t="shared" si="241"/>
        <v/>
      </c>
      <c r="F2459" s="5" t="str">
        <f t="shared" si="242"/>
        <v/>
      </c>
      <c r="G2459" s="23"/>
      <c r="H2459" s="66"/>
      <c r="I2459" s="14"/>
      <c r="J2459" s="14"/>
      <c r="K2459" s="14"/>
      <c r="L2459" s="5" t="str">
        <f t="shared" si="237"/>
        <v/>
      </c>
      <c r="M2459" s="5" t="str">
        <f t="shared" si="238"/>
        <v/>
      </c>
      <c r="N2459" s="5" t="str">
        <f t="shared" si="239"/>
        <v/>
      </c>
      <c r="O2459" s="4"/>
    </row>
    <row r="2460" spans="1:15" x14ac:dyDescent="0.25">
      <c r="A2460" s="14"/>
      <c r="B2460" s="14"/>
      <c r="C2460" s="14"/>
      <c r="D2460" s="5" t="str">
        <f t="shared" si="240"/>
        <v/>
      </c>
      <c r="E2460" s="5" t="str">
        <f t="shared" si="241"/>
        <v/>
      </c>
      <c r="F2460" s="5" t="str">
        <f t="shared" si="242"/>
        <v/>
      </c>
      <c r="G2460" s="23"/>
      <c r="H2460" s="66"/>
      <c r="I2460" s="14"/>
      <c r="J2460" s="14"/>
      <c r="K2460" s="14"/>
      <c r="L2460" s="5" t="str">
        <f t="shared" si="237"/>
        <v/>
      </c>
      <c r="M2460" s="5" t="str">
        <f t="shared" si="238"/>
        <v/>
      </c>
      <c r="N2460" s="5" t="str">
        <f t="shared" si="239"/>
        <v/>
      </c>
      <c r="O2460" s="4"/>
    </row>
    <row r="2461" spans="1:15" x14ac:dyDescent="0.25">
      <c r="A2461" s="14"/>
      <c r="B2461" s="14"/>
      <c r="C2461" s="14"/>
      <c r="D2461" s="5" t="str">
        <f t="shared" si="240"/>
        <v/>
      </c>
      <c r="E2461" s="5" t="str">
        <f t="shared" si="241"/>
        <v/>
      </c>
      <c r="F2461" s="5" t="str">
        <f t="shared" si="242"/>
        <v/>
      </c>
      <c r="G2461" s="23"/>
      <c r="H2461" s="66"/>
      <c r="I2461" s="14"/>
      <c r="J2461" s="14"/>
      <c r="K2461" s="14"/>
      <c r="L2461" s="5" t="str">
        <f t="shared" si="237"/>
        <v/>
      </c>
      <c r="M2461" s="5" t="str">
        <f t="shared" si="238"/>
        <v/>
      </c>
      <c r="N2461" s="5" t="str">
        <f t="shared" si="239"/>
        <v/>
      </c>
      <c r="O2461" s="4"/>
    </row>
    <row r="2462" spans="1:15" x14ac:dyDescent="0.25">
      <c r="A2462" s="14"/>
      <c r="B2462" s="14"/>
      <c r="C2462" s="14"/>
      <c r="D2462" s="5" t="str">
        <f t="shared" si="240"/>
        <v/>
      </c>
      <c r="E2462" s="5" t="str">
        <f t="shared" si="241"/>
        <v/>
      </c>
      <c r="F2462" s="5" t="str">
        <f t="shared" si="242"/>
        <v/>
      </c>
      <c r="G2462" s="23"/>
      <c r="H2462" s="66"/>
      <c r="I2462" s="14"/>
      <c r="J2462" s="14"/>
      <c r="K2462" s="14"/>
      <c r="L2462" s="5" t="str">
        <f t="shared" si="237"/>
        <v/>
      </c>
      <c r="M2462" s="5" t="str">
        <f t="shared" si="238"/>
        <v/>
      </c>
      <c r="N2462" s="5" t="str">
        <f t="shared" si="239"/>
        <v/>
      </c>
      <c r="O2462" s="4"/>
    </row>
    <row r="2463" spans="1:15" x14ac:dyDescent="0.25">
      <c r="A2463" s="14"/>
      <c r="B2463" s="14"/>
      <c r="C2463" s="14"/>
      <c r="D2463" s="5" t="str">
        <f t="shared" si="240"/>
        <v/>
      </c>
      <c r="E2463" s="5" t="str">
        <f t="shared" si="241"/>
        <v/>
      </c>
      <c r="F2463" s="5" t="str">
        <f t="shared" si="242"/>
        <v/>
      </c>
      <c r="G2463" s="23"/>
      <c r="H2463" s="66"/>
      <c r="I2463" s="14"/>
      <c r="J2463" s="14"/>
      <c r="K2463" s="14"/>
      <c r="L2463" s="5" t="str">
        <f t="shared" si="237"/>
        <v/>
      </c>
      <c r="M2463" s="5" t="str">
        <f t="shared" si="238"/>
        <v/>
      </c>
      <c r="N2463" s="5" t="str">
        <f t="shared" si="239"/>
        <v/>
      </c>
      <c r="O2463" s="4"/>
    </row>
    <row r="2464" spans="1:15" x14ac:dyDescent="0.25">
      <c r="A2464" s="14"/>
      <c r="B2464" s="14"/>
      <c r="C2464" s="14"/>
      <c r="D2464" s="5" t="str">
        <f t="shared" si="240"/>
        <v/>
      </c>
      <c r="E2464" s="5" t="str">
        <f t="shared" si="241"/>
        <v/>
      </c>
      <c r="F2464" s="5" t="str">
        <f t="shared" si="242"/>
        <v/>
      </c>
      <c r="G2464" s="23"/>
      <c r="H2464" s="66"/>
      <c r="I2464" s="14"/>
      <c r="J2464" s="14"/>
      <c r="K2464" s="14"/>
      <c r="L2464" s="5" t="str">
        <f t="shared" si="237"/>
        <v/>
      </c>
      <c r="M2464" s="5" t="str">
        <f t="shared" si="238"/>
        <v/>
      </c>
      <c r="N2464" s="5" t="str">
        <f t="shared" si="239"/>
        <v/>
      </c>
      <c r="O2464" s="4"/>
    </row>
    <row r="2465" spans="1:15" x14ac:dyDescent="0.25">
      <c r="A2465" s="14"/>
      <c r="B2465" s="14"/>
      <c r="C2465" s="14"/>
      <c r="D2465" s="5" t="str">
        <f t="shared" si="240"/>
        <v/>
      </c>
      <c r="E2465" s="5" t="str">
        <f t="shared" si="241"/>
        <v/>
      </c>
      <c r="F2465" s="5" t="str">
        <f t="shared" si="242"/>
        <v/>
      </c>
      <c r="G2465" s="23"/>
      <c r="H2465" s="66"/>
      <c r="I2465" s="14"/>
      <c r="J2465" s="14"/>
      <c r="K2465" s="14"/>
      <c r="L2465" s="5" t="str">
        <f t="shared" si="237"/>
        <v/>
      </c>
      <c r="M2465" s="5" t="str">
        <f t="shared" si="238"/>
        <v/>
      </c>
      <c r="N2465" s="5" t="str">
        <f t="shared" si="239"/>
        <v/>
      </c>
      <c r="O2465" s="4"/>
    </row>
    <row r="2466" spans="1:15" x14ac:dyDescent="0.25">
      <c r="A2466" s="14"/>
      <c r="B2466" s="14"/>
      <c r="C2466" s="14"/>
      <c r="D2466" s="5" t="str">
        <f t="shared" si="240"/>
        <v/>
      </c>
      <c r="E2466" s="5" t="str">
        <f t="shared" si="241"/>
        <v/>
      </c>
      <c r="F2466" s="5" t="str">
        <f t="shared" si="242"/>
        <v/>
      </c>
      <c r="G2466" s="23"/>
      <c r="H2466" s="66"/>
      <c r="I2466" s="14"/>
      <c r="J2466" s="14"/>
      <c r="K2466" s="14"/>
      <c r="L2466" s="5" t="str">
        <f t="shared" si="237"/>
        <v/>
      </c>
      <c r="M2466" s="5" t="str">
        <f t="shared" si="238"/>
        <v/>
      </c>
      <c r="N2466" s="5" t="str">
        <f t="shared" si="239"/>
        <v/>
      </c>
      <c r="O2466" s="4"/>
    </row>
    <row r="2467" spans="1:15" x14ac:dyDescent="0.25">
      <c r="A2467" s="14"/>
      <c r="B2467" s="14"/>
      <c r="C2467" s="14"/>
      <c r="D2467" s="5" t="str">
        <f t="shared" si="240"/>
        <v/>
      </c>
      <c r="E2467" s="5" t="str">
        <f t="shared" si="241"/>
        <v/>
      </c>
      <c r="F2467" s="5" t="str">
        <f t="shared" si="242"/>
        <v/>
      </c>
      <c r="G2467" s="23"/>
      <c r="H2467" s="66"/>
      <c r="I2467" s="14"/>
      <c r="J2467" s="14"/>
      <c r="K2467" s="14"/>
      <c r="L2467" s="5" t="str">
        <f t="shared" si="237"/>
        <v/>
      </c>
      <c r="M2467" s="5" t="str">
        <f t="shared" si="238"/>
        <v/>
      </c>
      <c r="N2467" s="5" t="str">
        <f t="shared" si="239"/>
        <v/>
      </c>
      <c r="O2467" s="4"/>
    </row>
    <row r="2468" spans="1:15" x14ac:dyDescent="0.25">
      <c r="A2468" s="14"/>
      <c r="B2468" s="14"/>
      <c r="C2468" s="14"/>
      <c r="D2468" s="5" t="str">
        <f t="shared" si="240"/>
        <v/>
      </c>
      <c r="E2468" s="5" t="str">
        <f t="shared" si="241"/>
        <v/>
      </c>
      <c r="F2468" s="5" t="str">
        <f t="shared" si="242"/>
        <v/>
      </c>
      <c r="G2468" s="23"/>
      <c r="H2468" s="66"/>
      <c r="I2468" s="14"/>
      <c r="J2468" s="14"/>
      <c r="K2468" s="14"/>
      <c r="L2468" s="5" t="str">
        <f t="shared" si="237"/>
        <v/>
      </c>
      <c r="M2468" s="5" t="str">
        <f t="shared" si="238"/>
        <v/>
      </c>
      <c r="N2468" s="5" t="str">
        <f t="shared" si="239"/>
        <v/>
      </c>
      <c r="O2468" s="4"/>
    </row>
    <row r="2469" spans="1:15" x14ac:dyDescent="0.25">
      <c r="A2469" s="14"/>
      <c r="B2469" s="14"/>
      <c r="C2469" s="14"/>
      <c r="D2469" s="5" t="str">
        <f t="shared" si="240"/>
        <v/>
      </c>
      <c r="E2469" s="5" t="str">
        <f t="shared" si="241"/>
        <v/>
      </c>
      <c r="F2469" s="5" t="str">
        <f t="shared" si="242"/>
        <v/>
      </c>
      <c r="G2469" s="23"/>
      <c r="H2469" s="66"/>
      <c r="I2469" s="14"/>
      <c r="J2469" s="14"/>
      <c r="K2469" s="14"/>
      <c r="L2469" s="5" t="str">
        <f t="shared" si="237"/>
        <v/>
      </c>
      <c r="M2469" s="5" t="str">
        <f t="shared" si="238"/>
        <v/>
      </c>
      <c r="N2469" s="5" t="str">
        <f t="shared" si="239"/>
        <v/>
      </c>
      <c r="O2469" s="4"/>
    </row>
    <row r="2470" spans="1:15" x14ac:dyDescent="0.25">
      <c r="A2470" s="14"/>
      <c r="B2470" s="14"/>
      <c r="C2470" s="14"/>
      <c r="D2470" s="5" t="str">
        <f t="shared" si="240"/>
        <v/>
      </c>
      <c r="E2470" s="5" t="str">
        <f t="shared" si="241"/>
        <v/>
      </c>
      <c r="F2470" s="5" t="str">
        <f t="shared" si="242"/>
        <v/>
      </c>
      <c r="G2470" s="23"/>
      <c r="H2470" s="66"/>
      <c r="I2470" s="14"/>
      <c r="J2470" s="14"/>
      <c r="K2470" s="14"/>
      <c r="L2470" s="5" t="str">
        <f t="shared" si="237"/>
        <v/>
      </c>
      <c r="M2470" s="5" t="str">
        <f t="shared" si="238"/>
        <v/>
      </c>
      <c r="N2470" s="5" t="str">
        <f t="shared" si="239"/>
        <v/>
      </c>
      <c r="O2470" s="4"/>
    </row>
    <row r="2471" spans="1:15" x14ac:dyDescent="0.25">
      <c r="A2471" s="14"/>
      <c r="B2471" s="14"/>
      <c r="C2471" s="14"/>
      <c r="D2471" s="5" t="str">
        <f t="shared" si="240"/>
        <v/>
      </c>
      <c r="E2471" s="5" t="str">
        <f t="shared" si="241"/>
        <v/>
      </c>
      <c r="F2471" s="5" t="str">
        <f t="shared" si="242"/>
        <v/>
      </c>
      <c r="G2471" s="23"/>
      <c r="H2471" s="66"/>
      <c r="I2471" s="14"/>
      <c r="J2471" s="14"/>
      <c r="K2471" s="14"/>
      <c r="L2471" s="5" t="str">
        <f t="shared" si="237"/>
        <v/>
      </c>
      <c r="M2471" s="5" t="str">
        <f t="shared" si="238"/>
        <v/>
      </c>
      <c r="N2471" s="5" t="str">
        <f t="shared" si="239"/>
        <v/>
      </c>
      <c r="O2471" s="4"/>
    </row>
    <row r="2472" spans="1:15" x14ac:dyDescent="0.25">
      <c r="A2472" s="14"/>
      <c r="B2472" s="14"/>
      <c r="C2472" s="14"/>
      <c r="D2472" s="5" t="str">
        <f t="shared" si="240"/>
        <v/>
      </c>
      <c r="E2472" s="5" t="str">
        <f t="shared" si="241"/>
        <v/>
      </c>
      <c r="F2472" s="5" t="str">
        <f t="shared" si="242"/>
        <v/>
      </c>
      <c r="G2472" s="23"/>
      <c r="H2472" s="66"/>
      <c r="I2472" s="14"/>
      <c r="J2472" s="14"/>
      <c r="K2472" s="14"/>
      <c r="L2472" s="5" t="str">
        <f t="shared" si="237"/>
        <v/>
      </c>
      <c r="M2472" s="5" t="str">
        <f t="shared" si="238"/>
        <v/>
      </c>
      <c r="N2472" s="5" t="str">
        <f t="shared" si="239"/>
        <v/>
      </c>
      <c r="O2472" s="4"/>
    </row>
    <row r="2473" spans="1:15" x14ac:dyDescent="0.25">
      <c r="A2473" s="14"/>
      <c r="B2473" s="14"/>
      <c r="C2473" s="14"/>
      <c r="D2473" s="5" t="str">
        <f t="shared" si="240"/>
        <v/>
      </c>
      <c r="E2473" s="5" t="str">
        <f t="shared" si="241"/>
        <v/>
      </c>
      <c r="F2473" s="5" t="str">
        <f t="shared" si="242"/>
        <v/>
      </c>
      <c r="G2473" s="23"/>
      <c r="H2473" s="66"/>
      <c r="I2473" s="14"/>
      <c r="J2473" s="14"/>
      <c r="K2473" s="14"/>
      <c r="L2473" s="5" t="str">
        <f t="shared" si="237"/>
        <v/>
      </c>
      <c r="M2473" s="5" t="str">
        <f t="shared" si="238"/>
        <v/>
      </c>
      <c r="N2473" s="5" t="str">
        <f t="shared" si="239"/>
        <v/>
      </c>
      <c r="O2473" s="4"/>
    </row>
    <row r="2474" spans="1:15" x14ac:dyDescent="0.25">
      <c r="A2474" s="14"/>
      <c r="B2474" s="14"/>
      <c r="C2474" s="14"/>
      <c r="D2474" s="5" t="str">
        <f t="shared" si="240"/>
        <v/>
      </c>
      <c r="E2474" s="5" t="str">
        <f t="shared" si="241"/>
        <v/>
      </c>
      <c r="F2474" s="5" t="str">
        <f t="shared" si="242"/>
        <v/>
      </c>
      <c r="G2474" s="23"/>
      <c r="H2474" s="66"/>
      <c r="I2474" s="14"/>
      <c r="J2474" s="14"/>
      <c r="K2474" s="14"/>
      <c r="L2474" s="5" t="str">
        <f t="shared" si="237"/>
        <v/>
      </c>
      <c r="M2474" s="5" t="str">
        <f t="shared" si="238"/>
        <v/>
      </c>
      <c r="N2474" s="5" t="str">
        <f t="shared" si="239"/>
        <v/>
      </c>
      <c r="O2474" s="4"/>
    </row>
    <row r="2475" spans="1:15" x14ac:dyDescent="0.25">
      <c r="A2475" s="14"/>
      <c r="B2475" s="14"/>
      <c r="C2475" s="14"/>
      <c r="D2475" s="5" t="str">
        <f t="shared" si="240"/>
        <v/>
      </c>
      <c r="E2475" s="5" t="str">
        <f t="shared" si="241"/>
        <v/>
      </c>
      <c r="F2475" s="5" t="str">
        <f t="shared" si="242"/>
        <v/>
      </c>
      <c r="G2475" s="23"/>
      <c r="H2475" s="66"/>
      <c r="I2475" s="14"/>
      <c r="J2475" s="14"/>
      <c r="K2475" s="14"/>
      <c r="L2475" s="5" t="str">
        <f t="shared" si="237"/>
        <v/>
      </c>
      <c r="M2475" s="5" t="str">
        <f t="shared" si="238"/>
        <v/>
      </c>
      <c r="N2475" s="5" t="str">
        <f t="shared" si="239"/>
        <v/>
      </c>
      <c r="O2475" s="4"/>
    </row>
    <row r="2476" spans="1:15" x14ac:dyDescent="0.25">
      <c r="A2476" s="14"/>
      <c r="B2476" s="14"/>
      <c r="C2476" s="14"/>
      <c r="D2476" s="5" t="str">
        <f t="shared" si="240"/>
        <v/>
      </c>
      <c r="E2476" s="5" t="str">
        <f t="shared" si="241"/>
        <v/>
      </c>
      <c r="F2476" s="5" t="str">
        <f t="shared" si="242"/>
        <v/>
      </c>
      <c r="G2476" s="23"/>
      <c r="H2476" s="66"/>
      <c r="I2476" s="14"/>
      <c r="J2476" s="14"/>
      <c r="K2476" s="14"/>
      <c r="L2476" s="5" t="str">
        <f t="shared" si="237"/>
        <v/>
      </c>
      <c r="M2476" s="5" t="str">
        <f t="shared" si="238"/>
        <v/>
      </c>
      <c r="N2476" s="5" t="str">
        <f t="shared" si="239"/>
        <v/>
      </c>
      <c r="O2476" s="4"/>
    </row>
    <row r="2477" spans="1:15" x14ac:dyDescent="0.25">
      <c r="A2477" s="14"/>
      <c r="B2477" s="14"/>
      <c r="C2477" s="14"/>
      <c r="D2477" s="5" t="str">
        <f t="shared" si="240"/>
        <v/>
      </c>
      <c r="E2477" s="5" t="str">
        <f t="shared" si="241"/>
        <v/>
      </c>
      <c r="F2477" s="5" t="str">
        <f t="shared" si="242"/>
        <v/>
      </c>
      <c r="G2477" s="23"/>
      <c r="H2477" s="66"/>
      <c r="I2477" s="14"/>
      <c r="J2477" s="14"/>
      <c r="K2477" s="14"/>
      <c r="L2477" s="5" t="str">
        <f t="shared" si="237"/>
        <v/>
      </c>
      <c r="M2477" s="5" t="str">
        <f t="shared" si="238"/>
        <v/>
      </c>
      <c r="N2477" s="5" t="str">
        <f t="shared" si="239"/>
        <v/>
      </c>
      <c r="O2477" s="4"/>
    </row>
    <row r="2478" spans="1:15" x14ac:dyDescent="0.25">
      <c r="A2478" s="14"/>
      <c r="B2478" s="14"/>
      <c r="C2478" s="14"/>
      <c r="D2478" s="5" t="str">
        <f t="shared" si="240"/>
        <v/>
      </c>
      <c r="E2478" s="5" t="str">
        <f t="shared" si="241"/>
        <v/>
      </c>
      <c r="F2478" s="5" t="str">
        <f t="shared" si="242"/>
        <v/>
      </c>
      <c r="G2478" s="23"/>
      <c r="H2478" s="66"/>
      <c r="I2478" s="14"/>
      <c r="J2478" s="14"/>
      <c r="K2478" s="14"/>
      <c r="L2478" s="5" t="str">
        <f t="shared" si="237"/>
        <v/>
      </c>
      <c r="M2478" s="5" t="str">
        <f t="shared" si="238"/>
        <v/>
      </c>
      <c r="N2478" s="5" t="str">
        <f t="shared" si="239"/>
        <v/>
      </c>
      <c r="O2478" s="4"/>
    </row>
    <row r="2479" spans="1:15" x14ac:dyDescent="0.25">
      <c r="A2479" s="14"/>
      <c r="B2479" s="14"/>
      <c r="C2479" s="14"/>
      <c r="D2479" s="5" t="str">
        <f t="shared" si="240"/>
        <v/>
      </c>
      <c r="E2479" s="5" t="str">
        <f t="shared" si="241"/>
        <v/>
      </c>
      <c r="F2479" s="5" t="str">
        <f t="shared" si="242"/>
        <v/>
      </c>
      <c r="G2479" s="23"/>
      <c r="H2479" s="66"/>
      <c r="I2479" s="14"/>
      <c r="J2479" s="14"/>
      <c r="K2479" s="14"/>
      <c r="L2479" s="5" t="str">
        <f t="shared" si="237"/>
        <v/>
      </c>
      <c r="M2479" s="5" t="str">
        <f t="shared" si="238"/>
        <v/>
      </c>
      <c r="N2479" s="5" t="str">
        <f t="shared" si="239"/>
        <v/>
      </c>
      <c r="O2479" s="4"/>
    </row>
    <row r="2480" spans="1:15" x14ac:dyDescent="0.25">
      <c r="A2480" s="14"/>
      <c r="B2480" s="14"/>
      <c r="C2480" s="14"/>
      <c r="D2480" s="5" t="str">
        <f t="shared" si="240"/>
        <v/>
      </c>
      <c r="E2480" s="5" t="str">
        <f t="shared" si="241"/>
        <v/>
      </c>
      <c r="F2480" s="5" t="str">
        <f t="shared" si="242"/>
        <v/>
      </c>
      <c r="G2480" s="23"/>
      <c r="H2480" s="66"/>
      <c r="I2480" s="14"/>
      <c r="J2480" s="14"/>
      <c r="K2480" s="14"/>
      <c r="L2480" s="5" t="str">
        <f t="shared" si="237"/>
        <v/>
      </c>
      <c r="M2480" s="5" t="str">
        <f t="shared" si="238"/>
        <v/>
      </c>
      <c r="N2480" s="5" t="str">
        <f t="shared" si="239"/>
        <v/>
      </c>
      <c r="O2480" s="4"/>
    </row>
    <row r="2481" spans="1:15" x14ac:dyDescent="0.25">
      <c r="A2481" s="14"/>
      <c r="B2481" s="14"/>
      <c r="C2481" s="14"/>
      <c r="D2481" s="5" t="str">
        <f t="shared" si="240"/>
        <v/>
      </c>
      <c r="E2481" s="5" t="str">
        <f t="shared" si="241"/>
        <v/>
      </c>
      <c r="F2481" s="5" t="str">
        <f t="shared" si="242"/>
        <v/>
      </c>
      <c r="G2481" s="23"/>
      <c r="H2481" s="66"/>
      <c r="I2481" s="14"/>
      <c r="J2481" s="14"/>
      <c r="K2481" s="14"/>
      <c r="L2481" s="5" t="str">
        <f t="shared" si="237"/>
        <v/>
      </c>
      <c r="M2481" s="5" t="str">
        <f t="shared" si="238"/>
        <v/>
      </c>
      <c r="N2481" s="5" t="str">
        <f t="shared" si="239"/>
        <v/>
      </c>
      <c r="O2481" s="4"/>
    </row>
    <row r="2482" spans="1:15" x14ac:dyDescent="0.25">
      <c r="A2482" s="14"/>
      <c r="B2482" s="14"/>
      <c r="C2482" s="14"/>
      <c r="D2482" s="5" t="str">
        <f t="shared" si="240"/>
        <v/>
      </c>
      <c r="E2482" s="5" t="str">
        <f t="shared" si="241"/>
        <v/>
      </c>
      <c r="F2482" s="5" t="str">
        <f t="shared" si="242"/>
        <v/>
      </c>
      <c r="G2482" s="23"/>
      <c r="H2482" s="66"/>
      <c r="I2482" s="14"/>
      <c r="J2482" s="14"/>
      <c r="K2482" s="14"/>
      <c r="L2482" s="5" t="str">
        <f t="shared" si="237"/>
        <v/>
      </c>
      <c r="M2482" s="5" t="str">
        <f t="shared" si="238"/>
        <v/>
      </c>
      <c r="N2482" s="5" t="str">
        <f t="shared" si="239"/>
        <v/>
      </c>
      <c r="O2482" s="4"/>
    </row>
    <row r="2483" spans="1:15" x14ac:dyDescent="0.25">
      <c r="A2483" s="14"/>
      <c r="B2483" s="14"/>
      <c r="C2483" s="14"/>
      <c r="D2483" s="5" t="str">
        <f t="shared" si="240"/>
        <v/>
      </c>
      <c r="E2483" s="5" t="str">
        <f t="shared" si="241"/>
        <v/>
      </c>
      <c r="F2483" s="5" t="str">
        <f t="shared" si="242"/>
        <v/>
      </c>
      <c r="G2483" s="23"/>
      <c r="H2483" s="66"/>
      <c r="I2483" s="14"/>
      <c r="J2483" s="14"/>
      <c r="K2483" s="14"/>
      <c r="L2483" s="5" t="str">
        <f t="shared" si="237"/>
        <v/>
      </c>
      <c r="M2483" s="5" t="str">
        <f t="shared" si="238"/>
        <v/>
      </c>
      <c r="N2483" s="5" t="str">
        <f t="shared" si="239"/>
        <v/>
      </c>
      <c r="O2483" s="4"/>
    </row>
    <row r="2484" spans="1:15" x14ac:dyDescent="0.25">
      <c r="A2484" s="14"/>
      <c r="B2484" s="14"/>
      <c r="C2484" s="14"/>
      <c r="D2484" s="5" t="str">
        <f t="shared" si="240"/>
        <v/>
      </c>
      <c r="E2484" s="5" t="str">
        <f t="shared" si="241"/>
        <v/>
      </c>
      <c r="F2484" s="5" t="str">
        <f t="shared" si="242"/>
        <v/>
      </c>
      <c r="G2484" s="23"/>
      <c r="H2484" s="66"/>
      <c r="I2484" s="14"/>
      <c r="J2484" s="14"/>
      <c r="K2484" s="14"/>
      <c r="L2484" s="5" t="str">
        <f t="shared" si="237"/>
        <v/>
      </c>
      <c r="M2484" s="5" t="str">
        <f t="shared" si="238"/>
        <v/>
      </c>
      <c r="N2484" s="5" t="str">
        <f t="shared" si="239"/>
        <v/>
      </c>
      <c r="O2484" s="4"/>
    </row>
    <row r="2485" spans="1:15" x14ac:dyDescent="0.25">
      <c r="A2485" s="14"/>
      <c r="B2485" s="14"/>
      <c r="C2485" s="14"/>
      <c r="D2485" s="5" t="str">
        <f t="shared" si="240"/>
        <v/>
      </c>
      <c r="E2485" s="5" t="str">
        <f t="shared" si="241"/>
        <v/>
      </c>
      <c r="F2485" s="5" t="str">
        <f t="shared" si="242"/>
        <v/>
      </c>
      <c r="G2485" s="23"/>
      <c r="H2485" s="66"/>
      <c r="I2485" s="14"/>
      <c r="J2485" s="14"/>
      <c r="K2485" s="14"/>
      <c r="L2485" s="5" t="str">
        <f t="shared" si="237"/>
        <v/>
      </c>
      <c r="M2485" s="5" t="str">
        <f t="shared" si="238"/>
        <v/>
      </c>
      <c r="N2485" s="5" t="str">
        <f t="shared" si="239"/>
        <v/>
      </c>
      <c r="O2485" s="4"/>
    </row>
    <row r="2486" spans="1:15" x14ac:dyDescent="0.25">
      <c r="A2486" s="14"/>
      <c r="B2486" s="14"/>
      <c r="C2486" s="14"/>
      <c r="D2486" s="5" t="str">
        <f t="shared" si="240"/>
        <v/>
      </c>
      <c r="E2486" s="5" t="str">
        <f t="shared" si="241"/>
        <v/>
      </c>
      <c r="F2486" s="5" t="str">
        <f t="shared" si="242"/>
        <v/>
      </c>
      <c r="G2486" s="23"/>
      <c r="H2486" s="66"/>
      <c r="I2486" s="14"/>
      <c r="J2486" s="14"/>
      <c r="K2486" s="14"/>
      <c r="L2486" s="5" t="str">
        <f t="shared" si="237"/>
        <v/>
      </c>
      <c r="M2486" s="5" t="str">
        <f t="shared" si="238"/>
        <v/>
      </c>
      <c r="N2486" s="5" t="str">
        <f t="shared" si="239"/>
        <v/>
      </c>
      <c r="O2486" s="4"/>
    </row>
    <row r="2487" spans="1:15" x14ac:dyDescent="0.25">
      <c r="A2487" s="14"/>
      <c r="B2487" s="14"/>
      <c r="C2487" s="14"/>
      <c r="D2487" s="5" t="str">
        <f t="shared" si="240"/>
        <v/>
      </c>
      <c r="E2487" s="5" t="str">
        <f t="shared" si="241"/>
        <v/>
      </c>
      <c r="F2487" s="5" t="str">
        <f t="shared" si="242"/>
        <v/>
      </c>
      <c r="G2487" s="23"/>
      <c r="H2487" s="66"/>
      <c r="I2487" s="14"/>
      <c r="J2487" s="14"/>
      <c r="K2487" s="14"/>
      <c r="L2487" s="5" t="str">
        <f t="shared" si="237"/>
        <v/>
      </c>
      <c r="M2487" s="5" t="str">
        <f t="shared" si="238"/>
        <v/>
      </c>
      <c r="N2487" s="5" t="str">
        <f t="shared" si="239"/>
        <v/>
      </c>
      <c r="O2487" s="4"/>
    </row>
    <row r="2488" spans="1:15" x14ac:dyDescent="0.25">
      <c r="A2488" s="14"/>
      <c r="B2488" s="14"/>
      <c r="C2488" s="14"/>
      <c r="D2488" s="5" t="str">
        <f t="shared" si="240"/>
        <v/>
      </c>
      <c r="E2488" s="5" t="str">
        <f t="shared" si="241"/>
        <v/>
      </c>
      <c r="F2488" s="5" t="str">
        <f t="shared" si="242"/>
        <v/>
      </c>
      <c r="G2488" s="23"/>
      <c r="H2488" s="66"/>
      <c r="I2488" s="14"/>
      <c r="J2488" s="14"/>
      <c r="K2488" s="14"/>
      <c r="L2488" s="5" t="str">
        <f t="shared" si="237"/>
        <v/>
      </c>
      <c r="M2488" s="5" t="str">
        <f t="shared" si="238"/>
        <v/>
      </c>
      <c r="N2488" s="5" t="str">
        <f t="shared" si="239"/>
        <v/>
      </c>
      <c r="O2488" s="4"/>
    </row>
    <row r="2489" spans="1:15" x14ac:dyDescent="0.25">
      <c r="A2489" s="14"/>
      <c r="B2489" s="14"/>
      <c r="C2489" s="14"/>
      <c r="D2489" s="5" t="str">
        <f t="shared" si="240"/>
        <v/>
      </c>
      <c r="E2489" s="5" t="str">
        <f t="shared" si="241"/>
        <v/>
      </c>
      <c r="F2489" s="5" t="str">
        <f t="shared" si="242"/>
        <v/>
      </c>
      <c r="G2489" s="23"/>
      <c r="H2489" s="66"/>
      <c r="I2489" s="14"/>
      <c r="J2489" s="14"/>
      <c r="K2489" s="14"/>
      <c r="L2489" s="5" t="str">
        <f t="shared" si="237"/>
        <v/>
      </c>
      <c r="M2489" s="5" t="str">
        <f t="shared" si="238"/>
        <v/>
      </c>
      <c r="N2489" s="5" t="str">
        <f t="shared" si="239"/>
        <v/>
      </c>
      <c r="O2489" s="4"/>
    </row>
    <row r="2490" spans="1:15" x14ac:dyDescent="0.25">
      <c r="A2490" s="14"/>
      <c r="B2490" s="14"/>
      <c r="C2490" s="14"/>
      <c r="D2490" s="5" t="str">
        <f t="shared" si="240"/>
        <v/>
      </c>
      <c r="E2490" s="5" t="str">
        <f t="shared" si="241"/>
        <v/>
      </c>
      <c r="F2490" s="5" t="str">
        <f t="shared" si="242"/>
        <v/>
      </c>
      <c r="G2490" s="23"/>
      <c r="H2490" s="66"/>
      <c r="I2490" s="14"/>
      <c r="J2490" s="14"/>
      <c r="K2490" s="14"/>
      <c r="L2490" s="5" t="str">
        <f t="shared" si="237"/>
        <v/>
      </c>
      <c r="M2490" s="5" t="str">
        <f t="shared" si="238"/>
        <v/>
      </c>
      <c r="N2490" s="5" t="str">
        <f t="shared" si="239"/>
        <v/>
      </c>
      <c r="O2490" s="4"/>
    </row>
    <row r="2491" spans="1:15" x14ac:dyDescent="0.25">
      <c r="A2491" s="14"/>
      <c r="B2491" s="14"/>
      <c r="C2491" s="14"/>
      <c r="D2491" s="5" t="str">
        <f t="shared" si="240"/>
        <v/>
      </c>
      <c r="E2491" s="5" t="str">
        <f t="shared" si="241"/>
        <v/>
      </c>
      <c r="F2491" s="5" t="str">
        <f t="shared" si="242"/>
        <v/>
      </c>
      <c r="G2491" s="23"/>
      <c r="H2491" s="66"/>
      <c r="I2491" s="14"/>
      <c r="J2491" s="14"/>
      <c r="K2491" s="14"/>
      <c r="L2491" s="5" t="str">
        <f t="shared" si="237"/>
        <v/>
      </c>
      <c r="M2491" s="5" t="str">
        <f t="shared" si="238"/>
        <v/>
      </c>
      <c r="N2491" s="5" t="str">
        <f t="shared" si="239"/>
        <v/>
      </c>
      <c r="O2491" s="4"/>
    </row>
    <row r="2492" spans="1:15" x14ac:dyDescent="0.25">
      <c r="A2492" s="14"/>
      <c r="B2492" s="14"/>
      <c r="C2492" s="14"/>
      <c r="D2492" s="5" t="str">
        <f t="shared" si="240"/>
        <v/>
      </c>
      <c r="E2492" s="5" t="str">
        <f t="shared" si="241"/>
        <v/>
      </c>
      <c r="F2492" s="5" t="str">
        <f t="shared" si="242"/>
        <v/>
      </c>
      <c r="G2492" s="23"/>
      <c r="H2492" s="66"/>
      <c r="I2492" s="14"/>
      <c r="J2492" s="14"/>
      <c r="K2492" s="14"/>
      <c r="L2492" s="5" t="str">
        <f t="shared" si="237"/>
        <v/>
      </c>
      <c r="M2492" s="5" t="str">
        <f t="shared" si="238"/>
        <v/>
      </c>
      <c r="N2492" s="5" t="str">
        <f t="shared" si="239"/>
        <v/>
      </c>
      <c r="O2492" s="4"/>
    </row>
    <row r="2493" spans="1:15" x14ac:dyDescent="0.25">
      <c r="A2493" s="14"/>
      <c r="B2493" s="14"/>
      <c r="C2493" s="14"/>
      <c r="D2493" s="5" t="str">
        <f t="shared" si="240"/>
        <v/>
      </c>
      <c r="E2493" s="5" t="str">
        <f t="shared" si="241"/>
        <v/>
      </c>
      <c r="F2493" s="5" t="str">
        <f t="shared" si="242"/>
        <v/>
      </c>
      <c r="G2493" s="23"/>
      <c r="H2493" s="66"/>
      <c r="I2493" s="14"/>
      <c r="J2493" s="14"/>
      <c r="K2493" s="14"/>
      <c r="L2493" s="5" t="str">
        <f t="shared" si="237"/>
        <v/>
      </c>
      <c r="M2493" s="5" t="str">
        <f t="shared" si="238"/>
        <v/>
      </c>
      <c r="N2493" s="5" t="str">
        <f t="shared" si="239"/>
        <v/>
      </c>
      <c r="O2493" s="4"/>
    </row>
    <row r="2494" spans="1:15" x14ac:dyDescent="0.25">
      <c r="A2494" s="14"/>
      <c r="B2494" s="14"/>
      <c r="C2494" s="14"/>
      <c r="D2494" s="5" t="str">
        <f t="shared" si="240"/>
        <v/>
      </c>
      <c r="E2494" s="5" t="str">
        <f t="shared" si="241"/>
        <v/>
      </c>
      <c r="F2494" s="5" t="str">
        <f t="shared" si="242"/>
        <v/>
      </c>
      <c r="G2494" s="23"/>
      <c r="H2494" s="66"/>
      <c r="I2494" s="14"/>
      <c r="J2494" s="14"/>
      <c r="K2494" s="14"/>
      <c r="L2494" s="5" t="str">
        <f t="shared" si="237"/>
        <v/>
      </c>
      <c r="M2494" s="5" t="str">
        <f t="shared" si="238"/>
        <v/>
      </c>
      <c r="N2494" s="5" t="str">
        <f t="shared" si="239"/>
        <v/>
      </c>
      <c r="O2494" s="4"/>
    </row>
    <row r="2495" spans="1:15" x14ac:dyDescent="0.25">
      <c r="A2495" s="14"/>
      <c r="B2495" s="14"/>
      <c r="C2495" s="14"/>
      <c r="D2495" s="5" t="str">
        <f t="shared" si="240"/>
        <v/>
      </c>
      <c r="E2495" s="5" t="str">
        <f t="shared" si="241"/>
        <v/>
      </c>
      <c r="F2495" s="5" t="str">
        <f t="shared" si="242"/>
        <v/>
      </c>
      <c r="G2495" s="23"/>
      <c r="H2495" s="66"/>
      <c r="I2495" s="14"/>
      <c r="J2495" s="14"/>
      <c r="K2495" s="14"/>
      <c r="L2495" s="5" t="str">
        <f t="shared" si="237"/>
        <v/>
      </c>
      <c r="M2495" s="5" t="str">
        <f t="shared" si="238"/>
        <v/>
      </c>
      <c r="N2495" s="5" t="str">
        <f t="shared" si="239"/>
        <v/>
      </c>
      <c r="O2495" s="4"/>
    </row>
    <row r="2496" spans="1:15" x14ac:dyDescent="0.25">
      <c r="A2496" s="14"/>
      <c r="B2496" s="14"/>
      <c r="C2496" s="14"/>
      <c r="D2496" s="5" t="str">
        <f t="shared" si="240"/>
        <v/>
      </c>
      <c r="E2496" s="5" t="str">
        <f t="shared" si="241"/>
        <v/>
      </c>
      <c r="F2496" s="5" t="str">
        <f t="shared" si="242"/>
        <v/>
      </c>
      <c r="G2496" s="23"/>
      <c r="H2496" s="66"/>
      <c r="I2496" s="14"/>
      <c r="J2496" s="14"/>
      <c r="K2496" s="14"/>
      <c r="L2496" s="5" t="str">
        <f t="shared" si="237"/>
        <v/>
      </c>
      <c r="M2496" s="5" t="str">
        <f t="shared" si="238"/>
        <v/>
      </c>
      <c r="N2496" s="5" t="str">
        <f t="shared" si="239"/>
        <v/>
      </c>
      <c r="O2496" s="4"/>
    </row>
    <row r="2497" spans="1:15" x14ac:dyDescent="0.25">
      <c r="A2497" s="14"/>
      <c r="B2497" s="14"/>
      <c r="C2497" s="14"/>
      <c r="D2497" s="5" t="str">
        <f t="shared" si="240"/>
        <v/>
      </c>
      <c r="E2497" s="5" t="str">
        <f t="shared" si="241"/>
        <v/>
      </c>
      <c r="F2497" s="5" t="str">
        <f t="shared" si="242"/>
        <v/>
      </c>
      <c r="G2497" s="23"/>
      <c r="H2497" s="66"/>
      <c r="I2497" s="14"/>
      <c r="J2497" s="14"/>
      <c r="K2497" s="14"/>
      <c r="L2497" s="5" t="str">
        <f t="shared" si="237"/>
        <v/>
      </c>
      <c r="M2497" s="5" t="str">
        <f t="shared" si="238"/>
        <v/>
      </c>
      <c r="N2497" s="5" t="str">
        <f t="shared" si="239"/>
        <v/>
      </c>
      <c r="O2497" s="4"/>
    </row>
    <row r="2498" spans="1:15" x14ac:dyDescent="0.25">
      <c r="A2498" s="14"/>
      <c r="B2498" s="14"/>
      <c r="C2498" s="14"/>
      <c r="D2498" s="5" t="str">
        <f t="shared" si="240"/>
        <v/>
      </c>
      <c r="E2498" s="5" t="str">
        <f t="shared" si="241"/>
        <v/>
      </c>
      <c r="F2498" s="5" t="str">
        <f t="shared" si="242"/>
        <v/>
      </c>
      <c r="G2498" s="23"/>
      <c r="H2498" s="66"/>
      <c r="I2498" s="14"/>
      <c r="J2498" s="14"/>
      <c r="K2498" s="14"/>
      <c r="L2498" s="5" t="str">
        <f t="shared" si="237"/>
        <v/>
      </c>
      <c r="M2498" s="5" t="str">
        <f t="shared" si="238"/>
        <v/>
      </c>
      <c r="N2498" s="5" t="str">
        <f t="shared" si="239"/>
        <v/>
      </c>
      <c r="O2498" s="4"/>
    </row>
    <row r="2499" spans="1:15" x14ac:dyDescent="0.25">
      <c r="A2499" s="14"/>
      <c r="B2499" s="14"/>
      <c r="C2499" s="14"/>
      <c r="D2499" s="5" t="str">
        <f t="shared" si="240"/>
        <v/>
      </c>
      <c r="E2499" s="5" t="str">
        <f t="shared" si="241"/>
        <v/>
      </c>
      <c r="F2499" s="5" t="str">
        <f t="shared" si="242"/>
        <v/>
      </c>
      <c r="G2499" s="23"/>
      <c r="H2499" s="66"/>
      <c r="I2499" s="14"/>
      <c r="J2499" s="14"/>
      <c r="K2499" s="14"/>
      <c r="L2499" s="5" t="str">
        <f t="shared" si="237"/>
        <v/>
      </c>
      <c r="M2499" s="5" t="str">
        <f t="shared" si="238"/>
        <v/>
      </c>
      <c r="N2499" s="5" t="str">
        <f t="shared" si="239"/>
        <v/>
      </c>
      <c r="O2499" s="4"/>
    </row>
    <row r="2500" spans="1:15" x14ac:dyDescent="0.25">
      <c r="A2500" s="14"/>
      <c r="B2500" s="14"/>
      <c r="C2500" s="14"/>
      <c r="D2500" s="5" t="str">
        <f t="shared" si="240"/>
        <v/>
      </c>
      <c r="E2500" s="5" t="str">
        <f t="shared" si="241"/>
        <v/>
      </c>
      <c r="F2500" s="5" t="str">
        <f t="shared" si="242"/>
        <v/>
      </c>
      <c r="G2500" s="23"/>
      <c r="H2500" s="66"/>
      <c r="I2500" s="14"/>
      <c r="J2500" s="14"/>
      <c r="K2500" s="14"/>
      <c r="L2500" s="5" t="str">
        <f t="shared" si="237"/>
        <v/>
      </c>
      <c r="M2500" s="5" t="str">
        <f t="shared" si="238"/>
        <v/>
      </c>
      <c r="N2500" s="5" t="str">
        <f t="shared" si="239"/>
        <v/>
      </c>
      <c r="O2500" s="4"/>
    </row>
    <row r="2501" spans="1:15" x14ac:dyDescent="0.25">
      <c r="A2501" s="14"/>
      <c r="B2501" s="14"/>
      <c r="C2501" s="14"/>
      <c r="D2501" s="5" t="str">
        <f t="shared" si="240"/>
        <v/>
      </c>
      <c r="E2501" s="5" t="str">
        <f t="shared" si="241"/>
        <v/>
      </c>
      <c r="F2501" s="5" t="str">
        <f t="shared" si="242"/>
        <v/>
      </c>
      <c r="G2501" s="23"/>
      <c r="H2501" s="66"/>
      <c r="I2501" s="14"/>
      <c r="J2501" s="14"/>
      <c r="K2501" s="14"/>
      <c r="L2501" s="5" t="str">
        <f t="shared" si="237"/>
        <v/>
      </c>
      <c r="M2501" s="5" t="str">
        <f t="shared" si="238"/>
        <v/>
      </c>
      <c r="N2501" s="5" t="str">
        <f t="shared" si="239"/>
        <v/>
      </c>
      <c r="O2501" s="4"/>
    </row>
    <row r="2502" spans="1:15" x14ac:dyDescent="0.25">
      <c r="A2502" s="14"/>
      <c r="B2502" s="14"/>
      <c r="C2502" s="14"/>
      <c r="D2502" s="5" t="str">
        <f t="shared" si="240"/>
        <v/>
      </c>
      <c r="E2502" s="5" t="str">
        <f t="shared" si="241"/>
        <v/>
      </c>
      <c r="F2502" s="5" t="str">
        <f t="shared" si="242"/>
        <v/>
      </c>
      <c r="G2502" s="23"/>
      <c r="H2502" s="66"/>
      <c r="I2502" s="14"/>
      <c r="J2502" s="14"/>
      <c r="K2502" s="14"/>
      <c r="L2502" s="5" t="str">
        <f t="shared" si="237"/>
        <v/>
      </c>
      <c r="M2502" s="5" t="str">
        <f t="shared" si="238"/>
        <v/>
      </c>
      <c r="N2502" s="5" t="str">
        <f t="shared" si="239"/>
        <v/>
      </c>
      <c r="O2502" s="4"/>
    </row>
    <row r="2503" spans="1:15" x14ac:dyDescent="0.25">
      <c r="A2503" s="14"/>
      <c r="B2503" s="14"/>
      <c r="C2503" s="14"/>
      <c r="D2503" s="5" t="str">
        <f t="shared" si="240"/>
        <v/>
      </c>
      <c r="E2503" s="5" t="str">
        <f t="shared" si="241"/>
        <v/>
      </c>
      <c r="F2503" s="5" t="str">
        <f t="shared" si="242"/>
        <v/>
      </c>
      <c r="G2503" s="23"/>
      <c r="H2503" s="66"/>
      <c r="I2503" s="14"/>
      <c r="J2503" s="14"/>
      <c r="K2503" s="14"/>
      <c r="L2503" s="5" t="str">
        <f t="shared" si="237"/>
        <v/>
      </c>
      <c r="M2503" s="5" t="str">
        <f t="shared" si="238"/>
        <v/>
      </c>
      <c r="N2503" s="5" t="str">
        <f t="shared" si="239"/>
        <v/>
      </c>
      <c r="O2503" s="4"/>
    </row>
    <row r="2504" spans="1:15" x14ac:dyDescent="0.25">
      <c r="A2504" s="14"/>
      <c r="B2504" s="14"/>
      <c r="C2504" s="14"/>
      <c r="D2504" s="5" t="str">
        <f t="shared" si="240"/>
        <v/>
      </c>
      <c r="E2504" s="5" t="str">
        <f t="shared" si="241"/>
        <v/>
      </c>
      <c r="F2504" s="5" t="str">
        <f t="shared" si="242"/>
        <v/>
      </c>
      <c r="G2504" s="23"/>
      <c r="H2504" s="66"/>
      <c r="I2504" s="14"/>
      <c r="J2504" s="14"/>
      <c r="K2504" s="14"/>
      <c r="L2504" s="5" t="str">
        <f t="shared" si="237"/>
        <v/>
      </c>
      <c r="M2504" s="5" t="str">
        <f t="shared" si="238"/>
        <v/>
      </c>
      <c r="N2504" s="5" t="str">
        <f t="shared" si="239"/>
        <v/>
      </c>
      <c r="O2504" s="4"/>
    </row>
    <row r="2505" spans="1:15" x14ac:dyDescent="0.25">
      <c r="A2505" s="14"/>
      <c r="B2505" s="14"/>
      <c r="C2505" s="14"/>
      <c r="D2505" s="5" t="str">
        <f t="shared" si="240"/>
        <v/>
      </c>
      <c r="E2505" s="5" t="str">
        <f t="shared" si="241"/>
        <v/>
      </c>
      <c r="F2505" s="5" t="str">
        <f t="shared" si="242"/>
        <v/>
      </c>
      <c r="G2505" s="23"/>
      <c r="H2505" s="66"/>
      <c r="I2505" s="14"/>
      <c r="J2505" s="14"/>
      <c r="K2505" s="14"/>
      <c r="L2505" s="5" t="str">
        <f t="shared" si="237"/>
        <v/>
      </c>
      <c r="M2505" s="5" t="str">
        <f t="shared" si="238"/>
        <v/>
      </c>
      <c r="N2505" s="5" t="str">
        <f t="shared" si="239"/>
        <v/>
      </c>
      <c r="O2505" s="4"/>
    </row>
    <row r="2506" spans="1:15" x14ac:dyDescent="0.25">
      <c r="A2506" s="14"/>
      <c r="B2506" s="14"/>
      <c r="C2506" s="14"/>
      <c r="D2506" s="5" t="str">
        <f t="shared" si="240"/>
        <v/>
      </c>
      <c r="E2506" s="5" t="str">
        <f t="shared" si="241"/>
        <v/>
      </c>
      <c r="F2506" s="5" t="str">
        <f t="shared" si="242"/>
        <v/>
      </c>
      <c r="G2506" s="23"/>
      <c r="H2506" s="66"/>
      <c r="I2506" s="14"/>
      <c r="J2506" s="14"/>
      <c r="K2506" s="14"/>
      <c r="L2506" s="5" t="str">
        <f t="shared" si="237"/>
        <v/>
      </c>
      <c r="M2506" s="5" t="str">
        <f t="shared" si="238"/>
        <v/>
      </c>
      <c r="N2506" s="5" t="str">
        <f t="shared" si="239"/>
        <v/>
      </c>
      <c r="O2506" s="4"/>
    </row>
    <row r="2507" spans="1:15" x14ac:dyDescent="0.25">
      <c r="A2507" s="14"/>
      <c r="B2507" s="14"/>
      <c r="C2507" s="14"/>
      <c r="D2507" s="5" t="str">
        <f t="shared" si="240"/>
        <v/>
      </c>
      <c r="E2507" s="5" t="str">
        <f t="shared" si="241"/>
        <v/>
      </c>
      <c r="F2507" s="5" t="str">
        <f t="shared" si="242"/>
        <v/>
      </c>
      <c r="G2507" s="23"/>
      <c r="H2507" s="66"/>
      <c r="I2507" s="14"/>
      <c r="J2507" s="14"/>
      <c r="K2507" s="14"/>
      <c r="L2507" s="5" t="str">
        <f t="shared" si="237"/>
        <v/>
      </c>
      <c r="M2507" s="5" t="str">
        <f t="shared" si="238"/>
        <v/>
      </c>
      <c r="N2507" s="5" t="str">
        <f t="shared" si="239"/>
        <v/>
      </c>
      <c r="O2507" s="4"/>
    </row>
    <row r="2508" spans="1:15" x14ac:dyDescent="0.25">
      <c r="A2508" s="14"/>
      <c r="B2508" s="14"/>
      <c r="C2508" s="14"/>
      <c r="D2508" s="5" t="str">
        <f t="shared" si="240"/>
        <v/>
      </c>
      <c r="E2508" s="5" t="str">
        <f t="shared" si="241"/>
        <v/>
      </c>
      <c r="F2508" s="5" t="str">
        <f t="shared" si="242"/>
        <v/>
      </c>
      <c r="G2508" s="23"/>
      <c r="H2508" s="66"/>
      <c r="I2508" s="14"/>
      <c r="J2508" s="14"/>
      <c r="K2508" s="14"/>
      <c r="L2508" s="5" t="str">
        <f t="shared" si="237"/>
        <v/>
      </c>
      <c r="M2508" s="5" t="str">
        <f t="shared" si="238"/>
        <v/>
      </c>
      <c r="N2508" s="5" t="str">
        <f t="shared" si="239"/>
        <v/>
      </c>
      <c r="O2508" s="4"/>
    </row>
    <row r="2509" spans="1:15" x14ac:dyDescent="0.25">
      <c r="A2509" s="14"/>
      <c r="B2509" s="14"/>
      <c r="C2509" s="14"/>
      <c r="D2509" s="5" t="str">
        <f t="shared" si="240"/>
        <v/>
      </c>
      <c r="E2509" s="5" t="str">
        <f t="shared" si="241"/>
        <v/>
      </c>
      <c r="F2509" s="5" t="str">
        <f t="shared" si="242"/>
        <v/>
      </c>
      <c r="G2509" s="23"/>
      <c r="H2509" s="66"/>
      <c r="I2509" s="14"/>
      <c r="J2509" s="14"/>
      <c r="K2509" s="14"/>
      <c r="L2509" s="5" t="str">
        <f t="shared" si="237"/>
        <v/>
      </c>
      <c r="M2509" s="5" t="str">
        <f t="shared" si="238"/>
        <v/>
      </c>
      <c r="N2509" s="5" t="str">
        <f t="shared" si="239"/>
        <v/>
      </c>
      <c r="O2509" s="4"/>
    </row>
    <row r="2510" spans="1:15" x14ac:dyDescent="0.25">
      <c r="A2510" s="14"/>
      <c r="B2510" s="14"/>
      <c r="C2510" s="14"/>
      <c r="D2510" s="5" t="str">
        <f t="shared" si="240"/>
        <v/>
      </c>
      <c r="E2510" s="5" t="str">
        <f t="shared" si="241"/>
        <v/>
      </c>
      <c r="F2510" s="5" t="str">
        <f t="shared" si="242"/>
        <v/>
      </c>
      <c r="G2510" s="23"/>
      <c r="H2510" s="66"/>
      <c r="I2510" s="14"/>
      <c r="J2510" s="14"/>
      <c r="K2510" s="14"/>
      <c r="L2510" s="5" t="str">
        <f t="shared" si="237"/>
        <v/>
      </c>
      <c r="M2510" s="5" t="str">
        <f t="shared" si="238"/>
        <v/>
      </c>
      <c r="N2510" s="5" t="str">
        <f t="shared" si="239"/>
        <v/>
      </c>
      <c r="O2510" s="4"/>
    </row>
    <row r="2511" spans="1:15" x14ac:dyDescent="0.25">
      <c r="A2511" s="14"/>
      <c r="B2511" s="14"/>
      <c r="C2511" s="14"/>
      <c r="D2511" s="5" t="str">
        <f t="shared" si="240"/>
        <v/>
      </c>
      <c r="E2511" s="5" t="str">
        <f t="shared" si="241"/>
        <v/>
      </c>
      <c r="F2511" s="5" t="str">
        <f t="shared" si="242"/>
        <v/>
      </c>
      <c r="G2511" s="23"/>
      <c r="H2511" s="66"/>
      <c r="I2511" s="14"/>
      <c r="J2511" s="14"/>
      <c r="K2511" s="14"/>
      <c r="L2511" s="5" t="str">
        <f t="shared" si="237"/>
        <v/>
      </c>
      <c r="M2511" s="5" t="str">
        <f t="shared" si="238"/>
        <v/>
      </c>
      <c r="N2511" s="5" t="str">
        <f t="shared" si="239"/>
        <v/>
      </c>
      <c r="O2511" s="4"/>
    </row>
    <row r="2512" spans="1:15" x14ac:dyDescent="0.25">
      <c r="A2512" s="14"/>
      <c r="B2512" s="14"/>
      <c r="C2512" s="14"/>
      <c r="D2512" s="5" t="str">
        <f t="shared" si="240"/>
        <v/>
      </c>
      <c r="E2512" s="5" t="str">
        <f t="shared" si="241"/>
        <v/>
      </c>
      <c r="F2512" s="5" t="str">
        <f t="shared" si="242"/>
        <v/>
      </c>
      <c r="G2512" s="23"/>
      <c r="H2512" s="66"/>
      <c r="I2512" s="14"/>
      <c r="J2512" s="14"/>
      <c r="K2512" s="14"/>
      <c r="L2512" s="5" t="str">
        <f t="shared" si="237"/>
        <v/>
      </c>
      <c r="M2512" s="5" t="str">
        <f t="shared" si="238"/>
        <v/>
      </c>
      <c r="N2512" s="5" t="str">
        <f t="shared" si="239"/>
        <v/>
      </c>
      <c r="O2512" s="4"/>
    </row>
    <row r="2513" spans="1:15" x14ac:dyDescent="0.25">
      <c r="A2513" s="14"/>
      <c r="B2513" s="14"/>
      <c r="C2513" s="14"/>
      <c r="D2513" s="5" t="str">
        <f t="shared" si="240"/>
        <v/>
      </c>
      <c r="E2513" s="5" t="str">
        <f t="shared" si="241"/>
        <v/>
      </c>
      <c r="F2513" s="5" t="str">
        <f t="shared" si="242"/>
        <v/>
      </c>
      <c r="G2513" s="23"/>
      <c r="H2513" s="66"/>
      <c r="I2513" s="14"/>
      <c r="J2513" s="14"/>
      <c r="K2513" s="14"/>
      <c r="L2513" s="5" t="str">
        <f t="shared" ref="L2513:L2576" si="243">IFERROR(IF(I2513&lt;&gt;"",(((J2513-J2512)*$X$4/(I2513-I2512)))*$X$5,""),"")</f>
        <v/>
      </c>
      <c r="M2513" s="5" t="str">
        <f t="shared" ref="M2513:M2576" si="244">IFERROR(IF(I2513&lt;&gt;"",(((K2513-K2512)*$X$4/(I2513-I2512)))*$X$5,""),"")</f>
        <v/>
      </c>
      <c r="N2513" s="5" t="str">
        <f t="shared" ref="N2513:N2576" si="245">IFERROR(IF(I2513&lt;&gt;"",((ACOS((COS(RADIANS(J2512))*COS(RADIANS(J2513)))+(SIN(RADIANS(J2512))*SIN(RADIANS(J2513)))*COS(RADIANS(K2513-K2512)))*180/PI()*($X$4/(I2513-I2512))))*$X$5,""),"")</f>
        <v/>
      </c>
      <c r="O2513" s="4"/>
    </row>
    <row r="2514" spans="1:15" x14ac:dyDescent="0.25">
      <c r="A2514" s="14"/>
      <c r="B2514" s="14"/>
      <c r="C2514" s="14"/>
      <c r="D2514" s="5" t="str">
        <f t="shared" si="240"/>
        <v/>
      </c>
      <c r="E2514" s="5" t="str">
        <f t="shared" si="241"/>
        <v/>
      </c>
      <c r="F2514" s="5" t="str">
        <f t="shared" si="242"/>
        <v/>
      </c>
      <c r="G2514" s="23"/>
      <c r="H2514" s="66"/>
      <c r="I2514" s="14"/>
      <c r="J2514" s="14"/>
      <c r="K2514" s="14"/>
      <c r="L2514" s="5" t="str">
        <f t="shared" si="243"/>
        <v/>
      </c>
      <c r="M2514" s="5" t="str">
        <f t="shared" si="244"/>
        <v/>
      </c>
      <c r="N2514" s="5" t="str">
        <f t="shared" si="245"/>
        <v/>
      </c>
      <c r="O2514" s="4"/>
    </row>
    <row r="2515" spans="1:15" x14ac:dyDescent="0.25">
      <c r="A2515" s="14"/>
      <c r="B2515" s="14"/>
      <c r="C2515" s="14"/>
      <c r="D2515" s="5" t="str">
        <f t="shared" si="240"/>
        <v/>
      </c>
      <c r="E2515" s="5" t="str">
        <f t="shared" si="241"/>
        <v/>
      </c>
      <c r="F2515" s="5" t="str">
        <f t="shared" si="242"/>
        <v/>
      </c>
      <c r="G2515" s="23"/>
      <c r="H2515" s="66"/>
      <c r="I2515" s="14"/>
      <c r="J2515" s="14"/>
      <c r="K2515" s="14"/>
      <c r="L2515" s="5" t="str">
        <f t="shared" si="243"/>
        <v/>
      </c>
      <c r="M2515" s="5" t="str">
        <f t="shared" si="244"/>
        <v/>
      </c>
      <c r="N2515" s="5" t="str">
        <f t="shared" si="245"/>
        <v/>
      </c>
      <c r="O2515" s="4"/>
    </row>
    <row r="2516" spans="1:15" x14ac:dyDescent="0.25">
      <c r="A2516" s="14"/>
      <c r="B2516" s="14"/>
      <c r="C2516" s="14"/>
      <c r="D2516" s="5" t="str">
        <f t="shared" si="240"/>
        <v/>
      </c>
      <c r="E2516" s="5" t="str">
        <f t="shared" si="241"/>
        <v/>
      </c>
      <c r="F2516" s="5" t="str">
        <f t="shared" si="242"/>
        <v/>
      </c>
      <c r="G2516" s="23"/>
      <c r="H2516" s="66"/>
      <c r="I2516" s="14"/>
      <c r="J2516" s="14"/>
      <c r="K2516" s="14"/>
      <c r="L2516" s="5" t="str">
        <f t="shared" si="243"/>
        <v/>
      </c>
      <c r="M2516" s="5" t="str">
        <f t="shared" si="244"/>
        <v/>
      </c>
      <c r="N2516" s="5" t="str">
        <f t="shared" si="245"/>
        <v/>
      </c>
      <c r="O2516" s="4"/>
    </row>
    <row r="2517" spans="1:15" x14ac:dyDescent="0.25">
      <c r="A2517" s="14"/>
      <c r="B2517" s="14"/>
      <c r="C2517" s="14"/>
      <c r="D2517" s="5" t="str">
        <f t="shared" si="240"/>
        <v/>
      </c>
      <c r="E2517" s="5" t="str">
        <f t="shared" si="241"/>
        <v/>
      </c>
      <c r="F2517" s="5" t="str">
        <f t="shared" si="242"/>
        <v/>
      </c>
      <c r="G2517" s="23"/>
      <c r="H2517" s="66"/>
      <c r="I2517" s="14"/>
      <c r="J2517" s="14"/>
      <c r="K2517" s="14"/>
      <c r="L2517" s="5" t="str">
        <f t="shared" si="243"/>
        <v/>
      </c>
      <c r="M2517" s="5" t="str">
        <f t="shared" si="244"/>
        <v/>
      </c>
      <c r="N2517" s="5" t="str">
        <f t="shared" si="245"/>
        <v/>
      </c>
      <c r="O2517" s="4"/>
    </row>
    <row r="2518" spans="1:15" x14ac:dyDescent="0.25">
      <c r="A2518" s="14"/>
      <c r="B2518" s="14"/>
      <c r="C2518" s="14"/>
      <c r="D2518" s="5" t="str">
        <f t="shared" si="240"/>
        <v/>
      </c>
      <c r="E2518" s="5" t="str">
        <f t="shared" si="241"/>
        <v/>
      </c>
      <c r="F2518" s="5" t="str">
        <f t="shared" si="242"/>
        <v/>
      </c>
      <c r="G2518" s="23"/>
      <c r="H2518" s="66"/>
      <c r="I2518" s="14"/>
      <c r="J2518" s="14"/>
      <c r="K2518" s="14"/>
      <c r="L2518" s="5" t="str">
        <f t="shared" si="243"/>
        <v/>
      </c>
      <c r="M2518" s="5" t="str">
        <f t="shared" si="244"/>
        <v/>
      </c>
      <c r="N2518" s="5" t="str">
        <f t="shared" si="245"/>
        <v/>
      </c>
      <c r="O2518" s="4"/>
    </row>
    <row r="2519" spans="1:15" x14ac:dyDescent="0.25">
      <c r="A2519" s="14"/>
      <c r="B2519" s="14"/>
      <c r="C2519" s="14"/>
      <c r="D2519" s="5" t="str">
        <f t="shared" si="240"/>
        <v/>
      </c>
      <c r="E2519" s="5" t="str">
        <f t="shared" si="241"/>
        <v/>
      </c>
      <c r="F2519" s="5" t="str">
        <f t="shared" si="242"/>
        <v/>
      </c>
      <c r="G2519" s="23"/>
      <c r="H2519" s="66"/>
      <c r="I2519" s="14"/>
      <c r="J2519" s="14"/>
      <c r="K2519" s="14"/>
      <c r="L2519" s="5" t="str">
        <f t="shared" si="243"/>
        <v/>
      </c>
      <c r="M2519" s="5" t="str">
        <f t="shared" si="244"/>
        <v/>
      </c>
      <c r="N2519" s="5" t="str">
        <f t="shared" si="245"/>
        <v/>
      </c>
      <c r="O2519" s="4"/>
    </row>
    <row r="2520" spans="1:15" x14ac:dyDescent="0.25">
      <c r="A2520" s="14"/>
      <c r="B2520" s="14"/>
      <c r="C2520" s="14"/>
      <c r="D2520" s="5" t="str">
        <f t="shared" si="240"/>
        <v/>
      </c>
      <c r="E2520" s="5" t="str">
        <f t="shared" si="241"/>
        <v/>
      </c>
      <c r="F2520" s="5" t="str">
        <f t="shared" si="242"/>
        <v/>
      </c>
      <c r="G2520" s="23"/>
      <c r="H2520" s="66"/>
      <c r="I2520" s="14"/>
      <c r="J2520" s="14"/>
      <c r="K2520" s="14"/>
      <c r="L2520" s="5" t="str">
        <f t="shared" si="243"/>
        <v/>
      </c>
      <c r="M2520" s="5" t="str">
        <f t="shared" si="244"/>
        <v/>
      </c>
      <c r="N2520" s="5" t="str">
        <f t="shared" si="245"/>
        <v/>
      </c>
      <c r="O2520" s="4"/>
    </row>
    <row r="2521" spans="1:15" x14ac:dyDescent="0.25">
      <c r="A2521" s="14"/>
      <c r="B2521" s="14"/>
      <c r="C2521" s="14"/>
      <c r="D2521" s="5" t="str">
        <f t="shared" ref="D2521:D2584" si="246">IFERROR( IF(A2521&lt;&gt;"",((B2521-B2520)*$X$4/(A2521-A2520))*$X$5,""),"")</f>
        <v/>
      </c>
      <c r="E2521" s="5" t="str">
        <f t="shared" ref="E2521:E2584" si="247">IFERROR(IF(A2521&lt;&gt;"",((C2521-C2520)*$X$4/(A2521-A2520))*$X$5,""),"")</f>
        <v/>
      </c>
      <c r="F2521" s="5" t="str">
        <f t="shared" ref="F2521:F2584" si="248">IFERROR(IF(A2521&lt;&gt;"",((ACOS((COS(RADIANS(B2520))*COS(RADIANS(B2521)))+(SIN(RADIANS(B2520))*SIN(RADIANS(B2521)))*COS(RADIANS(C2521-C2520)))*180/PI()*($X$4/(A2521-A2520))))*$X$5,""),"")</f>
        <v/>
      </c>
      <c r="G2521" s="23"/>
      <c r="H2521" s="66"/>
      <c r="I2521" s="14"/>
      <c r="J2521" s="14"/>
      <c r="K2521" s="14"/>
      <c r="L2521" s="5" t="str">
        <f t="shared" si="243"/>
        <v/>
      </c>
      <c r="M2521" s="5" t="str">
        <f t="shared" si="244"/>
        <v/>
      </c>
      <c r="N2521" s="5" t="str">
        <f t="shared" si="245"/>
        <v/>
      </c>
      <c r="O2521" s="4"/>
    </row>
    <row r="2522" spans="1:15" x14ac:dyDescent="0.25">
      <c r="A2522" s="14"/>
      <c r="B2522" s="14"/>
      <c r="C2522" s="14"/>
      <c r="D2522" s="5" t="str">
        <f t="shared" si="246"/>
        <v/>
      </c>
      <c r="E2522" s="5" t="str">
        <f t="shared" si="247"/>
        <v/>
      </c>
      <c r="F2522" s="5" t="str">
        <f t="shared" si="248"/>
        <v/>
      </c>
      <c r="G2522" s="23"/>
      <c r="H2522" s="66"/>
      <c r="I2522" s="14"/>
      <c r="J2522" s="14"/>
      <c r="K2522" s="14"/>
      <c r="L2522" s="5" t="str">
        <f t="shared" si="243"/>
        <v/>
      </c>
      <c r="M2522" s="5" t="str">
        <f t="shared" si="244"/>
        <v/>
      </c>
      <c r="N2522" s="5" t="str">
        <f t="shared" si="245"/>
        <v/>
      </c>
      <c r="O2522" s="4"/>
    </row>
    <row r="2523" spans="1:15" x14ac:dyDescent="0.25">
      <c r="A2523" s="14"/>
      <c r="B2523" s="14"/>
      <c r="C2523" s="14"/>
      <c r="D2523" s="5" t="str">
        <f t="shared" si="246"/>
        <v/>
      </c>
      <c r="E2523" s="5" t="str">
        <f t="shared" si="247"/>
        <v/>
      </c>
      <c r="F2523" s="5" t="str">
        <f t="shared" si="248"/>
        <v/>
      </c>
      <c r="G2523" s="23"/>
      <c r="H2523" s="66"/>
      <c r="I2523" s="14"/>
      <c r="J2523" s="14"/>
      <c r="K2523" s="14"/>
      <c r="L2523" s="5" t="str">
        <f t="shared" si="243"/>
        <v/>
      </c>
      <c r="M2523" s="5" t="str">
        <f t="shared" si="244"/>
        <v/>
      </c>
      <c r="N2523" s="5" t="str">
        <f t="shared" si="245"/>
        <v/>
      </c>
      <c r="O2523" s="4"/>
    </row>
    <row r="2524" spans="1:15" x14ac:dyDescent="0.25">
      <c r="A2524" s="14"/>
      <c r="B2524" s="14"/>
      <c r="C2524" s="14"/>
      <c r="D2524" s="5" t="str">
        <f t="shared" si="246"/>
        <v/>
      </c>
      <c r="E2524" s="5" t="str">
        <f t="shared" si="247"/>
        <v/>
      </c>
      <c r="F2524" s="5" t="str">
        <f t="shared" si="248"/>
        <v/>
      </c>
      <c r="G2524" s="23"/>
      <c r="H2524" s="66"/>
      <c r="I2524" s="14"/>
      <c r="J2524" s="14"/>
      <c r="K2524" s="14"/>
      <c r="L2524" s="5" t="str">
        <f t="shared" si="243"/>
        <v/>
      </c>
      <c r="M2524" s="5" t="str">
        <f t="shared" si="244"/>
        <v/>
      </c>
      <c r="N2524" s="5" t="str">
        <f t="shared" si="245"/>
        <v/>
      </c>
      <c r="O2524" s="4"/>
    </row>
    <row r="2525" spans="1:15" x14ac:dyDescent="0.25">
      <c r="A2525" s="14"/>
      <c r="B2525" s="14"/>
      <c r="C2525" s="14"/>
      <c r="D2525" s="5" t="str">
        <f t="shared" si="246"/>
        <v/>
      </c>
      <c r="E2525" s="5" t="str">
        <f t="shared" si="247"/>
        <v/>
      </c>
      <c r="F2525" s="5" t="str">
        <f t="shared" si="248"/>
        <v/>
      </c>
      <c r="G2525" s="23"/>
      <c r="H2525" s="66"/>
      <c r="I2525" s="14"/>
      <c r="J2525" s="14"/>
      <c r="K2525" s="14"/>
      <c r="L2525" s="5" t="str">
        <f t="shared" si="243"/>
        <v/>
      </c>
      <c r="M2525" s="5" t="str">
        <f t="shared" si="244"/>
        <v/>
      </c>
      <c r="N2525" s="5" t="str">
        <f t="shared" si="245"/>
        <v/>
      </c>
      <c r="O2525" s="4"/>
    </row>
    <row r="2526" spans="1:15" x14ac:dyDescent="0.25">
      <c r="A2526" s="14"/>
      <c r="B2526" s="14"/>
      <c r="C2526" s="14"/>
      <c r="D2526" s="5" t="str">
        <f t="shared" si="246"/>
        <v/>
      </c>
      <c r="E2526" s="5" t="str">
        <f t="shared" si="247"/>
        <v/>
      </c>
      <c r="F2526" s="5" t="str">
        <f t="shared" si="248"/>
        <v/>
      </c>
      <c r="G2526" s="23"/>
      <c r="H2526" s="66"/>
      <c r="I2526" s="14"/>
      <c r="J2526" s="14"/>
      <c r="K2526" s="14"/>
      <c r="L2526" s="5" t="str">
        <f t="shared" si="243"/>
        <v/>
      </c>
      <c r="M2526" s="5" t="str">
        <f t="shared" si="244"/>
        <v/>
      </c>
      <c r="N2526" s="5" t="str">
        <f t="shared" si="245"/>
        <v/>
      </c>
      <c r="O2526" s="4"/>
    </row>
    <row r="2527" spans="1:15" x14ac:dyDescent="0.25">
      <c r="A2527" s="14"/>
      <c r="B2527" s="14"/>
      <c r="C2527" s="14"/>
      <c r="D2527" s="5" t="str">
        <f t="shared" si="246"/>
        <v/>
      </c>
      <c r="E2527" s="5" t="str">
        <f t="shared" si="247"/>
        <v/>
      </c>
      <c r="F2527" s="5" t="str">
        <f t="shared" si="248"/>
        <v/>
      </c>
      <c r="G2527" s="23"/>
      <c r="H2527" s="66"/>
      <c r="I2527" s="14"/>
      <c r="J2527" s="14"/>
      <c r="K2527" s="14"/>
      <c r="L2527" s="5" t="str">
        <f t="shared" si="243"/>
        <v/>
      </c>
      <c r="M2527" s="5" t="str">
        <f t="shared" si="244"/>
        <v/>
      </c>
      <c r="N2527" s="5" t="str">
        <f t="shared" si="245"/>
        <v/>
      </c>
      <c r="O2527" s="4"/>
    </row>
    <row r="2528" spans="1:15" x14ac:dyDescent="0.25">
      <c r="A2528" s="14"/>
      <c r="B2528" s="14"/>
      <c r="C2528" s="14"/>
      <c r="D2528" s="5" t="str">
        <f t="shared" si="246"/>
        <v/>
      </c>
      <c r="E2528" s="5" t="str">
        <f t="shared" si="247"/>
        <v/>
      </c>
      <c r="F2528" s="5" t="str">
        <f t="shared" si="248"/>
        <v/>
      </c>
      <c r="G2528" s="23"/>
      <c r="H2528" s="66"/>
      <c r="I2528" s="14"/>
      <c r="J2528" s="14"/>
      <c r="K2528" s="14"/>
      <c r="L2528" s="5" t="str">
        <f t="shared" si="243"/>
        <v/>
      </c>
      <c r="M2528" s="5" t="str">
        <f t="shared" si="244"/>
        <v/>
      </c>
      <c r="N2528" s="5" t="str">
        <f t="shared" si="245"/>
        <v/>
      </c>
      <c r="O2528" s="4"/>
    </row>
    <row r="2529" spans="1:15" x14ac:dyDescent="0.25">
      <c r="A2529" s="14"/>
      <c r="B2529" s="14"/>
      <c r="C2529" s="14"/>
      <c r="D2529" s="5" t="str">
        <f t="shared" si="246"/>
        <v/>
      </c>
      <c r="E2529" s="5" t="str">
        <f t="shared" si="247"/>
        <v/>
      </c>
      <c r="F2529" s="5" t="str">
        <f t="shared" si="248"/>
        <v/>
      </c>
      <c r="G2529" s="23"/>
      <c r="H2529" s="66"/>
      <c r="I2529" s="14"/>
      <c r="J2529" s="14"/>
      <c r="K2529" s="14"/>
      <c r="L2529" s="5" t="str">
        <f t="shared" si="243"/>
        <v/>
      </c>
      <c r="M2529" s="5" t="str">
        <f t="shared" si="244"/>
        <v/>
      </c>
      <c r="N2529" s="5" t="str">
        <f t="shared" si="245"/>
        <v/>
      </c>
      <c r="O2529" s="4"/>
    </row>
    <row r="2530" spans="1:15" x14ac:dyDescent="0.25">
      <c r="A2530" s="14"/>
      <c r="B2530" s="14"/>
      <c r="C2530" s="14"/>
      <c r="D2530" s="5" t="str">
        <f t="shared" si="246"/>
        <v/>
      </c>
      <c r="E2530" s="5" t="str">
        <f t="shared" si="247"/>
        <v/>
      </c>
      <c r="F2530" s="5" t="str">
        <f t="shared" si="248"/>
        <v/>
      </c>
      <c r="G2530" s="23"/>
      <c r="H2530" s="66"/>
      <c r="I2530" s="14"/>
      <c r="J2530" s="14"/>
      <c r="K2530" s="14"/>
      <c r="L2530" s="5" t="str">
        <f t="shared" si="243"/>
        <v/>
      </c>
      <c r="M2530" s="5" t="str">
        <f t="shared" si="244"/>
        <v/>
      </c>
      <c r="N2530" s="5" t="str">
        <f t="shared" si="245"/>
        <v/>
      </c>
      <c r="O2530" s="4"/>
    </row>
    <row r="2531" spans="1:15" x14ac:dyDescent="0.25">
      <c r="A2531" s="14"/>
      <c r="B2531" s="14"/>
      <c r="C2531" s="14"/>
      <c r="D2531" s="5" t="str">
        <f t="shared" si="246"/>
        <v/>
      </c>
      <c r="E2531" s="5" t="str">
        <f t="shared" si="247"/>
        <v/>
      </c>
      <c r="F2531" s="5" t="str">
        <f t="shared" si="248"/>
        <v/>
      </c>
      <c r="G2531" s="23"/>
      <c r="H2531" s="66"/>
      <c r="I2531" s="14"/>
      <c r="J2531" s="14"/>
      <c r="K2531" s="14"/>
      <c r="L2531" s="5" t="str">
        <f t="shared" si="243"/>
        <v/>
      </c>
      <c r="M2531" s="5" t="str">
        <f t="shared" si="244"/>
        <v/>
      </c>
      <c r="N2531" s="5" t="str">
        <f t="shared" si="245"/>
        <v/>
      </c>
      <c r="O2531" s="4"/>
    </row>
    <row r="2532" spans="1:15" x14ac:dyDescent="0.25">
      <c r="A2532" s="14"/>
      <c r="B2532" s="14"/>
      <c r="C2532" s="14"/>
      <c r="D2532" s="5" t="str">
        <f t="shared" si="246"/>
        <v/>
      </c>
      <c r="E2532" s="5" t="str">
        <f t="shared" si="247"/>
        <v/>
      </c>
      <c r="F2532" s="5" t="str">
        <f t="shared" si="248"/>
        <v/>
      </c>
      <c r="G2532" s="23"/>
      <c r="H2532" s="66"/>
      <c r="I2532" s="14"/>
      <c r="J2532" s="14"/>
      <c r="K2532" s="14"/>
      <c r="L2532" s="5" t="str">
        <f t="shared" si="243"/>
        <v/>
      </c>
      <c r="M2532" s="5" t="str">
        <f t="shared" si="244"/>
        <v/>
      </c>
      <c r="N2532" s="5" t="str">
        <f t="shared" si="245"/>
        <v/>
      </c>
      <c r="O2532" s="4"/>
    </row>
    <row r="2533" spans="1:15" x14ac:dyDescent="0.25">
      <c r="A2533" s="14"/>
      <c r="B2533" s="14"/>
      <c r="C2533" s="14"/>
      <c r="D2533" s="5" t="str">
        <f t="shared" si="246"/>
        <v/>
      </c>
      <c r="E2533" s="5" t="str">
        <f t="shared" si="247"/>
        <v/>
      </c>
      <c r="F2533" s="5" t="str">
        <f t="shared" si="248"/>
        <v/>
      </c>
      <c r="G2533" s="23"/>
      <c r="H2533" s="66"/>
      <c r="I2533" s="14"/>
      <c r="J2533" s="14"/>
      <c r="K2533" s="14"/>
      <c r="L2533" s="5" t="str">
        <f t="shared" si="243"/>
        <v/>
      </c>
      <c r="M2533" s="5" t="str">
        <f t="shared" si="244"/>
        <v/>
      </c>
      <c r="N2533" s="5" t="str">
        <f t="shared" si="245"/>
        <v/>
      </c>
      <c r="O2533" s="4"/>
    </row>
    <row r="2534" spans="1:15" x14ac:dyDescent="0.25">
      <c r="A2534" s="14"/>
      <c r="B2534" s="14"/>
      <c r="C2534" s="14"/>
      <c r="D2534" s="5" t="str">
        <f t="shared" si="246"/>
        <v/>
      </c>
      <c r="E2534" s="5" t="str">
        <f t="shared" si="247"/>
        <v/>
      </c>
      <c r="F2534" s="5" t="str">
        <f t="shared" si="248"/>
        <v/>
      </c>
      <c r="G2534" s="23"/>
      <c r="H2534" s="66"/>
      <c r="I2534" s="14"/>
      <c r="J2534" s="14"/>
      <c r="K2534" s="14"/>
      <c r="L2534" s="5" t="str">
        <f t="shared" si="243"/>
        <v/>
      </c>
      <c r="M2534" s="5" t="str">
        <f t="shared" si="244"/>
        <v/>
      </c>
      <c r="N2534" s="5" t="str">
        <f t="shared" si="245"/>
        <v/>
      </c>
      <c r="O2534" s="4"/>
    </row>
    <row r="2535" spans="1:15" x14ac:dyDescent="0.25">
      <c r="A2535" s="14"/>
      <c r="B2535" s="14"/>
      <c r="C2535" s="14"/>
      <c r="D2535" s="5" t="str">
        <f t="shared" si="246"/>
        <v/>
      </c>
      <c r="E2535" s="5" t="str">
        <f t="shared" si="247"/>
        <v/>
      </c>
      <c r="F2535" s="5" t="str">
        <f t="shared" si="248"/>
        <v/>
      </c>
      <c r="G2535" s="23"/>
      <c r="H2535" s="66"/>
      <c r="I2535" s="14"/>
      <c r="J2535" s="14"/>
      <c r="K2535" s="14"/>
      <c r="L2535" s="5" t="str">
        <f t="shared" si="243"/>
        <v/>
      </c>
      <c r="M2535" s="5" t="str">
        <f t="shared" si="244"/>
        <v/>
      </c>
      <c r="N2535" s="5" t="str">
        <f t="shared" si="245"/>
        <v/>
      </c>
      <c r="O2535" s="4"/>
    </row>
    <row r="2536" spans="1:15" x14ac:dyDescent="0.25">
      <c r="A2536" s="14"/>
      <c r="B2536" s="14"/>
      <c r="C2536" s="14"/>
      <c r="D2536" s="5" t="str">
        <f t="shared" si="246"/>
        <v/>
      </c>
      <c r="E2536" s="5" t="str">
        <f t="shared" si="247"/>
        <v/>
      </c>
      <c r="F2536" s="5" t="str">
        <f t="shared" si="248"/>
        <v/>
      </c>
      <c r="G2536" s="23"/>
      <c r="H2536" s="66"/>
      <c r="I2536" s="14"/>
      <c r="J2536" s="14"/>
      <c r="K2536" s="14"/>
      <c r="L2536" s="5" t="str">
        <f t="shared" si="243"/>
        <v/>
      </c>
      <c r="M2536" s="5" t="str">
        <f t="shared" si="244"/>
        <v/>
      </c>
      <c r="N2536" s="5" t="str">
        <f t="shared" si="245"/>
        <v/>
      </c>
      <c r="O2536" s="4"/>
    </row>
    <row r="2537" spans="1:15" x14ac:dyDescent="0.25">
      <c r="A2537" s="14"/>
      <c r="B2537" s="14"/>
      <c r="C2537" s="14"/>
      <c r="D2537" s="5" t="str">
        <f t="shared" si="246"/>
        <v/>
      </c>
      <c r="E2537" s="5" t="str">
        <f t="shared" si="247"/>
        <v/>
      </c>
      <c r="F2537" s="5" t="str">
        <f t="shared" si="248"/>
        <v/>
      </c>
      <c r="G2537" s="23"/>
      <c r="H2537" s="66"/>
      <c r="I2537" s="14"/>
      <c r="J2537" s="14"/>
      <c r="K2537" s="14"/>
      <c r="L2537" s="5" t="str">
        <f t="shared" si="243"/>
        <v/>
      </c>
      <c r="M2537" s="5" t="str">
        <f t="shared" si="244"/>
        <v/>
      </c>
      <c r="N2537" s="5" t="str">
        <f t="shared" si="245"/>
        <v/>
      </c>
      <c r="O2537" s="4"/>
    </row>
    <row r="2538" spans="1:15" x14ac:dyDescent="0.25">
      <c r="A2538" s="14"/>
      <c r="B2538" s="14"/>
      <c r="C2538" s="14"/>
      <c r="D2538" s="5" t="str">
        <f t="shared" si="246"/>
        <v/>
      </c>
      <c r="E2538" s="5" t="str">
        <f t="shared" si="247"/>
        <v/>
      </c>
      <c r="F2538" s="5" t="str">
        <f t="shared" si="248"/>
        <v/>
      </c>
      <c r="G2538" s="23"/>
      <c r="H2538" s="66"/>
      <c r="I2538" s="14"/>
      <c r="J2538" s="14"/>
      <c r="K2538" s="14"/>
      <c r="L2538" s="5" t="str">
        <f t="shared" si="243"/>
        <v/>
      </c>
      <c r="M2538" s="5" t="str">
        <f t="shared" si="244"/>
        <v/>
      </c>
      <c r="N2538" s="5" t="str">
        <f t="shared" si="245"/>
        <v/>
      </c>
      <c r="O2538" s="4"/>
    </row>
    <row r="2539" spans="1:15" x14ac:dyDescent="0.25">
      <c r="A2539" s="14"/>
      <c r="B2539" s="14"/>
      <c r="C2539" s="14"/>
      <c r="D2539" s="5" t="str">
        <f t="shared" si="246"/>
        <v/>
      </c>
      <c r="E2539" s="5" t="str">
        <f t="shared" si="247"/>
        <v/>
      </c>
      <c r="F2539" s="5" t="str">
        <f t="shared" si="248"/>
        <v/>
      </c>
      <c r="G2539" s="23"/>
      <c r="H2539" s="66"/>
      <c r="I2539" s="14"/>
      <c r="J2539" s="14"/>
      <c r="K2539" s="14"/>
      <c r="L2539" s="5" t="str">
        <f t="shared" si="243"/>
        <v/>
      </c>
      <c r="M2539" s="5" t="str">
        <f t="shared" si="244"/>
        <v/>
      </c>
      <c r="N2539" s="5" t="str">
        <f t="shared" si="245"/>
        <v/>
      </c>
      <c r="O2539" s="4"/>
    </row>
    <row r="2540" spans="1:15" x14ac:dyDescent="0.25">
      <c r="A2540" s="14"/>
      <c r="B2540" s="14"/>
      <c r="C2540" s="14"/>
      <c r="D2540" s="5" t="str">
        <f t="shared" si="246"/>
        <v/>
      </c>
      <c r="E2540" s="5" t="str">
        <f t="shared" si="247"/>
        <v/>
      </c>
      <c r="F2540" s="5" t="str">
        <f t="shared" si="248"/>
        <v/>
      </c>
      <c r="G2540" s="23"/>
      <c r="H2540" s="66"/>
      <c r="I2540" s="14"/>
      <c r="J2540" s="14"/>
      <c r="K2540" s="14"/>
      <c r="L2540" s="5" t="str">
        <f t="shared" si="243"/>
        <v/>
      </c>
      <c r="M2540" s="5" t="str">
        <f t="shared" si="244"/>
        <v/>
      </c>
      <c r="N2540" s="5" t="str">
        <f t="shared" si="245"/>
        <v/>
      </c>
      <c r="O2540" s="4"/>
    </row>
    <row r="2541" spans="1:15" x14ac:dyDescent="0.25">
      <c r="A2541" s="14"/>
      <c r="B2541" s="14"/>
      <c r="C2541" s="14"/>
      <c r="D2541" s="5" t="str">
        <f t="shared" si="246"/>
        <v/>
      </c>
      <c r="E2541" s="5" t="str">
        <f t="shared" si="247"/>
        <v/>
      </c>
      <c r="F2541" s="5" t="str">
        <f t="shared" si="248"/>
        <v/>
      </c>
      <c r="G2541" s="23"/>
      <c r="H2541" s="66"/>
      <c r="I2541" s="14"/>
      <c r="J2541" s="14"/>
      <c r="K2541" s="14"/>
      <c r="L2541" s="5" t="str">
        <f t="shared" si="243"/>
        <v/>
      </c>
      <c r="M2541" s="5" t="str">
        <f t="shared" si="244"/>
        <v/>
      </c>
      <c r="N2541" s="5" t="str">
        <f t="shared" si="245"/>
        <v/>
      </c>
      <c r="O2541" s="4"/>
    </row>
    <row r="2542" spans="1:15" x14ac:dyDescent="0.25">
      <c r="A2542" s="14"/>
      <c r="B2542" s="14"/>
      <c r="C2542" s="14"/>
      <c r="D2542" s="5" t="str">
        <f t="shared" si="246"/>
        <v/>
      </c>
      <c r="E2542" s="5" t="str">
        <f t="shared" si="247"/>
        <v/>
      </c>
      <c r="F2542" s="5" t="str">
        <f t="shared" si="248"/>
        <v/>
      </c>
      <c r="G2542" s="23"/>
      <c r="H2542" s="66"/>
      <c r="I2542" s="14"/>
      <c r="J2542" s="14"/>
      <c r="K2542" s="14"/>
      <c r="L2542" s="5" t="str">
        <f t="shared" si="243"/>
        <v/>
      </c>
      <c r="M2542" s="5" t="str">
        <f t="shared" si="244"/>
        <v/>
      </c>
      <c r="N2542" s="5" t="str">
        <f t="shared" si="245"/>
        <v/>
      </c>
      <c r="O2542" s="4"/>
    </row>
    <row r="2543" spans="1:15" x14ac:dyDescent="0.25">
      <c r="A2543" s="14"/>
      <c r="B2543" s="14"/>
      <c r="C2543" s="14"/>
      <c r="D2543" s="5" t="str">
        <f t="shared" si="246"/>
        <v/>
      </c>
      <c r="E2543" s="5" t="str">
        <f t="shared" si="247"/>
        <v/>
      </c>
      <c r="F2543" s="5" t="str">
        <f t="shared" si="248"/>
        <v/>
      </c>
      <c r="G2543" s="23"/>
      <c r="H2543" s="66"/>
      <c r="I2543" s="14"/>
      <c r="J2543" s="14"/>
      <c r="K2543" s="14"/>
      <c r="L2543" s="5" t="str">
        <f t="shared" si="243"/>
        <v/>
      </c>
      <c r="M2543" s="5" t="str">
        <f t="shared" si="244"/>
        <v/>
      </c>
      <c r="N2543" s="5" t="str">
        <f t="shared" si="245"/>
        <v/>
      </c>
      <c r="O2543" s="4"/>
    </row>
    <row r="2544" spans="1:15" x14ac:dyDescent="0.25">
      <c r="A2544" s="14"/>
      <c r="B2544" s="14"/>
      <c r="C2544" s="14"/>
      <c r="D2544" s="5" t="str">
        <f t="shared" si="246"/>
        <v/>
      </c>
      <c r="E2544" s="5" t="str">
        <f t="shared" si="247"/>
        <v/>
      </c>
      <c r="F2544" s="5" t="str">
        <f t="shared" si="248"/>
        <v/>
      </c>
      <c r="G2544" s="23"/>
      <c r="H2544" s="66"/>
      <c r="I2544" s="14"/>
      <c r="J2544" s="14"/>
      <c r="K2544" s="14"/>
      <c r="L2544" s="5" t="str">
        <f t="shared" si="243"/>
        <v/>
      </c>
      <c r="M2544" s="5" t="str">
        <f t="shared" si="244"/>
        <v/>
      </c>
      <c r="N2544" s="5" t="str">
        <f t="shared" si="245"/>
        <v/>
      </c>
      <c r="O2544" s="4"/>
    </row>
    <row r="2545" spans="1:15" x14ac:dyDescent="0.25">
      <c r="A2545" s="14"/>
      <c r="B2545" s="14"/>
      <c r="C2545" s="14"/>
      <c r="D2545" s="5" t="str">
        <f t="shared" si="246"/>
        <v/>
      </c>
      <c r="E2545" s="5" t="str">
        <f t="shared" si="247"/>
        <v/>
      </c>
      <c r="F2545" s="5" t="str">
        <f t="shared" si="248"/>
        <v/>
      </c>
      <c r="G2545" s="23"/>
      <c r="H2545" s="66"/>
      <c r="I2545" s="14"/>
      <c r="J2545" s="14"/>
      <c r="K2545" s="14"/>
      <c r="L2545" s="5" t="str">
        <f t="shared" si="243"/>
        <v/>
      </c>
      <c r="M2545" s="5" t="str">
        <f t="shared" si="244"/>
        <v/>
      </c>
      <c r="N2545" s="5" t="str">
        <f t="shared" si="245"/>
        <v/>
      </c>
      <c r="O2545" s="4"/>
    </row>
    <row r="2546" spans="1:15" x14ac:dyDescent="0.25">
      <c r="A2546" s="14"/>
      <c r="B2546" s="14"/>
      <c r="C2546" s="14"/>
      <c r="D2546" s="5" t="str">
        <f t="shared" si="246"/>
        <v/>
      </c>
      <c r="E2546" s="5" t="str">
        <f t="shared" si="247"/>
        <v/>
      </c>
      <c r="F2546" s="5" t="str">
        <f t="shared" si="248"/>
        <v/>
      </c>
      <c r="G2546" s="23"/>
      <c r="H2546" s="66"/>
      <c r="I2546" s="14"/>
      <c r="J2546" s="14"/>
      <c r="K2546" s="14"/>
      <c r="L2546" s="5" t="str">
        <f t="shared" si="243"/>
        <v/>
      </c>
      <c r="M2546" s="5" t="str">
        <f t="shared" si="244"/>
        <v/>
      </c>
      <c r="N2546" s="5" t="str">
        <f t="shared" si="245"/>
        <v/>
      </c>
      <c r="O2546" s="4"/>
    </row>
    <row r="2547" spans="1:15" x14ac:dyDescent="0.25">
      <c r="A2547" s="14"/>
      <c r="B2547" s="14"/>
      <c r="C2547" s="14"/>
      <c r="D2547" s="5" t="str">
        <f t="shared" si="246"/>
        <v/>
      </c>
      <c r="E2547" s="5" t="str">
        <f t="shared" si="247"/>
        <v/>
      </c>
      <c r="F2547" s="5" t="str">
        <f t="shared" si="248"/>
        <v/>
      </c>
      <c r="G2547" s="23"/>
      <c r="H2547" s="66"/>
      <c r="I2547" s="14"/>
      <c r="J2547" s="14"/>
      <c r="K2547" s="14"/>
      <c r="L2547" s="5" t="str">
        <f t="shared" si="243"/>
        <v/>
      </c>
      <c r="M2547" s="5" t="str">
        <f t="shared" si="244"/>
        <v/>
      </c>
      <c r="N2547" s="5" t="str">
        <f t="shared" si="245"/>
        <v/>
      </c>
      <c r="O2547" s="4"/>
    </row>
    <row r="2548" spans="1:15" x14ac:dyDescent="0.25">
      <c r="A2548" s="14"/>
      <c r="B2548" s="14"/>
      <c r="C2548" s="14"/>
      <c r="D2548" s="5" t="str">
        <f t="shared" si="246"/>
        <v/>
      </c>
      <c r="E2548" s="5" t="str">
        <f t="shared" si="247"/>
        <v/>
      </c>
      <c r="F2548" s="5" t="str">
        <f t="shared" si="248"/>
        <v/>
      </c>
      <c r="G2548" s="23"/>
      <c r="H2548" s="66"/>
      <c r="I2548" s="14"/>
      <c r="J2548" s="14"/>
      <c r="K2548" s="14"/>
      <c r="L2548" s="5" t="str">
        <f t="shared" si="243"/>
        <v/>
      </c>
      <c r="M2548" s="5" t="str">
        <f t="shared" si="244"/>
        <v/>
      </c>
      <c r="N2548" s="5" t="str">
        <f t="shared" si="245"/>
        <v/>
      </c>
      <c r="O2548" s="4"/>
    </row>
    <row r="2549" spans="1:15" x14ac:dyDescent="0.25">
      <c r="A2549" s="14"/>
      <c r="B2549" s="14"/>
      <c r="C2549" s="14"/>
      <c r="D2549" s="5" t="str">
        <f t="shared" si="246"/>
        <v/>
      </c>
      <c r="E2549" s="5" t="str">
        <f t="shared" si="247"/>
        <v/>
      </c>
      <c r="F2549" s="5" t="str">
        <f t="shared" si="248"/>
        <v/>
      </c>
      <c r="G2549" s="23"/>
      <c r="H2549" s="66"/>
      <c r="I2549" s="14"/>
      <c r="J2549" s="14"/>
      <c r="K2549" s="14"/>
      <c r="L2549" s="5" t="str">
        <f t="shared" si="243"/>
        <v/>
      </c>
      <c r="M2549" s="5" t="str">
        <f t="shared" si="244"/>
        <v/>
      </c>
      <c r="N2549" s="5" t="str">
        <f t="shared" si="245"/>
        <v/>
      </c>
      <c r="O2549" s="4"/>
    </row>
    <row r="2550" spans="1:15" x14ac:dyDescent="0.25">
      <c r="A2550" s="14"/>
      <c r="B2550" s="14"/>
      <c r="C2550" s="14"/>
      <c r="D2550" s="5" t="str">
        <f t="shared" si="246"/>
        <v/>
      </c>
      <c r="E2550" s="5" t="str">
        <f t="shared" si="247"/>
        <v/>
      </c>
      <c r="F2550" s="5" t="str">
        <f t="shared" si="248"/>
        <v/>
      </c>
      <c r="G2550" s="23"/>
      <c r="H2550" s="66"/>
      <c r="I2550" s="14"/>
      <c r="J2550" s="14"/>
      <c r="K2550" s="14"/>
      <c r="L2550" s="5" t="str">
        <f t="shared" si="243"/>
        <v/>
      </c>
      <c r="M2550" s="5" t="str">
        <f t="shared" si="244"/>
        <v/>
      </c>
      <c r="N2550" s="5" t="str">
        <f t="shared" si="245"/>
        <v/>
      </c>
      <c r="O2550" s="4"/>
    </row>
    <row r="2551" spans="1:15" x14ac:dyDescent="0.25">
      <c r="A2551" s="14"/>
      <c r="B2551" s="14"/>
      <c r="C2551" s="14"/>
      <c r="D2551" s="5" t="str">
        <f t="shared" si="246"/>
        <v/>
      </c>
      <c r="E2551" s="5" t="str">
        <f t="shared" si="247"/>
        <v/>
      </c>
      <c r="F2551" s="5" t="str">
        <f t="shared" si="248"/>
        <v/>
      </c>
      <c r="G2551" s="23"/>
      <c r="H2551" s="66"/>
      <c r="I2551" s="14"/>
      <c r="J2551" s="14"/>
      <c r="K2551" s="14"/>
      <c r="L2551" s="5" t="str">
        <f t="shared" si="243"/>
        <v/>
      </c>
      <c r="M2551" s="5" t="str">
        <f t="shared" si="244"/>
        <v/>
      </c>
      <c r="N2551" s="5" t="str">
        <f t="shared" si="245"/>
        <v/>
      </c>
      <c r="O2551" s="4"/>
    </row>
    <row r="2552" spans="1:15" x14ac:dyDescent="0.25">
      <c r="A2552" s="14"/>
      <c r="B2552" s="14"/>
      <c r="C2552" s="14"/>
      <c r="D2552" s="5" t="str">
        <f t="shared" si="246"/>
        <v/>
      </c>
      <c r="E2552" s="5" t="str">
        <f t="shared" si="247"/>
        <v/>
      </c>
      <c r="F2552" s="5" t="str">
        <f t="shared" si="248"/>
        <v/>
      </c>
      <c r="G2552" s="23"/>
      <c r="H2552" s="66"/>
      <c r="I2552" s="14"/>
      <c r="J2552" s="14"/>
      <c r="K2552" s="14"/>
      <c r="L2552" s="5" t="str">
        <f t="shared" si="243"/>
        <v/>
      </c>
      <c r="M2552" s="5" t="str">
        <f t="shared" si="244"/>
        <v/>
      </c>
      <c r="N2552" s="5" t="str">
        <f t="shared" si="245"/>
        <v/>
      </c>
      <c r="O2552" s="4"/>
    </row>
    <row r="2553" spans="1:15" x14ac:dyDescent="0.25">
      <c r="A2553" s="14"/>
      <c r="B2553" s="14"/>
      <c r="C2553" s="14"/>
      <c r="D2553" s="5" t="str">
        <f t="shared" si="246"/>
        <v/>
      </c>
      <c r="E2553" s="5" t="str">
        <f t="shared" si="247"/>
        <v/>
      </c>
      <c r="F2553" s="5" t="str">
        <f t="shared" si="248"/>
        <v/>
      </c>
      <c r="G2553" s="23"/>
      <c r="H2553" s="66"/>
      <c r="I2553" s="14"/>
      <c r="J2553" s="14"/>
      <c r="K2553" s="14"/>
      <c r="L2553" s="5" t="str">
        <f t="shared" si="243"/>
        <v/>
      </c>
      <c r="M2553" s="5" t="str">
        <f t="shared" si="244"/>
        <v/>
      </c>
      <c r="N2553" s="5" t="str">
        <f t="shared" si="245"/>
        <v/>
      </c>
      <c r="O2553" s="4"/>
    </row>
    <row r="2554" spans="1:15" x14ac:dyDescent="0.25">
      <c r="A2554" s="14"/>
      <c r="B2554" s="14"/>
      <c r="C2554" s="14"/>
      <c r="D2554" s="5" t="str">
        <f t="shared" si="246"/>
        <v/>
      </c>
      <c r="E2554" s="5" t="str">
        <f t="shared" si="247"/>
        <v/>
      </c>
      <c r="F2554" s="5" t="str">
        <f t="shared" si="248"/>
        <v/>
      </c>
      <c r="G2554" s="23"/>
      <c r="H2554" s="66"/>
      <c r="I2554" s="14"/>
      <c r="J2554" s="14"/>
      <c r="K2554" s="14"/>
      <c r="L2554" s="5" t="str">
        <f t="shared" si="243"/>
        <v/>
      </c>
      <c r="M2554" s="5" t="str">
        <f t="shared" si="244"/>
        <v/>
      </c>
      <c r="N2554" s="5" t="str">
        <f t="shared" si="245"/>
        <v/>
      </c>
      <c r="O2554" s="4"/>
    </row>
    <row r="2555" spans="1:15" x14ac:dyDescent="0.25">
      <c r="A2555" s="14"/>
      <c r="B2555" s="14"/>
      <c r="C2555" s="14"/>
      <c r="D2555" s="5" t="str">
        <f t="shared" si="246"/>
        <v/>
      </c>
      <c r="E2555" s="5" t="str">
        <f t="shared" si="247"/>
        <v/>
      </c>
      <c r="F2555" s="5" t="str">
        <f t="shared" si="248"/>
        <v/>
      </c>
      <c r="G2555" s="23"/>
      <c r="H2555" s="66"/>
      <c r="I2555" s="14"/>
      <c r="J2555" s="14"/>
      <c r="K2555" s="14"/>
      <c r="L2555" s="5" t="str">
        <f t="shared" si="243"/>
        <v/>
      </c>
      <c r="M2555" s="5" t="str">
        <f t="shared" si="244"/>
        <v/>
      </c>
      <c r="N2555" s="5" t="str">
        <f t="shared" si="245"/>
        <v/>
      </c>
      <c r="O2555" s="4"/>
    </row>
    <row r="2556" spans="1:15" x14ac:dyDescent="0.25">
      <c r="A2556" s="14"/>
      <c r="B2556" s="14"/>
      <c r="C2556" s="14"/>
      <c r="D2556" s="5" t="str">
        <f t="shared" si="246"/>
        <v/>
      </c>
      <c r="E2556" s="5" t="str">
        <f t="shared" si="247"/>
        <v/>
      </c>
      <c r="F2556" s="5" t="str">
        <f t="shared" si="248"/>
        <v/>
      </c>
      <c r="G2556" s="23"/>
      <c r="H2556" s="66"/>
      <c r="I2556" s="14"/>
      <c r="J2556" s="14"/>
      <c r="K2556" s="14"/>
      <c r="L2556" s="5" t="str">
        <f t="shared" si="243"/>
        <v/>
      </c>
      <c r="M2556" s="5" t="str">
        <f t="shared" si="244"/>
        <v/>
      </c>
      <c r="N2556" s="5" t="str">
        <f t="shared" si="245"/>
        <v/>
      </c>
      <c r="O2556" s="4"/>
    </row>
    <row r="2557" spans="1:15" x14ac:dyDescent="0.25">
      <c r="A2557" s="14"/>
      <c r="B2557" s="14"/>
      <c r="C2557" s="14"/>
      <c r="D2557" s="5" t="str">
        <f t="shared" si="246"/>
        <v/>
      </c>
      <c r="E2557" s="5" t="str">
        <f t="shared" si="247"/>
        <v/>
      </c>
      <c r="F2557" s="5" t="str">
        <f t="shared" si="248"/>
        <v/>
      </c>
      <c r="G2557" s="23"/>
      <c r="H2557" s="66"/>
      <c r="I2557" s="14"/>
      <c r="J2557" s="14"/>
      <c r="K2557" s="14"/>
      <c r="L2557" s="5" t="str">
        <f t="shared" si="243"/>
        <v/>
      </c>
      <c r="M2557" s="5" t="str">
        <f t="shared" si="244"/>
        <v/>
      </c>
      <c r="N2557" s="5" t="str">
        <f t="shared" si="245"/>
        <v/>
      </c>
      <c r="O2557" s="4"/>
    </row>
    <row r="2558" spans="1:15" x14ac:dyDescent="0.25">
      <c r="A2558" s="14"/>
      <c r="B2558" s="14"/>
      <c r="C2558" s="14"/>
      <c r="D2558" s="5" t="str">
        <f t="shared" si="246"/>
        <v/>
      </c>
      <c r="E2558" s="5" t="str">
        <f t="shared" si="247"/>
        <v/>
      </c>
      <c r="F2558" s="5" t="str">
        <f t="shared" si="248"/>
        <v/>
      </c>
      <c r="G2558" s="23"/>
      <c r="H2558" s="66"/>
      <c r="I2558" s="14"/>
      <c r="J2558" s="14"/>
      <c r="K2558" s="14"/>
      <c r="L2558" s="5" t="str">
        <f t="shared" si="243"/>
        <v/>
      </c>
      <c r="M2558" s="5" t="str">
        <f t="shared" si="244"/>
        <v/>
      </c>
      <c r="N2558" s="5" t="str">
        <f t="shared" si="245"/>
        <v/>
      </c>
      <c r="O2558" s="4"/>
    </row>
    <row r="2559" spans="1:15" x14ac:dyDescent="0.25">
      <c r="A2559" s="14"/>
      <c r="B2559" s="14"/>
      <c r="C2559" s="14"/>
      <c r="D2559" s="5" t="str">
        <f t="shared" si="246"/>
        <v/>
      </c>
      <c r="E2559" s="5" t="str">
        <f t="shared" si="247"/>
        <v/>
      </c>
      <c r="F2559" s="5" t="str">
        <f t="shared" si="248"/>
        <v/>
      </c>
      <c r="G2559" s="23"/>
      <c r="H2559" s="66"/>
      <c r="I2559" s="14"/>
      <c r="J2559" s="14"/>
      <c r="K2559" s="14"/>
      <c r="L2559" s="5" t="str">
        <f t="shared" si="243"/>
        <v/>
      </c>
      <c r="M2559" s="5" t="str">
        <f t="shared" si="244"/>
        <v/>
      </c>
      <c r="N2559" s="5" t="str">
        <f t="shared" si="245"/>
        <v/>
      </c>
      <c r="O2559" s="4"/>
    </row>
    <row r="2560" spans="1:15" x14ac:dyDescent="0.25">
      <c r="A2560" s="14"/>
      <c r="B2560" s="14"/>
      <c r="C2560" s="14"/>
      <c r="D2560" s="5" t="str">
        <f t="shared" si="246"/>
        <v/>
      </c>
      <c r="E2560" s="5" t="str">
        <f t="shared" si="247"/>
        <v/>
      </c>
      <c r="F2560" s="5" t="str">
        <f t="shared" si="248"/>
        <v/>
      </c>
      <c r="G2560" s="23"/>
      <c r="H2560" s="66"/>
      <c r="I2560" s="14"/>
      <c r="J2560" s="14"/>
      <c r="K2560" s="14"/>
      <c r="L2560" s="5" t="str">
        <f t="shared" si="243"/>
        <v/>
      </c>
      <c r="M2560" s="5" t="str">
        <f t="shared" si="244"/>
        <v/>
      </c>
      <c r="N2560" s="5" t="str">
        <f t="shared" si="245"/>
        <v/>
      </c>
      <c r="O2560" s="4"/>
    </row>
    <row r="2561" spans="1:15" x14ac:dyDescent="0.25">
      <c r="A2561" s="14"/>
      <c r="B2561" s="14"/>
      <c r="C2561" s="14"/>
      <c r="D2561" s="5" t="str">
        <f t="shared" si="246"/>
        <v/>
      </c>
      <c r="E2561" s="5" t="str">
        <f t="shared" si="247"/>
        <v/>
      </c>
      <c r="F2561" s="5" t="str">
        <f t="shared" si="248"/>
        <v/>
      </c>
      <c r="G2561" s="23"/>
      <c r="H2561" s="66"/>
      <c r="I2561" s="14"/>
      <c r="J2561" s="14"/>
      <c r="K2561" s="14"/>
      <c r="L2561" s="5" t="str">
        <f t="shared" si="243"/>
        <v/>
      </c>
      <c r="M2561" s="5" t="str">
        <f t="shared" si="244"/>
        <v/>
      </c>
      <c r="N2561" s="5" t="str">
        <f t="shared" si="245"/>
        <v/>
      </c>
      <c r="O2561" s="4"/>
    </row>
    <row r="2562" spans="1:15" x14ac:dyDescent="0.25">
      <c r="A2562" s="14"/>
      <c r="B2562" s="14"/>
      <c r="C2562" s="14"/>
      <c r="D2562" s="5" t="str">
        <f t="shared" si="246"/>
        <v/>
      </c>
      <c r="E2562" s="5" t="str">
        <f t="shared" si="247"/>
        <v/>
      </c>
      <c r="F2562" s="5" t="str">
        <f t="shared" si="248"/>
        <v/>
      </c>
      <c r="G2562" s="23"/>
      <c r="H2562" s="66"/>
      <c r="I2562" s="14"/>
      <c r="J2562" s="14"/>
      <c r="K2562" s="14"/>
      <c r="L2562" s="5" t="str">
        <f t="shared" si="243"/>
        <v/>
      </c>
      <c r="M2562" s="5" t="str">
        <f t="shared" si="244"/>
        <v/>
      </c>
      <c r="N2562" s="5" t="str">
        <f t="shared" si="245"/>
        <v/>
      </c>
      <c r="O2562" s="4"/>
    </row>
    <row r="2563" spans="1:15" x14ac:dyDescent="0.25">
      <c r="A2563" s="14"/>
      <c r="B2563" s="14"/>
      <c r="C2563" s="14"/>
      <c r="D2563" s="5" t="str">
        <f t="shared" si="246"/>
        <v/>
      </c>
      <c r="E2563" s="5" t="str">
        <f t="shared" si="247"/>
        <v/>
      </c>
      <c r="F2563" s="5" t="str">
        <f t="shared" si="248"/>
        <v/>
      </c>
      <c r="G2563" s="23"/>
      <c r="H2563" s="66"/>
      <c r="I2563" s="14"/>
      <c r="J2563" s="14"/>
      <c r="K2563" s="14"/>
      <c r="L2563" s="5" t="str">
        <f t="shared" si="243"/>
        <v/>
      </c>
      <c r="M2563" s="5" t="str">
        <f t="shared" si="244"/>
        <v/>
      </c>
      <c r="N2563" s="5" t="str">
        <f t="shared" si="245"/>
        <v/>
      </c>
      <c r="O2563" s="4"/>
    </row>
    <row r="2564" spans="1:15" x14ac:dyDescent="0.25">
      <c r="A2564" s="14"/>
      <c r="B2564" s="14"/>
      <c r="C2564" s="14"/>
      <c r="D2564" s="5" t="str">
        <f t="shared" si="246"/>
        <v/>
      </c>
      <c r="E2564" s="5" t="str">
        <f t="shared" si="247"/>
        <v/>
      </c>
      <c r="F2564" s="5" t="str">
        <f t="shared" si="248"/>
        <v/>
      </c>
      <c r="G2564" s="23"/>
      <c r="H2564" s="66"/>
      <c r="I2564" s="14"/>
      <c r="J2564" s="14"/>
      <c r="K2564" s="14"/>
      <c r="L2564" s="5" t="str">
        <f t="shared" si="243"/>
        <v/>
      </c>
      <c r="M2564" s="5" t="str">
        <f t="shared" si="244"/>
        <v/>
      </c>
      <c r="N2564" s="5" t="str">
        <f t="shared" si="245"/>
        <v/>
      </c>
      <c r="O2564" s="4"/>
    </row>
    <row r="2565" spans="1:15" x14ac:dyDescent="0.25">
      <c r="A2565" s="14"/>
      <c r="B2565" s="14"/>
      <c r="C2565" s="14"/>
      <c r="D2565" s="5" t="str">
        <f t="shared" si="246"/>
        <v/>
      </c>
      <c r="E2565" s="5" t="str">
        <f t="shared" si="247"/>
        <v/>
      </c>
      <c r="F2565" s="5" t="str">
        <f t="shared" si="248"/>
        <v/>
      </c>
      <c r="G2565" s="23"/>
      <c r="H2565" s="66"/>
      <c r="I2565" s="14"/>
      <c r="J2565" s="14"/>
      <c r="K2565" s="14"/>
      <c r="L2565" s="5" t="str">
        <f t="shared" si="243"/>
        <v/>
      </c>
      <c r="M2565" s="5" t="str">
        <f t="shared" si="244"/>
        <v/>
      </c>
      <c r="N2565" s="5" t="str">
        <f t="shared" si="245"/>
        <v/>
      </c>
      <c r="O2565" s="4"/>
    </row>
    <row r="2566" spans="1:15" x14ac:dyDescent="0.25">
      <c r="A2566" s="14"/>
      <c r="B2566" s="14"/>
      <c r="C2566" s="14"/>
      <c r="D2566" s="5" t="str">
        <f t="shared" si="246"/>
        <v/>
      </c>
      <c r="E2566" s="5" t="str">
        <f t="shared" si="247"/>
        <v/>
      </c>
      <c r="F2566" s="5" t="str">
        <f t="shared" si="248"/>
        <v/>
      </c>
      <c r="G2566" s="23"/>
      <c r="H2566" s="66"/>
      <c r="I2566" s="14"/>
      <c r="J2566" s="14"/>
      <c r="K2566" s="14"/>
      <c r="L2566" s="5" t="str">
        <f t="shared" si="243"/>
        <v/>
      </c>
      <c r="M2566" s="5" t="str">
        <f t="shared" si="244"/>
        <v/>
      </c>
      <c r="N2566" s="5" t="str">
        <f t="shared" si="245"/>
        <v/>
      </c>
      <c r="O2566" s="4"/>
    </row>
    <row r="2567" spans="1:15" x14ac:dyDescent="0.25">
      <c r="A2567" s="14"/>
      <c r="B2567" s="14"/>
      <c r="C2567" s="14"/>
      <c r="D2567" s="5" t="str">
        <f t="shared" si="246"/>
        <v/>
      </c>
      <c r="E2567" s="5" t="str">
        <f t="shared" si="247"/>
        <v/>
      </c>
      <c r="F2567" s="5" t="str">
        <f t="shared" si="248"/>
        <v/>
      </c>
      <c r="G2567" s="23"/>
      <c r="H2567" s="66"/>
      <c r="I2567" s="14"/>
      <c r="J2567" s="14"/>
      <c r="K2567" s="14"/>
      <c r="L2567" s="5" t="str">
        <f t="shared" si="243"/>
        <v/>
      </c>
      <c r="M2567" s="5" t="str">
        <f t="shared" si="244"/>
        <v/>
      </c>
      <c r="N2567" s="5" t="str">
        <f t="shared" si="245"/>
        <v/>
      </c>
      <c r="O2567" s="4"/>
    </row>
    <row r="2568" spans="1:15" x14ac:dyDescent="0.25">
      <c r="A2568" s="14"/>
      <c r="B2568" s="14"/>
      <c r="C2568" s="14"/>
      <c r="D2568" s="5" t="str">
        <f t="shared" si="246"/>
        <v/>
      </c>
      <c r="E2568" s="5" t="str">
        <f t="shared" si="247"/>
        <v/>
      </c>
      <c r="F2568" s="5" t="str">
        <f t="shared" si="248"/>
        <v/>
      </c>
      <c r="G2568" s="23"/>
      <c r="H2568" s="66"/>
      <c r="I2568" s="14"/>
      <c r="J2568" s="14"/>
      <c r="K2568" s="14"/>
      <c r="L2568" s="5" t="str">
        <f t="shared" si="243"/>
        <v/>
      </c>
      <c r="M2568" s="5" t="str">
        <f t="shared" si="244"/>
        <v/>
      </c>
      <c r="N2568" s="5" t="str">
        <f t="shared" si="245"/>
        <v/>
      </c>
      <c r="O2568" s="4"/>
    </row>
    <row r="2569" spans="1:15" x14ac:dyDescent="0.25">
      <c r="A2569" s="14"/>
      <c r="B2569" s="14"/>
      <c r="C2569" s="14"/>
      <c r="D2569" s="5" t="str">
        <f t="shared" si="246"/>
        <v/>
      </c>
      <c r="E2569" s="5" t="str">
        <f t="shared" si="247"/>
        <v/>
      </c>
      <c r="F2569" s="5" t="str">
        <f t="shared" si="248"/>
        <v/>
      </c>
      <c r="G2569" s="23"/>
      <c r="H2569" s="66"/>
      <c r="I2569" s="14"/>
      <c r="J2569" s="14"/>
      <c r="K2569" s="14"/>
      <c r="L2569" s="5" t="str">
        <f t="shared" si="243"/>
        <v/>
      </c>
      <c r="M2569" s="5" t="str">
        <f t="shared" si="244"/>
        <v/>
      </c>
      <c r="N2569" s="5" t="str">
        <f t="shared" si="245"/>
        <v/>
      </c>
      <c r="O2569" s="4"/>
    </row>
    <row r="2570" spans="1:15" x14ac:dyDescent="0.25">
      <c r="A2570" s="14"/>
      <c r="B2570" s="14"/>
      <c r="C2570" s="14"/>
      <c r="D2570" s="5" t="str">
        <f t="shared" si="246"/>
        <v/>
      </c>
      <c r="E2570" s="5" t="str">
        <f t="shared" si="247"/>
        <v/>
      </c>
      <c r="F2570" s="5" t="str">
        <f t="shared" si="248"/>
        <v/>
      </c>
      <c r="G2570" s="23"/>
      <c r="H2570" s="66"/>
      <c r="I2570" s="14"/>
      <c r="J2570" s="14"/>
      <c r="K2570" s="14"/>
      <c r="L2570" s="5" t="str">
        <f t="shared" si="243"/>
        <v/>
      </c>
      <c r="M2570" s="5" t="str">
        <f t="shared" si="244"/>
        <v/>
      </c>
      <c r="N2570" s="5" t="str">
        <f t="shared" si="245"/>
        <v/>
      </c>
      <c r="O2570" s="4"/>
    </row>
    <row r="2571" spans="1:15" x14ac:dyDescent="0.25">
      <c r="A2571" s="14"/>
      <c r="B2571" s="14"/>
      <c r="C2571" s="14"/>
      <c r="D2571" s="5" t="str">
        <f t="shared" si="246"/>
        <v/>
      </c>
      <c r="E2571" s="5" t="str">
        <f t="shared" si="247"/>
        <v/>
      </c>
      <c r="F2571" s="5" t="str">
        <f t="shared" si="248"/>
        <v/>
      </c>
      <c r="G2571" s="23"/>
      <c r="H2571" s="66"/>
      <c r="I2571" s="14"/>
      <c r="J2571" s="14"/>
      <c r="K2571" s="14"/>
      <c r="L2571" s="5" t="str">
        <f t="shared" si="243"/>
        <v/>
      </c>
      <c r="M2571" s="5" t="str">
        <f t="shared" si="244"/>
        <v/>
      </c>
      <c r="N2571" s="5" t="str">
        <f t="shared" si="245"/>
        <v/>
      </c>
      <c r="O2571" s="4"/>
    </row>
    <row r="2572" spans="1:15" x14ac:dyDescent="0.25">
      <c r="A2572" s="14"/>
      <c r="B2572" s="14"/>
      <c r="C2572" s="14"/>
      <c r="D2572" s="5" t="str">
        <f t="shared" si="246"/>
        <v/>
      </c>
      <c r="E2572" s="5" t="str">
        <f t="shared" si="247"/>
        <v/>
      </c>
      <c r="F2572" s="5" t="str">
        <f t="shared" si="248"/>
        <v/>
      </c>
      <c r="G2572" s="23"/>
      <c r="H2572" s="66"/>
      <c r="I2572" s="14"/>
      <c r="J2572" s="14"/>
      <c r="K2572" s="14"/>
      <c r="L2572" s="5" t="str">
        <f t="shared" si="243"/>
        <v/>
      </c>
      <c r="M2572" s="5" t="str">
        <f t="shared" si="244"/>
        <v/>
      </c>
      <c r="N2572" s="5" t="str">
        <f t="shared" si="245"/>
        <v/>
      </c>
      <c r="O2572" s="4"/>
    </row>
    <row r="2573" spans="1:15" x14ac:dyDescent="0.25">
      <c r="A2573" s="14"/>
      <c r="B2573" s="14"/>
      <c r="C2573" s="14"/>
      <c r="D2573" s="5" t="str">
        <f t="shared" si="246"/>
        <v/>
      </c>
      <c r="E2573" s="5" t="str">
        <f t="shared" si="247"/>
        <v/>
      </c>
      <c r="F2573" s="5" t="str">
        <f t="shared" si="248"/>
        <v/>
      </c>
      <c r="G2573" s="23"/>
      <c r="H2573" s="66"/>
      <c r="I2573" s="14"/>
      <c r="J2573" s="14"/>
      <c r="K2573" s="14"/>
      <c r="L2573" s="5" t="str">
        <f t="shared" si="243"/>
        <v/>
      </c>
      <c r="M2573" s="5" t="str">
        <f t="shared" si="244"/>
        <v/>
      </c>
      <c r="N2573" s="5" t="str">
        <f t="shared" si="245"/>
        <v/>
      </c>
      <c r="O2573" s="4"/>
    </row>
    <row r="2574" spans="1:15" x14ac:dyDescent="0.25">
      <c r="A2574" s="14"/>
      <c r="B2574" s="14"/>
      <c r="C2574" s="14"/>
      <c r="D2574" s="5" t="str">
        <f t="shared" si="246"/>
        <v/>
      </c>
      <c r="E2574" s="5" t="str">
        <f t="shared" si="247"/>
        <v/>
      </c>
      <c r="F2574" s="5" t="str">
        <f t="shared" si="248"/>
        <v/>
      </c>
      <c r="G2574" s="23"/>
      <c r="H2574" s="66"/>
      <c r="I2574" s="14"/>
      <c r="J2574" s="14"/>
      <c r="K2574" s="14"/>
      <c r="L2574" s="5" t="str">
        <f t="shared" si="243"/>
        <v/>
      </c>
      <c r="M2574" s="5" t="str">
        <f t="shared" si="244"/>
        <v/>
      </c>
      <c r="N2574" s="5" t="str">
        <f t="shared" si="245"/>
        <v/>
      </c>
      <c r="O2574" s="4"/>
    </row>
    <row r="2575" spans="1:15" x14ac:dyDescent="0.25">
      <c r="A2575" s="14"/>
      <c r="B2575" s="14"/>
      <c r="C2575" s="14"/>
      <c r="D2575" s="5" t="str">
        <f t="shared" si="246"/>
        <v/>
      </c>
      <c r="E2575" s="5" t="str">
        <f t="shared" si="247"/>
        <v/>
      </c>
      <c r="F2575" s="5" t="str">
        <f t="shared" si="248"/>
        <v/>
      </c>
      <c r="G2575" s="23"/>
      <c r="H2575" s="66"/>
      <c r="I2575" s="14"/>
      <c r="J2575" s="14"/>
      <c r="K2575" s="14"/>
      <c r="L2575" s="5" t="str">
        <f t="shared" si="243"/>
        <v/>
      </c>
      <c r="M2575" s="5" t="str">
        <f t="shared" si="244"/>
        <v/>
      </c>
      <c r="N2575" s="5" t="str">
        <f t="shared" si="245"/>
        <v/>
      </c>
      <c r="O2575" s="4"/>
    </row>
    <row r="2576" spans="1:15" x14ac:dyDescent="0.25">
      <c r="A2576" s="14"/>
      <c r="B2576" s="14"/>
      <c r="C2576" s="14"/>
      <c r="D2576" s="5" t="str">
        <f t="shared" si="246"/>
        <v/>
      </c>
      <c r="E2576" s="5" t="str">
        <f t="shared" si="247"/>
        <v/>
      </c>
      <c r="F2576" s="5" t="str">
        <f t="shared" si="248"/>
        <v/>
      </c>
      <c r="G2576" s="23"/>
      <c r="H2576" s="66"/>
      <c r="I2576" s="14"/>
      <c r="J2576" s="14"/>
      <c r="K2576" s="14"/>
      <c r="L2576" s="5" t="str">
        <f t="shared" si="243"/>
        <v/>
      </c>
      <c r="M2576" s="5" t="str">
        <f t="shared" si="244"/>
        <v/>
      </c>
      <c r="N2576" s="5" t="str">
        <f t="shared" si="245"/>
        <v/>
      </c>
      <c r="O2576" s="4"/>
    </row>
    <row r="2577" spans="1:15" x14ac:dyDescent="0.25">
      <c r="A2577" s="14"/>
      <c r="B2577" s="14"/>
      <c r="C2577" s="14"/>
      <c r="D2577" s="5" t="str">
        <f t="shared" si="246"/>
        <v/>
      </c>
      <c r="E2577" s="5" t="str">
        <f t="shared" si="247"/>
        <v/>
      </c>
      <c r="F2577" s="5" t="str">
        <f t="shared" si="248"/>
        <v/>
      </c>
      <c r="G2577" s="23"/>
      <c r="H2577" s="66"/>
      <c r="I2577" s="14"/>
      <c r="J2577" s="14"/>
      <c r="K2577" s="14"/>
      <c r="L2577" s="5" t="str">
        <f t="shared" ref="L2577:L2640" si="249">IFERROR(IF(I2577&lt;&gt;"",(((J2577-J2576)*$X$4/(I2577-I2576)))*$X$5,""),"")</f>
        <v/>
      </c>
      <c r="M2577" s="5" t="str">
        <f t="shared" ref="M2577:M2640" si="250">IFERROR(IF(I2577&lt;&gt;"",(((K2577-K2576)*$X$4/(I2577-I2576)))*$X$5,""),"")</f>
        <v/>
      </c>
      <c r="N2577" s="5" t="str">
        <f t="shared" ref="N2577:N2640" si="251">IFERROR(IF(I2577&lt;&gt;"",((ACOS((COS(RADIANS(J2576))*COS(RADIANS(J2577)))+(SIN(RADIANS(J2576))*SIN(RADIANS(J2577)))*COS(RADIANS(K2577-K2576)))*180/PI()*($X$4/(I2577-I2576))))*$X$5,""),"")</f>
        <v/>
      </c>
      <c r="O2577" s="4"/>
    </row>
    <row r="2578" spans="1:15" x14ac:dyDescent="0.25">
      <c r="A2578" s="14"/>
      <c r="B2578" s="14"/>
      <c r="C2578" s="14"/>
      <c r="D2578" s="5" t="str">
        <f t="shared" si="246"/>
        <v/>
      </c>
      <c r="E2578" s="5" t="str">
        <f t="shared" si="247"/>
        <v/>
      </c>
      <c r="F2578" s="5" t="str">
        <f t="shared" si="248"/>
        <v/>
      </c>
      <c r="G2578" s="23"/>
      <c r="H2578" s="66"/>
      <c r="I2578" s="14"/>
      <c r="J2578" s="14"/>
      <c r="K2578" s="14"/>
      <c r="L2578" s="5" t="str">
        <f t="shared" si="249"/>
        <v/>
      </c>
      <c r="M2578" s="5" t="str">
        <f t="shared" si="250"/>
        <v/>
      </c>
      <c r="N2578" s="5" t="str">
        <f t="shared" si="251"/>
        <v/>
      </c>
      <c r="O2578" s="4"/>
    </row>
    <row r="2579" spans="1:15" x14ac:dyDescent="0.25">
      <c r="A2579" s="14"/>
      <c r="B2579" s="14"/>
      <c r="C2579" s="14"/>
      <c r="D2579" s="5" t="str">
        <f t="shared" si="246"/>
        <v/>
      </c>
      <c r="E2579" s="5" t="str">
        <f t="shared" si="247"/>
        <v/>
      </c>
      <c r="F2579" s="5" t="str">
        <f t="shared" si="248"/>
        <v/>
      </c>
      <c r="G2579" s="23"/>
      <c r="H2579" s="66"/>
      <c r="I2579" s="14"/>
      <c r="J2579" s="14"/>
      <c r="K2579" s="14"/>
      <c r="L2579" s="5" t="str">
        <f t="shared" si="249"/>
        <v/>
      </c>
      <c r="M2579" s="5" t="str">
        <f t="shared" si="250"/>
        <v/>
      </c>
      <c r="N2579" s="5" t="str">
        <f t="shared" si="251"/>
        <v/>
      </c>
      <c r="O2579" s="4"/>
    </row>
    <row r="2580" spans="1:15" x14ac:dyDescent="0.25">
      <c r="A2580" s="14"/>
      <c r="B2580" s="14"/>
      <c r="C2580" s="14"/>
      <c r="D2580" s="5" t="str">
        <f t="shared" si="246"/>
        <v/>
      </c>
      <c r="E2580" s="5" t="str">
        <f t="shared" si="247"/>
        <v/>
      </c>
      <c r="F2580" s="5" t="str">
        <f t="shared" si="248"/>
        <v/>
      </c>
      <c r="G2580" s="23"/>
      <c r="H2580" s="66"/>
      <c r="I2580" s="14"/>
      <c r="J2580" s="14"/>
      <c r="K2580" s="14"/>
      <c r="L2580" s="5" t="str">
        <f t="shared" si="249"/>
        <v/>
      </c>
      <c r="M2580" s="5" t="str">
        <f t="shared" si="250"/>
        <v/>
      </c>
      <c r="N2580" s="5" t="str">
        <f t="shared" si="251"/>
        <v/>
      </c>
      <c r="O2580" s="4"/>
    </row>
    <row r="2581" spans="1:15" x14ac:dyDescent="0.25">
      <c r="A2581" s="14"/>
      <c r="B2581" s="14"/>
      <c r="C2581" s="14"/>
      <c r="D2581" s="5" t="str">
        <f t="shared" si="246"/>
        <v/>
      </c>
      <c r="E2581" s="5" t="str">
        <f t="shared" si="247"/>
        <v/>
      </c>
      <c r="F2581" s="5" t="str">
        <f t="shared" si="248"/>
        <v/>
      </c>
      <c r="G2581" s="23"/>
      <c r="H2581" s="66"/>
      <c r="I2581" s="14"/>
      <c r="J2581" s="14"/>
      <c r="K2581" s="14"/>
      <c r="L2581" s="5" t="str">
        <f t="shared" si="249"/>
        <v/>
      </c>
      <c r="M2581" s="5" t="str">
        <f t="shared" si="250"/>
        <v/>
      </c>
      <c r="N2581" s="5" t="str">
        <f t="shared" si="251"/>
        <v/>
      </c>
      <c r="O2581" s="4"/>
    </row>
    <row r="2582" spans="1:15" x14ac:dyDescent="0.25">
      <c r="A2582" s="14"/>
      <c r="B2582" s="14"/>
      <c r="C2582" s="14"/>
      <c r="D2582" s="5" t="str">
        <f t="shared" si="246"/>
        <v/>
      </c>
      <c r="E2582" s="5" t="str">
        <f t="shared" si="247"/>
        <v/>
      </c>
      <c r="F2582" s="5" t="str">
        <f t="shared" si="248"/>
        <v/>
      </c>
      <c r="G2582" s="23"/>
      <c r="H2582" s="66"/>
      <c r="I2582" s="14"/>
      <c r="J2582" s="14"/>
      <c r="K2582" s="14"/>
      <c r="L2582" s="5" t="str">
        <f t="shared" si="249"/>
        <v/>
      </c>
      <c r="M2582" s="5" t="str">
        <f t="shared" si="250"/>
        <v/>
      </c>
      <c r="N2582" s="5" t="str">
        <f t="shared" si="251"/>
        <v/>
      </c>
      <c r="O2582" s="4"/>
    </row>
    <row r="2583" spans="1:15" x14ac:dyDescent="0.25">
      <c r="A2583" s="14"/>
      <c r="B2583" s="14"/>
      <c r="C2583" s="14"/>
      <c r="D2583" s="5" t="str">
        <f t="shared" si="246"/>
        <v/>
      </c>
      <c r="E2583" s="5" t="str">
        <f t="shared" si="247"/>
        <v/>
      </c>
      <c r="F2583" s="5" t="str">
        <f t="shared" si="248"/>
        <v/>
      </c>
      <c r="G2583" s="23"/>
      <c r="H2583" s="66"/>
      <c r="I2583" s="14"/>
      <c r="J2583" s="14"/>
      <c r="K2583" s="14"/>
      <c r="L2583" s="5" t="str">
        <f t="shared" si="249"/>
        <v/>
      </c>
      <c r="M2583" s="5" t="str">
        <f t="shared" si="250"/>
        <v/>
      </c>
      <c r="N2583" s="5" t="str">
        <f t="shared" si="251"/>
        <v/>
      </c>
      <c r="O2583" s="4"/>
    </row>
    <row r="2584" spans="1:15" x14ac:dyDescent="0.25">
      <c r="A2584" s="14"/>
      <c r="B2584" s="14"/>
      <c r="C2584" s="14"/>
      <c r="D2584" s="5" t="str">
        <f t="shared" si="246"/>
        <v/>
      </c>
      <c r="E2584" s="5" t="str">
        <f t="shared" si="247"/>
        <v/>
      </c>
      <c r="F2584" s="5" t="str">
        <f t="shared" si="248"/>
        <v/>
      </c>
      <c r="G2584" s="23"/>
      <c r="H2584" s="66"/>
      <c r="I2584" s="14"/>
      <c r="J2584" s="14"/>
      <c r="K2584" s="14"/>
      <c r="L2584" s="5" t="str">
        <f t="shared" si="249"/>
        <v/>
      </c>
      <c r="M2584" s="5" t="str">
        <f t="shared" si="250"/>
        <v/>
      </c>
      <c r="N2584" s="5" t="str">
        <f t="shared" si="251"/>
        <v/>
      </c>
      <c r="O2584" s="4"/>
    </row>
    <row r="2585" spans="1:15" x14ac:dyDescent="0.25">
      <c r="A2585" s="14"/>
      <c r="B2585" s="14"/>
      <c r="C2585" s="14"/>
      <c r="D2585" s="5" t="str">
        <f t="shared" ref="D2585:D2648" si="252">IFERROR( IF(A2585&lt;&gt;"",((B2585-B2584)*$X$4/(A2585-A2584))*$X$5,""),"")</f>
        <v/>
      </c>
      <c r="E2585" s="5" t="str">
        <f t="shared" ref="E2585:E2648" si="253">IFERROR(IF(A2585&lt;&gt;"",((C2585-C2584)*$X$4/(A2585-A2584))*$X$5,""),"")</f>
        <v/>
      </c>
      <c r="F2585" s="5" t="str">
        <f t="shared" ref="F2585:F2648" si="254">IFERROR(IF(A2585&lt;&gt;"",((ACOS((COS(RADIANS(B2584))*COS(RADIANS(B2585)))+(SIN(RADIANS(B2584))*SIN(RADIANS(B2585)))*COS(RADIANS(C2585-C2584)))*180/PI()*($X$4/(A2585-A2584))))*$X$5,""),"")</f>
        <v/>
      </c>
      <c r="G2585" s="23"/>
      <c r="H2585" s="66"/>
      <c r="I2585" s="14"/>
      <c r="J2585" s="14"/>
      <c r="K2585" s="14"/>
      <c r="L2585" s="5" t="str">
        <f t="shared" si="249"/>
        <v/>
      </c>
      <c r="M2585" s="5" t="str">
        <f t="shared" si="250"/>
        <v/>
      </c>
      <c r="N2585" s="5" t="str">
        <f t="shared" si="251"/>
        <v/>
      </c>
      <c r="O2585" s="4"/>
    </row>
    <row r="2586" spans="1:15" x14ac:dyDescent="0.25">
      <c r="A2586" s="14"/>
      <c r="B2586" s="14"/>
      <c r="C2586" s="14"/>
      <c r="D2586" s="5" t="str">
        <f t="shared" si="252"/>
        <v/>
      </c>
      <c r="E2586" s="5" t="str">
        <f t="shared" si="253"/>
        <v/>
      </c>
      <c r="F2586" s="5" t="str">
        <f t="shared" si="254"/>
        <v/>
      </c>
      <c r="G2586" s="23"/>
      <c r="H2586" s="66"/>
      <c r="I2586" s="14"/>
      <c r="J2586" s="14"/>
      <c r="K2586" s="14"/>
      <c r="L2586" s="5" t="str">
        <f t="shared" si="249"/>
        <v/>
      </c>
      <c r="M2586" s="5" t="str">
        <f t="shared" si="250"/>
        <v/>
      </c>
      <c r="N2586" s="5" t="str">
        <f t="shared" si="251"/>
        <v/>
      </c>
      <c r="O2586" s="4"/>
    </row>
    <row r="2587" spans="1:15" x14ac:dyDescent="0.25">
      <c r="A2587" s="14"/>
      <c r="B2587" s="14"/>
      <c r="C2587" s="14"/>
      <c r="D2587" s="5" t="str">
        <f t="shared" si="252"/>
        <v/>
      </c>
      <c r="E2587" s="5" t="str">
        <f t="shared" si="253"/>
        <v/>
      </c>
      <c r="F2587" s="5" t="str">
        <f t="shared" si="254"/>
        <v/>
      </c>
      <c r="G2587" s="23"/>
      <c r="H2587" s="66"/>
      <c r="I2587" s="14"/>
      <c r="J2587" s="14"/>
      <c r="K2587" s="14"/>
      <c r="L2587" s="5" t="str">
        <f t="shared" si="249"/>
        <v/>
      </c>
      <c r="M2587" s="5" t="str">
        <f t="shared" si="250"/>
        <v/>
      </c>
      <c r="N2587" s="5" t="str">
        <f t="shared" si="251"/>
        <v/>
      </c>
      <c r="O2587" s="4"/>
    </row>
    <row r="2588" spans="1:15" x14ac:dyDescent="0.25">
      <c r="A2588" s="14"/>
      <c r="B2588" s="14"/>
      <c r="C2588" s="14"/>
      <c r="D2588" s="5" t="str">
        <f t="shared" si="252"/>
        <v/>
      </c>
      <c r="E2588" s="5" t="str">
        <f t="shared" si="253"/>
        <v/>
      </c>
      <c r="F2588" s="5" t="str">
        <f t="shared" si="254"/>
        <v/>
      </c>
      <c r="G2588" s="23"/>
      <c r="H2588" s="66"/>
      <c r="I2588" s="14"/>
      <c r="J2588" s="14"/>
      <c r="K2588" s="14"/>
      <c r="L2588" s="5" t="str">
        <f t="shared" si="249"/>
        <v/>
      </c>
      <c r="M2588" s="5" t="str">
        <f t="shared" si="250"/>
        <v/>
      </c>
      <c r="N2588" s="5" t="str">
        <f t="shared" si="251"/>
        <v/>
      </c>
      <c r="O2588" s="4"/>
    </row>
    <row r="2589" spans="1:15" x14ac:dyDescent="0.25">
      <c r="A2589" s="14"/>
      <c r="B2589" s="14"/>
      <c r="C2589" s="14"/>
      <c r="D2589" s="5" t="str">
        <f t="shared" si="252"/>
        <v/>
      </c>
      <c r="E2589" s="5" t="str">
        <f t="shared" si="253"/>
        <v/>
      </c>
      <c r="F2589" s="5" t="str">
        <f t="shared" si="254"/>
        <v/>
      </c>
      <c r="G2589" s="23"/>
      <c r="H2589" s="66"/>
      <c r="I2589" s="14"/>
      <c r="J2589" s="14"/>
      <c r="K2589" s="14"/>
      <c r="L2589" s="5" t="str">
        <f t="shared" si="249"/>
        <v/>
      </c>
      <c r="M2589" s="5" t="str">
        <f t="shared" si="250"/>
        <v/>
      </c>
      <c r="N2589" s="5" t="str">
        <f t="shared" si="251"/>
        <v/>
      </c>
      <c r="O2589" s="4"/>
    </row>
    <row r="2590" spans="1:15" x14ac:dyDescent="0.25">
      <c r="A2590" s="14"/>
      <c r="B2590" s="14"/>
      <c r="C2590" s="14"/>
      <c r="D2590" s="5" t="str">
        <f t="shared" si="252"/>
        <v/>
      </c>
      <c r="E2590" s="5" t="str">
        <f t="shared" si="253"/>
        <v/>
      </c>
      <c r="F2590" s="5" t="str">
        <f t="shared" si="254"/>
        <v/>
      </c>
      <c r="G2590" s="23"/>
      <c r="H2590" s="66"/>
      <c r="I2590" s="14"/>
      <c r="J2590" s="14"/>
      <c r="K2590" s="14"/>
      <c r="L2590" s="5" t="str">
        <f t="shared" si="249"/>
        <v/>
      </c>
      <c r="M2590" s="5" t="str">
        <f t="shared" si="250"/>
        <v/>
      </c>
      <c r="N2590" s="5" t="str">
        <f t="shared" si="251"/>
        <v/>
      </c>
      <c r="O2590" s="4"/>
    </row>
    <row r="2591" spans="1:15" x14ac:dyDescent="0.25">
      <c r="A2591" s="14"/>
      <c r="B2591" s="14"/>
      <c r="C2591" s="14"/>
      <c r="D2591" s="5" t="str">
        <f t="shared" si="252"/>
        <v/>
      </c>
      <c r="E2591" s="5" t="str">
        <f t="shared" si="253"/>
        <v/>
      </c>
      <c r="F2591" s="5" t="str">
        <f t="shared" si="254"/>
        <v/>
      </c>
      <c r="G2591" s="23"/>
      <c r="H2591" s="66"/>
      <c r="I2591" s="14"/>
      <c r="J2591" s="14"/>
      <c r="K2591" s="14"/>
      <c r="L2591" s="5" t="str">
        <f t="shared" si="249"/>
        <v/>
      </c>
      <c r="M2591" s="5" t="str">
        <f t="shared" si="250"/>
        <v/>
      </c>
      <c r="N2591" s="5" t="str">
        <f t="shared" si="251"/>
        <v/>
      </c>
      <c r="O2591" s="4"/>
    </row>
    <row r="2592" spans="1:15" x14ac:dyDescent="0.25">
      <c r="A2592" s="14"/>
      <c r="B2592" s="14"/>
      <c r="C2592" s="14"/>
      <c r="D2592" s="5" t="str">
        <f t="shared" si="252"/>
        <v/>
      </c>
      <c r="E2592" s="5" t="str">
        <f t="shared" si="253"/>
        <v/>
      </c>
      <c r="F2592" s="5" t="str">
        <f t="shared" si="254"/>
        <v/>
      </c>
      <c r="G2592" s="23"/>
      <c r="H2592" s="66"/>
      <c r="I2592" s="14"/>
      <c r="J2592" s="14"/>
      <c r="K2592" s="14"/>
      <c r="L2592" s="5" t="str">
        <f t="shared" si="249"/>
        <v/>
      </c>
      <c r="M2592" s="5" t="str">
        <f t="shared" si="250"/>
        <v/>
      </c>
      <c r="N2592" s="5" t="str">
        <f t="shared" si="251"/>
        <v/>
      </c>
      <c r="O2592" s="4"/>
    </row>
    <row r="2593" spans="1:15" x14ac:dyDescent="0.25">
      <c r="A2593" s="14"/>
      <c r="B2593" s="14"/>
      <c r="C2593" s="14"/>
      <c r="D2593" s="5" t="str">
        <f t="shared" si="252"/>
        <v/>
      </c>
      <c r="E2593" s="5" t="str">
        <f t="shared" si="253"/>
        <v/>
      </c>
      <c r="F2593" s="5" t="str">
        <f t="shared" si="254"/>
        <v/>
      </c>
      <c r="G2593" s="23"/>
      <c r="H2593" s="66"/>
      <c r="I2593" s="14"/>
      <c r="J2593" s="14"/>
      <c r="K2593" s="14"/>
      <c r="L2593" s="5" t="str">
        <f t="shared" si="249"/>
        <v/>
      </c>
      <c r="M2593" s="5" t="str">
        <f t="shared" si="250"/>
        <v/>
      </c>
      <c r="N2593" s="5" t="str">
        <f t="shared" si="251"/>
        <v/>
      </c>
      <c r="O2593" s="4"/>
    </row>
    <row r="2594" spans="1:15" x14ac:dyDescent="0.25">
      <c r="A2594" s="14"/>
      <c r="B2594" s="14"/>
      <c r="C2594" s="14"/>
      <c r="D2594" s="5" t="str">
        <f t="shared" si="252"/>
        <v/>
      </c>
      <c r="E2594" s="5" t="str">
        <f t="shared" si="253"/>
        <v/>
      </c>
      <c r="F2594" s="5" t="str">
        <f t="shared" si="254"/>
        <v/>
      </c>
      <c r="G2594" s="23"/>
      <c r="H2594" s="66"/>
      <c r="I2594" s="14"/>
      <c r="J2594" s="14"/>
      <c r="K2594" s="14"/>
      <c r="L2594" s="5" t="str">
        <f t="shared" si="249"/>
        <v/>
      </c>
      <c r="M2594" s="5" t="str">
        <f t="shared" si="250"/>
        <v/>
      </c>
      <c r="N2594" s="5" t="str">
        <f t="shared" si="251"/>
        <v/>
      </c>
      <c r="O2594" s="4"/>
    </row>
    <row r="2595" spans="1:15" x14ac:dyDescent="0.25">
      <c r="A2595" s="14"/>
      <c r="B2595" s="14"/>
      <c r="C2595" s="14"/>
      <c r="D2595" s="5" t="str">
        <f t="shared" si="252"/>
        <v/>
      </c>
      <c r="E2595" s="5" t="str">
        <f t="shared" si="253"/>
        <v/>
      </c>
      <c r="F2595" s="5" t="str">
        <f t="shared" si="254"/>
        <v/>
      </c>
      <c r="G2595" s="23"/>
      <c r="H2595" s="66"/>
      <c r="I2595" s="14"/>
      <c r="J2595" s="14"/>
      <c r="K2595" s="14"/>
      <c r="L2595" s="5" t="str">
        <f t="shared" si="249"/>
        <v/>
      </c>
      <c r="M2595" s="5" t="str">
        <f t="shared" si="250"/>
        <v/>
      </c>
      <c r="N2595" s="5" t="str">
        <f t="shared" si="251"/>
        <v/>
      </c>
      <c r="O2595" s="4"/>
    </row>
    <row r="2596" spans="1:15" x14ac:dyDescent="0.25">
      <c r="A2596" s="14"/>
      <c r="B2596" s="14"/>
      <c r="C2596" s="14"/>
      <c r="D2596" s="5" t="str">
        <f t="shared" si="252"/>
        <v/>
      </c>
      <c r="E2596" s="5" t="str">
        <f t="shared" si="253"/>
        <v/>
      </c>
      <c r="F2596" s="5" t="str">
        <f t="shared" si="254"/>
        <v/>
      </c>
      <c r="G2596" s="23"/>
      <c r="H2596" s="66"/>
      <c r="I2596" s="14"/>
      <c r="J2596" s="14"/>
      <c r="K2596" s="14"/>
      <c r="L2596" s="5" t="str">
        <f t="shared" si="249"/>
        <v/>
      </c>
      <c r="M2596" s="5" t="str">
        <f t="shared" si="250"/>
        <v/>
      </c>
      <c r="N2596" s="5" t="str">
        <f t="shared" si="251"/>
        <v/>
      </c>
      <c r="O2596" s="4"/>
    </row>
    <row r="2597" spans="1:15" x14ac:dyDescent="0.25">
      <c r="A2597" s="14"/>
      <c r="B2597" s="14"/>
      <c r="C2597" s="14"/>
      <c r="D2597" s="5" t="str">
        <f t="shared" si="252"/>
        <v/>
      </c>
      <c r="E2597" s="5" t="str">
        <f t="shared" si="253"/>
        <v/>
      </c>
      <c r="F2597" s="5" t="str">
        <f t="shared" si="254"/>
        <v/>
      </c>
      <c r="G2597" s="23"/>
      <c r="H2597" s="66"/>
      <c r="I2597" s="14"/>
      <c r="J2597" s="14"/>
      <c r="K2597" s="14"/>
      <c r="L2597" s="5" t="str">
        <f t="shared" si="249"/>
        <v/>
      </c>
      <c r="M2597" s="5" t="str">
        <f t="shared" si="250"/>
        <v/>
      </c>
      <c r="N2597" s="5" t="str">
        <f t="shared" si="251"/>
        <v/>
      </c>
      <c r="O2597" s="4"/>
    </row>
    <row r="2598" spans="1:15" x14ac:dyDescent="0.25">
      <c r="A2598" s="14"/>
      <c r="B2598" s="14"/>
      <c r="C2598" s="14"/>
      <c r="D2598" s="5" t="str">
        <f t="shared" si="252"/>
        <v/>
      </c>
      <c r="E2598" s="5" t="str">
        <f t="shared" si="253"/>
        <v/>
      </c>
      <c r="F2598" s="5" t="str">
        <f t="shared" si="254"/>
        <v/>
      </c>
      <c r="G2598" s="23"/>
      <c r="H2598" s="66"/>
      <c r="I2598" s="14"/>
      <c r="J2598" s="14"/>
      <c r="K2598" s="14"/>
      <c r="L2598" s="5" t="str">
        <f t="shared" si="249"/>
        <v/>
      </c>
      <c r="M2598" s="5" t="str">
        <f t="shared" si="250"/>
        <v/>
      </c>
      <c r="N2598" s="5" t="str">
        <f t="shared" si="251"/>
        <v/>
      </c>
      <c r="O2598" s="4"/>
    </row>
    <row r="2599" spans="1:15" x14ac:dyDescent="0.25">
      <c r="A2599" s="14"/>
      <c r="B2599" s="14"/>
      <c r="C2599" s="14"/>
      <c r="D2599" s="5" t="str">
        <f t="shared" si="252"/>
        <v/>
      </c>
      <c r="E2599" s="5" t="str">
        <f t="shared" si="253"/>
        <v/>
      </c>
      <c r="F2599" s="5" t="str">
        <f t="shared" si="254"/>
        <v/>
      </c>
      <c r="G2599" s="23"/>
      <c r="H2599" s="66"/>
      <c r="I2599" s="14"/>
      <c r="J2599" s="14"/>
      <c r="K2599" s="14"/>
      <c r="L2599" s="5" t="str">
        <f t="shared" si="249"/>
        <v/>
      </c>
      <c r="M2599" s="5" t="str">
        <f t="shared" si="250"/>
        <v/>
      </c>
      <c r="N2599" s="5" t="str">
        <f t="shared" si="251"/>
        <v/>
      </c>
      <c r="O2599" s="4"/>
    </row>
    <row r="2600" spans="1:15" x14ac:dyDescent="0.25">
      <c r="A2600" s="14"/>
      <c r="B2600" s="14"/>
      <c r="C2600" s="14"/>
      <c r="D2600" s="5" t="str">
        <f t="shared" si="252"/>
        <v/>
      </c>
      <c r="E2600" s="5" t="str">
        <f t="shared" si="253"/>
        <v/>
      </c>
      <c r="F2600" s="5" t="str">
        <f t="shared" si="254"/>
        <v/>
      </c>
      <c r="G2600" s="23"/>
      <c r="H2600" s="66"/>
      <c r="I2600" s="14"/>
      <c r="J2600" s="14"/>
      <c r="K2600" s="14"/>
      <c r="L2600" s="5" t="str">
        <f t="shared" si="249"/>
        <v/>
      </c>
      <c r="M2600" s="5" t="str">
        <f t="shared" si="250"/>
        <v/>
      </c>
      <c r="N2600" s="5" t="str">
        <f t="shared" si="251"/>
        <v/>
      </c>
      <c r="O2600" s="4"/>
    </row>
    <row r="2601" spans="1:15" x14ac:dyDescent="0.25">
      <c r="A2601" s="14"/>
      <c r="B2601" s="14"/>
      <c r="C2601" s="14"/>
      <c r="D2601" s="5" t="str">
        <f t="shared" si="252"/>
        <v/>
      </c>
      <c r="E2601" s="5" t="str">
        <f t="shared" si="253"/>
        <v/>
      </c>
      <c r="F2601" s="5" t="str">
        <f t="shared" si="254"/>
        <v/>
      </c>
      <c r="G2601" s="23"/>
      <c r="H2601" s="66"/>
      <c r="I2601" s="14"/>
      <c r="J2601" s="14"/>
      <c r="K2601" s="14"/>
      <c r="L2601" s="5" t="str">
        <f t="shared" si="249"/>
        <v/>
      </c>
      <c r="M2601" s="5" t="str">
        <f t="shared" si="250"/>
        <v/>
      </c>
      <c r="N2601" s="5" t="str">
        <f t="shared" si="251"/>
        <v/>
      </c>
      <c r="O2601" s="4"/>
    </row>
    <row r="2602" spans="1:15" x14ac:dyDescent="0.25">
      <c r="A2602" s="14"/>
      <c r="B2602" s="14"/>
      <c r="C2602" s="14"/>
      <c r="D2602" s="5" t="str">
        <f t="shared" si="252"/>
        <v/>
      </c>
      <c r="E2602" s="5" t="str">
        <f t="shared" si="253"/>
        <v/>
      </c>
      <c r="F2602" s="5" t="str">
        <f t="shared" si="254"/>
        <v/>
      </c>
      <c r="G2602" s="23"/>
      <c r="H2602" s="66"/>
      <c r="I2602" s="14"/>
      <c r="J2602" s="14"/>
      <c r="K2602" s="14"/>
      <c r="L2602" s="5" t="str">
        <f t="shared" si="249"/>
        <v/>
      </c>
      <c r="M2602" s="5" t="str">
        <f t="shared" si="250"/>
        <v/>
      </c>
      <c r="N2602" s="5" t="str">
        <f t="shared" si="251"/>
        <v/>
      </c>
      <c r="O2602" s="4"/>
    </row>
    <row r="2603" spans="1:15" x14ac:dyDescent="0.25">
      <c r="A2603" s="14"/>
      <c r="B2603" s="14"/>
      <c r="C2603" s="14"/>
      <c r="D2603" s="5" t="str">
        <f t="shared" si="252"/>
        <v/>
      </c>
      <c r="E2603" s="5" t="str">
        <f t="shared" si="253"/>
        <v/>
      </c>
      <c r="F2603" s="5" t="str">
        <f t="shared" si="254"/>
        <v/>
      </c>
      <c r="G2603" s="23"/>
      <c r="H2603" s="66"/>
      <c r="I2603" s="14"/>
      <c r="J2603" s="14"/>
      <c r="K2603" s="14"/>
      <c r="L2603" s="5" t="str">
        <f t="shared" si="249"/>
        <v/>
      </c>
      <c r="M2603" s="5" t="str">
        <f t="shared" si="250"/>
        <v/>
      </c>
      <c r="N2603" s="5" t="str">
        <f t="shared" si="251"/>
        <v/>
      </c>
      <c r="O2603" s="4"/>
    </row>
    <row r="2604" spans="1:15" x14ac:dyDescent="0.25">
      <c r="A2604" s="14"/>
      <c r="B2604" s="14"/>
      <c r="C2604" s="14"/>
      <c r="D2604" s="5" t="str">
        <f t="shared" si="252"/>
        <v/>
      </c>
      <c r="E2604" s="5" t="str">
        <f t="shared" si="253"/>
        <v/>
      </c>
      <c r="F2604" s="5" t="str">
        <f t="shared" si="254"/>
        <v/>
      </c>
      <c r="G2604" s="23"/>
      <c r="H2604" s="66"/>
      <c r="I2604" s="14"/>
      <c r="J2604" s="14"/>
      <c r="K2604" s="14"/>
      <c r="L2604" s="5" t="str">
        <f t="shared" si="249"/>
        <v/>
      </c>
      <c r="M2604" s="5" t="str">
        <f t="shared" si="250"/>
        <v/>
      </c>
      <c r="N2604" s="5" t="str">
        <f t="shared" si="251"/>
        <v/>
      </c>
      <c r="O2604" s="4"/>
    </row>
    <row r="2605" spans="1:15" x14ac:dyDescent="0.25">
      <c r="A2605" s="14"/>
      <c r="B2605" s="14"/>
      <c r="C2605" s="14"/>
      <c r="D2605" s="5" t="str">
        <f t="shared" si="252"/>
        <v/>
      </c>
      <c r="E2605" s="5" t="str">
        <f t="shared" si="253"/>
        <v/>
      </c>
      <c r="F2605" s="5" t="str">
        <f t="shared" si="254"/>
        <v/>
      </c>
      <c r="G2605" s="23"/>
      <c r="H2605" s="66"/>
      <c r="I2605" s="14"/>
      <c r="J2605" s="14"/>
      <c r="K2605" s="14"/>
      <c r="L2605" s="5" t="str">
        <f t="shared" si="249"/>
        <v/>
      </c>
      <c r="M2605" s="5" t="str">
        <f t="shared" si="250"/>
        <v/>
      </c>
      <c r="N2605" s="5" t="str">
        <f t="shared" si="251"/>
        <v/>
      </c>
      <c r="O2605" s="4"/>
    </row>
    <row r="2606" spans="1:15" x14ac:dyDescent="0.25">
      <c r="A2606" s="14"/>
      <c r="B2606" s="14"/>
      <c r="C2606" s="14"/>
      <c r="D2606" s="5" t="str">
        <f t="shared" si="252"/>
        <v/>
      </c>
      <c r="E2606" s="5" t="str">
        <f t="shared" si="253"/>
        <v/>
      </c>
      <c r="F2606" s="5" t="str">
        <f t="shared" si="254"/>
        <v/>
      </c>
      <c r="G2606" s="23"/>
      <c r="H2606" s="66"/>
      <c r="I2606" s="14"/>
      <c r="J2606" s="14"/>
      <c r="K2606" s="14"/>
      <c r="L2606" s="5" t="str">
        <f t="shared" si="249"/>
        <v/>
      </c>
      <c r="M2606" s="5" t="str">
        <f t="shared" si="250"/>
        <v/>
      </c>
      <c r="N2606" s="5" t="str">
        <f t="shared" si="251"/>
        <v/>
      </c>
      <c r="O2606" s="4"/>
    </row>
    <row r="2607" spans="1:15" x14ac:dyDescent="0.25">
      <c r="A2607" s="14"/>
      <c r="B2607" s="14"/>
      <c r="C2607" s="14"/>
      <c r="D2607" s="5" t="str">
        <f t="shared" si="252"/>
        <v/>
      </c>
      <c r="E2607" s="5" t="str">
        <f t="shared" si="253"/>
        <v/>
      </c>
      <c r="F2607" s="5" t="str">
        <f t="shared" si="254"/>
        <v/>
      </c>
      <c r="G2607" s="23"/>
      <c r="H2607" s="66"/>
      <c r="I2607" s="14"/>
      <c r="J2607" s="14"/>
      <c r="K2607" s="14"/>
      <c r="L2607" s="5" t="str">
        <f t="shared" si="249"/>
        <v/>
      </c>
      <c r="M2607" s="5" t="str">
        <f t="shared" si="250"/>
        <v/>
      </c>
      <c r="N2607" s="5" t="str">
        <f t="shared" si="251"/>
        <v/>
      </c>
      <c r="O2607" s="4"/>
    </row>
    <row r="2608" spans="1:15" x14ac:dyDescent="0.25">
      <c r="A2608" s="14"/>
      <c r="B2608" s="14"/>
      <c r="C2608" s="14"/>
      <c r="D2608" s="5" t="str">
        <f t="shared" si="252"/>
        <v/>
      </c>
      <c r="E2608" s="5" t="str">
        <f t="shared" si="253"/>
        <v/>
      </c>
      <c r="F2608" s="5" t="str">
        <f t="shared" si="254"/>
        <v/>
      </c>
      <c r="G2608" s="23"/>
      <c r="H2608" s="66"/>
      <c r="I2608" s="14"/>
      <c r="J2608" s="14"/>
      <c r="K2608" s="14"/>
      <c r="L2608" s="5" t="str">
        <f t="shared" si="249"/>
        <v/>
      </c>
      <c r="M2608" s="5" t="str">
        <f t="shared" si="250"/>
        <v/>
      </c>
      <c r="N2608" s="5" t="str">
        <f t="shared" si="251"/>
        <v/>
      </c>
      <c r="O2608" s="4"/>
    </row>
    <row r="2609" spans="1:15" x14ac:dyDescent="0.25">
      <c r="A2609" s="14"/>
      <c r="B2609" s="14"/>
      <c r="C2609" s="14"/>
      <c r="D2609" s="5" t="str">
        <f t="shared" si="252"/>
        <v/>
      </c>
      <c r="E2609" s="5" t="str">
        <f t="shared" si="253"/>
        <v/>
      </c>
      <c r="F2609" s="5" t="str">
        <f t="shared" si="254"/>
        <v/>
      </c>
      <c r="G2609" s="23"/>
      <c r="H2609" s="66"/>
      <c r="I2609" s="14"/>
      <c r="J2609" s="14"/>
      <c r="K2609" s="14"/>
      <c r="L2609" s="5" t="str">
        <f t="shared" si="249"/>
        <v/>
      </c>
      <c r="M2609" s="5" t="str">
        <f t="shared" si="250"/>
        <v/>
      </c>
      <c r="N2609" s="5" t="str">
        <f t="shared" si="251"/>
        <v/>
      </c>
      <c r="O2609" s="4"/>
    </row>
    <row r="2610" spans="1:15" x14ac:dyDescent="0.25">
      <c r="A2610" s="14"/>
      <c r="B2610" s="14"/>
      <c r="C2610" s="14"/>
      <c r="D2610" s="5" t="str">
        <f t="shared" si="252"/>
        <v/>
      </c>
      <c r="E2610" s="5" t="str">
        <f t="shared" si="253"/>
        <v/>
      </c>
      <c r="F2610" s="5" t="str">
        <f t="shared" si="254"/>
        <v/>
      </c>
      <c r="G2610" s="23"/>
      <c r="H2610" s="66"/>
      <c r="I2610" s="14"/>
      <c r="J2610" s="14"/>
      <c r="K2610" s="14"/>
      <c r="L2610" s="5" t="str">
        <f t="shared" si="249"/>
        <v/>
      </c>
      <c r="M2610" s="5" t="str">
        <f t="shared" si="250"/>
        <v/>
      </c>
      <c r="N2610" s="5" t="str">
        <f t="shared" si="251"/>
        <v/>
      </c>
      <c r="O2610" s="4"/>
    </row>
    <row r="2611" spans="1:15" x14ac:dyDescent="0.25">
      <c r="A2611" s="14"/>
      <c r="B2611" s="14"/>
      <c r="C2611" s="14"/>
      <c r="D2611" s="5" t="str">
        <f t="shared" si="252"/>
        <v/>
      </c>
      <c r="E2611" s="5" t="str">
        <f t="shared" si="253"/>
        <v/>
      </c>
      <c r="F2611" s="5" t="str">
        <f t="shared" si="254"/>
        <v/>
      </c>
      <c r="G2611" s="23"/>
      <c r="H2611" s="66"/>
      <c r="I2611" s="14"/>
      <c r="J2611" s="14"/>
      <c r="K2611" s="14"/>
      <c r="L2611" s="5" t="str">
        <f t="shared" si="249"/>
        <v/>
      </c>
      <c r="M2611" s="5" t="str">
        <f t="shared" si="250"/>
        <v/>
      </c>
      <c r="N2611" s="5" t="str">
        <f t="shared" si="251"/>
        <v/>
      </c>
      <c r="O2611" s="4"/>
    </row>
    <row r="2612" spans="1:15" x14ac:dyDescent="0.25">
      <c r="A2612" s="14"/>
      <c r="B2612" s="14"/>
      <c r="C2612" s="14"/>
      <c r="D2612" s="5" t="str">
        <f t="shared" si="252"/>
        <v/>
      </c>
      <c r="E2612" s="5" t="str">
        <f t="shared" si="253"/>
        <v/>
      </c>
      <c r="F2612" s="5" t="str">
        <f t="shared" si="254"/>
        <v/>
      </c>
      <c r="G2612" s="23"/>
      <c r="H2612" s="66"/>
      <c r="I2612" s="14"/>
      <c r="J2612" s="14"/>
      <c r="K2612" s="14"/>
      <c r="L2612" s="5" t="str">
        <f t="shared" si="249"/>
        <v/>
      </c>
      <c r="M2612" s="5" t="str">
        <f t="shared" si="250"/>
        <v/>
      </c>
      <c r="N2612" s="5" t="str">
        <f t="shared" si="251"/>
        <v/>
      </c>
      <c r="O2612" s="4"/>
    </row>
    <row r="2613" spans="1:15" x14ac:dyDescent="0.25">
      <c r="A2613" s="14"/>
      <c r="B2613" s="14"/>
      <c r="C2613" s="14"/>
      <c r="D2613" s="5" t="str">
        <f t="shared" si="252"/>
        <v/>
      </c>
      <c r="E2613" s="5" t="str">
        <f t="shared" si="253"/>
        <v/>
      </c>
      <c r="F2613" s="5" t="str">
        <f t="shared" si="254"/>
        <v/>
      </c>
      <c r="G2613" s="23"/>
      <c r="H2613" s="66"/>
      <c r="I2613" s="14"/>
      <c r="J2613" s="14"/>
      <c r="K2613" s="14"/>
      <c r="L2613" s="5" t="str">
        <f t="shared" si="249"/>
        <v/>
      </c>
      <c r="M2613" s="5" t="str">
        <f t="shared" si="250"/>
        <v/>
      </c>
      <c r="N2613" s="5" t="str">
        <f t="shared" si="251"/>
        <v/>
      </c>
      <c r="O2613" s="4"/>
    </row>
    <row r="2614" spans="1:15" x14ac:dyDescent="0.25">
      <c r="A2614" s="14"/>
      <c r="B2614" s="14"/>
      <c r="C2614" s="14"/>
      <c r="D2614" s="5" t="str">
        <f t="shared" si="252"/>
        <v/>
      </c>
      <c r="E2614" s="5" t="str">
        <f t="shared" si="253"/>
        <v/>
      </c>
      <c r="F2614" s="5" t="str">
        <f t="shared" si="254"/>
        <v/>
      </c>
      <c r="G2614" s="23"/>
      <c r="H2614" s="66"/>
      <c r="I2614" s="14"/>
      <c r="J2614" s="14"/>
      <c r="K2614" s="14"/>
      <c r="L2614" s="5" t="str">
        <f t="shared" si="249"/>
        <v/>
      </c>
      <c r="M2614" s="5" t="str">
        <f t="shared" si="250"/>
        <v/>
      </c>
      <c r="N2614" s="5" t="str">
        <f t="shared" si="251"/>
        <v/>
      </c>
      <c r="O2614" s="4"/>
    </row>
    <row r="2615" spans="1:15" x14ac:dyDescent="0.25">
      <c r="A2615" s="14"/>
      <c r="B2615" s="14"/>
      <c r="C2615" s="14"/>
      <c r="D2615" s="5" t="str">
        <f t="shared" si="252"/>
        <v/>
      </c>
      <c r="E2615" s="5" t="str">
        <f t="shared" si="253"/>
        <v/>
      </c>
      <c r="F2615" s="5" t="str">
        <f t="shared" si="254"/>
        <v/>
      </c>
      <c r="G2615" s="23"/>
      <c r="H2615" s="66"/>
      <c r="I2615" s="14"/>
      <c r="J2615" s="14"/>
      <c r="K2615" s="14"/>
      <c r="L2615" s="5" t="str">
        <f t="shared" si="249"/>
        <v/>
      </c>
      <c r="M2615" s="5" t="str">
        <f t="shared" si="250"/>
        <v/>
      </c>
      <c r="N2615" s="5" t="str">
        <f t="shared" si="251"/>
        <v/>
      </c>
      <c r="O2615" s="4"/>
    </row>
    <row r="2616" spans="1:15" x14ac:dyDescent="0.25">
      <c r="A2616" s="14"/>
      <c r="B2616" s="14"/>
      <c r="C2616" s="14"/>
      <c r="D2616" s="5" t="str">
        <f t="shared" si="252"/>
        <v/>
      </c>
      <c r="E2616" s="5" t="str">
        <f t="shared" si="253"/>
        <v/>
      </c>
      <c r="F2616" s="5" t="str">
        <f t="shared" si="254"/>
        <v/>
      </c>
      <c r="G2616" s="23"/>
      <c r="H2616" s="66"/>
      <c r="I2616" s="14"/>
      <c r="J2616" s="14"/>
      <c r="K2616" s="14"/>
      <c r="L2616" s="5" t="str">
        <f t="shared" si="249"/>
        <v/>
      </c>
      <c r="M2616" s="5" t="str">
        <f t="shared" si="250"/>
        <v/>
      </c>
      <c r="N2616" s="5" t="str">
        <f t="shared" si="251"/>
        <v/>
      </c>
      <c r="O2616" s="4"/>
    </row>
    <row r="2617" spans="1:15" x14ac:dyDescent="0.25">
      <c r="A2617" s="14"/>
      <c r="B2617" s="14"/>
      <c r="C2617" s="14"/>
      <c r="D2617" s="5" t="str">
        <f t="shared" si="252"/>
        <v/>
      </c>
      <c r="E2617" s="5" t="str">
        <f t="shared" si="253"/>
        <v/>
      </c>
      <c r="F2617" s="5" t="str">
        <f t="shared" si="254"/>
        <v/>
      </c>
      <c r="G2617" s="23"/>
      <c r="H2617" s="66"/>
      <c r="I2617" s="14"/>
      <c r="J2617" s="14"/>
      <c r="K2617" s="14"/>
      <c r="L2617" s="5" t="str">
        <f t="shared" si="249"/>
        <v/>
      </c>
      <c r="M2617" s="5" t="str">
        <f t="shared" si="250"/>
        <v/>
      </c>
      <c r="N2617" s="5" t="str">
        <f t="shared" si="251"/>
        <v/>
      </c>
      <c r="O2617" s="4"/>
    </row>
    <row r="2618" spans="1:15" x14ac:dyDescent="0.25">
      <c r="A2618" s="14"/>
      <c r="B2618" s="14"/>
      <c r="C2618" s="14"/>
      <c r="D2618" s="5" t="str">
        <f t="shared" si="252"/>
        <v/>
      </c>
      <c r="E2618" s="5" t="str">
        <f t="shared" si="253"/>
        <v/>
      </c>
      <c r="F2618" s="5" t="str">
        <f t="shared" si="254"/>
        <v/>
      </c>
      <c r="G2618" s="23"/>
      <c r="H2618" s="66"/>
      <c r="I2618" s="14"/>
      <c r="J2618" s="14"/>
      <c r="K2618" s="14"/>
      <c r="L2618" s="5" t="str">
        <f t="shared" si="249"/>
        <v/>
      </c>
      <c r="M2618" s="5" t="str">
        <f t="shared" si="250"/>
        <v/>
      </c>
      <c r="N2618" s="5" t="str">
        <f t="shared" si="251"/>
        <v/>
      </c>
      <c r="O2618" s="4"/>
    </row>
    <row r="2619" spans="1:15" x14ac:dyDescent="0.25">
      <c r="A2619" s="14"/>
      <c r="B2619" s="14"/>
      <c r="C2619" s="14"/>
      <c r="D2619" s="5" t="str">
        <f t="shared" si="252"/>
        <v/>
      </c>
      <c r="E2619" s="5" t="str">
        <f t="shared" si="253"/>
        <v/>
      </c>
      <c r="F2619" s="5" t="str">
        <f t="shared" si="254"/>
        <v/>
      </c>
      <c r="G2619" s="23"/>
      <c r="H2619" s="66"/>
      <c r="I2619" s="14"/>
      <c r="J2619" s="14"/>
      <c r="K2619" s="14"/>
      <c r="L2619" s="5" t="str">
        <f t="shared" si="249"/>
        <v/>
      </c>
      <c r="M2619" s="5" t="str">
        <f t="shared" si="250"/>
        <v/>
      </c>
      <c r="N2619" s="5" t="str">
        <f t="shared" si="251"/>
        <v/>
      </c>
      <c r="O2619" s="4"/>
    </row>
    <row r="2620" spans="1:15" x14ac:dyDescent="0.25">
      <c r="A2620" s="14"/>
      <c r="B2620" s="14"/>
      <c r="C2620" s="14"/>
      <c r="D2620" s="5" t="str">
        <f t="shared" si="252"/>
        <v/>
      </c>
      <c r="E2620" s="5" t="str">
        <f t="shared" si="253"/>
        <v/>
      </c>
      <c r="F2620" s="5" t="str">
        <f t="shared" si="254"/>
        <v/>
      </c>
      <c r="G2620" s="23"/>
      <c r="H2620" s="66"/>
      <c r="I2620" s="14"/>
      <c r="J2620" s="14"/>
      <c r="K2620" s="14"/>
      <c r="L2620" s="5" t="str">
        <f t="shared" si="249"/>
        <v/>
      </c>
      <c r="M2620" s="5" t="str">
        <f t="shared" si="250"/>
        <v/>
      </c>
      <c r="N2620" s="5" t="str">
        <f t="shared" si="251"/>
        <v/>
      </c>
      <c r="O2620" s="4"/>
    </row>
    <row r="2621" spans="1:15" x14ac:dyDescent="0.25">
      <c r="A2621" s="14"/>
      <c r="B2621" s="14"/>
      <c r="C2621" s="14"/>
      <c r="D2621" s="5" t="str">
        <f t="shared" si="252"/>
        <v/>
      </c>
      <c r="E2621" s="5" t="str">
        <f t="shared" si="253"/>
        <v/>
      </c>
      <c r="F2621" s="5" t="str">
        <f t="shared" si="254"/>
        <v/>
      </c>
      <c r="G2621" s="23"/>
      <c r="H2621" s="66"/>
      <c r="I2621" s="14"/>
      <c r="J2621" s="14"/>
      <c r="K2621" s="14"/>
      <c r="L2621" s="5" t="str">
        <f t="shared" si="249"/>
        <v/>
      </c>
      <c r="M2621" s="5" t="str">
        <f t="shared" si="250"/>
        <v/>
      </c>
      <c r="N2621" s="5" t="str">
        <f t="shared" si="251"/>
        <v/>
      </c>
      <c r="O2621" s="4"/>
    </row>
    <row r="2622" spans="1:15" x14ac:dyDescent="0.25">
      <c r="A2622" s="14"/>
      <c r="B2622" s="14"/>
      <c r="C2622" s="14"/>
      <c r="D2622" s="5" t="str">
        <f t="shared" si="252"/>
        <v/>
      </c>
      <c r="E2622" s="5" t="str">
        <f t="shared" si="253"/>
        <v/>
      </c>
      <c r="F2622" s="5" t="str">
        <f t="shared" si="254"/>
        <v/>
      </c>
      <c r="G2622" s="23"/>
      <c r="H2622" s="66"/>
      <c r="I2622" s="14"/>
      <c r="J2622" s="14"/>
      <c r="K2622" s="14"/>
      <c r="L2622" s="5" t="str">
        <f t="shared" si="249"/>
        <v/>
      </c>
      <c r="M2622" s="5" t="str">
        <f t="shared" si="250"/>
        <v/>
      </c>
      <c r="N2622" s="5" t="str">
        <f t="shared" si="251"/>
        <v/>
      </c>
      <c r="O2622" s="4"/>
    </row>
    <row r="2623" spans="1:15" x14ac:dyDescent="0.25">
      <c r="A2623" s="14"/>
      <c r="B2623" s="14"/>
      <c r="C2623" s="14"/>
      <c r="D2623" s="5" t="str">
        <f t="shared" si="252"/>
        <v/>
      </c>
      <c r="E2623" s="5" t="str">
        <f t="shared" si="253"/>
        <v/>
      </c>
      <c r="F2623" s="5" t="str">
        <f t="shared" si="254"/>
        <v/>
      </c>
      <c r="G2623" s="23"/>
      <c r="H2623" s="66"/>
      <c r="I2623" s="14"/>
      <c r="J2623" s="14"/>
      <c r="K2623" s="14"/>
      <c r="L2623" s="5" t="str">
        <f t="shared" si="249"/>
        <v/>
      </c>
      <c r="M2623" s="5" t="str">
        <f t="shared" si="250"/>
        <v/>
      </c>
      <c r="N2623" s="5" t="str">
        <f t="shared" si="251"/>
        <v/>
      </c>
      <c r="O2623" s="4"/>
    </row>
    <row r="2624" spans="1:15" x14ac:dyDescent="0.25">
      <c r="A2624" s="14"/>
      <c r="B2624" s="14"/>
      <c r="C2624" s="14"/>
      <c r="D2624" s="5" t="str">
        <f t="shared" si="252"/>
        <v/>
      </c>
      <c r="E2624" s="5" t="str">
        <f t="shared" si="253"/>
        <v/>
      </c>
      <c r="F2624" s="5" t="str">
        <f t="shared" si="254"/>
        <v/>
      </c>
      <c r="G2624" s="23"/>
      <c r="H2624" s="66"/>
      <c r="I2624" s="14"/>
      <c r="J2624" s="14"/>
      <c r="K2624" s="14"/>
      <c r="L2624" s="5" t="str">
        <f t="shared" si="249"/>
        <v/>
      </c>
      <c r="M2624" s="5" t="str">
        <f t="shared" si="250"/>
        <v/>
      </c>
      <c r="N2624" s="5" t="str">
        <f t="shared" si="251"/>
        <v/>
      </c>
      <c r="O2624" s="4"/>
    </row>
    <row r="2625" spans="1:15" x14ac:dyDescent="0.25">
      <c r="A2625" s="14"/>
      <c r="B2625" s="14"/>
      <c r="C2625" s="14"/>
      <c r="D2625" s="5" t="str">
        <f t="shared" si="252"/>
        <v/>
      </c>
      <c r="E2625" s="5" t="str">
        <f t="shared" si="253"/>
        <v/>
      </c>
      <c r="F2625" s="5" t="str">
        <f t="shared" si="254"/>
        <v/>
      </c>
      <c r="G2625" s="23"/>
      <c r="H2625" s="66"/>
      <c r="I2625" s="14"/>
      <c r="J2625" s="14"/>
      <c r="K2625" s="14"/>
      <c r="L2625" s="5" t="str">
        <f t="shared" si="249"/>
        <v/>
      </c>
      <c r="M2625" s="5" t="str">
        <f t="shared" si="250"/>
        <v/>
      </c>
      <c r="N2625" s="5" t="str">
        <f t="shared" si="251"/>
        <v/>
      </c>
      <c r="O2625" s="4"/>
    </row>
    <row r="2626" spans="1:15" x14ac:dyDescent="0.25">
      <c r="A2626" s="14"/>
      <c r="B2626" s="14"/>
      <c r="C2626" s="14"/>
      <c r="D2626" s="5" t="str">
        <f t="shared" si="252"/>
        <v/>
      </c>
      <c r="E2626" s="5" t="str">
        <f t="shared" si="253"/>
        <v/>
      </c>
      <c r="F2626" s="5" t="str">
        <f t="shared" si="254"/>
        <v/>
      </c>
      <c r="G2626" s="23"/>
      <c r="H2626" s="66"/>
      <c r="I2626" s="14"/>
      <c r="J2626" s="14"/>
      <c r="K2626" s="14"/>
      <c r="L2626" s="5" t="str">
        <f t="shared" si="249"/>
        <v/>
      </c>
      <c r="M2626" s="5" t="str">
        <f t="shared" si="250"/>
        <v/>
      </c>
      <c r="N2626" s="5" t="str">
        <f t="shared" si="251"/>
        <v/>
      </c>
      <c r="O2626" s="4"/>
    </row>
    <row r="2627" spans="1:15" x14ac:dyDescent="0.25">
      <c r="A2627" s="14"/>
      <c r="B2627" s="14"/>
      <c r="C2627" s="14"/>
      <c r="D2627" s="5" t="str">
        <f t="shared" si="252"/>
        <v/>
      </c>
      <c r="E2627" s="5" t="str">
        <f t="shared" si="253"/>
        <v/>
      </c>
      <c r="F2627" s="5" t="str">
        <f t="shared" si="254"/>
        <v/>
      </c>
      <c r="G2627" s="23"/>
      <c r="H2627" s="66"/>
      <c r="I2627" s="14"/>
      <c r="J2627" s="14"/>
      <c r="K2627" s="14"/>
      <c r="L2627" s="5" t="str">
        <f t="shared" si="249"/>
        <v/>
      </c>
      <c r="M2627" s="5" t="str">
        <f t="shared" si="250"/>
        <v/>
      </c>
      <c r="N2627" s="5" t="str">
        <f t="shared" si="251"/>
        <v/>
      </c>
      <c r="O2627" s="4"/>
    </row>
    <row r="2628" spans="1:15" x14ac:dyDescent="0.25">
      <c r="A2628" s="14"/>
      <c r="B2628" s="14"/>
      <c r="C2628" s="14"/>
      <c r="D2628" s="5" t="str">
        <f t="shared" si="252"/>
        <v/>
      </c>
      <c r="E2628" s="5" t="str">
        <f t="shared" si="253"/>
        <v/>
      </c>
      <c r="F2628" s="5" t="str">
        <f t="shared" si="254"/>
        <v/>
      </c>
      <c r="G2628" s="23"/>
      <c r="H2628" s="66"/>
      <c r="I2628" s="14"/>
      <c r="J2628" s="14"/>
      <c r="K2628" s="14"/>
      <c r="L2628" s="5" t="str">
        <f t="shared" si="249"/>
        <v/>
      </c>
      <c r="M2628" s="5" t="str">
        <f t="shared" si="250"/>
        <v/>
      </c>
      <c r="N2628" s="5" t="str">
        <f t="shared" si="251"/>
        <v/>
      </c>
      <c r="O2628" s="4"/>
    </row>
    <row r="2629" spans="1:15" x14ac:dyDescent="0.25">
      <c r="A2629" s="14"/>
      <c r="B2629" s="14"/>
      <c r="C2629" s="14"/>
      <c r="D2629" s="5" t="str">
        <f t="shared" si="252"/>
        <v/>
      </c>
      <c r="E2629" s="5" t="str">
        <f t="shared" si="253"/>
        <v/>
      </c>
      <c r="F2629" s="5" t="str">
        <f t="shared" si="254"/>
        <v/>
      </c>
      <c r="G2629" s="23"/>
      <c r="H2629" s="66"/>
      <c r="I2629" s="14"/>
      <c r="J2629" s="14"/>
      <c r="K2629" s="14"/>
      <c r="L2629" s="5" t="str">
        <f t="shared" si="249"/>
        <v/>
      </c>
      <c r="M2629" s="5" t="str">
        <f t="shared" si="250"/>
        <v/>
      </c>
      <c r="N2629" s="5" t="str">
        <f t="shared" si="251"/>
        <v/>
      </c>
      <c r="O2629" s="4"/>
    </row>
    <row r="2630" spans="1:15" x14ac:dyDescent="0.25">
      <c r="A2630" s="14"/>
      <c r="B2630" s="14"/>
      <c r="C2630" s="14"/>
      <c r="D2630" s="5" t="str">
        <f t="shared" si="252"/>
        <v/>
      </c>
      <c r="E2630" s="5" t="str">
        <f t="shared" si="253"/>
        <v/>
      </c>
      <c r="F2630" s="5" t="str">
        <f t="shared" si="254"/>
        <v/>
      </c>
      <c r="G2630" s="23"/>
      <c r="H2630" s="66"/>
      <c r="I2630" s="14"/>
      <c r="J2630" s="14"/>
      <c r="K2630" s="14"/>
      <c r="L2630" s="5" t="str">
        <f t="shared" si="249"/>
        <v/>
      </c>
      <c r="M2630" s="5" t="str">
        <f t="shared" si="250"/>
        <v/>
      </c>
      <c r="N2630" s="5" t="str">
        <f t="shared" si="251"/>
        <v/>
      </c>
      <c r="O2630" s="4"/>
    </row>
    <row r="2631" spans="1:15" x14ac:dyDescent="0.25">
      <c r="A2631" s="14"/>
      <c r="B2631" s="14"/>
      <c r="C2631" s="14"/>
      <c r="D2631" s="5" t="str">
        <f t="shared" si="252"/>
        <v/>
      </c>
      <c r="E2631" s="5" t="str">
        <f t="shared" si="253"/>
        <v/>
      </c>
      <c r="F2631" s="5" t="str">
        <f t="shared" si="254"/>
        <v/>
      </c>
      <c r="G2631" s="23"/>
      <c r="H2631" s="66"/>
      <c r="I2631" s="14"/>
      <c r="J2631" s="14"/>
      <c r="K2631" s="14"/>
      <c r="L2631" s="5" t="str">
        <f t="shared" si="249"/>
        <v/>
      </c>
      <c r="M2631" s="5" t="str">
        <f t="shared" si="250"/>
        <v/>
      </c>
      <c r="N2631" s="5" t="str">
        <f t="shared" si="251"/>
        <v/>
      </c>
      <c r="O2631" s="4"/>
    </row>
    <row r="2632" spans="1:15" x14ac:dyDescent="0.25">
      <c r="A2632" s="14"/>
      <c r="B2632" s="14"/>
      <c r="C2632" s="14"/>
      <c r="D2632" s="5" t="str">
        <f t="shared" si="252"/>
        <v/>
      </c>
      <c r="E2632" s="5" t="str">
        <f t="shared" si="253"/>
        <v/>
      </c>
      <c r="F2632" s="5" t="str">
        <f t="shared" si="254"/>
        <v/>
      </c>
      <c r="G2632" s="23"/>
      <c r="H2632" s="66"/>
      <c r="I2632" s="14"/>
      <c r="J2632" s="14"/>
      <c r="K2632" s="14"/>
      <c r="L2632" s="5" t="str">
        <f t="shared" si="249"/>
        <v/>
      </c>
      <c r="M2632" s="5" t="str">
        <f t="shared" si="250"/>
        <v/>
      </c>
      <c r="N2632" s="5" t="str">
        <f t="shared" si="251"/>
        <v/>
      </c>
      <c r="O2632" s="4"/>
    </row>
    <row r="2633" spans="1:15" x14ac:dyDescent="0.25">
      <c r="A2633" s="14"/>
      <c r="B2633" s="14"/>
      <c r="C2633" s="14"/>
      <c r="D2633" s="5" t="str">
        <f t="shared" si="252"/>
        <v/>
      </c>
      <c r="E2633" s="5" t="str">
        <f t="shared" si="253"/>
        <v/>
      </c>
      <c r="F2633" s="5" t="str">
        <f t="shared" si="254"/>
        <v/>
      </c>
      <c r="G2633" s="23"/>
      <c r="H2633" s="66"/>
      <c r="I2633" s="14"/>
      <c r="J2633" s="14"/>
      <c r="K2633" s="14"/>
      <c r="L2633" s="5" t="str">
        <f t="shared" si="249"/>
        <v/>
      </c>
      <c r="M2633" s="5" t="str">
        <f t="shared" si="250"/>
        <v/>
      </c>
      <c r="N2633" s="5" t="str">
        <f t="shared" si="251"/>
        <v/>
      </c>
      <c r="O2633" s="4"/>
    </row>
    <row r="2634" spans="1:15" x14ac:dyDescent="0.25">
      <c r="A2634" s="14"/>
      <c r="B2634" s="14"/>
      <c r="C2634" s="14"/>
      <c r="D2634" s="5" t="str">
        <f t="shared" si="252"/>
        <v/>
      </c>
      <c r="E2634" s="5" t="str">
        <f t="shared" si="253"/>
        <v/>
      </c>
      <c r="F2634" s="5" t="str">
        <f t="shared" si="254"/>
        <v/>
      </c>
      <c r="G2634" s="23"/>
      <c r="H2634" s="66"/>
      <c r="I2634" s="14"/>
      <c r="J2634" s="14"/>
      <c r="K2634" s="14"/>
      <c r="L2634" s="5" t="str">
        <f t="shared" si="249"/>
        <v/>
      </c>
      <c r="M2634" s="5" t="str">
        <f t="shared" si="250"/>
        <v/>
      </c>
      <c r="N2634" s="5" t="str">
        <f t="shared" si="251"/>
        <v/>
      </c>
      <c r="O2634" s="4"/>
    </row>
    <row r="2635" spans="1:15" x14ac:dyDescent="0.25">
      <c r="A2635" s="14"/>
      <c r="B2635" s="14"/>
      <c r="C2635" s="14"/>
      <c r="D2635" s="5" t="str">
        <f t="shared" si="252"/>
        <v/>
      </c>
      <c r="E2635" s="5" t="str">
        <f t="shared" si="253"/>
        <v/>
      </c>
      <c r="F2635" s="5" t="str">
        <f t="shared" si="254"/>
        <v/>
      </c>
      <c r="G2635" s="23"/>
      <c r="H2635" s="66"/>
      <c r="I2635" s="14"/>
      <c r="J2635" s="14"/>
      <c r="K2635" s="14"/>
      <c r="L2635" s="5" t="str">
        <f t="shared" si="249"/>
        <v/>
      </c>
      <c r="M2635" s="5" t="str">
        <f t="shared" si="250"/>
        <v/>
      </c>
      <c r="N2635" s="5" t="str">
        <f t="shared" si="251"/>
        <v/>
      </c>
      <c r="O2635" s="4"/>
    </row>
    <row r="2636" spans="1:15" x14ac:dyDescent="0.25">
      <c r="A2636" s="14"/>
      <c r="B2636" s="14"/>
      <c r="C2636" s="14"/>
      <c r="D2636" s="5" t="str">
        <f t="shared" si="252"/>
        <v/>
      </c>
      <c r="E2636" s="5" t="str">
        <f t="shared" si="253"/>
        <v/>
      </c>
      <c r="F2636" s="5" t="str">
        <f t="shared" si="254"/>
        <v/>
      </c>
      <c r="G2636" s="23"/>
      <c r="H2636" s="66"/>
      <c r="I2636" s="14"/>
      <c r="J2636" s="14"/>
      <c r="K2636" s="14"/>
      <c r="L2636" s="5" t="str">
        <f t="shared" si="249"/>
        <v/>
      </c>
      <c r="M2636" s="5" t="str">
        <f t="shared" si="250"/>
        <v/>
      </c>
      <c r="N2636" s="5" t="str">
        <f t="shared" si="251"/>
        <v/>
      </c>
      <c r="O2636" s="4"/>
    </row>
    <row r="2637" spans="1:15" x14ac:dyDescent="0.25">
      <c r="A2637" s="14"/>
      <c r="B2637" s="14"/>
      <c r="C2637" s="14"/>
      <c r="D2637" s="5" t="str">
        <f t="shared" si="252"/>
        <v/>
      </c>
      <c r="E2637" s="5" t="str">
        <f t="shared" si="253"/>
        <v/>
      </c>
      <c r="F2637" s="5" t="str">
        <f t="shared" si="254"/>
        <v/>
      </c>
      <c r="G2637" s="23"/>
      <c r="H2637" s="66"/>
      <c r="I2637" s="14"/>
      <c r="J2637" s="14"/>
      <c r="K2637" s="14"/>
      <c r="L2637" s="5" t="str">
        <f t="shared" si="249"/>
        <v/>
      </c>
      <c r="M2637" s="5" t="str">
        <f t="shared" si="250"/>
        <v/>
      </c>
      <c r="N2637" s="5" t="str">
        <f t="shared" si="251"/>
        <v/>
      </c>
      <c r="O2637" s="4"/>
    </row>
    <row r="2638" spans="1:15" x14ac:dyDescent="0.25">
      <c r="A2638" s="14"/>
      <c r="B2638" s="14"/>
      <c r="C2638" s="14"/>
      <c r="D2638" s="5" t="str">
        <f t="shared" si="252"/>
        <v/>
      </c>
      <c r="E2638" s="5" t="str">
        <f t="shared" si="253"/>
        <v/>
      </c>
      <c r="F2638" s="5" t="str">
        <f t="shared" si="254"/>
        <v/>
      </c>
      <c r="G2638" s="23"/>
      <c r="H2638" s="66"/>
      <c r="I2638" s="14"/>
      <c r="J2638" s="14"/>
      <c r="K2638" s="14"/>
      <c r="L2638" s="5" t="str">
        <f t="shared" si="249"/>
        <v/>
      </c>
      <c r="M2638" s="5" t="str">
        <f t="shared" si="250"/>
        <v/>
      </c>
      <c r="N2638" s="5" t="str">
        <f t="shared" si="251"/>
        <v/>
      </c>
      <c r="O2638" s="4"/>
    </row>
    <row r="2639" spans="1:15" x14ac:dyDescent="0.25">
      <c r="A2639" s="14"/>
      <c r="B2639" s="14"/>
      <c r="C2639" s="14"/>
      <c r="D2639" s="5" t="str">
        <f t="shared" si="252"/>
        <v/>
      </c>
      <c r="E2639" s="5" t="str">
        <f t="shared" si="253"/>
        <v/>
      </c>
      <c r="F2639" s="5" t="str">
        <f t="shared" si="254"/>
        <v/>
      </c>
      <c r="G2639" s="23"/>
      <c r="H2639" s="66"/>
      <c r="I2639" s="14"/>
      <c r="J2639" s="14"/>
      <c r="K2639" s="14"/>
      <c r="L2639" s="5" t="str">
        <f t="shared" si="249"/>
        <v/>
      </c>
      <c r="M2639" s="5" t="str">
        <f t="shared" si="250"/>
        <v/>
      </c>
      <c r="N2639" s="5" t="str">
        <f t="shared" si="251"/>
        <v/>
      </c>
      <c r="O2639" s="4"/>
    </row>
    <row r="2640" spans="1:15" x14ac:dyDescent="0.25">
      <c r="A2640" s="14"/>
      <c r="B2640" s="14"/>
      <c r="C2640" s="14"/>
      <c r="D2640" s="5" t="str">
        <f t="shared" si="252"/>
        <v/>
      </c>
      <c r="E2640" s="5" t="str">
        <f t="shared" si="253"/>
        <v/>
      </c>
      <c r="F2640" s="5" t="str">
        <f t="shared" si="254"/>
        <v/>
      </c>
      <c r="G2640" s="23"/>
      <c r="H2640" s="66"/>
      <c r="I2640" s="14"/>
      <c r="J2640" s="14"/>
      <c r="K2640" s="14"/>
      <c r="L2640" s="5" t="str">
        <f t="shared" si="249"/>
        <v/>
      </c>
      <c r="M2640" s="5" t="str">
        <f t="shared" si="250"/>
        <v/>
      </c>
      <c r="N2640" s="5" t="str">
        <f t="shared" si="251"/>
        <v/>
      </c>
      <c r="O2640" s="4"/>
    </row>
    <row r="2641" spans="1:15" x14ac:dyDescent="0.25">
      <c r="A2641" s="14"/>
      <c r="B2641" s="14"/>
      <c r="C2641" s="14"/>
      <c r="D2641" s="5" t="str">
        <f t="shared" si="252"/>
        <v/>
      </c>
      <c r="E2641" s="5" t="str">
        <f t="shared" si="253"/>
        <v/>
      </c>
      <c r="F2641" s="5" t="str">
        <f t="shared" si="254"/>
        <v/>
      </c>
      <c r="G2641" s="23"/>
      <c r="H2641" s="66"/>
      <c r="I2641" s="14"/>
      <c r="J2641" s="14"/>
      <c r="K2641" s="14"/>
      <c r="L2641" s="5" t="str">
        <f t="shared" ref="L2641:L2704" si="255">IFERROR(IF(I2641&lt;&gt;"",(((J2641-J2640)*$X$4/(I2641-I2640)))*$X$5,""),"")</f>
        <v/>
      </c>
      <c r="M2641" s="5" t="str">
        <f t="shared" ref="M2641:M2704" si="256">IFERROR(IF(I2641&lt;&gt;"",(((K2641-K2640)*$X$4/(I2641-I2640)))*$X$5,""),"")</f>
        <v/>
      </c>
      <c r="N2641" s="5" t="str">
        <f t="shared" ref="N2641:N2704" si="257">IFERROR(IF(I2641&lt;&gt;"",((ACOS((COS(RADIANS(J2640))*COS(RADIANS(J2641)))+(SIN(RADIANS(J2640))*SIN(RADIANS(J2641)))*COS(RADIANS(K2641-K2640)))*180/PI()*($X$4/(I2641-I2640))))*$X$5,""),"")</f>
        <v/>
      </c>
      <c r="O2641" s="4"/>
    </row>
    <row r="2642" spans="1:15" x14ac:dyDescent="0.25">
      <c r="A2642" s="14"/>
      <c r="B2642" s="14"/>
      <c r="C2642" s="14"/>
      <c r="D2642" s="5" t="str">
        <f t="shared" si="252"/>
        <v/>
      </c>
      <c r="E2642" s="5" t="str">
        <f t="shared" si="253"/>
        <v/>
      </c>
      <c r="F2642" s="5" t="str">
        <f t="shared" si="254"/>
        <v/>
      </c>
      <c r="G2642" s="23"/>
      <c r="H2642" s="66"/>
      <c r="I2642" s="14"/>
      <c r="J2642" s="14"/>
      <c r="K2642" s="14"/>
      <c r="L2642" s="5" t="str">
        <f t="shared" si="255"/>
        <v/>
      </c>
      <c r="M2642" s="5" t="str">
        <f t="shared" si="256"/>
        <v/>
      </c>
      <c r="N2642" s="5" t="str">
        <f t="shared" si="257"/>
        <v/>
      </c>
      <c r="O2642" s="4"/>
    </row>
    <row r="2643" spans="1:15" x14ac:dyDescent="0.25">
      <c r="A2643" s="14"/>
      <c r="B2643" s="14"/>
      <c r="C2643" s="14"/>
      <c r="D2643" s="5" t="str">
        <f t="shared" si="252"/>
        <v/>
      </c>
      <c r="E2643" s="5" t="str">
        <f t="shared" si="253"/>
        <v/>
      </c>
      <c r="F2643" s="5" t="str">
        <f t="shared" si="254"/>
        <v/>
      </c>
      <c r="G2643" s="23"/>
      <c r="H2643" s="66"/>
      <c r="I2643" s="14"/>
      <c r="J2643" s="14"/>
      <c r="K2643" s="14"/>
      <c r="L2643" s="5" t="str">
        <f t="shared" si="255"/>
        <v/>
      </c>
      <c r="M2643" s="5" t="str">
        <f t="shared" si="256"/>
        <v/>
      </c>
      <c r="N2643" s="5" t="str">
        <f t="shared" si="257"/>
        <v/>
      </c>
      <c r="O2643" s="4"/>
    </row>
    <row r="2644" spans="1:15" x14ac:dyDescent="0.25">
      <c r="A2644" s="14"/>
      <c r="B2644" s="14"/>
      <c r="C2644" s="14"/>
      <c r="D2644" s="5" t="str">
        <f t="shared" si="252"/>
        <v/>
      </c>
      <c r="E2644" s="5" t="str">
        <f t="shared" si="253"/>
        <v/>
      </c>
      <c r="F2644" s="5" t="str">
        <f t="shared" si="254"/>
        <v/>
      </c>
      <c r="G2644" s="23"/>
      <c r="H2644" s="66"/>
      <c r="I2644" s="14"/>
      <c r="J2644" s="14"/>
      <c r="K2644" s="14"/>
      <c r="L2644" s="5" t="str">
        <f t="shared" si="255"/>
        <v/>
      </c>
      <c r="M2644" s="5" t="str">
        <f t="shared" si="256"/>
        <v/>
      </c>
      <c r="N2644" s="5" t="str">
        <f t="shared" si="257"/>
        <v/>
      </c>
      <c r="O2644" s="4"/>
    </row>
    <row r="2645" spans="1:15" x14ac:dyDescent="0.25">
      <c r="A2645" s="14"/>
      <c r="B2645" s="14"/>
      <c r="C2645" s="14"/>
      <c r="D2645" s="5" t="str">
        <f t="shared" si="252"/>
        <v/>
      </c>
      <c r="E2645" s="5" t="str">
        <f t="shared" si="253"/>
        <v/>
      </c>
      <c r="F2645" s="5" t="str">
        <f t="shared" si="254"/>
        <v/>
      </c>
      <c r="G2645" s="23"/>
      <c r="H2645" s="66"/>
      <c r="I2645" s="14"/>
      <c r="J2645" s="14"/>
      <c r="K2645" s="14"/>
      <c r="L2645" s="5" t="str">
        <f t="shared" si="255"/>
        <v/>
      </c>
      <c r="M2645" s="5" t="str">
        <f t="shared" si="256"/>
        <v/>
      </c>
      <c r="N2645" s="5" t="str">
        <f t="shared" si="257"/>
        <v/>
      </c>
      <c r="O2645" s="4"/>
    </row>
    <row r="2646" spans="1:15" x14ac:dyDescent="0.25">
      <c r="A2646" s="14"/>
      <c r="B2646" s="14"/>
      <c r="C2646" s="14"/>
      <c r="D2646" s="5" t="str">
        <f t="shared" si="252"/>
        <v/>
      </c>
      <c r="E2646" s="5" t="str">
        <f t="shared" si="253"/>
        <v/>
      </c>
      <c r="F2646" s="5" t="str">
        <f t="shared" si="254"/>
        <v/>
      </c>
      <c r="G2646" s="23"/>
      <c r="H2646" s="66"/>
      <c r="I2646" s="14"/>
      <c r="J2646" s="14"/>
      <c r="K2646" s="14"/>
      <c r="L2646" s="5" t="str">
        <f t="shared" si="255"/>
        <v/>
      </c>
      <c r="M2646" s="5" t="str">
        <f t="shared" si="256"/>
        <v/>
      </c>
      <c r="N2646" s="5" t="str">
        <f t="shared" si="257"/>
        <v/>
      </c>
      <c r="O2646" s="4"/>
    </row>
    <row r="2647" spans="1:15" x14ac:dyDescent="0.25">
      <c r="A2647" s="14"/>
      <c r="B2647" s="14"/>
      <c r="C2647" s="14"/>
      <c r="D2647" s="5" t="str">
        <f t="shared" si="252"/>
        <v/>
      </c>
      <c r="E2647" s="5" t="str">
        <f t="shared" si="253"/>
        <v/>
      </c>
      <c r="F2647" s="5" t="str">
        <f t="shared" si="254"/>
        <v/>
      </c>
      <c r="G2647" s="23"/>
      <c r="H2647" s="66"/>
      <c r="I2647" s="14"/>
      <c r="J2647" s="14"/>
      <c r="K2647" s="14"/>
      <c r="L2647" s="5" t="str">
        <f t="shared" si="255"/>
        <v/>
      </c>
      <c r="M2647" s="5" t="str">
        <f t="shared" si="256"/>
        <v/>
      </c>
      <c r="N2647" s="5" t="str">
        <f t="shared" si="257"/>
        <v/>
      </c>
      <c r="O2647" s="4"/>
    </row>
    <row r="2648" spans="1:15" x14ac:dyDescent="0.25">
      <c r="A2648" s="14"/>
      <c r="B2648" s="14"/>
      <c r="C2648" s="14"/>
      <c r="D2648" s="5" t="str">
        <f t="shared" si="252"/>
        <v/>
      </c>
      <c r="E2648" s="5" t="str">
        <f t="shared" si="253"/>
        <v/>
      </c>
      <c r="F2648" s="5" t="str">
        <f t="shared" si="254"/>
        <v/>
      </c>
      <c r="G2648" s="23"/>
      <c r="H2648" s="66"/>
      <c r="I2648" s="14"/>
      <c r="J2648" s="14"/>
      <c r="K2648" s="14"/>
      <c r="L2648" s="5" t="str">
        <f t="shared" si="255"/>
        <v/>
      </c>
      <c r="M2648" s="5" t="str">
        <f t="shared" si="256"/>
        <v/>
      </c>
      <c r="N2648" s="5" t="str">
        <f t="shared" si="257"/>
        <v/>
      </c>
      <c r="O2648" s="4"/>
    </row>
    <row r="2649" spans="1:15" x14ac:dyDescent="0.25">
      <c r="A2649" s="14"/>
      <c r="B2649" s="14"/>
      <c r="C2649" s="14"/>
      <c r="D2649" s="5" t="str">
        <f t="shared" ref="D2649:D2712" si="258">IFERROR( IF(A2649&lt;&gt;"",((B2649-B2648)*$X$4/(A2649-A2648))*$X$5,""),"")</f>
        <v/>
      </c>
      <c r="E2649" s="5" t="str">
        <f t="shared" ref="E2649:E2712" si="259">IFERROR(IF(A2649&lt;&gt;"",((C2649-C2648)*$X$4/(A2649-A2648))*$X$5,""),"")</f>
        <v/>
      </c>
      <c r="F2649" s="5" t="str">
        <f t="shared" ref="F2649:F2712" si="260">IFERROR(IF(A2649&lt;&gt;"",((ACOS((COS(RADIANS(B2648))*COS(RADIANS(B2649)))+(SIN(RADIANS(B2648))*SIN(RADIANS(B2649)))*COS(RADIANS(C2649-C2648)))*180/PI()*($X$4/(A2649-A2648))))*$X$5,""),"")</f>
        <v/>
      </c>
      <c r="G2649" s="23"/>
      <c r="H2649" s="66"/>
      <c r="I2649" s="14"/>
      <c r="J2649" s="14"/>
      <c r="K2649" s="14"/>
      <c r="L2649" s="5" t="str">
        <f t="shared" si="255"/>
        <v/>
      </c>
      <c r="M2649" s="5" t="str">
        <f t="shared" si="256"/>
        <v/>
      </c>
      <c r="N2649" s="5" t="str">
        <f t="shared" si="257"/>
        <v/>
      </c>
      <c r="O2649" s="4"/>
    </row>
    <row r="2650" spans="1:15" x14ac:dyDescent="0.25">
      <c r="A2650" s="14"/>
      <c r="B2650" s="14"/>
      <c r="C2650" s="14"/>
      <c r="D2650" s="5" t="str">
        <f t="shared" si="258"/>
        <v/>
      </c>
      <c r="E2650" s="5" t="str">
        <f t="shared" si="259"/>
        <v/>
      </c>
      <c r="F2650" s="5" t="str">
        <f t="shared" si="260"/>
        <v/>
      </c>
      <c r="G2650" s="23"/>
      <c r="H2650" s="66"/>
      <c r="I2650" s="14"/>
      <c r="J2650" s="14"/>
      <c r="K2650" s="14"/>
      <c r="L2650" s="5" t="str">
        <f t="shared" si="255"/>
        <v/>
      </c>
      <c r="M2650" s="5" t="str">
        <f t="shared" si="256"/>
        <v/>
      </c>
      <c r="N2650" s="5" t="str">
        <f t="shared" si="257"/>
        <v/>
      </c>
      <c r="O2650" s="4"/>
    </row>
    <row r="2651" spans="1:15" x14ac:dyDescent="0.25">
      <c r="A2651" s="14"/>
      <c r="B2651" s="14"/>
      <c r="C2651" s="14"/>
      <c r="D2651" s="5" t="str">
        <f t="shared" si="258"/>
        <v/>
      </c>
      <c r="E2651" s="5" t="str">
        <f t="shared" si="259"/>
        <v/>
      </c>
      <c r="F2651" s="5" t="str">
        <f t="shared" si="260"/>
        <v/>
      </c>
      <c r="G2651" s="23"/>
      <c r="H2651" s="66"/>
      <c r="I2651" s="14"/>
      <c r="J2651" s="14"/>
      <c r="K2651" s="14"/>
      <c r="L2651" s="5" t="str">
        <f t="shared" si="255"/>
        <v/>
      </c>
      <c r="M2651" s="5" t="str">
        <f t="shared" si="256"/>
        <v/>
      </c>
      <c r="N2651" s="5" t="str">
        <f t="shared" si="257"/>
        <v/>
      </c>
      <c r="O2651" s="4"/>
    </row>
    <row r="2652" spans="1:15" x14ac:dyDescent="0.25">
      <c r="A2652" s="14"/>
      <c r="B2652" s="14"/>
      <c r="C2652" s="14"/>
      <c r="D2652" s="5" t="str">
        <f t="shared" si="258"/>
        <v/>
      </c>
      <c r="E2652" s="5" t="str">
        <f t="shared" si="259"/>
        <v/>
      </c>
      <c r="F2652" s="5" t="str">
        <f t="shared" si="260"/>
        <v/>
      </c>
      <c r="G2652" s="23"/>
      <c r="H2652" s="66"/>
      <c r="I2652" s="14"/>
      <c r="J2652" s="14"/>
      <c r="K2652" s="14"/>
      <c r="L2652" s="5" t="str">
        <f t="shared" si="255"/>
        <v/>
      </c>
      <c r="M2652" s="5" t="str">
        <f t="shared" si="256"/>
        <v/>
      </c>
      <c r="N2652" s="5" t="str">
        <f t="shared" si="257"/>
        <v/>
      </c>
      <c r="O2652" s="4"/>
    </row>
    <row r="2653" spans="1:15" x14ac:dyDescent="0.25">
      <c r="A2653" s="14"/>
      <c r="B2653" s="14"/>
      <c r="C2653" s="14"/>
      <c r="D2653" s="5" t="str">
        <f t="shared" si="258"/>
        <v/>
      </c>
      <c r="E2653" s="5" t="str">
        <f t="shared" si="259"/>
        <v/>
      </c>
      <c r="F2653" s="5" t="str">
        <f t="shared" si="260"/>
        <v/>
      </c>
      <c r="G2653" s="23"/>
      <c r="H2653" s="66"/>
      <c r="I2653" s="14"/>
      <c r="J2653" s="14"/>
      <c r="K2653" s="14"/>
      <c r="L2653" s="5" t="str">
        <f t="shared" si="255"/>
        <v/>
      </c>
      <c r="M2653" s="5" t="str">
        <f t="shared" si="256"/>
        <v/>
      </c>
      <c r="N2653" s="5" t="str">
        <f t="shared" si="257"/>
        <v/>
      </c>
      <c r="O2653" s="4"/>
    </row>
    <row r="2654" spans="1:15" x14ac:dyDescent="0.25">
      <c r="A2654" s="14"/>
      <c r="B2654" s="14"/>
      <c r="C2654" s="14"/>
      <c r="D2654" s="5" t="str">
        <f t="shared" si="258"/>
        <v/>
      </c>
      <c r="E2654" s="5" t="str">
        <f t="shared" si="259"/>
        <v/>
      </c>
      <c r="F2654" s="5" t="str">
        <f t="shared" si="260"/>
        <v/>
      </c>
      <c r="G2654" s="23"/>
      <c r="H2654" s="66"/>
      <c r="I2654" s="14"/>
      <c r="J2654" s="14"/>
      <c r="K2654" s="14"/>
      <c r="L2654" s="5" t="str">
        <f t="shared" si="255"/>
        <v/>
      </c>
      <c r="M2654" s="5" t="str">
        <f t="shared" si="256"/>
        <v/>
      </c>
      <c r="N2654" s="5" t="str">
        <f t="shared" si="257"/>
        <v/>
      </c>
      <c r="O2654" s="4"/>
    </row>
    <row r="2655" spans="1:15" x14ac:dyDescent="0.25">
      <c r="A2655" s="14"/>
      <c r="B2655" s="14"/>
      <c r="C2655" s="14"/>
      <c r="D2655" s="5" t="str">
        <f t="shared" si="258"/>
        <v/>
      </c>
      <c r="E2655" s="5" t="str">
        <f t="shared" si="259"/>
        <v/>
      </c>
      <c r="F2655" s="5" t="str">
        <f t="shared" si="260"/>
        <v/>
      </c>
      <c r="G2655" s="23"/>
      <c r="H2655" s="66"/>
      <c r="I2655" s="14"/>
      <c r="J2655" s="14"/>
      <c r="K2655" s="14"/>
      <c r="L2655" s="5" t="str">
        <f t="shared" si="255"/>
        <v/>
      </c>
      <c r="M2655" s="5" t="str">
        <f t="shared" si="256"/>
        <v/>
      </c>
      <c r="N2655" s="5" t="str">
        <f t="shared" si="257"/>
        <v/>
      </c>
      <c r="O2655" s="4"/>
    </row>
    <row r="2656" spans="1:15" x14ac:dyDescent="0.25">
      <c r="A2656" s="14"/>
      <c r="B2656" s="14"/>
      <c r="C2656" s="14"/>
      <c r="D2656" s="5" t="str">
        <f t="shared" si="258"/>
        <v/>
      </c>
      <c r="E2656" s="5" t="str">
        <f t="shared" si="259"/>
        <v/>
      </c>
      <c r="F2656" s="5" t="str">
        <f t="shared" si="260"/>
        <v/>
      </c>
      <c r="G2656" s="23"/>
      <c r="H2656" s="66"/>
      <c r="I2656" s="14"/>
      <c r="J2656" s="14"/>
      <c r="K2656" s="14"/>
      <c r="L2656" s="5" t="str">
        <f t="shared" si="255"/>
        <v/>
      </c>
      <c r="M2656" s="5" t="str">
        <f t="shared" si="256"/>
        <v/>
      </c>
      <c r="N2656" s="5" t="str">
        <f t="shared" si="257"/>
        <v/>
      </c>
      <c r="O2656" s="4"/>
    </row>
    <row r="2657" spans="1:15" x14ac:dyDescent="0.25">
      <c r="A2657" s="14"/>
      <c r="B2657" s="14"/>
      <c r="C2657" s="14"/>
      <c r="D2657" s="5" t="str">
        <f t="shared" si="258"/>
        <v/>
      </c>
      <c r="E2657" s="5" t="str">
        <f t="shared" si="259"/>
        <v/>
      </c>
      <c r="F2657" s="5" t="str">
        <f t="shared" si="260"/>
        <v/>
      </c>
      <c r="G2657" s="23"/>
      <c r="H2657" s="66"/>
      <c r="I2657" s="14"/>
      <c r="J2657" s="14"/>
      <c r="K2657" s="14"/>
      <c r="L2657" s="5" t="str">
        <f t="shared" si="255"/>
        <v/>
      </c>
      <c r="M2657" s="5" t="str">
        <f t="shared" si="256"/>
        <v/>
      </c>
      <c r="N2657" s="5" t="str">
        <f t="shared" si="257"/>
        <v/>
      </c>
      <c r="O2657" s="4"/>
    </row>
    <row r="2658" spans="1:15" x14ac:dyDescent="0.25">
      <c r="A2658" s="14"/>
      <c r="B2658" s="14"/>
      <c r="C2658" s="14"/>
      <c r="D2658" s="5" t="str">
        <f t="shared" si="258"/>
        <v/>
      </c>
      <c r="E2658" s="5" t="str">
        <f t="shared" si="259"/>
        <v/>
      </c>
      <c r="F2658" s="5" t="str">
        <f t="shared" si="260"/>
        <v/>
      </c>
      <c r="G2658" s="23"/>
      <c r="H2658" s="66"/>
      <c r="I2658" s="14"/>
      <c r="J2658" s="14"/>
      <c r="K2658" s="14"/>
      <c r="L2658" s="5" t="str">
        <f t="shared" si="255"/>
        <v/>
      </c>
      <c r="M2658" s="5" t="str">
        <f t="shared" si="256"/>
        <v/>
      </c>
      <c r="N2658" s="5" t="str">
        <f t="shared" si="257"/>
        <v/>
      </c>
      <c r="O2658" s="4"/>
    </row>
    <row r="2659" spans="1:15" x14ac:dyDescent="0.25">
      <c r="A2659" s="14"/>
      <c r="B2659" s="14"/>
      <c r="C2659" s="14"/>
      <c r="D2659" s="5" t="str">
        <f t="shared" si="258"/>
        <v/>
      </c>
      <c r="E2659" s="5" t="str">
        <f t="shared" si="259"/>
        <v/>
      </c>
      <c r="F2659" s="5" t="str">
        <f t="shared" si="260"/>
        <v/>
      </c>
      <c r="G2659" s="23"/>
      <c r="H2659" s="66"/>
      <c r="I2659" s="14"/>
      <c r="J2659" s="14"/>
      <c r="K2659" s="14"/>
      <c r="L2659" s="5" t="str">
        <f t="shared" si="255"/>
        <v/>
      </c>
      <c r="M2659" s="5" t="str">
        <f t="shared" si="256"/>
        <v/>
      </c>
      <c r="N2659" s="5" t="str">
        <f t="shared" si="257"/>
        <v/>
      </c>
      <c r="O2659" s="4"/>
    </row>
    <row r="2660" spans="1:15" x14ac:dyDescent="0.25">
      <c r="A2660" s="14"/>
      <c r="B2660" s="14"/>
      <c r="C2660" s="14"/>
      <c r="D2660" s="5" t="str">
        <f t="shared" si="258"/>
        <v/>
      </c>
      <c r="E2660" s="5" t="str">
        <f t="shared" si="259"/>
        <v/>
      </c>
      <c r="F2660" s="5" t="str">
        <f t="shared" si="260"/>
        <v/>
      </c>
      <c r="G2660" s="23"/>
      <c r="H2660" s="66"/>
      <c r="I2660" s="14"/>
      <c r="J2660" s="14"/>
      <c r="K2660" s="14"/>
      <c r="L2660" s="5" t="str">
        <f t="shared" si="255"/>
        <v/>
      </c>
      <c r="M2660" s="5" t="str">
        <f t="shared" si="256"/>
        <v/>
      </c>
      <c r="N2660" s="5" t="str">
        <f t="shared" si="257"/>
        <v/>
      </c>
      <c r="O2660" s="4"/>
    </row>
    <row r="2661" spans="1:15" x14ac:dyDescent="0.25">
      <c r="A2661" s="14"/>
      <c r="B2661" s="14"/>
      <c r="C2661" s="14"/>
      <c r="D2661" s="5" t="str">
        <f t="shared" si="258"/>
        <v/>
      </c>
      <c r="E2661" s="5" t="str">
        <f t="shared" si="259"/>
        <v/>
      </c>
      <c r="F2661" s="5" t="str">
        <f t="shared" si="260"/>
        <v/>
      </c>
      <c r="G2661" s="23"/>
      <c r="H2661" s="66"/>
      <c r="I2661" s="14"/>
      <c r="J2661" s="14"/>
      <c r="K2661" s="14"/>
      <c r="L2661" s="5" t="str">
        <f t="shared" si="255"/>
        <v/>
      </c>
      <c r="M2661" s="5" t="str">
        <f t="shared" si="256"/>
        <v/>
      </c>
      <c r="N2661" s="5" t="str">
        <f t="shared" si="257"/>
        <v/>
      </c>
      <c r="O2661" s="4"/>
    </row>
    <row r="2662" spans="1:15" x14ac:dyDescent="0.25">
      <c r="A2662" s="14"/>
      <c r="B2662" s="14"/>
      <c r="C2662" s="14"/>
      <c r="D2662" s="5" t="str">
        <f t="shared" si="258"/>
        <v/>
      </c>
      <c r="E2662" s="5" t="str">
        <f t="shared" si="259"/>
        <v/>
      </c>
      <c r="F2662" s="5" t="str">
        <f t="shared" si="260"/>
        <v/>
      </c>
      <c r="G2662" s="23"/>
      <c r="H2662" s="66"/>
      <c r="I2662" s="14"/>
      <c r="J2662" s="14"/>
      <c r="K2662" s="14"/>
      <c r="L2662" s="5" t="str">
        <f t="shared" si="255"/>
        <v/>
      </c>
      <c r="M2662" s="5" t="str">
        <f t="shared" si="256"/>
        <v/>
      </c>
      <c r="N2662" s="5" t="str">
        <f t="shared" si="257"/>
        <v/>
      </c>
      <c r="O2662" s="4"/>
    </row>
    <row r="2663" spans="1:15" x14ac:dyDescent="0.25">
      <c r="A2663" s="14"/>
      <c r="B2663" s="14"/>
      <c r="C2663" s="14"/>
      <c r="D2663" s="5" t="str">
        <f t="shared" si="258"/>
        <v/>
      </c>
      <c r="E2663" s="5" t="str">
        <f t="shared" si="259"/>
        <v/>
      </c>
      <c r="F2663" s="5" t="str">
        <f t="shared" si="260"/>
        <v/>
      </c>
      <c r="G2663" s="23"/>
      <c r="H2663" s="66"/>
      <c r="I2663" s="14"/>
      <c r="J2663" s="14"/>
      <c r="K2663" s="14"/>
      <c r="L2663" s="5" t="str">
        <f t="shared" si="255"/>
        <v/>
      </c>
      <c r="M2663" s="5" t="str">
        <f t="shared" si="256"/>
        <v/>
      </c>
      <c r="N2663" s="5" t="str">
        <f t="shared" si="257"/>
        <v/>
      </c>
      <c r="O2663" s="4"/>
    </row>
    <row r="2664" spans="1:15" x14ac:dyDescent="0.25">
      <c r="A2664" s="14"/>
      <c r="B2664" s="14"/>
      <c r="C2664" s="14"/>
      <c r="D2664" s="5" t="str">
        <f t="shared" si="258"/>
        <v/>
      </c>
      <c r="E2664" s="5" t="str">
        <f t="shared" si="259"/>
        <v/>
      </c>
      <c r="F2664" s="5" t="str">
        <f t="shared" si="260"/>
        <v/>
      </c>
      <c r="G2664" s="23"/>
      <c r="H2664" s="66"/>
      <c r="I2664" s="14"/>
      <c r="J2664" s="14"/>
      <c r="K2664" s="14"/>
      <c r="L2664" s="5" t="str">
        <f t="shared" si="255"/>
        <v/>
      </c>
      <c r="M2664" s="5" t="str">
        <f t="shared" si="256"/>
        <v/>
      </c>
      <c r="N2664" s="5" t="str">
        <f t="shared" si="257"/>
        <v/>
      </c>
      <c r="O2664" s="4"/>
    </row>
    <row r="2665" spans="1:15" x14ac:dyDescent="0.25">
      <c r="A2665" s="14"/>
      <c r="B2665" s="14"/>
      <c r="C2665" s="14"/>
      <c r="D2665" s="5" t="str">
        <f t="shared" si="258"/>
        <v/>
      </c>
      <c r="E2665" s="5" t="str">
        <f t="shared" si="259"/>
        <v/>
      </c>
      <c r="F2665" s="5" t="str">
        <f t="shared" si="260"/>
        <v/>
      </c>
      <c r="G2665" s="23"/>
      <c r="H2665" s="66"/>
      <c r="I2665" s="14"/>
      <c r="J2665" s="14"/>
      <c r="K2665" s="14"/>
      <c r="L2665" s="5" t="str">
        <f t="shared" si="255"/>
        <v/>
      </c>
      <c r="M2665" s="5" t="str">
        <f t="shared" si="256"/>
        <v/>
      </c>
      <c r="N2665" s="5" t="str">
        <f t="shared" si="257"/>
        <v/>
      </c>
      <c r="O2665" s="4"/>
    </row>
    <row r="2666" spans="1:15" x14ac:dyDescent="0.25">
      <c r="A2666" s="14"/>
      <c r="B2666" s="14"/>
      <c r="C2666" s="14"/>
      <c r="D2666" s="5" t="str">
        <f t="shared" si="258"/>
        <v/>
      </c>
      <c r="E2666" s="5" t="str">
        <f t="shared" si="259"/>
        <v/>
      </c>
      <c r="F2666" s="5" t="str">
        <f t="shared" si="260"/>
        <v/>
      </c>
      <c r="G2666" s="23"/>
      <c r="H2666" s="66"/>
      <c r="I2666" s="14"/>
      <c r="J2666" s="14"/>
      <c r="K2666" s="14"/>
      <c r="L2666" s="5" t="str">
        <f t="shared" si="255"/>
        <v/>
      </c>
      <c r="M2666" s="5" t="str">
        <f t="shared" si="256"/>
        <v/>
      </c>
      <c r="N2666" s="5" t="str">
        <f t="shared" si="257"/>
        <v/>
      </c>
      <c r="O2666" s="4"/>
    </row>
    <row r="2667" spans="1:15" x14ac:dyDescent="0.25">
      <c r="A2667" s="14"/>
      <c r="B2667" s="14"/>
      <c r="C2667" s="14"/>
      <c r="D2667" s="5" t="str">
        <f t="shared" si="258"/>
        <v/>
      </c>
      <c r="E2667" s="5" t="str">
        <f t="shared" si="259"/>
        <v/>
      </c>
      <c r="F2667" s="5" t="str">
        <f t="shared" si="260"/>
        <v/>
      </c>
      <c r="G2667" s="23"/>
      <c r="H2667" s="66"/>
      <c r="I2667" s="14"/>
      <c r="J2667" s="14"/>
      <c r="K2667" s="14"/>
      <c r="L2667" s="5" t="str">
        <f t="shared" si="255"/>
        <v/>
      </c>
      <c r="M2667" s="5" t="str">
        <f t="shared" si="256"/>
        <v/>
      </c>
      <c r="N2667" s="5" t="str">
        <f t="shared" si="257"/>
        <v/>
      </c>
      <c r="O2667" s="4"/>
    </row>
    <row r="2668" spans="1:15" x14ac:dyDescent="0.25">
      <c r="A2668" s="14"/>
      <c r="B2668" s="14"/>
      <c r="C2668" s="14"/>
      <c r="D2668" s="5" t="str">
        <f t="shared" si="258"/>
        <v/>
      </c>
      <c r="E2668" s="5" t="str">
        <f t="shared" si="259"/>
        <v/>
      </c>
      <c r="F2668" s="5" t="str">
        <f t="shared" si="260"/>
        <v/>
      </c>
      <c r="G2668" s="23"/>
      <c r="H2668" s="66"/>
      <c r="I2668" s="14"/>
      <c r="J2668" s="14"/>
      <c r="K2668" s="14"/>
      <c r="L2668" s="5" t="str">
        <f t="shared" si="255"/>
        <v/>
      </c>
      <c r="M2668" s="5" t="str">
        <f t="shared" si="256"/>
        <v/>
      </c>
      <c r="N2668" s="5" t="str">
        <f t="shared" si="257"/>
        <v/>
      </c>
      <c r="O2668" s="4"/>
    </row>
    <row r="2669" spans="1:15" x14ac:dyDescent="0.25">
      <c r="A2669" s="14"/>
      <c r="B2669" s="14"/>
      <c r="C2669" s="14"/>
      <c r="D2669" s="5" t="str">
        <f t="shared" si="258"/>
        <v/>
      </c>
      <c r="E2669" s="5" t="str">
        <f t="shared" si="259"/>
        <v/>
      </c>
      <c r="F2669" s="5" t="str">
        <f t="shared" si="260"/>
        <v/>
      </c>
      <c r="G2669" s="23"/>
      <c r="H2669" s="66"/>
      <c r="I2669" s="14"/>
      <c r="J2669" s="14"/>
      <c r="K2669" s="14"/>
      <c r="L2669" s="5" t="str">
        <f t="shared" si="255"/>
        <v/>
      </c>
      <c r="M2669" s="5" t="str">
        <f t="shared" si="256"/>
        <v/>
      </c>
      <c r="N2669" s="5" t="str">
        <f t="shared" si="257"/>
        <v/>
      </c>
      <c r="O2669" s="4"/>
    </row>
    <row r="2670" spans="1:15" x14ac:dyDescent="0.25">
      <c r="A2670" s="14"/>
      <c r="B2670" s="14"/>
      <c r="C2670" s="14"/>
      <c r="D2670" s="5" t="str">
        <f t="shared" si="258"/>
        <v/>
      </c>
      <c r="E2670" s="5" t="str">
        <f t="shared" si="259"/>
        <v/>
      </c>
      <c r="F2670" s="5" t="str">
        <f t="shared" si="260"/>
        <v/>
      </c>
      <c r="G2670" s="23"/>
      <c r="H2670" s="66"/>
      <c r="I2670" s="14"/>
      <c r="J2670" s="14"/>
      <c r="K2670" s="14"/>
      <c r="L2670" s="5" t="str">
        <f t="shared" si="255"/>
        <v/>
      </c>
      <c r="M2670" s="5" t="str">
        <f t="shared" si="256"/>
        <v/>
      </c>
      <c r="N2670" s="5" t="str">
        <f t="shared" si="257"/>
        <v/>
      </c>
      <c r="O2670" s="4"/>
    </row>
    <row r="2671" spans="1:15" x14ac:dyDescent="0.25">
      <c r="A2671" s="14"/>
      <c r="B2671" s="14"/>
      <c r="C2671" s="14"/>
      <c r="D2671" s="5" t="str">
        <f t="shared" si="258"/>
        <v/>
      </c>
      <c r="E2671" s="5" t="str">
        <f t="shared" si="259"/>
        <v/>
      </c>
      <c r="F2671" s="5" t="str">
        <f t="shared" si="260"/>
        <v/>
      </c>
      <c r="G2671" s="23"/>
      <c r="H2671" s="66"/>
      <c r="I2671" s="14"/>
      <c r="J2671" s="14"/>
      <c r="K2671" s="14"/>
      <c r="L2671" s="5" t="str">
        <f t="shared" si="255"/>
        <v/>
      </c>
      <c r="M2671" s="5" t="str">
        <f t="shared" si="256"/>
        <v/>
      </c>
      <c r="N2671" s="5" t="str">
        <f t="shared" si="257"/>
        <v/>
      </c>
      <c r="O2671" s="4"/>
    </row>
    <row r="2672" spans="1:15" x14ac:dyDescent="0.25">
      <c r="A2672" s="14"/>
      <c r="B2672" s="14"/>
      <c r="C2672" s="14"/>
      <c r="D2672" s="5" t="str">
        <f t="shared" si="258"/>
        <v/>
      </c>
      <c r="E2672" s="5" t="str">
        <f t="shared" si="259"/>
        <v/>
      </c>
      <c r="F2672" s="5" t="str">
        <f t="shared" si="260"/>
        <v/>
      </c>
      <c r="G2672" s="23"/>
      <c r="H2672" s="66"/>
      <c r="I2672" s="14"/>
      <c r="J2672" s="14"/>
      <c r="K2672" s="14"/>
      <c r="L2672" s="5" t="str">
        <f t="shared" si="255"/>
        <v/>
      </c>
      <c r="M2672" s="5" t="str">
        <f t="shared" si="256"/>
        <v/>
      </c>
      <c r="N2672" s="5" t="str">
        <f t="shared" si="257"/>
        <v/>
      </c>
      <c r="O2672" s="4"/>
    </row>
    <row r="2673" spans="1:15" x14ac:dyDescent="0.25">
      <c r="A2673" s="14"/>
      <c r="B2673" s="14"/>
      <c r="C2673" s="14"/>
      <c r="D2673" s="5" t="str">
        <f t="shared" si="258"/>
        <v/>
      </c>
      <c r="E2673" s="5" t="str">
        <f t="shared" si="259"/>
        <v/>
      </c>
      <c r="F2673" s="5" t="str">
        <f t="shared" si="260"/>
        <v/>
      </c>
      <c r="G2673" s="23"/>
      <c r="H2673" s="66"/>
      <c r="I2673" s="14"/>
      <c r="J2673" s="14"/>
      <c r="K2673" s="14"/>
      <c r="L2673" s="5" t="str">
        <f t="shared" si="255"/>
        <v/>
      </c>
      <c r="M2673" s="5" t="str">
        <f t="shared" si="256"/>
        <v/>
      </c>
      <c r="N2673" s="5" t="str">
        <f t="shared" si="257"/>
        <v/>
      </c>
      <c r="O2673" s="4"/>
    </row>
    <row r="2674" spans="1:15" x14ac:dyDescent="0.25">
      <c r="A2674" s="14"/>
      <c r="B2674" s="14"/>
      <c r="C2674" s="14"/>
      <c r="D2674" s="5" t="str">
        <f t="shared" si="258"/>
        <v/>
      </c>
      <c r="E2674" s="5" t="str">
        <f t="shared" si="259"/>
        <v/>
      </c>
      <c r="F2674" s="5" t="str">
        <f t="shared" si="260"/>
        <v/>
      </c>
      <c r="G2674" s="23"/>
      <c r="H2674" s="66"/>
      <c r="I2674" s="14"/>
      <c r="J2674" s="14"/>
      <c r="K2674" s="14"/>
      <c r="L2674" s="5" t="str">
        <f t="shared" si="255"/>
        <v/>
      </c>
      <c r="M2674" s="5" t="str">
        <f t="shared" si="256"/>
        <v/>
      </c>
      <c r="N2674" s="5" t="str">
        <f t="shared" si="257"/>
        <v/>
      </c>
      <c r="O2674" s="4"/>
    </row>
    <row r="2675" spans="1:15" x14ac:dyDescent="0.25">
      <c r="A2675" s="14"/>
      <c r="B2675" s="14"/>
      <c r="C2675" s="14"/>
      <c r="D2675" s="5" t="str">
        <f t="shared" si="258"/>
        <v/>
      </c>
      <c r="E2675" s="5" t="str">
        <f t="shared" si="259"/>
        <v/>
      </c>
      <c r="F2675" s="5" t="str">
        <f t="shared" si="260"/>
        <v/>
      </c>
      <c r="G2675" s="23"/>
      <c r="H2675" s="66"/>
      <c r="I2675" s="14"/>
      <c r="J2675" s="14"/>
      <c r="K2675" s="14"/>
      <c r="L2675" s="5" t="str">
        <f t="shared" si="255"/>
        <v/>
      </c>
      <c r="M2675" s="5" t="str">
        <f t="shared" si="256"/>
        <v/>
      </c>
      <c r="N2675" s="5" t="str">
        <f t="shared" si="257"/>
        <v/>
      </c>
      <c r="O2675" s="4"/>
    </row>
    <row r="2676" spans="1:15" x14ac:dyDescent="0.25">
      <c r="A2676" s="14"/>
      <c r="B2676" s="14"/>
      <c r="C2676" s="14"/>
      <c r="D2676" s="5" t="str">
        <f t="shared" si="258"/>
        <v/>
      </c>
      <c r="E2676" s="5" t="str">
        <f t="shared" si="259"/>
        <v/>
      </c>
      <c r="F2676" s="5" t="str">
        <f t="shared" si="260"/>
        <v/>
      </c>
      <c r="G2676" s="23"/>
      <c r="H2676" s="66"/>
      <c r="I2676" s="14"/>
      <c r="J2676" s="14"/>
      <c r="K2676" s="14"/>
      <c r="L2676" s="5" t="str">
        <f t="shared" si="255"/>
        <v/>
      </c>
      <c r="M2676" s="5" t="str">
        <f t="shared" si="256"/>
        <v/>
      </c>
      <c r="N2676" s="5" t="str">
        <f t="shared" si="257"/>
        <v/>
      </c>
      <c r="O2676" s="4"/>
    </row>
    <row r="2677" spans="1:15" x14ac:dyDescent="0.25">
      <c r="A2677" s="14"/>
      <c r="B2677" s="14"/>
      <c r="C2677" s="14"/>
      <c r="D2677" s="5" t="str">
        <f t="shared" si="258"/>
        <v/>
      </c>
      <c r="E2677" s="5" t="str">
        <f t="shared" si="259"/>
        <v/>
      </c>
      <c r="F2677" s="5" t="str">
        <f t="shared" si="260"/>
        <v/>
      </c>
      <c r="G2677" s="23"/>
      <c r="H2677" s="66"/>
      <c r="I2677" s="14"/>
      <c r="J2677" s="14"/>
      <c r="K2677" s="14"/>
      <c r="L2677" s="5" t="str">
        <f t="shared" si="255"/>
        <v/>
      </c>
      <c r="M2677" s="5" t="str">
        <f t="shared" si="256"/>
        <v/>
      </c>
      <c r="N2677" s="5" t="str">
        <f t="shared" si="257"/>
        <v/>
      </c>
      <c r="O2677" s="4"/>
    </row>
    <row r="2678" spans="1:15" x14ac:dyDescent="0.25">
      <c r="A2678" s="14"/>
      <c r="B2678" s="14"/>
      <c r="C2678" s="14"/>
      <c r="D2678" s="5" t="str">
        <f t="shared" si="258"/>
        <v/>
      </c>
      <c r="E2678" s="5" t="str">
        <f t="shared" si="259"/>
        <v/>
      </c>
      <c r="F2678" s="5" t="str">
        <f t="shared" si="260"/>
        <v/>
      </c>
      <c r="G2678" s="23"/>
      <c r="H2678" s="66"/>
      <c r="I2678" s="14"/>
      <c r="J2678" s="14"/>
      <c r="K2678" s="14"/>
      <c r="L2678" s="5" t="str">
        <f t="shared" si="255"/>
        <v/>
      </c>
      <c r="M2678" s="5" t="str">
        <f t="shared" si="256"/>
        <v/>
      </c>
      <c r="N2678" s="5" t="str">
        <f t="shared" si="257"/>
        <v/>
      </c>
      <c r="O2678" s="4"/>
    </row>
    <row r="2679" spans="1:15" x14ac:dyDescent="0.25">
      <c r="A2679" s="14"/>
      <c r="B2679" s="14"/>
      <c r="C2679" s="14"/>
      <c r="D2679" s="5" t="str">
        <f t="shared" si="258"/>
        <v/>
      </c>
      <c r="E2679" s="5" t="str">
        <f t="shared" si="259"/>
        <v/>
      </c>
      <c r="F2679" s="5" t="str">
        <f t="shared" si="260"/>
        <v/>
      </c>
      <c r="G2679" s="23"/>
      <c r="H2679" s="66"/>
      <c r="I2679" s="14"/>
      <c r="J2679" s="14"/>
      <c r="K2679" s="14"/>
      <c r="L2679" s="5" t="str">
        <f t="shared" si="255"/>
        <v/>
      </c>
      <c r="M2679" s="5" t="str">
        <f t="shared" si="256"/>
        <v/>
      </c>
      <c r="N2679" s="5" t="str">
        <f t="shared" si="257"/>
        <v/>
      </c>
      <c r="O2679" s="4"/>
    </row>
    <row r="2680" spans="1:15" x14ac:dyDescent="0.25">
      <c r="A2680" s="14"/>
      <c r="B2680" s="14"/>
      <c r="C2680" s="14"/>
      <c r="D2680" s="5" t="str">
        <f t="shared" si="258"/>
        <v/>
      </c>
      <c r="E2680" s="5" t="str">
        <f t="shared" si="259"/>
        <v/>
      </c>
      <c r="F2680" s="5" t="str">
        <f t="shared" si="260"/>
        <v/>
      </c>
      <c r="G2680" s="23"/>
      <c r="H2680" s="66"/>
      <c r="I2680" s="14"/>
      <c r="J2680" s="14"/>
      <c r="K2680" s="14"/>
      <c r="L2680" s="5" t="str">
        <f t="shared" si="255"/>
        <v/>
      </c>
      <c r="M2680" s="5" t="str">
        <f t="shared" si="256"/>
        <v/>
      </c>
      <c r="N2680" s="5" t="str">
        <f t="shared" si="257"/>
        <v/>
      </c>
      <c r="O2680" s="4"/>
    </row>
    <row r="2681" spans="1:15" x14ac:dyDescent="0.25">
      <c r="A2681" s="14"/>
      <c r="B2681" s="14"/>
      <c r="C2681" s="14"/>
      <c r="D2681" s="5" t="str">
        <f t="shared" si="258"/>
        <v/>
      </c>
      <c r="E2681" s="5" t="str">
        <f t="shared" si="259"/>
        <v/>
      </c>
      <c r="F2681" s="5" t="str">
        <f t="shared" si="260"/>
        <v/>
      </c>
      <c r="G2681" s="23"/>
      <c r="H2681" s="66"/>
      <c r="I2681" s="14"/>
      <c r="J2681" s="14"/>
      <c r="K2681" s="14"/>
      <c r="L2681" s="5" t="str">
        <f t="shared" si="255"/>
        <v/>
      </c>
      <c r="M2681" s="5" t="str">
        <f t="shared" si="256"/>
        <v/>
      </c>
      <c r="N2681" s="5" t="str">
        <f t="shared" si="257"/>
        <v/>
      </c>
      <c r="O2681" s="4"/>
    </row>
    <row r="2682" spans="1:15" x14ac:dyDescent="0.25">
      <c r="A2682" s="14"/>
      <c r="B2682" s="14"/>
      <c r="C2682" s="14"/>
      <c r="D2682" s="5" t="str">
        <f t="shared" si="258"/>
        <v/>
      </c>
      <c r="E2682" s="5" t="str">
        <f t="shared" si="259"/>
        <v/>
      </c>
      <c r="F2682" s="5" t="str">
        <f t="shared" si="260"/>
        <v/>
      </c>
      <c r="G2682" s="23"/>
      <c r="H2682" s="66"/>
      <c r="I2682" s="14"/>
      <c r="J2682" s="14"/>
      <c r="K2682" s="14"/>
      <c r="L2682" s="5" t="str">
        <f t="shared" si="255"/>
        <v/>
      </c>
      <c r="M2682" s="5" t="str">
        <f t="shared" si="256"/>
        <v/>
      </c>
      <c r="N2682" s="5" t="str">
        <f t="shared" si="257"/>
        <v/>
      </c>
      <c r="O2682" s="4"/>
    </row>
    <row r="2683" spans="1:15" x14ac:dyDescent="0.25">
      <c r="A2683" s="14"/>
      <c r="B2683" s="14"/>
      <c r="C2683" s="14"/>
      <c r="D2683" s="5" t="str">
        <f t="shared" si="258"/>
        <v/>
      </c>
      <c r="E2683" s="5" t="str">
        <f t="shared" si="259"/>
        <v/>
      </c>
      <c r="F2683" s="5" t="str">
        <f t="shared" si="260"/>
        <v/>
      </c>
      <c r="G2683" s="23"/>
      <c r="H2683" s="66"/>
      <c r="I2683" s="14"/>
      <c r="J2683" s="14"/>
      <c r="K2683" s="14"/>
      <c r="L2683" s="5" t="str">
        <f t="shared" si="255"/>
        <v/>
      </c>
      <c r="M2683" s="5" t="str">
        <f t="shared" si="256"/>
        <v/>
      </c>
      <c r="N2683" s="5" t="str">
        <f t="shared" si="257"/>
        <v/>
      </c>
      <c r="O2683" s="4"/>
    </row>
    <row r="2684" spans="1:15" x14ac:dyDescent="0.25">
      <c r="A2684" s="14"/>
      <c r="B2684" s="14"/>
      <c r="C2684" s="14"/>
      <c r="D2684" s="5" t="str">
        <f t="shared" si="258"/>
        <v/>
      </c>
      <c r="E2684" s="5" t="str">
        <f t="shared" si="259"/>
        <v/>
      </c>
      <c r="F2684" s="5" t="str">
        <f t="shared" si="260"/>
        <v/>
      </c>
      <c r="G2684" s="23"/>
      <c r="H2684" s="66"/>
      <c r="I2684" s="14"/>
      <c r="J2684" s="14"/>
      <c r="K2684" s="14"/>
      <c r="L2684" s="5" t="str">
        <f t="shared" si="255"/>
        <v/>
      </c>
      <c r="M2684" s="5" t="str">
        <f t="shared" si="256"/>
        <v/>
      </c>
      <c r="N2684" s="5" t="str">
        <f t="shared" si="257"/>
        <v/>
      </c>
      <c r="O2684" s="4"/>
    </row>
    <row r="2685" spans="1:15" x14ac:dyDescent="0.25">
      <c r="A2685" s="14"/>
      <c r="B2685" s="14"/>
      <c r="C2685" s="14"/>
      <c r="D2685" s="5" t="str">
        <f t="shared" si="258"/>
        <v/>
      </c>
      <c r="E2685" s="5" t="str">
        <f t="shared" si="259"/>
        <v/>
      </c>
      <c r="F2685" s="5" t="str">
        <f t="shared" si="260"/>
        <v/>
      </c>
      <c r="G2685" s="23"/>
      <c r="H2685" s="66"/>
      <c r="I2685" s="14"/>
      <c r="J2685" s="14"/>
      <c r="K2685" s="14"/>
      <c r="L2685" s="5" t="str">
        <f t="shared" si="255"/>
        <v/>
      </c>
      <c r="M2685" s="5" t="str">
        <f t="shared" si="256"/>
        <v/>
      </c>
      <c r="N2685" s="5" t="str">
        <f t="shared" si="257"/>
        <v/>
      </c>
      <c r="O2685" s="4"/>
    </row>
    <row r="2686" spans="1:15" x14ac:dyDescent="0.25">
      <c r="A2686" s="14"/>
      <c r="B2686" s="14"/>
      <c r="C2686" s="14"/>
      <c r="D2686" s="5" t="str">
        <f t="shared" si="258"/>
        <v/>
      </c>
      <c r="E2686" s="5" t="str">
        <f t="shared" si="259"/>
        <v/>
      </c>
      <c r="F2686" s="5" t="str">
        <f t="shared" si="260"/>
        <v/>
      </c>
      <c r="G2686" s="23"/>
      <c r="H2686" s="66"/>
      <c r="I2686" s="14"/>
      <c r="J2686" s="14"/>
      <c r="K2686" s="14"/>
      <c r="L2686" s="5" t="str">
        <f t="shared" si="255"/>
        <v/>
      </c>
      <c r="M2686" s="5" t="str">
        <f t="shared" si="256"/>
        <v/>
      </c>
      <c r="N2686" s="5" t="str">
        <f t="shared" si="257"/>
        <v/>
      </c>
      <c r="O2686" s="4"/>
    </row>
    <row r="2687" spans="1:15" x14ac:dyDescent="0.25">
      <c r="A2687" s="14"/>
      <c r="B2687" s="14"/>
      <c r="C2687" s="14"/>
      <c r="D2687" s="5" t="str">
        <f t="shared" si="258"/>
        <v/>
      </c>
      <c r="E2687" s="5" t="str">
        <f t="shared" si="259"/>
        <v/>
      </c>
      <c r="F2687" s="5" t="str">
        <f t="shared" si="260"/>
        <v/>
      </c>
      <c r="G2687" s="23"/>
      <c r="H2687" s="66"/>
      <c r="I2687" s="14"/>
      <c r="J2687" s="14"/>
      <c r="K2687" s="14"/>
      <c r="L2687" s="5" t="str">
        <f t="shared" si="255"/>
        <v/>
      </c>
      <c r="M2687" s="5" t="str">
        <f t="shared" si="256"/>
        <v/>
      </c>
      <c r="N2687" s="5" t="str">
        <f t="shared" si="257"/>
        <v/>
      </c>
      <c r="O2687" s="4"/>
    </row>
    <row r="2688" spans="1:15" x14ac:dyDescent="0.25">
      <c r="A2688" s="14"/>
      <c r="B2688" s="14"/>
      <c r="C2688" s="14"/>
      <c r="D2688" s="5" t="str">
        <f t="shared" si="258"/>
        <v/>
      </c>
      <c r="E2688" s="5" t="str">
        <f t="shared" si="259"/>
        <v/>
      </c>
      <c r="F2688" s="5" t="str">
        <f t="shared" si="260"/>
        <v/>
      </c>
      <c r="G2688" s="23"/>
      <c r="H2688" s="66"/>
      <c r="I2688" s="14"/>
      <c r="J2688" s="14"/>
      <c r="K2688" s="14"/>
      <c r="L2688" s="5" t="str">
        <f t="shared" si="255"/>
        <v/>
      </c>
      <c r="M2688" s="5" t="str">
        <f t="shared" si="256"/>
        <v/>
      </c>
      <c r="N2688" s="5" t="str">
        <f t="shared" si="257"/>
        <v/>
      </c>
      <c r="O2688" s="4"/>
    </row>
    <row r="2689" spans="1:15" x14ac:dyDescent="0.25">
      <c r="A2689" s="14"/>
      <c r="B2689" s="14"/>
      <c r="C2689" s="14"/>
      <c r="D2689" s="5" t="str">
        <f t="shared" si="258"/>
        <v/>
      </c>
      <c r="E2689" s="5" t="str">
        <f t="shared" si="259"/>
        <v/>
      </c>
      <c r="F2689" s="5" t="str">
        <f t="shared" si="260"/>
        <v/>
      </c>
      <c r="G2689" s="23"/>
      <c r="H2689" s="66"/>
      <c r="I2689" s="14"/>
      <c r="J2689" s="14"/>
      <c r="K2689" s="14"/>
      <c r="L2689" s="5" t="str">
        <f t="shared" si="255"/>
        <v/>
      </c>
      <c r="M2689" s="5" t="str">
        <f t="shared" si="256"/>
        <v/>
      </c>
      <c r="N2689" s="5" t="str">
        <f t="shared" si="257"/>
        <v/>
      </c>
      <c r="O2689" s="4"/>
    </row>
    <row r="2690" spans="1:15" x14ac:dyDescent="0.25">
      <c r="A2690" s="14"/>
      <c r="B2690" s="14"/>
      <c r="C2690" s="14"/>
      <c r="D2690" s="5" t="str">
        <f t="shared" si="258"/>
        <v/>
      </c>
      <c r="E2690" s="5" t="str">
        <f t="shared" si="259"/>
        <v/>
      </c>
      <c r="F2690" s="5" t="str">
        <f t="shared" si="260"/>
        <v/>
      </c>
      <c r="G2690" s="23"/>
      <c r="H2690" s="66"/>
      <c r="I2690" s="14"/>
      <c r="J2690" s="14"/>
      <c r="K2690" s="14"/>
      <c r="L2690" s="5" t="str">
        <f t="shared" si="255"/>
        <v/>
      </c>
      <c r="M2690" s="5" t="str">
        <f t="shared" si="256"/>
        <v/>
      </c>
      <c r="N2690" s="5" t="str">
        <f t="shared" si="257"/>
        <v/>
      </c>
      <c r="O2690" s="4"/>
    </row>
    <row r="2691" spans="1:15" x14ac:dyDescent="0.25">
      <c r="A2691" s="14"/>
      <c r="B2691" s="14"/>
      <c r="C2691" s="14"/>
      <c r="D2691" s="5" t="str">
        <f t="shared" si="258"/>
        <v/>
      </c>
      <c r="E2691" s="5" t="str">
        <f t="shared" si="259"/>
        <v/>
      </c>
      <c r="F2691" s="5" t="str">
        <f t="shared" si="260"/>
        <v/>
      </c>
      <c r="G2691" s="23"/>
      <c r="H2691" s="66"/>
      <c r="I2691" s="14"/>
      <c r="J2691" s="14"/>
      <c r="K2691" s="14"/>
      <c r="L2691" s="5" t="str">
        <f t="shared" si="255"/>
        <v/>
      </c>
      <c r="M2691" s="5" t="str">
        <f t="shared" si="256"/>
        <v/>
      </c>
      <c r="N2691" s="5" t="str">
        <f t="shared" si="257"/>
        <v/>
      </c>
      <c r="O2691" s="4"/>
    </row>
    <row r="2692" spans="1:15" x14ac:dyDescent="0.25">
      <c r="A2692" s="14"/>
      <c r="B2692" s="14"/>
      <c r="C2692" s="14"/>
      <c r="D2692" s="5" t="str">
        <f t="shared" si="258"/>
        <v/>
      </c>
      <c r="E2692" s="5" t="str">
        <f t="shared" si="259"/>
        <v/>
      </c>
      <c r="F2692" s="5" t="str">
        <f t="shared" si="260"/>
        <v/>
      </c>
      <c r="G2692" s="23"/>
      <c r="H2692" s="66"/>
      <c r="I2692" s="14"/>
      <c r="J2692" s="14"/>
      <c r="K2692" s="14"/>
      <c r="L2692" s="5" t="str">
        <f t="shared" si="255"/>
        <v/>
      </c>
      <c r="M2692" s="5" t="str">
        <f t="shared" si="256"/>
        <v/>
      </c>
      <c r="N2692" s="5" t="str">
        <f t="shared" si="257"/>
        <v/>
      </c>
      <c r="O2692" s="4"/>
    </row>
    <row r="2693" spans="1:15" x14ac:dyDescent="0.25">
      <c r="A2693" s="14"/>
      <c r="B2693" s="14"/>
      <c r="C2693" s="14"/>
      <c r="D2693" s="5" t="str">
        <f t="shared" si="258"/>
        <v/>
      </c>
      <c r="E2693" s="5" t="str">
        <f t="shared" si="259"/>
        <v/>
      </c>
      <c r="F2693" s="5" t="str">
        <f t="shared" si="260"/>
        <v/>
      </c>
      <c r="G2693" s="23"/>
      <c r="H2693" s="66"/>
      <c r="I2693" s="14"/>
      <c r="J2693" s="14"/>
      <c r="K2693" s="14"/>
      <c r="L2693" s="5" t="str">
        <f t="shared" si="255"/>
        <v/>
      </c>
      <c r="M2693" s="5" t="str">
        <f t="shared" si="256"/>
        <v/>
      </c>
      <c r="N2693" s="5" t="str">
        <f t="shared" si="257"/>
        <v/>
      </c>
      <c r="O2693" s="4"/>
    </row>
    <row r="2694" spans="1:15" x14ac:dyDescent="0.25">
      <c r="A2694" s="14"/>
      <c r="B2694" s="14"/>
      <c r="C2694" s="14"/>
      <c r="D2694" s="5" t="str">
        <f t="shared" si="258"/>
        <v/>
      </c>
      <c r="E2694" s="5" t="str">
        <f t="shared" si="259"/>
        <v/>
      </c>
      <c r="F2694" s="5" t="str">
        <f t="shared" si="260"/>
        <v/>
      </c>
      <c r="G2694" s="23"/>
      <c r="H2694" s="66"/>
      <c r="I2694" s="14"/>
      <c r="J2694" s="14"/>
      <c r="K2694" s="14"/>
      <c r="L2694" s="5" t="str">
        <f t="shared" si="255"/>
        <v/>
      </c>
      <c r="M2694" s="5" t="str">
        <f t="shared" si="256"/>
        <v/>
      </c>
      <c r="N2694" s="5" t="str">
        <f t="shared" si="257"/>
        <v/>
      </c>
      <c r="O2694" s="4"/>
    </row>
    <row r="2695" spans="1:15" x14ac:dyDescent="0.25">
      <c r="A2695" s="14"/>
      <c r="B2695" s="14"/>
      <c r="C2695" s="14"/>
      <c r="D2695" s="5" t="str">
        <f t="shared" si="258"/>
        <v/>
      </c>
      <c r="E2695" s="5" t="str">
        <f t="shared" si="259"/>
        <v/>
      </c>
      <c r="F2695" s="5" t="str">
        <f t="shared" si="260"/>
        <v/>
      </c>
      <c r="G2695" s="23"/>
      <c r="H2695" s="66"/>
      <c r="I2695" s="14"/>
      <c r="J2695" s="14"/>
      <c r="K2695" s="14"/>
      <c r="L2695" s="5" t="str">
        <f t="shared" si="255"/>
        <v/>
      </c>
      <c r="M2695" s="5" t="str">
        <f t="shared" si="256"/>
        <v/>
      </c>
      <c r="N2695" s="5" t="str">
        <f t="shared" si="257"/>
        <v/>
      </c>
      <c r="O2695" s="4"/>
    </row>
    <row r="2696" spans="1:15" x14ac:dyDescent="0.25">
      <c r="A2696" s="14"/>
      <c r="B2696" s="14"/>
      <c r="C2696" s="14"/>
      <c r="D2696" s="5" t="str">
        <f t="shared" si="258"/>
        <v/>
      </c>
      <c r="E2696" s="5" t="str">
        <f t="shared" si="259"/>
        <v/>
      </c>
      <c r="F2696" s="5" t="str">
        <f t="shared" si="260"/>
        <v/>
      </c>
      <c r="G2696" s="23"/>
      <c r="H2696" s="66"/>
      <c r="I2696" s="14"/>
      <c r="J2696" s="14"/>
      <c r="K2696" s="14"/>
      <c r="L2696" s="5" t="str">
        <f t="shared" si="255"/>
        <v/>
      </c>
      <c r="M2696" s="5" t="str">
        <f t="shared" si="256"/>
        <v/>
      </c>
      <c r="N2696" s="5" t="str">
        <f t="shared" si="257"/>
        <v/>
      </c>
      <c r="O2696" s="4"/>
    </row>
    <row r="2697" spans="1:15" x14ac:dyDescent="0.25">
      <c r="A2697" s="14"/>
      <c r="B2697" s="14"/>
      <c r="C2697" s="14"/>
      <c r="D2697" s="5" t="str">
        <f t="shared" si="258"/>
        <v/>
      </c>
      <c r="E2697" s="5" t="str">
        <f t="shared" si="259"/>
        <v/>
      </c>
      <c r="F2697" s="5" t="str">
        <f t="shared" si="260"/>
        <v/>
      </c>
      <c r="G2697" s="23"/>
      <c r="H2697" s="66"/>
      <c r="I2697" s="14"/>
      <c r="J2697" s="14"/>
      <c r="K2697" s="14"/>
      <c r="L2697" s="5" t="str">
        <f t="shared" si="255"/>
        <v/>
      </c>
      <c r="M2697" s="5" t="str">
        <f t="shared" si="256"/>
        <v/>
      </c>
      <c r="N2697" s="5" t="str">
        <f t="shared" si="257"/>
        <v/>
      </c>
      <c r="O2697" s="4"/>
    </row>
    <row r="2698" spans="1:15" x14ac:dyDescent="0.25">
      <c r="A2698" s="14"/>
      <c r="B2698" s="14"/>
      <c r="C2698" s="14"/>
      <c r="D2698" s="5" t="str">
        <f t="shared" si="258"/>
        <v/>
      </c>
      <c r="E2698" s="5" t="str">
        <f t="shared" si="259"/>
        <v/>
      </c>
      <c r="F2698" s="5" t="str">
        <f t="shared" si="260"/>
        <v/>
      </c>
      <c r="G2698" s="23"/>
      <c r="H2698" s="66"/>
      <c r="I2698" s="14"/>
      <c r="J2698" s="14"/>
      <c r="K2698" s="14"/>
      <c r="L2698" s="5" t="str">
        <f t="shared" si="255"/>
        <v/>
      </c>
      <c r="M2698" s="5" t="str">
        <f t="shared" si="256"/>
        <v/>
      </c>
      <c r="N2698" s="5" t="str">
        <f t="shared" si="257"/>
        <v/>
      </c>
      <c r="O2698" s="4"/>
    </row>
    <row r="2699" spans="1:15" x14ac:dyDescent="0.25">
      <c r="A2699" s="14"/>
      <c r="B2699" s="14"/>
      <c r="C2699" s="14"/>
      <c r="D2699" s="5" t="str">
        <f t="shared" si="258"/>
        <v/>
      </c>
      <c r="E2699" s="5" t="str">
        <f t="shared" si="259"/>
        <v/>
      </c>
      <c r="F2699" s="5" t="str">
        <f t="shared" si="260"/>
        <v/>
      </c>
      <c r="G2699" s="23"/>
      <c r="H2699" s="66"/>
      <c r="I2699" s="14"/>
      <c r="J2699" s="14"/>
      <c r="K2699" s="14"/>
      <c r="L2699" s="5" t="str">
        <f t="shared" si="255"/>
        <v/>
      </c>
      <c r="M2699" s="5" t="str">
        <f t="shared" si="256"/>
        <v/>
      </c>
      <c r="N2699" s="5" t="str">
        <f t="shared" si="257"/>
        <v/>
      </c>
      <c r="O2699" s="4"/>
    </row>
    <row r="2700" spans="1:15" x14ac:dyDescent="0.25">
      <c r="A2700" s="14"/>
      <c r="B2700" s="14"/>
      <c r="C2700" s="14"/>
      <c r="D2700" s="5" t="str">
        <f t="shared" si="258"/>
        <v/>
      </c>
      <c r="E2700" s="5" t="str">
        <f t="shared" si="259"/>
        <v/>
      </c>
      <c r="F2700" s="5" t="str">
        <f t="shared" si="260"/>
        <v/>
      </c>
      <c r="G2700" s="23"/>
      <c r="H2700" s="66"/>
      <c r="I2700" s="14"/>
      <c r="J2700" s="14"/>
      <c r="K2700" s="14"/>
      <c r="L2700" s="5" t="str">
        <f t="shared" si="255"/>
        <v/>
      </c>
      <c r="M2700" s="5" t="str">
        <f t="shared" si="256"/>
        <v/>
      </c>
      <c r="N2700" s="5" t="str">
        <f t="shared" si="257"/>
        <v/>
      </c>
      <c r="O2700" s="4"/>
    </row>
    <row r="2701" spans="1:15" x14ac:dyDescent="0.25">
      <c r="A2701" s="14"/>
      <c r="B2701" s="14"/>
      <c r="C2701" s="14"/>
      <c r="D2701" s="5" t="str">
        <f t="shared" si="258"/>
        <v/>
      </c>
      <c r="E2701" s="5" t="str">
        <f t="shared" si="259"/>
        <v/>
      </c>
      <c r="F2701" s="5" t="str">
        <f t="shared" si="260"/>
        <v/>
      </c>
      <c r="G2701" s="23"/>
      <c r="H2701" s="66"/>
      <c r="I2701" s="14"/>
      <c r="J2701" s="14"/>
      <c r="K2701" s="14"/>
      <c r="L2701" s="5" t="str">
        <f t="shared" si="255"/>
        <v/>
      </c>
      <c r="M2701" s="5" t="str">
        <f t="shared" si="256"/>
        <v/>
      </c>
      <c r="N2701" s="5" t="str">
        <f t="shared" si="257"/>
        <v/>
      </c>
      <c r="O2701" s="4"/>
    </row>
    <row r="2702" spans="1:15" x14ac:dyDescent="0.25">
      <c r="A2702" s="14"/>
      <c r="B2702" s="14"/>
      <c r="C2702" s="14"/>
      <c r="D2702" s="5" t="str">
        <f t="shared" si="258"/>
        <v/>
      </c>
      <c r="E2702" s="5" t="str">
        <f t="shared" si="259"/>
        <v/>
      </c>
      <c r="F2702" s="5" t="str">
        <f t="shared" si="260"/>
        <v/>
      </c>
      <c r="G2702" s="23"/>
      <c r="H2702" s="66"/>
      <c r="I2702" s="14"/>
      <c r="J2702" s="14"/>
      <c r="K2702" s="14"/>
      <c r="L2702" s="5" t="str">
        <f t="shared" si="255"/>
        <v/>
      </c>
      <c r="M2702" s="5" t="str">
        <f t="shared" si="256"/>
        <v/>
      </c>
      <c r="N2702" s="5" t="str">
        <f t="shared" si="257"/>
        <v/>
      </c>
      <c r="O2702" s="4"/>
    </row>
    <row r="2703" spans="1:15" x14ac:dyDescent="0.25">
      <c r="A2703" s="14"/>
      <c r="B2703" s="14"/>
      <c r="C2703" s="14"/>
      <c r="D2703" s="5" t="str">
        <f t="shared" si="258"/>
        <v/>
      </c>
      <c r="E2703" s="5" t="str">
        <f t="shared" si="259"/>
        <v/>
      </c>
      <c r="F2703" s="5" t="str">
        <f t="shared" si="260"/>
        <v/>
      </c>
      <c r="G2703" s="23"/>
      <c r="H2703" s="66"/>
      <c r="I2703" s="14"/>
      <c r="J2703" s="14"/>
      <c r="K2703" s="14"/>
      <c r="L2703" s="5" t="str">
        <f t="shared" si="255"/>
        <v/>
      </c>
      <c r="M2703" s="5" t="str">
        <f t="shared" si="256"/>
        <v/>
      </c>
      <c r="N2703" s="5" t="str">
        <f t="shared" si="257"/>
        <v/>
      </c>
      <c r="O2703" s="4"/>
    </row>
    <row r="2704" spans="1:15" x14ac:dyDescent="0.25">
      <c r="A2704" s="14"/>
      <c r="B2704" s="14"/>
      <c r="C2704" s="14"/>
      <c r="D2704" s="5" t="str">
        <f t="shared" si="258"/>
        <v/>
      </c>
      <c r="E2704" s="5" t="str">
        <f t="shared" si="259"/>
        <v/>
      </c>
      <c r="F2704" s="5" t="str">
        <f t="shared" si="260"/>
        <v/>
      </c>
      <c r="G2704" s="23"/>
      <c r="H2704" s="66"/>
      <c r="I2704" s="14"/>
      <c r="J2704" s="14"/>
      <c r="K2704" s="14"/>
      <c r="L2704" s="5" t="str">
        <f t="shared" si="255"/>
        <v/>
      </c>
      <c r="M2704" s="5" t="str">
        <f t="shared" si="256"/>
        <v/>
      </c>
      <c r="N2704" s="5" t="str">
        <f t="shared" si="257"/>
        <v/>
      </c>
      <c r="O2704" s="4"/>
    </row>
    <row r="2705" spans="1:15" x14ac:dyDescent="0.25">
      <c r="A2705" s="14"/>
      <c r="B2705" s="14"/>
      <c r="C2705" s="14"/>
      <c r="D2705" s="5" t="str">
        <f t="shared" si="258"/>
        <v/>
      </c>
      <c r="E2705" s="5" t="str">
        <f t="shared" si="259"/>
        <v/>
      </c>
      <c r="F2705" s="5" t="str">
        <f t="shared" si="260"/>
        <v/>
      </c>
      <c r="G2705" s="23"/>
      <c r="H2705" s="66"/>
      <c r="I2705" s="14"/>
      <c r="J2705" s="14"/>
      <c r="K2705" s="14"/>
      <c r="L2705" s="5" t="str">
        <f t="shared" ref="L2705:L2768" si="261">IFERROR(IF(I2705&lt;&gt;"",(((J2705-J2704)*$X$4/(I2705-I2704)))*$X$5,""),"")</f>
        <v/>
      </c>
      <c r="M2705" s="5" t="str">
        <f t="shared" ref="M2705:M2768" si="262">IFERROR(IF(I2705&lt;&gt;"",(((K2705-K2704)*$X$4/(I2705-I2704)))*$X$5,""),"")</f>
        <v/>
      </c>
      <c r="N2705" s="5" t="str">
        <f t="shared" ref="N2705:N2768" si="263">IFERROR(IF(I2705&lt;&gt;"",((ACOS((COS(RADIANS(J2704))*COS(RADIANS(J2705)))+(SIN(RADIANS(J2704))*SIN(RADIANS(J2705)))*COS(RADIANS(K2705-K2704)))*180/PI()*($X$4/(I2705-I2704))))*$X$5,""),"")</f>
        <v/>
      </c>
      <c r="O2705" s="4"/>
    </row>
    <row r="2706" spans="1:15" x14ac:dyDescent="0.25">
      <c r="A2706" s="14"/>
      <c r="B2706" s="14"/>
      <c r="C2706" s="14"/>
      <c r="D2706" s="5" t="str">
        <f t="shared" si="258"/>
        <v/>
      </c>
      <c r="E2706" s="5" t="str">
        <f t="shared" si="259"/>
        <v/>
      </c>
      <c r="F2706" s="5" t="str">
        <f t="shared" si="260"/>
        <v/>
      </c>
      <c r="G2706" s="23"/>
      <c r="H2706" s="66"/>
      <c r="I2706" s="14"/>
      <c r="J2706" s="14"/>
      <c r="K2706" s="14"/>
      <c r="L2706" s="5" t="str">
        <f t="shared" si="261"/>
        <v/>
      </c>
      <c r="M2706" s="5" t="str">
        <f t="shared" si="262"/>
        <v/>
      </c>
      <c r="N2706" s="5" t="str">
        <f t="shared" si="263"/>
        <v/>
      </c>
      <c r="O2706" s="4"/>
    </row>
    <row r="2707" spans="1:15" x14ac:dyDescent="0.25">
      <c r="A2707" s="14"/>
      <c r="B2707" s="14"/>
      <c r="C2707" s="14"/>
      <c r="D2707" s="5" t="str">
        <f t="shared" si="258"/>
        <v/>
      </c>
      <c r="E2707" s="5" t="str">
        <f t="shared" si="259"/>
        <v/>
      </c>
      <c r="F2707" s="5" t="str">
        <f t="shared" si="260"/>
        <v/>
      </c>
      <c r="G2707" s="23"/>
      <c r="H2707" s="66"/>
      <c r="I2707" s="14"/>
      <c r="J2707" s="14"/>
      <c r="K2707" s="14"/>
      <c r="L2707" s="5" t="str">
        <f t="shared" si="261"/>
        <v/>
      </c>
      <c r="M2707" s="5" t="str">
        <f t="shared" si="262"/>
        <v/>
      </c>
      <c r="N2707" s="5" t="str">
        <f t="shared" si="263"/>
        <v/>
      </c>
      <c r="O2707" s="4"/>
    </row>
    <row r="2708" spans="1:15" x14ac:dyDescent="0.25">
      <c r="A2708" s="14"/>
      <c r="B2708" s="14"/>
      <c r="C2708" s="14"/>
      <c r="D2708" s="5" t="str">
        <f t="shared" si="258"/>
        <v/>
      </c>
      <c r="E2708" s="5" t="str">
        <f t="shared" si="259"/>
        <v/>
      </c>
      <c r="F2708" s="5" t="str">
        <f t="shared" si="260"/>
        <v/>
      </c>
      <c r="G2708" s="23"/>
      <c r="H2708" s="66"/>
      <c r="I2708" s="14"/>
      <c r="J2708" s="14"/>
      <c r="K2708" s="14"/>
      <c r="L2708" s="5" t="str">
        <f t="shared" si="261"/>
        <v/>
      </c>
      <c r="M2708" s="5" t="str">
        <f t="shared" si="262"/>
        <v/>
      </c>
      <c r="N2708" s="5" t="str">
        <f t="shared" si="263"/>
        <v/>
      </c>
      <c r="O2708" s="4"/>
    </row>
    <row r="2709" spans="1:15" x14ac:dyDescent="0.25">
      <c r="A2709" s="14"/>
      <c r="B2709" s="14"/>
      <c r="C2709" s="14"/>
      <c r="D2709" s="5" t="str">
        <f t="shared" si="258"/>
        <v/>
      </c>
      <c r="E2709" s="5" t="str">
        <f t="shared" si="259"/>
        <v/>
      </c>
      <c r="F2709" s="5" t="str">
        <f t="shared" si="260"/>
        <v/>
      </c>
      <c r="G2709" s="23"/>
      <c r="H2709" s="66"/>
      <c r="I2709" s="14"/>
      <c r="J2709" s="14"/>
      <c r="K2709" s="14"/>
      <c r="L2709" s="5" t="str">
        <f t="shared" si="261"/>
        <v/>
      </c>
      <c r="M2709" s="5" t="str">
        <f t="shared" si="262"/>
        <v/>
      </c>
      <c r="N2709" s="5" t="str">
        <f t="shared" si="263"/>
        <v/>
      </c>
      <c r="O2709" s="4"/>
    </row>
    <row r="2710" spans="1:15" x14ac:dyDescent="0.25">
      <c r="A2710" s="14"/>
      <c r="B2710" s="14"/>
      <c r="C2710" s="14"/>
      <c r="D2710" s="5" t="str">
        <f t="shared" si="258"/>
        <v/>
      </c>
      <c r="E2710" s="5" t="str">
        <f t="shared" si="259"/>
        <v/>
      </c>
      <c r="F2710" s="5" t="str">
        <f t="shared" si="260"/>
        <v/>
      </c>
      <c r="G2710" s="23"/>
      <c r="H2710" s="66"/>
      <c r="I2710" s="14"/>
      <c r="J2710" s="14"/>
      <c r="K2710" s="14"/>
      <c r="L2710" s="5" t="str">
        <f t="shared" si="261"/>
        <v/>
      </c>
      <c r="M2710" s="5" t="str">
        <f t="shared" si="262"/>
        <v/>
      </c>
      <c r="N2710" s="5" t="str">
        <f t="shared" si="263"/>
        <v/>
      </c>
      <c r="O2710" s="4"/>
    </row>
    <row r="2711" spans="1:15" x14ac:dyDescent="0.25">
      <c r="A2711" s="14"/>
      <c r="B2711" s="14"/>
      <c r="C2711" s="14"/>
      <c r="D2711" s="5" t="str">
        <f t="shared" si="258"/>
        <v/>
      </c>
      <c r="E2711" s="5" t="str">
        <f t="shared" si="259"/>
        <v/>
      </c>
      <c r="F2711" s="5" t="str">
        <f t="shared" si="260"/>
        <v/>
      </c>
      <c r="G2711" s="23"/>
      <c r="H2711" s="66"/>
      <c r="I2711" s="14"/>
      <c r="J2711" s="14"/>
      <c r="K2711" s="14"/>
      <c r="L2711" s="5" t="str">
        <f t="shared" si="261"/>
        <v/>
      </c>
      <c r="M2711" s="5" t="str">
        <f t="shared" si="262"/>
        <v/>
      </c>
      <c r="N2711" s="5" t="str">
        <f t="shared" si="263"/>
        <v/>
      </c>
      <c r="O2711" s="4"/>
    </row>
    <row r="2712" spans="1:15" x14ac:dyDescent="0.25">
      <c r="A2712" s="14"/>
      <c r="B2712" s="14"/>
      <c r="C2712" s="14"/>
      <c r="D2712" s="5" t="str">
        <f t="shared" si="258"/>
        <v/>
      </c>
      <c r="E2712" s="5" t="str">
        <f t="shared" si="259"/>
        <v/>
      </c>
      <c r="F2712" s="5" t="str">
        <f t="shared" si="260"/>
        <v/>
      </c>
      <c r="G2712" s="23"/>
      <c r="H2712" s="66"/>
      <c r="I2712" s="14"/>
      <c r="J2712" s="14"/>
      <c r="K2712" s="14"/>
      <c r="L2712" s="5" t="str">
        <f t="shared" si="261"/>
        <v/>
      </c>
      <c r="M2712" s="5" t="str">
        <f t="shared" si="262"/>
        <v/>
      </c>
      <c r="N2712" s="5" t="str">
        <f t="shared" si="263"/>
        <v/>
      </c>
      <c r="O2712" s="4"/>
    </row>
    <row r="2713" spans="1:15" x14ac:dyDescent="0.25">
      <c r="A2713" s="14"/>
      <c r="B2713" s="14"/>
      <c r="C2713" s="14"/>
      <c r="D2713" s="5" t="str">
        <f t="shared" ref="D2713:D2776" si="264">IFERROR( IF(A2713&lt;&gt;"",((B2713-B2712)*$X$4/(A2713-A2712))*$X$5,""),"")</f>
        <v/>
      </c>
      <c r="E2713" s="5" t="str">
        <f t="shared" ref="E2713:E2776" si="265">IFERROR(IF(A2713&lt;&gt;"",((C2713-C2712)*$X$4/(A2713-A2712))*$X$5,""),"")</f>
        <v/>
      </c>
      <c r="F2713" s="5" t="str">
        <f t="shared" ref="F2713:F2776" si="266">IFERROR(IF(A2713&lt;&gt;"",((ACOS((COS(RADIANS(B2712))*COS(RADIANS(B2713)))+(SIN(RADIANS(B2712))*SIN(RADIANS(B2713)))*COS(RADIANS(C2713-C2712)))*180/PI()*($X$4/(A2713-A2712))))*$X$5,""),"")</f>
        <v/>
      </c>
      <c r="G2713" s="23"/>
      <c r="H2713" s="66"/>
      <c r="I2713" s="14"/>
      <c r="J2713" s="14"/>
      <c r="K2713" s="14"/>
      <c r="L2713" s="5" t="str">
        <f t="shared" si="261"/>
        <v/>
      </c>
      <c r="M2713" s="5" t="str">
        <f t="shared" si="262"/>
        <v/>
      </c>
      <c r="N2713" s="5" t="str">
        <f t="shared" si="263"/>
        <v/>
      </c>
      <c r="O2713" s="4"/>
    </row>
    <row r="2714" spans="1:15" x14ac:dyDescent="0.25">
      <c r="A2714" s="14"/>
      <c r="B2714" s="14"/>
      <c r="C2714" s="14"/>
      <c r="D2714" s="5" t="str">
        <f t="shared" si="264"/>
        <v/>
      </c>
      <c r="E2714" s="5" t="str">
        <f t="shared" si="265"/>
        <v/>
      </c>
      <c r="F2714" s="5" t="str">
        <f t="shared" si="266"/>
        <v/>
      </c>
      <c r="G2714" s="23"/>
      <c r="H2714" s="66"/>
      <c r="I2714" s="14"/>
      <c r="J2714" s="14"/>
      <c r="K2714" s="14"/>
      <c r="L2714" s="5" t="str">
        <f t="shared" si="261"/>
        <v/>
      </c>
      <c r="M2714" s="5" t="str">
        <f t="shared" si="262"/>
        <v/>
      </c>
      <c r="N2714" s="5" t="str">
        <f t="shared" si="263"/>
        <v/>
      </c>
      <c r="O2714" s="4"/>
    </row>
    <row r="2715" spans="1:15" x14ac:dyDescent="0.25">
      <c r="A2715" s="14"/>
      <c r="B2715" s="14"/>
      <c r="C2715" s="14"/>
      <c r="D2715" s="5" t="str">
        <f t="shared" si="264"/>
        <v/>
      </c>
      <c r="E2715" s="5" t="str">
        <f t="shared" si="265"/>
        <v/>
      </c>
      <c r="F2715" s="5" t="str">
        <f t="shared" si="266"/>
        <v/>
      </c>
      <c r="G2715" s="23"/>
      <c r="H2715" s="66"/>
      <c r="I2715" s="14"/>
      <c r="J2715" s="14"/>
      <c r="K2715" s="14"/>
      <c r="L2715" s="5" t="str">
        <f t="shared" si="261"/>
        <v/>
      </c>
      <c r="M2715" s="5" t="str">
        <f t="shared" si="262"/>
        <v/>
      </c>
      <c r="N2715" s="5" t="str">
        <f t="shared" si="263"/>
        <v/>
      </c>
      <c r="O2715" s="4"/>
    </row>
    <row r="2716" spans="1:15" x14ac:dyDescent="0.25">
      <c r="A2716" s="14"/>
      <c r="B2716" s="14"/>
      <c r="C2716" s="14"/>
      <c r="D2716" s="5" t="str">
        <f t="shared" si="264"/>
        <v/>
      </c>
      <c r="E2716" s="5" t="str">
        <f t="shared" si="265"/>
        <v/>
      </c>
      <c r="F2716" s="5" t="str">
        <f t="shared" si="266"/>
        <v/>
      </c>
      <c r="G2716" s="23"/>
      <c r="H2716" s="66"/>
      <c r="I2716" s="14"/>
      <c r="J2716" s="14"/>
      <c r="K2716" s="14"/>
      <c r="L2716" s="5" t="str">
        <f t="shared" si="261"/>
        <v/>
      </c>
      <c r="M2716" s="5" t="str">
        <f t="shared" si="262"/>
        <v/>
      </c>
      <c r="N2716" s="5" t="str">
        <f t="shared" si="263"/>
        <v/>
      </c>
      <c r="O2716" s="4"/>
    </row>
    <row r="2717" spans="1:15" x14ac:dyDescent="0.25">
      <c r="A2717" s="14"/>
      <c r="B2717" s="14"/>
      <c r="C2717" s="14"/>
      <c r="D2717" s="5" t="str">
        <f t="shared" si="264"/>
        <v/>
      </c>
      <c r="E2717" s="5" t="str">
        <f t="shared" si="265"/>
        <v/>
      </c>
      <c r="F2717" s="5" t="str">
        <f t="shared" si="266"/>
        <v/>
      </c>
      <c r="G2717" s="23"/>
      <c r="H2717" s="66"/>
      <c r="I2717" s="14"/>
      <c r="J2717" s="14"/>
      <c r="K2717" s="14"/>
      <c r="L2717" s="5" t="str">
        <f t="shared" si="261"/>
        <v/>
      </c>
      <c r="M2717" s="5" t="str">
        <f t="shared" si="262"/>
        <v/>
      </c>
      <c r="N2717" s="5" t="str">
        <f t="shared" si="263"/>
        <v/>
      </c>
      <c r="O2717" s="4"/>
    </row>
    <row r="2718" spans="1:15" x14ac:dyDescent="0.25">
      <c r="A2718" s="14"/>
      <c r="B2718" s="14"/>
      <c r="C2718" s="14"/>
      <c r="D2718" s="5" t="str">
        <f t="shared" si="264"/>
        <v/>
      </c>
      <c r="E2718" s="5" t="str">
        <f t="shared" si="265"/>
        <v/>
      </c>
      <c r="F2718" s="5" t="str">
        <f t="shared" si="266"/>
        <v/>
      </c>
      <c r="G2718" s="23"/>
      <c r="H2718" s="66"/>
      <c r="I2718" s="14"/>
      <c r="J2718" s="14"/>
      <c r="K2718" s="14"/>
      <c r="L2718" s="5" t="str">
        <f t="shared" si="261"/>
        <v/>
      </c>
      <c r="M2718" s="5" t="str">
        <f t="shared" si="262"/>
        <v/>
      </c>
      <c r="N2718" s="5" t="str">
        <f t="shared" si="263"/>
        <v/>
      </c>
      <c r="O2718" s="4"/>
    </row>
    <row r="2719" spans="1:15" x14ac:dyDescent="0.25">
      <c r="A2719" s="14"/>
      <c r="B2719" s="14"/>
      <c r="C2719" s="14"/>
      <c r="D2719" s="5" t="str">
        <f t="shared" si="264"/>
        <v/>
      </c>
      <c r="E2719" s="5" t="str">
        <f t="shared" si="265"/>
        <v/>
      </c>
      <c r="F2719" s="5" t="str">
        <f t="shared" si="266"/>
        <v/>
      </c>
      <c r="G2719" s="23"/>
      <c r="H2719" s="66"/>
      <c r="I2719" s="14"/>
      <c r="J2719" s="14"/>
      <c r="K2719" s="14"/>
      <c r="L2719" s="5" t="str">
        <f t="shared" si="261"/>
        <v/>
      </c>
      <c r="M2719" s="5" t="str">
        <f t="shared" si="262"/>
        <v/>
      </c>
      <c r="N2719" s="5" t="str">
        <f t="shared" si="263"/>
        <v/>
      </c>
      <c r="O2719" s="4"/>
    </row>
    <row r="2720" spans="1:15" x14ac:dyDescent="0.25">
      <c r="A2720" s="14"/>
      <c r="B2720" s="14"/>
      <c r="C2720" s="14"/>
      <c r="D2720" s="5" t="str">
        <f t="shared" si="264"/>
        <v/>
      </c>
      <c r="E2720" s="5" t="str">
        <f t="shared" si="265"/>
        <v/>
      </c>
      <c r="F2720" s="5" t="str">
        <f t="shared" si="266"/>
        <v/>
      </c>
      <c r="G2720" s="23"/>
      <c r="H2720" s="66"/>
      <c r="I2720" s="14"/>
      <c r="J2720" s="14"/>
      <c r="K2720" s="14"/>
      <c r="L2720" s="5" t="str">
        <f t="shared" si="261"/>
        <v/>
      </c>
      <c r="M2720" s="5" t="str">
        <f t="shared" si="262"/>
        <v/>
      </c>
      <c r="N2720" s="5" t="str">
        <f t="shared" si="263"/>
        <v/>
      </c>
      <c r="O2720" s="4"/>
    </row>
    <row r="2721" spans="1:15" x14ac:dyDescent="0.25">
      <c r="A2721" s="14"/>
      <c r="B2721" s="14"/>
      <c r="C2721" s="14"/>
      <c r="D2721" s="5" t="str">
        <f t="shared" si="264"/>
        <v/>
      </c>
      <c r="E2721" s="5" t="str">
        <f t="shared" si="265"/>
        <v/>
      </c>
      <c r="F2721" s="5" t="str">
        <f t="shared" si="266"/>
        <v/>
      </c>
      <c r="G2721" s="23"/>
      <c r="H2721" s="66"/>
      <c r="I2721" s="14"/>
      <c r="J2721" s="14"/>
      <c r="K2721" s="14"/>
      <c r="L2721" s="5" t="str">
        <f t="shared" si="261"/>
        <v/>
      </c>
      <c r="M2721" s="5" t="str">
        <f t="shared" si="262"/>
        <v/>
      </c>
      <c r="N2721" s="5" t="str">
        <f t="shared" si="263"/>
        <v/>
      </c>
      <c r="O2721" s="4"/>
    </row>
    <row r="2722" spans="1:15" x14ac:dyDescent="0.25">
      <c r="A2722" s="14"/>
      <c r="B2722" s="14"/>
      <c r="C2722" s="14"/>
      <c r="D2722" s="5" t="str">
        <f t="shared" si="264"/>
        <v/>
      </c>
      <c r="E2722" s="5" t="str">
        <f t="shared" si="265"/>
        <v/>
      </c>
      <c r="F2722" s="5" t="str">
        <f t="shared" si="266"/>
        <v/>
      </c>
      <c r="G2722" s="23"/>
      <c r="H2722" s="66"/>
      <c r="I2722" s="14"/>
      <c r="J2722" s="14"/>
      <c r="K2722" s="14"/>
      <c r="L2722" s="5" t="str">
        <f t="shared" si="261"/>
        <v/>
      </c>
      <c r="M2722" s="5" t="str">
        <f t="shared" si="262"/>
        <v/>
      </c>
      <c r="N2722" s="5" t="str">
        <f t="shared" si="263"/>
        <v/>
      </c>
      <c r="O2722" s="4"/>
    </row>
    <row r="2723" spans="1:15" x14ac:dyDescent="0.25">
      <c r="A2723" s="14"/>
      <c r="B2723" s="14"/>
      <c r="C2723" s="14"/>
      <c r="D2723" s="5" t="str">
        <f t="shared" si="264"/>
        <v/>
      </c>
      <c r="E2723" s="5" t="str">
        <f t="shared" si="265"/>
        <v/>
      </c>
      <c r="F2723" s="5" t="str">
        <f t="shared" si="266"/>
        <v/>
      </c>
      <c r="G2723" s="23"/>
      <c r="H2723" s="66"/>
      <c r="I2723" s="14"/>
      <c r="J2723" s="14"/>
      <c r="K2723" s="14"/>
      <c r="L2723" s="5" t="str">
        <f t="shared" si="261"/>
        <v/>
      </c>
      <c r="M2723" s="5" t="str">
        <f t="shared" si="262"/>
        <v/>
      </c>
      <c r="N2723" s="5" t="str">
        <f t="shared" si="263"/>
        <v/>
      </c>
      <c r="O2723" s="4"/>
    </row>
    <row r="2724" spans="1:15" x14ac:dyDescent="0.25">
      <c r="A2724" s="14"/>
      <c r="B2724" s="14"/>
      <c r="C2724" s="14"/>
      <c r="D2724" s="5" t="str">
        <f t="shared" si="264"/>
        <v/>
      </c>
      <c r="E2724" s="5" t="str">
        <f t="shared" si="265"/>
        <v/>
      </c>
      <c r="F2724" s="5" t="str">
        <f t="shared" si="266"/>
        <v/>
      </c>
      <c r="G2724" s="23"/>
      <c r="H2724" s="66"/>
      <c r="I2724" s="14"/>
      <c r="J2724" s="14"/>
      <c r="K2724" s="14"/>
      <c r="L2724" s="5" t="str">
        <f t="shared" si="261"/>
        <v/>
      </c>
      <c r="M2724" s="5" t="str">
        <f t="shared" si="262"/>
        <v/>
      </c>
      <c r="N2724" s="5" t="str">
        <f t="shared" si="263"/>
        <v/>
      </c>
      <c r="O2724" s="4"/>
    </row>
    <row r="2725" spans="1:15" x14ac:dyDescent="0.25">
      <c r="A2725" s="14"/>
      <c r="B2725" s="14"/>
      <c r="C2725" s="14"/>
      <c r="D2725" s="5" t="str">
        <f t="shared" si="264"/>
        <v/>
      </c>
      <c r="E2725" s="5" t="str">
        <f t="shared" si="265"/>
        <v/>
      </c>
      <c r="F2725" s="5" t="str">
        <f t="shared" si="266"/>
        <v/>
      </c>
      <c r="G2725" s="23"/>
      <c r="H2725" s="66"/>
      <c r="I2725" s="14"/>
      <c r="J2725" s="14"/>
      <c r="K2725" s="14"/>
      <c r="L2725" s="5" t="str">
        <f t="shared" si="261"/>
        <v/>
      </c>
      <c r="M2725" s="5" t="str">
        <f t="shared" si="262"/>
        <v/>
      </c>
      <c r="N2725" s="5" t="str">
        <f t="shared" si="263"/>
        <v/>
      </c>
      <c r="O2725" s="4"/>
    </row>
    <row r="2726" spans="1:15" x14ac:dyDescent="0.25">
      <c r="A2726" s="14"/>
      <c r="B2726" s="14"/>
      <c r="C2726" s="14"/>
      <c r="D2726" s="5" t="str">
        <f t="shared" si="264"/>
        <v/>
      </c>
      <c r="E2726" s="5" t="str">
        <f t="shared" si="265"/>
        <v/>
      </c>
      <c r="F2726" s="5" t="str">
        <f t="shared" si="266"/>
        <v/>
      </c>
      <c r="G2726" s="23"/>
      <c r="H2726" s="66"/>
      <c r="I2726" s="14"/>
      <c r="J2726" s="14"/>
      <c r="K2726" s="14"/>
      <c r="L2726" s="5" t="str">
        <f t="shared" si="261"/>
        <v/>
      </c>
      <c r="M2726" s="5" t="str">
        <f t="shared" si="262"/>
        <v/>
      </c>
      <c r="N2726" s="5" t="str">
        <f t="shared" si="263"/>
        <v/>
      </c>
      <c r="O2726" s="4"/>
    </row>
    <row r="2727" spans="1:15" x14ac:dyDescent="0.25">
      <c r="A2727" s="14"/>
      <c r="B2727" s="14"/>
      <c r="C2727" s="14"/>
      <c r="D2727" s="5" t="str">
        <f t="shared" si="264"/>
        <v/>
      </c>
      <c r="E2727" s="5" t="str">
        <f t="shared" si="265"/>
        <v/>
      </c>
      <c r="F2727" s="5" t="str">
        <f t="shared" si="266"/>
        <v/>
      </c>
      <c r="G2727" s="23"/>
      <c r="H2727" s="66"/>
      <c r="I2727" s="14"/>
      <c r="J2727" s="14"/>
      <c r="K2727" s="14"/>
      <c r="L2727" s="5" t="str">
        <f t="shared" si="261"/>
        <v/>
      </c>
      <c r="M2727" s="5" t="str">
        <f t="shared" si="262"/>
        <v/>
      </c>
      <c r="N2727" s="5" t="str">
        <f t="shared" si="263"/>
        <v/>
      </c>
      <c r="O2727" s="4"/>
    </row>
    <row r="2728" spans="1:15" x14ac:dyDescent="0.25">
      <c r="A2728" s="14"/>
      <c r="B2728" s="14"/>
      <c r="C2728" s="14"/>
      <c r="D2728" s="5" t="str">
        <f t="shared" si="264"/>
        <v/>
      </c>
      <c r="E2728" s="5" t="str">
        <f t="shared" si="265"/>
        <v/>
      </c>
      <c r="F2728" s="5" t="str">
        <f t="shared" si="266"/>
        <v/>
      </c>
      <c r="G2728" s="23"/>
      <c r="H2728" s="66"/>
      <c r="I2728" s="14"/>
      <c r="J2728" s="14"/>
      <c r="K2728" s="14"/>
      <c r="L2728" s="5" t="str">
        <f t="shared" si="261"/>
        <v/>
      </c>
      <c r="M2728" s="5" t="str">
        <f t="shared" si="262"/>
        <v/>
      </c>
      <c r="N2728" s="5" t="str">
        <f t="shared" si="263"/>
        <v/>
      </c>
      <c r="O2728" s="4"/>
    </row>
    <row r="2729" spans="1:15" x14ac:dyDescent="0.25">
      <c r="A2729" s="14"/>
      <c r="B2729" s="14"/>
      <c r="C2729" s="14"/>
      <c r="D2729" s="5" t="str">
        <f t="shared" si="264"/>
        <v/>
      </c>
      <c r="E2729" s="5" t="str">
        <f t="shared" si="265"/>
        <v/>
      </c>
      <c r="F2729" s="5" t="str">
        <f t="shared" si="266"/>
        <v/>
      </c>
      <c r="G2729" s="23"/>
      <c r="H2729" s="66"/>
      <c r="I2729" s="14"/>
      <c r="J2729" s="14"/>
      <c r="K2729" s="14"/>
      <c r="L2729" s="5" t="str">
        <f t="shared" si="261"/>
        <v/>
      </c>
      <c r="M2729" s="5" t="str">
        <f t="shared" si="262"/>
        <v/>
      </c>
      <c r="N2729" s="5" t="str">
        <f t="shared" si="263"/>
        <v/>
      </c>
      <c r="O2729" s="4"/>
    </row>
    <row r="2730" spans="1:15" x14ac:dyDescent="0.25">
      <c r="A2730" s="14"/>
      <c r="B2730" s="14"/>
      <c r="C2730" s="14"/>
      <c r="D2730" s="5" t="str">
        <f t="shared" si="264"/>
        <v/>
      </c>
      <c r="E2730" s="5" t="str">
        <f t="shared" si="265"/>
        <v/>
      </c>
      <c r="F2730" s="5" t="str">
        <f t="shared" si="266"/>
        <v/>
      </c>
      <c r="G2730" s="23"/>
      <c r="H2730" s="66"/>
      <c r="I2730" s="14"/>
      <c r="J2730" s="14"/>
      <c r="K2730" s="14"/>
      <c r="L2730" s="5" t="str">
        <f t="shared" si="261"/>
        <v/>
      </c>
      <c r="M2730" s="5" t="str">
        <f t="shared" si="262"/>
        <v/>
      </c>
      <c r="N2730" s="5" t="str">
        <f t="shared" si="263"/>
        <v/>
      </c>
      <c r="O2730" s="4"/>
    </row>
    <row r="2731" spans="1:15" x14ac:dyDescent="0.25">
      <c r="A2731" s="14"/>
      <c r="B2731" s="14"/>
      <c r="C2731" s="14"/>
      <c r="D2731" s="5" t="str">
        <f t="shared" si="264"/>
        <v/>
      </c>
      <c r="E2731" s="5" t="str">
        <f t="shared" si="265"/>
        <v/>
      </c>
      <c r="F2731" s="5" t="str">
        <f t="shared" si="266"/>
        <v/>
      </c>
      <c r="G2731" s="23"/>
      <c r="H2731" s="66"/>
      <c r="I2731" s="14"/>
      <c r="J2731" s="14"/>
      <c r="K2731" s="14"/>
      <c r="L2731" s="5" t="str">
        <f t="shared" si="261"/>
        <v/>
      </c>
      <c r="M2731" s="5" t="str">
        <f t="shared" si="262"/>
        <v/>
      </c>
      <c r="N2731" s="5" t="str">
        <f t="shared" si="263"/>
        <v/>
      </c>
      <c r="O2731" s="4"/>
    </row>
    <row r="2732" spans="1:15" x14ac:dyDescent="0.25">
      <c r="A2732" s="14"/>
      <c r="B2732" s="14"/>
      <c r="C2732" s="14"/>
      <c r="D2732" s="5" t="str">
        <f t="shared" si="264"/>
        <v/>
      </c>
      <c r="E2732" s="5" t="str">
        <f t="shared" si="265"/>
        <v/>
      </c>
      <c r="F2732" s="5" t="str">
        <f t="shared" si="266"/>
        <v/>
      </c>
      <c r="G2732" s="23"/>
      <c r="H2732" s="66"/>
      <c r="I2732" s="14"/>
      <c r="J2732" s="14"/>
      <c r="K2732" s="14"/>
      <c r="L2732" s="5" t="str">
        <f t="shared" si="261"/>
        <v/>
      </c>
      <c r="M2732" s="5" t="str">
        <f t="shared" si="262"/>
        <v/>
      </c>
      <c r="N2732" s="5" t="str">
        <f t="shared" si="263"/>
        <v/>
      </c>
      <c r="O2732" s="4"/>
    </row>
    <row r="2733" spans="1:15" x14ac:dyDescent="0.25">
      <c r="A2733" s="14"/>
      <c r="B2733" s="14"/>
      <c r="C2733" s="14"/>
      <c r="D2733" s="5" t="str">
        <f t="shared" si="264"/>
        <v/>
      </c>
      <c r="E2733" s="5" t="str">
        <f t="shared" si="265"/>
        <v/>
      </c>
      <c r="F2733" s="5" t="str">
        <f t="shared" si="266"/>
        <v/>
      </c>
      <c r="G2733" s="23"/>
      <c r="H2733" s="66"/>
      <c r="I2733" s="14"/>
      <c r="J2733" s="14"/>
      <c r="K2733" s="14"/>
      <c r="L2733" s="5" t="str">
        <f t="shared" si="261"/>
        <v/>
      </c>
      <c r="M2733" s="5" t="str">
        <f t="shared" si="262"/>
        <v/>
      </c>
      <c r="N2733" s="5" t="str">
        <f t="shared" si="263"/>
        <v/>
      </c>
      <c r="O2733" s="4"/>
    </row>
    <row r="2734" spans="1:15" x14ac:dyDescent="0.25">
      <c r="A2734" s="14"/>
      <c r="B2734" s="14"/>
      <c r="C2734" s="14"/>
      <c r="D2734" s="5" t="str">
        <f t="shared" si="264"/>
        <v/>
      </c>
      <c r="E2734" s="5" t="str">
        <f t="shared" si="265"/>
        <v/>
      </c>
      <c r="F2734" s="5" t="str">
        <f t="shared" si="266"/>
        <v/>
      </c>
      <c r="G2734" s="23"/>
      <c r="H2734" s="66"/>
      <c r="I2734" s="14"/>
      <c r="J2734" s="14"/>
      <c r="K2734" s="14"/>
      <c r="L2734" s="5" t="str">
        <f t="shared" si="261"/>
        <v/>
      </c>
      <c r="M2734" s="5" t="str">
        <f t="shared" si="262"/>
        <v/>
      </c>
      <c r="N2734" s="5" t="str">
        <f t="shared" si="263"/>
        <v/>
      </c>
      <c r="O2734" s="4"/>
    </row>
    <row r="2735" spans="1:15" x14ac:dyDescent="0.25">
      <c r="A2735" s="14"/>
      <c r="B2735" s="14"/>
      <c r="C2735" s="14"/>
      <c r="D2735" s="5" t="str">
        <f t="shared" si="264"/>
        <v/>
      </c>
      <c r="E2735" s="5" t="str">
        <f t="shared" si="265"/>
        <v/>
      </c>
      <c r="F2735" s="5" t="str">
        <f t="shared" si="266"/>
        <v/>
      </c>
      <c r="G2735" s="23"/>
      <c r="H2735" s="66"/>
      <c r="I2735" s="14"/>
      <c r="J2735" s="14"/>
      <c r="K2735" s="14"/>
      <c r="L2735" s="5" t="str">
        <f t="shared" si="261"/>
        <v/>
      </c>
      <c r="M2735" s="5" t="str">
        <f t="shared" si="262"/>
        <v/>
      </c>
      <c r="N2735" s="5" t="str">
        <f t="shared" si="263"/>
        <v/>
      </c>
      <c r="O2735" s="4"/>
    </row>
    <row r="2736" spans="1:15" x14ac:dyDescent="0.25">
      <c r="A2736" s="14"/>
      <c r="B2736" s="14"/>
      <c r="C2736" s="14"/>
      <c r="D2736" s="5" t="str">
        <f t="shared" si="264"/>
        <v/>
      </c>
      <c r="E2736" s="5" t="str">
        <f t="shared" si="265"/>
        <v/>
      </c>
      <c r="F2736" s="5" t="str">
        <f t="shared" si="266"/>
        <v/>
      </c>
      <c r="G2736" s="23"/>
      <c r="H2736" s="66"/>
      <c r="I2736" s="14"/>
      <c r="J2736" s="14"/>
      <c r="K2736" s="14"/>
      <c r="L2736" s="5" t="str">
        <f t="shared" si="261"/>
        <v/>
      </c>
      <c r="M2736" s="5" t="str">
        <f t="shared" si="262"/>
        <v/>
      </c>
      <c r="N2736" s="5" t="str">
        <f t="shared" si="263"/>
        <v/>
      </c>
      <c r="O2736" s="4"/>
    </row>
    <row r="2737" spans="1:15" x14ac:dyDescent="0.25">
      <c r="A2737" s="14"/>
      <c r="B2737" s="14"/>
      <c r="C2737" s="14"/>
      <c r="D2737" s="5" t="str">
        <f t="shared" si="264"/>
        <v/>
      </c>
      <c r="E2737" s="5" t="str">
        <f t="shared" si="265"/>
        <v/>
      </c>
      <c r="F2737" s="5" t="str">
        <f t="shared" si="266"/>
        <v/>
      </c>
      <c r="G2737" s="23"/>
      <c r="H2737" s="66"/>
      <c r="I2737" s="14"/>
      <c r="J2737" s="14"/>
      <c r="K2737" s="14"/>
      <c r="L2737" s="5" t="str">
        <f t="shared" si="261"/>
        <v/>
      </c>
      <c r="M2737" s="5" t="str">
        <f t="shared" si="262"/>
        <v/>
      </c>
      <c r="N2737" s="5" t="str">
        <f t="shared" si="263"/>
        <v/>
      </c>
      <c r="O2737" s="4"/>
    </row>
    <row r="2738" spans="1:15" x14ac:dyDescent="0.25">
      <c r="A2738" s="14"/>
      <c r="B2738" s="14"/>
      <c r="C2738" s="14"/>
      <c r="D2738" s="5" t="str">
        <f t="shared" si="264"/>
        <v/>
      </c>
      <c r="E2738" s="5" t="str">
        <f t="shared" si="265"/>
        <v/>
      </c>
      <c r="F2738" s="5" t="str">
        <f t="shared" si="266"/>
        <v/>
      </c>
      <c r="G2738" s="23"/>
      <c r="H2738" s="66"/>
      <c r="I2738" s="14"/>
      <c r="J2738" s="14"/>
      <c r="K2738" s="14"/>
      <c r="L2738" s="5" t="str">
        <f t="shared" si="261"/>
        <v/>
      </c>
      <c r="M2738" s="5" t="str">
        <f t="shared" si="262"/>
        <v/>
      </c>
      <c r="N2738" s="5" t="str">
        <f t="shared" si="263"/>
        <v/>
      </c>
      <c r="O2738" s="4"/>
    </row>
    <row r="2739" spans="1:15" x14ac:dyDescent="0.25">
      <c r="A2739" s="14"/>
      <c r="B2739" s="14"/>
      <c r="C2739" s="14"/>
      <c r="D2739" s="5" t="str">
        <f t="shared" si="264"/>
        <v/>
      </c>
      <c r="E2739" s="5" t="str">
        <f t="shared" si="265"/>
        <v/>
      </c>
      <c r="F2739" s="5" t="str">
        <f t="shared" si="266"/>
        <v/>
      </c>
      <c r="G2739" s="23"/>
      <c r="H2739" s="66"/>
      <c r="I2739" s="14"/>
      <c r="J2739" s="14"/>
      <c r="K2739" s="14"/>
      <c r="L2739" s="5" t="str">
        <f t="shared" si="261"/>
        <v/>
      </c>
      <c r="M2739" s="5" t="str">
        <f t="shared" si="262"/>
        <v/>
      </c>
      <c r="N2739" s="5" t="str">
        <f t="shared" si="263"/>
        <v/>
      </c>
      <c r="O2739" s="4"/>
    </row>
    <row r="2740" spans="1:15" x14ac:dyDescent="0.25">
      <c r="A2740" s="14"/>
      <c r="B2740" s="14"/>
      <c r="C2740" s="14"/>
      <c r="D2740" s="5" t="str">
        <f t="shared" si="264"/>
        <v/>
      </c>
      <c r="E2740" s="5" t="str">
        <f t="shared" si="265"/>
        <v/>
      </c>
      <c r="F2740" s="5" t="str">
        <f t="shared" si="266"/>
        <v/>
      </c>
      <c r="G2740" s="23"/>
      <c r="H2740" s="66"/>
      <c r="I2740" s="14"/>
      <c r="J2740" s="14"/>
      <c r="K2740" s="14"/>
      <c r="L2740" s="5" t="str">
        <f t="shared" si="261"/>
        <v/>
      </c>
      <c r="M2740" s="5" t="str">
        <f t="shared" si="262"/>
        <v/>
      </c>
      <c r="N2740" s="5" t="str">
        <f t="shared" si="263"/>
        <v/>
      </c>
      <c r="O2740" s="4"/>
    </row>
    <row r="2741" spans="1:15" x14ac:dyDescent="0.25">
      <c r="A2741" s="14"/>
      <c r="B2741" s="14"/>
      <c r="C2741" s="14"/>
      <c r="D2741" s="5" t="str">
        <f t="shared" si="264"/>
        <v/>
      </c>
      <c r="E2741" s="5" t="str">
        <f t="shared" si="265"/>
        <v/>
      </c>
      <c r="F2741" s="5" t="str">
        <f t="shared" si="266"/>
        <v/>
      </c>
      <c r="G2741" s="23"/>
      <c r="H2741" s="66"/>
      <c r="I2741" s="14"/>
      <c r="J2741" s="14"/>
      <c r="K2741" s="14"/>
      <c r="L2741" s="5" t="str">
        <f t="shared" si="261"/>
        <v/>
      </c>
      <c r="M2741" s="5" t="str">
        <f t="shared" si="262"/>
        <v/>
      </c>
      <c r="N2741" s="5" t="str">
        <f t="shared" si="263"/>
        <v/>
      </c>
      <c r="O2741" s="4"/>
    </row>
    <row r="2742" spans="1:15" x14ac:dyDescent="0.25">
      <c r="A2742" s="14"/>
      <c r="B2742" s="14"/>
      <c r="C2742" s="14"/>
      <c r="D2742" s="5" t="str">
        <f t="shared" si="264"/>
        <v/>
      </c>
      <c r="E2742" s="5" t="str">
        <f t="shared" si="265"/>
        <v/>
      </c>
      <c r="F2742" s="5" t="str">
        <f t="shared" si="266"/>
        <v/>
      </c>
      <c r="G2742" s="23"/>
      <c r="H2742" s="66"/>
      <c r="I2742" s="14"/>
      <c r="J2742" s="14"/>
      <c r="K2742" s="14"/>
      <c r="L2742" s="5" t="str">
        <f t="shared" si="261"/>
        <v/>
      </c>
      <c r="M2742" s="5" t="str">
        <f t="shared" si="262"/>
        <v/>
      </c>
      <c r="N2742" s="5" t="str">
        <f t="shared" si="263"/>
        <v/>
      </c>
      <c r="O2742" s="4"/>
    </row>
    <row r="2743" spans="1:15" x14ac:dyDescent="0.25">
      <c r="A2743" s="14"/>
      <c r="B2743" s="14"/>
      <c r="C2743" s="14"/>
      <c r="D2743" s="5" t="str">
        <f t="shared" si="264"/>
        <v/>
      </c>
      <c r="E2743" s="5" t="str">
        <f t="shared" si="265"/>
        <v/>
      </c>
      <c r="F2743" s="5" t="str">
        <f t="shared" si="266"/>
        <v/>
      </c>
      <c r="G2743" s="23"/>
      <c r="H2743" s="66"/>
      <c r="I2743" s="14"/>
      <c r="J2743" s="14"/>
      <c r="K2743" s="14"/>
      <c r="L2743" s="5" t="str">
        <f t="shared" si="261"/>
        <v/>
      </c>
      <c r="M2743" s="5" t="str">
        <f t="shared" si="262"/>
        <v/>
      </c>
      <c r="N2743" s="5" t="str">
        <f t="shared" si="263"/>
        <v/>
      </c>
      <c r="O2743" s="4"/>
    </row>
    <row r="2744" spans="1:15" x14ac:dyDescent="0.25">
      <c r="A2744" s="14"/>
      <c r="B2744" s="14"/>
      <c r="C2744" s="14"/>
      <c r="D2744" s="5" t="str">
        <f t="shared" si="264"/>
        <v/>
      </c>
      <c r="E2744" s="5" t="str">
        <f t="shared" si="265"/>
        <v/>
      </c>
      <c r="F2744" s="5" t="str">
        <f t="shared" si="266"/>
        <v/>
      </c>
      <c r="G2744" s="23"/>
      <c r="H2744" s="66"/>
      <c r="I2744" s="14"/>
      <c r="J2744" s="14"/>
      <c r="K2744" s="14"/>
      <c r="L2744" s="5" t="str">
        <f t="shared" si="261"/>
        <v/>
      </c>
      <c r="M2744" s="5" t="str">
        <f t="shared" si="262"/>
        <v/>
      </c>
      <c r="N2744" s="5" t="str">
        <f t="shared" si="263"/>
        <v/>
      </c>
      <c r="O2744" s="4"/>
    </row>
    <row r="2745" spans="1:15" x14ac:dyDescent="0.25">
      <c r="A2745" s="14"/>
      <c r="B2745" s="14"/>
      <c r="C2745" s="14"/>
      <c r="D2745" s="5" t="str">
        <f t="shared" si="264"/>
        <v/>
      </c>
      <c r="E2745" s="5" t="str">
        <f t="shared" si="265"/>
        <v/>
      </c>
      <c r="F2745" s="5" t="str">
        <f t="shared" si="266"/>
        <v/>
      </c>
      <c r="G2745" s="23"/>
      <c r="H2745" s="66"/>
      <c r="I2745" s="14"/>
      <c r="J2745" s="14"/>
      <c r="K2745" s="14"/>
      <c r="L2745" s="5" t="str">
        <f t="shared" si="261"/>
        <v/>
      </c>
      <c r="M2745" s="5" t="str">
        <f t="shared" si="262"/>
        <v/>
      </c>
      <c r="N2745" s="5" t="str">
        <f t="shared" si="263"/>
        <v/>
      </c>
      <c r="O2745" s="4"/>
    </row>
    <row r="2746" spans="1:15" x14ac:dyDescent="0.25">
      <c r="A2746" s="14"/>
      <c r="B2746" s="14"/>
      <c r="C2746" s="14"/>
      <c r="D2746" s="5" t="str">
        <f t="shared" si="264"/>
        <v/>
      </c>
      <c r="E2746" s="5" t="str">
        <f t="shared" si="265"/>
        <v/>
      </c>
      <c r="F2746" s="5" t="str">
        <f t="shared" si="266"/>
        <v/>
      </c>
      <c r="G2746" s="23"/>
      <c r="H2746" s="66"/>
      <c r="I2746" s="14"/>
      <c r="J2746" s="14"/>
      <c r="K2746" s="14"/>
      <c r="L2746" s="5" t="str">
        <f t="shared" si="261"/>
        <v/>
      </c>
      <c r="M2746" s="5" t="str">
        <f t="shared" si="262"/>
        <v/>
      </c>
      <c r="N2746" s="5" t="str">
        <f t="shared" si="263"/>
        <v/>
      </c>
      <c r="O2746" s="4"/>
    </row>
    <row r="2747" spans="1:15" x14ac:dyDescent="0.25">
      <c r="A2747" s="14"/>
      <c r="B2747" s="14"/>
      <c r="C2747" s="14"/>
      <c r="D2747" s="5" t="str">
        <f t="shared" si="264"/>
        <v/>
      </c>
      <c r="E2747" s="5" t="str">
        <f t="shared" si="265"/>
        <v/>
      </c>
      <c r="F2747" s="5" t="str">
        <f t="shared" si="266"/>
        <v/>
      </c>
      <c r="G2747" s="23"/>
      <c r="H2747" s="66"/>
      <c r="I2747" s="14"/>
      <c r="J2747" s="14"/>
      <c r="K2747" s="14"/>
      <c r="L2747" s="5" t="str">
        <f t="shared" si="261"/>
        <v/>
      </c>
      <c r="M2747" s="5" t="str">
        <f t="shared" si="262"/>
        <v/>
      </c>
      <c r="N2747" s="5" t="str">
        <f t="shared" si="263"/>
        <v/>
      </c>
      <c r="O2747" s="4"/>
    </row>
    <row r="2748" spans="1:15" x14ac:dyDescent="0.25">
      <c r="A2748" s="14"/>
      <c r="B2748" s="14"/>
      <c r="C2748" s="14"/>
      <c r="D2748" s="5" t="str">
        <f t="shared" si="264"/>
        <v/>
      </c>
      <c r="E2748" s="5" t="str">
        <f t="shared" si="265"/>
        <v/>
      </c>
      <c r="F2748" s="5" t="str">
        <f t="shared" si="266"/>
        <v/>
      </c>
      <c r="G2748" s="23"/>
      <c r="H2748" s="66"/>
      <c r="I2748" s="14"/>
      <c r="J2748" s="14"/>
      <c r="K2748" s="14"/>
      <c r="L2748" s="5" t="str">
        <f t="shared" si="261"/>
        <v/>
      </c>
      <c r="M2748" s="5" t="str">
        <f t="shared" si="262"/>
        <v/>
      </c>
      <c r="N2748" s="5" t="str">
        <f t="shared" si="263"/>
        <v/>
      </c>
      <c r="O2748" s="4"/>
    </row>
    <row r="2749" spans="1:15" x14ac:dyDescent="0.25">
      <c r="A2749" s="14"/>
      <c r="B2749" s="14"/>
      <c r="C2749" s="14"/>
      <c r="D2749" s="5" t="str">
        <f t="shared" si="264"/>
        <v/>
      </c>
      <c r="E2749" s="5" t="str">
        <f t="shared" si="265"/>
        <v/>
      </c>
      <c r="F2749" s="5" t="str">
        <f t="shared" si="266"/>
        <v/>
      </c>
      <c r="G2749" s="23"/>
      <c r="H2749" s="66"/>
      <c r="I2749" s="14"/>
      <c r="J2749" s="14"/>
      <c r="K2749" s="14"/>
      <c r="L2749" s="5" t="str">
        <f t="shared" si="261"/>
        <v/>
      </c>
      <c r="M2749" s="5" t="str">
        <f t="shared" si="262"/>
        <v/>
      </c>
      <c r="N2749" s="5" t="str">
        <f t="shared" si="263"/>
        <v/>
      </c>
      <c r="O2749" s="4"/>
    </row>
    <row r="2750" spans="1:15" x14ac:dyDescent="0.25">
      <c r="A2750" s="14"/>
      <c r="B2750" s="14"/>
      <c r="C2750" s="14"/>
      <c r="D2750" s="5" t="str">
        <f t="shared" si="264"/>
        <v/>
      </c>
      <c r="E2750" s="5" t="str">
        <f t="shared" si="265"/>
        <v/>
      </c>
      <c r="F2750" s="5" t="str">
        <f t="shared" si="266"/>
        <v/>
      </c>
      <c r="G2750" s="23"/>
      <c r="H2750" s="66"/>
      <c r="I2750" s="14"/>
      <c r="J2750" s="14"/>
      <c r="K2750" s="14"/>
      <c r="L2750" s="5" t="str">
        <f t="shared" si="261"/>
        <v/>
      </c>
      <c r="M2750" s="5" t="str">
        <f t="shared" si="262"/>
        <v/>
      </c>
      <c r="N2750" s="5" t="str">
        <f t="shared" si="263"/>
        <v/>
      </c>
      <c r="O2750" s="4"/>
    </row>
    <row r="2751" spans="1:15" x14ac:dyDescent="0.25">
      <c r="A2751" s="14"/>
      <c r="B2751" s="14"/>
      <c r="C2751" s="14"/>
      <c r="D2751" s="5" t="str">
        <f t="shared" si="264"/>
        <v/>
      </c>
      <c r="E2751" s="5" t="str">
        <f t="shared" si="265"/>
        <v/>
      </c>
      <c r="F2751" s="5" t="str">
        <f t="shared" si="266"/>
        <v/>
      </c>
      <c r="G2751" s="23"/>
      <c r="H2751" s="66"/>
      <c r="I2751" s="14"/>
      <c r="J2751" s="14"/>
      <c r="K2751" s="14"/>
      <c r="L2751" s="5" t="str">
        <f t="shared" si="261"/>
        <v/>
      </c>
      <c r="M2751" s="5" t="str">
        <f t="shared" si="262"/>
        <v/>
      </c>
      <c r="N2751" s="5" t="str">
        <f t="shared" si="263"/>
        <v/>
      </c>
      <c r="O2751" s="4"/>
    </row>
    <row r="2752" spans="1:15" x14ac:dyDescent="0.25">
      <c r="A2752" s="14"/>
      <c r="B2752" s="14"/>
      <c r="C2752" s="14"/>
      <c r="D2752" s="5" t="str">
        <f t="shared" si="264"/>
        <v/>
      </c>
      <c r="E2752" s="5" t="str">
        <f t="shared" si="265"/>
        <v/>
      </c>
      <c r="F2752" s="5" t="str">
        <f t="shared" si="266"/>
        <v/>
      </c>
      <c r="G2752" s="23"/>
      <c r="H2752" s="66"/>
      <c r="I2752" s="14"/>
      <c r="J2752" s="14"/>
      <c r="K2752" s="14"/>
      <c r="L2752" s="5" t="str">
        <f t="shared" si="261"/>
        <v/>
      </c>
      <c r="M2752" s="5" t="str">
        <f t="shared" si="262"/>
        <v/>
      </c>
      <c r="N2752" s="5" t="str">
        <f t="shared" si="263"/>
        <v/>
      </c>
      <c r="O2752" s="4"/>
    </row>
    <row r="2753" spans="1:15" x14ac:dyDescent="0.25">
      <c r="A2753" s="14"/>
      <c r="B2753" s="14"/>
      <c r="C2753" s="14"/>
      <c r="D2753" s="5" t="str">
        <f t="shared" si="264"/>
        <v/>
      </c>
      <c r="E2753" s="5" t="str">
        <f t="shared" si="265"/>
        <v/>
      </c>
      <c r="F2753" s="5" t="str">
        <f t="shared" si="266"/>
        <v/>
      </c>
      <c r="G2753" s="23"/>
      <c r="H2753" s="66"/>
      <c r="I2753" s="14"/>
      <c r="J2753" s="14"/>
      <c r="K2753" s="14"/>
      <c r="L2753" s="5" t="str">
        <f t="shared" si="261"/>
        <v/>
      </c>
      <c r="M2753" s="5" t="str">
        <f t="shared" si="262"/>
        <v/>
      </c>
      <c r="N2753" s="5" t="str">
        <f t="shared" si="263"/>
        <v/>
      </c>
      <c r="O2753" s="4"/>
    </row>
    <row r="2754" spans="1:15" x14ac:dyDescent="0.25">
      <c r="A2754" s="14"/>
      <c r="B2754" s="14"/>
      <c r="C2754" s="14"/>
      <c r="D2754" s="5" t="str">
        <f t="shared" si="264"/>
        <v/>
      </c>
      <c r="E2754" s="5" t="str">
        <f t="shared" si="265"/>
        <v/>
      </c>
      <c r="F2754" s="5" t="str">
        <f t="shared" si="266"/>
        <v/>
      </c>
      <c r="G2754" s="23"/>
      <c r="H2754" s="66"/>
      <c r="I2754" s="14"/>
      <c r="J2754" s="14"/>
      <c r="K2754" s="14"/>
      <c r="L2754" s="5" t="str">
        <f t="shared" si="261"/>
        <v/>
      </c>
      <c r="M2754" s="5" t="str">
        <f t="shared" si="262"/>
        <v/>
      </c>
      <c r="N2754" s="5" t="str">
        <f t="shared" si="263"/>
        <v/>
      </c>
      <c r="O2754" s="4"/>
    </row>
    <row r="2755" spans="1:15" x14ac:dyDescent="0.25">
      <c r="A2755" s="14"/>
      <c r="B2755" s="14"/>
      <c r="C2755" s="14"/>
      <c r="D2755" s="5" t="str">
        <f t="shared" si="264"/>
        <v/>
      </c>
      <c r="E2755" s="5" t="str">
        <f t="shared" si="265"/>
        <v/>
      </c>
      <c r="F2755" s="5" t="str">
        <f t="shared" si="266"/>
        <v/>
      </c>
      <c r="G2755" s="23"/>
      <c r="H2755" s="66"/>
      <c r="I2755" s="14"/>
      <c r="J2755" s="14"/>
      <c r="K2755" s="14"/>
      <c r="L2755" s="5" t="str">
        <f t="shared" si="261"/>
        <v/>
      </c>
      <c r="M2755" s="5" t="str">
        <f t="shared" si="262"/>
        <v/>
      </c>
      <c r="N2755" s="5" t="str">
        <f t="shared" si="263"/>
        <v/>
      </c>
      <c r="O2755" s="4"/>
    </row>
    <row r="2756" spans="1:15" x14ac:dyDescent="0.25">
      <c r="A2756" s="14"/>
      <c r="B2756" s="14"/>
      <c r="C2756" s="14"/>
      <c r="D2756" s="5" t="str">
        <f t="shared" si="264"/>
        <v/>
      </c>
      <c r="E2756" s="5" t="str">
        <f t="shared" si="265"/>
        <v/>
      </c>
      <c r="F2756" s="5" t="str">
        <f t="shared" si="266"/>
        <v/>
      </c>
      <c r="G2756" s="23"/>
      <c r="H2756" s="66"/>
      <c r="I2756" s="14"/>
      <c r="J2756" s="14"/>
      <c r="K2756" s="14"/>
      <c r="L2756" s="5" t="str">
        <f t="shared" si="261"/>
        <v/>
      </c>
      <c r="M2756" s="5" t="str">
        <f t="shared" si="262"/>
        <v/>
      </c>
      <c r="N2756" s="5" t="str">
        <f t="shared" si="263"/>
        <v/>
      </c>
      <c r="O2756" s="4"/>
    </row>
    <row r="2757" spans="1:15" x14ac:dyDescent="0.25">
      <c r="A2757" s="14"/>
      <c r="B2757" s="14"/>
      <c r="C2757" s="14"/>
      <c r="D2757" s="5" t="str">
        <f t="shared" si="264"/>
        <v/>
      </c>
      <c r="E2757" s="5" t="str">
        <f t="shared" si="265"/>
        <v/>
      </c>
      <c r="F2757" s="5" t="str">
        <f t="shared" si="266"/>
        <v/>
      </c>
      <c r="G2757" s="23"/>
      <c r="H2757" s="66"/>
      <c r="I2757" s="14"/>
      <c r="J2757" s="14"/>
      <c r="K2757" s="14"/>
      <c r="L2757" s="5" t="str">
        <f t="shared" si="261"/>
        <v/>
      </c>
      <c r="M2757" s="5" t="str">
        <f t="shared" si="262"/>
        <v/>
      </c>
      <c r="N2757" s="5" t="str">
        <f t="shared" si="263"/>
        <v/>
      </c>
      <c r="O2757" s="4"/>
    </row>
    <row r="2758" spans="1:15" x14ac:dyDescent="0.25">
      <c r="A2758" s="14"/>
      <c r="B2758" s="14"/>
      <c r="C2758" s="14"/>
      <c r="D2758" s="5" t="str">
        <f t="shared" si="264"/>
        <v/>
      </c>
      <c r="E2758" s="5" t="str">
        <f t="shared" si="265"/>
        <v/>
      </c>
      <c r="F2758" s="5" t="str">
        <f t="shared" si="266"/>
        <v/>
      </c>
      <c r="G2758" s="23"/>
      <c r="H2758" s="66"/>
      <c r="I2758" s="14"/>
      <c r="J2758" s="14"/>
      <c r="K2758" s="14"/>
      <c r="L2758" s="5" t="str">
        <f t="shared" si="261"/>
        <v/>
      </c>
      <c r="M2758" s="5" t="str">
        <f t="shared" si="262"/>
        <v/>
      </c>
      <c r="N2758" s="5" t="str">
        <f t="shared" si="263"/>
        <v/>
      </c>
      <c r="O2758" s="4"/>
    </row>
    <row r="2759" spans="1:15" x14ac:dyDescent="0.25">
      <c r="A2759" s="14"/>
      <c r="B2759" s="14"/>
      <c r="C2759" s="14"/>
      <c r="D2759" s="5" t="str">
        <f t="shared" si="264"/>
        <v/>
      </c>
      <c r="E2759" s="5" t="str">
        <f t="shared" si="265"/>
        <v/>
      </c>
      <c r="F2759" s="5" t="str">
        <f t="shared" si="266"/>
        <v/>
      </c>
      <c r="G2759" s="23"/>
      <c r="H2759" s="66"/>
      <c r="I2759" s="14"/>
      <c r="J2759" s="14"/>
      <c r="K2759" s="14"/>
      <c r="L2759" s="5" t="str">
        <f t="shared" si="261"/>
        <v/>
      </c>
      <c r="M2759" s="5" t="str">
        <f t="shared" si="262"/>
        <v/>
      </c>
      <c r="N2759" s="5" t="str">
        <f t="shared" si="263"/>
        <v/>
      </c>
      <c r="O2759" s="4"/>
    </row>
    <row r="2760" spans="1:15" x14ac:dyDescent="0.25">
      <c r="A2760" s="14"/>
      <c r="B2760" s="14"/>
      <c r="C2760" s="14"/>
      <c r="D2760" s="5" t="str">
        <f t="shared" si="264"/>
        <v/>
      </c>
      <c r="E2760" s="5" t="str">
        <f t="shared" si="265"/>
        <v/>
      </c>
      <c r="F2760" s="5" t="str">
        <f t="shared" si="266"/>
        <v/>
      </c>
      <c r="G2760" s="23"/>
      <c r="H2760" s="66"/>
      <c r="I2760" s="14"/>
      <c r="J2760" s="14"/>
      <c r="K2760" s="14"/>
      <c r="L2760" s="5" t="str">
        <f t="shared" si="261"/>
        <v/>
      </c>
      <c r="M2760" s="5" t="str">
        <f t="shared" si="262"/>
        <v/>
      </c>
      <c r="N2760" s="5" t="str">
        <f t="shared" si="263"/>
        <v/>
      </c>
      <c r="O2760" s="4"/>
    </row>
    <row r="2761" spans="1:15" x14ac:dyDescent="0.25">
      <c r="A2761" s="14"/>
      <c r="B2761" s="14"/>
      <c r="C2761" s="14"/>
      <c r="D2761" s="5" t="str">
        <f t="shared" si="264"/>
        <v/>
      </c>
      <c r="E2761" s="5" t="str">
        <f t="shared" si="265"/>
        <v/>
      </c>
      <c r="F2761" s="5" t="str">
        <f t="shared" si="266"/>
        <v/>
      </c>
      <c r="G2761" s="23"/>
      <c r="H2761" s="66"/>
      <c r="I2761" s="14"/>
      <c r="J2761" s="14"/>
      <c r="K2761" s="14"/>
      <c r="L2761" s="5" t="str">
        <f t="shared" si="261"/>
        <v/>
      </c>
      <c r="M2761" s="5" t="str">
        <f t="shared" si="262"/>
        <v/>
      </c>
      <c r="N2761" s="5" t="str">
        <f t="shared" si="263"/>
        <v/>
      </c>
      <c r="O2761" s="4"/>
    </row>
    <row r="2762" spans="1:15" x14ac:dyDescent="0.25">
      <c r="A2762" s="14"/>
      <c r="B2762" s="14"/>
      <c r="C2762" s="14"/>
      <c r="D2762" s="5" t="str">
        <f t="shared" si="264"/>
        <v/>
      </c>
      <c r="E2762" s="5" t="str">
        <f t="shared" si="265"/>
        <v/>
      </c>
      <c r="F2762" s="5" t="str">
        <f t="shared" si="266"/>
        <v/>
      </c>
      <c r="G2762" s="23"/>
      <c r="H2762" s="66"/>
      <c r="I2762" s="14"/>
      <c r="J2762" s="14"/>
      <c r="K2762" s="14"/>
      <c r="L2762" s="5" t="str">
        <f t="shared" si="261"/>
        <v/>
      </c>
      <c r="M2762" s="5" t="str">
        <f t="shared" si="262"/>
        <v/>
      </c>
      <c r="N2762" s="5" t="str">
        <f t="shared" si="263"/>
        <v/>
      </c>
      <c r="O2762" s="4"/>
    </row>
    <row r="2763" spans="1:15" x14ac:dyDescent="0.25">
      <c r="A2763" s="14"/>
      <c r="B2763" s="14"/>
      <c r="C2763" s="14"/>
      <c r="D2763" s="5" t="str">
        <f t="shared" si="264"/>
        <v/>
      </c>
      <c r="E2763" s="5" t="str">
        <f t="shared" si="265"/>
        <v/>
      </c>
      <c r="F2763" s="5" t="str">
        <f t="shared" si="266"/>
        <v/>
      </c>
      <c r="G2763" s="23"/>
      <c r="H2763" s="66"/>
      <c r="I2763" s="14"/>
      <c r="J2763" s="14"/>
      <c r="K2763" s="14"/>
      <c r="L2763" s="5" t="str">
        <f t="shared" si="261"/>
        <v/>
      </c>
      <c r="M2763" s="5" t="str">
        <f t="shared" si="262"/>
        <v/>
      </c>
      <c r="N2763" s="5" t="str">
        <f t="shared" si="263"/>
        <v/>
      </c>
      <c r="O2763" s="4"/>
    </row>
    <row r="2764" spans="1:15" x14ac:dyDescent="0.25">
      <c r="A2764" s="14"/>
      <c r="B2764" s="14"/>
      <c r="C2764" s="14"/>
      <c r="D2764" s="5" t="str">
        <f t="shared" si="264"/>
        <v/>
      </c>
      <c r="E2764" s="5" t="str">
        <f t="shared" si="265"/>
        <v/>
      </c>
      <c r="F2764" s="5" t="str">
        <f t="shared" si="266"/>
        <v/>
      </c>
      <c r="G2764" s="23"/>
      <c r="H2764" s="66"/>
      <c r="I2764" s="14"/>
      <c r="J2764" s="14"/>
      <c r="K2764" s="14"/>
      <c r="L2764" s="5" t="str">
        <f t="shared" si="261"/>
        <v/>
      </c>
      <c r="M2764" s="5" t="str">
        <f t="shared" si="262"/>
        <v/>
      </c>
      <c r="N2764" s="5" t="str">
        <f t="shared" si="263"/>
        <v/>
      </c>
      <c r="O2764" s="4"/>
    </row>
    <row r="2765" spans="1:15" x14ac:dyDescent="0.25">
      <c r="A2765" s="14"/>
      <c r="B2765" s="14"/>
      <c r="C2765" s="14"/>
      <c r="D2765" s="5" t="str">
        <f t="shared" si="264"/>
        <v/>
      </c>
      <c r="E2765" s="5" t="str">
        <f t="shared" si="265"/>
        <v/>
      </c>
      <c r="F2765" s="5" t="str">
        <f t="shared" si="266"/>
        <v/>
      </c>
      <c r="G2765" s="23"/>
      <c r="H2765" s="66"/>
      <c r="I2765" s="14"/>
      <c r="J2765" s="14"/>
      <c r="K2765" s="14"/>
      <c r="L2765" s="5" t="str">
        <f t="shared" si="261"/>
        <v/>
      </c>
      <c r="M2765" s="5" t="str">
        <f t="shared" si="262"/>
        <v/>
      </c>
      <c r="N2765" s="5" t="str">
        <f t="shared" si="263"/>
        <v/>
      </c>
      <c r="O2765" s="4"/>
    </row>
    <row r="2766" spans="1:15" x14ac:dyDescent="0.25">
      <c r="A2766" s="14"/>
      <c r="B2766" s="14"/>
      <c r="C2766" s="14"/>
      <c r="D2766" s="5" t="str">
        <f t="shared" si="264"/>
        <v/>
      </c>
      <c r="E2766" s="5" t="str">
        <f t="shared" si="265"/>
        <v/>
      </c>
      <c r="F2766" s="5" t="str">
        <f t="shared" si="266"/>
        <v/>
      </c>
      <c r="G2766" s="23"/>
      <c r="H2766" s="66"/>
      <c r="I2766" s="14"/>
      <c r="J2766" s="14"/>
      <c r="K2766" s="14"/>
      <c r="L2766" s="5" t="str">
        <f t="shared" si="261"/>
        <v/>
      </c>
      <c r="M2766" s="5" t="str">
        <f t="shared" si="262"/>
        <v/>
      </c>
      <c r="N2766" s="5" t="str">
        <f t="shared" si="263"/>
        <v/>
      </c>
      <c r="O2766" s="4"/>
    </row>
    <row r="2767" spans="1:15" x14ac:dyDescent="0.25">
      <c r="A2767" s="14"/>
      <c r="B2767" s="14"/>
      <c r="C2767" s="14"/>
      <c r="D2767" s="5" t="str">
        <f t="shared" si="264"/>
        <v/>
      </c>
      <c r="E2767" s="5" t="str">
        <f t="shared" si="265"/>
        <v/>
      </c>
      <c r="F2767" s="5" t="str">
        <f t="shared" si="266"/>
        <v/>
      </c>
      <c r="G2767" s="23"/>
      <c r="H2767" s="66"/>
      <c r="I2767" s="14"/>
      <c r="J2767" s="14"/>
      <c r="K2767" s="14"/>
      <c r="L2767" s="5" t="str">
        <f t="shared" si="261"/>
        <v/>
      </c>
      <c r="M2767" s="5" t="str">
        <f t="shared" si="262"/>
        <v/>
      </c>
      <c r="N2767" s="5" t="str">
        <f t="shared" si="263"/>
        <v/>
      </c>
      <c r="O2767" s="4"/>
    </row>
    <row r="2768" spans="1:15" x14ac:dyDescent="0.25">
      <c r="A2768" s="14"/>
      <c r="B2768" s="14"/>
      <c r="C2768" s="14"/>
      <c r="D2768" s="5" t="str">
        <f t="shared" si="264"/>
        <v/>
      </c>
      <c r="E2768" s="5" t="str">
        <f t="shared" si="265"/>
        <v/>
      </c>
      <c r="F2768" s="5" t="str">
        <f t="shared" si="266"/>
        <v/>
      </c>
      <c r="G2768" s="23"/>
      <c r="H2768" s="66"/>
      <c r="I2768" s="14"/>
      <c r="J2768" s="14"/>
      <c r="K2768" s="14"/>
      <c r="L2768" s="5" t="str">
        <f t="shared" si="261"/>
        <v/>
      </c>
      <c r="M2768" s="5" t="str">
        <f t="shared" si="262"/>
        <v/>
      </c>
      <c r="N2768" s="5" t="str">
        <f t="shared" si="263"/>
        <v/>
      </c>
      <c r="O2768" s="4"/>
    </row>
    <row r="2769" spans="1:15" x14ac:dyDescent="0.25">
      <c r="A2769" s="14"/>
      <c r="B2769" s="14"/>
      <c r="C2769" s="14"/>
      <c r="D2769" s="5" t="str">
        <f t="shared" si="264"/>
        <v/>
      </c>
      <c r="E2769" s="5" t="str">
        <f t="shared" si="265"/>
        <v/>
      </c>
      <c r="F2769" s="5" t="str">
        <f t="shared" si="266"/>
        <v/>
      </c>
      <c r="G2769" s="23"/>
      <c r="H2769" s="66"/>
      <c r="I2769" s="14"/>
      <c r="J2769" s="14"/>
      <c r="K2769" s="14"/>
      <c r="L2769" s="5" t="str">
        <f t="shared" ref="L2769:L2832" si="267">IFERROR(IF(I2769&lt;&gt;"",(((J2769-J2768)*$X$4/(I2769-I2768)))*$X$5,""),"")</f>
        <v/>
      </c>
      <c r="M2769" s="5" t="str">
        <f t="shared" ref="M2769:M2832" si="268">IFERROR(IF(I2769&lt;&gt;"",(((K2769-K2768)*$X$4/(I2769-I2768)))*$X$5,""),"")</f>
        <v/>
      </c>
      <c r="N2769" s="5" t="str">
        <f t="shared" ref="N2769:N2832" si="269">IFERROR(IF(I2769&lt;&gt;"",((ACOS((COS(RADIANS(J2768))*COS(RADIANS(J2769)))+(SIN(RADIANS(J2768))*SIN(RADIANS(J2769)))*COS(RADIANS(K2769-K2768)))*180/PI()*($X$4/(I2769-I2768))))*$X$5,""),"")</f>
        <v/>
      </c>
      <c r="O2769" s="4"/>
    </row>
    <row r="2770" spans="1:15" x14ac:dyDescent="0.25">
      <c r="A2770" s="14"/>
      <c r="B2770" s="14"/>
      <c r="C2770" s="14"/>
      <c r="D2770" s="5" t="str">
        <f t="shared" si="264"/>
        <v/>
      </c>
      <c r="E2770" s="5" t="str">
        <f t="shared" si="265"/>
        <v/>
      </c>
      <c r="F2770" s="5" t="str">
        <f t="shared" si="266"/>
        <v/>
      </c>
      <c r="G2770" s="23"/>
      <c r="H2770" s="66"/>
      <c r="I2770" s="14"/>
      <c r="J2770" s="14"/>
      <c r="K2770" s="14"/>
      <c r="L2770" s="5" t="str">
        <f t="shared" si="267"/>
        <v/>
      </c>
      <c r="M2770" s="5" t="str">
        <f t="shared" si="268"/>
        <v/>
      </c>
      <c r="N2770" s="5" t="str">
        <f t="shared" si="269"/>
        <v/>
      </c>
      <c r="O2770" s="4"/>
    </row>
    <row r="2771" spans="1:15" x14ac:dyDescent="0.25">
      <c r="A2771" s="14"/>
      <c r="B2771" s="14"/>
      <c r="C2771" s="14"/>
      <c r="D2771" s="5" t="str">
        <f t="shared" si="264"/>
        <v/>
      </c>
      <c r="E2771" s="5" t="str">
        <f t="shared" si="265"/>
        <v/>
      </c>
      <c r="F2771" s="5" t="str">
        <f t="shared" si="266"/>
        <v/>
      </c>
      <c r="G2771" s="23"/>
      <c r="H2771" s="66"/>
      <c r="I2771" s="14"/>
      <c r="J2771" s="14"/>
      <c r="K2771" s="14"/>
      <c r="L2771" s="5" t="str">
        <f t="shared" si="267"/>
        <v/>
      </c>
      <c r="M2771" s="5" t="str">
        <f t="shared" si="268"/>
        <v/>
      </c>
      <c r="N2771" s="5" t="str">
        <f t="shared" si="269"/>
        <v/>
      </c>
      <c r="O2771" s="4"/>
    </row>
    <row r="2772" spans="1:15" x14ac:dyDescent="0.25">
      <c r="A2772" s="14"/>
      <c r="B2772" s="14"/>
      <c r="C2772" s="14"/>
      <c r="D2772" s="5" t="str">
        <f t="shared" si="264"/>
        <v/>
      </c>
      <c r="E2772" s="5" t="str">
        <f t="shared" si="265"/>
        <v/>
      </c>
      <c r="F2772" s="5" t="str">
        <f t="shared" si="266"/>
        <v/>
      </c>
      <c r="G2772" s="23"/>
      <c r="H2772" s="66"/>
      <c r="I2772" s="14"/>
      <c r="J2772" s="14"/>
      <c r="K2772" s="14"/>
      <c r="L2772" s="5" t="str">
        <f t="shared" si="267"/>
        <v/>
      </c>
      <c r="M2772" s="5" t="str">
        <f t="shared" si="268"/>
        <v/>
      </c>
      <c r="N2772" s="5" t="str">
        <f t="shared" si="269"/>
        <v/>
      </c>
      <c r="O2772" s="4"/>
    </row>
    <row r="2773" spans="1:15" x14ac:dyDescent="0.25">
      <c r="A2773" s="14"/>
      <c r="B2773" s="14"/>
      <c r="C2773" s="14"/>
      <c r="D2773" s="5" t="str">
        <f t="shared" si="264"/>
        <v/>
      </c>
      <c r="E2773" s="5" t="str">
        <f t="shared" si="265"/>
        <v/>
      </c>
      <c r="F2773" s="5" t="str">
        <f t="shared" si="266"/>
        <v/>
      </c>
      <c r="G2773" s="23"/>
      <c r="H2773" s="66"/>
      <c r="I2773" s="14"/>
      <c r="J2773" s="14"/>
      <c r="K2773" s="14"/>
      <c r="L2773" s="5" t="str">
        <f t="shared" si="267"/>
        <v/>
      </c>
      <c r="M2773" s="5" t="str">
        <f t="shared" si="268"/>
        <v/>
      </c>
      <c r="N2773" s="5" t="str">
        <f t="shared" si="269"/>
        <v/>
      </c>
      <c r="O2773" s="4"/>
    </row>
    <row r="2774" spans="1:15" x14ac:dyDescent="0.25">
      <c r="A2774" s="14"/>
      <c r="B2774" s="14"/>
      <c r="C2774" s="14"/>
      <c r="D2774" s="5" t="str">
        <f t="shared" si="264"/>
        <v/>
      </c>
      <c r="E2774" s="5" t="str">
        <f t="shared" si="265"/>
        <v/>
      </c>
      <c r="F2774" s="5" t="str">
        <f t="shared" si="266"/>
        <v/>
      </c>
      <c r="G2774" s="23"/>
      <c r="H2774" s="66"/>
      <c r="I2774" s="14"/>
      <c r="J2774" s="14"/>
      <c r="K2774" s="14"/>
      <c r="L2774" s="5" t="str">
        <f t="shared" si="267"/>
        <v/>
      </c>
      <c r="M2774" s="5" t="str">
        <f t="shared" si="268"/>
        <v/>
      </c>
      <c r="N2774" s="5" t="str">
        <f t="shared" si="269"/>
        <v/>
      </c>
      <c r="O2774" s="4"/>
    </row>
    <row r="2775" spans="1:15" x14ac:dyDescent="0.25">
      <c r="A2775" s="14"/>
      <c r="B2775" s="14"/>
      <c r="C2775" s="14"/>
      <c r="D2775" s="5" t="str">
        <f t="shared" si="264"/>
        <v/>
      </c>
      <c r="E2775" s="5" t="str">
        <f t="shared" si="265"/>
        <v/>
      </c>
      <c r="F2775" s="5" t="str">
        <f t="shared" si="266"/>
        <v/>
      </c>
      <c r="G2775" s="23"/>
      <c r="H2775" s="66"/>
      <c r="I2775" s="14"/>
      <c r="J2775" s="14"/>
      <c r="K2775" s="14"/>
      <c r="L2775" s="5" t="str">
        <f t="shared" si="267"/>
        <v/>
      </c>
      <c r="M2775" s="5" t="str">
        <f t="shared" si="268"/>
        <v/>
      </c>
      <c r="N2775" s="5" t="str">
        <f t="shared" si="269"/>
        <v/>
      </c>
      <c r="O2775" s="4"/>
    </row>
    <row r="2776" spans="1:15" x14ac:dyDescent="0.25">
      <c r="A2776" s="14"/>
      <c r="B2776" s="14"/>
      <c r="C2776" s="14"/>
      <c r="D2776" s="5" t="str">
        <f t="shared" si="264"/>
        <v/>
      </c>
      <c r="E2776" s="5" t="str">
        <f t="shared" si="265"/>
        <v/>
      </c>
      <c r="F2776" s="5" t="str">
        <f t="shared" si="266"/>
        <v/>
      </c>
      <c r="G2776" s="23"/>
      <c r="H2776" s="66"/>
      <c r="I2776" s="14"/>
      <c r="J2776" s="14"/>
      <c r="K2776" s="14"/>
      <c r="L2776" s="5" t="str">
        <f t="shared" si="267"/>
        <v/>
      </c>
      <c r="M2776" s="5" t="str">
        <f t="shared" si="268"/>
        <v/>
      </c>
      <c r="N2776" s="5" t="str">
        <f t="shared" si="269"/>
        <v/>
      </c>
      <c r="O2776" s="4"/>
    </row>
    <row r="2777" spans="1:15" x14ac:dyDescent="0.25">
      <c r="A2777" s="14"/>
      <c r="B2777" s="14"/>
      <c r="C2777" s="14"/>
      <c r="D2777" s="5" t="str">
        <f t="shared" ref="D2777:D2840" si="270">IFERROR( IF(A2777&lt;&gt;"",((B2777-B2776)*$X$4/(A2777-A2776))*$X$5,""),"")</f>
        <v/>
      </c>
      <c r="E2777" s="5" t="str">
        <f t="shared" ref="E2777:E2840" si="271">IFERROR(IF(A2777&lt;&gt;"",((C2777-C2776)*$X$4/(A2777-A2776))*$X$5,""),"")</f>
        <v/>
      </c>
      <c r="F2777" s="5" t="str">
        <f t="shared" ref="F2777:F2840" si="272">IFERROR(IF(A2777&lt;&gt;"",((ACOS((COS(RADIANS(B2776))*COS(RADIANS(B2777)))+(SIN(RADIANS(B2776))*SIN(RADIANS(B2777)))*COS(RADIANS(C2777-C2776)))*180/PI()*($X$4/(A2777-A2776))))*$X$5,""),"")</f>
        <v/>
      </c>
      <c r="G2777" s="23"/>
      <c r="H2777" s="66"/>
      <c r="I2777" s="14"/>
      <c r="J2777" s="14"/>
      <c r="K2777" s="14"/>
      <c r="L2777" s="5" t="str">
        <f t="shared" si="267"/>
        <v/>
      </c>
      <c r="M2777" s="5" t="str">
        <f t="shared" si="268"/>
        <v/>
      </c>
      <c r="N2777" s="5" t="str">
        <f t="shared" si="269"/>
        <v/>
      </c>
      <c r="O2777" s="4"/>
    </row>
    <row r="2778" spans="1:15" x14ac:dyDescent="0.25">
      <c r="A2778" s="14"/>
      <c r="B2778" s="14"/>
      <c r="C2778" s="14"/>
      <c r="D2778" s="5" t="str">
        <f t="shared" si="270"/>
        <v/>
      </c>
      <c r="E2778" s="5" t="str">
        <f t="shared" si="271"/>
        <v/>
      </c>
      <c r="F2778" s="5" t="str">
        <f t="shared" si="272"/>
        <v/>
      </c>
      <c r="G2778" s="23"/>
      <c r="H2778" s="66"/>
      <c r="I2778" s="14"/>
      <c r="J2778" s="14"/>
      <c r="K2778" s="14"/>
      <c r="L2778" s="5" t="str">
        <f t="shared" si="267"/>
        <v/>
      </c>
      <c r="M2778" s="5" t="str">
        <f t="shared" si="268"/>
        <v/>
      </c>
      <c r="N2778" s="5" t="str">
        <f t="shared" si="269"/>
        <v/>
      </c>
      <c r="O2778" s="4"/>
    </row>
    <row r="2779" spans="1:15" x14ac:dyDescent="0.25">
      <c r="A2779" s="14"/>
      <c r="B2779" s="14"/>
      <c r="C2779" s="14"/>
      <c r="D2779" s="5" t="str">
        <f t="shared" si="270"/>
        <v/>
      </c>
      <c r="E2779" s="5" t="str">
        <f t="shared" si="271"/>
        <v/>
      </c>
      <c r="F2779" s="5" t="str">
        <f t="shared" si="272"/>
        <v/>
      </c>
      <c r="G2779" s="23"/>
      <c r="H2779" s="66"/>
      <c r="I2779" s="14"/>
      <c r="J2779" s="14"/>
      <c r="K2779" s="14"/>
      <c r="L2779" s="5" t="str">
        <f t="shared" si="267"/>
        <v/>
      </c>
      <c r="M2779" s="5" t="str">
        <f t="shared" si="268"/>
        <v/>
      </c>
      <c r="N2779" s="5" t="str">
        <f t="shared" si="269"/>
        <v/>
      </c>
      <c r="O2779" s="4"/>
    </row>
    <row r="2780" spans="1:15" x14ac:dyDescent="0.25">
      <c r="A2780" s="14"/>
      <c r="B2780" s="14"/>
      <c r="C2780" s="14"/>
      <c r="D2780" s="5" t="str">
        <f t="shared" si="270"/>
        <v/>
      </c>
      <c r="E2780" s="5" t="str">
        <f t="shared" si="271"/>
        <v/>
      </c>
      <c r="F2780" s="5" t="str">
        <f t="shared" si="272"/>
        <v/>
      </c>
      <c r="G2780" s="23"/>
      <c r="H2780" s="66"/>
      <c r="I2780" s="14"/>
      <c r="J2780" s="14"/>
      <c r="K2780" s="14"/>
      <c r="L2780" s="5" t="str">
        <f t="shared" si="267"/>
        <v/>
      </c>
      <c r="M2780" s="5" t="str">
        <f t="shared" si="268"/>
        <v/>
      </c>
      <c r="N2780" s="5" t="str">
        <f t="shared" si="269"/>
        <v/>
      </c>
      <c r="O2780" s="4"/>
    </row>
    <row r="2781" spans="1:15" x14ac:dyDescent="0.25">
      <c r="A2781" s="14"/>
      <c r="B2781" s="14"/>
      <c r="C2781" s="14"/>
      <c r="D2781" s="5" t="str">
        <f t="shared" si="270"/>
        <v/>
      </c>
      <c r="E2781" s="5" t="str">
        <f t="shared" si="271"/>
        <v/>
      </c>
      <c r="F2781" s="5" t="str">
        <f t="shared" si="272"/>
        <v/>
      </c>
      <c r="G2781" s="23"/>
      <c r="H2781" s="66"/>
      <c r="I2781" s="14"/>
      <c r="J2781" s="14"/>
      <c r="K2781" s="14"/>
      <c r="L2781" s="5" t="str">
        <f t="shared" si="267"/>
        <v/>
      </c>
      <c r="M2781" s="5" t="str">
        <f t="shared" si="268"/>
        <v/>
      </c>
      <c r="N2781" s="5" t="str">
        <f t="shared" si="269"/>
        <v/>
      </c>
      <c r="O2781" s="4"/>
    </row>
    <row r="2782" spans="1:15" x14ac:dyDescent="0.25">
      <c r="A2782" s="14"/>
      <c r="B2782" s="14"/>
      <c r="C2782" s="14"/>
      <c r="D2782" s="5" t="str">
        <f t="shared" si="270"/>
        <v/>
      </c>
      <c r="E2782" s="5" t="str">
        <f t="shared" si="271"/>
        <v/>
      </c>
      <c r="F2782" s="5" t="str">
        <f t="shared" si="272"/>
        <v/>
      </c>
      <c r="G2782" s="23"/>
      <c r="H2782" s="66"/>
      <c r="I2782" s="14"/>
      <c r="J2782" s="14"/>
      <c r="K2782" s="14"/>
      <c r="L2782" s="5" t="str">
        <f t="shared" si="267"/>
        <v/>
      </c>
      <c r="M2782" s="5" t="str">
        <f t="shared" si="268"/>
        <v/>
      </c>
      <c r="N2782" s="5" t="str">
        <f t="shared" si="269"/>
        <v/>
      </c>
      <c r="O2782" s="4"/>
    </row>
    <row r="2783" spans="1:15" x14ac:dyDescent="0.25">
      <c r="A2783" s="14"/>
      <c r="B2783" s="14"/>
      <c r="C2783" s="14"/>
      <c r="D2783" s="5" t="str">
        <f t="shared" si="270"/>
        <v/>
      </c>
      <c r="E2783" s="5" t="str">
        <f t="shared" si="271"/>
        <v/>
      </c>
      <c r="F2783" s="5" t="str">
        <f t="shared" si="272"/>
        <v/>
      </c>
      <c r="G2783" s="23"/>
      <c r="H2783" s="66"/>
      <c r="I2783" s="14"/>
      <c r="J2783" s="14"/>
      <c r="K2783" s="14"/>
      <c r="L2783" s="5" t="str">
        <f t="shared" si="267"/>
        <v/>
      </c>
      <c r="M2783" s="5" t="str">
        <f t="shared" si="268"/>
        <v/>
      </c>
      <c r="N2783" s="5" t="str">
        <f t="shared" si="269"/>
        <v/>
      </c>
      <c r="O2783" s="4"/>
    </row>
    <row r="2784" spans="1:15" x14ac:dyDescent="0.25">
      <c r="A2784" s="14"/>
      <c r="B2784" s="14"/>
      <c r="C2784" s="14"/>
      <c r="D2784" s="5" t="str">
        <f t="shared" si="270"/>
        <v/>
      </c>
      <c r="E2784" s="5" t="str">
        <f t="shared" si="271"/>
        <v/>
      </c>
      <c r="F2784" s="5" t="str">
        <f t="shared" si="272"/>
        <v/>
      </c>
      <c r="G2784" s="23"/>
      <c r="H2784" s="66"/>
      <c r="I2784" s="14"/>
      <c r="J2784" s="14"/>
      <c r="K2784" s="14"/>
      <c r="L2784" s="5" t="str">
        <f t="shared" si="267"/>
        <v/>
      </c>
      <c r="M2784" s="5" t="str">
        <f t="shared" si="268"/>
        <v/>
      </c>
      <c r="N2784" s="5" t="str">
        <f t="shared" si="269"/>
        <v/>
      </c>
      <c r="O2784" s="4"/>
    </row>
    <row r="2785" spans="1:15" x14ac:dyDescent="0.25">
      <c r="A2785" s="14"/>
      <c r="B2785" s="14"/>
      <c r="C2785" s="14"/>
      <c r="D2785" s="5" t="str">
        <f t="shared" si="270"/>
        <v/>
      </c>
      <c r="E2785" s="5" t="str">
        <f t="shared" si="271"/>
        <v/>
      </c>
      <c r="F2785" s="5" t="str">
        <f t="shared" si="272"/>
        <v/>
      </c>
      <c r="G2785" s="23"/>
      <c r="H2785" s="66"/>
      <c r="I2785" s="14"/>
      <c r="J2785" s="14"/>
      <c r="K2785" s="14"/>
      <c r="L2785" s="5" t="str">
        <f t="shared" si="267"/>
        <v/>
      </c>
      <c r="M2785" s="5" t="str">
        <f t="shared" si="268"/>
        <v/>
      </c>
      <c r="N2785" s="5" t="str">
        <f t="shared" si="269"/>
        <v/>
      </c>
      <c r="O2785" s="4"/>
    </row>
    <row r="2786" spans="1:15" x14ac:dyDescent="0.25">
      <c r="A2786" s="14"/>
      <c r="B2786" s="14"/>
      <c r="C2786" s="14"/>
      <c r="D2786" s="5" t="str">
        <f t="shared" si="270"/>
        <v/>
      </c>
      <c r="E2786" s="5" t="str">
        <f t="shared" si="271"/>
        <v/>
      </c>
      <c r="F2786" s="5" t="str">
        <f t="shared" si="272"/>
        <v/>
      </c>
      <c r="G2786" s="23"/>
      <c r="H2786" s="66"/>
      <c r="I2786" s="14"/>
      <c r="J2786" s="14"/>
      <c r="K2786" s="14"/>
      <c r="L2786" s="5" t="str">
        <f t="shared" si="267"/>
        <v/>
      </c>
      <c r="M2786" s="5" t="str">
        <f t="shared" si="268"/>
        <v/>
      </c>
      <c r="N2786" s="5" t="str">
        <f t="shared" si="269"/>
        <v/>
      </c>
      <c r="O2786" s="4"/>
    </row>
    <row r="2787" spans="1:15" x14ac:dyDescent="0.25">
      <c r="A2787" s="14"/>
      <c r="B2787" s="14"/>
      <c r="C2787" s="14"/>
      <c r="D2787" s="5" t="str">
        <f t="shared" si="270"/>
        <v/>
      </c>
      <c r="E2787" s="5" t="str">
        <f t="shared" si="271"/>
        <v/>
      </c>
      <c r="F2787" s="5" t="str">
        <f t="shared" si="272"/>
        <v/>
      </c>
      <c r="G2787" s="23"/>
      <c r="H2787" s="66"/>
      <c r="I2787" s="14"/>
      <c r="J2787" s="14"/>
      <c r="K2787" s="14"/>
      <c r="L2787" s="5" t="str">
        <f t="shared" si="267"/>
        <v/>
      </c>
      <c r="M2787" s="5" t="str">
        <f t="shared" si="268"/>
        <v/>
      </c>
      <c r="N2787" s="5" t="str">
        <f t="shared" si="269"/>
        <v/>
      </c>
      <c r="O2787" s="4"/>
    </row>
    <row r="2788" spans="1:15" x14ac:dyDescent="0.25">
      <c r="A2788" s="14"/>
      <c r="B2788" s="14"/>
      <c r="C2788" s="14"/>
      <c r="D2788" s="5" t="str">
        <f t="shared" si="270"/>
        <v/>
      </c>
      <c r="E2788" s="5" t="str">
        <f t="shared" si="271"/>
        <v/>
      </c>
      <c r="F2788" s="5" t="str">
        <f t="shared" si="272"/>
        <v/>
      </c>
      <c r="G2788" s="23"/>
      <c r="H2788" s="66"/>
      <c r="I2788" s="14"/>
      <c r="J2788" s="14"/>
      <c r="K2788" s="14"/>
      <c r="L2788" s="5" t="str">
        <f t="shared" si="267"/>
        <v/>
      </c>
      <c r="M2788" s="5" t="str">
        <f t="shared" si="268"/>
        <v/>
      </c>
      <c r="N2788" s="5" t="str">
        <f t="shared" si="269"/>
        <v/>
      </c>
      <c r="O2788" s="4"/>
    </row>
    <row r="2789" spans="1:15" x14ac:dyDescent="0.25">
      <c r="A2789" s="14"/>
      <c r="B2789" s="14"/>
      <c r="C2789" s="14"/>
      <c r="D2789" s="5" t="str">
        <f t="shared" si="270"/>
        <v/>
      </c>
      <c r="E2789" s="5" t="str">
        <f t="shared" si="271"/>
        <v/>
      </c>
      <c r="F2789" s="5" t="str">
        <f t="shared" si="272"/>
        <v/>
      </c>
      <c r="G2789" s="23"/>
      <c r="H2789" s="66"/>
      <c r="I2789" s="14"/>
      <c r="J2789" s="14"/>
      <c r="K2789" s="14"/>
      <c r="L2789" s="5" t="str">
        <f t="shared" si="267"/>
        <v/>
      </c>
      <c r="M2789" s="5" t="str">
        <f t="shared" si="268"/>
        <v/>
      </c>
      <c r="N2789" s="5" t="str">
        <f t="shared" si="269"/>
        <v/>
      </c>
      <c r="O2789" s="4"/>
    </row>
    <row r="2790" spans="1:15" x14ac:dyDescent="0.25">
      <c r="A2790" s="14"/>
      <c r="B2790" s="14"/>
      <c r="C2790" s="14"/>
      <c r="D2790" s="5" t="str">
        <f t="shared" si="270"/>
        <v/>
      </c>
      <c r="E2790" s="5" t="str">
        <f t="shared" si="271"/>
        <v/>
      </c>
      <c r="F2790" s="5" t="str">
        <f t="shared" si="272"/>
        <v/>
      </c>
      <c r="G2790" s="23"/>
      <c r="H2790" s="66"/>
      <c r="I2790" s="14"/>
      <c r="J2790" s="14"/>
      <c r="K2790" s="14"/>
      <c r="L2790" s="5" t="str">
        <f t="shared" si="267"/>
        <v/>
      </c>
      <c r="M2790" s="5" t="str">
        <f t="shared" si="268"/>
        <v/>
      </c>
      <c r="N2790" s="5" t="str">
        <f t="shared" si="269"/>
        <v/>
      </c>
      <c r="O2790" s="4"/>
    </row>
    <row r="2791" spans="1:15" x14ac:dyDescent="0.25">
      <c r="A2791" s="14"/>
      <c r="B2791" s="14"/>
      <c r="C2791" s="14"/>
      <c r="D2791" s="5" t="str">
        <f t="shared" si="270"/>
        <v/>
      </c>
      <c r="E2791" s="5" t="str">
        <f t="shared" si="271"/>
        <v/>
      </c>
      <c r="F2791" s="5" t="str">
        <f t="shared" si="272"/>
        <v/>
      </c>
      <c r="G2791" s="23"/>
      <c r="H2791" s="66"/>
      <c r="I2791" s="14"/>
      <c r="J2791" s="14"/>
      <c r="K2791" s="14"/>
      <c r="L2791" s="5" t="str">
        <f t="shared" si="267"/>
        <v/>
      </c>
      <c r="M2791" s="5" t="str">
        <f t="shared" si="268"/>
        <v/>
      </c>
      <c r="N2791" s="5" t="str">
        <f t="shared" si="269"/>
        <v/>
      </c>
      <c r="O2791" s="4"/>
    </row>
    <row r="2792" spans="1:15" x14ac:dyDescent="0.25">
      <c r="A2792" s="14"/>
      <c r="B2792" s="14"/>
      <c r="C2792" s="14"/>
      <c r="D2792" s="5" t="str">
        <f t="shared" si="270"/>
        <v/>
      </c>
      <c r="E2792" s="5" t="str">
        <f t="shared" si="271"/>
        <v/>
      </c>
      <c r="F2792" s="5" t="str">
        <f t="shared" si="272"/>
        <v/>
      </c>
      <c r="G2792" s="23"/>
      <c r="H2792" s="66"/>
      <c r="I2792" s="14"/>
      <c r="J2792" s="14"/>
      <c r="K2792" s="14"/>
      <c r="L2792" s="5" t="str">
        <f t="shared" si="267"/>
        <v/>
      </c>
      <c r="M2792" s="5" t="str">
        <f t="shared" si="268"/>
        <v/>
      </c>
      <c r="N2792" s="5" t="str">
        <f t="shared" si="269"/>
        <v/>
      </c>
      <c r="O2792" s="4"/>
    </row>
    <row r="2793" spans="1:15" x14ac:dyDescent="0.25">
      <c r="A2793" s="14"/>
      <c r="B2793" s="14"/>
      <c r="C2793" s="14"/>
      <c r="D2793" s="5" t="str">
        <f t="shared" si="270"/>
        <v/>
      </c>
      <c r="E2793" s="5" t="str">
        <f t="shared" si="271"/>
        <v/>
      </c>
      <c r="F2793" s="5" t="str">
        <f t="shared" si="272"/>
        <v/>
      </c>
      <c r="G2793" s="23"/>
      <c r="H2793" s="66"/>
      <c r="I2793" s="14"/>
      <c r="J2793" s="14"/>
      <c r="K2793" s="14"/>
      <c r="L2793" s="5" t="str">
        <f t="shared" si="267"/>
        <v/>
      </c>
      <c r="M2793" s="5" t="str">
        <f t="shared" si="268"/>
        <v/>
      </c>
      <c r="N2793" s="5" t="str">
        <f t="shared" si="269"/>
        <v/>
      </c>
      <c r="O2793" s="4"/>
    </row>
    <row r="2794" spans="1:15" x14ac:dyDescent="0.25">
      <c r="A2794" s="14"/>
      <c r="B2794" s="14"/>
      <c r="C2794" s="14"/>
      <c r="D2794" s="5" t="str">
        <f t="shared" si="270"/>
        <v/>
      </c>
      <c r="E2794" s="5" t="str">
        <f t="shared" si="271"/>
        <v/>
      </c>
      <c r="F2794" s="5" t="str">
        <f t="shared" si="272"/>
        <v/>
      </c>
      <c r="G2794" s="23"/>
      <c r="H2794" s="66"/>
      <c r="I2794" s="14"/>
      <c r="J2794" s="14"/>
      <c r="K2794" s="14"/>
      <c r="L2794" s="5" t="str">
        <f t="shared" si="267"/>
        <v/>
      </c>
      <c r="M2794" s="5" t="str">
        <f t="shared" si="268"/>
        <v/>
      </c>
      <c r="N2794" s="5" t="str">
        <f t="shared" si="269"/>
        <v/>
      </c>
      <c r="O2794" s="4"/>
    </row>
    <row r="2795" spans="1:15" x14ac:dyDescent="0.25">
      <c r="A2795" s="14"/>
      <c r="B2795" s="14"/>
      <c r="C2795" s="14"/>
      <c r="D2795" s="5" t="str">
        <f t="shared" si="270"/>
        <v/>
      </c>
      <c r="E2795" s="5" t="str">
        <f t="shared" si="271"/>
        <v/>
      </c>
      <c r="F2795" s="5" t="str">
        <f t="shared" si="272"/>
        <v/>
      </c>
      <c r="G2795" s="23"/>
      <c r="H2795" s="66"/>
      <c r="I2795" s="14"/>
      <c r="J2795" s="14"/>
      <c r="K2795" s="14"/>
      <c r="L2795" s="5" t="str">
        <f t="shared" si="267"/>
        <v/>
      </c>
      <c r="M2795" s="5" t="str">
        <f t="shared" si="268"/>
        <v/>
      </c>
      <c r="N2795" s="5" t="str">
        <f t="shared" si="269"/>
        <v/>
      </c>
      <c r="O2795" s="4"/>
    </row>
    <row r="2796" spans="1:15" x14ac:dyDescent="0.25">
      <c r="A2796" s="14"/>
      <c r="B2796" s="14"/>
      <c r="C2796" s="14"/>
      <c r="D2796" s="5" t="str">
        <f t="shared" si="270"/>
        <v/>
      </c>
      <c r="E2796" s="5" t="str">
        <f t="shared" si="271"/>
        <v/>
      </c>
      <c r="F2796" s="5" t="str">
        <f t="shared" si="272"/>
        <v/>
      </c>
      <c r="G2796" s="23"/>
      <c r="H2796" s="66"/>
      <c r="I2796" s="14"/>
      <c r="J2796" s="14"/>
      <c r="K2796" s="14"/>
      <c r="L2796" s="5" t="str">
        <f t="shared" si="267"/>
        <v/>
      </c>
      <c r="M2796" s="5" t="str">
        <f t="shared" si="268"/>
        <v/>
      </c>
      <c r="N2796" s="5" t="str">
        <f t="shared" si="269"/>
        <v/>
      </c>
      <c r="O2796" s="4"/>
    </row>
    <row r="2797" spans="1:15" x14ac:dyDescent="0.25">
      <c r="A2797" s="14"/>
      <c r="B2797" s="14"/>
      <c r="C2797" s="14"/>
      <c r="D2797" s="5" t="str">
        <f t="shared" si="270"/>
        <v/>
      </c>
      <c r="E2797" s="5" t="str">
        <f t="shared" si="271"/>
        <v/>
      </c>
      <c r="F2797" s="5" t="str">
        <f t="shared" si="272"/>
        <v/>
      </c>
      <c r="G2797" s="23"/>
      <c r="H2797" s="66"/>
      <c r="I2797" s="14"/>
      <c r="J2797" s="14"/>
      <c r="K2797" s="14"/>
      <c r="L2797" s="5" t="str">
        <f t="shared" si="267"/>
        <v/>
      </c>
      <c r="M2797" s="5" t="str">
        <f t="shared" si="268"/>
        <v/>
      </c>
      <c r="N2797" s="5" t="str">
        <f t="shared" si="269"/>
        <v/>
      </c>
      <c r="O2797" s="4"/>
    </row>
    <row r="2798" spans="1:15" x14ac:dyDescent="0.25">
      <c r="A2798" s="14"/>
      <c r="B2798" s="14"/>
      <c r="C2798" s="14"/>
      <c r="D2798" s="5" t="str">
        <f t="shared" si="270"/>
        <v/>
      </c>
      <c r="E2798" s="5" t="str">
        <f t="shared" si="271"/>
        <v/>
      </c>
      <c r="F2798" s="5" t="str">
        <f t="shared" si="272"/>
        <v/>
      </c>
      <c r="G2798" s="23"/>
      <c r="H2798" s="66"/>
      <c r="I2798" s="14"/>
      <c r="J2798" s="14"/>
      <c r="K2798" s="14"/>
      <c r="L2798" s="5" t="str">
        <f t="shared" si="267"/>
        <v/>
      </c>
      <c r="M2798" s="5" t="str">
        <f t="shared" si="268"/>
        <v/>
      </c>
      <c r="N2798" s="5" t="str">
        <f t="shared" si="269"/>
        <v/>
      </c>
      <c r="O2798" s="4"/>
    </row>
    <row r="2799" spans="1:15" x14ac:dyDescent="0.25">
      <c r="A2799" s="14"/>
      <c r="B2799" s="14"/>
      <c r="C2799" s="14"/>
      <c r="D2799" s="5" t="str">
        <f t="shared" si="270"/>
        <v/>
      </c>
      <c r="E2799" s="5" t="str">
        <f t="shared" si="271"/>
        <v/>
      </c>
      <c r="F2799" s="5" t="str">
        <f t="shared" si="272"/>
        <v/>
      </c>
      <c r="G2799" s="23"/>
      <c r="H2799" s="66"/>
      <c r="I2799" s="14"/>
      <c r="J2799" s="14"/>
      <c r="K2799" s="14"/>
      <c r="L2799" s="5" t="str">
        <f t="shared" si="267"/>
        <v/>
      </c>
      <c r="M2799" s="5" t="str">
        <f t="shared" si="268"/>
        <v/>
      </c>
      <c r="N2799" s="5" t="str">
        <f t="shared" si="269"/>
        <v/>
      </c>
      <c r="O2799" s="4"/>
    </row>
    <row r="2800" spans="1:15" x14ac:dyDescent="0.25">
      <c r="A2800" s="14"/>
      <c r="B2800" s="14"/>
      <c r="C2800" s="14"/>
      <c r="D2800" s="5" t="str">
        <f t="shared" si="270"/>
        <v/>
      </c>
      <c r="E2800" s="5" t="str">
        <f t="shared" si="271"/>
        <v/>
      </c>
      <c r="F2800" s="5" t="str">
        <f t="shared" si="272"/>
        <v/>
      </c>
      <c r="G2800" s="23"/>
      <c r="H2800" s="66"/>
      <c r="I2800" s="14"/>
      <c r="J2800" s="14"/>
      <c r="K2800" s="14"/>
      <c r="L2800" s="5" t="str">
        <f t="shared" si="267"/>
        <v/>
      </c>
      <c r="M2800" s="5" t="str">
        <f t="shared" si="268"/>
        <v/>
      </c>
      <c r="N2800" s="5" t="str">
        <f t="shared" si="269"/>
        <v/>
      </c>
      <c r="O2800" s="4"/>
    </row>
    <row r="2801" spans="1:15" x14ac:dyDescent="0.25">
      <c r="A2801" s="14"/>
      <c r="B2801" s="14"/>
      <c r="C2801" s="14"/>
      <c r="D2801" s="5" t="str">
        <f t="shared" si="270"/>
        <v/>
      </c>
      <c r="E2801" s="5" t="str">
        <f t="shared" si="271"/>
        <v/>
      </c>
      <c r="F2801" s="5" t="str">
        <f t="shared" si="272"/>
        <v/>
      </c>
      <c r="G2801" s="23"/>
      <c r="H2801" s="66"/>
      <c r="I2801" s="14"/>
      <c r="J2801" s="14"/>
      <c r="K2801" s="14"/>
      <c r="L2801" s="5" t="str">
        <f t="shared" si="267"/>
        <v/>
      </c>
      <c r="M2801" s="5" t="str">
        <f t="shared" si="268"/>
        <v/>
      </c>
      <c r="N2801" s="5" t="str">
        <f t="shared" si="269"/>
        <v/>
      </c>
      <c r="O2801" s="4"/>
    </row>
    <row r="2802" spans="1:15" x14ac:dyDescent="0.25">
      <c r="A2802" s="14"/>
      <c r="B2802" s="14"/>
      <c r="C2802" s="14"/>
      <c r="D2802" s="5" t="str">
        <f t="shared" si="270"/>
        <v/>
      </c>
      <c r="E2802" s="5" t="str">
        <f t="shared" si="271"/>
        <v/>
      </c>
      <c r="F2802" s="5" t="str">
        <f t="shared" si="272"/>
        <v/>
      </c>
      <c r="G2802" s="23"/>
      <c r="H2802" s="66"/>
      <c r="I2802" s="14"/>
      <c r="J2802" s="14"/>
      <c r="K2802" s="14"/>
      <c r="L2802" s="5" t="str">
        <f t="shared" si="267"/>
        <v/>
      </c>
      <c r="M2802" s="5" t="str">
        <f t="shared" si="268"/>
        <v/>
      </c>
      <c r="N2802" s="5" t="str">
        <f t="shared" si="269"/>
        <v/>
      </c>
      <c r="O2802" s="4"/>
    </row>
    <row r="2803" spans="1:15" x14ac:dyDescent="0.25">
      <c r="A2803" s="14"/>
      <c r="B2803" s="14"/>
      <c r="C2803" s="14"/>
      <c r="D2803" s="5" t="str">
        <f t="shared" si="270"/>
        <v/>
      </c>
      <c r="E2803" s="5" t="str">
        <f t="shared" si="271"/>
        <v/>
      </c>
      <c r="F2803" s="5" t="str">
        <f t="shared" si="272"/>
        <v/>
      </c>
      <c r="G2803" s="23"/>
      <c r="H2803" s="66"/>
      <c r="I2803" s="14"/>
      <c r="J2803" s="14"/>
      <c r="K2803" s="14"/>
      <c r="L2803" s="5" t="str">
        <f t="shared" si="267"/>
        <v/>
      </c>
      <c r="M2803" s="5" t="str">
        <f t="shared" si="268"/>
        <v/>
      </c>
      <c r="N2803" s="5" t="str">
        <f t="shared" si="269"/>
        <v/>
      </c>
      <c r="O2803" s="4"/>
    </row>
    <row r="2804" spans="1:15" x14ac:dyDescent="0.25">
      <c r="A2804" s="14"/>
      <c r="B2804" s="14"/>
      <c r="C2804" s="14"/>
      <c r="D2804" s="5" t="str">
        <f t="shared" si="270"/>
        <v/>
      </c>
      <c r="E2804" s="5" t="str">
        <f t="shared" si="271"/>
        <v/>
      </c>
      <c r="F2804" s="5" t="str">
        <f t="shared" si="272"/>
        <v/>
      </c>
      <c r="G2804" s="23"/>
      <c r="H2804" s="66"/>
      <c r="I2804" s="14"/>
      <c r="J2804" s="14"/>
      <c r="K2804" s="14"/>
      <c r="L2804" s="5" t="str">
        <f t="shared" si="267"/>
        <v/>
      </c>
      <c r="M2804" s="5" t="str">
        <f t="shared" si="268"/>
        <v/>
      </c>
      <c r="N2804" s="5" t="str">
        <f t="shared" si="269"/>
        <v/>
      </c>
      <c r="O2804" s="4"/>
    </row>
    <row r="2805" spans="1:15" x14ac:dyDescent="0.25">
      <c r="A2805" s="14"/>
      <c r="B2805" s="14"/>
      <c r="C2805" s="14"/>
      <c r="D2805" s="5" t="str">
        <f t="shared" si="270"/>
        <v/>
      </c>
      <c r="E2805" s="5" t="str">
        <f t="shared" si="271"/>
        <v/>
      </c>
      <c r="F2805" s="5" t="str">
        <f t="shared" si="272"/>
        <v/>
      </c>
      <c r="G2805" s="23"/>
      <c r="H2805" s="66"/>
      <c r="I2805" s="14"/>
      <c r="J2805" s="14"/>
      <c r="K2805" s="14"/>
      <c r="L2805" s="5" t="str">
        <f t="shared" si="267"/>
        <v/>
      </c>
      <c r="M2805" s="5" t="str">
        <f t="shared" si="268"/>
        <v/>
      </c>
      <c r="N2805" s="5" t="str">
        <f t="shared" si="269"/>
        <v/>
      </c>
      <c r="O2805" s="4"/>
    </row>
    <row r="2806" spans="1:15" x14ac:dyDescent="0.25">
      <c r="A2806" s="14"/>
      <c r="B2806" s="14"/>
      <c r="C2806" s="14"/>
      <c r="D2806" s="5" t="str">
        <f t="shared" si="270"/>
        <v/>
      </c>
      <c r="E2806" s="5" t="str">
        <f t="shared" si="271"/>
        <v/>
      </c>
      <c r="F2806" s="5" t="str">
        <f t="shared" si="272"/>
        <v/>
      </c>
      <c r="G2806" s="23"/>
      <c r="H2806" s="66"/>
      <c r="I2806" s="14"/>
      <c r="J2806" s="14"/>
      <c r="K2806" s="14"/>
      <c r="L2806" s="5" t="str">
        <f t="shared" si="267"/>
        <v/>
      </c>
      <c r="M2806" s="5" t="str">
        <f t="shared" si="268"/>
        <v/>
      </c>
      <c r="N2806" s="5" t="str">
        <f t="shared" si="269"/>
        <v/>
      </c>
      <c r="O2806" s="4"/>
    </row>
    <row r="2807" spans="1:15" x14ac:dyDescent="0.25">
      <c r="A2807" s="14"/>
      <c r="B2807" s="14"/>
      <c r="C2807" s="14"/>
      <c r="D2807" s="5" t="str">
        <f t="shared" si="270"/>
        <v/>
      </c>
      <c r="E2807" s="5" t="str">
        <f t="shared" si="271"/>
        <v/>
      </c>
      <c r="F2807" s="5" t="str">
        <f t="shared" si="272"/>
        <v/>
      </c>
      <c r="G2807" s="23"/>
      <c r="H2807" s="66"/>
      <c r="I2807" s="14"/>
      <c r="J2807" s="14"/>
      <c r="K2807" s="14"/>
      <c r="L2807" s="5" t="str">
        <f t="shared" si="267"/>
        <v/>
      </c>
      <c r="M2807" s="5" t="str">
        <f t="shared" si="268"/>
        <v/>
      </c>
      <c r="N2807" s="5" t="str">
        <f t="shared" si="269"/>
        <v/>
      </c>
      <c r="O2807" s="4"/>
    </row>
    <row r="2808" spans="1:15" x14ac:dyDescent="0.25">
      <c r="A2808" s="14"/>
      <c r="B2808" s="14"/>
      <c r="C2808" s="14"/>
      <c r="D2808" s="5" t="str">
        <f t="shared" si="270"/>
        <v/>
      </c>
      <c r="E2808" s="5" t="str">
        <f t="shared" si="271"/>
        <v/>
      </c>
      <c r="F2808" s="5" t="str">
        <f t="shared" si="272"/>
        <v/>
      </c>
      <c r="G2808" s="23"/>
      <c r="H2808" s="66"/>
      <c r="I2808" s="14"/>
      <c r="J2808" s="14"/>
      <c r="K2808" s="14"/>
      <c r="L2808" s="5" t="str">
        <f t="shared" si="267"/>
        <v/>
      </c>
      <c r="M2808" s="5" t="str">
        <f t="shared" si="268"/>
        <v/>
      </c>
      <c r="N2808" s="5" t="str">
        <f t="shared" si="269"/>
        <v/>
      </c>
      <c r="O2808" s="4"/>
    </row>
    <row r="2809" spans="1:15" x14ac:dyDescent="0.25">
      <c r="A2809" s="14"/>
      <c r="B2809" s="14"/>
      <c r="C2809" s="14"/>
      <c r="D2809" s="5" t="str">
        <f t="shared" si="270"/>
        <v/>
      </c>
      <c r="E2809" s="5" t="str">
        <f t="shared" si="271"/>
        <v/>
      </c>
      <c r="F2809" s="5" t="str">
        <f t="shared" si="272"/>
        <v/>
      </c>
      <c r="G2809" s="23"/>
      <c r="H2809" s="66"/>
      <c r="I2809" s="14"/>
      <c r="J2809" s="14"/>
      <c r="K2809" s="14"/>
      <c r="L2809" s="5" t="str">
        <f t="shared" si="267"/>
        <v/>
      </c>
      <c r="M2809" s="5" t="str">
        <f t="shared" si="268"/>
        <v/>
      </c>
      <c r="N2809" s="5" t="str">
        <f t="shared" si="269"/>
        <v/>
      </c>
      <c r="O2809" s="4"/>
    </row>
    <row r="2810" spans="1:15" x14ac:dyDescent="0.25">
      <c r="A2810" s="14"/>
      <c r="B2810" s="14"/>
      <c r="C2810" s="14"/>
      <c r="D2810" s="5" t="str">
        <f t="shared" si="270"/>
        <v/>
      </c>
      <c r="E2810" s="5" t="str">
        <f t="shared" si="271"/>
        <v/>
      </c>
      <c r="F2810" s="5" t="str">
        <f t="shared" si="272"/>
        <v/>
      </c>
      <c r="G2810" s="23"/>
      <c r="H2810" s="66"/>
      <c r="I2810" s="14"/>
      <c r="J2810" s="14"/>
      <c r="K2810" s="14"/>
      <c r="L2810" s="5" t="str">
        <f t="shared" si="267"/>
        <v/>
      </c>
      <c r="M2810" s="5" t="str">
        <f t="shared" si="268"/>
        <v/>
      </c>
      <c r="N2810" s="5" t="str">
        <f t="shared" si="269"/>
        <v/>
      </c>
      <c r="O2810" s="4"/>
    </row>
    <row r="2811" spans="1:15" x14ac:dyDescent="0.25">
      <c r="A2811" s="14"/>
      <c r="B2811" s="14"/>
      <c r="C2811" s="14"/>
      <c r="D2811" s="5" t="str">
        <f t="shared" si="270"/>
        <v/>
      </c>
      <c r="E2811" s="5" t="str">
        <f t="shared" si="271"/>
        <v/>
      </c>
      <c r="F2811" s="5" t="str">
        <f t="shared" si="272"/>
        <v/>
      </c>
      <c r="G2811" s="23"/>
      <c r="H2811" s="66"/>
      <c r="I2811" s="14"/>
      <c r="J2811" s="14"/>
      <c r="K2811" s="14"/>
      <c r="L2811" s="5" t="str">
        <f t="shared" si="267"/>
        <v/>
      </c>
      <c r="M2811" s="5" t="str">
        <f t="shared" si="268"/>
        <v/>
      </c>
      <c r="N2811" s="5" t="str">
        <f t="shared" si="269"/>
        <v/>
      </c>
      <c r="O2811" s="4"/>
    </row>
    <row r="2812" spans="1:15" x14ac:dyDescent="0.25">
      <c r="A2812" s="14"/>
      <c r="B2812" s="14"/>
      <c r="C2812" s="14"/>
      <c r="D2812" s="5" t="str">
        <f t="shared" si="270"/>
        <v/>
      </c>
      <c r="E2812" s="5" t="str">
        <f t="shared" si="271"/>
        <v/>
      </c>
      <c r="F2812" s="5" t="str">
        <f t="shared" si="272"/>
        <v/>
      </c>
      <c r="G2812" s="23"/>
      <c r="H2812" s="66"/>
      <c r="I2812" s="14"/>
      <c r="J2812" s="14"/>
      <c r="K2812" s="14"/>
      <c r="L2812" s="5" t="str">
        <f t="shared" si="267"/>
        <v/>
      </c>
      <c r="M2812" s="5" t="str">
        <f t="shared" si="268"/>
        <v/>
      </c>
      <c r="N2812" s="5" t="str">
        <f t="shared" si="269"/>
        <v/>
      </c>
      <c r="O2812" s="4"/>
    </row>
    <row r="2813" spans="1:15" x14ac:dyDescent="0.25">
      <c r="A2813" s="14"/>
      <c r="B2813" s="14"/>
      <c r="C2813" s="14"/>
      <c r="D2813" s="5" t="str">
        <f t="shared" si="270"/>
        <v/>
      </c>
      <c r="E2813" s="5" t="str">
        <f t="shared" si="271"/>
        <v/>
      </c>
      <c r="F2813" s="5" t="str">
        <f t="shared" si="272"/>
        <v/>
      </c>
      <c r="G2813" s="23"/>
      <c r="H2813" s="66"/>
      <c r="I2813" s="14"/>
      <c r="J2813" s="14"/>
      <c r="K2813" s="14"/>
      <c r="L2813" s="5" t="str">
        <f t="shared" si="267"/>
        <v/>
      </c>
      <c r="M2813" s="5" t="str">
        <f t="shared" si="268"/>
        <v/>
      </c>
      <c r="N2813" s="5" t="str">
        <f t="shared" si="269"/>
        <v/>
      </c>
      <c r="O2813" s="4"/>
    </row>
    <row r="2814" spans="1:15" x14ac:dyDescent="0.25">
      <c r="A2814" s="14"/>
      <c r="B2814" s="14"/>
      <c r="C2814" s="14"/>
      <c r="D2814" s="5" t="str">
        <f t="shared" si="270"/>
        <v/>
      </c>
      <c r="E2814" s="5" t="str">
        <f t="shared" si="271"/>
        <v/>
      </c>
      <c r="F2814" s="5" t="str">
        <f t="shared" si="272"/>
        <v/>
      </c>
      <c r="G2814" s="23"/>
      <c r="H2814" s="66"/>
      <c r="I2814" s="14"/>
      <c r="J2814" s="14"/>
      <c r="K2814" s="14"/>
      <c r="L2814" s="5" t="str">
        <f t="shared" si="267"/>
        <v/>
      </c>
      <c r="M2814" s="5" t="str">
        <f t="shared" si="268"/>
        <v/>
      </c>
      <c r="N2814" s="5" t="str">
        <f t="shared" si="269"/>
        <v/>
      </c>
      <c r="O2814" s="4"/>
    </row>
    <row r="2815" spans="1:15" x14ac:dyDescent="0.25">
      <c r="A2815" s="14"/>
      <c r="B2815" s="14"/>
      <c r="C2815" s="14"/>
      <c r="D2815" s="5" t="str">
        <f t="shared" si="270"/>
        <v/>
      </c>
      <c r="E2815" s="5" t="str">
        <f t="shared" si="271"/>
        <v/>
      </c>
      <c r="F2815" s="5" t="str">
        <f t="shared" si="272"/>
        <v/>
      </c>
      <c r="G2815" s="23"/>
      <c r="H2815" s="66"/>
      <c r="I2815" s="14"/>
      <c r="J2815" s="14"/>
      <c r="K2815" s="14"/>
      <c r="L2815" s="5" t="str">
        <f t="shared" si="267"/>
        <v/>
      </c>
      <c r="M2815" s="5" t="str">
        <f t="shared" si="268"/>
        <v/>
      </c>
      <c r="N2815" s="5" t="str">
        <f t="shared" si="269"/>
        <v/>
      </c>
      <c r="O2815" s="4"/>
    </row>
    <row r="2816" spans="1:15" x14ac:dyDescent="0.25">
      <c r="A2816" s="14"/>
      <c r="B2816" s="14"/>
      <c r="C2816" s="14"/>
      <c r="D2816" s="5" t="str">
        <f t="shared" si="270"/>
        <v/>
      </c>
      <c r="E2816" s="5" t="str">
        <f t="shared" si="271"/>
        <v/>
      </c>
      <c r="F2816" s="5" t="str">
        <f t="shared" si="272"/>
        <v/>
      </c>
      <c r="G2816" s="23"/>
      <c r="H2816" s="66"/>
      <c r="I2816" s="14"/>
      <c r="J2816" s="14"/>
      <c r="K2816" s="14"/>
      <c r="L2816" s="5" t="str">
        <f t="shared" si="267"/>
        <v/>
      </c>
      <c r="M2816" s="5" t="str">
        <f t="shared" si="268"/>
        <v/>
      </c>
      <c r="N2816" s="5" t="str">
        <f t="shared" si="269"/>
        <v/>
      </c>
      <c r="O2816" s="4"/>
    </row>
    <row r="2817" spans="1:15" x14ac:dyDescent="0.25">
      <c r="A2817" s="14"/>
      <c r="B2817" s="14"/>
      <c r="C2817" s="14"/>
      <c r="D2817" s="5" t="str">
        <f t="shared" si="270"/>
        <v/>
      </c>
      <c r="E2817" s="5" t="str">
        <f t="shared" si="271"/>
        <v/>
      </c>
      <c r="F2817" s="5" t="str">
        <f t="shared" si="272"/>
        <v/>
      </c>
      <c r="G2817" s="23"/>
      <c r="H2817" s="66"/>
      <c r="I2817" s="14"/>
      <c r="J2817" s="14"/>
      <c r="K2817" s="14"/>
      <c r="L2817" s="5" t="str">
        <f t="shared" si="267"/>
        <v/>
      </c>
      <c r="M2817" s="5" t="str">
        <f t="shared" si="268"/>
        <v/>
      </c>
      <c r="N2817" s="5" t="str">
        <f t="shared" si="269"/>
        <v/>
      </c>
      <c r="O2817" s="4"/>
    </row>
    <row r="2818" spans="1:15" x14ac:dyDescent="0.25">
      <c r="A2818" s="14"/>
      <c r="B2818" s="14"/>
      <c r="C2818" s="14"/>
      <c r="D2818" s="5" t="str">
        <f t="shared" si="270"/>
        <v/>
      </c>
      <c r="E2818" s="5" t="str">
        <f t="shared" si="271"/>
        <v/>
      </c>
      <c r="F2818" s="5" t="str">
        <f t="shared" si="272"/>
        <v/>
      </c>
      <c r="G2818" s="23"/>
      <c r="H2818" s="66"/>
      <c r="I2818" s="14"/>
      <c r="J2818" s="14"/>
      <c r="K2818" s="14"/>
      <c r="L2818" s="5" t="str">
        <f t="shared" si="267"/>
        <v/>
      </c>
      <c r="M2818" s="5" t="str">
        <f t="shared" si="268"/>
        <v/>
      </c>
      <c r="N2818" s="5" t="str">
        <f t="shared" si="269"/>
        <v/>
      </c>
      <c r="O2818" s="4"/>
    </row>
    <row r="2819" spans="1:15" x14ac:dyDescent="0.25">
      <c r="A2819" s="14"/>
      <c r="B2819" s="14"/>
      <c r="C2819" s="14"/>
      <c r="D2819" s="5" t="str">
        <f t="shared" si="270"/>
        <v/>
      </c>
      <c r="E2819" s="5" t="str">
        <f t="shared" si="271"/>
        <v/>
      </c>
      <c r="F2819" s="5" t="str">
        <f t="shared" si="272"/>
        <v/>
      </c>
      <c r="G2819" s="23"/>
      <c r="H2819" s="66"/>
      <c r="I2819" s="14"/>
      <c r="J2819" s="14"/>
      <c r="K2819" s="14"/>
      <c r="L2819" s="5" t="str">
        <f t="shared" si="267"/>
        <v/>
      </c>
      <c r="M2819" s="5" t="str">
        <f t="shared" si="268"/>
        <v/>
      </c>
      <c r="N2819" s="5" t="str">
        <f t="shared" si="269"/>
        <v/>
      </c>
      <c r="O2819" s="4"/>
    </row>
    <row r="2820" spans="1:15" x14ac:dyDescent="0.25">
      <c r="A2820" s="14"/>
      <c r="B2820" s="14"/>
      <c r="C2820" s="14"/>
      <c r="D2820" s="5" t="str">
        <f t="shared" si="270"/>
        <v/>
      </c>
      <c r="E2820" s="5" t="str">
        <f t="shared" si="271"/>
        <v/>
      </c>
      <c r="F2820" s="5" t="str">
        <f t="shared" si="272"/>
        <v/>
      </c>
      <c r="G2820" s="23"/>
      <c r="H2820" s="66"/>
      <c r="I2820" s="14"/>
      <c r="J2820" s="14"/>
      <c r="K2820" s="14"/>
      <c r="L2820" s="5" t="str">
        <f t="shared" si="267"/>
        <v/>
      </c>
      <c r="M2820" s="5" t="str">
        <f t="shared" si="268"/>
        <v/>
      </c>
      <c r="N2820" s="5" t="str">
        <f t="shared" si="269"/>
        <v/>
      </c>
      <c r="O2820" s="4"/>
    </row>
    <row r="2821" spans="1:15" x14ac:dyDescent="0.25">
      <c r="A2821" s="14"/>
      <c r="B2821" s="14"/>
      <c r="C2821" s="14"/>
      <c r="D2821" s="5" t="str">
        <f t="shared" si="270"/>
        <v/>
      </c>
      <c r="E2821" s="5" t="str">
        <f t="shared" si="271"/>
        <v/>
      </c>
      <c r="F2821" s="5" t="str">
        <f t="shared" si="272"/>
        <v/>
      </c>
      <c r="G2821" s="23"/>
      <c r="H2821" s="66"/>
      <c r="I2821" s="14"/>
      <c r="J2821" s="14"/>
      <c r="K2821" s="14"/>
      <c r="L2821" s="5" t="str">
        <f t="shared" si="267"/>
        <v/>
      </c>
      <c r="M2821" s="5" t="str">
        <f t="shared" si="268"/>
        <v/>
      </c>
      <c r="N2821" s="5" t="str">
        <f t="shared" si="269"/>
        <v/>
      </c>
      <c r="O2821" s="4"/>
    </row>
    <row r="2822" spans="1:15" x14ac:dyDescent="0.25">
      <c r="A2822" s="14"/>
      <c r="B2822" s="14"/>
      <c r="C2822" s="14"/>
      <c r="D2822" s="5" t="str">
        <f t="shared" si="270"/>
        <v/>
      </c>
      <c r="E2822" s="5" t="str">
        <f t="shared" si="271"/>
        <v/>
      </c>
      <c r="F2822" s="5" t="str">
        <f t="shared" si="272"/>
        <v/>
      </c>
      <c r="G2822" s="23"/>
      <c r="H2822" s="66"/>
      <c r="I2822" s="14"/>
      <c r="J2822" s="14"/>
      <c r="K2822" s="14"/>
      <c r="L2822" s="5" t="str">
        <f t="shared" si="267"/>
        <v/>
      </c>
      <c r="M2822" s="5" t="str">
        <f t="shared" si="268"/>
        <v/>
      </c>
      <c r="N2822" s="5" t="str">
        <f t="shared" si="269"/>
        <v/>
      </c>
      <c r="O2822" s="4"/>
    </row>
    <row r="2823" spans="1:15" x14ac:dyDescent="0.25">
      <c r="A2823" s="14"/>
      <c r="B2823" s="14"/>
      <c r="C2823" s="14"/>
      <c r="D2823" s="5" t="str">
        <f t="shared" si="270"/>
        <v/>
      </c>
      <c r="E2823" s="5" t="str">
        <f t="shared" si="271"/>
        <v/>
      </c>
      <c r="F2823" s="5" t="str">
        <f t="shared" si="272"/>
        <v/>
      </c>
      <c r="G2823" s="23"/>
      <c r="H2823" s="66"/>
      <c r="I2823" s="14"/>
      <c r="J2823" s="14"/>
      <c r="K2823" s="14"/>
      <c r="L2823" s="5" t="str">
        <f t="shared" si="267"/>
        <v/>
      </c>
      <c r="M2823" s="5" t="str">
        <f t="shared" si="268"/>
        <v/>
      </c>
      <c r="N2823" s="5" t="str">
        <f t="shared" si="269"/>
        <v/>
      </c>
      <c r="O2823" s="4"/>
    </row>
    <row r="2824" spans="1:15" x14ac:dyDescent="0.25">
      <c r="A2824" s="14"/>
      <c r="B2824" s="14"/>
      <c r="C2824" s="14"/>
      <c r="D2824" s="5" t="str">
        <f t="shared" si="270"/>
        <v/>
      </c>
      <c r="E2824" s="5" t="str">
        <f t="shared" si="271"/>
        <v/>
      </c>
      <c r="F2824" s="5" t="str">
        <f t="shared" si="272"/>
        <v/>
      </c>
      <c r="G2824" s="23"/>
      <c r="H2824" s="66"/>
      <c r="I2824" s="14"/>
      <c r="J2824" s="14"/>
      <c r="K2824" s="14"/>
      <c r="L2824" s="5" t="str">
        <f t="shared" si="267"/>
        <v/>
      </c>
      <c r="M2824" s="5" t="str">
        <f t="shared" si="268"/>
        <v/>
      </c>
      <c r="N2824" s="5" t="str">
        <f t="shared" si="269"/>
        <v/>
      </c>
      <c r="O2824" s="4"/>
    </row>
    <row r="2825" spans="1:15" x14ac:dyDescent="0.25">
      <c r="A2825" s="14"/>
      <c r="B2825" s="14"/>
      <c r="C2825" s="14"/>
      <c r="D2825" s="5" t="str">
        <f t="shared" si="270"/>
        <v/>
      </c>
      <c r="E2825" s="5" t="str">
        <f t="shared" si="271"/>
        <v/>
      </c>
      <c r="F2825" s="5" t="str">
        <f t="shared" si="272"/>
        <v/>
      </c>
      <c r="G2825" s="23"/>
      <c r="H2825" s="66"/>
      <c r="I2825" s="14"/>
      <c r="J2825" s="14"/>
      <c r="K2825" s="14"/>
      <c r="L2825" s="5" t="str">
        <f t="shared" si="267"/>
        <v/>
      </c>
      <c r="M2825" s="5" t="str">
        <f t="shared" si="268"/>
        <v/>
      </c>
      <c r="N2825" s="5" t="str">
        <f t="shared" si="269"/>
        <v/>
      </c>
      <c r="O2825" s="4"/>
    </row>
    <row r="2826" spans="1:15" x14ac:dyDescent="0.25">
      <c r="A2826" s="14"/>
      <c r="B2826" s="14"/>
      <c r="C2826" s="14"/>
      <c r="D2826" s="5" t="str">
        <f t="shared" si="270"/>
        <v/>
      </c>
      <c r="E2826" s="5" t="str">
        <f t="shared" si="271"/>
        <v/>
      </c>
      <c r="F2826" s="5" t="str">
        <f t="shared" si="272"/>
        <v/>
      </c>
      <c r="G2826" s="23"/>
      <c r="H2826" s="66"/>
      <c r="I2826" s="14"/>
      <c r="J2826" s="14"/>
      <c r="K2826" s="14"/>
      <c r="L2826" s="5" t="str">
        <f t="shared" si="267"/>
        <v/>
      </c>
      <c r="M2826" s="5" t="str">
        <f t="shared" si="268"/>
        <v/>
      </c>
      <c r="N2826" s="5" t="str">
        <f t="shared" si="269"/>
        <v/>
      </c>
      <c r="O2826" s="4"/>
    </row>
    <row r="2827" spans="1:15" x14ac:dyDescent="0.25">
      <c r="A2827" s="14"/>
      <c r="B2827" s="14"/>
      <c r="C2827" s="14"/>
      <c r="D2827" s="5" t="str">
        <f t="shared" si="270"/>
        <v/>
      </c>
      <c r="E2827" s="5" t="str">
        <f t="shared" si="271"/>
        <v/>
      </c>
      <c r="F2827" s="5" t="str">
        <f t="shared" si="272"/>
        <v/>
      </c>
      <c r="G2827" s="23"/>
      <c r="H2827" s="66"/>
      <c r="I2827" s="14"/>
      <c r="J2827" s="14"/>
      <c r="K2827" s="14"/>
      <c r="L2827" s="5" t="str">
        <f t="shared" si="267"/>
        <v/>
      </c>
      <c r="M2827" s="5" t="str">
        <f t="shared" si="268"/>
        <v/>
      </c>
      <c r="N2827" s="5" t="str">
        <f t="shared" si="269"/>
        <v/>
      </c>
      <c r="O2827" s="4"/>
    </row>
    <row r="2828" spans="1:15" x14ac:dyDescent="0.25">
      <c r="A2828" s="14"/>
      <c r="B2828" s="14"/>
      <c r="C2828" s="14"/>
      <c r="D2828" s="5" t="str">
        <f t="shared" si="270"/>
        <v/>
      </c>
      <c r="E2828" s="5" t="str">
        <f t="shared" si="271"/>
        <v/>
      </c>
      <c r="F2828" s="5" t="str">
        <f t="shared" si="272"/>
        <v/>
      </c>
      <c r="G2828" s="23"/>
      <c r="H2828" s="66"/>
      <c r="I2828" s="14"/>
      <c r="J2828" s="14"/>
      <c r="K2828" s="14"/>
      <c r="L2828" s="5" t="str">
        <f t="shared" si="267"/>
        <v/>
      </c>
      <c r="M2828" s="5" t="str">
        <f t="shared" si="268"/>
        <v/>
      </c>
      <c r="N2828" s="5" t="str">
        <f t="shared" si="269"/>
        <v/>
      </c>
      <c r="O2828" s="4"/>
    </row>
    <row r="2829" spans="1:15" x14ac:dyDescent="0.25">
      <c r="A2829" s="14"/>
      <c r="B2829" s="14"/>
      <c r="C2829" s="14"/>
      <c r="D2829" s="5" t="str">
        <f t="shared" si="270"/>
        <v/>
      </c>
      <c r="E2829" s="5" t="str">
        <f t="shared" si="271"/>
        <v/>
      </c>
      <c r="F2829" s="5" t="str">
        <f t="shared" si="272"/>
        <v/>
      </c>
      <c r="G2829" s="23"/>
      <c r="H2829" s="66"/>
      <c r="I2829" s="14"/>
      <c r="J2829" s="14"/>
      <c r="K2829" s="14"/>
      <c r="L2829" s="5" t="str">
        <f t="shared" si="267"/>
        <v/>
      </c>
      <c r="M2829" s="5" t="str">
        <f t="shared" si="268"/>
        <v/>
      </c>
      <c r="N2829" s="5" t="str">
        <f t="shared" si="269"/>
        <v/>
      </c>
      <c r="O2829" s="4"/>
    </row>
    <row r="2830" spans="1:15" x14ac:dyDescent="0.25">
      <c r="A2830" s="14"/>
      <c r="B2830" s="14"/>
      <c r="C2830" s="14"/>
      <c r="D2830" s="5" t="str">
        <f t="shared" si="270"/>
        <v/>
      </c>
      <c r="E2830" s="5" t="str">
        <f t="shared" si="271"/>
        <v/>
      </c>
      <c r="F2830" s="5" t="str">
        <f t="shared" si="272"/>
        <v/>
      </c>
      <c r="G2830" s="23"/>
      <c r="H2830" s="66"/>
      <c r="I2830" s="14"/>
      <c r="J2830" s="14"/>
      <c r="K2830" s="14"/>
      <c r="L2830" s="5" t="str">
        <f t="shared" si="267"/>
        <v/>
      </c>
      <c r="M2830" s="5" t="str">
        <f t="shared" si="268"/>
        <v/>
      </c>
      <c r="N2830" s="5" t="str">
        <f t="shared" si="269"/>
        <v/>
      </c>
      <c r="O2830" s="4"/>
    </row>
    <row r="2831" spans="1:15" x14ac:dyDescent="0.25">
      <c r="A2831" s="14"/>
      <c r="B2831" s="14"/>
      <c r="C2831" s="14"/>
      <c r="D2831" s="5" t="str">
        <f t="shared" si="270"/>
        <v/>
      </c>
      <c r="E2831" s="5" t="str">
        <f t="shared" si="271"/>
        <v/>
      </c>
      <c r="F2831" s="5" t="str">
        <f t="shared" si="272"/>
        <v/>
      </c>
      <c r="G2831" s="23"/>
      <c r="H2831" s="66"/>
      <c r="I2831" s="14"/>
      <c r="J2831" s="14"/>
      <c r="K2831" s="14"/>
      <c r="L2831" s="5" t="str">
        <f t="shared" si="267"/>
        <v/>
      </c>
      <c r="M2831" s="5" t="str">
        <f t="shared" si="268"/>
        <v/>
      </c>
      <c r="N2831" s="5" t="str">
        <f t="shared" si="269"/>
        <v/>
      </c>
      <c r="O2831" s="4"/>
    </row>
    <row r="2832" spans="1:15" x14ac:dyDescent="0.25">
      <c r="A2832" s="14"/>
      <c r="B2832" s="14"/>
      <c r="C2832" s="14"/>
      <c r="D2832" s="5" t="str">
        <f t="shared" si="270"/>
        <v/>
      </c>
      <c r="E2832" s="5" t="str">
        <f t="shared" si="271"/>
        <v/>
      </c>
      <c r="F2832" s="5" t="str">
        <f t="shared" si="272"/>
        <v/>
      </c>
      <c r="G2832" s="23"/>
      <c r="H2832" s="66"/>
      <c r="I2832" s="14"/>
      <c r="J2832" s="14"/>
      <c r="K2832" s="14"/>
      <c r="L2832" s="5" t="str">
        <f t="shared" si="267"/>
        <v/>
      </c>
      <c r="M2832" s="5" t="str">
        <f t="shared" si="268"/>
        <v/>
      </c>
      <c r="N2832" s="5" t="str">
        <f t="shared" si="269"/>
        <v/>
      </c>
      <c r="O2832" s="4"/>
    </row>
    <row r="2833" spans="1:15" x14ac:dyDescent="0.25">
      <c r="A2833" s="14"/>
      <c r="B2833" s="14"/>
      <c r="C2833" s="14"/>
      <c r="D2833" s="5" t="str">
        <f t="shared" si="270"/>
        <v/>
      </c>
      <c r="E2833" s="5" t="str">
        <f t="shared" si="271"/>
        <v/>
      </c>
      <c r="F2833" s="5" t="str">
        <f t="shared" si="272"/>
        <v/>
      </c>
      <c r="G2833" s="23"/>
      <c r="H2833" s="66"/>
      <c r="I2833" s="14"/>
      <c r="J2833" s="14"/>
      <c r="K2833" s="14"/>
      <c r="L2833" s="5" t="str">
        <f t="shared" ref="L2833:L2896" si="273">IFERROR(IF(I2833&lt;&gt;"",(((J2833-J2832)*$X$4/(I2833-I2832)))*$X$5,""),"")</f>
        <v/>
      </c>
      <c r="M2833" s="5" t="str">
        <f t="shared" ref="M2833:M2896" si="274">IFERROR(IF(I2833&lt;&gt;"",(((K2833-K2832)*$X$4/(I2833-I2832)))*$X$5,""),"")</f>
        <v/>
      </c>
      <c r="N2833" s="5" t="str">
        <f t="shared" ref="N2833:N2896" si="275">IFERROR(IF(I2833&lt;&gt;"",((ACOS((COS(RADIANS(J2832))*COS(RADIANS(J2833)))+(SIN(RADIANS(J2832))*SIN(RADIANS(J2833)))*COS(RADIANS(K2833-K2832)))*180/PI()*($X$4/(I2833-I2832))))*$X$5,""),"")</f>
        <v/>
      </c>
      <c r="O2833" s="4"/>
    </row>
    <row r="2834" spans="1:15" x14ac:dyDescent="0.25">
      <c r="A2834" s="14"/>
      <c r="B2834" s="14"/>
      <c r="C2834" s="14"/>
      <c r="D2834" s="5" t="str">
        <f t="shared" si="270"/>
        <v/>
      </c>
      <c r="E2834" s="5" t="str">
        <f t="shared" si="271"/>
        <v/>
      </c>
      <c r="F2834" s="5" t="str">
        <f t="shared" si="272"/>
        <v/>
      </c>
      <c r="G2834" s="23"/>
      <c r="H2834" s="66"/>
      <c r="I2834" s="14"/>
      <c r="J2834" s="14"/>
      <c r="K2834" s="14"/>
      <c r="L2834" s="5" t="str">
        <f t="shared" si="273"/>
        <v/>
      </c>
      <c r="M2834" s="5" t="str">
        <f t="shared" si="274"/>
        <v/>
      </c>
      <c r="N2834" s="5" t="str">
        <f t="shared" si="275"/>
        <v/>
      </c>
      <c r="O2834" s="4"/>
    </row>
    <row r="2835" spans="1:15" x14ac:dyDescent="0.25">
      <c r="A2835" s="14"/>
      <c r="B2835" s="14"/>
      <c r="C2835" s="14"/>
      <c r="D2835" s="5" t="str">
        <f t="shared" si="270"/>
        <v/>
      </c>
      <c r="E2835" s="5" t="str">
        <f t="shared" si="271"/>
        <v/>
      </c>
      <c r="F2835" s="5" t="str">
        <f t="shared" si="272"/>
        <v/>
      </c>
      <c r="G2835" s="23"/>
      <c r="H2835" s="66"/>
      <c r="I2835" s="14"/>
      <c r="J2835" s="14"/>
      <c r="K2835" s="14"/>
      <c r="L2835" s="5" t="str">
        <f t="shared" si="273"/>
        <v/>
      </c>
      <c r="M2835" s="5" t="str">
        <f t="shared" si="274"/>
        <v/>
      </c>
      <c r="N2835" s="5" t="str">
        <f t="shared" si="275"/>
        <v/>
      </c>
      <c r="O2835" s="4"/>
    </row>
    <row r="2836" spans="1:15" x14ac:dyDescent="0.25">
      <c r="A2836" s="14"/>
      <c r="B2836" s="14"/>
      <c r="C2836" s="14"/>
      <c r="D2836" s="5" t="str">
        <f t="shared" si="270"/>
        <v/>
      </c>
      <c r="E2836" s="5" t="str">
        <f t="shared" si="271"/>
        <v/>
      </c>
      <c r="F2836" s="5" t="str">
        <f t="shared" si="272"/>
        <v/>
      </c>
      <c r="G2836" s="23"/>
      <c r="H2836" s="66"/>
      <c r="I2836" s="14"/>
      <c r="J2836" s="14"/>
      <c r="K2836" s="14"/>
      <c r="L2836" s="5" t="str">
        <f t="shared" si="273"/>
        <v/>
      </c>
      <c r="M2836" s="5" t="str">
        <f t="shared" si="274"/>
        <v/>
      </c>
      <c r="N2836" s="5" t="str">
        <f t="shared" si="275"/>
        <v/>
      </c>
      <c r="O2836" s="4"/>
    </row>
    <row r="2837" spans="1:15" x14ac:dyDescent="0.25">
      <c r="A2837" s="14"/>
      <c r="B2837" s="14"/>
      <c r="C2837" s="14"/>
      <c r="D2837" s="5" t="str">
        <f t="shared" si="270"/>
        <v/>
      </c>
      <c r="E2837" s="5" t="str">
        <f t="shared" si="271"/>
        <v/>
      </c>
      <c r="F2837" s="5" t="str">
        <f t="shared" si="272"/>
        <v/>
      </c>
      <c r="G2837" s="23"/>
      <c r="H2837" s="66"/>
      <c r="I2837" s="14"/>
      <c r="J2837" s="14"/>
      <c r="K2837" s="14"/>
      <c r="L2837" s="5" t="str">
        <f t="shared" si="273"/>
        <v/>
      </c>
      <c r="M2837" s="5" t="str">
        <f t="shared" si="274"/>
        <v/>
      </c>
      <c r="N2837" s="5" t="str">
        <f t="shared" si="275"/>
        <v/>
      </c>
      <c r="O2837" s="4"/>
    </row>
    <row r="2838" spans="1:15" x14ac:dyDescent="0.25">
      <c r="A2838" s="14"/>
      <c r="B2838" s="14"/>
      <c r="C2838" s="14"/>
      <c r="D2838" s="5" t="str">
        <f t="shared" si="270"/>
        <v/>
      </c>
      <c r="E2838" s="5" t="str">
        <f t="shared" si="271"/>
        <v/>
      </c>
      <c r="F2838" s="5" t="str">
        <f t="shared" si="272"/>
        <v/>
      </c>
      <c r="G2838" s="23"/>
      <c r="H2838" s="66"/>
      <c r="I2838" s="14"/>
      <c r="J2838" s="14"/>
      <c r="K2838" s="14"/>
      <c r="L2838" s="5" t="str">
        <f t="shared" si="273"/>
        <v/>
      </c>
      <c r="M2838" s="5" t="str">
        <f t="shared" si="274"/>
        <v/>
      </c>
      <c r="N2838" s="5" t="str">
        <f t="shared" si="275"/>
        <v/>
      </c>
      <c r="O2838" s="4"/>
    </row>
    <row r="2839" spans="1:15" x14ac:dyDescent="0.25">
      <c r="A2839" s="14"/>
      <c r="B2839" s="14"/>
      <c r="C2839" s="14"/>
      <c r="D2839" s="5" t="str">
        <f t="shared" si="270"/>
        <v/>
      </c>
      <c r="E2839" s="5" t="str">
        <f t="shared" si="271"/>
        <v/>
      </c>
      <c r="F2839" s="5" t="str">
        <f t="shared" si="272"/>
        <v/>
      </c>
      <c r="G2839" s="23"/>
      <c r="H2839" s="66"/>
      <c r="I2839" s="14"/>
      <c r="J2839" s="14"/>
      <c r="K2839" s="14"/>
      <c r="L2839" s="5" t="str">
        <f t="shared" si="273"/>
        <v/>
      </c>
      <c r="M2839" s="5" t="str">
        <f t="shared" si="274"/>
        <v/>
      </c>
      <c r="N2839" s="5" t="str">
        <f t="shared" si="275"/>
        <v/>
      </c>
      <c r="O2839" s="4"/>
    </row>
    <row r="2840" spans="1:15" x14ac:dyDescent="0.25">
      <c r="A2840" s="14"/>
      <c r="B2840" s="14"/>
      <c r="C2840" s="14"/>
      <c r="D2840" s="5" t="str">
        <f t="shared" si="270"/>
        <v/>
      </c>
      <c r="E2840" s="5" t="str">
        <f t="shared" si="271"/>
        <v/>
      </c>
      <c r="F2840" s="5" t="str">
        <f t="shared" si="272"/>
        <v/>
      </c>
      <c r="G2840" s="23"/>
      <c r="H2840" s="66"/>
      <c r="I2840" s="14"/>
      <c r="J2840" s="14"/>
      <c r="K2840" s="14"/>
      <c r="L2840" s="5" t="str">
        <f t="shared" si="273"/>
        <v/>
      </c>
      <c r="M2840" s="5" t="str">
        <f t="shared" si="274"/>
        <v/>
      </c>
      <c r="N2840" s="5" t="str">
        <f t="shared" si="275"/>
        <v/>
      </c>
      <c r="O2840" s="4"/>
    </row>
    <row r="2841" spans="1:15" x14ac:dyDescent="0.25">
      <c r="A2841" s="14"/>
      <c r="B2841" s="14"/>
      <c r="C2841" s="14"/>
      <c r="D2841" s="5" t="str">
        <f t="shared" ref="D2841:D2904" si="276">IFERROR( IF(A2841&lt;&gt;"",((B2841-B2840)*$X$4/(A2841-A2840))*$X$5,""),"")</f>
        <v/>
      </c>
      <c r="E2841" s="5" t="str">
        <f t="shared" ref="E2841:E2904" si="277">IFERROR(IF(A2841&lt;&gt;"",((C2841-C2840)*$X$4/(A2841-A2840))*$X$5,""),"")</f>
        <v/>
      </c>
      <c r="F2841" s="5" t="str">
        <f t="shared" ref="F2841:F2904" si="278">IFERROR(IF(A2841&lt;&gt;"",((ACOS((COS(RADIANS(B2840))*COS(RADIANS(B2841)))+(SIN(RADIANS(B2840))*SIN(RADIANS(B2841)))*COS(RADIANS(C2841-C2840)))*180/PI()*($X$4/(A2841-A2840))))*$X$5,""),"")</f>
        <v/>
      </c>
      <c r="G2841" s="23"/>
      <c r="H2841" s="66"/>
      <c r="I2841" s="14"/>
      <c r="J2841" s="14"/>
      <c r="K2841" s="14"/>
      <c r="L2841" s="5" t="str">
        <f t="shared" si="273"/>
        <v/>
      </c>
      <c r="M2841" s="5" t="str">
        <f t="shared" si="274"/>
        <v/>
      </c>
      <c r="N2841" s="5" t="str">
        <f t="shared" si="275"/>
        <v/>
      </c>
      <c r="O2841" s="4"/>
    </row>
    <row r="2842" spans="1:15" x14ac:dyDescent="0.25">
      <c r="A2842" s="14"/>
      <c r="B2842" s="14"/>
      <c r="C2842" s="14"/>
      <c r="D2842" s="5" t="str">
        <f t="shared" si="276"/>
        <v/>
      </c>
      <c r="E2842" s="5" t="str">
        <f t="shared" si="277"/>
        <v/>
      </c>
      <c r="F2842" s="5" t="str">
        <f t="shared" si="278"/>
        <v/>
      </c>
      <c r="G2842" s="23"/>
      <c r="H2842" s="66"/>
      <c r="I2842" s="14"/>
      <c r="J2842" s="14"/>
      <c r="K2842" s="14"/>
      <c r="L2842" s="5" t="str">
        <f t="shared" si="273"/>
        <v/>
      </c>
      <c r="M2842" s="5" t="str">
        <f t="shared" si="274"/>
        <v/>
      </c>
      <c r="N2842" s="5" t="str">
        <f t="shared" si="275"/>
        <v/>
      </c>
      <c r="O2842" s="4"/>
    </row>
    <row r="2843" spans="1:15" x14ac:dyDescent="0.25">
      <c r="A2843" s="14"/>
      <c r="B2843" s="14"/>
      <c r="C2843" s="14"/>
      <c r="D2843" s="5" t="str">
        <f t="shared" si="276"/>
        <v/>
      </c>
      <c r="E2843" s="5" t="str">
        <f t="shared" si="277"/>
        <v/>
      </c>
      <c r="F2843" s="5" t="str">
        <f t="shared" si="278"/>
        <v/>
      </c>
      <c r="G2843" s="23"/>
      <c r="H2843" s="66"/>
      <c r="I2843" s="14"/>
      <c r="J2843" s="14"/>
      <c r="K2843" s="14"/>
      <c r="L2843" s="5" t="str">
        <f t="shared" si="273"/>
        <v/>
      </c>
      <c r="M2843" s="5" t="str">
        <f t="shared" si="274"/>
        <v/>
      </c>
      <c r="N2843" s="5" t="str">
        <f t="shared" si="275"/>
        <v/>
      </c>
      <c r="O2843" s="4"/>
    </row>
    <row r="2844" spans="1:15" x14ac:dyDescent="0.25">
      <c r="A2844" s="14"/>
      <c r="B2844" s="14"/>
      <c r="C2844" s="14"/>
      <c r="D2844" s="5" t="str">
        <f t="shared" si="276"/>
        <v/>
      </c>
      <c r="E2844" s="5" t="str">
        <f t="shared" si="277"/>
        <v/>
      </c>
      <c r="F2844" s="5" t="str">
        <f t="shared" si="278"/>
        <v/>
      </c>
      <c r="G2844" s="23"/>
      <c r="H2844" s="66"/>
      <c r="I2844" s="14"/>
      <c r="J2844" s="14"/>
      <c r="K2844" s="14"/>
      <c r="L2844" s="5" t="str">
        <f t="shared" si="273"/>
        <v/>
      </c>
      <c r="M2844" s="5" t="str">
        <f t="shared" si="274"/>
        <v/>
      </c>
      <c r="N2844" s="5" t="str">
        <f t="shared" si="275"/>
        <v/>
      </c>
      <c r="O2844" s="4"/>
    </row>
    <row r="2845" spans="1:15" x14ac:dyDescent="0.25">
      <c r="A2845" s="14"/>
      <c r="B2845" s="14"/>
      <c r="C2845" s="14"/>
      <c r="D2845" s="5" t="str">
        <f t="shared" si="276"/>
        <v/>
      </c>
      <c r="E2845" s="5" t="str">
        <f t="shared" si="277"/>
        <v/>
      </c>
      <c r="F2845" s="5" t="str">
        <f t="shared" si="278"/>
        <v/>
      </c>
      <c r="G2845" s="23"/>
      <c r="H2845" s="66"/>
      <c r="I2845" s="14"/>
      <c r="J2845" s="14"/>
      <c r="K2845" s="14"/>
      <c r="L2845" s="5" t="str">
        <f t="shared" si="273"/>
        <v/>
      </c>
      <c r="M2845" s="5" t="str">
        <f t="shared" si="274"/>
        <v/>
      </c>
      <c r="N2845" s="5" t="str">
        <f t="shared" si="275"/>
        <v/>
      </c>
      <c r="O2845" s="4"/>
    </row>
    <row r="2846" spans="1:15" x14ac:dyDescent="0.25">
      <c r="A2846" s="14"/>
      <c r="B2846" s="14"/>
      <c r="C2846" s="14"/>
      <c r="D2846" s="5" t="str">
        <f t="shared" si="276"/>
        <v/>
      </c>
      <c r="E2846" s="5" t="str">
        <f t="shared" si="277"/>
        <v/>
      </c>
      <c r="F2846" s="5" t="str">
        <f t="shared" si="278"/>
        <v/>
      </c>
      <c r="G2846" s="23"/>
      <c r="H2846" s="66"/>
      <c r="I2846" s="14"/>
      <c r="J2846" s="14"/>
      <c r="K2846" s="14"/>
      <c r="L2846" s="5" t="str">
        <f t="shared" si="273"/>
        <v/>
      </c>
      <c r="M2846" s="5" t="str">
        <f t="shared" si="274"/>
        <v/>
      </c>
      <c r="N2846" s="5" t="str">
        <f t="shared" si="275"/>
        <v/>
      </c>
      <c r="O2846" s="4"/>
    </row>
    <row r="2847" spans="1:15" x14ac:dyDescent="0.25">
      <c r="A2847" s="14"/>
      <c r="B2847" s="14"/>
      <c r="C2847" s="14"/>
      <c r="D2847" s="5" t="str">
        <f t="shared" si="276"/>
        <v/>
      </c>
      <c r="E2847" s="5" t="str">
        <f t="shared" si="277"/>
        <v/>
      </c>
      <c r="F2847" s="5" t="str">
        <f t="shared" si="278"/>
        <v/>
      </c>
      <c r="G2847" s="23"/>
      <c r="H2847" s="66"/>
      <c r="I2847" s="14"/>
      <c r="J2847" s="14"/>
      <c r="K2847" s="14"/>
      <c r="L2847" s="5" t="str">
        <f t="shared" si="273"/>
        <v/>
      </c>
      <c r="M2847" s="5" t="str">
        <f t="shared" si="274"/>
        <v/>
      </c>
      <c r="N2847" s="5" t="str">
        <f t="shared" si="275"/>
        <v/>
      </c>
      <c r="O2847" s="4"/>
    </row>
    <row r="2848" spans="1:15" x14ac:dyDescent="0.25">
      <c r="A2848" s="14"/>
      <c r="B2848" s="14"/>
      <c r="C2848" s="14"/>
      <c r="D2848" s="5" t="str">
        <f t="shared" si="276"/>
        <v/>
      </c>
      <c r="E2848" s="5" t="str">
        <f t="shared" si="277"/>
        <v/>
      </c>
      <c r="F2848" s="5" t="str">
        <f t="shared" si="278"/>
        <v/>
      </c>
      <c r="G2848" s="23"/>
      <c r="H2848" s="66"/>
      <c r="I2848" s="14"/>
      <c r="J2848" s="14"/>
      <c r="K2848" s="14"/>
      <c r="L2848" s="5" t="str">
        <f t="shared" si="273"/>
        <v/>
      </c>
      <c r="M2848" s="5" t="str">
        <f t="shared" si="274"/>
        <v/>
      </c>
      <c r="N2848" s="5" t="str">
        <f t="shared" si="275"/>
        <v/>
      </c>
      <c r="O2848" s="4"/>
    </row>
    <row r="2849" spans="1:15" x14ac:dyDescent="0.25">
      <c r="A2849" s="14"/>
      <c r="B2849" s="14"/>
      <c r="C2849" s="14"/>
      <c r="D2849" s="5" t="str">
        <f t="shared" si="276"/>
        <v/>
      </c>
      <c r="E2849" s="5" t="str">
        <f t="shared" si="277"/>
        <v/>
      </c>
      <c r="F2849" s="5" t="str">
        <f t="shared" si="278"/>
        <v/>
      </c>
      <c r="G2849" s="23"/>
      <c r="H2849" s="66"/>
      <c r="I2849" s="14"/>
      <c r="J2849" s="14"/>
      <c r="K2849" s="14"/>
      <c r="L2849" s="5" t="str">
        <f t="shared" si="273"/>
        <v/>
      </c>
      <c r="M2849" s="5" t="str">
        <f t="shared" si="274"/>
        <v/>
      </c>
      <c r="N2849" s="5" t="str">
        <f t="shared" si="275"/>
        <v/>
      </c>
      <c r="O2849" s="4"/>
    </row>
    <row r="2850" spans="1:15" x14ac:dyDescent="0.25">
      <c r="A2850" s="14"/>
      <c r="B2850" s="14"/>
      <c r="C2850" s="14"/>
      <c r="D2850" s="5" t="str">
        <f t="shared" si="276"/>
        <v/>
      </c>
      <c r="E2850" s="5" t="str">
        <f t="shared" si="277"/>
        <v/>
      </c>
      <c r="F2850" s="5" t="str">
        <f t="shared" si="278"/>
        <v/>
      </c>
      <c r="G2850" s="23"/>
      <c r="H2850" s="66"/>
      <c r="I2850" s="14"/>
      <c r="J2850" s="14"/>
      <c r="K2850" s="14"/>
      <c r="L2850" s="5" t="str">
        <f t="shared" si="273"/>
        <v/>
      </c>
      <c r="M2850" s="5" t="str">
        <f t="shared" si="274"/>
        <v/>
      </c>
      <c r="N2850" s="5" t="str">
        <f t="shared" si="275"/>
        <v/>
      </c>
      <c r="O2850" s="4"/>
    </row>
    <row r="2851" spans="1:15" x14ac:dyDescent="0.25">
      <c r="A2851" s="14"/>
      <c r="B2851" s="14"/>
      <c r="C2851" s="14"/>
      <c r="D2851" s="5" t="str">
        <f t="shared" si="276"/>
        <v/>
      </c>
      <c r="E2851" s="5" t="str">
        <f t="shared" si="277"/>
        <v/>
      </c>
      <c r="F2851" s="5" t="str">
        <f t="shared" si="278"/>
        <v/>
      </c>
      <c r="G2851" s="23"/>
      <c r="H2851" s="66"/>
      <c r="I2851" s="14"/>
      <c r="J2851" s="14"/>
      <c r="K2851" s="14"/>
      <c r="L2851" s="5" t="str">
        <f t="shared" si="273"/>
        <v/>
      </c>
      <c r="M2851" s="5" t="str">
        <f t="shared" si="274"/>
        <v/>
      </c>
      <c r="N2851" s="5" t="str">
        <f t="shared" si="275"/>
        <v/>
      </c>
      <c r="O2851" s="4"/>
    </row>
    <row r="2852" spans="1:15" x14ac:dyDescent="0.25">
      <c r="A2852" s="14"/>
      <c r="B2852" s="14"/>
      <c r="C2852" s="14"/>
      <c r="D2852" s="5" t="str">
        <f t="shared" si="276"/>
        <v/>
      </c>
      <c r="E2852" s="5" t="str">
        <f t="shared" si="277"/>
        <v/>
      </c>
      <c r="F2852" s="5" t="str">
        <f t="shared" si="278"/>
        <v/>
      </c>
      <c r="G2852" s="23"/>
      <c r="H2852" s="66"/>
      <c r="I2852" s="14"/>
      <c r="J2852" s="14"/>
      <c r="K2852" s="14"/>
      <c r="L2852" s="5" t="str">
        <f t="shared" si="273"/>
        <v/>
      </c>
      <c r="M2852" s="5" t="str">
        <f t="shared" si="274"/>
        <v/>
      </c>
      <c r="N2852" s="5" t="str">
        <f t="shared" si="275"/>
        <v/>
      </c>
      <c r="O2852" s="4"/>
    </row>
    <row r="2853" spans="1:15" x14ac:dyDescent="0.25">
      <c r="A2853" s="14"/>
      <c r="B2853" s="14"/>
      <c r="C2853" s="14"/>
      <c r="D2853" s="5" t="str">
        <f t="shared" si="276"/>
        <v/>
      </c>
      <c r="E2853" s="5" t="str">
        <f t="shared" si="277"/>
        <v/>
      </c>
      <c r="F2853" s="5" t="str">
        <f t="shared" si="278"/>
        <v/>
      </c>
      <c r="G2853" s="23"/>
      <c r="H2853" s="66"/>
      <c r="I2853" s="14"/>
      <c r="J2853" s="14"/>
      <c r="K2853" s="14"/>
      <c r="L2853" s="5" t="str">
        <f t="shared" si="273"/>
        <v/>
      </c>
      <c r="M2853" s="5" t="str">
        <f t="shared" si="274"/>
        <v/>
      </c>
      <c r="N2853" s="5" t="str">
        <f t="shared" si="275"/>
        <v/>
      </c>
      <c r="O2853" s="4"/>
    </row>
    <row r="2854" spans="1:15" x14ac:dyDescent="0.25">
      <c r="A2854" s="14"/>
      <c r="B2854" s="14"/>
      <c r="C2854" s="14"/>
      <c r="D2854" s="5" t="str">
        <f t="shared" si="276"/>
        <v/>
      </c>
      <c r="E2854" s="5" t="str">
        <f t="shared" si="277"/>
        <v/>
      </c>
      <c r="F2854" s="5" t="str">
        <f t="shared" si="278"/>
        <v/>
      </c>
      <c r="G2854" s="23"/>
      <c r="H2854" s="66"/>
      <c r="I2854" s="14"/>
      <c r="J2854" s="14"/>
      <c r="K2854" s="14"/>
      <c r="L2854" s="5" t="str">
        <f t="shared" si="273"/>
        <v/>
      </c>
      <c r="M2854" s="5" t="str">
        <f t="shared" si="274"/>
        <v/>
      </c>
      <c r="N2854" s="5" t="str">
        <f t="shared" si="275"/>
        <v/>
      </c>
      <c r="O2854" s="4"/>
    </row>
    <row r="2855" spans="1:15" x14ac:dyDescent="0.25">
      <c r="A2855" s="14"/>
      <c r="B2855" s="14"/>
      <c r="C2855" s="14"/>
      <c r="D2855" s="5" t="str">
        <f t="shared" si="276"/>
        <v/>
      </c>
      <c r="E2855" s="5" t="str">
        <f t="shared" si="277"/>
        <v/>
      </c>
      <c r="F2855" s="5" t="str">
        <f t="shared" si="278"/>
        <v/>
      </c>
      <c r="G2855" s="23"/>
      <c r="H2855" s="66"/>
      <c r="I2855" s="14"/>
      <c r="J2855" s="14"/>
      <c r="K2855" s="14"/>
      <c r="L2855" s="5" t="str">
        <f t="shared" si="273"/>
        <v/>
      </c>
      <c r="M2855" s="5" t="str">
        <f t="shared" si="274"/>
        <v/>
      </c>
      <c r="N2855" s="5" t="str">
        <f t="shared" si="275"/>
        <v/>
      </c>
      <c r="O2855" s="4"/>
    </row>
    <row r="2856" spans="1:15" x14ac:dyDescent="0.25">
      <c r="A2856" s="14"/>
      <c r="B2856" s="14"/>
      <c r="C2856" s="14"/>
      <c r="D2856" s="5" t="str">
        <f t="shared" si="276"/>
        <v/>
      </c>
      <c r="E2856" s="5" t="str">
        <f t="shared" si="277"/>
        <v/>
      </c>
      <c r="F2856" s="5" t="str">
        <f t="shared" si="278"/>
        <v/>
      </c>
      <c r="G2856" s="23"/>
      <c r="H2856" s="66"/>
      <c r="I2856" s="14"/>
      <c r="J2856" s="14"/>
      <c r="K2856" s="14"/>
      <c r="L2856" s="5" t="str">
        <f t="shared" si="273"/>
        <v/>
      </c>
      <c r="M2856" s="5" t="str">
        <f t="shared" si="274"/>
        <v/>
      </c>
      <c r="N2856" s="5" t="str">
        <f t="shared" si="275"/>
        <v/>
      </c>
      <c r="O2856" s="4"/>
    </row>
    <row r="2857" spans="1:15" x14ac:dyDescent="0.25">
      <c r="A2857" s="14"/>
      <c r="B2857" s="14"/>
      <c r="C2857" s="14"/>
      <c r="D2857" s="5" t="str">
        <f t="shared" si="276"/>
        <v/>
      </c>
      <c r="E2857" s="5" t="str">
        <f t="shared" si="277"/>
        <v/>
      </c>
      <c r="F2857" s="5" t="str">
        <f t="shared" si="278"/>
        <v/>
      </c>
      <c r="G2857" s="23"/>
      <c r="H2857" s="66"/>
      <c r="I2857" s="14"/>
      <c r="J2857" s="14"/>
      <c r="K2857" s="14"/>
      <c r="L2857" s="5" t="str">
        <f t="shared" si="273"/>
        <v/>
      </c>
      <c r="M2857" s="5" t="str">
        <f t="shared" si="274"/>
        <v/>
      </c>
      <c r="N2857" s="5" t="str">
        <f t="shared" si="275"/>
        <v/>
      </c>
      <c r="O2857" s="4"/>
    </row>
    <row r="2858" spans="1:15" x14ac:dyDescent="0.25">
      <c r="A2858" s="14"/>
      <c r="B2858" s="14"/>
      <c r="C2858" s="14"/>
      <c r="D2858" s="5" t="str">
        <f t="shared" si="276"/>
        <v/>
      </c>
      <c r="E2858" s="5" t="str">
        <f t="shared" si="277"/>
        <v/>
      </c>
      <c r="F2858" s="5" t="str">
        <f t="shared" si="278"/>
        <v/>
      </c>
      <c r="G2858" s="23"/>
      <c r="H2858" s="66"/>
      <c r="I2858" s="14"/>
      <c r="J2858" s="14"/>
      <c r="K2858" s="14"/>
      <c r="L2858" s="5" t="str">
        <f t="shared" si="273"/>
        <v/>
      </c>
      <c r="M2858" s="5" t="str">
        <f t="shared" si="274"/>
        <v/>
      </c>
      <c r="N2858" s="5" t="str">
        <f t="shared" si="275"/>
        <v/>
      </c>
      <c r="O2858" s="4"/>
    </row>
    <row r="2859" spans="1:15" x14ac:dyDescent="0.25">
      <c r="A2859" s="14"/>
      <c r="B2859" s="14"/>
      <c r="C2859" s="14"/>
      <c r="D2859" s="5" t="str">
        <f t="shared" si="276"/>
        <v/>
      </c>
      <c r="E2859" s="5" t="str">
        <f t="shared" si="277"/>
        <v/>
      </c>
      <c r="F2859" s="5" t="str">
        <f t="shared" si="278"/>
        <v/>
      </c>
      <c r="G2859" s="23"/>
      <c r="H2859" s="66"/>
      <c r="I2859" s="14"/>
      <c r="J2859" s="14"/>
      <c r="K2859" s="14"/>
      <c r="L2859" s="5" t="str">
        <f t="shared" si="273"/>
        <v/>
      </c>
      <c r="M2859" s="5" t="str">
        <f t="shared" si="274"/>
        <v/>
      </c>
      <c r="N2859" s="5" t="str">
        <f t="shared" si="275"/>
        <v/>
      </c>
      <c r="O2859" s="4"/>
    </row>
    <row r="2860" spans="1:15" x14ac:dyDescent="0.25">
      <c r="A2860" s="14"/>
      <c r="B2860" s="14"/>
      <c r="C2860" s="14"/>
      <c r="D2860" s="5" t="str">
        <f t="shared" si="276"/>
        <v/>
      </c>
      <c r="E2860" s="5" t="str">
        <f t="shared" si="277"/>
        <v/>
      </c>
      <c r="F2860" s="5" t="str">
        <f t="shared" si="278"/>
        <v/>
      </c>
      <c r="G2860" s="23"/>
      <c r="H2860" s="66"/>
      <c r="I2860" s="14"/>
      <c r="J2860" s="14"/>
      <c r="K2860" s="14"/>
      <c r="L2860" s="5" t="str">
        <f t="shared" si="273"/>
        <v/>
      </c>
      <c r="M2860" s="5" t="str">
        <f t="shared" si="274"/>
        <v/>
      </c>
      <c r="N2860" s="5" t="str">
        <f t="shared" si="275"/>
        <v/>
      </c>
      <c r="O2860" s="4"/>
    </row>
    <row r="2861" spans="1:15" x14ac:dyDescent="0.25">
      <c r="A2861" s="14"/>
      <c r="B2861" s="14"/>
      <c r="C2861" s="14"/>
      <c r="D2861" s="5" t="str">
        <f t="shared" si="276"/>
        <v/>
      </c>
      <c r="E2861" s="5" t="str">
        <f t="shared" si="277"/>
        <v/>
      </c>
      <c r="F2861" s="5" t="str">
        <f t="shared" si="278"/>
        <v/>
      </c>
      <c r="G2861" s="23"/>
      <c r="H2861" s="66"/>
      <c r="I2861" s="14"/>
      <c r="J2861" s="14"/>
      <c r="K2861" s="14"/>
      <c r="L2861" s="5" t="str">
        <f t="shared" si="273"/>
        <v/>
      </c>
      <c r="M2861" s="5" t="str">
        <f t="shared" si="274"/>
        <v/>
      </c>
      <c r="N2861" s="5" t="str">
        <f t="shared" si="275"/>
        <v/>
      </c>
      <c r="O2861" s="4"/>
    </row>
    <row r="2862" spans="1:15" x14ac:dyDescent="0.25">
      <c r="A2862" s="14"/>
      <c r="B2862" s="14"/>
      <c r="C2862" s="14"/>
      <c r="D2862" s="5" t="str">
        <f t="shared" si="276"/>
        <v/>
      </c>
      <c r="E2862" s="5" t="str">
        <f t="shared" si="277"/>
        <v/>
      </c>
      <c r="F2862" s="5" t="str">
        <f t="shared" si="278"/>
        <v/>
      </c>
      <c r="G2862" s="23"/>
      <c r="H2862" s="66"/>
      <c r="I2862" s="14"/>
      <c r="J2862" s="14"/>
      <c r="K2862" s="14"/>
      <c r="L2862" s="5" t="str">
        <f t="shared" si="273"/>
        <v/>
      </c>
      <c r="M2862" s="5" t="str">
        <f t="shared" si="274"/>
        <v/>
      </c>
      <c r="N2862" s="5" t="str">
        <f t="shared" si="275"/>
        <v/>
      </c>
      <c r="O2862" s="4"/>
    </row>
    <row r="2863" spans="1:15" x14ac:dyDescent="0.25">
      <c r="A2863" s="14"/>
      <c r="B2863" s="14"/>
      <c r="C2863" s="14"/>
      <c r="D2863" s="5" t="str">
        <f t="shared" si="276"/>
        <v/>
      </c>
      <c r="E2863" s="5" t="str">
        <f t="shared" si="277"/>
        <v/>
      </c>
      <c r="F2863" s="5" t="str">
        <f t="shared" si="278"/>
        <v/>
      </c>
      <c r="G2863" s="23"/>
      <c r="H2863" s="66"/>
      <c r="I2863" s="14"/>
      <c r="J2863" s="14"/>
      <c r="K2863" s="14"/>
      <c r="L2863" s="5" t="str">
        <f t="shared" si="273"/>
        <v/>
      </c>
      <c r="M2863" s="5" t="str">
        <f t="shared" si="274"/>
        <v/>
      </c>
      <c r="N2863" s="5" t="str">
        <f t="shared" si="275"/>
        <v/>
      </c>
      <c r="O2863" s="4"/>
    </row>
    <row r="2864" spans="1:15" x14ac:dyDescent="0.25">
      <c r="A2864" s="14"/>
      <c r="B2864" s="14"/>
      <c r="C2864" s="14"/>
      <c r="D2864" s="5" t="str">
        <f t="shared" si="276"/>
        <v/>
      </c>
      <c r="E2864" s="5" t="str">
        <f t="shared" si="277"/>
        <v/>
      </c>
      <c r="F2864" s="5" t="str">
        <f t="shared" si="278"/>
        <v/>
      </c>
      <c r="G2864" s="23"/>
      <c r="H2864" s="66"/>
      <c r="I2864" s="14"/>
      <c r="J2864" s="14"/>
      <c r="K2864" s="14"/>
      <c r="L2864" s="5" t="str">
        <f t="shared" si="273"/>
        <v/>
      </c>
      <c r="M2864" s="5" t="str">
        <f t="shared" si="274"/>
        <v/>
      </c>
      <c r="N2864" s="5" t="str">
        <f t="shared" si="275"/>
        <v/>
      </c>
      <c r="O2864" s="4"/>
    </row>
    <row r="2865" spans="1:15" x14ac:dyDescent="0.25">
      <c r="A2865" s="14"/>
      <c r="B2865" s="14"/>
      <c r="C2865" s="14"/>
      <c r="D2865" s="5" t="str">
        <f t="shared" si="276"/>
        <v/>
      </c>
      <c r="E2865" s="5" t="str">
        <f t="shared" si="277"/>
        <v/>
      </c>
      <c r="F2865" s="5" t="str">
        <f t="shared" si="278"/>
        <v/>
      </c>
      <c r="G2865" s="23"/>
      <c r="H2865" s="66"/>
      <c r="I2865" s="14"/>
      <c r="J2865" s="14"/>
      <c r="K2865" s="14"/>
      <c r="L2865" s="5" t="str">
        <f t="shared" si="273"/>
        <v/>
      </c>
      <c r="M2865" s="5" t="str">
        <f t="shared" si="274"/>
        <v/>
      </c>
      <c r="N2865" s="5" t="str">
        <f t="shared" si="275"/>
        <v/>
      </c>
      <c r="O2865" s="4"/>
    </row>
    <row r="2866" spans="1:15" x14ac:dyDescent="0.25">
      <c r="A2866" s="14"/>
      <c r="B2866" s="14"/>
      <c r="C2866" s="14"/>
      <c r="D2866" s="5" t="str">
        <f t="shared" si="276"/>
        <v/>
      </c>
      <c r="E2866" s="5" t="str">
        <f t="shared" si="277"/>
        <v/>
      </c>
      <c r="F2866" s="5" t="str">
        <f t="shared" si="278"/>
        <v/>
      </c>
      <c r="G2866" s="23"/>
      <c r="H2866" s="66"/>
      <c r="I2866" s="14"/>
      <c r="J2866" s="14"/>
      <c r="K2866" s="14"/>
      <c r="L2866" s="5" t="str">
        <f t="shared" si="273"/>
        <v/>
      </c>
      <c r="M2866" s="5" t="str">
        <f t="shared" si="274"/>
        <v/>
      </c>
      <c r="N2866" s="5" t="str">
        <f t="shared" si="275"/>
        <v/>
      </c>
      <c r="O2866" s="4"/>
    </row>
    <row r="2867" spans="1:15" x14ac:dyDescent="0.25">
      <c r="A2867" s="14"/>
      <c r="B2867" s="14"/>
      <c r="C2867" s="14"/>
      <c r="D2867" s="5" t="str">
        <f t="shared" si="276"/>
        <v/>
      </c>
      <c r="E2867" s="5" t="str">
        <f t="shared" si="277"/>
        <v/>
      </c>
      <c r="F2867" s="5" t="str">
        <f t="shared" si="278"/>
        <v/>
      </c>
      <c r="G2867" s="23"/>
      <c r="H2867" s="66"/>
      <c r="I2867" s="14"/>
      <c r="J2867" s="14"/>
      <c r="K2867" s="14"/>
      <c r="L2867" s="5" t="str">
        <f t="shared" si="273"/>
        <v/>
      </c>
      <c r="M2867" s="5" t="str">
        <f t="shared" si="274"/>
        <v/>
      </c>
      <c r="N2867" s="5" t="str">
        <f t="shared" si="275"/>
        <v/>
      </c>
      <c r="O2867" s="4"/>
    </row>
    <row r="2868" spans="1:15" x14ac:dyDescent="0.25">
      <c r="A2868" s="14"/>
      <c r="B2868" s="14"/>
      <c r="C2868" s="14"/>
      <c r="D2868" s="5" t="str">
        <f t="shared" si="276"/>
        <v/>
      </c>
      <c r="E2868" s="5" t="str">
        <f t="shared" si="277"/>
        <v/>
      </c>
      <c r="F2868" s="5" t="str">
        <f t="shared" si="278"/>
        <v/>
      </c>
      <c r="G2868" s="23"/>
      <c r="H2868" s="66"/>
      <c r="I2868" s="14"/>
      <c r="J2868" s="14"/>
      <c r="K2868" s="14"/>
      <c r="L2868" s="5" t="str">
        <f t="shared" si="273"/>
        <v/>
      </c>
      <c r="M2868" s="5" t="str">
        <f t="shared" si="274"/>
        <v/>
      </c>
      <c r="N2868" s="5" t="str">
        <f t="shared" si="275"/>
        <v/>
      </c>
      <c r="O2868" s="4"/>
    </row>
    <row r="2869" spans="1:15" x14ac:dyDescent="0.25">
      <c r="A2869" s="14"/>
      <c r="B2869" s="14"/>
      <c r="C2869" s="14"/>
      <c r="D2869" s="5" t="str">
        <f t="shared" si="276"/>
        <v/>
      </c>
      <c r="E2869" s="5" t="str">
        <f t="shared" si="277"/>
        <v/>
      </c>
      <c r="F2869" s="5" t="str">
        <f t="shared" si="278"/>
        <v/>
      </c>
      <c r="G2869" s="23"/>
      <c r="H2869" s="66"/>
      <c r="I2869" s="14"/>
      <c r="J2869" s="14"/>
      <c r="K2869" s="14"/>
      <c r="L2869" s="5" t="str">
        <f t="shared" si="273"/>
        <v/>
      </c>
      <c r="M2869" s="5" t="str">
        <f t="shared" si="274"/>
        <v/>
      </c>
      <c r="N2869" s="5" t="str">
        <f t="shared" si="275"/>
        <v/>
      </c>
      <c r="O2869" s="4"/>
    </row>
    <row r="2870" spans="1:15" x14ac:dyDescent="0.25">
      <c r="A2870" s="14"/>
      <c r="B2870" s="14"/>
      <c r="C2870" s="14"/>
      <c r="D2870" s="5" t="str">
        <f t="shared" si="276"/>
        <v/>
      </c>
      <c r="E2870" s="5" t="str">
        <f t="shared" si="277"/>
        <v/>
      </c>
      <c r="F2870" s="5" t="str">
        <f t="shared" si="278"/>
        <v/>
      </c>
      <c r="G2870" s="23"/>
      <c r="H2870" s="66"/>
      <c r="I2870" s="14"/>
      <c r="J2870" s="14"/>
      <c r="K2870" s="14"/>
      <c r="L2870" s="5" t="str">
        <f t="shared" si="273"/>
        <v/>
      </c>
      <c r="M2870" s="5" t="str">
        <f t="shared" si="274"/>
        <v/>
      </c>
      <c r="N2870" s="5" t="str">
        <f t="shared" si="275"/>
        <v/>
      </c>
      <c r="O2870" s="4"/>
    </row>
    <row r="2871" spans="1:15" x14ac:dyDescent="0.25">
      <c r="A2871" s="14"/>
      <c r="B2871" s="14"/>
      <c r="C2871" s="14"/>
      <c r="D2871" s="5" t="str">
        <f t="shared" si="276"/>
        <v/>
      </c>
      <c r="E2871" s="5" t="str">
        <f t="shared" si="277"/>
        <v/>
      </c>
      <c r="F2871" s="5" t="str">
        <f t="shared" si="278"/>
        <v/>
      </c>
      <c r="G2871" s="23"/>
      <c r="H2871" s="66"/>
      <c r="I2871" s="14"/>
      <c r="J2871" s="14"/>
      <c r="K2871" s="14"/>
      <c r="L2871" s="5" t="str">
        <f t="shared" si="273"/>
        <v/>
      </c>
      <c r="M2871" s="5" t="str">
        <f t="shared" si="274"/>
        <v/>
      </c>
      <c r="N2871" s="5" t="str">
        <f t="shared" si="275"/>
        <v/>
      </c>
      <c r="O2871" s="4"/>
    </row>
    <row r="2872" spans="1:15" x14ac:dyDescent="0.25">
      <c r="A2872" s="14"/>
      <c r="B2872" s="14"/>
      <c r="C2872" s="14"/>
      <c r="D2872" s="5" t="str">
        <f t="shared" si="276"/>
        <v/>
      </c>
      <c r="E2872" s="5" t="str">
        <f t="shared" si="277"/>
        <v/>
      </c>
      <c r="F2872" s="5" t="str">
        <f t="shared" si="278"/>
        <v/>
      </c>
      <c r="G2872" s="23"/>
      <c r="H2872" s="66"/>
      <c r="I2872" s="14"/>
      <c r="J2872" s="14"/>
      <c r="K2872" s="14"/>
      <c r="L2872" s="5" t="str">
        <f t="shared" si="273"/>
        <v/>
      </c>
      <c r="M2872" s="5" t="str">
        <f t="shared" si="274"/>
        <v/>
      </c>
      <c r="N2872" s="5" t="str">
        <f t="shared" si="275"/>
        <v/>
      </c>
      <c r="O2872" s="4"/>
    </row>
    <row r="2873" spans="1:15" x14ac:dyDescent="0.25">
      <c r="A2873" s="14"/>
      <c r="B2873" s="14"/>
      <c r="C2873" s="14"/>
      <c r="D2873" s="5" t="str">
        <f t="shared" si="276"/>
        <v/>
      </c>
      <c r="E2873" s="5" t="str">
        <f t="shared" si="277"/>
        <v/>
      </c>
      <c r="F2873" s="5" t="str">
        <f t="shared" si="278"/>
        <v/>
      </c>
      <c r="G2873" s="23"/>
      <c r="H2873" s="66"/>
      <c r="I2873" s="14"/>
      <c r="J2873" s="14"/>
      <c r="K2873" s="14"/>
      <c r="L2873" s="5" t="str">
        <f t="shared" si="273"/>
        <v/>
      </c>
      <c r="M2873" s="5" t="str">
        <f t="shared" si="274"/>
        <v/>
      </c>
      <c r="N2873" s="5" t="str">
        <f t="shared" si="275"/>
        <v/>
      </c>
      <c r="O2873" s="4"/>
    </row>
    <row r="2874" spans="1:15" x14ac:dyDescent="0.25">
      <c r="A2874" s="14"/>
      <c r="B2874" s="14"/>
      <c r="C2874" s="14"/>
      <c r="D2874" s="5" t="str">
        <f t="shared" si="276"/>
        <v/>
      </c>
      <c r="E2874" s="5" t="str">
        <f t="shared" si="277"/>
        <v/>
      </c>
      <c r="F2874" s="5" t="str">
        <f t="shared" si="278"/>
        <v/>
      </c>
      <c r="G2874" s="23"/>
      <c r="H2874" s="66"/>
      <c r="I2874" s="14"/>
      <c r="J2874" s="14"/>
      <c r="K2874" s="14"/>
      <c r="L2874" s="5" t="str">
        <f t="shared" si="273"/>
        <v/>
      </c>
      <c r="M2874" s="5" t="str">
        <f t="shared" si="274"/>
        <v/>
      </c>
      <c r="N2874" s="5" t="str">
        <f t="shared" si="275"/>
        <v/>
      </c>
      <c r="O2874" s="4"/>
    </row>
    <row r="2875" spans="1:15" x14ac:dyDescent="0.25">
      <c r="A2875" s="14"/>
      <c r="B2875" s="14"/>
      <c r="C2875" s="14"/>
      <c r="D2875" s="5" t="str">
        <f t="shared" si="276"/>
        <v/>
      </c>
      <c r="E2875" s="5" t="str">
        <f t="shared" si="277"/>
        <v/>
      </c>
      <c r="F2875" s="5" t="str">
        <f t="shared" si="278"/>
        <v/>
      </c>
      <c r="G2875" s="23"/>
      <c r="H2875" s="66"/>
      <c r="I2875" s="14"/>
      <c r="J2875" s="14"/>
      <c r="K2875" s="14"/>
      <c r="L2875" s="5" t="str">
        <f t="shared" si="273"/>
        <v/>
      </c>
      <c r="M2875" s="5" t="str">
        <f t="shared" si="274"/>
        <v/>
      </c>
      <c r="N2875" s="5" t="str">
        <f t="shared" si="275"/>
        <v/>
      </c>
      <c r="O2875" s="4"/>
    </row>
    <row r="2876" spans="1:15" x14ac:dyDescent="0.25">
      <c r="A2876" s="14"/>
      <c r="B2876" s="14"/>
      <c r="C2876" s="14"/>
      <c r="D2876" s="5" t="str">
        <f t="shared" si="276"/>
        <v/>
      </c>
      <c r="E2876" s="5" t="str">
        <f t="shared" si="277"/>
        <v/>
      </c>
      <c r="F2876" s="5" t="str">
        <f t="shared" si="278"/>
        <v/>
      </c>
      <c r="G2876" s="23"/>
      <c r="H2876" s="66"/>
      <c r="I2876" s="14"/>
      <c r="J2876" s="14"/>
      <c r="K2876" s="14"/>
      <c r="L2876" s="5" t="str">
        <f t="shared" si="273"/>
        <v/>
      </c>
      <c r="M2876" s="5" t="str">
        <f t="shared" si="274"/>
        <v/>
      </c>
      <c r="N2876" s="5" t="str">
        <f t="shared" si="275"/>
        <v/>
      </c>
      <c r="O2876" s="4"/>
    </row>
    <row r="2877" spans="1:15" x14ac:dyDescent="0.25">
      <c r="A2877" s="14"/>
      <c r="B2877" s="14"/>
      <c r="C2877" s="14"/>
      <c r="D2877" s="5" t="str">
        <f t="shared" si="276"/>
        <v/>
      </c>
      <c r="E2877" s="5" t="str">
        <f t="shared" si="277"/>
        <v/>
      </c>
      <c r="F2877" s="5" t="str">
        <f t="shared" si="278"/>
        <v/>
      </c>
      <c r="G2877" s="23"/>
      <c r="H2877" s="66"/>
      <c r="I2877" s="14"/>
      <c r="J2877" s="14"/>
      <c r="K2877" s="14"/>
      <c r="L2877" s="5" t="str">
        <f t="shared" si="273"/>
        <v/>
      </c>
      <c r="M2877" s="5" t="str">
        <f t="shared" si="274"/>
        <v/>
      </c>
      <c r="N2877" s="5" t="str">
        <f t="shared" si="275"/>
        <v/>
      </c>
      <c r="O2877" s="4"/>
    </row>
    <row r="2878" spans="1:15" x14ac:dyDescent="0.25">
      <c r="A2878" s="14"/>
      <c r="B2878" s="14"/>
      <c r="C2878" s="14"/>
      <c r="D2878" s="5" t="str">
        <f t="shared" si="276"/>
        <v/>
      </c>
      <c r="E2878" s="5" t="str">
        <f t="shared" si="277"/>
        <v/>
      </c>
      <c r="F2878" s="5" t="str">
        <f t="shared" si="278"/>
        <v/>
      </c>
      <c r="G2878" s="23"/>
      <c r="H2878" s="66"/>
      <c r="I2878" s="14"/>
      <c r="J2878" s="14"/>
      <c r="K2878" s="14"/>
      <c r="L2878" s="5" t="str">
        <f t="shared" si="273"/>
        <v/>
      </c>
      <c r="M2878" s="5" t="str">
        <f t="shared" si="274"/>
        <v/>
      </c>
      <c r="N2878" s="5" t="str">
        <f t="shared" si="275"/>
        <v/>
      </c>
      <c r="O2878" s="4"/>
    </row>
    <row r="2879" spans="1:15" x14ac:dyDescent="0.25">
      <c r="A2879" s="14"/>
      <c r="B2879" s="14"/>
      <c r="C2879" s="14"/>
      <c r="D2879" s="5" t="str">
        <f t="shared" si="276"/>
        <v/>
      </c>
      <c r="E2879" s="5" t="str">
        <f t="shared" si="277"/>
        <v/>
      </c>
      <c r="F2879" s="5" t="str">
        <f t="shared" si="278"/>
        <v/>
      </c>
      <c r="G2879" s="23"/>
      <c r="H2879" s="66"/>
      <c r="I2879" s="14"/>
      <c r="J2879" s="14"/>
      <c r="K2879" s="14"/>
      <c r="L2879" s="5" t="str">
        <f t="shared" si="273"/>
        <v/>
      </c>
      <c r="M2879" s="5" t="str">
        <f t="shared" si="274"/>
        <v/>
      </c>
      <c r="N2879" s="5" t="str">
        <f t="shared" si="275"/>
        <v/>
      </c>
      <c r="O2879" s="4"/>
    </row>
    <row r="2880" spans="1:15" x14ac:dyDescent="0.25">
      <c r="A2880" s="14"/>
      <c r="B2880" s="14"/>
      <c r="C2880" s="14"/>
      <c r="D2880" s="5" t="str">
        <f t="shared" si="276"/>
        <v/>
      </c>
      <c r="E2880" s="5" t="str">
        <f t="shared" si="277"/>
        <v/>
      </c>
      <c r="F2880" s="5" t="str">
        <f t="shared" si="278"/>
        <v/>
      </c>
      <c r="G2880" s="23"/>
      <c r="H2880" s="66"/>
      <c r="I2880" s="14"/>
      <c r="J2880" s="14"/>
      <c r="K2880" s="14"/>
      <c r="L2880" s="5" t="str">
        <f t="shared" si="273"/>
        <v/>
      </c>
      <c r="M2880" s="5" t="str">
        <f t="shared" si="274"/>
        <v/>
      </c>
      <c r="N2880" s="5" t="str">
        <f t="shared" si="275"/>
        <v/>
      </c>
      <c r="O2880" s="4"/>
    </row>
    <row r="2881" spans="1:15" x14ac:dyDescent="0.25">
      <c r="A2881" s="14"/>
      <c r="B2881" s="14"/>
      <c r="C2881" s="14"/>
      <c r="D2881" s="5" t="str">
        <f t="shared" si="276"/>
        <v/>
      </c>
      <c r="E2881" s="5" t="str">
        <f t="shared" si="277"/>
        <v/>
      </c>
      <c r="F2881" s="5" t="str">
        <f t="shared" si="278"/>
        <v/>
      </c>
      <c r="G2881" s="23"/>
      <c r="H2881" s="66"/>
      <c r="I2881" s="14"/>
      <c r="J2881" s="14"/>
      <c r="K2881" s="14"/>
      <c r="L2881" s="5" t="str">
        <f t="shared" si="273"/>
        <v/>
      </c>
      <c r="M2881" s="5" t="str">
        <f t="shared" si="274"/>
        <v/>
      </c>
      <c r="N2881" s="5" t="str">
        <f t="shared" si="275"/>
        <v/>
      </c>
      <c r="O2881" s="4"/>
    </row>
    <row r="2882" spans="1:15" x14ac:dyDescent="0.25">
      <c r="A2882" s="14"/>
      <c r="B2882" s="14"/>
      <c r="C2882" s="14"/>
      <c r="D2882" s="5" t="str">
        <f t="shared" si="276"/>
        <v/>
      </c>
      <c r="E2882" s="5" t="str">
        <f t="shared" si="277"/>
        <v/>
      </c>
      <c r="F2882" s="5" t="str">
        <f t="shared" si="278"/>
        <v/>
      </c>
      <c r="G2882" s="23"/>
      <c r="H2882" s="66"/>
      <c r="I2882" s="14"/>
      <c r="J2882" s="14"/>
      <c r="K2882" s="14"/>
      <c r="L2882" s="5" t="str">
        <f t="shared" si="273"/>
        <v/>
      </c>
      <c r="M2882" s="5" t="str">
        <f t="shared" si="274"/>
        <v/>
      </c>
      <c r="N2882" s="5" t="str">
        <f t="shared" si="275"/>
        <v/>
      </c>
      <c r="O2882" s="4"/>
    </row>
    <row r="2883" spans="1:15" x14ac:dyDescent="0.25">
      <c r="A2883" s="14"/>
      <c r="B2883" s="14"/>
      <c r="C2883" s="14"/>
      <c r="D2883" s="5" t="str">
        <f t="shared" si="276"/>
        <v/>
      </c>
      <c r="E2883" s="5" t="str">
        <f t="shared" si="277"/>
        <v/>
      </c>
      <c r="F2883" s="5" t="str">
        <f t="shared" si="278"/>
        <v/>
      </c>
      <c r="G2883" s="23"/>
      <c r="H2883" s="66"/>
      <c r="I2883" s="14"/>
      <c r="J2883" s="14"/>
      <c r="K2883" s="14"/>
      <c r="L2883" s="5" t="str">
        <f t="shared" si="273"/>
        <v/>
      </c>
      <c r="M2883" s="5" t="str">
        <f t="shared" si="274"/>
        <v/>
      </c>
      <c r="N2883" s="5" t="str">
        <f t="shared" si="275"/>
        <v/>
      </c>
      <c r="O2883" s="4"/>
    </row>
    <row r="2884" spans="1:15" x14ac:dyDescent="0.25">
      <c r="A2884" s="14"/>
      <c r="B2884" s="14"/>
      <c r="C2884" s="14"/>
      <c r="D2884" s="5" t="str">
        <f t="shared" si="276"/>
        <v/>
      </c>
      <c r="E2884" s="5" t="str">
        <f t="shared" si="277"/>
        <v/>
      </c>
      <c r="F2884" s="5" t="str">
        <f t="shared" si="278"/>
        <v/>
      </c>
      <c r="G2884" s="23"/>
      <c r="H2884" s="66"/>
      <c r="I2884" s="14"/>
      <c r="J2884" s="14"/>
      <c r="K2884" s="14"/>
      <c r="L2884" s="5" t="str">
        <f t="shared" si="273"/>
        <v/>
      </c>
      <c r="M2884" s="5" t="str">
        <f t="shared" si="274"/>
        <v/>
      </c>
      <c r="N2884" s="5" t="str">
        <f t="shared" si="275"/>
        <v/>
      </c>
      <c r="O2884" s="4"/>
    </row>
    <row r="2885" spans="1:15" x14ac:dyDescent="0.25">
      <c r="A2885" s="14"/>
      <c r="B2885" s="14"/>
      <c r="C2885" s="14"/>
      <c r="D2885" s="5" t="str">
        <f t="shared" si="276"/>
        <v/>
      </c>
      <c r="E2885" s="5" t="str">
        <f t="shared" si="277"/>
        <v/>
      </c>
      <c r="F2885" s="5" t="str">
        <f t="shared" si="278"/>
        <v/>
      </c>
      <c r="G2885" s="23"/>
      <c r="H2885" s="66"/>
      <c r="I2885" s="14"/>
      <c r="J2885" s="14"/>
      <c r="K2885" s="14"/>
      <c r="L2885" s="5" t="str">
        <f t="shared" si="273"/>
        <v/>
      </c>
      <c r="M2885" s="5" t="str">
        <f t="shared" si="274"/>
        <v/>
      </c>
      <c r="N2885" s="5" t="str">
        <f t="shared" si="275"/>
        <v/>
      </c>
      <c r="O2885" s="4"/>
    </row>
    <row r="2886" spans="1:15" x14ac:dyDescent="0.25">
      <c r="A2886" s="14"/>
      <c r="B2886" s="14"/>
      <c r="C2886" s="14"/>
      <c r="D2886" s="5" t="str">
        <f t="shared" si="276"/>
        <v/>
      </c>
      <c r="E2886" s="5" t="str">
        <f t="shared" si="277"/>
        <v/>
      </c>
      <c r="F2886" s="5" t="str">
        <f t="shared" si="278"/>
        <v/>
      </c>
      <c r="G2886" s="23"/>
      <c r="H2886" s="66"/>
      <c r="I2886" s="14"/>
      <c r="J2886" s="14"/>
      <c r="K2886" s="14"/>
      <c r="L2886" s="5" t="str">
        <f t="shared" si="273"/>
        <v/>
      </c>
      <c r="M2886" s="5" t="str">
        <f t="shared" si="274"/>
        <v/>
      </c>
      <c r="N2886" s="5" t="str">
        <f t="shared" si="275"/>
        <v/>
      </c>
      <c r="O2886" s="4"/>
    </row>
    <row r="2887" spans="1:15" x14ac:dyDescent="0.25">
      <c r="A2887" s="14"/>
      <c r="B2887" s="14"/>
      <c r="C2887" s="14"/>
      <c r="D2887" s="5" t="str">
        <f t="shared" si="276"/>
        <v/>
      </c>
      <c r="E2887" s="5" t="str">
        <f t="shared" si="277"/>
        <v/>
      </c>
      <c r="F2887" s="5" t="str">
        <f t="shared" si="278"/>
        <v/>
      </c>
      <c r="G2887" s="23"/>
      <c r="H2887" s="66"/>
      <c r="I2887" s="14"/>
      <c r="J2887" s="14"/>
      <c r="K2887" s="14"/>
      <c r="L2887" s="5" t="str">
        <f t="shared" si="273"/>
        <v/>
      </c>
      <c r="M2887" s="5" t="str">
        <f t="shared" si="274"/>
        <v/>
      </c>
      <c r="N2887" s="5" t="str">
        <f t="shared" si="275"/>
        <v/>
      </c>
      <c r="O2887" s="4"/>
    </row>
    <row r="2888" spans="1:15" x14ac:dyDescent="0.25">
      <c r="A2888" s="14"/>
      <c r="B2888" s="14"/>
      <c r="C2888" s="14"/>
      <c r="D2888" s="5" t="str">
        <f t="shared" si="276"/>
        <v/>
      </c>
      <c r="E2888" s="5" t="str">
        <f t="shared" si="277"/>
        <v/>
      </c>
      <c r="F2888" s="5" t="str">
        <f t="shared" si="278"/>
        <v/>
      </c>
      <c r="G2888" s="23"/>
      <c r="H2888" s="66"/>
      <c r="I2888" s="14"/>
      <c r="J2888" s="14"/>
      <c r="K2888" s="14"/>
      <c r="L2888" s="5" t="str">
        <f t="shared" si="273"/>
        <v/>
      </c>
      <c r="M2888" s="5" t="str">
        <f t="shared" si="274"/>
        <v/>
      </c>
      <c r="N2888" s="5" t="str">
        <f t="shared" si="275"/>
        <v/>
      </c>
      <c r="O2888" s="4"/>
    </row>
    <row r="2889" spans="1:15" x14ac:dyDescent="0.25">
      <c r="A2889" s="14"/>
      <c r="B2889" s="14"/>
      <c r="C2889" s="14"/>
      <c r="D2889" s="5" t="str">
        <f t="shared" si="276"/>
        <v/>
      </c>
      <c r="E2889" s="5" t="str">
        <f t="shared" si="277"/>
        <v/>
      </c>
      <c r="F2889" s="5" t="str">
        <f t="shared" si="278"/>
        <v/>
      </c>
      <c r="G2889" s="23"/>
      <c r="H2889" s="66"/>
      <c r="I2889" s="14"/>
      <c r="J2889" s="14"/>
      <c r="K2889" s="14"/>
      <c r="L2889" s="5" t="str">
        <f t="shared" si="273"/>
        <v/>
      </c>
      <c r="M2889" s="5" t="str">
        <f t="shared" si="274"/>
        <v/>
      </c>
      <c r="N2889" s="5" t="str">
        <f t="shared" si="275"/>
        <v/>
      </c>
      <c r="O2889" s="4"/>
    </row>
    <row r="2890" spans="1:15" x14ac:dyDescent="0.25">
      <c r="A2890" s="14"/>
      <c r="B2890" s="14"/>
      <c r="C2890" s="14"/>
      <c r="D2890" s="5" t="str">
        <f t="shared" si="276"/>
        <v/>
      </c>
      <c r="E2890" s="5" t="str">
        <f t="shared" si="277"/>
        <v/>
      </c>
      <c r="F2890" s="5" t="str">
        <f t="shared" si="278"/>
        <v/>
      </c>
      <c r="G2890" s="23"/>
      <c r="H2890" s="66"/>
      <c r="I2890" s="14"/>
      <c r="J2890" s="14"/>
      <c r="K2890" s="14"/>
      <c r="L2890" s="5" t="str">
        <f t="shared" si="273"/>
        <v/>
      </c>
      <c r="M2890" s="5" t="str">
        <f t="shared" si="274"/>
        <v/>
      </c>
      <c r="N2890" s="5" t="str">
        <f t="shared" si="275"/>
        <v/>
      </c>
      <c r="O2890" s="4"/>
    </row>
    <row r="2891" spans="1:15" x14ac:dyDescent="0.25">
      <c r="A2891" s="14"/>
      <c r="B2891" s="14"/>
      <c r="C2891" s="14"/>
      <c r="D2891" s="5" t="str">
        <f t="shared" si="276"/>
        <v/>
      </c>
      <c r="E2891" s="5" t="str">
        <f t="shared" si="277"/>
        <v/>
      </c>
      <c r="F2891" s="5" t="str">
        <f t="shared" si="278"/>
        <v/>
      </c>
      <c r="G2891" s="23"/>
      <c r="H2891" s="66"/>
      <c r="I2891" s="14"/>
      <c r="J2891" s="14"/>
      <c r="K2891" s="14"/>
      <c r="L2891" s="5" t="str">
        <f t="shared" si="273"/>
        <v/>
      </c>
      <c r="M2891" s="5" t="str">
        <f t="shared" si="274"/>
        <v/>
      </c>
      <c r="N2891" s="5" t="str">
        <f t="shared" si="275"/>
        <v/>
      </c>
      <c r="O2891" s="4"/>
    </row>
    <row r="2892" spans="1:15" x14ac:dyDescent="0.25">
      <c r="A2892" s="14"/>
      <c r="B2892" s="14"/>
      <c r="C2892" s="14"/>
      <c r="D2892" s="5" t="str">
        <f t="shared" si="276"/>
        <v/>
      </c>
      <c r="E2892" s="5" t="str">
        <f t="shared" si="277"/>
        <v/>
      </c>
      <c r="F2892" s="5" t="str">
        <f t="shared" si="278"/>
        <v/>
      </c>
      <c r="G2892" s="23"/>
      <c r="H2892" s="66"/>
      <c r="I2892" s="14"/>
      <c r="J2892" s="14"/>
      <c r="K2892" s="14"/>
      <c r="L2892" s="5" t="str">
        <f t="shared" si="273"/>
        <v/>
      </c>
      <c r="M2892" s="5" t="str">
        <f t="shared" si="274"/>
        <v/>
      </c>
      <c r="N2892" s="5" t="str">
        <f t="shared" si="275"/>
        <v/>
      </c>
      <c r="O2892" s="4"/>
    </row>
    <row r="2893" spans="1:15" x14ac:dyDescent="0.25">
      <c r="A2893" s="14"/>
      <c r="B2893" s="14"/>
      <c r="C2893" s="14"/>
      <c r="D2893" s="5" t="str">
        <f t="shared" si="276"/>
        <v/>
      </c>
      <c r="E2893" s="5" t="str">
        <f t="shared" si="277"/>
        <v/>
      </c>
      <c r="F2893" s="5" t="str">
        <f t="shared" si="278"/>
        <v/>
      </c>
      <c r="G2893" s="23"/>
      <c r="H2893" s="66"/>
      <c r="I2893" s="14"/>
      <c r="J2893" s="14"/>
      <c r="K2893" s="14"/>
      <c r="L2893" s="5" t="str">
        <f t="shared" si="273"/>
        <v/>
      </c>
      <c r="M2893" s="5" t="str">
        <f t="shared" si="274"/>
        <v/>
      </c>
      <c r="N2893" s="5" t="str">
        <f t="shared" si="275"/>
        <v/>
      </c>
      <c r="O2893" s="4"/>
    </row>
    <row r="2894" spans="1:15" x14ac:dyDescent="0.25">
      <c r="A2894" s="14"/>
      <c r="B2894" s="14"/>
      <c r="C2894" s="14"/>
      <c r="D2894" s="5" t="str">
        <f t="shared" si="276"/>
        <v/>
      </c>
      <c r="E2894" s="5" t="str">
        <f t="shared" si="277"/>
        <v/>
      </c>
      <c r="F2894" s="5" t="str">
        <f t="shared" si="278"/>
        <v/>
      </c>
      <c r="G2894" s="23"/>
      <c r="H2894" s="66"/>
      <c r="I2894" s="14"/>
      <c r="J2894" s="14"/>
      <c r="K2894" s="14"/>
      <c r="L2894" s="5" t="str">
        <f t="shared" si="273"/>
        <v/>
      </c>
      <c r="M2894" s="5" t="str">
        <f t="shared" si="274"/>
        <v/>
      </c>
      <c r="N2894" s="5" t="str">
        <f t="shared" si="275"/>
        <v/>
      </c>
      <c r="O2894" s="4"/>
    </row>
    <row r="2895" spans="1:15" x14ac:dyDescent="0.25">
      <c r="A2895" s="14"/>
      <c r="B2895" s="14"/>
      <c r="C2895" s="14"/>
      <c r="D2895" s="5" t="str">
        <f t="shared" si="276"/>
        <v/>
      </c>
      <c r="E2895" s="5" t="str">
        <f t="shared" si="277"/>
        <v/>
      </c>
      <c r="F2895" s="5" t="str">
        <f t="shared" si="278"/>
        <v/>
      </c>
      <c r="G2895" s="23"/>
      <c r="H2895" s="66"/>
      <c r="I2895" s="14"/>
      <c r="J2895" s="14"/>
      <c r="K2895" s="14"/>
      <c r="L2895" s="5" t="str">
        <f t="shared" si="273"/>
        <v/>
      </c>
      <c r="M2895" s="5" t="str">
        <f t="shared" si="274"/>
        <v/>
      </c>
      <c r="N2895" s="5" t="str">
        <f t="shared" si="275"/>
        <v/>
      </c>
      <c r="O2895" s="4"/>
    </row>
    <row r="2896" spans="1:15" x14ac:dyDescent="0.25">
      <c r="A2896" s="14"/>
      <c r="B2896" s="14"/>
      <c r="C2896" s="14"/>
      <c r="D2896" s="5" t="str">
        <f t="shared" si="276"/>
        <v/>
      </c>
      <c r="E2896" s="5" t="str">
        <f t="shared" si="277"/>
        <v/>
      </c>
      <c r="F2896" s="5" t="str">
        <f t="shared" si="278"/>
        <v/>
      </c>
      <c r="G2896" s="23"/>
      <c r="H2896" s="66"/>
      <c r="I2896" s="14"/>
      <c r="J2896" s="14"/>
      <c r="K2896" s="14"/>
      <c r="L2896" s="5" t="str">
        <f t="shared" si="273"/>
        <v/>
      </c>
      <c r="M2896" s="5" t="str">
        <f t="shared" si="274"/>
        <v/>
      </c>
      <c r="N2896" s="5" t="str">
        <f t="shared" si="275"/>
        <v/>
      </c>
      <c r="O2896" s="4"/>
    </row>
    <row r="2897" spans="1:15" x14ac:dyDescent="0.25">
      <c r="A2897" s="14"/>
      <c r="B2897" s="14"/>
      <c r="C2897" s="14"/>
      <c r="D2897" s="5" t="str">
        <f t="shared" si="276"/>
        <v/>
      </c>
      <c r="E2897" s="5" t="str">
        <f t="shared" si="277"/>
        <v/>
      </c>
      <c r="F2897" s="5" t="str">
        <f t="shared" si="278"/>
        <v/>
      </c>
      <c r="G2897" s="23"/>
      <c r="H2897" s="66"/>
      <c r="I2897" s="14"/>
      <c r="J2897" s="14"/>
      <c r="K2897" s="14"/>
      <c r="L2897" s="5" t="str">
        <f t="shared" ref="L2897:L2960" si="279">IFERROR(IF(I2897&lt;&gt;"",(((J2897-J2896)*$X$4/(I2897-I2896)))*$X$5,""),"")</f>
        <v/>
      </c>
      <c r="M2897" s="5" t="str">
        <f t="shared" ref="M2897:M2960" si="280">IFERROR(IF(I2897&lt;&gt;"",(((K2897-K2896)*$X$4/(I2897-I2896)))*$X$5,""),"")</f>
        <v/>
      </c>
      <c r="N2897" s="5" t="str">
        <f t="shared" ref="N2897:N2960" si="281">IFERROR(IF(I2897&lt;&gt;"",((ACOS((COS(RADIANS(J2896))*COS(RADIANS(J2897)))+(SIN(RADIANS(J2896))*SIN(RADIANS(J2897)))*COS(RADIANS(K2897-K2896)))*180/PI()*($X$4/(I2897-I2896))))*$X$5,""),"")</f>
        <v/>
      </c>
      <c r="O2897" s="4"/>
    </row>
    <row r="2898" spans="1:15" x14ac:dyDescent="0.25">
      <c r="A2898" s="14"/>
      <c r="B2898" s="14"/>
      <c r="C2898" s="14"/>
      <c r="D2898" s="5" t="str">
        <f t="shared" si="276"/>
        <v/>
      </c>
      <c r="E2898" s="5" t="str">
        <f t="shared" si="277"/>
        <v/>
      </c>
      <c r="F2898" s="5" t="str">
        <f t="shared" si="278"/>
        <v/>
      </c>
      <c r="G2898" s="23"/>
      <c r="H2898" s="66"/>
      <c r="I2898" s="14"/>
      <c r="J2898" s="14"/>
      <c r="K2898" s="14"/>
      <c r="L2898" s="5" t="str">
        <f t="shared" si="279"/>
        <v/>
      </c>
      <c r="M2898" s="5" t="str">
        <f t="shared" si="280"/>
        <v/>
      </c>
      <c r="N2898" s="5" t="str">
        <f t="shared" si="281"/>
        <v/>
      </c>
      <c r="O2898" s="4"/>
    </row>
    <row r="2899" spans="1:15" x14ac:dyDescent="0.25">
      <c r="A2899" s="14"/>
      <c r="B2899" s="14"/>
      <c r="C2899" s="14"/>
      <c r="D2899" s="5" t="str">
        <f t="shared" si="276"/>
        <v/>
      </c>
      <c r="E2899" s="5" t="str">
        <f t="shared" si="277"/>
        <v/>
      </c>
      <c r="F2899" s="5" t="str">
        <f t="shared" si="278"/>
        <v/>
      </c>
      <c r="G2899" s="23"/>
      <c r="H2899" s="66"/>
      <c r="I2899" s="14"/>
      <c r="J2899" s="14"/>
      <c r="K2899" s="14"/>
      <c r="L2899" s="5" t="str">
        <f t="shared" si="279"/>
        <v/>
      </c>
      <c r="M2899" s="5" t="str">
        <f t="shared" si="280"/>
        <v/>
      </c>
      <c r="N2899" s="5" t="str">
        <f t="shared" si="281"/>
        <v/>
      </c>
      <c r="O2899" s="4"/>
    </row>
    <row r="2900" spans="1:15" x14ac:dyDescent="0.25">
      <c r="A2900" s="14"/>
      <c r="B2900" s="14"/>
      <c r="C2900" s="14"/>
      <c r="D2900" s="5" t="str">
        <f t="shared" si="276"/>
        <v/>
      </c>
      <c r="E2900" s="5" t="str">
        <f t="shared" si="277"/>
        <v/>
      </c>
      <c r="F2900" s="5" t="str">
        <f t="shared" si="278"/>
        <v/>
      </c>
      <c r="G2900" s="23"/>
      <c r="H2900" s="66"/>
      <c r="I2900" s="14"/>
      <c r="J2900" s="14"/>
      <c r="K2900" s="14"/>
      <c r="L2900" s="5" t="str">
        <f t="shared" si="279"/>
        <v/>
      </c>
      <c r="M2900" s="5" t="str">
        <f t="shared" si="280"/>
        <v/>
      </c>
      <c r="N2900" s="5" t="str">
        <f t="shared" si="281"/>
        <v/>
      </c>
      <c r="O2900" s="4"/>
    </row>
    <row r="2901" spans="1:15" x14ac:dyDescent="0.25">
      <c r="A2901" s="14"/>
      <c r="B2901" s="14"/>
      <c r="C2901" s="14"/>
      <c r="D2901" s="5" t="str">
        <f t="shared" si="276"/>
        <v/>
      </c>
      <c r="E2901" s="5" t="str">
        <f t="shared" si="277"/>
        <v/>
      </c>
      <c r="F2901" s="5" t="str">
        <f t="shared" si="278"/>
        <v/>
      </c>
      <c r="G2901" s="23"/>
      <c r="H2901" s="66"/>
      <c r="I2901" s="14"/>
      <c r="J2901" s="14"/>
      <c r="K2901" s="14"/>
      <c r="L2901" s="5" t="str">
        <f t="shared" si="279"/>
        <v/>
      </c>
      <c r="M2901" s="5" t="str">
        <f t="shared" si="280"/>
        <v/>
      </c>
      <c r="N2901" s="5" t="str">
        <f t="shared" si="281"/>
        <v/>
      </c>
      <c r="O2901" s="4"/>
    </row>
    <row r="2902" spans="1:15" x14ac:dyDescent="0.25">
      <c r="A2902" s="14"/>
      <c r="B2902" s="14"/>
      <c r="C2902" s="14"/>
      <c r="D2902" s="5" t="str">
        <f t="shared" si="276"/>
        <v/>
      </c>
      <c r="E2902" s="5" t="str">
        <f t="shared" si="277"/>
        <v/>
      </c>
      <c r="F2902" s="5" t="str">
        <f t="shared" si="278"/>
        <v/>
      </c>
      <c r="G2902" s="23"/>
      <c r="H2902" s="66"/>
      <c r="I2902" s="14"/>
      <c r="J2902" s="14"/>
      <c r="K2902" s="14"/>
      <c r="L2902" s="5" t="str">
        <f t="shared" si="279"/>
        <v/>
      </c>
      <c r="M2902" s="5" t="str">
        <f t="shared" si="280"/>
        <v/>
      </c>
      <c r="N2902" s="5" t="str">
        <f t="shared" si="281"/>
        <v/>
      </c>
      <c r="O2902" s="4"/>
    </row>
    <row r="2903" spans="1:15" x14ac:dyDescent="0.25">
      <c r="A2903" s="14"/>
      <c r="B2903" s="14"/>
      <c r="C2903" s="14"/>
      <c r="D2903" s="5" t="str">
        <f t="shared" si="276"/>
        <v/>
      </c>
      <c r="E2903" s="5" t="str">
        <f t="shared" si="277"/>
        <v/>
      </c>
      <c r="F2903" s="5" t="str">
        <f t="shared" si="278"/>
        <v/>
      </c>
      <c r="G2903" s="23"/>
      <c r="H2903" s="66"/>
      <c r="I2903" s="14"/>
      <c r="J2903" s="14"/>
      <c r="K2903" s="14"/>
      <c r="L2903" s="5" t="str">
        <f t="shared" si="279"/>
        <v/>
      </c>
      <c r="M2903" s="5" t="str">
        <f t="shared" si="280"/>
        <v/>
      </c>
      <c r="N2903" s="5" t="str">
        <f t="shared" si="281"/>
        <v/>
      </c>
      <c r="O2903" s="4"/>
    </row>
    <row r="2904" spans="1:15" x14ac:dyDescent="0.25">
      <c r="A2904" s="14"/>
      <c r="B2904" s="14"/>
      <c r="C2904" s="14"/>
      <c r="D2904" s="5" t="str">
        <f t="shared" si="276"/>
        <v/>
      </c>
      <c r="E2904" s="5" t="str">
        <f t="shared" si="277"/>
        <v/>
      </c>
      <c r="F2904" s="5" t="str">
        <f t="shared" si="278"/>
        <v/>
      </c>
      <c r="G2904" s="23"/>
      <c r="H2904" s="66"/>
      <c r="I2904" s="14"/>
      <c r="J2904" s="14"/>
      <c r="K2904" s="14"/>
      <c r="L2904" s="5" t="str">
        <f t="shared" si="279"/>
        <v/>
      </c>
      <c r="M2904" s="5" t="str">
        <f t="shared" si="280"/>
        <v/>
      </c>
      <c r="N2904" s="5" t="str">
        <f t="shared" si="281"/>
        <v/>
      </c>
      <c r="O2904" s="4"/>
    </row>
    <row r="2905" spans="1:15" x14ac:dyDescent="0.25">
      <c r="A2905" s="14"/>
      <c r="B2905" s="14"/>
      <c r="C2905" s="14"/>
      <c r="D2905" s="5" t="str">
        <f t="shared" ref="D2905:D2968" si="282">IFERROR( IF(A2905&lt;&gt;"",((B2905-B2904)*$X$4/(A2905-A2904))*$X$5,""),"")</f>
        <v/>
      </c>
      <c r="E2905" s="5" t="str">
        <f t="shared" ref="E2905:E2968" si="283">IFERROR(IF(A2905&lt;&gt;"",((C2905-C2904)*$X$4/(A2905-A2904))*$X$5,""),"")</f>
        <v/>
      </c>
      <c r="F2905" s="5" t="str">
        <f t="shared" ref="F2905:F2968" si="284">IFERROR(IF(A2905&lt;&gt;"",((ACOS((COS(RADIANS(B2904))*COS(RADIANS(B2905)))+(SIN(RADIANS(B2904))*SIN(RADIANS(B2905)))*COS(RADIANS(C2905-C2904)))*180/PI()*($X$4/(A2905-A2904))))*$X$5,""),"")</f>
        <v/>
      </c>
      <c r="G2905" s="23"/>
      <c r="H2905" s="66"/>
      <c r="I2905" s="14"/>
      <c r="J2905" s="14"/>
      <c r="K2905" s="14"/>
      <c r="L2905" s="5" t="str">
        <f t="shared" si="279"/>
        <v/>
      </c>
      <c r="M2905" s="5" t="str">
        <f t="shared" si="280"/>
        <v/>
      </c>
      <c r="N2905" s="5" t="str">
        <f t="shared" si="281"/>
        <v/>
      </c>
      <c r="O2905" s="4"/>
    </row>
    <row r="2906" spans="1:15" x14ac:dyDescent="0.25">
      <c r="A2906" s="14"/>
      <c r="B2906" s="14"/>
      <c r="C2906" s="14"/>
      <c r="D2906" s="5" t="str">
        <f t="shared" si="282"/>
        <v/>
      </c>
      <c r="E2906" s="5" t="str">
        <f t="shared" si="283"/>
        <v/>
      </c>
      <c r="F2906" s="5" t="str">
        <f t="shared" si="284"/>
        <v/>
      </c>
      <c r="G2906" s="23"/>
      <c r="H2906" s="66"/>
      <c r="I2906" s="14"/>
      <c r="J2906" s="14"/>
      <c r="K2906" s="14"/>
      <c r="L2906" s="5" t="str">
        <f t="shared" si="279"/>
        <v/>
      </c>
      <c r="M2906" s="5" t="str">
        <f t="shared" si="280"/>
        <v/>
      </c>
      <c r="N2906" s="5" t="str">
        <f t="shared" si="281"/>
        <v/>
      </c>
      <c r="O2906" s="4"/>
    </row>
    <row r="2907" spans="1:15" x14ac:dyDescent="0.25">
      <c r="A2907" s="14"/>
      <c r="B2907" s="14"/>
      <c r="C2907" s="14"/>
      <c r="D2907" s="5" t="str">
        <f t="shared" si="282"/>
        <v/>
      </c>
      <c r="E2907" s="5" t="str">
        <f t="shared" si="283"/>
        <v/>
      </c>
      <c r="F2907" s="5" t="str">
        <f t="shared" si="284"/>
        <v/>
      </c>
      <c r="G2907" s="23"/>
      <c r="H2907" s="66"/>
      <c r="I2907" s="14"/>
      <c r="J2907" s="14"/>
      <c r="K2907" s="14"/>
      <c r="L2907" s="5" t="str">
        <f t="shared" si="279"/>
        <v/>
      </c>
      <c r="M2907" s="5" t="str">
        <f t="shared" si="280"/>
        <v/>
      </c>
      <c r="N2907" s="5" t="str">
        <f t="shared" si="281"/>
        <v/>
      </c>
      <c r="O2907" s="4"/>
    </row>
    <row r="2908" spans="1:15" x14ac:dyDescent="0.25">
      <c r="A2908" s="14"/>
      <c r="B2908" s="14"/>
      <c r="C2908" s="14"/>
      <c r="D2908" s="5" t="str">
        <f t="shared" si="282"/>
        <v/>
      </c>
      <c r="E2908" s="5" t="str">
        <f t="shared" si="283"/>
        <v/>
      </c>
      <c r="F2908" s="5" t="str">
        <f t="shared" si="284"/>
        <v/>
      </c>
      <c r="G2908" s="23"/>
      <c r="H2908" s="66"/>
      <c r="I2908" s="14"/>
      <c r="J2908" s="14"/>
      <c r="K2908" s="14"/>
      <c r="L2908" s="5" t="str">
        <f t="shared" si="279"/>
        <v/>
      </c>
      <c r="M2908" s="5" t="str">
        <f t="shared" si="280"/>
        <v/>
      </c>
      <c r="N2908" s="5" t="str">
        <f t="shared" si="281"/>
        <v/>
      </c>
      <c r="O2908" s="4"/>
    </row>
    <row r="2909" spans="1:15" x14ac:dyDescent="0.25">
      <c r="A2909" s="14"/>
      <c r="B2909" s="14"/>
      <c r="C2909" s="14"/>
      <c r="D2909" s="5" t="str">
        <f t="shared" si="282"/>
        <v/>
      </c>
      <c r="E2909" s="5" t="str">
        <f t="shared" si="283"/>
        <v/>
      </c>
      <c r="F2909" s="5" t="str">
        <f t="shared" si="284"/>
        <v/>
      </c>
      <c r="G2909" s="23"/>
      <c r="H2909" s="66"/>
      <c r="I2909" s="14"/>
      <c r="J2909" s="14"/>
      <c r="K2909" s="14"/>
      <c r="L2909" s="5" t="str">
        <f t="shared" si="279"/>
        <v/>
      </c>
      <c r="M2909" s="5" t="str">
        <f t="shared" si="280"/>
        <v/>
      </c>
      <c r="N2909" s="5" t="str">
        <f t="shared" si="281"/>
        <v/>
      </c>
      <c r="O2909" s="4"/>
    </row>
    <row r="2910" spans="1:15" x14ac:dyDescent="0.25">
      <c r="A2910" s="14"/>
      <c r="B2910" s="14"/>
      <c r="C2910" s="14"/>
      <c r="D2910" s="5" t="str">
        <f t="shared" si="282"/>
        <v/>
      </c>
      <c r="E2910" s="5" t="str">
        <f t="shared" si="283"/>
        <v/>
      </c>
      <c r="F2910" s="5" t="str">
        <f t="shared" si="284"/>
        <v/>
      </c>
      <c r="G2910" s="23"/>
      <c r="H2910" s="66"/>
      <c r="I2910" s="14"/>
      <c r="J2910" s="14"/>
      <c r="K2910" s="14"/>
      <c r="L2910" s="5" t="str">
        <f t="shared" si="279"/>
        <v/>
      </c>
      <c r="M2910" s="5" t="str">
        <f t="shared" si="280"/>
        <v/>
      </c>
      <c r="N2910" s="5" t="str">
        <f t="shared" si="281"/>
        <v/>
      </c>
      <c r="O2910" s="4"/>
    </row>
    <row r="2911" spans="1:15" x14ac:dyDescent="0.25">
      <c r="A2911" s="14"/>
      <c r="B2911" s="14"/>
      <c r="C2911" s="14"/>
      <c r="D2911" s="5" t="str">
        <f t="shared" si="282"/>
        <v/>
      </c>
      <c r="E2911" s="5" t="str">
        <f t="shared" si="283"/>
        <v/>
      </c>
      <c r="F2911" s="5" t="str">
        <f t="shared" si="284"/>
        <v/>
      </c>
      <c r="G2911" s="23"/>
      <c r="H2911" s="66"/>
      <c r="I2911" s="14"/>
      <c r="J2911" s="14"/>
      <c r="K2911" s="14"/>
      <c r="L2911" s="5" t="str">
        <f t="shared" si="279"/>
        <v/>
      </c>
      <c r="M2911" s="5" t="str">
        <f t="shared" si="280"/>
        <v/>
      </c>
      <c r="N2911" s="5" t="str">
        <f t="shared" si="281"/>
        <v/>
      </c>
      <c r="O2911" s="4"/>
    </row>
    <row r="2912" spans="1:15" x14ac:dyDescent="0.25">
      <c r="A2912" s="14"/>
      <c r="B2912" s="14"/>
      <c r="C2912" s="14"/>
      <c r="D2912" s="5" t="str">
        <f t="shared" si="282"/>
        <v/>
      </c>
      <c r="E2912" s="5" t="str">
        <f t="shared" si="283"/>
        <v/>
      </c>
      <c r="F2912" s="5" t="str">
        <f t="shared" si="284"/>
        <v/>
      </c>
      <c r="G2912" s="23"/>
      <c r="H2912" s="66"/>
      <c r="I2912" s="14"/>
      <c r="J2912" s="14"/>
      <c r="K2912" s="14"/>
      <c r="L2912" s="5" t="str">
        <f t="shared" si="279"/>
        <v/>
      </c>
      <c r="M2912" s="5" t="str">
        <f t="shared" si="280"/>
        <v/>
      </c>
      <c r="N2912" s="5" t="str">
        <f t="shared" si="281"/>
        <v/>
      </c>
      <c r="O2912" s="4"/>
    </row>
    <row r="2913" spans="1:15" x14ac:dyDescent="0.25">
      <c r="A2913" s="14"/>
      <c r="B2913" s="14"/>
      <c r="C2913" s="14"/>
      <c r="D2913" s="5" t="str">
        <f t="shared" si="282"/>
        <v/>
      </c>
      <c r="E2913" s="5" t="str">
        <f t="shared" si="283"/>
        <v/>
      </c>
      <c r="F2913" s="5" t="str">
        <f t="shared" si="284"/>
        <v/>
      </c>
      <c r="G2913" s="23"/>
      <c r="H2913" s="66"/>
      <c r="I2913" s="14"/>
      <c r="J2913" s="14"/>
      <c r="K2913" s="14"/>
      <c r="L2913" s="5" t="str">
        <f t="shared" si="279"/>
        <v/>
      </c>
      <c r="M2913" s="5" t="str">
        <f t="shared" si="280"/>
        <v/>
      </c>
      <c r="N2913" s="5" t="str">
        <f t="shared" si="281"/>
        <v/>
      </c>
      <c r="O2913" s="4"/>
    </row>
    <row r="2914" spans="1:15" x14ac:dyDescent="0.25">
      <c r="A2914" s="14"/>
      <c r="B2914" s="14"/>
      <c r="C2914" s="14"/>
      <c r="D2914" s="5" t="str">
        <f t="shared" si="282"/>
        <v/>
      </c>
      <c r="E2914" s="5" t="str">
        <f t="shared" si="283"/>
        <v/>
      </c>
      <c r="F2914" s="5" t="str">
        <f t="shared" si="284"/>
        <v/>
      </c>
      <c r="G2914" s="23"/>
      <c r="H2914" s="66"/>
      <c r="I2914" s="14"/>
      <c r="J2914" s="14"/>
      <c r="K2914" s="14"/>
      <c r="L2914" s="5" t="str">
        <f t="shared" si="279"/>
        <v/>
      </c>
      <c r="M2914" s="5" t="str">
        <f t="shared" si="280"/>
        <v/>
      </c>
      <c r="N2914" s="5" t="str">
        <f t="shared" si="281"/>
        <v/>
      </c>
      <c r="O2914" s="4"/>
    </row>
    <row r="2915" spans="1:15" x14ac:dyDescent="0.25">
      <c r="A2915" s="14"/>
      <c r="B2915" s="14"/>
      <c r="C2915" s="14"/>
      <c r="D2915" s="5" t="str">
        <f t="shared" si="282"/>
        <v/>
      </c>
      <c r="E2915" s="5" t="str">
        <f t="shared" si="283"/>
        <v/>
      </c>
      <c r="F2915" s="5" t="str">
        <f t="shared" si="284"/>
        <v/>
      </c>
      <c r="G2915" s="23"/>
      <c r="H2915" s="66"/>
      <c r="I2915" s="14"/>
      <c r="J2915" s="14"/>
      <c r="K2915" s="14"/>
      <c r="L2915" s="5" t="str">
        <f t="shared" si="279"/>
        <v/>
      </c>
      <c r="M2915" s="5" t="str">
        <f t="shared" si="280"/>
        <v/>
      </c>
      <c r="N2915" s="5" t="str">
        <f t="shared" si="281"/>
        <v/>
      </c>
      <c r="O2915" s="4"/>
    </row>
    <row r="2916" spans="1:15" x14ac:dyDescent="0.25">
      <c r="A2916" s="14"/>
      <c r="B2916" s="14"/>
      <c r="C2916" s="14"/>
      <c r="D2916" s="5" t="str">
        <f t="shared" si="282"/>
        <v/>
      </c>
      <c r="E2916" s="5" t="str">
        <f t="shared" si="283"/>
        <v/>
      </c>
      <c r="F2916" s="5" t="str">
        <f t="shared" si="284"/>
        <v/>
      </c>
      <c r="G2916" s="23"/>
      <c r="H2916" s="66"/>
      <c r="I2916" s="14"/>
      <c r="J2916" s="14"/>
      <c r="K2916" s="14"/>
      <c r="L2916" s="5" t="str">
        <f t="shared" si="279"/>
        <v/>
      </c>
      <c r="M2916" s="5" t="str">
        <f t="shared" si="280"/>
        <v/>
      </c>
      <c r="N2916" s="5" t="str">
        <f t="shared" si="281"/>
        <v/>
      </c>
      <c r="O2916" s="4"/>
    </row>
    <row r="2917" spans="1:15" x14ac:dyDescent="0.25">
      <c r="A2917" s="14"/>
      <c r="B2917" s="14"/>
      <c r="C2917" s="14"/>
      <c r="D2917" s="5" t="str">
        <f t="shared" si="282"/>
        <v/>
      </c>
      <c r="E2917" s="5" t="str">
        <f t="shared" si="283"/>
        <v/>
      </c>
      <c r="F2917" s="5" t="str">
        <f t="shared" si="284"/>
        <v/>
      </c>
      <c r="G2917" s="23"/>
      <c r="H2917" s="66"/>
      <c r="I2917" s="14"/>
      <c r="J2917" s="14"/>
      <c r="K2917" s="14"/>
      <c r="L2917" s="5" t="str">
        <f t="shared" si="279"/>
        <v/>
      </c>
      <c r="M2917" s="5" t="str">
        <f t="shared" si="280"/>
        <v/>
      </c>
      <c r="N2917" s="5" t="str">
        <f t="shared" si="281"/>
        <v/>
      </c>
      <c r="O2917" s="4"/>
    </row>
    <row r="2918" spans="1:15" x14ac:dyDescent="0.25">
      <c r="A2918" s="14"/>
      <c r="B2918" s="14"/>
      <c r="C2918" s="14"/>
      <c r="D2918" s="5" t="str">
        <f t="shared" si="282"/>
        <v/>
      </c>
      <c r="E2918" s="5" t="str">
        <f t="shared" si="283"/>
        <v/>
      </c>
      <c r="F2918" s="5" t="str">
        <f t="shared" si="284"/>
        <v/>
      </c>
      <c r="G2918" s="23"/>
      <c r="H2918" s="66"/>
      <c r="I2918" s="14"/>
      <c r="J2918" s="14"/>
      <c r="K2918" s="14"/>
      <c r="L2918" s="5" t="str">
        <f t="shared" si="279"/>
        <v/>
      </c>
      <c r="M2918" s="5" t="str">
        <f t="shared" si="280"/>
        <v/>
      </c>
      <c r="N2918" s="5" t="str">
        <f t="shared" si="281"/>
        <v/>
      </c>
      <c r="O2918" s="4"/>
    </row>
    <row r="2919" spans="1:15" x14ac:dyDescent="0.25">
      <c r="A2919" s="14"/>
      <c r="B2919" s="14"/>
      <c r="C2919" s="14"/>
      <c r="D2919" s="5" t="str">
        <f t="shared" si="282"/>
        <v/>
      </c>
      <c r="E2919" s="5" t="str">
        <f t="shared" si="283"/>
        <v/>
      </c>
      <c r="F2919" s="5" t="str">
        <f t="shared" si="284"/>
        <v/>
      </c>
      <c r="G2919" s="23"/>
      <c r="H2919" s="66"/>
      <c r="I2919" s="14"/>
      <c r="J2919" s="14"/>
      <c r="K2919" s="14"/>
      <c r="L2919" s="5" t="str">
        <f t="shared" si="279"/>
        <v/>
      </c>
      <c r="M2919" s="5" t="str">
        <f t="shared" si="280"/>
        <v/>
      </c>
      <c r="N2919" s="5" t="str">
        <f t="shared" si="281"/>
        <v/>
      </c>
      <c r="O2919" s="4"/>
    </row>
    <row r="2920" spans="1:15" x14ac:dyDescent="0.25">
      <c r="A2920" s="14"/>
      <c r="B2920" s="14"/>
      <c r="C2920" s="14"/>
      <c r="D2920" s="5" t="str">
        <f t="shared" si="282"/>
        <v/>
      </c>
      <c r="E2920" s="5" t="str">
        <f t="shared" si="283"/>
        <v/>
      </c>
      <c r="F2920" s="5" t="str">
        <f t="shared" si="284"/>
        <v/>
      </c>
      <c r="G2920" s="23"/>
      <c r="H2920" s="66"/>
      <c r="I2920" s="14"/>
      <c r="J2920" s="14"/>
      <c r="K2920" s="14"/>
      <c r="L2920" s="5" t="str">
        <f t="shared" si="279"/>
        <v/>
      </c>
      <c r="M2920" s="5" t="str">
        <f t="shared" si="280"/>
        <v/>
      </c>
      <c r="N2920" s="5" t="str">
        <f t="shared" si="281"/>
        <v/>
      </c>
      <c r="O2920" s="4"/>
    </row>
    <row r="2921" spans="1:15" x14ac:dyDescent="0.25">
      <c r="A2921" s="14"/>
      <c r="B2921" s="14"/>
      <c r="C2921" s="14"/>
      <c r="D2921" s="5" t="str">
        <f t="shared" si="282"/>
        <v/>
      </c>
      <c r="E2921" s="5" t="str">
        <f t="shared" si="283"/>
        <v/>
      </c>
      <c r="F2921" s="5" t="str">
        <f t="shared" si="284"/>
        <v/>
      </c>
      <c r="G2921" s="23"/>
      <c r="H2921" s="66"/>
      <c r="I2921" s="14"/>
      <c r="J2921" s="14"/>
      <c r="K2921" s="14"/>
      <c r="L2921" s="5" t="str">
        <f t="shared" si="279"/>
        <v/>
      </c>
      <c r="M2921" s="5" t="str">
        <f t="shared" si="280"/>
        <v/>
      </c>
      <c r="N2921" s="5" t="str">
        <f t="shared" si="281"/>
        <v/>
      </c>
      <c r="O2921" s="4"/>
    </row>
    <row r="2922" spans="1:15" x14ac:dyDescent="0.25">
      <c r="A2922" s="14"/>
      <c r="B2922" s="14"/>
      <c r="C2922" s="14"/>
      <c r="D2922" s="5" t="str">
        <f t="shared" si="282"/>
        <v/>
      </c>
      <c r="E2922" s="5" t="str">
        <f t="shared" si="283"/>
        <v/>
      </c>
      <c r="F2922" s="5" t="str">
        <f t="shared" si="284"/>
        <v/>
      </c>
      <c r="G2922" s="23"/>
      <c r="H2922" s="66"/>
      <c r="I2922" s="14"/>
      <c r="J2922" s="14"/>
      <c r="K2922" s="14"/>
      <c r="L2922" s="5" t="str">
        <f t="shared" si="279"/>
        <v/>
      </c>
      <c r="M2922" s="5" t="str">
        <f t="shared" si="280"/>
        <v/>
      </c>
      <c r="N2922" s="5" t="str">
        <f t="shared" si="281"/>
        <v/>
      </c>
      <c r="O2922" s="4"/>
    </row>
    <row r="2923" spans="1:15" x14ac:dyDescent="0.25">
      <c r="A2923" s="14"/>
      <c r="B2923" s="14"/>
      <c r="C2923" s="14"/>
      <c r="D2923" s="5" t="str">
        <f t="shared" si="282"/>
        <v/>
      </c>
      <c r="E2923" s="5" t="str">
        <f t="shared" si="283"/>
        <v/>
      </c>
      <c r="F2923" s="5" t="str">
        <f t="shared" si="284"/>
        <v/>
      </c>
      <c r="G2923" s="23"/>
      <c r="H2923" s="66"/>
      <c r="I2923" s="14"/>
      <c r="J2923" s="14"/>
      <c r="K2923" s="14"/>
      <c r="L2923" s="5" t="str">
        <f t="shared" si="279"/>
        <v/>
      </c>
      <c r="M2923" s="5" t="str">
        <f t="shared" si="280"/>
        <v/>
      </c>
      <c r="N2923" s="5" t="str">
        <f t="shared" si="281"/>
        <v/>
      </c>
      <c r="O2923" s="4"/>
    </row>
    <row r="2924" spans="1:15" x14ac:dyDescent="0.25">
      <c r="A2924" s="14"/>
      <c r="B2924" s="14"/>
      <c r="C2924" s="14"/>
      <c r="D2924" s="5" t="str">
        <f t="shared" si="282"/>
        <v/>
      </c>
      <c r="E2924" s="5" t="str">
        <f t="shared" si="283"/>
        <v/>
      </c>
      <c r="F2924" s="5" t="str">
        <f t="shared" si="284"/>
        <v/>
      </c>
      <c r="G2924" s="23"/>
      <c r="H2924" s="66"/>
      <c r="I2924" s="14"/>
      <c r="J2924" s="14"/>
      <c r="K2924" s="14"/>
      <c r="L2924" s="5" t="str">
        <f t="shared" si="279"/>
        <v/>
      </c>
      <c r="M2924" s="5" t="str">
        <f t="shared" si="280"/>
        <v/>
      </c>
      <c r="N2924" s="5" t="str">
        <f t="shared" si="281"/>
        <v/>
      </c>
      <c r="O2924" s="4"/>
    </row>
    <row r="2925" spans="1:15" x14ac:dyDescent="0.25">
      <c r="A2925" s="14"/>
      <c r="B2925" s="14"/>
      <c r="C2925" s="14"/>
      <c r="D2925" s="5" t="str">
        <f t="shared" si="282"/>
        <v/>
      </c>
      <c r="E2925" s="5" t="str">
        <f t="shared" si="283"/>
        <v/>
      </c>
      <c r="F2925" s="5" t="str">
        <f t="shared" si="284"/>
        <v/>
      </c>
      <c r="G2925" s="23"/>
      <c r="H2925" s="66"/>
      <c r="I2925" s="14"/>
      <c r="J2925" s="14"/>
      <c r="K2925" s="14"/>
      <c r="L2925" s="5" t="str">
        <f t="shared" si="279"/>
        <v/>
      </c>
      <c r="M2925" s="5" t="str">
        <f t="shared" si="280"/>
        <v/>
      </c>
      <c r="N2925" s="5" t="str">
        <f t="shared" si="281"/>
        <v/>
      </c>
      <c r="O2925" s="4"/>
    </row>
    <row r="2926" spans="1:15" x14ac:dyDescent="0.25">
      <c r="A2926" s="14"/>
      <c r="B2926" s="14"/>
      <c r="C2926" s="14"/>
      <c r="D2926" s="5" t="str">
        <f t="shared" si="282"/>
        <v/>
      </c>
      <c r="E2926" s="5" t="str">
        <f t="shared" si="283"/>
        <v/>
      </c>
      <c r="F2926" s="5" t="str">
        <f t="shared" si="284"/>
        <v/>
      </c>
      <c r="G2926" s="23"/>
      <c r="H2926" s="66"/>
      <c r="I2926" s="14"/>
      <c r="J2926" s="14"/>
      <c r="K2926" s="14"/>
      <c r="L2926" s="5" t="str">
        <f t="shared" si="279"/>
        <v/>
      </c>
      <c r="M2926" s="5" t="str">
        <f t="shared" si="280"/>
        <v/>
      </c>
      <c r="N2926" s="5" t="str">
        <f t="shared" si="281"/>
        <v/>
      </c>
      <c r="O2926" s="4"/>
    </row>
    <row r="2927" spans="1:15" x14ac:dyDescent="0.25">
      <c r="A2927" s="14"/>
      <c r="B2927" s="14"/>
      <c r="C2927" s="14"/>
      <c r="D2927" s="5" t="str">
        <f t="shared" si="282"/>
        <v/>
      </c>
      <c r="E2927" s="5" t="str">
        <f t="shared" si="283"/>
        <v/>
      </c>
      <c r="F2927" s="5" t="str">
        <f t="shared" si="284"/>
        <v/>
      </c>
      <c r="G2927" s="23"/>
      <c r="H2927" s="66"/>
      <c r="I2927" s="14"/>
      <c r="J2927" s="14"/>
      <c r="K2927" s="14"/>
      <c r="L2927" s="5" t="str">
        <f t="shared" si="279"/>
        <v/>
      </c>
      <c r="M2927" s="5" t="str">
        <f t="shared" si="280"/>
        <v/>
      </c>
      <c r="N2927" s="5" t="str">
        <f t="shared" si="281"/>
        <v/>
      </c>
      <c r="O2927" s="4"/>
    </row>
    <row r="2928" spans="1:15" x14ac:dyDescent="0.25">
      <c r="A2928" s="14"/>
      <c r="B2928" s="14"/>
      <c r="C2928" s="14"/>
      <c r="D2928" s="5" t="str">
        <f t="shared" si="282"/>
        <v/>
      </c>
      <c r="E2928" s="5" t="str">
        <f t="shared" si="283"/>
        <v/>
      </c>
      <c r="F2928" s="5" t="str">
        <f t="shared" si="284"/>
        <v/>
      </c>
      <c r="G2928" s="23"/>
      <c r="H2928" s="66"/>
      <c r="I2928" s="14"/>
      <c r="J2928" s="14"/>
      <c r="K2928" s="14"/>
      <c r="L2928" s="5" t="str">
        <f t="shared" si="279"/>
        <v/>
      </c>
      <c r="M2928" s="5" t="str">
        <f t="shared" si="280"/>
        <v/>
      </c>
      <c r="N2928" s="5" t="str">
        <f t="shared" si="281"/>
        <v/>
      </c>
      <c r="O2928" s="4"/>
    </row>
    <row r="2929" spans="1:15" x14ac:dyDescent="0.25">
      <c r="A2929" s="14"/>
      <c r="B2929" s="14"/>
      <c r="C2929" s="14"/>
      <c r="D2929" s="5" t="str">
        <f t="shared" si="282"/>
        <v/>
      </c>
      <c r="E2929" s="5" t="str">
        <f t="shared" si="283"/>
        <v/>
      </c>
      <c r="F2929" s="5" t="str">
        <f t="shared" si="284"/>
        <v/>
      </c>
      <c r="G2929" s="23"/>
      <c r="H2929" s="66"/>
      <c r="I2929" s="14"/>
      <c r="J2929" s="14"/>
      <c r="K2929" s="14"/>
      <c r="L2929" s="5" t="str">
        <f t="shared" si="279"/>
        <v/>
      </c>
      <c r="M2929" s="5" t="str">
        <f t="shared" si="280"/>
        <v/>
      </c>
      <c r="N2929" s="5" t="str">
        <f t="shared" si="281"/>
        <v/>
      </c>
      <c r="O2929" s="4"/>
    </row>
    <row r="2930" spans="1:15" x14ac:dyDescent="0.25">
      <c r="A2930" s="14"/>
      <c r="B2930" s="14"/>
      <c r="C2930" s="14"/>
      <c r="D2930" s="5" t="str">
        <f t="shared" si="282"/>
        <v/>
      </c>
      <c r="E2930" s="5" t="str">
        <f t="shared" si="283"/>
        <v/>
      </c>
      <c r="F2930" s="5" t="str">
        <f t="shared" si="284"/>
        <v/>
      </c>
      <c r="G2930" s="23"/>
      <c r="H2930" s="66"/>
      <c r="I2930" s="14"/>
      <c r="J2930" s="14"/>
      <c r="K2930" s="14"/>
      <c r="L2930" s="5" t="str">
        <f t="shared" si="279"/>
        <v/>
      </c>
      <c r="M2930" s="5" t="str">
        <f t="shared" si="280"/>
        <v/>
      </c>
      <c r="N2930" s="5" t="str">
        <f t="shared" si="281"/>
        <v/>
      </c>
      <c r="O2930" s="4"/>
    </row>
    <row r="2931" spans="1:15" x14ac:dyDescent="0.25">
      <c r="A2931" s="14"/>
      <c r="B2931" s="14"/>
      <c r="C2931" s="14"/>
      <c r="D2931" s="5" t="str">
        <f t="shared" si="282"/>
        <v/>
      </c>
      <c r="E2931" s="5" t="str">
        <f t="shared" si="283"/>
        <v/>
      </c>
      <c r="F2931" s="5" t="str">
        <f t="shared" si="284"/>
        <v/>
      </c>
      <c r="G2931" s="23"/>
      <c r="H2931" s="66"/>
      <c r="I2931" s="14"/>
      <c r="J2931" s="14"/>
      <c r="K2931" s="14"/>
      <c r="L2931" s="5" t="str">
        <f t="shared" si="279"/>
        <v/>
      </c>
      <c r="M2931" s="5" t="str">
        <f t="shared" si="280"/>
        <v/>
      </c>
      <c r="N2931" s="5" t="str">
        <f t="shared" si="281"/>
        <v/>
      </c>
      <c r="O2931" s="4"/>
    </row>
    <row r="2932" spans="1:15" x14ac:dyDescent="0.25">
      <c r="A2932" s="14"/>
      <c r="B2932" s="14"/>
      <c r="C2932" s="14"/>
      <c r="D2932" s="5" t="str">
        <f t="shared" si="282"/>
        <v/>
      </c>
      <c r="E2932" s="5" t="str">
        <f t="shared" si="283"/>
        <v/>
      </c>
      <c r="F2932" s="5" t="str">
        <f t="shared" si="284"/>
        <v/>
      </c>
      <c r="G2932" s="23"/>
      <c r="H2932" s="66"/>
      <c r="I2932" s="14"/>
      <c r="J2932" s="14"/>
      <c r="K2932" s="14"/>
      <c r="L2932" s="5" t="str">
        <f t="shared" si="279"/>
        <v/>
      </c>
      <c r="M2932" s="5" t="str">
        <f t="shared" si="280"/>
        <v/>
      </c>
      <c r="N2932" s="5" t="str">
        <f t="shared" si="281"/>
        <v/>
      </c>
      <c r="O2932" s="4"/>
    </row>
    <row r="2933" spans="1:15" x14ac:dyDescent="0.25">
      <c r="A2933" s="14"/>
      <c r="B2933" s="14"/>
      <c r="C2933" s="14"/>
      <c r="D2933" s="5" t="str">
        <f t="shared" si="282"/>
        <v/>
      </c>
      <c r="E2933" s="5" t="str">
        <f t="shared" si="283"/>
        <v/>
      </c>
      <c r="F2933" s="5" t="str">
        <f t="shared" si="284"/>
        <v/>
      </c>
      <c r="G2933" s="23"/>
      <c r="H2933" s="66"/>
      <c r="I2933" s="14"/>
      <c r="J2933" s="14"/>
      <c r="K2933" s="14"/>
      <c r="L2933" s="5" t="str">
        <f t="shared" si="279"/>
        <v/>
      </c>
      <c r="M2933" s="5" t="str">
        <f t="shared" si="280"/>
        <v/>
      </c>
      <c r="N2933" s="5" t="str">
        <f t="shared" si="281"/>
        <v/>
      </c>
      <c r="O2933" s="4"/>
    </row>
    <row r="2934" spans="1:15" x14ac:dyDescent="0.25">
      <c r="A2934" s="14"/>
      <c r="B2934" s="14"/>
      <c r="C2934" s="14"/>
      <c r="D2934" s="5" t="str">
        <f t="shared" si="282"/>
        <v/>
      </c>
      <c r="E2934" s="5" t="str">
        <f t="shared" si="283"/>
        <v/>
      </c>
      <c r="F2934" s="5" t="str">
        <f t="shared" si="284"/>
        <v/>
      </c>
      <c r="G2934" s="23"/>
      <c r="H2934" s="66"/>
      <c r="I2934" s="14"/>
      <c r="J2934" s="14"/>
      <c r="K2934" s="14"/>
      <c r="L2934" s="5" t="str">
        <f t="shared" si="279"/>
        <v/>
      </c>
      <c r="M2934" s="5" t="str">
        <f t="shared" si="280"/>
        <v/>
      </c>
      <c r="N2934" s="5" t="str">
        <f t="shared" si="281"/>
        <v/>
      </c>
      <c r="O2934" s="4"/>
    </row>
    <row r="2935" spans="1:15" x14ac:dyDescent="0.25">
      <c r="A2935" s="14"/>
      <c r="B2935" s="14"/>
      <c r="C2935" s="14"/>
      <c r="D2935" s="5" t="str">
        <f t="shared" si="282"/>
        <v/>
      </c>
      <c r="E2935" s="5" t="str">
        <f t="shared" si="283"/>
        <v/>
      </c>
      <c r="F2935" s="5" t="str">
        <f t="shared" si="284"/>
        <v/>
      </c>
      <c r="G2935" s="23"/>
      <c r="H2935" s="66"/>
      <c r="I2935" s="14"/>
      <c r="J2935" s="14"/>
      <c r="K2935" s="14"/>
      <c r="L2935" s="5" t="str">
        <f t="shared" si="279"/>
        <v/>
      </c>
      <c r="M2935" s="5" t="str">
        <f t="shared" si="280"/>
        <v/>
      </c>
      <c r="N2935" s="5" t="str">
        <f t="shared" si="281"/>
        <v/>
      </c>
      <c r="O2935" s="4"/>
    </row>
    <row r="2936" spans="1:15" x14ac:dyDescent="0.25">
      <c r="A2936" s="14"/>
      <c r="B2936" s="14"/>
      <c r="C2936" s="14"/>
      <c r="D2936" s="5" t="str">
        <f t="shared" si="282"/>
        <v/>
      </c>
      <c r="E2936" s="5" t="str">
        <f t="shared" si="283"/>
        <v/>
      </c>
      <c r="F2936" s="5" t="str">
        <f t="shared" si="284"/>
        <v/>
      </c>
      <c r="G2936" s="23"/>
      <c r="H2936" s="66"/>
      <c r="I2936" s="14"/>
      <c r="J2936" s="14"/>
      <c r="K2936" s="14"/>
      <c r="L2936" s="5" t="str">
        <f t="shared" si="279"/>
        <v/>
      </c>
      <c r="M2936" s="5" t="str">
        <f t="shared" si="280"/>
        <v/>
      </c>
      <c r="N2936" s="5" t="str">
        <f t="shared" si="281"/>
        <v/>
      </c>
      <c r="O2936" s="4"/>
    </row>
    <row r="2937" spans="1:15" x14ac:dyDescent="0.25">
      <c r="A2937" s="14"/>
      <c r="B2937" s="14"/>
      <c r="C2937" s="14"/>
      <c r="D2937" s="5" t="str">
        <f t="shared" si="282"/>
        <v/>
      </c>
      <c r="E2937" s="5" t="str">
        <f t="shared" si="283"/>
        <v/>
      </c>
      <c r="F2937" s="5" t="str">
        <f t="shared" si="284"/>
        <v/>
      </c>
      <c r="G2937" s="23"/>
      <c r="H2937" s="66"/>
      <c r="I2937" s="14"/>
      <c r="J2937" s="14"/>
      <c r="K2937" s="14"/>
      <c r="L2937" s="5" t="str">
        <f t="shared" si="279"/>
        <v/>
      </c>
      <c r="M2937" s="5" t="str">
        <f t="shared" si="280"/>
        <v/>
      </c>
      <c r="N2937" s="5" t="str">
        <f t="shared" si="281"/>
        <v/>
      </c>
      <c r="O2937" s="4"/>
    </row>
    <row r="2938" spans="1:15" x14ac:dyDescent="0.25">
      <c r="A2938" s="14"/>
      <c r="B2938" s="14"/>
      <c r="C2938" s="14"/>
      <c r="D2938" s="5" t="str">
        <f t="shared" si="282"/>
        <v/>
      </c>
      <c r="E2938" s="5" t="str">
        <f t="shared" si="283"/>
        <v/>
      </c>
      <c r="F2938" s="5" t="str">
        <f t="shared" si="284"/>
        <v/>
      </c>
      <c r="G2938" s="23"/>
      <c r="H2938" s="66"/>
      <c r="I2938" s="14"/>
      <c r="J2938" s="14"/>
      <c r="K2938" s="14"/>
      <c r="L2938" s="5" t="str">
        <f t="shared" si="279"/>
        <v/>
      </c>
      <c r="M2938" s="5" t="str">
        <f t="shared" si="280"/>
        <v/>
      </c>
      <c r="N2938" s="5" t="str">
        <f t="shared" si="281"/>
        <v/>
      </c>
      <c r="O2938" s="4"/>
    </row>
    <row r="2939" spans="1:15" x14ac:dyDescent="0.25">
      <c r="A2939" s="14"/>
      <c r="B2939" s="14"/>
      <c r="C2939" s="14"/>
      <c r="D2939" s="5" t="str">
        <f t="shared" si="282"/>
        <v/>
      </c>
      <c r="E2939" s="5" t="str">
        <f t="shared" si="283"/>
        <v/>
      </c>
      <c r="F2939" s="5" t="str">
        <f t="shared" si="284"/>
        <v/>
      </c>
      <c r="G2939" s="23"/>
      <c r="H2939" s="66"/>
      <c r="I2939" s="14"/>
      <c r="J2939" s="14"/>
      <c r="K2939" s="14"/>
      <c r="L2939" s="5" t="str">
        <f t="shared" si="279"/>
        <v/>
      </c>
      <c r="M2939" s="5" t="str">
        <f t="shared" si="280"/>
        <v/>
      </c>
      <c r="N2939" s="5" t="str">
        <f t="shared" si="281"/>
        <v/>
      </c>
      <c r="O2939" s="4"/>
    </row>
    <row r="2940" spans="1:15" x14ac:dyDescent="0.25">
      <c r="A2940" s="14"/>
      <c r="B2940" s="14"/>
      <c r="C2940" s="14"/>
      <c r="D2940" s="5" t="str">
        <f t="shared" si="282"/>
        <v/>
      </c>
      <c r="E2940" s="5" t="str">
        <f t="shared" si="283"/>
        <v/>
      </c>
      <c r="F2940" s="5" t="str">
        <f t="shared" si="284"/>
        <v/>
      </c>
      <c r="G2940" s="23"/>
      <c r="H2940" s="66"/>
      <c r="I2940" s="14"/>
      <c r="J2940" s="14"/>
      <c r="K2940" s="14"/>
      <c r="L2940" s="5" t="str">
        <f t="shared" si="279"/>
        <v/>
      </c>
      <c r="M2940" s="5" t="str">
        <f t="shared" si="280"/>
        <v/>
      </c>
      <c r="N2940" s="5" t="str">
        <f t="shared" si="281"/>
        <v/>
      </c>
      <c r="O2940" s="4"/>
    </row>
    <row r="2941" spans="1:15" x14ac:dyDescent="0.25">
      <c r="A2941" s="14"/>
      <c r="B2941" s="14"/>
      <c r="C2941" s="14"/>
      <c r="D2941" s="5" t="str">
        <f t="shared" si="282"/>
        <v/>
      </c>
      <c r="E2941" s="5" t="str">
        <f t="shared" si="283"/>
        <v/>
      </c>
      <c r="F2941" s="5" t="str">
        <f t="shared" si="284"/>
        <v/>
      </c>
      <c r="G2941" s="23"/>
      <c r="H2941" s="66"/>
      <c r="I2941" s="14"/>
      <c r="J2941" s="14"/>
      <c r="K2941" s="14"/>
      <c r="L2941" s="5" t="str">
        <f t="shared" si="279"/>
        <v/>
      </c>
      <c r="M2941" s="5" t="str">
        <f t="shared" si="280"/>
        <v/>
      </c>
      <c r="N2941" s="5" t="str">
        <f t="shared" si="281"/>
        <v/>
      </c>
      <c r="O2941" s="4"/>
    </row>
    <row r="2942" spans="1:15" x14ac:dyDescent="0.25">
      <c r="A2942" s="14"/>
      <c r="B2942" s="14"/>
      <c r="C2942" s="14"/>
      <c r="D2942" s="5" t="str">
        <f t="shared" si="282"/>
        <v/>
      </c>
      <c r="E2942" s="5" t="str">
        <f t="shared" si="283"/>
        <v/>
      </c>
      <c r="F2942" s="5" t="str">
        <f t="shared" si="284"/>
        <v/>
      </c>
      <c r="G2942" s="23"/>
      <c r="H2942" s="66"/>
      <c r="I2942" s="14"/>
      <c r="J2942" s="14"/>
      <c r="K2942" s="14"/>
      <c r="L2942" s="5" t="str">
        <f t="shared" si="279"/>
        <v/>
      </c>
      <c r="M2942" s="5" t="str">
        <f t="shared" si="280"/>
        <v/>
      </c>
      <c r="N2942" s="5" t="str">
        <f t="shared" si="281"/>
        <v/>
      </c>
      <c r="O2942" s="4"/>
    </row>
    <row r="2943" spans="1:15" x14ac:dyDescent="0.25">
      <c r="A2943" s="14"/>
      <c r="B2943" s="14"/>
      <c r="C2943" s="14"/>
      <c r="D2943" s="5" t="str">
        <f t="shared" si="282"/>
        <v/>
      </c>
      <c r="E2943" s="5" t="str">
        <f t="shared" si="283"/>
        <v/>
      </c>
      <c r="F2943" s="5" t="str">
        <f t="shared" si="284"/>
        <v/>
      </c>
      <c r="G2943" s="23"/>
      <c r="H2943" s="66"/>
      <c r="I2943" s="14"/>
      <c r="J2943" s="14"/>
      <c r="K2943" s="14"/>
      <c r="L2943" s="5" t="str">
        <f t="shared" si="279"/>
        <v/>
      </c>
      <c r="M2943" s="5" t="str">
        <f t="shared" si="280"/>
        <v/>
      </c>
      <c r="N2943" s="5" t="str">
        <f t="shared" si="281"/>
        <v/>
      </c>
      <c r="O2943" s="4"/>
    </row>
    <row r="2944" spans="1:15" x14ac:dyDescent="0.25">
      <c r="A2944" s="14"/>
      <c r="B2944" s="14"/>
      <c r="C2944" s="14"/>
      <c r="D2944" s="5" t="str">
        <f t="shared" si="282"/>
        <v/>
      </c>
      <c r="E2944" s="5" t="str">
        <f t="shared" si="283"/>
        <v/>
      </c>
      <c r="F2944" s="5" t="str">
        <f t="shared" si="284"/>
        <v/>
      </c>
      <c r="G2944" s="23"/>
      <c r="H2944" s="66"/>
      <c r="I2944" s="14"/>
      <c r="J2944" s="14"/>
      <c r="K2944" s="14"/>
      <c r="L2944" s="5" t="str">
        <f t="shared" si="279"/>
        <v/>
      </c>
      <c r="M2944" s="5" t="str">
        <f t="shared" si="280"/>
        <v/>
      </c>
      <c r="N2944" s="5" t="str">
        <f t="shared" si="281"/>
        <v/>
      </c>
      <c r="O2944" s="4"/>
    </row>
    <row r="2945" spans="1:15" x14ac:dyDescent="0.25">
      <c r="A2945" s="14"/>
      <c r="B2945" s="14"/>
      <c r="C2945" s="14"/>
      <c r="D2945" s="5" t="str">
        <f t="shared" si="282"/>
        <v/>
      </c>
      <c r="E2945" s="5" t="str">
        <f t="shared" si="283"/>
        <v/>
      </c>
      <c r="F2945" s="5" t="str">
        <f t="shared" si="284"/>
        <v/>
      </c>
      <c r="G2945" s="23"/>
      <c r="H2945" s="66"/>
      <c r="I2945" s="14"/>
      <c r="J2945" s="14"/>
      <c r="K2945" s="14"/>
      <c r="L2945" s="5" t="str">
        <f t="shared" si="279"/>
        <v/>
      </c>
      <c r="M2945" s="5" t="str">
        <f t="shared" si="280"/>
        <v/>
      </c>
      <c r="N2945" s="5" t="str">
        <f t="shared" si="281"/>
        <v/>
      </c>
      <c r="O2945" s="4"/>
    </row>
    <row r="2946" spans="1:15" x14ac:dyDescent="0.25">
      <c r="A2946" s="14"/>
      <c r="B2946" s="14"/>
      <c r="C2946" s="14"/>
      <c r="D2946" s="5" t="str">
        <f t="shared" si="282"/>
        <v/>
      </c>
      <c r="E2946" s="5" t="str">
        <f t="shared" si="283"/>
        <v/>
      </c>
      <c r="F2946" s="5" t="str">
        <f t="shared" si="284"/>
        <v/>
      </c>
      <c r="G2946" s="23"/>
      <c r="H2946" s="66"/>
      <c r="I2946" s="14"/>
      <c r="J2946" s="14"/>
      <c r="K2946" s="14"/>
      <c r="L2946" s="5" t="str">
        <f t="shared" si="279"/>
        <v/>
      </c>
      <c r="M2946" s="5" t="str">
        <f t="shared" si="280"/>
        <v/>
      </c>
      <c r="N2946" s="5" t="str">
        <f t="shared" si="281"/>
        <v/>
      </c>
      <c r="O2946" s="4"/>
    </row>
    <row r="2947" spans="1:15" x14ac:dyDescent="0.25">
      <c r="A2947" s="14"/>
      <c r="B2947" s="14"/>
      <c r="C2947" s="14"/>
      <c r="D2947" s="5" t="str">
        <f t="shared" si="282"/>
        <v/>
      </c>
      <c r="E2947" s="5" t="str">
        <f t="shared" si="283"/>
        <v/>
      </c>
      <c r="F2947" s="5" t="str">
        <f t="shared" si="284"/>
        <v/>
      </c>
      <c r="G2947" s="23"/>
      <c r="H2947" s="66"/>
      <c r="I2947" s="14"/>
      <c r="J2947" s="14"/>
      <c r="K2947" s="14"/>
      <c r="L2947" s="5" t="str">
        <f t="shared" si="279"/>
        <v/>
      </c>
      <c r="M2947" s="5" t="str">
        <f t="shared" si="280"/>
        <v/>
      </c>
      <c r="N2947" s="5" t="str">
        <f t="shared" si="281"/>
        <v/>
      </c>
      <c r="O2947" s="4"/>
    </row>
    <row r="2948" spans="1:15" x14ac:dyDescent="0.25">
      <c r="A2948" s="14"/>
      <c r="B2948" s="14"/>
      <c r="C2948" s="14"/>
      <c r="D2948" s="5" t="str">
        <f t="shared" si="282"/>
        <v/>
      </c>
      <c r="E2948" s="5" t="str">
        <f t="shared" si="283"/>
        <v/>
      </c>
      <c r="F2948" s="5" t="str">
        <f t="shared" si="284"/>
        <v/>
      </c>
      <c r="G2948" s="23"/>
      <c r="H2948" s="66"/>
      <c r="I2948" s="14"/>
      <c r="J2948" s="14"/>
      <c r="K2948" s="14"/>
      <c r="L2948" s="5" t="str">
        <f t="shared" si="279"/>
        <v/>
      </c>
      <c r="M2948" s="5" t="str">
        <f t="shared" si="280"/>
        <v/>
      </c>
      <c r="N2948" s="5" t="str">
        <f t="shared" si="281"/>
        <v/>
      </c>
      <c r="O2948" s="4"/>
    </row>
    <row r="2949" spans="1:15" x14ac:dyDescent="0.25">
      <c r="A2949" s="14"/>
      <c r="B2949" s="14"/>
      <c r="C2949" s="14"/>
      <c r="D2949" s="5" t="str">
        <f t="shared" si="282"/>
        <v/>
      </c>
      <c r="E2949" s="5" t="str">
        <f t="shared" si="283"/>
        <v/>
      </c>
      <c r="F2949" s="5" t="str">
        <f t="shared" si="284"/>
        <v/>
      </c>
      <c r="G2949" s="23"/>
      <c r="H2949" s="66"/>
      <c r="I2949" s="14"/>
      <c r="J2949" s="14"/>
      <c r="K2949" s="14"/>
      <c r="L2949" s="5" t="str">
        <f t="shared" si="279"/>
        <v/>
      </c>
      <c r="M2949" s="5" t="str">
        <f t="shared" si="280"/>
        <v/>
      </c>
      <c r="N2949" s="5" t="str">
        <f t="shared" si="281"/>
        <v/>
      </c>
      <c r="O2949" s="4"/>
    </row>
    <row r="2950" spans="1:15" x14ac:dyDescent="0.25">
      <c r="A2950" s="14"/>
      <c r="B2950" s="14"/>
      <c r="C2950" s="14"/>
      <c r="D2950" s="5" t="str">
        <f t="shared" si="282"/>
        <v/>
      </c>
      <c r="E2950" s="5" t="str">
        <f t="shared" si="283"/>
        <v/>
      </c>
      <c r="F2950" s="5" t="str">
        <f t="shared" si="284"/>
        <v/>
      </c>
      <c r="G2950" s="23"/>
      <c r="H2950" s="66"/>
      <c r="I2950" s="14"/>
      <c r="J2950" s="14"/>
      <c r="K2950" s="14"/>
      <c r="L2950" s="5" t="str">
        <f t="shared" si="279"/>
        <v/>
      </c>
      <c r="M2950" s="5" t="str">
        <f t="shared" si="280"/>
        <v/>
      </c>
      <c r="N2950" s="5" t="str">
        <f t="shared" si="281"/>
        <v/>
      </c>
      <c r="O2950" s="4"/>
    </row>
    <row r="2951" spans="1:15" x14ac:dyDescent="0.25">
      <c r="A2951" s="14"/>
      <c r="B2951" s="14"/>
      <c r="C2951" s="14"/>
      <c r="D2951" s="5" t="str">
        <f t="shared" si="282"/>
        <v/>
      </c>
      <c r="E2951" s="5" t="str">
        <f t="shared" si="283"/>
        <v/>
      </c>
      <c r="F2951" s="5" t="str">
        <f t="shared" si="284"/>
        <v/>
      </c>
      <c r="G2951" s="23"/>
      <c r="H2951" s="66"/>
      <c r="I2951" s="14"/>
      <c r="J2951" s="14"/>
      <c r="K2951" s="14"/>
      <c r="L2951" s="5" t="str">
        <f t="shared" si="279"/>
        <v/>
      </c>
      <c r="M2951" s="5" t="str">
        <f t="shared" si="280"/>
        <v/>
      </c>
      <c r="N2951" s="5" t="str">
        <f t="shared" si="281"/>
        <v/>
      </c>
      <c r="O2951" s="4"/>
    </row>
    <row r="2952" spans="1:15" x14ac:dyDescent="0.25">
      <c r="A2952" s="14"/>
      <c r="B2952" s="14"/>
      <c r="C2952" s="14"/>
      <c r="D2952" s="5" t="str">
        <f t="shared" si="282"/>
        <v/>
      </c>
      <c r="E2952" s="5" t="str">
        <f t="shared" si="283"/>
        <v/>
      </c>
      <c r="F2952" s="5" t="str">
        <f t="shared" si="284"/>
        <v/>
      </c>
      <c r="G2952" s="23"/>
      <c r="H2952" s="66"/>
      <c r="I2952" s="14"/>
      <c r="J2952" s="14"/>
      <c r="K2952" s="14"/>
      <c r="L2952" s="5" t="str">
        <f t="shared" si="279"/>
        <v/>
      </c>
      <c r="M2952" s="5" t="str">
        <f t="shared" si="280"/>
        <v/>
      </c>
      <c r="N2952" s="5" t="str">
        <f t="shared" si="281"/>
        <v/>
      </c>
      <c r="O2952" s="4"/>
    </row>
    <row r="2953" spans="1:15" x14ac:dyDescent="0.25">
      <c r="A2953" s="14"/>
      <c r="B2953" s="14"/>
      <c r="C2953" s="14"/>
      <c r="D2953" s="5" t="str">
        <f t="shared" si="282"/>
        <v/>
      </c>
      <c r="E2953" s="5" t="str">
        <f t="shared" si="283"/>
        <v/>
      </c>
      <c r="F2953" s="5" t="str">
        <f t="shared" si="284"/>
        <v/>
      </c>
      <c r="G2953" s="23"/>
      <c r="H2953" s="66"/>
      <c r="I2953" s="14"/>
      <c r="J2953" s="14"/>
      <c r="K2953" s="14"/>
      <c r="L2953" s="5" t="str">
        <f t="shared" si="279"/>
        <v/>
      </c>
      <c r="M2953" s="5" t="str">
        <f t="shared" si="280"/>
        <v/>
      </c>
      <c r="N2953" s="5" t="str">
        <f t="shared" si="281"/>
        <v/>
      </c>
      <c r="O2953" s="4"/>
    </row>
    <row r="2954" spans="1:15" x14ac:dyDescent="0.25">
      <c r="A2954" s="14"/>
      <c r="B2954" s="14"/>
      <c r="C2954" s="14"/>
      <c r="D2954" s="5" t="str">
        <f t="shared" si="282"/>
        <v/>
      </c>
      <c r="E2954" s="5" t="str">
        <f t="shared" si="283"/>
        <v/>
      </c>
      <c r="F2954" s="5" t="str">
        <f t="shared" si="284"/>
        <v/>
      </c>
      <c r="G2954" s="23"/>
      <c r="H2954" s="66"/>
      <c r="I2954" s="14"/>
      <c r="J2954" s="14"/>
      <c r="K2954" s="14"/>
      <c r="L2954" s="5" t="str">
        <f t="shared" si="279"/>
        <v/>
      </c>
      <c r="M2954" s="5" t="str">
        <f t="shared" si="280"/>
        <v/>
      </c>
      <c r="N2954" s="5" t="str">
        <f t="shared" si="281"/>
        <v/>
      </c>
      <c r="O2954" s="4"/>
    </row>
    <row r="2955" spans="1:15" x14ac:dyDescent="0.25">
      <c r="A2955" s="14"/>
      <c r="B2955" s="14"/>
      <c r="C2955" s="14"/>
      <c r="D2955" s="5" t="str">
        <f t="shared" si="282"/>
        <v/>
      </c>
      <c r="E2955" s="5" t="str">
        <f t="shared" si="283"/>
        <v/>
      </c>
      <c r="F2955" s="5" t="str">
        <f t="shared" si="284"/>
        <v/>
      </c>
      <c r="G2955" s="23"/>
      <c r="H2955" s="66"/>
      <c r="I2955" s="14"/>
      <c r="J2955" s="14"/>
      <c r="K2955" s="14"/>
      <c r="L2955" s="5" t="str">
        <f t="shared" si="279"/>
        <v/>
      </c>
      <c r="M2955" s="5" t="str">
        <f t="shared" si="280"/>
        <v/>
      </c>
      <c r="N2955" s="5" t="str">
        <f t="shared" si="281"/>
        <v/>
      </c>
      <c r="O2955" s="4"/>
    </row>
    <row r="2956" spans="1:15" x14ac:dyDescent="0.25">
      <c r="A2956" s="14"/>
      <c r="B2956" s="14"/>
      <c r="C2956" s="14"/>
      <c r="D2956" s="5" t="str">
        <f t="shared" si="282"/>
        <v/>
      </c>
      <c r="E2956" s="5" t="str">
        <f t="shared" si="283"/>
        <v/>
      </c>
      <c r="F2956" s="5" t="str">
        <f t="shared" si="284"/>
        <v/>
      </c>
      <c r="G2956" s="23"/>
      <c r="H2956" s="66"/>
      <c r="I2956" s="14"/>
      <c r="J2956" s="14"/>
      <c r="K2956" s="14"/>
      <c r="L2956" s="5" t="str">
        <f t="shared" si="279"/>
        <v/>
      </c>
      <c r="M2956" s="5" t="str">
        <f t="shared" si="280"/>
        <v/>
      </c>
      <c r="N2956" s="5" t="str">
        <f t="shared" si="281"/>
        <v/>
      </c>
      <c r="O2956" s="4"/>
    </row>
    <row r="2957" spans="1:15" x14ac:dyDescent="0.25">
      <c r="A2957" s="14"/>
      <c r="B2957" s="14"/>
      <c r="C2957" s="14"/>
      <c r="D2957" s="5" t="str">
        <f t="shared" si="282"/>
        <v/>
      </c>
      <c r="E2957" s="5" t="str">
        <f t="shared" si="283"/>
        <v/>
      </c>
      <c r="F2957" s="5" t="str">
        <f t="shared" si="284"/>
        <v/>
      </c>
      <c r="G2957" s="23"/>
      <c r="H2957" s="66"/>
      <c r="I2957" s="14"/>
      <c r="J2957" s="14"/>
      <c r="K2957" s="14"/>
      <c r="L2957" s="5" t="str">
        <f t="shared" si="279"/>
        <v/>
      </c>
      <c r="M2957" s="5" t="str">
        <f t="shared" si="280"/>
        <v/>
      </c>
      <c r="N2957" s="5" t="str">
        <f t="shared" si="281"/>
        <v/>
      </c>
      <c r="O2957" s="4"/>
    </row>
    <row r="2958" spans="1:15" x14ac:dyDescent="0.25">
      <c r="A2958" s="14"/>
      <c r="B2958" s="14"/>
      <c r="C2958" s="14"/>
      <c r="D2958" s="5" t="str">
        <f t="shared" si="282"/>
        <v/>
      </c>
      <c r="E2958" s="5" t="str">
        <f t="shared" si="283"/>
        <v/>
      </c>
      <c r="F2958" s="5" t="str">
        <f t="shared" si="284"/>
        <v/>
      </c>
      <c r="G2958" s="23"/>
      <c r="H2958" s="66"/>
      <c r="I2958" s="14"/>
      <c r="J2958" s="14"/>
      <c r="K2958" s="14"/>
      <c r="L2958" s="5" t="str">
        <f t="shared" si="279"/>
        <v/>
      </c>
      <c r="M2958" s="5" t="str">
        <f t="shared" si="280"/>
        <v/>
      </c>
      <c r="N2958" s="5" t="str">
        <f t="shared" si="281"/>
        <v/>
      </c>
      <c r="O2958" s="4"/>
    </row>
    <row r="2959" spans="1:15" x14ac:dyDescent="0.25">
      <c r="A2959" s="14"/>
      <c r="B2959" s="14"/>
      <c r="C2959" s="14"/>
      <c r="D2959" s="5" t="str">
        <f t="shared" si="282"/>
        <v/>
      </c>
      <c r="E2959" s="5" t="str">
        <f t="shared" si="283"/>
        <v/>
      </c>
      <c r="F2959" s="5" t="str">
        <f t="shared" si="284"/>
        <v/>
      </c>
      <c r="G2959" s="23"/>
      <c r="H2959" s="66"/>
      <c r="I2959" s="14"/>
      <c r="J2959" s="14"/>
      <c r="K2959" s="14"/>
      <c r="L2959" s="5" t="str">
        <f t="shared" si="279"/>
        <v/>
      </c>
      <c r="M2959" s="5" t="str">
        <f t="shared" si="280"/>
        <v/>
      </c>
      <c r="N2959" s="5" t="str">
        <f t="shared" si="281"/>
        <v/>
      </c>
      <c r="O2959" s="4"/>
    </row>
    <row r="2960" spans="1:15" x14ac:dyDescent="0.25">
      <c r="A2960" s="14"/>
      <c r="B2960" s="14"/>
      <c r="C2960" s="14"/>
      <c r="D2960" s="5" t="str">
        <f t="shared" si="282"/>
        <v/>
      </c>
      <c r="E2960" s="5" t="str">
        <f t="shared" si="283"/>
        <v/>
      </c>
      <c r="F2960" s="5" t="str">
        <f t="shared" si="284"/>
        <v/>
      </c>
      <c r="G2960" s="23"/>
      <c r="H2960" s="66"/>
      <c r="I2960" s="14"/>
      <c r="J2960" s="14"/>
      <c r="K2960" s="14"/>
      <c r="L2960" s="5" t="str">
        <f t="shared" si="279"/>
        <v/>
      </c>
      <c r="M2960" s="5" t="str">
        <f t="shared" si="280"/>
        <v/>
      </c>
      <c r="N2960" s="5" t="str">
        <f t="shared" si="281"/>
        <v/>
      </c>
      <c r="O2960" s="4"/>
    </row>
    <row r="2961" spans="1:15" x14ac:dyDescent="0.25">
      <c r="A2961" s="14"/>
      <c r="B2961" s="14"/>
      <c r="C2961" s="14"/>
      <c r="D2961" s="5" t="str">
        <f t="shared" si="282"/>
        <v/>
      </c>
      <c r="E2961" s="5" t="str">
        <f t="shared" si="283"/>
        <v/>
      </c>
      <c r="F2961" s="5" t="str">
        <f t="shared" si="284"/>
        <v/>
      </c>
      <c r="G2961" s="23"/>
      <c r="H2961" s="66"/>
      <c r="I2961" s="14"/>
      <c r="J2961" s="14"/>
      <c r="K2961" s="14"/>
      <c r="L2961" s="5" t="str">
        <f t="shared" ref="L2961:L3000" si="285">IFERROR(IF(I2961&lt;&gt;"",(((J2961-J2960)*$X$4/(I2961-I2960)))*$X$5,""),"")</f>
        <v/>
      </c>
      <c r="M2961" s="5" t="str">
        <f t="shared" ref="M2961:M3000" si="286">IFERROR(IF(I2961&lt;&gt;"",(((K2961-K2960)*$X$4/(I2961-I2960)))*$X$5,""),"")</f>
        <v/>
      </c>
      <c r="N2961" s="5" t="str">
        <f t="shared" ref="N2961:N3000" si="287">IFERROR(IF(I2961&lt;&gt;"",((ACOS((COS(RADIANS(J2960))*COS(RADIANS(J2961)))+(SIN(RADIANS(J2960))*SIN(RADIANS(J2961)))*COS(RADIANS(K2961-K2960)))*180/PI()*($X$4/(I2961-I2960))))*$X$5,""),"")</f>
        <v/>
      </c>
      <c r="O2961" s="4"/>
    </row>
    <row r="2962" spans="1:15" x14ac:dyDescent="0.25">
      <c r="A2962" s="14"/>
      <c r="B2962" s="14"/>
      <c r="C2962" s="14"/>
      <c r="D2962" s="5" t="str">
        <f t="shared" si="282"/>
        <v/>
      </c>
      <c r="E2962" s="5" t="str">
        <f t="shared" si="283"/>
        <v/>
      </c>
      <c r="F2962" s="5" t="str">
        <f t="shared" si="284"/>
        <v/>
      </c>
      <c r="G2962" s="23"/>
      <c r="H2962" s="66"/>
      <c r="I2962" s="14"/>
      <c r="J2962" s="14"/>
      <c r="K2962" s="14"/>
      <c r="L2962" s="5" t="str">
        <f t="shared" si="285"/>
        <v/>
      </c>
      <c r="M2962" s="5" t="str">
        <f t="shared" si="286"/>
        <v/>
      </c>
      <c r="N2962" s="5" t="str">
        <f t="shared" si="287"/>
        <v/>
      </c>
      <c r="O2962" s="4"/>
    </row>
    <row r="2963" spans="1:15" x14ac:dyDescent="0.25">
      <c r="A2963" s="14"/>
      <c r="B2963" s="14"/>
      <c r="C2963" s="14"/>
      <c r="D2963" s="5" t="str">
        <f t="shared" si="282"/>
        <v/>
      </c>
      <c r="E2963" s="5" t="str">
        <f t="shared" si="283"/>
        <v/>
      </c>
      <c r="F2963" s="5" t="str">
        <f t="shared" si="284"/>
        <v/>
      </c>
      <c r="G2963" s="23"/>
      <c r="H2963" s="66"/>
      <c r="I2963" s="14"/>
      <c r="J2963" s="14"/>
      <c r="K2963" s="14"/>
      <c r="L2963" s="5" t="str">
        <f t="shared" si="285"/>
        <v/>
      </c>
      <c r="M2963" s="5" t="str">
        <f t="shared" si="286"/>
        <v/>
      </c>
      <c r="N2963" s="5" t="str">
        <f t="shared" si="287"/>
        <v/>
      </c>
      <c r="O2963" s="4"/>
    </row>
    <row r="2964" spans="1:15" x14ac:dyDescent="0.25">
      <c r="A2964" s="14"/>
      <c r="B2964" s="14"/>
      <c r="C2964" s="14"/>
      <c r="D2964" s="5" t="str">
        <f t="shared" si="282"/>
        <v/>
      </c>
      <c r="E2964" s="5" t="str">
        <f t="shared" si="283"/>
        <v/>
      </c>
      <c r="F2964" s="5" t="str">
        <f t="shared" si="284"/>
        <v/>
      </c>
      <c r="G2964" s="23"/>
      <c r="H2964" s="66"/>
      <c r="I2964" s="14"/>
      <c r="J2964" s="14"/>
      <c r="K2964" s="14"/>
      <c r="L2964" s="5" t="str">
        <f t="shared" si="285"/>
        <v/>
      </c>
      <c r="M2964" s="5" t="str">
        <f t="shared" si="286"/>
        <v/>
      </c>
      <c r="N2964" s="5" t="str">
        <f t="shared" si="287"/>
        <v/>
      </c>
      <c r="O2964" s="4"/>
    </row>
    <row r="2965" spans="1:15" x14ac:dyDescent="0.25">
      <c r="A2965" s="14"/>
      <c r="B2965" s="14"/>
      <c r="C2965" s="14"/>
      <c r="D2965" s="5" t="str">
        <f t="shared" si="282"/>
        <v/>
      </c>
      <c r="E2965" s="5" t="str">
        <f t="shared" si="283"/>
        <v/>
      </c>
      <c r="F2965" s="5" t="str">
        <f t="shared" si="284"/>
        <v/>
      </c>
      <c r="G2965" s="23"/>
      <c r="H2965" s="66"/>
      <c r="I2965" s="14"/>
      <c r="J2965" s="14"/>
      <c r="K2965" s="14"/>
      <c r="L2965" s="5" t="str">
        <f t="shared" si="285"/>
        <v/>
      </c>
      <c r="M2965" s="5" t="str">
        <f t="shared" si="286"/>
        <v/>
      </c>
      <c r="N2965" s="5" t="str">
        <f t="shared" si="287"/>
        <v/>
      </c>
      <c r="O2965" s="4"/>
    </row>
    <row r="2966" spans="1:15" x14ac:dyDescent="0.25">
      <c r="A2966" s="14"/>
      <c r="B2966" s="14"/>
      <c r="C2966" s="14"/>
      <c r="D2966" s="5" t="str">
        <f t="shared" si="282"/>
        <v/>
      </c>
      <c r="E2966" s="5" t="str">
        <f t="shared" si="283"/>
        <v/>
      </c>
      <c r="F2966" s="5" t="str">
        <f t="shared" si="284"/>
        <v/>
      </c>
      <c r="G2966" s="23"/>
      <c r="H2966" s="66"/>
      <c r="I2966" s="14"/>
      <c r="J2966" s="14"/>
      <c r="K2966" s="14"/>
      <c r="L2966" s="5" t="str">
        <f t="shared" si="285"/>
        <v/>
      </c>
      <c r="M2966" s="5" t="str">
        <f t="shared" si="286"/>
        <v/>
      </c>
      <c r="N2966" s="5" t="str">
        <f t="shared" si="287"/>
        <v/>
      </c>
      <c r="O2966" s="4"/>
    </row>
    <row r="2967" spans="1:15" x14ac:dyDescent="0.25">
      <c r="A2967" s="14"/>
      <c r="B2967" s="14"/>
      <c r="C2967" s="14"/>
      <c r="D2967" s="5" t="str">
        <f t="shared" si="282"/>
        <v/>
      </c>
      <c r="E2967" s="5" t="str">
        <f t="shared" si="283"/>
        <v/>
      </c>
      <c r="F2967" s="5" t="str">
        <f t="shared" si="284"/>
        <v/>
      </c>
      <c r="G2967" s="23"/>
      <c r="H2967" s="66"/>
      <c r="I2967" s="14"/>
      <c r="J2967" s="14"/>
      <c r="K2967" s="14"/>
      <c r="L2967" s="5" t="str">
        <f t="shared" si="285"/>
        <v/>
      </c>
      <c r="M2967" s="5" t="str">
        <f t="shared" si="286"/>
        <v/>
      </c>
      <c r="N2967" s="5" t="str">
        <f t="shared" si="287"/>
        <v/>
      </c>
      <c r="O2967" s="4"/>
    </row>
    <row r="2968" spans="1:15" x14ac:dyDescent="0.25">
      <c r="A2968" s="14"/>
      <c r="B2968" s="14"/>
      <c r="C2968" s="14"/>
      <c r="D2968" s="5" t="str">
        <f t="shared" si="282"/>
        <v/>
      </c>
      <c r="E2968" s="5" t="str">
        <f t="shared" si="283"/>
        <v/>
      </c>
      <c r="F2968" s="5" t="str">
        <f t="shared" si="284"/>
        <v/>
      </c>
      <c r="G2968" s="23"/>
      <c r="H2968" s="66"/>
      <c r="I2968" s="14"/>
      <c r="J2968" s="14"/>
      <c r="K2968" s="14"/>
      <c r="L2968" s="5" t="str">
        <f t="shared" si="285"/>
        <v/>
      </c>
      <c r="M2968" s="5" t="str">
        <f t="shared" si="286"/>
        <v/>
      </c>
      <c r="N2968" s="5" t="str">
        <f t="shared" si="287"/>
        <v/>
      </c>
      <c r="O2968" s="4"/>
    </row>
    <row r="2969" spans="1:15" x14ac:dyDescent="0.25">
      <c r="A2969" s="14"/>
      <c r="B2969" s="14"/>
      <c r="C2969" s="14"/>
      <c r="D2969" s="5" t="str">
        <f t="shared" ref="D2969:D3000" si="288">IFERROR( IF(A2969&lt;&gt;"",((B2969-B2968)*$X$4/(A2969-A2968))*$X$5,""),"")</f>
        <v/>
      </c>
      <c r="E2969" s="5" t="str">
        <f t="shared" ref="E2969:E3000" si="289">IFERROR(IF(A2969&lt;&gt;"",((C2969-C2968)*$X$4/(A2969-A2968))*$X$5,""),"")</f>
        <v/>
      </c>
      <c r="F2969" s="5" t="str">
        <f t="shared" ref="F2969:F3000" si="290">IFERROR(IF(A2969&lt;&gt;"",((ACOS((COS(RADIANS(B2968))*COS(RADIANS(B2969)))+(SIN(RADIANS(B2968))*SIN(RADIANS(B2969)))*COS(RADIANS(C2969-C2968)))*180/PI()*($X$4/(A2969-A2968))))*$X$5,""),"")</f>
        <v/>
      </c>
      <c r="G2969" s="23"/>
      <c r="H2969" s="66"/>
      <c r="I2969" s="14"/>
      <c r="J2969" s="14"/>
      <c r="K2969" s="14"/>
      <c r="L2969" s="5" t="str">
        <f t="shared" si="285"/>
        <v/>
      </c>
      <c r="M2969" s="5" t="str">
        <f t="shared" si="286"/>
        <v/>
      </c>
      <c r="N2969" s="5" t="str">
        <f t="shared" si="287"/>
        <v/>
      </c>
      <c r="O2969" s="4"/>
    </row>
    <row r="2970" spans="1:15" x14ac:dyDescent="0.25">
      <c r="A2970" s="14"/>
      <c r="B2970" s="14"/>
      <c r="C2970" s="14"/>
      <c r="D2970" s="5" t="str">
        <f t="shared" si="288"/>
        <v/>
      </c>
      <c r="E2970" s="5" t="str">
        <f t="shared" si="289"/>
        <v/>
      </c>
      <c r="F2970" s="5" t="str">
        <f t="shared" si="290"/>
        <v/>
      </c>
      <c r="G2970" s="23"/>
      <c r="H2970" s="66"/>
      <c r="I2970" s="14"/>
      <c r="J2970" s="14"/>
      <c r="K2970" s="14"/>
      <c r="L2970" s="5" t="str">
        <f t="shared" si="285"/>
        <v/>
      </c>
      <c r="M2970" s="5" t="str">
        <f t="shared" si="286"/>
        <v/>
      </c>
      <c r="N2970" s="5" t="str">
        <f t="shared" si="287"/>
        <v/>
      </c>
      <c r="O2970" s="4"/>
    </row>
    <row r="2971" spans="1:15" x14ac:dyDescent="0.25">
      <c r="A2971" s="14"/>
      <c r="B2971" s="14"/>
      <c r="C2971" s="14"/>
      <c r="D2971" s="5" t="str">
        <f t="shared" si="288"/>
        <v/>
      </c>
      <c r="E2971" s="5" t="str">
        <f t="shared" si="289"/>
        <v/>
      </c>
      <c r="F2971" s="5" t="str">
        <f t="shared" si="290"/>
        <v/>
      </c>
      <c r="G2971" s="23"/>
      <c r="H2971" s="66"/>
      <c r="I2971" s="14"/>
      <c r="J2971" s="14"/>
      <c r="K2971" s="14"/>
      <c r="L2971" s="5" t="str">
        <f t="shared" si="285"/>
        <v/>
      </c>
      <c r="M2971" s="5" t="str">
        <f t="shared" si="286"/>
        <v/>
      </c>
      <c r="N2971" s="5" t="str">
        <f t="shared" si="287"/>
        <v/>
      </c>
      <c r="O2971" s="4"/>
    </row>
    <row r="2972" spans="1:15" x14ac:dyDescent="0.25">
      <c r="A2972" s="14"/>
      <c r="B2972" s="14"/>
      <c r="C2972" s="14"/>
      <c r="D2972" s="5" t="str">
        <f t="shared" si="288"/>
        <v/>
      </c>
      <c r="E2972" s="5" t="str">
        <f t="shared" si="289"/>
        <v/>
      </c>
      <c r="F2972" s="5" t="str">
        <f t="shared" si="290"/>
        <v/>
      </c>
      <c r="G2972" s="23"/>
      <c r="H2972" s="66"/>
      <c r="I2972" s="14"/>
      <c r="J2972" s="14"/>
      <c r="K2972" s="14"/>
      <c r="L2972" s="5" t="str">
        <f t="shared" si="285"/>
        <v/>
      </c>
      <c r="M2972" s="5" t="str">
        <f t="shared" si="286"/>
        <v/>
      </c>
      <c r="N2972" s="5" t="str">
        <f t="shared" si="287"/>
        <v/>
      </c>
      <c r="O2972" s="4"/>
    </row>
    <row r="2973" spans="1:15" x14ac:dyDescent="0.25">
      <c r="A2973" s="14"/>
      <c r="B2973" s="14"/>
      <c r="C2973" s="14"/>
      <c r="D2973" s="5" t="str">
        <f t="shared" si="288"/>
        <v/>
      </c>
      <c r="E2973" s="5" t="str">
        <f t="shared" si="289"/>
        <v/>
      </c>
      <c r="F2973" s="5" t="str">
        <f t="shared" si="290"/>
        <v/>
      </c>
      <c r="G2973" s="23"/>
      <c r="H2973" s="66"/>
      <c r="I2973" s="14"/>
      <c r="J2973" s="14"/>
      <c r="K2973" s="14"/>
      <c r="L2973" s="5" t="str">
        <f t="shared" si="285"/>
        <v/>
      </c>
      <c r="M2973" s="5" t="str">
        <f t="shared" si="286"/>
        <v/>
      </c>
      <c r="N2973" s="5" t="str">
        <f t="shared" si="287"/>
        <v/>
      </c>
      <c r="O2973" s="4"/>
    </row>
    <row r="2974" spans="1:15" x14ac:dyDescent="0.25">
      <c r="A2974" s="14"/>
      <c r="B2974" s="14"/>
      <c r="C2974" s="14"/>
      <c r="D2974" s="5" t="str">
        <f t="shared" si="288"/>
        <v/>
      </c>
      <c r="E2974" s="5" t="str">
        <f t="shared" si="289"/>
        <v/>
      </c>
      <c r="F2974" s="5" t="str">
        <f t="shared" si="290"/>
        <v/>
      </c>
      <c r="G2974" s="23"/>
      <c r="H2974" s="66"/>
      <c r="I2974" s="14"/>
      <c r="J2974" s="14"/>
      <c r="K2974" s="14"/>
      <c r="L2974" s="5" t="str">
        <f t="shared" si="285"/>
        <v/>
      </c>
      <c r="M2974" s="5" t="str">
        <f t="shared" si="286"/>
        <v/>
      </c>
      <c r="N2974" s="5" t="str">
        <f t="shared" si="287"/>
        <v/>
      </c>
      <c r="O2974" s="4"/>
    </row>
    <row r="2975" spans="1:15" x14ac:dyDescent="0.25">
      <c r="A2975" s="14"/>
      <c r="B2975" s="14"/>
      <c r="C2975" s="14"/>
      <c r="D2975" s="5" t="str">
        <f t="shared" si="288"/>
        <v/>
      </c>
      <c r="E2975" s="5" t="str">
        <f t="shared" si="289"/>
        <v/>
      </c>
      <c r="F2975" s="5" t="str">
        <f t="shared" si="290"/>
        <v/>
      </c>
      <c r="G2975" s="23"/>
      <c r="H2975" s="66"/>
      <c r="I2975" s="14"/>
      <c r="J2975" s="14"/>
      <c r="K2975" s="14"/>
      <c r="L2975" s="5" t="str">
        <f t="shared" si="285"/>
        <v/>
      </c>
      <c r="M2975" s="5" t="str">
        <f t="shared" si="286"/>
        <v/>
      </c>
      <c r="N2975" s="5" t="str">
        <f t="shared" si="287"/>
        <v/>
      </c>
      <c r="O2975" s="4"/>
    </row>
    <row r="2976" spans="1:15" x14ac:dyDescent="0.25">
      <c r="A2976" s="14"/>
      <c r="B2976" s="14"/>
      <c r="C2976" s="14"/>
      <c r="D2976" s="5" t="str">
        <f t="shared" si="288"/>
        <v/>
      </c>
      <c r="E2976" s="5" t="str">
        <f t="shared" si="289"/>
        <v/>
      </c>
      <c r="F2976" s="5" t="str">
        <f t="shared" si="290"/>
        <v/>
      </c>
      <c r="G2976" s="23"/>
      <c r="H2976" s="66"/>
      <c r="I2976" s="14"/>
      <c r="J2976" s="14"/>
      <c r="K2976" s="14"/>
      <c r="L2976" s="5" t="str">
        <f t="shared" si="285"/>
        <v/>
      </c>
      <c r="M2976" s="5" t="str">
        <f t="shared" si="286"/>
        <v/>
      </c>
      <c r="N2976" s="5" t="str">
        <f t="shared" si="287"/>
        <v/>
      </c>
      <c r="O2976" s="4"/>
    </row>
    <row r="2977" spans="1:15" x14ac:dyDescent="0.25">
      <c r="A2977" s="14"/>
      <c r="B2977" s="14"/>
      <c r="C2977" s="14"/>
      <c r="D2977" s="5" t="str">
        <f t="shared" si="288"/>
        <v/>
      </c>
      <c r="E2977" s="5" t="str">
        <f t="shared" si="289"/>
        <v/>
      </c>
      <c r="F2977" s="5" t="str">
        <f t="shared" si="290"/>
        <v/>
      </c>
      <c r="G2977" s="23"/>
      <c r="H2977" s="66"/>
      <c r="I2977" s="14"/>
      <c r="J2977" s="14"/>
      <c r="K2977" s="14"/>
      <c r="L2977" s="5" t="str">
        <f t="shared" si="285"/>
        <v/>
      </c>
      <c r="M2977" s="5" t="str">
        <f t="shared" si="286"/>
        <v/>
      </c>
      <c r="N2977" s="5" t="str">
        <f t="shared" si="287"/>
        <v/>
      </c>
      <c r="O2977" s="4"/>
    </row>
    <row r="2978" spans="1:15" x14ac:dyDescent="0.25">
      <c r="A2978" s="14"/>
      <c r="B2978" s="14"/>
      <c r="C2978" s="14"/>
      <c r="D2978" s="5" t="str">
        <f t="shared" si="288"/>
        <v/>
      </c>
      <c r="E2978" s="5" t="str">
        <f t="shared" si="289"/>
        <v/>
      </c>
      <c r="F2978" s="5" t="str">
        <f t="shared" si="290"/>
        <v/>
      </c>
      <c r="G2978" s="23"/>
      <c r="H2978" s="66"/>
      <c r="I2978" s="14"/>
      <c r="J2978" s="14"/>
      <c r="K2978" s="14"/>
      <c r="L2978" s="5" t="str">
        <f t="shared" si="285"/>
        <v/>
      </c>
      <c r="M2978" s="5" t="str">
        <f t="shared" si="286"/>
        <v/>
      </c>
      <c r="N2978" s="5" t="str">
        <f t="shared" si="287"/>
        <v/>
      </c>
      <c r="O2978" s="4"/>
    </row>
    <row r="2979" spans="1:15" x14ac:dyDescent="0.25">
      <c r="A2979" s="14"/>
      <c r="B2979" s="14"/>
      <c r="C2979" s="14"/>
      <c r="D2979" s="5" t="str">
        <f t="shared" si="288"/>
        <v/>
      </c>
      <c r="E2979" s="5" t="str">
        <f t="shared" si="289"/>
        <v/>
      </c>
      <c r="F2979" s="5" t="str">
        <f t="shared" si="290"/>
        <v/>
      </c>
      <c r="G2979" s="23"/>
      <c r="H2979" s="66"/>
      <c r="I2979" s="14"/>
      <c r="J2979" s="14"/>
      <c r="K2979" s="14"/>
      <c r="L2979" s="5" t="str">
        <f t="shared" si="285"/>
        <v/>
      </c>
      <c r="M2979" s="5" t="str">
        <f t="shared" si="286"/>
        <v/>
      </c>
      <c r="N2979" s="5" t="str">
        <f t="shared" si="287"/>
        <v/>
      </c>
      <c r="O2979" s="4"/>
    </row>
    <row r="2980" spans="1:15" x14ac:dyDescent="0.25">
      <c r="A2980" s="14"/>
      <c r="B2980" s="14"/>
      <c r="C2980" s="14"/>
      <c r="D2980" s="5" t="str">
        <f t="shared" si="288"/>
        <v/>
      </c>
      <c r="E2980" s="5" t="str">
        <f t="shared" si="289"/>
        <v/>
      </c>
      <c r="F2980" s="5" t="str">
        <f t="shared" si="290"/>
        <v/>
      </c>
      <c r="G2980" s="23"/>
      <c r="H2980" s="66"/>
      <c r="I2980" s="14"/>
      <c r="J2980" s="14"/>
      <c r="K2980" s="14"/>
      <c r="L2980" s="5" t="str">
        <f t="shared" si="285"/>
        <v/>
      </c>
      <c r="M2980" s="5" t="str">
        <f t="shared" si="286"/>
        <v/>
      </c>
      <c r="N2980" s="5" t="str">
        <f t="shared" si="287"/>
        <v/>
      </c>
      <c r="O2980" s="4"/>
    </row>
    <row r="2981" spans="1:15" x14ac:dyDescent="0.25">
      <c r="A2981" s="14"/>
      <c r="B2981" s="14"/>
      <c r="C2981" s="14"/>
      <c r="D2981" s="5" t="str">
        <f t="shared" si="288"/>
        <v/>
      </c>
      <c r="E2981" s="5" t="str">
        <f t="shared" si="289"/>
        <v/>
      </c>
      <c r="F2981" s="5" t="str">
        <f t="shared" si="290"/>
        <v/>
      </c>
      <c r="G2981" s="23"/>
      <c r="H2981" s="66"/>
      <c r="I2981" s="14"/>
      <c r="J2981" s="14"/>
      <c r="K2981" s="14"/>
      <c r="L2981" s="5" t="str">
        <f t="shared" si="285"/>
        <v/>
      </c>
      <c r="M2981" s="5" t="str">
        <f t="shared" si="286"/>
        <v/>
      </c>
      <c r="N2981" s="5" t="str">
        <f t="shared" si="287"/>
        <v/>
      </c>
      <c r="O2981" s="4"/>
    </row>
    <row r="2982" spans="1:15" x14ac:dyDescent="0.25">
      <c r="A2982" s="14"/>
      <c r="B2982" s="14"/>
      <c r="C2982" s="14"/>
      <c r="D2982" s="5" t="str">
        <f t="shared" si="288"/>
        <v/>
      </c>
      <c r="E2982" s="5" t="str">
        <f t="shared" si="289"/>
        <v/>
      </c>
      <c r="F2982" s="5" t="str">
        <f t="shared" si="290"/>
        <v/>
      </c>
      <c r="G2982" s="23"/>
      <c r="H2982" s="66"/>
      <c r="I2982" s="14"/>
      <c r="J2982" s="14"/>
      <c r="K2982" s="14"/>
      <c r="L2982" s="5" t="str">
        <f t="shared" si="285"/>
        <v/>
      </c>
      <c r="M2982" s="5" t="str">
        <f t="shared" si="286"/>
        <v/>
      </c>
      <c r="N2982" s="5" t="str">
        <f t="shared" si="287"/>
        <v/>
      </c>
      <c r="O2982" s="4"/>
    </row>
    <row r="2983" spans="1:15" x14ac:dyDescent="0.25">
      <c r="A2983" s="14"/>
      <c r="B2983" s="14"/>
      <c r="C2983" s="14"/>
      <c r="D2983" s="5" t="str">
        <f t="shared" si="288"/>
        <v/>
      </c>
      <c r="E2983" s="5" t="str">
        <f t="shared" si="289"/>
        <v/>
      </c>
      <c r="F2983" s="5" t="str">
        <f t="shared" si="290"/>
        <v/>
      </c>
      <c r="G2983" s="23"/>
      <c r="H2983" s="66"/>
      <c r="I2983" s="14"/>
      <c r="J2983" s="14"/>
      <c r="K2983" s="14"/>
      <c r="L2983" s="5" t="str">
        <f t="shared" si="285"/>
        <v/>
      </c>
      <c r="M2983" s="5" t="str">
        <f t="shared" si="286"/>
        <v/>
      </c>
      <c r="N2983" s="5" t="str">
        <f t="shared" si="287"/>
        <v/>
      </c>
      <c r="O2983" s="4"/>
    </row>
    <row r="2984" spans="1:15" x14ac:dyDescent="0.25">
      <c r="A2984" s="14"/>
      <c r="B2984" s="14"/>
      <c r="C2984" s="14"/>
      <c r="D2984" s="5" t="str">
        <f t="shared" si="288"/>
        <v/>
      </c>
      <c r="E2984" s="5" t="str">
        <f t="shared" si="289"/>
        <v/>
      </c>
      <c r="F2984" s="5" t="str">
        <f t="shared" si="290"/>
        <v/>
      </c>
      <c r="G2984" s="23"/>
      <c r="H2984" s="66"/>
      <c r="I2984" s="14"/>
      <c r="J2984" s="14"/>
      <c r="K2984" s="14"/>
      <c r="L2984" s="5" t="str">
        <f t="shared" si="285"/>
        <v/>
      </c>
      <c r="M2984" s="5" t="str">
        <f t="shared" si="286"/>
        <v/>
      </c>
      <c r="N2984" s="5" t="str">
        <f t="shared" si="287"/>
        <v/>
      </c>
      <c r="O2984" s="4"/>
    </row>
    <row r="2985" spans="1:15" x14ac:dyDescent="0.25">
      <c r="A2985" s="14"/>
      <c r="B2985" s="14"/>
      <c r="C2985" s="14"/>
      <c r="D2985" s="5" t="str">
        <f t="shared" si="288"/>
        <v/>
      </c>
      <c r="E2985" s="5" t="str">
        <f t="shared" si="289"/>
        <v/>
      </c>
      <c r="F2985" s="5" t="str">
        <f t="shared" si="290"/>
        <v/>
      </c>
      <c r="G2985" s="23"/>
      <c r="H2985" s="66"/>
      <c r="I2985" s="14"/>
      <c r="J2985" s="14"/>
      <c r="K2985" s="14"/>
      <c r="L2985" s="5" t="str">
        <f t="shared" si="285"/>
        <v/>
      </c>
      <c r="M2985" s="5" t="str">
        <f t="shared" si="286"/>
        <v/>
      </c>
      <c r="N2985" s="5" t="str">
        <f t="shared" si="287"/>
        <v/>
      </c>
      <c r="O2985" s="4"/>
    </row>
    <row r="2986" spans="1:15" x14ac:dyDescent="0.25">
      <c r="A2986" s="14"/>
      <c r="B2986" s="14"/>
      <c r="C2986" s="14"/>
      <c r="D2986" s="5" t="str">
        <f t="shared" si="288"/>
        <v/>
      </c>
      <c r="E2986" s="5" t="str">
        <f t="shared" si="289"/>
        <v/>
      </c>
      <c r="F2986" s="5" t="str">
        <f t="shared" si="290"/>
        <v/>
      </c>
      <c r="G2986" s="23"/>
      <c r="H2986" s="66"/>
      <c r="I2986" s="14"/>
      <c r="J2986" s="14"/>
      <c r="K2986" s="14"/>
      <c r="L2986" s="5" t="str">
        <f t="shared" si="285"/>
        <v/>
      </c>
      <c r="M2986" s="5" t="str">
        <f t="shared" si="286"/>
        <v/>
      </c>
      <c r="N2986" s="5" t="str">
        <f t="shared" si="287"/>
        <v/>
      </c>
      <c r="O2986" s="4"/>
    </row>
    <row r="2987" spans="1:15" x14ac:dyDescent="0.25">
      <c r="A2987" s="14"/>
      <c r="B2987" s="14"/>
      <c r="C2987" s="14"/>
      <c r="D2987" s="5" t="str">
        <f t="shared" si="288"/>
        <v/>
      </c>
      <c r="E2987" s="5" t="str">
        <f t="shared" si="289"/>
        <v/>
      </c>
      <c r="F2987" s="5" t="str">
        <f t="shared" si="290"/>
        <v/>
      </c>
      <c r="G2987" s="23"/>
      <c r="H2987" s="66"/>
      <c r="I2987" s="14"/>
      <c r="J2987" s="14"/>
      <c r="K2987" s="14"/>
      <c r="L2987" s="5" t="str">
        <f t="shared" si="285"/>
        <v/>
      </c>
      <c r="M2987" s="5" t="str">
        <f t="shared" si="286"/>
        <v/>
      </c>
      <c r="N2987" s="5" t="str">
        <f t="shared" si="287"/>
        <v/>
      </c>
      <c r="O2987" s="4"/>
    </row>
    <row r="2988" spans="1:15" x14ac:dyDescent="0.25">
      <c r="A2988" s="14"/>
      <c r="B2988" s="14"/>
      <c r="C2988" s="14"/>
      <c r="D2988" s="5" t="str">
        <f t="shared" si="288"/>
        <v/>
      </c>
      <c r="E2988" s="5" t="str">
        <f t="shared" si="289"/>
        <v/>
      </c>
      <c r="F2988" s="5" t="str">
        <f t="shared" si="290"/>
        <v/>
      </c>
      <c r="G2988" s="23"/>
      <c r="H2988" s="66"/>
      <c r="I2988" s="14"/>
      <c r="J2988" s="14"/>
      <c r="K2988" s="14"/>
      <c r="L2988" s="5" t="str">
        <f t="shared" si="285"/>
        <v/>
      </c>
      <c r="M2988" s="5" t="str">
        <f t="shared" si="286"/>
        <v/>
      </c>
      <c r="N2988" s="5" t="str">
        <f t="shared" si="287"/>
        <v/>
      </c>
      <c r="O2988" s="4"/>
    </row>
    <row r="2989" spans="1:15" x14ac:dyDescent="0.25">
      <c r="A2989" s="14"/>
      <c r="B2989" s="14"/>
      <c r="C2989" s="14"/>
      <c r="D2989" s="5" t="str">
        <f t="shared" si="288"/>
        <v/>
      </c>
      <c r="E2989" s="5" t="str">
        <f t="shared" si="289"/>
        <v/>
      </c>
      <c r="F2989" s="5" t="str">
        <f t="shared" si="290"/>
        <v/>
      </c>
      <c r="G2989" s="23"/>
      <c r="H2989" s="66"/>
      <c r="I2989" s="14"/>
      <c r="J2989" s="14"/>
      <c r="K2989" s="14"/>
      <c r="L2989" s="5" t="str">
        <f t="shared" si="285"/>
        <v/>
      </c>
      <c r="M2989" s="5" t="str">
        <f t="shared" si="286"/>
        <v/>
      </c>
      <c r="N2989" s="5" t="str">
        <f t="shared" si="287"/>
        <v/>
      </c>
      <c r="O2989" s="4"/>
    </row>
    <row r="2990" spans="1:15" x14ac:dyDescent="0.25">
      <c r="A2990" s="14"/>
      <c r="B2990" s="14"/>
      <c r="C2990" s="14"/>
      <c r="D2990" s="5" t="str">
        <f t="shared" si="288"/>
        <v/>
      </c>
      <c r="E2990" s="5" t="str">
        <f t="shared" si="289"/>
        <v/>
      </c>
      <c r="F2990" s="5" t="str">
        <f t="shared" si="290"/>
        <v/>
      </c>
      <c r="G2990" s="23"/>
      <c r="H2990" s="66"/>
      <c r="I2990" s="14"/>
      <c r="J2990" s="14"/>
      <c r="K2990" s="14"/>
      <c r="L2990" s="5" t="str">
        <f t="shared" si="285"/>
        <v/>
      </c>
      <c r="M2990" s="5" t="str">
        <f t="shared" si="286"/>
        <v/>
      </c>
      <c r="N2990" s="5" t="str">
        <f t="shared" si="287"/>
        <v/>
      </c>
      <c r="O2990" s="4"/>
    </row>
    <row r="2991" spans="1:15" x14ac:dyDescent="0.25">
      <c r="A2991" s="14"/>
      <c r="B2991" s="14"/>
      <c r="C2991" s="14"/>
      <c r="D2991" s="5" t="str">
        <f t="shared" si="288"/>
        <v/>
      </c>
      <c r="E2991" s="5" t="str">
        <f t="shared" si="289"/>
        <v/>
      </c>
      <c r="F2991" s="5" t="str">
        <f t="shared" si="290"/>
        <v/>
      </c>
      <c r="G2991" s="23"/>
      <c r="H2991" s="66"/>
      <c r="I2991" s="14"/>
      <c r="J2991" s="14"/>
      <c r="K2991" s="14"/>
      <c r="L2991" s="5" t="str">
        <f t="shared" si="285"/>
        <v/>
      </c>
      <c r="M2991" s="5" t="str">
        <f t="shared" si="286"/>
        <v/>
      </c>
      <c r="N2991" s="5" t="str">
        <f t="shared" si="287"/>
        <v/>
      </c>
      <c r="O2991" s="4"/>
    </row>
    <row r="2992" spans="1:15" x14ac:dyDescent="0.25">
      <c r="A2992" s="14"/>
      <c r="B2992" s="14"/>
      <c r="C2992" s="14"/>
      <c r="D2992" s="5" t="str">
        <f t="shared" si="288"/>
        <v/>
      </c>
      <c r="E2992" s="5" t="str">
        <f t="shared" si="289"/>
        <v/>
      </c>
      <c r="F2992" s="5" t="str">
        <f t="shared" si="290"/>
        <v/>
      </c>
      <c r="G2992" s="23"/>
      <c r="H2992" s="66"/>
      <c r="I2992" s="14"/>
      <c r="J2992" s="14"/>
      <c r="K2992" s="14"/>
      <c r="L2992" s="5" t="str">
        <f t="shared" si="285"/>
        <v/>
      </c>
      <c r="M2992" s="5" t="str">
        <f t="shared" si="286"/>
        <v/>
      </c>
      <c r="N2992" s="5" t="str">
        <f t="shared" si="287"/>
        <v/>
      </c>
      <c r="O2992" s="4"/>
    </row>
    <row r="2993" spans="1:15" x14ac:dyDescent="0.25">
      <c r="A2993" s="14"/>
      <c r="B2993" s="14"/>
      <c r="C2993" s="14"/>
      <c r="D2993" s="5" t="str">
        <f t="shared" si="288"/>
        <v/>
      </c>
      <c r="E2993" s="5" t="str">
        <f t="shared" si="289"/>
        <v/>
      </c>
      <c r="F2993" s="5" t="str">
        <f t="shared" si="290"/>
        <v/>
      </c>
      <c r="G2993" s="23"/>
      <c r="H2993" s="66"/>
      <c r="I2993" s="14"/>
      <c r="J2993" s="14"/>
      <c r="K2993" s="14"/>
      <c r="L2993" s="5" t="str">
        <f t="shared" si="285"/>
        <v/>
      </c>
      <c r="M2993" s="5" t="str">
        <f t="shared" si="286"/>
        <v/>
      </c>
      <c r="N2993" s="5" t="str">
        <f t="shared" si="287"/>
        <v/>
      </c>
      <c r="O2993" s="4"/>
    </row>
    <row r="2994" spans="1:15" x14ac:dyDescent="0.25">
      <c r="A2994" s="14"/>
      <c r="B2994" s="14"/>
      <c r="C2994" s="14"/>
      <c r="D2994" s="5" t="str">
        <f t="shared" si="288"/>
        <v/>
      </c>
      <c r="E2994" s="5" t="str">
        <f t="shared" si="289"/>
        <v/>
      </c>
      <c r="F2994" s="5" t="str">
        <f t="shared" si="290"/>
        <v/>
      </c>
      <c r="G2994" s="23"/>
      <c r="H2994" s="66"/>
      <c r="I2994" s="14"/>
      <c r="J2994" s="14"/>
      <c r="K2994" s="14"/>
      <c r="L2994" s="5" t="str">
        <f t="shared" si="285"/>
        <v/>
      </c>
      <c r="M2994" s="5" t="str">
        <f t="shared" si="286"/>
        <v/>
      </c>
      <c r="N2994" s="5" t="str">
        <f t="shared" si="287"/>
        <v/>
      </c>
      <c r="O2994" s="4"/>
    </row>
    <row r="2995" spans="1:15" x14ac:dyDescent="0.25">
      <c r="A2995" s="14"/>
      <c r="B2995" s="14"/>
      <c r="C2995" s="14"/>
      <c r="D2995" s="5" t="str">
        <f t="shared" si="288"/>
        <v/>
      </c>
      <c r="E2995" s="5" t="str">
        <f t="shared" si="289"/>
        <v/>
      </c>
      <c r="F2995" s="5" t="str">
        <f t="shared" si="290"/>
        <v/>
      </c>
      <c r="G2995" s="23"/>
      <c r="H2995" s="66"/>
      <c r="I2995" s="14"/>
      <c r="J2995" s="14"/>
      <c r="K2995" s="14"/>
      <c r="L2995" s="5" t="str">
        <f t="shared" si="285"/>
        <v/>
      </c>
      <c r="M2995" s="5" t="str">
        <f t="shared" si="286"/>
        <v/>
      </c>
      <c r="N2995" s="5" t="str">
        <f t="shared" si="287"/>
        <v/>
      </c>
      <c r="O2995" s="4"/>
    </row>
    <row r="2996" spans="1:15" x14ac:dyDescent="0.25">
      <c r="A2996" s="14"/>
      <c r="B2996" s="14"/>
      <c r="C2996" s="14"/>
      <c r="D2996" s="5" t="str">
        <f t="shared" si="288"/>
        <v/>
      </c>
      <c r="E2996" s="5" t="str">
        <f t="shared" si="289"/>
        <v/>
      </c>
      <c r="F2996" s="5" t="str">
        <f t="shared" si="290"/>
        <v/>
      </c>
      <c r="G2996" s="23"/>
      <c r="H2996" s="66"/>
      <c r="I2996" s="14"/>
      <c r="J2996" s="14"/>
      <c r="K2996" s="14"/>
      <c r="L2996" s="5" t="str">
        <f t="shared" si="285"/>
        <v/>
      </c>
      <c r="M2996" s="5" t="str">
        <f t="shared" si="286"/>
        <v/>
      </c>
      <c r="N2996" s="5" t="str">
        <f t="shared" si="287"/>
        <v/>
      </c>
      <c r="O2996" s="4"/>
    </row>
    <row r="2997" spans="1:15" x14ac:dyDescent="0.25">
      <c r="A2997" s="14"/>
      <c r="B2997" s="14"/>
      <c r="C2997" s="14"/>
      <c r="D2997" s="5" t="str">
        <f t="shared" si="288"/>
        <v/>
      </c>
      <c r="E2997" s="5" t="str">
        <f t="shared" si="289"/>
        <v/>
      </c>
      <c r="F2997" s="5" t="str">
        <f t="shared" si="290"/>
        <v/>
      </c>
      <c r="G2997" s="23"/>
      <c r="H2997" s="66"/>
      <c r="I2997" s="14"/>
      <c r="J2997" s="14"/>
      <c r="K2997" s="14"/>
      <c r="L2997" s="5" t="str">
        <f t="shared" si="285"/>
        <v/>
      </c>
      <c r="M2997" s="5" t="str">
        <f t="shared" si="286"/>
        <v/>
      </c>
      <c r="N2997" s="5" t="str">
        <f t="shared" si="287"/>
        <v/>
      </c>
      <c r="O2997" s="4"/>
    </row>
    <row r="2998" spans="1:15" x14ac:dyDescent="0.25">
      <c r="A2998" s="14"/>
      <c r="B2998" s="14"/>
      <c r="C2998" s="14"/>
      <c r="D2998" s="5" t="str">
        <f t="shared" si="288"/>
        <v/>
      </c>
      <c r="E2998" s="5" t="str">
        <f t="shared" si="289"/>
        <v/>
      </c>
      <c r="F2998" s="5" t="str">
        <f t="shared" si="290"/>
        <v/>
      </c>
      <c r="G2998" s="23"/>
      <c r="H2998" s="66"/>
      <c r="I2998" s="14"/>
      <c r="J2998" s="14"/>
      <c r="K2998" s="14"/>
      <c r="L2998" s="5" t="str">
        <f t="shared" si="285"/>
        <v/>
      </c>
      <c r="M2998" s="5" t="str">
        <f t="shared" si="286"/>
        <v/>
      </c>
      <c r="N2998" s="5" t="str">
        <f t="shared" si="287"/>
        <v/>
      </c>
      <c r="O2998" s="4"/>
    </row>
    <row r="2999" spans="1:15" x14ac:dyDescent="0.25">
      <c r="A2999" s="14"/>
      <c r="B2999" s="14"/>
      <c r="C2999" s="14"/>
      <c r="D2999" s="5" t="str">
        <f t="shared" si="288"/>
        <v/>
      </c>
      <c r="E2999" s="5" t="str">
        <f t="shared" si="289"/>
        <v/>
      </c>
      <c r="F2999" s="5" t="str">
        <f t="shared" si="290"/>
        <v/>
      </c>
      <c r="G2999" s="23"/>
      <c r="H2999" s="66"/>
      <c r="I2999" s="14"/>
      <c r="J2999" s="14"/>
      <c r="K2999" s="14"/>
      <c r="L2999" s="5" t="str">
        <f t="shared" si="285"/>
        <v/>
      </c>
      <c r="M2999" s="5" t="str">
        <f t="shared" si="286"/>
        <v/>
      </c>
      <c r="N2999" s="5" t="str">
        <f t="shared" si="287"/>
        <v/>
      </c>
      <c r="O2999" s="4"/>
    </row>
    <row r="3000" spans="1:15" x14ac:dyDescent="0.25">
      <c r="A3000" s="14"/>
      <c r="B3000" s="14"/>
      <c r="C3000" s="14"/>
      <c r="D3000" s="5" t="str">
        <f t="shared" si="288"/>
        <v/>
      </c>
      <c r="E3000" s="5" t="str">
        <f t="shared" si="289"/>
        <v/>
      </c>
      <c r="F3000" s="5" t="str">
        <f t="shared" si="290"/>
        <v/>
      </c>
      <c r="G3000" s="23"/>
      <c r="H3000" s="66"/>
      <c r="I3000" s="14"/>
      <c r="J3000" s="14"/>
      <c r="K3000" s="14"/>
      <c r="L3000" s="5" t="str">
        <f t="shared" si="285"/>
        <v/>
      </c>
      <c r="M3000" s="5" t="str">
        <f t="shared" si="286"/>
        <v/>
      </c>
      <c r="N3000" s="5" t="str">
        <f t="shared" si="287"/>
        <v/>
      </c>
      <c r="O3000" s="4"/>
    </row>
  </sheetData>
  <sheetProtection algorithmName="SHA-512" hashValue="3JscxswGyvPhxBh7t3bKgw/jzmRqRg3HkPMiY05KK9VaMipGDIfgcpQJ5Z+xrDeYyHgoFU0QBMOc7v3g/X+nvw==" saltValue="jTJ3wfbqYKXVPHw9RfNVtg==" spinCount="100000" sheet="1" objects="1" scenarios="1"/>
  <mergeCells count="4">
    <mergeCell ref="A1:G1"/>
    <mergeCell ref="I1:O1"/>
    <mergeCell ref="R6:T6"/>
    <mergeCell ref="R8:T8"/>
  </mergeCells>
  <conditionalFormatting sqref="N4:N3000 F4:F3000">
    <cfRule type="containsBlanks" dxfId="75" priority="12" stopIfTrue="1">
      <formula>LEN(TRIM(F4))=0</formula>
    </cfRule>
  </conditionalFormatting>
  <conditionalFormatting sqref="R6:T6">
    <cfRule type="cellIs" dxfId="74" priority="1" operator="equal">
      <formula>FALSE</formula>
    </cfRule>
    <cfRule type="cellIs" dxfId="73" priority="2" operator="equal">
      <formula>TRUE</formula>
    </cfRule>
  </conditionalFormatting>
  <pageMargins left="0.7" right="0.7" top="0.75" bottom="0.75" header="0.3" footer="0.3"/>
  <pageSetup orientation="portrait" horizontalDpi="300" verticalDpi="300" r:id="rId1"/>
  <headerFooter>
    <oddFooter>&amp;C&amp;1#&amp;"Calibri"&amp;10&amp;K000000Schlumberger-Private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utton1_Click">
                <anchor moveWithCells="1" sizeWithCells="1">
                  <from>
                    <xdr:col>16</xdr:col>
                    <xdr:colOff>9525</xdr:colOff>
                    <xdr:row>10</xdr:row>
                    <xdr:rowOff>133350</xdr:rowOff>
                  </from>
                  <to>
                    <xdr:col>20</xdr:col>
                    <xdr:colOff>19050</xdr:colOff>
                    <xdr:row>13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3" stopIfTrue="1" id="{74D42DC3-E359-4E3E-AC95-6BA18FF9E5AB}">
            <xm:f>V4&gt;Setting!$A$4</xm:f>
            <x14:dxf>
              <fill>
                <patternFill>
                  <bgColor theme="5" tint="0.39994506668294322"/>
                </patternFill>
              </fill>
            </x14:dxf>
          </x14:cfRule>
          <x14:cfRule type="expression" priority="24" stopIfTrue="1" id="{12FE402D-7605-41DC-99F5-1DC85A786DA5}">
            <xm:f>V4&gt;Setting!$A$3</xm:f>
            <x14:dxf>
              <fill>
                <patternFill>
                  <bgColor theme="9" tint="0.39994506668294322"/>
                </patternFill>
              </fill>
            </x14:dxf>
          </x14:cfRule>
          <x14:cfRule type="expression" priority="25" id="{8AF08DE5-0544-4F3B-9B26-E9B588608C40}">
            <xm:f>V4&gt;Setting!$A$2</xm:f>
            <x14:dxf>
              <fill>
                <patternFill>
                  <bgColor theme="6" tint="0.39994506668294322"/>
                </patternFill>
              </fill>
            </x14:dxf>
          </x14:cfRule>
          <xm:sqref>D4:D3000</xm:sqref>
        </x14:conditionalFormatting>
        <x14:conditionalFormatting xmlns:xm="http://schemas.microsoft.com/office/excel/2006/main">
          <x14:cfRule type="cellIs" priority="13" stopIfTrue="1" operator="greaterThan" id="{9146F706-7ADD-4FD0-B0AF-483667E0CEB7}">
            <xm:f>Setting!$C$4</xm:f>
            <x14:dxf>
              <fill>
                <patternFill>
                  <bgColor theme="5" tint="0.39994506668294322"/>
                </patternFill>
              </fill>
            </x14:dxf>
          </x14:cfRule>
          <x14:cfRule type="cellIs" priority="26" stopIfTrue="1" operator="greaterThan" id="{33047F8D-F57F-42E0-81F3-2F9F85540B1E}">
            <xm:f>Setting!$C$3</xm:f>
            <x14:dxf>
              <fill>
                <patternFill>
                  <bgColor theme="9" tint="0.39994506668294322"/>
                </patternFill>
              </fill>
            </x14:dxf>
          </x14:cfRule>
          <x14:cfRule type="cellIs" priority="27" operator="greaterThan" id="{DFA04588-1562-460C-B6C4-24B5CBD9BDED}">
            <xm:f>Setting!$C$2</xm:f>
            <x14:dxf>
              <fill>
                <patternFill>
                  <bgColor theme="6" tint="0.39994506668294322"/>
                </patternFill>
              </fill>
            </x14:dxf>
          </x14:cfRule>
          <xm:sqref>N4:N3000 F4:F3000</xm:sqref>
        </x14:conditionalFormatting>
        <x14:conditionalFormatting xmlns:xm="http://schemas.microsoft.com/office/excel/2006/main">
          <x14:cfRule type="expression" priority="28" stopIfTrue="1" id="{BCC39A8D-BA61-4721-BB06-271AB692FD24}">
            <xm:f>#REF!&gt;Setting!$B$4</xm:f>
            <x14:dxf>
              <fill>
                <patternFill>
                  <bgColor theme="5" tint="0.39994506668294322"/>
                </patternFill>
              </fill>
            </x14:dxf>
          </x14:cfRule>
          <x14:cfRule type="expression" priority="29" stopIfTrue="1" id="{1705629C-44C5-44D1-915D-F05E67AC4760}">
            <xm:f>#REF!&gt;Setting!$B$3</xm:f>
            <x14:dxf>
              <fill>
                <patternFill>
                  <bgColor theme="9" tint="0.39994506668294322"/>
                </patternFill>
              </fill>
            </x14:dxf>
          </x14:cfRule>
          <x14:cfRule type="expression" priority="30" id="{DF63ED78-D9DA-4879-9A94-751C8B09C2DB}">
            <xm:f>#REF!&gt;Setting!$B$2</xm:f>
            <x14:dxf>
              <fill>
                <patternFill>
                  <bgColor theme="6" tint="0.39994506668294322"/>
                </patternFill>
              </fill>
            </x14:dxf>
          </x14:cfRule>
          <xm:sqref>E4:E3000</xm:sqref>
        </x14:conditionalFormatting>
        <x14:conditionalFormatting xmlns:xm="http://schemas.microsoft.com/office/excel/2006/main">
          <x14:cfRule type="expression" priority="31" stopIfTrue="1" id="{E9C3AC89-DC90-494C-A13C-7068FA04EC9F}">
            <xm:f>#REF!&gt;Setting!$A$4</xm:f>
            <x14:dxf>
              <fill>
                <patternFill>
                  <bgColor theme="5" tint="0.39994506668294322"/>
                </patternFill>
              </fill>
            </x14:dxf>
          </x14:cfRule>
          <x14:cfRule type="expression" priority="32" stopIfTrue="1" id="{C6E82204-7749-427C-B294-0F7844063262}">
            <xm:f>#REF!&gt;Setting!$A$3</xm:f>
            <x14:dxf>
              <fill>
                <patternFill>
                  <bgColor theme="9" tint="0.39994506668294322"/>
                </patternFill>
              </fill>
            </x14:dxf>
          </x14:cfRule>
          <x14:cfRule type="expression" priority="33" id="{6542660A-D4E0-4FC8-91FB-8799AF7B0460}">
            <xm:f>#REF!&gt;Setting!$A$2</xm:f>
            <x14:dxf>
              <fill>
                <patternFill>
                  <bgColor theme="6" tint="0.39994506668294322"/>
                </patternFill>
              </fill>
            </x14:dxf>
          </x14:cfRule>
          <xm:sqref>L4:L3000</xm:sqref>
        </x14:conditionalFormatting>
        <x14:conditionalFormatting xmlns:xm="http://schemas.microsoft.com/office/excel/2006/main">
          <x14:cfRule type="expression" priority="34" stopIfTrue="1" id="{4887BBB2-463E-4E6C-BA53-8866A2B48B08}">
            <xm:f>#REF!&gt;Setting!$B$4</xm:f>
            <x14:dxf>
              <fill>
                <patternFill>
                  <bgColor theme="5" tint="0.39994506668294322"/>
                </patternFill>
              </fill>
            </x14:dxf>
          </x14:cfRule>
          <x14:cfRule type="expression" priority="35" stopIfTrue="1" id="{6F25341E-A2EA-47DF-BD92-18818C651F08}">
            <xm:f>#REF!&gt;Setting!$B$3</xm:f>
            <x14:dxf>
              <fill>
                <patternFill>
                  <bgColor theme="9" tint="0.39994506668294322"/>
                </patternFill>
              </fill>
            </x14:dxf>
          </x14:cfRule>
          <x14:cfRule type="expression" priority="36" id="{8F671FE6-115D-4F6B-A620-0D9D7784AE09}">
            <xm:f>#REF!&gt;Setting!$B$2</xm:f>
            <x14:dxf>
              <fill>
                <patternFill>
                  <bgColor theme="6" tint="0.39994506668294322"/>
                </patternFill>
              </fill>
            </x14:dxf>
          </x14:cfRule>
          <xm:sqref>M4:M3000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797AF4-3D03-4EBD-A7CC-4EFA58E86182}">
  <sheetPr codeName="Sheet3">
    <tabColor theme="6" tint="0.59999389629810485"/>
  </sheetPr>
  <dimension ref="A1:W8115"/>
  <sheetViews>
    <sheetView zoomScaleNormal="100" workbookViewId="0">
      <selection activeCell="I12" sqref="I12"/>
    </sheetView>
  </sheetViews>
  <sheetFormatPr defaultColWidth="9" defaultRowHeight="15" x14ac:dyDescent="0.25"/>
  <cols>
    <col min="1" max="6" width="9" style="34"/>
    <col min="7" max="7" width="25.5703125" style="72" customWidth="1"/>
    <col min="8" max="8" width="0.42578125" style="33" customWidth="1"/>
    <col min="9" max="9" width="40.85546875" style="84" customWidth="1"/>
    <col min="10" max="10" width="0.42578125" style="33" customWidth="1"/>
    <col min="11" max="16" width="9" style="31"/>
    <col min="17" max="18" width="9.7109375" style="80" customWidth="1"/>
    <col min="19" max="19" width="27.5703125" style="73" customWidth="1"/>
    <col min="20" max="20" width="9" style="36"/>
    <col min="21" max="21" width="9" style="36" hidden="1" customWidth="1"/>
    <col min="22" max="16384" width="9" style="36"/>
  </cols>
  <sheetData>
    <row r="1" spans="1:23" ht="15.75" x14ac:dyDescent="0.25">
      <c r="A1" s="101" t="s">
        <v>28</v>
      </c>
      <c r="B1" s="101"/>
      <c r="C1" s="101"/>
      <c r="D1" s="101"/>
      <c r="E1" s="101"/>
      <c r="F1" s="101"/>
      <c r="G1" s="101"/>
      <c r="H1" s="35"/>
      <c r="I1" s="105" t="s">
        <v>50</v>
      </c>
      <c r="J1" s="35"/>
      <c r="K1" s="102" t="s">
        <v>0</v>
      </c>
      <c r="L1" s="102"/>
      <c r="M1" s="102"/>
      <c r="N1" s="102"/>
      <c r="O1" s="102"/>
      <c r="P1" s="102"/>
      <c r="Q1" s="102"/>
      <c r="R1" s="102"/>
      <c r="S1" s="102"/>
    </row>
    <row r="2" spans="1:23" ht="15.75" x14ac:dyDescent="0.25">
      <c r="A2" s="25" t="s">
        <v>1</v>
      </c>
      <c r="B2" s="25" t="s">
        <v>2</v>
      </c>
      <c r="C2" s="25" t="s">
        <v>3</v>
      </c>
      <c r="D2" s="25" t="s">
        <v>4</v>
      </c>
      <c r="E2" s="25" t="s">
        <v>5</v>
      </c>
      <c r="F2" s="25" t="s">
        <v>6</v>
      </c>
      <c r="G2" s="25" t="s">
        <v>12</v>
      </c>
      <c r="H2" s="26"/>
      <c r="I2" s="106"/>
      <c r="J2" s="26"/>
      <c r="K2" s="27" t="s">
        <v>1</v>
      </c>
      <c r="L2" s="27" t="s">
        <v>2</v>
      </c>
      <c r="M2" s="27" t="s">
        <v>3</v>
      </c>
      <c r="N2" s="27" t="s">
        <v>4</v>
      </c>
      <c r="O2" s="27" t="s">
        <v>5</v>
      </c>
      <c r="P2" s="27" t="s">
        <v>6</v>
      </c>
      <c r="Q2" s="27" t="s">
        <v>117</v>
      </c>
      <c r="R2" s="100" t="s">
        <v>118</v>
      </c>
      <c r="S2" s="27" t="s">
        <v>12</v>
      </c>
    </row>
    <row r="3" spans="1:23" ht="15" customHeight="1" x14ac:dyDescent="0.25">
      <c r="A3" s="28" t="str">
        <f>Table!A3</f>
        <v>ft</v>
      </c>
      <c r="B3" s="28" t="str">
        <f>Table!B3</f>
        <v>deg</v>
      </c>
      <c r="C3" s="28" t="str">
        <f>Table!C3</f>
        <v>deg</v>
      </c>
      <c r="D3" s="29" t="str">
        <f>Table!D3</f>
        <v>deg/100ft</v>
      </c>
      <c r="E3" s="29" t="str">
        <f>Table!E3</f>
        <v>deg/100ft</v>
      </c>
      <c r="F3" s="29" t="str">
        <f>Table!F3</f>
        <v>deg/100ft</v>
      </c>
      <c r="G3" s="90"/>
      <c r="H3" s="30"/>
      <c r="I3" s="28"/>
      <c r="J3" s="30"/>
      <c r="K3" s="28" t="str">
        <f>Table!I3</f>
        <v>ft</v>
      </c>
      <c r="L3" s="28" t="str">
        <f>Table!J3</f>
        <v>deg</v>
      </c>
      <c r="M3" s="28" t="str">
        <f>Table!K3</f>
        <v>deg</v>
      </c>
      <c r="N3" s="29" t="str">
        <f>Table!L3</f>
        <v>deg/100ft</v>
      </c>
      <c r="O3" s="29" t="str">
        <f>Table!M3</f>
        <v>deg/100ft</v>
      </c>
      <c r="P3" s="29" t="str">
        <f>Table!N3</f>
        <v>deg/100ft</v>
      </c>
      <c r="Q3" s="28" t="s">
        <v>30</v>
      </c>
      <c r="R3" s="28" t="s">
        <v>30</v>
      </c>
      <c r="S3" s="82"/>
    </row>
    <row r="4" spans="1:23" x14ac:dyDescent="0.25">
      <c r="A4" s="31" t="str">
        <f>IF(Table!A4 = "","",Table!A4)</f>
        <v/>
      </c>
      <c r="B4" s="31" t="str">
        <f>IF(Table!B4 = "","",Table!B4)</f>
        <v/>
      </c>
      <c r="C4" s="31" t="str">
        <f>IF(Table!C4 = "","",Table!C4)</f>
        <v/>
      </c>
      <c r="D4" s="32" t="str">
        <f>IF(Table!D4 = "","",Table!D4)</f>
        <v/>
      </c>
      <c r="E4" s="32" t="str">
        <f>IF(Table!E4 = "","",Table!E4)</f>
        <v/>
      </c>
      <c r="F4" s="32" t="str">
        <f>IF(Table!F4 = "","",Table!F4)</f>
        <v/>
      </c>
      <c r="G4" s="91"/>
      <c r="I4" s="84" t="str">
        <f>IFERROR(VLOOKUP(A4,Downlink!A:L,12,TRUE),"")</f>
        <v/>
      </c>
      <c r="K4" s="31" t="str">
        <f>IFERROR(VLOOKUP(A4,Table!$I$4:$O$3000,1,TRUE),"")</f>
        <v/>
      </c>
      <c r="L4" s="31" t="str">
        <f>IFERROR(INDEX(Table!I:O,MATCH(K4,Table!I:I,0),2),"")</f>
        <v/>
      </c>
      <c r="M4" s="31" t="str">
        <f>IFERROR(INDEX(Table!I:O,MATCH(K4,Table!I:I,0),3),"")</f>
        <v/>
      </c>
      <c r="N4" s="32" t="str">
        <f>IFERROR(INDEX(Table!I:O,MATCH(K4,Table!I:I,0),4),"")</f>
        <v/>
      </c>
      <c r="O4" s="32" t="str">
        <f>IFERROR(INDEX(Table!I:O,MATCH(K4,Table!I:I,0),5),"")</f>
        <v/>
      </c>
      <c r="P4" s="32" t="str">
        <f>IFERROR(INDEX(Table!I:O,MATCH(K4,Table!I:I,0),6),"")</f>
        <v/>
      </c>
      <c r="Q4" s="89" t="str">
        <f>IFERROR(L4-B4,"")</f>
        <v/>
      </c>
      <c r="R4" s="89" t="str">
        <f>IFERROR(M4-C4,"")</f>
        <v/>
      </c>
      <c r="S4" s="82"/>
    </row>
    <row r="5" spans="1:23" x14ac:dyDescent="0.25">
      <c r="A5" s="31" t="str">
        <f>IF(Table!A5 = "","",Table!A5)</f>
        <v/>
      </c>
      <c r="B5" s="31" t="str">
        <f>IF(Table!B5 = "","",Table!B5)</f>
        <v/>
      </c>
      <c r="C5" s="31" t="str">
        <f>IF(Table!C5 = "","",Table!C5)</f>
        <v/>
      </c>
      <c r="D5" s="32" t="str">
        <f>IF(Table!D5 = "","",Table!D5)</f>
        <v/>
      </c>
      <c r="E5" s="32" t="str">
        <f>IF(Table!E5 = "","",Table!E5)</f>
        <v/>
      </c>
      <c r="F5" s="32" t="str">
        <f>IF(Table!F5 = "","",Table!F5)</f>
        <v/>
      </c>
      <c r="G5" s="91"/>
      <c r="I5" s="84" t="str">
        <f>IFERROR(VLOOKUP(A5,Downlink!A:L,12,TRUE),"")</f>
        <v/>
      </c>
      <c r="K5" s="31" t="str">
        <f>IFERROR(VLOOKUP(A5,Table!$I$4:$O$3000,1,TRUE),"")</f>
        <v/>
      </c>
      <c r="L5" s="31" t="str">
        <f>IFERROR(INDEX(Table!I:O,MATCH(K5,Table!I:I,0),2),"")</f>
        <v/>
      </c>
      <c r="M5" s="31" t="str">
        <f>IFERROR(INDEX(Table!I:O,MATCH(K5,Table!I:I,0),3),"")</f>
        <v/>
      </c>
      <c r="N5" s="32" t="str">
        <f>IFERROR(INDEX(Table!I:O,MATCH(K5,Table!I:I,0),4),"")</f>
        <v/>
      </c>
      <c r="O5" s="32" t="str">
        <f>IFERROR(INDEX(Table!I:O,MATCH(K5,Table!I:I,0),5),"")</f>
        <v/>
      </c>
      <c r="P5" s="32" t="str">
        <f>IFERROR(INDEX(Table!I:O,MATCH(K5,Table!I:I,0),6),"")</f>
        <v/>
      </c>
      <c r="Q5" s="89" t="str">
        <f>IFERROR(L5-B5,"")</f>
        <v/>
      </c>
      <c r="R5" s="89" t="str">
        <f>IFERROR(M5-C5,"")</f>
        <v/>
      </c>
      <c r="S5" s="82"/>
      <c r="U5" s="37" t="e">
        <f>K5-K4</f>
        <v>#VALUE!</v>
      </c>
    </row>
    <row r="6" spans="1:23" x14ac:dyDescent="0.25">
      <c r="A6" s="31" t="str">
        <f>IF(Table!A6 = "","",Table!A6)</f>
        <v/>
      </c>
      <c r="B6" s="31" t="str">
        <f>IF(Table!B6 = "","",Table!B6)</f>
        <v/>
      </c>
      <c r="C6" s="31" t="str">
        <f>IF(Table!C6 = "","",Table!C6)</f>
        <v/>
      </c>
      <c r="D6" s="32" t="str">
        <f>IF(Table!D6 = "","",Table!D6)</f>
        <v/>
      </c>
      <c r="E6" s="32" t="str">
        <f>IF(Table!E6 = "","",Table!E6)</f>
        <v/>
      </c>
      <c r="F6" s="32" t="str">
        <f>IF(Table!F6 = "","",Table!F6)</f>
        <v/>
      </c>
      <c r="G6" s="91"/>
      <c r="I6" s="84" t="str">
        <f>IFERROR(VLOOKUP(A6,Downlink!A:L,12,TRUE),"")</f>
        <v/>
      </c>
      <c r="K6" s="31" t="str">
        <f>IFERROR(VLOOKUP(A6,Table!$I$4:$O$3000,1,TRUE),"")</f>
        <v/>
      </c>
      <c r="L6" s="31" t="str">
        <f>IFERROR(INDEX(Table!I:O,MATCH(K6,Table!I:I,0),2),"")</f>
        <v/>
      </c>
      <c r="M6" s="31" t="str">
        <f>IFERROR(INDEX(Table!I:O,MATCH(K6,Table!I:I,0),3),"")</f>
        <v/>
      </c>
      <c r="N6" s="32" t="str">
        <f>IFERROR(INDEX(Table!I:O,MATCH(K6,Table!I:I,0),4),"")</f>
        <v/>
      </c>
      <c r="O6" s="32" t="str">
        <f>IFERROR(INDEX(Table!I:O,MATCH(K6,Table!I:I,0),5),"")</f>
        <v/>
      </c>
      <c r="P6" s="32" t="str">
        <f>IFERROR(INDEX(Table!I:O,MATCH(K6,Table!I:I,0),6),"")</f>
        <v/>
      </c>
      <c r="Q6" s="89" t="str">
        <f t="shared" ref="Q6:Q69" si="0">IFERROR(L6-B6,"")</f>
        <v/>
      </c>
      <c r="R6" s="89" t="str">
        <f t="shared" ref="R6:R69" si="1">IFERROR(M6-C6,"")</f>
        <v/>
      </c>
      <c r="S6" s="82"/>
      <c r="U6" s="37" t="e">
        <f t="shared" ref="U6:U69" si="2">K6-K5</f>
        <v>#VALUE!</v>
      </c>
    </row>
    <row r="7" spans="1:23" x14ac:dyDescent="0.25">
      <c r="A7" s="31" t="str">
        <f>IF(Table!A7 = "","",Table!A7)</f>
        <v/>
      </c>
      <c r="B7" s="31" t="str">
        <f>IF(Table!B7 = "","",Table!B7)</f>
        <v/>
      </c>
      <c r="C7" s="31" t="str">
        <f>IF(Table!C7 = "","",Table!C7)</f>
        <v/>
      </c>
      <c r="D7" s="32" t="str">
        <f>IF(Table!D7 = "","",Table!D7)</f>
        <v/>
      </c>
      <c r="E7" s="32" t="str">
        <f>IF(Table!E7 = "","",Table!E7)</f>
        <v/>
      </c>
      <c r="F7" s="32" t="str">
        <f>IF(Table!F7 = "","",Table!F7)</f>
        <v/>
      </c>
      <c r="G7" s="91"/>
      <c r="I7" s="84" t="str">
        <f>IFERROR(VLOOKUP(A7,Downlink!A:L,12,TRUE),"")</f>
        <v/>
      </c>
      <c r="K7" s="31" t="str">
        <f>IFERROR(VLOOKUP(A7,Table!$I$4:$O$3000,1,TRUE),"")</f>
        <v/>
      </c>
      <c r="L7" s="31" t="str">
        <f>IFERROR(INDEX(Table!I:O,MATCH(K7,Table!I:I,0),2),"")</f>
        <v/>
      </c>
      <c r="M7" s="31" t="str">
        <f>IFERROR(INDEX(Table!I:O,MATCH(K7,Table!I:I,0),3),"")</f>
        <v/>
      </c>
      <c r="N7" s="32" t="str">
        <f>IFERROR(INDEX(Table!I:O,MATCH(K7,Table!I:I,0),4),"")</f>
        <v/>
      </c>
      <c r="O7" s="32" t="str">
        <f>IFERROR(INDEX(Table!I:O,MATCH(K7,Table!I:I,0),5),"")</f>
        <v/>
      </c>
      <c r="P7" s="32" t="str">
        <f>IFERROR(INDEX(Table!I:O,MATCH(K7,Table!I:I,0),6),"")</f>
        <v/>
      </c>
      <c r="Q7" s="89" t="str">
        <f t="shared" si="0"/>
        <v/>
      </c>
      <c r="R7" s="89" t="str">
        <f t="shared" si="1"/>
        <v/>
      </c>
      <c r="S7" s="82"/>
      <c r="U7" s="37" t="e">
        <f t="shared" si="2"/>
        <v>#VALUE!</v>
      </c>
    </row>
    <row r="8" spans="1:23" x14ac:dyDescent="0.25">
      <c r="A8" s="31" t="str">
        <f>IF(Table!A8 = "","",Table!A8)</f>
        <v/>
      </c>
      <c r="B8" s="31" t="str">
        <f>IF(Table!B8 = "","",Table!B8)</f>
        <v/>
      </c>
      <c r="C8" s="31" t="str">
        <f>IF(Table!C8 = "","",Table!C8)</f>
        <v/>
      </c>
      <c r="D8" s="32" t="str">
        <f>IF(Table!D8 = "","",Table!D8)</f>
        <v/>
      </c>
      <c r="E8" s="32" t="str">
        <f>IF(Table!E8 = "","",Table!E8)</f>
        <v/>
      </c>
      <c r="F8" s="32" t="str">
        <f>IF(Table!F8 = "","",Table!F8)</f>
        <v/>
      </c>
      <c r="G8" s="91"/>
      <c r="I8" s="84" t="str">
        <f>IFERROR(VLOOKUP(A8,Downlink!A:L,12,TRUE),"")</f>
        <v/>
      </c>
      <c r="K8" s="31" t="str">
        <f>IFERROR(VLOOKUP(A8,Table!$I$4:$O$3000,1,TRUE),"")</f>
        <v/>
      </c>
      <c r="L8" s="31" t="str">
        <f>IFERROR(INDEX(Table!I:O,MATCH(K8,Table!I:I,0),2),"")</f>
        <v/>
      </c>
      <c r="M8" s="31" t="str">
        <f>IFERROR(INDEX(Table!I:O,MATCH(K8,Table!I:I,0),3),"")</f>
        <v/>
      </c>
      <c r="N8" s="32" t="str">
        <f>IFERROR(INDEX(Table!I:O,MATCH(K8,Table!I:I,0),4),"")</f>
        <v/>
      </c>
      <c r="O8" s="32" t="str">
        <f>IFERROR(INDEX(Table!I:O,MATCH(K8,Table!I:I,0),5),"")</f>
        <v/>
      </c>
      <c r="P8" s="32" t="str">
        <f>IFERROR(INDEX(Table!I:O,MATCH(K8,Table!I:I,0),6),"")</f>
        <v/>
      </c>
      <c r="Q8" s="89" t="str">
        <f t="shared" si="0"/>
        <v/>
      </c>
      <c r="R8" s="89" t="str">
        <f t="shared" si="1"/>
        <v/>
      </c>
      <c r="S8" s="82"/>
      <c r="U8" s="37" t="e">
        <f t="shared" si="2"/>
        <v>#VALUE!</v>
      </c>
      <c r="W8" s="37"/>
    </row>
    <row r="9" spans="1:23" x14ac:dyDescent="0.25">
      <c r="A9" s="31" t="str">
        <f>IF(Table!A9 = "","",Table!A9)</f>
        <v/>
      </c>
      <c r="B9" s="31" t="str">
        <f>IF(Table!B9 = "","",Table!B9)</f>
        <v/>
      </c>
      <c r="C9" s="31" t="str">
        <f>IF(Table!C9 = "","",Table!C9)</f>
        <v/>
      </c>
      <c r="D9" s="32" t="str">
        <f>IF(Table!D9 = "","",Table!D9)</f>
        <v/>
      </c>
      <c r="E9" s="32" t="str">
        <f>IF(Table!E9 = "","",Table!E9)</f>
        <v/>
      </c>
      <c r="F9" s="32" t="str">
        <f>IF(Table!F9 = "","",Table!F9)</f>
        <v/>
      </c>
      <c r="G9" s="91"/>
      <c r="I9" s="84" t="str">
        <f>IFERROR(VLOOKUP(A9,Downlink!A:L,12,TRUE),"")</f>
        <v/>
      </c>
      <c r="K9" s="31" t="str">
        <f>IFERROR(VLOOKUP(A9,Table!$I$4:$O$3000,1,TRUE),"")</f>
        <v/>
      </c>
      <c r="L9" s="31" t="str">
        <f>IFERROR(INDEX(Table!I:O,MATCH(K9,Table!I:I,0),2),"")</f>
        <v/>
      </c>
      <c r="M9" s="31" t="str">
        <f>IFERROR(INDEX(Table!I:O,MATCH(K9,Table!I:I,0),3),"")</f>
        <v/>
      </c>
      <c r="N9" s="32" t="str">
        <f>IFERROR(INDEX(Table!I:O,MATCH(K9,Table!I:I,0),4),"")</f>
        <v/>
      </c>
      <c r="O9" s="32" t="str">
        <f>IFERROR(INDEX(Table!I:O,MATCH(K9,Table!I:I,0),5),"")</f>
        <v/>
      </c>
      <c r="P9" s="32" t="str">
        <f>IFERROR(INDEX(Table!I:O,MATCH(K9,Table!I:I,0),6),"")</f>
        <v/>
      </c>
      <c r="Q9" s="89" t="str">
        <f t="shared" si="0"/>
        <v/>
      </c>
      <c r="R9" s="89" t="str">
        <f t="shared" si="1"/>
        <v/>
      </c>
      <c r="S9" s="82"/>
      <c r="U9" s="37" t="e">
        <f t="shared" si="2"/>
        <v>#VALUE!</v>
      </c>
    </row>
    <row r="10" spans="1:23" x14ac:dyDescent="0.25">
      <c r="A10" s="31" t="str">
        <f>IF(Table!A10 = "","",Table!A10)</f>
        <v/>
      </c>
      <c r="B10" s="31" t="str">
        <f>IF(Table!B10 = "","",Table!B10)</f>
        <v/>
      </c>
      <c r="C10" s="31" t="str">
        <f>IF(Table!C10 = "","",Table!C10)</f>
        <v/>
      </c>
      <c r="D10" s="32" t="str">
        <f>IF(Table!D10 = "","",Table!D10)</f>
        <v/>
      </c>
      <c r="E10" s="32" t="str">
        <f>IF(Table!E10 = "","",Table!E10)</f>
        <v/>
      </c>
      <c r="F10" s="32" t="str">
        <f>IF(Table!F10 = "","",Table!F10)</f>
        <v/>
      </c>
      <c r="G10" s="91"/>
      <c r="I10" s="84" t="str">
        <f>IFERROR(VLOOKUP(A10,Downlink!A:L,12,TRUE),"")</f>
        <v/>
      </c>
      <c r="K10" s="31" t="str">
        <f>IFERROR(VLOOKUP(A10,Table!$I$4:$O$3000,1,TRUE),"")</f>
        <v/>
      </c>
      <c r="L10" s="31" t="str">
        <f>IFERROR(INDEX(Table!I:O,MATCH(K10,Table!I:I,0),2),"")</f>
        <v/>
      </c>
      <c r="M10" s="31" t="str">
        <f>IFERROR(INDEX(Table!I:O,MATCH(K10,Table!I:I,0),3),"")</f>
        <v/>
      </c>
      <c r="N10" s="32" t="str">
        <f>IFERROR(INDEX(Table!I:O,MATCH(K10,Table!I:I,0),4),"")</f>
        <v/>
      </c>
      <c r="O10" s="32" t="str">
        <f>IFERROR(INDEX(Table!I:O,MATCH(K10,Table!I:I,0),5),"")</f>
        <v/>
      </c>
      <c r="P10" s="32" t="str">
        <f>IFERROR(INDEX(Table!I:O,MATCH(K10,Table!I:I,0),6),"")</f>
        <v/>
      </c>
      <c r="Q10" s="89" t="str">
        <f t="shared" si="0"/>
        <v/>
      </c>
      <c r="R10" s="89" t="str">
        <f t="shared" si="1"/>
        <v/>
      </c>
      <c r="S10" s="82"/>
      <c r="U10" s="37" t="e">
        <f t="shared" si="2"/>
        <v>#VALUE!</v>
      </c>
    </row>
    <row r="11" spans="1:23" x14ac:dyDescent="0.25">
      <c r="A11" s="31" t="str">
        <f>IF(Table!A11 = "","",Table!A11)</f>
        <v/>
      </c>
      <c r="B11" s="31" t="str">
        <f>IF(Table!B11 = "","",Table!B11)</f>
        <v/>
      </c>
      <c r="C11" s="31" t="str">
        <f>IF(Table!C11 = "","",Table!C11)</f>
        <v/>
      </c>
      <c r="D11" s="32" t="str">
        <f>IF(Table!D11 = "","",Table!D11)</f>
        <v/>
      </c>
      <c r="E11" s="32" t="str">
        <f>IF(Table!E11 = "","",Table!E11)</f>
        <v/>
      </c>
      <c r="F11" s="32" t="str">
        <f>IF(Table!F11 = "","",Table!F11)</f>
        <v/>
      </c>
      <c r="G11" s="91"/>
      <c r="I11" s="84" t="str">
        <f>IFERROR(VLOOKUP(A11,Downlink!A:L,12,TRUE),"")</f>
        <v/>
      </c>
      <c r="K11" s="31" t="str">
        <f>IFERROR(VLOOKUP(A11,Table!$I$4:$O$3000,1,TRUE),"")</f>
        <v/>
      </c>
      <c r="L11" s="31" t="str">
        <f>IFERROR(INDEX(Table!I:O,MATCH(K11,Table!I:I,0),2),"")</f>
        <v/>
      </c>
      <c r="M11" s="31" t="str">
        <f>IFERROR(INDEX(Table!I:O,MATCH(K11,Table!I:I,0),3),"")</f>
        <v/>
      </c>
      <c r="N11" s="32" t="str">
        <f>IFERROR(INDEX(Table!I:O,MATCH(K11,Table!I:I,0),4),"")</f>
        <v/>
      </c>
      <c r="O11" s="32" t="str">
        <f>IFERROR(INDEX(Table!I:O,MATCH(K11,Table!I:I,0),5),"")</f>
        <v/>
      </c>
      <c r="P11" s="32" t="str">
        <f>IFERROR(INDEX(Table!I:O,MATCH(K11,Table!I:I,0),6),"")</f>
        <v/>
      </c>
      <c r="Q11" s="89" t="str">
        <f t="shared" si="0"/>
        <v/>
      </c>
      <c r="R11" s="89" t="str">
        <f t="shared" si="1"/>
        <v/>
      </c>
      <c r="S11" s="82"/>
      <c r="U11" s="37" t="e">
        <f t="shared" si="2"/>
        <v>#VALUE!</v>
      </c>
    </row>
    <row r="12" spans="1:23" x14ac:dyDescent="0.25">
      <c r="A12" s="31" t="str">
        <f>IF(Table!A12 = "","",Table!A12)</f>
        <v/>
      </c>
      <c r="B12" s="31" t="str">
        <f>IF(Table!B12 = "","",Table!B12)</f>
        <v/>
      </c>
      <c r="C12" s="31" t="str">
        <f>IF(Table!C12 = "","",Table!C12)</f>
        <v/>
      </c>
      <c r="D12" s="32" t="str">
        <f>IF(Table!D12 = "","",Table!D12)</f>
        <v/>
      </c>
      <c r="E12" s="32" t="str">
        <f>IF(Table!E12 = "","",Table!E12)</f>
        <v/>
      </c>
      <c r="F12" s="32" t="str">
        <f>IF(Table!F12 = "","",Table!F12)</f>
        <v/>
      </c>
      <c r="G12" s="91"/>
      <c r="I12" s="84" t="str">
        <f>IFERROR(VLOOKUP(A12,Downlink!A:L,12,TRUE),"")</f>
        <v/>
      </c>
      <c r="K12" s="31" t="str">
        <f>IFERROR(VLOOKUP(A12,Table!$I$4:$O$3000,1,TRUE),"")</f>
        <v/>
      </c>
      <c r="L12" s="31" t="str">
        <f>IFERROR(INDEX(Table!I:O,MATCH(K12,Table!I:I,0),2),"")</f>
        <v/>
      </c>
      <c r="M12" s="31" t="str">
        <f>IFERROR(INDEX(Table!I:O,MATCH(K12,Table!I:I,0),3),"")</f>
        <v/>
      </c>
      <c r="N12" s="32" t="str">
        <f>IFERROR(INDEX(Table!I:O,MATCH(K12,Table!I:I,0),4),"")</f>
        <v/>
      </c>
      <c r="O12" s="32" t="str">
        <f>IFERROR(INDEX(Table!I:O,MATCH(K12,Table!I:I,0),5),"")</f>
        <v/>
      </c>
      <c r="P12" s="32" t="str">
        <f>IFERROR(INDEX(Table!I:O,MATCH(K12,Table!I:I,0),6),"")</f>
        <v/>
      </c>
      <c r="Q12" s="89" t="str">
        <f t="shared" si="0"/>
        <v/>
      </c>
      <c r="R12" s="89" t="str">
        <f t="shared" si="1"/>
        <v/>
      </c>
      <c r="S12" s="82"/>
      <c r="U12" s="37" t="e">
        <f t="shared" si="2"/>
        <v>#VALUE!</v>
      </c>
    </row>
    <row r="13" spans="1:23" x14ac:dyDescent="0.25">
      <c r="A13" s="31" t="str">
        <f>IF(Table!A13 = "","",Table!A13)</f>
        <v/>
      </c>
      <c r="B13" s="31" t="str">
        <f>IF(Table!B13 = "","",Table!B13)</f>
        <v/>
      </c>
      <c r="C13" s="31" t="str">
        <f>IF(Table!C13 = "","",Table!C13)</f>
        <v/>
      </c>
      <c r="D13" s="32" t="str">
        <f>IF(Table!D13 = "","",Table!D13)</f>
        <v/>
      </c>
      <c r="E13" s="32" t="str">
        <f>IF(Table!E13 = "","",Table!E13)</f>
        <v/>
      </c>
      <c r="F13" s="32" t="str">
        <f>IF(Table!F13 = "","",Table!F13)</f>
        <v/>
      </c>
      <c r="G13" s="91"/>
      <c r="I13" s="84" t="str">
        <f>IFERROR(VLOOKUP(A13,Downlink!A:L,12,TRUE),"")</f>
        <v/>
      </c>
      <c r="K13" s="31" t="str">
        <f>IFERROR(VLOOKUP(A13,Table!$I$4:$O$3000,1,TRUE),"")</f>
        <v/>
      </c>
      <c r="L13" s="31" t="str">
        <f>IFERROR(INDEX(Table!I:O,MATCH(K13,Table!I:I,0),2),"")</f>
        <v/>
      </c>
      <c r="M13" s="31" t="str">
        <f>IFERROR(INDEX(Table!I:O,MATCH(K13,Table!I:I,0),3),"")</f>
        <v/>
      </c>
      <c r="N13" s="32" t="str">
        <f>IFERROR(INDEX(Table!I:O,MATCH(K13,Table!I:I,0),4),"")</f>
        <v/>
      </c>
      <c r="O13" s="32" t="str">
        <f>IFERROR(INDEX(Table!I:O,MATCH(K13,Table!I:I,0),5),"")</f>
        <v/>
      </c>
      <c r="P13" s="32" t="str">
        <f>IFERROR(INDEX(Table!I:O,MATCH(K13,Table!I:I,0),6),"")</f>
        <v/>
      </c>
      <c r="Q13" s="89" t="str">
        <f t="shared" si="0"/>
        <v/>
      </c>
      <c r="R13" s="89" t="str">
        <f t="shared" si="1"/>
        <v/>
      </c>
      <c r="S13" s="82"/>
      <c r="U13" s="37" t="e">
        <f t="shared" si="2"/>
        <v>#VALUE!</v>
      </c>
    </row>
    <row r="14" spans="1:23" x14ac:dyDescent="0.25">
      <c r="A14" s="31" t="str">
        <f>IF(Table!A14 = "","",Table!A14)</f>
        <v/>
      </c>
      <c r="B14" s="31" t="str">
        <f>IF(Table!B14 = "","",Table!B14)</f>
        <v/>
      </c>
      <c r="C14" s="31" t="str">
        <f>IF(Table!C14 = "","",Table!C14)</f>
        <v/>
      </c>
      <c r="D14" s="32" t="str">
        <f>IF(Table!D14 = "","",Table!D14)</f>
        <v/>
      </c>
      <c r="E14" s="32" t="str">
        <f>IF(Table!E14 = "","",Table!E14)</f>
        <v/>
      </c>
      <c r="F14" s="32" t="str">
        <f>IF(Table!F14 = "","",Table!F14)</f>
        <v/>
      </c>
      <c r="G14" s="91"/>
      <c r="I14" s="84" t="str">
        <f>IFERROR(VLOOKUP(A14,Downlink!A:L,12,TRUE),"")</f>
        <v/>
      </c>
      <c r="K14" s="31" t="str">
        <f>IFERROR(VLOOKUP(A14,Table!$I$4:$O$3000,1,TRUE),"")</f>
        <v/>
      </c>
      <c r="L14" s="31" t="str">
        <f>IFERROR(INDEX(Table!I:O,MATCH(K14,Table!I:I,0),2),"")</f>
        <v/>
      </c>
      <c r="M14" s="31" t="str">
        <f>IFERROR(INDEX(Table!I:O,MATCH(K14,Table!I:I,0),3),"")</f>
        <v/>
      </c>
      <c r="N14" s="32" t="str">
        <f>IFERROR(INDEX(Table!I:O,MATCH(K14,Table!I:I,0),4),"")</f>
        <v/>
      </c>
      <c r="O14" s="32" t="str">
        <f>IFERROR(INDEX(Table!I:O,MATCH(K14,Table!I:I,0),5),"")</f>
        <v/>
      </c>
      <c r="P14" s="32" t="str">
        <f>IFERROR(INDEX(Table!I:O,MATCH(K14,Table!I:I,0),6),"")</f>
        <v/>
      </c>
      <c r="Q14" s="89" t="str">
        <f t="shared" si="0"/>
        <v/>
      </c>
      <c r="R14" s="89" t="str">
        <f t="shared" si="1"/>
        <v/>
      </c>
      <c r="S14" s="82"/>
      <c r="U14" s="37" t="e">
        <f t="shared" si="2"/>
        <v>#VALUE!</v>
      </c>
    </row>
    <row r="15" spans="1:23" x14ac:dyDescent="0.25">
      <c r="A15" s="31" t="str">
        <f>IF(Table!A15 = "","",Table!A15)</f>
        <v/>
      </c>
      <c r="B15" s="31" t="str">
        <f>IF(Table!B15 = "","",Table!B15)</f>
        <v/>
      </c>
      <c r="C15" s="31" t="str">
        <f>IF(Table!C15 = "","",Table!C15)</f>
        <v/>
      </c>
      <c r="D15" s="32" t="str">
        <f>IF(Table!D15 = "","",Table!D15)</f>
        <v/>
      </c>
      <c r="E15" s="32" t="str">
        <f>IF(Table!E15 = "","",Table!E15)</f>
        <v/>
      </c>
      <c r="F15" s="32" t="str">
        <f>IF(Table!F15 = "","",Table!F15)</f>
        <v/>
      </c>
      <c r="G15" s="91"/>
      <c r="I15" s="84" t="str">
        <f>IFERROR(VLOOKUP(A15,Downlink!A:L,12,TRUE),"")</f>
        <v/>
      </c>
      <c r="K15" s="31" t="str">
        <f>IFERROR(VLOOKUP(A15,Table!$I$4:$O$3000,1,TRUE),"")</f>
        <v/>
      </c>
      <c r="L15" s="31" t="str">
        <f>IFERROR(INDEX(Table!I:O,MATCH(K15,Table!I:I,0),2),"")</f>
        <v/>
      </c>
      <c r="M15" s="31" t="str">
        <f>IFERROR(INDEX(Table!I:O,MATCH(K15,Table!I:I,0),3),"")</f>
        <v/>
      </c>
      <c r="N15" s="32" t="str">
        <f>IFERROR(INDEX(Table!I:O,MATCH(K15,Table!I:I,0),4),"")</f>
        <v/>
      </c>
      <c r="O15" s="32" t="str">
        <f>IFERROR(INDEX(Table!I:O,MATCH(K15,Table!I:I,0),5),"")</f>
        <v/>
      </c>
      <c r="P15" s="32" t="str">
        <f>IFERROR(INDEX(Table!I:O,MATCH(K15,Table!I:I,0),6),"")</f>
        <v/>
      </c>
      <c r="Q15" s="89" t="str">
        <f t="shared" si="0"/>
        <v/>
      </c>
      <c r="R15" s="89" t="str">
        <f t="shared" si="1"/>
        <v/>
      </c>
      <c r="S15" s="82"/>
      <c r="U15" s="37" t="e">
        <f t="shared" si="2"/>
        <v>#VALUE!</v>
      </c>
    </row>
    <row r="16" spans="1:23" x14ac:dyDescent="0.25">
      <c r="A16" s="31" t="str">
        <f>IF(Table!A16 = "","",Table!A16)</f>
        <v/>
      </c>
      <c r="B16" s="31" t="str">
        <f>IF(Table!B16 = "","",Table!B16)</f>
        <v/>
      </c>
      <c r="C16" s="31" t="str">
        <f>IF(Table!C16 = "","",Table!C16)</f>
        <v/>
      </c>
      <c r="D16" s="32" t="str">
        <f>IF(Table!D16 = "","",Table!D16)</f>
        <v/>
      </c>
      <c r="E16" s="32" t="str">
        <f>IF(Table!E16 = "","",Table!E16)</f>
        <v/>
      </c>
      <c r="F16" s="32" t="str">
        <f>IF(Table!F16 = "","",Table!F16)</f>
        <v/>
      </c>
      <c r="G16" s="91"/>
      <c r="I16" s="84" t="str">
        <f>IFERROR(VLOOKUP(A16,Downlink!A:L,12,TRUE),"")</f>
        <v/>
      </c>
      <c r="K16" s="31" t="str">
        <f>IFERROR(VLOOKUP(A16,Table!$I$4:$O$3000,1,TRUE),"")</f>
        <v/>
      </c>
      <c r="L16" s="31" t="str">
        <f>IFERROR(INDEX(Table!I:O,MATCH(K16,Table!I:I,0),2),"")</f>
        <v/>
      </c>
      <c r="M16" s="31" t="str">
        <f>IFERROR(INDEX(Table!I:O,MATCH(K16,Table!I:I,0),3),"")</f>
        <v/>
      </c>
      <c r="N16" s="32" t="str">
        <f>IFERROR(INDEX(Table!I:O,MATCH(K16,Table!I:I,0),4),"")</f>
        <v/>
      </c>
      <c r="O16" s="32" t="str">
        <f>IFERROR(INDEX(Table!I:O,MATCH(K16,Table!I:I,0),5),"")</f>
        <v/>
      </c>
      <c r="P16" s="32" t="str">
        <f>IFERROR(INDEX(Table!I:O,MATCH(K16,Table!I:I,0),6),"")</f>
        <v/>
      </c>
      <c r="Q16" s="89" t="str">
        <f t="shared" si="0"/>
        <v/>
      </c>
      <c r="R16" s="89" t="str">
        <f t="shared" si="1"/>
        <v/>
      </c>
      <c r="S16" s="82"/>
      <c r="U16" s="37" t="e">
        <f t="shared" si="2"/>
        <v>#VALUE!</v>
      </c>
    </row>
    <row r="17" spans="1:21" x14ac:dyDescent="0.25">
      <c r="A17" s="31" t="str">
        <f>IF(Table!A17 = "","",Table!A17)</f>
        <v/>
      </c>
      <c r="B17" s="31" t="str">
        <f>IF(Table!B17 = "","",Table!B17)</f>
        <v/>
      </c>
      <c r="C17" s="31" t="str">
        <f>IF(Table!C17 = "","",Table!C17)</f>
        <v/>
      </c>
      <c r="D17" s="32" t="str">
        <f>IF(Table!D17 = "","",Table!D17)</f>
        <v/>
      </c>
      <c r="E17" s="32" t="str">
        <f>IF(Table!E17 = "","",Table!E17)</f>
        <v/>
      </c>
      <c r="F17" s="32" t="str">
        <f>IF(Table!F17 = "","",Table!F17)</f>
        <v/>
      </c>
      <c r="G17" s="91"/>
      <c r="I17" s="84" t="str">
        <f>IFERROR(VLOOKUP(A17,Downlink!A:L,12,TRUE),"")</f>
        <v/>
      </c>
      <c r="K17" s="31" t="str">
        <f>IFERROR(VLOOKUP(A17,Table!$I$4:$O$3000,1,TRUE),"")</f>
        <v/>
      </c>
      <c r="L17" s="31" t="str">
        <f>IFERROR(INDEX(Table!I:O,MATCH(K17,Table!I:I,0),2),"")</f>
        <v/>
      </c>
      <c r="M17" s="31" t="str">
        <f>IFERROR(INDEX(Table!I:O,MATCH(K17,Table!I:I,0),3),"")</f>
        <v/>
      </c>
      <c r="N17" s="32" t="str">
        <f>IFERROR(INDEX(Table!I:O,MATCH(K17,Table!I:I,0),4),"")</f>
        <v/>
      </c>
      <c r="O17" s="32" t="str">
        <f>IFERROR(INDEX(Table!I:O,MATCH(K17,Table!I:I,0),5),"")</f>
        <v/>
      </c>
      <c r="P17" s="32" t="str">
        <f>IFERROR(INDEX(Table!I:O,MATCH(K17,Table!I:I,0),6),"")</f>
        <v/>
      </c>
      <c r="Q17" s="89" t="str">
        <f t="shared" si="0"/>
        <v/>
      </c>
      <c r="R17" s="89" t="str">
        <f t="shared" si="1"/>
        <v/>
      </c>
      <c r="S17" s="82"/>
      <c r="U17" s="37" t="e">
        <f t="shared" si="2"/>
        <v>#VALUE!</v>
      </c>
    </row>
    <row r="18" spans="1:21" x14ac:dyDescent="0.25">
      <c r="A18" s="31" t="str">
        <f>IF(Table!A18 = "","",Table!A18)</f>
        <v/>
      </c>
      <c r="B18" s="31" t="str">
        <f>IF(Table!B18 = "","",Table!B18)</f>
        <v/>
      </c>
      <c r="C18" s="31" t="str">
        <f>IF(Table!C18 = "","",Table!C18)</f>
        <v/>
      </c>
      <c r="D18" s="32" t="str">
        <f>IF(Table!D18 = "","",Table!D18)</f>
        <v/>
      </c>
      <c r="E18" s="32" t="str">
        <f>IF(Table!E18 = "","",Table!E18)</f>
        <v/>
      </c>
      <c r="F18" s="32" t="str">
        <f>IF(Table!F18 = "","",Table!F18)</f>
        <v/>
      </c>
      <c r="G18" s="91"/>
      <c r="I18" s="84" t="str">
        <f>IFERROR(VLOOKUP(A18,Downlink!A:L,12,TRUE),"")</f>
        <v/>
      </c>
      <c r="K18" s="31" t="str">
        <f>IFERROR(VLOOKUP(A18,Table!$I$4:$O$3000,1,TRUE),"")</f>
        <v/>
      </c>
      <c r="L18" s="31" t="str">
        <f>IFERROR(INDEX(Table!I:O,MATCH(K18,Table!I:I,0),2),"")</f>
        <v/>
      </c>
      <c r="M18" s="31" t="str">
        <f>IFERROR(INDEX(Table!I:O,MATCH(K18,Table!I:I,0),3),"")</f>
        <v/>
      </c>
      <c r="N18" s="32" t="str">
        <f>IFERROR(INDEX(Table!I:O,MATCH(K18,Table!I:I,0),4),"")</f>
        <v/>
      </c>
      <c r="O18" s="32" t="str">
        <f>IFERROR(INDEX(Table!I:O,MATCH(K18,Table!I:I,0),5),"")</f>
        <v/>
      </c>
      <c r="P18" s="32" t="str">
        <f>IFERROR(INDEX(Table!I:O,MATCH(K18,Table!I:I,0),6),"")</f>
        <v/>
      </c>
      <c r="Q18" s="89" t="str">
        <f t="shared" si="0"/>
        <v/>
      </c>
      <c r="R18" s="89" t="str">
        <f t="shared" si="1"/>
        <v/>
      </c>
      <c r="S18" s="82"/>
      <c r="U18" s="37" t="e">
        <f t="shared" si="2"/>
        <v>#VALUE!</v>
      </c>
    </row>
    <row r="19" spans="1:21" x14ac:dyDescent="0.25">
      <c r="A19" s="31" t="str">
        <f>IF(Table!A19 = "","",Table!A19)</f>
        <v/>
      </c>
      <c r="B19" s="31" t="str">
        <f>IF(Table!B19 = "","",Table!B19)</f>
        <v/>
      </c>
      <c r="C19" s="31" t="str">
        <f>IF(Table!C19 = "","",Table!C19)</f>
        <v/>
      </c>
      <c r="D19" s="32" t="str">
        <f>IF(Table!D19 = "","",Table!D19)</f>
        <v/>
      </c>
      <c r="E19" s="32" t="str">
        <f>IF(Table!E19 = "","",Table!E19)</f>
        <v/>
      </c>
      <c r="F19" s="32" t="str">
        <f>IF(Table!F19 = "","",Table!F19)</f>
        <v/>
      </c>
      <c r="G19" s="91"/>
      <c r="I19" s="84" t="str">
        <f>IFERROR(VLOOKUP(A19,Downlink!A:L,12,TRUE),"")</f>
        <v/>
      </c>
      <c r="K19" s="31" t="str">
        <f>IFERROR(VLOOKUP(A19,Table!$I$4:$O$3000,1,TRUE),"")</f>
        <v/>
      </c>
      <c r="L19" s="31" t="str">
        <f>IFERROR(INDEX(Table!I:O,MATCH(K19,Table!I:I,0),2),"")</f>
        <v/>
      </c>
      <c r="M19" s="31" t="str">
        <f>IFERROR(INDEX(Table!I:O,MATCH(K19,Table!I:I,0),3),"")</f>
        <v/>
      </c>
      <c r="N19" s="32" t="str">
        <f>IFERROR(INDEX(Table!I:O,MATCH(K19,Table!I:I,0),4),"")</f>
        <v/>
      </c>
      <c r="O19" s="32" t="str">
        <f>IFERROR(INDEX(Table!I:O,MATCH(K19,Table!I:I,0),5),"")</f>
        <v/>
      </c>
      <c r="P19" s="32" t="str">
        <f>IFERROR(INDEX(Table!I:O,MATCH(K19,Table!I:I,0),6),"")</f>
        <v/>
      </c>
      <c r="Q19" s="89" t="str">
        <f t="shared" si="0"/>
        <v/>
      </c>
      <c r="R19" s="89" t="str">
        <f t="shared" si="1"/>
        <v/>
      </c>
      <c r="S19" s="82"/>
      <c r="U19" s="37" t="e">
        <f t="shared" si="2"/>
        <v>#VALUE!</v>
      </c>
    </row>
    <row r="20" spans="1:21" x14ac:dyDescent="0.25">
      <c r="A20" s="31" t="str">
        <f>IF(Table!A20 = "","",Table!A20)</f>
        <v/>
      </c>
      <c r="B20" s="31" t="str">
        <f>IF(Table!B20 = "","",Table!B20)</f>
        <v/>
      </c>
      <c r="C20" s="31" t="str">
        <f>IF(Table!C20 = "","",Table!C20)</f>
        <v/>
      </c>
      <c r="D20" s="32" t="str">
        <f>IF(Table!D20 = "","",Table!D20)</f>
        <v/>
      </c>
      <c r="E20" s="32" t="str">
        <f>IF(Table!E20 = "","",Table!E20)</f>
        <v/>
      </c>
      <c r="F20" s="32" t="str">
        <f>IF(Table!F20 = "","",Table!F20)</f>
        <v/>
      </c>
      <c r="G20" s="91"/>
      <c r="I20" s="84" t="str">
        <f>IFERROR(VLOOKUP(A20,Downlink!A:L,12,TRUE),"")</f>
        <v/>
      </c>
      <c r="K20" s="31" t="str">
        <f>IFERROR(VLOOKUP(A20,Table!$I$4:$O$3000,1,TRUE),"")</f>
        <v/>
      </c>
      <c r="L20" s="31" t="str">
        <f>IFERROR(INDEX(Table!I:O,MATCH(K20,Table!I:I,0),2),"")</f>
        <v/>
      </c>
      <c r="M20" s="31" t="str">
        <f>IFERROR(INDEX(Table!I:O,MATCH(K20,Table!I:I,0),3),"")</f>
        <v/>
      </c>
      <c r="N20" s="32" t="str">
        <f>IFERROR(INDEX(Table!I:O,MATCH(K20,Table!I:I,0),4),"")</f>
        <v/>
      </c>
      <c r="O20" s="32" t="str">
        <f>IFERROR(INDEX(Table!I:O,MATCH(K20,Table!I:I,0),5),"")</f>
        <v/>
      </c>
      <c r="P20" s="32" t="str">
        <f>IFERROR(INDEX(Table!I:O,MATCH(K20,Table!I:I,0),6),"")</f>
        <v/>
      </c>
      <c r="Q20" s="89" t="str">
        <f t="shared" si="0"/>
        <v/>
      </c>
      <c r="R20" s="89" t="str">
        <f t="shared" si="1"/>
        <v/>
      </c>
      <c r="S20" s="82"/>
      <c r="U20" s="37" t="e">
        <f t="shared" si="2"/>
        <v>#VALUE!</v>
      </c>
    </row>
    <row r="21" spans="1:21" x14ac:dyDescent="0.25">
      <c r="A21" s="31" t="str">
        <f>IF(Table!A21 = "","",Table!A21)</f>
        <v/>
      </c>
      <c r="B21" s="31" t="str">
        <f>IF(Table!B21 = "","",Table!B21)</f>
        <v/>
      </c>
      <c r="C21" s="31" t="str">
        <f>IF(Table!C21 = "","",Table!C21)</f>
        <v/>
      </c>
      <c r="D21" s="32" t="str">
        <f>IF(Table!D21 = "","",Table!D21)</f>
        <v/>
      </c>
      <c r="E21" s="32" t="str">
        <f>IF(Table!E21 = "","",Table!E21)</f>
        <v/>
      </c>
      <c r="F21" s="32" t="str">
        <f>IF(Table!F21 = "","",Table!F21)</f>
        <v/>
      </c>
      <c r="G21" s="91"/>
      <c r="I21" s="84" t="str">
        <f>IFERROR(VLOOKUP(A21,Downlink!A:L,12,TRUE),"")</f>
        <v/>
      </c>
      <c r="K21" s="31" t="str">
        <f>IFERROR(VLOOKUP(A21,Table!$I$4:$O$3000,1,TRUE),"")</f>
        <v/>
      </c>
      <c r="L21" s="31" t="str">
        <f>IFERROR(INDEX(Table!I:O,MATCH(K21,Table!I:I,0),2),"")</f>
        <v/>
      </c>
      <c r="M21" s="31" t="str">
        <f>IFERROR(INDEX(Table!I:O,MATCH(K21,Table!I:I,0),3),"")</f>
        <v/>
      </c>
      <c r="N21" s="32" t="str">
        <f>IFERROR(INDEX(Table!I:O,MATCH(K21,Table!I:I,0),4),"")</f>
        <v/>
      </c>
      <c r="O21" s="32" t="str">
        <f>IFERROR(INDEX(Table!I:O,MATCH(K21,Table!I:I,0),5),"")</f>
        <v/>
      </c>
      <c r="P21" s="32" t="str">
        <f>IFERROR(INDEX(Table!I:O,MATCH(K21,Table!I:I,0),6),"")</f>
        <v/>
      </c>
      <c r="Q21" s="89" t="str">
        <f t="shared" si="0"/>
        <v/>
      </c>
      <c r="R21" s="89" t="str">
        <f t="shared" si="1"/>
        <v/>
      </c>
      <c r="S21" s="82"/>
      <c r="U21" s="37" t="e">
        <f t="shared" si="2"/>
        <v>#VALUE!</v>
      </c>
    </row>
    <row r="22" spans="1:21" x14ac:dyDescent="0.25">
      <c r="A22" s="31" t="str">
        <f>IF(Table!A22 = "","",Table!A22)</f>
        <v/>
      </c>
      <c r="B22" s="31" t="str">
        <f>IF(Table!B22 = "","",Table!B22)</f>
        <v/>
      </c>
      <c r="C22" s="31" t="str">
        <f>IF(Table!C22 = "","",Table!C22)</f>
        <v/>
      </c>
      <c r="D22" s="32" t="str">
        <f>IF(Table!D22 = "","",Table!D22)</f>
        <v/>
      </c>
      <c r="E22" s="32" t="str">
        <f>IF(Table!E22 = "","",Table!E22)</f>
        <v/>
      </c>
      <c r="F22" s="32" t="str">
        <f>IF(Table!F22 = "","",Table!F22)</f>
        <v/>
      </c>
      <c r="G22" s="91"/>
      <c r="I22" s="84" t="str">
        <f>IFERROR(VLOOKUP(A22,Downlink!A:L,12,TRUE),"")</f>
        <v/>
      </c>
      <c r="K22" s="31" t="str">
        <f>IFERROR(VLOOKUP(A22,Table!$I$4:$O$3000,1,TRUE),"")</f>
        <v/>
      </c>
      <c r="L22" s="31" t="str">
        <f>IFERROR(INDEX(Table!I:O,MATCH(K22,Table!I:I,0),2),"")</f>
        <v/>
      </c>
      <c r="M22" s="31" t="str">
        <f>IFERROR(INDEX(Table!I:O,MATCH(K22,Table!I:I,0),3),"")</f>
        <v/>
      </c>
      <c r="N22" s="32" t="str">
        <f>IFERROR(INDEX(Table!I:O,MATCH(K22,Table!I:I,0),4),"")</f>
        <v/>
      </c>
      <c r="O22" s="32" t="str">
        <f>IFERROR(INDEX(Table!I:O,MATCH(K22,Table!I:I,0),5),"")</f>
        <v/>
      </c>
      <c r="P22" s="32" t="str">
        <f>IFERROR(INDEX(Table!I:O,MATCH(K22,Table!I:I,0),6),"")</f>
        <v/>
      </c>
      <c r="Q22" s="89" t="str">
        <f t="shared" si="0"/>
        <v/>
      </c>
      <c r="R22" s="89" t="str">
        <f t="shared" si="1"/>
        <v/>
      </c>
      <c r="S22" s="82"/>
      <c r="U22" s="37" t="e">
        <f t="shared" si="2"/>
        <v>#VALUE!</v>
      </c>
    </row>
    <row r="23" spans="1:21" x14ac:dyDescent="0.25">
      <c r="A23" s="31" t="str">
        <f>IF(Table!A23 = "","",Table!A23)</f>
        <v/>
      </c>
      <c r="B23" s="31" t="str">
        <f>IF(Table!B23 = "","",Table!B23)</f>
        <v/>
      </c>
      <c r="C23" s="31" t="str">
        <f>IF(Table!C23 = "","",Table!C23)</f>
        <v/>
      </c>
      <c r="D23" s="32" t="str">
        <f>IF(Table!D23 = "","",Table!D23)</f>
        <v/>
      </c>
      <c r="E23" s="32" t="str">
        <f>IF(Table!E23 = "","",Table!E23)</f>
        <v/>
      </c>
      <c r="F23" s="32" t="str">
        <f>IF(Table!F23 = "","",Table!F23)</f>
        <v/>
      </c>
      <c r="G23" s="91"/>
      <c r="I23" s="84" t="str">
        <f>IFERROR(VLOOKUP(A23,Downlink!A:L,12,TRUE),"")</f>
        <v/>
      </c>
      <c r="K23" s="31" t="str">
        <f>IFERROR(VLOOKUP(A23,Table!$I$4:$O$3000,1,TRUE),"")</f>
        <v/>
      </c>
      <c r="L23" s="31" t="str">
        <f>IFERROR(INDEX(Table!I:O,MATCH(K23,Table!I:I,0),2),"")</f>
        <v/>
      </c>
      <c r="M23" s="31" t="str">
        <f>IFERROR(INDEX(Table!I:O,MATCH(K23,Table!I:I,0),3),"")</f>
        <v/>
      </c>
      <c r="N23" s="32" t="str">
        <f>IFERROR(INDEX(Table!I:O,MATCH(K23,Table!I:I,0),4),"")</f>
        <v/>
      </c>
      <c r="O23" s="32" t="str">
        <f>IFERROR(INDEX(Table!I:O,MATCH(K23,Table!I:I,0),5),"")</f>
        <v/>
      </c>
      <c r="P23" s="32" t="str">
        <f>IFERROR(INDEX(Table!I:O,MATCH(K23,Table!I:I,0),6),"")</f>
        <v/>
      </c>
      <c r="Q23" s="89" t="str">
        <f t="shared" si="0"/>
        <v/>
      </c>
      <c r="R23" s="89" t="str">
        <f t="shared" si="1"/>
        <v/>
      </c>
      <c r="S23" s="82"/>
      <c r="U23" s="37" t="e">
        <f t="shared" si="2"/>
        <v>#VALUE!</v>
      </c>
    </row>
    <row r="24" spans="1:21" x14ac:dyDescent="0.25">
      <c r="A24" s="31" t="str">
        <f>IF(Table!A24 = "","",Table!A24)</f>
        <v/>
      </c>
      <c r="B24" s="31" t="str">
        <f>IF(Table!B24 = "","",Table!B24)</f>
        <v/>
      </c>
      <c r="C24" s="31" t="str">
        <f>IF(Table!C24 = "","",Table!C24)</f>
        <v/>
      </c>
      <c r="D24" s="32" t="str">
        <f>IF(Table!D24 = "","",Table!D24)</f>
        <v/>
      </c>
      <c r="E24" s="32" t="str">
        <f>IF(Table!E24 = "","",Table!E24)</f>
        <v/>
      </c>
      <c r="F24" s="32" t="str">
        <f>IF(Table!F24 = "","",Table!F24)</f>
        <v/>
      </c>
      <c r="G24" s="91"/>
      <c r="I24" s="84" t="str">
        <f>IFERROR(VLOOKUP(A24,Downlink!A:L,12,TRUE),"")</f>
        <v/>
      </c>
      <c r="K24" s="31" t="str">
        <f>IFERROR(VLOOKUP(A24,Table!$I$4:$O$3000,1,TRUE),"")</f>
        <v/>
      </c>
      <c r="L24" s="31" t="str">
        <f>IFERROR(INDEX(Table!I:O,MATCH(K24,Table!I:I,0),2),"")</f>
        <v/>
      </c>
      <c r="M24" s="31" t="str">
        <f>IFERROR(INDEX(Table!I:O,MATCH(K24,Table!I:I,0),3),"")</f>
        <v/>
      </c>
      <c r="N24" s="32" t="str">
        <f>IFERROR(INDEX(Table!I:O,MATCH(K24,Table!I:I,0),4),"")</f>
        <v/>
      </c>
      <c r="O24" s="32" t="str">
        <f>IFERROR(INDEX(Table!I:O,MATCH(K24,Table!I:I,0),5),"")</f>
        <v/>
      </c>
      <c r="P24" s="32" t="str">
        <f>IFERROR(INDEX(Table!I:O,MATCH(K24,Table!I:I,0),6),"")</f>
        <v/>
      </c>
      <c r="Q24" s="89" t="str">
        <f t="shared" si="0"/>
        <v/>
      </c>
      <c r="R24" s="89" t="str">
        <f t="shared" si="1"/>
        <v/>
      </c>
      <c r="S24" s="82"/>
      <c r="U24" s="37" t="e">
        <f t="shared" si="2"/>
        <v>#VALUE!</v>
      </c>
    </row>
    <row r="25" spans="1:21" x14ac:dyDescent="0.25">
      <c r="A25" s="31" t="str">
        <f>IF(Table!A25 = "","",Table!A25)</f>
        <v/>
      </c>
      <c r="B25" s="31" t="str">
        <f>IF(Table!B25 = "","",Table!B25)</f>
        <v/>
      </c>
      <c r="C25" s="31" t="str">
        <f>IF(Table!C25 = "","",Table!C25)</f>
        <v/>
      </c>
      <c r="D25" s="32" t="str">
        <f>IF(Table!D25 = "","",Table!D25)</f>
        <v/>
      </c>
      <c r="E25" s="32" t="str">
        <f>IF(Table!E25 = "","",Table!E25)</f>
        <v/>
      </c>
      <c r="F25" s="32" t="str">
        <f>IF(Table!F25 = "","",Table!F25)</f>
        <v/>
      </c>
      <c r="G25" s="91"/>
      <c r="I25" s="84" t="str">
        <f>IFERROR(VLOOKUP(A25,Downlink!A:L,12,TRUE),"")</f>
        <v/>
      </c>
      <c r="K25" s="31" t="str">
        <f>IFERROR(VLOOKUP(A25,Table!$I$4:$O$3000,1,TRUE),"")</f>
        <v/>
      </c>
      <c r="L25" s="31" t="str">
        <f>IFERROR(INDEX(Table!I:O,MATCH(K25,Table!I:I,0),2),"")</f>
        <v/>
      </c>
      <c r="M25" s="31" t="str">
        <f>IFERROR(INDEX(Table!I:O,MATCH(K25,Table!I:I,0),3),"")</f>
        <v/>
      </c>
      <c r="N25" s="32" t="str">
        <f>IFERROR(INDEX(Table!I:O,MATCH(K25,Table!I:I,0),4),"")</f>
        <v/>
      </c>
      <c r="O25" s="32" t="str">
        <f>IFERROR(INDEX(Table!I:O,MATCH(K25,Table!I:I,0),5),"")</f>
        <v/>
      </c>
      <c r="P25" s="32" t="str">
        <f>IFERROR(INDEX(Table!I:O,MATCH(K25,Table!I:I,0),6),"")</f>
        <v/>
      </c>
      <c r="Q25" s="89" t="str">
        <f t="shared" si="0"/>
        <v/>
      </c>
      <c r="R25" s="89" t="str">
        <f t="shared" si="1"/>
        <v/>
      </c>
      <c r="S25" s="82"/>
      <c r="U25" s="37" t="e">
        <f t="shared" si="2"/>
        <v>#VALUE!</v>
      </c>
    </row>
    <row r="26" spans="1:21" x14ac:dyDescent="0.25">
      <c r="A26" s="31" t="str">
        <f>IF(Table!A26 = "","",Table!A26)</f>
        <v/>
      </c>
      <c r="B26" s="31" t="str">
        <f>IF(Table!B26 = "","",Table!B26)</f>
        <v/>
      </c>
      <c r="C26" s="31" t="str">
        <f>IF(Table!C26 = "","",Table!C26)</f>
        <v/>
      </c>
      <c r="D26" s="32" t="str">
        <f>IF(Table!D26 = "","",Table!D26)</f>
        <v/>
      </c>
      <c r="E26" s="32" t="str">
        <f>IF(Table!E26 = "","",Table!E26)</f>
        <v/>
      </c>
      <c r="F26" s="32" t="str">
        <f>IF(Table!F26 = "","",Table!F26)</f>
        <v/>
      </c>
      <c r="G26" s="91"/>
      <c r="I26" s="84" t="str">
        <f>IFERROR(VLOOKUP(A26,Downlink!A:L,12,TRUE),"")</f>
        <v/>
      </c>
      <c r="K26" s="31" t="str">
        <f>IFERROR(VLOOKUP(A26,Table!$I$4:$O$3000,1,TRUE),"")</f>
        <v/>
      </c>
      <c r="L26" s="31" t="str">
        <f>IFERROR(INDEX(Table!I:O,MATCH(K26,Table!I:I,0),2),"")</f>
        <v/>
      </c>
      <c r="M26" s="31" t="str">
        <f>IFERROR(INDEX(Table!I:O,MATCH(K26,Table!I:I,0),3),"")</f>
        <v/>
      </c>
      <c r="N26" s="32" t="str">
        <f>IFERROR(INDEX(Table!I:O,MATCH(K26,Table!I:I,0),4),"")</f>
        <v/>
      </c>
      <c r="O26" s="32" t="str">
        <f>IFERROR(INDEX(Table!I:O,MATCH(K26,Table!I:I,0),5),"")</f>
        <v/>
      </c>
      <c r="P26" s="32" t="str">
        <f>IFERROR(INDEX(Table!I:O,MATCH(K26,Table!I:I,0),6),"")</f>
        <v/>
      </c>
      <c r="Q26" s="89" t="str">
        <f t="shared" si="0"/>
        <v/>
      </c>
      <c r="R26" s="89" t="str">
        <f t="shared" si="1"/>
        <v/>
      </c>
      <c r="S26" s="82"/>
      <c r="U26" s="37" t="e">
        <f t="shared" si="2"/>
        <v>#VALUE!</v>
      </c>
    </row>
    <row r="27" spans="1:21" x14ac:dyDescent="0.25">
      <c r="A27" s="31" t="str">
        <f>IF(Table!A27 = "","",Table!A27)</f>
        <v/>
      </c>
      <c r="B27" s="31" t="str">
        <f>IF(Table!B27 = "","",Table!B27)</f>
        <v/>
      </c>
      <c r="C27" s="31" t="str">
        <f>IF(Table!C27 = "","",Table!C27)</f>
        <v/>
      </c>
      <c r="D27" s="32" t="str">
        <f>IF(Table!D27 = "","",Table!D27)</f>
        <v/>
      </c>
      <c r="E27" s="32" t="str">
        <f>IF(Table!E27 = "","",Table!E27)</f>
        <v/>
      </c>
      <c r="F27" s="32" t="str">
        <f>IF(Table!F27 = "","",Table!F27)</f>
        <v/>
      </c>
      <c r="G27" s="91"/>
      <c r="I27" s="84" t="str">
        <f>IFERROR(VLOOKUP(A27,Downlink!A:L,12,TRUE),"")</f>
        <v/>
      </c>
      <c r="K27" s="31" t="str">
        <f>IFERROR(VLOOKUP(A27,Table!$I$4:$O$3000,1,TRUE),"")</f>
        <v/>
      </c>
      <c r="L27" s="31" t="str">
        <f>IFERROR(INDEX(Table!I:O,MATCH(K27,Table!I:I,0),2),"")</f>
        <v/>
      </c>
      <c r="M27" s="31" t="str">
        <f>IFERROR(INDEX(Table!I:O,MATCH(K27,Table!I:I,0),3),"")</f>
        <v/>
      </c>
      <c r="N27" s="32" t="str">
        <f>IFERROR(INDEX(Table!I:O,MATCH(K27,Table!I:I,0),4),"")</f>
        <v/>
      </c>
      <c r="O27" s="32" t="str">
        <f>IFERROR(INDEX(Table!I:O,MATCH(K27,Table!I:I,0),5),"")</f>
        <v/>
      </c>
      <c r="P27" s="32" t="str">
        <f>IFERROR(INDEX(Table!I:O,MATCH(K27,Table!I:I,0),6),"")</f>
        <v/>
      </c>
      <c r="Q27" s="89" t="str">
        <f t="shared" si="0"/>
        <v/>
      </c>
      <c r="R27" s="89" t="str">
        <f t="shared" si="1"/>
        <v/>
      </c>
      <c r="S27" s="82"/>
      <c r="U27" s="37" t="e">
        <f t="shared" si="2"/>
        <v>#VALUE!</v>
      </c>
    </row>
    <row r="28" spans="1:21" x14ac:dyDescent="0.25">
      <c r="A28" s="31" t="str">
        <f>IF(Table!A28 = "","",Table!A28)</f>
        <v/>
      </c>
      <c r="B28" s="31" t="str">
        <f>IF(Table!B28 = "","",Table!B28)</f>
        <v/>
      </c>
      <c r="C28" s="31" t="str">
        <f>IF(Table!C28 = "","",Table!C28)</f>
        <v/>
      </c>
      <c r="D28" s="32" t="str">
        <f>IF(Table!D28 = "","",Table!D28)</f>
        <v/>
      </c>
      <c r="E28" s="32" t="str">
        <f>IF(Table!E28 = "","",Table!E28)</f>
        <v/>
      </c>
      <c r="F28" s="32" t="str">
        <f>IF(Table!F28 = "","",Table!F28)</f>
        <v/>
      </c>
      <c r="G28" s="91"/>
      <c r="I28" s="84" t="str">
        <f>IFERROR(VLOOKUP(A28,Downlink!A:L,12,TRUE),"")</f>
        <v/>
      </c>
      <c r="K28" s="31" t="str">
        <f>IFERROR(VLOOKUP(A28,Table!$I$4:$O$3000,1,TRUE),"")</f>
        <v/>
      </c>
      <c r="L28" s="31" t="str">
        <f>IFERROR(INDEX(Table!I:O,MATCH(K28,Table!I:I,0),2),"")</f>
        <v/>
      </c>
      <c r="M28" s="31" t="str">
        <f>IFERROR(INDEX(Table!I:O,MATCH(K28,Table!I:I,0),3),"")</f>
        <v/>
      </c>
      <c r="N28" s="32" t="str">
        <f>IFERROR(INDEX(Table!I:O,MATCH(K28,Table!I:I,0),4),"")</f>
        <v/>
      </c>
      <c r="O28" s="32" t="str">
        <f>IFERROR(INDEX(Table!I:O,MATCH(K28,Table!I:I,0),5),"")</f>
        <v/>
      </c>
      <c r="P28" s="32" t="str">
        <f>IFERROR(INDEX(Table!I:O,MATCH(K28,Table!I:I,0),6),"")</f>
        <v/>
      </c>
      <c r="Q28" s="89" t="str">
        <f t="shared" si="0"/>
        <v/>
      </c>
      <c r="R28" s="89" t="str">
        <f t="shared" si="1"/>
        <v/>
      </c>
      <c r="S28" s="82"/>
      <c r="U28" s="37" t="e">
        <f t="shared" si="2"/>
        <v>#VALUE!</v>
      </c>
    </row>
    <row r="29" spans="1:21" x14ac:dyDescent="0.25">
      <c r="A29" s="31" t="str">
        <f>IF(Table!A29 = "","",Table!A29)</f>
        <v/>
      </c>
      <c r="B29" s="31" t="str">
        <f>IF(Table!B29 = "","",Table!B29)</f>
        <v/>
      </c>
      <c r="C29" s="31" t="str">
        <f>IF(Table!C29 = "","",Table!C29)</f>
        <v/>
      </c>
      <c r="D29" s="32" t="str">
        <f>IF(Table!D29 = "","",Table!D29)</f>
        <v/>
      </c>
      <c r="E29" s="32" t="str">
        <f>IF(Table!E29 = "","",Table!E29)</f>
        <v/>
      </c>
      <c r="F29" s="32" t="str">
        <f>IF(Table!F29 = "","",Table!F29)</f>
        <v/>
      </c>
      <c r="G29" s="91"/>
      <c r="I29" s="84" t="str">
        <f>IFERROR(VLOOKUP(A29,Downlink!A:L,12,TRUE),"")</f>
        <v/>
      </c>
      <c r="K29" s="31" t="str">
        <f>IFERROR(VLOOKUP(A29,Table!$I$4:$O$3000,1,TRUE),"")</f>
        <v/>
      </c>
      <c r="L29" s="31" t="str">
        <f>IFERROR(INDEX(Table!I:O,MATCH(K29,Table!I:I,0),2),"")</f>
        <v/>
      </c>
      <c r="M29" s="31" t="str">
        <f>IFERROR(INDEX(Table!I:O,MATCH(K29,Table!I:I,0),3),"")</f>
        <v/>
      </c>
      <c r="N29" s="32" t="str">
        <f>IFERROR(INDEX(Table!I:O,MATCH(K29,Table!I:I,0),4),"")</f>
        <v/>
      </c>
      <c r="O29" s="32" t="str">
        <f>IFERROR(INDEX(Table!I:O,MATCH(K29,Table!I:I,0),5),"")</f>
        <v/>
      </c>
      <c r="P29" s="32" t="str">
        <f>IFERROR(INDEX(Table!I:O,MATCH(K29,Table!I:I,0),6),"")</f>
        <v/>
      </c>
      <c r="Q29" s="89" t="str">
        <f t="shared" si="0"/>
        <v/>
      </c>
      <c r="R29" s="89" t="str">
        <f t="shared" si="1"/>
        <v/>
      </c>
      <c r="S29" s="82"/>
      <c r="U29" s="37" t="e">
        <f t="shared" si="2"/>
        <v>#VALUE!</v>
      </c>
    </row>
    <row r="30" spans="1:21" x14ac:dyDescent="0.25">
      <c r="A30" s="31" t="str">
        <f>IF(Table!A30 = "","",Table!A30)</f>
        <v/>
      </c>
      <c r="B30" s="31" t="str">
        <f>IF(Table!B30 = "","",Table!B30)</f>
        <v/>
      </c>
      <c r="C30" s="31" t="str">
        <f>IF(Table!C30 = "","",Table!C30)</f>
        <v/>
      </c>
      <c r="D30" s="32" t="str">
        <f>IF(Table!D30 = "","",Table!D30)</f>
        <v/>
      </c>
      <c r="E30" s="32" t="str">
        <f>IF(Table!E30 = "","",Table!E30)</f>
        <v/>
      </c>
      <c r="F30" s="32" t="str">
        <f>IF(Table!F30 = "","",Table!F30)</f>
        <v/>
      </c>
      <c r="G30" s="91"/>
      <c r="I30" s="84" t="str">
        <f>IFERROR(VLOOKUP(A30,Downlink!A:L,12,TRUE),"")</f>
        <v/>
      </c>
      <c r="K30" s="31" t="str">
        <f>IFERROR(VLOOKUP(A30,Table!$I$4:$O$3000,1,TRUE),"")</f>
        <v/>
      </c>
      <c r="L30" s="31" t="str">
        <f>IFERROR(INDEX(Table!I:O,MATCH(K30,Table!I:I,0),2),"")</f>
        <v/>
      </c>
      <c r="M30" s="31" t="str">
        <f>IFERROR(INDEX(Table!I:O,MATCH(K30,Table!I:I,0),3),"")</f>
        <v/>
      </c>
      <c r="N30" s="32" t="str">
        <f>IFERROR(INDEX(Table!I:O,MATCH(K30,Table!I:I,0),4),"")</f>
        <v/>
      </c>
      <c r="O30" s="32" t="str">
        <f>IFERROR(INDEX(Table!I:O,MATCH(K30,Table!I:I,0),5),"")</f>
        <v/>
      </c>
      <c r="P30" s="32" t="str">
        <f>IFERROR(INDEX(Table!I:O,MATCH(K30,Table!I:I,0),6),"")</f>
        <v/>
      </c>
      <c r="Q30" s="89" t="str">
        <f t="shared" si="0"/>
        <v/>
      </c>
      <c r="R30" s="89" t="str">
        <f t="shared" si="1"/>
        <v/>
      </c>
      <c r="S30" s="82"/>
      <c r="U30" s="37" t="e">
        <f t="shared" si="2"/>
        <v>#VALUE!</v>
      </c>
    </row>
    <row r="31" spans="1:21" x14ac:dyDescent="0.25">
      <c r="A31" s="31" t="str">
        <f>IF(Table!A31 = "","",Table!A31)</f>
        <v/>
      </c>
      <c r="B31" s="31" t="str">
        <f>IF(Table!B31 = "","",Table!B31)</f>
        <v/>
      </c>
      <c r="C31" s="31" t="str">
        <f>IF(Table!C31 = "","",Table!C31)</f>
        <v/>
      </c>
      <c r="D31" s="32" t="str">
        <f>IF(Table!D31 = "","",Table!D31)</f>
        <v/>
      </c>
      <c r="E31" s="32" t="str">
        <f>IF(Table!E31 = "","",Table!E31)</f>
        <v/>
      </c>
      <c r="F31" s="32" t="str">
        <f>IF(Table!F31 = "","",Table!F31)</f>
        <v/>
      </c>
      <c r="G31" s="91"/>
      <c r="I31" s="84" t="str">
        <f>IFERROR(VLOOKUP(A31,Downlink!A:L,12,TRUE),"")</f>
        <v/>
      </c>
      <c r="K31" s="31" t="str">
        <f>IFERROR(VLOOKUP(A31,Table!$I$4:$O$3000,1,TRUE),"")</f>
        <v/>
      </c>
      <c r="L31" s="31" t="str">
        <f>IFERROR(INDEX(Table!I:O,MATCH(K31,Table!I:I,0),2),"")</f>
        <v/>
      </c>
      <c r="M31" s="31" t="str">
        <f>IFERROR(INDEX(Table!I:O,MATCH(K31,Table!I:I,0),3),"")</f>
        <v/>
      </c>
      <c r="N31" s="32" t="str">
        <f>IFERROR(INDEX(Table!I:O,MATCH(K31,Table!I:I,0),4),"")</f>
        <v/>
      </c>
      <c r="O31" s="32" t="str">
        <f>IFERROR(INDEX(Table!I:O,MATCH(K31,Table!I:I,0),5),"")</f>
        <v/>
      </c>
      <c r="P31" s="32" t="str">
        <f>IFERROR(INDEX(Table!I:O,MATCH(K31,Table!I:I,0),6),"")</f>
        <v/>
      </c>
      <c r="Q31" s="89" t="str">
        <f t="shared" si="0"/>
        <v/>
      </c>
      <c r="R31" s="89" t="str">
        <f t="shared" si="1"/>
        <v/>
      </c>
      <c r="S31" s="82"/>
      <c r="U31" s="37" t="e">
        <f t="shared" si="2"/>
        <v>#VALUE!</v>
      </c>
    </row>
    <row r="32" spans="1:21" x14ac:dyDescent="0.25">
      <c r="A32" s="31" t="str">
        <f>IF(Table!A32 = "","",Table!A32)</f>
        <v/>
      </c>
      <c r="B32" s="31" t="str">
        <f>IF(Table!B32 = "","",Table!B32)</f>
        <v/>
      </c>
      <c r="C32" s="31" t="str">
        <f>IF(Table!C32 = "","",Table!C32)</f>
        <v/>
      </c>
      <c r="D32" s="32" t="str">
        <f>IF(Table!D32 = "","",Table!D32)</f>
        <v/>
      </c>
      <c r="E32" s="32" t="str">
        <f>IF(Table!E32 = "","",Table!E32)</f>
        <v/>
      </c>
      <c r="F32" s="32" t="str">
        <f>IF(Table!F32 = "","",Table!F32)</f>
        <v/>
      </c>
      <c r="G32" s="91"/>
      <c r="I32" s="84" t="str">
        <f>IFERROR(VLOOKUP(A32,Downlink!A:L,12,TRUE),"")</f>
        <v/>
      </c>
      <c r="K32" s="31" t="str">
        <f>IFERROR(VLOOKUP(A32,Table!$I$4:$O$3000,1,TRUE),"")</f>
        <v/>
      </c>
      <c r="L32" s="31" t="str">
        <f>IFERROR(INDEX(Table!I:O,MATCH(K32,Table!I:I,0),2),"")</f>
        <v/>
      </c>
      <c r="M32" s="31" t="str">
        <f>IFERROR(INDEX(Table!I:O,MATCH(K32,Table!I:I,0),3),"")</f>
        <v/>
      </c>
      <c r="N32" s="32" t="str">
        <f>IFERROR(INDEX(Table!I:O,MATCH(K32,Table!I:I,0),4),"")</f>
        <v/>
      </c>
      <c r="O32" s="32" t="str">
        <f>IFERROR(INDEX(Table!I:O,MATCH(K32,Table!I:I,0),5),"")</f>
        <v/>
      </c>
      <c r="P32" s="32" t="str">
        <f>IFERROR(INDEX(Table!I:O,MATCH(K32,Table!I:I,0),6),"")</f>
        <v/>
      </c>
      <c r="Q32" s="89" t="str">
        <f t="shared" si="0"/>
        <v/>
      </c>
      <c r="R32" s="89" t="str">
        <f t="shared" si="1"/>
        <v/>
      </c>
      <c r="S32" s="82"/>
      <c r="U32" s="37" t="e">
        <f t="shared" si="2"/>
        <v>#VALUE!</v>
      </c>
    </row>
    <row r="33" spans="1:21" x14ac:dyDescent="0.25">
      <c r="A33" s="31" t="str">
        <f>IF(Table!A33 = "","",Table!A33)</f>
        <v/>
      </c>
      <c r="B33" s="31" t="str">
        <f>IF(Table!B33 = "","",Table!B33)</f>
        <v/>
      </c>
      <c r="C33" s="31" t="str">
        <f>IF(Table!C33 = "","",Table!C33)</f>
        <v/>
      </c>
      <c r="D33" s="32" t="str">
        <f>IF(Table!D33 = "","",Table!D33)</f>
        <v/>
      </c>
      <c r="E33" s="32" t="str">
        <f>IF(Table!E33 = "","",Table!E33)</f>
        <v/>
      </c>
      <c r="F33" s="32" t="str">
        <f>IF(Table!F33 = "","",Table!F33)</f>
        <v/>
      </c>
      <c r="G33" s="91"/>
      <c r="I33" s="84" t="str">
        <f>IFERROR(VLOOKUP(A33,Downlink!A:L,12,TRUE),"")</f>
        <v/>
      </c>
      <c r="K33" s="31" t="str">
        <f>IFERROR(VLOOKUP(A33,Table!$I$4:$O$3000,1,TRUE),"")</f>
        <v/>
      </c>
      <c r="L33" s="31" t="str">
        <f>IFERROR(INDEX(Table!I:O,MATCH(K33,Table!I:I,0),2),"")</f>
        <v/>
      </c>
      <c r="M33" s="31" t="str">
        <f>IFERROR(INDEX(Table!I:O,MATCH(K33,Table!I:I,0),3),"")</f>
        <v/>
      </c>
      <c r="N33" s="32" t="str">
        <f>IFERROR(INDEX(Table!I:O,MATCH(K33,Table!I:I,0),4),"")</f>
        <v/>
      </c>
      <c r="O33" s="32" t="str">
        <f>IFERROR(INDEX(Table!I:O,MATCH(K33,Table!I:I,0),5),"")</f>
        <v/>
      </c>
      <c r="P33" s="32" t="str">
        <f>IFERROR(INDEX(Table!I:O,MATCH(K33,Table!I:I,0),6),"")</f>
        <v/>
      </c>
      <c r="Q33" s="89" t="str">
        <f t="shared" si="0"/>
        <v/>
      </c>
      <c r="R33" s="89" t="str">
        <f t="shared" si="1"/>
        <v/>
      </c>
      <c r="S33" s="82"/>
      <c r="U33" s="37" t="e">
        <f t="shared" si="2"/>
        <v>#VALUE!</v>
      </c>
    </row>
    <row r="34" spans="1:21" x14ac:dyDescent="0.25">
      <c r="A34" s="31" t="str">
        <f>IF(Table!A34 = "","",Table!A34)</f>
        <v/>
      </c>
      <c r="B34" s="31" t="str">
        <f>IF(Table!B34 = "","",Table!B34)</f>
        <v/>
      </c>
      <c r="C34" s="31" t="str">
        <f>IF(Table!C34 = "","",Table!C34)</f>
        <v/>
      </c>
      <c r="D34" s="32" t="str">
        <f>IF(Table!D34 = "","",Table!D34)</f>
        <v/>
      </c>
      <c r="E34" s="32" t="str">
        <f>IF(Table!E34 = "","",Table!E34)</f>
        <v/>
      </c>
      <c r="F34" s="32" t="str">
        <f>IF(Table!F34 = "","",Table!F34)</f>
        <v/>
      </c>
      <c r="G34" s="91"/>
      <c r="I34" s="84" t="str">
        <f>IFERROR(VLOOKUP(A34,Downlink!A:L,12,TRUE),"")</f>
        <v/>
      </c>
      <c r="K34" s="31" t="str">
        <f>IFERROR(VLOOKUP(A34,Table!$I$4:$O$3000,1,TRUE),"")</f>
        <v/>
      </c>
      <c r="L34" s="31" t="str">
        <f>IFERROR(INDEX(Table!I:O,MATCH(K34,Table!I:I,0),2),"")</f>
        <v/>
      </c>
      <c r="M34" s="31" t="str">
        <f>IFERROR(INDEX(Table!I:O,MATCH(K34,Table!I:I,0),3),"")</f>
        <v/>
      </c>
      <c r="N34" s="32" t="str">
        <f>IFERROR(INDEX(Table!I:O,MATCH(K34,Table!I:I,0),4),"")</f>
        <v/>
      </c>
      <c r="O34" s="32" t="str">
        <f>IFERROR(INDEX(Table!I:O,MATCH(K34,Table!I:I,0),5),"")</f>
        <v/>
      </c>
      <c r="P34" s="32" t="str">
        <f>IFERROR(INDEX(Table!I:O,MATCH(K34,Table!I:I,0),6),"")</f>
        <v/>
      </c>
      <c r="Q34" s="89" t="str">
        <f t="shared" si="0"/>
        <v/>
      </c>
      <c r="R34" s="89" t="str">
        <f t="shared" si="1"/>
        <v/>
      </c>
      <c r="S34" s="82"/>
      <c r="U34" s="37" t="e">
        <f t="shared" si="2"/>
        <v>#VALUE!</v>
      </c>
    </row>
    <row r="35" spans="1:21" x14ac:dyDescent="0.25">
      <c r="A35" s="31" t="str">
        <f>IF(Table!A35 = "","",Table!A35)</f>
        <v/>
      </c>
      <c r="B35" s="31" t="str">
        <f>IF(Table!B35 = "","",Table!B35)</f>
        <v/>
      </c>
      <c r="C35" s="31" t="str">
        <f>IF(Table!C35 = "","",Table!C35)</f>
        <v/>
      </c>
      <c r="D35" s="32" t="str">
        <f>IF(Table!D35 = "","",Table!D35)</f>
        <v/>
      </c>
      <c r="E35" s="32" t="str">
        <f>IF(Table!E35 = "","",Table!E35)</f>
        <v/>
      </c>
      <c r="F35" s="32" t="str">
        <f>IF(Table!F35 = "","",Table!F35)</f>
        <v/>
      </c>
      <c r="G35" s="91"/>
      <c r="I35" s="84" t="str">
        <f>IFERROR(VLOOKUP(A35,Downlink!A:L,12,TRUE),"")</f>
        <v/>
      </c>
      <c r="K35" s="31" t="str">
        <f>IFERROR(VLOOKUP(A35,Table!$I$4:$O$3000,1,TRUE),"")</f>
        <v/>
      </c>
      <c r="L35" s="31" t="str">
        <f>IFERROR(INDEX(Table!I:O,MATCH(K35,Table!I:I,0),2),"")</f>
        <v/>
      </c>
      <c r="M35" s="31" t="str">
        <f>IFERROR(INDEX(Table!I:O,MATCH(K35,Table!I:I,0),3),"")</f>
        <v/>
      </c>
      <c r="N35" s="32" t="str">
        <f>IFERROR(INDEX(Table!I:O,MATCH(K35,Table!I:I,0),4),"")</f>
        <v/>
      </c>
      <c r="O35" s="32" t="str">
        <f>IFERROR(INDEX(Table!I:O,MATCH(K35,Table!I:I,0),5),"")</f>
        <v/>
      </c>
      <c r="P35" s="32" t="str">
        <f>IFERROR(INDEX(Table!I:O,MATCH(K35,Table!I:I,0),6),"")</f>
        <v/>
      </c>
      <c r="Q35" s="89" t="str">
        <f t="shared" si="0"/>
        <v/>
      </c>
      <c r="R35" s="89" t="str">
        <f t="shared" si="1"/>
        <v/>
      </c>
      <c r="S35" s="82"/>
      <c r="U35" s="37" t="e">
        <f t="shared" si="2"/>
        <v>#VALUE!</v>
      </c>
    </row>
    <row r="36" spans="1:21" x14ac:dyDescent="0.25">
      <c r="A36" s="31" t="str">
        <f>IF(Table!A36 = "","",Table!A36)</f>
        <v/>
      </c>
      <c r="B36" s="31" t="str">
        <f>IF(Table!B36 = "","",Table!B36)</f>
        <v/>
      </c>
      <c r="C36" s="31" t="str">
        <f>IF(Table!C36 = "","",Table!C36)</f>
        <v/>
      </c>
      <c r="D36" s="32" t="str">
        <f>IF(Table!D36 = "","",Table!D36)</f>
        <v/>
      </c>
      <c r="E36" s="32" t="str">
        <f>IF(Table!E36 = "","",Table!E36)</f>
        <v/>
      </c>
      <c r="F36" s="32" t="str">
        <f>IF(Table!F36 = "","",Table!F36)</f>
        <v/>
      </c>
      <c r="G36" s="91"/>
      <c r="I36" s="84" t="str">
        <f>IFERROR(VLOOKUP(A36,Downlink!A:L,12,TRUE),"")</f>
        <v/>
      </c>
      <c r="K36" s="31" t="str">
        <f>IFERROR(VLOOKUP(A36,Table!$I$4:$O$3000,1,TRUE),"")</f>
        <v/>
      </c>
      <c r="L36" s="31" t="str">
        <f>IFERROR(INDEX(Table!I:O,MATCH(K36,Table!I:I,0),2),"")</f>
        <v/>
      </c>
      <c r="M36" s="31" t="str">
        <f>IFERROR(INDEX(Table!I:O,MATCH(K36,Table!I:I,0),3),"")</f>
        <v/>
      </c>
      <c r="N36" s="32" t="str">
        <f>IFERROR(INDEX(Table!I:O,MATCH(K36,Table!I:I,0),4),"")</f>
        <v/>
      </c>
      <c r="O36" s="32" t="str">
        <f>IFERROR(INDEX(Table!I:O,MATCH(K36,Table!I:I,0),5),"")</f>
        <v/>
      </c>
      <c r="P36" s="32" t="str">
        <f>IFERROR(INDEX(Table!I:O,MATCH(K36,Table!I:I,0),6),"")</f>
        <v/>
      </c>
      <c r="Q36" s="89" t="str">
        <f t="shared" si="0"/>
        <v/>
      </c>
      <c r="R36" s="89" t="str">
        <f t="shared" si="1"/>
        <v/>
      </c>
      <c r="S36" s="82"/>
      <c r="U36" s="37" t="e">
        <f t="shared" si="2"/>
        <v>#VALUE!</v>
      </c>
    </row>
    <row r="37" spans="1:21" x14ac:dyDescent="0.25">
      <c r="A37" s="31" t="str">
        <f>IF(Table!A37 = "","",Table!A37)</f>
        <v/>
      </c>
      <c r="B37" s="31" t="str">
        <f>IF(Table!B37 = "","",Table!B37)</f>
        <v/>
      </c>
      <c r="C37" s="31" t="str">
        <f>IF(Table!C37 = "","",Table!C37)</f>
        <v/>
      </c>
      <c r="D37" s="32" t="str">
        <f>IF(Table!D37 = "","",Table!D37)</f>
        <v/>
      </c>
      <c r="E37" s="32" t="str">
        <f>IF(Table!E37 = "","",Table!E37)</f>
        <v/>
      </c>
      <c r="F37" s="32" t="str">
        <f>IF(Table!F37 = "","",Table!F37)</f>
        <v/>
      </c>
      <c r="G37" s="91"/>
      <c r="I37" s="84" t="str">
        <f>IFERROR(VLOOKUP(A37,Downlink!A:L,12,TRUE),"")</f>
        <v/>
      </c>
      <c r="K37" s="31" t="str">
        <f>IFERROR(VLOOKUP(A37,Table!$I$4:$O$3000,1,TRUE),"")</f>
        <v/>
      </c>
      <c r="L37" s="31" t="str">
        <f>IFERROR(INDEX(Table!I:O,MATCH(K37,Table!I:I,0),2),"")</f>
        <v/>
      </c>
      <c r="M37" s="31" t="str">
        <f>IFERROR(INDEX(Table!I:O,MATCH(K37,Table!I:I,0),3),"")</f>
        <v/>
      </c>
      <c r="N37" s="32" t="str">
        <f>IFERROR(INDEX(Table!I:O,MATCH(K37,Table!I:I,0),4),"")</f>
        <v/>
      </c>
      <c r="O37" s="32" t="str">
        <f>IFERROR(INDEX(Table!I:O,MATCH(K37,Table!I:I,0),5),"")</f>
        <v/>
      </c>
      <c r="P37" s="32" t="str">
        <f>IFERROR(INDEX(Table!I:O,MATCH(K37,Table!I:I,0),6),"")</f>
        <v/>
      </c>
      <c r="Q37" s="89" t="str">
        <f t="shared" si="0"/>
        <v/>
      </c>
      <c r="R37" s="89" t="str">
        <f t="shared" si="1"/>
        <v/>
      </c>
      <c r="S37" s="82"/>
      <c r="U37" s="37" t="e">
        <f t="shared" si="2"/>
        <v>#VALUE!</v>
      </c>
    </row>
    <row r="38" spans="1:21" x14ac:dyDescent="0.25">
      <c r="A38" s="31" t="str">
        <f>IF(Table!A38 = "","",Table!A38)</f>
        <v/>
      </c>
      <c r="B38" s="31" t="str">
        <f>IF(Table!B38 = "","",Table!B38)</f>
        <v/>
      </c>
      <c r="C38" s="31" t="str">
        <f>IF(Table!C38 = "","",Table!C38)</f>
        <v/>
      </c>
      <c r="D38" s="32" t="str">
        <f>IF(Table!D38 = "","",Table!D38)</f>
        <v/>
      </c>
      <c r="E38" s="32" t="str">
        <f>IF(Table!E38 = "","",Table!E38)</f>
        <v/>
      </c>
      <c r="F38" s="32" t="str">
        <f>IF(Table!F38 = "","",Table!F38)</f>
        <v/>
      </c>
      <c r="G38" s="91"/>
      <c r="I38" s="84" t="str">
        <f>IFERROR(VLOOKUP(A38,Downlink!A:L,12,TRUE),"")</f>
        <v/>
      </c>
      <c r="K38" s="31" t="str">
        <f>IFERROR(VLOOKUP(A38,Table!$I$4:$O$3000,1,TRUE),"")</f>
        <v/>
      </c>
      <c r="L38" s="31" t="str">
        <f>IFERROR(INDEX(Table!I:O,MATCH(K38,Table!I:I,0),2),"")</f>
        <v/>
      </c>
      <c r="M38" s="31" t="str">
        <f>IFERROR(INDEX(Table!I:O,MATCH(K38,Table!I:I,0),3),"")</f>
        <v/>
      </c>
      <c r="N38" s="32" t="str">
        <f>IFERROR(INDEX(Table!I:O,MATCH(K38,Table!I:I,0),4),"")</f>
        <v/>
      </c>
      <c r="O38" s="32" t="str">
        <f>IFERROR(INDEX(Table!I:O,MATCH(K38,Table!I:I,0),5),"")</f>
        <v/>
      </c>
      <c r="P38" s="32" t="str">
        <f>IFERROR(INDEX(Table!I:O,MATCH(K38,Table!I:I,0),6),"")</f>
        <v/>
      </c>
      <c r="Q38" s="89" t="str">
        <f t="shared" si="0"/>
        <v/>
      </c>
      <c r="R38" s="89" t="str">
        <f t="shared" si="1"/>
        <v/>
      </c>
      <c r="S38" s="82"/>
      <c r="U38" s="37" t="e">
        <f t="shared" si="2"/>
        <v>#VALUE!</v>
      </c>
    </row>
    <row r="39" spans="1:21" x14ac:dyDescent="0.25">
      <c r="A39" s="31" t="str">
        <f>IF(Table!A39 = "","",Table!A39)</f>
        <v/>
      </c>
      <c r="B39" s="31" t="str">
        <f>IF(Table!B39 = "","",Table!B39)</f>
        <v/>
      </c>
      <c r="C39" s="31" t="str">
        <f>IF(Table!C39 = "","",Table!C39)</f>
        <v/>
      </c>
      <c r="D39" s="32" t="str">
        <f>IF(Table!D39 = "","",Table!D39)</f>
        <v/>
      </c>
      <c r="E39" s="32" t="str">
        <f>IF(Table!E39 = "","",Table!E39)</f>
        <v/>
      </c>
      <c r="F39" s="32" t="str">
        <f>IF(Table!F39 = "","",Table!F39)</f>
        <v/>
      </c>
      <c r="G39" s="91"/>
      <c r="I39" s="84" t="str">
        <f>IFERROR(VLOOKUP(A39,Downlink!A:L,12,TRUE),"")</f>
        <v/>
      </c>
      <c r="K39" s="31" t="str">
        <f>IFERROR(VLOOKUP(A39,Table!$I$4:$O$3000,1,TRUE),"")</f>
        <v/>
      </c>
      <c r="L39" s="31" t="str">
        <f>IFERROR(INDEX(Table!I:O,MATCH(K39,Table!I:I,0),2),"")</f>
        <v/>
      </c>
      <c r="M39" s="31" t="str">
        <f>IFERROR(INDEX(Table!I:O,MATCH(K39,Table!I:I,0),3),"")</f>
        <v/>
      </c>
      <c r="N39" s="32" t="str">
        <f>IFERROR(INDEX(Table!I:O,MATCH(K39,Table!I:I,0),4),"")</f>
        <v/>
      </c>
      <c r="O39" s="32" t="str">
        <f>IFERROR(INDEX(Table!I:O,MATCH(K39,Table!I:I,0),5),"")</f>
        <v/>
      </c>
      <c r="P39" s="32" t="str">
        <f>IFERROR(INDEX(Table!I:O,MATCH(K39,Table!I:I,0),6),"")</f>
        <v/>
      </c>
      <c r="Q39" s="89" t="str">
        <f t="shared" si="0"/>
        <v/>
      </c>
      <c r="R39" s="89" t="str">
        <f t="shared" si="1"/>
        <v/>
      </c>
      <c r="S39" s="82"/>
      <c r="U39" s="37" t="e">
        <f t="shared" si="2"/>
        <v>#VALUE!</v>
      </c>
    </row>
    <row r="40" spans="1:21" x14ac:dyDescent="0.25">
      <c r="A40" s="31" t="str">
        <f>IF(Table!A40 = "","",Table!A40)</f>
        <v/>
      </c>
      <c r="B40" s="31" t="str">
        <f>IF(Table!B40 = "","",Table!B40)</f>
        <v/>
      </c>
      <c r="C40" s="31" t="str">
        <f>IF(Table!C40 = "","",Table!C40)</f>
        <v/>
      </c>
      <c r="D40" s="32" t="str">
        <f>IF(Table!D40 = "","",Table!D40)</f>
        <v/>
      </c>
      <c r="E40" s="32" t="str">
        <f>IF(Table!E40 = "","",Table!E40)</f>
        <v/>
      </c>
      <c r="F40" s="32" t="str">
        <f>IF(Table!F40 = "","",Table!F40)</f>
        <v/>
      </c>
      <c r="G40" s="91"/>
      <c r="I40" s="84" t="str">
        <f>IFERROR(VLOOKUP(A40,Downlink!A:L,12,TRUE),"")</f>
        <v/>
      </c>
      <c r="K40" s="31" t="str">
        <f>IFERROR(VLOOKUP(A40,Table!$I$4:$O$3000,1,TRUE),"")</f>
        <v/>
      </c>
      <c r="L40" s="31" t="str">
        <f>IFERROR(INDEX(Table!I:O,MATCH(K40,Table!I:I,0),2),"")</f>
        <v/>
      </c>
      <c r="M40" s="31" t="str">
        <f>IFERROR(INDEX(Table!I:O,MATCH(K40,Table!I:I,0),3),"")</f>
        <v/>
      </c>
      <c r="N40" s="32" t="str">
        <f>IFERROR(INDEX(Table!I:O,MATCH(K40,Table!I:I,0),4),"")</f>
        <v/>
      </c>
      <c r="O40" s="32" t="str">
        <f>IFERROR(INDEX(Table!I:O,MATCH(K40,Table!I:I,0),5),"")</f>
        <v/>
      </c>
      <c r="P40" s="32" t="str">
        <f>IFERROR(INDEX(Table!I:O,MATCH(K40,Table!I:I,0),6),"")</f>
        <v/>
      </c>
      <c r="Q40" s="89" t="str">
        <f t="shared" si="0"/>
        <v/>
      </c>
      <c r="R40" s="89" t="str">
        <f t="shared" si="1"/>
        <v/>
      </c>
      <c r="S40" s="82"/>
      <c r="U40" s="37" t="e">
        <f t="shared" si="2"/>
        <v>#VALUE!</v>
      </c>
    </row>
    <row r="41" spans="1:21" x14ac:dyDescent="0.25">
      <c r="A41" s="31" t="str">
        <f>IF(Table!A41 = "","",Table!A41)</f>
        <v/>
      </c>
      <c r="B41" s="31" t="str">
        <f>IF(Table!B41 = "","",Table!B41)</f>
        <v/>
      </c>
      <c r="C41" s="31" t="str">
        <f>IF(Table!C41 = "","",Table!C41)</f>
        <v/>
      </c>
      <c r="D41" s="32" t="str">
        <f>IF(Table!D41 = "","",Table!D41)</f>
        <v/>
      </c>
      <c r="E41" s="32" t="str">
        <f>IF(Table!E41 = "","",Table!E41)</f>
        <v/>
      </c>
      <c r="F41" s="32" t="str">
        <f>IF(Table!F41 = "","",Table!F41)</f>
        <v/>
      </c>
      <c r="G41" s="91"/>
      <c r="I41" s="84" t="str">
        <f>IFERROR(VLOOKUP(A41,Downlink!A:L,12,TRUE),"")</f>
        <v/>
      </c>
      <c r="K41" s="31" t="str">
        <f>IFERROR(VLOOKUP(A41,Table!$I$4:$O$3000,1,TRUE),"")</f>
        <v/>
      </c>
      <c r="L41" s="31" t="str">
        <f>IFERROR(INDEX(Table!I:O,MATCH(K41,Table!I:I,0),2),"")</f>
        <v/>
      </c>
      <c r="M41" s="31" t="str">
        <f>IFERROR(INDEX(Table!I:O,MATCH(K41,Table!I:I,0),3),"")</f>
        <v/>
      </c>
      <c r="N41" s="32" t="str">
        <f>IFERROR(INDEX(Table!I:O,MATCH(K41,Table!I:I,0),4),"")</f>
        <v/>
      </c>
      <c r="O41" s="32" t="str">
        <f>IFERROR(INDEX(Table!I:O,MATCH(K41,Table!I:I,0),5),"")</f>
        <v/>
      </c>
      <c r="P41" s="32" t="str">
        <f>IFERROR(INDEX(Table!I:O,MATCH(K41,Table!I:I,0),6),"")</f>
        <v/>
      </c>
      <c r="Q41" s="89" t="str">
        <f t="shared" si="0"/>
        <v/>
      </c>
      <c r="R41" s="89" t="str">
        <f t="shared" si="1"/>
        <v/>
      </c>
      <c r="S41" s="82"/>
      <c r="U41" s="37" t="e">
        <f t="shared" si="2"/>
        <v>#VALUE!</v>
      </c>
    </row>
    <row r="42" spans="1:21" x14ac:dyDescent="0.25">
      <c r="A42" s="31" t="str">
        <f>IF(Table!A42 = "","",Table!A42)</f>
        <v/>
      </c>
      <c r="B42" s="31" t="str">
        <f>IF(Table!B42 = "","",Table!B42)</f>
        <v/>
      </c>
      <c r="C42" s="31" t="str">
        <f>IF(Table!C42 = "","",Table!C42)</f>
        <v/>
      </c>
      <c r="D42" s="32" t="str">
        <f>IF(Table!D42 = "","",Table!D42)</f>
        <v/>
      </c>
      <c r="E42" s="32" t="str">
        <f>IF(Table!E42 = "","",Table!E42)</f>
        <v/>
      </c>
      <c r="F42" s="32" t="str">
        <f>IF(Table!F42 = "","",Table!F42)</f>
        <v/>
      </c>
      <c r="G42" s="91"/>
      <c r="I42" s="84" t="str">
        <f>IFERROR(VLOOKUP(A42,Downlink!A:L,12,TRUE),"")</f>
        <v/>
      </c>
      <c r="K42" s="31" t="str">
        <f>IFERROR(VLOOKUP(A42,Table!$I$4:$O$3000,1,TRUE),"")</f>
        <v/>
      </c>
      <c r="L42" s="31" t="str">
        <f>IFERROR(INDEX(Table!I:O,MATCH(K42,Table!I:I,0),2),"")</f>
        <v/>
      </c>
      <c r="M42" s="31" t="str">
        <f>IFERROR(INDEX(Table!I:O,MATCH(K42,Table!I:I,0),3),"")</f>
        <v/>
      </c>
      <c r="N42" s="32" t="str">
        <f>IFERROR(INDEX(Table!I:O,MATCH(K42,Table!I:I,0),4),"")</f>
        <v/>
      </c>
      <c r="O42" s="32" t="str">
        <f>IFERROR(INDEX(Table!I:O,MATCH(K42,Table!I:I,0),5),"")</f>
        <v/>
      </c>
      <c r="P42" s="32" t="str">
        <f>IFERROR(INDEX(Table!I:O,MATCH(K42,Table!I:I,0),6),"")</f>
        <v/>
      </c>
      <c r="Q42" s="89" t="str">
        <f t="shared" si="0"/>
        <v/>
      </c>
      <c r="R42" s="89" t="str">
        <f t="shared" si="1"/>
        <v/>
      </c>
      <c r="S42" s="82"/>
      <c r="U42" s="37" t="e">
        <f t="shared" si="2"/>
        <v>#VALUE!</v>
      </c>
    </row>
    <row r="43" spans="1:21" x14ac:dyDescent="0.25">
      <c r="A43" s="31" t="str">
        <f>IF(Table!A43 = "","",Table!A43)</f>
        <v/>
      </c>
      <c r="B43" s="31" t="str">
        <f>IF(Table!B43 = "","",Table!B43)</f>
        <v/>
      </c>
      <c r="C43" s="31" t="str">
        <f>IF(Table!C43 = "","",Table!C43)</f>
        <v/>
      </c>
      <c r="D43" s="32" t="str">
        <f>IF(Table!D43 = "","",Table!D43)</f>
        <v/>
      </c>
      <c r="E43" s="32" t="str">
        <f>IF(Table!E43 = "","",Table!E43)</f>
        <v/>
      </c>
      <c r="F43" s="32" t="str">
        <f>IF(Table!F43 = "","",Table!F43)</f>
        <v/>
      </c>
      <c r="G43" s="91"/>
      <c r="I43" s="84" t="str">
        <f>IFERROR(VLOOKUP(A43,Downlink!A:L,12,TRUE),"")</f>
        <v/>
      </c>
      <c r="K43" s="31" t="str">
        <f>IFERROR(VLOOKUP(A43,Table!$I$4:$O$3000,1,TRUE),"")</f>
        <v/>
      </c>
      <c r="L43" s="31" t="str">
        <f>IFERROR(INDEX(Table!I:O,MATCH(K43,Table!I:I,0),2),"")</f>
        <v/>
      </c>
      <c r="M43" s="31" t="str">
        <f>IFERROR(INDEX(Table!I:O,MATCH(K43,Table!I:I,0),3),"")</f>
        <v/>
      </c>
      <c r="N43" s="32" t="str">
        <f>IFERROR(INDEX(Table!I:O,MATCH(K43,Table!I:I,0),4),"")</f>
        <v/>
      </c>
      <c r="O43" s="32" t="str">
        <f>IFERROR(INDEX(Table!I:O,MATCH(K43,Table!I:I,0),5),"")</f>
        <v/>
      </c>
      <c r="P43" s="32" t="str">
        <f>IFERROR(INDEX(Table!I:O,MATCH(K43,Table!I:I,0),6),"")</f>
        <v/>
      </c>
      <c r="Q43" s="89" t="str">
        <f t="shared" si="0"/>
        <v/>
      </c>
      <c r="R43" s="89" t="str">
        <f t="shared" si="1"/>
        <v/>
      </c>
      <c r="S43" s="82"/>
      <c r="U43" s="37" t="e">
        <f t="shared" si="2"/>
        <v>#VALUE!</v>
      </c>
    </row>
    <row r="44" spans="1:21" x14ac:dyDescent="0.25">
      <c r="A44" s="31" t="str">
        <f>IF(Table!A44 = "","",Table!A44)</f>
        <v/>
      </c>
      <c r="B44" s="31" t="str">
        <f>IF(Table!B44 = "","",Table!B44)</f>
        <v/>
      </c>
      <c r="C44" s="31" t="str">
        <f>IF(Table!C44 = "","",Table!C44)</f>
        <v/>
      </c>
      <c r="D44" s="32" t="str">
        <f>IF(Table!D44 = "","",Table!D44)</f>
        <v/>
      </c>
      <c r="E44" s="32" t="str">
        <f>IF(Table!E44 = "","",Table!E44)</f>
        <v/>
      </c>
      <c r="F44" s="32" t="str">
        <f>IF(Table!F44 = "","",Table!F44)</f>
        <v/>
      </c>
      <c r="G44" s="91"/>
      <c r="I44" s="84" t="str">
        <f>IFERROR(VLOOKUP(A44,Downlink!A:L,12,TRUE),"")</f>
        <v/>
      </c>
      <c r="K44" s="31" t="str">
        <f>IFERROR(VLOOKUP(A44,Table!$I$4:$O$3000,1,TRUE),"")</f>
        <v/>
      </c>
      <c r="L44" s="31" t="str">
        <f>IFERROR(INDEX(Table!I:O,MATCH(K44,Table!I:I,0),2),"")</f>
        <v/>
      </c>
      <c r="M44" s="31" t="str">
        <f>IFERROR(INDEX(Table!I:O,MATCH(K44,Table!I:I,0),3),"")</f>
        <v/>
      </c>
      <c r="N44" s="32" t="str">
        <f>IFERROR(INDEX(Table!I:O,MATCH(K44,Table!I:I,0),4),"")</f>
        <v/>
      </c>
      <c r="O44" s="32" t="str">
        <f>IFERROR(INDEX(Table!I:O,MATCH(K44,Table!I:I,0),5),"")</f>
        <v/>
      </c>
      <c r="P44" s="32" t="str">
        <f>IFERROR(INDEX(Table!I:O,MATCH(K44,Table!I:I,0),6),"")</f>
        <v/>
      </c>
      <c r="Q44" s="89" t="str">
        <f t="shared" si="0"/>
        <v/>
      </c>
      <c r="R44" s="89" t="str">
        <f t="shared" si="1"/>
        <v/>
      </c>
      <c r="S44" s="82"/>
      <c r="U44" s="37" t="e">
        <f t="shared" si="2"/>
        <v>#VALUE!</v>
      </c>
    </row>
    <row r="45" spans="1:21" x14ac:dyDescent="0.25">
      <c r="A45" s="31" t="str">
        <f>IF(Table!A45 = "","",Table!A45)</f>
        <v/>
      </c>
      <c r="B45" s="31" t="str">
        <f>IF(Table!B45 = "","",Table!B45)</f>
        <v/>
      </c>
      <c r="C45" s="31" t="str">
        <f>IF(Table!C45 = "","",Table!C45)</f>
        <v/>
      </c>
      <c r="D45" s="32" t="str">
        <f>IF(Table!D45 = "","",Table!D45)</f>
        <v/>
      </c>
      <c r="E45" s="32" t="str">
        <f>IF(Table!E45 = "","",Table!E45)</f>
        <v/>
      </c>
      <c r="F45" s="32" t="str">
        <f>IF(Table!F45 = "","",Table!F45)</f>
        <v/>
      </c>
      <c r="G45" s="91"/>
      <c r="I45" s="84" t="str">
        <f>IFERROR(VLOOKUP(A45,Downlink!A:L,12,TRUE),"")</f>
        <v/>
      </c>
      <c r="K45" s="31" t="str">
        <f>IFERROR(VLOOKUP(A45,Table!$I$4:$O$3000,1,TRUE),"")</f>
        <v/>
      </c>
      <c r="L45" s="31" t="str">
        <f>IFERROR(INDEX(Table!I:O,MATCH(K45,Table!I:I,0),2),"")</f>
        <v/>
      </c>
      <c r="M45" s="31" t="str">
        <f>IFERROR(INDEX(Table!I:O,MATCH(K45,Table!I:I,0),3),"")</f>
        <v/>
      </c>
      <c r="N45" s="32" t="str">
        <f>IFERROR(INDEX(Table!I:O,MATCH(K45,Table!I:I,0),4),"")</f>
        <v/>
      </c>
      <c r="O45" s="32" t="str">
        <f>IFERROR(INDEX(Table!I:O,MATCH(K45,Table!I:I,0),5),"")</f>
        <v/>
      </c>
      <c r="P45" s="32" t="str">
        <f>IFERROR(INDEX(Table!I:O,MATCH(K45,Table!I:I,0),6),"")</f>
        <v/>
      </c>
      <c r="Q45" s="89" t="str">
        <f t="shared" si="0"/>
        <v/>
      </c>
      <c r="R45" s="89" t="str">
        <f t="shared" si="1"/>
        <v/>
      </c>
      <c r="S45" s="82"/>
      <c r="U45" s="37" t="e">
        <f t="shared" si="2"/>
        <v>#VALUE!</v>
      </c>
    </row>
    <row r="46" spans="1:21" x14ac:dyDescent="0.25">
      <c r="A46" s="31" t="str">
        <f>IF(Table!A46 = "","",Table!A46)</f>
        <v/>
      </c>
      <c r="B46" s="31" t="str">
        <f>IF(Table!B46 = "","",Table!B46)</f>
        <v/>
      </c>
      <c r="C46" s="31" t="str">
        <f>IF(Table!C46 = "","",Table!C46)</f>
        <v/>
      </c>
      <c r="D46" s="32" t="str">
        <f>IF(Table!D46 = "","",Table!D46)</f>
        <v/>
      </c>
      <c r="E46" s="32" t="str">
        <f>IF(Table!E46 = "","",Table!E46)</f>
        <v/>
      </c>
      <c r="F46" s="32" t="str">
        <f>IF(Table!F46 = "","",Table!F46)</f>
        <v/>
      </c>
      <c r="G46" s="91"/>
      <c r="I46" s="84" t="str">
        <f>IFERROR(VLOOKUP(A46,Downlink!A:L,12,TRUE),"")</f>
        <v/>
      </c>
      <c r="K46" s="31" t="str">
        <f>IFERROR(VLOOKUP(A46,Table!$I$4:$O$3000,1,TRUE),"")</f>
        <v/>
      </c>
      <c r="L46" s="31" t="str">
        <f>IFERROR(INDEX(Table!I:O,MATCH(K46,Table!I:I,0),2),"")</f>
        <v/>
      </c>
      <c r="M46" s="31" t="str">
        <f>IFERROR(INDEX(Table!I:O,MATCH(K46,Table!I:I,0),3),"")</f>
        <v/>
      </c>
      <c r="N46" s="32" t="str">
        <f>IFERROR(INDEX(Table!I:O,MATCH(K46,Table!I:I,0),4),"")</f>
        <v/>
      </c>
      <c r="O46" s="32" t="str">
        <f>IFERROR(INDEX(Table!I:O,MATCH(K46,Table!I:I,0),5),"")</f>
        <v/>
      </c>
      <c r="P46" s="32" t="str">
        <f>IFERROR(INDEX(Table!I:O,MATCH(K46,Table!I:I,0),6),"")</f>
        <v/>
      </c>
      <c r="Q46" s="89" t="str">
        <f t="shared" si="0"/>
        <v/>
      </c>
      <c r="R46" s="89" t="str">
        <f t="shared" si="1"/>
        <v/>
      </c>
      <c r="S46" s="82"/>
      <c r="U46" s="37" t="e">
        <f t="shared" si="2"/>
        <v>#VALUE!</v>
      </c>
    </row>
    <row r="47" spans="1:21" x14ac:dyDescent="0.25">
      <c r="A47" s="31" t="str">
        <f>IF(Table!A47 = "","",Table!A47)</f>
        <v/>
      </c>
      <c r="B47" s="31" t="str">
        <f>IF(Table!B47 = "","",Table!B47)</f>
        <v/>
      </c>
      <c r="C47" s="31" t="str">
        <f>IF(Table!C47 = "","",Table!C47)</f>
        <v/>
      </c>
      <c r="D47" s="32" t="str">
        <f>IF(Table!D47 = "","",Table!D47)</f>
        <v/>
      </c>
      <c r="E47" s="32" t="str">
        <f>IF(Table!E47 = "","",Table!E47)</f>
        <v/>
      </c>
      <c r="F47" s="32" t="str">
        <f>IF(Table!F47 = "","",Table!F47)</f>
        <v/>
      </c>
      <c r="G47" s="91"/>
      <c r="I47" s="84" t="str">
        <f>IFERROR(VLOOKUP(A47,Downlink!A:L,12,TRUE),"")</f>
        <v/>
      </c>
      <c r="K47" s="31" t="str">
        <f>IFERROR(VLOOKUP(A47,Table!$I$4:$O$3000,1,TRUE),"")</f>
        <v/>
      </c>
      <c r="L47" s="31" t="str">
        <f>IFERROR(INDEX(Table!I:O,MATCH(K47,Table!I:I,0),2),"")</f>
        <v/>
      </c>
      <c r="M47" s="31" t="str">
        <f>IFERROR(INDEX(Table!I:O,MATCH(K47,Table!I:I,0),3),"")</f>
        <v/>
      </c>
      <c r="N47" s="32" t="str">
        <f>IFERROR(INDEX(Table!I:O,MATCH(K47,Table!I:I,0),4),"")</f>
        <v/>
      </c>
      <c r="O47" s="32" t="str">
        <f>IFERROR(INDEX(Table!I:O,MATCH(K47,Table!I:I,0),5),"")</f>
        <v/>
      </c>
      <c r="P47" s="32" t="str">
        <f>IFERROR(INDEX(Table!I:O,MATCH(K47,Table!I:I,0),6),"")</f>
        <v/>
      </c>
      <c r="Q47" s="89" t="str">
        <f t="shared" si="0"/>
        <v/>
      </c>
      <c r="R47" s="89" t="str">
        <f t="shared" si="1"/>
        <v/>
      </c>
      <c r="S47" s="82"/>
      <c r="U47" s="37" t="e">
        <f t="shared" si="2"/>
        <v>#VALUE!</v>
      </c>
    </row>
    <row r="48" spans="1:21" x14ac:dyDescent="0.25">
      <c r="A48" s="31" t="str">
        <f>IF(Table!A48 = "","",Table!A48)</f>
        <v/>
      </c>
      <c r="B48" s="31" t="str">
        <f>IF(Table!B48 = "","",Table!B48)</f>
        <v/>
      </c>
      <c r="C48" s="31" t="str">
        <f>IF(Table!C48 = "","",Table!C48)</f>
        <v/>
      </c>
      <c r="D48" s="32" t="str">
        <f>IF(Table!D48 = "","",Table!D48)</f>
        <v/>
      </c>
      <c r="E48" s="32" t="str">
        <f>IF(Table!E48 = "","",Table!E48)</f>
        <v/>
      </c>
      <c r="F48" s="32" t="str">
        <f>IF(Table!F48 = "","",Table!F48)</f>
        <v/>
      </c>
      <c r="G48" s="91"/>
      <c r="I48" s="84" t="str">
        <f>IFERROR(VLOOKUP(A48,Downlink!A:L,12,TRUE),"")</f>
        <v/>
      </c>
      <c r="K48" s="31" t="str">
        <f>IFERROR(VLOOKUP(A48,Table!$I$4:$O$3000,1,TRUE),"")</f>
        <v/>
      </c>
      <c r="L48" s="31" t="str">
        <f>IFERROR(INDEX(Table!I:O,MATCH(K48,Table!I:I,0),2),"")</f>
        <v/>
      </c>
      <c r="M48" s="31" t="str">
        <f>IFERROR(INDEX(Table!I:O,MATCH(K48,Table!I:I,0),3),"")</f>
        <v/>
      </c>
      <c r="N48" s="32" t="str">
        <f>IFERROR(INDEX(Table!I:O,MATCH(K48,Table!I:I,0),4),"")</f>
        <v/>
      </c>
      <c r="O48" s="32" t="str">
        <f>IFERROR(INDEX(Table!I:O,MATCH(K48,Table!I:I,0),5),"")</f>
        <v/>
      </c>
      <c r="P48" s="32" t="str">
        <f>IFERROR(INDEX(Table!I:O,MATCH(K48,Table!I:I,0),6),"")</f>
        <v/>
      </c>
      <c r="Q48" s="89" t="str">
        <f t="shared" si="0"/>
        <v/>
      </c>
      <c r="R48" s="89" t="str">
        <f t="shared" si="1"/>
        <v/>
      </c>
      <c r="S48" s="82"/>
      <c r="U48" s="37" t="e">
        <f t="shared" si="2"/>
        <v>#VALUE!</v>
      </c>
    </row>
    <row r="49" spans="1:21" x14ac:dyDescent="0.25">
      <c r="A49" s="31" t="str">
        <f>IF(Table!A49 = "","",Table!A49)</f>
        <v/>
      </c>
      <c r="B49" s="31" t="str">
        <f>IF(Table!B49 = "","",Table!B49)</f>
        <v/>
      </c>
      <c r="C49" s="31" t="str">
        <f>IF(Table!C49 = "","",Table!C49)</f>
        <v/>
      </c>
      <c r="D49" s="32" t="str">
        <f>IF(Table!D49 = "","",Table!D49)</f>
        <v/>
      </c>
      <c r="E49" s="32" t="str">
        <f>IF(Table!E49 = "","",Table!E49)</f>
        <v/>
      </c>
      <c r="F49" s="32" t="str">
        <f>IF(Table!F49 = "","",Table!F49)</f>
        <v/>
      </c>
      <c r="G49" s="91"/>
      <c r="I49" s="84" t="str">
        <f>IFERROR(VLOOKUP(A49,Downlink!A:L,12,TRUE),"")</f>
        <v/>
      </c>
      <c r="K49" s="31" t="str">
        <f>IFERROR(VLOOKUP(A49,Table!$I$4:$O$3000,1,TRUE),"")</f>
        <v/>
      </c>
      <c r="L49" s="31" t="str">
        <f>IFERROR(INDEX(Table!I:O,MATCH(K49,Table!I:I,0),2),"")</f>
        <v/>
      </c>
      <c r="M49" s="31" t="str">
        <f>IFERROR(INDEX(Table!I:O,MATCH(K49,Table!I:I,0),3),"")</f>
        <v/>
      </c>
      <c r="N49" s="32" t="str">
        <f>IFERROR(INDEX(Table!I:O,MATCH(K49,Table!I:I,0),4),"")</f>
        <v/>
      </c>
      <c r="O49" s="32" t="str">
        <f>IFERROR(INDEX(Table!I:O,MATCH(K49,Table!I:I,0),5),"")</f>
        <v/>
      </c>
      <c r="P49" s="32" t="str">
        <f>IFERROR(INDEX(Table!I:O,MATCH(K49,Table!I:I,0),6),"")</f>
        <v/>
      </c>
      <c r="Q49" s="89" t="str">
        <f t="shared" si="0"/>
        <v/>
      </c>
      <c r="R49" s="89" t="str">
        <f t="shared" si="1"/>
        <v/>
      </c>
      <c r="S49" s="82"/>
      <c r="U49" s="37" t="e">
        <f t="shared" si="2"/>
        <v>#VALUE!</v>
      </c>
    </row>
    <row r="50" spans="1:21" x14ac:dyDescent="0.25">
      <c r="A50" s="31" t="str">
        <f>IF(Table!A50 = "","",Table!A50)</f>
        <v/>
      </c>
      <c r="B50" s="31" t="str">
        <f>IF(Table!B50 = "","",Table!B50)</f>
        <v/>
      </c>
      <c r="C50" s="31" t="str">
        <f>IF(Table!C50 = "","",Table!C50)</f>
        <v/>
      </c>
      <c r="D50" s="32" t="str">
        <f>IF(Table!D50 = "","",Table!D50)</f>
        <v/>
      </c>
      <c r="E50" s="32" t="str">
        <f>IF(Table!E50 = "","",Table!E50)</f>
        <v/>
      </c>
      <c r="F50" s="32" t="str">
        <f>IF(Table!F50 = "","",Table!F50)</f>
        <v/>
      </c>
      <c r="G50" s="91"/>
      <c r="I50" s="84" t="str">
        <f>IFERROR(VLOOKUP(A50,Downlink!A:L,12,TRUE),"")</f>
        <v/>
      </c>
      <c r="K50" s="31" t="str">
        <f>IFERROR(VLOOKUP(A50,Table!$I$4:$O$3000,1,TRUE),"")</f>
        <v/>
      </c>
      <c r="L50" s="31" t="str">
        <f>IFERROR(INDEX(Table!I:O,MATCH(K50,Table!I:I,0),2),"")</f>
        <v/>
      </c>
      <c r="M50" s="31" t="str">
        <f>IFERROR(INDEX(Table!I:O,MATCH(K50,Table!I:I,0),3),"")</f>
        <v/>
      </c>
      <c r="N50" s="32" t="str">
        <f>IFERROR(INDEX(Table!I:O,MATCH(K50,Table!I:I,0),4),"")</f>
        <v/>
      </c>
      <c r="O50" s="32" t="str">
        <f>IFERROR(INDEX(Table!I:O,MATCH(K50,Table!I:I,0),5),"")</f>
        <v/>
      </c>
      <c r="P50" s="32" t="str">
        <f>IFERROR(INDEX(Table!I:O,MATCH(K50,Table!I:I,0),6),"")</f>
        <v/>
      </c>
      <c r="Q50" s="89" t="str">
        <f t="shared" si="0"/>
        <v/>
      </c>
      <c r="R50" s="89" t="str">
        <f t="shared" si="1"/>
        <v/>
      </c>
      <c r="S50" s="82"/>
      <c r="U50" s="37" t="e">
        <f t="shared" si="2"/>
        <v>#VALUE!</v>
      </c>
    </row>
    <row r="51" spans="1:21" x14ac:dyDescent="0.25">
      <c r="A51" s="31" t="str">
        <f>IF(Table!A51 = "","",Table!A51)</f>
        <v/>
      </c>
      <c r="B51" s="31" t="str">
        <f>IF(Table!B51 = "","",Table!B51)</f>
        <v/>
      </c>
      <c r="C51" s="31" t="str">
        <f>IF(Table!C51 = "","",Table!C51)</f>
        <v/>
      </c>
      <c r="D51" s="32" t="str">
        <f>IF(Table!D51 = "","",Table!D51)</f>
        <v/>
      </c>
      <c r="E51" s="32" t="str">
        <f>IF(Table!E51 = "","",Table!E51)</f>
        <v/>
      </c>
      <c r="F51" s="32" t="str">
        <f>IF(Table!F51 = "","",Table!F51)</f>
        <v/>
      </c>
      <c r="G51" s="91"/>
      <c r="I51" s="84" t="str">
        <f>IFERROR(VLOOKUP(A51,Downlink!A:L,12,TRUE),"")</f>
        <v/>
      </c>
      <c r="K51" s="31" t="str">
        <f>IFERROR(VLOOKUP(A51,Table!$I$4:$O$3000,1,TRUE),"")</f>
        <v/>
      </c>
      <c r="L51" s="31" t="str">
        <f>IFERROR(INDEX(Table!I:O,MATCH(K51,Table!I:I,0),2),"")</f>
        <v/>
      </c>
      <c r="M51" s="31" t="str">
        <f>IFERROR(INDEX(Table!I:O,MATCH(K51,Table!I:I,0),3),"")</f>
        <v/>
      </c>
      <c r="N51" s="32" t="str">
        <f>IFERROR(INDEX(Table!I:O,MATCH(K51,Table!I:I,0),4),"")</f>
        <v/>
      </c>
      <c r="O51" s="32" t="str">
        <f>IFERROR(INDEX(Table!I:O,MATCH(K51,Table!I:I,0),5),"")</f>
        <v/>
      </c>
      <c r="P51" s="32" t="str">
        <f>IFERROR(INDEX(Table!I:O,MATCH(K51,Table!I:I,0),6),"")</f>
        <v/>
      </c>
      <c r="Q51" s="89" t="str">
        <f t="shared" si="0"/>
        <v/>
      </c>
      <c r="R51" s="89" t="str">
        <f t="shared" si="1"/>
        <v/>
      </c>
      <c r="S51" s="82"/>
      <c r="U51" s="37" t="e">
        <f t="shared" si="2"/>
        <v>#VALUE!</v>
      </c>
    </row>
    <row r="52" spans="1:21" x14ac:dyDescent="0.25">
      <c r="A52" s="31" t="str">
        <f>IF(Table!A52 = "","",Table!A52)</f>
        <v/>
      </c>
      <c r="B52" s="31" t="str">
        <f>IF(Table!B52 = "","",Table!B52)</f>
        <v/>
      </c>
      <c r="C52" s="31" t="str">
        <f>IF(Table!C52 = "","",Table!C52)</f>
        <v/>
      </c>
      <c r="D52" s="32" t="str">
        <f>IF(Table!D52 = "","",Table!D52)</f>
        <v/>
      </c>
      <c r="E52" s="32" t="str">
        <f>IF(Table!E52 = "","",Table!E52)</f>
        <v/>
      </c>
      <c r="F52" s="32" t="str">
        <f>IF(Table!F52 = "","",Table!F52)</f>
        <v/>
      </c>
      <c r="G52" s="91"/>
      <c r="I52" s="84" t="str">
        <f>IFERROR(VLOOKUP(A52,Downlink!A:L,12,TRUE),"")</f>
        <v/>
      </c>
      <c r="K52" s="31" t="str">
        <f>IFERROR(VLOOKUP(A52,Table!$I$4:$O$3000,1,TRUE),"")</f>
        <v/>
      </c>
      <c r="L52" s="31" t="str">
        <f>IFERROR(INDEX(Table!I:O,MATCH(K52,Table!I:I,0),2),"")</f>
        <v/>
      </c>
      <c r="M52" s="31" t="str">
        <f>IFERROR(INDEX(Table!I:O,MATCH(K52,Table!I:I,0),3),"")</f>
        <v/>
      </c>
      <c r="N52" s="32" t="str">
        <f>IFERROR(INDEX(Table!I:O,MATCH(K52,Table!I:I,0),4),"")</f>
        <v/>
      </c>
      <c r="O52" s="32" t="str">
        <f>IFERROR(INDEX(Table!I:O,MATCH(K52,Table!I:I,0),5),"")</f>
        <v/>
      </c>
      <c r="P52" s="32" t="str">
        <f>IFERROR(INDEX(Table!I:O,MATCH(K52,Table!I:I,0),6),"")</f>
        <v/>
      </c>
      <c r="Q52" s="89" t="str">
        <f t="shared" si="0"/>
        <v/>
      </c>
      <c r="R52" s="89" t="str">
        <f t="shared" si="1"/>
        <v/>
      </c>
      <c r="S52" s="82"/>
      <c r="U52" s="37" t="e">
        <f t="shared" si="2"/>
        <v>#VALUE!</v>
      </c>
    </row>
    <row r="53" spans="1:21" x14ac:dyDescent="0.25">
      <c r="A53" s="31" t="str">
        <f>IF(Table!A53 = "","",Table!A53)</f>
        <v/>
      </c>
      <c r="B53" s="31" t="str">
        <f>IF(Table!B53 = "","",Table!B53)</f>
        <v/>
      </c>
      <c r="C53" s="31" t="str">
        <f>IF(Table!C53 = "","",Table!C53)</f>
        <v/>
      </c>
      <c r="D53" s="32" t="str">
        <f>IF(Table!D53 = "","",Table!D53)</f>
        <v/>
      </c>
      <c r="E53" s="32" t="str">
        <f>IF(Table!E53 = "","",Table!E53)</f>
        <v/>
      </c>
      <c r="F53" s="32" t="str">
        <f>IF(Table!F53 = "","",Table!F53)</f>
        <v/>
      </c>
      <c r="G53" s="91"/>
      <c r="I53" s="84" t="str">
        <f>IFERROR(VLOOKUP(A53,Downlink!A:L,12,TRUE),"")</f>
        <v/>
      </c>
      <c r="K53" s="31" t="str">
        <f>IFERROR(VLOOKUP(A53,Table!$I$4:$O$3000,1,TRUE),"")</f>
        <v/>
      </c>
      <c r="L53" s="31" t="str">
        <f>IFERROR(INDEX(Table!I:O,MATCH(K53,Table!I:I,0),2),"")</f>
        <v/>
      </c>
      <c r="M53" s="31" t="str">
        <f>IFERROR(INDEX(Table!I:O,MATCH(K53,Table!I:I,0),3),"")</f>
        <v/>
      </c>
      <c r="N53" s="32" t="str">
        <f>IFERROR(INDEX(Table!I:O,MATCH(K53,Table!I:I,0),4),"")</f>
        <v/>
      </c>
      <c r="O53" s="32" t="str">
        <f>IFERROR(INDEX(Table!I:O,MATCH(K53,Table!I:I,0),5),"")</f>
        <v/>
      </c>
      <c r="P53" s="32" t="str">
        <f>IFERROR(INDEX(Table!I:O,MATCH(K53,Table!I:I,0),6),"")</f>
        <v/>
      </c>
      <c r="Q53" s="89" t="str">
        <f t="shared" si="0"/>
        <v/>
      </c>
      <c r="R53" s="89" t="str">
        <f t="shared" si="1"/>
        <v/>
      </c>
      <c r="S53" s="82"/>
      <c r="U53" s="37" t="e">
        <f t="shared" si="2"/>
        <v>#VALUE!</v>
      </c>
    </row>
    <row r="54" spans="1:21" x14ac:dyDescent="0.25">
      <c r="A54" s="31" t="str">
        <f>IF(Table!A54 = "","",Table!A54)</f>
        <v/>
      </c>
      <c r="B54" s="31" t="str">
        <f>IF(Table!B54 = "","",Table!B54)</f>
        <v/>
      </c>
      <c r="C54" s="31" t="str">
        <f>IF(Table!C54 = "","",Table!C54)</f>
        <v/>
      </c>
      <c r="D54" s="32" t="str">
        <f>IF(Table!D54 = "","",Table!D54)</f>
        <v/>
      </c>
      <c r="E54" s="32" t="str">
        <f>IF(Table!E54 = "","",Table!E54)</f>
        <v/>
      </c>
      <c r="F54" s="32" t="str">
        <f>IF(Table!F54 = "","",Table!F54)</f>
        <v/>
      </c>
      <c r="G54" s="91"/>
      <c r="I54" s="84" t="str">
        <f>IFERROR(VLOOKUP(A54,Downlink!A:L,12,TRUE),"")</f>
        <v/>
      </c>
      <c r="K54" s="31" t="str">
        <f>IFERROR(VLOOKUP(A54,Table!$I$4:$O$3000,1,TRUE),"")</f>
        <v/>
      </c>
      <c r="L54" s="31" t="str">
        <f>IFERROR(INDEX(Table!I:O,MATCH(K54,Table!I:I,0),2),"")</f>
        <v/>
      </c>
      <c r="M54" s="31" t="str">
        <f>IFERROR(INDEX(Table!I:O,MATCH(K54,Table!I:I,0),3),"")</f>
        <v/>
      </c>
      <c r="N54" s="32" t="str">
        <f>IFERROR(INDEX(Table!I:O,MATCH(K54,Table!I:I,0),4),"")</f>
        <v/>
      </c>
      <c r="O54" s="32" t="str">
        <f>IFERROR(INDEX(Table!I:O,MATCH(K54,Table!I:I,0),5),"")</f>
        <v/>
      </c>
      <c r="P54" s="32" t="str">
        <f>IFERROR(INDEX(Table!I:O,MATCH(K54,Table!I:I,0),6),"")</f>
        <v/>
      </c>
      <c r="Q54" s="89" t="str">
        <f t="shared" si="0"/>
        <v/>
      </c>
      <c r="R54" s="89" t="str">
        <f t="shared" si="1"/>
        <v/>
      </c>
      <c r="S54" s="82"/>
      <c r="U54" s="37" t="e">
        <f t="shared" si="2"/>
        <v>#VALUE!</v>
      </c>
    </row>
    <row r="55" spans="1:21" x14ac:dyDescent="0.25">
      <c r="A55" s="31" t="str">
        <f>IF(Table!A55 = "","",Table!A55)</f>
        <v/>
      </c>
      <c r="B55" s="31" t="str">
        <f>IF(Table!B55 = "","",Table!B55)</f>
        <v/>
      </c>
      <c r="C55" s="31" t="str">
        <f>IF(Table!C55 = "","",Table!C55)</f>
        <v/>
      </c>
      <c r="D55" s="32" t="str">
        <f>IF(Table!D55 = "","",Table!D55)</f>
        <v/>
      </c>
      <c r="E55" s="32" t="str">
        <f>IF(Table!E55 = "","",Table!E55)</f>
        <v/>
      </c>
      <c r="F55" s="32" t="str">
        <f>IF(Table!F55 = "","",Table!F55)</f>
        <v/>
      </c>
      <c r="G55" s="91"/>
      <c r="I55" s="84" t="str">
        <f>IFERROR(VLOOKUP(A55,Downlink!A:L,12,TRUE),"")</f>
        <v/>
      </c>
      <c r="K55" s="31" t="str">
        <f>IFERROR(VLOOKUP(A55,Table!$I$4:$O$3000,1,TRUE),"")</f>
        <v/>
      </c>
      <c r="L55" s="31" t="str">
        <f>IFERROR(INDEX(Table!I:O,MATCH(K55,Table!I:I,0),2),"")</f>
        <v/>
      </c>
      <c r="M55" s="31" t="str">
        <f>IFERROR(INDEX(Table!I:O,MATCH(K55,Table!I:I,0),3),"")</f>
        <v/>
      </c>
      <c r="N55" s="32" t="str">
        <f>IFERROR(INDEX(Table!I:O,MATCH(K55,Table!I:I,0),4),"")</f>
        <v/>
      </c>
      <c r="O55" s="32" t="str">
        <f>IFERROR(INDEX(Table!I:O,MATCH(K55,Table!I:I,0),5),"")</f>
        <v/>
      </c>
      <c r="P55" s="32" t="str">
        <f>IFERROR(INDEX(Table!I:O,MATCH(K55,Table!I:I,0),6),"")</f>
        <v/>
      </c>
      <c r="Q55" s="89" t="str">
        <f t="shared" si="0"/>
        <v/>
      </c>
      <c r="R55" s="89" t="str">
        <f t="shared" si="1"/>
        <v/>
      </c>
      <c r="S55" s="82"/>
      <c r="U55" s="37" t="e">
        <f t="shared" si="2"/>
        <v>#VALUE!</v>
      </c>
    </row>
    <row r="56" spans="1:21" x14ac:dyDescent="0.25">
      <c r="A56" s="31" t="str">
        <f>IF(Table!A56 = "","",Table!A56)</f>
        <v/>
      </c>
      <c r="B56" s="31" t="str">
        <f>IF(Table!B56 = "","",Table!B56)</f>
        <v/>
      </c>
      <c r="C56" s="31" t="str">
        <f>IF(Table!C56 = "","",Table!C56)</f>
        <v/>
      </c>
      <c r="D56" s="32" t="str">
        <f>IF(Table!D56 = "","",Table!D56)</f>
        <v/>
      </c>
      <c r="E56" s="32" t="str">
        <f>IF(Table!E56 = "","",Table!E56)</f>
        <v/>
      </c>
      <c r="F56" s="32" t="str">
        <f>IF(Table!F56 = "","",Table!F56)</f>
        <v/>
      </c>
      <c r="G56" s="91"/>
      <c r="I56" s="84" t="str">
        <f>IFERROR(VLOOKUP(A56,Downlink!A:L,12,TRUE),"")</f>
        <v/>
      </c>
      <c r="K56" s="31" t="str">
        <f>IFERROR(VLOOKUP(A56,Table!$I$4:$O$3000,1,TRUE),"")</f>
        <v/>
      </c>
      <c r="L56" s="31" t="str">
        <f>IFERROR(INDEX(Table!I:O,MATCH(K56,Table!I:I,0),2),"")</f>
        <v/>
      </c>
      <c r="M56" s="31" t="str">
        <f>IFERROR(INDEX(Table!I:O,MATCH(K56,Table!I:I,0),3),"")</f>
        <v/>
      </c>
      <c r="N56" s="32" t="str">
        <f>IFERROR(INDEX(Table!I:O,MATCH(K56,Table!I:I,0),4),"")</f>
        <v/>
      </c>
      <c r="O56" s="32" t="str">
        <f>IFERROR(INDEX(Table!I:O,MATCH(K56,Table!I:I,0),5),"")</f>
        <v/>
      </c>
      <c r="P56" s="32" t="str">
        <f>IFERROR(INDEX(Table!I:O,MATCH(K56,Table!I:I,0),6),"")</f>
        <v/>
      </c>
      <c r="Q56" s="89" t="str">
        <f t="shared" si="0"/>
        <v/>
      </c>
      <c r="R56" s="89" t="str">
        <f t="shared" si="1"/>
        <v/>
      </c>
      <c r="S56" s="82"/>
      <c r="U56" s="37" t="e">
        <f t="shared" si="2"/>
        <v>#VALUE!</v>
      </c>
    </row>
    <row r="57" spans="1:21" x14ac:dyDescent="0.25">
      <c r="A57" s="31" t="str">
        <f>IF(Table!A57 = "","",Table!A57)</f>
        <v/>
      </c>
      <c r="B57" s="31" t="str">
        <f>IF(Table!B57 = "","",Table!B57)</f>
        <v/>
      </c>
      <c r="C57" s="31" t="str">
        <f>IF(Table!C57 = "","",Table!C57)</f>
        <v/>
      </c>
      <c r="D57" s="32" t="str">
        <f>IF(Table!D57 = "","",Table!D57)</f>
        <v/>
      </c>
      <c r="E57" s="32" t="str">
        <f>IF(Table!E57 = "","",Table!E57)</f>
        <v/>
      </c>
      <c r="F57" s="32" t="str">
        <f>IF(Table!F57 = "","",Table!F57)</f>
        <v/>
      </c>
      <c r="G57" s="91"/>
      <c r="I57" s="84" t="str">
        <f>IFERROR(VLOOKUP(A57,Downlink!A:L,12,TRUE),"")</f>
        <v/>
      </c>
      <c r="K57" s="31" t="str">
        <f>IFERROR(VLOOKUP(A57,Table!$I$4:$O$3000,1,TRUE),"")</f>
        <v/>
      </c>
      <c r="L57" s="31" t="str">
        <f>IFERROR(INDEX(Table!I:O,MATCH(K57,Table!I:I,0),2),"")</f>
        <v/>
      </c>
      <c r="M57" s="31" t="str">
        <f>IFERROR(INDEX(Table!I:O,MATCH(K57,Table!I:I,0),3),"")</f>
        <v/>
      </c>
      <c r="N57" s="32" t="str">
        <f>IFERROR(INDEX(Table!I:O,MATCH(K57,Table!I:I,0),4),"")</f>
        <v/>
      </c>
      <c r="O57" s="32" t="str">
        <f>IFERROR(INDEX(Table!I:O,MATCH(K57,Table!I:I,0),5),"")</f>
        <v/>
      </c>
      <c r="P57" s="32" t="str">
        <f>IFERROR(INDEX(Table!I:O,MATCH(K57,Table!I:I,0),6),"")</f>
        <v/>
      </c>
      <c r="Q57" s="89" t="str">
        <f t="shared" si="0"/>
        <v/>
      </c>
      <c r="R57" s="89" t="str">
        <f t="shared" si="1"/>
        <v/>
      </c>
      <c r="S57" s="82"/>
      <c r="U57" s="37" t="e">
        <f t="shared" si="2"/>
        <v>#VALUE!</v>
      </c>
    </row>
    <row r="58" spans="1:21" x14ac:dyDescent="0.25">
      <c r="A58" s="31" t="str">
        <f>IF(Table!A58 = "","",Table!A58)</f>
        <v/>
      </c>
      <c r="B58" s="31" t="str">
        <f>IF(Table!B58 = "","",Table!B58)</f>
        <v/>
      </c>
      <c r="C58" s="31" t="str">
        <f>IF(Table!C58 = "","",Table!C58)</f>
        <v/>
      </c>
      <c r="D58" s="32" t="str">
        <f>IF(Table!D58 = "","",Table!D58)</f>
        <v/>
      </c>
      <c r="E58" s="32" t="str">
        <f>IF(Table!E58 = "","",Table!E58)</f>
        <v/>
      </c>
      <c r="F58" s="32" t="str">
        <f>IF(Table!F58 = "","",Table!F58)</f>
        <v/>
      </c>
      <c r="G58" s="91"/>
      <c r="I58" s="84" t="str">
        <f>IFERROR(VLOOKUP(A58,Downlink!A:L,12,TRUE),"")</f>
        <v/>
      </c>
      <c r="K58" s="31" t="str">
        <f>IFERROR(VLOOKUP(A58,Table!$I$4:$O$3000,1,TRUE),"")</f>
        <v/>
      </c>
      <c r="L58" s="31" t="str">
        <f>IFERROR(INDEX(Table!I:O,MATCH(K58,Table!I:I,0),2),"")</f>
        <v/>
      </c>
      <c r="M58" s="31" t="str">
        <f>IFERROR(INDEX(Table!I:O,MATCH(K58,Table!I:I,0),3),"")</f>
        <v/>
      </c>
      <c r="N58" s="32" t="str">
        <f>IFERROR(INDEX(Table!I:O,MATCH(K58,Table!I:I,0),4),"")</f>
        <v/>
      </c>
      <c r="O58" s="32" t="str">
        <f>IFERROR(INDEX(Table!I:O,MATCH(K58,Table!I:I,0),5),"")</f>
        <v/>
      </c>
      <c r="P58" s="32" t="str">
        <f>IFERROR(INDEX(Table!I:O,MATCH(K58,Table!I:I,0),6),"")</f>
        <v/>
      </c>
      <c r="Q58" s="89" t="str">
        <f t="shared" si="0"/>
        <v/>
      </c>
      <c r="R58" s="89" t="str">
        <f t="shared" si="1"/>
        <v/>
      </c>
      <c r="S58" s="82"/>
      <c r="U58" s="37" t="e">
        <f t="shared" si="2"/>
        <v>#VALUE!</v>
      </c>
    </row>
    <row r="59" spans="1:21" x14ac:dyDescent="0.25">
      <c r="A59" s="31" t="str">
        <f>IF(Table!A59 = "","",Table!A59)</f>
        <v/>
      </c>
      <c r="B59" s="31" t="str">
        <f>IF(Table!B59 = "","",Table!B59)</f>
        <v/>
      </c>
      <c r="C59" s="31" t="str">
        <f>IF(Table!C59 = "","",Table!C59)</f>
        <v/>
      </c>
      <c r="D59" s="32" t="str">
        <f>IF(Table!D59 = "","",Table!D59)</f>
        <v/>
      </c>
      <c r="E59" s="32" t="str">
        <f>IF(Table!E59 = "","",Table!E59)</f>
        <v/>
      </c>
      <c r="F59" s="32" t="str">
        <f>IF(Table!F59 = "","",Table!F59)</f>
        <v/>
      </c>
      <c r="G59" s="91"/>
      <c r="I59" s="84" t="str">
        <f>IFERROR(VLOOKUP(A59,Downlink!A:L,12,TRUE),"")</f>
        <v/>
      </c>
      <c r="K59" s="31" t="str">
        <f>IFERROR(VLOOKUP(A59,Table!$I$4:$O$3000,1,TRUE),"")</f>
        <v/>
      </c>
      <c r="L59" s="31" t="str">
        <f>IFERROR(INDEX(Table!I:O,MATCH(K59,Table!I:I,0),2),"")</f>
        <v/>
      </c>
      <c r="M59" s="31" t="str">
        <f>IFERROR(INDEX(Table!I:O,MATCH(K59,Table!I:I,0),3),"")</f>
        <v/>
      </c>
      <c r="N59" s="32" t="str">
        <f>IFERROR(INDEX(Table!I:O,MATCH(K59,Table!I:I,0),4),"")</f>
        <v/>
      </c>
      <c r="O59" s="32" t="str">
        <f>IFERROR(INDEX(Table!I:O,MATCH(K59,Table!I:I,0),5),"")</f>
        <v/>
      </c>
      <c r="P59" s="32" t="str">
        <f>IFERROR(INDEX(Table!I:O,MATCH(K59,Table!I:I,0),6),"")</f>
        <v/>
      </c>
      <c r="Q59" s="89" t="str">
        <f t="shared" si="0"/>
        <v/>
      </c>
      <c r="R59" s="89" t="str">
        <f t="shared" si="1"/>
        <v/>
      </c>
      <c r="S59" s="82"/>
      <c r="U59" s="37" t="e">
        <f t="shared" si="2"/>
        <v>#VALUE!</v>
      </c>
    </row>
    <row r="60" spans="1:21" x14ac:dyDescent="0.25">
      <c r="A60" s="31" t="str">
        <f>IF(Table!A60 = "","",Table!A60)</f>
        <v/>
      </c>
      <c r="B60" s="31" t="str">
        <f>IF(Table!B60 = "","",Table!B60)</f>
        <v/>
      </c>
      <c r="C60" s="31" t="str">
        <f>IF(Table!C60 = "","",Table!C60)</f>
        <v/>
      </c>
      <c r="D60" s="32" t="str">
        <f>IF(Table!D60 = "","",Table!D60)</f>
        <v/>
      </c>
      <c r="E60" s="32" t="str">
        <f>IF(Table!E60 = "","",Table!E60)</f>
        <v/>
      </c>
      <c r="F60" s="32" t="str">
        <f>IF(Table!F60 = "","",Table!F60)</f>
        <v/>
      </c>
      <c r="G60" s="91"/>
      <c r="I60" s="84" t="str">
        <f>IFERROR(VLOOKUP(A60,Downlink!A:L,12,TRUE),"")</f>
        <v/>
      </c>
      <c r="K60" s="31" t="str">
        <f>IFERROR(VLOOKUP(A60,Table!$I$4:$O$3000,1,TRUE),"")</f>
        <v/>
      </c>
      <c r="L60" s="31" t="str">
        <f>IFERROR(INDEX(Table!I:O,MATCH(K60,Table!I:I,0),2),"")</f>
        <v/>
      </c>
      <c r="M60" s="31" t="str">
        <f>IFERROR(INDEX(Table!I:O,MATCH(K60,Table!I:I,0),3),"")</f>
        <v/>
      </c>
      <c r="N60" s="32" t="str">
        <f>IFERROR(INDEX(Table!I:O,MATCH(K60,Table!I:I,0),4),"")</f>
        <v/>
      </c>
      <c r="O60" s="32" t="str">
        <f>IFERROR(INDEX(Table!I:O,MATCH(K60,Table!I:I,0),5),"")</f>
        <v/>
      </c>
      <c r="P60" s="32" t="str">
        <f>IFERROR(INDEX(Table!I:O,MATCH(K60,Table!I:I,0),6),"")</f>
        <v/>
      </c>
      <c r="Q60" s="89" t="str">
        <f t="shared" si="0"/>
        <v/>
      </c>
      <c r="R60" s="89" t="str">
        <f t="shared" si="1"/>
        <v/>
      </c>
      <c r="S60" s="82"/>
      <c r="U60" s="37" t="e">
        <f t="shared" si="2"/>
        <v>#VALUE!</v>
      </c>
    </row>
    <row r="61" spans="1:21" x14ac:dyDescent="0.25">
      <c r="A61" s="31" t="str">
        <f>IF(Table!A61 = "","",Table!A61)</f>
        <v/>
      </c>
      <c r="B61" s="31" t="str">
        <f>IF(Table!B61 = "","",Table!B61)</f>
        <v/>
      </c>
      <c r="C61" s="31" t="str">
        <f>IF(Table!C61 = "","",Table!C61)</f>
        <v/>
      </c>
      <c r="D61" s="32" t="str">
        <f>IF(Table!D61 = "","",Table!D61)</f>
        <v/>
      </c>
      <c r="E61" s="32" t="str">
        <f>IF(Table!E61 = "","",Table!E61)</f>
        <v/>
      </c>
      <c r="F61" s="32" t="str">
        <f>IF(Table!F61 = "","",Table!F61)</f>
        <v/>
      </c>
      <c r="G61" s="91"/>
      <c r="I61" s="84" t="str">
        <f>IFERROR(VLOOKUP(A61,Downlink!A:L,12,TRUE),"")</f>
        <v/>
      </c>
      <c r="K61" s="31" t="str">
        <f>IFERROR(VLOOKUP(A61,Table!$I$4:$O$3000,1,TRUE),"")</f>
        <v/>
      </c>
      <c r="L61" s="31" t="str">
        <f>IFERROR(INDEX(Table!I:O,MATCH(K61,Table!I:I,0),2),"")</f>
        <v/>
      </c>
      <c r="M61" s="31" t="str">
        <f>IFERROR(INDEX(Table!I:O,MATCH(K61,Table!I:I,0),3),"")</f>
        <v/>
      </c>
      <c r="N61" s="32" t="str">
        <f>IFERROR(INDEX(Table!I:O,MATCH(K61,Table!I:I,0),4),"")</f>
        <v/>
      </c>
      <c r="O61" s="32" t="str">
        <f>IFERROR(INDEX(Table!I:O,MATCH(K61,Table!I:I,0),5),"")</f>
        <v/>
      </c>
      <c r="P61" s="32" t="str">
        <f>IFERROR(INDEX(Table!I:O,MATCH(K61,Table!I:I,0),6),"")</f>
        <v/>
      </c>
      <c r="Q61" s="89" t="str">
        <f t="shared" si="0"/>
        <v/>
      </c>
      <c r="R61" s="89" t="str">
        <f t="shared" si="1"/>
        <v/>
      </c>
      <c r="S61" s="82"/>
      <c r="U61" s="37" t="e">
        <f t="shared" si="2"/>
        <v>#VALUE!</v>
      </c>
    </row>
    <row r="62" spans="1:21" x14ac:dyDescent="0.25">
      <c r="A62" s="31" t="str">
        <f>IF(Table!A62 = "","",Table!A62)</f>
        <v/>
      </c>
      <c r="B62" s="31" t="str">
        <f>IF(Table!B62 = "","",Table!B62)</f>
        <v/>
      </c>
      <c r="C62" s="31" t="str">
        <f>IF(Table!C62 = "","",Table!C62)</f>
        <v/>
      </c>
      <c r="D62" s="32" t="str">
        <f>IF(Table!D62 = "","",Table!D62)</f>
        <v/>
      </c>
      <c r="E62" s="32" t="str">
        <f>IF(Table!E62 = "","",Table!E62)</f>
        <v/>
      </c>
      <c r="F62" s="32" t="str">
        <f>IF(Table!F62 = "","",Table!F62)</f>
        <v/>
      </c>
      <c r="G62" s="91"/>
      <c r="I62" s="84" t="str">
        <f>IFERROR(VLOOKUP(A62,Downlink!A:L,12,TRUE),"")</f>
        <v/>
      </c>
      <c r="K62" s="31" t="str">
        <f>IFERROR(VLOOKUP(A62,Table!$I$4:$O$3000,1,TRUE),"")</f>
        <v/>
      </c>
      <c r="L62" s="31" t="str">
        <f>IFERROR(INDEX(Table!I:O,MATCH(K62,Table!I:I,0),2),"")</f>
        <v/>
      </c>
      <c r="M62" s="31" t="str">
        <f>IFERROR(INDEX(Table!I:O,MATCH(K62,Table!I:I,0),3),"")</f>
        <v/>
      </c>
      <c r="N62" s="32" t="str">
        <f>IFERROR(INDEX(Table!I:O,MATCH(K62,Table!I:I,0),4),"")</f>
        <v/>
      </c>
      <c r="O62" s="32" t="str">
        <f>IFERROR(INDEX(Table!I:O,MATCH(K62,Table!I:I,0),5),"")</f>
        <v/>
      </c>
      <c r="P62" s="32" t="str">
        <f>IFERROR(INDEX(Table!I:O,MATCH(K62,Table!I:I,0),6),"")</f>
        <v/>
      </c>
      <c r="Q62" s="89" t="str">
        <f t="shared" si="0"/>
        <v/>
      </c>
      <c r="R62" s="89" t="str">
        <f t="shared" si="1"/>
        <v/>
      </c>
      <c r="S62" s="82"/>
      <c r="U62" s="37" t="e">
        <f t="shared" si="2"/>
        <v>#VALUE!</v>
      </c>
    </row>
    <row r="63" spans="1:21" x14ac:dyDescent="0.25">
      <c r="A63" s="31" t="str">
        <f>IF(Table!A63 = "","",Table!A63)</f>
        <v/>
      </c>
      <c r="B63" s="31" t="str">
        <f>IF(Table!B63 = "","",Table!B63)</f>
        <v/>
      </c>
      <c r="C63" s="31" t="str">
        <f>IF(Table!C63 = "","",Table!C63)</f>
        <v/>
      </c>
      <c r="D63" s="32" t="str">
        <f>IF(Table!D63 = "","",Table!D63)</f>
        <v/>
      </c>
      <c r="E63" s="32" t="str">
        <f>IF(Table!E63 = "","",Table!E63)</f>
        <v/>
      </c>
      <c r="F63" s="32" t="str">
        <f>IF(Table!F63 = "","",Table!F63)</f>
        <v/>
      </c>
      <c r="G63" s="91"/>
      <c r="I63" s="84" t="str">
        <f>IFERROR(VLOOKUP(A63,Downlink!A:L,12,TRUE),"")</f>
        <v/>
      </c>
      <c r="K63" s="31" t="str">
        <f>IFERROR(VLOOKUP(A63,Table!$I$4:$O$3000,1,TRUE),"")</f>
        <v/>
      </c>
      <c r="L63" s="31" t="str">
        <f>IFERROR(INDEX(Table!I:O,MATCH(K63,Table!I:I,0),2),"")</f>
        <v/>
      </c>
      <c r="M63" s="31" t="str">
        <f>IFERROR(INDEX(Table!I:O,MATCH(K63,Table!I:I,0),3),"")</f>
        <v/>
      </c>
      <c r="N63" s="32" t="str">
        <f>IFERROR(INDEX(Table!I:O,MATCH(K63,Table!I:I,0),4),"")</f>
        <v/>
      </c>
      <c r="O63" s="32" t="str">
        <f>IFERROR(INDEX(Table!I:O,MATCH(K63,Table!I:I,0),5),"")</f>
        <v/>
      </c>
      <c r="P63" s="32" t="str">
        <f>IFERROR(INDEX(Table!I:O,MATCH(K63,Table!I:I,0),6),"")</f>
        <v/>
      </c>
      <c r="Q63" s="89" t="str">
        <f t="shared" si="0"/>
        <v/>
      </c>
      <c r="R63" s="89" t="str">
        <f t="shared" si="1"/>
        <v/>
      </c>
      <c r="S63" s="82"/>
      <c r="U63" s="37" t="e">
        <f t="shared" si="2"/>
        <v>#VALUE!</v>
      </c>
    </row>
    <row r="64" spans="1:21" x14ac:dyDescent="0.25">
      <c r="A64" s="31" t="str">
        <f>IF(Table!A64 = "","",Table!A64)</f>
        <v/>
      </c>
      <c r="B64" s="31" t="str">
        <f>IF(Table!B64 = "","",Table!B64)</f>
        <v/>
      </c>
      <c r="C64" s="31" t="str">
        <f>IF(Table!C64 = "","",Table!C64)</f>
        <v/>
      </c>
      <c r="D64" s="32" t="str">
        <f>IF(Table!D64 = "","",Table!D64)</f>
        <v/>
      </c>
      <c r="E64" s="32" t="str">
        <f>IF(Table!E64 = "","",Table!E64)</f>
        <v/>
      </c>
      <c r="F64" s="32" t="str">
        <f>IF(Table!F64 = "","",Table!F64)</f>
        <v/>
      </c>
      <c r="G64" s="91"/>
      <c r="I64" s="84" t="str">
        <f>IFERROR(VLOOKUP(A64,Downlink!A:L,12,TRUE),"")</f>
        <v/>
      </c>
      <c r="K64" s="31" t="str">
        <f>IFERROR(VLOOKUP(A64,Table!$I$4:$O$3000,1,TRUE),"")</f>
        <v/>
      </c>
      <c r="L64" s="31" t="str">
        <f>IFERROR(INDEX(Table!I:O,MATCH(K64,Table!I:I,0),2),"")</f>
        <v/>
      </c>
      <c r="M64" s="31" t="str">
        <f>IFERROR(INDEX(Table!I:O,MATCH(K64,Table!I:I,0),3),"")</f>
        <v/>
      </c>
      <c r="N64" s="32" t="str">
        <f>IFERROR(INDEX(Table!I:O,MATCH(K64,Table!I:I,0),4),"")</f>
        <v/>
      </c>
      <c r="O64" s="32" t="str">
        <f>IFERROR(INDEX(Table!I:O,MATCH(K64,Table!I:I,0),5),"")</f>
        <v/>
      </c>
      <c r="P64" s="32" t="str">
        <f>IFERROR(INDEX(Table!I:O,MATCH(K64,Table!I:I,0),6),"")</f>
        <v/>
      </c>
      <c r="Q64" s="89" t="str">
        <f t="shared" si="0"/>
        <v/>
      </c>
      <c r="R64" s="89" t="str">
        <f t="shared" si="1"/>
        <v/>
      </c>
      <c r="S64" s="82"/>
      <c r="U64" s="37" t="e">
        <f t="shared" si="2"/>
        <v>#VALUE!</v>
      </c>
    </row>
    <row r="65" spans="1:21" x14ac:dyDescent="0.25">
      <c r="A65" s="31" t="str">
        <f>IF(Table!A65 = "","",Table!A65)</f>
        <v/>
      </c>
      <c r="B65" s="31" t="str">
        <f>IF(Table!B65 = "","",Table!B65)</f>
        <v/>
      </c>
      <c r="C65" s="31" t="str">
        <f>IF(Table!C65 = "","",Table!C65)</f>
        <v/>
      </c>
      <c r="D65" s="32" t="str">
        <f>IF(Table!D65 = "","",Table!D65)</f>
        <v/>
      </c>
      <c r="E65" s="32" t="str">
        <f>IF(Table!E65 = "","",Table!E65)</f>
        <v/>
      </c>
      <c r="F65" s="32" t="str">
        <f>IF(Table!F65 = "","",Table!F65)</f>
        <v/>
      </c>
      <c r="G65" s="91"/>
      <c r="I65" s="84" t="str">
        <f>IFERROR(VLOOKUP(A65,Downlink!A:L,12,TRUE),"")</f>
        <v/>
      </c>
      <c r="K65" s="31" t="str">
        <f>IFERROR(VLOOKUP(A65,Table!$I$4:$O$3000,1,TRUE),"")</f>
        <v/>
      </c>
      <c r="L65" s="31" t="str">
        <f>IFERROR(INDEX(Table!I:O,MATCH(K65,Table!I:I,0),2),"")</f>
        <v/>
      </c>
      <c r="M65" s="31" t="str">
        <f>IFERROR(INDEX(Table!I:O,MATCH(K65,Table!I:I,0),3),"")</f>
        <v/>
      </c>
      <c r="N65" s="32" t="str">
        <f>IFERROR(INDEX(Table!I:O,MATCH(K65,Table!I:I,0),4),"")</f>
        <v/>
      </c>
      <c r="O65" s="32" t="str">
        <f>IFERROR(INDEX(Table!I:O,MATCH(K65,Table!I:I,0),5),"")</f>
        <v/>
      </c>
      <c r="P65" s="32" t="str">
        <f>IFERROR(INDEX(Table!I:O,MATCH(K65,Table!I:I,0),6),"")</f>
        <v/>
      </c>
      <c r="Q65" s="89" t="str">
        <f t="shared" si="0"/>
        <v/>
      </c>
      <c r="R65" s="89" t="str">
        <f t="shared" si="1"/>
        <v/>
      </c>
      <c r="S65" s="82"/>
      <c r="U65" s="37" t="e">
        <f t="shared" si="2"/>
        <v>#VALUE!</v>
      </c>
    </row>
    <row r="66" spans="1:21" x14ac:dyDescent="0.25">
      <c r="A66" s="31" t="str">
        <f>IF(Table!A66 = "","",Table!A66)</f>
        <v/>
      </c>
      <c r="B66" s="31" t="str">
        <f>IF(Table!B66 = "","",Table!B66)</f>
        <v/>
      </c>
      <c r="C66" s="31" t="str">
        <f>IF(Table!C66 = "","",Table!C66)</f>
        <v/>
      </c>
      <c r="D66" s="32" t="str">
        <f>IF(Table!D66 = "","",Table!D66)</f>
        <v/>
      </c>
      <c r="E66" s="32" t="str">
        <f>IF(Table!E66 = "","",Table!E66)</f>
        <v/>
      </c>
      <c r="F66" s="32" t="str">
        <f>IF(Table!F66 = "","",Table!F66)</f>
        <v/>
      </c>
      <c r="G66" s="91"/>
      <c r="I66" s="84" t="str">
        <f>IFERROR(VLOOKUP(A66,Downlink!A:L,12,TRUE),"")</f>
        <v/>
      </c>
      <c r="K66" s="31" t="str">
        <f>IFERROR(VLOOKUP(A66,Table!$I$4:$O$3000,1,TRUE),"")</f>
        <v/>
      </c>
      <c r="L66" s="31" t="str">
        <f>IFERROR(INDEX(Table!I:O,MATCH(K66,Table!I:I,0),2),"")</f>
        <v/>
      </c>
      <c r="M66" s="31" t="str">
        <f>IFERROR(INDEX(Table!I:O,MATCH(K66,Table!I:I,0),3),"")</f>
        <v/>
      </c>
      <c r="N66" s="32" t="str">
        <f>IFERROR(INDEX(Table!I:O,MATCH(K66,Table!I:I,0),4),"")</f>
        <v/>
      </c>
      <c r="O66" s="32" t="str">
        <f>IFERROR(INDEX(Table!I:O,MATCH(K66,Table!I:I,0),5),"")</f>
        <v/>
      </c>
      <c r="P66" s="32" t="str">
        <f>IFERROR(INDEX(Table!I:O,MATCH(K66,Table!I:I,0),6),"")</f>
        <v/>
      </c>
      <c r="Q66" s="89" t="str">
        <f t="shared" si="0"/>
        <v/>
      </c>
      <c r="R66" s="89" t="str">
        <f t="shared" si="1"/>
        <v/>
      </c>
      <c r="S66" s="82"/>
      <c r="U66" s="37" t="e">
        <f t="shared" si="2"/>
        <v>#VALUE!</v>
      </c>
    </row>
    <row r="67" spans="1:21" x14ac:dyDescent="0.25">
      <c r="A67" s="31" t="str">
        <f>IF(Table!A67 = "","",Table!A67)</f>
        <v/>
      </c>
      <c r="B67" s="31" t="str">
        <f>IF(Table!B67 = "","",Table!B67)</f>
        <v/>
      </c>
      <c r="C67" s="31" t="str">
        <f>IF(Table!C67 = "","",Table!C67)</f>
        <v/>
      </c>
      <c r="D67" s="32" t="str">
        <f>IF(Table!D67 = "","",Table!D67)</f>
        <v/>
      </c>
      <c r="E67" s="32" t="str">
        <f>IF(Table!E67 = "","",Table!E67)</f>
        <v/>
      </c>
      <c r="F67" s="32" t="str">
        <f>IF(Table!F67 = "","",Table!F67)</f>
        <v/>
      </c>
      <c r="G67" s="91"/>
      <c r="I67" s="84" t="str">
        <f>IFERROR(VLOOKUP(A67,Downlink!A:L,12,TRUE),"")</f>
        <v/>
      </c>
      <c r="K67" s="31" t="str">
        <f>IFERROR(VLOOKUP(A67,Table!$I$4:$O$3000,1,TRUE),"")</f>
        <v/>
      </c>
      <c r="L67" s="31" t="str">
        <f>IFERROR(INDEX(Table!I:O,MATCH(K67,Table!I:I,0),2),"")</f>
        <v/>
      </c>
      <c r="M67" s="31" t="str">
        <f>IFERROR(INDEX(Table!I:O,MATCH(K67,Table!I:I,0),3),"")</f>
        <v/>
      </c>
      <c r="N67" s="32" t="str">
        <f>IFERROR(INDEX(Table!I:O,MATCH(K67,Table!I:I,0),4),"")</f>
        <v/>
      </c>
      <c r="O67" s="32" t="str">
        <f>IFERROR(INDEX(Table!I:O,MATCH(K67,Table!I:I,0),5),"")</f>
        <v/>
      </c>
      <c r="P67" s="32" t="str">
        <f>IFERROR(INDEX(Table!I:O,MATCH(K67,Table!I:I,0),6),"")</f>
        <v/>
      </c>
      <c r="Q67" s="89" t="str">
        <f t="shared" si="0"/>
        <v/>
      </c>
      <c r="R67" s="89" t="str">
        <f t="shared" si="1"/>
        <v/>
      </c>
      <c r="S67" s="82"/>
      <c r="U67" s="37" t="e">
        <f t="shared" si="2"/>
        <v>#VALUE!</v>
      </c>
    </row>
    <row r="68" spans="1:21" x14ac:dyDescent="0.25">
      <c r="A68" s="31" t="str">
        <f>IF(Table!A68 = "","",Table!A68)</f>
        <v/>
      </c>
      <c r="B68" s="31" t="str">
        <f>IF(Table!B68 = "","",Table!B68)</f>
        <v/>
      </c>
      <c r="C68" s="31" t="str">
        <f>IF(Table!C68 = "","",Table!C68)</f>
        <v/>
      </c>
      <c r="D68" s="32" t="str">
        <f>IF(Table!D68 = "","",Table!D68)</f>
        <v/>
      </c>
      <c r="E68" s="32" t="str">
        <f>IF(Table!E68 = "","",Table!E68)</f>
        <v/>
      </c>
      <c r="F68" s="32" t="str">
        <f>IF(Table!F68 = "","",Table!F68)</f>
        <v/>
      </c>
      <c r="G68" s="91"/>
      <c r="I68" s="84" t="str">
        <f>IFERROR(VLOOKUP(A68,Downlink!A:L,12,TRUE),"")</f>
        <v/>
      </c>
      <c r="K68" s="31" t="str">
        <f>IFERROR(VLOOKUP(A68,Table!$I$4:$O$3000,1,TRUE),"")</f>
        <v/>
      </c>
      <c r="L68" s="31" t="str">
        <f>IFERROR(INDEX(Table!I:O,MATCH(K68,Table!I:I,0),2),"")</f>
        <v/>
      </c>
      <c r="M68" s="31" t="str">
        <f>IFERROR(INDEX(Table!I:O,MATCH(K68,Table!I:I,0),3),"")</f>
        <v/>
      </c>
      <c r="N68" s="32" t="str">
        <f>IFERROR(INDEX(Table!I:O,MATCH(K68,Table!I:I,0),4),"")</f>
        <v/>
      </c>
      <c r="O68" s="32" t="str">
        <f>IFERROR(INDEX(Table!I:O,MATCH(K68,Table!I:I,0),5),"")</f>
        <v/>
      </c>
      <c r="P68" s="32" t="str">
        <f>IFERROR(INDEX(Table!I:O,MATCH(K68,Table!I:I,0),6),"")</f>
        <v/>
      </c>
      <c r="Q68" s="89" t="str">
        <f t="shared" si="0"/>
        <v/>
      </c>
      <c r="R68" s="89" t="str">
        <f t="shared" si="1"/>
        <v/>
      </c>
      <c r="S68" s="82"/>
      <c r="U68" s="37" t="e">
        <f t="shared" si="2"/>
        <v>#VALUE!</v>
      </c>
    </row>
    <row r="69" spans="1:21" x14ac:dyDescent="0.25">
      <c r="A69" s="31" t="str">
        <f>IF(Table!A69 = "","",Table!A69)</f>
        <v/>
      </c>
      <c r="B69" s="31" t="str">
        <f>IF(Table!B69 = "","",Table!B69)</f>
        <v/>
      </c>
      <c r="C69" s="31" t="str">
        <f>IF(Table!C69 = "","",Table!C69)</f>
        <v/>
      </c>
      <c r="D69" s="32" t="str">
        <f>IF(Table!D69 = "","",Table!D69)</f>
        <v/>
      </c>
      <c r="E69" s="32" t="str">
        <f>IF(Table!E69 = "","",Table!E69)</f>
        <v/>
      </c>
      <c r="F69" s="32" t="str">
        <f>IF(Table!F69 = "","",Table!F69)</f>
        <v/>
      </c>
      <c r="G69" s="91"/>
      <c r="I69" s="84" t="str">
        <f>IFERROR(VLOOKUP(A69,Downlink!A:L,12,TRUE),"")</f>
        <v/>
      </c>
      <c r="K69" s="31" t="str">
        <f>IFERROR(VLOOKUP(A69,Table!$I$4:$O$3000,1,TRUE),"")</f>
        <v/>
      </c>
      <c r="L69" s="31" t="str">
        <f>IFERROR(INDEX(Table!I:O,MATCH(K69,Table!I:I,0),2),"")</f>
        <v/>
      </c>
      <c r="M69" s="31" t="str">
        <f>IFERROR(INDEX(Table!I:O,MATCH(K69,Table!I:I,0),3),"")</f>
        <v/>
      </c>
      <c r="N69" s="32" t="str">
        <f>IFERROR(INDEX(Table!I:O,MATCH(K69,Table!I:I,0),4),"")</f>
        <v/>
      </c>
      <c r="O69" s="32" t="str">
        <f>IFERROR(INDEX(Table!I:O,MATCH(K69,Table!I:I,0),5),"")</f>
        <v/>
      </c>
      <c r="P69" s="32" t="str">
        <f>IFERROR(INDEX(Table!I:O,MATCH(K69,Table!I:I,0),6),"")</f>
        <v/>
      </c>
      <c r="Q69" s="89" t="str">
        <f t="shared" si="0"/>
        <v/>
      </c>
      <c r="R69" s="89" t="str">
        <f t="shared" si="1"/>
        <v/>
      </c>
      <c r="S69" s="82"/>
      <c r="U69" s="37" t="e">
        <f t="shared" si="2"/>
        <v>#VALUE!</v>
      </c>
    </row>
    <row r="70" spans="1:21" x14ac:dyDescent="0.25">
      <c r="A70" s="31" t="str">
        <f>IF(Table!A70 = "","",Table!A70)</f>
        <v/>
      </c>
      <c r="B70" s="31" t="str">
        <f>IF(Table!B70 = "","",Table!B70)</f>
        <v/>
      </c>
      <c r="C70" s="31" t="str">
        <f>IF(Table!C70 = "","",Table!C70)</f>
        <v/>
      </c>
      <c r="D70" s="32" t="str">
        <f>IF(Table!D70 = "","",Table!D70)</f>
        <v/>
      </c>
      <c r="E70" s="32" t="str">
        <f>IF(Table!E70 = "","",Table!E70)</f>
        <v/>
      </c>
      <c r="F70" s="32" t="str">
        <f>IF(Table!F70 = "","",Table!F70)</f>
        <v/>
      </c>
      <c r="G70" s="91"/>
      <c r="I70" s="84" t="str">
        <f>IFERROR(VLOOKUP(A70,Downlink!A:L,12,TRUE),"")</f>
        <v/>
      </c>
      <c r="K70" s="31" t="str">
        <f>IFERROR(VLOOKUP(A70,Table!$I$4:$O$3000,1,TRUE),"")</f>
        <v/>
      </c>
      <c r="L70" s="31" t="str">
        <f>IFERROR(INDEX(Table!I:O,MATCH(K70,Table!I:I,0),2),"")</f>
        <v/>
      </c>
      <c r="M70" s="31" t="str">
        <f>IFERROR(INDEX(Table!I:O,MATCH(K70,Table!I:I,0),3),"")</f>
        <v/>
      </c>
      <c r="N70" s="32" t="str">
        <f>IFERROR(INDEX(Table!I:O,MATCH(K70,Table!I:I,0),4),"")</f>
        <v/>
      </c>
      <c r="O70" s="32" t="str">
        <f>IFERROR(INDEX(Table!I:O,MATCH(K70,Table!I:I,0),5),"")</f>
        <v/>
      </c>
      <c r="P70" s="32" t="str">
        <f>IFERROR(INDEX(Table!I:O,MATCH(K70,Table!I:I,0),6),"")</f>
        <v/>
      </c>
      <c r="Q70" s="89" t="str">
        <f t="shared" ref="Q70:Q133" si="3">IFERROR(L70-B70,"")</f>
        <v/>
      </c>
      <c r="R70" s="89" t="str">
        <f t="shared" ref="R70:R133" si="4">IFERROR(M70-C70,"")</f>
        <v/>
      </c>
      <c r="S70" s="82"/>
      <c r="U70" s="37" t="e">
        <f t="shared" ref="U70:U133" si="5">K70-K69</f>
        <v>#VALUE!</v>
      </c>
    </row>
    <row r="71" spans="1:21" x14ac:dyDescent="0.25">
      <c r="A71" s="31" t="str">
        <f>IF(Table!A71 = "","",Table!A71)</f>
        <v/>
      </c>
      <c r="B71" s="31" t="str">
        <f>IF(Table!B71 = "","",Table!B71)</f>
        <v/>
      </c>
      <c r="C71" s="31" t="str">
        <f>IF(Table!C71 = "","",Table!C71)</f>
        <v/>
      </c>
      <c r="D71" s="32" t="str">
        <f>IF(Table!D71 = "","",Table!D71)</f>
        <v/>
      </c>
      <c r="E71" s="32" t="str">
        <f>IF(Table!E71 = "","",Table!E71)</f>
        <v/>
      </c>
      <c r="F71" s="32" t="str">
        <f>IF(Table!F71 = "","",Table!F71)</f>
        <v/>
      </c>
      <c r="G71" s="91"/>
      <c r="I71" s="84" t="str">
        <f>IFERROR(VLOOKUP(A71,Downlink!A:L,12,TRUE),"")</f>
        <v/>
      </c>
      <c r="K71" s="31" t="str">
        <f>IFERROR(VLOOKUP(A71,Table!$I$4:$O$3000,1,TRUE),"")</f>
        <v/>
      </c>
      <c r="L71" s="31" t="str">
        <f>IFERROR(INDEX(Table!I:O,MATCH(K71,Table!I:I,0),2),"")</f>
        <v/>
      </c>
      <c r="M71" s="31" t="str">
        <f>IFERROR(INDEX(Table!I:O,MATCH(K71,Table!I:I,0),3),"")</f>
        <v/>
      </c>
      <c r="N71" s="32" t="str">
        <f>IFERROR(INDEX(Table!I:O,MATCH(K71,Table!I:I,0),4),"")</f>
        <v/>
      </c>
      <c r="O71" s="32" t="str">
        <f>IFERROR(INDEX(Table!I:O,MATCH(K71,Table!I:I,0),5),"")</f>
        <v/>
      </c>
      <c r="P71" s="32" t="str">
        <f>IFERROR(INDEX(Table!I:O,MATCH(K71,Table!I:I,0),6),"")</f>
        <v/>
      </c>
      <c r="Q71" s="89" t="str">
        <f t="shared" si="3"/>
        <v/>
      </c>
      <c r="R71" s="89" t="str">
        <f t="shared" si="4"/>
        <v/>
      </c>
      <c r="S71" s="82"/>
      <c r="U71" s="37" t="e">
        <f t="shared" si="5"/>
        <v>#VALUE!</v>
      </c>
    </row>
    <row r="72" spans="1:21" x14ac:dyDescent="0.25">
      <c r="A72" s="31" t="str">
        <f>IF(Table!A72 = "","",Table!A72)</f>
        <v/>
      </c>
      <c r="B72" s="31" t="str">
        <f>IF(Table!B72 = "","",Table!B72)</f>
        <v/>
      </c>
      <c r="C72" s="31" t="str">
        <f>IF(Table!C72 = "","",Table!C72)</f>
        <v/>
      </c>
      <c r="D72" s="32" t="str">
        <f>IF(Table!D72 = "","",Table!D72)</f>
        <v/>
      </c>
      <c r="E72" s="32" t="str">
        <f>IF(Table!E72 = "","",Table!E72)</f>
        <v/>
      </c>
      <c r="F72" s="32" t="str">
        <f>IF(Table!F72 = "","",Table!F72)</f>
        <v/>
      </c>
      <c r="G72" s="91"/>
      <c r="I72" s="84" t="str">
        <f>IFERROR(VLOOKUP(A72,Downlink!A:L,12,TRUE),"")</f>
        <v/>
      </c>
      <c r="K72" s="31" t="str">
        <f>IFERROR(VLOOKUP(A72,Table!$I$4:$O$3000,1,TRUE),"")</f>
        <v/>
      </c>
      <c r="L72" s="31" t="str">
        <f>IFERROR(INDEX(Table!I:O,MATCH(K72,Table!I:I,0),2),"")</f>
        <v/>
      </c>
      <c r="M72" s="31" t="str">
        <f>IFERROR(INDEX(Table!I:O,MATCH(K72,Table!I:I,0),3),"")</f>
        <v/>
      </c>
      <c r="N72" s="32" t="str">
        <f>IFERROR(INDEX(Table!I:O,MATCH(K72,Table!I:I,0),4),"")</f>
        <v/>
      </c>
      <c r="O72" s="32" t="str">
        <f>IFERROR(INDEX(Table!I:O,MATCH(K72,Table!I:I,0),5),"")</f>
        <v/>
      </c>
      <c r="P72" s="32" t="str">
        <f>IFERROR(INDEX(Table!I:O,MATCH(K72,Table!I:I,0),6),"")</f>
        <v/>
      </c>
      <c r="Q72" s="89" t="str">
        <f t="shared" si="3"/>
        <v/>
      </c>
      <c r="R72" s="89" t="str">
        <f t="shared" si="4"/>
        <v/>
      </c>
      <c r="S72" s="82"/>
      <c r="U72" s="37" t="e">
        <f t="shared" si="5"/>
        <v>#VALUE!</v>
      </c>
    </row>
    <row r="73" spans="1:21" x14ac:dyDescent="0.25">
      <c r="A73" s="31" t="str">
        <f>IF(Table!A73 = "","",Table!A73)</f>
        <v/>
      </c>
      <c r="B73" s="31" t="str">
        <f>IF(Table!B73 = "","",Table!B73)</f>
        <v/>
      </c>
      <c r="C73" s="31" t="str">
        <f>IF(Table!C73 = "","",Table!C73)</f>
        <v/>
      </c>
      <c r="D73" s="32" t="str">
        <f>IF(Table!D73 = "","",Table!D73)</f>
        <v/>
      </c>
      <c r="E73" s="32" t="str">
        <f>IF(Table!E73 = "","",Table!E73)</f>
        <v/>
      </c>
      <c r="F73" s="32" t="str">
        <f>IF(Table!F73 = "","",Table!F73)</f>
        <v/>
      </c>
      <c r="G73" s="91"/>
      <c r="I73" s="84" t="str">
        <f>IFERROR(VLOOKUP(A73,Downlink!A:L,12,TRUE),"")</f>
        <v/>
      </c>
      <c r="K73" s="31" t="str">
        <f>IFERROR(VLOOKUP(A73,Table!$I$4:$O$3000,1,TRUE),"")</f>
        <v/>
      </c>
      <c r="L73" s="31" t="str">
        <f>IFERROR(INDEX(Table!I:O,MATCH(K73,Table!I:I,0),2),"")</f>
        <v/>
      </c>
      <c r="M73" s="31" t="str">
        <f>IFERROR(INDEX(Table!I:O,MATCH(K73,Table!I:I,0),3),"")</f>
        <v/>
      </c>
      <c r="N73" s="32" t="str">
        <f>IFERROR(INDEX(Table!I:O,MATCH(K73,Table!I:I,0),4),"")</f>
        <v/>
      </c>
      <c r="O73" s="32" t="str">
        <f>IFERROR(INDEX(Table!I:O,MATCH(K73,Table!I:I,0),5),"")</f>
        <v/>
      </c>
      <c r="P73" s="32" t="str">
        <f>IFERROR(INDEX(Table!I:O,MATCH(K73,Table!I:I,0),6),"")</f>
        <v/>
      </c>
      <c r="Q73" s="89" t="str">
        <f t="shared" si="3"/>
        <v/>
      </c>
      <c r="R73" s="89" t="str">
        <f t="shared" si="4"/>
        <v/>
      </c>
      <c r="S73" s="82"/>
      <c r="U73" s="37" t="e">
        <f t="shared" si="5"/>
        <v>#VALUE!</v>
      </c>
    </row>
    <row r="74" spans="1:21" x14ac:dyDescent="0.25">
      <c r="A74" s="31" t="str">
        <f>IF(Table!A74 = "","",Table!A74)</f>
        <v/>
      </c>
      <c r="B74" s="31" t="str">
        <f>IF(Table!B74 = "","",Table!B74)</f>
        <v/>
      </c>
      <c r="C74" s="31" t="str">
        <f>IF(Table!C74 = "","",Table!C74)</f>
        <v/>
      </c>
      <c r="D74" s="32" t="str">
        <f>IF(Table!D74 = "","",Table!D74)</f>
        <v/>
      </c>
      <c r="E74" s="32" t="str">
        <f>IF(Table!E74 = "","",Table!E74)</f>
        <v/>
      </c>
      <c r="F74" s="32" t="str">
        <f>IF(Table!F74 = "","",Table!F74)</f>
        <v/>
      </c>
      <c r="G74" s="91"/>
      <c r="I74" s="84" t="str">
        <f>IFERROR(VLOOKUP(A74,Downlink!A:L,12,TRUE),"")</f>
        <v/>
      </c>
      <c r="K74" s="31" t="str">
        <f>IFERROR(VLOOKUP(A74,Table!$I$4:$O$3000,1,TRUE),"")</f>
        <v/>
      </c>
      <c r="L74" s="31" t="str">
        <f>IFERROR(INDEX(Table!I:O,MATCH(K74,Table!I:I,0),2),"")</f>
        <v/>
      </c>
      <c r="M74" s="31" t="str">
        <f>IFERROR(INDEX(Table!I:O,MATCH(K74,Table!I:I,0),3),"")</f>
        <v/>
      </c>
      <c r="N74" s="32" t="str">
        <f>IFERROR(INDEX(Table!I:O,MATCH(K74,Table!I:I,0),4),"")</f>
        <v/>
      </c>
      <c r="O74" s="32" t="str">
        <f>IFERROR(INDEX(Table!I:O,MATCH(K74,Table!I:I,0),5),"")</f>
        <v/>
      </c>
      <c r="P74" s="32" t="str">
        <f>IFERROR(INDEX(Table!I:O,MATCH(K74,Table!I:I,0),6),"")</f>
        <v/>
      </c>
      <c r="Q74" s="89" t="str">
        <f t="shared" si="3"/>
        <v/>
      </c>
      <c r="R74" s="89" t="str">
        <f t="shared" si="4"/>
        <v/>
      </c>
      <c r="S74" s="82"/>
      <c r="U74" s="37" t="e">
        <f t="shared" si="5"/>
        <v>#VALUE!</v>
      </c>
    </row>
    <row r="75" spans="1:21" x14ac:dyDescent="0.25">
      <c r="A75" s="31" t="str">
        <f>IF(Table!A75 = "","",Table!A75)</f>
        <v/>
      </c>
      <c r="B75" s="31" t="str">
        <f>IF(Table!B75 = "","",Table!B75)</f>
        <v/>
      </c>
      <c r="C75" s="31" t="str">
        <f>IF(Table!C75 = "","",Table!C75)</f>
        <v/>
      </c>
      <c r="D75" s="32" t="str">
        <f>IF(Table!D75 = "","",Table!D75)</f>
        <v/>
      </c>
      <c r="E75" s="32" t="str">
        <f>IF(Table!E75 = "","",Table!E75)</f>
        <v/>
      </c>
      <c r="F75" s="32" t="str">
        <f>IF(Table!F75 = "","",Table!F75)</f>
        <v/>
      </c>
      <c r="G75" s="91"/>
      <c r="I75" s="84" t="str">
        <f>IFERROR(VLOOKUP(A75,Downlink!A:L,12,TRUE),"")</f>
        <v/>
      </c>
      <c r="K75" s="31" t="str">
        <f>IFERROR(VLOOKUP(A75,Table!$I$4:$O$3000,1,TRUE),"")</f>
        <v/>
      </c>
      <c r="L75" s="31" t="str">
        <f>IFERROR(INDEX(Table!I:O,MATCH(K75,Table!I:I,0),2),"")</f>
        <v/>
      </c>
      <c r="M75" s="31" t="str">
        <f>IFERROR(INDEX(Table!I:O,MATCH(K75,Table!I:I,0),3),"")</f>
        <v/>
      </c>
      <c r="N75" s="32" t="str">
        <f>IFERROR(INDEX(Table!I:O,MATCH(K75,Table!I:I,0),4),"")</f>
        <v/>
      </c>
      <c r="O75" s="32" t="str">
        <f>IFERROR(INDEX(Table!I:O,MATCH(K75,Table!I:I,0),5),"")</f>
        <v/>
      </c>
      <c r="P75" s="32" t="str">
        <f>IFERROR(INDEX(Table!I:O,MATCH(K75,Table!I:I,0),6),"")</f>
        <v/>
      </c>
      <c r="Q75" s="89" t="str">
        <f t="shared" si="3"/>
        <v/>
      </c>
      <c r="R75" s="89" t="str">
        <f t="shared" si="4"/>
        <v/>
      </c>
      <c r="S75" s="82"/>
      <c r="U75" s="37" t="e">
        <f t="shared" si="5"/>
        <v>#VALUE!</v>
      </c>
    </row>
    <row r="76" spans="1:21" x14ac:dyDescent="0.25">
      <c r="A76" s="31" t="str">
        <f>IF(Table!A76 = "","",Table!A76)</f>
        <v/>
      </c>
      <c r="B76" s="31" t="str">
        <f>IF(Table!B76 = "","",Table!B76)</f>
        <v/>
      </c>
      <c r="C76" s="31" t="str">
        <f>IF(Table!C76 = "","",Table!C76)</f>
        <v/>
      </c>
      <c r="D76" s="32" t="str">
        <f>IF(Table!D76 = "","",Table!D76)</f>
        <v/>
      </c>
      <c r="E76" s="32" t="str">
        <f>IF(Table!E76 = "","",Table!E76)</f>
        <v/>
      </c>
      <c r="F76" s="32" t="str">
        <f>IF(Table!F76 = "","",Table!F76)</f>
        <v/>
      </c>
      <c r="G76" s="91"/>
      <c r="I76" s="84" t="str">
        <f>IFERROR(VLOOKUP(A76,Downlink!A:L,12,TRUE),"")</f>
        <v/>
      </c>
      <c r="K76" s="31" t="str">
        <f>IFERROR(VLOOKUP(A76,Table!$I$4:$O$3000,1,TRUE),"")</f>
        <v/>
      </c>
      <c r="L76" s="31" t="str">
        <f>IFERROR(INDEX(Table!I:O,MATCH(K76,Table!I:I,0),2),"")</f>
        <v/>
      </c>
      <c r="M76" s="31" t="str">
        <f>IFERROR(INDEX(Table!I:O,MATCH(K76,Table!I:I,0),3),"")</f>
        <v/>
      </c>
      <c r="N76" s="32" t="str">
        <f>IFERROR(INDEX(Table!I:O,MATCH(K76,Table!I:I,0),4),"")</f>
        <v/>
      </c>
      <c r="O76" s="32" t="str">
        <f>IFERROR(INDEX(Table!I:O,MATCH(K76,Table!I:I,0),5),"")</f>
        <v/>
      </c>
      <c r="P76" s="32" t="str">
        <f>IFERROR(INDEX(Table!I:O,MATCH(K76,Table!I:I,0),6),"")</f>
        <v/>
      </c>
      <c r="Q76" s="89" t="str">
        <f t="shared" si="3"/>
        <v/>
      </c>
      <c r="R76" s="89" t="str">
        <f t="shared" si="4"/>
        <v/>
      </c>
      <c r="S76" s="82"/>
      <c r="U76" s="37" t="e">
        <f t="shared" si="5"/>
        <v>#VALUE!</v>
      </c>
    </row>
    <row r="77" spans="1:21" x14ac:dyDescent="0.25">
      <c r="A77" s="31" t="str">
        <f>IF(Table!A77 = "","",Table!A77)</f>
        <v/>
      </c>
      <c r="B77" s="31" t="str">
        <f>IF(Table!B77 = "","",Table!B77)</f>
        <v/>
      </c>
      <c r="C77" s="31" t="str">
        <f>IF(Table!C77 = "","",Table!C77)</f>
        <v/>
      </c>
      <c r="D77" s="32" t="str">
        <f>IF(Table!D77 = "","",Table!D77)</f>
        <v/>
      </c>
      <c r="E77" s="32" t="str">
        <f>IF(Table!E77 = "","",Table!E77)</f>
        <v/>
      </c>
      <c r="F77" s="32" t="str">
        <f>IF(Table!F77 = "","",Table!F77)</f>
        <v/>
      </c>
      <c r="G77" s="91"/>
      <c r="I77" s="84" t="str">
        <f>IFERROR(VLOOKUP(A77,Downlink!A:L,12,TRUE),"")</f>
        <v/>
      </c>
      <c r="K77" s="31" t="str">
        <f>IFERROR(VLOOKUP(A77,Table!$I$4:$O$3000,1,TRUE),"")</f>
        <v/>
      </c>
      <c r="L77" s="31" t="str">
        <f>IFERROR(INDEX(Table!I:O,MATCH(K77,Table!I:I,0),2),"")</f>
        <v/>
      </c>
      <c r="M77" s="31" t="str">
        <f>IFERROR(INDEX(Table!I:O,MATCH(K77,Table!I:I,0),3),"")</f>
        <v/>
      </c>
      <c r="N77" s="32" t="str">
        <f>IFERROR(INDEX(Table!I:O,MATCH(K77,Table!I:I,0),4),"")</f>
        <v/>
      </c>
      <c r="O77" s="32" t="str">
        <f>IFERROR(INDEX(Table!I:O,MATCH(K77,Table!I:I,0),5),"")</f>
        <v/>
      </c>
      <c r="P77" s="32" t="str">
        <f>IFERROR(INDEX(Table!I:O,MATCH(K77,Table!I:I,0),6),"")</f>
        <v/>
      </c>
      <c r="Q77" s="89" t="str">
        <f t="shared" si="3"/>
        <v/>
      </c>
      <c r="R77" s="89" t="str">
        <f t="shared" si="4"/>
        <v/>
      </c>
      <c r="S77" s="82"/>
      <c r="U77" s="37" t="e">
        <f t="shared" si="5"/>
        <v>#VALUE!</v>
      </c>
    </row>
    <row r="78" spans="1:21" x14ac:dyDescent="0.25">
      <c r="A78" s="31" t="str">
        <f>IF(Table!A78 = "","",Table!A78)</f>
        <v/>
      </c>
      <c r="B78" s="31" t="str">
        <f>IF(Table!B78 = "","",Table!B78)</f>
        <v/>
      </c>
      <c r="C78" s="31" t="str">
        <f>IF(Table!C78 = "","",Table!C78)</f>
        <v/>
      </c>
      <c r="D78" s="32" t="str">
        <f>IF(Table!D78 = "","",Table!D78)</f>
        <v/>
      </c>
      <c r="E78" s="32" t="str">
        <f>IF(Table!E78 = "","",Table!E78)</f>
        <v/>
      </c>
      <c r="F78" s="32" t="str">
        <f>IF(Table!F78 = "","",Table!F78)</f>
        <v/>
      </c>
      <c r="G78" s="91"/>
      <c r="I78" s="84" t="str">
        <f>IFERROR(VLOOKUP(A78,Downlink!A:L,12,TRUE),"")</f>
        <v/>
      </c>
      <c r="K78" s="31" t="str">
        <f>IFERROR(VLOOKUP(A78,Table!$I$4:$O$3000,1,TRUE),"")</f>
        <v/>
      </c>
      <c r="L78" s="31" t="str">
        <f>IFERROR(INDEX(Table!I:O,MATCH(K78,Table!I:I,0),2),"")</f>
        <v/>
      </c>
      <c r="M78" s="31" t="str">
        <f>IFERROR(INDEX(Table!I:O,MATCH(K78,Table!I:I,0),3),"")</f>
        <v/>
      </c>
      <c r="N78" s="32" t="str">
        <f>IFERROR(INDEX(Table!I:O,MATCH(K78,Table!I:I,0),4),"")</f>
        <v/>
      </c>
      <c r="O78" s="32" t="str">
        <f>IFERROR(INDEX(Table!I:O,MATCH(K78,Table!I:I,0),5),"")</f>
        <v/>
      </c>
      <c r="P78" s="32" t="str">
        <f>IFERROR(INDEX(Table!I:O,MATCH(K78,Table!I:I,0),6),"")</f>
        <v/>
      </c>
      <c r="Q78" s="89" t="str">
        <f t="shared" si="3"/>
        <v/>
      </c>
      <c r="R78" s="89" t="str">
        <f t="shared" si="4"/>
        <v/>
      </c>
      <c r="S78" s="82"/>
      <c r="U78" s="37" t="e">
        <f t="shared" si="5"/>
        <v>#VALUE!</v>
      </c>
    </row>
    <row r="79" spans="1:21" x14ac:dyDescent="0.25">
      <c r="A79" s="31" t="str">
        <f>IF(Table!A79 = "","",Table!A79)</f>
        <v/>
      </c>
      <c r="B79" s="31" t="str">
        <f>IF(Table!B79 = "","",Table!B79)</f>
        <v/>
      </c>
      <c r="C79" s="31" t="str">
        <f>IF(Table!C79 = "","",Table!C79)</f>
        <v/>
      </c>
      <c r="D79" s="32" t="str">
        <f>IF(Table!D79 = "","",Table!D79)</f>
        <v/>
      </c>
      <c r="E79" s="32" t="str">
        <f>IF(Table!E79 = "","",Table!E79)</f>
        <v/>
      </c>
      <c r="F79" s="32" t="str">
        <f>IF(Table!F79 = "","",Table!F79)</f>
        <v/>
      </c>
      <c r="G79" s="91"/>
      <c r="I79" s="84" t="str">
        <f>IFERROR(VLOOKUP(A79,Downlink!A:L,12,TRUE),"")</f>
        <v/>
      </c>
      <c r="K79" s="31" t="str">
        <f>IFERROR(VLOOKUP(A79,Table!$I$4:$O$3000,1,TRUE),"")</f>
        <v/>
      </c>
      <c r="L79" s="31" t="str">
        <f>IFERROR(INDEX(Table!I:O,MATCH(K79,Table!I:I,0),2),"")</f>
        <v/>
      </c>
      <c r="M79" s="31" t="str">
        <f>IFERROR(INDEX(Table!I:O,MATCH(K79,Table!I:I,0),3),"")</f>
        <v/>
      </c>
      <c r="N79" s="32" t="str">
        <f>IFERROR(INDEX(Table!I:O,MATCH(K79,Table!I:I,0),4),"")</f>
        <v/>
      </c>
      <c r="O79" s="32" t="str">
        <f>IFERROR(INDEX(Table!I:O,MATCH(K79,Table!I:I,0),5),"")</f>
        <v/>
      </c>
      <c r="P79" s="32" t="str">
        <f>IFERROR(INDEX(Table!I:O,MATCH(K79,Table!I:I,0),6),"")</f>
        <v/>
      </c>
      <c r="Q79" s="89" t="str">
        <f t="shared" si="3"/>
        <v/>
      </c>
      <c r="R79" s="89" t="str">
        <f t="shared" si="4"/>
        <v/>
      </c>
      <c r="S79" s="82"/>
      <c r="U79" s="37" t="e">
        <f t="shared" si="5"/>
        <v>#VALUE!</v>
      </c>
    </row>
    <row r="80" spans="1:21" x14ac:dyDescent="0.25">
      <c r="A80" s="31" t="str">
        <f>IF(Table!A80 = "","",Table!A80)</f>
        <v/>
      </c>
      <c r="B80" s="31" t="str">
        <f>IF(Table!B80 = "","",Table!B80)</f>
        <v/>
      </c>
      <c r="C80" s="31" t="str">
        <f>IF(Table!C80 = "","",Table!C80)</f>
        <v/>
      </c>
      <c r="D80" s="32" t="str">
        <f>IF(Table!D80 = "","",Table!D80)</f>
        <v/>
      </c>
      <c r="E80" s="32" t="str">
        <f>IF(Table!E80 = "","",Table!E80)</f>
        <v/>
      </c>
      <c r="F80" s="32" t="str">
        <f>IF(Table!F80 = "","",Table!F80)</f>
        <v/>
      </c>
      <c r="G80" s="91"/>
      <c r="I80" s="84" t="str">
        <f>IFERROR(VLOOKUP(A80,Downlink!A:L,12,TRUE),"")</f>
        <v/>
      </c>
      <c r="K80" s="31" t="str">
        <f>IFERROR(VLOOKUP(A80,Table!$I$4:$O$3000,1,TRUE),"")</f>
        <v/>
      </c>
      <c r="L80" s="31" t="str">
        <f>IFERROR(INDEX(Table!I:O,MATCH(K80,Table!I:I,0),2),"")</f>
        <v/>
      </c>
      <c r="M80" s="31" t="str">
        <f>IFERROR(INDEX(Table!I:O,MATCH(K80,Table!I:I,0),3),"")</f>
        <v/>
      </c>
      <c r="N80" s="32" t="str">
        <f>IFERROR(INDEX(Table!I:O,MATCH(K80,Table!I:I,0),4),"")</f>
        <v/>
      </c>
      <c r="O80" s="32" t="str">
        <f>IFERROR(INDEX(Table!I:O,MATCH(K80,Table!I:I,0),5),"")</f>
        <v/>
      </c>
      <c r="P80" s="32" t="str">
        <f>IFERROR(INDEX(Table!I:O,MATCH(K80,Table!I:I,0),6),"")</f>
        <v/>
      </c>
      <c r="Q80" s="89" t="str">
        <f t="shared" si="3"/>
        <v/>
      </c>
      <c r="R80" s="89" t="str">
        <f t="shared" si="4"/>
        <v/>
      </c>
      <c r="S80" s="82"/>
      <c r="U80" s="37" t="e">
        <f t="shared" si="5"/>
        <v>#VALUE!</v>
      </c>
    </row>
    <row r="81" spans="1:21" x14ac:dyDescent="0.25">
      <c r="A81" s="31" t="str">
        <f>IF(Table!A81 = "","",Table!A81)</f>
        <v/>
      </c>
      <c r="B81" s="31" t="str">
        <f>IF(Table!B81 = "","",Table!B81)</f>
        <v/>
      </c>
      <c r="C81" s="31" t="str">
        <f>IF(Table!C81 = "","",Table!C81)</f>
        <v/>
      </c>
      <c r="D81" s="32" t="str">
        <f>IF(Table!D81 = "","",Table!D81)</f>
        <v/>
      </c>
      <c r="E81" s="32" t="str">
        <f>IF(Table!E81 = "","",Table!E81)</f>
        <v/>
      </c>
      <c r="F81" s="32" t="str">
        <f>IF(Table!F81 = "","",Table!F81)</f>
        <v/>
      </c>
      <c r="G81" s="91"/>
      <c r="I81" s="84" t="str">
        <f>IFERROR(VLOOKUP(A81,Downlink!A:L,12,TRUE),"")</f>
        <v/>
      </c>
      <c r="K81" s="31" t="str">
        <f>IFERROR(VLOOKUP(A81,Table!$I$4:$O$3000,1,TRUE),"")</f>
        <v/>
      </c>
      <c r="L81" s="31" t="str">
        <f>IFERROR(INDEX(Table!I:O,MATCH(K81,Table!I:I,0),2),"")</f>
        <v/>
      </c>
      <c r="M81" s="31" t="str">
        <f>IFERROR(INDEX(Table!I:O,MATCH(K81,Table!I:I,0),3),"")</f>
        <v/>
      </c>
      <c r="N81" s="32" t="str">
        <f>IFERROR(INDEX(Table!I:O,MATCH(K81,Table!I:I,0),4),"")</f>
        <v/>
      </c>
      <c r="O81" s="32" t="str">
        <f>IFERROR(INDEX(Table!I:O,MATCH(K81,Table!I:I,0),5),"")</f>
        <v/>
      </c>
      <c r="P81" s="32" t="str">
        <f>IFERROR(INDEX(Table!I:O,MATCH(K81,Table!I:I,0),6),"")</f>
        <v/>
      </c>
      <c r="Q81" s="89" t="str">
        <f t="shared" si="3"/>
        <v/>
      </c>
      <c r="R81" s="89" t="str">
        <f t="shared" si="4"/>
        <v/>
      </c>
      <c r="S81" s="82"/>
      <c r="U81" s="37" t="e">
        <f t="shared" si="5"/>
        <v>#VALUE!</v>
      </c>
    </row>
    <row r="82" spans="1:21" x14ac:dyDescent="0.25">
      <c r="A82" s="31" t="str">
        <f>IF(Table!A82 = "","",Table!A82)</f>
        <v/>
      </c>
      <c r="B82" s="31" t="str">
        <f>IF(Table!B82 = "","",Table!B82)</f>
        <v/>
      </c>
      <c r="C82" s="31" t="str">
        <f>IF(Table!C82 = "","",Table!C82)</f>
        <v/>
      </c>
      <c r="D82" s="32" t="str">
        <f>IF(Table!D82 = "","",Table!D82)</f>
        <v/>
      </c>
      <c r="E82" s="32" t="str">
        <f>IF(Table!E82 = "","",Table!E82)</f>
        <v/>
      </c>
      <c r="F82" s="32" t="str">
        <f>IF(Table!F82 = "","",Table!F82)</f>
        <v/>
      </c>
      <c r="G82" s="91"/>
      <c r="I82" s="84" t="str">
        <f>IFERROR(VLOOKUP(A82,Downlink!A:L,12,TRUE),"")</f>
        <v/>
      </c>
      <c r="K82" s="31" t="str">
        <f>IFERROR(VLOOKUP(A82,Table!$I$4:$O$3000,1,TRUE),"")</f>
        <v/>
      </c>
      <c r="L82" s="31" t="str">
        <f>IFERROR(INDEX(Table!I:O,MATCH(K82,Table!I:I,0),2),"")</f>
        <v/>
      </c>
      <c r="M82" s="31" t="str">
        <f>IFERROR(INDEX(Table!I:O,MATCH(K82,Table!I:I,0),3),"")</f>
        <v/>
      </c>
      <c r="N82" s="32" t="str">
        <f>IFERROR(INDEX(Table!I:O,MATCH(K82,Table!I:I,0),4),"")</f>
        <v/>
      </c>
      <c r="O82" s="32" t="str">
        <f>IFERROR(INDEX(Table!I:O,MATCH(K82,Table!I:I,0),5),"")</f>
        <v/>
      </c>
      <c r="P82" s="32" t="str">
        <f>IFERROR(INDEX(Table!I:O,MATCH(K82,Table!I:I,0),6),"")</f>
        <v/>
      </c>
      <c r="Q82" s="89" t="str">
        <f t="shared" si="3"/>
        <v/>
      </c>
      <c r="R82" s="89" t="str">
        <f t="shared" si="4"/>
        <v/>
      </c>
      <c r="S82" s="82"/>
      <c r="U82" s="37" t="e">
        <f t="shared" si="5"/>
        <v>#VALUE!</v>
      </c>
    </row>
    <row r="83" spans="1:21" x14ac:dyDescent="0.25">
      <c r="A83" s="31" t="str">
        <f>IF(Table!A83 = "","",Table!A83)</f>
        <v/>
      </c>
      <c r="B83" s="31" t="str">
        <f>IF(Table!B83 = "","",Table!B83)</f>
        <v/>
      </c>
      <c r="C83" s="31" t="str">
        <f>IF(Table!C83 = "","",Table!C83)</f>
        <v/>
      </c>
      <c r="D83" s="32" t="str">
        <f>IF(Table!D83 = "","",Table!D83)</f>
        <v/>
      </c>
      <c r="E83" s="32" t="str">
        <f>IF(Table!E83 = "","",Table!E83)</f>
        <v/>
      </c>
      <c r="F83" s="32" t="str">
        <f>IF(Table!F83 = "","",Table!F83)</f>
        <v/>
      </c>
      <c r="G83" s="91"/>
      <c r="I83" s="84" t="str">
        <f>IFERROR(VLOOKUP(A83,Downlink!A:L,12,TRUE),"")</f>
        <v/>
      </c>
      <c r="K83" s="31" t="str">
        <f>IFERROR(VLOOKUP(A83,Table!$I$4:$O$3000,1,TRUE),"")</f>
        <v/>
      </c>
      <c r="L83" s="31" t="str">
        <f>IFERROR(INDEX(Table!I:O,MATCH(K83,Table!I:I,0),2),"")</f>
        <v/>
      </c>
      <c r="M83" s="31" t="str">
        <f>IFERROR(INDEX(Table!I:O,MATCH(K83,Table!I:I,0),3),"")</f>
        <v/>
      </c>
      <c r="N83" s="32" t="str">
        <f>IFERROR(INDEX(Table!I:O,MATCH(K83,Table!I:I,0),4),"")</f>
        <v/>
      </c>
      <c r="O83" s="32" t="str">
        <f>IFERROR(INDEX(Table!I:O,MATCH(K83,Table!I:I,0),5),"")</f>
        <v/>
      </c>
      <c r="P83" s="32" t="str">
        <f>IFERROR(INDEX(Table!I:O,MATCH(K83,Table!I:I,0),6),"")</f>
        <v/>
      </c>
      <c r="Q83" s="89" t="str">
        <f t="shared" si="3"/>
        <v/>
      </c>
      <c r="R83" s="89" t="str">
        <f t="shared" si="4"/>
        <v/>
      </c>
      <c r="S83" s="82"/>
      <c r="U83" s="37" t="e">
        <f t="shared" si="5"/>
        <v>#VALUE!</v>
      </c>
    </row>
    <row r="84" spans="1:21" x14ac:dyDescent="0.25">
      <c r="A84" s="31" t="str">
        <f>IF(Table!A84 = "","",Table!A84)</f>
        <v/>
      </c>
      <c r="B84" s="31" t="str">
        <f>IF(Table!B84 = "","",Table!B84)</f>
        <v/>
      </c>
      <c r="C84" s="31" t="str">
        <f>IF(Table!C84 = "","",Table!C84)</f>
        <v/>
      </c>
      <c r="D84" s="32" t="str">
        <f>IF(Table!D84 = "","",Table!D84)</f>
        <v/>
      </c>
      <c r="E84" s="32" t="str">
        <f>IF(Table!E84 = "","",Table!E84)</f>
        <v/>
      </c>
      <c r="F84" s="32" t="str">
        <f>IF(Table!F84 = "","",Table!F84)</f>
        <v/>
      </c>
      <c r="G84" s="91"/>
      <c r="I84" s="84" t="str">
        <f>IFERROR(VLOOKUP(A84,Downlink!A:L,12,TRUE),"")</f>
        <v/>
      </c>
      <c r="K84" s="31" t="str">
        <f>IFERROR(VLOOKUP(A84,Table!$I$4:$O$3000,1,TRUE),"")</f>
        <v/>
      </c>
      <c r="L84" s="31" t="str">
        <f>IFERROR(INDEX(Table!I:O,MATCH(K84,Table!I:I,0),2),"")</f>
        <v/>
      </c>
      <c r="M84" s="31" t="str">
        <f>IFERROR(INDEX(Table!I:O,MATCH(K84,Table!I:I,0),3),"")</f>
        <v/>
      </c>
      <c r="N84" s="32" t="str">
        <f>IFERROR(INDEX(Table!I:O,MATCH(K84,Table!I:I,0),4),"")</f>
        <v/>
      </c>
      <c r="O84" s="32" t="str">
        <f>IFERROR(INDEX(Table!I:O,MATCH(K84,Table!I:I,0),5),"")</f>
        <v/>
      </c>
      <c r="P84" s="32" t="str">
        <f>IFERROR(INDEX(Table!I:O,MATCH(K84,Table!I:I,0),6),"")</f>
        <v/>
      </c>
      <c r="Q84" s="89" t="str">
        <f t="shared" si="3"/>
        <v/>
      </c>
      <c r="R84" s="89" t="str">
        <f t="shared" si="4"/>
        <v/>
      </c>
      <c r="S84" s="82"/>
      <c r="U84" s="37" t="e">
        <f t="shared" si="5"/>
        <v>#VALUE!</v>
      </c>
    </row>
    <row r="85" spans="1:21" x14ac:dyDescent="0.25">
      <c r="A85" s="31" t="str">
        <f>IF(Table!A85 = "","",Table!A85)</f>
        <v/>
      </c>
      <c r="B85" s="31" t="str">
        <f>IF(Table!B85 = "","",Table!B85)</f>
        <v/>
      </c>
      <c r="C85" s="31" t="str">
        <f>IF(Table!C85 = "","",Table!C85)</f>
        <v/>
      </c>
      <c r="D85" s="32" t="str">
        <f>IF(Table!D85 = "","",Table!D85)</f>
        <v/>
      </c>
      <c r="E85" s="32" t="str">
        <f>IF(Table!E85 = "","",Table!E85)</f>
        <v/>
      </c>
      <c r="F85" s="32" t="str">
        <f>IF(Table!F85 = "","",Table!F85)</f>
        <v/>
      </c>
      <c r="G85" s="91"/>
      <c r="I85" s="84" t="str">
        <f>IFERROR(VLOOKUP(A85,Downlink!A:L,12,TRUE),"")</f>
        <v/>
      </c>
      <c r="K85" s="31" t="str">
        <f>IFERROR(VLOOKUP(A85,Table!$I$4:$O$3000,1,TRUE),"")</f>
        <v/>
      </c>
      <c r="L85" s="31" t="str">
        <f>IFERROR(INDEX(Table!I:O,MATCH(K85,Table!I:I,0),2),"")</f>
        <v/>
      </c>
      <c r="M85" s="31" t="str">
        <f>IFERROR(INDEX(Table!I:O,MATCH(K85,Table!I:I,0),3),"")</f>
        <v/>
      </c>
      <c r="N85" s="32" t="str">
        <f>IFERROR(INDEX(Table!I:O,MATCH(K85,Table!I:I,0),4),"")</f>
        <v/>
      </c>
      <c r="O85" s="32" t="str">
        <f>IFERROR(INDEX(Table!I:O,MATCH(K85,Table!I:I,0),5),"")</f>
        <v/>
      </c>
      <c r="P85" s="32" t="str">
        <f>IFERROR(INDEX(Table!I:O,MATCH(K85,Table!I:I,0),6),"")</f>
        <v/>
      </c>
      <c r="Q85" s="89" t="str">
        <f t="shared" si="3"/>
        <v/>
      </c>
      <c r="R85" s="89" t="str">
        <f t="shared" si="4"/>
        <v/>
      </c>
      <c r="S85" s="82"/>
      <c r="U85" s="37" t="e">
        <f t="shared" si="5"/>
        <v>#VALUE!</v>
      </c>
    </row>
    <row r="86" spans="1:21" x14ac:dyDescent="0.25">
      <c r="A86" s="31" t="str">
        <f>IF(Table!A86 = "","",Table!A86)</f>
        <v/>
      </c>
      <c r="B86" s="31" t="str">
        <f>IF(Table!B86 = "","",Table!B86)</f>
        <v/>
      </c>
      <c r="C86" s="31" t="str">
        <f>IF(Table!C86 = "","",Table!C86)</f>
        <v/>
      </c>
      <c r="D86" s="32" t="str">
        <f>IF(Table!D86 = "","",Table!D86)</f>
        <v/>
      </c>
      <c r="E86" s="32" t="str">
        <f>IF(Table!E86 = "","",Table!E86)</f>
        <v/>
      </c>
      <c r="F86" s="32" t="str">
        <f>IF(Table!F86 = "","",Table!F86)</f>
        <v/>
      </c>
      <c r="G86" s="91"/>
      <c r="I86" s="84" t="str">
        <f>IFERROR(VLOOKUP(A86,Downlink!A:L,12,TRUE),"")</f>
        <v/>
      </c>
      <c r="K86" s="31" t="str">
        <f>IFERROR(VLOOKUP(A86,Table!$I$4:$O$3000,1,TRUE),"")</f>
        <v/>
      </c>
      <c r="L86" s="31" t="str">
        <f>IFERROR(INDEX(Table!I:O,MATCH(K86,Table!I:I,0),2),"")</f>
        <v/>
      </c>
      <c r="M86" s="31" t="str">
        <f>IFERROR(INDEX(Table!I:O,MATCH(K86,Table!I:I,0),3),"")</f>
        <v/>
      </c>
      <c r="N86" s="32" t="str">
        <f>IFERROR(INDEX(Table!I:O,MATCH(K86,Table!I:I,0),4),"")</f>
        <v/>
      </c>
      <c r="O86" s="32" t="str">
        <f>IFERROR(INDEX(Table!I:O,MATCH(K86,Table!I:I,0),5),"")</f>
        <v/>
      </c>
      <c r="P86" s="32" t="str">
        <f>IFERROR(INDEX(Table!I:O,MATCH(K86,Table!I:I,0),6),"")</f>
        <v/>
      </c>
      <c r="Q86" s="89" t="str">
        <f t="shared" si="3"/>
        <v/>
      </c>
      <c r="R86" s="89" t="str">
        <f t="shared" si="4"/>
        <v/>
      </c>
      <c r="S86" s="82"/>
      <c r="U86" s="37" t="e">
        <f t="shared" si="5"/>
        <v>#VALUE!</v>
      </c>
    </row>
    <row r="87" spans="1:21" x14ac:dyDescent="0.25">
      <c r="A87" s="31" t="str">
        <f>IF(Table!A87 = "","",Table!A87)</f>
        <v/>
      </c>
      <c r="B87" s="31" t="str">
        <f>IF(Table!B87 = "","",Table!B87)</f>
        <v/>
      </c>
      <c r="C87" s="31" t="str">
        <f>IF(Table!C87 = "","",Table!C87)</f>
        <v/>
      </c>
      <c r="D87" s="32" t="str">
        <f>IF(Table!D87 = "","",Table!D87)</f>
        <v/>
      </c>
      <c r="E87" s="32" t="str">
        <f>IF(Table!E87 = "","",Table!E87)</f>
        <v/>
      </c>
      <c r="F87" s="32" t="str">
        <f>IF(Table!F87 = "","",Table!F87)</f>
        <v/>
      </c>
      <c r="G87" s="91"/>
      <c r="I87" s="84" t="str">
        <f>IFERROR(VLOOKUP(A87,Downlink!A:L,12,TRUE),"")</f>
        <v/>
      </c>
      <c r="K87" s="31" t="str">
        <f>IFERROR(VLOOKUP(A87,Table!$I$4:$O$3000,1,TRUE),"")</f>
        <v/>
      </c>
      <c r="L87" s="31" t="str">
        <f>IFERROR(INDEX(Table!I:O,MATCH(K87,Table!I:I,0),2),"")</f>
        <v/>
      </c>
      <c r="M87" s="31" t="str">
        <f>IFERROR(INDEX(Table!I:O,MATCH(K87,Table!I:I,0),3),"")</f>
        <v/>
      </c>
      <c r="N87" s="32" t="str">
        <f>IFERROR(INDEX(Table!I:O,MATCH(K87,Table!I:I,0),4),"")</f>
        <v/>
      </c>
      <c r="O87" s="32" t="str">
        <f>IFERROR(INDEX(Table!I:O,MATCH(K87,Table!I:I,0),5),"")</f>
        <v/>
      </c>
      <c r="P87" s="32" t="str">
        <f>IFERROR(INDEX(Table!I:O,MATCH(K87,Table!I:I,0),6),"")</f>
        <v/>
      </c>
      <c r="Q87" s="89" t="str">
        <f t="shared" si="3"/>
        <v/>
      </c>
      <c r="R87" s="89" t="str">
        <f t="shared" si="4"/>
        <v/>
      </c>
      <c r="S87" s="82"/>
      <c r="U87" s="37" t="e">
        <f t="shared" si="5"/>
        <v>#VALUE!</v>
      </c>
    </row>
    <row r="88" spans="1:21" x14ac:dyDescent="0.25">
      <c r="A88" s="31" t="str">
        <f>IF(Table!A88 = "","",Table!A88)</f>
        <v/>
      </c>
      <c r="B88" s="31" t="str">
        <f>IF(Table!B88 = "","",Table!B88)</f>
        <v/>
      </c>
      <c r="C88" s="31" t="str">
        <f>IF(Table!C88 = "","",Table!C88)</f>
        <v/>
      </c>
      <c r="D88" s="32" t="str">
        <f>IF(Table!D88 = "","",Table!D88)</f>
        <v/>
      </c>
      <c r="E88" s="32" t="str">
        <f>IF(Table!E88 = "","",Table!E88)</f>
        <v/>
      </c>
      <c r="F88" s="32" t="str">
        <f>IF(Table!F88 = "","",Table!F88)</f>
        <v/>
      </c>
      <c r="G88" s="91"/>
      <c r="I88" s="84" t="str">
        <f>IFERROR(VLOOKUP(A88,Downlink!A:L,12,TRUE),"")</f>
        <v/>
      </c>
      <c r="K88" s="31" t="str">
        <f>IFERROR(VLOOKUP(A88,Table!$I$4:$O$3000,1,TRUE),"")</f>
        <v/>
      </c>
      <c r="L88" s="31" t="str">
        <f>IFERROR(INDEX(Table!I:O,MATCH(K88,Table!I:I,0),2),"")</f>
        <v/>
      </c>
      <c r="M88" s="31" t="str">
        <f>IFERROR(INDEX(Table!I:O,MATCH(K88,Table!I:I,0),3),"")</f>
        <v/>
      </c>
      <c r="N88" s="32" t="str">
        <f>IFERROR(INDEX(Table!I:O,MATCH(K88,Table!I:I,0),4),"")</f>
        <v/>
      </c>
      <c r="O88" s="32" t="str">
        <f>IFERROR(INDEX(Table!I:O,MATCH(K88,Table!I:I,0),5),"")</f>
        <v/>
      </c>
      <c r="P88" s="32" t="str">
        <f>IFERROR(INDEX(Table!I:O,MATCH(K88,Table!I:I,0),6),"")</f>
        <v/>
      </c>
      <c r="Q88" s="89" t="str">
        <f t="shared" si="3"/>
        <v/>
      </c>
      <c r="R88" s="89" t="str">
        <f t="shared" si="4"/>
        <v/>
      </c>
      <c r="S88" s="82"/>
      <c r="U88" s="37" t="e">
        <f t="shared" si="5"/>
        <v>#VALUE!</v>
      </c>
    </row>
    <row r="89" spans="1:21" x14ac:dyDescent="0.25">
      <c r="A89" s="31" t="str">
        <f>IF(Table!A89 = "","",Table!A89)</f>
        <v/>
      </c>
      <c r="B89" s="31" t="str">
        <f>IF(Table!B89 = "","",Table!B89)</f>
        <v/>
      </c>
      <c r="C89" s="31" t="str">
        <f>IF(Table!C89 = "","",Table!C89)</f>
        <v/>
      </c>
      <c r="D89" s="32" t="str">
        <f>IF(Table!D89 = "","",Table!D89)</f>
        <v/>
      </c>
      <c r="E89" s="32" t="str">
        <f>IF(Table!E89 = "","",Table!E89)</f>
        <v/>
      </c>
      <c r="F89" s="32" t="str">
        <f>IF(Table!F89 = "","",Table!F89)</f>
        <v/>
      </c>
      <c r="G89" s="91"/>
      <c r="I89" s="84" t="str">
        <f>IFERROR(VLOOKUP(A89,Downlink!A:L,12,TRUE),"")</f>
        <v/>
      </c>
      <c r="K89" s="31" t="str">
        <f>IFERROR(VLOOKUP(A89,Table!$I$4:$O$3000,1,TRUE),"")</f>
        <v/>
      </c>
      <c r="L89" s="31" t="str">
        <f>IFERROR(INDEX(Table!I:O,MATCH(K89,Table!I:I,0),2),"")</f>
        <v/>
      </c>
      <c r="M89" s="31" t="str">
        <f>IFERROR(INDEX(Table!I:O,MATCH(K89,Table!I:I,0),3),"")</f>
        <v/>
      </c>
      <c r="N89" s="32" t="str">
        <f>IFERROR(INDEX(Table!I:O,MATCH(K89,Table!I:I,0),4),"")</f>
        <v/>
      </c>
      <c r="O89" s="32" t="str">
        <f>IFERROR(INDEX(Table!I:O,MATCH(K89,Table!I:I,0),5),"")</f>
        <v/>
      </c>
      <c r="P89" s="32" t="str">
        <f>IFERROR(INDEX(Table!I:O,MATCH(K89,Table!I:I,0),6),"")</f>
        <v/>
      </c>
      <c r="Q89" s="89" t="str">
        <f t="shared" si="3"/>
        <v/>
      </c>
      <c r="R89" s="89" t="str">
        <f t="shared" si="4"/>
        <v/>
      </c>
      <c r="S89" s="82"/>
      <c r="U89" s="37" t="e">
        <f t="shared" si="5"/>
        <v>#VALUE!</v>
      </c>
    </row>
    <row r="90" spans="1:21" x14ac:dyDescent="0.25">
      <c r="A90" s="31" t="str">
        <f>IF(Table!A90 = "","",Table!A90)</f>
        <v/>
      </c>
      <c r="B90" s="31" t="str">
        <f>IF(Table!B90 = "","",Table!B90)</f>
        <v/>
      </c>
      <c r="C90" s="31" t="str">
        <f>IF(Table!C90 = "","",Table!C90)</f>
        <v/>
      </c>
      <c r="D90" s="32" t="str">
        <f>IF(Table!D90 = "","",Table!D90)</f>
        <v/>
      </c>
      <c r="E90" s="32" t="str">
        <f>IF(Table!E90 = "","",Table!E90)</f>
        <v/>
      </c>
      <c r="F90" s="32" t="str">
        <f>IF(Table!F90 = "","",Table!F90)</f>
        <v/>
      </c>
      <c r="G90" s="91"/>
      <c r="I90" s="84" t="str">
        <f>IFERROR(VLOOKUP(A90,Downlink!A:L,12,TRUE),"")</f>
        <v/>
      </c>
      <c r="K90" s="31" t="str">
        <f>IFERROR(VLOOKUP(A90,Table!$I$4:$O$3000,1,TRUE),"")</f>
        <v/>
      </c>
      <c r="L90" s="31" t="str">
        <f>IFERROR(INDEX(Table!I:O,MATCH(K90,Table!I:I,0),2),"")</f>
        <v/>
      </c>
      <c r="M90" s="31" t="str">
        <f>IFERROR(INDEX(Table!I:O,MATCH(K90,Table!I:I,0),3),"")</f>
        <v/>
      </c>
      <c r="N90" s="32" t="str">
        <f>IFERROR(INDEX(Table!I:O,MATCH(K90,Table!I:I,0),4),"")</f>
        <v/>
      </c>
      <c r="O90" s="32" t="str">
        <f>IFERROR(INDEX(Table!I:O,MATCH(K90,Table!I:I,0),5),"")</f>
        <v/>
      </c>
      <c r="P90" s="32" t="str">
        <f>IFERROR(INDEX(Table!I:O,MATCH(K90,Table!I:I,0),6),"")</f>
        <v/>
      </c>
      <c r="Q90" s="89" t="str">
        <f t="shared" si="3"/>
        <v/>
      </c>
      <c r="R90" s="89" t="str">
        <f t="shared" si="4"/>
        <v/>
      </c>
      <c r="S90" s="82"/>
      <c r="U90" s="37" t="e">
        <f t="shared" si="5"/>
        <v>#VALUE!</v>
      </c>
    </row>
    <row r="91" spans="1:21" x14ac:dyDescent="0.25">
      <c r="A91" s="31" t="str">
        <f>IF(Table!A91 = "","",Table!A91)</f>
        <v/>
      </c>
      <c r="B91" s="31" t="str">
        <f>IF(Table!B91 = "","",Table!B91)</f>
        <v/>
      </c>
      <c r="C91" s="31" t="str">
        <f>IF(Table!C91 = "","",Table!C91)</f>
        <v/>
      </c>
      <c r="D91" s="32" t="str">
        <f>IF(Table!D91 = "","",Table!D91)</f>
        <v/>
      </c>
      <c r="E91" s="32" t="str">
        <f>IF(Table!E91 = "","",Table!E91)</f>
        <v/>
      </c>
      <c r="F91" s="32" t="str">
        <f>IF(Table!F91 = "","",Table!F91)</f>
        <v/>
      </c>
      <c r="G91" s="91"/>
      <c r="I91" s="84" t="str">
        <f>IFERROR(VLOOKUP(A91,Downlink!A:L,12,TRUE),"")</f>
        <v/>
      </c>
      <c r="K91" s="31" t="str">
        <f>IFERROR(VLOOKUP(A91,Table!$I$4:$O$3000,1,TRUE),"")</f>
        <v/>
      </c>
      <c r="L91" s="31" t="str">
        <f>IFERROR(INDEX(Table!I:O,MATCH(K91,Table!I:I,0),2),"")</f>
        <v/>
      </c>
      <c r="M91" s="31" t="str">
        <f>IFERROR(INDEX(Table!I:O,MATCH(K91,Table!I:I,0),3),"")</f>
        <v/>
      </c>
      <c r="N91" s="32" t="str">
        <f>IFERROR(INDEX(Table!I:O,MATCH(K91,Table!I:I,0),4),"")</f>
        <v/>
      </c>
      <c r="O91" s="32" t="str">
        <f>IFERROR(INDEX(Table!I:O,MATCH(K91,Table!I:I,0),5),"")</f>
        <v/>
      </c>
      <c r="P91" s="32" t="str">
        <f>IFERROR(INDEX(Table!I:O,MATCH(K91,Table!I:I,0),6),"")</f>
        <v/>
      </c>
      <c r="Q91" s="89" t="str">
        <f t="shared" si="3"/>
        <v/>
      </c>
      <c r="R91" s="89" t="str">
        <f t="shared" si="4"/>
        <v/>
      </c>
      <c r="S91" s="82"/>
      <c r="U91" s="37" t="e">
        <f t="shared" si="5"/>
        <v>#VALUE!</v>
      </c>
    </row>
    <row r="92" spans="1:21" x14ac:dyDescent="0.25">
      <c r="A92" s="31" t="str">
        <f>IF(Table!A92 = "","",Table!A92)</f>
        <v/>
      </c>
      <c r="B92" s="31" t="str">
        <f>IF(Table!B92 = "","",Table!B92)</f>
        <v/>
      </c>
      <c r="C92" s="31" t="str">
        <f>IF(Table!C92 = "","",Table!C92)</f>
        <v/>
      </c>
      <c r="D92" s="32" t="str">
        <f>IF(Table!D92 = "","",Table!D92)</f>
        <v/>
      </c>
      <c r="E92" s="32" t="str">
        <f>IF(Table!E92 = "","",Table!E92)</f>
        <v/>
      </c>
      <c r="F92" s="32" t="str">
        <f>IF(Table!F92 = "","",Table!F92)</f>
        <v/>
      </c>
      <c r="G92" s="91"/>
      <c r="I92" s="84" t="str">
        <f>IFERROR(VLOOKUP(A92,Downlink!A:L,12,TRUE),"")</f>
        <v/>
      </c>
      <c r="K92" s="31" t="str">
        <f>IFERROR(VLOOKUP(A92,Table!$I$4:$O$3000,1,TRUE),"")</f>
        <v/>
      </c>
      <c r="L92" s="31" t="str">
        <f>IFERROR(INDEX(Table!I:O,MATCH(K92,Table!I:I,0),2),"")</f>
        <v/>
      </c>
      <c r="M92" s="31" t="str">
        <f>IFERROR(INDEX(Table!I:O,MATCH(K92,Table!I:I,0),3),"")</f>
        <v/>
      </c>
      <c r="N92" s="32" t="str">
        <f>IFERROR(INDEX(Table!I:O,MATCH(K92,Table!I:I,0),4),"")</f>
        <v/>
      </c>
      <c r="O92" s="32" t="str">
        <f>IFERROR(INDEX(Table!I:O,MATCH(K92,Table!I:I,0),5),"")</f>
        <v/>
      </c>
      <c r="P92" s="32" t="str">
        <f>IFERROR(INDEX(Table!I:O,MATCH(K92,Table!I:I,0),6),"")</f>
        <v/>
      </c>
      <c r="Q92" s="89" t="str">
        <f t="shared" si="3"/>
        <v/>
      </c>
      <c r="R92" s="89" t="str">
        <f t="shared" si="4"/>
        <v/>
      </c>
      <c r="S92" s="82"/>
      <c r="U92" s="37" t="e">
        <f t="shared" si="5"/>
        <v>#VALUE!</v>
      </c>
    </row>
    <row r="93" spans="1:21" x14ac:dyDescent="0.25">
      <c r="A93" s="31" t="str">
        <f>IF(Table!A93 = "","",Table!A93)</f>
        <v/>
      </c>
      <c r="B93" s="31" t="str">
        <f>IF(Table!B93 = "","",Table!B93)</f>
        <v/>
      </c>
      <c r="C93" s="31" t="str">
        <f>IF(Table!C93 = "","",Table!C93)</f>
        <v/>
      </c>
      <c r="D93" s="32" t="str">
        <f>IF(Table!D93 = "","",Table!D93)</f>
        <v/>
      </c>
      <c r="E93" s="32" t="str">
        <f>IF(Table!E93 = "","",Table!E93)</f>
        <v/>
      </c>
      <c r="F93" s="32" t="str">
        <f>IF(Table!F93 = "","",Table!F93)</f>
        <v/>
      </c>
      <c r="G93" s="91"/>
      <c r="I93" s="84" t="str">
        <f>IFERROR(VLOOKUP(A93,Downlink!A:L,12,TRUE),"")</f>
        <v/>
      </c>
      <c r="K93" s="31" t="str">
        <f>IFERROR(VLOOKUP(A93,Table!$I$4:$O$3000,1,TRUE),"")</f>
        <v/>
      </c>
      <c r="L93" s="31" t="str">
        <f>IFERROR(INDEX(Table!I:O,MATCH(K93,Table!I:I,0),2),"")</f>
        <v/>
      </c>
      <c r="M93" s="31" t="str">
        <f>IFERROR(INDEX(Table!I:O,MATCH(K93,Table!I:I,0),3),"")</f>
        <v/>
      </c>
      <c r="N93" s="32" t="str">
        <f>IFERROR(INDEX(Table!I:O,MATCH(K93,Table!I:I,0),4),"")</f>
        <v/>
      </c>
      <c r="O93" s="32" t="str">
        <f>IFERROR(INDEX(Table!I:O,MATCH(K93,Table!I:I,0),5),"")</f>
        <v/>
      </c>
      <c r="P93" s="32" t="str">
        <f>IFERROR(INDEX(Table!I:O,MATCH(K93,Table!I:I,0),6),"")</f>
        <v/>
      </c>
      <c r="Q93" s="89" t="str">
        <f t="shared" si="3"/>
        <v/>
      </c>
      <c r="R93" s="89" t="str">
        <f t="shared" si="4"/>
        <v/>
      </c>
      <c r="S93" s="82"/>
      <c r="U93" s="37" t="e">
        <f t="shared" si="5"/>
        <v>#VALUE!</v>
      </c>
    </row>
    <row r="94" spans="1:21" x14ac:dyDescent="0.25">
      <c r="A94" s="31" t="str">
        <f>IF(Table!A94 = "","",Table!A94)</f>
        <v/>
      </c>
      <c r="B94" s="31" t="str">
        <f>IF(Table!B94 = "","",Table!B94)</f>
        <v/>
      </c>
      <c r="C94" s="31" t="str">
        <f>IF(Table!C94 = "","",Table!C94)</f>
        <v/>
      </c>
      <c r="D94" s="32" t="str">
        <f>IF(Table!D94 = "","",Table!D94)</f>
        <v/>
      </c>
      <c r="E94" s="32" t="str">
        <f>IF(Table!E94 = "","",Table!E94)</f>
        <v/>
      </c>
      <c r="F94" s="32" t="str">
        <f>IF(Table!F94 = "","",Table!F94)</f>
        <v/>
      </c>
      <c r="G94" s="91"/>
      <c r="I94" s="84" t="str">
        <f>IFERROR(VLOOKUP(A94,Downlink!A:L,12,TRUE),"")</f>
        <v/>
      </c>
      <c r="K94" s="31" t="str">
        <f>IFERROR(VLOOKUP(A94,Table!$I$4:$O$3000,1,TRUE),"")</f>
        <v/>
      </c>
      <c r="L94" s="31" t="str">
        <f>IFERROR(INDEX(Table!I:O,MATCH(K94,Table!I:I,0),2),"")</f>
        <v/>
      </c>
      <c r="M94" s="31" t="str">
        <f>IFERROR(INDEX(Table!I:O,MATCH(K94,Table!I:I,0),3),"")</f>
        <v/>
      </c>
      <c r="N94" s="32" t="str">
        <f>IFERROR(INDEX(Table!I:O,MATCH(K94,Table!I:I,0),4),"")</f>
        <v/>
      </c>
      <c r="O94" s="32" t="str">
        <f>IFERROR(INDEX(Table!I:O,MATCH(K94,Table!I:I,0),5),"")</f>
        <v/>
      </c>
      <c r="P94" s="32" t="str">
        <f>IFERROR(INDEX(Table!I:O,MATCH(K94,Table!I:I,0),6),"")</f>
        <v/>
      </c>
      <c r="Q94" s="89" t="str">
        <f t="shared" si="3"/>
        <v/>
      </c>
      <c r="R94" s="89" t="str">
        <f t="shared" si="4"/>
        <v/>
      </c>
      <c r="S94" s="82"/>
      <c r="U94" s="37" t="e">
        <f t="shared" si="5"/>
        <v>#VALUE!</v>
      </c>
    </row>
    <row r="95" spans="1:21" x14ac:dyDescent="0.25">
      <c r="A95" s="31" t="str">
        <f>IF(Table!A95 = "","",Table!A95)</f>
        <v/>
      </c>
      <c r="B95" s="31" t="str">
        <f>IF(Table!B95 = "","",Table!B95)</f>
        <v/>
      </c>
      <c r="C95" s="31" t="str">
        <f>IF(Table!C95 = "","",Table!C95)</f>
        <v/>
      </c>
      <c r="D95" s="32" t="str">
        <f>IF(Table!D95 = "","",Table!D95)</f>
        <v/>
      </c>
      <c r="E95" s="32" t="str">
        <f>IF(Table!E95 = "","",Table!E95)</f>
        <v/>
      </c>
      <c r="F95" s="32" t="str">
        <f>IF(Table!F95 = "","",Table!F95)</f>
        <v/>
      </c>
      <c r="G95" s="91"/>
      <c r="I95" s="84" t="str">
        <f>IFERROR(VLOOKUP(A95,Downlink!A:L,12,TRUE),"")</f>
        <v/>
      </c>
      <c r="K95" s="31" t="str">
        <f>IFERROR(VLOOKUP(A95,Table!$I$4:$O$3000,1,TRUE),"")</f>
        <v/>
      </c>
      <c r="L95" s="31" t="str">
        <f>IFERROR(INDEX(Table!I:O,MATCH(K95,Table!I:I,0),2),"")</f>
        <v/>
      </c>
      <c r="M95" s="31" t="str">
        <f>IFERROR(INDEX(Table!I:O,MATCH(K95,Table!I:I,0),3),"")</f>
        <v/>
      </c>
      <c r="N95" s="32" t="str">
        <f>IFERROR(INDEX(Table!I:O,MATCH(K95,Table!I:I,0),4),"")</f>
        <v/>
      </c>
      <c r="O95" s="32" t="str">
        <f>IFERROR(INDEX(Table!I:O,MATCH(K95,Table!I:I,0),5),"")</f>
        <v/>
      </c>
      <c r="P95" s="32" t="str">
        <f>IFERROR(INDEX(Table!I:O,MATCH(K95,Table!I:I,0),6),"")</f>
        <v/>
      </c>
      <c r="Q95" s="89" t="str">
        <f t="shared" si="3"/>
        <v/>
      </c>
      <c r="R95" s="89" t="str">
        <f t="shared" si="4"/>
        <v/>
      </c>
      <c r="S95" s="82"/>
      <c r="U95" s="37" t="e">
        <f t="shared" si="5"/>
        <v>#VALUE!</v>
      </c>
    </row>
    <row r="96" spans="1:21" x14ac:dyDescent="0.25">
      <c r="A96" s="31" t="str">
        <f>IF(Table!A96 = "","",Table!A96)</f>
        <v/>
      </c>
      <c r="B96" s="31" t="str">
        <f>IF(Table!B96 = "","",Table!B96)</f>
        <v/>
      </c>
      <c r="C96" s="31" t="str">
        <f>IF(Table!C96 = "","",Table!C96)</f>
        <v/>
      </c>
      <c r="D96" s="32" t="str">
        <f>IF(Table!D96 = "","",Table!D96)</f>
        <v/>
      </c>
      <c r="E96" s="32" t="str">
        <f>IF(Table!E96 = "","",Table!E96)</f>
        <v/>
      </c>
      <c r="F96" s="32" t="str">
        <f>IF(Table!F96 = "","",Table!F96)</f>
        <v/>
      </c>
      <c r="G96" s="91"/>
      <c r="I96" s="84" t="str">
        <f>IFERROR(VLOOKUP(A96,Downlink!A:L,12,TRUE),"")</f>
        <v/>
      </c>
      <c r="K96" s="31" t="str">
        <f>IFERROR(VLOOKUP(A96,Table!$I$4:$O$3000,1,TRUE),"")</f>
        <v/>
      </c>
      <c r="L96" s="31" t="str">
        <f>IFERROR(INDEX(Table!I:O,MATCH(K96,Table!I:I,0),2),"")</f>
        <v/>
      </c>
      <c r="M96" s="31" t="str">
        <f>IFERROR(INDEX(Table!I:O,MATCH(K96,Table!I:I,0),3),"")</f>
        <v/>
      </c>
      <c r="N96" s="32" t="str">
        <f>IFERROR(INDEX(Table!I:O,MATCH(K96,Table!I:I,0),4),"")</f>
        <v/>
      </c>
      <c r="O96" s="32" t="str">
        <f>IFERROR(INDEX(Table!I:O,MATCH(K96,Table!I:I,0),5),"")</f>
        <v/>
      </c>
      <c r="P96" s="32" t="str">
        <f>IFERROR(INDEX(Table!I:O,MATCH(K96,Table!I:I,0),6),"")</f>
        <v/>
      </c>
      <c r="Q96" s="89" t="str">
        <f t="shared" si="3"/>
        <v/>
      </c>
      <c r="R96" s="89" t="str">
        <f t="shared" si="4"/>
        <v/>
      </c>
      <c r="S96" s="82"/>
      <c r="U96" s="37" t="e">
        <f t="shared" si="5"/>
        <v>#VALUE!</v>
      </c>
    </row>
    <row r="97" spans="1:21" x14ac:dyDescent="0.25">
      <c r="A97" s="31" t="str">
        <f>IF(Table!A97 = "","",Table!A97)</f>
        <v/>
      </c>
      <c r="B97" s="31" t="str">
        <f>IF(Table!B97 = "","",Table!B97)</f>
        <v/>
      </c>
      <c r="C97" s="31" t="str">
        <f>IF(Table!C97 = "","",Table!C97)</f>
        <v/>
      </c>
      <c r="D97" s="32" t="str">
        <f>IF(Table!D97 = "","",Table!D97)</f>
        <v/>
      </c>
      <c r="E97" s="32" t="str">
        <f>IF(Table!E97 = "","",Table!E97)</f>
        <v/>
      </c>
      <c r="F97" s="32" t="str">
        <f>IF(Table!F97 = "","",Table!F97)</f>
        <v/>
      </c>
      <c r="G97" s="91"/>
      <c r="I97" s="84" t="str">
        <f>IFERROR(VLOOKUP(A97,Downlink!A:L,12,TRUE),"")</f>
        <v/>
      </c>
      <c r="K97" s="31" t="str">
        <f>IFERROR(VLOOKUP(A97,Table!$I$4:$O$3000,1,TRUE),"")</f>
        <v/>
      </c>
      <c r="L97" s="31" t="str">
        <f>IFERROR(INDEX(Table!I:O,MATCH(K97,Table!I:I,0),2),"")</f>
        <v/>
      </c>
      <c r="M97" s="31" t="str">
        <f>IFERROR(INDEX(Table!I:O,MATCH(K97,Table!I:I,0),3),"")</f>
        <v/>
      </c>
      <c r="N97" s="32" t="str">
        <f>IFERROR(INDEX(Table!I:O,MATCH(K97,Table!I:I,0),4),"")</f>
        <v/>
      </c>
      <c r="O97" s="32" t="str">
        <f>IFERROR(INDEX(Table!I:O,MATCH(K97,Table!I:I,0),5),"")</f>
        <v/>
      </c>
      <c r="P97" s="32" t="str">
        <f>IFERROR(INDEX(Table!I:O,MATCH(K97,Table!I:I,0),6),"")</f>
        <v/>
      </c>
      <c r="Q97" s="89" t="str">
        <f t="shared" si="3"/>
        <v/>
      </c>
      <c r="R97" s="89" t="str">
        <f t="shared" si="4"/>
        <v/>
      </c>
      <c r="S97" s="82"/>
      <c r="U97" s="37" t="e">
        <f t="shared" si="5"/>
        <v>#VALUE!</v>
      </c>
    </row>
    <row r="98" spans="1:21" x14ac:dyDescent="0.25">
      <c r="A98" s="31" t="str">
        <f>IF(Table!A98 = "","",Table!A98)</f>
        <v/>
      </c>
      <c r="B98" s="31" t="str">
        <f>IF(Table!B98 = "","",Table!B98)</f>
        <v/>
      </c>
      <c r="C98" s="31" t="str">
        <f>IF(Table!C98 = "","",Table!C98)</f>
        <v/>
      </c>
      <c r="D98" s="32" t="str">
        <f>IF(Table!D98 = "","",Table!D98)</f>
        <v/>
      </c>
      <c r="E98" s="32" t="str">
        <f>IF(Table!E98 = "","",Table!E98)</f>
        <v/>
      </c>
      <c r="F98" s="32" t="str">
        <f>IF(Table!F98 = "","",Table!F98)</f>
        <v/>
      </c>
      <c r="G98" s="91"/>
      <c r="I98" s="84" t="str">
        <f>IFERROR(VLOOKUP(A98,Downlink!A:L,12,TRUE),"")</f>
        <v/>
      </c>
      <c r="K98" s="31" t="str">
        <f>IFERROR(VLOOKUP(A98,Table!$I$4:$O$3000,1,TRUE),"")</f>
        <v/>
      </c>
      <c r="L98" s="31" t="str">
        <f>IFERROR(INDEX(Table!I:O,MATCH(K98,Table!I:I,0),2),"")</f>
        <v/>
      </c>
      <c r="M98" s="31" t="str">
        <f>IFERROR(INDEX(Table!I:O,MATCH(K98,Table!I:I,0),3),"")</f>
        <v/>
      </c>
      <c r="N98" s="32" t="str">
        <f>IFERROR(INDEX(Table!I:O,MATCH(K98,Table!I:I,0),4),"")</f>
        <v/>
      </c>
      <c r="O98" s="32" t="str">
        <f>IFERROR(INDEX(Table!I:O,MATCH(K98,Table!I:I,0),5),"")</f>
        <v/>
      </c>
      <c r="P98" s="32" t="str">
        <f>IFERROR(INDEX(Table!I:O,MATCH(K98,Table!I:I,0),6),"")</f>
        <v/>
      </c>
      <c r="Q98" s="89" t="str">
        <f t="shared" si="3"/>
        <v/>
      </c>
      <c r="R98" s="89" t="str">
        <f t="shared" si="4"/>
        <v/>
      </c>
      <c r="S98" s="82"/>
      <c r="U98" s="37" t="e">
        <f t="shared" si="5"/>
        <v>#VALUE!</v>
      </c>
    </row>
    <row r="99" spans="1:21" x14ac:dyDescent="0.25">
      <c r="A99" s="31" t="str">
        <f>IF(Table!A99 = "","",Table!A99)</f>
        <v/>
      </c>
      <c r="B99" s="31" t="str">
        <f>IF(Table!B99 = "","",Table!B99)</f>
        <v/>
      </c>
      <c r="C99" s="31" t="str">
        <f>IF(Table!C99 = "","",Table!C99)</f>
        <v/>
      </c>
      <c r="D99" s="32" t="str">
        <f>IF(Table!D99 = "","",Table!D99)</f>
        <v/>
      </c>
      <c r="E99" s="32" t="str">
        <f>IF(Table!E99 = "","",Table!E99)</f>
        <v/>
      </c>
      <c r="F99" s="32" t="str">
        <f>IF(Table!F99 = "","",Table!F99)</f>
        <v/>
      </c>
      <c r="G99" s="91"/>
      <c r="I99" s="84" t="str">
        <f>IFERROR(VLOOKUP(A99,Downlink!A:L,12,TRUE),"")</f>
        <v/>
      </c>
      <c r="K99" s="31" t="str">
        <f>IFERROR(VLOOKUP(A99,Table!$I$4:$O$3000,1,TRUE),"")</f>
        <v/>
      </c>
      <c r="L99" s="31" t="str">
        <f>IFERROR(INDEX(Table!I:O,MATCH(K99,Table!I:I,0),2),"")</f>
        <v/>
      </c>
      <c r="M99" s="31" t="str">
        <f>IFERROR(INDEX(Table!I:O,MATCH(K99,Table!I:I,0),3),"")</f>
        <v/>
      </c>
      <c r="N99" s="32" t="str">
        <f>IFERROR(INDEX(Table!I:O,MATCH(K99,Table!I:I,0),4),"")</f>
        <v/>
      </c>
      <c r="O99" s="32" t="str">
        <f>IFERROR(INDEX(Table!I:O,MATCH(K99,Table!I:I,0),5),"")</f>
        <v/>
      </c>
      <c r="P99" s="32" t="str">
        <f>IFERROR(INDEX(Table!I:O,MATCH(K99,Table!I:I,0),6),"")</f>
        <v/>
      </c>
      <c r="Q99" s="89" t="str">
        <f t="shared" si="3"/>
        <v/>
      </c>
      <c r="R99" s="89" t="str">
        <f t="shared" si="4"/>
        <v/>
      </c>
      <c r="S99" s="82"/>
      <c r="U99" s="37" t="e">
        <f t="shared" si="5"/>
        <v>#VALUE!</v>
      </c>
    </row>
    <row r="100" spans="1:21" x14ac:dyDescent="0.25">
      <c r="A100" s="31" t="str">
        <f>IF(Table!A100 = "","",Table!A100)</f>
        <v/>
      </c>
      <c r="B100" s="31" t="str">
        <f>IF(Table!B100 = "","",Table!B100)</f>
        <v/>
      </c>
      <c r="C100" s="31" t="str">
        <f>IF(Table!C100 = "","",Table!C100)</f>
        <v/>
      </c>
      <c r="D100" s="32" t="str">
        <f>IF(Table!D100 = "","",Table!D100)</f>
        <v/>
      </c>
      <c r="E100" s="32" t="str">
        <f>IF(Table!E100 = "","",Table!E100)</f>
        <v/>
      </c>
      <c r="F100" s="32" t="str">
        <f>IF(Table!F100 = "","",Table!F100)</f>
        <v/>
      </c>
      <c r="G100" s="91"/>
      <c r="I100" s="84" t="str">
        <f>IFERROR(VLOOKUP(A100,Downlink!A:L,12,TRUE),"")</f>
        <v/>
      </c>
      <c r="K100" s="31" t="str">
        <f>IFERROR(VLOOKUP(A100,Table!$I$4:$O$3000,1,TRUE),"")</f>
        <v/>
      </c>
      <c r="L100" s="31" t="str">
        <f>IFERROR(INDEX(Table!I:O,MATCH(K100,Table!I:I,0),2),"")</f>
        <v/>
      </c>
      <c r="M100" s="31" t="str">
        <f>IFERROR(INDEX(Table!I:O,MATCH(K100,Table!I:I,0),3),"")</f>
        <v/>
      </c>
      <c r="N100" s="32" t="str">
        <f>IFERROR(INDEX(Table!I:O,MATCH(K100,Table!I:I,0),4),"")</f>
        <v/>
      </c>
      <c r="O100" s="32" t="str">
        <f>IFERROR(INDEX(Table!I:O,MATCH(K100,Table!I:I,0),5),"")</f>
        <v/>
      </c>
      <c r="P100" s="32" t="str">
        <f>IFERROR(INDEX(Table!I:O,MATCH(K100,Table!I:I,0),6),"")</f>
        <v/>
      </c>
      <c r="Q100" s="89" t="str">
        <f t="shared" si="3"/>
        <v/>
      </c>
      <c r="R100" s="89" t="str">
        <f t="shared" si="4"/>
        <v/>
      </c>
      <c r="S100" s="82"/>
      <c r="U100" s="37" t="e">
        <f t="shared" si="5"/>
        <v>#VALUE!</v>
      </c>
    </row>
    <row r="101" spans="1:21" x14ac:dyDescent="0.25">
      <c r="A101" s="31" t="str">
        <f>IF(Table!A101 = "","",Table!A101)</f>
        <v/>
      </c>
      <c r="B101" s="31" t="str">
        <f>IF(Table!B101 = "","",Table!B101)</f>
        <v/>
      </c>
      <c r="C101" s="31" t="str">
        <f>IF(Table!C101 = "","",Table!C101)</f>
        <v/>
      </c>
      <c r="D101" s="32" t="str">
        <f>IF(Table!D101 = "","",Table!D101)</f>
        <v/>
      </c>
      <c r="E101" s="32" t="str">
        <f>IF(Table!E101 = "","",Table!E101)</f>
        <v/>
      </c>
      <c r="F101" s="32" t="str">
        <f>IF(Table!F101 = "","",Table!F101)</f>
        <v/>
      </c>
      <c r="G101" s="91"/>
      <c r="I101" s="84" t="str">
        <f>IFERROR(VLOOKUP(A101,Downlink!A:L,12,TRUE),"")</f>
        <v/>
      </c>
      <c r="K101" s="31" t="str">
        <f>IFERROR(VLOOKUP(A101,Table!$I$4:$O$3000,1,TRUE),"")</f>
        <v/>
      </c>
      <c r="L101" s="31" t="str">
        <f>IFERROR(INDEX(Table!I:O,MATCH(K101,Table!I:I,0),2),"")</f>
        <v/>
      </c>
      <c r="M101" s="31" t="str">
        <f>IFERROR(INDEX(Table!I:O,MATCH(K101,Table!I:I,0),3),"")</f>
        <v/>
      </c>
      <c r="N101" s="32" t="str">
        <f>IFERROR(INDEX(Table!I:O,MATCH(K101,Table!I:I,0),4),"")</f>
        <v/>
      </c>
      <c r="O101" s="32" t="str">
        <f>IFERROR(INDEX(Table!I:O,MATCH(K101,Table!I:I,0),5),"")</f>
        <v/>
      </c>
      <c r="P101" s="32" t="str">
        <f>IFERROR(INDEX(Table!I:O,MATCH(K101,Table!I:I,0),6),"")</f>
        <v/>
      </c>
      <c r="Q101" s="89" t="str">
        <f t="shared" si="3"/>
        <v/>
      </c>
      <c r="R101" s="89" t="str">
        <f t="shared" si="4"/>
        <v/>
      </c>
      <c r="S101" s="82"/>
      <c r="U101" s="37" t="e">
        <f t="shared" si="5"/>
        <v>#VALUE!</v>
      </c>
    </row>
    <row r="102" spans="1:21" x14ac:dyDescent="0.25">
      <c r="A102" s="31" t="str">
        <f>IF(Table!A102 = "","",Table!A102)</f>
        <v/>
      </c>
      <c r="B102" s="31" t="str">
        <f>IF(Table!B102 = "","",Table!B102)</f>
        <v/>
      </c>
      <c r="C102" s="31" t="str">
        <f>IF(Table!C102 = "","",Table!C102)</f>
        <v/>
      </c>
      <c r="D102" s="32" t="str">
        <f>IF(Table!D102 = "","",Table!D102)</f>
        <v/>
      </c>
      <c r="E102" s="32" t="str">
        <f>IF(Table!E102 = "","",Table!E102)</f>
        <v/>
      </c>
      <c r="F102" s="32" t="str">
        <f>IF(Table!F102 = "","",Table!F102)</f>
        <v/>
      </c>
      <c r="G102" s="91"/>
      <c r="I102" s="84" t="str">
        <f>IFERROR(VLOOKUP(A102,Downlink!A:L,12,TRUE),"")</f>
        <v/>
      </c>
      <c r="K102" s="31" t="str">
        <f>IFERROR(VLOOKUP(A102,Table!$I$4:$O$3000,1,TRUE),"")</f>
        <v/>
      </c>
      <c r="L102" s="31" t="str">
        <f>IFERROR(INDEX(Table!I:O,MATCH(K102,Table!I:I,0),2),"")</f>
        <v/>
      </c>
      <c r="M102" s="31" t="str">
        <f>IFERROR(INDEX(Table!I:O,MATCH(K102,Table!I:I,0),3),"")</f>
        <v/>
      </c>
      <c r="N102" s="32" t="str">
        <f>IFERROR(INDEX(Table!I:O,MATCH(K102,Table!I:I,0),4),"")</f>
        <v/>
      </c>
      <c r="O102" s="32" t="str">
        <f>IFERROR(INDEX(Table!I:O,MATCH(K102,Table!I:I,0),5),"")</f>
        <v/>
      </c>
      <c r="P102" s="32" t="str">
        <f>IFERROR(INDEX(Table!I:O,MATCH(K102,Table!I:I,0),6),"")</f>
        <v/>
      </c>
      <c r="Q102" s="89" t="str">
        <f t="shared" si="3"/>
        <v/>
      </c>
      <c r="R102" s="89" t="str">
        <f t="shared" si="4"/>
        <v/>
      </c>
      <c r="S102" s="82"/>
      <c r="U102" s="37" t="e">
        <f t="shared" si="5"/>
        <v>#VALUE!</v>
      </c>
    </row>
    <row r="103" spans="1:21" x14ac:dyDescent="0.25">
      <c r="A103" s="31" t="str">
        <f>IF(Table!A103 = "","",Table!A103)</f>
        <v/>
      </c>
      <c r="B103" s="31" t="str">
        <f>IF(Table!B103 = "","",Table!B103)</f>
        <v/>
      </c>
      <c r="C103" s="31" t="str">
        <f>IF(Table!C103 = "","",Table!C103)</f>
        <v/>
      </c>
      <c r="D103" s="32" t="str">
        <f>IF(Table!D103 = "","",Table!D103)</f>
        <v/>
      </c>
      <c r="E103" s="32" t="str">
        <f>IF(Table!E103 = "","",Table!E103)</f>
        <v/>
      </c>
      <c r="F103" s="32" t="str">
        <f>IF(Table!F103 = "","",Table!F103)</f>
        <v/>
      </c>
      <c r="G103" s="91"/>
      <c r="I103" s="84" t="str">
        <f>IFERROR(VLOOKUP(A103,Downlink!A:L,12,TRUE),"")</f>
        <v/>
      </c>
      <c r="K103" s="31" t="str">
        <f>IFERROR(VLOOKUP(A103,Table!$I$4:$O$3000,1,TRUE),"")</f>
        <v/>
      </c>
      <c r="L103" s="31" t="str">
        <f>IFERROR(INDEX(Table!I:O,MATCH(K103,Table!I:I,0),2),"")</f>
        <v/>
      </c>
      <c r="M103" s="31" t="str">
        <f>IFERROR(INDEX(Table!I:O,MATCH(K103,Table!I:I,0),3),"")</f>
        <v/>
      </c>
      <c r="N103" s="32" t="str">
        <f>IFERROR(INDEX(Table!I:O,MATCH(K103,Table!I:I,0),4),"")</f>
        <v/>
      </c>
      <c r="O103" s="32" t="str">
        <f>IFERROR(INDEX(Table!I:O,MATCH(K103,Table!I:I,0),5),"")</f>
        <v/>
      </c>
      <c r="P103" s="32" t="str">
        <f>IFERROR(INDEX(Table!I:O,MATCH(K103,Table!I:I,0),6),"")</f>
        <v/>
      </c>
      <c r="Q103" s="89" t="str">
        <f t="shared" si="3"/>
        <v/>
      </c>
      <c r="R103" s="89" t="str">
        <f t="shared" si="4"/>
        <v/>
      </c>
      <c r="S103" s="82"/>
      <c r="U103" s="37" t="e">
        <f t="shared" si="5"/>
        <v>#VALUE!</v>
      </c>
    </row>
    <row r="104" spans="1:21" x14ac:dyDescent="0.25">
      <c r="A104" s="31" t="str">
        <f>IF(Table!A104 = "","",Table!A104)</f>
        <v/>
      </c>
      <c r="B104" s="31" t="str">
        <f>IF(Table!B104 = "","",Table!B104)</f>
        <v/>
      </c>
      <c r="C104" s="31" t="str">
        <f>IF(Table!C104 = "","",Table!C104)</f>
        <v/>
      </c>
      <c r="D104" s="32" t="str">
        <f>IF(Table!D104 = "","",Table!D104)</f>
        <v/>
      </c>
      <c r="E104" s="32" t="str">
        <f>IF(Table!E104 = "","",Table!E104)</f>
        <v/>
      </c>
      <c r="F104" s="32" t="str">
        <f>IF(Table!F104 = "","",Table!F104)</f>
        <v/>
      </c>
      <c r="G104" s="91"/>
      <c r="I104" s="84" t="str">
        <f>IFERROR(VLOOKUP(A104,Downlink!A:L,12,TRUE),"")</f>
        <v/>
      </c>
      <c r="K104" s="31" t="str">
        <f>IFERROR(VLOOKUP(A104,Table!$I$4:$O$3000,1,TRUE),"")</f>
        <v/>
      </c>
      <c r="L104" s="31" t="str">
        <f>IFERROR(INDEX(Table!I:O,MATCH(K104,Table!I:I,0),2),"")</f>
        <v/>
      </c>
      <c r="M104" s="31" t="str">
        <f>IFERROR(INDEX(Table!I:O,MATCH(K104,Table!I:I,0),3),"")</f>
        <v/>
      </c>
      <c r="N104" s="32" t="str">
        <f>IFERROR(INDEX(Table!I:O,MATCH(K104,Table!I:I,0),4),"")</f>
        <v/>
      </c>
      <c r="O104" s="32" t="str">
        <f>IFERROR(INDEX(Table!I:O,MATCH(K104,Table!I:I,0),5),"")</f>
        <v/>
      </c>
      <c r="P104" s="32" t="str">
        <f>IFERROR(INDEX(Table!I:O,MATCH(K104,Table!I:I,0),6),"")</f>
        <v/>
      </c>
      <c r="Q104" s="89" t="str">
        <f t="shared" si="3"/>
        <v/>
      </c>
      <c r="R104" s="89" t="str">
        <f t="shared" si="4"/>
        <v/>
      </c>
      <c r="S104" s="82"/>
      <c r="U104" s="37" t="e">
        <f t="shared" si="5"/>
        <v>#VALUE!</v>
      </c>
    </row>
    <row r="105" spans="1:21" x14ac:dyDescent="0.25">
      <c r="A105" s="31" t="str">
        <f>IF(Table!A105 = "","",Table!A105)</f>
        <v/>
      </c>
      <c r="B105" s="31" t="str">
        <f>IF(Table!B105 = "","",Table!B105)</f>
        <v/>
      </c>
      <c r="C105" s="31" t="str">
        <f>IF(Table!C105 = "","",Table!C105)</f>
        <v/>
      </c>
      <c r="D105" s="32" t="str">
        <f>IF(Table!D105 = "","",Table!D105)</f>
        <v/>
      </c>
      <c r="E105" s="32" t="str">
        <f>IF(Table!E105 = "","",Table!E105)</f>
        <v/>
      </c>
      <c r="F105" s="32" t="str">
        <f>IF(Table!F105 = "","",Table!F105)</f>
        <v/>
      </c>
      <c r="G105" s="91"/>
      <c r="I105" s="84" t="str">
        <f>IFERROR(VLOOKUP(A105,Downlink!A:L,12,TRUE),"")</f>
        <v/>
      </c>
      <c r="K105" s="31" t="str">
        <f>IFERROR(VLOOKUP(A105,Table!$I$4:$O$3000,1,TRUE),"")</f>
        <v/>
      </c>
      <c r="L105" s="31" t="str">
        <f>IFERROR(INDEX(Table!I:O,MATCH(K105,Table!I:I,0),2),"")</f>
        <v/>
      </c>
      <c r="M105" s="31" t="str">
        <f>IFERROR(INDEX(Table!I:O,MATCH(K105,Table!I:I,0),3),"")</f>
        <v/>
      </c>
      <c r="N105" s="32" t="str">
        <f>IFERROR(INDEX(Table!I:O,MATCH(K105,Table!I:I,0),4),"")</f>
        <v/>
      </c>
      <c r="O105" s="32" t="str">
        <f>IFERROR(INDEX(Table!I:O,MATCH(K105,Table!I:I,0),5),"")</f>
        <v/>
      </c>
      <c r="P105" s="32" t="str">
        <f>IFERROR(INDEX(Table!I:O,MATCH(K105,Table!I:I,0),6),"")</f>
        <v/>
      </c>
      <c r="Q105" s="89" t="str">
        <f t="shared" si="3"/>
        <v/>
      </c>
      <c r="R105" s="89" t="str">
        <f t="shared" si="4"/>
        <v/>
      </c>
      <c r="S105" s="82"/>
      <c r="U105" s="37" t="e">
        <f t="shared" si="5"/>
        <v>#VALUE!</v>
      </c>
    </row>
    <row r="106" spans="1:21" x14ac:dyDescent="0.25">
      <c r="A106" s="31" t="str">
        <f>IF(Table!A106 = "","",Table!A106)</f>
        <v/>
      </c>
      <c r="B106" s="31" t="str">
        <f>IF(Table!B106 = "","",Table!B106)</f>
        <v/>
      </c>
      <c r="C106" s="31" t="str">
        <f>IF(Table!C106 = "","",Table!C106)</f>
        <v/>
      </c>
      <c r="D106" s="32" t="str">
        <f>IF(Table!D106 = "","",Table!D106)</f>
        <v/>
      </c>
      <c r="E106" s="32" t="str">
        <f>IF(Table!E106 = "","",Table!E106)</f>
        <v/>
      </c>
      <c r="F106" s="32" t="str">
        <f>IF(Table!F106 = "","",Table!F106)</f>
        <v/>
      </c>
      <c r="G106" s="91"/>
      <c r="I106" s="84" t="str">
        <f>IFERROR(VLOOKUP(A106,Downlink!A:L,12,TRUE),"")</f>
        <v/>
      </c>
      <c r="K106" s="31" t="str">
        <f>IFERROR(VLOOKUP(A106,Table!$I$4:$O$3000,1,TRUE),"")</f>
        <v/>
      </c>
      <c r="L106" s="31" t="str">
        <f>IFERROR(INDEX(Table!I:O,MATCH(K106,Table!I:I,0),2),"")</f>
        <v/>
      </c>
      <c r="M106" s="31" t="str">
        <f>IFERROR(INDEX(Table!I:O,MATCH(K106,Table!I:I,0),3),"")</f>
        <v/>
      </c>
      <c r="N106" s="32" t="str">
        <f>IFERROR(INDEX(Table!I:O,MATCH(K106,Table!I:I,0),4),"")</f>
        <v/>
      </c>
      <c r="O106" s="32" t="str">
        <f>IFERROR(INDEX(Table!I:O,MATCH(K106,Table!I:I,0),5),"")</f>
        <v/>
      </c>
      <c r="P106" s="32" t="str">
        <f>IFERROR(INDEX(Table!I:O,MATCH(K106,Table!I:I,0),6),"")</f>
        <v/>
      </c>
      <c r="Q106" s="89" t="str">
        <f t="shared" si="3"/>
        <v/>
      </c>
      <c r="R106" s="89" t="str">
        <f t="shared" si="4"/>
        <v/>
      </c>
      <c r="S106" s="82"/>
      <c r="U106" s="37" t="e">
        <f t="shared" si="5"/>
        <v>#VALUE!</v>
      </c>
    </row>
    <row r="107" spans="1:21" x14ac:dyDescent="0.25">
      <c r="A107" s="31" t="str">
        <f>IF(Table!A107 = "","",Table!A107)</f>
        <v/>
      </c>
      <c r="B107" s="31" t="str">
        <f>IF(Table!B107 = "","",Table!B107)</f>
        <v/>
      </c>
      <c r="C107" s="31" t="str">
        <f>IF(Table!C107 = "","",Table!C107)</f>
        <v/>
      </c>
      <c r="D107" s="32" t="str">
        <f>IF(Table!D107 = "","",Table!D107)</f>
        <v/>
      </c>
      <c r="E107" s="32" t="str">
        <f>IF(Table!E107 = "","",Table!E107)</f>
        <v/>
      </c>
      <c r="F107" s="32" t="str">
        <f>IF(Table!F107 = "","",Table!F107)</f>
        <v/>
      </c>
      <c r="G107" s="91"/>
      <c r="I107" s="84" t="str">
        <f>IFERROR(VLOOKUP(A107,Downlink!A:L,12,TRUE),"")</f>
        <v/>
      </c>
      <c r="K107" s="31" t="str">
        <f>IFERROR(VLOOKUP(A107,Table!$I$4:$O$3000,1,TRUE),"")</f>
        <v/>
      </c>
      <c r="L107" s="31" t="str">
        <f>IFERROR(INDEX(Table!I:O,MATCH(K107,Table!I:I,0),2),"")</f>
        <v/>
      </c>
      <c r="M107" s="31" t="str">
        <f>IFERROR(INDEX(Table!I:O,MATCH(K107,Table!I:I,0),3),"")</f>
        <v/>
      </c>
      <c r="N107" s="32" t="str">
        <f>IFERROR(INDEX(Table!I:O,MATCH(K107,Table!I:I,0),4),"")</f>
        <v/>
      </c>
      <c r="O107" s="32" t="str">
        <f>IFERROR(INDEX(Table!I:O,MATCH(K107,Table!I:I,0),5),"")</f>
        <v/>
      </c>
      <c r="P107" s="32" t="str">
        <f>IFERROR(INDEX(Table!I:O,MATCH(K107,Table!I:I,0),6),"")</f>
        <v/>
      </c>
      <c r="Q107" s="89" t="str">
        <f t="shared" si="3"/>
        <v/>
      </c>
      <c r="R107" s="89" t="str">
        <f t="shared" si="4"/>
        <v/>
      </c>
      <c r="S107" s="82"/>
      <c r="U107" s="37" t="e">
        <f t="shared" si="5"/>
        <v>#VALUE!</v>
      </c>
    </row>
    <row r="108" spans="1:21" x14ac:dyDescent="0.25">
      <c r="A108" s="31" t="str">
        <f>IF(Table!A108 = "","",Table!A108)</f>
        <v/>
      </c>
      <c r="B108" s="31" t="str">
        <f>IF(Table!B108 = "","",Table!B108)</f>
        <v/>
      </c>
      <c r="C108" s="31" t="str">
        <f>IF(Table!C108 = "","",Table!C108)</f>
        <v/>
      </c>
      <c r="D108" s="32" t="str">
        <f>IF(Table!D108 = "","",Table!D108)</f>
        <v/>
      </c>
      <c r="E108" s="32" t="str">
        <f>IF(Table!E108 = "","",Table!E108)</f>
        <v/>
      </c>
      <c r="F108" s="32" t="str">
        <f>IF(Table!F108 = "","",Table!F108)</f>
        <v/>
      </c>
      <c r="G108" s="91"/>
      <c r="I108" s="84" t="str">
        <f>IFERROR(VLOOKUP(A108,Downlink!A:L,12,TRUE),"")</f>
        <v/>
      </c>
      <c r="K108" s="31" t="str">
        <f>IFERROR(VLOOKUP(A108,Table!$I$4:$O$3000,1,TRUE),"")</f>
        <v/>
      </c>
      <c r="L108" s="31" t="str">
        <f>IFERROR(INDEX(Table!I:O,MATCH(K108,Table!I:I,0),2),"")</f>
        <v/>
      </c>
      <c r="M108" s="31" t="str">
        <f>IFERROR(INDEX(Table!I:O,MATCH(K108,Table!I:I,0),3),"")</f>
        <v/>
      </c>
      <c r="N108" s="32" t="str">
        <f>IFERROR(INDEX(Table!I:O,MATCH(K108,Table!I:I,0),4),"")</f>
        <v/>
      </c>
      <c r="O108" s="32" t="str">
        <f>IFERROR(INDEX(Table!I:O,MATCH(K108,Table!I:I,0),5),"")</f>
        <v/>
      </c>
      <c r="P108" s="32" t="str">
        <f>IFERROR(INDEX(Table!I:O,MATCH(K108,Table!I:I,0),6),"")</f>
        <v/>
      </c>
      <c r="Q108" s="89" t="str">
        <f t="shared" si="3"/>
        <v/>
      </c>
      <c r="R108" s="89" t="str">
        <f t="shared" si="4"/>
        <v/>
      </c>
      <c r="S108" s="82"/>
      <c r="U108" s="37" t="e">
        <f t="shared" si="5"/>
        <v>#VALUE!</v>
      </c>
    </row>
    <row r="109" spans="1:21" x14ac:dyDescent="0.25">
      <c r="A109" s="31" t="str">
        <f>IF(Table!A109 = "","",Table!A109)</f>
        <v/>
      </c>
      <c r="B109" s="31" t="str">
        <f>IF(Table!B109 = "","",Table!B109)</f>
        <v/>
      </c>
      <c r="C109" s="31" t="str">
        <f>IF(Table!C109 = "","",Table!C109)</f>
        <v/>
      </c>
      <c r="D109" s="32" t="str">
        <f>IF(Table!D109 = "","",Table!D109)</f>
        <v/>
      </c>
      <c r="E109" s="32" t="str">
        <f>IF(Table!E109 = "","",Table!E109)</f>
        <v/>
      </c>
      <c r="F109" s="32" t="str">
        <f>IF(Table!F109 = "","",Table!F109)</f>
        <v/>
      </c>
      <c r="G109" s="91"/>
      <c r="I109" s="84" t="str">
        <f>IFERROR(VLOOKUP(A109,Downlink!A:L,12,TRUE),"")</f>
        <v/>
      </c>
      <c r="K109" s="31" t="str">
        <f>IFERROR(VLOOKUP(A109,Table!$I$4:$O$3000,1,TRUE),"")</f>
        <v/>
      </c>
      <c r="L109" s="31" t="str">
        <f>IFERROR(INDEX(Table!I:O,MATCH(K109,Table!I:I,0),2),"")</f>
        <v/>
      </c>
      <c r="M109" s="31" t="str">
        <f>IFERROR(INDEX(Table!I:O,MATCH(K109,Table!I:I,0),3),"")</f>
        <v/>
      </c>
      <c r="N109" s="32" t="str">
        <f>IFERROR(INDEX(Table!I:O,MATCH(K109,Table!I:I,0),4),"")</f>
        <v/>
      </c>
      <c r="O109" s="32" t="str">
        <f>IFERROR(INDEX(Table!I:O,MATCH(K109,Table!I:I,0),5),"")</f>
        <v/>
      </c>
      <c r="P109" s="32" t="str">
        <f>IFERROR(INDEX(Table!I:O,MATCH(K109,Table!I:I,0),6),"")</f>
        <v/>
      </c>
      <c r="Q109" s="89" t="str">
        <f t="shared" si="3"/>
        <v/>
      </c>
      <c r="R109" s="89" t="str">
        <f t="shared" si="4"/>
        <v/>
      </c>
      <c r="S109" s="82"/>
      <c r="U109" s="37" t="e">
        <f t="shared" si="5"/>
        <v>#VALUE!</v>
      </c>
    </row>
    <row r="110" spans="1:21" x14ac:dyDescent="0.25">
      <c r="A110" s="31" t="str">
        <f>IF(Table!A110 = "","",Table!A110)</f>
        <v/>
      </c>
      <c r="B110" s="31" t="str">
        <f>IF(Table!B110 = "","",Table!B110)</f>
        <v/>
      </c>
      <c r="C110" s="31" t="str">
        <f>IF(Table!C110 = "","",Table!C110)</f>
        <v/>
      </c>
      <c r="D110" s="32" t="str">
        <f>IF(Table!D110 = "","",Table!D110)</f>
        <v/>
      </c>
      <c r="E110" s="32" t="str">
        <f>IF(Table!E110 = "","",Table!E110)</f>
        <v/>
      </c>
      <c r="F110" s="32" t="str">
        <f>IF(Table!F110 = "","",Table!F110)</f>
        <v/>
      </c>
      <c r="G110" s="91"/>
      <c r="I110" s="84" t="str">
        <f>IFERROR(VLOOKUP(A110,Downlink!A:L,12,TRUE),"")</f>
        <v/>
      </c>
      <c r="K110" s="31" t="str">
        <f>IFERROR(VLOOKUP(A110,Table!$I$4:$O$3000,1,TRUE),"")</f>
        <v/>
      </c>
      <c r="L110" s="31" t="str">
        <f>IFERROR(INDEX(Table!I:O,MATCH(K110,Table!I:I,0),2),"")</f>
        <v/>
      </c>
      <c r="M110" s="31" t="str">
        <f>IFERROR(INDEX(Table!I:O,MATCH(K110,Table!I:I,0),3),"")</f>
        <v/>
      </c>
      <c r="N110" s="32" t="str">
        <f>IFERROR(INDEX(Table!I:O,MATCH(K110,Table!I:I,0),4),"")</f>
        <v/>
      </c>
      <c r="O110" s="32" t="str">
        <f>IFERROR(INDEX(Table!I:O,MATCH(K110,Table!I:I,0),5),"")</f>
        <v/>
      </c>
      <c r="P110" s="32" t="str">
        <f>IFERROR(INDEX(Table!I:O,MATCH(K110,Table!I:I,0),6),"")</f>
        <v/>
      </c>
      <c r="Q110" s="89" t="str">
        <f t="shared" si="3"/>
        <v/>
      </c>
      <c r="R110" s="89" t="str">
        <f t="shared" si="4"/>
        <v/>
      </c>
      <c r="S110" s="82"/>
      <c r="U110" s="37" t="e">
        <f t="shared" si="5"/>
        <v>#VALUE!</v>
      </c>
    </row>
    <row r="111" spans="1:21" x14ac:dyDescent="0.25">
      <c r="A111" s="31" t="str">
        <f>IF(Table!A111 = "","",Table!A111)</f>
        <v/>
      </c>
      <c r="B111" s="31" t="str">
        <f>IF(Table!B111 = "","",Table!B111)</f>
        <v/>
      </c>
      <c r="C111" s="31" t="str">
        <f>IF(Table!C111 = "","",Table!C111)</f>
        <v/>
      </c>
      <c r="D111" s="32" t="str">
        <f>IF(Table!D111 = "","",Table!D111)</f>
        <v/>
      </c>
      <c r="E111" s="32" t="str">
        <f>IF(Table!E111 = "","",Table!E111)</f>
        <v/>
      </c>
      <c r="F111" s="32" t="str">
        <f>IF(Table!F111 = "","",Table!F111)</f>
        <v/>
      </c>
      <c r="G111" s="91"/>
      <c r="I111" s="84" t="str">
        <f>IFERROR(VLOOKUP(A111,Downlink!A:L,12,TRUE),"")</f>
        <v/>
      </c>
      <c r="K111" s="31" t="str">
        <f>IFERROR(VLOOKUP(A111,Table!$I$4:$O$3000,1,TRUE),"")</f>
        <v/>
      </c>
      <c r="L111" s="31" t="str">
        <f>IFERROR(INDEX(Table!I:O,MATCH(K111,Table!I:I,0),2),"")</f>
        <v/>
      </c>
      <c r="M111" s="31" t="str">
        <f>IFERROR(INDEX(Table!I:O,MATCH(K111,Table!I:I,0),3),"")</f>
        <v/>
      </c>
      <c r="N111" s="32" t="str">
        <f>IFERROR(INDEX(Table!I:O,MATCH(K111,Table!I:I,0),4),"")</f>
        <v/>
      </c>
      <c r="O111" s="32" t="str">
        <f>IFERROR(INDEX(Table!I:O,MATCH(K111,Table!I:I,0),5),"")</f>
        <v/>
      </c>
      <c r="P111" s="32" t="str">
        <f>IFERROR(INDEX(Table!I:O,MATCH(K111,Table!I:I,0),6),"")</f>
        <v/>
      </c>
      <c r="Q111" s="89" t="str">
        <f t="shared" si="3"/>
        <v/>
      </c>
      <c r="R111" s="89" t="str">
        <f t="shared" si="4"/>
        <v/>
      </c>
      <c r="S111" s="82"/>
      <c r="U111" s="37" t="e">
        <f t="shared" si="5"/>
        <v>#VALUE!</v>
      </c>
    </row>
    <row r="112" spans="1:21" x14ac:dyDescent="0.25">
      <c r="A112" s="31" t="str">
        <f>IF(Table!A112 = "","",Table!A112)</f>
        <v/>
      </c>
      <c r="B112" s="31" t="str">
        <f>IF(Table!B112 = "","",Table!B112)</f>
        <v/>
      </c>
      <c r="C112" s="31" t="str">
        <f>IF(Table!C112 = "","",Table!C112)</f>
        <v/>
      </c>
      <c r="D112" s="32" t="str">
        <f>IF(Table!D112 = "","",Table!D112)</f>
        <v/>
      </c>
      <c r="E112" s="32" t="str">
        <f>IF(Table!E112 = "","",Table!E112)</f>
        <v/>
      </c>
      <c r="F112" s="32" t="str">
        <f>IF(Table!F112 = "","",Table!F112)</f>
        <v/>
      </c>
      <c r="G112" s="91"/>
      <c r="I112" s="84" t="str">
        <f>IFERROR(VLOOKUP(A112,Downlink!A:L,12,TRUE),"")</f>
        <v/>
      </c>
      <c r="K112" s="31" t="str">
        <f>IFERROR(VLOOKUP(A112,Table!$I$4:$O$3000,1,TRUE),"")</f>
        <v/>
      </c>
      <c r="L112" s="31" t="str">
        <f>IFERROR(INDEX(Table!I:O,MATCH(K112,Table!I:I,0),2),"")</f>
        <v/>
      </c>
      <c r="M112" s="31" t="str">
        <f>IFERROR(INDEX(Table!I:O,MATCH(K112,Table!I:I,0),3),"")</f>
        <v/>
      </c>
      <c r="N112" s="32" t="str">
        <f>IFERROR(INDEX(Table!I:O,MATCH(K112,Table!I:I,0),4),"")</f>
        <v/>
      </c>
      <c r="O112" s="32" t="str">
        <f>IFERROR(INDEX(Table!I:O,MATCH(K112,Table!I:I,0),5),"")</f>
        <v/>
      </c>
      <c r="P112" s="32" t="str">
        <f>IFERROR(INDEX(Table!I:O,MATCH(K112,Table!I:I,0),6),"")</f>
        <v/>
      </c>
      <c r="Q112" s="89" t="str">
        <f t="shared" si="3"/>
        <v/>
      </c>
      <c r="R112" s="89" t="str">
        <f t="shared" si="4"/>
        <v/>
      </c>
      <c r="S112" s="82"/>
      <c r="U112" s="37" t="e">
        <f t="shared" si="5"/>
        <v>#VALUE!</v>
      </c>
    </row>
    <row r="113" spans="1:21" x14ac:dyDescent="0.25">
      <c r="A113" s="31" t="str">
        <f>IF(Table!A113 = "","",Table!A113)</f>
        <v/>
      </c>
      <c r="B113" s="31" t="str">
        <f>IF(Table!B113 = "","",Table!B113)</f>
        <v/>
      </c>
      <c r="C113" s="31" t="str">
        <f>IF(Table!C113 = "","",Table!C113)</f>
        <v/>
      </c>
      <c r="D113" s="32" t="str">
        <f>IF(Table!D113 = "","",Table!D113)</f>
        <v/>
      </c>
      <c r="E113" s="32" t="str">
        <f>IF(Table!E113 = "","",Table!E113)</f>
        <v/>
      </c>
      <c r="F113" s="32" t="str">
        <f>IF(Table!F113 = "","",Table!F113)</f>
        <v/>
      </c>
      <c r="G113" s="91"/>
      <c r="I113" s="84" t="str">
        <f>IFERROR(VLOOKUP(A113,Downlink!A:L,12,TRUE),"")</f>
        <v/>
      </c>
      <c r="K113" s="31" t="str">
        <f>IFERROR(VLOOKUP(A113,Table!$I$4:$O$3000,1,TRUE),"")</f>
        <v/>
      </c>
      <c r="L113" s="31" t="str">
        <f>IFERROR(INDEX(Table!I:O,MATCH(K113,Table!I:I,0),2),"")</f>
        <v/>
      </c>
      <c r="M113" s="31" t="str">
        <f>IFERROR(INDEX(Table!I:O,MATCH(K113,Table!I:I,0),3),"")</f>
        <v/>
      </c>
      <c r="N113" s="32" t="str">
        <f>IFERROR(INDEX(Table!I:O,MATCH(K113,Table!I:I,0),4),"")</f>
        <v/>
      </c>
      <c r="O113" s="32" t="str">
        <f>IFERROR(INDEX(Table!I:O,MATCH(K113,Table!I:I,0),5),"")</f>
        <v/>
      </c>
      <c r="P113" s="32" t="str">
        <f>IFERROR(INDEX(Table!I:O,MATCH(K113,Table!I:I,0),6),"")</f>
        <v/>
      </c>
      <c r="Q113" s="89" t="str">
        <f t="shared" si="3"/>
        <v/>
      </c>
      <c r="R113" s="89" t="str">
        <f t="shared" si="4"/>
        <v/>
      </c>
      <c r="S113" s="82"/>
      <c r="U113" s="37" t="e">
        <f t="shared" si="5"/>
        <v>#VALUE!</v>
      </c>
    </row>
    <row r="114" spans="1:21" x14ac:dyDescent="0.25">
      <c r="A114" s="31" t="str">
        <f>IF(Table!A114 = "","",Table!A114)</f>
        <v/>
      </c>
      <c r="B114" s="31" t="str">
        <f>IF(Table!B114 = "","",Table!B114)</f>
        <v/>
      </c>
      <c r="C114" s="31" t="str">
        <f>IF(Table!C114 = "","",Table!C114)</f>
        <v/>
      </c>
      <c r="D114" s="32" t="str">
        <f>IF(Table!D114 = "","",Table!D114)</f>
        <v/>
      </c>
      <c r="E114" s="32" t="str">
        <f>IF(Table!E114 = "","",Table!E114)</f>
        <v/>
      </c>
      <c r="F114" s="32" t="str">
        <f>IF(Table!F114 = "","",Table!F114)</f>
        <v/>
      </c>
      <c r="G114" s="91"/>
      <c r="I114" s="84" t="str">
        <f>IFERROR(VLOOKUP(A114,Downlink!A:L,12,TRUE),"")</f>
        <v/>
      </c>
      <c r="K114" s="31" t="str">
        <f>IFERROR(VLOOKUP(A114,Table!$I$4:$O$3000,1,TRUE),"")</f>
        <v/>
      </c>
      <c r="L114" s="31" t="str">
        <f>IFERROR(INDEX(Table!I:O,MATCH(K114,Table!I:I,0),2),"")</f>
        <v/>
      </c>
      <c r="M114" s="31" t="str">
        <f>IFERROR(INDEX(Table!I:O,MATCH(K114,Table!I:I,0),3),"")</f>
        <v/>
      </c>
      <c r="N114" s="32" t="str">
        <f>IFERROR(INDEX(Table!I:O,MATCH(K114,Table!I:I,0),4),"")</f>
        <v/>
      </c>
      <c r="O114" s="32" t="str">
        <f>IFERROR(INDEX(Table!I:O,MATCH(K114,Table!I:I,0),5),"")</f>
        <v/>
      </c>
      <c r="P114" s="32" t="str">
        <f>IFERROR(INDEX(Table!I:O,MATCH(K114,Table!I:I,0),6),"")</f>
        <v/>
      </c>
      <c r="Q114" s="89" t="str">
        <f t="shared" si="3"/>
        <v/>
      </c>
      <c r="R114" s="89" t="str">
        <f t="shared" si="4"/>
        <v/>
      </c>
      <c r="S114" s="82"/>
      <c r="U114" s="37" t="e">
        <f t="shared" si="5"/>
        <v>#VALUE!</v>
      </c>
    </row>
    <row r="115" spans="1:21" x14ac:dyDescent="0.25">
      <c r="A115" s="31" t="str">
        <f>IF(Table!A115 = "","",Table!A115)</f>
        <v/>
      </c>
      <c r="B115" s="31" t="str">
        <f>IF(Table!B115 = "","",Table!B115)</f>
        <v/>
      </c>
      <c r="C115" s="31" t="str">
        <f>IF(Table!C115 = "","",Table!C115)</f>
        <v/>
      </c>
      <c r="D115" s="32" t="str">
        <f>IF(Table!D115 = "","",Table!D115)</f>
        <v/>
      </c>
      <c r="E115" s="32" t="str">
        <f>IF(Table!E115 = "","",Table!E115)</f>
        <v/>
      </c>
      <c r="F115" s="32" t="str">
        <f>IF(Table!F115 = "","",Table!F115)</f>
        <v/>
      </c>
      <c r="G115" s="91"/>
      <c r="I115" s="84" t="str">
        <f>IFERROR(VLOOKUP(A115,Downlink!A:L,12,TRUE),"")</f>
        <v/>
      </c>
      <c r="K115" s="31" t="str">
        <f>IFERROR(VLOOKUP(A115,Table!$I$4:$O$3000,1,TRUE),"")</f>
        <v/>
      </c>
      <c r="L115" s="31" t="str">
        <f>IFERROR(INDEX(Table!I:O,MATCH(K115,Table!I:I,0),2),"")</f>
        <v/>
      </c>
      <c r="M115" s="31" t="str">
        <f>IFERROR(INDEX(Table!I:O,MATCH(K115,Table!I:I,0),3),"")</f>
        <v/>
      </c>
      <c r="N115" s="32" t="str">
        <f>IFERROR(INDEX(Table!I:O,MATCH(K115,Table!I:I,0),4),"")</f>
        <v/>
      </c>
      <c r="O115" s="32" t="str">
        <f>IFERROR(INDEX(Table!I:O,MATCH(K115,Table!I:I,0),5),"")</f>
        <v/>
      </c>
      <c r="P115" s="32" t="str">
        <f>IFERROR(INDEX(Table!I:O,MATCH(K115,Table!I:I,0),6),"")</f>
        <v/>
      </c>
      <c r="Q115" s="89" t="str">
        <f t="shared" si="3"/>
        <v/>
      </c>
      <c r="R115" s="89" t="str">
        <f t="shared" si="4"/>
        <v/>
      </c>
      <c r="S115" s="82"/>
      <c r="U115" s="37" t="e">
        <f t="shared" si="5"/>
        <v>#VALUE!</v>
      </c>
    </row>
    <row r="116" spans="1:21" x14ac:dyDescent="0.25">
      <c r="A116" s="31" t="str">
        <f>IF(Table!A116 = "","",Table!A116)</f>
        <v/>
      </c>
      <c r="B116" s="31" t="str">
        <f>IF(Table!B116 = "","",Table!B116)</f>
        <v/>
      </c>
      <c r="C116" s="31" t="str">
        <f>IF(Table!C116 = "","",Table!C116)</f>
        <v/>
      </c>
      <c r="D116" s="32" t="str">
        <f>IF(Table!D116 = "","",Table!D116)</f>
        <v/>
      </c>
      <c r="E116" s="32" t="str">
        <f>IF(Table!E116 = "","",Table!E116)</f>
        <v/>
      </c>
      <c r="F116" s="32" t="str">
        <f>IF(Table!F116 = "","",Table!F116)</f>
        <v/>
      </c>
      <c r="G116" s="91"/>
      <c r="I116" s="84" t="str">
        <f>IFERROR(VLOOKUP(A116,Downlink!A:L,12,TRUE),"")</f>
        <v/>
      </c>
      <c r="K116" s="31" t="str">
        <f>IFERROR(VLOOKUP(A116,Table!$I$4:$O$3000,1,TRUE),"")</f>
        <v/>
      </c>
      <c r="L116" s="31" t="str">
        <f>IFERROR(INDEX(Table!I:O,MATCH(K116,Table!I:I,0),2),"")</f>
        <v/>
      </c>
      <c r="M116" s="31" t="str">
        <f>IFERROR(INDEX(Table!I:O,MATCH(K116,Table!I:I,0),3),"")</f>
        <v/>
      </c>
      <c r="N116" s="32" t="str">
        <f>IFERROR(INDEX(Table!I:O,MATCH(K116,Table!I:I,0),4),"")</f>
        <v/>
      </c>
      <c r="O116" s="32" t="str">
        <f>IFERROR(INDEX(Table!I:O,MATCH(K116,Table!I:I,0),5),"")</f>
        <v/>
      </c>
      <c r="P116" s="32" t="str">
        <f>IFERROR(INDEX(Table!I:O,MATCH(K116,Table!I:I,0),6),"")</f>
        <v/>
      </c>
      <c r="Q116" s="89" t="str">
        <f t="shared" si="3"/>
        <v/>
      </c>
      <c r="R116" s="89" t="str">
        <f t="shared" si="4"/>
        <v/>
      </c>
      <c r="S116" s="82"/>
      <c r="U116" s="37" t="e">
        <f t="shared" si="5"/>
        <v>#VALUE!</v>
      </c>
    </row>
    <row r="117" spans="1:21" x14ac:dyDescent="0.25">
      <c r="A117" s="31" t="str">
        <f>IF(Table!A117 = "","",Table!A117)</f>
        <v/>
      </c>
      <c r="B117" s="31" t="str">
        <f>IF(Table!B117 = "","",Table!B117)</f>
        <v/>
      </c>
      <c r="C117" s="31" t="str">
        <f>IF(Table!C117 = "","",Table!C117)</f>
        <v/>
      </c>
      <c r="D117" s="32" t="str">
        <f>IF(Table!D117 = "","",Table!D117)</f>
        <v/>
      </c>
      <c r="E117" s="32" t="str">
        <f>IF(Table!E117 = "","",Table!E117)</f>
        <v/>
      </c>
      <c r="F117" s="32" t="str">
        <f>IF(Table!F117 = "","",Table!F117)</f>
        <v/>
      </c>
      <c r="G117" s="91"/>
      <c r="I117" s="84" t="str">
        <f>IFERROR(VLOOKUP(A117,Downlink!A:L,12,TRUE),"")</f>
        <v/>
      </c>
      <c r="K117" s="31" t="str">
        <f>IFERROR(VLOOKUP(A117,Table!$I$4:$O$3000,1,TRUE),"")</f>
        <v/>
      </c>
      <c r="L117" s="31" t="str">
        <f>IFERROR(INDEX(Table!I:O,MATCH(K117,Table!I:I,0),2),"")</f>
        <v/>
      </c>
      <c r="M117" s="31" t="str">
        <f>IFERROR(INDEX(Table!I:O,MATCH(K117,Table!I:I,0),3),"")</f>
        <v/>
      </c>
      <c r="N117" s="32" t="str">
        <f>IFERROR(INDEX(Table!I:O,MATCH(K117,Table!I:I,0),4),"")</f>
        <v/>
      </c>
      <c r="O117" s="32" t="str">
        <f>IFERROR(INDEX(Table!I:O,MATCH(K117,Table!I:I,0),5),"")</f>
        <v/>
      </c>
      <c r="P117" s="32" t="str">
        <f>IFERROR(INDEX(Table!I:O,MATCH(K117,Table!I:I,0),6),"")</f>
        <v/>
      </c>
      <c r="Q117" s="89" t="str">
        <f t="shared" si="3"/>
        <v/>
      </c>
      <c r="R117" s="89" t="str">
        <f t="shared" si="4"/>
        <v/>
      </c>
      <c r="S117" s="82"/>
      <c r="U117" s="37" t="e">
        <f t="shared" si="5"/>
        <v>#VALUE!</v>
      </c>
    </row>
    <row r="118" spans="1:21" x14ac:dyDescent="0.25">
      <c r="A118" s="31" t="str">
        <f>IF(Table!A118 = "","",Table!A118)</f>
        <v/>
      </c>
      <c r="B118" s="31" t="str">
        <f>IF(Table!B118 = "","",Table!B118)</f>
        <v/>
      </c>
      <c r="C118" s="31" t="str">
        <f>IF(Table!C118 = "","",Table!C118)</f>
        <v/>
      </c>
      <c r="D118" s="32" t="str">
        <f>IF(Table!D118 = "","",Table!D118)</f>
        <v/>
      </c>
      <c r="E118" s="32" t="str">
        <f>IF(Table!E118 = "","",Table!E118)</f>
        <v/>
      </c>
      <c r="F118" s="32" t="str">
        <f>IF(Table!F118 = "","",Table!F118)</f>
        <v/>
      </c>
      <c r="G118" s="91"/>
      <c r="I118" s="84" t="str">
        <f>IFERROR(VLOOKUP(A118,Downlink!A:L,12,TRUE),"")</f>
        <v/>
      </c>
      <c r="K118" s="31" t="str">
        <f>IFERROR(VLOOKUP(A118,Table!$I$4:$O$3000,1,TRUE),"")</f>
        <v/>
      </c>
      <c r="L118" s="31" t="str">
        <f>IFERROR(INDEX(Table!I:O,MATCH(K118,Table!I:I,0),2),"")</f>
        <v/>
      </c>
      <c r="M118" s="31" t="str">
        <f>IFERROR(INDEX(Table!I:O,MATCH(K118,Table!I:I,0),3),"")</f>
        <v/>
      </c>
      <c r="N118" s="32" t="str">
        <f>IFERROR(INDEX(Table!I:O,MATCH(K118,Table!I:I,0),4),"")</f>
        <v/>
      </c>
      <c r="O118" s="32" t="str">
        <f>IFERROR(INDEX(Table!I:O,MATCH(K118,Table!I:I,0),5),"")</f>
        <v/>
      </c>
      <c r="P118" s="32" t="str">
        <f>IFERROR(INDEX(Table!I:O,MATCH(K118,Table!I:I,0),6),"")</f>
        <v/>
      </c>
      <c r="Q118" s="89" t="str">
        <f t="shared" si="3"/>
        <v/>
      </c>
      <c r="R118" s="89" t="str">
        <f t="shared" si="4"/>
        <v/>
      </c>
      <c r="S118" s="82"/>
      <c r="U118" s="37" t="e">
        <f t="shared" si="5"/>
        <v>#VALUE!</v>
      </c>
    </row>
    <row r="119" spans="1:21" x14ac:dyDescent="0.25">
      <c r="A119" s="31" t="str">
        <f>IF(Table!A119 = "","",Table!A119)</f>
        <v/>
      </c>
      <c r="B119" s="31" t="str">
        <f>IF(Table!B119 = "","",Table!B119)</f>
        <v/>
      </c>
      <c r="C119" s="31" t="str">
        <f>IF(Table!C119 = "","",Table!C119)</f>
        <v/>
      </c>
      <c r="D119" s="32" t="str">
        <f>IF(Table!D119 = "","",Table!D119)</f>
        <v/>
      </c>
      <c r="E119" s="32" t="str">
        <f>IF(Table!E119 = "","",Table!E119)</f>
        <v/>
      </c>
      <c r="F119" s="32" t="str">
        <f>IF(Table!F119 = "","",Table!F119)</f>
        <v/>
      </c>
      <c r="G119" s="91"/>
      <c r="I119" s="84" t="str">
        <f>IFERROR(VLOOKUP(A119,Downlink!A:L,12,TRUE),"")</f>
        <v/>
      </c>
      <c r="K119" s="31" t="str">
        <f>IFERROR(VLOOKUP(A119,Table!$I$4:$O$3000,1,TRUE),"")</f>
        <v/>
      </c>
      <c r="L119" s="31" t="str">
        <f>IFERROR(INDEX(Table!I:O,MATCH(K119,Table!I:I,0),2),"")</f>
        <v/>
      </c>
      <c r="M119" s="31" t="str">
        <f>IFERROR(INDEX(Table!I:O,MATCH(K119,Table!I:I,0),3),"")</f>
        <v/>
      </c>
      <c r="N119" s="32" t="str">
        <f>IFERROR(INDEX(Table!I:O,MATCH(K119,Table!I:I,0),4),"")</f>
        <v/>
      </c>
      <c r="O119" s="32" t="str">
        <f>IFERROR(INDEX(Table!I:O,MATCH(K119,Table!I:I,0),5),"")</f>
        <v/>
      </c>
      <c r="P119" s="32" t="str">
        <f>IFERROR(INDEX(Table!I:O,MATCH(K119,Table!I:I,0),6),"")</f>
        <v/>
      </c>
      <c r="Q119" s="89" t="str">
        <f t="shared" si="3"/>
        <v/>
      </c>
      <c r="R119" s="89" t="str">
        <f t="shared" si="4"/>
        <v/>
      </c>
      <c r="S119" s="82"/>
      <c r="U119" s="37" t="e">
        <f t="shared" si="5"/>
        <v>#VALUE!</v>
      </c>
    </row>
    <row r="120" spans="1:21" x14ac:dyDescent="0.25">
      <c r="A120" s="31" t="str">
        <f>IF(Table!A120 = "","",Table!A120)</f>
        <v/>
      </c>
      <c r="B120" s="31" t="str">
        <f>IF(Table!B120 = "","",Table!B120)</f>
        <v/>
      </c>
      <c r="C120" s="31" t="str">
        <f>IF(Table!C120 = "","",Table!C120)</f>
        <v/>
      </c>
      <c r="D120" s="32" t="str">
        <f>IF(Table!D120 = "","",Table!D120)</f>
        <v/>
      </c>
      <c r="E120" s="32" t="str">
        <f>IF(Table!E120 = "","",Table!E120)</f>
        <v/>
      </c>
      <c r="F120" s="32" t="str">
        <f>IF(Table!F120 = "","",Table!F120)</f>
        <v/>
      </c>
      <c r="G120" s="91"/>
      <c r="I120" s="84" t="str">
        <f>IFERROR(VLOOKUP(A120,Downlink!A:L,12,TRUE),"")</f>
        <v/>
      </c>
      <c r="K120" s="31" t="str">
        <f>IFERROR(VLOOKUP(A120,Table!$I$4:$O$3000,1,TRUE),"")</f>
        <v/>
      </c>
      <c r="L120" s="31" t="str">
        <f>IFERROR(INDEX(Table!I:O,MATCH(K120,Table!I:I,0),2),"")</f>
        <v/>
      </c>
      <c r="M120" s="31" t="str">
        <f>IFERROR(INDEX(Table!I:O,MATCH(K120,Table!I:I,0),3),"")</f>
        <v/>
      </c>
      <c r="N120" s="32" t="str">
        <f>IFERROR(INDEX(Table!I:O,MATCH(K120,Table!I:I,0),4),"")</f>
        <v/>
      </c>
      <c r="O120" s="32" t="str">
        <f>IFERROR(INDEX(Table!I:O,MATCH(K120,Table!I:I,0),5),"")</f>
        <v/>
      </c>
      <c r="P120" s="32" t="str">
        <f>IFERROR(INDEX(Table!I:O,MATCH(K120,Table!I:I,0),6),"")</f>
        <v/>
      </c>
      <c r="Q120" s="89" t="str">
        <f t="shared" si="3"/>
        <v/>
      </c>
      <c r="R120" s="89" t="str">
        <f t="shared" si="4"/>
        <v/>
      </c>
      <c r="S120" s="82"/>
      <c r="U120" s="37" t="e">
        <f t="shared" si="5"/>
        <v>#VALUE!</v>
      </c>
    </row>
    <row r="121" spans="1:21" x14ac:dyDescent="0.25">
      <c r="A121" s="31" t="str">
        <f>IF(Table!A121 = "","",Table!A121)</f>
        <v/>
      </c>
      <c r="B121" s="31" t="str">
        <f>IF(Table!B121 = "","",Table!B121)</f>
        <v/>
      </c>
      <c r="C121" s="31" t="str">
        <f>IF(Table!C121 = "","",Table!C121)</f>
        <v/>
      </c>
      <c r="D121" s="32" t="str">
        <f>IF(Table!D121 = "","",Table!D121)</f>
        <v/>
      </c>
      <c r="E121" s="32" t="str">
        <f>IF(Table!E121 = "","",Table!E121)</f>
        <v/>
      </c>
      <c r="F121" s="32" t="str">
        <f>IF(Table!F121 = "","",Table!F121)</f>
        <v/>
      </c>
      <c r="G121" s="91"/>
      <c r="I121" s="84" t="str">
        <f>IFERROR(VLOOKUP(A121,Downlink!A:L,12,TRUE),"")</f>
        <v/>
      </c>
      <c r="K121" s="31" t="str">
        <f>IFERROR(VLOOKUP(A121,Table!$I$4:$O$3000,1,TRUE),"")</f>
        <v/>
      </c>
      <c r="L121" s="31" t="str">
        <f>IFERROR(INDEX(Table!I:O,MATCH(K121,Table!I:I,0),2),"")</f>
        <v/>
      </c>
      <c r="M121" s="31" t="str">
        <f>IFERROR(INDEX(Table!I:O,MATCH(K121,Table!I:I,0),3),"")</f>
        <v/>
      </c>
      <c r="N121" s="32" t="str">
        <f>IFERROR(INDEX(Table!I:O,MATCH(K121,Table!I:I,0),4),"")</f>
        <v/>
      </c>
      <c r="O121" s="32" t="str">
        <f>IFERROR(INDEX(Table!I:O,MATCH(K121,Table!I:I,0),5),"")</f>
        <v/>
      </c>
      <c r="P121" s="32" t="str">
        <f>IFERROR(INDEX(Table!I:O,MATCH(K121,Table!I:I,0),6),"")</f>
        <v/>
      </c>
      <c r="Q121" s="89" t="str">
        <f t="shared" si="3"/>
        <v/>
      </c>
      <c r="R121" s="89" t="str">
        <f t="shared" si="4"/>
        <v/>
      </c>
      <c r="S121" s="82"/>
      <c r="U121" s="37" t="e">
        <f t="shared" si="5"/>
        <v>#VALUE!</v>
      </c>
    </row>
    <row r="122" spans="1:21" x14ac:dyDescent="0.25">
      <c r="A122" s="31" t="str">
        <f>IF(Table!A122 = "","",Table!A122)</f>
        <v/>
      </c>
      <c r="B122" s="31" t="str">
        <f>IF(Table!B122 = "","",Table!B122)</f>
        <v/>
      </c>
      <c r="C122" s="31" t="str">
        <f>IF(Table!C122 = "","",Table!C122)</f>
        <v/>
      </c>
      <c r="D122" s="32" t="str">
        <f>IF(Table!D122 = "","",Table!D122)</f>
        <v/>
      </c>
      <c r="E122" s="32" t="str">
        <f>IF(Table!E122 = "","",Table!E122)</f>
        <v/>
      </c>
      <c r="F122" s="32" t="str">
        <f>IF(Table!F122 = "","",Table!F122)</f>
        <v/>
      </c>
      <c r="G122" s="91"/>
      <c r="I122" s="84" t="str">
        <f>IFERROR(VLOOKUP(A122,Downlink!A:L,12,TRUE),"")</f>
        <v/>
      </c>
      <c r="K122" s="31" t="str">
        <f>IFERROR(VLOOKUP(A122,Table!$I$4:$O$3000,1,TRUE),"")</f>
        <v/>
      </c>
      <c r="L122" s="31" t="str">
        <f>IFERROR(INDEX(Table!I:O,MATCH(K122,Table!I:I,0),2),"")</f>
        <v/>
      </c>
      <c r="M122" s="31" t="str">
        <f>IFERROR(INDEX(Table!I:O,MATCH(K122,Table!I:I,0),3),"")</f>
        <v/>
      </c>
      <c r="N122" s="32" t="str">
        <f>IFERROR(INDEX(Table!I:O,MATCH(K122,Table!I:I,0),4),"")</f>
        <v/>
      </c>
      <c r="O122" s="32" t="str">
        <f>IFERROR(INDEX(Table!I:O,MATCH(K122,Table!I:I,0),5),"")</f>
        <v/>
      </c>
      <c r="P122" s="32" t="str">
        <f>IFERROR(INDEX(Table!I:O,MATCH(K122,Table!I:I,0),6),"")</f>
        <v/>
      </c>
      <c r="Q122" s="89" t="str">
        <f t="shared" si="3"/>
        <v/>
      </c>
      <c r="R122" s="89" t="str">
        <f t="shared" si="4"/>
        <v/>
      </c>
      <c r="S122" s="82"/>
      <c r="U122" s="37" t="e">
        <f t="shared" si="5"/>
        <v>#VALUE!</v>
      </c>
    </row>
    <row r="123" spans="1:21" x14ac:dyDescent="0.25">
      <c r="A123" s="31" t="str">
        <f>IF(Table!A123 = "","",Table!A123)</f>
        <v/>
      </c>
      <c r="B123" s="31" t="str">
        <f>IF(Table!B123 = "","",Table!B123)</f>
        <v/>
      </c>
      <c r="C123" s="31" t="str">
        <f>IF(Table!C123 = "","",Table!C123)</f>
        <v/>
      </c>
      <c r="D123" s="32" t="str">
        <f>IF(Table!D123 = "","",Table!D123)</f>
        <v/>
      </c>
      <c r="E123" s="32" t="str">
        <f>IF(Table!E123 = "","",Table!E123)</f>
        <v/>
      </c>
      <c r="F123" s="32" t="str">
        <f>IF(Table!F123 = "","",Table!F123)</f>
        <v/>
      </c>
      <c r="G123" s="91"/>
      <c r="I123" s="84" t="str">
        <f>IFERROR(VLOOKUP(A123,Downlink!A:L,12,TRUE),"")</f>
        <v/>
      </c>
      <c r="K123" s="31" t="str">
        <f>IFERROR(VLOOKUP(A123,Table!$I$4:$O$3000,1,TRUE),"")</f>
        <v/>
      </c>
      <c r="L123" s="31" t="str">
        <f>IFERROR(INDEX(Table!I:O,MATCH(K123,Table!I:I,0),2),"")</f>
        <v/>
      </c>
      <c r="M123" s="31" t="str">
        <f>IFERROR(INDEX(Table!I:O,MATCH(K123,Table!I:I,0),3),"")</f>
        <v/>
      </c>
      <c r="N123" s="32" t="str">
        <f>IFERROR(INDEX(Table!I:O,MATCH(K123,Table!I:I,0),4),"")</f>
        <v/>
      </c>
      <c r="O123" s="32" t="str">
        <f>IFERROR(INDEX(Table!I:O,MATCH(K123,Table!I:I,0),5),"")</f>
        <v/>
      </c>
      <c r="P123" s="32" t="str">
        <f>IFERROR(INDEX(Table!I:O,MATCH(K123,Table!I:I,0),6),"")</f>
        <v/>
      </c>
      <c r="Q123" s="89" t="str">
        <f t="shared" si="3"/>
        <v/>
      </c>
      <c r="R123" s="89" t="str">
        <f t="shared" si="4"/>
        <v/>
      </c>
      <c r="S123" s="82"/>
      <c r="U123" s="37" t="e">
        <f t="shared" si="5"/>
        <v>#VALUE!</v>
      </c>
    </row>
    <row r="124" spans="1:21" x14ac:dyDescent="0.25">
      <c r="A124" s="31" t="str">
        <f>IF(Table!A124 = "","",Table!A124)</f>
        <v/>
      </c>
      <c r="B124" s="31" t="str">
        <f>IF(Table!B124 = "","",Table!B124)</f>
        <v/>
      </c>
      <c r="C124" s="31" t="str">
        <f>IF(Table!C124 = "","",Table!C124)</f>
        <v/>
      </c>
      <c r="D124" s="32" t="str">
        <f>IF(Table!D124 = "","",Table!D124)</f>
        <v/>
      </c>
      <c r="E124" s="32" t="str">
        <f>IF(Table!E124 = "","",Table!E124)</f>
        <v/>
      </c>
      <c r="F124" s="32" t="str">
        <f>IF(Table!F124 = "","",Table!F124)</f>
        <v/>
      </c>
      <c r="G124" s="91"/>
      <c r="I124" s="84" t="str">
        <f>IFERROR(VLOOKUP(A124,Downlink!A:L,12,TRUE),"")</f>
        <v/>
      </c>
      <c r="K124" s="31" t="str">
        <f>IFERROR(VLOOKUP(A124,Table!$I$4:$O$3000,1,TRUE),"")</f>
        <v/>
      </c>
      <c r="L124" s="31" t="str">
        <f>IFERROR(INDEX(Table!I:O,MATCH(K124,Table!I:I,0),2),"")</f>
        <v/>
      </c>
      <c r="M124" s="31" t="str">
        <f>IFERROR(INDEX(Table!I:O,MATCH(K124,Table!I:I,0),3),"")</f>
        <v/>
      </c>
      <c r="N124" s="32" t="str">
        <f>IFERROR(INDEX(Table!I:O,MATCH(K124,Table!I:I,0),4),"")</f>
        <v/>
      </c>
      <c r="O124" s="32" t="str">
        <f>IFERROR(INDEX(Table!I:O,MATCH(K124,Table!I:I,0),5),"")</f>
        <v/>
      </c>
      <c r="P124" s="32" t="str">
        <f>IFERROR(INDEX(Table!I:O,MATCH(K124,Table!I:I,0),6),"")</f>
        <v/>
      </c>
      <c r="Q124" s="89" t="str">
        <f t="shared" si="3"/>
        <v/>
      </c>
      <c r="R124" s="89" t="str">
        <f t="shared" si="4"/>
        <v/>
      </c>
      <c r="S124" s="82"/>
      <c r="U124" s="37" t="e">
        <f t="shared" si="5"/>
        <v>#VALUE!</v>
      </c>
    </row>
    <row r="125" spans="1:21" x14ac:dyDescent="0.25">
      <c r="A125" s="31" t="str">
        <f>IF(Table!A125 = "","",Table!A125)</f>
        <v/>
      </c>
      <c r="B125" s="31" t="str">
        <f>IF(Table!B125 = "","",Table!B125)</f>
        <v/>
      </c>
      <c r="C125" s="31" t="str">
        <f>IF(Table!C125 = "","",Table!C125)</f>
        <v/>
      </c>
      <c r="D125" s="32" t="str">
        <f>IF(Table!D125 = "","",Table!D125)</f>
        <v/>
      </c>
      <c r="E125" s="32" t="str">
        <f>IF(Table!E125 = "","",Table!E125)</f>
        <v/>
      </c>
      <c r="F125" s="32" t="str">
        <f>IF(Table!F125 = "","",Table!F125)</f>
        <v/>
      </c>
      <c r="G125" s="91"/>
      <c r="I125" s="84" t="str">
        <f>IFERROR(VLOOKUP(A125,Downlink!A:L,12,TRUE),"")</f>
        <v/>
      </c>
      <c r="K125" s="31" t="str">
        <f>IFERROR(VLOOKUP(A125,Table!$I$4:$O$3000,1,TRUE),"")</f>
        <v/>
      </c>
      <c r="L125" s="31" t="str">
        <f>IFERROR(INDEX(Table!I:O,MATCH(K125,Table!I:I,0),2),"")</f>
        <v/>
      </c>
      <c r="M125" s="31" t="str">
        <f>IFERROR(INDEX(Table!I:O,MATCH(K125,Table!I:I,0),3),"")</f>
        <v/>
      </c>
      <c r="N125" s="32" t="str">
        <f>IFERROR(INDEX(Table!I:O,MATCH(K125,Table!I:I,0),4),"")</f>
        <v/>
      </c>
      <c r="O125" s="32" t="str">
        <f>IFERROR(INDEX(Table!I:O,MATCH(K125,Table!I:I,0),5),"")</f>
        <v/>
      </c>
      <c r="P125" s="32" t="str">
        <f>IFERROR(INDEX(Table!I:O,MATCH(K125,Table!I:I,0),6),"")</f>
        <v/>
      </c>
      <c r="Q125" s="89" t="str">
        <f t="shared" si="3"/>
        <v/>
      </c>
      <c r="R125" s="89" t="str">
        <f t="shared" si="4"/>
        <v/>
      </c>
      <c r="S125" s="82"/>
      <c r="U125" s="37" t="e">
        <f t="shared" si="5"/>
        <v>#VALUE!</v>
      </c>
    </row>
    <row r="126" spans="1:21" x14ac:dyDescent="0.25">
      <c r="A126" s="31" t="str">
        <f>IF(Table!A126 = "","",Table!A126)</f>
        <v/>
      </c>
      <c r="B126" s="31" t="str">
        <f>IF(Table!B126 = "","",Table!B126)</f>
        <v/>
      </c>
      <c r="C126" s="31" t="str">
        <f>IF(Table!C126 = "","",Table!C126)</f>
        <v/>
      </c>
      <c r="D126" s="32" t="str">
        <f>IF(Table!D126 = "","",Table!D126)</f>
        <v/>
      </c>
      <c r="E126" s="32" t="str">
        <f>IF(Table!E126 = "","",Table!E126)</f>
        <v/>
      </c>
      <c r="F126" s="32" t="str">
        <f>IF(Table!F126 = "","",Table!F126)</f>
        <v/>
      </c>
      <c r="G126" s="91"/>
      <c r="I126" s="84" t="str">
        <f>IFERROR(VLOOKUP(A126,Downlink!A:L,12,TRUE),"")</f>
        <v/>
      </c>
      <c r="K126" s="31" t="str">
        <f>IFERROR(VLOOKUP(A126,Table!$I$4:$O$3000,1,TRUE),"")</f>
        <v/>
      </c>
      <c r="L126" s="31" t="str">
        <f>IFERROR(INDEX(Table!I:O,MATCH(K126,Table!I:I,0),2),"")</f>
        <v/>
      </c>
      <c r="M126" s="31" t="str">
        <f>IFERROR(INDEX(Table!I:O,MATCH(K126,Table!I:I,0),3),"")</f>
        <v/>
      </c>
      <c r="N126" s="32" t="str">
        <f>IFERROR(INDEX(Table!I:O,MATCH(K126,Table!I:I,0),4),"")</f>
        <v/>
      </c>
      <c r="O126" s="32" t="str">
        <f>IFERROR(INDEX(Table!I:O,MATCH(K126,Table!I:I,0),5),"")</f>
        <v/>
      </c>
      <c r="P126" s="32" t="str">
        <f>IFERROR(INDEX(Table!I:O,MATCH(K126,Table!I:I,0),6),"")</f>
        <v/>
      </c>
      <c r="Q126" s="89" t="str">
        <f t="shared" si="3"/>
        <v/>
      </c>
      <c r="R126" s="89" t="str">
        <f t="shared" si="4"/>
        <v/>
      </c>
      <c r="S126" s="82"/>
      <c r="U126" s="37" t="e">
        <f t="shared" si="5"/>
        <v>#VALUE!</v>
      </c>
    </row>
    <row r="127" spans="1:21" x14ac:dyDescent="0.25">
      <c r="A127" s="31" t="str">
        <f>IF(Table!A127 = "","",Table!A127)</f>
        <v/>
      </c>
      <c r="B127" s="31" t="str">
        <f>IF(Table!B127 = "","",Table!B127)</f>
        <v/>
      </c>
      <c r="C127" s="31" t="str">
        <f>IF(Table!C127 = "","",Table!C127)</f>
        <v/>
      </c>
      <c r="D127" s="32" t="str">
        <f>IF(Table!D127 = "","",Table!D127)</f>
        <v/>
      </c>
      <c r="E127" s="32" t="str">
        <f>IF(Table!E127 = "","",Table!E127)</f>
        <v/>
      </c>
      <c r="F127" s="32" t="str">
        <f>IF(Table!F127 = "","",Table!F127)</f>
        <v/>
      </c>
      <c r="G127" s="91"/>
      <c r="I127" s="84" t="str">
        <f>IFERROR(VLOOKUP(A127,Downlink!A:L,12,TRUE),"")</f>
        <v/>
      </c>
      <c r="K127" s="31" t="str">
        <f>IFERROR(VLOOKUP(A127,Table!$I$4:$O$3000,1,TRUE),"")</f>
        <v/>
      </c>
      <c r="L127" s="31" t="str">
        <f>IFERROR(INDEX(Table!I:O,MATCH(K127,Table!I:I,0),2),"")</f>
        <v/>
      </c>
      <c r="M127" s="31" t="str">
        <f>IFERROR(INDEX(Table!I:O,MATCH(K127,Table!I:I,0),3),"")</f>
        <v/>
      </c>
      <c r="N127" s="32" t="str">
        <f>IFERROR(INDEX(Table!I:O,MATCH(K127,Table!I:I,0),4),"")</f>
        <v/>
      </c>
      <c r="O127" s="32" t="str">
        <f>IFERROR(INDEX(Table!I:O,MATCH(K127,Table!I:I,0),5),"")</f>
        <v/>
      </c>
      <c r="P127" s="32" t="str">
        <f>IFERROR(INDEX(Table!I:O,MATCH(K127,Table!I:I,0),6),"")</f>
        <v/>
      </c>
      <c r="Q127" s="89" t="str">
        <f t="shared" si="3"/>
        <v/>
      </c>
      <c r="R127" s="89" t="str">
        <f t="shared" si="4"/>
        <v/>
      </c>
      <c r="S127" s="82"/>
      <c r="U127" s="37" t="e">
        <f t="shared" si="5"/>
        <v>#VALUE!</v>
      </c>
    </row>
    <row r="128" spans="1:21" x14ac:dyDescent="0.25">
      <c r="A128" s="31" t="str">
        <f>IF(Table!A128 = "","",Table!A128)</f>
        <v/>
      </c>
      <c r="B128" s="31" t="str">
        <f>IF(Table!B128 = "","",Table!B128)</f>
        <v/>
      </c>
      <c r="C128" s="31" t="str">
        <f>IF(Table!C128 = "","",Table!C128)</f>
        <v/>
      </c>
      <c r="D128" s="32" t="str">
        <f>IF(Table!D128 = "","",Table!D128)</f>
        <v/>
      </c>
      <c r="E128" s="32" t="str">
        <f>IF(Table!E128 = "","",Table!E128)</f>
        <v/>
      </c>
      <c r="F128" s="32" t="str">
        <f>IF(Table!F128 = "","",Table!F128)</f>
        <v/>
      </c>
      <c r="G128" s="91"/>
      <c r="I128" s="84" t="str">
        <f>IFERROR(VLOOKUP(A128,Downlink!A:L,12,TRUE),"")</f>
        <v/>
      </c>
      <c r="K128" s="31" t="str">
        <f>IFERROR(VLOOKUP(A128,Table!$I$4:$O$3000,1,TRUE),"")</f>
        <v/>
      </c>
      <c r="L128" s="31" t="str">
        <f>IFERROR(INDEX(Table!I:O,MATCH(K128,Table!I:I,0),2),"")</f>
        <v/>
      </c>
      <c r="M128" s="31" t="str">
        <f>IFERROR(INDEX(Table!I:O,MATCH(K128,Table!I:I,0),3),"")</f>
        <v/>
      </c>
      <c r="N128" s="32" t="str">
        <f>IFERROR(INDEX(Table!I:O,MATCH(K128,Table!I:I,0),4),"")</f>
        <v/>
      </c>
      <c r="O128" s="32" t="str">
        <f>IFERROR(INDEX(Table!I:O,MATCH(K128,Table!I:I,0),5),"")</f>
        <v/>
      </c>
      <c r="P128" s="32" t="str">
        <f>IFERROR(INDEX(Table!I:O,MATCH(K128,Table!I:I,0),6),"")</f>
        <v/>
      </c>
      <c r="Q128" s="89" t="str">
        <f t="shared" si="3"/>
        <v/>
      </c>
      <c r="R128" s="89" t="str">
        <f t="shared" si="4"/>
        <v/>
      </c>
      <c r="S128" s="82"/>
      <c r="U128" s="37" t="e">
        <f t="shared" si="5"/>
        <v>#VALUE!</v>
      </c>
    </row>
    <row r="129" spans="1:21" x14ac:dyDescent="0.25">
      <c r="A129" s="31" t="str">
        <f>IF(Table!A129 = "","",Table!A129)</f>
        <v/>
      </c>
      <c r="B129" s="31" t="str">
        <f>IF(Table!B129 = "","",Table!B129)</f>
        <v/>
      </c>
      <c r="C129" s="31" t="str">
        <f>IF(Table!C129 = "","",Table!C129)</f>
        <v/>
      </c>
      <c r="D129" s="32" t="str">
        <f>IF(Table!D129 = "","",Table!D129)</f>
        <v/>
      </c>
      <c r="E129" s="32" t="str">
        <f>IF(Table!E129 = "","",Table!E129)</f>
        <v/>
      </c>
      <c r="F129" s="32" t="str">
        <f>IF(Table!F129 = "","",Table!F129)</f>
        <v/>
      </c>
      <c r="G129" s="91"/>
      <c r="I129" s="84" t="str">
        <f>IFERROR(VLOOKUP(A129,Downlink!A:L,12,TRUE),"")</f>
        <v/>
      </c>
      <c r="K129" s="31" t="str">
        <f>IFERROR(VLOOKUP(A129,Table!$I$4:$O$3000,1,TRUE),"")</f>
        <v/>
      </c>
      <c r="L129" s="31" t="str">
        <f>IFERROR(INDEX(Table!I:O,MATCH(K129,Table!I:I,0),2),"")</f>
        <v/>
      </c>
      <c r="M129" s="31" t="str">
        <f>IFERROR(INDEX(Table!I:O,MATCH(K129,Table!I:I,0),3),"")</f>
        <v/>
      </c>
      <c r="N129" s="32" t="str">
        <f>IFERROR(INDEX(Table!I:O,MATCH(K129,Table!I:I,0),4),"")</f>
        <v/>
      </c>
      <c r="O129" s="32" t="str">
        <f>IFERROR(INDEX(Table!I:O,MATCH(K129,Table!I:I,0),5),"")</f>
        <v/>
      </c>
      <c r="P129" s="32" t="str">
        <f>IFERROR(INDEX(Table!I:O,MATCH(K129,Table!I:I,0),6),"")</f>
        <v/>
      </c>
      <c r="Q129" s="89" t="str">
        <f t="shared" si="3"/>
        <v/>
      </c>
      <c r="R129" s="89" t="str">
        <f t="shared" si="4"/>
        <v/>
      </c>
      <c r="S129" s="82"/>
      <c r="U129" s="37" t="e">
        <f t="shared" si="5"/>
        <v>#VALUE!</v>
      </c>
    </row>
    <row r="130" spans="1:21" x14ac:dyDescent="0.25">
      <c r="A130" s="31" t="str">
        <f>IF(Table!A130 = "","",Table!A130)</f>
        <v/>
      </c>
      <c r="B130" s="31" t="str">
        <f>IF(Table!B130 = "","",Table!B130)</f>
        <v/>
      </c>
      <c r="C130" s="31" t="str">
        <f>IF(Table!C130 = "","",Table!C130)</f>
        <v/>
      </c>
      <c r="D130" s="32" t="str">
        <f>IF(Table!D130 = "","",Table!D130)</f>
        <v/>
      </c>
      <c r="E130" s="32" t="str">
        <f>IF(Table!E130 = "","",Table!E130)</f>
        <v/>
      </c>
      <c r="F130" s="32" t="str">
        <f>IF(Table!F130 = "","",Table!F130)</f>
        <v/>
      </c>
      <c r="G130" s="91"/>
      <c r="I130" s="84" t="str">
        <f>IFERROR(VLOOKUP(A130,Downlink!A:L,12,TRUE),"")</f>
        <v/>
      </c>
      <c r="K130" s="31" t="str">
        <f>IFERROR(VLOOKUP(A130,Table!$I$4:$O$3000,1,TRUE),"")</f>
        <v/>
      </c>
      <c r="L130" s="31" t="str">
        <f>IFERROR(INDEX(Table!I:O,MATCH(K130,Table!I:I,0),2),"")</f>
        <v/>
      </c>
      <c r="M130" s="31" t="str">
        <f>IFERROR(INDEX(Table!I:O,MATCH(K130,Table!I:I,0),3),"")</f>
        <v/>
      </c>
      <c r="N130" s="32" t="str">
        <f>IFERROR(INDEX(Table!I:O,MATCH(K130,Table!I:I,0),4),"")</f>
        <v/>
      </c>
      <c r="O130" s="32" t="str">
        <f>IFERROR(INDEX(Table!I:O,MATCH(K130,Table!I:I,0),5),"")</f>
        <v/>
      </c>
      <c r="P130" s="32" t="str">
        <f>IFERROR(INDEX(Table!I:O,MATCH(K130,Table!I:I,0),6),"")</f>
        <v/>
      </c>
      <c r="Q130" s="89" t="str">
        <f t="shared" si="3"/>
        <v/>
      </c>
      <c r="R130" s="89" t="str">
        <f t="shared" si="4"/>
        <v/>
      </c>
      <c r="S130" s="82"/>
      <c r="U130" s="37" t="e">
        <f t="shared" si="5"/>
        <v>#VALUE!</v>
      </c>
    </row>
    <row r="131" spans="1:21" x14ac:dyDescent="0.25">
      <c r="A131" s="31" t="str">
        <f>IF(Table!A131 = "","",Table!A131)</f>
        <v/>
      </c>
      <c r="B131" s="31" t="str">
        <f>IF(Table!B131 = "","",Table!B131)</f>
        <v/>
      </c>
      <c r="C131" s="31" t="str">
        <f>IF(Table!C131 = "","",Table!C131)</f>
        <v/>
      </c>
      <c r="D131" s="32" t="str">
        <f>IF(Table!D131 = "","",Table!D131)</f>
        <v/>
      </c>
      <c r="E131" s="32" t="str">
        <f>IF(Table!E131 = "","",Table!E131)</f>
        <v/>
      </c>
      <c r="F131" s="32" t="str">
        <f>IF(Table!F131 = "","",Table!F131)</f>
        <v/>
      </c>
      <c r="G131" s="91"/>
      <c r="I131" s="84" t="str">
        <f>IFERROR(VLOOKUP(A131,Downlink!A:L,12,TRUE),"")</f>
        <v/>
      </c>
      <c r="K131" s="31" t="str">
        <f>IFERROR(VLOOKUP(A131,Table!$I$4:$O$3000,1,TRUE),"")</f>
        <v/>
      </c>
      <c r="L131" s="31" t="str">
        <f>IFERROR(INDEX(Table!I:O,MATCH(K131,Table!I:I,0),2),"")</f>
        <v/>
      </c>
      <c r="M131" s="31" t="str">
        <f>IFERROR(INDEX(Table!I:O,MATCH(K131,Table!I:I,0),3),"")</f>
        <v/>
      </c>
      <c r="N131" s="32" t="str">
        <f>IFERROR(INDEX(Table!I:O,MATCH(K131,Table!I:I,0),4),"")</f>
        <v/>
      </c>
      <c r="O131" s="32" t="str">
        <f>IFERROR(INDEX(Table!I:O,MATCH(K131,Table!I:I,0),5),"")</f>
        <v/>
      </c>
      <c r="P131" s="32" t="str">
        <f>IFERROR(INDEX(Table!I:O,MATCH(K131,Table!I:I,0),6),"")</f>
        <v/>
      </c>
      <c r="Q131" s="89" t="str">
        <f t="shared" si="3"/>
        <v/>
      </c>
      <c r="R131" s="89" t="str">
        <f t="shared" si="4"/>
        <v/>
      </c>
      <c r="S131" s="82"/>
      <c r="U131" s="37" t="e">
        <f t="shared" si="5"/>
        <v>#VALUE!</v>
      </c>
    </row>
    <row r="132" spans="1:21" x14ac:dyDescent="0.25">
      <c r="A132" s="31" t="str">
        <f>IF(Table!A132 = "","",Table!A132)</f>
        <v/>
      </c>
      <c r="B132" s="31" t="str">
        <f>IF(Table!B132 = "","",Table!B132)</f>
        <v/>
      </c>
      <c r="C132" s="31" t="str">
        <f>IF(Table!C132 = "","",Table!C132)</f>
        <v/>
      </c>
      <c r="D132" s="32" t="str">
        <f>IF(Table!D132 = "","",Table!D132)</f>
        <v/>
      </c>
      <c r="E132" s="32" t="str">
        <f>IF(Table!E132 = "","",Table!E132)</f>
        <v/>
      </c>
      <c r="F132" s="32" t="str">
        <f>IF(Table!F132 = "","",Table!F132)</f>
        <v/>
      </c>
      <c r="G132" s="91"/>
      <c r="I132" s="84" t="str">
        <f>IFERROR(VLOOKUP(A132,Downlink!A:L,12,TRUE),"")</f>
        <v/>
      </c>
      <c r="K132" s="31" t="str">
        <f>IFERROR(VLOOKUP(A132,Table!$I$4:$O$3000,1,TRUE),"")</f>
        <v/>
      </c>
      <c r="L132" s="31" t="str">
        <f>IFERROR(INDEX(Table!I:O,MATCH(K132,Table!I:I,0),2),"")</f>
        <v/>
      </c>
      <c r="M132" s="31" t="str">
        <f>IFERROR(INDEX(Table!I:O,MATCH(K132,Table!I:I,0),3),"")</f>
        <v/>
      </c>
      <c r="N132" s="32" t="str">
        <f>IFERROR(INDEX(Table!I:O,MATCH(K132,Table!I:I,0),4),"")</f>
        <v/>
      </c>
      <c r="O132" s="32" t="str">
        <f>IFERROR(INDEX(Table!I:O,MATCH(K132,Table!I:I,0),5),"")</f>
        <v/>
      </c>
      <c r="P132" s="32" t="str">
        <f>IFERROR(INDEX(Table!I:O,MATCH(K132,Table!I:I,0),6),"")</f>
        <v/>
      </c>
      <c r="Q132" s="89" t="str">
        <f t="shared" si="3"/>
        <v/>
      </c>
      <c r="R132" s="89" t="str">
        <f t="shared" si="4"/>
        <v/>
      </c>
      <c r="S132" s="82"/>
      <c r="U132" s="37" t="e">
        <f t="shared" si="5"/>
        <v>#VALUE!</v>
      </c>
    </row>
    <row r="133" spans="1:21" x14ac:dyDescent="0.25">
      <c r="A133" s="31" t="str">
        <f>IF(Table!A133 = "","",Table!A133)</f>
        <v/>
      </c>
      <c r="B133" s="31" t="str">
        <f>IF(Table!B133 = "","",Table!B133)</f>
        <v/>
      </c>
      <c r="C133" s="31" t="str">
        <f>IF(Table!C133 = "","",Table!C133)</f>
        <v/>
      </c>
      <c r="D133" s="32" t="str">
        <f>IF(Table!D133 = "","",Table!D133)</f>
        <v/>
      </c>
      <c r="E133" s="32" t="str">
        <f>IF(Table!E133 = "","",Table!E133)</f>
        <v/>
      </c>
      <c r="F133" s="32" t="str">
        <f>IF(Table!F133 = "","",Table!F133)</f>
        <v/>
      </c>
      <c r="G133" s="91"/>
      <c r="I133" s="84" t="str">
        <f>IFERROR(VLOOKUP(A133,Downlink!A:L,12,TRUE),"")</f>
        <v/>
      </c>
      <c r="K133" s="31" t="str">
        <f>IFERROR(VLOOKUP(A133,Table!$I$4:$O$3000,1,TRUE),"")</f>
        <v/>
      </c>
      <c r="L133" s="31" t="str">
        <f>IFERROR(INDEX(Table!I:O,MATCH(K133,Table!I:I,0),2),"")</f>
        <v/>
      </c>
      <c r="M133" s="31" t="str">
        <f>IFERROR(INDEX(Table!I:O,MATCH(K133,Table!I:I,0),3),"")</f>
        <v/>
      </c>
      <c r="N133" s="32" t="str">
        <f>IFERROR(INDEX(Table!I:O,MATCH(K133,Table!I:I,0),4),"")</f>
        <v/>
      </c>
      <c r="O133" s="32" t="str">
        <f>IFERROR(INDEX(Table!I:O,MATCH(K133,Table!I:I,0),5),"")</f>
        <v/>
      </c>
      <c r="P133" s="32" t="str">
        <f>IFERROR(INDEX(Table!I:O,MATCH(K133,Table!I:I,0),6),"")</f>
        <v/>
      </c>
      <c r="Q133" s="89" t="str">
        <f t="shared" si="3"/>
        <v/>
      </c>
      <c r="R133" s="89" t="str">
        <f t="shared" si="4"/>
        <v/>
      </c>
      <c r="S133" s="82"/>
      <c r="U133" s="37" t="e">
        <f t="shared" si="5"/>
        <v>#VALUE!</v>
      </c>
    </row>
    <row r="134" spans="1:21" x14ac:dyDescent="0.25">
      <c r="A134" s="31" t="str">
        <f>IF(Table!A134 = "","",Table!A134)</f>
        <v/>
      </c>
      <c r="B134" s="31" t="str">
        <f>IF(Table!B134 = "","",Table!B134)</f>
        <v/>
      </c>
      <c r="C134" s="31" t="str">
        <f>IF(Table!C134 = "","",Table!C134)</f>
        <v/>
      </c>
      <c r="D134" s="32" t="str">
        <f>IF(Table!D134 = "","",Table!D134)</f>
        <v/>
      </c>
      <c r="E134" s="32" t="str">
        <f>IF(Table!E134 = "","",Table!E134)</f>
        <v/>
      </c>
      <c r="F134" s="32" t="str">
        <f>IF(Table!F134 = "","",Table!F134)</f>
        <v/>
      </c>
      <c r="G134" s="91"/>
      <c r="I134" s="84" t="str">
        <f>IFERROR(VLOOKUP(A134,Downlink!A:L,12,TRUE),"")</f>
        <v/>
      </c>
      <c r="K134" s="31" t="str">
        <f>IFERROR(VLOOKUP(A134,Table!$I$4:$O$3000,1,TRUE),"")</f>
        <v/>
      </c>
      <c r="L134" s="31" t="str">
        <f>IFERROR(INDEX(Table!I:O,MATCH(K134,Table!I:I,0),2),"")</f>
        <v/>
      </c>
      <c r="M134" s="31" t="str">
        <f>IFERROR(INDEX(Table!I:O,MATCH(K134,Table!I:I,0),3),"")</f>
        <v/>
      </c>
      <c r="N134" s="32" t="str">
        <f>IFERROR(INDEX(Table!I:O,MATCH(K134,Table!I:I,0),4),"")</f>
        <v/>
      </c>
      <c r="O134" s="32" t="str">
        <f>IFERROR(INDEX(Table!I:O,MATCH(K134,Table!I:I,0),5),"")</f>
        <v/>
      </c>
      <c r="P134" s="32" t="str">
        <f>IFERROR(INDEX(Table!I:O,MATCH(K134,Table!I:I,0),6),"")</f>
        <v/>
      </c>
      <c r="Q134" s="89" t="str">
        <f t="shared" ref="Q134:Q197" si="6">IFERROR(L134-B134,"")</f>
        <v/>
      </c>
      <c r="R134" s="89" t="str">
        <f t="shared" ref="R134:R197" si="7">IFERROR(M134-C134,"")</f>
        <v/>
      </c>
      <c r="S134" s="82"/>
      <c r="U134" s="37" t="e">
        <f t="shared" ref="U134:U197" si="8">K134-K133</f>
        <v>#VALUE!</v>
      </c>
    </row>
    <row r="135" spans="1:21" x14ac:dyDescent="0.25">
      <c r="A135" s="31" t="str">
        <f>IF(Table!A135 = "","",Table!A135)</f>
        <v/>
      </c>
      <c r="B135" s="31" t="str">
        <f>IF(Table!B135 = "","",Table!B135)</f>
        <v/>
      </c>
      <c r="C135" s="31" t="str">
        <f>IF(Table!C135 = "","",Table!C135)</f>
        <v/>
      </c>
      <c r="D135" s="32" t="str">
        <f>IF(Table!D135 = "","",Table!D135)</f>
        <v/>
      </c>
      <c r="E135" s="32" t="str">
        <f>IF(Table!E135 = "","",Table!E135)</f>
        <v/>
      </c>
      <c r="F135" s="32" t="str">
        <f>IF(Table!F135 = "","",Table!F135)</f>
        <v/>
      </c>
      <c r="G135" s="91"/>
      <c r="I135" s="84" t="str">
        <f>IFERROR(VLOOKUP(A135,Downlink!A:L,12,TRUE),"")</f>
        <v/>
      </c>
      <c r="K135" s="31" t="str">
        <f>IFERROR(VLOOKUP(A135,Table!$I$4:$O$3000,1,TRUE),"")</f>
        <v/>
      </c>
      <c r="L135" s="31" t="str">
        <f>IFERROR(INDEX(Table!I:O,MATCH(K135,Table!I:I,0),2),"")</f>
        <v/>
      </c>
      <c r="M135" s="31" t="str">
        <f>IFERROR(INDEX(Table!I:O,MATCH(K135,Table!I:I,0),3),"")</f>
        <v/>
      </c>
      <c r="N135" s="32" t="str">
        <f>IFERROR(INDEX(Table!I:O,MATCH(K135,Table!I:I,0),4),"")</f>
        <v/>
      </c>
      <c r="O135" s="32" t="str">
        <f>IFERROR(INDEX(Table!I:O,MATCH(K135,Table!I:I,0),5),"")</f>
        <v/>
      </c>
      <c r="P135" s="32" t="str">
        <f>IFERROR(INDEX(Table!I:O,MATCH(K135,Table!I:I,0),6),"")</f>
        <v/>
      </c>
      <c r="Q135" s="89" t="str">
        <f t="shared" si="6"/>
        <v/>
      </c>
      <c r="R135" s="89" t="str">
        <f t="shared" si="7"/>
        <v/>
      </c>
      <c r="S135" s="82"/>
      <c r="U135" s="37" t="e">
        <f t="shared" si="8"/>
        <v>#VALUE!</v>
      </c>
    </row>
    <row r="136" spans="1:21" x14ac:dyDescent="0.25">
      <c r="A136" s="31" t="str">
        <f>IF(Table!A136 = "","",Table!A136)</f>
        <v/>
      </c>
      <c r="B136" s="31" t="str">
        <f>IF(Table!B136 = "","",Table!B136)</f>
        <v/>
      </c>
      <c r="C136" s="31" t="str">
        <f>IF(Table!C136 = "","",Table!C136)</f>
        <v/>
      </c>
      <c r="D136" s="32" t="str">
        <f>IF(Table!D136 = "","",Table!D136)</f>
        <v/>
      </c>
      <c r="E136" s="32" t="str">
        <f>IF(Table!E136 = "","",Table!E136)</f>
        <v/>
      </c>
      <c r="F136" s="32" t="str">
        <f>IF(Table!F136 = "","",Table!F136)</f>
        <v/>
      </c>
      <c r="G136" s="91"/>
      <c r="I136" s="84" t="str">
        <f>IFERROR(VLOOKUP(A136,Downlink!A:L,12,TRUE),"")</f>
        <v/>
      </c>
      <c r="K136" s="31" t="str">
        <f>IFERROR(VLOOKUP(A136,Table!$I$4:$O$3000,1,TRUE),"")</f>
        <v/>
      </c>
      <c r="L136" s="31" t="str">
        <f>IFERROR(INDEX(Table!I:O,MATCH(K136,Table!I:I,0),2),"")</f>
        <v/>
      </c>
      <c r="M136" s="31" t="str">
        <f>IFERROR(INDEX(Table!I:O,MATCH(K136,Table!I:I,0),3),"")</f>
        <v/>
      </c>
      <c r="N136" s="32" t="str">
        <f>IFERROR(INDEX(Table!I:O,MATCH(K136,Table!I:I,0),4),"")</f>
        <v/>
      </c>
      <c r="O136" s="32" t="str">
        <f>IFERROR(INDEX(Table!I:O,MATCH(K136,Table!I:I,0),5),"")</f>
        <v/>
      </c>
      <c r="P136" s="32" t="str">
        <f>IFERROR(INDEX(Table!I:O,MATCH(K136,Table!I:I,0),6),"")</f>
        <v/>
      </c>
      <c r="Q136" s="89" t="str">
        <f t="shared" si="6"/>
        <v/>
      </c>
      <c r="R136" s="89" t="str">
        <f t="shared" si="7"/>
        <v/>
      </c>
      <c r="S136" s="82"/>
      <c r="U136" s="37" t="e">
        <f t="shared" si="8"/>
        <v>#VALUE!</v>
      </c>
    </row>
    <row r="137" spans="1:21" x14ac:dyDescent="0.25">
      <c r="A137" s="31" t="str">
        <f>IF(Table!A137 = "","",Table!A137)</f>
        <v/>
      </c>
      <c r="B137" s="31" t="str">
        <f>IF(Table!B137 = "","",Table!B137)</f>
        <v/>
      </c>
      <c r="C137" s="31" t="str">
        <f>IF(Table!C137 = "","",Table!C137)</f>
        <v/>
      </c>
      <c r="D137" s="32" t="str">
        <f>IF(Table!D137 = "","",Table!D137)</f>
        <v/>
      </c>
      <c r="E137" s="32" t="str">
        <f>IF(Table!E137 = "","",Table!E137)</f>
        <v/>
      </c>
      <c r="F137" s="32" t="str">
        <f>IF(Table!F137 = "","",Table!F137)</f>
        <v/>
      </c>
      <c r="G137" s="91"/>
      <c r="I137" s="84" t="str">
        <f>IFERROR(VLOOKUP(A137,Downlink!A:L,12,TRUE),"")</f>
        <v/>
      </c>
      <c r="K137" s="31" t="str">
        <f>IFERROR(VLOOKUP(A137,Table!$I$4:$O$3000,1,TRUE),"")</f>
        <v/>
      </c>
      <c r="L137" s="31" t="str">
        <f>IFERROR(INDEX(Table!I:O,MATCH(K137,Table!I:I,0),2),"")</f>
        <v/>
      </c>
      <c r="M137" s="31" t="str">
        <f>IFERROR(INDEX(Table!I:O,MATCH(K137,Table!I:I,0),3),"")</f>
        <v/>
      </c>
      <c r="N137" s="32" t="str">
        <f>IFERROR(INDEX(Table!I:O,MATCH(K137,Table!I:I,0),4),"")</f>
        <v/>
      </c>
      <c r="O137" s="32" t="str">
        <f>IFERROR(INDEX(Table!I:O,MATCH(K137,Table!I:I,0),5),"")</f>
        <v/>
      </c>
      <c r="P137" s="32" t="str">
        <f>IFERROR(INDEX(Table!I:O,MATCH(K137,Table!I:I,0),6),"")</f>
        <v/>
      </c>
      <c r="Q137" s="89" t="str">
        <f t="shared" si="6"/>
        <v/>
      </c>
      <c r="R137" s="89" t="str">
        <f t="shared" si="7"/>
        <v/>
      </c>
      <c r="S137" s="82"/>
      <c r="U137" s="37" t="e">
        <f t="shared" si="8"/>
        <v>#VALUE!</v>
      </c>
    </row>
    <row r="138" spans="1:21" x14ac:dyDescent="0.25">
      <c r="A138" s="31" t="str">
        <f>IF(Table!A138 = "","",Table!A138)</f>
        <v/>
      </c>
      <c r="B138" s="31" t="str">
        <f>IF(Table!B138 = "","",Table!B138)</f>
        <v/>
      </c>
      <c r="C138" s="31" t="str">
        <f>IF(Table!C138 = "","",Table!C138)</f>
        <v/>
      </c>
      <c r="D138" s="32" t="str">
        <f>IF(Table!D138 = "","",Table!D138)</f>
        <v/>
      </c>
      <c r="E138" s="32" t="str">
        <f>IF(Table!E138 = "","",Table!E138)</f>
        <v/>
      </c>
      <c r="F138" s="32" t="str">
        <f>IF(Table!F138 = "","",Table!F138)</f>
        <v/>
      </c>
      <c r="G138" s="91"/>
      <c r="I138" s="84" t="str">
        <f>IFERROR(VLOOKUP(A138,Downlink!A:L,12,TRUE),"")</f>
        <v/>
      </c>
      <c r="K138" s="31" t="str">
        <f>IFERROR(VLOOKUP(A138,Table!$I$4:$O$3000,1,TRUE),"")</f>
        <v/>
      </c>
      <c r="L138" s="31" t="str">
        <f>IFERROR(INDEX(Table!I:O,MATCH(K138,Table!I:I,0),2),"")</f>
        <v/>
      </c>
      <c r="M138" s="31" t="str">
        <f>IFERROR(INDEX(Table!I:O,MATCH(K138,Table!I:I,0),3),"")</f>
        <v/>
      </c>
      <c r="N138" s="32" t="str">
        <f>IFERROR(INDEX(Table!I:O,MATCH(K138,Table!I:I,0),4),"")</f>
        <v/>
      </c>
      <c r="O138" s="32" t="str">
        <f>IFERROR(INDEX(Table!I:O,MATCH(K138,Table!I:I,0),5),"")</f>
        <v/>
      </c>
      <c r="P138" s="32" t="str">
        <f>IFERROR(INDEX(Table!I:O,MATCH(K138,Table!I:I,0),6),"")</f>
        <v/>
      </c>
      <c r="Q138" s="89" t="str">
        <f t="shared" si="6"/>
        <v/>
      </c>
      <c r="R138" s="89" t="str">
        <f t="shared" si="7"/>
        <v/>
      </c>
      <c r="S138" s="82"/>
      <c r="U138" s="37" t="e">
        <f t="shared" si="8"/>
        <v>#VALUE!</v>
      </c>
    </row>
    <row r="139" spans="1:21" x14ac:dyDescent="0.25">
      <c r="A139" s="31" t="str">
        <f>IF(Table!A139 = "","",Table!A139)</f>
        <v/>
      </c>
      <c r="B139" s="31" t="str">
        <f>IF(Table!B139 = "","",Table!B139)</f>
        <v/>
      </c>
      <c r="C139" s="31" t="str">
        <f>IF(Table!C139 = "","",Table!C139)</f>
        <v/>
      </c>
      <c r="D139" s="32" t="str">
        <f>IF(Table!D139 = "","",Table!D139)</f>
        <v/>
      </c>
      <c r="E139" s="32" t="str">
        <f>IF(Table!E139 = "","",Table!E139)</f>
        <v/>
      </c>
      <c r="F139" s="32" t="str">
        <f>IF(Table!F139 = "","",Table!F139)</f>
        <v/>
      </c>
      <c r="G139" s="91"/>
      <c r="I139" s="84" t="str">
        <f>IFERROR(VLOOKUP(A139,Downlink!A:L,12,TRUE),"")</f>
        <v/>
      </c>
      <c r="K139" s="31" t="str">
        <f>IFERROR(VLOOKUP(A139,Table!$I$4:$O$3000,1,TRUE),"")</f>
        <v/>
      </c>
      <c r="L139" s="31" t="str">
        <f>IFERROR(INDEX(Table!I:O,MATCH(K139,Table!I:I,0),2),"")</f>
        <v/>
      </c>
      <c r="M139" s="31" t="str">
        <f>IFERROR(INDEX(Table!I:O,MATCH(K139,Table!I:I,0),3),"")</f>
        <v/>
      </c>
      <c r="N139" s="32" t="str">
        <f>IFERROR(INDEX(Table!I:O,MATCH(K139,Table!I:I,0),4),"")</f>
        <v/>
      </c>
      <c r="O139" s="32" t="str">
        <f>IFERROR(INDEX(Table!I:O,MATCH(K139,Table!I:I,0),5),"")</f>
        <v/>
      </c>
      <c r="P139" s="32" t="str">
        <f>IFERROR(INDEX(Table!I:O,MATCH(K139,Table!I:I,0),6),"")</f>
        <v/>
      </c>
      <c r="Q139" s="89" t="str">
        <f t="shared" si="6"/>
        <v/>
      </c>
      <c r="R139" s="89" t="str">
        <f t="shared" si="7"/>
        <v/>
      </c>
      <c r="S139" s="82"/>
      <c r="U139" s="37" t="e">
        <f t="shared" si="8"/>
        <v>#VALUE!</v>
      </c>
    </row>
    <row r="140" spans="1:21" x14ac:dyDescent="0.25">
      <c r="A140" s="31" t="str">
        <f>IF(Table!A140 = "","",Table!A140)</f>
        <v/>
      </c>
      <c r="B140" s="31" t="str">
        <f>IF(Table!B140 = "","",Table!B140)</f>
        <v/>
      </c>
      <c r="C140" s="31" t="str">
        <f>IF(Table!C140 = "","",Table!C140)</f>
        <v/>
      </c>
      <c r="D140" s="32" t="str">
        <f>IF(Table!D140 = "","",Table!D140)</f>
        <v/>
      </c>
      <c r="E140" s="32" t="str">
        <f>IF(Table!E140 = "","",Table!E140)</f>
        <v/>
      </c>
      <c r="F140" s="32" t="str">
        <f>IF(Table!F140 = "","",Table!F140)</f>
        <v/>
      </c>
      <c r="G140" s="91"/>
      <c r="I140" s="84" t="str">
        <f>IFERROR(VLOOKUP(A140,Downlink!A:L,12,TRUE),"")</f>
        <v/>
      </c>
      <c r="K140" s="31" t="str">
        <f>IFERROR(VLOOKUP(A140,Table!$I$4:$O$3000,1,TRUE),"")</f>
        <v/>
      </c>
      <c r="L140" s="31" t="str">
        <f>IFERROR(INDEX(Table!I:O,MATCH(K140,Table!I:I,0),2),"")</f>
        <v/>
      </c>
      <c r="M140" s="31" t="str">
        <f>IFERROR(INDEX(Table!I:O,MATCH(K140,Table!I:I,0),3),"")</f>
        <v/>
      </c>
      <c r="N140" s="32" t="str">
        <f>IFERROR(INDEX(Table!I:O,MATCH(K140,Table!I:I,0),4),"")</f>
        <v/>
      </c>
      <c r="O140" s="32" t="str">
        <f>IFERROR(INDEX(Table!I:O,MATCH(K140,Table!I:I,0),5),"")</f>
        <v/>
      </c>
      <c r="P140" s="32" t="str">
        <f>IFERROR(INDEX(Table!I:O,MATCH(K140,Table!I:I,0),6),"")</f>
        <v/>
      </c>
      <c r="Q140" s="89" t="str">
        <f t="shared" si="6"/>
        <v/>
      </c>
      <c r="R140" s="89" t="str">
        <f t="shared" si="7"/>
        <v/>
      </c>
      <c r="S140" s="82"/>
      <c r="U140" s="37" t="e">
        <f t="shared" si="8"/>
        <v>#VALUE!</v>
      </c>
    </row>
    <row r="141" spans="1:21" x14ac:dyDescent="0.25">
      <c r="A141" s="31" t="str">
        <f>IF(Table!A141 = "","",Table!A141)</f>
        <v/>
      </c>
      <c r="B141" s="31" t="str">
        <f>IF(Table!B141 = "","",Table!B141)</f>
        <v/>
      </c>
      <c r="C141" s="31" t="str">
        <f>IF(Table!C141 = "","",Table!C141)</f>
        <v/>
      </c>
      <c r="D141" s="32" t="str">
        <f>IF(Table!D141 = "","",Table!D141)</f>
        <v/>
      </c>
      <c r="E141" s="32" t="str">
        <f>IF(Table!E141 = "","",Table!E141)</f>
        <v/>
      </c>
      <c r="F141" s="32" t="str">
        <f>IF(Table!F141 = "","",Table!F141)</f>
        <v/>
      </c>
      <c r="G141" s="91"/>
      <c r="I141" s="84" t="str">
        <f>IFERROR(VLOOKUP(A141,Downlink!A:L,12,TRUE),"")</f>
        <v/>
      </c>
      <c r="K141" s="31" t="str">
        <f>IFERROR(VLOOKUP(A141,Table!$I$4:$O$3000,1,TRUE),"")</f>
        <v/>
      </c>
      <c r="L141" s="31" t="str">
        <f>IFERROR(INDEX(Table!I:O,MATCH(K141,Table!I:I,0),2),"")</f>
        <v/>
      </c>
      <c r="M141" s="31" t="str">
        <f>IFERROR(INDEX(Table!I:O,MATCH(K141,Table!I:I,0),3),"")</f>
        <v/>
      </c>
      <c r="N141" s="32" t="str">
        <f>IFERROR(INDEX(Table!I:O,MATCH(K141,Table!I:I,0),4),"")</f>
        <v/>
      </c>
      <c r="O141" s="32" t="str">
        <f>IFERROR(INDEX(Table!I:O,MATCH(K141,Table!I:I,0),5),"")</f>
        <v/>
      </c>
      <c r="P141" s="32" t="str">
        <f>IFERROR(INDEX(Table!I:O,MATCH(K141,Table!I:I,0),6),"")</f>
        <v/>
      </c>
      <c r="Q141" s="89" t="str">
        <f t="shared" si="6"/>
        <v/>
      </c>
      <c r="R141" s="89" t="str">
        <f t="shared" si="7"/>
        <v/>
      </c>
      <c r="S141" s="82"/>
      <c r="U141" s="37" t="e">
        <f t="shared" si="8"/>
        <v>#VALUE!</v>
      </c>
    </row>
    <row r="142" spans="1:21" x14ac:dyDescent="0.25">
      <c r="A142" s="31" t="str">
        <f>IF(Table!A142 = "","",Table!A142)</f>
        <v/>
      </c>
      <c r="B142" s="31" t="str">
        <f>IF(Table!B142 = "","",Table!B142)</f>
        <v/>
      </c>
      <c r="C142" s="31" t="str">
        <f>IF(Table!C142 = "","",Table!C142)</f>
        <v/>
      </c>
      <c r="D142" s="32" t="str">
        <f>IF(Table!D142 = "","",Table!D142)</f>
        <v/>
      </c>
      <c r="E142" s="32" t="str">
        <f>IF(Table!E142 = "","",Table!E142)</f>
        <v/>
      </c>
      <c r="F142" s="32" t="str">
        <f>IF(Table!F142 = "","",Table!F142)</f>
        <v/>
      </c>
      <c r="G142" s="91"/>
      <c r="I142" s="84" t="str">
        <f>IFERROR(VLOOKUP(A142,Downlink!A:L,12,TRUE),"")</f>
        <v/>
      </c>
      <c r="K142" s="31" t="str">
        <f>IFERROR(VLOOKUP(A142,Table!$I$4:$O$3000,1,TRUE),"")</f>
        <v/>
      </c>
      <c r="L142" s="31" t="str">
        <f>IFERROR(INDEX(Table!I:O,MATCH(K142,Table!I:I,0),2),"")</f>
        <v/>
      </c>
      <c r="M142" s="31" t="str">
        <f>IFERROR(INDEX(Table!I:O,MATCH(K142,Table!I:I,0),3),"")</f>
        <v/>
      </c>
      <c r="N142" s="32" t="str">
        <f>IFERROR(INDEX(Table!I:O,MATCH(K142,Table!I:I,0),4),"")</f>
        <v/>
      </c>
      <c r="O142" s="32" t="str">
        <f>IFERROR(INDEX(Table!I:O,MATCH(K142,Table!I:I,0),5),"")</f>
        <v/>
      </c>
      <c r="P142" s="32" t="str">
        <f>IFERROR(INDEX(Table!I:O,MATCH(K142,Table!I:I,0),6),"")</f>
        <v/>
      </c>
      <c r="Q142" s="89" t="str">
        <f t="shared" si="6"/>
        <v/>
      </c>
      <c r="R142" s="89" t="str">
        <f t="shared" si="7"/>
        <v/>
      </c>
      <c r="S142" s="82"/>
      <c r="U142" s="37" t="e">
        <f t="shared" si="8"/>
        <v>#VALUE!</v>
      </c>
    </row>
    <row r="143" spans="1:21" x14ac:dyDescent="0.25">
      <c r="A143" s="31" t="str">
        <f>IF(Table!A143 = "","",Table!A143)</f>
        <v/>
      </c>
      <c r="B143" s="31" t="str">
        <f>IF(Table!B143 = "","",Table!B143)</f>
        <v/>
      </c>
      <c r="C143" s="31" t="str">
        <f>IF(Table!C143 = "","",Table!C143)</f>
        <v/>
      </c>
      <c r="D143" s="32" t="str">
        <f>IF(Table!D143 = "","",Table!D143)</f>
        <v/>
      </c>
      <c r="E143" s="32" t="str">
        <f>IF(Table!E143 = "","",Table!E143)</f>
        <v/>
      </c>
      <c r="F143" s="32" t="str">
        <f>IF(Table!F143 = "","",Table!F143)</f>
        <v/>
      </c>
      <c r="G143" s="91"/>
      <c r="I143" s="84" t="str">
        <f>IFERROR(VLOOKUP(A143,Downlink!A:L,12,TRUE),"")</f>
        <v/>
      </c>
      <c r="K143" s="31" t="str">
        <f>IFERROR(VLOOKUP(A143,Table!$I$4:$O$3000,1,TRUE),"")</f>
        <v/>
      </c>
      <c r="L143" s="31" t="str">
        <f>IFERROR(INDEX(Table!I:O,MATCH(K143,Table!I:I,0),2),"")</f>
        <v/>
      </c>
      <c r="M143" s="31" t="str">
        <f>IFERROR(INDEX(Table!I:O,MATCH(K143,Table!I:I,0),3),"")</f>
        <v/>
      </c>
      <c r="N143" s="32" t="str">
        <f>IFERROR(INDEX(Table!I:O,MATCH(K143,Table!I:I,0),4),"")</f>
        <v/>
      </c>
      <c r="O143" s="32" t="str">
        <f>IFERROR(INDEX(Table!I:O,MATCH(K143,Table!I:I,0),5),"")</f>
        <v/>
      </c>
      <c r="P143" s="32" t="str">
        <f>IFERROR(INDEX(Table!I:O,MATCH(K143,Table!I:I,0),6),"")</f>
        <v/>
      </c>
      <c r="Q143" s="89" t="str">
        <f t="shared" si="6"/>
        <v/>
      </c>
      <c r="R143" s="89" t="str">
        <f t="shared" si="7"/>
        <v/>
      </c>
      <c r="S143" s="82"/>
      <c r="U143" s="37" t="e">
        <f t="shared" si="8"/>
        <v>#VALUE!</v>
      </c>
    </row>
    <row r="144" spans="1:21" x14ac:dyDescent="0.25">
      <c r="A144" s="31" t="str">
        <f>IF(Table!A144 = "","",Table!A144)</f>
        <v/>
      </c>
      <c r="B144" s="31" t="str">
        <f>IF(Table!B144 = "","",Table!B144)</f>
        <v/>
      </c>
      <c r="C144" s="31" t="str">
        <f>IF(Table!C144 = "","",Table!C144)</f>
        <v/>
      </c>
      <c r="D144" s="32" t="str">
        <f>IF(Table!D144 = "","",Table!D144)</f>
        <v/>
      </c>
      <c r="E144" s="32" t="str">
        <f>IF(Table!E144 = "","",Table!E144)</f>
        <v/>
      </c>
      <c r="F144" s="32" t="str">
        <f>IF(Table!F144 = "","",Table!F144)</f>
        <v/>
      </c>
      <c r="G144" s="91"/>
      <c r="I144" s="84" t="str">
        <f>IFERROR(VLOOKUP(A144,Downlink!A:L,12,TRUE),"")</f>
        <v/>
      </c>
      <c r="K144" s="31" t="str">
        <f>IFERROR(VLOOKUP(A144,Table!$I$4:$O$3000,1,TRUE),"")</f>
        <v/>
      </c>
      <c r="L144" s="31" t="str">
        <f>IFERROR(INDEX(Table!I:O,MATCH(K144,Table!I:I,0),2),"")</f>
        <v/>
      </c>
      <c r="M144" s="31" t="str">
        <f>IFERROR(INDEX(Table!I:O,MATCH(K144,Table!I:I,0),3),"")</f>
        <v/>
      </c>
      <c r="N144" s="32" t="str">
        <f>IFERROR(INDEX(Table!I:O,MATCH(K144,Table!I:I,0),4),"")</f>
        <v/>
      </c>
      <c r="O144" s="32" t="str">
        <f>IFERROR(INDEX(Table!I:O,MATCH(K144,Table!I:I,0),5),"")</f>
        <v/>
      </c>
      <c r="P144" s="32" t="str">
        <f>IFERROR(INDEX(Table!I:O,MATCH(K144,Table!I:I,0),6),"")</f>
        <v/>
      </c>
      <c r="Q144" s="89" t="str">
        <f t="shared" si="6"/>
        <v/>
      </c>
      <c r="R144" s="89" t="str">
        <f t="shared" si="7"/>
        <v/>
      </c>
      <c r="S144" s="82"/>
      <c r="U144" s="37" t="e">
        <f t="shared" si="8"/>
        <v>#VALUE!</v>
      </c>
    </row>
    <row r="145" spans="1:21" x14ac:dyDescent="0.25">
      <c r="A145" s="31" t="str">
        <f>IF(Table!A145 = "","",Table!A145)</f>
        <v/>
      </c>
      <c r="B145" s="31" t="str">
        <f>IF(Table!B145 = "","",Table!B145)</f>
        <v/>
      </c>
      <c r="C145" s="31" t="str">
        <f>IF(Table!C145 = "","",Table!C145)</f>
        <v/>
      </c>
      <c r="D145" s="32" t="str">
        <f>IF(Table!D145 = "","",Table!D145)</f>
        <v/>
      </c>
      <c r="E145" s="32" t="str">
        <f>IF(Table!E145 = "","",Table!E145)</f>
        <v/>
      </c>
      <c r="F145" s="32" t="str">
        <f>IF(Table!F145 = "","",Table!F145)</f>
        <v/>
      </c>
      <c r="G145" s="91"/>
      <c r="I145" s="84" t="str">
        <f>IFERROR(VLOOKUP(A145,Downlink!A:L,12,TRUE),"")</f>
        <v/>
      </c>
      <c r="K145" s="31" t="str">
        <f>IFERROR(VLOOKUP(A145,Table!$I$4:$O$3000,1,TRUE),"")</f>
        <v/>
      </c>
      <c r="L145" s="31" t="str">
        <f>IFERROR(INDEX(Table!I:O,MATCH(K145,Table!I:I,0),2),"")</f>
        <v/>
      </c>
      <c r="M145" s="31" t="str">
        <f>IFERROR(INDEX(Table!I:O,MATCH(K145,Table!I:I,0),3),"")</f>
        <v/>
      </c>
      <c r="N145" s="32" t="str">
        <f>IFERROR(INDEX(Table!I:O,MATCH(K145,Table!I:I,0),4),"")</f>
        <v/>
      </c>
      <c r="O145" s="32" t="str">
        <f>IFERROR(INDEX(Table!I:O,MATCH(K145,Table!I:I,0),5),"")</f>
        <v/>
      </c>
      <c r="P145" s="32" t="str">
        <f>IFERROR(INDEX(Table!I:O,MATCH(K145,Table!I:I,0),6),"")</f>
        <v/>
      </c>
      <c r="Q145" s="89" t="str">
        <f t="shared" si="6"/>
        <v/>
      </c>
      <c r="R145" s="89" t="str">
        <f t="shared" si="7"/>
        <v/>
      </c>
      <c r="S145" s="82"/>
      <c r="U145" s="37" t="e">
        <f t="shared" si="8"/>
        <v>#VALUE!</v>
      </c>
    </row>
    <row r="146" spans="1:21" x14ac:dyDescent="0.25">
      <c r="A146" s="31" t="str">
        <f>IF(Table!A146 = "","",Table!A146)</f>
        <v/>
      </c>
      <c r="B146" s="31" t="str">
        <f>IF(Table!B146 = "","",Table!B146)</f>
        <v/>
      </c>
      <c r="C146" s="31" t="str">
        <f>IF(Table!C146 = "","",Table!C146)</f>
        <v/>
      </c>
      <c r="D146" s="32" t="str">
        <f>IF(Table!D146 = "","",Table!D146)</f>
        <v/>
      </c>
      <c r="E146" s="32" t="str">
        <f>IF(Table!E146 = "","",Table!E146)</f>
        <v/>
      </c>
      <c r="F146" s="32" t="str">
        <f>IF(Table!F146 = "","",Table!F146)</f>
        <v/>
      </c>
      <c r="G146" s="91"/>
      <c r="I146" s="84" t="str">
        <f>IFERROR(VLOOKUP(A146,Downlink!A:L,12,TRUE),"")</f>
        <v/>
      </c>
      <c r="K146" s="31" t="str">
        <f>IFERROR(VLOOKUP(A146,Table!$I$4:$O$3000,1,TRUE),"")</f>
        <v/>
      </c>
      <c r="L146" s="31" t="str">
        <f>IFERROR(INDEX(Table!I:O,MATCH(K146,Table!I:I,0),2),"")</f>
        <v/>
      </c>
      <c r="M146" s="31" t="str">
        <f>IFERROR(INDEX(Table!I:O,MATCH(K146,Table!I:I,0),3),"")</f>
        <v/>
      </c>
      <c r="N146" s="32" t="str">
        <f>IFERROR(INDEX(Table!I:O,MATCH(K146,Table!I:I,0),4),"")</f>
        <v/>
      </c>
      <c r="O146" s="32" t="str">
        <f>IFERROR(INDEX(Table!I:O,MATCH(K146,Table!I:I,0),5),"")</f>
        <v/>
      </c>
      <c r="P146" s="32" t="str">
        <f>IFERROR(INDEX(Table!I:O,MATCH(K146,Table!I:I,0),6),"")</f>
        <v/>
      </c>
      <c r="Q146" s="89" t="str">
        <f t="shared" si="6"/>
        <v/>
      </c>
      <c r="R146" s="89" t="str">
        <f t="shared" si="7"/>
        <v/>
      </c>
      <c r="S146" s="82"/>
      <c r="U146" s="37" t="e">
        <f t="shared" si="8"/>
        <v>#VALUE!</v>
      </c>
    </row>
    <row r="147" spans="1:21" x14ac:dyDescent="0.25">
      <c r="A147" s="31" t="str">
        <f>IF(Table!A147 = "","",Table!A147)</f>
        <v/>
      </c>
      <c r="B147" s="31" t="str">
        <f>IF(Table!B147 = "","",Table!B147)</f>
        <v/>
      </c>
      <c r="C147" s="31" t="str">
        <f>IF(Table!C147 = "","",Table!C147)</f>
        <v/>
      </c>
      <c r="D147" s="32" t="str">
        <f>IF(Table!D147 = "","",Table!D147)</f>
        <v/>
      </c>
      <c r="E147" s="32" t="str">
        <f>IF(Table!E147 = "","",Table!E147)</f>
        <v/>
      </c>
      <c r="F147" s="32" t="str">
        <f>IF(Table!F147 = "","",Table!F147)</f>
        <v/>
      </c>
      <c r="G147" s="91"/>
      <c r="I147" s="84" t="str">
        <f>IFERROR(VLOOKUP(A147,Downlink!A:L,12,TRUE),"")</f>
        <v/>
      </c>
      <c r="K147" s="31" t="str">
        <f>IFERROR(VLOOKUP(A147,Table!$I$4:$O$3000,1,TRUE),"")</f>
        <v/>
      </c>
      <c r="L147" s="31" t="str">
        <f>IFERROR(INDEX(Table!I:O,MATCH(K147,Table!I:I,0),2),"")</f>
        <v/>
      </c>
      <c r="M147" s="31" t="str">
        <f>IFERROR(INDEX(Table!I:O,MATCH(K147,Table!I:I,0),3),"")</f>
        <v/>
      </c>
      <c r="N147" s="32" t="str">
        <f>IFERROR(INDEX(Table!I:O,MATCH(K147,Table!I:I,0),4),"")</f>
        <v/>
      </c>
      <c r="O147" s="32" t="str">
        <f>IFERROR(INDEX(Table!I:O,MATCH(K147,Table!I:I,0),5),"")</f>
        <v/>
      </c>
      <c r="P147" s="32" t="str">
        <f>IFERROR(INDEX(Table!I:O,MATCH(K147,Table!I:I,0),6),"")</f>
        <v/>
      </c>
      <c r="Q147" s="89" t="str">
        <f t="shared" si="6"/>
        <v/>
      </c>
      <c r="R147" s="89" t="str">
        <f t="shared" si="7"/>
        <v/>
      </c>
      <c r="S147" s="82"/>
      <c r="U147" s="37" t="e">
        <f t="shared" si="8"/>
        <v>#VALUE!</v>
      </c>
    </row>
    <row r="148" spans="1:21" x14ac:dyDescent="0.25">
      <c r="A148" s="31" t="str">
        <f>IF(Table!A148 = "","",Table!A148)</f>
        <v/>
      </c>
      <c r="B148" s="31" t="str">
        <f>IF(Table!B148 = "","",Table!B148)</f>
        <v/>
      </c>
      <c r="C148" s="31" t="str">
        <f>IF(Table!C148 = "","",Table!C148)</f>
        <v/>
      </c>
      <c r="D148" s="32" t="str">
        <f>IF(Table!D148 = "","",Table!D148)</f>
        <v/>
      </c>
      <c r="E148" s="32" t="str">
        <f>IF(Table!E148 = "","",Table!E148)</f>
        <v/>
      </c>
      <c r="F148" s="32" t="str">
        <f>IF(Table!F148 = "","",Table!F148)</f>
        <v/>
      </c>
      <c r="G148" s="91"/>
      <c r="I148" s="84" t="str">
        <f>IFERROR(VLOOKUP(A148,Downlink!A:L,12,TRUE),"")</f>
        <v/>
      </c>
      <c r="K148" s="31" t="str">
        <f>IFERROR(VLOOKUP(A148,Table!$I$4:$O$3000,1,TRUE),"")</f>
        <v/>
      </c>
      <c r="L148" s="31" t="str">
        <f>IFERROR(INDEX(Table!I:O,MATCH(K148,Table!I:I,0),2),"")</f>
        <v/>
      </c>
      <c r="M148" s="31" t="str">
        <f>IFERROR(INDEX(Table!I:O,MATCH(K148,Table!I:I,0),3),"")</f>
        <v/>
      </c>
      <c r="N148" s="32" t="str">
        <f>IFERROR(INDEX(Table!I:O,MATCH(K148,Table!I:I,0),4),"")</f>
        <v/>
      </c>
      <c r="O148" s="32" t="str">
        <f>IFERROR(INDEX(Table!I:O,MATCH(K148,Table!I:I,0),5),"")</f>
        <v/>
      </c>
      <c r="P148" s="32" t="str">
        <f>IFERROR(INDEX(Table!I:O,MATCH(K148,Table!I:I,0),6),"")</f>
        <v/>
      </c>
      <c r="Q148" s="89" t="str">
        <f t="shared" si="6"/>
        <v/>
      </c>
      <c r="R148" s="89" t="str">
        <f t="shared" si="7"/>
        <v/>
      </c>
      <c r="S148" s="82"/>
      <c r="U148" s="37" t="e">
        <f t="shared" si="8"/>
        <v>#VALUE!</v>
      </c>
    </row>
    <row r="149" spans="1:21" x14ac:dyDescent="0.25">
      <c r="A149" s="31" t="str">
        <f>IF(Table!A149 = "","",Table!A149)</f>
        <v/>
      </c>
      <c r="B149" s="31" t="str">
        <f>IF(Table!B149 = "","",Table!B149)</f>
        <v/>
      </c>
      <c r="C149" s="31" t="str">
        <f>IF(Table!C149 = "","",Table!C149)</f>
        <v/>
      </c>
      <c r="D149" s="32" t="str">
        <f>IF(Table!D149 = "","",Table!D149)</f>
        <v/>
      </c>
      <c r="E149" s="32" t="str">
        <f>IF(Table!E149 = "","",Table!E149)</f>
        <v/>
      </c>
      <c r="F149" s="32" t="str">
        <f>IF(Table!F149 = "","",Table!F149)</f>
        <v/>
      </c>
      <c r="G149" s="91"/>
      <c r="I149" s="84" t="str">
        <f>IFERROR(VLOOKUP(A149,Downlink!A:L,12,TRUE),"")</f>
        <v/>
      </c>
      <c r="K149" s="31" t="str">
        <f>IFERROR(VLOOKUP(A149,Table!$I$4:$O$3000,1,TRUE),"")</f>
        <v/>
      </c>
      <c r="L149" s="31" t="str">
        <f>IFERROR(INDEX(Table!I:O,MATCH(K149,Table!I:I,0),2),"")</f>
        <v/>
      </c>
      <c r="M149" s="31" t="str">
        <f>IFERROR(INDEX(Table!I:O,MATCH(K149,Table!I:I,0),3),"")</f>
        <v/>
      </c>
      <c r="N149" s="32" t="str">
        <f>IFERROR(INDEX(Table!I:O,MATCH(K149,Table!I:I,0),4),"")</f>
        <v/>
      </c>
      <c r="O149" s="32" t="str">
        <f>IFERROR(INDEX(Table!I:O,MATCH(K149,Table!I:I,0),5),"")</f>
        <v/>
      </c>
      <c r="P149" s="32" t="str">
        <f>IFERROR(INDEX(Table!I:O,MATCH(K149,Table!I:I,0),6),"")</f>
        <v/>
      </c>
      <c r="Q149" s="89" t="str">
        <f t="shared" si="6"/>
        <v/>
      </c>
      <c r="R149" s="89" t="str">
        <f t="shared" si="7"/>
        <v/>
      </c>
      <c r="S149" s="82"/>
      <c r="U149" s="37" t="e">
        <f t="shared" si="8"/>
        <v>#VALUE!</v>
      </c>
    </row>
    <row r="150" spans="1:21" x14ac:dyDescent="0.25">
      <c r="A150" s="31" t="str">
        <f>IF(Table!A150 = "","",Table!A150)</f>
        <v/>
      </c>
      <c r="B150" s="31" t="str">
        <f>IF(Table!B150 = "","",Table!B150)</f>
        <v/>
      </c>
      <c r="C150" s="31" t="str">
        <f>IF(Table!C150 = "","",Table!C150)</f>
        <v/>
      </c>
      <c r="D150" s="32" t="str">
        <f>IF(Table!D150 = "","",Table!D150)</f>
        <v/>
      </c>
      <c r="E150" s="32" t="str">
        <f>IF(Table!E150 = "","",Table!E150)</f>
        <v/>
      </c>
      <c r="F150" s="32" t="str">
        <f>IF(Table!F150 = "","",Table!F150)</f>
        <v/>
      </c>
      <c r="G150" s="91"/>
      <c r="I150" s="84" t="str">
        <f>IFERROR(VLOOKUP(A150,Downlink!A:L,12,TRUE),"")</f>
        <v/>
      </c>
      <c r="K150" s="31" t="str">
        <f>IFERROR(VLOOKUP(A150,Table!$I$4:$O$3000,1,TRUE),"")</f>
        <v/>
      </c>
      <c r="L150" s="31" t="str">
        <f>IFERROR(INDEX(Table!I:O,MATCH(K150,Table!I:I,0),2),"")</f>
        <v/>
      </c>
      <c r="M150" s="31" t="str">
        <f>IFERROR(INDEX(Table!I:O,MATCH(K150,Table!I:I,0),3),"")</f>
        <v/>
      </c>
      <c r="N150" s="32" t="str">
        <f>IFERROR(INDEX(Table!I:O,MATCH(K150,Table!I:I,0),4),"")</f>
        <v/>
      </c>
      <c r="O150" s="32" t="str">
        <f>IFERROR(INDEX(Table!I:O,MATCH(K150,Table!I:I,0),5),"")</f>
        <v/>
      </c>
      <c r="P150" s="32" t="str">
        <f>IFERROR(INDEX(Table!I:O,MATCH(K150,Table!I:I,0),6),"")</f>
        <v/>
      </c>
      <c r="Q150" s="89" t="str">
        <f t="shared" si="6"/>
        <v/>
      </c>
      <c r="R150" s="89" t="str">
        <f t="shared" si="7"/>
        <v/>
      </c>
      <c r="S150" s="82"/>
      <c r="U150" s="37" t="e">
        <f t="shared" si="8"/>
        <v>#VALUE!</v>
      </c>
    </row>
    <row r="151" spans="1:21" x14ac:dyDescent="0.25">
      <c r="A151" s="31" t="str">
        <f>IF(Table!A151 = "","",Table!A151)</f>
        <v/>
      </c>
      <c r="B151" s="31" t="str">
        <f>IF(Table!B151 = "","",Table!B151)</f>
        <v/>
      </c>
      <c r="C151" s="31" t="str">
        <f>IF(Table!C151 = "","",Table!C151)</f>
        <v/>
      </c>
      <c r="D151" s="32" t="str">
        <f>IF(Table!D151 = "","",Table!D151)</f>
        <v/>
      </c>
      <c r="E151" s="32" t="str">
        <f>IF(Table!E151 = "","",Table!E151)</f>
        <v/>
      </c>
      <c r="F151" s="32" t="str">
        <f>IF(Table!F151 = "","",Table!F151)</f>
        <v/>
      </c>
      <c r="G151" s="91"/>
      <c r="I151" s="84" t="str">
        <f>IFERROR(VLOOKUP(A151,Downlink!A:L,12,TRUE),"")</f>
        <v/>
      </c>
      <c r="K151" s="31" t="str">
        <f>IFERROR(VLOOKUP(A151,Table!$I$4:$O$3000,1,TRUE),"")</f>
        <v/>
      </c>
      <c r="L151" s="31" t="str">
        <f>IFERROR(INDEX(Table!I:O,MATCH(K151,Table!I:I,0),2),"")</f>
        <v/>
      </c>
      <c r="M151" s="31" t="str">
        <f>IFERROR(INDEX(Table!I:O,MATCH(K151,Table!I:I,0),3),"")</f>
        <v/>
      </c>
      <c r="N151" s="32" t="str">
        <f>IFERROR(INDEX(Table!I:O,MATCH(K151,Table!I:I,0),4),"")</f>
        <v/>
      </c>
      <c r="O151" s="32" t="str">
        <f>IFERROR(INDEX(Table!I:O,MATCH(K151,Table!I:I,0),5),"")</f>
        <v/>
      </c>
      <c r="P151" s="32" t="str">
        <f>IFERROR(INDEX(Table!I:O,MATCH(K151,Table!I:I,0),6),"")</f>
        <v/>
      </c>
      <c r="Q151" s="89" t="str">
        <f t="shared" si="6"/>
        <v/>
      </c>
      <c r="R151" s="89" t="str">
        <f t="shared" si="7"/>
        <v/>
      </c>
      <c r="S151" s="82"/>
      <c r="U151" s="37" t="e">
        <f t="shared" si="8"/>
        <v>#VALUE!</v>
      </c>
    </row>
    <row r="152" spans="1:21" x14ac:dyDescent="0.25">
      <c r="A152" s="31" t="str">
        <f>IF(Table!A152 = "","",Table!A152)</f>
        <v/>
      </c>
      <c r="B152" s="31" t="str">
        <f>IF(Table!B152 = "","",Table!B152)</f>
        <v/>
      </c>
      <c r="C152" s="31" t="str">
        <f>IF(Table!C152 = "","",Table!C152)</f>
        <v/>
      </c>
      <c r="D152" s="32" t="str">
        <f>IF(Table!D152 = "","",Table!D152)</f>
        <v/>
      </c>
      <c r="E152" s="32" t="str">
        <f>IF(Table!E152 = "","",Table!E152)</f>
        <v/>
      </c>
      <c r="F152" s="32" t="str">
        <f>IF(Table!F152 = "","",Table!F152)</f>
        <v/>
      </c>
      <c r="G152" s="91"/>
      <c r="I152" s="84" t="str">
        <f>IFERROR(VLOOKUP(A152,Downlink!A:L,12,TRUE),"")</f>
        <v/>
      </c>
      <c r="K152" s="31" t="str">
        <f>IFERROR(VLOOKUP(A152,Table!$I$4:$O$3000,1,TRUE),"")</f>
        <v/>
      </c>
      <c r="L152" s="31" t="str">
        <f>IFERROR(INDEX(Table!I:O,MATCH(K152,Table!I:I,0),2),"")</f>
        <v/>
      </c>
      <c r="M152" s="31" t="str">
        <f>IFERROR(INDEX(Table!I:O,MATCH(K152,Table!I:I,0),3),"")</f>
        <v/>
      </c>
      <c r="N152" s="32" t="str">
        <f>IFERROR(INDEX(Table!I:O,MATCH(K152,Table!I:I,0),4),"")</f>
        <v/>
      </c>
      <c r="O152" s="32" t="str">
        <f>IFERROR(INDEX(Table!I:O,MATCH(K152,Table!I:I,0),5),"")</f>
        <v/>
      </c>
      <c r="P152" s="32" t="str">
        <f>IFERROR(INDEX(Table!I:O,MATCH(K152,Table!I:I,0),6),"")</f>
        <v/>
      </c>
      <c r="Q152" s="89" t="str">
        <f t="shared" si="6"/>
        <v/>
      </c>
      <c r="R152" s="89" t="str">
        <f t="shared" si="7"/>
        <v/>
      </c>
      <c r="S152" s="82"/>
      <c r="U152" s="37" t="e">
        <f t="shared" si="8"/>
        <v>#VALUE!</v>
      </c>
    </row>
    <row r="153" spans="1:21" x14ac:dyDescent="0.25">
      <c r="A153" s="31" t="str">
        <f>IF(Table!A153 = "","",Table!A153)</f>
        <v/>
      </c>
      <c r="B153" s="31" t="str">
        <f>IF(Table!B153 = "","",Table!B153)</f>
        <v/>
      </c>
      <c r="C153" s="31" t="str">
        <f>IF(Table!C153 = "","",Table!C153)</f>
        <v/>
      </c>
      <c r="D153" s="32" t="str">
        <f>IF(Table!D153 = "","",Table!D153)</f>
        <v/>
      </c>
      <c r="E153" s="32" t="str">
        <f>IF(Table!E153 = "","",Table!E153)</f>
        <v/>
      </c>
      <c r="F153" s="32" t="str">
        <f>IF(Table!F153 = "","",Table!F153)</f>
        <v/>
      </c>
      <c r="G153" s="91"/>
      <c r="I153" s="84" t="str">
        <f>IFERROR(VLOOKUP(A153,Downlink!A:L,12,TRUE),"")</f>
        <v/>
      </c>
      <c r="K153" s="31" t="str">
        <f>IFERROR(VLOOKUP(A153,Table!$I$4:$O$3000,1,TRUE),"")</f>
        <v/>
      </c>
      <c r="L153" s="31" t="str">
        <f>IFERROR(INDEX(Table!I:O,MATCH(K153,Table!I:I,0),2),"")</f>
        <v/>
      </c>
      <c r="M153" s="31" t="str">
        <f>IFERROR(INDEX(Table!I:O,MATCH(K153,Table!I:I,0),3),"")</f>
        <v/>
      </c>
      <c r="N153" s="32" t="str">
        <f>IFERROR(INDEX(Table!I:O,MATCH(K153,Table!I:I,0),4),"")</f>
        <v/>
      </c>
      <c r="O153" s="32" t="str">
        <f>IFERROR(INDEX(Table!I:O,MATCH(K153,Table!I:I,0),5),"")</f>
        <v/>
      </c>
      <c r="P153" s="32" t="str">
        <f>IFERROR(INDEX(Table!I:O,MATCH(K153,Table!I:I,0),6),"")</f>
        <v/>
      </c>
      <c r="Q153" s="89" t="str">
        <f t="shared" si="6"/>
        <v/>
      </c>
      <c r="R153" s="89" t="str">
        <f t="shared" si="7"/>
        <v/>
      </c>
      <c r="S153" s="82"/>
      <c r="U153" s="37" t="e">
        <f t="shared" si="8"/>
        <v>#VALUE!</v>
      </c>
    </row>
    <row r="154" spans="1:21" x14ac:dyDescent="0.25">
      <c r="A154" s="31" t="str">
        <f>IF(Table!A154 = "","",Table!A154)</f>
        <v/>
      </c>
      <c r="B154" s="31" t="str">
        <f>IF(Table!B154 = "","",Table!B154)</f>
        <v/>
      </c>
      <c r="C154" s="31" t="str">
        <f>IF(Table!C154 = "","",Table!C154)</f>
        <v/>
      </c>
      <c r="D154" s="32" t="str">
        <f>IF(Table!D154 = "","",Table!D154)</f>
        <v/>
      </c>
      <c r="E154" s="32" t="str">
        <f>IF(Table!E154 = "","",Table!E154)</f>
        <v/>
      </c>
      <c r="F154" s="32" t="str">
        <f>IF(Table!F154 = "","",Table!F154)</f>
        <v/>
      </c>
      <c r="G154" s="91"/>
      <c r="I154" s="84" t="str">
        <f>IFERROR(VLOOKUP(A154,Downlink!A:L,12,TRUE),"")</f>
        <v/>
      </c>
      <c r="K154" s="31" t="str">
        <f>IFERROR(VLOOKUP(A154,Table!$I$4:$O$3000,1,TRUE),"")</f>
        <v/>
      </c>
      <c r="L154" s="31" t="str">
        <f>IFERROR(INDEX(Table!I:O,MATCH(K154,Table!I:I,0),2),"")</f>
        <v/>
      </c>
      <c r="M154" s="31" t="str">
        <f>IFERROR(INDEX(Table!I:O,MATCH(K154,Table!I:I,0),3),"")</f>
        <v/>
      </c>
      <c r="N154" s="32" t="str">
        <f>IFERROR(INDEX(Table!I:O,MATCH(K154,Table!I:I,0),4),"")</f>
        <v/>
      </c>
      <c r="O154" s="32" t="str">
        <f>IFERROR(INDEX(Table!I:O,MATCH(K154,Table!I:I,0),5),"")</f>
        <v/>
      </c>
      <c r="P154" s="32" t="str">
        <f>IFERROR(INDEX(Table!I:O,MATCH(K154,Table!I:I,0),6),"")</f>
        <v/>
      </c>
      <c r="Q154" s="89" t="str">
        <f t="shared" si="6"/>
        <v/>
      </c>
      <c r="R154" s="89" t="str">
        <f t="shared" si="7"/>
        <v/>
      </c>
      <c r="S154" s="82"/>
      <c r="U154" s="37" t="e">
        <f t="shared" si="8"/>
        <v>#VALUE!</v>
      </c>
    </row>
    <row r="155" spans="1:21" x14ac:dyDescent="0.25">
      <c r="A155" s="31" t="str">
        <f>IF(Table!A155 = "","",Table!A155)</f>
        <v/>
      </c>
      <c r="B155" s="31" t="str">
        <f>IF(Table!B155 = "","",Table!B155)</f>
        <v/>
      </c>
      <c r="C155" s="31" t="str">
        <f>IF(Table!C155 = "","",Table!C155)</f>
        <v/>
      </c>
      <c r="D155" s="32" t="str">
        <f>IF(Table!D155 = "","",Table!D155)</f>
        <v/>
      </c>
      <c r="E155" s="32" t="str">
        <f>IF(Table!E155 = "","",Table!E155)</f>
        <v/>
      </c>
      <c r="F155" s="32" t="str">
        <f>IF(Table!F155 = "","",Table!F155)</f>
        <v/>
      </c>
      <c r="G155" s="91"/>
      <c r="I155" s="84" t="str">
        <f>IFERROR(VLOOKUP(A155,Downlink!A:L,12,TRUE),"")</f>
        <v/>
      </c>
      <c r="K155" s="31" t="str">
        <f>IFERROR(VLOOKUP(A155,Table!$I$4:$O$3000,1,TRUE),"")</f>
        <v/>
      </c>
      <c r="L155" s="31" t="str">
        <f>IFERROR(INDEX(Table!I:O,MATCH(K155,Table!I:I,0),2),"")</f>
        <v/>
      </c>
      <c r="M155" s="31" t="str">
        <f>IFERROR(INDEX(Table!I:O,MATCH(K155,Table!I:I,0),3),"")</f>
        <v/>
      </c>
      <c r="N155" s="32" t="str">
        <f>IFERROR(INDEX(Table!I:O,MATCH(K155,Table!I:I,0),4),"")</f>
        <v/>
      </c>
      <c r="O155" s="32" t="str">
        <f>IFERROR(INDEX(Table!I:O,MATCH(K155,Table!I:I,0),5),"")</f>
        <v/>
      </c>
      <c r="P155" s="32" t="str">
        <f>IFERROR(INDEX(Table!I:O,MATCH(K155,Table!I:I,0),6),"")</f>
        <v/>
      </c>
      <c r="Q155" s="89" t="str">
        <f t="shared" si="6"/>
        <v/>
      </c>
      <c r="R155" s="89" t="str">
        <f t="shared" si="7"/>
        <v/>
      </c>
      <c r="S155" s="82"/>
      <c r="U155" s="37" t="e">
        <f t="shared" si="8"/>
        <v>#VALUE!</v>
      </c>
    </row>
    <row r="156" spans="1:21" x14ac:dyDescent="0.25">
      <c r="A156" s="31" t="str">
        <f>IF(Table!A156 = "","",Table!A156)</f>
        <v/>
      </c>
      <c r="B156" s="31" t="str">
        <f>IF(Table!B156 = "","",Table!B156)</f>
        <v/>
      </c>
      <c r="C156" s="31" t="str">
        <f>IF(Table!C156 = "","",Table!C156)</f>
        <v/>
      </c>
      <c r="D156" s="32" t="str">
        <f>IF(Table!D156 = "","",Table!D156)</f>
        <v/>
      </c>
      <c r="E156" s="32" t="str">
        <f>IF(Table!E156 = "","",Table!E156)</f>
        <v/>
      </c>
      <c r="F156" s="32" t="str">
        <f>IF(Table!F156 = "","",Table!F156)</f>
        <v/>
      </c>
      <c r="G156" s="91"/>
      <c r="I156" s="84" t="str">
        <f>IFERROR(VLOOKUP(A156,Downlink!A:L,12,TRUE),"")</f>
        <v/>
      </c>
      <c r="K156" s="31" t="str">
        <f>IFERROR(VLOOKUP(A156,Table!$I$4:$O$3000,1,TRUE),"")</f>
        <v/>
      </c>
      <c r="L156" s="31" t="str">
        <f>IFERROR(INDEX(Table!I:O,MATCH(K156,Table!I:I,0),2),"")</f>
        <v/>
      </c>
      <c r="M156" s="31" t="str">
        <f>IFERROR(INDEX(Table!I:O,MATCH(K156,Table!I:I,0),3),"")</f>
        <v/>
      </c>
      <c r="N156" s="32" t="str">
        <f>IFERROR(INDEX(Table!I:O,MATCH(K156,Table!I:I,0),4),"")</f>
        <v/>
      </c>
      <c r="O156" s="32" t="str">
        <f>IFERROR(INDEX(Table!I:O,MATCH(K156,Table!I:I,0),5),"")</f>
        <v/>
      </c>
      <c r="P156" s="32" t="str">
        <f>IFERROR(INDEX(Table!I:O,MATCH(K156,Table!I:I,0),6),"")</f>
        <v/>
      </c>
      <c r="Q156" s="89" t="str">
        <f t="shared" si="6"/>
        <v/>
      </c>
      <c r="R156" s="89" t="str">
        <f t="shared" si="7"/>
        <v/>
      </c>
      <c r="S156" s="82"/>
      <c r="U156" s="37" t="e">
        <f t="shared" si="8"/>
        <v>#VALUE!</v>
      </c>
    </row>
    <row r="157" spans="1:21" x14ac:dyDescent="0.25">
      <c r="A157" s="31" t="str">
        <f>IF(Table!A157 = "","",Table!A157)</f>
        <v/>
      </c>
      <c r="B157" s="31" t="str">
        <f>IF(Table!B157 = "","",Table!B157)</f>
        <v/>
      </c>
      <c r="C157" s="31" t="str">
        <f>IF(Table!C157 = "","",Table!C157)</f>
        <v/>
      </c>
      <c r="D157" s="32" t="str">
        <f>IF(Table!D157 = "","",Table!D157)</f>
        <v/>
      </c>
      <c r="E157" s="32" t="str">
        <f>IF(Table!E157 = "","",Table!E157)</f>
        <v/>
      </c>
      <c r="F157" s="32" t="str">
        <f>IF(Table!F157 = "","",Table!F157)</f>
        <v/>
      </c>
      <c r="G157" s="91"/>
      <c r="I157" s="84" t="str">
        <f>IFERROR(VLOOKUP(A157,Downlink!A:L,12,TRUE),"")</f>
        <v/>
      </c>
      <c r="K157" s="31" t="str">
        <f>IFERROR(VLOOKUP(A157,Table!$I$4:$O$3000,1,TRUE),"")</f>
        <v/>
      </c>
      <c r="L157" s="31" t="str">
        <f>IFERROR(INDEX(Table!I:O,MATCH(K157,Table!I:I,0),2),"")</f>
        <v/>
      </c>
      <c r="M157" s="31" t="str">
        <f>IFERROR(INDEX(Table!I:O,MATCH(K157,Table!I:I,0),3),"")</f>
        <v/>
      </c>
      <c r="N157" s="32" t="str">
        <f>IFERROR(INDEX(Table!I:O,MATCH(K157,Table!I:I,0),4),"")</f>
        <v/>
      </c>
      <c r="O157" s="32" t="str">
        <f>IFERROR(INDEX(Table!I:O,MATCH(K157,Table!I:I,0),5),"")</f>
        <v/>
      </c>
      <c r="P157" s="32" t="str">
        <f>IFERROR(INDEX(Table!I:O,MATCH(K157,Table!I:I,0),6),"")</f>
        <v/>
      </c>
      <c r="Q157" s="89" t="str">
        <f t="shared" si="6"/>
        <v/>
      </c>
      <c r="R157" s="89" t="str">
        <f t="shared" si="7"/>
        <v/>
      </c>
      <c r="S157" s="82"/>
      <c r="U157" s="37" t="e">
        <f t="shared" si="8"/>
        <v>#VALUE!</v>
      </c>
    </row>
    <row r="158" spans="1:21" x14ac:dyDescent="0.25">
      <c r="A158" s="31" t="str">
        <f>IF(Table!A158 = "","",Table!A158)</f>
        <v/>
      </c>
      <c r="B158" s="31" t="str">
        <f>IF(Table!B158 = "","",Table!B158)</f>
        <v/>
      </c>
      <c r="C158" s="31" t="str">
        <f>IF(Table!C158 = "","",Table!C158)</f>
        <v/>
      </c>
      <c r="D158" s="32" t="str">
        <f>IF(Table!D158 = "","",Table!D158)</f>
        <v/>
      </c>
      <c r="E158" s="32" t="str">
        <f>IF(Table!E158 = "","",Table!E158)</f>
        <v/>
      </c>
      <c r="F158" s="32" t="str">
        <f>IF(Table!F158 = "","",Table!F158)</f>
        <v/>
      </c>
      <c r="G158" s="91"/>
      <c r="I158" s="84" t="str">
        <f>IFERROR(VLOOKUP(A158,Downlink!A:L,12,TRUE),"")</f>
        <v/>
      </c>
      <c r="K158" s="31" t="str">
        <f>IFERROR(VLOOKUP(A158,Table!$I$4:$O$3000,1,TRUE),"")</f>
        <v/>
      </c>
      <c r="L158" s="31" t="str">
        <f>IFERROR(INDEX(Table!I:O,MATCH(K158,Table!I:I,0),2),"")</f>
        <v/>
      </c>
      <c r="M158" s="31" t="str">
        <f>IFERROR(INDEX(Table!I:O,MATCH(K158,Table!I:I,0),3),"")</f>
        <v/>
      </c>
      <c r="N158" s="32" t="str">
        <f>IFERROR(INDEX(Table!I:O,MATCH(K158,Table!I:I,0),4),"")</f>
        <v/>
      </c>
      <c r="O158" s="32" t="str">
        <f>IFERROR(INDEX(Table!I:O,MATCH(K158,Table!I:I,0),5),"")</f>
        <v/>
      </c>
      <c r="P158" s="32" t="str">
        <f>IFERROR(INDEX(Table!I:O,MATCH(K158,Table!I:I,0),6),"")</f>
        <v/>
      </c>
      <c r="Q158" s="89" t="str">
        <f t="shared" si="6"/>
        <v/>
      </c>
      <c r="R158" s="89" t="str">
        <f t="shared" si="7"/>
        <v/>
      </c>
      <c r="S158" s="82"/>
      <c r="U158" s="37" t="e">
        <f t="shared" si="8"/>
        <v>#VALUE!</v>
      </c>
    </row>
    <row r="159" spans="1:21" x14ac:dyDescent="0.25">
      <c r="A159" s="31" t="str">
        <f>IF(Table!A159 = "","",Table!A159)</f>
        <v/>
      </c>
      <c r="B159" s="31" t="str">
        <f>IF(Table!B159 = "","",Table!B159)</f>
        <v/>
      </c>
      <c r="C159" s="31" t="str">
        <f>IF(Table!C159 = "","",Table!C159)</f>
        <v/>
      </c>
      <c r="D159" s="32" t="str">
        <f>IF(Table!D159 = "","",Table!D159)</f>
        <v/>
      </c>
      <c r="E159" s="32" t="str">
        <f>IF(Table!E159 = "","",Table!E159)</f>
        <v/>
      </c>
      <c r="F159" s="32" t="str">
        <f>IF(Table!F159 = "","",Table!F159)</f>
        <v/>
      </c>
      <c r="G159" s="91"/>
      <c r="I159" s="84" t="str">
        <f>IFERROR(VLOOKUP(A159,Downlink!A:L,12,TRUE),"")</f>
        <v/>
      </c>
      <c r="K159" s="31" t="str">
        <f>IFERROR(VLOOKUP(A159,Table!$I$4:$O$3000,1,TRUE),"")</f>
        <v/>
      </c>
      <c r="L159" s="31" t="str">
        <f>IFERROR(INDEX(Table!I:O,MATCH(K159,Table!I:I,0),2),"")</f>
        <v/>
      </c>
      <c r="M159" s="31" t="str">
        <f>IFERROR(INDEX(Table!I:O,MATCH(K159,Table!I:I,0),3),"")</f>
        <v/>
      </c>
      <c r="N159" s="32" t="str">
        <f>IFERROR(INDEX(Table!I:O,MATCH(K159,Table!I:I,0),4),"")</f>
        <v/>
      </c>
      <c r="O159" s="32" t="str">
        <f>IFERROR(INDEX(Table!I:O,MATCH(K159,Table!I:I,0),5),"")</f>
        <v/>
      </c>
      <c r="P159" s="32" t="str">
        <f>IFERROR(INDEX(Table!I:O,MATCH(K159,Table!I:I,0),6),"")</f>
        <v/>
      </c>
      <c r="Q159" s="89" t="str">
        <f t="shared" si="6"/>
        <v/>
      </c>
      <c r="R159" s="89" t="str">
        <f t="shared" si="7"/>
        <v/>
      </c>
      <c r="S159" s="82"/>
      <c r="U159" s="37" t="e">
        <f t="shared" si="8"/>
        <v>#VALUE!</v>
      </c>
    </row>
    <row r="160" spans="1:21" x14ac:dyDescent="0.25">
      <c r="A160" s="31" t="str">
        <f>IF(Table!A160 = "","",Table!A160)</f>
        <v/>
      </c>
      <c r="B160" s="31" t="str">
        <f>IF(Table!B160 = "","",Table!B160)</f>
        <v/>
      </c>
      <c r="C160" s="31" t="str">
        <f>IF(Table!C160 = "","",Table!C160)</f>
        <v/>
      </c>
      <c r="D160" s="32" t="str">
        <f>IF(Table!D160 = "","",Table!D160)</f>
        <v/>
      </c>
      <c r="E160" s="32" t="str">
        <f>IF(Table!E160 = "","",Table!E160)</f>
        <v/>
      </c>
      <c r="F160" s="32" t="str">
        <f>IF(Table!F160 = "","",Table!F160)</f>
        <v/>
      </c>
      <c r="G160" s="91"/>
      <c r="I160" s="84" t="str">
        <f>IFERROR(VLOOKUP(A160,Downlink!A:L,12,TRUE),"")</f>
        <v/>
      </c>
      <c r="K160" s="31" t="str">
        <f>IFERROR(VLOOKUP(A160,Table!$I$4:$O$3000,1,TRUE),"")</f>
        <v/>
      </c>
      <c r="L160" s="31" t="str">
        <f>IFERROR(INDEX(Table!I:O,MATCH(K160,Table!I:I,0),2),"")</f>
        <v/>
      </c>
      <c r="M160" s="31" t="str">
        <f>IFERROR(INDEX(Table!I:O,MATCH(K160,Table!I:I,0),3),"")</f>
        <v/>
      </c>
      <c r="N160" s="32" t="str">
        <f>IFERROR(INDEX(Table!I:O,MATCH(K160,Table!I:I,0),4),"")</f>
        <v/>
      </c>
      <c r="O160" s="32" t="str">
        <f>IFERROR(INDEX(Table!I:O,MATCH(K160,Table!I:I,0),5),"")</f>
        <v/>
      </c>
      <c r="P160" s="32" t="str">
        <f>IFERROR(INDEX(Table!I:O,MATCH(K160,Table!I:I,0),6),"")</f>
        <v/>
      </c>
      <c r="Q160" s="89" t="str">
        <f t="shared" si="6"/>
        <v/>
      </c>
      <c r="R160" s="89" t="str">
        <f t="shared" si="7"/>
        <v/>
      </c>
      <c r="S160" s="82"/>
      <c r="U160" s="37" t="e">
        <f t="shared" si="8"/>
        <v>#VALUE!</v>
      </c>
    </row>
    <row r="161" spans="1:21" x14ac:dyDescent="0.25">
      <c r="A161" s="31" t="str">
        <f>IF(Table!A161 = "","",Table!A161)</f>
        <v/>
      </c>
      <c r="B161" s="31" t="str">
        <f>IF(Table!B161 = "","",Table!B161)</f>
        <v/>
      </c>
      <c r="C161" s="31" t="str">
        <f>IF(Table!C161 = "","",Table!C161)</f>
        <v/>
      </c>
      <c r="D161" s="32" t="str">
        <f>IF(Table!D161 = "","",Table!D161)</f>
        <v/>
      </c>
      <c r="E161" s="32" t="str">
        <f>IF(Table!E161 = "","",Table!E161)</f>
        <v/>
      </c>
      <c r="F161" s="32" t="str">
        <f>IF(Table!F161 = "","",Table!F161)</f>
        <v/>
      </c>
      <c r="G161" s="91"/>
      <c r="I161" s="84" t="str">
        <f>IFERROR(VLOOKUP(A161,Downlink!A:L,12,TRUE),"")</f>
        <v/>
      </c>
      <c r="K161" s="31" t="str">
        <f>IFERROR(VLOOKUP(A161,Table!$I$4:$O$3000,1,TRUE),"")</f>
        <v/>
      </c>
      <c r="L161" s="31" t="str">
        <f>IFERROR(INDEX(Table!I:O,MATCH(K161,Table!I:I,0),2),"")</f>
        <v/>
      </c>
      <c r="M161" s="31" t="str">
        <f>IFERROR(INDEX(Table!I:O,MATCH(K161,Table!I:I,0),3),"")</f>
        <v/>
      </c>
      <c r="N161" s="32" t="str">
        <f>IFERROR(INDEX(Table!I:O,MATCH(K161,Table!I:I,0),4),"")</f>
        <v/>
      </c>
      <c r="O161" s="32" t="str">
        <f>IFERROR(INDEX(Table!I:O,MATCH(K161,Table!I:I,0),5),"")</f>
        <v/>
      </c>
      <c r="P161" s="32" t="str">
        <f>IFERROR(INDEX(Table!I:O,MATCH(K161,Table!I:I,0),6),"")</f>
        <v/>
      </c>
      <c r="Q161" s="89" t="str">
        <f t="shared" si="6"/>
        <v/>
      </c>
      <c r="R161" s="89" t="str">
        <f t="shared" si="7"/>
        <v/>
      </c>
      <c r="S161" s="82"/>
      <c r="U161" s="37" t="e">
        <f t="shared" si="8"/>
        <v>#VALUE!</v>
      </c>
    </row>
    <row r="162" spans="1:21" x14ac:dyDescent="0.25">
      <c r="A162" s="31" t="str">
        <f>IF(Table!A162 = "","",Table!A162)</f>
        <v/>
      </c>
      <c r="B162" s="31" t="str">
        <f>IF(Table!B162 = "","",Table!B162)</f>
        <v/>
      </c>
      <c r="C162" s="31" t="str">
        <f>IF(Table!C162 = "","",Table!C162)</f>
        <v/>
      </c>
      <c r="D162" s="32" t="str">
        <f>IF(Table!D162 = "","",Table!D162)</f>
        <v/>
      </c>
      <c r="E162" s="32" t="str">
        <f>IF(Table!E162 = "","",Table!E162)</f>
        <v/>
      </c>
      <c r="F162" s="32" t="str">
        <f>IF(Table!F162 = "","",Table!F162)</f>
        <v/>
      </c>
      <c r="G162" s="91"/>
      <c r="I162" s="84" t="str">
        <f>IFERROR(VLOOKUP(A162,Downlink!A:L,12,TRUE),"")</f>
        <v/>
      </c>
      <c r="K162" s="31" t="str">
        <f>IFERROR(VLOOKUP(A162,Table!$I$4:$O$3000,1,TRUE),"")</f>
        <v/>
      </c>
      <c r="L162" s="31" t="str">
        <f>IFERROR(INDEX(Table!I:O,MATCH(K162,Table!I:I,0),2),"")</f>
        <v/>
      </c>
      <c r="M162" s="31" t="str">
        <f>IFERROR(INDEX(Table!I:O,MATCH(K162,Table!I:I,0),3),"")</f>
        <v/>
      </c>
      <c r="N162" s="32" t="str">
        <f>IFERROR(INDEX(Table!I:O,MATCH(K162,Table!I:I,0),4),"")</f>
        <v/>
      </c>
      <c r="O162" s="32" t="str">
        <f>IFERROR(INDEX(Table!I:O,MATCH(K162,Table!I:I,0),5),"")</f>
        <v/>
      </c>
      <c r="P162" s="32" t="str">
        <f>IFERROR(INDEX(Table!I:O,MATCH(K162,Table!I:I,0),6),"")</f>
        <v/>
      </c>
      <c r="Q162" s="89" t="str">
        <f t="shared" si="6"/>
        <v/>
      </c>
      <c r="R162" s="89" t="str">
        <f t="shared" si="7"/>
        <v/>
      </c>
      <c r="S162" s="82"/>
      <c r="U162" s="37" t="e">
        <f t="shared" si="8"/>
        <v>#VALUE!</v>
      </c>
    </row>
    <row r="163" spans="1:21" x14ac:dyDescent="0.25">
      <c r="A163" s="31" t="str">
        <f>IF(Table!A163 = "","",Table!A163)</f>
        <v/>
      </c>
      <c r="B163" s="31" t="str">
        <f>IF(Table!B163 = "","",Table!B163)</f>
        <v/>
      </c>
      <c r="C163" s="31" t="str">
        <f>IF(Table!C163 = "","",Table!C163)</f>
        <v/>
      </c>
      <c r="D163" s="32" t="str">
        <f>IF(Table!D163 = "","",Table!D163)</f>
        <v/>
      </c>
      <c r="E163" s="32" t="str">
        <f>IF(Table!E163 = "","",Table!E163)</f>
        <v/>
      </c>
      <c r="F163" s="32" t="str">
        <f>IF(Table!F163 = "","",Table!F163)</f>
        <v/>
      </c>
      <c r="G163" s="91"/>
      <c r="I163" s="84" t="str">
        <f>IFERROR(VLOOKUP(A163,Downlink!A:L,12,TRUE),"")</f>
        <v/>
      </c>
      <c r="K163" s="31" t="str">
        <f>IFERROR(VLOOKUP(A163,Table!$I$4:$O$3000,1,TRUE),"")</f>
        <v/>
      </c>
      <c r="L163" s="31" t="str">
        <f>IFERROR(INDEX(Table!I:O,MATCH(K163,Table!I:I,0),2),"")</f>
        <v/>
      </c>
      <c r="M163" s="31" t="str">
        <f>IFERROR(INDEX(Table!I:O,MATCH(K163,Table!I:I,0),3),"")</f>
        <v/>
      </c>
      <c r="N163" s="32" t="str">
        <f>IFERROR(INDEX(Table!I:O,MATCH(K163,Table!I:I,0),4),"")</f>
        <v/>
      </c>
      <c r="O163" s="32" t="str">
        <f>IFERROR(INDEX(Table!I:O,MATCH(K163,Table!I:I,0),5),"")</f>
        <v/>
      </c>
      <c r="P163" s="32" t="str">
        <f>IFERROR(INDEX(Table!I:O,MATCH(K163,Table!I:I,0),6),"")</f>
        <v/>
      </c>
      <c r="Q163" s="89" t="str">
        <f t="shared" si="6"/>
        <v/>
      </c>
      <c r="R163" s="89" t="str">
        <f t="shared" si="7"/>
        <v/>
      </c>
      <c r="S163" s="82"/>
      <c r="U163" s="37" t="e">
        <f t="shared" si="8"/>
        <v>#VALUE!</v>
      </c>
    </row>
    <row r="164" spans="1:21" x14ac:dyDescent="0.25">
      <c r="A164" s="31" t="str">
        <f>IF(Table!A164 = "","",Table!A164)</f>
        <v/>
      </c>
      <c r="B164" s="31" t="str">
        <f>IF(Table!B164 = "","",Table!B164)</f>
        <v/>
      </c>
      <c r="C164" s="31" t="str">
        <f>IF(Table!C164 = "","",Table!C164)</f>
        <v/>
      </c>
      <c r="D164" s="32" t="str">
        <f>IF(Table!D164 = "","",Table!D164)</f>
        <v/>
      </c>
      <c r="E164" s="32" t="str">
        <f>IF(Table!E164 = "","",Table!E164)</f>
        <v/>
      </c>
      <c r="F164" s="32" t="str">
        <f>IF(Table!F164 = "","",Table!F164)</f>
        <v/>
      </c>
      <c r="G164" s="91"/>
      <c r="I164" s="84" t="str">
        <f>IFERROR(VLOOKUP(A164,Downlink!A:L,12,TRUE),"")</f>
        <v/>
      </c>
      <c r="K164" s="31" t="str">
        <f>IFERROR(VLOOKUP(A164,Table!$I$4:$O$3000,1,TRUE),"")</f>
        <v/>
      </c>
      <c r="L164" s="31" t="str">
        <f>IFERROR(INDEX(Table!I:O,MATCH(K164,Table!I:I,0),2),"")</f>
        <v/>
      </c>
      <c r="M164" s="31" t="str">
        <f>IFERROR(INDEX(Table!I:O,MATCH(K164,Table!I:I,0),3),"")</f>
        <v/>
      </c>
      <c r="N164" s="32" t="str">
        <f>IFERROR(INDEX(Table!I:O,MATCH(K164,Table!I:I,0),4),"")</f>
        <v/>
      </c>
      <c r="O164" s="32" t="str">
        <f>IFERROR(INDEX(Table!I:O,MATCH(K164,Table!I:I,0),5),"")</f>
        <v/>
      </c>
      <c r="P164" s="32" t="str">
        <f>IFERROR(INDEX(Table!I:O,MATCH(K164,Table!I:I,0),6),"")</f>
        <v/>
      </c>
      <c r="Q164" s="89" t="str">
        <f t="shared" si="6"/>
        <v/>
      </c>
      <c r="R164" s="89" t="str">
        <f t="shared" si="7"/>
        <v/>
      </c>
      <c r="S164" s="82"/>
      <c r="U164" s="37" t="e">
        <f t="shared" si="8"/>
        <v>#VALUE!</v>
      </c>
    </row>
    <row r="165" spans="1:21" x14ac:dyDescent="0.25">
      <c r="A165" s="31" t="str">
        <f>IF(Table!A165 = "","",Table!A165)</f>
        <v/>
      </c>
      <c r="B165" s="31" t="str">
        <f>IF(Table!B165 = "","",Table!B165)</f>
        <v/>
      </c>
      <c r="C165" s="31" t="str">
        <f>IF(Table!C165 = "","",Table!C165)</f>
        <v/>
      </c>
      <c r="D165" s="32" t="str">
        <f>IF(Table!D165 = "","",Table!D165)</f>
        <v/>
      </c>
      <c r="E165" s="32" t="str">
        <f>IF(Table!E165 = "","",Table!E165)</f>
        <v/>
      </c>
      <c r="F165" s="32" t="str">
        <f>IF(Table!F165 = "","",Table!F165)</f>
        <v/>
      </c>
      <c r="G165" s="91"/>
      <c r="I165" s="84" t="str">
        <f>IFERROR(VLOOKUP(A165,Downlink!A:L,12,TRUE),"")</f>
        <v/>
      </c>
      <c r="K165" s="31" t="str">
        <f>IFERROR(VLOOKUP(A165,Table!$I$4:$O$3000,1,TRUE),"")</f>
        <v/>
      </c>
      <c r="L165" s="31" t="str">
        <f>IFERROR(INDEX(Table!I:O,MATCH(K165,Table!I:I,0),2),"")</f>
        <v/>
      </c>
      <c r="M165" s="31" t="str">
        <f>IFERROR(INDEX(Table!I:O,MATCH(K165,Table!I:I,0),3),"")</f>
        <v/>
      </c>
      <c r="N165" s="32" t="str">
        <f>IFERROR(INDEX(Table!I:O,MATCH(K165,Table!I:I,0),4),"")</f>
        <v/>
      </c>
      <c r="O165" s="32" t="str">
        <f>IFERROR(INDEX(Table!I:O,MATCH(K165,Table!I:I,0),5),"")</f>
        <v/>
      </c>
      <c r="P165" s="32" t="str">
        <f>IFERROR(INDEX(Table!I:O,MATCH(K165,Table!I:I,0),6),"")</f>
        <v/>
      </c>
      <c r="Q165" s="89" t="str">
        <f t="shared" si="6"/>
        <v/>
      </c>
      <c r="R165" s="89" t="str">
        <f t="shared" si="7"/>
        <v/>
      </c>
      <c r="S165" s="82"/>
      <c r="U165" s="37" t="e">
        <f t="shared" si="8"/>
        <v>#VALUE!</v>
      </c>
    </row>
    <row r="166" spans="1:21" x14ac:dyDescent="0.25">
      <c r="A166" s="31" t="str">
        <f>IF(Table!A166 = "","",Table!A166)</f>
        <v/>
      </c>
      <c r="B166" s="31" t="str">
        <f>IF(Table!B166 = "","",Table!B166)</f>
        <v/>
      </c>
      <c r="C166" s="31" t="str">
        <f>IF(Table!C166 = "","",Table!C166)</f>
        <v/>
      </c>
      <c r="D166" s="32" t="str">
        <f>IF(Table!D166 = "","",Table!D166)</f>
        <v/>
      </c>
      <c r="E166" s="32" t="str">
        <f>IF(Table!E166 = "","",Table!E166)</f>
        <v/>
      </c>
      <c r="F166" s="32" t="str">
        <f>IF(Table!F166 = "","",Table!F166)</f>
        <v/>
      </c>
      <c r="G166" s="91"/>
      <c r="I166" s="84" t="str">
        <f>IFERROR(VLOOKUP(A166,Downlink!A:L,12,TRUE),"")</f>
        <v/>
      </c>
      <c r="K166" s="31" t="str">
        <f>IFERROR(VLOOKUP(A166,Table!$I$4:$O$3000,1,TRUE),"")</f>
        <v/>
      </c>
      <c r="L166" s="31" t="str">
        <f>IFERROR(INDEX(Table!I:O,MATCH(K166,Table!I:I,0),2),"")</f>
        <v/>
      </c>
      <c r="M166" s="31" t="str">
        <f>IFERROR(INDEX(Table!I:O,MATCH(K166,Table!I:I,0),3),"")</f>
        <v/>
      </c>
      <c r="N166" s="32" t="str">
        <f>IFERROR(INDEX(Table!I:O,MATCH(K166,Table!I:I,0),4),"")</f>
        <v/>
      </c>
      <c r="O166" s="32" t="str">
        <f>IFERROR(INDEX(Table!I:O,MATCH(K166,Table!I:I,0),5),"")</f>
        <v/>
      </c>
      <c r="P166" s="32" t="str">
        <f>IFERROR(INDEX(Table!I:O,MATCH(K166,Table!I:I,0),6),"")</f>
        <v/>
      </c>
      <c r="Q166" s="89" t="str">
        <f t="shared" si="6"/>
        <v/>
      </c>
      <c r="R166" s="89" t="str">
        <f t="shared" si="7"/>
        <v/>
      </c>
      <c r="S166" s="82"/>
      <c r="U166" s="37" t="e">
        <f t="shared" si="8"/>
        <v>#VALUE!</v>
      </c>
    </row>
    <row r="167" spans="1:21" x14ac:dyDescent="0.25">
      <c r="A167" s="31" t="str">
        <f>IF(Table!A167 = "","",Table!A167)</f>
        <v/>
      </c>
      <c r="B167" s="31" t="str">
        <f>IF(Table!B167 = "","",Table!B167)</f>
        <v/>
      </c>
      <c r="C167" s="31" t="str">
        <f>IF(Table!C167 = "","",Table!C167)</f>
        <v/>
      </c>
      <c r="D167" s="32" t="str">
        <f>IF(Table!D167 = "","",Table!D167)</f>
        <v/>
      </c>
      <c r="E167" s="32" t="str">
        <f>IF(Table!E167 = "","",Table!E167)</f>
        <v/>
      </c>
      <c r="F167" s="32" t="str">
        <f>IF(Table!F167 = "","",Table!F167)</f>
        <v/>
      </c>
      <c r="G167" s="91"/>
      <c r="I167" s="84" t="str">
        <f>IFERROR(VLOOKUP(A167,Downlink!A:L,12,TRUE),"")</f>
        <v/>
      </c>
      <c r="K167" s="31" t="str">
        <f>IFERROR(VLOOKUP(A167,Table!$I$4:$O$3000,1,TRUE),"")</f>
        <v/>
      </c>
      <c r="L167" s="31" t="str">
        <f>IFERROR(INDEX(Table!I:O,MATCH(K167,Table!I:I,0),2),"")</f>
        <v/>
      </c>
      <c r="M167" s="31" t="str">
        <f>IFERROR(INDEX(Table!I:O,MATCH(K167,Table!I:I,0),3),"")</f>
        <v/>
      </c>
      <c r="N167" s="32" t="str">
        <f>IFERROR(INDEX(Table!I:O,MATCH(K167,Table!I:I,0),4),"")</f>
        <v/>
      </c>
      <c r="O167" s="32" t="str">
        <f>IFERROR(INDEX(Table!I:O,MATCH(K167,Table!I:I,0),5),"")</f>
        <v/>
      </c>
      <c r="P167" s="32" t="str">
        <f>IFERROR(INDEX(Table!I:O,MATCH(K167,Table!I:I,0),6),"")</f>
        <v/>
      </c>
      <c r="Q167" s="89" t="str">
        <f t="shared" si="6"/>
        <v/>
      </c>
      <c r="R167" s="89" t="str">
        <f t="shared" si="7"/>
        <v/>
      </c>
      <c r="S167" s="82"/>
      <c r="U167" s="37" t="e">
        <f t="shared" si="8"/>
        <v>#VALUE!</v>
      </c>
    </row>
    <row r="168" spans="1:21" x14ac:dyDescent="0.25">
      <c r="A168" s="31" t="str">
        <f>IF(Table!A168 = "","",Table!A168)</f>
        <v/>
      </c>
      <c r="B168" s="31" t="str">
        <f>IF(Table!B168 = "","",Table!B168)</f>
        <v/>
      </c>
      <c r="C168" s="31" t="str">
        <f>IF(Table!C168 = "","",Table!C168)</f>
        <v/>
      </c>
      <c r="D168" s="32" t="str">
        <f>IF(Table!D168 = "","",Table!D168)</f>
        <v/>
      </c>
      <c r="E168" s="32" t="str">
        <f>IF(Table!E168 = "","",Table!E168)</f>
        <v/>
      </c>
      <c r="F168" s="32" t="str">
        <f>IF(Table!F168 = "","",Table!F168)</f>
        <v/>
      </c>
      <c r="G168" s="91"/>
      <c r="I168" s="84" t="str">
        <f>IFERROR(VLOOKUP(A168,Downlink!A:L,12,TRUE),"")</f>
        <v/>
      </c>
      <c r="K168" s="31" t="str">
        <f>IFERROR(VLOOKUP(A168,Table!$I$4:$O$3000,1,TRUE),"")</f>
        <v/>
      </c>
      <c r="L168" s="31" t="str">
        <f>IFERROR(INDEX(Table!I:O,MATCH(K168,Table!I:I,0),2),"")</f>
        <v/>
      </c>
      <c r="M168" s="31" t="str">
        <f>IFERROR(INDEX(Table!I:O,MATCH(K168,Table!I:I,0),3),"")</f>
        <v/>
      </c>
      <c r="N168" s="32" t="str">
        <f>IFERROR(INDEX(Table!I:O,MATCH(K168,Table!I:I,0),4),"")</f>
        <v/>
      </c>
      <c r="O168" s="32" t="str">
        <f>IFERROR(INDEX(Table!I:O,MATCH(K168,Table!I:I,0),5),"")</f>
        <v/>
      </c>
      <c r="P168" s="32" t="str">
        <f>IFERROR(INDEX(Table!I:O,MATCH(K168,Table!I:I,0),6),"")</f>
        <v/>
      </c>
      <c r="Q168" s="89" t="str">
        <f t="shared" si="6"/>
        <v/>
      </c>
      <c r="R168" s="89" t="str">
        <f t="shared" si="7"/>
        <v/>
      </c>
      <c r="S168" s="82"/>
      <c r="U168" s="37" t="e">
        <f t="shared" si="8"/>
        <v>#VALUE!</v>
      </c>
    </row>
    <row r="169" spans="1:21" x14ac:dyDescent="0.25">
      <c r="A169" s="31" t="str">
        <f>IF(Table!A169 = "","",Table!A169)</f>
        <v/>
      </c>
      <c r="B169" s="31" t="str">
        <f>IF(Table!B169 = "","",Table!B169)</f>
        <v/>
      </c>
      <c r="C169" s="31" t="str">
        <f>IF(Table!C169 = "","",Table!C169)</f>
        <v/>
      </c>
      <c r="D169" s="32" t="str">
        <f>IF(Table!D169 = "","",Table!D169)</f>
        <v/>
      </c>
      <c r="E169" s="32" t="str">
        <f>IF(Table!E169 = "","",Table!E169)</f>
        <v/>
      </c>
      <c r="F169" s="32" t="str">
        <f>IF(Table!F169 = "","",Table!F169)</f>
        <v/>
      </c>
      <c r="G169" s="91"/>
      <c r="I169" s="84" t="str">
        <f>IFERROR(VLOOKUP(A169,Downlink!A:L,12,TRUE),"")</f>
        <v/>
      </c>
      <c r="K169" s="31" t="str">
        <f>IFERROR(VLOOKUP(A169,Table!$I$4:$O$3000,1,TRUE),"")</f>
        <v/>
      </c>
      <c r="L169" s="31" t="str">
        <f>IFERROR(INDEX(Table!I:O,MATCH(K169,Table!I:I,0),2),"")</f>
        <v/>
      </c>
      <c r="M169" s="31" t="str">
        <f>IFERROR(INDEX(Table!I:O,MATCH(K169,Table!I:I,0),3),"")</f>
        <v/>
      </c>
      <c r="N169" s="32" t="str">
        <f>IFERROR(INDEX(Table!I:O,MATCH(K169,Table!I:I,0),4),"")</f>
        <v/>
      </c>
      <c r="O169" s="32" t="str">
        <f>IFERROR(INDEX(Table!I:O,MATCH(K169,Table!I:I,0),5),"")</f>
        <v/>
      </c>
      <c r="P169" s="32" t="str">
        <f>IFERROR(INDEX(Table!I:O,MATCH(K169,Table!I:I,0),6),"")</f>
        <v/>
      </c>
      <c r="Q169" s="89" t="str">
        <f t="shared" si="6"/>
        <v/>
      </c>
      <c r="R169" s="89" t="str">
        <f t="shared" si="7"/>
        <v/>
      </c>
      <c r="S169" s="82"/>
      <c r="U169" s="37" t="e">
        <f t="shared" si="8"/>
        <v>#VALUE!</v>
      </c>
    </row>
    <row r="170" spans="1:21" x14ac:dyDescent="0.25">
      <c r="A170" s="31" t="str">
        <f>IF(Table!A170 = "","",Table!A170)</f>
        <v/>
      </c>
      <c r="B170" s="31" t="str">
        <f>IF(Table!B170 = "","",Table!B170)</f>
        <v/>
      </c>
      <c r="C170" s="31" t="str">
        <f>IF(Table!C170 = "","",Table!C170)</f>
        <v/>
      </c>
      <c r="D170" s="32" t="str">
        <f>IF(Table!D170 = "","",Table!D170)</f>
        <v/>
      </c>
      <c r="E170" s="32" t="str">
        <f>IF(Table!E170 = "","",Table!E170)</f>
        <v/>
      </c>
      <c r="F170" s="32" t="str">
        <f>IF(Table!F170 = "","",Table!F170)</f>
        <v/>
      </c>
      <c r="G170" s="91"/>
      <c r="I170" s="84" t="str">
        <f>IFERROR(VLOOKUP(A170,Downlink!A:L,12,TRUE),"")</f>
        <v/>
      </c>
      <c r="K170" s="31" t="str">
        <f>IFERROR(VLOOKUP(A170,Table!$I$4:$O$3000,1,TRUE),"")</f>
        <v/>
      </c>
      <c r="L170" s="31" t="str">
        <f>IFERROR(INDEX(Table!I:O,MATCH(K170,Table!I:I,0),2),"")</f>
        <v/>
      </c>
      <c r="M170" s="31" t="str">
        <f>IFERROR(INDEX(Table!I:O,MATCH(K170,Table!I:I,0),3),"")</f>
        <v/>
      </c>
      <c r="N170" s="32" t="str">
        <f>IFERROR(INDEX(Table!I:O,MATCH(K170,Table!I:I,0),4),"")</f>
        <v/>
      </c>
      <c r="O170" s="32" t="str">
        <f>IFERROR(INDEX(Table!I:O,MATCH(K170,Table!I:I,0),5),"")</f>
        <v/>
      </c>
      <c r="P170" s="32" t="str">
        <f>IFERROR(INDEX(Table!I:O,MATCH(K170,Table!I:I,0),6),"")</f>
        <v/>
      </c>
      <c r="Q170" s="89" t="str">
        <f t="shared" si="6"/>
        <v/>
      </c>
      <c r="R170" s="89" t="str">
        <f t="shared" si="7"/>
        <v/>
      </c>
      <c r="S170" s="82"/>
      <c r="U170" s="37" t="e">
        <f t="shared" si="8"/>
        <v>#VALUE!</v>
      </c>
    </row>
    <row r="171" spans="1:21" x14ac:dyDescent="0.25">
      <c r="A171" s="31" t="str">
        <f>IF(Table!A171 = "","",Table!A171)</f>
        <v/>
      </c>
      <c r="B171" s="31" t="str">
        <f>IF(Table!B171 = "","",Table!B171)</f>
        <v/>
      </c>
      <c r="C171" s="31" t="str">
        <f>IF(Table!C171 = "","",Table!C171)</f>
        <v/>
      </c>
      <c r="D171" s="32" t="str">
        <f>IF(Table!D171 = "","",Table!D171)</f>
        <v/>
      </c>
      <c r="E171" s="32" t="str">
        <f>IF(Table!E171 = "","",Table!E171)</f>
        <v/>
      </c>
      <c r="F171" s="32" t="str">
        <f>IF(Table!F171 = "","",Table!F171)</f>
        <v/>
      </c>
      <c r="G171" s="91"/>
      <c r="I171" s="84" t="str">
        <f>IFERROR(VLOOKUP(A171,Downlink!A:L,12,TRUE),"")</f>
        <v/>
      </c>
      <c r="K171" s="31" t="str">
        <f>IFERROR(VLOOKUP(A171,Table!$I$4:$O$3000,1,TRUE),"")</f>
        <v/>
      </c>
      <c r="L171" s="31" t="str">
        <f>IFERROR(INDEX(Table!I:O,MATCH(K171,Table!I:I,0),2),"")</f>
        <v/>
      </c>
      <c r="M171" s="31" t="str">
        <f>IFERROR(INDEX(Table!I:O,MATCH(K171,Table!I:I,0),3),"")</f>
        <v/>
      </c>
      <c r="N171" s="32" t="str">
        <f>IFERROR(INDEX(Table!I:O,MATCH(K171,Table!I:I,0),4),"")</f>
        <v/>
      </c>
      <c r="O171" s="32" t="str">
        <f>IFERROR(INDEX(Table!I:O,MATCH(K171,Table!I:I,0),5),"")</f>
        <v/>
      </c>
      <c r="P171" s="32" t="str">
        <f>IFERROR(INDEX(Table!I:O,MATCH(K171,Table!I:I,0),6),"")</f>
        <v/>
      </c>
      <c r="Q171" s="89" t="str">
        <f t="shared" si="6"/>
        <v/>
      </c>
      <c r="R171" s="89" t="str">
        <f t="shared" si="7"/>
        <v/>
      </c>
      <c r="S171" s="82"/>
      <c r="U171" s="37" t="e">
        <f t="shared" si="8"/>
        <v>#VALUE!</v>
      </c>
    </row>
    <row r="172" spans="1:21" x14ac:dyDescent="0.25">
      <c r="A172" s="31" t="str">
        <f>IF(Table!A172 = "","",Table!A172)</f>
        <v/>
      </c>
      <c r="B172" s="31" t="str">
        <f>IF(Table!B172 = "","",Table!B172)</f>
        <v/>
      </c>
      <c r="C172" s="31" t="str">
        <f>IF(Table!C172 = "","",Table!C172)</f>
        <v/>
      </c>
      <c r="D172" s="32" t="str">
        <f>IF(Table!D172 = "","",Table!D172)</f>
        <v/>
      </c>
      <c r="E172" s="32" t="str">
        <f>IF(Table!E172 = "","",Table!E172)</f>
        <v/>
      </c>
      <c r="F172" s="32" t="str">
        <f>IF(Table!F172 = "","",Table!F172)</f>
        <v/>
      </c>
      <c r="G172" s="91"/>
      <c r="I172" s="84" t="str">
        <f>IFERROR(VLOOKUP(A172,Downlink!A:L,12,TRUE),"")</f>
        <v/>
      </c>
      <c r="K172" s="31" t="str">
        <f>IFERROR(VLOOKUP(A172,Table!$I$4:$O$3000,1,TRUE),"")</f>
        <v/>
      </c>
      <c r="L172" s="31" t="str">
        <f>IFERROR(INDEX(Table!I:O,MATCH(K172,Table!I:I,0),2),"")</f>
        <v/>
      </c>
      <c r="M172" s="31" t="str">
        <f>IFERROR(INDEX(Table!I:O,MATCH(K172,Table!I:I,0),3),"")</f>
        <v/>
      </c>
      <c r="N172" s="32" t="str">
        <f>IFERROR(INDEX(Table!I:O,MATCH(K172,Table!I:I,0),4),"")</f>
        <v/>
      </c>
      <c r="O172" s="32" t="str">
        <f>IFERROR(INDEX(Table!I:O,MATCH(K172,Table!I:I,0),5),"")</f>
        <v/>
      </c>
      <c r="P172" s="32" t="str">
        <f>IFERROR(INDEX(Table!I:O,MATCH(K172,Table!I:I,0),6),"")</f>
        <v/>
      </c>
      <c r="Q172" s="89" t="str">
        <f t="shared" si="6"/>
        <v/>
      </c>
      <c r="R172" s="89" t="str">
        <f t="shared" si="7"/>
        <v/>
      </c>
      <c r="S172" s="82"/>
      <c r="U172" s="37" t="e">
        <f t="shared" si="8"/>
        <v>#VALUE!</v>
      </c>
    </row>
    <row r="173" spans="1:21" x14ac:dyDescent="0.25">
      <c r="A173" s="31" t="str">
        <f>IF(Table!A173 = "","",Table!A173)</f>
        <v/>
      </c>
      <c r="B173" s="31" t="str">
        <f>IF(Table!B173 = "","",Table!B173)</f>
        <v/>
      </c>
      <c r="C173" s="31" t="str">
        <f>IF(Table!C173 = "","",Table!C173)</f>
        <v/>
      </c>
      <c r="D173" s="32" t="str">
        <f>IF(Table!D173 = "","",Table!D173)</f>
        <v/>
      </c>
      <c r="E173" s="32" t="str">
        <f>IF(Table!E173 = "","",Table!E173)</f>
        <v/>
      </c>
      <c r="F173" s="32" t="str">
        <f>IF(Table!F173 = "","",Table!F173)</f>
        <v/>
      </c>
      <c r="G173" s="91"/>
      <c r="I173" s="84" t="str">
        <f>IFERROR(VLOOKUP(A173,Downlink!A:L,12,TRUE),"")</f>
        <v/>
      </c>
      <c r="K173" s="31" t="str">
        <f>IFERROR(VLOOKUP(A173,Table!$I$4:$O$3000,1,TRUE),"")</f>
        <v/>
      </c>
      <c r="L173" s="31" t="str">
        <f>IFERROR(INDEX(Table!I:O,MATCH(K173,Table!I:I,0),2),"")</f>
        <v/>
      </c>
      <c r="M173" s="31" t="str">
        <f>IFERROR(INDEX(Table!I:O,MATCH(K173,Table!I:I,0),3),"")</f>
        <v/>
      </c>
      <c r="N173" s="32" t="str">
        <f>IFERROR(INDEX(Table!I:O,MATCH(K173,Table!I:I,0),4),"")</f>
        <v/>
      </c>
      <c r="O173" s="32" t="str">
        <f>IFERROR(INDEX(Table!I:O,MATCH(K173,Table!I:I,0),5),"")</f>
        <v/>
      </c>
      <c r="P173" s="32" t="str">
        <f>IFERROR(INDEX(Table!I:O,MATCH(K173,Table!I:I,0),6),"")</f>
        <v/>
      </c>
      <c r="Q173" s="89" t="str">
        <f t="shared" si="6"/>
        <v/>
      </c>
      <c r="R173" s="89" t="str">
        <f t="shared" si="7"/>
        <v/>
      </c>
      <c r="S173" s="82"/>
      <c r="U173" s="37" t="e">
        <f t="shared" si="8"/>
        <v>#VALUE!</v>
      </c>
    </row>
    <row r="174" spans="1:21" x14ac:dyDescent="0.25">
      <c r="A174" s="31" t="str">
        <f>IF(Table!A174 = "","",Table!A174)</f>
        <v/>
      </c>
      <c r="B174" s="31" t="str">
        <f>IF(Table!B174 = "","",Table!B174)</f>
        <v/>
      </c>
      <c r="C174" s="31" t="str">
        <f>IF(Table!C174 = "","",Table!C174)</f>
        <v/>
      </c>
      <c r="D174" s="32" t="str">
        <f>IF(Table!D174 = "","",Table!D174)</f>
        <v/>
      </c>
      <c r="E174" s="32" t="str">
        <f>IF(Table!E174 = "","",Table!E174)</f>
        <v/>
      </c>
      <c r="F174" s="32" t="str">
        <f>IF(Table!F174 = "","",Table!F174)</f>
        <v/>
      </c>
      <c r="G174" s="91"/>
      <c r="I174" s="84" t="str">
        <f>IFERROR(VLOOKUP(A174,Downlink!A:L,12,TRUE),"")</f>
        <v/>
      </c>
      <c r="K174" s="31" t="str">
        <f>IFERROR(VLOOKUP(A174,Table!$I$4:$O$3000,1,TRUE),"")</f>
        <v/>
      </c>
      <c r="L174" s="31" t="str">
        <f>IFERROR(INDEX(Table!I:O,MATCH(K174,Table!I:I,0),2),"")</f>
        <v/>
      </c>
      <c r="M174" s="31" t="str">
        <f>IFERROR(INDEX(Table!I:O,MATCH(K174,Table!I:I,0),3),"")</f>
        <v/>
      </c>
      <c r="N174" s="32" t="str">
        <f>IFERROR(INDEX(Table!I:O,MATCH(K174,Table!I:I,0),4),"")</f>
        <v/>
      </c>
      <c r="O174" s="32" t="str">
        <f>IFERROR(INDEX(Table!I:O,MATCH(K174,Table!I:I,0),5),"")</f>
        <v/>
      </c>
      <c r="P174" s="32" t="str">
        <f>IFERROR(INDEX(Table!I:O,MATCH(K174,Table!I:I,0),6),"")</f>
        <v/>
      </c>
      <c r="Q174" s="89" t="str">
        <f t="shared" si="6"/>
        <v/>
      </c>
      <c r="R174" s="89" t="str">
        <f t="shared" si="7"/>
        <v/>
      </c>
      <c r="S174" s="82"/>
      <c r="U174" s="37" t="e">
        <f t="shared" si="8"/>
        <v>#VALUE!</v>
      </c>
    </row>
    <row r="175" spans="1:21" x14ac:dyDescent="0.25">
      <c r="A175" s="31" t="str">
        <f>IF(Table!A175 = "","",Table!A175)</f>
        <v/>
      </c>
      <c r="B175" s="31" t="str">
        <f>IF(Table!B175 = "","",Table!B175)</f>
        <v/>
      </c>
      <c r="C175" s="31" t="str">
        <f>IF(Table!C175 = "","",Table!C175)</f>
        <v/>
      </c>
      <c r="D175" s="32" t="str">
        <f>IF(Table!D175 = "","",Table!D175)</f>
        <v/>
      </c>
      <c r="E175" s="32" t="str">
        <f>IF(Table!E175 = "","",Table!E175)</f>
        <v/>
      </c>
      <c r="F175" s="32" t="str">
        <f>IF(Table!F175 = "","",Table!F175)</f>
        <v/>
      </c>
      <c r="G175" s="91"/>
      <c r="I175" s="84" t="str">
        <f>IFERROR(VLOOKUP(A175,Downlink!A:L,12,TRUE),"")</f>
        <v/>
      </c>
      <c r="K175" s="31" t="str">
        <f>IFERROR(VLOOKUP(A175,Table!$I$4:$O$3000,1,TRUE),"")</f>
        <v/>
      </c>
      <c r="L175" s="31" t="str">
        <f>IFERROR(INDEX(Table!I:O,MATCH(K175,Table!I:I,0),2),"")</f>
        <v/>
      </c>
      <c r="M175" s="31" t="str">
        <f>IFERROR(INDEX(Table!I:O,MATCH(K175,Table!I:I,0),3),"")</f>
        <v/>
      </c>
      <c r="N175" s="32" t="str">
        <f>IFERROR(INDEX(Table!I:O,MATCH(K175,Table!I:I,0),4),"")</f>
        <v/>
      </c>
      <c r="O175" s="32" t="str">
        <f>IFERROR(INDEX(Table!I:O,MATCH(K175,Table!I:I,0),5),"")</f>
        <v/>
      </c>
      <c r="P175" s="32" t="str">
        <f>IFERROR(INDEX(Table!I:O,MATCH(K175,Table!I:I,0),6),"")</f>
        <v/>
      </c>
      <c r="Q175" s="89" t="str">
        <f t="shared" si="6"/>
        <v/>
      </c>
      <c r="R175" s="89" t="str">
        <f t="shared" si="7"/>
        <v/>
      </c>
      <c r="S175" s="82"/>
      <c r="U175" s="37" t="e">
        <f t="shared" si="8"/>
        <v>#VALUE!</v>
      </c>
    </row>
    <row r="176" spans="1:21" x14ac:dyDescent="0.25">
      <c r="A176" s="31" t="str">
        <f>IF(Table!A176 = "","",Table!A176)</f>
        <v/>
      </c>
      <c r="B176" s="31" t="str">
        <f>IF(Table!B176 = "","",Table!B176)</f>
        <v/>
      </c>
      <c r="C176" s="31" t="str">
        <f>IF(Table!C176 = "","",Table!C176)</f>
        <v/>
      </c>
      <c r="D176" s="32" t="str">
        <f>IF(Table!D176 = "","",Table!D176)</f>
        <v/>
      </c>
      <c r="E176" s="32" t="str">
        <f>IF(Table!E176 = "","",Table!E176)</f>
        <v/>
      </c>
      <c r="F176" s="32" t="str">
        <f>IF(Table!F176 = "","",Table!F176)</f>
        <v/>
      </c>
      <c r="G176" s="91"/>
      <c r="I176" s="84" t="str">
        <f>IFERROR(VLOOKUP(A176,Downlink!A:L,12,TRUE),"")</f>
        <v/>
      </c>
      <c r="K176" s="31" t="str">
        <f>IFERROR(VLOOKUP(A176,Table!$I$4:$O$3000,1,TRUE),"")</f>
        <v/>
      </c>
      <c r="L176" s="31" t="str">
        <f>IFERROR(INDEX(Table!I:O,MATCH(K176,Table!I:I,0),2),"")</f>
        <v/>
      </c>
      <c r="M176" s="31" t="str">
        <f>IFERROR(INDEX(Table!I:O,MATCH(K176,Table!I:I,0),3),"")</f>
        <v/>
      </c>
      <c r="N176" s="32" t="str">
        <f>IFERROR(INDEX(Table!I:O,MATCH(K176,Table!I:I,0),4),"")</f>
        <v/>
      </c>
      <c r="O176" s="32" t="str">
        <f>IFERROR(INDEX(Table!I:O,MATCH(K176,Table!I:I,0),5),"")</f>
        <v/>
      </c>
      <c r="P176" s="32" t="str">
        <f>IFERROR(INDEX(Table!I:O,MATCH(K176,Table!I:I,0),6),"")</f>
        <v/>
      </c>
      <c r="Q176" s="89" t="str">
        <f t="shared" si="6"/>
        <v/>
      </c>
      <c r="R176" s="89" t="str">
        <f t="shared" si="7"/>
        <v/>
      </c>
      <c r="S176" s="82"/>
      <c r="U176" s="37" t="e">
        <f t="shared" si="8"/>
        <v>#VALUE!</v>
      </c>
    </row>
    <row r="177" spans="1:21" x14ac:dyDescent="0.25">
      <c r="A177" s="31" t="str">
        <f>IF(Table!A177 = "","",Table!A177)</f>
        <v/>
      </c>
      <c r="B177" s="31" t="str">
        <f>IF(Table!B177 = "","",Table!B177)</f>
        <v/>
      </c>
      <c r="C177" s="31" t="str">
        <f>IF(Table!C177 = "","",Table!C177)</f>
        <v/>
      </c>
      <c r="D177" s="32" t="str">
        <f>IF(Table!D177 = "","",Table!D177)</f>
        <v/>
      </c>
      <c r="E177" s="32" t="str">
        <f>IF(Table!E177 = "","",Table!E177)</f>
        <v/>
      </c>
      <c r="F177" s="32" t="str">
        <f>IF(Table!F177 = "","",Table!F177)</f>
        <v/>
      </c>
      <c r="G177" s="91"/>
      <c r="I177" s="84" t="str">
        <f>IFERROR(VLOOKUP(A177,Downlink!A:L,12,TRUE),"")</f>
        <v/>
      </c>
      <c r="K177" s="31" t="str">
        <f>IFERROR(VLOOKUP(A177,Table!$I$4:$O$3000,1,TRUE),"")</f>
        <v/>
      </c>
      <c r="L177" s="31" t="str">
        <f>IFERROR(INDEX(Table!I:O,MATCH(K177,Table!I:I,0),2),"")</f>
        <v/>
      </c>
      <c r="M177" s="31" t="str">
        <f>IFERROR(INDEX(Table!I:O,MATCH(K177,Table!I:I,0),3),"")</f>
        <v/>
      </c>
      <c r="N177" s="32" t="str">
        <f>IFERROR(INDEX(Table!I:O,MATCH(K177,Table!I:I,0),4),"")</f>
        <v/>
      </c>
      <c r="O177" s="32" t="str">
        <f>IFERROR(INDEX(Table!I:O,MATCH(K177,Table!I:I,0),5),"")</f>
        <v/>
      </c>
      <c r="P177" s="32" t="str">
        <f>IFERROR(INDEX(Table!I:O,MATCH(K177,Table!I:I,0),6),"")</f>
        <v/>
      </c>
      <c r="Q177" s="89" t="str">
        <f t="shared" si="6"/>
        <v/>
      </c>
      <c r="R177" s="89" t="str">
        <f t="shared" si="7"/>
        <v/>
      </c>
      <c r="S177" s="82"/>
      <c r="U177" s="37" t="e">
        <f t="shared" si="8"/>
        <v>#VALUE!</v>
      </c>
    </row>
    <row r="178" spans="1:21" x14ac:dyDescent="0.25">
      <c r="A178" s="31" t="str">
        <f>IF(Table!A178 = "","",Table!A178)</f>
        <v/>
      </c>
      <c r="B178" s="31" t="str">
        <f>IF(Table!B178 = "","",Table!B178)</f>
        <v/>
      </c>
      <c r="C178" s="31" t="str">
        <f>IF(Table!C178 = "","",Table!C178)</f>
        <v/>
      </c>
      <c r="D178" s="32" t="str">
        <f>IF(Table!D178 = "","",Table!D178)</f>
        <v/>
      </c>
      <c r="E178" s="32" t="str">
        <f>IF(Table!E178 = "","",Table!E178)</f>
        <v/>
      </c>
      <c r="F178" s="32" t="str">
        <f>IF(Table!F178 = "","",Table!F178)</f>
        <v/>
      </c>
      <c r="G178" s="91"/>
      <c r="I178" s="84" t="str">
        <f>IFERROR(VLOOKUP(A178,Downlink!A:L,12,TRUE),"")</f>
        <v/>
      </c>
      <c r="K178" s="31" t="str">
        <f>IFERROR(VLOOKUP(A178,Table!$I$4:$O$3000,1,TRUE),"")</f>
        <v/>
      </c>
      <c r="L178" s="31" t="str">
        <f>IFERROR(INDEX(Table!I:O,MATCH(K178,Table!I:I,0),2),"")</f>
        <v/>
      </c>
      <c r="M178" s="31" t="str">
        <f>IFERROR(INDEX(Table!I:O,MATCH(K178,Table!I:I,0),3),"")</f>
        <v/>
      </c>
      <c r="N178" s="32" t="str">
        <f>IFERROR(INDEX(Table!I:O,MATCH(K178,Table!I:I,0),4),"")</f>
        <v/>
      </c>
      <c r="O178" s="32" t="str">
        <f>IFERROR(INDEX(Table!I:O,MATCH(K178,Table!I:I,0),5),"")</f>
        <v/>
      </c>
      <c r="P178" s="32" t="str">
        <f>IFERROR(INDEX(Table!I:O,MATCH(K178,Table!I:I,0),6),"")</f>
        <v/>
      </c>
      <c r="Q178" s="89" t="str">
        <f t="shared" si="6"/>
        <v/>
      </c>
      <c r="R178" s="89" t="str">
        <f t="shared" si="7"/>
        <v/>
      </c>
      <c r="S178" s="82"/>
      <c r="U178" s="37" t="e">
        <f t="shared" si="8"/>
        <v>#VALUE!</v>
      </c>
    </row>
    <row r="179" spans="1:21" x14ac:dyDescent="0.25">
      <c r="A179" s="31" t="str">
        <f>IF(Table!A179 = "","",Table!A179)</f>
        <v/>
      </c>
      <c r="B179" s="31" t="str">
        <f>IF(Table!B179 = "","",Table!B179)</f>
        <v/>
      </c>
      <c r="C179" s="31" t="str">
        <f>IF(Table!C179 = "","",Table!C179)</f>
        <v/>
      </c>
      <c r="D179" s="32" t="str">
        <f>IF(Table!D179 = "","",Table!D179)</f>
        <v/>
      </c>
      <c r="E179" s="32" t="str">
        <f>IF(Table!E179 = "","",Table!E179)</f>
        <v/>
      </c>
      <c r="F179" s="32" t="str">
        <f>IF(Table!F179 = "","",Table!F179)</f>
        <v/>
      </c>
      <c r="G179" s="91"/>
      <c r="I179" s="84" t="str">
        <f>IFERROR(VLOOKUP(A179,Downlink!A:L,12,TRUE),"")</f>
        <v/>
      </c>
      <c r="K179" s="31" t="str">
        <f>IFERROR(VLOOKUP(A179,Table!$I$4:$O$3000,1,TRUE),"")</f>
        <v/>
      </c>
      <c r="L179" s="31" t="str">
        <f>IFERROR(INDEX(Table!I:O,MATCH(K179,Table!I:I,0),2),"")</f>
        <v/>
      </c>
      <c r="M179" s="31" t="str">
        <f>IFERROR(INDEX(Table!I:O,MATCH(K179,Table!I:I,0),3),"")</f>
        <v/>
      </c>
      <c r="N179" s="32" t="str">
        <f>IFERROR(INDEX(Table!I:O,MATCH(K179,Table!I:I,0),4),"")</f>
        <v/>
      </c>
      <c r="O179" s="32" t="str">
        <f>IFERROR(INDEX(Table!I:O,MATCH(K179,Table!I:I,0),5),"")</f>
        <v/>
      </c>
      <c r="P179" s="32" t="str">
        <f>IFERROR(INDEX(Table!I:O,MATCH(K179,Table!I:I,0),6),"")</f>
        <v/>
      </c>
      <c r="Q179" s="89" t="str">
        <f t="shared" si="6"/>
        <v/>
      </c>
      <c r="R179" s="89" t="str">
        <f t="shared" si="7"/>
        <v/>
      </c>
      <c r="S179" s="82"/>
      <c r="U179" s="37" t="e">
        <f t="shared" si="8"/>
        <v>#VALUE!</v>
      </c>
    </row>
    <row r="180" spans="1:21" x14ac:dyDescent="0.25">
      <c r="A180" s="31" t="str">
        <f>IF(Table!A180 = "","",Table!A180)</f>
        <v/>
      </c>
      <c r="B180" s="31" t="str">
        <f>IF(Table!B180 = "","",Table!B180)</f>
        <v/>
      </c>
      <c r="C180" s="31" t="str">
        <f>IF(Table!C180 = "","",Table!C180)</f>
        <v/>
      </c>
      <c r="D180" s="32" t="str">
        <f>IF(Table!D180 = "","",Table!D180)</f>
        <v/>
      </c>
      <c r="E180" s="32" t="str">
        <f>IF(Table!E180 = "","",Table!E180)</f>
        <v/>
      </c>
      <c r="F180" s="32" t="str">
        <f>IF(Table!F180 = "","",Table!F180)</f>
        <v/>
      </c>
      <c r="G180" s="91"/>
      <c r="I180" s="84" t="str">
        <f>IFERROR(VLOOKUP(A180,Downlink!A:L,12,TRUE),"")</f>
        <v/>
      </c>
      <c r="K180" s="31" t="str">
        <f>IFERROR(VLOOKUP(A180,Table!$I$4:$O$3000,1,TRUE),"")</f>
        <v/>
      </c>
      <c r="L180" s="31" t="str">
        <f>IFERROR(INDEX(Table!I:O,MATCH(K180,Table!I:I,0),2),"")</f>
        <v/>
      </c>
      <c r="M180" s="31" t="str">
        <f>IFERROR(INDEX(Table!I:O,MATCH(K180,Table!I:I,0),3),"")</f>
        <v/>
      </c>
      <c r="N180" s="32" t="str">
        <f>IFERROR(INDEX(Table!I:O,MATCH(K180,Table!I:I,0),4),"")</f>
        <v/>
      </c>
      <c r="O180" s="32" t="str">
        <f>IFERROR(INDEX(Table!I:O,MATCH(K180,Table!I:I,0),5),"")</f>
        <v/>
      </c>
      <c r="P180" s="32" t="str">
        <f>IFERROR(INDEX(Table!I:O,MATCH(K180,Table!I:I,0),6),"")</f>
        <v/>
      </c>
      <c r="Q180" s="89" t="str">
        <f t="shared" si="6"/>
        <v/>
      </c>
      <c r="R180" s="89" t="str">
        <f t="shared" si="7"/>
        <v/>
      </c>
      <c r="S180" s="82"/>
      <c r="U180" s="37" t="e">
        <f t="shared" si="8"/>
        <v>#VALUE!</v>
      </c>
    </row>
    <row r="181" spans="1:21" x14ac:dyDescent="0.25">
      <c r="A181" s="31" t="str">
        <f>IF(Table!A181 = "","",Table!A181)</f>
        <v/>
      </c>
      <c r="B181" s="31" t="str">
        <f>IF(Table!B181 = "","",Table!B181)</f>
        <v/>
      </c>
      <c r="C181" s="31" t="str">
        <f>IF(Table!C181 = "","",Table!C181)</f>
        <v/>
      </c>
      <c r="D181" s="32" t="str">
        <f>IF(Table!D181 = "","",Table!D181)</f>
        <v/>
      </c>
      <c r="E181" s="32" t="str">
        <f>IF(Table!E181 = "","",Table!E181)</f>
        <v/>
      </c>
      <c r="F181" s="32" t="str">
        <f>IF(Table!F181 = "","",Table!F181)</f>
        <v/>
      </c>
      <c r="G181" s="91"/>
      <c r="I181" s="84" t="str">
        <f>IFERROR(VLOOKUP(A181,Downlink!A:L,12,TRUE),"")</f>
        <v/>
      </c>
      <c r="K181" s="31" t="str">
        <f>IFERROR(VLOOKUP(A181,Table!$I$4:$O$3000,1,TRUE),"")</f>
        <v/>
      </c>
      <c r="L181" s="31" t="str">
        <f>IFERROR(INDEX(Table!I:O,MATCH(K181,Table!I:I,0),2),"")</f>
        <v/>
      </c>
      <c r="M181" s="31" t="str">
        <f>IFERROR(INDEX(Table!I:O,MATCH(K181,Table!I:I,0),3),"")</f>
        <v/>
      </c>
      <c r="N181" s="32" t="str">
        <f>IFERROR(INDEX(Table!I:O,MATCH(K181,Table!I:I,0),4),"")</f>
        <v/>
      </c>
      <c r="O181" s="32" t="str">
        <f>IFERROR(INDEX(Table!I:O,MATCH(K181,Table!I:I,0),5),"")</f>
        <v/>
      </c>
      <c r="P181" s="32" t="str">
        <f>IFERROR(INDEX(Table!I:O,MATCH(K181,Table!I:I,0),6),"")</f>
        <v/>
      </c>
      <c r="Q181" s="89" t="str">
        <f t="shared" si="6"/>
        <v/>
      </c>
      <c r="R181" s="89" t="str">
        <f t="shared" si="7"/>
        <v/>
      </c>
      <c r="S181" s="82"/>
      <c r="U181" s="37" t="e">
        <f t="shared" si="8"/>
        <v>#VALUE!</v>
      </c>
    </row>
    <row r="182" spans="1:21" x14ac:dyDescent="0.25">
      <c r="A182" s="31" t="str">
        <f>IF(Table!A182 = "","",Table!A182)</f>
        <v/>
      </c>
      <c r="B182" s="31" t="str">
        <f>IF(Table!B182 = "","",Table!B182)</f>
        <v/>
      </c>
      <c r="C182" s="31" t="str">
        <f>IF(Table!C182 = "","",Table!C182)</f>
        <v/>
      </c>
      <c r="D182" s="32" t="str">
        <f>IF(Table!D182 = "","",Table!D182)</f>
        <v/>
      </c>
      <c r="E182" s="32" t="str">
        <f>IF(Table!E182 = "","",Table!E182)</f>
        <v/>
      </c>
      <c r="F182" s="32" t="str">
        <f>IF(Table!F182 = "","",Table!F182)</f>
        <v/>
      </c>
      <c r="G182" s="91"/>
      <c r="I182" s="84" t="str">
        <f>IFERROR(VLOOKUP(A182,Downlink!A:L,12,TRUE),"")</f>
        <v/>
      </c>
      <c r="K182" s="31" t="str">
        <f>IFERROR(VLOOKUP(A182,Table!$I$4:$O$3000,1,TRUE),"")</f>
        <v/>
      </c>
      <c r="L182" s="31" t="str">
        <f>IFERROR(INDEX(Table!I:O,MATCH(K182,Table!I:I,0),2),"")</f>
        <v/>
      </c>
      <c r="M182" s="31" t="str">
        <f>IFERROR(INDEX(Table!I:O,MATCH(K182,Table!I:I,0),3),"")</f>
        <v/>
      </c>
      <c r="N182" s="32" t="str">
        <f>IFERROR(INDEX(Table!I:O,MATCH(K182,Table!I:I,0),4),"")</f>
        <v/>
      </c>
      <c r="O182" s="32" t="str">
        <f>IFERROR(INDEX(Table!I:O,MATCH(K182,Table!I:I,0),5),"")</f>
        <v/>
      </c>
      <c r="P182" s="32" t="str">
        <f>IFERROR(INDEX(Table!I:O,MATCH(K182,Table!I:I,0),6),"")</f>
        <v/>
      </c>
      <c r="Q182" s="89" t="str">
        <f t="shared" si="6"/>
        <v/>
      </c>
      <c r="R182" s="89" t="str">
        <f t="shared" si="7"/>
        <v/>
      </c>
      <c r="S182" s="82"/>
      <c r="U182" s="37" t="e">
        <f t="shared" si="8"/>
        <v>#VALUE!</v>
      </c>
    </row>
    <row r="183" spans="1:21" x14ac:dyDescent="0.25">
      <c r="A183" s="31" t="str">
        <f>IF(Table!A183 = "","",Table!A183)</f>
        <v/>
      </c>
      <c r="B183" s="31" t="str">
        <f>IF(Table!B183 = "","",Table!B183)</f>
        <v/>
      </c>
      <c r="C183" s="31" t="str">
        <f>IF(Table!C183 = "","",Table!C183)</f>
        <v/>
      </c>
      <c r="D183" s="32" t="str">
        <f>IF(Table!D183 = "","",Table!D183)</f>
        <v/>
      </c>
      <c r="E183" s="32" t="str">
        <f>IF(Table!E183 = "","",Table!E183)</f>
        <v/>
      </c>
      <c r="F183" s="32" t="str">
        <f>IF(Table!F183 = "","",Table!F183)</f>
        <v/>
      </c>
      <c r="G183" s="91"/>
      <c r="I183" s="84" t="str">
        <f>IFERROR(VLOOKUP(A183,Downlink!A:L,12,TRUE),"")</f>
        <v/>
      </c>
      <c r="K183" s="31" t="str">
        <f>IFERROR(VLOOKUP(A183,Table!$I$4:$O$3000,1,TRUE),"")</f>
        <v/>
      </c>
      <c r="L183" s="31" t="str">
        <f>IFERROR(INDEX(Table!I:O,MATCH(K183,Table!I:I,0),2),"")</f>
        <v/>
      </c>
      <c r="M183" s="31" t="str">
        <f>IFERROR(INDEX(Table!I:O,MATCH(K183,Table!I:I,0),3),"")</f>
        <v/>
      </c>
      <c r="N183" s="32" t="str">
        <f>IFERROR(INDEX(Table!I:O,MATCH(K183,Table!I:I,0),4),"")</f>
        <v/>
      </c>
      <c r="O183" s="32" t="str">
        <f>IFERROR(INDEX(Table!I:O,MATCH(K183,Table!I:I,0),5),"")</f>
        <v/>
      </c>
      <c r="P183" s="32" t="str">
        <f>IFERROR(INDEX(Table!I:O,MATCH(K183,Table!I:I,0),6),"")</f>
        <v/>
      </c>
      <c r="Q183" s="89" t="str">
        <f t="shared" si="6"/>
        <v/>
      </c>
      <c r="R183" s="89" t="str">
        <f t="shared" si="7"/>
        <v/>
      </c>
      <c r="S183" s="82"/>
      <c r="U183" s="37" t="e">
        <f t="shared" si="8"/>
        <v>#VALUE!</v>
      </c>
    </row>
    <row r="184" spans="1:21" x14ac:dyDescent="0.25">
      <c r="A184" s="31" t="str">
        <f>IF(Table!A184 = "","",Table!A184)</f>
        <v/>
      </c>
      <c r="B184" s="31" t="str">
        <f>IF(Table!B184 = "","",Table!B184)</f>
        <v/>
      </c>
      <c r="C184" s="31" t="str">
        <f>IF(Table!C184 = "","",Table!C184)</f>
        <v/>
      </c>
      <c r="D184" s="32" t="str">
        <f>IF(Table!D184 = "","",Table!D184)</f>
        <v/>
      </c>
      <c r="E184" s="32" t="str">
        <f>IF(Table!E184 = "","",Table!E184)</f>
        <v/>
      </c>
      <c r="F184" s="32" t="str">
        <f>IF(Table!F184 = "","",Table!F184)</f>
        <v/>
      </c>
      <c r="G184" s="91"/>
      <c r="I184" s="84" t="str">
        <f>IFERROR(VLOOKUP(A184,Downlink!A:L,12,TRUE),"")</f>
        <v/>
      </c>
      <c r="K184" s="31" t="str">
        <f>IFERROR(VLOOKUP(A184,Table!$I$4:$O$3000,1,TRUE),"")</f>
        <v/>
      </c>
      <c r="L184" s="31" t="str">
        <f>IFERROR(INDEX(Table!I:O,MATCH(K184,Table!I:I,0),2),"")</f>
        <v/>
      </c>
      <c r="M184" s="31" t="str">
        <f>IFERROR(INDEX(Table!I:O,MATCH(K184,Table!I:I,0),3),"")</f>
        <v/>
      </c>
      <c r="N184" s="32" t="str">
        <f>IFERROR(INDEX(Table!I:O,MATCH(K184,Table!I:I,0),4),"")</f>
        <v/>
      </c>
      <c r="O184" s="32" t="str">
        <f>IFERROR(INDEX(Table!I:O,MATCH(K184,Table!I:I,0),5),"")</f>
        <v/>
      </c>
      <c r="P184" s="32" t="str">
        <f>IFERROR(INDEX(Table!I:O,MATCH(K184,Table!I:I,0),6),"")</f>
        <v/>
      </c>
      <c r="Q184" s="89" t="str">
        <f t="shared" si="6"/>
        <v/>
      </c>
      <c r="R184" s="89" t="str">
        <f t="shared" si="7"/>
        <v/>
      </c>
      <c r="S184" s="82"/>
      <c r="U184" s="37" t="e">
        <f t="shared" si="8"/>
        <v>#VALUE!</v>
      </c>
    </row>
    <row r="185" spans="1:21" x14ac:dyDescent="0.25">
      <c r="A185" s="31" t="str">
        <f>IF(Table!A185 = "","",Table!A185)</f>
        <v/>
      </c>
      <c r="B185" s="31" t="str">
        <f>IF(Table!B185 = "","",Table!B185)</f>
        <v/>
      </c>
      <c r="C185" s="31" t="str">
        <f>IF(Table!C185 = "","",Table!C185)</f>
        <v/>
      </c>
      <c r="D185" s="32" t="str">
        <f>IF(Table!D185 = "","",Table!D185)</f>
        <v/>
      </c>
      <c r="E185" s="32" t="str">
        <f>IF(Table!E185 = "","",Table!E185)</f>
        <v/>
      </c>
      <c r="F185" s="32" t="str">
        <f>IF(Table!F185 = "","",Table!F185)</f>
        <v/>
      </c>
      <c r="G185" s="91"/>
      <c r="I185" s="84" t="str">
        <f>IFERROR(VLOOKUP(A185,Downlink!A:L,12,TRUE),"")</f>
        <v/>
      </c>
      <c r="K185" s="31" t="str">
        <f>IFERROR(VLOOKUP(A185,Table!$I$4:$O$3000,1,TRUE),"")</f>
        <v/>
      </c>
      <c r="L185" s="31" t="str">
        <f>IFERROR(INDEX(Table!I:O,MATCH(K185,Table!I:I,0),2),"")</f>
        <v/>
      </c>
      <c r="M185" s="31" t="str">
        <f>IFERROR(INDEX(Table!I:O,MATCH(K185,Table!I:I,0),3),"")</f>
        <v/>
      </c>
      <c r="N185" s="32" t="str">
        <f>IFERROR(INDEX(Table!I:O,MATCH(K185,Table!I:I,0),4),"")</f>
        <v/>
      </c>
      <c r="O185" s="32" t="str">
        <f>IFERROR(INDEX(Table!I:O,MATCH(K185,Table!I:I,0),5),"")</f>
        <v/>
      </c>
      <c r="P185" s="32" t="str">
        <f>IFERROR(INDEX(Table!I:O,MATCH(K185,Table!I:I,0),6),"")</f>
        <v/>
      </c>
      <c r="Q185" s="89" t="str">
        <f t="shared" si="6"/>
        <v/>
      </c>
      <c r="R185" s="89" t="str">
        <f t="shared" si="7"/>
        <v/>
      </c>
      <c r="S185" s="82"/>
      <c r="U185" s="37" t="e">
        <f t="shared" si="8"/>
        <v>#VALUE!</v>
      </c>
    </row>
    <row r="186" spans="1:21" x14ac:dyDescent="0.25">
      <c r="A186" s="31" t="str">
        <f>IF(Table!A186 = "","",Table!A186)</f>
        <v/>
      </c>
      <c r="B186" s="31" t="str">
        <f>IF(Table!B186 = "","",Table!B186)</f>
        <v/>
      </c>
      <c r="C186" s="31" t="str">
        <f>IF(Table!C186 = "","",Table!C186)</f>
        <v/>
      </c>
      <c r="D186" s="32" t="str">
        <f>IF(Table!D186 = "","",Table!D186)</f>
        <v/>
      </c>
      <c r="E186" s="32" t="str">
        <f>IF(Table!E186 = "","",Table!E186)</f>
        <v/>
      </c>
      <c r="F186" s="32" t="str">
        <f>IF(Table!F186 = "","",Table!F186)</f>
        <v/>
      </c>
      <c r="G186" s="91"/>
      <c r="I186" s="84" t="str">
        <f>IFERROR(VLOOKUP(A186,Downlink!A:L,12,TRUE),"")</f>
        <v/>
      </c>
      <c r="K186" s="31" t="str">
        <f>IFERROR(VLOOKUP(A186,Table!$I$4:$O$3000,1,TRUE),"")</f>
        <v/>
      </c>
      <c r="L186" s="31" t="str">
        <f>IFERROR(INDEX(Table!I:O,MATCH(K186,Table!I:I,0),2),"")</f>
        <v/>
      </c>
      <c r="M186" s="31" t="str">
        <f>IFERROR(INDEX(Table!I:O,MATCH(K186,Table!I:I,0),3),"")</f>
        <v/>
      </c>
      <c r="N186" s="32" t="str">
        <f>IFERROR(INDEX(Table!I:O,MATCH(K186,Table!I:I,0),4),"")</f>
        <v/>
      </c>
      <c r="O186" s="32" t="str">
        <f>IFERROR(INDEX(Table!I:O,MATCH(K186,Table!I:I,0),5),"")</f>
        <v/>
      </c>
      <c r="P186" s="32" t="str">
        <f>IFERROR(INDEX(Table!I:O,MATCH(K186,Table!I:I,0),6),"")</f>
        <v/>
      </c>
      <c r="Q186" s="89" t="str">
        <f t="shared" si="6"/>
        <v/>
      </c>
      <c r="R186" s="89" t="str">
        <f t="shared" si="7"/>
        <v/>
      </c>
      <c r="S186" s="82"/>
      <c r="U186" s="37" t="e">
        <f t="shared" si="8"/>
        <v>#VALUE!</v>
      </c>
    </row>
    <row r="187" spans="1:21" x14ac:dyDescent="0.25">
      <c r="A187" s="31" t="str">
        <f>IF(Table!A187 = "","",Table!A187)</f>
        <v/>
      </c>
      <c r="B187" s="31" t="str">
        <f>IF(Table!B187 = "","",Table!B187)</f>
        <v/>
      </c>
      <c r="C187" s="31" t="str">
        <f>IF(Table!C187 = "","",Table!C187)</f>
        <v/>
      </c>
      <c r="D187" s="32" t="str">
        <f>IF(Table!D187 = "","",Table!D187)</f>
        <v/>
      </c>
      <c r="E187" s="32" t="str">
        <f>IF(Table!E187 = "","",Table!E187)</f>
        <v/>
      </c>
      <c r="F187" s="32" t="str">
        <f>IF(Table!F187 = "","",Table!F187)</f>
        <v/>
      </c>
      <c r="G187" s="91"/>
      <c r="I187" s="84" t="str">
        <f>IFERROR(VLOOKUP(A187,Downlink!A:L,12,TRUE),"")</f>
        <v/>
      </c>
      <c r="K187" s="31" t="str">
        <f>IFERROR(VLOOKUP(A187,Table!$I$4:$O$3000,1,TRUE),"")</f>
        <v/>
      </c>
      <c r="L187" s="31" t="str">
        <f>IFERROR(INDEX(Table!I:O,MATCH(K187,Table!I:I,0),2),"")</f>
        <v/>
      </c>
      <c r="M187" s="31" t="str">
        <f>IFERROR(INDEX(Table!I:O,MATCH(K187,Table!I:I,0),3),"")</f>
        <v/>
      </c>
      <c r="N187" s="32" t="str">
        <f>IFERROR(INDEX(Table!I:O,MATCH(K187,Table!I:I,0),4),"")</f>
        <v/>
      </c>
      <c r="O187" s="32" t="str">
        <f>IFERROR(INDEX(Table!I:O,MATCH(K187,Table!I:I,0),5),"")</f>
        <v/>
      </c>
      <c r="P187" s="32" t="str">
        <f>IFERROR(INDEX(Table!I:O,MATCH(K187,Table!I:I,0),6),"")</f>
        <v/>
      </c>
      <c r="Q187" s="89" t="str">
        <f t="shared" si="6"/>
        <v/>
      </c>
      <c r="R187" s="89" t="str">
        <f t="shared" si="7"/>
        <v/>
      </c>
      <c r="S187" s="82"/>
      <c r="U187" s="37" t="e">
        <f t="shared" si="8"/>
        <v>#VALUE!</v>
      </c>
    </row>
    <row r="188" spans="1:21" x14ac:dyDescent="0.25">
      <c r="A188" s="31" t="str">
        <f>IF(Table!A188 = "","",Table!A188)</f>
        <v/>
      </c>
      <c r="B188" s="31" t="str">
        <f>IF(Table!B188 = "","",Table!B188)</f>
        <v/>
      </c>
      <c r="C188" s="31" t="str">
        <f>IF(Table!C188 = "","",Table!C188)</f>
        <v/>
      </c>
      <c r="D188" s="32" t="str">
        <f>IF(Table!D188 = "","",Table!D188)</f>
        <v/>
      </c>
      <c r="E188" s="32" t="str">
        <f>IF(Table!E188 = "","",Table!E188)</f>
        <v/>
      </c>
      <c r="F188" s="32" t="str">
        <f>IF(Table!F188 = "","",Table!F188)</f>
        <v/>
      </c>
      <c r="G188" s="91"/>
      <c r="I188" s="84" t="str">
        <f>IFERROR(VLOOKUP(A188,Downlink!A:L,12,TRUE),"")</f>
        <v/>
      </c>
      <c r="K188" s="31" t="str">
        <f>IFERROR(VLOOKUP(A188,Table!$I$4:$O$3000,1,TRUE),"")</f>
        <v/>
      </c>
      <c r="L188" s="31" t="str">
        <f>IFERROR(INDEX(Table!I:O,MATCH(K188,Table!I:I,0),2),"")</f>
        <v/>
      </c>
      <c r="M188" s="31" t="str">
        <f>IFERROR(INDEX(Table!I:O,MATCH(K188,Table!I:I,0),3),"")</f>
        <v/>
      </c>
      <c r="N188" s="32" t="str">
        <f>IFERROR(INDEX(Table!I:O,MATCH(K188,Table!I:I,0),4),"")</f>
        <v/>
      </c>
      <c r="O188" s="32" t="str">
        <f>IFERROR(INDEX(Table!I:O,MATCH(K188,Table!I:I,0),5),"")</f>
        <v/>
      </c>
      <c r="P188" s="32" t="str">
        <f>IFERROR(INDEX(Table!I:O,MATCH(K188,Table!I:I,0),6),"")</f>
        <v/>
      </c>
      <c r="Q188" s="89" t="str">
        <f t="shared" si="6"/>
        <v/>
      </c>
      <c r="R188" s="89" t="str">
        <f t="shared" si="7"/>
        <v/>
      </c>
      <c r="S188" s="82"/>
      <c r="U188" s="37" t="e">
        <f t="shared" si="8"/>
        <v>#VALUE!</v>
      </c>
    </row>
    <row r="189" spans="1:21" x14ac:dyDescent="0.25">
      <c r="A189" s="31" t="str">
        <f>IF(Table!A189 = "","",Table!A189)</f>
        <v/>
      </c>
      <c r="B189" s="31" t="str">
        <f>IF(Table!B189 = "","",Table!B189)</f>
        <v/>
      </c>
      <c r="C189" s="31" t="str">
        <f>IF(Table!C189 = "","",Table!C189)</f>
        <v/>
      </c>
      <c r="D189" s="32" t="str">
        <f>IF(Table!D189 = "","",Table!D189)</f>
        <v/>
      </c>
      <c r="E189" s="32" t="str">
        <f>IF(Table!E189 = "","",Table!E189)</f>
        <v/>
      </c>
      <c r="F189" s="32" t="str">
        <f>IF(Table!F189 = "","",Table!F189)</f>
        <v/>
      </c>
      <c r="G189" s="91"/>
      <c r="I189" s="84" t="str">
        <f>IFERROR(VLOOKUP(A189,Downlink!A:L,12,TRUE),"")</f>
        <v/>
      </c>
      <c r="K189" s="31" t="str">
        <f>IFERROR(VLOOKUP(A189,Table!$I$4:$O$3000,1,TRUE),"")</f>
        <v/>
      </c>
      <c r="L189" s="31" t="str">
        <f>IFERROR(INDEX(Table!I:O,MATCH(K189,Table!I:I,0),2),"")</f>
        <v/>
      </c>
      <c r="M189" s="31" t="str">
        <f>IFERROR(INDEX(Table!I:O,MATCH(K189,Table!I:I,0),3),"")</f>
        <v/>
      </c>
      <c r="N189" s="32" t="str">
        <f>IFERROR(INDEX(Table!I:O,MATCH(K189,Table!I:I,0),4),"")</f>
        <v/>
      </c>
      <c r="O189" s="32" t="str">
        <f>IFERROR(INDEX(Table!I:O,MATCH(K189,Table!I:I,0),5),"")</f>
        <v/>
      </c>
      <c r="P189" s="32" t="str">
        <f>IFERROR(INDEX(Table!I:O,MATCH(K189,Table!I:I,0),6),"")</f>
        <v/>
      </c>
      <c r="Q189" s="89" t="str">
        <f t="shared" si="6"/>
        <v/>
      </c>
      <c r="R189" s="89" t="str">
        <f t="shared" si="7"/>
        <v/>
      </c>
      <c r="S189" s="82"/>
      <c r="U189" s="37" t="e">
        <f t="shared" si="8"/>
        <v>#VALUE!</v>
      </c>
    </row>
    <row r="190" spans="1:21" x14ac:dyDescent="0.25">
      <c r="A190" s="31" t="str">
        <f>IF(Table!A190 = "","",Table!A190)</f>
        <v/>
      </c>
      <c r="B190" s="31" t="str">
        <f>IF(Table!B190 = "","",Table!B190)</f>
        <v/>
      </c>
      <c r="C190" s="31" t="str">
        <f>IF(Table!C190 = "","",Table!C190)</f>
        <v/>
      </c>
      <c r="D190" s="32" t="str">
        <f>IF(Table!D190 = "","",Table!D190)</f>
        <v/>
      </c>
      <c r="E190" s="32" t="str">
        <f>IF(Table!E190 = "","",Table!E190)</f>
        <v/>
      </c>
      <c r="F190" s="32" t="str">
        <f>IF(Table!F190 = "","",Table!F190)</f>
        <v/>
      </c>
      <c r="G190" s="91"/>
      <c r="I190" s="84" t="str">
        <f>IFERROR(VLOOKUP(A190,Downlink!A:L,12,TRUE),"")</f>
        <v/>
      </c>
      <c r="K190" s="31" t="str">
        <f>IFERROR(VLOOKUP(A190,Table!$I$4:$O$3000,1,TRUE),"")</f>
        <v/>
      </c>
      <c r="L190" s="31" t="str">
        <f>IFERROR(INDEX(Table!I:O,MATCH(K190,Table!I:I,0),2),"")</f>
        <v/>
      </c>
      <c r="M190" s="31" t="str">
        <f>IFERROR(INDEX(Table!I:O,MATCH(K190,Table!I:I,0),3),"")</f>
        <v/>
      </c>
      <c r="N190" s="32" t="str">
        <f>IFERROR(INDEX(Table!I:O,MATCH(K190,Table!I:I,0),4),"")</f>
        <v/>
      </c>
      <c r="O190" s="32" t="str">
        <f>IFERROR(INDEX(Table!I:O,MATCH(K190,Table!I:I,0),5),"")</f>
        <v/>
      </c>
      <c r="P190" s="32" t="str">
        <f>IFERROR(INDEX(Table!I:O,MATCH(K190,Table!I:I,0),6),"")</f>
        <v/>
      </c>
      <c r="Q190" s="89" t="str">
        <f t="shared" si="6"/>
        <v/>
      </c>
      <c r="R190" s="89" t="str">
        <f t="shared" si="7"/>
        <v/>
      </c>
      <c r="S190" s="82"/>
      <c r="U190" s="37" t="e">
        <f t="shared" si="8"/>
        <v>#VALUE!</v>
      </c>
    </row>
    <row r="191" spans="1:21" x14ac:dyDescent="0.25">
      <c r="A191" s="31" t="str">
        <f>IF(Table!A191 = "","",Table!A191)</f>
        <v/>
      </c>
      <c r="B191" s="31" t="str">
        <f>IF(Table!B191 = "","",Table!B191)</f>
        <v/>
      </c>
      <c r="C191" s="31" t="str">
        <f>IF(Table!C191 = "","",Table!C191)</f>
        <v/>
      </c>
      <c r="D191" s="32" t="str">
        <f>IF(Table!D191 = "","",Table!D191)</f>
        <v/>
      </c>
      <c r="E191" s="32" t="str">
        <f>IF(Table!E191 = "","",Table!E191)</f>
        <v/>
      </c>
      <c r="F191" s="32" t="str">
        <f>IF(Table!F191 = "","",Table!F191)</f>
        <v/>
      </c>
      <c r="G191" s="91"/>
      <c r="I191" s="84" t="str">
        <f>IFERROR(VLOOKUP(A191,Downlink!A:L,12,TRUE),"")</f>
        <v/>
      </c>
      <c r="K191" s="31" t="str">
        <f>IFERROR(VLOOKUP(A191,Table!$I$4:$O$3000,1,TRUE),"")</f>
        <v/>
      </c>
      <c r="L191" s="31" t="str">
        <f>IFERROR(INDEX(Table!I:O,MATCH(K191,Table!I:I,0),2),"")</f>
        <v/>
      </c>
      <c r="M191" s="31" t="str">
        <f>IFERROR(INDEX(Table!I:O,MATCH(K191,Table!I:I,0),3),"")</f>
        <v/>
      </c>
      <c r="N191" s="32" t="str">
        <f>IFERROR(INDEX(Table!I:O,MATCH(K191,Table!I:I,0),4),"")</f>
        <v/>
      </c>
      <c r="O191" s="32" t="str">
        <f>IFERROR(INDEX(Table!I:O,MATCH(K191,Table!I:I,0),5),"")</f>
        <v/>
      </c>
      <c r="P191" s="32" t="str">
        <f>IFERROR(INDEX(Table!I:O,MATCH(K191,Table!I:I,0),6),"")</f>
        <v/>
      </c>
      <c r="Q191" s="89" t="str">
        <f t="shared" si="6"/>
        <v/>
      </c>
      <c r="R191" s="89" t="str">
        <f t="shared" si="7"/>
        <v/>
      </c>
      <c r="S191" s="82"/>
      <c r="U191" s="37" t="e">
        <f t="shared" si="8"/>
        <v>#VALUE!</v>
      </c>
    </row>
    <row r="192" spans="1:21" x14ac:dyDescent="0.25">
      <c r="A192" s="31" t="str">
        <f>IF(Table!A192 = "","",Table!A192)</f>
        <v/>
      </c>
      <c r="B192" s="31" t="str">
        <f>IF(Table!B192 = "","",Table!B192)</f>
        <v/>
      </c>
      <c r="C192" s="31" t="str">
        <f>IF(Table!C192 = "","",Table!C192)</f>
        <v/>
      </c>
      <c r="D192" s="32" t="str">
        <f>IF(Table!D192 = "","",Table!D192)</f>
        <v/>
      </c>
      <c r="E192" s="32" t="str">
        <f>IF(Table!E192 = "","",Table!E192)</f>
        <v/>
      </c>
      <c r="F192" s="32" t="str">
        <f>IF(Table!F192 = "","",Table!F192)</f>
        <v/>
      </c>
      <c r="G192" s="91"/>
      <c r="I192" s="84" t="str">
        <f>IFERROR(VLOOKUP(A192,Downlink!A:L,12,TRUE),"")</f>
        <v/>
      </c>
      <c r="K192" s="31" t="str">
        <f>IFERROR(VLOOKUP(A192,Table!$I$4:$O$3000,1,TRUE),"")</f>
        <v/>
      </c>
      <c r="L192" s="31" t="str">
        <f>IFERROR(INDEX(Table!I:O,MATCH(K192,Table!I:I,0),2),"")</f>
        <v/>
      </c>
      <c r="M192" s="31" t="str">
        <f>IFERROR(INDEX(Table!I:O,MATCH(K192,Table!I:I,0),3),"")</f>
        <v/>
      </c>
      <c r="N192" s="32" t="str">
        <f>IFERROR(INDEX(Table!I:O,MATCH(K192,Table!I:I,0),4),"")</f>
        <v/>
      </c>
      <c r="O192" s="32" t="str">
        <f>IFERROR(INDEX(Table!I:O,MATCH(K192,Table!I:I,0),5),"")</f>
        <v/>
      </c>
      <c r="P192" s="32" t="str">
        <f>IFERROR(INDEX(Table!I:O,MATCH(K192,Table!I:I,0),6),"")</f>
        <v/>
      </c>
      <c r="Q192" s="89" t="str">
        <f t="shared" si="6"/>
        <v/>
      </c>
      <c r="R192" s="89" t="str">
        <f t="shared" si="7"/>
        <v/>
      </c>
      <c r="S192" s="82"/>
      <c r="U192" s="37" t="e">
        <f t="shared" si="8"/>
        <v>#VALUE!</v>
      </c>
    </row>
    <row r="193" spans="1:21" x14ac:dyDescent="0.25">
      <c r="A193" s="31" t="str">
        <f>IF(Table!A193 = "","",Table!A193)</f>
        <v/>
      </c>
      <c r="B193" s="31" t="str">
        <f>IF(Table!B193 = "","",Table!B193)</f>
        <v/>
      </c>
      <c r="C193" s="31" t="str">
        <f>IF(Table!C193 = "","",Table!C193)</f>
        <v/>
      </c>
      <c r="D193" s="32" t="str">
        <f>IF(Table!D193 = "","",Table!D193)</f>
        <v/>
      </c>
      <c r="E193" s="32" t="str">
        <f>IF(Table!E193 = "","",Table!E193)</f>
        <v/>
      </c>
      <c r="F193" s="32" t="str">
        <f>IF(Table!F193 = "","",Table!F193)</f>
        <v/>
      </c>
      <c r="G193" s="91"/>
      <c r="I193" s="84" t="str">
        <f>IFERROR(VLOOKUP(A193,Downlink!A:L,12,TRUE),"")</f>
        <v/>
      </c>
      <c r="K193" s="31" t="str">
        <f>IFERROR(VLOOKUP(A193,Table!$I$4:$O$3000,1,TRUE),"")</f>
        <v/>
      </c>
      <c r="L193" s="31" t="str">
        <f>IFERROR(INDEX(Table!I:O,MATCH(K193,Table!I:I,0),2),"")</f>
        <v/>
      </c>
      <c r="M193" s="31" t="str">
        <f>IFERROR(INDEX(Table!I:O,MATCH(K193,Table!I:I,0),3),"")</f>
        <v/>
      </c>
      <c r="N193" s="32" t="str">
        <f>IFERROR(INDEX(Table!I:O,MATCH(K193,Table!I:I,0),4),"")</f>
        <v/>
      </c>
      <c r="O193" s="32" t="str">
        <f>IFERROR(INDEX(Table!I:O,MATCH(K193,Table!I:I,0),5),"")</f>
        <v/>
      </c>
      <c r="P193" s="32" t="str">
        <f>IFERROR(INDEX(Table!I:O,MATCH(K193,Table!I:I,0),6),"")</f>
        <v/>
      </c>
      <c r="Q193" s="89" t="str">
        <f t="shared" si="6"/>
        <v/>
      </c>
      <c r="R193" s="89" t="str">
        <f t="shared" si="7"/>
        <v/>
      </c>
      <c r="S193" s="82"/>
      <c r="U193" s="37" t="e">
        <f t="shared" si="8"/>
        <v>#VALUE!</v>
      </c>
    </row>
    <row r="194" spans="1:21" x14ac:dyDescent="0.25">
      <c r="A194" s="31" t="str">
        <f>IF(Table!A194 = "","",Table!A194)</f>
        <v/>
      </c>
      <c r="B194" s="31" t="str">
        <f>IF(Table!B194 = "","",Table!B194)</f>
        <v/>
      </c>
      <c r="C194" s="31" t="str">
        <f>IF(Table!C194 = "","",Table!C194)</f>
        <v/>
      </c>
      <c r="D194" s="32" t="str">
        <f>IF(Table!D194 = "","",Table!D194)</f>
        <v/>
      </c>
      <c r="E194" s="32" t="str">
        <f>IF(Table!E194 = "","",Table!E194)</f>
        <v/>
      </c>
      <c r="F194" s="32" t="str">
        <f>IF(Table!F194 = "","",Table!F194)</f>
        <v/>
      </c>
      <c r="G194" s="91"/>
      <c r="I194" s="84" t="str">
        <f>IFERROR(VLOOKUP(A194,Downlink!A:L,12,TRUE),"")</f>
        <v/>
      </c>
      <c r="K194" s="31" t="str">
        <f>IFERROR(VLOOKUP(A194,Table!$I$4:$O$3000,1,TRUE),"")</f>
        <v/>
      </c>
      <c r="L194" s="31" t="str">
        <f>IFERROR(INDEX(Table!I:O,MATCH(K194,Table!I:I,0),2),"")</f>
        <v/>
      </c>
      <c r="M194" s="31" t="str">
        <f>IFERROR(INDEX(Table!I:O,MATCH(K194,Table!I:I,0),3),"")</f>
        <v/>
      </c>
      <c r="N194" s="32" t="str">
        <f>IFERROR(INDEX(Table!I:O,MATCH(K194,Table!I:I,0),4),"")</f>
        <v/>
      </c>
      <c r="O194" s="32" t="str">
        <f>IFERROR(INDEX(Table!I:O,MATCH(K194,Table!I:I,0),5),"")</f>
        <v/>
      </c>
      <c r="P194" s="32" t="str">
        <f>IFERROR(INDEX(Table!I:O,MATCH(K194,Table!I:I,0),6),"")</f>
        <v/>
      </c>
      <c r="Q194" s="89" t="str">
        <f t="shared" si="6"/>
        <v/>
      </c>
      <c r="R194" s="89" t="str">
        <f t="shared" si="7"/>
        <v/>
      </c>
      <c r="S194" s="82"/>
      <c r="U194" s="37" t="e">
        <f t="shared" si="8"/>
        <v>#VALUE!</v>
      </c>
    </row>
    <row r="195" spans="1:21" x14ac:dyDescent="0.25">
      <c r="A195" s="31" t="str">
        <f>IF(Table!A195 = "","",Table!A195)</f>
        <v/>
      </c>
      <c r="B195" s="31" t="str">
        <f>IF(Table!B195 = "","",Table!B195)</f>
        <v/>
      </c>
      <c r="C195" s="31" t="str">
        <f>IF(Table!C195 = "","",Table!C195)</f>
        <v/>
      </c>
      <c r="D195" s="32" t="str">
        <f>IF(Table!D195 = "","",Table!D195)</f>
        <v/>
      </c>
      <c r="E195" s="32" t="str">
        <f>IF(Table!E195 = "","",Table!E195)</f>
        <v/>
      </c>
      <c r="F195" s="32" t="str">
        <f>IF(Table!F195 = "","",Table!F195)</f>
        <v/>
      </c>
      <c r="G195" s="91"/>
      <c r="I195" s="84" t="str">
        <f>IFERROR(VLOOKUP(A195,Downlink!A:L,12,TRUE),"")</f>
        <v/>
      </c>
      <c r="K195" s="31" t="str">
        <f>IFERROR(VLOOKUP(A195,Table!$I$4:$O$3000,1,TRUE),"")</f>
        <v/>
      </c>
      <c r="L195" s="31" t="str">
        <f>IFERROR(INDEX(Table!I:O,MATCH(K195,Table!I:I,0),2),"")</f>
        <v/>
      </c>
      <c r="M195" s="31" t="str">
        <f>IFERROR(INDEX(Table!I:O,MATCH(K195,Table!I:I,0),3),"")</f>
        <v/>
      </c>
      <c r="N195" s="32" t="str">
        <f>IFERROR(INDEX(Table!I:O,MATCH(K195,Table!I:I,0),4),"")</f>
        <v/>
      </c>
      <c r="O195" s="32" t="str">
        <f>IFERROR(INDEX(Table!I:O,MATCH(K195,Table!I:I,0),5),"")</f>
        <v/>
      </c>
      <c r="P195" s="32" t="str">
        <f>IFERROR(INDEX(Table!I:O,MATCH(K195,Table!I:I,0),6),"")</f>
        <v/>
      </c>
      <c r="Q195" s="89" t="str">
        <f t="shared" si="6"/>
        <v/>
      </c>
      <c r="R195" s="89" t="str">
        <f t="shared" si="7"/>
        <v/>
      </c>
      <c r="S195" s="82"/>
      <c r="U195" s="37" t="e">
        <f t="shared" si="8"/>
        <v>#VALUE!</v>
      </c>
    </row>
    <row r="196" spans="1:21" x14ac:dyDescent="0.25">
      <c r="A196" s="31" t="str">
        <f>IF(Table!A196 = "","",Table!A196)</f>
        <v/>
      </c>
      <c r="B196" s="31" t="str">
        <f>IF(Table!B196 = "","",Table!B196)</f>
        <v/>
      </c>
      <c r="C196" s="31" t="str">
        <f>IF(Table!C196 = "","",Table!C196)</f>
        <v/>
      </c>
      <c r="D196" s="32" t="str">
        <f>IF(Table!D196 = "","",Table!D196)</f>
        <v/>
      </c>
      <c r="E196" s="32" t="str">
        <f>IF(Table!E196 = "","",Table!E196)</f>
        <v/>
      </c>
      <c r="F196" s="32" t="str">
        <f>IF(Table!F196 = "","",Table!F196)</f>
        <v/>
      </c>
      <c r="G196" s="91"/>
      <c r="I196" s="84" t="str">
        <f>IFERROR(VLOOKUP(A196,Downlink!A:L,12,TRUE),"")</f>
        <v/>
      </c>
      <c r="K196" s="31" t="str">
        <f>IFERROR(VLOOKUP(A196,Table!$I$4:$O$3000,1,TRUE),"")</f>
        <v/>
      </c>
      <c r="L196" s="31" t="str">
        <f>IFERROR(INDEX(Table!I:O,MATCH(K196,Table!I:I,0),2),"")</f>
        <v/>
      </c>
      <c r="M196" s="31" t="str">
        <f>IFERROR(INDEX(Table!I:O,MATCH(K196,Table!I:I,0),3),"")</f>
        <v/>
      </c>
      <c r="N196" s="32" t="str">
        <f>IFERROR(INDEX(Table!I:O,MATCH(K196,Table!I:I,0),4),"")</f>
        <v/>
      </c>
      <c r="O196" s="32" t="str">
        <f>IFERROR(INDEX(Table!I:O,MATCH(K196,Table!I:I,0),5),"")</f>
        <v/>
      </c>
      <c r="P196" s="32" t="str">
        <f>IFERROR(INDEX(Table!I:O,MATCH(K196,Table!I:I,0),6),"")</f>
        <v/>
      </c>
      <c r="Q196" s="89" t="str">
        <f t="shared" si="6"/>
        <v/>
      </c>
      <c r="R196" s="89" t="str">
        <f t="shared" si="7"/>
        <v/>
      </c>
      <c r="S196" s="82"/>
      <c r="U196" s="37" t="e">
        <f t="shared" si="8"/>
        <v>#VALUE!</v>
      </c>
    </row>
    <row r="197" spans="1:21" x14ac:dyDescent="0.25">
      <c r="A197" s="31" t="str">
        <f>IF(Table!A197 = "","",Table!A197)</f>
        <v/>
      </c>
      <c r="B197" s="31" t="str">
        <f>IF(Table!B197 = "","",Table!B197)</f>
        <v/>
      </c>
      <c r="C197" s="31" t="str">
        <f>IF(Table!C197 = "","",Table!C197)</f>
        <v/>
      </c>
      <c r="D197" s="32" t="str">
        <f>IF(Table!D197 = "","",Table!D197)</f>
        <v/>
      </c>
      <c r="E197" s="32" t="str">
        <f>IF(Table!E197 = "","",Table!E197)</f>
        <v/>
      </c>
      <c r="F197" s="32" t="str">
        <f>IF(Table!F197 = "","",Table!F197)</f>
        <v/>
      </c>
      <c r="G197" s="91"/>
      <c r="I197" s="84" t="str">
        <f>IFERROR(VLOOKUP(A197,Downlink!A:L,12,TRUE),"")</f>
        <v/>
      </c>
      <c r="K197" s="31" t="str">
        <f>IFERROR(VLOOKUP(A197,Table!$I$4:$O$3000,1,TRUE),"")</f>
        <v/>
      </c>
      <c r="L197" s="31" t="str">
        <f>IFERROR(INDEX(Table!I:O,MATCH(K197,Table!I:I,0),2),"")</f>
        <v/>
      </c>
      <c r="M197" s="31" t="str">
        <f>IFERROR(INDEX(Table!I:O,MATCH(K197,Table!I:I,0),3),"")</f>
        <v/>
      </c>
      <c r="N197" s="32" t="str">
        <f>IFERROR(INDEX(Table!I:O,MATCH(K197,Table!I:I,0),4),"")</f>
        <v/>
      </c>
      <c r="O197" s="32" t="str">
        <f>IFERROR(INDEX(Table!I:O,MATCH(K197,Table!I:I,0),5),"")</f>
        <v/>
      </c>
      <c r="P197" s="32" t="str">
        <f>IFERROR(INDEX(Table!I:O,MATCH(K197,Table!I:I,0),6),"")</f>
        <v/>
      </c>
      <c r="Q197" s="89" t="str">
        <f t="shared" si="6"/>
        <v/>
      </c>
      <c r="R197" s="89" t="str">
        <f t="shared" si="7"/>
        <v/>
      </c>
      <c r="S197" s="82"/>
      <c r="U197" s="37" t="e">
        <f t="shared" si="8"/>
        <v>#VALUE!</v>
      </c>
    </row>
    <row r="198" spans="1:21" x14ac:dyDescent="0.25">
      <c r="A198" s="31" t="str">
        <f>IF(Table!A198 = "","",Table!A198)</f>
        <v/>
      </c>
      <c r="B198" s="31" t="str">
        <f>IF(Table!B198 = "","",Table!B198)</f>
        <v/>
      </c>
      <c r="C198" s="31" t="str">
        <f>IF(Table!C198 = "","",Table!C198)</f>
        <v/>
      </c>
      <c r="D198" s="32" t="str">
        <f>IF(Table!D198 = "","",Table!D198)</f>
        <v/>
      </c>
      <c r="E198" s="32" t="str">
        <f>IF(Table!E198 = "","",Table!E198)</f>
        <v/>
      </c>
      <c r="F198" s="32" t="str">
        <f>IF(Table!F198 = "","",Table!F198)</f>
        <v/>
      </c>
      <c r="G198" s="91"/>
      <c r="I198" s="84" t="str">
        <f>IFERROR(VLOOKUP(A198,Downlink!A:L,12,TRUE),"")</f>
        <v/>
      </c>
      <c r="K198" s="31" t="str">
        <f>IFERROR(VLOOKUP(A198,Table!$I$4:$O$3000,1,TRUE),"")</f>
        <v/>
      </c>
      <c r="L198" s="31" t="str">
        <f>IFERROR(INDEX(Table!I:O,MATCH(K198,Table!I:I,0),2),"")</f>
        <v/>
      </c>
      <c r="M198" s="31" t="str">
        <f>IFERROR(INDEX(Table!I:O,MATCH(K198,Table!I:I,0),3),"")</f>
        <v/>
      </c>
      <c r="N198" s="32" t="str">
        <f>IFERROR(INDEX(Table!I:O,MATCH(K198,Table!I:I,0),4),"")</f>
        <v/>
      </c>
      <c r="O198" s="32" t="str">
        <f>IFERROR(INDEX(Table!I:O,MATCH(K198,Table!I:I,0),5),"")</f>
        <v/>
      </c>
      <c r="P198" s="32" t="str">
        <f>IFERROR(INDEX(Table!I:O,MATCH(K198,Table!I:I,0),6),"")</f>
        <v/>
      </c>
      <c r="Q198" s="89" t="str">
        <f t="shared" ref="Q198:Q261" si="9">IFERROR(L198-B198,"")</f>
        <v/>
      </c>
      <c r="R198" s="89" t="str">
        <f t="shared" ref="R198:R261" si="10">IFERROR(M198-C198,"")</f>
        <v/>
      </c>
      <c r="S198" s="82"/>
      <c r="U198" s="37" t="e">
        <f t="shared" ref="U198:U261" si="11">K198-K197</f>
        <v>#VALUE!</v>
      </c>
    </row>
    <row r="199" spans="1:21" x14ac:dyDescent="0.25">
      <c r="A199" s="31" t="str">
        <f>IF(Table!A199 = "","",Table!A199)</f>
        <v/>
      </c>
      <c r="B199" s="31" t="str">
        <f>IF(Table!B199 = "","",Table!B199)</f>
        <v/>
      </c>
      <c r="C199" s="31" t="str">
        <f>IF(Table!C199 = "","",Table!C199)</f>
        <v/>
      </c>
      <c r="D199" s="32" t="str">
        <f>IF(Table!D199 = "","",Table!D199)</f>
        <v/>
      </c>
      <c r="E199" s="32" t="str">
        <f>IF(Table!E199 = "","",Table!E199)</f>
        <v/>
      </c>
      <c r="F199" s="32" t="str">
        <f>IF(Table!F199 = "","",Table!F199)</f>
        <v/>
      </c>
      <c r="G199" s="91"/>
      <c r="I199" s="84" t="str">
        <f>IFERROR(VLOOKUP(A199,Downlink!A:L,12,TRUE),"")</f>
        <v/>
      </c>
      <c r="K199" s="31" t="str">
        <f>IFERROR(VLOOKUP(A199,Table!$I$4:$O$3000,1,TRUE),"")</f>
        <v/>
      </c>
      <c r="L199" s="31" t="str">
        <f>IFERROR(INDEX(Table!I:O,MATCH(K199,Table!I:I,0),2),"")</f>
        <v/>
      </c>
      <c r="M199" s="31" t="str">
        <f>IFERROR(INDEX(Table!I:O,MATCH(K199,Table!I:I,0),3),"")</f>
        <v/>
      </c>
      <c r="N199" s="32" t="str">
        <f>IFERROR(INDEX(Table!I:O,MATCH(K199,Table!I:I,0),4),"")</f>
        <v/>
      </c>
      <c r="O199" s="32" t="str">
        <f>IFERROR(INDEX(Table!I:O,MATCH(K199,Table!I:I,0),5),"")</f>
        <v/>
      </c>
      <c r="P199" s="32" t="str">
        <f>IFERROR(INDEX(Table!I:O,MATCH(K199,Table!I:I,0),6),"")</f>
        <v/>
      </c>
      <c r="Q199" s="89" t="str">
        <f t="shared" si="9"/>
        <v/>
      </c>
      <c r="R199" s="89" t="str">
        <f t="shared" si="10"/>
        <v/>
      </c>
      <c r="S199" s="82"/>
      <c r="U199" s="37" t="e">
        <f t="shared" si="11"/>
        <v>#VALUE!</v>
      </c>
    </row>
    <row r="200" spans="1:21" x14ac:dyDescent="0.25">
      <c r="A200" s="31" t="str">
        <f>IF(Table!A200 = "","",Table!A200)</f>
        <v/>
      </c>
      <c r="B200" s="31" t="str">
        <f>IF(Table!B200 = "","",Table!B200)</f>
        <v/>
      </c>
      <c r="C200" s="31" t="str">
        <f>IF(Table!C200 = "","",Table!C200)</f>
        <v/>
      </c>
      <c r="D200" s="32" t="str">
        <f>IF(Table!D200 = "","",Table!D200)</f>
        <v/>
      </c>
      <c r="E200" s="32" t="str">
        <f>IF(Table!E200 = "","",Table!E200)</f>
        <v/>
      </c>
      <c r="F200" s="32" t="str">
        <f>IF(Table!F200 = "","",Table!F200)</f>
        <v/>
      </c>
      <c r="G200" s="91"/>
      <c r="I200" s="84" t="str">
        <f>IFERROR(VLOOKUP(A200,Downlink!A:L,12,TRUE),"")</f>
        <v/>
      </c>
      <c r="K200" s="31" t="str">
        <f>IFERROR(VLOOKUP(A200,Table!$I$4:$O$3000,1,TRUE),"")</f>
        <v/>
      </c>
      <c r="L200" s="31" t="str">
        <f>IFERROR(INDEX(Table!I:O,MATCH(K200,Table!I:I,0),2),"")</f>
        <v/>
      </c>
      <c r="M200" s="31" t="str">
        <f>IFERROR(INDEX(Table!I:O,MATCH(K200,Table!I:I,0),3),"")</f>
        <v/>
      </c>
      <c r="N200" s="32" t="str">
        <f>IFERROR(INDEX(Table!I:O,MATCH(K200,Table!I:I,0),4),"")</f>
        <v/>
      </c>
      <c r="O200" s="32" t="str">
        <f>IFERROR(INDEX(Table!I:O,MATCH(K200,Table!I:I,0),5),"")</f>
        <v/>
      </c>
      <c r="P200" s="32" t="str">
        <f>IFERROR(INDEX(Table!I:O,MATCH(K200,Table!I:I,0),6),"")</f>
        <v/>
      </c>
      <c r="Q200" s="89" t="str">
        <f t="shared" si="9"/>
        <v/>
      </c>
      <c r="R200" s="89" t="str">
        <f t="shared" si="10"/>
        <v/>
      </c>
      <c r="S200" s="82"/>
      <c r="U200" s="37" t="e">
        <f t="shared" si="11"/>
        <v>#VALUE!</v>
      </c>
    </row>
    <row r="201" spans="1:21" x14ac:dyDescent="0.25">
      <c r="A201" s="31" t="str">
        <f>IF(Table!A201 = "","",Table!A201)</f>
        <v/>
      </c>
      <c r="B201" s="31" t="str">
        <f>IF(Table!B201 = "","",Table!B201)</f>
        <v/>
      </c>
      <c r="C201" s="31" t="str">
        <f>IF(Table!C201 = "","",Table!C201)</f>
        <v/>
      </c>
      <c r="D201" s="32" t="str">
        <f>IF(Table!D201 = "","",Table!D201)</f>
        <v/>
      </c>
      <c r="E201" s="32" t="str">
        <f>IF(Table!E201 = "","",Table!E201)</f>
        <v/>
      </c>
      <c r="F201" s="32" t="str">
        <f>IF(Table!F201 = "","",Table!F201)</f>
        <v/>
      </c>
      <c r="G201" s="91"/>
      <c r="I201" s="84" t="str">
        <f>IFERROR(VLOOKUP(A201,Downlink!A:L,12,TRUE),"")</f>
        <v/>
      </c>
      <c r="K201" s="31" t="str">
        <f>IFERROR(VLOOKUP(A201,Table!$I$4:$O$3000,1,TRUE),"")</f>
        <v/>
      </c>
      <c r="L201" s="31" t="str">
        <f>IFERROR(INDEX(Table!I:O,MATCH(K201,Table!I:I,0),2),"")</f>
        <v/>
      </c>
      <c r="M201" s="31" t="str">
        <f>IFERROR(INDEX(Table!I:O,MATCH(K201,Table!I:I,0),3),"")</f>
        <v/>
      </c>
      <c r="N201" s="32" t="str">
        <f>IFERROR(INDEX(Table!I:O,MATCH(K201,Table!I:I,0),4),"")</f>
        <v/>
      </c>
      <c r="O201" s="32" t="str">
        <f>IFERROR(INDEX(Table!I:O,MATCH(K201,Table!I:I,0),5),"")</f>
        <v/>
      </c>
      <c r="P201" s="32" t="str">
        <f>IFERROR(INDEX(Table!I:O,MATCH(K201,Table!I:I,0),6),"")</f>
        <v/>
      </c>
      <c r="Q201" s="89" t="str">
        <f t="shared" si="9"/>
        <v/>
      </c>
      <c r="R201" s="89" t="str">
        <f t="shared" si="10"/>
        <v/>
      </c>
      <c r="S201" s="82"/>
      <c r="U201" s="37" t="e">
        <f t="shared" si="11"/>
        <v>#VALUE!</v>
      </c>
    </row>
    <row r="202" spans="1:21" x14ac:dyDescent="0.25">
      <c r="A202" s="31" t="str">
        <f>IF(Table!A202 = "","",Table!A202)</f>
        <v/>
      </c>
      <c r="B202" s="31" t="str">
        <f>IF(Table!B202 = "","",Table!B202)</f>
        <v/>
      </c>
      <c r="C202" s="31" t="str">
        <f>IF(Table!C202 = "","",Table!C202)</f>
        <v/>
      </c>
      <c r="D202" s="32" t="str">
        <f>IF(Table!D202 = "","",Table!D202)</f>
        <v/>
      </c>
      <c r="E202" s="32" t="str">
        <f>IF(Table!E202 = "","",Table!E202)</f>
        <v/>
      </c>
      <c r="F202" s="32" t="str">
        <f>IF(Table!F202 = "","",Table!F202)</f>
        <v/>
      </c>
      <c r="G202" s="91"/>
      <c r="I202" s="84" t="str">
        <f>IFERROR(VLOOKUP(A202,Downlink!A:L,12,TRUE),"")</f>
        <v/>
      </c>
      <c r="K202" s="31" t="str">
        <f>IFERROR(VLOOKUP(A202,Table!$I$4:$O$3000,1,TRUE),"")</f>
        <v/>
      </c>
      <c r="L202" s="31" t="str">
        <f>IFERROR(INDEX(Table!I:O,MATCH(K202,Table!I:I,0),2),"")</f>
        <v/>
      </c>
      <c r="M202" s="31" t="str">
        <f>IFERROR(INDEX(Table!I:O,MATCH(K202,Table!I:I,0),3),"")</f>
        <v/>
      </c>
      <c r="N202" s="32" t="str">
        <f>IFERROR(INDEX(Table!I:O,MATCH(K202,Table!I:I,0),4),"")</f>
        <v/>
      </c>
      <c r="O202" s="32" t="str">
        <f>IFERROR(INDEX(Table!I:O,MATCH(K202,Table!I:I,0),5),"")</f>
        <v/>
      </c>
      <c r="P202" s="32" t="str">
        <f>IFERROR(INDEX(Table!I:O,MATCH(K202,Table!I:I,0),6),"")</f>
        <v/>
      </c>
      <c r="Q202" s="89" t="str">
        <f t="shared" si="9"/>
        <v/>
      </c>
      <c r="R202" s="89" t="str">
        <f t="shared" si="10"/>
        <v/>
      </c>
      <c r="S202" s="82"/>
      <c r="U202" s="37" t="e">
        <f t="shared" si="11"/>
        <v>#VALUE!</v>
      </c>
    </row>
    <row r="203" spans="1:21" s="38" customFormat="1" x14ac:dyDescent="0.25">
      <c r="A203" s="31" t="str">
        <f>IF(Table!A203 = "","",Table!A203)</f>
        <v/>
      </c>
      <c r="B203" s="31" t="str">
        <f>IF(Table!B203 = "","",Table!B203)</f>
        <v/>
      </c>
      <c r="C203" s="31" t="str">
        <f>IF(Table!C203 = "","",Table!C203)</f>
        <v/>
      </c>
      <c r="D203" s="32" t="str">
        <f>IF(Table!D203 = "","",Table!D203)</f>
        <v/>
      </c>
      <c r="E203" s="32" t="str">
        <f>IF(Table!E203 = "","",Table!E203)</f>
        <v/>
      </c>
      <c r="F203" s="32" t="str">
        <f>IF(Table!F203 = "","",Table!F203)</f>
        <v/>
      </c>
      <c r="G203" s="91"/>
      <c r="H203" s="33"/>
      <c r="I203" s="84" t="str">
        <f>IFERROR(VLOOKUP(A203,Downlink!A:L,12,TRUE),"")</f>
        <v/>
      </c>
      <c r="J203" s="33"/>
      <c r="K203" s="31" t="str">
        <f>IFERROR(VLOOKUP(A203,Table!$I$4:$O$3000,1,TRUE),"")</f>
        <v/>
      </c>
      <c r="L203" s="31" t="str">
        <f>IFERROR(INDEX(Table!I:O,MATCH(K203,Table!I:I,0),2),"")</f>
        <v/>
      </c>
      <c r="M203" s="31" t="str">
        <f>IFERROR(INDEX(Table!I:O,MATCH(K203,Table!I:I,0),3),"")</f>
        <v/>
      </c>
      <c r="N203" s="32" t="str">
        <f>IFERROR(INDEX(Table!I:O,MATCH(K203,Table!I:I,0),4),"")</f>
        <v/>
      </c>
      <c r="O203" s="32" t="str">
        <f>IFERROR(INDEX(Table!I:O,MATCH(K203,Table!I:I,0),5),"")</f>
        <v/>
      </c>
      <c r="P203" s="32" t="str">
        <f>IFERROR(INDEX(Table!I:O,MATCH(K203,Table!I:I,0),6),"")</f>
        <v/>
      </c>
      <c r="Q203" s="89" t="str">
        <f t="shared" si="9"/>
        <v/>
      </c>
      <c r="R203" s="89" t="str">
        <f t="shared" si="10"/>
        <v/>
      </c>
      <c r="S203" s="82"/>
      <c r="U203" s="39" t="e">
        <f t="shared" si="11"/>
        <v>#VALUE!</v>
      </c>
    </row>
    <row r="204" spans="1:21" x14ac:dyDescent="0.25">
      <c r="A204" s="31" t="str">
        <f>IF(Table!A204 = "","",Table!A204)</f>
        <v/>
      </c>
      <c r="B204" s="31" t="str">
        <f>IF(Table!B204 = "","",Table!B204)</f>
        <v/>
      </c>
      <c r="C204" s="31" t="str">
        <f>IF(Table!C204 = "","",Table!C204)</f>
        <v/>
      </c>
      <c r="D204" s="32" t="str">
        <f>IF(Table!D204 = "","",Table!D204)</f>
        <v/>
      </c>
      <c r="E204" s="32" t="str">
        <f>IF(Table!E204 = "","",Table!E204)</f>
        <v/>
      </c>
      <c r="F204" s="32" t="str">
        <f>IF(Table!F204 = "","",Table!F204)</f>
        <v/>
      </c>
      <c r="G204" s="91"/>
      <c r="I204" s="84" t="str">
        <f>IFERROR(VLOOKUP(A204,Downlink!A:L,12,TRUE),"")</f>
        <v/>
      </c>
      <c r="K204" s="31" t="str">
        <f>IFERROR(VLOOKUP(A204,Table!$I$4:$O$3000,1,TRUE),"")</f>
        <v/>
      </c>
      <c r="L204" s="31" t="str">
        <f>IFERROR(INDEX(Table!I:O,MATCH(K204,Table!I:I,0),2),"")</f>
        <v/>
      </c>
      <c r="M204" s="31" t="str">
        <f>IFERROR(INDEX(Table!I:O,MATCH(K204,Table!I:I,0),3),"")</f>
        <v/>
      </c>
      <c r="N204" s="32" t="str">
        <f>IFERROR(INDEX(Table!I:O,MATCH(K204,Table!I:I,0),4),"")</f>
        <v/>
      </c>
      <c r="O204" s="32" t="str">
        <f>IFERROR(INDEX(Table!I:O,MATCH(K204,Table!I:I,0),5),"")</f>
        <v/>
      </c>
      <c r="P204" s="32" t="str">
        <f>IFERROR(INDEX(Table!I:O,MATCH(K204,Table!I:I,0),6),"")</f>
        <v/>
      </c>
      <c r="Q204" s="89" t="str">
        <f t="shared" si="9"/>
        <v/>
      </c>
      <c r="R204" s="89" t="str">
        <f t="shared" si="10"/>
        <v/>
      </c>
      <c r="S204" s="82"/>
      <c r="U204" s="37" t="e">
        <f t="shared" si="11"/>
        <v>#VALUE!</v>
      </c>
    </row>
    <row r="205" spans="1:21" x14ac:dyDescent="0.25">
      <c r="A205" s="31" t="str">
        <f>IF(Table!A205 = "","",Table!A205)</f>
        <v/>
      </c>
      <c r="B205" s="31" t="str">
        <f>IF(Table!B205 = "","",Table!B205)</f>
        <v/>
      </c>
      <c r="C205" s="31" t="str">
        <f>IF(Table!C205 = "","",Table!C205)</f>
        <v/>
      </c>
      <c r="D205" s="32" t="str">
        <f>IF(Table!D205 = "","",Table!D205)</f>
        <v/>
      </c>
      <c r="E205" s="32" t="str">
        <f>IF(Table!E205 = "","",Table!E205)</f>
        <v/>
      </c>
      <c r="F205" s="32" t="str">
        <f>IF(Table!F205 = "","",Table!F205)</f>
        <v/>
      </c>
      <c r="G205" s="91"/>
      <c r="I205" s="84" t="str">
        <f>IFERROR(VLOOKUP(A205,Downlink!A:L,12,TRUE),"")</f>
        <v/>
      </c>
      <c r="K205" s="31" t="str">
        <f>IFERROR(VLOOKUP(A205,Table!$I$4:$O$3000,1,TRUE),"")</f>
        <v/>
      </c>
      <c r="L205" s="31" t="str">
        <f>IFERROR(INDEX(Table!I:O,MATCH(K205,Table!I:I,0),2),"")</f>
        <v/>
      </c>
      <c r="M205" s="31" t="str">
        <f>IFERROR(INDEX(Table!I:O,MATCH(K205,Table!I:I,0),3),"")</f>
        <v/>
      </c>
      <c r="N205" s="32" t="str">
        <f>IFERROR(INDEX(Table!I:O,MATCH(K205,Table!I:I,0),4),"")</f>
        <v/>
      </c>
      <c r="O205" s="32" t="str">
        <f>IFERROR(INDEX(Table!I:O,MATCH(K205,Table!I:I,0),5),"")</f>
        <v/>
      </c>
      <c r="P205" s="32" t="str">
        <f>IFERROR(INDEX(Table!I:O,MATCH(K205,Table!I:I,0),6),"")</f>
        <v/>
      </c>
      <c r="Q205" s="89" t="str">
        <f t="shared" si="9"/>
        <v/>
      </c>
      <c r="R205" s="89" t="str">
        <f t="shared" si="10"/>
        <v/>
      </c>
      <c r="S205" s="82"/>
      <c r="U205" s="37" t="e">
        <f t="shared" si="11"/>
        <v>#VALUE!</v>
      </c>
    </row>
    <row r="206" spans="1:21" x14ac:dyDescent="0.25">
      <c r="A206" s="31" t="str">
        <f>IF(Table!A206 = "","",Table!A206)</f>
        <v/>
      </c>
      <c r="B206" s="31" t="str">
        <f>IF(Table!B206 = "","",Table!B206)</f>
        <v/>
      </c>
      <c r="C206" s="31" t="str">
        <f>IF(Table!C206 = "","",Table!C206)</f>
        <v/>
      </c>
      <c r="D206" s="32" t="str">
        <f>IF(Table!D206 = "","",Table!D206)</f>
        <v/>
      </c>
      <c r="E206" s="32" t="str">
        <f>IF(Table!E206 = "","",Table!E206)</f>
        <v/>
      </c>
      <c r="F206" s="32" t="str">
        <f>IF(Table!F206 = "","",Table!F206)</f>
        <v/>
      </c>
      <c r="G206" s="91"/>
      <c r="I206" s="84" t="str">
        <f>IFERROR(VLOOKUP(A206,Downlink!A:L,12,TRUE),"")</f>
        <v/>
      </c>
      <c r="K206" s="31" t="str">
        <f>IFERROR(VLOOKUP(A206,Table!$I$4:$O$3000,1,TRUE),"")</f>
        <v/>
      </c>
      <c r="L206" s="31" t="str">
        <f>IFERROR(INDEX(Table!I:O,MATCH(K206,Table!I:I,0),2),"")</f>
        <v/>
      </c>
      <c r="M206" s="31" t="str">
        <f>IFERROR(INDEX(Table!I:O,MATCH(K206,Table!I:I,0),3),"")</f>
        <v/>
      </c>
      <c r="N206" s="32" t="str">
        <f>IFERROR(INDEX(Table!I:O,MATCH(K206,Table!I:I,0),4),"")</f>
        <v/>
      </c>
      <c r="O206" s="32" t="str">
        <f>IFERROR(INDEX(Table!I:O,MATCH(K206,Table!I:I,0),5),"")</f>
        <v/>
      </c>
      <c r="P206" s="32" t="str">
        <f>IFERROR(INDEX(Table!I:O,MATCH(K206,Table!I:I,0),6),"")</f>
        <v/>
      </c>
      <c r="Q206" s="89" t="str">
        <f t="shared" si="9"/>
        <v/>
      </c>
      <c r="R206" s="89" t="str">
        <f t="shared" si="10"/>
        <v/>
      </c>
      <c r="S206" s="82"/>
      <c r="U206" s="37" t="e">
        <f t="shared" si="11"/>
        <v>#VALUE!</v>
      </c>
    </row>
    <row r="207" spans="1:21" x14ac:dyDescent="0.25">
      <c r="A207" s="31" t="str">
        <f>IF(Table!A207 = "","",Table!A207)</f>
        <v/>
      </c>
      <c r="B207" s="31" t="str">
        <f>IF(Table!B207 = "","",Table!B207)</f>
        <v/>
      </c>
      <c r="C207" s="31" t="str">
        <f>IF(Table!C207 = "","",Table!C207)</f>
        <v/>
      </c>
      <c r="D207" s="32" t="str">
        <f>IF(Table!D207 = "","",Table!D207)</f>
        <v/>
      </c>
      <c r="E207" s="32" t="str">
        <f>IF(Table!E207 = "","",Table!E207)</f>
        <v/>
      </c>
      <c r="F207" s="32" t="str">
        <f>IF(Table!F207 = "","",Table!F207)</f>
        <v/>
      </c>
      <c r="G207" s="91"/>
      <c r="I207" s="84" t="str">
        <f>IFERROR(VLOOKUP(A207,Downlink!A:L,12,TRUE),"")</f>
        <v/>
      </c>
      <c r="K207" s="31" t="str">
        <f>IFERROR(VLOOKUP(A207,Table!$I$4:$O$3000,1,TRUE),"")</f>
        <v/>
      </c>
      <c r="L207" s="31" t="str">
        <f>IFERROR(INDEX(Table!I:O,MATCH(K207,Table!I:I,0),2),"")</f>
        <v/>
      </c>
      <c r="M207" s="31" t="str">
        <f>IFERROR(INDEX(Table!I:O,MATCH(K207,Table!I:I,0),3),"")</f>
        <v/>
      </c>
      <c r="N207" s="32" t="str">
        <f>IFERROR(INDEX(Table!I:O,MATCH(K207,Table!I:I,0),4),"")</f>
        <v/>
      </c>
      <c r="O207" s="32" t="str">
        <f>IFERROR(INDEX(Table!I:O,MATCH(K207,Table!I:I,0),5),"")</f>
        <v/>
      </c>
      <c r="P207" s="32" t="str">
        <f>IFERROR(INDEX(Table!I:O,MATCH(K207,Table!I:I,0),6),"")</f>
        <v/>
      </c>
      <c r="Q207" s="89" t="str">
        <f t="shared" si="9"/>
        <v/>
      </c>
      <c r="R207" s="89" t="str">
        <f t="shared" si="10"/>
        <v/>
      </c>
      <c r="S207" s="82"/>
      <c r="U207" s="37" t="e">
        <f t="shared" si="11"/>
        <v>#VALUE!</v>
      </c>
    </row>
    <row r="208" spans="1:21" x14ac:dyDescent="0.25">
      <c r="A208" s="31" t="str">
        <f>IF(Table!A208 = "","",Table!A208)</f>
        <v/>
      </c>
      <c r="B208" s="31" t="str">
        <f>IF(Table!B208 = "","",Table!B208)</f>
        <v/>
      </c>
      <c r="C208" s="31" t="str">
        <f>IF(Table!C208 = "","",Table!C208)</f>
        <v/>
      </c>
      <c r="D208" s="32" t="str">
        <f>IF(Table!D208 = "","",Table!D208)</f>
        <v/>
      </c>
      <c r="E208" s="32" t="str">
        <f>IF(Table!E208 = "","",Table!E208)</f>
        <v/>
      </c>
      <c r="F208" s="32" t="str">
        <f>IF(Table!F208 = "","",Table!F208)</f>
        <v/>
      </c>
      <c r="G208" s="91"/>
      <c r="I208" s="84" t="str">
        <f>IFERROR(VLOOKUP(A208,Downlink!A:L,12,TRUE),"")</f>
        <v/>
      </c>
      <c r="K208" s="31" t="str">
        <f>IFERROR(VLOOKUP(A208,Table!$I$4:$O$3000,1,TRUE),"")</f>
        <v/>
      </c>
      <c r="L208" s="31" t="str">
        <f>IFERROR(INDEX(Table!I:O,MATCH(K208,Table!I:I,0),2),"")</f>
        <v/>
      </c>
      <c r="M208" s="31" t="str">
        <f>IFERROR(INDEX(Table!I:O,MATCH(K208,Table!I:I,0),3),"")</f>
        <v/>
      </c>
      <c r="N208" s="32" t="str">
        <f>IFERROR(INDEX(Table!I:O,MATCH(K208,Table!I:I,0),4),"")</f>
        <v/>
      </c>
      <c r="O208" s="32" t="str">
        <f>IFERROR(INDEX(Table!I:O,MATCH(K208,Table!I:I,0),5),"")</f>
        <v/>
      </c>
      <c r="P208" s="32" t="str">
        <f>IFERROR(INDEX(Table!I:O,MATCH(K208,Table!I:I,0),6),"")</f>
        <v/>
      </c>
      <c r="Q208" s="89" t="str">
        <f t="shared" si="9"/>
        <v/>
      </c>
      <c r="R208" s="89" t="str">
        <f t="shared" si="10"/>
        <v/>
      </c>
      <c r="S208" s="82"/>
      <c r="U208" s="37" t="e">
        <f t="shared" si="11"/>
        <v>#VALUE!</v>
      </c>
    </row>
    <row r="209" spans="1:21" x14ac:dyDescent="0.25">
      <c r="A209" s="31" t="str">
        <f>IF(Table!A209 = "","",Table!A209)</f>
        <v/>
      </c>
      <c r="B209" s="31" t="str">
        <f>IF(Table!B209 = "","",Table!B209)</f>
        <v/>
      </c>
      <c r="C209" s="31" t="str">
        <f>IF(Table!C209 = "","",Table!C209)</f>
        <v/>
      </c>
      <c r="D209" s="32" t="str">
        <f>IF(Table!D209 = "","",Table!D209)</f>
        <v/>
      </c>
      <c r="E209" s="32" t="str">
        <f>IF(Table!E209 = "","",Table!E209)</f>
        <v/>
      </c>
      <c r="F209" s="32" t="str">
        <f>IF(Table!F209 = "","",Table!F209)</f>
        <v/>
      </c>
      <c r="G209" s="91"/>
      <c r="I209" s="84" t="str">
        <f>IFERROR(VLOOKUP(A209,Downlink!A:L,12,TRUE),"")</f>
        <v/>
      </c>
      <c r="K209" s="31" t="str">
        <f>IFERROR(VLOOKUP(A209,Table!$I$4:$O$3000,1,TRUE),"")</f>
        <v/>
      </c>
      <c r="L209" s="31" t="str">
        <f>IFERROR(INDEX(Table!I:O,MATCH(K209,Table!I:I,0),2),"")</f>
        <v/>
      </c>
      <c r="M209" s="31" t="str">
        <f>IFERROR(INDEX(Table!I:O,MATCH(K209,Table!I:I,0),3),"")</f>
        <v/>
      </c>
      <c r="N209" s="32" t="str">
        <f>IFERROR(INDEX(Table!I:O,MATCH(K209,Table!I:I,0),4),"")</f>
        <v/>
      </c>
      <c r="O209" s="32" t="str">
        <f>IFERROR(INDEX(Table!I:O,MATCH(K209,Table!I:I,0),5),"")</f>
        <v/>
      </c>
      <c r="P209" s="32" t="str">
        <f>IFERROR(INDEX(Table!I:O,MATCH(K209,Table!I:I,0),6),"")</f>
        <v/>
      </c>
      <c r="Q209" s="89" t="str">
        <f t="shared" si="9"/>
        <v/>
      </c>
      <c r="R209" s="89" t="str">
        <f t="shared" si="10"/>
        <v/>
      </c>
      <c r="S209" s="82"/>
      <c r="U209" s="37" t="e">
        <f t="shared" si="11"/>
        <v>#VALUE!</v>
      </c>
    </row>
    <row r="210" spans="1:21" x14ac:dyDescent="0.25">
      <c r="A210" s="31" t="str">
        <f>IF(Table!A210 = "","",Table!A210)</f>
        <v/>
      </c>
      <c r="B210" s="31" t="str">
        <f>IF(Table!B210 = "","",Table!B210)</f>
        <v/>
      </c>
      <c r="C210" s="31" t="str">
        <f>IF(Table!C210 = "","",Table!C210)</f>
        <v/>
      </c>
      <c r="D210" s="32" t="str">
        <f>IF(Table!D210 = "","",Table!D210)</f>
        <v/>
      </c>
      <c r="E210" s="32" t="str">
        <f>IF(Table!E210 = "","",Table!E210)</f>
        <v/>
      </c>
      <c r="F210" s="32" t="str">
        <f>IF(Table!F210 = "","",Table!F210)</f>
        <v/>
      </c>
      <c r="G210" s="91"/>
      <c r="I210" s="84" t="str">
        <f>IFERROR(VLOOKUP(A210,Downlink!A:L,12,TRUE),"")</f>
        <v/>
      </c>
      <c r="K210" s="31" t="str">
        <f>IFERROR(VLOOKUP(A210,Table!$I$4:$O$3000,1,TRUE),"")</f>
        <v/>
      </c>
      <c r="L210" s="31" t="str">
        <f>IFERROR(INDEX(Table!I:O,MATCH(K210,Table!I:I,0),2),"")</f>
        <v/>
      </c>
      <c r="M210" s="31" t="str">
        <f>IFERROR(INDEX(Table!I:O,MATCH(K210,Table!I:I,0),3),"")</f>
        <v/>
      </c>
      <c r="N210" s="32" t="str">
        <f>IFERROR(INDEX(Table!I:O,MATCH(K210,Table!I:I,0),4),"")</f>
        <v/>
      </c>
      <c r="O210" s="32" t="str">
        <f>IFERROR(INDEX(Table!I:O,MATCH(K210,Table!I:I,0),5),"")</f>
        <v/>
      </c>
      <c r="P210" s="32" t="str">
        <f>IFERROR(INDEX(Table!I:O,MATCH(K210,Table!I:I,0),6),"")</f>
        <v/>
      </c>
      <c r="Q210" s="89" t="str">
        <f t="shared" si="9"/>
        <v/>
      </c>
      <c r="R210" s="89" t="str">
        <f t="shared" si="10"/>
        <v/>
      </c>
      <c r="S210" s="82"/>
      <c r="U210" s="37" t="e">
        <f t="shared" si="11"/>
        <v>#VALUE!</v>
      </c>
    </row>
    <row r="211" spans="1:21" x14ac:dyDescent="0.25">
      <c r="A211" s="31" t="str">
        <f>IF(Table!A211 = "","",Table!A211)</f>
        <v/>
      </c>
      <c r="B211" s="31" t="str">
        <f>IF(Table!B211 = "","",Table!B211)</f>
        <v/>
      </c>
      <c r="C211" s="31" t="str">
        <f>IF(Table!C211 = "","",Table!C211)</f>
        <v/>
      </c>
      <c r="D211" s="32" t="str">
        <f>IF(Table!D211 = "","",Table!D211)</f>
        <v/>
      </c>
      <c r="E211" s="32" t="str">
        <f>IF(Table!E211 = "","",Table!E211)</f>
        <v/>
      </c>
      <c r="F211" s="32" t="str">
        <f>IF(Table!F211 = "","",Table!F211)</f>
        <v/>
      </c>
      <c r="G211" s="91"/>
      <c r="I211" s="84" t="str">
        <f>IFERROR(VLOOKUP(A211,Downlink!A:L,12,TRUE),"")</f>
        <v/>
      </c>
      <c r="K211" s="31" t="str">
        <f>IFERROR(VLOOKUP(A211,Table!$I$4:$O$3000,1,TRUE),"")</f>
        <v/>
      </c>
      <c r="L211" s="31" t="str">
        <f>IFERROR(INDEX(Table!I:O,MATCH(K211,Table!I:I,0),2),"")</f>
        <v/>
      </c>
      <c r="M211" s="31" t="str">
        <f>IFERROR(INDEX(Table!I:O,MATCH(K211,Table!I:I,0),3),"")</f>
        <v/>
      </c>
      <c r="N211" s="32" t="str">
        <f>IFERROR(INDEX(Table!I:O,MATCH(K211,Table!I:I,0),4),"")</f>
        <v/>
      </c>
      <c r="O211" s="32" t="str">
        <f>IFERROR(INDEX(Table!I:O,MATCH(K211,Table!I:I,0),5),"")</f>
        <v/>
      </c>
      <c r="P211" s="32" t="str">
        <f>IFERROR(INDEX(Table!I:O,MATCH(K211,Table!I:I,0),6),"")</f>
        <v/>
      </c>
      <c r="Q211" s="89" t="str">
        <f t="shared" si="9"/>
        <v/>
      </c>
      <c r="R211" s="89" t="str">
        <f t="shared" si="10"/>
        <v/>
      </c>
      <c r="S211" s="82"/>
      <c r="U211" s="37" t="e">
        <f t="shared" si="11"/>
        <v>#VALUE!</v>
      </c>
    </row>
    <row r="212" spans="1:21" x14ac:dyDescent="0.25">
      <c r="A212" s="31" t="str">
        <f>IF(Table!A212 = "","",Table!A212)</f>
        <v/>
      </c>
      <c r="B212" s="31" t="str">
        <f>IF(Table!B212 = "","",Table!B212)</f>
        <v/>
      </c>
      <c r="C212" s="31" t="str">
        <f>IF(Table!C212 = "","",Table!C212)</f>
        <v/>
      </c>
      <c r="D212" s="32" t="str">
        <f>IF(Table!D212 = "","",Table!D212)</f>
        <v/>
      </c>
      <c r="E212" s="32" t="str">
        <f>IF(Table!E212 = "","",Table!E212)</f>
        <v/>
      </c>
      <c r="F212" s="32" t="str">
        <f>IF(Table!F212 = "","",Table!F212)</f>
        <v/>
      </c>
      <c r="G212" s="91"/>
      <c r="I212" s="84" t="str">
        <f>IFERROR(VLOOKUP(A212,Downlink!A:L,12,TRUE),"")</f>
        <v/>
      </c>
      <c r="K212" s="31" t="str">
        <f>IFERROR(VLOOKUP(A212,Table!$I$4:$O$3000,1,TRUE),"")</f>
        <v/>
      </c>
      <c r="L212" s="31" t="str">
        <f>IFERROR(INDEX(Table!I:O,MATCH(K212,Table!I:I,0),2),"")</f>
        <v/>
      </c>
      <c r="M212" s="31" t="str">
        <f>IFERROR(INDEX(Table!I:O,MATCH(K212,Table!I:I,0),3),"")</f>
        <v/>
      </c>
      <c r="N212" s="32" t="str">
        <f>IFERROR(INDEX(Table!I:O,MATCH(K212,Table!I:I,0),4),"")</f>
        <v/>
      </c>
      <c r="O212" s="32" t="str">
        <f>IFERROR(INDEX(Table!I:O,MATCH(K212,Table!I:I,0),5),"")</f>
        <v/>
      </c>
      <c r="P212" s="32" t="str">
        <f>IFERROR(INDEX(Table!I:O,MATCH(K212,Table!I:I,0),6),"")</f>
        <v/>
      </c>
      <c r="Q212" s="89" t="str">
        <f t="shared" si="9"/>
        <v/>
      </c>
      <c r="R212" s="89" t="str">
        <f t="shared" si="10"/>
        <v/>
      </c>
      <c r="S212" s="82"/>
      <c r="U212" s="37" t="e">
        <f t="shared" si="11"/>
        <v>#VALUE!</v>
      </c>
    </row>
    <row r="213" spans="1:21" x14ac:dyDescent="0.25">
      <c r="A213" s="31" t="str">
        <f>IF(Table!A213 = "","",Table!A213)</f>
        <v/>
      </c>
      <c r="B213" s="31" t="str">
        <f>IF(Table!B213 = "","",Table!B213)</f>
        <v/>
      </c>
      <c r="C213" s="31" t="str">
        <f>IF(Table!C213 = "","",Table!C213)</f>
        <v/>
      </c>
      <c r="D213" s="32" t="str">
        <f>IF(Table!D213 = "","",Table!D213)</f>
        <v/>
      </c>
      <c r="E213" s="32" t="str">
        <f>IF(Table!E213 = "","",Table!E213)</f>
        <v/>
      </c>
      <c r="F213" s="32" t="str">
        <f>IF(Table!F213 = "","",Table!F213)</f>
        <v/>
      </c>
      <c r="G213" s="91"/>
      <c r="I213" s="84" t="str">
        <f>IFERROR(VLOOKUP(A213,Downlink!A:L,12,TRUE),"")</f>
        <v/>
      </c>
      <c r="K213" s="31" t="str">
        <f>IFERROR(VLOOKUP(A213,Table!$I$4:$O$3000,1,TRUE),"")</f>
        <v/>
      </c>
      <c r="L213" s="31" t="str">
        <f>IFERROR(INDEX(Table!I:O,MATCH(K213,Table!I:I,0),2),"")</f>
        <v/>
      </c>
      <c r="M213" s="31" t="str">
        <f>IFERROR(INDEX(Table!I:O,MATCH(K213,Table!I:I,0),3),"")</f>
        <v/>
      </c>
      <c r="N213" s="32" t="str">
        <f>IFERROR(INDEX(Table!I:O,MATCH(K213,Table!I:I,0),4),"")</f>
        <v/>
      </c>
      <c r="O213" s="32" t="str">
        <f>IFERROR(INDEX(Table!I:O,MATCH(K213,Table!I:I,0),5),"")</f>
        <v/>
      </c>
      <c r="P213" s="32" t="str">
        <f>IFERROR(INDEX(Table!I:O,MATCH(K213,Table!I:I,0),6),"")</f>
        <v/>
      </c>
      <c r="Q213" s="89" t="str">
        <f t="shared" si="9"/>
        <v/>
      </c>
      <c r="R213" s="89" t="str">
        <f t="shared" si="10"/>
        <v/>
      </c>
      <c r="S213" s="82"/>
      <c r="U213" s="37" t="e">
        <f t="shared" si="11"/>
        <v>#VALUE!</v>
      </c>
    </row>
    <row r="214" spans="1:21" x14ac:dyDescent="0.25">
      <c r="A214" s="31" t="str">
        <f>IF(Table!A214 = "","",Table!A214)</f>
        <v/>
      </c>
      <c r="B214" s="31" t="str">
        <f>IF(Table!B214 = "","",Table!B214)</f>
        <v/>
      </c>
      <c r="C214" s="31" t="str">
        <f>IF(Table!C214 = "","",Table!C214)</f>
        <v/>
      </c>
      <c r="D214" s="32" t="str">
        <f>IF(Table!D214 = "","",Table!D214)</f>
        <v/>
      </c>
      <c r="E214" s="32" t="str">
        <f>IF(Table!E214 = "","",Table!E214)</f>
        <v/>
      </c>
      <c r="F214" s="32" t="str">
        <f>IF(Table!F214 = "","",Table!F214)</f>
        <v/>
      </c>
      <c r="G214" s="91"/>
      <c r="I214" s="84" t="str">
        <f>IFERROR(VLOOKUP(A214,Downlink!A:L,12,TRUE),"")</f>
        <v/>
      </c>
      <c r="K214" s="31" t="str">
        <f>IFERROR(VLOOKUP(A214,Table!$I$4:$O$3000,1,TRUE),"")</f>
        <v/>
      </c>
      <c r="L214" s="31" t="str">
        <f>IFERROR(INDEX(Table!I:O,MATCH(K214,Table!I:I,0),2),"")</f>
        <v/>
      </c>
      <c r="M214" s="31" t="str">
        <f>IFERROR(INDEX(Table!I:O,MATCH(K214,Table!I:I,0),3),"")</f>
        <v/>
      </c>
      <c r="N214" s="32" t="str">
        <f>IFERROR(INDEX(Table!I:O,MATCH(K214,Table!I:I,0),4),"")</f>
        <v/>
      </c>
      <c r="O214" s="32" t="str">
        <f>IFERROR(INDEX(Table!I:O,MATCH(K214,Table!I:I,0),5),"")</f>
        <v/>
      </c>
      <c r="P214" s="32" t="str">
        <f>IFERROR(INDEX(Table!I:O,MATCH(K214,Table!I:I,0),6),"")</f>
        <v/>
      </c>
      <c r="Q214" s="89" t="str">
        <f t="shared" si="9"/>
        <v/>
      </c>
      <c r="R214" s="89" t="str">
        <f t="shared" si="10"/>
        <v/>
      </c>
      <c r="S214" s="82"/>
      <c r="U214" s="37" t="e">
        <f t="shared" si="11"/>
        <v>#VALUE!</v>
      </c>
    </row>
    <row r="215" spans="1:21" x14ac:dyDescent="0.25">
      <c r="A215" s="31" t="str">
        <f>IF(Table!A215 = "","",Table!A215)</f>
        <v/>
      </c>
      <c r="B215" s="31" t="str">
        <f>IF(Table!B215 = "","",Table!B215)</f>
        <v/>
      </c>
      <c r="C215" s="31" t="str">
        <f>IF(Table!C215 = "","",Table!C215)</f>
        <v/>
      </c>
      <c r="D215" s="32" t="str">
        <f>IF(Table!D215 = "","",Table!D215)</f>
        <v/>
      </c>
      <c r="E215" s="32" t="str">
        <f>IF(Table!E215 = "","",Table!E215)</f>
        <v/>
      </c>
      <c r="F215" s="32" t="str">
        <f>IF(Table!F215 = "","",Table!F215)</f>
        <v/>
      </c>
      <c r="G215" s="91"/>
      <c r="I215" s="84" t="str">
        <f>IFERROR(VLOOKUP(A215,Downlink!A:L,12,TRUE),"")</f>
        <v/>
      </c>
      <c r="K215" s="31" t="str">
        <f>IFERROR(VLOOKUP(A215,Table!$I$4:$O$3000,1,TRUE),"")</f>
        <v/>
      </c>
      <c r="L215" s="31" t="str">
        <f>IFERROR(INDEX(Table!I:O,MATCH(K215,Table!I:I,0),2),"")</f>
        <v/>
      </c>
      <c r="M215" s="31" t="str">
        <f>IFERROR(INDEX(Table!I:O,MATCH(K215,Table!I:I,0),3),"")</f>
        <v/>
      </c>
      <c r="N215" s="32" t="str">
        <f>IFERROR(INDEX(Table!I:O,MATCH(K215,Table!I:I,0),4),"")</f>
        <v/>
      </c>
      <c r="O215" s="32" t="str">
        <f>IFERROR(INDEX(Table!I:O,MATCH(K215,Table!I:I,0),5),"")</f>
        <v/>
      </c>
      <c r="P215" s="32" t="str">
        <f>IFERROR(INDEX(Table!I:O,MATCH(K215,Table!I:I,0),6),"")</f>
        <v/>
      </c>
      <c r="Q215" s="89" t="str">
        <f t="shared" si="9"/>
        <v/>
      </c>
      <c r="R215" s="89" t="str">
        <f t="shared" si="10"/>
        <v/>
      </c>
      <c r="S215" s="82"/>
      <c r="U215" s="37" t="e">
        <f t="shared" si="11"/>
        <v>#VALUE!</v>
      </c>
    </row>
    <row r="216" spans="1:21" x14ac:dyDescent="0.25">
      <c r="A216" s="31" t="str">
        <f>IF(Table!A216 = "","",Table!A216)</f>
        <v/>
      </c>
      <c r="B216" s="31" t="str">
        <f>IF(Table!B216 = "","",Table!B216)</f>
        <v/>
      </c>
      <c r="C216" s="31" t="str">
        <f>IF(Table!C216 = "","",Table!C216)</f>
        <v/>
      </c>
      <c r="D216" s="32" t="str">
        <f>IF(Table!D216 = "","",Table!D216)</f>
        <v/>
      </c>
      <c r="E216" s="32" t="str">
        <f>IF(Table!E216 = "","",Table!E216)</f>
        <v/>
      </c>
      <c r="F216" s="32" t="str">
        <f>IF(Table!F216 = "","",Table!F216)</f>
        <v/>
      </c>
      <c r="G216" s="91"/>
      <c r="I216" s="84" t="str">
        <f>IFERROR(VLOOKUP(A216,Downlink!A:L,12,TRUE),"")</f>
        <v/>
      </c>
      <c r="K216" s="31" t="str">
        <f>IFERROR(VLOOKUP(A216,Table!$I$4:$O$3000,1,TRUE),"")</f>
        <v/>
      </c>
      <c r="L216" s="31" t="str">
        <f>IFERROR(INDEX(Table!I:O,MATCH(K216,Table!I:I,0),2),"")</f>
        <v/>
      </c>
      <c r="M216" s="31" t="str">
        <f>IFERROR(INDEX(Table!I:O,MATCH(K216,Table!I:I,0),3),"")</f>
        <v/>
      </c>
      <c r="N216" s="32" t="str">
        <f>IFERROR(INDEX(Table!I:O,MATCH(K216,Table!I:I,0),4),"")</f>
        <v/>
      </c>
      <c r="O216" s="32" t="str">
        <f>IFERROR(INDEX(Table!I:O,MATCH(K216,Table!I:I,0),5),"")</f>
        <v/>
      </c>
      <c r="P216" s="32" t="str">
        <f>IFERROR(INDEX(Table!I:O,MATCH(K216,Table!I:I,0),6),"")</f>
        <v/>
      </c>
      <c r="Q216" s="89" t="str">
        <f t="shared" si="9"/>
        <v/>
      </c>
      <c r="R216" s="89" t="str">
        <f t="shared" si="10"/>
        <v/>
      </c>
      <c r="S216" s="82"/>
      <c r="U216" s="37" t="e">
        <f t="shared" si="11"/>
        <v>#VALUE!</v>
      </c>
    </row>
    <row r="217" spans="1:21" x14ac:dyDescent="0.25">
      <c r="A217" s="31" t="str">
        <f>IF(Table!A217 = "","",Table!A217)</f>
        <v/>
      </c>
      <c r="B217" s="31" t="str">
        <f>IF(Table!B217 = "","",Table!B217)</f>
        <v/>
      </c>
      <c r="C217" s="31" t="str">
        <f>IF(Table!C217 = "","",Table!C217)</f>
        <v/>
      </c>
      <c r="D217" s="32" t="str">
        <f>IF(Table!D217 = "","",Table!D217)</f>
        <v/>
      </c>
      <c r="E217" s="32" t="str">
        <f>IF(Table!E217 = "","",Table!E217)</f>
        <v/>
      </c>
      <c r="F217" s="32" t="str">
        <f>IF(Table!F217 = "","",Table!F217)</f>
        <v/>
      </c>
      <c r="G217" s="91"/>
      <c r="I217" s="84" t="str">
        <f>IFERROR(VLOOKUP(A217,Downlink!A:L,12,TRUE),"")</f>
        <v/>
      </c>
      <c r="K217" s="31" t="str">
        <f>IFERROR(VLOOKUP(A217,Table!$I$4:$O$3000,1,TRUE),"")</f>
        <v/>
      </c>
      <c r="L217" s="31" t="str">
        <f>IFERROR(INDEX(Table!I:O,MATCH(K217,Table!I:I,0),2),"")</f>
        <v/>
      </c>
      <c r="M217" s="31" t="str">
        <f>IFERROR(INDEX(Table!I:O,MATCH(K217,Table!I:I,0),3),"")</f>
        <v/>
      </c>
      <c r="N217" s="32" t="str">
        <f>IFERROR(INDEX(Table!I:O,MATCH(K217,Table!I:I,0),4),"")</f>
        <v/>
      </c>
      <c r="O217" s="32" t="str">
        <f>IFERROR(INDEX(Table!I:O,MATCH(K217,Table!I:I,0),5),"")</f>
        <v/>
      </c>
      <c r="P217" s="32" t="str">
        <f>IFERROR(INDEX(Table!I:O,MATCH(K217,Table!I:I,0),6),"")</f>
        <v/>
      </c>
      <c r="Q217" s="89" t="str">
        <f t="shared" si="9"/>
        <v/>
      </c>
      <c r="R217" s="89" t="str">
        <f t="shared" si="10"/>
        <v/>
      </c>
      <c r="S217" s="82"/>
      <c r="U217" s="37" t="e">
        <f t="shared" si="11"/>
        <v>#VALUE!</v>
      </c>
    </row>
    <row r="218" spans="1:21" x14ac:dyDescent="0.25">
      <c r="A218" s="31" t="str">
        <f>IF(Table!A218 = "","",Table!A218)</f>
        <v/>
      </c>
      <c r="B218" s="31" t="str">
        <f>IF(Table!B218 = "","",Table!B218)</f>
        <v/>
      </c>
      <c r="C218" s="31" t="str">
        <f>IF(Table!C218 = "","",Table!C218)</f>
        <v/>
      </c>
      <c r="D218" s="32" t="str">
        <f>IF(Table!D218 = "","",Table!D218)</f>
        <v/>
      </c>
      <c r="E218" s="32" t="str">
        <f>IF(Table!E218 = "","",Table!E218)</f>
        <v/>
      </c>
      <c r="F218" s="32" t="str">
        <f>IF(Table!F218 = "","",Table!F218)</f>
        <v/>
      </c>
      <c r="G218" s="91"/>
      <c r="I218" s="84" t="str">
        <f>IFERROR(VLOOKUP(A218,Downlink!A:L,12,TRUE),"")</f>
        <v/>
      </c>
      <c r="K218" s="31" t="str">
        <f>IFERROR(VLOOKUP(A218,Table!$I$4:$O$3000,1,TRUE),"")</f>
        <v/>
      </c>
      <c r="L218" s="31" t="str">
        <f>IFERROR(INDEX(Table!I:O,MATCH(K218,Table!I:I,0),2),"")</f>
        <v/>
      </c>
      <c r="M218" s="31" t="str">
        <f>IFERROR(INDEX(Table!I:O,MATCH(K218,Table!I:I,0),3),"")</f>
        <v/>
      </c>
      <c r="N218" s="32" t="str">
        <f>IFERROR(INDEX(Table!I:O,MATCH(K218,Table!I:I,0),4),"")</f>
        <v/>
      </c>
      <c r="O218" s="32" t="str">
        <f>IFERROR(INDEX(Table!I:O,MATCH(K218,Table!I:I,0),5),"")</f>
        <v/>
      </c>
      <c r="P218" s="32" t="str">
        <f>IFERROR(INDEX(Table!I:O,MATCH(K218,Table!I:I,0),6),"")</f>
        <v/>
      </c>
      <c r="Q218" s="89" t="str">
        <f t="shared" si="9"/>
        <v/>
      </c>
      <c r="R218" s="89" t="str">
        <f t="shared" si="10"/>
        <v/>
      </c>
      <c r="S218" s="82"/>
      <c r="U218" s="37" t="e">
        <f t="shared" si="11"/>
        <v>#VALUE!</v>
      </c>
    </row>
    <row r="219" spans="1:21" x14ac:dyDescent="0.25">
      <c r="A219" s="31" t="str">
        <f>IF(Table!A219 = "","",Table!A219)</f>
        <v/>
      </c>
      <c r="B219" s="31" t="str">
        <f>IF(Table!B219 = "","",Table!B219)</f>
        <v/>
      </c>
      <c r="C219" s="31" t="str">
        <f>IF(Table!C219 = "","",Table!C219)</f>
        <v/>
      </c>
      <c r="D219" s="32" t="str">
        <f>IF(Table!D219 = "","",Table!D219)</f>
        <v/>
      </c>
      <c r="E219" s="32" t="str">
        <f>IF(Table!E219 = "","",Table!E219)</f>
        <v/>
      </c>
      <c r="F219" s="32" t="str">
        <f>IF(Table!F219 = "","",Table!F219)</f>
        <v/>
      </c>
      <c r="G219" s="91"/>
      <c r="I219" s="84" t="str">
        <f>IFERROR(VLOOKUP(A219,Downlink!A:L,12,TRUE),"")</f>
        <v/>
      </c>
      <c r="K219" s="31" t="str">
        <f>IFERROR(VLOOKUP(A219,Table!$I$4:$O$3000,1,TRUE),"")</f>
        <v/>
      </c>
      <c r="L219" s="31" t="str">
        <f>IFERROR(INDEX(Table!I:O,MATCH(K219,Table!I:I,0),2),"")</f>
        <v/>
      </c>
      <c r="M219" s="31" t="str">
        <f>IFERROR(INDEX(Table!I:O,MATCH(K219,Table!I:I,0),3),"")</f>
        <v/>
      </c>
      <c r="N219" s="32" t="str">
        <f>IFERROR(INDEX(Table!I:O,MATCH(K219,Table!I:I,0),4),"")</f>
        <v/>
      </c>
      <c r="O219" s="32" t="str">
        <f>IFERROR(INDEX(Table!I:O,MATCH(K219,Table!I:I,0),5),"")</f>
        <v/>
      </c>
      <c r="P219" s="32" t="str">
        <f>IFERROR(INDEX(Table!I:O,MATCH(K219,Table!I:I,0),6),"")</f>
        <v/>
      </c>
      <c r="Q219" s="89" t="str">
        <f t="shared" si="9"/>
        <v/>
      </c>
      <c r="R219" s="89" t="str">
        <f t="shared" si="10"/>
        <v/>
      </c>
      <c r="S219" s="82"/>
      <c r="U219" s="37" t="e">
        <f t="shared" si="11"/>
        <v>#VALUE!</v>
      </c>
    </row>
    <row r="220" spans="1:21" x14ac:dyDescent="0.25">
      <c r="A220" s="31" t="str">
        <f>IF(Table!A220 = "","",Table!A220)</f>
        <v/>
      </c>
      <c r="B220" s="31" t="str">
        <f>IF(Table!B220 = "","",Table!B220)</f>
        <v/>
      </c>
      <c r="C220" s="31" t="str">
        <f>IF(Table!C220 = "","",Table!C220)</f>
        <v/>
      </c>
      <c r="D220" s="32" t="str">
        <f>IF(Table!D220 = "","",Table!D220)</f>
        <v/>
      </c>
      <c r="E220" s="32" t="str">
        <f>IF(Table!E220 = "","",Table!E220)</f>
        <v/>
      </c>
      <c r="F220" s="32" t="str">
        <f>IF(Table!F220 = "","",Table!F220)</f>
        <v/>
      </c>
      <c r="G220" s="91"/>
      <c r="I220" s="84" t="str">
        <f>IFERROR(VLOOKUP(A220,Downlink!A:L,12,TRUE),"")</f>
        <v/>
      </c>
      <c r="K220" s="31" t="str">
        <f>IFERROR(VLOOKUP(A220,Table!$I$4:$O$3000,1,TRUE),"")</f>
        <v/>
      </c>
      <c r="L220" s="31" t="str">
        <f>IFERROR(INDEX(Table!I:O,MATCH(K220,Table!I:I,0),2),"")</f>
        <v/>
      </c>
      <c r="M220" s="31" t="str">
        <f>IFERROR(INDEX(Table!I:O,MATCH(K220,Table!I:I,0),3),"")</f>
        <v/>
      </c>
      <c r="N220" s="32" t="str">
        <f>IFERROR(INDEX(Table!I:O,MATCH(K220,Table!I:I,0),4),"")</f>
        <v/>
      </c>
      <c r="O220" s="32" t="str">
        <f>IFERROR(INDEX(Table!I:O,MATCH(K220,Table!I:I,0),5),"")</f>
        <v/>
      </c>
      <c r="P220" s="32" t="str">
        <f>IFERROR(INDEX(Table!I:O,MATCH(K220,Table!I:I,0),6),"")</f>
        <v/>
      </c>
      <c r="Q220" s="89" t="str">
        <f t="shared" si="9"/>
        <v/>
      </c>
      <c r="R220" s="89" t="str">
        <f t="shared" si="10"/>
        <v/>
      </c>
      <c r="S220" s="82"/>
      <c r="U220" s="37" t="e">
        <f t="shared" si="11"/>
        <v>#VALUE!</v>
      </c>
    </row>
    <row r="221" spans="1:21" x14ac:dyDescent="0.25">
      <c r="A221" s="31" t="str">
        <f>IF(Table!A221 = "","",Table!A221)</f>
        <v/>
      </c>
      <c r="B221" s="31" t="str">
        <f>IF(Table!B221 = "","",Table!B221)</f>
        <v/>
      </c>
      <c r="C221" s="31" t="str">
        <f>IF(Table!C221 = "","",Table!C221)</f>
        <v/>
      </c>
      <c r="D221" s="32" t="str">
        <f>IF(Table!D221 = "","",Table!D221)</f>
        <v/>
      </c>
      <c r="E221" s="32" t="str">
        <f>IF(Table!E221 = "","",Table!E221)</f>
        <v/>
      </c>
      <c r="F221" s="32" t="str">
        <f>IF(Table!F221 = "","",Table!F221)</f>
        <v/>
      </c>
      <c r="G221" s="91"/>
      <c r="I221" s="84" t="str">
        <f>IFERROR(VLOOKUP(A221,Downlink!A:L,12,TRUE),"")</f>
        <v/>
      </c>
      <c r="K221" s="31" t="str">
        <f>IFERROR(VLOOKUP(A221,Table!$I$4:$O$3000,1,TRUE),"")</f>
        <v/>
      </c>
      <c r="L221" s="31" t="str">
        <f>IFERROR(INDEX(Table!I:O,MATCH(K221,Table!I:I,0),2),"")</f>
        <v/>
      </c>
      <c r="M221" s="31" t="str">
        <f>IFERROR(INDEX(Table!I:O,MATCH(K221,Table!I:I,0),3),"")</f>
        <v/>
      </c>
      <c r="N221" s="32" t="str">
        <f>IFERROR(INDEX(Table!I:O,MATCH(K221,Table!I:I,0),4),"")</f>
        <v/>
      </c>
      <c r="O221" s="32" t="str">
        <f>IFERROR(INDEX(Table!I:O,MATCH(K221,Table!I:I,0),5),"")</f>
        <v/>
      </c>
      <c r="P221" s="32" t="str">
        <f>IFERROR(INDEX(Table!I:O,MATCH(K221,Table!I:I,0),6),"")</f>
        <v/>
      </c>
      <c r="Q221" s="89" t="str">
        <f t="shared" si="9"/>
        <v/>
      </c>
      <c r="R221" s="89" t="str">
        <f t="shared" si="10"/>
        <v/>
      </c>
      <c r="S221" s="82"/>
      <c r="U221" s="37" t="e">
        <f t="shared" si="11"/>
        <v>#VALUE!</v>
      </c>
    </row>
    <row r="222" spans="1:21" x14ac:dyDescent="0.25">
      <c r="A222" s="31" t="str">
        <f>IF(Table!A222 = "","",Table!A222)</f>
        <v/>
      </c>
      <c r="B222" s="31" t="str">
        <f>IF(Table!B222 = "","",Table!B222)</f>
        <v/>
      </c>
      <c r="C222" s="31" t="str">
        <f>IF(Table!C222 = "","",Table!C222)</f>
        <v/>
      </c>
      <c r="D222" s="32" t="str">
        <f>IF(Table!D222 = "","",Table!D222)</f>
        <v/>
      </c>
      <c r="E222" s="32" t="str">
        <f>IF(Table!E222 = "","",Table!E222)</f>
        <v/>
      </c>
      <c r="F222" s="32" t="str">
        <f>IF(Table!F222 = "","",Table!F222)</f>
        <v/>
      </c>
      <c r="G222" s="91"/>
      <c r="I222" s="84" t="str">
        <f>IFERROR(VLOOKUP(A222,Downlink!A:L,12,TRUE),"")</f>
        <v/>
      </c>
      <c r="K222" s="31" t="str">
        <f>IFERROR(VLOOKUP(A222,Table!$I$4:$O$3000,1,TRUE),"")</f>
        <v/>
      </c>
      <c r="L222" s="31" t="str">
        <f>IFERROR(INDEX(Table!I:O,MATCH(K222,Table!I:I,0),2),"")</f>
        <v/>
      </c>
      <c r="M222" s="31" t="str">
        <f>IFERROR(INDEX(Table!I:O,MATCH(K222,Table!I:I,0),3),"")</f>
        <v/>
      </c>
      <c r="N222" s="32" t="str">
        <f>IFERROR(INDEX(Table!I:O,MATCH(K222,Table!I:I,0),4),"")</f>
        <v/>
      </c>
      <c r="O222" s="32" t="str">
        <f>IFERROR(INDEX(Table!I:O,MATCH(K222,Table!I:I,0),5),"")</f>
        <v/>
      </c>
      <c r="P222" s="32" t="str">
        <f>IFERROR(INDEX(Table!I:O,MATCH(K222,Table!I:I,0),6),"")</f>
        <v/>
      </c>
      <c r="Q222" s="89" t="str">
        <f t="shared" si="9"/>
        <v/>
      </c>
      <c r="R222" s="89" t="str">
        <f t="shared" si="10"/>
        <v/>
      </c>
      <c r="S222" s="82"/>
      <c r="U222" s="37" t="e">
        <f t="shared" si="11"/>
        <v>#VALUE!</v>
      </c>
    </row>
    <row r="223" spans="1:21" x14ac:dyDescent="0.25">
      <c r="A223" s="31" t="str">
        <f>IF(Table!A223 = "","",Table!A223)</f>
        <v/>
      </c>
      <c r="B223" s="31" t="str">
        <f>IF(Table!B223 = "","",Table!B223)</f>
        <v/>
      </c>
      <c r="C223" s="31" t="str">
        <f>IF(Table!C223 = "","",Table!C223)</f>
        <v/>
      </c>
      <c r="D223" s="32" t="str">
        <f>IF(Table!D223 = "","",Table!D223)</f>
        <v/>
      </c>
      <c r="E223" s="32" t="str">
        <f>IF(Table!E223 = "","",Table!E223)</f>
        <v/>
      </c>
      <c r="F223" s="32" t="str">
        <f>IF(Table!F223 = "","",Table!F223)</f>
        <v/>
      </c>
      <c r="G223" s="91"/>
      <c r="I223" s="84" t="str">
        <f>IFERROR(VLOOKUP(A223,Downlink!A:L,12,TRUE),"")</f>
        <v/>
      </c>
      <c r="K223" s="31" t="str">
        <f>IFERROR(VLOOKUP(A223,Table!$I$4:$O$3000,1,TRUE),"")</f>
        <v/>
      </c>
      <c r="L223" s="31" t="str">
        <f>IFERROR(INDEX(Table!I:O,MATCH(K223,Table!I:I,0),2),"")</f>
        <v/>
      </c>
      <c r="M223" s="31" t="str">
        <f>IFERROR(INDEX(Table!I:O,MATCH(K223,Table!I:I,0),3),"")</f>
        <v/>
      </c>
      <c r="N223" s="32" t="str">
        <f>IFERROR(INDEX(Table!I:O,MATCH(K223,Table!I:I,0),4),"")</f>
        <v/>
      </c>
      <c r="O223" s="32" t="str">
        <f>IFERROR(INDEX(Table!I:O,MATCH(K223,Table!I:I,0),5),"")</f>
        <v/>
      </c>
      <c r="P223" s="32" t="str">
        <f>IFERROR(INDEX(Table!I:O,MATCH(K223,Table!I:I,0),6),"")</f>
        <v/>
      </c>
      <c r="Q223" s="89" t="str">
        <f t="shared" si="9"/>
        <v/>
      </c>
      <c r="R223" s="89" t="str">
        <f t="shared" si="10"/>
        <v/>
      </c>
      <c r="S223" s="82"/>
      <c r="U223" s="37" t="e">
        <f t="shared" si="11"/>
        <v>#VALUE!</v>
      </c>
    </row>
    <row r="224" spans="1:21" x14ac:dyDescent="0.25">
      <c r="A224" s="31" t="str">
        <f>IF(Table!A224 = "","",Table!A224)</f>
        <v/>
      </c>
      <c r="B224" s="31" t="str">
        <f>IF(Table!B224 = "","",Table!B224)</f>
        <v/>
      </c>
      <c r="C224" s="31" t="str">
        <f>IF(Table!C224 = "","",Table!C224)</f>
        <v/>
      </c>
      <c r="D224" s="32" t="str">
        <f>IF(Table!D224 = "","",Table!D224)</f>
        <v/>
      </c>
      <c r="E224" s="32" t="str">
        <f>IF(Table!E224 = "","",Table!E224)</f>
        <v/>
      </c>
      <c r="F224" s="32" t="str">
        <f>IF(Table!F224 = "","",Table!F224)</f>
        <v/>
      </c>
      <c r="G224" s="91"/>
      <c r="I224" s="84" t="str">
        <f>IFERROR(VLOOKUP(A224,Downlink!A:L,12,TRUE),"")</f>
        <v/>
      </c>
      <c r="K224" s="31" t="str">
        <f>IFERROR(VLOOKUP(A224,Table!$I$4:$O$3000,1,TRUE),"")</f>
        <v/>
      </c>
      <c r="L224" s="31" t="str">
        <f>IFERROR(INDEX(Table!I:O,MATCH(K224,Table!I:I,0),2),"")</f>
        <v/>
      </c>
      <c r="M224" s="31" t="str">
        <f>IFERROR(INDEX(Table!I:O,MATCH(K224,Table!I:I,0),3),"")</f>
        <v/>
      </c>
      <c r="N224" s="32" t="str">
        <f>IFERROR(INDEX(Table!I:O,MATCH(K224,Table!I:I,0),4),"")</f>
        <v/>
      </c>
      <c r="O224" s="32" t="str">
        <f>IFERROR(INDEX(Table!I:O,MATCH(K224,Table!I:I,0),5),"")</f>
        <v/>
      </c>
      <c r="P224" s="32" t="str">
        <f>IFERROR(INDEX(Table!I:O,MATCH(K224,Table!I:I,0),6),"")</f>
        <v/>
      </c>
      <c r="Q224" s="89" t="str">
        <f t="shared" si="9"/>
        <v/>
      </c>
      <c r="R224" s="89" t="str">
        <f t="shared" si="10"/>
        <v/>
      </c>
      <c r="S224" s="82"/>
      <c r="U224" s="37" t="e">
        <f t="shared" si="11"/>
        <v>#VALUE!</v>
      </c>
    </row>
    <row r="225" spans="1:21" x14ac:dyDescent="0.25">
      <c r="A225" s="31" t="str">
        <f>IF(Table!A225 = "","",Table!A225)</f>
        <v/>
      </c>
      <c r="B225" s="31" t="str">
        <f>IF(Table!B225 = "","",Table!B225)</f>
        <v/>
      </c>
      <c r="C225" s="31" t="str">
        <f>IF(Table!C225 = "","",Table!C225)</f>
        <v/>
      </c>
      <c r="D225" s="32" t="str">
        <f>IF(Table!D225 = "","",Table!D225)</f>
        <v/>
      </c>
      <c r="E225" s="32" t="str">
        <f>IF(Table!E225 = "","",Table!E225)</f>
        <v/>
      </c>
      <c r="F225" s="32" t="str">
        <f>IF(Table!F225 = "","",Table!F225)</f>
        <v/>
      </c>
      <c r="G225" s="91"/>
      <c r="I225" s="84" t="str">
        <f>IFERROR(VLOOKUP(A225,Downlink!A:L,12,TRUE),"")</f>
        <v/>
      </c>
      <c r="K225" s="31" t="str">
        <f>IFERROR(VLOOKUP(A225,Table!$I$4:$O$3000,1,TRUE),"")</f>
        <v/>
      </c>
      <c r="L225" s="31" t="str">
        <f>IFERROR(INDEX(Table!I:O,MATCH(K225,Table!I:I,0),2),"")</f>
        <v/>
      </c>
      <c r="M225" s="31" t="str">
        <f>IFERROR(INDEX(Table!I:O,MATCH(K225,Table!I:I,0),3),"")</f>
        <v/>
      </c>
      <c r="N225" s="32" t="str">
        <f>IFERROR(INDEX(Table!I:O,MATCH(K225,Table!I:I,0),4),"")</f>
        <v/>
      </c>
      <c r="O225" s="32" t="str">
        <f>IFERROR(INDEX(Table!I:O,MATCH(K225,Table!I:I,0),5),"")</f>
        <v/>
      </c>
      <c r="P225" s="32" t="str">
        <f>IFERROR(INDEX(Table!I:O,MATCH(K225,Table!I:I,0),6),"")</f>
        <v/>
      </c>
      <c r="Q225" s="89" t="str">
        <f t="shared" si="9"/>
        <v/>
      </c>
      <c r="R225" s="89" t="str">
        <f t="shared" si="10"/>
        <v/>
      </c>
      <c r="S225" s="82"/>
      <c r="U225" s="37" t="e">
        <f t="shared" si="11"/>
        <v>#VALUE!</v>
      </c>
    </row>
    <row r="226" spans="1:21" x14ac:dyDescent="0.25">
      <c r="A226" s="31" t="str">
        <f>IF(Table!A226 = "","",Table!A226)</f>
        <v/>
      </c>
      <c r="B226" s="31" t="str">
        <f>IF(Table!B226 = "","",Table!B226)</f>
        <v/>
      </c>
      <c r="C226" s="31" t="str">
        <f>IF(Table!C226 = "","",Table!C226)</f>
        <v/>
      </c>
      <c r="D226" s="32" t="str">
        <f>IF(Table!D226 = "","",Table!D226)</f>
        <v/>
      </c>
      <c r="E226" s="32" t="str">
        <f>IF(Table!E226 = "","",Table!E226)</f>
        <v/>
      </c>
      <c r="F226" s="32" t="str">
        <f>IF(Table!F226 = "","",Table!F226)</f>
        <v/>
      </c>
      <c r="G226" s="91"/>
      <c r="I226" s="84" t="str">
        <f>IFERROR(VLOOKUP(A226,Downlink!A:L,12,TRUE),"")</f>
        <v/>
      </c>
      <c r="K226" s="31" t="str">
        <f>IFERROR(VLOOKUP(A226,Table!$I$4:$O$3000,1,TRUE),"")</f>
        <v/>
      </c>
      <c r="L226" s="31" t="str">
        <f>IFERROR(INDEX(Table!I:O,MATCH(K226,Table!I:I,0),2),"")</f>
        <v/>
      </c>
      <c r="M226" s="31" t="str">
        <f>IFERROR(INDEX(Table!I:O,MATCH(K226,Table!I:I,0),3),"")</f>
        <v/>
      </c>
      <c r="N226" s="32" t="str">
        <f>IFERROR(INDEX(Table!I:O,MATCH(K226,Table!I:I,0),4),"")</f>
        <v/>
      </c>
      <c r="O226" s="32" t="str">
        <f>IFERROR(INDEX(Table!I:O,MATCH(K226,Table!I:I,0),5),"")</f>
        <v/>
      </c>
      <c r="P226" s="32" t="str">
        <f>IFERROR(INDEX(Table!I:O,MATCH(K226,Table!I:I,0),6),"")</f>
        <v/>
      </c>
      <c r="Q226" s="89" t="str">
        <f t="shared" si="9"/>
        <v/>
      </c>
      <c r="R226" s="89" t="str">
        <f t="shared" si="10"/>
        <v/>
      </c>
      <c r="S226" s="82"/>
      <c r="U226" s="37" t="e">
        <f t="shared" si="11"/>
        <v>#VALUE!</v>
      </c>
    </row>
    <row r="227" spans="1:21" x14ac:dyDescent="0.25">
      <c r="A227" s="31" t="str">
        <f>IF(Table!A227 = "","",Table!A227)</f>
        <v/>
      </c>
      <c r="B227" s="31" t="str">
        <f>IF(Table!B227 = "","",Table!B227)</f>
        <v/>
      </c>
      <c r="C227" s="31" t="str">
        <f>IF(Table!C227 = "","",Table!C227)</f>
        <v/>
      </c>
      <c r="D227" s="32" t="str">
        <f>IF(Table!D227 = "","",Table!D227)</f>
        <v/>
      </c>
      <c r="E227" s="32" t="str">
        <f>IF(Table!E227 = "","",Table!E227)</f>
        <v/>
      </c>
      <c r="F227" s="32" t="str">
        <f>IF(Table!F227 = "","",Table!F227)</f>
        <v/>
      </c>
      <c r="G227" s="91"/>
      <c r="I227" s="84" t="str">
        <f>IFERROR(VLOOKUP(A227,Downlink!A:L,12,TRUE),"")</f>
        <v/>
      </c>
      <c r="K227" s="31" t="str">
        <f>IFERROR(VLOOKUP(A227,Table!$I$4:$O$3000,1,TRUE),"")</f>
        <v/>
      </c>
      <c r="L227" s="31" t="str">
        <f>IFERROR(INDEX(Table!I:O,MATCH(K227,Table!I:I,0),2),"")</f>
        <v/>
      </c>
      <c r="M227" s="31" t="str">
        <f>IFERROR(INDEX(Table!I:O,MATCH(K227,Table!I:I,0),3),"")</f>
        <v/>
      </c>
      <c r="N227" s="32" t="str">
        <f>IFERROR(INDEX(Table!I:O,MATCH(K227,Table!I:I,0),4),"")</f>
        <v/>
      </c>
      <c r="O227" s="32" t="str">
        <f>IFERROR(INDEX(Table!I:O,MATCH(K227,Table!I:I,0),5),"")</f>
        <v/>
      </c>
      <c r="P227" s="32" t="str">
        <f>IFERROR(INDEX(Table!I:O,MATCH(K227,Table!I:I,0),6),"")</f>
        <v/>
      </c>
      <c r="Q227" s="89" t="str">
        <f t="shared" si="9"/>
        <v/>
      </c>
      <c r="R227" s="89" t="str">
        <f t="shared" si="10"/>
        <v/>
      </c>
      <c r="S227" s="82"/>
      <c r="U227" s="37" t="e">
        <f t="shared" si="11"/>
        <v>#VALUE!</v>
      </c>
    </row>
    <row r="228" spans="1:21" x14ac:dyDescent="0.25">
      <c r="A228" s="31" t="str">
        <f>IF(Table!A228 = "","",Table!A228)</f>
        <v/>
      </c>
      <c r="B228" s="31" t="str">
        <f>IF(Table!B228 = "","",Table!B228)</f>
        <v/>
      </c>
      <c r="C228" s="31" t="str">
        <f>IF(Table!C228 = "","",Table!C228)</f>
        <v/>
      </c>
      <c r="D228" s="32" t="str">
        <f>IF(Table!D228 = "","",Table!D228)</f>
        <v/>
      </c>
      <c r="E228" s="32" t="str">
        <f>IF(Table!E228 = "","",Table!E228)</f>
        <v/>
      </c>
      <c r="F228" s="32" t="str">
        <f>IF(Table!F228 = "","",Table!F228)</f>
        <v/>
      </c>
      <c r="G228" s="91"/>
      <c r="I228" s="84" t="str">
        <f>IFERROR(VLOOKUP(A228,Downlink!A:L,12,TRUE),"")</f>
        <v/>
      </c>
      <c r="K228" s="31" t="str">
        <f>IFERROR(VLOOKUP(A228,Table!$I$4:$O$3000,1,TRUE),"")</f>
        <v/>
      </c>
      <c r="L228" s="31" t="str">
        <f>IFERROR(INDEX(Table!I:O,MATCH(K228,Table!I:I,0),2),"")</f>
        <v/>
      </c>
      <c r="M228" s="31" t="str">
        <f>IFERROR(INDEX(Table!I:O,MATCH(K228,Table!I:I,0),3),"")</f>
        <v/>
      </c>
      <c r="N228" s="32" t="str">
        <f>IFERROR(INDEX(Table!I:O,MATCH(K228,Table!I:I,0),4),"")</f>
        <v/>
      </c>
      <c r="O228" s="32" t="str">
        <f>IFERROR(INDEX(Table!I:O,MATCH(K228,Table!I:I,0),5),"")</f>
        <v/>
      </c>
      <c r="P228" s="32" t="str">
        <f>IFERROR(INDEX(Table!I:O,MATCH(K228,Table!I:I,0),6),"")</f>
        <v/>
      </c>
      <c r="Q228" s="89" t="str">
        <f t="shared" si="9"/>
        <v/>
      </c>
      <c r="R228" s="89" t="str">
        <f t="shared" si="10"/>
        <v/>
      </c>
      <c r="S228" s="82"/>
      <c r="U228" s="37" t="e">
        <f t="shared" si="11"/>
        <v>#VALUE!</v>
      </c>
    </row>
    <row r="229" spans="1:21" x14ac:dyDescent="0.25">
      <c r="A229" s="31" t="str">
        <f>IF(Table!A229 = "","",Table!A229)</f>
        <v/>
      </c>
      <c r="B229" s="31" t="str">
        <f>IF(Table!B229 = "","",Table!B229)</f>
        <v/>
      </c>
      <c r="C229" s="31" t="str">
        <f>IF(Table!C229 = "","",Table!C229)</f>
        <v/>
      </c>
      <c r="D229" s="32" t="str">
        <f>IF(Table!D229 = "","",Table!D229)</f>
        <v/>
      </c>
      <c r="E229" s="32" t="str">
        <f>IF(Table!E229 = "","",Table!E229)</f>
        <v/>
      </c>
      <c r="F229" s="32" t="str">
        <f>IF(Table!F229 = "","",Table!F229)</f>
        <v/>
      </c>
      <c r="G229" s="91"/>
      <c r="I229" s="84" t="str">
        <f>IFERROR(VLOOKUP(A229,Downlink!A:L,12,TRUE),"")</f>
        <v/>
      </c>
      <c r="K229" s="31" t="str">
        <f>IFERROR(VLOOKUP(A229,Table!$I$4:$O$3000,1,TRUE),"")</f>
        <v/>
      </c>
      <c r="L229" s="31" t="str">
        <f>IFERROR(INDEX(Table!I:O,MATCH(K229,Table!I:I,0),2),"")</f>
        <v/>
      </c>
      <c r="M229" s="31" t="str">
        <f>IFERROR(INDEX(Table!I:O,MATCH(K229,Table!I:I,0),3),"")</f>
        <v/>
      </c>
      <c r="N229" s="32" t="str">
        <f>IFERROR(INDEX(Table!I:O,MATCH(K229,Table!I:I,0),4),"")</f>
        <v/>
      </c>
      <c r="O229" s="32" t="str">
        <f>IFERROR(INDEX(Table!I:O,MATCH(K229,Table!I:I,0),5),"")</f>
        <v/>
      </c>
      <c r="P229" s="32" t="str">
        <f>IFERROR(INDEX(Table!I:O,MATCH(K229,Table!I:I,0),6),"")</f>
        <v/>
      </c>
      <c r="Q229" s="89" t="str">
        <f t="shared" si="9"/>
        <v/>
      </c>
      <c r="R229" s="89" t="str">
        <f t="shared" si="10"/>
        <v/>
      </c>
      <c r="S229" s="82"/>
      <c r="U229" s="37" t="e">
        <f t="shared" si="11"/>
        <v>#VALUE!</v>
      </c>
    </row>
    <row r="230" spans="1:21" x14ac:dyDescent="0.25">
      <c r="A230" s="31" t="str">
        <f>IF(Table!A230 = "","",Table!A230)</f>
        <v/>
      </c>
      <c r="B230" s="31" t="str">
        <f>IF(Table!B230 = "","",Table!B230)</f>
        <v/>
      </c>
      <c r="C230" s="31" t="str">
        <f>IF(Table!C230 = "","",Table!C230)</f>
        <v/>
      </c>
      <c r="D230" s="32" t="str">
        <f>IF(Table!D230 = "","",Table!D230)</f>
        <v/>
      </c>
      <c r="E230" s="32" t="str">
        <f>IF(Table!E230 = "","",Table!E230)</f>
        <v/>
      </c>
      <c r="F230" s="32" t="str">
        <f>IF(Table!F230 = "","",Table!F230)</f>
        <v/>
      </c>
      <c r="G230" s="91"/>
      <c r="I230" s="84" t="str">
        <f>IFERROR(VLOOKUP(A230,Downlink!A:L,12,TRUE),"")</f>
        <v/>
      </c>
      <c r="K230" s="31" t="str">
        <f>IFERROR(VLOOKUP(A230,Table!$I$4:$O$3000,1,TRUE),"")</f>
        <v/>
      </c>
      <c r="L230" s="31" t="str">
        <f>IFERROR(INDEX(Table!I:O,MATCH(K230,Table!I:I,0),2),"")</f>
        <v/>
      </c>
      <c r="M230" s="31" t="str">
        <f>IFERROR(INDEX(Table!I:O,MATCH(K230,Table!I:I,0),3),"")</f>
        <v/>
      </c>
      <c r="N230" s="32" t="str">
        <f>IFERROR(INDEX(Table!I:O,MATCH(K230,Table!I:I,0),4),"")</f>
        <v/>
      </c>
      <c r="O230" s="32" t="str">
        <f>IFERROR(INDEX(Table!I:O,MATCH(K230,Table!I:I,0),5),"")</f>
        <v/>
      </c>
      <c r="P230" s="32" t="str">
        <f>IFERROR(INDEX(Table!I:O,MATCH(K230,Table!I:I,0),6),"")</f>
        <v/>
      </c>
      <c r="Q230" s="89" t="str">
        <f t="shared" si="9"/>
        <v/>
      </c>
      <c r="R230" s="89" t="str">
        <f t="shared" si="10"/>
        <v/>
      </c>
      <c r="S230" s="82"/>
      <c r="U230" s="37" t="e">
        <f t="shared" si="11"/>
        <v>#VALUE!</v>
      </c>
    </row>
    <row r="231" spans="1:21" x14ac:dyDescent="0.25">
      <c r="A231" s="31" t="str">
        <f>IF(Table!A231 = "","",Table!A231)</f>
        <v/>
      </c>
      <c r="B231" s="31" t="str">
        <f>IF(Table!B231 = "","",Table!B231)</f>
        <v/>
      </c>
      <c r="C231" s="31" t="str">
        <f>IF(Table!C231 = "","",Table!C231)</f>
        <v/>
      </c>
      <c r="D231" s="32" t="str">
        <f>IF(Table!D231 = "","",Table!D231)</f>
        <v/>
      </c>
      <c r="E231" s="32" t="str">
        <f>IF(Table!E231 = "","",Table!E231)</f>
        <v/>
      </c>
      <c r="F231" s="32" t="str">
        <f>IF(Table!F231 = "","",Table!F231)</f>
        <v/>
      </c>
      <c r="G231" s="91"/>
      <c r="I231" s="84" t="str">
        <f>IFERROR(VLOOKUP(A231,Downlink!A:L,12,TRUE),"")</f>
        <v/>
      </c>
      <c r="K231" s="31" t="str">
        <f>IFERROR(VLOOKUP(A231,Table!$I$4:$O$3000,1,TRUE),"")</f>
        <v/>
      </c>
      <c r="L231" s="31" t="str">
        <f>IFERROR(INDEX(Table!I:O,MATCH(K231,Table!I:I,0),2),"")</f>
        <v/>
      </c>
      <c r="M231" s="31" t="str">
        <f>IFERROR(INDEX(Table!I:O,MATCH(K231,Table!I:I,0),3),"")</f>
        <v/>
      </c>
      <c r="N231" s="32" t="str">
        <f>IFERROR(INDEX(Table!I:O,MATCH(K231,Table!I:I,0),4),"")</f>
        <v/>
      </c>
      <c r="O231" s="32" t="str">
        <f>IFERROR(INDEX(Table!I:O,MATCH(K231,Table!I:I,0),5),"")</f>
        <v/>
      </c>
      <c r="P231" s="32" t="str">
        <f>IFERROR(INDEX(Table!I:O,MATCH(K231,Table!I:I,0),6),"")</f>
        <v/>
      </c>
      <c r="Q231" s="89" t="str">
        <f t="shared" si="9"/>
        <v/>
      </c>
      <c r="R231" s="89" t="str">
        <f t="shared" si="10"/>
        <v/>
      </c>
      <c r="S231" s="82"/>
      <c r="U231" s="37" t="e">
        <f t="shared" si="11"/>
        <v>#VALUE!</v>
      </c>
    </row>
    <row r="232" spans="1:21" x14ac:dyDescent="0.25">
      <c r="A232" s="31" t="str">
        <f>IF(Table!A232 = "","",Table!A232)</f>
        <v/>
      </c>
      <c r="B232" s="31" t="str">
        <f>IF(Table!B232 = "","",Table!B232)</f>
        <v/>
      </c>
      <c r="C232" s="31" t="str">
        <f>IF(Table!C232 = "","",Table!C232)</f>
        <v/>
      </c>
      <c r="D232" s="32" t="str">
        <f>IF(Table!D232 = "","",Table!D232)</f>
        <v/>
      </c>
      <c r="E232" s="32" t="str">
        <f>IF(Table!E232 = "","",Table!E232)</f>
        <v/>
      </c>
      <c r="F232" s="32" t="str">
        <f>IF(Table!F232 = "","",Table!F232)</f>
        <v/>
      </c>
      <c r="G232" s="91"/>
      <c r="I232" s="84" t="str">
        <f>IFERROR(VLOOKUP(A232,Downlink!A:L,12,TRUE),"")</f>
        <v/>
      </c>
      <c r="K232" s="31" t="str">
        <f>IFERROR(VLOOKUP(A232,Table!$I$4:$O$3000,1,TRUE),"")</f>
        <v/>
      </c>
      <c r="L232" s="31" t="str">
        <f>IFERROR(INDEX(Table!I:O,MATCH(K232,Table!I:I,0),2),"")</f>
        <v/>
      </c>
      <c r="M232" s="31" t="str">
        <f>IFERROR(INDEX(Table!I:O,MATCH(K232,Table!I:I,0),3),"")</f>
        <v/>
      </c>
      <c r="N232" s="32" t="str">
        <f>IFERROR(INDEX(Table!I:O,MATCH(K232,Table!I:I,0),4),"")</f>
        <v/>
      </c>
      <c r="O232" s="32" t="str">
        <f>IFERROR(INDEX(Table!I:O,MATCH(K232,Table!I:I,0),5),"")</f>
        <v/>
      </c>
      <c r="P232" s="32" t="str">
        <f>IFERROR(INDEX(Table!I:O,MATCH(K232,Table!I:I,0),6),"")</f>
        <v/>
      </c>
      <c r="Q232" s="89" t="str">
        <f t="shared" si="9"/>
        <v/>
      </c>
      <c r="R232" s="89" t="str">
        <f t="shared" si="10"/>
        <v/>
      </c>
      <c r="S232" s="82"/>
      <c r="U232" s="37" t="e">
        <f t="shared" si="11"/>
        <v>#VALUE!</v>
      </c>
    </row>
    <row r="233" spans="1:21" x14ac:dyDescent="0.25">
      <c r="A233" s="31" t="str">
        <f>IF(Table!A233 = "","",Table!A233)</f>
        <v/>
      </c>
      <c r="B233" s="31" t="str">
        <f>IF(Table!B233 = "","",Table!B233)</f>
        <v/>
      </c>
      <c r="C233" s="31" t="str">
        <f>IF(Table!C233 = "","",Table!C233)</f>
        <v/>
      </c>
      <c r="D233" s="32" t="str">
        <f>IF(Table!D233 = "","",Table!D233)</f>
        <v/>
      </c>
      <c r="E233" s="32" t="str">
        <f>IF(Table!E233 = "","",Table!E233)</f>
        <v/>
      </c>
      <c r="F233" s="32" t="str">
        <f>IF(Table!F233 = "","",Table!F233)</f>
        <v/>
      </c>
      <c r="G233" s="91"/>
      <c r="I233" s="84" t="str">
        <f>IFERROR(VLOOKUP(A233,Downlink!A:L,12,TRUE),"")</f>
        <v/>
      </c>
      <c r="K233" s="31" t="str">
        <f>IFERROR(VLOOKUP(A233,Table!$I$4:$O$3000,1,TRUE),"")</f>
        <v/>
      </c>
      <c r="L233" s="31" t="str">
        <f>IFERROR(INDEX(Table!I:O,MATCH(K233,Table!I:I,0),2),"")</f>
        <v/>
      </c>
      <c r="M233" s="31" t="str">
        <f>IFERROR(INDEX(Table!I:O,MATCH(K233,Table!I:I,0),3),"")</f>
        <v/>
      </c>
      <c r="N233" s="32" t="str">
        <f>IFERROR(INDEX(Table!I:O,MATCH(K233,Table!I:I,0),4),"")</f>
        <v/>
      </c>
      <c r="O233" s="32" t="str">
        <f>IFERROR(INDEX(Table!I:O,MATCH(K233,Table!I:I,0),5),"")</f>
        <v/>
      </c>
      <c r="P233" s="32" t="str">
        <f>IFERROR(INDEX(Table!I:O,MATCH(K233,Table!I:I,0),6),"")</f>
        <v/>
      </c>
      <c r="Q233" s="89" t="str">
        <f t="shared" si="9"/>
        <v/>
      </c>
      <c r="R233" s="89" t="str">
        <f t="shared" si="10"/>
        <v/>
      </c>
      <c r="S233" s="82"/>
      <c r="U233" s="37" t="e">
        <f t="shared" si="11"/>
        <v>#VALUE!</v>
      </c>
    </row>
    <row r="234" spans="1:21" x14ac:dyDescent="0.25">
      <c r="A234" s="31" t="str">
        <f>IF(Table!A234 = "","",Table!A234)</f>
        <v/>
      </c>
      <c r="B234" s="31" t="str">
        <f>IF(Table!B234 = "","",Table!B234)</f>
        <v/>
      </c>
      <c r="C234" s="31" t="str">
        <f>IF(Table!C234 = "","",Table!C234)</f>
        <v/>
      </c>
      <c r="D234" s="32" t="str">
        <f>IF(Table!D234 = "","",Table!D234)</f>
        <v/>
      </c>
      <c r="E234" s="32" t="str">
        <f>IF(Table!E234 = "","",Table!E234)</f>
        <v/>
      </c>
      <c r="F234" s="32" t="str">
        <f>IF(Table!F234 = "","",Table!F234)</f>
        <v/>
      </c>
      <c r="G234" s="91"/>
      <c r="I234" s="84" t="str">
        <f>IFERROR(VLOOKUP(A234,Downlink!A:L,12,TRUE),"")</f>
        <v/>
      </c>
      <c r="K234" s="31" t="str">
        <f>IFERROR(VLOOKUP(A234,Table!$I$4:$O$3000,1,TRUE),"")</f>
        <v/>
      </c>
      <c r="L234" s="31" t="str">
        <f>IFERROR(INDEX(Table!I:O,MATCH(K234,Table!I:I,0),2),"")</f>
        <v/>
      </c>
      <c r="M234" s="31" t="str">
        <f>IFERROR(INDEX(Table!I:O,MATCH(K234,Table!I:I,0),3),"")</f>
        <v/>
      </c>
      <c r="N234" s="32" t="str">
        <f>IFERROR(INDEX(Table!I:O,MATCH(K234,Table!I:I,0),4),"")</f>
        <v/>
      </c>
      <c r="O234" s="32" t="str">
        <f>IFERROR(INDEX(Table!I:O,MATCH(K234,Table!I:I,0),5),"")</f>
        <v/>
      </c>
      <c r="P234" s="32" t="str">
        <f>IFERROR(INDEX(Table!I:O,MATCH(K234,Table!I:I,0),6),"")</f>
        <v/>
      </c>
      <c r="Q234" s="89" t="str">
        <f t="shared" si="9"/>
        <v/>
      </c>
      <c r="R234" s="89" t="str">
        <f t="shared" si="10"/>
        <v/>
      </c>
      <c r="S234" s="82"/>
      <c r="U234" s="37" t="e">
        <f t="shared" si="11"/>
        <v>#VALUE!</v>
      </c>
    </row>
    <row r="235" spans="1:21" x14ac:dyDescent="0.25">
      <c r="A235" s="31" t="str">
        <f>IF(Table!A235 = "","",Table!A235)</f>
        <v/>
      </c>
      <c r="B235" s="31" t="str">
        <f>IF(Table!B235 = "","",Table!B235)</f>
        <v/>
      </c>
      <c r="C235" s="31" t="str">
        <f>IF(Table!C235 = "","",Table!C235)</f>
        <v/>
      </c>
      <c r="D235" s="32" t="str">
        <f>IF(Table!D235 = "","",Table!D235)</f>
        <v/>
      </c>
      <c r="E235" s="32" t="str">
        <f>IF(Table!E235 = "","",Table!E235)</f>
        <v/>
      </c>
      <c r="F235" s="32" t="str">
        <f>IF(Table!F235 = "","",Table!F235)</f>
        <v/>
      </c>
      <c r="G235" s="91"/>
      <c r="I235" s="84" t="str">
        <f>IFERROR(VLOOKUP(A235,Downlink!A:L,12,TRUE),"")</f>
        <v/>
      </c>
      <c r="K235" s="31" t="str">
        <f>IFERROR(VLOOKUP(A235,Table!$I$4:$O$3000,1,TRUE),"")</f>
        <v/>
      </c>
      <c r="L235" s="31" t="str">
        <f>IFERROR(INDEX(Table!I:O,MATCH(K235,Table!I:I,0),2),"")</f>
        <v/>
      </c>
      <c r="M235" s="31" t="str">
        <f>IFERROR(INDEX(Table!I:O,MATCH(K235,Table!I:I,0),3),"")</f>
        <v/>
      </c>
      <c r="N235" s="32" t="str">
        <f>IFERROR(INDEX(Table!I:O,MATCH(K235,Table!I:I,0),4),"")</f>
        <v/>
      </c>
      <c r="O235" s="32" t="str">
        <f>IFERROR(INDEX(Table!I:O,MATCH(K235,Table!I:I,0),5),"")</f>
        <v/>
      </c>
      <c r="P235" s="32" t="str">
        <f>IFERROR(INDEX(Table!I:O,MATCH(K235,Table!I:I,0),6),"")</f>
        <v/>
      </c>
      <c r="Q235" s="89" t="str">
        <f t="shared" si="9"/>
        <v/>
      </c>
      <c r="R235" s="89" t="str">
        <f t="shared" si="10"/>
        <v/>
      </c>
      <c r="S235" s="82"/>
      <c r="U235" s="37" t="e">
        <f t="shared" si="11"/>
        <v>#VALUE!</v>
      </c>
    </row>
    <row r="236" spans="1:21" x14ac:dyDescent="0.25">
      <c r="A236" s="31" t="str">
        <f>IF(Table!A236 = "","",Table!A236)</f>
        <v/>
      </c>
      <c r="B236" s="31" t="str">
        <f>IF(Table!B236 = "","",Table!B236)</f>
        <v/>
      </c>
      <c r="C236" s="31" t="str">
        <f>IF(Table!C236 = "","",Table!C236)</f>
        <v/>
      </c>
      <c r="D236" s="32" t="str">
        <f>IF(Table!D236 = "","",Table!D236)</f>
        <v/>
      </c>
      <c r="E236" s="32" t="str">
        <f>IF(Table!E236 = "","",Table!E236)</f>
        <v/>
      </c>
      <c r="F236" s="32" t="str">
        <f>IF(Table!F236 = "","",Table!F236)</f>
        <v/>
      </c>
      <c r="G236" s="91"/>
      <c r="I236" s="84" t="str">
        <f>IFERROR(VLOOKUP(A236,Downlink!A:L,12,TRUE),"")</f>
        <v/>
      </c>
      <c r="K236" s="31" t="str">
        <f>IFERROR(VLOOKUP(A236,Table!$I$4:$O$3000,1,TRUE),"")</f>
        <v/>
      </c>
      <c r="L236" s="31" t="str">
        <f>IFERROR(INDEX(Table!I:O,MATCH(K236,Table!I:I,0),2),"")</f>
        <v/>
      </c>
      <c r="M236" s="31" t="str">
        <f>IFERROR(INDEX(Table!I:O,MATCH(K236,Table!I:I,0),3),"")</f>
        <v/>
      </c>
      <c r="N236" s="32" t="str">
        <f>IFERROR(INDEX(Table!I:O,MATCH(K236,Table!I:I,0),4),"")</f>
        <v/>
      </c>
      <c r="O236" s="32" t="str">
        <f>IFERROR(INDEX(Table!I:O,MATCH(K236,Table!I:I,0),5),"")</f>
        <v/>
      </c>
      <c r="P236" s="32" t="str">
        <f>IFERROR(INDEX(Table!I:O,MATCH(K236,Table!I:I,0),6),"")</f>
        <v/>
      </c>
      <c r="Q236" s="89" t="str">
        <f t="shared" si="9"/>
        <v/>
      </c>
      <c r="R236" s="89" t="str">
        <f t="shared" si="10"/>
        <v/>
      </c>
      <c r="S236" s="82"/>
      <c r="U236" s="37" t="e">
        <f t="shared" si="11"/>
        <v>#VALUE!</v>
      </c>
    </row>
    <row r="237" spans="1:21" x14ac:dyDescent="0.25">
      <c r="A237" s="31" t="str">
        <f>IF(Table!A237 = "","",Table!A237)</f>
        <v/>
      </c>
      <c r="B237" s="31" t="str">
        <f>IF(Table!B237 = "","",Table!B237)</f>
        <v/>
      </c>
      <c r="C237" s="31" t="str">
        <f>IF(Table!C237 = "","",Table!C237)</f>
        <v/>
      </c>
      <c r="D237" s="32" t="str">
        <f>IF(Table!D237 = "","",Table!D237)</f>
        <v/>
      </c>
      <c r="E237" s="32" t="str">
        <f>IF(Table!E237 = "","",Table!E237)</f>
        <v/>
      </c>
      <c r="F237" s="32" t="str">
        <f>IF(Table!F237 = "","",Table!F237)</f>
        <v/>
      </c>
      <c r="G237" s="91"/>
      <c r="I237" s="84" t="str">
        <f>IFERROR(VLOOKUP(A237,Downlink!A:L,12,TRUE),"")</f>
        <v/>
      </c>
      <c r="K237" s="31" t="str">
        <f>IFERROR(VLOOKUP(A237,Table!$I$4:$O$3000,1,TRUE),"")</f>
        <v/>
      </c>
      <c r="L237" s="31" t="str">
        <f>IFERROR(INDEX(Table!I:O,MATCH(K237,Table!I:I,0),2),"")</f>
        <v/>
      </c>
      <c r="M237" s="31" t="str">
        <f>IFERROR(INDEX(Table!I:O,MATCH(K237,Table!I:I,0),3),"")</f>
        <v/>
      </c>
      <c r="N237" s="32" t="str">
        <f>IFERROR(INDEX(Table!I:O,MATCH(K237,Table!I:I,0),4),"")</f>
        <v/>
      </c>
      <c r="O237" s="32" t="str">
        <f>IFERROR(INDEX(Table!I:O,MATCH(K237,Table!I:I,0),5),"")</f>
        <v/>
      </c>
      <c r="P237" s="32" t="str">
        <f>IFERROR(INDEX(Table!I:O,MATCH(K237,Table!I:I,0),6),"")</f>
        <v/>
      </c>
      <c r="Q237" s="89" t="str">
        <f t="shared" si="9"/>
        <v/>
      </c>
      <c r="R237" s="89" t="str">
        <f t="shared" si="10"/>
        <v/>
      </c>
      <c r="S237" s="82"/>
      <c r="U237" s="37" t="e">
        <f t="shared" si="11"/>
        <v>#VALUE!</v>
      </c>
    </row>
    <row r="238" spans="1:21" x14ac:dyDescent="0.25">
      <c r="A238" s="31" t="str">
        <f>IF(Table!A238 = "","",Table!A238)</f>
        <v/>
      </c>
      <c r="B238" s="31" t="str">
        <f>IF(Table!B238 = "","",Table!B238)</f>
        <v/>
      </c>
      <c r="C238" s="31" t="str">
        <f>IF(Table!C238 = "","",Table!C238)</f>
        <v/>
      </c>
      <c r="D238" s="32" t="str">
        <f>IF(Table!D238 = "","",Table!D238)</f>
        <v/>
      </c>
      <c r="E238" s="32" t="str">
        <f>IF(Table!E238 = "","",Table!E238)</f>
        <v/>
      </c>
      <c r="F238" s="32" t="str">
        <f>IF(Table!F238 = "","",Table!F238)</f>
        <v/>
      </c>
      <c r="G238" s="91"/>
      <c r="I238" s="84" t="str">
        <f>IFERROR(VLOOKUP(A238,Downlink!A:L,12,TRUE),"")</f>
        <v/>
      </c>
      <c r="K238" s="31" t="str">
        <f>IFERROR(VLOOKUP(A238,Table!$I$4:$O$3000,1,TRUE),"")</f>
        <v/>
      </c>
      <c r="L238" s="31" t="str">
        <f>IFERROR(INDEX(Table!I:O,MATCH(K238,Table!I:I,0),2),"")</f>
        <v/>
      </c>
      <c r="M238" s="31" t="str">
        <f>IFERROR(INDEX(Table!I:O,MATCH(K238,Table!I:I,0),3),"")</f>
        <v/>
      </c>
      <c r="N238" s="32" t="str">
        <f>IFERROR(INDEX(Table!I:O,MATCH(K238,Table!I:I,0),4),"")</f>
        <v/>
      </c>
      <c r="O238" s="32" t="str">
        <f>IFERROR(INDEX(Table!I:O,MATCH(K238,Table!I:I,0),5),"")</f>
        <v/>
      </c>
      <c r="P238" s="32" t="str">
        <f>IFERROR(INDEX(Table!I:O,MATCH(K238,Table!I:I,0),6),"")</f>
        <v/>
      </c>
      <c r="Q238" s="89" t="str">
        <f t="shared" si="9"/>
        <v/>
      </c>
      <c r="R238" s="89" t="str">
        <f t="shared" si="10"/>
        <v/>
      </c>
      <c r="S238" s="82"/>
      <c r="U238" s="37" t="e">
        <f t="shared" si="11"/>
        <v>#VALUE!</v>
      </c>
    </row>
    <row r="239" spans="1:21" x14ac:dyDescent="0.25">
      <c r="A239" s="31" t="str">
        <f>IF(Table!A239 = "","",Table!A239)</f>
        <v/>
      </c>
      <c r="B239" s="31" t="str">
        <f>IF(Table!B239 = "","",Table!B239)</f>
        <v/>
      </c>
      <c r="C239" s="31" t="str">
        <f>IF(Table!C239 = "","",Table!C239)</f>
        <v/>
      </c>
      <c r="D239" s="32" t="str">
        <f>IF(Table!D239 = "","",Table!D239)</f>
        <v/>
      </c>
      <c r="E239" s="32" t="str">
        <f>IF(Table!E239 = "","",Table!E239)</f>
        <v/>
      </c>
      <c r="F239" s="32" t="str">
        <f>IF(Table!F239 = "","",Table!F239)</f>
        <v/>
      </c>
      <c r="G239" s="91"/>
      <c r="I239" s="84" t="str">
        <f>IFERROR(VLOOKUP(A239,Downlink!A:L,12,TRUE),"")</f>
        <v/>
      </c>
      <c r="K239" s="31" t="str">
        <f>IFERROR(VLOOKUP(A239,Table!$I$4:$O$3000,1,TRUE),"")</f>
        <v/>
      </c>
      <c r="L239" s="31" t="str">
        <f>IFERROR(INDEX(Table!I:O,MATCH(K239,Table!I:I,0),2),"")</f>
        <v/>
      </c>
      <c r="M239" s="31" t="str">
        <f>IFERROR(INDEX(Table!I:O,MATCH(K239,Table!I:I,0),3),"")</f>
        <v/>
      </c>
      <c r="N239" s="32" t="str">
        <f>IFERROR(INDEX(Table!I:O,MATCH(K239,Table!I:I,0),4),"")</f>
        <v/>
      </c>
      <c r="O239" s="32" t="str">
        <f>IFERROR(INDEX(Table!I:O,MATCH(K239,Table!I:I,0),5),"")</f>
        <v/>
      </c>
      <c r="P239" s="32" t="str">
        <f>IFERROR(INDEX(Table!I:O,MATCH(K239,Table!I:I,0),6),"")</f>
        <v/>
      </c>
      <c r="Q239" s="89" t="str">
        <f t="shared" si="9"/>
        <v/>
      </c>
      <c r="R239" s="89" t="str">
        <f t="shared" si="10"/>
        <v/>
      </c>
      <c r="S239" s="82"/>
      <c r="U239" s="37" t="e">
        <f t="shared" si="11"/>
        <v>#VALUE!</v>
      </c>
    </row>
    <row r="240" spans="1:21" x14ac:dyDescent="0.25">
      <c r="A240" s="31" t="str">
        <f>IF(Table!A240 = "","",Table!A240)</f>
        <v/>
      </c>
      <c r="B240" s="31" t="str">
        <f>IF(Table!B240 = "","",Table!B240)</f>
        <v/>
      </c>
      <c r="C240" s="31" t="str">
        <f>IF(Table!C240 = "","",Table!C240)</f>
        <v/>
      </c>
      <c r="D240" s="32" t="str">
        <f>IF(Table!D240 = "","",Table!D240)</f>
        <v/>
      </c>
      <c r="E240" s="32" t="str">
        <f>IF(Table!E240 = "","",Table!E240)</f>
        <v/>
      </c>
      <c r="F240" s="32" t="str">
        <f>IF(Table!F240 = "","",Table!F240)</f>
        <v/>
      </c>
      <c r="G240" s="91"/>
      <c r="I240" s="84" t="str">
        <f>IFERROR(VLOOKUP(A240,Downlink!A:L,12,TRUE),"")</f>
        <v/>
      </c>
      <c r="K240" s="31" t="str">
        <f>IFERROR(VLOOKUP(A240,Table!$I$4:$O$3000,1,TRUE),"")</f>
        <v/>
      </c>
      <c r="L240" s="31" t="str">
        <f>IFERROR(INDEX(Table!I:O,MATCH(K240,Table!I:I,0),2),"")</f>
        <v/>
      </c>
      <c r="M240" s="31" t="str">
        <f>IFERROR(INDEX(Table!I:O,MATCH(K240,Table!I:I,0),3),"")</f>
        <v/>
      </c>
      <c r="N240" s="32" t="str">
        <f>IFERROR(INDEX(Table!I:O,MATCH(K240,Table!I:I,0),4),"")</f>
        <v/>
      </c>
      <c r="O240" s="32" t="str">
        <f>IFERROR(INDEX(Table!I:O,MATCH(K240,Table!I:I,0),5),"")</f>
        <v/>
      </c>
      <c r="P240" s="32" t="str">
        <f>IFERROR(INDEX(Table!I:O,MATCH(K240,Table!I:I,0),6),"")</f>
        <v/>
      </c>
      <c r="Q240" s="89" t="str">
        <f t="shared" si="9"/>
        <v/>
      </c>
      <c r="R240" s="89" t="str">
        <f t="shared" si="10"/>
        <v/>
      </c>
      <c r="S240" s="82"/>
      <c r="U240" s="37" t="e">
        <f t="shared" si="11"/>
        <v>#VALUE!</v>
      </c>
    </row>
    <row r="241" spans="1:21" x14ac:dyDescent="0.25">
      <c r="A241" s="31" t="str">
        <f>IF(Table!A241 = "","",Table!A241)</f>
        <v/>
      </c>
      <c r="B241" s="31" t="str">
        <f>IF(Table!B241 = "","",Table!B241)</f>
        <v/>
      </c>
      <c r="C241" s="31" t="str">
        <f>IF(Table!C241 = "","",Table!C241)</f>
        <v/>
      </c>
      <c r="D241" s="32" t="str">
        <f>IF(Table!D241 = "","",Table!D241)</f>
        <v/>
      </c>
      <c r="E241" s="32" t="str">
        <f>IF(Table!E241 = "","",Table!E241)</f>
        <v/>
      </c>
      <c r="F241" s="32" t="str">
        <f>IF(Table!F241 = "","",Table!F241)</f>
        <v/>
      </c>
      <c r="G241" s="91"/>
      <c r="I241" s="84" t="str">
        <f>IFERROR(VLOOKUP(A241,Downlink!A:L,12,TRUE),"")</f>
        <v/>
      </c>
      <c r="K241" s="31" t="str">
        <f>IFERROR(VLOOKUP(A241,Table!$I$4:$O$3000,1,TRUE),"")</f>
        <v/>
      </c>
      <c r="L241" s="31" t="str">
        <f>IFERROR(INDEX(Table!I:O,MATCH(K241,Table!I:I,0),2),"")</f>
        <v/>
      </c>
      <c r="M241" s="31" t="str">
        <f>IFERROR(INDEX(Table!I:O,MATCH(K241,Table!I:I,0),3),"")</f>
        <v/>
      </c>
      <c r="N241" s="32" t="str">
        <f>IFERROR(INDEX(Table!I:O,MATCH(K241,Table!I:I,0),4),"")</f>
        <v/>
      </c>
      <c r="O241" s="32" t="str">
        <f>IFERROR(INDEX(Table!I:O,MATCH(K241,Table!I:I,0),5),"")</f>
        <v/>
      </c>
      <c r="P241" s="32" t="str">
        <f>IFERROR(INDEX(Table!I:O,MATCH(K241,Table!I:I,0),6),"")</f>
        <v/>
      </c>
      <c r="Q241" s="89" t="str">
        <f t="shared" si="9"/>
        <v/>
      </c>
      <c r="R241" s="89" t="str">
        <f t="shared" si="10"/>
        <v/>
      </c>
      <c r="S241" s="82"/>
      <c r="U241" s="37" t="e">
        <f t="shared" si="11"/>
        <v>#VALUE!</v>
      </c>
    </row>
    <row r="242" spans="1:21" x14ac:dyDescent="0.25">
      <c r="A242" s="31" t="str">
        <f>IF(Table!A242 = "","",Table!A242)</f>
        <v/>
      </c>
      <c r="B242" s="31" t="str">
        <f>IF(Table!B242 = "","",Table!B242)</f>
        <v/>
      </c>
      <c r="C242" s="31" t="str">
        <f>IF(Table!C242 = "","",Table!C242)</f>
        <v/>
      </c>
      <c r="D242" s="32" t="str">
        <f>IF(Table!D242 = "","",Table!D242)</f>
        <v/>
      </c>
      <c r="E242" s="32" t="str">
        <f>IF(Table!E242 = "","",Table!E242)</f>
        <v/>
      </c>
      <c r="F242" s="32" t="str">
        <f>IF(Table!F242 = "","",Table!F242)</f>
        <v/>
      </c>
      <c r="G242" s="91"/>
      <c r="I242" s="84" t="str">
        <f>IFERROR(VLOOKUP(A242,Downlink!A:L,12,TRUE),"")</f>
        <v/>
      </c>
      <c r="K242" s="31" t="str">
        <f>IFERROR(VLOOKUP(A242,Table!$I$4:$O$3000,1,TRUE),"")</f>
        <v/>
      </c>
      <c r="L242" s="31" t="str">
        <f>IFERROR(INDEX(Table!I:O,MATCH(K242,Table!I:I,0),2),"")</f>
        <v/>
      </c>
      <c r="M242" s="31" t="str">
        <f>IFERROR(INDEX(Table!I:O,MATCH(K242,Table!I:I,0),3),"")</f>
        <v/>
      </c>
      <c r="N242" s="32" t="str">
        <f>IFERROR(INDEX(Table!I:O,MATCH(K242,Table!I:I,0),4),"")</f>
        <v/>
      </c>
      <c r="O242" s="32" t="str">
        <f>IFERROR(INDEX(Table!I:O,MATCH(K242,Table!I:I,0),5),"")</f>
        <v/>
      </c>
      <c r="P242" s="32" t="str">
        <f>IFERROR(INDEX(Table!I:O,MATCH(K242,Table!I:I,0),6),"")</f>
        <v/>
      </c>
      <c r="Q242" s="89" t="str">
        <f t="shared" si="9"/>
        <v/>
      </c>
      <c r="R242" s="89" t="str">
        <f t="shared" si="10"/>
        <v/>
      </c>
      <c r="S242" s="82"/>
      <c r="U242" s="37" t="e">
        <f t="shared" si="11"/>
        <v>#VALUE!</v>
      </c>
    </row>
    <row r="243" spans="1:21" x14ac:dyDescent="0.25">
      <c r="A243" s="31" t="str">
        <f>IF(Table!A243 = "","",Table!A243)</f>
        <v/>
      </c>
      <c r="B243" s="31" t="str">
        <f>IF(Table!B243 = "","",Table!B243)</f>
        <v/>
      </c>
      <c r="C243" s="31" t="str">
        <f>IF(Table!C243 = "","",Table!C243)</f>
        <v/>
      </c>
      <c r="D243" s="32" t="str">
        <f>IF(Table!D243 = "","",Table!D243)</f>
        <v/>
      </c>
      <c r="E243" s="32" t="str">
        <f>IF(Table!E243 = "","",Table!E243)</f>
        <v/>
      </c>
      <c r="F243" s="32" t="str">
        <f>IF(Table!F243 = "","",Table!F243)</f>
        <v/>
      </c>
      <c r="G243" s="91"/>
      <c r="I243" s="84" t="str">
        <f>IFERROR(VLOOKUP(A243,Downlink!A:L,12,TRUE),"")</f>
        <v/>
      </c>
      <c r="K243" s="31" t="str">
        <f>IFERROR(VLOOKUP(A243,Table!$I$4:$O$3000,1,TRUE),"")</f>
        <v/>
      </c>
      <c r="L243" s="31" t="str">
        <f>IFERROR(INDEX(Table!I:O,MATCH(K243,Table!I:I,0),2),"")</f>
        <v/>
      </c>
      <c r="M243" s="31" t="str">
        <f>IFERROR(INDEX(Table!I:O,MATCH(K243,Table!I:I,0),3),"")</f>
        <v/>
      </c>
      <c r="N243" s="32" t="str">
        <f>IFERROR(INDEX(Table!I:O,MATCH(K243,Table!I:I,0),4),"")</f>
        <v/>
      </c>
      <c r="O243" s="32" t="str">
        <f>IFERROR(INDEX(Table!I:O,MATCH(K243,Table!I:I,0),5),"")</f>
        <v/>
      </c>
      <c r="P243" s="32" t="str">
        <f>IFERROR(INDEX(Table!I:O,MATCH(K243,Table!I:I,0),6),"")</f>
        <v/>
      </c>
      <c r="Q243" s="89" t="str">
        <f t="shared" si="9"/>
        <v/>
      </c>
      <c r="R243" s="89" t="str">
        <f t="shared" si="10"/>
        <v/>
      </c>
      <c r="S243" s="82"/>
      <c r="U243" s="37" t="e">
        <f t="shared" si="11"/>
        <v>#VALUE!</v>
      </c>
    </row>
    <row r="244" spans="1:21" x14ac:dyDescent="0.25">
      <c r="A244" s="31" t="str">
        <f>IF(Table!A244 = "","",Table!A244)</f>
        <v/>
      </c>
      <c r="B244" s="31" t="str">
        <f>IF(Table!B244 = "","",Table!B244)</f>
        <v/>
      </c>
      <c r="C244" s="31" t="str">
        <f>IF(Table!C244 = "","",Table!C244)</f>
        <v/>
      </c>
      <c r="D244" s="32" t="str">
        <f>IF(Table!D244 = "","",Table!D244)</f>
        <v/>
      </c>
      <c r="E244" s="32" t="str">
        <f>IF(Table!E244 = "","",Table!E244)</f>
        <v/>
      </c>
      <c r="F244" s="32" t="str">
        <f>IF(Table!F244 = "","",Table!F244)</f>
        <v/>
      </c>
      <c r="G244" s="91"/>
      <c r="I244" s="84" t="str">
        <f>IFERROR(VLOOKUP(A244,Downlink!A:L,12,TRUE),"")</f>
        <v/>
      </c>
      <c r="K244" s="31" t="str">
        <f>IFERROR(VLOOKUP(A244,Table!$I$4:$O$3000,1,TRUE),"")</f>
        <v/>
      </c>
      <c r="L244" s="31" t="str">
        <f>IFERROR(INDEX(Table!I:O,MATCH(K244,Table!I:I,0),2),"")</f>
        <v/>
      </c>
      <c r="M244" s="31" t="str">
        <f>IFERROR(INDEX(Table!I:O,MATCH(K244,Table!I:I,0),3),"")</f>
        <v/>
      </c>
      <c r="N244" s="32" t="str">
        <f>IFERROR(INDEX(Table!I:O,MATCH(K244,Table!I:I,0),4),"")</f>
        <v/>
      </c>
      <c r="O244" s="32" t="str">
        <f>IFERROR(INDEX(Table!I:O,MATCH(K244,Table!I:I,0),5),"")</f>
        <v/>
      </c>
      <c r="P244" s="32" t="str">
        <f>IFERROR(INDEX(Table!I:O,MATCH(K244,Table!I:I,0),6),"")</f>
        <v/>
      </c>
      <c r="Q244" s="89" t="str">
        <f t="shared" si="9"/>
        <v/>
      </c>
      <c r="R244" s="89" t="str">
        <f t="shared" si="10"/>
        <v/>
      </c>
      <c r="S244" s="82"/>
      <c r="U244" s="37" t="e">
        <f t="shared" si="11"/>
        <v>#VALUE!</v>
      </c>
    </row>
    <row r="245" spans="1:21" x14ac:dyDescent="0.25">
      <c r="A245" s="31" t="str">
        <f>IF(Table!A245 = "","",Table!A245)</f>
        <v/>
      </c>
      <c r="B245" s="31" t="str">
        <f>IF(Table!B245 = "","",Table!B245)</f>
        <v/>
      </c>
      <c r="C245" s="31" t="str">
        <f>IF(Table!C245 = "","",Table!C245)</f>
        <v/>
      </c>
      <c r="D245" s="32" t="str">
        <f>IF(Table!D245 = "","",Table!D245)</f>
        <v/>
      </c>
      <c r="E245" s="32" t="str">
        <f>IF(Table!E245 = "","",Table!E245)</f>
        <v/>
      </c>
      <c r="F245" s="32" t="str">
        <f>IF(Table!F245 = "","",Table!F245)</f>
        <v/>
      </c>
      <c r="G245" s="91"/>
      <c r="I245" s="84" t="str">
        <f>IFERROR(VLOOKUP(A245,Downlink!A:L,12,TRUE),"")</f>
        <v/>
      </c>
      <c r="K245" s="31" t="str">
        <f>IFERROR(VLOOKUP(A245,Table!$I$4:$O$3000,1,TRUE),"")</f>
        <v/>
      </c>
      <c r="L245" s="31" t="str">
        <f>IFERROR(INDEX(Table!I:O,MATCH(K245,Table!I:I,0),2),"")</f>
        <v/>
      </c>
      <c r="M245" s="31" t="str">
        <f>IFERROR(INDEX(Table!I:O,MATCH(K245,Table!I:I,0),3),"")</f>
        <v/>
      </c>
      <c r="N245" s="32" t="str">
        <f>IFERROR(INDEX(Table!I:O,MATCH(K245,Table!I:I,0),4),"")</f>
        <v/>
      </c>
      <c r="O245" s="32" t="str">
        <f>IFERROR(INDEX(Table!I:O,MATCH(K245,Table!I:I,0),5),"")</f>
        <v/>
      </c>
      <c r="P245" s="32" t="str">
        <f>IFERROR(INDEX(Table!I:O,MATCH(K245,Table!I:I,0),6),"")</f>
        <v/>
      </c>
      <c r="Q245" s="89" t="str">
        <f t="shared" si="9"/>
        <v/>
      </c>
      <c r="R245" s="89" t="str">
        <f t="shared" si="10"/>
        <v/>
      </c>
      <c r="S245" s="82"/>
      <c r="U245" s="37" t="e">
        <f t="shared" si="11"/>
        <v>#VALUE!</v>
      </c>
    </row>
    <row r="246" spans="1:21" x14ac:dyDescent="0.25">
      <c r="A246" s="31" t="str">
        <f>IF(Table!A246 = "","",Table!A246)</f>
        <v/>
      </c>
      <c r="B246" s="31" t="str">
        <f>IF(Table!B246 = "","",Table!B246)</f>
        <v/>
      </c>
      <c r="C246" s="31" t="str">
        <f>IF(Table!C246 = "","",Table!C246)</f>
        <v/>
      </c>
      <c r="D246" s="32" t="str">
        <f>IF(Table!D246 = "","",Table!D246)</f>
        <v/>
      </c>
      <c r="E246" s="32" t="str">
        <f>IF(Table!E246 = "","",Table!E246)</f>
        <v/>
      </c>
      <c r="F246" s="32" t="str">
        <f>IF(Table!F246 = "","",Table!F246)</f>
        <v/>
      </c>
      <c r="G246" s="91"/>
      <c r="I246" s="84" t="str">
        <f>IFERROR(VLOOKUP(A246,Downlink!A:L,12,TRUE),"")</f>
        <v/>
      </c>
      <c r="K246" s="31" t="str">
        <f>IFERROR(VLOOKUP(A246,Table!$I$4:$O$3000,1,TRUE),"")</f>
        <v/>
      </c>
      <c r="L246" s="31" t="str">
        <f>IFERROR(INDEX(Table!I:O,MATCH(K246,Table!I:I,0),2),"")</f>
        <v/>
      </c>
      <c r="M246" s="31" t="str">
        <f>IFERROR(INDEX(Table!I:O,MATCH(K246,Table!I:I,0),3),"")</f>
        <v/>
      </c>
      <c r="N246" s="32" t="str">
        <f>IFERROR(INDEX(Table!I:O,MATCH(K246,Table!I:I,0),4),"")</f>
        <v/>
      </c>
      <c r="O246" s="32" t="str">
        <f>IFERROR(INDEX(Table!I:O,MATCH(K246,Table!I:I,0),5),"")</f>
        <v/>
      </c>
      <c r="P246" s="32" t="str">
        <f>IFERROR(INDEX(Table!I:O,MATCH(K246,Table!I:I,0),6),"")</f>
        <v/>
      </c>
      <c r="Q246" s="89" t="str">
        <f t="shared" si="9"/>
        <v/>
      </c>
      <c r="R246" s="89" t="str">
        <f t="shared" si="10"/>
        <v/>
      </c>
      <c r="S246" s="82"/>
      <c r="U246" s="37" t="e">
        <f t="shared" si="11"/>
        <v>#VALUE!</v>
      </c>
    </row>
    <row r="247" spans="1:21" x14ac:dyDescent="0.25">
      <c r="A247" s="31" t="str">
        <f>IF(Table!A247 = "","",Table!A247)</f>
        <v/>
      </c>
      <c r="B247" s="31" t="str">
        <f>IF(Table!B247 = "","",Table!B247)</f>
        <v/>
      </c>
      <c r="C247" s="31" t="str">
        <f>IF(Table!C247 = "","",Table!C247)</f>
        <v/>
      </c>
      <c r="D247" s="32" t="str">
        <f>IF(Table!D247 = "","",Table!D247)</f>
        <v/>
      </c>
      <c r="E247" s="32" t="str">
        <f>IF(Table!E247 = "","",Table!E247)</f>
        <v/>
      </c>
      <c r="F247" s="32" t="str">
        <f>IF(Table!F247 = "","",Table!F247)</f>
        <v/>
      </c>
      <c r="G247" s="91"/>
      <c r="I247" s="84" t="str">
        <f>IFERROR(VLOOKUP(A247,Downlink!A:L,12,TRUE),"")</f>
        <v/>
      </c>
      <c r="K247" s="31" t="str">
        <f>IFERROR(VLOOKUP(A247,Table!$I$4:$O$3000,1,TRUE),"")</f>
        <v/>
      </c>
      <c r="L247" s="31" t="str">
        <f>IFERROR(INDEX(Table!I:O,MATCH(K247,Table!I:I,0),2),"")</f>
        <v/>
      </c>
      <c r="M247" s="31" t="str">
        <f>IFERROR(INDEX(Table!I:O,MATCH(K247,Table!I:I,0),3),"")</f>
        <v/>
      </c>
      <c r="N247" s="32" t="str">
        <f>IFERROR(INDEX(Table!I:O,MATCH(K247,Table!I:I,0),4),"")</f>
        <v/>
      </c>
      <c r="O247" s="32" t="str">
        <f>IFERROR(INDEX(Table!I:O,MATCH(K247,Table!I:I,0),5),"")</f>
        <v/>
      </c>
      <c r="P247" s="32" t="str">
        <f>IFERROR(INDEX(Table!I:O,MATCH(K247,Table!I:I,0),6),"")</f>
        <v/>
      </c>
      <c r="Q247" s="89" t="str">
        <f t="shared" si="9"/>
        <v/>
      </c>
      <c r="R247" s="89" t="str">
        <f t="shared" si="10"/>
        <v/>
      </c>
      <c r="S247" s="82"/>
      <c r="U247" s="37" t="e">
        <f t="shared" si="11"/>
        <v>#VALUE!</v>
      </c>
    </row>
    <row r="248" spans="1:21" x14ac:dyDescent="0.25">
      <c r="A248" s="31" t="str">
        <f>IF(Table!A248 = "","",Table!A248)</f>
        <v/>
      </c>
      <c r="B248" s="31" t="str">
        <f>IF(Table!B248 = "","",Table!B248)</f>
        <v/>
      </c>
      <c r="C248" s="31" t="str">
        <f>IF(Table!C248 = "","",Table!C248)</f>
        <v/>
      </c>
      <c r="D248" s="32" t="str">
        <f>IF(Table!D248 = "","",Table!D248)</f>
        <v/>
      </c>
      <c r="E248" s="32" t="str">
        <f>IF(Table!E248 = "","",Table!E248)</f>
        <v/>
      </c>
      <c r="F248" s="32" t="str">
        <f>IF(Table!F248 = "","",Table!F248)</f>
        <v/>
      </c>
      <c r="G248" s="91"/>
      <c r="I248" s="84" t="str">
        <f>IFERROR(VLOOKUP(A248,Downlink!A:L,12,TRUE),"")</f>
        <v/>
      </c>
      <c r="K248" s="31" t="str">
        <f>IFERROR(VLOOKUP(A248,Table!$I$4:$O$3000,1,TRUE),"")</f>
        <v/>
      </c>
      <c r="L248" s="31" t="str">
        <f>IFERROR(INDEX(Table!I:O,MATCH(K248,Table!I:I,0),2),"")</f>
        <v/>
      </c>
      <c r="M248" s="31" t="str">
        <f>IFERROR(INDEX(Table!I:O,MATCH(K248,Table!I:I,0),3),"")</f>
        <v/>
      </c>
      <c r="N248" s="32" t="str">
        <f>IFERROR(INDEX(Table!I:O,MATCH(K248,Table!I:I,0),4),"")</f>
        <v/>
      </c>
      <c r="O248" s="32" t="str">
        <f>IFERROR(INDEX(Table!I:O,MATCH(K248,Table!I:I,0),5),"")</f>
        <v/>
      </c>
      <c r="P248" s="32" t="str">
        <f>IFERROR(INDEX(Table!I:O,MATCH(K248,Table!I:I,0),6),"")</f>
        <v/>
      </c>
      <c r="Q248" s="89" t="str">
        <f t="shared" si="9"/>
        <v/>
      </c>
      <c r="R248" s="89" t="str">
        <f t="shared" si="10"/>
        <v/>
      </c>
      <c r="S248" s="82"/>
      <c r="U248" s="37" t="e">
        <f t="shared" si="11"/>
        <v>#VALUE!</v>
      </c>
    </row>
    <row r="249" spans="1:21" x14ac:dyDescent="0.25">
      <c r="A249" s="31" t="str">
        <f>IF(Table!A249 = "","",Table!A249)</f>
        <v/>
      </c>
      <c r="B249" s="31" t="str">
        <f>IF(Table!B249 = "","",Table!B249)</f>
        <v/>
      </c>
      <c r="C249" s="31" t="str">
        <f>IF(Table!C249 = "","",Table!C249)</f>
        <v/>
      </c>
      <c r="D249" s="32" t="str">
        <f>IF(Table!D249 = "","",Table!D249)</f>
        <v/>
      </c>
      <c r="E249" s="32" t="str">
        <f>IF(Table!E249 = "","",Table!E249)</f>
        <v/>
      </c>
      <c r="F249" s="32" t="str">
        <f>IF(Table!F249 = "","",Table!F249)</f>
        <v/>
      </c>
      <c r="G249" s="91"/>
      <c r="I249" s="84" t="str">
        <f>IFERROR(VLOOKUP(A249,Downlink!A:L,12,TRUE),"")</f>
        <v/>
      </c>
      <c r="K249" s="31" t="str">
        <f>IFERROR(VLOOKUP(A249,Table!$I$4:$O$3000,1,TRUE),"")</f>
        <v/>
      </c>
      <c r="L249" s="31" t="str">
        <f>IFERROR(INDEX(Table!I:O,MATCH(K249,Table!I:I,0),2),"")</f>
        <v/>
      </c>
      <c r="M249" s="31" t="str">
        <f>IFERROR(INDEX(Table!I:O,MATCH(K249,Table!I:I,0),3),"")</f>
        <v/>
      </c>
      <c r="N249" s="32" t="str">
        <f>IFERROR(INDEX(Table!I:O,MATCH(K249,Table!I:I,0),4),"")</f>
        <v/>
      </c>
      <c r="O249" s="32" t="str">
        <f>IFERROR(INDEX(Table!I:O,MATCH(K249,Table!I:I,0),5),"")</f>
        <v/>
      </c>
      <c r="P249" s="32" t="str">
        <f>IFERROR(INDEX(Table!I:O,MATCH(K249,Table!I:I,0),6),"")</f>
        <v/>
      </c>
      <c r="Q249" s="89" t="str">
        <f t="shared" si="9"/>
        <v/>
      </c>
      <c r="R249" s="89" t="str">
        <f t="shared" si="10"/>
        <v/>
      </c>
      <c r="S249" s="82"/>
      <c r="U249" s="37" t="e">
        <f t="shared" si="11"/>
        <v>#VALUE!</v>
      </c>
    </row>
    <row r="250" spans="1:21" x14ac:dyDescent="0.25">
      <c r="A250" s="31" t="str">
        <f>IF(Table!A250 = "","",Table!A250)</f>
        <v/>
      </c>
      <c r="B250" s="31" t="str">
        <f>IF(Table!B250 = "","",Table!B250)</f>
        <v/>
      </c>
      <c r="C250" s="31" t="str">
        <f>IF(Table!C250 = "","",Table!C250)</f>
        <v/>
      </c>
      <c r="D250" s="32" t="str">
        <f>IF(Table!D250 = "","",Table!D250)</f>
        <v/>
      </c>
      <c r="E250" s="32" t="str">
        <f>IF(Table!E250 = "","",Table!E250)</f>
        <v/>
      </c>
      <c r="F250" s="32" t="str">
        <f>IF(Table!F250 = "","",Table!F250)</f>
        <v/>
      </c>
      <c r="G250" s="91"/>
      <c r="I250" s="84" t="str">
        <f>IFERROR(VLOOKUP(A250,Downlink!A:L,12,TRUE),"")</f>
        <v/>
      </c>
      <c r="K250" s="31" t="str">
        <f>IFERROR(VLOOKUP(A250,Table!$I$4:$O$3000,1,TRUE),"")</f>
        <v/>
      </c>
      <c r="L250" s="31" t="str">
        <f>IFERROR(INDEX(Table!I:O,MATCH(K250,Table!I:I,0),2),"")</f>
        <v/>
      </c>
      <c r="M250" s="31" t="str">
        <f>IFERROR(INDEX(Table!I:O,MATCH(K250,Table!I:I,0),3),"")</f>
        <v/>
      </c>
      <c r="N250" s="32" t="str">
        <f>IFERROR(INDEX(Table!I:O,MATCH(K250,Table!I:I,0),4),"")</f>
        <v/>
      </c>
      <c r="O250" s="32" t="str">
        <f>IFERROR(INDEX(Table!I:O,MATCH(K250,Table!I:I,0),5),"")</f>
        <v/>
      </c>
      <c r="P250" s="32" t="str">
        <f>IFERROR(INDEX(Table!I:O,MATCH(K250,Table!I:I,0),6),"")</f>
        <v/>
      </c>
      <c r="Q250" s="89" t="str">
        <f t="shared" si="9"/>
        <v/>
      </c>
      <c r="R250" s="89" t="str">
        <f t="shared" si="10"/>
        <v/>
      </c>
      <c r="S250" s="82"/>
      <c r="U250" s="37" t="e">
        <f t="shared" si="11"/>
        <v>#VALUE!</v>
      </c>
    </row>
    <row r="251" spans="1:21" x14ac:dyDescent="0.25">
      <c r="A251" s="31" t="str">
        <f>IF(Table!A251 = "","",Table!A251)</f>
        <v/>
      </c>
      <c r="B251" s="31" t="str">
        <f>IF(Table!B251 = "","",Table!B251)</f>
        <v/>
      </c>
      <c r="C251" s="31" t="str">
        <f>IF(Table!C251 = "","",Table!C251)</f>
        <v/>
      </c>
      <c r="D251" s="32" t="str">
        <f>IF(Table!D251 = "","",Table!D251)</f>
        <v/>
      </c>
      <c r="E251" s="32" t="str">
        <f>IF(Table!E251 = "","",Table!E251)</f>
        <v/>
      </c>
      <c r="F251" s="32" t="str">
        <f>IF(Table!F251 = "","",Table!F251)</f>
        <v/>
      </c>
      <c r="G251" s="91"/>
      <c r="I251" s="84" t="str">
        <f>IFERROR(VLOOKUP(A251,Downlink!A:L,12,TRUE),"")</f>
        <v/>
      </c>
      <c r="K251" s="31" t="str">
        <f>IFERROR(VLOOKUP(A251,Table!$I$4:$O$3000,1,TRUE),"")</f>
        <v/>
      </c>
      <c r="L251" s="31" t="str">
        <f>IFERROR(INDEX(Table!I:O,MATCH(K251,Table!I:I,0),2),"")</f>
        <v/>
      </c>
      <c r="M251" s="31" t="str">
        <f>IFERROR(INDEX(Table!I:O,MATCH(K251,Table!I:I,0),3),"")</f>
        <v/>
      </c>
      <c r="N251" s="32" t="str">
        <f>IFERROR(INDEX(Table!I:O,MATCH(K251,Table!I:I,0),4),"")</f>
        <v/>
      </c>
      <c r="O251" s="32" t="str">
        <f>IFERROR(INDEX(Table!I:O,MATCH(K251,Table!I:I,0),5),"")</f>
        <v/>
      </c>
      <c r="P251" s="32" t="str">
        <f>IFERROR(INDEX(Table!I:O,MATCH(K251,Table!I:I,0),6),"")</f>
        <v/>
      </c>
      <c r="Q251" s="89" t="str">
        <f t="shared" si="9"/>
        <v/>
      </c>
      <c r="R251" s="89" t="str">
        <f t="shared" si="10"/>
        <v/>
      </c>
      <c r="S251" s="82"/>
      <c r="U251" s="37" t="e">
        <f t="shared" si="11"/>
        <v>#VALUE!</v>
      </c>
    </row>
    <row r="252" spans="1:21" x14ac:dyDescent="0.25">
      <c r="A252" s="31" t="str">
        <f>IF(Table!A252 = "","",Table!A252)</f>
        <v/>
      </c>
      <c r="B252" s="31" t="str">
        <f>IF(Table!B252 = "","",Table!B252)</f>
        <v/>
      </c>
      <c r="C252" s="31" t="str">
        <f>IF(Table!C252 = "","",Table!C252)</f>
        <v/>
      </c>
      <c r="D252" s="32" t="str">
        <f>IF(Table!D252 = "","",Table!D252)</f>
        <v/>
      </c>
      <c r="E252" s="32" t="str">
        <f>IF(Table!E252 = "","",Table!E252)</f>
        <v/>
      </c>
      <c r="F252" s="32" t="str">
        <f>IF(Table!F252 = "","",Table!F252)</f>
        <v/>
      </c>
      <c r="G252" s="91"/>
      <c r="I252" s="84" t="str">
        <f>IFERROR(VLOOKUP(A252,Downlink!A:L,12,TRUE),"")</f>
        <v/>
      </c>
      <c r="K252" s="31" t="str">
        <f>IFERROR(VLOOKUP(A252,Table!$I$4:$O$3000,1,TRUE),"")</f>
        <v/>
      </c>
      <c r="L252" s="31" t="str">
        <f>IFERROR(INDEX(Table!I:O,MATCH(K252,Table!I:I,0),2),"")</f>
        <v/>
      </c>
      <c r="M252" s="31" t="str">
        <f>IFERROR(INDEX(Table!I:O,MATCH(K252,Table!I:I,0),3),"")</f>
        <v/>
      </c>
      <c r="N252" s="32" t="str">
        <f>IFERROR(INDEX(Table!I:O,MATCH(K252,Table!I:I,0),4),"")</f>
        <v/>
      </c>
      <c r="O252" s="32" t="str">
        <f>IFERROR(INDEX(Table!I:O,MATCH(K252,Table!I:I,0),5),"")</f>
        <v/>
      </c>
      <c r="P252" s="32" t="str">
        <f>IFERROR(INDEX(Table!I:O,MATCH(K252,Table!I:I,0),6),"")</f>
        <v/>
      </c>
      <c r="Q252" s="89" t="str">
        <f t="shared" si="9"/>
        <v/>
      </c>
      <c r="R252" s="89" t="str">
        <f t="shared" si="10"/>
        <v/>
      </c>
      <c r="S252" s="82"/>
      <c r="U252" s="37" t="e">
        <f t="shared" si="11"/>
        <v>#VALUE!</v>
      </c>
    </row>
    <row r="253" spans="1:21" x14ac:dyDescent="0.25">
      <c r="A253" s="31" t="str">
        <f>IF(Table!A253 = "","",Table!A253)</f>
        <v/>
      </c>
      <c r="B253" s="31" t="str">
        <f>IF(Table!B253 = "","",Table!B253)</f>
        <v/>
      </c>
      <c r="C253" s="31" t="str">
        <f>IF(Table!C253 = "","",Table!C253)</f>
        <v/>
      </c>
      <c r="D253" s="32" t="str">
        <f>IF(Table!D253 = "","",Table!D253)</f>
        <v/>
      </c>
      <c r="E253" s="32" t="str">
        <f>IF(Table!E253 = "","",Table!E253)</f>
        <v/>
      </c>
      <c r="F253" s="32" t="str">
        <f>IF(Table!F253 = "","",Table!F253)</f>
        <v/>
      </c>
      <c r="G253" s="91"/>
      <c r="I253" s="84" t="str">
        <f>IFERROR(VLOOKUP(A253,Downlink!A:L,12,TRUE),"")</f>
        <v/>
      </c>
      <c r="K253" s="31" t="str">
        <f>IFERROR(VLOOKUP(A253,Table!$I$4:$O$3000,1,TRUE),"")</f>
        <v/>
      </c>
      <c r="L253" s="31" t="str">
        <f>IFERROR(INDEX(Table!I:O,MATCH(K253,Table!I:I,0),2),"")</f>
        <v/>
      </c>
      <c r="M253" s="31" t="str">
        <f>IFERROR(INDEX(Table!I:O,MATCH(K253,Table!I:I,0),3),"")</f>
        <v/>
      </c>
      <c r="N253" s="32" t="str">
        <f>IFERROR(INDEX(Table!I:O,MATCH(K253,Table!I:I,0),4),"")</f>
        <v/>
      </c>
      <c r="O253" s="32" t="str">
        <f>IFERROR(INDEX(Table!I:O,MATCH(K253,Table!I:I,0),5),"")</f>
        <v/>
      </c>
      <c r="P253" s="32" t="str">
        <f>IFERROR(INDEX(Table!I:O,MATCH(K253,Table!I:I,0),6),"")</f>
        <v/>
      </c>
      <c r="Q253" s="89" t="str">
        <f t="shared" si="9"/>
        <v/>
      </c>
      <c r="R253" s="89" t="str">
        <f t="shared" si="10"/>
        <v/>
      </c>
      <c r="S253" s="82"/>
      <c r="U253" s="37" t="e">
        <f t="shared" si="11"/>
        <v>#VALUE!</v>
      </c>
    </row>
    <row r="254" spans="1:21" x14ac:dyDescent="0.25">
      <c r="A254" s="31" t="str">
        <f>IF(Table!A254 = "","",Table!A254)</f>
        <v/>
      </c>
      <c r="B254" s="31" t="str">
        <f>IF(Table!B254 = "","",Table!B254)</f>
        <v/>
      </c>
      <c r="C254" s="31" t="str">
        <f>IF(Table!C254 = "","",Table!C254)</f>
        <v/>
      </c>
      <c r="D254" s="32" t="str">
        <f>IF(Table!D254 = "","",Table!D254)</f>
        <v/>
      </c>
      <c r="E254" s="32" t="str">
        <f>IF(Table!E254 = "","",Table!E254)</f>
        <v/>
      </c>
      <c r="F254" s="32" t="str">
        <f>IF(Table!F254 = "","",Table!F254)</f>
        <v/>
      </c>
      <c r="G254" s="91"/>
      <c r="I254" s="84" t="str">
        <f>IFERROR(VLOOKUP(A254,Downlink!A:L,12,TRUE),"")</f>
        <v/>
      </c>
      <c r="K254" s="31" t="str">
        <f>IFERROR(VLOOKUP(A254,Table!$I$4:$O$3000,1,TRUE),"")</f>
        <v/>
      </c>
      <c r="L254" s="31" t="str">
        <f>IFERROR(INDEX(Table!I:O,MATCH(K254,Table!I:I,0),2),"")</f>
        <v/>
      </c>
      <c r="M254" s="31" t="str">
        <f>IFERROR(INDEX(Table!I:O,MATCH(K254,Table!I:I,0),3),"")</f>
        <v/>
      </c>
      <c r="N254" s="32" t="str">
        <f>IFERROR(INDEX(Table!I:O,MATCH(K254,Table!I:I,0),4),"")</f>
        <v/>
      </c>
      <c r="O254" s="32" t="str">
        <f>IFERROR(INDEX(Table!I:O,MATCH(K254,Table!I:I,0),5),"")</f>
        <v/>
      </c>
      <c r="P254" s="32" t="str">
        <f>IFERROR(INDEX(Table!I:O,MATCH(K254,Table!I:I,0),6),"")</f>
        <v/>
      </c>
      <c r="Q254" s="89" t="str">
        <f t="shared" si="9"/>
        <v/>
      </c>
      <c r="R254" s="89" t="str">
        <f t="shared" si="10"/>
        <v/>
      </c>
      <c r="S254" s="82"/>
      <c r="U254" s="37" t="e">
        <f t="shared" si="11"/>
        <v>#VALUE!</v>
      </c>
    </row>
    <row r="255" spans="1:21" x14ac:dyDescent="0.25">
      <c r="A255" s="31" t="str">
        <f>IF(Table!A255 = "","",Table!A255)</f>
        <v/>
      </c>
      <c r="B255" s="31" t="str">
        <f>IF(Table!B255 = "","",Table!B255)</f>
        <v/>
      </c>
      <c r="C255" s="31" t="str">
        <f>IF(Table!C255 = "","",Table!C255)</f>
        <v/>
      </c>
      <c r="D255" s="32" t="str">
        <f>IF(Table!D255 = "","",Table!D255)</f>
        <v/>
      </c>
      <c r="E255" s="32" t="str">
        <f>IF(Table!E255 = "","",Table!E255)</f>
        <v/>
      </c>
      <c r="F255" s="32" t="str">
        <f>IF(Table!F255 = "","",Table!F255)</f>
        <v/>
      </c>
      <c r="G255" s="91"/>
      <c r="I255" s="84" t="str">
        <f>IFERROR(VLOOKUP(A255,Downlink!A:L,12,TRUE),"")</f>
        <v/>
      </c>
      <c r="K255" s="31" t="str">
        <f>IFERROR(VLOOKUP(A255,Table!$I$4:$O$3000,1,TRUE),"")</f>
        <v/>
      </c>
      <c r="L255" s="31" t="str">
        <f>IFERROR(INDEX(Table!I:O,MATCH(K255,Table!I:I,0),2),"")</f>
        <v/>
      </c>
      <c r="M255" s="31" t="str">
        <f>IFERROR(INDEX(Table!I:O,MATCH(K255,Table!I:I,0),3),"")</f>
        <v/>
      </c>
      <c r="N255" s="32" t="str">
        <f>IFERROR(INDEX(Table!I:O,MATCH(K255,Table!I:I,0),4),"")</f>
        <v/>
      </c>
      <c r="O255" s="32" t="str">
        <f>IFERROR(INDEX(Table!I:O,MATCH(K255,Table!I:I,0),5),"")</f>
        <v/>
      </c>
      <c r="P255" s="32" t="str">
        <f>IFERROR(INDEX(Table!I:O,MATCH(K255,Table!I:I,0),6),"")</f>
        <v/>
      </c>
      <c r="Q255" s="89" t="str">
        <f t="shared" si="9"/>
        <v/>
      </c>
      <c r="R255" s="89" t="str">
        <f t="shared" si="10"/>
        <v/>
      </c>
      <c r="S255" s="82"/>
      <c r="U255" s="37" t="e">
        <f t="shared" si="11"/>
        <v>#VALUE!</v>
      </c>
    </row>
    <row r="256" spans="1:21" x14ac:dyDescent="0.25">
      <c r="A256" s="31" t="str">
        <f>IF(Table!A256 = "","",Table!A256)</f>
        <v/>
      </c>
      <c r="B256" s="31" t="str">
        <f>IF(Table!B256 = "","",Table!B256)</f>
        <v/>
      </c>
      <c r="C256" s="31" t="str">
        <f>IF(Table!C256 = "","",Table!C256)</f>
        <v/>
      </c>
      <c r="D256" s="32" t="str">
        <f>IF(Table!D256 = "","",Table!D256)</f>
        <v/>
      </c>
      <c r="E256" s="32" t="str">
        <f>IF(Table!E256 = "","",Table!E256)</f>
        <v/>
      </c>
      <c r="F256" s="32" t="str">
        <f>IF(Table!F256 = "","",Table!F256)</f>
        <v/>
      </c>
      <c r="G256" s="91"/>
      <c r="I256" s="84" t="str">
        <f>IFERROR(VLOOKUP(A256,Downlink!A:L,12,TRUE),"")</f>
        <v/>
      </c>
      <c r="K256" s="31" t="str">
        <f>IFERROR(VLOOKUP(A256,Table!$I$4:$O$3000,1,TRUE),"")</f>
        <v/>
      </c>
      <c r="L256" s="31" t="str">
        <f>IFERROR(INDEX(Table!I:O,MATCH(K256,Table!I:I,0),2),"")</f>
        <v/>
      </c>
      <c r="M256" s="31" t="str">
        <f>IFERROR(INDEX(Table!I:O,MATCH(K256,Table!I:I,0),3),"")</f>
        <v/>
      </c>
      <c r="N256" s="32" t="str">
        <f>IFERROR(INDEX(Table!I:O,MATCH(K256,Table!I:I,0),4),"")</f>
        <v/>
      </c>
      <c r="O256" s="32" t="str">
        <f>IFERROR(INDEX(Table!I:O,MATCH(K256,Table!I:I,0),5),"")</f>
        <v/>
      </c>
      <c r="P256" s="32" t="str">
        <f>IFERROR(INDEX(Table!I:O,MATCH(K256,Table!I:I,0),6),"")</f>
        <v/>
      </c>
      <c r="Q256" s="89" t="str">
        <f t="shared" si="9"/>
        <v/>
      </c>
      <c r="R256" s="89" t="str">
        <f t="shared" si="10"/>
        <v/>
      </c>
      <c r="S256" s="82"/>
      <c r="U256" s="37" t="e">
        <f t="shared" si="11"/>
        <v>#VALUE!</v>
      </c>
    </row>
    <row r="257" spans="1:21" x14ac:dyDescent="0.25">
      <c r="A257" s="31" t="str">
        <f>IF(Table!A257 = "","",Table!A257)</f>
        <v/>
      </c>
      <c r="B257" s="31" t="str">
        <f>IF(Table!B257 = "","",Table!B257)</f>
        <v/>
      </c>
      <c r="C257" s="31" t="str">
        <f>IF(Table!C257 = "","",Table!C257)</f>
        <v/>
      </c>
      <c r="D257" s="32" t="str">
        <f>IF(Table!D257 = "","",Table!D257)</f>
        <v/>
      </c>
      <c r="E257" s="32" t="str">
        <f>IF(Table!E257 = "","",Table!E257)</f>
        <v/>
      </c>
      <c r="F257" s="32" t="str">
        <f>IF(Table!F257 = "","",Table!F257)</f>
        <v/>
      </c>
      <c r="G257" s="91"/>
      <c r="I257" s="84" t="str">
        <f>IFERROR(VLOOKUP(A257,Downlink!A:L,12,TRUE),"")</f>
        <v/>
      </c>
      <c r="K257" s="31" t="str">
        <f>IFERROR(VLOOKUP(A257,Table!$I$4:$O$3000,1,TRUE),"")</f>
        <v/>
      </c>
      <c r="L257" s="31" t="str">
        <f>IFERROR(INDEX(Table!I:O,MATCH(K257,Table!I:I,0),2),"")</f>
        <v/>
      </c>
      <c r="M257" s="31" t="str">
        <f>IFERROR(INDEX(Table!I:O,MATCH(K257,Table!I:I,0),3),"")</f>
        <v/>
      </c>
      <c r="N257" s="32" t="str">
        <f>IFERROR(INDEX(Table!I:O,MATCH(K257,Table!I:I,0),4),"")</f>
        <v/>
      </c>
      <c r="O257" s="32" t="str">
        <f>IFERROR(INDEX(Table!I:O,MATCH(K257,Table!I:I,0),5),"")</f>
        <v/>
      </c>
      <c r="P257" s="32" t="str">
        <f>IFERROR(INDEX(Table!I:O,MATCH(K257,Table!I:I,0),6),"")</f>
        <v/>
      </c>
      <c r="Q257" s="89" t="str">
        <f t="shared" si="9"/>
        <v/>
      </c>
      <c r="R257" s="89" t="str">
        <f t="shared" si="10"/>
        <v/>
      </c>
      <c r="S257" s="82"/>
      <c r="U257" s="37" t="e">
        <f t="shared" si="11"/>
        <v>#VALUE!</v>
      </c>
    </row>
    <row r="258" spans="1:21" x14ac:dyDescent="0.25">
      <c r="A258" s="31" t="str">
        <f>IF(Table!A258 = "","",Table!A258)</f>
        <v/>
      </c>
      <c r="B258" s="31" t="str">
        <f>IF(Table!B258 = "","",Table!B258)</f>
        <v/>
      </c>
      <c r="C258" s="31" t="str">
        <f>IF(Table!C258 = "","",Table!C258)</f>
        <v/>
      </c>
      <c r="D258" s="32" t="str">
        <f>IF(Table!D258 = "","",Table!D258)</f>
        <v/>
      </c>
      <c r="E258" s="32" t="str">
        <f>IF(Table!E258 = "","",Table!E258)</f>
        <v/>
      </c>
      <c r="F258" s="32" t="str">
        <f>IF(Table!F258 = "","",Table!F258)</f>
        <v/>
      </c>
      <c r="G258" s="91"/>
      <c r="I258" s="84" t="str">
        <f>IFERROR(VLOOKUP(A258,Downlink!A:L,12,TRUE),"")</f>
        <v/>
      </c>
      <c r="K258" s="31" t="str">
        <f>IFERROR(VLOOKUP(A258,Table!$I$4:$O$3000,1,TRUE),"")</f>
        <v/>
      </c>
      <c r="L258" s="31" t="str">
        <f>IFERROR(INDEX(Table!I:O,MATCH(K258,Table!I:I,0),2),"")</f>
        <v/>
      </c>
      <c r="M258" s="31" t="str">
        <f>IFERROR(INDEX(Table!I:O,MATCH(K258,Table!I:I,0),3),"")</f>
        <v/>
      </c>
      <c r="N258" s="32" t="str">
        <f>IFERROR(INDEX(Table!I:O,MATCH(K258,Table!I:I,0),4),"")</f>
        <v/>
      </c>
      <c r="O258" s="32" t="str">
        <f>IFERROR(INDEX(Table!I:O,MATCH(K258,Table!I:I,0),5),"")</f>
        <v/>
      </c>
      <c r="P258" s="32" t="str">
        <f>IFERROR(INDEX(Table!I:O,MATCH(K258,Table!I:I,0),6),"")</f>
        <v/>
      </c>
      <c r="Q258" s="89" t="str">
        <f t="shared" si="9"/>
        <v/>
      </c>
      <c r="R258" s="89" t="str">
        <f t="shared" si="10"/>
        <v/>
      </c>
      <c r="S258" s="82"/>
      <c r="U258" s="37" t="e">
        <f t="shared" si="11"/>
        <v>#VALUE!</v>
      </c>
    </row>
    <row r="259" spans="1:21" x14ac:dyDescent="0.25">
      <c r="A259" s="31" t="str">
        <f>IF(Table!A259 = "","",Table!A259)</f>
        <v/>
      </c>
      <c r="B259" s="31" t="str">
        <f>IF(Table!B259 = "","",Table!B259)</f>
        <v/>
      </c>
      <c r="C259" s="31" t="str">
        <f>IF(Table!C259 = "","",Table!C259)</f>
        <v/>
      </c>
      <c r="D259" s="32" t="str">
        <f>IF(Table!D259 = "","",Table!D259)</f>
        <v/>
      </c>
      <c r="E259" s="32" t="str">
        <f>IF(Table!E259 = "","",Table!E259)</f>
        <v/>
      </c>
      <c r="F259" s="32" t="str">
        <f>IF(Table!F259 = "","",Table!F259)</f>
        <v/>
      </c>
      <c r="G259" s="91"/>
      <c r="I259" s="84" t="str">
        <f>IFERROR(VLOOKUP(A259,Downlink!A:L,12,TRUE),"")</f>
        <v/>
      </c>
      <c r="K259" s="31" t="str">
        <f>IFERROR(VLOOKUP(A259,Table!$I$4:$O$3000,1,TRUE),"")</f>
        <v/>
      </c>
      <c r="L259" s="31" t="str">
        <f>IFERROR(INDEX(Table!I:O,MATCH(K259,Table!I:I,0),2),"")</f>
        <v/>
      </c>
      <c r="M259" s="31" t="str">
        <f>IFERROR(INDEX(Table!I:O,MATCH(K259,Table!I:I,0),3),"")</f>
        <v/>
      </c>
      <c r="N259" s="32" t="str">
        <f>IFERROR(INDEX(Table!I:O,MATCH(K259,Table!I:I,0),4),"")</f>
        <v/>
      </c>
      <c r="O259" s="32" t="str">
        <f>IFERROR(INDEX(Table!I:O,MATCH(K259,Table!I:I,0),5),"")</f>
        <v/>
      </c>
      <c r="P259" s="32" t="str">
        <f>IFERROR(INDEX(Table!I:O,MATCH(K259,Table!I:I,0),6),"")</f>
        <v/>
      </c>
      <c r="Q259" s="89" t="str">
        <f t="shared" si="9"/>
        <v/>
      </c>
      <c r="R259" s="89" t="str">
        <f t="shared" si="10"/>
        <v/>
      </c>
      <c r="S259" s="82"/>
      <c r="U259" s="37" t="e">
        <f t="shared" si="11"/>
        <v>#VALUE!</v>
      </c>
    </row>
    <row r="260" spans="1:21" x14ac:dyDescent="0.25">
      <c r="A260" s="31" t="str">
        <f>IF(Table!A260 = "","",Table!A260)</f>
        <v/>
      </c>
      <c r="B260" s="31" t="str">
        <f>IF(Table!B260 = "","",Table!B260)</f>
        <v/>
      </c>
      <c r="C260" s="31" t="str">
        <f>IF(Table!C260 = "","",Table!C260)</f>
        <v/>
      </c>
      <c r="D260" s="32" t="str">
        <f>IF(Table!D260 = "","",Table!D260)</f>
        <v/>
      </c>
      <c r="E260" s="32" t="str">
        <f>IF(Table!E260 = "","",Table!E260)</f>
        <v/>
      </c>
      <c r="F260" s="32" t="str">
        <f>IF(Table!F260 = "","",Table!F260)</f>
        <v/>
      </c>
      <c r="G260" s="91"/>
      <c r="I260" s="84" t="str">
        <f>IFERROR(VLOOKUP(A260,Downlink!A:L,12,TRUE),"")</f>
        <v/>
      </c>
      <c r="K260" s="31" t="str">
        <f>IFERROR(VLOOKUP(A260,Table!$I$4:$O$3000,1,TRUE),"")</f>
        <v/>
      </c>
      <c r="L260" s="31" t="str">
        <f>IFERROR(INDEX(Table!I:O,MATCH(K260,Table!I:I,0),2),"")</f>
        <v/>
      </c>
      <c r="M260" s="31" t="str">
        <f>IFERROR(INDEX(Table!I:O,MATCH(K260,Table!I:I,0),3),"")</f>
        <v/>
      </c>
      <c r="N260" s="32" t="str">
        <f>IFERROR(INDEX(Table!I:O,MATCH(K260,Table!I:I,0),4),"")</f>
        <v/>
      </c>
      <c r="O260" s="32" t="str">
        <f>IFERROR(INDEX(Table!I:O,MATCH(K260,Table!I:I,0),5),"")</f>
        <v/>
      </c>
      <c r="P260" s="32" t="str">
        <f>IFERROR(INDEX(Table!I:O,MATCH(K260,Table!I:I,0),6),"")</f>
        <v/>
      </c>
      <c r="Q260" s="89" t="str">
        <f t="shared" si="9"/>
        <v/>
      </c>
      <c r="R260" s="89" t="str">
        <f t="shared" si="10"/>
        <v/>
      </c>
      <c r="S260" s="82"/>
      <c r="U260" s="37" t="e">
        <f t="shared" si="11"/>
        <v>#VALUE!</v>
      </c>
    </row>
    <row r="261" spans="1:21" x14ac:dyDescent="0.25">
      <c r="A261" s="31" t="str">
        <f>IF(Table!A261 = "","",Table!A261)</f>
        <v/>
      </c>
      <c r="B261" s="31" t="str">
        <f>IF(Table!B261 = "","",Table!B261)</f>
        <v/>
      </c>
      <c r="C261" s="31" t="str">
        <f>IF(Table!C261 = "","",Table!C261)</f>
        <v/>
      </c>
      <c r="D261" s="32" t="str">
        <f>IF(Table!D261 = "","",Table!D261)</f>
        <v/>
      </c>
      <c r="E261" s="32" t="str">
        <f>IF(Table!E261 = "","",Table!E261)</f>
        <v/>
      </c>
      <c r="F261" s="32" t="str">
        <f>IF(Table!F261 = "","",Table!F261)</f>
        <v/>
      </c>
      <c r="G261" s="91"/>
      <c r="I261" s="84" t="str">
        <f>IFERROR(VLOOKUP(A261,Downlink!A:L,12,TRUE),"")</f>
        <v/>
      </c>
      <c r="K261" s="31" t="str">
        <f>IFERROR(VLOOKUP(A261,Table!$I$4:$O$3000,1,TRUE),"")</f>
        <v/>
      </c>
      <c r="L261" s="31" t="str">
        <f>IFERROR(INDEX(Table!I:O,MATCH(K261,Table!I:I,0),2),"")</f>
        <v/>
      </c>
      <c r="M261" s="31" t="str">
        <f>IFERROR(INDEX(Table!I:O,MATCH(K261,Table!I:I,0),3),"")</f>
        <v/>
      </c>
      <c r="N261" s="32" t="str">
        <f>IFERROR(INDEX(Table!I:O,MATCH(K261,Table!I:I,0),4),"")</f>
        <v/>
      </c>
      <c r="O261" s="32" t="str">
        <f>IFERROR(INDEX(Table!I:O,MATCH(K261,Table!I:I,0),5),"")</f>
        <v/>
      </c>
      <c r="P261" s="32" t="str">
        <f>IFERROR(INDEX(Table!I:O,MATCH(K261,Table!I:I,0),6),"")</f>
        <v/>
      </c>
      <c r="Q261" s="89" t="str">
        <f t="shared" si="9"/>
        <v/>
      </c>
      <c r="R261" s="89" t="str">
        <f t="shared" si="10"/>
        <v/>
      </c>
      <c r="S261" s="82"/>
      <c r="U261" s="37" t="e">
        <f t="shared" si="11"/>
        <v>#VALUE!</v>
      </c>
    </row>
    <row r="262" spans="1:21" x14ac:dyDescent="0.25">
      <c r="A262" s="31" t="str">
        <f>IF(Table!A262 = "","",Table!A262)</f>
        <v/>
      </c>
      <c r="B262" s="31" t="str">
        <f>IF(Table!B262 = "","",Table!B262)</f>
        <v/>
      </c>
      <c r="C262" s="31" t="str">
        <f>IF(Table!C262 = "","",Table!C262)</f>
        <v/>
      </c>
      <c r="D262" s="32" t="str">
        <f>IF(Table!D262 = "","",Table!D262)</f>
        <v/>
      </c>
      <c r="E262" s="32" t="str">
        <f>IF(Table!E262 = "","",Table!E262)</f>
        <v/>
      </c>
      <c r="F262" s="32" t="str">
        <f>IF(Table!F262 = "","",Table!F262)</f>
        <v/>
      </c>
      <c r="G262" s="91"/>
      <c r="I262" s="84" t="str">
        <f>IFERROR(VLOOKUP(A262,Downlink!A:L,12,TRUE),"")</f>
        <v/>
      </c>
      <c r="K262" s="31" t="str">
        <f>IFERROR(VLOOKUP(A262,Table!$I$4:$O$3000,1,TRUE),"")</f>
        <v/>
      </c>
      <c r="L262" s="31" t="str">
        <f>IFERROR(INDEX(Table!I:O,MATCH(K262,Table!I:I,0),2),"")</f>
        <v/>
      </c>
      <c r="M262" s="31" t="str">
        <f>IFERROR(INDEX(Table!I:O,MATCH(K262,Table!I:I,0),3),"")</f>
        <v/>
      </c>
      <c r="N262" s="32" t="str">
        <f>IFERROR(INDEX(Table!I:O,MATCH(K262,Table!I:I,0),4),"")</f>
        <v/>
      </c>
      <c r="O262" s="32" t="str">
        <f>IFERROR(INDEX(Table!I:O,MATCH(K262,Table!I:I,0),5),"")</f>
        <v/>
      </c>
      <c r="P262" s="32" t="str">
        <f>IFERROR(INDEX(Table!I:O,MATCH(K262,Table!I:I,0),6),"")</f>
        <v/>
      </c>
      <c r="Q262" s="89" t="str">
        <f t="shared" ref="Q262:Q325" si="12">IFERROR(L262-B262,"")</f>
        <v/>
      </c>
      <c r="R262" s="89" t="str">
        <f t="shared" ref="R262:R325" si="13">IFERROR(M262-C262,"")</f>
        <v/>
      </c>
      <c r="S262" s="82"/>
      <c r="U262" s="37" t="e">
        <f t="shared" ref="U262:U325" si="14">K262-K261</f>
        <v>#VALUE!</v>
      </c>
    </row>
    <row r="263" spans="1:21" x14ac:dyDescent="0.25">
      <c r="A263" s="31" t="str">
        <f>IF(Table!A263 = "","",Table!A263)</f>
        <v/>
      </c>
      <c r="B263" s="31" t="str">
        <f>IF(Table!B263 = "","",Table!B263)</f>
        <v/>
      </c>
      <c r="C263" s="31" t="str">
        <f>IF(Table!C263 = "","",Table!C263)</f>
        <v/>
      </c>
      <c r="D263" s="32" t="str">
        <f>IF(Table!D263 = "","",Table!D263)</f>
        <v/>
      </c>
      <c r="E263" s="32" t="str">
        <f>IF(Table!E263 = "","",Table!E263)</f>
        <v/>
      </c>
      <c r="F263" s="32" t="str">
        <f>IF(Table!F263 = "","",Table!F263)</f>
        <v/>
      </c>
      <c r="G263" s="91"/>
      <c r="I263" s="84" t="str">
        <f>IFERROR(VLOOKUP(A263,Downlink!A:L,12,TRUE),"")</f>
        <v/>
      </c>
      <c r="K263" s="31" t="str">
        <f>IFERROR(VLOOKUP(A263,Table!$I$4:$O$3000,1,TRUE),"")</f>
        <v/>
      </c>
      <c r="L263" s="31" t="str">
        <f>IFERROR(INDEX(Table!I:O,MATCH(K263,Table!I:I,0),2),"")</f>
        <v/>
      </c>
      <c r="M263" s="31" t="str">
        <f>IFERROR(INDEX(Table!I:O,MATCH(K263,Table!I:I,0),3),"")</f>
        <v/>
      </c>
      <c r="N263" s="32" t="str">
        <f>IFERROR(INDEX(Table!I:O,MATCH(K263,Table!I:I,0),4),"")</f>
        <v/>
      </c>
      <c r="O263" s="32" t="str">
        <f>IFERROR(INDEX(Table!I:O,MATCH(K263,Table!I:I,0),5),"")</f>
        <v/>
      </c>
      <c r="P263" s="32" t="str">
        <f>IFERROR(INDEX(Table!I:O,MATCH(K263,Table!I:I,0),6),"")</f>
        <v/>
      </c>
      <c r="Q263" s="89" t="str">
        <f t="shared" si="12"/>
        <v/>
      </c>
      <c r="R263" s="89" t="str">
        <f t="shared" si="13"/>
        <v/>
      </c>
      <c r="S263" s="82"/>
      <c r="U263" s="37" t="e">
        <f t="shared" si="14"/>
        <v>#VALUE!</v>
      </c>
    </row>
    <row r="264" spans="1:21" x14ac:dyDescent="0.25">
      <c r="A264" s="31" t="str">
        <f>IF(Table!A264 = "","",Table!A264)</f>
        <v/>
      </c>
      <c r="B264" s="31" t="str">
        <f>IF(Table!B264 = "","",Table!B264)</f>
        <v/>
      </c>
      <c r="C264" s="31" t="str">
        <f>IF(Table!C264 = "","",Table!C264)</f>
        <v/>
      </c>
      <c r="D264" s="32" t="str">
        <f>IF(Table!D264 = "","",Table!D264)</f>
        <v/>
      </c>
      <c r="E264" s="32" t="str">
        <f>IF(Table!E264 = "","",Table!E264)</f>
        <v/>
      </c>
      <c r="F264" s="32" t="str">
        <f>IF(Table!F264 = "","",Table!F264)</f>
        <v/>
      </c>
      <c r="G264" s="91"/>
      <c r="I264" s="84" t="str">
        <f>IFERROR(VLOOKUP(A264,Downlink!A:L,12,TRUE),"")</f>
        <v/>
      </c>
      <c r="K264" s="31" t="str">
        <f>IFERROR(VLOOKUP(A264,Table!$I$4:$O$3000,1,TRUE),"")</f>
        <v/>
      </c>
      <c r="L264" s="31" t="str">
        <f>IFERROR(INDEX(Table!I:O,MATCH(K264,Table!I:I,0),2),"")</f>
        <v/>
      </c>
      <c r="M264" s="31" t="str">
        <f>IFERROR(INDEX(Table!I:O,MATCH(K264,Table!I:I,0),3),"")</f>
        <v/>
      </c>
      <c r="N264" s="32" t="str">
        <f>IFERROR(INDEX(Table!I:O,MATCH(K264,Table!I:I,0),4),"")</f>
        <v/>
      </c>
      <c r="O264" s="32" t="str">
        <f>IFERROR(INDEX(Table!I:O,MATCH(K264,Table!I:I,0),5),"")</f>
        <v/>
      </c>
      <c r="P264" s="32" t="str">
        <f>IFERROR(INDEX(Table!I:O,MATCH(K264,Table!I:I,0),6),"")</f>
        <v/>
      </c>
      <c r="Q264" s="89" t="str">
        <f t="shared" si="12"/>
        <v/>
      </c>
      <c r="R264" s="89" t="str">
        <f t="shared" si="13"/>
        <v/>
      </c>
      <c r="S264" s="82"/>
      <c r="U264" s="37" t="e">
        <f t="shared" si="14"/>
        <v>#VALUE!</v>
      </c>
    </row>
    <row r="265" spans="1:21" x14ac:dyDescent="0.25">
      <c r="A265" s="31" t="str">
        <f>IF(Table!A265 = "","",Table!A265)</f>
        <v/>
      </c>
      <c r="B265" s="31" t="str">
        <f>IF(Table!B265 = "","",Table!B265)</f>
        <v/>
      </c>
      <c r="C265" s="31" t="str">
        <f>IF(Table!C265 = "","",Table!C265)</f>
        <v/>
      </c>
      <c r="D265" s="32" t="str">
        <f>IF(Table!D265 = "","",Table!D265)</f>
        <v/>
      </c>
      <c r="E265" s="32" t="str">
        <f>IF(Table!E265 = "","",Table!E265)</f>
        <v/>
      </c>
      <c r="F265" s="32" t="str">
        <f>IF(Table!F265 = "","",Table!F265)</f>
        <v/>
      </c>
      <c r="G265" s="91"/>
      <c r="I265" s="84" t="str">
        <f>IFERROR(VLOOKUP(A265,Downlink!A:L,12,TRUE),"")</f>
        <v/>
      </c>
      <c r="K265" s="31" t="str">
        <f>IFERROR(VLOOKUP(A265,Table!$I$4:$O$3000,1,TRUE),"")</f>
        <v/>
      </c>
      <c r="L265" s="31" t="str">
        <f>IFERROR(INDEX(Table!I:O,MATCH(K265,Table!I:I,0),2),"")</f>
        <v/>
      </c>
      <c r="M265" s="31" t="str">
        <f>IFERROR(INDEX(Table!I:O,MATCH(K265,Table!I:I,0),3),"")</f>
        <v/>
      </c>
      <c r="N265" s="32" t="str">
        <f>IFERROR(INDEX(Table!I:O,MATCH(K265,Table!I:I,0),4),"")</f>
        <v/>
      </c>
      <c r="O265" s="32" t="str">
        <f>IFERROR(INDEX(Table!I:O,MATCH(K265,Table!I:I,0),5),"")</f>
        <v/>
      </c>
      <c r="P265" s="32" t="str">
        <f>IFERROR(INDEX(Table!I:O,MATCH(K265,Table!I:I,0),6),"")</f>
        <v/>
      </c>
      <c r="Q265" s="89" t="str">
        <f t="shared" si="12"/>
        <v/>
      </c>
      <c r="R265" s="89" t="str">
        <f t="shared" si="13"/>
        <v/>
      </c>
      <c r="S265" s="82"/>
      <c r="U265" s="37" t="e">
        <f t="shared" si="14"/>
        <v>#VALUE!</v>
      </c>
    </row>
    <row r="266" spans="1:21" x14ac:dyDescent="0.25">
      <c r="A266" s="31" t="str">
        <f>IF(Table!A266 = "","",Table!A266)</f>
        <v/>
      </c>
      <c r="B266" s="31" t="str">
        <f>IF(Table!B266 = "","",Table!B266)</f>
        <v/>
      </c>
      <c r="C266" s="31" t="str">
        <f>IF(Table!C266 = "","",Table!C266)</f>
        <v/>
      </c>
      <c r="D266" s="32" t="str">
        <f>IF(Table!D266 = "","",Table!D266)</f>
        <v/>
      </c>
      <c r="E266" s="32" t="str">
        <f>IF(Table!E266 = "","",Table!E266)</f>
        <v/>
      </c>
      <c r="F266" s="32" t="str">
        <f>IF(Table!F266 = "","",Table!F266)</f>
        <v/>
      </c>
      <c r="G266" s="91"/>
      <c r="I266" s="84" t="str">
        <f>IFERROR(VLOOKUP(A266,Downlink!A:L,12,TRUE),"")</f>
        <v/>
      </c>
      <c r="K266" s="31" t="str">
        <f>IFERROR(VLOOKUP(A266,Table!$I$4:$O$3000,1,TRUE),"")</f>
        <v/>
      </c>
      <c r="L266" s="31" t="str">
        <f>IFERROR(INDEX(Table!I:O,MATCH(K266,Table!I:I,0),2),"")</f>
        <v/>
      </c>
      <c r="M266" s="31" t="str">
        <f>IFERROR(INDEX(Table!I:O,MATCH(K266,Table!I:I,0),3),"")</f>
        <v/>
      </c>
      <c r="N266" s="32" t="str">
        <f>IFERROR(INDEX(Table!I:O,MATCH(K266,Table!I:I,0),4),"")</f>
        <v/>
      </c>
      <c r="O266" s="32" t="str">
        <f>IFERROR(INDEX(Table!I:O,MATCH(K266,Table!I:I,0),5),"")</f>
        <v/>
      </c>
      <c r="P266" s="32" t="str">
        <f>IFERROR(INDEX(Table!I:O,MATCH(K266,Table!I:I,0),6),"")</f>
        <v/>
      </c>
      <c r="Q266" s="89" t="str">
        <f t="shared" si="12"/>
        <v/>
      </c>
      <c r="R266" s="89" t="str">
        <f t="shared" si="13"/>
        <v/>
      </c>
      <c r="S266" s="82"/>
      <c r="U266" s="37" t="e">
        <f t="shared" si="14"/>
        <v>#VALUE!</v>
      </c>
    </row>
    <row r="267" spans="1:21" x14ac:dyDescent="0.25">
      <c r="A267" s="31" t="str">
        <f>IF(Table!A267 = "","",Table!A267)</f>
        <v/>
      </c>
      <c r="B267" s="31" t="str">
        <f>IF(Table!B267 = "","",Table!B267)</f>
        <v/>
      </c>
      <c r="C267" s="31" t="str">
        <f>IF(Table!C267 = "","",Table!C267)</f>
        <v/>
      </c>
      <c r="D267" s="32" t="str">
        <f>IF(Table!D267 = "","",Table!D267)</f>
        <v/>
      </c>
      <c r="E267" s="32" t="str">
        <f>IF(Table!E267 = "","",Table!E267)</f>
        <v/>
      </c>
      <c r="F267" s="32" t="str">
        <f>IF(Table!F267 = "","",Table!F267)</f>
        <v/>
      </c>
      <c r="G267" s="91"/>
      <c r="I267" s="84" t="str">
        <f>IFERROR(VLOOKUP(A267,Downlink!A:L,12,TRUE),"")</f>
        <v/>
      </c>
      <c r="K267" s="31" t="str">
        <f>IFERROR(VLOOKUP(A267,Table!$I$4:$O$3000,1,TRUE),"")</f>
        <v/>
      </c>
      <c r="L267" s="31" t="str">
        <f>IFERROR(INDEX(Table!I:O,MATCH(K267,Table!I:I,0),2),"")</f>
        <v/>
      </c>
      <c r="M267" s="31" t="str">
        <f>IFERROR(INDEX(Table!I:O,MATCH(K267,Table!I:I,0),3),"")</f>
        <v/>
      </c>
      <c r="N267" s="32" t="str">
        <f>IFERROR(INDEX(Table!I:O,MATCH(K267,Table!I:I,0),4),"")</f>
        <v/>
      </c>
      <c r="O267" s="32" t="str">
        <f>IFERROR(INDEX(Table!I:O,MATCH(K267,Table!I:I,0),5),"")</f>
        <v/>
      </c>
      <c r="P267" s="32" t="str">
        <f>IFERROR(INDEX(Table!I:O,MATCH(K267,Table!I:I,0),6),"")</f>
        <v/>
      </c>
      <c r="Q267" s="89" t="str">
        <f t="shared" si="12"/>
        <v/>
      </c>
      <c r="R267" s="89" t="str">
        <f t="shared" si="13"/>
        <v/>
      </c>
      <c r="S267" s="82"/>
      <c r="U267" s="37" t="e">
        <f t="shared" si="14"/>
        <v>#VALUE!</v>
      </c>
    </row>
    <row r="268" spans="1:21" x14ac:dyDescent="0.25">
      <c r="A268" s="31" t="str">
        <f>IF(Table!A268 = "","",Table!A268)</f>
        <v/>
      </c>
      <c r="B268" s="31" t="str">
        <f>IF(Table!B268 = "","",Table!B268)</f>
        <v/>
      </c>
      <c r="C268" s="31" t="str">
        <f>IF(Table!C268 = "","",Table!C268)</f>
        <v/>
      </c>
      <c r="D268" s="32" t="str">
        <f>IF(Table!D268 = "","",Table!D268)</f>
        <v/>
      </c>
      <c r="E268" s="32" t="str">
        <f>IF(Table!E268 = "","",Table!E268)</f>
        <v/>
      </c>
      <c r="F268" s="32" t="str">
        <f>IF(Table!F268 = "","",Table!F268)</f>
        <v/>
      </c>
      <c r="G268" s="91"/>
      <c r="I268" s="84" t="str">
        <f>IFERROR(VLOOKUP(A268,Downlink!A:L,12,TRUE),"")</f>
        <v/>
      </c>
      <c r="K268" s="31" t="str">
        <f>IFERROR(VLOOKUP(A268,Table!$I$4:$O$3000,1,TRUE),"")</f>
        <v/>
      </c>
      <c r="L268" s="31" t="str">
        <f>IFERROR(INDEX(Table!I:O,MATCH(K268,Table!I:I,0),2),"")</f>
        <v/>
      </c>
      <c r="M268" s="31" t="str">
        <f>IFERROR(INDEX(Table!I:O,MATCH(K268,Table!I:I,0),3),"")</f>
        <v/>
      </c>
      <c r="N268" s="32" t="str">
        <f>IFERROR(INDEX(Table!I:O,MATCH(K268,Table!I:I,0),4),"")</f>
        <v/>
      </c>
      <c r="O268" s="32" t="str">
        <f>IFERROR(INDEX(Table!I:O,MATCH(K268,Table!I:I,0),5),"")</f>
        <v/>
      </c>
      <c r="P268" s="32" t="str">
        <f>IFERROR(INDEX(Table!I:O,MATCH(K268,Table!I:I,0),6),"")</f>
        <v/>
      </c>
      <c r="Q268" s="89" t="str">
        <f t="shared" si="12"/>
        <v/>
      </c>
      <c r="R268" s="89" t="str">
        <f t="shared" si="13"/>
        <v/>
      </c>
      <c r="S268" s="82"/>
      <c r="U268" s="37" t="e">
        <f t="shared" si="14"/>
        <v>#VALUE!</v>
      </c>
    </row>
    <row r="269" spans="1:21" x14ac:dyDescent="0.25">
      <c r="A269" s="31" t="str">
        <f>IF(Table!A269 = "","",Table!A269)</f>
        <v/>
      </c>
      <c r="B269" s="31" t="str">
        <f>IF(Table!B269 = "","",Table!B269)</f>
        <v/>
      </c>
      <c r="C269" s="31" t="str">
        <f>IF(Table!C269 = "","",Table!C269)</f>
        <v/>
      </c>
      <c r="D269" s="32" t="str">
        <f>IF(Table!D269 = "","",Table!D269)</f>
        <v/>
      </c>
      <c r="E269" s="32" t="str">
        <f>IF(Table!E269 = "","",Table!E269)</f>
        <v/>
      </c>
      <c r="F269" s="32" t="str">
        <f>IF(Table!F269 = "","",Table!F269)</f>
        <v/>
      </c>
      <c r="G269" s="91"/>
      <c r="I269" s="84" t="str">
        <f>IFERROR(VLOOKUP(A269,Downlink!A:L,12,TRUE),"")</f>
        <v/>
      </c>
      <c r="K269" s="31" t="str">
        <f>IFERROR(VLOOKUP(A269,Table!$I$4:$O$3000,1,TRUE),"")</f>
        <v/>
      </c>
      <c r="L269" s="31" t="str">
        <f>IFERROR(INDEX(Table!I:O,MATCH(K269,Table!I:I,0),2),"")</f>
        <v/>
      </c>
      <c r="M269" s="31" t="str">
        <f>IFERROR(INDEX(Table!I:O,MATCH(K269,Table!I:I,0),3),"")</f>
        <v/>
      </c>
      <c r="N269" s="32" t="str">
        <f>IFERROR(INDEX(Table!I:O,MATCH(K269,Table!I:I,0),4),"")</f>
        <v/>
      </c>
      <c r="O269" s="32" t="str">
        <f>IFERROR(INDEX(Table!I:O,MATCH(K269,Table!I:I,0),5),"")</f>
        <v/>
      </c>
      <c r="P269" s="32" t="str">
        <f>IFERROR(INDEX(Table!I:O,MATCH(K269,Table!I:I,0),6),"")</f>
        <v/>
      </c>
      <c r="Q269" s="89" t="str">
        <f t="shared" si="12"/>
        <v/>
      </c>
      <c r="R269" s="89" t="str">
        <f t="shared" si="13"/>
        <v/>
      </c>
      <c r="S269" s="82"/>
      <c r="U269" s="37" t="e">
        <f t="shared" si="14"/>
        <v>#VALUE!</v>
      </c>
    </row>
    <row r="270" spans="1:21" x14ac:dyDescent="0.25">
      <c r="A270" s="31" t="str">
        <f>IF(Table!A270 = "","",Table!A270)</f>
        <v/>
      </c>
      <c r="B270" s="31" t="str">
        <f>IF(Table!B270 = "","",Table!B270)</f>
        <v/>
      </c>
      <c r="C270" s="31" t="str">
        <f>IF(Table!C270 = "","",Table!C270)</f>
        <v/>
      </c>
      <c r="D270" s="32" t="str">
        <f>IF(Table!D270 = "","",Table!D270)</f>
        <v/>
      </c>
      <c r="E270" s="32" t="str">
        <f>IF(Table!E270 = "","",Table!E270)</f>
        <v/>
      </c>
      <c r="F270" s="32" t="str">
        <f>IF(Table!F270 = "","",Table!F270)</f>
        <v/>
      </c>
      <c r="G270" s="91"/>
      <c r="I270" s="84" t="str">
        <f>IFERROR(VLOOKUP(A270,Downlink!A:L,12,TRUE),"")</f>
        <v/>
      </c>
      <c r="K270" s="31" t="str">
        <f>IFERROR(VLOOKUP(A270,Table!$I$4:$O$3000,1,TRUE),"")</f>
        <v/>
      </c>
      <c r="L270" s="31" t="str">
        <f>IFERROR(INDEX(Table!I:O,MATCH(K270,Table!I:I,0),2),"")</f>
        <v/>
      </c>
      <c r="M270" s="31" t="str">
        <f>IFERROR(INDEX(Table!I:O,MATCH(K270,Table!I:I,0),3),"")</f>
        <v/>
      </c>
      <c r="N270" s="32" t="str">
        <f>IFERROR(INDEX(Table!I:O,MATCH(K270,Table!I:I,0),4),"")</f>
        <v/>
      </c>
      <c r="O270" s="32" t="str">
        <f>IFERROR(INDEX(Table!I:O,MATCH(K270,Table!I:I,0),5),"")</f>
        <v/>
      </c>
      <c r="P270" s="32" t="str">
        <f>IFERROR(INDEX(Table!I:O,MATCH(K270,Table!I:I,0),6),"")</f>
        <v/>
      </c>
      <c r="Q270" s="89" t="str">
        <f t="shared" si="12"/>
        <v/>
      </c>
      <c r="R270" s="89" t="str">
        <f t="shared" si="13"/>
        <v/>
      </c>
      <c r="S270" s="82"/>
      <c r="U270" s="37" t="e">
        <f t="shared" si="14"/>
        <v>#VALUE!</v>
      </c>
    </row>
    <row r="271" spans="1:21" x14ac:dyDescent="0.25">
      <c r="A271" s="31" t="str">
        <f>IF(Table!A271 = "","",Table!A271)</f>
        <v/>
      </c>
      <c r="B271" s="31" t="str">
        <f>IF(Table!B271 = "","",Table!B271)</f>
        <v/>
      </c>
      <c r="C271" s="31" t="str">
        <f>IF(Table!C271 = "","",Table!C271)</f>
        <v/>
      </c>
      <c r="D271" s="32" t="str">
        <f>IF(Table!D271 = "","",Table!D271)</f>
        <v/>
      </c>
      <c r="E271" s="32" t="str">
        <f>IF(Table!E271 = "","",Table!E271)</f>
        <v/>
      </c>
      <c r="F271" s="32" t="str">
        <f>IF(Table!F271 = "","",Table!F271)</f>
        <v/>
      </c>
      <c r="G271" s="91"/>
      <c r="I271" s="84" t="str">
        <f>IFERROR(VLOOKUP(A271,Downlink!A:L,12,TRUE),"")</f>
        <v/>
      </c>
      <c r="K271" s="31" t="str">
        <f>IFERROR(VLOOKUP(A271,Table!$I$4:$O$3000,1,TRUE),"")</f>
        <v/>
      </c>
      <c r="L271" s="31" t="str">
        <f>IFERROR(INDEX(Table!I:O,MATCH(K271,Table!I:I,0),2),"")</f>
        <v/>
      </c>
      <c r="M271" s="31" t="str">
        <f>IFERROR(INDEX(Table!I:O,MATCH(K271,Table!I:I,0),3),"")</f>
        <v/>
      </c>
      <c r="N271" s="32" t="str">
        <f>IFERROR(INDEX(Table!I:O,MATCH(K271,Table!I:I,0),4),"")</f>
        <v/>
      </c>
      <c r="O271" s="32" t="str">
        <f>IFERROR(INDEX(Table!I:O,MATCH(K271,Table!I:I,0),5),"")</f>
        <v/>
      </c>
      <c r="P271" s="32" t="str">
        <f>IFERROR(INDEX(Table!I:O,MATCH(K271,Table!I:I,0),6),"")</f>
        <v/>
      </c>
      <c r="Q271" s="89" t="str">
        <f t="shared" si="12"/>
        <v/>
      </c>
      <c r="R271" s="89" t="str">
        <f t="shared" si="13"/>
        <v/>
      </c>
      <c r="S271" s="82"/>
      <c r="U271" s="37" t="e">
        <f t="shared" si="14"/>
        <v>#VALUE!</v>
      </c>
    </row>
    <row r="272" spans="1:21" x14ac:dyDescent="0.25">
      <c r="A272" s="31" t="str">
        <f>IF(Table!A272 = "","",Table!A272)</f>
        <v/>
      </c>
      <c r="B272" s="31" t="str">
        <f>IF(Table!B272 = "","",Table!B272)</f>
        <v/>
      </c>
      <c r="C272" s="31" t="str">
        <f>IF(Table!C272 = "","",Table!C272)</f>
        <v/>
      </c>
      <c r="D272" s="32" t="str">
        <f>IF(Table!D272 = "","",Table!D272)</f>
        <v/>
      </c>
      <c r="E272" s="32" t="str">
        <f>IF(Table!E272 = "","",Table!E272)</f>
        <v/>
      </c>
      <c r="F272" s="32" t="str">
        <f>IF(Table!F272 = "","",Table!F272)</f>
        <v/>
      </c>
      <c r="G272" s="91"/>
      <c r="I272" s="84" t="str">
        <f>IFERROR(VLOOKUP(A272,Downlink!A:L,12,TRUE),"")</f>
        <v/>
      </c>
      <c r="K272" s="31" t="str">
        <f>IFERROR(VLOOKUP(A272,Table!$I$4:$O$3000,1,TRUE),"")</f>
        <v/>
      </c>
      <c r="L272" s="31" t="str">
        <f>IFERROR(INDEX(Table!I:O,MATCH(K272,Table!I:I,0),2),"")</f>
        <v/>
      </c>
      <c r="M272" s="31" t="str">
        <f>IFERROR(INDEX(Table!I:O,MATCH(K272,Table!I:I,0),3),"")</f>
        <v/>
      </c>
      <c r="N272" s="32" t="str">
        <f>IFERROR(INDEX(Table!I:O,MATCH(K272,Table!I:I,0),4),"")</f>
        <v/>
      </c>
      <c r="O272" s="32" t="str">
        <f>IFERROR(INDEX(Table!I:O,MATCH(K272,Table!I:I,0),5),"")</f>
        <v/>
      </c>
      <c r="P272" s="32" t="str">
        <f>IFERROR(INDEX(Table!I:O,MATCH(K272,Table!I:I,0),6),"")</f>
        <v/>
      </c>
      <c r="Q272" s="89" t="str">
        <f t="shared" si="12"/>
        <v/>
      </c>
      <c r="R272" s="89" t="str">
        <f t="shared" si="13"/>
        <v/>
      </c>
      <c r="S272" s="82"/>
      <c r="U272" s="37" t="e">
        <f t="shared" si="14"/>
        <v>#VALUE!</v>
      </c>
    </row>
    <row r="273" spans="1:21" x14ac:dyDescent="0.25">
      <c r="A273" s="31" t="str">
        <f>IF(Table!A273 = "","",Table!A273)</f>
        <v/>
      </c>
      <c r="B273" s="31" t="str">
        <f>IF(Table!B273 = "","",Table!B273)</f>
        <v/>
      </c>
      <c r="C273" s="31" t="str">
        <f>IF(Table!C273 = "","",Table!C273)</f>
        <v/>
      </c>
      <c r="D273" s="32" t="str">
        <f>IF(Table!D273 = "","",Table!D273)</f>
        <v/>
      </c>
      <c r="E273" s="32" t="str">
        <f>IF(Table!E273 = "","",Table!E273)</f>
        <v/>
      </c>
      <c r="F273" s="32" t="str">
        <f>IF(Table!F273 = "","",Table!F273)</f>
        <v/>
      </c>
      <c r="G273" s="91"/>
      <c r="I273" s="84" t="str">
        <f>IFERROR(VLOOKUP(A273,Downlink!A:L,12,TRUE),"")</f>
        <v/>
      </c>
      <c r="K273" s="31" t="str">
        <f>IFERROR(VLOOKUP(A273,Table!$I$4:$O$3000,1,TRUE),"")</f>
        <v/>
      </c>
      <c r="L273" s="31" t="str">
        <f>IFERROR(INDEX(Table!I:O,MATCH(K273,Table!I:I,0),2),"")</f>
        <v/>
      </c>
      <c r="M273" s="31" t="str">
        <f>IFERROR(INDEX(Table!I:O,MATCH(K273,Table!I:I,0),3),"")</f>
        <v/>
      </c>
      <c r="N273" s="32" t="str">
        <f>IFERROR(INDEX(Table!I:O,MATCH(K273,Table!I:I,0),4),"")</f>
        <v/>
      </c>
      <c r="O273" s="32" t="str">
        <f>IFERROR(INDEX(Table!I:O,MATCH(K273,Table!I:I,0),5),"")</f>
        <v/>
      </c>
      <c r="P273" s="32" t="str">
        <f>IFERROR(INDEX(Table!I:O,MATCH(K273,Table!I:I,0),6),"")</f>
        <v/>
      </c>
      <c r="Q273" s="89" t="str">
        <f t="shared" si="12"/>
        <v/>
      </c>
      <c r="R273" s="89" t="str">
        <f t="shared" si="13"/>
        <v/>
      </c>
      <c r="S273" s="82"/>
      <c r="U273" s="37" t="e">
        <f t="shared" si="14"/>
        <v>#VALUE!</v>
      </c>
    </row>
    <row r="274" spans="1:21" x14ac:dyDescent="0.25">
      <c r="A274" s="31" t="str">
        <f>IF(Table!A274 = "","",Table!A274)</f>
        <v/>
      </c>
      <c r="B274" s="31" t="str">
        <f>IF(Table!B274 = "","",Table!B274)</f>
        <v/>
      </c>
      <c r="C274" s="31" t="str">
        <f>IF(Table!C274 = "","",Table!C274)</f>
        <v/>
      </c>
      <c r="D274" s="32" t="str">
        <f>IF(Table!D274 = "","",Table!D274)</f>
        <v/>
      </c>
      <c r="E274" s="32" t="str">
        <f>IF(Table!E274 = "","",Table!E274)</f>
        <v/>
      </c>
      <c r="F274" s="32" t="str">
        <f>IF(Table!F274 = "","",Table!F274)</f>
        <v/>
      </c>
      <c r="G274" s="91"/>
      <c r="I274" s="84" t="str">
        <f>IFERROR(VLOOKUP(A274,Downlink!A:L,12,TRUE),"")</f>
        <v/>
      </c>
      <c r="K274" s="31" t="str">
        <f>IFERROR(VLOOKUP(A274,Table!$I$4:$O$3000,1,TRUE),"")</f>
        <v/>
      </c>
      <c r="L274" s="31" t="str">
        <f>IFERROR(INDEX(Table!I:O,MATCH(K274,Table!I:I,0),2),"")</f>
        <v/>
      </c>
      <c r="M274" s="31" t="str">
        <f>IFERROR(INDEX(Table!I:O,MATCH(K274,Table!I:I,0),3),"")</f>
        <v/>
      </c>
      <c r="N274" s="32" t="str">
        <f>IFERROR(INDEX(Table!I:O,MATCH(K274,Table!I:I,0),4),"")</f>
        <v/>
      </c>
      <c r="O274" s="32" t="str">
        <f>IFERROR(INDEX(Table!I:O,MATCH(K274,Table!I:I,0),5),"")</f>
        <v/>
      </c>
      <c r="P274" s="32" t="str">
        <f>IFERROR(INDEX(Table!I:O,MATCH(K274,Table!I:I,0),6),"")</f>
        <v/>
      </c>
      <c r="Q274" s="89" t="str">
        <f t="shared" si="12"/>
        <v/>
      </c>
      <c r="R274" s="89" t="str">
        <f t="shared" si="13"/>
        <v/>
      </c>
      <c r="S274" s="82"/>
      <c r="U274" s="37" t="e">
        <f t="shared" si="14"/>
        <v>#VALUE!</v>
      </c>
    </row>
    <row r="275" spans="1:21" x14ac:dyDescent="0.25">
      <c r="A275" s="31" t="str">
        <f>IF(Table!A275 = "","",Table!A275)</f>
        <v/>
      </c>
      <c r="B275" s="31" t="str">
        <f>IF(Table!B275 = "","",Table!B275)</f>
        <v/>
      </c>
      <c r="C275" s="31" t="str">
        <f>IF(Table!C275 = "","",Table!C275)</f>
        <v/>
      </c>
      <c r="D275" s="32" t="str">
        <f>IF(Table!D275 = "","",Table!D275)</f>
        <v/>
      </c>
      <c r="E275" s="32" t="str">
        <f>IF(Table!E275 = "","",Table!E275)</f>
        <v/>
      </c>
      <c r="F275" s="32" t="str">
        <f>IF(Table!F275 = "","",Table!F275)</f>
        <v/>
      </c>
      <c r="G275" s="91"/>
      <c r="I275" s="84" t="str">
        <f>IFERROR(VLOOKUP(A275,Downlink!A:L,12,TRUE),"")</f>
        <v/>
      </c>
      <c r="K275" s="31" t="str">
        <f>IFERROR(VLOOKUP(A275,Table!$I$4:$O$3000,1,TRUE),"")</f>
        <v/>
      </c>
      <c r="L275" s="31" t="str">
        <f>IFERROR(INDEX(Table!I:O,MATCH(K275,Table!I:I,0),2),"")</f>
        <v/>
      </c>
      <c r="M275" s="31" t="str">
        <f>IFERROR(INDEX(Table!I:O,MATCH(K275,Table!I:I,0),3),"")</f>
        <v/>
      </c>
      <c r="N275" s="32" t="str">
        <f>IFERROR(INDEX(Table!I:O,MATCH(K275,Table!I:I,0),4),"")</f>
        <v/>
      </c>
      <c r="O275" s="32" t="str">
        <f>IFERROR(INDEX(Table!I:O,MATCH(K275,Table!I:I,0),5),"")</f>
        <v/>
      </c>
      <c r="P275" s="32" t="str">
        <f>IFERROR(INDEX(Table!I:O,MATCH(K275,Table!I:I,0),6),"")</f>
        <v/>
      </c>
      <c r="Q275" s="89" t="str">
        <f t="shared" si="12"/>
        <v/>
      </c>
      <c r="R275" s="89" t="str">
        <f t="shared" si="13"/>
        <v/>
      </c>
      <c r="S275" s="82"/>
      <c r="U275" s="37" t="e">
        <f t="shared" si="14"/>
        <v>#VALUE!</v>
      </c>
    </row>
    <row r="276" spans="1:21" x14ac:dyDescent="0.25">
      <c r="A276" s="31" t="str">
        <f>IF(Table!A276 = "","",Table!A276)</f>
        <v/>
      </c>
      <c r="B276" s="31" t="str">
        <f>IF(Table!B276 = "","",Table!B276)</f>
        <v/>
      </c>
      <c r="C276" s="31" t="str">
        <f>IF(Table!C276 = "","",Table!C276)</f>
        <v/>
      </c>
      <c r="D276" s="32" t="str">
        <f>IF(Table!D276 = "","",Table!D276)</f>
        <v/>
      </c>
      <c r="E276" s="32" t="str">
        <f>IF(Table!E276 = "","",Table!E276)</f>
        <v/>
      </c>
      <c r="F276" s="32" t="str">
        <f>IF(Table!F276 = "","",Table!F276)</f>
        <v/>
      </c>
      <c r="G276" s="91"/>
      <c r="I276" s="84" t="str">
        <f>IFERROR(VLOOKUP(A276,Downlink!A:L,12,TRUE),"")</f>
        <v/>
      </c>
      <c r="K276" s="31" t="str">
        <f>IFERROR(VLOOKUP(A276,Table!$I$4:$O$3000,1,TRUE),"")</f>
        <v/>
      </c>
      <c r="L276" s="31" t="str">
        <f>IFERROR(INDEX(Table!I:O,MATCH(K276,Table!I:I,0),2),"")</f>
        <v/>
      </c>
      <c r="M276" s="31" t="str">
        <f>IFERROR(INDEX(Table!I:O,MATCH(K276,Table!I:I,0),3),"")</f>
        <v/>
      </c>
      <c r="N276" s="32" t="str">
        <f>IFERROR(INDEX(Table!I:O,MATCH(K276,Table!I:I,0),4),"")</f>
        <v/>
      </c>
      <c r="O276" s="32" t="str">
        <f>IFERROR(INDEX(Table!I:O,MATCH(K276,Table!I:I,0),5),"")</f>
        <v/>
      </c>
      <c r="P276" s="32" t="str">
        <f>IFERROR(INDEX(Table!I:O,MATCH(K276,Table!I:I,0),6),"")</f>
        <v/>
      </c>
      <c r="Q276" s="89" t="str">
        <f t="shared" si="12"/>
        <v/>
      </c>
      <c r="R276" s="89" t="str">
        <f t="shared" si="13"/>
        <v/>
      </c>
      <c r="S276" s="82"/>
      <c r="U276" s="37" t="e">
        <f t="shared" si="14"/>
        <v>#VALUE!</v>
      </c>
    </row>
    <row r="277" spans="1:21" x14ac:dyDescent="0.25">
      <c r="A277" s="31" t="str">
        <f>IF(Table!A277 = "","",Table!A277)</f>
        <v/>
      </c>
      <c r="B277" s="31" t="str">
        <f>IF(Table!B277 = "","",Table!B277)</f>
        <v/>
      </c>
      <c r="C277" s="31" t="str">
        <f>IF(Table!C277 = "","",Table!C277)</f>
        <v/>
      </c>
      <c r="D277" s="32" t="str">
        <f>IF(Table!D277 = "","",Table!D277)</f>
        <v/>
      </c>
      <c r="E277" s="32" t="str">
        <f>IF(Table!E277 = "","",Table!E277)</f>
        <v/>
      </c>
      <c r="F277" s="32" t="str">
        <f>IF(Table!F277 = "","",Table!F277)</f>
        <v/>
      </c>
      <c r="G277" s="91"/>
      <c r="I277" s="84" t="str">
        <f>IFERROR(VLOOKUP(A277,Downlink!A:L,12,TRUE),"")</f>
        <v/>
      </c>
      <c r="K277" s="31" t="str">
        <f>IFERROR(VLOOKUP(A277,Table!$I$4:$O$3000,1,TRUE),"")</f>
        <v/>
      </c>
      <c r="L277" s="31" t="str">
        <f>IFERROR(INDEX(Table!I:O,MATCH(K277,Table!I:I,0),2),"")</f>
        <v/>
      </c>
      <c r="M277" s="31" t="str">
        <f>IFERROR(INDEX(Table!I:O,MATCH(K277,Table!I:I,0),3),"")</f>
        <v/>
      </c>
      <c r="N277" s="32" t="str">
        <f>IFERROR(INDEX(Table!I:O,MATCH(K277,Table!I:I,0),4),"")</f>
        <v/>
      </c>
      <c r="O277" s="32" t="str">
        <f>IFERROR(INDEX(Table!I:O,MATCH(K277,Table!I:I,0),5),"")</f>
        <v/>
      </c>
      <c r="P277" s="32" t="str">
        <f>IFERROR(INDEX(Table!I:O,MATCH(K277,Table!I:I,0),6),"")</f>
        <v/>
      </c>
      <c r="Q277" s="89" t="str">
        <f t="shared" si="12"/>
        <v/>
      </c>
      <c r="R277" s="89" t="str">
        <f t="shared" si="13"/>
        <v/>
      </c>
      <c r="S277" s="82"/>
      <c r="U277" s="37" t="e">
        <f t="shared" si="14"/>
        <v>#VALUE!</v>
      </c>
    </row>
    <row r="278" spans="1:21" x14ac:dyDescent="0.25">
      <c r="A278" s="31" t="str">
        <f>IF(Table!A278 = "","",Table!A278)</f>
        <v/>
      </c>
      <c r="B278" s="31" t="str">
        <f>IF(Table!B278 = "","",Table!B278)</f>
        <v/>
      </c>
      <c r="C278" s="31" t="str">
        <f>IF(Table!C278 = "","",Table!C278)</f>
        <v/>
      </c>
      <c r="D278" s="32" t="str">
        <f>IF(Table!D278 = "","",Table!D278)</f>
        <v/>
      </c>
      <c r="E278" s="32" t="str">
        <f>IF(Table!E278 = "","",Table!E278)</f>
        <v/>
      </c>
      <c r="F278" s="32" t="str">
        <f>IF(Table!F278 = "","",Table!F278)</f>
        <v/>
      </c>
      <c r="G278" s="91"/>
      <c r="I278" s="84" t="str">
        <f>IFERROR(VLOOKUP(A278,Downlink!A:L,12,TRUE),"")</f>
        <v/>
      </c>
      <c r="K278" s="31" t="str">
        <f>IFERROR(VLOOKUP(A278,Table!$I$4:$O$3000,1,TRUE),"")</f>
        <v/>
      </c>
      <c r="L278" s="31" t="str">
        <f>IFERROR(INDEX(Table!I:O,MATCH(K278,Table!I:I,0),2),"")</f>
        <v/>
      </c>
      <c r="M278" s="31" t="str">
        <f>IFERROR(INDEX(Table!I:O,MATCH(K278,Table!I:I,0),3),"")</f>
        <v/>
      </c>
      <c r="N278" s="32" t="str">
        <f>IFERROR(INDEX(Table!I:O,MATCH(K278,Table!I:I,0),4),"")</f>
        <v/>
      </c>
      <c r="O278" s="32" t="str">
        <f>IFERROR(INDEX(Table!I:O,MATCH(K278,Table!I:I,0),5),"")</f>
        <v/>
      </c>
      <c r="P278" s="32" t="str">
        <f>IFERROR(INDEX(Table!I:O,MATCH(K278,Table!I:I,0),6),"")</f>
        <v/>
      </c>
      <c r="Q278" s="89" t="str">
        <f t="shared" si="12"/>
        <v/>
      </c>
      <c r="R278" s="89" t="str">
        <f t="shared" si="13"/>
        <v/>
      </c>
      <c r="S278" s="82"/>
      <c r="U278" s="37" t="e">
        <f t="shared" si="14"/>
        <v>#VALUE!</v>
      </c>
    </row>
    <row r="279" spans="1:21" x14ac:dyDescent="0.25">
      <c r="A279" s="31" t="str">
        <f>IF(Table!A279 = "","",Table!A279)</f>
        <v/>
      </c>
      <c r="B279" s="31" t="str">
        <f>IF(Table!B279 = "","",Table!B279)</f>
        <v/>
      </c>
      <c r="C279" s="31" t="str">
        <f>IF(Table!C279 = "","",Table!C279)</f>
        <v/>
      </c>
      <c r="D279" s="32" t="str">
        <f>IF(Table!D279 = "","",Table!D279)</f>
        <v/>
      </c>
      <c r="E279" s="32" t="str">
        <f>IF(Table!E279 = "","",Table!E279)</f>
        <v/>
      </c>
      <c r="F279" s="32" t="str">
        <f>IF(Table!F279 = "","",Table!F279)</f>
        <v/>
      </c>
      <c r="G279" s="91"/>
      <c r="I279" s="84" t="str">
        <f>IFERROR(VLOOKUP(A279,Downlink!A:L,12,TRUE),"")</f>
        <v/>
      </c>
      <c r="K279" s="31" t="str">
        <f>IFERROR(VLOOKUP(A279,Table!$I$4:$O$3000,1,TRUE),"")</f>
        <v/>
      </c>
      <c r="L279" s="31" t="str">
        <f>IFERROR(INDEX(Table!I:O,MATCH(K279,Table!I:I,0),2),"")</f>
        <v/>
      </c>
      <c r="M279" s="31" t="str">
        <f>IFERROR(INDEX(Table!I:O,MATCH(K279,Table!I:I,0),3),"")</f>
        <v/>
      </c>
      <c r="N279" s="32" t="str">
        <f>IFERROR(INDEX(Table!I:O,MATCH(K279,Table!I:I,0),4),"")</f>
        <v/>
      </c>
      <c r="O279" s="32" t="str">
        <f>IFERROR(INDEX(Table!I:O,MATCH(K279,Table!I:I,0),5),"")</f>
        <v/>
      </c>
      <c r="P279" s="32" t="str">
        <f>IFERROR(INDEX(Table!I:O,MATCH(K279,Table!I:I,0),6),"")</f>
        <v/>
      </c>
      <c r="Q279" s="89" t="str">
        <f t="shared" si="12"/>
        <v/>
      </c>
      <c r="R279" s="89" t="str">
        <f t="shared" si="13"/>
        <v/>
      </c>
      <c r="S279" s="82"/>
      <c r="U279" s="37" t="e">
        <f t="shared" si="14"/>
        <v>#VALUE!</v>
      </c>
    </row>
    <row r="280" spans="1:21" x14ac:dyDescent="0.25">
      <c r="A280" s="31" t="str">
        <f>IF(Table!A280 = "","",Table!A280)</f>
        <v/>
      </c>
      <c r="B280" s="31" t="str">
        <f>IF(Table!B280 = "","",Table!B280)</f>
        <v/>
      </c>
      <c r="C280" s="31" t="str">
        <f>IF(Table!C280 = "","",Table!C280)</f>
        <v/>
      </c>
      <c r="D280" s="32" t="str">
        <f>IF(Table!D280 = "","",Table!D280)</f>
        <v/>
      </c>
      <c r="E280" s="32" t="str">
        <f>IF(Table!E280 = "","",Table!E280)</f>
        <v/>
      </c>
      <c r="F280" s="32" t="str">
        <f>IF(Table!F280 = "","",Table!F280)</f>
        <v/>
      </c>
      <c r="G280" s="91"/>
      <c r="I280" s="84" t="str">
        <f>IFERROR(VLOOKUP(A280,Downlink!A:L,12,TRUE),"")</f>
        <v/>
      </c>
      <c r="K280" s="31" t="str">
        <f>IFERROR(VLOOKUP(A280,Table!$I$4:$O$3000,1,TRUE),"")</f>
        <v/>
      </c>
      <c r="L280" s="31" t="str">
        <f>IFERROR(INDEX(Table!I:O,MATCH(K280,Table!I:I,0),2),"")</f>
        <v/>
      </c>
      <c r="M280" s="31" t="str">
        <f>IFERROR(INDEX(Table!I:O,MATCH(K280,Table!I:I,0),3),"")</f>
        <v/>
      </c>
      <c r="N280" s="32" t="str">
        <f>IFERROR(INDEX(Table!I:O,MATCH(K280,Table!I:I,0),4),"")</f>
        <v/>
      </c>
      <c r="O280" s="32" t="str">
        <f>IFERROR(INDEX(Table!I:O,MATCH(K280,Table!I:I,0),5),"")</f>
        <v/>
      </c>
      <c r="P280" s="32" t="str">
        <f>IFERROR(INDEX(Table!I:O,MATCH(K280,Table!I:I,0),6),"")</f>
        <v/>
      </c>
      <c r="Q280" s="89" t="str">
        <f t="shared" si="12"/>
        <v/>
      </c>
      <c r="R280" s="89" t="str">
        <f t="shared" si="13"/>
        <v/>
      </c>
      <c r="S280" s="82"/>
      <c r="U280" s="37" t="e">
        <f t="shared" si="14"/>
        <v>#VALUE!</v>
      </c>
    </row>
    <row r="281" spans="1:21" x14ac:dyDescent="0.25">
      <c r="A281" s="31" t="str">
        <f>IF(Table!A281 = "","",Table!A281)</f>
        <v/>
      </c>
      <c r="B281" s="31" t="str">
        <f>IF(Table!B281 = "","",Table!B281)</f>
        <v/>
      </c>
      <c r="C281" s="31" t="str">
        <f>IF(Table!C281 = "","",Table!C281)</f>
        <v/>
      </c>
      <c r="D281" s="32" t="str">
        <f>IF(Table!D281 = "","",Table!D281)</f>
        <v/>
      </c>
      <c r="E281" s="32" t="str">
        <f>IF(Table!E281 = "","",Table!E281)</f>
        <v/>
      </c>
      <c r="F281" s="32" t="str">
        <f>IF(Table!F281 = "","",Table!F281)</f>
        <v/>
      </c>
      <c r="G281" s="91"/>
      <c r="I281" s="84" t="str">
        <f>IFERROR(VLOOKUP(A281,Downlink!A:L,12,TRUE),"")</f>
        <v/>
      </c>
      <c r="K281" s="31" t="str">
        <f>IFERROR(VLOOKUP(A281,Table!$I$4:$O$3000,1,TRUE),"")</f>
        <v/>
      </c>
      <c r="L281" s="31" t="str">
        <f>IFERROR(INDEX(Table!I:O,MATCH(K281,Table!I:I,0),2),"")</f>
        <v/>
      </c>
      <c r="M281" s="31" t="str">
        <f>IFERROR(INDEX(Table!I:O,MATCH(K281,Table!I:I,0),3),"")</f>
        <v/>
      </c>
      <c r="N281" s="32" t="str">
        <f>IFERROR(INDEX(Table!I:O,MATCH(K281,Table!I:I,0),4),"")</f>
        <v/>
      </c>
      <c r="O281" s="32" t="str">
        <f>IFERROR(INDEX(Table!I:O,MATCH(K281,Table!I:I,0),5),"")</f>
        <v/>
      </c>
      <c r="P281" s="32" t="str">
        <f>IFERROR(INDEX(Table!I:O,MATCH(K281,Table!I:I,0),6),"")</f>
        <v/>
      </c>
      <c r="Q281" s="89" t="str">
        <f t="shared" si="12"/>
        <v/>
      </c>
      <c r="R281" s="89" t="str">
        <f t="shared" si="13"/>
        <v/>
      </c>
      <c r="S281" s="82"/>
      <c r="U281" s="37" t="e">
        <f t="shared" si="14"/>
        <v>#VALUE!</v>
      </c>
    </row>
    <row r="282" spans="1:21" x14ac:dyDescent="0.25">
      <c r="A282" s="31" t="str">
        <f>IF(Table!A282 = "","",Table!A282)</f>
        <v/>
      </c>
      <c r="B282" s="31" t="str">
        <f>IF(Table!B282 = "","",Table!B282)</f>
        <v/>
      </c>
      <c r="C282" s="31" t="str">
        <f>IF(Table!C282 = "","",Table!C282)</f>
        <v/>
      </c>
      <c r="D282" s="32" t="str">
        <f>IF(Table!D282 = "","",Table!D282)</f>
        <v/>
      </c>
      <c r="E282" s="32" t="str">
        <f>IF(Table!E282 = "","",Table!E282)</f>
        <v/>
      </c>
      <c r="F282" s="32" t="str">
        <f>IF(Table!F282 = "","",Table!F282)</f>
        <v/>
      </c>
      <c r="G282" s="91"/>
      <c r="I282" s="84" t="str">
        <f>IFERROR(VLOOKUP(A282,Downlink!A:L,12,TRUE),"")</f>
        <v/>
      </c>
      <c r="K282" s="31" t="str">
        <f>IFERROR(VLOOKUP(A282,Table!$I$4:$O$3000,1,TRUE),"")</f>
        <v/>
      </c>
      <c r="L282" s="31" t="str">
        <f>IFERROR(INDEX(Table!I:O,MATCH(K282,Table!I:I,0),2),"")</f>
        <v/>
      </c>
      <c r="M282" s="31" t="str">
        <f>IFERROR(INDEX(Table!I:O,MATCH(K282,Table!I:I,0),3),"")</f>
        <v/>
      </c>
      <c r="N282" s="32" t="str">
        <f>IFERROR(INDEX(Table!I:O,MATCH(K282,Table!I:I,0),4),"")</f>
        <v/>
      </c>
      <c r="O282" s="32" t="str">
        <f>IFERROR(INDEX(Table!I:O,MATCH(K282,Table!I:I,0),5),"")</f>
        <v/>
      </c>
      <c r="P282" s="32" t="str">
        <f>IFERROR(INDEX(Table!I:O,MATCH(K282,Table!I:I,0),6),"")</f>
        <v/>
      </c>
      <c r="Q282" s="89" t="str">
        <f t="shared" si="12"/>
        <v/>
      </c>
      <c r="R282" s="89" t="str">
        <f t="shared" si="13"/>
        <v/>
      </c>
      <c r="S282" s="82"/>
      <c r="U282" s="37" t="e">
        <f t="shared" si="14"/>
        <v>#VALUE!</v>
      </c>
    </row>
    <row r="283" spans="1:21" x14ac:dyDescent="0.25">
      <c r="A283" s="31" t="str">
        <f>IF(Table!A283 = "","",Table!A283)</f>
        <v/>
      </c>
      <c r="B283" s="31" t="str">
        <f>IF(Table!B283 = "","",Table!B283)</f>
        <v/>
      </c>
      <c r="C283" s="31" t="str">
        <f>IF(Table!C283 = "","",Table!C283)</f>
        <v/>
      </c>
      <c r="D283" s="32" t="str">
        <f>IF(Table!D283 = "","",Table!D283)</f>
        <v/>
      </c>
      <c r="E283" s="32" t="str">
        <f>IF(Table!E283 = "","",Table!E283)</f>
        <v/>
      </c>
      <c r="F283" s="32" t="str">
        <f>IF(Table!F283 = "","",Table!F283)</f>
        <v/>
      </c>
      <c r="G283" s="91"/>
      <c r="I283" s="84" t="str">
        <f>IFERROR(VLOOKUP(A283,Downlink!A:L,12,TRUE),"")</f>
        <v/>
      </c>
      <c r="K283" s="31" t="str">
        <f>IFERROR(VLOOKUP(A283,Table!$I$4:$O$3000,1,TRUE),"")</f>
        <v/>
      </c>
      <c r="L283" s="31" t="str">
        <f>IFERROR(INDEX(Table!I:O,MATCH(K283,Table!I:I,0),2),"")</f>
        <v/>
      </c>
      <c r="M283" s="31" t="str">
        <f>IFERROR(INDEX(Table!I:O,MATCH(K283,Table!I:I,0),3),"")</f>
        <v/>
      </c>
      <c r="N283" s="32" t="str">
        <f>IFERROR(INDEX(Table!I:O,MATCH(K283,Table!I:I,0),4),"")</f>
        <v/>
      </c>
      <c r="O283" s="32" t="str">
        <f>IFERROR(INDEX(Table!I:O,MATCH(K283,Table!I:I,0),5),"")</f>
        <v/>
      </c>
      <c r="P283" s="32" t="str">
        <f>IFERROR(INDEX(Table!I:O,MATCH(K283,Table!I:I,0),6),"")</f>
        <v/>
      </c>
      <c r="Q283" s="89" t="str">
        <f t="shared" si="12"/>
        <v/>
      </c>
      <c r="R283" s="89" t="str">
        <f t="shared" si="13"/>
        <v/>
      </c>
      <c r="S283" s="82"/>
      <c r="U283" s="37" t="e">
        <f t="shared" si="14"/>
        <v>#VALUE!</v>
      </c>
    </row>
    <row r="284" spans="1:21" x14ac:dyDescent="0.25">
      <c r="A284" s="31" t="str">
        <f>IF(Table!A284 = "","",Table!A284)</f>
        <v/>
      </c>
      <c r="B284" s="31" t="str">
        <f>IF(Table!B284 = "","",Table!B284)</f>
        <v/>
      </c>
      <c r="C284" s="31" t="str">
        <f>IF(Table!C284 = "","",Table!C284)</f>
        <v/>
      </c>
      <c r="D284" s="32" t="str">
        <f>IF(Table!D284 = "","",Table!D284)</f>
        <v/>
      </c>
      <c r="E284" s="32" t="str">
        <f>IF(Table!E284 = "","",Table!E284)</f>
        <v/>
      </c>
      <c r="F284" s="32" t="str">
        <f>IF(Table!F284 = "","",Table!F284)</f>
        <v/>
      </c>
      <c r="G284" s="91"/>
      <c r="I284" s="84" t="str">
        <f>IFERROR(VLOOKUP(A284,Downlink!A:L,12,TRUE),"")</f>
        <v/>
      </c>
      <c r="K284" s="31" t="str">
        <f>IFERROR(VLOOKUP(A284,Table!$I$4:$O$3000,1,TRUE),"")</f>
        <v/>
      </c>
      <c r="L284" s="31" t="str">
        <f>IFERROR(INDEX(Table!I:O,MATCH(K284,Table!I:I,0),2),"")</f>
        <v/>
      </c>
      <c r="M284" s="31" t="str">
        <f>IFERROR(INDEX(Table!I:O,MATCH(K284,Table!I:I,0),3),"")</f>
        <v/>
      </c>
      <c r="N284" s="32" t="str">
        <f>IFERROR(INDEX(Table!I:O,MATCH(K284,Table!I:I,0),4),"")</f>
        <v/>
      </c>
      <c r="O284" s="32" t="str">
        <f>IFERROR(INDEX(Table!I:O,MATCH(K284,Table!I:I,0),5),"")</f>
        <v/>
      </c>
      <c r="P284" s="32" t="str">
        <f>IFERROR(INDEX(Table!I:O,MATCH(K284,Table!I:I,0),6),"")</f>
        <v/>
      </c>
      <c r="Q284" s="89" t="str">
        <f t="shared" si="12"/>
        <v/>
      </c>
      <c r="R284" s="89" t="str">
        <f t="shared" si="13"/>
        <v/>
      </c>
      <c r="S284" s="82"/>
      <c r="U284" s="37" t="e">
        <f t="shared" si="14"/>
        <v>#VALUE!</v>
      </c>
    </row>
    <row r="285" spans="1:21" x14ac:dyDescent="0.25">
      <c r="A285" s="31" t="str">
        <f>IF(Table!A285 = "","",Table!A285)</f>
        <v/>
      </c>
      <c r="B285" s="31" t="str">
        <f>IF(Table!B285 = "","",Table!B285)</f>
        <v/>
      </c>
      <c r="C285" s="31" t="str">
        <f>IF(Table!C285 = "","",Table!C285)</f>
        <v/>
      </c>
      <c r="D285" s="32" t="str">
        <f>IF(Table!D285 = "","",Table!D285)</f>
        <v/>
      </c>
      <c r="E285" s="32" t="str">
        <f>IF(Table!E285 = "","",Table!E285)</f>
        <v/>
      </c>
      <c r="F285" s="32" t="str">
        <f>IF(Table!F285 = "","",Table!F285)</f>
        <v/>
      </c>
      <c r="G285" s="91"/>
      <c r="I285" s="84" t="str">
        <f>IFERROR(VLOOKUP(A285,Downlink!A:L,12,TRUE),"")</f>
        <v/>
      </c>
      <c r="K285" s="31" t="str">
        <f>IFERROR(VLOOKUP(A285,Table!$I$4:$O$3000,1,TRUE),"")</f>
        <v/>
      </c>
      <c r="L285" s="31" t="str">
        <f>IFERROR(INDEX(Table!I:O,MATCH(K285,Table!I:I,0),2),"")</f>
        <v/>
      </c>
      <c r="M285" s="31" t="str">
        <f>IFERROR(INDEX(Table!I:O,MATCH(K285,Table!I:I,0),3),"")</f>
        <v/>
      </c>
      <c r="N285" s="32" t="str">
        <f>IFERROR(INDEX(Table!I:O,MATCH(K285,Table!I:I,0),4),"")</f>
        <v/>
      </c>
      <c r="O285" s="32" t="str">
        <f>IFERROR(INDEX(Table!I:O,MATCH(K285,Table!I:I,0),5),"")</f>
        <v/>
      </c>
      <c r="P285" s="32" t="str">
        <f>IFERROR(INDEX(Table!I:O,MATCH(K285,Table!I:I,0),6),"")</f>
        <v/>
      </c>
      <c r="Q285" s="89" t="str">
        <f t="shared" si="12"/>
        <v/>
      </c>
      <c r="R285" s="89" t="str">
        <f t="shared" si="13"/>
        <v/>
      </c>
      <c r="S285" s="82"/>
      <c r="U285" s="37" t="e">
        <f t="shared" si="14"/>
        <v>#VALUE!</v>
      </c>
    </row>
    <row r="286" spans="1:21" x14ac:dyDescent="0.25">
      <c r="A286" s="31" t="str">
        <f>IF(Table!A286 = "","",Table!A286)</f>
        <v/>
      </c>
      <c r="B286" s="31" t="str">
        <f>IF(Table!B286 = "","",Table!B286)</f>
        <v/>
      </c>
      <c r="C286" s="31" t="str">
        <f>IF(Table!C286 = "","",Table!C286)</f>
        <v/>
      </c>
      <c r="D286" s="32" t="str">
        <f>IF(Table!D286 = "","",Table!D286)</f>
        <v/>
      </c>
      <c r="E286" s="32" t="str">
        <f>IF(Table!E286 = "","",Table!E286)</f>
        <v/>
      </c>
      <c r="F286" s="32" t="str">
        <f>IF(Table!F286 = "","",Table!F286)</f>
        <v/>
      </c>
      <c r="G286" s="91"/>
      <c r="I286" s="84" t="str">
        <f>IFERROR(VLOOKUP(A286,Downlink!A:L,12,TRUE),"")</f>
        <v/>
      </c>
      <c r="K286" s="31" t="str">
        <f>IFERROR(VLOOKUP(A286,Table!$I$4:$O$3000,1,TRUE),"")</f>
        <v/>
      </c>
      <c r="L286" s="31" t="str">
        <f>IFERROR(INDEX(Table!I:O,MATCH(K286,Table!I:I,0),2),"")</f>
        <v/>
      </c>
      <c r="M286" s="31" t="str">
        <f>IFERROR(INDEX(Table!I:O,MATCH(K286,Table!I:I,0),3),"")</f>
        <v/>
      </c>
      <c r="N286" s="32" t="str">
        <f>IFERROR(INDEX(Table!I:O,MATCH(K286,Table!I:I,0),4),"")</f>
        <v/>
      </c>
      <c r="O286" s="32" t="str">
        <f>IFERROR(INDEX(Table!I:O,MATCH(K286,Table!I:I,0),5),"")</f>
        <v/>
      </c>
      <c r="P286" s="32" t="str">
        <f>IFERROR(INDEX(Table!I:O,MATCH(K286,Table!I:I,0),6),"")</f>
        <v/>
      </c>
      <c r="Q286" s="89" t="str">
        <f t="shared" si="12"/>
        <v/>
      </c>
      <c r="R286" s="89" t="str">
        <f t="shared" si="13"/>
        <v/>
      </c>
      <c r="S286" s="82"/>
      <c r="U286" s="37" t="e">
        <f t="shared" si="14"/>
        <v>#VALUE!</v>
      </c>
    </row>
    <row r="287" spans="1:21" x14ac:dyDescent="0.25">
      <c r="A287" s="31" t="str">
        <f>IF(Table!A287 = "","",Table!A287)</f>
        <v/>
      </c>
      <c r="B287" s="31" t="str">
        <f>IF(Table!B287 = "","",Table!B287)</f>
        <v/>
      </c>
      <c r="C287" s="31" t="str">
        <f>IF(Table!C287 = "","",Table!C287)</f>
        <v/>
      </c>
      <c r="D287" s="32" t="str">
        <f>IF(Table!D287 = "","",Table!D287)</f>
        <v/>
      </c>
      <c r="E287" s="32" t="str">
        <f>IF(Table!E287 = "","",Table!E287)</f>
        <v/>
      </c>
      <c r="F287" s="32" t="str">
        <f>IF(Table!F287 = "","",Table!F287)</f>
        <v/>
      </c>
      <c r="G287" s="91"/>
      <c r="I287" s="84" t="str">
        <f>IFERROR(VLOOKUP(A287,Downlink!A:L,12,TRUE),"")</f>
        <v/>
      </c>
      <c r="K287" s="31" t="str">
        <f>IFERROR(VLOOKUP(A287,Table!$I$4:$O$3000,1,TRUE),"")</f>
        <v/>
      </c>
      <c r="L287" s="31" t="str">
        <f>IFERROR(INDEX(Table!I:O,MATCH(K287,Table!I:I,0),2),"")</f>
        <v/>
      </c>
      <c r="M287" s="31" t="str">
        <f>IFERROR(INDEX(Table!I:O,MATCH(K287,Table!I:I,0),3),"")</f>
        <v/>
      </c>
      <c r="N287" s="32" t="str">
        <f>IFERROR(INDEX(Table!I:O,MATCH(K287,Table!I:I,0),4),"")</f>
        <v/>
      </c>
      <c r="O287" s="32" t="str">
        <f>IFERROR(INDEX(Table!I:O,MATCH(K287,Table!I:I,0),5),"")</f>
        <v/>
      </c>
      <c r="P287" s="32" t="str">
        <f>IFERROR(INDEX(Table!I:O,MATCH(K287,Table!I:I,0),6),"")</f>
        <v/>
      </c>
      <c r="Q287" s="89" t="str">
        <f t="shared" si="12"/>
        <v/>
      </c>
      <c r="R287" s="89" t="str">
        <f t="shared" si="13"/>
        <v/>
      </c>
      <c r="S287" s="82"/>
      <c r="U287" s="37" t="e">
        <f t="shared" si="14"/>
        <v>#VALUE!</v>
      </c>
    </row>
    <row r="288" spans="1:21" x14ac:dyDescent="0.25">
      <c r="A288" s="31" t="str">
        <f>IF(Table!A288 = "","",Table!A288)</f>
        <v/>
      </c>
      <c r="B288" s="31" t="str">
        <f>IF(Table!B288 = "","",Table!B288)</f>
        <v/>
      </c>
      <c r="C288" s="31" t="str">
        <f>IF(Table!C288 = "","",Table!C288)</f>
        <v/>
      </c>
      <c r="D288" s="32" t="str">
        <f>IF(Table!D288 = "","",Table!D288)</f>
        <v/>
      </c>
      <c r="E288" s="32" t="str">
        <f>IF(Table!E288 = "","",Table!E288)</f>
        <v/>
      </c>
      <c r="F288" s="32" t="str">
        <f>IF(Table!F288 = "","",Table!F288)</f>
        <v/>
      </c>
      <c r="G288" s="91"/>
      <c r="I288" s="84" t="str">
        <f>IFERROR(VLOOKUP(A288,Downlink!A:L,12,TRUE),"")</f>
        <v/>
      </c>
      <c r="K288" s="31" t="str">
        <f>IFERROR(VLOOKUP(A288,Table!$I$4:$O$3000,1,TRUE),"")</f>
        <v/>
      </c>
      <c r="L288" s="31" t="str">
        <f>IFERROR(INDEX(Table!I:O,MATCH(K288,Table!I:I,0),2),"")</f>
        <v/>
      </c>
      <c r="M288" s="31" t="str">
        <f>IFERROR(INDEX(Table!I:O,MATCH(K288,Table!I:I,0),3),"")</f>
        <v/>
      </c>
      <c r="N288" s="32" t="str">
        <f>IFERROR(INDEX(Table!I:O,MATCH(K288,Table!I:I,0),4),"")</f>
        <v/>
      </c>
      <c r="O288" s="32" t="str">
        <f>IFERROR(INDEX(Table!I:O,MATCH(K288,Table!I:I,0),5),"")</f>
        <v/>
      </c>
      <c r="P288" s="32" t="str">
        <f>IFERROR(INDEX(Table!I:O,MATCH(K288,Table!I:I,0),6),"")</f>
        <v/>
      </c>
      <c r="Q288" s="89" t="str">
        <f t="shared" si="12"/>
        <v/>
      </c>
      <c r="R288" s="89" t="str">
        <f t="shared" si="13"/>
        <v/>
      </c>
      <c r="S288" s="82"/>
      <c r="U288" s="37" t="e">
        <f t="shared" si="14"/>
        <v>#VALUE!</v>
      </c>
    </row>
    <row r="289" spans="1:21" x14ac:dyDescent="0.25">
      <c r="A289" s="31" t="str">
        <f>IF(Table!A289 = "","",Table!A289)</f>
        <v/>
      </c>
      <c r="B289" s="31" t="str">
        <f>IF(Table!B289 = "","",Table!B289)</f>
        <v/>
      </c>
      <c r="C289" s="31" t="str">
        <f>IF(Table!C289 = "","",Table!C289)</f>
        <v/>
      </c>
      <c r="D289" s="32" t="str">
        <f>IF(Table!D289 = "","",Table!D289)</f>
        <v/>
      </c>
      <c r="E289" s="32" t="str">
        <f>IF(Table!E289 = "","",Table!E289)</f>
        <v/>
      </c>
      <c r="F289" s="32" t="str">
        <f>IF(Table!F289 = "","",Table!F289)</f>
        <v/>
      </c>
      <c r="G289" s="91"/>
      <c r="I289" s="84" t="str">
        <f>IFERROR(VLOOKUP(A289,Downlink!A:L,12,TRUE),"")</f>
        <v/>
      </c>
      <c r="K289" s="31" t="str">
        <f>IFERROR(VLOOKUP(A289,Table!$I$4:$O$3000,1,TRUE),"")</f>
        <v/>
      </c>
      <c r="L289" s="31" t="str">
        <f>IFERROR(INDEX(Table!I:O,MATCH(K289,Table!I:I,0),2),"")</f>
        <v/>
      </c>
      <c r="M289" s="31" t="str">
        <f>IFERROR(INDEX(Table!I:O,MATCH(K289,Table!I:I,0),3),"")</f>
        <v/>
      </c>
      <c r="N289" s="32" t="str">
        <f>IFERROR(INDEX(Table!I:O,MATCH(K289,Table!I:I,0),4),"")</f>
        <v/>
      </c>
      <c r="O289" s="32" t="str">
        <f>IFERROR(INDEX(Table!I:O,MATCH(K289,Table!I:I,0),5),"")</f>
        <v/>
      </c>
      <c r="P289" s="32" t="str">
        <f>IFERROR(INDEX(Table!I:O,MATCH(K289,Table!I:I,0),6),"")</f>
        <v/>
      </c>
      <c r="Q289" s="89" t="str">
        <f t="shared" si="12"/>
        <v/>
      </c>
      <c r="R289" s="89" t="str">
        <f t="shared" si="13"/>
        <v/>
      </c>
      <c r="S289" s="82"/>
      <c r="U289" s="37" t="e">
        <f t="shared" si="14"/>
        <v>#VALUE!</v>
      </c>
    </row>
    <row r="290" spans="1:21" x14ac:dyDescent="0.25">
      <c r="A290" s="31" t="str">
        <f>IF(Table!A290 = "","",Table!A290)</f>
        <v/>
      </c>
      <c r="B290" s="31" t="str">
        <f>IF(Table!B290 = "","",Table!B290)</f>
        <v/>
      </c>
      <c r="C290" s="31" t="str">
        <f>IF(Table!C290 = "","",Table!C290)</f>
        <v/>
      </c>
      <c r="D290" s="32" t="str">
        <f>IF(Table!D290 = "","",Table!D290)</f>
        <v/>
      </c>
      <c r="E290" s="32" t="str">
        <f>IF(Table!E290 = "","",Table!E290)</f>
        <v/>
      </c>
      <c r="F290" s="32" t="str">
        <f>IF(Table!F290 = "","",Table!F290)</f>
        <v/>
      </c>
      <c r="G290" s="91"/>
      <c r="I290" s="84" t="str">
        <f>IFERROR(VLOOKUP(A290,Downlink!A:L,12,TRUE),"")</f>
        <v/>
      </c>
      <c r="K290" s="31" t="str">
        <f>IFERROR(VLOOKUP(A290,Table!$I$4:$O$3000,1,TRUE),"")</f>
        <v/>
      </c>
      <c r="L290" s="31" t="str">
        <f>IFERROR(INDEX(Table!I:O,MATCH(K290,Table!I:I,0),2),"")</f>
        <v/>
      </c>
      <c r="M290" s="31" t="str">
        <f>IFERROR(INDEX(Table!I:O,MATCH(K290,Table!I:I,0),3),"")</f>
        <v/>
      </c>
      <c r="N290" s="32" t="str">
        <f>IFERROR(INDEX(Table!I:O,MATCH(K290,Table!I:I,0),4),"")</f>
        <v/>
      </c>
      <c r="O290" s="32" t="str">
        <f>IFERROR(INDEX(Table!I:O,MATCH(K290,Table!I:I,0),5),"")</f>
        <v/>
      </c>
      <c r="P290" s="32" t="str">
        <f>IFERROR(INDEX(Table!I:O,MATCH(K290,Table!I:I,0),6),"")</f>
        <v/>
      </c>
      <c r="Q290" s="89" t="str">
        <f t="shared" si="12"/>
        <v/>
      </c>
      <c r="R290" s="89" t="str">
        <f t="shared" si="13"/>
        <v/>
      </c>
      <c r="S290" s="82"/>
      <c r="U290" s="37" t="e">
        <f t="shared" si="14"/>
        <v>#VALUE!</v>
      </c>
    </row>
    <row r="291" spans="1:21" x14ac:dyDescent="0.25">
      <c r="A291" s="31" t="str">
        <f>IF(Table!A291 = "","",Table!A291)</f>
        <v/>
      </c>
      <c r="B291" s="31" t="str">
        <f>IF(Table!B291 = "","",Table!B291)</f>
        <v/>
      </c>
      <c r="C291" s="31" t="str">
        <f>IF(Table!C291 = "","",Table!C291)</f>
        <v/>
      </c>
      <c r="D291" s="32" t="str">
        <f>IF(Table!D291 = "","",Table!D291)</f>
        <v/>
      </c>
      <c r="E291" s="32" t="str">
        <f>IF(Table!E291 = "","",Table!E291)</f>
        <v/>
      </c>
      <c r="F291" s="32" t="str">
        <f>IF(Table!F291 = "","",Table!F291)</f>
        <v/>
      </c>
      <c r="G291" s="91"/>
      <c r="I291" s="84" t="str">
        <f>IFERROR(VLOOKUP(A291,Downlink!A:L,12,TRUE),"")</f>
        <v/>
      </c>
      <c r="K291" s="31" t="str">
        <f>IFERROR(VLOOKUP(A291,Table!$I$4:$O$3000,1,TRUE),"")</f>
        <v/>
      </c>
      <c r="L291" s="31" t="str">
        <f>IFERROR(INDEX(Table!I:O,MATCH(K291,Table!I:I,0),2),"")</f>
        <v/>
      </c>
      <c r="M291" s="31" t="str">
        <f>IFERROR(INDEX(Table!I:O,MATCH(K291,Table!I:I,0),3),"")</f>
        <v/>
      </c>
      <c r="N291" s="32" t="str">
        <f>IFERROR(INDEX(Table!I:O,MATCH(K291,Table!I:I,0),4),"")</f>
        <v/>
      </c>
      <c r="O291" s="32" t="str">
        <f>IFERROR(INDEX(Table!I:O,MATCH(K291,Table!I:I,0),5),"")</f>
        <v/>
      </c>
      <c r="P291" s="32" t="str">
        <f>IFERROR(INDEX(Table!I:O,MATCH(K291,Table!I:I,0),6),"")</f>
        <v/>
      </c>
      <c r="Q291" s="89" t="str">
        <f t="shared" si="12"/>
        <v/>
      </c>
      <c r="R291" s="89" t="str">
        <f t="shared" si="13"/>
        <v/>
      </c>
      <c r="S291" s="82"/>
      <c r="U291" s="37" t="e">
        <f t="shared" si="14"/>
        <v>#VALUE!</v>
      </c>
    </row>
    <row r="292" spans="1:21" x14ac:dyDescent="0.25">
      <c r="A292" s="31" t="str">
        <f>IF(Table!A292 = "","",Table!A292)</f>
        <v/>
      </c>
      <c r="B292" s="31" t="str">
        <f>IF(Table!B292 = "","",Table!B292)</f>
        <v/>
      </c>
      <c r="C292" s="31" t="str">
        <f>IF(Table!C292 = "","",Table!C292)</f>
        <v/>
      </c>
      <c r="D292" s="32" t="str">
        <f>IF(Table!D292 = "","",Table!D292)</f>
        <v/>
      </c>
      <c r="E292" s="32" t="str">
        <f>IF(Table!E292 = "","",Table!E292)</f>
        <v/>
      </c>
      <c r="F292" s="32" t="str">
        <f>IF(Table!F292 = "","",Table!F292)</f>
        <v/>
      </c>
      <c r="G292" s="91"/>
      <c r="I292" s="84" t="str">
        <f>IFERROR(VLOOKUP(A292,Downlink!A:L,12,TRUE),"")</f>
        <v/>
      </c>
      <c r="K292" s="31" t="str">
        <f>IFERROR(VLOOKUP(A292,Table!$I$4:$O$3000,1,TRUE),"")</f>
        <v/>
      </c>
      <c r="L292" s="31" t="str">
        <f>IFERROR(INDEX(Table!I:O,MATCH(K292,Table!I:I,0),2),"")</f>
        <v/>
      </c>
      <c r="M292" s="31" t="str">
        <f>IFERROR(INDEX(Table!I:O,MATCH(K292,Table!I:I,0),3),"")</f>
        <v/>
      </c>
      <c r="N292" s="32" t="str">
        <f>IFERROR(INDEX(Table!I:O,MATCH(K292,Table!I:I,0),4),"")</f>
        <v/>
      </c>
      <c r="O292" s="32" t="str">
        <f>IFERROR(INDEX(Table!I:O,MATCH(K292,Table!I:I,0),5),"")</f>
        <v/>
      </c>
      <c r="P292" s="32" t="str">
        <f>IFERROR(INDEX(Table!I:O,MATCH(K292,Table!I:I,0),6),"")</f>
        <v/>
      </c>
      <c r="Q292" s="89" t="str">
        <f t="shared" si="12"/>
        <v/>
      </c>
      <c r="R292" s="89" t="str">
        <f t="shared" si="13"/>
        <v/>
      </c>
      <c r="S292" s="82"/>
      <c r="U292" s="37" t="e">
        <f t="shared" si="14"/>
        <v>#VALUE!</v>
      </c>
    </row>
    <row r="293" spans="1:21" x14ac:dyDescent="0.25">
      <c r="A293" s="31" t="str">
        <f>IF(Table!A293 = "","",Table!A293)</f>
        <v/>
      </c>
      <c r="B293" s="31" t="str">
        <f>IF(Table!B293 = "","",Table!B293)</f>
        <v/>
      </c>
      <c r="C293" s="31" t="str">
        <f>IF(Table!C293 = "","",Table!C293)</f>
        <v/>
      </c>
      <c r="D293" s="32" t="str">
        <f>IF(Table!D293 = "","",Table!D293)</f>
        <v/>
      </c>
      <c r="E293" s="32" t="str">
        <f>IF(Table!E293 = "","",Table!E293)</f>
        <v/>
      </c>
      <c r="F293" s="32" t="str">
        <f>IF(Table!F293 = "","",Table!F293)</f>
        <v/>
      </c>
      <c r="G293" s="91"/>
      <c r="I293" s="84" t="str">
        <f>IFERROR(VLOOKUP(A293,Downlink!A:L,12,TRUE),"")</f>
        <v/>
      </c>
      <c r="K293" s="31" t="str">
        <f>IFERROR(VLOOKUP(A293,Table!$I$4:$O$3000,1,TRUE),"")</f>
        <v/>
      </c>
      <c r="L293" s="31" t="str">
        <f>IFERROR(INDEX(Table!I:O,MATCH(K293,Table!I:I,0),2),"")</f>
        <v/>
      </c>
      <c r="M293" s="31" t="str">
        <f>IFERROR(INDEX(Table!I:O,MATCH(K293,Table!I:I,0),3),"")</f>
        <v/>
      </c>
      <c r="N293" s="32" t="str">
        <f>IFERROR(INDEX(Table!I:O,MATCH(K293,Table!I:I,0),4),"")</f>
        <v/>
      </c>
      <c r="O293" s="32" t="str">
        <f>IFERROR(INDEX(Table!I:O,MATCH(K293,Table!I:I,0),5),"")</f>
        <v/>
      </c>
      <c r="P293" s="32" t="str">
        <f>IFERROR(INDEX(Table!I:O,MATCH(K293,Table!I:I,0),6),"")</f>
        <v/>
      </c>
      <c r="Q293" s="89" t="str">
        <f t="shared" si="12"/>
        <v/>
      </c>
      <c r="R293" s="89" t="str">
        <f t="shared" si="13"/>
        <v/>
      </c>
      <c r="S293" s="82"/>
      <c r="U293" s="37" t="e">
        <f t="shared" si="14"/>
        <v>#VALUE!</v>
      </c>
    </row>
    <row r="294" spans="1:21" x14ac:dyDescent="0.25">
      <c r="A294" s="31" t="str">
        <f>IF(Table!A294 = "","",Table!A294)</f>
        <v/>
      </c>
      <c r="B294" s="31" t="str">
        <f>IF(Table!B294 = "","",Table!B294)</f>
        <v/>
      </c>
      <c r="C294" s="31" t="str">
        <f>IF(Table!C294 = "","",Table!C294)</f>
        <v/>
      </c>
      <c r="D294" s="32" t="str">
        <f>IF(Table!D294 = "","",Table!D294)</f>
        <v/>
      </c>
      <c r="E294" s="32" t="str">
        <f>IF(Table!E294 = "","",Table!E294)</f>
        <v/>
      </c>
      <c r="F294" s="32" t="str">
        <f>IF(Table!F294 = "","",Table!F294)</f>
        <v/>
      </c>
      <c r="G294" s="91"/>
      <c r="I294" s="84" t="str">
        <f>IFERROR(VLOOKUP(A294,Downlink!A:L,12,TRUE),"")</f>
        <v/>
      </c>
      <c r="K294" s="31" t="str">
        <f>IFERROR(VLOOKUP(A294,Table!$I$4:$O$3000,1,TRUE),"")</f>
        <v/>
      </c>
      <c r="L294" s="31" t="str">
        <f>IFERROR(INDEX(Table!I:O,MATCH(K294,Table!I:I,0),2),"")</f>
        <v/>
      </c>
      <c r="M294" s="31" t="str">
        <f>IFERROR(INDEX(Table!I:O,MATCH(K294,Table!I:I,0),3),"")</f>
        <v/>
      </c>
      <c r="N294" s="32" t="str">
        <f>IFERROR(INDEX(Table!I:O,MATCH(K294,Table!I:I,0),4),"")</f>
        <v/>
      </c>
      <c r="O294" s="32" t="str">
        <f>IFERROR(INDEX(Table!I:O,MATCH(K294,Table!I:I,0),5),"")</f>
        <v/>
      </c>
      <c r="P294" s="32" t="str">
        <f>IFERROR(INDEX(Table!I:O,MATCH(K294,Table!I:I,0),6),"")</f>
        <v/>
      </c>
      <c r="Q294" s="89" t="str">
        <f t="shared" si="12"/>
        <v/>
      </c>
      <c r="R294" s="89" t="str">
        <f t="shared" si="13"/>
        <v/>
      </c>
      <c r="S294" s="82"/>
      <c r="U294" s="37" t="e">
        <f t="shared" si="14"/>
        <v>#VALUE!</v>
      </c>
    </row>
    <row r="295" spans="1:21" x14ac:dyDescent="0.25">
      <c r="A295" s="31" t="str">
        <f>IF(Table!A295 = "","",Table!A295)</f>
        <v/>
      </c>
      <c r="B295" s="31" t="str">
        <f>IF(Table!B295 = "","",Table!B295)</f>
        <v/>
      </c>
      <c r="C295" s="31" t="str">
        <f>IF(Table!C295 = "","",Table!C295)</f>
        <v/>
      </c>
      <c r="D295" s="32" t="str">
        <f>IF(Table!D295 = "","",Table!D295)</f>
        <v/>
      </c>
      <c r="E295" s="32" t="str">
        <f>IF(Table!E295 = "","",Table!E295)</f>
        <v/>
      </c>
      <c r="F295" s="32" t="str">
        <f>IF(Table!F295 = "","",Table!F295)</f>
        <v/>
      </c>
      <c r="G295" s="91"/>
      <c r="I295" s="84" t="str">
        <f>IFERROR(VLOOKUP(A295,Downlink!A:L,12,TRUE),"")</f>
        <v/>
      </c>
      <c r="K295" s="31" t="str">
        <f>IFERROR(VLOOKUP(A295,Table!$I$4:$O$3000,1,TRUE),"")</f>
        <v/>
      </c>
      <c r="L295" s="31" t="str">
        <f>IFERROR(INDEX(Table!I:O,MATCH(K295,Table!I:I,0),2),"")</f>
        <v/>
      </c>
      <c r="M295" s="31" t="str">
        <f>IFERROR(INDEX(Table!I:O,MATCH(K295,Table!I:I,0),3),"")</f>
        <v/>
      </c>
      <c r="N295" s="32" t="str">
        <f>IFERROR(INDEX(Table!I:O,MATCH(K295,Table!I:I,0),4),"")</f>
        <v/>
      </c>
      <c r="O295" s="32" t="str">
        <f>IFERROR(INDEX(Table!I:O,MATCH(K295,Table!I:I,0),5),"")</f>
        <v/>
      </c>
      <c r="P295" s="32" t="str">
        <f>IFERROR(INDEX(Table!I:O,MATCH(K295,Table!I:I,0),6),"")</f>
        <v/>
      </c>
      <c r="Q295" s="89" t="str">
        <f t="shared" si="12"/>
        <v/>
      </c>
      <c r="R295" s="89" t="str">
        <f t="shared" si="13"/>
        <v/>
      </c>
      <c r="S295" s="82"/>
      <c r="U295" s="37" t="e">
        <f t="shared" si="14"/>
        <v>#VALUE!</v>
      </c>
    </row>
    <row r="296" spans="1:21" x14ac:dyDescent="0.25">
      <c r="A296" s="31" t="str">
        <f>IF(Table!A296 = "","",Table!A296)</f>
        <v/>
      </c>
      <c r="B296" s="31" t="str">
        <f>IF(Table!B296 = "","",Table!B296)</f>
        <v/>
      </c>
      <c r="C296" s="31" t="str">
        <f>IF(Table!C296 = "","",Table!C296)</f>
        <v/>
      </c>
      <c r="D296" s="32" t="str">
        <f>IF(Table!D296 = "","",Table!D296)</f>
        <v/>
      </c>
      <c r="E296" s="32" t="str">
        <f>IF(Table!E296 = "","",Table!E296)</f>
        <v/>
      </c>
      <c r="F296" s="32" t="str">
        <f>IF(Table!F296 = "","",Table!F296)</f>
        <v/>
      </c>
      <c r="G296" s="91"/>
      <c r="I296" s="84" t="str">
        <f>IFERROR(VLOOKUP(A296,Downlink!A:L,12,TRUE),"")</f>
        <v/>
      </c>
      <c r="K296" s="31" t="str">
        <f>IFERROR(VLOOKUP(A296,Table!$I$4:$O$3000,1,TRUE),"")</f>
        <v/>
      </c>
      <c r="L296" s="31" t="str">
        <f>IFERROR(INDEX(Table!I:O,MATCH(K296,Table!I:I,0),2),"")</f>
        <v/>
      </c>
      <c r="M296" s="31" t="str">
        <f>IFERROR(INDEX(Table!I:O,MATCH(K296,Table!I:I,0),3),"")</f>
        <v/>
      </c>
      <c r="N296" s="32" t="str">
        <f>IFERROR(INDEX(Table!I:O,MATCH(K296,Table!I:I,0),4),"")</f>
        <v/>
      </c>
      <c r="O296" s="32" t="str">
        <f>IFERROR(INDEX(Table!I:O,MATCH(K296,Table!I:I,0),5),"")</f>
        <v/>
      </c>
      <c r="P296" s="32" t="str">
        <f>IFERROR(INDEX(Table!I:O,MATCH(K296,Table!I:I,0),6),"")</f>
        <v/>
      </c>
      <c r="Q296" s="89" t="str">
        <f t="shared" si="12"/>
        <v/>
      </c>
      <c r="R296" s="89" t="str">
        <f t="shared" si="13"/>
        <v/>
      </c>
      <c r="S296" s="82"/>
      <c r="U296" s="37" t="e">
        <f t="shared" si="14"/>
        <v>#VALUE!</v>
      </c>
    </row>
    <row r="297" spans="1:21" x14ac:dyDescent="0.25">
      <c r="A297" s="31" t="str">
        <f>IF(Table!A297 = "","",Table!A297)</f>
        <v/>
      </c>
      <c r="B297" s="31" t="str">
        <f>IF(Table!B297 = "","",Table!B297)</f>
        <v/>
      </c>
      <c r="C297" s="31" t="str">
        <f>IF(Table!C297 = "","",Table!C297)</f>
        <v/>
      </c>
      <c r="D297" s="32" t="str">
        <f>IF(Table!D297 = "","",Table!D297)</f>
        <v/>
      </c>
      <c r="E297" s="32" t="str">
        <f>IF(Table!E297 = "","",Table!E297)</f>
        <v/>
      </c>
      <c r="F297" s="32" t="str">
        <f>IF(Table!F297 = "","",Table!F297)</f>
        <v/>
      </c>
      <c r="G297" s="91"/>
      <c r="I297" s="84" t="str">
        <f>IFERROR(VLOOKUP(A297,Downlink!A:L,12,TRUE),"")</f>
        <v/>
      </c>
      <c r="K297" s="31" t="str">
        <f>IFERROR(VLOOKUP(A297,Table!$I$4:$O$3000,1,TRUE),"")</f>
        <v/>
      </c>
      <c r="L297" s="31" t="str">
        <f>IFERROR(INDEX(Table!I:O,MATCH(K297,Table!I:I,0),2),"")</f>
        <v/>
      </c>
      <c r="M297" s="31" t="str">
        <f>IFERROR(INDEX(Table!I:O,MATCH(K297,Table!I:I,0),3),"")</f>
        <v/>
      </c>
      <c r="N297" s="32" t="str">
        <f>IFERROR(INDEX(Table!I:O,MATCH(K297,Table!I:I,0),4),"")</f>
        <v/>
      </c>
      <c r="O297" s="32" t="str">
        <f>IFERROR(INDEX(Table!I:O,MATCH(K297,Table!I:I,0),5),"")</f>
        <v/>
      </c>
      <c r="P297" s="32" t="str">
        <f>IFERROR(INDEX(Table!I:O,MATCH(K297,Table!I:I,0),6),"")</f>
        <v/>
      </c>
      <c r="Q297" s="89" t="str">
        <f t="shared" si="12"/>
        <v/>
      </c>
      <c r="R297" s="89" t="str">
        <f t="shared" si="13"/>
        <v/>
      </c>
      <c r="S297" s="82"/>
      <c r="U297" s="37" t="e">
        <f t="shared" si="14"/>
        <v>#VALUE!</v>
      </c>
    </row>
    <row r="298" spans="1:21" x14ac:dyDescent="0.25">
      <c r="A298" s="31" t="str">
        <f>IF(Table!A298 = "","",Table!A298)</f>
        <v/>
      </c>
      <c r="B298" s="31" t="str">
        <f>IF(Table!B298 = "","",Table!B298)</f>
        <v/>
      </c>
      <c r="C298" s="31" t="str">
        <f>IF(Table!C298 = "","",Table!C298)</f>
        <v/>
      </c>
      <c r="D298" s="32" t="str">
        <f>IF(Table!D298 = "","",Table!D298)</f>
        <v/>
      </c>
      <c r="E298" s="32" t="str">
        <f>IF(Table!E298 = "","",Table!E298)</f>
        <v/>
      </c>
      <c r="F298" s="32" t="str">
        <f>IF(Table!F298 = "","",Table!F298)</f>
        <v/>
      </c>
      <c r="G298" s="91"/>
      <c r="I298" s="84" t="str">
        <f>IFERROR(VLOOKUP(A298,Downlink!A:L,12,TRUE),"")</f>
        <v/>
      </c>
      <c r="K298" s="31" t="str">
        <f>IFERROR(VLOOKUP(A298,Table!$I$4:$O$3000,1,TRUE),"")</f>
        <v/>
      </c>
      <c r="L298" s="31" t="str">
        <f>IFERROR(INDEX(Table!I:O,MATCH(K298,Table!I:I,0),2),"")</f>
        <v/>
      </c>
      <c r="M298" s="31" t="str">
        <f>IFERROR(INDEX(Table!I:O,MATCH(K298,Table!I:I,0),3),"")</f>
        <v/>
      </c>
      <c r="N298" s="32" t="str">
        <f>IFERROR(INDEX(Table!I:O,MATCH(K298,Table!I:I,0),4),"")</f>
        <v/>
      </c>
      <c r="O298" s="32" t="str">
        <f>IFERROR(INDEX(Table!I:O,MATCH(K298,Table!I:I,0),5),"")</f>
        <v/>
      </c>
      <c r="P298" s="32" t="str">
        <f>IFERROR(INDEX(Table!I:O,MATCH(K298,Table!I:I,0),6),"")</f>
        <v/>
      </c>
      <c r="Q298" s="89" t="str">
        <f t="shared" si="12"/>
        <v/>
      </c>
      <c r="R298" s="89" t="str">
        <f t="shared" si="13"/>
        <v/>
      </c>
      <c r="S298" s="82"/>
      <c r="U298" s="37" t="e">
        <f t="shared" si="14"/>
        <v>#VALUE!</v>
      </c>
    </row>
    <row r="299" spans="1:21" x14ac:dyDescent="0.25">
      <c r="A299" s="31" t="str">
        <f>IF(Table!A299 = "","",Table!A299)</f>
        <v/>
      </c>
      <c r="B299" s="31" t="str">
        <f>IF(Table!B299 = "","",Table!B299)</f>
        <v/>
      </c>
      <c r="C299" s="31" t="str">
        <f>IF(Table!C299 = "","",Table!C299)</f>
        <v/>
      </c>
      <c r="D299" s="32" t="str">
        <f>IF(Table!D299 = "","",Table!D299)</f>
        <v/>
      </c>
      <c r="E299" s="32" t="str">
        <f>IF(Table!E299 = "","",Table!E299)</f>
        <v/>
      </c>
      <c r="F299" s="32" t="str">
        <f>IF(Table!F299 = "","",Table!F299)</f>
        <v/>
      </c>
      <c r="G299" s="91"/>
      <c r="I299" s="84" t="str">
        <f>IFERROR(VLOOKUP(A299,Downlink!A:L,12,TRUE),"")</f>
        <v/>
      </c>
      <c r="K299" s="31" t="str">
        <f>IFERROR(VLOOKUP(A299,Table!$I$4:$O$3000,1,TRUE),"")</f>
        <v/>
      </c>
      <c r="L299" s="31" t="str">
        <f>IFERROR(INDEX(Table!I:O,MATCH(K299,Table!I:I,0),2),"")</f>
        <v/>
      </c>
      <c r="M299" s="31" t="str">
        <f>IFERROR(INDEX(Table!I:O,MATCH(K299,Table!I:I,0),3),"")</f>
        <v/>
      </c>
      <c r="N299" s="32" t="str">
        <f>IFERROR(INDEX(Table!I:O,MATCH(K299,Table!I:I,0),4),"")</f>
        <v/>
      </c>
      <c r="O299" s="32" t="str">
        <f>IFERROR(INDEX(Table!I:O,MATCH(K299,Table!I:I,0),5),"")</f>
        <v/>
      </c>
      <c r="P299" s="32" t="str">
        <f>IFERROR(INDEX(Table!I:O,MATCH(K299,Table!I:I,0),6),"")</f>
        <v/>
      </c>
      <c r="Q299" s="89" t="str">
        <f t="shared" si="12"/>
        <v/>
      </c>
      <c r="R299" s="89" t="str">
        <f t="shared" si="13"/>
        <v/>
      </c>
      <c r="S299" s="82"/>
      <c r="U299" s="37" t="e">
        <f t="shared" si="14"/>
        <v>#VALUE!</v>
      </c>
    </row>
    <row r="300" spans="1:21" x14ac:dyDescent="0.25">
      <c r="A300" s="31" t="str">
        <f>IF(Table!A300 = "","",Table!A300)</f>
        <v/>
      </c>
      <c r="B300" s="31" t="str">
        <f>IF(Table!B300 = "","",Table!B300)</f>
        <v/>
      </c>
      <c r="C300" s="31" t="str">
        <f>IF(Table!C300 = "","",Table!C300)</f>
        <v/>
      </c>
      <c r="D300" s="32" t="str">
        <f>IF(Table!D300 = "","",Table!D300)</f>
        <v/>
      </c>
      <c r="E300" s="32" t="str">
        <f>IF(Table!E300 = "","",Table!E300)</f>
        <v/>
      </c>
      <c r="F300" s="32" t="str">
        <f>IF(Table!F300 = "","",Table!F300)</f>
        <v/>
      </c>
      <c r="G300" s="91"/>
      <c r="I300" s="84" t="str">
        <f>IFERROR(VLOOKUP(A300,Downlink!A:L,12,TRUE),"")</f>
        <v/>
      </c>
      <c r="K300" s="31" t="str">
        <f>IFERROR(VLOOKUP(A300,Table!$I$4:$O$3000,1,TRUE),"")</f>
        <v/>
      </c>
      <c r="L300" s="31" t="str">
        <f>IFERROR(INDEX(Table!I:O,MATCH(K300,Table!I:I,0),2),"")</f>
        <v/>
      </c>
      <c r="M300" s="31" t="str">
        <f>IFERROR(INDEX(Table!I:O,MATCH(K300,Table!I:I,0),3),"")</f>
        <v/>
      </c>
      <c r="N300" s="32" t="str">
        <f>IFERROR(INDEX(Table!I:O,MATCH(K300,Table!I:I,0),4),"")</f>
        <v/>
      </c>
      <c r="O300" s="32" t="str">
        <f>IFERROR(INDEX(Table!I:O,MATCH(K300,Table!I:I,0),5),"")</f>
        <v/>
      </c>
      <c r="P300" s="32" t="str">
        <f>IFERROR(INDEX(Table!I:O,MATCH(K300,Table!I:I,0),6),"")</f>
        <v/>
      </c>
      <c r="Q300" s="89" t="str">
        <f t="shared" si="12"/>
        <v/>
      </c>
      <c r="R300" s="89" t="str">
        <f t="shared" si="13"/>
        <v/>
      </c>
      <c r="S300" s="82"/>
      <c r="U300" s="37" t="e">
        <f t="shared" si="14"/>
        <v>#VALUE!</v>
      </c>
    </row>
    <row r="301" spans="1:21" x14ac:dyDescent="0.25">
      <c r="A301" s="31" t="str">
        <f>IF(Table!A301 = "","",Table!A301)</f>
        <v/>
      </c>
      <c r="B301" s="31" t="str">
        <f>IF(Table!B301 = "","",Table!B301)</f>
        <v/>
      </c>
      <c r="C301" s="31" t="str">
        <f>IF(Table!C301 = "","",Table!C301)</f>
        <v/>
      </c>
      <c r="D301" s="32" t="str">
        <f>IF(Table!D301 = "","",Table!D301)</f>
        <v/>
      </c>
      <c r="E301" s="32" t="str">
        <f>IF(Table!E301 = "","",Table!E301)</f>
        <v/>
      </c>
      <c r="F301" s="32" t="str">
        <f>IF(Table!F301 = "","",Table!F301)</f>
        <v/>
      </c>
      <c r="G301" s="91"/>
      <c r="I301" s="84" t="str">
        <f>IFERROR(VLOOKUP(A301,Downlink!A:L,12,TRUE),"")</f>
        <v/>
      </c>
      <c r="K301" s="31" t="str">
        <f>IFERROR(VLOOKUP(A301,Table!$I$4:$O$3000,1,TRUE),"")</f>
        <v/>
      </c>
      <c r="L301" s="31" t="str">
        <f>IFERROR(INDEX(Table!I:O,MATCH(K301,Table!I:I,0),2),"")</f>
        <v/>
      </c>
      <c r="M301" s="31" t="str">
        <f>IFERROR(INDEX(Table!I:O,MATCH(K301,Table!I:I,0),3),"")</f>
        <v/>
      </c>
      <c r="N301" s="32" t="str">
        <f>IFERROR(INDEX(Table!I:O,MATCH(K301,Table!I:I,0),4),"")</f>
        <v/>
      </c>
      <c r="O301" s="32" t="str">
        <f>IFERROR(INDEX(Table!I:O,MATCH(K301,Table!I:I,0),5),"")</f>
        <v/>
      </c>
      <c r="P301" s="32" t="str">
        <f>IFERROR(INDEX(Table!I:O,MATCH(K301,Table!I:I,0),6),"")</f>
        <v/>
      </c>
      <c r="Q301" s="89" t="str">
        <f t="shared" si="12"/>
        <v/>
      </c>
      <c r="R301" s="89" t="str">
        <f t="shared" si="13"/>
        <v/>
      </c>
      <c r="S301" s="82"/>
      <c r="U301" s="37" t="e">
        <f t="shared" si="14"/>
        <v>#VALUE!</v>
      </c>
    </row>
    <row r="302" spans="1:21" x14ac:dyDescent="0.25">
      <c r="A302" s="31" t="str">
        <f>IF(Table!A302 = "","",Table!A302)</f>
        <v/>
      </c>
      <c r="B302" s="31" t="str">
        <f>IF(Table!B302 = "","",Table!B302)</f>
        <v/>
      </c>
      <c r="C302" s="31" t="str">
        <f>IF(Table!C302 = "","",Table!C302)</f>
        <v/>
      </c>
      <c r="D302" s="32" t="str">
        <f>IF(Table!D302 = "","",Table!D302)</f>
        <v/>
      </c>
      <c r="E302" s="32" t="str">
        <f>IF(Table!E302 = "","",Table!E302)</f>
        <v/>
      </c>
      <c r="F302" s="32" t="str">
        <f>IF(Table!F302 = "","",Table!F302)</f>
        <v/>
      </c>
      <c r="G302" s="91"/>
      <c r="I302" s="84" t="str">
        <f>IFERROR(VLOOKUP(A302,Downlink!A:L,12,TRUE),"")</f>
        <v/>
      </c>
      <c r="K302" s="31" t="str">
        <f>IFERROR(VLOOKUP(A302,Table!$I$4:$O$3000,1,TRUE),"")</f>
        <v/>
      </c>
      <c r="L302" s="31" t="str">
        <f>IFERROR(INDEX(Table!I:O,MATCH(K302,Table!I:I,0),2),"")</f>
        <v/>
      </c>
      <c r="M302" s="31" t="str">
        <f>IFERROR(INDEX(Table!I:O,MATCH(K302,Table!I:I,0),3),"")</f>
        <v/>
      </c>
      <c r="N302" s="32" t="str">
        <f>IFERROR(INDEX(Table!I:O,MATCH(K302,Table!I:I,0),4),"")</f>
        <v/>
      </c>
      <c r="O302" s="32" t="str">
        <f>IFERROR(INDEX(Table!I:O,MATCH(K302,Table!I:I,0),5),"")</f>
        <v/>
      </c>
      <c r="P302" s="32" t="str">
        <f>IFERROR(INDEX(Table!I:O,MATCH(K302,Table!I:I,0),6),"")</f>
        <v/>
      </c>
      <c r="Q302" s="89" t="str">
        <f t="shared" si="12"/>
        <v/>
      </c>
      <c r="R302" s="89" t="str">
        <f t="shared" si="13"/>
        <v/>
      </c>
      <c r="S302" s="82"/>
      <c r="U302" s="37" t="e">
        <f t="shared" si="14"/>
        <v>#VALUE!</v>
      </c>
    </row>
    <row r="303" spans="1:21" x14ac:dyDescent="0.25">
      <c r="A303" s="31" t="str">
        <f>IF(Table!A303 = "","",Table!A303)</f>
        <v/>
      </c>
      <c r="B303" s="31" t="str">
        <f>IF(Table!B303 = "","",Table!B303)</f>
        <v/>
      </c>
      <c r="C303" s="31" t="str">
        <f>IF(Table!C303 = "","",Table!C303)</f>
        <v/>
      </c>
      <c r="D303" s="32" t="str">
        <f>IF(Table!D303 = "","",Table!D303)</f>
        <v/>
      </c>
      <c r="E303" s="32" t="str">
        <f>IF(Table!E303 = "","",Table!E303)</f>
        <v/>
      </c>
      <c r="F303" s="32" t="str">
        <f>IF(Table!F303 = "","",Table!F303)</f>
        <v/>
      </c>
      <c r="G303" s="91"/>
      <c r="I303" s="84" t="str">
        <f>IFERROR(VLOOKUP(A303,Downlink!A:L,12,TRUE),"")</f>
        <v/>
      </c>
      <c r="K303" s="31" t="str">
        <f>IFERROR(VLOOKUP(A303,Table!$I$4:$O$3000,1,TRUE),"")</f>
        <v/>
      </c>
      <c r="L303" s="31" t="str">
        <f>IFERROR(INDEX(Table!I:O,MATCH(K303,Table!I:I,0),2),"")</f>
        <v/>
      </c>
      <c r="M303" s="31" t="str">
        <f>IFERROR(INDEX(Table!I:O,MATCH(K303,Table!I:I,0),3),"")</f>
        <v/>
      </c>
      <c r="N303" s="32" t="str">
        <f>IFERROR(INDEX(Table!I:O,MATCH(K303,Table!I:I,0),4),"")</f>
        <v/>
      </c>
      <c r="O303" s="32" t="str">
        <f>IFERROR(INDEX(Table!I:O,MATCH(K303,Table!I:I,0),5),"")</f>
        <v/>
      </c>
      <c r="P303" s="32" t="str">
        <f>IFERROR(INDEX(Table!I:O,MATCH(K303,Table!I:I,0),6),"")</f>
        <v/>
      </c>
      <c r="Q303" s="89" t="str">
        <f t="shared" si="12"/>
        <v/>
      </c>
      <c r="R303" s="89" t="str">
        <f t="shared" si="13"/>
        <v/>
      </c>
      <c r="S303" s="82"/>
      <c r="U303" s="37" t="e">
        <f t="shared" si="14"/>
        <v>#VALUE!</v>
      </c>
    </row>
    <row r="304" spans="1:21" x14ac:dyDescent="0.25">
      <c r="A304" s="31" t="str">
        <f>IF(Table!A304 = "","",Table!A304)</f>
        <v/>
      </c>
      <c r="B304" s="31" t="str">
        <f>IF(Table!B304 = "","",Table!B304)</f>
        <v/>
      </c>
      <c r="C304" s="31" t="str">
        <f>IF(Table!C304 = "","",Table!C304)</f>
        <v/>
      </c>
      <c r="D304" s="32" t="str">
        <f>IF(Table!D304 = "","",Table!D304)</f>
        <v/>
      </c>
      <c r="E304" s="32" t="str">
        <f>IF(Table!E304 = "","",Table!E304)</f>
        <v/>
      </c>
      <c r="F304" s="32" t="str">
        <f>IF(Table!F304 = "","",Table!F304)</f>
        <v/>
      </c>
      <c r="G304" s="91"/>
      <c r="I304" s="84" t="str">
        <f>IFERROR(VLOOKUP(A304,Downlink!A:L,12,TRUE),"")</f>
        <v/>
      </c>
      <c r="K304" s="31" t="str">
        <f>IFERROR(VLOOKUP(A304,Table!$I$4:$O$3000,1,TRUE),"")</f>
        <v/>
      </c>
      <c r="L304" s="31" t="str">
        <f>IFERROR(INDEX(Table!I:O,MATCH(K304,Table!I:I,0),2),"")</f>
        <v/>
      </c>
      <c r="M304" s="31" t="str">
        <f>IFERROR(INDEX(Table!I:O,MATCH(K304,Table!I:I,0),3),"")</f>
        <v/>
      </c>
      <c r="N304" s="32" t="str">
        <f>IFERROR(INDEX(Table!I:O,MATCH(K304,Table!I:I,0),4),"")</f>
        <v/>
      </c>
      <c r="O304" s="32" t="str">
        <f>IFERROR(INDEX(Table!I:O,MATCH(K304,Table!I:I,0),5),"")</f>
        <v/>
      </c>
      <c r="P304" s="32" t="str">
        <f>IFERROR(INDEX(Table!I:O,MATCH(K304,Table!I:I,0),6),"")</f>
        <v/>
      </c>
      <c r="Q304" s="89" t="str">
        <f t="shared" si="12"/>
        <v/>
      </c>
      <c r="R304" s="89" t="str">
        <f t="shared" si="13"/>
        <v/>
      </c>
      <c r="S304" s="82"/>
      <c r="U304" s="37" t="e">
        <f t="shared" si="14"/>
        <v>#VALUE!</v>
      </c>
    </row>
    <row r="305" spans="1:21" x14ac:dyDescent="0.25">
      <c r="A305" s="31" t="str">
        <f>IF(Table!A305 = "","",Table!A305)</f>
        <v/>
      </c>
      <c r="B305" s="31" t="str">
        <f>IF(Table!B305 = "","",Table!B305)</f>
        <v/>
      </c>
      <c r="C305" s="31" t="str">
        <f>IF(Table!C305 = "","",Table!C305)</f>
        <v/>
      </c>
      <c r="D305" s="32" t="str">
        <f>IF(Table!D305 = "","",Table!D305)</f>
        <v/>
      </c>
      <c r="E305" s="32" t="str">
        <f>IF(Table!E305 = "","",Table!E305)</f>
        <v/>
      </c>
      <c r="F305" s="32" t="str">
        <f>IF(Table!F305 = "","",Table!F305)</f>
        <v/>
      </c>
      <c r="G305" s="91"/>
      <c r="I305" s="84" t="str">
        <f>IFERROR(VLOOKUP(A305,Downlink!A:L,12,TRUE),"")</f>
        <v/>
      </c>
      <c r="K305" s="31" t="str">
        <f>IFERROR(VLOOKUP(A305,Table!$I$4:$O$3000,1,TRUE),"")</f>
        <v/>
      </c>
      <c r="L305" s="31" t="str">
        <f>IFERROR(INDEX(Table!I:O,MATCH(K305,Table!I:I,0),2),"")</f>
        <v/>
      </c>
      <c r="M305" s="31" t="str">
        <f>IFERROR(INDEX(Table!I:O,MATCH(K305,Table!I:I,0),3),"")</f>
        <v/>
      </c>
      <c r="N305" s="32" t="str">
        <f>IFERROR(INDEX(Table!I:O,MATCH(K305,Table!I:I,0),4),"")</f>
        <v/>
      </c>
      <c r="O305" s="32" t="str">
        <f>IFERROR(INDEX(Table!I:O,MATCH(K305,Table!I:I,0),5),"")</f>
        <v/>
      </c>
      <c r="P305" s="32" t="str">
        <f>IFERROR(INDEX(Table!I:O,MATCH(K305,Table!I:I,0),6),"")</f>
        <v/>
      </c>
      <c r="Q305" s="89" t="str">
        <f t="shared" si="12"/>
        <v/>
      </c>
      <c r="R305" s="89" t="str">
        <f t="shared" si="13"/>
        <v/>
      </c>
      <c r="S305" s="82"/>
      <c r="U305" s="37" t="e">
        <f t="shared" si="14"/>
        <v>#VALUE!</v>
      </c>
    </row>
    <row r="306" spans="1:21" x14ac:dyDescent="0.25">
      <c r="A306" s="31" t="str">
        <f>IF(Table!A306 = "","",Table!A306)</f>
        <v/>
      </c>
      <c r="B306" s="31" t="str">
        <f>IF(Table!B306 = "","",Table!B306)</f>
        <v/>
      </c>
      <c r="C306" s="31" t="str">
        <f>IF(Table!C306 = "","",Table!C306)</f>
        <v/>
      </c>
      <c r="D306" s="32" t="str">
        <f>IF(Table!D306 = "","",Table!D306)</f>
        <v/>
      </c>
      <c r="E306" s="32" t="str">
        <f>IF(Table!E306 = "","",Table!E306)</f>
        <v/>
      </c>
      <c r="F306" s="32" t="str">
        <f>IF(Table!F306 = "","",Table!F306)</f>
        <v/>
      </c>
      <c r="G306" s="91"/>
      <c r="I306" s="84" t="str">
        <f>IFERROR(VLOOKUP(A306,Downlink!A:L,12,TRUE),"")</f>
        <v/>
      </c>
      <c r="K306" s="31" t="str">
        <f>IFERROR(VLOOKUP(A306,Table!$I$4:$O$3000,1,TRUE),"")</f>
        <v/>
      </c>
      <c r="L306" s="31" t="str">
        <f>IFERROR(INDEX(Table!I:O,MATCH(K306,Table!I:I,0),2),"")</f>
        <v/>
      </c>
      <c r="M306" s="31" t="str">
        <f>IFERROR(INDEX(Table!I:O,MATCH(K306,Table!I:I,0),3),"")</f>
        <v/>
      </c>
      <c r="N306" s="32" t="str">
        <f>IFERROR(INDEX(Table!I:O,MATCH(K306,Table!I:I,0),4),"")</f>
        <v/>
      </c>
      <c r="O306" s="32" t="str">
        <f>IFERROR(INDEX(Table!I:O,MATCH(K306,Table!I:I,0),5),"")</f>
        <v/>
      </c>
      <c r="P306" s="32" t="str">
        <f>IFERROR(INDEX(Table!I:O,MATCH(K306,Table!I:I,0),6),"")</f>
        <v/>
      </c>
      <c r="Q306" s="89" t="str">
        <f t="shared" si="12"/>
        <v/>
      </c>
      <c r="R306" s="89" t="str">
        <f t="shared" si="13"/>
        <v/>
      </c>
      <c r="S306" s="82"/>
      <c r="U306" s="37" t="e">
        <f t="shared" si="14"/>
        <v>#VALUE!</v>
      </c>
    </row>
    <row r="307" spans="1:21" x14ac:dyDescent="0.25">
      <c r="A307" s="31" t="str">
        <f>IF(Table!A307 = "","",Table!A307)</f>
        <v/>
      </c>
      <c r="B307" s="31" t="str">
        <f>IF(Table!B307 = "","",Table!B307)</f>
        <v/>
      </c>
      <c r="C307" s="31" t="str">
        <f>IF(Table!C307 = "","",Table!C307)</f>
        <v/>
      </c>
      <c r="D307" s="32" t="str">
        <f>IF(Table!D307 = "","",Table!D307)</f>
        <v/>
      </c>
      <c r="E307" s="32" t="str">
        <f>IF(Table!E307 = "","",Table!E307)</f>
        <v/>
      </c>
      <c r="F307" s="32" t="str">
        <f>IF(Table!F307 = "","",Table!F307)</f>
        <v/>
      </c>
      <c r="G307" s="91"/>
      <c r="I307" s="84" t="str">
        <f>IFERROR(VLOOKUP(A307,Downlink!A:L,12,TRUE),"")</f>
        <v/>
      </c>
      <c r="K307" s="31" t="str">
        <f>IFERROR(VLOOKUP(A307,Table!$I$4:$O$3000,1,TRUE),"")</f>
        <v/>
      </c>
      <c r="L307" s="31" t="str">
        <f>IFERROR(INDEX(Table!I:O,MATCH(K307,Table!I:I,0),2),"")</f>
        <v/>
      </c>
      <c r="M307" s="31" t="str">
        <f>IFERROR(INDEX(Table!I:O,MATCH(K307,Table!I:I,0),3),"")</f>
        <v/>
      </c>
      <c r="N307" s="32" t="str">
        <f>IFERROR(INDEX(Table!I:O,MATCH(K307,Table!I:I,0),4),"")</f>
        <v/>
      </c>
      <c r="O307" s="32" t="str">
        <f>IFERROR(INDEX(Table!I:O,MATCH(K307,Table!I:I,0),5),"")</f>
        <v/>
      </c>
      <c r="P307" s="32" t="str">
        <f>IFERROR(INDEX(Table!I:O,MATCH(K307,Table!I:I,0),6),"")</f>
        <v/>
      </c>
      <c r="Q307" s="89" t="str">
        <f t="shared" si="12"/>
        <v/>
      </c>
      <c r="R307" s="89" t="str">
        <f t="shared" si="13"/>
        <v/>
      </c>
      <c r="S307" s="82"/>
      <c r="U307" s="37" t="e">
        <f t="shared" si="14"/>
        <v>#VALUE!</v>
      </c>
    </row>
    <row r="308" spans="1:21" x14ac:dyDescent="0.25">
      <c r="A308" s="31" t="str">
        <f>IF(Table!A308 = "","",Table!A308)</f>
        <v/>
      </c>
      <c r="B308" s="31" t="str">
        <f>IF(Table!B308 = "","",Table!B308)</f>
        <v/>
      </c>
      <c r="C308" s="31" t="str">
        <f>IF(Table!C308 = "","",Table!C308)</f>
        <v/>
      </c>
      <c r="D308" s="32" t="str">
        <f>IF(Table!D308 = "","",Table!D308)</f>
        <v/>
      </c>
      <c r="E308" s="32" t="str">
        <f>IF(Table!E308 = "","",Table!E308)</f>
        <v/>
      </c>
      <c r="F308" s="32" t="str">
        <f>IF(Table!F308 = "","",Table!F308)</f>
        <v/>
      </c>
      <c r="G308" s="91"/>
      <c r="I308" s="84" t="str">
        <f>IFERROR(VLOOKUP(A308,Downlink!A:L,12,TRUE),"")</f>
        <v/>
      </c>
      <c r="K308" s="31" t="str">
        <f>IFERROR(VLOOKUP(A308,Table!$I$4:$O$3000,1,TRUE),"")</f>
        <v/>
      </c>
      <c r="L308" s="31" t="str">
        <f>IFERROR(INDEX(Table!I:O,MATCH(K308,Table!I:I,0),2),"")</f>
        <v/>
      </c>
      <c r="M308" s="31" t="str">
        <f>IFERROR(INDEX(Table!I:O,MATCH(K308,Table!I:I,0),3),"")</f>
        <v/>
      </c>
      <c r="N308" s="32" t="str">
        <f>IFERROR(INDEX(Table!I:O,MATCH(K308,Table!I:I,0),4),"")</f>
        <v/>
      </c>
      <c r="O308" s="32" t="str">
        <f>IFERROR(INDEX(Table!I:O,MATCH(K308,Table!I:I,0),5),"")</f>
        <v/>
      </c>
      <c r="P308" s="32" t="str">
        <f>IFERROR(INDEX(Table!I:O,MATCH(K308,Table!I:I,0),6),"")</f>
        <v/>
      </c>
      <c r="Q308" s="89" t="str">
        <f t="shared" si="12"/>
        <v/>
      </c>
      <c r="R308" s="89" t="str">
        <f t="shared" si="13"/>
        <v/>
      </c>
      <c r="S308" s="82"/>
      <c r="U308" s="37" t="e">
        <f t="shared" si="14"/>
        <v>#VALUE!</v>
      </c>
    </row>
    <row r="309" spans="1:21" x14ac:dyDescent="0.25">
      <c r="A309" s="31" t="str">
        <f>IF(Table!A309 = "","",Table!A309)</f>
        <v/>
      </c>
      <c r="B309" s="31" t="str">
        <f>IF(Table!B309 = "","",Table!B309)</f>
        <v/>
      </c>
      <c r="C309" s="31" t="str">
        <f>IF(Table!C309 = "","",Table!C309)</f>
        <v/>
      </c>
      <c r="D309" s="32" t="str">
        <f>IF(Table!D309 = "","",Table!D309)</f>
        <v/>
      </c>
      <c r="E309" s="32" t="str">
        <f>IF(Table!E309 = "","",Table!E309)</f>
        <v/>
      </c>
      <c r="F309" s="32" t="str">
        <f>IF(Table!F309 = "","",Table!F309)</f>
        <v/>
      </c>
      <c r="G309" s="91"/>
      <c r="I309" s="84" t="str">
        <f>IFERROR(VLOOKUP(A309,Downlink!A:L,12,TRUE),"")</f>
        <v/>
      </c>
      <c r="K309" s="31" t="str">
        <f>IFERROR(VLOOKUP(A309,Table!$I$4:$O$3000,1,TRUE),"")</f>
        <v/>
      </c>
      <c r="L309" s="31" t="str">
        <f>IFERROR(INDEX(Table!I:O,MATCH(K309,Table!I:I,0),2),"")</f>
        <v/>
      </c>
      <c r="M309" s="31" t="str">
        <f>IFERROR(INDEX(Table!I:O,MATCH(K309,Table!I:I,0),3),"")</f>
        <v/>
      </c>
      <c r="N309" s="32" t="str">
        <f>IFERROR(INDEX(Table!I:O,MATCH(K309,Table!I:I,0),4),"")</f>
        <v/>
      </c>
      <c r="O309" s="32" t="str">
        <f>IFERROR(INDEX(Table!I:O,MATCH(K309,Table!I:I,0),5),"")</f>
        <v/>
      </c>
      <c r="P309" s="32" t="str">
        <f>IFERROR(INDEX(Table!I:O,MATCH(K309,Table!I:I,0),6),"")</f>
        <v/>
      </c>
      <c r="Q309" s="89" t="str">
        <f t="shared" si="12"/>
        <v/>
      </c>
      <c r="R309" s="89" t="str">
        <f t="shared" si="13"/>
        <v/>
      </c>
      <c r="S309" s="82"/>
      <c r="U309" s="37" t="e">
        <f t="shared" si="14"/>
        <v>#VALUE!</v>
      </c>
    </row>
    <row r="310" spans="1:21" x14ac:dyDescent="0.25">
      <c r="A310" s="31" t="str">
        <f>IF(Table!A310 = "","",Table!A310)</f>
        <v/>
      </c>
      <c r="B310" s="31" t="str">
        <f>IF(Table!B310 = "","",Table!B310)</f>
        <v/>
      </c>
      <c r="C310" s="31" t="str">
        <f>IF(Table!C310 = "","",Table!C310)</f>
        <v/>
      </c>
      <c r="D310" s="32" t="str">
        <f>IF(Table!D310 = "","",Table!D310)</f>
        <v/>
      </c>
      <c r="E310" s="32" t="str">
        <f>IF(Table!E310 = "","",Table!E310)</f>
        <v/>
      </c>
      <c r="F310" s="32" t="str">
        <f>IF(Table!F310 = "","",Table!F310)</f>
        <v/>
      </c>
      <c r="G310" s="91"/>
      <c r="I310" s="84" t="str">
        <f>IFERROR(VLOOKUP(A310,Downlink!A:L,12,TRUE),"")</f>
        <v/>
      </c>
      <c r="K310" s="31" t="str">
        <f>IFERROR(VLOOKUP(A310,Table!$I$4:$O$3000,1,TRUE),"")</f>
        <v/>
      </c>
      <c r="L310" s="31" t="str">
        <f>IFERROR(INDEX(Table!I:O,MATCH(K310,Table!I:I,0),2),"")</f>
        <v/>
      </c>
      <c r="M310" s="31" t="str">
        <f>IFERROR(INDEX(Table!I:O,MATCH(K310,Table!I:I,0),3),"")</f>
        <v/>
      </c>
      <c r="N310" s="32" t="str">
        <f>IFERROR(INDEX(Table!I:O,MATCH(K310,Table!I:I,0),4),"")</f>
        <v/>
      </c>
      <c r="O310" s="32" t="str">
        <f>IFERROR(INDEX(Table!I:O,MATCH(K310,Table!I:I,0),5),"")</f>
        <v/>
      </c>
      <c r="P310" s="32" t="str">
        <f>IFERROR(INDEX(Table!I:O,MATCH(K310,Table!I:I,0),6),"")</f>
        <v/>
      </c>
      <c r="Q310" s="89" t="str">
        <f t="shared" si="12"/>
        <v/>
      </c>
      <c r="R310" s="89" t="str">
        <f t="shared" si="13"/>
        <v/>
      </c>
      <c r="S310" s="82"/>
      <c r="U310" s="37" t="e">
        <f t="shared" si="14"/>
        <v>#VALUE!</v>
      </c>
    </row>
    <row r="311" spans="1:21" x14ac:dyDescent="0.25">
      <c r="A311" s="31" t="str">
        <f>IF(Table!A311 = "","",Table!A311)</f>
        <v/>
      </c>
      <c r="B311" s="31" t="str">
        <f>IF(Table!B311 = "","",Table!B311)</f>
        <v/>
      </c>
      <c r="C311" s="31" t="str">
        <f>IF(Table!C311 = "","",Table!C311)</f>
        <v/>
      </c>
      <c r="D311" s="32" t="str">
        <f>IF(Table!D311 = "","",Table!D311)</f>
        <v/>
      </c>
      <c r="E311" s="32" t="str">
        <f>IF(Table!E311 = "","",Table!E311)</f>
        <v/>
      </c>
      <c r="F311" s="32" t="str">
        <f>IF(Table!F311 = "","",Table!F311)</f>
        <v/>
      </c>
      <c r="G311" s="91"/>
      <c r="I311" s="84" t="str">
        <f>IFERROR(VLOOKUP(A311,Downlink!A:L,12,TRUE),"")</f>
        <v/>
      </c>
      <c r="K311" s="31" t="str">
        <f>IFERROR(VLOOKUP(A311,Table!$I$4:$O$3000,1,TRUE),"")</f>
        <v/>
      </c>
      <c r="L311" s="31" t="str">
        <f>IFERROR(INDEX(Table!I:O,MATCH(K311,Table!I:I,0),2),"")</f>
        <v/>
      </c>
      <c r="M311" s="31" t="str">
        <f>IFERROR(INDEX(Table!I:O,MATCH(K311,Table!I:I,0),3),"")</f>
        <v/>
      </c>
      <c r="N311" s="32" t="str">
        <f>IFERROR(INDEX(Table!I:O,MATCH(K311,Table!I:I,0),4),"")</f>
        <v/>
      </c>
      <c r="O311" s="32" t="str">
        <f>IFERROR(INDEX(Table!I:O,MATCH(K311,Table!I:I,0),5),"")</f>
        <v/>
      </c>
      <c r="P311" s="32" t="str">
        <f>IFERROR(INDEX(Table!I:O,MATCH(K311,Table!I:I,0),6),"")</f>
        <v/>
      </c>
      <c r="Q311" s="89" t="str">
        <f t="shared" si="12"/>
        <v/>
      </c>
      <c r="R311" s="89" t="str">
        <f t="shared" si="13"/>
        <v/>
      </c>
      <c r="S311" s="82"/>
      <c r="U311" s="37" t="e">
        <f t="shared" si="14"/>
        <v>#VALUE!</v>
      </c>
    </row>
    <row r="312" spans="1:21" x14ac:dyDescent="0.25">
      <c r="A312" s="31" t="str">
        <f>IF(Table!A312 = "","",Table!A312)</f>
        <v/>
      </c>
      <c r="B312" s="31" t="str">
        <f>IF(Table!B312 = "","",Table!B312)</f>
        <v/>
      </c>
      <c r="C312" s="31" t="str">
        <f>IF(Table!C312 = "","",Table!C312)</f>
        <v/>
      </c>
      <c r="D312" s="32" t="str">
        <f>IF(Table!D312 = "","",Table!D312)</f>
        <v/>
      </c>
      <c r="E312" s="32" t="str">
        <f>IF(Table!E312 = "","",Table!E312)</f>
        <v/>
      </c>
      <c r="F312" s="32" t="str">
        <f>IF(Table!F312 = "","",Table!F312)</f>
        <v/>
      </c>
      <c r="G312" s="91"/>
      <c r="I312" s="84" t="str">
        <f>IFERROR(VLOOKUP(A312,Downlink!A:L,12,TRUE),"")</f>
        <v/>
      </c>
      <c r="K312" s="31" t="str">
        <f>IFERROR(VLOOKUP(A312,Table!$I$4:$O$3000,1,TRUE),"")</f>
        <v/>
      </c>
      <c r="L312" s="31" t="str">
        <f>IFERROR(INDEX(Table!I:O,MATCH(K312,Table!I:I,0),2),"")</f>
        <v/>
      </c>
      <c r="M312" s="31" t="str">
        <f>IFERROR(INDEX(Table!I:O,MATCH(K312,Table!I:I,0),3),"")</f>
        <v/>
      </c>
      <c r="N312" s="32" t="str">
        <f>IFERROR(INDEX(Table!I:O,MATCH(K312,Table!I:I,0),4),"")</f>
        <v/>
      </c>
      <c r="O312" s="32" t="str">
        <f>IFERROR(INDEX(Table!I:O,MATCH(K312,Table!I:I,0),5),"")</f>
        <v/>
      </c>
      <c r="P312" s="32" t="str">
        <f>IFERROR(INDEX(Table!I:O,MATCH(K312,Table!I:I,0),6),"")</f>
        <v/>
      </c>
      <c r="Q312" s="89" t="str">
        <f t="shared" si="12"/>
        <v/>
      </c>
      <c r="R312" s="89" t="str">
        <f t="shared" si="13"/>
        <v/>
      </c>
      <c r="S312" s="82"/>
      <c r="U312" s="37" t="e">
        <f t="shared" si="14"/>
        <v>#VALUE!</v>
      </c>
    </row>
    <row r="313" spans="1:21" x14ac:dyDescent="0.25">
      <c r="A313" s="31" t="str">
        <f>IF(Table!A313 = "","",Table!A313)</f>
        <v/>
      </c>
      <c r="B313" s="31" t="str">
        <f>IF(Table!B313 = "","",Table!B313)</f>
        <v/>
      </c>
      <c r="C313" s="31" t="str">
        <f>IF(Table!C313 = "","",Table!C313)</f>
        <v/>
      </c>
      <c r="D313" s="32" t="str">
        <f>IF(Table!D313 = "","",Table!D313)</f>
        <v/>
      </c>
      <c r="E313" s="32" t="str">
        <f>IF(Table!E313 = "","",Table!E313)</f>
        <v/>
      </c>
      <c r="F313" s="32" t="str">
        <f>IF(Table!F313 = "","",Table!F313)</f>
        <v/>
      </c>
      <c r="G313" s="91"/>
      <c r="I313" s="84" t="str">
        <f>IFERROR(VLOOKUP(A313,Downlink!A:L,12,TRUE),"")</f>
        <v/>
      </c>
      <c r="K313" s="31" t="str">
        <f>IFERROR(VLOOKUP(A313,Table!$I$4:$O$3000,1,TRUE),"")</f>
        <v/>
      </c>
      <c r="L313" s="31" t="str">
        <f>IFERROR(INDEX(Table!I:O,MATCH(K313,Table!I:I,0),2),"")</f>
        <v/>
      </c>
      <c r="M313" s="31" t="str">
        <f>IFERROR(INDEX(Table!I:O,MATCH(K313,Table!I:I,0),3),"")</f>
        <v/>
      </c>
      <c r="N313" s="32" t="str">
        <f>IFERROR(INDEX(Table!I:O,MATCH(K313,Table!I:I,0),4),"")</f>
        <v/>
      </c>
      <c r="O313" s="32" t="str">
        <f>IFERROR(INDEX(Table!I:O,MATCH(K313,Table!I:I,0),5),"")</f>
        <v/>
      </c>
      <c r="P313" s="32" t="str">
        <f>IFERROR(INDEX(Table!I:O,MATCH(K313,Table!I:I,0),6),"")</f>
        <v/>
      </c>
      <c r="Q313" s="89" t="str">
        <f t="shared" si="12"/>
        <v/>
      </c>
      <c r="R313" s="89" t="str">
        <f t="shared" si="13"/>
        <v/>
      </c>
      <c r="S313" s="82"/>
      <c r="U313" s="37" t="e">
        <f t="shared" si="14"/>
        <v>#VALUE!</v>
      </c>
    </row>
    <row r="314" spans="1:21" x14ac:dyDescent="0.25">
      <c r="A314" s="31" t="str">
        <f>IF(Table!A314 = "","",Table!A314)</f>
        <v/>
      </c>
      <c r="B314" s="31" t="str">
        <f>IF(Table!B314 = "","",Table!B314)</f>
        <v/>
      </c>
      <c r="C314" s="31" t="str">
        <f>IF(Table!C314 = "","",Table!C314)</f>
        <v/>
      </c>
      <c r="D314" s="32" t="str">
        <f>IF(Table!D314 = "","",Table!D314)</f>
        <v/>
      </c>
      <c r="E314" s="32" t="str">
        <f>IF(Table!E314 = "","",Table!E314)</f>
        <v/>
      </c>
      <c r="F314" s="32" t="str">
        <f>IF(Table!F314 = "","",Table!F314)</f>
        <v/>
      </c>
      <c r="G314" s="91"/>
      <c r="I314" s="84" t="str">
        <f>IFERROR(VLOOKUP(A314,Downlink!A:L,12,TRUE),"")</f>
        <v/>
      </c>
      <c r="K314" s="31" t="str">
        <f>IFERROR(VLOOKUP(A314,Table!$I$4:$O$3000,1,TRUE),"")</f>
        <v/>
      </c>
      <c r="L314" s="31" t="str">
        <f>IFERROR(INDEX(Table!I:O,MATCH(K314,Table!I:I,0),2),"")</f>
        <v/>
      </c>
      <c r="M314" s="31" t="str">
        <f>IFERROR(INDEX(Table!I:O,MATCH(K314,Table!I:I,0),3),"")</f>
        <v/>
      </c>
      <c r="N314" s="32" t="str">
        <f>IFERROR(INDEX(Table!I:O,MATCH(K314,Table!I:I,0),4),"")</f>
        <v/>
      </c>
      <c r="O314" s="32" t="str">
        <f>IFERROR(INDEX(Table!I:O,MATCH(K314,Table!I:I,0),5),"")</f>
        <v/>
      </c>
      <c r="P314" s="32" t="str">
        <f>IFERROR(INDEX(Table!I:O,MATCH(K314,Table!I:I,0),6),"")</f>
        <v/>
      </c>
      <c r="Q314" s="89" t="str">
        <f t="shared" si="12"/>
        <v/>
      </c>
      <c r="R314" s="89" t="str">
        <f t="shared" si="13"/>
        <v/>
      </c>
      <c r="S314" s="82"/>
      <c r="U314" s="37" t="e">
        <f t="shared" si="14"/>
        <v>#VALUE!</v>
      </c>
    </row>
    <row r="315" spans="1:21" x14ac:dyDescent="0.25">
      <c r="A315" s="31" t="str">
        <f>IF(Table!A315 = "","",Table!A315)</f>
        <v/>
      </c>
      <c r="B315" s="31" t="str">
        <f>IF(Table!B315 = "","",Table!B315)</f>
        <v/>
      </c>
      <c r="C315" s="31" t="str">
        <f>IF(Table!C315 = "","",Table!C315)</f>
        <v/>
      </c>
      <c r="D315" s="32" t="str">
        <f>IF(Table!D315 = "","",Table!D315)</f>
        <v/>
      </c>
      <c r="E315" s="32" t="str">
        <f>IF(Table!E315 = "","",Table!E315)</f>
        <v/>
      </c>
      <c r="F315" s="32" t="str">
        <f>IF(Table!F315 = "","",Table!F315)</f>
        <v/>
      </c>
      <c r="G315" s="91"/>
      <c r="I315" s="84" t="str">
        <f>IFERROR(VLOOKUP(A315,Downlink!A:L,12,TRUE),"")</f>
        <v/>
      </c>
      <c r="K315" s="31" t="str">
        <f>IFERROR(VLOOKUP(A315,Table!$I$4:$O$3000,1,TRUE),"")</f>
        <v/>
      </c>
      <c r="L315" s="31" t="str">
        <f>IFERROR(INDEX(Table!I:O,MATCH(K315,Table!I:I,0),2),"")</f>
        <v/>
      </c>
      <c r="M315" s="31" t="str">
        <f>IFERROR(INDEX(Table!I:O,MATCH(K315,Table!I:I,0),3),"")</f>
        <v/>
      </c>
      <c r="N315" s="32" t="str">
        <f>IFERROR(INDEX(Table!I:O,MATCH(K315,Table!I:I,0),4),"")</f>
        <v/>
      </c>
      <c r="O315" s="32" t="str">
        <f>IFERROR(INDEX(Table!I:O,MATCH(K315,Table!I:I,0),5),"")</f>
        <v/>
      </c>
      <c r="P315" s="32" t="str">
        <f>IFERROR(INDEX(Table!I:O,MATCH(K315,Table!I:I,0),6),"")</f>
        <v/>
      </c>
      <c r="Q315" s="89" t="str">
        <f t="shared" si="12"/>
        <v/>
      </c>
      <c r="R315" s="89" t="str">
        <f t="shared" si="13"/>
        <v/>
      </c>
      <c r="S315" s="82"/>
      <c r="U315" s="37" t="e">
        <f t="shared" si="14"/>
        <v>#VALUE!</v>
      </c>
    </row>
    <row r="316" spans="1:21" x14ac:dyDescent="0.25">
      <c r="A316" s="31" t="str">
        <f>IF(Table!A316 = "","",Table!A316)</f>
        <v/>
      </c>
      <c r="B316" s="31" t="str">
        <f>IF(Table!B316 = "","",Table!B316)</f>
        <v/>
      </c>
      <c r="C316" s="31" t="str">
        <f>IF(Table!C316 = "","",Table!C316)</f>
        <v/>
      </c>
      <c r="D316" s="32" t="str">
        <f>IF(Table!D316 = "","",Table!D316)</f>
        <v/>
      </c>
      <c r="E316" s="32" t="str">
        <f>IF(Table!E316 = "","",Table!E316)</f>
        <v/>
      </c>
      <c r="F316" s="32" t="str">
        <f>IF(Table!F316 = "","",Table!F316)</f>
        <v/>
      </c>
      <c r="G316" s="91"/>
      <c r="I316" s="84" t="str">
        <f>IFERROR(VLOOKUP(A316,Downlink!A:L,12,TRUE),"")</f>
        <v/>
      </c>
      <c r="K316" s="31" t="str">
        <f>IFERROR(VLOOKUP(A316,Table!$I$4:$O$3000,1,TRUE),"")</f>
        <v/>
      </c>
      <c r="L316" s="31" t="str">
        <f>IFERROR(INDEX(Table!I:O,MATCH(K316,Table!I:I,0),2),"")</f>
        <v/>
      </c>
      <c r="M316" s="31" t="str">
        <f>IFERROR(INDEX(Table!I:O,MATCH(K316,Table!I:I,0),3),"")</f>
        <v/>
      </c>
      <c r="N316" s="32" t="str">
        <f>IFERROR(INDEX(Table!I:O,MATCH(K316,Table!I:I,0),4),"")</f>
        <v/>
      </c>
      <c r="O316" s="32" t="str">
        <f>IFERROR(INDEX(Table!I:O,MATCH(K316,Table!I:I,0),5),"")</f>
        <v/>
      </c>
      <c r="P316" s="32" t="str">
        <f>IFERROR(INDEX(Table!I:O,MATCH(K316,Table!I:I,0),6),"")</f>
        <v/>
      </c>
      <c r="Q316" s="89" t="str">
        <f t="shared" si="12"/>
        <v/>
      </c>
      <c r="R316" s="89" t="str">
        <f t="shared" si="13"/>
        <v/>
      </c>
      <c r="S316" s="82"/>
      <c r="U316" s="37" t="e">
        <f t="shared" si="14"/>
        <v>#VALUE!</v>
      </c>
    </row>
    <row r="317" spans="1:21" x14ac:dyDescent="0.25">
      <c r="A317" s="31" t="str">
        <f>IF(Table!A317 = "","",Table!A317)</f>
        <v/>
      </c>
      <c r="B317" s="31" t="str">
        <f>IF(Table!B317 = "","",Table!B317)</f>
        <v/>
      </c>
      <c r="C317" s="31" t="str">
        <f>IF(Table!C317 = "","",Table!C317)</f>
        <v/>
      </c>
      <c r="D317" s="32" t="str">
        <f>IF(Table!D317 = "","",Table!D317)</f>
        <v/>
      </c>
      <c r="E317" s="32" t="str">
        <f>IF(Table!E317 = "","",Table!E317)</f>
        <v/>
      </c>
      <c r="F317" s="32" t="str">
        <f>IF(Table!F317 = "","",Table!F317)</f>
        <v/>
      </c>
      <c r="G317" s="91"/>
      <c r="I317" s="84" t="str">
        <f>IFERROR(VLOOKUP(A317,Downlink!A:L,12,TRUE),"")</f>
        <v/>
      </c>
      <c r="K317" s="31" t="str">
        <f>IFERROR(VLOOKUP(A317,Table!$I$4:$O$3000,1,TRUE),"")</f>
        <v/>
      </c>
      <c r="L317" s="31" t="str">
        <f>IFERROR(INDEX(Table!I:O,MATCH(K317,Table!I:I,0),2),"")</f>
        <v/>
      </c>
      <c r="M317" s="31" t="str">
        <f>IFERROR(INDEX(Table!I:O,MATCH(K317,Table!I:I,0),3),"")</f>
        <v/>
      </c>
      <c r="N317" s="32" t="str">
        <f>IFERROR(INDEX(Table!I:O,MATCH(K317,Table!I:I,0),4),"")</f>
        <v/>
      </c>
      <c r="O317" s="32" t="str">
        <f>IFERROR(INDEX(Table!I:O,MATCH(K317,Table!I:I,0),5),"")</f>
        <v/>
      </c>
      <c r="P317" s="32" t="str">
        <f>IFERROR(INDEX(Table!I:O,MATCH(K317,Table!I:I,0),6),"")</f>
        <v/>
      </c>
      <c r="Q317" s="89" t="str">
        <f t="shared" si="12"/>
        <v/>
      </c>
      <c r="R317" s="89" t="str">
        <f t="shared" si="13"/>
        <v/>
      </c>
      <c r="S317" s="82"/>
      <c r="U317" s="37" t="e">
        <f t="shared" si="14"/>
        <v>#VALUE!</v>
      </c>
    </row>
    <row r="318" spans="1:21" x14ac:dyDescent="0.25">
      <c r="A318" s="31" t="str">
        <f>IF(Table!A318 = "","",Table!A318)</f>
        <v/>
      </c>
      <c r="B318" s="31" t="str">
        <f>IF(Table!B318 = "","",Table!B318)</f>
        <v/>
      </c>
      <c r="C318" s="31" t="str">
        <f>IF(Table!C318 = "","",Table!C318)</f>
        <v/>
      </c>
      <c r="D318" s="32" t="str">
        <f>IF(Table!D318 = "","",Table!D318)</f>
        <v/>
      </c>
      <c r="E318" s="32" t="str">
        <f>IF(Table!E318 = "","",Table!E318)</f>
        <v/>
      </c>
      <c r="F318" s="32" t="str">
        <f>IF(Table!F318 = "","",Table!F318)</f>
        <v/>
      </c>
      <c r="G318" s="91"/>
      <c r="I318" s="84" t="str">
        <f>IFERROR(VLOOKUP(A318,Downlink!A:L,12,TRUE),"")</f>
        <v/>
      </c>
      <c r="K318" s="31" t="str">
        <f>IFERROR(VLOOKUP(A318,Table!$I$4:$O$3000,1,TRUE),"")</f>
        <v/>
      </c>
      <c r="L318" s="31" t="str">
        <f>IFERROR(INDEX(Table!I:O,MATCH(K318,Table!I:I,0),2),"")</f>
        <v/>
      </c>
      <c r="M318" s="31" t="str">
        <f>IFERROR(INDEX(Table!I:O,MATCH(K318,Table!I:I,0),3),"")</f>
        <v/>
      </c>
      <c r="N318" s="32" t="str">
        <f>IFERROR(INDEX(Table!I:O,MATCH(K318,Table!I:I,0),4),"")</f>
        <v/>
      </c>
      <c r="O318" s="32" t="str">
        <f>IFERROR(INDEX(Table!I:O,MATCH(K318,Table!I:I,0),5),"")</f>
        <v/>
      </c>
      <c r="P318" s="32" t="str">
        <f>IFERROR(INDEX(Table!I:O,MATCH(K318,Table!I:I,0),6),"")</f>
        <v/>
      </c>
      <c r="Q318" s="89" t="str">
        <f t="shared" si="12"/>
        <v/>
      </c>
      <c r="R318" s="89" t="str">
        <f t="shared" si="13"/>
        <v/>
      </c>
      <c r="S318" s="82"/>
      <c r="U318" s="37" t="e">
        <f t="shared" si="14"/>
        <v>#VALUE!</v>
      </c>
    </row>
    <row r="319" spans="1:21" x14ac:dyDescent="0.25">
      <c r="A319" s="31" t="str">
        <f>IF(Table!A319 = "","",Table!A319)</f>
        <v/>
      </c>
      <c r="B319" s="31" t="str">
        <f>IF(Table!B319 = "","",Table!B319)</f>
        <v/>
      </c>
      <c r="C319" s="31" t="str">
        <f>IF(Table!C319 = "","",Table!C319)</f>
        <v/>
      </c>
      <c r="D319" s="32" t="str">
        <f>IF(Table!D319 = "","",Table!D319)</f>
        <v/>
      </c>
      <c r="E319" s="32" t="str">
        <f>IF(Table!E319 = "","",Table!E319)</f>
        <v/>
      </c>
      <c r="F319" s="32" t="str">
        <f>IF(Table!F319 = "","",Table!F319)</f>
        <v/>
      </c>
      <c r="G319" s="91"/>
      <c r="I319" s="84" t="str">
        <f>IFERROR(VLOOKUP(A319,Downlink!A:L,12,TRUE),"")</f>
        <v/>
      </c>
      <c r="K319" s="31" t="str">
        <f>IFERROR(VLOOKUP(A319,Table!$I$4:$O$3000,1,TRUE),"")</f>
        <v/>
      </c>
      <c r="L319" s="31" t="str">
        <f>IFERROR(INDEX(Table!I:O,MATCH(K319,Table!I:I,0),2),"")</f>
        <v/>
      </c>
      <c r="M319" s="31" t="str">
        <f>IFERROR(INDEX(Table!I:O,MATCH(K319,Table!I:I,0),3),"")</f>
        <v/>
      </c>
      <c r="N319" s="32" t="str">
        <f>IFERROR(INDEX(Table!I:O,MATCH(K319,Table!I:I,0),4),"")</f>
        <v/>
      </c>
      <c r="O319" s="32" t="str">
        <f>IFERROR(INDEX(Table!I:O,MATCH(K319,Table!I:I,0),5),"")</f>
        <v/>
      </c>
      <c r="P319" s="32" t="str">
        <f>IFERROR(INDEX(Table!I:O,MATCH(K319,Table!I:I,0),6),"")</f>
        <v/>
      </c>
      <c r="Q319" s="89" t="str">
        <f t="shared" si="12"/>
        <v/>
      </c>
      <c r="R319" s="89" t="str">
        <f t="shared" si="13"/>
        <v/>
      </c>
      <c r="S319" s="82"/>
      <c r="U319" s="37" t="e">
        <f t="shared" si="14"/>
        <v>#VALUE!</v>
      </c>
    </row>
    <row r="320" spans="1:21" x14ac:dyDescent="0.25">
      <c r="A320" s="31" t="str">
        <f>IF(Table!A320 = "","",Table!A320)</f>
        <v/>
      </c>
      <c r="B320" s="31" t="str">
        <f>IF(Table!B320 = "","",Table!B320)</f>
        <v/>
      </c>
      <c r="C320" s="31" t="str">
        <f>IF(Table!C320 = "","",Table!C320)</f>
        <v/>
      </c>
      <c r="D320" s="32" t="str">
        <f>IF(Table!D320 = "","",Table!D320)</f>
        <v/>
      </c>
      <c r="E320" s="32" t="str">
        <f>IF(Table!E320 = "","",Table!E320)</f>
        <v/>
      </c>
      <c r="F320" s="32" t="str">
        <f>IF(Table!F320 = "","",Table!F320)</f>
        <v/>
      </c>
      <c r="G320" s="91"/>
      <c r="I320" s="84" t="str">
        <f>IFERROR(VLOOKUP(A320,Downlink!A:L,12,TRUE),"")</f>
        <v/>
      </c>
      <c r="K320" s="31" t="str">
        <f>IFERROR(VLOOKUP(A320,Table!$I$4:$O$3000,1,TRUE),"")</f>
        <v/>
      </c>
      <c r="L320" s="31" t="str">
        <f>IFERROR(INDEX(Table!I:O,MATCH(K320,Table!I:I,0),2),"")</f>
        <v/>
      </c>
      <c r="M320" s="31" t="str">
        <f>IFERROR(INDEX(Table!I:O,MATCH(K320,Table!I:I,0),3),"")</f>
        <v/>
      </c>
      <c r="N320" s="32" t="str">
        <f>IFERROR(INDEX(Table!I:O,MATCH(K320,Table!I:I,0),4),"")</f>
        <v/>
      </c>
      <c r="O320" s="32" t="str">
        <f>IFERROR(INDEX(Table!I:O,MATCH(K320,Table!I:I,0),5),"")</f>
        <v/>
      </c>
      <c r="P320" s="32" t="str">
        <f>IFERROR(INDEX(Table!I:O,MATCH(K320,Table!I:I,0),6),"")</f>
        <v/>
      </c>
      <c r="Q320" s="89" t="str">
        <f t="shared" si="12"/>
        <v/>
      </c>
      <c r="R320" s="89" t="str">
        <f t="shared" si="13"/>
        <v/>
      </c>
      <c r="S320" s="82"/>
      <c r="U320" s="37" t="e">
        <f t="shared" si="14"/>
        <v>#VALUE!</v>
      </c>
    </row>
    <row r="321" spans="1:21" x14ac:dyDescent="0.25">
      <c r="A321" s="31" t="str">
        <f>IF(Table!A321 = "","",Table!A321)</f>
        <v/>
      </c>
      <c r="B321" s="31" t="str">
        <f>IF(Table!B321 = "","",Table!B321)</f>
        <v/>
      </c>
      <c r="C321" s="31" t="str">
        <f>IF(Table!C321 = "","",Table!C321)</f>
        <v/>
      </c>
      <c r="D321" s="32" t="str">
        <f>IF(Table!D321 = "","",Table!D321)</f>
        <v/>
      </c>
      <c r="E321" s="32" t="str">
        <f>IF(Table!E321 = "","",Table!E321)</f>
        <v/>
      </c>
      <c r="F321" s="32" t="str">
        <f>IF(Table!F321 = "","",Table!F321)</f>
        <v/>
      </c>
      <c r="G321" s="91"/>
      <c r="I321" s="84" t="str">
        <f>IFERROR(VLOOKUP(A321,Downlink!A:L,12,TRUE),"")</f>
        <v/>
      </c>
      <c r="K321" s="31" t="str">
        <f>IFERROR(VLOOKUP(A321,Table!$I$4:$O$3000,1,TRUE),"")</f>
        <v/>
      </c>
      <c r="L321" s="31" t="str">
        <f>IFERROR(INDEX(Table!I:O,MATCH(K321,Table!I:I,0),2),"")</f>
        <v/>
      </c>
      <c r="M321" s="31" t="str">
        <f>IFERROR(INDEX(Table!I:O,MATCH(K321,Table!I:I,0),3),"")</f>
        <v/>
      </c>
      <c r="N321" s="32" t="str">
        <f>IFERROR(INDEX(Table!I:O,MATCH(K321,Table!I:I,0),4),"")</f>
        <v/>
      </c>
      <c r="O321" s="32" t="str">
        <f>IFERROR(INDEX(Table!I:O,MATCH(K321,Table!I:I,0),5),"")</f>
        <v/>
      </c>
      <c r="P321" s="32" t="str">
        <f>IFERROR(INDEX(Table!I:O,MATCH(K321,Table!I:I,0),6),"")</f>
        <v/>
      </c>
      <c r="Q321" s="89" t="str">
        <f t="shared" si="12"/>
        <v/>
      </c>
      <c r="R321" s="89" t="str">
        <f t="shared" si="13"/>
        <v/>
      </c>
      <c r="S321" s="82"/>
      <c r="U321" s="37" t="e">
        <f t="shared" si="14"/>
        <v>#VALUE!</v>
      </c>
    </row>
    <row r="322" spans="1:21" x14ac:dyDescent="0.25">
      <c r="A322" s="31" t="str">
        <f>IF(Table!A322 = "","",Table!A322)</f>
        <v/>
      </c>
      <c r="B322" s="31" t="str">
        <f>IF(Table!B322 = "","",Table!B322)</f>
        <v/>
      </c>
      <c r="C322" s="31" t="str">
        <f>IF(Table!C322 = "","",Table!C322)</f>
        <v/>
      </c>
      <c r="D322" s="32" t="str">
        <f>IF(Table!D322 = "","",Table!D322)</f>
        <v/>
      </c>
      <c r="E322" s="32" t="str">
        <f>IF(Table!E322 = "","",Table!E322)</f>
        <v/>
      </c>
      <c r="F322" s="32" t="str">
        <f>IF(Table!F322 = "","",Table!F322)</f>
        <v/>
      </c>
      <c r="G322" s="91"/>
      <c r="I322" s="84" t="str">
        <f>IFERROR(VLOOKUP(A322,Downlink!A:L,12,TRUE),"")</f>
        <v/>
      </c>
      <c r="K322" s="31" t="str">
        <f>IFERROR(VLOOKUP(A322,Table!$I$4:$O$3000,1,TRUE),"")</f>
        <v/>
      </c>
      <c r="L322" s="31" t="str">
        <f>IFERROR(INDEX(Table!I:O,MATCH(K322,Table!I:I,0),2),"")</f>
        <v/>
      </c>
      <c r="M322" s="31" t="str">
        <f>IFERROR(INDEX(Table!I:O,MATCH(K322,Table!I:I,0),3),"")</f>
        <v/>
      </c>
      <c r="N322" s="32" t="str">
        <f>IFERROR(INDEX(Table!I:O,MATCH(K322,Table!I:I,0),4),"")</f>
        <v/>
      </c>
      <c r="O322" s="32" t="str">
        <f>IFERROR(INDEX(Table!I:O,MATCH(K322,Table!I:I,0),5),"")</f>
        <v/>
      </c>
      <c r="P322" s="32" t="str">
        <f>IFERROR(INDEX(Table!I:O,MATCH(K322,Table!I:I,0),6),"")</f>
        <v/>
      </c>
      <c r="Q322" s="89" t="str">
        <f t="shared" si="12"/>
        <v/>
      </c>
      <c r="R322" s="89" t="str">
        <f t="shared" si="13"/>
        <v/>
      </c>
      <c r="S322" s="82"/>
      <c r="U322" s="37" t="e">
        <f t="shared" si="14"/>
        <v>#VALUE!</v>
      </c>
    </row>
    <row r="323" spans="1:21" x14ac:dyDescent="0.25">
      <c r="A323" s="31" t="str">
        <f>IF(Table!A323 = "","",Table!A323)</f>
        <v/>
      </c>
      <c r="B323" s="31" t="str">
        <f>IF(Table!B323 = "","",Table!B323)</f>
        <v/>
      </c>
      <c r="C323" s="31" t="str">
        <f>IF(Table!C323 = "","",Table!C323)</f>
        <v/>
      </c>
      <c r="D323" s="32" t="str">
        <f>IF(Table!D323 = "","",Table!D323)</f>
        <v/>
      </c>
      <c r="E323" s="32" t="str">
        <f>IF(Table!E323 = "","",Table!E323)</f>
        <v/>
      </c>
      <c r="F323" s="32" t="str">
        <f>IF(Table!F323 = "","",Table!F323)</f>
        <v/>
      </c>
      <c r="G323" s="91"/>
      <c r="I323" s="84" t="str">
        <f>IFERROR(VLOOKUP(A323,Downlink!A:L,12,TRUE),"")</f>
        <v/>
      </c>
      <c r="K323" s="31" t="str">
        <f>IFERROR(VLOOKUP(A323,Table!$I$4:$O$3000,1,TRUE),"")</f>
        <v/>
      </c>
      <c r="L323" s="31" t="str">
        <f>IFERROR(INDEX(Table!I:O,MATCH(K323,Table!I:I,0),2),"")</f>
        <v/>
      </c>
      <c r="M323" s="31" t="str">
        <f>IFERROR(INDEX(Table!I:O,MATCH(K323,Table!I:I,0),3),"")</f>
        <v/>
      </c>
      <c r="N323" s="32" t="str">
        <f>IFERROR(INDEX(Table!I:O,MATCH(K323,Table!I:I,0),4),"")</f>
        <v/>
      </c>
      <c r="O323" s="32" t="str">
        <f>IFERROR(INDEX(Table!I:O,MATCH(K323,Table!I:I,0),5),"")</f>
        <v/>
      </c>
      <c r="P323" s="32" t="str">
        <f>IFERROR(INDEX(Table!I:O,MATCH(K323,Table!I:I,0),6),"")</f>
        <v/>
      </c>
      <c r="Q323" s="89" t="str">
        <f t="shared" si="12"/>
        <v/>
      </c>
      <c r="R323" s="89" t="str">
        <f t="shared" si="13"/>
        <v/>
      </c>
      <c r="S323" s="82"/>
      <c r="U323" s="37" t="e">
        <f t="shared" si="14"/>
        <v>#VALUE!</v>
      </c>
    </row>
    <row r="324" spans="1:21" x14ac:dyDescent="0.25">
      <c r="A324" s="31" t="str">
        <f>IF(Table!A324 = "","",Table!A324)</f>
        <v/>
      </c>
      <c r="B324" s="31" t="str">
        <f>IF(Table!B324 = "","",Table!B324)</f>
        <v/>
      </c>
      <c r="C324" s="31" t="str">
        <f>IF(Table!C324 = "","",Table!C324)</f>
        <v/>
      </c>
      <c r="D324" s="32" t="str">
        <f>IF(Table!D324 = "","",Table!D324)</f>
        <v/>
      </c>
      <c r="E324" s="32" t="str">
        <f>IF(Table!E324 = "","",Table!E324)</f>
        <v/>
      </c>
      <c r="F324" s="32" t="str">
        <f>IF(Table!F324 = "","",Table!F324)</f>
        <v/>
      </c>
      <c r="G324" s="91"/>
      <c r="I324" s="84" t="str">
        <f>IFERROR(VLOOKUP(A324,Downlink!A:L,12,TRUE),"")</f>
        <v/>
      </c>
      <c r="K324" s="31" t="str">
        <f>IFERROR(VLOOKUP(A324,Table!$I$4:$O$3000,1,TRUE),"")</f>
        <v/>
      </c>
      <c r="L324" s="31" t="str">
        <f>IFERROR(INDEX(Table!I:O,MATCH(K324,Table!I:I,0),2),"")</f>
        <v/>
      </c>
      <c r="M324" s="31" t="str">
        <f>IFERROR(INDEX(Table!I:O,MATCH(K324,Table!I:I,0),3),"")</f>
        <v/>
      </c>
      <c r="N324" s="32" t="str">
        <f>IFERROR(INDEX(Table!I:O,MATCH(K324,Table!I:I,0),4),"")</f>
        <v/>
      </c>
      <c r="O324" s="32" t="str">
        <f>IFERROR(INDEX(Table!I:O,MATCH(K324,Table!I:I,0),5),"")</f>
        <v/>
      </c>
      <c r="P324" s="32" t="str">
        <f>IFERROR(INDEX(Table!I:O,MATCH(K324,Table!I:I,0),6),"")</f>
        <v/>
      </c>
      <c r="Q324" s="89" t="str">
        <f t="shared" si="12"/>
        <v/>
      </c>
      <c r="R324" s="89" t="str">
        <f t="shared" si="13"/>
        <v/>
      </c>
      <c r="S324" s="82"/>
      <c r="U324" s="37" t="e">
        <f t="shared" si="14"/>
        <v>#VALUE!</v>
      </c>
    </row>
    <row r="325" spans="1:21" x14ac:dyDescent="0.25">
      <c r="A325" s="31" t="str">
        <f>IF(Table!A325 = "","",Table!A325)</f>
        <v/>
      </c>
      <c r="B325" s="31" t="str">
        <f>IF(Table!B325 = "","",Table!B325)</f>
        <v/>
      </c>
      <c r="C325" s="31" t="str">
        <f>IF(Table!C325 = "","",Table!C325)</f>
        <v/>
      </c>
      <c r="D325" s="32" t="str">
        <f>IF(Table!D325 = "","",Table!D325)</f>
        <v/>
      </c>
      <c r="E325" s="32" t="str">
        <f>IF(Table!E325 = "","",Table!E325)</f>
        <v/>
      </c>
      <c r="F325" s="32" t="str">
        <f>IF(Table!F325 = "","",Table!F325)</f>
        <v/>
      </c>
      <c r="G325" s="91"/>
      <c r="I325" s="84" t="str">
        <f>IFERROR(VLOOKUP(A325,Downlink!A:L,12,TRUE),"")</f>
        <v/>
      </c>
      <c r="K325" s="31" t="str">
        <f>IFERROR(VLOOKUP(A325,Table!$I$4:$O$3000,1,TRUE),"")</f>
        <v/>
      </c>
      <c r="L325" s="31" t="str">
        <f>IFERROR(INDEX(Table!I:O,MATCH(K325,Table!I:I,0),2),"")</f>
        <v/>
      </c>
      <c r="M325" s="31" t="str">
        <f>IFERROR(INDEX(Table!I:O,MATCH(K325,Table!I:I,0),3),"")</f>
        <v/>
      </c>
      <c r="N325" s="32" t="str">
        <f>IFERROR(INDEX(Table!I:O,MATCH(K325,Table!I:I,0),4),"")</f>
        <v/>
      </c>
      <c r="O325" s="32" t="str">
        <f>IFERROR(INDEX(Table!I:O,MATCH(K325,Table!I:I,0),5),"")</f>
        <v/>
      </c>
      <c r="P325" s="32" t="str">
        <f>IFERROR(INDEX(Table!I:O,MATCH(K325,Table!I:I,0),6),"")</f>
        <v/>
      </c>
      <c r="Q325" s="89" t="str">
        <f t="shared" si="12"/>
        <v/>
      </c>
      <c r="R325" s="89" t="str">
        <f t="shared" si="13"/>
        <v/>
      </c>
      <c r="S325" s="82"/>
      <c r="U325" s="37" t="e">
        <f t="shared" si="14"/>
        <v>#VALUE!</v>
      </c>
    </row>
    <row r="326" spans="1:21" x14ac:dyDescent="0.25">
      <c r="A326" s="31" t="str">
        <f>IF(Table!A326 = "","",Table!A326)</f>
        <v/>
      </c>
      <c r="B326" s="31" t="str">
        <f>IF(Table!B326 = "","",Table!B326)</f>
        <v/>
      </c>
      <c r="C326" s="31" t="str">
        <f>IF(Table!C326 = "","",Table!C326)</f>
        <v/>
      </c>
      <c r="D326" s="32" t="str">
        <f>IF(Table!D326 = "","",Table!D326)</f>
        <v/>
      </c>
      <c r="E326" s="32" t="str">
        <f>IF(Table!E326 = "","",Table!E326)</f>
        <v/>
      </c>
      <c r="F326" s="32" t="str">
        <f>IF(Table!F326 = "","",Table!F326)</f>
        <v/>
      </c>
      <c r="G326" s="91"/>
      <c r="I326" s="84" t="str">
        <f>IFERROR(VLOOKUP(A326,Downlink!A:L,12,TRUE),"")</f>
        <v/>
      </c>
      <c r="K326" s="31" t="str">
        <f>IFERROR(VLOOKUP(A326,Table!$I$4:$O$3000,1,TRUE),"")</f>
        <v/>
      </c>
      <c r="L326" s="31" t="str">
        <f>IFERROR(INDEX(Table!I:O,MATCH(K326,Table!I:I,0),2),"")</f>
        <v/>
      </c>
      <c r="M326" s="31" t="str">
        <f>IFERROR(INDEX(Table!I:O,MATCH(K326,Table!I:I,0),3),"")</f>
        <v/>
      </c>
      <c r="N326" s="32" t="str">
        <f>IFERROR(INDEX(Table!I:O,MATCH(K326,Table!I:I,0),4),"")</f>
        <v/>
      </c>
      <c r="O326" s="32" t="str">
        <f>IFERROR(INDEX(Table!I:O,MATCH(K326,Table!I:I,0),5),"")</f>
        <v/>
      </c>
      <c r="P326" s="32" t="str">
        <f>IFERROR(INDEX(Table!I:O,MATCH(K326,Table!I:I,0),6),"")</f>
        <v/>
      </c>
      <c r="Q326" s="89" t="str">
        <f t="shared" ref="Q326:Q389" si="15">IFERROR(L326-B326,"")</f>
        <v/>
      </c>
      <c r="R326" s="89" t="str">
        <f t="shared" ref="R326:R389" si="16">IFERROR(M326-C326,"")</f>
        <v/>
      </c>
      <c r="S326" s="82"/>
      <c r="U326" s="37" t="e">
        <f t="shared" ref="U326:U389" si="17">K326-K325</f>
        <v>#VALUE!</v>
      </c>
    </row>
    <row r="327" spans="1:21" x14ac:dyDescent="0.25">
      <c r="A327" s="31" t="str">
        <f>IF(Table!A327 = "","",Table!A327)</f>
        <v/>
      </c>
      <c r="B327" s="31" t="str">
        <f>IF(Table!B327 = "","",Table!B327)</f>
        <v/>
      </c>
      <c r="C327" s="31" t="str">
        <f>IF(Table!C327 = "","",Table!C327)</f>
        <v/>
      </c>
      <c r="D327" s="32" t="str">
        <f>IF(Table!D327 = "","",Table!D327)</f>
        <v/>
      </c>
      <c r="E327" s="32" t="str">
        <f>IF(Table!E327 = "","",Table!E327)</f>
        <v/>
      </c>
      <c r="F327" s="32" t="str">
        <f>IF(Table!F327 = "","",Table!F327)</f>
        <v/>
      </c>
      <c r="G327" s="91"/>
      <c r="I327" s="84" t="str">
        <f>IFERROR(VLOOKUP(A327,Downlink!A:L,12,TRUE),"")</f>
        <v/>
      </c>
      <c r="K327" s="31" t="str">
        <f>IFERROR(VLOOKUP(A327,Table!$I$4:$O$3000,1,TRUE),"")</f>
        <v/>
      </c>
      <c r="L327" s="31" t="str">
        <f>IFERROR(INDEX(Table!I:O,MATCH(K327,Table!I:I,0),2),"")</f>
        <v/>
      </c>
      <c r="M327" s="31" t="str">
        <f>IFERROR(INDEX(Table!I:O,MATCH(K327,Table!I:I,0),3),"")</f>
        <v/>
      </c>
      <c r="N327" s="32" t="str">
        <f>IFERROR(INDEX(Table!I:O,MATCH(K327,Table!I:I,0),4),"")</f>
        <v/>
      </c>
      <c r="O327" s="32" t="str">
        <f>IFERROR(INDEX(Table!I:O,MATCH(K327,Table!I:I,0),5),"")</f>
        <v/>
      </c>
      <c r="P327" s="32" t="str">
        <f>IFERROR(INDEX(Table!I:O,MATCH(K327,Table!I:I,0),6),"")</f>
        <v/>
      </c>
      <c r="Q327" s="89" t="str">
        <f t="shared" si="15"/>
        <v/>
      </c>
      <c r="R327" s="89" t="str">
        <f t="shared" si="16"/>
        <v/>
      </c>
      <c r="S327" s="82"/>
      <c r="U327" s="37" t="e">
        <f t="shared" si="17"/>
        <v>#VALUE!</v>
      </c>
    </row>
    <row r="328" spans="1:21" x14ac:dyDescent="0.25">
      <c r="A328" s="31" t="str">
        <f>IF(Table!A328 = "","",Table!A328)</f>
        <v/>
      </c>
      <c r="B328" s="31" t="str">
        <f>IF(Table!B328 = "","",Table!B328)</f>
        <v/>
      </c>
      <c r="C328" s="31" t="str">
        <f>IF(Table!C328 = "","",Table!C328)</f>
        <v/>
      </c>
      <c r="D328" s="32" t="str">
        <f>IF(Table!D328 = "","",Table!D328)</f>
        <v/>
      </c>
      <c r="E328" s="32" t="str">
        <f>IF(Table!E328 = "","",Table!E328)</f>
        <v/>
      </c>
      <c r="F328" s="32" t="str">
        <f>IF(Table!F328 = "","",Table!F328)</f>
        <v/>
      </c>
      <c r="G328" s="91"/>
      <c r="I328" s="84" t="str">
        <f>IFERROR(VLOOKUP(A328,Downlink!A:L,12,TRUE),"")</f>
        <v/>
      </c>
      <c r="K328" s="31" t="str">
        <f>IFERROR(VLOOKUP(A328,Table!$I$4:$O$3000,1,TRUE),"")</f>
        <v/>
      </c>
      <c r="L328" s="31" t="str">
        <f>IFERROR(INDEX(Table!I:O,MATCH(K328,Table!I:I,0),2),"")</f>
        <v/>
      </c>
      <c r="M328" s="31" t="str">
        <f>IFERROR(INDEX(Table!I:O,MATCH(K328,Table!I:I,0),3),"")</f>
        <v/>
      </c>
      <c r="N328" s="32" t="str">
        <f>IFERROR(INDEX(Table!I:O,MATCH(K328,Table!I:I,0),4),"")</f>
        <v/>
      </c>
      <c r="O328" s="32" t="str">
        <f>IFERROR(INDEX(Table!I:O,MATCH(K328,Table!I:I,0),5),"")</f>
        <v/>
      </c>
      <c r="P328" s="32" t="str">
        <f>IFERROR(INDEX(Table!I:O,MATCH(K328,Table!I:I,0),6),"")</f>
        <v/>
      </c>
      <c r="Q328" s="89" t="str">
        <f t="shared" si="15"/>
        <v/>
      </c>
      <c r="R328" s="89" t="str">
        <f t="shared" si="16"/>
        <v/>
      </c>
      <c r="S328" s="82"/>
      <c r="U328" s="37" t="e">
        <f t="shared" si="17"/>
        <v>#VALUE!</v>
      </c>
    </row>
    <row r="329" spans="1:21" x14ac:dyDescent="0.25">
      <c r="A329" s="31" t="str">
        <f>IF(Table!A329 = "","",Table!A329)</f>
        <v/>
      </c>
      <c r="B329" s="31" t="str">
        <f>IF(Table!B329 = "","",Table!B329)</f>
        <v/>
      </c>
      <c r="C329" s="31" t="str">
        <f>IF(Table!C329 = "","",Table!C329)</f>
        <v/>
      </c>
      <c r="D329" s="32" t="str">
        <f>IF(Table!D329 = "","",Table!D329)</f>
        <v/>
      </c>
      <c r="E329" s="32" t="str">
        <f>IF(Table!E329 = "","",Table!E329)</f>
        <v/>
      </c>
      <c r="F329" s="32" t="str">
        <f>IF(Table!F329 = "","",Table!F329)</f>
        <v/>
      </c>
      <c r="G329" s="91"/>
      <c r="I329" s="84" t="str">
        <f>IFERROR(VLOOKUP(A329,Downlink!A:L,12,TRUE),"")</f>
        <v/>
      </c>
      <c r="K329" s="31" t="str">
        <f>IFERROR(VLOOKUP(A329,Table!$I$4:$O$3000,1,TRUE),"")</f>
        <v/>
      </c>
      <c r="L329" s="31" t="str">
        <f>IFERROR(INDEX(Table!I:O,MATCH(K329,Table!I:I,0),2),"")</f>
        <v/>
      </c>
      <c r="M329" s="31" t="str">
        <f>IFERROR(INDEX(Table!I:O,MATCH(K329,Table!I:I,0),3),"")</f>
        <v/>
      </c>
      <c r="N329" s="32" t="str">
        <f>IFERROR(INDEX(Table!I:O,MATCH(K329,Table!I:I,0),4),"")</f>
        <v/>
      </c>
      <c r="O329" s="32" t="str">
        <f>IFERROR(INDEX(Table!I:O,MATCH(K329,Table!I:I,0),5),"")</f>
        <v/>
      </c>
      <c r="P329" s="32" t="str">
        <f>IFERROR(INDEX(Table!I:O,MATCH(K329,Table!I:I,0),6),"")</f>
        <v/>
      </c>
      <c r="Q329" s="89" t="str">
        <f t="shared" si="15"/>
        <v/>
      </c>
      <c r="R329" s="89" t="str">
        <f t="shared" si="16"/>
        <v/>
      </c>
      <c r="S329" s="82"/>
      <c r="U329" s="37" t="e">
        <f t="shared" si="17"/>
        <v>#VALUE!</v>
      </c>
    </row>
    <row r="330" spans="1:21" x14ac:dyDescent="0.25">
      <c r="A330" s="31" t="str">
        <f>IF(Table!A330 = "","",Table!A330)</f>
        <v/>
      </c>
      <c r="B330" s="31" t="str">
        <f>IF(Table!B330 = "","",Table!B330)</f>
        <v/>
      </c>
      <c r="C330" s="31" t="str">
        <f>IF(Table!C330 = "","",Table!C330)</f>
        <v/>
      </c>
      <c r="D330" s="32" t="str">
        <f>IF(Table!D330 = "","",Table!D330)</f>
        <v/>
      </c>
      <c r="E330" s="32" t="str">
        <f>IF(Table!E330 = "","",Table!E330)</f>
        <v/>
      </c>
      <c r="F330" s="32" t="str">
        <f>IF(Table!F330 = "","",Table!F330)</f>
        <v/>
      </c>
      <c r="G330" s="91"/>
      <c r="I330" s="84" t="str">
        <f>IFERROR(VLOOKUP(A330,Downlink!A:L,12,TRUE),"")</f>
        <v/>
      </c>
      <c r="K330" s="31" t="str">
        <f>IFERROR(VLOOKUP(A330,Table!$I$4:$O$3000,1,TRUE),"")</f>
        <v/>
      </c>
      <c r="L330" s="31" t="str">
        <f>IFERROR(INDEX(Table!I:O,MATCH(K330,Table!I:I,0),2),"")</f>
        <v/>
      </c>
      <c r="M330" s="31" t="str">
        <f>IFERROR(INDEX(Table!I:O,MATCH(K330,Table!I:I,0),3),"")</f>
        <v/>
      </c>
      <c r="N330" s="32" t="str">
        <f>IFERROR(INDEX(Table!I:O,MATCH(K330,Table!I:I,0),4),"")</f>
        <v/>
      </c>
      <c r="O330" s="32" t="str">
        <f>IFERROR(INDEX(Table!I:O,MATCH(K330,Table!I:I,0),5),"")</f>
        <v/>
      </c>
      <c r="P330" s="32" t="str">
        <f>IFERROR(INDEX(Table!I:O,MATCH(K330,Table!I:I,0),6),"")</f>
        <v/>
      </c>
      <c r="Q330" s="89" t="str">
        <f t="shared" si="15"/>
        <v/>
      </c>
      <c r="R330" s="89" t="str">
        <f t="shared" si="16"/>
        <v/>
      </c>
      <c r="S330" s="82"/>
      <c r="U330" s="37" t="e">
        <f t="shared" si="17"/>
        <v>#VALUE!</v>
      </c>
    </row>
    <row r="331" spans="1:21" x14ac:dyDescent="0.25">
      <c r="A331" s="31" t="str">
        <f>IF(Table!A331 = "","",Table!A331)</f>
        <v/>
      </c>
      <c r="B331" s="31" t="str">
        <f>IF(Table!B331 = "","",Table!B331)</f>
        <v/>
      </c>
      <c r="C331" s="31" t="str">
        <f>IF(Table!C331 = "","",Table!C331)</f>
        <v/>
      </c>
      <c r="D331" s="32" t="str">
        <f>IF(Table!D331 = "","",Table!D331)</f>
        <v/>
      </c>
      <c r="E331" s="32" t="str">
        <f>IF(Table!E331 = "","",Table!E331)</f>
        <v/>
      </c>
      <c r="F331" s="32" t="str">
        <f>IF(Table!F331 = "","",Table!F331)</f>
        <v/>
      </c>
      <c r="G331" s="91"/>
      <c r="I331" s="84" t="str">
        <f>IFERROR(VLOOKUP(A331,Downlink!A:L,12,TRUE),"")</f>
        <v/>
      </c>
      <c r="K331" s="31" t="str">
        <f>IFERROR(VLOOKUP(A331,Table!$I$4:$O$3000,1,TRUE),"")</f>
        <v/>
      </c>
      <c r="L331" s="31" t="str">
        <f>IFERROR(INDEX(Table!I:O,MATCH(K331,Table!I:I,0),2),"")</f>
        <v/>
      </c>
      <c r="M331" s="31" t="str">
        <f>IFERROR(INDEX(Table!I:O,MATCH(K331,Table!I:I,0),3),"")</f>
        <v/>
      </c>
      <c r="N331" s="32" t="str">
        <f>IFERROR(INDEX(Table!I:O,MATCH(K331,Table!I:I,0),4),"")</f>
        <v/>
      </c>
      <c r="O331" s="32" t="str">
        <f>IFERROR(INDEX(Table!I:O,MATCH(K331,Table!I:I,0),5),"")</f>
        <v/>
      </c>
      <c r="P331" s="32" t="str">
        <f>IFERROR(INDEX(Table!I:O,MATCH(K331,Table!I:I,0),6),"")</f>
        <v/>
      </c>
      <c r="Q331" s="89" t="str">
        <f t="shared" si="15"/>
        <v/>
      </c>
      <c r="R331" s="89" t="str">
        <f t="shared" si="16"/>
        <v/>
      </c>
      <c r="S331" s="82"/>
      <c r="U331" s="37" t="e">
        <f t="shared" si="17"/>
        <v>#VALUE!</v>
      </c>
    </row>
    <row r="332" spans="1:21" x14ac:dyDescent="0.25">
      <c r="A332" s="31" t="str">
        <f>IF(Table!A332 = "","",Table!A332)</f>
        <v/>
      </c>
      <c r="B332" s="31" t="str">
        <f>IF(Table!B332 = "","",Table!B332)</f>
        <v/>
      </c>
      <c r="C332" s="31" t="str">
        <f>IF(Table!C332 = "","",Table!C332)</f>
        <v/>
      </c>
      <c r="D332" s="32" t="str">
        <f>IF(Table!D332 = "","",Table!D332)</f>
        <v/>
      </c>
      <c r="E332" s="32" t="str">
        <f>IF(Table!E332 = "","",Table!E332)</f>
        <v/>
      </c>
      <c r="F332" s="32" t="str">
        <f>IF(Table!F332 = "","",Table!F332)</f>
        <v/>
      </c>
      <c r="G332" s="91"/>
      <c r="I332" s="84" t="str">
        <f>IFERROR(VLOOKUP(A332,Downlink!A:L,12,TRUE),"")</f>
        <v/>
      </c>
      <c r="K332" s="31" t="str">
        <f>IFERROR(VLOOKUP(A332,Table!$I$4:$O$3000,1,TRUE),"")</f>
        <v/>
      </c>
      <c r="L332" s="31" t="str">
        <f>IFERROR(INDEX(Table!I:O,MATCH(K332,Table!I:I,0),2),"")</f>
        <v/>
      </c>
      <c r="M332" s="31" t="str">
        <f>IFERROR(INDEX(Table!I:O,MATCH(K332,Table!I:I,0),3),"")</f>
        <v/>
      </c>
      <c r="N332" s="32" t="str">
        <f>IFERROR(INDEX(Table!I:O,MATCH(K332,Table!I:I,0),4),"")</f>
        <v/>
      </c>
      <c r="O332" s="32" t="str">
        <f>IFERROR(INDEX(Table!I:O,MATCH(K332,Table!I:I,0),5),"")</f>
        <v/>
      </c>
      <c r="P332" s="32" t="str">
        <f>IFERROR(INDEX(Table!I:O,MATCH(K332,Table!I:I,0),6),"")</f>
        <v/>
      </c>
      <c r="Q332" s="89" t="str">
        <f t="shared" si="15"/>
        <v/>
      </c>
      <c r="R332" s="89" t="str">
        <f t="shared" si="16"/>
        <v/>
      </c>
      <c r="S332" s="82"/>
      <c r="U332" s="37" t="e">
        <f t="shared" si="17"/>
        <v>#VALUE!</v>
      </c>
    </row>
    <row r="333" spans="1:21" x14ac:dyDescent="0.25">
      <c r="A333" s="31" t="str">
        <f>IF(Table!A333 = "","",Table!A333)</f>
        <v/>
      </c>
      <c r="B333" s="31" t="str">
        <f>IF(Table!B333 = "","",Table!B333)</f>
        <v/>
      </c>
      <c r="C333" s="31" t="str">
        <f>IF(Table!C333 = "","",Table!C333)</f>
        <v/>
      </c>
      <c r="D333" s="32" t="str">
        <f>IF(Table!D333 = "","",Table!D333)</f>
        <v/>
      </c>
      <c r="E333" s="32" t="str">
        <f>IF(Table!E333 = "","",Table!E333)</f>
        <v/>
      </c>
      <c r="F333" s="32" t="str">
        <f>IF(Table!F333 = "","",Table!F333)</f>
        <v/>
      </c>
      <c r="G333" s="91"/>
      <c r="I333" s="84" t="str">
        <f>IFERROR(VLOOKUP(A333,Downlink!A:L,12,TRUE),"")</f>
        <v/>
      </c>
      <c r="K333" s="31" t="str">
        <f>IFERROR(VLOOKUP(A333,Table!$I$4:$O$3000,1,TRUE),"")</f>
        <v/>
      </c>
      <c r="L333" s="31" t="str">
        <f>IFERROR(INDEX(Table!I:O,MATCH(K333,Table!I:I,0),2),"")</f>
        <v/>
      </c>
      <c r="M333" s="31" t="str">
        <f>IFERROR(INDEX(Table!I:O,MATCH(K333,Table!I:I,0),3),"")</f>
        <v/>
      </c>
      <c r="N333" s="32" t="str">
        <f>IFERROR(INDEX(Table!I:O,MATCH(K333,Table!I:I,0),4),"")</f>
        <v/>
      </c>
      <c r="O333" s="32" t="str">
        <f>IFERROR(INDEX(Table!I:O,MATCH(K333,Table!I:I,0),5),"")</f>
        <v/>
      </c>
      <c r="P333" s="32" t="str">
        <f>IFERROR(INDEX(Table!I:O,MATCH(K333,Table!I:I,0),6),"")</f>
        <v/>
      </c>
      <c r="Q333" s="89" t="str">
        <f t="shared" si="15"/>
        <v/>
      </c>
      <c r="R333" s="89" t="str">
        <f t="shared" si="16"/>
        <v/>
      </c>
      <c r="S333" s="82"/>
      <c r="U333" s="37" t="e">
        <f t="shared" si="17"/>
        <v>#VALUE!</v>
      </c>
    </row>
    <row r="334" spans="1:21" x14ac:dyDescent="0.25">
      <c r="A334" s="31" t="str">
        <f>IF(Table!A334 = "","",Table!A334)</f>
        <v/>
      </c>
      <c r="B334" s="31" t="str">
        <f>IF(Table!B334 = "","",Table!B334)</f>
        <v/>
      </c>
      <c r="C334" s="31" t="str">
        <f>IF(Table!C334 = "","",Table!C334)</f>
        <v/>
      </c>
      <c r="D334" s="32" t="str">
        <f>IF(Table!D334 = "","",Table!D334)</f>
        <v/>
      </c>
      <c r="E334" s="32" t="str">
        <f>IF(Table!E334 = "","",Table!E334)</f>
        <v/>
      </c>
      <c r="F334" s="32" t="str">
        <f>IF(Table!F334 = "","",Table!F334)</f>
        <v/>
      </c>
      <c r="G334" s="91"/>
      <c r="I334" s="84" t="str">
        <f>IFERROR(VLOOKUP(A334,Downlink!A:L,12,TRUE),"")</f>
        <v/>
      </c>
      <c r="K334" s="31" t="str">
        <f>IFERROR(VLOOKUP(A334,Table!$I$4:$O$3000,1,TRUE),"")</f>
        <v/>
      </c>
      <c r="L334" s="31" t="str">
        <f>IFERROR(INDEX(Table!I:O,MATCH(K334,Table!I:I,0),2),"")</f>
        <v/>
      </c>
      <c r="M334" s="31" t="str">
        <f>IFERROR(INDEX(Table!I:O,MATCH(K334,Table!I:I,0),3),"")</f>
        <v/>
      </c>
      <c r="N334" s="32" t="str">
        <f>IFERROR(INDEX(Table!I:O,MATCH(K334,Table!I:I,0),4),"")</f>
        <v/>
      </c>
      <c r="O334" s="32" t="str">
        <f>IFERROR(INDEX(Table!I:O,MATCH(K334,Table!I:I,0),5),"")</f>
        <v/>
      </c>
      <c r="P334" s="32" t="str">
        <f>IFERROR(INDEX(Table!I:O,MATCH(K334,Table!I:I,0),6),"")</f>
        <v/>
      </c>
      <c r="Q334" s="89" t="str">
        <f t="shared" si="15"/>
        <v/>
      </c>
      <c r="R334" s="89" t="str">
        <f t="shared" si="16"/>
        <v/>
      </c>
      <c r="S334" s="82"/>
      <c r="U334" s="37" t="e">
        <f t="shared" si="17"/>
        <v>#VALUE!</v>
      </c>
    </row>
    <row r="335" spans="1:21" x14ac:dyDescent="0.25">
      <c r="A335" s="31" t="str">
        <f>IF(Table!A335 = "","",Table!A335)</f>
        <v/>
      </c>
      <c r="B335" s="31" t="str">
        <f>IF(Table!B335 = "","",Table!B335)</f>
        <v/>
      </c>
      <c r="C335" s="31" t="str">
        <f>IF(Table!C335 = "","",Table!C335)</f>
        <v/>
      </c>
      <c r="D335" s="32" t="str">
        <f>IF(Table!D335 = "","",Table!D335)</f>
        <v/>
      </c>
      <c r="E335" s="32" t="str">
        <f>IF(Table!E335 = "","",Table!E335)</f>
        <v/>
      </c>
      <c r="F335" s="32" t="str">
        <f>IF(Table!F335 = "","",Table!F335)</f>
        <v/>
      </c>
      <c r="G335" s="91"/>
      <c r="I335" s="84" t="str">
        <f>IFERROR(VLOOKUP(A335,Downlink!A:L,12,TRUE),"")</f>
        <v/>
      </c>
      <c r="K335" s="31" t="str">
        <f>IFERROR(VLOOKUP(A335,Table!$I$4:$O$3000,1,TRUE),"")</f>
        <v/>
      </c>
      <c r="L335" s="31" t="str">
        <f>IFERROR(INDEX(Table!I:O,MATCH(K335,Table!I:I,0),2),"")</f>
        <v/>
      </c>
      <c r="M335" s="31" t="str">
        <f>IFERROR(INDEX(Table!I:O,MATCH(K335,Table!I:I,0),3),"")</f>
        <v/>
      </c>
      <c r="N335" s="32" t="str">
        <f>IFERROR(INDEX(Table!I:O,MATCH(K335,Table!I:I,0),4),"")</f>
        <v/>
      </c>
      <c r="O335" s="32" t="str">
        <f>IFERROR(INDEX(Table!I:O,MATCH(K335,Table!I:I,0),5),"")</f>
        <v/>
      </c>
      <c r="P335" s="32" t="str">
        <f>IFERROR(INDEX(Table!I:O,MATCH(K335,Table!I:I,0),6),"")</f>
        <v/>
      </c>
      <c r="Q335" s="89" t="str">
        <f t="shared" si="15"/>
        <v/>
      </c>
      <c r="R335" s="89" t="str">
        <f t="shared" si="16"/>
        <v/>
      </c>
      <c r="S335" s="82"/>
      <c r="U335" s="37" t="e">
        <f t="shared" si="17"/>
        <v>#VALUE!</v>
      </c>
    </row>
    <row r="336" spans="1:21" x14ac:dyDescent="0.25">
      <c r="A336" s="31" t="str">
        <f>IF(Table!A336 = "","",Table!A336)</f>
        <v/>
      </c>
      <c r="B336" s="31" t="str">
        <f>IF(Table!B336 = "","",Table!B336)</f>
        <v/>
      </c>
      <c r="C336" s="31" t="str">
        <f>IF(Table!C336 = "","",Table!C336)</f>
        <v/>
      </c>
      <c r="D336" s="32" t="str">
        <f>IF(Table!D336 = "","",Table!D336)</f>
        <v/>
      </c>
      <c r="E336" s="32" t="str">
        <f>IF(Table!E336 = "","",Table!E336)</f>
        <v/>
      </c>
      <c r="F336" s="32" t="str">
        <f>IF(Table!F336 = "","",Table!F336)</f>
        <v/>
      </c>
      <c r="G336" s="91"/>
      <c r="I336" s="84" t="str">
        <f>IFERROR(VLOOKUP(A336,Downlink!A:L,12,TRUE),"")</f>
        <v/>
      </c>
      <c r="K336" s="31" t="str">
        <f>IFERROR(VLOOKUP(A336,Table!$I$4:$O$3000,1,TRUE),"")</f>
        <v/>
      </c>
      <c r="L336" s="31" t="str">
        <f>IFERROR(INDEX(Table!I:O,MATCH(K336,Table!I:I,0),2),"")</f>
        <v/>
      </c>
      <c r="M336" s="31" t="str">
        <f>IFERROR(INDEX(Table!I:O,MATCH(K336,Table!I:I,0),3),"")</f>
        <v/>
      </c>
      <c r="N336" s="32" t="str">
        <f>IFERROR(INDEX(Table!I:O,MATCH(K336,Table!I:I,0),4),"")</f>
        <v/>
      </c>
      <c r="O336" s="32" t="str">
        <f>IFERROR(INDEX(Table!I:O,MATCH(K336,Table!I:I,0),5),"")</f>
        <v/>
      </c>
      <c r="P336" s="32" t="str">
        <f>IFERROR(INDEX(Table!I:O,MATCH(K336,Table!I:I,0),6),"")</f>
        <v/>
      </c>
      <c r="Q336" s="89" t="str">
        <f t="shared" si="15"/>
        <v/>
      </c>
      <c r="R336" s="89" t="str">
        <f t="shared" si="16"/>
        <v/>
      </c>
      <c r="S336" s="82"/>
      <c r="U336" s="37" t="e">
        <f t="shared" si="17"/>
        <v>#VALUE!</v>
      </c>
    </row>
    <row r="337" spans="1:21" x14ac:dyDescent="0.25">
      <c r="A337" s="31" t="str">
        <f>IF(Table!A337 = "","",Table!A337)</f>
        <v/>
      </c>
      <c r="B337" s="31" t="str">
        <f>IF(Table!B337 = "","",Table!B337)</f>
        <v/>
      </c>
      <c r="C337" s="31" t="str">
        <f>IF(Table!C337 = "","",Table!C337)</f>
        <v/>
      </c>
      <c r="D337" s="32" t="str">
        <f>IF(Table!D337 = "","",Table!D337)</f>
        <v/>
      </c>
      <c r="E337" s="32" t="str">
        <f>IF(Table!E337 = "","",Table!E337)</f>
        <v/>
      </c>
      <c r="F337" s="32" t="str">
        <f>IF(Table!F337 = "","",Table!F337)</f>
        <v/>
      </c>
      <c r="G337" s="91"/>
      <c r="I337" s="84" t="str">
        <f>IFERROR(VLOOKUP(A337,Downlink!A:L,12,TRUE),"")</f>
        <v/>
      </c>
      <c r="K337" s="31" t="str">
        <f>IFERROR(VLOOKUP(A337,Table!$I$4:$O$3000,1,TRUE),"")</f>
        <v/>
      </c>
      <c r="L337" s="31" t="str">
        <f>IFERROR(INDEX(Table!I:O,MATCH(K337,Table!I:I,0),2),"")</f>
        <v/>
      </c>
      <c r="M337" s="31" t="str">
        <f>IFERROR(INDEX(Table!I:O,MATCH(K337,Table!I:I,0),3),"")</f>
        <v/>
      </c>
      <c r="N337" s="32" t="str">
        <f>IFERROR(INDEX(Table!I:O,MATCH(K337,Table!I:I,0),4),"")</f>
        <v/>
      </c>
      <c r="O337" s="32" t="str">
        <f>IFERROR(INDEX(Table!I:O,MATCH(K337,Table!I:I,0),5),"")</f>
        <v/>
      </c>
      <c r="P337" s="32" t="str">
        <f>IFERROR(INDEX(Table!I:O,MATCH(K337,Table!I:I,0),6),"")</f>
        <v/>
      </c>
      <c r="Q337" s="89" t="str">
        <f t="shared" si="15"/>
        <v/>
      </c>
      <c r="R337" s="89" t="str">
        <f t="shared" si="16"/>
        <v/>
      </c>
      <c r="S337" s="82"/>
      <c r="U337" s="37" t="e">
        <f t="shared" si="17"/>
        <v>#VALUE!</v>
      </c>
    </row>
    <row r="338" spans="1:21" x14ac:dyDescent="0.25">
      <c r="A338" s="31" t="str">
        <f>IF(Table!A338 = "","",Table!A338)</f>
        <v/>
      </c>
      <c r="B338" s="31" t="str">
        <f>IF(Table!B338 = "","",Table!B338)</f>
        <v/>
      </c>
      <c r="C338" s="31" t="str">
        <f>IF(Table!C338 = "","",Table!C338)</f>
        <v/>
      </c>
      <c r="D338" s="32" t="str">
        <f>IF(Table!D338 = "","",Table!D338)</f>
        <v/>
      </c>
      <c r="E338" s="32" t="str">
        <f>IF(Table!E338 = "","",Table!E338)</f>
        <v/>
      </c>
      <c r="F338" s="32" t="str">
        <f>IF(Table!F338 = "","",Table!F338)</f>
        <v/>
      </c>
      <c r="G338" s="91"/>
      <c r="I338" s="84" t="str">
        <f>IFERROR(VLOOKUP(A338,Downlink!A:L,12,TRUE),"")</f>
        <v/>
      </c>
      <c r="K338" s="31" t="str">
        <f>IFERROR(VLOOKUP(A338,Table!$I$4:$O$3000,1,TRUE),"")</f>
        <v/>
      </c>
      <c r="L338" s="31" t="str">
        <f>IFERROR(INDEX(Table!I:O,MATCH(K338,Table!I:I,0),2),"")</f>
        <v/>
      </c>
      <c r="M338" s="31" t="str">
        <f>IFERROR(INDEX(Table!I:O,MATCH(K338,Table!I:I,0),3),"")</f>
        <v/>
      </c>
      <c r="N338" s="32" t="str">
        <f>IFERROR(INDEX(Table!I:O,MATCH(K338,Table!I:I,0),4),"")</f>
        <v/>
      </c>
      <c r="O338" s="32" t="str">
        <f>IFERROR(INDEX(Table!I:O,MATCH(K338,Table!I:I,0),5),"")</f>
        <v/>
      </c>
      <c r="P338" s="32" t="str">
        <f>IFERROR(INDEX(Table!I:O,MATCH(K338,Table!I:I,0),6),"")</f>
        <v/>
      </c>
      <c r="Q338" s="89" t="str">
        <f t="shared" si="15"/>
        <v/>
      </c>
      <c r="R338" s="89" t="str">
        <f t="shared" si="16"/>
        <v/>
      </c>
      <c r="S338" s="82"/>
      <c r="U338" s="37" t="e">
        <f t="shared" si="17"/>
        <v>#VALUE!</v>
      </c>
    </row>
    <row r="339" spans="1:21" x14ac:dyDescent="0.25">
      <c r="A339" s="31" t="str">
        <f>IF(Table!A339 = "","",Table!A339)</f>
        <v/>
      </c>
      <c r="B339" s="31" t="str">
        <f>IF(Table!B339 = "","",Table!B339)</f>
        <v/>
      </c>
      <c r="C339" s="31" t="str">
        <f>IF(Table!C339 = "","",Table!C339)</f>
        <v/>
      </c>
      <c r="D339" s="32" t="str">
        <f>IF(Table!D339 = "","",Table!D339)</f>
        <v/>
      </c>
      <c r="E339" s="32" t="str">
        <f>IF(Table!E339 = "","",Table!E339)</f>
        <v/>
      </c>
      <c r="F339" s="32" t="str">
        <f>IF(Table!F339 = "","",Table!F339)</f>
        <v/>
      </c>
      <c r="G339" s="91"/>
      <c r="I339" s="84" t="str">
        <f>IFERROR(VLOOKUP(A339,Downlink!A:L,12,TRUE),"")</f>
        <v/>
      </c>
      <c r="K339" s="31" t="str">
        <f>IFERROR(VLOOKUP(A339,Table!$I$4:$O$3000,1,TRUE),"")</f>
        <v/>
      </c>
      <c r="L339" s="31" t="str">
        <f>IFERROR(INDEX(Table!I:O,MATCH(K339,Table!I:I,0),2),"")</f>
        <v/>
      </c>
      <c r="M339" s="31" t="str">
        <f>IFERROR(INDEX(Table!I:O,MATCH(K339,Table!I:I,0),3),"")</f>
        <v/>
      </c>
      <c r="N339" s="32" t="str">
        <f>IFERROR(INDEX(Table!I:O,MATCH(K339,Table!I:I,0),4),"")</f>
        <v/>
      </c>
      <c r="O339" s="32" t="str">
        <f>IFERROR(INDEX(Table!I:O,MATCH(K339,Table!I:I,0),5),"")</f>
        <v/>
      </c>
      <c r="P339" s="32" t="str">
        <f>IFERROR(INDEX(Table!I:O,MATCH(K339,Table!I:I,0),6),"")</f>
        <v/>
      </c>
      <c r="Q339" s="89" t="str">
        <f t="shared" si="15"/>
        <v/>
      </c>
      <c r="R339" s="89" t="str">
        <f t="shared" si="16"/>
        <v/>
      </c>
      <c r="S339" s="82"/>
      <c r="U339" s="37" t="e">
        <f t="shared" si="17"/>
        <v>#VALUE!</v>
      </c>
    </row>
    <row r="340" spans="1:21" x14ac:dyDescent="0.25">
      <c r="A340" s="31" t="str">
        <f>IF(Table!A340 = "","",Table!A340)</f>
        <v/>
      </c>
      <c r="B340" s="31" t="str">
        <f>IF(Table!B340 = "","",Table!B340)</f>
        <v/>
      </c>
      <c r="C340" s="31" t="str">
        <f>IF(Table!C340 = "","",Table!C340)</f>
        <v/>
      </c>
      <c r="D340" s="32" t="str">
        <f>IF(Table!D340 = "","",Table!D340)</f>
        <v/>
      </c>
      <c r="E340" s="32" t="str">
        <f>IF(Table!E340 = "","",Table!E340)</f>
        <v/>
      </c>
      <c r="F340" s="32" t="str">
        <f>IF(Table!F340 = "","",Table!F340)</f>
        <v/>
      </c>
      <c r="G340" s="91"/>
      <c r="I340" s="84" t="str">
        <f>IFERROR(VLOOKUP(A340,Downlink!A:L,12,TRUE),"")</f>
        <v/>
      </c>
      <c r="K340" s="31" t="str">
        <f>IFERROR(VLOOKUP(A340,Table!$I$4:$O$3000,1,TRUE),"")</f>
        <v/>
      </c>
      <c r="L340" s="31" t="str">
        <f>IFERROR(INDEX(Table!I:O,MATCH(K340,Table!I:I,0),2),"")</f>
        <v/>
      </c>
      <c r="M340" s="31" t="str">
        <f>IFERROR(INDEX(Table!I:O,MATCH(K340,Table!I:I,0),3),"")</f>
        <v/>
      </c>
      <c r="N340" s="32" t="str">
        <f>IFERROR(INDEX(Table!I:O,MATCH(K340,Table!I:I,0),4),"")</f>
        <v/>
      </c>
      <c r="O340" s="32" t="str">
        <f>IFERROR(INDEX(Table!I:O,MATCH(K340,Table!I:I,0),5),"")</f>
        <v/>
      </c>
      <c r="P340" s="32" t="str">
        <f>IFERROR(INDEX(Table!I:O,MATCH(K340,Table!I:I,0),6),"")</f>
        <v/>
      </c>
      <c r="Q340" s="89" t="str">
        <f t="shared" si="15"/>
        <v/>
      </c>
      <c r="R340" s="89" t="str">
        <f t="shared" si="16"/>
        <v/>
      </c>
      <c r="S340" s="82"/>
      <c r="U340" s="37" t="e">
        <f t="shared" si="17"/>
        <v>#VALUE!</v>
      </c>
    </row>
    <row r="341" spans="1:21" x14ac:dyDescent="0.25">
      <c r="A341" s="31" t="str">
        <f>IF(Table!A341 = "","",Table!A341)</f>
        <v/>
      </c>
      <c r="B341" s="31" t="str">
        <f>IF(Table!B341 = "","",Table!B341)</f>
        <v/>
      </c>
      <c r="C341" s="31" t="str">
        <f>IF(Table!C341 = "","",Table!C341)</f>
        <v/>
      </c>
      <c r="D341" s="32" t="str">
        <f>IF(Table!D341 = "","",Table!D341)</f>
        <v/>
      </c>
      <c r="E341" s="32" t="str">
        <f>IF(Table!E341 = "","",Table!E341)</f>
        <v/>
      </c>
      <c r="F341" s="32" t="str">
        <f>IF(Table!F341 = "","",Table!F341)</f>
        <v/>
      </c>
      <c r="G341" s="91"/>
      <c r="I341" s="84" t="str">
        <f>IFERROR(VLOOKUP(A341,Downlink!A:L,12,TRUE),"")</f>
        <v/>
      </c>
      <c r="K341" s="31" t="str">
        <f>IFERROR(VLOOKUP(A341,Table!$I$4:$O$3000,1,TRUE),"")</f>
        <v/>
      </c>
      <c r="L341" s="31" t="str">
        <f>IFERROR(INDEX(Table!I:O,MATCH(K341,Table!I:I,0),2),"")</f>
        <v/>
      </c>
      <c r="M341" s="31" t="str">
        <f>IFERROR(INDEX(Table!I:O,MATCH(K341,Table!I:I,0),3),"")</f>
        <v/>
      </c>
      <c r="N341" s="32" t="str">
        <f>IFERROR(INDEX(Table!I:O,MATCH(K341,Table!I:I,0),4),"")</f>
        <v/>
      </c>
      <c r="O341" s="32" t="str">
        <f>IFERROR(INDEX(Table!I:O,MATCH(K341,Table!I:I,0),5),"")</f>
        <v/>
      </c>
      <c r="P341" s="32" t="str">
        <f>IFERROR(INDEX(Table!I:O,MATCH(K341,Table!I:I,0),6),"")</f>
        <v/>
      </c>
      <c r="Q341" s="89" t="str">
        <f t="shared" si="15"/>
        <v/>
      </c>
      <c r="R341" s="89" t="str">
        <f t="shared" si="16"/>
        <v/>
      </c>
      <c r="S341" s="82"/>
      <c r="U341" s="37" t="e">
        <f t="shared" si="17"/>
        <v>#VALUE!</v>
      </c>
    </row>
    <row r="342" spans="1:21" x14ac:dyDescent="0.25">
      <c r="A342" s="31" t="str">
        <f>IF(Table!A342 = "","",Table!A342)</f>
        <v/>
      </c>
      <c r="B342" s="31" t="str">
        <f>IF(Table!B342 = "","",Table!B342)</f>
        <v/>
      </c>
      <c r="C342" s="31" t="str">
        <f>IF(Table!C342 = "","",Table!C342)</f>
        <v/>
      </c>
      <c r="D342" s="32" t="str">
        <f>IF(Table!D342 = "","",Table!D342)</f>
        <v/>
      </c>
      <c r="E342" s="32" t="str">
        <f>IF(Table!E342 = "","",Table!E342)</f>
        <v/>
      </c>
      <c r="F342" s="32" t="str">
        <f>IF(Table!F342 = "","",Table!F342)</f>
        <v/>
      </c>
      <c r="G342" s="91"/>
      <c r="I342" s="84" t="str">
        <f>IFERROR(VLOOKUP(A342,Downlink!A:L,12,TRUE),"")</f>
        <v/>
      </c>
      <c r="K342" s="31" t="str">
        <f>IFERROR(VLOOKUP(A342,Table!$I$4:$O$3000,1,TRUE),"")</f>
        <v/>
      </c>
      <c r="L342" s="31" t="str">
        <f>IFERROR(INDEX(Table!I:O,MATCH(K342,Table!I:I,0),2),"")</f>
        <v/>
      </c>
      <c r="M342" s="31" t="str">
        <f>IFERROR(INDEX(Table!I:O,MATCH(K342,Table!I:I,0),3),"")</f>
        <v/>
      </c>
      <c r="N342" s="32" t="str">
        <f>IFERROR(INDEX(Table!I:O,MATCH(K342,Table!I:I,0),4),"")</f>
        <v/>
      </c>
      <c r="O342" s="32" t="str">
        <f>IFERROR(INDEX(Table!I:O,MATCH(K342,Table!I:I,0),5),"")</f>
        <v/>
      </c>
      <c r="P342" s="32" t="str">
        <f>IFERROR(INDEX(Table!I:O,MATCH(K342,Table!I:I,0),6),"")</f>
        <v/>
      </c>
      <c r="Q342" s="89" t="str">
        <f t="shared" si="15"/>
        <v/>
      </c>
      <c r="R342" s="89" t="str">
        <f t="shared" si="16"/>
        <v/>
      </c>
      <c r="S342" s="82"/>
      <c r="U342" s="37" t="e">
        <f t="shared" si="17"/>
        <v>#VALUE!</v>
      </c>
    </row>
    <row r="343" spans="1:21" x14ac:dyDescent="0.25">
      <c r="A343" s="31" t="str">
        <f>IF(Table!A343 = "","",Table!A343)</f>
        <v/>
      </c>
      <c r="B343" s="31" t="str">
        <f>IF(Table!B343 = "","",Table!B343)</f>
        <v/>
      </c>
      <c r="C343" s="31" t="str">
        <f>IF(Table!C343 = "","",Table!C343)</f>
        <v/>
      </c>
      <c r="D343" s="32" t="str">
        <f>IF(Table!D343 = "","",Table!D343)</f>
        <v/>
      </c>
      <c r="E343" s="32" t="str">
        <f>IF(Table!E343 = "","",Table!E343)</f>
        <v/>
      </c>
      <c r="F343" s="32" t="str">
        <f>IF(Table!F343 = "","",Table!F343)</f>
        <v/>
      </c>
      <c r="G343" s="91"/>
      <c r="I343" s="84" t="str">
        <f>IFERROR(VLOOKUP(A343,Downlink!A:L,12,TRUE),"")</f>
        <v/>
      </c>
      <c r="K343" s="31" t="str">
        <f>IFERROR(VLOOKUP(A343,Table!$I$4:$O$3000,1,TRUE),"")</f>
        <v/>
      </c>
      <c r="L343" s="31" t="str">
        <f>IFERROR(INDEX(Table!I:O,MATCH(K343,Table!I:I,0),2),"")</f>
        <v/>
      </c>
      <c r="M343" s="31" t="str">
        <f>IFERROR(INDEX(Table!I:O,MATCH(K343,Table!I:I,0),3),"")</f>
        <v/>
      </c>
      <c r="N343" s="32" t="str">
        <f>IFERROR(INDEX(Table!I:O,MATCH(K343,Table!I:I,0),4),"")</f>
        <v/>
      </c>
      <c r="O343" s="32" t="str">
        <f>IFERROR(INDEX(Table!I:O,MATCH(K343,Table!I:I,0),5),"")</f>
        <v/>
      </c>
      <c r="P343" s="32" t="str">
        <f>IFERROR(INDEX(Table!I:O,MATCH(K343,Table!I:I,0),6),"")</f>
        <v/>
      </c>
      <c r="Q343" s="89" t="str">
        <f t="shared" si="15"/>
        <v/>
      </c>
      <c r="R343" s="89" t="str">
        <f t="shared" si="16"/>
        <v/>
      </c>
      <c r="S343" s="82"/>
      <c r="U343" s="37" t="e">
        <f t="shared" si="17"/>
        <v>#VALUE!</v>
      </c>
    </row>
    <row r="344" spans="1:21" x14ac:dyDescent="0.25">
      <c r="A344" s="31" t="str">
        <f>IF(Table!A344 = "","",Table!A344)</f>
        <v/>
      </c>
      <c r="B344" s="31" t="str">
        <f>IF(Table!B344 = "","",Table!B344)</f>
        <v/>
      </c>
      <c r="C344" s="31" t="str">
        <f>IF(Table!C344 = "","",Table!C344)</f>
        <v/>
      </c>
      <c r="D344" s="32" t="str">
        <f>IF(Table!D344 = "","",Table!D344)</f>
        <v/>
      </c>
      <c r="E344" s="32" t="str">
        <f>IF(Table!E344 = "","",Table!E344)</f>
        <v/>
      </c>
      <c r="F344" s="32" t="str">
        <f>IF(Table!F344 = "","",Table!F344)</f>
        <v/>
      </c>
      <c r="G344" s="91"/>
      <c r="I344" s="84" t="str">
        <f>IFERROR(VLOOKUP(A344,Downlink!A:L,12,TRUE),"")</f>
        <v/>
      </c>
      <c r="K344" s="31" t="str">
        <f>IFERROR(VLOOKUP(A344,Table!$I$4:$O$3000,1,TRUE),"")</f>
        <v/>
      </c>
      <c r="L344" s="31" t="str">
        <f>IFERROR(INDEX(Table!I:O,MATCH(K344,Table!I:I,0),2),"")</f>
        <v/>
      </c>
      <c r="M344" s="31" t="str">
        <f>IFERROR(INDEX(Table!I:O,MATCH(K344,Table!I:I,0),3),"")</f>
        <v/>
      </c>
      <c r="N344" s="32" t="str">
        <f>IFERROR(INDEX(Table!I:O,MATCH(K344,Table!I:I,0),4),"")</f>
        <v/>
      </c>
      <c r="O344" s="32" t="str">
        <f>IFERROR(INDEX(Table!I:O,MATCH(K344,Table!I:I,0),5),"")</f>
        <v/>
      </c>
      <c r="P344" s="32" t="str">
        <f>IFERROR(INDEX(Table!I:O,MATCH(K344,Table!I:I,0),6),"")</f>
        <v/>
      </c>
      <c r="Q344" s="89" t="str">
        <f t="shared" si="15"/>
        <v/>
      </c>
      <c r="R344" s="89" t="str">
        <f t="shared" si="16"/>
        <v/>
      </c>
      <c r="S344" s="82"/>
      <c r="U344" s="37" t="e">
        <f t="shared" si="17"/>
        <v>#VALUE!</v>
      </c>
    </row>
    <row r="345" spans="1:21" x14ac:dyDescent="0.25">
      <c r="A345" s="31" t="str">
        <f>IF(Table!A345 = "","",Table!A345)</f>
        <v/>
      </c>
      <c r="B345" s="31" t="str">
        <f>IF(Table!B345 = "","",Table!B345)</f>
        <v/>
      </c>
      <c r="C345" s="31" t="str">
        <f>IF(Table!C345 = "","",Table!C345)</f>
        <v/>
      </c>
      <c r="D345" s="32" t="str">
        <f>IF(Table!D345 = "","",Table!D345)</f>
        <v/>
      </c>
      <c r="E345" s="32" t="str">
        <f>IF(Table!E345 = "","",Table!E345)</f>
        <v/>
      </c>
      <c r="F345" s="32" t="str">
        <f>IF(Table!F345 = "","",Table!F345)</f>
        <v/>
      </c>
      <c r="G345" s="91"/>
      <c r="I345" s="84" t="str">
        <f>IFERROR(VLOOKUP(A345,Downlink!A:L,12,TRUE),"")</f>
        <v/>
      </c>
      <c r="K345" s="31" t="str">
        <f>IFERROR(VLOOKUP(A345,Table!$I$4:$O$3000,1,TRUE),"")</f>
        <v/>
      </c>
      <c r="L345" s="31" t="str">
        <f>IFERROR(INDEX(Table!I:O,MATCH(K345,Table!I:I,0),2),"")</f>
        <v/>
      </c>
      <c r="M345" s="31" t="str">
        <f>IFERROR(INDEX(Table!I:O,MATCH(K345,Table!I:I,0),3),"")</f>
        <v/>
      </c>
      <c r="N345" s="32" t="str">
        <f>IFERROR(INDEX(Table!I:O,MATCH(K345,Table!I:I,0),4),"")</f>
        <v/>
      </c>
      <c r="O345" s="32" t="str">
        <f>IFERROR(INDEX(Table!I:O,MATCH(K345,Table!I:I,0),5),"")</f>
        <v/>
      </c>
      <c r="P345" s="32" t="str">
        <f>IFERROR(INDEX(Table!I:O,MATCH(K345,Table!I:I,0),6),"")</f>
        <v/>
      </c>
      <c r="Q345" s="89" t="str">
        <f t="shared" si="15"/>
        <v/>
      </c>
      <c r="R345" s="89" t="str">
        <f t="shared" si="16"/>
        <v/>
      </c>
      <c r="S345" s="82"/>
      <c r="U345" s="37" t="e">
        <f t="shared" si="17"/>
        <v>#VALUE!</v>
      </c>
    </row>
    <row r="346" spans="1:21" x14ac:dyDescent="0.25">
      <c r="A346" s="31" t="str">
        <f>IF(Table!A346 = "","",Table!A346)</f>
        <v/>
      </c>
      <c r="B346" s="31" t="str">
        <f>IF(Table!B346 = "","",Table!B346)</f>
        <v/>
      </c>
      <c r="C346" s="31" t="str">
        <f>IF(Table!C346 = "","",Table!C346)</f>
        <v/>
      </c>
      <c r="D346" s="32" t="str">
        <f>IF(Table!D346 = "","",Table!D346)</f>
        <v/>
      </c>
      <c r="E346" s="32" t="str">
        <f>IF(Table!E346 = "","",Table!E346)</f>
        <v/>
      </c>
      <c r="F346" s="32" t="str">
        <f>IF(Table!F346 = "","",Table!F346)</f>
        <v/>
      </c>
      <c r="G346" s="91"/>
      <c r="I346" s="84" t="str">
        <f>IFERROR(VLOOKUP(A346,Downlink!A:L,12,TRUE),"")</f>
        <v/>
      </c>
      <c r="K346" s="31" t="str">
        <f>IFERROR(VLOOKUP(A346,Table!$I$4:$O$3000,1,TRUE),"")</f>
        <v/>
      </c>
      <c r="L346" s="31" t="str">
        <f>IFERROR(INDEX(Table!I:O,MATCH(K346,Table!I:I,0),2),"")</f>
        <v/>
      </c>
      <c r="M346" s="31" t="str">
        <f>IFERROR(INDEX(Table!I:O,MATCH(K346,Table!I:I,0),3),"")</f>
        <v/>
      </c>
      <c r="N346" s="32" t="str">
        <f>IFERROR(INDEX(Table!I:O,MATCH(K346,Table!I:I,0),4),"")</f>
        <v/>
      </c>
      <c r="O346" s="32" t="str">
        <f>IFERROR(INDEX(Table!I:O,MATCH(K346,Table!I:I,0),5),"")</f>
        <v/>
      </c>
      <c r="P346" s="32" t="str">
        <f>IFERROR(INDEX(Table!I:O,MATCH(K346,Table!I:I,0),6),"")</f>
        <v/>
      </c>
      <c r="Q346" s="89" t="str">
        <f t="shared" si="15"/>
        <v/>
      </c>
      <c r="R346" s="89" t="str">
        <f t="shared" si="16"/>
        <v/>
      </c>
      <c r="S346" s="82"/>
      <c r="U346" s="37" t="e">
        <f t="shared" si="17"/>
        <v>#VALUE!</v>
      </c>
    </row>
    <row r="347" spans="1:21" x14ac:dyDescent="0.25">
      <c r="A347" s="31" t="str">
        <f>IF(Table!A347 = "","",Table!A347)</f>
        <v/>
      </c>
      <c r="B347" s="31" t="str">
        <f>IF(Table!B347 = "","",Table!B347)</f>
        <v/>
      </c>
      <c r="C347" s="31" t="str">
        <f>IF(Table!C347 = "","",Table!C347)</f>
        <v/>
      </c>
      <c r="D347" s="32" t="str">
        <f>IF(Table!D347 = "","",Table!D347)</f>
        <v/>
      </c>
      <c r="E347" s="32" t="str">
        <f>IF(Table!E347 = "","",Table!E347)</f>
        <v/>
      </c>
      <c r="F347" s="32" t="str">
        <f>IF(Table!F347 = "","",Table!F347)</f>
        <v/>
      </c>
      <c r="G347" s="91"/>
      <c r="I347" s="84" t="str">
        <f>IFERROR(VLOOKUP(A347,Downlink!A:L,12,TRUE),"")</f>
        <v/>
      </c>
      <c r="K347" s="31" t="str">
        <f>IFERROR(VLOOKUP(A347,Table!$I$4:$O$3000,1,TRUE),"")</f>
        <v/>
      </c>
      <c r="L347" s="31" t="str">
        <f>IFERROR(INDEX(Table!I:O,MATCH(K347,Table!I:I,0),2),"")</f>
        <v/>
      </c>
      <c r="M347" s="31" t="str">
        <f>IFERROR(INDEX(Table!I:O,MATCH(K347,Table!I:I,0),3),"")</f>
        <v/>
      </c>
      <c r="N347" s="32" t="str">
        <f>IFERROR(INDEX(Table!I:O,MATCH(K347,Table!I:I,0),4),"")</f>
        <v/>
      </c>
      <c r="O347" s="32" t="str">
        <f>IFERROR(INDEX(Table!I:O,MATCH(K347,Table!I:I,0),5),"")</f>
        <v/>
      </c>
      <c r="P347" s="32" t="str">
        <f>IFERROR(INDEX(Table!I:O,MATCH(K347,Table!I:I,0),6),"")</f>
        <v/>
      </c>
      <c r="Q347" s="89" t="str">
        <f t="shared" si="15"/>
        <v/>
      </c>
      <c r="R347" s="89" t="str">
        <f t="shared" si="16"/>
        <v/>
      </c>
      <c r="S347" s="82"/>
      <c r="U347" s="37" t="e">
        <f t="shared" si="17"/>
        <v>#VALUE!</v>
      </c>
    </row>
    <row r="348" spans="1:21" x14ac:dyDescent="0.25">
      <c r="A348" s="31" t="str">
        <f>IF(Table!A348 = "","",Table!A348)</f>
        <v/>
      </c>
      <c r="B348" s="31" t="str">
        <f>IF(Table!B348 = "","",Table!B348)</f>
        <v/>
      </c>
      <c r="C348" s="31" t="str">
        <f>IF(Table!C348 = "","",Table!C348)</f>
        <v/>
      </c>
      <c r="D348" s="32" t="str">
        <f>IF(Table!D348 = "","",Table!D348)</f>
        <v/>
      </c>
      <c r="E348" s="32" t="str">
        <f>IF(Table!E348 = "","",Table!E348)</f>
        <v/>
      </c>
      <c r="F348" s="32" t="str">
        <f>IF(Table!F348 = "","",Table!F348)</f>
        <v/>
      </c>
      <c r="G348" s="91"/>
      <c r="I348" s="84" t="str">
        <f>IFERROR(VLOOKUP(A348,Downlink!A:L,12,TRUE),"")</f>
        <v/>
      </c>
      <c r="K348" s="31" t="str">
        <f>IFERROR(VLOOKUP(A348,Table!$I$4:$O$3000,1,TRUE),"")</f>
        <v/>
      </c>
      <c r="L348" s="31" t="str">
        <f>IFERROR(INDEX(Table!I:O,MATCH(K348,Table!I:I,0),2),"")</f>
        <v/>
      </c>
      <c r="M348" s="31" t="str">
        <f>IFERROR(INDEX(Table!I:O,MATCH(K348,Table!I:I,0),3),"")</f>
        <v/>
      </c>
      <c r="N348" s="32" t="str">
        <f>IFERROR(INDEX(Table!I:O,MATCH(K348,Table!I:I,0),4),"")</f>
        <v/>
      </c>
      <c r="O348" s="32" t="str">
        <f>IFERROR(INDEX(Table!I:O,MATCH(K348,Table!I:I,0),5),"")</f>
        <v/>
      </c>
      <c r="P348" s="32" t="str">
        <f>IFERROR(INDEX(Table!I:O,MATCH(K348,Table!I:I,0),6),"")</f>
        <v/>
      </c>
      <c r="Q348" s="89" t="str">
        <f t="shared" si="15"/>
        <v/>
      </c>
      <c r="R348" s="89" t="str">
        <f t="shared" si="16"/>
        <v/>
      </c>
      <c r="S348" s="82"/>
      <c r="U348" s="37" t="e">
        <f t="shared" si="17"/>
        <v>#VALUE!</v>
      </c>
    </row>
    <row r="349" spans="1:21" x14ac:dyDescent="0.25">
      <c r="A349" s="31" t="str">
        <f>IF(Table!A349 = "","",Table!A349)</f>
        <v/>
      </c>
      <c r="B349" s="31" t="str">
        <f>IF(Table!B349 = "","",Table!B349)</f>
        <v/>
      </c>
      <c r="C349" s="31" t="str">
        <f>IF(Table!C349 = "","",Table!C349)</f>
        <v/>
      </c>
      <c r="D349" s="32" t="str">
        <f>IF(Table!D349 = "","",Table!D349)</f>
        <v/>
      </c>
      <c r="E349" s="32" t="str">
        <f>IF(Table!E349 = "","",Table!E349)</f>
        <v/>
      </c>
      <c r="F349" s="32" t="str">
        <f>IF(Table!F349 = "","",Table!F349)</f>
        <v/>
      </c>
      <c r="G349" s="91"/>
      <c r="I349" s="84" t="str">
        <f>IFERROR(VLOOKUP(A349,Downlink!A:L,12,TRUE),"")</f>
        <v/>
      </c>
      <c r="K349" s="31" t="str">
        <f>IFERROR(VLOOKUP(A349,Table!$I$4:$O$3000,1,TRUE),"")</f>
        <v/>
      </c>
      <c r="L349" s="31" t="str">
        <f>IFERROR(INDEX(Table!I:O,MATCH(K349,Table!I:I,0),2),"")</f>
        <v/>
      </c>
      <c r="M349" s="31" t="str">
        <f>IFERROR(INDEX(Table!I:O,MATCH(K349,Table!I:I,0),3),"")</f>
        <v/>
      </c>
      <c r="N349" s="32" t="str">
        <f>IFERROR(INDEX(Table!I:O,MATCH(K349,Table!I:I,0),4),"")</f>
        <v/>
      </c>
      <c r="O349" s="32" t="str">
        <f>IFERROR(INDEX(Table!I:O,MATCH(K349,Table!I:I,0),5),"")</f>
        <v/>
      </c>
      <c r="P349" s="32" t="str">
        <f>IFERROR(INDEX(Table!I:O,MATCH(K349,Table!I:I,0),6),"")</f>
        <v/>
      </c>
      <c r="Q349" s="89" t="str">
        <f t="shared" si="15"/>
        <v/>
      </c>
      <c r="R349" s="89" t="str">
        <f t="shared" si="16"/>
        <v/>
      </c>
      <c r="S349" s="82"/>
      <c r="U349" s="37" t="e">
        <f t="shared" si="17"/>
        <v>#VALUE!</v>
      </c>
    </row>
    <row r="350" spans="1:21" x14ac:dyDescent="0.25">
      <c r="A350" s="31" t="str">
        <f>IF(Table!A350 = "","",Table!A350)</f>
        <v/>
      </c>
      <c r="B350" s="31" t="str">
        <f>IF(Table!B350 = "","",Table!B350)</f>
        <v/>
      </c>
      <c r="C350" s="31" t="str">
        <f>IF(Table!C350 = "","",Table!C350)</f>
        <v/>
      </c>
      <c r="D350" s="32" t="str">
        <f>IF(Table!D350 = "","",Table!D350)</f>
        <v/>
      </c>
      <c r="E350" s="32" t="str">
        <f>IF(Table!E350 = "","",Table!E350)</f>
        <v/>
      </c>
      <c r="F350" s="32" t="str">
        <f>IF(Table!F350 = "","",Table!F350)</f>
        <v/>
      </c>
      <c r="G350" s="91"/>
      <c r="I350" s="84" t="str">
        <f>IFERROR(VLOOKUP(A350,Downlink!A:L,12,TRUE),"")</f>
        <v/>
      </c>
      <c r="K350" s="31" t="str">
        <f>IFERROR(VLOOKUP(A350,Table!$I$4:$O$3000,1,TRUE),"")</f>
        <v/>
      </c>
      <c r="L350" s="31" t="str">
        <f>IFERROR(INDEX(Table!I:O,MATCH(K350,Table!I:I,0),2),"")</f>
        <v/>
      </c>
      <c r="M350" s="31" t="str">
        <f>IFERROR(INDEX(Table!I:O,MATCH(K350,Table!I:I,0),3),"")</f>
        <v/>
      </c>
      <c r="N350" s="32" t="str">
        <f>IFERROR(INDEX(Table!I:O,MATCH(K350,Table!I:I,0),4),"")</f>
        <v/>
      </c>
      <c r="O350" s="32" t="str">
        <f>IFERROR(INDEX(Table!I:O,MATCH(K350,Table!I:I,0),5),"")</f>
        <v/>
      </c>
      <c r="P350" s="32" t="str">
        <f>IFERROR(INDEX(Table!I:O,MATCH(K350,Table!I:I,0),6),"")</f>
        <v/>
      </c>
      <c r="Q350" s="89" t="str">
        <f t="shared" si="15"/>
        <v/>
      </c>
      <c r="R350" s="89" t="str">
        <f t="shared" si="16"/>
        <v/>
      </c>
      <c r="S350" s="82"/>
      <c r="U350" s="37" t="e">
        <f t="shared" si="17"/>
        <v>#VALUE!</v>
      </c>
    </row>
    <row r="351" spans="1:21" x14ac:dyDescent="0.25">
      <c r="A351" s="31" t="str">
        <f>IF(Table!A351 = "","",Table!A351)</f>
        <v/>
      </c>
      <c r="B351" s="31" t="str">
        <f>IF(Table!B351 = "","",Table!B351)</f>
        <v/>
      </c>
      <c r="C351" s="31" t="str">
        <f>IF(Table!C351 = "","",Table!C351)</f>
        <v/>
      </c>
      <c r="D351" s="32" t="str">
        <f>IF(Table!D351 = "","",Table!D351)</f>
        <v/>
      </c>
      <c r="E351" s="32" t="str">
        <f>IF(Table!E351 = "","",Table!E351)</f>
        <v/>
      </c>
      <c r="F351" s="32" t="str">
        <f>IF(Table!F351 = "","",Table!F351)</f>
        <v/>
      </c>
      <c r="G351" s="91"/>
      <c r="I351" s="84" t="str">
        <f>IFERROR(VLOOKUP(A351,Downlink!A:L,12,TRUE),"")</f>
        <v/>
      </c>
      <c r="K351" s="31" t="str">
        <f>IFERROR(VLOOKUP(A351,Table!$I$4:$O$3000,1,TRUE),"")</f>
        <v/>
      </c>
      <c r="L351" s="31" t="str">
        <f>IFERROR(INDEX(Table!I:O,MATCH(K351,Table!I:I,0),2),"")</f>
        <v/>
      </c>
      <c r="M351" s="31" t="str">
        <f>IFERROR(INDEX(Table!I:O,MATCH(K351,Table!I:I,0),3),"")</f>
        <v/>
      </c>
      <c r="N351" s="32" t="str">
        <f>IFERROR(INDEX(Table!I:O,MATCH(K351,Table!I:I,0),4),"")</f>
        <v/>
      </c>
      <c r="O351" s="32" t="str">
        <f>IFERROR(INDEX(Table!I:O,MATCH(K351,Table!I:I,0),5),"")</f>
        <v/>
      </c>
      <c r="P351" s="32" t="str">
        <f>IFERROR(INDEX(Table!I:O,MATCH(K351,Table!I:I,0),6),"")</f>
        <v/>
      </c>
      <c r="Q351" s="89" t="str">
        <f t="shared" si="15"/>
        <v/>
      </c>
      <c r="R351" s="89" t="str">
        <f t="shared" si="16"/>
        <v/>
      </c>
      <c r="S351" s="82"/>
      <c r="U351" s="37" t="e">
        <f t="shared" si="17"/>
        <v>#VALUE!</v>
      </c>
    </row>
    <row r="352" spans="1:21" x14ac:dyDescent="0.25">
      <c r="A352" s="31" t="str">
        <f>IF(Table!A352 = "","",Table!A352)</f>
        <v/>
      </c>
      <c r="B352" s="31" t="str">
        <f>IF(Table!B352 = "","",Table!B352)</f>
        <v/>
      </c>
      <c r="C352" s="31" t="str">
        <f>IF(Table!C352 = "","",Table!C352)</f>
        <v/>
      </c>
      <c r="D352" s="32" t="str">
        <f>IF(Table!D352 = "","",Table!D352)</f>
        <v/>
      </c>
      <c r="E352" s="32" t="str">
        <f>IF(Table!E352 = "","",Table!E352)</f>
        <v/>
      </c>
      <c r="F352" s="32" t="str">
        <f>IF(Table!F352 = "","",Table!F352)</f>
        <v/>
      </c>
      <c r="G352" s="91"/>
      <c r="I352" s="84" t="str">
        <f>IFERROR(VLOOKUP(A352,Downlink!A:L,12,TRUE),"")</f>
        <v/>
      </c>
      <c r="K352" s="31" t="str">
        <f>IFERROR(VLOOKUP(A352,Table!$I$4:$O$3000,1,TRUE),"")</f>
        <v/>
      </c>
      <c r="L352" s="31" t="str">
        <f>IFERROR(INDEX(Table!I:O,MATCH(K352,Table!I:I,0),2),"")</f>
        <v/>
      </c>
      <c r="M352" s="31" t="str">
        <f>IFERROR(INDEX(Table!I:O,MATCH(K352,Table!I:I,0),3),"")</f>
        <v/>
      </c>
      <c r="N352" s="32" t="str">
        <f>IFERROR(INDEX(Table!I:O,MATCH(K352,Table!I:I,0),4),"")</f>
        <v/>
      </c>
      <c r="O352" s="32" t="str">
        <f>IFERROR(INDEX(Table!I:O,MATCH(K352,Table!I:I,0),5),"")</f>
        <v/>
      </c>
      <c r="P352" s="32" t="str">
        <f>IFERROR(INDEX(Table!I:O,MATCH(K352,Table!I:I,0),6),"")</f>
        <v/>
      </c>
      <c r="Q352" s="89" t="str">
        <f t="shared" si="15"/>
        <v/>
      </c>
      <c r="R352" s="89" t="str">
        <f t="shared" si="16"/>
        <v/>
      </c>
      <c r="S352" s="82"/>
      <c r="U352" s="37" t="e">
        <f t="shared" si="17"/>
        <v>#VALUE!</v>
      </c>
    </row>
    <row r="353" spans="1:21" x14ac:dyDescent="0.25">
      <c r="A353" s="31" t="str">
        <f>IF(Table!A353 = "","",Table!A353)</f>
        <v/>
      </c>
      <c r="B353" s="31" t="str">
        <f>IF(Table!B353 = "","",Table!B353)</f>
        <v/>
      </c>
      <c r="C353" s="31" t="str">
        <f>IF(Table!C353 = "","",Table!C353)</f>
        <v/>
      </c>
      <c r="D353" s="32" t="str">
        <f>IF(Table!D353 = "","",Table!D353)</f>
        <v/>
      </c>
      <c r="E353" s="32" t="str">
        <f>IF(Table!E353 = "","",Table!E353)</f>
        <v/>
      </c>
      <c r="F353" s="32" t="str">
        <f>IF(Table!F353 = "","",Table!F353)</f>
        <v/>
      </c>
      <c r="G353" s="91"/>
      <c r="I353" s="84" t="str">
        <f>IFERROR(VLOOKUP(A353,Downlink!A:L,12,TRUE),"")</f>
        <v/>
      </c>
      <c r="K353" s="31" t="str">
        <f>IFERROR(VLOOKUP(A353,Table!$I$4:$O$3000,1,TRUE),"")</f>
        <v/>
      </c>
      <c r="L353" s="31" t="str">
        <f>IFERROR(INDEX(Table!I:O,MATCH(K353,Table!I:I,0),2),"")</f>
        <v/>
      </c>
      <c r="M353" s="31" t="str">
        <f>IFERROR(INDEX(Table!I:O,MATCH(K353,Table!I:I,0),3),"")</f>
        <v/>
      </c>
      <c r="N353" s="32" t="str">
        <f>IFERROR(INDEX(Table!I:O,MATCH(K353,Table!I:I,0),4),"")</f>
        <v/>
      </c>
      <c r="O353" s="32" t="str">
        <f>IFERROR(INDEX(Table!I:O,MATCH(K353,Table!I:I,0),5),"")</f>
        <v/>
      </c>
      <c r="P353" s="32" t="str">
        <f>IFERROR(INDEX(Table!I:O,MATCH(K353,Table!I:I,0),6),"")</f>
        <v/>
      </c>
      <c r="Q353" s="89" t="str">
        <f t="shared" si="15"/>
        <v/>
      </c>
      <c r="R353" s="89" t="str">
        <f t="shared" si="16"/>
        <v/>
      </c>
      <c r="S353" s="82"/>
      <c r="U353" s="37" t="e">
        <f t="shared" si="17"/>
        <v>#VALUE!</v>
      </c>
    </row>
    <row r="354" spans="1:21" x14ac:dyDescent="0.25">
      <c r="A354" s="31" t="str">
        <f>IF(Table!A354 = "","",Table!A354)</f>
        <v/>
      </c>
      <c r="B354" s="31" t="str">
        <f>IF(Table!B354 = "","",Table!B354)</f>
        <v/>
      </c>
      <c r="C354" s="31" t="str">
        <f>IF(Table!C354 = "","",Table!C354)</f>
        <v/>
      </c>
      <c r="D354" s="32" t="str">
        <f>IF(Table!D354 = "","",Table!D354)</f>
        <v/>
      </c>
      <c r="E354" s="32" t="str">
        <f>IF(Table!E354 = "","",Table!E354)</f>
        <v/>
      </c>
      <c r="F354" s="32" t="str">
        <f>IF(Table!F354 = "","",Table!F354)</f>
        <v/>
      </c>
      <c r="G354" s="91"/>
      <c r="I354" s="84" t="str">
        <f>IFERROR(VLOOKUP(A354,Downlink!A:L,12,TRUE),"")</f>
        <v/>
      </c>
      <c r="K354" s="31" t="str">
        <f>IFERROR(VLOOKUP(A354,Table!$I$4:$O$3000,1,TRUE),"")</f>
        <v/>
      </c>
      <c r="L354" s="31" t="str">
        <f>IFERROR(INDEX(Table!I:O,MATCH(K354,Table!I:I,0),2),"")</f>
        <v/>
      </c>
      <c r="M354" s="31" t="str">
        <f>IFERROR(INDEX(Table!I:O,MATCH(K354,Table!I:I,0),3),"")</f>
        <v/>
      </c>
      <c r="N354" s="32" t="str">
        <f>IFERROR(INDEX(Table!I:O,MATCH(K354,Table!I:I,0),4),"")</f>
        <v/>
      </c>
      <c r="O354" s="32" t="str">
        <f>IFERROR(INDEX(Table!I:O,MATCH(K354,Table!I:I,0),5),"")</f>
        <v/>
      </c>
      <c r="P354" s="32" t="str">
        <f>IFERROR(INDEX(Table!I:O,MATCH(K354,Table!I:I,0),6),"")</f>
        <v/>
      </c>
      <c r="Q354" s="89" t="str">
        <f t="shared" si="15"/>
        <v/>
      </c>
      <c r="R354" s="89" t="str">
        <f t="shared" si="16"/>
        <v/>
      </c>
      <c r="S354" s="82"/>
      <c r="U354" s="37" t="e">
        <f t="shared" si="17"/>
        <v>#VALUE!</v>
      </c>
    </row>
    <row r="355" spans="1:21" x14ac:dyDescent="0.25">
      <c r="A355" s="31" t="str">
        <f>IF(Table!A355 = "","",Table!A355)</f>
        <v/>
      </c>
      <c r="B355" s="31" t="str">
        <f>IF(Table!B355 = "","",Table!B355)</f>
        <v/>
      </c>
      <c r="C355" s="31" t="str">
        <f>IF(Table!C355 = "","",Table!C355)</f>
        <v/>
      </c>
      <c r="D355" s="32" t="str">
        <f>IF(Table!D355 = "","",Table!D355)</f>
        <v/>
      </c>
      <c r="E355" s="32" t="str">
        <f>IF(Table!E355 = "","",Table!E355)</f>
        <v/>
      </c>
      <c r="F355" s="32" t="str">
        <f>IF(Table!F355 = "","",Table!F355)</f>
        <v/>
      </c>
      <c r="G355" s="91"/>
      <c r="I355" s="84" t="str">
        <f>IFERROR(VLOOKUP(A355,Downlink!A:L,12,TRUE),"")</f>
        <v/>
      </c>
      <c r="K355" s="31" t="str">
        <f>IFERROR(VLOOKUP(A355,Table!$I$4:$O$3000,1,TRUE),"")</f>
        <v/>
      </c>
      <c r="L355" s="31" t="str">
        <f>IFERROR(INDEX(Table!I:O,MATCH(K355,Table!I:I,0),2),"")</f>
        <v/>
      </c>
      <c r="M355" s="31" t="str">
        <f>IFERROR(INDEX(Table!I:O,MATCH(K355,Table!I:I,0),3),"")</f>
        <v/>
      </c>
      <c r="N355" s="32" t="str">
        <f>IFERROR(INDEX(Table!I:O,MATCH(K355,Table!I:I,0),4),"")</f>
        <v/>
      </c>
      <c r="O355" s="32" t="str">
        <f>IFERROR(INDEX(Table!I:O,MATCH(K355,Table!I:I,0),5),"")</f>
        <v/>
      </c>
      <c r="P355" s="32" t="str">
        <f>IFERROR(INDEX(Table!I:O,MATCH(K355,Table!I:I,0),6),"")</f>
        <v/>
      </c>
      <c r="Q355" s="89" t="str">
        <f t="shared" si="15"/>
        <v/>
      </c>
      <c r="R355" s="89" t="str">
        <f t="shared" si="16"/>
        <v/>
      </c>
      <c r="S355" s="82"/>
      <c r="U355" s="37" t="e">
        <f t="shared" si="17"/>
        <v>#VALUE!</v>
      </c>
    </row>
    <row r="356" spans="1:21" x14ac:dyDescent="0.25">
      <c r="A356" s="31" t="str">
        <f>IF(Table!A356 = "","",Table!A356)</f>
        <v/>
      </c>
      <c r="B356" s="31" t="str">
        <f>IF(Table!B356 = "","",Table!B356)</f>
        <v/>
      </c>
      <c r="C356" s="31" t="str">
        <f>IF(Table!C356 = "","",Table!C356)</f>
        <v/>
      </c>
      <c r="D356" s="32" t="str">
        <f>IF(Table!D356 = "","",Table!D356)</f>
        <v/>
      </c>
      <c r="E356" s="32" t="str">
        <f>IF(Table!E356 = "","",Table!E356)</f>
        <v/>
      </c>
      <c r="F356" s="32" t="str">
        <f>IF(Table!F356 = "","",Table!F356)</f>
        <v/>
      </c>
      <c r="G356" s="91"/>
      <c r="I356" s="84" t="str">
        <f>IFERROR(VLOOKUP(A356,Downlink!A:L,12,TRUE),"")</f>
        <v/>
      </c>
      <c r="K356" s="31" t="str">
        <f>IFERROR(VLOOKUP(A356,Table!$I$4:$O$3000,1,TRUE),"")</f>
        <v/>
      </c>
      <c r="L356" s="31" t="str">
        <f>IFERROR(INDEX(Table!I:O,MATCH(K356,Table!I:I,0),2),"")</f>
        <v/>
      </c>
      <c r="M356" s="31" t="str">
        <f>IFERROR(INDEX(Table!I:O,MATCH(K356,Table!I:I,0),3),"")</f>
        <v/>
      </c>
      <c r="N356" s="32" t="str">
        <f>IFERROR(INDEX(Table!I:O,MATCH(K356,Table!I:I,0),4),"")</f>
        <v/>
      </c>
      <c r="O356" s="32" t="str">
        <f>IFERROR(INDEX(Table!I:O,MATCH(K356,Table!I:I,0),5),"")</f>
        <v/>
      </c>
      <c r="P356" s="32" t="str">
        <f>IFERROR(INDEX(Table!I:O,MATCH(K356,Table!I:I,0),6),"")</f>
        <v/>
      </c>
      <c r="Q356" s="89" t="str">
        <f t="shared" si="15"/>
        <v/>
      </c>
      <c r="R356" s="89" t="str">
        <f t="shared" si="16"/>
        <v/>
      </c>
      <c r="S356" s="82"/>
      <c r="U356" s="37" t="e">
        <f t="shared" si="17"/>
        <v>#VALUE!</v>
      </c>
    </row>
    <row r="357" spans="1:21" x14ac:dyDescent="0.25">
      <c r="A357" s="31" t="str">
        <f>IF(Table!A357 = "","",Table!A357)</f>
        <v/>
      </c>
      <c r="B357" s="31" t="str">
        <f>IF(Table!B357 = "","",Table!B357)</f>
        <v/>
      </c>
      <c r="C357" s="31" t="str">
        <f>IF(Table!C357 = "","",Table!C357)</f>
        <v/>
      </c>
      <c r="D357" s="32" t="str">
        <f>IF(Table!D357 = "","",Table!D357)</f>
        <v/>
      </c>
      <c r="E357" s="32" t="str">
        <f>IF(Table!E357 = "","",Table!E357)</f>
        <v/>
      </c>
      <c r="F357" s="32" t="str">
        <f>IF(Table!F357 = "","",Table!F357)</f>
        <v/>
      </c>
      <c r="G357" s="91"/>
      <c r="I357" s="84" t="str">
        <f>IFERROR(VLOOKUP(A357,Downlink!A:L,12,TRUE),"")</f>
        <v/>
      </c>
      <c r="K357" s="31" t="str">
        <f>IFERROR(VLOOKUP(A357,Table!$I$4:$O$3000,1,TRUE),"")</f>
        <v/>
      </c>
      <c r="L357" s="31" t="str">
        <f>IFERROR(INDEX(Table!I:O,MATCH(K357,Table!I:I,0),2),"")</f>
        <v/>
      </c>
      <c r="M357" s="31" t="str">
        <f>IFERROR(INDEX(Table!I:O,MATCH(K357,Table!I:I,0),3),"")</f>
        <v/>
      </c>
      <c r="N357" s="32" t="str">
        <f>IFERROR(INDEX(Table!I:O,MATCH(K357,Table!I:I,0),4),"")</f>
        <v/>
      </c>
      <c r="O357" s="32" t="str">
        <f>IFERROR(INDEX(Table!I:O,MATCH(K357,Table!I:I,0),5),"")</f>
        <v/>
      </c>
      <c r="P357" s="32" t="str">
        <f>IFERROR(INDEX(Table!I:O,MATCH(K357,Table!I:I,0),6),"")</f>
        <v/>
      </c>
      <c r="Q357" s="89" t="str">
        <f t="shared" si="15"/>
        <v/>
      </c>
      <c r="R357" s="89" t="str">
        <f t="shared" si="16"/>
        <v/>
      </c>
      <c r="S357" s="82"/>
      <c r="U357" s="37" t="e">
        <f t="shared" si="17"/>
        <v>#VALUE!</v>
      </c>
    </row>
    <row r="358" spans="1:21" x14ac:dyDescent="0.25">
      <c r="A358" s="31" t="str">
        <f>IF(Table!A358 = "","",Table!A358)</f>
        <v/>
      </c>
      <c r="B358" s="31" t="str">
        <f>IF(Table!B358 = "","",Table!B358)</f>
        <v/>
      </c>
      <c r="C358" s="31" t="str">
        <f>IF(Table!C358 = "","",Table!C358)</f>
        <v/>
      </c>
      <c r="D358" s="32" t="str">
        <f>IF(Table!D358 = "","",Table!D358)</f>
        <v/>
      </c>
      <c r="E358" s="32" t="str">
        <f>IF(Table!E358 = "","",Table!E358)</f>
        <v/>
      </c>
      <c r="F358" s="32" t="str">
        <f>IF(Table!F358 = "","",Table!F358)</f>
        <v/>
      </c>
      <c r="G358" s="91"/>
      <c r="I358" s="84" t="str">
        <f>IFERROR(VLOOKUP(A358,Downlink!A:L,12,TRUE),"")</f>
        <v/>
      </c>
      <c r="K358" s="31" t="str">
        <f>IFERROR(VLOOKUP(A358,Table!$I$4:$O$3000,1,TRUE),"")</f>
        <v/>
      </c>
      <c r="L358" s="31" t="str">
        <f>IFERROR(INDEX(Table!I:O,MATCH(K358,Table!I:I,0),2),"")</f>
        <v/>
      </c>
      <c r="M358" s="31" t="str">
        <f>IFERROR(INDEX(Table!I:O,MATCH(K358,Table!I:I,0),3),"")</f>
        <v/>
      </c>
      <c r="N358" s="32" t="str">
        <f>IFERROR(INDEX(Table!I:O,MATCH(K358,Table!I:I,0),4),"")</f>
        <v/>
      </c>
      <c r="O358" s="32" t="str">
        <f>IFERROR(INDEX(Table!I:O,MATCH(K358,Table!I:I,0),5),"")</f>
        <v/>
      </c>
      <c r="P358" s="32" t="str">
        <f>IFERROR(INDEX(Table!I:O,MATCH(K358,Table!I:I,0),6),"")</f>
        <v/>
      </c>
      <c r="Q358" s="89" t="str">
        <f t="shared" si="15"/>
        <v/>
      </c>
      <c r="R358" s="89" t="str">
        <f t="shared" si="16"/>
        <v/>
      </c>
      <c r="S358" s="82"/>
      <c r="U358" s="37" t="e">
        <f t="shared" si="17"/>
        <v>#VALUE!</v>
      </c>
    </row>
    <row r="359" spans="1:21" x14ac:dyDescent="0.25">
      <c r="A359" s="31" t="str">
        <f>IF(Table!A359 = "","",Table!A359)</f>
        <v/>
      </c>
      <c r="B359" s="31" t="str">
        <f>IF(Table!B359 = "","",Table!B359)</f>
        <v/>
      </c>
      <c r="C359" s="31" t="str">
        <f>IF(Table!C359 = "","",Table!C359)</f>
        <v/>
      </c>
      <c r="D359" s="32" t="str">
        <f>IF(Table!D359 = "","",Table!D359)</f>
        <v/>
      </c>
      <c r="E359" s="32" t="str">
        <f>IF(Table!E359 = "","",Table!E359)</f>
        <v/>
      </c>
      <c r="F359" s="32" t="str">
        <f>IF(Table!F359 = "","",Table!F359)</f>
        <v/>
      </c>
      <c r="G359" s="91"/>
      <c r="I359" s="84" t="str">
        <f>IFERROR(VLOOKUP(A359,Downlink!A:L,12,TRUE),"")</f>
        <v/>
      </c>
      <c r="K359" s="31" t="str">
        <f>IFERROR(VLOOKUP(A359,Table!$I$4:$O$3000,1,TRUE),"")</f>
        <v/>
      </c>
      <c r="L359" s="31" t="str">
        <f>IFERROR(INDEX(Table!I:O,MATCH(K359,Table!I:I,0),2),"")</f>
        <v/>
      </c>
      <c r="M359" s="31" t="str">
        <f>IFERROR(INDEX(Table!I:O,MATCH(K359,Table!I:I,0),3),"")</f>
        <v/>
      </c>
      <c r="N359" s="32" t="str">
        <f>IFERROR(INDEX(Table!I:O,MATCH(K359,Table!I:I,0),4),"")</f>
        <v/>
      </c>
      <c r="O359" s="32" t="str">
        <f>IFERROR(INDEX(Table!I:O,MATCH(K359,Table!I:I,0),5),"")</f>
        <v/>
      </c>
      <c r="P359" s="32" t="str">
        <f>IFERROR(INDEX(Table!I:O,MATCH(K359,Table!I:I,0),6),"")</f>
        <v/>
      </c>
      <c r="Q359" s="89" t="str">
        <f t="shared" si="15"/>
        <v/>
      </c>
      <c r="R359" s="89" t="str">
        <f t="shared" si="16"/>
        <v/>
      </c>
      <c r="S359" s="82"/>
      <c r="U359" s="37" t="e">
        <f t="shared" si="17"/>
        <v>#VALUE!</v>
      </c>
    </row>
    <row r="360" spans="1:21" x14ac:dyDescent="0.25">
      <c r="A360" s="31" t="str">
        <f>IF(Table!A360 = "","",Table!A360)</f>
        <v/>
      </c>
      <c r="B360" s="31" t="str">
        <f>IF(Table!B360 = "","",Table!B360)</f>
        <v/>
      </c>
      <c r="C360" s="31" t="str">
        <f>IF(Table!C360 = "","",Table!C360)</f>
        <v/>
      </c>
      <c r="D360" s="32" t="str">
        <f>IF(Table!D360 = "","",Table!D360)</f>
        <v/>
      </c>
      <c r="E360" s="32" t="str">
        <f>IF(Table!E360 = "","",Table!E360)</f>
        <v/>
      </c>
      <c r="F360" s="32" t="str">
        <f>IF(Table!F360 = "","",Table!F360)</f>
        <v/>
      </c>
      <c r="G360" s="91"/>
      <c r="I360" s="84" t="str">
        <f>IFERROR(VLOOKUP(A360,Downlink!A:L,12,TRUE),"")</f>
        <v/>
      </c>
      <c r="K360" s="31" t="str">
        <f>IFERROR(VLOOKUP(A360,Table!$I$4:$O$3000,1,TRUE),"")</f>
        <v/>
      </c>
      <c r="L360" s="31" t="str">
        <f>IFERROR(INDEX(Table!I:O,MATCH(K360,Table!I:I,0),2),"")</f>
        <v/>
      </c>
      <c r="M360" s="31" t="str">
        <f>IFERROR(INDEX(Table!I:O,MATCH(K360,Table!I:I,0),3),"")</f>
        <v/>
      </c>
      <c r="N360" s="32" t="str">
        <f>IFERROR(INDEX(Table!I:O,MATCH(K360,Table!I:I,0),4),"")</f>
        <v/>
      </c>
      <c r="O360" s="32" t="str">
        <f>IFERROR(INDEX(Table!I:O,MATCH(K360,Table!I:I,0),5),"")</f>
        <v/>
      </c>
      <c r="P360" s="32" t="str">
        <f>IFERROR(INDEX(Table!I:O,MATCH(K360,Table!I:I,0),6),"")</f>
        <v/>
      </c>
      <c r="Q360" s="89" t="str">
        <f t="shared" si="15"/>
        <v/>
      </c>
      <c r="R360" s="89" t="str">
        <f t="shared" si="16"/>
        <v/>
      </c>
      <c r="S360" s="82"/>
      <c r="U360" s="37" t="e">
        <f t="shared" si="17"/>
        <v>#VALUE!</v>
      </c>
    </row>
    <row r="361" spans="1:21" x14ac:dyDescent="0.25">
      <c r="A361" s="31" t="str">
        <f>IF(Table!A361 = "","",Table!A361)</f>
        <v/>
      </c>
      <c r="B361" s="31" t="str">
        <f>IF(Table!B361 = "","",Table!B361)</f>
        <v/>
      </c>
      <c r="C361" s="31" t="str">
        <f>IF(Table!C361 = "","",Table!C361)</f>
        <v/>
      </c>
      <c r="D361" s="32" t="str">
        <f>IF(Table!D361 = "","",Table!D361)</f>
        <v/>
      </c>
      <c r="E361" s="32" t="str">
        <f>IF(Table!E361 = "","",Table!E361)</f>
        <v/>
      </c>
      <c r="F361" s="32" t="str">
        <f>IF(Table!F361 = "","",Table!F361)</f>
        <v/>
      </c>
      <c r="G361" s="91"/>
      <c r="I361" s="84" t="str">
        <f>IFERROR(VLOOKUP(A361,Downlink!A:L,12,TRUE),"")</f>
        <v/>
      </c>
      <c r="K361" s="31" t="str">
        <f>IFERROR(VLOOKUP(A361,Table!$I$4:$O$3000,1,TRUE),"")</f>
        <v/>
      </c>
      <c r="L361" s="31" t="str">
        <f>IFERROR(INDEX(Table!I:O,MATCH(K361,Table!I:I,0),2),"")</f>
        <v/>
      </c>
      <c r="M361" s="31" t="str">
        <f>IFERROR(INDEX(Table!I:O,MATCH(K361,Table!I:I,0),3),"")</f>
        <v/>
      </c>
      <c r="N361" s="32" t="str">
        <f>IFERROR(INDEX(Table!I:O,MATCH(K361,Table!I:I,0),4),"")</f>
        <v/>
      </c>
      <c r="O361" s="32" t="str">
        <f>IFERROR(INDEX(Table!I:O,MATCH(K361,Table!I:I,0),5),"")</f>
        <v/>
      </c>
      <c r="P361" s="32" t="str">
        <f>IFERROR(INDEX(Table!I:O,MATCH(K361,Table!I:I,0),6),"")</f>
        <v/>
      </c>
      <c r="Q361" s="89" t="str">
        <f t="shared" si="15"/>
        <v/>
      </c>
      <c r="R361" s="89" t="str">
        <f t="shared" si="16"/>
        <v/>
      </c>
      <c r="S361" s="82"/>
      <c r="U361" s="37" t="e">
        <f t="shared" si="17"/>
        <v>#VALUE!</v>
      </c>
    </row>
    <row r="362" spans="1:21" x14ac:dyDescent="0.25">
      <c r="A362" s="31" t="str">
        <f>IF(Table!A362 = "","",Table!A362)</f>
        <v/>
      </c>
      <c r="B362" s="31" t="str">
        <f>IF(Table!B362 = "","",Table!B362)</f>
        <v/>
      </c>
      <c r="C362" s="31" t="str">
        <f>IF(Table!C362 = "","",Table!C362)</f>
        <v/>
      </c>
      <c r="D362" s="32" t="str">
        <f>IF(Table!D362 = "","",Table!D362)</f>
        <v/>
      </c>
      <c r="E362" s="32" t="str">
        <f>IF(Table!E362 = "","",Table!E362)</f>
        <v/>
      </c>
      <c r="F362" s="32" t="str">
        <f>IF(Table!F362 = "","",Table!F362)</f>
        <v/>
      </c>
      <c r="G362" s="91"/>
      <c r="I362" s="84" t="str">
        <f>IFERROR(VLOOKUP(A362,Downlink!A:L,12,TRUE),"")</f>
        <v/>
      </c>
      <c r="K362" s="31" t="str">
        <f>IFERROR(VLOOKUP(A362,Table!$I$4:$O$3000,1,TRUE),"")</f>
        <v/>
      </c>
      <c r="L362" s="31" t="str">
        <f>IFERROR(INDEX(Table!I:O,MATCH(K362,Table!I:I,0),2),"")</f>
        <v/>
      </c>
      <c r="M362" s="31" t="str">
        <f>IFERROR(INDEX(Table!I:O,MATCH(K362,Table!I:I,0),3),"")</f>
        <v/>
      </c>
      <c r="N362" s="32" t="str">
        <f>IFERROR(INDEX(Table!I:O,MATCH(K362,Table!I:I,0),4),"")</f>
        <v/>
      </c>
      <c r="O362" s="32" t="str">
        <f>IFERROR(INDEX(Table!I:O,MATCH(K362,Table!I:I,0),5),"")</f>
        <v/>
      </c>
      <c r="P362" s="32" t="str">
        <f>IFERROR(INDEX(Table!I:O,MATCH(K362,Table!I:I,0),6),"")</f>
        <v/>
      </c>
      <c r="Q362" s="89" t="str">
        <f t="shared" si="15"/>
        <v/>
      </c>
      <c r="R362" s="89" t="str">
        <f t="shared" si="16"/>
        <v/>
      </c>
      <c r="S362" s="82"/>
      <c r="U362" s="37" t="e">
        <f t="shared" si="17"/>
        <v>#VALUE!</v>
      </c>
    </row>
    <row r="363" spans="1:21" x14ac:dyDescent="0.25">
      <c r="A363" s="31" t="str">
        <f>IF(Table!A363 = "","",Table!A363)</f>
        <v/>
      </c>
      <c r="B363" s="31" t="str">
        <f>IF(Table!B363 = "","",Table!B363)</f>
        <v/>
      </c>
      <c r="C363" s="31" t="str">
        <f>IF(Table!C363 = "","",Table!C363)</f>
        <v/>
      </c>
      <c r="D363" s="32" t="str">
        <f>IF(Table!D363 = "","",Table!D363)</f>
        <v/>
      </c>
      <c r="E363" s="32" t="str">
        <f>IF(Table!E363 = "","",Table!E363)</f>
        <v/>
      </c>
      <c r="F363" s="32" t="str">
        <f>IF(Table!F363 = "","",Table!F363)</f>
        <v/>
      </c>
      <c r="G363" s="91"/>
      <c r="I363" s="84" t="str">
        <f>IFERROR(VLOOKUP(A363,Downlink!A:L,12,TRUE),"")</f>
        <v/>
      </c>
      <c r="K363" s="31" t="str">
        <f>IFERROR(VLOOKUP(A363,Table!$I$4:$O$3000,1,TRUE),"")</f>
        <v/>
      </c>
      <c r="L363" s="31" t="str">
        <f>IFERROR(INDEX(Table!I:O,MATCH(K363,Table!I:I,0),2),"")</f>
        <v/>
      </c>
      <c r="M363" s="31" t="str">
        <f>IFERROR(INDEX(Table!I:O,MATCH(K363,Table!I:I,0),3),"")</f>
        <v/>
      </c>
      <c r="N363" s="32" t="str">
        <f>IFERROR(INDEX(Table!I:O,MATCH(K363,Table!I:I,0),4),"")</f>
        <v/>
      </c>
      <c r="O363" s="32" t="str">
        <f>IFERROR(INDEX(Table!I:O,MATCH(K363,Table!I:I,0),5),"")</f>
        <v/>
      </c>
      <c r="P363" s="32" t="str">
        <f>IFERROR(INDEX(Table!I:O,MATCH(K363,Table!I:I,0),6),"")</f>
        <v/>
      </c>
      <c r="Q363" s="89" t="str">
        <f t="shared" si="15"/>
        <v/>
      </c>
      <c r="R363" s="89" t="str">
        <f t="shared" si="16"/>
        <v/>
      </c>
      <c r="S363" s="82"/>
      <c r="U363" s="37" t="e">
        <f t="shared" si="17"/>
        <v>#VALUE!</v>
      </c>
    </row>
    <row r="364" spans="1:21" x14ac:dyDescent="0.25">
      <c r="A364" s="31" t="str">
        <f>IF(Table!A364 = "","",Table!A364)</f>
        <v/>
      </c>
      <c r="B364" s="31" t="str">
        <f>IF(Table!B364 = "","",Table!B364)</f>
        <v/>
      </c>
      <c r="C364" s="31" t="str">
        <f>IF(Table!C364 = "","",Table!C364)</f>
        <v/>
      </c>
      <c r="D364" s="32" t="str">
        <f>IF(Table!D364 = "","",Table!D364)</f>
        <v/>
      </c>
      <c r="E364" s="32" t="str">
        <f>IF(Table!E364 = "","",Table!E364)</f>
        <v/>
      </c>
      <c r="F364" s="32" t="str">
        <f>IF(Table!F364 = "","",Table!F364)</f>
        <v/>
      </c>
      <c r="G364" s="91"/>
      <c r="I364" s="84" t="str">
        <f>IFERROR(VLOOKUP(A364,Downlink!A:L,12,TRUE),"")</f>
        <v/>
      </c>
      <c r="K364" s="31" t="str">
        <f>IFERROR(VLOOKUP(A364,Table!$I$4:$O$3000,1,TRUE),"")</f>
        <v/>
      </c>
      <c r="L364" s="31" t="str">
        <f>IFERROR(INDEX(Table!I:O,MATCH(K364,Table!I:I,0),2),"")</f>
        <v/>
      </c>
      <c r="M364" s="31" t="str">
        <f>IFERROR(INDEX(Table!I:O,MATCH(K364,Table!I:I,0),3),"")</f>
        <v/>
      </c>
      <c r="N364" s="32" t="str">
        <f>IFERROR(INDEX(Table!I:O,MATCH(K364,Table!I:I,0),4),"")</f>
        <v/>
      </c>
      <c r="O364" s="32" t="str">
        <f>IFERROR(INDEX(Table!I:O,MATCH(K364,Table!I:I,0),5),"")</f>
        <v/>
      </c>
      <c r="P364" s="32" t="str">
        <f>IFERROR(INDEX(Table!I:O,MATCH(K364,Table!I:I,0),6),"")</f>
        <v/>
      </c>
      <c r="Q364" s="89" t="str">
        <f t="shared" si="15"/>
        <v/>
      </c>
      <c r="R364" s="89" t="str">
        <f t="shared" si="16"/>
        <v/>
      </c>
      <c r="S364" s="82"/>
      <c r="U364" s="37" t="e">
        <f t="shared" si="17"/>
        <v>#VALUE!</v>
      </c>
    </row>
    <row r="365" spans="1:21" x14ac:dyDescent="0.25">
      <c r="A365" s="31" t="str">
        <f>IF(Table!A365 = "","",Table!A365)</f>
        <v/>
      </c>
      <c r="B365" s="31" t="str">
        <f>IF(Table!B365 = "","",Table!B365)</f>
        <v/>
      </c>
      <c r="C365" s="31" t="str">
        <f>IF(Table!C365 = "","",Table!C365)</f>
        <v/>
      </c>
      <c r="D365" s="32" t="str">
        <f>IF(Table!D365 = "","",Table!D365)</f>
        <v/>
      </c>
      <c r="E365" s="32" t="str">
        <f>IF(Table!E365 = "","",Table!E365)</f>
        <v/>
      </c>
      <c r="F365" s="32" t="str">
        <f>IF(Table!F365 = "","",Table!F365)</f>
        <v/>
      </c>
      <c r="G365" s="91"/>
      <c r="I365" s="84" t="str">
        <f>IFERROR(VLOOKUP(A365,Downlink!A:L,12,TRUE),"")</f>
        <v/>
      </c>
      <c r="K365" s="31" t="str">
        <f>IFERROR(VLOOKUP(A365,Table!$I$4:$O$3000,1,TRUE),"")</f>
        <v/>
      </c>
      <c r="L365" s="31" t="str">
        <f>IFERROR(INDEX(Table!I:O,MATCH(K365,Table!I:I,0),2),"")</f>
        <v/>
      </c>
      <c r="M365" s="31" t="str">
        <f>IFERROR(INDEX(Table!I:O,MATCH(K365,Table!I:I,0),3),"")</f>
        <v/>
      </c>
      <c r="N365" s="32" t="str">
        <f>IFERROR(INDEX(Table!I:O,MATCH(K365,Table!I:I,0),4),"")</f>
        <v/>
      </c>
      <c r="O365" s="32" t="str">
        <f>IFERROR(INDEX(Table!I:O,MATCH(K365,Table!I:I,0),5),"")</f>
        <v/>
      </c>
      <c r="P365" s="32" t="str">
        <f>IFERROR(INDEX(Table!I:O,MATCH(K365,Table!I:I,0),6),"")</f>
        <v/>
      </c>
      <c r="Q365" s="89" t="str">
        <f t="shared" si="15"/>
        <v/>
      </c>
      <c r="R365" s="89" t="str">
        <f t="shared" si="16"/>
        <v/>
      </c>
      <c r="S365" s="82"/>
      <c r="U365" s="37" t="e">
        <f t="shared" si="17"/>
        <v>#VALUE!</v>
      </c>
    </row>
    <row r="366" spans="1:21" x14ac:dyDescent="0.25">
      <c r="A366" s="31" t="str">
        <f>IF(Table!A366 = "","",Table!A366)</f>
        <v/>
      </c>
      <c r="B366" s="31" t="str">
        <f>IF(Table!B366 = "","",Table!B366)</f>
        <v/>
      </c>
      <c r="C366" s="31" t="str">
        <f>IF(Table!C366 = "","",Table!C366)</f>
        <v/>
      </c>
      <c r="D366" s="32" t="str">
        <f>IF(Table!D366 = "","",Table!D366)</f>
        <v/>
      </c>
      <c r="E366" s="32" t="str">
        <f>IF(Table!E366 = "","",Table!E366)</f>
        <v/>
      </c>
      <c r="F366" s="32" t="str">
        <f>IF(Table!F366 = "","",Table!F366)</f>
        <v/>
      </c>
      <c r="G366" s="91"/>
      <c r="I366" s="84" t="str">
        <f>IFERROR(VLOOKUP(A366,Downlink!A:L,12,TRUE),"")</f>
        <v/>
      </c>
      <c r="K366" s="31" t="str">
        <f>IFERROR(VLOOKUP(A366,Table!$I$4:$O$3000,1,TRUE),"")</f>
        <v/>
      </c>
      <c r="L366" s="31" t="str">
        <f>IFERROR(INDEX(Table!I:O,MATCH(K366,Table!I:I,0),2),"")</f>
        <v/>
      </c>
      <c r="M366" s="31" t="str">
        <f>IFERROR(INDEX(Table!I:O,MATCH(K366,Table!I:I,0),3),"")</f>
        <v/>
      </c>
      <c r="N366" s="32" t="str">
        <f>IFERROR(INDEX(Table!I:O,MATCH(K366,Table!I:I,0),4),"")</f>
        <v/>
      </c>
      <c r="O366" s="32" t="str">
        <f>IFERROR(INDEX(Table!I:O,MATCH(K366,Table!I:I,0),5),"")</f>
        <v/>
      </c>
      <c r="P366" s="32" t="str">
        <f>IFERROR(INDEX(Table!I:O,MATCH(K366,Table!I:I,0),6),"")</f>
        <v/>
      </c>
      <c r="Q366" s="89" t="str">
        <f t="shared" si="15"/>
        <v/>
      </c>
      <c r="R366" s="89" t="str">
        <f t="shared" si="16"/>
        <v/>
      </c>
      <c r="S366" s="82"/>
      <c r="U366" s="37" t="e">
        <f t="shared" si="17"/>
        <v>#VALUE!</v>
      </c>
    </row>
    <row r="367" spans="1:21" x14ac:dyDescent="0.25">
      <c r="A367" s="31" t="str">
        <f>IF(Table!A367 = "","",Table!A367)</f>
        <v/>
      </c>
      <c r="B367" s="31" t="str">
        <f>IF(Table!B367 = "","",Table!B367)</f>
        <v/>
      </c>
      <c r="C367" s="31" t="str">
        <f>IF(Table!C367 = "","",Table!C367)</f>
        <v/>
      </c>
      <c r="D367" s="32" t="str">
        <f>IF(Table!D367 = "","",Table!D367)</f>
        <v/>
      </c>
      <c r="E367" s="32" t="str">
        <f>IF(Table!E367 = "","",Table!E367)</f>
        <v/>
      </c>
      <c r="F367" s="32" t="str">
        <f>IF(Table!F367 = "","",Table!F367)</f>
        <v/>
      </c>
      <c r="G367" s="91"/>
      <c r="I367" s="84" t="str">
        <f>IFERROR(VLOOKUP(A367,Downlink!A:L,12,TRUE),"")</f>
        <v/>
      </c>
      <c r="K367" s="31" t="str">
        <f>IFERROR(VLOOKUP(A367,Table!$I$4:$O$3000,1,TRUE),"")</f>
        <v/>
      </c>
      <c r="L367" s="31" t="str">
        <f>IFERROR(INDEX(Table!I:O,MATCH(K367,Table!I:I,0),2),"")</f>
        <v/>
      </c>
      <c r="M367" s="31" t="str">
        <f>IFERROR(INDEX(Table!I:O,MATCH(K367,Table!I:I,0),3),"")</f>
        <v/>
      </c>
      <c r="N367" s="32" t="str">
        <f>IFERROR(INDEX(Table!I:O,MATCH(K367,Table!I:I,0),4),"")</f>
        <v/>
      </c>
      <c r="O367" s="32" t="str">
        <f>IFERROR(INDEX(Table!I:O,MATCH(K367,Table!I:I,0),5),"")</f>
        <v/>
      </c>
      <c r="P367" s="32" t="str">
        <f>IFERROR(INDEX(Table!I:O,MATCH(K367,Table!I:I,0),6),"")</f>
        <v/>
      </c>
      <c r="Q367" s="89" t="str">
        <f t="shared" si="15"/>
        <v/>
      </c>
      <c r="R367" s="89" t="str">
        <f t="shared" si="16"/>
        <v/>
      </c>
      <c r="S367" s="82"/>
      <c r="U367" s="37" t="e">
        <f t="shared" si="17"/>
        <v>#VALUE!</v>
      </c>
    </row>
    <row r="368" spans="1:21" x14ac:dyDescent="0.25">
      <c r="A368" s="31" t="str">
        <f>IF(Table!A368 = "","",Table!A368)</f>
        <v/>
      </c>
      <c r="B368" s="31" t="str">
        <f>IF(Table!B368 = "","",Table!B368)</f>
        <v/>
      </c>
      <c r="C368" s="31" t="str">
        <f>IF(Table!C368 = "","",Table!C368)</f>
        <v/>
      </c>
      <c r="D368" s="32" t="str">
        <f>IF(Table!D368 = "","",Table!D368)</f>
        <v/>
      </c>
      <c r="E368" s="32" t="str">
        <f>IF(Table!E368 = "","",Table!E368)</f>
        <v/>
      </c>
      <c r="F368" s="32" t="str">
        <f>IF(Table!F368 = "","",Table!F368)</f>
        <v/>
      </c>
      <c r="G368" s="91"/>
      <c r="I368" s="84" t="str">
        <f>IFERROR(VLOOKUP(A368,Downlink!A:L,12,TRUE),"")</f>
        <v/>
      </c>
      <c r="K368" s="31" t="str">
        <f>IFERROR(VLOOKUP(A368,Table!$I$4:$O$3000,1,TRUE),"")</f>
        <v/>
      </c>
      <c r="L368" s="31" t="str">
        <f>IFERROR(INDEX(Table!I:O,MATCH(K368,Table!I:I,0),2),"")</f>
        <v/>
      </c>
      <c r="M368" s="31" t="str">
        <f>IFERROR(INDEX(Table!I:O,MATCH(K368,Table!I:I,0),3),"")</f>
        <v/>
      </c>
      <c r="N368" s="32" t="str">
        <f>IFERROR(INDEX(Table!I:O,MATCH(K368,Table!I:I,0),4),"")</f>
        <v/>
      </c>
      <c r="O368" s="32" t="str">
        <f>IFERROR(INDEX(Table!I:O,MATCH(K368,Table!I:I,0),5),"")</f>
        <v/>
      </c>
      <c r="P368" s="32" t="str">
        <f>IFERROR(INDEX(Table!I:O,MATCH(K368,Table!I:I,0),6),"")</f>
        <v/>
      </c>
      <c r="Q368" s="89" t="str">
        <f t="shared" si="15"/>
        <v/>
      </c>
      <c r="R368" s="89" t="str">
        <f t="shared" si="16"/>
        <v/>
      </c>
      <c r="S368" s="82"/>
      <c r="U368" s="37" t="e">
        <f t="shared" si="17"/>
        <v>#VALUE!</v>
      </c>
    </row>
    <row r="369" spans="1:21" x14ac:dyDescent="0.25">
      <c r="A369" s="31" t="str">
        <f>IF(Table!A369 = "","",Table!A369)</f>
        <v/>
      </c>
      <c r="B369" s="31" t="str">
        <f>IF(Table!B369 = "","",Table!B369)</f>
        <v/>
      </c>
      <c r="C369" s="31" t="str">
        <f>IF(Table!C369 = "","",Table!C369)</f>
        <v/>
      </c>
      <c r="D369" s="32" t="str">
        <f>IF(Table!D369 = "","",Table!D369)</f>
        <v/>
      </c>
      <c r="E369" s="32" t="str">
        <f>IF(Table!E369 = "","",Table!E369)</f>
        <v/>
      </c>
      <c r="F369" s="32" t="str">
        <f>IF(Table!F369 = "","",Table!F369)</f>
        <v/>
      </c>
      <c r="G369" s="91"/>
      <c r="I369" s="84" t="str">
        <f>IFERROR(VLOOKUP(A369,Downlink!A:L,12,TRUE),"")</f>
        <v/>
      </c>
      <c r="K369" s="31" t="str">
        <f>IFERROR(VLOOKUP(A369,Table!$I$4:$O$3000,1,TRUE),"")</f>
        <v/>
      </c>
      <c r="L369" s="31" t="str">
        <f>IFERROR(INDEX(Table!I:O,MATCH(K369,Table!I:I,0),2),"")</f>
        <v/>
      </c>
      <c r="M369" s="31" t="str">
        <f>IFERROR(INDEX(Table!I:O,MATCH(K369,Table!I:I,0),3),"")</f>
        <v/>
      </c>
      <c r="N369" s="32" t="str">
        <f>IFERROR(INDEX(Table!I:O,MATCH(K369,Table!I:I,0),4),"")</f>
        <v/>
      </c>
      <c r="O369" s="32" t="str">
        <f>IFERROR(INDEX(Table!I:O,MATCH(K369,Table!I:I,0),5),"")</f>
        <v/>
      </c>
      <c r="P369" s="32" t="str">
        <f>IFERROR(INDEX(Table!I:O,MATCH(K369,Table!I:I,0),6),"")</f>
        <v/>
      </c>
      <c r="Q369" s="89" t="str">
        <f t="shared" si="15"/>
        <v/>
      </c>
      <c r="R369" s="89" t="str">
        <f t="shared" si="16"/>
        <v/>
      </c>
      <c r="S369" s="82"/>
      <c r="U369" s="37" t="e">
        <f t="shared" si="17"/>
        <v>#VALUE!</v>
      </c>
    </row>
    <row r="370" spans="1:21" x14ac:dyDescent="0.25">
      <c r="A370" s="31" t="str">
        <f>IF(Table!A370 = "","",Table!A370)</f>
        <v/>
      </c>
      <c r="B370" s="31" t="str">
        <f>IF(Table!B370 = "","",Table!B370)</f>
        <v/>
      </c>
      <c r="C370" s="31" t="str">
        <f>IF(Table!C370 = "","",Table!C370)</f>
        <v/>
      </c>
      <c r="D370" s="32" t="str">
        <f>IF(Table!D370 = "","",Table!D370)</f>
        <v/>
      </c>
      <c r="E370" s="32" t="str">
        <f>IF(Table!E370 = "","",Table!E370)</f>
        <v/>
      </c>
      <c r="F370" s="32" t="str">
        <f>IF(Table!F370 = "","",Table!F370)</f>
        <v/>
      </c>
      <c r="G370" s="91"/>
      <c r="I370" s="84" t="str">
        <f>IFERROR(VLOOKUP(A370,Downlink!A:L,12,TRUE),"")</f>
        <v/>
      </c>
      <c r="K370" s="31" t="str">
        <f>IFERROR(VLOOKUP(A370,Table!$I$4:$O$3000,1,TRUE),"")</f>
        <v/>
      </c>
      <c r="L370" s="31" t="str">
        <f>IFERROR(INDEX(Table!I:O,MATCH(K370,Table!I:I,0),2),"")</f>
        <v/>
      </c>
      <c r="M370" s="31" t="str">
        <f>IFERROR(INDEX(Table!I:O,MATCH(K370,Table!I:I,0),3),"")</f>
        <v/>
      </c>
      <c r="N370" s="32" t="str">
        <f>IFERROR(INDEX(Table!I:O,MATCH(K370,Table!I:I,0),4),"")</f>
        <v/>
      </c>
      <c r="O370" s="32" t="str">
        <f>IFERROR(INDEX(Table!I:O,MATCH(K370,Table!I:I,0),5),"")</f>
        <v/>
      </c>
      <c r="P370" s="32" t="str">
        <f>IFERROR(INDEX(Table!I:O,MATCH(K370,Table!I:I,0),6),"")</f>
        <v/>
      </c>
      <c r="Q370" s="89" t="str">
        <f t="shared" si="15"/>
        <v/>
      </c>
      <c r="R370" s="89" t="str">
        <f t="shared" si="16"/>
        <v/>
      </c>
      <c r="S370" s="82"/>
      <c r="U370" s="37" t="e">
        <f t="shared" si="17"/>
        <v>#VALUE!</v>
      </c>
    </row>
    <row r="371" spans="1:21" x14ac:dyDescent="0.25">
      <c r="A371" s="31" t="str">
        <f>IF(Table!A371 = "","",Table!A371)</f>
        <v/>
      </c>
      <c r="B371" s="31" t="str">
        <f>IF(Table!B371 = "","",Table!B371)</f>
        <v/>
      </c>
      <c r="C371" s="31" t="str">
        <f>IF(Table!C371 = "","",Table!C371)</f>
        <v/>
      </c>
      <c r="D371" s="32" t="str">
        <f>IF(Table!D371 = "","",Table!D371)</f>
        <v/>
      </c>
      <c r="E371" s="32" t="str">
        <f>IF(Table!E371 = "","",Table!E371)</f>
        <v/>
      </c>
      <c r="F371" s="32" t="str">
        <f>IF(Table!F371 = "","",Table!F371)</f>
        <v/>
      </c>
      <c r="G371" s="91"/>
      <c r="I371" s="84" t="str">
        <f>IFERROR(VLOOKUP(A371,Downlink!A:L,12,TRUE),"")</f>
        <v/>
      </c>
      <c r="K371" s="31" t="str">
        <f>IFERROR(VLOOKUP(A371,Table!$I$4:$O$3000,1,TRUE),"")</f>
        <v/>
      </c>
      <c r="L371" s="31" t="str">
        <f>IFERROR(INDEX(Table!I:O,MATCH(K371,Table!I:I,0),2),"")</f>
        <v/>
      </c>
      <c r="M371" s="31" t="str">
        <f>IFERROR(INDEX(Table!I:O,MATCH(K371,Table!I:I,0),3),"")</f>
        <v/>
      </c>
      <c r="N371" s="32" t="str">
        <f>IFERROR(INDEX(Table!I:O,MATCH(K371,Table!I:I,0),4),"")</f>
        <v/>
      </c>
      <c r="O371" s="32" t="str">
        <f>IFERROR(INDEX(Table!I:O,MATCH(K371,Table!I:I,0),5),"")</f>
        <v/>
      </c>
      <c r="P371" s="32" t="str">
        <f>IFERROR(INDEX(Table!I:O,MATCH(K371,Table!I:I,0),6),"")</f>
        <v/>
      </c>
      <c r="Q371" s="89" t="str">
        <f t="shared" si="15"/>
        <v/>
      </c>
      <c r="R371" s="89" t="str">
        <f t="shared" si="16"/>
        <v/>
      </c>
      <c r="S371" s="82"/>
      <c r="U371" s="37" t="e">
        <f t="shared" si="17"/>
        <v>#VALUE!</v>
      </c>
    </row>
    <row r="372" spans="1:21" x14ac:dyDescent="0.25">
      <c r="A372" s="31" t="str">
        <f>IF(Table!A372 = "","",Table!A372)</f>
        <v/>
      </c>
      <c r="B372" s="31" t="str">
        <f>IF(Table!B372 = "","",Table!B372)</f>
        <v/>
      </c>
      <c r="C372" s="31" t="str">
        <f>IF(Table!C372 = "","",Table!C372)</f>
        <v/>
      </c>
      <c r="D372" s="32" t="str">
        <f>IF(Table!D372 = "","",Table!D372)</f>
        <v/>
      </c>
      <c r="E372" s="32" t="str">
        <f>IF(Table!E372 = "","",Table!E372)</f>
        <v/>
      </c>
      <c r="F372" s="32" t="str">
        <f>IF(Table!F372 = "","",Table!F372)</f>
        <v/>
      </c>
      <c r="G372" s="91"/>
      <c r="I372" s="84" t="str">
        <f>IFERROR(VLOOKUP(A372,Downlink!A:L,12,TRUE),"")</f>
        <v/>
      </c>
      <c r="K372" s="31" t="str">
        <f>IFERROR(VLOOKUP(A372,Table!$I$4:$O$3000,1,TRUE),"")</f>
        <v/>
      </c>
      <c r="L372" s="31" t="str">
        <f>IFERROR(INDEX(Table!I:O,MATCH(K372,Table!I:I,0),2),"")</f>
        <v/>
      </c>
      <c r="M372" s="31" t="str">
        <f>IFERROR(INDEX(Table!I:O,MATCH(K372,Table!I:I,0),3),"")</f>
        <v/>
      </c>
      <c r="N372" s="32" t="str">
        <f>IFERROR(INDEX(Table!I:O,MATCH(K372,Table!I:I,0),4),"")</f>
        <v/>
      </c>
      <c r="O372" s="32" t="str">
        <f>IFERROR(INDEX(Table!I:O,MATCH(K372,Table!I:I,0),5),"")</f>
        <v/>
      </c>
      <c r="P372" s="32" t="str">
        <f>IFERROR(INDEX(Table!I:O,MATCH(K372,Table!I:I,0),6),"")</f>
        <v/>
      </c>
      <c r="Q372" s="89" t="str">
        <f t="shared" si="15"/>
        <v/>
      </c>
      <c r="R372" s="89" t="str">
        <f t="shared" si="16"/>
        <v/>
      </c>
      <c r="S372" s="82"/>
      <c r="U372" s="37" t="e">
        <f t="shared" si="17"/>
        <v>#VALUE!</v>
      </c>
    </row>
    <row r="373" spans="1:21" x14ac:dyDescent="0.25">
      <c r="A373" s="31" t="str">
        <f>IF(Table!A373 = "","",Table!A373)</f>
        <v/>
      </c>
      <c r="B373" s="31" t="str">
        <f>IF(Table!B373 = "","",Table!B373)</f>
        <v/>
      </c>
      <c r="C373" s="31" t="str">
        <f>IF(Table!C373 = "","",Table!C373)</f>
        <v/>
      </c>
      <c r="D373" s="32" t="str">
        <f>IF(Table!D373 = "","",Table!D373)</f>
        <v/>
      </c>
      <c r="E373" s="32" t="str">
        <f>IF(Table!E373 = "","",Table!E373)</f>
        <v/>
      </c>
      <c r="F373" s="32" t="str">
        <f>IF(Table!F373 = "","",Table!F373)</f>
        <v/>
      </c>
      <c r="G373" s="91"/>
      <c r="I373" s="84" t="str">
        <f>IFERROR(VLOOKUP(A373,Downlink!A:L,12,TRUE),"")</f>
        <v/>
      </c>
      <c r="K373" s="31" t="str">
        <f>IFERROR(VLOOKUP(A373,Table!$I$4:$O$3000,1,TRUE),"")</f>
        <v/>
      </c>
      <c r="L373" s="31" t="str">
        <f>IFERROR(INDEX(Table!I:O,MATCH(K373,Table!I:I,0),2),"")</f>
        <v/>
      </c>
      <c r="M373" s="31" t="str">
        <f>IFERROR(INDEX(Table!I:O,MATCH(K373,Table!I:I,0),3),"")</f>
        <v/>
      </c>
      <c r="N373" s="32" t="str">
        <f>IFERROR(INDEX(Table!I:O,MATCH(K373,Table!I:I,0),4),"")</f>
        <v/>
      </c>
      <c r="O373" s="32" t="str">
        <f>IFERROR(INDEX(Table!I:O,MATCH(K373,Table!I:I,0),5),"")</f>
        <v/>
      </c>
      <c r="P373" s="32" t="str">
        <f>IFERROR(INDEX(Table!I:O,MATCH(K373,Table!I:I,0),6),"")</f>
        <v/>
      </c>
      <c r="Q373" s="89" t="str">
        <f t="shared" si="15"/>
        <v/>
      </c>
      <c r="R373" s="89" t="str">
        <f t="shared" si="16"/>
        <v/>
      </c>
      <c r="S373" s="82"/>
      <c r="U373" s="37" t="e">
        <f t="shared" si="17"/>
        <v>#VALUE!</v>
      </c>
    </row>
    <row r="374" spans="1:21" x14ac:dyDescent="0.25">
      <c r="A374" s="31" t="str">
        <f>IF(Table!A374 = "","",Table!A374)</f>
        <v/>
      </c>
      <c r="B374" s="31" t="str">
        <f>IF(Table!B374 = "","",Table!B374)</f>
        <v/>
      </c>
      <c r="C374" s="31" t="str">
        <f>IF(Table!C374 = "","",Table!C374)</f>
        <v/>
      </c>
      <c r="D374" s="32" t="str">
        <f>IF(Table!D374 = "","",Table!D374)</f>
        <v/>
      </c>
      <c r="E374" s="32" t="str">
        <f>IF(Table!E374 = "","",Table!E374)</f>
        <v/>
      </c>
      <c r="F374" s="32" t="str">
        <f>IF(Table!F374 = "","",Table!F374)</f>
        <v/>
      </c>
      <c r="G374" s="91"/>
      <c r="I374" s="84" t="str">
        <f>IFERROR(VLOOKUP(A374,Downlink!A:L,12,TRUE),"")</f>
        <v/>
      </c>
      <c r="K374" s="31" t="str">
        <f>IFERROR(VLOOKUP(A374,Table!$I$4:$O$3000,1,TRUE),"")</f>
        <v/>
      </c>
      <c r="L374" s="31" t="str">
        <f>IFERROR(INDEX(Table!I:O,MATCH(K374,Table!I:I,0),2),"")</f>
        <v/>
      </c>
      <c r="M374" s="31" t="str">
        <f>IFERROR(INDEX(Table!I:O,MATCH(K374,Table!I:I,0),3),"")</f>
        <v/>
      </c>
      <c r="N374" s="32" t="str">
        <f>IFERROR(INDEX(Table!I:O,MATCH(K374,Table!I:I,0),4),"")</f>
        <v/>
      </c>
      <c r="O374" s="32" t="str">
        <f>IFERROR(INDEX(Table!I:O,MATCH(K374,Table!I:I,0),5),"")</f>
        <v/>
      </c>
      <c r="P374" s="32" t="str">
        <f>IFERROR(INDEX(Table!I:O,MATCH(K374,Table!I:I,0),6),"")</f>
        <v/>
      </c>
      <c r="Q374" s="89" t="str">
        <f t="shared" si="15"/>
        <v/>
      </c>
      <c r="R374" s="89" t="str">
        <f t="shared" si="16"/>
        <v/>
      </c>
      <c r="S374" s="82"/>
      <c r="U374" s="37" t="e">
        <f t="shared" si="17"/>
        <v>#VALUE!</v>
      </c>
    </row>
    <row r="375" spans="1:21" x14ac:dyDescent="0.25">
      <c r="A375" s="31" t="str">
        <f>IF(Table!A375 = "","",Table!A375)</f>
        <v/>
      </c>
      <c r="B375" s="31" t="str">
        <f>IF(Table!B375 = "","",Table!B375)</f>
        <v/>
      </c>
      <c r="C375" s="31" t="str">
        <f>IF(Table!C375 = "","",Table!C375)</f>
        <v/>
      </c>
      <c r="D375" s="32" t="str">
        <f>IF(Table!D375 = "","",Table!D375)</f>
        <v/>
      </c>
      <c r="E375" s="32" t="str">
        <f>IF(Table!E375 = "","",Table!E375)</f>
        <v/>
      </c>
      <c r="F375" s="32" t="str">
        <f>IF(Table!F375 = "","",Table!F375)</f>
        <v/>
      </c>
      <c r="G375" s="91"/>
      <c r="I375" s="84" t="str">
        <f>IFERROR(VLOOKUP(A375,Downlink!A:L,12,TRUE),"")</f>
        <v/>
      </c>
      <c r="K375" s="31" t="str">
        <f>IFERROR(VLOOKUP(A375,Table!$I$4:$O$3000,1,TRUE),"")</f>
        <v/>
      </c>
      <c r="L375" s="31" t="str">
        <f>IFERROR(INDEX(Table!I:O,MATCH(K375,Table!I:I,0),2),"")</f>
        <v/>
      </c>
      <c r="M375" s="31" t="str">
        <f>IFERROR(INDEX(Table!I:O,MATCH(K375,Table!I:I,0),3),"")</f>
        <v/>
      </c>
      <c r="N375" s="32" t="str">
        <f>IFERROR(INDEX(Table!I:O,MATCH(K375,Table!I:I,0),4),"")</f>
        <v/>
      </c>
      <c r="O375" s="32" t="str">
        <f>IFERROR(INDEX(Table!I:O,MATCH(K375,Table!I:I,0),5),"")</f>
        <v/>
      </c>
      <c r="P375" s="32" t="str">
        <f>IFERROR(INDEX(Table!I:O,MATCH(K375,Table!I:I,0),6),"")</f>
        <v/>
      </c>
      <c r="Q375" s="89" t="str">
        <f t="shared" si="15"/>
        <v/>
      </c>
      <c r="R375" s="89" t="str">
        <f t="shared" si="16"/>
        <v/>
      </c>
      <c r="S375" s="82"/>
      <c r="U375" s="37" t="e">
        <f t="shared" si="17"/>
        <v>#VALUE!</v>
      </c>
    </row>
    <row r="376" spans="1:21" x14ac:dyDescent="0.25">
      <c r="A376" s="31" t="str">
        <f>IF(Table!A376 = "","",Table!A376)</f>
        <v/>
      </c>
      <c r="B376" s="31" t="str">
        <f>IF(Table!B376 = "","",Table!B376)</f>
        <v/>
      </c>
      <c r="C376" s="31" t="str">
        <f>IF(Table!C376 = "","",Table!C376)</f>
        <v/>
      </c>
      <c r="D376" s="32" t="str">
        <f>IF(Table!D376 = "","",Table!D376)</f>
        <v/>
      </c>
      <c r="E376" s="32" t="str">
        <f>IF(Table!E376 = "","",Table!E376)</f>
        <v/>
      </c>
      <c r="F376" s="32" t="str">
        <f>IF(Table!F376 = "","",Table!F376)</f>
        <v/>
      </c>
      <c r="G376" s="91"/>
      <c r="I376" s="84" t="str">
        <f>IFERROR(VLOOKUP(A376,Downlink!A:L,12,TRUE),"")</f>
        <v/>
      </c>
      <c r="K376" s="31" t="str">
        <f>IFERROR(VLOOKUP(A376,Table!$I$4:$O$3000,1,TRUE),"")</f>
        <v/>
      </c>
      <c r="L376" s="31" t="str">
        <f>IFERROR(INDEX(Table!I:O,MATCH(K376,Table!I:I,0),2),"")</f>
        <v/>
      </c>
      <c r="M376" s="31" t="str">
        <f>IFERROR(INDEX(Table!I:O,MATCH(K376,Table!I:I,0),3),"")</f>
        <v/>
      </c>
      <c r="N376" s="32" t="str">
        <f>IFERROR(INDEX(Table!I:O,MATCH(K376,Table!I:I,0),4),"")</f>
        <v/>
      </c>
      <c r="O376" s="32" t="str">
        <f>IFERROR(INDEX(Table!I:O,MATCH(K376,Table!I:I,0),5),"")</f>
        <v/>
      </c>
      <c r="P376" s="32" t="str">
        <f>IFERROR(INDEX(Table!I:O,MATCH(K376,Table!I:I,0),6),"")</f>
        <v/>
      </c>
      <c r="Q376" s="89" t="str">
        <f t="shared" si="15"/>
        <v/>
      </c>
      <c r="R376" s="89" t="str">
        <f t="shared" si="16"/>
        <v/>
      </c>
      <c r="S376" s="82"/>
      <c r="U376" s="37" t="e">
        <f t="shared" si="17"/>
        <v>#VALUE!</v>
      </c>
    </row>
    <row r="377" spans="1:21" x14ac:dyDescent="0.25">
      <c r="A377" s="31" t="str">
        <f>IF(Table!A377 = "","",Table!A377)</f>
        <v/>
      </c>
      <c r="B377" s="31" t="str">
        <f>IF(Table!B377 = "","",Table!B377)</f>
        <v/>
      </c>
      <c r="C377" s="31" t="str">
        <f>IF(Table!C377 = "","",Table!C377)</f>
        <v/>
      </c>
      <c r="D377" s="32" t="str">
        <f>IF(Table!D377 = "","",Table!D377)</f>
        <v/>
      </c>
      <c r="E377" s="32" t="str">
        <f>IF(Table!E377 = "","",Table!E377)</f>
        <v/>
      </c>
      <c r="F377" s="32" t="str">
        <f>IF(Table!F377 = "","",Table!F377)</f>
        <v/>
      </c>
      <c r="G377" s="91"/>
      <c r="I377" s="84" t="str">
        <f>IFERROR(VLOOKUP(A377,Downlink!A:L,12,TRUE),"")</f>
        <v/>
      </c>
      <c r="K377" s="31" t="str">
        <f>IFERROR(VLOOKUP(A377,Table!$I$4:$O$3000,1,TRUE),"")</f>
        <v/>
      </c>
      <c r="L377" s="31" t="str">
        <f>IFERROR(INDEX(Table!I:O,MATCH(K377,Table!I:I,0),2),"")</f>
        <v/>
      </c>
      <c r="M377" s="31" t="str">
        <f>IFERROR(INDEX(Table!I:O,MATCH(K377,Table!I:I,0),3),"")</f>
        <v/>
      </c>
      <c r="N377" s="32" t="str">
        <f>IFERROR(INDEX(Table!I:O,MATCH(K377,Table!I:I,0),4),"")</f>
        <v/>
      </c>
      <c r="O377" s="32" t="str">
        <f>IFERROR(INDEX(Table!I:O,MATCH(K377,Table!I:I,0),5),"")</f>
        <v/>
      </c>
      <c r="P377" s="32" t="str">
        <f>IFERROR(INDEX(Table!I:O,MATCH(K377,Table!I:I,0),6),"")</f>
        <v/>
      </c>
      <c r="Q377" s="89" t="str">
        <f t="shared" si="15"/>
        <v/>
      </c>
      <c r="R377" s="89" t="str">
        <f t="shared" si="16"/>
        <v/>
      </c>
      <c r="S377" s="82"/>
      <c r="U377" s="37" t="e">
        <f t="shared" si="17"/>
        <v>#VALUE!</v>
      </c>
    </row>
    <row r="378" spans="1:21" x14ac:dyDescent="0.25">
      <c r="A378" s="31" t="str">
        <f>IF(Table!A378 = "","",Table!A378)</f>
        <v/>
      </c>
      <c r="B378" s="31" t="str">
        <f>IF(Table!B378 = "","",Table!B378)</f>
        <v/>
      </c>
      <c r="C378" s="31" t="str">
        <f>IF(Table!C378 = "","",Table!C378)</f>
        <v/>
      </c>
      <c r="D378" s="32" t="str">
        <f>IF(Table!D378 = "","",Table!D378)</f>
        <v/>
      </c>
      <c r="E378" s="32" t="str">
        <f>IF(Table!E378 = "","",Table!E378)</f>
        <v/>
      </c>
      <c r="F378" s="32" t="str">
        <f>IF(Table!F378 = "","",Table!F378)</f>
        <v/>
      </c>
      <c r="G378" s="91"/>
      <c r="I378" s="84" t="str">
        <f>IFERROR(VLOOKUP(A378,Downlink!A:L,12,TRUE),"")</f>
        <v/>
      </c>
      <c r="K378" s="31" t="str">
        <f>IFERROR(VLOOKUP(A378,Table!$I$4:$O$3000,1,TRUE),"")</f>
        <v/>
      </c>
      <c r="L378" s="31" t="str">
        <f>IFERROR(INDEX(Table!I:O,MATCH(K378,Table!I:I,0),2),"")</f>
        <v/>
      </c>
      <c r="M378" s="31" t="str">
        <f>IFERROR(INDEX(Table!I:O,MATCH(K378,Table!I:I,0),3),"")</f>
        <v/>
      </c>
      <c r="N378" s="32" t="str">
        <f>IFERROR(INDEX(Table!I:O,MATCH(K378,Table!I:I,0),4),"")</f>
        <v/>
      </c>
      <c r="O378" s="32" t="str">
        <f>IFERROR(INDEX(Table!I:O,MATCH(K378,Table!I:I,0),5),"")</f>
        <v/>
      </c>
      <c r="P378" s="32" t="str">
        <f>IFERROR(INDEX(Table!I:O,MATCH(K378,Table!I:I,0),6),"")</f>
        <v/>
      </c>
      <c r="Q378" s="89" t="str">
        <f t="shared" si="15"/>
        <v/>
      </c>
      <c r="R378" s="89" t="str">
        <f t="shared" si="16"/>
        <v/>
      </c>
      <c r="S378" s="82"/>
      <c r="U378" s="37" t="e">
        <f t="shared" si="17"/>
        <v>#VALUE!</v>
      </c>
    </row>
    <row r="379" spans="1:21" x14ac:dyDescent="0.25">
      <c r="A379" s="31" t="str">
        <f>IF(Table!A379 = "","",Table!A379)</f>
        <v/>
      </c>
      <c r="B379" s="31" t="str">
        <f>IF(Table!B379 = "","",Table!B379)</f>
        <v/>
      </c>
      <c r="C379" s="31" t="str">
        <f>IF(Table!C379 = "","",Table!C379)</f>
        <v/>
      </c>
      <c r="D379" s="32" t="str">
        <f>IF(Table!D379 = "","",Table!D379)</f>
        <v/>
      </c>
      <c r="E379" s="32" t="str">
        <f>IF(Table!E379 = "","",Table!E379)</f>
        <v/>
      </c>
      <c r="F379" s="32" t="str">
        <f>IF(Table!F379 = "","",Table!F379)</f>
        <v/>
      </c>
      <c r="G379" s="91"/>
      <c r="I379" s="84" t="str">
        <f>IFERROR(VLOOKUP(A379,Downlink!A:L,12,TRUE),"")</f>
        <v/>
      </c>
      <c r="K379" s="31" t="str">
        <f>IFERROR(VLOOKUP(A379,Table!$I$4:$O$3000,1,TRUE),"")</f>
        <v/>
      </c>
      <c r="L379" s="31" t="str">
        <f>IFERROR(INDEX(Table!I:O,MATCH(K379,Table!I:I,0),2),"")</f>
        <v/>
      </c>
      <c r="M379" s="31" t="str">
        <f>IFERROR(INDEX(Table!I:O,MATCH(K379,Table!I:I,0),3),"")</f>
        <v/>
      </c>
      <c r="N379" s="32" t="str">
        <f>IFERROR(INDEX(Table!I:O,MATCH(K379,Table!I:I,0),4),"")</f>
        <v/>
      </c>
      <c r="O379" s="32" t="str">
        <f>IFERROR(INDEX(Table!I:O,MATCH(K379,Table!I:I,0),5),"")</f>
        <v/>
      </c>
      <c r="P379" s="32" t="str">
        <f>IFERROR(INDEX(Table!I:O,MATCH(K379,Table!I:I,0),6),"")</f>
        <v/>
      </c>
      <c r="Q379" s="89" t="str">
        <f t="shared" si="15"/>
        <v/>
      </c>
      <c r="R379" s="89" t="str">
        <f t="shared" si="16"/>
        <v/>
      </c>
      <c r="S379" s="82"/>
      <c r="U379" s="37" t="e">
        <f t="shared" si="17"/>
        <v>#VALUE!</v>
      </c>
    </row>
    <row r="380" spans="1:21" x14ac:dyDescent="0.25">
      <c r="A380" s="31" t="str">
        <f>IF(Table!A380 = "","",Table!A380)</f>
        <v/>
      </c>
      <c r="B380" s="31" t="str">
        <f>IF(Table!B380 = "","",Table!B380)</f>
        <v/>
      </c>
      <c r="C380" s="31" t="str">
        <f>IF(Table!C380 = "","",Table!C380)</f>
        <v/>
      </c>
      <c r="D380" s="32" t="str">
        <f>IF(Table!D380 = "","",Table!D380)</f>
        <v/>
      </c>
      <c r="E380" s="32" t="str">
        <f>IF(Table!E380 = "","",Table!E380)</f>
        <v/>
      </c>
      <c r="F380" s="32" t="str">
        <f>IF(Table!F380 = "","",Table!F380)</f>
        <v/>
      </c>
      <c r="G380" s="91"/>
      <c r="I380" s="84" t="str">
        <f>IFERROR(VLOOKUP(A380,Downlink!A:L,12,TRUE),"")</f>
        <v/>
      </c>
      <c r="K380" s="31" t="str">
        <f>IFERROR(VLOOKUP(A380,Table!$I$4:$O$3000,1,TRUE),"")</f>
        <v/>
      </c>
      <c r="L380" s="31" t="str">
        <f>IFERROR(INDEX(Table!I:O,MATCH(K380,Table!I:I,0),2),"")</f>
        <v/>
      </c>
      <c r="M380" s="31" t="str">
        <f>IFERROR(INDEX(Table!I:O,MATCH(K380,Table!I:I,0),3),"")</f>
        <v/>
      </c>
      <c r="N380" s="32" t="str">
        <f>IFERROR(INDEX(Table!I:O,MATCH(K380,Table!I:I,0),4),"")</f>
        <v/>
      </c>
      <c r="O380" s="32" t="str">
        <f>IFERROR(INDEX(Table!I:O,MATCH(K380,Table!I:I,0),5),"")</f>
        <v/>
      </c>
      <c r="P380" s="32" t="str">
        <f>IFERROR(INDEX(Table!I:O,MATCH(K380,Table!I:I,0),6),"")</f>
        <v/>
      </c>
      <c r="Q380" s="89" t="str">
        <f t="shared" si="15"/>
        <v/>
      </c>
      <c r="R380" s="89" t="str">
        <f t="shared" si="16"/>
        <v/>
      </c>
      <c r="S380" s="82"/>
      <c r="U380" s="37" t="e">
        <f t="shared" si="17"/>
        <v>#VALUE!</v>
      </c>
    </row>
    <row r="381" spans="1:21" x14ac:dyDescent="0.25">
      <c r="A381" s="31" t="str">
        <f>IF(Table!A381 = "","",Table!A381)</f>
        <v/>
      </c>
      <c r="B381" s="31" t="str">
        <f>IF(Table!B381 = "","",Table!B381)</f>
        <v/>
      </c>
      <c r="C381" s="31" t="str">
        <f>IF(Table!C381 = "","",Table!C381)</f>
        <v/>
      </c>
      <c r="D381" s="32" t="str">
        <f>IF(Table!D381 = "","",Table!D381)</f>
        <v/>
      </c>
      <c r="E381" s="32" t="str">
        <f>IF(Table!E381 = "","",Table!E381)</f>
        <v/>
      </c>
      <c r="F381" s="32" t="str">
        <f>IF(Table!F381 = "","",Table!F381)</f>
        <v/>
      </c>
      <c r="G381" s="91"/>
      <c r="I381" s="84" t="str">
        <f>IFERROR(VLOOKUP(A381,Downlink!A:L,12,TRUE),"")</f>
        <v/>
      </c>
      <c r="K381" s="31" t="str">
        <f>IFERROR(VLOOKUP(A381,Table!$I$4:$O$3000,1,TRUE),"")</f>
        <v/>
      </c>
      <c r="L381" s="31" t="str">
        <f>IFERROR(INDEX(Table!I:O,MATCH(K381,Table!I:I,0),2),"")</f>
        <v/>
      </c>
      <c r="M381" s="31" t="str">
        <f>IFERROR(INDEX(Table!I:O,MATCH(K381,Table!I:I,0),3),"")</f>
        <v/>
      </c>
      <c r="N381" s="32" t="str">
        <f>IFERROR(INDEX(Table!I:O,MATCH(K381,Table!I:I,0),4),"")</f>
        <v/>
      </c>
      <c r="O381" s="32" t="str">
        <f>IFERROR(INDEX(Table!I:O,MATCH(K381,Table!I:I,0),5),"")</f>
        <v/>
      </c>
      <c r="P381" s="32" t="str">
        <f>IFERROR(INDEX(Table!I:O,MATCH(K381,Table!I:I,0),6),"")</f>
        <v/>
      </c>
      <c r="Q381" s="89" t="str">
        <f t="shared" si="15"/>
        <v/>
      </c>
      <c r="R381" s="89" t="str">
        <f t="shared" si="16"/>
        <v/>
      </c>
      <c r="S381" s="82"/>
      <c r="U381" s="37" t="e">
        <f t="shared" si="17"/>
        <v>#VALUE!</v>
      </c>
    </row>
    <row r="382" spans="1:21" x14ac:dyDescent="0.25">
      <c r="A382" s="31" t="str">
        <f>IF(Table!A382 = "","",Table!A382)</f>
        <v/>
      </c>
      <c r="B382" s="31" t="str">
        <f>IF(Table!B382 = "","",Table!B382)</f>
        <v/>
      </c>
      <c r="C382" s="31" t="str">
        <f>IF(Table!C382 = "","",Table!C382)</f>
        <v/>
      </c>
      <c r="D382" s="32" t="str">
        <f>IF(Table!D382 = "","",Table!D382)</f>
        <v/>
      </c>
      <c r="E382" s="32" t="str">
        <f>IF(Table!E382 = "","",Table!E382)</f>
        <v/>
      </c>
      <c r="F382" s="32" t="str">
        <f>IF(Table!F382 = "","",Table!F382)</f>
        <v/>
      </c>
      <c r="G382" s="91"/>
      <c r="I382" s="84" t="str">
        <f>IFERROR(VLOOKUP(A382,Downlink!A:L,12,TRUE),"")</f>
        <v/>
      </c>
      <c r="K382" s="31" t="str">
        <f>IFERROR(VLOOKUP(A382,Table!$I$4:$O$3000,1,TRUE),"")</f>
        <v/>
      </c>
      <c r="L382" s="31" t="str">
        <f>IFERROR(INDEX(Table!I:O,MATCH(K382,Table!I:I,0),2),"")</f>
        <v/>
      </c>
      <c r="M382" s="31" t="str">
        <f>IFERROR(INDEX(Table!I:O,MATCH(K382,Table!I:I,0),3),"")</f>
        <v/>
      </c>
      <c r="N382" s="32" t="str">
        <f>IFERROR(INDEX(Table!I:O,MATCH(K382,Table!I:I,0),4),"")</f>
        <v/>
      </c>
      <c r="O382" s="32" t="str">
        <f>IFERROR(INDEX(Table!I:O,MATCH(K382,Table!I:I,0),5),"")</f>
        <v/>
      </c>
      <c r="P382" s="32" t="str">
        <f>IFERROR(INDEX(Table!I:O,MATCH(K382,Table!I:I,0),6),"")</f>
        <v/>
      </c>
      <c r="Q382" s="89" t="str">
        <f t="shared" si="15"/>
        <v/>
      </c>
      <c r="R382" s="89" t="str">
        <f t="shared" si="16"/>
        <v/>
      </c>
      <c r="S382" s="82"/>
      <c r="U382" s="37" t="e">
        <f t="shared" si="17"/>
        <v>#VALUE!</v>
      </c>
    </row>
    <row r="383" spans="1:21" x14ac:dyDescent="0.25">
      <c r="A383" s="31" t="str">
        <f>IF(Table!A383 = "","",Table!A383)</f>
        <v/>
      </c>
      <c r="B383" s="31" t="str">
        <f>IF(Table!B383 = "","",Table!B383)</f>
        <v/>
      </c>
      <c r="C383" s="31" t="str">
        <f>IF(Table!C383 = "","",Table!C383)</f>
        <v/>
      </c>
      <c r="D383" s="32" t="str">
        <f>IF(Table!D383 = "","",Table!D383)</f>
        <v/>
      </c>
      <c r="E383" s="32" t="str">
        <f>IF(Table!E383 = "","",Table!E383)</f>
        <v/>
      </c>
      <c r="F383" s="32" t="str">
        <f>IF(Table!F383 = "","",Table!F383)</f>
        <v/>
      </c>
      <c r="G383" s="91"/>
      <c r="I383" s="84" t="str">
        <f>IFERROR(VLOOKUP(A383,Downlink!A:L,12,TRUE),"")</f>
        <v/>
      </c>
      <c r="K383" s="31" t="str">
        <f>IFERROR(VLOOKUP(A383,Table!$I$4:$O$3000,1,TRUE),"")</f>
        <v/>
      </c>
      <c r="L383" s="31" t="str">
        <f>IFERROR(INDEX(Table!I:O,MATCH(K383,Table!I:I,0),2),"")</f>
        <v/>
      </c>
      <c r="M383" s="31" t="str">
        <f>IFERROR(INDEX(Table!I:O,MATCH(K383,Table!I:I,0),3),"")</f>
        <v/>
      </c>
      <c r="N383" s="32" t="str">
        <f>IFERROR(INDEX(Table!I:O,MATCH(K383,Table!I:I,0),4),"")</f>
        <v/>
      </c>
      <c r="O383" s="32" t="str">
        <f>IFERROR(INDEX(Table!I:O,MATCH(K383,Table!I:I,0),5),"")</f>
        <v/>
      </c>
      <c r="P383" s="32" t="str">
        <f>IFERROR(INDEX(Table!I:O,MATCH(K383,Table!I:I,0),6),"")</f>
        <v/>
      </c>
      <c r="Q383" s="89" t="str">
        <f t="shared" si="15"/>
        <v/>
      </c>
      <c r="R383" s="89" t="str">
        <f t="shared" si="16"/>
        <v/>
      </c>
      <c r="S383" s="82"/>
      <c r="U383" s="37" t="e">
        <f t="shared" si="17"/>
        <v>#VALUE!</v>
      </c>
    </row>
    <row r="384" spans="1:21" x14ac:dyDescent="0.25">
      <c r="A384" s="31" t="str">
        <f>IF(Table!A384 = "","",Table!A384)</f>
        <v/>
      </c>
      <c r="B384" s="31" t="str">
        <f>IF(Table!B384 = "","",Table!B384)</f>
        <v/>
      </c>
      <c r="C384" s="31" t="str">
        <f>IF(Table!C384 = "","",Table!C384)</f>
        <v/>
      </c>
      <c r="D384" s="32" t="str">
        <f>IF(Table!D384 = "","",Table!D384)</f>
        <v/>
      </c>
      <c r="E384" s="32" t="str">
        <f>IF(Table!E384 = "","",Table!E384)</f>
        <v/>
      </c>
      <c r="F384" s="32" t="str">
        <f>IF(Table!F384 = "","",Table!F384)</f>
        <v/>
      </c>
      <c r="G384" s="91"/>
      <c r="I384" s="84" t="str">
        <f>IFERROR(VLOOKUP(A384,Downlink!A:L,12,TRUE),"")</f>
        <v/>
      </c>
      <c r="K384" s="31" t="str">
        <f>IFERROR(VLOOKUP(A384,Table!$I$4:$O$3000,1,TRUE),"")</f>
        <v/>
      </c>
      <c r="L384" s="31" t="str">
        <f>IFERROR(INDEX(Table!I:O,MATCH(K384,Table!I:I,0),2),"")</f>
        <v/>
      </c>
      <c r="M384" s="31" t="str">
        <f>IFERROR(INDEX(Table!I:O,MATCH(K384,Table!I:I,0),3),"")</f>
        <v/>
      </c>
      <c r="N384" s="32" t="str">
        <f>IFERROR(INDEX(Table!I:O,MATCH(K384,Table!I:I,0),4),"")</f>
        <v/>
      </c>
      <c r="O384" s="32" t="str">
        <f>IFERROR(INDEX(Table!I:O,MATCH(K384,Table!I:I,0),5),"")</f>
        <v/>
      </c>
      <c r="P384" s="32" t="str">
        <f>IFERROR(INDEX(Table!I:O,MATCH(K384,Table!I:I,0),6),"")</f>
        <v/>
      </c>
      <c r="Q384" s="89" t="str">
        <f t="shared" si="15"/>
        <v/>
      </c>
      <c r="R384" s="89" t="str">
        <f t="shared" si="16"/>
        <v/>
      </c>
      <c r="S384" s="82"/>
      <c r="U384" s="37" t="e">
        <f t="shared" si="17"/>
        <v>#VALUE!</v>
      </c>
    </row>
    <row r="385" spans="1:21" x14ac:dyDescent="0.25">
      <c r="A385" s="31" t="str">
        <f>IF(Table!A385 = "","",Table!A385)</f>
        <v/>
      </c>
      <c r="B385" s="31" t="str">
        <f>IF(Table!B385 = "","",Table!B385)</f>
        <v/>
      </c>
      <c r="C385" s="31" t="str">
        <f>IF(Table!C385 = "","",Table!C385)</f>
        <v/>
      </c>
      <c r="D385" s="32" t="str">
        <f>IF(Table!D385 = "","",Table!D385)</f>
        <v/>
      </c>
      <c r="E385" s="32" t="str">
        <f>IF(Table!E385 = "","",Table!E385)</f>
        <v/>
      </c>
      <c r="F385" s="32" t="str">
        <f>IF(Table!F385 = "","",Table!F385)</f>
        <v/>
      </c>
      <c r="G385" s="91"/>
      <c r="I385" s="84" t="str">
        <f>IFERROR(VLOOKUP(A385,Downlink!A:L,12,TRUE),"")</f>
        <v/>
      </c>
      <c r="K385" s="31" t="str">
        <f>IFERROR(VLOOKUP(A385,Table!$I$4:$O$3000,1,TRUE),"")</f>
        <v/>
      </c>
      <c r="L385" s="31" t="str">
        <f>IFERROR(INDEX(Table!I:O,MATCH(K385,Table!I:I,0),2),"")</f>
        <v/>
      </c>
      <c r="M385" s="31" t="str">
        <f>IFERROR(INDEX(Table!I:O,MATCH(K385,Table!I:I,0),3),"")</f>
        <v/>
      </c>
      <c r="N385" s="32" t="str">
        <f>IFERROR(INDEX(Table!I:O,MATCH(K385,Table!I:I,0),4),"")</f>
        <v/>
      </c>
      <c r="O385" s="32" t="str">
        <f>IFERROR(INDEX(Table!I:O,MATCH(K385,Table!I:I,0),5),"")</f>
        <v/>
      </c>
      <c r="P385" s="32" t="str">
        <f>IFERROR(INDEX(Table!I:O,MATCH(K385,Table!I:I,0),6),"")</f>
        <v/>
      </c>
      <c r="Q385" s="89" t="str">
        <f t="shared" si="15"/>
        <v/>
      </c>
      <c r="R385" s="89" t="str">
        <f t="shared" si="16"/>
        <v/>
      </c>
      <c r="S385" s="82"/>
      <c r="U385" s="37" t="e">
        <f t="shared" si="17"/>
        <v>#VALUE!</v>
      </c>
    </row>
    <row r="386" spans="1:21" x14ac:dyDescent="0.25">
      <c r="A386" s="31" t="str">
        <f>IF(Table!A386 = "","",Table!A386)</f>
        <v/>
      </c>
      <c r="B386" s="31" t="str">
        <f>IF(Table!B386 = "","",Table!B386)</f>
        <v/>
      </c>
      <c r="C386" s="31" t="str">
        <f>IF(Table!C386 = "","",Table!C386)</f>
        <v/>
      </c>
      <c r="D386" s="32" t="str">
        <f>IF(Table!D386 = "","",Table!D386)</f>
        <v/>
      </c>
      <c r="E386" s="32" t="str">
        <f>IF(Table!E386 = "","",Table!E386)</f>
        <v/>
      </c>
      <c r="F386" s="32" t="str">
        <f>IF(Table!F386 = "","",Table!F386)</f>
        <v/>
      </c>
      <c r="G386" s="91"/>
      <c r="I386" s="84" t="str">
        <f>IFERROR(VLOOKUP(A386,Downlink!A:L,12,TRUE),"")</f>
        <v/>
      </c>
      <c r="K386" s="31" t="str">
        <f>IFERROR(VLOOKUP(A386,Table!$I$4:$O$3000,1,TRUE),"")</f>
        <v/>
      </c>
      <c r="L386" s="31" t="str">
        <f>IFERROR(INDEX(Table!I:O,MATCH(K386,Table!I:I,0),2),"")</f>
        <v/>
      </c>
      <c r="M386" s="31" t="str">
        <f>IFERROR(INDEX(Table!I:O,MATCH(K386,Table!I:I,0),3),"")</f>
        <v/>
      </c>
      <c r="N386" s="32" t="str">
        <f>IFERROR(INDEX(Table!I:O,MATCH(K386,Table!I:I,0),4),"")</f>
        <v/>
      </c>
      <c r="O386" s="32" t="str">
        <f>IFERROR(INDEX(Table!I:O,MATCH(K386,Table!I:I,0),5),"")</f>
        <v/>
      </c>
      <c r="P386" s="32" t="str">
        <f>IFERROR(INDEX(Table!I:O,MATCH(K386,Table!I:I,0),6),"")</f>
        <v/>
      </c>
      <c r="Q386" s="89" t="str">
        <f t="shared" si="15"/>
        <v/>
      </c>
      <c r="R386" s="89" t="str">
        <f t="shared" si="16"/>
        <v/>
      </c>
      <c r="S386" s="82"/>
      <c r="U386" s="37" t="e">
        <f t="shared" si="17"/>
        <v>#VALUE!</v>
      </c>
    </row>
    <row r="387" spans="1:21" x14ac:dyDescent="0.25">
      <c r="A387" s="31" t="str">
        <f>IF(Table!A387 = "","",Table!A387)</f>
        <v/>
      </c>
      <c r="B387" s="31" t="str">
        <f>IF(Table!B387 = "","",Table!B387)</f>
        <v/>
      </c>
      <c r="C387" s="31" t="str">
        <f>IF(Table!C387 = "","",Table!C387)</f>
        <v/>
      </c>
      <c r="D387" s="32" t="str">
        <f>IF(Table!D387 = "","",Table!D387)</f>
        <v/>
      </c>
      <c r="E387" s="32" t="str">
        <f>IF(Table!E387 = "","",Table!E387)</f>
        <v/>
      </c>
      <c r="F387" s="32" t="str">
        <f>IF(Table!F387 = "","",Table!F387)</f>
        <v/>
      </c>
      <c r="G387" s="91"/>
      <c r="I387" s="84" t="str">
        <f>IFERROR(VLOOKUP(A387,Downlink!A:L,12,TRUE),"")</f>
        <v/>
      </c>
      <c r="K387" s="31" t="str">
        <f>IFERROR(VLOOKUP(A387,Table!$I$4:$O$3000,1,TRUE),"")</f>
        <v/>
      </c>
      <c r="L387" s="31" t="str">
        <f>IFERROR(INDEX(Table!I:O,MATCH(K387,Table!I:I,0),2),"")</f>
        <v/>
      </c>
      <c r="M387" s="31" t="str">
        <f>IFERROR(INDEX(Table!I:O,MATCH(K387,Table!I:I,0),3),"")</f>
        <v/>
      </c>
      <c r="N387" s="32" t="str">
        <f>IFERROR(INDEX(Table!I:O,MATCH(K387,Table!I:I,0),4),"")</f>
        <v/>
      </c>
      <c r="O387" s="32" t="str">
        <f>IFERROR(INDEX(Table!I:O,MATCH(K387,Table!I:I,0),5),"")</f>
        <v/>
      </c>
      <c r="P387" s="32" t="str">
        <f>IFERROR(INDEX(Table!I:O,MATCH(K387,Table!I:I,0),6),"")</f>
        <v/>
      </c>
      <c r="Q387" s="89" t="str">
        <f t="shared" si="15"/>
        <v/>
      </c>
      <c r="R387" s="89" t="str">
        <f t="shared" si="16"/>
        <v/>
      </c>
      <c r="S387" s="82"/>
      <c r="U387" s="37" t="e">
        <f t="shared" si="17"/>
        <v>#VALUE!</v>
      </c>
    </row>
    <row r="388" spans="1:21" x14ac:dyDescent="0.25">
      <c r="A388" s="31" t="str">
        <f>IF(Table!A388 = "","",Table!A388)</f>
        <v/>
      </c>
      <c r="B388" s="31" t="str">
        <f>IF(Table!B388 = "","",Table!B388)</f>
        <v/>
      </c>
      <c r="C388" s="31" t="str">
        <f>IF(Table!C388 = "","",Table!C388)</f>
        <v/>
      </c>
      <c r="D388" s="32" t="str">
        <f>IF(Table!D388 = "","",Table!D388)</f>
        <v/>
      </c>
      <c r="E388" s="32" t="str">
        <f>IF(Table!E388 = "","",Table!E388)</f>
        <v/>
      </c>
      <c r="F388" s="32" t="str">
        <f>IF(Table!F388 = "","",Table!F388)</f>
        <v/>
      </c>
      <c r="G388" s="91"/>
      <c r="I388" s="84" t="str">
        <f>IFERROR(VLOOKUP(A388,Downlink!A:L,12,TRUE),"")</f>
        <v/>
      </c>
      <c r="K388" s="31" t="str">
        <f>IFERROR(VLOOKUP(A388,Table!$I$4:$O$3000,1,TRUE),"")</f>
        <v/>
      </c>
      <c r="L388" s="31" t="str">
        <f>IFERROR(INDEX(Table!I:O,MATCH(K388,Table!I:I,0),2),"")</f>
        <v/>
      </c>
      <c r="M388" s="31" t="str">
        <f>IFERROR(INDEX(Table!I:O,MATCH(K388,Table!I:I,0),3),"")</f>
        <v/>
      </c>
      <c r="N388" s="32" t="str">
        <f>IFERROR(INDEX(Table!I:O,MATCH(K388,Table!I:I,0),4),"")</f>
        <v/>
      </c>
      <c r="O388" s="32" t="str">
        <f>IFERROR(INDEX(Table!I:O,MATCH(K388,Table!I:I,0),5),"")</f>
        <v/>
      </c>
      <c r="P388" s="32" t="str">
        <f>IFERROR(INDEX(Table!I:O,MATCH(K388,Table!I:I,0),6),"")</f>
        <v/>
      </c>
      <c r="Q388" s="89" t="str">
        <f t="shared" si="15"/>
        <v/>
      </c>
      <c r="R388" s="89" t="str">
        <f t="shared" si="16"/>
        <v/>
      </c>
      <c r="S388" s="82"/>
      <c r="U388" s="37" t="e">
        <f t="shared" si="17"/>
        <v>#VALUE!</v>
      </c>
    </row>
    <row r="389" spans="1:21" x14ac:dyDescent="0.25">
      <c r="A389" s="31" t="str">
        <f>IF(Table!A389 = "","",Table!A389)</f>
        <v/>
      </c>
      <c r="B389" s="31" t="str">
        <f>IF(Table!B389 = "","",Table!B389)</f>
        <v/>
      </c>
      <c r="C389" s="31" t="str">
        <f>IF(Table!C389 = "","",Table!C389)</f>
        <v/>
      </c>
      <c r="D389" s="32" t="str">
        <f>IF(Table!D389 = "","",Table!D389)</f>
        <v/>
      </c>
      <c r="E389" s="32" t="str">
        <f>IF(Table!E389 = "","",Table!E389)</f>
        <v/>
      </c>
      <c r="F389" s="32" t="str">
        <f>IF(Table!F389 = "","",Table!F389)</f>
        <v/>
      </c>
      <c r="G389" s="91"/>
      <c r="I389" s="84" t="str">
        <f>IFERROR(VLOOKUP(A389,Downlink!A:L,12,TRUE),"")</f>
        <v/>
      </c>
      <c r="K389" s="31" t="str">
        <f>IFERROR(VLOOKUP(A389,Table!$I$4:$O$3000,1,TRUE),"")</f>
        <v/>
      </c>
      <c r="L389" s="31" t="str">
        <f>IFERROR(INDEX(Table!I:O,MATCH(K389,Table!I:I,0),2),"")</f>
        <v/>
      </c>
      <c r="M389" s="31" t="str">
        <f>IFERROR(INDEX(Table!I:O,MATCH(K389,Table!I:I,0),3),"")</f>
        <v/>
      </c>
      <c r="N389" s="32" t="str">
        <f>IFERROR(INDEX(Table!I:O,MATCH(K389,Table!I:I,0),4),"")</f>
        <v/>
      </c>
      <c r="O389" s="32" t="str">
        <f>IFERROR(INDEX(Table!I:O,MATCH(K389,Table!I:I,0),5),"")</f>
        <v/>
      </c>
      <c r="P389" s="32" t="str">
        <f>IFERROR(INDEX(Table!I:O,MATCH(K389,Table!I:I,0),6),"")</f>
        <v/>
      </c>
      <c r="Q389" s="89" t="str">
        <f t="shared" si="15"/>
        <v/>
      </c>
      <c r="R389" s="89" t="str">
        <f t="shared" si="16"/>
        <v/>
      </c>
      <c r="S389" s="82"/>
      <c r="U389" s="37" t="e">
        <f t="shared" si="17"/>
        <v>#VALUE!</v>
      </c>
    </row>
    <row r="390" spans="1:21" x14ac:dyDescent="0.25">
      <c r="A390" s="31" t="str">
        <f>IF(Table!A390 = "","",Table!A390)</f>
        <v/>
      </c>
      <c r="B390" s="31" t="str">
        <f>IF(Table!B390 = "","",Table!B390)</f>
        <v/>
      </c>
      <c r="C390" s="31" t="str">
        <f>IF(Table!C390 = "","",Table!C390)</f>
        <v/>
      </c>
      <c r="D390" s="32" t="str">
        <f>IF(Table!D390 = "","",Table!D390)</f>
        <v/>
      </c>
      <c r="E390" s="32" t="str">
        <f>IF(Table!E390 = "","",Table!E390)</f>
        <v/>
      </c>
      <c r="F390" s="32" t="str">
        <f>IF(Table!F390 = "","",Table!F390)</f>
        <v/>
      </c>
      <c r="G390" s="91"/>
      <c r="I390" s="84" t="str">
        <f>IFERROR(VLOOKUP(A390,Downlink!A:L,12,TRUE),"")</f>
        <v/>
      </c>
      <c r="K390" s="31" t="str">
        <f>IFERROR(VLOOKUP(A390,Table!$I$4:$O$3000,1,TRUE),"")</f>
        <v/>
      </c>
      <c r="L390" s="31" t="str">
        <f>IFERROR(INDEX(Table!I:O,MATCH(K390,Table!I:I,0),2),"")</f>
        <v/>
      </c>
      <c r="M390" s="31" t="str">
        <f>IFERROR(INDEX(Table!I:O,MATCH(K390,Table!I:I,0),3),"")</f>
        <v/>
      </c>
      <c r="N390" s="32" t="str">
        <f>IFERROR(INDEX(Table!I:O,MATCH(K390,Table!I:I,0),4),"")</f>
        <v/>
      </c>
      <c r="O390" s="32" t="str">
        <f>IFERROR(INDEX(Table!I:O,MATCH(K390,Table!I:I,0),5),"")</f>
        <v/>
      </c>
      <c r="P390" s="32" t="str">
        <f>IFERROR(INDEX(Table!I:O,MATCH(K390,Table!I:I,0),6),"")</f>
        <v/>
      </c>
      <c r="Q390" s="89" t="str">
        <f t="shared" ref="Q390:Q453" si="18">IFERROR(L390-B390,"")</f>
        <v/>
      </c>
      <c r="R390" s="89" t="str">
        <f t="shared" ref="R390:R453" si="19">IFERROR(M390-C390,"")</f>
        <v/>
      </c>
      <c r="S390" s="82"/>
      <c r="U390" s="37" t="e">
        <f t="shared" ref="U390:U453" si="20">K390-K389</f>
        <v>#VALUE!</v>
      </c>
    </row>
    <row r="391" spans="1:21" x14ac:dyDescent="0.25">
      <c r="A391" s="31" t="str">
        <f>IF(Table!A391 = "","",Table!A391)</f>
        <v/>
      </c>
      <c r="B391" s="31" t="str">
        <f>IF(Table!B391 = "","",Table!B391)</f>
        <v/>
      </c>
      <c r="C391" s="31" t="str">
        <f>IF(Table!C391 = "","",Table!C391)</f>
        <v/>
      </c>
      <c r="D391" s="32" t="str">
        <f>IF(Table!D391 = "","",Table!D391)</f>
        <v/>
      </c>
      <c r="E391" s="32" t="str">
        <f>IF(Table!E391 = "","",Table!E391)</f>
        <v/>
      </c>
      <c r="F391" s="32" t="str">
        <f>IF(Table!F391 = "","",Table!F391)</f>
        <v/>
      </c>
      <c r="G391" s="91"/>
      <c r="I391" s="84" t="str">
        <f>IFERROR(VLOOKUP(A391,Downlink!A:L,12,TRUE),"")</f>
        <v/>
      </c>
      <c r="K391" s="31" t="str">
        <f>IFERROR(VLOOKUP(A391,Table!$I$4:$O$3000,1,TRUE),"")</f>
        <v/>
      </c>
      <c r="L391" s="31" t="str">
        <f>IFERROR(INDEX(Table!I:O,MATCH(K391,Table!I:I,0),2),"")</f>
        <v/>
      </c>
      <c r="M391" s="31" t="str">
        <f>IFERROR(INDEX(Table!I:O,MATCH(K391,Table!I:I,0),3),"")</f>
        <v/>
      </c>
      <c r="N391" s="32" t="str">
        <f>IFERROR(INDEX(Table!I:O,MATCH(K391,Table!I:I,0),4),"")</f>
        <v/>
      </c>
      <c r="O391" s="32" t="str">
        <f>IFERROR(INDEX(Table!I:O,MATCH(K391,Table!I:I,0),5),"")</f>
        <v/>
      </c>
      <c r="P391" s="32" t="str">
        <f>IFERROR(INDEX(Table!I:O,MATCH(K391,Table!I:I,0),6),"")</f>
        <v/>
      </c>
      <c r="Q391" s="89" t="str">
        <f t="shared" si="18"/>
        <v/>
      </c>
      <c r="R391" s="89" t="str">
        <f t="shared" si="19"/>
        <v/>
      </c>
      <c r="S391" s="82"/>
      <c r="U391" s="37" t="e">
        <f t="shared" si="20"/>
        <v>#VALUE!</v>
      </c>
    </row>
    <row r="392" spans="1:21" x14ac:dyDescent="0.25">
      <c r="A392" s="31" t="str">
        <f>IF(Table!A392 = "","",Table!A392)</f>
        <v/>
      </c>
      <c r="B392" s="31" t="str">
        <f>IF(Table!B392 = "","",Table!B392)</f>
        <v/>
      </c>
      <c r="C392" s="31" t="str">
        <f>IF(Table!C392 = "","",Table!C392)</f>
        <v/>
      </c>
      <c r="D392" s="32" t="str">
        <f>IF(Table!D392 = "","",Table!D392)</f>
        <v/>
      </c>
      <c r="E392" s="32" t="str">
        <f>IF(Table!E392 = "","",Table!E392)</f>
        <v/>
      </c>
      <c r="F392" s="32" t="str">
        <f>IF(Table!F392 = "","",Table!F392)</f>
        <v/>
      </c>
      <c r="G392" s="91"/>
      <c r="I392" s="84" t="str">
        <f>IFERROR(VLOOKUP(A392,Downlink!A:L,12,TRUE),"")</f>
        <v/>
      </c>
      <c r="K392" s="31" t="str">
        <f>IFERROR(VLOOKUP(A392,Table!$I$4:$O$3000,1,TRUE),"")</f>
        <v/>
      </c>
      <c r="L392" s="31" t="str">
        <f>IFERROR(INDEX(Table!I:O,MATCH(K392,Table!I:I,0),2),"")</f>
        <v/>
      </c>
      <c r="M392" s="31" t="str">
        <f>IFERROR(INDEX(Table!I:O,MATCH(K392,Table!I:I,0),3),"")</f>
        <v/>
      </c>
      <c r="N392" s="32" t="str">
        <f>IFERROR(INDEX(Table!I:O,MATCH(K392,Table!I:I,0),4),"")</f>
        <v/>
      </c>
      <c r="O392" s="32" t="str">
        <f>IFERROR(INDEX(Table!I:O,MATCH(K392,Table!I:I,0),5),"")</f>
        <v/>
      </c>
      <c r="P392" s="32" t="str">
        <f>IFERROR(INDEX(Table!I:O,MATCH(K392,Table!I:I,0),6),"")</f>
        <v/>
      </c>
      <c r="Q392" s="89" t="str">
        <f t="shared" si="18"/>
        <v/>
      </c>
      <c r="R392" s="89" t="str">
        <f t="shared" si="19"/>
        <v/>
      </c>
      <c r="S392" s="82"/>
      <c r="U392" s="37" t="e">
        <f t="shared" si="20"/>
        <v>#VALUE!</v>
      </c>
    </row>
    <row r="393" spans="1:21" x14ac:dyDescent="0.25">
      <c r="A393" s="31" t="str">
        <f>IF(Table!A393 = "","",Table!A393)</f>
        <v/>
      </c>
      <c r="B393" s="31" t="str">
        <f>IF(Table!B393 = "","",Table!B393)</f>
        <v/>
      </c>
      <c r="C393" s="31" t="str">
        <f>IF(Table!C393 = "","",Table!C393)</f>
        <v/>
      </c>
      <c r="D393" s="32" t="str">
        <f>IF(Table!D393 = "","",Table!D393)</f>
        <v/>
      </c>
      <c r="E393" s="32" t="str">
        <f>IF(Table!E393 = "","",Table!E393)</f>
        <v/>
      </c>
      <c r="F393" s="32" t="str">
        <f>IF(Table!F393 = "","",Table!F393)</f>
        <v/>
      </c>
      <c r="G393" s="91"/>
      <c r="I393" s="84" t="str">
        <f>IFERROR(VLOOKUP(A393,Downlink!A:L,12,TRUE),"")</f>
        <v/>
      </c>
      <c r="K393" s="31" t="str">
        <f>IFERROR(VLOOKUP(A393,Table!$I$4:$O$3000,1,TRUE),"")</f>
        <v/>
      </c>
      <c r="L393" s="31" t="str">
        <f>IFERROR(INDEX(Table!I:O,MATCH(K393,Table!I:I,0),2),"")</f>
        <v/>
      </c>
      <c r="M393" s="31" t="str">
        <f>IFERROR(INDEX(Table!I:O,MATCH(K393,Table!I:I,0),3),"")</f>
        <v/>
      </c>
      <c r="N393" s="32" t="str">
        <f>IFERROR(INDEX(Table!I:O,MATCH(K393,Table!I:I,0),4),"")</f>
        <v/>
      </c>
      <c r="O393" s="32" t="str">
        <f>IFERROR(INDEX(Table!I:O,MATCH(K393,Table!I:I,0),5),"")</f>
        <v/>
      </c>
      <c r="P393" s="32" t="str">
        <f>IFERROR(INDEX(Table!I:O,MATCH(K393,Table!I:I,0),6),"")</f>
        <v/>
      </c>
      <c r="Q393" s="89" t="str">
        <f t="shared" si="18"/>
        <v/>
      </c>
      <c r="R393" s="89" t="str">
        <f t="shared" si="19"/>
        <v/>
      </c>
      <c r="S393" s="82"/>
      <c r="U393" s="37" t="e">
        <f t="shared" si="20"/>
        <v>#VALUE!</v>
      </c>
    </row>
    <row r="394" spans="1:21" x14ac:dyDescent="0.25">
      <c r="A394" s="31" t="str">
        <f>IF(Table!A394 = "","",Table!A394)</f>
        <v/>
      </c>
      <c r="B394" s="31" t="str">
        <f>IF(Table!B394 = "","",Table!B394)</f>
        <v/>
      </c>
      <c r="C394" s="31" t="str">
        <f>IF(Table!C394 = "","",Table!C394)</f>
        <v/>
      </c>
      <c r="D394" s="32" t="str">
        <f>IF(Table!D394 = "","",Table!D394)</f>
        <v/>
      </c>
      <c r="E394" s="32" t="str">
        <f>IF(Table!E394 = "","",Table!E394)</f>
        <v/>
      </c>
      <c r="F394" s="32" t="str">
        <f>IF(Table!F394 = "","",Table!F394)</f>
        <v/>
      </c>
      <c r="G394" s="91"/>
      <c r="I394" s="84" t="str">
        <f>IFERROR(VLOOKUP(A394,Downlink!A:L,12,TRUE),"")</f>
        <v/>
      </c>
      <c r="K394" s="31" t="str">
        <f>IFERROR(VLOOKUP(A394,Table!$I$4:$O$3000,1,TRUE),"")</f>
        <v/>
      </c>
      <c r="L394" s="31" t="str">
        <f>IFERROR(INDEX(Table!I:O,MATCH(K394,Table!I:I,0),2),"")</f>
        <v/>
      </c>
      <c r="M394" s="31" t="str">
        <f>IFERROR(INDEX(Table!I:O,MATCH(K394,Table!I:I,0),3),"")</f>
        <v/>
      </c>
      <c r="N394" s="32" t="str">
        <f>IFERROR(INDEX(Table!I:O,MATCH(K394,Table!I:I,0),4),"")</f>
        <v/>
      </c>
      <c r="O394" s="32" t="str">
        <f>IFERROR(INDEX(Table!I:O,MATCH(K394,Table!I:I,0),5),"")</f>
        <v/>
      </c>
      <c r="P394" s="32" t="str">
        <f>IFERROR(INDEX(Table!I:O,MATCH(K394,Table!I:I,0),6),"")</f>
        <v/>
      </c>
      <c r="Q394" s="89" t="str">
        <f t="shared" si="18"/>
        <v/>
      </c>
      <c r="R394" s="89" t="str">
        <f t="shared" si="19"/>
        <v/>
      </c>
      <c r="S394" s="82"/>
      <c r="U394" s="37" t="e">
        <f t="shared" si="20"/>
        <v>#VALUE!</v>
      </c>
    </row>
    <row r="395" spans="1:21" x14ac:dyDescent="0.25">
      <c r="A395" s="31" t="str">
        <f>IF(Table!A395 = "","",Table!A395)</f>
        <v/>
      </c>
      <c r="B395" s="31" t="str">
        <f>IF(Table!B395 = "","",Table!B395)</f>
        <v/>
      </c>
      <c r="C395" s="31" t="str">
        <f>IF(Table!C395 = "","",Table!C395)</f>
        <v/>
      </c>
      <c r="D395" s="32" t="str">
        <f>IF(Table!D395 = "","",Table!D395)</f>
        <v/>
      </c>
      <c r="E395" s="32" t="str">
        <f>IF(Table!E395 = "","",Table!E395)</f>
        <v/>
      </c>
      <c r="F395" s="32" t="str">
        <f>IF(Table!F395 = "","",Table!F395)</f>
        <v/>
      </c>
      <c r="G395" s="91"/>
      <c r="I395" s="84" t="str">
        <f>IFERROR(VLOOKUP(A395,Downlink!A:L,12,TRUE),"")</f>
        <v/>
      </c>
      <c r="K395" s="31" t="str">
        <f>IFERROR(VLOOKUP(A395,Table!$I$4:$O$3000,1,TRUE),"")</f>
        <v/>
      </c>
      <c r="L395" s="31" t="str">
        <f>IFERROR(INDEX(Table!I:O,MATCH(K395,Table!I:I,0),2),"")</f>
        <v/>
      </c>
      <c r="M395" s="31" t="str">
        <f>IFERROR(INDEX(Table!I:O,MATCH(K395,Table!I:I,0),3),"")</f>
        <v/>
      </c>
      <c r="N395" s="32" t="str">
        <f>IFERROR(INDEX(Table!I:O,MATCH(K395,Table!I:I,0),4),"")</f>
        <v/>
      </c>
      <c r="O395" s="32" t="str">
        <f>IFERROR(INDEX(Table!I:O,MATCH(K395,Table!I:I,0),5),"")</f>
        <v/>
      </c>
      <c r="P395" s="32" t="str">
        <f>IFERROR(INDEX(Table!I:O,MATCH(K395,Table!I:I,0),6),"")</f>
        <v/>
      </c>
      <c r="Q395" s="89" t="str">
        <f t="shared" si="18"/>
        <v/>
      </c>
      <c r="R395" s="89" t="str">
        <f t="shared" si="19"/>
        <v/>
      </c>
      <c r="S395" s="82"/>
      <c r="U395" s="37" t="e">
        <f t="shared" si="20"/>
        <v>#VALUE!</v>
      </c>
    </row>
    <row r="396" spans="1:21" x14ac:dyDescent="0.25">
      <c r="A396" s="31" t="str">
        <f>IF(Table!A396 = "","",Table!A396)</f>
        <v/>
      </c>
      <c r="B396" s="31" t="str">
        <f>IF(Table!B396 = "","",Table!B396)</f>
        <v/>
      </c>
      <c r="C396" s="31" t="str">
        <f>IF(Table!C396 = "","",Table!C396)</f>
        <v/>
      </c>
      <c r="D396" s="32" t="str">
        <f>IF(Table!D396 = "","",Table!D396)</f>
        <v/>
      </c>
      <c r="E396" s="32" t="str">
        <f>IF(Table!E396 = "","",Table!E396)</f>
        <v/>
      </c>
      <c r="F396" s="32" t="str">
        <f>IF(Table!F396 = "","",Table!F396)</f>
        <v/>
      </c>
      <c r="G396" s="91"/>
      <c r="I396" s="84" t="str">
        <f>IFERROR(VLOOKUP(A396,Downlink!A:L,12,TRUE),"")</f>
        <v/>
      </c>
      <c r="K396" s="31" t="str">
        <f>IFERROR(VLOOKUP(A396,Table!$I$4:$O$3000,1,TRUE),"")</f>
        <v/>
      </c>
      <c r="L396" s="31" t="str">
        <f>IFERROR(INDEX(Table!I:O,MATCH(K396,Table!I:I,0),2),"")</f>
        <v/>
      </c>
      <c r="M396" s="31" t="str">
        <f>IFERROR(INDEX(Table!I:O,MATCH(K396,Table!I:I,0),3),"")</f>
        <v/>
      </c>
      <c r="N396" s="32" t="str">
        <f>IFERROR(INDEX(Table!I:O,MATCH(K396,Table!I:I,0),4),"")</f>
        <v/>
      </c>
      <c r="O396" s="32" t="str">
        <f>IFERROR(INDEX(Table!I:O,MATCH(K396,Table!I:I,0),5),"")</f>
        <v/>
      </c>
      <c r="P396" s="32" t="str">
        <f>IFERROR(INDEX(Table!I:O,MATCH(K396,Table!I:I,0),6),"")</f>
        <v/>
      </c>
      <c r="Q396" s="89" t="str">
        <f t="shared" si="18"/>
        <v/>
      </c>
      <c r="R396" s="89" t="str">
        <f t="shared" si="19"/>
        <v/>
      </c>
      <c r="S396" s="82"/>
      <c r="U396" s="37" t="e">
        <f t="shared" si="20"/>
        <v>#VALUE!</v>
      </c>
    </row>
    <row r="397" spans="1:21" x14ac:dyDescent="0.25">
      <c r="A397" s="31" t="str">
        <f>IF(Table!A397 = "","",Table!A397)</f>
        <v/>
      </c>
      <c r="B397" s="31" t="str">
        <f>IF(Table!B397 = "","",Table!B397)</f>
        <v/>
      </c>
      <c r="C397" s="31" t="str">
        <f>IF(Table!C397 = "","",Table!C397)</f>
        <v/>
      </c>
      <c r="D397" s="32" t="str">
        <f>IF(Table!D397 = "","",Table!D397)</f>
        <v/>
      </c>
      <c r="E397" s="32" t="str">
        <f>IF(Table!E397 = "","",Table!E397)</f>
        <v/>
      </c>
      <c r="F397" s="32" t="str">
        <f>IF(Table!F397 = "","",Table!F397)</f>
        <v/>
      </c>
      <c r="G397" s="91"/>
      <c r="I397" s="84" t="str">
        <f>IFERROR(VLOOKUP(A397,Downlink!A:L,12,TRUE),"")</f>
        <v/>
      </c>
      <c r="K397" s="31" t="str">
        <f>IFERROR(VLOOKUP(A397,Table!$I$4:$O$3000,1,TRUE),"")</f>
        <v/>
      </c>
      <c r="L397" s="31" t="str">
        <f>IFERROR(INDEX(Table!I:O,MATCH(K397,Table!I:I,0),2),"")</f>
        <v/>
      </c>
      <c r="M397" s="31" t="str">
        <f>IFERROR(INDEX(Table!I:O,MATCH(K397,Table!I:I,0),3),"")</f>
        <v/>
      </c>
      <c r="N397" s="32" t="str">
        <f>IFERROR(INDEX(Table!I:O,MATCH(K397,Table!I:I,0),4),"")</f>
        <v/>
      </c>
      <c r="O397" s="32" t="str">
        <f>IFERROR(INDEX(Table!I:O,MATCH(K397,Table!I:I,0),5),"")</f>
        <v/>
      </c>
      <c r="P397" s="32" t="str">
        <f>IFERROR(INDEX(Table!I:O,MATCH(K397,Table!I:I,0),6),"")</f>
        <v/>
      </c>
      <c r="Q397" s="89" t="str">
        <f t="shared" si="18"/>
        <v/>
      </c>
      <c r="R397" s="89" t="str">
        <f t="shared" si="19"/>
        <v/>
      </c>
      <c r="S397" s="82"/>
      <c r="U397" s="37" t="e">
        <f t="shared" si="20"/>
        <v>#VALUE!</v>
      </c>
    </row>
    <row r="398" spans="1:21" x14ac:dyDescent="0.25">
      <c r="A398" s="31" t="str">
        <f>IF(Table!A398 = "","",Table!A398)</f>
        <v/>
      </c>
      <c r="B398" s="31" t="str">
        <f>IF(Table!B398 = "","",Table!B398)</f>
        <v/>
      </c>
      <c r="C398" s="31" t="str">
        <f>IF(Table!C398 = "","",Table!C398)</f>
        <v/>
      </c>
      <c r="D398" s="32" t="str">
        <f>IF(Table!D398 = "","",Table!D398)</f>
        <v/>
      </c>
      <c r="E398" s="32" t="str">
        <f>IF(Table!E398 = "","",Table!E398)</f>
        <v/>
      </c>
      <c r="F398" s="32" t="str">
        <f>IF(Table!F398 = "","",Table!F398)</f>
        <v/>
      </c>
      <c r="G398" s="91"/>
      <c r="I398" s="84" t="str">
        <f>IFERROR(VLOOKUP(A398,Downlink!A:L,12,TRUE),"")</f>
        <v/>
      </c>
      <c r="K398" s="31" t="str">
        <f>IFERROR(VLOOKUP(A398,Table!$I$4:$O$3000,1,TRUE),"")</f>
        <v/>
      </c>
      <c r="L398" s="31" t="str">
        <f>IFERROR(INDEX(Table!I:O,MATCH(K398,Table!I:I,0),2),"")</f>
        <v/>
      </c>
      <c r="M398" s="31" t="str">
        <f>IFERROR(INDEX(Table!I:O,MATCH(K398,Table!I:I,0),3),"")</f>
        <v/>
      </c>
      <c r="N398" s="32" t="str">
        <f>IFERROR(INDEX(Table!I:O,MATCH(K398,Table!I:I,0),4),"")</f>
        <v/>
      </c>
      <c r="O398" s="32" t="str">
        <f>IFERROR(INDEX(Table!I:O,MATCH(K398,Table!I:I,0),5),"")</f>
        <v/>
      </c>
      <c r="P398" s="32" t="str">
        <f>IFERROR(INDEX(Table!I:O,MATCH(K398,Table!I:I,0),6),"")</f>
        <v/>
      </c>
      <c r="Q398" s="89" t="str">
        <f t="shared" si="18"/>
        <v/>
      </c>
      <c r="R398" s="89" t="str">
        <f t="shared" si="19"/>
        <v/>
      </c>
      <c r="S398" s="82"/>
      <c r="U398" s="37" t="e">
        <f t="shared" si="20"/>
        <v>#VALUE!</v>
      </c>
    </row>
    <row r="399" spans="1:21" x14ac:dyDescent="0.25">
      <c r="A399" s="31" t="str">
        <f>IF(Table!A399 = "","",Table!A399)</f>
        <v/>
      </c>
      <c r="B399" s="31" t="str">
        <f>IF(Table!B399 = "","",Table!B399)</f>
        <v/>
      </c>
      <c r="C399" s="31" t="str">
        <f>IF(Table!C399 = "","",Table!C399)</f>
        <v/>
      </c>
      <c r="D399" s="32" t="str">
        <f>IF(Table!D399 = "","",Table!D399)</f>
        <v/>
      </c>
      <c r="E399" s="32" t="str">
        <f>IF(Table!E399 = "","",Table!E399)</f>
        <v/>
      </c>
      <c r="F399" s="32" t="str">
        <f>IF(Table!F399 = "","",Table!F399)</f>
        <v/>
      </c>
      <c r="G399" s="91"/>
      <c r="I399" s="84" t="str">
        <f>IFERROR(VLOOKUP(A399,Downlink!A:L,12,TRUE),"")</f>
        <v/>
      </c>
      <c r="K399" s="31" t="str">
        <f>IFERROR(VLOOKUP(A399,Table!$I$4:$O$3000,1,TRUE),"")</f>
        <v/>
      </c>
      <c r="L399" s="31" t="str">
        <f>IFERROR(INDEX(Table!I:O,MATCH(K399,Table!I:I,0),2),"")</f>
        <v/>
      </c>
      <c r="M399" s="31" t="str">
        <f>IFERROR(INDEX(Table!I:O,MATCH(K399,Table!I:I,0),3),"")</f>
        <v/>
      </c>
      <c r="N399" s="32" t="str">
        <f>IFERROR(INDEX(Table!I:O,MATCH(K399,Table!I:I,0),4),"")</f>
        <v/>
      </c>
      <c r="O399" s="32" t="str">
        <f>IFERROR(INDEX(Table!I:O,MATCH(K399,Table!I:I,0),5),"")</f>
        <v/>
      </c>
      <c r="P399" s="32" t="str">
        <f>IFERROR(INDEX(Table!I:O,MATCH(K399,Table!I:I,0),6),"")</f>
        <v/>
      </c>
      <c r="Q399" s="89" t="str">
        <f t="shared" si="18"/>
        <v/>
      </c>
      <c r="R399" s="89" t="str">
        <f t="shared" si="19"/>
        <v/>
      </c>
      <c r="S399" s="82"/>
      <c r="U399" s="37" t="e">
        <f t="shared" si="20"/>
        <v>#VALUE!</v>
      </c>
    </row>
    <row r="400" spans="1:21" x14ac:dyDescent="0.25">
      <c r="A400" s="31" t="str">
        <f>IF(Table!A400 = "","",Table!A400)</f>
        <v/>
      </c>
      <c r="B400" s="31" t="str">
        <f>IF(Table!B400 = "","",Table!B400)</f>
        <v/>
      </c>
      <c r="C400" s="31" t="str">
        <f>IF(Table!C400 = "","",Table!C400)</f>
        <v/>
      </c>
      <c r="D400" s="32" t="str">
        <f>IF(Table!D400 = "","",Table!D400)</f>
        <v/>
      </c>
      <c r="E400" s="32" t="str">
        <f>IF(Table!E400 = "","",Table!E400)</f>
        <v/>
      </c>
      <c r="F400" s="32" t="str">
        <f>IF(Table!F400 = "","",Table!F400)</f>
        <v/>
      </c>
      <c r="G400" s="91"/>
      <c r="I400" s="84" t="str">
        <f>IFERROR(VLOOKUP(A400,Downlink!A:L,12,TRUE),"")</f>
        <v/>
      </c>
      <c r="K400" s="31" t="str">
        <f>IFERROR(VLOOKUP(A400,Table!$I$4:$O$3000,1,TRUE),"")</f>
        <v/>
      </c>
      <c r="L400" s="31" t="str">
        <f>IFERROR(INDEX(Table!I:O,MATCH(K400,Table!I:I,0),2),"")</f>
        <v/>
      </c>
      <c r="M400" s="31" t="str">
        <f>IFERROR(INDEX(Table!I:O,MATCH(K400,Table!I:I,0),3),"")</f>
        <v/>
      </c>
      <c r="N400" s="32" t="str">
        <f>IFERROR(INDEX(Table!I:O,MATCH(K400,Table!I:I,0),4),"")</f>
        <v/>
      </c>
      <c r="O400" s="32" t="str">
        <f>IFERROR(INDEX(Table!I:O,MATCH(K400,Table!I:I,0),5),"")</f>
        <v/>
      </c>
      <c r="P400" s="32" t="str">
        <f>IFERROR(INDEX(Table!I:O,MATCH(K400,Table!I:I,0),6),"")</f>
        <v/>
      </c>
      <c r="Q400" s="89" t="str">
        <f t="shared" si="18"/>
        <v/>
      </c>
      <c r="R400" s="89" t="str">
        <f t="shared" si="19"/>
        <v/>
      </c>
      <c r="S400" s="82"/>
      <c r="U400" s="37" t="e">
        <f t="shared" si="20"/>
        <v>#VALUE!</v>
      </c>
    </row>
    <row r="401" spans="1:21" x14ac:dyDescent="0.25">
      <c r="A401" s="31" t="str">
        <f>IF(Table!A401 = "","",Table!A401)</f>
        <v/>
      </c>
      <c r="B401" s="31" t="str">
        <f>IF(Table!B401 = "","",Table!B401)</f>
        <v/>
      </c>
      <c r="C401" s="31" t="str">
        <f>IF(Table!C401 = "","",Table!C401)</f>
        <v/>
      </c>
      <c r="D401" s="32" t="str">
        <f>IF(Table!D401 = "","",Table!D401)</f>
        <v/>
      </c>
      <c r="E401" s="32" t="str">
        <f>IF(Table!E401 = "","",Table!E401)</f>
        <v/>
      </c>
      <c r="F401" s="32" t="str">
        <f>IF(Table!F401 = "","",Table!F401)</f>
        <v/>
      </c>
      <c r="G401" s="91"/>
      <c r="I401" s="84" t="str">
        <f>IFERROR(VLOOKUP(A401,Downlink!A:L,12,TRUE),"")</f>
        <v/>
      </c>
      <c r="K401" s="31" t="str">
        <f>IFERROR(VLOOKUP(A401,Table!$I$4:$O$3000,1,TRUE),"")</f>
        <v/>
      </c>
      <c r="L401" s="31" t="str">
        <f>IFERROR(INDEX(Table!I:O,MATCH(K401,Table!I:I,0),2),"")</f>
        <v/>
      </c>
      <c r="M401" s="31" t="str">
        <f>IFERROR(INDEX(Table!I:O,MATCH(K401,Table!I:I,0),3),"")</f>
        <v/>
      </c>
      <c r="N401" s="32" t="str">
        <f>IFERROR(INDEX(Table!I:O,MATCH(K401,Table!I:I,0),4),"")</f>
        <v/>
      </c>
      <c r="O401" s="32" t="str">
        <f>IFERROR(INDEX(Table!I:O,MATCH(K401,Table!I:I,0),5),"")</f>
        <v/>
      </c>
      <c r="P401" s="32" t="str">
        <f>IFERROR(INDEX(Table!I:O,MATCH(K401,Table!I:I,0),6),"")</f>
        <v/>
      </c>
      <c r="Q401" s="89" t="str">
        <f t="shared" si="18"/>
        <v/>
      </c>
      <c r="R401" s="89" t="str">
        <f t="shared" si="19"/>
        <v/>
      </c>
      <c r="S401" s="82"/>
      <c r="U401" s="37" t="e">
        <f t="shared" si="20"/>
        <v>#VALUE!</v>
      </c>
    </row>
    <row r="402" spans="1:21" x14ac:dyDescent="0.25">
      <c r="A402" s="31" t="str">
        <f>IF(Table!A402 = "","",Table!A402)</f>
        <v/>
      </c>
      <c r="B402" s="31" t="str">
        <f>IF(Table!B402 = "","",Table!B402)</f>
        <v/>
      </c>
      <c r="C402" s="31" t="str">
        <f>IF(Table!C402 = "","",Table!C402)</f>
        <v/>
      </c>
      <c r="D402" s="32" t="str">
        <f>IF(Table!D402 = "","",Table!D402)</f>
        <v/>
      </c>
      <c r="E402" s="32" t="str">
        <f>IF(Table!E402 = "","",Table!E402)</f>
        <v/>
      </c>
      <c r="F402" s="32" t="str">
        <f>IF(Table!F402 = "","",Table!F402)</f>
        <v/>
      </c>
      <c r="G402" s="91"/>
      <c r="I402" s="84" t="str">
        <f>IFERROR(VLOOKUP(A402,Downlink!A:L,12,TRUE),"")</f>
        <v/>
      </c>
      <c r="K402" s="31" t="str">
        <f>IFERROR(VLOOKUP(A402,Table!$I$4:$O$3000,1,TRUE),"")</f>
        <v/>
      </c>
      <c r="L402" s="31" t="str">
        <f>IFERROR(INDEX(Table!I:O,MATCH(K402,Table!I:I,0),2),"")</f>
        <v/>
      </c>
      <c r="M402" s="31" t="str">
        <f>IFERROR(INDEX(Table!I:O,MATCH(K402,Table!I:I,0),3),"")</f>
        <v/>
      </c>
      <c r="N402" s="32" t="str">
        <f>IFERROR(INDEX(Table!I:O,MATCH(K402,Table!I:I,0),4),"")</f>
        <v/>
      </c>
      <c r="O402" s="32" t="str">
        <f>IFERROR(INDEX(Table!I:O,MATCH(K402,Table!I:I,0),5),"")</f>
        <v/>
      </c>
      <c r="P402" s="32" t="str">
        <f>IFERROR(INDEX(Table!I:O,MATCH(K402,Table!I:I,0),6),"")</f>
        <v/>
      </c>
      <c r="Q402" s="89" t="str">
        <f t="shared" si="18"/>
        <v/>
      </c>
      <c r="R402" s="89" t="str">
        <f t="shared" si="19"/>
        <v/>
      </c>
      <c r="S402" s="82"/>
      <c r="U402" s="37" t="e">
        <f t="shared" si="20"/>
        <v>#VALUE!</v>
      </c>
    </row>
    <row r="403" spans="1:21" x14ac:dyDescent="0.25">
      <c r="A403" s="31" t="str">
        <f>IF(Table!A403 = "","",Table!A403)</f>
        <v/>
      </c>
      <c r="B403" s="31" t="str">
        <f>IF(Table!B403 = "","",Table!B403)</f>
        <v/>
      </c>
      <c r="C403" s="31" t="str">
        <f>IF(Table!C403 = "","",Table!C403)</f>
        <v/>
      </c>
      <c r="D403" s="32" t="str">
        <f>IF(Table!D403 = "","",Table!D403)</f>
        <v/>
      </c>
      <c r="E403" s="32" t="str">
        <f>IF(Table!E403 = "","",Table!E403)</f>
        <v/>
      </c>
      <c r="F403" s="32" t="str">
        <f>IF(Table!F403 = "","",Table!F403)</f>
        <v/>
      </c>
      <c r="G403" s="91"/>
      <c r="I403" s="84" t="str">
        <f>IFERROR(VLOOKUP(A403,Downlink!A:L,12,TRUE),"")</f>
        <v/>
      </c>
      <c r="K403" s="31" t="str">
        <f>IFERROR(VLOOKUP(A403,Table!$I$4:$O$3000,1,TRUE),"")</f>
        <v/>
      </c>
      <c r="L403" s="31" t="str">
        <f>IFERROR(INDEX(Table!I:O,MATCH(K403,Table!I:I,0),2),"")</f>
        <v/>
      </c>
      <c r="M403" s="31" t="str">
        <f>IFERROR(INDEX(Table!I:O,MATCH(K403,Table!I:I,0),3),"")</f>
        <v/>
      </c>
      <c r="N403" s="32" t="str">
        <f>IFERROR(INDEX(Table!I:O,MATCH(K403,Table!I:I,0),4),"")</f>
        <v/>
      </c>
      <c r="O403" s="32" t="str">
        <f>IFERROR(INDEX(Table!I:O,MATCH(K403,Table!I:I,0),5),"")</f>
        <v/>
      </c>
      <c r="P403" s="32" t="str">
        <f>IFERROR(INDEX(Table!I:O,MATCH(K403,Table!I:I,0),6),"")</f>
        <v/>
      </c>
      <c r="Q403" s="89" t="str">
        <f t="shared" si="18"/>
        <v/>
      </c>
      <c r="R403" s="89" t="str">
        <f t="shared" si="19"/>
        <v/>
      </c>
      <c r="S403" s="82"/>
      <c r="U403" s="37" t="e">
        <f t="shared" si="20"/>
        <v>#VALUE!</v>
      </c>
    </row>
    <row r="404" spans="1:21" x14ac:dyDescent="0.25">
      <c r="A404" s="31" t="str">
        <f>IF(Table!A404 = "","",Table!A404)</f>
        <v/>
      </c>
      <c r="B404" s="31" t="str">
        <f>IF(Table!B404 = "","",Table!B404)</f>
        <v/>
      </c>
      <c r="C404" s="31" t="str">
        <f>IF(Table!C404 = "","",Table!C404)</f>
        <v/>
      </c>
      <c r="D404" s="32" t="str">
        <f>IF(Table!D404 = "","",Table!D404)</f>
        <v/>
      </c>
      <c r="E404" s="32" t="str">
        <f>IF(Table!E404 = "","",Table!E404)</f>
        <v/>
      </c>
      <c r="F404" s="32" t="str">
        <f>IF(Table!F404 = "","",Table!F404)</f>
        <v/>
      </c>
      <c r="G404" s="91"/>
      <c r="I404" s="84" t="str">
        <f>IFERROR(VLOOKUP(A404,Downlink!A:L,12,TRUE),"")</f>
        <v/>
      </c>
      <c r="K404" s="31" t="str">
        <f>IFERROR(VLOOKUP(A404,Table!$I$4:$O$3000,1,TRUE),"")</f>
        <v/>
      </c>
      <c r="L404" s="31" t="str">
        <f>IFERROR(INDEX(Table!I:O,MATCH(K404,Table!I:I,0),2),"")</f>
        <v/>
      </c>
      <c r="M404" s="31" t="str">
        <f>IFERROR(INDEX(Table!I:O,MATCH(K404,Table!I:I,0),3),"")</f>
        <v/>
      </c>
      <c r="N404" s="32" t="str">
        <f>IFERROR(INDEX(Table!I:O,MATCH(K404,Table!I:I,0),4),"")</f>
        <v/>
      </c>
      <c r="O404" s="32" t="str">
        <f>IFERROR(INDEX(Table!I:O,MATCH(K404,Table!I:I,0),5),"")</f>
        <v/>
      </c>
      <c r="P404" s="32" t="str">
        <f>IFERROR(INDEX(Table!I:O,MATCH(K404,Table!I:I,0),6),"")</f>
        <v/>
      </c>
      <c r="Q404" s="89" t="str">
        <f t="shared" si="18"/>
        <v/>
      </c>
      <c r="R404" s="89" t="str">
        <f t="shared" si="19"/>
        <v/>
      </c>
      <c r="S404" s="82"/>
      <c r="U404" s="37" t="e">
        <f t="shared" si="20"/>
        <v>#VALUE!</v>
      </c>
    </row>
    <row r="405" spans="1:21" x14ac:dyDescent="0.25">
      <c r="A405" s="31" t="str">
        <f>IF(Table!A405 = "","",Table!A405)</f>
        <v/>
      </c>
      <c r="B405" s="31" t="str">
        <f>IF(Table!B405 = "","",Table!B405)</f>
        <v/>
      </c>
      <c r="C405" s="31" t="str">
        <f>IF(Table!C405 = "","",Table!C405)</f>
        <v/>
      </c>
      <c r="D405" s="32" t="str">
        <f>IF(Table!D405 = "","",Table!D405)</f>
        <v/>
      </c>
      <c r="E405" s="32" t="str">
        <f>IF(Table!E405 = "","",Table!E405)</f>
        <v/>
      </c>
      <c r="F405" s="32" t="str">
        <f>IF(Table!F405 = "","",Table!F405)</f>
        <v/>
      </c>
      <c r="G405" s="91"/>
      <c r="I405" s="84" t="str">
        <f>IFERROR(VLOOKUP(A405,Downlink!A:L,12,TRUE),"")</f>
        <v/>
      </c>
      <c r="K405" s="31" t="str">
        <f>IFERROR(VLOOKUP(A405,Table!$I$4:$O$3000,1,TRUE),"")</f>
        <v/>
      </c>
      <c r="L405" s="31" t="str">
        <f>IFERROR(INDEX(Table!I:O,MATCH(K405,Table!I:I,0),2),"")</f>
        <v/>
      </c>
      <c r="M405" s="31" t="str">
        <f>IFERROR(INDEX(Table!I:O,MATCH(K405,Table!I:I,0),3),"")</f>
        <v/>
      </c>
      <c r="N405" s="32" t="str">
        <f>IFERROR(INDEX(Table!I:O,MATCH(K405,Table!I:I,0),4),"")</f>
        <v/>
      </c>
      <c r="O405" s="32" t="str">
        <f>IFERROR(INDEX(Table!I:O,MATCH(K405,Table!I:I,0),5),"")</f>
        <v/>
      </c>
      <c r="P405" s="32" t="str">
        <f>IFERROR(INDEX(Table!I:O,MATCH(K405,Table!I:I,0),6),"")</f>
        <v/>
      </c>
      <c r="Q405" s="89" t="str">
        <f t="shared" si="18"/>
        <v/>
      </c>
      <c r="R405" s="89" t="str">
        <f t="shared" si="19"/>
        <v/>
      </c>
      <c r="S405" s="82"/>
      <c r="U405" s="37" t="e">
        <f t="shared" si="20"/>
        <v>#VALUE!</v>
      </c>
    </row>
    <row r="406" spans="1:21" x14ac:dyDescent="0.25">
      <c r="A406" s="31" t="str">
        <f>IF(Table!A406 = "","",Table!A406)</f>
        <v/>
      </c>
      <c r="B406" s="31" t="str">
        <f>IF(Table!B406 = "","",Table!B406)</f>
        <v/>
      </c>
      <c r="C406" s="31" t="str">
        <f>IF(Table!C406 = "","",Table!C406)</f>
        <v/>
      </c>
      <c r="D406" s="32" t="str">
        <f>IF(Table!D406 = "","",Table!D406)</f>
        <v/>
      </c>
      <c r="E406" s="32" t="str">
        <f>IF(Table!E406 = "","",Table!E406)</f>
        <v/>
      </c>
      <c r="F406" s="32" t="str">
        <f>IF(Table!F406 = "","",Table!F406)</f>
        <v/>
      </c>
      <c r="G406" s="91"/>
      <c r="I406" s="84" t="str">
        <f>IFERROR(VLOOKUP(A406,Downlink!A:L,12,TRUE),"")</f>
        <v/>
      </c>
      <c r="K406" s="31" t="str">
        <f>IFERROR(VLOOKUP(A406,Table!$I$4:$O$3000,1,TRUE),"")</f>
        <v/>
      </c>
      <c r="L406" s="31" t="str">
        <f>IFERROR(INDEX(Table!I:O,MATCH(K406,Table!I:I,0),2),"")</f>
        <v/>
      </c>
      <c r="M406" s="31" t="str">
        <f>IFERROR(INDEX(Table!I:O,MATCH(K406,Table!I:I,0),3),"")</f>
        <v/>
      </c>
      <c r="N406" s="32" t="str">
        <f>IFERROR(INDEX(Table!I:O,MATCH(K406,Table!I:I,0),4),"")</f>
        <v/>
      </c>
      <c r="O406" s="32" t="str">
        <f>IFERROR(INDEX(Table!I:O,MATCH(K406,Table!I:I,0),5),"")</f>
        <v/>
      </c>
      <c r="P406" s="32" t="str">
        <f>IFERROR(INDEX(Table!I:O,MATCH(K406,Table!I:I,0),6),"")</f>
        <v/>
      </c>
      <c r="Q406" s="89" t="str">
        <f t="shared" si="18"/>
        <v/>
      </c>
      <c r="R406" s="89" t="str">
        <f t="shared" si="19"/>
        <v/>
      </c>
      <c r="S406" s="82"/>
      <c r="U406" s="37" t="e">
        <f t="shared" si="20"/>
        <v>#VALUE!</v>
      </c>
    </row>
    <row r="407" spans="1:21" x14ac:dyDescent="0.25">
      <c r="A407" s="31" t="str">
        <f>IF(Table!A407 = "","",Table!A407)</f>
        <v/>
      </c>
      <c r="B407" s="31" t="str">
        <f>IF(Table!B407 = "","",Table!B407)</f>
        <v/>
      </c>
      <c r="C407" s="31" t="str">
        <f>IF(Table!C407 = "","",Table!C407)</f>
        <v/>
      </c>
      <c r="D407" s="32" t="str">
        <f>IF(Table!D407 = "","",Table!D407)</f>
        <v/>
      </c>
      <c r="E407" s="32" t="str">
        <f>IF(Table!E407 = "","",Table!E407)</f>
        <v/>
      </c>
      <c r="F407" s="32" t="str">
        <f>IF(Table!F407 = "","",Table!F407)</f>
        <v/>
      </c>
      <c r="G407" s="91"/>
      <c r="I407" s="84" t="str">
        <f>IFERROR(VLOOKUP(A407,Downlink!A:L,12,TRUE),"")</f>
        <v/>
      </c>
      <c r="K407" s="31" t="str">
        <f>IFERROR(VLOOKUP(A407,Table!$I$4:$O$3000,1,TRUE),"")</f>
        <v/>
      </c>
      <c r="L407" s="31" t="str">
        <f>IFERROR(INDEX(Table!I:O,MATCH(K407,Table!I:I,0),2),"")</f>
        <v/>
      </c>
      <c r="M407" s="31" t="str">
        <f>IFERROR(INDEX(Table!I:O,MATCH(K407,Table!I:I,0),3),"")</f>
        <v/>
      </c>
      <c r="N407" s="32" t="str">
        <f>IFERROR(INDEX(Table!I:O,MATCH(K407,Table!I:I,0),4),"")</f>
        <v/>
      </c>
      <c r="O407" s="32" t="str">
        <f>IFERROR(INDEX(Table!I:O,MATCH(K407,Table!I:I,0),5),"")</f>
        <v/>
      </c>
      <c r="P407" s="32" t="str">
        <f>IFERROR(INDEX(Table!I:O,MATCH(K407,Table!I:I,0),6),"")</f>
        <v/>
      </c>
      <c r="Q407" s="89" t="str">
        <f t="shared" si="18"/>
        <v/>
      </c>
      <c r="R407" s="89" t="str">
        <f t="shared" si="19"/>
        <v/>
      </c>
      <c r="S407" s="82"/>
      <c r="U407" s="37" t="e">
        <f t="shared" si="20"/>
        <v>#VALUE!</v>
      </c>
    </row>
    <row r="408" spans="1:21" x14ac:dyDescent="0.25">
      <c r="A408" s="31" t="str">
        <f>IF(Table!A408 = "","",Table!A408)</f>
        <v/>
      </c>
      <c r="B408" s="31" t="str">
        <f>IF(Table!B408 = "","",Table!B408)</f>
        <v/>
      </c>
      <c r="C408" s="31" t="str">
        <f>IF(Table!C408 = "","",Table!C408)</f>
        <v/>
      </c>
      <c r="D408" s="32" t="str">
        <f>IF(Table!D408 = "","",Table!D408)</f>
        <v/>
      </c>
      <c r="E408" s="32" t="str">
        <f>IF(Table!E408 = "","",Table!E408)</f>
        <v/>
      </c>
      <c r="F408" s="32" t="str">
        <f>IF(Table!F408 = "","",Table!F408)</f>
        <v/>
      </c>
      <c r="G408" s="91"/>
      <c r="I408" s="84" t="str">
        <f>IFERROR(VLOOKUP(A408,Downlink!A:L,12,TRUE),"")</f>
        <v/>
      </c>
      <c r="K408" s="31" t="str">
        <f>IFERROR(VLOOKUP(A408,Table!$I$4:$O$3000,1,TRUE),"")</f>
        <v/>
      </c>
      <c r="L408" s="31" t="str">
        <f>IFERROR(INDEX(Table!I:O,MATCH(K408,Table!I:I,0),2),"")</f>
        <v/>
      </c>
      <c r="M408" s="31" t="str">
        <f>IFERROR(INDEX(Table!I:O,MATCH(K408,Table!I:I,0),3),"")</f>
        <v/>
      </c>
      <c r="N408" s="32" t="str">
        <f>IFERROR(INDEX(Table!I:O,MATCH(K408,Table!I:I,0),4),"")</f>
        <v/>
      </c>
      <c r="O408" s="32" t="str">
        <f>IFERROR(INDEX(Table!I:O,MATCH(K408,Table!I:I,0),5),"")</f>
        <v/>
      </c>
      <c r="P408" s="32" t="str">
        <f>IFERROR(INDEX(Table!I:O,MATCH(K408,Table!I:I,0),6),"")</f>
        <v/>
      </c>
      <c r="Q408" s="89" t="str">
        <f t="shared" si="18"/>
        <v/>
      </c>
      <c r="R408" s="89" t="str">
        <f t="shared" si="19"/>
        <v/>
      </c>
      <c r="S408" s="82"/>
      <c r="U408" s="37" t="e">
        <f t="shared" si="20"/>
        <v>#VALUE!</v>
      </c>
    </row>
    <row r="409" spans="1:21" x14ac:dyDescent="0.25">
      <c r="A409" s="31" t="str">
        <f>IF(Table!A409 = "","",Table!A409)</f>
        <v/>
      </c>
      <c r="B409" s="31" t="str">
        <f>IF(Table!B409 = "","",Table!B409)</f>
        <v/>
      </c>
      <c r="C409" s="31" t="str">
        <f>IF(Table!C409 = "","",Table!C409)</f>
        <v/>
      </c>
      <c r="D409" s="32" t="str">
        <f>IF(Table!D409 = "","",Table!D409)</f>
        <v/>
      </c>
      <c r="E409" s="32" t="str">
        <f>IF(Table!E409 = "","",Table!E409)</f>
        <v/>
      </c>
      <c r="F409" s="32" t="str">
        <f>IF(Table!F409 = "","",Table!F409)</f>
        <v/>
      </c>
      <c r="G409" s="91"/>
      <c r="I409" s="84" t="str">
        <f>IFERROR(VLOOKUP(A409,Downlink!A:L,12,TRUE),"")</f>
        <v/>
      </c>
      <c r="K409" s="31" t="str">
        <f>IFERROR(VLOOKUP(A409,Table!$I$4:$O$3000,1,TRUE),"")</f>
        <v/>
      </c>
      <c r="L409" s="31" t="str">
        <f>IFERROR(INDEX(Table!I:O,MATCH(K409,Table!I:I,0),2),"")</f>
        <v/>
      </c>
      <c r="M409" s="31" t="str">
        <f>IFERROR(INDEX(Table!I:O,MATCH(K409,Table!I:I,0),3),"")</f>
        <v/>
      </c>
      <c r="N409" s="32" t="str">
        <f>IFERROR(INDEX(Table!I:O,MATCH(K409,Table!I:I,0),4),"")</f>
        <v/>
      </c>
      <c r="O409" s="32" t="str">
        <f>IFERROR(INDEX(Table!I:O,MATCH(K409,Table!I:I,0),5),"")</f>
        <v/>
      </c>
      <c r="P409" s="32" t="str">
        <f>IFERROR(INDEX(Table!I:O,MATCH(K409,Table!I:I,0),6),"")</f>
        <v/>
      </c>
      <c r="Q409" s="89" t="str">
        <f t="shared" si="18"/>
        <v/>
      </c>
      <c r="R409" s="89" t="str">
        <f t="shared" si="19"/>
        <v/>
      </c>
      <c r="S409" s="82"/>
      <c r="U409" s="37" t="e">
        <f t="shared" si="20"/>
        <v>#VALUE!</v>
      </c>
    </row>
    <row r="410" spans="1:21" x14ac:dyDescent="0.25">
      <c r="A410" s="31" t="str">
        <f>IF(Table!A410 = "","",Table!A410)</f>
        <v/>
      </c>
      <c r="B410" s="31" t="str">
        <f>IF(Table!B410 = "","",Table!B410)</f>
        <v/>
      </c>
      <c r="C410" s="31" t="str">
        <f>IF(Table!C410 = "","",Table!C410)</f>
        <v/>
      </c>
      <c r="D410" s="32" t="str">
        <f>IF(Table!D410 = "","",Table!D410)</f>
        <v/>
      </c>
      <c r="E410" s="32" t="str">
        <f>IF(Table!E410 = "","",Table!E410)</f>
        <v/>
      </c>
      <c r="F410" s="32" t="str">
        <f>IF(Table!F410 = "","",Table!F410)</f>
        <v/>
      </c>
      <c r="G410" s="91"/>
      <c r="I410" s="84" t="str">
        <f>IFERROR(VLOOKUP(A410,Downlink!A:L,12,TRUE),"")</f>
        <v/>
      </c>
      <c r="K410" s="31" t="str">
        <f>IFERROR(VLOOKUP(A410,Table!$I$4:$O$3000,1,TRUE),"")</f>
        <v/>
      </c>
      <c r="L410" s="31" t="str">
        <f>IFERROR(INDEX(Table!I:O,MATCH(K410,Table!I:I,0),2),"")</f>
        <v/>
      </c>
      <c r="M410" s="31" t="str">
        <f>IFERROR(INDEX(Table!I:O,MATCH(K410,Table!I:I,0),3),"")</f>
        <v/>
      </c>
      <c r="N410" s="32" t="str">
        <f>IFERROR(INDEX(Table!I:O,MATCH(K410,Table!I:I,0),4),"")</f>
        <v/>
      </c>
      <c r="O410" s="32" t="str">
        <f>IFERROR(INDEX(Table!I:O,MATCH(K410,Table!I:I,0),5),"")</f>
        <v/>
      </c>
      <c r="P410" s="32" t="str">
        <f>IFERROR(INDEX(Table!I:O,MATCH(K410,Table!I:I,0),6),"")</f>
        <v/>
      </c>
      <c r="Q410" s="89" t="str">
        <f t="shared" si="18"/>
        <v/>
      </c>
      <c r="R410" s="89" t="str">
        <f t="shared" si="19"/>
        <v/>
      </c>
      <c r="S410" s="82"/>
      <c r="U410" s="37" t="e">
        <f t="shared" si="20"/>
        <v>#VALUE!</v>
      </c>
    </row>
    <row r="411" spans="1:21" x14ac:dyDescent="0.25">
      <c r="A411" s="31" t="str">
        <f>IF(Table!A411 = "","",Table!A411)</f>
        <v/>
      </c>
      <c r="B411" s="31" t="str">
        <f>IF(Table!B411 = "","",Table!B411)</f>
        <v/>
      </c>
      <c r="C411" s="31" t="str">
        <f>IF(Table!C411 = "","",Table!C411)</f>
        <v/>
      </c>
      <c r="D411" s="32" t="str">
        <f>IF(Table!D411 = "","",Table!D411)</f>
        <v/>
      </c>
      <c r="E411" s="32" t="str">
        <f>IF(Table!E411 = "","",Table!E411)</f>
        <v/>
      </c>
      <c r="F411" s="32" t="str">
        <f>IF(Table!F411 = "","",Table!F411)</f>
        <v/>
      </c>
      <c r="G411" s="91"/>
      <c r="I411" s="84" t="str">
        <f>IFERROR(VLOOKUP(A411,Downlink!A:L,12,TRUE),"")</f>
        <v/>
      </c>
      <c r="K411" s="31" t="str">
        <f>IFERROR(VLOOKUP(A411,Table!$I$4:$O$3000,1,TRUE),"")</f>
        <v/>
      </c>
      <c r="L411" s="31" t="str">
        <f>IFERROR(INDEX(Table!I:O,MATCH(K411,Table!I:I,0),2),"")</f>
        <v/>
      </c>
      <c r="M411" s="31" t="str">
        <f>IFERROR(INDEX(Table!I:O,MATCH(K411,Table!I:I,0),3),"")</f>
        <v/>
      </c>
      <c r="N411" s="32" t="str">
        <f>IFERROR(INDEX(Table!I:O,MATCH(K411,Table!I:I,0),4),"")</f>
        <v/>
      </c>
      <c r="O411" s="32" t="str">
        <f>IFERROR(INDEX(Table!I:O,MATCH(K411,Table!I:I,0),5),"")</f>
        <v/>
      </c>
      <c r="P411" s="32" t="str">
        <f>IFERROR(INDEX(Table!I:O,MATCH(K411,Table!I:I,0),6),"")</f>
        <v/>
      </c>
      <c r="Q411" s="89" t="str">
        <f t="shared" si="18"/>
        <v/>
      </c>
      <c r="R411" s="89" t="str">
        <f t="shared" si="19"/>
        <v/>
      </c>
      <c r="S411" s="82"/>
      <c r="U411" s="37" t="e">
        <f t="shared" si="20"/>
        <v>#VALUE!</v>
      </c>
    </row>
    <row r="412" spans="1:21" x14ac:dyDescent="0.25">
      <c r="A412" s="31" t="str">
        <f>IF(Table!A412 = "","",Table!A412)</f>
        <v/>
      </c>
      <c r="B412" s="31" t="str">
        <f>IF(Table!B412 = "","",Table!B412)</f>
        <v/>
      </c>
      <c r="C412" s="31" t="str">
        <f>IF(Table!C412 = "","",Table!C412)</f>
        <v/>
      </c>
      <c r="D412" s="32" t="str">
        <f>IF(Table!D412 = "","",Table!D412)</f>
        <v/>
      </c>
      <c r="E412" s="32" t="str">
        <f>IF(Table!E412 = "","",Table!E412)</f>
        <v/>
      </c>
      <c r="F412" s="32" t="str">
        <f>IF(Table!F412 = "","",Table!F412)</f>
        <v/>
      </c>
      <c r="G412" s="91"/>
      <c r="I412" s="84" t="str">
        <f>IFERROR(VLOOKUP(A412,Downlink!A:L,12,TRUE),"")</f>
        <v/>
      </c>
      <c r="K412" s="31" t="str">
        <f>IFERROR(VLOOKUP(A412,Table!$I$4:$O$3000,1,TRUE),"")</f>
        <v/>
      </c>
      <c r="L412" s="31" t="str">
        <f>IFERROR(INDEX(Table!I:O,MATCH(K412,Table!I:I,0),2),"")</f>
        <v/>
      </c>
      <c r="M412" s="31" t="str">
        <f>IFERROR(INDEX(Table!I:O,MATCH(K412,Table!I:I,0),3),"")</f>
        <v/>
      </c>
      <c r="N412" s="32" t="str">
        <f>IFERROR(INDEX(Table!I:O,MATCH(K412,Table!I:I,0),4),"")</f>
        <v/>
      </c>
      <c r="O412" s="32" t="str">
        <f>IFERROR(INDEX(Table!I:O,MATCH(K412,Table!I:I,0),5),"")</f>
        <v/>
      </c>
      <c r="P412" s="32" t="str">
        <f>IFERROR(INDEX(Table!I:O,MATCH(K412,Table!I:I,0),6),"")</f>
        <v/>
      </c>
      <c r="Q412" s="89" t="str">
        <f t="shared" si="18"/>
        <v/>
      </c>
      <c r="R412" s="89" t="str">
        <f t="shared" si="19"/>
        <v/>
      </c>
      <c r="S412" s="82"/>
      <c r="U412" s="37" t="e">
        <f t="shared" si="20"/>
        <v>#VALUE!</v>
      </c>
    </row>
    <row r="413" spans="1:21" x14ac:dyDescent="0.25">
      <c r="A413" s="31" t="str">
        <f>IF(Table!A413 = "","",Table!A413)</f>
        <v/>
      </c>
      <c r="B413" s="31" t="str">
        <f>IF(Table!B413 = "","",Table!B413)</f>
        <v/>
      </c>
      <c r="C413" s="31" t="str">
        <f>IF(Table!C413 = "","",Table!C413)</f>
        <v/>
      </c>
      <c r="D413" s="32" t="str">
        <f>IF(Table!D413 = "","",Table!D413)</f>
        <v/>
      </c>
      <c r="E413" s="32" t="str">
        <f>IF(Table!E413 = "","",Table!E413)</f>
        <v/>
      </c>
      <c r="F413" s="32" t="str">
        <f>IF(Table!F413 = "","",Table!F413)</f>
        <v/>
      </c>
      <c r="G413" s="91"/>
      <c r="I413" s="84" t="str">
        <f>IFERROR(VLOOKUP(A413,Downlink!A:L,12,TRUE),"")</f>
        <v/>
      </c>
      <c r="K413" s="31" t="str">
        <f>IFERROR(VLOOKUP(A413,Table!$I$4:$O$3000,1,TRUE),"")</f>
        <v/>
      </c>
      <c r="L413" s="31" t="str">
        <f>IFERROR(INDEX(Table!I:O,MATCH(K413,Table!I:I,0),2),"")</f>
        <v/>
      </c>
      <c r="M413" s="31" t="str">
        <f>IFERROR(INDEX(Table!I:O,MATCH(K413,Table!I:I,0),3),"")</f>
        <v/>
      </c>
      <c r="N413" s="32" t="str">
        <f>IFERROR(INDEX(Table!I:O,MATCH(K413,Table!I:I,0),4),"")</f>
        <v/>
      </c>
      <c r="O413" s="32" t="str">
        <f>IFERROR(INDEX(Table!I:O,MATCH(K413,Table!I:I,0),5),"")</f>
        <v/>
      </c>
      <c r="P413" s="32" t="str">
        <f>IFERROR(INDEX(Table!I:O,MATCH(K413,Table!I:I,0),6),"")</f>
        <v/>
      </c>
      <c r="Q413" s="89" t="str">
        <f t="shared" si="18"/>
        <v/>
      </c>
      <c r="R413" s="89" t="str">
        <f t="shared" si="19"/>
        <v/>
      </c>
      <c r="S413" s="82"/>
      <c r="U413" s="37" t="e">
        <f t="shared" si="20"/>
        <v>#VALUE!</v>
      </c>
    </row>
    <row r="414" spans="1:21" x14ac:dyDescent="0.25">
      <c r="A414" s="31" t="str">
        <f>IF(Table!A414 = "","",Table!A414)</f>
        <v/>
      </c>
      <c r="B414" s="31" t="str">
        <f>IF(Table!B414 = "","",Table!B414)</f>
        <v/>
      </c>
      <c r="C414" s="31" t="str">
        <f>IF(Table!C414 = "","",Table!C414)</f>
        <v/>
      </c>
      <c r="D414" s="32" t="str">
        <f>IF(Table!D414 = "","",Table!D414)</f>
        <v/>
      </c>
      <c r="E414" s="32" t="str">
        <f>IF(Table!E414 = "","",Table!E414)</f>
        <v/>
      </c>
      <c r="F414" s="32" t="str">
        <f>IF(Table!F414 = "","",Table!F414)</f>
        <v/>
      </c>
      <c r="G414" s="91"/>
      <c r="I414" s="84" t="str">
        <f>IFERROR(VLOOKUP(A414,Downlink!A:L,12,TRUE),"")</f>
        <v/>
      </c>
      <c r="K414" s="31" t="str">
        <f>IFERROR(VLOOKUP(A414,Table!$I$4:$O$3000,1,TRUE),"")</f>
        <v/>
      </c>
      <c r="L414" s="31" t="str">
        <f>IFERROR(INDEX(Table!I:O,MATCH(K414,Table!I:I,0),2),"")</f>
        <v/>
      </c>
      <c r="M414" s="31" t="str">
        <f>IFERROR(INDEX(Table!I:O,MATCH(K414,Table!I:I,0),3),"")</f>
        <v/>
      </c>
      <c r="N414" s="32" t="str">
        <f>IFERROR(INDEX(Table!I:O,MATCH(K414,Table!I:I,0),4),"")</f>
        <v/>
      </c>
      <c r="O414" s="32" t="str">
        <f>IFERROR(INDEX(Table!I:O,MATCH(K414,Table!I:I,0),5),"")</f>
        <v/>
      </c>
      <c r="P414" s="32" t="str">
        <f>IFERROR(INDEX(Table!I:O,MATCH(K414,Table!I:I,0),6),"")</f>
        <v/>
      </c>
      <c r="Q414" s="89" t="str">
        <f t="shared" si="18"/>
        <v/>
      </c>
      <c r="R414" s="89" t="str">
        <f t="shared" si="19"/>
        <v/>
      </c>
      <c r="S414" s="82"/>
      <c r="U414" s="37" t="e">
        <f t="shared" si="20"/>
        <v>#VALUE!</v>
      </c>
    </row>
    <row r="415" spans="1:21" x14ac:dyDescent="0.25">
      <c r="A415" s="31" t="str">
        <f>IF(Table!A415 = "","",Table!A415)</f>
        <v/>
      </c>
      <c r="B415" s="31" t="str">
        <f>IF(Table!B415 = "","",Table!B415)</f>
        <v/>
      </c>
      <c r="C415" s="31" t="str">
        <f>IF(Table!C415 = "","",Table!C415)</f>
        <v/>
      </c>
      <c r="D415" s="32" t="str">
        <f>IF(Table!D415 = "","",Table!D415)</f>
        <v/>
      </c>
      <c r="E415" s="32" t="str">
        <f>IF(Table!E415 = "","",Table!E415)</f>
        <v/>
      </c>
      <c r="F415" s="32" t="str">
        <f>IF(Table!F415 = "","",Table!F415)</f>
        <v/>
      </c>
      <c r="G415" s="91"/>
      <c r="I415" s="84" t="str">
        <f>IFERROR(VLOOKUP(A415,Downlink!A:L,12,TRUE),"")</f>
        <v/>
      </c>
      <c r="K415" s="31" t="str">
        <f>IFERROR(VLOOKUP(A415,Table!$I$4:$O$3000,1,TRUE),"")</f>
        <v/>
      </c>
      <c r="L415" s="31" t="str">
        <f>IFERROR(INDEX(Table!I:O,MATCH(K415,Table!I:I,0),2),"")</f>
        <v/>
      </c>
      <c r="M415" s="31" t="str">
        <f>IFERROR(INDEX(Table!I:O,MATCH(K415,Table!I:I,0),3),"")</f>
        <v/>
      </c>
      <c r="N415" s="32" t="str">
        <f>IFERROR(INDEX(Table!I:O,MATCH(K415,Table!I:I,0),4),"")</f>
        <v/>
      </c>
      <c r="O415" s="32" t="str">
        <f>IFERROR(INDEX(Table!I:O,MATCH(K415,Table!I:I,0),5),"")</f>
        <v/>
      </c>
      <c r="P415" s="32" t="str">
        <f>IFERROR(INDEX(Table!I:O,MATCH(K415,Table!I:I,0),6),"")</f>
        <v/>
      </c>
      <c r="Q415" s="89" t="str">
        <f t="shared" si="18"/>
        <v/>
      </c>
      <c r="R415" s="89" t="str">
        <f t="shared" si="19"/>
        <v/>
      </c>
      <c r="S415" s="82"/>
      <c r="U415" s="37" t="e">
        <f t="shared" si="20"/>
        <v>#VALUE!</v>
      </c>
    </row>
    <row r="416" spans="1:21" x14ac:dyDescent="0.25">
      <c r="A416" s="31" t="str">
        <f>IF(Table!A416 = "","",Table!A416)</f>
        <v/>
      </c>
      <c r="B416" s="31" t="str">
        <f>IF(Table!B416 = "","",Table!B416)</f>
        <v/>
      </c>
      <c r="C416" s="31" t="str">
        <f>IF(Table!C416 = "","",Table!C416)</f>
        <v/>
      </c>
      <c r="D416" s="32" t="str">
        <f>IF(Table!D416 = "","",Table!D416)</f>
        <v/>
      </c>
      <c r="E416" s="32" t="str">
        <f>IF(Table!E416 = "","",Table!E416)</f>
        <v/>
      </c>
      <c r="F416" s="32" t="str">
        <f>IF(Table!F416 = "","",Table!F416)</f>
        <v/>
      </c>
      <c r="G416" s="91"/>
      <c r="I416" s="84" t="str">
        <f>IFERROR(VLOOKUP(A416,Downlink!A:L,12,TRUE),"")</f>
        <v/>
      </c>
      <c r="K416" s="31" t="str">
        <f>IFERROR(VLOOKUP(A416,Table!$I$4:$O$3000,1,TRUE),"")</f>
        <v/>
      </c>
      <c r="L416" s="31" t="str">
        <f>IFERROR(INDEX(Table!I:O,MATCH(K416,Table!I:I,0),2),"")</f>
        <v/>
      </c>
      <c r="M416" s="31" t="str">
        <f>IFERROR(INDEX(Table!I:O,MATCH(K416,Table!I:I,0),3),"")</f>
        <v/>
      </c>
      <c r="N416" s="32" t="str">
        <f>IFERROR(INDEX(Table!I:O,MATCH(K416,Table!I:I,0),4),"")</f>
        <v/>
      </c>
      <c r="O416" s="32" t="str">
        <f>IFERROR(INDEX(Table!I:O,MATCH(K416,Table!I:I,0),5),"")</f>
        <v/>
      </c>
      <c r="P416" s="32" t="str">
        <f>IFERROR(INDEX(Table!I:O,MATCH(K416,Table!I:I,0),6),"")</f>
        <v/>
      </c>
      <c r="Q416" s="89" t="str">
        <f t="shared" si="18"/>
        <v/>
      </c>
      <c r="R416" s="89" t="str">
        <f t="shared" si="19"/>
        <v/>
      </c>
      <c r="S416" s="82"/>
      <c r="U416" s="37" t="e">
        <f t="shared" si="20"/>
        <v>#VALUE!</v>
      </c>
    </row>
    <row r="417" spans="1:21" x14ac:dyDescent="0.25">
      <c r="A417" s="31" t="str">
        <f>IF(Table!A417 = "","",Table!A417)</f>
        <v/>
      </c>
      <c r="B417" s="31" t="str">
        <f>IF(Table!B417 = "","",Table!B417)</f>
        <v/>
      </c>
      <c r="C417" s="31" t="str">
        <f>IF(Table!C417 = "","",Table!C417)</f>
        <v/>
      </c>
      <c r="D417" s="32" t="str">
        <f>IF(Table!D417 = "","",Table!D417)</f>
        <v/>
      </c>
      <c r="E417" s="32" t="str">
        <f>IF(Table!E417 = "","",Table!E417)</f>
        <v/>
      </c>
      <c r="F417" s="32" t="str">
        <f>IF(Table!F417 = "","",Table!F417)</f>
        <v/>
      </c>
      <c r="G417" s="91"/>
      <c r="I417" s="84" t="str">
        <f>IFERROR(VLOOKUP(A417,Downlink!A:L,12,TRUE),"")</f>
        <v/>
      </c>
      <c r="K417" s="31" t="str">
        <f>IFERROR(VLOOKUP(A417,Table!$I$4:$O$3000,1,TRUE),"")</f>
        <v/>
      </c>
      <c r="L417" s="31" t="str">
        <f>IFERROR(INDEX(Table!I:O,MATCH(K417,Table!I:I,0),2),"")</f>
        <v/>
      </c>
      <c r="M417" s="31" t="str">
        <f>IFERROR(INDEX(Table!I:O,MATCH(K417,Table!I:I,0),3),"")</f>
        <v/>
      </c>
      <c r="N417" s="32" t="str">
        <f>IFERROR(INDEX(Table!I:O,MATCH(K417,Table!I:I,0),4),"")</f>
        <v/>
      </c>
      <c r="O417" s="32" t="str">
        <f>IFERROR(INDEX(Table!I:O,MATCH(K417,Table!I:I,0),5),"")</f>
        <v/>
      </c>
      <c r="P417" s="32" t="str">
        <f>IFERROR(INDEX(Table!I:O,MATCH(K417,Table!I:I,0),6),"")</f>
        <v/>
      </c>
      <c r="Q417" s="89" t="str">
        <f t="shared" si="18"/>
        <v/>
      </c>
      <c r="R417" s="89" t="str">
        <f t="shared" si="19"/>
        <v/>
      </c>
      <c r="S417" s="82"/>
      <c r="U417" s="37" t="e">
        <f t="shared" si="20"/>
        <v>#VALUE!</v>
      </c>
    </row>
    <row r="418" spans="1:21" x14ac:dyDescent="0.25">
      <c r="A418" s="31" t="str">
        <f>IF(Table!A418 = "","",Table!A418)</f>
        <v/>
      </c>
      <c r="B418" s="31" t="str">
        <f>IF(Table!B418 = "","",Table!B418)</f>
        <v/>
      </c>
      <c r="C418" s="31" t="str">
        <f>IF(Table!C418 = "","",Table!C418)</f>
        <v/>
      </c>
      <c r="D418" s="32" t="str">
        <f>IF(Table!D418 = "","",Table!D418)</f>
        <v/>
      </c>
      <c r="E418" s="32" t="str">
        <f>IF(Table!E418 = "","",Table!E418)</f>
        <v/>
      </c>
      <c r="F418" s="32" t="str">
        <f>IF(Table!F418 = "","",Table!F418)</f>
        <v/>
      </c>
      <c r="G418" s="91"/>
      <c r="I418" s="84" t="str">
        <f>IFERROR(VLOOKUP(A418,Downlink!A:L,12,TRUE),"")</f>
        <v/>
      </c>
      <c r="K418" s="31" t="str">
        <f>IFERROR(VLOOKUP(A418,Table!$I$4:$O$3000,1,TRUE),"")</f>
        <v/>
      </c>
      <c r="L418" s="31" t="str">
        <f>IFERROR(INDEX(Table!I:O,MATCH(K418,Table!I:I,0),2),"")</f>
        <v/>
      </c>
      <c r="M418" s="31" t="str">
        <f>IFERROR(INDEX(Table!I:O,MATCH(K418,Table!I:I,0),3),"")</f>
        <v/>
      </c>
      <c r="N418" s="32" t="str">
        <f>IFERROR(INDEX(Table!I:O,MATCH(K418,Table!I:I,0),4),"")</f>
        <v/>
      </c>
      <c r="O418" s="32" t="str">
        <f>IFERROR(INDEX(Table!I:O,MATCH(K418,Table!I:I,0),5),"")</f>
        <v/>
      </c>
      <c r="P418" s="32" t="str">
        <f>IFERROR(INDEX(Table!I:O,MATCH(K418,Table!I:I,0),6),"")</f>
        <v/>
      </c>
      <c r="Q418" s="89" t="str">
        <f t="shared" si="18"/>
        <v/>
      </c>
      <c r="R418" s="89" t="str">
        <f t="shared" si="19"/>
        <v/>
      </c>
      <c r="S418" s="82"/>
      <c r="U418" s="37" t="e">
        <f t="shared" si="20"/>
        <v>#VALUE!</v>
      </c>
    </row>
    <row r="419" spans="1:21" x14ac:dyDescent="0.25">
      <c r="A419" s="31" t="str">
        <f>IF(Table!A419 = "","",Table!A419)</f>
        <v/>
      </c>
      <c r="B419" s="31" t="str">
        <f>IF(Table!B419 = "","",Table!B419)</f>
        <v/>
      </c>
      <c r="C419" s="31" t="str">
        <f>IF(Table!C419 = "","",Table!C419)</f>
        <v/>
      </c>
      <c r="D419" s="32" t="str">
        <f>IF(Table!D419 = "","",Table!D419)</f>
        <v/>
      </c>
      <c r="E419" s="32" t="str">
        <f>IF(Table!E419 = "","",Table!E419)</f>
        <v/>
      </c>
      <c r="F419" s="32" t="str">
        <f>IF(Table!F419 = "","",Table!F419)</f>
        <v/>
      </c>
      <c r="G419" s="91"/>
      <c r="I419" s="84" t="str">
        <f>IFERROR(VLOOKUP(A419,Downlink!A:L,12,TRUE),"")</f>
        <v/>
      </c>
      <c r="K419" s="31" t="str">
        <f>IFERROR(VLOOKUP(A419,Table!$I$4:$O$3000,1,TRUE),"")</f>
        <v/>
      </c>
      <c r="L419" s="31" t="str">
        <f>IFERROR(INDEX(Table!I:O,MATCH(K419,Table!I:I,0),2),"")</f>
        <v/>
      </c>
      <c r="M419" s="31" t="str">
        <f>IFERROR(INDEX(Table!I:O,MATCH(K419,Table!I:I,0),3),"")</f>
        <v/>
      </c>
      <c r="N419" s="32" t="str">
        <f>IFERROR(INDEX(Table!I:O,MATCH(K419,Table!I:I,0),4),"")</f>
        <v/>
      </c>
      <c r="O419" s="32" t="str">
        <f>IFERROR(INDEX(Table!I:O,MATCH(K419,Table!I:I,0),5),"")</f>
        <v/>
      </c>
      <c r="P419" s="32" t="str">
        <f>IFERROR(INDEX(Table!I:O,MATCH(K419,Table!I:I,0),6),"")</f>
        <v/>
      </c>
      <c r="Q419" s="89" t="str">
        <f t="shared" si="18"/>
        <v/>
      </c>
      <c r="R419" s="89" t="str">
        <f t="shared" si="19"/>
        <v/>
      </c>
      <c r="S419" s="82"/>
      <c r="U419" s="37" t="e">
        <f t="shared" si="20"/>
        <v>#VALUE!</v>
      </c>
    </row>
    <row r="420" spans="1:21" x14ac:dyDescent="0.25">
      <c r="A420" s="31" t="str">
        <f>IF(Table!A420 = "","",Table!A420)</f>
        <v/>
      </c>
      <c r="B420" s="31" t="str">
        <f>IF(Table!B420 = "","",Table!B420)</f>
        <v/>
      </c>
      <c r="C420" s="31" t="str">
        <f>IF(Table!C420 = "","",Table!C420)</f>
        <v/>
      </c>
      <c r="D420" s="32" t="str">
        <f>IF(Table!D420 = "","",Table!D420)</f>
        <v/>
      </c>
      <c r="E420" s="32" t="str">
        <f>IF(Table!E420 = "","",Table!E420)</f>
        <v/>
      </c>
      <c r="F420" s="32" t="str">
        <f>IF(Table!F420 = "","",Table!F420)</f>
        <v/>
      </c>
      <c r="G420" s="91"/>
      <c r="I420" s="84" t="str">
        <f>IFERROR(VLOOKUP(A420,Downlink!A:L,12,TRUE),"")</f>
        <v/>
      </c>
      <c r="K420" s="31" t="str">
        <f>IFERROR(VLOOKUP(A420,Table!$I$4:$O$3000,1,TRUE),"")</f>
        <v/>
      </c>
      <c r="L420" s="31" t="str">
        <f>IFERROR(INDEX(Table!I:O,MATCH(K420,Table!I:I,0),2),"")</f>
        <v/>
      </c>
      <c r="M420" s="31" t="str">
        <f>IFERROR(INDEX(Table!I:O,MATCH(K420,Table!I:I,0),3),"")</f>
        <v/>
      </c>
      <c r="N420" s="32" t="str">
        <f>IFERROR(INDEX(Table!I:O,MATCH(K420,Table!I:I,0),4),"")</f>
        <v/>
      </c>
      <c r="O420" s="32" t="str">
        <f>IFERROR(INDEX(Table!I:O,MATCH(K420,Table!I:I,0),5),"")</f>
        <v/>
      </c>
      <c r="P420" s="32" t="str">
        <f>IFERROR(INDEX(Table!I:O,MATCH(K420,Table!I:I,0),6),"")</f>
        <v/>
      </c>
      <c r="Q420" s="89" t="str">
        <f t="shared" si="18"/>
        <v/>
      </c>
      <c r="R420" s="89" t="str">
        <f t="shared" si="19"/>
        <v/>
      </c>
      <c r="S420" s="82"/>
      <c r="U420" s="37" t="e">
        <f t="shared" si="20"/>
        <v>#VALUE!</v>
      </c>
    </row>
    <row r="421" spans="1:21" x14ac:dyDescent="0.25">
      <c r="A421" s="31" t="str">
        <f>IF(Table!A421 = "","",Table!A421)</f>
        <v/>
      </c>
      <c r="B421" s="31" t="str">
        <f>IF(Table!B421 = "","",Table!B421)</f>
        <v/>
      </c>
      <c r="C421" s="31" t="str">
        <f>IF(Table!C421 = "","",Table!C421)</f>
        <v/>
      </c>
      <c r="D421" s="32" t="str">
        <f>IF(Table!D421 = "","",Table!D421)</f>
        <v/>
      </c>
      <c r="E421" s="32" t="str">
        <f>IF(Table!E421 = "","",Table!E421)</f>
        <v/>
      </c>
      <c r="F421" s="32" t="str">
        <f>IF(Table!F421 = "","",Table!F421)</f>
        <v/>
      </c>
      <c r="G421" s="91"/>
      <c r="I421" s="84" t="str">
        <f>IFERROR(VLOOKUP(A421,Downlink!A:L,12,TRUE),"")</f>
        <v/>
      </c>
      <c r="K421" s="31" t="str">
        <f>IFERROR(VLOOKUP(A421,Table!$I$4:$O$3000,1,TRUE),"")</f>
        <v/>
      </c>
      <c r="L421" s="31" t="str">
        <f>IFERROR(INDEX(Table!I:O,MATCH(K421,Table!I:I,0),2),"")</f>
        <v/>
      </c>
      <c r="M421" s="31" t="str">
        <f>IFERROR(INDEX(Table!I:O,MATCH(K421,Table!I:I,0),3),"")</f>
        <v/>
      </c>
      <c r="N421" s="32" t="str">
        <f>IFERROR(INDEX(Table!I:O,MATCH(K421,Table!I:I,0),4),"")</f>
        <v/>
      </c>
      <c r="O421" s="32" t="str">
        <f>IFERROR(INDEX(Table!I:O,MATCH(K421,Table!I:I,0),5),"")</f>
        <v/>
      </c>
      <c r="P421" s="32" t="str">
        <f>IFERROR(INDEX(Table!I:O,MATCH(K421,Table!I:I,0),6),"")</f>
        <v/>
      </c>
      <c r="Q421" s="89" t="str">
        <f t="shared" si="18"/>
        <v/>
      </c>
      <c r="R421" s="89" t="str">
        <f t="shared" si="19"/>
        <v/>
      </c>
      <c r="S421" s="82"/>
      <c r="U421" s="37" t="e">
        <f t="shared" si="20"/>
        <v>#VALUE!</v>
      </c>
    </row>
    <row r="422" spans="1:21" x14ac:dyDescent="0.25">
      <c r="A422" s="31" t="str">
        <f>IF(Table!A422 = "","",Table!A422)</f>
        <v/>
      </c>
      <c r="B422" s="31" t="str">
        <f>IF(Table!B422 = "","",Table!B422)</f>
        <v/>
      </c>
      <c r="C422" s="31" t="str">
        <f>IF(Table!C422 = "","",Table!C422)</f>
        <v/>
      </c>
      <c r="D422" s="32" t="str">
        <f>IF(Table!D422 = "","",Table!D422)</f>
        <v/>
      </c>
      <c r="E422" s="32" t="str">
        <f>IF(Table!E422 = "","",Table!E422)</f>
        <v/>
      </c>
      <c r="F422" s="32" t="str">
        <f>IF(Table!F422 = "","",Table!F422)</f>
        <v/>
      </c>
      <c r="G422" s="91"/>
      <c r="I422" s="84" t="str">
        <f>IFERROR(VLOOKUP(A422,Downlink!A:L,12,TRUE),"")</f>
        <v/>
      </c>
      <c r="K422" s="31" t="str">
        <f>IFERROR(VLOOKUP(A422,Table!$I$4:$O$3000,1,TRUE),"")</f>
        <v/>
      </c>
      <c r="L422" s="31" t="str">
        <f>IFERROR(INDEX(Table!I:O,MATCH(K422,Table!I:I,0),2),"")</f>
        <v/>
      </c>
      <c r="M422" s="31" t="str">
        <f>IFERROR(INDEX(Table!I:O,MATCH(K422,Table!I:I,0),3),"")</f>
        <v/>
      </c>
      <c r="N422" s="32" t="str">
        <f>IFERROR(INDEX(Table!I:O,MATCH(K422,Table!I:I,0),4),"")</f>
        <v/>
      </c>
      <c r="O422" s="32" t="str">
        <f>IFERROR(INDEX(Table!I:O,MATCH(K422,Table!I:I,0),5),"")</f>
        <v/>
      </c>
      <c r="P422" s="32" t="str">
        <f>IFERROR(INDEX(Table!I:O,MATCH(K422,Table!I:I,0),6),"")</f>
        <v/>
      </c>
      <c r="Q422" s="89" t="str">
        <f t="shared" si="18"/>
        <v/>
      </c>
      <c r="R422" s="89" t="str">
        <f t="shared" si="19"/>
        <v/>
      </c>
      <c r="S422" s="82"/>
      <c r="U422" s="37" t="e">
        <f t="shared" si="20"/>
        <v>#VALUE!</v>
      </c>
    </row>
    <row r="423" spans="1:21" x14ac:dyDescent="0.25">
      <c r="A423" s="31" t="str">
        <f>IF(Table!A423 = "","",Table!A423)</f>
        <v/>
      </c>
      <c r="B423" s="31" t="str">
        <f>IF(Table!B423 = "","",Table!B423)</f>
        <v/>
      </c>
      <c r="C423" s="31" t="str">
        <f>IF(Table!C423 = "","",Table!C423)</f>
        <v/>
      </c>
      <c r="D423" s="32" t="str">
        <f>IF(Table!D423 = "","",Table!D423)</f>
        <v/>
      </c>
      <c r="E423" s="32" t="str">
        <f>IF(Table!E423 = "","",Table!E423)</f>
        <v/>
      </c>
      <c r="F423" s="32" t="str">
        <f>IF(Table!F423 = "","",Table!F423)</f>
        <v/>
      </c>
      <c r="G423" s="91"/>
      <c r="I423" s="84" t="str">
        <f>IFERROR(VLOOKUP(A423,Downlink!A:L,12,TRUE),"")</f>
        <v/>
      </c>
      <c r="K423" s="31" t="str">
        <f>IFERROR(VLOOKUP(A423,Table!$I$4:$O$3000,1,TRUE),"")</f>
        <v/>
      </c>
      <c r="L423" s="31" t="str">
        <f>IFERROR(INDEX(Table!I:O,MATCH(K423,Table!I:I,0),2),"")</f>
        <v/>
      </c>
      <c r="M423" s="31" t="str">
        <f>IFERROR(INDEX(Table!I:O,MATCH(K423,Table!I:I,0),3),"")</f>
        <v/>
      </c>
      <c r="N423" s="32" t="str">
        <f>IFERROR(INDEX(Table!I:O,MATCH(K423,Table!I:I,0),4),"")</f>
        <v/>
      </c>
      <c r="O423" s="32" t="str">
        <f>IFERROR(INDEX(Table!I:O,MATCH(K423,Table!I:I,0),5),"")</f>
        <v/>
      </c>
      <c r="P423" s="32" t="str">
        <f>IFERROR(INDEX(Table!I:O,MATCH(K423,Table!I:I,0),6),"")</f>
        <v/>
      </c>
      <c r="Q423" s="89" t="str">
        <f t="shared" si="18"/>
        <v/>
      </c>
      <c r="R423" s="89" t="str">
        <f t="shared" si="19"/>
        <v/>
      </c>
      <c r="S423" s="82"/>
      <c r="U423" s="37" t="e">
        <f t="shared" si="20"/>
        <v>#VALUE!</v>
      </c>
    </row>
    <row r="424" spans="1:21" x14ac:dyDescent="0.25">
      <c r="A424" s="31" t="str">
        <f>IF(Table!A424 = "","",Table!A424)</f>
        <v/>
      </c>
      <c r="B424" s="31" t="str">
        <f>IF(Table!B424 = "","",Table!B424)</f>
        <v/>
      </c>
      <c r="C424" s="31" t="str">
        <f>IF(Table!C424 = "","",Table!C424)</f>
        <v/>
      </c>
      <c r="D424" s="32" t="str">
        <f>IF(Table!D424 = "","",Table!D424)</f>
        <v/>
      </c>
      <c r="E424" s="32" t="str">
        <f>IF(Table!E424 = "","",Table!E424)</f>
        <v/>
      </c>
      <c r="F424" s="32" t="str">
        <f>IF(Table!F424 = "","",Table!F424)</f>
        <v/>
      </c>
      <c r="G424" s="91"/>
      <c r="I424" s="84" t="str">
        <f>IFERROR(VLOOKUP(A424,Downlink!A:L,12,TRUE),"")</f>
        <v/>
      </c>
      <c r="K424" s="31" t="str">
        <f>IFERROR(VLOOKUP(A424,Table!$I$4:$O$3000,1,TRUE),"")</f>
        <v/>
      </c>
      <c r="L424" s="31" t="str">
        <f>IFERROR(INDEX(Table!I:O,MATCH(K424,Table!I:I,0),2),"")</f>
        <v/>
      </c>
      <c r="M424" s="31" t="str">
        <f>IFERROR(INDEX(Table!I:O,MATCH(K424,Table!I:I,0),3),"")</f>
        <v/>
      </c>
      <c r="N424" s="32" t="str">
        <f>IFERROR(INDEX(Table!I:O,MATCH(K424,Table!I:I,0),4),"")</f>
        <v/>
      </c>
      <c r="O424" s="32" t="str">
        <f>IFERROR(INDEX(Table!I:O,MATCH(K424,Table!I:I,0),5),"")</f>
        <v/>
      </c>
      <c r="P424" s="32" t="str">
        <f>IFERROR(INDEX(Table!I:O,MATCH(K424,Table!I:I,0),6),"")</f>
        <v/>
      </c>
      <c r="Q424" s="89" t="str">
        <f t="shared" si="18"/>
        <v/>
      </c>
      <c r="R424" s="89" t="str">
        <f t="shared" si="19"/>
        <v/>
      </c>
      <c r="S424" s="82"/>
      <c r="U424" s="37" t="e">
        <f t="shared" si="20"/>
        <v>#VALUE!</v>
      </c>
    </row>
    <row r="425" spans="1:21" x14ac:dyDescent="0.25">
      <c r="A425" s="31" t="str">
        <f>IF(Table!A425 = "","",Table!A425)</f>
        <v/>
      </c>
      <c r="B425" s="31" t="str">
        <f>IF(Table!B425 = "","",Table!B425)</f>
        <v/>
      </c>
      <c r="C425" s="31" t="str">
        <f>IF(Table!C425 = "","",Table!C425)</f>
        <v/>
      </c>
      <c r="D425" s="32" t="str">
        <f>IF(Table!D425 = "","",Table!D425)</f>
        <v/>
      </c>
      <c r="E425" s="32" t="str">
        <f>IF(Table!E425 = "","",Table!E425)</f>
        <v/>
      </c>
      <c r="F425" s="32" t="str">
        <f>IF(Table!F425 = "","",Table!F425)</f>
        <v/>
      </c>
      <c r="G425" s="91"/>
      <c r="I425" s="84" t="str">
        <f>IFERROR(VLOOKUP(A425,Downlink!A:L,12,TRUE),"")</f>
        <v/>
      </c>
      <c r="K425" s="31" t="str">
        <f>IFERROR(VLOOKUP(A425,Table!$I$4:$O$3000,1,TRUE),"")</f>
        <v/>
      </c>
      <c r="L425" s="31" t="str">
        <f>IFERROR(INDEX(Table!I:O,MATCH(K425,Table!I:I,0),2),"")</f>
        <v/>
      </c>
      <c r="M425" s="31" t="str">
        <f>IFERROR(INDEX(Table!I:O,MATCH(K425,Table!I:I,0),3),"")</f>
        <v/>
      </c>
      <c r="N425" s="32" t="str">
        <f>IFERROR(INDEX(Table!I:O,MATCH(K425,Table!I:I,0),4),"")</f>
        <v/>
      </c>
      <c r="O425" s="32" t="str">
        <f>IFERROR(INDEX(Table!I:O,MATCH(K425,Table!I:I,0),5),"")</f>
        <v/>
      </c>
      <c r="P425" s="32" t="str">
        <f>IFERROR(INDEX(Table!I:O,MATCH(K425,Table!I:I,0),6),"")</f>
        <v/>
      </c>
      <c r="Q425" s="89" t="str">
        <f t="shared" si="18"/>
        <v/>
      </c>
      <c r="R425" s="89" t="str">
        <f t="shared" si="19"/>
        <v/>
      </c>
      <c r="S425" s="82"/>
      <c r="U425" s="37" t="e">
        <f t="shared" si="20"/>
        <v>#VALUE!</v>
      </c>
    </row>
    <row r="426" spans="1:21" x14ac:dyDescent="0.25">
      <c r="A426" s="31" t="str">
        <f>IF(Table!A426 = "","",Table!A426)</f>
        <v/>
      </c>
      <c r="B426" s="31" t="str">
        <f>IF(Table!B426 = "","",Table!B426)</f>
        <v/>
      </c>
      <c r="C426" s="31" t="str">
        <f>IF(Table!C426 = "","",Table!C426)</f>
        <v/>
      </c>
      <c r="D426" s="32" t="str">
        <f>IF(Table!D426 = "","",Table!D426)</f>
        <v/>
      </c>
      <c r="E426" s="32" t="str">
        <f>IF(Table!E426 = "","",Table!E426)</f>
        <v/>
      </c>
      <c r="F426" s="32" t="str">
        <f>IF(Table!F426 = "","",Table!F426)</f>
        <v/>
      </c>
      <c r="G426" s="91"/>
      <c r="I426" s="84" t="str">
        <f>IFERROR(VLOOKUP(A426,Downlink!A:L,12,TRUE),"")</f>
        <v/>
      </c>
      <c r="K426" s="31" t="str">
        <f>IFERROR(VLOOKUP(A426,Table!$I$4:$O$3000,1,TRUE),"")</f>
        <v/>
      </c>
      <c r="L426" s="31" t="str">
        <f>IFERROR(INDEX(Table!I:O,MATCH(K426,Table!I:I,0),2),"")</f>
        <v/>
      </c>
      <c r="M426" s="31" t="str">
        <f>IFERROR(INDEX(Table!I:O,MATCH(K426,Table!I:I,0),3),"")</f>
        <v/>
      </c>
      <c r="N426" s="32" t="str">
        <f>IFERROR(INDEX(Table!I:O,MATCH(K426,Table!I:I,0),4),"")</f>
        <v/>
      </c>
      <c r="O426" s="32" t="str">
        <f>IFERROR(INDEX(Table!I:O,MATCH(K426,Table!I:I,0),5),"")</f>
        <v/>
      </c>
      <c r="P426" s="32" t="str">
        <f>IFERROR(INDEX(Table!I:O,MATCH(K426,Table!I:I,0),6),"")</f>
        <v/>
      </c>
      <c r="Q426" s="89" t="str">
        <f t="shared" si="18"/>
        <v/>
      </c>
      <c r="R426" s="89" t="str">
        <f t="shared" si="19"/>
        <v/>
      </c>
      <c r="S426" s="82"/>
      <c r="U426" s="37" t="e">
        <f t="shared" si="20"/>
        <v>#VALUE!</v>
      </c>
    </row>
    <row r="427" spans="1:21" x14ac:dyDescent="0.25">
      <c r="A427" s="31" t="str">
        <f>IF(Table!A427 = "","",Table!A427)</f>
        <v/>
      </c>
      <c r="B427" s="31" t="str">
        <f>IF(Table!B427 = "","",Table!B427)</f>
        <v/>
      </c>
      <c r="C427" s="31" t="str">
        <f>IF(Table!C427 = "","",Table!C427)</f>
        <v/>
      </c>
      <c r="D427" s="32" t="str">
        <f>IF(Table!D427 = "","",Table!D427)</f>
        <v/>
      </c>
      <c r="E427" s="32" t="str">
        <f>IF(Table!E427 = "","",Table!E427)</f>
        <v/>
      </c>
      <c r="F427" s="32" t="str">
        <f>IF(Table!F427 = "","",Table!F427)</f>
        <v/>
      </c>
      <c r="G427" s="91"/>
      <c r="I427" s="84" t="str">
        <f>IFERROR(VLOOKUP(A427,Downlink!A:L,12,TRUE),"")</f>
        <v/>
      </c>
      <c r="K427" s="31" t="str">
        <f>IFERROR(VLOOKUP(A427,Table!$I$4:$O$3000,1,TRUE),"")</f>
        <v/>
      </c>
      <c r="L427" s="31" t="str">
        <f>IFERROR(INDEX(Table!I:O,MATCH(K427,Table!I:I,0),2),"")</f>
        <v/>
      </c>
      <c r="M427" s="31" t="str">
        <f>IFERROR(INDEX(Table!I:O,MATCH(K427,Table!I:I,0),3),"")</f>
        <v/>
      </c>
      <c r="N427" s="32" t="str">
        <f>IFERROR(INDEX(Table!I:O,MATCH(K427,Table!I:I,0),4),"")</f>
        <v/>
      </c>
      <c r="O427" s="32" t="str">
        <f>IFERROR(INDEX(Table!I:O,MATCH(K427,Table!I:I,0),5),"")</f>
        <v/>
      </c>
      <c r="P427" s="32" t="str">
        <f>IFERROR(INDEX(Table!I:O,MATCH(K427,Table!I:I,0),6),"")</f>
        <v/>
      </c>
      <c r="Q427" s="89" t="str">
        <f t="shared" si="18"/>
        <v/>
      </c>
      <c r="R427" s="89" t="str">
        <f t="shared" si="19"/>
        <v/>
      </c>
      <c r="S427" s="82"/>
      <c r="U427" s="37" t="e">
        <f t="shared" si="20"/>
        <v>#VALUE!</v>
      </c>
    </row>
    <row r="428" spans="1:21" x14ac:dyDescent="0.25">
      <c r="A428" s="31" t="str">
        <f>IF(Table!A428 = "","",Table!A428)</f>
        <v/>
      </c>
      <c r="B428" s="31" t="str">
        <f>IF(Table!B428 = "","",Table!B428)</f>
        <v/>
      </c>
      <c r="C428" s="31" t="str">
        <f>IF(Table!C428 = "","",Table!C428)</f>
        <v/>
      </c>
      <c r="D428" s="32" t="str">
        <f>IF(Table!D428 = "","",Table!D428)</f>
        <v/>
      </c>
      <c r="E428" s="32" t="str">
        <f>IF(Table!E428 = "","",Table!E428)</f>
        <v/>
      </c>
      <c r="F428" s="32" t="str">
        <f>IF(Table!F428 = "","",Table!F428)</f>
        <v/>
      </c>
      <c r="G428" s="91"/>
      <c r="I428" s="84" t="str">
        <f>IFERROR(VLOOKUP(A428,Downlink!A:L,12,TRUE),"")</f>
        <v/>
      </c>
      <c r="K428" s="31" t="str">
        <f>IFERROR(VLOOKUP(A428,Table!$I$4:$O$3000,1,TRUE),"")</f>
        <v/>
      </c>
      <c r="L428" s="31" t="str">
        <f>IFERROR(INDEX(Table!I:O,MATCH(K428,Table!I:I,0),2),"")</f>
        <v/>
      </c>
      <c r="M428" s="31" t="str">
        <f>IFERROR(INDEX(Table!I:O,MATCH(K428,Table!I:I,0),3),"")</f>
        <v/>
      </c>
      <c r="N428" s="32" t="str">
        <f>IFERROR(INDEX(Table!I:O,MATCH(K428,Table!I:I,0),4),"")</f>
        <v/>
      </c>
      <c r="O428" s="32" t="str">
        <f>IFERROR(INDEX(Table!I:O,MATCH(K428,Table!I:I,0),5),"")</f>
        <v/>
      </c>
      <c r="P428" s="32" t="str">
        <f>IFERROR(INDEX(Table!I:O,MATCH(K428,Table!I:I,0),6),"")</f>
        <v/>
      </c>
      <c r="Q428" s="89" t="str">
        <f t="shared" si="18"/>
        <v/>
      </c>
      <c r="R428" s="89" t="str">
        <f t="shared" si="19"/>
        <v/>
      </c>
      <c r="S428" s="82"/>
      <c r="U428" s="37" t="e">
        <f t="shared" si="20"/>
        <v>#VALUE!</v>
      </c>
    </row>
    <row r="429" spans="1:21" x14ac:dyDescent="0.25">
      <c r="A429" s="31" t="str">
        <f>IF(Table!A429 = "","",Table!A429)</f>
        <v/>
      </c>
      <c r="B429" s="31" t="str">
        <f>IF(Table!B429 = "","",Table!B429)</f>
        <v/>
      </c>
      <c r="C429" s="31" t="str">
        <f>IF(Table!C429 = "","",Table!C429)</f>
        <v/>
      </c>
      <c r="D429" s="32" t="str">
        <f>IF(Table!D429 = "","",Table!D429)</f>
        <v/>
      </c>
      <c r="E429" s="32" t="str">
        <f>IF(Table!E429 = "","",Table!E429)</f>
        <v/>
      </c>
      <c r="F429" s="32" t="str">
        <f>IF(Table!F429 = "","",Table!F429)</f>
        <v/>
      </c>
      <c r="G429" s="91"/>
      <c r="I429" s="84" t="str">
        <f>IFERROR(VLOOKUP(A429,Downlink!A:L,12,TRUE),"")</f>
        <v/>
      </c>
      <c r="K429" s="31" t="str">
        <f>IFERROR(VLOOKUP(A429,Table!$I$4:$O$3000,1,TRUE),"")</f>
        <v/>
      </c>
      <c r="L429" s="31" t="str">
        <f>IFERROR(INDEX(Table!I:O,MATCH(K429,Table!I:I,0),2),"")</f>
        <v/>
      </c>
      <c r="M429" s="31" t="str">
        <f>IFERROR(INDEX(Table!I:O,MATCH(K429,Table!I:I,0),3),"")</f>
        <v/>
      </c>
      <c r="N429" s="32" t="str">
        <f>IFERROR(INDEX(Table!I:O,MATCH(K429,Table!I:I,0),4),"")</f>
        <v/>
      </c>
      <c r="O429" s="32" t="str">
        <f>IFERROR(INDEX(Table!I:O,MATCH(K429,Table!I:I,0),5),"")</f>
        <v/>
      </c>
      <c r="P429" s="32" t="str">
        <f>IFERROR(INDEX(Table!I:O,MATCH(K429,Table!I:I,0),6),"")</f>
        <v/>
      </c>
      <c r="Q429" s="89" t="str">
        <f t="shared" si="18"/>
        <v/>
      </c>
      <c r="R429" s="89" t="str">
        <f t="shared" si="19"/>
        <v/>
      </c>
      <c r="S429" s="82"/>
      <c r="U429" s="37" t="e">
        <f t="shared" si="20"/>
        <v>#VALUE!</v>
      </c>
    </row>
    <row r="430" spans="1:21" x14ac:dyDescent="0.25">
      <c r="A430" s="31" t="str">
        <f>IF(Table!A430 = "","",Table!A430)</f>
        <v/>
      </c>
      <c r="B430" s="31" t="str">
        <f>IF(Table!B430 = "","",Table!B430)</f>
        <v/>
      </c>
      <c r="C430" s="31" t="str">
        <f>IF(Table!C430 = "","",Table!C430)</f>
        <v/>
      </c>
      <c r="D430" s="32" t="str">
        <f>IF(Table!D430 = "","",Table!D430)</f>
        <v/>
      </c>
      <c r="E430" s="32" t="str">
        <f>IF(Table!E430 = "","",Table!E430)</f>
        <v/>
      </c>
      <c r="F430" s="32" t="str">
        <f>IF(Table!F430 = "","",Table!F430)</f>
        <v/>
      </c>
      <c r="G430" s="91"/>
      <c r="I430" s="84" t="str">
        <f>IFERROR(VLOOKUP(A430,Downlink!A:L,12,TRUE),"")</f>
        <v/>
      </c>
      <c r="K430" s="31" t="str">
        <f>IFERROR(VLOOKUP(A430,Table!$I$4:$O$3000,1,TRUE),"")</f>
        <v/>
      </c>
      <c r="L430" s="31" t="str">
        <f>IFERROR(INDEX(Table!I:O,MATCH(K430,Table!I:I,0),2),"")</f>
        <v/>
      </c>
      <c r="M430" s="31" t="str">
        <f>IFERROR(INDEX(Table!I:O,MATCH(K430,Table!I:I,0),3),"")</f>
        <v/>
      </c>
      <c r="N430" s="32" t="str">
        <f>IFERROR(INDEX(Table!I:O,MATCH(K430,Table!I:I,0),4),"")</f>
        <v/>
      </c>
      <c r="O430" s="32" t="str">
        <f>IFERROR(INDEX(Table!I:O,MATCH(K430,Table!I:I,0),5),"")</f>
        <v/>
      </c>
      <c r="P430" s="32" t="str">
        <f>IFERROR(INDEX(Table!I:O,MATCH(K430,Table!I:I,0),6),"")</f>
        <v/>
      </c>
      <c r="Q430" s="89" t="str">
        <f t="shared" si="18"/>
        <v/>
      </c>
      <c r="R430" s="89" t="str">
        <f t="shared" si="19"/>
        <v/>
      </c>
      <c r="S430" s="82"/>
      <c r="U430" s="37" t="e">
        <f t="shared" si="20"/>
        <v>#VALUE!</v>
      </c>
    </row>
    <row r="431" spans="1:21" x14ac:dyDescent="0.25">
      <c r="A431" s="31" t="str">
        <f>IF(Table!A431 = "","",Table!A431)</f>
        <v/>
      </c>
      <c r="B431" s="31" t="str">
        <f>IF(Table!B431 = "","",Table!B431)</f>
        <v/>
      </c>
      <c r="C431" s="31" t="str">
        <f>IF(Table!C431 = "","",Table!C431)</f>
        <v/>
      </c>
      <c r="D431" s="32" t="str">
        <f>IF(Table!D431 = "","",Table!D431)</f>
        <v/>
      </c>
      <c r="E431" s="32" t="str">
        <f>IF(Table!E431 = "","",Table!E431)</f>
        <v/>
      </c>
      <c r="F431" s="32" t="str">
        <f>IF(Table!F431 = "","",Table!F431)</f>
        <v/>
      </c>
      <c r="G431" s="91"/>
      <c r="I431" s="84" t="str">
        <f>IFERROR(VLOOKUP(A431,Downlink!A:L,12,TRUE),"")</f>
        <v/>
      </c>
      <c r="K431" s="31" t="str">
        <f>IFERROR(VLOOKUP(A431,Table!$I$4:$O$3000,1,TRUE),"")</f>
        <v/>
      </c>
      <c r="L431" s="31" t="str">
        <f>IFERROR(INDEX(Table!I:O,MATCH(K431,Table!I:I,0),2),"")</f>
        <v/>
      </c>
      <c r="M431" s="31" t="str">
        <f>IFERROR(INDEX(Table!I:O,MATCH(K431,Table!I:I,0),3),"")</f>
        <v/>
      </c>
      <c r="N431" s="32" t="str">
        <f>IFERROR(INDEX(Table!I:O,MATCH(K431,Table!I:I,0),4),"")</f>
        <v/>
      </c>
      <c r="O431" s="32" t="str">
        <f>IFERROR(INDEX(Table!I:O,MATCH(K431,Table!I:I,0),5),"")</f>
        <v/>
      </c>
      <c r="P431" s="32" t="str">
        <f>IFERROR(INDEX(Table!I:O,MATCH(K431,Table!I:I,0),6),"")</f>
        <v/>
      </c>
      <c r="Q431" s="89" t="str">
        <f t="shared" si="18"/>
        <v/>
      </c>
      <c r="R431" s="89" t="str">
        <f t="shared" si="19"/>
        <v/>
      </c>
      <c r="S431" s="82"/>
      <c r="U431" s="37" t="e">
        <f t="shared" si="20"/>
        <v>#VALUE!</v>
      </c>
    </row>
    <row r="432" spans="1:21" x14ac:dyDescent="0.25">
      <c r="A432" s="31" t="str">
        <f>IF(Table!A432 = "","",Table!A432)</f>
        <v/>
      </c>
      <c r="B432" s="31" t="str">
        <f>IF(Table!B432 = "","",Table!B432)</f>
        <v/>
      </c>
      <c r="C432" s="31" t="str">
        <f>IF(Table!C432 = "","",Table!C432)</f>
        <v/>
      </c>
      <c r="D432" s="32" t="str">
        <f>IF(Table!D432 = "","",Table!D432)</f>
        <v/>
      </c>
      <c r="E432" s="32" t="str">
        <f>IF(Table!E432 = "","",Table!E432)</f>
        <v/>
      </c>
      <c r="F432" s="32" t="str">
        <f>IF(Table!F432 = "","",Table!F432)</f>
        <v/>
      </c>
      <c r="G432" s="91"/>
      <c r="I432" s="84" t="str">
        <f>IFERROR(VLOOKUP(A432,Downlink!A:L,12,TRUE),"")</f>
        <v/>
      </c>
      <c r="K432" s="31" t="str">
        <f>IFERROR(VLOOKUP(A432,Table!$I$4:$O$3000,1,TRUE),"")</f>
        <v/>
      </c>
      <c r="L432" s="31" t="str">
        <f>IFERROR(INDEX(Table!I:O,MATCH(K432,Table!I:I,0),2),"")</f>
        <v/>
      </c>
      <c r="M432" s="31" t="str">
        <f>IFERROR(INDEX(Table!I:O,MATCH(K432,Table!I:I,0),3),"")</f>
        <v/>
      </c>
      <c r="N432" s="32" t="str">
        <f>IFERROR(INDEX(Table!I:O,MATCH(K432,Table!I:I,0),4),"")</f>
        <v/>
      </c>
      <c r="O432" s="32" t="str">
        <f>IFERROR(INDEX(Table!I:O,MATCH(K432,Table!I:I,0),5),"")</f>
        <v/>
      </c>
      <c r="P432" s="32" t="str">
        <f>IFERROR(INDEX(Table!I:O,MATCH(K432,Table!I:I,0),6),"")</f>
        <v/>
      </c>
      <c r="Q432" s="89" t="str">
        <f t="shared" si="18"/>
        <v/>
      </c>
      <c r="R432" s="89" t="str">
        <f t="shared" si="19"/>
        <v/>
      </c>
      <c r="S432" s="82"/>
      <c r="U432" s="37" t="e">
        <f t="shared" si="20"/>
        <v>#VALUE!</v>
      </c>
    </row>
    <row r="433" spans="1:21" x14ac:dyDescent="0.25">
      <c r="A433" s="31" t="str">
        <f>IF(Table!A433 = "","",Table!A433)</f>
        <v/>
      </c>
      <c r="B433" s="31" t="str">
        <f>IF(Table!B433 = "","",Table!B433)</f>
        <v/>
      </c>
      <c r="C433" s="31" t="str">
        <f>IF(Table!C433 = "","",Table!C433)</f>
        <v/>
      </c>
      <c r="D433" s="32" t="str">
        <f>IF(Table!D433 = "","",Table!D433)</f>
        <v/>
      </c>
      <c r="E433" s="32" t="str">
        <f>IF(Table!E433 = "","",Table!E433)</f>
        <v/>
      </c>
      <c r="F433" s="32" t="str">
        <f>IF(Table!F433 = "","",Table!F433)</f>
        <v/>
      </c>
      <c r="G433" s="91"/>
      <c r="I433" s="84" t="str">
        <f>IFERROR(VLOOKUP(A433,Downlink!A:L,12,TRUE),"")</f>
        <v/>
      </c>
      <c r="K433" s="31" t="str">
        <f>IFERROR(VLOOKUP(A433,Table!$I$4:$O$3000,1,TRUE),"")</f>
        <v/>
      </c>
      <c r="L433" s="31" t="str">
        <f>IFERROR(INDEX(Table!I:O,MATCH(K433,Table!I:I,0),2),"")</f>
        <v/>
      </c>
      <c r="M433" s="31" t="str">
        <f>IFERROR(INDEX(Table!I:O,MATCH(K433,Table!I:I,0),3),"")</f>
        <v/>
      </c>
      <c r="N433" s="32" t="str">
        <f>IFERROR(INDEX(Table!I:O,MATCH(K433,Table!I:I,0),4),"")</f>
        <v/>
      </c>
      <c r="O433" s="32" t="str">
        <f>IFERROR(INDEX(Table!I:O,MATCH(K433,Table!I:I,0),5),"")</f>
        <v/>
      </c>
      <c r="P433" s="32" t="str">
        <f>IFERROR(INDEX(Table!I:O,MATCH(K433,Table!I:I,0),6),"")</f>
        <v/>
      </c>
      <c r="Q433" s="89" t="str">
        <f t="shared" si="18"/>
        <v/>
      </c>
      <c r="R433" s="89" t="str">
        <f t="shared" si="19"/>
        <v/>
      </c>
      <c r="S433" s="82"/>
      <c r="U433" s="37" t="e">
        <f t="shared" si="20"/>
        <v>#VALUE!</v>
      </c>
    </row>
    <row r="434" spans="1:21" x14ac:dyDescent="0.25">
      <c r="A434" s="31" t="str">
        <f>IF(Table!A434 = "","",Table!A434)</f>
        <v/>
      </c>
      <c r="B434" s="31" t="str">
        <f>IF(Table!B434 = "","",Table!B434)</f>
        <v/>
      </c>
      <c r="C434" s="31" t="str">
        <f>IF(Table!C434 = "","",Table!C434)</f>
        <v/>
      </c>
      <c r="D434" s="32" t="str">
        <f>IF(Table!D434 = "","",Table!D434)</f>
        <v/>
      </c>
      <c r="E434" s="32" t="str">
        <f>IF(Table!E434 = "","",Table!E434)</f>
        <v/>
      </c>
      <c r="F434" s="32" t="str">
        <f>IF(Table!F434 = "","",Table!F434)</f>
        <v/>
      </c>
      <c r="G434" s="91"/>
      <c r="I434" s="84" t="str">
        <f>IFERROR(VLOOKUP(A434,Downlink!A:L,12,TRUE),"")</f>
        <v/>
      </c>
      <c r="K434" s="31" t="str">
        <f>IFERROR(VLOOKUP(A434,Table!$I$4:$O$3000,1,TRUE),"")</f>
        <v/>
      </c>
      <c r="L434" s="31" t="str">
        <f>IFERROR(INDEX(Table!I:O,MATCH(K434,Table!I:I,0),2),"")</f>
        <v/>
      </c>
      <c r="M434" s="31" t="str">
        <f>IFERROR(INDEX(Table!I:O,MATCH(K434,Table!I:I,0),3),"")</f>
        <v/>
      </c>
      <c r="N434" s="32" t="str">
        <f>IFERROR(INDEX(Table!I:O,MATCH(K434,Table!I:I,0),4),"")</f>
        <v/>
      </c>
      <c r="O434" s="32" t="str">
        <f>IFERROR(INDEX(Table!I:O,MATCH(K434,Table!I:I,0),5),"")</f>
        <v/>
      </c>
      <c r="P434" s="32" t="str">
        <f>IFERROR(INDEX(Table!I:O,MATCH(K434,Table!I:I,0),6),"")</f>
        <v/>
      </c>
      <c r="Q434" s="89" t="str">
        <f t="shared" si="18"/>
        <v/>
      </c>
      <c r="R434" s="89" t="str">
        <f t="shared" si="19"/>
        <v/>
      </c>
      <c r="S434" s="82"/>
      <c r="U434" s="37" t="e">
        <f t="shared" si="20"/>
        <v>#VALUE!</v>
      </c>
    </row>
    <row r="435" spans="1:21" x14ac:dyDescent="0.25">
      <c r="A435" s="31" t="str">
        <f>IF(Table!A435 = "","",Table!A435)</f>
        <v/>
      </c>
      <c r="B435" s="31" t="str">
        <f>IF(Table!B435 = "","",Table!B435)</f>
        <v/>
      </c>
      <c r="C435" s="31" t="str">
        <f>IF(Table!C435 = "","",Table!C435)</f>
        <v/>
      </c>
      <c r="D435" s="32" t="str">
        <f>IF(Table!D435 = "","",Table!D435)</f>
        <v/>
      </c>
      <c r="E435" s="32" t="str">
        <f>IF(Table!E435 = "","",Table!E435)</f>
        <v/>
      </c>
      <c r="F435" s="32" t="str">
        <f>IF(Table!F435 = "","",Table!F435)</f>
        <v/>
      </c>
      <c r="G435" s="91"/>
      <c r="I435" s="84" t="str">
        <f>IFERROR(VLOOKUP(A435,Downlink!A:L,12,TRUE),"")</f>
        <v/>
      </c>
      <c r="K435" s="31" t="str">
        <f>IFERROR(VLOOKUP(A435,Table!$I$4:$O$3000,1,TRUE),"")</f>
        <v/>
      </c>
      <c r="L435" s="31" t="str">
        <f>IFERROR(INDEX(Table!I:O,MATCH(K435,Table!I:I,0),2),"")</f>
        <v/>
      </c>
      <c r="M435" s="31" t="str">
        <f>IFERROR(INDEX(Table!I:O,MATCH(K435,Table!I:I,0),3),"")</f>
        <v/>
      </c>
      <c r="N435" s="32" t="str">
        <f>IFERROR(INDEX(Table!I:O,MATCH(K435,Table!I:I,0),4),"")</f>
        <v/>
      </c>
      <c r="O435" s="32" t="str">
        <f>IFERROR(INDEX(Table!I:O,MATCH(K435,Table!I:I,0),5),"")</f>
        <v/>
      </c>
      <c r="P435" s="32" t="str">
        <f>IFERROR(INDEX(Table!I:O,MATCH(K435,Table!I:I,0),6),"")</f>
        <v/>
      </c>
      <c r="Q435" s="89" t="str">
        <f t="shared" si="18"/>
        <v/>
      </c>
      <c r="R435" s="89" t="str">
        <f t="shared" si="19"/>
        <v/>
      </c>
      <c r="S435" s="82"/>
      <c r="U435" s="37" t="e">
        <f t="shared" si="20"/>
        <v>#VALUE!</v>
      </c>
    </row>
    <row r="436" spans="1:21" x14ac:dyDescent="0.25">
      <c r="A436" s="31" t="str">
        <f>IF(Table!A436 = "","",Table!A436)</f>
        <v/>
      </c>
      <c r="B436" s="31" t="str">
        <f>IF(Table!B436 = "","",Table!B436)</f>
        <v/>
      </c>
      <c r="C436" s="31" t="str">
        <f>IF(Table!C436 = "","",Table!C436)</f>
        <v/>
      </c>
      <c r="D436" s="32" t="str">
        <f>IF(Table!D436 = "","",Table!D436)</f>
        <v/>
      </c>
      <c r="E436" s="32" t="str">
        <f>IF(Table!E436 = "","",Table!E436)</f>
        <v/>
      </c>
      <c r="F436" s="32" t="str">
        <f>IF(Table!F436 = "","",Table!F436)</f>
        <v/>
      </c>
      <c r="G436" s="91"/>
      <c r="I436" s="84" t="str">
        <f>IFERROR(VLOOKUP(A436,Downlink!A:L,12,TRUE),"")</f>
        <v/>
      </c>
      <c r="K436" s="31" t="str">
        <f>IFERROR(VLOOKUP(A436,Table!$I$4:$O$3000,1,TRUE),"")</f>
        <v/>
      </c>
      <c r="L436" s="31" t="str">
        <f>IFERROR(INDEX(Table!I:O,MATCH(K436,Table!I:I,0),2),"")</f>
        <v/>
      </c>
      <c r="M436" s="31" t="str">
        <f>IFERROR(INDEX(Table!I:O,MATCH(K436,Table!I:I,0),3),"")</f>
        <v/>
      </c>
      <c r="N436" s="32" t="str">
        <f>IFERROR(INDEX(Table!I:O,MATCH(K436,Table!I:I,0),4),"")</f>
        <v/>
      </c>
      <c r="O436" s="32" t="str">
        <f>IFERROR(INDEX(Table!I:O,MATCH(K436,Table!I:I,0),5),"")</f>
        <v/>
      </c>
      <c r="P436" s="32" t="str">
        <f>IFERROR(INDEX(Table!I:O,MATCH(K436,Table!I:I,0),6),"")</f>
        <v/>
      </c>
      <c r="Q436" s="89" t="str">
        <f t="shared" si="18"/>
        <v/>
      </c>
      <c r="R436" s="89" t="str">
        <f t="shared" si="19"/>
        <v/>
      </c>
      <c r="S436" s="82"/>
      <c r="U436" s="37" t="e">
        <f t="shared" si="20"/>
        <v>#VALUE!</v>
      </c>
    </row>
    <row r="437" spans="1:21" x14ac:dyDescent="0.25">
      <c r="A437" s="31" t="str">
        <f>IF(Table!A437 = "","",Table!A437)</f>
        <v/>
      </c>
      <c r="B437" s="31" t="str">
        <f>IF(Table!B437 = "","",Table!B437)</f>
        <v/>
      </c>
      <c r="C437" s="31" t="str">
        <f>IF(Table!C437 = "","",Table!C437)</f>
        <v/>
      </c>
      <c r="D437" s="32" t="str">
        <f>IF(Table!D437 = "","",Table!D437)</f>
        <v/>
      </c>
      <c r="E437" s="32" t="str">
        <f>IF(Table!E437 = "","",Table!E437)</f>
        <v/>
      </c>
      <c r="F437" s="32" t="str">
        <f>IF(Table!F437 = "","",Table!F437)</f>
        <v/>
      </c>
      <c r="G437" s="91"/>
      <c r="I437" s="84" t="str">
        <f>IFERROR(VLOOKUP(A437,Downlink!A:L,12,TRUE),"")</f>
        <v/>
      </c>
      <c r="K437" s="31" t="str">
        <f>IFERROR(VLOOKUP(A437,Table!$I$4:$O$3000,1,TRUE),"")</f>
        <v/>
      </c>
      <c r="L437" s="31" t="str">
        <f>IFERROR(INDEX(Table!I:O,MATCH(K437,Table!I:I,0),2),"")</f>
        <v/>
      </c>
      <c r="M437" s="31" t="str">
        <f>IFERROR(INDEX(Table!I:O,MATCH(K437,Table!I:I,0),3),"")</f>
        <v/>
      </c>
      <c r="N437" s="32" t="str">
        <f>IFERROR(INDEX(Table!I:O,MATCH(K437,Table!I:I,0),4),"")</f>
        <v/>
      </c>
      <c r="O437" s="32" t="str">
        <f>IFERROR(INDEX(Table!I:O,MATCH(K437,Table!I:I,0),5),"")</f>
        <v/>
      </c>
      <c r="P437" s="32" t="str">
        <f>IFERROR(INDEX(Table!I:O,MATCH(K437,Table!I:I,0),6),"")</f>
        <v/>
      </c>
      <c r="Q437" s="89" t="str">
        <f t="shared" si="18"/>
        <v/>
      </c>
      <c r="R437" s="89" t="str">
        <f t="shared" si="19"/>
        <v/>
      </c>
      <c r="S437" s="82"/>
      <c r="U437" s="37" t="e">
        <f t="shared" si="20"/>
        <v>#VALUE!</v>
      </c>
    </row>
    <row r="438" spans="1:21" x14ac:dyDescent="0.25">
      <c r="A438" s="31" t="str">
        <f>IF(Table!A438 = "","",Table!A438)</f>
        <v/>
      </c>
      <c r="B438" s="31" t="str">
        <f>IF(Table!B438 = "","",Table!B438)</f>
        <v/>
      </c>
      <c r="C438" s="31" t="str">
        <f>IF(Table!C438 = "","",Table!C438)</f>
        <v/>
      </c>
      <c r="D438" s="32" t="str">
        <f>IF(Table!D438 = "","",Table!D438)</f>
        <v/>
      </c>
      <c r="E438" s="32" t="str">
        <f>IF(Table!E438 = "","",Table!E438)</f>
        <v/>
      </c>
      <c r="F438" s="32" t="str">
        <f>IF(Table!F438 = "","",Table!F438)</f>
        <v/>
      </c>
      <c r="G438" s="91"/>
      <c r="I438" s="84" t="str">
        <f>IFERROR(VLOOKUP(A438,Downlink!A:L,12,TRUE),"")</f>
        <v/>
      </c>
      <c r="K438" s="31" t="str">
        <f>IFERROR(VLOOKUP(A438,Table!$I$4:$O$3000,1,TRUE),"")</f>
        <v/>
      </c>
      <c r="L438" s="31" t="str">
        <f>IFERROR(INDEX(Table!I:O,MATCH(K438,Table!I:I,0),2),"")</f>
        <v/>
      </c>
      <c r="M438" s="31" t="str">
        <f>IFERROR(INDEX(Table!I:O,MATCH(K438,Table!I:I,0),3),"")</f>
        <v/>
      </c>
      <c r="N438" s="32" t="str">
        <f>IFERROR(INDEX(Table!I:O,MATCH(K438,Table!I:I,0),4),"")</f>
        <v/>
      </c>
      <c r="O438" s="32" t="str">
        <f>IFERROR(INDEX(Table!I:O,MATCH(K438,Table!I:I,0),5),"")</f>
        <v/>
      </c>
      <c r="P438" s="32" t="str">
        <f>IFERROR(INDEX(Table!I:O,MATCH(K438,Table!I:I,0),6),"")</f>
        <v/>
      </c>
      <c r="Q438" s="89" t="str">
        <f t="shared" si="18"/>
        <v/>
      </c>
      <c r="R438" s="89" t="str">
        <f t="shared" si="19"/>
        <v/>
      </c>
      <c r="S438" s="82"/>
      <c r="U438" s="37" t="e">
        <f t="shared" si="20"/>
        <v>#VALUE!</v>
      </c>
    </row>
    <row r="439" spans="1:21" x14ac:dyDescent="0.25">
      <c r="A439" s="31" t="str">
        <f>IF(Table!A439 = "","",Table!A439)</f>
        <v/>
      </c>
      <c r="B439" s="31" t="str">
        <f>IF(Table!B439 = "","",Table!B439)</f>
        <v/>
      </c>
      <c r="C439" s="31" t="str">
        <f>IF(Table!C439 = "","",Table!C439)</f>
        <v/>
      </c>
      <c r="D439" s="32" t="str">
        <f>IF(Table!D439 = "","",Table!D439)</f>
        <v/>
      </c>
      <c r="E439" s="32" t="str">
        <f>IF(Table!E439 = "","",Table!E439)</f>
        <v/>
      </c>
      <c r="F439" s="32" t="str">
        <f>IF(Table!F439 = "","",Table!F439)</f>
        <v/>
      </c>
      <c r="G439" s="91"/>
      <c r="I439" s="84" t="str">
        <f>IFERROR(VLOOKUP(A439,Downlink!A:L,12,TRUE),"")</f>
        <v/>
      </c>
      <c r="K439" s="31" t="str">
        <f>IFERROR(VLOOKUP(A439,Table!$I$4:$O$3000,1,TRUE),"")</f>
        <v/>
      </c>
      <c r="L439" s="31" t="str">
        <f>IFERROR(INDEX(Table!I:O,MATCH(K439,Table!I:I,0),2),"")</f>
        <v/>
      </c>
      <c r="M439" s="31" t="str">
        <f>IFERROR(INDEX(Table!I:O,MATCH(K439,Table!I:I,0),3),"")</f>
        <v/>
      </c>
      <c r="N439" s="32" t="str">
        <f>IFERROR(INDEX(Table!I:O,MATCH(K439,Table!I:I,0),4),"")</f>
        <v/>
      </c>
      <c r="O439" s="32" t="str">
        <f>IFERROR(INDEX(Table!I:O,MATCH(K439,Table!I:I,0),5),"")</f>
        <v/>
      </c>
      <c r="P439" s="32" t="str">
        <f>IFERROR(INDEX(Table!I:O,MATCH(K439,Table!I:I,0),6),"")</f>
        <v/>
      </c>
      <c r="Q439" s="89" t="str">
        <f t="shared" si="18"/>
        <v/>
      </c>
      <c r="R439" s="89" t="str">
        <f t="shared" si="19"/>
        <v/>
      </c>
      <c r="S439" s="82"/>
      <c r="U439" s="37" t="e">
        <f t="shared" si="20"/>
        <v>#VALUE!</v>
      </c>
    </row>
    <row r="440" spans="1:21" x14ac:dyDescent="0.25">
      <c r="A440" s="31" t="str">
        <f>IF(Table!A440 = "","",Table!A440)</f>
        <v/>
      </c>
      <c r="B440" s="31" t="str">
        <f>IF(Table!B440 = "","",Table!B440)</f>
        <v/>
      </c>
      <c r="C440" s="31" t="str">
        <f>IF(Table!C440 = "","",Table!C440)</f>
        <v/>
      </c>
      <c r="D440" s="32" t="str">
        <f>IF(Table!D440 = "","",Table!D440)</f>
        <v/>
      </c>
      <c r="E440" s="32" t="str">
        <f>IF(Table!E440 = "","",Table!E440)</f>
        <v/>
      </c>
      <c r="F440" s="32" t="str">
        <f>IF(Table!F440 = "","",Table!F440)</f>
        <v/>
      </c>
      <c r="G440" s="91"/>
      <c r="I440" s="84" t="str">
        <f>IFERROR(VLOOKUP(A440,Downlink!A:L,12,TRUE),"")</f>
        <v/>
      </c>
      <c r="K440" s="31" t="str">
        <f>IFERROR(VLOOKUP(A440,Table!$I$4:$O$3000,1,TRUE),"")</f>
        <v/>
      </c>
      <c r="L440" s="31" t="str">
        <f>IFERROR(INDEX(Table!I:O,MATCH(K440,Table!I:I,0),2),"")</f>
        <v/>
      </c>
      <c r="M440" s="31" t="str">
        <f>IFERROR(INDEX(Table!I:O,MATCH(K440,Table!I:I,0),3),"")</f>
        <v/>
      </c>
      <c r="N440" s="32" t="str">
        <f>IFERROR(INDEX(Table!I:O,MATCH(K440,Table!I:I,0),4),"")</f>
        <v/>
      </c>
      <c r="O440" s="32" t="str">
        <f>IFERROR(INDEX(Table!I:O,MATCH(K440,Table!I:I,0),5),"")</f>
        <v/>
      </c>
      <c r="P440" s="32" t="str">
        <f>IFERROR(INDEX(Table!I:O,MATCH(K440,Table!I:I,0),6),"")</f>
        <v/>
      </c>
      <c r="Q440" s="89" t="str">
        <f t="shared" si="18"/>
        <v/>
      </c>
      <c r="R440" s="89" t="str">
        <f t="shared" si="19"/>
        <v/>
      </c>
      <c r="S440" s="82"/>
      <c r="U440" s="37" t="e">
        <f t="shared" si="20"/>
        <v>#VALUE!</v>
      </c>
    </row>
    <row r="441" spans="1:21" x14ac:dyDescent="0.25">
      <c r="A441" s="31" t="str">
        <f>IF(Table!A441 = "","",Table!A441)</f>
        <v/>
      </c>
      <c r="B441" s="31" t="str">
        <f>IF(Table!B441 = "","",Table!B441)</f>
        <v/>
      </c>
      <c r="C441" s="31" t="str">
        <f>IF(Table!C441 = "","",Table!C441)</f>
        <v/>
      </c>
      <c r="D441" s="32" t="str">
        <f>IF(Table!D441 = "","",Table!D441)</f>
        <v/>
      </c>
      <c r="E441" s="32" t="str">
        <f>IF(Table!E441 = "","",Table!E441)</f>
        <v/>
      </c>
      <c r="F441" s="32" t="str">
        <f>IF(Table!F441 = "","",Table!F441)</f>
        <v/>
      </c>
      <c r="G441" s="91"/>
      <c r="I441" s="84" t="str">
        <f>IFERROR(VLOOKUP(A441,Downlink!A:L,12,TRUE),"")</f>
        <v/>
      </c>
      <c r="K441" s="31" t="str">
        <f>IFERROR(VLOOKUP(A441,Table!$I$4:$O$3000,1,TRUE),"")</f>
        <v/>
      </c>
      <c r="L441" s="31" t="str">
        <f>IFERROR(INDEX(Table!I:O,MATCH(K441,Table!I:I,0),2),"")</f>
        <v/>
      </c>
      <c r="M441" s="31" t="str">
        <f>IFERROR(INDEX(Table!I:O,MATCH(K441,Table!I:I,0),3),"")</f>
        <v/>
      </c>
      <c r="N441" s="32" t="str">
        <f>IFERROR(INDEX(Table!I:O,MATCH(K441,Table!I:I,0),4),"")</f>
        <v/>
      </c>
      <c r="O441" s="32" t="str">
        <f>IFERROR(INDEX(Table!I:O,MATCH(K441,Table!I:I,0),5),"")</f>
        <v/>
      </c>
      <c r="P441" s="32" t="str">
        <f>IFERROR(INDEX(Table!I:O,MATCH(K441,Table!I:I,0),6),"")</f>
        <v/>
      </c>
      <c r="Q441" s="89" t="str">
        <f t="shared" si="18"/>
        <v/>
      </c>
      <c r="R441" s="89" t="str">
        <f t="shared" si="19"/>
        <v/>
      </c>
      <c r="S441" s="82"/>
      <c r="U441" s="37" t="e">
        <f t="shared" si="20"/>
        <v>#VALUE!</v>
      </c>
    </row>
    <row r="442" spans="1:21" x14ac:dyDescent="0.25">
      <c r="A442" s="31" t="str">
        <f>IF(Table!A442 = "","",Table!A442)</f>
        <v/>
      </c>
      <c r="B442" s="31" t="str">
        <f>IF(Table!B442 = "","",Table!B442)</f>
        <v/>
      </c>
      <c r="C442" s="31" t="str">
        <f>IF(Table!C442 = "","",Table!C442)</f>
        <v/>
      </c>
      <c r="D442" s="32" t="str">
        <f>IF(Table!D442 = "","",Table!D442)</f>
        <v/>
      </c>
      <c r="E442" s="32" t="str">
        <f>IF(Table!E442 = "","",Table!E442)</f>
        <v/>
      </c>
      <c r="F442" s="32" t="str">
        <f>IF(Table!F442 = "","",Table!F442)</f>
        <v/>
      </c>
      <c r="G442" s="91"/>
      <c r="I442" s="84" t="str">
        <f>IFERROR(VLOOKUP(A442,Downlink!A:L,12,TRUE),"")</f>
        <v/>
      </c>
      <c r="K442" s="31" t="str">
        <f>IFERROR(VLOOKUP(A442,Table!$I$4:$O$3000,1,TRUE),"")</f>
        <v/>
      </c>
      <c r="L442" s="31" t="str">
        <f>IFERROR(INDEX(Table!I:O,MATCH(K442,Table!I:I,0),2),"")</f>
        <v/>
      </c>
      <c r="M442" s="31" t="str">
        <f>IFERROR(INDEX(Table!I:O,MATCH(K442,Table!I:I,0),3),"")</f>
        <v/>
      </c>
      <c r="N442" s="32" t="str">
        <f>IFERROR(INDEX(Table!I:O,MATCH(K442,Table!I:I,0),4),"")</f>
        <v/>
      </c>
      <c r="O442" s="32" t="str">
        <f>IFERROR(INDEX(Table!I:O,MATCH(K442,Table!I:I,0),5),"")</f>
        <v/>
      </c>
      <c r="P442" s="32" t="str">
        <f>IFERROR(INDEX(Table!I:O,MATCH(K442,Table!I:I,0),6),"")</f>
        <v/>
      </c>
      <c r="Q442" s="89" t="str">
        <f t="shared" si="18"/>
        <v/>
      </c>
      <c r="R442" s="89" t="str">
        <f t="shared" si="19"/>
        <v/>
      </c>
      <c r="S442" s="82"/>
      <c r="U442" s="37" t="e">
        <f t="shared" si="20"/>
        <v>#VALUE!</v>
      </c>
    </row>
    <row r="443" spans="1:21" x14ac:dyDescent="0.25">
      <c r="A443" s="31" t="str">
        <f>IF(Table!A443 = "","",Table!A443)</f>
        <v/>
      </c>
      <c r="B443" s="31" t="str">
        <f>IF(Table!B443 = "","",Table!B443)</f>
        <v/>
      </c>
      <c r="C443" s="31" t="str">
        <f>IF(Table!C443 = "","",Table!C443)</f>
        <v/>
      </c>
      <c r="D443" s="32" t="str">
        <f>IF(Table!D443 = "","",Table!D443)</f>
        <v/>
      </c>
      <c r="E443" s="32" t="str">
        <f>IF(Table!E443 = "","",Table!E443)</f>
        <v/>
      </c>
      <c r="F443" s="32" t="str">
        <f>IF(Table!F443 = "","",Table!F443)</f>
        <v/>
      </c>
      <c r="G443" s="91"/>
      <c r="I443" s="84" t="str">
        <f>IFERROR(VLOOKUP(A443,Downlink!A:L,12,TRUE),"")</f>
        <v/>
      </c>
      <c r="K443" s="31" t="str">
        <f>IFERROR(VLOOKUP(A443,Table!$I$4:$O$3000,1,TRUE),"")</f>
        <v/>
      </c>
      <c r="L443" s="31" t="str">
        <f>IFERROR(INDEX(Table!I:O,MATCH(K443,Table!I:I,0),2),"")</f>
        <v/>
      </c>
      <c r="M443" s="31" t="str">
        <f>IFERROR(INDEX(Table!I:O,MATCH(K443,Table!I:I,0),3),"")</f>
        <v/>
      </c>
      <c r="N443" s="32" t="str">
        <f>IFERROR(INDEX(Table!I:O,MATCH(K443,Table!I:I,0),4),"")</f>
        <v/>
      </c>
      <c r="O443" s="32" t="str">
        <f>IFERROR(INDEX(Table!I:O,MATCH(K443,Table!I:I,0),5),"")</f>
        <v/>
      </c>
      <c r="P443" s="32" t="str">
        <f>IFERROR(INDEX(Table!I:O,MATCH(K443,Table!I:I,0),6),"")</f>
        <v/>
      </c>
      <c r="Q443" s="89" t="str">
        <f t="shared" si="18"/>
        <v/>
      </c>
      <c r="R443" s="89" t="str">
        <f t="shared" si="19"/>
        <v/>
      </c>
      <c r="S443" s="82"/>
      <c r="U443" s="37" t="e">
        <f t="shared" si="20"/>
        <v>#VALUE!</v>
      </c>
    </row>
    <row r="444" spans="1:21" x14ac:dyDescent="0.25">
      <c r="A444" s="31" t="str">
        <f>IF(Table!A444 = "","",Table!A444)</f>
        <v/>
      </c>
      <c r="B444" s="31" t="str">
        <f>IF(Table!B444 = "","",Table!B444)</f>
        <v/>
      </c>
      <c r="C444" s="31" t="str">
        <f>IF(Table!C444 = "","",Table!C444)</f>
        <v/>
      </c>
      <c r="D444" s="32" t="str">
        <f>IF(Table!D444 = "","",Table!D444)</f>
        <v/>
      </c>
      <c r="E444" s="32" t="str">
        <f>IF(Table!E444 = "","",Table!E444)</f>
        <v/>
      </c>
      <c r="F444" s="32" t="str">
        <f>IF(Table!F444 = "","",Table!F444)</f>
        <v/>
      </c>
      <c r="G444" s="91"/>
      <c r="I444" s="84" t="str">
        <f>IFERROR(VLOOKUP(A444,Downlink!A:L,12,TRUE),"")</f>
        <v/>
      </c>
      <c r="K444" s="31" t="str">
        <f>IFERROR(VLOOKUP(A444,Table!$I$4:$O$3000,1,TRUE),"")</f>
        <v/>
      </c>
      <c r="L444" s="31" t="str">
        <f>IFERROR(INDEX(Table!I:O,MATCH(K444,Table!I:I,0),2),"")</f>
        <v/>
      </c>
      <c r="M444" s="31" t="str">
        <f>IFERROR(INDEX(Table!I:O,MATCH(K444,Table!I:I,0),3),"")</f>
        <v/>
      </c>
      <c r="N444" s="32" t="str">
        <f>IFERROR(INDEX(Table!I:O,MATCH(K444,Table!I:I,0),4),"")</f>
        <v/>
      </c>
      <c r="O444" s="32" t="str">
        <f>IFERROR(INDEX(Table!I:O,MATCH(K444,Table!I:I,0),5),"")</f>
        <v/>
      </c>
      <c r="P444" s="32" t="str">
        <f>IFERROR(INDEX(Table!I:O,MATCH(K444,Table!I:I,0),6),"")</f>
        <v/>
      </c>
      <c r="Q444" s="89" t="str">
        <f t="shared" si="18"/>
        <v/>
      </c>
      <c r="R444" s="89" t="str">
        <f t="shared" si="19"/>
        <v/>
      </c>
      <c r="S444" s="82"/>
      <c r="U444" s="37" t="e">
        <f t="shared" si="20"/>
        <v>#VALUE!</v>
      </c>
    </row>
    <row r="445" spans="1:21" x14ac:dyDescent="0.25">
      <c r="A445" s="31" t="str">
        <f>IF(Table!A445 = "","",Table!A445)</f>
        <v/>
      </c>
      <c r="B445" s="31" t="str">
        <f>IF(Table!B445 = "","",Table!B445)</f>
        <v/>
      </c>
      <c r="C445" s="31" t="str">
        <f>IF(Table!C445 = "","",Table!C445)</f>
        <v/>
      </c>
      <c r="D445" s="32" t="str">
        <f>IF(Table!D445 = "","",Table!D445)</f>
        <v/>
      </c>
      <c r="E445" s="32" t="str">
        <f>IF(Table!E445 = "","",Table!E445)</f>
        <v/>
      </c>
      <c r="F445" s="32" t="str">
        <f>IF(Table!F445 = "","",Table!F445)</f>
        <v/>
      </c>
      <c r="G445" s="91"/>
      <c r="I445" s="84" t="str">
        <f>IFERROR(VLOOKUP(A445,Downlink!A:L,12,TRUE),"")</f>
        <v/>
      </c>
      <c r="K445" s="31" t="str">
        <f>IFERROR(VLOOKUP(A445,Table!$I$4:$O$3000,1,TRUE),"")</f>
        <v/>
      </c>
      <c r="L445" s="31" t="str">
        <f>IFERROR(INDEX(Table!I:O,MATCH(K445,Table!I:I,0),2),"")</f>
        <v/>
      </c>
      <c r="M445" s="31" t="str">
        <f>IFERROR(INDEX(Table!I:O,MATCH(K445,Table!I:I,0),3),"")</f>
        <v/>
      </c>
      <c r="N445" s="32" t="str">
        <f>IFERROR(INDEX(Table!I:O,MATCH(K445,Table!I:I,0),4),"")</f>
        <v/>
      </c>
      <c r="O445" s="32" t="str">
        <f>IFERROR(INDEX(Table!I:O,MATCH(K445,Table!I:I,0),5),"")</f>
        <v/>
      </c>
      <c r="P445" s="32" t="str">
        <f>IFERROR(INDEX(Table!I:O,MATCH(K445,Table!I:I,0),6),"")</f>
        <v/>
      </c>
      <c r="Q445" s="89" t="str">
        <f t="shared" si="18"/>
        <v/>
      </c>
      <c r="R445" s="89" t="str">
        <f t="shared" si="19"/>
        <v/>
      </c>
      <c r="S445" s="82"/>
      <c r="U445" s="37" t="e">
        <f t="shared" si="20"/>
        <v>#VALUE!</v>
      </c>
    </row>
    <row r="446" spans="1:21" x14ac:dyDescent="0.25">
      <c r="A446" s="31" t="str">
        <f>IF(Table!A446 = "","",Table!A446)</f>
        <v/>
      </c>
      <c r="B446" s="31" t="str">
        <f>IF(Table!B446 = "","",Table!B446)</f>
        <v/>
      </c>
      <c r="C446" s="31" t="str">
        <f>IF(Table!C446 = "","",Table!C446)</f>
        <v/>
      </c>
      <c r="D446" s="32" t="str">
        <f>IF(Table!D446 = "","",Table!D446)</f>
        <v/>
      </c>
      <c r="E446" s="32" t="str">
        <f>IF(Table!E446 = "","",Table!E446)</f>
        <v/>
      </c>
      <c r="F446" s="32" t="str">
        <f>IF(Table!F446 = "","",Table!F446)</f>
        <v/>
      </c>
      <c r="G446" s="91"/>
      <c r="I446" s="84" t="str">
        <f>IFERROR(VLOOKUP(A446,Downlink!A:L,12,TRUE),"")</f>
        <v/>
      </c>
      <c r="K446" s="31" t="str">
        <f>IFERROR(VLOOKUP(A446,Table!$I$4:$O$3000,1,TRUE),"")</f>
        <v/>
      </c>
      <c r="L446" s="31" t="str">
        <f>IFERROR(INDEX(Table!I:O,MATCH(K446,Table!I:I,0),2),"")</f>
        <v/>
      </c>
      <c r="M446" s="31" t="str">
        <f>IFERROR(INDEX(Table!I:O,MATCH(K446,Table!I:I,0),3),"")</f>
        <v/>
      </c>
      <c r="N446" s="32" t="str">
        <f>IFERROR(INDEX(Table!I:O,MATCH(K446,Table!I:I,0),4),"")</f>
        <v/>
      </c>
      <c r="O446" s="32" t="str">
        <f>IFERROR(INDEX(Table!I:O,MATCH(K446,Table!I:I,0),5),"")</f>
        <v/>
      </c>
      <c r="P446" s="32" t="str">
        <f>IFERROR(INDEX(Table!I:O,MATCH(K446,Table!I:I,0),6),"")</f>
        <v/>
      </c>
      <c r="Q446" s="89" t="str">
        <f t="shared" si="18"/>
        <v/>
      </c>
      <c r="R446" s="89" t="str">
        <f t="shared" si="19"/>
        <v/>
      </c>
      <c r="S446" s="82"/>
      <c r="U446" s="37" t="e">
        <f t="shared" si="20"/>
        <v>#VALUE!</v>
      </c>
    </row>
    <row r="447" spans="1:21" x14ac:dyDescent="0.25">
      <c r="A447" s="31" t="str">
        <f>IF(Table!A447 = "","",Table!A447)</f>
        <v/>
      </c>
      <c r="B447" s="31" t="str">
        <f>IF(Table!B447 = "","",Table!B447)</f>
        <v/>
      </c>
      <c r="C447" s="31" t="str">
        <f>IF(Table!C447 = "","",Table!C447)</f>
        <v/>
      </c>
      <c r="D447" s="32" t="str">
        <f>IF(Table!D447 = "","",Table!D447)</f>
        <v/>
      </c>
      <c r="E447" s="32" t="str">
        <f>IF(Table!E447 = "","",Table!E447)</f>
        <v/>
      </c>
      <c r="F447" s="32" t="str">
        <f>IF(Table!F447 = "","",Table!F447)</f>
        <v/>
      </c>
      <c r="G447" s="91"/>
      <c r="I447" s="84" t="str">
        <f>IFERROR(VLOOKUP(A447,Downlink!A:L,12,TRUE),"")</f>
        <v/>
      </c>
      <c r="K447" s="31" t="str">
        <f>IFERROR(VLOOKUP(A447,Table!$I$4:$O$3000,1,TRUE),"")</f>
        <v/>
      </c>
      <c r="L447" s="31" t="str">
        <f>IFERROR(INDEX(Table!I:O,MATCH(K447,Table!I:I,0),2),"")</f>
        <v/>
      </c>
      <c r="M447" s="31" t="str">
        <f>IFERROR(INDEX(Table!I:O,MATCH(K447,Table!I:I,0),3),"")</f>
        <v/>
      </c>
      <c r="N447" s="32" t="str">
        <f>IFERROR(INDEX(Table!I:O,MATCH(K447,Table!I:I,0),4),"")</f>
        <v/>
      </c>
      <c r="O447" s="32" t="str">
        <f>IFERROR(INDEX(Table!I:O,MATCH(K447,Table!I:I,0),5),"")</f>
        <v/>
      </c>
      <c r="P447" s="32" t="str">
        <f>IFERROR(INDEX(Table!I:O,MATCH(K447,Table!I:I,0),6),"")</f>
        <v/>
      </c>
      <c r="Q447" s="89" t="str">
        <f t="shared" si="18"/>
        <v/>
      </c>
      <c r="R447" s="89" t="str">
        <f t="shared" si="19"/>
        <v/>
      </c>
      <c r="S447" s="82"/>
      <c r="U447" s="37" t="e">
        <f t="shared" si="20"/>
        <v>#VALUE!</v>
      </c>
    </row>
    <row r="448" spans="1:21" x14ac:dyDescent="0.25">
      <c r="A448" s="31" t="str">
        <f>IF(Table!A448 = "","",Table!A448)</f>
        <v/>
      </c>
      <c r="B448" s="31" t="str">
        <f>IF(Table!B448 = "","",Table!B448)</f>
        <v/>
      </c>
      <c r="C448" s="31" t="str">
        <f>IF(Table!C448 = "","",Table!C448)</f>
        <v/>
      </c>
      <c r="D448" s="32" t="str">
        <f>IF(Table!D448 = "","",Table!D448)</f>
        <v/>
      </c>
      <c r="E448" s="32" t="str">
        <f>IF(Table!E448 = "","",Table!E448)</f>
        <v/>
      </c>
      <c r="F448" s="32" t="str">
        <f>IF(Table!F448 = "","",Table!F448)</f>
        <v/>
      </c>
      <c r="G448" s="91"/>
      <c r="I448" s="84" t="str">
        <f>IFERROR(VLOOKUP(A448,Downlink!A:L,12,TRUE),"")</f>
        <v/>
      </c>
      <c r="K448" s="31" t="str">
        <f>IFERROR(VLOOKUP(A448,Table!$I$4:$O$3000,1,TRUE),"")</f>
        <v/>
      </c>
      <c r="L448" s="31" t="str">
        <f>IFERROR(INDEX(Table!I:O,MATCH(K448,Table!I:I,0),2),"")</f>
        <v/>
      </c>
      <c r="M448" s="31" t="str">
        <f>IFERROR(INDEX(Table!I:O,MATCH(K448,Table!I:I,0),3),"")</f>
        <v/>
      </c>
      <c r="N448" s="32" t="str">
        <f>IFERROR(INDEX(Table!I:O,MATCH(K448,Table!I:I,0),4),"")</f>
        <v/>
      </c>
      <c r="O448" s="32" t="str">
        <f>IFERROR(INDEX(Table!I:O,MATCH(K448,Table!I:I,0),5),"")</f>
        <v/>
      </c>
      <c r="P448" s="32" t="str">
        <f>IFERROR(INDEX(Table!I:O,MATCH(K448,Table!I:I,0),6),"")</f>
        <v/>
      </c>
      <c r="Q448" s="89" t="str">
        <f t="shared" si="18"/>
        <v/>
      </c>
      <c r="R448" s="89" t="str">
        <f t="shared" si="19"/>
        <v/>
      </c>
      <c r="S448" s="82"/>
      <c r="U448" s="37" t="e">
        <f t="shared" si="20"/>
        <v>#VALUE!</v>
      </c>
    </row>
    <row r="449" spans="1:21" x14ac:dyDescent="0.25">
      <c r="A449" s="31" t="str">
        <f>IF(Table!A449 = "","",Table!A449)</f>
        <v/>
      </c>
      <c r="B449" s="31" t="str">
        <f>IF(Table!B449 = "","",Table!B449)</f>
        <v/>
      </c>
      <c r="C449" s="31" t="str">
        <f>IF(Table!C449 = "","",Table!C449)</f>
        <v/>
      </c>
      <c r="D449" s="32" t="str">
        <f>IF(Table!D449 = "","",Table!D449)</f>
        <v/>
      </c>
      <c r="E449" s="32" t="str">
        <f>IF(Table!E449 = "","",Table!E449)</f>
        <v/>
      </c>
      <c r="F449" s="32" t="str">
        <f>IF(Table!F449 = "","",Table!F449)</f>
        <v/>
      </c>
      <c r="G449" s="91"/>
      <c r="I449" s="84" t="str">
        <f>IFERROR(VLOOKUP(A449,Downlink!A:L,12,TRUE),"")</f>
        <v/>
      </c>
      <c r="K449" s="31" t="str">
        <f>IFERROR(VLOOKUP(A449,Table!$I$4:$O$3000,1,TRUE),"")</f>
        <v/>
      </c>
      <c r="L449" s="31" t="str">
        <f>IFERROR(INDEX(Table!I:O,MATCH(K449,Table!I:I,0),2),"")</f>
        <v/>
      </c>
      <c r="M449" s="31" t="str">
        <f>IFERROR(INDEX(Table!I:O,MATCH(K449,Table!I:I,0),3),"")</f>
        <v/>
      </c>
      <c r="N449" s="32" t="str">
        <f>IFERROR(INDEX(Table!I:O,MATCH(K449,Table!I:I,0),4),"")</f>
        <v/>
      </c>
      <c r="O449" s="32" t="str">
        <f>IFERROR(INDEX(Table!I:O,MATCH(K449,Table!I:I,0),5),"")</f>
        <v/>
      </c>
      <c r="P449" s="32" t="str">
        <f>IFERROR(INDEX(Table!I:O,MATCH(K449,Table!I:I,0),6),"")</f>
        <v/>
      </c>
      <c r="Q449" s="89" t="str">
        <f t="shared" si="18"/>
        <v/>
      </c>
      <c r="R449" s="89" t="str">
        <f t="shared" si="19"/>
        <v/>
      </c>
      <c r="S449" s="82"/>
      <c r="U449" s="37" t="e">
        <f t="shared" si="20"/>
        <v>#VALUE!</v>
      </c>
    </row>
    <row r="450" spans="1:21" x14ac:dyDescent="0.25">
      <c r="A450" s="31" t="str">
        <f>IF(Table!A450 = "","",Table!A450)</f>
        <v/>
      </c>
      <c r="B450" s="31" t="str">
        <f>IF(Table!B450 = "","",Table!B450)</f>
        <v/>
      </c>
      <c r="C450" s="31" t="str">
        <f>IF(Table!C450 = "","",Table!C450)</f>
        <v/>
      </c>
      <c r="D450" s="32" t="str">
        <f>IF(Table!D450 = "","",Table!D450)</f>
        <v/>
      </c>
      <c r="E450" s="32" t="str">
        <f>IF(Table!E450 = "","",Table!E450)</f>
        <v/>
      </c>
      <c r="F450" s="32" t="str">
        <f>IF(Table!F450 = "","",Table!F450)</f>
        <v/>
      </c>
      <c r="G450" s="91"/>
      <c r="I450" s="84" t="str">
        <f>IFERROR(VLOOKUP(A450,Downlink!A:L,12,TRUE),"")</f>
        <v/>
      </c>
      <c r="K450" s="31" t="str">
        <f>IFERROR(VLOOKUP(A450,Table!$I$4:$O$3000,1,TRUE),"")</f>
        <v/>
      </c>
      <c r="L450" s="31" t="str">
        <f>IFERROR(INDEX(Table!I:O,MATCH(K450,Table!I:I,0),2),"")</f>
        <v/>
      </c>
      <c r="M450" s="31" t="str">
        <f>IFERROR(INDEX(Table!I:O,MATCH(K450,Table!I:I,0),3),"")</f>
        <v/>
      </c>
      <c r="N450" s="32" t="str">
        <f>IFERROR(INDEX(Table!I:O,MATCH(K450,Table!I:I,0),4),"")</f>
        <v/>
      </c>
      <c r="O450" s="32" t="str">
        <f>IFERROR(INDEX(Table!I:O,MATCH(K450,Table!I:I,0),5),"")</f>
        <v/>
      </c>
      <c r="P450" s="32" t="str">
        <f>IFERROR(INDEX(Table!I:O,MATCH(K450,Table!I:I,0),6),"")</f>
        <v/>
      </c>
      <c r="Q450" s="89" t="str">
        <f t="shared" si="18"/>
        <v/>
      </c>
      <c r="R450" s="89" t="str">
        <f t="shared" si="19"/>
        <v/>
      </c>
      <c r="S450" s="82"/>
      <c r="U450" s="37" t="e">
        <f t="shared" si="20"/>
        <v>#VALUE!</v>
      </c>
    </row>
    <row r="451" spans="1:21" x14ac:dyDescent="0.25">
      <c r="A451" s="31" t="str">
        <f>IF(Table!A451 = "","",Table!A451)</f>
        <v/>
      </c>
      <c r="B451" s="31" t="str">
        <f>IF(Table!B451 = "","",Table!B451)</f>
        <v/>
      </c>
      <c r="C451" s="31" t="str">
        <f>IF(Table!C451 = "","",Table!C451)</f>
        <v/>
      </c>
      <c r="D451" s="32" t="str">
        <f>IF(Table!D451 = "","",Table!D451)</f>
        <v/>
      </c>
      <c r="E451" s="32" t="str">
        <f>IF(Table!E451 = "","",Table!E451)</f>
        <v/>
      </c>
      <c r="F451" s="32" t="str">
        <f>IF(Table!F451 = "","",Table!F451)</f>
        <v/>
      </c>
      <c r="G451" s="91"/>
      <c r="I451" s="84" t="str">
        <f>IFERROR(VLOOKUP(A451,Downlink!A:L,12,TRUE),"")</f>
        <v/>
      </c>
      <c r="K451" s="31" t="str">
        <f>IFERROR(VLOOKUP(A451,Table!$I$4:$O$3000,1,TRUE),"")</f>
        <v/>
      </c>
      <c r="L451" s="31" t="str">
        <f>IFERROR(INDEX(Table!I:O,MATCH(K451,Table!I:I,0),2),"")</f>
        <v/>
      </c>
      <c r="M451" s="31" t="str">
        <f>IFERROR(INDEX(Table!I:O,MATCH(K451,Table!I:I,0),3),"")</f>
        <v/>
      </c>
      <c r="N451" s="32" t="str">
        <f>IFERROR(INDEX(Table!I:O,MATCH(K451,Table!I:I,0),4),"")</f>
        <v/>
      </c>
      <c r="O451" s="32" t="str">
        <f>IFERROR(INDEX(Table!I:O,MATCH(K451,Table!I:I,0),5),"")</f>
        <v/>
      </c>
      <c r="P451" s="32" t="str">
        <f>IFERROR(INDEX(Table!I:O,MATCH(K451,Table!I:I,0),6),"")</f>
        <v/>
      </c>
      <c r="Q451" s="89" t="str">
        <f t="shared" si="18"/>
        <v/>
      </c>
      <c r="R451" s="89" t="str">
        <f t="shared" si="19"/>
        <v/>
      </c>
      <c r="S451" s="82"/>
      <c r="U451" s="37" t="e">
        <f t="shared" si="20"/>
        <v>#VALUE!</v>
      </c>
    </row>
    <row r="452" spans="1:21" x14ac:dyDescent="0.25">
      <c r="A452" s="31" t="str">
        <f>IF(Table!A452 = "","",Table!A452)</f>
        <v/>
      </c>
      <c r="B452" s="31" t="str">
        <f>IF(Table!B452 = "","",Table!B452)</f>
        <v/>
      </c>
      <c r="C452" s="31" t="str">
        <f>IF(Table!C452 = "","",Table!C452)</f>
        <v/>
      </c>
      <c r="D452" s="32" t="str">
        <f>IF(Table!D452 = "","",Table!D452)</f>
        <v/>
      </c>
      <c r="E452" s="32" t="str">
        <f>IF(Table!E452 = "","",Table!E452)</f>
        <v/>
      </c>
      <c r="F452" s="32" t="str">
        <f>IF(Table!F452 = "","",Table!F452)</f>
        <v/>
      </c>
      <c r="G452" s="91"/>
      <c r="I452" s="84" t="str">
        <f>IFERROR(VLOOKUP(A452,Downlink!A:L,12,TRUE),"")</f>
        <v/>
      </c>
      <c r="K452" s="31" t="str">
        <f>IFERROR(VLOOKUP(A452,Table!$I$4:$O$3000,1,TRUE),"")</f>
        <v/>
      </c>
      <c r="L452" s="31" t="str">
        <f>IFERROR(INDEX(Table!I:O,MATCH(K452,Table!I:I,0),2),"")</f>
        <v/>
      </c>
      <c r="M452" s="31" t="str">
        <f>IFERROR(INDEX(Table!I:O,MATCH(K452,Table!I:I,0),3),"")</f>
        <v/>
      </c>
      <c r="N452" s="32" t="str">
        <f>IFERROR(INDEX(Table!I:O,MATCH(K452,Table!I:I,0),4),"")</f>
        <v/>
      </c>
      <c r="O452" s="32" t="str">
        <f>IFERROR(INDEX(Table!I:O,MATCH(K452,Table!I:I,0),5),"")</f>
        <v/>
      </c>
      <c r="P452" s="32" t="str">
        <f>IFERROR(INDEX(Table!I:O,MATCH(K452,Table!I:I,0),6),"")</f>
        <v/>
      </c>
      <c r="Q452" s="89" t="str">
        <f t="shared" si="18"/>
        <v/>
      </c>
      <c r="R452" s="89" t="str">
        <f t="shared" si="19"/>
        <v/>
      </c>
      <c r="S452" s="82"/>
      <c r="U452" s="37" t="e">
        <f t="shared" si="20"/>
        <v>#VALUE!</v>
      </c>
    </row>
    <row r="453" spans="1:21" x14ac:dyDescent="0.25">
      <c r="A453" s="31" t="str">
        <f>IF(Table!A453 = "","",Table!A453)</f>
        <v/>
      </c>
      <c r="B453" s="31" t="str">
        <f>IF(Table!B453 = "","",Table!B453)</f>
        <v/>
      </c>
      <c r="C453" s="31" t="str">
        <f>IF(Table!C453 = "","",Table!C453)</f>
        <v/>
      </c>
      <c r="D453" s="32" t="str">
        <f>IF(Table!D453 = "","",Table!D453)</f>
        <v/>
      </c>
      <c r="E453" s="32" t="str">
        <f>IF(Table!E453 = "","",Table!E453)</f>
        <v/>
      </c>
      <c r="F453" s="32" t="str">
        <f>IF(Table!F453 = "","",Table!F453)</f>
        <v/>
      </c>
      <c r="G453" s="91"/>
      <c r="I453" s="84" t="str">
        <f>IFERROR(VLOOKUP(A453,Downlink!A:L,12,TRUE),"")</f>
        <v/>
      </c>
      <c r="K453" s="31" t="str">
        <f>IFERROR(VLOOKUP(A453,Table!$I$4:$O$3000,1,TRUE),"")</f>
        <v/>
      </c>
      <c r="L453" s="31" t="str">
        <f>IFERROR(INDEX(Table!I:O,MATCH(K453,Table!I:I,0),2),"")</f>
        <v/>
      </c>
      <c r="M453" s="31" t="str">
        <f>IFERROR(INDEX(Table!I:O,MATCH(K453,Table!I:I,0),3),"")</f>
        <v/>
      </c>
      <c r="N453" s="32" t="str">
        <f>IFERROR(INDEX(Table!I:O,MATCH(K453,Table!I:I,0),4),"")</f>
        <v/>
      </c>
      <c r="O453" s="32" t="str">
        <f>IFERROR(INDEX(Table!I:O,MATCH(K453,Table!I:I,0),5),"")</f>
        <v/>
      </c>
      <c r="P453" s="32" t="str">
        <f>IFERROR(INDEX(Table!I:O,MATCH(K453,Table!I:I,0),6),"")</f>
        <v/>
      </c>
      <c r="Q453" s="89" t="str">
        <f t="shared" si="18"/>
        <v/>
      </c>
      <c r="R453" s="89" t="str">
        <f t="shared" si="19"/>
        <v/>
      </c>
      <c r="S453" s="82"/>
      <c r="U453" s="37" t="e">
        <f t="shared" si="20"/>
        <v>#VALUE!</v>
      </c>
    </row>
    <row r="454" spans="1:21" x14ac:dyDescent="0.25">
      <c r="A454" s="31" t="str">
        <f>IF(Table!A454 = "","",Table!A454)</f>
        <v/>
      </c>
      <c r="B454" s="31" t="str">
        <f>IF(Table!B454 = "","",Table!B454)</f>
        <v/>
      </c>
      <c r="C454" s="31" t="str">
        <f>IF(Table!C454 = "","",Table!C454)</f>
        <v/>
      </c>
      <c r="D454" s="32" t="str">
        <f>IF(Table!D454 = "","",Table!D454)</f>
        <v/>
      </c>
      <c r="E454" s="32" t="str">
        <f>IF(Table!E454 = "","",Table!E454)</f>
        <v/>
      </c>
      <c r="F454" s="32" t="str">
        <f>IF(Table!F454 = "","",Table!F454)</f>
        <v/>
      </c>
      <c r="G454" s="91"/>
      <c r="I454" s="84" t="str">
        <f>IFERROR(VLOOKUP(A454,Downlink!A:L,12,TRUE),"")</f>
        <v/>
      </c>
      <c r="K454" s="31" t="str">
        <f>IFERROR(VLOOKUP(A454,Table!$I$4:$O$3000,1,TRUE),"")</f>
        <v/>
      </c>
      <c r="L454" s="31" t="str">
        <f>IFERROR(INDEX(Table!I:O,MATCH(K454,Table!I:I,0),2),"")</f>
        <v/>
      </c>
      <c r="M454" s="31" t="str">
        <f>IFERROR(INDEX(Table!I:O,MATCH(K454,Table!I:I,0),3),"")</f>
        <v/>
      </c>
      <c r="N454" s="32" t="str">
        <f>IFERROR(INDEX(Table!I:O,MATCH(K454,Table!I:I,0),4),"")</f>
        <v/>
      </c>
      <c r="O454" s="32" t="str">
        <f>IFERROR(INDEX(Table!I:O,MATCH(K454,Table!I:I,0),5),"")</f>
        <v/>
      </c>
      <c r="P454" s="32" t="str">
        <f>IFERROR(INDEX(Table!I:O,MATCH(K454,Table!I:I,0),6),"")</f>
        <v/>
      </c>
      <c r="Q454" s="89" t="str">
        <f t="shared" ref="Q454:Q517" si="21">IFERROR(L454-B454,"")</f>
        <v/>
      </c>
      <c r="R454" s="89" t="str">
        <f t="shared" ref="R454:R517" si="22">IFERROR(M454-C454,"")</f>
        <v/>
      </c>
      <c r="S454" s="82"/>
      <c r="U454" s="37" t="e">
        <f t="shared" ref="U454:U517" si="23">K454-K453</f>
        <v>#VALUE!</v>
      </c>
    </row>
    <row r="455" spans="1:21" x14ac:dyDescent="0.25">
      <c r="A455" s="31" t="str">
        <f>IF(Table!A455 = "","",Table!A455)</f>
        <v/>
      </c>
      <c r="B455" s="31" t="str">
        <f>IF(Table!B455 = "","",Table!B455)</f>
        <v/>
      </c>
      <c r="C455" s="31" t="str">
        <f>IF(Table!C455 = "","",Table!C455)</f>
        <v/>
      </c>
      <c r="D455" s="32" t="str">
        <f>IF(Table!D455 = "","",Table!D455)</f>
        <v/>
      </c>
      <c r="E455" s="32" t="str">
        <f>IF(Table!E455 = "","",Table!E455)</f>
        <v/>
      </c>
      <c r="F455" s="32" t="str">
        <f>IF(Table!F455 = "","",Table!F455)</f>
        <v/>
      </c>
      <c r="G455" s="91"/>
      <c r="I455" s="84" t="str">
        <f>IFERROR(VLOOKUP(A455,Downlink!A:L,12,TRUE),"")</f>
        <v/>
      </c>
      <c r="K455" s="31" t="str">
        <f>IFERROR(VLOOKUP(A455,Table!$I$4:$O$3000,1,TRUE),"")</f>
        <v/>
      </c>
      <c r="L455" s="31" t="str">
        <f>IFERROR(INDEX(Table!I:O,MATCH(K455,Table!I:I,0),2),"")</f>
        <v/>
      </c>
      <c r="M455" s="31" t="str">
        <f>IFERROR(INDEX(Table!I:O,MATCH(K455,Table!I:I,0),3),"")</f>
        <v/>
      </c>
      <c r="N455" s="32" t="str">
        <f>IFERROR(INDEX(Table!I:O,MATCH(K455,Table!I:I,0),4),"")</f>
        <v/>
      </c>
      <c r="O455" s="32" t="str">
        <f>IFERROR(INDEX(Table!I:O,MATCH(K455,Table!I:I,0),5),"")</f>
        <v/>
      </c>
      <c r="P455" s="32" t="str">
        <f>IFERROR(INDEX(Table!I:O,MATCH(K455,Table!I:I,0),6),"")</f>
        <v/>
      </c>
      <c r="Q455" s="89" t="str">
        <f t="shared" si="21"/>
        <v/>
      </c>
      <c r="R455" s="89" t="str">
        <f t="shared" si="22"/>
        <v/>
      </c>
      <c r="S455" s="82"/>
      <c r="U455" s="37" t="e">
        <f t="shared" si="23"/>
        <v>#VALUE!</v>
      </c>
    </row>
    <row r="456" spans="1:21" x14ac:dyDescent="0.25">
      <c r="A456" s="31" t="str">
        <f>IF(Table!A456 = "","",Table!A456)</f>
        <v/>
      </c>
      <c r="B456" s="31" t="str">
        <f>IF(Table!B456 = "","",Table!B456)</f>
        <v/>
      </c>
      <c r="C456" s="31" t="str">
        <f>IF(Table!C456 = "","",Table!C456)</f>
        <v/>
      </c>
      <c r="D456" s="32" t="str">
        <f>IF(Table!D456 = "","",Table!D456)</f>
        <v/>
      </c>
      <c r="E456" s="32" t="str">
        <f>IF(Table!E456 = "","",Table!E456)</f>
        <v/>
      </c>
      <c r="F456" s="32" t="str">
        <f>IF(Table!F456 = "","",Table!F456)</f>
        <v/>
      </c>
      <c r="G456" s="91"/>
      <c r="I456" s="84" t="str">
        <f>IFERROR(VLOOKUP(A456,Downlink!A:L,12,TRUE),"")</f>
        <v/>
      </c>
      <c r="K456" s="31" t="str">
        <f>IFERROR(VLOOKUP(A456,Table!$I$4:$O$3000,1,TRUE),"")</f>
        <v/>
      </c>
      <c r="L456" s="31" t="str">
        <f>IFERROR(INDEX(Table!I:O,MATCH(K456,Table!I:I,0),2),"")</f>
        <v/>
      </c>
      <c r="M456" s="31" t="str">
        <f>IFERROR(INDEX(Table!I:O,MATCH(K456,Table!I:I,0),3),"")</f>
        <v/>
      </c>
      <c r="N456" s="32" t="str">
        <f>IFERROR(INDEX(Table!I:O,MATCH(K456,Table!I:I,0),4),"")</f>
        <v/>
      </c>
      <c r="O456" s="32" t="str">
        <f>IFERROR(INDEX(Table!I:O,MATCH(K456,Table!I:I,0),5),"")</f>
        <v/>
      </c>
      <c r="P456" s="32" t="str">
        <f>IFERROR(INDEX(Table!I:O,MATCH(K456,Table!I:I,0),6),"")</f>
        <v/>
      </c>
      <c r="Q456" s="89" t="str">
        <f t="shared" si="21"/>
        <v/>
      </c>
      <c r="R456" s="89" t="str">
        <f t="shared" si="22"/>
        <v/>
      </c>
      <c r="S456" s="82"/>
      <c r="U456" s="37" t="e">
        <f t="shared" si="23"/>
        <v>#VALUE!</v>
      </c>
    </row>
    <row r="457" spans="1:21" x14ac:dyDescent="0.25">
      <c r="A457" s="31" t="str">
        <f>IF(Table!A457 = "","",Table!A457)</f>
        <v/>
      </c>
      <c r="B457" s="31" t="str">
        <f>IF(Table!B457 = "","",Table!B457)</f>
        <v/>
      </c>
      <c r="C457" s="31" t="str">
        <f>IF(Table!C457 = "","",Table!C457)</f>
        <v/>
      </c>
      <c r="D457" s="32" t="str">
        <f>IF(Table!D457 = "","",Table!D457)</f>
        <v/>
      </c>
      <c r="E457" s="32" t="str">
        <f>IF(Table!E457 = "","",Table!E457)</f>
        <v/>
      </c>
      <c r="F457" s="32" t="str">
        <f>IF(Table!F457 = "","",Table!F457)</f>
        <v/>
      </c>
      <c r="G457" s="91"/>
      <c r="I457" s="84" t="str">
        <f>IFERROR(VLOOKUP(A457,Downlink!A:L,12,TRUE),"")</f>
        <v/>
      </c>
      <c r="K457" s="31" t="str">
        <f>IFERROR(VLOOKUP(A457,Table!$I$4:$O$3000,1,TRUE),"")</f>
        <v/>
      </c>
      <c r="L457" s="31" t="str">
        <f>IFERROR(INDEX(Table!I:O,MATCH(K457,Table!I:I,0),2),"")</f>
        <v/>
      </c>
      <c r="M457" s="31" t="str">
        <f>IFERROR(INDEX(Table!I:O,MATCH(K457,Table!I:I,0),3),"")</f>
        <v/>
      </c>
      <c r="N457" s="32" t="str">
        <f>IFERROR(INDEX(Table!I:O,MATCH(K457,Table!I:I,0),4),"")</f>
        <v/>
      </c>
      <c r="O457" s="32" t="str">
        <f>IFERROR(INDEX(Table!I:O,MATCH(K457,Table!I:I,0),5),"")</f>
        <v/>
      </c>
      <c r="P457" s="32" t="str">
        <f>IFERROR(INDEX(Table!I:O,MATCH(K457,Table!I:I,0),6),"")</f>
        <v/>
      </c>
      <c r="Q457" s="89" t="str">
        <f t="shared" si="21"/>
        <v/>
      </c>
      <c r="R457" s="89" t="str">
        <f t="shared" si="22"/>
        <v/>
      </c>
      <c r="S457" s="82"/>
      <c r="U457" s="37" t="e">
        <f t="shared" si="23"/>
        <v>#VALUE!</v>
      </c>
    </row>
    <row r="458" spans="1:21" x14ac:dyDescent="0.25">
      <c r="A458" s="31" t="str">
        <f>IF(Table!A458 = "","",Table!A458)</f>
        <v/>
      </c>
      <c r="B458" s="31" t="str">
        <f>IF(Table!B458 = "","",Table!B458)</f>
        <v/>
      </c>
      <c r="C458" s="31" t="str">
        <f>IF(Table!C458 = "","",Table!C458)</f>
        <v/>
      </c>
      <c r="D458" s="32" t="str">
        <f>IF(Table!D458 = "","",Table!D458)</f>
        <v/>
      </c>
      <c r="E458" s="32" t="str">
        <f>IF(Table!E458 = "","",Table!E458)</f>
        <v/>
      </c>
      <c r="F458" s="32" t="str">
        <f>IF(Table!F458 = "","",Table!F458)</f>
        <v/>
      </c>
      <c r="G458" s="91"/>
      <c r="I458" s="84" t="str">
        <f>IFERROR(VLOOKUP(A458,Downlink!A:L,12,TRUE),"")</f>
        <v/>
      </c>
      <c r="K458" s="31" t="str">
        <f>IFERROR(VLOOKUP(A458,Table!$I$4:$O$3000,1,TRUE),"")</f>
        <v/>
      </c>
      <c r="L458" s="31" t="str">
        <f>IFERROR(INDEX(Table!I:O,MATCH(K458,Table!I:I,0),2),"")</f>
        <v/>
      </c>
      <c r="M458" s="31" t="str">
        <f>IFERROR(INDEX(Table!I:O,MATCH(K458,Table!I:I,0),3),"")</f>
        <v/>
      </c>
      <c r="N458" s="32" t="str">
        <f>IFERROR(INDEX(Table!I:O,MATCH(K458,Table!I:I,0),4),"")</f>
        <v/>
      </c>
      <c r="O458" s="32" t="str">
        <f>IFERROR(INDEX(Table!I:O,MATCH(K458,Table!I:I,0),5),"")</f>
        <v/>
      </c>
      <c r="P458" s="32" t="str">
        <f>IFERROR(INDEX(Table!I:O,MATCH(K458,Table!I:I,0),6),"")</f>
        <v/>
      </c>
      <c r="Q458" s="89" t="str">
        <f t="shared" si="21"/>
        <v/>
      </c>
      <c r="R458" s="89" t="str">
        <f t="shared" si="22"/>
        <v/>
      </c>
      <c r="S458" s="82"/>
      <c r="U458" s="37" t="e">
        <f t="shared" si="23"/>
        <v>#VALUE!</v>
      </c>
    </row>
    <row r="459" spans="1:21" x14ac:dyDescent="0.25">
      <c r="A459" s="31" t="str">
        <f>IF(Table!A459 = "","",Table!A459)</f>
        <v/>
      </c>
      <c r="B459" s="31" t="str">
        <f>IF(Table!B459 = "","",Table!B459)</f>
        <v/>
      </c>
      <c r="C459" s="31" t="str">
        <f>IF(Table!C459 = "","",Table!C459)</f>
        <v/>
      </c>
      <c r="D459" s="32" t="str">
        <f>IF(Table!D459 = "","",Table!D459)</f>
        <v/>
      </c>
      <c r="E459" s="32" t="str">
        <f>IF(Table!E459 = "","",Table!E459)</f>
        <v/>
      </c>
      <c r="F459" s="32" t="str">
        <f>IF(Table!F459 = "","",Table!F459)</f>
        <v/>
      </c>
      <c r="G459" s="91"/>
      <c r="I459" s="84" t="str">
        <f>IFERROR(VLOOKUP(A459,Downlink!A:L,12,TRUE),"")</f>
        <v/>
      </c>
      <c r="K459" s="31" t="str">
        <f>IFERROR(VLOOKUP(A459,Table!$I$4:$O$3000,1,TRUE),"")</f>
        <v/>
      </c>
      <c r="L459" s="31" t="str">
        <f>IFERROR(INDEX(Table!I:O,MATCH(K459,Table!I:I,0),2),"")</f>
        <v/>
      </c>
      <c r="M459" s="31" t="str">
        <f>IFERROR(INDEX(Table!I:O,MATCH(K459,Table!I:I,0),3),"")</f>
        <v/>
      </c>
      <c r="N459" s="32" t="str">
        <f>IFERROR(INDEX(Table!I:O,MATCH(K459,Table!I:I,0),4),"")</f>
        <v/>
      </c>
      <c r="O459" s="32" t="str">
        <f>IFERROR(INDEX(Table!I:O,MATCH(K459,Table!I:I,0),5),"")</f>
        <v/>
      </c>
      <c r="P459" s="32" t="str">
        <f>IFERROR(INDEX(Table!I:O,MATCH(K459,Table!I:I,0),6),"")</f>
        <v/>
      </c>
      <c r="Q459" s="89" t="str">
        <f t="shared" si="21"/>
        <v/>
      </c>
      <c r="R459" s="89" t="str">
        <f t="shared" si="22"/>
        <v/>
      </c>
      <c r="S459" s="82"/>
      <c r="U459" s="37" t="e">
        <f t="shared" si="23"/>
        <v>#VALUE!</v>
      </c>
    </row>
    <row r="460" spans="1:21" x14ac:dyDescent="0.25">
      <c r="A460" s="31" t="str">
        <f>IF(Table!A460 = "","",Table!A460)</f>
        <v/>
      </c>
      <c r="B460" s="31" t="str">
        <f>IF(Table!B460 = "","",Table!B460)</f>
        <v/>
      </c>
      <c r="C460" s="31" t="str">
        <f>IF(Table!C460 = "","",Table!C460)</f>
        <v/>
      </c>
      <c r="D460" s="32" t="str">
        <f>IF(Table!D460 = "","",Table!D460)</f>
        <v/>
      </c>
      <c r="E460" s="32" t="str">
        <f>IF(Table!E460 = "","",Table!E460)</f>
        <v/>
      </c>
      <c r="F460" s="32" t="str">
        <f>IF(Table!F460 = "","",Table!F460)</f>
        <v/>
      </c>
      <c r="G460" s="91"/>
      <c r="I460" s="84" t="str">
        <f>IFERROR(VLOOKUP(A460,Downlink!A:L,12,TRUE),"")</f>
        <v/>
      </c>
      <c r="K460" s="31" t="str">
        <f>IFERROR(VLOOKUP(A460,Table!$I$4:$O$3000,1,TRUE),"")</f>
        <v/>
      </c>
      <c r="L460" s="31" t="str">
        <f>IFERROR(INDEX(Table!I:O,MATCH(K460,Table!I:I,0),2),"")</f>
        <v/>
      </c>
      <c r="M460" s="31" t="str">
        <f>IFERROR(INDEX(Table!I:O,MATCH(K460,Table!I:I,0),3),"")</f>
        <v/>
      </c>
      <c r="N460" s="32" t="str">
        <f>IFERROR(INDEX(Table!I:O,MATCH(K460,Table!I:I,0),4),"")</f>
        <v/>
      </c>
      <c r="O460" s="32" t="str">
        <f>IFERROR(INDEX(Table!I:O,MATCH(K460,Table!I:I,0),5),"")</f>
        <v/>
      </c>
      <c r="P460" s="32" t="str">
        <f>IFERROR(INDEX(Table!I:O,MATCH(K460,Table!I:I,0),6),"")</f>
        <v/>
      </c>
      <c r="Q460" s="89" t="str">
        <f t="shared" si="21"/>
        <v/>
      </c>
      <c r="R460" s="89" t="str">
        <f t="shared" si="22"/>
        <v/>
      </c>
      <c r="S460" s="82"/>
      <c r="U460" s="37" t="e">
        <f t="shared" si="23"/>
        <v>#VALUE!</v>
      </c>
    </row>
    <row r="461" spans="1:21" x14ac:dyDescent="0.25">
      <c r="A461" s="31" t="str">
        <f>IF(Table!A461 = "","",Table!A461)</f>
        <v/>
      </c>
      <c r="B461" s="31" t="str">
        <f>IF(Table!B461 = "","",Table!B461)</f>
        <v/>
      </c>
      <c r="C461" s="31" t="str">
        <f>IF(Table!C461 = "","",Table!C461)</f>
        <v/>
      </c>
      <c r="D461" s="32" t="str">
        <f>IF(Table!D461 = "","",Table!D461)</f>
        <v/>
      </c>
      <c r="E461" s="32" t="str">
        <f>IF(Table!E461 = "","",Table!E461)</f>
        <v/>
      </c>
      <c r="F461" s="32" t="str">
        <f>IF(Table!F461 = "","",Table!F461)</f>
        <v/>
      </c>
      <c r="G461" s="91"/>
      <c r="I461" s="84" t="str">
        <f>IFERROR(VLOOKUP(A461,Downlink!A:L,12,TRUE),"")</f>
        <v/>
      </c>
      <c r="K461" s="31" t="str">
        <f>IFERROR(VLOOKUP(A461,Table!$I$4:$O$3000,1,TRUE),"")</f>
        <v/>
      </c>
      <c r="L461" s="31" t="str">
        <f>IFERROR(INDEX(Table!I:O,MATCH(K461,Table!I:I,0),2),"")</f>
        <v/>
      </c>
      <c r="M461" s="31" t="str">
        <f>IFERROR(INDEX(Table!I:O,MATCH(K461,Table!I:I,0),3),"")</f>
        <v/>
      </c>
      <c r="N461" s="32" t="str">
        <f>IFERROR(INDEX(Table!I:O,MATCH(K461,Table!I:I,0),4),"")</f>
        <v/>
      </c>
      <c r="O461" s="32" t="str">
        <f>IFERROR(INDEX(Table!I:O,MATCH(K461,Table!I:I,0),5),"")</f>
        <v/>
      </c>
      <c r="P461" s="32" t="str">
        <f>IFERROR(INDEX(Table!I:O,MATCH(K461,Table!I:I,0),6),"")</f>
        <v/>
      </c>
      <c r="Q461" s="89" t="str">
        <f t="shared" si="21"/>
        <v/>
      </c>
      <c r="R461" s="89" t="str">
        <f t="shared" si="22"/>
        <v/>
      </c>
      <c r="S461" s="82"/>
      <c r="U461" s="37" t="e">
        <f t="shared" si="23"/>
        <v>#VALUE!</v>
      </c>
    </row>
    <row r="462" spans="1:21" x14ac:dyDescent="0.25">
      <c r="A462" s="31" t="str">
        <f>IF(Table!A462 = "","",Table!A462)</f>
        <v/>
      </c>
      <c r="B462" s="31" t="str">
        <f>IF(Table!B462 = "","",Table!B462)</f>
        <v/>
      </c>
      <c r="C462" s="31" t="str">
        <f>IF(Table!C462 = "","",Table!C462)</f>
        <v/>
      </c>
      <c r="D462" s="32" t="str">
        <f>IF(Table!D462 = "","",Table!D462)</f>
        <v/>
      </c>
      <c r="E462" s="32" t="str">
        <f>IF(Table!E462 = "","",Table!E462)</f>
        <v/>
      </c>
      <c r="F462" s="32" t="str">
        <f>IF(Table!F462 = "","",Table!F462)</f>
        <v/>
      </c>
      <c r="G462" s="91"/>
      <c r="I462" s="84" t="str">
        <f>IFERROR(VLOOKUP(A462,Downlink!A:L,12,TRUE),"")</f>
        <v/>
      </c>
      <c r="K462" s="31" t="str">
        <f>IFERROR(VLOOKUP(A462,Table!$I$4:$O$3000,1,TRUE),"")</f>
        <v/>
      </c>
      <c r="L462" s="31" t="str">
        <f>IFERROR(INDEX(Table!I:O,MATCH(K462,Table!I:I,0),2),"")</f>
        <v/>
      </c>
      <c r="M462" s="31" t="str">
        <f>IFERROR(INDEX(Table!I:O,MATCH(K462,Table!I:I,0),3),"")</f>
        <v/>
      </c>
      <c r="N462" s="32" t="str">
        <f>IFERROR(INDEX(Table!I:O,MATCH(K462,Table!I:I,0),4),"")</f>
        <v/>
      </c>
      <c r="O462" s="32" t="str">
        <f>IFERROR(INDEX(Table!I:O,MATCH(K462,Table!I:I,0),5),"")</f>
        <v/>
      </c>
      <c r="P462" s="32" t="str">
        <f>IFERROR(INDEX(Table!I:O,MATCH(K462,Table!I:I,0),6),"")</f>
        <v/>
      </c>
      <c r="Q462" s="89" t="str">
        <f t="shared" si="21"/>
        <v/>
      </c>
      <c r="R462" s="89" t="str">
        <f t="shared" si="22"/>
        <v/>
      </c>
      <c r="S462" s="82"/>
      <c r="U462" s="37" t="e">
        <f t="shared" si="23"/>
        <v>#VALUE!</v>
      </c>
    </row>
    <row r="463" spans="1:21" x14ac:dyDescent="0.25">
      <c r="A463" s="31" t="str">
        <f>IF(Table!A463 = "","",Table!A463)</f>
        <v/>
      </c>
      <c r="B463" s="31" t="str">
        <f>IF(Table!B463 = "","",Table!B463)</f>
        <v/>
      </c>
      <c r="C463" s="31" t="str">
        <f>IF(Table!C463 = "","",Table!C463)</f>
        <v/>
      </c>
      <c r="D463" s="32" t="str">
        <f>IF(Table!D463 = "","",Table!D463)</f>
        <v/>
      </c>
      <c r="E463" s="32" t="str">
        <f>IF(Table!E463 = "","",Table!E463)</f>
        <v/>
      </c>
      <c r="F463" s="32" t="str">
        <f>IF(Table!F463 = "","",Table!F463)</f>
        <v/>
      </c>
      <c r="G463" s="91"/>
      <c r="I463" s="84" t="str">
        <f>IFERROR(VLOOKUP(A463,Downlink!A:L,12,TRUE),"")</f>
        <v/>
      </c>
      <c r="K463" s="31" t="str">
        <f>IFERROR(VLOOKUP(A463,Table!$I$4:$O$3000,1,TRUE),"")</f>
        <v/>
      </c>
      <c r="L463" s="31" t="str">
        <f>IFERROR(INDEX(Table!I:O,MATCH(K463,Table!I:I,0),2),"")</f>
        <v/>
      </c>
      <c r="M463" s="31" t="str">
        <f>IFERROR(INDEX(Table!I:O,MATCH(K463,Table!I:I,0),3),"")</f>
        <v/>
      </c>
      <c r="N463" s="32" t="str">
        <f>IFERROR(INDEX(Table!I:O,MATCH(K463,Table!I:I,0),4),"")</f>
        <v/>
      </c>
      <c r="O463" s="32" t="str">
        <f>IFERROR(INDEX(Table!I:O,MATCH(K463,Table!I:I,0),5),"")</f>
        <v/>
      </c>
      <c r="P463" s="32" t="str">
        <f>IFERROR(INDEX(Table!I:O,MATCH(K463,Table!I:I,0),6),"")</f>
        <v/>
      </c>
      <c r="Q463" s="89" t="str">
        <f t="shared" si="21"/>
        <v/>
      </c>
      <c r="R463" s="89" t="str">
        <f t="shared" si="22"/>
        <v/>
      </c>
      <c r="S463" s="82"/>
      <c r="U463" s="37" t="e">
        <f t="shared" si="23"/>
        <v>#VALUE!</v>
      </c>
    </row>
    <row r="464" spans="1:21" x14ac:dyDescent="0.25">
      <c r="A464" s="31" t="str">
        <f>IF(Table!A464 = "","",Table!A464)</f>
        <v/>
      </c>
      <c r="B464" s="31" t="str">
        <f>IF(Table!B464 = "","",Table!B464)</f>
        <v/>
      </c>
      <c r="C464" s="31" t="str">
        <f>IF(Table!C464 = "","",Table!C464)</f>
        <v/>
      </c>
      <c r="D464" s="32" t="str">
        <f>IF(Table!D464 = "","",Table!D464)</f>
        <v/>
      </c>
      <c r="E464" s="32" t="str">
        <f>IF(Table!E464 = "","",Table!E464)</f>
        <v/>
      </c>
      <c r="F464" s="32" t="str">
        <f>IF(Table!F464 = "","",Table!F464)</f>
        <v/>
      </c>
      <c r="G464" s="91"/>
      <c r="I464" s="84" t="str">
        <f>IFERROR(VLOOKUP(A464,Downlink!A:L,12,TRUE),"")</f>
        <v/>
      </c>
      <c r="K464" s="31" t="str">
        <f>IFERROR(VLOOKUP(A464,Table!$I$4:$O$3000,1,TRUE),"")</f>
        <v/>
      </c>
      <c r="L464" s="31" t="str">
        <f>IFERROR(INDEX(Table!I:O,MATCH(K464,Table!I:I,0),2),"")</f>
        <v/>
      </c>
      <c r="M464" s="31" t="str">
        <f>IFERROR(INDEX(Table!I:O,MATCH(K464,Table!I:I,0),3),"")</f>
        <v/>
      </c>
      <c r="N464" s="32" t="str">
        <f>IFERROR(INDEX(Table!I:O,MATCH(K464,Table!I:I,0),4),"")</f>
        <v/>
      </c>
      <c r="O464" s="32" t="str">
        <f>IFERROR(INDEX(Table!I:O,MATCH(K464,Table!I:I,0),5),"")</f>
        <v/>
      </c>
      <c r="P464" s="32" t="str">
        <f>IFERROR(INDEX(Table!I:O,MATCH(K464,Table!I:I,0),6),"")</f>
        <v/>
      </c>
      <c r="Q464" s="89" t="str">
        <f t="shared" si="21"/>
        <v/>
      </c>
      <c r="R464" s="89" t="str">
        <f t="shared" si="22"/>
        <v/>
      </c>
      <c r="S464" s="82"/>
      <c r="U464" s="37" t="e">
        <f t="shared" si="23"/>
        <v>#VALUE!</v>
      </c>
    </row>
    <row r="465" spans="1:21" x14ac:dyDescent="0.25">
      <c r="A465" s="31" t="str">
        <f>IF(Table!A465 = "","",Table!A465)</f>
        <v/>
      </c>
      <c r="B465" s="31" t="str">
        <f>IF(Table!B465 = "","",Table!B465)</f>
        <v/>
      </c>
      <c r="C465" s="31" t="str">
        <f>IF(Table!C465 = "","",Table!C465)</f>
        <v/>
      </c>
      <c r="D465" s="32" t="str">
        <f>IF(Table!D465 = "","",Table!D465)</f>
        <v/>
      </c>
      <c r="E465" s="32" t="str">
        <f>IF(Table!E465 = "","",Table!E465)</f>
        <v/>
      </c>
      <c r="F465" s="32" t="str">
        <f>IF(Table!F465 = "","",Table!F465)</f>
        <v/>
      </c>
      <c r="G465" s="91"/>
      <c r="I465" s="84" t="str">
        <f>IFERROR(VLOOKUP(A465,Downlink!A:L,12,TRUE),"")</f>
        <v/>
      </c>
      <c r="K465" s="31" t="str">
        <f>IFERROR(VLOOKUP(A465,Table!$I$4:$O$3000,1,TRUE),"")</f>
        <v/>
      </c>
      <c r="L465" s="31" t="str">
        <f>IFERROR(INDEX(Table!I:O,MATCH(K465,Table!I:I,0),2),"")</f>
        <v/>
      </c>
      <c r="M465" s="31" t="str">
        <f>IFERROR(INDEX(Table!I:O,MATCH(K465,Table!I:I,0),3),"")</f>
        <v/>
      </c>
      <c r="N465" s="32" t="str">
        <f>IFERROR(INDEX(Table!I:O,MATCH(K465,Table!I:I,0),4),"")</f>
        <v/>
      </c>
      <c r="O465" s="32" t="str">
        <f>IFERROR(INDEX(Table!I:O,MATCH(K465,Table!I:I,0),5),"")</f>
        <v/>
      </c>
      <c r="P465" s="32" t="str">
        <f>IFERROR(INDEX(Table!I:O,MATCH(K465,Table!I:I,0),6),"")</f>
        <v/>
      </c>
      <c r="Q465" s="89" t="str">
        <f t="shared" si="21"/>
        <v/>
      </c>
      <c r="R465" s="89" t="str">
        <f t="shared" si="22"/>
        <v/>
      </c>
      <c r="S465" s="82"/>
      <c r="U465" s="37" t="e">
        <f t="shared" si="23"/>
        <v>#VALUE!</v>
      </c>
    </row>
    <row r="466" spans="1:21" x14ac:dyDescent="0.25">
      <c r="A466" s="31" t="str">
        <f>IF(Table!A466 = "","",Table!A466)</f>
        <v/>
      </c>
      <c r="B466" s="31" t="str">
        <f>IF(Table!B466 = "","",Table!B466)</f>
        <v/>
      </c>
      <c r="C466" s="31" t="str">
        <f>IF(Table!C466 = "","",Table!C466)</f>
        <v/>
      </c>
      <c r="D466" s="32" t="str">
        <f>IF(Table!D466 = "","",Table!D466)</f>
        <v/>
      </c>
      <c r="E466" s="32" t="str">
        <f>IF(Table!E466 = "","",Table!E466)</f>
        <v/>
      </c>
      <c r="F466" s="32" t="str">
        <f>IF(Table!F466 = "","",Table!F466)</f>
        <v/>
      </c>
      <c r="G466" s="91"/>
      <c r="I466" s="84" t="str">
        <f>IFERROR(VLOOKUP(A466,Downlink!A:L,12,TRUE),"")</f>
        <v/>
      </c>
      <c r="K466" s="31" t="str">
        <f>IFERROR(VLOOKUP(A466,Table!$I$4:$O$3000,1,TRUE),"")</f>
        <v/>
      </c>
      <c r="L466" s="31" t="str">
        <f>IFERROR(INDEX(Table!I:O,MATCH(K466,Table!I:I,0),2),"")</f>
        <v/>
      </c>
      <c r="M466" s="31" t="str">
        <f>IFERROR(INDEX(Table!I:O,MATCH(K466,Table!I:I,0),3),"")</f>
        <v/>
      </c>
      <c r="N466" s="32" t="str">
        <f>IFERROR(INDEX(Table!I:O,MATCH(K466,Table!I:I,0),4),"")</f>
        <v/>
      </c>
      <c r="O466" s="32" t="str">
        <f>IFERROR(INDEX(Table!I:O,MATCH(K466,Table!I:I,0),5),"")</f>
        <v/>
      </c>
      <c r="P466" s="32" t="str">
        <f>IFERROR(INDEX(Table!I:O,MATCH(K466,Table!I:I,0),6),"")</f>
        <v/>
      </c>
      <c r="Q466" s="89" t="str">
        <f t="shared" si="21"/>
        <v/>
      </c>
      <c r="R466" s="89" t="str">
        <f t="shared" si="22"/>
        <v/>
      </c>
      <c r="S466" s="82"/>
      <c r="U466" s="37" t="e">
        <f t="shared" si="23"/>
        <v>#VALUE!</v>
      </c>
    </row>
    <row r="467" spans="1:21" x14ac:dyDescent="0.25">
      <c r="A467" s="31" t="str">
        <f>IF(Table!A467 = "","",Table!A467)</f>
        <v/>
      </c>
      <c r="B467" s="31" t="str">
        <f>IF(Table!B467 = "","",Table!B467)</f>
        <v/>
      </c>
      <c r="C467" s="31" t="str">
        <f>IF(Table!C467 = "","",Table!C467)</f>
        <v/>
      </c>
      <c r="D467" s="32" t="str">
        <f>IF(Table!D467 = "","",Table!D467)</f>
        <v/>
      </c>
      <c r="E467" s="32" t="str">
        <f>IF(Table!E467 = "","",Table!E467)</f>
        <v/>
      </c>
      <c r="F467" s="32" t="str">
        <f>IF(Table!F467 = "","",Table!F467)</f>
        <v/>
      </c>
      <c r="G467" s="91"/>
      <c r="I467" s="84" t="str">
        <f>IFERROR(VLOOKUP(A467,Downlink!A:L,12,TRUE),"")</f>
        <v/>
      </c>
      <c r="K467" s="31" t="str">
        <f>IFERROR(VLOOKUP(A467,Table!$I$4:$O$3000,1,TRUE),"")</f>
        <v/>
      </c>
      <c r="L467" s="31" t="str">
        <f>IFERROR(INDEX(Table!I:O,MATCH(K467,Table!I:I,0),2),"")</f>
        <v/>
      </c>
      <c r="M467" s="31" t="str">
        <f>IFERROR(INDEX(Table!I:O,MATCH(K467,Table!I:I,0),3),"")</f>
        <v/>
      </c>
      <c r="N467" s="32" t="str">
        <f>IFERROR(INDEX(Table!I:O,MATCH(K467,Table!I:I,0),4),"")</f>
        <v/>
      </c>
      <c r="O467" s="32" t="str">
        <f>IFERROR(INDEX(Table!I:O,MATCH(K467,Table!I:I,0),5),"")</f>
        <v/>
      </c>
      <c r="P467" s="32" t="str">
        <f>IFERROR(INDEX(Table!I:O,MATCH(K467,Table!I:I,0),6),"")</f>
        <v/>
      </c>
      <c r="Q467" s="89" t="str">
        <f t="shared" si="21"/>
        <v/>
      </c>
      <c r="R467" s="89" t="str">
        <f t="shared" si="22"/>
        <v/>
      </c>
      <c r="S467" s="82"/>
      <c r="U467" s="37" t="e">
        <f t="shared" si="23"/>
        <v>#VALUE!</v>
      </c>
    </row>
    <row r="468" spans="1:21" x14ac:dyDescent="0.25">
      <c r="A468" s="31" t="str">
        <f>IF(Table!A468 = "","",Table!A468)</f>
        <v/>
      </c>
      <c r="B468" s="31" t="str">
        <f>IF(Table!B468 = "","",Table!B468)</f>
        <v/>
      </c>
      <c r="C468" s="31" t="str">
        <f>IF(Table!C468 = "","",Table!C468)</f>
        <v/>
      </c>
      <c r="D468" s="32" t="str">
        <f>IF(Table!D468 = "","",Table!D468)</f>
        <v/>
      </c>
      <c r="E468" s="32" t="str">
        <f>IF(Table!E468 = "","",Table!E468)</f>
        <v/>
      </c>
      <c r="F468" s="32" t="str">
        <f>IF(Table!F468 = "","",Table!F468)</f>
        <v/>
      </c>
      <c r="G468" s="91"/>
      <c r="I468" s="84" t="str">
        <f>IFERROR(VLOOKUP(A468,Downlink!A:L,12,TRUE),"")</f>
        <v/>
      </c>
      <c r="K468" s="31" t="str">
        <f>IFERROR(VLOOKUP(A468,Table!$I$4:$O$3000,1,TRUE),"")</f>
        <v/>
      </c>
      <c r="L468" s="31" t="str">
        <f>IFERROR(INDEX(Table!I:O,MATCH(K468,Table!I:I,0),2),"")</f>
        <v/>
      </c>
      <c r="M468" s="31" t="str">
        <f>IFERROR(INDEX(Table!I:O,MATCH(K468,Table!I:I,0),3),"")</f>
        <v/>
      </c>
      <c r="N468" s="32" t="str">
        <f>IFERROR(INDEX(Table!I:O,MATCH(K468,Table!I:I,0),4),"")</f>
        <v/>
      </c>
      <c r="O468" s="32" t="str">
        <f>IFERROR(INDEX(Table!I:O,MATCH(K468,Table!I:I,0),5),"")</f>
        <v/>
      </c>
      <c r="P468" s="32" t="str">
        <f>IFERROR(INDEX(Table!I:O,MATCH(K468,Table!I:I,0),6),"")</f>
        <v/>
      </c>
      <c r="Q468" s="89" t="str">
        <f t="shared" si="21"/>
        <v/>
      </c>
      <c r="R468" s="89" t="str">
        <f t="shared" si="22"/>
        <v/>
      </c>
      <c r="S468" s="82"/>
      <c r="U468" s="37" t="e">
        <f t="shared" si="23"/>
        <v>#VALUE!</v>
      </c>
    </row>
    <row r="469" spans="1:21" x14ac:dyDescent="0.25">
      <c r="A469" s="31" t="str">
        <f>IF(Table!A469 = "","",Table!A469)</f>
        <v/>
      </c>
      <c r="B469" s="31" t="str">
        <f>IF(Table!B469 = "","",Table!B469)</f>
        <v/>
      </c>
      <c r="C469" s="31" t="str">
        <f>IF(Table!C469 = "","",Table!C469)</f>
        <v/>
      </c>
      <c r="D469" s="32" t="str">
        <f>IF(Table!D469 = "","",Table!D469)</f>
        <v/>
      </c>
      <c r="E469" s="32" t="str">
        <f>IF(Table!E469 = "","",Table!E469)</f>
        <v/>
      </c>
      <c r="F469" s="32" t="str">
        <f>IF(Table!F469 = "","",Table!F469)</f>
        <v/>
      </c>
      <c r="G469" s="91"/>
      <c r="I469" s="84" t="str">
        <f>IFERROR(VLOOKUP(A469,Downlink!A:L,12,TRUE),"")</f>
        <v/>
      </c>
      <c r="K469" s="31" t="str">
        <f>IFERROR(VLOOKUP(A469,Table!$I$4:$O$3000,1,TRUE),"")</f>
        <v/>
      </c>
      <c r="L469" s="31" t="str">
        <f>IFERROR(INDEX(Table!I:O,MATCH(K469,Table!I:I,0),2),"")</f>
        <v/>
      </c>
      <c r="M469" s="31" t="str">
        <f>IFERROR(INDEX(Table!I:O,MATCH(K469,Table!I:I,0),3),"")</f>
        <v/>
      </c>
      <c r="N469" s="32" t="str">
        <f>IFERROR(INDEX(Table!I:O,MATCH(K469,Table!I:I,0),4),"")</f>
        <v/>
      </c>
      <c r="O469" s="32" t="str">
        <f>IFERROR(INDEX(Table!I:O,MATCH(K469,Table!I:I,0),5),"")</f>
        <v/>
      </c>
      <c r="P469" s="32" t="str">
        <f>IFERROR(INDEX(Table!I:O,MATCH(K469,Table!I:I,0),6),"")</f>
        <v/>
      </c>
      <c r="Q469" s="89" t="str">
        <f t="shared" si="21"/>
        <v/>
      </c>
      <c r="R469" s="89" t="str">
        <f t="shared" si="22"/>
        <v/>
      </c>
      <c r="S469" s="82"/>
      <c r="U469" s="37" t="e">
        <f t="shared" si="23"/>
        <v>#VALUE!</v>
      </c>
    </row>
    <row r="470" spans="1:21" x14ac:dyDescent="0.25">
      <c r="A470" s="31" t="str">
        <f>IF(Table!A470 = "","",Table!A470)</f>
        <v/>
      </c>
      <c r="B470" s="31" t="str">
        <f>IF(Table!B470 = "","",Table!B470)</f>
        <v/>
      </c>
      <c r="C470" s="31" t="str">
        <f>IF(Table!C470 = "","",Table!C470)</f>
        <v/>
      </c>
      <c r="D470" s="32" t="str">
        <f>IF(Table!D470 = "","",Table!D470)</f>
        <v/>
      </c>
      <c r="E470" s="32" t="str">
        <f>IF(Table!E470 = "","",Table!E470)</f>
        <v/>
      </c>
      <c r="F470" s="32" t="str">
        <f>IF(Table!F470 = "","",Table!F470)</f>
        <v/>
      </c>
      <c r="G470" s="91"/>
      <c r="I470" s="84" t="str">
        <f>IFERROR(VLOOKUP(A470,Downlink!A:L,12,TRUE),"")</f>
        <v/>
      </c>
      <c r="K470" s="31" t="str">
        <f>IFERROR(VLOOKUP(A470,Table!$I$4:$O$3000,1,TRUE),"")</f>
        <v/>
      </c>
      <c r="L470" s="31" t="str">
        <f>IFERROR(INDEX(Table!I:O,MATCH(K470,Table!I:I,0),2),"")</f>
        <v/>
      </c>
      <c r="M470" s="31" t="str">
        <f>IFERROR(INDEX(Table!I:O,MATCH(K470,Table!I:I,0),3),"")</f>
        <v/>
      </c>
      <c r="N470" s="32" t="str">
        <f>IFERROR(INDEX(Table!I:O,MATCH(K470,Table!I:I,0),4),"")</f>
        <v/>
      </c>
      <c r="O470" s="32" t="str">
        <f>IFERROR(INDEX(Table!I:O,MATCH(K470,Table!I:I,0),5),"")</f>
        <v/>
      </c>
      <c r="P470" s="32" t="str">
        <f>IFERROR(INDEX(Table!I:O,MATCH(K470,Table!I:I,0),6),"")</f>
        <v/>
      </c>
      <c r="Q470" s="89" t="str">
        <f t="shared" si="21"/>
        <v/>
      </c>
      <c r="R470" s="89" t="str">
        <f t="shared" si="22"/>
        <v/>
      </c>
      <c r="S470" s="82"/>
      <c r="U470" s="37" t="e">
        <f t="shared" si="23"/>
        <v>#VALUE!</v>
      </c>
    </row>
    <row r="471" spans="1:21" x14ac:dyDescent="0.25">
      <c r="A471" s="31" t="str">
        <f>IF(Table!A471 = "","",Table!A471)</f>
        <v/>
      </c>
      <c r="B471" s="31" t="str">
        <f>IF(Table!B471 = "","",Table!B471)</f>
        <v/>
      </c>
      <c r="C471" s="31" t="str">
        <f>IF(Table!C471 = "","",Table!C471)</f>
        <v/>
      </c>
      <c r="D471" s="32" t="str">
        <f>IF(Table!D471 = "","",Table!D471)</f>
        <v/>
      </c>
      <c r="E471" s="32" t="str">
        <f>IF(Table!E471 = "","",Table!E471)</f>
        <v/>
      </c>
      <c r="F471" s="32" t="str">
        <f>IF(Table!F471 = "","",Table!F471)</f>
        <v/>
      </c>
      <c r="G471" s="91"/>
      <c r="I471" s="84" t="str">
        <f>IFERROR(VLOOKUP(A471,Downlink!A:L,12,TRUE),"")</f>
        <v/>
      </c>
      <c r="K471" s="31" t="str">
        <f>IFERROR(VLOOKUP(A471,Table!$I$4:$O$3000,1,TRUE),"")</f>
        <v/>
      </c>
      <c r="L471" s="31" t="str">
        <f>IFERROR(INDEX(Table!I:O,MATCH(K471,Table!I:I,0),2),"")</f>
        <v/>
      </c>
      <c r="M471" s="31" t="str">
        <f>IFERROR(INDEX(Table!I:O,MATCH(K471,Table!I:I,0),3),"")</f>
        <v/>
      </c>
      <c r="N471" s="32" t="str">
        <f>IFERROR(INDEX(Table!I:O,MATCH(K471,Table!I:I,0),4),"")</f>
        <v/>
      </c>
      <c r="O471" s="32" t="str">
        <f>IFERROR(INDEX(Table!I:O,MATCH(K471,Table!I:I,0),5),"")</f>
        <v/>
      </c>
      <c r="P471" s="32" t="str">
        <f>IFERROR(INDEX(Table!I:O,MATCH(K471,Table!I:I,0),6),"")</f>
        <v/>
      </c>
      <c r="Q471" s="89" t="str">
        <f t="shared" si="21"/>
        <v/>
      </c>
      <c r="R471" s="89" t="str">
        <f t="shared" si="22"/>
        <v/>
      </c>
      <c r="S471" s="82"/>
      <c r="U471" s="37" t="e">
        <f t="shared" si="23"/>
        <v>#VALUE!</v>
      </c>
    </row>
    <row r="472" spans="1:21" x14ac:dyDescent="0.25">
      <c r="A472" s="31" t="str">
        <f>IF(Table!A472 = "","",Table!A472)</f>
        <v/>
      </c>
      <c r="B472" s="31" t="str">
        <f>IF(Table!B472 = "","",Table!B472)</f>
        <v/>
      </c>
      <c r="C472" s="31" t="str">
        <f>IF(Table!C472 = "","",Table!C472)</f>
        <v/>
      </c>
      <c r="D472" s="32" t="str">
        <f>IF(Table!D472 = "","",Table!D472)</f>
        <v/>
      </c>
      <c r="E472" s="32" t="str">
        <f>IF(Table!E472 = "","",Table!E472)</f>
        <v/>
      </c>
      <c r="F472" s="32" t="str">
        <f>IF(Table!F472 = "","",Table!F472)</f>
        <v/>
      </c>
      <c r="G472" s="91"/>
      <c r="I472" s="84" t="str">
        <f>IFERROR(VLOOKUP(A472,Downlink!A:L,12,TRUE),"")</f>
        <v/>
      </c>
      <c r="K472" s="31" t="str">
        <f>IFERROR(VLOOKUP(A472,Table!$I$4:$O$3000,1,TRUE),"")</f>
        <v/>
      </c>
      <c r="L472" s="31" t="str">
        <f>IFERROR(INDEX(Table!I:O,MATCH(K472,Table!I:I,0),2),"")</f>
        <v/>
      </c>
      <c r="M472" s="31" t="str">
        <f>IFERROR(INDEX(Table!I:O,MATCH(K472,Table!I:I,0),3),"")</f>
        <v/>
      </c>
      <c r="N472" s="32" t="str">
        <f>IFERROR(INDEX(Table!I:O,MATCH(K472,Table!I:I,0),4),"")</f>
        <v/>
      </c>
      <c r="O472" s="32" t="str">
        <f>IFERROR(INDEX(Table!I:O,MATCH(K472,Table!I:I,0),5),"")</f>
        <v/>
      </c>
      <c r="P472" s="32" t="str">
        <f>IFERROR(INDEX(Table!I:O,MATCH(K472,Table!I:I,0),6),"")</f>
        <v/>
      </c>
      <c r="Q472" s="89" t="str">
        <f t="shared" si="21"/>
        <v/>
      </c>
      <c r="R472" s="89" t="str">
        <f t="shared" si="22"/>
        <v/>
      </c>
      <c r="S472" s="82"/>
      <c r="U472" s="37" t="e">
        <f t="shared" si="23"/>
        <v>#VALUE!</v>
      </c>
    </row>
    <row r="473" spans="1:21" x14ac:dyDescent="0.25">
      <c r="A473" s="31" t="str">
        <f>IF(Table!A473 = "","",Table!A473)</f>
        <v/>
      </c>
      <c r="B473" s="31" t="str">
        <f>IF(Table!B473 = "","",Table!B473)</f>
        <v/>
      </c>
      <c r="C473" s="31" t="str">
        <f>IF(Table!C473 = "","",Table!C473)</f>
        <v/>
      </c>
      <c r="D473" s="32" t="str">
        <f>IF(Table!D473 = "","",Table!D473)</f>
        <v/>
      </c>
      <c r="E473" s="32" t="str">
        <f>IF(Table!E473 = "","",Table!E473)</f>
        <v/>
      </c>
      <c r="F473" s="32" t="str">
        <f>IF(Table!F473 = "","",Table!F473)</f>
        <v/>
      </c>
      <c r="G473" s="91"/>
      <c r="I473" s="84" t="str">
        <f>IFERROR(VLOOKUP(A473,Downlink!A:L,12,TRUE),"")</f>
        <v/>
      </c>
      <c r="K473" s="31" t="str">
        <f>IFERROR(VLOOKUP(A473,Table!$I$4:$O$3000,1,TRUE),"")</f>
        <v/>
      </c>
      <c r="L473" s="31" t="str">
        <f>IFERROR(INDEX(Table!I:O,MATCH(K473,Table!I:I,0),2),"")</f>
        <v/>
      </c>
      <c r="M473" s="31" t="str">
        <f>IFERROR(INDEX(Table!I:O,MATCH(K473,Table!I:I,0),3),"")</f>
        <v/>
      </c>
      <c r="N473" s="32" t="str">
        <f>IFERROR(INDEX(Table!I:O,MATCH(K473,Table!I:I,0),4),"")</f>
        <v/>
      </c>
      <c r="O473" s="32" t="str">
        <f>IFERROR(INDEX(Table!I:O,MATCH(K473,Table!I:I,0),5),"")</f>
        <v/>
      </c>
      <c r="P473" s="32" t="str">
        <f>IFERROR(INDEX(Table!I:O,MATCH(K473,Table!I:I,0),6),"")</f>
        <v/>
      </c>
      <c r="Q473" s="89" t="str">
        <f t="shared" si="21"/>
        <v/>
      </c>
      <c r="R473" s="89" t="str">
        <f t="shared" si="22"/>
        <v/>
      </c>
      <c r="S473" s="82"/>
      <c r="U473" s="37" t="e">
        <f t="shared" si="23"/>
        <v>#VALUE!</v>
      </c>
    </row>
    <row r="474" spans="1:21" x14ac:dyDescent="0.25">
      <c r="A474" s="31" t="str">
        <f>IF(Table!A474 = "","",Table!A474)</f>
        <v/>
      </c>
      <c r="B474" s="31" t="str">
        <f>IF(Table!B474 = "","",Table!B474)</f>
        <v/>
      </c>
      <c r="C474" s="31" t="str">
        <f>IF(Table!C474 = "","",Table!C474)</f>
        <v/>
      </c>
      <c r="D474" s="32" t="str">
        <f>IF(Table!D474 = "","",Table!D474)</f>
        <v/>
      </c>
      <c r="E474" s="32" t="str">
        <f>IF(Table!E474 = "","",Table!E474)</f>
        <v/>
      </c>
      <c r="F474" s="32" t="str">
        <f>IF(Table!F474 = "","",Table!F474)</f>
        <v/>
      </c>
      <c r="G474" s="91"/>
      <c r="I474" s="84" t="str">
        <f>IFERROR(VLOOKUP(A474,Downlink!A:L,12,TRUE),"")</f>
        <v/>
      </c>
      <c r="K474" s="31" t="str">
        <f>IFERROR(VLOOKUP(A474,Table!$I$4:$O$3000,1,TRUE),"")</f>
        <v/>
      </c>
      <c r="L474" s="31" t="str">
        <f>IFERROR(INDEX(Table!I:O,MATCH(K474,Table!I:I,0),2),"")</f>
        <v/>
      </c>
      <c r="M474" s="31" t="str">
        <f>IFERROR(INDEX(Table!I:O,MATCH(K474,Table!I:I,0),3),"")</f>
        <v/>
      </c>
      <c r="N474" s="32" t="str">
        <f>IFERROR(INDEX(Table!I:O,MATCH(K474,Table!I:I,0),4),"")</f>
        <v/>
      </c>
      <c r="O474" s="32" t="str">
        <f>IFERROR(INDEX(Table!I:O,MATCH(K474,Table!I:I,0),5),"")</f>
        <v/>
      </c>
      <c r="P474" s="32" t="str">
        <f>IFERROR(INDEX(Table!I:O,MATCH(K474,Table!I:I,0),6),"")</f>
        <v/>
      </c>
      <c r="Q474" s="89" t="str">
        <f t="shared" si="21"/>
        <v/>
      </c>
      <c r="R474" s="89" t="str">
        <f t="shared" si="22"/>
        <v/>
      </c>
      <c r="S474" s="82"/>
      <c r="U474" s="37" t="e">
        <f t="shared" si="23"/>
        <v>#VALUE!</v>
      </c>
    </row>
    <row r="475" spans="1:21" x14ac:dyDescent="0.25">
      <c r="A475" s="31" t="str">
        <f>IF(Table!A475 = "","",Table!A475)</f>
        <v/>
      </c>
      <c r="B475" s="31" t="str">
        <f>IF(Table!B475 = "","",Table!B475)</f>
        <v/>
      </c>
      <c r="C475" s="31" t="str">
        <f>IF(Table!C475 = "","",Table!C475)</f>
        <v/>
      </c>
      <c r="D475" s="32" t="str">
        <f>IF(Table!D475 = "","",Table!D475)</f>
        <v/>
      </c>
      <c r="E475" s="32" t="str">
        <f>IF(Table!E475 = "","",Table!E475)</f>
        <v/>
      </c>
      <c r="F475" s="32" t="str">
        <f>IF(Table!F475 = "","",Table!F475)</f>
        <v/>
      </c>
      <c r="G475" s="91"/>
      <c r="I475" s="84" t="str">
        <f>IFERROR(VLOOKUP(A475,Downlink!A:L,12,TRUE),"")</f>
        <v/>
      </c>
      <c r="K475" s="31" t="str">
        <f>IFERROR(VLOOKUP(A475,Table!$I$4:$O$3000,1,TRUE),"")</f>
        <v/>
      </c>
      <c r="L475" s="31" t="str">
        <f>IFERROR(INDEX(Table!I:O,MATCH(K475,Table!I:I,0),2),"")</f>
        <v/>
      </c>
      <c r="M475" s="31" t="str">
        <f>IFERROR(INDEX(Table!I:O,MATCH(K475,Table!I:I,0),3),"")</f>
        <v/>
      </c>
      <c r="N475" s="32" t="str">
        <f>IFERROR(INDEX(Table!I:O,MATCH(K475,Table!I:I,0),4),"")</f>
        <v/>
      </c>
      <c r="O475" s="32" t="str">
        <f>IFERROR(INDEX(Table!I:O,MATCH(K475,Table!I:I,0),5),"")</f>
        <v/>
      </c>
      <c r="P475" s="32" t="str">
        <f>IFERROR(INDEX(Table!I:O,MATCH(K475,Table!I:I,0),6),"")</f>
        <v/>
      </c>
      <c r="Q475" s="89" t="str">
        <f t="shared" si="21"/>
        <v/>
      </c>
      <c r="R475" s="89" t="str">
        <f t="shared" si="22"/>
        <v/>
      </c>
      <c r="S475" s="82"/>
      <c r="U475" s="37" t="e">
        <f t="shared" si="23"/>
        <v>#VALUE!</v>
      </c>
    </row>
    <row r="476" spans="1:21" x14ac:dyDescent="0.25">
      <c r="A476" s="31" t="str">
        <f>IF(Table!A476 = "","",Table!A476)</f>
        <v/>
      </c>
      <c r="B476" s="31" t="str">
        <f>IF(Table!B476 = "","",Table!B476)</f>
        <v/>
      </c>
      <c r="C476" s="31" t="str">
        <f>IF(Table!C476 = "","",Table!C476)</f>
        <v/>
      </c>
      <c r="D476" s="32" t="str">
        <f>IF(Table!D476 = "","",Table!D476)</f>
        <v/>
      </c>
      <c r="E476" s="32" t="str">
        <f>IF(Table!E476 = "","",Table!E476)</f>
        <v/>
      </c>
      <c r="F476" s="32" t="str">
        <f>IF(Table!F476 = "","",Table!F476)</f>
        <v/>
      </c>
      <c r="G476" s="91"/>
      <c r="I476" s="84" t="str">
        <f>IFERROR(VLOOKUP(A476,Downlink!A:L,12,TRUE),"")</f>
        <v/>
      </c>
      <c r="K476" s="31" t="str">
        <f>IFERROR(VLOOKUP(A476,Table!$I$4:$O$3000,1,TRUE),"")</f>
        <v/>
      </c>
      <c r="L476" s="31" t="str">
        <f>IFERROR(INDEX(Table!I:O,MATCH(K476,Table!I:I,0),2),"")</f>
        <v/>
      </c>
      <c r="M476" s="31" t="str">
        <f>IFERROR(INDEX(Table!I:O,MATCH(K476,Table!I:I,0),3),"")</f>
        <v/>
      </c>
      <c r="N476" s="32" t="str">
        <f>IFERROR(INDEX(Table!I:O,MATCH(K476,Table!I:I,0),4),"")</f>
        <v/>
      </c>
      <c r="O476" s="32" t="str">
        <f>IFERROR(INDEX(Table!I:O,MATCH(K476,Table!I:I,0),5),"")</f>
        <v/>
      </c>
      <c r="P476" s="32" t="str">
        <f>IFERROR(INDEX(Table!I:O,MATCH(K476,Table!I:I,0),6),"")</f>
        <v/>
      </c>
      <c r="Q476" s="89" t="str">
        <f t="shared" si="21"/>
        <v/>
      </c>
      <c r="R476" s="89" t="str">
        <f t="shared" si="22"/>
        <v/>
      </c>
      <c r="S476" s="82"/>
      <c r="U476" s="37" t="e">
        <f t="shared" si="23"/>
        <v>#VALUE!</v>
      </c>
    </row>
    <row r="477" spans="1:21" x14ac:dyDescent="0.25">
      <c r="A477" s="31" t="str">
        <f>IF(Table!A477 = "","",Table!A477)</f>
        <v/>
      </c>
      <c r="B477" s="31" t="str">
        <f>IF(Table!B477 = "","",Table!B477)</f>
        <v/>
      </c>
      <c r="C477" s="31" t="str">
        <f>IF(Table!C477 = "","",Table!C477)</f>
        <v/>
      </c>
      <c r="D477" s="32" t="str">
        <f>IF(Table!D477 = "","",Table!D477)</f>
        <v/>
      </c>
      <c r="E477" s="32" t="str">
        <f>IF(Table!E477 = "","",Table!E477)</f>
        <v/>
      </c>
      <c r="F477" s="32" t="str">
        <f>IF(Table!F477 = "","",Table!F477)</f>
        <v/>
      </c>
      <c r="G477" s="91"/>
      <c r="I477" s="84" t="str">
        <f>IFERROR(VLOOKUP(A477,Downlink!A:L,12,TRUE),"")</f>
        <v/>
      </c>
      <c r="K477" s="31" t="str">
        <f>IFERROR(VLOOKUP(A477,Table!$I$4:$O$3000,1,TRUE),"")</f>
        <v/>
      </c>
      <c r="L477" s="31" t="str">
        <f>IFERROR(INDEX(Table!I:O,MATCH(K477,Table!I:I,0),2),"")</f>
        <v/>
      </c>
      <c r="M477" s="31" t="str">
        <f>IFERROR(INDEX(Table!I:O,MATCH(K477,Table!I:I,0),3),"")</f>
        <v/>
      </c>
      <c r="N477" s="32" t="str">
        <f>IFERROR(INDEX(Table!I:O,MATCH(K477,Table!I:I,0),4),"")</f>
        <v/>
      </c>
      <c r="O477" s="32" t="str">
        <f>IFERROR(INDEX(Table!I:O,MATCH(K477,Table!I:I,0),5),"")</f>
        <v/>
      </c>
      <c r="P477" s="32" t="str">
        <f>IFERROR(INDEX(Table!I:O,MATCH(K477,Table!I:I,0),6),"")</f>
        <v/>
      </c>
      <c r="Q477" s="89" t="str">
        <f t="shared" si="21"/>
        <v/>
      </c>
      <c r="R477" s="89" t="str">
        <f t="shared" si="22"/>
        <v/>
      </c>
      <c r="S477" s="82"/>
      <c r="U477" s="37" t="e">
        <f t="shared" si="23"/>
        <v>#VALUE!</v>
      </c>
    </row>
    <row r="478" spans="1:21" x14ac:dyDescent="0.25">
      <c r="A478" s="31" t="str">
        <f>IF(Table!A478 = "","",Table!A478)</f>
        <v/>
      </c>
      <c r="B478" s="31" t="str">
        <f>IF(Table!B478 = "","",Table!B478)</f>
        <v/>
      </c>
      <c r="C478" s="31" t="str">
        <f>IF(Table!C478 = "","",Table!C478)</f>
        <v/>
      </c>
      <c r="D478" s="32" t="str">
        <f>IF(Table!D478 = "","",Table!D478)</f>
        <v/>
      </c>
      <c r="E478" s="32" t="str">
        <f>IF(Table!E478 = "","",Table!E478)</f>
        <v/>
      </c>
      <c r="F478" s="32" t="str">
        <f>IF(Table!F478 = "","",Table!F478)</f>
        <v/>
      </c>
      <c r="G478" s="91"/>
      <c r="I478" s="84" t="str">
        <f>IFERROR(VLOOKUP(A478,Downlink!A:L,12,TRUE),"")</f>
        <v/>
      </c>
      <c r="K478" s="31" t="str">
        <f>IFERROR(VLOOKUP(A478,Table!$I$4:$O$3000,1,TRUE),"")</f>
        <v/>
      </c>
      <c r="L478" s="31" t="str">
        <f>IFERROR(INDEX(Table!I:O,MATCH(K478,Table!I:I,0),2),"")</f>
        <v/>
      </c>
      <c r="M478" s="31" t="str">
        <f>IFERROR(INDEX(Table!I:O,MATCH(K478,Table!I:I,0),3),"")</f>
        <v/>
      </c>
      <c r="N478" s="32" t="str">
        <f>IFERROR(INDEX(Table!I:O,MATCH(K478,Table!I:I,0),4),"")</f>
        <v/>
      </c>
      <c r="O478" s="32" t="str">
        <f>IFERROR(INDEX(Table!I:O,MATCH(K478,Table!I:I,0),5),"")</f>
        <v/>
      </c>
      <c r="P478" s="32" t="str">
        <f>IFERROR(INDEX(Table!I:O,MATCH(K478,Table!I:I,0),6),"")</f>
        <v/>
      </c>
      <c r="Q478" s="89" t="str">
        <f t="shared" si="21"/>
        <v/>
      </c>
      <c r="R478" s="89" t="str">
        <f t="shared" si="22"/>
        <v/>
      </c>
      <c r="S478" s="82"/>
      <c r="U478" s="37" t="e">
        <f t="shared" si="23"/>
        <v>#VALUE!</v>
      </c>
    </row>
    <row r="479" spans="1:21" x14ac:dyDescent="0.25">
      <c r="A479" s="31" t="str">
        <f>IF(Table!A479 = "","",Table!A479)</f>
        <v/>
      </c>
      <c r="B479" s="31" t="str">
        <f>IF(Table!B479 = "","",Table!B479)</f>
        <v/>
      </c>
      <c r="C479" s="31" t="str">
        <f>IF(Table!C479 = "","",Table!C479)</f>
        <v/>
      </c>
      <c r="D479" s="32" t="str">
        <f>IF(Table!D479 = "","",Table!D479)</f>
        <v/>
      </c>
      <c r="E479" s="32" t="str">
        <f>IF(Table!E479 = "","",Table!E479)</f>
        <v/>
      </c>
      <c r="F479" s="32" t="str">
        <f>IF(Table!F479 = "","",Table!F479)</f>
        <v/>
      </c>
      <c r="G479" s="91"/>
      <c r="I479" s="84" t="str">
        <f>IFERROR(VLOOKUP(A479,Downlink!A:L,12,TRUE),"")</f>
        <v/>
      </c>
      <c r="K479" s="31" t="str">
        <f>IFERROR(VLOOKUP(A479,Table!$I$4:$O$3000,1,TRUE),"")</f>
        <v/>
      </c>
      <c r="L479" s="31" t="str">
        <f>IFERROR(INDEX(Table!I:O,MATCH(K479,Table!I:I,0),2),"")</f>
        <v/>
      </c>
      <c r="M479" s="31" t="str">
        <f>IFERROR(INDEX(Table!I:O,MATCH(K479,Table!I:I,0),3),"")</f>
        <v/>
      </c>
      <c r="N479" s="32" t="str">
        <f>IFERROR(INDEX(Table!I:O,MATCH(K479,Table!I:I,0),4),"")</f>
        <v/>
      </c>
      <c r="O479" s="32" t="str">
        <f>IFERROR(INDEX(Table!I:O,MATCH(K479,Table!I:I,0),5),"")</f>
        <v/>
      </c>
      <c r="P479" s="32" t="str">
        <f>IFERROR(INDEX(Table!I:O,MATCH(K479,Table!I:I,0),6),"")</f>
        <v/>
      </c>
      <c r="Q479" s="89" t="str">
        <f t="shared" si="21"/>
        <v/>
      </c>
      <c r="R479" s="89" t="str">
        <f t="shared" si="22"/>
        <v/>
      </c>
      <c r="S479" s="82"/>
      <c r="U479" s="37" t="e">
        <f t="shared" si="23"/>
        <v>#VALUE!</v>
      </c>
    </row>
    <row r="480" spans="1:21" x14ac:dyDescent="0.25">
      <c r="A480" s="31" t="str">
        <f>IF(Table!A480 = "","",Table!A480)</f>
        <v/>
      </c>
      <c r="B480" s="31" t="str">
        <f>IF(Table!B480 = "","",Table!B480)</f>
        <v/>
      </c>
      <c r="C480" s="31" t="str">
        <f>IF(Table!C480 = "","",Table!C480)</f>
        <v/>
      </c>
      <c r="D480" s="32" t="str">
        <f>IF(Table!D480 = "","",Table!D480)</f>
        <v/>
      </c>
      <c r="E480" s="32" t="str">
        <f>IF(Table!E480 = "","",Table!E480)</f>
        <v/>
      </c>
      <c r="F480" s="32" t="str">
        <f>IF(Table!F480 = "","",Table!F480)</f>
        <v/>
      </c>
      <c r="G480" s="91"/>
      <c r="I480" s="84" t="str">
        <f>IFERROR(VLOOKUP(A480,Downlink!A:L,12,TRUE),"")</f>
        <v/>
      </c>
      <c r="K480" s="31" t="str">
        <f>IFERROR(VLOOKUP(A480,Table!$I$4:$O$3000,1,TRUE),"")</f>
        <v/>
      </c>
      <c r="L480" s="31" t="str">
        <f>IFERROR(INDEX(Table!I:O,MATCH(K480,Table!I:I,0),2),"")</f>
        <v/>
      </c>
      <c r="M480" s="31" t="str">
        <f>IFERROR(INDEX(Table!I:O,MATCH(K480,Table!I:I,0),3),"")</f>
        <v/>
      </c>
      <c r="N480" s="32" t="str">
        <f>IFERROR(INDEX(Table!I:O,MATCH(K480,Table!I:I,0),4),"")</f>
        <v/>
      </c>
      <c r="O480" s="32" t="str">
        <f>IFERROR(INDEX(Table!I:O,MATCH(K480,Table!I:I,0),5),"")</f>
        <v/>
      </c>
      <c r="P480" s="32" t="str">
        <f>IFERROR(INDEX(Table!I:O,MATCH(K480,Table!I:I,0),6),"")</f>
        <v/>
      </c>
      <c r="Q480" s="89" t="str">
        <f t="shared" si="21"/>
        <v/>
      </c>
      <c r="R480" s="89" t="str">
        <f t="shared" si="22"/>
        <v/>
      </c>
      <c r="S480" s="82"/>
      <c r="U480" s="37" t="e">
        <f t="shared" si="23"/>
        <v>#VALUE!</v>
      </c>
    </row>
    <row r="481" spans="1:21" x14ac:dyDescent="0.25">
      <c r="A481" s="31" t="str">
        <f>IF(Table!A481 = "","",Table!A481)</f>
        <v/>
      </c>
      <c r="B481" s="31" t="str">
        <f>IF(Table!B481 = "","",Table!B481)</f>
        <v/>
      </c>
      <c r="C481" s="31" t="str">
        <f>IF(Table!C481 = "","",Table!C481)</f>
        <v/>
      </c>
      <c r="D481" s="32" t="str">
        <f>IF(Table!D481 = "","",Table!D481)</f>
        <v/>
      </c>
      <c r="E481" s="32" t="str">
        <f>IF(Table!E481 = "","",Table!E481)</f>
        <v/>
      </c>
      <c r="F481" s="32" t="str">
        <f>IF(Table!F481 = "","",Table!F481)</f>
        <v/>
      </c>
      <c r="G481" s="91"/>
      <c r="I481" s="84" t="str">
        <f>IFERROR(VLOOKUP(A481,Downlink!A:L,12,TRUE),"")</f>
        <v/>
      </c>
      <c r="K481" s="31" t="str">
        <f>IFERROR(VLOOKUP(A481,Table!$I$4:$O$3000,1,TRUE),"")</f>
        <v/>
      </c>
      <c r="L481" s="31" t="str">
        <f>IFERROR(INDEX(Table!I:O,MATCH(K481,Table!I:I,0),2),"")</f>
        <v/>
      </c>
      <c r="M481" s="31" t="str">
        <f>IFERROR(INDEX(Table!I:O,MATCH(K481,Table!I:I,0),3),"")</f>
        <v/>
      </c>
      <c r="N481" s="32" t="str">
        <f>IFERROR(INDEX(Table!I:O,MATCH(K481,Table!I:I,0),4),"")</f>
        <v/>
      </c>
      <c r="O481" s="32" t="str">
        <f>IFERROR(INDEX(Table!I:O,MATCH(K481,Table!I:I,0),5),"")</f>
        <v/>
      </c>
      <c r="P481" s="32" t="str">
        <f>IFERROR(INDEX(Table!I:O,MATCH(K481,Table!I:I,0),6),"")</f>
        <v/>
      </c>
      <c r="Q481" s="89" t="str">
        <f t="shared" si="21"/>
        <v/>
      </c>
      <c r="R481" s="89" t="str">
        <f t="shared" si="22"/>
        <v/>
      </c>
      <c r="S481" s="82"/>
      <c r="U481" s="37" t="e">
        <f t="shared" si="23"/>
        <v>#VALUE!</v>
      </c>
    </row>
    <row r="482" spans="1:21" x14ac:dyDescent="0.25">
      <c r="A482" s="31" t="str">
        <f>IF(Table!A482 = "","",Table!A482)</f>
        <v/>
      </c>
      <c r="B482" s="31" t="str">
        <f>IF(Table!B482 = "","",Table!B482)</f>
        <v/>
      </c>
      <c r="C482" s="31" t="str">
        <f>IF(Table!C482 = "","",Table!C482)</f>
        <v/>
      </c>
      <c r="D482" s="32" t="str">
        <f>IF(Table!D482 = "","",Table!D482)</f>
        <v/>
      </c>
      <c r="E482" s="32" t="str">
        <f>IF(Table!E482 = "","",Table!E482)</f>
        <v/>
      </c>
      <c r="F482" s="32" t="str">
        <f>IF(Table!F482 = "","",Table!F482)</f>
        <v/>
      </c>
      <c r="G482" s="91"/>
      <c r="I482" s="84" t="str">
        <f>IFERROR(VLOOKUP(A482,Downlink!A:L,12,TRUE),"")</f>
        <v/>
      </c>
      <c r="K482" s="31" t="str">
        <f>IFERROR(VLOOKUP(A482,Table!$I$4:$O$3000,1,TRUE),"")</f>
        <v/>
      </c>
      <c r="L482" s="31" t="str">
        <f>IFERROR(INDEX(Table!I:O,MATCH(K482,Table!I:I,0),2),"")</f>
        <v/>
      </c>
      <c r="M482" s="31" t="str">
        <f>IFERROR(INDEX(Table!I:O,MATCH(K482,Table!I:I,0),3),"")</f>
        <v/>
      </c>
      <c r="N482" s="32" t="str">
        <f>IFERROR(INDEX(Table!I:O,MATCH(K482,Table!I:I,0),4),"")</f>
        <v/>
      </c>
      <c r="O482" s="32" t="str">
        <f>IFERROR(INDEX(Table!I:O,MATCH(K482,Table!I:I,0),5),"")</f>
        <v/>
      </c>
      <c r="P482" s="32" t="str">
        <f>IFERROR(INDEX(Table!I:O,MATCH(K482,Table!I:I,0),6),"")</f>
        <v/>
      </c>
      <c r="Q482" s="89" t="str">
        <f t="shared" si="21"/>
        <v/>
      </c>
      <c r="R482" s="89" t="str">
        <f t="shared" si="22"/>
        <v/>
      </c>
      <c r="S482" s="82"/>
      <c r="U482" s="37" t="e">
        <f t="shared" si="23"/>
        <v>#VALUE!</v>
      </c>
    </row>
    <row r="483" spans="1:21" x14ac:dyDescent="0.25">
      <c r="A483" s="31" t="str">
        <f>IF(Table!A483 = "","",Table!A483)</f>
        <v/>
      </c>
      <c r="B483" s="31" t="str">
        <f>IF(Table!B483 = "","",Table!B483)</f>
        <v/>
      </c>
      <c r="C483" s="31" t="str">
        <f>IF(Table!C483 = "","",Table!C483)</f>
        <v/>
      </c>
      <c r="D483" s="32" t="str">
        <f>IF(Table!D483 = "","",Table!D483)</f>
        <v/>
      </c>
      <c r="E483" s="32" t="str">
        <f>IF(Table!E483 = "","",Table!E483)</f>
        <v/>
      </c>
      <c r="F483" s="32" t="str">
        <f>IF(Table!F483 = "","",Table!F483)</f>
        <v/>
      </c>
      <c r="G483" s="91"/>
      <c r="I483" s="84" t="str">
        <f>IFERROR(VLOOKUP(A483,Downlink!A:L,12,TRUE),"")</f>
        <v/>
      </c>
      <c r="K483" s="31" t="str">
        <f>IFERROR(VLOOKUP(A483,Table!$I$4:$O$3000,1,TRUE),"")</f>
        <v/>
      </c>
      <c r="L483" s="31" t="str">
        <f>IFERROR(INDEX(Table!I:O,MATCH(K483,Table!I:I,0),2),"")</f>
        <v/>
      </c>
      <c r="M483" s="31" t="str">
        <f>IFERROR(INDEX(Table!I:O,MATCH(K483,Table!I:I,0),3),"")</f>
        <v/>
      </c>
      <c r="N483" s="32" t="str">
        <f>IFERROR(INDEX(Table!I:O,MATCH(K483,Table!I:I,0),4),"")</f>
        <v/>
      </c>
      <c r="O483" s="32" t="str">
        <f>IFERROR(INDEX(Table!I:O,MATCH(K483,Table!I:I,0),5),"")</f>
        <v/>
      </c>
      <c r="P483" s="32" t="str">
        <f>IFERROR(INDEX(Table!I:O,MATCH(K483,Table!I:I,0),6),"")</f>
        <v/>
      </c>
      <c r="Q483" s="89" t="str">
        <f t="shared" si="21"/>
        <v/>
      </c>
      <c r="R483" s="89" t="str">
        <f t="shared" si="22"/>
        <v/>
      </c>
      <c r="S483" s="82"/>
      <c r="U483" s="37" t="e">
        <f t="shared" si="23"/>
        <v>#VALUE!</v>
      </c>
    </row>
    <row r="484" spans="1:21" x14ac:dyDescent="0.25">
      <c r="A484" s="31" t="str">
        <f>IF(Table!A484 = "","",Table!A484)</f>
        <v/>
      </c>
      <c r="B484" s="31" t="str">
        <f>IF(Table!B484 = "","",Table!B484)</f>
        <v/>
      </c>
      <c r="C484" s="31" t="str">
        <f>IF(Table!C484 = "","",Table!C484)</f>
        <v/>
      </c>
      <c r="D484" s="32" t="str">
        <f>IF(Table!D484 = "","",Table!D484)</f>
        <v/>
      </c>
      <c r="E484" s="32" t="str">
        <f>IF(Table!E484 = "","",Table!E484)</f>
        <v/>
      </c>
      <c r="F484" s="32" t="str">
        <f>IF(Table!F484 = "","",Table!F484)</f>
        <v/>
      </c>
      <c r="G484" s="91"/>
      <c r="I484" s="84" t="str">
        <f>IFERROR(VLOOKUP(A484,Downlink!A:L,12,TRUE),"")</f>
        <v/>
      </c>
      <c r="K484" s="31" t="str">
        <f>IFERROR(VLOOKUP(A484,Table!$I$4:$O$3000,1,TRUE),"")</f>
        <v/>
      </c>
      <c r="L484" s="31" t="str">
        <f>IFERROR(INDEX(Table!I:O,MATCH(K484,Table!I:I,0),2),"")</f>
        <v/>
      </c>
      <c r="M484" s="31" t="str">
        <f>IFERROR(INDEX(Table!I:O,MATCH(K484,Table!I:I,0),3),"")</f>
        <v/>
      </c>
      <c r="N484" s="32" t="str">
        <f>IFERROR(INDEX(Table!I:O,MATCH(K484,Table!I:I,0),4),"")</f>
        <v/>
      </c>
      <c r="O484" s="32" t="str">
        <f>IFERROR(INDEX(Table!I:O,MATCH(K484,Table!I:I,0),5),"")</f>
        <v/>
      </c>
      <c r="P484" s="32" t="str">
        <f>IFERROR(INDEX(Table!I:O,MATCH(K484,Table!I:I,0),6),"")</f>
        <v/>
      </c>
      <c r="Q484" s="89" t="str">
        <f t="shared" si="21"/>
        <v/>
      </c>
      <c r="R484" s="89" t="str">
        <f t="shared" si="22"/>
        <v/>
      </c>
      <c r="S484" s="82"/>
      <c r="U484" s="37" t="e">
        <f t="shared" si="23"/>
        <v>#VALUE!</v>
      </c>
    </row>
    <row r="485" spans="1:21" x14ac:dyDescent="0.25">
      <c r="A485" s="31" t="str">
        <f>IF(Table!A485 = "","",Table!A485)</f>
        <v/>
      </c>
      <c r="B485" s="31" t="str">
        <f>IF(Table!B485 = "","",Table!B485)</f>
        <v/>
      </c>
      <c r="C485" s="31" t="str">
        <f>IF(Table!C485 = "","",Table!C485)</f>
        <v/>
      </c>
      <c r="D485" s="32" t="str">
        <f>IF(Table!D485 = "","",Table!D485)</f>
        <v/>
      </c>
      <c r="E485" s="32" t="str">
        <f>IF(Table!E485 = "","",Table!E485)</f>
        <v/>
      </c>
      <c r="F485" s="32" t="str">
        <f>IF(Table!F485 = "","",Table!F485)</f>
        <v/>
      </c>
      <c r="G485" s="91"/>
      <c r="I485" s="84" t="str">
        <f>IFERROR(VLOOKUP(A485,Downlink!A:L,12,TRUE),"")</f>
        <v/>
      </c>
      <c r="K485" s="31" t="str">
        <f>IFERROR(VLOOKUP(A485,Table!$I$4:$O$3000,1,TRUE),"")</f>
        <v/>
      </c>
      <c r="L485" s="31" t="str">
        <f>IFERROR(INDEX(Table!I:O,MATCH(K485,Table!I:I,0),2),"")</f>
        <v/>
      </c>
      <c r="M485" s="31" t="str">
        <f>IFERROR(INDEX(Table!I:O,MATCH(K485,Table!I:I,0),3),"")</f>
        <v/>
      </c>
      <c r="N485" s="32" t="str">
        <f>IFERROR(INDEX(Table!I:O,MATCH(K485,Table!I:I,0),4),"")</f>
        <v/>
      </c>
      <c r="O485" s="32" t="str">
        <f>IFERROR(INDEX(Table!I:O,MATCH(K485,Table!I:I,0),5),"")</f>
        <v/>
      </c>
      <c r="P485" s="32" t="str">
        <f>IFERROR(INDEX(Table!I:O,MATCH(K485,Table!I:I,0),6),"")</f>
        <v/>
      </c>
      <c r="Q485" s="89" t="str">
        <f t="shared" si="21"/>
        <v/>
      </c>
      <c r="R485" s="89" t="str">
        <f t="shared" si="22"/>
        <v/>
      </c>
      <c r="S485" s="82"/>
      <c r="U485" s="37" t="e">
        <f t="shared" si="23"/>
        <v>#VALUE!</v>
      </c>
    </row>
    <row r="486" spans="1:21" x14ac:dyDescent="0.25">
      <c r="A486" s="31" t="str">
        <f>IF(Table!A486 = "","",Table!A486)</f>
        <v/>
      </c>
      <c r="B486" s="31" t="str">
        <f>IF(Table!B486 = "","",Table!B486)</f>
        <v/>
      </c>
      <c r="C486" s="31" t="str">
        <f>IF(Table!C486 = "","",Table!C486)</f>
        <v/>
      </c>
      <c r="D486" s="32" t="str">
        <f>IF(Table!D486 = "","",Table!D486)</f>
        <v/>
      </c>
      <c r="E486" s="32" t="str">
        <f>IF(Table!E486 = "","",Table!E486)</f>
        <v/>
      </c>
      <c r="F486" s="32" t="str">
        <f>IF(Table!F486 = "","",Table!F486)</f>
        <v/>
      </c>
      <c r="G486" s="91"/>
      <c r="I486" s="84" t="str">
        <f>IFERROR(VLOOKUP(A486,Downlink!A:L,12,TRUE),"")</f>
        <v/>
      </c>
      <c r="K486" s="31" t="str">
        <f>IFERROR(VLOOKUP(A486,Table!$I$4:$O$3000,1,TRUE),"")</f>
        <v/>
      </c>
      <c r="L486" s="31" t="str">
        <f>IFERROR(INDEX(Table!I:O,MATCH(K486,Table!I:I,0),2),"")</f>
        <v/>
      </c>
      <c r="M486" s="31" t="str">
        <f>IFERROR(INDEX(Table!I:O,MATCH(K486,Table!I:I,0),3),"")</f>
        <v/>
      </c>
      <c r="N486" s="32" t="str">
        <f>IFERROR(INDEX(Table!I:O,MATCH(K486,Table!I:I,0),4),"")</f>
        <v/>
      </c>
      <c r="O486" s="32" t="str">
        <f>IFERROR(INDEX(Table!I:O,MATCH(K486,Table!I:I,0),5),"")</f>
        <v/>
      </c>
      <c r="P486" s="32" t="str">
        <f>IFERROR(INDEX(Table!I:O,MATCH(K486,Table!I:I,0),6),"")</f>
        <v/>
      </c>
      <c r="Q486" s="89" t="str">
        <f t="shared" si="21"/>
        <v/>
      </c>
      <c r="R486" s="89" t="str">
        <f t="shared" si="22"/>
        <v/>
      </c>
      <c r="S486" s="82"/>
      <c r="U486" s="37" t="e">
        <f t="shared" si="23"/>
        <v>#VALUE!</v>
      </c>
    </row>
    <row r="487" spans="1:21" x14ac:dyDescent="0.25">
      <c r="A487" s="31" t="str">
        <f>IF(Table!A487 = "","",Table!A487)</f>
        <v/>
      </c>
      <c r="B487" s="31" t="str">
        <f>IF(Table!B487 = "","",Table!B487)</f>
        <v/>
      </c>
      <c r="C487" s="31" t="str">
        <f>IF(Table!C487 = "","",Table!C487)</f>
        <v/>
      </c>
      <c r="D487" s="32" t="str">
        <f>IF(Table!D487 = "","",Table!D487)</f>
        <v/>
      </c>
      <c r="E487" s="32" t="str">
        <f>IF(Table!E487 = "","",Table!E487)</f>
        <v/>
      </c>
      <c r="F487" s="32" t="str">
        <f>IF(Table!F487 = "","",Table!F487)</f>
        <v/>
      </c>
      <c r="G487" s="91"/>
      <c r="I487" s="84" t="str">
        <f>IFERROR(VLOOKUP(A487,Downlink!A:L,12,TRUE),"")</f>
        <v/>
      </c>
      <c r="K487" s="31" t="str">
        <f>IFERROR(VLOOKUP(A487,Table!$I$4:$O$3000,1,TRUE),"")</f>
        <v/>
      </c>
      <c r="L487" s="31" t="str">
        <f>IFERROR(INDEX(Table!I:O,MATCH(K487,Table!I:I,0),2),"")</f>
        <v/>
      </c>
      <c r="M487" s="31" t="str">
        <f>IFERROR(INDEX(Table!I:O,MATCH(K487,Table!I:I,0),3),"")</f>
        <v/>
      </c>
      <c r="N487" s="32" t="str">
        <f>IFERROR(INDEX(Table!I:O,MATCH(K487,Table!I:I,0),4),"")</f>
        <v/>
      </c>
      <c r="O487" s="32" t="str">
        <f>IFERROR(INDEX(Table!I:O,MATCH(K487,Table!I:I,0),5),"")</f>
        <v/>
      </c>
      <c r="P487" s="32" t="str">
        <f>IFERROR(INDEX(Table!I:O,MATCH(K487,Table!I:I,0),6),"")</f>
        <v/>
      </c>
      <c r="Q487" s="89" t="str">
        <f t="shared" si="21"/>
        <v/>
      </c>
      <c r="R487" s="89" t="str">
        <f t="shared" si="22"/>
        <v/>
      </c>
      <c r="S487" s="82"/>
      <c r="U487" s="37" t="e">
        <f t="shared" si="23"/>
        <v>#VALUE!</v>
      </c>
    </row>
    <row r="488" spans="1:21" x14ac:dyDescent="0.25">
      <c r="A488" s="31" t="str">
        <f>IF(Table!A488 = "","",Table!A488)</f>
        <v/>
      </c>
      <c r="B488" s="31" t="str">
        <f>IF(Table!B488 = "","",Table!B488)</f>
        <v/>
      </c>
      <c r="C488" s="31" t="str">
        <f>IF(Table!C488 = "","",Table!C488)</f>
        <v/>
      </c>
      <c r="D488" s="32" t="str">
        <f>IF(Table!D488 = "","",Table!D488)</f>
        <v/>
      </c>
      <c r="E488" s="32" t="str">
        <f>IF(Table!E488 = "","",Table!E488)</f>
        <v/>
      </c>
      <c r="F488" s="32" t="str">
        <f>IF(Table!F488 = "","",Table!F488)</f>
        <v/>
      </c>
      <c r="G488" s="91"/>
      <c r="I488" s="84" t="str">
        <f>IFERROR(VLOOKUP(A488,Downlink!A:L,12,TRUE),"")</f>
        <v/>
      </c>
      <c r="K488" s="31" t="str">
        <f>IFERROR(VLOOKUP(A488,Table!$I$4:$O$3000,1,TRUE),"")</f>
        <v/>
      </c>
      <c r="L488" s="31" t="str">
        <f>IFERROR(INDEX(Table!I:O,MATCH(K488,Table!I:I,0),2),"")</f>
        <v/>
      </c>
      <c r="M488" s="31" t="str">
        <f>IFERROR(INDEX(Table!I:O,MATCH(K488,Table!I:I,0),3),"")</f>
        <v/>
      </c>
      <c r="N488" s="32" t="str">
        <f>IFERROR(INDEX(Table!I:O,MATCH(K488,Table!I:I,0),4),"")</f>
        <v/>
      </c>
      <c r="O488" s="32" t="str">
        <f>IFERROR(INDEX(Table!I:O,MATCH(K488,Table!I:I,0),5),"")</f>
        <v/>
      </c>
      <c r="P488" s="32" t="str">
        <f>IFERROR(INDEX(Table!I:O,MATCH(K488,Table!I:I,0),6),"")</f>
        <v/>
      </c>
      <c r="Q488" s="89" t="str">
        <f t="shared" si="21"/>
        <v/>
      </c>
      <c r="R488" s="89" t="str">
        <f t="shared" si="22"/>
        <v/>
      </c>
      <c r="S488" s="82"/>
      <c r="U488" s="37" t="e">
        <f t="shared" si="23"/>
        <v>#VALUE!</v>
      </c>
    </row>
    <row r="489" spans="1:21" x14ac:dyDescent="0.25">
      <c r="A489" s="31" t="str">
        <f>IF(Table!A489 = "","",Table!A489)</f>
        <v/>
      </c>
      <c r="B489" s="31" t="str">
        <f>IF(Table!B489 = "","",Table!B489)</f>
        <v/>
      </c>
      <c r="C489" s="31" t="str">
        <f>IF(Table!C489 = "","",Table!C489)</f>
        <v/>
      </c>
      <c r="D489" s="32" t="str">
        <f>IF(Table!D489 = "","",Table!D489)</f>
        <v/>
      </c>
      <c r="E489" s="32" t="str">
        <f>IF(Table!E489 = "","",Table!E489)</f>
        <v/>
      </c>
      <c r="F489" s="32" t="str">
        <f>IF(Table!F489 = "","",Table!F489)</f>
        <v/>
      </c>
      <c r="G489" s="91"/>
      <c r="I489" s="84" t="str">
        <f>IFERROR(VLOOKUP(A489,Downlink!A:L,12,TRUE),"")</f>
        <v/>
      </c>
      <c r="K489" s="31" t="str">
        <f>IFERROR(VLOOKUP(A489,Table!$I$4:$O$3000,1,TRUE),"")</f>
        <v/>
      </c>
      <c r="L489" s="31" t="str">
        <f>IFERROR(INDEX(Table!I:O,MATCH(K489,Table!I:I,0),2),"")</f>
        <v/>
      </c>
      <c r="M489" s="31" t="str">
        <f>IFERROR(INDEX(Table!I:O,MATCH(K489,Table!I:I,0),3),"")</f>
        <v/>
      </c>
      <c r="N489" s="32" t="str">
        <f>IFERROR(INDEX(Table!I:O,MATCH(K489,Table!I:I,0),4),"")</f>
        <v/>
      </c>
      <c r="O489" s="32" t="str">
        <f>IFERROR(INDEX(Table!I:O,MATCH(K489,Table!I:I,0),5),"")</f>
        <v/>
      </c>
      <c r="P489" s="32" t="str">
        <f>IFERROR(INDEX(Table!I:O,MATCH(K489,Table!I:I,0),6),"")</f>
        <v/>
      </c>
      <c r="Q489" s="89" t="str">
        <f t="shared" si="21"/>
        <v/>
      </c>
      <c r="R489" s="89" t="str">
        <f t="shared" si="22"/>
        <v/>
      </c>
      <c r="S489" s="82"/>
      <c r="U489" s="37" t="e">
        <f t="shared" si="23"/>
        <v>#VALUE!</v>
      </c>
    </row>
    <row r="490" spans="1:21" x14ac:dyDescent="0.25">
      <c r="A490" s="31" t="str">
        <f>IF(Table!A490 = "","",Table!A490)</f>
        <v/>
      </c>
      <c r="B490" s="31" t="str">
        <f>IF(Table!B490 = "","",Table!B490)</f>
        <v/>
      </c>
      <c r="C490" s="31" t="str">
        <f>IF(Table!C490 = "","",Table!C490)</f>
        <v/>
      </c>
      <c r="D490" s="32" t="str">
        <f>IF(Table!D490 = "","",Table!D490)</f>
        <v/>
      </c>
      <c r="E490" s="32" t="str">
        <f>IF(Table!E490 = "","",Table!E490)</f>
        <v/>
      </c>
      <c r="F490" s="32" t="str">
        <f>IF(Table!F490 = "","",Table!F490)</f>
        <v/>
      </c>
      <c r="G490" s="91"/>
      <c r="I490" s="84" t="str">
        <f>IFERROR(VLOOKUP(A490,Downlink!A:L,12,TRUE),"")</f>
        <v/>
      </c>
      <c r="K490" s="31" t="str">
        <f>IFERROR(VLOOKUP(A490,Table!$I$4:$O$3000,1,TRUE),"")</f>
        <v/>
      </c>
      <c r="L490" s="31" t="str">
        <f>IFERROR(INDEX(Table!I:O,MATCH(K490,Table!I:I,0),2),"")</f>
        <v/>
      </c>
      <c r="M490" s="31" t="str">
        <f>IFERROR(INDEX(Table!I:O,MATCH(K490,Table!I:I,0),3),"")</f>
        <v/>
      </c>
      <c r="N490" s="32" t="str">
        <f>IFERROR(INDEX(Table!I:O,MATCH(K490,Table!I:I,0),4),"")</f>
        <v/>
      </c>
      <c r="O490" s="32" t="str">
        <f>IFERROR(INDEX(Table!I:O,MATCH(K490,Table!I:I,0),5),"")</f>
        <v/>
      </c>
      <c r="P490" s="32" t="str">
        <f>IFERROR(INDEX(Table!I:O,MATCH(K490,Table!I:I,0),6),"")</f>
        <v/>
      </c>
      <c r="Q490" s="89" t="str">
        <f t="shared" si="21"/>
        <v/>
      </c>
      <c r="R490" s="89" t="str">
        <f t="shared" si="22"/>
        <v/>
      </c>
      <c r="S490" s="82"/>
      <c r="U490" s="37" t="e">
        <f t="shared" si="23"/>
        <v>#VALUE!</v>
      </c>
    </row>
    <row r="491" spans="1:21" x14ac:dyDescent="0.25">
      <c r="A491" s="31" t="str">
        <f>IF(Table!A491 = "","",Table!A491)</f>
        <v/>
      </c>
      <c r="B491" s="31" t="str">
        <f>IF(Table!B491 = "","",Table!B491)</f>
        <v/>
      </c>
      <c r="C491" s="31" t="str">
        <f>IF(Table!C491 = "","",Table!C491)</f>
        <v/>
      </c>
      <c r="D491" s="32" t="str">
        <f>IF(Table!D491 = "","",Table!D491)</f>
        <v/>
      </c>
      <c r="E491" s="32" t="str">
        <f>IF(Table!E491 = "","",Table!E491)</f>
        <v/>
      </c>
      <c r="F491" s="32" t="str">
        <f>IF(Table!F491 = "","",Table!F491)</f>
        <v/>
      </c>
      <c r="G491" s="91"/>
      <c r="I491" s="84" t="str">
        <f>IFERROR(VLOOKUP(A491,Downlink!A:L,12,TRUE),"")</f>
        <v/>
      </c>
      <c r="K491" s="31" t="str">
        <f>IFERROR(VLOOKUP(A491,Table!$I$4:$O$3000,1,TRUE),"")</f>
        <v/>
      </c>
      <c r="L491" s="31" t="str">
        <f>IFERROR(INDEX(Table!I:O,MATCH(K491,Table!I:I,0),2),"")</f>
        <v/>
      </c>
      <c r="M491" s="31" t="str">
        <f>IFERROR(INDEX(Table!I:O,MATCH(K491,Table!I:I,0),3),"")</f>
        <v/>
      </c>
      <c r="N491" s="32" t="str">
        <f>IFERROR(INDEX(Table!I:O,MATCH(K491,Table!I:I,0),4),"")</f>
        <v/>
      </c>
      <c r="O491" s="32" t="str">
        <f>IFERROR(INDEX(Table!I:O,MATCH(K491,Table!I:I,0),5),"")</f>
        <v/>
      </c>
      <c r="P491" s="32" t="str">
        <f>IFERROR(INDEX(Table!I:O,MATCH(K491,Table!I:I,0),6),"")</f>
        <v/>
      </c>
      <c r="Q491" s="89" t="str">
        <f t="shared" si="21"/>
        <v/>
      </c>
      <c r="R491" s="89" t="str">
        <f t="shared" si="22"/>
        <v/>
      </c>
      <c r="S491" s="82"/>
      <c r="U491" s="37" t="e">
        <f t="shared" si="23"/>
        <v>#VALUE!</v>
      </c>
    </row>
    <row r="492" spans="1:21" x14ac:dyDescent="0.25">
      <c r="A492" s="31" t="str">
        <f>IF(Table!A492 = "","",Table!A492)</f>
        <v/>
      </c>
      <c r="B492" s="31" t="str">
        <f>IF(Table!B492 = "","",Table!B492)</f>
        <v/>
      </c>
      <c r="C492" s="31" t="str">
        <f>IF(Table!C492 = "","",Table!C492)</f>
        <v/>
      </c>
      <c r="D492" s="32" t="str">
        <f>IF(Table!D492 = "","",Table!D492)</f>
        <v/>
      </c>
      <c r="E492" s="32" t="str">
        <f>IF(Table!E492 = "","",Table!E492)</f>
        <v/>
      </c>
      <c r="F492" s="32" t="str">
        <f>IF(Table!F492 = "","",Table!F492)</f>
        <v/>
      </c>
      <c r="G492" s="91"/>
      <c r="I492" s="84" t="str">
        <f>IFERROR(VLOOKUP(A492,Downlink!A:L,12,TRUE),"")</f>
        <v/>
      </c>
      <c r="K492" s="31" t="str">
        <f>IFERROR(VLOOKUP(A492,Table!$I$4:$O$3000,1,TRUE),"")</f>
        <v/>
      </c>
      <c r="L492" s="31" t="str">
        <f>IFERROR(INDEX(Table!I:O,MATCH(K492,Table!I:I,0),2),"")</f>
        <v/>
      </c>
      <c r="M492" s="31" t="str">
        <f>IFERROR(INDEX(Table!I:O,MATCH(K492,Table!I:I,0),3),"")</f>
        <v/>
      </c>
      <c r="N492" s="32" t="str">
        <f>IFERROR(INDEX(Table!I:O,MATCH(K492,Table!I:I,0),4),"")</f>
        <v/>
      </c>
      <c r="O492" s="32" t="str">
        <f>IFERROR(INDEX(Table!I:O,MATCH(K492,Table!I:I,0),5),"")</f>
        <v/>
      </c>
      <c r="P492" s="32" t="str">
        <f>IFERROR(INDEX(Table!I:O,MATCH(K492,Table!I:I,0),6),"")</f>
        <v/>
      </c>
      <c r="Q492" s="89" t="str">
        <f t="shared" si="21"/>
        <v/>
      </c>
      <c r="R492" s="89" t="str">
        <f t="shared" si="22"/>
        <v/>
      </c>
      <c r="S492" s="82"/>
      <c r="U492" s="37" t="e">
        <f t="shared" si="23"/>
        <v>#VALUE!</v>
      </c>
    </row>
    <row r="493" spans="1:21" x14ac:dyDescent="0.25">
      <c r="A493" s="31" t="str">
        <f>IF(Table!A493 = "","",Table!A493)</f>
        <v/>
      </c>
      <c r="B493" s="31" t="str">
        <f>IF(Table!B493 = "","",Table!B493)</f>
        <v/>
      </c>
      <c r="C493" s="31" t="str">
        <f>IF(Table!C493 = "","",Table!C493)</f>
        <v/>
      </c>
      <c r="D493" s="32" t="str">
        <f>IF(Table!D493 = "","",Table!D493)</f>
        <v/>
      </c>
      <c r="E493" s="32" t="str">
        <f>IF(Table!E493 = "","",Table!E493)</f>
        <v/>
      </c>
      <c r="F493" s="32" t="str">
        <f>IF(Table!F493 = "","",Table!F493)</f>
        <v/>
      </c>
      <c r="G493" s="91"/>
      <c r="I493" s="84" t="str">
        <f>IFERROR(VLOOKUP(A493,Downlink!A:L,12,TRUE),"")</f>
        <v/>
      </c>
      <c r="K493" s="31" t="str">
        <f>IFERROR(VLOOKUP(A493,Table!$I$4:$O$3000,1,TRUE),"")</f>
        <v/>
      </c>
      <c r="L493" s="31" t="str">
        <f>IFERROR(INDEX(Table!I:O,MATCH(K493,Table!I:I,0),2),"")</f>
        <v/>
      </c>
      <c r="M493" s="31" t="str">
        <f>IFERROR(INDEX(Table!I:O,MATCH(K493,Table!I:I,0),3),"")</f>
        <v/>
      </c>
      <c r="N493" s="32" t="str">
        <f>IFERROR(INDEX(Table!I:O,MATCH(K493,Table!I:I,0),4),"")</f>
        <v/>
      </c>
      <c r="O493" s="32" t="str">
        <f>IFERROR(INDEX(Table!I:O,MATCH(K493,Table!I:I,0),5),"")</f>
        <v/>
      </c>
      <c r="P493" s="32" t="str">
        <f>IFERROR(INDEX(Table!I:O,MATCH(K493,Table!I:I,0),6),"")</f>
        <v/>
      </c>
      <c r="Q493" s="89" t="str">
        <f t="shared" si="21"/>
        <v/>
      </c>
      <c r="R493" s="89" t="str">
        <f t="shared" si="22"/>
        <v/>
      </c>
      <c r="S493" s="82"/>
      <c r="U493" s="37" t="e">
        <f t="shared" si="23"/>
        <v>#VALUE!</v>
      </c>
    </row>
    <row r="494" spans="1:21" x14ac:dyDescent="0.25">
      <c r="A494" s="31" t="str">
        <f>IF(Table!A494 = "","",Table!A494)</f>
        <v/>
      </c>
      <c r="B494" s="31" t="str">
        <f>IF(Table!B494 = "","",Table!B494)</f>
        <v/>
      </c>
      <c r="C494" s="31" t="str">
        <f>IF(Table!C494 = "","",Table!C494)</f>
        <v/>
      </c>
      <c r="D494" s="32" t="str">
        <f>IF(Table!D494 = "","",Table!D494)</f>
        <v/>
      </c>
      <c r="E494" s="32" t="str">
        <f>IF(Table!E494 = "","",Table!E494)</f>
        <v/>
      </c>
      <c r="F494" s="32" t="str">
        <f>IF(Table!F494 = "","",Table!F494)</f>
        <v/>
      </c>
      <c r="G494" s="91"/>
      <c r="I494" s="84" t="str">
        <f>IFERROR(VLOOKUP(A494,Downlink!A:L,12,TRUE),"")</f>
        <v/>
      </c>
      <c r="K494" s="31" t="str">
        <f>IFERROR(VLOOKUP(A494,Table!$I$4:$O$3000,1,TRUE),"")</f>
        <v/>
      </c>
      <c r="L494" s="31" t="str">
        <f>IFERROR(INDEX(Table!I:O,MATCH(K494,Table!I:I,0),2),"")</f>
        <v/>
      </c>
      <c r="M494" s="31" t="str">
        <f>IFERROR(INDEX(Table!I:O,MATCH(K494,Table!I:I,0),3),"")</f>
        <v/>
      </c>
      <c r="N494" s="32" t="str">
        <f>IFERROR(INDEX(Table!I:O,MATCH(K494,Table!I:I,0),4),"")</f>
        <v/>
      </c>
      <c r="O494" s="32" t="str">
        <f>IFERROR(INDEX(Table!I:O,MATCH(K494,Table!I:I,0),5),"")</f>
        <v/>
      </c>
      <c r="P494" s="32" t="str">
        <f>IFERROR(INDEX(Table!I:O,MATCH(K494,Table!I:I,0),6),"")</f>
        <v/>
      </c>
      <c r="Q494" s="89" t="str">
        <f t="shared" si="21"/>
        <v/>
      </c>
      <c r="R494" s="89" t="str">
        <f t="shared" si="22"/>
        <v/>
      </c>
      <c r="S494" s="82"/>
      <c r="U494" s="37" t="e">
        <f t="shared" si="23"/>
        <v>#VALUE!</v>
      </c>
    </row>
    <row r="495" spans="1:21" x14ac:dyDescent="0.25">
      <c r="A495" s="31" t="str">
        <f>IF(Table!A495 = "","",Table!A495)</f>
        <v/>
      </c>
      <c r="B495" s="31" t="str">
        <f>IF(Table!B495 = "","",Table!B495)</f>
        <v/>
      </c>
      <c r="C495" s="31" t="str">
        <f>IF(Table!C495 = "","",Table!C495)</f>
        <v/>
      </c>
      <c r="D495" s="32" t="str">
        <f>IF(Table!D495 = "","",Table!D495)</f>
        <v/>
      </c>
      <c r="E495" s="32" t="str">
        <f>IF(Table!E495 = "","",Table!E495)</f>
        <v/>
      </c>
      <c r="F495" s="32" t="str">
        <f>IF(Table!F495 = "","",Table!F495)</f>
        <v/>
      </c>
      <c r="G495" s="91"/>
      <c r="I495" s="84" t="str">
        <f>IFERROR(VLOOKUP(A495,Downlink!A:L,12,TRUE),"")</f>
        <v/>
      </c>
      <c r="K495" s="31" t="str">
        <f>IFERROR(VLOOKUP(A495,Table!$I$4:$O$3000,1,TRUE),"")</f>
        <v/>
      </c>
      <c r="L495" s="31" t="str">
        <f>IFERROR(INDEX(Table!I:O,MATCH(K495,Table!I:I,0),2),"")</f>
        <v/>
      </c>
      <c r="M495" s="31" t="str">
        <f>IFERROR(INDEX(Table!I:O,MATCH(K495,Table!I:I,0),3),"")</f>
        <v/>
      </c>
      <c r="N495" s="32" t="str">
        <f>IFERROR(INDEX(Table!I:O,MATCH(K495,Table!I:I,0),4),"")</f>
        <v/>
      </c>
      <c r="O495" s="32" t="str">
        <f>IFERROR(INDEX(Table!I:O,MATCH(K495,Table!I:I,0),5),"")</f>
        <v/>
      </c>
      <c r="P495" s="32" t="str">
        <f>IFERROR(INDEX(Table!I:O,MATCH(K495,Table!I:I,0),6),"")</f>
        <v/>
      </c>
      <c r="Q495" s="89" t="str">
        <f t="shared" si="21"/>
        <v/>
      </c>
      <c r="R495" s="89" t="str">
        <f t="shared" si="22"/>
        <v/>
      </c>
      <c r="S495" s="82"/>
      <c r="U495" s="37" t="e">
        <f t="shared" si="23"/>
        <v>#VALUE!</v>
      </c>
    </row>
    <row r="496" spans="1:21" x14ac:dyDescent="0.25">
      <c r="A496" s="31" t="str">
        <f>IF(Table!A496 = "","",Table!A496)</f>
        <v/>
      </c>
      <c r="B496" s="31" t="str">
        <f>IF(Table!B496 = "","",Table!B496)</f>
        <v/>
      </c>
      <c r="C496" s="31" t="str">
        <f>IF(Table!C496 = "","",Table!C496)</f>
        <v/>
      </c>
      <c r="D496" s="32" t="str">
        <f>IF(Table!D496 = "","",Table!D496)</f>
        <v/>
      </c>
      <c r="E496" s="32" t="str">
        <f>IF(Table!E496 = "","",Table!E496)</f>
        <v/>
      </c>
      <c r="F496" s="32" t="str">
        <f>IF(Table!F496 = "","",Table!F496)</f>
        <v/>
      </c>
      <c r="G496" s="91"/>
      <c r="I496" s="84" t="str">
        <f>IFERROR(VLOOKUP(A496,Downlink!A:L,12,TRUE),"")</f>
        <v/>
      </c>
      <c r="K496" s="31" t="str">
        <f>IFERROR(VLOOKUP(A496,Table!$I$4:$O$3000,1,TRUE),"")</f>
        <v/>
      </c>
      <c r="L496" s="31" t="str">
        <f>IFERROR(INDEX(Table!I:O,MATCH(K496,Table!I:I,0),2),"")</f>
        <v/>
      </c>
      <c r="M496" s="31" t="str">
        <f>IFERROR(INDEX(Table!I:O,MATCH(K496,Table!I:I,0),3),"")</f>
        <v/>
      </c>
      <c r="N496" s="32" t="str">
        <f>IFERROR(INDEX(Table!I:O,MATCH(K496,Table!I:I,0),4),"")</f>
        <v/>
      </c>
      <c r="O496" s="32" t="str">
        <f>IFERROR(INDEX(Table!I:O,MATCH(K496,Table!I:I,0),5),"")</f>
        <v/>
      </c>
      <c r="P496" s="32" t="str">
        <f>IFERROR(INDEX(Table!I:O,MATCH(K496,Table!I:I,0),6),"")</f>
        <v/>
      </c>
      <c r="Q496" s="89" t="str">
        <f t="shared" si="21"/>
        <v/>
      </c>
      <c r="R496" s="89" t="str">
        <f t="shared" si="22"/>
        <v/>
      </c>
      <c r="S496" s="82"/>
      <c r="U496" s="37" t="e">
        <f t="shared" si="23"/>
        <v>#VALUE!</v>
      </c>
    </row>
    <row r="497" spans="1:21" x14ac:dyDescent="0.25">
      <c r="A497" s="31" t="str">
        <f>IF(Table!A497 = "","",Table!A497)</f>
        <v/>
      </c>
      <c r="B497" s="31" t="str">
        <f>IF(Table!B497 = "","",Table!B497)</f>
        <v/>
      </c>
      <c r="C497" s="31" t="str">
        <f>IF(Table!C497 = "","",Table!C497)</f>
        <v/>
      </c>
      <c r="D497" s="32" t="str">
        <f>IF(Table!D497 = "","",Table!D497)</f>
        <v/>
      </c>
      <c r="E497" s="32" t="str">
        <f>IF(Table!E497 = "","",Table!E497)</f>
        <v/>
      </c>
      <c r="F497" s="32" t="str">
        <f>IF(Table!F497 = "","",Table!F497)</f>
        <v/>
      </c>
      <c r="G497" s="91"/>
      <c r="I497" s="84" t="str">
        <f>IFERROR(VLOOKUP(A497,Downlink!A:L,12,TRUE),"")</f>
        <v/>
      </c>
      <c r="K497" s="31" t="str">
        <f>IFERROR(VLOOKUP(A497,Table!$I$4:$O$3000,1,TRUE),"")</f>
        <v/>
      </c>
      <c r="L497" s="31" t="str">
        <f>IFERROR(INDEX(Table!I:O,MATCH(K497,Table!I:I,0),2),"")</f>
        <v/>
      </c>
      <c r="M497" s="31" t="str">
        <f>IFERROR(INDEX(Table!I:O,MATCH(K497,Table!I:I,0),3),"")</f>
        <v/>
      </c>
      <c r="N497" s="32" t="str">
        <f>IFERROR(INDEX(Table!I:O,MATCH(K497,Table!I:I,0),4),"")</f>
        <v/>
      </c>
      <c r="O497" s="32" t="str">
        <f>IFERROR(INDEX(Table!I:O,MATCH(K497,Table!I:I,0),5),"")</f>
        <v/>
      </c>
      <c r="P497" s="32" t="str">
        <f>IFERROR(INDEX(Table!I:O,MATCH(K497,Table!I:I,0),6),"")</f>
        <v/>
      </c>
      <c r="Q497" s="89" t="str">
        <f t="shared" si="21"/>
        <v/>
      </c>
      <c r="R497" s="89" t="str">
        <f t="shared" si="22"/>
        <v/>
      </c>
      <c r="S497" s="82"/>
      <c r="U497" s="37" t="e">
        <f t="shared" si="23"/>
        <v>#VALUE!</v>
      </c>
    </row>
    <row r="498" spans="1:21" x14ac:dyDescent="0.25">
      <c r="A498" s="31" t="str">
        <f>IF(Table!A498 = "","",Table!A498)</f>
        <v/>
      </c>
      <c r="B498" s="31" t="str">
        <f>IF(Table!B498 = "","",Table!B498)</f>
        <v/>
      </c>
      <c r="C498" s="31" t="str">
        <f>IF(Table!C498 = "","",Table!C498)</f>
        <v/>
      </c>
      <c r="D498" s="32" t="str">
        <f>IF(Table!D498 = "","",Table!D498)</f>
        <v/>
      </c>
      <c r="E498" s="32" t="str">
        <f>IF(Table!E498 = "","",Table!E498)</f>
        <v/>
      </c>
      <c r="F498" s="32" t="str">
        <f>IF(Table!F498 = "","",Table!F498)</f>
        <v/>
      </c>
      <c r="G498" s="91"/>
      <c r="I498" s="84" t="str">
        <f>IFERROR(VLOOKUP(A498,Downlink!A:L,12,TRUE),"")</f>
        <v/>
      </c>
      <c r="K498" s="31" t="str">
        <f>IFERROR(VLOOKUP(A498,Table!$I$4:$O$3000,1,TRUE),"")</f>
        <v/>
      </c>
      <c r="L498" s="31" t="str">
        <f>IFERROR(INDEX(Table!I:O,MATCH(K498,Table!I:I,0),2),"")</f>
        <v/>
      </c>
      <c r="M498" s="31" t="str">
        <f>IFERROR(INDEX(Table!I:O,MATCH(K498,Table!I:I,0),3),"")</f>
        <v/>
      </c>
      <c r="N498" s="32" t="str">
        <f>IFERROR(INDEX(Table!I:O,MATCH(K498,Table!I:I,0),4),"")</f>
        <v/>
      </c>
      <c r="O498" s="32" t="str">
        <f>IFERROR(INDEX(Table!I:O,MATCH(K498,Table!I:I,0),5),"")</f>
        <v/>
      </c>
      <c r="P498" s="32" t="str">
        <f>IFERROR(INDEX(Table!I:O,MATCH(K498,Table!I:I,0),6),"")</f>
        <v/>
      </c>
      <c r="Q498" s="89" t="str">
        <f t="shared" si="21"/>
        <v/>
      </c>
      <c r="R498" s="89" t="str">
        <f t="shared" si="22"/>
        <v/>
      </c>
      <c r="S498" s="82"/>
      <c r="U498" s="37" t="e">
        <f t="shared" si="23"/>
        <v>#VALUE!</v>
      </c>
    </row>
    <row r="499" spans="1:21" x14ac:dyDescent="0.25">
      <c r="A499" s="31" t="str">
        <f>IF(Table!A499 = "","",Table!A499)</f>
        <v/>
      </c>
      <c r="B499" s="31" t="str">
        <f>IF(Table!B499 = "","",Table!B499)</f>
        <v/>
      </c>
      <c r="C499" s="31" t="str">
        <f>IF(Table!C499 = "","",Table!C499)</f>
        <v/>
      </c>
      <c r="D499" s="32" t="str">
        <f>IF(Table!D499 = "","",Table!D499)</f>
        <v/>
      </c>
      <c r="E499" s="32" t="str">
        <f>IF(Table!E499 = "","",Table!E499)</f>
        <v/>
      </c>
      <c r="F499" s="32" t="str">
        <f>IF(Table!F499 = "","",Table!F499)</f>
        <v/>
      </c>
      <c r="G499" s="91"/>
      <c r="I499" s="84" t="str">
        <f>IFERROR(VLOOKUP(A499,Downlink!A:L,12,TRUE),"")</f>
        <v/>
      </c>
      <c r="K499" s="31" t="str">
        <f>IFERROR(VLOOKUP(A499,Table!$I$4:$O$3000,1,TRUE),"")</f>
        <v/>
      </c>
      <c r="L499" s="31" t="str">
        <f>IFERROR(INDEX(Table!I:O,MATCH(K499,Table!I:I,0),2),"")</f>
        <v/>
      </c>
      <c r="M499" s="31" t="str">
        <f>IFERROR(INDEX(Table!I:O,MATCH(K499,Table!I:I,0),3),"")</f>
        <v/>
      </c>
      <c r="N499" s="32" t="str">
        <f>IFERROR(INDEX(Table!I:O,MATCH(K499,Table!I:I,0),4),"")</f>
        <v/>
      </c>
      <c r="O499" s="32" t="str">
        <f>IFERROR(INDEX(Table!I:O,MATCH(K499,Table!I:I,0),5),"")</f>
        <v/>
      </c>
      <c r="P499" s="32" t="str">
        <f>IFERROR(INDEX(Table!I:O,MATCH(K499,Table!I:I,0),6),"")</f>
        <v/>
      </c>
      <c r="Q499" s="89" t="str">
        <f t="shared" si="21"/>
        <v/>
      </c>
      <c r="R499" s="89" t="str">
        <f t="shared" si="22"/>
        <v/>
      </c>
      <c r="S499" s="82"/>
      <c r="U499" s="37" t="e">
        <f t="shared" si="23"/>
        <v>#VALUE!</v>
      </c>
    </row>
    <row r="500" spans="1:21" x14ac:dyDescent="0.25">
      <c r="A500" s="31" t="str">
        <f>IF(Table!A500 = "","",Table!A500)</f>
        <v/>
      </c>
      <c r="B500" s="31" t="str">
        <f>IF(Table!B500 = "","",Table!B500)</f>
        <v/>
      </c>
      <c r="C500" s="31" t="str">
        <f>IF(Table!C500 = "","",Table!C500)</f>
        <v/>
      </c>
      <c r="D500" s="32" t="str">
        <f>IF(Table!D500 = "","",Table!D500)</f>
        <v/>
      </c>
      <c r="E500" s="32" t="str">
        <f>IF(Table!E500 = "","",Table!E500)</f>
        <v/>
      </c>
      <c r="F500" s="32" t="str">
        <f>IF(Table!F500 = "","",Table!F500)</f>
        <v/>
      </c>
      <c r="G500" s="91"/>
      <c r="I500" s="84" t="str">
        <f>IFERROR(VLOOKUP(A500,Downlink!A:L,12,TRUE),"")</f>
        <v/>
      </c>
      <c r="K500" s="31" t="str">
        <f>IFERROR(VLOOKUP(A500,Table!$I$4:$O$3000,1,TRUE),"")</f>
        <v/>
      </c>
      <c r="L500" s="31" t="str">
        <f>IFERROR(INDEX(Table!I:O,MATCH(K500,Table!I:I,0),2),"")</f>
        <v/>
      </c>
      <c r="M500" s="31" t="str">
        <f>IFERROR(INDEX(Table!I:O,MATCH(K500,Table!I:I,0),3),"")</f>
        <v/>
      </c>
      <c r="N500" s="32" t="str">
        <f>IFERROR(INDEX(Table!I:O,MATCH(K500,Table!I:I,0),4),"")</f>
        <v/>
      </c>
      <c r="O500" s="32" t="str">
        <f>IFERROR(INDEX(Table!I:O,MATCH(K500,Table!I:I,0),5),"")</f>
        <v/>
      </c>
      <c r="P500" s="32" t="str">
        <f>IFERROR(INDEX(Table!I:O,MATCH(K500,Table!I:I,0),6),"")</f>
        <v/>
      </c>
      <c r="Q500" s="89" t="str">
        <f t="shared" si="21"/>
        <v/>
      </c>
      <c r="R500" s="89" t="str">
        <f t="shared" si="22"/>
        <v/>
      </c>
      <c r="S500" s="82"/>
      <c r="U500" s="37" t="e">
        <f t="shared" si="23"/>
        <v>#VALUE!</v>
      </c>
    </row>
    <row r="501" spans="1:21" x14ac:dyDescent="0.25">
      <c r="A501" s="31" t="str">
        <f>IF(Table!A501 = "","",Table!A501)</f>
        <v/>
      </c>
      <c r="B501" s="31" t="str">
        <f>IF(Table!B501 = "","",Table!B501)</f>
        <v/>
      </c>
      <c r="C501" s="31" t="str">
        <f>IF(Table!C501 = "","",Table!C501)</f>
        <v/>
      </c>
      <c r="D501" s="32" t="str">
        <f>IF(Table!D501 = "","",Table!D501)</f>
        <v/>
      </c>
      <c r="E501" s="32" t="str">
        <f>IF(Table!E501 = "","",Table!E501)</f>
        <v/>
      </c>
      <c r="F501" s="32" t="str">
        <f>IF(Table!F501 = "","",Table!F501)</f>
        <v/>
      </c>
      <c r="G501" s="91"/>
      <c r="I501" s="84" t="str">
        <f>IFERROR(VLOOKUP(A501,Downlink!A:L,12,TRUE),"")</f>
        <v/>
      </c>
      <c r="K501" s="31" t="str">
        <f>IFERROR(VLOOKUP(A501,Table!$I$4:$O$3000,1,TRUE),"")</f>
        <v/>
      </c>
      <c r="L501" s="31" t="str">
        <f>IFERROR(INDEX(Table!I:O,MATCH(K501,Table!I:I,0),2),"")</f>
        <v/>
      </c>
      <c r="M501" s="31" t="str">
        <f>IFERROR(INDEX(Table!I:O,MATCH(K501,Table!I:I,0),3),"")</f>
        <v/>
      </c>
      <c r="N501" s="32" t="str">
        <f>IFERROR(INDEX(Table!I:O,MATCH(K501,Table!I:I,0),4),"")</f>
        <v/>
      </c>
      <c r="O501" s="32" t="str">
        <f>IFERROR(INDEX(Table!I:O,MATCH(K501,Table!I:I,0),5),"")</f>
        <v/>
      </c>
      <c r="P501" s="32" t="str">
        <f>IFERROR(INDEX(Table!I:O,MATCH(K501,Table!I:I,0),6),"")</f>
        <v/>
      </c>
      <c r="Q501" s="89" t="str">
        <f t="shared" si="21"/>
        <v/>
      </c>
      <c r="R501" s="89" t="str">
        <f t="shared" si="22"/>
        <v/>
      </c>
      <c r="S501" s="82"/>
      <c r="U501" s="37" t="e">
        <f t="shared" si="23"/>
        <v>#VALUE!</v>
      </c>
    </row>
    <row r="502" spans="1:21" x14ac:dyDescent="0.25">
      <c r="A502" s="31" t="str">
        <f>IF(Table!A502 = "","",Table!A502)</f>
        <v/>
      </c>
      <c r="B502" s="31" t="str">
        <f>IF(Table!B502 = "","",Table!B502)</f>
        <v/>
      </c>
      <c r="C502" s="31" t="str">
        <f>IF(Table!C502 = "","",Table!C502)</f>
        <v/>
      </c>
      <c r="D502" s="32" t="str">
        <f>IF(Table!D502 = "","",Table!D502)</f>
        <v/>
      </c>
      <c r="E502" s="32" t="str">
        <f>IF(Table!E502 = "","",Table!E502)</f>
        <v/>
      </c>
      <c r="F502" s="32" t="str">
        <f>IF(Table!F502 = "","",Table!F502)</f>
        <v/>
      </c>
      <c r="G502" s="91"/>
      <c r="I502" s="84" t="str">
        <f>IFERROR(VLOOKUP(A502,Downlink!A:L,12,TRUE),"")</f>
        <v/>
      </c>
      <c r="K502" s="31" t="str">
        <f>IFERROR(VLOOKUP(A502,Table!$I$4:$O$3000,1,TRUE),"")</f>
        <v/>
      </c>
      <c r="L502" s="31" t="str">
        <f>IFERROR(INDEX(Table!I:O,MATCH(K502,Table!I:I,0),2),"")</f>
        <v/>
      </c>
      <c r="M502" s="31" t="str">
        <f>IFERROR(INDEX(Table!I:O,MATCH(K502,Table!I:I,0),3),"")</f>
        <v/>
      </c>
      <c r="N502" s="32" t="str">
        <f>IFERROR(INDEX(Table!I:O,MATCH(K502,Table!I:I,0),4),"")</f>
        <v/>
      </c>
      <c r="O502" s="32" t="str">
        <f>IFERROR(INDEX(Table!I:O,MATCH(K502,Table!I:I,0),5),"")</f>
        <v/>
      </c>
      <c r="P502" s="32" t="str">
        <f>IFERROR(INDEX(Table!I:O,MATCH(K502,Table!I:I,0),6),"")</f>
        <v/>
      </c>
      <c r="Q502" s="89" t="str">
        <f t="shared" si="21"/>
        <v/>
      </c>
      <c r="R502" s="89" t="str">
        <f t="shared" si="22"/>
        <v/>
      </c>
      <c r="S502" s="82"/>
      <c r="U502" s="37" t="e">
        <f t="shared" si="23"/>
        <v>#VALUE!</v>
      </c>
    </row>
    <row r="503" spans="1:21" x14ac:dyDescent="0.25">
      <c r="A503" s="31" t="str">
        <f>IF(Table!A503 = "","",Table!A503)</f>
        <v/>
      </c>
      <c r="B503" s="31" t="str">
        <f>IF(Table!B503 = "","",Table!B503)</f>
        <v/>
      </c>
      <c r="C503" s="31" t="str">
        <f>IF(Table!C503 = "","",Table!C503)</f>
        <v/>
      </c>
      <c r="D503" s="32" t="str">
        <f>IF(Table!D503 = "","",Table!D503)</f>
        <v/>
      </c>
      <c r="E503" s="32" t="str">
        <f>IF(Table!E503 = "","",Table!E503)</f>
        <v/>
      </c>
      <c r="F503" s="32" t="str">
        <f>IF(Table!F503 = "","",Table!F503)</f>
        <v/>
      </c>
      <c r="G503" s="91"/>
      <c r="I503" s="84" t="str">
        <f>IFERROR(VLOOKUP(A503,Downlink!A:L,12,TRUE),"")</f>
        <v/>
      </c>
      <c r="K503" s="31" t="str">
        <f>IFERROR(VLOOKUP(A503,Table!$I$4:$O$3000,1,TRUE),"")</f>
        <v/>
      </c>
      <c r="L503" s="31" t="str">
        <f>IFERROR(INDEX(Table!I:O,MATCH(K503,Table!I:I,0),2),"")</f>
        <v/>
      </c>
      <c r="M503" s="31" t="str">
        <f>IFERROR(INDEX(Table!I:O,MATCH(K503,Table!I:I,0),3),"")</f>
        <v/>
      </c>
      <c r="N503" s="32" t="str">
        <f>IFERROR(INDEX(Table!I:O,MATCH(K503,Table!I:I,0),4),"")</f>
        <v/>
      </c>
      <c r="O503" s="32" t="str">
        <f>IFERROR(INDEX(Table!I:O,MATCH(K503,Table!I:I,0),5),"")</f>
        <v/>
      </c>
      <c r="P503" s="32" t="str">
        <f>IFERROR(INDEX(Table!I:O,MATCH(K503,Table!I:I,0),6),"")</f>
        <v/>
      </c>
      <c r="Q503" s="89" t="str">
        <f t="shared" si="21"/>
        <v/>
      </c>
      <c r="R503" s="89" t="str">
        <f t="shared" si="22"/>
        <v/>
      </c>
      <c r="S503" s="82"/>
      <c r="U503" s="37" t="e">
        <f t="shared" si="23"/>
        <v>#VALUE!</v>
      </c>
    </row>
    <row r="504" spans="1:21" x14ac:dyDescent="0.25">
      <c r="A504" s="31" t="str">
        <f>IF(Table!A504 = "","",Table!A504)</f>
        <v/>
      </c>
      <c r="B504" s="31" t="str">
        <f>IF(Table!B504 = "","",Table!B504)</f>
        <v/>
      </c>
      <c r="C504" s="31" t="str">
        <f>IF(Table!C504 = "","",Table!C504)</f>
        <v/>
      </c>
      <c r="D504" s="32" t="str">
        <f>IF(Table!D504 = "","",Table!D504)</f>
        <v/>
      </c>
      <c r="E504" s="32" t="str">
        <f>IF(Table!E504 = "","",Table!E504)</f>
        <v/>
      </c>
      <c r="F504" s="32" t="str">
        <f>IF(Table!F504 = "","",Table!F504)</f>
        <v/>
      </c>
      <c r="G504" s="91"/>
      <c r="I504" s="84" t="str">
        <f>IFERROR(VLOOKUP(A504,Downlink!A:L,12,TRUE),"")</f>
        <v/>
      </c>
      <c r="K504" s="31" t="str">
        <f>IFERROR(VLOOKUP(A504,Table!$I$4:$O$3000,1,TRUE),"")</f>
        <v/>
      </c>
      <c r="L504" s="31" t="str">
        <f>IFERROR(INDEX(Table!I:O,MATCH(K504,Table!I:I,0),2),"")</f>
        <v/>
      </c>
      <c r="M504" s="31" t="str">
        <f>IFERROR(INDEX(Table!I:O,MATCH(K504,Table!I:I,0),3),"")</f>
        <v/>
      </c>
      <c r="N504" s="32" t="str">
        <f>IFERROR(INDEX(Table!I:O,MATCH(K504,Table!I:I,0),4),"")</f>
        <v/>
      </c>
      <c r="O504" s="32" t="str">
        <f>IFERROR(INDEX(Table!I:O,MATCH(K504,Table!I:I,0),5),"")</f>
        <v/>
      </c>
      <c r="P504" s="32" t="str">
        <f>IFERROR(INDEX(Table!I:O,MATCH(K504,Table!I:I,0),6),"")</f>
        <v/>
      </c>
      <c r="Q504" s="89" t="str">
        <f t="shared" si="21"/>
        <v/>
      </c>
      <c r="R504" s="89" t="str">
        <f t="shared" si="22"/>
        <v/>
      </c>
      <c r="S504" s="82"/>
      <c r="U504" s="37" t="e">
        <f t="shared" si="23"/>
        <v>#VALUE!</v>
      </c>
    </row>
    <row r="505" spans="1:21" x14ac:dyDescent="0.25">
      <c r="A505" s="31" t="str">
        <f>IF(Table!A505 = "","",Table!A505)</f>
        <v/>
      </c>
      <c r="B505" s="31" t="str">
        <f>IF(Table!B505 = "","",Table!B505)</f>
        <v/>
      </c>
      <c r="C505" s="31" t="str">
        <f>IF(Table!C505 = "","",Table!C505)</f>
        <v/>
      </c>
      <c r="D505" s="32" t="str">
        <f>IF(Table!D505 = "","",Table!D505)</f>
        <v/>
      </c>
      <c r="E505" s="32" t="str">
        <f>IF(Table!E505 = "","",Table!E505)</f>
        <v/>
      </c>
      <c r="F505" s="32" t="str">
        <f>IF(Table!F505 = "","",Table!F505)</f>
        <v/>
      </c>
      <c r="G505" s="91"/>
      <c r="I505" s="84" t="str">
        <f>IFERROR(VLOOKUP(A505,Downlink!A:L,12,TRUE),"")</f>
        <v/>
      </c>
      <c r="K505" s="31" t="str">
        <f>IFERROR(VLOOKUP(A505,Table!$I$4:$O$3000,1,TRUE),"")</f>
        <v/>
      </c>
      <c r="L505" s="31" t="str">
        <f>IFERROR(INDEX(Table!I:O,MATCH(K505,Table!I:I,0),2),"")</f>
        <v/>
      </c>
      <c r="M505" s="31" t="str">
        <f>IFERROR(INDEX(Table!I:O,MATCH(K505,Table!I:I,0),3),"")</f>
        <v/>
      </c>
      <c r="N505" s="32" t="str">
        <f>IFERROR(INDEX(Table!I:O,MATCH(K505,Table!I:I,0),4),"")</f>
        <v/>
      </c>
      <c r="O505" s="32" t="str">
        <f>IFERROR(INDEX(Table!I:O,MATCH(K505,Table!I:I,0),5),"")</f>
        <v/>
      </c>
      <c r="P505" s="32" t="str">
        <f>IFERROR(INDEX(Table!I:O,MATCH(K505,Table!I:I,0),6),"")</f>
        <v/>
      </c>
      <c r="Q505" s="89" t="str">
        <f t="shared" si="21"/>
        <v/>
      </c>
      <c r="R505" s="89" t="str">
        <f t="shared" si="22"/>
        <v/>
      </c>
      <c r="S505" s="82"/>
      <c r="U505" s="37" t="e">
        <f t="shared" si="23"/>
        <v>#VALUE!</v>
      </c>
    </row>
    <row r="506" spans="1:21" x14ac:dyDescent="0.25">
      <c r="A506" s="31" t="str">
        <f>IF(Table!A506 = "","",Table!A506)</f>
        <v/>
      </c>
      <c r="B506" s="31" t="str">
        <f>IF(Table!B506 = "","",Table!B506)</f>
        <v/>
      </c>
      <c r="C506" s="31" t="str">
        <f>IF(Table!C506 = "","",Table!C506)</f>
        <v/>
      </c>
      <c r="D506" s="32" t="str">
        <f>IF(Table!D506 = "","",Table!D506)</f>
        <v/>
      </c>
      <c r="E506" s="32" t="str">
        <f>IF(Table!E506 = "","",Table!E506)</f>
        <v/>
      </c>
      <c r="F506" s="32" t="str">
        <f>IF(Table!F506 = "","",Table!F506)</f>
        <v/>
      </c>
      <c r="G506" s="91"/>
      <c r="I506" s="84" t="str">
        <f>IFERROR(VLOOKUP(A506,Downlink!A:L,12,TRUE),"")</f>
        <v/>
      </c>
      <c r="K506" s="31" t="str">
        <f>IFERROR(VLOOKUP(A506,Table!$I$4:$O$3000,1,TRUE),"")</f>
        <v/>
      </c>
      <c r="L506" s="31" t="str">
        <f>IFERROR(INDEX(Table!I:O,MATCH(K506,Table!I:I,0),2),"")</f>
        <v/>
      </c>
      <c r="M506" s="31" t="str">
        <f>IFERROR(INDEX(Table!I:O,MATCH(K506,Table!I:I,0),3),"")</f>
        <v/>
      </c>
      <c r="N506" s="32" t="str">
        <f>IFERROR(INDEX(Table!I:O,MATCH(K506,Table!I:I,0),4),"")</f>
        <v/>
      </c>
      <c r="O506" s="32" t="str">
        <f>IFERROR(INDEX(Table!I:O,MATCH(K506,Table!I:I,0),5),"")</f>
        <v/>
      </c>
      <c r="P506" s="32" t="str">
        <f>IFERROR(INDEX(Table!I:O,MATCH(K506,Table!I:I,0),6),"")</f>
        <v/>
      </c>
      <c r="Q506" s="89" t="str">
        <f t="shared" si="21"/>
        <v/>
      </c>
      <c r="R506" s="89" t="str">
        <f t="shared" si="22"/>
        <v/>
      </c>
      <c r="S506" s="82"/>
      <c r="U506" s="37" t="e">
        <f t="shared" si="23"/>
        <v>#VALUE!</v>
      </c>
    </row>
    <row r="507" spans="1:21" x14ac:dyDescent="0.25">
      <c r="A507" s="31" t="str">
        <f>IF(Table!A507 = "","",Table!A507)</f>
        <v/>
      </c>
      <c r="B507" s="31" t="str">
        <f>IF(Table!B507 = "","",Table!B507)</f>
        <v/>
      </c>
      <c r="C507" s="31" t="str">
        <f>IF(Table!C507 = "","",Table!C507)</f>
        <v/>
      </c>
      <c r="D507" s="32" t="str">
        <f>IF(Table!D507 = "","",Table!D507)</f>
        <v/>
      </c>
      <c r="E507" s="32" t="str">
        <f>IF(Table!E507 = "","",Table!E507)</f>
        <v/>
      </c>
      <c r="F507" s="32" t="str">
        <f>IF(Table!F507 = "","",Table!F507)</f>
        <v/>
      </c>
      <c r="G507" s="91"/>
      <c r="I507" s="84" t="str">
        <f>IFERROR(VLOOKUP(A507,Downlink!A:L,12,TRUE),"")</f>
        <v/>
      </c>
      <c r="K507" s="31" t="str">
        <f>IFERROR(VLOOKUP(A507,Table!$I$4:$O$3000,1,TRUE),"")</f>
        <v/>
      </c>
      <c r="L507" s="31" t="str">
        <f>IFERROR(INDEX(Table!I:O,MATCH(K507,Table!I:I,0),2),"")</f>
        <v/>
      </c>
      <c r="M507" s="31" t="str">
        <f>IFERROR(INDEX(Table!I:O,MATCH(K507,Table!I:I,0),3),"")</f>
        <v/>
      </c>
      <c r="N507" s="32" t="str">
        <f>IFERROR(INDEX(Table!I:O,MATCH(K507,Table!I:I,0),4),"")</f>
        <v/>
      </c>
      <c r="O507" s="32" t="str">
        <f>IFERROR(INDEX(Table!I:O,MATCH(K507,Table!I:I,0),5),"")</f>
        <v/>
      </c>
      <c r="P507" s="32" t="str">
        <f>IFERROR(INDEX(Table!I:O,MATCH(K507,Table!I:I,0),6),"")</f>
        <v/>
      </c>
      <c r="Q507" s="89" t="str">
        <f t="shared" si="21"/>
        <v/>
      </c>
      <c r="R507" s="89" t="str">
        <f t="shared" si="22"/>
        <v/>
      </c>
      <c r="S507" s="82"/>
      <c r="U507" s="37" t="e">
        <f t="shared" si="23"/>
        <v>#VALUE!</v>
      </c>
    </row>
    <row r="508" spans="1:21" x14ac:dyDescent="0.25">
      <c r="A508" s="31" t="str">
        <f>IF(Table!A508 = "","",Table!A508)</f>
        <v/>
      </c>
      <c r="B508" s="31" t="str">
        <f>IF(Table!B508 = "","",Table!B508)</f>
        <v/>
      </c>
      <c r="C508" s="31" t="str">
        <f>IF(Table!C508 = "","",Table!C508)</f>
        <v/>
      </c>
      <c r="D508" s="32" t="str">
        <f>IF(Table!D508 = "","",Table!D508)</f>
        <v/>
      </c>
      <c r="E508" s="32" t="str">
        <f>IF(Table!E508 = "","",Table!E508)</f>
        <v/>
      </c>
      <c r="F508" s="32" t="str">
        <f>IF(Table!F508 = "","",Table!F508)</f>
        <v/>
      </c>
      <c r="G508" s="91"/>
      <c r="I508" s="84" t="str">
        <f>IFERROR(VLOOKUP(A508,Downlink!A:L,12,TRUE),"")</f>
        <v/>
      </c>
      <c r="K508" s="31" t="str">
        <f>IFERROR(VLOOKUP(A508,Table!$I$4:$O$3000,1,TRUE),"")</f>
        <v/>
      </c>
      <c r="L508" s="31" t="str">
        <f>IFERROR(INDEX(Table!I:O,MATCH(K508,Table!I:I,0),2),"")</f>
        <v/>
      </c>
      <c r="M508" s="31" t="str">
        <f>IFERROR(INDEX(Table!I:O,MATCH(K508,Table!I:I,0),3),"")</f>
        <v/>
      </c>
      <c r="N508" s="32" t="str">
        <f>IFERROR(INDEX(Table!I:O,MATCH(K508,Table!I:I,0),4),"")</f>
        <v/>
      </c>
      <c r="O508" s="32" t="str">
        <f>IFERROR(INDEX(Table!I:O,MATCH(K508,Table!I:I,0),5),"")</f>
        <v/>
      </c>
      <c r="P508" s="32" t="str">
        <f>IFERROR(INDEX(Table!I:O,MATCH(K508,Table!I:I,0),6),"")</f>
        <v/>
      </c>
      <c r="Q508" s="89" t="str">
        <f t="shared" si="21"/>
        <v/>
      </c>
      <c r="R508" s="89" t="str">
        <f t="shared" si="22"/>
        <v/>
      </c>
      <c r="S508" s="82"/>
      <c r="U508" s="37" t="e">
        <f t="shared" si="23"/>
        <v>#VALUE!</v>
      </c>
    </row>
    <row r="509" spans="1:21" x14ac:dyDescent="0.25">
      <c r="A509" s="31" t="str">
        <f>IF(Table!A509 = "","",Table!A509)</f>
        <v/>
      </c>
      <c r="B509" s="31" t="str">
        <f>IF(Table!B509 = "","",Table!B509)</f>
        <v/>
      </c>
      <c r="C509" s="31" t="str">
        <f>IF(Table!C509 = "","",Table!C509)</f>
        <v/>
      </c>
      <c r="D509" s="32" t="str">
        <f>IF(Table!D509 = "","",Table!D509)</f>
        <v/>
      </c>
      <c r="E509" s="32" t="str">
        <f>IF(Table!E509 = "","",Table!E509)</f>
        <v/>
      </c>
      <c r="F509" s="32" t="str">
        <f>IF(Table!F509 = "","",Table!F509)</f>
        <v/>
      </c>
      <c r="G509" s="91"/>
      <c r="I509" s="84" t="str">
        <f>IFERROR(VLOOKUP(A509,Downlink!A:L,12,TRUE),"")</f>
        <v/>
      </c>
      <c r="K509" s="31" t="str">
        <f>IFERROR(VLOOKUP(A509,Table!$I$4:$O$3000,1,TRUE),"")</f>
        <v/>
      </c>
      <c r="L509" s="31" t="str">
        <f>IFERROR(INDEX(Table!I:O,MATCH(K509,Table!I:I,0),2),"")</f>
        <v/>
      </c>
      <c r="M509" s="31" t="str">
        <f>IFERROR(INDEX(Table!I:O,MATCH(K509,Table!I:I,0),3),"")</f>
        <v/>
      </c>
      <c r="N509" s="32" t="str">
        <f>IFERROR(INDEX(Table!I:O,MATCH(K509,Table!I:I,0),4),"")</f>
        <v/>
      </c>
      <c r="O509" s="32" t="str">
        <f>IFERROR(INDEX(Table!I:O,MATCH(K509,Table!I:I,0),5),"")</f>
        <v/>
      </c>
      <c r="P509" s="32" t="str">
        <f>IFERROR(INDEX(Table!I:O,MATCH(K509,Table!I:I,0),6),"")</f>
        <v/>
      </c>
      <c r="Q509" s="89" t="str">
        <f t="shared" si="21"/>
        <v/>
      </c>
      <c r="R509" s="89" t="str">
        <f t="shared" si="22"/>
        <v/>
      </c>
      <c r="S509" s="82"/>
      <c r="U509" s="37" t="e">
        <f t="shared" si="23"/>
        <v>#VALUE!</v>
      </c>
    </row>
    <row r="510" spans="1:21" x14ac:dyDescent="0.25">
      <c r="A510" s="31" t="str">
        <f>IF(Table!A510 = "","",Table!A510)</f>
        <v/>
      </c>
      <c r="B510" s="31" t="str">
        <f>IF(Table!B510 = "","",Table!B510)</f>
        <v/>
      </c>
      <c r="C510" s="31" t="str">
        <f>IF(Table!C510 = "","",Table!C510)</f>
        <v/>
      </c>
      <c r="D510" s="32" t="str">
        <f>IF(Table!D510 = "","",Table!D510)</f>
        <v/>
      </c>
      <c r="E510" s="32" t="str">
        <f>IF(Table!E510 = "","",Table!E510)</f>
        <v/>
      </c>
      <c r="F510" s="32" t="str">
        <f>IF(Table!F510 = "","",Table!F510)</f>
        <v/>
      </c>
      <c r="G510" s="91"/>
      <c r="I510" s="84" t="str">
        <f>IFERROR(VLOOKUP(A510,Downlink!A:L,12,TRUE),"")</f>
        <v/>
      </c>
      <c r="K510" s="31" t="str">
        <f>IFERROR(VLOOKUP(A510,Table!$I$4:$O$3000,1,TRUE),"")</f>
        <v/>
      </c>
      <c r="L510" s="31" t="str">
        <f>IFERROR(INDEX(Table!I:O,MATCH(K510,Table!I:I,0),2),"")</f>
        <v/>
      </c>
      <c r="M510" s="31" t="str">
        <f>IFERROR(INDEX(Table!I:O,MATCH(K510,Table!I:I,0),3),"")</f>
        <v/>
      </c>
      <c r="N510" s="32" t="str">
        <f>IFERROR(INDEX(Table!I:O,MATCH(K510,Table!I:I,0),4),"")</f>
        <v/>
      </c>
      <c r="O510" s="32" t="str">
        <f>IFERROR(INDEX(Table!I:O,MATCH(K510,Table!I:I,0),5),"")</f>
        <v/>
      </c>
      <c r="P510" s="32" t="str">
        <f>IFERROR(INDEX(Table!I:O,MATCH(K510,Table!I:I,0),6),"")</f>
        <v/>
      </c>
      <c r="Q510" s="89" t="str">
        <f t="shared" si="21"/>
        <v/>
      </c>
      <c r="R510" s="89" t="str">
        <f t="shared" si="22"/>
        <v/>
      </c>
      <c r="S510" s="82"/>
      <c r="U510" s="37" t="e">
        <f t="shared" si="23"/>
        <v>#VALUE!</v>
      </c>
    </row>
    <row r="511" spans="1:21" x14ac:dyDescent="0.25">
      <c r="A511" s="31" t="str">
        <f>IF(Table!A511 = "","",Table!A511)</f>
        <v/>
      </c>
      <c r="B511" s="31" t="str">
        <f>IF(Table!B511 = "","",Table!B511)</f>
        <v/>
      </c>
      <c r="C511" s="31" t="str">
        <f>IF(Table!C511 = "","",Table!C511)</f>
        <v/>
      </c>
      <c r="D511" s="32" t="str">
        <f>IF(Table!D511 = "","",Table!D511)</f>
        <v/>
      </c>
      <c r="E511" s="32" t="str">
        <f>IF(Table!E511 = "","",Table!E511)</f>
        <v/>
      </c>
      <c r="F511" s="32" t="str">
        <f>IF(Table!F511 = "","",Table!F511)</f>
        <v/>
      </c>
      <c r="G511" s="91"/>
      <c r="I511" s="84" t="str">
        <f>IFERROR(VLOOKUP(A511,Downlink!A:L,12,TRUE),"")</f>
        <v/>
      </c>
      <c r="K511" s="31" t="str">
        <f>IFERROR(VLOOKUP(A511,Table!$I$4:$O$3000,1,TRUE),"")</f>
        <v/>
      </c>
      <c r="L511" s="31" t="str">
        <f>IFERROR(INDEX(Table!I:O,MATCH(K511,Table!I:I,0),2),"")</f>
        <v/>
      </c>
      <c r="M511" s="31" t="str">
        <f>IFERROR(INDEX(Table!I:O,MATCH(K511,Table!I:I,0),3),"")</f>
        <v/>
      </c>
      <c r="N511" s="32" t="str">
        <f>IFERROR(INDEX(Table!I:O,MATCH(K511,Table!I:I,0),4),"")</f>
        <v/>
      </c>
      <c r="O511" s="32" t="str">
        <f>IFERROR(INDEX(Table!I:O,MATCH(K511,Table!I:I,0),5),"")</f>
        <v/>
      </c>
      <c r="P511" s="32" t="str">
        <f>IFERROR(INDEX(Table!I:O,MATCH(K511,Table!I:I,0),6),"")</f>
        <v/>
      </c>
      <c r="Q511" s="89" t="str">
        <f t="shared" si="21"/>
        <v/>
      </c>
      <c r="R511" s="89" t="str">
        <f t="shared" si="22"/>
        <v/>
      </c>
      <c r="S511" s="82"/>
      <c r="U511" s="37" t="e">
        <f t="shared" si="23"/>
        <v>#VALUE!</v>
      </c>
    </row>
    <row r="512" spans="1:21" x14ac:dyDescent="0.25">
      <c r="A512" s="31" t="str">
        <f>IF(Table!A512 = "","",Table!A512)</f>
        <v/>
      </c>
      <c r="B512" s="31" t="str">
        <f>IF(Table!B512 = "","",Table!B512)</f>
        <v/>
      </c>
      <c r="C512" s="31" t="str">
        <f>IF(Table!C512 = "","",Table!C512)</f>
        <v/>
      </c>
      <c r="D512" s="32" t="str">
        <f>IF(Table!D512 = "","",Table!D512)</f>
        <v/>
      </c>
      <c r="E512" s="32" t="str">
        <f>IF(Table!E512 = "","",Table!E512)</f>
        <v/>
      </c>
      <c r="F512" s="32" t="str">
        <f>IF(Table!F512 = "","",Table!F512)</f>
        <v/>
      </c>
      <c r="G512" s="91"/>
      <c r="I512" s="84" t="str">
        <f>IFERROR(VLOOKUP(A512,Downlink!A:L,12,TRUE),"")</f>
        <v/>
      </c>
      <c r="K512" s="31" t="str">
        <f>IFERROR(VLOOKUP(A512,Table!$I$4:$O$3000,1,TRUE),"")</f>
        <v/>
      </c>
      <c r="L512" s="31" t="str">
        <f>IFERROR(INDEX(Table!I:O,MATCH(K512,Table!I:I,0),2),"")</f>
        <v/>
      </c>
      <c r="M512" s="31" t="str">
        <f>IFERROR(INDEX(Table!I:O,MATCH(K512,Table!I:I,0),3),"")</f>
        <v/>
      </c>
      <c r="N512" s="32" t="str">
        <f>IFERROR(INDEX(Table!I:O,MATCH(K512,Table!I:I,0),4),"")</f>
        <v/>
      </c>
      <c r="O512" s="32" t="str">
        <f>IFERROR(INDEX(Table!I:O,MATCH(K512,Table!I:I,0),5),"")</f>
        <v/>
      </c>
      <c r="P512" s="32" t="str">
        <f>IFERROR(INDEX(Table!I:O,MATCH(K512,Table!I:I,0),6),"")</f>
        <v/>
      </c>
      <c r="Q512" s="89" t="str">
        <f t="shared" si="21"/>
        <v/>
      </c>
      <c r="R512" s="89" t="str">
        <f t="shared" si="22"/>
        <v/>
      </c>
      <c r="S512" s="82"/>
      <c r="U512" s="37" t="e">
        <f t="shared" si="23"/>
        <v>#VALUE!</v>
      </c>
    </row>
    <row r="513" spans="1:21" x14ac:dyDescent="0.25">
      <c r="A513" s="31" t="str">
        <f>IF(Table!A513 = "","",Table!A513)</f>
        <v/>
      </c>
      <c r="B513" s="31" t="str">
        <f>IF(Table!B513 = "","",Table!B513)</f>
        <v/>
      </c>
      <c r="C513" s="31" t="str">
        <f>IF(Table!C513 = "","",Table!C513)</f>
        <v/>
      </c>
      <c r="D513" s="32" t="str">
        <f>IF(Table!D513 = "","",Table!D513)</f>
        <v/>
      </c>
      <c r="E513" s="32" t="str">
        <f>IF(Table!E513 = "","",Table!E513)</f>
        <v/>
      </c>
      <c r="F513" s="32" t="str">
        <f>IF(Table!F513 = "","",Table!F513)</f>
        <v/>
      </c>
      <c r="G513" s="91"/>
      <c r="I513" s="84" t="str">
        <f>IFERROR(VLOOKUP(A513,Downlink!A:L,12,TRUE),"")</f>
        <v/>
      </c>
      <c r="K513" s="31" t="str">
        <f>IFERROR(VLOOKUP(A513,Table!$I$4:$O$3000,1,TRUE),"")</f>
        <v/>
      </c>
      <c r="L513" s="31" t="str">
        <f>IFERROR(INDEX(Table!I:O,MATCH(K513,Table!I:I,0),2),"")</f>
        <v/>
      </c>
      <c r="M513" s="31" t="str">
        <f>IFERROR(INDEX(Table!I:O,MATCH(K513,Table!I:I,0),3),"")</f>
        <v/>
      </c>
      <c r="N513" s="32" t="str">
        <f>IFERROR(INDEX(Table!I:O,MATCH(K513,Table!I:I,0),4),"")</f>
        <v/>
      </c>
      <c r="O513" s="32" t="str">
        <f>IFERROR(INDEX(Table!I:O,MATCH(K513,Table!I:I,0),5),"")</f>
        <v/>
      </c>
      <c r="P513" s="32" t="str">
        <f>IFERROR(INDEX(Table!I:O,MATCH(K513,Table!I:I,0),6),"")</f>
        <v/>
      </c>
      <c r="Q513" s="89" t="str">
        <f t="shared" si="21"/>
        <v/>
      </c>
      <c r="R513" s="89" t="str">
        <f t="shared" si="22"/>
        <v/>
      </c>
      <c r="S513" s="82"/>
      <c r="U513" s="37" t="e">
        <f t="shared" si="23"/>
        <v>#VALUE!</v>
      </c>
    </row>
    <row r="514" spans="1:21" x14ac:dyDescent="0.25">
      <c r="A514" s="31" t="str">
        <f>IF(Table!A514 = "","",Table!A514)</f>
        <v/>
      </c>
      <c r="B514" s="31" t="str">
        <f>IF(Table!B514 = "","",Table!B514)</f>
        <v/>
      </c>
      <c r="C514" s="31" t="str">
        <f>IF(Table!C514 = "","",Table!C514)</f>
        <v/>
      </c>
      <c r="D514" s="32" t="str">
        <f>IF(Table!D514 = "","",Table!D514)</f>
        <v/>
      </c>
      <c r="E514" s="32" t="str">
        <f>IF(Table!E514 = "","",Table!E514)</f>
        <v/>
      </c>
      <c r="F514" s="32" t="str">
        <f>IF(Table!F514 = "","",Table!F514)</f>
        <v/>
      </c>
      <c r="G514" s="91"/>
      <c r="I514" s="84" t="str">
        <f>IFERROR(VLOOKUP(A514,Downlink!A:L,12,TRUE),"")</f>
        <v/>
      </c>
      <c r="K514" s="31" t="str">
        <f>IFERROR(VLOOKUP(A514,Table!$I$4:$O$3000,1,TRUE),"")</f>
        <v/>
      </c>
      <c r="L514" s="31" t="str">
        <f>IFERROR(INDEX(Table!I:O,MATCH(K514,Table!I:I,0),2),"")</f>
        <v/>
      </c>
      <c r="M514" s="31" t="str">
        <f>IFERROR(INDEX(Table!I:O,MATCH(K514,Table!I:I,0),3),"")</f>
        <v/>
      </c>
      <c r="N514" s="32" t="str">
        <f>IFERROR(INDEX(Table!I:O,MATCH(K514,Table!I:I,0),4),"")</f>
        <v/>
      </c>
      <c r="O514" s="32" t="str">
        <f>IFERROR(INDEX(Table!I:O,MATCH(K514,Table!I:I,0),5),"")</f>
        <v/>
      </c>
      <c r="P514" s="32" t="str">
        <f>IFERROR(INDEX(Table!I:O,MATCH(K514,Table!I:I,0),6),"")</f>
        <v/>
      </c>
      <c r="Q514" s="89" t="str">
        <f t="shared" si="21"/>
        <v/>
      </c>
      <c r="R514" s="89" t="str">
        <f t="shared" si="22"/>
        <v/>
      </c>
      <c r="S514" s="82"/>
      <c r="U514" s="37" t="e">
        <f t="shared" si="23"/>
        <v>#VALUE!</v>
      </c>
    </row>
    <row r="515" spans="1:21" x14ac:dyDescent="0.25">
      <c r="A515" s="31" t="str">
        <f>IF(Table!A515 = "","",Table!A515)</f>
        <v/>
      </c>
      <c r="B515" s="31" t="str">
        <f>IF(Table!B515 = "","",Table!B515)</f>
        <v/>
      </c>
      <c r="C515" s="31" t="str">
        <f>IF(Table!C515 = "","",Table!C515)</f>
        <v/>
      </c>
      <c r="D515" s="32" t="str">
        <f>IF(Table!D515 = "","",Table!D515)</f>
        <v/>
      </c>
      <c r="E515" s="32" t="str">
        <f>IF(Table!E515 = "","",Table!E515)</f>
        <v/>
      </c>
      <c r="F515" s="32" t="str">
        <f>IF(Table!F515 = "","",Table!F515)</f>
        <v/>
      </c>
      <c r="G515" s="91"/>
      <c r="I515" s="84" t="str">
        <f>IFERROR(VLOOKUP(A515,Downlink!A:L,12,TRUE),"")</f>
        <v/>
      </c>
      <c r="K515" s="31" t="str">
        <f>IFERROR(VLOOKUP(A515,Table!$I$4:$O$3000,1,TRUE),"")</f>
        <v/>
      </c>
      <c r="L515" s="31" t="str">
        <f>IFERROR(INDEX(Table!I:O,MATCH(K515,Table!I:I,0),2),"")</f>
        <v/>
      </c>
      <c r="M515" s="31" t="str">
        <f>IFERROR(INDEX(Table!I:O,MATCH(K515,Table!I:I,0),3),"")</f>
        <v/>
      </c>
      <c r="N515" s="32" t="str">
        <f>IFERROR(INDEX(Table!I:O,MATCH(K515,Table!I:I,0),4),"")</f>
        <v/>
      </c>
      <c r="O515" s="32" t="str">
        <f>IFERROR(INDEX(Table!I:O,MATCH(K515,Table!I:I,0),5),"")</f>
        <v/>
      </c>
      <c r="P515" s="32" t="str">
        <f>IFERROR(INDEX(Table!I:O,MATCH(K515,Table!I:I,0),6),"")</f>
        <v/>
      </c>
      <c r="Q515" s="89" t="str">
        <f t="shared" si="21"/>
        <v/>
      </c>
      <c r="R515" s="89" t="str">
        <f t="shared" si="22"/>
        <v/>
      </c>
      <c r="S515" s="82"/>
      <c r="U515" s="37" t="e">
        <f t="shared" si="23"/>
        <v>#VALUE!</v>
      </c>
    </row>
    <row r="516" spans="1:21" x14ac:dyDescent="0.25">
      <c r="A516" s="31" t="str">
        <f>IF(Table!A516 = "","",Table!A516)</f>
        <v/>
      </c>
      <c r="B516" s="31" t="str">
        <f>IF(Table!B516 = "","",Table!B516)</f>
        <v/>
      </c>
      <c r="C516" s="31" t="str">
        <f>IF(Table!C516 = "","",Table!C516)</f>
        <v/>
      </c>
      <c r="D516" s="32" t="str">
        <f>IF(Table!D516 = "","",Table!D516)</f>
        <v/>
      </c>
      <c r="E516" s="32" t="str">
        <f>IF(Table!E516 = "","",Table!E516)</f>
        <v/>
      </c>
      <c r="F516" s="32" t="str">
        <f>IF(Table!F516 = "","",Table!F516)</f>
        <v/>
      </c>
      <c r="G516" s="91"/>
      <c r="I516" s="84" t="str">
        <f>IFERROR(VLOOKUP(A516,Downlink!A:L,12,TRUE),"")</f>
        <v/>
      </c>
      <c r="K516" s="31" t="str">
        <f>IFERROR(VLOOKUP(A516,Table!$I$4:$O$3000,1,TRUE),"")</f>
        <v/>
      </c>
      <c r="L516" s="31" t="str">
        <f>IFERROR(INDEX(Table!I:O,MATCH(K516,Table!I:I,0),2),"")</f>
        <v/>
      </c>
      <c r="M516" s="31" t="str">
        <f>IFERROR(INDEX(Table!I:O,MATCH(K516,Table!I:I,0),3),"")</f>
        <v/>
      </c>
      <c r="N516" s="32" t="str">
        <f>IFERROR(INDEX(Table!I:O,MATCH(K516,Table!I:I,0),4),"")</f>
        <v/>
      </c>
      <c r="O516" s="32" t="str">
        <f>IFERROR(INDEX(Table!I:O,MATCH(K516,Table!I:I,0),5),"")</f>
        <v/>
      </c>
      <c r="P516" s="32" t="str">
        <f>IFERROR(INDEX(Table!I:O,MATCH(K516,Table!I:I,0),6),"")</f>
        <v/>
      </c>
      <c r="Q516" s="89" t="str">
        <f t="shared" si="21"/>
        <v/>
      </c>
      <c r="R516" s="89" t="str">
        <f t="shared" si="22"/>
        <v/>
      </c>
      <c r="S516" s="82"/>
      <c r="U516" s="37" t="e">
        <f t="shared" si="23"/>
        <v>#VALUE!</v>
      </c>
    </row>
    <row r="517" spans="1:21" x14ac:dyDescent="0.25">
      <c r="A517" s="31" t="str">
        <f>IF(Table!A517 = "","",Table!A517)</f>
        <v/>
      </c>
      <c r="B517" s="31" t="str">
        <f>IF(Table!B517 = "","",Table!B517)</f>
        <v/>
      </c>
      <c r="C517" s="31" t="str">
        <f>IF(Table!C517 = "","",Table!C517)</f>
        <v/>
      </c>
      <c r="D517" s="32" t="str">
        <f>IF(Table!D517 = "","",Table!D517)</f>
        <v/>
      </c>
      <c r="E517" s="32" t="str">
        <f>IF(Table!E517 = "","",Table!E517)</f>
        <v/>
      </c>
      <c r="F517" s="32" t="str">
        <f>IF(Table!F517 = "","",Table!F517)</f>
        <v/>
      </c>
      <c r="G517" s="91"/>
      <c r="I517" s="84" t="str">
        <f>IFERROR(VLOOKUP(A517,Downlink!A:L,12,TRUE),"")</f>
        <v/>
      </c>
      <c r="K517" s="31" t="str">
        <f>IFERROR(VLOOKUP(A517,Table!$I$4:$O$3000,1,TRUE),"")</f>
        <v/>
      </c>
      <c r="L517" s="31" t="str">
        <f>IFERROR(INDEX(Table!I:O,MATCH(K517,Table!I:I,0),2),"")</f>
        <v/>
      </c>
      <c r="M517" s="31" t="str">
        <f>IFERROR(INDEX(Table!I:O,MATCH(K517,Table!I:I,0),3),"")</f>
        <v/>
      </c>
      <c r="N517" s="32" t="str">
        <f>IFERROR(INDEX(Table!I:O,MATCH(K517,Table!I:I,0),4),"")</f>
        <v/>
      </c>
      <c r="O517" s="32" t="str">
        <f>IFERROR(INDEX(Table!I:O,MATCH(K517,Table!I:I,0),5),"")</f>
        <v/>
      </c>
      <c r="P517" s="32" t="str">
        <f>IFERROR(INDEX(Table!I:O,MATCH(K517,Table!I:I,0),6),"")</f>
        <v/>
      </c>
      <c r="Q517" s="89" t="str">
        <f t="shared" si="21"/>
        <v/>
      </c>
      <c r="R517" s="89" t="str">
        <f t="shared" si="22"/>
        <v/>
      </c>
      <c r="S517" s="82"/>
      <c r="U517" s="37" t="e">
        <f t="shared" si="23"/>
        <v>#VALUE!</v>
      </c>
    </row>
    <row r="518" spans="1:21" x14ac:dyDescent="0.25">
      <c r="A518" s="31" t="str">
        <f>IF(Table!A518 = "","",Table!A518)</f>
        <v/>
      </c>
      <c r="B518" s="31" t="str">
        <f>IF(Table!B518 = "","",Table!B518)</f>
        <v/>
      </c>
      <c r="C518" s="31" t="str">
        <f>IF(Table!C518 = "","",Table!C518)</f>
        <v/>
      </c>
      <c r="D518" s="32" t="str">
        <f>IF(Table!D518 = "","",Table!D518)</f>
        <v/>
      </c>
      <c r="E518" s="32" t="str">
        <f>IF(Table!E518 = "","",Table!E518)</f>
        <v/>
      </c>
      <c r="F518" s="32" t="str">
        <f>IF(Table!F518 = "","",Table!F518)</f>
        <v/>
      </c>
      <c r="G518" s="91"/>
      <c r="I518" s="84" t="str">
        <f>IFERROR(VLOOKUP(A518,Downlink!A:L,12,TRUE),"")</f>
        <v/>
      </c>
      <c r="K518" s="31" t="str">
        <f>IFERROR(VLOOKUP(A518,Table!$I$4:$O$3000,1,TRUE),"")</f>
        <v/>
      </c>
      <c r="L518" s="31" t="str">
        <f>IFERROR(INDEX(Table!I:O,MATCH(K518,Table!I:I,0),2),"")</f>
        <v/>
      </c>
      <c r="M518" s="31" t="str">
        <f>IFERROR(INDEX(Table!I:O,MATCH(K518,Table!I:I,0),3),"")</f>
        <v/>
      </c>
      <c r="N518" s="32" t="str">
        <f>IFERROR(INDEX(Table!I:O,MATCH(K518,Table!I:I,0),4),"")</f>
        <v/>
      </c>
      <c r="O518" s="32" t="str">
        <f>IFERROR(INDEX(Table!I:O,MATCH(K518,Table!I:I,0),5),"")</f>
        <v/>
      </c>
      <c r="P518" s="32" t="str">
        <f>IFERROR(INDEX(Table!I:O,MATCH(K518,Table!I:I,0),6),"")</f>
        <v/>
      </c>
      <c r="Q518" s="89" t="str">
        <f t="shared" ref="Q518:Q581" si="24">IFERROR(L518-B518,"")</f>
        <v/>
      </c>
      <c r="R518" s="89" t="str">
        <f t="shared" ref="R518:R581" si="25">IFERROR(M518-C518,"")</f>
        <v/>
      </c>
      <c r="S518" s="82"/>
      <c r="U518" s="37" t="e">
        <f t="shared" ref="U518:U581" si="26">K518-K517</f>
        <v>#VALUE!</v>
      </c>
    </row>
    <row r="519" spans="1:21" x14ac:dyDescent="0.25">
      <c r="A519" s="31" t="str">
        <f>IF(Table!A519 = "","",Table!A519)</f>
        <v/>
      </c>
      <c r="B519" s="31" t="str">
        <f>IF(Table!B519 = "","",Table!B519)</f>
        <v/>
      </c>
      <c r="C519" s="31" t="str">
        <f>IF(Table!C519 = "","",Table!C519)</f>
        <v/>
      </c>
      <c r="D519" s="32" t="str">
        <f>IF(Table!D519 = "","",Table!D519)</f>
        <v/>
      </c>
      <c r="E519" s="32" t="str">
        <f>IF(Table!E519 = "","",Table!E519)</f>
        <v/>
      </c>
      <c r="F519" s="32" t="str">
        <f>IF(Table!F519 = "","",Table!F519)</f>
        <v/>
      </c>
      <c r="G519" s="91"/>
      <c r="I519" s="84" t="str">
        <f>IFERROR(VLOOKUP(A519,Downlink!A:L,12,TRUE),"")</f>
        <v/>
      </c>
      <c r="K519" s="31" t="str">
        <f>IFERROR(VLOOKUP(A519,Table!$I$4:$O$3000,1,TRUE),"")</f>
        <v/>
      </c>
      <c r="L519" s="31" t="str">
        <f>IFERROR(INDEX(Table!I:O,MATCH(K519,Table!I:I,0),2),"")</f>
        <v/>
      </c>
      <c r="M519" s="31" t="str">
        <f>IFERROR(INDEX(Table!I:O,MATCH(K519,Table!I:I,0),3),"")</f>
        <v/>
      </c>
      <c r="N519" s="32" t="str">
        <f>IFERROR(INDEX(Table!I:O,MATCH(K519,Table!I:I,0),4),"")</f>
        <v/>
      </c>
      <c r="O519" s="32" t="str">
        <f>IFERROR(INDEX(Table!I:O,MATCH(K519,Table!I:I,0),5),"")</f>
        <v/>
      </c>
      <c r="P519" s="32" t="str">
        <f>IFERROR(INDEX(Table!I:O,MATCH(K519,Table!I:I,0),6),"")</f>
        <v/>
      </c>
      <c r="Q519" s="89" t="str">
        <f t="shared" si="24"/>
        <v/>
      </c>
      <c r="R519" s="89" t="str">
        <f t="shared" si="25"/>
        <v/>
      </c>
      <c r="S519" s="82"/>
      <c r="U519" s="37" t="e">
        <f t="shared" si="26"/>
        <v>#VALUE!</v>
      </c>
    </row>
    <row r="520" spans="1:21" x14ac:dyDescent="0.25">
      <c r="A520" s="31" t="str">
        <f>IF(Table!A520 = "","",Table!A520)</f>
        <v/>
      </c>
      <c r="B520" s="31" t="str">
        <f>IF(Table!B520 = "","",Table!B520)</f>
        <v/>
      </c>
      <c r="C520" s="31" t="str">
        <f>IF(Table!C520 = "","",Table!C520)</f>
        <v/>
      </c>
      <c r="D520" s="32" t="str">
        <f>IF(Table!D520 = "","",Table!D520)</f>
        <v/>
      </c>
      <c r="E520" s="32" t="str">
        <f>IF(Table!E520 = "","",Table!E520)</f>
        <v/>
      </c>
      <c r="F520" s="32" t="str">
        <f>IF(Table!F520 = "","",Table!F520)</f>
        <v/>
      </c>
      <c r="G520" s="91"/>
      <c r="I520" s="84" t="str">
        <f>IFERROR(VLOOKUP(A520,Downlink!A:L,12,TRUE),"")</f>
        <v/>
      </c>
      <c r="K520" s="31" t="str">
        <f>IFERROR(VLOOKUP(A520,Table!$I$4:$O$3000,1,TRUE),"")</f>
        <v/>
      </c>
      <c r="L520" s="31" t="str">
        <f>IFERROR(INDEX(Table!I:O,MATCH(K520,Table!I:I,0),2),"")</f>
        <v/>
      </c>
      <c r="M520" s="31" t="str">
        <f>IFERROR(INDEX(Table!I:O,MATCH(K520,Table!I:I,0),3),"")</f>
        <v/>
      </c>
      <c r="N520" s="32" t="str">
        <f>IFERROR(INDEX(Table!I:O,MATCH(K520,Table!I:I,0),4),"")</f>
        <v/>
      </c>
      <c r="O520" s="32" t="str">
        <f>IFERROR(INDEX(Table!I:O,MATCH(K520,Table!I:I,0),5),"")</f>
        <v/>
      </c>
      <c r="P520" s="32" t="str">
        <f>IFERROR(INDEX(Table!I:O,MATCH(K520,Table!I:I,0),6),"")</f>
        <v/>
      </c>
      <c r="Q520" s="89" t="str">
        <f t="shared" si="24"/>
        <v/>
      </c>
      <c r="R520" s="89" t="str">
        <f t="shared" si="25"/>
        <v/>
      </c>
      <c r="S520" s="82"/>
      <c r="U520" s="37" t="e">
        <f t="shared" si="26"/>
        <v>#VALUE!</v>
      </c>
    </row>
    <row r="521" spans="1:21" x14ac:dyDescent="0.25">
      <c r="A521" s="31" t="str">
        <f>IF(Table!A521 = "","",Table!A521)</f>
        <v/>
      </c>
      <c r="B521" s="31" t="str">
        <f>IF(Table!B521 = "","",Table!B521)</f>
        <v/>
      </c>
      <c r="C521" s="31" t="str">
        <f>IF(Table!C521 = "","",Table!C521)</f>
        <v/>
      </c>
      <c r="D521" s="32" t="str">
        <f>IF(Table!D521 = "","",Table!D521)</f>
        <v/>
      </c>
      <c r="E521" s="32" t="str">
        <f>IF(Table!E521 = "","",Table!E521)</f>
        <v/>
      </c>
      <c r="F521" s="32" t="str">
        <f>IF(Table!F521 = "","",Table!F521)</f>
        <v/>
      </c>
      <c r="G521" s="91"/>
      <c r="I521" s="84" t="str">
        <f>IFERROR(VLOOKUP(A521,Downlink!A:L,12,TRUE),"")</f>
        <v/>
      </c>
      <c r="K521" s="31" t="str">
        <f>IFERROR(VLOOKUP(A521,Table!$I$4:$O$3000,1,TRUE),"")</f>
        <v/>
      </c>
      <c r="L521" s="31" t="str">
        <f>IFERROR(INDEX(Table!I:O,MATCH(K521,Table!I:I,0),2),"")</f>
        <v/>
      </c>
      <c r="M521" s="31" t="str">
        <f>IFERROR(INDEX(Table!I:O,MATCH(K521,Table!I:I,0),3),"")</f>
        <v/>
      </c>
      <c r="N521" s="32" t="str">
        <f>IFERROR(INDEX(Table!I:O,MATCH(K521,Table!I:I,0),4),"")</f>
        <v/>
      </c>
      <c r="O521" s="32" t="str">
        <f>IFERROR(INDEX(Table!I:O,MATCH(K521,Table!I:I,0),5),"")</f>
        <v/>
      </c>
      <c r="P521" s="32" t="str">
        <f>IFERROR(INDEX(Table!I:O,MATCH(K521,Table!I:I,0),6),"")</f>
        <v/>
      </c>
      <c r="Q521" s="89" t="str">
        <f t="shared" si="24"/>
        <v/>
      </c>
      <c r="R521" s="89" t="str">
        <f t="shared" si="25"/>
        <v/>
      </c>
      <c r="S521" s="82"/>
      <c r="U521" s="37" t="e">
        <f t="shared" si="26"/>
        <v>#VALUE!</v>
      </c>
    </row>
    <row r="522" spans="1:21" x14ac:dyDescent="0.25">
      <c r="A522" s="31" t="str">
        <f>IF(Table!A522 = "","",Table!A522)</f>
        <v/>
      </c>
      <c r="B522" s="31" t="str">
        <f>IF(Table!B522 = "","",Table!B522)</f>
        <v/>
      </c>
      <c r="C522" s="31" t="str">
        <f>IF(Table!C522 = "","",Table!C522)</f>
        <v/>
      </c>
      <c r="D522" s="32" t="str">
        <f>IF(Table!D522 = "","",Table!D522)</f>
        <v/>
      </c>
      <c r="E522" s="32" t="str">
        <f>IF(Table!E522 = "","",Table!E522)</f>
        <v/>
      </c>
      <c r="F522" s="32" t="str">
        <f>IF(Table!F522 = "","",Table!F522)</f>
        <v/>
      </c>
      <c r="G522" s="91"/>
      <c r="I522" s="84" t="str">
        <f>IFERROR(VLOOKUP(A522,Downlink!A:L,12,TRUE),"")</f>
        <v/>
      </c>
      <c r="K522" s="31" t="str">
        <f>IFERROR(VLOOKUP(A522,Table!$I$4:$O$3000,1,TRUE),"")</f>
        <v/>
      </c>
      <c r="L522" s="31" t="str">
        <f>IFERROR(INDEX(Table!I:O,MATCH(K522,Table!I:I,0),2),"")</f>
        <v/>
      </c>
      <c r="M522" s="31" t="str">
        <f>IFERROR(INDEX(Table!I:O,MATCH(K522,Table!I:I,0),3),"")</f>
        <v/>
      </c>
      <c r="N522" s="32" t="str">
        <f>IFERROR(INDEX(Table!I:O,MATCH(K522,Table!I:I,0),4),"")</f>
        <v/>
      </c>
      <c r="O522" s="32" t="str">
        <f>IFERROR(INDEX(Table!I:O,MATCH(K522,Table!I:I,0),5),"")</f>
        <v/>
      </c>
      <c r="P522" s="32" t="str">
        <f>IFERROR(INDEX(Table!I:O,MATCH(K522,Table!I:I,0),6),"")</f>
        <v/>
      </c>
      <c r="Q522" s="89" t="str">
        <f t="shared" si="24"/>
        <v/>
      </c>
      <c r="R522" s="89" t="str">
        <f t="shared" si="25"/>
        <v/>
      </c>
      <c r="S522" s="82"/>
      <c r="U522" s="37" t="e">
        <f t="shared" si="26"/>
        <v>#VALUE!</v>
      </c>
    </row>
    <row r="523" spans="1:21" x14ac:dyDescent="0.25">
      <c r="A523" s="31" t="str">
        <f>IF(Table!A523 = "","",Table!A523)</f>
        <v/>
      </c>
      <c r="B523" s="31" t="str">
        <f>IF(Table!B523 = "","",Table!B523)</f>
        <v/>
      </c>
      <c r="C523" s="31" t="str">
        <f>IF(Table!C523 = "","",Table!C523)</f>
        <v/>
      </c>
      <c r="D523" s="32" t="str">
        <f>IF(Table!D523 = "","",Table!D523)</f>
        <v/>
      </c>
      <c r="E523" s="32" t="str">
        <f>IF(Table!E523 = "","",Table!E523)</f>
        <v/>
      </c>
      <c r="F523" s="32" t="str">
        <f>IF(Table!F523 = "","",Table!F523)</f>
        <v/>
      </c>
      <c r="G523" s="91"/>
      <c r="I523" s="84" t="str">
        <f>IFERROR(VLOOKUP(A523,Downlink!A:L,12,TRUE),"")</f>
        <v/>
      </c>
      <c r="K523" s="31" t="str">
        <f>IFERROR(VLOOKUP(A523,Table!$I$4:$O$3000,1,TRUE),"")</f>
        <v/>
      </c>
      <c r="L523" s="31" t="str">
        <f>IFERROR(INDEX(Table!I:O,MATCH(K523,Table!I:I,0),2),"")</f>
        <v/>
      </c>
      <c r="M523" s="31" t="str">
        <f>IFERROR(INDEX(Table!I:O,MATCH(K523,Table!I:I,0),3),"")</f>
        <v/>
      </c>
      <c r="N523" s="32" t="str">
        <f>IFERROR(INDEX(Table!I:O,MATCH(K523,Table!I:I,0),4),"")</f>
        <v/>
      </c>
      <c r="O523" s="32" t="str">
        <f>IFERROR(INDEX(Table!I:O,MATCH(K523,Table!I:I,0),5),"")</f>
        <v/>
      </c>
      <c r="P523" s="32" t="str">
        <f>IFERROR(INDEX(Table!I:O,MATCH(K523,Table!I:I,0),6),"")</f>
        <v/>
      </c>
      <c r="Q523" s="89" t="str">
        <f t="shared" si="24"/>
        <v/>
      </c>
      <c r="R523" s="89" t="str">
        <f t="shared" si="25"/>
        <v/>
      </c>
      <c r="S523" s="82"/>
      <c r="U523" s="37" t="e">
        <f t="shared" si="26"/>
        <v>#VALUE!</v>
      </c>
    </row>
    <row r="524" spans="1:21" x14ac:dyDescent="0.25">
      <c r="A524" s="31" t="str">
        <f>IF(Table!A524 = "","",Table!A524)</f>
        <v/>
      </c>
      <c r="B524" s="31" t="str">
        <f>IF(Table!B524 = "","",Table!B524)</f>
        <v/>
      </c>
      <c r="C524" s="31" t="str">
        <f>IF(Table!C524 = "","",Table!C524)</f>
        <v/>
      </c>
      <c r="D524" s="32" t="str">
        <f>IF(Table!D524 = "","",Table!D524)</f>
        <v/>
      </c>
      <c r="E524" s="32" t="str">
        <f>IF(Table!E524 = "","",Table!E524)</f>
        <v/>
      </c>
      <c r="F524" s="32" t="str">
        <f>IF(Table!F524 = "","",Table!F524)</f>
        <v/>
      </c>
      <c r="G524" s="91"/>
      <c r="I524" s="84" t="str">
        <f>IFERROR(VLOOKUP(A524,Downlink!A:L,12,TRUE),"")</f>
        <v/>
      </c>
      <c r="K524" s="31" t="str">
        <f>IFERROR(VLOOKUP(A524,Table!$I$4:$O$3000,1,TRUE),"")</f>
        <v/>
      </c>
      <c r="L524" s="31" t="str">
        <f>IFERROR(INDEX(Table!I:O,MATCH(K524,Table!I:I,0),2),"")</f>
        <v/>
      </c>
      <c r="M524" s="31" t="str">
        <f>IFERROR(INDEX(Table!I:O,MATCH(K524,Table!I:I,0),3),"")</f>
        <v/>
      </c>
      <c r="N524" s="32" t="str">
        <f>IFERROR(INDEX(Table!I:O,MATCH(K524,Table!I:I,0),4),"")</f>
        <v/>
      </c>
      <c r="O524" s="32" t="str">
        <f>IFERROR(INDEX(Table!I:O,MATCH(K524,Table!I:I,0),5),"")</f>
        <v/>
      </c>
      <c r="P524" s="32" t="str">
        <f>IFERROR(INDEX(Table!I:O,MATCH(K524,Table!I:I,0),6),"")</f>
        <v/>
      </c>
      <c r="Q524" s="89" t="str">
        <f t="shared" si="24"/>
        <v/>
      </c>
      <c r="R524" s="89" t="str">
        <f t="shared" si="25"/>
        <v/>
      </c>
      <c r="S524" s="82"/>
      <c r="U524" s="37" t="e">
        <f t="shared" si="26"/>
        <v>#VALUE!</v>
      </c>
    </row>
    <row r="525" spans="1:21" x14ac:dyDescent="0.25">
      <c r="A525" s="31" t="str">
        <f>IF(Table!A525 = "","",Table!A525)</f>
        <v/>
      </c>
      <c r="B525" s="31" t="str">
        <f>IF(Table!B525 = "","",Table!B525)</f>
        <v/>
      </c>
      <c r="C525" s="31" t="str">
        <f>IF(Table!C525 = "","",Table!C525)</f>
        <v/>
      </c>
      <c r="D525" s="32" t="str">
        <f>IF(Table!D525 = "","",Table!D525)</f>
        <v/>
      </c>
      <c r="E525" s="32" t="str">
        <f>IF(Table!E525 = "","",Table!E525)</f>
        <v/>
      </c>
      <c r="F525" s="32" t="str">
        <f>IF(Table!F525 = "","",Table!F525)</f>
        <v/>
      </c>
      <c r="G525" s="91"/>
      <c r="I525" s="84" t="str">
        <f>IFERROR(VLOOKUP(A525,Downlink!A:L,12,TRUE),"")</f>
        <v/>
      </c>
      <c r="K525" s="31" t="str">
        <f>IFERROR(VLOOKUP(A525,Table!$I$4:$O$3000,1,TRUE),"")</f>
        <v/>
      </c>
      <c r="L525" s="31" t="str">
        <f>IFERROR(INDEX(Table!I:O,MATCH(K525,Table!I:I,0),2),"")</f>
        <v/>
      </c>
      <c r="M525" s="31" t="str">
        <f>IFERROR(INDEX(Table!I:O,MATCH(K525,Table!I:I,0),3),"")</f>
        <v/>
      </c>
      <c r="N525" s="32" t="str">
        <f>IFERROR(INDEX(Table!I:O,MATCH(K525,Table!I:I,0),4),"")</f>
        <v/>
      </c>
      <c r="O525" s="32" t="str">
        <f>IFERROR(INDEX(Table!I:O,MATCH(K525,Table!I:I,0),5),"")</f>
        <v/>
      </c>
      <c r="P525" s="32" t="str">
        <f>IFERROR(INDEX(Table!I:O,MATCH(K525,Table!I:I,0),6),"")</f>
        <v/>
      </c>
      <c r="Q525" s="89" t="str">
        <f t="shared" si="24"/>
        <v/>
      </c>
      <c r="R525" s="89" t="str">
        <f t="shared" si="25"/>
        <v/>
      </c>
      <c r="S525" s="82"/>
      <c r="U525" s="37" t="e">
        <f t="shared" si="26"/>
        <v>#VALUE!</v>
      </c>
    </row>
    <row r="526" spans="1:21" x14ac:dyDescent="0.25">
      <c r="A526" s="31" t="str">
        <f>IF(Table!A526 = "","",Table!A526)</f>
        <v/>
      </c>
      <c r="B526" s="31" t="str">
        <f>IF(Table!B526 = "","",Table!B526)</f>
        <v/>
      </c>
      <c r="C526" s="31" t="str">
        <f>IF(Table!C526 = "","",Table!C526)</f>
        <v/>
      </c>
      <c r="D526" s="32" t="str">
        <f>IF(Table!D526 = "","",Table!D526)</f>
        <v/>
      </c>
      <c r="E526" s="32" t="str">
        <f>IF(Table!E526 = "","",Table!E526)</f>
        <v/>
      </c>
      <c r="F526" s="32" t="str">
        <f>IF(Table!F526 = "","",Table!F526)</f>
        <v/>
      </c>
      <c r="G526" s="91"/>
      <c r="I526" s="84" t="str">
        <f>IFERROR(VLOOKUP(A526,Downlink!A:L,12,TRUE),"")</f>
        <v/>
      </c>
      <c r="K526" s="31" t="str">
        <f>IFERROR(VLOOKUP(A526,Table!$I$4:$O$3000,1,TRUE),"")</f>
        <v/>
      </c>
      <c r="L526" s="31" t="str">
        <f>IFERROR(INDEX(Table!I:O,MATCH(K526,Table!I:I,0),2),"")</f>
        <v/>
      </c>
      <c r="M526" s="31" t="str">
        <f>IFERROR(INDEX(Table!I:O,MATCH(K526,Table!I:I,0),3),"")</f>
        <v/>
      </c>
      <c r="N526" s="32" t="str">
        <f>IFERROR(INDEX(Table!I:O,MATCH(K526,Table!I:I,0),4),"")</f>
        <v/>
      </c>
      <c r="O526" s="32" t="str">
        <f>IFERROR(INDEX(Table!I:O,MATCH(K526,Table!I:I,0),5),"")</f>
        <v/>
      </c>
      <c r="P526" s="32" t="str">
        <f>IFERROR(INDEX(Table!I:O,MATCH(K526,Table!I:I,0),6),"")</f>
        <v/>
      </c>
      <c r="Q526" s="89" t="str">
        <f t="shared" si="24"/>
        <v/>
      </c>
      <c r="R526" s="89" t="str">
        <f t="shared" si="25"/>
        <v/>
      </c>
      <c r="S526" s="82"/>
      <c r="U526" s="37" t="e">
        <f t="shared" si="26"/>
        <v>#VALUE!</v>
      </c>
    </row>
    <row r="527" spans="1:21" x14ac:dyDescent="0.25">
      <c r="A527" s="31" t="str">
        <f>IF(Table!A527 = "","",Table!A527)</f>
        <v/>
      </c>
      <c r="B527" s="31" t="str">
        <f>IF(Table!B527 = "","",Table!B527)</f>
        <v/>
      </c>
      <c r="C527" s="31" t="str">
        <f>IF(Table!C527 = "","",Table!C527)</f>
        <v/>
      </c>
      <c r="D527" s="32" t="str">
        <f>IF(Table!D527 = "","",Table!D527)</f>
        <v/>
      </c>
      <c r="E527" s="32" t="str">
        <f>IF(Table!E527 = "","",Table!E527)</f>
        <v/>
      </c>
      <c r="F527" s="32" t="str">
        <f>IF(Table!F527 = "","",Table!F527)</f>
        <v/>
      </c>
      <c r="G527" s="91"/>
      <c r="I527" s="84" t="str">
        <f>IFERROR(VLOOKUP(A527,Downlink!A:L,12,TRUE),"")</f>
        <v/>
      </c>
      <c r="K527" s="31" t="str">
        <f>IFERROR(VLOOKUP(A527,Table!$I$4:$O$3000,1,TRUE),"")</f>
        <v/>
      </c>
      <c r="L527" s="31" t="str">
        <f>IFERROR(INDEX(Table!I:O,MATCH(K527,Table!I:I,0),2),"")</f>
        <v/>
      </c>
      <c r="M527" s="31" t="str">
        <f>IFERROR(INDEX(Table!I:O,MATCH(K527,Table!I:I,0),3),"")</f>
        <v/>
      </c>
      <c r="N527" s="32" t="str">
        <f>IFERROR(INDEX(Table!I:O,MATCH(K527,Table!I:I,0),4),"")</f>
        <v/>
      </c>
      <c r="O527" s="32" t="str">
        <f>IFERROR(INDEX(Table!I:O,MATCH(K527,Table!I:I,0),5),"")</f>
        <v/>
      </c>
      <c r="P527" s="32" t="str">
        <f>IFERROR(INDEX(Table!I:O,MATCH(K527,Table!I:I,0),6),"")</f>
        <v/>
      </c>
      <c r="Q527" s="89" t="str">
        <f t="shared" si="24"/>
        <v/>
      </c>
      <c r="R527" s="89" t="str">
        <f t="shared" si="25"/>
        <v/>
      </c>
      <c r="S527" s="82"/>
      <c r="U527" s="37" t="e">
        <f t="shared" si="26"/>
        <v>#VALUE!</v>
      </c>
    </row>
    <row r="528" spans="1:21" x14ac:dyDescent="0.25">
      <c r="A528" s="31" t="str">
        <f>IF(Table!A528 = "","",Table!A528)</f>
        <v/>
      </c>
      <c r="B528" s="31" t="str">
        <f>IF(Table!B528 = "","",Table!B528)</f>
        <v/>
      </c>
      <c r="C528" s="31" t="str">
        <f>IF(Table!C528 = "","",Table!C528)</f>
        <v/>
      </c>
      <c r="D528" s="32" t="str">
        <f>IF(Table!D528 = "","",Table!D528)</f>
        <v/>
      </c>
      <c r="E528" s="32" t="str">
        <f>IF(Table!E528 = "","",Table!E528)</f>
        <v/>
      </c>
      <c r="F528" s="32" t="str">
        <f>IF(Table!F528 = "","",Table!F528)</f>
        <v/>
      </c>
      <c r="G528" s="91"/>
      <c r="I528" s="84" t="str">
        <f>IFERROR(VLOOKUP(A528,Downlink!A:L,12,TRUE),"")</f>
        <v/>
      </c>
      <c r="K528" s="31" t="str">
        <f>IFERROR(VLOOKUP(A528,Table!$I$4:$O$3000,1,TRUE),"")</f>
        <v/>
      </c>
      <c r="L528" s="31" t="str">
        <f>IFERROR(INDEX(Table!I:O,MATCH(K528,Table!I:I,0),2),"")</f>
        <v/>
      </c>
      <c r="M528" s="31" t="str">
        <f>IFERROR(INDEX(Table!I:O,MATCH(K528,Table!I:I,0),3),"")</f>
        <v/>
      </c>
      <c r="N528" s="32" t="str">
        <f>IFERROR(INDEX(Table!I:O,MATCH(K528,Table!I:I,0),4),"")</f>
        <v/>
      </c>
      <c r="O528" s="32" t="str">
        <f>IFERROR(INDEX(Table!I:O,MATCH(K528,Table!I:I,0),5),"")</f>
        <v/>
      </c>
      <c r="P528" s="32" t="str">
        <f>IFERROR(INDEX(Table!I:O,MATCH(K528,Table!I:I,0),6),"")</f>
        <v/>
      </c>
      <c r="Q528" s="89" t="str">
        <f t="shared" si="24"/>
        <v/>
      </c>
      <c r="R528" s="89" t="str">
        <f t="shared" si="25"/>
        <v/>
      </c>
      <c r="S528" s="82"/>
      <c r="U528" s="37" t="e">
        <f t="shared" si="26"/>
        <v>#VALUE!</v>
      </c>
    </row>
    <row r="529" spans="1:21" x14ac:dyDescent="0.25">
      <c r="A529" s="31" t="str">
        <f>IF(Table!A529 = "","",Table!A529)</f>
        <v/>
      </c>
      <c r="B529" s="31" t="str">
        <f>IF(Table!B529 = "","",Table!B529)</f>
        <v/>
      </c>
      <c r="C529" s="31" t="str">
        <f>IF(Table!C529 = "","",Table!C529)</f>
        <v/>
      </c>
      <c r="D529" s="32" t="str">
        <f>IF(Table!D529 = "","",Table!D529)</f>
        <v/>
      </c>
      <c r="E529" s="32" t="str">
        <f>IF(Table!E529 = "","",Table!E529)</f>
        <v/>
      </c>
      <c r="F529" s="32" t="str">
        <f>IF(Table!F529 = "","",Table!F529)</f>
        <v/>
      </c>
      <c r="G529" s="91"/>
      <c r="I529" s="84" t="str">
        <f>IFERROR(VLOOKUP(A529,Downlink!A:L,12,TRUE),"")</f>
        <v/>
      </c>
      <c r="K529" s="31" t="str">
        <f>IFERROR(VLOOKUP(A529,Table!$I$4:$O$3000,1,TRUE),"")</f>
        <v/>
      </c>
      <c r="L529" s="31" t="str">
        <f>IFERROR(INDEX(Table!I:O,MATCH(K529,Table!I:I,0),2),"")</f>
        <v/>
      </c>
      <c r="M529" s="31" t="str">
        <f>IFERROR(INDEX(Table!I:O,MATCH(K529,Table!I:I,0),3),"")</f>
        <v/>
      </c>
      <c r="N529" s="32" t="str">
        <f>IFERROR(INDEX(Table!I:O,MATCH(K529,Table!I:I,0),4),"")</f>
        <v/>
      </c>
      <c r="O529" s="32" t="str">
        <f>IFERROR(INDEX(Table!I:O,MATCH(K529,Table!I:I,0),5),"")</f>
        <v/>
      </c>
      <c r="P529" s="32" t="str">
        <f>IFERROR(INDEX(Table!I:O,MATCH(K529,Table!I:I,0),6),"")</f>
        <v/>
      </c>
      <c r="Q529" s="89" t="str">
        <f t="shared" si="24"/>
        <v/>
      </c>
      <c r="R529" s="89" t="str">
        <f t="shared" si="25"/>
        <v/>
      </c>
      <c r="S529" s="82"/>
      <c r="U529" s="37" t="e">
        <f t="shared" si="26"/>
        <v>#VALUE!</v>
      </c>
    </row>
    <row r="530" spans="1:21" x14ac:dyDescent="0.25">
      <c r="A530" s="31" t="str">
        <f>IF(Table!A530 = "","",Table!A530)</f>
        <v/>
      </c>
      <c r="B530" s="31" t="str">
        <f>IF(Table!B530 = "","",Table!B530)</f>
        <v/>
      </c>
      <c r="C530" s="31" t="str">
        <f>IF(Table!C530 = "","",Table!C530)</f>
        <v/>
      </c>
      <c r="D530" s="32" t="str">
        <f>IF(Table!D530 = "","",Table!D530)</f>
        <v/>
      </c>
      <c r="E530" s="32" t="str">
        <f>IF(Table!E530 = "","",Table!E530)</f>
        <v/>
      </c>
      <c r="F530" s="32" t="str">
        <f>IF(Table!F530 = "","",Table!F530)</f>
        <v/>
      </c>
      <c r="G530" s="91"/>
      <c r="I530" s="84" t="str">
        <f>IFERROR(VLOOKUP(A530,Downlink!A:L,12,TRUE),"")</f>
        <v/>
      </c>
      <c r="K530" s="31" t="str">
        <f>IFERROR(VLOOKUP(A530,Table!$I$4:$O$3000,1,TRUE),"")</f>
        <v/>
      </c>
      <c r="L530" s="31" t="str">
        <f>IFERROR(INDEX(Table!I:O,MATCH(K530,Table!I:I,0),2),"")</f>
        <v/>
      </c>
      <c r="M530" s="31" t="str">
        <f>IFERROR(INDEX(Table!I:O,MATCH(K530,Table!I:I,0),3),"")</f>
        <v/>
      </c>
      <c r="N530" s="32" t="str">
        <f>IFERROR(INDEX(Table!I:O,MATCH(K530,Table!I:I,0),4),"")</f>
        <v/>
      </c>
      <c r="O530" s="32" t="str">
        <f>IFERROR(INDEX(Table!I:O,MATCH(K530,Table!I:I,0),5),"")</f>
        <v/>
      </c>
      <c r="P530" s="32" t="str">
        <f>IFERROR(INDEX(Table!I:O,MATCH(K530,Table!I:I,0),6),"")</f>
        <v/>
      </c>
      <c r="Q530" s="89" t="str">
        <f t="shared" si="24"/>
        <v/>
      </c>
      <c r="R530" s="89" t="str">
        <f t="shared" si="25"/>
        <v/>
      </c>
      <c r="S530" s="82"/>
      <c r="U530" s="37" t="e">
        <f t="shared" si="26"/>
        <v>#VALUE!</v>
      </c>
    </row>
    <row r="531" spans="1:21" x14ac:dyDescent="0.25">
      <c r="A531" s="31" t="str">
        <f>IF(Table!A531 = "","",Table!A531)</f>
        <v/>
      </c>
      <c r="B531" s="31" t="str">
        <f>IF(Table!B531 = "","",Table!B531)</f>
        <v/>
      </c>
      <c r="C531" s="31" t="str">
        <f>IF(Table!C531 = "","",Table!C531)</f>
        <v/>
      </c>
      <c r="D531" s="32" t="str">
        <f>IF(Table!D531 = "","",Table!D531)</f>
        <v/>
      </c>
      <c r="E531" s="32" t="str">
        <f>IF(Table!E531 = "","",Table!E531)</f>
        <v/>
      </c>
      <c r="F531" s="32" t="str">
        <f>IF(Table!F531 = "","",Table!F531)</f>
        <v/>
      </c>
      <c r="G531" s="91"/>
      <c r="I531" s="84" t="str">
        <f>IFERROR(VLOOKUP(A531,Downlink!A:L,12,TRUE),"")</f>
        <v/>
      </c>
      <c r="K531" s="31" t="str">
        <f>IFERROR(VLOOKUP(A531,Table!$I$4:$O$3000,1,TRUE),"")</f>
        <v/>
      </c>
      <c r="L531" s="31" t="str">
        <f>IFERROR(INDEX(Table!I:O,MATCH(K531,Table!I:I,0),2),"")</f>
        <v/>
      </c>
      <c r="M531" s="31" t="str">
        <f>IFERROR(INDEX(Table!I:O,MATCH(K531,Table!I:I,0),3),"")</f>
        <v/>
      </c>
      <c r="N531" s="32" t="str">
        <f>IFERROR(INDEX(Table!I:O,MATCH(K531,Table!I:I,0),4),"")</f>
        <v/>
      </c>
      <c r="O531" s="32" t="str">
        <f>IFERROR(INDEX(Table!I:O,MATCH(K531,Table!I:I,0),5),"")</f>
        <v/>
      </c>
      <c r="P531" s="32" t="str">
        <f>IFERROR(INDEX(Table!I:O,MATCH(K531,Table!I:I,0),6),"")</f>
        <v/>
      </c>
      <c r="Q531" s="89" t="str">
        <f t="shared" si="24"/>
        <v/>
      </c>
      <c r="R531" s="89" t="str">
        <f t="shared" si="25"/>
        <v/>
      </c>
      <c r="S531" s="82"/>
      <c r="U531" s="37" t="e">
        <f t="shared" si="26"/>
        <v>#VALUE!</v>
      </c>
    </row>
    <row r="532" spans="1:21" x14ac:dyDescent="0.25">
      <c r="A532" s="31" t="str">
        <f>IF(Table!A532 = "","",Table!A532)</f>
        <v/>
      </c>
      <c r="B532" s="31" t="str">
        <f>IF(Table!B532 = "","",Table!B532)</f>
        <v/>
      </c>
      <c r="C532" s="31" t="str">
        <f>IF(Table!C532 = "","",Table!C532)</f>
        <v/>
      </c>
      <c r="D532" s="32" t="str">
        <f>IF(Table!D532 = "","",Table!D532)</f>
        <v/>
      </c>
      <c r="E532" s="32" t="str">
        <f>IF(Table!E532 = "","",Table!E532)</f>
        <v/>
      </c>
      <c r="F532" s="32" t="str">
        <f>IF(Table!F532 = "","",Table!F532)</f>
        <v/>
      </c>
      <c r="G532" s="91"/>
      <c r="I532" s="84" t="str">
        <f>IFERROR(VLOOKUP(A532,Downlink!A:L,12,TRUE),"")</f>
        <v/>
      </c>
      <c r="K532" s="31" t="str">
        <f>IFERROR(VLOOKUP(A532,Table!$I$4:$O$3000,1,TRUE),"")</f>
        <v/>
      </c>
      <c r="L532" s="31" t="str">
        <f>IFERROR(INDEX(Table!I:O,MATCH(K532,Table!I:I,0),2),"")</f>
        <v/>
      </c>
      <c r="M532" s="31" t="str">
        <f>IFERROR(INDEX(Table!I:O,MATCH(K532,Table!I:I,0),3),"")</f>
        <v/>
      </c>
      <c r="N532" s="32" t="str">
        <f>IFERROR(INDEX(Table!I:O,MATCH(K532,Table!I:I,0),4),"")</f>
        <v/>
      </c>
      <c r="O532" s="32" t="str">
        <f>IFERROR(INDEX(Table!I:O,MATCH(K532,Table!I:I,0),5),"")</f>
        <v/>
      </c>
      <c r="P532" s="32" t="str">
        <f>IFERROR(INDEX(Table!I:O,MATCH(K532,Table!I:I,0),6),"")</f>
        <v/>
      </c>
      <c r="Q532" s="89" t="str">
        <f t="shared" si="24"/>
        <v/>
      </c>
      <c r="R532" s="89" t="str">
        <f t="shared" si="25"/>
        <v/>
      </c>
      <c r="S532" s="82"/>
      <c r="U532" s="37" t="e">
        <f t="shared" si="26"/>
        <v>#VALUE!</v>
      </c>
    </row>
    <row r="533" spans="1:21" x14ac:dyDescent="0.25">
      <c r="A533" s="31" t="str">
        <f>IF(Table!A533 = "","",Table!A533)</f>
        <v/>
      </c>
      <c r="B533" s="31" t="str">
        <f>IF(Table!B533 = "","",Table!B533)</f>
        <v/>
      </c>
      <c r="C533" s="31" t="str">
        <f>IF(Table!C533 = "","",Table!C533)</f>
        <v/>
      </c>
      <c r="D533" s="32" t="str">
        <f>IF(Table!D533 = "","",Table!D533)</f>
        <v/>
      </c>
      <c r="E533" s="32" t="str">
        <f>IF(Table!E533 = "","",Table!E533)</f>
        <v/>
      </c>
      <c r="F533" s="32" t="str">
        <f>IF(Table!F533 = "","",Table!F533)</f>
        <v/>
      </c>
      <c r="G533" s="91"/>
      <c r="I533" s="84" t="str">
        <f>IFERROR(VLOOKUP(A533,Downlink!A:L,12,TRUE),"")</f>
        <v/>
      </c>
      <c r="K533" s="31" t="str">
        <f>IFERROR(VLOOKUP(A533,Table!$I$4:$O$3000,1,TRUE),"")</f>
        <v/>
      </c>
      <c r="L533" s="31" t="str">
        <f>IFERROR(INDEX(Table!I:O,MATCH(K533,Table!I:I,0),2),"")</f>
        <v/>
      </c>
      <c r="M533" s="31" t="str">
        <f>IFERROR(INDEX(Table!I:O,MATCH(K533,Table!I:I,0),3),"")</f>
        <v/>
      </c>
      <c r="N533" s="32" t="str">
        <f>IFERROR(INDEX(Table!I:O,MATCH(K533,Table!I:I,0),4),"")</f>
        <v/>
      </c>
      <c r="O533" s="32" t="str">
        <f>IFERROR(INDEX(Table!I:O,MATCH(K533,Table!I:I,0),5),"")</f>
        <v/>
      </c>
      <c r="P533" s="32" t="str">
        <f>IFERROR(INDEX(Table!I:O,MATCH(K533,Table!I:I,0),6),"")</f>
        <v/>
      </c>
      <c r="Q533" s="89" t="str">
        <f t="shared" si="24"/>
        <v/>
      </c>
      <c r="R533" s="89" t="str">
        <f t="shared" si="25"/>
        <v/>
      </c>
      <c r="S533" s="82"/>
      <c r="U533" s="37" t="e">
        <f t="shared" si="26"/>
        <v>#VALUE!</v>
      </c>
    </row>
    <row r="534" spans="1:21" x14ac:dyDescent="0.25">
      <c r="A534" s="31" t="str">
        <f>IF(Table!A534 = "","",Table!A534)</f>
        <v/>
      </c>
      <c r="B534" s="31" t="str">
        <f>IF(Table!B534 = "","",Table!B534)</f>
        <v/>
      </c>
      <c r="C534" s="31" t="str">
        <f>IF(Table!C534 = "","",Table!C534)</f>
        <v/>
      </c>
      <c r="D534" s="32" t="str">
        <f>IF(Table!D534 = "","",Table!D534)</f>
        <v/>
      </c>
      <c r="E534" s="32" t="str">
        <f>IF(Table!E534 = "","",Table!E534)</f>
        <v/>
      </c>
      <c r="F534" s="32" t="str">
        <f>IF(Table!F534 = "","",Table!F534)</f>
        <v/>
      </c>
      <c r="G534" s="91"/>
      <c r="I534" s="84" t="str">
        <f>IFERROR(VLOOKUP(A534,Downlink!A:L,12,TRUE),"")</f>
        <v/>
      </c>
      <c r="K534" s="31" t="str">
        <f>IFERROR(VLOOKUP(A534,Table!$I$4:$O$3000,1,TRUE),"")</f>
        <v/>
      </c>
      <c r="L534" s="31" t="str">
        <f>IFERROR(INDEX(Table!I:O,MATCH(K534,Table!I:I,0),2),"")</f>
        <v/>
      </c>
      <c r="M534" s="31" t="str">
        <f>IFERROR(INDEX(Table!I:O,MATCH(K534,Table!I:I,0),3),"")</f>
        <v/>
      </c>
      <c r="N534" s="32" t="str">
        <f>IFERROR(INDEX(Table!I:O,MATCH(K534,Table!I:I,0),4),"")</f>
        <v/>
      </c>
      <c r="O534" s="32" t="str">
        <f>IFERROR(INDEX(Table!I:O,MATCH(K534,Table!I:I,0),5),"")</f>
        <v/>
      </c>
      <c r="P534" s="32" t="str">
        <f>IFERROR(INDEX(Table!I:O,MATCH(K534,Table!I:I,0),6),"")</f>
        <v/>
      </c>
      <c r="Q534" s="89" t="str">
        <f t="shared" si="24"/>
        <v/>
      </c>
      <c r="R534" s="89" t="str">
        <f t="shared" si="25"/>
        <v/>
      </c>
      <c r="S534" s="82"/>
      <c r="U534" s="37" t="e">
        <f t="shared" si="26"/>
        <v>#VALUE!</v>
      </c>
    </row>
    <row r="535" spans="1:21" x14ac:dyDescent="0.25">
      <c r="A535" s="31" t="str">
        <f>IF(Table!A535 = "","",Table!A535)</f>
        <v/>
      </c>
      <c r="B535" s="31" t="str">
        <f>IF(Table!B535 = "","",Table!B535)</f>
        <v/>
      </c>
      <c r="C535" s="31" t="str">
        <f>IF(Table!C535 = "","",Table!C535)</f>
        <v/>
      </c>
      <c r="D535" s="32" t="str">
        <f>IF(Table!D535 = "","",Table!D535)</f>
        <v/>
      </c>
      <c r="E535" s="32" t="str">
        <f>IF(Table!E535 = "","",Table!E535)</f>
        <v/>
      </c>
      <c r="F535" s="32" t="str">
        <f>IF(Table!F535 = "","",Table!F535)</f>
        <v/>
      </c>
      <c r="G535" s="91"/>
      <c r="I535" s="84" t="str">
        <f>IFERROR(VLOOKUP(A535,Downlink!A:L,12,TRUE),"")</f>
        <v/>
      </c>
      <c r="K535" s="31" t="str">
        <f>IFERROR(VLOOKUP(A535,Table!$I$4:$O$3000,1,TRUE),"")</f>
        <v/>
      </c>
      <c r="L535" s="31" t="str">
        <f>IFERROR(INDEX(Table!I:O,MATCH(K535,Table!I:I,0),2),"")</f>
        <v/>
      </c>
      <c r="M535" s="31" t="str">
        <f>IFERROR(INDEX(Table!I:O,MATCH(K535,Table!I:I,0),3),"")</f>
        <v/>
      </c>
      <c r="N535" s="32" t="str">
        <f>IFERROR(INDEX(Table!I:O,MATCH(K535,Table!I:I,0),4),"")</f>
        <v/>
      </c>
      <c r="O535" s="32" t="str">
        <f>IFERROR(INDEX(Table!I:O,MATCH(K535,Table!I:I,0),5),"")</f>
        <v/>
      </c>
      <c r="P535" s="32" t="str">
        <f>IFERROR(INDEX(Table!I:O,MATCH(K535,Table!I:I,0),6),"")</f>
        <v/>
      </c>
      <c r="Q535" s="89" t="str">
        <f t="shared" si="24"/>
        <v/>
      </c>
      <c r="R535" s="89" t="str">
        <f t="shared" si="25"/>
        <v/>
      </c>
      <c r="S535" s="82"/>
      <c r="U535" s="37" t="e">
        <f t="shared" si="26"/>
        <v>#VALUE!</v>
      </c>
    </row>
    <row r="536" spans="1:21" x14ac:dyDescent="0.25">
      <c r="A536" s="31" t="str">
        <f>IF(Table!A536 = "","",Table!A536)</f>
        <v/>
      </c>
      <c r="B536" s="31" t="str">
        <f>IF(Table!B536 = "","",Table!B536)</f>
        <v/>
      </c>
      <c r="C536" s="31" t="str">
        <f>IF(Table!C536 = "","",Table!C536)</f>
        <v/>
      </c>
      <c r="D536" s="32" t="str">
        <f>IF(Table!D536 = "","",Table!D536)</f>
        <v/>
      </c>
      <c r="E536" s="32" t="str">
        <f>IF(Table!E536 = "","",Table!E536)</f>
        <v/>
      </c>
      <c r="F536" s="32" t="str">
        <f>IF(Table!F536 = "","",Table!F536)</f>
        <v/>
      </c>
      <c r="G536" s="91"/>
      <c r="I536" s="84" t="str">
        <f>IFERROR(VLOOKUP(A536,Downlink!A:L,12,TRUE),"")</f>
        <v/>
      </c>
      <c r="K536" s="31" t="str">
        <f>IFERROR(VLOOKUP(A536,Table!$I$4:$O$3000,1,TRUE),"")</f>
        <v/>
      </c>
      <c r="L536" s="31" t="str">
        <f>IFERROR(INDEX(Table!I:O,MATCH(K536,Table!I:I,0),2),"")</f>
        <v/>
      </c>
      <c r="M536" s="31" t="str">
        <f>IFERROR(INDEX(Table!I:O,MATCH(K536,Table!I:I,0),3),"")</f>
        <v/>
      </c>
      <c r="N536" s="32" t="str">
        <f>IFERROR(INDEX(Table!I:O,MATCH(K536,Table!I:I,0),4),"")</f>
        <v/>
      </c>
      <c r="O536" s="32" t="str">
        <f>IFERROR(INDEX(Table!I:O,MATCH(K536,Table!I:I,0),5),"")</f>
        <v/>
      </c>
      <c r="P536" s="32" t="str">
        <f>IFERROR(INDEX(Table!I:O,MATCH(K536,Table!I:I,0),6),"")</f>
        <v/>
      </c>
      <c r="Q536" s="89" t="str">
        <f t="shared" si="24"/>
        <v/>
      </c>
      <c r="R536" s="89" t="str">
        <f t="shared" si="25"/>
        <v/>
      </c>
      <c r="S536" s="82"/>
      <c r="U536" s="37" t="e">
        <f t="shared" si="26"/>
        <v>#VALUE!</v>
      </c>
    </row>
    <row r="537" spans="1:21" x14ac:dyDescent="0.25">
      <c r="A537" s="31" t="str">
        <f>IF(Table!A537 = "","",Table!A537)</f>
        <v/>
      </c>
      <c r="B537" s="31" t="str">
        <f>IF(Table!B537 = "","",Table!B537)</f>
        <v/>
      </c>
      <c r="C537" s="31" t="str">
        <f>IF(Table!C537 = "","",Table!C537)</f>
        <v/>
      </c>
      <c r="D537" s="32" t="str">
        <f>IF(Table!D537 = "","",Table!D537)</f>
        <v/>
      </c>
      <c r="E537" s="32" t="str">
        <f>IF(Table!E537 = "","",Table!E537)</f>
        <v/>
      </c>
      <c r="F537" s="32" t="str">
        <f>IF(Table!F537 = "","",Table!F537)</f>
        <v/>
      </c>
      <c r="G537" s="91"/>
      <c r="I537" s="84" t="str">
        <f>IFERROR(VLOOKUP(A537,Downlink!A:L,12,TRUE),"")</f>
        <v/>
      </c>
      <c r="K537" s="31" t="str">
        <f>IFERROR(VLOOKUP(A537,Table!$I$4:$O$3000,1,TRUE),"")</f>
        <v/>
      </c>
      <c r="L537" s="31" t="str">
        <f>IFERROR(INDEX(Table!I:O,MATCH(K537,Table!I:I,0),2),"")</f>
        <v/>
      </c>
      <c r="M537" s="31" t="str">
        <f>IFERROR(INDEX(Table!I:O,MATCH(K537,Table!I:I,0),3),"")</f>
        <v/>
      </c>
      <c r="N537" s="32" t="str">
        <f>IFERROR(INDEX(Table!I:O,MATCH(K537,Table!I:I,0),4),"")</f>
        <v/>
      </c>
      <c r="O537" s="32" t="str">
        <f>IFERROR(INDEX(Table!I:O,MATCH(K537,Table!I:I,0),5),"")</f>
        <v/>
      </c>
      <c r="P537" s="32" t="str">
        <f>IFERROR(INDEX(Table!I:O,MATCH(K537,Table!I:I,0),6),"")</f>
        <v/>
      </c>
      <c r="Q537" s="89" t="str">
        <f t="shared" si="24"/>
        <v/>
      </c>
      <c r="R537" s="89" t="str">
        <f t="shared" si="25"/>
        <v/>
      </c>
      <c r="S537" s="82"/>
      <c r="U537" s="37" t="e">
        <f t="shared" si="26"/>
        <v>#VALUE!</v>
      </c>
    </row>
    <row r="538" spans="1:21" x14ac:dyDescent="0.25">
      <c r="A538" s="31" t="str">
        <f>IF(Table!A538 = "","",Table!A538)</f>
        <v/>
      </c>
      <c r="B538" s="31" t="str">
        <f>IF(Table!B538 = "","",Table!B538)</f>
        <v/>
      </c>
      <c r="C538" s="31" t="str">
        <f>IF(Table!C538 = "","",Table!C538)</f>
        <v/>
      </c>
      <c r="D538" s="32" t="str">
        <f>IF(Table!D538 = "","",Table!D538)</f>
        <v/>
      </c>
      <c r="E538" s="32" t="str">
        <f>IF(Table!E538 = "","",Table!E538)</f>
        <v/>
      </c>
      <c r="F538" s="32" t="str">
        <f>IF(Table!F538 = "","",Table!F538)</f>
        <v/>
      </c>
      <c r="G538" s="91"/>
      <c r="I538" s="84" t="str">
        <f>IFERROR(VLOOKUP(A538,Downlink!A:L,12,TRUE),"")</f>
        <v/>
      </c>
      <c r="K538" s="31" t="str">
        <f>IFERROR(VLOOKUP(A538,Table!$I$4:$O$3000,1,TRUE),"")</f>
        <v/>
      </c>
      <c r="L538" s="31" t="str">
        <f>IFERROR(INDEX(Table!I:O,MATCH(K538,Table!I:I,0),2),"")</f>
        <v/>
      </c>
      <c r="M538" s="31" t="str">
        <f>IFERROR(INDEX(Table!I:O,MATCH(K538,Table!I:I,0),3),"")</f>
        <v/>
      </c>
      <c r="N538" s="32" t="str">
        <f>IFERROR(INDEX(Table!I:O,MATCH(K538,Table!I:I,0),4),"")</f>
        <v/>
      </c>
      <c r="O538" s="32" t="str">
        <f>IFERROR(INDEX(Table!I:O,MATCH(K538,Table!I:I,0),5),"")</f>
        <v/>
      </c>
      <c r="P538" s="32" t="str">
        <f>IFERROR(INDEX(Table!I:O,MATCH(K538,Table!I:I,0),6),"")</f>
        <v/>
      </c>
      <c r="Q538" s="89" t="str">
        <f t="shared" si="24"/>
        <v/>
      </c>
      <c r="R538" s="89" t="str">
        <f t="shared" si="25"/>
        <v/>
      </c>
      <c r="S538" s="82"/>
      <c r="U538" s="37" t="e">
        <f t="shared" si="26"/>
        <v>#VALUE!</v>
      </c>
    </row>
    <row r="539" spans="1:21" x14ac:dyDescent="0.25">
      <c r="A539" s="31" t="str">
        <f>IF(Table!A539 = "","",Table!A539)</f>
        <v/>
      </c>
      <c r="B539" s="31" t="str">
        <f>IF(Table!B539 = "","",Table!B539)</f>
        <v/>
      </c>
      <c r="C539" s="31" t="str">
        <f>IF(Table!C539 = "","",Table!C539)</f>
        <v/>
      </c>
      <c r="D539" s="32" t="str">
        <f>IF(Table!D539 = "","",Table!D539)</f>
        <v/>
      </c>
      <c r="E539" s="32" t="str">
        <f>IF(Table!E539 = "","",Table!E539)</f>
        <v/>
      </c>
      <c r="F539" s="32" t="str">
        <f>IF(Table!F539 = "","",Table!F539)</f>
        <v/>
      </c>
      <c r="G539" s="91"/>
      <c r="I539" s="84" t="str">
        <f>IFERROR(VLOOKUP(A539,Downlink!A:L,12,TRUE),"")</f>
        <v/>
      </c>
      <c r="K539" s="31" t="str">
        <f>IFERROR(VLOOKUP(A539,Table!$I$4:$O$3000,1,TRUE),"")</f>
        <v/>
      </c>
      <c r="L539" s="31" t="str">
        <f>IFERROR(INDEX(Table!I:O,MATCH(K539,Table!I:I,0),2),"")</f>
        <v/>
      </c>
      <c r="M539" s="31" t="str">
        <f>IFERROR(INDEX(Table!I:O,MATCH(K539,Table!I:I,0),3),"")</f>
        <v/>
      </c>
      <c r="N539" s="32" t="str">
        <f>IFERROR(INDEX(Table!I:O,MATCH(K539,Table!I:I,0),4),"")</f>
        <v/>
      </c>
      <c r="O539" s="32" t="str">
        <f>IFERROR(INDEX(Table!I:O,MATCH(K539,Table!I:I,0),5),"")</f>
        <v/>
      </c>
      <c r="P539" s="32" t="str">
        <f>IFERROR(INDEX(Table!I:O,MATCH(K539,Table!I:I,0),6),"")</f>
        <v/>
      </c>
      <c r="Q539" s="89" t="str">
        <f t="shared" si="24"/>
        <v/>
      </c>
      <c r="R539" s="89" t="str">
        <f t="shared" si="25"/>
        <v/>
      </c>
      <c r="S539" s="82"/>
      <c r="U539" s="37" t="e">
        <f t="shared" si="26"/>
        <v>#VALUE!</v>
      </c>
    </row>
    <row r="540" spans="1:21" x14ac:dyDescent="0.25">
      <c r="A540" s="31" t="str">
        <f>IF(Table!A540 = "","",Table!A540)</f>
        <v/>
      </c>
      <c r="B540" s="31" t="str">
        <f>IF(Table!B540 = "","",Table!B540)</f>
        <v/>
      </c>
      <c r="C540" s="31" t="str">
        <f>IF(Table!C540 = "","",Table!C540)</f>
        <v/>
      </c>
      <c r="D540" s="32" t="str">
        <f>IF(Table!D540 = "","",Table!D540)</f>
        <v/>
      </c>
      <c r="E540" s="32" t="str">
        <f>IF(Table!E540 = "","",Table!E540)</f>
        <v/>
      </c>
      <c r="F540" s="32" t="str">
        <f>IF(Table!F540 = "","",Table!F540)</f>
        <v/>
      </c>
      <c r="G540" s="91"/>
      <c r="I540" s="84" t="str">
        <f>IFERROR(VLOOKUP(A540,Downlink!A:L,12,TRUE),"")</f>
        <v/>
      </c>
      <c r="K540" s="31" t="str">
        <f>IFERROR(VLOOKUP(A540,Table!$I$4:$O$3000,1,TRUE),"")</f>
        <v/>
      </c>
      <c r="L540" s="31" t="str">
        <f>IFERROR(INDEX(Table!I:O,MATCH(K540,Table!I:I,0),2),"")</f>
        <v/>
      </c>
      <c r="M540" s="31" t="str">
        <f>IFERROR(INDEX(Table!I:O,MATCH(K540,Table!I:I,0),3),"")</f>
        <v/>
      </c>
      <c r="N540" s="32" t="str">
        <f>IFERROR(INDEX(Table!I:O,MATCH(K540,Table!I:I,0),4),"")</f>
        <v/>
      </c>
      <c r="O540" s="32" t="str">
        <f>IFERROR(INDEX(Table!I:O,MATCH(K540,Table!I:I,0),5),"")</f>
        <v/>
      </c>
      <c r="P540" s="32" t="str">
        <f>IFERROR(INDEX(Table!I:O,MATCH(K540,Table!I:I,0),6),"")</f>
        <v/>
      </c>
      <c r="Q540" s="89" t="str">
        <f t="shared" si="24"/>
        <v/>
      </c>
      <c r="R540" s="89" t="str">
        <f t="shared" si="25"/>
        <v/>
      </c>
      <c r="S540" s="82"/>
      <c r="U540" s="37" t="e">
        <f t="shared" si="26"/>
        <v>#VALUE!</v>
      </c>
    </row>
    <row r="541" spans="1:21" x14ac:dyDescent="0.25">
      <c r="A541" s="31" t="str">
        <f>IF(Table!A541 = "","",Table!A541)</f>
        <v/>
      </c>
      <c r="B541" s="31" t="str">
        <f>IF(Table!B541 = "","",Table!B541)</f>
        <v/>
      </c>
      <c r="C541" s="31" t="str">
        <f>IF(Table!C541 = "","",Table!C541)</f>
        <v/>
      </c>
      <c r="D541" s="32" t="str">
        <f>IF(Table!D541 = "","",Table!D541)</f>
        <v/>
      </c>
      <c r="E541" s="32" t="str">
        <f>IF(Table!E541 = "","",Table!E541)</f>
        <v/>
      </c>
      <c r="F541" s="32" t="str">
        <f>IF(Table!F541 = "","",Table!F541)</f>
        <v/>
      </c>
      <c r="G541" s="91"/>
      <c r="I541" s="84" t="str">
        <f>IFERROR(VLOOKUP(A541,Downlink!A:L,12,TRUE),"")</f>
        <v/>
      </c>
      <c r="K541" s="31" t="str">
        <f>IFERROR(VLOOKUP(A541,Table!$I$4:$O$3000,1,TRUE),"")</f>
        <v/>
      </c>
      <c r="L541" s="31" t="str">
        <f>IFERROR(INDEX(Table!I:O,MATCH(K541,Table!I:I,0),2),"")</f>
        <v/>
      </c>
      <c r="M541" s="31" t="str">
        <f>IFERROR(INDEX(Table!I:O,MATCH(K541,Table!I:I,0),3),"")</f>
        <v/>
      </c>
      <c r="N541" s="32" t="str">
        <f>IFERROR(INDEX(Table!I:O,MATCH(K541,Table!I:I,0),4),"")</f>
        <v/>
      </c>
      <c r="O541" s="32" t="str">
        <f>IFERROR(INDEX(Table!I:O,MATCH(K541,Table!I:I,0),5),"")</f>
        <v/>
      </c>
      <c r="P541" s="32" t="str">
        <f>IFERROR(INDEX(Table!I:O,MATCH(K541,Table!I:I,0),6),"")</f>
        <v/>
      </c>
      <c r="Q541" s="89" t="str">
        <f t="shared" si="24"/>
        <v/>
      </c>
      <c r="R541" s="89" t="str">
        <f t="shared" si="25"/>
        <v/>
      </c>
      <c r="S541" s="82"/>
      <c r="U541" s="37" t="e">
        <f t="shared" si="26"/>
        <v>#VALUE!</v>
      </c>
    </row>
    <row r="542" spans="1:21" x14ac:dyDescent="0.25">
      <c r="A542" s="31" t="str">
        <f>IF(Table!A542 = "","",Table!A542)</f>
        <v/>
      </c>
      <c r="B542" s="31" t="str">
        <f>IF(Table!B542 = "","",Table!B542)</f>
        <v/>
      </c>
      <c r="C542" s="31" t="str">
        <f>IF(Table!C542 = "","",Table!C542)</f>
        <v/>
      </c>
      <c r="D542" s="32" t="str">
        <f>IF(Table!D542 = "","",Table!D542)</f>
        <v/>
      </c>
      <c r="E542" s="32" t="str">
        <f>IF(Table!E542 = "","",Table!E542)</f>
        <v/>
      </c>
      <c r="F542" s="32" t="str">
        <f>IF(Table!F542 = "","",Table!F542)</f>
        <v/>
      </c>
      <c r="G542" s="91"/>
      <c r="I542" s="84" t="str">
        <f>IFERROR(VLOOKUP(A542,Downlink!A:L,12,TRUE),"")</f>
        <v/>
      </c>
      <c r="K542" s="31" t="str">
        <f>IFERROR(VLOOKUP(A542,Table!$I$4:$O$3000,1,TRUE),"")</f>
        <v/>
      </c>
      <c r="L542" s="31" t="str">
        <f>IFERROR(INDEX(Table!I:O,MATCH(K542,Table!I:I,0),2),"")</f>
        <v/>
      </c>
      <c r="M542" s="31" t="str">
        <f>IFERROR(INDEX(Table!I:O,MATCH(K542,Table!I:I,0),3),"")</f>
        <v/>
      </c>
      <c r="N542" s="32" t="str">
        <f>IFERROR(INDEX(Table!I:O,MATCH(K542,Table!I:I,0),4),"")</f>
        <v/>
      </c>
      <c r="O542" s="32" t="str">
        <f>IFERROR(INDEX(Table!I:O,MATCH(K542,Table!I:I,0),5),"")</f>
        <v/>
      </c>
      <c r="P542" s="32" t="str">
        <f>IFERROR(INDEX(Table!I:O,MATCH(K542,Table!I:I,0),6),"")</f>
        <v/>
      </c>
      <c r="Q542" s="89" t="str">
        <f t="shared" si="24"/>
        <v/>
      </c>
      <c r="R542" s="89" t="str">
        <f t="shared" si="25"/>
        <v/>
      </c>
      <c r="S542" s="82"/>
      <c r="U542" s="37" t="e">
        <f t="shared" si="26"/>
        <v>#VALUE!</v>
      </c>
    </row>
    <row r="543" spans="1:21" x14ac:dyDescent="0.25">
      <c r="A543" s="31" t="str">
        <f>IF(Table!A543 = "","",Table!A543)</f>
        <v/>
      </c>
      <c r="B543" s="31" t="str">
        <f>IF(Table!B543 = "","",Table!B543)</f>
        <v/>
      </c>
      <c r="C543" s="31" t="str">
        <f>IF(Table!C543 = "","",Table!C543)</f>
        <v/>
      </c>
      <c r="D543" s="32" t="str">
        <f>IF(Table!D543 = "","",Table!D543)</f>
        <v/>
      </c>
      <c r="E543" s="32" t="str">
        <f>IF(Table!E543 = "","",Table!E543)</f>
        <v/>
      </c>
      <c r="F543" s="32" t="str">
        <f>IF(Table!F543 = "","",Table!F543)</f>
        <v/>
      </c>
      <c r="G543" s="91"/>
      <c r="I543" s="84" t="str">
        <f>IFERROR(VLOOKUP(A543,Downlink!A:L,12,TRUE),"")</f>
        <v/>
      </c>
      <c r="K543" s="31" t="str">
        <f>IFERROR(VLOOKUP(A543,Table!$I$4:$O$3000,1,TRUE),"")</f>
        <v/>
      </c>
      <c r="L543" s="31" t="str">
        <f>IFERROR(INDEX(Table!I:O,MATCH(K543,Table!I:I,0),2),"")</f>
        <v/>
      </c>
      <c r="M543" s="31" t="str">
        <f>IFERROR(INDEX(Table!I:O,MATCH(K543,Table!I:I,0),3),"")</f>
        <v/>
      </c>
      <c r="N543" s="32" t="str">
        <f>IFERROR(INDEX(Table!I:O,MATCH(K543,Table!I:I,0),4),"")</f>
        <v/>
      </c>
      <c r="O543" s="32" t="str">
        <f>IFERROR(INDEX(Table!I:O,MATCH(K543,Table!I:I,0),5),"")</f>
        <v/>
      </c>
      <c r="P543" s="32" t="str">
        <f>IFERROR(INDEX(Table!I:O,MATCH(K543,Table!I:I,0),6),"")</f>
        <v/>
      </c>
      <c r="Q543" s="89" t="str">
        <f t="shared" si="24"/>
        <v/>
      </c>
      <c r="R543" s="89" t="str">
        <f t="shared" si="25"/>
        <v/>
      </c>
      <c r="S543" s="82"/>
      <c r="U543" s="37" t="e">
        <f t="shared" si="26"/>
        <v>#VALUE!</v>
      </c>
    </row>
    <row r="544" spans="1:21" x14ac:dyDescent="0.25">
      <c r="A544" s="31" t="str">
        <f>IF(Table!A544 = "","",Table!A544)</f>
        <v/>
      </c>
      <c r="B544" s="31" t="str">
        <f>IF(Table!B544 = "","",Table!B544)</f>
        <v/>
      </c>
      <c r="C544" s="31" t="str">
        <f>IF(Table!C544 = "","",Table!C544)</f>
        <v/>
      </c>
      <c r="D544" s="32" t="str">
        <f>IF(Table!D544 = "","",Table!D544)</f>
        <v/>
      </c>
      <c r="E544" s="32" t="str">
        <f>IF(Table!E544 = "","",Table!E544)</f>
        <v/>
      </c>
      <c r="F544" s="32" t="str">
        <f>IF(Table!F544 = "","",Table!F544)</f>
        <v/>
      </c>
      <c r="G544" s="91"/>
      <c r="I544" s="84" t="str">
        <f>IFERROR(VLOOKUP(A544,Downlink!A:L,12,TRUE),"")</f>
        <v/>
      </c>
      <c r="K544" s="31" t="str">
        <f>IFERROR(VLOOKUP(A544,Table!$I$4:$O$3000,1,TRUE),"")</f>
        <v/>
      </c>
      <c r="L544" s="31" t="str">
        <f>IFERROR(INDEX(Table!I:O,MATCH(K544,Table!I:I,0),2),"")</f>
        <v/>
      </c>
      <c r="M544" s="31" t="str">
        <f>IFERROR(INDEX(Table!I:O,MATCH(K544,Table!I:I,0),3),"")</f>
        <v/>
      </c>
      <c r="N544" s="32" t="str">
        <f>IFERROR(INDEX(Table!I:O,MATCH(K544,Table!I:I,0),4),"")</f>
        <v/>
      </c>
      <c r="O544" s="32" t="str">
        <f>IFERROR(INDEX(Table!I:O,MATCH(K544,Table!I:I,0),5),"")</f>
        <v/>
      </c>
      <c r="P544" s="32" t="str">
        <f>IFERROR(INDEX(Table!I:O,MATCH(K544,Table!I:I,0),6),"")</f>
        <v/>
      </c>
      <c r="Q544" s="89" t="str">
        <f t="shared" si="24"/>
        <v/>
      </c>
      <c r="R544" s="89" t="str">
        <f t="shared" si="25"/>
        <v/>
      </c>
      <c r="S544" s="82"/>
      <c r="U544" s="37" t="e">
        <f t="shared" si="26"/>
        <v>#VALUE!</v>
      </c>
    </row>
    <row r="545" spans="1:21" x14ac:dyDescent="0.25">
      <c r="A545" s="31" t="str">
        <f>IF(Table!A545 = "","",Table!A545)</f>
        <v/>
      </c>
      <c r="B545" s="31" t="str">
        <f>IF(Table!B545 = "","",Table!B545)</f>
        <v/>
      </c>
      <c r="C545" s="31" t="str">
        <f>IF(Table!C545 = "","",Table!C545)</f>
        <v/>
      </c>
      <c r="D545" s="32" t="str">
        <f>IF(Table!D545 = "","",Table!D545)</f>
        <v/>
      </c>
      <c r="E545" s="32" t="str">
        <f>IF(Table!E545 = "","",Table!E545)</f>
        <v/>
      </c>
      <c r="F545" s="32" t="str">
        <f>IF(Table!F545 = "","",Table!F545)</f>
        <v/>
      </c>
      <c r="G545" s="91"/>
      <c r="I545" s="84" t="str">
        <f>IFERROR(VLOOKUP(A545,Downlink!A:L,12,TRUE),"")</f>
        <v/>
      </c>
      <c r="K545" s="31" t="str">
        <f>IFERROR(VLOOKUP(A545,Table!$I$4:$O$3000,1,TRUE),"")</f>
        <v/>
      </c>
      <c r="L545" s="31" t="str">
        <f>IFERROR(INDEX(Table!I:O,MATCH(K545,Table!I:I,0),2),"")</f>
        <v/>
      </c>
      <c r="M545" s="31" t="str">
        <f>IFERROR(INDEX(Table!I:O,MATCH(K545,Table!I:I,0),3),"")</f>
        <v/>
      </c>
      <c r="N545" s="32" t="str">
        <f>IFERROR(INDEX(Table!I:O,MATCH(K545,Table!I:I,0),4),"")</f>
        <v/>
      </c>
      <c r="O545" s="32" t="str">
        <f>IFERROR(INDEX(Table!I:O,MATCH(K545,Table!I:I,0),5),"")</f>
        <v/>
      </c>
      <c r="P545" s="32" t="str">
        <f>IFERROR(INDEX(Table!I:O,MATCH(K545,Table!I:I,0),6),"")</f>
        <v/>
      </c>
      <c r="Q545" s="89" t="str">
        <f t="shared" si="24"/>
        <v/>
      </c>
      <c r="R545" s="89" t="str">
        <f t="shared" si="25"/>
        <v/>
      </c>
      <c r="S545" s="82"/>
      <c r="U545" s="37" t="e">
        <f t="shared" si="26"/>
        <v>#VALUE!</v>
      </c>
    </row>
    <row r="546" spans="1:21" x14ac:dyDescent="0.25">
      <c r="A546" s="31" t="str">
        <f>IF(Table!A546 = "","",Table!A546)</f>
        <v/>
      </c>
      <c r="B546" s="31" t="str">
        <f>IF(Table!B546 = "","",Table!B546)</f>
        <v/>
      </c>
      <c r="C546" s="31" t="str">
        <f>IF(Table!C546 = "","",Table!C546)</f>
        <v/>
      </c>
      <c r="D546" s="32" t="str">
        <f>IF(Table!D546 = "","",Table!D546)</f>
        <v/>
      </c>
      <c r="E546" s="32" t="str">
        <f>IF(Table!E546 = "","",Table!E546)</f>
        <v/>
      </c>
      <c r="F546" s="32" t="str">
        <f>IF(Table!F546 = "","",Table!F546)</f>
        <v/>
      </c>
      <c r="G546" s="91"/>
      <c r="I546" s="84" t="str">
        <f>IFERROR(VLOOKUP(A546,Downlink!A:L,12,TRUE),"")</f>
        <v/>
      </c>
      <c r="K546" s="31" t="str">
        <f>IFERROR(VLOOKUP(A546,Table!$I$4:$O$3000,1,TRUE),"")</f>
        <v/>
      </c>
      <c r="L546" s="31" t="str">
        <f>IFERROR(INDEX(Table!I:O,MATCH(K546,Table!I:I,0),2),"")</f>
        <v/>
      </c>
      <c r="M546" s="31" t="str">
        <f>IFERROR(INDEX(Table!I:O,MATCH(K546,Table!I:I,0),3),"")</f>
        <v/>
      </c>
      <c r="N546" s="32" t="str">
        <f>IFERROR(INDEX(Table!I:O,MATCH(K546,Table!I:I,0),4),"")</f>
        <v/>
      </c>
      <c r="O546" s="32" t="str">
        <f>IFERROR(INDEX(Table!I:O,MATCH(K546,Table!I:I,0),5),"")</f>
        <v/>
      </c>
      <c r="P546" s="32" t="str">
        <f>IFERROR(INDEX(Table!I:O,MATCH(K546,Table!I:I,0),6),"")</f>
        <v/>
      </c>
      <c r="Q546" s="89" t="str">
        <f t="shared" si="24"/>
        <v/>
      </c>
      <c r="R546" s="89" t="str">
        <f t="shared" si="25"/>
        <v/>
      </c>
      <c r="S546" s="82"/>
      <c r="U546" s="37" t="e">
        <f t="shared" si="26"/>
        <v>#VALUE!</v>
      </c>
    </row>
    <row r="547" spans="1:21" x14ac:dyDescent="0.25">
      <c r="A547" s="31" t="str">
        <f>IF(Table!A547 = "","",Table!A547)</f>
        <v/>
      </c>
      <c r="B547" s="31" t="str">
        <f>IF(Table!B547 = "","",Table!B547)</f>
        <v/>
      </c>
      <c r="C547" s="31" t="str">
        <f>IF(Table!C547 = "","",Table!C547)</f>
        <v/>
      </c>
      <c r="D547" s="32" t="str">
        <f>IF(Table!D547 = "","",Table!D547)</f>
        <v/>
      </c>
      <c r="E547" s="32" t="str">
        <f>IF(Table!E547 = "","",Table!E547)</f>
        <v/>
      </c>
      <c r="F547" s="32" t="str">
        <f>IF(Table!F547 = "","",Table!F547)</f>
        <v/>
      </c>
      <c r="G547" s="91"/>
      <c r="I547" s="84" t="str">
        <f>IFERROR(VLOOKUP(A547,Downlink!A:L,12,TRUE),"")</f>
        <v/>
      </c>
      <c r="K547" s="31" t="str">
        <f>IFERROR(VLOOKUP(A547,Table!$I$4:$O$3000,1,TRUE),"")</f>
        <v/>
      </c>
      <c r="L547" s="31" t="str">
        <f>IFERROR(INDEX(Table!I:O,MATCH(K547,Table!I:I,0),2),"")</f>
        <v/>
      </c>
      <c r="M547" s="31" t="str">
        <f>IFERROR(INDEX(Table!I:O,MATCH(K547,Table!I:I,0),3),"")</f>
        <v/>
      </c>
      <c r="N547" s="32" t="str">
        <f>IFERROR(INDEX(Table!I:O,MATCH(K547,Table!I:I,0),4),"")</f>
        <v/>
      </c>
      <c r="O547" s="32" t="str">
        <f>IFERROR(INDEX(Table!I:O,MATCH(K547,Table!I:I,0),5),"")</f>
        <v/>
      </c>
      <c r="P547" s="32" t="str">
        <f>IFERROR(INDEX(Table!I:O,MATCH(K547,Table!I:I,0),6),"")</f>
        <v/>
      </c>
      <c r="Q547" s="89" t="str">
        <f t="shared" si="24"/>
        <v/>
      </c>
      <c r="R547" s="89" t="str">
        <f t="shared" si="25"/>
        <v/>
      </c>
      <c r="S547" s="82"/>
      <c r="U547" s="37" t="e">
        <f t="shared" si="26"/>
        <v>#VALUE!</v>
      </c>
    </row>
    <row r="548" spans="1:21" x14ac:dyDescent="0.25">
      <c r="A548" s="31" t="str">
        <f>IF(Table!A548 = "","",Table!A548)</f>
        <v/>
      </c>
      <c r="B548" s="31" t="str">
        <f>IF(Table!B548 = "","",Table!B548)</f>
        <v/>
      </c>
      <c r="C548" s="31" t="str">
        <f>IF(Table!C548 = "","",Table!C548)</f>
        <v/>
      </c>
      <c r="D548" s="32" t="str">
        <f>IF(Table!D548 = "","",Table!D548)</f>
        <v/>
      </c>
      <c r="E548" s="32" t="str">
        <f>IF(Table!E548 = "","",Table!E548)</f>
        <v/>
      </c>
      <c r="F548" s="32" t="str">
        <f>IF(Table!F548 = "","",Table!F548)</f>
        <v/>
      </c>
      <c r="G548" s="91"/>
      <c r="I548" s="84" t="str">
        <f>IFERROR(VLOOKUP(A548,Downlink!A:L,12,TRUE),"")</f>
        <v/>
      </c>
      <c r="K548" s="31" t="str">
        <f>IFERROR(VLOOKUP(A548,Table!$I$4:$O$3000,1,TRUE),"")</f>
        <v/>
      </c>
      <c r="L548" s="31" t="str">
        <f>IFERROR(INDEX(Table!I:O,MATCH(K548,Table!I:I,0),2),"")</f>
        <v/>
      </c>
      <c r="M548" s="31" t="str">
        <f>IFERROR(INDEX(Table!I:O,MATCH(K548,Table!I:I,0),3),"")</f>
        <v/>
      </c>
      <c r="N548" s="32" t="str">
        <f>IFERROR(INDEX(Table!I:O,MATCH(K548,Table!I:I,0),4),"")</f>
        <v/>
      </c>
      <c r="O548" s="32" t="str">
        <f>IFERROR(INDEX(Table!I:O,MATCH(K548,Table!I:I,0),5),"")</f>
        <v/>
      </c>
      <c r="P548" s="32" t="str">
        <f>IFERROR(INDEX(Table!I:O,MATCH(K548,Table!I:I,0),6),"")</f>
        <v/>
      </c>
      <c r="Q548" s="89" t="str">
        <f t="shared" si="24"/>
        <v/>
      </c>
      <c r="R548" s="89" t="str">
        <f t="shared" si="25"/>
        <v/>
      </c>
      <c r="S548" s="82"/>
      <c r="U548" s="37" t="e">
        <f t="shared" si="26"/>
        <v>#VALUE!</v>
      </c>
    </row>
    <row r="549" spans="1:21" x14ac:dyDescent="0.25">
      <c r="A549" s="31" t="str">
        <f>IF(Table!A549 = "","",Table!A549)</f>
        <v/>
      </c>
      <c r="B549" s="31" t="str">
        <f>IF(Table!B549 = "","",Table!B549)</f>
        <v/>
      </c>
      <c r="C549" s="31" t="str">
        <f>IF(Table!C549 = "","",Table!C549)</f>
        <v/>
      </c>
      <c r="D549" s="32" t="str">
        <f>IF(Table!D549 = "","",Table!D549)</f>
        <v/>
      </c>
      <c r="E549" s="32" t="str">
        <f>IF(Table!E549 = "","",Table!E549)</f>
        <v/>
      </c>
      <c r="F549" s="32" t="str">
        <f>IF(Table!F549 = "","",Table!F549)</f>
        <v/>
      </c>
      <c r="G549" s="91"/>
      <c r="I549" s="84" t="str">
        <f>IFERROR(VLOOKUP(A549,Downlink!A:L,12,TRUE),"")</f>
        <v/>
      </c>
      <c r="K549" s="31" t="str">
        <f>IFERROR(VLOOKUP(A549,Table!$I$4:$O$3000,1,TRUE),"")</f>
        <v/>
      </c>
      <c r="L549" s="31" t="str">
        <f>IFERROR(INDEX(Table!I:O,MATCH(K549,Table!I:I,0),2),"")</f>
        <v/>
      </c>
      <c r="M549" s="31" t="str">
        <f>IFERROR(INDEX(Table!I:O,MATCH(K549,Table!I:I,0),3),"")</f>
        <v/>
      </c>
      <c r="N549" s="32" t="str">
        <f>IFERROR(INDEX(Table!I:O,MATCH(K549,Table!I:I,0),4),"")</f>
        <v/>
      </c>
      <c r="O549" s="32" t="str">
        <f>IFERROR(INDEX(Table!I:O,MATCH(K549,Table!I:I,0),5),"")</f>
        <v/>
      </c>
      <c r="P549" s="32" t="str">
        <f>IFERROR(INDEX(Table!I:O,MATCH(K549,Table!I:I,0),6),"")</f>
        <v/>
      </c>
      <c r="Q549" s="89" t="str">
        <f t="shared" si="24"/>
        <v/>
      </c>
      <c r="R549" s="89" t="str">
        <f t="shared" si="25"/>
        <v/>
      </c>
      <c r="S549" s="82"/>
      <c r="U549" s="37" t="e">
        <f t="shared" si="26"/>
        <v>#VALUE!</v>
      </c>
    </row>
    <row r="550" spans="1:21" x14ac:dyDescent="0.25">
      <c r="A550" s="31" t="str">
        <f>IF(Table!A550 = "","",Table!A550)</f>
        <v/>
      </c>
      <c r="B550" s="31" t="str">
        <f>IF(Table!B550 = "","",Table!B550)</f>
        <v/>
      </c>
      <c r="C550" s="31" t="str">
        <f>IF(Table!C550 = "","",Table!C550)</f>
        <v/>
      </c>
      <c r="D550" s="32" t="str">
        <f>IF(Table!D550 = "","",Table!D550)</f>
        <v/>
      </c>
      <c r="E550" s="32" t="str">
        <f>IF(Table!E550 = "","",Table!E550)</f>
        <v/>
      </c>
      <c r="F550" s="32" t="str">
        <f>IF(Table!F550 = "","",Table!F550)</f>
        <v/>
      </c>
      <c r="G550" s="91"/>
      <c r="I550" s="84" t="str">
        <f>IFERROR(VLOOKUP(A550,Downlink!A:L,12,TRUE),"")</f>
        <v/>
      </c>
      <c r="K550" s="31" t="str">
        <f>IFERROR(VLOOKUP(A550,Table!$I$4:$O$3000,1,TRUE),"")</f>
        <v/>
      </c>
      <c r="L550" s="31" t="str">
        <f>IFERROR(INDEX(Table!I:O,MATCH(K550,Table!I:I,0),2),"")</f>
        <v/>
      </c>
      <c r="M550" s="31" t="str">
        <f>IFERROR(INDEX(Table!I:O,MATCH(K550,Table!I:I,0),3),"")</f>
        <v/>
      </c>
      <c r="N550" s="32" t="str">
        <f>IFERROR(INDEX(Table!I:O,MATCH(K550,Table!I:I,0),4),"")</f>
        <v/>
      </c>
      <c r="O550" s="32" t="str">
        <f>IFERROR(INDEX(Table!I:O,MATCH(K550,Table!I:I,0),5),"")</f>
        <v/>
      </c>
      <c r="P550" s="32" t="str">
        <f>IFERROR(INDEX(Table!I:O,MATCH(K550,Table!I:I,0),6),"")</f>
        <v/>
      </c>
      <c r="Q550" s="89" t="str">
        <f t="shared" si="24"/>
        <v/>
      </c>
      <c r="R550" s="89" t="str">
        <f t="shared" si="25"/>
        <v/>
      </c>
      <c r="S550" s="82"/>
      <c r="U550" s="37" t="e">
        <f t="shared" si="26"/>
        <v>#VALUE!</v>
      </c>
    </row>
    <row r="551" spans="1:21" x14ac:dyDescent="0.25">
      <c r="A551" s="31" t="str">
        <f>IF(Table!A551 = "","",Table!A551)</f>
        <v/>
      </c>
      <c r="B551" s="31" t="str">
        <f>IF(Table!B551 = "","",Table!B551)</f>
        <v/>
      </c>
      <c r="C551" s="31" t="str">
        <f>IF(Table!C551 = "","",Table!C551)</f>
        <v/>
      </c>
      <c r="D551" s="32" t="str">
        <f>IF(Table!D551 = "","",Table!D551)</f>
        <v/>
      </c>
      <c r="E551" s="32" t="str">
        <f>IF(Table!E551 = "","",Table!E551)</f>
        <v/>
      </c>
      <c r="F551" s="32" t="str">
        <f>IF(Table!F551 = "","",Table!F551)</f>
        <v/>
      </c>
      <c r="G551" s="91"/>
      <c r="I551" s="84" t="str">
        <f>IFERROR(VLOOKUP(A551,Downlink!A:L,12,TRUE),"")</f>
        <v/>
      </c>
      <c r="K551" s="31" t="str">
        <f>IFERROR(VLOOKUP(A551,Table!$I$4:$O$3000,1,TRUE),"")</f>
        <v/>
      </c>
      <c r="L551" s="31" t="str">
        <f>IFERROR(INDEX(Table!I:O,MATCH(K551,Table!I:I,0),2),"")</f>
        <v/>
      </c>
      <c r="M551" s="31" t="str">
        <f>IFERROR(INDEX(Table!I:O,MATCH(K551,Table!I:I,0),3),"")</f>
        <v/>
      </c>
      <c r="N551" s="32" t="str">
        <f>IFERROR(INDEX(Table!I:O,MATCH(K551,Table!I:I,0),4),"")</f>
        <v/>
      </c>
      <c r="O551" s="32" t="str">
        <f>IFERROR(INDEX(Table!I:O,MATCH(K551,Table!I:I,0),5),"")</f>
        <v/>
      </c>
      <c r="P551" s="32" t="str">
        <f>IFERROR(INDEX(Table!I:O,MATCH(K551,Table!I:I,0),6),"")</f>
        <v/>
      </c>
      <c r="Q551" s="89" t="str">
        <f t="shared" si="24"/>
        <v/>
      </c>
      <c r="R551" s="89" t="str">
        <f t="shared" si="25"/>
        <v/>
      </c>
      <c r="S551" s="82"/>
      <c r="U551" s="37" t="e">
        <f t="shared" si="26"/>
        <v>#VALUE!</v>
      </c>
    </row>
    <row r="552" spans="1:21" x14ac:dyDescent="0.25">
      <c r="A552" s="31" t="str">
        <f>IF(Table!A552 = "","",Table!A552)</f>
        <v/>
      </c>
      <c r="B552" s="31" t="str">
        <f>IF(Table!B552 = "","",Table!B552)</f>
        <v/>
      </c>
      <c r="C552" s="31" t="str">
        <f>IF(Table!C552 = "","",Table!C552)</f>
        <v/>
      </c>
      <c r="D552" s="32" t="str">
        <f>IF(Table!D552 = "","",Table!D552)</f>
        <v/>
      </c>
      <c r="E552" s="32" t="str">
        <f>IF(Table!E552 = "","",Table!E552)</f>
        <v/>
      </c>
      <c r="F552" s="32" t="str">
        <f>IF(Table!F552 = "","",Table!F552)</f>
        <v/>
      </c>
      <c r="G552" s="91"/>
      <c r="I552" s="84" t="str">
        <f>IFERROR(VLOOKUP(A552,Downlink!A:L,12,TRUE),"")</f>
        <v/>
      </c>
      <c r="K552" s="31" t="str">
        <f>IFERROR(VLOOKUP(A552,Table!$I$4:$O$3000,1,TRUE),"")</f>
        <v/>
      </c>
      <c r="L552" s="31" t="str">
        <f>IFERROR(INDEX(Table!I:O,MATCH(K552,Table!I:I,0),2),"")</f>
        <v/>
      </c>
      <c r="M552" s="31" t="str">
        <f>IFERROR(INDEX(Table!I:O,MATCH(K552,Table!I:I,0),3),"")</f>
        <v/>
      </c>
      <c r="N552" s="32" t="str">
        <f>IFERROR(INDEX(Table!I:O,MATCH(K552,Table!I:I,0),4),"")</f>
        <v/>
      </c>
      <c r="O552" s="32" t="str">
        <f>IFERROR(INDEX(Table!I:O,MATCH(K552,Table!I:I,0),5),"")</f>
        <v/>
      </c>
      <c r="P552" s="32" t="str">
        <f>IFERROR(INDEX(Table!I:O,MATCH(K552,Table!I:I,0),6),"")</f>
        <v/>
      </c>
      <c r="Q552" s="89" t="str">
        <f t="shared" si="24"/>
        <v/>
      </c>
      <c r="R552" s="89" t="str">
        <f t="shared" si="25"/>
        <v/>
      </c>
      <c r="S552" s="82"/>
      <c r="U552" s="37" t="e">
        <f t="shared" si="26"/>
        <v>#VALUE!</v>
      </c>
    </row>
    <row r="553" spans="1:21" x14ac:dyDescent="0.25">
      <c r="A553" s="31" t="str">
        <f>IF(Table!A553 = "","",Table!A553)</f>
        <v/>
      </c>
      <c r="B553" s="31" t="str">
        <f>IF(Table!B553 = "","",Table!B553)</f>
        <v/>
      </c>
      <c r="C553" s="31" t="str">
        <f>IF(Table!C553 = "","",Table!C553)</f>
        <v/>
      </c>
      <c r="D553" s="32" t="str">
        <f>IF(Table!D553 = "","",Table!D553)</f>
        <v/>
      </c>
      <c r="E553" s="32" t="str">
        <f>IF(Table!E553 = "","",Table!E553)</f>
        <v/>
      </c>
      <c r="F553" s="32" t="str">
        <f>IF(Table!F553 = "","",Table!F553)</f>
        <v/>
      </c>
      <c r="G553" s="91"/>
      <c r="I553" s="84" t="str">
        <f>IFERROR(VLOOKUP(A553,Downlink!A:L,12,TRUE),"")</f>
        <v/>
      </c>
      <c r="K553" s="31" t="str">
        <f>IFERROR(VLOOKUP(A553,Table!$I$4:$O$3000,1,TRUE),"")</f>
        <v/>
      </c>
      <c r="L553" s="31" t="str">
        <f>IFERROR(INDEX(Table!I:O,MATCH(K553,Table!I:I,0),2),"")</f>
        <v/>
      </c>
      <c r="M553" s="31" t="str">
        <f>IFERROR(INDEX(Table!I:O,MATCH(K553,Table!I:I,0),3),"")</f>
        <v/>
      </c>
      <c r="N553" s="32" t="str">
        <f>IFERROR(INDEX(Table!I:O,MATCH(K553,Table!I:I,0),4),"")</f>
        <v/>
      </c>
      <c r="O553" s="32" t="str">
        <f>IFERROR(INDEX(Table!I:O,MATCH(K553,Table!I:I,0),5),"")</f>
        <v/>
      </c>
      <c r="P553" s="32" t="str">
        <f>IFERROR(INDEX(Table!I:O,MATCH(K553,Table!I:I,0),6),"")</f>
        <v/>
      </c>
      <c r="Q553" s="89" t="str">
        <f t="shared" si="24"/>
        <v/>
      </c>
      <c r="R553" s="89" t="str">
        <f t="shared" si="25"/>
        <v/>
      </c>
      <c r="S553" s="82"/>
      <c r="U553" s="37" t="e">
        <f t="shared" si="26"/>
        <v>#VALUE!</v>
      </c>
    </row>
    <row r="554" spans="1:21" x14ac:dyDescent="0.25">
      <c r="A554" s="31" t="str">
        <f>IF(Table!A554 = "","",Table!A554)</f>
        <v/>
      </c>
      <c r="B554" s="31" t="str">
        <f>IF(Table!B554 = "","",Table!B554)</f>
        <v/>
      </c>
      <c r="C554" s="31" t="str">
        <f>IF(Table!C554 = "","",Table!C554)</f>
        <v/>
      </c>
      <c r="D554" s="32" t="str">
        <f>IF(Table!D554 = "","",Table!D554)</f>
        <v/>
      </c>
      <c r="E554" s="32" t="str">
        <f>IF(Table!E554 = "","",Table!E554)</f>
        <v/>
      </c>
      <c r="F554" s="32" t="str">
        <f>IF(Table!F554 = "","",Table!F554)</f>
        <v/>
      </c>
      <c r="G554" s="91"/>
      <c r="I554" s="84" t="str">
        <f>IFERROR(VLOOKUP(A554,Downlink!A:L,12,TRUE),"")</f>
        <v/>
      </c>
      <c r="K554" s="31" t="str">
        <f>IFERROR(VLOOKUP(A554,Table!$I$4:$O$3000,1,TRUE),"")</f>
        <v/>
      </c>
      <c r="L554" s="31" t="str">
        <f>IFERROR(INDEX(Table!I:O,MATCH(K554,Table!I:I,0),2),"")</f>
        <v/>
      </c>
      <c r="M554" s="31" t="str">
        <f>IFERROR(INDEX(Table!I:O,MATCH(K554,Table!I:I,0),3),"")</f>
        <v/>
      </c>
      <c r="N554" s="32" t="str">
        <f>IFERROR(INDEX(Table!I:O,MATCH(K554,Table!I:I,0),4),"")</f>
        <v/>
      </c>
      <c r="O554" s="32" t="str">
        <f>IFERROR(INDEX(Table!I:O,MATCH(K554,Table!I:I,0),5),"")</f>
        <v/>
      </c>
      <c r="P554" s="32" t="str">
        <f>IFERROR(INDEX(Table!I:O,MATCH(K554,Table!I:I,0),6),"")</f>
        <v/>
      </c>
      <c r="Q554" s="89" t="str">
        <f t="shared" si="24"/>
        <v/>
      </c>
      <c r="R554" s="89" t="str">
        <f t="shared" si="25"/>
        <v/>
      </c>
      <c r="S554" s="82"/>
      <c r="U554" s="37" t="e">
        <f t="shared" si="26"/>
        <v>#VALUE!</v>
      </c>
    </row>
    <row r="555" spans="1:21" x14ac:dyDescent="0.25">
      <c r="A555" s="31" t="str">
        <f>IF(Table!A555 = "","",Table!A555)</f>
        <v/>
      </c>
      <c r="B555" s="31" t="str">
        <f>IF(Table!B555 = "","",Table!B555)</f>
        <v/>
      </c>
      <c r="C555" s="31" t="str">
        <f>IF(Table!C555 = "","",Table!C555)</f>
        <v/>
      </c>
      <c r="D555" s="32" t="str">
        <f>IF(Table!D555 = "","",Table!D555)</f>
        <v/>
      </c>
      <c r="E555" s="32" t="str">
        <f>IF(Table!E555 = "","",Table!E555)</f>
        <v/>
      </c>
      <c r="F555" s="32" t="str">
        <f>IF(Table!F555 = "","",Table!F555)</f>
        <v/>
      </c>
      <c r="G555" s="91"/>
      <c r="I555" s="84" t="str">
        <f>IFERROR(VLOOKUP(A555,Downlink!A:L,12,TRUE),"")</f>
        <v/>
      </c>
      <c r="K555" s="31" t="str">
        <f>IFERROR(VLOOKUP(A555,Table!$I$4:$O$3000,1,TRUE),"")</f>
        <v/>
      </c>
      <c r="L555" s="31" t="str">
        <f>IFERROR(INDEX(Table!I:O,MATCH(K555,Table!I:I,0),2),"")</f>
        <v/>
      </c>
      <c r="M555" s="31" t="str">
        <f>IFERROR(INDEX(Table!I:O,MATCH(K555,Table!I:I,0),3),"")</f>
        <v/>
      </c>
      <c r="N555" s="32" t="str">
        <f>IFERROR(INDEX(Table!I:O,MATCH(K555,Table!I:I,0),4),"")</f>
        <v/>
      </c>
      <c r="O555" s="32" t="str">
        <f>IFERROR(INDEX(Table!I:O,MATCH(K555,Table!I:I,0),5),"")</f>
        <v/>
      </c>
      <c r="P555" s="32" t="str">
        <f>IFERROR(INDEX(Table!I:O,MATCH(K555,Table!I:I,0),6),"")</f>
        <v/>
      </c>
      <c r="Q555" s="89" t="str">
        <f t="shared" si="24"/>
        <v/>
      </c>
      <c r="R555" s="89" t="str">
        <f t="shared" si="25"/>
        <v/>
      </c>
      <c r="S555" s="82"/>
      <c r="U555" s="37" t="e">
        <f t="shared" si="26"/>
        <v>#VALUE!</v>
      </c>
    </row>
    <row r="556" spans="1:21" x14ac:dyDescent="0.25">
      <c r="A556" s="31" t="str">
        <f>IF(Table!A556 = "","",Table!A556)</f>
        <v/>
      </c>
      <c r="B556" s="31" t="str">
        <f>IF(Table!B556 = "","",Table!B556)</f>
        <v/>
      </c>
      <c r="C556" s="31" t="str">
        <f>IF(Table!C556 = "","",Table!C556)</f>
        <v/>
      </c>
      <c r="D556" s="32" t="str">
        <f>IF(Table!D556 = "","",Table!D556)</f>
        <v/>
      </c>
      <c r="E556" s="32" t="str">
        <f>IF(Table!E556 = "","",Table!E556)</f>
        <v/>
      </c>
      <c r="F556" s="32" t="str">
        <f>IF(Table!F556 = "","",Table!F556)</f>
        <v/>
      </c>
      <c r="G556" s="91"/>
      <c r="I556" s="84" t="str">
        <f>IFERROR(VLOOKUP(A556,Downlink!A:L,12,TRUE),"")</f>
        <v/>
      </c>
      <c r="K556" s="31" t="str">
        <f>IFERROR(VLOOKUP(A556,Table!$I$4:$O$3000,1,TRUE),"")</f>
        <v/>
      </c>
      <c r="L556" s="31" t="str">
        <f>IFERROR(INDEX(Table!I:O,MATCH(K556,Table!I:I,0),2),"")</f>
        <v/>
      </c>
      <c r="M556" s="31" t="str">
        <f>IFERROR(INDEX(Table!I:O,MATCH(K556,Table!I:I,0),3),"")</f>
        <v/>
      </c>
      <c r="N556" s="32" t="str">
        <f>IFERROR(INDEX(Table!I:O,MATCH(K556,Table!I:I,0),4),"")</f>
        <v/>
      </c>
      <c r="O556" s="32" t="str">
        <f>IFERROR(INDEX(Table!I:O,MATCH(K556,Table!I:I,0),5),"")</f>
        <v/>
      </c>
      <c r="P556" s="32" t="str">
        <f>IFERROR(INDEX(Table!I:O,MATCH(K556,Table!I:I,0),6),"")</f>
        <v/>
      </c>
      <c r="Q556" s="89" t="str">
        <f t="shared" si="24"/>
        <v/>
      </c>
      <c r="R556" s="89" t="str">
        <f t="shared" si="25"/>
        <v/>
      </c>
      <c r="S556" s="82"/>
      <c r="U556" s="37" t="e">
        <f t="shared" si="26"/>
        <v>#VALUE!</v>
      </c>
    </row>
    <row r="557" spans="1:21" x14ac:dyDescent="0.25">
      <c r="A557" s="31" t="str">
        <f>IF(Table!A557 = "","",Table!A557)</f>
        <v/>
      </c>
      <c r="B557" s="31" t="str">
        <f>IF(Table!B557 = "","",Table!B557)</f>
        <v/>
      </c>
      <c r="C557" s="31" t="str">
        <f>IF(Table!C557 = "","",Table!C557)</f>
        <v/>
      </c>
      <c r="D557" s="32" t="str">
        <f>IF(Table!D557 = "","",Table!D557)</f>
        <v/>
      </c>
      <c r="E557" s="32" t="str">
        <f>IF(Table!E557 = "","",Table!E557)</f>
        <v/>
      </c>
      <c r="F557" s="32" t="str">
        <f>IF(Table!F557 = "","",Table!F557)</f>
        <v/>
      </c>
      <c r="G557" s="91"/>
      <c r="I557" s="84" t="str">
        <f>IFERROR(VLOOKUP(A557,Downlink!A:L,12,TRUE),"")</f>
        <v/>
      </c>
      <c r="K557" s="31" t="str">
        <f>IFERROR(VLOOKUP(A557,Table!$I$4:$O$3000,1,TRUE),"")</f>
        <v/>
      </c>
      <c r="L557" s="31" t="str">
        <f>IFERROR(INDEX(Table!I:O,MATCH(K557,Table!I:I,0),2),"")</f>
        <v/>
      </c>
      <c r="M557" s="31" t="str">
        <f>IFERROR(INDEX(Table!I:O,MATCH(K557,Table!I:I,0),3),"")</f>
        <v/>
      </c>
      <c r="N557" s="32" t="str">
        <f>IFERROR(INDEX(Table!I:O,MATCH(K557,Table!I:I,0),4),"")</f>
        <v/>
      </c>
      <c r="O557" s="32" t="str">
        <f>IFERROR(INDEX(Table!I:O,MATCH(K557,Table!I:I,0),5),"")</f>
        <v/>
      </c>
      <c r="P557" s="32" t="str">
        <f>IFERROR(INDEX(Table!I:O,MATCH(K557,Table!I:I,0),6),"")</f>
        <v/>
      </c>
      <c r="Q557" s="89" t="str">
        <f t="shared" si="24"/>
        <v/>
      </c>
      <c r="R557" s="89" t="str">
        <f t="shared" si="25"/>
        <v/>
      </c>
      <c r="S557" s="82"/>
      <c r="U557" s="37" t="e">
        <f t="shared" si="26"/>
        <v>#VALUE!</v>
      </c>
    </row>
    <row r="558" spans="1:21" x14ac:dyDescent="0.25">
      <c r="A558" s="31" t="str">
        <f>IF(Table!A558 = "","",Table!A558)</f>
        <v/>
      </c>
      <c r="B558" s="31" t="str">
        <f>IF(Table!B558 = "","",Table!B558)</f>
        <v/>
      </c>
      <c r="C558" s="31" t="str">
        <f>IF(Table!C558 = "","",Table!C558)</f>
        <v/>
      </c>
      <c r="D558" s="32" t="str">
        <f>IF(Table!D558 = "","",Table!D558)</f>
        <v/>
      </c>
      <c r="E558" s="32" t="str">
        <f>IF(Table!E558 = "","",Table!E558)</f>
        <v/>
      </c>
      <c r="F558" s="32" t="str">
        <f>IF(Table!F558 = "","",Table!F558)</f>
        <v/>
      </c>
      <c r="G558" s="91"/>
      <c r="I558" s="84" t="str">
        <f>IFERROR(VLOOKUP(A558,Downlink!A:L,12,TRUE),"")</f>
        <v/>
      </c>
      <c r="K558" s="31" t="str">
        <f>IFERROR(VLOOKUP(A558,Table!$I$4:$O$3000,1,TRUE),"")</f>
        <v/>
      </c>
      <c r="L558" s="31" t="str">
        <f>IFERROR(INDEX(Table!I:O,MATCH(K558,Table!I:I,0),2),"")</f>
        <v/>
      </c>
      <c r="M558" s="31" t="str">
        <f>IFERROR(INDEX(Table!I:O,MATCH(K558,Table!I:I,0),3),"")</f>
        <v/>
      </c>
      <c r="N558" s="32" t="str">
        <f>IFERROR(INDEX(Table!I:O,MATCH(K558,Table!I:I,0),4),"")</f>
        <v/>
      </c>
      <c r="O558" s="32" t="str">
        <f>IFERROR(INDEX(Table!I:O,MATCH(K558,Table!I:I,0),5),"")</f>
        <v/>
      </c>
      <c r="P558" s="32" t="str">
        <f>IFERROR(INDEX(Table!I:O,MATCH(K558,Table!I:I,0),6),"")</f>
        <v/>
      </c>
      <c r="Q558" s="89" t="str">
        <f t="shared" si="24"/>
        <v/>
      </c>
      <c r="R558" s="89" t="str">
        <f t="shared" si="25"/>
        <v/>
      </c>
      <c r="S558" s="82"/>
      <c r="U558" s="37" t="e">
        <f t="shared" si="26"/>
        <v>#VALUE!</v>
      </c>
    </row>
    <row r="559" spans="1:21" x14ac:dyDescent="0.25">
      <c r="A559" s="31" t="str">
        <f>IF(Table!A559 = "","",Table!A559)</f>
        <v/>
      </c>
      <c r="B559" s="31" t="str">
        <f>IF(Table!B559 = "","",Table!B559)</f>
        <v/>
      </c>
      <c r="C559" s="31" t="str">
        <f>IF(Table!C559 = "","",Table!C559)</f>
        <v/>
      </c>
      <c r="D559" s="32" t="str">
        <f>IF(Table!D559 = "","",Table!D559)</f>
        <v/>
      </c>
      <c r="E559" s="32" t="str">
        <f>IF(Table!E559 = "","",Table!E559)</f>
        <v/>
      </c>
      <c r="F559" s="32" t="str">
        <f>IF(Table!F559 = "","",Table!F559)</f>
        <v/>
      </c>
      <c r="G559" s="91"/>
      <c r="I559" s="84" t="str">
        <f>IFERROR(VLOOKUP(A559,Downlink!A:L,12,TRUE),"")</f>
        <v/>
      </c>
      <c r="K559" s="31" t="str">
        <f>IFERROR(VLOOKUP(A559,Table!$I$4:$O$3000,1,TRUE),"")</f>
        <v/>
      </c>
      <c r="L559" s="31" t="str">
        <f>IFERROR(INDEX(Table!I:O,MATCH(K559,Table!I:I,0),2),"")</f>
        <v/>
      </c>
      <c r="M559" s="31" t="str">
        <f>IFERROR(INDEX(Table!I:O,MATCH(K559,Table!I:I,0),3),"")</f>
        <v/>
      </c>
      <c r="N559" s="32" t="str">
        <f>IFERROR(INDEX(Table!I:O,MATCH(K559,Table!I:I,0),4),"")</f>
        <v/>
      </c>
      <c r="O559" s="32" t="str">
        <f>IFERROR(INDEX(Table!I:O,MATCH(K559,Table!I:I,0),5),"")</f>
        <v/>
      </c>
      <c r="P559" s="32" t="str">
        <f>IFERROR(INDEX(Table!I:O,MATCH(K559,Table!I:I,0),6),"")</f>
        <v/>
      </c>
      <c r="Q559" s="89" t="str">
        <f t="shared" si="24"/>
        <v/>
      </c>
      <c r="R559" s="89" t="str">
        <f t="shared" si="25"/>
        <v/>
      </c>
      <c r="S559" s="82"/>
      <c r="U559" s="37" t="e">
        <f t="shared" si="26"/>
        <v>#VALUE!</v>
      </c>
    </row>
    <row r="560" spans="1:21" x14ac:dyDescent="0.25">
      <c r="A560" s="31" t="str">
        <f>IF(Table!A560 = "","",Table!A560)</f>
        <v/>
      </c>
      <c r="B560" s="31" t="str">
        <f>IF(Table!B560 = "","",Table!B560)</f>
        <v/>
      </c>
      <c r="C560" s="31" t="str">
        <f>IF(Table!C560 = "","",Table!C560)</f>
        <v/>
      </c>
      <c r="D560" s="32" t="str">
        <f>IF(Table!D560 = "","",Table!D560)</f>
        <v/>
      </c>
      <c r="E560" s="32" t="str">
        <f>IF(Table!E560 = "","",Table!E560)</f>
        <v/>
      </c>
      <c r="F560" s="32" t="str">
        <f>IF(Table!F560 = "","",Table!F560)</f>
        <v/>
      </c>
      <c r="G560" s="91"/>
      <c r="I560" s="84" t="str">
        <f>IFERROR(VLOOKUP(A560,Downlink!A:L,12,TRUE),"")</f>
        <v/>
      </c>
      <c r="K560" s="31" t="str">
        <f>IFERROR(VLOOKUP(A560,Table!$I$4:$O$3000,1,TRUE),"")</f>
        <v/>
      </c>
      <c r="L560" s="31" t="str">
        <f>IFERROR(INDEX(Table!I:O,MATCH(K560,Table!I:I,0),2),"")</f>
        <v/>
      </c>
      <c r="M560" s="31" t="str">
        <f>IFERROR(INDEX(Table!I:O,MATCH(K560,Table!I:I,0),3),"")</f>
        <v/>
      </c>
      <c r="N560" s="32" t="str">
        <f>IFERROR(INDEX(Table!I:O,MATCH(K560,Table!I:I,0),4),"")</f>
        <v/>
      </c>
      <c r="O560" s="32" t="str">
        <f>IFERROR(INDEX(Table!I:O,MATCH(K560,Table!I:I,0),5),"")</f>
        <v/>
      </c>
      <c r="P560" s="32" t="str">
        <f>IFERROR(INDEX(Table!I:O,MATCH(K560,Table!I:I,0),6),"")</f>
        <v/>
      </c>
      <c r="Q560" s="89" t="str">
        <f t="shared" si="24"/>
        <v/>
      </c>
      <c r="R560" s="89" t="str">
        <f t="shared" si="25"/>
        <v/>
      </c>
      <c r="S560" s="82"/>
      <c r="U560" s="37" t="e">
        <f t="shared" si="26"/>
        <v>#VALUE!</v>
      </c>
    </row>
    <row r="561" spans="1:21" x14ac:dyDescent="0.25">
      <c r="A561" s="31" t="str">
        <f>IF(Table!A561 = "","",Table!A561)</f>
        <v/>
      </c>
      <c r="B561" s="31" t="str">
        <f>IF(Table!B561 = "","",Table!B561)</f>
        <v/>
      </c>
      <c r="C561" s="31" t="str">
        <f>IF(Table!C561 = "","",Table!C561)</f>
        <v/>
      </c>
      <c r="D561" s="32" t="str">
        <f>IF(Table!D561 = "","",Table!D561)</f>
        <v/>
      </c>
      <c r="E561" s="32" t="str">
        <f>IF(Table!E561 = "","",Table!E561)</f>
        <v/>
      </c>
      <c r="F561" s="32" t="str">
        <f>IF(Table!F561 = "","",Table!F561)</f>
        <v/>
      </c>
      <c r="G561" s="91"/>
      <c r="I561" s="84" t="str">
        <f>IFERROR(VLOOKUP(A561,Downlink!A:L,12,TRUE),"")</f>
        <v/>
      </c>
      <c r="K561" s="31" t="str">
        <f>IFERROR(VLOOKUP(A561,Table!$I$4:$O$3000,1,TRUE),"")</f>
        <v/>
      </c>
      <c r="L561" s="31" t="str">
        <f>IFERROR(INDEX(Table!I:O,MATCH(K561,Table!I:I,0),2),"")</f>
        <v/>
      </c>
      <c r="M561" s="31" t="str">
        <f>IFERROR(INDEX(Table!I:O,MATCH(K561,Table!I:I,0),3),"")</f>
        <v/>
      </c>
      <c r="N561" s="32" t="str">
        <f>IFERROR(INDEX(Table!I:O,MATCH(K561,Table!I:I,0),4),"")</f>
        <v/>
      </c>
      <c r="O561" s="32" t="str">
        <f>IFERROR(INDEX(Table!I:O,MATCH(K561,Table!I:I,0),5),"")</f>
        <v/>
      </c>
      <c r="P561" s="32" t="str">
        <f>IFERROR(INDEX(Table!I:O,MATCH(K561,Table!I:I,0),6),"")</f>
        <v/>
      </c>
      <c r="Q561" s="89" t="str">
        <f t="shared" si="24"/>
        <v/>
      </c>
      <c r="R561" s="89" t="str">
        <f t="shared" si="25"/>
        <v/>
      </c>
      <c r="S561" s="82"/>
      <c r="U561" s="37" t="e">
        <f t="shared" si="26"/>
        <v>#VALUE!</v>
      </c>
    </row>
    <row r="562" spans="1:21" x14ac:dyDescent="0.25">
      <c r="A562" s="31" t="str">
        <f>IF(Table!A562 = "","",Table!A562)</f>
        <v/>
      </c>
      <c r="B562" s="31" t="str">
        <f>IF(Table!B562 = "","",Table!B562)</f>
        <v/>
      </c>
      <c r="C562" s="31" t="str">
        <f>IF(Table!C562 = "","",Table!C562)</f>
        <v/>
      </c>
      <c r="D562" s="32" t="str">
        <f>IF(Table!D562 = "","",Table!D562)</f>
        <v/>
      </c>
      <c r="E562" s="32" t="str">
        <f>IF(Table!E562 = "","",Table!E562)</f>
        <v/>
      </c>
      <c r="F562" s="32" t="str">
        <f>IF(Table!F562 = "","",Table!F562)</f>
        <v/>
      </c>
      <c r="G562" s="91"/>
      <c r="I562" s="84" t="str">
        <f>IFERROR(VLOOKUP(A562,Downlink!A:L,12,TRUE),"")</f>
        <v/>
      </c>
      <c r="K562" s="31" t="str">
        <f>IFERROR(VLOOKUP(A562,Table!$I$4:$O$3000,1,TRUE),"")</f>
        <v/>
      </c>
      <c r="L562" s="31" t="str">
        <f>IFERROR(INDEX(Table!I:O,MATCH(K562,Table!I:I,0),2),"")</f>
        <v/>
      </c>
      <c r="M562" s="31" t="str">
        <f>IFERROR(INDEX(Table!I:O,MATCH(K562,Table!I:I,0),3),"")</f>
        <v/>
      </c>
      <c r="N562" s="32" t="str">
        <f>IFERROR(INDEX(Table!I:O,MATCH(K562,Table!I:I,0),4),"")</f>
        <v/>
      </c>
      <c r="O562" s="32" t="str">
        <f>IFERROR(INDEX(Table!I:O,MATCH(K562,Table!I:I,0),5),"")</f>
        <v/>
      </c>
      <c r="P562" s="32" t="str">
        <f>IFERROR(INDEX(Table!I:O,MATCH(K562,Table!I:I,0),6),"")</f>
        <v/>
      </c>
      <c r="Q562" s="89" t="str">
        <f t="shared" si="24"/>
        <v/>
      </c>
      <c r="R562" s="89" t="str">
        <f t="shared" si="25"/>
        <v/>
      </c>
      <c r="S562" s="82"/>
      <c r="U562" s="37" t="e">
        <f t="shared" si="26"/>
        <v>#VALUE!</v>
      </c>
    </row>
    <row r="563" spans="1:21" x14ac:dyDescent="0.25">
      <c r="A563" s="31" t="str">
        <f>IF(Table!A563 = "","",Table!A563)</f>
        <v/>
      </c>
      <c r="B563" s="31" t="str">
        <f>IF(Table!B563 = "","",Table!B563)</f>
        <v/>
      </c>
      <c r="C563" s="31" t="str">
        <f>IF(Table!C563 = "","",Table!C563)</f>
        <v/>
      </c>
      <c r="D563" s="32" t="str">
        <f>IF(Table!D563 = "","",Table!D563)</f>
        <v/>
      </c>
      <c r="E563" s="32" t="str">
        <f>IF(Table!E563 = "","",Table!E563)</f>
        <v/>
      </c>
      <c r="F563" s="32" t="str">
        <f>IF(Table!F563 = "","",Table!F563)</f>
        <v/>
      </c>
      <c r="G563" s="91"/>
      <c r="I563" s="84" t="str">
        <f>IFERROR(VLOOKUP(A563,Downlink!A:L,12,TRUE),"")</f>
        <v/>
      </c>
      <c r="K563" s="31" t="str">
        <f>IFERROR(VLOOKUP(A563,Table!$I$4:$O$3000,1,TRUE),"")</f>
        <v/>
      </c>
      <c r="L563" s="31" t="str">
        <f>IFERROR(INDEX(Table!I:O,MATCH(K563,Table!I:I,0),2),"")</f>
        <v/>
      </c>
      <c r="M563" s="31" t="str">
        <f>IFERROR(INDEX(Table!I:O,MATCH(K563,Table!I:I,0),3),"")</f>
        <v/>
      </c>
      <c r="N563" s="32" t="str">
        <f>IFERROR(INDEX(Table!I:O,MATCH(K563,Table!I:I,0),4),"")</f>
        <v/>
      </c>
      <c r="O563" s="32" t="str">
        <f>IFERROR(INDEX(Table!I:O,MATCH(K563,Table!I:I,0),5),"")</f>
        <v/>
      </c>
      <c r="P563" s="32" t="str">
        <f>IFERROR(INDEX(Table!I:O,MATCH(K563,Table!I:I,0),6),"")</f>
        <v/>
      </c>
      <c r="Q563" s="89" t="str">
        <f t="shared" si="24"/>
        <v/>
      </c>
      <c r="R563" s="89" t="str">
        <f t="shared" si="25"/>
        <v/>
      </c>
      <c r="S563" s="82"/>
      <c r="U563" s="37" t="e">
        <f t="shared" si="26"/>
        <v>#VALUE!</v>
      </c>
    </row>
    <row r="564" spans="1:21" x14ac:dyDescent="0.25">
      <c r="A564" s="31" t="str">
        <f>IF(Table!A564 = "","",Table!A564)</f>
        <v/>
      </c>
      <c r="B564" s="31" t="str">
        <f>IF(Table!B564 = "","",Table!B564)</f>
        <v/>
      </c>
      <c r="C564" s="31" t="str">
        <f>IF(Table!C564 = "","",Table!C564)</f>
        <v/>
      </c>
      <c r="D564" s="32" t="str">
        <f>IF(Table!D564 = "","",Table!D564)</f>
        <v/>
      </c>
      <c r="E564" s="32" t="str">
        <f>IF(Table!E564 = "","",Table!E564)</f>
        <v/>
      </c>
      <c r="F564" s="32" t="str">
        <f>IF(Table!F564 = "","",Table!F564)</f>
        <v/>
      </c>
      <c r="G564" s="91"/>
      <c r="I564" s="84" t="str">
        <f>IFERROR(VLOOKUP(A564,Downlink!A:L,12,TRUE),"")</f>
        <v/>
      </c>
      <c r="K564" s="31" t="str">
        <f>IFERROR(VLOOKUP(A564,Table!$I$4:$O$3000,1,TRUE),"")</f>
        <v/>
      </c>
      <c r="L564" s="31" t="str">
        <f>IFERROR(INDEX(Table!I:O,MATCH(K564,Table!I:I,0),2),"")</f>
        <v/>
      </c>
      <c r="M564" s="31" t="str">
        <f>IFERROR(INDEX(Table!I:O,MATCH(K564,Table!I:I,0),3),"")</f>
        <v/>
      </c>
      <c r="N564" s="32" t="str">
        <f>IFERROR(INDEX(Table!I:O,MATCH(K564,Table!I:I,0),4),"")</f>
        <v/>
      </c>
      <c r="O564" s="32" t="str">
        <f>IFERROR(INDEX(Table!I:O,MATCH(K564,Table!I:I,0),5),"")</f>
        <v/>
      </c>
      <c r="P564" s="32" t="str">
        <f>IFERROR(INDEX(Table!I:O,MATCH(K564,Table!I:I,0),6),"")</f>
        <v/>
      </c>
      <c r="Q564" s="89" t="str">
        <f t="shared" si="24"/>
        <v/>
      </c>
      <c r="R564" s="89" t="str">
        <f t="shared" si="25"/>
        <v/>
      </c>
      <c r="S564" s="82"/>
      <c r="U564" s="37" t="e">
        <f t="shared" si="26"/>
        <v>#VALUE!</v>
      </c>
    </row>
    <row r="565" spans="1:21" x14ac:dyDescent="0.25">
      <c r="A565" s="31" t="str">
        <f>IF(Table!A565 = "","",Table!A565)</f>
        <v/>
      </c>
      <c r="B565" s="31" t="str">
        <f>IF(Table!B565 = "","",Table!B565)</f>
        <v/>
      </c>
      <c r="C565" s="31" t="str">
        <f>IF(Table!C565 = "","",Table!C565)</f>
        <v/>
      </c>
      <c r="D565" s="32" t="str">
        <f>IF(Table!D565 = "","",Table!D565)</f>
        <v/>
      </c>
      <c r="E565" s="32" t="str">
        <f>IF(Table!E565 = "","",Table!E565)</f>
        <v/>
      </c>
      <c r="F565" s="32" t="str">
        <f>IF(Table!F565 = "","",Table!F565)</f>
        <v/>
      </c>
      <c r="G565" s="91"/>
      <c r="I565" s="84" t="str">
        <f>IFERROR(VLOOKUP(A565,Downlink!A:L,12,TRUE),"")</f>
        <v/>
      </c>
      <c r="K565" s="31" t="str">
        <f>IFERROR(VLOOKUP(A565,Table!$I$4:$O$3000,1,TRUE),"")</f>
        <v/>
      </c>
      <c r="L565" s="31" t="str">
        <f>IFERROR(INDEX(Table!I:O,MATCH(K565,Table!I:I,0),2),"")</f>
        <v/>
      </c>
      <c r="M565" s="31" t="str">
        <f>IFERROR(INDEX(Table!I:O,MATCH(K565,Table!I:I,0),3),"")</f>
        <v/>
      </c>
      <c r="N565" s="32" t="str">
        <f>IFERROR(INDEX(Table!I:O,MATCH(K565,Table!I:I,0),4),"")</f>
        <v/>
      </c>
      <c r="O565" s="32" t="str">
        <f>IFERROR(INDEX(Table!I:O,MATCH(K565,Table!I:I,0),5),"")</f>
        <v/>
      </c>
      <c r="P565" s="32" t="str">
        <f>IFERROR(INDEX(Table!I:O,MATCH(K565,Table!I:I,0),6),"")</f>
        <v/>
      </c>
      <c r="Q565" s="89" t="str">
        <f t="shared" si="24"/>
        <v/>
      </c>
      <c r="R565" s="89" t="str">
        <f t="shared" si="25"/>
        <v/>
      </c>
      <c r="S565" s="82"/>
      <c r="U565" s="37" t="e">
        <f t="shared" si="26"/>
        <v>#VALUE!</v>
      </c>
    </row>
    <row r="566" spans="1:21" x14ac:dyDescent="0.25">
      <c r="A566" s="31" t="str">
        <f>IF(Table!A566 = "","",Table!A566)</f>
        <v/>
      </c>
      <c r="B566" s="31" t="str">
        <f>IF(Table!B566 = "","",Table!B566)</f>
        <v/>
      </c>
      <c r="C566" s="31" t="str">
        <f>IF(Table!C566 = "","",Table!C566)</f>
        <v/>
      </c>
      <c r="D566" s="32" t="str">
        <f>IF(Table!D566 = "","",Table!D566)</f>
        <v/>
      </c>
      <c r="E566" s="32" t="str">
        <f>IF(Table!E566 = "","",Table!E566)</f>
        <v/>
      </c>
      <c r="F566" s="32" t="str">
        <f>IF(Table!F566 = "","",Table!F566)</f>
        <v/>
      </c>
      <c r="G566" s="91"/>
      <c r="I566" s="84" t="str">
        <f>IFERROR(VLOOKUP(A566,Downlink!A:L,12,TRUE),"")</f>
        <v/>
      </c>
      <c r="K566" s="31" t="str">
        <f>IFERROR(VLOOKUP(A566,Table!$I$4:$O$3000,1,TRUE),"")</f>
        <v/>
      </c>
      <c r="L566" s="31" t="str">
        <f>IFERROR(INDEX(Table!I:O,MATCH(K566,Table!I:I,0),2),"")</f>
        <v/>
      </c>
      <c r="M566" s="31" t="str">
        <f>IFERROR(INDEX(Table!I:O,MATCH(K566,Table!I:I,0),3),"")</f>
        <v/>
      </c>
      <c r="N566" s="32" t="str">
        <f>IFERROR(INDEX(Table!I:O,MATCH(K566,Table!I:I,0),4),"")</f>
        <v/>
      </c>
      <c r="O566" s="32" t="str">
        <f>IFERROR(INDEX(Table!I:O,MATCH(K566,Table!I:I,0),5),"")</f>
        <v/>
      </c>
      <c r="P566" s="32" t="str">
        <f>IFERROR(INDEX(Table!I:O,MATCH(K566,Table!I:I,0),6),"")</f>
        <v/>
      </c>
      <c r="Q566" s="89" t="str">
        <f t="shared" si="24"/>
        <v/>
      </c>
      <c r="R566" s="89" t="str">
        <f t="shared" si="25"/>
        <v/>
      </c>
      <c r="S566" s="82"/>
      <c r="U566" s="37" t="e">
        <f t="shared" si="26"/>
        <v>#VALUE!</v>
      </c>
    </row>
    <row r="567" spans="1:21" x14ac:dyDescent="0.25">
      <c r="A567" s="31" t="str">
        <f>IF(Table!A567 = "","",Table!A567)</f>
        <v/>
      </c>
      <c r="B567" s="31" t="str">
        <f>IF(Table!B567 = "","",Table!B567)</f>
        <v/>
      </c>
      <c r="C567" s="31" t="str">
        <f>IF(Table!C567 = "","",Table!C567)</f>
        <v/>
      </c>
      <c r="D567" s="32" t="str">
        <f>IF(Table!D567 = "","",Table!D567)</f>
        <v/>
      </c>
      <c r="E567" s="32" t="str">
        <f>IF(Table!E567 = "","",Table!E567)</f>
        <v/>
      </c>
      <c r="F567" s="32" t="str">
        <f>IF(Table!F567 = "","",Table!F567)</f>
        <v/>
      </c>
      <c r="G567" s="91"/>
      <c r="I567" s="84" t="str">
        <f>IFERROR(VLOOKUP(A567,Downlink!A:L,12,TRUE),"")</f>
        <v/>
      </c>
      <c r="K567" s="31" t="str">
        <f>IFERROR(VLOOKUP(A567,Table!$I$4:$O$3000,1,TRUE),"")</f>
        <v/>
      </c>
      <c r="L567" s="31" t="str">
        <f>IFERROR(INDEX(Table!I:O,MATCH(K567,Table!I:I,0),2),"")</f>
        <v/>
      </c>
      <c r="M567" s="31" t="str">
        <f>IFERROR(INDEX(Table!I:O,MATCH(K567,Table!I:I,0),3),"")</f>
        <v/>
      </c>
      <c r="N567" s="32" t="str">
        <f>IFERROR(INDEX(Table!I:O,MATCH(K567,Table!I:I,0),4),"")</f>
        <v/>
      </c>
      <c r="O567" s="32" t="str">
        <f>IFERROR(INDEX(Table!I:O,MATCH(K567,Table!I:I,0),5),"")</f>
        <v/>
      </c>
      <c r="P567" s="32" t="str">
        <f>IFERROR(INDEX(Table!I:O,MATCH(K567,Table!I:I,0),6),"")</f>
        <v/>
      </c>
      <c r="Q567" s="89" t="str">
        <f t="shared" si="24"/>
        <v/>
      </c>
      <c r="R567" s="89" t="str">
        <f t="shared" si="25"/>
        <v/>
      </c>
      <c r="S567" s="82"/>
      <c r="U567" s="37" t="e">
        <f t="shared" si="26"/>
        <v>#VALUE!</v>
      </c>
    </row>
    <row r="568" spans="1:21" x14ac:dyDescent="0.25">
      <c r="A568" s="31" t="str">
        <f>IF(Table!A568 = "","",Table!A568)</f>
        <v/>
      </c>
      <c r="B568" s="31" t="str">
        <f>IF(Table!B568 = "","",Table!B568)</f>
        <v/>
      </c>
      <c r="C568" s="31" t="str">
        <f>IF(Table!C568 = "","",Table!C568)</f>
        <v/>
      </c>
      <c r="D568" s="32" t="str">
        <f>IF(Table!D568 = "","",Table!D568)</f>
        <v/>
      </c>
      <c r="E568" s="32" t="str">
        <f>IF(Table!E568 = "","",Table!E568)</f>
        <v/>
      </c>
      <c r="F568" s="32" t="str">
        <f>IF(Table!F568 = "","",Table!F568)</f>
        <v/>
      </c>
      <c r="G568" s="91"/>
      <c r="I568" s="84" t="str">
        <f>IFERROR(VLOOKUP(A568,Downlink!A:L,12,TRUE),"")</f>
        <v/>
      </c>
      <c r="K568" s="31" t="str">
        <f>IFERROR(VLOOKUP(A568,Table!$I$4:$O$3000,1,TRUE),"")</f>
        <v/>
      </c>
      <c r="L568" s="31" t="str">
        <f>IFERROR(INDEX(Table!I:O,MATCH(K568,Table!I:I,0),2),"")</f>
        <v/>
      </c>
      <c r="M568" s="31" t="str">
        <f>IFERROR(INDEX(Table!I:O,MATCH(K568,Table!I:I,0),3),"")</f>
        <v/>
      </c>
      <c r="N568" s="32" t="str">
        <f>IFERROR(INDEX(Table!I:O,MATCH(K568,Table!I:I,0),4),"")</f>
        <v/>
      </c>
      <c r="O568" s="32" t="str">
        <f>IFERROR(INDEX(Table!I:O,MATCH(K568,Table!I:I,0),5),"")</f>
        <v/>
      </c>
      <c r="P568" s="32" t="str">
        <f>IFERROR(INDEX(Table!I:O,MATCH(K568,Table!I:I,0),6),"")</f>
        <v/>
      </c>
      <c r="Q568" s="89" t="str">
        <f t="shared" si="24"/>
        <v/>
      </c>
      <c r="R568" s="89" t="str">
        <f t="shared" si="25"/>
        <v/>
      </c>
      <c r="S568" s="82"/>
      <c r="U568" s="37" t="e">
        <f t="shared" si="26"/>
        <v>#VALUE!</v>
      </c>
    </row>
    <row r="569" spans="1:21" x14ac:dyDescent="0.25">
      <c r="A569" s="31" t="str">
        <f>IF(Table!A569 = "","",Table!A569)</f>
        <v/>
      </c>
      <c r="B569" s="31" t="str">
        <f>IF(Table!B569 = "","",Table!B569)</f>
        <v/>
      </c>
      <c r="C569" s="31" t="str">
        <f>IF(Table!C569 = "","",Table!C569)</f>
        <v/>
      </c>
      <c r="D569" s="32" t="str">
        <f>IF(Table!D569 = "","",Table!D569)</f>
        <v/>
      </c>
      <c r="E569" s="32" t="str">
        <f>IF(Table!E569 = "","",Table!E569)</f>
        <v/>
      </c>
      <c r="F569" s="32" t="str">
        <f>IF(Table!F569 = "","",Table!F569)</f>
        <v/>
      </c>
      <c r="G569" s="91"/>
      <c r="I569" s="84" t="str">
        <f>IFERROR(VLOOKUP(A569,Downlink!A:L,12,TRUE),"")</f>
        <v/>
      </c>
      <c r="K569" s="31" t="str">
        <f>IFERROR(VLOOKUP(A569,Table!$I$4:$O$3000,1,TRUE),"")</f>
        <v/>
      </c>
      <c r="L569" s="31" t="str">
        <f>IFERROR(INDEX(Table!I:O,MATCH(K569,Table!I:I,0),2),"")</f>
        <v/>
      </c>
      <c r="M569" s="31" t="str">
        <f>IFERROR(INDEX(Table!I:O,MATCH(K569,Table!I:I,0),3),"")</f>
        <v/>
      </c>
      <c r="N569" s="32" t="str">
        <f>IFERROR(INDEX(Table!I:O,MATCH(K569,Table!I:I,0),4),"")</f>
        <v/>
      </c>
      <c r="O569" s="32" t="str">
        <f>IFERROR(INDEX(Table!I:O,MATCH(K569,Table!I:I,0),5),"")</f>
        <v/>
      </c>
      <c r="P569" s="32" t="str">
        <f>IFERROR(INDEX(Table!I:O,MATCH(K569,Table!I:I,0),6),"")</f>
        <v/>
      </c>
      <c r="Q569" s="89" t="str">
        <f t="shared" si="24"/>
        <v/>
      </c>
      <c r="R569" s="89" t="str">
        <f t="shared" si="25"/>
        <v/>
      </c>
      <c r="S569" s="82"/>
      <c r="U569" s="37" t="e">
        <f t="shared" si="26"/>
        <v>#VALUE!</v>
      </c>
    </row>
    <row r="570" spans="1:21" x14ac:dyDescent="0.25">
      <c r="A570" s="31" t="str">
        <f>IF(Table!A570 = "","",Table!A570)</f>
        <v/>
      </c>
      <c r="B570" s="31" t="str">
        <f>IF(Table!B570 = "","",Table!B570)</f>
        <v/>
      </c>
      <c r="C570" s="31" t="str">
        <f>IF(Table!C570 = "","",Table!C570)</f>
        <v/>
      </c>
      <c r="D570" s="32" t="str">
        <f>IF(Table!D570 = "","",Table!D570)</f>
        <v/>
      </c>
      <c r="E570" s="32" t="str">
        <f>IF(Table!E570 = "","",Table!E570)</f>
        <v/>
      </c>
      <c r="F570" s="32" t="str">
        <f>IF(Table!F570 = "","",Table!F570)</f>
        <v/>
      </c>
      <c r="G570" s="91"/>
      <c r="I570" s="84" t="str">
        <f>IFERROR(VLOOKUP(A570,Downlink!A:L,12,TRUE),"")</f>
        <v/>
      </c>
      <c r="K570" s="31" t="str">
        <f>IFERROR(VLOOKUP(A570,Table!$I$4:$O$3000,1,TRUE),"")</f>
        <v/>
      </c>
      <c r="L570" s="31" t="str">
        <f>IFERROR(INDEX(Table!I:O,MATCH(K570,Table!I:I,0),2),"")</f>
        <v/>
      </c>
      <c r="M570" s="31" t="str">
        <f>IFERROR(INDEX(Table!I:O,MATCH(K570,Table!I:I,0),3),"")</f>
        <v/>
      </c>
      <c r="N570" s="32" t="str">
        <f>IFERROR(INDEX(Table!I:O,MATCH(K570,Table!I:I,0),4),"")</f>
        <v/>
      </c>
      <c r="O570" s="32" t="str">
        <f>IFERROR(INDEX(Table!I:O,MATCH(K570,Table!I:I,0),5),"")</f>
        <v/>
      </c>
      <c r="P570" s="32" t="str">
        <f>IFERROR(INDEX(Table!I:O,MATCH(K570,Table!I:I,0),6),"")</f>
        <v/>
      </c>
      <c r="Q570" s="89" t="str">
        <f t="shared" si="24"/>
        <v/>
      </c>
      <c r="R570" s="89" t="str">
        <f t="shared" si="25"/>
        <v/>
      </c>
      <c r="S570" s="82"/>
      <c r="U570" s="37" t="e">
        <f t="shared" si="26"/>
        <v>#VALUE!</v>
      </c>
    </row>
    <row r="571" spans="1:21" x14ac:dyDescent="0.25">
      <c r="A571" s="31" t="str">
        <f>IF(Table!A571 = "","",Table!A571)</f>
        <v/>
      </c>
      <c r="B571" s="31" t="str">
        <f>IF(Table!B571 = "","",Table!B571)</f>
        <v/>
      </c>
      <c r="C571" s="31" t="str">
        <f>IF(Table!C571 = "","",Table!C571)</f>
        <v/>
      </c>
      <c r="D571" s="32" t="str">
        <f>IF(Table!D571 = "","",Table!D571)</f>
        <v/>
      </c>
      <c r="E571" s="32" t="str">
        <f>IF(Table!E571 = "","",Table!E571)</f>
        <v/>
      </c>
      <c r="F571" s="32" t="str">
        <f>IF(Table!F571 = "","",Table!F571)</f>
        <v/>
      </c>
      <c r="G571" s="91"/>
      <c r="I571" s="84" t="str">
        <f>IFERROR(VLOOKUP(A571,Downlink!A:L,12,TRUE),"")</f>
        <v/>
      </c>
      <c r="K571" s="31" t="str">
        <f>IFERROR(VLOOKUP(A571,Table!$I$4:$O$3000,1,TRUE),"")</f>
        <v/>
      </c>
      <c r="L571" s="31" t="str">
        <f>IFERROR(INDEX(Table!I:O,MATCH(K571,Table!I:I,0),2),"")</f>
        <v/>
      </c>
      <c r="M571" s="31" t="str">
        <f>IFERROR(INDEX(Table!I:O,MATCH(K571,Table!I:I,0),3),"")</f>
        <v/>
      </c>
      <c r="N571" s="32" t="str">
        <f>IFERROR(INDEX(Table!I:O,MATCH(K571,Table!I:I,0),4),"")</f>
        <v/>
      </c>
      <c r="O571" s="32" t="str">
        <f>IFERROR(INDEX(Table!I:O,MATCH(K571,Table!I:I,0),5),"")</f>
        <v/>
      </c>
      <c r="P571" s="32" t="str">
        <f>IFERROR(INDEX(Table!I:O,MATCH(K571,Table!I:I,0),6),"")</f>
        <v/>
      </c>
      <c r="Q571" s="89" t="str">
        <f t="shared" si="24"/>
        <v/>
      </c>
      <c r="R571" s="89" t="str">
        <f t="shared" si="25"/>
        <v/>
      </c>
      <c r="S571" s="82"/>
      <c r="U571" s="37" t="e">
        <f t="shared" si="26"/>
        <v>#VALUE!</v>
      </c>
    </row>
    <row r="572" spans="1:21" x14ac:dyDescent="0.25">
      <c r="A572" s="31" t="str">
        <f>IF(Table!A572 = "","",Table!A572)</f>
        <v/>
      </c>
      <c r="B572" s="31" t="str">
        <f>IF(Table!B572 = "","",Table!B572)</f>
        <v/>
      </c>
      <c r="C572" s="31" t="str">
        <f>IF(Table!C572 = "","",Table!C572)</f>
        <v/>
      </c>
      <c r="D572" s="32" t="str">
        <f>IF(Table!D572 = "","",Table!D572)</f>
        <v/>
      </c>
      <c r="E572" s="32" t="str">
        <f>IF(Table!E572 = "","",Table!E572)</f>
        <v/>
      </c>
      <c r="F572" s="32" t="str">
        <f>IF(Table!F572 = "","",Table!F572)</f>
        <v/>
      </c>
      <c r="G572" s="91"/>
      <c r="I572" s="84" t="str">
        <f>IFERROR(VLOOKUP(A572,Downlink!A:L,12,TRUE),"")</f>
        <v/>
      </c>
      <c r="K572" s="31" t="str">
        <f>IFERROR(VLOOKUP(A572,Table!$I$4:$O$3000,1,TRUE),"")</f>
        <v/>
      </c>
      <c r="L572" s="31" t="str">
        <f>IFERROR(INDEX(Table!I:O,MATCH(K572,Table!I:I,0),2),"")</f>
        <v/>
      </c>
      <c r="M572" s="31" t="str">
        <f>IFERROR(INDEX(Table!I:O,MATCH(K572,Table!I:I,0),3),"")</f>
        <v/>
      </c>
      <c r="N572" s="32" t="str">
        <f>IFERROR(INDEX(Table!I:O,MATCH(K572,Table!I:I,0),4),"")</f>
        <v/>
      </c>
      <c r="O572" s="32" t="str">
        <f>IFERROR(INDEX(Table!I:O,MATCH(K572,Table!I:I,0),5),"")</f>
        <v/>
      </c>
      <c r="P572" s="32" t="str">
        <f>IFERROR(INDEX(Table!I:O,MATCH(K572,Table!I:I,0),6),"")</f>
        <v/>
      </c>
      <c r="Q572" s="89" t="str">
        <f t="shared" si="24"/>
        <v/>
      </c>
      <c r="R572" s="89" t="str">
        <f t="shared" si="25"/>
        <v/>
      </c>
      <c r="S572" s="82"/>
      <c r="U572" s="37" t="e">
        <f t="shared" si="26"/>
        <v>#VALUE!</v>
      </c>
    </row>
    <row r="573" spans="1:21" x14ac:dyDescent="0.25">
      <c r="A573" s="31" t="str">
        <f>IF(Table!A573 = "","",Table!A573)</f>
        <v/>
      </c>
      <c r="B573" s="31" t="str">
        <f>IF(Table!B573 = "","",Table!B573)</f>
        <v/>
      </c>
      <c r="C573" s="31" t="str">
        <f>IF(Table!C573 = "","",Table!C573)</f>
        <v/>
      </c>
      <c r="D573" s="32" t="str">
        <f>IF(Table!D573 = "","",Table!D573)</f>
        <v/>
      </c>
      <c r="E573" s="32" t="str">
        <f>IF(Table!E573 = "","",Table!E573)</f>
        <v/>
      </c>
      <c r="F573" s="32" t="str">
        <f>IF(Table!F573 = "","",Table!F573)</f>
        <v/>
      </c>
      <c r="G573" s="91"/>
      <c r="I573" s="84" t="str">
        <f>IFERROR(VLOOKUP(A573,Downlink!A:L,12,TRUE),"")</f>
        <v/>
      </c>
      <c r="K573" s="31" t="str">
        <f>IFERROR(VLOOKUP(A573,Table!$I$4:$O$3000,1,TRUE),"")</f>
        <v/>
      </c>
      <c r="L573" s="31" t="str">
        <f>IFERROR(INDEX(Table!I:O,MATCH(K573,Table!I:I,0),2),"")</f>
        <v/>
      </c>
      <c r="M573" s="31" t="str">
        <f>IFERROR(INDEX(Table!I:O,MATCH(K573,Table!I:I,0),3),"")</f>
        <v/>
      </c>
      <c r="N573" s="32" t="str">
        <f>IFERROR(INDEX(Table!I:O,MATCH(K573,Table!I:I,0),4),"")</f>
        <v/>
      </c>
      <c r="O573" s="32" t="str">
        <f>IFERROR(INDEX(Table!I:O,MATCH(K573,Table!I:I,0),5),"")</f>
        <v/>
      </c>
      <c r="P573" s="32" t="str">
        <f>IFERROR(INDEX(Table!I:O,MATCH(K573,Table!I:I,0),6),"")</f>
        <v/>
      </c>
      <c r="Q573" s="89" t="str">
        <f t="shared" si="24"/>
        <v/>
      </c>
      <c r="R573" s="89" t="str">
        <f t="shared" si="25"/>
        <v/>
      </c>
      <c r="S573" s="82"/>
      <c r="U573" s="37" t="e">
        <f t="shared" si="26"/>
        <v>#VALUE!</v>
      </c>
    </row>
    <row r="574" spans="1:21" x14ac:dyDescent="0.25">
      <c r="A574" s="31" t="str">
        <f>IF(Table!A574 = "","",Table!A574)</f>
        <v/>
      </c>
      <c r="B574" s="31" t="str">
        <f>IF(Table!B574 = "","",Table!B574)</f>
        <v/>
      </c>
      <c r="C574" s="31" t="str">
        <f>IF(Table!C574 = "","",Table!C574)</f>
        <v/>
      </c>
      <c r="D574" s="32" t="str">
        <f>IF(Table!D574 = "","",Table!D574)</f>
        <v/>
      </c>
      <c r="E574" s="32" t="str">
        <f>IF(Table!E574 = "","",Table!E574)</f>
        <v/>
      </c>
      <c r="F574" s="32" t="str">
        <f>IF(Table!F574 = "","",Table!F574)</f>
        <v/>
      </c>
      <c r="G574" s="91"/>
      <c r="I574" s="84" t="str">
        <f>IFERROR(VLOOKUP(A574,Downlink!A:L,12,TRUE),"")</f>
        <v/>
      </c>
      <c r="K574" s="31" t="str">
        <f>IFERROR(VLOOKUP(A574,Table!$I$4:$O$3000,1,TRUE),"")</f>
        <v/>
      </c>
      <c r="L574" s="31" t="str">
        <f>IFERROR(INDEX(Table!I:O,MATCH(K574,Table!I:I,0),2),"")</f>
        <v/>
      </c>
      <c r="M574" s="31" t="str">
        <f>IFERROR(INDEX(Table!I:O,MATCH(K574,Table!I:I,0),3),"")</f>
        <v/>
      </c>
      <c r="N574" s="32" t="str">
        <f>IFERROR(INDEX(Table!I:O,MATCH(K574,Table!I:I,0),4),"")</f>
        <v/>
      </c>
      <c r="O574" s="32" t="str">
        <f>IFERROR(INDEX(Table!I:O,MATCH(K574,Table!I:I,0),5),"")</f>
        <v/>
      </c>
      <c r="P574" s="32" t="str">
        <f>IFERROR(INDEX(Table!I:O,MATCH(K574,Table!I:I,0),6),"")</f>
        <v/>
      </c>
      <c r="Q574" s="89" t="str">
        <f t="shared" si="24"/>
        <v/>
      </c>
      <c r="R574" s="89" t="str">
        <f t="shared" si="25"/>
        <v/>
      </c>
      <c r="S574" s="82"/>
      <c r="U574" s="37" t="e">
        <f t="shared" si="26"/>
        <v>#VALUE!</v>
      </c>
    </row>
    <row r="575" spans="1:21" x14ac:dyDescent="0.25">
      <c r="A575" s="31" t="str">
        <f>IF(Table!A575 = "","",Table!A575)</f>
        <v/>
      </c>
      <c r="B575" s="31" t="str">
        <f>IF(Table!B575 = "","",Table!B575)</f>
        <v/>
      </c>
      <c r="C575" s="31" t="str">
        <f>IF(Table!C575 = "","",Table!C575)</f>
        <v/>
      </c>
      <c r="D575" s="32" t="str">
        <f>IF(Table!D575 = "","",Table!D575)</f>
        <v/>
      </c>
      <c r="E575" s="32" t="str">
        <f>IF(Table!E575 = "","",Table!E575)</f>
        <v/>
      </c>
      <c r="F575" s="32" t="str">
        <f>IF(Table!F575 = "","",Table!F575)</f>
        <v/>
      </c>
      <c r="G575" s="91"/>
      <c r="I575" s="84" t="str">
        <f>IFERROR(VLOOKUP(A575,Downlink!A:L,12,TRUE),"")</f>
        <v/>
      </c>
      <c r="K575" s="31" t="str">
        <f>IFERROR(VLOOKUP(A575,Table!$I$4:$O$3000,1,TRUE),"")</f>
        <v/>
      </c>
      <c r="L575" s="31" t="str">
        <f>IFERROR(INDEX(Table!I:O,MATCH(K575,Table!I:I,0),2),"")</f>
        <v/>
      </c>
      <c r="M575" s="31" t="str">
        <f>IFERROR(INDEX(Table!I:O,MATCH(K575,Table!I:I,0),3),"")</f>
        <v/>
      </c>
      <c r="N575" s="32" t="str">
        <f>IFERROR(INDEX(Table!I:O,MATCH(K575,Table!I:I,0),4),"")</f>
        <v/>
      </c>
      <c r="O575" s="32" t="str">
        <f>IFERROR(INDEX(Table!I:O,MATCH(K575,Table!I:I,0),5),"")</f>
        <v/>
      </c>
      <c r="P575" s="32" t="str">
        <f>IFERROR(INDEX(Table!I:O,MATCH(K575,Table!I:I,0),6),"")</f>
        <v/>
      </c>
      <c r="Q575" s="89" t="str">
        <f t="shared" si="24"/>
        <v/>
      </c>
      <c r="R575" s="89" t="str">
        <f t="shared" si="25"/>
        <v/>
      </c>
      <c r="S575" s="82"/>
      <c r="U575" s="37" t="e">
        <f t="shared" si="26"/>
        <v>#VALUE!</v>
      </c>
    </row>
    <row r="576" spans="1:21" x14ac:dyDescent="0.25">
      <c r="A576" s="31" t="str">
        <f>IF(Table!A576 = "","",Table!A576)</f>
        <v/>
      </c>
      <c r="B576" s="31" t="str">
        <f>IF(Table!B576 = "","",Table!B576)</f>
        <v/>
      </c>
      <c r="C576" s="31" t="str">
        <f>IF(Table!C576 = "","",Table!C576)</f>
        <v/>
      </c>
      <c r="D576" s="32" t="str">
        <f>IF(Table!D576 = "","",Table!D576)</f>
        <v/>
      </c>
      <c r="E576" s="32" t="str">
        <f>IF(Table!E576 = "","",Table!E576)</f>
        <v/>
      </c>
      <c r="F576" s="32" t="str">
        <f>IF(Table!F576 = "","",Table!F576)</f>
        <v/>
      </c>
      <c r="G576" s="91"/>
      <c r="I576" s="84" t="str">
        <f>IFERROR(VLOOKUP(A576,Downlink!A:L,12,TRUE),"")</f>
        <v/>
      </c>
      <c r="K576" s="31" t="str">
        <f>IFERROR(VLOOKUP(A576,Table!$I$4:$O$3000,1,TRUE),"")</f>
        <v/>
      </c>
      <c r="L576" s="31" t="str">
        <f>IFERROR(INDEX(Table!I:O,MATCH(K576,Table!I:I,0),2),"")</f>
        <v/>
      </c>
      <c r="M576" s="31" t="str">
        <f>IFERROR(INDEX(Table!I:O,MATCH(K576,Table!I:I,0),3),"")</f>
        <v/>
      </c>
      <c r="N576" s="32" t="str">
        <f>IFERROR(INDEX(Table!I:O,MATCH(K576,Table!I:I,0),4),"")</f>
        <v/>
      </c>
      <c r="O576" s="32" t="str">
        <f>IFERROR(INDEX(Table!I:O,MATCH(K576,Table!I:I,0),5),"")</f>
        <v/>
      </c>
      <c r="P576" s="32" t="str">
        <f>IFERROR(INDEX(Table!I:O,MATCH(K576,Table!I:I,0),6),"")</f>
        <v/>
      </c>
      <c r="Q576" s="89" t="str">
        <f t="shared" si="24"/>
        <v/>
      </c>
      <c r="R576" s="89" t="str">
        <f t="shared" si="25"/>
        <v/>
      </c>
      <c r="S576" s="82"/>
      <c r="U576" s="37" t="e">
        <f t="shared" si="26"/>
        <v>#VALUE!</v>
      </c>
    </row>
    <row r="577" spans="1:21" x14ac:dyDescent="0.25">
      <c r="A577" s="31" t="str">
        <f>IF(Table!A577 = "","",Table!A577)</f>
        <v/>
      </c>
      <c r="B577" s="31" t="str">
        <f>IF(Table!B577 = "","",Table!B577)</f>
        <v/>
      </c>
      <c r="C577" s="31" t="str">
        <f>IF(Table!C577 = "","",Table!C577)</f>
        <v/>
      </c>
      <c r="D577" s="32" t="str">
        <f>IF(Table!D577 = "","",Table!D577)</f>
        <v/>
      </c>
      <c r="E577" s="32" t="str">
        <f>IF(Table!E577 = "","",Table!E577)</f>
        <v/>
      </c>
      <c r="F577" s="32" t="str">
        <f>IF(Table!F577 = "","",Table!F577)</f>
        <v/>
      </c>
      <c r="G577" s="91"/>
      <c r="I577" s="84" t="str">
        <f>IFERROR(VLOOKUP(A577,Downlink!A:L,12,TRUE),"")</f>
        <v/>
      </c>
      <c r="K577" s="31" t="str">
        <f>IFERROR(VLOOKUP(A577,Table!$I$4:$O$3000,1,TRUE),"")</f>
        <v/>
      </c>
      <c r="L577" s="31" t="str">
        <f>IFERROR(INDEX(Table!I:O,MATCH(K577,Table!I:I,0),2),"")</f>
        <v/>
      </c>
      <c r="M577" s="31" t="str">
        <f>IFERROR(INDEX(Table!I:O,MATCH(K577,Table!I:I,0),3),"")</f>
        <v/>
      </c>
      <c r="N577" s="32" t="str">
        <f>IFERROR(INDEX(Table!I:O,MATCH(K577,Table!I:I,0),4),"")</f>
        <v/>
      </c>
      <c r="O577" s="32" t="str">
        <f>IFERROR(INDEX(Table!I:O,MATCH(K577,Table!I:I,0),5),"")</f>
        <v/>
      </c>
      <c r="P577" s="32" t="str">
        <f>IFERROR(INDEX(Table!I:O,MATCH(K577,Table!I:I,0),6),"")</f>
        <v/>
      </c>
      <c r="Q577" s="89" t="str">
        <f t="shared" si="24"/>
        <v/>
      </c>
      <c r="R577" s="89" t="str">
        <f t="shared" si="25"/>
        <v/>
      </c>
      <c r="S577" s="82"/>
      <c r="U577" s="37" t="e">
        <f t="shared" si="26"/>
        <v>#VALUE!</v>
      </c>
    </row>
    <row r="578" spans="1:21" x14ac:dyDescent="0.25">
      <c r="A578" s="31" t="str">
        <f>IF(Table!A578 = "","",Table!A578)</f>
        <v/>
      </c>
      <c r="B578" s="31" t="str">
        <f>IF(Table!B578 = "","",Table!B578)</f>
        <v/>
      </c>
      <c r="C578" s="31" t="str">
        <f>IF(Table!C578 = "","",Table!C578)</f>
        <v/>
      </c>
      <c r="D578" s="32" t="str">
        <f>IF(Table!D578 = "","",Table!D578)</f>
        <v/>
      </c>
      <c r="E578" s="32" t="str">
        <f>IF(Table!E578 = "","",Table!E578)</f>
        <v/>
      </c>
      <c r="F578" s="32" t="str">
        <f>IF(Table!F578 = "","",Table!F578)</f>
        <v/>
      </c>
      <c r="G578" s="91"/>
      <c r="I578" s="84" t="str">
        <f>IFERROR(VLOOKUP(A578,Downlink!A:L,12,TRUE),"")</f>
        <v/>
      </c>
      <c r="K578" s="31" t="str">
        <f>IFERROR(VLOOKUP(A578,Table!$I$4:$O$3000,1,TRUE),"")</f>
        <v/>
      </c>
      <c r="L578" s="31" t="str">
        <f>IFERROR(INDEX(Table!I:O,MATCH(K578,Table!I:I,0),2),"")</f>
        <v/>
      </c>
      <c r="M578" s="31" t="str">
        <f>IFERROR(INDEX(Table!I:O,MATCH(K578,Table!I:I,0),3),"")</f>
        <v/>
      </c>
      <c r="N578" s="32" t="str">
        <f>IFERROR(INDEX(Table!I:O,MATCH(K578,Table!I:I,0),4),"")</f>
        <v/>
      </c>
      <c r="O578" s="32" t="str">
        <f>IFERROR(INDEX(Table!I:O,MATCH(K578,Table!I:I,0),5),"")</f>
        <v/>
      </c>
      <c r="P578" s="32" t="str">
        <f>IFERROR(INDEX(Table!I:O,MATCH(K578,Table!I:I,0),6),"")</f>
        <v/>
      </c>
      <c r="Q578" s="89" t="str">
        <f t="shared" si="24"/>
        <v/>
      </c>
      <c r="R578" s="89" t="str">
        <f t="shared" si="25"/>
        <v/>
      </c>
      <c r="S578" s="82"/>
      <c r="U578" s="37" t="e">
        <f t="shared" si="26"/>
        <v>#VALUE!</v>
      </c>
    </row>
    <row r="579" spans="1:21" x14ac:dyDescent="0.25">
      <c r="A579" s="31" t="str">
        <f>IF(Table!A579 = "","",Table!A579)</f>
        <v/>
      </c>
      <c r="B579" s="31" t="str">
        <f>IF(Table!B579 = "","",Table!B579)</f>
        <v/>
      </c>
      <c r="C579" s="31" t="str">
        <f>IF(Table!C579 = "","",Table!C579)</f>
        <v/>
      </c>
      <c r="D579" s="32" t="str">
        <f>IF(Table!D579 = "","",Table!D579)</f>
        <v/>
      </c>
      <c r="E579" s="32" t="str">
        <f>IF(Table!E579 = "","",Table!E579)</f>
        <v/>
      </c>
      <c r="F579" s="32" t="str">
        <f>IF(Table!F579 = "","",Table!F579)</f>
        <v/>
      </c>
      <c r="G579" s="91"/>
      <c r="I579" s="84" t="str">
        <f>IFERROR(VLOOKUP(A579,Downlink!A:L,12,TRUE),"")</f>
        <v/>
      </c>
      <c r="K579" s="31" t="str">
        <f>IFERROR(VLOOKUP(A579,Table!$I$4:$O$3000,1,TRUE),"")</f>
        <v/>
      </c>
      <c r="L579" s="31" t="str">
        <f>IFERROR(INDEX(Table!I:O,MATCH(K579,Table!I:I,0),2),"")</f>
        <v/>
      </c>
      <c r="M579" s="31" t="str">
        <f>IFERROR(INDEX(Table!I:O,MATCH(K579,Table!I:I,0),3),"")</f>
        <v/>
      </c>
      <c r="N579" s="32" t="str">
        <f>IFERROR(INDEX(Table!I:O,MATCH(K579,Table!I:I,0),4),"")</f>
        <v/>
      </c>
      <c r="O579" s="32" t="str">
        <f>IFERROR(INDEX(Table!I:O,MATCH(K579,Table!I:I,0),5),"")</f>
        <v/>
      </c>
      <c r="P579" s="32" t="str">
        <f>IFERROR(INDEX(Table!I:O,MATCH(K579,Table!I:I,0),6),"")</f>
        <v/>
      </c>
      <c r="Q579" s="89" t="str">
        <f t="shared" si="24"/>
        <v/>
      </c>
      <c r="R579" s="89" t="str">
        <f t="shared" si="25"/>
        <v/>
      </c>
      <c r="S579" s="82"/>
      <c r="U579" s="37" t="e">
        <f t="shared" si="26"/>
        <v>#VALUE!</v>
      </c>
    </row>
    <row r="580" spans="1:21" x14ac:dyDescent="0.25">
      <c r="A580" s="31" t="str">
        <f>IF(Table!A580 = "","",Table!A580)</f>
        <v/>
      </c>
      <c r="B580" s="31" t="str">
        <f>IF(Table!B580 = "","",Table!B580)</f>
        <v/>
      </c>
      <c r="C580" s="31" t="str">
        <f>IF(Table!C580 = "","",Table!C580)</f>
        <v/>
      </c>
      <c r="D580" s="32" t="str">
        <f>IF(Table!D580 = "","",Table!D580)</f>
        <v/>
      </c>
      <c r="E580" s="32" t="str">
        <f>IF(Table!E580 = "","",Table!E580)</f>
        <v/>
      </c>
      <c r="F580" s="32" t="str">
        <f>IF(Table!F580 = "","",Table!F580)</f>
        <v/>
      </c>
      <c r="G580" s="91"/>
      <c r="I580" s="84" t="str">
        <f>IFERROR(VLOOKUP(A580,Downlink!A:L,12,TRUE),"")</f>
        <v/>
      </c>
      <c r="K580" s="31" t="str">
        <f>IFERROR(VLOOKUP(A580,Table!$I$4:$O$3000,1,TRUE),"")</f>
        <v/>
      </c>
      <c r="L580" s="31" t="str">
        <f>IFERROR(INDEX(Table!I:O,MATCH(K580,Table!I:I,0),2),"")</f>
        <v/>
      </c>
      <c r="M580" s="31" t="str">
        <f>IFERROR(INDEX(Table!I:O,MATCH(K580,Table!I:I,0),3),"")</f>
        <v/>
      </c>
      <c r="N580" s="32" t="str">
        <f>IFERROR(INDEX(Table!I:O,MATCH(K580,Table!I:I,0),4),"")</f>
        <v/>
      </c>
      <c r="O580" s="32" t="str">
        <f>IFERROR(INDEX(Table!I:O,MATCH(K580,Table!I:I,0),5),"")</f>
        <v/>
      </c>
      <c r="P580" s="32" t="str">
        <f>IFERROR(INDEX(Table!I:O,MATCH(K580,Table!I:I,0),6),"")</f>
        <v/>
      </c>
      <c r="Q580" s="89" t="str">
        <f t="shared" si="24"/>
        <v/>
      </c>
      <c r="R580" s="89" t="str">
        <f t="shared" si="25"/>
        <v/>
      </c>
      <c r="S580" s="82"/>
      <c r="U580" s="37" t="e">
        <f t="shared" si="26"/>
        <v>#VALUE!</v>
      </c>
    </row>
    <row r="581" spans="1:21" x14ac:dyDescent="0.25">
      <c r="A581" s="31" t="str">
        <f>IF(Table!A581 = "","",Table!A581)</f>
        <v/>
      </c>
      <c r="B581" s="31" t="str">
        <f>IF(Table!B581 = "","",Table!B581)</f>
        <v/>
      </c>
      <c r="C581" s="31" t="str">
        <f>IF(Table!C581 = "","",Table!C581)</f>
        <v/>
      </c>
      <c r="D581" s="32" t="str">
        <f>IF(Table!D581 = "","",Table!D581)</f>
        <v/>
      </c>
      <c r="E581" s="32" t="str">
        <f>IF(Table!E581 = "","",Table!E581)</f>
        <v/>
      </c>
      <c r="F581" s="32" t="str">
        <f>IF(Table!F581 = "","",Table!F581)</f>
        <v/>
      </c>
      <c r="G581" s="91"/>
      <c r="I581" s="84" t="str">
        <f>IFERROR(VLOOKUP(A581,Downlink!A:L,12,TRUE),"")</f>
        <v/>
      </c>
      <c r="K581" s="31" t="str">
        <f>IFERROR(VLOOKUP(A581,Table!$I$4:$O$3000,1,TRUE),"")</f>
        <v/>
      </c>
      <c r="L581" s="31" t="str">
        <f>IFERROR(INDEX(Table!I:O,MATCH(K581,Table!I:I,0),2),"")</f>
        <v/>
      </c>
      <c r="M581" s="31" t="str">
        <f>IFERROR(INDEX(Table!I:O,MATCH(K581,Table!I:I,0),3),"")</f>
        <v/>
      </c>
      <c r="N581" s="32" t="str">
        <f>IFERROR(INDEX(Table!I:O,MATCH(K581,Table!I:I,0),4),"")</f>
        <v/>
      </c>
      <c r="O581" s="32" t="str">
        <f>IFERROR(INDEX(Table!I:O,MATCH(K581,Table!I:I,0),5),"")</f>
        <v/>
      </c>
      <c r="P581" s="32" t="str">
        <f>IFERROR(INDEX(Table!I:O,MATCH(K581,Table!I:I,0),6),"")</f>
        <v/>
      </c>
      <c r="Q581" s="89" t="str">
        <f t="shared" si="24"/>
        <v/>
      </c>
      <c r="R581" s="89" t="str">
        <f t="shared" si="25"/>
        <v/>
      </c>
      <c r="S581" s="82"/>
      <c r="U581" s="37" t="e">
        <f t="shared" si="26"/>
        <v>#VALUE!</v>
      </c>
    </row>
    <row r="582" spans="1:21" x14ac:dyDescent="0.25">
      <c r="A582" s="31" t="str">
        <f>IF(Table!A582 = "","",Table!A582)</f>
        <v/>
      </c>
      <c r="B582" s="31" t="str">
        <f>IF(Table!B582 = "","",Table!B582)</f>
        <v/>
      </c>
      <c r="C582" s="31" t="str">
        <f>IF(Table!C582 = "","",Table!C582)</f>
        <v/>
      </c>
      <c r="D582" s="32" t="str">
        <f>IF(Table!D582 = "","",Table!D582)</f>
        <v/>
      </c>
      <c r="E582" s="32" t="str">
        <f>IF(Table!E582 = "","",Table!E582)</f>
        <v/>
      </c>
      <c r="F582" s="32" t="str">
        <f>IF(Table!F582 = "","",Table!F582)</f>
        <v/>
      </c>
      <c r="G582" s="91"/>
      <c r="I582" s="84" t="str">
        <f>IFERROR(VLOOKUP(A582,Downlink!A:L,12,TRUE),"")</f>
        <v/>
      </c>
      <c r="K582" s="31" t="str">
        <f>IFERROR(VLOOKUP(A582,Table!$I$4:$O$3000,1,TRUE),"")</f>
        <v/>
      </c>
      <c r="L582" s="31" t="str">
        <f>IFERROR(INDEX(Table!I:O,MATCH(K582,Table!I:I,0),2),"")</f>
        <v/>
      </c>
      <c r="M582" s="31" t="str">
        <f>IFERROR(INDEX(Table!I:O,MATCH(K582,Table!I:I,0),3),"")</f>
        <v/>
      </c>
      <c r="N582" s="32" t="str">
        <f>IFERROR(INDEX(Table!I:O,MATCH(K582,Table!I:I,0),4),"")</f>
        <v/>
      </c>
      <c r="O582" s="32" t="str">
        <f>IFERROR(INDEX(Table!I:O,MATCH(K582,Table!I:I,0),5),"")</f>
        <v/>
      </c>
      <c r="P582" s="32" t="str">
        <f>IFERROR(INDEX(Table!I:O,MATCH(K582,Table!I:I,0),6),"")</f>
        <v/>
      </c>
      <c r="Q582" s="89" t="str">
        <f t="shared" ref="Q582:Q645" si="27">IFERROR(L582-B582,"")</f>
        <v/>
      </c>
      <c r="R582" s="89" t="str">
        <f t="shared" ref="R582:R645" si="28">IFERROR(M582-C582,"")</f>
        <v/>
      </c>
      <c r="S582" s="82"/>
      <c r="U582" s="37" t="e">
        <f t="shared" ref="U582:U645" si="29">K582-K581</f>
        <v>#VALUE!</v>
      </c>
    </row>
    <row r="583" spans="1:21" x14ac:dyDescent="0.25">
      <c r="A583" s="31" t="str">
        <f>IF(Table!A583 = "","",Table!A583)</f>
        <v/>
      </c>
      <c r="B583" s="31" t="str">
        <f>IF(Table!B583 = "","",Table!B583)</f>
        <v/>
      </c>
      <c r="C583" s="31" t="str">
        <f>IF(Table!C583 = "","",Table!C583)</f>
        <v/>
      </c>
      <c r="D583" s="32" t="str">
        <f>IF(Table!D583 = "","",Table!D583)</f>
        <v/>
      </c>
      <c r="E583" s="32" t="str">
        <f>IF(Table!E583 = "","",Table!E583)</f>
        <v/>
      </c>
      <c r="F583" s="32" t="str">
        <f>IF(Table!F583 = "","",Table!F583)</f>
        <v/>
      </c>
      <c r="G583" s="91"/>
      <c r="I583" s="84" t="str">
        <f>IFERROR(VLOOKUP(A583,Downlink!A:L,12,TRUE),"")</f>
        <v/>
      </c>
      <c r="K583" s="31" t="str">
        <f>IFERROR(VLOOKUP(A583,Table!$I$4:$O$3000,1,TRUE),"")</f>
        <v/>
      </c>
      <c r="L583" s="31" t="str">
        <f>IFERROR(INDEX(Table!I:O,MATCH(K583,Table!I:I,0),2),"")</f>
        <v/>
      </c>
      <c r="M583" s="31" t="str">
        <f>IFERROR(INDEX(Table!I:O,MATCH(K583,Table!I:I,0),3),"")</f>
        <v/>
      </c>
      <c r="N583" s="32" t="str">
        <f>IFERROR(INDEX(Table!I:O,MATCH(K583,Table!I:I,0),4),"")</f>
        <v/>
      </c>
      <c r="O583" s="32" t="str">
        <f>IFERROR(INDEX(Table!I:O,MATCH(K583,Table!I:I,0),5),"")</f>
        <v/>
      </c>
      <c r="P583" s="32" t="str">
        <f>IFERROR(INDEX(Table!I:O,MATCH(K583,Table!I:I,0),6),"")</f>
        <v/>
      </c>
      <c r="Q583" s="89" t="str">
        <f t="shared" si="27"/>
        <v/>
      </c>
      <c r="R583" s="89" t="str">
        <f t="shared" si="28"/>
        <v/>
      </c>
      <c r="S583" s="82"/>
      <c r="U583" s="37" t="e">
        <f t="shared" si="29"/>
        <v>#VALUE!</v>
      </c>
    </row>
    <row r="584" spans="1:21" x14ac:dyDescent="0.25">
      <c r="A584" s="31" t="str">
        <f>IF(Table!A584 = "","",Table!A584)</f>
        <v/>
      </c>
      <c r="B584" s="31" t="str">
        <f>IF(Table!B584 = "","",Table!B584)</f>
        <v/>
      </c>
      <c r="C584" s="31" t="str">
        <f>IF(Table!C584 = "","",Table!C584)</f>
        <v/>
      </c>
      <c r="D584" s="32" t="str">
        <f>IF(Table!D584 = "","",Table!D584)</f>
        <v/>
      </c>
      <c r="E584" s="32" t="str">
        <f>IF(Table!E584 = "","",Table!E584)</f>
        <v/>
      </c>
      <c r="F584" s="32" t="str">
        <f>IF(Table!F584 = "","",Table!F584)</f>
        <v/>
      </c>
      <c r="G584" s="91"/>
      <c r="I584" s="84" t="str">
        <f>IFERROR(VLOOKUP(A584,Downlink!A:L,12,TRUE),"")</f>
        <v/>
      </c>
      <c r="K584" s="31" t="str">
        <f>IFERROR(VLOOKUP(A584,Table!$I$4:$O$3000,1,TRUE),"")</f>
        <v/>
      </c>
      <c r="L584" s="31" t="str">
        <f>IFERROR(INDEX(Table!I:O,MATCH(K584,Table!I:I,0),2),"")</f>
        <v/>
      </c>
      <c r="M584" s="31" t="str">
        <f>IFERROR(INDEX(Table!I:O,MATCH(K584,Table!I:I,0),3),"")</f>
        <v/>
      </c>
      <c r="N584" s="32" t="str">
        <f>IFERROR(INDEX(Table!I:O,MATCH(K584,Table!I:I,0),4),"")</f>
        <v/>
      </c>
      <c r="O584" s="32" t="str">
        <f>IFERROR(INDEX(Table!I:O,MATCH(K584,Table!I:I,0),5),"")</f>
        <v/>
      </c>
      <c r="P584" s="32" t="str">
        <f>IFERROR(INDEX(Table!I:O,MATCH(K584,Table!I:I,0),6),"")</f>
        <v/>
      </c>
      <c r="Q584" s="89" t="str">
        <f t="shared" si="27"/>
        <v/>
      </c>
      <c r="R584" s="89" t="str">
        <f t="shared" si="28"/>
        <v/>
      </c>
      <c r="S584" s="82"/>
      <c r="U584" s="37" t="e">
        <f t="shared" si="29"/>
        <v>#VALUE!</v>
      </c>
    </row>
    <row r="585" spans="1:21" x14ac:dyDescent="0.25">
      <c r="A585" s="31" t="str">
        <f>IF(Table!A585 = "","",Table!A585)</f>
        <v/>
      </c>
      <c r="B585" s="31" t="str">
        <f>IF(Table!B585 = "","",Table!B585)</f>
        <v/>
      </c>
      <c r="C585" s="31" t="str">
        <f>IF(Table!C585 = "","",Table!C585)</f>
        <v/>
      </c>
      <c r="D585" s="32" t="str">
        <f>IF(Table!D585 = "","",Table!D585)</f>
        <v/>
      </c>
      <c r="E585" s="32" t="str">
        <f>IF(Table!E585 = "","",Table!E585)</f>
        <v/>
      </c>
      <c r="F585" s="32" t="str">
        <f>IF(Table!F585 = "","",Table!F585)</f>
        <v/>
      </c>
      <c r="G585" s="91"/>
      <c r="I585" s="84" t="str">
        <f>IFERROR(VLOOKUP(A585,Downlink!A:L,12,TRUE),"")</f>
        <v/>
      </c>
      <c r="K585" s="31" t="str">
        <f>IFERROR(VLOOKUP(A585,Table!$I$4:$O$3000,1,TRUE),"")</f>
        <v/>
      </c>
      <c r="L585" s="31" t="str">
        <f>IFERROR(INDEX(Table!I:O,MATCH(K585,Table!I:I,0),2),"")</f>
        <v/>
      </c>
      <c r="M585" s="31" t="str">
        <f>IFERROR(INDEX(Table!I:O,MATCH(K585,Table!I:I,0),3),"")</f>
        <v/>
      </c>
      <c r="N585" s="32" t="str">
        <f>IFERROR(INDEX(Table!I:O,MATCH(K585,Table!I:I,0),4),"")</f>
        <v/>
      </c>
      <c r="O585" s="32" t="str">
        <f>IFERROR(INDEX(Table!I:O,MATCH(K585,Table!I:I,0),5),"")</f>
        <v/>
      </c>
      <c r="P585" s="32" t="str">
        <f>IFERROR(INDEX(Table!I:O,MATCH(K585,Table!I:I,0),6),"")</f>
        <v/>
      </c>
      <c r="Q585" s="89" t="str">
        <f t="shared" si="27"/>
        <v/>
      </c>
      <c r="R585" s="89" t="str">
        <f t="shared" si="28"/>
        <v/>
      </c>
      <c r="S585" s="82"/>
      <c r="U585" s="37" t="e">
        <f t="shared" si="29"/>
        <v>#VALUE!</v>
      </c>
    </row>
    <row r="586" spans="1:21" x14ac:dyDescent="0.25">
      <c r="A586" s="31" t="str">
        <f>IF(Table!A586 = "","",Table!A586)</f>
        <v/>
      </c>
      <c r="B586" s="31" t="str">
        <f>IF(Table!B586 = "","",Table!B586)</f>
        <v/>
      </c>
      <c r="C586" s="31" t="str">
        <f>IF(Table!C586 = "","",Table!C586)</f>
        <v/>
      </c>
      <c r="D586" s="32" t="str">
        <f>IF(Table!D586 = "","",Table!D586)</f>
        <v/>
      </c>
      <c r="E586" s="32" t="str">
        <f>IF(Table!E586 = "","",Table!E586)</f>
        <v/>
      </c>
      <c r="F586" s="32" t="str">
        <f>IF(Table!F586 = "","",Table!F586)</f>
        <v/>
      </c>
      <c r="G586" s="91"/>
      <c r="I586" s="84" t="str">
        <f>IFERROR(VLOOKUP(A586,Downlink!A:L,12,TRUE),"")</f>
        <v/>
      </c>
      <c r="K586" s="31" t="str">
        <f>IFERROR(VLOOKUP(A586,Table!$I$4:$O$3000,1,TRUE),"")</f>
        <v/>
      </c>
      <c r="L586" s="31" t="str">
        <f>IFERROR(INDEX(Table!I:O,MATCH(K586,Table!I:I,0),2),"")</f>
        <v/>
      </c>
      <c r="M586" s="31" t="str">
        <f>IFERROR(INDEX(Table!I:O,MATCH(K586,Table!I:I,0),3),"")</f>
        <v/>
      </c>
      <c r="N586" s="32" t="str">
        <f>IFERROR(INDEX(Table!I:O,MATCH(K586,Table!I:I,0),4),"")</f>
        <v/>
      </c>
      <c r="O586" s="32" t="str">
        <f>IFERROR(INDEX(Table!I:O,MATCH(K586,Table!I:I,0),5),"")</f>
        <v/>
      </c>
      <c r="P586" s="32" t="str">
        <f>IFERROR(INDEX(Table!I:O,MATCH(K586,Table!I:I,0),6),"")</f>
        <v/>
      </c>
      <c r="Q586" s="89" t="str">
        <f t="shared" si="27"/>
        <v/>
      </c>
      <c r="R586" s="89" t="str">
        <f t="shared" si="28"/>
        <v/>
      </c>
      <c r="S586" s="82"/>
      <c r="U586" s="37" t="e">
        <f t="shared" si="29"/>
        <v>#VALUE!</v>
      </c>
    </row>
    <row r="587" spans="1:21" x14ac:dyDescent="0.25">
      <c r="A587" s="31" t="str">
        <f>IF(Table!A587 = "","",Table!A587)</f>
        <v/>
      </c>
      <c r="B587" s="31" t="str">
        <f>IF(Table!B587 = "","",Table!B587)</f>
        <v/>
      </c>
      <c r="C587" s="31" t="str">
        <f>IF(Table!C587 = "","",Table!C587)</f>
        <v/>
      </c>
      <c r="D587" s="32" t="str">
        <f>IF(Table!D587 = "","",Table!D587)</f>
        <v/>
      </c>
      <c r="E587" s="32" t="str">
        <f>IF(Table!E587 = "","",Table!E587)</f>
        <v/>
      </c>
      <c r="F587" s="32" t="str">
        <f>IF(Table!F587 = "","",Table!F587)</f>
        <v/>
      </c>
      <c r="G587" s="91"/>
      <c r="I587" s="84" t="str">
        <f>IFERROR(VLOOKUP(A587,Downlink!A:L,12,TRUE),"")</f>
        <v/>
      </c>
      <c r="K587" s="31" t="str">
        <f>IFERROR(VLOOKUP(A587,Table!$I$4:$O$3000,1,TRUE),"")</f>
        <v/>
      </c>
      <c r="L587" s="31" t="str">
        <f>IFERROR(INDEX(Table!I:O,MATCH(K587,Table!I:I,0),2),"")</f>
        <v/>
      </c>
      <c r="M587" s="31" t="str">
        <f>IFERROR(INDEX(Table!I:O,MATCH(K587,Table!I:I,0),3),"")</f>
        <v/>
      </c>
      <c r="N587" s="32" t="str">
        <f>IFERROR(INDEX(Table!I:O,MATCH(K587,Table!I:I,0),4),"")</f>
        <v/>
      </c>
      <c r="O587" s="32" t="str">
        <f>IFERROR(INDEX(Table!I:O,MATCH(K587,Table!I:I,0),5),"")</f>
        <v/>
      </c>
      <c r="P587" s="32" t="str">
        <f>IFERROR(INDEX(Table!I:O,MATCH(K587,Table!I:I,0),6),"")</f>
        <v/>
      </c>
      <c r="Q587" s="89" t="str">
        <f t="shared" si="27"/>
        <v/>
      </c>
      <c r="R587" s="89" t="str">
        <f t="shared" si="28"/>
        <v/>
      </c>
      <c r="S587" s="82"/>
      <c r="U587" s="37" t="e">
        <f t="shared" si="29"/>
        <v>#VALUE!</v>
      </c>
    </row>
    <row r="588" spans="1:21" x14ac:dyDescent="0.25">
      <c r="A588" s="31" t="str">
        <f>IF(Table!A588 = "","",Table!A588)</f>
        <v/>
      </c>
      <c r="B588" s="31" t="str">
        <f>IF(Table!B588 = "","",Table!B588)</f>
        <v/>
      </c>
      <c r="C588" s="31" t="str">
        <f>IF(Table!C588 = "","",Table!C588)</f>
        <v/>
      </c>
      <c r="D588" s="32" t="str">
        <f>IF(Table!D588 = "","",Table!D588)</f>
        <v/>
      </c>
      <c r="E588" s="32" t="str">
        <f>IF(Table!E588 = "","",Table!E588)</f>
        <v/>
      </c>
      <c r="F588" s="32" t="str">
        <f>IF(Table!F588 = "","",Table!F588)</f>
        <v/>
      </c>
      <c r="G588" s="91"/>
      <c r="I588" s="84" t="str">
        <f>IFERROR(VLOOKUP(A588,Downlink!A:L,12,TRUE),"")</f>
        <v/>
      </c>
      <c r="K588" s="31" t="str">
        <f>IFERROR(VLOOKUP(A588,Table!$I$4:$O$3000,1,TRUE),"")</f>
        <v/>
      </c>
      <c r="L588" s="31" t="str">
        <f>IFERROR(INDEX(Table!I:O,MATCH(K588,Table!I:I,0),2),"")</f>
        <v/>
      </c>
      <c r="M588" s="31" t="str">
        <f>IFERROR(INDEX(Table!I:O,MATCH(K588,Table!I:I,0),3),"")</f>
        <v/>
      </c>
      <c r="N588" s="32" t="str">
        <f>IFERROR(INDEX(Table!I:O,MATCH(K588,Table!I:I,0),4),"")</f>
        <v/>
      </c>
      <c r="O588" s="32" t="str">
        <f>IFERROR(INDEX(Table!I:O,MATCH(K588,Table!I:I,0),5),"")</f>
        <v/>
      </c>
      <c r="P588" s="32" t="str">
        <f>IFERROR(INDEX(Table!I:O,MATCH(K588,Table!I:I,0),6),"")</f>
        <v/>
      </c>
      <c r="Q588" s="89" t="str">
        <f t="shared" si="27"/>
        <v/>
      </c>
      <c r="R588" s="89" t="str">
        <f t="shared" si="28"/>
        <v/>
      </c>
      <c r="S588" s="82"/>
      <c r="U588" s="37" t="e">
        <f t="shared" si="29"/>
        <v>#VALUE!</v>
      </c>
    </row>
    <row r="589" spans="1:21" x14ac:dyDescent="0.25">
      <c r="A589" s="31" t="str">
        <f>IF(Table!A589 = "","",Table!A589)</f>
        <v/>
      </c>
      <c r="B589" s="31" t="str">
        <f>IF(Table!B589 = "","",Table!B589)</f>
        <v/>
      </c>
      <c r="C589" s="31" t="str">
        <f>IF(Table!C589 = "","",Table!C589)</f>
        <v/>
      </c>
      <c r="D589" s="32" t="str">
        <f>IF(Table!D589 = "","",Table!D589)</f>
        <v/>
      </c>
      <c r="E589" s="32" t="str">
        <f>IF(Table!E589 = "","",Table!E589)</f>
        <v/>
      </c>
      <c r="F589" s="32" t="str">
        <f>IF(Table!F589 = "","",Table!F589)</f>
        <v/>
      </c>
      <c r="G589" s="91"/>
      <c r="I589" s="84" t="str">
        <f>IFERROR(VLOOKUP(A589,Downlink!A:L,12,TRUE),"")</f>
        <v/>
      </c>
      <c r="K589" s="31" t="str">
        <f>IFERROR(VLOOKUP(A589,Table!$I$4:$O$3000,1,TRUE),"")</f>
        <v/>
      </c>
      <c r="L589" s="31" t="str">
        <f>IFERROR(INDEX(Table!I:O,MATCH(K589,Table!I:I,0),2),"")</f>
        <v/>
      </c>
      <c r="M589" s="31" t="str">
        <f>IFERROR(INDEX(Table!I:O,MATCH(K589,Table!I:I,0),3),"")</f>
        <v/>
      </c>
      <c r="N589" s="32" t="str">
        <f>IFERROR(INDEX(Table!I:O,MATCH(K589,Table!I:I,0),4),"")</f>
        <v/>
      </c>
      <c r="O589" s="32" t="str">
        <f>IFERROR(INDEX(Table!I:O,MATCH(K589,Table!I:I,0),5),"")</f>
        <v/>
      </c>
      <c r="P589" s="32" t="str">
        <f>IFERROR(INDEX(Table!I:O,MATCH(K589,Table!I:I,0),6),"")</f>
        <v/>
      </c>
      <c r="Q589" s="89" t="str">
        <f t="shared" si="27"/>
        <v/>
      </c>
      <c r="R589" s="89" t="str">
        <f t="shared" si="28"/>
        <v/>
      </c>
      <c r="S589" s="82"/>
      <c r="U589" s="37" t="e">
        <f t="shared" si="29"/>
        <v>#VALUE!</v>
      </c>
    </row>
    <row r="590" spans="1:21" x14ac:dyDescent="0.25">
      <c r="A590" s="31" t="str">
        <f>IF(Table!A590 = "","",Table!A590)</f>
        <v/>
      </c>
      <c r="B590" s="31" t="str">
        <f>IF(Table!B590 = "","",Table!B590)</f>
        <v/>
      </c>
      <c r="C590" s="31" t="str">
        <f>IF(Table!C590 = "","",Table!C590)</f>
        <v/>
      </c>
      <c r="D590" s="32" t="str">
        <f>IF(Table!D590 = "","",Table!D590)</f>
        <v/>
      </c>
      <c r="E590" s="32" t="str">
        <f>IF(Table!E590 = "","",Table!E590)</f>
        <v/>
      </c>
      <c r="F590" s="32" t="str">
        <f>IF(Table!F590 = "","",Table!F590)</f>
        <v/>
      </c>
      <c r="G590" s="91"/>
      <c r="I590" s="84" t="str">
        <f>IFERROR(VLOOKUP(A590,Downlink!A:L,12,TRUE),"")</f>
        <v/>
      </c>
      <c r="K590" s="31" t="str">
        <f>IFERROR(VLOOKUP(A590,Table!$I$4:$O$3000,1,TRUE),"")</f>
        <v/>
      </c>
      <c r="L590" s="31" t="str">
        <f>IFERROR(INDEX(Table!I:O,MATCH(K590,Table!I:I,0),2),"")</f>
        <v/>
      </c>
      <c r="M590" s="31" t="str">
        <f>IFERROR(INDEX(Table!I:O,MATCH(K590,Table!I:I,0),3),"")</f>
        <v/>
      </c>
      <c r="N590" s="32" t="str">
        <f>IFERROR(INDEX(Table!I:O,MATCH(K590,Table!I:I,0),4),"")</f>
        <v/>
      </c>
      <c r="O590" s="32" t="str">
        <f>IFERROR(INDEX(Table!I:O,MATCH(K590,Table!I:I,0),5),"")</f>
        <v/>
      </c>
      <c r="P590" s="32" t="str">
        <f>IFERROR(INDEX(Table!I:O,MATCH(K590,Table!I:I,0),6),"")</f>
        <v/>
      </c>
      <c r="Q590" s="89" t="str">
        <f t="shared" si="27"/>
        <v/>
      </c>
      <c r="R590" s="89" t="str">
        <f t="shared" si="28"/>
        <v/>
      </c>
      <c r="S590" s="82"/>
      <c r="U590" s="37" t="e">
        <f t="shared" si="29"/>
        <v>#VALUE!</v>
      </c>
    </row>
    <row r="591" spans="1:21" x14ac:dyDescent="0.25">
      <c r="A591" s="31" t="str">
        <f>IF(Table!A591 = "","",Table!A591)</f>
        <v/>
      </c>
      <c r="B591" s="31" t="str">
        <f>IF(Table!B591 = "","",Table!B591)</f>
        <v/>
      </c>
      <c r="C591" s="31" t="str">
        <f>IF(Table!C591 = "","",Table!C591)</f>
        <v/>
      </c>
      <c r="D591" s="32" t="str">
        <f>IF(Table!D591 = "","",Table!D591)</f>
        <v/>
      </c>
      <c r="E591" s="32" t="str">
        <f>IF(Table!E591 = "","",Table!E591)</f>
        <v/>
      </c>
      <c r="F591" s="32" t="str">
        <f>IF(Table!F591 = "","",Table!F591)</f>
        <v/>
      </c>
      <c r="G591" s="91"/>
      <c r="I591" s="84" t="str">
        <f>IFERROR(VLOOKUP(A591,Downlink!A:L,12,TRUE),"")</f>
        <v/>
      </c>
      <c r="K591" s="31" t="str">
        <f>IFERROR(VLOOKUP(A591,Table!$I$4:$O$3000,1,TRUE),"")</f>
        <v/>
      </c>
      <c r="L591" s="31" t="str">
        <f>IFERROR(INDEX(Table!I:O,MATCH(K591,Table!I:I,0),2),"")</f>
        <v/>
      </c>
      <c r="M591" s="31" t="str">
        <f>IFERROR(INDEX(Table!I:O,MATCH(K591,Table!I:I,0),3),"")</f>
        <v/>
      </c>
      <c r="N591" s="32" t="str">
        <f>IFERROR(INDEX(Table!I:O,MATCH(K591,Table!I:I,0),4),"")</f>
        <v/>
      </c>
      <c r="O591" s="32" t="str">
        <f>IFERROR(INDEX(Table!I:O,MATCH(K591,Table!I:I,0),5),"")</f>
        <v/>
      </c>
      <c r="P591" s="32" t="str">
        <f>IFERROR(INDEX(Table!I:O,MATCH(K591,Table!I:I,0),6),"")</f>
        <v/>
      </c>
      <c r="Q591" s="89" t="str">
        <f t="shared" si="27"/>
        <v/>
      </c>
      <c r="R591" s="89" t="str">
        <f t="shared" si="28"/>
        <v/>
      </c>
      <c r="S591" s="82"/>
      <c r="U591" s="37" t="e">
        <f t="shared" si="29"/>
        <v>#VALUE!</v>
      </c>
    </row>
    <row r="592" spans="1:21" x14ac:dyDescent="0.25">
      <c r="A592" s="31" t="str">
        <f>IF(Table!A592 = "","",Table!A592)</f>
        <v/>
      </c>
      <c r="B592" s="31" t="str">
        <f>IF(Table!B592 = "","",Table!B592)</f>
        <v/>
      </c>
      <c r="C592" s="31" t="str">
        <f>IF(Table!C592 = "","",Table!C592)</f>
        <v/>
      </c>
      <c r="D592" s="32" t="str">
        <f>IF(Table!D592 = "","",Table!D592)</f>
        <v/>
      </c>
      <c r="E592" s="32" t="str">
        <f>IF(Table!E592 = "","",Table!E592)</f>
        <v/>
      </c>
      <c r="F592" s="32" t="str">
        <f>IF(Table!F592 = "","",Table!F592)</f>
        <v/>
      </c>
      <c r="G592" s="91"/>
      <c r="I592" s="84" t="str">
        <f>IFERROR(VLOOKUP(A592,Downlink!A:L,12,TRUE),"")</f>
        <v/>
      </c>
      <c r="K592" s="31" t="str">
        <f>IFERROR(VLOOKUP(A592,Table!$I$4:$O$3000,1,TRUE),"")</f>
        <v/>
      </c>
      <c r="L592" s="31" t="str">
        <f>IFERROR(INDEX(Table!I:O,MATCH(K592,Table!I:I,0),2),"")</f>
        <v/>
      </c>
      <c r="M592" s="31" t="str">
        <f>IFERROR(INDEX(Table!I:O,MATCH(K592,Table!I:I,0),3),"")</f>
        <v/>
      </c>
      <c r="N592" s="32" t="str">
        <f>IFERROR(INDEX(Table!I:O,MATCH(K592,Table!I:I,0),4),"")</f>
        <v/>
      </c>
      <c r="O592" s="32" t="str">
        <f>IFERROR(INDEX(Table!I:O,MATCH(K592,Table!I:I,0),5),"")</f>
        <v/>
      </c>
      <c r="P592" s="32" t="str">
        <f>IFERROR(INDEX(Table!I:O,MATCH(K592,Table!I:I,0),6),"")</f>
        <v/>
      </c>
      <c r="Q592" s="89" t="str">
        <f t="shared" si="27"/>
        <v/>
      </c>
      <c r="R592" s="89" t="str">
        <f t="shared" si="28"/>
        <v/>
      </c>
      <c r="S592" s="82"/>
      <c r="U592" s="37" t="e">
        <f t="shared" si="29"/>
        <v>#VALUE!</v>
      </c>
    </row>
    <row r="593" spans="1:21" x14ac:dyDescent="0.25">
      <c r="A593" s="31" t="str">
        <f>IF(Table!A593 = "","",Table!A593)</f>
        <v/>
      </c>
      <c r="B593" s="31" t="str">
        <f>IF(Table!B593 = "","",Table!B593)</f>
        <v/>
      </c>
      <c r="C593" s="31" t="str">
        <f>IF(Table!C593 = "","",Table!C593)</f>
        <v/>
      </c>
      <c r="D593" s="32" t="str">
        <f>IF(Table!D593 = "","",Table!D593)</f>
        <v/>
      </c>
      <c r="E593" s="32" t="str">
        <f>IF(Table!E593 = "","",Table!E593)</f>
        <v/>
      </c>
      <c r="F593" s="32" t="str">
        <f>IF(Table!F593 = "","",Table!F593)</f>
        <v/>
      </c>
      <c r="G593" s="91"/>
      <c r="I593" s="84" t="str">
        <f>IFERROR(VLOOKUP(A593,Downlink!A:L,12,TRUE),"")</f>
        <v/>
      </c>
      <c r="K593" s="31" t="str">
        <f>IFERROR(VLOOKUP(A593,Table!$I$4:$O$3000,1,TRUE),"")</f>
        <v/>
      </c>
      <c r="L593" s="31" t="str">
        <f>IFERROR(INDEX(Table!I:O,MATCH(K593,Table!I:I,0),2),"")</f>
        <v/>
      </c>
      <c r="M593" s="31" t="str">
        <f>IFERROR(INDEX(Table!I:O,MATCH(K593,Table!I:I,0),3),"")</f>
        <v/>
      </c>
      <c r="N593" s="32" t="str">
        <f>IFERROR(INDEX(Table!I:O,MATCH(K593,Table!I:I,0),4),"")</f>
        <v/>
      </c>
      <c r="O593" s="32" t="str">
        <f>IFERROR(INDEX(Table!I:O,MATCH(K593,Table!I:I,0),5),"")</f>
        <v/>
      </c>
      <c r="P593" s="32" t="str">
        <f>IFERROR(INDEX(Table!I:O,MATCH(K593,Table!I:I,0),6),"")</f>
        <v/>
      </c>
      <c r="Q593" s="89" t="str">
        <f t="shared" si="27"/>
        <v/>
      </c>
      <c r="R593" s="89" t="str">
        <f t="shared" si="28"/>
        <v/>
      </c>
      <c r="S593" s="82"/>
      <c r="U593" s="37" t="e">
        <f t="shared" si="29"/>
        <v>#VALUE!</v>
      </c>
    </row>
    <row r="594" spans="1:21" x14ac:dyDescent="0.25">
      <c r="A594" s="31" t="str">
        <f>IF(Table!A594 = "","",Table!A594)</f>
        <v/>
      </c>
      <c r="B594" s="31" t="str">
        <f>IF(Table!B594 = "","",Table!B594)</f>
        <v/>
      </c>
      <c r="C594" s="31" t="str">
        <f>IF(Table!C594 = "","",Table!C594)</f>
        <v/>
      </c>
      <c r="D594" s="32" t="str">
        <f>IF(Table!D594 = "","",Table!D594)</f>
        <v/>
      </c>
      <c r="E594" s="32" t="str">
        <f>IF(Table!E594 = "","",Table!E594)</f>
        <v/>
      </c>
      <c r="F594" s="32" t="str">
        <f>IF(Table!F594 = "","",Table!F594)</f>
        <v/>
      </c>
      <c r="G594" s="91"/>
      <c r="I594" s="84" t="str">
        <f>IFERROR(VLOOKUP(A594,Downlink!A:L,12,TRUE),"")</f>
        <v/>
      </c>
      <c r="K594" s="31" t="str">
        <f>IFERROR(VLOOKUP(A594,Table!$I$4:$O$3000,1,TRUE),"")</f>
        <v/>
      </c>
      <c r="L594" s="31" t="str">
        <f>IFERROR(INDEX(Table!I:O,MATCH(K594,Table!I:I,0),2),"")</f>
        <v/>
      </c>
      <c r="M594" s="31" t="str">
        <f>IFERROR(INDEX(Table!I:O,MATCH(K594,Table!I:I,0),3),"")</f>
        <v/>
      </c>
      <c r="N594" s="32" t="str">
        <f>IFERROR(INDEX(Table!I:O,MATCH(K594,Table!I:I,0),4),"")</f>
        <v/>
      </c>
      <c r="O594" s="32" t="str">
        <f>IFERROR(INDEX(Table!I:O,MATCH(K594,Table!I:I,0),5),"")</f>
        <v/>
      </c>
      <c r="P594" s="32" t="str">
        <f>IFERROR(INDEX(Table!I:O,MATCH(K594,Table!I:I,0),6),"")</f>
        <v/>
      </c>
      <c r="Q594" s="89" t="str">
        <f t="shared" si="27"/>
        <v/>
      </c>
      <c r="R594" s="89" t="str">
        <f t="shared" si="28"/>
        <v/>
      </c>
      <c r="S594" s="82"/>
      <c r="U594" s="37" t="e">
        <f t="shared" si="29"/>
        <v>#VALUE!</v>
      </c>
    </row>
    <row r="595" spans="1:21" x14ac:dyDescent="0.25">
      <c r="A595" s="31" t="str">
        <f>IF(Table!A595 = "","",Table!A595)</f>
        <v/>
      </c>
      <c r="B595" s="31" t="str">
        <f>IF(Table!B595 = "","",Table!B595)</f>
        <v/>
      </c>
      <c r="C595" s="31" t="str">
        <f>IF(Table!C595 = "","",Table!C595)</f>
        <v/>
      </c>
      <c r="D595" s="32" t="str">
        <f>IF(Table!D595 = "","",Table!D595)</f>
        <v/>
      </c>
      <c r="E595" s="32" t="str">
        <f>IF(Table!E595 = "","",Table!E595)</f>
        <v/>
      </c>
      <c r="F595" s="32" t="str">
        <f>IF(Table!F595 = "","",Table!F595)</f>
        <v/>
      </c>
      <c r="G595" s="91"/>
      <c r="I595" s="84" t="str">
        <f>IFERROR(VLOOKUP(A595,Downlink!A:L,12,TRUE),"")</f>
        <v/>
      </c>
      <c r="K595" s="31" t="str">
        <f>IFERROR(VLOOKUP(A595,Table!$I$4:$O$3000,1,TRUE),"")</f>
        <v/>
      </c>
      <c r="L595" s="31" t="str">
        <f>IFERROR(INDEX(Table!I:O,MATCH(K595,Table!I:I,0),2),"")</f>
        <v/>
      </c>
      <c r="M595" s="31" t="str">
        <f>IFERROR(INDEX(Table!I:O,MATCH(K595,Table!I:I,0),3),"")</f>
        <v/>
      </c>
      <c r="N595" s="32" t="str">
        <f>IFERROR(INDEX(Table!I:O,MATCH(K595,Table!I:I,0),4),"")</f>
        <v/>
      </c>
      <c r="O595" s="32" t="str">
        <f>IFERROR(INDEX(Table!I:O,MATCH(K595,Table!I:I,0),5),"")</f>
        <v/>
      </c>
      <c r="P595" s="32" t="str">
        <f>IFERROR(INDEX(Table!I:O,MATCH(K595,Table!I:I,0),6),"")</f>
        <v/>
      </c>
      <c r="Q595" s="89" t="str">
        <f t="shared" si="27"/>
        <v/>
      </c>
      <c r="R595" s="89" t="str">
        <f t="shared" si="28"/>
        <v/>
      </c>
      <c r="S595" s="82"/>
      <c r="U595" s="37" t="e">
        <f t="shared" si="29"/>
        <v>#VALUE!</v>
      </c>
    </row>
    <row r="596" spans="1:21" x14ac:dyDescent="0.25">
      <c r="A596" s="31" t="str">
        <f>IF(Table!A596 = "","",Table!A596)</f>
        <v/>
      </c>
      <c r="B596" s="31" t="str">
        <f>IF(Table!B596 = "","",Table!B596)</f>
        <v/>
      </c>
      <c r="C596" s="31" t="str">
        <f>IF(Table!C596 = "","",Table!C596)</f>
        <v/>
      </c>
      <c r="D596" s="32" t="str">
        <f>IF(Table!D596 = "","",Table!D596)</f>
        <v/>
      </c>
      <c r="E596" s="32" t="str">
        <f>IF(Table!E596 = "","",Table!E596)</f>
        <v/>
      </c>
      <c r="F596" s="32" t="str">
        <f>IF(Table!F596 = "","",Table!F596)</f>
        <v/>
      </c>
      <c r="G596" s="91"/>
      <c r="I596" s="84" t="str">
        <f>IFERROR(VLOOKUP(A596,Downlink!A:L,12,TRUE),"")</f>
        <v/>
      </c>
      <c r="K596" s="31" t="str">
        <f>IFERROR(VLOOKUP(A596,Table!$I$4:$O$3000,1,TRUE),"")</f>
        <v/>
      </c>
      <c r="L596" s="31" t="str">
        <f>IFERROR(INDEX(Table!I:O,MATCH(K596,Table!I:I,0),2),"")</f>
        <v/>
      </c>
      <c r="M596" s="31" t="str">
        <f>IFERROR(INDEX(Table!I:O,MATCH(K596,Table!I:I,0),3),"")</f>
        <v/>
      </c>
      <c r="N596" s="32" t="str">
        <f>IFERROR(INDEX(Table!I:O,MATCH(K596,Table!I:I,0),4),"")</f>
        <v/>
      </c>
      <c r="O596" s="32" t="str">
        <f>IFERROR(INDEX(Table!I:O,MATCH(K596,Table!I:I,0),5),"")</f>
        <v/>
      </c>
      <c r="P596" s="32" t="str">
        <f>IFERROR(INDEX(Table!I:O,MATCH(K596,Table!I:I,0),6),"")</f>
        <v/>
      </c>
      <c r="Q596" s="89" t="str">
        <f t="shared" si="27"/>
        <v/>
      </c>
      <c r="R596" s="89" t="str">
        <f t="shared" si="28"/>
        <v/>
      </c>
      <c r="S596" s="82"/>
      <c r="U596" s="37" t="e">
        <f t="shared" si="29"/>
        <v>#VALUE!</v>
      </c>
    </row>
    <row r="597" spans="1:21" x14ac:dyDescent="0.25">
      <c r="A597" s="31" t="str">
        <f>IF(Table!A597 = "","",Table!A597)</f>
        <v/>
      </c>
      <c r="B597" s="31" t="str">
        <f>IF(Table!B597 = "","",Table!B597)</f>
        <v/>
      </c>
      <c r="C597" s="31" t="str">
        <f>IF(Table!C597 = "","",Table!C597)</f>
        <v/>
      </c>
      <c r="D597" s="32" t="str">
        <f>IF(Table!D597 = "","",Table!D597)</f>
        <v/>
      </c>
      <c r="E597" s="32" t="str">
        <f>IF(Table!E597 = "","",Table!E597)</f>
        <v/>
      </c>
      <c r="F597" s="32" t="str">
        <f>IF(Table!F597 = "","",Table!F597)</f>
        <v/>
      </c>
      <c r="G597" s="91"/>
      <c r="I597" s="84" t="str">
        <f>IFERROR(VLOOKUP(A597,Downlink!A:L,12,TRUE),"")</f>
        <v/>
      </c>
      <c r="K597" s="31" t="str">
        <f>IFERROR(VLOOKUP(A597,Table!$I$4:$O$3000,1,TRUE),"")</f>
        <v/>
      </c>
      <c r="L597" s="31" t="str">
        <f>IFERROR(INDEX(Table!I:O,MATCH(K597,Table!I:I,0),2),"")</f>
        <v/>
      </c>
      <c r="M597" s="31" t="str">
        <f>IFERROR(INDEX(Table!I:O,MATCH(K597,Table!I:I,0),3),"")</f>
        <v/>
      </c>
      <c r="N597" s="32" t="str">
        <f>IFERROR(INDEX(Table!I:O,MATCH(K597,Table!I:I,0),4),"")</f>
        <v/>
      </c>
      <c r="O597" s="32" t="str">
        <f>IFERROR(INDEX(Table!I:O,MATCH(K597,Table!I:I,0),5),"")</f>
        <v/>
      </c>
      <c r="P597" s="32" t="str">
        <f>IFERROR(INDEX(Table!I:O,MATCH(K597,Table!I:I,0),6),"")</f>
        <v/>
      </c>
      <c r="Q597" s="89" t="str">
        <f t="shared" si="27"/>
        <v/>
      </c>
      <c r="R597" s="89" t="str">
        <f t="shared" si="28"/>
        <v/>
      </c>
      <c r="S597" s="82"/>
      <c r="U597" s="37" t="e">
        <f t="shared" si="29"/>
        <v>#VALUE!</v>
      </c>
    </row>
    <row r="598" spans="1:21" x14ac:dyDescent="0.25">
      <c r="A598" s="31" t="str">
        <f>IF(Table!A598 = "","",Table!A598)</f>
        <v/>
      </c>
      <c r="B598" s="31" t="str">
        <f>IF(Table!B598 = "","",Table!B598)</f>
        <v/>
      </c>
      <c r="C598" s="31" t="str">
        <f>IF(Table!C598 = "","",Table!C598)</f>
        <v/>
      </c>
      <c r="D598" s="32" t="str">
        <f>IF(Table!D598 = "","",Table!D598)</f>
        <v/>
      </c>
      <c r="E598" s="32" t="str">
        <f>IF(Table!E598 = "","",Table!E598)</f>
        <v/>
      </c>
      <c r="F598" s="32" t="str">
        <f>IF(Table!F598 = "","",Table!F598)</f>
        <v/>
      </c>
      <c r="G598" s="91"/>
      <c r="I598" s="84" t="str">
        <f>IFERROR(VLOOKUP(A598,Downlink!A:L,12,TRUE),"")</f>
        <v/>
      </c>
      <c r="K598" s="31" t="str">
        <f>IFERROR(VLOOKUP(A598,Table!$I$4:$O$3000,1,TRUE),"")</f>
        <v/>
      </c>
      <c r="L598" s="31" t="str">
        <f>IFERROR(INDEX(Table!I:O,MATCH(K598,Table!I:I,0),2),"")</f>
        <v/>
      </c>
      <c r="M598" s="31" t="str">
        <f>IFERROR(INDEX(Table!I:O,MATCH(K598,Table!I:I,0),3),"")</f>
        <v/>
      </c>
      <c r="N598" s="32" t="str">
        <f>IFERROR(INDEX(Table!I:O,MATCH(K598,Table!I:I,0),4),"")</f>
        <v/>
      </c>
      <c r="O598" s="32" t="str">
        <f>IFERROR(INDEX(Table!I:O,MATCH(K598,Table!I:I,0),5),"")</f>
        <v/>
      </c>
      <c r="P598" s="32" t="str">
        <f>IFERROR(INDEX(Table!I:O,MATCH(K598,Table!I:I,0),6),"")</f>
        <v/>
      </c>
      <c r="Q598" s="89" t="str">
        <f t="shared" si="27"/>
        <v/>
      </c>
      <c r="R598" s="89" t="str">
        <f t="shared" si="28"/>
        <v/>
      </c>
      <c r="S598" s="82"/>
      <c r="U598" s="37" t="e">
        <f t="shared" si="29"/>
        <v>#VALUE!</v>
      </c>
    </row>
    <row r="599" spans="1:21" x14ac:dyDescent="0.25">
      <c r="A599" s="31" t="str">
        <f>IF(Table!A599 = "","",Table!A599)</f>
        <v/>
      </c>
      <c r="B599" s="31" t="str">
        <f>IF(Table!B599 = "","",Table!B599)</f>
        <v/>
      </c>
      <c r="C599" s="31" t="str">
        <f>IF(Table!C599 = "","",Table!C599)</f>
        <v/>
      </c>
      <c r="D599" s="32" t="str">
        <f>IF(Table!D599 = "","",Table!D599)</f>
        <v/>
      </c>
      <c r="E599" s="32" t="str">
        <f>IF(Table!E599 = "","",Table!E599)</f>
        <v/>
      </c>
      <c r="F599" s="32" t="str">
        <f>IF(Table!F599 = "","",Table!F599)</f>
        <v/>
      </c>
      <c r="G599" s="91"/>
      <c r="I599" s="84" t="str">
        <f>IFERROR(VLOOKUP(A599,Downlink!A:L,12,TRUE),"")</f>
        <v/>
      </c>
      <c r="K599" s="31" t="str">
        <f>IFERROR(VLOOKUP(A599,Table!$I$4:$O$3000,1,TRUE),"")</f>
        <v/>
      </c>
      <c r="L599" s="31" t="str">
        <f>IFERROR(INDEX(Table!I:O,MATCH(K599,Table!I:I,0),2),"")</f>
        <v/>
      </c>
      <c r="M599" s="31" t="str">
        <f>IFERROR(INDEX(Table!I:O,MATCH(K599,Table!I:I,0),3),"")</f>
        <v/>
      </c>
      <c r="N599" s="32" t="str">
        <f>IFERROR(INDEX(Table!I:O,MATCH(K599,Table!I:I,0),4),"")</f>
        <v/>
      </c>
      <c r="O599" s="32" t="str">
        <f>IFERROR(INDEX(Table!I:O,MATCH(K599,Table!I:I,0),5),"")</f>
        <v/>
      </c>
      <c r="P599" s="32" t="str">
        <f>IFERROR(INDEX(Table!I:O,MATCH(K599,Table!I:I,0),6),"")</f>
        <v/>
      </c>
      <c r="Q599" s="89" t="str">
        <f t="shared" si="27"/>
        <v/>
      </c>
      <c r="R599" s="89" t="str">
        <f t="shared" si="28"/>
        <v/>
      </c>
      <c r="S599" s="82"/>
      <c r="U599" s="37" t="e">
        <f t="shared" si="29"/>
        <v>#VALUE!</v>
      </c>
    </row>
    <row r="600" spans="1:21" x14ac:dyDescent="0.25">
      <c r="A600" s="31" t="str">
        <f>IF(Table!A600 = "","",Table!A600)</f>
        <v/>
      </c>
      <c r="B600" s="31" t="str">
        <f>IF(Table!B600 = "","",Table!B600)</f>
        <v/>
      </c>
      <c r="C600" s="31" t="str">
        <f>IF(Table!C600 = "","",Table!C600)</f>
        <v/>
      </c>
      <c r="D600" s="32" t="str">
        <f>IF(Table!D600 = "","",Table!D600)</f>
        <v/>
      </c>
      <c r="E600" s="32" t="str">
        <f>IF(Table!E600 = "","",Table!E600)</f>
        <v/>
      </c>
      <c r="F600" s="32" t="str">
        <f>IF(Table!F600 = "","",Table!F600)</f>
        <v/>
      </c>
      <c r="G600" s="91"/>
      <c r="I600" s="84" t="str">
        <f>IFERROR(VLOOKUP(A600,Downlink!A:L,12,TRUE),"")</f>
        <v/>
      </c>
      <c r="K600" s="31" t="str">
        <f>IFERROR(VLOOKUP(A600,Table!$I$4:$O$3000,1,TRUE),"")</f>
        <v/>
      </c>
      <c r="L600" s="31" t="str">
        <f>IFERROR(INDEX(Table!I:O,MATCH(K600,Table!I:I,0),2),"")</f>
        <v/>
      </c>
      <c r="M600" s="31" t="str">
        <f>IFERROR(INDEX(Table!I:O,MATCH(K600,Table!I:I,0),3),"")</f>
        <v/>
      </c>
      <c r="N600" s="32" t="str">
        <f>IFERROR(INDEX(Table!I:O,MATCH(K600,Table!I:I,0),4),"")</f>
        <v/>
      </c>
      <c r="O600" s="32" t="str">
        <f>IFERROR(INDEX(Table!I:O,MATCH(K600,Table!I:I,0),5),"")</f>
        <v/>
      </c>
      <c r="P600" s="32" t="str">
        <f>IFERROR(INDEX(Table!I:O,MATCH(K600,Table!I:I,0),6),"")</f>
        <v/>
      </c>
      <c r="Q600" s="89" t="str">
        <f t="shared" si="27"/>
        <v/>
      </c>
      <c r="R600" s="89" t="str">
        <f t="shared" si="28"/>
        <v/>
      </c>
      <c r="S600" s="82"/>
      <c r="U600" s="37" t="e">
        <f t="shared" si="29"/>
        <v>#VALUE!</v>
      </c>
    </row>
    <row r="601" spans="1:21" x14ac:dyDescent="0.25">
      <c r="A601" s="31" t="str">
        <f>IF(Table!A601 = "","",Table!A601)</f>
        <v/>
      </c>
      <c r="B601" s="31" t="str">
        <f>IF(Table!B601 = "","",Table!B601)</f>
        <v/>
      </c>
      <c r="C601" s="31" t="str">
        <f>IF(Table!C601 = "","",Table!C601)</f>
        <v/>
      </c>
      <c r="D601" s="32" t="str">
        <f>IF(Table!D601 = "","",Table!D601)</f>
        <v/>
      </c>
      <c r="E601" s="32" t="str">
        <f>IF(Table!E601 = "","",Table!E601)</f>
        <v/>
      </c>
      <c r="F601" s="32" t="str">
        <f>IF(Table!F601 = "","",Table!F601)</f>
        <v/>
      </c>
      <c r="G601" s="91"/>
      <c r="I601" s="84" t="str">
        <f>IFERROR(VLOOKUP(A601,Downlink!A:L,12,TRUE),"")</f>
        <v/>
      </c>
      <c r="K601" s="31" t="str">
        <f>IFERROR(VLOOKUP(A601,Table!$I$4:$O$3000,1,TRUE),"")</f>
        <v/>
      </c>
      <c r="L601" s="31" t="str">
        <f>IFERROR(INDEX(Table!I:O,MATCH(K601,Table!I:I,0),2),"")</f>
        <v/>
      </c>
      <c r="M601" s="31" t="str">
        <f>IFERROR(INDEX(Table!I:O,MATCH(K601,Table!I:I,0),3),"")</f>
        <v/>
      </c>
      <c r="N601" s="32" t="str">
        <f>IFERROR(INDEX(Table!I:O,MATCH(K601,Table!I:I,0),4),"")</f>
        <v/>
      </c>
      <c r="O601" s="32" t="str">
        <f>IFERROR(INDEX(Table!I:O,MATCH(K601,Table!I:I,0),5),"")</f>
        <v/>
      </c>
      <c r="P601" s="32" t="str">
        <f>IFERROR(INDEX(Table!I:O,MATCH(K601,Table!I:I,0),6),"")</f>
        <v/>
      </c>
      <c r="Q601" s="89" t="str">
        <f t="shared" si="27"/>
        <v/>
      </c>
      <c r="R601" s="89" t="str">
        <f t="shared" si="28"/>
        <v/>
      </c>
      <c r="S601" s="82"/>
      <c r="U601" s="37" t="e">
        <f t="shared" si="29"/>
        <v>#VALUE!</v>
      </c>
    </row>
    <row r="602" spans="1:21" x14ac:dyDescent="0.25">
      <c r="A602" s="31" t="str">
        <f>IF(Table!A602 = "","",Table!A602)</f>
        <v/>
      </c>
      <c r="B602" s="31" t="str">
        <f>IF(Table!B602 = "","",Table!B602)</f>
        <v/>
      </c>
      <c r="C602" s="31" t="str">
        <f>IF(Table!C602 = "","",Table!C602)</f>
        <v/>
      </c>
      <c r="D602" s="32" t="str">
        <f>IF(Table!D602 = "","",Table!D602)</f>
        <v/>
      </c>
      <c r="E602" s="32" t="str">
        <f>IF(Table!E602 = "","",Table!E602)</f>
        <v/>
      </c>
      <c r="F602" s="32" t="str">
        <f>IF(Table!F602 = "","",Table!F602)</f>
        <v/>
      </c>
      <c r="G602" s="91"/>
      <c r="I602" s="84" t="str">
        <f>IFERROR(VLOOKUP(A602,Downlink!A:L,12,TRUE),"")</f>
        <v/>
      </c>
      <c r="K602" s="31" t="str">
        <f>IFERROR(VLOOKUP(A602,Table!$I$4:$O$3000,1,TRUE),"")</f>
        <v/>
      </c>
      <c r="L602" s="31" t="str">
        <f>IFERROR(INDEX(Table!I:O,MATCH(K602,Table!I:I,0),2),"")</f>
        <v/>
      </c>
      <c r="M602" s="31" t="str">
        <f>IFERROR(INDEX(Table!I:O,MATCH(K602,Table!I:I,0),3),"")</f>
        <v/>
      </c>
      <c r="N602" s="32" t="str">
        <f>IFERROR(INDEX(Table!I:O,MATCH(K602,Table!I:I,0),4),"")</f>
        <v/>
      </c>
      <c r="O602" s="32" t="str">
        <f>IFERROR(INDEX(Table!I:O,MATCH(K602,Table!I:I,0),5),"")</f>
        <v/>
      </c>
      <c r="P602" s="32" t="str">
        <f>IFERROR(INDEX(Table!I:O,MATCH(K602,Table!I:I,0),6),"")</f>
        <v/>
      </c>
      <c r="Q602" s="89" t="str">
        <f t="shared" si="27"/>
        <v/>
      </c>
      <c r="R602" s="89" t="str">
        <f t="shared" si="28"/>
        <v/>
      </c>
      <c r="S602" s="82"/>
      <c r="U602" s="37" t="e">
        <f t="shared" si="29"/>
        <v>#VALUE!</v>
      </c>
    </row>
    <row r="603" spans="1:21" x14ac:dyDescent="0.25">
      <c r="A603" s="31" t="str">
        <f>IF(Table!A603 = "","",Table!A603)</f>
        <v/>
      </c>
      <c r="B603" s="31" t="str">
        <f>IF(Table!B603 = "","",Table!B603)</f>
        <v/>
      </c>
      <c r="C603" s="31" t="str">
        <f>IF(Table!C603 = "","",Table!C603)</f>
        <v/>
      </c>
      <c r="D603" s="32" t="str">
        <f>IF(Table!D603 = "","",Table!D603)</f>
        <v/>
      </c>
      <c r="E603" s="32" t="str">
        <f>IF(Table!E603 = "","",Table!E603)</f>
        <v/>
      </c>
      <c r="F603" s="32" t="str">
        <f>IF(Table!F603 = "","",Table!F603)</f>
        <v/>
      </c>
      <c r="G603" s="91"/>
      <c r="I603" s="84" t="str">
        <f>IFERROR(VLOOKUP(A603,Downlink!A:L,12,TRUE),"")</f>
        <v/>
      </c>
      <c r="K603" s="31" t="str">
        <f>IFERROR(VLOOKUP(A603,Table!$I$4:$O$3000,1,TRUE),"")</f>
        <v/>
      </c>
      <c r="L603" s="31" t="str">
        <f>IFERROR(INDEX(Table!I:O,MATCH(K603,Table!I:I,0),2),"")</f>
        <v/>
      </c>
      <c r="M603" s="31" t="str">
        <f>IFERROR(INDEX(Table!I:O,MATCH(K603,Table!I:I,0),3),"")</f>
        <v/>
      </c>
      <c r="N603" s="32" t="str">
        <f>IFERROR(INDEX(Table!I:O,MATCH(K603,Table!I:I,0),4),"")</f>
        <v/>
      </c>
      <c r="O603" s="32" t="str">
        <f>IFERROR(INDEX(Table!I:O,MATCH(K603,Table!I:I,0),5),"")</f>
        <v/>
      </c>
      <c r="P603" s="32" t="str">
        <f>IFERROR(INDEX(Table!I:O,MATCH(K603,Table!I:I,0),6),"")</f>
        <v/>
      </c>
      <c r="Q603" s="89" t="str">
        <f t="shared" si="27"/>
        <v/>
      </c>
      <c r="R603" s="89" t="str">
        <f t="shared" si="28"/>
        <v/>
      </c>
      <c r="S603" s="82"/>
      <c r="U603" s="37" t="e">
        <f t="shared" si="29"/>
        <v>#VALUE!</v>
      </c>
    </row>
    <row r="604" spans="1:21" x14ac:dyDescent="0.25">
      <c r="A604" s="31" t="str">
        <f>IF(Table!A604 = "","",Table!A604)</f>
        <v/>
      </c>
      <c r="B604" s="31" t="str">
        <f>IF(Table!B604 = "","",Table!B604)</f>
        <v/>
      </c>
      <c r="C604" s="31" t="str">
        <f>IF(Table!C604 = "","",Table!C604)</f>
        <v/>
      </c>
      <c r="D604" s="32" t="str">
        <f>IF(Table!D604 = "","",Table!D604)</f>
        <v/>
      </c>
      <c r="E604" s="32" t="str">
        <f>IF(Table!E604 = "","",Table!E604)</f>
        <v/>
      </c>
      <c r="F604" s="32" t="str">
        <f>IF(Table!F604 = "","",Table!F604)</f>
        <v/>
      </c>
      <c r="G604" s="91"/>
      <c r="I604" s="84" t="str">
        <f>IFERROR(VLOOKUP(A604,Downlink!A:L,12,TRUE),"")</f>
        <v/>
      </c>
      <c r="K604" s="31" t="str">
        <f>IFERROR(VLOOKUP(A604,Table!$I$4:$O$3000,1,TRUE),"")</f>
        <v/>
      </c>
      <c r="L604" s="31" t="str">
        <f>IFERROR(INDEX(Table!I:O,MATCH(K604,Table!I:I,0),2),"")</f>
        <v/>
      </c>
      <c r="M604" s="31" t="str">
        <f>IFERROR(INDEX(Table!I:O,MATCH(K604,Table!I:I,0),3),"")</f>
        <v/>
      </c>
      <c r="N604" s="32" t="str">
        <f>IFERROR(INDEX(Table!I:O,MATCH(K604,Table!I:I,0),4),"")</f>
        <v/>
      </c>
      <c r="O604" s="32" t="str">
        <f>IFERROR(INDEX(Table!I:O,MATCH(K604,Table!I:I,0),5),"")</f>
        <v/>
      </c>
      <c r="P604" s="32" t="str">
        <f>IFERROR(INDEX(Table!I:O,MATCH(K604,Table!I:I,0),6),"")</f>
        <v/>
      </c>
      <c r="Q604" s="89" t="str">
        <f t="shared" si="27"/>
        <v/>
      </c>
      <c r="R604" s="89" t="str">
        <f t="shared" si="28"/>
        <v/>
      </c>
      <c r="S604" s="82"/>
      <c r="U604" s="37" t="e">
        <f t="shared" si="29"/>
        <v>#VALUE!</v>
      </c>
    </row>
    <row r="605" spans="1:21" x14ac:dyDescent="0.25">
      <c r="A605" s="31" t="str">
        <f>IF(Table!A605 = "","",Table!A605)</f>
        <v/>
      </c>
      <c r="B605" s="31" t="str">
        <f>IF(Table!B605 = "","",Table!B605)</f>
        <v/>
      </c>
      <c r="C605" s="31" t="str">
        <f>IF(Table!C605 = "","",Table!C605)</f>
        <v/>
      </c>
      <c r="D605" s="32" t="str">
        <f>IF(Table!D605 = "","",Table!D605)</f>
        <v/>
      </c>
      <c r="E605" s="32" t="str">
        <f>IF(Table!E605 = "","",Table!E605)</f>
        <v/>
      </c>
      <c r="F605" s="32" t="str">
        <f>IF(Table!F605 = "","",Table!F605)</f>
        <v/>
      </c>
      <c r="G605" s="91"/>
      <c r="I605" s="84" t="str">
        <f>IFERROR(VLOOKUP(A605,Downlink!A:L,12,TRUE),"")</f>
        <v/>
      </c>
      <c r="K605" s="31" t="str">
        <f>IFERROR(VLOOKUP(A605,Table!$I$4:$O$3000,1,TRUE),"")</f>
        <v/>
      </c>
      <c r="L605" s="31" t="str">
        <f>IFERROR(INDEX(Table!I:O,MATCH(K605,Table!I:I,0),2),"")</f>
        <v/>
      </c>
      <c r="M605" s="31" t="str">
        <f>IFERROR(INDEX(Table!I:O,MATCH(K605,Table!I:I,0),3),"")</f>
        <v/>
      </c>
      <c r="N605" s="32" t="str">
        <f>IFERROR(INDEX(Table!I:O,MATCH(K605,Table!I:I,0),4),"")</f>
        <v/>
      </c>
      <c r="O605" s="32" t="str">
        <f>IFERROR(INDEX(Table!I:O,MATCH(K605,Table!I:I,0),5),"")</f>
        <v/>
      </c>
      <c r="P605" s="32" t="str">
        <f>IFERROR(INDEX(Table!I:O,MATCH(K605,Table!I:I,0),6),"")</f>
        <v/>
      </c>
      <c r="Q605" s="89" t="str">
        <f t="shared" si="27"/>
        <v/>
      </c>
      <c r="R605" s="89" t="str">
        <f t="shared" si="28"/>
        <v/>
      </c>
      <c r="S605" s="82"/>
      <c r="U605" s="37" t="e">
        <f t="shared" si="29"/>
        <v>#VALUE!</v>
      </c>
    </row>
    <row r="606" spans="1:21" x14ac:dyDescent="0.25">
      <c r="A606" s="31" t="str">
        <f>IF(Table!A606 = "","",Table!A606)</f>
        <v/>
      </c>
      <c r="B606" s="31" t="str">
        <f>IF(Table!B606 = "","",Table!B606)</f>
        <v/>
      </c>
      <c r="C606" s="31" t="str">
        <f>IF(Table!C606 = "","",Table!C606)</f>
        <v/>
      </c>
      <c r="D606" s="32" t="str">
        <f>IF(Table!D606 = "","",Table!D606)</f>
        <v/>
      </c>
      <c r="E606" s="32" t="str">
        <f>IF(Table!E606 = "","",Table!E606)</f>
        <v/>
      </c>
      <c r="F606" s="32" t="str">
        <f>IF(Table!F606 = "","",Table!F606)</f>
        <v/>
      </c>
      <c r="G606" s="91"/>
      <c r="I606" s="84" t="str">
        <f>IFERROR(VLOOKUP(A606,Downlink!A:L,12,TRUE),"")</f>
        <v/>
      </c>
      <c r="K606" s="31" t="str">
        <f>IFERROR(VLOOKUP(A606,Table!$I$4:$O$3000,1,TRUE),"")</f>
        <v/>
      </c>
      <c r="L606" s="31" t="str">
        <f>IFERROR(INDEX(Table!I:O,MATCH(K606,Table!I:I,0),2),"")</f>
        <v/>
      </c>
      <c r="M606" s="31" t="str">
        <f>IFERROR(INDEX(Table!I:O,MATCH(K606,Table!I:I,0),3),"")</f>
        <v/>
      </c>
      <c r="N606" s="32" t="str">
        <f>IFERROR(INDEX(Table!I:O,MATCH(K606,Table!I:I,0),4),"")</f>
        <v/>
      </c>
      <c r="O606" s="32" t="str">
        <f>IFERROR(INDEX(Table!I:O,MATCH(K606,Table!I:I,0),5),"")</f>
        <v/>
      </c>
      <c r="P606" s="32" t="str">
        <f>IFERROR(INDEX(Table!I:O,MATCH(K606,Table!I:I,0),6),"")</f>
        <v/>
      </c>
      <c r="Q606" s="89" t="str">
        <f t="shared" si="27"/>
        <v/>
      </c>
      <c r="R606" s="89" t="str">
        <f t="shared" si="28"/>
        <v/>
      </c>
      <c r="S606" s="82"/>
      <c r="U606" s="37" t="e">
        <f t="shared" si="29"/>
        <v>#VALUE!</v>
      </c>
    </row>
    <row r="607" spans="1:21" x14ac:dyDescent="0.25">
      <c r="A607" s="31" t="str">
        <f>IF(Table!A607 = "","",Table!A607)</f>
        <v/>
      </c>
      <c r="B607" s="31" t="str">
        <f>IF(Table!B607 = "","",Table!B607)</f>
        <v/>
      </c>
      <c r="C607" s="31" t="str">
        <f>IF(Table!C607 = "","",Table!C607)</f>
        <v/>
      </c>
      <c r="D607" s="32" t="str">
        <f>IF(Table!D607 = "","",Table!D607)</f>
        <v/>
      </c>
      <c r="E607" s="32" t="str">
        <f>IF(Table!E607 = "","",Table!E607)</f>
        <v/>
      </c>
      <c r="F607" s="32" t="str">
        <f>IF(Table!F607 = "","",Table!F607)</f>
        <v/>
      </c>
      <c r="G607" s="91"/>
      <c r="I607" s="84" t="str">
        <f>IFERROR(VLOOKUP(A607,Downlink!A:L,12,TRUE),"")</f>
        <v/>
      </c>
      <c r="K607" s="31" t="str">
        <f>IFERROR(VLOOKUP(A607,Table!$I$4:$O$3000,1,TRUE),"")</f>
        <v/>
      </c>
      <c r="L607" s="31" t="str">
        <f>IFERROR(INDEX(Table!I:O,MATCH(K607,Table!I:I,0),2),"")</f>
        <v/>
      </c>
      <c r="M607" s="31" t="str">
        <f>IFERROR(INDEX(Table!I:O,MATCH(K607,Table!I:I,0),3),"")</f>
        <v/>
      </c>
      <c r="N607" s="32" t="str">
        <f>IFERROR(INDEX(Table!I:O,MATCH(K607,Table!I:I,0),4),"")</f>
        <v/>
      </c>
      <c r="O607" s="32" t="str">
        <f>IFERROR(INDEX(Table!I:O,MATCH(K607,Table!I:I,0),5),"")</f>
        <v/>
      </c>
      <c r="P607" s="32" t="str">
        <f>IFERROR(INDEX(Table!I:O,MATCH(K607,Table!I:I,0),6),"")</f>
        <v/>
      </c>
      <c r="Q607" s="89" t="str">
        <f t="shared" si="27"/>
        <v/>
      </c>
      <c r="R607" s="89" t="str">
        <f t="shared" si="28"/>
        <v/>
      </c>
      <c r="S607" s="82"/>
      <c r="U607" s="37" t="e">
        <f t="shared" si="29"/>
        <v>#VALUE!</v>
      </c>
    </row>
    <row r="608" spans="1:21" x14ac:dyDescent="0.25">
      <c r="A608" s="31" t="str">
        <f>IF(Table!A608 = "","",Table!A608)</f>
        <v/>
      </c>
      <c r="B608" s="31" t="str">
        <f>IF(Table!B608 = "","",Table!B608)</f>
        <v/>
      </c>
      <c r="C608" s="31" t="str">
        <f>IF(Table!C608 = "","",Table!C608)</f>
        <v/>
      </c>
      <c r="D608" s="32" t="str">
        <f>IF(Table!D608 = "","",Table!D608)</f>
        <v/>
      </c>
      <c r="E608" s="32" t="str">
        <f>IF(Table!E608 = "","",Table!E608)</f>
        <v/>
      </c>
      <c r="F608" s="32" t="str">
        <f>IF(Table!F608 = "","",Table!F608)</f>
        <v/>
      </c>
      <c r="G608" s="91"/>
      <c r="I608" s="84" t="str">
        <f>IFERROR(VLOOKUP(A608,Downlink!A:L,12,TRUE),"")</f>
        <v/>
      </c>
      <c r="K608" s="31" t="str">
        <f>IFERROR(VLOOKUP(A608,Table!$I$4:$O$3000,1,TRUE),"")</f>
        <v/>
      </c>
      <c r="L608" s="31" t="str">
        <f>IFERROR(INDEX(Table!I:O,MATCH(K608,Table!I:I,0),2),"")</f>
        <v/>
      </c>
      <c r="M608" s="31" t="str">
        <f>IFERROR(INDEX(Table!I:O,MATCH(K608,Table!I:I,0),3),"")</f>
        <v/>
      </c>
      <c r="N608" s="32" t="str">
        <f>IFERROR(INDEX(Table!I:O,MATCH(K608,Table!I:I,0),4),"")</f>
        <v/>
      </c>
      <c r="O608" s="32" t="str">
        <f>IFERROR(INDEX(Table!I:O,MATCH(K608,Table!I:I,0),5),"")</f>
        <v/>
      </c>
      <c r="P608" s="32" t="str">
        <f>IFERROR(INDEX(Table!I:O,MATCH(K608,Table!I:I,0),6),"")</f>
        <v/>
      </c>
      <c r="Q608" s="89" t="str">
        <f t="shared" si="27"/>
        <v/>
      </c>
      <c r="R608" s="89" t="str">
        <f t="shared" si="28"/>
        <v/>
      </c>
      <c r="S608" s="82"/>
      <c r="U608" s="37" t="e">
        <f t="shared" si="29"/>
        <v>#VALUE!</v>
      </c>
    </row>
    <row r="609" spans="1:21" x14ac:dyDescent="0.25">
      <c r="A609" s="31" t="str">
        <f>IF(Table!A609 = "","",Table!A609)</f>
        <v/>
      </c>
      <c r="B609" s="31" t="str">
        <f>IF(Table!B609 = "","",Table!B609)</f>
        <v/>
      </c>
      <c r="C609" s="31" t="str">
        <f>IF(Table!C609 = "","",Table!C609)</f>
        <v/>
      </c>
      <c r="D609" s="32" t="str">
        <f>IF(Table!D609 = "","",Table!D609)</f>
        <v/>
      </c>
      <c r="E609" s="32" t="str">
        <f>IF(Table!E609 = "","",Table!E609)</f>
        <v/>
      </c>
      <c r="F609" s="32" t="str">
        <f>IF(Table!F609 = "","",Table!F609)</f>
        <v/>
      </c>
      <c r="G609" s="91"/>
      <c r="I609" s="84" t="str">
        <f>IFERROR(VLOOKUP(A609,Downlink!A:L,12,TRUE),"")</f>
        <v/>
      </c>
      <c r="K609" s="31" t="str">
        <f>IFERROR(VLOOKUP(A609,Table!$I$4:$O$3000,1,TRUE),"")</f>
        <v/>
      </c>
      <c r="L609" s="31" t="str">
        <f>IFERROR(INDEX(Table!I:O,MATCH(K609,Table!I:I,0),2),"")</f>
        <v/>
      </c>
      <c r="M609" s="31" t="str">
        <f>IFERROR(INDEX(Table!I:O,MATCH(K609,Table!I:I,0),3),"")</f>
        <v/>
      </c>
      <c r="N609" s="32" t="str">
        <f>IFERROR(INDEX(Table!I:O,MATCH(K609,Table!I:I,0),4),"")</f>
        <v/>
      </c>
      <c r="O609" s="32" t="str">
        <f>IFERROR(INDEX(Table!I:O,MATCH(K609,Table!I:I,0),5),"")</f>
        <v/>
      </c>
      <c r="P609" s="32" t="str">
        <f>IFERROR(INDEX(Table!I:O,MATCH(K609,Table!I:I,0),6),"")</f>
        <v/>
      </c>
      <c r="Q609" s="89" t="str">
        <f t="shared" si="27"/>
        <v/>
      </c>
      <c r="R609" s="89" t="str">
        <f t="shared" si="28"/>
        <v/>
      </c>
      <c r="S609" s="82"/>
      <c r="U609" s="37" t="e">
        <f t="shared" si="29"/>
        <v>#VALUE!</v>
      </c>
    </row>
    <row r="610" spans="1:21" x14ac:dyDescent="0.25">
      <c r="A610" s="31" t="str">
        <f>IF(Table!A610 = "","",Table!A610)</f>
        <v/>
      </c>
      <c r="B610" s="31" t="str">
        <f>IF(Table!B610 = "","",Table!B610)</f>
        <v/>
      </c>
      <c r="C610" s="31" t="str">
        <f>IF(Table!C610 = "","",Table!C610)</f>
        <v/>
      </c>
      <c r="D610" s="32" t="str">
        <f>IF(Table!D610 = "","",Table!D610)</f>
        <v/>
      </c>
      <c r="E610" s="32" t="str">
        <f>IF(Table!E610 = "","",Table!E610)</f>
        <v/>
      </c>
      <c r="F610" s="32" t="str">
        <f>IF(Table!F610 = "","",Table!F610)</f>
        <v/>
      </c>
      <c r="G610" s="91"/>
      <c r="I610" s="84" t="str">
        <f>IFERROR(VLOOKUP(A610,Downlink!A:L,12,TRUE),"")</f>
        <v/>
      </c>
      <c r="K610" s="31" t="str">
        <f>IFERROR(VLOOKUP(A610,Table!$I$4:$O$3000,1,TRUE),"")</f>
        <v/>
      </c>
      <c r="L610" s="31" t="str">
        <f>IFERROR(INDEX(Table!I:O,MATCH(K610,Table!I:I,0),2),"")</f>
        <v/>
      </c>
      <c r="M610" s="31" t="str">
        <f>IFERROR(INDEX(Table!I:O,MATCH(K610,Table!I:I,0),3),"")</f>
        <v/>
      </c>
      <c r="N610" s="32" t="str">
        <f>IFERROR(INDEX(Table!I:O,MATCH(K610,Table!I:I,0),4),"")</f>
        <v/>
      </c>
      <c r="O610" s="32" t="str">
        <f>IFERROR(INDEX(Table!I:O,MATCH(K610,Table!I:I,0),5),"")</f>
        <v/>
      </c>
      <c r="P610" s="32" t="str">
        <f>IFERROR(INDEX(Table!I:O,MATCH(K610,Table!I:I,0),6),"")</f>
        <v/>
      </c>
      <c r="Q610" s="89" t="str">
        <f t="shared" si="27"/>
        <v/>
      </c>
      <c r="R610" s="89" t="str">
        <f t="shared" si="28"/>
        <v/>
      </c>
      <c r="S610" s="82"/>
      <c r="U610" s="37" t="e">
        <f t="shared" si="29"/>
        <v>#VALUE!</v>
      </c>
    </row>
    <row r="611" spans="1:21" x14ac:dyDescent="0.25">
      <c r="A611" s="31" t="str">
        <f>IF(Table!A611 = "","",Table!A611)</f>
        <v/>
      </c>
      <c r="B611" s="31" t="str">
        <f>IF(Table!B611 = "","",Table!B611)</f>
        <v/>
      </c>
      <c r="C611" s="31" t="str">
        <f>IF(Table!C611 = "","",Table!C611)</f>
        <v/>
      </c>
      <c r="D611" s="32" t="str">
        <f>IF(Table!D611 = "","",Table!D611)</f>
        <v/>
      </c>
      <c r="E611" s="32" t="str">
        <f>IF(Table!E611 = "","",Table!E611)</f>
        <v/>
      </c>
      <c r="F611" s="32" t="str">
        <f>IF(Table!F611 = "","",Table!F611)</f>
        <v/>
      </c>
      <c r="G611" s="91"/>
      <c r="I611" s="84" t="str">
        <f>IFERROR(VLOOKUP(A611,Downlink!A:L,12,TRUE),"")</f>
        <v/>
      </c>
      <c r="K611" s="31" t="str">
        <f>IFERROR(VLOOKUP(A611,Table!$I$4:$O$3000,1,TRUE),"")</f>
        <v/>
      </c>
      <c r="L611" s="31" t="str">
        <f>IFERROR(INDEX(Table!I:O,MATCH(K611,Table!I:I,0),2),"")</f>
        <v/>
      </c>
      <c r="M611" s="31" t="str">
        <f>IFERROR(INDEX(Table!I:O,MATCH(K611,Table!I:I,0),3),"")</f>
        <v/>
      </c>
      <c r="N611" s="32" t="str">
        <f>IFERROR(INDEX(Table!I:O,MATCH(K611,Table!I:I,0),4),"")</f>
        <v/>
      </c>
      <c r="O611" s="32" t="str">
        <f>IFERROR(INDEX(Table!I:O,MATCH(K611,Table!I:I,0),5),"")</f>
        <v/>
      </c>
      <c r="P611" s="32" t="str">
        <f>IFERROR(INDEX(Table!I:O,MATCH(K611,Table!I:I,0),6),"")</f>
        <v/>
      </c>
      <c r="Q611" s="89" t="str">
        <f t="shared" si="27"/>
        <v/>
      </c>
      <c r="R611" s="89" t="str">
        <f t="shared" si="28"/>
        <v/>
      </c>
      <c r="S611" s="82"/>
      <c r="U611" s="37" t="e">
        <f t="shared" si="29"/>
        <v>#VALUE!</v>
      </c>
    </row>
    <row r="612" spans="1:21" x14ac:dyDescent="0.25">
      <c r="A612" s="31" t="str">
        <f>IF(Table!A612 = "","",Table!A612)</f>
        <v/>
      </c>
      <c r="B612" s="31" t="str">
        <f>IF(Table!B612 = "","",Table!B612)</f>
        <v/>
      </c>
      <c r="C612" s="31" t="str">
        <f>IF(Table!C612 = "","",Table!C612)</f>
        <v/>
      </c>
      <c r="D612" s="32" t="str">
        <f>IF(Table!D612 = "","",Table!D612)</f>
        <v/>
      </c>
      <c r="E612" s="32" t="str">
        <f>IF(Table!E612 = "","",Table!E612)</f>
        <v/>
      </c>
      <c r="F612" s="32" t="str">
        <f>IF(Table!F612 = "","",Table!F612)</f>
        <v/>
      </c>
      <c r="G612" s="91"/>
      <c r="I612" s="84" t="str">
        <f>IFERROR(VLOOKUP(A612,Downlink!A:L,12,TRUE),"")</f>
        <v/>
      </c>
      <c r="K612" s="31" t="str">
        <f>IFERROR(VLOOKUP(A612,Table!$I$4:$O$3000,1,TRUE),"")</f>
        <v/>
      </c>
      <c r="L612" s="31" t="str">
        <f>IFERROR(INDEX(Table!I:O,MATCH(K612,Table!I:I,0),2),"")</f>
        <v/>
      </c>
      <c r="M612" s="31" t="str">
        <f>IFERROR(INDEX(Table!I:O,MATCH(K612,Table!I:I,0),3),"")</f>
        <v/>
      </c>
      <c r="N612" s="32" t="str">
        <f>IFERROR(INDEX(Table!I:O,MATCH(K612,Table!I:I,0),4),"")</f>
        <v/>
      </c>
      <c r="O612" s="32" t="str">
        <f>IFERROR(INDEX(Table!I:O,MATCH(K612,Table!I:I,0),5),"")</f>
        <v/>
      </c>
      <c r="P612" s="32" t="str">
        <f>IFERROR(INDEX(Table!I:O,MATCH(K612,Table!I:I,0),6),"")</f>
        <v/>
      </c>
      <c r="Q612" s="89" t="str">
        <f t="shared" si="27"/>
        <v/>
      </c>
      <c r="R612" s="89" t="str">
        <f t="shared" si="28"/>
        <v/>
      </c>
      <c r="S612" s="82"/>
      <c r="U612" s="37" t="e">
        <f t="shared" si="29"/>
        <v>#VALUE!</v>
      </c>
    </row>
    <row r="613" spans="1:21" x14ac:dyDescent="0.25">
      <c r="A613" s="31" t="str">
        <f>IF(Table!A613 = "","",Table!A613)</f>
        <v/>
      </c>
      <c r="B613" s="31" t="str">
        <f>IF(Table!B613 = "","",Table!B613)</f>
        <v/>
      </c>
      <c r="C613" s="31" t="str">
        <f>IF(Table!C613 = "","",Table!C613)</f>
        <v/>
      </c>
      <c r="D613" s="32" t="str">
        <f>IF(Table!D613 = "","",Table!D613)</f>
        <v/>
      </c>
      <c r="E613" s="32" t="str">
        <f>IF(Table!E613 = "","",Table!E613)</f>
        <v/>
      </c>
      <c r="F613" s="32" t="str">
        <f>IF(Table!F613 = "","",Table!F613)</f>
        <v/>
      </c>
      <c r="G613" s="91"/>
      <c r="I613" s="84" t="str">
        <f>IFERROR(VLOOKUP(A613,Downlink!A:L,12,TRUE),"")</f>
        <v/>
      </c>
      <c r="K613" s="31" t="str">
        <f>IFERROR(VLOOKUP(A613,Table!$I$4:$O$3000,1,TRUE),"")</f>
        <v/>
      </c>
      <c r="L613" s="31" t="str">
        <f>IFERROR(INDEX(Table!I:O,MATCH(K613,Table!I:I,0),2),"")</f>
        <v/>
      </c>
      <c r="M613" s="31" t="str">
        <f>IFERROR(INDEX(Table!I:O,MATCH(K613,Table!I:I,0),3),"")</f>
        <v/>
      </c>
      <c r="N613" s="32" t="str">
        <f>IFERROR(INDEX(Table!I:O,MATCH(K613,Table!I:I,0),4),"")</f>
        <v/>
      </c>
      <c r="O613" s="32" t="str">
        <f>IFERROR(INDEX(Table!I:O,MATCH(K613,Table!I:I,0),5),"")</f>
        <v/>
      </c>
      <c r="P613" s="32" t="str">
        <f>IFERROR(INDEX(Table!I:O,MATCH(K613,Table!I:I,0),6),"")</f>
        <v/>
      </c>
      <c r="Q613" s="89" t="str">
        <f t="shared" si="27"/>
        <v/>
      </c>
      <c r="R613" s="89" t="str">
        <f t="shared" si="28"/>
        <v/>
      </c>
      <c r="S613" s="82"/>
      <c r="U613" s="37" t="e">
        <f t="shared" si="29"/>
        <v>#VALUE!</v>
      </c>
    </row>
    <row r="614" spans="1:21" x14ac:dyDescent="0.25">
      <c r="A614" s="31" t="str">
        <f>IF(Table!A614 = "","",Table!A614)</f>
        <v/>
      </c>
      <c r="B614" s="31" t="str">
        <f>IF(Table!B614 = "","",Table!B614)</f>
        <v/>
      </c>
      <c r="C614" s="31" t="str">
        <f>IF(Table!C614 = "","",Table!C614)</f>
        <v/>
      </c>
      <c r="D614" s="32" t="str">
        <f>IF(Table!D614 = "","",Table!D614)</f>
        <v/>
      </c>
      <c r="E614" s="32" t="str">
        <f>IF(Table!E614 = "","",Table!E614)</f>
        <v/>
      </c>
      <c r="F614" s="32" t="str">
        <f>IF(Table!F614 = "","",Table!F614)</f>
        <v/>
      </c>
      <c r="G614" s="91"/>
      <c r="I614" s="84" t="str">
        <f>IFERROR(VLOOKUP(A614,Downlink!A:L,12,TRUE),"")</f>
        <v/>
      </c>
      <c r="K614" s="31" t="str">
        <f>IFERROR(VLOOKUP(A614,Table!$I$4:$O$3000,1,TRUE),"")</f>
        <v/>
      </c>
      <c r="L614" s="31" t="str">
        <f>IFERROR(INDEX(Table!I:O,MATCH(K614,Table!I:I,0),2),"")</f>
        <v/>
      </c>
      <c r="M614" s="31" t="str">
        <f>IFERROR(INDEX(Table!I:O,MATCH(K614,Table!I:I,0),3),"")</f>
        <v/>
      </c>
      <c r="N614" s="32" t="str">
        <f>IFERROR(INDEX(Table!I:O,MATCH(K614,Table!I:I,0),4),"")</f>
        <v/>
      </c>
      <c r="O614" s="32" t="str">
        <f>IFERROR(INDEX(Table!I:O,MATCH(K614,Table!I:I,0),5),"")</f>
        <v/>
      </c>
      <c r="P614" s="32" t="str">
        <f>IFERROR(INDEX(Table!I:O,MATCH(K614,Table!I:I,0),6),"")</f>
        <v/>
      </c>
      <c r="Q614" s="89" t="str">
        <f t="shared" si="27"/>
        <v/>
      </c>
      <c r="R614" s="89" t="str">
        <f t="shared" si="28"/>
        <v/>
      </c>
      <c r="S614" s="82"/>
      <c r="U614" s="37" t="e">
        <f t="shared" si="29"/>
        <v>#VALUE!</v>
      </c>
    </row>
    <row r="615" spans="1:21" x14ac:dyDescent="0.25">
      <c r="A615" s="31" t="str">
        <f>IF(Table!A615 = "","",Table!A615)</f>
        <v/>
      </c>
      <c r="B615" s="31" t="str">
        <f>IF(Table!B615 = "","",Table!B615)</f>
        <v/>
      </c>
      <c r="C615" s="31" t="str">
        <f>IF(Table!C615 = "","",Table!C615)</f>
        <v/>
      </c>
      <c r="D615" s="32" t="str">
        <f>IF(Table!D615 = "","",Table!D615)</f>
        <v/>
      </c>
      <c r="E615" s="32" t="str">
        <f>IF(Table!E615 = "","",Table!E615)</f>
        <v/>
      </c>
      <c r="F615" s="32" t="str">
        <f>IF(Table!F615 = "","",Table!F615)</f>
        <v/>
      </c>
      <c r="G615" s="91"/>
      <c r="I615" s="84" t="str">
        <f>IFERROR(VLOOKUP(A615,Downlink!A:L,12,TRUE),"")</f>
        <v/>
      </c>
      <c r="K615" s="31" t="str">
        <f>IFERROR(VLOOKUP(A615,Table!$I$4:$O$3000,1,TRUE),"")</f>
        <v/>
      </c>
      <c r="L615" s="31" t="str">
        <f>IFERROR(INDEX(Table!I:O,MATCH(K615,Table!I:I,0),2),"")</f>
        <v/>
      </c>
      <c r="M615" s="31" t="str">
        <f>IFERROR(INDEX(Table!I:O,MATCH(K615,Table!I:I,0),3),"")</f>
        <v/>
      </c>
      <c r="N615" s="32" t="str">
        <f>IFERROR(INDEX(Table!I:O,MATCH(K615,Table!I:I,0),4),"")</f>
        <v/>
      </c>
      <c r="O615" s="32" t="str">
        <f>IFERROR(INDEX(Table!I:O,MATCH(K615,Table!I:I,0),5),"")</f>
        <v/>
      </c>
      <c r="P615" s="32" t="str">
        <f>IFERROR(INDEX(Table!I:O,MATCH(K615,Table!I:I,0),6),"")</f>
        <v/>
      </c>
      <c r="Q615" s="89" t="str">
        <f t="shared" si="27"/>
        <v/>
      </c>
      <c r="R615" s="89" t="str">
        <f t="shared" si="28"/>
        <v/>
      </c>
      <c r="S615" s="82"/>
      <c r="U615" s="37" t="e">
        <f t="shared" si="29"/>
        <v>#VALUE!</v>
      </c>
    </row>
    <row r="616" spans="1:21" x14ac:dyDescent="0.25">
      <c r="A616" s="31" t="str">
        <f>IF(Table!A616 = "","",Table!A616)</f>
        <v/>
      </c>
      <c r="B616" s="31" t="str">
        <f>IF(Table!B616 = "","",Table!B616)</f>
        <v/>
      </c>
      <c r="C616" s="31" t="str">
        <f>IF(Table!C616 = "","",Table!C616)</f>
        <v/>
      </c>
      <c r="D616" s="32" t="str">
        <f>IF(Table!D616 = "","",Table!D616)</f>
        <v/>
      </c>
      <c r="E616" s="32" t="str">
        <f>IF(Table!E616 = "","",Table!E616)</f>
        <v/>
      </c>
      <c r="F616" s="32" t="str">
        <f>IF(Table!F616 = "","",Table!F616)</f>
        <v/>
      </c>
      <c r="G616" s="91"/>
      <c r="I616" s="84" t="str">
        <f>IFERROR(VLOOKUP(A616,Downlink!A:L,12,TRUE),"")</f>
        <v/>
      </c>
      <c r="K616" s="31" t="str">
        <f>IFERROR(VLOOKUP(A616,Table!$I$4:$O$3000,1,TRUE),"")</f>
        <v/>
      </c>
      <c r="L616" s="31" t="str">
        <f>IFERROR(INDEX(Table!I:O,MATCH(K616,Table!I:I,0),2),"")</f>
        <v/>
      </c>
      <c r="M616" s="31" t="str">
        <f>IFERROR(INDEX(Table!I:O,MATCH(K616,Table!I:I,0),3),"")</f>
        <v/>
      </c>
      <c r="N616" s="32" t="str">
        <f>IFERROR(INDEX(Table!I:O,MATCH(K616,Table!I:I,0),4),"")</f>
        <v/>
      </c>
      <c r="O616" s="32" t="str">
        <f>IFERROR(INDEX(Table!I:O,MATCH(K616,Table!I:I,0),5),"")</f>
        <v/>
      </c>
      <c r="P616" s="32" t="str">
        <f>IFERROR(INDEX(Table!I:O,MATCH(K616,Table!I:I,0),6),"")</f>
        <v/>
      </c>
      <c r="Q616" s="89" t="str">
        <f t="shared" si="27"/>
        <v/>
      </c>
      <c r="R616" s="89" t="str">
        <f t="shared" si="28"/>
        <v/>
      </c>
      <c r="S616" s="82"/>
      <c r="U616" s="37" t="e">
        <f t="shared" si="29"/>
        <v>#VALUE!</v>
      </c>
    </row>
    <row r="617" spans="1:21" x14ac:dyDescent="0.25">
      <c r="A617" s="31" t="str">
        <f>IF(Table!A617 = "","",Table!A617)</f>
        <v/>
      </c>
      <c r="B617" s="31" t="str">
        <f>IF(Table!B617 = "","",Table!B617)</f>
        <v/>
      </c>
      <c r="C617" s="31" t="str">
        <f>IF(Table!C617 = "","",Table!C617)</f>
        <v/>
      </c>
      <c r="D617" s="32" t="str">
        <f>IF(Table!D617 = "","",Table!D617)</f>
        <v/>
      </c>
      <c r="E617" s="32" t="str">
        <f>IF(Table!E617 = "","",Table!E617)</f>
        <v/>
      </c>
      <c r="F617" s="32" t="str">
        <f>IF(Table!F617 = "","",Table!F617)</f>
        <v/>
      </c>
      <c r="G617" s="91"/>
      <c r="I617" s="84" t="str">
        <f>IFERROR(VLOOKUP(A617,Downlink!A:L,12,TRUE),"")</f>
        <v/>
      </c>
      <c r="K617" s="31" t="str">
        <f>IFERROR(VLOOKUP(A617,Table!$I$4:$O$3000,1,TRUE),"")</f>
        <v/>
      </c>
      <c r="L617" s="31" t="str">
        <f>IFERROR(INDEX(Table!I:O,MATCH(K617,Table!I:I,0),2),"")</f>
        <v/>
      </c>
      <c r="M617" s="31" t="str">
        <f>IFERROR(INDEX(Table!I:O,MATCH(K617,Table!I:I,0),3),"")</f>
        <v/>
      </c>
      <c r="N617" s="32" t="str">
        <f>IFERROR(INDEX(Table!I:O,MATCH(K617,Table!I:I,0),4),"")</f>
        <v/>
      </c>
      <c r="O617" s="32" t="str">
        <f>IFERROR(INDEX(Table!I:O,MATCH(K617,Table!I:I,0),5),"")</f>
        <v/>
      </c>
      <c r="P617" s="32" t="str">
        <f>IFERROR(INDEX(Table!I:O,MATCH(K617,Table!I:I,0),6),"")</f>
        <v/>
      </c>
      <c r="Q617" s="89" t="str">
        <f t="shared" si="27"/>
        <v/>
      </c>
      <c r="R617" s="89" t="str">
        <f t="shared" si="28"/>
        <v/>
      </c>
      <c r="S617" s="82"/>
      <c r="U617" s="37" t="e">
        <f t="shared" si="29"/>
        <v>#VALUE!</v>
      </c>
    </row>
    <row r="618" spans="1:21" x14ac:dyDescent="0.25">
      <c r="A618" s="31" t="str">
        <f>IF(Table!A618 = "","",Table!A618)</f>
        <v/>
      </c>
      <c r="B618" s="31" t="str">
        <f>IF(Table!B618 = "","",Table!B618)</f>
        <v/>
      </c>
      <c r="C618" s="31" t="str">
        <f>IF(Table!C618 = "","",Table!C618)</f>
        <v/>
      </c>
      <c r="D618" s="32" t="str">
        <f>IF(Table!D618 = "","",Table!D618)</f>
        <v/>
      </c>
      <c r="E618" s="32" t="str">
        <f>IF(Table!E618 = "","",Table!E618)</f>
        <v/>
      </c>
      <c r="F618" s="32" t="str">
        <f>IF(Table!F618 = "","",Table!F618)</f>
        <v/>
      </c>
      <c r="G618" s="91"/>
      <c r="I618" s="84" t="str">
        <f>IFERROR(VLOOKUP(A618,Downlink!A:L,12,TRUE),"")</f>
        <v/>
      </c>
      <c r="K618" s="31" t="str">
        <f>IFERROR(VLOOKUP(A618,Table!$I$4:$O$3000,1,TRUE),"")</f>
        <v/>
      </c>
      <c r="L618" s="31" t="str">
        <f>IFERROR(INDEX(Table!I:O,MATCH(K618,Table!I:I,0),2),"")</f>
        <v/>
      </c>
      <c r="M618" s="31" t="str">
        <f>IFERROR(INDEX(Table!I:O,MATCH(K618,Table!I:I,0),3),"")</f>
        <v/>
      </c>
      <c r="N618" s="32" t="str">
        <f>IFERROR(INDEX(Table!I:O,MATCH(K618,Table!I:I,0),4),"")</f>
        <v/>
      </c>
      <c r="O618" s="32" t="str">
        <f>IFERROR(INDEX(Table!I:O,MATCH(K618,Table!I:I,0),5),"")</f>
        <v/>
      </c>
      <c r="P618" s="32" t="str">
        <f>IFERROR(INDEX(Table!I:O,MATCH(K618,Table!I:I,0),6),"")</f>
        <v/>
      </c>
      <c r="Q618" s="89" t="str">
        <f t="shared" si="27"/>
        <v/>
      </c>
      <c r="R618" s="89" t="str">
        <f t="shared" si="28"/>
        <v/>
      </c>
      <c r="S618" s="82"/>
      <c r="U618" s="37" t="e">
        <f t="shared" si="29"/>
        <v>#VALUE!</v>
      </c>
    </row>
    <row r="619" spans="1:21" x14ac:dyDescent="0.25">
      <c r="A619" s="31" t="str">
        <f>IF(Table!A619 = "","",Table!A619)</f>
        <v/>
      </c>
      <c r="B619" s="31" t="str">
        <f>IF(Table!B619 = "","",Table!B619)</f>
        <v/>
      </c>
      <c r="C619" s="31" t="str">
        <f>IF(Table!C619 = "","",Table!C619)</f>
        <v/>
      </c>
      <c r="D619" s="32" t="str">
        <f>IF(Table!D619 = "","",Table!D619)</f>
        <v/>
      </c>
      <c r="E619" s="32" t="str">
        <f>IF(Table!E619 = "","",Table!E619)</f>
        <v/>
      </c>
      <c r="F619" s="32" t="str">
        <f>IF(Table!F619 = "","",Table!F619)</f>
        <v/>
      </c>
      <c r="G619" s="91"/>
      <c r="I619" s="84" t="str">
        <f>IFERROR(VLOOKUP(A619,Downlink!A:L,12,TRUE),"")</f>
        <v/>
      </c>
      <c r="K619" s="31" t="str">
        <f>IFERROR(VLOOKUP(A619,Table!$I$4:$O$3000,1,TRUE),"")</f>
        <v/>
      </c>
      <c r="L619" s="31" t="str">
        <f>IFERROR(INDEX(Table!I:O,MATCH(K619,Table!I:I,0),2),"")</f>
        <v/>
      </c>
      <c r="M619" s="31" t="str">
        <f>IFERROR(INDEX(Table!I:O,MATCH(K619,Table!I:I,0),3),"")</f>
        <v/>
      </c>
      <c r="N619" s="32" t="str">
        <f>IFERROR(INDEX(Table!I:O,MATCH(K619,Table!I:I,0),4),"")</f>
        <v/>
      </c>
      <c r="O619" s="32" t="str">
        <f>IFERROR(INDEX(Table!I:O,MATCH(K619,Table!I:I,0),5),"")</f>
        <v/>
      </c>
      <c r="P619" s="32" t="str">
        <f>IFERROR(INDEX(Table!I:O,MATCH(K619,Table!I:I,0),6),"")</f>
        <v/>
      </c>
      <c r="Q619" s="89" t="str">
        <f t="shared" si="27"/>
        <v/>
      </c>
      <c r="R619" s="89" t="str">
        <f t="shared" si="28"/>
        <v/>
      </c>
      <c r="S619" s="82"/>
      <c r="U619" s="37" t="e">
        <f t="shared" si="29"/>
        <v>#VALUE!</v>
      </c>
    </row>
    <row r="620" spans="1:21" x14ac:dyDescent="0.25">
      <c r="A620" s="31" t="str">
        <f>IF(Table!A620 = "","",Table!A620)</f>
        <v/>
      </c>
      <c r="B620" s="31" t="str">
        <f>IF(Table!B620 = "","",Table!B620)</f>
        <v/>
      </c>
      <c r="C620" s="31" t="str">
        <f>IF(Table!C620 = "","",Table!C620)</f>
        <v/>
      </c>
      <c r="D620" s="32" t="str">
        <f>IF(Table!D620 = "","",Table!D620)</f>
        <v/>
      </c>
      <c r="E620" s="32" t="str">
        <f>IF(Table!E620 = "","",Table!E620)</f>
        <v/>
      </c>
      <c r="F620" s="32" t="str">
        <f>IF(Table!F620 = "","",Table!F620)</f>
        <v/>
      </c>
      <c r="G620" s="91"/>
      <c r="I620" s="84" t="str">
        <f>IFERROR(VLOOKUP(A620,Downlink!A:L,12,TRUE),"")</f>
        <v/>
      </c>
      <c r="K620" s="31" t="str">
        <f>IFERROR(VLOOKUP(A620,Table!$I$4:$O$3000,1,TRUE),"")</f>
        <v/>
      </c>
      <c r="L620" s="31" t="str">
        <f>IFERROR(INDEX(Table!I:O,MATCH(K620,Table!I:I,0),2),"")</f>
        <v/>
      </c>
      <c r="M620" s="31" t="str">
        <f>IFERROR(INDEX(Table!I:O,MATCH(K620,Table!I:I,0),3),"")</f>
        <v/>
      </c>
      <c r="N620" s="32" t="str">
        <f>IFERROR(INDEX(Table!I:O,MATCH(K620,Table!I:I,0),4),"")</f>
        <v/>
      </c>
      <c r="O620" s="32" t="str">
        <f>IFERROR(INDEX(Table!I:O,MATCH(K620,Table!I:I,0),5),"")</f>
        <v/>
      </c>
      <c r="P620" s="32" t="str">
        <f>IFERROR(INDEX(Table!I:O,MATCH(K620,Table!I:I,0),6),"")</f>
        <v/>
      </c>
      <c r="Q620" s="89" t="str">
        <f t="shared" si="27"/>
        <v/>
      </c>
      <c r="R620" s="89" t="str">
        <f t="shared" si="28"/>
        <v/>
      </c>
      <c r="S620" s="82"/>
      <c r="U620" s="37" t="e">
        <f t="shared" si="29"/>
        <v>#VALUE!</v>
      </c>
    </row>
    <row r="621" spans="1:21" x14ac:dyDescent="0.25">
      <c r="A621" s="31" t="str">
        <f>IF(Table!A621 = "","",Table!A621)</f>
        <v/>
      </c>
      <c r="B621" s="31" t="str">
        <f>IF(Table!B621 = "","",Table!B621)</f>
        <v/>
      </c>
      <c r="C621" s="31" t="str">
        <f>IF(Table!C621 = "","",Table!C621)</f>
        <v/>
      </c>
      <c r="D621" s="32" t="str">
        <f>IF(Table!D621 = "","",Table!D621)</f>
        <v/>
      </c>
      <c r="E621" s="32" t="str">
        <f>IF(Table!E621 = "","",Table!E621)</f>
        <v/>
      </c>
      <c r="F621" s="32" t="str">
        <f>IF(Table!F621 = "","",Table!F621)</f>
        <v/>
      </c>
      <c r="G621" s="91"/>
      <c r="I621" s="84" t="str">
        <f>IFERROR(VLOOKUP(A621,Downlink!A:L,12,TRUE),"")</f>
        <v/>
      </c>
      <c r="K621" s="31" t="str">
        <f>IFERROR(VLOOKUP(A621,Table!$I$4:$O$3000,1,TRUE),"")</f>
        <v/>
      </c>
      <c r="L621" s="31" t="str">
        <f>IFERROR(INDEX(Table!I:O,MATCH(K621,Table!I:I,0),2),"")</f>
        <v/>
      </c>
      <c r="M621" s="31" t="str">
        <f>IFERROR(INDEX(Table!I:O,MATCH(K621,Table!I:I,0),3),"")</f>
        <v/>
      </c>
      <c r="N621" s="32" t="str">
        <f>IFERROR(INDEX(Table!I:O,MATCH(K621,Table!I:I,0),4),"")</f>
        <v/>
      </c>
      <c r="O621" s="32" t="str">
        <f>IFERROR(INDEX(Table!I:O,MATCH(K621,Table!I:I,0),5),"")</f>
        <v/>
      </c>
      <c r="P621" s="32" t="str">
        <f>IFERROR(INDEX(Table!I:O,MATCH(K621,Table!I:I,0),6),"")</f>
        <v/>
      </c>
      <c r="Q621" s="89" t="str">
        <f t="shared" si="27"/>
        <v/>
      </c>
      <c r="R621" s="89" t="str">
        <f t="shared" si="28"/>
        <v/>
      </c>
      <c r="S621" s="82"/>
      <c r="U621" s="37" t="e">
        <f t="shared" si="29"/>
        <v>#VALUE!</v>
      </c>
    </row>
    <row r="622" spans="1:21" x14ac:dyDescent="0.25">
      <c r="A622" s="31" t="str">
        <f>IF(Table!A622 = "","",Table!A622)</f>
        <v/>
      </c>
      <c r="B622" s="31" t="str">
        <f>IF(Table!B622 = "","",Table!B622)</f>
        <v/>
      </c>
      <c r="C622" s="31" t="str">
        <f>IF(Table!C622 = "","",Table!C622)</f>
        <v/>
      </c>
      <c r="D622" s="32" t="str">
        <f>IF(Table!D622 = "","",Table!D622)</f>
        <v/>
      </c>
      <c r="E622" s="32" t="str">
        <f>IF(Table!E622 = "","",Table!E622)</f>
        <v/>
      </c>
      <c r="F622" s="32" t="str">
        <f>IF(Table!F622 = "","",Table!F622)</f>
        <v/>
      </c>
      <c r="G622" s="91"/>
      <c r="I622" s="84" t="str">
        <f>IFERROR(VLOOKUP(A622,Downlink!A:L,12,TRUE),"")</f>
        <v/>
      </c>
      <c r="K622" s="31" t="str">
        <f>IFERROR(VLOOKUP(A622,Table!$I$4:$O$3000,1,TRUE),"")</f>
        <v/>
      </c>
      <c r="L622" s="31" t="str">
        <f>IFERROR(INDEX(Table!I:O,MATCH(K622,Table!I:I,0),2),"")</f>
        <v/>
      </c>
      <c r="M622" s="31" t="str">
        <f>IFERROR(INDEX(Table!I:O,MATCH(K622,Table!I:I,0),3),"")</f>
        <v/>
      </c>
      <c r="N622" s="32" t="str">
        <f>IFERROR(INDEX(Table!I:O,MATCH(K622,Table!I:I,0),4),"")</f>
        <v/>
      </c>
      <c r="O622" s="32" t="str">
        <f>IFERROR(INDEX(Table!I:O,MATCH(K622,Table!I:I,0),5),"")</f>
        <v/>
      </c>
      <c r="P622" s="32" t="str">
        <f>IFERROR(INDEX(Table!I:O,MATCH(K622,Table!I:I,0),6),"")</f>
        <v/>
      </c>
      <c r="Q622" s="89" t="str">
        <f t="shared" si="27"/>
        <v/>
      </c>
      <c r="R622" s="89" t="str">
        <f t="shared" si="28"/>
        <v/>
      </c>
      <c r="S622" s="82"/>
      <c r="U622" s="37" t="e">
        <f t="shared" si="29"/>
        <v>#VALUE!</v>
      </c>
    </row>
    <row r="623" spans="1:21" x14ac:dyDescent="0.25">
      <c r="A623" s="31" t="str">
        <f>IF(Table!A623 = "","",Table!A623)</f>
        <v/>
      </c>
      <c r="B623" s="31" t="str">
        <f>IF(Table!B623 = "","",Table!B623)</f>
        <v/>
      </c>
      <c r="C623" s="31" t="str">
        <f>IF(Table!C623 = "","",Table!C623)</f>
        <v/>
      </c>
      <c r="D623" s="32" t="str">
        <f>IF(Table!D623 = "","",Table!D623)</f>
        <v/>
      </c>
      <c r="E623" s="32" t="str">
        <f>IF(Table!E623 = "","",Table!E623)</f>
        <v/>
      </c>
      <c r="F623" s="32" t="str">
        <f>IF(Table!F623 = "","",Table!F623)</f>
        <v/>
      </c>
      <c r="G623" s="91"/>
      <c r="I623" s="84" t="str">
        <f>IFERROR(VLOOKUP(A623,Downlink!A:L,12,TRUE),"")</f>
        <v/>
      </c>
      <c r="K623" s="31" t="str">
        <f>IFERROR(VLOOKUP(A623,Table!$I$4:$O$3000,1,TRUE),"")</f>
        <v/>
      </c>
      <c r="L623" s="31" t="str">
        <f>IFERROR(INDEX(Table!I:O,MATCH(K623,Table!I:I,0),2),"")</f>
        <v/>
      </c>
      <c r="M623" s="31" t="str">
        <f>IFERROR(INDEX(Table!I:O,MATCH(K623,Table!I:I,0),3),"")</f>
        <v/>
      </c>
      <c r="N623" s="32" t="str">
        <f>IFERROR(INDEX(Table!I:O,MATCH(K623,Table!I:I,0),4),"")</f>
        <v/>
      </c>
      <c r="O623" s="32" t="str">
        <f>IFERROR(INDEX(Table!I:O,MATCH(K623,Table!I:I,0),5),"")</f>
        <v/>
      </c>
      <c r="P623" s="32" t="str">
        <f>IFERROR(INDEX(Table!I:O,MATCH(K623,Table!I:I,0),6),"")</f>
        <v/>
      </c>
      <c r="Q623" s="89" t="str">
        <f t="shared" si="27"/>
        <v/>
      </c>
      <c r="R623" s="89" t="str">
        <f t="shared" si="28"/>
        <v/>
      </c>
      <c r="S623" s="82"/>
      <c r="U623" s="37" t="e">
        <f t="shared" si="29"/>
        <v>#VALUE!</v>
      </c>
    </row>
    <row r="624" spans="1:21" x14ac:dyDescent="0.25">
      <c r="A624" s="31" t="str">
        <f>IF(Table!A624 = "","",Table!A624)</f>
        <v/>
      </c>
      <c r="B624" s="31" t="str">
        <f>IF(Table!B624 = "","",Table!B624)</f>
        <v/>
      </c>
      <c r="C624" s="31" t="str">
        <f>IF(Table!C624 = "","",Table!C624)</f>
        <v/>
      </c>
      <c r="D624" s="32" t="str">
        <f>IF(Table!D624 = "","",Table!D624)</f>
        <v/>
      </c>
      <c r="E624" s="32" t="str">
        <f>IF(Table!E624 = "","",Table!E624)</f>
        <v/>
      </c>
      <c r="F624" s="32" t="str">
        <f>IF(Table!F624 = "","",Table!F624)</f>
        <v/>
      </c>
      <c r="G624" s="91"/>
      <c r="I624" s="84" t="str">
        <f>IFERROR(VLOOKUP(A624,Downlink!A:L,12,TRUE),"")</f>
        <v/>
      </c>
      <c r="K624" s="31" t="str">
        <f>IFERROR(VLOOKUP(A624,Table!$I$4:$O$3000,1,TRUE),"")</f>
        <v/>
      </c>
      <c r="L624" s="31" t="str">
        <f>IFERROR(INDEX(Table!I:O,MATCH(K624,Table!I:I,0),2),"")</f>
        <v/>
      </c>
      <c r="M624" s="31" t="str">
        <f>IFERROR(INDEX(Table!I:O,MATCH(K624,Table!I:I,0),3),"")</f>
        <v/>
      </c>
      <c r="N624" s="32" t="str">
        <f>IFERROR(INDEX(Table!I:O,MATCH(K624,Table!I:I,0),4),"")</f>
        <v/>
      </c>
      <c r="O624" s="32" t="str">
        <f>IFERROR(INDEX(Table!I:O,MATCH(K624,Table!I:I,0),5),"")</f>
        <v/>
      </c>
      <c r="P624" s="32" t="str">
        <f>IFERROR(INDEX(Table!I:O,MATCH(K624,Table!I:I,0),6),"")</f>
        <v/>
      </c>
      <c r="Q624" s="89" t="str">
        <f t="shared" si="27"/>
        <v/>
      </c>
      <c r="R624" s="89" t="str">
        <f t="shared" si="28"/>
        <v/>
      </c>
      <c r="S624" s="82"/>
      <c r="U624" s="37" t="e">
        <f t="shared" si="29"/>
        <v>#VALUE!</v>
      </c>
    </row>
    <row r="625" spans="1:21" x14ac:dyDescent="0.25">
      <c r="A625" s="31" t="str">
        <f>IF(Table!A625 = "","",Table!A625)</f>
        <v/>
      </c>
      <c r="B625" s="31" t="str">
        <f>IF(Table!B625 = "","",Table!B625)</f>
        <v/>
      </c>
      <c r="C625" s="31" t="str">
        <f>IF(Table!C625 = "","",Table!C625)</f>
        <v/>
      </c>
      <c r="D625" s="32" t="str">
        <f>IF(Table!D625 = "","",Table!D625)</f>
        <v/>
      </c>
      <c r="E625" s="32" t="str">
        <f>IF(Table!E625 = "","",Table!E625)</f>
        <v/>
      </c>
      <c r="F625" s="32" t="str">
        <f>IF(Table!F625 = "","",Table!F625)</f>
        <v/>
      </c>
      <c r="G625" s="91"/>
      <c r="I625" s="84" t="str">
        <f>IFERROR(VLOOKUP(A625,Downlink!A:L,12,TRUE),"")</f>
        <v/>
      </c>
      <c r="K625" s="31" t="str">
        <f>IFERROR(VLOOKUP(A625,Table!$I$4:$O$3000,1,TRUE),"")</f>
        <v/>
      </c>
      <c r="L625" s="31" t="str">
        <f>IFERROR(INDEX(Table!I:O,MATCH(K625,Table!I:I,0),2),"")</f>
        <v/>
      </c>
      <c r="M625" s="31" t="str">
        <f>IFERROR(INDEX(Table!I:O,MATCH(K625,Table!I:I,0),3),"")</f>
        <v/>
      </c>
      <c r="N625" s="32" t="str">
        <f>IFERROR(INDEX(Table!I:O,MATCH(K625,Table!I:I,0),4),"")</f>
        <v/>
      </c>
      <c r="O625" s="32" t="str">
        <f>IFERROR(INDEX(Table!I:O,MATCH(K625,Table!I:I,0),5),"")</f>
        <v/>
      </c>
      <c r="P625" s="32" t="str">
        <f>IFERROR(INDEX(Table!I:O,MATCH(K625,Table!I:I,0),6),"")</f>
        <v/>
      </c>
      <c r="Q625" s="89" t="str">
        <f t="shared" si="27"/>
        <v/>
      </c>
      <c r="R625" s="89" t="str">
        <f t="shared" si="28"/>
        <v/>
      </c>
      <c r="S625" s="82"/>
      <c r="U625" s="37" t="e">
        <f t="shared" si="29"/>
        <v>#VALUE!</v>
      </c>
    </row>
    <row r="626" spans="1:21" x14ac:dyDescent="0.25">
      <c r="A626" s="31" t="str">
        <f>IF(Table!A626 = "","",Table!A626)</f>
        <v/>
      </c>
      <c r="B626" s="31" t="str">
        <f>IF(Table!B626 = "","",Table!B626)</f>
        <v/>
      </c>
      <c r="C626" s="31" t="str">
        <f>IF(Table!C626 = "","",Table!C626)</f>
        <v/>
      </c>
      <c r="D626" s="32" t="str">
        <f>IF(Table!D626 = "","",Table!D626)</f>
        <v/>
      </c>
      <c r="E626" s="32" t="str">
        <f>IF(Table!E626 = "","",Table!E626)</f>
        <v/>
      </c>
      <c r="F626" s="32" t="str">
        <f>IF(Table!F626 = "","",Table!F626)</f>
        <v/>
      </c>
      <c r="G626" s="91"/>
      <c r="I626" s="84" t="str">
        <f>IFERROR(VLOOKUP(A626,Downlink!A:L,12,TRUE),"")</f>
        <v/>
      </c>
      <c r="K626" s="31" t="str">
        <f>IFERROR(VLOOKUP(A626,Table!$I$4:$O$3000,1,TRUE),"")</f>
        <v/>
      </c>
      <c r="L626" s="31" t="str">
        <f>IFERROR(INDEX(Table!I:O,MATCH(K626,Table!I:I,0),2),"")</f>
        <v/>
      </c>
      <c r="M626" s="31" t="str">
        <f>IFERROR(INDEX(Table!I:O,MATCH(K626,Table!I:I,0),3),"")</f>
        <v/>
      </c>
      <c r="N626" s="32" t="str">
        <f>IFERROR(INDEX(Table!I:O,MATCH(K626,Table!I:I,0),4),"")</f>
        <v/>
      </c>
      <c r="O626" s="32" t="str">
        <f>IFERROR(INDEX(Table!I:O,MATCH(K626,Table!I:I,0),5),"")</f>
        <v/>
      </c>
      <c r="P626" s="32" t="str">
        <f>IFERROR(INDEX(Table!I:O,MATCH(K626,Table!I:I,0),6),"")</f>
        <v/>
      </c>
      <c r="Q626" s="89" t="str">
        <f t="shared" si="27"/>
        <v/>
      </c>
      <c r="R626" s="89" t="str">
        <f t="shared" si="28"/>
        <v/>
      </c>
      <c r="S626" s="82"/>
      <c r="U626" s="37" t="e">
        <f t="shared" si="29"/>
        <v>#VALUE!</v>
      </c>
    </row>
    <row r="627" spans="1:21" x14ac:dyDescent="0.25">
      <c r="A627" s="31" t="str">
        <f>IF(Table!A627 = "","",Table!A627)</f>
        <v/>
      </c>
      <c r="B627" s="31" t="str">
        <f>IF(Table!B627 = "","",Table!B627)</f>
        <v/>
      </c>
      <c r="C627" s="31" t="str">
        <f>IF(Table!C627 = "","",Table!C627)</f>
        <v/>
      </c>
      <c r="D627" s="32" t="str">
        <f>IF(Table!D627 = "","",Table!D627)</f>
        <v/>
      </c>
      <c r="E627" s="32" t="str">
        <f>IF(Table!E627 = "","",Table!E627)</f>
        <v/>
      </c>
      <c r="F627" s="32" t="str">
        <f>IF(Table!F627 = "","",Table!F627)</f>
        <v/>
      </c>
      <c r="G627" s="91"/>
      <c r="I627" s="84" t="str">
        <f>IFERROR(VLOOKUP(A627,Downlink!A:L,12,TRUE),"")</f>
        <v/>
      </c>
      <c r="K627" s="31" t="str">
        <f>IFERROR(VLOOKUP(A627,Table!$I$4:$O$3000,1,TRUE),"")</f>
        <v/>
      </c>
      <c r="L627" s="31" t="str">
        <f>IFERROR(INDEX(Table!I:O,MATCH(K627,Table!I:I,0),2),"")</f>
        <v/>
      </c>
      <c r="M627" s="31" t="str">
        <f>IFERROR(INDEX(Table!I:O,MATCH(K627,Table!I:I,0),3),"")</f>
        <v/>
      </c>
      <c r="N627" s="32" t="str">
        <f>IFERROR(INDEX(Table!I:O,MATCH(K627,Table!I:I,0),4),"")</f>
        <v/>
      </c>
      <c r="O627" s="32" t="str">
        <f>IFERROR(INDEX(Table!I:O,MATCH(K627,Table!I:I,0),5),"")</f>
        <v/>
      </c>
      <c r="P627" s="32" t="str">
        <f>IFERROR(INDEX(Table!I:O,MATCH(K627,Table!I:I,0),6),"")</f>
        <v/>
      </c>
      <c r="Q627" s="89" t="str">
        <f t="shared" si="27"/>
        <v/>
      </c>
      <c r="R627" s="89" t="str">
        <f t="shared" si="28"/>
        <v/>
      </c>
      <c r="S627" s="82"/>
      <c r="U627" s="37" t="e">
        <f t="shared" si="29"/>
        <v>#VALUE!</v>
      </c>
    </row>
    <row r="628" spans="1:21" x14ac:dyDescent="0.25">
      <c r="A628" s="31" t="str">
        <f>IF(Table!A628 = "","",Table!A628)</f>
        <v/>
      </c>
      <c r="B628" s="31" t="str">
        <f>IF(Table!B628 = "","",Table!B628)</f>
        <v/>
      </c>
      <c r="C628" s="31" t="str">
        <f>IF(Table!C628 = "","",Table!C628)</f>
        <v/>
      </c>
      <c r="D628" s="32" t="str">
        <f>IF(Table!D628 = "","",Table!D628)</f>
        <v/>
      </c>
      <c r="E628" s="32" t="str">
        <f>IF(Table!E628 = "","",Table!E628)</f>
        <v/>
      </c>
      <c r="F628" s="32" t="str">
        <f>IF(Table!F628 = "","",Table!F628)</f>
        <v/>
      </c>
      <c r="G628" s="91"/>
      <c r="I628" s="84" t="str">
        <f>IFERROR(VLOOKUP(A628,Downlink!A:L,12,TRUE),"")</f>
        <v/>
      </c>
      <c r="K628" s="31" t="str">
        <f>IFERROR(VLOOKUP(A628,Table!$I$4:$O$3000,1,TRUE),"")</f>
        <v/>
      </c>
      <c r="L628" s="31" t="str">
        <f>IFERROR(INDEX(Table!I:O,MATCH(K628,Table!I:I,0),2),"")</f>
        <v/>
      </c>
      <c r="M628" s="31" t="str">
        <f>IFERROR(INDEX(Table!I:O,MATCH(K628,Table!I:I,0),3),"")</f>
        <v/>
      </c>
      <c r="N628" s="32" t="str">
        <f>IFERROR(INDEX(Table!I:O,MATCH(K628,Table!I:I,0),4),"")</f>
        <v/>
      </c>
      <c r="O628" s="32" t="str">
        <f>IFERROR(INDEX(Table!I:O,MATCH(K628,Table!I:I,0),5),"")</f>
        <v/>
      </c>
      <c r="P628" s="32" t="str">
        <f>IFERROR(INDEX(Table!I:O,MATCH(K628,Table!I:I,0),6),"")</f>
        <v/>
      </c>
      <c r="Q628" s="89" t="str">
        <f t="shared" si="27"/>
        <v/>
      </c>
      <c r="R628" s="89" t="str">
        <f t="shared" si="28"/>
        <v/>
      </c>
      <c r="S628" s="82"/>
      <c r="U628" s="37" t="e">
        <f t="shared" si="29"/>
        <v>#VALUE!</v>
      </c>
    </row>
    <row r="629" spans="1:21" x14ac:dyDescent="0.25">
      <c r="A629" s="31" t="str">
        <f>IF(Table!A629 = "","",Table!A629)</f>
        <v/>
      </c>
      <c r="B629" s="31" t="str">
        <f>IF(Table!B629 = "","",Table!B629)</f>
        <v/>
      </c>
      <c r="C629" s="31" t="str">
        <f>IF(Table!C629 = "","",Table!C629)</f>
        <v/>
      </c>
      <c r="D629" s="32" t="str">
        <f>IF(Table!D629 = "","",Table!D629)</f>
        <v/>
      </c>
      <c r="E629" s="32" t="str">
        <f>IF(Table!E629 = "","",Table!E629)</f>
        <v/>
      </c>
      <c r="F629" s="32" t="str">
        <f>IF(Table!F629 = "","",Table!F629)</f>
        <v/>
      </c>
      <c r="G629" s="91"/>
      <c r="I629" s="84" t="str">
        <f>IFERROR(VLOOKUP(A629,Downlink!A:L,12,TRUE),"")</f>
        <v/>
      </c>
      <c r="K629" s="31" t="str">
        <f>IFERROR(VLOOKUP(A629,Table!$I$4:$O$3000,1,TRUE),"")</f>
        <v/>
      </c>
      <c r="L629" s="31" t="str">
        <f>IFERROR(INDEX(Table!I:O,MATCH(K629,Table!I:I,0),2),"")</f>
        <v/>
      </c>
      <c r="M629" s="31" t="str">
        <f>IFERROR(INDEX(Table!I:O,MATCH(K629,Table!I:I,0),3),"")</f>
        <v/>
      </c>
      <c r="N629" s="32" t="str">
        <f>IFERROR(INDEX(Table!I:O,MATCH(K629,Table!I:I,0),4),"")</f>
        <v/>
      </c>
      <c r="O629" s="32" t="str">
        <f>IFERROR(INDEX(Table!I:O,MATCH(K629,Table!I:I,0),5),"")</f>
        <v/>
      </c>
      <c r="P629" s="32" t="str">
        <f>IFERROR(INDEX(Table!I:O,MATCH(K629,Table!I:I,0),6),"")</f>
        <v/>
      </c>
      <c r="Q629" s="89" t="str">
        <f t="shared" si="27"/>
        <v/>
      </c>
      <c r="R629" s="89" t="str">
        <f t="shared" si="28"/>
        <v/>
      </c>
      <c r="S629" s="82"/>
      <c r="U629" s="37" t="e">
        <f t="shared" si="29"/>
        <v>#VALUE!</v>
      </c>
    </row>
    <row r="630" spans="1:21" x14ac:dyDescent="0.25">
      <c r="A630" s="31" t="str">
        <f>IF(Table!A630 = "","",Table!A630)</f>
        <v/>
      </c>
      <c r="B630" s="31" t="str">
        <f>IF(Table!B630 = "","",Table!B630)</f>
        <v/>
      </c>
      <c r="C630" s="31" t="str">
        <f>IF(Table!C630 = "","",Table!C630)</f>
        <v/>
      </c>
      <c r="D630" s="32" t="str">
        <f>IF(Table!D630 = "","",Table!D630)</f>
        <v/>
      </c>
      <c r="E630" s="32" t="str">
        <f>IF(Table!E630 = "","",Table!E630)</f>
        <v/>
      </c>
      <c r="F630" s="32" t="str">
        <f>IF(Table!F630 = "","",Table!F630)</f>
        <v/>
      </c>
      <c r="G630" s="91"/>
      <c r="I630" s="84" t="str">
        <f>IFERROR(VLOOKUP(A630,Downlink!A:L,12,TRUE),"")</f>
        <v/>
      </c>
      <c r="K630" s="31" t="str">
        <f>IFERROR(VLOOKUP(A630,Table!$I$4:$O$3000,1,TRUE),"")</f>
        <v/>
      </c>
      <c r="L630" s="31" t="str">
        <f>IFERROR(INDEX(Table!I:O,MATCH(K630,Table!I:I,0),2),"")</f>
        <v/>
      </c>
      <c r="M630" s="31" t="str">
        <f>IFERROR(INDEX(Table!I:O,MATCH(K630,Table!I:I,0),3),"")</f>
        <v/>
      </c>
      <c r="N630" s="32" t="str">
        <f>IFERROR(INDEX(Table!I:O,MATCH(K630,Table!I:I,0),4),"")</f>
        <v/>
      </c>
      <c r="O630" s="32" t="str">
        <f>IFERROR(INDEX(Table!I:O,MATCH(K630,Table!I:I,0),5),"")</f>
        <v/>
      </c>
      <c r="P630" s="32" t="str">
        <f>IFERROR(INDEX(Table!I:O,MATCH(K630,Table!I:I,0),6),"")</f>
        <v/>
      </c>
      <c r="Q630" s="89" t="str">
        <f t="shared" si="27"/>
        <v/>
      </c>
      <c r="R630" s="89" t="str">
        <f t="shared" si="28"/>
        <v/>
      </c>
      <c r="S630" s="82"/>
      <c r="U630" s="37" t="e">
        <f t="shared" si="29"/>
        <v>#VALUE!</v>
      </c>
    </row>
    <row r="631" spans="1:21" x14ac:dyDescent="0.25">
      <c r="A631" s="31" t="str">
        <f>IF(Table!A631 = "","",Table!A631)</f>
        <v/>
      </c>
      <c r="B631" s="31" t="str">
        <f>IF(Table!B631 = "","",Table!B631)</f>
        <v/>
      </c>
      <c r="C631" s="31" t="str">
        <f>IF(Table!C631 = "","",Table!C631)</f>
        <v/>
      </c>
      <c r="D631" s="32" t="str">
        <f>IF(Table!D631 = "","",Table!D631)</f>
        <v/>
      </c>
      <c r="E631" s="32" t="str">
        <f>IF(Table!E631 = "","",Table!E631)</f>
        <v/>
      </c>
      <c r="F631" s="32" t="str">
        <f>IF(Table!F631 = "","",Table!F631)</f>
        <v/>
      </c>
      <c r="G631" s="91"/>
      <c r="I631" s="84" t="str">
        <f>IFERROR(VLOOKUP(A631,Downlink!A:L,12,TRUE),"")</f>
        <v/>
      </c>
      <c r="K631" s="31" t="str">
        <f>IFERROR(VLOOKUP(A631,Table!$I$4:$O$3000,1,TRUE),"")</f>
        <v/>
      </c>
      <c r="L631" s="31" t="str">
        <f>IFERROR(INDEX(Table!I:O,MATCH(K631,Table!I:I,0),2),"")</f>
        <v/>
      </c>
      <c r="M631" s="31" t="str">
        <f>IFERROR(INDEX(Table!I:O,MATCH(K631,Table!I:I,0),3),"")</f>
        <v/>
      </c>
      <c r="N631" s="32" t="str">
        <f>IFERROR(INDEX(Table!I:O,MATCH(K631,Table!I:I,0),4),"")</f>
        <v/>
      </c>
      <c r="O631" s="32" t="str">
        <f>IFERROR(INDEX(Table!I:O,MATCH(K631,Table!I:I,0),5),"")</f>
        <v/>
      </c>
      <c r="P631" s="32" t="str">
        <f>IFERROR(INDEX(Table!I:O,MATCH(K631,Table!I:I,0),6),"")</f>
        <v/>
      </c>
      <c r="Q631" s="89" t="str">
        <f t="shared" si="27"/>
        <v/>
      </c>
      <c r="R631" s="89" t="str">
        <f t="shared" si="28"/>
        <v/>
      </c>
      <c r="S631" s="82"/>
      <c r="U631" s="37" t="e">
        <f t="shared" si="29"/>
        <v>#VALUE!</v>
      </c>
    </row>
    <row r="632" spans="1:21" x14ac:dyDescent="0.25">
      <c r="A632" s="31" t="str">
        <f>IF(Table!A632 = "","",Table!A632)</f>
        <v/>
      </c>
      <c r="B632" s="31" t="str">
        <f>IF(Table!B632 = "","",Table!B632)</f>
        <v/>
      </c>
      <c r="C632" s="31" t="str">
        <f>IF(Table!C632 = "","",Table!C632)</f>
        <v/>
      </c>
      <c r="D632" s="32" t="str">
        <f>IF(Table!D632 = "","",Table!D632)</f>
        <v/>
      </c>
      <c r="E632" s="32" t="str">
        <f>IF(Table!E632 = "","",Table!E632)</f>
        <v/>
      </c>
      <c r="F632" s="32" t="str">
        <f>IF(Table!F632 = "","",Table!F632)</f>
        <v/>
      </c>
      <c r="G632" s="91"/>
      <c r="I632" s="84" t="str">
        <f>IFERROR(VLOOKUP(A632,Downlink!A:L,12,TRUE),"")</f>
        <v/>
      </c>
      <c r="K632" s="31" t="str">
        <f>IFERROR(VLOOKUP(A632,Table!$I$4:$O$3000,1,TRUE),"")</f>
        <v/>
      </c>
      <c r="L632" s="31" t="str">
        <f>IFERROR(INDEX(Table!I:O,MATCH(K632,Table!I:I,0),2),"")</f>
        <v/>
      </c>
      <c r="M632" s="31" t="str">
        <f>IFERROR(INDEX(Table!I:O,MATCH(K632,Table!I:I,0),3),"")</f>
        <v/>
      </c>
      <c r="N632" s="32" t="str">
        <f>IFERROR(INDEX(Table!I:O,MATCH(K632,Table!I:I,0),4),"")</f>
        <v/>
      </c>
      <c r="O632" s="32" t="str">
        <f>IFERROR(INDEX(Table!I:O,MATCH(K632,Table!I:I,0),5),"")</f>
        <v/>
      </c>
      <c r="P632" s="32" t="str">
        <f>IFERROR(INDEX(Table!I:O,MATCH(K632,Table!I:I,0),6),"")</f>
        <v/>
      </c>
      <c r="Q632" s="89" t="str">
        <f t="shared" si="27"/>
        <v/>
      </c>
      <c r="R632" s="89" t="str">
        <f t="shared" si="28"/>
        <v/>
      </c>
      <c r="S632" s="82"/>
      <c r="U632" s="37" t="e">
        <f t="shared" si="29"/>
        <v>#VALUE!</v>
      </c>
    </row>
    <row r="633" spans="1:21" x14ac:dyDescent="0.25">
      <c r="A633" s="31" t="str">
        <f>IF(Table!A633 = "","",Table!A633)</f>
        <v/>
      </c>
      <c r="B633" s="31" t="str">
        <f>IF(Table!B633 = "","",Table!B633)</f>
        <v/>
      </c>
      <c r="C633" s="31" t="str">
        <f>IF(Table!C633 = "","",Table!C633)</f>
        <v/>
      </c>
      <c r="D633" s="32" t="str">
        <f>IF(Table!D633 = "","",Table!D633)</f>
        <v/>
      </c>
      <c r="E633" s="32" t="str">
        <f>IF(Table!E633 = "","",Table!E633)</f>
        <v/>
      </c>
      <c r="F633" s="32" t="str">
        <f>IF(Table!F633 = "","",Table!F633)</f>
        <v/>
      </c>
      <c r="G633" s="91"/>
      <c r="I633" s="84" t="str">
        <f>IFERROR(VLOOKUP(A633,Downlink!A:L,12,TRUE),"")</f>
        <v/>
      </c>
      <c r="K633" s="31" t="str">
        <f>IFERROR(VLOOKUP(A633,Table!$I$4:$O$3000,1,TRUE),"")</f>
        <v/>
      </c>
      <c r="L633" s="31" t="str">
        <f>IFERROR(INDEX(Table!I:O,MATCH(K633,Table!I:I,0),2),"")</f>
        <v/>
      </c>
      <c r="M633" s="31" t="str">
        <f>IFERROR(INDEX(Table!I:O,MATCH(K633,Table!I:I,0),3),"")</f>
        <v/>
      </c>
      <c r="N633" s="32" t="str">
        <f>IFERROR(INDEX(Table!I:O,MATCH(K633,Table!I:I,0),4),"")</f>
        <v/>
      </c>
      <c r="O633" s="32" t="str">
        <f>IFERROR(INDEX(Table!I:O,MATCH(K633,Table!I:I,0),5),"")</f>
        <v/>
      </c>
      <c r="P633" s="32" t="str">
        <f>IFERROR(INDEX(Table!I:O,MATCH(K633,Table!I:I,0),6),"")</f>
        <v/>
      </c>
      <c r="Q633" s="89" t="str">
        <f t="shared" si="27"/>
        <v/>
      </c>
      <c r="R633" s="89" t="str">
        <f t="shared" si="28"/>
        <v/>
      </c>
      <c r="S633" s="82"/>
      <c r="U633" s="37" t="e">
        <f t="shared" si="29"/>
        <v>#VALUE!</v>
      </c>
    </row>
    <row r="634" spans="1:21" x14ac:dyDescent="0.25">
      <c r="A634" s="31" t="str">
        <f>IF(Table!A634 = "","",Table!A634)</f>
        <v/>
      </c>
      <c r="B634" s="31" t="str">
        <f>IF(Table!B634 = "","",Table!B634)</f>
        <v/>
      </c>
      <c r="C634" s="31" t="str">
        <f>IF(Table!C634 = "","",Table!C634)</f>
        <v/>
      </c>
      <c r="D634" s="32" t="str">
        <f>IF(Table!D634 = "","",Table!D634)</f>
        <v/>
      </c>
      <c r="E634" s="32" t="str">
        <f>IF(Table!E634 = "","",Table!E634)</f>
        <v/>
      </c>
      <c r="F634" s="32" t="str">
        <f>IF(Table!F634 = "","",Table!F634)</f>
        <v/>
      </c>
      <c r="G634" s="91"/>
      <c r="I634" s="84" t="str">
        <f>IFERROR(VLOOKUP(A634,Downlink!A:L,12,TRUE),"")</f>
        <v/>
      </c>
      <c r="K634" s="31" t="str">
        <f>IFERROR(VLOOKUP(A634,Table!$I$4:$O$3000,1,TRUE),"")</f>
        <v/>
      </c>
      <c r="L634" s="31" t="str">
        <f>IFERROR(INDEX(Table!I:O,MATCH(K634,Table!I:I,0),2),"")</f>
        <v/>
      </c>
      <c r="M634" s="31" t="str">
        <f>IFERROR(INDEX(Table!I:O,MATCH(K634,Table!I:I,0),3),"")</f>
        <v/>
      </c>
      <c r="N634" s="32" t="str">
        <f>IFERROR(INDEX(Table!I:O,MATCH(K634,Table!I:I,0),4),"")</f>
        <v/>
      </c>
      <c r="O634" s="32" t="str">
        <f>IFERROR(INDEX(Table!I:O,MATCH(K634,Table!I:I,0),5),"")</f>
        <v/>
      </c>
      <c r="P634" s="32" t="str">
        <f>IFERROR(INDEX(Table!I:O,MATCH(K634,Table!I:I,0),6),"")</f>
        <v/>
      </c>
      <c r="Q634" s="89" t="str">
        <f t="shared" si="27"/>
        <v/>
      </c>
      <c r="R634" s="89" t="str">
        <f t="shared" si="28"/>
        <v/>
      </c>
      <c r="S634" s="82"/>
      <c r="U634" s="37" t="e">
        <f t="shared" si="29"/>
        <v>#VALUE!</v>
      </c>
    </row>
    <row r="635" spans="1:21" x14ac:dyDescent="0.25">
      <c r="A635" s="31" t="str">
        <f>IF(Table!A635 = "","",Table!A635)</f>
        <v/>
      </c>
      <c r="B635" s="31" t="str">
        <f>IF(Table!B635 = "","",Table!B635)</f>
        <v/>
      </c>
      <c r="C635" s="31" t="str">
        <f>IF(Table!C635 = "","",Table!C635)</f>
        <v/>
      </c>
      <c r="D635" s="32" t="str">
        <f>IF(Table!D635 = "","",Table!D635)</f>
        <v/>
      </c>
      <c r="E635" s="32" t="str">
        <f>IF(Table!E635 = "","",Table!E635)</f>
        <v/>
      </c>
      <c r="F635" s="32" t="str">
        <f>IF(Table!F635 = "","",Table!F635)</f>
        <v/>
      </c>
      <c r="G635" s="91"/>
      <c r="I635" s="84" t="str">
        <f>IFERROR(VLOOKUP(A635,Downlink!A:L,12,TRUE),"")</f>
        <v/>
      </c>
      <c r="K635" s="31" t="str">
        <f>IFERROR(VLOOKUP(A635,Table!$I$4:$O$3000,1,TRUE),"")</f>
        <v/>
      </c>
      <c r="L635" s="31" t="str">
        <f>IFERROR(INDEX(Table!I:O,MATCH(K635,Table!I:I,0),2),"")</f>
        <v/>
      </c>
      <c r="M635" s="31" t="str">
        <f>IFERROR(INDEX(Table!I:O,MATCH(K635,Table!I:I,0),3),"")</f>
        <v/>
      </c>
      <c r="N635" s="32" t="str">
        <f>IFERROR(INDEX(Table!I:O,MATCH(K635,Table!I:I,0),4),"")</f>
        <v/>
      </c>
      <c r="O635" s="32" t="str">
        <f>IFERROR(INDEX(Table!I:O,MATCH(K635,Table!I:I,0),5),"")</f>
        <v/>
      </c>
      <c r="P635" s="32" t="str">
        <f>IFERROR(INDEX(Table!I:O,MATCH(K635,Table!I:I,0),6),"")</f>
        <v/>
      </c>
      <c r="Q635" s="89" t="str">
        <f t="shared" si="27"/>
        <v/>
      </c>
      <c r="R635" s="89" t="str">
        <f t="shared" si="28"/>
        <v/>
      </c>
      <c r="S635" s="82"/>
      <c r="U635" s="37" t="e">
        <f t="shared" si="29"/>
        <v>#VALUE!</v>
      </c>
    </row>
    <row r="636" spans="1:21" x14ac:dyDescent="0.25">
      <c r="A636" s="31" t="str">
        <f>IF(Table!A636 = "","",Table!A636)</f>
        <v/>
      </c>
      <c r="B636" s="31" t="str">
        <f>IF(Table!B636 = "","",Table!B636)</f>
        <v/>
      </c>
      <c r="C636" s="31" t="str">
        <f>IF(Table!C636 = "","",Table!C636)</f>
        <v/>
      </c>
      <c r="D636" s="32" t="str">
        <f>IF(Table!D636 = "","",Table!D636)</f>
        <v/>
      </c>
      <c r="E636" s="32" t="str">
        <f>IF(Table!E636 = "","",Table!E636)</f>
        <v/>
      </c>
      <c r="F636" s="32" t="str">
        <f>IF(Table!F636 = "","",Table!F636)</f>
        <v/>
      </c>
      <c r="G636" s="91"/>
      <c r="I636" s="84" t="str">
        <f>IFERROR(VLOOKUP(A636,Downlink!A:L,12,TRUE),"")</f>
        <v/>
      </c>
      <c r="K636" s="31" t="str">
        <f>IFERROR(VLOOKUP(A636,Table!$I$4:$O$3000,1,TRUE),"")</f>
        <v/>
      </c>
      <c r="L636" s="31" t="str">
        <f>IFERROR(INDEX(Table!I:O,MATCH(K636,Table!I:I,0),2),"")</f>
        <v/>
      </c>
      <c r="M636" s="31" t="str">
        <f>IFERROR(INDEX(Table!I:O,MATCH(K636,Table!I:I,0),3),"")</f>
        <v/>
      </c>
      <c r="N636" s="32" t="str">
        <f>IFERROR(INDEX(Table!I:O,MATCH(K636,Table!I:I,0),4),"")</f>
        <v/>
      </c>
      <c r="O636" s="32" t="str">
        <f>IFERROR(INDEX(Table!I:O,MATCH(K636,Table!I:I,0),5),"")</f>
        <v/>
      </c>
      <c r="P636" s="32" t="str">
        <f>IFERROR(INDEX(Table!I:O,MATCH(K636,Table!I:I,0),6),"")</f>
        <v/>
      </c>
      <c r="Q636" s="89" t="str">
        <f t="shared" si="27"/>
        <v/>
      </c>
      <c r="R636" s="89" t="str">
        <f t="shared" si="28"/>
        <v/>
      </c>
      <c r="S636" s="82"/>
      <c r="U636" s="37" t="e">
        <f t="shared" si="29"/>
        <v>#VALUE!</v>
      </c>
    </row>
    <row r="637" spans="1:21" x14ac:dyDescent="0.25">
      <c r="A637" s="31" t="str">
        <f>IF(Table!A637 = "","",Table!A637)</f>
        <v/>
      </c>
      <c r="B637" s="31" t="str">
        <f>IF(Table!B637 = "","",Table!B637)</f>
        <v/>
      </c>
      <c r="C637" s="31" t="str">
        <f>IF(Table!C637 = "","",Table!C637)</f>
        <v/>
      </c>
      <c r="D637" s="32" t="str">
        <f>IF(Table!D637 = "","",Table!D637)</f>
        <v/>
      </c>
      <c r="E637" s="32" t="str">
        <f>IF(Table!E637 = "","",Table!E637)</f>
        <v/>
      </c>
      <c r="F637" s="32" t="str">
        <f>IF(Table!F637 = "","",Table!F637)</f>
        <v/>
      </c>
      <c r="G637" s="91"/>
      <c r="I637" s="84" t="str">
        <f>IFERROR(VLOOKUP(A637,Downlink!A:L,12,TRUE),"")</f>
        <v/>
      </c>
      <c r="K637" s="31" t="str">
        <f>IFERROR(VLOOKUP(A637,Table!$I$4:$O$3000,1,TRUE),"")</f>
        <v/>
      </c>
      <c r="L637" s="31" t="str">
        <f>IFERROR(INDEX(Table!I:O,MATCH(K637,Table!I:I,0),2),"")</f>
        <v/>
      </c>
      <c r="M637" s="31" t="str">
        <f>IFERROR(INDEX(Table!I:O,MATCH(K637,Table!I:I,0),3),"")</f>
        <v/>
      </c>
      <c r="N637" s="32" t="str">
        <f>IFERROR(INDEX(Table!I:O,MATCH(K637,Table!I:I,0),4),"")</f>
        <v/>
      </c>
      <c r="O637" s="32" t="str">
        <f>IFERROR(INDEX(Table!I:O,MATCH(K637,Table!I:I,0),5),"")</f>
        <v/>
      </c>
      <c r="P637" s="32" t="str">
        <f>IFERROR(INDEX(Table!I:O,MATCH(K637,Table!I:I,0),6),"")</f>
        <v/>
      </c>
      <c r="Q637" s="89" t="str">
        <f t="shared" si="27"/>
        <v/>
      </c>
      <c r="R637" s="89" t="str">
        <f t="shared" si="28"/>
        <v/>
      </c>
      <c r="S637" s="82"/>
      <c r="U637" s="37" t="e">
        <f t="shared" si="29"/>
        <v>#VALUE!</v>
      </c>
    </row>
    <row r="638" spans="1:21" x14ac:dyDescent="0.25">
      <c r="A638" s="31" t="str">
        <f>IF(Table!A638 = "","",Table!A638)</f>
        <v/>
      </c>
      <c r="B638" s="31" t="str">
        <f>IF(Table!B638 = "","",Table!B638)</f>
        <v/>
      </c>
      <c r="C638" s="31" t="str">
        <f>IF(Table!C638 = "","",Table!C638)</f>
        <v/>
      </c>
      <c r="D638" s="32" t="str">
        <f>IF(Table!D638 = "","",Table!D638)</f>
        <v/>
      </c>
      <c r="E638" s="32" t="str">
        <f>IF(Table!E638 = "","",Table!E638)</f>
        <v/>
      </c>
      <c r="F638" s="32" t="str">
        <f>IF(Table!F638 = "","",Table!F638)</f>
        <v/>
      </c>
      <c r="G638" s="91"/>
      <c r="I638" s="84" t="str">
        <f>IFERROR(VLOOKUP(A638,Downlink!A:L,12,TRUE),"")</f>
        <v/>
      </c>
      <c r="K638" s="31" t="str">
        <f>IFERROR(VLOOKUP(A638,Table!$I$4:$O$3000,1,TRUE),"")</f>
        <v/>
      </c>
      <c r="L638" s="31" t="str">
        <f>IFERROR(INDEX(Table!I:O,MATCH(K638,Table!I:I,0),2),"")</f>
        <v/>
      </c>
      <c r="M638" s="31" t="str">
        <f>IFERROR(INDEX(Table!I:O,MATCH(K638,Table!I:I,0),3),"")</f>
        <v/>
      </c>
      <c r="N638" s="32" t="str">
        <f>IFERROR(INDEX(Table!I:O,MATCH(K638,Table!I:I,0),4),"")</f>
        <v/>
      </c>
      <c r="O638" s="32" t="str">
        <f>IFERROR(INDEX(Table!I:O,MATCH(K638,Table!I:I,0),5),"")</f>
        <v/>
      </c>
      <c r="P638" s="32" t="str">
        <f>IFERROR(INDEX(Table!I:O,MATCH(K638,Table!I:I,0),6),"")</f>
        <v/>
      </c>
      <c r="Q638" s="89" t="str">
        <f t="shared" si="27"/>
        <v/>
      </c>
      <c r="R638" s="89" t="str">
        <f t="shared" si="28"/>
        <v/>
      </c>
      <c r="S638" s="82"/>
      <c r="U638" s="37" t="e">
        <f t="shared" si="29"/>
        <v>#VALUE!</v>
      </c>
    </row>
    <row r="639" spans="1:21" x14ac:dyDescent="0.25">
      <c r="A639" s="31" t="str">
        <f>IF(Table!A639 = "","",Table!A639)</f>
        <v/>
      </c>
      <c r="B639" s="31" t="str">
        <f>IF(Table!B639 = "","",Table!B639)</f>
        <v/>
      </c>
      <c r="C639" s="31" t="str">
        <f>IF(Table!C639 = "","",Table!C639)</f>
        <v/>
      </c>
      <c r="D639" s="32" t="str">
        <f>IF(Table!D639 = "","",Table!D639)</f>
        <v/>
      </c>
      <c r="E639" s="32" t="str">
        <f>IF(Table!E639 = "","",Table!E639)</f>
        <v/>
      </c>
      <c r="F639" s="32" t="str">
        <f>IF(Table!F639 = "","",Table!F639)</f>
        <v/>
      </c>
      <c r="G639" s="91"/>
      <c r="I639" s="84" t="str">
        <f>IFERROR(VLOOKUP(A639,Downlink!A:L,12,TRUE),"")</f>
        <v/>
      </c>
      <c r="K639" s="31" t="str">
        <f>IFERROR(VLOOKUP(A639,Table!$I$4:$O$3000,1,TRUE),"")</f>
        <v/>
      </c>
      <c r="L639" s="31" t="str">
        <f>IFERROR(INDEX(Table!I:O,MATCH(K639,Table!I:I,0),2),"")</f>
        <v/>
      </c>
      <c r="M639" s="31" t="str">
        <f>IFERROR(INDEX(Table!I:O,MATCH(K639,Table!I:I,0),3),"")</f>
        <v/>
      </c>
      <c r="N639" s="32" t="str">
        <f>IFERROR(INDEX(Table!I:O,MATCH(K639,Table!I:I,0),4),"")</f>
        <v/>
      </c>
      <c r="O639" s="32" t="str">
        <f>IFERROR(INDEX(Table!I:O,MATCH(K639,Table!I:I,0),5),"")</f>
        <v/>
      </c>
      <c r="P639" s="32" t="str">
        <f>IFERROR(INDEX(Table!I:O,MATCH(K639,Table!I:I,0),6),"")</f>
        <v/>
      </c>
      <c r="Q639" s="89" t="str">
        <f t="shared" si="27"/>
        <v/>
      </c>
      <c r="R639" s="89" t="str">
        <f t="shared" si="28"/>
        <v/>
      </c>
      <c r="S639" s="82"/>
      <c r="U639" s="37" t="e">
        <f t="shared" si="29"/>
        <v>#VALUE!</v>
      </c>
    </row>
    <row r="640" spans="1:21" x14ac:dyDescent="0.25">
      <c r="A640" s="31" t="str">
        <f>IF(Table!A640 = "","",Table!A640)</f>
        <v/>
      </c>
      <c r="B640" s="31" t="str">
        <f>IF(Table!B640 = "","",Table!B640)</f>
        <v/>
      </c>
      <c r="C640" s="31" t="str">
        <f>IF(Table!C640 = "","",Table!C640)</f>
        <v/>
      </c>
      <c r="D640" s="32" t="str">
        <f>IF(Table!D640 = "","",Table!D640)</f>
        <v/>
      </c>
      <c r="E640" s="32" t="str">
        <f>IF(Table!E640 = "","",Table!E640)</f>
        <v/>
      </c>
      <c r="F640" s="32" t="str">
        <f>IF(Table!F640 = "","",Table!F640)</f>
        <v/>
      </c>
      <c r="G640" s="91"/>
      <c r="I640" s="84" t="str">
        <f>IFERROR(VLOOKUP(A640,Downlink!A:L,12,TRUE),"")</f>
        <v/>
      </c>
      <c r="K640" s="31" t="str">
        <f>IFERROR(VLOOKUP(A640,Table!$I$4:$O$3000,1,TRUE),"")</f>
        <v/>
      </c>
      <c r="L640" s="31" t="str">
        <f>IFERROR(INDEX(Table!I:O,MATCH(K640,Table!I:I,0),2),"")</f>
        <v/>
      </c>
      <c r="M640" s="31" t="str">
        <f>IFERROR(INDEX(Table!I:O,MATCH(K640,Table!I:I,0),3),"")</f>
        <v/>
      </c>
      <c r="N640" s="32" t="str">
        <f>IFERROR(INDEX(Table!I:O,MATCH(K640,Table!I:I,0),4),"")</f>
        <v/>
      </c>
      <c r="O640" s="32" t="str">
        <f>IFERROR(INDEX(Table!I:O,MATCH(K640,Table!I:I,0),5),"")</f>
        <v/>
      </c>
      <c r="P640" s="32" t="str">
        <f>IFERROR(INDEX(Table!I:O,MATCH(K640,Table!I:I,0),6),"")</f>
        <v/>
      </c>
      <c r="Q640" s="89" t="str">
        <f t="shared" si="27"/>
        <v/>
      </c>
      <c r="R640" s="89" t="str">
        <f t="shared" si="28"/>
        <v/>
      </c>
      <c r="S640" s="82"/>
      <c r="U640" s="37" t="e">
        <f t="shared" si="29"/>
        <v>#VALUE!</v>
      </c>
    </row>
    <row r="641" spans="1:21" x14ac:dyDescent="0.25">
      <c r="A641" s="31" t="str">
        <f>IF(Table!A641 = "","",Table!A641)</f>
        <v/>
      </c>
      <c r="B641" s="31" t="str">
        <f>IF(Table!B641 = "","",Table!B641)</f>
        <v/>
      </c>
      <c r="C641" s="31" t="str">
        <f>IF(Table!C641 = "","",Table!C641)</f>
        <v/>
      </c>
      <c r="D641" s="32" t="str">
        <f>IF(Table!D641 = "","",Table!D641)</f>
        <v/>
      </c>
      <c r="E641" s="32" t="str">
        <f>IF(Table!E641 = "","",Table!E641)</f>
        <v/>
      </c>
      <c r="F641" s="32" t="str">
        <f>IF(Table!F641 = "","",Table!F641)</f>
        <v/>
      </c>
      <c r="G641" s="91"/>
      <c r="I641" s="84" t="str">
        <f>IFERROR(VLOOKUP(A641,Downlink!A:L,12,TRUE),"")</f>
        <v/>
      </c>
      <c r="K641" s="31" t="str">
        <f>IFERROR(VLOOKUP(A641,Table!$I$4:$O$3000,1,TRUE),"")</f>
        <v/>
      </c>
      <c r="L641" s="31" t="str">
        <f>IFERROR(INDEX(Table!I:O,MATCH(K641,Table!I:I,0),2),"")</f>
        <v/>
      </c>
      <c r="M641" s="31" t="str">
        <f>IFERROR(INDEX(Table!I:O,MATCH(K641,Table!I:I,0),3),"")</f>
        <v/>
      </c>
      <c r="N641" s="32" t="str">
        <f>IFERROR(INDEX(Table!I:O,MATCH(K641,Table!I:I,0),4),"")</f>
        <v/>
      </c>
      <c r="O641" s="32" t="str">
        <f>IFERROR(INDEX(Table!I:O,MATCH(K641,Table!I:I,0),5),"")</f>
        <v/>
      </c>
      <c r="P641" s="32" t="str">
        <f>IFERROR(INDEX(Table!I:O,MATCH(K641,Table!I:I,0),6),"")</f>
        <v/>
      </c>
      <c r="Q641" s="89" t="str">
        <f t="shared" si="27"/>
        <v/>
      </c>
      <c r="R641" s="89" t="str">
        <f t="shared" si="28"/>
        <v/>
      </c>
      <c r="S641" s="82"/>
      <c r="U641" s="37" t="e">
        <f t="shared" si="29"/>
        <v>#VALUE!</v>
      </c>
    </row>
    <row r="642" spans="1:21" x14ac:dyDescent="0.25">
      <c r="A642" s="31" t="str">
        <f>IF(Table!A642 = "","",Table!A642)</f>
        <v/>
      </c>
      <c r="B642" s="31" t="str">
        <f>IF(Table!B642 = "","",Table!B642)</f>
        <v/>
      </c>
      <c r="C642" s="31" t="str">
        <f>IF(Table!C642 = "","",Table!C642)</f>
        <v/>
      </c>
      <c r="D642" s="32" t="str">
        <f>IF(Table!D642 = "","",Table!D642)</f>
        <v/>
      </c>
      <c r="E642" s="32" t="str">
        <f>IF(Table!E642 = "","",Table!E642)</f>
        <v/>
      </c>
      <c r="F642" s="32" t="str">
        <f>IF(Table!F642 = "","",Table!F642)</f>
        <v/>
      </c>
      <c r="G642" s="91"/>
      <c r="I642" s="84" t="str">
        <f>IFERROR(VLOOKUP(A642,Downlink!A:L,12,TRUE),"")</f>
        <v/>
      </c>
      <c r="K642" s="31" t="str">
        <f>IFERROR(VLOOKUP(A642,Table!$I$4:$O$3000,1,TRUE),"")</f>
        <v/>
      </c>
      <c r="L642" s="31" t="str">
        <f>IFERROR(INDEX(Table!I:O,MATCH(K642,Table!I:I,0),2),"")</f>
        <v/>
      </c>
      <c r="M642" s="31" t="str">
        <f>IFERROR(INDEX(Table!I:O,MATCH(K642,Table!I:I,0),3),"")</f>
        <v/>
      </c>
      <c r="N642" s="32" t="str">
        <f>IFERROR(INDEX(Table!I:O,MATCH(K642,Table!I:I,0),4),"")</f>
        <v/>
      </c>
      <c r="O642" s="32" t="str">
        <f>IFERROR(INDEX(Table!I:O,MATCH(K642,Table!I:I,0),5),"")</f>
        <v/>
      </c>
      <c r="P642" s="32" t="str">
        <f>IFERROR(INDEX(Table!I:O,MATCH(K642,Table!I:I,0),6),"")</f>
        <v/>
      </c>
      <c r="Q642" s="89" t="str">
        <f t="shared" si="27"/>
        <v/>
      </c>
      <c r="R642" s="89" t="str">
        <f t="shared" si="28"/>
        <v/>
      </c>
      <c r="S642" s="82"/>
      <c r="U642" s="37" t="e">
        <f t="shared" si="29"/>
        <v>#VALUE!</v>
      </c>
    </row>
    <row r="643" spans="1:21" x14ac:dyDescent="0.25">
      <c r="A643" s="31" t="str">
        <f>IF(Table!A643 = "","",Table!A643)</f>
        <v/>
      </c>
      <c r="B643" s="31" t="str">
        <f>IF(Table!B643 = "","",Table!B643)</f>
        <v/>
      </c>
      <c r="C643" s="31" t="str">
        <f>IF(Table!C643 = "","",Table!C643)</f>
        <v/>
      </c>
      <c r="D643" s="32" t="str">
        <f>IF(Table!D643 = "","",Table!D643)</f>
        <v/>
      </c>
      <c r="E643" s="32" t="str">
        <f>IF(Table!E643 = "","",Table!E643)</f>
        <v/>
      </c>
      <c r="F643" s="32" t="str">
        <f>IF(Table!F643 = "","",Table!F643)</f>
        <v/>
      </c>
      <c r="G643" s="91"/>
      <c r="I643" s="84" t="str">
        <f>IFERROR(VLOOKUP(A643,Downlink!A:L,12,TRUE),"")</f>
        <v/>
      </c>
      <c r="K643" s="31" t="str">
        <f>IFERROR(VLOOKUP(A643,Table!$I$4:$O$3000,1,TRUE),"")</f>
        <v/>
      </c>
      <c r="L643" s="31" t="str">
        <f>IFERROR(INDEX(Table!I:O,MATCH(K643,Table!I:I,0),2),"")</f>
        <v/>
      </c>
      <c r="M643" s="31" t="str">
        <f>IFERROR(INDEX(Table!I:O,MATCH(K643,Table!I:I,0),3),"")</f>
        <v/>
      </c>
      <c r="N643" s="32" t="str">
        <f>IFERROR(INDEX(Table!I:O,MATCH(K643,Table!I:I,0),4),"")</f>
        <v/>
      </c>
      <c r="O643" s="32" t="str">
        <f>IFERROR(INDEX(Table!I:O,MATCH(K643,Table!I:I,0),5),"")</f>
        <v/>
      </c>
      <c r="P643" s="32" t="str">
        <f>IFERROR(INDEX(Table!I:O,MATCH(K643,Table!I:I,0),6),"")</f>
        <v/>
      </c>
      <c r="Q643" s="89" t="str">
        <f t="shared" si="27"/>
        <v/>
      </c>
      <c r="R643" s="89" t="str">
        <f t="shared" si="28"/>
        <v/>
      </c>
      <c r="S643" s="82"/>
      <c r="U643" s="37" t="e">
        <f t="shared" si="29"/>
        <v>#VALUE!</v>
      </c>
    </row>
    <row r="644" spans="1:21" x14ac:dyDescent="0.25">
      <c r="A644" s="31" t="str">
        <f>IF(Table!A644 = "","",Table!A644)</f>
        <v/>
      </c>
      <c r="B644" s="31" t="str">
        <f>IF(Table!B644 = "","",Table!B644)</f>
        <v/>
      </c>
      <c r="C644" s="31" t="str">
        <f>IF(Table!C644 = "","",Table!C644)</f>
        <v/>
      </c>
      <c r="D644" s="32" t="str">
        <f>IF(Table!D644 = "","",Table!D644)</f>
        <v/>
      </c>
      <c r="E644" s="32" t="str">
        <f>IF(Table!E644 = "","",Table!E644)</f>
        <v/>
      </c>
      <c r="F644" s="32" t="str">
        <f>IF(Table!F644 = "","",Table!F644)</f>
        <v/>
      </c>
      <c r="G644" s="91"/>
      <c r="I644" s="84" t="str">
        <f>IFERROR(VLOOKUP(A644,Downlink!A:L,12,TRUE),"")</f>
        <v/>
      </c>
      <c r="K644" s="31" t="str">
        <f>IFERROR(VLOOKUP(A644,Table!$I$4:$O$3000,1,TRUE),"")</f>
        <v/>
      </c>
      <c r="L644" s="31" t="str">
        <f>IFERROR(INDEX(Table!I:O,MATCH(K644,Table!I:I,0),2),"")</f>
        <v/>
      </c>
      <c r="M644" s="31" t="str">
        <f>IFERROR(INDEX(Table!I:O,MATCH(K644,Table!I:I,0),3),"")</f>
        <v/>
      </c>
      <c r="N644" s="32" t="str">
        <f>IFERROR(INDEX(Table!I:O,MATCH(K644,Table!I:I,0),4),"")</f>
        <v/>
      </c>
      <c r="O644" s="32" t="str">
        <f>IFERROR(INDEX(Table!I:O,MATCH(K644,Table!I:I,0),5),"")</f>
        <v/>
      </c>
      <c r="P644" s="32" t="str">
        <f>IFERROR(INDEX(Table!I:O,MATCH(K644,Table!I:I,0),6),"")</f>
        <v/>
      </c>
      <c r="Q644" s="89" t="str">
        <f t="shared" si="27"/>
        <v/>
      </c>
      <c r="R644" s="89" t="str">
        <f t="shared" si="28"/>
        <v/>
      </c>
      <c r="S644" s="82"/>
      <c r="U644" s="37" t="e">
        <f t="shared" si="29"/>
        <v>#VALUE!</v>
      </c>
    </row>
    <row r="645" spans="1:21" x14ac:dyDescent="0.25">
      <c r="A645" s="31" t="str">
        <f>IF(Table!A645 = "","",Table!A645)</f>
        <v/>
      </c>
      <c r="B645" s="31" t="str">
        <f>IF(Table!B645 = "","",Table!B645)</f>
        <v/>
      </c>
      <c r="C645" s="31" t="str">
        <f>IF(Table!C645 = "","",Table!C645)</f>
        <v/>
      </c>
      <c r="D645" s="32" t="str">
        <f>IF(Table!D645 = "","",Table!D645)</f>
        <v/>
      </c>
      <c r="E645" s="32" t="str">
        <f>IF(Table!E645 = "","",Table!E645)</f>
        <v/>
      </c>
      <c r="F645" s="32" t="str">
        <f>IF(Table!F645 = "","",Table!F645)</f>
        <v/>
      </c>
      <c r="G645" s="91"/>
      <c r="I645" s="84" t="str">
        <f>IFERROR(VLOOKUP(A645,Downlink!A:L,12,TRUE),"")</f>
        <v/>
      </c>
      <c r="K645" s="31" t="str">
        <f>IFERROR(VLOOKUP(A645,Table!$I$4:$O$3000,1,TRUE),"")</f>
        <v/>
      </c>
      <c r="L645" s="31" t="str">
        <f>IFERROR(INDEX(Table!I:O,MATCH(K645,Table!I:I,0),2),"")</f>
        <v/>
      </c>
      <c r="M645" s="31" t="str">
        <f>IFERROR(INDEX(Table!I:O,MATCH(K645,Table!I:I,0),3),"")</f>
        <v/>
      </c>
      <c r="N645" s="32" t="str">
        <f>IFERROR(INDEX(Table!I:O,MATCH(K645,Table!I:I,0),4),"")</f>
        <v/>
      </c>
      <c r="O645" s="32" t="str">
        <f>IFERROR(INDEX(Table!I:O,MATCH(K645,Table!I:I,0),5),"")</f>
        <v/>
      </c>
      <c r="P645" s="32" t="str">
        <f>IFERROR(INDEX(Table!I:O,MATCH(K645,Table!I:I,0),6),"")</f>
        <v/>
      </c>
      <c r="Q645" s="89" t="str">
        <f t="shared" si="27"/>
        <v/>
      </c>
      <c r="R645" s="89" t="str">
        <f t="shared" si="28"/>
        <v/>
      </c>
      <c r="S645" s="82"/>
      <c r="U645" s="37" t="e">
        <f t="shared" si="29"/>
        <v>#VALUE!</v>
      </c>
    </row>
    <row r="646" spans="1:21" x14ac:dyDescent="0.25">
      <c r="A646" s="31" t="str">
        <f>IF(Table!A646 = "","",Table!A646)</f>
        <v/>
      </c>
      <c r="B646" s="31" t="str">
        <f>IF(Table!B646 = "","",Table!B646)</f>
        <v/>
      </c>
      <c r="C646" s="31" t="str">
        <f>IF(Table!C646 = "","",Table!C646)</f>
        <v/>
      </c>
      <c r="D646" s="32" t="str">
        <f>IF(Table!D646 = "","",Table!D646)</f>
        <v/>
      </c>
      <c r="E646" s="32" t="str">
        <f>IF(Table!E646 = "","",Table!E646)</f>
        <v/>
      </c>
      <c r="F646" s="32" t="str">
        <f>IF(Table!F646 = "","",Table!F646)</f>
        <v/>
      </c>
      <c r="G646" s="91"/>
      <c r="I646" s="84" t="str">
        <f>IFERROR(VLOOKUP(A646,Downlink!A:L,12,TRUE),"")</f>
        <v/>
      </c>
      <c r="K646" s="31" t="str">
        <f>IFERROR(VLOOKUP(A646,Table!$I$4:$O$3000,1,TRUE),"")</f>
        <v/>
      </c>
      <c r="L646" s="31" t="str">
        <f>IFERROR(INDEX(Table!I:O,MATCH(K646,Table!I:I,0),2),"")</f>
        <v/>
      </c>
      <c r="M646" s="31" t="str">
        <f>IFERROR(INDEX(Table!I:O,MATCH(K646,Table!I:I,0),3),"")</f>
        <v/>
      </c>
      <c r="N646" s="32" t="str">
        <f>IFERROR(INDEX(Table!I:O,MATCH(K646,Table!I:I,0),4),"")</f>
        <v/>
      </c>
      <c r="O646" s="32" t="str">
        <f>IFERROR(INDEX(Table!I:O,MATCH(K646,Table!I:I,0),5),"")</f>
        <v/>
      </c>
      <c r="P646" s="32" t="str">
        <f>IFERROR(INDEX(Table!I:O,MATCH(K646,Table!I:I,0),6),"")</f>
        <v/>
      </c>
      <c r="Q646" s="89" t="str">
        <f t="shared" ref="Q646:Q709" si="30">IFERROR(L646-B646,"")</f>
        <v/>
      </c>
      <c r="R646" s="89" t="str">
        <f t="shared" ref="R646:R709" si="31">IFERROR(M646-C646,"")</f>
        <v/>
      </c>
      <c r="S646" s="82"/>
      <c r="U646" s="37" t="e">
        <f t="shared" ref="U646:U709" si="32">K646-K645</f>
        <v>#VALUE!</v>
      </c>
    </row>
    <row r="647" spans="1:21" x14ac:dyDescent="0.25">
      <c r="A647" s="31" t="str">
        <f>IF(Table!A647 = "","",Table!A647)</f>
        <v/>
      </c>
      <c r="B647" s="31" t="str">
        <f>IF(Table!B647 = "","",Table!B647)</f>
        <v/>
      </c>
      <c r="C647" s="31" t="str">
        <f>IF(Table!C647 = "","",Table!C647)</f>
        <v/>
      </c>
      <c r="D647" s="32" t="str">
        <f>IF(Table!D647 = "","",Table!D647)</f>
        <v/>
      </c>
      <c r="E647" s="32" t="str">
        <f>IF(Table!E647 = "","",Table!E647)</f>
        <v/>
      </c>
      <c r="F647" s="32" t="str">
        <f>IF(Table!F647 = "","",Table!F647)</f>
        <v/>
      </c>
      <c r="G647" s="91"/>
      <c r="I647" s="84" t="str">
        <f>IFERROR(VLOOKUP(A647,Downlink!A:L,12,TRUE),"")</f>
        <v/>
      </c>
      <c r="K647" s="31" t="str">
        <f>IFERROR(VLOOKUP(A647,Table!$I$4:$O$3000,1,TRUE),"")</f>
        <v/>
      </c>
      <c r="L647" s="31" t="str">
        <f>IFERROR(INDEX(Table!I:O,MATCH(K647,Table!I:I,0),2),"")</f>
        <v/>
      </c>
      <c r="M647" s="31" t="str">
        <f>IFERROR(INDEX(Table!I:O,MATCH(K647,Table!I:I,0),3),"")</f>
        <v/>
      </c>
      <c r="N647" s="32" t="str">
        <f>IFERROR(INDEX(Table!I:O,MATCH(K647,Table!I:I,0),4),"")</f>
        <v/>
      </c>
      <c r="O647" s="32" t="str">
        <f>IFERROR(INDEX(Table!I:O,MATCH(K647,Table!I:I,0),5),"")</f>
        <v/>
      </c>
      <c r="P647" s="32" t="str">
        <f>IFERROR(INDEX(Table!I:O,MATCH(K647,Table!I:I,0),6),"")</f>
        <v/>
      </c>
      <c r="Q647" s="89" t="str">
        <f t="shared" si="30"/>
        <v/>
      </c>
      <c r="R647" s="89" t="str">
        <f t="shared" si="31"/>
        <v/>
      </c>
      <c r="S647" s="82"/>
      <c r="U647" s="37" t="e">
        <f t="shared" si="32"/>
        <v>#VALUE!</v>
      </c>
    </row>
    <row r="648" spans="1:21" x14ac:dyDescent="0.25">
      <c r="A648" s="31" t="str">
        <f>IF(Table!A648 = "","",Table!A648)</f>
        <v/>
      </c>
      <c r="B648" s="31" t="str">
        <f>IF(Table!B648 = "","",Table!B648)</f>
        <v/>
      </c>
      <c r="C648" s="31" t="str">
        <f>IF(Table!C648 = "","",Table!C648)</f>
        <v/>
      </c>
      <c r="D648" s="32" t="str">
        <f>IF(Table!D648 = "","",Table!D648)</f>
        <v/>
      </c>
      <c r="E648" s="32" t="str">
        <f>IF(Table!E648 = "","",Table!E648)</f>
        <v/>
      </c>
      <c r="F648" s="32" t="str">
        <f>IF(Table!F648 = "","",Table!F648)</f>
        <v/>
      </c>
      <c r="G648" s="91"/>
      <c r="I648" s="84" t="str">
        <f>IFERROR(VLOOKUP(A648,Downlink!A:L,12,TRUE),"")</f>
        <v/>
      </c>
      <c r="K648" s="31" t="str">
        <f>IFERROR(VLOOKUP(A648,Table!$I$4:$O$3000,1,TRUE),"")</f>
        <v/>
      </c>
      <c r="L648" s="31" t="str">
        <f>IFERROR(INDEX(Table!I:O,MATCH(K648,Table!I:I,0),2),"")</f>
        <v/>
      </c>
      <c r="M648" s="31" t="str">
        <f>IFERROR(INDEX(Table!I:O,MATCH(K648,Table!I:I,0),3),"")</f>
        <v/>
      </c>
      <c r="N648" s="32" t="str">
        <f>IFERROR(INDEX(Table!I:O,MATCH(K648,Table!I:I,0),4),"")</f>
        <v/>
      </c>
      <c r="O648" s="32" t="str">
        <f>IFERROR(INDEX(Table!I:O,MATCH(K648,Table!I:I,0),5),"")</f>
        <v/>
      </c>
      <c r="P648" s="32" t="str">
        <f>IFERROR(INDEX(Table!I:O,MATCH(K648,Table!I:I,0),6),"")</f>
        <v/>
      </c>
      <c r="Q648" s="89" t="str">
        <f t="shared" si="30"/>
        <v/>
      </c>
      <c r="R648" s="89" t="str">
        <f t="shared" si="31"/>
        <v/>
      </c>
      <c r="S648" s="82"/>
      <c r="U648" s="37" t="e">
        <f t="shared" si="32"/>
        <v>#VALUE!</v>
      </c>
    </row>
    <row r="649" spans="1:21" x14ac:dyDescent="0.25">
      <c r="A649" s="31" t="str">
        <f>IF(Table!A649 = "","",Table!A649)</f>
        <v/>
      </c>
      <c r="B649" s="31" t="str">
        <f>IF(Table!B649 = "","",Table!B649)</f>
        <v/>
      </c>
      <c r="C649" s="31" t="str">
        <f>IF(Table!C649 = "","",Table!C649)</f>
        <v/>
      </c>
      <c r="D649" s="32" t="str">
        <f>IF(Table!D649 = "","",Table!D649)</f>
        <v/>
      </c>
      <c r="E649" s="32" t="str">
        <f>IF(Table!E649 = "","",Table!E649)</f>
        <v/>
      </c>
      <c r="F649" s="32" t="str">
        <f>IF(Table!F649 = "","",Table!F649)</f>
        <v/>
      </c>
      <c r="G649" s="91"/>
      <c r="I649" s="84" t="str">
        <f>IFERROR(VLOOKUP(A649,Downlink!A:L,12,TRUE),"")</f>
        <v/>
      </c>
      <c r="K649" s="31" t="str">
        <f>IFERROR(VLOOKUP(A649,Table!$I$4:$O$3000,1,TRUE),"")</f>
        <v/>
      </c>
      <c r="L649" s="31" t="str">
        <f>IFERROR(INDEX(Table!I:O,MATCH(K649,Table!I:I,0),2),"")</f>
        <v/>
      </c>
      <c r="M649" s="31" t="str">
        <f>IFERROR(INDEX(Table!I:O,MATCH(K649,Table!I:I,0),3),"")</f>
        <v/>
      </c>
      <c r="N649" s="32" t="str">
        <f>IFERROR(INDEX(Table!I:O,MATCH(K649,Table!I:I,0),4),"")</f>
        <v/>
      </c>
      <c r="O649" s="32" t="str">
        <f>IFERROR(INDEX(Table!I:O,MATCH(K649,Table!I:I,0),5),"")</f>
        <v/>
      </c>
      <c r="P649" s="32" t="str">
        <f>IFERROR(INDEX(Table!I:O,MATCH(K649,Table!I:I,0),6),"")</f>
        <v/>
      </c>
      <c r="Q649" s="89" t="str">
        <f t="shared" si="30"/>
        <v/>
      </c>
      <c r="R649" s="89" t="str">
        <f t="shared" si="31"/>
        <v/>
      </c>
      <c r="S649" s="82"/>
      <c r="U649" s="37" t="e">
        <f t="shared" si="32"/>
        <v>#VALUE!</v>
      </c>
    </row>
    <row r="650" spans="1:21" x14ac:dyDescent="0.25">
      <c r="A650" s="31" t="str">
        <f>IF(Table!A650 = "","",Table!A650)</f>
        <v/>
      </c>
      <c r="B650" s="31" t="str">
        <f>IF(Table!B650 = "","",Table!B650)</f>
        <v/>
      </c>
      <c r="C650" s="31" t="str">
        <f>IF(Table!C650 = "","",Table!C650)</f>
        <v/>
      </c>
      <c r="D650" s="32" t="str">
        <f>IF(Table!D650 = "","",Table!D650)</f>
        <v/>
      </c>
      <c r="E650" s="32" t="str">
        <f>IF(Table!E650 = "","",Table!E650)</f>
        <v/>
      </c>
      <c r="F650" s="32" t="str">
        <f>IF(Table!F650 = "","",Table!F650)</f>
        <v/>
      </c>
      <c r="G650" s="91"/>
      <c r="I650" s="84" t="str">
        <f>IFERROR(VLOOKUP(A650,Downlink!A:L,12,TRUE),"")</f>
        <v/>
      </c>
      <c r="K650" s="31" t="str">
        <f>IFERROR(VLOOKUP(A650,Table!$I$4:$O$3000,1,TRUE),"")</f>
        <v/>
      </c>
      <c r="L650" s="31" t="str">
        <f>IFERROR(INDEX(Table!I:O,MATCH(K650,Table!I:I,0),2),"")</f>
        <v/>
      </c>
      <c r="M650" s="31" t="str">
        <f>IFERROR(INDEX(Table!I:O,MATCH(K650,Table!I:I,0),3),"")</f>
        <v/>
      </c>
      <c r="N650" s="32" t="str">
        <f>IFERROR(INDEX(Table!I:O,MATCH(K650,Table!I:I,0),4),"")</f>
        <v/>
      </c>
      <c r="O650" s="32" t="str">
        <f>IFERROR(INDEX(Table!I:O,MATCH(K650,Table!I:I,0),5),"")</f>
        <v/>
      </c>
      <c r="P650" s="32" t="str">
        <f>IFERROR(INDEX(Table!I:O,MATCH(K650,Table!I:I,0),6),"")</f>
        <v/>
      </c>
      <c r="Q650" s="89" t="str">
        <f t="shared" si="30"/>
        <v/>
      </c>
      <c r="R650" s="89" t="str">
        <f t="shared" si="31"/>
        <v/>
      </c>
      <c r="S650" s="82"/>
      <c r="U650" s="37" t="e">
        <f t="shared" si="32"/>
        <v>#VALUE!</v>
      </c>
    </row>
    <row r="651" spans="1:21" x14ac:dyDescent="0.25">
      <c r="A651" s="31" t="str">
        <f>IF(Table!A651 = "","",Table!A651)</f>
        <v/>
      </c>
      <c r="B651" s="31" t="str">
        <f>IF(Table!B651 = "","",Table!B651)</f>
        <v/>
      </c>
      <c r="C651" s="31" t="str">
        <f>IF(Table!C651 = "","",Table!C651)</f>
        <v/>
      </c>
      <c r="D651" s="32" t="str">
        <f>IF(Table!D651 = "","",Table!D651)</f>
        <v/>
      </c>
      <c r="E651" s="32" t="str">
        <f>IF(Table!E651 = "","",Table!E651)</f>
        <v/>
      </c>
      <c r="F651" s="32" t="str">
        <f>IF(Table!F651 = "","",Table!F651)</f>
        <v/>
      </c>
      <c r="G651" s="91"/>
      <c r="I651" s="84" t="str">
        <f>IFERROR(VLOOKUP(A651,Downlink!A:L,12,TRUE),"")</f>
        <v/>
      </c>
      <c r="K651" s="31" t="str">
        <f>IFERROR(VLOOKUP(A651,Table!$I$4:$O$3000,1,TRUE),"")</f>
        <v/>
      </c>
      <c r="L651" s="31" t="str">
        <f>IFERROR(INDEX(Table!I:O,MATCH(K651,Table!I:I,0),2),"")</f>
        <v/>
      </c>
      <c r="M651" s="31" t="str">
        <f>IFERROR(INDEX(Table!I:O,MATCH(K651,Table!I:I,0),3),"")</f>
        <v/>
      </c>
      <c r="N651" s="32" t="str">
        <f>IFERROR(INDEX(Table!I:O,MATCH(K651,Table!I:I,0),4),"")</f>
        <v/>
      </c>
      <c r="O651" s="32" t="str">
        <f>IFERROR(INDEX(Table!I:O,MATCH(K651,Table!I:I,0),5),"")</f>
        <v/>
      </c>
      <c r="P651" s="32" t="str">
        <f>IFERROR(INDEX(Table!I:O,MATCH(K651,Table!I:I,0),6),"")</f>
        <v/>
      </c>
      <c r="Q651" s="89" t="str">
        <f t="shared" si="30"/>
        <v/>
      </c>
      <c r="R651" s="89" t="str">
        <f t="shared" si="31"/>
        <v/>
      </c>
      <c r="S651" s="82"/>
      <c r="U651" s="37" t="e">
        <f t="shared" si="32"/>
        <v>#VALUE!</v>
      </c>
    </row>
    <row r="652" spans="1:21" x14ac:dyDescent="0.25">
      <c r="A652" s="31" t="str">
        <f>IF(Table!A652 = "","",Table!A652)</f>
        <v/>
      </c>
      <c r="B652" s="31" t="str">
        <f>IF(Table!B652 = "","",Table!B652)</f>
        <v/>
      </c>
      <c r="C652" s="31" t="str">
        <f>IF(Table!C652 = "","",Table!C652)</f>
        <v/>
      </c>
      <c r="D652" s="32" t="str">
        <f>IF(Table!D652 = "","",Table!D652)</f>
        <v/>
      </c>
      <c r="E652" s="32" t="str">
        <f>IF(Table!E652 = "","",Table!E652)</f>
        <v/>
      </c>
      <c r="F652" s="32" t="str">
        <f>IF(Table!F652 = "","",Table!F652)</f>
        <v/>
      </c>
      <c r="G652" s="91"/>
      <c r="I652" s="84" t="str">
        <f>IFERROR(VLOOKUP(A652,Downlink!A:L,12,TRUE),"")</f>
        <v/>
      </c>
      <c r="K652" s="31" t="str">
        <f>IFERROR(VLOOKUP(A652,Table!$I$4:$O$3000,1,TRUE),"")</f>
        <v/>
      </c>
      <c r="L652" s="31" t="str">
        <f>IFERROR(INDEX(Table!I:O,MATCH(K652,Table!I:I,0),2),"")</f>
        <v/>
      </c>
      <c r="M652" s="31" t="str">
        <f>IFERROR(INDEX(Table!I:O,MATCH(K652,Table!I:I,0),3),"")</f>
        <v/>
      </c>
      <c r="N652" s="32" t="str">
        <f>IFERROR(INDEX(Table!I:O,MATCH(K652,Table!I:I,0),4),"")</f>
        <v/>
      </c>
      <c r="O652" s="32" t="str">
        <f>IFERROR(INDEX(Table!I:O,MATCH(K652,Table!I:I,0),5),"")</f>
        <v/>
      </c>
      <c r="P652" s="32" t="str">
        <f>IFERROR(INDEX(Table!I:O,MATCH(K652,Table!I:I,0),6),"")</f>
        <v/>
      </c>
      <c r="Q652" s="89" t="str">
        <f t="shared" si="30"/>
        <v/>
      </c>
      <c r="R652" s="89" t="str">
        <f t="shared" si="31"/>
        <v/>
      </c>
      <c r="S652" s="82"/>
      <c r="U652" s="37" t="e">
        <f t="shared" si="32"/>
        <v>#VALUE!</v>
      </c>
    </row>
    <row r="653" spans="1:21" x14ac:dyDescent="0.25">
      <c r="A653" s="31" t="str">
        <f>IF(Table!A653 = "","",Table!A653)</f>
        <v/>
      </c>
      <c r="B653" s="31" t="str">
        <f>IF(Table!B653 = "","",Table!B653)</f>
        <v/>
      </c>
      <c r="C653" s="31" t="str">
        <f>IF(Table!C653 = "","",Table!C653)</f>
        <v/>
      </c>
      <c r="D653" s="32" t="str">
        <f>IF(Table!D653 = "","",Table!D653)</f>
        <v/>
      </c>
      <c r="E653" s="32" t="str">
        <f>IF(Table!E653 = "","",Table!E653)</f>
        <v/>
      </c>
      <c r="F653" s="32" t="str">
        <f>IF(Table!F653 = "","",Table!F653)</f>
        <v/>
      </c>
      <c r="G653" s="91"/>
      <c r="I653" s="84" t="str">
        <f>IFERROR(VLOOKUP(A653,Downlink!A:L,12,TRUE),"")</f>
        <v/>
      </c>
      <c r="K653" s="31" t="str">
        <f>IFERROR(VLOOKUP(A653,Table!$I$4:$O$3000,1,TRUE),"")</f>
        <v/>
      </c>
      <c r="L653" s="31" t="str">
        <f>IFERROR(INDEX(Table!I:O,MATCH(K653,Table!I:I,0),2),"")</f>
        <v/>
      </c>
      <c r="M653" s="31" t="str">
        <f>IFERROR(INDEX(Table!I:O,MATCH(K653,Table!I:I,0),3),"")</f>
        <v/>
      </c>
      <c r="N653" s="32" t="str">
        <f>IFERROR(INDEX(Table!I:O,MATCH(K653,Table!I:I,0),4),"")</f>
        <v/>
      </c>
      <c r="O653" s="32" t="str">
        <f>IFERROR(INDEX(Table!I:O,MATCH(K653,Table!I:I,0),5),"")</f>
        <v/>
      </c>
      <c r="P653" s="32" t="str">
        <f>IFERROR(INDEX(Table!I:O,MATCH(K653,Table!I:I,0),6),"")</f>
        <v/>
      </c>
      <c r="Q653" s="89" t="str">
        <f t="shared" si="30"/>
        <v/>
      </c>
      <c r="R653" s="89" t="str">
        <f t="shared" si="31"/>
        <v/>
      </c>
      <c r="S653" s="82"/>
      <c r="U653" s="37" t="e">
        <f t="shared" si="32"/>
        <v>#VALUE!</v>
      </c>
    </row>
    <row r="654" spans="1:21" x14ac:dyDescent="0.25">
      <c r="A654" s="31" t="str">
        <f>IF(Table!A654 = "","",Table!A654)</f>
        <v/>
      </c>
      <c r="B654" s="31" t="str">
        <f>IF(Table!B654 = "","",Table!B654)</f>
        <v/>
      </c>
      <c r="C654" s="31" t="str">
        <f>IF(Table!C654 = "","",Table!C654)</f>
        <v/>
      </c>
      <c r="D654" s="32" t="str">
        <f>IF(Table!D654 = "","",Table!D654)</f>
        <v/>
      </c>
      <c r="E654" s="32" t="str">
        <f>IF(Table!E654 = "","",Table!E654)</f>
        <v/>
      </c>
      <c r="F654" s="32" t="str">
        <f>IF(Table!F654 = "","",Table!F654)</f>
        <v/>
      </c>
      <c r="G654" s="91"/>
      <c r="I654" s="84" t="str">
        <f>IFERROR(VLOOKUP(A654,Downlink!A:L,12,TRUE),"")</f>
        <v/>
      </c>
      <c r="K654" s="31" t="str">
        <f>IFERROR(VLOOKUP(A654,Table!$I$4:$O$3000,1,TRUE),"")</f>
        <v/>
      </c>
      <c r="L654" s="31" t="str">
        <f>IFERROR(INDEX(Table!I:O,MATCH(K654,Table!I:I,0),2),"")</f>
        <v/>
      </c>
      <c r="M654" s="31" t="str">
        <f>IFERROR(INDEX(Table!I:O,MATCH(K654,Table!I:I,0),3),"")</f>
        <v/>
      </c>
      <c r="N654" s="32" t="str">
        <f>IFERROR(INDEX(Table!I:O,MATCH(K654,Table!I:I,0),4),"")</f>
        <v/>
      </c>
      <c r="O654" s="32" t="str">
        <f>IFERROR(INDEX(Table!I:O,MATCH(K654,Table!I:I,0),5),"")</f>
        <v/>
      </c>
      <c r="P654" s="32" t="str">
        <f>IFERROR(INDEX(Table!I:O,MATCH(K654,Table!I:I,0),6),"")</f>
        <v/>
      </c>
      <c r="Q654" s="89" t="str">
        <f t="shared" si="30"/>
        <v/>
      </c>
      <c r="R654" s="89" t="str">
        <f t="shared" si="31"/>
        <v/>
      </c>
      <c r="S654" s="82"/>
      <c r="U654" s="37" t="e">
        <f t="shared" si="32"/>
        <v>#VALUE!</v>
      </c>
    </row>
    <row r="655" spans="1:21" x14ac:dyDescent="0.25">
      <c r="A655" s="31" t="str">
        <f>IF(Table!A655 = "","",Table!A655)</f>
        <v/>
      </c>
      <c r="B655" s="31" t="str">
        <f>IF(Table!B655 = "","",Table!B655)</f>
        <v/>
      </c>
      <c r="C655" s="31" t="str">
        <f>IF(Table!C655 = "","",Table!C655)</f>
        <v/>
      </c>
      <c r="D655" s="32" t="str">
        <f>IF(Table!D655 = "","",Table!D655)</f>
        <v/>
      </c>
      <c r="E655" s="32" t="str">
        <f>IF(Table!E655 = "","",Table!E655)</f>
        <v/>
      </c>
      <c r="F655" s="32" t="str">
        <f>IF(Table!F655 = "","",Table!F655)</f>
        <v/>
      </c>
      <c r="G655" s="91"/>
      <c r="I655" s="84" t="str">
        <f>IFERROR(VLOOKUP(A655,Downlink!A:L,12,TRUE),"")</f>
        <v/>
      </c>
      <c r="K655" s="31" t="str">
        <f>IFERROR(VLOOKUP(A655,Table!$I$4:$O$3000,1,TRUE),"")</f>
        <v/>
      </c>
      <c r="L655" s="31" t="str">
        <f>IFERROR(INDEX(Table!I:O,MATCH(K655,Table!I:I,0),2),"")</f>
        <v/>
      </c>
      <c r="M655" s="31" t="str">
        <f>IFERROR(INDEX(Table!I:O,MATCH(K655,Table!I:I,0),3),"")</f>
        <v/>
      </c>
      <c r="N655" s="32" t="str">
        <f>IFERROR(INDEX(Table!I:O,MATCH(K655,Table!I:I,0),4),"")</f>
        <v/>
      </c>
      <c r="O655" s="32" t="str">
        <f>IFERROR(INDEX(Table!I:O,MATCH(K655,Table!I:I,0),5),"")</f>
        <v/>
      </c>
      <c r="P655" s="32" t="str">
        <f>IFERROR(INDEX(Table!I:O,MATCH(K655,Table!I:I,0),6),"")</f>
        <v/>
      </c>
      <c r="Q655" s="89" t="str">
        <f t="shared" si="30"/>
        <v/>
      </c>
      <c r="R655" s="89" t="str">
        <f t="shared" si="31"/>
        <v/>
      </c>
      <c r="S655" s="82"/>
      <c r="U655" s="37" t="e">
        <f t="shared" si="32"/>
        <v>#VALUE!</v>
      </c>
    </row>
    <row r="656" spans="1:21" x14ac:dyDescent="0.25">
      <c r="A656" s="31" t="str">
        <f>IF(Table!A656 = "","",Table!A656)</f>
        <v/>
      </c>
      <c r="B656" s="31" t="str">
        <f>IF(Table!B656 = "","",Table!B656)</f>
        <v/>
      </c>
      <c r="C656" s="31" t="str">
        <f>IF(Table!C656 = "","",Table!C656)</f>
        <v/>
      </c>
      <c r="D656" s="32" t="str">
        <f>IF(Table!D656 = "","",Table!D656)</f>
        <v/>
      </c>
      <c r="E656" s="32" t="str">
        <f>IF(Table!E656 = "","",Table!E656)</f>
        <v/>
      </c>
      <c r="F656" s="32" t="str">
        <f>IF(Table!F656 = "","",Table!F656)</f>
        <v/>
      </c>
      <c r="G656" s="91"/>
      <c r="I656" s="84" t="str">
        <f>IFERROR(VLOOKUP(A656,Downlink!A:L,12,TRUE),"")</f>
        <v/>
      </c>
      <c r="K656" s="31" t="str">
        <f>IFERROR(VLOOKUP(A656,Table!$I$4:$O$3000,1,TRUE),"")</f>
        <v/>
      </c>
      <c r="L656" s="31" t="str">
        <f>IFERROR(INDEX(Table!I:O,MATCH(K656,Table!I:I,0),2),"")</f>
        <v/>
      </c>
      <c r="M656" s="31" t="str">
        <f>IFERROR(INDEX(Table!I:O,MATCH(K656,Table!I:I,0),3),"")</f>
        <v/>
      </c>
      <c r="N656" s="32" t="str">
        <f>IFERROR(INDEX(Table!I:O,MATCH(K656,Table!I:I,0),4),"")</f>
        <v/>
      </c>
      <c r="O656" s="32" t="str">
        <f>IFERROR(INDEX(Table!I:O,MATCH(K656,Table!I:I,0),5),"")</f>
        <v/>
      </c>
      <c r="P656" s="32" t="str">
        <f>IFERROR(INDEX(Table!I:O,MATCH(K656,Table!I:I,0),6),"")</f>
        <v/>
      </c>
      <c r="Q656" s="89" t="str">
        <f t="shared" si="30"/>
        <v/>
      </c>
      <c r="R656" s="89" t="str">
        <f t="shared" si="31"/>
        <v/>
      </c>
      <c r="S656" s="82"/>
      <c r="U656" s="37" t="e">
        <f t="shared" si="32"/>
        <v>#VALUE!</v>
      </c>
    </row>
    <row r="657" spans="1:21" x14ac:dyDescent="0.25">
      <c r="A657" s="31" t="str">
        <f>IF(Table!A657 = "","",Table!A657)</f>
        <v/>
      </c>
      <c r="B657" s="31" t="str">
        <f>IF(Table!B657 = "","",Table!B657)</f>
        <v/>
      </c>
      <c r="C657" s="31" t="str">
        <f>IF(Table!C657 = "","",Table!C657)</f>
        <v/>
      </c>
      <c r="D657" s="32" t="str">
        <f>IF(Table!D657 = "","",Table!D657)</f>
        <v/>
      </c>
      <c r="E657" s="32" t="str">
        <f>IF(Table!E657 = "","",Table!E657)</f>
        <v/>
      </c>
      <c r="F657" s="32" t="str">
        <f>IF(Table!F657 = "","",Table!F657)</f>
        <v/>
      </c>
      <c r="G657" s="91"/>
      <c r="I657" s="84" t="str">
        <f>IFERROR(VLOOKUP(A657,Downlink!A:L,12,TRUE),"")</f>
        <v/>
      </c>
      <c r="K657" s="31" t="str">
        <f>IFERROR(VLOOKUP(A657,Table!$I$4:$O$3000,1,TRUE),"")</f>
        <v/>
      </c>
      <c r="L657" s="31" t="str">
        <f>IFERROR(INDEX(Table!I:O,MATCH(K657,Table!I:I,0),2),"")</f>
        <v/>
      </c>
      <c r="M657" s="31" t="str">
        <f>IFERROR(INDEX(Table!I:O,MATCH(K657,Table!I:I,0),3),"")</f>
        <v/>
      </c>
      <c r="N657" s="32" t="str">
        <f>IFERROR(INDEX(Table!I:O,MATCH(K657,Table!I:I,0),4),"")</f>
        <v/>
      </c>
      <c r="O657" s="32" t="str">
        <f>IFERROR(INDEX(Table!I:O,MATCH(K657,Table!I:I,0),5),"")</f>
        <v/>
      </c>
      <c r="P657" s="32" t="str">
        <f>IFERROR(INDEX(Table!I:O,MATCH(K657,Table!I:I,0),6),"")</f>
        <v/>
      </c>
      <c r="Q657" s="89" t="str">
        <f t="shared" si="30"/>
        <v/>
      </c>
      <c r="R657" s="89" t="str">
        <f t="shared" si="31"/>
        <v/>
      </c>
      <c r="S657" s="82"/>
      <c r="U657" s="37" t="e">
        <f t="shared" si="32"/>
        <v>#VALUE!</v>
      </c>
    </row>
    <row r="658" spans="1:21" x14ac:dyDescent="0.25">
      <c r="A658" s="31" t="str">
        <f>IF(Table!A658 = "","",Table!A658)</f>
        <v/>
      </c>
      <c r="B658" s="31" t="str">
        <f>IF(Table!B658 = "","",Table!B658)</f>
        <v/>
      </c>
      <c r="C658" s="31" t="str">
        <f>IF(Table!C658 = "","",Table!C658)</f>
        <v/>
      </c>
      <c r="D658" s="32" t="str">
        <f>IF(Table!D658 = "","",Table!D658)</f>
        <v/>
      </c>
      <c r="E658" s="32" t="str">
        <f>IF(Table!E658 = "","",Table!E658)</f>
        <v/>
      </c>
      <c r="F658" s="32" t="str">
        <f>IF(Table!F658 = "","",Table!F658)</f>
        <v/>
      </c>
      <c r="G658" s="91"/>
      <c r="I658" s="84" t="str">
        <f>IFERROR(VLOOKUP(A658,Downlink!A:L,12,TRUE),"")</f>
        <v/>
      </c>
      <c r="K658" s="31" t="str">
        <f>IFERROR(VLOOKUP(A658,Table!$I$4:$O$3000,1,TRUE),"")</f>
        <v/>
      </c>
      <c r="L658" s="31" t="str">
        <f>IFERROR(INDEX(Table!I:O,MATCH(K658,Table!I:I,0),2),"")</f>
        <v/>
      </c>
      <c r="M658" s="31" t="str">
        <f>IFERROR(INDEX(Table!I:O,MATCH(K658,Table!I:I,0),3),"")</f>
        <v/>
      </c>
      <c r="N658" s="32" t="str">
        <f>IFERROR(INDEX(Table!I:O,MATCH(K658,Table!I:I,0),4),"")</f>
        <v/>
      </c>
      <c r="O658" s="32" t="str">
        <f>IFERROR(INDEX(Table!I:O,MATCH(K658,Table!I:I,0),5),"")</f>
        <v/>
      </c>
      <c r="P658" s="32" t="str">
        <f>IFERROR(INDEX(Table!I:O,MATCH(K658,Table!I:I,0),6),"")</f>
        <v/>
      </c>
      <c r="Q658" s="89" t="str">
        <f t="shared" si="30"/>
        <v/>
      </c>
      <c r="R658" s="89" t="str">
        <f t="shared" si="31"/>
        <v/>
      </c>
      <c r="S658" s="82"/>
      <c r="U658" s="37" t="e">
        <f t="shared" si="32"/>
        <v>#VALUE!</v>
      </c>
    </row>
    <row r="659" spans="1:21" x14ac:dyDescent="0.25">
      <c r="A659" s="31" t="str">
        <f>IF(Table!A659 = "","",Table!A659)</f>
        <v/>
      </c>
      <c r="B659" s="31" t="str">
        <f>IF(Table!B659 = "","",Table!B659)</f>
        <v/>
      </c>
      <c r="C659" s="31" t="str">
        <f>IF(Table!C659 = "","",Table!C659)</f>
        <v/>
      </c>
      <c r="D659" s="32" t="str">
        <f>IF(Table!D659 = "","",Table!D659)</f>
        <v/>
      </c>
      <c r="E659" s="32" t="str">
        <f>IF(Table!E659 = "","",Table!E659)</f>
        <v/>
      </c>
      <c r="F659" s="32" t="str">
        <f>IF(Table!F659 = "","",Table!F659)</f>
        <v/>
      </c>
      <c r="G659" s="91"/>
      <c r="I659" s="84" t="str">
        <f>IFERROR(VLOOKUP(A659,Downlink!A:L,12,TRUE),"")</f>
        <v/>
      </c>
      <c r="K659" s="31" t="str">
        <f>IFERROR(VLOOKUP(A659,Table!$I$4:$O$3000,1,TRUE),"")</f>
        <v/>
      </c>
      <c r="L659" s="31" t="str">
        <f>IFERROR(INDEX(Table!I:O,MATCH(K659,Table!I:I,0),2),"")</f>
        <v/>
      </c>
      <c r="M659" s="31" t="str">
        <f>IFERROR(INDEX(Table!I:O,MATCH(K659,Table!I:I,0),3),"")</f>
        <v/>
      </c>
      <c r="N659" s="32" t="str">
        <f>IFERROR(INDEX(Table!I:O,MATCH(K659,Table!I:I,0),4),"")</f>
        <v/>
      </c>
      <c r="O659" s="32" t="str">
        <f>IFERROR(INDEX(Table!I:O,MATCH(K659,Table!I:I,0),5),"")</f>
        <v/>
      </c>
      <c r="P659" s="32" t="str">
        <f>IFERROR(INDEX(Table!I:O,MATCH(K659,Table!I:I,0),6),"")</f>
        <v/>
      </c>
      <c r="Q659" s="89" t="str">
        <f t="shared" si="30"/>
        <v/>
      </c>
      <c r="R659" s="89" t="str">
        <f t="shared" si="31"/>
        <v/>
      </c>
      <c r="S659" s="82"/>
      <c r="U659" s="37" t="e">
        <f t="shared" si="32"/>
        <v>#VALUE!</v>
      </c>
    </row>
    <row r="660" spans="1:21" x14ac:dyDescent="0.25">
      <c r="A660" s="31" t="str">
        <f>IF(Table!A660 = "","",Table!A660)</f>
        <v/>
      </c>
      <c r="B660" s="31" t="str">
        <f>IF(Table!B660 = "","",Table!B660)</f>
        <v/>
      </c>
      <c r="C660" s="31" t="str">
        <f>IF(Table!C660 = "","",Table!C660)</f>
        <v/>
      </c>
      <c r="D660" s="32" t="str">
        <f>IF(Table!D660 = "","",Table!D660)</f>
        <v/>
      </c>
      <c r="E660" s="32" t="str">
        <f>IF(Table!E660 = "","",Table!E660)</f>
        <v/>
      </c>
      <c r="F660" s="32" t="str">
        <f>IF(Table!F660 = "","",Table!F660)</f>
        <v/>
      </c>
      <c r="G660" s="91"/>
      <c r="I660" s="84" t="str">
        <f>IFERROR(VLOOKUP(A660,Downlink!A:L,12,TRUE),"")</f>
        <v/>
      </c>
      <c r="K660" s="31" t="str">
        <f>IFERROR(VLOOKUP(A660,Table!$I$4:$O$3000,1,TRUE),"")</f>
        <v/>
      </c>
      <c r="L660" s="31" t="str">
        <f>IFERROR(INDEX(Table!I:O,MATCH(K660,Table!I:I,0),2),"")</f>
        <v/>
      </c>
      <c r="M660" s="31" t="str">
        <f>IFERROR(INDEX(Table!I:O,MATCH(K660,Table!I:I,0),3),"")</f>
        <v/>
      </c>
      <c r="N660" s="32" t="str">
        <f>IFERROR(INDEX(Table!I:O,MATCH(K660,Table!I:I,0),4),"")</f>
        <v/>
      </c>
      <c r="O660" s="32" t="str">
        <f>IFERROR(INDEX(Table!I:O,MATCH(K660,Table!I:I,0),5),"")</f>
        <v/>
      </c>
      <c r="P660" s="32" t="str">
        <f>IFERROR(INDEX(Table!I:O,MATCH(K660,Table!I:I,0),6),"")</f>
        <v/>
      </c>
      <c r="Q660" s="89" t="str">
        <f t="shared" si="30"/>
        <v/>
      </c>
      <c r="R660" s="89" t="str">
        <f t="shared" si="31"/>
        <v/>
      </c>
      <c r="S660" s="82"/>
      <c r="U660" s="37" t="e">
        <f t="shared" si="32"/>
        <v>#VALUE!</v>
      </c>
    </row>
    <row r="661" spans="1:21" x14ac:dyDescent="0.25">
      <c r="A661" s="31" t="str">
        <f>IF(Table!A661 = "","",Table!A661)</f>
        <v/>
      </c>
      <c r="B661" s="31" t="str">
        <f>IF(Table!B661 = "","",Table!B661)</f>
        <v/>
      </c>
      <c r="C661" s="31" t="str">
        <f>IF(Table!C661 = "","",Table!C661)</f>
        <v/>
      </c>
      <c r="D661" s="32" t="str">
        <f>IF(Table!D661 = "","",Table!D661)</f>
        <v/>
      </c>
      <c r="E661" s="32" t="str">
        <f>IF(Table!E661 = "","",Table!E661)</f>
        <v/>
      </c>
      <c r="F661" s="32" t="str">
        <f>IF(Table!F661 = "","",Table!F661)</f>
        <v/>
      </c>
      <c r="G661" s="91"/>
      <c r="I661" s="84" t="str">
        <f>IFERROR(VLOOKUP(A661,Downlink!A:L,12,TRUE),"")</f>
        <v/>
      </c>
      <c r="K661" s="31" t="str">
        <f>IFERROR(VLOOKUP(A661,Table!$I$4:$O$3000,1,TRUE),"")</f>
        <v/>
      </c>
      <c r="L661" s="31" t="str">
        <f>IFERROR(INDEX(Table!I:O,MATCH(K661,Table!I:I,0),2),"")</f>
        <v/>
      </c>
      <c r="M661" s="31" t="str">
        <f>IFERROR(INDEX(Table!I:O,MATCH(K661,Table!I:I,0),3),"")</f>
        <v/>
      </c>
      <c r="N661" s="32" t="str">
        <f>IFERROR(INDEX(Table!I:O,MATCH(K661,Table!I:I,0),4),"")</f>
        <v/>
      </c>
      <c r="O661" s="32" t="str">
        <f>IFERROR(INDEX(Table!I:O,MATCH(K661,Table!I:I,0),5),"")</f>
        <v/>
      </c>
      <c r="P661" s="32" t="str">
        <f>IFERROR(INDEX(Table!I:O,MATCH(K661,Table!I:I,0),6),"")</f>
        <v/>
      </c>
      <c r="Q661" s="89" t="str">
        <f t="shared" si="30"/>
        <v/>
      </c>
      <c r="R661" s="89" t="str">
        <f t="shared" si="31"/>
        <v/>
      </c>
      <c r="S661" s="82"/>
      <c r="U661" s="37" t="e">
        <f t="shared" si="32"/>
        <v>#VALUE!</v>
      </c>
    </row>
    <row r="662" spans="1:21" x14ac:dyDescent="0.25">
      <c r="A662" s="31" t="str">
        <f>IF(Table!A662 = "","",Table!A662)</f>
        <v/>
      </c>
      <c r="B662" s="31" t="str">
        <f>IF(Table!B662 = "","",Table!B662)</f>
        <v/>
      </c>
      <c r="C662" s="31" t="str">
        <f>IF(Table!C662 = "","",Table!C662)</f>
        <v/>
      </c>
      <c r="D662" s="32" t="str">
        <f>IF(Table!D662 = "","",Table!D662)</f>
        <v/>
      </c>
      <c r="E662" s="32" t="str">
        <f>IF(Table!E662 = "","",Table!E662)</f>
        <v/>
      </c>
      <c r="F662" s="32" t="str">
        <f>IF(Table!F662 = "","",Table!F662)</f>
        <v/>
      </c>
      <c r="G662" s="91"/>
      <c r="I662" s="84" t="str">
        <f>IFERROR(VLOOKUP(A662,Downlink!A:L,12,TRUE),"")</f>
        <v/>
      </c>
      <c r="K662" s="31" t="str">
        <f>IFERROR(VLOOKUP(A662,Table!$I$4:$O$3000,1,TRUE),"")</f>
        <v/>
      </c>
      <c r="L662" s="31" t="str">
        <f>IFERROR(INDEX(Table!I:O,MATCH(K662,Table!I:I,0),2),"")</f>
        <v/>
      </c>
      <c r="M662" s="31" t="str">
        <f>IFERROR(INDEX(Table!I:O,MATCH(K662,Table!I:I,0),3),"")</f>
        <v/>
      </c>
      <c r="N662" s="32" t="str">
        <f>IFERROR(INDEX(Table!I:O,MATCH(K662,Table!I:I,0),4),"")</f>
        <v/>
      </c>
      <c r="O662" s="32" t="str">
        <f>IFERROR(INDEX(Table!I:O,MATCH(K662,Table!I:I,0),5),"")</f>
        <v/>
      </c>
      <c r="P662" s="32" t="str">
        <f>IFERROR(INDEX(Table!I:O,MATCH(K662,Table!I:I,0),6),"")</f>
        <v/>
      </c>
      <c r="Q662" s="89" t="str">
        <f t="shared" si="30"/>
        <v/>
      </c>
      <c r="R662" s="89" t="str">
        <f t="shared" si="31"/>
        <v/>
      </c>
      <c r="S662" s="82"/>
      <c r="U662" s="37" t="e">
        <f t="shared" si="32"/>
        <v>#VALUE!</v>
      </c>
    </row>
    <row r="663" spans="1:21" x14ac:dyDescent="0.25">
      <c r="A663" s="31" t="str">
        <f>IF(Table!A663 = "","",Table!A663)</f>
        <v/>
      </c>
      <c r="B663" s="31" t="str">
        <f>IF(Table!B663 = "","",Table!B663)</f>
        <v/>
      </c>
      <c r="C663" s="31" t="str">
        <f>IF(Table!C663 = "","",Table!C663)</f>
        <v/>
      </c>
      <c r="D663" s="32" t="str">
        <f>IF(Table!D663 = "","",Table!D663)</f>
        <v/>
      </c>
      <c r="E663" s="32" t="str">
        <f>IF(Table!E663 = "","",Table!E663)</f>
        <v/>
      </c>
      <c r="F663" s="32" t="str">
        <f>IF(Table!F663 = "","",Table!F663)</f>
        <v/>
      </c>
      <c r="G663" s="91"/>
      <c r="I663" s="84" t="str">
        <f>IFERROR(VLOOKUP(A663,Downlink!A:L,12,TRUE),"")</f>
        <v/>
      </c>
      <c r="K663" s="31" t="str">
        <f>IFERROR(VLOOKUP(A663,Table!$I$4:$O$3000,1,TRUE),"")</f>
        <v/>
      </c>
      <c r="L663" s="31" t="str">
        <f>IFERROR(INDEX(Table!I:O,MATCH(K663,Table!I:I,0),2),"")</f>
        <v/>
      </c>
      <c r="M663" s="31" t="str">
        <f>IFERROR(INDEX(Table!I:O,MATCH(K663,Table!I:I,0),3),"")</f>
        <v/>
      </c>
      <c r="N663" s="32" t="str">
        <f>IFERROR(INDEX(Table!I:O,MATCH(K663,Table!I:I,0),4),"")</f>
        <v/>
      </c>
      <c r="O663" s="32" t="str">
        <f>IFERROR(INDEX(Table!I:O,MATCH(K663,Table!I:I,0),5),"")</f>
        <v/>
      </c>
      <c r="P663" s="32" t="str">
        <f>IFERROR(INDEX(Table!I:O,MATCH(K663,Table!I:I,0),6),"")</f>
        <v/>
      </c>
      <c r="Q663" s="89" t="str">
        <f t="shared" si="30"/>
        <v/>
      </c>
      <c r="R663" s="89" t="str">
        <f t="shared" si="31"/>
        <v/>
      </c>
      <c r="S663" s="82"/>
      <c r="U663" s="37" t="e">
        <f t="shared" si="32"/>
        <v>#VALUE!</v>
      </c>
    </row>
    <row r="664" spans="1:21" x14ac:dyDescent="0.25">
      <c r="A664" s="31" t="str">
        <f>IF(Table!A664 = "","",Table!A664)</f>
        <v/>
      </c>
      <c r="B664" s="31" t="str">
        <f>IF(Table!B664 = "","",Table!B664)</f>
        <v/>
      </c>
      <c r="C664" s="31" t="str">
        <f>IF(Table!C664 = "","",Table!C664)</f>
        <v/>
      </c>
      <c r="D664" s="32" t="str">
        <f>IF(Table!D664 = "","",Table!D664)</f>
        <v/>
      </c>
      <c r="E664" s="32" t="str">
        <f>IF(Table!E664 = "","",Table!E664)</f>
        <v/>
      </c>
      <c r="F664" s="32" t="str">
        <f>IF(Table!F664 = "","",Table!F664)</f>
        <v/>
      </c>
      <c r="G664" s="91"/>
      <c r="I664" s="84" t="str">
        <f>IFERROR(VLOOKUP(A664,Downlink!A:L,12,TRUE),"")</f>
        <v/>
      </c>
      <c r="K664" s="31" t="str">
        <f>IFERROR(VLOOKUP(A664,Table!$I$4:$O$3000,1,TRUE),"")</f>
        <v/>
      </c>
      <c r="L664" s="31" t="str">
        <f>IFERROR(INDEX(Table!I:O,MATCH(K664,Table!I:I,0),2),"")</f>
        <v/>
      </c>
      <c r="M664" s="31" t="str">
        <f>IFERROR(INDEX(Table!I:O,MATCH(K664,Table!I:I,0),3),"")</f>
        <v/>
      </c>
      <c r="N664" s="32" t="str">
        <f>IFERROR(INDEX(Table!I:O,MATCH(K664,Table!I:I,0),4),"")</f>
        <v/>
      </c>
      <c r="O664" s="32" t="str">
        <f>IFERROR(INDEX(Table!I:O,MATCH(K664,Table!I:I,0),5),"")</f>
        <v/>
      </c>
      <c r="P664" s="32" t="str">
        <f>IFERROR(INDEX(Table!I:O,MATCH(K664,Table!I:I,0),6),"")</f>
        <v/>
      </c>
      <c r="Q664" s="89" t="str">
        <f t="shared" si="30"/>
        <v/>
      </c>
      <c r="R664" s="89" t="str">
        <f t="shared" si="31"/>
        <v/>
      </c>
      <c r="S664" s="82"/>
      <c r="U664" s="37" t="e">
        <f t="shared" si="32"/>
        <v>#VALUE!</v>
      </c>
    </row>
    <row r="665" spans="1:21" x14ac:dyDescent="0.25">
      <c r="A665" s="31" t="str">
        <f>IF(Table!A665 = "","",Table!A665)</f>
        <v/>
      </c>
      <c r="B665" s="31" t="str">
        <f>IF(Table!B665 = "","",Table!B665)</f>
        <v/>
      </c>
      <c r="C665" s="31" t="str">
        <f>IF(Table!C665 = "","",Table!C665)</f>
        <v/>
      </c>
      <c r="D665" s="32" t="str">
        <f>IF(Table!D665 = "","",Table!D665)</f>
        <v/>
      </c>
      <c r="E665" s="32" t="str">
        <f>IF(Table!E665 = "","",Table!E665)</f>
        <v/>
      </c>
      <c r="F665" s="32" t="str">
        <f>IF(Table!F665 = "","",Table!F665)</f>
        <v/>
      </c>
      <c r="G665" s="91"/>
      <c r="I665" s="84" t="str">
        <f>IFERROR(VLOOKUP(A665,Downlink!A:L,12,TRUE),"")</f>
        <v/>
      </c>
      <c r="K665" s="31" t="str">
        <f>IFERROR(VLOOKUP(A665,Table!$I$4:$O$3000,1,TRUE),"")</f>
        <v/>
      </c>
      <c r="L665" s="31" t="str">
        <f>IFERROR(INDEX(Table!I:O,MATCH(K665,Table!I:I,0),2),"")</f>
        <v/>
      </c>
      <c r="M665" s="31" t="str">
        <f>IFERROR(INDEX(Table!I:O,MATCH(K665,Table!I:I,0),3),"")</f>
        <v/>
      </c>
      <c r="N665" s="32" t="str">
        <f>IFERROR(INDEX(Table!I:O,MATCH(K665,Table!I:I,0),4),"")</f>
        <v/>
      </c>
      <c r="O665" s="32" t="str">
        <f>IFERROR(INDEX(Table!I:O,MATCH(K665,Table!I:I,0),5),"")</f>
        <v/>
      </c>
      <c r="P665" s="32" t="str">
        <f>IFERROR(INDEX(Table!I:O,MATCH(K665,Table!I:I,0),6),"")</f>
        <v/>
      </c>
      <c r="Q665" s="89" t="str">
        <f t="shared" si="30"/>
        <v/>
      </c>
      <c r="R665" s="89" t="str">
        <f t="shared" si="31"/>
        <v/>
      </c>
      <c r="S665" s="82"/>
      <c r="U665" s="37" t="e">
        <f t="shared" si="32"/>
        <v>#VALUE!</v>
      </c>
    </row>
    <row r="666" spans="1:21" x14ac:dyDescent="0.25">
      <c r="A666" s="31" t="str">
        <f>IF(Table!A666 = "","",Table!A666)</f>
        <v/>
      </c>
      <c r="B666" s="31" t="str">
        <f>IF(Table!B666 = "","",Table!B666)</f>
        <v/>
      </c>
      <c r="C666" s="31" t="str">
        <f>IF(Table!C666 = "","",Table!C666)</f>
        <v/>
      </c>
      <c r="D666" s="32" t="str">
        <f>IF(Table!D666 = "","",Table!D666)</f>
        <v/>
      </c>
      <c r="E666" s="32" t="str">
        <f>IF(Table!E666 = "","",Table!E666)</f>
        <v/>
      </c>
      <c r="F666" s="32" t="str">
        <f>IF(Table!F666 = "","",Table!F666)</f>
        <v/>
      </c>
      <c r="G666" s="91"/>
      <c r="I666" s="84" t="str">
        <f>IFERROR(VLOOKUP(A666,Downlink!A:L,12,TRUE),"")</f>
        <v/>
      </c>
      <c r="K666" s="31" t="str">
        <f>IFERROR(VLOOKUP(A666,Table!$I$4:$O$3000,1,TRUE),"")</f>
        <v/>
      </c>
      <c r="L666" s="31" t="str">
        <f>IFERROR(INDEX(Table!I:O,MATCH(K666,Table!I:I,0),2),"")</f>
        <v/>
      </c>
      <c r="M666" s="31" t="str">
        <f>IFERROR(INDEX(Table!I:O,MATCH(K666,Table!I:I,0),3),"")</f>
        <v/>
      </c>
      <c r="N666" s="32" t="str">
        <f>IFERROR(INDEX(Table!I:O,MATCH(K666,Table!I:I,0),4),"")</f>
        <v/>
      </c>
      <c r="O666" s="32" t="str">
        <f>IFERROR(INDEX(Table!I:O,MATCH(K666,Table!I:I,0),5),"")</f>
        <v/>
      </c>
      <c r="P666" s="32" t="str">
        <f>IFERROR(INDEX(Table!I:O,MATCH(K666,Table!I:I,0),6),"")</f>
        <v/>
      </c>
      <c r="Q666" s="89" t="str">
        <f t="shared" si="30"/>
        <v/>
      </c>
      <c r="R666" s="89" t="str">
        <f t="shared" si="31"/>
        <v/>
      </c>
      <c r="S666" s="82"/>
      <c r="U666" s="37" t="e">
        <f t="shared" si="32"/>
        <v>#VALUE!</v>
      </c>
    </row>
    <row r="667" spans="1:21" x14ac:dyDescent="0.25">
      <c r="A667" s="31" t="str">
        <f>IF(Table!A667 = "","",Table!A667)</f>
        <v/>
      </c>
      <c r="B667" s="31" t="str">
        <f>IF(Table!B667 = "","",Table!B667)</f>
        <v/>
      </c>
      <c r="C667" s="31" t="str">
        <f>IF(Table!C667 = "","",Table!C667)</f>
        <v/>
      </c>
      <c r="D667" s="32" t="str">
        <f>IF(Table!D667 = "","",Table!D667)</f>
        <v/>
      </c>
      <c r="E667" s="32" t="str">
        <f>IF(Table!E667 = "","",Table!E667)</f>
        <v/>
      </c>
      <c r="F667" s="32" t="str">
        <f>IF(Table!F667 = "","",Table!F667)</f>
        <v/>
      </c>
      <c r="G667" s="91"/>
      <c r="I667" s="84" t="str">
        <f>IFERROR(VLOOKUP(A667,Downlink!A:L,12,TRUE),"")</f>
        <v/>
      </c>
      <c r="K667" s="31" t="str">
        <f>IFERROR(VLOOKUP(A667,Table!$I$4:$O$3000,1,TRUE),"")</f>
        <v/>
      </c>
      <c r="L667" s="31" t="str">
        <f>IFERROR(INDEX(Table!I:O,MATCH(K667,Table!I:I,0),2),"")</f>
        <v/>
      </c>
      <c r="M667" s="31" t="str">
        <f>IFERROR(INDEX(Table!I:O,MATCH(K667,Table!I:I,0),3),"")</f>
        <v/>
      </c>
      <c r="N667" s="32" t="str">
        <f>IFERROR(INDEX(Table!I:O,MATCH(K667,Table!I:I,0),4),"")</f>
        <v/>
      </c>
      <c r="O667" s="32" t="str">
        <f>IFERROR(INDEX(Table!I:O,MATCH(K667,Table!I:I,0),5),"")</f>
        <v/>
      </c>
      <c r="P667" s="32" t="str">
        <f>IFERROR(INDEX(Table!I:O,MATCH(K667,Table!I:I,0),6),"")</f>
        <v/>
      </c>
      <c r="Q667" s="89" t="str">
        <f t="shared" si="30"/>
        <v/>
      </c>
      <c r="R667" s="89" t="str">
        <f t="shared" si="31"/>
        <v/>
      </c>
      <c r="S667" s="82"/>
      <c r="U667" s="37" t="e">
        <f t="shared" si="32"/>
        <v>#VALUE!</v>
      </c>
    </row>
    <row r="668" spans="1:21" x14ac:dyDescent="0.25">
      <c r="A668" s="31" t="str">
        <f>IF(Table!A668 = "","",Table!A668)</f>
        <v/>
      </c>
      <c r="B668" s="31" t="str">
        <f>IF(Table!B668 = "","",Table!B668)</f>
        <v/>
      </c>
      <c r="C668" s="31" t="str">
        <f>IF(Table!C668 = "","",Table!C668)</f>
        <v/>
      </c>
      <c r="D668" s="32" t="str">
        <f>IF(Table!D668 = "","",Table!D668)</f>
        <v/>
      </c>
      <c r="E668" s="32" t="str">
        <f>IF(Table!E668 = "","",Table!E668)</f>
        <v/>
      </c>
      <c r="F668" s="32" t="str">
        <f>IF(Table!F668 = "","",Table!F668)</f>
        <v/>
      </c>
      <c r="G668" s="91"/>
      <c r="I668" s="84" t="str">
        <f>IFERROR(VLOOKUP(A668,Downlink!A:L,12,TRUE),"")</f>
        <v/>
      </c>
      <c r="K668" s="31" t="str">
        <f>IFERROR(VLOOKUP(A668,Table!$I$4:$O$3000,1,TRUE),"")</f>
        <v/>
      </c>
      <c r="L668" s="31" t="str">
        <f>IFERROR(INDEX(Table!I:O,MATCH(K668,Table!I:I,0),2),"")</f>
        <v/>
      </c>
      <c r="M668" s="31" t="str">
        <f>IFERROR(INDEX(Table!I:O,MATCH(K668,Table!I:I,0),3),"")</f>
        <v/>
      </c>
      <c r="N668" s="32" t="str">
        <f>IFERROR(INDEX(Table!I:O,MATCH(K668,Table!I:I,0),4),"")</f>
        <v/>
      </c>
      <c r="O668" s="32" t="str">
        <f>IFERROR(INDEX(Table!I:O,MATCH(K668,Table!I:I,0),5),"")</f>
        <v/>
      </c>
      <c r="P668" s="32" t="str">
        <f>IFERROR(INDEX(Table!I:O,MATCH(K668,Table!I:I,0),6),"")</f>
        <v/>
      </c>
      <c r="Q668" s="89" t="str">
        <f t="shared" si="30"/>
        <v/>
      </c>
      <c r="R668" s="89" t="str">
        <f t="shared" si="31"/>
        <v/>
      </c>
      <c r="S668" s="82"/>
      <c r="U668" s="37" t="e">
        <f t="shared" si="32"/>
        <v>#VALUE!</v>
      </c>
    </row>
    <row r="669" spans="1:21" x14ac:dyDescent="0.25">
      <c r="A669" s="31" t="str">
        <f>IF(Table!A669 = "","",Table!A669)</f>
        <v/>
      </c>
      <c r="B669" s="31" t="str">
        <f>IF(Table!B669 = "","",Table!B669)</f>
        <v/>
      </c>
      <c r="C669" s="31" t="str">
        <f>IF(Table!C669 = "","",Table!C669)</f>
        <v/>
      </c>
      <c r="D669" s="32" t="str">
        <f>IF(Table!D669 = "","",Table!D669)</f>
        <v/>
      </c>
      <c r="E669" s="32" t="str">
        <f>IF(Table!E669 = "","",Table!E669)</f>
        <v/>
      </c>
      <c r="F669" s="32" t="str">
        <f>IF(Table!F669 = "","",Table!F669)</f>
        <v/>
      </c>
      <c r="G669" s="91"/>
      <c r="I669" s="84" t="str">
        <f>IFERROR(VLOOKUP(A669,Downlink!A:L,12,TRUE),"")</f>
        <v/>
      </c>
      <c r="K669" s="31" t="str">
        <f>IFERROR(VLOOKUP(A669,Table!$I$4:$O$3000,1,TRUE),"")</f>
        <v/>
      </c>
      <c r="L669" s="31" t="str">
        <f>IFERROR(INDEX(Table!I:O,MATCH(K669,Table!I:I,0),2),"")</f>
        <v/>
      </c>
      <c r="M669" s="31" t="str">
        <f>IFERROR(INDEX(Table!I:O,MATCH(K669,Table!I:I,0),3),"")</f>
        <v/>
      </c>
      <c r="N669" s="32" t="str">
        <f>IFERROR(INDEX(Table!I:O,MATCH(K669,Table!I:I,0),4),"")</f>
        <v/>
      </c>
      <c r="O669" s="32" t="str">
        <f>IFERROR(INDEX(Table!I:O,MATCH(K669,Table!I:I,0),5),"")</f>
        <v/>
      </c>
      <c r="P669" s="32" t="str">
        <f>IFERROR(INDEX(Table!I:O,MATCH(K669,Table!I:I,0),6),"")</f>
        <v/>
      </c>
      <c r="Q669" s="89" t="str">
        <f t="shared" si="30"/>
        <v/>
      </c>
      <c r="R669" s="89" t="str">
        <f t="shared" si="31"/>
        <v/>
      </c>
      <c r="S669" s="82"/>
      <c r="U669" s="37" t="e">
        <f t="shared" si="32"/>
        <v>#VALUE!</v>
      </c>
    </row>
    <row r="670" spans="1:21" x14ac:dyDescent="0.25">
      <c r="A670" s="31" t="str">
        <f>IF(Table!A670 = "","",Table!A670)</f>
        <v/>
      </c>
      <c r="B670" s="31" t="str">
        <f>IF(Table!B670 = "","",Table!B670)</f>
        <v/>
      </c>
      <c r="C670" s="31" t="str">
        <f>IF(Table!C670 = "","",Table!C670)</f>
        <v/>
      </c>
      <c r="D670" s="32" t="str">
        <f>IF(Table!D670 = "","",Table!D670)</f>
        <v/>
      </c>
      <c r="E670" s="32" t="str">
        <f>IF(Table!E670 = "","",Table!E670)</f>
        <v/>
      </c>
      <c r="F670" s="32" t="str">
        <f>IF(Table!F670 = "","",Table!F670)</f>
        <v/>
      </c>
      <c r="G670" s="91"/>
      <c r="I670" s="84" t="str">
        <f>IFERROR(VLOOKUP(A670,Downlink!A:L,12,TRUE),"")</f>
        <v/>
      </c>
      <c r="K670" s="31" t="str">
        <f>IFERROR(VLOOKUP(A670,Table!$I$4:$O$3000,1,TRUE),"")</f>
        <v/>
      </c>
      <c r="L670" s="31" t="str">
        <f>IFERROR(INDEX(Table!I:O,MATCH(K670,Table!I:I,0),2),"")</f>
        <v/>
      </c>
      <c r="M670" s="31" t="str">
        <f>IFERROR(INDEX(Table!I:O,MATCH(K670,Table!I:I,0),3),"")</f>
        <v/>
      </c>
      <c r="N670" s="32" t="str">
        <f>IFERROR(INDEX(Table!I:O,MATCH(K670,Table!I:I,0),4),"")</f>
        <v/>
      </c>
      <c r="O670" s="32" t="str">
        <f>IFERROR(INDEX(Table!I:O,MATCH(K670,Table!I:I,0),5),"")</f>
        <v/>
      </c>
      <c r="P670" s="32" t="str">
        <f>IFERROR(INDEX(Table!I:O,MATCH(K670,Table!I:I,0),6),"")</f>
        <v/>
      </c>
      <c r="Q670" s="89" t="str">
        <f t="shared" si="30"/>
        <v/>
      </c>
      <c r="R670" s="89" t="str">
        <f t="shared" si="31"/>
        <v/>
      </c>
      <c r="S670" s="82"/>
      <c r="U670" s="37" t="e">
        <f t="shared" si="32"/>
        <v>#VALUE!</v>
      </c>
    </row>
    <row r="671" spans="1:21" x14ac:dyDescent="0.25">
      <c r="A671" s="31" t="str">
        <f>IF(Table!A671 = "","",Table!A671)</f>
        <v/>
      </c>
      <c r="B671" s="31" t="str">
        <f>IF(Table!B671 = "","",Table!B671)</f>
        <v/>
      </c>
      <c r="C671" s="31" t="str">
        <f>IF(Table!C671 = "","",Table!C671)</f>
        <v/>
      </c>
      <c r="D671" s="32" t="str">
        <f>IF(Table!D671 = "","",Table!D671)</f>
        <v/>
      </c>
      <c r="E671" s="32" t="str">
        <f>IF(Table!E671 = "","",Table!E671)</f>
        <v/>
      </c>
      <c r="F671" s="32" t="str">
        <f>IF(Table!F671 = "","",Table!F671)</f>
        <v/>
      </c>
      <c r="G671" s="91"/>
      <c r="I671" s="84" t="str">
        <f>IFERROR(VLOOKUP(A671,Downlink!A:L,12,TRUE),"")</f>
        <v/>
      </c>
      <c r="K671" s="31" t="str">
        <f>IFERROR(VLOOKUP(A671,Table!$I$4:$O$3000,1,TRUE),"")</f>
        <v/>
      </c>
      <c r="L671" s="31" t="str">
        <f>IFERROR(INDEX(Table!I:O,MATCH(K671,Table!I:I,0),2),"")</f>
        <v/>
      </c>
      <c r="M671" s="31" t="str">
        <f>IFERROR(INDEX(Table!I:O,MATCH(K671,Table!I:I,0),3),"")</f>
        <v/>
      </c>
      <c r="N671" s="32" t="str">
        <f>IFERROR(INDEX(Table!I:O,MATCH(K671,Table!I:I,0),4),"")</f>
        <v/>
      </c>
      <c r="O671" s="32" t="str">
        <f>IFERROR(INDEX(Table!I:O,MATCH(K671,Table!I:I,0),5),"")</f>
        <v/>
      </c>
      <c r="P671" s="32" t="str">
        <f>IFERROR(INDEX(Table!I:O,MATCH(K671,Table!I:I,0),6),"")</f>
        <v/>
      </c>
      <c r="Q671" s="89" t="str">
        <f t="shared" si="30"/>
        <v/>
      </c>
      <c r="R671" s="89" t="str">
        <f t="shared" si="31"/>
        <v/>
      </c>
      <c r="S671" s="82"/>
      <c r="U671" s="37" t="e">
        <f t="shared" si="32"/>
        <v>#VALUE!</v>
      </c>
    </row>
    <row r="672" spans="1:21" x14ac:dyDescent="0.25">
      <c r="A672" s="31" t="str">
        <f>IF(Table!A672 = "","",Table!A672)</f>
        <v/>
      </c>
      <c r="B672" s="31" t="str">
        <f>IF(Table!B672 = "","",Table!B672)</f>
        <v/>
      </c>
      <c r="C672" s="31" t="str">
        <f>IF(Table!C672 = "","",Table!C672)</f>
        <v/>
      </c>
      <c r="D672" s="32" t="str">
        <f>IF(Table!D672 = "","",Table!D672)</f>
        <v/>
      </c>
      <c r="E672" s="32" t="str">
        <f>IF(Table!E672 = "","",Table!E672)</f>
        <v/>
      </c>
      <c r="F672" s="32" t="str">
        <f>IF(Table!F672 = "","",Table!F672)</f>
        <v/>
      </c>
      <c r="G672" s="91"/>
      <c r="I672" s="84" t="str">
        <f>IFERROR(VLOOKUP(A672,Downlink!A:L,12,TRUE),"")</f>
        <v/>
      </c>
      <c r="K672" s="31" t="str">
        <f>IFERROR(VLOOKUP(A672,Table!$I$4:$O$3000,1,TRUE),"")</f>
        <v/>
      </c>
      <c r="L672" s="31" t="str">
        <f>IFERROR(INDEX(Table!I:O,MATCH(K672,Table!I:I,0),2),"")</f>
        <v/>
      </c>
      <c r="M672" s="31" t="str">
        <f>IFERROR(INDEX(Table!I:O,MATCH(K672,Table!I:I,0),3),"")</f>
        <v/>
      </c>
      <c r="N672" s="32" t="str">
        <f>IFERROR(INDEX(Table!I:O,MATCH(K672,Table!I:I,0),4),"")</f>
        <v/>
      </c>
      <c r="O672" s="32" t="str">
        <f>IFERROR(INDEX(Table!I:O,MATCH(K672,Table!I:I,0),5),"")</f>
        <v/>
      </c>
      <c r="P672" s="32" t="str">
        <f>IFERROR(INDEX(Table!I:O,MATCH(K672,Table!I:I,0),6),"")</f>
        <v/>
      </c>
      <c r="Q672" s="89" t="str">
        <f t="shared" si="30"/>
        <v/>
      </c>
      <c r="R672" s="89" t="str">
        <f t="shared" si="31"/>
        <v/>
      </c>
      <c r="S672" s="82"/>
      <c r="U672" s="37" t="e">
        <f t="shared" si="32"/>
        <v>#VALUE!</v>
      </c>
    </row>
    <row r="673" spans="1:21" x14ac:dyDescent="0.25">
      <c r="A673" s="31" t="str">
        <f>IF(Table!A673 = "","",Table!A673)</f>
        <v/>
      </c>
      <c r="B673" s="31" t="str">
        <f>IF(Table!B673 = "","",Table!B673)</f>
        <v/>
      </c>
      <c r="C673" s="31" t="str">
        <f>IF(Table!C673 = "","",Table!C673)</f>
        <v/>
      </c>
      <c r="D673" s="32" t="str">
        <f>IF(Table!D673 = "","",Table!D673)</f>
        <v/>
      </c>
      <c r="E673" s="32" t="str">
        <f>IF(Table!E673 = "","",Table!E673)</f>
        <v/>
      </c>
      <c r="F673" s="32" t="str">
        <f>IF(Table!F673 = "","",Table!F673)</f>
        <v/>
      </c>
      <c r="G673" s="91"/>
      <c r="I673" s="84" t="str">
        <f>IFERROR(VLOOKUP(A673,Downlink!A:L,12,TRUE),"")</f>
        <v/>
      </c>
      <c r="K673" s="31" t="str">
        <f>IFERROR(VLOOKUP(A673,Table!$I$4:$O$3000,1,TRUE),"")</f>
        <v/>
      </c>
      <c r="L673" s="31" t="str">
        <f>IFERROR(INDEX(Table!I:O,MATCH(K673,Table!I:I,0),2),"")</f>
        <v/>
      </c>
      <c r="M673" s="31" t="str">
        <f>IFERROR(INDEX(Table!I:O,MATCH(K673,Table!I:I,0),3),"")</f>
        <v/>
      </c>
      <c r="N673" s="32" t="str">
        <f>IFERROR(INDEX(Table!I:O,MATCH(K673,Table!I:I,0),4),"")</f>
        <v/>
      </c>
      <c r="O673" s="32" t="str">
        <f>IFERROR(INDEX(Table!I:O,MATCH(K673,Table!I:I,0),5),"")</f>
        <v/>
      </c>
      <c r="P673" s="32" t="str">
        <f>IFERROR(INDEX(Table!I:O,MATCH(K673,Table!I:I,0),6),"")</f>
        <v/>
      </c>
      <c r="Q673" s="89" t="str">
        <f t="shared" si="30"/>
        <v/>
      </c>
      <c r="R673" s="89" t="str">
        <f t="shared" si="31"/>
        <v/>
      </c>
      <c r="S673" s="82"/>
      <c r="U673" s="37" t="e">
        <f t="shared" si="32"/>
        <v>#VALUE!</v>
      </c>
    </row>
    <row r="674" spans="1:21" x14ac:dyDescent="0.25">
      <c r="A674" s="31" t="str">
        <f>IF(Table!A674 = "","",Table!A674)</f>
        <v/>
      </c>
      <c r="B674" s="31" t="str">
        <f>IF(Table!B674 = "","",Table!B674)</f>
        <v/>
      </c>
      <c r="C674" s="31" t="str">
        <f>IF(Table!C674 = "","",Table!C674)</f>
        <v/>
      </c>
      <c r="D674" s="32" t="str">
        <f>IF(Table!D674 = "","",Table!D674)</f>
        <v/>
      </c>
      <c r="E674" s="32" t="str">
        <f>IF(Table!E674 = "","",Table!E674)</f>
        <v/>
      </c>
      <c r="F674" s="32" t="str">
        <f>IF(Table!F674 = "","",Table!F674)</f>
        <v/>
      </c>
      <c r="G674" s="91"/>
      <c r="I674" s="84" t="str">
        <f>IFERROR(VLOOKUP(A674,Downlink!A:L,12,TRUE),"")</f>
        <v/>
      </c>
      <c r="K674" s="31" t="str">
        <f>IFERROR(VLOOKUP(A674,Table!$I$4:$O$3000,1,TRUE),"")</f>
        <v/>
      </c>
      <c r="L674" s="31" t="str">
        <f>IFERROR(INDEX(Table!I:O,MATCH(K674,Table!I:I,0),2),"")</f>
        <v/>
      </c>
      <c r="M674" s="31" t="str">
        <f>IFERROR(INDEX(Table!I:O,MATCH(K674,Table!I:I,0),3),"")</f>
        <v/>
      </c>
      <c r="N674" s="32" t="str">
        <f>IFERROR(INDEX(Table!I:O,MATCH(K674,Table!I:I,0),4),"")</f>
        <v/>
      </c>
      <c r="O674" s="32" t="str">
        <f>IFERROR(INDEX(Table!I:O,MATCH(K674,Table!I:I,0),5),"")</f>
        <v/>
      </c>
      <c r="P674" s="32" t="str">
        <f>IFERROR(INDEX(Table!I:O,MATCH(K674,Table!I:I,0),6),"")</f>
        <v/>
      </c>
      <c r="Q674" s="89" t="str">
        <f t="shared" si="30"/>
        <v/>
      </c>
      <c r="R674" s="89" t="str">
        <f t="shared" si="31"/>
        <v/>
      </c>
      <c r="S674" s="82"/>
      <c r="U674" s="37" t="e">
        <f t="shared" si="32"/>
        <v>#VALUE!</v>
      </c>
    </row>
    <row r="675" spans="1:21" x14ac:dyDescent="0.25">
      <c r="A675" s="31" t="str">
        <f>IF(Table!A675 = "","",Table!A675)</f>
        <v/>
      </c>
      <c r="B675" s="31" t="str">
        <f>IF(Table!B675 = "","",Table!B675)</f>
        <v/>
      </c>
      <c r="C675" s="31" t="str">
        <f>IF(Table!C675 = "","",Table!C675)</f>
        <v/>
      </c>
      <c r="D675" s="32" t="str">
        <f>IF(Table!D675 = "","",Table!D675)</f>
        <v/>
      </c>
      <c r="E675" s="32" t="str">
        <f>IF(Table!E675 = "","",Table!E675)</f>
        <v/>
      </c>
      <c r="F675" s="32" t="str">
        <f>IF(Table!F675 = "","",Table!F675)</f>
        <v/>
      </c>
      <c r="G675" s="91"/>
      <c r="I675" s="84" t="str">
        <f>IFERROR(VLOOKUP(A675,Downlink!A:L,12,TRUE),"")</f>
        <v/>
      </c>
      <c r="K675" s="31" t="str">
        <f>IFERROR(VLOOKUP(A675,Table!$I$4:$O$3000,1,TRUE),"")</f>
        <v/>
      </c>
      <c r="L675" s="31" t="str">
        <f>IFERROR(INDEX(Table!I:O,MATCH(K675,Table!I:I,0),2),"")</f>
        <v/>
      </c>
      <c r="M675" s="31" t="str">
        <f>IFERROR(INDEX(Table!I:O,MATCH(K675,Table!I:I,0),3),"")</f>
        <v/>
      </c>
      <c r="N675" s="32" t="str">
        <f>IFERROR(INDEX(Table!I:O,MATCH(K675,Table!I:I,0),4),"")</f>
        <v/>
      </c>
      <c r="O675" s="32" t="str">
        <f>IFERROR(INDEX(Table!I:O,MATCH(K675,Table!I:I,0),5),"")</f>
        <v/>
      </c>
      <c r="P675" s="32" t="str">
        <f>IFERROR(INDEX(Table!I:O,MATCH(K675,Table!I:I,0),6),"")</f>
        <v/>
      </c>
      <c r="Q675" s="89" t="str">
        <f t="shared" si="30"/>
        <v/>
      </c>
      <c r="R675" s="89" t="str">
        <f t="shared" si="31"/>
        <v/>
      </c>
      <c r="S675" s="82"/>
      <c r="U675" s="37" t="e">
        <f t="shared" si="32"/>
        <v>#VALUE!</v>
      </c>
    </row>
    <row r="676" spans="1:21" x14ac:dyDescent="0.25">
      <c r="A676" s="31" t="str">
        <f>IF(Table!A676 = "","",Table!A676)</f>
        <v/>
      </c>
      <c r="B676" s="31" t="str">
        <f>IF(Table!B676 = "","",Table!B676)</f>
        <v/>
      </c>
      <c r="C676" s="31" t="str">
        <f>IF(Table!C676 = "","",Table!C676)</f>
        <v/>
      </c>
      <c r="D676" s="32" t="str">
        <f>IF(Table!D676 = "","",Table!D676)</f>
        <v/>
      </c>
      <c r="E676" s="32" t="str">
        <f>IF(Table!E676 = "","",Table!E676)</f>
        <v/>
      </c>
      <c r="F676" s="32" t="str">
        <f>IF(Table!F676 = "","",Table!F676)</f>
        <v/>
      </c>
      <c r="G676" s="91"/>
      <c r="I676" s="84" t="str">
        <f>IFERROR(VLOOKUP(A676,Downlink!A:L,12,TRUE),"")</f>
        <v/>
      </c>
      <c r="K676" s="31" t="str">
        <f>IFERROR(VLOOKUP(A676,Table!$I$4:$O$3000,1,TRUE),"")</f>
        <v/>
      </c>
      <c r="L676" s="31" t="str">
        <f>IFERROR(INDEX(Table!I:O,MATCH(K676,Table!I:I,0),2),"")</f>
        <v/>
      </c>
      <c r="M676" s="31" t="str">
        <f>IFERROR(INDEX(Table!I:O,MATCH(K676,Table!I:I,0),3),"")</f>
        <v/>
      </c>
      <c r="N676" s="32" t="str">
        <f>IFERROR(INDEX(Table!I:O,MATCH(K676,Table!I:I,0),4),"")</f>
        <v/>
      </c>
      <c r="O676" s="32" t="str">
        <f>IFERROR(INDEX(Table!I:O,MATCH(K676,Table!I:I,0),5),"")</f>
        <v/>
      </c>
      <c r="P676" s="32" t="str">
        <f>IFERROR(INDEX(Table!I:O,MATCH(K676,Table!I:I,0),6),"")</f>
        <v/>
      </c>
      <c r="Q676" s="89" t="str">
        <f t="shared" si="30"/>
        <v/>
      </c>
      <c r="R676" s="89" t="str">
        <f t="shared" si="31"/>
        <v/>
      </c>
      <c r="S676" s="82"/>
      <c r="U676" s="37" t="e">
        <f t="shared" si="32"/>
        <v>#VALUE!</v>
      </c>
    </row>
    <row r="677" spans="1:21" x14ac:dyDescent="0.25">
      <c r="A677" s="31" t="str">
        <f>IF(Table!A677 = "","",Table!A677)</f>
        <v/>
      </c>
      <c r="B677" s="31" t="str">
        <f>IF(Table!B677 = "","",Table!B677)</f>
        <v/>
      </c>
      <c r="C677" s="31" t="str">
        <f>IF(Table!C677 = "","",Table!C677)</f>
        <v/>
      </c>
      <c r="D677" s="32" t="str">
        <f>IF(Table!D677 = "","",Table!D677)</f>
        <v/>
      </c>
      <c r="E677" s="32" t="str">
        <f>IF(Table!E677 = "","",Table!E677)</f>
        <v/>
      </c>
      <c r="F677" s="32" t="str">
        <f>IF(Table!F677 = "","",Table!F677)</f>
        <v/>
      </c>
      <c r="G677" s="91"/>
      <c r="I677" s="84" t="str">
        <f>IFERROR(VLOOKUP(A677,Downlink!A:L,12,TRUE),"")</f>
        <v/>
      </c>
      <c r="K677" s="31" t="str">
        <f>IFERROR(VLOOKUP(A677,Table!$I$4:$O$3000,1,TRUE),"")</f>
        <v/>
      </c>
      <c r="L677" s="31" t="str">
        <f>IFERROR(INDEX(Table!I:O,MATCH(K677,Table!I:I,0),2),"")</f>
        <v/>
      </c>
      <c r="M677" s="31" t="str">
        <f>IFERROR(INDEX(Table!I:O,MATCH(K677,Table!I:I,0),3),"")</f>
        <v/>
      </c>
      <c r="N677" s="32" t="str">
        <f>IFERROR(INDEX(Table!I:O,MATCH(K677,Table!I:I,0),4),"")</f>
        <v/>
      </c>
      <c r="O677" s="32" t="str">
        <f>IFERROR(INDEX(Table!I:O,MATCH(K677,Table!I:I,0),5),"")</f>
        <v/>
      </c>
      <c r="P677" s="32" t="str">
        <f>IFERROR(INDEX(Table!I:O,MATCH(K677,Table!I:I,0),6),"")</f>
        <v/>
      </c>
      <c r="Q677" s="89" t="str">
        <f t="shared" si="30"/>
        <v/>
      </c>
      <c r="R677" s="89" t="str">
        <f t="shared" si="31"/>
        <v/>
      </c>
      <c r="S677" s="82"/>
      <c r="U677" s="37" t="e">
        <f t="shared" si="32"/>
        <v>#VALUE!</v>
      </c>
    </row>
    <row r="678" spans="1:21" x14ac:dyDescent="0.25">
      <c r="A678" s="31" t="str">
        <f>IF(Table!A678 = "","",Table!A678)</f>
        <v/>
      </c>
      <c r="B678" s="31" t="str">
        <f>IF(Table!B678 = "","",Table!B678)</f>
        <v/>
      </c>
      <c r="C678" s="31" t="str">
        <f>IF(Table!C678 = "","",Table!C678)</f>
        <v/>
      </c>
      <c r="D678" s="32" t="str">
        <f>IF(Table!D678 = "","",Table!D678)</f>
        <v/>
      </c>
      <c r="E678" s="32" t="str">
        <f>IF(Table!E678 = "","",Table!E678)</f>
        <v/>
      </c>
      <c r="F678" s="32" t="str">
        <f>IF(Table!F678 = "","",Table!F678)</f>
        <v/>
      </c>
      <c r="G678" s="91"/>
      <c r="I678" s="84" t="str">
        <f>IFERROR(VLOOKUP(A678,Downlink!A:L,12,TRUE),"")</f>
        <v/>
      </c>
      <c r="K678" s="31" t="str">
        <f>IFERROR(VLOOKUP(A678,Table!$I$4:$O$3000,1,TRUE),"")</f>
        <v/>
      </c>
      <c r="L678" s="31" t="str">
        <f>IFERROR(INDEX(Table!I:O,MATCH(K678,Table!I:I,0),2),"")</f>
        <v/>
      </c>
      <c r="M678" s="31" t="str">
        <f>IFERROR(INDEX(Table!I:O,MATCH(K678,Table!I:I,0),3),"")</f>
        <v/>
      </c>
      <c r="N678" s="32" t="str">
        <f>IFERROR(INDEX(Table!I:O,MATCH(K678,Table!I:I,0),4),"")</f>
        <v/>
      </c>
      <c r="O678" s="32" t="str">
        <f>IFERROR(INDEX(Table!I:O,MATCH(K678,Table!I:I,0),5),"")</f>
        <v/>
      </c>
      <c r="P678" s="32" t="str">
        <f>IFERROR(INDEX(Table!I:O,MATCH(K678,Table!I:I,0),6),"")</f>
        <v/>
      </c>
      <c r="Q678" s="89" t="str">
        <f t="shared" si="30"/>
        <v/>
      </c>
      <c r="R678" s="89" t="str">
        <f t="shared" si="31"/>
        <v/>
      </c>
      <c r="S678" s="82"/>
      <c r="U678" s="37" t="e">
        <f t="shared" si="32"/>
        <v>#VALUE!</v>
      </c>
    </row>
    <row r="679" spans="1:21" x14ac:dyDescent="0.25">
      <c r="A679" s="31" t="str">
        <f>IF(Table!A679 = "","",Table!A679)</f>
        <v/>
      </c>
      <c r="B679" s="31" t="str">
        <f>IF(Table!B679 = "","",Table!B679)</f>
        <v/>
      </c>
      <c r="C679" s="31" t="str">
        <f>IF(Table!C679 = "","",Table!C679)</f>
        <v/>
      </c>
      <c r="D679" s="32" t="str">
        <f>IF(Table!D679 = "","",Table!D679)</f>
        <v/>
      </c>
      <c r="E679" s="32" t="str">
        <f>IF(Table!E679 = "","",Table!E679)</f>
        <v/>
      </c>
      <c r="F679" s="32" t="str">
        <f>IF(Table!F679 = "","",Table!F679)</f>
        <v/>
      </c>
      <c r="G679" s="91"/>
      <c r="I679" s="84" t="str">
        <f>IFERROR(VLOOKUP(A679,Downlink!A:L,12,TRUE),"")</f>
        <v/>
      </c>
      <c r="K679" s="31" t="str">
        <f>IFERROR(VLOOKUP(A679,Table!$I$4:$O$3000,1,TRUE),"")</f>
        <v/>
      </c>
      <c r="L679" s="31" t="str">
        <f>IFERROR(INDEX(Table!I:O,MATCH(K679,Table!I:I,0),2),"")</f>
        <v/>
      </c>
      <c r="M679" s="31" t="str">
        <f>IFERROR(INDEX(Table!I:O,MATCH(K679,Table!I:I,0),3),"")</f>
        <v/>
      </c>
      <c r="N679" s="32" t="str">
        <f>IFERROR(INDEX(Table!I:O,MATCH(K679,Table!I:I,0),4),"")</f>
        <v/>
      </c>
      <c r="O679" s="32" t="str">
        <f>IFERROR(INDEX(Table!I:O,MATCH(K679,Table!I:I,0),5),"")</f>
        <v/>
      </c>
      <c r="P679" s="32" t="str">
        <f>IFERROR(INDEX(Table!I:O,MATCH(K679,Table!I:I,0),6),"")</f>
        <v/>
      </c>
      <c r="Q679" s="89" t="str">
        <f t="shared" si="30"/>
        <v/>
      </c>
      <c r="R679" s="89" t="str">
        <f t="shared" si="31"/>
        <v/>
      </c>
      <c r="S679" s="82"/>
      <c r="U679" s="37" t="e">
        <f t="shared" si="32"/>
        <v>#VALUE!</v>
      </c>
    </row>
    <row r="680" spans="1:21" x14ac:dyDescent="0.25">
      <c r="A680" s="31" t="str">
        <f>IF(Table!A680 = "","",Table!A680)</f>
        <v/>
      </c>
      <c r="B680" s="31" t="str">
        <f>IF(Table!B680 = "","",Table!B680)</f>
        <v/>
      </c>
      <c r="C680" s="31" t="str">
        <f>IF(Table!C680 = "","",Table!C680)</f>
        <v/>
      </c>
      <c r="D680" s="32" t="str">
        <f>IF(Table!D680 = "","",Table!D680)</f>
        <v/>
      </c>
      <c r="E680" s="32" t="str">
        <f>IF(Table!E680 = "","",Table!E680)</f>
        <v/>
      </c>
      <c r="F680" s="32" t="str">
        <f>IF(Table!F680 = "","",Table!F680)</f>
        <v/>
      </c>
      <c r="G680" s="91"/>
      <c r="I680" s="84" t="str">
        <f>IFERROR(VLOOKUP(A680,Downlink!A:L,12,TRUE),"")</f>
        <v/>
      </c>
      <c r="K680" s="31" t="str">
        <f>IFERROR(VLOOKUP(A680,Table!$I$4:$O$3000,1,TRUE),"")</f>
        <v/>
      </c>
      <c r="L680" s="31" t="str">
        <f>IFERROR(INDEX(Table!I:O,MATCH(K680,Table!I:I,0),2),"")</f>
        <v/>
      </c>
      <c r="M680" s="31" t="str">
        <f>IFERROR(INDEX(Table!I:O,MATCH(K680,Table!I:I,0),3),"")</f>
        <v/>
      </c>
      <c r="N680" s="32" t="str">
        <f>IFERROR(INDEX(Table!I:O,MATCH(K680,Table!I:I,0),4),"")</f>
        <v/>
      </c>
      <c r="O680" s="32" t="str">
        <f>IFERROR(INDEX(Table!I:O,MATCH(K680,Table!I:I,0),5),"")</f>
        <v/>
      </c>
      <c r="P680" s="32" t="str">
        <f>IFERROR(INDEX(Table!I:O,MATCH(K680,Table!I:I,0),6),"")</f>
        <v/>
      </c>
      <c r="Q680" s="89" t="str">
        <f t="shared" si="30"/>
        <v/>
      </c>
      <c r="R680" s="89" t="str">
        <f t="shared" si="31"/>
        <v/>
      </c>
      <c r="S680" s="82"/>
      <c r="U680" s="37" t="e">
        <f t="shared" si="32"/>
        <v>#VALUE!</v>
      </c>
    </row>
    <row r="681" spans="1:21" x14ac:dyDescent="0.25">
      <c r="A681" s="31" t="str">
        <f>IF(Table!A681 = "","",Table!A681)</f>
        <v/>
      </c>
      <c r="B681" s="31" t="str">
        <f>IF(Table!B681 = "","",Table!B681)</f>
        <v/>
      </c>
      <c r="C681" s="31" t="str">
        <f>IF(Table!C681 = "","",Table!C681)</f>
        <v/>
      </c>
      <c r="D681" s="32" t="str">
        <f>IF(Table!D681 = "","",Table!D681)</f>
        <v/>
      </c>
      <c r="E681" s="32" t="str">
        <f>IF(Table!E681 = "","",Table!E681)</f>
        <v/>
      </c>
      <c r="F681" s="32" t="str">
        <f>IF(Table!F681 = "","",Table!F681)</f>
        <v/>
      </c>
      <c r="G681" s="91"/>
      <c r="I681" s="84" t="str">
        <f>IFERROR(VLOOKUP(A681,Downlink!A:L,12,TRUE),"")</f>
        <v/>
      </c>
      <c r="K681" s="31" t="str">
        <f>IFERROR(VLOOKUP(A681,Table!$I$4:$O$3000,1,TRUE),"")</f>
        <v/>
      </c>
      <c r="L681" s="31" t="str">
        <f>IFERROR(INDEX(Table!I:O,MATCH(K681,Table!I:I,0),2),"")</f>
        <v/>
      </c>
      <c r="M681" s="31" t="str">
        <f>IFERROR(INDEX(Table!I:O,MATCH(K681,Table!I:I,0),3),"")</f>
        <v/>
      </c>
      <c r="N681" s="32" t="str">
        <f>IFERROR(INDEX(Table!I:O,MATCH(K681,Table!I:I,0),4),"")</f>
        <v/>
      </c>
      <c r="O681" s="32" t="str">
        <f>IFERROR(INDEX(Table!I:O,MATCH(K681,Table!I:I,0),5),"")</f>
        <v/>
      </c>
      <c r="P681" s="32" t="str">
        <f>IFERROR(INDEX(Table!I:O,MATCH(K681,Table!I:I,0),6),"")</f>
        <v/>
      </c>
      <c r="Q681" s="89" t="str">
        <f t="shared" si="30"/>
        <v/>
      </c>
      <c r="R681" s="89" t="str">
        <f t="shared" si="31"/>
        <v/>
      </c>
      <c r="S681" s="82"/>
      <c r="U681" s="37" t="e">
        <f t="shared" si="32"/>
        <v>#VALUE!</v>
      </c>
    </row>
    <row r="682" spans="1:21" x14ac:dyDescent="0.25">
      <c r="A682" s="31" t="str">
        <f>IF(Table!A682 = "","",Table!A682)</f>
        <v/>
      </c>
      <c r="B682" s="31" t="str">
        <f>IF(Table!B682 = "","",Table!B682)</f>
        <v/>
      </c>
      <c r="C682" s="31" t="str">
        <f>IF(Table!C682 = "","",Table!C682)</f>
        <v/>
      </c>
      <c r="D682" s="32" t="str">
        <f>IF(Table!D682 = "","",Table!D682)</f>
        <v/>
      </c>
      <c r="E682" s="32" t="str">
        <f>IF(Table!E682 = "","",Table!E682)</f>
        <v/>
      </c>
      <c r="F682" s="32" t="str">
        <f>IF(Table!F682 = "","",Table!F682)</f>
        <v/>
      </c>
      <c r="G682" s="91"/>
      <c r="I682" s="84" t="str">
        <f>IFERROR(VLOOKUP(A682,Downlink!A:L,12,TRUE),"")</f>
        <v/>
      </c>
      <c r="K682" s="31" t="str">
        <f>IFERROR(VLOOKUP(A682,Table!$I$4:$O$3000,1,TRUE),"")</f>
        <v/>
      </c>
      <c r="L682" s="31" t="str">
        <f>IFERROR(INDEX(Table!I:O,MATCH(K682,Table!I:I,0),2),"")</f>
        <v/>
      </c>
      <c r="M682" s="31" t="str">
        <f>IFERROR(INDEX(Table!I:O,MATCH(K682,Table!I:I,0),3),"")</f>
        <v/>
      </c>
      <c r="N682" s="32" t="str">
        <f>IFERROR(INDEX(Table!I:O,MATCH(K682,Table!I:I,0),4),"")</f>
        <v/>
      </c>
      <c r="O682" s="32" t="str">
        <f>IFERROR(INDEX(Table!I:O,MATCH(K682,Table!I:I,0),5),"")</f>
        <v/>
      </c>
      <c r="P682" s="32" t="str">
        <f>IFERROR(INDEX(Table!I:O,MATCH(K682,Table!I:I,0),6),"")</f>
        <v/>
      </c>
      <c r="Q682" s="89" t="str">
        <f t="shared" si="30"/>
        <v/>
      </c>
      <c r="R682" s="89" t="str">
        <f t="shared" si="31"/>
        <v/>
      </c>
      <c r="S682" s="82"/>
      <c r="U682" s="37" t="e">
        <f t="shared" si="32"/>
        <v>#VALUE!</v>
      </c>
    </row>
    <row r="683" spans="1:21" x14ac:dyDescent="0.25">
      <c r="A683" s="31" t="str">
        <f>IF(Table!A683 = "","",Table!A683)</f>
        <v/>
      </c>
      <c r="B683" s="31" t="str">
        <f>IF(Table!B683 = "","",Table!B683)</f>
        <v/>
      </c>
      <c r="C683" s="31" t="str">
        <f>IF(Table!C683 = "","",Table!C683)</f>
        <v/>
      </c>
      <c r="D683" s="32" t="str">
        <f>IF(Table!D683 = "","",Table!D683)</f>
        <v/>
      </c>
      <c r="E683" s="32" t="str">
        <f>IF(Table!E683 = "","",Table!E683)</f>
        <v/>
      </c>
      <c r="F683" s="32" t="str">
        <f>IF(Table!F683 = "","",Table!F683)</f>
        <v/>
      </c>
      <c r="G683" s="91"/>
      <c r="I683" s="84" t="str">
        <f>IFERROR(VLOOKUP(A683,Downlink!A:L,12,TRUE),"")</f>
        <v/>
      </c>
      <c r="K683" s="31" t="str">
        <f>IFERROR(VLOOKUP(A683,Table!$I$4:$O$3000,1,TRUE),"")</f>
        <v/>
      </c>
      <c r="L683" s="31" t="str">
        <f>IFERROR(INDEX(Table!I:O,MATCH(K683,Table!I:I,0),2),"")</f>
        <v/>
      </c>
      <c r="M683" s="31" t="str">
        <f>IFERROR(INDEX(Table!I:O,MATCH(K683,Table!I:I,0),3),"")</f>
        <v/>
      </c>
      <c r="N683" s="32" t="str">
        <f>IFERROR(INDEX(Table!I:O,MATCH(K683,Table!I:I,0),4),"")</f>
        <v/>
      </c>
      <c r="O683" s="32" t="str">
        <f>IFERROR(INDEX(Table!I:O,MATCH(K683,Table!I:I,0),5),"")</f>
        <v/>
      </c>
      <c r="P683" s="32" t="str">
        <f>IFERROR(INDEX(Table!I:O,MATCH(K683,Table!I:I,0),6),"")</f>
        <v/>
      </c>
      <c r="Q683" s="89" t="str">
        <f t="shared" si="30"/>
        <v/>
      </c>
      <c r="R683" s="89" t="str">
        <f t="shared" si="31"/>
        <v/>
      </c>
      <c r="S683" s="82"/>
      <c r="U683" s="37" t="e">
        <f t="shared" si="32"/>
        <v>#VALUE!</v>
      </c>
    </row>
    <row r="684" spans="1:21" x14ac:dyDescent="0.25">
      <c r="A684" s="31" t="str">
        <f>IF(Table!A684 = "","",Table!A684)</f>
        <v/>
      </c>
      <c r="B684" s="31" t="str">
        <f>IF(Table!B684 = "","",Table!B684)</f>
        <v/>
      </c>
      <c r="C684" s="31" t="str">
        <f>IF(Table!C684 = "","",Table!C684)</f>
        <v/>
      </c>
      <c r="D684" s="32" t="str">
        <f>IF(Table!D684 = "","",Table!D684)</f>
        <v/>
      </c>
      <c r="E684" s="32" t="str">
        <f>IF(Table!E684 = "","",Table!E684)</f>
        <v/>
      </c>
      <c r="F684" s="32" t="str">
        <f>IF(Table!F684 = "","",Table!F684)</f>
        <v/>
      </c>
      <c r="G684" s="91"/>
      <c r="I684" s="84" t="str">
        <f>IFERROR(VLOOKUP(A684,Downlink!A:L,12,TRUE),"")</f>
        <v/>
      </c>
      <c r="K684" s="31" t="str">
        <f>IFERROR(VLOOKUP(A684,Table!$I$4:$O$3000,1,TRUE),"")</f>
        <v/>
      </c>
      <c r="L684" s="31" t="str">
        <f>IFERROR(INDEX(Table!I:O,MATCH(K684,Table!I:I,0),2),"")</f>
        <v/>
      </c>
      <c r="M684" s="31" t="str">
        <f>IFERROR(INDEX(Table!I:O,MATCH(K684,Table!I:I,0),3),"")</f>
        <v/>
      </c>
      <c r="N684" s="32" t="str">
        <f>IFERROR(INDEX(Table!I:O,MATCH(K684,Table!I:I,0),4),"")</f>
        <v/>
      </c>
      <c r="O684" s="32" t="str">
        <f>IFERROR(INDEX(Table!I:O,MATCH(K684,Table!I:I,0),5),"")</f>
        <v/>
      </c>
      <c r="P684" s="32" t="str">
        <f>IFERROR(INDEX(Table!I:O,MATCH(K684,Table!I:I,0),6),"")</f>
        <v/>
      </c>
      <c r="Q684" s="89" t="str">
        <f t="shared" si="30"/>
        <v/>
      </c>
      <c r="R684" s="89" t="str">
        <f t="shared" si="31"/>
        <v/>
      </c>
      <c r="S684" s="82"/>
      <c r="U684" s="37" t="e">
        <f t="shared" si="32"/>
        <v>#VALUE!</v>
      </c>
    </row>
    <row r="685" spans="1:21" x14ac:dyDescent="0.25">
      <c r="A685" s="31" t="str">
        <f>IF(Table!A685 = "","",Table!A685)</f>
        <v/>
      </c>
      <c r="B685" s="31" t="str">
        <f>IF(Table!B685 = "","",Table!B685)</f>
        <v/>
      </c>
      <c r="C685" s="31" t="str">
        <f>IF(Table!C685 = "","",Table!C685)</f>
        <v/>
      </c>
      <c r="D685" s="32" t="str">
        <f>IF(Table!D685 = "","",Table!D685)</f>
        <v/>
      </c>
      <c r="E685" s="32" t="str">
        <f>IF(Table!E685 = "","",Table!E685)</f>
        <v/>
      </c>
      <c r="F685" s="32" t="str">
        <f>IF(Table!F685 = "","",Table!F685)</f>
        <v/>
      </c>
      <c r="G685" s="91"/>
      <c r="I685" s="84" t="str">
        <f>IFERROR(VLOOKUP(A685,Downlink!A:L,12,TRUE),"")</f>
        <v/>
      </c>
      <c r="K685" s="31" t="str">
        <f>IFERROR(VLOOKUP(A685,Table!$I$4:$O$3000,1,TRUE),"")</f>
        <v/>
      </c>
      <c r="L685" s="31" t="str">
        <f>IFERROR(INDEX(Table!I:O,MATCH(K685,Table!I:I,0),2),"")</f>
        <v/>
      </c>
      <c r="M685" s="31" t="str">
        <f>IFERROR(INDEX(Table!I:O,MATCH(K685,Table!I:I,0),3),"")</f>
        <v/>
      </c>
      <c r="N685" s="32" t="str">
        <f>IFERROR(INDEX(Table!I:O,MATCH(K685,Table!I:I,0),4),"")</f>
        <v/>
      </c>
      <c r="O685" s="32" t="str">
        <f>IFERROR(INDEX(Table!I:O,MATCH(K685,Table!I:I,0),5),"")</f>
        <v/>
      </c>
      <c r="P685" s="32" t="str">
        <f>IFERROR(INDEX(Table!I:O,MATCH(K685,Table!I:I,0),6),"")</f>
        <v/>
      </c>
      <c r="Q685" s="89" t="str">
        <f t="shared" si="30"/>
        <v/>
      </c>
      <c r="R685" s="89" t="str">
        <f t="shared" si="31"/>
        <v/>
      </c>
      <c r="S685" s="82"/>
      <c r="U685" s="37" t="e">
        <f t="shared" si="32"/>
        <v>#VALUE!</v>
      </c>
    </row>
    <row r="686" spans="1:21" x14ac:dyDescent="0.25">
      <c r="A686" s="31" t="str">
        <f>IF(Table!A686 = "","",Table!A686)</f>
        <v/>
      </c>
      <c r="B686" s="31" t="str">
        <f>IF(Table!B686 = "","",Table!B686)</f>
        <v/>
      </c>
      <c r="C686" s="31" t="str">
        <f>IF(Table!C686 = "","",Table!C686)</f>
        <v/>
      </c>
      <c r="D686" s="32" t="str">
        <f>IF(Table!D686 = "","",Table!D686)</f>
        <v/>
      </c>
      <c r="E686" s="32" t="str">
        <f>IF(Table!E686 = "","",Table!E686)</f>
        <v/>
      </c>
      <c r="F686" s="32" t="str">
        <f>IF(Table!F686 = "","",Table!F686)</f>
        <v/>
      </c>
      <c r="G686" s="91"/>
      <c r="I686" s="84" t="str">
        <f>IFERROR(VLOOKUP(A686,Downlink!A:L,12,TRUE),"")</f>
        <v/>
      </c>
      <c r="K686" s="31" t="str">
        <f>IFERROR(VLOOKUP(A686,Table!$I$4:$O$3000,1,TRUE),"")</f>
        <v/>
      </c>
      <c r="L686" s="31" t="str">
        <f>IFERROR(INDEX(Table!I:O,MATCH(K686,Table!I:I,0),2),"")</f>
        <v/>
      </c>
      <c r="M686" s="31" t="str">
        <f>IFERROR(INDEX(Table!I:O,MATCH(K686,Table!I:I,0),3),"")</f>
        <v/>
      </c>
      <c r="N686" s="32" t="str">
        <f>IFERROR(INDEX(Table!I:O,MATCH(K686,Table!I:I,0),4),"")</f>
        <v/>
      </c>
      <c r="O686" s="32" t="str">
        <f>IFERROR(INDEX(Table!I:O,MATCH(K686,Table!I:I,0),5),"")</f>
        <v/>
      </c>
      <c r="P686" s="32" t="str">
        <f>IFERROR(INDEX(Table!I:O,MATCH(K686,Table!I:I,0),6),"")</f>
        <v/>
      </c>
      <c r="Q686" s="89" t="str">
        <f t="shared" si="30"/>
        <v/>
      </c>
      <c r="R686" s="89" t="str">
        <f t="shared" si="31"/>
        <v/>
      </c>
      <c r="S686" s="82"/>
      <c r="U686" s="37" t="e">
        <f t="shared" si="32"/>
        <v>#VALUE!</v>
      </c>
    </row>
    <row r="687" spans="1:21" x14ac:dyDescent="0.25">
      <c r="A687" s="31" t="str">
        <f>IF(Table!A687 = "","",Table!A687)</f>
        <v/>
      </c>
      <c r="B687" s="31" t="str">
        <f>IF(Table!B687 = "","",Table!B687)</f>
        <v/>
      </c>
      <c r="C687" s="31" t="str">
        <f>IF(Table!C687 = "","",Table!C687)</f>
        <v/>
      </c>
      <c r="D687" s="32" t="str">
        <f>IF(Table!D687 = "","",Table!D687)</f>
        <v/>
      </c>
      <c r="E687" s="32" t="str">
        <f>IF(Table!E687 = "","",Table!E687)</f>
        <v/>
      </c>
      <c r="F687" s="32" t="str">
        <f>IF(Table!F687 = "","",Table!F687)</f>
        <v/>
      </c>
      <c r="G687" s="91"/>
      <c r="I687" s="84" t="str">
        <f>IFERROR(VLOOKUP(A687,Downlink!A:L,12,TRUE),"")</f>
        <v/>
      </c>
      <c r="K687" s="31" t="str">
        <f>IFERROR(VLOOKUP(A687,Table!$I$4:$O$3000,1,TRUE),"")</f>
        <v/>
      </c>
      <c r="L687" s="31" t="str">
        <f>IFERROR(INDEX(Table!I:O,MATCH(K687,Table!I:I,0),2),"")</f>
        <v/>
      </c>
      <c r="M687" s="31" t="str">
        <f>IFERROR(INDEX(Table!I:O,MATCH(K687,Table!I:I,0),3),"")</f>
        <v/>
      </c>
      <c r="N687" s="32" t="str">
        <f>IFERROR(INDEX(Table!I:O,MATCH(K687,Table!I:I,0),4),"")</f>
        <v/>
      </c>
      <c r="O687" s="32" t="str">
        <f>IFERROR(INDEX(Table!I:O,MATCH(K687,Table!I:I,0),5),"")</f>
        <v/>
      </c>
      <c r="P687" s="32" t="str">
        <f>IFERROR(INDEX(Table!I:O,MATCH(K687,Table!I:I,0),6),"")</f>
        <v/>
      </c>
      <c r="Q687" s="89" t="str">
        <f t="shared" si="30"/>
        <v/>
      </c>
      <c r="R687" s="89" t="str">
        <f t="shared" si="31"/>
        <v/>
      </c>
      <c r="S687" s="82"/>
      <c r="U687" s="37" t="e">
        <f t="shared" si="32"/>
        <v>#VALUE!</v>
      </c>
    </row>
    <row r="688" spans="1:21" x14ac:dyDescent="0.25">
      <c r="A688" s="31" t="str">
        <f>IF(Table!A688 = "","",Table!A688)</f>
        <v/>
      </c>
      <c r="B688" s="31" t="str">
        <f>IF(Table!B688 = "","",Table!B688)</f>
        <v/>
      </c>
      <c r="C688" s="31" t="str">
        <f>IF(Table!C688 = "","",Table!C688)</f>
        <v/>
      </c>
      <c r="D688" s="32" t="str">
        <f>IF(Table!D688 = "","",Table!D688)</f>
        <v/>
      </c>
      <c r="E688" s="32" t="str">
        <f>IF(Table!E688 = "","",Table!E688)</f>
        <v/>
      </c>
      <c r="F688" s="32" t="str">
        <f>IF(Table!F688 = "","",Table!F688)</f>
        <v/>
      </c>
      <c r="G688" s="91"/>
      <c r="I688" s="84" t="str">
        <f>IFERROR(VLOOKUP(A688,Downlink!A:L,12,TRUE),"")</f>
        <v/>
      </c>
      <c r="K688" s="31" t="str">
        <f>IFERROR(VLOOKUP(A688,Table!$I$4:$O$3000,1,TRUE),"")</f>
        <v/>
      </c>
      <c r="L688" s="31" t="str">
        <f>IFERROR(INDEX(Table!I:O,MATCH(K688,Table!I:I,0),2),"")</f>
        <v/>
      </c>
      <c r="M688" s="31" t="str">
        <f>IFERROR(INDEX(Table!I:O,MATCH(K688,Table!I:I,0),3),"")</f>
        <v/>
      </c>
      <c r="N688" s="32" t="str">
        <f>IFERROR(INDEX(Table!I:O,MATCH(K688,Table!I:I,0),4),"")</f>
        <v/>
      </c>
      <c r="O688" s="32" t="str">
        <f>IFERROR(INDEX(Table!I:O,MATCH(K688,Table!I:I,0),5),"")</f>
        <v/>
      </c>
      <c r="P688" s="32" t="str">
        <f>IFERROR(INDEX(Table!I:O,MATCH(K688,Table!I:I,0),6),"")</f>
        <v/>
      </c>
      <c r="Q688" s="89" t="str">
        <f t="shared" si="30"/>
        <v/>
      </c>
      <c r="R688" s="89" t="str">
        <f t="shared" si="31"/>
        <v/>
      </c>
      <c r="S688" s="82"/>
      <c r="U688" s="37" t="e">
        <f t="shared" si="32"/>
        <v>#VALUE!</v>
      </c>
    </row>
    <row r="689" spans="1:21" x14ac:dyDescent="0.25">
      <c r="A689" s="31" t="str">
        <f>IF(Table!A689 = "","",Table!A689)</f>
        <v/>
      </c>
      <c r="B689" s="31" t="str">
        <f>IF(Table!B689 = "","",Table!B689)</f>
        <v/>
      </c>
      <c r="C689" s="31" t="str">
        <f>IF(Table!C689 = "","",Table!C689)</f>
        <v/>
      </c>
      <c r="D689" s="32" t="str">
        <f>IF(Table!D689 = "","",Table!D689)</f>
        <v/>
      </c>
      <c r="E689" s="32" t="str">
        <f>IF(Table!E689 = "","",Table!E689)</f>
        <v/>
      </c>
      <c r="F689" s="32" t="str">
        <f>IF(Table!F689 = "","",Table!F689)</f>
        <v/>
      </c>
      <c r="G689" s="91"/>
      <c r="I689" s="84" t="str">
        <f>IFERROR(VLOOKUP(A689,Downlink!A:L,12,TRUE),"")</f>
        <v/>
      </c>
      <c r="K689" s="31" t="str">
        <f>IFERROR(VLOOKUP(A689,Table!$I$4:$O$3000,1,TRUE),"")</f>
        <v/>
      </c>
      <c r="L689" s="31" t="str">
        <f>IFERROR(INDEX(Table!I:O,MATCH(K689,Table!I:I,0),2),"")</f>
        <v/>
      </c>
      <c r="M689" s="31" t="str">
        <f>IFERROR(INDEX(Table!I:O,MATCH(K689,Table!I:I,0),3),"")</f>
        <v/>
      </c>
      <c r="N689" s="32" t="str">
        <f>IFERROR(INDEX(Table!I:O,MATCH(K689,Table!I:I,0),4),"")</f>
        <v/>
      </c>
      <c r="O689" s="32" t="str">
        <f>IFERROR(INDEX(Table!I:O,MATCH(K689,Table!I:I,0),5),"")</f>
        <v/>
      </c>
      <c r="P689" s="32" t="str">
        <f>IFERROR(INDEX(Table!I:O,MATCH(K689,Table!I:I,0),6),"")</f>
        <v/>
      </c>
      <c r="Q689" s="89" t="str">
        <f t="shared" si="30"/>
        <v/>
      </c>
      <c r="R689" s="89" t="str">
        <f t="shared" si="31"/>
        <v/>
      </c>
      <c r="S689" s="82"/>
      <c r="U689" s="37" t="e">
        <f t="shared" si="32"/>
        <v>#VALUE!</v>
      </c>
    </row>
    <row r="690" spans="1:21" x14ac:dyDescent="0.25">
      <c r="A690" s="31" t="str">
        <f>IF(Table!A690 = "","",Table!A690)</f>
        <v/>
      </c>
      <c r="B690" s="31" t="str">
        <f>IF(Table!B690 = "","",Table!B690)</f>
        <v/>
      </c>
      <c r="C690" s="31" t="str">
        <f>IF(Table!C690 = "","",Table!C690)</f>
        <v/>
      </c>
      <c r="D690" s="32" t="str">
        <f>IF(Table!D690 = "","",Table!D690)</f>
        <v/>
      </c>
      <c r="E690" s="32" t="str">
        <f>IF(Table!E690 = "","",Table!E690)</f>
        <v/>
      </c>
      <c r="F690" s="32" t="str">
        <f>IF(Table!F690 = "","",Table!F690)</f>
        <v/>
      </c>
      <c r="G690" s="91"/>
      <c r="I690" s="84" t="str">
        <f>IFERROR(VLOOKUP(A690,Downlink!A:L,12,TRUE),"")</f>
        <v/>
      </c>
      <c r="K690" s="31" t="str">
        <f>IFERROR(VLOOKUP(A690,Table!$I$4:$O$3000,1,TRUE),"")</f>
        <v/>
      </c>
      <c r="L690" s="31" t="str">
        <f>IFERROR(INDEX(Table!I:O,MATCH(K690,Table!I:I,0),2),"")</f>
        <v/>
      </c>
      <c r="M690" s="31" t="str">
        <f>IFERROR(INDEX(Table!I:O,MATCH(K690,Table!I:I,0),3),"")</f>
        <v/>
      </c>
      <c r="N690" s="32" t="str">
        <f>IFERROR(INDEX(Table!I:O,MATCH(K690,Table!I:I,0),4),"")</f>
        <v/>
      </c>
      <c r="O690" s="32" t="str">
        <f>IFERROR(INDEX(Table!I:O,MATCH(K690,Table!I:I,0),5),"")</f>
        <v/>
      </c>
      <c r="P690" s="32" t="str">
        <f>IFERROR(INDEX(Table!I:O,MATCH(K690,Table!I:I,0),6),"")</f>
        <v/>
      </c>
      <c r="Q690" s="89" t="str">
        <f t="shared" si="30"/>
        <v/>
      </c>
      <c r="R690" s="89" t="str">
        <f t="shared" si="31"/>
        <v/>
      </c>
      <c r="S690" s="82"/>
      <c r="U690" s="37" t="e">
        <f t="shared" si="32"/>
        <v>#VALUE!</v>
      </c>
    </row>
    <row r="691" spans="1:21" x14ac:dyDescent="0.25">
      <c r="A691" s="31" t="str">
        <f>IF(Table!A691 = "","",Table!A691)</f>
        <v/>
      </c>
      <c r="B691" s="31" t="str">
        <f>IF(Table!B691 = "","",Table!B691)</f>
        <v/>
      </c>
      <c r="C691" s="31" t="str">
        <f>IF(Table!C691 = "","",Table!C691)</f>
        <v/>
      </c>
      <c r="D691" s="32" t="str">
        <f>IF(Table!D691 = "","",Table!D691)</f>
        <v/>
      </c>
      <c r="E691" s="32" t="str">
        <f>IF(Table!E691 = "","",Table!E691)</f>
        <v/>
      </c>
      <c r="F691" s="32" t="str">
        <f>IF(Table!F691 = "","",Table!F691)</f>
        <v/>
      </c>
      <c r="G691" s="91"/>
      <c r="I691" s="84" t="str">
        <f>IFERROR(VLOOKUP(A691,Downlink!A:L,12,TRUE),"")</f>
        <v/>
      </c>
      <c r="K691" s="31" t="str">
        <f>IFERROR(VLOOKUP(A691,Table!$I$4:$O$3000,1,TRUE),"")</f>
        <v/>
      </c>
      <c r="L691" s="31" t="str">
        <f>IFERROR(INDEX(Table!I:O,MATCH(K691,Table!I:I,0),2),"")</f>
        <v/>
      </c>
      <c r="M691" s="31" t="str">
        <f>IFERROR(INDEX(Table!I:O,MATCH(K691,Table!I:I,0),3),"")</f>
        <v/>
      </c>
      <c r="N691" s="32" t="str">
        <f>IFERROR(INDEX(Table!I:O,MATCH(K691,Table!I:I,0),4),"")</f>
        <v/>
      </c>
      <c r="O691" s="32" t="str">
        <f>IFERROR(INDEX(Table!I:O,MATCH(K691,Table!I:I,0),5),"")</f>
        <v/>
      </c>
      <c r="P691" s="32" t="str">
        <f>IFERROR(INDEX(Table!I:O,MATCH(K691,Table!I:I,0),6),"")</f>
        <v/>
      </c>
      <c r="Q691" s="89" t="str">
        <f t="shared" si="30"/>
        <v/>
      </c>
      <c r="R691" s="89" t="str">
        <f t="shared" si="31"/>
        <v/>
      </c>
      <c r="S691" s="82"/>
      <c r="U691" s="37" t="e">
        <f t="shared" si="32"/>
        <v>#VALUE!</v>
      </c>
    </row>
    <row r="692" spans="1:21" x14ac:dyDescent="0.25">
      <c r="A692" s="31" t="str">
        <f>IF(Table!A692 = "","",Table!A692)</f>
        <v/>
      </c>
      <c r="B692" s="31" t="str">
        <f>IF(Table!B692 = "","",Table!B692)</f>
        <v/>
      </c>
      <c r="C692" s="31" t="str">
        <f>IF(Table!C692 = "","",Table!C692)</f>
        <v/>
      </c>
      <c r="D692" s="32" t="str">
        <f>IF(Table!D692 = "","",Table!D692)</f>
        <v/>
      </c>
      <c r="E692" s="32" t="str">
        <f>IF(Table!E692 = "","",Table!E692)</f>
        <v/>
      </c>
      <c r="F692" s="32" t="str">
        <f>IF(Table!F692 = "","",Table!F692)</f>
        <v/>
      </c>
      <c r="G692" s="91"/>
      <c r="I692" s="84" t="str">
        <f>IFERROR(VLOOKUP(A692,Downlink!A:L,12,TRUE),"")</f>
        <v/>
      </c>
      <c r="K692" s="31" t="str">
        <f>IFERROR(VLOOKUP(A692,Table!$I$4:$O$3000,1,TRUE),"")</f>
        <v/>
      </c>
      <c r="L692" s="31" t="str">
        <f>IFERROR(INDEX(Table!I:O,MATCH(K692,Table!I:I,0),2),"")</f>
        <v/>
      </c>
      <c r="M692" s="31" t="str">
        <f>IFERROR(INDEX(Table!I:O,MATCH(K692,Table!I:I,0),3),"")</f>
        <v/>
      </c>
      <c r="N692" s="32" t="str">
        <f>IFERROR(INDEX(Table!I:O,MATCH(K692,Table!I:I,0),4),"")</f>
        <v/>
      </c>
      <c r="O692" s="32" t="str">
        <f>IFERROR(INDEX(Table!I:O,MATCH(K692,Table!I:I,0),5),"")</f>
        <v/>
      </c>
      <c r="P692" s="32" t="str">
        <f>IFERROR(INDEX(Table!I:O,MATCH(K692,Table!I:I,0),6),"")</f>
        <v/>
      </c>
      <c r="Q692" s="89" t="str">
        <f t="shared" si="30"/>
        <v/>
      </c>
      <c r="R692" s="89" t="str">
        <f t="shared" si="31"/>
        <v/>
      </c>
      <c r="S692" s="82"/>
      <c r="U692" s="37" t="e">
        <f t="shared" si="32"/>
        <v>#VALUE!</v>
      </c>
    </row>
    <row r="693" spans="1:21" x14ac:dyDescent="0.25">
      <c r="A693" s="31" t="str">
        <f>IF(Table!A693 = "","",Table!A693)</f>
        <v/>
      </c>
      <c r="B693" s="31" t="str">
        <f>IF(Table!B693 = "","",Table!B693)</f>
        <v/>
      </c>
      <c r="C693" s="31" t="str">
        <f>IF(Table!C693 = "","",Table!C693)</f>
        <v/>
      </c>
      <c r="D693" s="32" t="str">
        <f>IF(Table!D693 = "","",Table!D693)</f>
        <v/>
      </c>
      <c r="E693" s="32" t="str">
        <f>IF(Table!E693 = "","",Table!E693)</f>
        <v/>
      </c>
      <c r="F693" s="32" t="str">
        <f>IF(Table!F693 = "","",Table!F693)</f>
        <v/>
      </c>
      <c r="G693" s="91"/>
      <c r="I693" s="84" t="str">
        <f>IFERROR(VLOOKUP(A693,Downlink!A:L,12,TRUE),"")</f>
        <v/>
      </c>
      <c r="K693" s="31" t="str">
        <f>IFERROR(VLOOKUP(A693,Table!$I$4:$O$3000,1,TRUE),"")</f>
        <v/>
      </c>
      <c r="L693" s="31" t="str">
        <f>IFERROR(INDEX(Table!I:O,MATCH(K693,Table!I:I,0),2),"")</f>
        <v/>
      </c>
      <c r="M693" s="31" t="str">
        <f>IFERROR(INDEX(Table!I:O,MATCH(K693,Table!I:I,0),3),"")</f>
        <v/>
      </c>
      <c r="N693" s="32" t="str">
        <f>IFERROR(INDEX(Table!I:O,MATCH(K693,Table!I:I,0),4),"")</f>
        <v/>
      </c>
      <c r="O693" s="32" t="str">
        <f>IFERROR(INDEX(Table!I:O,MATCH(K693,Table!I:I,0),5),"")</f>
        <v/>
      </c>
      <c r="P693" s="32" t="str">
        <f>IFERROR(INDEX(Table!I:O,MATCH(K693,Table!I:I,0),6),"")</f>
        <v/>
      </c>
      <c r="Q693" s="89" t="str">
        <f t="shared" si="30"/>
        <v/>
      </c>
      <c r="R693" s="89" t="str">
        <f t="shared" si="31"/>
        <v/>
      </c>
      <c r="S693" s="82"/>
      <c r="U693" s="37" t="e">
        <f t="shared" si="32"/>
        <v>#VALUE!</v>
      </c>
    </row>
    <row r="694" spans="1:21" x14ac:dyDescent="0.25">
      <c r="A694" s="31" t="str">
        <f>IF(Table!A694 = "","",Table!A694)</f>
        <v/>
      </c>
      <c r="B694" s="31" t="str">
        <f>IF(Table!B694 = "","",Table!B694)</f>
        <v/>
      </c>
      <c r="C694" s="31" t="str">
        <f>IF(Table!C694 = "","",Table!C694)</f>
        <v/>
      </c>
      <c r="D694" s="32" t="str">
        <f>IF(Table!D694 = "","",Table!D694)</f>
        <v/>
      </c>
      <c r="E694" s="32" t="str">
        <f>IF(Table!E694 = "","",Table!E694)</f>
        <v/>
      </c>
      <c r="F694" s="32" t="str">
        <f>IF(Table!F694 = "","",Table!F694)</f>
        <v/>
      </c>
      <c r="G694" s="91"/>
      <c r="I694" s="84" t="str">
        <f>IFERROR(VLOOKUP(A694,Downlink!A:L,12,TRUE),"")</f>
        <v/>
      </c>
      <c r="K694" s="31" t="str">
        <f>IFERROR(VLOOKUP(A694,Table!$I$4:$O$3000,1,TRUE),"")</f>
        <v/>
      </c>
      <c r="L694" s="31" t="str">
        <f>IFERROR(INDEX(Table!I:O,MATCH(K694,Table!I:I,0),2),"")</f>
        <v/>
      </c>
      <c r="M694" s="31" t="str">
        <f>IFERROR(INDEX(Table!I:O,MATCH(K694,Table!I:I,0),3),"")</f>
        <v/>
      </c>
      <c r="N694" s="32" t="str">
        <f>IFERROR(INDEX(Table!I:O,MATCH(K694,Table!I:I,0),4),"")</f>
        <v/>
      </c>
      <c r="O694" s="32" t="str">
        <f>IFERROR(INDEX(Table!I:O,MATCH(K694,Table!I:I,0),5),"")</f>
        <v/>
      </c>
      <c r="P694" s="32" t="str">
        <f>IFERROR(INDEX(Table!I:O,MATCH(K694,Table!I:I,0),6),"")</f>
        <v/>
      </c>
      <c r="Q694" s="89" t="str">
        <f t="shared" si="30"/>
        <v/>
      </c>
      <c r="R694" s="89" t="str">
        <f t="shared" si="31"/>
        <v/>
      </c>
      <c r="S694" s="82"/>
      <c r="U694" s="37" t="e">
        <f t="shared" si="32"/>
        <v>#VALUE!</v>
      </c>
    </row>
    <row r="695" spans="1:21" x14ac:dyDescent="0.25">
      <c r="A695" s="31" t="str">
        <f>IF(Table!A695 = "","",Table!A695)</f>
        <v/>
      </c>
      <c r="B695" s="31" t="str">
        <f>IF(Table!B695 = "","",Table!B695)</f>
        <v/>
      </c>
      <c r="C695" s="31" t="str">
        <f>IF(Table!C695 = "","",Table!C695)</f>
        <v/>
      </c>
      <c r="D695" s="32" t="str">
        <f>IF(Table!D695 = "","",Table!D695)</f>
        <v/>
      </c>
      <c r="E695" s="32" t="str">
        <f>IF(Table!E695 = "","",Table!E695)</f>
        <v/>
      </c>
      <c r="F695" s="32" t="str">
        <f>IF(Table!F695 = "","",Table!F695)</f>
        <v/>
      </c>
      <c r="G695" s="91"/>
      <c r="I695" s="84" t="str">
        <f>IFERROR(VLOOKUP(A695,Downlink!A:L,12,TRUE),"")</f>
        <v/>
      </c>
      <c r="K695" s="31" t="str">
        <f>IFERROR(VLOOKUP(A695,Table!$I$4:$O$3000,1,TRUE),"")</f>
        <v/>
      </c>
      <c r="L695" s="31" t="str">
        <f>IFERROR(INDEX(Table!I:O,MATCH(K695,Table!I:I,0),2),"")</f>
        <v/>
      </c>
      <c r="M695" s="31" t="str">
        <f>IFERROR(INDEX(Table!I:O,MATCH(K695,Table!I:I,0),3),"")</f>
        <v/>
      </c>
      <c r="N695" s="32" t="str">
        <f>IFERROR(INDEX(Table!I:O,MATCH(K695,Table!I:I,0),4),"")</f>
        <v/>
      </c>
      <c r="O695" s="32" t="str">
        <f>IFERROR(INDEX(Table!I:O,MATCH(K695,Table!I:I,0),5),"")</f>
        <v/>
      </c>
      <c r="P695" s="32" t="str">
        <f>IFERROR(INDEX(Table!I:O,MATCH(K695,Table!I:I,0),6),"")</f>
        <v/>
      </c>
      <c r="Q695" s="89" t="str">
        <f t="shared" si="30"/>
        <v/>
      </c>
      <c r="R695" s="89" t="str">
        <f t="shared" si="31"/>
        <v/>
      </c>
      <c r="S695" s="82"/>
      <c r="U695" s="37" t="e">
        <f t="shared" si="32"/>
        <v>#VALUE!</v>
      </c>
    </row>
    <row r="696" spans="1:21" x14ac:dyDescent="0.25">
      <c r="A696" s="31" t="str">
        <f>IF(Table!A696 = "","",Table!A696)</f>
        <v/>
      </c>
      <c r="B696" s="31" t="str">
        <f>IF(Table!B696 = "","",Table!B696)</f>
        <v/>
      </c>
      <c r="C696" s="31" t="str">
        <f>IF(Table!C696 = "","",Table!C696)</f>
        <v/>
      </c>
      <c r="D696" s="32" t="str">
        <f>IF(Table!D696 = "","",Table!D696)</f>
        <v/>
      </c>
      <c r="E696" s="32" t="str">
        <f>IF(Table!E696 = "","",Table!E696)</f>
        <v/>
      </c>
      <c r="F696" s="32" t="str">
        <f>IF(Table!F696 = "","",Table!F696)</f>
        <v/>
      </c>
      <c r="G696" s="91"/>
      <c r="I696" s="84" t="str">
        <f>IFERROR(VLOOKUP(A696,Downlink!A:L,12,TRUE),"")</f>
        <v/>
      </c>
      <c r="K696" s="31" t="str">
        <f>IFERROR(VLOOKUP(A696,Table!$I$4:$O$3000,1,TRUE),"")</f>
        <v/>
      </c>
      <c r="L696" s="31" t="str">
        <f>IFERROR(INDEX(Table!I:O,MATCH(K696,Table!I:I,0),2),"")</f>
        <v/>
      </c>
      <c r="M696" s="31" t="str">
        <f>IFERROR(INDEX(Table!I:O,MATCH(K696,Table!I:I,0),3),"")</f>
        <v/>
      </c>
      <c r="N696" s="32" t="str">
        <f>IFERROR(INDEX(Table!I:O,MATCH(K696,Table!I:I,0),4),"")</f>
        <v/>
      </c>
      <c r="O696" s="32" t="str">
        <f>IFERROR(INDEX(Table!I:O,MATCH(K696,Table!I:I,0),5),"")</f>
        <v/>
      </c>
      <c r="P696" s="32" t="str">
        <f>IFERROR(INDEX(Table!I:O,MATCH(K696,Table!I:I,0),6),"")</f>
        <v/>
      </c>
      <c r="Q696" s="89" t="str">
        <f t="shared" si="30"/>
        <v/>
      </c>
      <c r="R696" s="89" t="str">
        <f t="shared" si="31"/>
        <v/>
      </c>
      <c r="S696" s="82"/>
      <c r="U696" s="37" t="e">
        <f t="shared" si="32"/>
        <v>#VALUE!</v>
      </c>
    </row>
    <row r="697" spans="1:21" x14ac:dyDescent="0.25">
      <c r="A697" s="31" t="str">
        <f>IF(Table!A697 = "","",Table!A697)</f>
        <v/>
      </c>
      <c r="B697" s="31" t="str">
        <f>IF(Table!B697 = "","",Table!B697)</f>
        <v/>
      </c>
      <c r="C697" s="31" t="str">
        <f>IF(Table!C697 = "","",Table!C697)</f>
        <v/>
      </c>
      <c r="D697" s="32" t="str">
        <f>IF(Table!D697 = "","",Table!D697)</f>
        <v/>
      </c>
      <c r="E697" s="32" t="str">
        <f>IF(Table!E697 = "","",Table!E697)</f>
        <v/>
      </c>
      <c r="F697" s="32" t="str">
        <f>IF(Table!F697 = "","",Table!F697)</f>
        <v/>
      </c>
      <c r="G697" s="91"/>
      <c r="I697" s="84" t="str">
        <f>IFERROR(VLOOKUP(A697,Downlink!A:L,12,TRUE),"")</f>
        <v/>
      </c>
      <c r="K697" s="31" t="str">
        <f>IFERROR(VLOOKUP(A697,Table!$I$4:$O$3000,1,TRUE),"")</f>
        <v/>
      </c>
      <c r="L697" s="31" t="str">
        <f>IFERROR(INDEX(Table!I:O,MATCH(K697,Table!I:I,0),2),"")</f>
        <v/>
      </c>
      <c r="M697" s="31" t="str">
        <f>IFERROR(INDEX(Table!I:O,MATCH(K697,Table!I:I,0),3),"")</f>
        <v/>
      </c>
      <c r="N697" s="32" t="str">
        <f>IFERROR(INDEX(Table!I:O,MATCH(K697,Table!I:I,0),4),"")</f>
        <v/>
      </c>
      <c r="O697" s="32" t="str">
        <f>IFERROR(INDEX(Table!I:O,MATCH(K697,Table!I:I,0),5),"")</f>
        <v/>
      </c>
      <c r="P697" s="32" t="str">
        <f>IFERROR(INDEX(Table!I:O,MATCH(K697,Table!I:I,0),6),"")</f>
        <v/>
      </c>
      <c r="Q697" s="89" t="str">
        <f t="shared" si="30"/>
        <v/>
      </c>
      <c r="R697" s="89" t="str">
        <f t="shared" si="31"/>
        <v/>
      </c>
      <c r="S697" s="82"/>
      <c r="U697" s="37" t="e">
        <f t="shared" si="32"/>
        <v>#VALUE!</v>
      </c>
    </row>
    <row r="698" spans="1:21" x14ac:dyDescent="0.25">
      <c r="A698" s="31" t="str">
        <f>IF(Table!A698 = "","",Table!A698)</f>
        <v/>
      </c>
      <c r="B698" s="31" t="str">
        <f>IF(Table!B698 = "","",Table!B698)</f>
        <v/>
      </c>
      <c r="C698" s="31" t="str">
        <f>IF(Table!C698 = "","",Table!C698)</f>
        <v/>
      </c>
      <c r="D698" s="32" t="str">
        <f>IF(Table!D698 = "","",Table!D698)</f>
        <v/>
      </c>
      <c r="E698" s="32" t="str">
        <f>IF(Table!E698 = "","",Table!E698)</f>
        <v/>
      </c>
      <c r="F698" s="32" t="str">
        <f>IF(Table!F698 = "","",Table!F698)</f>
        <v/>
      </c>
      <c r="G698" s="91"/>
      <c r="I698" s="84" t="str">
        <f>IFERROR(VLOOKUP(A698,Downlink!A:L,12,TRUE),"")</f>
        <v/>
      </c>
      <c r="K698" s="31" t="str">
        <f>IFERROR(VLOOKUP(A698,Table!$I$4:$O$3000,1,TRUE),"")</f>
        <v/>
      </c>
      <c r="L698" s="31" t="str">
        <f>IFERROR(INDEX(Table!I:O,MATCH(K698,Table!I:I,0),2),"")</f>
        <v/>
      </c>
      <c r="M698" s="31" t="str">
        <f>IFERROR(INDEX(Table!I:O,MATCH(K698,Table!I:I,0),3),"")</f>
        <v/>
      </c>
      <c r="N698" s="32" t="str">
        <f>IFERROR(INDEX(Table!I:O,MATCH(K698,Table!I:I,0),4),"")</f>
        <v/>
      </c>
      <c r="O698" s="32" t="str">
        <f>IFERROR(INDEX(Table!I:O,MATCH(K698,Table!I:I,0),5),"")</f>
        <v/>
      </c>
      <c r="P698" s="32" t="str">
        <f>IFERROR(INDEX(Table!I:O,MATCH(K698,Table!I:I,0),6),"")</f>
        <v/>
      </c>
      <c r="Q698" s="89" t="str">
        <f t="shared" si="30"/>
        <v/>
      </c>
      <c r="R698" s="89" t="str">
        <f t="shared" si="31"/>
        <v/>
      </c>
      <c r="S698" s="82"/>
      <c r="U698" s="37" t="e">
        <f t="shared" si="32"/>
        <v>#VALUE!</v>
      </c>
    </row>
    <row r="699" spans="1:21" x14ac:dyDescent="0.25">
      <c r="A699" s="31" t="str">
        <f>IF(Table!A699 = "","",Table!A699)</f>
        <v/>
      </c>
      <c r="B699" s="31" t="str">
        <f>IF(Table!B699 = "","",Table!B699)</f>
        <v/>
      </c>
      <c r="C699" s="31" t="str">
        <f>IF(Table!C699 = "","",Table!C699)</f>
        <v/>
      </c>
      <c r="D699" s="32" t="str">
        <f>IF(Table!D699 = "","",Table!D699)</f>
        <v/>
      </c>
      <c r="E699" s="32" t="str">
        <f>IF(Table!E699 = "","",Table!E699)</f>
        <v/>
      </c>
      <c r="F699" s="32" t="str">
        <f>IF(Table!F699 = "","",Table!F699)</f>
        <v/>
      </c>
      <c r="G699" s="91"/>
      <c r="I699" s="84" t="str">
        <f>IFERROR(VLOOKUP(A699,Downlink!A:L,12,TRUE),"")</f>
        <v/>
      </c>
      <c r="K699" s="31" t="str">
        <f>IFERROR(VLOOKUP(A699,Table!$I$4:$O$3000,1,TRUE),"")</f>
        <v/>
      </c>
      <c r="L699" s="31" t="str">
        <f>IFERROR(INDEX(Table!I:O,MATCH(K699,Table!I:I,0),2),"")</f>
        <v/>
      </c>
      <c r="M699" s="31" t="str">
        <f>IFERROR(INDEX(Table!I:O,MATCH(K699,Table!I:I,0),3),"")</f>
        <v/>
      </c>
      <c r="N699" s="32" t="str">
        <f>IFERROR(INDEX(Table!I:O,MATCH(K699,Table!I:I,0),4),"")</f>
        <v/>
      </c>
      <c r="O699" s="32" t="str">
        <f>IFERROR(INDEX(Table!I:O,MATCH(K699,Table!I:I,0),5),"")</f>
        <v/>
      </c>
      <c r="P699" s="32" t="str">
        <f>IFERROR(INDEX(Table!I:O,MATCH(K699,Table!I:I,0),6),"")</f>
        <v/>
      </c>
      <c r="Q699" s="89" t="str">
        <f t="shared" si="30"/>
        <v/>
      </c>
      <c r="R699" s="89" t="str">
        <f t="shared" si="31"/>
        <v/>
      </c>
      <c r="S699" s="82"/>
      <c r="U699" s="37" t="e">
        <f t="shared" si="32"/>
        <v>#VALUE!</v>
      </c>
    </row>
    <row r="700" spans="1:21" x14ac:dyDescent="0.25">
      <c r="A700" s="31" t="str">
        <f>IF(Table!A700 = "","",Table!A700)</f>
        <v/>
      </c>
      <c r="B700" s="31" t="str">
        <f>IF(Table!B700 = "","",Table!B700)</f>
        <v/>
      </c>
      <c r="C700" s="31" t="str">
        <f>IF(Table!C700 = "","",Table!C700)</f>
        <v/>
      </c>
      <c r="D700" s="32" t="str">
        <f>IF(Table!D700 = "","",Table!D700)</f>
        <v/>
      </c>
      <c r="E700" s="32" t="str">
        <f>IF(Table!E700 = "","",Table!E700)</f>
        <v/>
      </c>
      <c r="F700" s="32" t="str">
        <f>IF(Table!F700 = "","",Table!F700)</f>
        <v/>
      </c>
      <c r="G700" s="91"/>
      <c r="I700" s="84" t="str">
        <f>IFERROR(VLOOKUP(A700,Downlink!A:L,12,TRUE),"")</f>
        <v/>
      </c>
      <c r="K700" s="31" t="str">
        <f>IFERROR(VLOOKUP(A700,Table!$I$4:$O$3000,1,TRUE),"")</f>
        <v/>
      </c>
      <c r="L700" s="31" t="str">
        <f>IFERROR(INDEX(Table!I:O,MATCH(K700,Table!I:I,0),2),"")</f>
        <v/>
      </c>
      <c r="M700" s="31" t="str">
        <f>IFERROR(INDEX(Table!I:O,MATCH(K700,Table!I:I,0),3),"")</f>
        <v/>
      </c>
      <c r="N700" s="32" t="str">
        <f>IFERROR(INDEX(Table!I:O,MATCH(K700,Table!I:I,0),4),"")</f>
        <v/>
      </c>
      <c r="O700" s="32" t="str">
        <f>IFERROR(INDEX(Table!I:O,MATCH(K700,Table!I:I,0),5),"")</f>
        <v/>
      </c>
      <c r="P700" s="32" t="str">
        <f>IFERROR(INDEX(Table!I:O,MATCH(K700,Table!I:I,0),6),"")</f>
        <v/>
      </c>
      <c r="Q700" s="89" t="str">
        <f t="shared" si="30"/>
        <v/>
      </c>
      <c r="R700" s="89" t="str">
        <f t="shared" si="31"/>
        <v/>
      </c>
      <c r="S700" s="82"/>
      <c r="U700" s="37" t="e">
        <f t="shared" si="32"/>
        <v>#VALUE!</v>
      </c>
    </row>
    <row r="701" spans="1:21" x14ac:dyDescent="0.25">
      <c r="A701" s="31" t="str">
        <f>IF(Table!A701 = "","",Table!A701)</f>
        <v/>
      </c>
      <c r="B701" s="31" t="str">
        <f>IF(Table!B701 = "","",Table!B701)</f>
        <v/>
      </c>
      <c r="C701" s="31" t="str">
        <f>IF(Table!C701 = "","",Table!C701)</f>
        <v/>
      </c>
      <c r="D701" s="32" t="str">
        <f>IF(Table!D701 = "","",Table!D701)</f>
        <v/>
      </c>
      <c r="E701" s="32" t="str">
        <f>IF(Table!E701 = "","",Table!E701)</f>
        <v/>
      </c>
      <c r="F701" s="32" t="str">
        <f>IF(Table!F701 = "","",Table!F701)</f>
        <v/>
      </c>
      <c r="G701" s="91"/>
      <c r="I701" s="84" t="str">
        <f>IFERROR(VLOOKUP(A701,Downlink!A:L,12,TRUE),"")</f>
        <v/>
      </c>
      <c r="K701" s="31" t="str">
        <f>IFERROR(VLOOKUP(A701,Table!$I$4:$O$3000,1,TRUE),"")</f>
        <v/>
      </c>
      <c r="L701" s="31" t="str">
        <f>IFERROR(INDEX(Table!I:O,MATCH(K701,Table!I:I,0),2),"")</f>
        <v/>
      </c>
      <c r="M701" s="31" t="str">
        <f>IFERROR(INDEX(Table!I:O,MATCH(K701,Table!I:I,0),3),"")</f>
        <v/>
      </c>
      <c r="N701" s="32" t="str">
        <f>IFERROR(INDEX(Table!I:O,MATCH(K701,Table!I:I,0),4),"")</f>
        <v/>
      </c>
      <c r="O701" s="32" t="str">
        <f>IFERROR(INDEX(Table!I:O,MATCH(K701,Table!I:I,0),5),"")</f>
        <v/>
      </c>
      <c r="P701" s="32" t="str">
        <f>IFERROR(INDEX(Table!I:O,MATCH(K701,Table!I:I,0),6),"")</f>
        <v/>
      </c>
      <c r="Q701" s="89" t="str">
        <f t="shared" si="30"/>
        <v/>
      </c>
      <c r="R701" s="89" t="str">
        <f t="shared" si="31"/>
        <v/>
      </c>
      <c r="S701" s="82"/>
      <c r="U701" s="37" t="e">
        <f t="shared" si="32"/>
        <v>#VALUE!</v>
      </c>
    </row>
    <row r="702" spans="1:21" x14ac:dyDescent="0.25">
      <c r="A702" s="31" t="str">
        <f>IF(Table!A702 = "","",Table!A702)</f>
        <v/>
      </c>
      <c r="B702" s="31" t="str">
        <f>IF(Table!B702 = "","",Table!B702)</f>
        <v/>
      </c>
      <c r="C702" s="31" t="str">
        <f>IF(Table!C702 = "","",Table!C702)</f>
        <v/>
      </c>
      <c r="D702" s="32" t="str">
        <f>IF(Table!D702 = "","",Table!D702)</f>
        <v/>
      </c>
      <c r="E702" s="32" t="str">
        <f>IF(Table!E702 = "","",Table!E702)</f>
        <v/>
      </c>
      <c r="F702" s="32" t="str">
        <f>IF(Table!F702 = "","",Table!F702)</f>
        <v/>
      </c>
      <c r="G702" s="91"/>
      <c r="I702" s="84" t="str">
        <f>IFERROR(VLOOKUP(A702,Downlink!A:L,12,TRUE),"")</f>
        <v/>
      </c>
      <c r="K702" s="31" t="str">
        <f>IFERROR(VLOOKUP(A702,Table!$I$4:$O$3000,1,TRUE),"")</f>
        <v/>
      </c>
      <c r="L702" s="31" t="str">
        <f>IFERROR(INDEX(Table!I:O,MATCH(K702,Table!I:I,0),2),"")</f>
        <v/>
      </c>
      <c r="M702" s="31" t="str">
        <f>IFERROR(INDEX(Table!I:O,MATCH(K702,Table!I:I,0),3),"")</f>
        <v/>
      </c>
      <c r="N702" s="32" t="str">
        <f>IFERROR(INDEX(Table!I:O,MATCH(K702,Table!I:I,0),4),"")</f>
        <v/>
      </c>
      <c r="O702" s="32" t="str">
        <f>IFERROR(INDEX(Table!I:O,MATCH(K702,Table!I:I,0),5),"")</f>
        <v/>
      </c>
      <c r="P702" s="32" t="str">
        <f>IFERROR(INDEX(Table!I:O,MATCH(K702,Table!I:I,0),6),"")</f>
        <v/>
      </c>
      <c r="Q702" s="89" t="str">
        <f t="shared" si="30"/>
        <v/>
      </c>
      <c r="R702" s="89" t="str">
        <f t="shared" si="31"/>
        <v/>
      </c>
      <c r="S702" s="82"/>
      <c r="U702" s="37" t="e">
        <f t="shared" si="32"/>
        <v>#VALUE!</v>
      </c>
    </row>
    <row r="703" spans="1:21" x14ac:dyDescent="0.25">
      <c r="A703" s="31" t="str">
        <f>IF(Table!A703 = "","",Table!A703)</f>
        <v/>
      </c>
      <c r="B703" s="31" t="str">
        <f>IF(Table!B703 = "","",Table!B703)</f>
        <v/>
      </c>
      <c r="C703" s="31" t="str">
        <f>IF(Table!C703 = "","",Table!C703)</f>
        <v/>
      </c>
      <c r="D703" s="32" t="str">
        <f>IF(Table!D703 = "","",Table!D703)</f>
        <v/>
      </c>
      <c r="E703" s="32" t="str">
        <f>IF(Table!E703 = "","",Table!E703)</f>
        <v/>
      </c>
      <c r="F703" s="32" t="str">
        <f>IF(Table!F703 = "","",Table!F703)</f>
        <v/>
      </c>
      <c r="G703" s="91"/>
      <c r="I703" s="84" t="str">
        <f>IFERROR(VLOOKUP(A703,Downlink!A:L,12,TRUE),"")</f>
        <v/>
      </c>
      <c r="K703" s="31" t="str">
        <f>IFERROR(VLOOKUP(A703,Table!$I$4:$O$3000,1,TRUE),"")</f>
        <v/>
      </c>
      <c r="L703" s="31" t="str">
        <f>IFERROR(INDEX(Table!I:O,MATCH(K703,Table!I:I,0),2),"")</f>
        <v/>
      </c>
      <c r="M703" s="31" t="str">
        <f>IFERROR(INDEX(Table!I:O,MATCH(K703,Table!I:I,0),3),"")</f>
        <v/>
      </c>
      <c r="N703" s="32" t="str">
        <f>IFERROR(INDEX(Table!I:O,MATCH(K703,Table!I:I,0),4),"")</f>
        <v/>
      </c>
      <c r="O703" s="32" t="str">
        <f>IFERROR(INDEX(Table!I:O,MATCH(K703,Table!I:I,0),5),"")</f>
        <v/>
      </c>
      <c r="P703" s="32" t="str">
        <f>IFERROR(INDEX(Table!I:O,MATCH(K703,Table!I:I,0),6),"")</f>
        <v/>
      </c>
      <c r="Q703" s="89" t="str">
        <f t="shared" si="30"/>
        <v/>
      </c>
      <c r="R703" s="89" t="str">
        <f t="shared" si="31"/>
        <v/>
      </c>
      <c r="S703" s="82"/>
      <c r="U703" s="37" t="e">
        <f t="shared" si="32"/>
        <v>#VALUE!</v>
      </c>
    </row>
    <row r="704" spans="1:21" x14ac:dyDescent="0.25">
      <c r="A704" s="31" t="str">
        <f>IF(Table!A704 = "","",Table!A704)</f>
        <v/>
      </c>
      <c r="B704" s="31" t="str">
        <f>IF(Table!B704 = "","",Table!B704)</f>
        <v/>
      </c>
      <c r="C704" s="31" t="str">
        <f>IF(Table!C704 = "","",Table!C704)</f>
        <v/>
      </c>
      <c r="D704" s="32" t="str">
        <f>IF(Table!D704 = "","",Table!D704)</f>
        <v/>
      </c>
      <c r="E704" s="32" t="str">
        <f>IF(Table!E704 = "","",Table!E704)</f>
        <v/>
      </c>
      <c r="F704" s="32" t="str">
        <f>IF(Table!F704 = "","",Table!F704)</f>
        <v/>
      </c>
      <c r="G704" s="91"/>
      <c r="I704" s="84" t="str">
        <f>IFERROR(VLOOKUP(A704,Downlink!A:L,12,TRUE),"")</f>
        <v/>
      </c>
      <c r="K704" s="31" t="str">
        <f>IFERROR(VLOOKUP(A704,Table!$I$4:$O$3000,1,TRUE),"")</f>
        <v/>
      </c>
      <c r="L704" s="31" t="str">
        <f>IFERROR(INDEX(Table!I:O,MATCH(K704,Table!I:I,0),2),"")</f>
        <v/>
      </c>
      <c r="M704" s="31" t="str">
        <f>IFERROR(INDEX(Table!I:O,MATCH(K704,Table!I:I,0),3),"")</f>
        <v/>
      </c>
      <c r="N704" s="32" t="str">
        <f>IFERROR(INDEX(Table!I:O,MATCH(K704,Table!I:I,0),4),"")</f>
        <v/>
      </c>
      <c r="O704" s="32" t="str">
        <f>IFERROR(INDEX(Table!I:O,MATCH(K704,Table!I:I,0),5),"")</f>
        <v/>
      </c>
      <c r="P704" s="32" t="str">
        <f>IFERROR(INDEX(Table!I:O,MATCH(K704,Table!I:I,0),6),"")</f>
        <v/>
      </c>
      <c r="Q704" s="89" t="str">
        <f t="shared" si="30"/>
        <v/>
      </c>
      <c r="R704" s="89" t="str">
        <f t="shared" si="31"/>
        <v/>
      </c>
      <c r="S704" s="82"/>
      <c r="U704" s="37" t="e">
        <f t="shared" si="32"/>
        <v>#VALUE!</v>
      </c>
    </row>
    <row r="705" spans="1:21" x14ac:dyDescent="0.25">
      <c r="A705" s="31" t="str">
        <f>IF(Table!A705 = "","",Table!A705)</f>
        <v/>
      </c>
      <c r="B705" s="31" t="str">
        <f>IF(Table!B705 = "","",Table!B705)</f>
        <v/>
      </c>
      <c r="C705" s="31" t="str">
        <f>IF(Table!C705 = "","",Table!C705)</f>
        <v/>
      </c>
      <c r="D705" s="32" t="str">
        <f>IF(Table!D705 = "","",Table!D705)</f>
        <v/>
      </c>
      <c r="E705" s="32" t="str">
        <f>IF(Table!E705 = "","",Table!E705)</f>
        <v/>
      </c>
      <c r="F705" s="32" t="str">
        <f>IF(Table!F705 = "","",Table!F705)</f>
        <v/>
      </c>
      <c r="G705" s="91"/>
      <c r="I705" s="84" t="str">
        <f>IFERROR(VLOOKUP(A705,Downlink!A:L,12,TRUE),"")</f>
        <v/>
      </c>
      <c r="K705" s="31" t="str">
        <f>IFERROR(VLOOKUP(A705,Table!$I$4:$O$3000,1,TRUE),"")</f>
        <v/>
      </c>
      <c r="L705" s="31" t="str">
        <f>IFERROR(INDEX(Table!I:O,MATCH(K705,Table!I:I,0),2),"")</f>
        <v/>
      </c>
      <c r="M705" s="31" t="str">
        <f>IFERROR(INDEX(Table!I:O,MATCH(K705,Table!I:I,0),3),"")</f>
        <v/>
      </c>
      <c r="N705" s="32" t="str">
        <f>IFERROR(INDEX(Table!I:O,MATCH(K705,Table!I:I,0),4),"")</f>
        <v/>
      </c>
      <c r="O705" s="32" t="str">
        <f>IFERROR(INDEX(Table!I:O,MATCH(K705,Table!I:I,0),5),"")</f>
        <v/>
      </c>
      <c r="P705" s="32" t="str">
        <f>IFERROR(INDEX(Table!I:O,MATCH(K705,Table!I:I,0),6),"")</f>
        <v/>
      </c>
      <c r="Q705" s="89" t="str">
        <f t="shared" si="30"/>
        <v/>
      </c>
      <c r="R705" s="89" t="str">
        <f t="shared" si="31"/>
        <v/>
      </c>
      <c r="S705" s="82"/>
      <c r="U705" s="37" t="e">
        <f t="shared" si="32"/>
        <v>#VALUE!</v>
      </c>
    </row>
    <row r="706" spans="1:21" x14ac:dyDescent="0.25">
      <c r="A706" s="31" t="str">
        <f>IF(Table!A706 = "","",Table!A706)</f>
        <v/>
      </c>
      <c r="B706" s="31" t="str">
        <f>IF(Table!B706 = "","",Table!B706)</f>
        <v/>
      </c>
      <c r="C706" s="31" t="str">
        <f>IF(Table!C706 = "","",Table!C706)</f>
        <v/>
      </c>
      <c r="D706" s="32" t="str">
        <f>IF(Table!D706 = "","",Table!D706)</f>
        <v/>
      </c>
      <c r="E706" s="32" t="str">
        <f>IF(Table!E706 = "","",Table!E706)</f>
        <v/>
      </c>
      <c r="F706" s="32" t="str">
        <f>IF(Table!F706 = "","",Table!F706)</f>
        <v/>
      </c>
      <c r="G706" s="91"/>
      <c r="I706" s="84" t="str">
        <f>IFERROR(VLOOKUP(A706,Downlink!A:L,12,TRUE),"")</f>
        <v/>
      </c>
      <c r="K706" s="31" t="str">
        <f>IFERROR(VLOOKUP(A706,Table!$I$4:$O$3000,1,TRUE),"")</f>
        <v/>
      </c>
      <c r="L706" s="31" t="str">
        <f>IFERROR(INDEX(Table!I:O,MATCH(K706,Table!I:I,0),2),"")</f>
        <v/>
      </c>
      <c r="M706" s="31" t="str">
        <f>IFERROR(INDEX(Table!I:O,MATCH(K706,Table!I:I,0),3),"")</f>
        <v/>
      </c>
      <c r="N706" s="32" t="str">
        <f>IFERROR(INDEX(Table!I:O,MATCH(K706,Table!I:I,0),4),"")</f>
        <v/>
      </c>
      <c r="O706" s="32" t="str">
        <f>IFERROR(INDEX(Table!I:O,MATCH(K706,Table!I:I,0),5),"")</f>
        <v/>
      </c>
      <c r="P706" s="32" t="str">
        <f>IFERROR(INDEX(Table!I:O,MATCH(K706,Table!I:I,0),6),"")</f>
        <v/>
      </c>
      <c r="Q706" s="89" t="str">
        <f t="shared" si="30"/>
        <v/>
      </c>
      <c r="R706" s="89" t="str">
        <f t="shared" si="31"/>
        <v/>
      </c>
      <c r="S706" s="82"/>
      <c r="U706" s="37" t="e">
        <f t="shared" si="32"/>
        <v>#VALUE!</v>
      </c>
    </row>
    <row r="707" spans="1:21" x14ac:dyDescent="0.25">
      <c r="A707" s="31" t="str">
        <f>IF(Table!A707 = "","",Table!A707)</f>
        <v/>
      </c>
      <c r="B707" s="31" t="str">
        <f>IF(Table!B707 = "","",Table!B707)</f>
        <v/>
      </c>
      <c r="C707" s="31" t="str">
        <f>IF(Table!C707 = "","",Table!C707)</f>
        <v/>
      </c>
      <c r="D707" s="32" t="str">
        <f>IF(Table!D707 = "","",Table!D707)</f>
        <v/>
      </c>
      <c r="E707" s="32" t="str">
        <f>IF(Table!E707 = "","",Table!E707)</f>
        <v/>
      </c>
      <c r="F707" s="32" t="str">
        <f>IF(Table!F707 = "","",Table!F707)</f>
        <v/>
      </c>
      <c r="G707" s="91"/>
      <c r="I707" s="84" t="str">
        <f>IFERROR(VLOOKUP(A707,Downlink!A:L,12,TRUE),"")</f>
        <v/>
      </c>
      <c r="K707" s="31" t="str">
        <f>IFERROR(VLOOKUP(A707,Table!$I$4:$O$3000,1,TRUE),"")</f>
        <v/>
      </c>
      <c r="L707" s="31" t="str">
        <f>IFERROR(INDEX(Table!I:O,MATCH(K707,Table!I:I,0),2),"")</f>
        <v/>
      </c>
      <c r="M707" s="31" t="str">
        <f>IFERROR(INDEX(Table!I:O,MATCH(K707,Table!I:I,0),3),"")</f>
        <v/>
      </c>
      <c r="N707" s="32" t="str">
        <f>IFERROR(INDEX(Table!I:O,MATCH(K707,Table!I:I,0),4),"")</f>
        <v/>
      </c>
      <c r="O707" s="32" t="str">
        <f>IFERROR(INDEX(Table!I:O,MATCH(K707,Table!I:I,0),5),"")</f>
        <v/>
      </c>
      <c r="P707" s="32" t="str">
        <f>IFERROR(INDEX(Table!I:O,MATCH(K707,Table!I:I,0),6),"")</f>
        <v/>
      </c>
      <c r="Q707" s="89" t="str">
        <f t="shared" si="30"/>
        <v/>
      </c>
      <c r="R707" s="89" t="str">
        <f t="shared" si="31"/>
        <v/>
      </c>
      <c r="S707" s="82"/>
      <c r="U707" s="37" t="e">
        <f t="shared" si="32"/>
        <v>#VALUE!</v>
      </c>
    </row>
    <row r="708" spans="1:21" x14ac:dyDescent="0.25">
      <c r="A708" s="31" t="str">
        <f>IF(Table!A708 = "","",Table!A708)</f>
        <v/>
      </c>
      <c r="B708" s="31" t="str">
        <f>IF(Table!B708 = "","",Table!B708)</f>
        <v/>
      </c>
      <c r="C708" s="31" t="str">
        <f>IF(Table!C708 = "","",Table!C708)</f>
        <v/>
      </c>
      <c r="D708" s="32" t="str">
        <f>IF(Table!D708 = "","",Table!D708)</f>
        <v/>
      </c>
      <c r="E708" s="32" t="str">
        <f>IF(Table!E708 = "","",Table!E708)</f>
        <v/>
      </c>
      <c r="F708" s="32" t="str">
        <f>IF(Table!F708 = "","",Table!F708)</f>
        <v/>
      </c>
      <c r="G708" s="91"/>
      <c r="I708" s="84" t="str">
        <f>IFERROR(VLOOKUP(A708,Downlink!A:L,12,TRUE),"")</f>
        <v/>
      </c>
      <c r="K708" s="31" t="str">
        <f>IFERROR(VLOOKUP(A708,Table!$I$4:$O$3000,1,TRUE),"")</f>
        <v/>
      </c>
      <c r="L708" s="31" t="str">
        <f>IFERROR(INDEX(Table!I:O,MATCH(K708,Table!I:I,0),2),"")</f>
        <v/>
      </c>
      <c r="M708" s="31" t="str">
        <f>IFERROR(INDEX(Table!I:O,MATCH(K708,Table!I:I,0),3),"")</f>
        <v/>
      </c>
      <c r="N708" s="32" t="str">
        <f>IFERROR(INDEX(Table!I:O,MATCH(K708,Table!I:I,0),4),"")</f>
        <v/>
      </c>
      <c r="O708" s="32" t="str">
        <f>IFERROR(INDEX(Table!I:O,MATCH(K708,Table!I:I,0),5),"")</f>
        <v/>
      </c>
      <c r="P708" s="32" t="str">
        <f>IFERROR(INDEX(Table!I:O,MATCH(K708,Table!I:I,0),6),"")</f>
        <v/>
      </c>
      <c r="Q708" s="89" t="str">
        <f t="shared" si="30"/>
        <v/>
      </c>
      <c r="R708" s="89" t="str">
        <f t="shared" si="31"/>
        <v/>
      </c>
      <c r="S708" s="82"/>
      <c r="U708" s="37" t="e">
        <f t="shared" si="32"/>
        <v>#VALUE!</v>
      </c>
    </row>
    <row r="709" spans="1:21" x14ac:dyDescent="0.25">
      <c r="A709" s="31" t="str">
        <f>IF(Table!A709 = "","",Table!A709)</f>
        <v/>
      </c>
      <c r="B709" s="31" t="str">
        <f>IF(Table!B709 = "","",Table!B709)</f>
        <v/>
      </c>
      <c r="C709" s="31" t="str">
        <f>IF(Table!C709 = "","",Table!C709)</f>
        <v/>
      </c>
      <c r="D709" s="32" t="str">
        <f>IF(Table!D709 = "","",Table!D709)</f>
        <v/>
      </c>
      <c r="E709" s="32" t="str">
        <f>IF(Table!E709 = "","",Table!E709)</f>
        <v/>
      </c>
      <c r="F709" s="32" t="str">
        <f>IF(Table!F709 = "","",Table!F709)</f>
        <v/>
      </c>
      <c r="G709" s="91"/>
      <c r="I709" s="84" t="str">
        <f>IFERROR(VLOOKUP(A709,Downlink!A:L,12,TRUE),"")</f>
        <v/>
      </c>
      <c r="K709" s="31" t="str">
        <f>IFERROR(VLOOKUP(A709,Table!$I$4:$O$3000,1,TRUE),"")</f>
        <v/>
      </c>
      <c r="L709" s="31" t="str">
        <f>IFERROR(INDEX(Table!I:O,MATCH(K709,Table!I:I,0),2),"")</f>
        <v/>
      </c>
      <c r="M709" s="31" t="str">
        <f>IFERROR(INDEX(Table!I:O,MATCH(K709,Table!I:I,0),3),"")</f>
        <v/>
      </c>
      <c r="N709" s="32" t="str">
        <f>IFERROR(INDEX(Table!I:O,MATCH(K709,Table!I:I,0),4),"")</f>
        <v/>
      </c>
      <c r="O709" s="32" t="str">
        <f>IFERROR(INDEX(Table!I:O,MATCH(K709,Table!I:I,0),5),"")</f>
        <v/>
      </c>
      <c r="P709" s="32" t="str">
        <f>IFERROR(INDEX(Table!I:O,MATCH(K709,Table!I:I,0),6),"")</f>
        <v/>
      </c>
      <c r="Q709" s="89" t="str">
        <f t="shared" si="30"/>
        <v/>
      </c>
      <c r="R709" s="89" t="str">
        <f t="shared" si="31"/>
        <v/>
      </c>
      <c r="S709" s="82"/>
      <c r="U709" s="37" t="e">
        <f t="shared" si="32"/>
        <v>#VALUE!</v>
      </c>
    </row>
    <row r="710" spans="1:21" x14ac:dyDescent="0.25">
      <c r="A710" s="31" t="str">
        <f>IF(Table!A710 = "","",Table!A710)</f>
        <v/>
      </c>
      <c r="B710" s="31" t="str">
        <f>IF(Table!B710 = "","",Table!B710)</f>
        <v/>
      </c>
      <c r="C710" s="31" t="str">
        <f>IF(Table!C710 = "","",Table!C710)</f>
        <v/>
      </c>
      <c r="D710" s="32" t="str">
        <f>IF(Table!D710 = "","",Table!D710)</f>
        <v/>
      </c>
      <c r="E710" s="32" t="str">
        <f>IF(Table!E710 = "","",Table!E710)</f>
        <v/>
      </c>
      <c r="F710" s="32" t="str">
        <f>IF(Table!F710 = "","",Table!F710)</f>
        <v/>
      </c>
      <c r="G710" s="91"/>
      <c r="I710" s="84" t="str">
        <f>IFERROR(VLOOKUP(A710,Downlink!A:L,12,TRUE),"")</f>
        <v/>
      </c>
      <c r="K710" s="31" t="str">
        <f>IFERROR(VLOOKUP(A710,Table!$I$4:$O$3000,1,TRUE),"")</f>
        <v/>
      </c>
      <c r="L710" s="31" t="str">
        <f>IFERROR(INDEX(Table!I:O,MATCH(K710,Table!I:I,0),2),"")</f>
        <v/>
      </c>
      <c r="M710" s="31" t="str">
        <f>IFERROR(INDEX(Table!I:O,MATCH(K710,Table!I:I,0),3),"")</f>
        <v/>
      </c>
      <c r="N710" s="32" t="str">
        <f>IFERROR(INDEX(Table!I:O,MATCH(K710,Table!I:I,0),4),"")</f>
        <v/>
      </c>
      <c r="O710" s="32" t="str">
        <f>IFERROR(INDEX(Table!I:O,MATCH(K710,Table!I:I,0),5),"")</f>
        <v/>
      </c>
      <c r="P710" s="32" t="str">
        <f>IFERROR(INDEX(Table!I:O,MATCH(K710,Table!I:I,0),6),"")</f>
        <v/>
      </c>
      <c r="Q710" s="89" t="str">
        <f t="shared" ref="Q710:Q773" si="33">IFERROR(L710-B710,"")</f>
        <v/>
      </c>
      <c r="R710" s="89" t="str">
        <f t="shared" ref="R710:R773" si="34">IFERROR(M710-C710,"")</f>
        <v/>
      </c>
      <c r="S710" s="82"/>
      <c r="U710" s="37" t="e">
        <f t="shared" ref="U710:U773" si="35">K710-K709</f>
        <v>#VALUE!</v>
      </c>
    </row>
    <row r="711" spans="1:21" x14ac:dyDescent="0.25">
      <c r="A711" s="31" t="str">
        <f>IF(Table!A711 = "","",Table!A711)</f>
        <v/>
      </c>
      <c r="B711" s="31" t="str">
        <f>IF(Table!B711 = "","",Table!B711)</f>
        <v/>
      </c>
      <c r="C711" s="31" t="str">
        <f>IF(Table!C711 = "","",Table!C711)</f>
        <v/>
      </c>
      <c r="D711" s="32" t="str">
        <f>IF(Table!D711 = "","",Table!D711)</f>
        <v/>
      </c>
      <c r="E711" s="32" t="str">
        <f>IF(Table!E711 = "","",Table!E711)</f>
        <v/>
      </c>
      <c r="F711" s="32" t="str">
        <f>IF(Table!F711 = "","",Table!F711)</f>
        <v/>
      </c>
      <c r="G711" s="91"/>
      <c r="I711" s="84" t="str">
        <f>IFERROR(VLOOKUP(A711,Downlink!A:L,12,TRUE),"")</f>
        <v/>
      </c>
      <c r="K711" s="31" t="str">
        <f>IFERROR(VLOOKUP(A711,Table!$I$4:$O$3000,1,TRUE),"")</f>
        <v/>
      </c>
      <c r="L711" s="31" t="str">
        <f>IFERROR(INDEX(Table!I:O,MATCH(K711,Table!I:I,0),2),"")</f>
        <v/>
      </c>
      <c r="M711" s="31" t="str">
        <f>IFERROR(INDEX(Table!I:O,MATCH(K711,Table!I:I,0),3),"")</f>
        <v/>
      </c>
      <c r="N711" s="32" t="str">
        <f>IFERROR(INDEX(Table!I:O,MATCH(K711,Table!I:I,0),4),"")</f>
        <v/>
      </c>
      <c r="O711" s="32" t="str">
        <f>IFERROR(INDEX(Table!I:O,MATCH(K711,Table!I:I,0),5),"")</f>
        <v/>
      </c>
      <c r="P711" s="32" t="str">
        <f>IFERROR(INDEX(Table!I:O,MATCH(K711,Table!I:I,0),6),"")</f>
        <v/>
      </c>
      <c r="Q711" s="89" t="str">
        <f t="shared" si="33"/>
        <v/>
      </c>
      <c r="R711" s="89" t="str">
        <f t="shared" si="34"/>
        <v/>
      </c>
      <c r="S711" s="82"/>
      <c r="U711" s="37" t="e">
        <f t="shared" si="35"/>
        <v>#VALUE!</v>
      </c>
    </row>
    <row r="712" spans="1:21" x14ac:dyDescent="0.25">
      <c r="A712" s="31" t="str">
        <f>IF(Table!A712 = "","",Table!A712)</f>
        <v/>
      </c>
      <c r="B712" s="31" t="str">
        <f>IF(Table!B712 = "","",Table!B712)</f>
        <v/>
      </c>
      <c r="C712" s="31" t="str">
        <f>IF(Table!C712 = "","",Table!C712)</f>
        <v/>
      </c>
      <c r="D712" s="32" t="str">
        <f>IF(Table!D712 = "","",Table!D712)</f>
        <v/>
      </c>
      <c r="E712" s="32" t="str">
        <f>IF(Table!E712 = "","",Table!E712)</f>
        <v/>
      </c>
      <c r="F712" s="32" t="str">
        <f>IF(Table!F712 = "","",Table!F712)</f>
        <v/>
      </c>
      <c r="G712" s="91"/>
      <c r="I712" s="84" t="str">
        <f>IFERROR(VLOOKUP(A712,Downlink!A:L,12,TRUE),"")</f>
        <v/>
      </c>
      <c r="K712" s="31" t="str">
        <f>IFERROR(VLOOKUP(A712,Table!$I$4:$O$3000,1,TRUE),"")</f>
        <v/>
      </c>
      <c r="L712" s="31" t="str">
        <f>IFERROR(INDEX(Table!I:O,MATCH(K712,Table!I:I,0),2),"")</f>
        <v/>
      </c>
      <c r="M712" s="31" t="str">
        <f>IFERROR(INDEX(Table!I:O,MATCH(K712,Table!I:I,0),3),"")</f>
        <v/>
      </c>
      <c r="N712" s="32" t="str">
        <f>IFERROR(INDEX(Table!I:O,MATCH(K712,Table!I:I,0),4),"")</f>
        <v/>
      </c>
      <c r="O712" s="32" t="str">
        <f>IFERROR(INDEX(Table!I:O,MATCH(K712,Table!I:I,0),5),"")</f>
        <v/>
      </c>
      <c r="P712" s="32" t="str">
        <f>IFERROR(INDEX(Table!I:O,MATCH(K712,Table!I:I,0),6),"")</f>
        <v/>
      </c>
      <c r="Q712" s="89" t="str">
        <f t="shared" si="33"/>
        <v/>
      </c>
      <c r="R712" s="89" t="str">
        <f t="shared" si="34"/>
        <v/>
      </c>
      <c r="S712" s="82"/>
      <c r="U712" s="37" t="e">
        <f t="shared" si="35"/>
        <v>#VALUE!</v>
      </c>
    </row>
    <row r="713" spans="1:21" x14ac:dyDescent="0.25">
      <c r="A713" s="31" t="str">
        <f>IF(Table!A713 = "","",Table!A713)</f>
        <v/>
      </c>
      <c r="B713" s="31" t="str">
        <f>IF(Table!B713 = "","",Table!B713)</f>
        <v/>
      </c>
      <c r="C713" s="31" t="str">
        <f>IF(Table!C713 = "","",Table!C713)</f>
        <v/>
      </c>
      <c r="D713" s="32" t="str">
        <f>IF(Table!D713 = "","",Table!D713)</f>
        <v/>
      </c>
      <c r="E713" s="32" t="str">
        <f>IF(Table!E713 = "","",Table!E713)</f>
        <v/>
      </c>
      <c r="F713" s="32" t="str">
        <f>IF(Table!F713 = "","",Table!F713)</f>
        <v/>
      </c>
      <c r="G713" s="91"/>
      <c r="I713" s="84" t="str">
        <f>IFERROR(VLOOKUP(A713,Downlink!A:L,12,TRUE),"")</f>
        <v/>
      </c>
      <c r="K713" s="31" t="str">
        <f>IFERROR(VLOOKUP(A713,Table!$I$4:$O$3000,1,TRUE),"")</f>
        <v/>
      </c>
      <c r="L713" s="31" t="str">
        <f>IFERROR(INDEX(Table!I:O,MATCH(K713,Table!I:I,0),2),"")</f>
        <v/>
      </c>
      <c r="M713" s="31" t="str">
        <f>IFERROR(INDEX(Table!I:O,MATCH(K713,Table!I:I,0),3),"")</f>
        <v/>
      </c>
      <c r="N713" s="32" t="str">
        <f>IFERROR(INDEX(Table!I:O,MATCH(K713,Table!I:I,0),4),"")</f>
        <v/>
      </c>
      <c r="O713" s="32" t="str">
        <f>IFERROR(INDEX(Table!I:O,MATCH(K713,Table!I:I,0),5),"")</f>
        <v/>
      </c>
      <c r="P713" s="32" t="str">
        <f>IFERROR(INDEX(Table!I:O,MATCH(K713,Table!I:I,0),6),"")</f>
        <v/>
      </c>
      <c r="Q713" s="89" t="str">
        <f t="shared" si="33"/>
        <v/>
      </c>
      <c r="R713" s="89" t="str">
        <f t="shared" si="34"/>
        <v/>
      </c>
      <c r="S713" s="82"/>
      <c r="U713" s="37" t="e">
        <f t="shared" si="35"/>
        <v>#VALUE!</v>
      </c>
    </row>
    <row r="714" spans="1:21" x14ac:dyDescent="0.25">
      <c r="A714" s="31" t="str">
        <f>IF(Table!A714 = "","",Table!A714)</f>
        <v/>
      </c>
      <c r="B714" s="31" t="str">
        <f>IF(Table!B714 = "","",Table!B714)</f>
        <v/>
      </c>
      <c r="C714" s="31" t="str">
        <f>IF(Table!C714 = "","",Table!C714)</f>
        <v/>
      </c>
      <c r="D714" s="32" t="str">
        <f>IF(Table!D714 = "","",Table!D714)</f>
        <v/>
      </c>
      <c r="E714" s="32" t="str">
        <f>IF(Table!E714 = "","",Table!E714)</f>
        <v/>
      </c>
      <c r="F714" s="32" t="str">
        <f>IF(Table!F714 = "","",Table!F714)</f>
        <v/>
      </c>
      <c r="G714" s="91"/>
      <c r="I714" s="84" t="str">
        <f>IFERROR(VLOOKUP(A714,Downlink!A:L,12,TRUE),"")</f>
        <v/>
      </c>
      <c r="K714" s="31" t="str">
        <f>IFERROR(VLOOKUP(A714,Table!$I$4:$O$3000,1,TRUE),"")</f>
        <v/>
      </c>
      <c r="L714" s="31" t="str">
        <f>IFERROR(INDEX(Table!I:O,MATCH(K714,Table!I:I,0),2),"")</f>
        <v/>
      </c>
      <c r="M714" s="31" t="str">
        <f>IFERROR(INDEX(Table!I:O,MATCH(K714,Table!I:I,0),3),"")</f>
        <v/>
      </c>
      <c r="N714" s="32" t="str">
        <f>IFERROR(INDEX(Table!I:O,MATCH(K714,Table!I:I,0),4),"")</f>
        <v/>
      </c>
      <c r="O714" s="32" t="str">
        <f>IFERROR(INDEX(Table!I:O,MATCH(K714,Table!I:I,0),5),"")</f>
        <v/>
      </c>
      <c r="P714" s="32" t="str">
        <f>IFERROR(INDEX(Table!I:O,MATCH(K714,Table!I:I,0),6),"")</f>
        <v/>
      </c>
      <c r="Q714" s="89" t="str">
        <f t="shared" si="33"/>
        <v/>
      </c>
      <c r="R714" s="89" t="str">
        <f t="shared" si="34"/>
        <v/>
      </c>
      <c r="S714" s="82"/>
      <c r="U714" s="37" t="e">
        <f t="shared" si="35"/>
        <v>#VALUE!</v>
      </c>
    </row>
    <row r="715" spans="1:21" x14ac:dyDescent="0.25">
      <c r="A715" s="31" t="str">
        <f>IF(Table!A715 = "","",Table!A715)</f>
        <v/>
      </c>
      <c r="B715" s="31" t="str">
        <f>IF(Table!B715 = "","",Table!B715)</f>
        <v/>
      </c>
      <c r="C715" s="31" t="str">
        <f>IF(Table!C715 = "","",Table!C715)</f>
        <v/>
      </c>
      <c r="D715" s="32" t="str">
        <f>IF(Table!D715 = "","",Table!D715)</f>
        <v/>
      </c>
      <c r="E715" s="32" t="str">
        <f>IF(Table!E715 = "","",Table!E715)</f>
        <v/>
      </c>
      <c r="F715" s="32" t="str">
        <f>IF(Table!F715 = "","",Table!F715)</f>
        <v/>
      </c>
      <c r="G715" s="91"/>
      <c r="I715" s="84" t="str">
        <f>IFERROR(VLOOKUP(A715,Downlink!A:L,12,TRUE),"")</f>
        <v/>
      </c>
      <c r="K715" s="31" t="str">
        <f>IFERROR(VLOOKUP(A715,Table!$I$4:$O$3000,1,TRUE),"")</f>
        <v/>
      </c>
      <c r="L715" s="31" t="str">
        <f>IFERROR(INDEX(Table!I:O,MATCH(K715,Table!I:I,0),2),"")</f>
        <v/>
      </c>
      <c r="M715" s="31" t="str">
        <f>IFERROR(INDEX(Table!I:O,MATCH(K715,Table!I:I,0),3),"")</f>
        <v/>
      </c>
      <c r="N715" s="32" t="str">
        <f>IFERROR(INDEX(Table!I:O,MATCH(K715,Table!I:I,0),4),"")</f>
        <v/>
      </c>
      <c r="O715" s="32" t="str">
        <f>IFERROR(INDEX(Table!I:O,MATCH(K715,Table!I:I,0),5),"")</f>
        <v/>
      </c>
      <c r="P715" s="32" t="str">
        <f>IFERROR(INDEX(Table!I:O,MATCH(K715,Table!I:I,0),6),"")</f>
        <v/>
      </c>
      <c r="Q715" s="89" t="str">
        <f t="shared" si="33"/>
        <v/>
      </c>
      <c r="R715" s="89" t="str">
        <f t="shared" si="34"/>
        <v/>
      </c>
      <c r="S715" s="82"/>
      <c r="U715" s="37" t="e">
        <f t="shared" si="35"/>
        <v>#VALUE!</v>
      </c>
    </row>
    <row r="716" spans="1:21" x14ac:dyDescent="0.25">
      <c r="A716" s="31" t="str">
        <f>IF(Table!A716 = "","",Table!A716)</f>
        <v/>
      </c>
      <c r="B716" s="31" t="str">
        <f>IF(Table!B716 = "","",Table!B716)</f>
        <v/>
      </c>
      <c r="C716" s="31" t="str">
        <f>IF(Table!C716 = "","",Table!C716)</f>
        <v/>
      </c>
      <c r="D716" s="32" t="str">
        <f>IF(Table!D716 = "","",Table!D716)</f>
        <v/>
      </c>
      <c r="E716" s="32" t="str">
        <f>IF(Table!E716 = "","",Table!E716)</f>
        <v/>
      </c>
      <c r="F716" s="32" t="str">
        <f>IF(Table!F716 = "","",Table!F716)</f>
        <v/>
      </c>
      <c r="G716" s="91"/>
      <c r="I716" s="84" t="str">
        <f>IFERROR(VLOOKUP(A716,Downlink!A:L,12,TRUE),"")</f>
        <v/>
      </c>
      <c r="K716" s="31" t="str">
        <f>IFERROR(VLOOKUP(A716,Table!$I$4:$O$3000,1,TRUE),"")</f>
        <v/>
      </c>
      <c r="L716" s="31" t="str">
        <f>IFERROR(INDEX(Table!I:O,MATCH(K716,Table!I:I,0),2),"")</f>
        <v/>
      </c>
      <c r="M716" s="31" t="str">
        <f>IFERROR(INDEX(Table!I:O,MATCH(K716,Table!I:I,0),3),"")</f>
        <v/>
      </c>
      <c r="N716" s="32" t="str">
        <f>IFERROR(INDEX(Table!I:O,MATCH(K716,Table!I:I,0),4),"")</f>
        <v/>
      </c>
      <c r="O716" s="32" t="str">
        <f>IFERROR(INDEX(Table!I:O,MATCH(K716,Table!I:I,0),5),"")</f>
        <v/>
      </c>
      <c r="P716" s="32" t="str">
        <f>IFERROR(INDEX(Table!I:O,MATCH(K716,Table!I:I,0),6),"")</f>
        <v/>
      </c>
      <c r="Q716" s="89" t="str">
        <f t="shared" si="33"/>
        <v/>
      </c>
      <c r="R716" s="89" t="str">
        <f t="shared" si="34"/>
        <v/>
      </c>
      <c r="S716" s="82"/>
      <c r="U716" s="37" t="e">
        <f t="shared" si="35"/>
        <v>#VALUE!</v>
      </c>
    </row>
    <row r="717" spans="1:21" x14ac:dyDescent="0.25">
      <c r="A717" s="31" t="str">
        <f>IF(Table!A717 = "","",Table!A717)</f>
        <v/>
      </c>
      <c r="B717" s="31" t="str">
        <f>IF(Table!B717 = "","",Table!B717)</f>
        <v/>
      </c>
      <c r="C717" s="31" t="str">
        <f>IF(Table!C717 = "","",Table!C717)</f>
        <v/>
      </c>
      <c r="D717" s="32" t="str">
        <f>IF(Table!D717 = "","",Table!D717)</f>
        <v/>
      </c>
      <c r="E717" s="32" t="str">
        <f>IF(Table!E717 = "","",Table!E717)</f>
        <v/>
      </c>
      <c r="F717" s="32" t="str">
        <f>IF(Table!F717 = "","",Table!F717)</f>
        <v/>
      </c>
      <c r="G717" s="91"/>
      <c r="I717" s="84" t="str">
        <f>IFERROR(VLOOKUP(A717,Downlink!A:L,12,TRUE),"")</f>
        <v/>
      </c>
      <c r="K717" s="31" t="str">
        <f>IFERROR(VLOOKUP(A717,Table!$I$4:$O$3000,1,TRUE),"")</f>
        <v/>
      </c>
      <c r="L717" s="31" t="str">
        <f>IFERROR(INDEX(Table!I:O,MATCH(K717,Table!I:I,0),2),"")</f>
        <v/>
      </c>
      <c r="M717" s="31" t="str">
        <f>IFERROR(INDEX(Table!I:O,MATCH(K717,Table!I:I,0),3),"")</f>
        <v/>
      </c>
      <c r="N717" s="32" t="str">
        <f>IFERROR(INDEX(Table!I:O,MATCH(K717,Table!I:I,0),4),"")</f>
        <v/>
      </c>
      <c r="O717" s="32" t="str">
        <f>IFERROR(INDEX(Table!I:O,MATCH(K717,Table!I:I,0),5),"")</f>
        <v/>
      </c>
      <c r="P717" s="32" t="str">
        <f>IFERROR(INDEX(Table!I:O,MATCH(K717,Table!I:I,0),6),"")</f>
        <v/>
      </c>
      <c r="Q717" s="89" t="str">
        <f t="shared" si="33"/>
        <v/>
      </c>
      <c r="R717" s="89" t="str">
        <f t="shared" si="34"/>
        <v/>
      </c>
      <c r="S717" s="82"/>
      <c r="U717" s="37" t="e">
        <f t="shared" si="35"/>
        <v>#VALUE!</v>
      </c>
    </row>
    <row r="718" spans="1:21" x14ac:dyDescent="0.25">
      <c r="A718" s="31" t="str">
        <f>IF(Table!A718 = "","",Table!A718)</f>
        <v/>
      </c>
      <c r="B718" s="31" t="str">
        <f>IF(Table!B718 = "","",Table!B718)</f>
        <v/>
      </c>
      <c r="C718" s="31" t="str">
        <f>IF(Table!C718 = "","",Table!C718)</f>
        <v/>
      </c>
      <c r="D718" s="32" t="str">
        <f>IF(Table!D718 = "","",Table!D718)</f>
        <v/>
      </c>
      <c r="E718" s="32" t="str">
        <f>IF(Table!E718 = "","",Table!E718)</f>
        <v/>
      </c>
      <c r="F718" s="32" t="str">
        <f>IF(Table!F718 = "","",Table!F718)</f>
        <v/>
      </c>
      <c r="G718" s="91"/>
      <c r="I718" s="84" t="str">
        <f>IFERROR(VLOOKUP(A718,Downlink!A:L,12,TRUE),"")</f>
        <v/>
      </c>
      <c r="K718" s="31" t="str">
        <f>IFERROR(VLOOKUP(A718,Table!$I$4:$O$3000,1,TRUE),"")</f>
        <v/>
      </c>
      <c r="L718" s="31" t="str">
        <f>IFERROR(INDEX(Table!I:O,MATCH(K718,Table!I:I,0),2),"")</f>
        <v/>
      </c>
      <c r="M718" s="31" t="str">
        <f>IFERROR(INDEX(Table!I:O,MATCH(K718,Table!I:I,0),3),"")</f>
        <v/>
      </c>
      <c r="N718" s="32" t="str">
        <f>IFERROR(INDEX(Table!I:O,MATCH(K718,Table!I:I,0),4),"")</f>
        <v/>
      </c>
      <c r="O718" s="32" t="str">
        <f>IFERROR(INDEX(Table!I:O,MATCH(K718,Table!I:I,0),5),"")</f>
        <v/>
      </c>
      <c r="P718" s="32" t="str">
        <f>IFERROR(INDEX(Table!I:O,MATCH(K718,Table!I:I,0),6),"")</f>
        <v/>
      </c>
      <c r="Q718" s="89" t="str">
        <f t="shared" si="33"/>
        <v/>
      </c>
      <c r="R718" s="89" t="str">
        <f t="shared" si="34"/>
        <v/>
      </c>
      <c r="S718" s="82"/>
      <c r="U718" s="37" t="e">
        <f t="shared" si="35"/>
        <v>#VALUE!</v>
      </c>
    </row>
    <row r="719" spans="1:21" x14ac:dyDescent="0.25">
      <c r="A719" s="31" t="str">
        <f>IF(Table!A719 = "","",Table!A719)</f>
        <v/>
      </c>
      <c r="B719" s="31" t="str">
        <f>IF(Table!B719 = "","",Table!B719)</f>
        <v/>
      </c>
      <c r="C719" s="31" t="str">
        <f>IF(Table!C719 = "","",Table!C719)</f>
        <v/>
      </c>
      <c r="D719" s="32" t="str">
        <f>IF(Table!D719 = "","",Table!D719)</f>
        <v/>
      </c>
      <c r="E719" s="32" t="str">
        <f>IF(Table!E719 = "","",Table!E719)</f>
        <v/>
      </c>
      <c r="F719" s="32" t="str">
        <f>IF(Table!F719 = "","",Table!F719)</f>
        <v/>
      </c>
      <c r="G719" s="91"/>
      <c r="I719" s="84" t="str">
        <f>IFERROR(VLOOKUP(A719,Downlink!A:L,12,TRUE),"")</f>
        <v/>
      </c>
      <c r="K719" s="31" t="str">
        <f>IFERROR(VLOOKUP(A719,Table!$I$4:$O$3000,1,TRUE),"")</f>
        <v/>
      </c>
      <c r="L719" s="31" t="str">
        <f>IFERROR(INDEX(Table!I:O,MATCH(K719,Table!I:I,0),2),"")</f>
        <v/>
      </c>
      <c r="M719" s="31" t="str">
        <f>IFERROR(INDEX(Table!I:O,MATCH(K719,Table!I:I,0),3),"")</f>
        <v/>
      </c>
      <c r="N719" s="32" t="str">
        <f>IFERROR(INDEX(Table!I:O,MATCH(K719,Table!I:I,0),4),"")</f>
        <v/>
      </c>
      <c r="O719" s="32" t="str">
        <f>IFERROR(INDEX(Table!I:O,MATCH(K719,Table!I:I,0),5),"")</f>
        <v/>
      </c>
      <c r="P719" s="32" t="str">
        <f>IFERROR(INDEX(Table!I:O,MATCH(K719,Table!I:I,0),6),"")</f>
        <v/>
      </c>
      <c r="Q719" s="89" t="str">
        <f t="shared" si="33"/>
        <v/>
      </c>
      <c r="R719" s="89" t="str">
        <f t="shared" si="34"/>
        <v/>
      </c>
      <c r="S719" s="82"/>
      <c r="U719" s="37" t="e">
        <f t="shared" si="35"/>
        <v>#VALUE!</v>
      </c>
    </row>
    <row r="720" spans="1:21" x14ac:dyDescent="0.25">
      <c r="A720" s="31" t="str">
        <f>IF(Table!A720 = "","",Table!A720)</f>
        <v/>
      </c>
      <c r="B720" s="31" t="str">
        <f>IF(Table!B720 = "","",Table!B720)</f>
        <v/>
      </c>
      <c r="C720" s="31" t="str">
        <f>IF(Table!C720 = "","",Table!C720)</f>
        <v/>
      </c>
      <c r="D720" s="32" t="str">
        <f>IF(Table!D720 = "","",Table!D720)</f>
        <v/>
      </c>
      <c r="E720" s="32" t="str">
        <f>IF(Table!E720 = "","",Table!E720)</f>
        <v/>
      </c>
      <c r="F720" s="32" t="str">
        <f>IF(Table!F720 = "","",Table!F720)</f>
        <v/>
      </c>
      <c r="G720" s="91"/>
      <c r="I720" s="84" t="str">
        <f>IFERROR(VLOOKUP(A720,Downlink!A:L,12,TRUE),"")</f>
        <v/>
      </c>
      <c r="K720" s="31" t="str">
        <f>IFERROR(VLOOKUP(A720,Table!$I$4:$O$3000,1,TRUE),"")</f>
        <v/>
      </c>
      <c r="L720" s="31" t="str">
        <f>IFERROR(INDEX(Table!I:O,MATCH(K720,Table!I:I,0),2),"")</f>
        <v/>
      </c>
      <c r="M720" s="31" t="str">
        <f>IFERROR(INDEX(Table!I:O,MATCH(K720,Table!I:I,0),3),"")</f>
        <v/>
      </c>
      <c r="N720" s="32" t="str">
        <f>IFERROR(INDEX(Table!I:O,MATCH(K720,Table!I:I,0),4),"")</f>
        <v/>
      </c>
      <c r="O720" s="32" t="str">
        <f>IFERROR(INDEX(Table!I:O,MATCH(K720,Table!I:I,0),5),"")</f>
        <v/>
      </c>
      <c r="P720" s="32" t="str">
        <f>IFERROR(INDEX(Table!I:O,MATCH(K720,Table!I:I,0),6),"")</f>
        <v/>
      </c>
      <c r="Q720" s="89" t="str">
        <f t="shared" si="33"/>
        <v/>
      </c>
      <c r="R720" s="89" t="str">
        <f t="shared" si="34"/>
        <v/>
      </c>
      <c r="S720" s="82"/>
      <c r="U720" s="37" t="e">
        <f t="shared" si="35"/>
        <v>#VALUE!</v>
      </c>
    </row>
    <row r="721" spans="1:21" x14ac:dyDescent="0.25">
      <c r="A721" s="31" t="str">
        <f>IF(Table!A721 = "","",Table!A721)</f>
        <v/>
      </c>
      <c r="B721" s="31" t="str">
        <f>IF(Table!B721 = "","",Table!B721)</f>
        <v/>
      </c>
      <c r="C721" s="31" t="str">
        <f>IF(Table!C721 = "","",Table!C721)</f>
        <v/>
      </c>
      <c r="D721" s="32" t="str">
        <f>IF(Table!D721 = "","",Table!D721)</f>
        <v/>
      </c>
      <c r="E721" s="32" t="str">
        <f>IF(Table!E721 = "","",Table!E721)</f>
        <v/>
      </c>
      <c r="F721" s="32" t="str">
        <f>IF(Table!F721 = "","",Table!F721)</f>
        <v/>
      </c>
      <c r="G721" s="91"/>
      <c r="I721" s="84" t="str">
        <f>IFERROR(VLOOKUP(A721,Downlink!A:L,12,TRUE),"")</f>
        <v/>
      </c>
      <c r="K721" s="31" t="str">
        <f>IFERROR(VLOOKUP(A721,Table!$I$4:$O$3000,1,TRUE),"")</f>
        <v/>
      </c>
      <c r="L721" s="31" t="str">
        <f>IFERROR(INDEX(Table!I:O,MATCH(K721,Table!I:I,0),2),"")</f>
        <v/>
      </c>
      <c r="M721" s="31" t="str">
        <f>IFERROR(INDEX(Table!I:O,MATCH(K721,Table!I:I,0),3),"")</f>
        <v/>
      </c>
      <c r="N721" s="32" t="str">
        <f>IFERROR(INDEX(Table!I:O,MATCH(K721,Table!I:I,0),4),"")</f>
        <v/>
      </c>
      <c r="O721" s="32" t="str">
        <f>IFERROR(INDEX(Table!I:O,MATCH(K721,Table!I:I,0),5),"")</f>
        <v/>
      </c>
      <c r="P721" s="32" t="str">
        <f>IFERROR(INDEX(Table!I:O,MATCH(K721,Table!I:I,0),6),"")</f>
        <v/>
      </c>
      <c r="Q721" s="89" t="str">
        <f t="shared" si="33"/>
        <v/>
      </c>
      <c r="R721" s="89" t="str">
        <f t="shared" si="34"/>
        <v/>
      </c>
      <c r="S721" s="82"/>
      <c r="U721" s="37" t="e">
        <f t="shared" si="35"/>
        <v>#VALUE!</v>
      </c>
    </row>
    <row r="722" spans="1:21" x14ac:dyDescent="0.25">
      <c r="A722" s="31" t="str">
        <f>IF(Table!A722 = "","",Table!A722)</f>
        <v/>
      </c>
      <c r="B722" s="31" t="str">
        <f>IF(Table!B722 = "","",Table!B722)</f>
        <v/>
      </c>
      <c r="C722" s="31" t="str">
        <f>IF(Table!C722 = "","",Table!C722)</f>
        <v/>
      </c>
      <c r="D722" s="32" t="str">
        <f>IF(Table!D722 = "","",Table!D722)</f>
        <v/>
      </c>
      <c r="E722" s="32" t="str">
        <f>IF(Table!E722 = "","",Table!E722)</f>
        <v/>
      </c>
      <c r="F722" s="32" t="str">
        <f>IF(Table!F722 = "","",Table!F722)</f>
        <v/>
      </c>
      <c r="G722" s="91"/>
      <c r="I722" s="84" t="str">
        <f>IFERROR(VLOOKUP(A722,Downlink!A:L,12,TRUE),"")</f>
        <v/>
      </c>
      <c r="K722" s="31" t="str">
        <f>IFERROR(VLOOKUP(A722,Table!$I$4:$O$3000,1,TRUE),"")</f>
        <v/>
      </c>
      <c r="L722" s="31" t="str">
        <f>IFERROR(INDEX(Table!I:O,MATCH(K722,Table!I:I,0),2),"")</f>
        <v/>
      </c>
      <c r="M722" s="31" t="str">
        <f>IFERROR(INDEX(Table!I:O,MATCH(K722,Table!I:I,0),3),"")</f>
        <v/>
      </c>
      <c r="N722" s="32" t="str">
        <f>IFERROR(INDEX(Table!I:O,MATCH(K722,Table!I:I,0),4),"")</f>
        <v/>
      </c>
      <c r="O722" s="32" t="str">
        <f>IFERROR(INDEX(Table!I:O,MATCH(K722,Table!I:I,0),5),"")</f>
        <v/>
      </c>
      <c r="P722" s="32" t="str">
        <f>IFERROR(INDEX(Table!I:O,MATCH(K722,Table!I:I,0),6),"")</f>
        <v/>
      </c>
      <c r="Q722" s="89" t="str">
        <f t="shared" si="33"/>
        <v/>
      </c>
      <c r="R722" s="89" t="str">
        <f t="shared" si="34"/>
        <v/>
      </c>
      <c r="S722" s="82"/>
      <c r="U722" s="37" t="e">
        <f t="shared" si="35"/>
        <v>#VALUE!</v>
      </c>
    </row>
    <row r="723" spans="1:21" x14ac:dyDescent="0.25">
      <c r="A723" s="31" t="str">
        <f>IF(Table!A723 = "","",Table!A723)</f>
        <v/>
      </c>
      <c r="B723" s="31" t="str">
        <f>IF(Table!B723 = "","",Table!B723)</f>
        <v/>
      </c>
      <c r="C723" s="31" t="str">
        <f>IF(Table!C723 = "","",Table!C723)</f>
        <v/>
      </c>
      <c r="D723" s="32" t="str">
        <f>IF(Table!D723 = "","",Table!D723)</f>
        <v/>
      </c>
      <c r="E723" s="32" t="str">
        <f>IF(Table!E723 = "","",Table!E723)</f>
        <v/>
      </c>
      <c r="F723" s="32" t="str">
        <f>IF(Table!F723 = "","",Table!F723)</f>
        <v/>
      </c>
      <c r="G723" s="91"/>
      <c r="I723" s="84" t="str">
        <f>IFERROR(VLOOKUP(A723,Downlink!A:L,12,TRUE),"")</f>
        <v/>
      </c>
      <c r="K723" s="31" t="str">
        <f>IFERROR(VLOOKUP(A723,Table!$I$4:$O$3000,1,TRUE),"")</f>
        <v/>
      </c>
      <c r="L723" s="31" t="str">
        <f>IFERROR(INDEX(Table!I:O,MATCH(K723,Table!I:I,0),2),"")</f>
        <v/>
      </c>
      <c r="M723" s="31" t="str">
        <f>IFERROR(INDEX(Table!I:O,MATCH(K723,Table!I:I,0),3),"")</f>
        <v/>
      </c>
      <c r="N723" s="32" t="str">
        <f>IFERROR(INDEX(Table!I:O,MATCH(K723,Table!I:I,0),4),"")</f>
        <v/>
      </c>
      <c r="O723" s="32" t="str">
        <f>IFERROR(INDEX(Table!I:O,MATCH(K723,Table!I:I,0),5),"")</f>
        <v/>
      </c>
      <c r="P723" s="32" t="str">
        <f>IFERROR(INDEX(Table!I:O,MATCH(K723,Table!I:I,0),6),"")</f>
        <v/>
      </c>
      <c r="Q723" s="89" t="str">
        <f t="shared" si="33"/>
        <v/>
      </c>
      <c r="R723" s="89" t="str">
        <f t="shared" si="34"/>
        <v/>
      </c>
      <c r="S723" s="82"/>
      <c r="U723" s="37" t="e">
        <f t="shared" si="35"/>
        <v>#VALUE!</v>
      </c>
    </row>
    <row r="724" spans="1:21" x14ac:dyDescent="0.25">
      <c r="A724" s="31" t="str">
        <f>IF(Table!A724 = "","",Table!A724)</f>
        <v/>
      </c>
      <c r="B724" s="31" t="str">
        <f>IF(Table!B724 = "","",Table!B724)</f>
        <v/>
      </c>
      <c r="C724" s="31" t="str">
        <f>IF(Table!C724 = "","",Table!C724)</f>
        <v/>
      </c>
      <c r="D724" s="32" t="str">
        <f>IF(Table!D724 = "","",Table!D724)</f>
        <v/>
      </c>
      <c r="E724" s="32" t="str">
        <f>IF(Table!E724 = "","",Table!E724)</f>
        <v/>
      </c>
      <c r="F724" s="32" t="str">
        <f>IF(Table!F724 = "","",Table!F724)</f>
        <v/>
      </c>
      <c r="G724" s="91"/>
      <c r="I724" s="84" t="str">
        <f>IFERROR(VLOOKUP(A724,Downlink!A:L,12,TRUE),"")</f>
        <v/>
      </c>
      <c r="K724" s="31" t="str">
        <f>IFERROR(VLOOKUP(A724,Table!$I$4:$O$3000,1,TRUE),"")</f>
        <v/>
      </c>
      <c r="L724" s="31" t="str">
        <f>IFERROR(INDEX(Table!I:O,MATCH(K724,Table!I:I,0),2),"")</f>
        <v/>
      </c>
      <c r="M724" s="31" t="str">
        <f>IFERROR(INDEX(Table!I:O,MATCH(K724,Table!I:I,0),3),"")</f>
        <v/>
      </c>
      <c r="N724" s="32" t="str">
        <f>IFERROR(INDEX(Table!I:O,MATCH(K724,Table!I:I,0),4),"")</f>
        <v/>
      </c>
      <c r="O724" s="32" t="str">
        <f>IFERROR(INDEX(Table!I:O,MATCH(K724,Table!I:I,0),5),"")</f>
        <v/>
      </c>
      <c r="P724" s="32" t="str">
        <f>IFERROR(INDEX(Table!I:O,MATCH(K724,Table!I:I,0),6),"")</f>
        <v/>
      </c>
      <c r="Q724" s="89" t="str">
        <f t="shared" si="33"/>
        <v/>
      </c>
      <c r="R724" s="89" t="str">
        <f t="shared" si="34"/>
        <v/>
      </c>
      <c r="S724" s="82"/>
      <c r="U724" s="37" t="e">
        <f t="shared" si="35"/>
        <v>#VALUE!</v>
      </c>
    </row>
    <row r="725" spans="1:21" x14ac:dyDescent="0.25">
      <c r="A725" s="31" t="str">
        <f>IF(Table!A725 = "","",Table!A725)</f>
        <v/>
      </c>
      <c r="B725" s="31" t="str">
        <f>IF(Table!B725 = "","",Table!B725)</f>
        <v/>
      </c>
      <c r="C725" s="31" t="str">
        <f>IF(Table!C725 = "","",Table!C725)</f>
        <v/>
      </c>
      <c r="D725" s="32" t="str">
        <f>IF(Table!D725 = "","",Table!D725)</f>
        <v/>
      </c>
      <c r="E725" s="32" t="str">
        <f>IF(Table!E725 = "","",Table!E725)</f>
        <v/>
      </c>
      <c r="F725" s="32" t="str">
        <f>IF(Table!F725 = "","",Table!F725)</f>
        <v/>
      </c>
      <c r="G725" s="91"/>
      <c r="I725" s="84" t="str">
        <f>IFERROR(VLOOKUP(A725,Downlink!A:L,12,TRUE),"")</f>
        <v/>
      </c>
      <c r="K725" s="31" t="str">
        <f>IFERROR(VLOOKUP(A725,Table!$I$4:$O$3000,1,TRUE),"")</f>
        <v/>
      </c>
      <c r="L725" s="31" t="str">
        <f>IFERROR(INDEX(Table!I:O,MATCH(K725,Table!I:I,0),2),"")</f>
        <v/>
      </c>
      <c r="M725" s="31" t="str">
        <f>IFERROR(INDEX(Table!I:O,MATCH(K725,Table!I:I,0),3),"")</f>
        <v/>
      </c>
      <c r="N725" s="32" t="str">
        <f>IFERROR(INDEX(Table!I:O,MATCH(K725,Table!I:I,0),4),"")</f>
        <v/>
      </c>
      <c r="O725" s="32" t="str">
        <f>IFERROR(INDEX(Table!I:O,MATCH(K725,Table!I:I,0),5),"")</f>
        <v/>
      </c>
      <c r="P725" s="32" t="str">
        <f>IFERROR(INDEX(Table!I:O,MATCH(K725,Table!I:I,0),6),"")</f>
        <v/>
      </c>
      <c r="Q725" s="89" t="str">
        <f t="shared" si="33"/>
        <v/>
      </c>
      <c r="R725" s="89" t="str">
        <f t="shared" si="34"/>
        <v/>
      </c>
      <c r="S725" s="82"/>
      <c r="U725" s="37" t="e">
        <f t="shared" si="35"/>
        <v>#VALUE!</v>
      </c>
    </row>
    <row r="726" spans="1:21" x14ac:dyDescent="0.25">
      <c r="A726" s="31" t="str">
        <f>IF(Table!A726 = "","",Table!A726)</f>
        <v/>
      </c>
      <c r="B726" s="31" t="str">
        <f>IF(Table!B726 = "","",Table!B726)</f>
        <v/>
      </c>
      <c r="C726" s="31" t="str">
        <f>IF(Table!C726 = "","",Table!C726)</f>
        <v/>
      </c>
      <c r="D726" s="32" t="str">
        <f>IF(Table!D726 = "","",Table!D726)</f>
        <v/>
      </c>
      <c r="E726" s="32" t="str">
        <f>IF(Table!E726 = "","",Table!E726)</f>
        <v/>
      </c>
      <c r="F726" s="32" t="str">
        <f>IF(Table!F726 = "","",Table!F726)</f>
        <v/>
      </c>
      <c r="G726" s="91"/>
      <c r="I726" s="84" t="str">
        <f>IFERROR(VLOOKUP(A726,Downlink!A:L,12,TRUE),"")</f>
        <v/>
      </c>
      <c r="K726" s="31" t="str">
        <f>IFERROR(VLOOKUP(A726,Table!$I$4:$O$3000,1,TRUE),"")</f>
        <v/>
      </c>
      <c r="L726" s="31" t="str">
        <f>IFERROR(INDEX(Table!I:O,MATCH(K726,Table!I:I,0),2),"")</f>
        <v/>
      </c>
      <c r="M726" s="31" t="str">
        <f>IFERROR(INDEX(Table!I:O,MATCH(K726,Table!I:I,0),3),"")</f>
        <v/>
      </c>
      <c r="N726" s="32" t="str">
        <f>IFERROR(INDEX(Table!I:O,MATCH(K726,Table!I:I,0),4),"")</f>
        <v/>
      </c>
      <c r="O726" s="32" t="str">
        <f>IFERROR(INDEX(Table!I:O,MATCH(K726,Table!I:I,0),5),"")</f>
        <v/>
      </c>
      <c r="P726" s="32" t="str">
        <f>IFERROR(INDEX(Table!I:O,MATCH(K726,Table!I:I,0),6),"")</f>
        <v/>
      </c>
      <c r="Q726" s="89" t="str">
        <f t="shared" si="33"/>
        <v/>
      </c>
      <c r="R726" s="89" t="str">
        <f t="shared" si="34"/>
        <v/>
      </c>
      <c r="S726" s="82"/>
      <c r="U726" s="37" t="e">
        <f t="shared" si="35"/>
        <v>#VALUE!</v>
      </c>
    </row>
    <row r="727" spans="1:21" x14ac:dyDescent="0.25">
      <c r="A727" s="31" t="str">
        <f>IF(Table!A727 = "","",Table!A727)</f>
        <v/>
      </c>
      <c r="B727" s="31" t="str">
        <f>IF(Table!B727 = "","",Table!B727)</f>
        <v/>
      </c>
      <c r="C727" s="31" t="str">
        <f>IF(Table!C727 = "","",Table!C727)</f>
        <v/>
      </c>
      <c r="D727" s="32" t="str">
        <f>IF(Table!D727 = "","",Table!D727)</f>
        <v/>
      </c>
      <c r="E727" s="32" t="str">
        <f>IF(Table!E727 = "","",Table!E727)</f>
        <v/>
      </c>
      <c r="F727" s="32" t="str">
        <f>IF(Table!F727 = "","",Table!F727)</f>
        <v/>
      </c>
      <c r="G727" s="91"/>
      <c r="I727" s="84" t="str">
        <f>IFERROR(VLOOKUP(A727,Downlink!A:L,12,TRUE),"")</f>
        <v/>
      </c>
      <c r="K727" s="31" t="str">
        <f>IFERROR(VLOOKUP(A727,Table!$I$4:$O$3000,1,TRUE),"")</f>
        <v/>
      </c>
      <c r="L727" s="31" t="str">
        <f>IFERROR(INDEX(Table!I:O,MATCH(K727,Table!I:I,0),2),"")</f>
        <v/>
      </c>
      <c r="M727" s="31" t="str">
        <f>IFERROR(INDEX(Table!I:O,MATCH(K727,Table!I:I,0),3),"")</f>
        <v/>
      </c>
      <c r="N727" s="32" t="str">
        <f>IFERROR(INDEX(Table!I:O,MATCH(K727,Table!I:I,0),4),"")</f>
        <v/>
      </c>
      <c r="O727" s="32" t="str">
        <f>IFERROR(INDEX(Table!I:O,MATCH(K727,Table!I:I,0),5),"")</f>
        <v/>
      </c>
      <c r="P727" s="32" t="str">
        <f>IFERROR(INDEX(Table!I:O,MATCH(K727,Table!I:I,0),6),"")</f>
        <v/>
      </c>
      <c r="Q727" s="89" t="str">
        <f t="shared" si="33"/>
        <v/>
      </c>
      <c r="R727" s="89" t="str">
        <f t="shared" si="34"/>
        <v/>
      </c>
      <c r="S727" s="82"/>
      <c r="U727" s="37" t="e">
        <f t="shared" si="35"/>
        <v>#VALUE!</v>
      </c>
    </row>
    <row r="728" spans="1:21" x14ac:dyDescent="0.25">
      <c r="A728" s="31" t="str">
        <f>IF(Table!A728 = "","",Table!A728)</f>
        <v/>
      </c>
      <c r="B728" s="31" t="str">
        <f>IF(Table!B728 = "","",Table!B728)</f>
        <v/>
      </c>
      <c r="C728" s="31" t="str">
        <f>IF(Table!C728 = "","",Table!C728)</f>
        <v/>
      </c>
      <c r="D728" s="32" t="str">
        <f>IF(Table!D728 = "","",Table!D728)</f>
        <v/>
      </c>
      <c r="E728" s="32" t="str">
        <f>IF(Table!E728 = "","",Table!E728)</f>
        <v/>
      </c>
      <c r="F728" s="32" t="str">
        <f>IF(Table!F728 = "","",Table!F728)</f>
        <v/>
      </c>
      <c r="G728" s="91"/>
      <c r="I728" s="84" t="str">
        <f>IFERROR(VLOOKUP(A728,Downlink!A:L,12,TRUE),"")</f>
        <v/>
      </c>
      <c r="K728" s="31" t="str">
        <f>IFERROR(VLOOKUP(A728,Table!$I$4:$O$3000,1,TRUE),"")</f>
        <v/>
      </c>
      <c r="L728" s="31" t="str">
        <f>IFERROR(INDEX(Table!I:O,MATCH(K728,Table!I:I,0),2),"")</f>
        <v/>
      </c>
      <c r="M728" s="31" t="str">
        <f>IFERROR(INDEX(Table!I:O,MATCH(K728,Table!I:I,0),3),"")</f>
        <v/>
      </c>
      <c r="N728" s="32" t="str">
        <f>IFERROR(INDEX(Table!I:O,MATCH(K728,Table!I:I,0),4),"")</f>
        <v/>
      </c>
      <c r="O728" s="32" t="str">
        <f>IFERROR(INDEX(Table!I:O,MATCH(K728,Table!I:I,0),5),"")</f>
        <v/>
      </c>
      <c r="P728" s="32" t="str">
        <f>IFERROR(INDEX(Table!I:O,MATCH(K728,Table!I:I,0),6),"")</f>
        <v/>
      </c>
      <c r="Q728" s="89" t="str">
        <f t="shared" si="33"/>
        <v/>
      </c>
      <c r="R728" s="89" t="str">
        <f t="shared" si="34"/>
        <v/>
      </c>
      <c r="S728" s="82"/>
      <c r="U728" s="37" t="e">
        <f t="shared" si="35"/>
        <v>#VALUE!</v>
      </c>
    </row>
    <row r="729" spans="1:21" x14ac:dyDescent="0.25">
      <c r="A729" s="31" t="str">
        <f>IF(Table!A729 = "","",Table!A729)</f>
        <v/>
      </c>
      <c r="B729" s="31" t="str">
        <f>IF(Table!B729 = "","",Table!B729)</f>
        <v/>
      </c>
      <c r="C729" s="31" t="str">
        <f>IF(Table!C729 = "","",Table!C729)</f>
        <v/>
      </c>
      <c r="D729" s="32" t="str">
        <f>IF(Table!D729 = "","",Table!D729)</f>
        <v/>
      </c>
      <c r="E729" s="32" t="str">
        <f>IF(Table!E729 = "","",Table!E729)</f>
        <v/>
      </c>
      <c r="F729" s="32" t="str">
        <f>IF(Table!F729 = "","",Table!F729)</f>
        <v/>
      </c>
      <c r="G729" s="91"/>
      <c r="I729" s="84" t="str">
        <f>IFERROR(VLOOKUP(A729,Downlink!A:L,12,TRUE),"")</f>
        <v/>
      </c>
      <c r="K729" s="31" t="str">
        <f>IFERROR(VLOOKUP(A729,Table!$I$4:$O$3000,1,TRUE),"")</f>
        <v/>
      </c>
      <c r="L729" s="31" t="str">
        <f>IFERROR(INDEX(Table!I:O,MATCH(K729,Table!I:I,0),2),"")</f>
        <v/>
      </c>
      <c r="M729" s="31" t="str">
        <f>IFERROR(INDEX(Table!I:O,MATCH(K729,Table!I:I,0),3),"")</f>
        <v/>
      </c>
      <c r="N729" s="32" t="str">
        <f>IFERROR(INDEX(Table!I:O,MATCH(K729,Table!I:I,0),4),"")</f>
        <v/>
      </c>
      <c r="O729" s="32" t="str">
        <f>IFERROR(INDEX(Table!I:O,MATCH(K729,Table!I:I,0),5),"")</f>
        <v/>
      </c>
      <c r="P729" s="32" t="str">
        <f>IFERROR(INDEX(Table!I:O,MATCH(K729,Table!I:I,0),6),"")</f>
        <v/>
      </c>
      <c r="Q729" s="89" t="str">
        <f t="shared" si="33"/>
        <v/>
      </c>
      <c r="R729" s="89" t="str">
        <f t="shared" si="34"/>
        <v/>
      </c>
      <c r="S729" s="82"/>
      <c r="U729" s="37" t="e">
        <f t="shared" si="35"/>
        <v>#VALUE!</v>
      </c>
    </row>
    <row r="730" spans="1:21" x14ac:dyDescent="0.25">
      <c r="A730" s="31" t="str">
        <f>IF(Table!A730 = "","",Table!A730)</f>
        <v/>
      </c>
      <c r="B730" s="31" t="str">
        <f>IF(Table!B730 = "","",Table!B730)</f>
        <v/>
      </c>
      <c r="C730" s="31" t="str">
        <f>IF(Table!C730 = "","",Table!C730)</f>
        <v/>
      </c>
      <c r="D730" s="32" t="str">
        <f>IF(Table!D730 = "","",Table!D730)</f>
        <v/>
      </c>
      <c r="E730" s="32" t="str">
        <f>IF(Table!E730 = "","",Table!E730)</f>
        <v/>
      </c>
      <c r="F730" s="32" t="str">
        <f>IF(Table!F730 = "","",Table!F730)</f>
        <v/>
      </c>
      <c r="G730" s="91"/>
      <c r="I730" s="84" t="str">
        <f>IFERROR(VLOOKUP(A730,Downlink!A:L,12,TRUE),"")</f>
        <v/>
      </c>
      <c r="K730" s="31" t="str">
        <f>IFERROR(VLOOKUP(A730,Table!$I$4:$O$3000,1,TRUE),"")</f>
        <v/>
      </c>
      <c r="L730" s="31" t="str">
        <f>IFERROR(INDEX(Table!I:O,MATCH(K730,Table!I:I,0),2),"")</f>
        <v/>
      </c>
      <c r="M730" s="31" t="str">
        <f>IFERROR(INDEX(Table!I:O,MATCH(K730,Table!I:I,0),3),"")</f>
        <v/>
      </c>
      <c r="N730" s="32" t="str">
        <f>IFERROR(INDEX(Table!I:O,MATCH(K730,Table!I:I,0),4),"")</f>
        <v/>
      </c>
      <c r="O730" s="32" t="str">
        <f>IFERROR(INDEX(Table!I:O,MATCH(K730,Table!I:I,0),5),"")</f>
        <v/>
      </c>
      <c r="P730" s="32" t="str">
        <f>IFERROR(INDEX(Table!I:O,MATCH(K730,Table!I:I,0),6),"")</f>
        <v/>
      </c>
      <c r="Q730" s="89" t="str">
        <f t="shared" si="33"/>
        <v/>
      </c>
      <c r="R730" s="89" t="str">
        <f t="shared" si="34"/>
        <v/>
      </c>
      <c r="S730" s="82"/>
      <c r="U730" s="37" t="e">
        <f t="shared" si="35"/>
        <v>#VALUE!</v>
      </c>
    </row>
    <row r="731" spans="1:21" x14ac:dyDescent="0.25">
      <c r="A731" s="31" t="str">
        <f>IF(Table!A731 = "","",Table!A731)</f>
        <v/>
      </c>
      <c r="B731" s="31" t="str">
        <f>IF(Table!B731 = "","",Table!B731)</f>
        <v/>
      </c>
      <c r="C731" s="31" t="str">
        <f>IF(Table!C731 = "","",Table!C731)</f>
        <v/>
      </c>
      <c r="D731" s="32" t="str">
        <f>IF(Table!D731 = "","",Table!D731)</f>
        <v/>
      </c>
      <c r="E731" s="32" t="str">
        <f>IF(Table!E731 = "","",Table!E731)</f>
        <v/>
      </c>
      <c r="F731" s="32" t="str">
        <f>IF(Table!F731 = "","",Table!F731)</f>
        <v/>
      </c>
      <c r="G731" s="91"/>
      <c r="I731" s="84" t="str">
        <f>IFERROR(VLOOKUP(A731,Downlink!A:L,12,TRUE),"")</f>
        <v/>
      </c>
      <c r="K731" s="31" t="str">
        <f>IFERROR(VLOOKUP(A731,Table!$I$4:$O$3000,1,TRUE),"")</f>
        <v/>
      </c>
      <c r="L731" s="31" t="str">
        <f>IFERROR(INDEX(Table!I:O,MATCH(K731,Table!I:I,0),2),"")</f>
        <v/>
      </c>
      <c r="M731" s="31" t="str">
        <f>IFERROR(INDEX(Table!I:O,MATCH(K731,Table!I:I,0),3),"")</f>
        <v/>
      </c>
      <c r="N731" s="32" t="str">
        <f>IFERROR(INDEX(Table!I:O,MATCH(K731,Table!I:I,0),4),"")</f>
        <v/>
      </c>
      <c r="O731" s="32" t="str">
        <f>IFERROR(INDEX(Table!I:O,MATCH(K731,Table!I:I,0),5),"")</f>
        <v/>
      </c>
      <c r="P731" s="32" t="str">
        <f>IFERROR(INDEX(Table!I:O,MATCH(K731,Table!I:I,0),6),"")</f>
        <v/>
      </c>
      <c r="Q731" s="89" t="str">
        <f t="shared" si="33"/>
        <v/>
      </c>
      <c r="R731" s="89" t="str">
        <f t="shared" si="34"/>
        <v/>
      </c>
      <c r="S731" s="82"/>
      <c r="U731" s="37" t="e">
        <f t="shared" si="35"/>
        <v>#VALUE!</v>
      </c>
    </row>
    <row r="732" spans="1:21" x14ac:dyDescent="0.25">
      <c r="A732" s="31" t="str">
        <f>IF(Table!A732 = "","",Table!A732)</f>
        <v/>
      </c>
      <c r="B732" s="31" t="str">
        <f>IF(Table!B732 = "","",Table!B732)</f>
        <v/>
      </c>
      <c r="C732" s="31" t="str">
        <f>IF(Table!C732 = "","",Table!C732)</f>
        <v/>
      </c>
      <c r="D732" s="32" t="str">
        <f>IF(Table!D732 = "","",Table!D732)</f>
        <v/>
      </c>
      <c r="E732" s="32" t="str">
        <f>IF(Table!E732 = "","",Table!E732)</f>
        <v/>
      </c>
      <c r="F732" s="32" t="str">
        <f>IF(Table!F732 = "","",Table!F732)</f>
        <v/>
      </c>
      <c r="G732" s="91"/>
      <c r="I732" s="84" t="str">
        <f>IFERROR(VLOOKUP(A732,Downlink!A:L,12,TRUE),"")</f>
        <v/>
      </c>
      <c r="K732" s="31" t="str">
        <f>IFERROR(VLOOKUP(A732,Table!$I$4:$O$3000,1,TRUE),"")</f>
        <v/>
      </c>
      <c r="L732" s="31" t="str">
        <f>IFERROR(INDEX(Table!I:O,MATCH(K732,Table!I:I,0),2),"")</f>
        <v/>
      </c>
      <c r="M732" s="31" t="str">
        <f>IFERROR(INDEX(Table!I:O,MATCH(K732,Table!I:I,0),3),"")</f>
        <v/>
      </c>
      <c r="N732" s="32" t="str">
        <f>IFERROR(INDEX(Table!I:O,MATCH(K732,Table!I:I,0),4),"")</f>
        <v/>
      </c>
      <c r="O732" s="32" t="str">
        <f>IFERROR(INDEX(Table!I:O,MATCH(K732,Table!I:I,0),5),"")</f>
        <v/>
      </c>
      <c r="P732" s="32" t="str">
        <f>IFERROR(INDEX(Table!I:O,MATCH(K732,Table!I:I,0),6),"")</f>
        <v/>
      </c>
      <c r="Q732" s="89" t="str">
        <f t="shared" si="33"/>
        <v/>
      </c>
      <c r="R732" s="89" t="str">
        <f t="shared" si="34"/>
        <v/>
      </c>
      <c r="S732" s="82"/>
      <c r="U732" s="37" t="e">
        <f t="shared" si="35"/>
        <v>#VALUE!</v>
      </c>
    </row>
    <row r="733" spans="1:21" x14ac:dyDescent="0.25">
      <c r="A733" s="31" t="str">
        <f>IF(Table!A733 = "","",Table!A733)</f>
        <v/>
      </c>
      <c r="B733" s="31" t="str">
        <f>IF(Table!B733 = "","",Table!B733)</f>
        <v/>
      </c>
      <c r="C733" s="31" t="str">
        <f>IF(Table!C733 = "","",Table!C733)</f>
        <v/>
      </c>
      <c r="D733" s="32" t="str">
        <f>IF(Table!D733 = "","",Table!D733)</f>
        <v/>
      </c>
      <c r="E733" s="32" t="str">
        <f>IF(Table!E733 = "","",Table!E733)</f>
        <v/>
      </c>
      <c r="F733" s="32" t="str">
        <f>IF(Table!F733 = "","",Table!F733)</f>
        <v/>
      </c>
      <c r="G733" s="91"/>
      <c r="I733" s="84" t="str">
        <f>IFERROR(VLOOKUP(A733,Downlink!A:L,12,TRUE),"")</f>
        <v/>
      </c>
      <c r="K733" s="31" t="str">
        <f>IFERROR(VLOOKUP(A733,Table!$I$4:$O$3000,1,TRUE),"")</f>
        <v/>
      </c>
      <c r="L733" s="31" t="str">
        <f>IFERROR(INDEX(Table!I:O,MATCH(K733,Table!I:I,0),2),"")</f>
        <v/>
      </c>
      <c r="M733" s="31" t="str">
        <f>IFERROR(INDEX(Table!I:O,MATCH(K733,Table!I:I,0),3),"")</f>
        <v/>
      </c>
      <c r="N733" s="32" t="str">
        <f>IFERROR(INDEX(Table!I:O,MATCH(K733,Table!I:I,0),4),"")</f>
        <v/>
      </c>
      <c r="O733" s="32" t="str">
        <f>IFERROR(INDEX(Table!I:O,MATCH(K733,Table!I:I,0),5),"")</f>
        <v/>
      </c>
      <c r="P733" s="32" t="str">
        <f>IFERROR(INDEX(Table!I:O,MATCH(K733,Table!I:I,0),6),"")</f>
        <v/>
      </c>
      <c r="Q733" s="89" t="str">
        <f t="shared" si="33"/>
        <v/>
      </c>
      <c r="R733" s="89" t="str">
        <f t="shared" si="34"/>
        <v/>
      </c>
      <c r="S733" s="82"/>
      <c r="U733" s="37" t="e">
        <f t="shared" si="35"/>
        <v>#VALUE!</v>
      </c>
    </row>
    <row r="734" spans="1:21" x14ac:dyDescent="0.25">
      <c r="A734" s="31" t="str">
        <f>IF(Table!A734 = "","",Table!A734)</f>
        <v/>
      </c>
      <c r="B734" s="31" t="str">
        <f>IF(Table!B734 = "","",Table!B734)</f>
        <v/>
      </c>
      <c r="C734" s="31" t="str">
        <f>IF(Table!C734 = "","",Table!C734)</f>
        <v/>
      </c>
      <c r="D734" s="32" t="str">
        <f>IF(Table!D734 = "","",Table!D734)</f>
        <v/>
      </c>
      <c r="E734" s="32" t="str">
        <f>IF(Table!E734 = "","",Table!E734)</f>
        <v/>
      </c>
      <c r="F734" s="32" t="str">
        <f>IF(Table!F734 = "","",Table!F734)</f>
        <v/>
      </c>
      <c r="G734" s="91"/>
      <c r="I734" s="84" t="str">
        <f>IFERROR(VLOOKUP(A734,Downlink!A:L,12,TRUE),"")</f>
        <v/>
      </c>
      <c r="K734" s="31" t="str">
        <f>IFERROR(VLOOKUP(A734,Table!$I$4:$O$3000,1,TRUE),"")</f>
        <v/>
      </c>
      <c r="L734" s="31" t="str">
        <f>IFERROR(INDEX(Table!I:O,MATCH(K734,Table!I:I,0),2),"")</f>
        <v/>
      </c>
      <c r="M734" s="31" t="str">
        <f>IFERROR(INDEX(Table!I:O,MATCH(K734,Table!I:I,0),3),"")</f>
        <v/>
      </c>
      <c r="N734" s="32" t="str">
        <f>IFERROR(INDEX(Table!I:O,MATCH(K734,Table!I:I,0),4),"")</f>
        <v/>
      </c>
      <c r="O734" s="32" t="str">
        <f>IFERROR(INDEX(Table!I:O,MATCH(K734,Table!I:I,0),5),"")</f>
        <v/>
      </c>
      <c r="P734" s="32" t="str">
        <f>IFERROR(INDEX(Table!I:O,MATCH(K734,Table!I:I,0),6),"")</f>
        <v/>
      </c>
      <c r="Q734" s="89" t="str">
        <f t="shared" si="33"/>
        <v/>
      </c>
      <c r="R734" s="89" t="str">
        <f t="shared" si="34"/>
        <v/>
      </c>
      <c r="S734" s="82"/>
      <c r="U734" s="37" t="e">
        <f t="shared" si="35"/>
        <v>#VALUE!</v>
      </c>
    </row>
    <row r="735" spans="1:21" x14ac:dyDescent="0.25">
      <c r="A735" s="31" t="str">
        <f>IF(Table!A735 = "","",Table!A735)</f>
        <v/>
      </c>
      <c r="B735" s="31" t="str">
        <f>IF(Table!B735 = "","",Table!B735)</f>
        <v/>
      </c>
      <c r="C735" s="31" t="str">
        <f>IF(Table!C735 = "","",Table!C735)</f>
        <v/>
      </c>
      <c r="D735" s="32" t="str">
        <f>IF(Table!D735 = "","",Table!D735)</f>
        <v/>
      </c>
      <c r="E735" s="32" t="str">
        <f>IF(Table!E735 = "","",Table!E735)</f>
        <v/>
      </c>
      <c r="F735" s="32" t="str">
        <f>IF(Table!F735 = "","",Table!F735)</f>
        <v/>
      </c>
      <c r="G735" s="91"/>
      <c r="I735" s="84" t="str">
        <f>IFERROR(VLOOKUP(A735,Downlink!A:L,12,TRUE),"")</f>
        <v/>
      </c>
      <c r="K735" s="31" t="str">
        <f>IFERROR(VLOOKUP(A735,Table!$I$4:$O$3000,1,TRUE),"")</f>
        <v/>
      </c>
      <c r="L735" s="31" t="str">
        <f>IFERROR(INDEX(Table!I:O,MATCH(K735,Table!I:I,0),2),"")</f>
        <v/>
      </c>
      <c r="M735" s="31" t="str">
        <f>IFERROR(INDEX(Table!I:O,MATCH(K735,Table!I:I,0),3),"")</f>
        <v/>
      </c>
      <c r="N735" s="32" t="str">
        <f>IFERROR(INDEX(Table!I:O,MATCH(K735,Table!I:I,0),4),"")</f>
        <v/>
      </c>
      <c r="O735" s="32" t="str">
        <f>IFERROR(INDEX(Table!I:O,MATCH(K735,Table!I:I,0),5),"")</f>
        <v/>
      </c>
      <c r="P735" s="32" t="str">
        <f>IFERROR(INDEX(Table!I:O,MATCH(K735,Table!I:I,0),6),"")</f>
        <v/>
      </c>
      <c r="Q735" s="89" t="str">
        <f t="shared" si="33"/>
        <v/>
      </c>
      <c r="R735" s="89" t="str">
        <f t="shared" si="34"/>
        <v/>
      </c>
      <c r="S735" s="82"/>
      <c r="U735" s="37" t="e">
        <f t="shared" si="35"/>
        <v>#VALUE!</v>
      </c>
    </row>
    <row r="736" spans="1:21" x14ac:dyDescent="0.25">
      <c r="A736" s="31" t="str">
        <f>IF(Table!A736 = "","",Table!A736)</f>
        <v/>
      </c>
      <c r="B736" s="31" t="str">
        <f>IF(Table!B736 = "","",Table!B736)</f>
        <v/>
      </c>
      <c r="C736" s="31" t="str">
        <f>IF(Table!C736 = "","",Table!C736)</f>
        <v/>
      </c>
      <c r="D736" s="32" t="str">
        <f>IF(Table!D736 = "","",Table!D736)</f>
        <v/>
      </c>
      <c r="E736" s="32" t="str">
        <f>IF(Table!E736 = "","",Table!E736)</f>
        <v/>
      </c>
      <c r="F736" s="32" t="str">
        <f>IF(Table!F736 = "","",Table!F736)</f>
        <v/>
      </c>
      <c r="G736" s="91"/>
      <c r="I736" s="84" t="str">
        <f>IFERROR(VLOOKUP(A736,Downlink!A:L,12,TRUE),"")</f>
        <v/>
      </c>
      <c r="K736" s="31" t="str">
        <f>IFERROR(VLOOKUP(A736,Table!$I$4:$O$3000,1,TRUE),"")</f>
        <v/>
      </c>
      <c r="L736" s="31" t="str">
        <f>IFERROR(INDEX(Table!I:O,MATCH(K736,Table!I:I,0),2),"")</f>
        <v/>
      </c>
      <c r="M736" s="31" t="str">
        <f>IFERROR(INDEX(Table!I:O,MATCH(K736,Table!I:I,0),3),"")</f>
        <v/>
      </c>
      <c r="N736" s="32" t="str">
        <f>IFERROR(INDEX(Table!I:O,MATCH(K736,Table!I:I,0),4),"")</f>
        <v/>
      </c>
      <c r="O736" s="32" t="str">
        <f>IFERROR(INDEX(Table!I:O,MATCH(K736,Table!I:I,0),5),"")</f>
        <v/>
      </c>
      <c r="P736" s="32" t="str">
        <f>IFERROR(INDEX(Table!I:O,MATCH(K736,Table!I:I,0),6),"")</f>
        <v/>
      </c>
      <c r="Q736" s="89" t="str">
        <f t="shared" si="33"/>
        <v/>
      </c>
      <c r="R736" s="89" t="str">
        <f t="shared" si="34"/>
        <v/>
      </c>
      <c r="S736" s="82"/>
      <c r="U736" s="37" t="e">
        <f t="shared" si="35"/>
        <v>#VALUE!</v>
      </c>
    </row>
    <row r="737" spans="1:21" x14ac:dyDescent="0.25">
      <c r="A737" s="31" t="str">
        <f>IF(Table!A737 = "","",Table!A737)</f>
        <v/>
      </c>
      <c r="B737" s="31" t="str">
        <f>IF(Table!B737 = "","",Table!B737)</f>
        <v/>
      </c>
      <c r="C737" s="31" t="str">
        <f>IF(Table!C737 = "","",Table!C737)</f>
        <v/>
      </c>
      <c r="D737" s="32" t="str">
        <f>IF(Table!D737 = "","",Table!D737)</f>
        <v/>
      </c>
      <c r="E737" s="32" t="str">
        <f>IF(Table!E737 = "","",Table!E737)</f>
        <v/>
      </c>
      <c r="F737" s="32" t="str">
        <f>IF(Table!F737 = "","",Table!F737)</f>
        <v/>
      </c>
      <c r="G737" s="91"/>
      <c r="I737" s="84" t="str">
        <f>IFERROR(VLOOKUP(A737,Downlink!A:L,12,TRUE),"")</f>
        <v/>
      </c>
      <c r="K737" s="31" t="str">
        <f>IFERROR(VLOOKUP(A737,Table!$I$4:$O$3000,1,TRUE),"")</f>
        <v/>
      </c>
      <c r="L737" s="31" t="str">
        <f>IFERROR(INDEX(Table!I:O,MATCH(K737,Table!I:I,0),2),"")</f>
        <v/>
      </c>
      <c r="M737" s="31" t="str">
        <f>IFERROR(INDEX(Table!I:O,MATCH(K737,Table!I:I,0),3),"")</f>
        <v/>
      </c>
      <c r="N737" s="32" t="str">
        <f>IFERROR(INDEX(Table!I:O,MATCH(K737,Table!I:I,0),4),"")</f>
        <v/>
      </c>
      <c r="O737" s="32" t="str">
        <f>IFERROR(INDEX(Table!I:O,MATCH(K737,Table!I:I,0),5),"")</f>
        <v/>
      </c>
      <c r="P737" s="32" t="str">
        <f>IFERROR(INDEX(Table!I:O,MATCH(K737,Table!I:I,0),6),"")</f>
        <v/>
      </c>
      <c r="Q737" s="89" t="str">
        <f t="shared" si="33"/>
        <v/>
      </c>
      <c r="R737" s="89" t="str">
        <f t="shared" si="34"/>
        <v/>
      </c>
      <c r="S737" s="82"/>
      <c r="U737" s="37" t="e">
        <f t="shared" si="35"/>
        <v>#VALUE!</v>
      </c>
    </row>
    <row r="738" spans="1:21" x14ac:dyDescent="0.25">
      <c r="A738" s="31" t="str">
        <f>IF(Table!A738 = "","",Table!A738)</f>
        <v/>
      </c>
      <c r="B738" s="31" t="str">
        <f>IF(Table!B738 = "","",Table!B738)</f>
        <v/>
      </c>
      <c r="C738" s="31" t="str">
        <f>IF(Table!C738 = "","",Table!C738)</f>
        <v/>
      </c>
      <c r="D738" s="32" t="str">
        <f>IF(Table!D738 = "","",Table!D738)</f>
        <v/>
      </c>
      <c r="E738" s="32" t="str">
        <f>IF(Table!E738 = "","",Table!E738)</f>
        <v/>
      </c>
      <c r="F738" s="32" t="str">
        <f>IF(Table!F738 = "","",Table!F738)</f>
        <v/>
      </c>
      <c r="G738" s="91"/>
      <c r="I738" s="84" t="str">
        <f>IFERROR(VLOOKUP(A738,Downlink!A:L,12,TRUE),"")</f>
        <v/>
      </c>
      <c r="K738" s="31" t="str">
        <f>IFERROR(VLOOKUP(A738,Table!$I$4:$O$3000,1,TRUE),"")</f>
        <v/>
      </c>
      <c r="L738" s="31" t="str">
        <f>IFERROR(INDEX(Table!I:O,MATCH(K738,Table!I:I,0),2),"")</f>
        <v/>
      </c>
      <c r="M738" s="31" t="str">
        <f>IFERROR(INDEX(Table!I:O,MATCH(K738,Table!I:I,0),3),"")</f>
        <v/>
      </c>
      <c r="N738" s="32" t="str">
        <f>IFERROR(INDEX(Table!I:O,MATCH(K738,Table!I:I,0),4),"")</f>
        <v/>
      </c>
      <c r="O738" s="32" t="str">
        <f>IFERROR(INDEX(Table!I:O,MATCH(K738,Table!I:I,0),5),"")</f>
        <v/>
      </c>
      <c r="P738" s="32" t="str">
        <f>IFERROR(INDEX(Table!I:O,MATCH(K738,Table!I:I,0),6),"")</f>
        <v/>
      </c>
      <c r="Q738" s="89" t="str">
        <f t="shared" si="33"/>
        <v/>
      </c>
      <c r="R738" s="89" t="str">
        <f t="shared" si="34"/>
        <v/>
      </c>
      <c r="S738" s="82"/>
      <c r="U738" s="37" t="e">
        <f t="shared" si="35"/>
        <v>#VALUE!</v>
      </c>
    </row>
    <row r="739" spans="1:21" x14ac:dyDescent="0.25">
      <c r="A739" s="31" t="str">
        <f>IF(Table!A739 = "","",Table!A739)</f>
        <v/>
      </c>
      <c r="B739" s="31" t="str">
        <f>IF(Table!B739 = "","",Table!B739)</f>
        <v/>
      </c>
      <c r="C739" s="31" t="str">
        <f>IF(Table!C739 = "","",Table!C739)</f>
        <v/>
      </c>
      <c r="D739" s="32" t="str">
        <f>IF(Table!D739 = "","",Table!D739)</f>
        <v/>
      </c>
      <c r="E739" s="32" t="str">
        <f>IF(Table!E739 = "","",Table!E739)</f>
        <v/>
      </c>
      <c r="F739" s="32" t="str">
        <f>IF(Table!F739 = "","",Table!F739)</f>
        <v/>
      </c>
      <c r="G739" s="91"/>
      <c r="I739" s="84" t="str">
        <f>IFERROR(VLOOKUP(A739,Downlink!A:L,12,TRUE),"")</f>
        <v/>
      </c>
      <c r="K739" s="31" t="str">
        <f>IFERROR(VLOOKUP(A739,Table!$I$4:$O$3000,1,TRUE),"")</f>
        <v/>
      </c>
      <c r="L739" s="31" t="str">
        <f>IFERROR(INDEX(Table!I:O,MATCH(K739,Table!I:I,0),2),"")</f>
        <v/>
      </c>
      <c r="M739" s="31" t="str">
        <f>IFERROR(INDEX(Table!I:O,MATCH(K739,Table!I:I,0),3),"")</f>
        <v/>
      </c>
      <c r="N739" s="32" t="str">
        <f>IFERROR(INDEX(Table!I:O,MATCH(K739,Table!I:I,0),4),"")</f>
        <v/>
      </c>
      <c r="O739" s="32" t="str">
        <f>IFERROR(INDEX(Table!I:O,MATCH(K739,Table!I:I,0),5),"")</f>
        <v/>
      </c>
      <c r="P739" s="32" t="str">
        <f>IFERROR(INDEX(Table!I:O,MATCH(K739,Table!I:I,0),6),"")</f>
        <v/>
      </c>
      <c r="Q739" s="89" t="str">
        <f t="shared" si="33"/>
        <v/>
      </c>
      <c r="R739" s="89" t="str">
        <f t="shared" si="34"/>
        <v/>
      </c>
      <c r="S739" s="82"/>
      <c r="U739" s="37" t="e">
        <f t="shared" si="35"/>
        <v>#VALUE!</v>
      </c>
    </row>
    <row r="740" spans="1:21" x14ac:dyDescent="0.25">
      <c r="A740" s="31" t="str">
        <f>IF(Table!A740 = "","",Table!A740)</f>
        <v/>
      </c>
      <c r="B740" s="31" t="str">
        <f>IF(Table!B740 = "","",Table!B740)</f>
        <v/>
      </c>
      <c r="C740" s="31" t="str">
        <f>IF(Table!C740 = "","",Table!C740)</f>
        <v/>
      </c>
      <c r="D740" s="32" t="str">
        <f>IF(Table!D740 = "","",Table!D740)</f>
        <v/>
      </c>
      <c r="E740" s="32" t="str">
        <f>IF(Table!E740 = "","",Table!E740)</f>
        <v/>
      </c>
      <c r="F740" s="32" t="str">
        <f>IF(Table!F740 = "","",Table!F740)</f>
        <v/>
      </c>
      <c r="G740" s="91"/>
      <c r="I740" s="84" t="str">
        <f>IFERROR(VLOOKUP(A740,Downlink!A:L,12,TRUE),"")</f>
        <v/>
      </c>
      <c r="K740" s="31" t="str">
        <f>IFERROR(VLOOKUP(A740,Table!$I$4:$O$3000,1,TRUE),"")</f>
        <v/>
      </c>
      <c r="L740" s="31" t="str">
        <f>IFERROR(INDEX(Table!I:O,MATCH(K740,Table!I:I,0),2),"")</f>
        <v/>
      </c>
      <c r="M740" s="31" t="str">
        <f>IFERROR(INDEX(Table!I:O,MATCH(K740,Table!I:I,0),3),"")</f>
        <v/>
      </c>
      <c r="N740" s="32" t="str">
        <f>IFERROR(INDEX(Table!I:O,MATCH(K740,Table!I:I,0),4),"")</f>
        <v/>
      </c>
      <c r="O740" s="32" t="str">
        <f>IFERROR(INDEX(Table!I:O,MATCH(K740,Table!I:I,0),5),"")</f>
        <v/>
      </c>
      <c r="P740" s="32" t="str">
        <f>IFERROR(INDEX(Table!I:O,MATCH(K740,Table!I:I,0),6),"")</f>
        <v/>
      </c>
      <c r="Q740" s="89" t="str">
        <f t="shared" si="33"/>
        <v/>
      </c>
      <c r="R740" s="89" t="str">
        <f t="shared" si="34"/>
        <v/>
      </c>
      <c r="S740" s="82"/>
      <c r="U740" s="37" t="e">
        <f t="shared" si="35"/>
        <v>#VALUE!</v>
      </c>
    </row>
    <row r="741" spans="1:21" x14ac:dyDescent="0.25">
      <c r="A741" s="31" t="str">
        <f>IF(Table!A741 = "","",Table!A741)</f>
        <v/>
      </c>
      <c r="B741" s="31" t="str">
        <f>IF(Table!B741 = "","",Table!B741)</f>
        <v/>
      </c>
      <c r="C741" s="31" t="str">
        <f>IF(Table!C741 = "","",Table!C741)</f>
        <v/>
      </c>
      <c r="D741" s="32" t="str">
        <f>IF(Table!D741 = "","",Table!D741)</f>
        <v/>
      </c>
      <c r="E741" s="32" t="str">
        <f>IF(Table!E741 = "","",Table!E741)</f>
        <v/>
      </c>
      <c r="F741" s="32" t="str">
        <f>IF(Table!F741 = "","",Table!F741)</f>
        <v/>
      </c>
      <c r="G741" s="91"/>
      <c r="I741" s="84" t="str">
        <f>IFERROR(VLOOKUP(A741,Downlink!A:L,12,TRUE),"")</f>
        <v/>
      </c>
      <c r="K741" s="31" t="str">
        <f>IFERROR(VLOOKUP(A741,Table!$I$4:$O$3000,1,TRUE),"")</f>
        <v/>
      </c>
      <c r="L741" s="31" t="str">
        <f>IFERROR(INDEX(Table!I:O,MATCH(K741,Table!I:I,0),2),"")</f>
        <v/>
      </c>
      <c r="M741" s="31" t="str">
        <f>IFERROR(INDEX(Table!I:O,MATCH(K741,Table!I:I,0),3),"")</f>
        <v/>
      </c>
      <c r="N741" s="32" t="str">
        <f>IFERROR(INDEX(Table!I:O,MATCH(K741,Table!I:I,0),4),"")</f>
        <v/>
      </c>
      <c r="O741" s="32" t="str">
        <f>IFERROR(INDEX(Table!I:O,MATCH(K741,Table!I:I,0),5),"")</f>
        <v/>
      </c>
      <c r="P741" s="32" t="str">
        <f>IFERROR(INDEX(Table!I:O,MATCH(K741,Table!I:I,0),6),"")</f>
        <v/>
      </c>
      <c r="Q741" s="89" t="str">
        <f t="shared" si="33"/>
        <v/>
      </c>
      <c r="R741" s="89" t="str">
        <f t="shared" si="34"/>
        <v/>
      </c>
      <c r="S741" s="82"/>
      <c r="U741" s="37" t="e">
        <f t="shared" si="35"/>
        <v>#VALUE!</v>
      </c>
    </row>
    <row r="742" spans="1:21" x14ac:dyDescent="0.25">
      <c r="A742" s="31" t="str">
        <f>IF(Table!A742 = "","",Table!A742)</f>
        <v/>
      </c>
      <c r="B742" s="31" t="str">
        <f>IF(Table!B742 = "","",Table!B742)</f>
        <v/>
      </c>
      <c r="C742" s="31" t="str">
        <f>IF(Table!C742 = "","",Table!C742)</f>
        <v/>
      </c>
      <c r="D742" s="32" t="str">
        <f>IF(Table!D742 = "","",Table!D742)</f>
        <v/>
      </c>
      <c r="E742" s="32" t="str">
        <f>IF(Table!E742 = "","",Table!E742)</f>
        <v/>
      </c>
      <c r="F742" s="32" t="str">
        <f>IF(Table!F742 = "","",Table!F742)</f>
        <v/>
      </c>
      <c r="G742" s="91"/>
      <c r="I742" s="84" t="str">
        <f>IFERROR(VLOOKUP(A742,Downlink!A:L,12,TRUE),"")</f>
        <v/>
      </c>
      <c r="K742" s="31" t="str">
        <f>IFERROR(VLOOKUP(A742,Table!$I$4:$O$3000,1,TRUE),"")</f>
        <v/>
      </c>
      <c r="L742" s="31" t="str">
        <f>IFERROR(INDEX(Table!I:O,MATCH(K742,Table!I:I,0),2),"")</f>
        <v/>
      </c>
      <c r="M742" s="31" t="str">
        <f>IFERROR(INDEX(Table!I:O,MATCH(K742,Table!I:I,0),3),"")</f>
        <v/>
      </c>
      <c r="N742" s="32" t="str">
        <f>IFERROR(INDEX(Table!I:O,MATCH(K742,Table!I:I,0),4),"")</f>
        <v/>
      </c>
      <c r="O742" s="32" t="str">
        <f>IFERROR(INDEX(Table!I:O,MATCH(K742,Table!I:I,0),5),"")</f>
        <v/>
      </c>
      <c r="P742" s="32" t="str">
        <f>IFERROR(INDEX(Table!I:O,MATCH(K742,Table!I:I,0),6),"")</f>
        <v/>
      </c>
      <c r="Q742" s="89" t="str">
        <f t="shared" si="33"/>
        <v/>
      </c>
      <c r="R742" s="89" t="str">
        <f t="shared" si="34"/>
        <v/>
      </c>
      <c r="S742" s="82"/>
      <c r="U742" s="37" t="e">
        <f t="shared" si="35"/>
        <v>#VALUE!</v>
      </c>
    </row>
    <row r="743" spans="1:21" x14ac:dyDescent="0.25">
      <c r="A743" s="31" t="str">
        <f>IF(Table!A743 = "","",Table!A743)</f>
        <v/>
      </c>
      <c r="B743" s="31" t="str">
        <f>IF(Table!B743 = "","",Table!B743)</f>
        <v/>
      </c>
      <c r="C743" s="31" t="str">
        <f>IF(Table!C743 = "","",Table!C743)</f>
        <v/>
      </c>
      <c r="D743" s="32" t="str">
        <f>IF(Table!D743 = "","",Table!D743)</f>
        <v/>
      </c>
      <c r="E743" s="32" t="str">
        <f>IF(Table!E743 = "","",Table!E743)</f>
        <v/>
      </c>
      <c r="F743" s="32" t="str">
        <f>IF(Table!F743 = "","",Table!F743)</f>
        <v/>
      </c>
      <c r="G743" s="91"/>
      <c r="I743" s="84" t="str">
        <f>IFERROR(VLOOKUP(A743,Downlink!A:L,12,TRUE),"")</f>
        <v/>
      </c>
      <c r="K743" s="31" t="str">
        <f>IFERROR(VLOOKUP(A743,Table!$I$4:$O$3000,1,TRUE),"")</f>
        <v/>
      </c>
      <c r="L743" s="31" t="str">
        <f>IFERROR(INDEX(Table!I:O,MATCH(K743,Table!I:I,0),2),"")</f>
        <v/>
      </c>
      <c r="M743" s="31" t="str">
        <f>IFERROR(INDEX(Table!I:O,MATCH(K743,Table!I:I,0),3),"")</f>
        <v/>
      </c>
      <c r="N743" s="32" t="str">
        <f>IFERROR(INDEX(Table!I:O,MATCH(K743,Table!I:I,0),4),"")</f>
        <v/>
      </c>
      <c r="O743" s="32" t="str">
        <f>IFERROR(INDEX(Table!I:O,MATCH(K743,Table!I:I,0),5),"")</f>
        <v/>
      </c>
      <c r="P743" s="32" t="str">
        <f>IFERROR(INDEX(Table!I:O,MATCH(K743,Table!I:I,0),6),"")</f>
        <v/>
      </c>
      <c r="Q743" s="89" t="str">
        <f t="shared" si="33"/>
        <v/>
      </c>
      <c r="R743" s="89" t="str">
        <f t="shared" si="34"/>
        <v/>
      </c>
      <c r="S743" s="82"/>
      <c r="U743" s="37" t="e">
        <f t="shared" si="35"/>
        <v>#VALUE!</v>
      </c>
    </row>
    <row r="744" spans="1:21" x14ac:dyDescent="0.25">
      <c r="A744" s="31" t="str">
        <f>IF(Table!A744 = "","",Table!A744)</f>
        <v/>
      </c>
      <c r="B744" s="31" t="str">
        <f>IF(Table!B744 = "","",Table!B744)</f>
        <v/>
      </c>
      <c r="C744" s="31" t="str">
        <f>IF(Table!C744 = "","",Table!C744)</f>
        <v/>
      </c>
      <c r="D744" s="32" t="str">
        <f>IF(Table!D744 = "","",Table!D744)</f>
        <v/>
      </c>
      <c r="E744" s="32" t="str">
        <f>IF(Table!E744 = "","",Table!E744)</f>
        <v/>
      </c>
      <c r="F744" s="32" t="str">
        <f>IF(Table!F744 = "","",Table!F744)</f>
        <v/>
      </c>
      <c r="G744" s="91"/>
      <c r="I744" s="84" t="str">
        <f>IFERROR(VLOOKUP(A744,Downlink!A:L,12,TRUE),"")</f>
        <v/>
      </c>
      <c r="K744" s="31" t="str">
        <f>IFERROR(VLOOKUP(A744,Table!$I$4:$O$3000,1,TRUE),"")</f>
        <v/>
      </c>
      <c r="L744" s="31" t="str">
        <f>IFERROR(INDEX(Table!I:O,MATCH(K744,Table!I:I,0),2),"")</f>
        <v/>
      </c>
      <c r="M744" s="31" t="str">
        <f>IFERROR(INDEX(Table!I:O,MATCH(K744,Table!I:I,0),3),"")</f>
        <v/>
      </c>
      <c r="N744" s="32" t="str">
        <f>IFERROR(INDEX(Table!I:O,MATCH(K744,Table!I:I,0),4),"")</f>
        <v/>
      </c>
      <c r="O744" s="32" t="str">
        <f>IFERROR(INDEX(Table!I:O,MATCH(K744,Table!I:I,0),5),"")</f>
        <v/>
      </c>
      <c r="P744" s="32" t="str">
        <f>IFERROR(INDEX(Table!I:O,MATCH(K744,Table!I:I,0),6),"")</f>
        <v/>
      </c>
      <c r="Q744" s="89" t="str">
        <f t="shared" si="33"/>
        <v/>
      </c>
      <c r="R744" s="89" t="str">
        <f t="shared" si="34"/>
        <v/>
      </c>
      <c r="S744" s="82"/>
      <c r="U744" s="37" t="e">
        <f t="shared" si="35"/>
        <v>#VALUE!</v>
      </c>
    </row>
    <row r="745" spans="1:21" x14ac:dyDescent="0.25">
      <c r="A745" s="31" t="str">
        <f>IF(Table!A745 = "","",Table!A745)</f>
        <v/>
      </c>
      <c r="B745" s="31" t="str">
        <f>IF(Table!B745 = "","",Table!B745)</f>
        <v/>
      </c>
      <c r="C745" s="31" t="str">
        <f>IF(Table!C745 = "","",Table!C745)</f>
        <v/>
      </c>
      <c r="D745" s="32" t="str">
        <f>IF(Table!D745 = "","",Table!D745)</f>
        <v/>
      </c>
      <c r="E745" s="32" t="str">
        <f>IF(Table!E745 = "","",Table!E745)</f>
        <v/>
      </c>
      <c r="F745" s="32" t="str">
        <f>IF(Table!F745 = "","",Table!F745)</f>
        <v/>
      </c>
      <c r="G745" s="91"/>
      <c r="I745" s="84" t="str">
        <f>IFERROR(VLOOKUP(A745,Downlink!A:L,12,TRUE),"")</f>
        <v/>
      </c>
      <c r="K745" s="31" t="str">
        <f>IFERROR(VLOOKUP(A745,Table!$I$4:$O$3000,1,TRUE),"")</f>
        <v/>
      </c>
      <c r="L745" s="31" t="str">
        <f>IFERROR(INDEX(Table!I:O,MATCH(K745,Table!I:I,0),2),"")</f>
        <v/>
      </c>
      <c r="M745" s="31" t="str">
        <f>IFERROR(INDEX(Table!I:O,MATCH(K745,Table!I:I,0),3),"")</f>
        <v/>
      </c>
      <c r="N745" s="32" t="str">
        <f>IFERROR(INDEX(Table!I:O,MATCH(K745,Table!I:I,0),4),"")</f>
        <v/>
      </c>
      <c r="O745" s="32" t="str">
        <f>IFERROR(INDEX(Table!I:O,MATCH(K745,Table!I:I,0),5),"")</f>
        <v/>
      </c>
      <c r="P745" s="32" t="str">
        <f>IFERROR(INDEX(Table!I:O,MATCH(K745,Table!I:I,0),6),"")</f>
        <v/>
      </c>
      <c r="Q745" s="89" t="str">
        <f t="shared" si="33"/>
        <v/>
      </c>
      <c r="R745" s="89" t="str">
        <f t="shared" si="34"/>
        <v/>
      </c>
      <c r="S745" s="82"/>
      <c r="U745" s="37" t="e">
        <f t="shared" si="35"/>
        <v>#VALUE!</v>
      </c>
    </row>
    <row r="746" spans="1:21" x14ac:dyDescent="0.25">
      <c r="A746" s="31" t="str">
        <f>IF(Table!A746 = "","",Table!A746)</f>
        <v/>
      </c>
      <c r="B746" s="31" t="str">
        <f>IF(Table!B746 = "","",Table!B746)</f>
        <v/>
      </c>
      <c r="C746" s="31" t="str">
        <f>IF(Table!C746 = "","",Table!C746)</f>
        <v/>
      </c>
      <c r="D746" s="32" t="str">
        <f>IF(Table!D746 = "","",Table!D746)</f>
        <v/>
      </c>
      <c r="E746" s="32" t="str">
        <f>IF(Table!E746 = "","",Table!E746)</f>
        <v/>
      </c>
      <c r="F746" s="32" t="str">
        <f>IF(Table!F746 = "","",Table!F746)</f>
        <v/>
      </c>
      <c r="G746" s="91"/>
      <c r="I746" s="84" t="str">
        <f>IFERROR(VLOOKUP(A746,Downlink!A:L,12,TRUE),"")</f>
        <v/>
      </c>
      <c r="K746" s="31" t="str">
        <f>IFERROR(VLOOKUP(A746,Table!$I$4:$O$3000,1,TRUE),"")</f>
        <v/>
      </c>
      <c r="L746" s="31" t="str">
        <f>IFERROR(INDEX(Table!I:O,MATCH(K746,Table!I:I,0),2),"")</f>
        <v/>
      </c>
      <c r="M746" s="31" t="str">
        <f>IFERROR(INDEX(Table!I:O,MATCH(K746,Table!I:I,0),3),"")</f>
        <v/>
      </c>
      <c r="N746" s="32" t="str">
        <f>IFERROR(INDEX(Table!I:O,MATCH(K746,Table!I:I,0),4),"")</f>
        <v/>
      </c>
      <c r="O746" s="32" t="str">
        <f>IFERROR(INDEX(Table!I:O,MATCH(K746,Table!I:I,0),5),"")</f>
        <v/>
      </c>
      <c r="P746" s="32" t="str">
        <f>IFERROR(INDEX(Table!I:O,MATCH(K746,Table!I:I,0),6),"")</f>
        <v/>
      </c>
      <c r="Q746" s="89" t="str">
        <f t="shared" si="33"/>
        <v/>
      </c>
      <c r="R746" s="89" t="str">
        <f t="shared" si="34"/>
        <v/>
      </c>
      <c r="S746" s="82"/>
      <c r="U746" s="37" t="e">
        <f t="shared" si="35"/>
        <v>#VALUE!</v>
      </c>
    </row>
    <row r="747" spans="1:21" x14ac:dyDescent="0.25">
      <c r="A747" s="31" t="str">
        <f>IF(Table!A747 = "","",Table!A747)</f>
        <v/>
      </c>
      <c r="B747" s="31" t="str">
        <f>IF(Table!B747 = "","",Table!B747)</f>
        <v/>
      </c>
      <c r="C747" s="31" t="str">
        <f>IF(Table!C747 = "","",Table!C747)</f>
        <v/>
      </c>
      <c r="D747" s="32" t="str">
        <f>IF(Table!D747 = "","",Table!D747)</f>
        <v/>
      </c>
      <c r="E747" s="32" t="str">
        <f>IF(Table!E747 = "","",Table!E747)</f>
        <v/>
      </c>
      <c r="F747" s="32" t="str">
        <f>IF(Table!F747 = "","",Table!F747)</f>
        <v/>
      </c>
      <c r="G747" s="91"/>
      <c r="I747" s="84" t="str">
        <f>IFERROR(VLOOKUP(A747,Downlink!A:L,12,TRUE),"")</f>
        <v/>
      </c>
      <c r="K747" s="31" t="str">
        <f>IFERROR(VLOOKUP(A747,Table!$I$4:$O$3000,1,TRUE),"")</f>
        <v/>
      </c>
      <c r="L747" s="31" t="str">
        <f>IFERROR(INDEX(Table!I:O,MATCH(K747,Table!I:I,0),2),"")</f>
        <v/>
      </c>
      <c r="M747" s="31" t="str">
        <f>IFERROR(INDEX(Table!I:O,MATCH(K747,Table!I:I,0),3),"")</f>
        <v/>
      </c>
      <c r="N747" s="32" t="str">
        <f>IFERROR(INDEX(Table!I:O,MATCH(K747,Table!I:I,0),4),"")</f>
        <v/>
      </c>
      <c r="O747" s="32" t="str">
        <f>IFERROR(INDEX(Table!I:O,MATCH(K747,Table!I:I,0),5),"")</f>
        <v/>
      </c>
      <c r="P747" s="32" t="str">
        <f>IFERROR(INDEX(Table!I:O,MATCH(K747,Table!I:I,0),6),"")</f>
        <v/>
      </c>
      <c r="Q747" s="89" t="str">
        <f t="shared" si="33"/>
        <v/>
      </c>
      <c r="R747" s="89" t="str">
        <f t="shared" si="34"/>
        <v/>
      </c>
      <c r="S747" s="82"/>
      <c r="U747" s="37" t="e">
        <f t="shared" si="35"/>
        <v>#VALUE!</v>
      </c>
    </row>
    <row r="748" spans="1:21" x14ac:dyDescent="0.25">
      <c r="A748" s="31" t="str">
        <f>IF(Table!A748 = "","",Table!A748)</f>
        <v/>
      </c>
      <c r="B748" s="31" t="str">
        <f>IF(Table!B748 = "","",Table!B748)</f>
        <v/>
      </c>
      <c r="C748" s="31" t="str">
        <f>IF(Table!C748 = "","",Table!C748)</f>
        <v/>
      </c>
      <c r="D748" s="32" t="str">
        <f>IF(Table!D748 = "","",Table!D748)</f>
        <v/>
      </c>
      <c r="E748" s="32" t="str">
        <f>IF(Table!E748 = "","",Table!E748)</f>
        <v/>
      </c>
      <c r="F748" s="32" t="str">
        <f>IF(Table!F748 = "","",Table!F748)</f>
        <v/>
      </c>
      <c r="G748" s="91"/>
      <c r="I748" s="84" t="str">
        <f>IFERROR(VLOOKUP(A748,Downlink!A:L,12,TRUE),"")</f>
        <v/>
      </c>
      <c r="K748" s="31" t="str">
        <f>IFERROR(VLOOKUP(A748,Table!$I$4:$O$3000,1,TRUE),"")</f>
        <v/>
      </c>
      <c r="L748" s="31" t="str">
        <f>IFERROR(INDEX(Table!I:O,MATCH(K748,Table!I:I,0),2),"")</f>
        <v/>
      </c>
      <c r="M748" s="31" t="str">
        <f>IFERROR(INDEX(Table!I:O,MATCH(K748,Table!I:I,0),3),"")</f>
        <v/>
      </c>
      <c r="N748" s="32" t="str">
        <f>IFERROR(INDEX(Table!I:O,MATCH(K748,Table!I:I,0),4),"")</f>
        <v/>
      </c>
      <c r="O748" s="32" t="str">
        <f>IFERROR(INDEX(Table!I:O,MATCH(K748,Table!I:I,0),5),"")</f>
        <v/>
      </c>
      <c r="P748" s="32" t="str">
        <f>IFERROR(INDEX(Table!I:O,MATCH(K748,Table!I:I,0),6),"")</f>
        <v/>
      </c>
      <c r="Q748" s="89" t="str">
        <f t="shared" si="33"/>
        <v/>
      </c>
      <c r="R748" s="89" t="str">
        <f t="shared" si="34"/>
        <v/>
      </c>
      <c r="S748" s="82"/>
      <c r="U748" s="37" t="e">
        <f t="shared" si="35"/>
        <v>#VALUE!</v>
      </c>
    </row>
    <row r="749" spans="1:21" x14ac:dyDescent="0.25">
      <c r="A749" s="31" t="str">
        <f>IF(Table!A749 = "","",Table!A749)</f>
        <v/>
      </c>
      <c r="B749" s="31" t="str">
        <f>IF(Table!B749 = "","",Table!B749)</f>
        <v/>
      </c>
      <c r="C749" s="31" t="str">
        <f>IF(Table!C749 = "","",Table!C749)</f>
        <v/>
      </c>
      <c r="D749" s="32" t="str">
        <f>IF(Table!D749 = "","",Table!D749)</f>
        <v/>
      </c>
      <c r="E749" s="32" t="str">
        <f>IF(Table!E749 = "","",Table!E749)</f>
        <v/>
      </c>
      <c r="F749" s="32" t="str">
        <f>IF(Table!F749 = "","",Table!F749)</f>
        <v/>
      </c>
      <c r="G749" s="91"/>
      <c r="I749" s="84" t="str">
        <f>IFERROR(VLOOKUP(A749,Downlink!A:L,12,TRUE),"")</f>
        <v/>
      </c>
      <c r="K749" s="31" t="str">
        <f>IFERROR(VLOOKUP(A749,Table!$I$4:$O$3000,1,TRUE),"")</f>
        <v/>
      </c>
      <c r="L749" s="31" t="str">
        <f>IFERROR(INDEX(Table!I:O,MATCH(K749,Table!I:I,0),2),"")</f>
        <v/>
      </c>
      <c r="M749" s="31" t="str">
        <f>IFERROR(INDEX(Table!I:O,MATCH(K749,Table!I:I,0),3),"")</f>
        <v/>
      </c>
      <c r="N749" s="32" t="str">
        <f>IFERROR(INDEX(Table!I:O,MATCH(K749,Table!I:I,0),4),"")</f>
        <v/>
      </c>
      <c r="O749" s="32" t="str">
        <f>IFERROR(INDEX(Table!I:O,MATCH(K749,Table!I:I,0),5),"")</f>
        <v/>
      </c>
      <c r="P749" s="32" t="str">
        <f>IFERROR(INDEX(Table!I:O,MATCH(K749,Table!I:I,0),6),"")</f>
        <v/>
      </c>
      <c r="Q749" s="89" t="str">
        <f t="shared" si="33"/>
        <v/>
      </c>
      <c r="R749" s="89" t="str">
        <f t="shared" si="34"/>
        <v/>
      </c>
      <c r="S749" s="82"/>
      <c r="U749" s="37" t="e">
        <f t="shared" si="35"/>
        <v>#VALUE!</v>
      </c>
    </row>
    <row r="750" spans="1:21" x14ac:dyDescent="0.25">
      <c r="A750" s="31" t="str">
        <f>IF(Table!A750 = "","",Table!A750)</f>
        <v/>
      </c>
      <c r="B750" s="31" t="str">
        <f>IF(Table!B750 = "","",Table!B750)</f>
        <v/>
      </c>
      <c r="C750" s="31" t="str">
        <f>IF(Table!C750 = "","",Table!C750)</f>
        <v/>
      </c>
      <c r="D750" s="32" t="str">
        <f>IF(Table!D750 = "","",Table!D750)</f>
        <v/>
      </c>
      <c r="E750" s="32" t="str">
        <f>IF(Table!E750 = "","",Table!E750)</f>
        <v/>
      </c>
      <c r="F750" s="32" t="str">
        <f>IF(Table!F750 = "","",Table!F750)</f>
        <v/>
      </c>
      <c r="G750" s="91"/>
      <c r="I750" s="84" t="str">
        <f>IFERROR(VLOOKUP(A750,Downlink!A:L,12,TRUE),"")</f>
        <v/>
      </c>
      <c r="K750" s="31" t="str">
        <f>IFERROR(VLOOKUP(A750,Table!$I$4:$O$3000,1,TRUE),"")</f>
        <v/>
      </c>
      <c r="L750" s="31" t="str">
        <f>IFERROR(INDEX(Table!I:O,MATCH(K750,Table!I:I,0),2),"")</f>
        <v/>
      </c>
      <c r="M750" s="31" t="str">
        <f>IFERROR(INDEX(Table!I:O,MATCH(K750,Table!I:I,0),3),"")</f>
        <v/>
      </c>
      <c r="N750" s="32" t="str">
        <f>IFERROR(INDEX(Table!I:O,MATCH(K750,Table!I:I,0),4),"")</f>
        <v/>
      </c>
      <c r="O750" s="32" t="str">
        <f>IFERROR(INDEX(Table!I:O,MATCH(K750,Table!I:I,0),5),"")</f>
        <v/>
      </c>
      <c r="P750" s="32" t="str">
        <f>IFERROR(INDEX(Table!I:O,MATCH(K750,Table!I:I,0),6),"")</f>
        <v/>
      </c>
      <c r="Q750" s="89" t="str">
        <f t="shared" si="33"/>
        <v/>
      </c>
      <c r="R750" s="89" t="str">
        <f t="shared" si="34"/>
        <v/>
      </c>
      <c r="S750" s="82"/>
      <c r="U750" s="37" t="e">
        <f t="shared" si="35"/>
        <v>#VALUE!</v>
      </c>
    </row>
    <row r="751" spans="1:21" x14ac:dyDescent="0.25">
      <c r="A751" s="31" t="str">
        <f>IF(Table!A751 = "","",Table!A751)</f>
        <v/>
      </c>
      <c r="B751" s="31" t="str">
        <f>IF(Table!B751 = "","",Table!B751)</f>
        <v/>
      </c>
      <c r="C751" s="31" t="str">
        <f>IF(Table!C751 = "","",Table!C751)</f>
        <v/>
      </c>
      <c r="D751" s="32" t="str">
        <f>IF(Table!D751 = "","",Table!D751)</f>
        <v/>
      </c>
      <c r="E751" s="32" t="str">
        <f>IF(Table!E751 = "","",Table!E751)</f>
        <v/>
      </c>
      <c r="F751" s="32" t="str">
        <f>IF(Table!F751 = "","",Table!F751)</f>
        <v/>
      </c>
      <c r="G751" s="91"/>
      <c r="I751" s="84" t="str">
        <f>IFERROR(VLOOKUP(A751,Downlink!A:L,12,TRUE),"")</f>
        <v/>
      </c>
      <c r="K751" s="31" t="str">
        <f>IFERROR(VLOOKUP(A751,Table!$I$4:$O$3000,1,TRUE),"")</f>
        <v/>
      </c>
      <c r="L751" s="31" t="str">
        <f>IFERROR(INDEX(Table!I:O,MATCH(K751,Table!I:I,0),2),"")</f>
        <v/>
      </c>
      <c r="M751" s="31" t="str">
        <f>IFERROR(INDEX(Table!I:O,MATCH(K751,Table!I:I,0),3),"")</f>
        <v/>
      </c>
      <c r="N751" s="32" t="str">
        <f>IFERROR(INDEX(Table!I:O,MATCH(K751,Table!I:I,0),4),"")</f>
        <v/>
      </c>
      <c r="O751" s="32" t="str">
        <f>IFERROR(INDEX(Table!I:O,MATCH(K751,Table!I:I,0),5),"")</f>
        <v/>
      </c>
      <c r="P751" s="32" t="str">
        <f>IFERROR(INDEX(Table!I:O,MATCH(K751,Table!I:I,0),6),"")</f>
        <v/>
      </c>
      <c r="Q751" s="89" t="str">
        <f t="shared" si="33"/>
        <v/>
      </c>
      <c r="R751" s="89" t="str">
        <f t="shared" si="34"/>
        <v/>
      </c>
      <c r="S751" s="82"/>
      <c r="U751" s="37" t="e">
        <f t="shared" si="35"/>
        <v>#VALUE!</v>
      </c>
    </row>
    <row r="752" spans="1:21" x14ac:dyDescent="0.25">
      <c r="A752" s="31" t="str">
        <f>IF(Table!A752 = "","",Table!A752)</f>
        <v/>
      </c>
      <c r="B752" s="31" t="str">
        <f>IF(Table!B752 = "","",Table!B752)</f>
        <v/>
      </c>
      <c r="C752" s="31" t="str">
        <f>IF(Table!C752 = "","",Table!C752)</f>
        <v/>
      </c>
      <c r="D752" s="32" t="str">
        <f>IF(Table!D752 = "","",Table!D752)</f>
        <v/>
      </c>
      <c r="E752" s="32" t="str">
        <f>IF(Table!E752 = "","",Table!E752)</f>
        <v/>
      </c>
      <c r="F752" s="32" t="str">
        <f>IF(Table!F752 = "","",Table!F752)</f>
        <v/>
      </c>
      <c r="G752" s="91"/>
      <c r="I752" s="84" t="str">
        <f>IFERROR(VLOOKUP(A752,Downlink!A:L,12,TRUE),"")</f>
        <v/>
      </c>
      <c r="K752" s="31" t="str">
        <f>IFERROR(VLOOKUP(A752,Table!$I$4:$O$3000,1,TRUE),"")</f>
        <v/>
      </c>
      <c r="L752" s="31" t="str">
        <f>IFERROR(INDEX(Table!I:O,MATCH(K752,Table!I:I,0),2),"")</f>
        <v/>
      </c>
      <c r="M752" s="31" t="str">
        <f>IFERROR(INDEX(Table!I:O,MATCH(K752,Table!I:I,0),3),"")</f>
        <v/>
      </c>
      <c r="N752" s="32" t="str">
        <f>IFERROR(INDEX(Table!I:O,MATCH(K752,Table!I:I,0),4),"")</f>
        <v/>
      </c>
      <c r="O752" s="32" t="str">
        <f>IFERROR(INDEX(Table!I:O,MATCH(K752,Table!I:I,0),5),"")</f>
        <v/>
      </c>
      <c r="P752" s="32" t="str">
        <f>IFERROR(INDEX(Table!I:O,MATCH(K752,Table!I:I,0),6),"")</f>
        <v/>
      </c>
      <c r="Q752" s="89" t="str">
        <f t="shared" si="33"/>
        <v/>
      </c>
      <c r="R752" s="89" t="str">
        <f t="shared" si="34"/>
        <v/>
      </c>
      <c r="S752" s="82"/>
      <c r="U752" s="37" t="e">
        <f t="shared" si="35"/>
        <v>#VALUE!</v>
      </c>
    </row>
    <row r="753" spans="1:21" x14ac:dyDescent="0.25">
      <c r="A753" s="31" t="str">
        <f>IF(Table!A753 = "","",Table!A753)</f>
        <v/>
      </c>
      <c r="B753" s="31" t="str">
        <f>IF(Table!B753 = "","",Table!B753)</f>
        <v/>
      </c>
      <c r="C753" s="31" t="str">
        <f>IF(Table!C753 = "","",Table!C753)</f>
        <v/>
      </c>
      <c r="D753" s="32" t="str">
        <f>IF(Table!D753 = "","",Table!D753)</f>
        <v/>
      </c>
      <c r="E753" s="32" t="str">
        <f>IF(Table!E753 = "","",Table!E753)</f>
        <v/>
      </c>
      <c r="F753" s="32" t="str">
        <f>IF(Table!F753 = "","",Table!F753)</f>
        <v/>
      </c>
      <c r="G753" s="91"/>
      <c r="I753" s="84" t="str">
        <f>IFERROR(VLOOKUP(A753,Downlink!A:L,12,TRUE),"")</f>
        <v/>
      </c>
      <c r="K753" s="31" t="str">
        <f>IFERROR(VLOOKUP(A753,Table!$I$4:$O$3000,1,TRUE),"")</f>
        <v/>
      </c>
      <c r="L753" s="31" t="str">
        <f>IFERROR(INDEX(Table!I:O,MATCH(K753,Table!I:I,0),2),"")</f>
        <v/>
      </c>
      <c r="M753" s="31" t="str">
        <f>IFERROR(INDEX(Table!I:O,MATCH(K753,Table!I:I,0),3),"")</f>
        <v/>
      </c>
      <c r="N753" s="32" t="str">
        <f>IFERROR(INDEX(Table!I:O,MATCH(K753,Table!I:I,0),4),"")</f>
        <v/>
      </c>
      <c r="O753" s="32" t="str">
        <f>IFERROR(INDEX(Table!I:O,MATCH(K753,Table!I:I,0),5),"")</f>
        <v/>
      </c>
      <c r="P753" s="32" t="str">
        <f>IFERROR(INDEX(Table!I:O,MATCH(K753,Table!I:I,0),6),"")</f>
        <v/>
      </c>
      <c r="Q753" s="89" t="str">
        <f t="shared" si="33"/>
        <v/>
      </c>
      <c r="R753" s="89" t="str">
        <f t="shared" si="34"/>
        <v/>
      </c>
      <c r="S753" s="82"/>
      <c r="U753" s="37" t="e">
        <f t="shared" si="35"/>
        <v>#VALUE!</v>
      </c>
    </row>
    <row r="754" spans="1:21" x14ac:dyDescent="0.25">
      <c r="A754" s="31" t="str">
        <f>IF(Table!A754 = "","",Table!A754)</f>
        <v/>
      </c>
      <c r="B754" s="31" t="str">
        <f>IF(Table!B754 = "","",Table!B754)</f>
        <v/>
      </c>
      <c r="C754" s="31" t="str">
        <f>IF(Table!C754 = "","",Table!C754)</f>
        <v/>
      </c>
      <c r="D754" s="32" t="str">
        <f>IF(Table!D754 = "","",Table!D754)</f>
        <v/>
      </c>
      <c r="E754" s="32" t="str">
        <f>IF(Table!E754 = "","",Table!E754)</f>
        <v/>
      </c>
      <c r="F754" s="32" t="str">
        <f>IF(Table!F754 = "","",Table!F754)</f>
        <v/>
      </c>
      <c r="G754" s="91"/>
      <c r="I754" s="84" t="str">
        <f>IFERROR(VLOOKUP(A754,Downlink!A:L,12,TRUE),"")</f>
        <v/>
      </c>
      <c r="K754" s="31" t="str">
        <f>IFERROR(VLOOKUP(A754,Table!$I$4:$O$3000,1,TRUE),"")</f>
        <v/>
      </c>
      <c r="L754" s="31" t="str">
        <f>IFERROR(INDEX(Table!I:O,MATCH(K754,Table!I:I,0),2),"")</f>
        <v/>
      </c>
      <c r="M754" s="31" t="str">
        <f>IFERROR(INDEX(Table!I:O,MATCH(K754,Table!I:I,0),3),"")</f>
        <v/>
      </c>
      <c r="N754" s="32" t="str">
        <f>IFERROR(INDEX(Table!I:O,MATCH(K754,Table!I:I,0),4),"")</f>
        <v/>
      </c>
      <c r="O754" s="32" t="str">
        <f>IFERROR(INDEX(Table!I:O,MATCH(K754,Table!I:I,0),5),"")</f>
        <v/>
      </c>
      <c r="P754" s="32" t="str">
        <f>IFERROR(INDEX(Table!I:O,MATCH(K754,Table!I:I,0),6),"")</f>
        <v/>
      </c>
      <c r="Q754" s="89" t="str">
        <f t="shared" si="33"/>
        <v/>
      </c>
      <c r="R754" s="89" t="str">
        <f t="shared" si="34"/>
        <v/>
      </c>
      <c r="S754" s="82"/>
      <c r="U754" s="37" t="e">
        <f t="shared" si="35"/>
        <v>#VALUE!</v>
      </c>
    </row>
    <row r="755" spans="1:21" x14ac:dyDescent="0.25">
      <c r="A755" s="31" t="str">
        <f>IF(Table!A755 = "","",Table!A755)</f>
        <v/>
      </c>
      <c r="B755" s="31" t="str">
        <f>IF(Table!B755 = "","",Table!B755)</f>
        <v/>
      </c>
      <c r="C755" s="31" t="str">
        <f>IF(Table!C755 = "","",Table!C755)</f>
        <v/>
      </c>
      <c r="D755" s="32" t="str">
        <f>IF(Table!D755 = "","",Table!D755)</f>
        <v/>
      </c>
      <c r="E755" s="32" t="str">
        <f>IF(Table!E755 = "","",Table!E755)</f>
        <v/>
      </c>
      <c r="F755" s="32" t="str">
        <f>IF(Table!F755 = "","",Table!F755)</f>
        <v/>
      </c>
      <c r="G755" s="91"/>
      <c r="I755" s="84" t="str">
        <f>IFERROR(VLOOKUP(A755,Downlink!A:L,12,TRUE),"")</f>
        <v/>
      </c>
      <c r="K755" s="31" t="str">
        <f>IFERROR(VLOOKUP(A755,Table!$I$4:$O$3000,1,TRUE),"")</f>
        <v/>
      </c>
      <c r="L755" s="31" t="str">
        <f>IFERROR(INDEX(Table!I:O,MATCH(K755,Table!I:I,0),2),"")</f>
        <v/>
      </c>
      <c r="M755" s="31" t="str">
        <f>IFERROR(INDEX(Table!I:O,MATCH(K755,Table!I:I,0),3),"")</f>
        <v/>
      </c>
      <c r="N755" s="32" t="str">
        <f>IFERROR(INDEX(Table!I:O,MATCH(K755,Table!I:I,0),4),"")</f>
        <v/>
      </c>
      <c r="O755" s="32" t="str">
        <f>IFERROR(INDEX(Table!I:O,MATCH(K755,Table!I:I,0),5),"")</f>
        <v/>
      </c>
      <c r="P755" s="32" t="str">
        <f>IFERROR(INDEX(Table!I:O,MATCH(K755,Table!I:I,0),6),"")</f>
        <v/>
      </c>
      <c r="Q755" s="89" t="str">
        <f t="shared" si="33"/>
        <v/>
      </c>
      <c r="R755" s="89" t="str">
        <f t="shared" si="34"/>
        <v/>
      </c>
      <c r="S755" s="82"/>
      <c r="U755" s="37" t="e">
        <f t="shared" si="35"/>
        <v>#VALUE!</v>
      </c>
    </row>
    <row r="756" spans="1:21" x14ac:dyDescent="0.25">
      <c r="A756" s="31" t="str">
        <f>IF(Table!A756 = "","",Table!A756)</f>
        <v/>
      </c>
      <c r="B756" s="31" t="str">
        <f>IF(Table!B756 = "","",Table!B756)</f>
        <v/>
      </c>
      <c r="C756" s="31" t="str">
        <f>IF(Table!C756 = "","",Table!C756)</f>
        <v/>
      </c>
      <c r="D756" s="32" t="str">
        <f>IF(Table!D756 = "","",Table!D756)</f>
        <v/>
      </c>
      <c r="E756" s="32" t="str">
        <f>IF(Table!E756 = "","",Table!E756)</f>
        <v/>
      </c>
      <c r="F756" s="32" t="str">
        <f>IF(Table!F756 = "","",Table!F756)</f>
        <v/>
      </c>
      <c r="G756" s="91"/>
      <c r="I756" s="84" t="str">
        <f>IFERROR(VLOOKUP(A756,Downlink!A:L,12,TRUE),"")</f>
        <v/>
      </c>
      <c r="K756" s="31" t="str">
        <f>IFERROR(VLOOKUP(A756,Table!$I$4:$O$3000,1,TRUE),"")</f>
        <v/>
      </c>
      <c r="L756" s="31" t="str">
        <f>IFERROR(INDEX(Table!I:O,MATCH(K756,Table!I:I,0),2),"")</f>
        <v/>
      </c>
      <c r="M756" s="31" t="str">
        <f>IFERROR(INDEX(Table!I:O,MATCH(K756,Table!I:I,0),3),"")</f>
        <v/>
      </c>
      <c r="N756" s="32" t="str">
        <f>IFERROR(INDEX(Table!I:O,MATCH(K756,Table!I:I,0),4),"")</f>
        <v/>
      </c>
      <c r="O756" s="32" t="str">
        <f>IFERROR(INDEX(Table!I:O,MATCH(K756,Table!I:I,0),5),"")</f>
        <v/>
      </c>
      <c r="P756" s="32" t="str">
        <f>IFERROR(INDEX(Table!I:O,MATCH(K756,Table!I:I,0),6),"")</f>
        <v/>
      </c>
      <c r="Q756" s="89" t="str">
        <f t="shared" si="33"/>
        <v/>
      </c>
      <c r="R756" s="89" t="str">
        <f t="shared" si="34"/>
        <v/>
      </c>
      <c r="S756" s="82"/>
      <c r="U756" s="37" t="e">
        <f t="shared" si="35"/>
        <v>#VALUE!</v>
      </c>
    </row>
    <row r="757" spans="1:21" x14ac:dyDescent="0.25">
      <c r="A757" s="31" t="str">
        <f>IF(Table!A757 = "","",Table!A757)</f>
        <v/>
      </c>
      <c r="B757" s="31" t="str">
        <f>IF(Table!B757 = "","",Table!B757)</f>
        <v/>
      </c>
      <c r="C757" s="31" t="str">
        <f>IF(Table!C757 = "","",Table!C757)</f>
        <v/>
      </c>
      <c r="D757" s="32" t="str">
        <f>IF(Table!D757 = "","",Table!D757)</f>
        <v/>
      </c>
      <c r="E757" s="32" t="str">
        <f>IF(Table!E757 = "","",Table!E757)</f>
        <v/>
      </c>
      <c r="F757" s="32" t="str">
        <f>IF(Table!F757 = "","",Table!F757)</f>
        <v/>
      </c>
      <c r="G757" s="91"/>
      <c r="I757" s="84" t="str">
        <f>IFERROR(VLOOKUP(A757,Downlink!A:L,12,TRUE),"")</f>
        <v/>
      </c>
      <c r="K757" s="31" t="str">
        <f>IFERROR(VLOOKUP(A757,Table!$I$4:$O$3000,1,TRUE),"")</f>
        <v/>
      </c>
      <c r="L757" s="31" t="str">
        <f>IFERROR(INDEX(Table!I:O,MATCH(K757,Table!I:I,0),2),"")</f>
        <v/>
      </c>
      <c r="M757" s="31" t="str">
        <f>IFERROR(INDEX(Table!I:O,MATCH(K757,Table!I:I,0),3),"")</f>
        <v/>
      </c>
      <c r="N757" s="32" t="str">
        <f>IFERROR(INDEX(Table!I:O,MATCH(K757,Table!I:I,0),4),"")</f>
        <v/>
      </c>
      <c r="O757" s="32" t="str">
        <f>IFERROR(INDEX(Table!I:O,MATCH(K757,Table!I:I,0),5),"")</f>
        <v/>
      </c>
      <c r="P757" s="32" t="str">
        <f>IFERROR(INDEX(Table!I:O,MATCH(K757,Table!I:I,0),6),"")</f>
        <v/>
      </c>
      <c r="Q757" s="89" t="str">
        <f t="shared" si="33"/>
        <v/>
      </c>
      <c r="R757" s="89" t="str">
        <f t="shared" si="34"/>
        <v/>
      </c>
      <c r="S757" s="82"/>
      <c r="U757" s="37" t="e">
        <f t="shared" si="35"/>
        <v>#VALUE!</v>
      </c>
    </row>
    <row r="758" spans="1:21" x14ac:dyDescent="0.25">
      <c r="A758" s="31" t="str">
        <f>IF(Table!A758 = "","",Table!A758)</f>
        <v/>
      </c>
      <c r="B758" s="31" t="str">
        <f>IF(Table!B758 = "","",Table!B758)</f>
        <v/>
      </c>
      <c r="C758" s="31" t="str">
        <f>IF(Table!C758 = "","",Table!C758)</f>
        <v/>
      </c>
      <c r="D758" s="32" t="str">
        <f>IF(Table!D758 = "","",Table!D758)</f>
        <v/>
      </c>
      <c r="E758" s="32" t="str">
        <f>IF(Table!E758 = "","",Table!E758)</f>
        <v/>
      </c>
      <c r="F758" s="32" t="str">
        <f>IF(Table!F758 = "","",Table!F758)</f>
        <v/>
      </c>
      <c r="G758" s="91"/>
      <c r="I758" s="84" t="str">
        <f>IFERROR(VLOOKUP(A758,Downlink!A:L,12,TRUE),"")</f>
        <v/>
      </c>
      <c r="K758" s="31" t="str">
        <f>IFERROR(VLOOKUP(A758,Table!$I$4:$O$3000,1,TRUE),"")</f>
        <v/>
      </c>
      <c r="L758" s="31" t="str">
        <f>IFERROR(INDEX(Table!I:O,MATCH(K758,Table!I:I,0),2),"")</f>
        <v/>
      </c>
      <c r="M758" s="31" t="str">
        <f>IFERROR(INDEX(Table!I:O,MATCH(K758,Table!I:I,0),3),"")</f>
        <v/>
      </c>
      <c r="N758" s="32" t="str">
        <f>IFERROR(INDEX(Table!I:O,MATCH(K758,Table!I:I,0),4),"")</f>
        <v/>
      </c>
      <c r="O758" s="32" t="str">
        <f>IFERROR(INDEX(Table!I:O,MATCH(K758,Table!I:I,0),5),"")</f>
        <v/>
      </c>
      <c r="P758" s="32" t="str">
        <f>IFERROR(INDEX(Table!I:O,MATCH(K758,Table!I:I,0),6),"")</f>
        <v/>
      </c>
      <c r="Q758" s="89" t="str">
        <f t="shared" si="33"/>
        <v/>
      </c>
      <c r="R758" s="89" t="str">
        <f t="shared" si="34"/>
        <v/>
      </c>
      <c r="S758" s="82"/>
      <c r="U758" s="37" t="e">
        <f t="shared" si="35"/>
        <v>#VALUE!</v>
      </c>
    </row>
    <row r="759" spans="1:21" x14ac:dyDescent="0.25">
      <c r="A759" s="31" t="str">
        <f>IF(Table!A759 = "","",Table!A759)</f>
        <v/>
      </c>
      <c r="B759" s="31" t="str">
        <f>IF(Table!B759 = "","",Table!B759)</f>
        <v/>
      </c>
      <c r="C759" s="31" t="str">
        <f>IF(Table!C759 = "","",Table!C759)</f>
        <v/>
      </c>
      <c r="D759" s="32" t="str">
        <f>IF(Table!D759 = "","",Table!D759)</f>
        <v/>
      </c>
      <c r="E759" s="32" t="str">
        <f>IF(Table!E759 = "","",Table!E759)</f>
        <v/>
      </c>
      <c r="F759" s="32" t="str">
        <f>IF(Table!F759 = "","",Table!F759)</f>
        <v/>
      </c>
      <c r="G759" s="91"/>
      <c r="I759" s="84" t="str">
        <f>IFERROR(VLOOKUP(A759,Downlink!A:L,12,TRUE),"")</f>
        <v/>
      </c>
      <c r="K759" s="31" t="str">
        <f>IFERROR(VLOOKUP(A759,Table!$I$4:$O$3000,1,TRUE),"")</f>
        <v/>
      </c>
      <c r="L759" s="31" t="str">
        <f>IFERROR(INDEX(Table!I:O,MATCH(K759,Table!I:I,0),2),"")</f>
        <v/>
      </c>
      <c r="M759" s="31" t="str">
        <f>IFERROR(INDEX(Table!I:O,MATCH(K759,Table!I:I,0),3),"")</f>
        <v/>
      </c>
      <c r="N759" s="32" t="str">
        <f>IFERROR(INDEX(Table!I:O,MATCH(K759,Table!I:I,0),4),"")</f>
        <v/>
      </c>
      <c r="O759" s="32" t="str">
        <f>IFERROR(INDEX(Table!I:O,MATCH(K759,Table!I:I,0),5),"")</f>
        <v/>
      </c>
      <c r="P759" s="32" t="str">
        <f>IFERROR(INDEX(Table!I:O,MATCH(K759,Table!I:I,0),6),"")</f>
        <v/>
      </c>
      <c r="Q759" s="89" t="str">
        <f t="shared" si="33"/>
        <v/>
      </c>
      <c r="R759" s="89" t="str">
        <f t="shared" si="34"/>
        <v/>
      </c>
      <c r="S759" s="82"/>
      <c r="U759" s="37" t="e">
        <f t="shared" si="35"/>
        <v>#VALUE!</v>
      </c>
    </row>
    <row r="760" spans="1:21" x14ac:dyDescent="0.25">
      <c r="A760" s="31" t="str">
        <f>IF(Table!A760 = "","",Table!A760)</f>
        <v/>
      </c>
      <c r="B760" s="31" t="str">
        <f>IF(Table!B760 = "","",Table!B760)</f>
        <v/>
      </c>
      <c r="C760" s="31" t="str">
        <f>IF(Table!C760 = "","",Table!C760)</f>
        <v/>
      </c>
      <c r="D760" s="32" t="str">
        <f>IF(Table!D760 = "","",Table!D760)</f>
        <v/>
      </c>
      <c r="E760" s="32" t="str">
        <f>IF(Table!E760 = "","",Table!E760)</f>
        <v/>
      </c>
      <c r="F760" s="32" t="str">
        <f>IF(Table!F760 = "","",Table!F760)</f>
        <v/>
      </c>
      <c r="G760" s="91"/>
      <c r="I760" s="84" t="str">
        <f>IFERROR(VLOOKUP(A760,Downlink!A:L,12,TRUE),"")</f>
        <v/>
      </c>
      <c r="K760" s="31" t="str">
        <f>IFERROR(VLOOKUP(A760,Table!$I$4:$O$3000,1,TRUE),"")</f>
        <v/>
      </c>
      <c r="L760" s="31" t="str">
        <f>IFERROR(INDEX(Table!I:O,MATCH(K760,Table!I:I,0),2),"")</f>
        <v/>
      </c>
      <c r="M760" s="31" t="str">
        <f>IFERROR(INDEX(Table!I:O,MATCH(K760,Table!I:I,0),3),"")</f>
        <v/>
      </c>
      <c r="N760" s="32" t="str">
        <f>IFERROR(INDEX(Table!I:O,MATCH(K760,Table!I:I,0),4),"")</f>
        <v/>
      </c>
      <c r="O760" s="32" t="str">
        <f>IFERROR(INDEX(Table!I:O,MATCH(K760,Table!I:I,0),5),"")</f>
        <v/>
      </c>
      <c r="P760" s="32" t="str">
        <f>IFERROR(INDEX(Table!I:O,MATCH(K760,Table!I:I,0),6),"")</f>
        <v/>
      </c>
      <c r="Q760" s="89" t="str">
        <f t="shared" si="33"/>
        <v/>
      </c>
      <c r="R760" s="89" t="str">
        <f t="shared" si="34"/>
        <v/>
      </c>
      <c r="S760" s="82"/>
      <c r="U760" s="37" t="e">
        <f t="shared" si="35"/>
        <v>#VALUE!</v>
      </c>
    </row>
    <row r="761" spans="1:21" x14ac:dyDescent="0.25">
      <c r="A761" s="31" t="str">
        <f>IF(Table!A761 = "","",Table!A761)</f>
        <v/>
      </c>
      <c r="B761" s="31" t="str">
        <f>IF(Table!B761 = "","",Table!B761)</f>
        <v/>
      </c>
      <c r="C761" s="31" t="str">
        <f>IF(Table!C761 = "","",Table!C761)</f>
        <v/>
      </c>
      <c r="D761" s="32" t="str">
        <f>IF(Table!D761 = "","",Table!D761)</f>
        <v/>
      </c>
      <c r="E761" s="32" t="str">
        <f>IF(Table!E761 = "","",Table!E761)</f>
        <v/>
      </c>
      <c r="F761" s="32" t="str">
        <f>IF(Table!F761 = "","",Table!F761)</f>
        <v/>
      </c>
      <c r="G761" s="91"/>
      <c r="I761" s="84" t="str">
        <f>IFERROR(VLOOKUP(A761,Downlink!A:L,12,TRUE),"")</f>
        <v/>
      </c>
      <c r="K761" s="31" t="str">
        <f>IFERROR(VLOOKUP(A761,Table!$I$4:$O$3000,1,TRUE),"")</f>
        <v/>
      </c>
      <c r="L761" s="31" t="str">
        <f>IFERROR(INDEX(Table!I:O,MATCH(K761,Table!I:I,0),2),"")</f>
        <v/>
      </c>
      <c r="M761" s="31" t="str">
        <f>IFERROR(INDEX(Table!I:O,MATCH(K761,Table!I:I,0),3),"")</f>
        <v/>
      </c>
      <c r="N761" s="32" t="str">
        <f>IFERROR(INDEX(Table!I:O,MATCH(K761,Table!I:I,0),4),"")</f>
        <v/>
      </c>
      <c r="O761" s="32" t="str">
        <f>IFERROR(INDEX(Table!I:O,MATCH(K761,Table!I:I,0),5),"")</f>
        <v/>
      </c>
      <c r="P761" s="32" t="str">
        <f>IFERROR(INDEX(Table!I:O,MATCH(K761,Table!I:I,0),6),"")</f>
        <v/>
      </c>
      <c r="Q761" s="89" t="str">
        <f t="shared" si="33"/>
        <v/>
      </c>
      <c r="R761" s="89" t="str">
        <f t="shared" si="34"/>
        <v/>
      </c>
      <c r="S761" s="82"/>
      <c r="U761" s="37" t="e">
        <f t="shared" si="35"/>
        <v>#VALUE!</v>
      </c>
    </row>
    <row r="762" spans="1:21" x14ac:dyDescent="0.25">
      <c r="A762" s="31" t="str">
        <f>IF(Table!A762 = "","",Table!A762)</f>
        <v/>
      </c>
      <c r="B762" s="31" t="str">
        <f>IF(Table!B762 = "","",Table!B762)</f>
        <v/>
      </c>
      <c r="C762" s="31" t="str">
        <f>IF(Table!C762 = "","",Table!C762)</f>
        <v/>
      </c>
      <c r="D762" s="32" t="str">
        <f>IF(Table!D762 = "","",Table!D762)</f>
        <v/>
      </c>
      <c r="E762" s="32" t="str">
        <f>IF(Table!E762 = "","",Table!E762)</f>
        <v/>
      </c>
      <c r="F762" s="32" t="str">
        <f>IF(Table!F762 = "","",Table!F762)</f>
        <v/>
      </c>
      <c r="G762" s="91"/>
      <c r="I762" s="84" t="str">
        <f>IFERROR(VLOOKUP(A762,Downlink!A:L,12,TRUE),"")</f>
        <v/>
      </c>
      <c r="K762" s="31" t="str">
        <f>IFERROR(VLOOKUP(A762,Table!$I$4:$O$3000,1,TRUE),"")</f>
        <v/>
      </c>
      <c r="L762" s="31" t="str">
        <f>IFERROR(INDEX(Table!I:O,MATCH(K762,Table!I:I,0),2),"")</f>
        <v/>
      </c>
      <c r="M762" s="31" t="str">
        <f>IFERROR(INDEX(Table!I:O,MATCH(K762,Table!I:I,0),3),"")</f>
        <v/>
      </c>
      <c r="N762" s="32" t="str">
        <f>IFERROR(INDEX(Table!I:O,MATCH(K762,Table!I:I,0),4),"")</f>
        <v/>
      </c>
      <c r="O762" s="32" t="str">
        <f>IFERROR(INDEX(Table!I:O,MATCH(K762,Table!I:I,0),5),"")</f>
        <v/>
      </c>
      <c r="P762" s="32" t="str">
        <f>IFERROR(INDEX(Table!I:O,MATCH(K762,Table!I:I,0),6),"")</f>
        <v/>
      </c>
      <c r="Q762" s="89" t="str">
        <f t="shared" si="33"/>
        <v/>
      </c>
      <c r="R762" s="89" t="str">
        <f t="shared" si="34"/>
        <v/>
      </c>
      <c r="S762" s="82"/>
      <c r="U762" s="37" t="e">
        <f t="shared" si="35"/>
        <v>#VALUE!</v>
      </c>
    </row>
    <row r="763" spans="1:21" x14ac:dyDescent="0.25">
      <c r="A763" s="31" t="str">
        <f>IF(Table!A763 = "","",Table!A763)</f>
        <v/>
      </c>
      <c r="B763" s="31" t="str">
        <f>IF(Table!B763 = "","",Table!B763)</f>
        <v/>
      </c>
      <c r="C763" s="31" t="str">
        <f>IF(Table!C763 = "","",Table!C763)</f>
        <v/>
      </c>
      <c r="D763" s="32" t="str">
        <f>IF(Table!D763 = "","",Table!D763)</f>
        <v/>
      </c>
      <c r="E763" s="32" t="str">
        <f>IF(Table!E763 = "","",Table!E763)</f>
        <v/>
      </c>
      <c r="F763" s="32" t="str">
        <f>IF(Table!F763 = "","",Table!F763)</f>
        <v/>
      </c>
      <c r="G763" s="91"/>
      <c r="I763" s="84" t="str">
        <f>IFERROR(VLOOKUP(A763,Downlink!A:L,12,TRUE),"")</f>
        <v/>
      </c>
      <c r="K763" s="31" t="str">
        <f>IFERROR(VLOOKUP(A763,Table!$I$4:$O$3000,1,TRUE),"")</f>
        <v/>
      </c>
      <c r="L763" s="31" t="str">
        <f>IFERROR(INDEX(Table!I:O,MATCH(K763,Table!I:I,0),2),"")</f>
        <v/>
      </c>
      <c r="M763" s="31" t="str">
        <f>IFERROR(INDEX(Table!I:O,MATCH(K763,Table!I:I,0),3),"")</f>
        <v/>
      </c>
      <c r="N763" s="32" t="str">
        <f>IFERROR(INDEX(Table!I:O,MATCH(K763,Table!I:I,0),4),"")</f>
        <v/>
      </c>
      <c r="O763" s="32" t="str">
        <f>IFERROR(INDEX(Table!I:O,MATCH(K763,Table!I:I,0),5),"")</f>
        <v/>
      </c>
      <c r="P763" s="32" t="str">
        <f>IFERROR(INDEX(Table!I:O,MATCH(K763,Table!I:I,0),6),"")</f>
        <v/>
      </c>
      <c r="Q763" s="89" t="str">
        <f t="shared" si="33"/>
        <v/>
      </c>
      <c r="R763" s="89" t="str">
        <f t="shared" si="34"/>
        <v/>
      </c>
      <c r="S763" s="82"/>
      <c r="U763" s="37" t="e">
        <f t="shared" si="35"/>
        <v>#VALUE!</v>
      </c>
    </row>
    <row r="764" spans="1:21" x14ac:dyDescent="0.25">
      <c r="A764" s="31" t="str">
        <f>IF(Table!A764 = "","",Table!A764)</f>
        <v/>
      </c>
      <c r="B764" s="31" t="str">
        <f>IF(Table!B764 = "","",Table!B764)</f>
        <v/>
      </c>
      <c r="C764" s="31" t="str">
        <f>IF(Table!C764 = "","",Table!C764)</f>
        <v/>
      </c>
      <c r="D764" s="32" t="str">
        <f>IF(Table!D764 = "","",Table!D764)</f>
        <v/>
      </c>
      <c r="E764" s="32" t="str">
        <f>IF(Table!E764 = "","",Table!E764)</f>
        <v/>
      </c>
      <c r="F764" s="32" t="str">
        <f>IF(Table!F764 = "","",Table!F764)</f>
        <v/>
      </c>
      <c r="G764" s="91"/>
      <c r="I764" s="84" t="str">
        <f>IFERROR(VLOOKUP(A764,Downlink!A:L,12,TRUE),"")</f>
        <v/>
      </c>
      <c r="K764" s="31" t="str">
        <f>IFERROR(VLOOKUP(A764,Table!$I$4:$O$3000,1,TRUE),"")</f>
        <v/>
      </c>
      <c r="L764" s="31" t="str">
        <f>IFERROR(INDEX(Table!I:O,MATCH(K764,Table!I:I,0),2),"")</f>
        <v/>
      </c>
      <c r="M764" s="31" t="str">
        <f>IFERROR(INDEX(Table!I:O,MATCH(K764,Table!I:I,0),3),"")</f>
        <v/>
      </c>
      <c r="N764" s="32" t="str">
        <f>IFERROR(INDEX(Table!I:O,MATCH(K764,Table!I:I,0),4),"")</f>
        <v/>
      </c>
      <c r="O764" s="32" t="str">
        <f>IFERROR(INDEX(Table!I:O,MATCH(K764,Table!I:I,0),5),"")</f>
        <v/>
      </c>
      <c r="P764" s="32" t="str">
        <f>IFERROR(INDEX(Table!I:O,MATCH(K764,Table!I:I,0),6),"")</f>
        <v/>
      </c>
      <c r="Q764" s="89" t="str">
        <f t="shared" si="33"/>
        <v/>
      </c>
      <c r="R764" s="89" t="str">
        <f t="shared" si="34"/>
        <v/>
      </c>
      <c r="S764" s="82"/>
      <c r="U764" s="37" t="e">
        <f t="shared" si="35"/>
        <v>#VALUE!</v>
      </c>
    </row>
    <row r="765" spans="1:21" x14ac:dyDescent="0.25">
      <c r="A765" s="31" t="str">
        <f>IF(Table!A765 = "","",Table!A765)</f>
        <v/>
      </c>
      <c r="B765" s="31" t="str">
        <f>IF(Table!B765 = "","",Table!B765)</f>
        <v/>
      </c>
      <c r="C765" s="31" t="str">
        <f>IF(Table!C765 = "","",Table!C765)</f>
        <v/>
      </c>
      <c r="D765" s="32" t="str">
        <f>IF(Table!D765 = "","",Table!D765)</f>
        <v/>
      </c>
      <c r="E765" s="32" t="str">
        <f>IF(Table!E765 = "","",Table!E765)</f>
        <v/>
      </c>
      <c r="F765" s="32" t="str">
        <f>IF(Table!F765 = "","",Table!F765)</f>
        <v/>
      </c>
      <c r="G765" s="91"/>
      <c r="I765" s="84" t="str">
        <f>IFERROR(VLOOKUP(A765,Downlink!A:L,12,TRUE),"")</f>
        <v/>
      </c>
      <c r="K765" s="31" t="str">
        <f>IFERROR(VLOOKUP(A765,Table!$I$4:$O$3000,1,TRUE),"")</f>
        <v/>
      </c>
      <c r="L765" s="31" t="str">
        <f>IFERROR(INDEX(Table!I:O,MATCH(K765,Table!I:I,0),2),"")</f>
        <v/>
      </c>
      <c r="M765" s="31" t="str">
        <f>IFERROR(INDEX(Table!I:O,MATCH(K765,Table!I:I,0),3),"")</f>
        <v/>
      </c>
      <c r="N765" s="32" t="str">
        <f>IFERROR(INDEX(Table!I:O,MATCH(K765,Table!I:I,0),4),"")</f>
        <v/>
      </c>
      <c r="O765" s="32" t="str">
        <f>IFERROR(INDEX(Table!I:O,MATCH(K765,Table!I:I,0),5),"")</f>
        <v/>
      </c>
      <c r="P765" s="32" t="str">
        <f>IFERROR(INDEX(Table!I:O,MATCH(K765,Table!I:I,0),6),"")</f>
        <v/>
      </c>
      <c r="Q765" s="89" t="str">
        <f t="shared" si="33"/>
        <v/>
      </c>
      <c r="R765" s="89" t="str">
        <f t="shared" si="34"/>
        <v/>
      </c>
      <c r="S765" s="82"/>
      <c r="U765" s="37" t="e">
        <f t="shared" si="35"/>
        <v>#VALUE!</v>
      </c>
    </row>
    <row r="766" spans="1:21" x14ac:dyDescent="0.25">
      <c r="A766" s="31" t="str">
        <f>IF(Table!A766 = "","",Table!A766)</f>
        <v/>
      </c>
      <c r="B766" s="31" t="str">
        <f>IF(Table!B766 = "","",Table!B766)</f>
        <v/>
      </c>
      <c r="C766" s="31" t="str">
        <f>IF(Table!C766 = "","",Table!C766)</f>
        <v/>
      </c>
      <c r="D766" s="32" t="str">
        <f>IF(Table!D766 = "","",Table!D766)</f>
        <v/>
      </c>
      <c r="E766" s="32" t="str">
        <f>IF(Table!E766 = "","",Table!E766)</f>
        <v/>
      </c>
      <c r="F766" s="32" t="str">
        <f>IF(Table!F766 = "","",Table!F766)</f>
        <v/>
      </c>
      <c r="G766" s="91"/>
      <c r="I766" s="84" t="str">
        <f>IFERROR(VLOOKUP(A766,Downlink!A:L,12,TRUE),"")</f>
        <v/>
      </c>
      <c r="K766" s="31" t="str">
        <f>IFERROR(VLOOKUP(A766,Table!$I$4:$O$3000,1,TRUE),"")</f>
        <v/>
      </c>
      <c r="L766" s="31" t="str">
        <f>IFERROR(INDEX(Table!I:O,MATCH(K766,Table!I:I,0),2),"")</f>
        <v/>
      </c>
      <c r="M766" s="31" t="str">
        <f>IFERROR(INDEX(Table!I:O,MATCH(K766,Table!I:I,0),3),"")</f>
        <v/>
      </c>
      <c r="N766" s="32" t="str">
        <f>IFERROR(INDEX(Table!I:O,MATCH(K766,Table!I:I,0),4),"")</f>
        <v/>
      </c>
      <c r="O766" s="32" t="str">
        <f>IFERROR(INDEX(Table!I:O,MATCH(K766,Table!I:I,0),5),"")</f>
        <v/>
      </c>
      <c r="P766" s="32" t="str">
        <f>IFERROR(INDEX(Table!I:O,MATCH(K766,Table!I:I,0),6),"")</f>
        <v/>
      </c>
      <c r="Q766" s="89" t="str">
        <f t="shared" si="33"/>
        <v/>
      </c>
      <c r="R766" s="89" t="str">
        <f t="shared" si="34"/>
        <v/>
      </c>
      <c r="S766" s="82"/>
      <c r="U766" s="37" t="e">
        <f t="shared" si="35"/>
        <v>#VALUE!</v>
      </c>
    </row>
    <row r="767" spans="1:21" x14ac:dyDescent="0.25">
      <c r="A767" s="31" t="str">
        <f>IF(Table!A767 = "","",Table!A767)</f>
        <v/>
      </c>
      <c r="B767" s="31" t="str">
        <f>IF(Table!B767 = "","",Table!B767)</f>
        <v/>
      </c>
      <c r="C767" s="31" t="str">
        <f>IF(Table!C767 = "","",Table!C767)</f>
        <v/>
      </c>
      <c r="D767" s="32" t="str">
        <f>IF(Table!D767 = "","",Table!D767)</f>
        <v/>
      </c>
      <c r="E767" s="32" t="str">
        <f>IF(Table!E767 = "","",Table!E767)</f>
        <v/>
      </c>
      <c r="F767" s="32" t="str">
        <f>IF(Table!F767 = "","",Table!F767)</f>
        <v/>
      </c>
      <c r="G767" s="91"/>
      <c r="I767" s="84" t="str">
        <f>IFERROR(VLOOKUP(A767,Downlink!A:L,12,TRUE),"")</f>
        <v/>
      </c>
      <c r="K767" s="31" t="str">
        <f>IFERROR(VLOOKUP(A767,Table!$I$4:$O$3000,1,TRUE),"")</f>
        <v/>
      </c>
      <c r="L767" s="31" t="str">
        <f>IFERROR(INDEX(Table!I:O,MATCH(K767,Table!I:I,0),2),"")</f>
        <v/>
      </c>
      <c r="M767" s="31" t="str">
        <f>IFERROR(INDEX(Table!I:O,MATCH(K767,Table!I:I,0),3),"")</f>
        <v/>
      </c>
      <c r="N767" s="32" t="str">
        <f>IFERROR(INDEX(Table!I:O,MATCH(K767,Table!I:I,0),4),"")</f>
        <v/>
      </c>
      <c r="O767" s="32" t="str">
        <f>IFERROR(INDEX(Table!I:O,MATCH(K767,Table!I:I,0),5),"")</f>
        <v/>
      </c>
      <c r="P767" s="32" t="str">
        <f>IFERROR(INDEX(Table!I:O,MATCH(K767,Table!I:I,0),6),"")</f>
        <v/>
      </c>
      <c r="Q767" s="89" t="str">
        <f t="shared" si="33"/>
        <v/>
      </c>
      <c r="R767" s="89" t="str">
        <f t="shared" si="34"/>
        <v/>
      </c>
      <c r="S767" s="82"/>
      <c r="U767" s="37" t="e">
        <f t="shared" si="35"/>
        <v>#VALUE!</v>
      </c>
    </row>
    <row r="768" spans="1:21" x14ac:dyDescent="0.25">
      <c r="A768" s="31" t="str">
        <f>IF(Table!A768 = "","",Table!A768)</f>
        <v/>
      </c>
      <c r="B768" s="31" t="str">
        <f>IF(Table!B768 = "","",Table!B768)</f>
        <v/>
      </c>
      <c r="C768" s="31" t="str">
        <f>IF(Table!C768 = "","",Table!C768)</f>
        <v/>
      </c>
      <c r="D768" s="32" t="str">
        <f>IF(Table!D768 = "","",Table!D768)</f>
        <v/>
      </c>
      <c r="E768" s="32" t="str">
        <f>IF(Table!E768 = "","",Table!E768)</f>
        <v/>
      </c>
      <c r="F768" s="32" t="str">
        <f>IF(Table!F768 = "","",Table!F768)</f>
        <v/>
      </c>
      <c r="G768" s="91"/>
      <c r="I768" s="84" t="str">
        <f>IFERROR(VLOOKUP(A768,Downlink!A:L,12,TRUE),"")</f>
        <v/>
      </c>
      <c r="K768" s="31" t="str">
        <f>IFERROR(VLOOKUP(A768,Table!$I$4:$O$3000,1,TRUE),"")</f>
        <v/>
      </c>
      <c r="L768" s="31" t="str">
        <f>IFERROR(INDEX(Table!I:O,MATCH(K768,Table!I:I,0),2),"")</f>
        <v/>
      </c>
      <c r="M768" s="31" t="str">
        <f>IFERROR(INDEX(Table!I:O,MATCH(K768,Table!I:I,0),3),"")</f>
        <v/>
      </c>
      <c r="N768" s="32" t="str">
        <f>IFERROR(INDEX(Table!I:O,MATCH(K768,Table!I:I,0),4),"")</f>
        <v/>
      </c>
      <c r="O768" s="32" t="str">
        <f>IFERROR(INDEX(Table!I:O,MATCH(K768,Table!I:I,0),5),"")</f>
        <v/>
      </c>
      <c r="P768" s="32" t="str">
        <f>IFERROR(INDEX(Table!I:O,MATCH(K768,Table!I:I,0),6),"")</f>
        <v/>
      </c>
      <c r="Q768" s="89" t="str">
        <f t="shared" si="33"/>
        <v/>
      </c>
      <c r="R768" s="89" t="str">
        <f t="shared" si="34"/>
        <v/>
      </c>
      <c r="S768" s="82"/>
      <c r="U768" s="37" t="e">
        <f t="shared" si="35"/>
        <v>#VALUE!</v>
      </c>
    </row>
    <row r="769" spans="1:21" x14ac:dyDescent="0.25">
      <c r="A769" s="31" t="str">
        <f>IF(Table!A769 = "","",Table!A769)</f>
        <v/>
      </c>
      <c r="B769" s="31" t="str">
        <f>IF(Table!B769 = "","",Table!B769)</f>
        <v/>
      </c>
      <c r="C769" s="31" t="str">
        <f>IF(Table!C769 = "","",Table!C769)</f>
        <v/>
      </c>
      <c r="D769" s="32" t="str">
        <f>IF(Table!D769 = "","",Table!D769)</f>
        <v/>
      </c>
      <c r="E769" s="32" t="str">
        <f>IF(Table!E769 = "","",Table!E769)</f>
        <v/>
      </c>
      <c r="F769" s="32" t="str">
        <f>IF(Table!F769 = "","",Table!F769)</f>
        <v/>
      </c>
      <c r="G769" s="91"/>
      <c r="I769" s="84" t="str">
        <f>IFERROR(VLOOKUP(A769,Downlink!A:L,12,TRUE),"")</f>
        <v/>
      </c>
      <c r="K769" s="31" t="str">
        <f>IFERROR(VLOOKUP(A769,Table!$I$4:$O$3000,1,TRUE),"")</f>
        <v/>
      </c>
      <c r="L769" s="31" t="str">
        <f>IFERROR(INDEX(Table!I:O,MATCH(K769,Table!I:I,0),2),"")</f>
        <v/>
      </c>
      <c r="M769" s="31" t="str">
        <f>IFERROR(INDEX(Table!I:O,MATCH(K769,Table!I:I,0),3),"")</f>
        <v/>
      </c>
      <c r="N769" s="32" t="str">
        <f>IFERROR(INDEX(Table!I:O,MATCH(K769,Table!I:I,0),4),"")</f>
        <v/>
      </c>
      <c r="O769" s="32" t="str">
        <f>IFERROR(INDEX(Table!I:O,MATCH(K769,Table!I:I,0),5),"")</f>
        <v/>
      </c>
      <c r="P769" s="32" t="str">
        <f>IFERROR(INDEX(Table!I:O,MATCH(K769,Table!I:I,0),6),"")</f>
        <v/>
      </c>
      <c r="Q769" s="89" t="str">
        <f t="shared" si="33"/>
        <v/>
      </c>
      <c r="R769" s="89" t="str">
        <f t="shared" si="34"/>
        <v/>
      </c>
      <c r="S769" s="82"/>
      <c r="U769" s="37" t="e">
        <f t="shared" si="35"/>
        <v>#VALUE!</v>
      </c>
    </row>
    <row r="770" spans="1:21" x14ac:dyDescent="0.25">
      <c r="A770" s="31" t="str">
        <f>IF(Table!A770 = "","",Table!A770)</f>
        <v/>
      </c>
      <c r="B770" s="31" t="str">
        <f>IF(Table!B770 = "","",Table!B770)</f>
        <v/>
      </c>
      <c r="C770" s="31" t="str">
        <f>IF(Table!C770 = "","",Table!C770)</f>
        <v/>
      </c>
      <c r="D770" s="32" t="str">
        <f>IF(Table!D770 = "","",Table!D770)</f>
        <v/>
      </c>
      <c r="E770" s="32" t="str">
        <f>IF(Table!E770 = "","",Table!E770)</f>
        <v/>
      </c>
      <c r="F770" s="32" t="str">
        <f>IF(Table!F770 = "","",Table!F770)</f>
        <v/>
      </c>
      <c r="G770" s="91"/>
      <c r="I770" s="84" t="str">
        <f>IFERROR(VLOOKUP(A770,Downlink!A:L,12,TRUE),"")</f>
        <v/>
      </c>
      <c r="K770" s="31" t="str">
        <f>IFERROR(VLOOKUP(A770,Table!$I$4:$O$3000,1,TRUE),"")</f>
        <v/>
      </c>
      <c r="L770" s="31" t="str">
        <f>IFERROR(INDEX(Table!I:O,MATCH(K770,Table!I:I,0),2),"")</f>
        <v/>
      </c>
      <c r="M770" s="31" t="str">
        <f>IFERROR(INDEX(Table!I:O,MATCH(K770,Table!I:I,0),3),"")</f>
        <v/>
      </c>
      <c r="N770" s="32" t="str">
        <f>IFERROR(INDEX(Table!I:O,MATCH(K770,Table!I:I,0),4),"")</f>
        <v/>
      </c>
      <c r="O770" s="32" t="str">
        <f>IFERROR(INDEX(Table!I:O,MATCH(K770,Table!I:I,0),5),"")</f>
        <v/>
      </c>
      <c r="P770" s="32" t="str">
        <f>IFERROR(INDEX(Table!I:O,MATCH(K770,Table!I:I,0),6),"")</f>
        <v/>
      </c>
      <c r="Q770" s="89" t="str">
        <f t="shared" si="33"/>
        <v/>
      </c>
      <c r="R770" s="89" t="str">
        <f t="shared" si="34"/>
        <v/>
      </c>
      <c r="S770" s="82"/>
      <c r="U770" s="37" t="e">
        <f t="shared" si="35"/>
        <v>#VALUE!</v>
      </c>
    </row>
    <row r="771" spans="1:21" x14ac:dyDescent="0.25">
      <c r="A771" s="31" t="str">
        <f>IF(Table!A771 = "","",Table!A771)</f>
        <v/>
      </c>
      <c r="B771" s="31" t="str">
        <f>IF(Table!B771 = "","",Table!B771)</f>
        <v/>
      </c>
      <c r="C771" s="31" t="str">
        <f>IF(Table!C771 = "","",Table!C771)</f>
        <v/>
      </c>
      <c r="D771" s="32" t="str">
        <f>IF(Table!D771 = "","",Table!D771)</f>
        <v/>
      </c>
      <c r="E771" s="32" t="str">
        <f>IF(Table!E771 = "","",Table!E771)</f>
        <v/>
      </c>
      <c r="F771" s="32" t="str">
        <f>IF(Table!F771 = "","",Table!F771)</f>
        <v/>
      </c>
      <c r="G771" s="91"/>
      <c r="I771" s="84" t="str">
        <f>IFERROR(VLOOKUP(A771,Downlink!A:L,12,TRUE),"")</f>
        <v/>
      </c>
      <c r="K771" s="31" t="str">
        <f>IFERROR(VLOOKUP(A771,Table!$I$4:$O$3000,1,TRUE),"")</f>
        <v/>
      </c>
      <c r="L771" s="31" t="str">
        <f>IFERROR(INDEX(Table!I:O,MATCH(K771,Table!I:I,0),2),"")</f>
        <v/>
      </c>
      <c r="M771" s="31" t="str">
        <f>IFERROR(INDEX(Table!I:O,MATCH(K771,Table!I:I,0),3),"")</f>
        <v/>
      </c>
      <c r="N771" s="32" t="str">
        <f>IFERROR(INDEX(Table!I:O,MATCH(K771,Table!I:I,0),4),"")</f>
        <v/>
      </c>
      <c r="O771" s="32" t="str">
        <f>IFERROR(INDEX(Table!I:O,MATCH(K771,Table!I:I,0),5),"")</f>
        <v/>
      </c>
      <c r="P771" s="32" t="str">
        <f>IFERROR(INDEX(Table!I:O,MATCH(K771,Table!I:I,0),6),"")</f>
        <v/>
      </c>
      <c r="Q771" s="89" t="str">
        <f t="shared" si="33"/>
        <v/>
      </c>
      <c r="R771" s="89" t="str">
        <f t="shared" si="34"/>
        <v/>
      </c>
      <c r="S771" s="82"/>
      <c r="U771" s="37" t="e">
        <f t="shared" si="35"/>
        <v>#VALUE!</v>
      </c>
    </row>
    <row r="772" spans="1:21" x14ac:dyDescent="0.25">
      <c r="A772" s="31" t="str">
        <f>IF(Table!A772 = "","",Table!A772)</f>
        <v/>
      </c>
      <c r="B772" s="31" t="str">
        <f>IF(Table!B772 = "","",Table!B772)</f>
        <v/>
      </c>
      <c r="C772" s="31" t="str">
        <f>IF(Table!C772 = "","",Table!C772)</f>
        <v/>
      </c>
      <c r="D772" s="32" t="str">
        <f>IF(Table!D772 = "","",Table!D772)</f>
        <v/>
      </c>
      <c r="E772" s="32" t="str">
        <f>IF(Table!E772 = "","",Table!E772)</f>
        <v/>
      </c>
      <c r="F772" s="32" t="str">
        <f>IF(Table!F772 = "","",Table!F772)</f>
        <v/>
      </c>
      <c r="G772" s="91"/>
      <c r="I772" s="84" t="str">
        <f>IFERROR(VLOOKUP(A772,Downlink!A:L,12,TRUE),"")</f>
        <v/>
      </c>
      <c r="K772" s="31" t="str">
        <f>IFERROR(VLOOKUP(A772,Table!$I$4:$O$3000,1,TRUE),"")</f>
        <v/>
      </c>
      <c r="L772" s="31" t="str">
        <f>IFERROR(INDEX(Table!I:O,MATCH(K772,Table!I:I,0),2),"")</f>
        <v/>
      </c>
      <c r="M772" s="31" t="str">
        <f>IFERROR(INDEX(Table!I:O,MATCH(K772,Table!I:I,0),3),"")</f>
        <v/>
      </c>
      <c r="N772" s="32" t="str">
        <f>IFERROR(INDEX(Table!I:O,MATCH(K772,Table!I:I,0),4),"")</f>
        <v/>
      </c>
      <c r="O772" s="32" t="str">
        <f>IFERROR(INDEX(Table!I:O,MATCH(K772,Table!I:I,0),5),"")</f>
        <v/>
      </c>
      <c r="P772" s="32" t="str">
        <f>IFERROR(INDEX(Table!I:O,MATCH(K772,Table!I:I,0),6),"")</f>
        <v/>
      </c>
      <c r="Q772" s="89" t="str">
        <f t="shared" si="33"/>
        <v/>
      </c>
      <c r="R772" s="89" t="str">
        <f t="shared" si="34"/>
        <v/>
      </c>
      <c r="S772" s="82"/>
      <c r="U772" s="37" t="e">
        <f t="shared" si="35"/>
        <v>#VALUE!</v>
      </c>
    </row>
    <row r="773" spans="1:21" x14ac:dyDescent="0.25">
      <c r="A773" s="31" t="str">
        <f>IF(Table!A773 = "","",Table!A773)</f>
        <v/>
      </c>
      <c r="B773" s="31" t="str">
        <f>IF(Table!B773 = "","",Table!B773)</f>
        <v/>
      </c>
      <c r="C773" s="31" t="str">
        <f>IF(Table!C773 = "","",Table!C773)</f>
        <v/>
      </c>
      <c r="D773" s="32" t="str">
        <f>IF(Table!D773 = "","",Table!D773)</f>
        <v/>
      </c>
      <c r="E773" s="32" t="str">
        <f>IF(Table!E773 = "","",Table!E773)</f>
        <v/>
      </c>
      <c r="F773" s="32" t="str">
        <f>IF(Table!F773 = "","",Table!F773)</f>
        <v/>
      </c>
      <c r="G773" s="91"/>
      <c r="I773" s="84" t="str">
        <f>IFERROR(VLOOKUP(A773,Downlink!A:L,12,TRUE),"")</f>
        <v/>
      </c>
      <c r="K773" s="31" t="str">
        <f>IFERROR(VLOOKUP(A773,Table!$I$4:$O$3000,1,TRUE),"")</f>
        <v/>
      </c>
      <c r="L773" s="31" t="str">
        <f>IFERROR(INDEX(Table!I:O,MATCH(K773,Table!I:I,0),2),"")</f>
        <v/>
      </c>
      <c r="M773" s="31" t="str">
        <f>IFERROR(INDEX(Table!I:O,MATCH(K773,Table!I:I,0),3),"")</f>
        <v/>
      </c>
      <c r="N773" s="32" t="str">
        <f>IFERROR(INDEX(Table!I:O,MATCH(K773,Table!I:I,0),4),"")</f>
        <v/>
      </c>
      <c r="O773" s="32" t="str">
        <f>IFERROR(INDEX(Table!I:O,MATCH(K773,Table!I:I,0),5),"")</f>
        <v/>
      </c>
      <c r="P773" s="32" t="str">
        <f>IFERROR(INDEX(Table!I:O,MATCH(K773,Table!I:I,0),6),"")</f>
        <v/>
      </c>
      <c r="Q773" s="89" t="str">
        <f t="shared" si="33"/>
        <v/>
      </c>
      <c r="R773" s="89" t="str">
        <f t="shared" si="34"/>
        <v/>
      </c>
      <c r="S773" s="82"/>
      <c r="U773" s="37" t="e">
        <f t="shared" si="35"/>
        <v>#VALUE!</v>
      </c>
    </row>
    <row r="774" spans="1:21" x14ac:dyDescent="0.25">
      <c r="A774" s="31" t="str">
        <f>IF(Table!A774 = "","",Table!A774)</f>
        <v/>
      </c>
      <c r="B774" s="31" t="str">
        <f>IF(Table!B774 = "","",Table!B774)</f>
        <v/>
      </c>
      <c r="C774" s="31" t="str">
        <f>IF(Table!C774 = "","",Table!C774)</f>
        <v/>
      </c>
      <c r="D774" s="32" t="str">
        <f>IF(Table!D774 = "","",Table!D774)</f>
        <v/>
      </c>
      <c r="E774" s="32" t="str">
        <f>IF(Table!E774 = "","",Table!E774)</f>
        <v/>
      </c>
      <c r="F774" s="32" t="str">
        <f>IF(Table!F774 = "","",Table!F774)</f>
        <v/>
      </c>
      <c r="G774" s="91"/>
      <c r="I774" s="84" t="str">
        <f>IFERROR(VLOOKUP(A774,Downlink!A:L,12,TRUE),"")</f>
        <v/>
      </c>
      <c r="K774" s="31" t="str">
        <f>IFERROR(VLOOKUP(A774,Table!$I$4:$O$3000,1,TRUE),"")</f>
        <v/>
      </c>
      <c r="L774" s="31" t="str">
        <f>IFERROR(INDEX(Table!I:O,MATCH(K774,Table!I:I,0),2),"")</f>
        <v/>
      </c>
      <c r="M774" s="31" t="str">
        <f>IFERROR(INDEX(Table!I:O,MATCH(K774,Table!I:I,0),3),"")</f>
        <v/>
      </c>
      <c r="N774" s="32" t="str">
        <f>IFERROR(INDEX(Table!I:O,MATCH(K774,Table!I:I,0),4),"")</f>
        <v/>
      </c>
      <c r="O774" s="32" t="str">
        <f>IFERROR(INDEX(Table!I:O,MATCH(K774,Table!I:I,0),5),"")</f>
        <v/>
      </c>
      <c r="P774" s="32" t="str">
        <f>IFERROR(INDEX(Table!I:O,MATCH(K774,Table!I:I,0),6),"")</f>
        <v/>
      </c>
      <c r="Q774" s="89" t="str">
        <f t="shared" ref="Q774:Q837" si="36">IFERROR(L774-B774,"")</f>
        <v/>
      </c>
      <c r="R774" s="89" t="str">
        <f t="shared" ref="R774:R837" si="37">IFERROR(M774-C774,"")</f>
        <v/>
      </c>
      <c r="S774" s="82"/>
      <c r="U774" s="37" t="e">
        <f t="shared" ref="U774:U837" si="38">K774-K773</f>
        <v>#VALUE!</v>
      </c>
    </row>
    <row r="775" spans="1:21" x14ac:dyDescent="0.25">
      <c r="A775" s="31" t="str">
        <f>IF(Table!A775 = "","",Table!A775)</f>
        <v/>
      </c>
      <c r="B775" s="31" t="str">
        <f>IF(Table!B775 = "","",Table!B775)</f>
        <v/>
      </c>
      <c r="C775" s="31" t="str">
        <f>IF(Table!C775 = "","",Table!C775)</f>
        <v/>
      </c>
      <c r="D775" s="32" t="str">
        <f>IF(Table!D775 = "","",Table!D775)</f>
        <v/>
      </c>
      <c r="E775" s="32" t="str">
        <f>IF(Table!E775 = "","",Table!E775)</f>
        <v/>
      </c>
      <c r="F775" s="32" t="str">
        <f>IF(Table!F775 = "","",Table!F775)</f>
        <v/>
      </c>
      <c r="G775" s="91"/>
      <c r="I775" s="84" t="str">
        <f>IFERROR(VLOOKUP(A775,Downlink!A:L,12,TRUE),"")</f>
        <v/>
      </c>
      <c r="K775" s="31" t="str">
        <f>IFERROR(VLOOKUP(A775,Table!$I$4:$O$3000,1,TRUE),"")</f>
        <v/>
      </c>
      <c r="L775" s="31" t="str">
        <f>IFERROR(INDEX(Table!I:O,MATCH(K775,Table!I:I,0),2),"")</f>
        <v/>
      </c>
      <c r="M775" s="31" t="str">
        <f>IFERROR(INDEX(Table!I:O,MATCH(K775,Table!I:I,0),3),"")</f>
        <v/>
      </c>
      <c r="N775" s="32" t="str">
        <f>IFERROR(INDEX(Table!I:O,MATCH(K775,Table!I:I,0),4),"")</f>
        <v/>
      </c>
      <c r="O775" s="32" t="str">
        <f>IFERROR(INDEX(Table!I:O,MATCH(K775,Table!I:I,0),5),"")</f>
        <v/>
      </c>
      <c r="P775" s="32" t="str">
        <f>IFERROR(INDEX(Table!I:O,MATCH(K775,Table!I:I,0),6),"")</f>
        <v/>
      </c>
      <c r="Q775" s="89" t="str">
        <f t="shared" si="36"/>
        <v/>
      </c>
      <c r="R775" s="89" t="str">
        <f t="shared" si="37"/>
        <v/>
      </c>
      <c r="S775" s="82"/>
      <c r="U775" s="37" t="e">
        <f t="shared" si="38"/>
        <v>#VALUE!</v>
      </c>
    </row>
    <row r="776" spans="1:21" x14ac:dyDescent="0.25">
      <c r="A776" s="31" t="str">
        <f>IF(Table!A776 = "","",Table!A776)</f>
        <v/>
      </c>
      <c r="B776" s="31" t="str">
        <f>IF(Table!B776 = "","",Table!B776)</f>
        <v/>
      </c>
      <c r="C776" s="31" t="str">
        <f>IF(Table!C776 = "","",Table!C776)</f>
        <v/>
      </c>
      <c r="D776" s="32" t="str">
        <f>IF(Table!D776 = "","",Table!D776)</f>
        <v/>
      </c>
      <c r="E776" s="32" t="str">
        <f>IF(Table!E776 = "","",Table!E776)</f>
        <v/>
      </c>
      <c r="F776" s="32" t="str">
        <f>IF(Table!F776 = "","",Table!F776)</f>
        <v/>
      </c>
      <c r="G776" s="91"/>
      <c r="I776" s="84" t="str">
        <f>IFERROR(VLOOKUP(A776,Downlink!A:L,12,TRUE),"")</f>
        <v/>
      </c>
      <c r="K776" s="31" t="str">
        <f>IFERROR(VLOOKUP(A776,Table!$I$4:$O$3000,1,TRUE),"")</f>
        <v/>
      </c>
      <c r="L776" s="31" t="str">
        <f>IFERROR(INDEX(Table!I:O,MATCH(K776,Table!I:I,0),2),"")</f>
        <v/>
      </c>
      <c r="M776" s="31" t="str">
        <f>IFERROR(INDEX(Table!I:O,MATCH(K776,Table!I:I,0),3),"")</f>
        <v/>
      </c>
      <c r="N776" s="32" t="str">
        <f>IFERROR(INDEX(Table!I:O,MATCH(K776,Table!I:I,0),4),"")</f>
        <v/>
      </c>
      <c r="O776" s="32" t="str">
        <f>IFERROR(INDEX(Table!I:O,MATCH(K776,Table!I:I,0),5),"")</f>
        <v/>
      </c>
      <c r="P776" s="32" t="str">
        <f>IFERROR(INDEX(Table!I:O,MATCH(K776,Table!I:I,0),6),"")</f>
        <v/>
      </c>
      <c r="Q776" s="89" t="str">
        <f t="shared" si="36"/>
        <v/>
      </c>
      <c r="R776" s="89" t="str">
        <f t="shared" si="37"/>
        <v/>
      </c>
      <c r="S776" s="82"/>
      <c r="U776" s="37" t="e">
        <f t="shared" si="38"/>
        <v>#VALUE!</v>
      </c>
    </row>
    <row r="777" spans="1:21" x14ac:dyDescent="0.25">
      <c r="A777" s="31" t="str">
        <f>IF(Table!A777 = "","",Table!A777)</f>
        <v/>
      </c>
      <c r="B777" s="31" t="str">
        <f>IF(Table!B777 = "","",Table!B777)</f>
        <v/>
      </c>
      <c r="C777" s="31" t="str">
        <f>IF(Table!C777 = "","",Table!C777)</f>
        <v/>
      </c>
      <c r="D777" s="32" t="str">
        <f>IF(Table!D777 = "","",Table!D777)</f>
        <v/>
      </c>
      <c r="E777" s="32" t="str">
        <f>IF(Table!E777 = "","",Table!E777)</f>
        <v/>
      </c>
      <c r="F777" s="32" t="str">
        <f>IF(Table!F777 = "","",Table!F777)</f>
        <v/>
      </c>
      <c r="G777" s="91"/>
      <c r="I777" s="84" t="str">
        <f>IFERROR(VLOOKUP(A777,Downlink!A:L,12,TRUE),"")</f>
        <v/>
      </c>
      <c r="K777" s="31" t="str">
        <f>IFERROR(VLOOKUP(A777,Table!$I$4:$O$3000,1,TRUE),"")</f>
        <v/>
      </c>
      <c r="L777" s="31" t="str">
        <f>IFERROR(INDEX(Table!I:O,MATCH(K777,Table!I:I,0),2),"")</f>
        <v/>
      </c>
      <c r="M777" s="31" t="str">
        <f>IFERROR(INDEX(Table!I:O,MATCH(K777,Table!I:I,0),3),"")</f>
        <v/>
      </c>
      <c r="N777" s="32" t="str">
        <f>IFERROR(INDEX(Table!I:O,MATCH(K777,Table!I:I,0),4),"")</f>
        <v/>
      </c>
      <c r="O777" s="32" t="str">
        <f>IFERROR(INDEX(Table!I:O,MATCH(K777,Table!I:I,0),5),"")</f>
        <v/>
      </c>
      <c r="P777" s="32" t="str">
        <f>IFERROR(INDEX(Table!I:O,MATCH(K777,Table!I:I,0),6),"")</f>
        <v/>
      </c>
      <c r="Q777" s="89" t="str">
        <f t="shared" si="36"/>
        <v/>
      </c>
      <c r="R777" s="89" t="str">
        <f t="shared" si="37"/>
        <v/>
      </c>
      <c r="S777" s="82"/>
      <c r="U777" s="37" t="e">
        <f t="shared" si="38"/>
        <v>#VALUE!</v>
      </c>
    </row>
    <row r="778" spans="1:21" x14ac:dyDescent="0.25">
      <c r="A778" s="31" t="str">
        <f>IF(Table!A778 = "","",Table!A778)</f>
        <v/>
      </c>
      <c r="B778" s="31" t="str">
        <f>IF(Table!B778 = "","",Table!B778)</f>
        <v/>
      </c>
      <c r="C778" s="31" t="str">
        <f>IF(Table!C778 = "","",Table!C778)</f>
        <v/>
      </c>
      <c r="D778" s="32" t="str">
        <f>IF(Table!D778 = "","",Table!D778)</f>
        <v/>
      </c>
      <c r="E778" s="32" t="str">
        <f>IF(Table!E778 = "","",Table!E778)</f>
        <v/>
      </c>
      <c r="F778" s="32" t="str">
        <f>IF(Table!F778 = "","",Table!F778)</f>
        <v/>
      </c>
      <c r="G778" s="91"/>
      <c r="I778" s="84" t="str">
        <f>IFERROR(VLOOKUP(A778,Downlink!A:L,12,TRUE),"")</f>
        <v/>
      </c>
      <c r="K778" s="31" t="str">
        <f>IFERROR(VLOOKUP(A778,Table!$I$4:$O$3000,1,TRUE),"")</f>
        <v/>
      </c>
      <c r="L778" s="31" t="str">
        <f>IFERROR(INDEX(Table!I:O,MATCH(K778,Table!I:I,0),2),"")</f>
        <v/>
      </c>
      <c r="M778" s="31" t="str">
        <f>IFERROR(INDEX(Table!I:O,MATCH(K778,Table!I:I,0),3),"")</f>
        <v/>
      </c>
      <c r="N778" s="32" t="str">
        <f>IFERROR(INDEX(Table!I:O,MATCH(K778,Table!I:I,0),4),"")</f>
        <v/>
      </c>
      <c r="O778" s="32" t="str">
        <f>IFERROR(INDEX(Table!I:O,MATCH(K778,Table!I:I,0),5),"")</f>
        <v/>
      </c>
      <c r="P778" s="32" t="str">
        <f>IFERROR(INDEX(Table!I:O,MATCH(K778,Table!I:I,0),6),"")</f>
        <v/>
      </c>
      <c r="Q778" s="89" t="str">
        <f t="shared" si="36"/>
        <v/>
      </c>
      <c r="R778" s="89" t="str">
        <f t="shared" si="37"/>
        <v/>
      </c>
      <c r="S778" s="82"/>
      <c r="U778" s="37" t="e">
        <f t="shared" si="38"/>
        <v>#VALUE!</v>
      </c>
    </row>
    <row r="779" spans="1:21" x14ac:dyDescent="0.25">
      <c r="A779" s="31" t="str">
        <f>IF(Table!A779 = "","",Table!A779)</f>
        <v/>
      </c>
      <c r="B779" s="31" t="str">
        <f>IF(Table!B779 = "","",Table!B779)</f>
        <v/>
      </c>
      <c r="C779" s="31" t="str">
        <f>IF(Table!C779 = "","",Table!C779)</f>
        <v/>
      </c>
      <c r="D779" s="32" t="str">
        <f>IF(Table!D779 = "","",Table!D779)</f>
        <v/>
      </c>
      <c r="E779" s="32" t="str">
        <f>IF(Table!E779 = "","",Table!E779)</f>
        <v/>
      </c>
      <c r="F779" s="32" t="str">
        <f>IF(Table!F779 = "","",Table!F779)</f>
        <v/>
      </c>
      <c r="G779" s="91"/>
      <c r="I779" s="84" t="str">
        <f>IFERROR(VLOOKUP(A779,Downlink!A:L,12,TRUE),"")</f>
        <v/>
      </c>
      <c r="K779" s="31" t="str">
        <f>IFERROR(VLOOKUP(A779,Table!$I$4:$O$3000,1,TRUE),"")</f>
        <v/>
      </c>
      <c r="L779" s="31" t="str">
        <f>IFERROR(INDEX(Table!I:O,MATCH(K779,Table!I:I,0),2),"")</f>
        <v/>
      </c>
      <c r="M779" s="31" t="str">
        <f>IFERROR(INDEX(Table!I:O,MATCH(K779,Table!I:I,0),3),"")</f>
        <v/>
      </c>
      <c r="N779" s="32" t="str">
        <f>IFERROR(INDEX(Table!I:O,MATCH(K779,Table!I:I,0),4),"")</f>
        <v/>
      </c>
      <c r="O779" s="32" t="str">
        <f>IFERROR(INDEX(Table!I:O,MATCH(K779,Table!I:I,0),5),"")</f>
        <v/>
      </c>
      <c r="P779" s="32" t="str">
        <f>IFERROR(INDEX(Table!I:O,MATCH(K779,Table!I:I,0),6),"")</f>
        <v/>
      </c>
      <c r="Q779" s="89" t="str">
        <f t="shared" si="36"/>
        <v/>
      </c>
      <c r="R779" s="89" t="str">
        <f t="shared" si="37"/>
        <v/>
      </c>
      <c r="S779" s="82"/>
      <c r="U779" s="37" t="e">
        <f t="shared" si="38"/>
        <v>#VALUE!</v>
      </c>
    </row>
    <row r="780" spans="1:21" x14ac:dyDescent="0.25">
      <c r="A780" s="31" t="str">
        <f>IF(Table!A780 = "","",Table!A780)</f>
        <v/>
      </c>
      <c r="B780" s="31" t="str">
        <f>IF(Table!B780 = "","",Table!B780)</f>
        <v/>
      </c>
      <c r="C780" s="31" t="str">
        <f>IF(Table!C780 = "","",Table!C780)</f>
        <v/>
      </c>
      <c r="D780" s="32" t="str">
        <f>IF(Table!D780 = "","",Table!D780)</f>
        <v/>
      </c>
      <c r="E780" s="32" t="str">
        <f>IF(Table!E780 = "","",Table!E780)</f>
        <v/>
      </c>
      <c r="F780" s="32" t="str">
        <f>IF(Table!F780 = "","",Table!F780)</f>
        <v/>
      </c>
      <c r="G780" s="91"/>
      <c r="I780" s="84" t="str">
        <f>IFERROR(VLOOKUP(A780,Downlink!A:L,12,TRUE),"")</f>
        <v/>
      </c>
      <c r="K780" s="31" t="str">
        <f>IFERROR(VLOOKUP(A780,Table!$I$4:$O$3000,1,TRUE),"")</f>
        <v/>
      </c>
      <c r="L780" s="31" t="str">
        <f>IFERROR(INDEX(Table!I:O,MATCH(K780,Table!I:I,0),2),"")</f>
        <v/>
      </c>
      <c r="M780" s="31" t="str">
        <f>IFERROR(INDEX(Table!I:O,MATCH(K780,Table!I:I,0),3),"")</f>
        <v/>
      </c>
      <c r="N780" s="32" t="str">
        <f>IFERROR(INDEX(Table!I:O,MATCH(K780,Table!I:I,0),4),"")</f>
        <v/>
      </c>
      <c r="O780" s="32" t="str">
        <f>IFERROR(INDEX(Table!I:O,MATCH(K780,Table!I:I,0),5),"")</f>
        <v/>
      </c>
      <c r="P780" s="32" t="str">
        <f>IFERROR(INDEX(Table!I:O,MATCH(K780,Table!I:I,0),6),"")</f>
        <v/>
      </c>
      <c r="Q780" s="89" t="str">
        <f t="shared" si="36"/>
        <v/>
      </c>
      <c r="R780" s="89" t="str">
        <f t="shared" si="37"/>
        <v/>
      </c>
      <c r="S780" s="82"/>
      <c r="U780" s="37" t="e">
        <f t="shared" si="38"/>
        <v>#VALUE!</v>
      </c>
    </row>
    <row r="781" spans="1:21" x14ac:dyDescent="0.25">
      <c r="A781" s="31" t="str">
        <f>IF(Table!A781 = "","",Table!A781)</f>
        <v/>
      </c>
      <c r="B781" s="31" t="str">
        <f>IF(Table!B781 = "","",Table!B781)</f>
        <v/>
      </c>
      <c r="C781" s="31" t="str">
        <f>IF(Table!C781 = "","",Table!C781)</f>
        <v/>
      </c>
      <c r="D781" s="32" t="str">
        <f>IF(Table!D781 = "","",Table!D781)</f>
        <v/>
      </c>
      <c r="E781" s="32" t="str">
        <f>IF(Table!E781 = "","",Table!E781)</f>
        <v/>
      </c>
      <c r="F781" s="32" t="str">
        <f>IF(Table!F781 = "","",Table!F781)</f>
        <v/>
      </c>
      <c r="G781" s="91"/>
      <c r="I781" s="84" t="str">
        <f>IFERROR(VLOOKUP(A781,Downlink!A:L,12,TRUE),"")</f>
        <v/>
      </c>
      <c r="K781" s="31" t="str">
        <f>IFERROR(VLOOKUP(A781,Table!$I$4:$O$3000,1,TRUE),"")</f>
        <v/>
      </c>
      <c r="L781" s="31" t="str">
        <f>IFERROR(INDEX(Table!I:O,MATCH(K781,Table!I:I,0),2),"")</f>
        <v/>
      </c>
      <c r="M781" s="31" t="str">
        <f>IFERROR(INDEX(Table!I:O,MATCH(K781,Table!I:I,0),3),"")</f>
        <v/>
      </c>
      <c r="N781" s="32" t="str">
        <f>IFERROR(INDEX(Table!I:O,MATCH(K781,Table!I:I,0),4),"")</f>
        <v/>
      </c>
      <c r="O781" s="32" t="str">
        <f>IFERROR(INDEX(Table!I:O,MATCH(K781,Table!I:I,0),5),"")</f>
        <v/>
      </c>
      <c r="P781" s="32" t="str">
        <f>IFERROR(INDEX(Table!I:O,MATCH(K781,Table!I:I,0),6),"")</f>
        <v/>
      </c>
      <c r="Q781" s="89" t="str">
        <f t="shared" si="36"/>
        <v/>
      </c>
      <c r="R781" s="89" t="str">
        <f t="shared" si="37"/>
        <v/>
      </c>
      <c r="S781" s="82"/>
      <c r="U781" s="37" t="e">
        <f t="shared" si="38"/>
        <v>#VALUE!</v>
      </c>
    </row>
    <row r="782" spans="1:21" x14ac:dyDescent="0.25">
      <c r="A782" s="31" t="str">
        <f>IF(Table!A782 = "","",Table!A782)</f>
        <v/>
      </c>
      <c r="B782" s="31" t="str">
        <f>IF(Table!B782 = "","",Table!B782)</f>
        <v/>
      </c>
      <c r="C782" s="31" t="str">
        <f>IF(Table!C782 = "","",Table!C782)</f>
        <v/>
      </c>
      <c r="D782" s="32" t="str">
        <f>IF(Table!D782 = "","",Table!D782)</f>
        <v/>
      </c>
      <c r="E782" s="32" t="str">
        <f>IF(Table!E782 = "","",Table!E782)</f>
        <v/>
      </c>
      <c r="F782" s="32" t="str">
        <f>IF(Table!F782 = "","",Table!F782)</f>
        <v/>
      </c>
      <c r="G782" s="91"/>
      <c r="I782" s="84" t="str">
        <f>IFERROR(VLOOKUP(A782,Downlink!A:L,12,TRUE),"")</f>
        <v/>
      </c>
      <c r="K782" s="31" t="str">
        <f>IFERROR(VLOOKUP(A782,Table!$I$4:$O$3000,1,TRUE),"")</f>
        <v/>
      </c>
      <c r="L782" s="31" t="str">
        <f>IFERROR(INDEX(Table!I:O,MATCH(K782,Table!I:I,0),2),"")</f>
        <v/>
      </c>
      <c r="M782" s="31" t="str">
        <f>IFERROR(INDEX(Table!I:O,MATCH(K782,Table!I:I,0),3),"")</f>
        <v/>
      </c>
      <c r="N782" s="32" t="str">
        <f>IFERROR(INDEX(Table!I:O,MATCH(K782,Table!I:I,0),4),"")</f>
        <v/>
      </c>
      <c r="O782" s="32" t="str">
        <f>IFERROR(INDEX(Table!I:O,MATCH(K782,Table!I:I,0),5),"")</f>
        <v/>
      </c>
      <c r="P782" s="32" t="str">
        <f>IFERROR(INDEX(Table!I:O,MATCH(K782,Table!I:I,0),6),"")</f>
        <v/>
      </c>
      <c r="Q782" s="89" t="str">
        <f t="shared" si="36"/>
        <v/>
      </c>
      <c r="R782" s="89" t="str">
        <f t="shared" si="37"/>
        <v/>
      </c>
      <c r="S782" s="82"/>
      <c r="U782" s="37" t="e">
        <f t="shared" si="38"/>
        <v>#VALUE!</v>
      </c>
    </row>
    <row r="783" spans="1:21" x14ac:dyDescent="0.25">
      <c r="A783" s="31" t="str">
        <f>IF(Table!A783 = "","",Table!A783)</f>
        <v/>
      </c>
      <c r="B783" s="31" t="str">
        <f>IF(Table!B783 = "","",Table!B783)</f>
        <v/>
      </c>
      <c r="C783" s="31" t="str">
        <f>IF(Table!C783 = "","",Table!C783)</f>
        <v/>
      </c>
      <c r="D783" s="32" t="str">
        <f>IF(Table!D783 = "","",Table!D783)</f>
        <v/>
      </c>
      <c r="E783" s="32" t="str">
        <f>IF(Table!E783 = "","",Table!E783)</f>
        <v/>
      </c>
      <c r="F783" s="32" t="str">
        <f>IF(Table!F783 = "","",Table!F783)</f>
        <v/>
      </c>
      <c r="G783" s="91"/>
      <c r="I783" s="84" t="str">
        <f>IFERROR(VLOOKUP(A783,Downlink!A:L,12,TRUE),"")</f>
        <v/>
      </c>
      <c r="K783" s="31" t="str">
        <f>IFERROR(VLOOKUP(A783,Table!$I$4:$O$3000,1,TRUE),"")</f>
        <v/>
      </c>
      <c r="L783" s="31" t="str">
        <f>IFERROR(INDEX(Table!I:O,MATCH(K783,Table!I:I,0),2),"")</f>
        <v/>
      </c>
      <c r="M783" s="31" t="str">
        <f>IFERROR(INDEX(Table!I:O,MATCH(K783,Table!I:I,0),3),"")</f>
        <v/>
      </c>
      <c r="N783" s="32" t="str">
        <f>IFERROR(INDEX(Table!I:O,MATCH(K783,Table!I:I,0),4),"")</f>
        <v/>
      </c>
      <c r="O783" s="32" t="str">
        <f>IFERROR(INDEX(Table!I:O,MATCH(K783,Table!I:I,0),5),"")</f>
        <v/>
      </c>
      <c r="P783" s="32" t="str">
        <f>IFERROR(INDEX(Table!I:O,MATCH(K783,Table!I:I,0),6),"")</f>
        <v/>
      </c>
      <c r="Q783" s="89" t="str">
        <f t="shared" si="36"/>
        <v/>
      </c>
      <c r="R783" s="89" t="str">
        <f t="shared" si="37"/>
        <v/>
      </c>
      <c r="S783" s="82"/>
      <c r="U783" s="37" t="e">
        <f t="shared" si="38"/>
        <v>#VALUE!</v>
      </c>
    </row>
    <row r="784" spans="1:21" x14ac:dyDescent="0.25">
      <c r="A784" s="31" t="str">
        <f>IF(Table!A784 = "","",Table!A784)</f>
        <v/>
      </c>
      <c r="B784" s="31" t="str">
        <f>IF(Table!B784 = "","",Table!B784)</f>
        <v/>
      </c>
      <c r="C784" s="31" t="str">
        <f>IF(Table!C784 = "","",Table!C784)</f>
        <v/>
      </c>
      <c r="D784" s="32" t="str">
        <f>IF(Table!D784 = "","",Table!D784)</f>
        <v/>
      </c>
      <c r="E784" s="32" t="str">
        <f>IF(Table!E784 = "","",Table!E784)</f>
        <v/>
      </c>
      <c r="F784" s="32" t="str">
        <f>IF(Table!F784 = "","",Table!F784)</f>
        <v/>
      </c>
      <c r="G784" s="91"/>
      <c r="I784" s="84" t="str">
        <f>IFERROR(VLOOKUP(A784,Downlink!A:L,12,TRUE),"")</f>
        <v/>
      </c>
      <c r="K784" s="31" t="str">
        <f>IFERROR(VLOOKUP(A784,Table!$I$4:$O$3000,1,TRUE),"")</f>
        <v/>
      </c>
      <c r="L784" s="31" t="str">
        <f>IFERROR(INDEX(Table!I:O,MATCH(K784,Table!I:I,0),2),"")</f>
        <v/>
      </c>
      <c r="M784" s="31" t="str">
        <f>IFERROR(INDEX(Table!I:O,MATCH(K784,Table!I:I,0),3),"")</f>
        <v/>
      </c>
      <c r="N784" s="32" t="str">
        <f>IFERROR(INDEX(Table!I:O,MATCH(K784,Table!I:I,0),4),"")</f>
        <v/>
      </c>
      <c r="O784" s="32" t="str">
        <f>IFERROR(INDEX(Table!I:O,MATCH(K784,Table!I:I,0),5),"")</f>
        <v/>
      </c>
      <c r="P784" s="32" t="str">
        <f>IFERROR(INDEX(Table!I:O,MATCH(K784,Table!I:I,0),6),"")</f>
        <v/>
      </c>
      <c r="Q784" s="89" t="str">
        <f t="shared" si="36"/>
        <v/>
      </c>
      <c r="R784" s="89" t="str">
        <f t="shared" si="37"/>
        <v/>
      </c>
      <c r="S784" s="82"/>
      <c r="U784" s="37" t="e">
        <f t="shared" si="38"/>
        <v>#VALUE!</v>
      </c>
    </row>
    <row r="785" spans="1:21" x14ac:dyDescent="0.25">
      <c r="A785" s="31" t="str">
        <f>IF(Table!A785 = "","",Table!A785)</f>
        <v/>
      </c>
      <c r="B785" s="31" t="str">
        <f>IF(Table!B785 = "","",Table!B785)</f>
        <v/>
      </c>
      <c r="C785" s="31" t="str">
        <f>IF(Table!C785 = "","",Table!C785)</f>
        <v/>
      </c>
      <c r="D785" s="32" t="str">
        <f>IF(Table!D785 = "","",Table!D785)</f>
        <v/>
      </c>
      <c r="E785" s="32" t="str">
        <f>IF(Table!E785 = "","",Table!E785)</f>
        <v/>
      </c>
      <c r="F785" s="32" t="str">
        <f>IF(Table!F785 = "","",Table!F785)</f>
        <v/>
      </c>
      <c r="G785" s="91"/>
      <c r="I785" s="84" t="str">
        <f>IFERROR(VLOOKUP(A785,Downlink!A:L,12,TRUE),"")</f>
        <v/>
      </c>
      <c r="K785" s="31" t="str">
        <f>IFERROR(VLOOKUP(A785,Table!$I$4:$O$3000,1,TRUE),"")</f>
        <v/>
      </c>
      <c r="L785" s="31" t="str">
        <f>IFERROR(INDEX(Table!I:O,MATCH(K785,Table!I:I,0),2),"")</f>
        <v/>
      </c>
      <c r="M785" s="31" t="str">
        <f>IFERROR(INDEX(Table!I:O,MATCH(K785,Table!I:I,0),3),"")</f>
        <v/>
      </c>
      <c r="N785" s="32" t="str">
        <f>IFERROR(INDEX(Table!I:O,MATCH(K785,Table!I:I,0),4),"")</f>
        <v/>
      </c>
      <c r="O785" s="32" t="str">
        <f>IFERROR(INDEX(Table!I:O,MATCH(K785,Table!I:I,0),5),"")</f>
        <v/>
      </c>
      <c r="P785" s="32" t="str">
        <f>IFERROR(INDEX(Table!I:O,MATCH(K785,Table!I:I,0),6),"")</f>
        <v/>
      </c>
      <c r="Q785" s="89" t="str">
        <f t="shared" si="36"/>
        <v/>
      </c>
      <c r="R785" s="89" t="str">
        <f t="shared" si="37"/>
        <v/>
      </c>
      <c r="S785" s="82"/>
      <c r="U785" s="37" t="e">
        <f t="shared" si="38"/>
        <v>#VALUE!</v>
      </c>
    </row>
    <row r="786" spans="1:21" x14ac:dyDescent="0.25">
      <c r="A786" s="31" t="str">
        <f>IF(Table!A786 = "","",Table!A786)</f>
        <v/>
      </c>
      <c r="B786" s="31" t="str">
        <f>IF(Table!B786 = "","",Table!B786)</f>
        <v/>
      </c>
      <c r="C786" s="31" t="str">
        <f>IF(Table!C786 = "","",Table!C786)</f>
        <v/>
      </c>
      <c r="D786" s="32" t="str">
        <f>IF(Table!D786 = "","",Table!D786)</f>
        <v/>
      </c>
      <c r="E786" s="32" t="str">
        <f>IF(Table!E786 = "","",Table!E786)</f>
        <v/>
      </c>
      <c r="F786" s="32" t="str">
        <f>IF(Table!F786 = "","",Table!F786)</f>
        <v/>
      </c>
      <c r="G786" s="91"/>
      <c r="I786" s="84" t="str">
        <f>IFERROR(VLOOKUP(A786,Downlink!A:L,12,TRUE),"")</f>
        <v/>
      </c>
      <c r="K786" s="31" t="str">
        <f>IFERROR(VLOOKUP(A786,Table!$I$4:$O$3000,1,TRUE),"")</f>
        <v/>
      </c>
      <c r="L786" s="31" t="str">
        <f>IFERROR(INDEX(Table!I:O,MATCH(K786,Table!I:I,0),2),"")</f>
        <v/>
      </c>
      <c r="M786" s="31" t="str">
        <f>IFERROR(INDEX(Table!I:O,MATCH(K786,Table!I:I,0),3),"")</f>
        <v/>
      </c>
      <c r="N786" s="32" t="str">
        <f>IFERROR(INDEX(Table!I:O,MATCH(K786,Table!I:I,0),4),"")</f>
        <v/>
      </c>
      <c r="O786" s="32" t="str">
        <f>IFERROR(INDEX(Table!I:O,MATCH(K786,Table!I:I,0),5),"")</f>
        <v/>
      </c>
      <c r="P786" s="32" t="str">
        <f>IFERROR(INDEX(Table!I:O,MATCH(K786,Table!I:I,0),6),"")</f>
        <v/>
      </c>
      <c r="Q786" s="89" t="str">
        <f t="shared" si="36"/>
        <v/>
      </c>
      <c r="R786" s="89" t="str">
        <f t="shared" si="37"/>
        <v/>
      </c>
      <c r="S786" s="82"/>
      <c r="U786" s="37" t="e">
        <f t="shared" si="38"/>
        <v>#VALUE!</v>
      </c>
    </row>
    <row r="787" spans="1:21" x14ac:dyDescent="0.25">
      <c r="A787" s="31" t="str">
        <f>IF(Table!A787 = "","",Table!A787)</f>
        <v/>
      </c>
      <c r="B787" s="31" t="str">
        <f>IF(Table!B787 = "","",Table!B787)</f>
        <v/>
      </c>
      <c r="C787" s="31" t="str">
        <f>IF(Table!C787 = "","",Table!C787)</f>
        <v/>
      </c>
      <c r="D787" s="32" t="str">
        <f>IF(Table!D787 = "","",Table!D787)</f>
        <v/>
      </c>
      <c r="E787" s="32" t="str">
        <f>IF(Table!E787 = "","",Table!E787)</f>
        <v/>
      </c>
      <c r="F787" s="32" t="str">
        <f>IF(Table!F787 = "","",Table!F787)</f>
        <v/>
      </c>
      <c r="G787" s="91"/>
      <c r="I787" s="84" t="str">
        <f>IFERROR(VLOOKUP(A787,Downlink!A:L,12,TRUE),"")</f>
        <v/>
      </c>
      <c r="K787" s="31" t="str">
        <f>IFERROR(VLOOKUP(A787,Table!$I$4:$O$3000,1,TRUE),"")</f>
        <v/>
      </c>
      <c r="L787" s="31" t="str">
        <f>IFERROR(INDEX(Table!I:O,MATCH(K787,Table!I:I,0),2),"")</f>
        <v/>
      </c>
      <c r="M787" s="31" t="str">
        <f>IFERROR(INDEX(Table!I:O,MATCH(K787,Table!I:I,0),3),"")</f>
        <v/>
      </c>
      <c r="N787" s="32" t="str">
        <f>IFERROR(INDEX(Table!I:O,MATCH(K787,Table!I:I,0),4),"")</f>
        <v/>
      </c>
      <c r="O787" s="32" t="str">
        <f>IFERROR(INDEX(Table!I:O,MATCH(K787,Table!I:I,0),5),"")</f>
        <v/>
      </c>
      <c r="P787" s="32" t="str">
        <f>IFERROR(INDEX(Table!I:O,MATCH(K787,Table!I:I,0),6),"")</f>
        <v/>
      </c>
      <c r="Q787" s="89" t="str">
        <f t="shared" si="36"/>
        <v/>
      </c>
      <c r="R787" s="89" t="str">
        <f t="shared" si="37"/>
        <v/>
      </c>
      <c r="S787" s="82"/>
      <c r="U787" s="37" t="e">
        <f t="shared" si="38"/>
        <v>#VALUE!</v>
      </c>
    </row>
    <row r="788" spans="1:21" x14ac:dyDescent="0.25">
      <c r="A788" s="31" t="str">
        <f>IF(Table!A788 = "","",Table!A788)</f>
        <v/>
      </c>
      <c r="B788" s="31" t="str">
        <f>IF(Table!B788 = "","",Table!B788)</f>
        <v/>
      </c>
      <c r="C788" s="31" t="str">
        <f>IF(Table!C788 = "","",Table!C788)</f>
        <v/>
      </c>
      <c r="D788" s="32" t="str">
        <f>IF(Table!D788 = "","",Table!D788)</f>
        <v/>
      </c>
      <c r="E788" s="32" t="str">
        <f>IF(Table!E788 = "","",Table!E788)</f>
        <v/>
      </c>
      <c r="F788" s="32" t="str">
        <f>IF(Table!F788 = "","",Table!F788)</f>
        <v/>
      </c>
      <c r="G788" s="91"/>
      <c r="I788" s="84" t="str">
        <f>IFERROR(VLOOKUP(A788,Downlink!A:L,12,TRUE),"")</f>
        <v/>
      </c>
      <c r="K788" s="31" t="str">
        <f>IFERROR(VLOOKUP(A788,Table!$I$4:$O$3000,1,TRUE),"")</f>
        <v/>
      </c>
      <c r="L788" s="31" t="str">
        <f>IFERROR(INDEX(Table!I:O,MATCH(K788,Table!I:I,0),2),"")</f>
        <v/>
      </c>
      <c r="M788" s="31" t="str">
        <f>IFERROR(INDEX(Table!I:O,MATCH(K788,Table!I:I,0),3),"")</f>
        <v/>
      </c>
      <c r="N788" s="32" t="str">
        <f>IFERROR(INDEX(Table!I:O,MATCH(K788,Table!I:I,0),4),"")</f>
        <v/>
      </c>
      <c r="O788" s="32" t="str">
        <f>IFERROR(INDEX(Table!I:O,MATCH(K788,Table!I:I,0),5),"")</f>
        <v/>
      </c>
      <c r="P788" s="32" t="str">
        <f>IFERROR(INDEX(Table!I:O,MATCH(K788,Table!I:I,0),6),"")</f>
        <v/>
      </c>
      <c r="Q788" s="89" t="str">
        <f t="shared" si="36"/>
        <v/>
      </c>
      <c r="R788" s="89" t="str">
        <f t="shared" si="37"/>
        <v/>
      </c>
      <c r="S788" s="82"/>
      <c r="U788" s="37" t="e">
        <f t="shared" si="38"/>
        <v>#VALUE!</v>
      </c>
    </row>
    <row r="789" spans="1:21" x14ac:dyDescent="0.25">
      <c r="A789" s="31" t="str">
        <f>IF(Table!A789 = "","",Table!A789)</f>
        <v/>
      </c>
      <c r="B789" s="31" t="str">
        <f>IF(Table!B789 = "","",Table!B789)</f>
        <v/>
      </c>
      <c r="C789" s="31" t="str">
        <f>IF(Table!C789 = "","",Table!C789)</f>
        <v/>
      </c>
      <c r="D789" s="32" t="str">
        <f>IF(Table!D789 = "","",Table!D789)</f>
        <v/>
      </c>
      <c r="E789" s="32" t="str">
        <f>IF(Table!E789 = "","",Table!E789)</f>
        <v/>
      </c>
      <c r="F789" s="32" t="str">
        <f>IF(Table!F789 = "","",Table!F789)</f>
        <v/>
      </c>
      <c r="G789" s="91"/>
      <c r="I789" s="84" t="str">
        <f>IFERROR(VLOOKUP(A789,Downlink!A:L,12,TRUE),"")</f>
        <v/>
      </c>
      <c r="K789" s="31" t="str">
        <f>IFERROR(VLOOKUP(A789,Table!$I$4:$O$3000,1,TRUE),"")</f>
        <v/>
      </c>
      <c r="L789" s="31" t="str">
        <f>IFERROR(INDEX(Table!I:O,MATCH(K789,Table!I:I,0),2),"")</f>
        <v/>
      </c>
      <c r="M789" s="31" t="str">
        <f>IFERROR(INDEX(Table!I:O,MATCH(K789,Table!I:I,0),3),"")</f>
        <v/>
      </c>
      <c r="N789" s="32" t="str">
        <f>IFERROR(INDEX(Table!I:O,MATCH(K789,Table!I:I,0),4),"")</f>
        <v/>
      </c>
      <c r="O789" s="32" t="str">
        <f>IFERROR(INDEX(Table!I:O,MATCH(K789,Table!I:I,0),5),"")</f>
        <v/>
      </c>
      <c r="P789" s="32" t="str">
        <f>IFERROR(INDEX(Table!I:O,MATCH(K789,Table!I:I,0),6),"")</f>
        <v/>
      </c>
      <c r="Q789" s="89" t="str">
        <f t="shared" si="36"/>
        <v/>
      </c>
      <c r="R789" s="89" t="str">
        <f t="shared" si="37"/>
        <v/>
      </c>
      <c r="S789" s="82"/>
      <c r="U789" s="37" t="e">
        <f t="shared" si="38"/>
        <v>#VALUE!</v>
      </c>
    </row>
    <row r="790" spans="1:21" x14ac:dyDescent="0.25">
      <c r="A790" s="31" t="str">
        <f>IF(Table!A790 = "","",Table!A790)</f>
        <v/>
      </c>
      <c r="B790" s="31" t="str">
        <f>IF(Table!B790 = "","",Table!B790)</f>
        <v/>
      </c>
      <c r="C790" s="31" t="str">
        <f>IF(Table!C790 = "","",Table!C790)</f>
        <v/>
      </c>
      <c r="D790" s="32" t="str">
        <f>IF(Table!D790 = "","",Table!D790)</f>
        <v/>
      </c>
      <c r="E790" s="32" t="str">
        <f>IF(Table!E790 = "","",Table!E790)</f>
        <v/>
      </c>
      <c r="F790" s="32" t="str">
        <f>IF(Table!F790 = "","",Table!F790)</f>
        <v/>
      </c>
      <c r="G790" s="91"/>
      <c r="I790" s="84" t="str">
        <f>IFERROR(VLOOKUP(A790,Downlink!A:L,12,TRUE),"")</f>
        <v/>
      </c>
      <c r="K790" s="31" t="str">
        <f>IFERROR(VLOOKUP(A790,Table!$I$4:$O$3000,1,TRUE),"")</f>
        <v/>
      </c>
      <c r="L790" s="31" t="str">
        <f>IFERROR(INDEX(Table!I:O,MATCH(K790,Table!I:I,0),2),"")</f>
        <v/>
      </c>
      <c r="M790" s="31" t="str">
        <f>IFERROR(INDEX(Table!I:O,MATCH(K790,Table!I:I,0),3),"")</f>
        <v/>
      </c>
      <c r="N790" s="32" t="str">
        <f>IFERROR(INDEX(Table!I:O,MATCH(K790,Table!I:I,0),4),"")</f>
        <v/>
      </c>
      <c r="O790" s="32" t="str">
        <f>IFERROR(INDEX(Table!I:O,MATCH(K790,Table!I:I,0),5),"")</f>
        <v/>
      </c>
      <c r="P790" s="32" t="str">
        <f>IFERROR(INDEX(Table!I:O,MATCH(K790,Table!I:I,0),6),"")</f>
        <v/>
      </c>
      <c r="Q790" s="89" t="str">
        <f t="shared" si="36"/>
        <v/>
      </c>
      <c r="R790" s="89" t="str">
        <f t="shared" si="37"/>
        <v/>
      </c>
      <c r="S790" s="82"/>
      <c r="U790" s="37" t="e">
        <f t="shared" si="38"/>
        <v>#VALUE!</v>
      </c>
    </row>
    <row r="791" spans="1:21" x14ac:dyDescent="0.25">
      <c r="A791" s="31" t="str">
        <f>IF(Table!A791 = "","",Table!A791)</f>
        <v/>
      </c>
      <c r="B791" s="31" t="str">
        <f>IF(Table!B791 = "","",Table!B791)</f>
        <v/>
      </c>
      <c r="C791" s="31" t="str">
        <f>IF(Table!C791 = "","",Table!C791)</f>
        <v/>
      </c>
      <c r="D791" s="32" t="str">
        <f>IF(Table!D791 = "","",Table!D791)</f>
        <v/>
      </c>
      <c r="E791" s="32" t="str">
        <f>IF(Table!E791 = "","",Table!E791)</f>
        <v/>
      </c>
      <c r="F791" s="32" t="str">
        <f>IF(Table!F791 = "","",Table!F791)</f>
        <v/>
      </c>
      <c r="G791" s="91"/>
      <c r="I791" s="84" t="str">
        <f>IFERROR(VLOOKUP(A791,Downlink!A:L,12,TRUE),"")</f>
        <v/>
      </c>
      <c r="K791" s="31" t="str">
        <f>IFERROR(VLOOKUP(A791,Table!$I$4:$O$3000,1,TRUE),"")</f>
        <v/>
      </c>
      <c r="L791" s="31" t="str">
        <f>IFERROR(INDEX(Table!I:O,MATCH(K791,Table!I:I,0),2),"")</f>
        <v/>
      </c>
      <c r="M791" s="31" t="str">
        <f>IFERROR(INDEX(Table!I:O,MATCH(K791,Table!I:I,0),3),"")</f>
        <v/>
      </c>
      <c r="N791" s="32" t="str">
        <f>IFERROR(INDEX(Table!I:O,MATCH(K791,Table!I:I,0),4),"")</f>
        <v/>
      </c>
      <c r="O791" s="32" t="str">
        <f>IFERROR(INDEX(Table!I:O,MATCH(K791,Table!I:I,0),5),"")</f>
        <v/>
      </c>
      <c r="P791" s="32" t="str">
        <f>IFERROR(INDEX(Table!I:O,MATCH(K791,Table!I:I,0),6),"")</f>
        <v/>
      </c>
      <c r="Q791" s="89" t="str">
        <f t="shared" si="36"/>
        <v/>
      </c>
      <c r="R791" s="89" t="str">
        <f t="shared" si="37"/>
        <v/>
      </c>
      <c r="S791" s="82"/>
      <c r="U791" s="37" t="e">
        <f t="shared" si="38"/>
        <v>#VALUE!</v>
      </c>
    </row>
    <row r="792" spans="1:21" x14ac:dyDescent="0.25">
      <c r="A792" s="31" t="str">
        <f>IF(Table!A792 = "","",Table!A792)</f>
        <v/>
      </c>
      <c r="B792" s="31" t="str">
        <f>IF(Table!B792 = "","",Table!B792)</f>
        <v/>
      </c>
      <c r="C792" s="31" t="str">
        <f>IF(Table!C792 = "","",Table!C792)</f>
        <v/>
      </c>
      <c r="D792" s="32" t="str">
        <f>IF(Table!D792 = "","",Table!D792)</f>
        <v/>
      </c>
      <c r="E792" s="32" t="str">
        <f>IF(Table!E792 = "","",Table!E792)</f>
        <v/>
      </c>
      <c r="F792" s="32" t="str">
        <f>IF(Table!F792 = "","",Table!F792)</f>
        <v/>
      </c>
      <c r="G792" s="91"/>
      <c r="I792" s="84" t="str">
        <f>IFERROR(VLOOKUP(A792,Downlink!A:L,12,TRUE),"")</f>
        <v/>
      </c>
      <c r="K792" s="31" t="str">
        <f>IFERROR(VLOOKUP(A792,Table!$I$4:$O$3000,1,TRUE),"")</f>
        <v/>
      </c>
      <c r="L792" s="31" t="str">
        <f>IFERROR(INDEX(Table!I:O,MATCH(K792,Table!I:I,0),2),"")</f>
        <v/>
      </c>
      <c r="M792" s="31" t="str">
        <f>IFERROR(INDEX(Table!I:O,MATCH(K792,Table!I:I,0),3),"")</f>
        <v/>
      </c>
      <c r="N792" s="32" t="str">
        <f>IFERROR(INDEX(Table!I:O,MATCH(K792,Table!I:I,0),4),"")</f>
        <v/>
      </c>
      <c r="O792" s="32" t="str">
        <f>IFERROR(INDEX(Table!I:O,MATCH(K792,Table!I:I,0),5),"")</f>
        <v/>
      </c>
      <c r="P792" s="32" t="str">
        <f>IFERROR(INDEX(Table!I:O,MATCH(K792,Table!I:I,0),6),"")</f>
        <v/>
      </c>
      <c r="Q792" s="89" t="str">
        <f t="shared" si="36"/>
        <v/>
      </c>
      <c r="R792" s="89" t="str">
        <f t="shared" si="37"/>
        <v/>
      </c>
      <c r="S792" s="82"/>
      <c r="U792" s="37" t="e">
        <f t="shared" si="38"/>
        <v>#VALUE!</v>
      </c>
    </row>
    <row r="793" spans="1:21" x14ac:dyDescent="0.25">
      <c r="A793" s="31" t="str">
        <f>IF(Table!A793 = "","",Table!A793)</f>
        <v/>
      </c>
      <c r="B793" s="31" t="str">
        <f>IF(Table!B793 = "","",Table!B793)</f>
        <v/>
      </c>
      <c r="C793" s="31" t="str">
        <f>IF(Table!C793 = "","",Table!C793)</f>
        <v/>
      </c>
      <c r="D793" s="32" t="str">
        <f>IF(Table!D793 = "","",Table!D793)</f>
        <v/>
      </c>
      <c r="E793" s="32" t="str">
        <f>IF(Table!E793 = "","",Table!E793)</f>
        <v/>
      </c>
      <c r="F793" s="32" t="str">
        <f>IF(Table!F793 = "","",Table!F793)</f>
        <v/>
      </c>
      <c r="G793" s="91"/>
      <c r="I793" s="84" t="str">
        <f>IFERROR(VLOOKUP(A793,Downlink!A:L,12,TRUE),"")</f>
        <v/>
      </c>
      <c r="K793" s="31" t="str">
        <f>IFERROR(VLOOKUP(A793,Table!$I$4:$O$3000,1,TRUE),"")</f>
        <v/>
      </c>
      <c r="L793" s="31" t="str">
        <f>IFERROR(INDEX(Table!I:O,MATCH(K793,Table!I:I,0),2),"")</f>
        <v/>
      </c>
      <c r="M793" s="31" t="str">
        <f>IFERROR(INDEX(Table!I:O,MATCH(K793,Table!I:I,0),3),"")</f>
        <v/>
      </c>
      <c r="N793" s="32" t="str">
        <f>IFERROR(INDEX(Table!I:O,MATCH(K793,Table!I:I,0),4),"")</f>
        <v/>
      </c>
      <c r="O793" s="32" t="str">
        <f>IFERROR(INDEX(Table!I:O,MATCH(K793,Table!I:I,0),5),"")</f>
        <v/>
      </c>
      <c r="P793" s="32" t="str">
        <f>IFERROR(INDEX(Table!I:O,MATCH(K793,Table!I:I,0),6),"")</f>
        <v/>
      </c>
      <c r="Q793" s="89" t="str">
        <f t="shared" si="36"/>
        <v/>
      </c>
      <c r="R793" s="89" t="str">
        <f t="shared" si="37"/>
        <v/>
      </c>
      <c r="S793" s="82"/>
      <c r="U793" s="37" t="e">
        <f t="shared" si="38"/>
        <v>#VALUE!</v>
      </c>
    </row>
    <row r="794" spans="1:21" x14ac:dyDescent="0.25">
      <c r="A794" s="31" t="str">
        <f>IF(Table!A794 = "","",Table!A794)</f>
        <v/>
      </c>
      <c r="B794" s="31" t="str">
        <f>IF(Table!B794 = "","",Table!B794)</f>
        <v/>
      </c>
      <c r="C794" s="31" t="str">
        <f>IF(Table!C794 = "","",Table!C794)</f>
        <v/>
      </c>
      <c r="D794" s="32" t="str">
        <f>IF(Table!D794 = "","",Table!D794)</f>
        <v/>
      </c>
      <c r="E794" s="32" t="str">
        <f>IF(Table!E794 = "","",Table!E794)</f>
        <v/>
      </c>
      <c r="F794" s="32" t="str">
        <f>IF(Table!F794 = "","",Table!F794)</f>
        <v/>
      </c>
      <c r="G794" s="91"/>
      <c r="I794" s="84" t="str">
        <f>IFERROR(VLOOKUP(A794,Downlink!A:L,12,TRUE),"")</f>
        <v/>
      </c>
      <c r="K794" s="31" t="str">
        <f>IFERROR(VLOOKUP(A794,Table!$I$4:$O$3000,1,TRUE),"")</f>
        <v/>
      </c>
      <c r="L794" s="31" t="str">
        <f>IFERROR(INDEX(Table!I:O,MATCH(K794,Table!I:I,0),2),"")</f>
        <v/>
      </c>
      <c r="M794" s="31" t="str">
        <f>IFERROR(INDEX(Table!I:O,MATCH(K794,Table!I:I,0),3),"")</f>
        <v/>
      </c>
      <c r="N794" s="32" t="str">
        <f>IFERROR(INDEX(Table!I:O,MATCH(K794,Table!I:I,0),4),"")</f>
        <v/>
      </c>
      <c r="O794" s="32" t="str">
        <f>IFERROR(INDEX(Table!I:O,MATCH(K794,Table!I:I,0),5),"")</f>
        <v/>
      </c>
      <c r="P794" s="32" t="str">
        <f>IFERROR(INDEX(Table!I:O,MATCH(K794,Table!I:I,0),6),"")</f>
        <v/>
      </c>
      <c r="Q794" s="89" t="str">
        <f t="shared" si="36"/>
        <v/>
      </c>
      <c r="R794" s="89" t="str">
        <f t="shared" si="37"/>
        <v/>
      </c>
      <c r="S794" s="82"/>
      <c r="U794" s="37" t="e">
        <f t="shared" si="38"/>
        <v>#VALUE!</v>
      </c>
    </row>
    <row r="795" spans="1:21" x14ac:dyDescent="0.25">
      <c r="A795" s="31" t="str">
        <f>IF(Table!A795 = "","",Table!A795)</f>
        <v/>
      </c>
      <c r="B795" s="31" t="str">
        <f>IF(Table!B795 = "","",Table!B795)</f>
        <v/>
      </c>
      <c r="C795" s="31" t="str">
        <f>IF(Table!C795 = "","",Table!C795)</f>
        <v/>
      </c>
      <c r="D795" s="32" t="str">
        <f>IF(Table!D795 = "","",Table!D795)</f>
        <v/>
      </c>
      <c r="E795" s="32" t="str">
        <f>IF(Table!E795 = "","",Table!E795)</f>
        <v/>
      </c>
      <c r="F795" s="32" t="str">
        <f>IF(Table!F795 = "","",Table!F795)</f>
        <v/>
      </c>
      <c r="G795" s="91"/>
      <c r="I795" s="84" t="str">
        <f>IFERROR(VLOOKUP(A795,Downlink!A:L,12,TRUE),"")</f>
        <v/>
      </c>
      <c r="K795" s="31" t="str">
        <f>IFERROR(VLOOKUP(A795,Table!$I$4:$O$3000,1,TRUE),"")</f>
        <v/>
      </c>
      <c r="L795" s="31" t="str">
        <f>IFERROR(INDEX(Table!I:O,MATCH(K795,Table!I:I,0),2),"")</f>
        <v/>
      </c>
      <c r="M795" s="31" t="str">
        <f>IFERROR(INDEX(Table!I:O,MATCH(K795,Table!I:I,0),3),"")</f>
        <v/>
      </c>
      <c r="N795" s="32" t="str">
        <f>IFERROR(INDEX(Table!I:O,MATCH(K795,Table!I:I,0),4),"")</f>
        <v/>
      </c>
      <c r="O795" s="32" t="str">
        <f>IFERROR(INDEX(Table!I:O,MATCH(K795,Table!I:I,0),5),"")</f>
        <v/>
      </c>
      <c r="P795" s="32" t="str">
        <f>IFERROR(INDEX(Table!I:O,MATCH(K795,Table!I:I,0),6),"")</f>
        <v/>
      </c>
      <c r="Q795" s="89" t="str">
        <f t="shared" si="36"/>
        <v/>
      </c>
      <c r="R795" s="89" t="str">
        <f t="shared" si="37"/>
        <v/>
      </c>
      <c r="S795" s="82"/>
      <c r="U795" s="37" t="e">
        <f t="shared" si="38"/>
        <v>#VALUE!</v>
      </c>
    </row>
    <row r="796" spans="1:21" x14ac:dyDescent="0.25">
      <c r="A796" s="31" t="str">
        <f>IF(Table!A796 = "","",Table!A796)</f>
        <v/>
      </c>
      <c r="B796" s="31" t="str">
        <f>IF(Table!B796 = "","",Table!B796)</f>
        <v/>
      </c>
      <c r="C796" s="31" t="str">
        <f>IF(Table!C796 = "","",Table!C796)</f>
        <v/>
      </c>
      <c r="D796" s="32" t="str">
        <f>IF(Table!D796 = "","",Table!D796)</f>
        <v/>
      </c>
      <c r="E796" s="32" t="str">
        <f>IF(Table!E796 = "","",Table!E796)</f>
        <v/>
      </c>
      <c r="F796" s="32" t="str">
        <f>IF(Table!F796 = "","",Table!F796)</f>
        <v/>
      </c>
      <c r="G796" s="91"/>
      <c r="I796" s="84" t="str">
        <f>IFERROR(VLOOKUP(A796,Downlink!A:L,12,TRUE),"")</f>
        <v/>
      </c>
      <c r="K796" s="31" t="str">
        <f>IFERROR(VLOOKUP(A796,Table!$I$4:$O$3000,1,TRUE),"")</f>
        <v/>
      </c>
      <c r="L796" s="31" t="str">
        <f>IFERROR(INDEX(Table!I:O,MATCH(K796,Table!I:I,0),2),"")</f>
        <v/>
      </c>
      <c r="M796" s="31" t="str">
        <f>IFERROR(INDEX(Table!I:O,MATCH(K796,Table!I:I,0),3),"")</f>
        <v/>
      </c>
      <c r="N796" s="32" t="str">
        <f>IFERROR(INDEX(Table!I:O,MATCH(K796,Table!I:I,0),4),"")</f>
        <v/>
      </c>
      <c r="O796" s="32" t="str">
        <f>IFERROR(INDEX(Table!I:O,MATCH(K796,Table!I:I,0),5),"")</f>
        <v/>
      </c>
      <c r="P796" s="32" t="str">
        <f>IFERROR(INDEX(Table!I:O,MATCH(K796,Table!I:I,0),6),"")</f>
        <v/>
      </c>
      <c r="Q796" s="89" t="str">
        <f t="shared" si="36"/>
        <v/>
      </c>
      <c r="R796" s="89" t="str">
        <f t="shared" si="37"/>
        <v/>
      </c>
      <c r="S796" s="82"/>
      <c r="U796" s="37" t="e">
        <f t="shared" si="38"/>
        <v>#VALUE!</v>
      </c>
    </row>
    <row r="797" spans="1:21" x14ac:dyDescent="0.25">
      <c r="A797" s="31" t="str">
        <f>IF(Table!A797 = "","",Table!A797)</f>
        <v/>
      </c>
      <c r="B797" s="31" t="str">
        <f>IF(Table!B797 = "","",Table!B797)</f>
        <v/>
      </c>
      <c r="C797" s="31" t="str">
        <f>IF(Table!C797 = "","",Table!C797)</f>
        <v/>
      </c>
      <c r="D797" s="32" t="str">
        <f>IF(Table!D797 = "","",Table!D797)</f>
        <v/>
      </c>
      <c r="E797" s="32" t="str">
        <f>IF(Table!E797 = "","",Table!E797)</f>
        <v/>
      </c>
      <c r="F797" s="32" t="str">
        <f>IF(Table!F797 = "","",Table!F797)</f>
        <v/>
      </c>
      <c r="G797" s="91"/>
      <c r="I797" s="84" t="str">
        <f>IFERROR(VLOOKUP(A797,Downlink!A:L,12,TRUE),"")</f>
        <v/>
      </c>
      <c r="K797" s="31" t="str">
        <f>IFERROR(VLOOKUP(A797,Table!$I$4:$O$3000,1,TRUE),"")</f>
        <v/>
      </c>
      <c r="L797" s="31" t="str">
        <f>IFERROR(INDEX(Table!I:O,MATCH(K797,Table!I:I,0),2),"")</f>
        <v/>
      </c>
      <c r="M797" s="31" t="str">
        <f>IFERROR(INDEX(Table!I:O,MATCH(K797,Table!I:I,0),3),"")</f>
        <v/>
      </c>
      <c r="N797" s="32" t="str">
        <f>IFERROR(INDEX(Table!I:O,MATCH(K797,Table!I:I,0),4),"")</f>
        <v/>
      </c>
      <c r="O797" s="32" t="str">
        <f>IFERROR(INDEX(Table!I:O,MATCH(K797,Table!I:I,0),5),"")</f>
        <v/>
      </c>
      <c r="P797" s="32" t="str">
        <f>IFERROR(INDEX(Table!I:O,MATCH(K797,Table!I:I,0),6),"")</f>
        <v/>
      </c>
      <c r="Q797" s="89" t="str">
        <f t="shared" si="36"/>
        <v/>
      </c>
      <c r="R797" s="89" t="str">
        <f t="shared" si="37"/>
        <v/>
      </c>
      <c r="S797" s="82"/>
      <c r="U797" s="37" t="e">
        <f t="shared" si="38"/>
        <v>#VALUE!</v>
      </c>
    </row>
    <row r="798" spans="1:21" x14ac:dyDescent="0.25">
      <c r="A798" s="31" t="str">
        <f>IF(Table!A798 = "","",Table!A798)</f>
        <v/>
      </c>
      <c r="B798" s="31" t="str">
        <f>IF(Table!B798 = "","",Table!B798)</f>
        <v/>
      </c>
      <c r="C798" s="31" t="str">
        <f>IF(Table!C798 = "","",Table!C798)</f>
        <v/>
      </c>
      <c r="D798" s="32" t="str">
        <f>IF(Table!D798 = "","",Table!D798)</f>
        <v/>
      </c>
      <c r="E798" s="32" t="str">
        <f>IF(Table!E798 = "","",Table!E798)</f>
        <v/>
      </c>
      <c r="F798" s="32" t="str">
        <f>IF(Table!F798 = "","",Table!F798)</f>
        <v/>
      </c>
      <c r="G798" s="91"/>
      <c r="I798" s="84" t="str">
        <f>IFERROR(VLOOKUP(A798,Downlink!A:L,12,TRUE),"")</f>
        <v/>
      </c>
      <c r="K798" s="31" t="str">
        <f>IFERROR(VLOOKUP(A798,Table!$I$4:$O$3000,1,TRUE),"")</f>
        <v/>
      </c>
      <c r="L798" s="31" t="str">
        <f>IFERROR(INDEX(Table!I:O,MATCH(K798,Table!I:I,0),2),"")</f>
        <v/>
      </c>
      <c r="M798" s="31" t="str">
        <f>IFERROR(INDEX(Table!I:O,MATCH(K798,Table!I:I,0),3),"")</f>
        <v/>
      </c>
      <c r="N798" s="32" t="str">
        <f>IFERROR(INDEX(Table!I:O,MATCH(K798,Table!I:I,0),4),"")</f>
        <v/>
      </c>
      <c r="O798" s="32" t="str">
        <f>IFERROR(INDEX(Table!I:O,MATCH(K798,Table!I:I,0),5),"")</f>
        <v/>
      </c>
      <c r="P798" s="32" t="str">
        <f>IFERROR(INDEX(Table!I:O,MATCH(K798,Table!I:I,0),6),"")</f>
        <v/>
      </c>
      <c r="Q798" s="89" t="str">
        <f t="shared" si="36"/>
        <v/>
      </c>
      <c r="R798" s="89" t="str">
        <f t="shared" si="37"/>
        <v/>
      </c>
      <c r="S798" s="82"/>
      <c r="U798" s="37" t="e">
        <f t="shared" si="38"/>
        <v>#VALUE!</v>
      </c>
    </row>
    <row r="799" spans="1:21" x14ac:dyDescent="0.25">
      <c r="A799" s="31" t="str">
        <f>IF(Table!A799 = "","",Table!A799)</f>
        <v/>
      </c>
      <c r="B799" s="31" t="str">
        <f>IF(Table!B799 = "","",Table!B799)</f>
        <v/>
      </c>
      <c r="C799" s="31" t="str">
        <f>IF(Table!C799 = "","",Table!C799)</f>
        <v/>
      </c>
      <c r="D799" s="32" t="str">
        <f>IF(Table!D799 = "","",Table!D799)</f>
        <v/>
      </c>
      <c r="E799" s="32" t="str">
        <f>IF(Table!E799 = "","",Table!E799)</f>
        <v/>
      </c>
      <c r="F799" s="32" t="str">
        <f>IF(Table!F799 = "","",Table!F799)</f>
        <v/>
      </c>
      <c r="G799" s="91"/>
      <c r="I799" s="84" t="str">
        <f>IFERROR(VLOOKUP(A799,Downlink!A:L,12,TRUE),"")</f>
        <v/>
      </c>
      <c r="K799" s="31" t="str">
        <f>IFERROR(VLOOKUP(A799,Table!$I$4:$O$3000,1,TRUE),"")</f>
        <v/>
      </c>
      <c r="L799" s="31" t="str">
        <f>IFERROR(INDEX(Table!I:O,MATCH(K799,Table!I:I,0),2),"")</f>
        <v/>
      </c>
      <c r="M799" s="31" t="str">
        <f>IFERROR(INDEX(Table!I:O,MATCH(K799,Table!I:I,0),3),"")</f>
        <v/>
      </c>
      <c r="N799" s="32" t="str">
        <f>IFERROR(INDEX(Table!I:O,MATCH(K799,Table!I:I,0),4),"")</f>
        <v/>
      </c>
      <c r="O799" s="32" t="str">
        <f>IFERROR(INDEX(Table!I:O,MATCH(K799,Table!I:I,0),5),"")</f>
        <v/>
      </c>
      <c r="P799" s="32" t="str">
        <f>IFERROR(INDEX(Table!I:O,MATCH(K799,Table!I:I,0),6),"")</f>
        <v/>
      </c>
      <c r="Q799" s="89" t="str">
        <f t="shared" si="36"/>
        <v/>
      </c>
      <c r="R799" s="89" t="str">
        <f t="shared" si="37"/>
        <v/>
      </c>
      <c r="S799" s="82"/>
      <c r="U799" s="37" t="e">
        <f t="shared" si="38"/>
        <v>#VALUE!</v>
      </c>
    </row>
    <row r="800" spans="1:21" x14ac:dyDescent="0.25">
      <c r="A800" s="31" t="str">
        <f>IF(Table!A800 = "","",Table!A800)</f>
        <v/>
      </c>
      <c r="B800" s="31" t="str">
        <f>IF(Table!B800 = "","",Table!B800)</f>
        <v/>
      </c>
      <c r="C800" s="31" t="str">
        <f>IF(Table!C800 = "","",Table!C800)</f>
        <v/>
      </c>
      <c r="D800" s="32" t="str">
        <f>IF(Table!D800 = "","",Table!D800)</f>
        <v/>
      </c>
      <c r="E800" s="32" t="str">
        <f>IF(Table!E800 = "","",Table!E800)</f>
        <v/>
      </c>
      <c r="F800" s="32" t="str">
        <f>IF(Table!F800 = "","",Table!F800)</f>
        <v/>
      </c>
      <c r="G800" s="91"/>
      <c r="I800" s="84" t="str">
        <f>IFERROR(VLOOKUP(A800,Downlink!A:L,12,TRUE),"")</f>
        <v/>
      </c>
      <c r="K800" s="31" t="str">
        <f>IFERROR(VLOOKUP(A800,Table!$I$4:$O$3000,1,TRUE),"")</f>
        <v/>
      </c>
      <c r="L800" s="31" t="str">
        <f>IFERROR(INDEX(Table!I:O,MATCH(K800,Table!I:I,0),2),"")</f>
        <v/>
      </c>
      <c r="M800" s="31" t="str">
        <f>IFERROR(INDEX(Table!I:O,MATCH(K800,Table!I:I,0),3),"")</f>
        <v/>
      </c>
      <c r="N800" s="32" t="str">
        <f>IFERROR(INDEX(Table!I:O,MATCH(K800,Table!I:I,0),4),"")</f>
        <v/>
      </c>
      <c r="O800" s="32" t="str">
        <f>IFERROR(INDEX(Table!I:O,MATCH(K800,Table!I:I,0),5),"")</f>
        <v/>
      </c>
      <c r="P800" s="32" t="str">
        <f>IFERROR(INDEX(Table!I:O,MATCH(K800,Table!I:I,0),6),"")</f>
        <v/>
      </c>
      <c r="Q800" s="89" t="str">
        <f t="shared" si="36"/>
        <v/>
      </c>
      <c r="R800" s="89" t="str">
        <f t="shared" si="37"/>
        <v/>
      </c>
      <c r="S800" s="82"/>
      <c r="U800" s="37" t="e">
        <f t="shared" si="38"/>
        <v>#VALUE!</v>
      </c>
    </row>
    <row r="801" spans="1:21" x14ac:dyDescent="0.25">
      <c r="A801" s="31" t="str">
        <f>IF(Table!A801 = "","",Table!A801)</f>
        <v/>
      </c>
      <c r="B801" s="31" t="str">
        <f>IF(Table!B801 = "","",Table!B801)</f>
        <v/>
      </c>
      <c r="C801" s="31" t="str">
        <f>IF(Table!C801 = "","",Table!C801)</f>
        <v/>
      </c>
      <c r="D801" s="32" t="str">
        <f>IF(Table!D801 = "","",Table!D801)</f>
        <v/>
      </c>
      <c r="E801" s="32" t="str">
        <f>IF(Table!E801 = "","",Table!E801)</f>
        <v/>
      </c>
      <c r="F801" s="32" t="str">
        <f>IF(Table!F801 = "","",Table!F801)</f>
        <v/>
      </c>
      <c r="G801" s="91"/>
      <c r="I801" s="84" t="str">
        <f>IFERROR(VLOOKUP(A801,Downlink!A:L,12,TRUE),"")</f>
        <v/>
      </c>
      <c r="K801" s="31" t="str">
        <f>IFERROR(VLOOKUP(A801,Table!$I$4:$O$3000,1,TRUE),"")</f>
        <v/>
      </c>
      <c r="L801" s="31" t="str">
        <f>IFERROR(INDEX(Table!I:O,MATCH(K801,Table!I:I,0),2),"")</f>
        <v/>
      </c>
      <c r="M801" s="31" t="str">
        <f>IFERROR(INDEX(Table!I:O,MATCH(K801,Table!I:I,0),3),"")</f>
        <v/>
      </c>
      <c r="N801" s="32" t="str">
        <f>IFERROR(INDEX(Table!I:O,MATCH(K801,Table!I:I,0),4),"")</f>
        <v/>
      </c>
      <c r="O801" s="32" t="str">
        <f>IFERROR(INDEX(Table!I:O,MATCH(K801,Table!I:I,0),5),"")</f>
        <v/>
      </c>
      <c r="P801" s="32" t="str">
        <f>IFERROR(INDEX(Table!I:O,MATCH(K801,Table!I:I,0),6),"")</f>
        <v/>
      </c>
      <c r="Q801" s="89" t="str">
        <f t="shared" si="36"/>
        <v/>
      </c>
      <c r="R801" s="89" t="str">
        <f t="shared" si="37"/>
        <v/>
      </c>
      <c r="S801" s="82"/>
      <c r="U801" s="37" t="e">
        <f t="shared" si="38"/>
        <v>#VALUE!</v>
      </c>
    </row>
    <row r="802" spans="1:21" x14ac:dyDescent="0.25">
      <c r="A802" s="31" t="str">
        <f>IF(Table!A802 = "","",Table!A802)</f>
        <v/>
      </c>
      <c r="B802" s="31" t="str">
        <f>IF(Table!B802 = "","",Table!B802)</f>
        <v/>
      </c>
      <c r="C802" s="31" t="str">
        <f>IF(Table!C802 = "","",Table!C802)</f>
        <v/>
      </c>
      <c r="D802" s="32" t="str">
        <f>IF(Table!D802 = "","",Table!D802)</f>
        <v/>
      </c>
      <c r="E802" s="32" t="str">
        <f>IF(Table!E802 = "","",Table!E802)</f>
        <v/>
      </c>
      <c r="F802" s="32" t="str">
        <f>IF(Table!F802 = "","",Table!F802)</f>
        <v/>
      </c>
      <c r="G802" s="91"/>
      <c r="I802" s="84" t="str">
        <f>IFERROR(VLOOKUP(A802,Downlink!A:L,12,TRUE),"")</f>
        <v/>
      </c>
      <c r="K802" s="31" t="str">
        <f>IFERROR(VLOOKUP(A802,Table!$I$4:$O$3000,1,TRUE),"")</f>
        <v/>
      </c>
      <c r="L802" s="31" t="str">
        <f>IFERROR(INDEX(Table!I:O,MATCH(K802,Table!I:I,0),2),"")</f>
        <v/>
      </c>
      <c r="M802" s="31" t="str">
        <f>IFERROR(INDEX(Table!I:O,MATCH(K802,Table!I:I,0),3),"")</f>
        <v/>
      </c>
      <c r="N802" s="32" t="str">
        <f>IFERROR(INDEX(Table!I:O,MATCH(K802,Table!I:I,0),4),"")</f>
        <v/>
      </c>
      <c r="O802" s="32" t="str">
        <f>IFERROR(INDEX(Table!I:O,MATCH(K802,Table!I:I,0),5),"")</f>
        <v/>
      </c>
      <c r="P802" s="32" t="str">
        <f>IFERROR(INDEX(Table!I:O,MATCH(K802,Table!I:I,0),6),"")</f>
        <v/>
      </c>
      <c r="Q802" s="89" t="str">
        <f t="shared" si="36"/>
        <v/>
      </c>
      <c r="R802" s="89" t="str">
        <f t="shared" si="37"/>
        <v/>
      </c>
      <c r="S802" s="82"/>
      <c r="U802" s="37" t="e">
        <f t="shared" si="38"/>
        <v>#VALUE!</v>
      </c>
    </row>
    <row r="803" spans="1:21" x14ac:dyDescent="0.25">
      <c r="A803" s="31" t="str">
        <f>IF(Table!A803 = "","",Table!A803)</f>
        <v/>
      </c>
      <c r="B803" s="31" t="str">
        <f>IF(Table!B803 = "","",Table!B803)</f>
        <v/>
      </c>
      <c r="C803" s="31" t="str">
        <f>IF(Table!C803 = "","",Table!C803)</f>
        <v/>
      </c>
      <c r="D803" s="32" t="str">
        <f>IF(Table!D803 = "","",Table!D803)</f>
        <v/>
      </c>
      <c r="E803" s="32" t="str">
        <f>IF(Table!E803 = "","",Table!E803)</f>
        <v/>
      </c>
      <c r="F803" s="32" t="str">
        <f>IF(Table!F803 = "","",Table!F803)</f>
        <v/>
      </c>
      <c r="G803" s="91"/>
      <c r="I803" s="84" t="str">
        <f>IFERROR(VLOOKUP(A803,Downlink!A:L,12,TRUE),"")</f>
        <v/>
      </c>
      <c r="K803" s="31" t="str">
        <f>IFERROR(VLOOKUP(A803,Table!$I$4:$O$3000,1,TRUE),"")</f>
        <v/>
      </c>
      <c r="L803" s="31" t="str">
        <f>IFERROR(INDEX(Table!I:O,MATCH(K803,Table!I:I,0),2),"")</f>
        <v/>
      </c>
      <c r="M803" s="31" t="str">
        <f>IFERROR(INDEX(Table!I:O,MATCH(K803,Table!I:I,0),3),"")</f>
        <v/>
      </c>
      <c r="N803" s="32" t="str">
        <f>IFERROR(INDEX(Table!I:O,MATCH(K803,Table!I:I,0),4),"")</f>
        <v/>
      </c>
      <c r="O803" s="32" t="str">
        <f>IFERROR(INDEX(Table!I:O,MATCH(K803,Table!I:I,0),5),"")</f>
        <v/>
      </c>
      <c r="P803" s="32" t="str">
        <f>IFERROR(INDEX(Table!I:O,MATCH(K803,Table!I:I,0),6),"")</f>
        <v/>
      </c>
      <c r="Q803" s="89" t="str">
        <f t="shared" si="36"/>
        <v/>
      </c>
      <c r="R803" s="89" t="str">
        <f t="shared" si="37"/>
        <v/>
      </c>
      <c r="S803" s="82"/>
      <c r="U803" s="37" t="e">
        <f t="shared" si="38"/>
        <v>#VALUE!</v>
      </c>
    </row>
    <row r="804" spans="1:21" x14ac:dyDescent="0.25">
      <c r="A804" s="31" t="str">
        <f>IF(Table!A804 = "","",Table!A804)</f>
        <v/>
      </c>
      <c r="B804" s="31" t="str">
        <f>IF(Table!B804 = "","",Table!B804)</f>
        <v/>
      </c>
      <c r="C804" s="31" t="str">
        <f>IF(Table!C804 = "","",Table!C804)</f>
        <v/>
      </c>
      <c r="D804" s="32" t="str">
        <f>IF(Table!D804 = "","",Table!D804)</f>
        <v/>
      </c>
      <c r="E804" s="32" t="str">
        <f>IF(Table!E804 = "","",Table!E804)</f>
        <v/>
      </c>
      <c r="F804" s="32" t="str">
        <f>IF(Table!F804 = "","",Table!F804)</f>
        <v/>
      </c>
      <c r="G804" s="91"/>
      <c r="I804" s="84" t="str">
        <f>IFERROR(VLOOKUP(A804,Downlink!A:L,12,TRUE),"")</f>
        <v/>
      </c>
      <c r="K804" s="31" t="str">
        <f>IFERROR(VLOOKUP(A804,Table!$I$4:$O$3000,1,TRUE),"")</f>
        <v/>
      </c>
      <c r="L804" s="31" t="str">
        <f>IFERROR(INDEX(Table!I:O,MATCH(K804,Table!I:I,0),2),"")</f>
        <v/>
      </c>
      <c r="M804" s="31" t="str">
        <f>IFERROR(INDEX(Table!I:O,MATCH(K804,Table!I:I,0),3),"")</f>
        <v/>
      </c>
      <c r="N804" s="32" t="str">
        <f>IFERROR(INDEX(Table!I:O,MATCH(K804,Table!I:I,0),4),"")</f>
        <v/>
      </c>
      <c r="O804" s="32" t="str">
        <f>IFERROR(INDEX(Table!I:O,MATCH(K804,Table!I:I,0),5),"")</f>
        <v/>
      </c>
      <c r="P804" s="32" t="str">
        <f>IFERROR(INDEX(Table!I:O,MATCH(K804,Table!I:I,0),6),"")</f>
        <v/>
      </c>
      <c r="Q804" s="89" t="str">
        <f t="shared" si="36"/>
        <v/>
      </c>
      <c r="R804" s="89" t="str">
        <f t="shared" si="37"/>
        <v/>
      </c>
      <c r="S804" s="82"/>
      <c r="U804" s="37" t="e">
        <f t="shared" si="38"/>
        <v>#VALUE!</v>
      </c>
    </row>
    <row r="805" spans="1:21" x14ac:dyDescent="0.25">
      <c r="A805" s="31" t="str">
        <f>IF(Table!A805 = "","",Table!A805)</f>
        <v/>
      </c>
      <c r="B805" s="31" t="str">
        <f>IF(Table!B805 = "","",Table!B805)</f>
        <v/>
      </c>
      <c r="C805" s="31" t="str">
        <f>IF(Table!C805 = "","",Table!C805)</f>
        <v/>
      </c>
      <c r="D805" s="32" t="str">
        <f>IF(Table!D805 = "","",Table!D805)</f>
        <v/>
      </c>
      <c r="E805" s="32" t="str">
        <f>IF(Table!E805 = "","",Table!E805)</f>
        <v/>
      </c>
      <c r="F805" s="32" t="str">
        <f>IF(Table!F805 = "","",Table!F805)</f>
        <v/>
      </c>
      <c r="G805" s="91"/>
      <c r="I805" s="84" t="str">
        <f>IFERROR(VLOOKUP(A805,Downlink!A:L,12,TRUE),"")</f>
        <v/>
      </c>
      <c r="K805" s="31" t="str">
        <f>IFERROR(VLOOKUP(A805,Table!$I$4:$O$3000,1,TRUE),"")</f>
        <v/>
      </c>
      <c r="L805" s="31" t="str">
        <f>IFERROR(INDEX(Table!I:O,MATCH(K805,Table!I:I,0),2),"")</f>
        <v/>
      </c>
      <c r="M805" s="31" t="str">
        <f>IFERROR(INDEX(Table!I:O,MATCH(K805,Table!I:I,0),3),"")</f>
        <v/>
      </c>
      <c r="N805" s="32" t="str">
        <f>IFERROR(INDEX(Table!I:O,MATCH(K805,Table!I:I,0),4),"")</f>
        <v/>
      </c>
      <c r="O805" s="32" t="str">
        <f>IFERROR(INDEX(Table!I:O,MATCH(K805,Table!I:I,0),5),"")</f>
        <v/>
      </c>
      <c r="P805" s="32" t="str">
        <f>IFERROR(INDEX(Table!I:O,MATCH(K805,Table!I:I,0),6),"")</f>
        <v/>
      </c>
      <c r="Q805" s="89" t="str">
        <f t="shared" si="36"/>
        <v/>
      </c>
      <c r="R805" s="89" t="str">
        <f t="shared" si="37"/>
        <v/>
      </c>
      <c r="S805" s="82"/>
      <c r="U805" s="37" t="e">
        <f t="shared" si="38"/>
        <v>#VALUE!</v>
      </c>
    </row>
    <row r="806" spans="1:21" x14ac:dyDescent="0.25">
      <c r="A806" s="31" t="str">
        <f>IF(Table!A806 = "","",Table!A806)</f>
        <v/>
      </c>
      <c r="B806" s="31" t="str">
        <f>IF(Table!B806 = "","",Table!B806)</f>
        <v/>
      </c>
      <c r="C806" s="31" t="str">
        <f>IF(Table!C806 = "","",Table!C806)</f>
        <v/>
      </c>
      <c r="D806" s="32" t="str">
        <f>IF(Table!D806 = "","",Table!D806)</f>
        <v/>
      </c>
      <c r="E806" s="32" t="str">
        <f>IF(Table!E806 = "","",Table!E806)</f>
        <v/>
      </c>
      <c r="F806" s="32" t="str">
        <f>IF(Table!F806 = "","",Table!F806)</f>
        <v/>
      </c>
      <c r="G806" s="91"/>
      <c r="I806" s="84" t="str">
        <f>IFERROR(VLOOKUP(A806,Downlink!A:L,12,TRUE),"")</f>
        <v/>
      </c>
      <c r="K806" s="31" t="str">
        <f>IFERROR(VLOOKUP(A806,Table!$I$4:$O$3000,1,TRUE),"")</f>
        <v/>
      </c>
      <c r="L806" s="31" t="str">
        <f>IFERROR(INDEX(Table!I:O,MATCH(K806,Table!I:I,0),2),"")</f>
        <v/>
      </c>
      <c r="M806" s="31" t="str">
        <f>IFERROR(INDEX(Table!I:O,MATCH(K806,Table!I:I,0),3),"")</f>
        <v/>
      </c>
      <c r="N806" s="32" t="str">
        <f>IFERROR(INDEX(Table!I:O,MATCH(K806,Table!I:I,0),4),"")</f>
        <v/>
      </c>
      <c r="O806" s="32" t="str">
        <f>IFERROR(INDEX(Table!I:O,MATCH(K806,Table!I:I,0),5),"")</f>
        <v/>
      </c>
      <c r="P806" s="32" t="str">
        <f>IFERROR(INDEX(Table!I:O,MATCH(K806,Table!I:I,0),6),"")</f>
        <v/>
      </c>
      <c r="Q806" s="89" t="str">
        <f t="shared" si="36"/>
        <v/>
      </c>
      <c r="R806" s="89" t="str">
        <f t="shared" si="37"/>
        <v/>
      </c>
      <c r="S806" s="82"/>
      <c r="U806" s="37" t="e">
        <f t="shared" si="38"/>
        <v>#VALUE!</v>
      </c>
    </row>
    <row r="807" spans="1:21" x14ac:dyDescent="0.25">
      <c r="A807" s="31" t="str">
        <f>IF(Table!A807 = "","",Table!A807)</f>
        <v/>
      </c>
      <c r="B807" s="31" t="str">
        <f>IF(Table!B807 = "","",Table!B807)</f>
        <v/>
      </c>
      <c r="C807" s="31" t="str">
        <f>IF(Table!C807 = "","",Table!C807)</f>
        <v/>
      </c>
      <c r="D807" s="32" t="str">
        <f>IF(Table!D807 = "","",Table!D807)</f>
        <v/>
      </c>
      <c r="E807" s="32" t="str">
        <f>IF(Table!E807 = "","",Table!E807)</f>
        <v/>
      </c>
      <c r="F807" s="32" t="str">
        <f>IF(Table!F807 = "","",Table!F807)</f>
        <v/>
      </c>
      <c r="G807" s="91"/>
      <c r="I807" s="84" t="str">
        <f>IFERROR(VLOOKUP(A807,Downlink!A:L,12,TRUE),"")</f>
        <v/>
      </c>
      <c r="K807" s="31" t="str">
        <f>IFERROR(VLOOKUP(A807,Table!$I$4:$O$3000,1,TRUE),"")</f>
        <v/>
      </c>
      <c r="L807" s="31" t="str">
        <f>IFERROR(INDEX(Table!I:O,MATCH(K807,Table!I:I,0),2),"")</f>
        <v/>
      </c>
      <c r="M807" s="31" t="str">
        <f>IFERROR(INDEX(Table!I:O,MATCH(K807,Table!I:I,0),3),"")</f>
        <v/>
      </c>
      <c r="N807" s="32" t="str">
        <f>IFERROR(INDEX(Table!I:O,MATCH(K807,Table!I:I,0),4),"")</f>
        <v/>
      </c>
      <c r="O807" s="32" t="str">
        <f>IFERROR(INDEX(Table!I:O,MATCH(K807,Table!I:I,0),5),"")</f>
        <v/>
      </c>
      <c r="P807" s="32" t="str">
        <f>IFERROR(INDEX(Table!I:O,MATCH(K807,Table!I:I,0),6),"")</f>
        <v/>
      </c>
      <c r="Q807" s="89" t="str">
        <f t="shared" si="36"/>
        <v/>
      </c>
      <c r="R807" s="89" t="str">
        <f t="shared" si="37"/>
        <v/>
      </c>
      <c r="S807" s="82"/>
      <c r="U807" s="37" t="e">
        <f t="shared" si="38"/>
        <v>#VALUE!</v>
      </c>
    </row>
    <row r="808" spans="1:21" x14ac:dyDescent="0.25">
      <c r="A808" s="31" t="str">
        <f>IF(Table!A808 = "","",Table!A808)</f>
        <v/>
      </c>
      <c r="B808" s="31" t="str">
        <f>IF(Table!B808 = "","",Table!B808)</f>
        <v/>
      </c>
      <c r="C808" s="31" t="str">
        <f>IF(Table!C808 = "","",Table!C808)</f>
        <v/>
      </c>
      <c r="D808" s="32" t="str">
        <f>IF(Table!D808 = "","",Table!D808)</f>
        <v/>
      </c>
      <c r="E808" s="32" t="str">
        <f>IF(Table!E808 = "","",Table!E808)</f>
        <v/>
      </c>
      <c r="F808" s="32" t="str">
        <f>IF(Table!F808 = "","",Table!F808)</f>
        <v/>
      </c>
      <c r="G808" s="91"/>
      <c r="I808" s="84" t="str">
        <f>IFERROR(VLOOKUP(A808,Downlink!A:L,12,TRUE),"")</f>
        <v/>
      </c>
      <c r="K808" s="31" t="str">
        <f>IFERROR(VLOOKUP(A808,Table!$I$4:$O$3000,1,TRUE),"")</f>
        <v/>
      </c>
      <c r="L808" s="31" t="str">
        <f>IFERROR(INDEX(Table!I:O,MATCH(K808,Table!I:I,0),2),"")</f>
        <v/>
      </c>
      <c r="M808" s="31" t="str">
        <f>IFERROR(INDEX(Table!I:O,MATCH(K808,Table!I:I,0),3),"")</f>
        <v/>
      </c>
      <c r="N808" s="32" t="str">
        <f>IFERROR(INDEX(Table!I:O,MATCH(K808,Table!I:I,0),4),"")</f>
        <v/>
      </c>
      <c r="O808" s="32" t="str">
        <f>IFERROR(INDEX(Table!I:O,MATCH(K808,Table!I:I,0),5),"")</f>
        <v/>
      </c>
      <c r="P808" s="32" t="str">
        <f>IFERROR(INDEX(Table!I:O,MATCH(K808,Table!I:I,0),6),"")</f>
        <v/>
      </c>
      <c r="Q808" s="89" t="str">
        <f t="shared" si="36"/>
        <v/>
      </c>
      <c r="R808" s="89" t="str">
        <f t="shared" si="37"/>
        <v/>
      </c>
      <c r="S808" s="82"/>
      <c r="U808" s="37" t="e">
        <f t="shared" si="38"/>
        <v>#VALUE!</v>
      </c>
    </row>
    <row r="809" spans="1:21" x14ac:dyDescent="0.25">
      <c r="A809" s="31" t="str">
        <f>IF(Table!A809 = "","",Table!A809)</f>
        <v/>
      </c>
      <c r="B809" s="31" t="str">
        <f>IF(Table!B809 = "","",Table!B809)</f>
        <v/>
      </c>
      <c r="C809" s="31" t="str">
        <f>IF(Table!C809 = "","",Table!C809)</f>
        <v/>
      </c>
      <c r="D809" s="32" t="str">
        <f>IF(Table!D809 = "","",Table!D809)</f>
        <v/>
      </c>
      <c r="E809" s="32" t="str">
        <f>IF(Table!E809 = "","",Table!E809)</f>
        <v/>
      </c>
      <c r="F809" s="32" t="str">
        <f>IF(Table!F809 = "","",Table!F809)</f>
        <v/>
      </c>
      <c r="G809" s="91"/>
      <c r="I809" s="84" t="str">
        <f>IFERROR(VLOOKUP(A809,Downlink!A:L,12,TRUE),"")</f>
        <v/>
      </c>
      <c r="K809" s="31" t="str">
        <f>IFERROR(VLOOKUP(A809,Table!$I$4:$O$3000,1,TRUE),"")</f>
        <v/>
      </c>
      <c r="L809" s="31" t="str">
        <f>IFERROR(INDEX(Table!I:O,MATCH(K809,Table!I:I,0),2),"")</f>
        <v/>
      </c>
      <c r="M809" s="31" t="str">
        <f>IFERROR(INDEX(Table!I:O,MATCH(K809,Table!I:I,0),3),"")</f>
        <v/>
      </c>
      <c r="N809" s="32" t="str">
        <f>IFERROR(INDEX(Table!I:O,MATCH(K809,Table!I:I,0),4),"")</f>
        <v/>
      </c>
      <c r="O809" s="32" t="str">
        <f>IFERROR(INDEX(Table!I:O,MATCH(K809,Table!I:I,0),5),"")</f>
        <v/>
      </c>
      <c r="P809" s="32" t="str">
        <f>IFERROR(INDEX(Table!I:O,MATCH(K809,Table!I:I,0),6),"")</f>
        <v/>
      </c>
      <c r="Q809" s="89" t="str">
        <f t="shared" si="36"/>
        <v/>
      </c>
      <c r="R809" s="89" t="str">
        <f t="shared" si="37"/>
        <v/>
      </c>
      <c r="S809" s="82"/>
      <c r="U809" s="37" t="e">
        <f t="shared" si="38"/>
        <v>#VALUE!</v>
      </c>
    </row>
    <row r="810" spans="1:21" x14ac:dyDescent="0.25">
      <c r="A810" s="31" t="str">
        <f>IF(Table!A810 = "","",Table!A810)</f>
        <v/>
      </c>
      <c r="B810" s="31" t="str">
        <f>IF(Table!B810 = "","",Table!B810)</f>
        <v/>
      </c>
      <c r="C810" s="31" t="str">
        <f>IF(Table!C810 = "","",Table!C810)</f>
        <v/>
      </c>
      <c r="D810" s="32" t="str">
        <f>IF(Table!D810 = "","",Table!D810)</f>
        <v/>
      </c>
      <c r="E810" s="32" t="str">
        <f>IF(Table!E810 = "","",Table!E810)</f>
        <v/>
      </c>
      <c r="F810" s="32" t="str">
        <f>IF(Table!F810 = "","",Table!F810)</f>
        <v/>
      </c>
      <c r="G810" s="91"/>
      <c r="I810" s="84" t="str">
        <f>IFERROR(VLOOKUP(A810,Downlink!A:L,12,TRUE),"")</f>
        <v/>
      </c>
      <c r="K810" s="31" t="str">
        <f>IFERROR(VLOOKUP(A810,Table!$I$4:$O$3000,1,TRUE),"")</f>
        <v/>
      </c>
      <c r="L810" s="31" t="str">
        <f>IFERROR(INDEX(Table!I:O,MATCH(K810,Table!I:I,0),2),"")</f>
        <v/>
      </c>
      <c r="M810" s="31" t="str">
        <f>IFERROR(INDEX(Table!I:O,MATCH(K810,Table!I:I,0),3),"")</f>
        <v/>
      </c>
      <c r="N810" s="32" t="str">
        <f>IFERROR(INDEX(Table!I:O,MATCH(K810,Table!I:I,0),4),"")</f>
        <v/>
      </c>
      <c r="O810" s="32" t="str">
        <f>IFERROR(INDEX(Table!I:O,MATCH(K810,Table!I:I,0),5),"")</f>
        <v/>
      </c>
      <c r="P810" s="32" t="str">
        <f>IFERROR(INDEX(Table!I:O,MATCH(K810,Table!I:I,0),6),"")</f>
        <v/>
      </c>
      <c r="Q810" s="89" t="str">
        <f t="shared" si="36"/>
        <v/>
      </c>
      <c r="R810" s="89" t="str">
        <f t="shared" si="37"/>
        <v/>
      </c>
      <c r="S810" s="82"/>
      <c r="U810" s="37" t="e">
        <f t="shared" si="38"/>
        <v>#VALUE!</v>
      </c>
    </row>
    <row r="811" spans="1:21" x14ac:dyDescent="0.25">
      <c r="A811" s="31" t="str">
        <f>IF(Table!A811 = "","",Table!A811)</f>
        <v/>
      </c>
      <c r="B811" s="31" t="str">
        <f>IF(Table!B811 = "","",Table!B811)</f>
        <v/>
      </c>
      <c r="C811" s="31" t="str">
        <f>IF(Table!C811 = "","",Table!C811)</f>
        <v/>
      </c>
      <c r="D811" s="32" t="str">
        <f>IF(Table!D811 = "","",Table!D811)</f>
        <v/>
      </c>
      <c r="E811" s="32" t="str">
        <f>IF(Table!E811 = "","",Table!E811)</f>
        <v/>
      </c>
      <c r="F811" s="32" t="str">
        <f>IF(Table!F811 = "","",Table!F811)</f>
        <v/>
      </c>
      <c r="G811" s="91"/>
      <c r="I811" s="84" t="str">
        <f>IFERROR(VLOOKUP(A811,Downlink!A:L,12,TRUE),"")</f>
        <v/>
      </c>
      <c r="K811" s="31" t="str">
        <f>IFERROR(VLOOKUP(A811,Table!$I$4:$O$3000,1,TRUE),"")</f>
        <v/>
      </c>
      <c r="L811" s="31" t="str">
        <f>IFERROR(INDEX(Table!I:O,MATCH(K811,Table!I:I,0),2),"")</f>
        <v/>
      </c>
      <c r="M811" s="31" t="str">
        <f>IFERROR(INDEX(Table!I:O,MATCH(K811,Table!I:I,0),3),"")</f>
        <v/>
      </c>
      <c r="N811" s="32" t="str">
        <f>IFERROR(INDEX(Table!I:O,MATCH(K811,Table!I:I,0),4),"")</f>
        <v/>
      </c>
      <c r="O811" s="32" t="str">
        <f>IFERROR(INDEX(Table!I:O,MATCH(K811,Table!I:I,0),5),"")</f>
        <v/>
      </c>
      <c r="P811" s="32" t="str">
        <f>IFERROR(INDEX(Table!I:O,MATCH(K811,Table!I:I,0),6),"")</f>
        <v/>
      </c>
      <c r="Q811" s="89" t="str">
        <f t="shared" si="36"/>
        <v/>
      </c>
      <c r="R811" s="89" t="str">
        <f t="shared" si="37"/>
        <v/>
      </c>
      <c r="S811" s="82"/>
      <c r="U811" s="37" t="e">
        <f t="shared" si="38"/>
        <v>#VALUE!</v>
      </c>
    </row>
    <row r="812" spans="1:21" x14ac:dyDescent="0.25">
      <c r="A812" s="31" t="str">
        <f>IF(Table!A812 = "","",Table!A812)</f>
        <v/>
      </c>
      <c r="B812" s="31" t="str">
        <f>IF(Table!B812 = "","",Table!B812)</f>
        <v/>
      </c>
      <c r="C812" s="31" t="str">
        <f>IF(Table!C812 = "","",Table!C812)</f>
        <v/>
      </c>
      <c r="D812" s="32" t="str">
        <f>IF(Table!D812 = "","",Table!D812)</f>
        <v/>
      </c>
      <c r="E812" s="32" t="str">
        <f>IF(Table!E812 = "","",Table!E812)</f>
        <v/>
      </c>
      <c r="F812" s="32" t="str">
        <f>IF(Table!F812 = "","",Table!F812)</f>
        <v/>
      </c>
      <c r="G812" s="91"/>
      <c r="I812" s="84" t="str">
        <f>IFERROR(VLOOKUP(A812,Downlink!A:L,12,TRUE),"")</f>
        <v/>
      </c>
      <c r="K812" s="31" t="str">
        <f>IFERROR(VLOOKUP(A812,Table!$I$4:$O$3000,1,TRUE),"")</f>
        <v/>
      </c>
      <c r="L812" s="31" t="str">
        <f>IFERROR(INDEX(Table!I:O,MATCH(K812,Table!I:I,0),2),"")</f>
        <v/>
      </c>
      <c r="M812" s="31" t="str">
        <f>IFERROR(INDEX(Table!I:O,MATCH(K812,Table!I:I,0),3),"")</f>
        <v/>
      </c>
      <c r="N812" s="32" t="str">
        <f>IFERROR(INDEX(Table!I:O,MATCH(K812,Table!I:I,0),4),"")</f>
        <v/>
      </c>
      <c r="O812" s="32" t="str">
        <f>IFERROR(INDEX(Table!I:O,MATCH(K812,Table!I:I,0),5),"")</f>
        <v/>
      </c>
      <c r="P812" s="32" t="str">
        <f>IFERROR(INDEX(Table!I:O,MATCH(K812,Table!I:I,0),6),"")</f>
        <v/>
      </c>
      <c r="Q812" s="89" t="str">
        <f t="shared" si="36"/>
        <v/>
      </c>
      <c r="R812" s="89" t="str">
        <f t="shared" si="37"/>
        <v/>
      </c>
      <c r="S812" s="82"/>
      <c r="U812" s="37" t="e">
        <f t="shared" si="38"/>
        <v>#VALUE!</v>
      </c>
    </row>
    <row r="813" spans="1:21" x14ac:dyDescent="0.25">
      <c r="A813" s="31" t="str">
        <f>IF(Table!A813 = "","",Table!A813)</f>
        <v/>
      </c>
      <c r="B813" s="31" t="str">
        <f>IF(Table!B813 = "","",Table!B813)</f>
        <v/>
      </c>
      <c r="C813" s="31" t="str">
        <f>IF(Table!C813 = "","",Table!C813)</f>
        <v/>
      </c>
      <c r="D813" s="32" t="str">
        <f>IF(Table!D813 = "","",Table!D813)</f>
        <v/>
      </c>
      <c r="E813" s="32" t="str">
        <f>IF(Table!E813 = "","",Table!E813)</f>
        <v/>
      </c>
      <c r="F813" s="32" t="str">
        <f>IF(Table!F813 = "","",Table!F813)</f>
        <v/>
      </c>
      <c r="G813" s="91"/>
      <c r="I813" s="84" t="str">
        <f>IFERROR(VLOOKUP(A813,Downlink!A:L,12,TRUE),"")</f>
        <v/>
      </c>
      <c r="K813" s="31" t="str">
        <f>IFERROR(VLOOKUP(A813,Table!$I$4:$O$3000,1,TRUE),"")</f>
        <v/>
      </c>
      <c r="L813" s="31" t="str">
        <f>IFERROR(INDEX(Table!I:O,MATCH(K813,Table!I:I,0),2),"")</f>
        <v/>
      </c>
      <c r="M813" s="31" t="str">
        <f>IFERROR(INDEX(Table!I:O,MATCH(K813,Table!I:I,0),3),"")</f>
        <v/>
      </c>
      <c r="N813" s="32" t="str">
        <f>IFERROR(INDEX(Table!I:O,MATCH(K813,Table!I:I,0),4),"")</f>
        <v/>
      </c>
      <c r="O813" s="32" t="str">
        <f>IFERROR(INDEX(Table!I:O,MATCH(K813,Table!I:I,0),5),"")</f>
        <v/>
      </c>
      <c r="P813" s="32" t="str">
        <f>IFERROR(INDEX(Table!I:O,MATCH(K813,Table!I:I,0),6),"")</f>
        <v/>
      </c>
      <c r="Q813" s="89" t="str">
        <f t="shared" si="36"/>
        <v/>
      </c>
      <c r="R813" s="89" t="str">
        <f t="shared" si="37"/>
        <v/>
      </c>
      <c r="S813" s="82"/>
      <c r="U813" s="37" t="e">
        <f t="shared" si="38"/>
        <v>#VALUE!</v>
      </c>
    </row>
    <row r="814" spans="1:21" x14ac:dyDescent="0.25">
      <c r="A814" s="31" t="str">
        <f>IF(Table!A814 = "","",Table!A814)</f>
        <v/>
      </c>
      <c r="B814" s="31" t="str">
        <f>IF(Table!B814 = "","",Table!B814)</f>
        <v/>
      </c>
      <c r="C814" s="31" t="str">
        <f>IF(Table!C814 = "","",Table!C814)</f>
        <v/>
      </c>
      <c r="D814" s="32" t="str">
        <f>IF(Table!D814 = "","",Table!D814)</f>
        <v/>
      </c>
      <c r="E814" s="32" t="str">
        <f>IF(Table!E814 = "","",Table!E814)</f>
        <v/>
      </c>
      <c r="F814" s="32" t="str">
        <f>IF(Table!F814 = "","",Table!F814)</f>
        <v/>
      </c>
      <c r="G814" s="91"/>
      <c r="I814" s="84" t="str">
        <f>IFERROR(VLOOKUP(A814,Downlink!A:L,12,TRUE),"")</f>
        <v/>
      </c>
      <c r="K814" s="31" t="str">
        <f>IFERROR(VLOOKUP(A814,Table!$I$4:$O$3000,1,TRUE),"")</f>
        <v/>
      </c>
      <c r="L814" s="31" t="str">
        <f>IFERROR(INDEX(Table!I:O,MATCH(K814,Table!I:I,0),2),"")</f>
        <v/>
      </c>
      <c r="M814" s="31" t="str">
        <f>IFERROR(INDEX(Table!I:O,MATCH(K814,Table!I:I,0),3),"")</f>
        <v/>
      </c>
      <c r="N814" s="32" t="str">
        <f>IFERROR(INDEX(Table!I:O,MATCH(K814,Table!I:I,0),4),"")</f>
        <v/>
      </c>
      <c r="O814" s="32" t="str">
        <f>IFERROR(INDEX(Table!I:O,MATCH(K814,Table!I:I,0),5),"")</f>
        <v/>
      </c>
      <c r="P814" s="32" t="str">
        <f>IFERROR(INDEX(Table!I:O,MATCH(K814,Table!I:I,0),6),"")</f>
        <v/>
      </c>
      <c r="Q814" s="89" t="str">
        <f t="shared" si="36"/>
        <v/>
      </c>
      <c r="R814" s="89" t="str">
        <f t="shared" si="37"/>
        <v/>
      </c>
      <c r="S814" s="82"/>
      <c r="U814" s="37" t="e">
        <f t="shared" si="38"/>
        <v>#VALUE!</v>
      </c>
    </row>
    <row r="815" spans="1:21" x14ac:dyDescent="0.25">
      <c r="A815" s="31" t="str">
        <f>IF(Table!A815 = "","",Table!A815)</f>
        <v/>
      </c>
      <c r="B815" s="31" t="str">
        <f>IF(Table!B815 = "","",Table!B815)</f>
        <v/>
      </c>
      <c r="C815" s="31" t="str">
        <f>IF(Table!C815 = "","",Table!C815)</f>
        <v/>
      </c>
      <c r="D815" s="32" t="str">
        <f>IF(Table!D815 = "","",Table!D815)</f>
        <v/>
      </c>
      <c r="E815" s="32" t="str">
        <f>IF(Table!E815 = "","",Table!E815)</f>
        <v/>
      </c>
      <c r="F815" s="32" t="str">
        <f>IF(Table!F815 = "","",Table!F815)</f>
        <v/>
      </c>
      <c r="G815" s="91"/>
      <c r="I815" s="84" t="str">
        <f>IFERROR(VLOOKUP(A815,Downlink!A:L,12,TRUE),"")</f>
        <v/>
      </c>
      <c r="K815" s="31" t="str">
        <f>IFERROR(VLOOKUP(A815,Table!$I$4:$O$3000,1,TRUE),"")</f>
        <v/>
      </c>
      <c r="L815" s="31" t="str">
        <f>IFERROR(INDEX(Table!I:O,MATCH(K815,Table!I:I,0),2),"")</f>
        <v/>
      </c>
      <c r="M815" s="31" t="str">
        <f>IFERROR(INDEX(Table!I:O,MATCH(K815,Table!I:I,0),3),"")</f>
        <v/>
      </c>
      <c r="N815" s="32" t="str">
        <f>IFERROR(INDEX(Table!I:O,MATCH(K815,Table!I:I,0),4),"")</f>
        <v/>
      </c>
      <c r="O815" s="32" t="str">
        <f>IFERROR(INDEX(Table!I:O,MATCH(K815,Table!I:I,0),5),"")</f>
        <v/>
      </c>
      <c r="P815" s="32" t="str">
        <f>IFERROR(INDEX(Table!I:O,MATCH(K815,Table!I:I,0),6),"")</f>
        <v/>
      </c>
      <c r="Q815" s="89" t="str">
        <f t="shared" si="36"/>
        <v/>
      </c>
      <c r="R815" s="89" t="str">
        <f t="shared" si="37"/>
        <v/>
      </c>
      <c r="S815" s="82"/>
      <c r="U815" s="37" t="e">
        <f t="shared" si="38"/>
        <v>#VALUE!</v>
      </c>
    </row>
    <row r="816" spans="1:21" x14ac:dyDescent="0.25">
      <c r="A816" s="31" t="str">
        <f>IF(Table!A816 = "","",Table!A816)</f>
        <v/>
      </c>
      <c r="B816" s="31" t="str">
        <f>IF(Table!B816 = "","",Table!B816)</f>
        <v/>
      </c>
      <c r="C816" s="31" t="str">
        <f>IF(Table!C816 = "","",Table!C816)</f>
        <v/>
      </c>
      <c r="D816" s="32" t="str">
        <f>IF(Table!D816 = "","",Table!D816)</f>
        <v/>
      </c>
      <c r="E816" s="32" t="str">
        <f>IF(Table!E816 = "","",Table!E816)</f>
        <v/>
      </c>
      <c r="F816" s="32" t="str">
        <f>IF(Table!F816 = "","",Table!F816)</f>
        <v/>
      </c>
      <c r="G816" s="91"/>
      <c r="I816" s="84" t="str">
        <f>IFERROR(VLOOKUP(A816,Downlink!A:L,12,TRUE),"")</f>
        <v/>
      </c>
      <c r="K816" s="31" t="str">
        <f>IFERROR(VLOOKUP(A816,Table!$I$4:$O$3000,1,TRUE),"")</f>
        <v/>
      </c>
      <c r="L816" s="31" t="str">
        <f>IFERROR(INDEX(Table!I:O,MATCH(K816,Table!I:I,0),2),"")</f>
        <v/>
      </c>
      <c r="M816" s="31" t="str">
        <f>IFERROR(INDEX(Table!I:O,MATCH(K816,Table!I:I,0),3),"")</f>
        <v/>
      </c>
      <c r="N816" s="32" t="str">
        <f>IFERROR(INDEX(Table!I:O,MATCH(K816,Table!I:I,0),4),"")</f>
        <v/>
      </c>
      <c r="O816" s="32" t="str">
        <f>IFERROR(INDEX(Table!I:O,MATCH(K816,Table!I:I,0),5),"")</f>
        <v/>
      </c>
      <c r="P816" s="32" t="str">
        <f>IFERROR(INDEX(Table!I:O,MATCH(K816,Table!I:I,0),6),"")</f>
        <v/>
      </c>
      <c r="Q816" s="89" t="str">
        <f t="shared" si="36"/>
        <v/>
      </c>
      <c r="R816" s="89" t="str">
        <f t="shared" si="37"/>
        <v/>
      </c>
      <c r="S816" s="82"/>
      <c r="U816" s="37" t="e">
        <f t="shared" si="38"/>
        <v>#VALUE!</v>
      </c>
    </row>
    <row r="817" spans="1:21" x14ac:dyDescent="0.25">
      <c r="A817" s="31" t="str">
        <f>IF(Table!A817 = "","",Table!A817)</f>
        <v/>
      </c>
      <c r="B817" s="31" t="str">
        <f>IF(Table!B817 = "","",Table!B817)</f>
        <v/>
      </c>
      <c r="C817" s="31" t="str">
        <f>IF(Table!C817 = "","",Table!C817)</f>
        <v/>
      </c>
      <c r="D817" s="32" t="str">
        <f>IF(Table!D817 = "","",Table!D817)</f>
        <v/>
      </c>
      <c r="E817" s="32" t="str">
        <f>IF(Table!E817 = "","",Table!E817)</f>
        <v/>
      </c>
      <c r="F817" s="32" t="str">
        <f>IF(Table!F817 = "","",Table!F817)</f>
        <v/>
      </c>
      <c r="G817" s="91"/>
      <c r="I817" s="84" t="str">
        <f>IFERROR(VLOOKUP(A817,Downlink!A:L,12,TRUE),"")</f>
        <v/>
      </c>
      <c r="K817" s="31" t="str">
        <f>IFERROR(VLOOKUP(A817,Table!$I$4:$O$3000,1,TRUE),"")</f>
        <v/>
      </c>
      <c r="L817" s="31" t="str">
        <f>IFERROR(INDEX(Table!I:O,MATCH(K817,Table!I:I,0),2),"")</f>
        <v/>
      </c>
      <c r="M817" s="31" t="str">
        <f>IFERROR(INDEX(Table!I:O,MATCH(K817,Table!I:I,0),3),"")</f>
        <v/>
      </c>
      <c r="N817" s="32" t="str">
        <f>IFERROR(INDEX(Table!I:O,MATCH(K817,Table!I:I,0),4),"")</f>
        <v/>
      </c>
      <c r="O817" s="32" t="str">
        <f>IFERROR(INDEX(Table!I:O,MATCH(K817,Table!I:I,0),5),"")</f>
        <v/>
      </c>
      <c r="P817" s="32" t="str">
        <f>IFERROR(INDEX(Table!I:O,MATCH(K817,Table!I:I,0),6),"")</f>
        <v/>
      </c>
      <c r="Q817" s="89" t="str">
        <f t="shared" si="36"/>
        <v/>
      </c>
      <c r="R817" s="89" t="str">
        <f t="shared" si="37"/>
        <v/>
      </c>
      <c r="S817" s="82"/>
      <c r="U817" s="37" t="e">
        <f t="shared" si="38"/>
        <v>#VALUE!</v>
      </c>
    </row>
    <row r="818" spans="1:21" x14ac:dyDescent="0.25">
      <c r="A818" s="31" t="str">
        <f>IF(Table!A818 = "","",Table!A818)</f>
        <v/>
      </c>
      <c r="B818" s="31" t="str">
        <f>IF(Table!B818 = "","",Table!B818)</f>
        <v/>
      </c>
      <c r="C818" s="31" t="str">
        <f>IF(Table!C818 = "","",Table!C818)</f>
        <v/>
      </c>
      <c r="D818" s="32" t="str">
        <f>IF(Table!D818 = "","",Table!D818)</f>
        <v/>
      </c>
      <c r="E818" s="32" t="str">
        <f>IF(Table!E818 = "","",Table!E818)</f>
        <v/>
      </c>
      <c r="F818" s="32" t="str">
        <f>IF(Table!F818 = "","",Table!F818)</f>
        <v/>
      </c>
      <c r="G818" s="91"/>
      <c r="I818" s="84" t="str">
        <f>IFERROR(VLOOKUP(A818,Downlink!A:L,12,TRUE),"")</f>
        <v/>
      </c>
      <c r="K818" s="31" t="str">
        <f>IFERROR(VLOOKUP(A818,Table!$I$4:$O$3000,1,TRUE),"")</f>
        <v/>
      </c>
      <c r="L818" s="31" t="str">
        <f>IFERROR(INDEX(Table!I:O,MATCH(K818,Table!I:I,0),2),"")</f>
        <v/>
      </c>
      <c r="M818" s="31" t="str">
        <f>IFERROR(INDEX(Table!I:O,MATCH(K818,Table!I:I,0),3),"")</f>
        <v/>
      </c>
      <c r="N818" s="32" t="str">
        <f>IFERROR(INDEX(Table!I:O,MATCH(K818,Table!I:I,0),4),"")</f>
        <v/>
      </c>
      <c r="O818" s="32" t="str">
        <f>IFERROR(INDEX(Table!I:O,MATCH(K818,Table!I:I,0),5),"")</f>
        <v/>
      </c>
      <c r="P818" s="32" t="str">
        <f>IFERROR(INDEX(Table!I:O,MATCH(K818,Table!I:I,0),6),"")</f>
        <v/>
      </c>
      <c r="Q818" s="89" t="str">
        <f t="shared" si="36"/>
        <v/>
      </c>
      <c r="R818" s="89" t="str">
        <f t="shared" si="37"/>
        <v/>
      </c>
      <c r="S818" s="82"/>
      <c r="U818" s="37" t="e">
        <f t="shared" si="38"/>
        <v>#VALUE!</v>
      </c>
    </row>
    <row r="819" spans="1:21" x14ac:dyDescent="0.25">
      <c r="A819" s="31" t="str">
        <f>IF(Table!A819 = "","",Table!A819)</f>
        <v/>
      </c>
      <c r="B819" s="31" t="str">
        <f>IF(Table!B819 = "","",Table!B819)</f>
        <v/>
      </c>
      <c r="C819" s="31" t="str">
        <f>IF(Table!C819 = "","",Table!C819)</f>
        <v/>
      </c>
      <c r="D819" s="32" t="str">
        <f>IF(Table!D819 = "","",Table!D819)</f>
        <v/>
      </c>
      <c r="E819" s="32" t="str">
        <f>IF(Table!E819 = "","",Table!E819)</f>
        <v/>
      </c>
      <c r="F819" s="32" t="str">
        <f>IF(Table!F819 = "","",Table!F819)</f>
        <v/>
      </c>
      <c r="G819" s="91"/>
      <c r="I819" s="84" t="str">
        <f>IFERROR(VLOOKUP(A819,Downlink!A:L,12,TRUE),"")</f>
        <v/>
      </c>
      <c r="K819" s="31" t="str">
        <f>IFERROR(VLOOKUP(A819,Table!$I$4:$O$3000,1,TRUE),"")</f>
        <v/>
      </c>
      <c r="L819" s="31" t="str">
        <f>IFERROR(INDEX(Table!I:O,MATCH(K819,Table!I:I,0),2),"")</f>
        <v/>
      </c>
      <c r="M819" s="31" t="str">
        <f>IFERROR(INDEX(Table!I:O,MATCH(K819,Table!I:I,0),3),"")</f>
        <v/>
      </c>
      <c r="N819" s="32" t="str">
        <f>IFERROR(INDEX(Table!I:O,MATCH(K819,Table!I:I,0),4),"")</f>
        <v/>
      </c>
      <c r="O819" s="32" t="str">
        <f>IFERROR(INDEX(Table!I:O,MATCH(K819,Table!I:I,0),5),"")</f>
        <v/>
      </c>
      <c r="P819" s="32" t="str">
        <f>IFERROR(INDEX(Table!I:O,MATCH(K819,Table!I:I,0),6),"")</f>
        <v/>
      </c>
      <c r="Q819" s="89" t="str">
        <f t="shared" si="36"/>
        <v/>
      </c>
      <c r="R819" s="89" t="str">
        <f t="shared" si="37"/>
        <v/>
      </c>
      <c r="S819" s="82"/>
      <c r="U819" s="37" t="e">
        <f t="shared" si="38"/>
        <v>#VALUE!</v>
      </c>
    </row>
    <row r="820" spans="1:21" x14ac:dyDescent="0.25">
      <c r="A820" s="31" t="str">
        <f>IF(Table!A820 = "","",Table!A820)</f>
        <v/>
      </c>
      <c r="B820" s="31" t="str">
        <f>IF(Table!B820 = "","",Table!B820)</f>
        <v/>
      </c>
      <c r="C820" s="31" t="str">
        <f>IF(Table!C820 = "","",Table!C820)</f>
        <v/>
      </c>
      <c r="D820" s="32" t="str">
        <f>IF(Table!D820 = "","",Table!D820)</f>
        <v/>
      </c>
      <c r="E820" s="32" t="str">
        <f>IF(Table!E820 = "","",Table!E820)</f>
        <v/>
      </c>
      <c r="F820" s="32" t="str">
        <f>IF(Table!F820 = "","",Table!F820)</f>
        <v/>
      </c>
      <c r="G820" s="91"/>
      <c r="I820" s="84" t="str">
        <f>IFERROR(VLOOKUP(A820,Downlink!A:L,12,TRUE),"")</f>
        <v/>
      </c>
      <c r="K820" s="31" t="str">
        <f>IFERROR(VLOOKUP(A820,Table!$I$4:$O$3000,1,TRUE),"")</f>
        <v/>
      </c>
      <c r="L820" s="31" t="str">
        <f>IFERROR(INDEX(Table!I:O,MATCH(K820,Table!I:I,0),2),"")</f>
        <v/>
      </c>
      <c r="M820" s="31" t="str">
        <f>IFERROR(INDEX(Table!I:O,MATCH(K820,Table!I:I,0),3),"")</f>
        <v/>
      </c>
      <c r="N820" s="32" t="str">
        <f>IFERROR(INDEX(Table!I:O,MATCH(K820,Table!I:I,0),4),"")</f>
        <v/>
      </c>
      <c r="O820" s="32" t="str">
        <f>IFERROR(INDEX(Table!I:O,MATCH(K820,Table!I:I,0),5),"")</f>
        <v/>
      </c>
      <c r="P820" s="32" t="str">
        <f>IFERROR(INDEX(Table!I:O,MATCH(K820,Table!I:I,0),6),"")</f>
        <v/>
      </c>
      <c r="Q820" s="89" t="str">
        <f t="shared" si="36"/>
        <v/>
      </c>
      <c r="R820" s="89" t="str">
        <f t="shared" si="37"/>
        <v/>
      </c>
      <c r="S820" s="82"/>
      <c r="U820" s="37" t="e">
        <f t="shared" si="38"/>
        <v>#VALUE!</v>
      </c>
    </row>
    <row r="821" spans="1:21" x14ac:dyDescent="0.25">
      <c r="A821" s="31" t="str">
        <f>IF(Table!A821 = "","",Table!A821)</f>
        <v/>
      </c>
      <c r="B821" s="31" t="str">
        <f>IF(Table!B821 = "","",Table!B821)</f>
        <v/>
      </c>
      <c r="C821" s="31" t="str">
        <f>IF(Table!C821 = "","",Table!C821)</f>
        <v/>
      </c>
      <c r="D821" s="32" t="str">
        <f>IF(Table!D821 = "","",Table!D821)</f>
        <v/>
      </c>
      <c r="E821" s="32" t="str">
        <f>IF(Table!E821 = "","",Table!E821)</f>
        <v/>
      </c>
      <c r="F821" s="32" t="str">
        <f>IF(Table!F821 = "","",Table!F821)</f>
        <v/>
      </c>
      <c r="G821" s="91"/>
      <c r="I821" s="84" t="str">
        <f>IFERROR(VLOOKUP(A821,Downlink!A:L,12,TRUE),"")</f>
        <v/>
      </c>
      <c r="K821" s="31" t="str">
        <f>IFERROR(VLOOKUP(A821,Table!$I$4:$O$3000,1,TRUE),"")</f>
        <v/>
      </c>
      <c r="L821" s="31" t="str">
        <f>IFERROR(INDEX(Table!I:O,MATCH(K821,Table!I:I,0),2),"")</f>
        <v/>
      </c>
      <c r="M821" s="31" t="str">
        <f>IFERROR(INDEX(Table!I:O,MATCH(K821,Table!I:I,0),3),"")</f>
        <v/>
      </c>
      <c r="N821" s="32" t="str">
        <f>IFERROR(INDEX(Table!I:O,MATCH(K821,Table!I:I,0),4),"")</f>
        <v/>
      </c>
      <c r="O821" s="32" t="str">
        <f>IFERROR(INDEX(Table!I:O,MATCH(K821,Table!I:I,0),5),"")</f>
        <v/>
      </c>
      <c r="P821" s="32" t="str">
        <f>IFERROR(INDEX(Table!I:O,MATCH(K821,Table!I:I,0),6),"")</f>
        <v/>
      </c>
      <c r="Q821" s="89" t="str">
        <f t="shared" si="36"/>
        <v/>
      </c>
      <c r="R821" s="89" t="str">
        <f t="shared" si="37"/>
        <v/>
      </c>
      <c r="S821" s="82"/>
      <c r="U821" s="37" t="e">
        <f t="shared" si="38"/>
        <v>#VALUE!</v>
      </c>
    </row>
    <row r="822" spans="1:21" x14ac:dyDescent="0.25">
      <c r="A822" s="31" t="str">
        <f>IF(Table!A822 = "","",Table!A822)</f>
        <v/>
      </c>
      <c r="B822" s="31" t="str">
        <f>IF(Table!B822 = "","",Table!B822)</f>
        <v/>
      </c>
      <c r="C822" s="31" t="str">
        <f>IF(Table!C822 = "","",Table!C822)</f>
        <v/>
      </c>
      <c r="D822" s="32" t="str">
        <f>IF(Table!D822 = "","",Table!D822)</f>
        <v/>
      </c>
      <c r="E822" s="32" t="str">
        <f>IF(Table!E822 = "","",Table!E822)</f>
        <v/>
      </c>
      <c r="F822" s="32" t="str">
        <f>IF(Table!F822 = "","",Table!F822)</f>
        <v/>
      </c>
      <c r="G822" s="91"/>
      <c r="I822" s="84" t="str">
        <f>IFERROR(VLOOKUP(A822,Downlink!A:L,12,TRUE),"")</f>
        <v/>
      </c>
      <c r="K822" s="31" t="str">
        <f>IFERROR(VLOOKUP(A822,Table!$I$4:$O$3000,1,TRUE),"")</f>
        <v/>
      </c>
      <c r="L822" s="31" t="str">
        <f>IFERROR(INDEX(Table!I:O,MATCH(K822,Table!I:I,0),2),"")</f>
        <v/>
      </c>
      <c r="M822" s="31" t="str">
        <f>IFERROR(INDEX(Table!I:O,MATCH(K822,Table!I:I,0),3),"")</f>
        <v/>
      </c>
      <c r="N822" s="32" t="str">
        <f>IFERROR(INDEX(Table!I:O,MATCH(K822,Table!I:I,0),4),"")</f>
        <v/>
      </c>
      <c r="O822" s="32" t="str">
        <f>IFERROR(INDEX(Table!I:O,MATCH(K822,Table!I:I,0),5),"")</f>
        <v/>
      </c>
      <c r="P822" s="32" t="str">
        <f>IFERROR(INDEX(Table!I:O,MATCH(K822,Table!I:I,0),6),"")</f>
        <v/>
      </c>
      <c r="Q822" s="89" t="str">
        <f t="shared" si="36"/>
        <v/>
      </c>
      <c r="R822" s="89" t="str">
        <f t="shared" si="37"/>
        <v/>
      </c>
      <c r="S822" s="82"/>
      <c r="U822" s="37" t="e">
        <f t="shared" si="38"/>
        <v>#VALUE!</v>
      </c>
    </row>
    <row r="823" spans="1:21" x14ac:dyDescent="0.25">
      <c r="A823" s="31" t="str">
        <f>IF(Table!A823 = "","",Table!A823)</f>
        <v/>
      </c>
      <c r="B823" s="31" t="str">
        <f>IF(Table!B823 = "","",Table!B823)</f>
        <v/>
      </c>
      <c r="C823" s="31" t="str">
        <f>IF(Table!C823 = "","",Table!C823)</f>
        <v/>
      </c>
      <c r="D823" s="32" t="str">
        <f>IF(Table!D823 = "","",Table!D823)</f>
        <v/>
      </c>
      <c r="E823" s="32" t="str">
        <f>IF(Table!E823 = "","",Table!E823)</f>
        <v/>
      </c>
      <c r="F823" s="32" t="str">
        <f>IF(Table!F823 = "","",Table!F823)</f>
        <v/>
      </c>
      <c r="G823" s="91"/>
      <c r="I823" s="84" t="str">
        <f>IFERROR(VLOOKUP(A823,Downlink!A:L,12,TRUE),"")</f>
        <v/>
      </c>
      <c r="K823" s="31" t="str">
        <f>IFERROR(VLOOKUP(A823,Table!$I$4:$O$3000,1,TRUE),"")</f>
        <v/>
      </c>
      <c r="L823" s="31" t="str">
        <f>IFERROR(INDEX(Table!I:O,MATCH(K823,Table!I:I,0),2),"")</f>
        <v/>
      </c>
      <c r="M823" s="31" t="str">
        <f>IFERROR(INDEX(Table!I:O,MATCH(K823,Table!I:I,0),3),"")</f>
        <v/>
      </c>
      <c r="N823" s="32" t="str">
        <f>IFERROR(INDEX(Table!I:O,MATCH(K823,Table!I:I,0),4),"")</f>
        <v/>
      </c>
      <c r="O823" s="32" t="str">
        <f>IFERROR(INDEX(Table!I:O,MATCH(K823,Table!I:I,0),5),"")</f>
        <v/>
      </c>
      <c r="P823" s="32" t="str">
        <f>IFERROR(INDEX(Table!I:O,MATCH(K823,Table!I:I,0),6),"")</f>
        <v/>
      </c>
      <c r="Q823" s="89" t="str">
        <f t="shared" si="36"/>
        <v/>
      </c>
      <c r="R823" s="89" t="str">
        <f t="shared" si="37"/>
        <v/>
      </c>
      <c r="S823" s="82"/>
      <c r="U823" s="37" t="e">
        <f t="shared" si="38"/>
        <v>#VALUE!</v>
      </c>
    </row>
    <row r="824" spans="1:21" x14ac:dyDescent="0.25">
      <c r="A824" s="31" t="str">
        <f>IF(Table!A824 = "","",Table!A824)</f>
        <v/>
      </c>
      <c r="B824" s="31" t="str">
        <f>IF(Table!B824 = "","",Table!B824)</f>
        <v/>
      </c>
      <c r="C824" s="31" t="str">
        <f>IF(Table!C824 = "","",Table!C824)</f>
        <v/>
      </c>
      <c r="D824" s="32" t="str">
        <f>IF(Table!D824 = "","",Table!D824)</f>
        <v/>
      </c>
      <c r="E824" s="32" t="str">
        <f>IF(Table!E824 = "","",Table!E824)</f>
        <v/>
      </c>
      <c r="F824" s="32" t="str">
        <f>IF(Table!F824 = "","",Table!F824)</f>
        <v/>
      </c>
      <c r="G824" s="91"/>
      <c r="I824" s="84" t="str">
        <f>IFERROR(VLOOKUP(A824,Downlink!A:L,12,TRUE),"")</f>
        <v/>
      </c>
      <c r="K824" s="31" t="str">
        <f>IFERROR(VLOOKUP(A824,Table!$I$4:$O$3000,1,TRUE),"")</f>
        <v/>
      </c>
      <c r="L824" s="31" t="str">
        <f>IFERROR(INDEX(Table!I:O,MATCH(K824,Table!I:I,0),2),"")</f>
        <v/>
      </c>
      <c r="M824" s="31" t="str">
        <f>IFERROR(INDEX(Table!I:O,MATCH(K824,Table!I:I,0),3),"")</f>
        <v/>
      </c>
      <c r="N824" s="32" t="str">
        <f>IFERROR(INDEX(Table!I:O,MATCH(K824,Table!I:I,0),4),"")</f>
        <v/>
      </c>
      <c r="O824" s="32" t="str">
        <f>IFERROR(INDEX(Table!I:O,MATCH(K824,Table!I:I,0),5),"")</f>
        <v/>
      </c>
      <c r="P824" s="32" t="str">
        <f>IFERROR(INDEX(Table!I:O,MATCH(K824,Table!I:I,0),6),"")</f>
        <v/>
      </c>
      <c r="Q824" s="89" t="str">
        <f t="shared" si="36"/>
        <v/>
      </c>
      <c r="R824" s="89" t="str">
        <f t="shared" si="37"/>
        <v/>
      </c>
      <c r="S824" s="82"/>
      <c r="U824" s="37" t="e">
        <f t="shared" si="38"/>
        <v>#VALUE!</v>
      </c>
    </row>
    <row r="825" spans="1:21" x14ac:dyDescent="0.25">
      <c r="A825" s="31" t="str">
        <f>IF(Table!A825 = "","",Table!A825)</f>
        <v/>
      </c>
      <c r="B825" s="31" t="str">
        <f>IF(Table!B825 = "","",Table!B825)</f>
        <v/>
      </c>
      <c r="C825" s="31" t="str">
        <f>IF(Table!C825 = "","",Table!C825)</f>
        <v/>
      </c>
      <c r="D825" s="32" t="str">
        <f>IF(Table!D825 = "","",Table!D825)</f>
        <v/>
      </c>
      <c r="E825" s="32" t="str">
        <f>IF(Table!E825 = "","",Table!E825)</f>
        <v/>
      </c>
      <c r="F825" s="32" t="str">
        <f>IF(Table!F825 = "","",Table!F825)</f>
        <v/>
      </c>
      <c r="G825" s="91"/>
      <c r="I825" s="84" t="str">
        <f>IFERROR(VLOOKUP(A825,Downlink!A:L,12,TRUE),"")</f>
        <v/>
      </c>
      <c r="K825" s="31" t="str">
        <f>IFERROR(VLOOKUP(A825,Table!$I$4:$O$3000,1,TRUE),"")</f>
        <v/>
      </c>
      <c r="L825" s="31" t="str">
        <f>IFERROR(INDEX(Table!I:O,MATCH(K825,Table!I:I,0),2),"")</f>
        <v/>
      </c>
      <c r="M825" s="31" t="str">
        <f>IFERROR(INDEX(Table!I:O,MATCH(K825,Table!I:I,0),3),"")</f>
        <v/>
      </c>
      <c r="N825" s="32" t="str">
        <f>IFERROR(INDEX(Table!I:O,MATCH(K825,Table!I:I,0),4),"")</f>
        <v/>
      </c>
      <c r="O825" s="32" t="str">
        <f>IFERROR(INDEX(Table!I:O,MATCH(K825,Table!I:I,0),5),"")</f>
        <v/>
      </c>
      <c r="P825" s="32" t="str">
        <f>IFERROR(INDEX(Table!I:O,MATCH(K825,Table!I:I,0),6),"")</f>
        <v/>
      </c>
      <c r="Q825" s="89" t="str">
        <f t="shared" si="36"/>
        <v/>
      </c>
      <c r="R825" s="89" t="str">
        <f t="shared" si="37"/>
        <v/>
      </c>
      <c r="S825" s="82"/>
      <c r="U825" s="37" t="e">
        <f t="shared" si="38"/>
        <v>#VALUE!</v>
      </c>
    </row>
    <row r="826" spans="1:21" x14ac:dyDescent="0.25">
      <c r="A826" s="31" t="str">
        <f>IF(Table!A826 = "","",Table!A826)</f>
        <v/>
      </c>
      <c r="B826" s="31" t="str">
        <f>IF(Table!B826 = "","",Table!B826)</f>
        <v/>
      </c>
      <c r="C826" s="31" t="str">
        <f>IF(Table!C826 = "","",Table!C826)</f>
        <v/>
      </c>
      <c r="D826" s="32" t="str">
        <f>IF(Table!D826 = "","",Table!D826)</f>
        <v/>
      </c>
      <c r="E826" s="32" t="str">
        <f>IF(Table!E826 = "","",Table!E826)</f>
        <v/>
      </c>
      <c r="F826" s="32" t="str">
        <f>IF(Table!F826 = "","",Table!F826)</f>
        <v/>
      </c>
      <c r="G826" s="91"/>
      <c r="I826" s="84" t="str">
        <f>IFERROR(VLOOKUP(A826,Downlink!A:L,12,TRUE),"")</f>
        <v/>
      </c>
      <c r="K826" s="31" t="str">
        <f>IFERROR(VLOOKUP(A826,Table!$I$4:$O$3000,1,TRUE),"")</f>
        <v/>
      </c>
      <c r="L826" s="31" t="str">
        <f>IFERROR(INDEX(Table!I:O,MATCH(K826,Table!I:I,0),2),"")</f>
        <v/>
      </c>
      <c r="M826" s="31" t="str">
        <f>IFERROR(INDEX(Table!I:O,MATCH(K826,Table!I:I,0),3),"")</f>
        <v/>
      </c>
      <c r="N826" s="32" t="str">
        <f>IFERROR(INDEX(Table!I:O,MATCH(K826,Table!I:I,0),4),"")</f>
        <v/>
      </c>
      <c r="O826" s="32" t="str">
        <f>IFERROR(INDEX(Table!I:O,MATCH(K826,Table!I:I,0),5),"")</f>
        <v/>
      </c>
      <c r="P826" s="32" t="str">
        <f>IFERROR(INDEX(Table!I:O,MATCH(K826,Table!I:I,0),6),"")</f>
        <v/>
      </c>
      <c r="Q826" s="89" t="str">
        <f t="shared" si="36"/>
        <v/>
      </c>
      <c r="R826" s="89" t="str">
        <f t="shared" si="37"/>
        <v/>
      </c>
      <c r="S826" s="82"/>
      <c r="U826" s="37" t="e">
        <f t="shared" si="38"/>
        <v>#VALUE!</v>
      </c>
    </row>
    <row r="827" spans="1:21" x14ac:dyDescent="0.25">
      <c r="A827" s="31" t="str">
        <f>IF(Table!A827 = "","",Table!A827)</f>
        <v/>
      </c>
      <c r="B827" s="31" t="str">
        <f>IF(Table!B827 = "","",Table!B827)</f>
        <v/>
      </c>
      <c r="C827" s="31" t="str">
        <f>IF(Table!C827 = "","",Table!C827)</f>
        <v/>
      </c>
      <c r="D827" s="32" t="str">
        <f>IF(Table!D827 = "","",Table!D827)</f>
        <v/>
      </c>
      <c r="E827" s="32" t="str">
        <f>IF(Table!E827 = "","",Table!E827)</f>
        <v/>
      </c>
      <c r="F827" s="32" t="str">
        <f>IF(Table!F827 = "","",Table!F827)</f>
        <v/>
      </c>
      <c r="G827" s="91"/>
      <c r="I827" s="84" t="str">
        <f>IFERROR(VLOOKUP(A827,Downlink!A:L,12,TRUE),"")</f>
        <v/>
      </c>
      <c r="K827" s="31" t="str">
        <f>IFERROR(VLOOKUP(A827,Table!$I$4:$O$3000,1,TRUE),"")</f>
        <v/>
      </c>
      <c r="L827" s="31" t="str">
        <f>IFERROR(INDEX(Table!I:O,MATCH(K827,Table!I:I,0),2),"")</f>
        <v/>
      </c>
      <c r="M827" s="31" t="str">
        <f>IFERROR(INDEX(Table!I:O,MATCH(K827,Table!I:I,0),3),"")</f>
        <v/>
      </c>
      <c r="N827" s="32" t="str">
        <f>IFERROR(INDEX(Table!I:O,MATCH(K827,Table!I:I,0),4),"")</f>
        <v/>
      </c>
      <c r="O827" s="32" t="str">
        <f>IFERROR(INDEX(Table!I:O,MATCH(K827,Table!I:I,0),5),"")</f>
        <v/>
      </c>
      <c r="P827" s="32" t="str">
        <f>IFERROR(INDEX(Table!I:O,MATCH(K827,Table!I:I,0),6),"")</f>
        <v/>
      </c>
      <c r="Q827" s="89" t="str">
        <f t="shared" si="36"/>
        <v/>
      </c>
      <c r="R827" s="89" t="str">
        <f t="shared" si="37"/>
        <v/>
      </c>
      <c r="S827" s="82"/>
      <c r="U827" s="37" t="e">
        <f t="shared" si="38"/>
        <v>#VALUE!</v>
      </c>
    </row>
    <row r="828" spans="1:21" x14ac:dyDescent="0.25">
      <c r="A828" s="31" t="str">
        <f>IF(Table!A828 = "","",Table!A828)</f>
        <v/>
      </c>
      <c r="B828" s="31" t="str">
        <f>IF(Table!B828 = "","",Table!B828)</f>
        <v/>
      </c>
      <c r="C828" s="31" t="str">
        <f>IF(Table!C828 = "","",Table!C828)</f>
        <v/>
      </c>
      <c r="D828" s="32" t="str">
        <f>IF(Table!D828 = "","",Table!D828)</f>
        <v/>
      </c>
      <c r="E828" s="32" t="str">
        <f>IF(Table!E828 = "","",Table!E828)</f>
        <v/>
      </c>
      <c r="F828" s="32" t="str">
        <f>IF(Table!F828 = "","",Table!F828)</f>
        <v/>
      </c>
      <c r="G828" s="91"/>
      <c r="I828" s="84" t="str">
        <f>IFERROR(VLOOKUP(A828,Downlink!A:L,12,TRUE),"")</f>
        <v/>
      </c>
      <c r="K828" s="31" t="str">
        <f>IFERROR(VLOOKUP(A828,Table!$I$4:$O$3000,1,TRUE),"")</f>
        <v/>
      </c>
      <c r="L828" s="31" t="str">
        <f>IFERROR(INDEX(Table!I:O,MATCH(K828,Table!I:I,0),2),"")</f>
        <v/>
      </c>
      <c r="M828" s="31" t="str">
        <f>IFERROR(INDEX(Table!I:O,MATCH(K828,Table!I:I,0),3),"")</f>
        <v/>
      </c>
      <c r="N828" s="32" t="str">
        <f>IFERROR(INDEX(Table!I:O,MATCH(K828,Table!I:I,0),4),"")</f>
        <v/>
      </c>
      <c r="O828" s="32" t="str">
        <f>IFERROR(INDEX(Table!I:O,MATCH(K828,Table!I:I,0),5),"")</f>
        <v/>
      </c>
      <c r="P828" s="32" t="str">
        <f>IFERROR(INDEX(Table!I:O,MATCH(K828,Table!I:I,0),6),"")</f>
        <v/>
      </c>
      <c r="Q828" s="89" t="str">
        <f t="shared" si="36"/>
        <v/>
      </c>
      <c r="R828" s="89" t="str">
        <f t="shared" si="37"/>
        <v/>
      </c>
      <c r="S828" s="82"/>
      <c r="U828" s="37" t="e">
        <f t="shared" si="38"/>
        <v>#VALUE!</v>
      </c>
    </row>
    <row r="829" spans="1:21" x14ac:dyDescent="0.25">
      <c r="A829" s="31" t="str">
        <f>IF(Table!A829 = "","",Table!A829)</f>
        <v/>
      </c>
      <c r="B829" s="31" t="str">
        <f>IF(Table!B829 = "","",Table!B829)</f>
        <v/>
      </c>
      <c r="C829" s="31" t="str">
        <f>IF(Table!C829 = "","",Table!C829)</f>
        <v/>
      </c>
      <c r="D829" s="32" t="str">
        <f>IF(Table!D829 = "","",Table!D829)</f>
        <v/>
      </c>
      <c r="E829" s="32" t="str">
        <f>IF(Table!E829 = "","",Table!E829)</f>
        <v/>
      </c>
      <c r="F829" s="32" t="str">
        <f>IF(Table!F829 = "","",Table!F829)</f>
        <v/>
      </c>
      <c r="G829" s="91"/>
      <c r="I829" s="84" t="str">
        <f>IFERROR(VLOOKUP(A829,Downlink!A:L,12,TRUE),"")</f>
        <v/>
      </c>
      <c r="K829" s="31" t="str">
        <f>IFERROR(VLOOKUP(A829,Table!$I$4:$O$3000,1,TRUE),"")</f>
        <v/>
      </c>
      <c r="L829" s="31" t="str">
        <f>IFERROR(INDEX(Table!I:O,MATCH(K829,Table!I:I,0),2),"")</f>
        <v/>
      </c>
      <c r="M829" s="31" t="str">
        <f>IFERROR(INDEX(Table!I:O,MATCH(K829,Table!I:I,0),3),"")</f>
        <v/>
      </c>
      <c r="N829" s="32" t="str">
        <f>IFERROR(INDEX(Table!I:O,MATCH(K829,Table!I:I,0),4),"")</f>
        <v/>
      </c>
      <c r="O829" s="32" t="str">
        <f>IFERROR(INDEX(Table!I:O,MATCH(K829,Table!I:I,0),5),"")</f>
        <v/>
      </c>
      <c r="P829" s="32" t="str">
        <f>IFERROR(INDEX(Table!I:O,MATCH(K829,Table!I:I,0),6),"")</f>
        <v/>
      </c>
      <c r="Q829" s="89" t="str">
        <f t="shared" si="36"/>
        <v/>
      </c>
      <c r="R829" s="89" t="str">
        <f t="shared" si="37"/>
        <v/>
      </c>
      <c r="S829" s="82"/>
      <c r="U829" s="37" t="e">
        <f t="shared" si="38"/>
        <v>#VALUE!</v>
      </c>
    </row>
    <row r="830" spans="1:21" x14ac:dyDescent="0.25">
      <c r="A830" s="31" t="str">
        <f>IF(Table!A830 = "","",Table!A830)</f>
        <v/>
      </c>
      <c r="B830" s="31" t="str">
        <f>IF(Table!B830 = "","",Table!B830)</f>
        <v/>
      </c>
      <c r="C830" s="31" t="str">
        <f>IF(Table!C830 = "","",Table!C830)</f>
        <v/>
      </c>
      <c r="D830" s="32" t="str">
        <f>IF(Table!D830 = "","",Table!D830)</f>
        <v/>
      </c>
      <c r="E830" s="32" t="str">
        <f>IF(Table!E830 = "","",Table!E830)</f>
        <v/>
      </c>
      <c r="F830" s="32" t="str">
        <f>IF(Table!F830 = "","",Table!F830)</f>
        <v/>
      </c>
      <c r="G830" s="91"/>
      <c r="I830" s="84" t="str">
        <f>IFERROR(VLOOKUP(A830,Downlink!A:L,12,TRUE),"")</f>
        <v/>
      </c>
      <c r="K830" s="31" t="str">
        <f>IFERROR(VLOOKUP(A830,Table!$I$4:$O$3000,1,TRUE),"")</f>
        <v/>
      </c>
      <c r="L830" s="31" t="str">
        <f>IFERROR(INDEX(Table!I:O,MATCH(K830,Table!I:I,0),2),"")</f>
        <v/>
      </c>
      <c r="M830" s="31" t="str">
        <f>IFERROR(INDEX(Table!I:O,MATCH(K830,Table!I:I,0),3),"")</f>
        <v/>
      </c>
      <c r="N830" s="32" t="str">
        <f>IFERROR(INDEX(Table!I:O,MATCH(K830,Table!I:I,0),4),"")</f>
        <v/>
      </c>
      <c r="O830" s="32" t="str">
        <f>IFERROR(INDEX(Table!I:O,MATCH(K830,Table!I:I,0),5),"")</f>
        <v/>
      </c>
      <c r="P830" s="32" t="str">
        <f>IFERROR(INDEX(Table!I:O,MATCH(K830,Table!I:I,0),6),"")</f>
        <v/>
      </c>
      <c r="Q830" s="89" t="str">
        <f t="shared" si="36"/>
        <v/>
      </c>
      <c r="R830" s="89" t="str">
        <f t="shared" si="37"/>
        <v/>
      </c>
      <c r="S830" s="82"/>
      <c r="U830" s="37" t="e">
        <f t="shared" si="38"/>
        <v>#VALUE!</v>
      </c>
    </row>
    <row r="831" spans="1:21" x14ac:dyDescent="0.25">
      <c r="A831" s="31" t="str">
        <f>IF(Table!A831 = "","",Table!A831)</f>
        <v/>
      </c>
      <c r="B831" s="31" t="str">
        <f>IF(Table!B831 = "","",Table!B831)</f>
        <v/>
      </c>
      <c r="C831" s="31" t="str">
        <f>IF(Table!C831 = "","",Table!C831)</f>
        <v/>
      </c>
      <c r="D831" s="32" t="str">
        <f>IF(Table!D831 = "","",Table!D831)</f>
        <v/>
      </c>
      <c r="E831" s="32" t="str">
        <f>IF(Table!E831 = "","",Table!E831)</f>
        <v/>
      </c>
      <c r="F831" s="32" t="str">
        <f>IF(Table!F831 = "","",Table!F831)</f>
        <v/>
      </c>
      <c r="G831" s="91"/>
      <c r="I831" s="84" t="str">
        <f>IFERROR(VLOOKUP(A831,Downlink!A:L,12,TRUE),"")</f>
        <v/>
      </c>
      <c r="K831" s="31" t="str">
        <f>IFERROR(VLOOKUP(A831,Table!$I$4:$O$3000,1,TRUE),"")</f>
        <v/>
      </c>
      <c r="L831" s="31" t="str">
        <f>IFERROR(INDEX(Table!I:O,MATCH(K831,Table!I:I,0),2),"")</f>
        <v/>
      </c>
      <c r="M831" s="31" t="str">
        <f>IFERROR(INDEX(Table!I:O,MATCH(K831,Table!I:I,0),3),"")</f>
        <v/>
      </c>
      <c r="N831" s="32" t="str">
        <f>IFERROR(INDEX(Table!I:O,MATCH(K831,Table!I:I,0),4),"")</f>
        <v/>
      </c>
      <c r="O831" s="32" t="str">
        <f>IFERROR(INDEX(Table!I:O,MATCH(K831,Table!I:I,0),5),"")</f>
        <v/>
      </c>
      <c r="P831" s="32" t="str">
        <f>IFERROR(INDEX(Table!I:O,MATCH(K831,Table!I:I,0),6),"")</f>
        <v/>
      </c>
      <c r="Q831" s="89" t="str">
        <f t="shared" si="36"/>
        <v/>
      </c>
      <c r="R831" s="89" t="str">
        <f t="shared" si="37"/>
        <v/>
      </c>
      <c r="S831" s="82"/>
      <c r="U831" s="37" t="e">
        <f t="shared" si="38"/>
        <v>#VALUE!</v>
      </c>
    </row>
    <row r="832" spans="1:21" x14ac:dyDescent="0.25">
      <c r="A832" s="31" t="str">
        <f>IF(Table!A832 = "","",Table!A832)</f>
        <v/>
      </c>
      <c r="B832" s="31" t="str">
        <f>IF(Table!B832 = "","",Table!B832)</f>
        <v/>
      </c>
      <c r="C832" s="31" t="str">
        <f>IF(Table!C832 = "","",Table!C832)</f>
        <v/>
      </c>
      <c r="D832" s="32" t="str">
        <f>IF(Table!D832 = "","",Table!D832)</f>
        <v/>
      </c>
      <c r="E832" s="32" t="str">
        <f>IF(Table!E832 = "","",Table!E832)</f>
        <v/>
      </c>
      <c r="F832" s="32" t="str">
        <f>IF(Table!F832 = "","",Table!F832)</f>
        <v/>
      </c>
      <c r="G832" s="91"/>
      <c r="I832" s="84" t="str">
        <f>IFERROR(VLOOKUP(A832,Downlink!A:L,12,TRUE),"")</f>
        <v/>
      </c>
      <c r="K832" s="31" t="str">
        <f>IFERROR(VLOOKUP(A832,Table!$I$4:$O$3000,1,TRUE),"")</f>
        <v/>
      </c>
      <c r="L832" s="31" t="str">
        <f>IFERROR(INDEX(Table!I:O,MATCH(K832,Table!I:I,0),2),"")</f>
        <v/>
      </c>
      <c r="M832" s="31" t="str">
        <f>IFERROR(INDEX(Table!I:O,MATCH(K832,Table!I:I,0),3),"")</f>
        <v/>
      </c>
      <c r="N832" s="32" t="str">
        <f>IFERROR(INDEX(Table!I:O,MATCH(K832,Table!I:I,0),4),"")</f>
        <v/>
      </c>
      <c r="O832" s="32" t="str">
        <f>IFERROR(INDEX(Table!I:O,MATCH(K832,Table!I:I,0),5),"")</f>
        <v/>
      </c>
      <c r="P832" s="32" t="str">
        <f>IFERROR(INDEX(Table!I:O,MATCH(K832,Table!I:I,0),6),"")</f>
        <v/>
      </c>
      <c r="Q832" s="89" t="str">
        <f t="shared" si="36"/>
        <v/>
      </c>
      <c r="R832" s="89" t="str">
        <f t="shared" si="37"/>
        <v/>
      </c>
      <c r="S832" s="82"/>
      <c r="U832" s="37" t="e">
        <f t="shared" si="38"/>
        <v>#VALUE!</v>
      </c>
    </row>
    <row r="833" spans="1:21" x14ac:dyDescent="0.25">
      <c r="A833" s="31" t="str">
        <f>IF(Table!A833 = "","",Table!A833)</f>
        <v/>
      </c>
      <c r="B833" s="31" t="str">
        <f>IF(Table!B833 = "","",Table!B833)</f>
        <v/>
      </c>
      <c r="C833" s="31" t="str">
        <f>IF(Table!C833 = "","",Table!C833)</f>
        <v/>
      </c>
      <c r="D833" s="32" t="str">
        <f>IF(Table!D833 = "","",Table!D833)</f>
        <v/>
      </c>
      <c r="E833" s="32" t="str">
        <f>IF(Table!E833 = "","",Table!E833)</f>
        <v/>
      </c>
      <c r="F833" s="32" t="str">
        <f>IF(Table!F833 = "","",Table!F833)</f>
        <v/>
      </c>
      <c r="G833" s="91"/>
      <c r="I833" s="84" t="str">
        <f>IFERROR(VLOOKUP(A833,Downlink!A:L,12,TRUE),"")</f>
        <v/>
      </c>
      <c r="K833" s="31" t="str">
        <f>IFERROR(VLOOKUP(A833,Table!$I$4:$O$3000,1,TRUE),"")</f>
        <v/>
      </c>
      <c r="L833" s="31" t="str">
        <f>IFERROR(INDEX(Table!I:O,MATCH(K833,Table!I:I,0),2),"")</f>
        <v/>
      </c>
      <c r="M833" s="31" t="str">
        <f>IFERROR(INDEX(Table!I:O,MATCH(K833,Table!I:I,0),3),"")</f>
        <v/>
      </c>
      <c r="N833" s="32" t="str">
        <f>IFERROR(INDEX(Table!I:O,MATCH(K833,Table!I:I,0),4),"")</f>
        <v/>
      </c>
      <c r="O833" s="32" t="str">
        <f>IFERROR(INDEX(Table!I:O,MATCH(K833,Table!I:I,0),5),"")</f>
        <v/>
      </c>
      <c r="P833" s="32" t="str">
        <f>IFERROR(INDEX(Table!I:O,MATCH(K833,Table!I:I,0),6),"")</f>
        <v/>
      </c>
      <c r="Q833" s="89" t="str">
        <f t="shared" si="36"/>
        <v/>
      </c>
      <c r="R833" s="89" t="str">
        <f t="shared" si="37"/>
        <v/>
      </c>
      <c r="S833" s="82"/>
      <c r="U833" s="37" t="e">
        <f t="shared" si="38"/>
        <v>#VALUE!</v>
      </c>
    </row>
    <row r="834" spans="1:21" x14ac:dyDescent="0.25">
      <c r="A834" s="31" t="str">
        <f>IF(Table!A834 = "","",Table!A834)</f>
        <v/>
      </c>
      <c r="B834" s="31" t="str">
        <f>IF(Table!B834 = "","",Table!B834)</f>
        <v/>
      </c>
      <c r="C834" s="31" t="str">
        <f>IF(Table!C834 = "","",Table!C834)</f>
        <v/>
      </c>
      <c r="D834" s="32" t="str">
        <f>IF(Table!D834 = "","",Table!D834)</f>
        <v/>
      </c>
      <c r="E834" s="32" t="str">
        <f>IF(Table!E834 = "","",Table!E834)</f>
        <v/>
      </c>
      <c r="F834" s="32" t="str">
        <f>IF(Table!F834 = "","",Table!F834)</f>
        <v/>
      </c>
      <c r="G834" s="91"/>
      <c r="I834" s="84" t="str">
        <f>IFERROR(VLOOKUP(A834,Downlink!A:L,12,TRUE),"")</f>
        <v/>
      </c>
      <c r="K834" s="31" t="str">
        <f>IFERROR(VLOOKUP(A834,Table!$I$4:$O$3000,1,TRUE),"")</f>
        <v/>
      </c>
      <c r="L834" s="31" t="str">
        <f>IFERROR(INDEX(Table!I:O,MATCH(K834,Table!I:I,0),2),"")</f>
        <v/>
      </c>
      <c r="M834" s="31" t="str">
        <f>IFERROR(INDEX(Table!I:O,MATCH(K834,Table!I:I,0),3),"")</f>
        <v/>
      </c>
      <c r="N834" s="32" t="str">
        <f>IFERROR(INDEX(Table!I:O,MATCH(K834,Table!I:I,0),4),"")</f>
        <v/>
      </c>
      <c r="O834" s="32" t="str">
        <f>IFERROR(INDEX(Table!I:O,MATCH(K834,Table!I:I,0),5),"")</f>
        <v/>
      </c>
      <c r="P834" s="32" t="str">
        <f>IFERROR(INDEX(Table!I:O,MATCH(K834,Table!I:I,0),6),"")</f>
        <v/>
      </c>
      <c r="Q834" s="89" t="str">
        <f t="shared" si="36"/>
        <v/>
      </c>
      <c r="R834" s="89" t="str">
        <f t="shared" si="37"/>
        <v/>
      </c>
      <c r="S834" s="82"/>
      <c r="U834" s="37" t="e">
        <f t="shared" si="38"/>
        <v>#VALUE!</v>
      </c>
    </row>
    <row r="835" spans="1:21" x14ac:dyDescent="0.25">
      <c r="A835" s="31" t="str">
        <f>IF(Table!A835 = "","",Table!A835)</f>
        <v/>
      </c>
      <c r="B835" s="31" t="str">
        <f>IF(Table!B835 = "","",Table!B835)</f>
        <v/>
      </c>
      <c r="C835" s="31" t="str">
        <f>IF(Table!C835 = "","",Table!C835)</f>
        <v/>
      </c>
      <c r="D835" s="32" t="str">
        <f>IF(Table!D835 = "","",Table!D835)</f>
        <v/>
      </c>
      <c r="E835" s="32" t="str">
        <f>IF(Table!E835 = "","",Table!E835)</f>
        <v/>
      </c>
      <c r="F835" s="32" t="str">
        <f>IF(Table!F835 = "","",Table!F835)</f>
        <v/>
      </c>
      <c r="G835" s="91"/>
      <c r="I835" s="84" t="str">
        <f>IFERROR(VLOOKUP(A835,Downlink!A:L,12,TRUE),"")</f>
        <v/>
      </c>
      <c r="K835" s="31" t="str">
        <f>IFERROR(VLOOKUP(A835,Table!$I$4:$O$3000,1,TRUE),"")</f>
        <v/>
      </c>
      <c r="L835" s="31" t="str">
        <f>IFERROR(INDEX(Table!I:O,MATCH(K835,Table!I:I,0),2),"")</f>
        <v/>
      </c>
      <c r="M835" s="31" t="str">
        <f>IFERROR(INDEX(Table!I:O,MATCH(K835,Table!I:I,0),3),"")</f>
        <v/>
      </c>
      <c r="N835" s="32" t="str">
        <f>IFERROR(INDEX(Table!I:O,MATCH(K835,Table!I:I,0),4),"")</f>
        <v/>
      </c>
      <c r="O835" s="32" t="str">
        <f>IFERROR(INDEX(Table!I:O,MATCH(K835,Table!I:I,0),5),"")</f>
        <v/>
      </c>
      <c r="P835" s="32" t="str">
        <f>IFERROR(INDEX(Table!I:O,MATCH(K835,Table!I:I,0),6),"")</f>
        <v/>
      </c>
      <c r="Q835" s="89" t="str">
        <f t="shared" si="36"/>
        <v/>
      </c>
      <c r="R835" s="89" t="str">
        <f t="shared" si="37"/>
        <v/>
      </c>
      <c r="S835" s="82"/>
      <c r="U835" s="37" t="e">
        <f t="shared" si="38"/>
        <v>#VALUE!</v>
      </c>
    </row>
    <row r="836" spans="1:21" x14ac:dyDescent="0.25">
      <c r="A836" s="31" t="str">
        <f>IF(Table!A836 = "","",Table!A836)</f>
        <v/>
      </c>
      <c r="B836" s="31" t="str">
        <f>IF(Table!B836 = "","",Table!B836)</f>
        <v/>
      </c>
      <c r="C836" s="31" t="str">
        <f>IF(Table!C836 = "","",Table!C836)</f>
        <v/>
      </c>
      <c r="D836" s="32" t="str">
        <f>IF(Table!D836 = "","",Table!D836)</f>
        <v/>
      </c>
      <c r="E836" s="32" t="str">
        <f>IF(Table!E836 = "","",Table!E836)</f>
        <v/>
      </c>
      <c r="F836" s="32" t="str">
        <f>IF(Table!F836 = "","",Table!F836)</f>
        <v/>
      </c>
      <c r="G836" s="91"/>
      <c r="I836" s="84" t="str">
        <f>IFERROR(VLOOKUP(A836,Downlink!A:L,12,TRUE),"")</f>
        <v/>
      </c>
      <c r="K836" s="31" t="str">
        <f>IFERROR(VLOOKUP(A836,Table!$I$4:$O$3000,1,TRUE),"")</f>
        <v/>
      </c>
      <c r="L836" s="31" t="str">
        <f>IFERROR(INDEX(Table!I:O,MATCH(K836,Table!I:I,0),2),"")</f>
        <v/>
      </c>
      <c r="M836" s="31" t="str">
        <f>IFERROR(INDEX(Table!I:O,MATCH(K836,Table!I:I,0),3),"")</f>
        <v/>
      </c>
      <c r="N836" s="32" t="str">
        <f>IFERROR(INDEX(Table!I:O,MATCH(K836,Table!I:I,0),4),"")</f>
        <v/>
      </c>
      <c r="O836" s="32" t="str">
        <f>IFERROR(INDEX(Table!I:O,MATCH(K836,Table!I:I,0),5),"")</f>
        <v/>
      </c>
      <c r="P836" s="32" t="str">
        <f>IFERROR(INDEX(Table!I:O,MATCH(K836,Table!I:I,0),6),"")</f>
        <v/>
      </c>
      <c r="Q836" s="89" t="str">
        <f t="shared" si="36"/>
        <v/>
      </c>
      <c r="R836" s="89" t="str">
        <f t="shared" si="37"/>
        <v/>
      </c>
      <c r="S836" s="82"/>
      <c r="U836" s="37" t="e">
        <f t="shared" si="38"/>
        <v>#VALUE!</v>
      </c>
    </row>
    <row r="837" spans="1:21" x14ac:dyDescent="0.25">
      <c r="A837" s="31" t="str">
        <f>IF(Table!A837 = "","",Table!A837)</f>
        <v/>
      </c>
      <c r="B837" s="31" t="str">
        <f>IF(Table!B837 = "","",Table!B837)</f>
        <v/>
      </c>
      <c r="C837" s="31" t="str">
        <f>IF(Table!C837 = "","",Table!C837)</f>
        <v/>
      </c>
      <c r="D837" s="32" t="str">
        <f>IF(Table!D837 = "","",Table!D837)</f>
        <v/>
      </c>
      <c r="E837" s="32" t="str">
        <f>IF(Table!E837 = "","",Table!E837)</f>
        <v/>
      </c>
      <c r="F837" s="32" t="str">
        <f>IF(Table!F837 = "","",Table!F837)</f>
        <v/>
      </c>
      <c r="G837" s="91"/>
      <c r="I837" s="84" t="str">
        <f>IFERROR(VLOOKUP(A837,Downlink!A:L,12,TRUE),"")</f>
        <v/>
      </c>
      <c r="K837" s="31" t="str">
        <f>IFERROR(VLOOKUP(A837,Table!$I$4:$O$3000,1,TRUE),"")</f>
        <v/>
      </c>
      <c r="L837" s="31" t="str">
        <f>IFERROR(INDEX(Table!I:O,MATCH(K837,Table!I:I,0),2),"")</f>
        <v/>
      </c>
      <c r="M837" s="31" t="str">
        <f>IFERROR(INDEX(Table!I:O,MATCH(K837,Table!I:I,0),3),"")</f>
        <v/>
      </c>
      <c r="N837" s="32" t="str">
        <f>IFERROR(INDEX(Table!I:O,MATCH(K837,Table!I:I,0),4),"")</f>
        <v/>
      </c>
      <c r="O837" s="32" t="str">
        <f>IFERROR(INDEX(Table!I:O,MATCH(K837,Table!I:I,0),5),"")</f>
        <v/>
      </c>
      <c r="P837" s="32" t="str">
        <f>IFERROR(INDEX(Table!I:O,MATCH(K837,Table!I:I,0),6),"")</f>
        <v/>
      </c>
      <c r="Q837" s="89" t="str">
        <f t="shared" si="36"/>
        <v/>
      </c>
      <c r="R837" s="89" t="str">
        <f t="shared" si="37"/>
        <v/>
      </c>
      <c r="S837" s="82"/>
      <c r="U837" s="37" t="e">
        <f t="shared" si="38"/>
        <v>#VALUE!</v>
      </c>
    </row>
    <row r="838" spans="1:21" x14ac:dyDescent="0.25">
      <c r="A838" s="31" t="str">
        <f>IF(Table!A838 = "","",Table!A838)</f>
        <v/>
      </c>
      <c r="B838" s="31" t="str">
        <f>IF(Table!B838 = "","",Table!B838)</f>
        <v/>
      </c>
      <c r="C838" s="31" t="str">
        <f>IF(Table!C838 = "","",Table!C838)</f>
        <v/>
      </c>
      <c r="D838" s="32" t="str">
        <f>IF(Table!D838 = "","",Table!D838)</f>
        <v/>
      </c>
      <c r="E838" s="32" t="str">
        <f>IF(Table!E838 = "","",Table!E838)</f>
        <v/>
      </c>
      <c r="F838" s="32" t="str">
        <f>IF(Table!F838 = "","",Table!F838)</f>
        <v/>
      </c>
      <c r="G838" s="91"/>
      <c r="I838" s="84" t="str">
        <f>IFERROR(VLOOKUP(A838,Downlink!A:L,12,TRUE),"")</f>
        <v/>
      </c>
      <c r="K838" s="31" t="str">
        <f>IFERROR(VLOOKUP(A838,Table!$I$4:$O$3000,1,TRUE),"")</f>
        <v/>
      </c>
      <c r="L838" s="31" t="str">
        <f>IFERROR(INDEX(Table!I:O,MATCH(K838,Table!I:I,0),2),"")</f>
        <v/>
      </c>
      <c r="M838" s="31" t="str">
        <f>IFERROR(INDEX(Table!I:O,MATCH(K838,Table!I:I,0),3),"")</f>
        <v/>
      </c>
      <c r="N838" s="32" t="str">
        <f>IFERROR(INDEX(Table!I:O,MATCH(K838,Table!I:I,0),4),"")</f>
        <v/>
      </c>
      <c r="O838" s="32" t="str">
        <f>IFERROR(INDEX(Table!I:O,MATCH(K838,Table!I:I,0),5),"")</f>
        <v/>
      </c>
      <c r="P838" s="32" t="str">
        <f>IFERROR(INDEX(Table!I:O,MATCH(K838,Table!I:I,0),6),"")</f>
        <v/>
      </c>
      <c r="Q838" s="89" t="str">
        <f t="shared" ref="Q838:Q901" si="39">IFERROR(L838-B838,"")</f>
        <v/>
      </c>
      <c r="R838" s="89" t="str">
        <f t="shared" ref="R838:R901" si="40">IFERROR(M838-C838,"")</f>
        <v/>
      </c>
      <c r="S838" s="82"/>
      <c r="U838" s="37" t="e">
        <f t="shared" ref="U838:U901" si="41">K838-K837</f>
        <v>#VALUE!</v>
      </c>
    </row>
    <row r="839" spans="1:21" x14ac:dyDescent="0.25">
      <c r="A839" s="31" t="str">
        <f>IF(Table!A839 = "","",Table!A839)</f>
        <v/>
      </c>
      <c r="B839" s="31" t="str">
        <f>IF(Table!B839 = "","",Table!B839)</f>
        <v/>
      </c>
      <c r="C839" s="31" t="str">
        <f>IF(Table!C839 = "","",Table!C839)</f>
        <v/>
      </c>
      <c r="D839" s="32" t="str">
        <f>IF(Table!D839 = "","",Table!D839)</f>
        <v/>
      </c>
      <c r="E839" s="32" t="str">
        <f>IF(Table!E839 = "","",Table!E839)</f>
        <v/>
      </c>
      <c r="F839" s="32" t="str">
        <f>IF(Table!F839 = "","",Table!F839)</f>
        <v/>
      </c>
      <c r="G839" s="91"/>
      <c r="I839" s="84" t="str">
        <f>IFERROR(VLOOKUP(A839,Downlink!A:L,12,TRUE),"")</f>
        <v/>
      </c>
      <c r="K839" s="31" t="str">
        <f>IFERROR(VLOOKUP(A839,Table!$I$4:$O$3000,1,TRUE),"")</f>
        <v/>
      </c>
      <c r="L839" s="31" t="str">
        <f>IFERROR(INDEX(Table!I:O,MATCH(K839,Table!I:I,0),2),"")</f>
        <v/>
      </c>
      <c r="M839" s="31" t="str">
        <f>IFERROR(INDEX(Table!I:O,MATCH(K839,Table!I:I,0),3),"")</f>
        <v/>
      </c>
      <c r="N839" s="32" t="str">
        <f>IFERROR(INDEX(Table!I:O,MATCH(K839,Table!I:I,0),4),"")</f>
        <v/>
      </c>
      <c r="O839" s="32" t="str">
        <f>IFERROR(INDEX(Table!I:O,MATCH(K839,Table!I:I,0),5),"")</f>
        <v/>
      </c>
      <c r="P839" s="32" t="str">
        <f>IFERROR(INDEX(Table!I:O,MATCH(K839,Table!I:I,0),6),"")</f>
        <v/>
      </c>
      <c r="Q839" s="89" t="str">
        <f t="shared" si="39"/>
        <v/>
      </c>
      <c r="R839" s="89" t="str">
        <f t="shared" si="40"/>
        <v/>
      </c>
      <c r="S839" s="82"/>
      <c r="U839" s="37" t="e">
        <f t="shared" si="41"/>
        <v>#VALUE!</v>
      </c>
    </row>
    <row r="840" spans="1:21" x14ac:dyDescent="0.25">
      <c r="A840" s="31" t="str">
        <f>IF(Table!A840 = "","",Table!A840)</f>
        <v/>
      </c>
      <c r="B840" s="31" t="str">
        <f>IF(Table!B840 = "","",Table!B840)</f>
        <v/>
      </c>
      <c r="C840" s="31" t="str">
        <f>IF(Table!C840 = "","",Table!C840)</f>
        <v/>
      </c>
      <c r="D840" s="32" t="str">
        <f>IF(Table!D840 = "","",Table!D840)</f>
        <v/>
      </c>
      <c r="E840" s="32" t="str">
        <f>IF(Table!E840 = "","",Table!E840)</f>
        <v/>
      </c>
      <c r="F840" s="32" t="str">
        <f>IF(Table!F840 = "","",Table!F840)</f>
        <v/>
      </c>
      <c r="G840" s="91"/>
      <c r="I840" s="84" t="str">
        <f>IFERROR(VLOOKUP(A840,Downlink!A:L,12,TRUE),"")</f>
        <v/>
      </c>
      <c r="K840" s="31" t="str">
        <f>IFERROR(VLOOKUP(A840,Table!$I$4:$O$3000,1,TRUE),"")</f>
        <v/>
      </c>
      <c r="L840" s="31" t="str">
        <f>IFERROR(INDEX(Table!I:O,MATCH(K840,Table!I:I,0),2),"")</f>
        <v/>
      </c>
      <c r="M840" s="31" t="str">
        <f>IFERROR(INDEX(Table!I:O,MATCH(K840,Table!I:I,0),3),"")</f>
        <v/>
      </c>
      <c r="N840" s="32" t="str">
        <f>IFERROR(INDEX(Table!I:O,MATCH(K840,Table!I:I,0),4),"")</f>
        <v/>
      </c>
      <c r="O840" s="32" t="str">
        <f>IFERROR(INDEX(Table!I:O,MATCH(K840,Table!I:I,0),5),"")</f>
        <v/>
      </c>
      <c r="P840" s="32" t="str">
        <f>IFERROR(INDEX(Table!I:O,MATCH(K840,Table!I:I,0),6),"")</f>
        <v/>
      </c>
      <c r="Q840" s="89" t="str">
        <f t="shared" si="39"/>
        <v/>
      </c>
      <c r="R840" s="89" t="str">
        <f t="shared" si="40"/>
        <v/>
      </c>
      <c r="S840" s="82"/>
      <c r="U840" s="37" t="e">
        <f t="shared" si="41"/>
        <v>#VALUE!</v>
      </c>
    </row>
    <row r="841" spans="1:21" x14ac:dyDescent="0.25">
      <c r="A841" s="31" t="str">
        <f>IF(Table!A841 = "","",Table!A841)</f>
        <v/>
      </c>
      <c r="B841" s="31" t="str">
        <f>IF(Table!B841 = "","",Table!B841)</f>
        <v/>
      </c>
      <c r="C841" s="31" t="str">
        <f>IF(Table!C841 = "","",Table!C841)</f>
        <v/>
      </c>
      <c r="D841" s="32" t="str">
        <f>IF(Table!D841 = "","",Table!D841)</f>
        <v/>
      </c>
      <c r="E841" s="32" t="str">
        <f>IF(Table!E841 = "","",Table!E841)</f>
        <v/>
      </c>
      <c r="F841" s="32" t="str">
        <f>IF(Table!F841 = "","",Table!F841)</f>
        <v/>
      </c>
      <c r="G841" s="91"/>
      <c r="I841" s="84" t="str">
        <f>IFERROR(VLOOKUP(A841,Downlink!A:L,12,TRUE),"")</f>
        <v/>
      </c>
      <c r="K841" s="31" t="str">
        <f>IFERROR(VLOOKUP(A841,Table!$I$4:$O$3000,1,TRUE),"")</f>
        <v/>
      </c>
      <c r="L841" s="31" t="str">
        <f>IFERROR(INDEX(Table!I:O,MATCH(K841,Table!I:I,0),2),"")</f>
        <v/>
      </c>
      <c r="M841" s="31" t="str">
        <f>IFERROR(INDEX(Table!I:O,MATCH(K841,Table!I:I,0),3),"")</f>
        <v/>
      </c>
      <c r="N841" s="32" t="str">
        <f>IFERROR(INDEX(Table!I:O,MATCH(K841,Table!I:I,0),4),"")</f>
        <v/>
      </c>
      <c r="O841" s="32" t="str">
        <f>IFERROR(INDEX(Table!I:O,MATCH(K841,Table!I:I,0),5),"")</f>
        <v/>
      </c>
      <c r="P841" s="32" t="str">
        <f>IFERROR(INDEX(Table!I:O,MATCH(K841,Table!I:I,0),6),"")</f>
        <v/>
      </c>
      <c r="Q841" s="89" t="str">
        <f t="shared" si="39"/>
        <v/>
      </c>
      <c r="R841" s="89" t="str">
        <f t="shared" si="40"/>
        <v/>
      </c>
      <c r="S841" s="82"/>
      <c r="U841" s="37" t="e">
        <f t="shared" si="41"/>
        <v>#VALUE!</v>
      </c>
    </row>
    <row r="842" spans="1:21" x14ac:dyDescent="0.25">
      <c r="A842" s="31" t="str">
        <f>IF(Table!A842 = "","",Table!A842)</f>
        <v/>
      </c>
      <c r="B842" s="31" t="str">
        <f>IF(Table!B842 = "","",Table!B842)</f>
        <v/>
      </c>
      <c r="C842" s="31" t="str">
        <f>IF(Table!C842 = "","",Table!C842)</f>
        <v/>
      </c>
      <c r="D842" s="32" t="str">
        <f>IF(Table!D842 = "","",Table!D842)</f>
        <v/>
      </c>
      <c r="E842" s="32" t="str">
        <f>IF(Table!E842 = "","",Table!E842)</f>
        <v/>
      </c>
      <c r="F842" s="32" t="str">
        <f>IF(Table!F842 = "","",Table!F842)</f>
        <v/>
      </c>
      <c r="G842" s="91"/>
      <c r="I842" s="84" t="str">
        <f>IFERROR(VLOOKUP(A842,Downlink!A:L,12,TRUE),"")</f>
        <v/>
      </c>
      <c r="K842" s="31" t="str">
        <f>IFERROR(VLOOKUP(A842,Table!$I$4:$O$3000,1,TRUE),"")</f>
        <v/>
      </c>
      <c r="L842" s="31" t="str">
        <f>IFERROR(INDEX(Table!I:O,MATCH(K842,Table!I:I,0),2),"")</f>
        <v/>
      </c>
      <c r="M842" s="31" t="str">
        <f>IFERROR(INDEX(Table!I:O,MATCH(K842,Table!I:I,0),3),"")</f>
        <v/>
      </c>
      <c r="N842" s="32" t="str">
        <f>IFERROR(INDEX(Table!I:O,MATCH(K842,Table!I:I,0),4),"")</f>
        <v/>
      </c>
      <c r="O842" s="32" t="str">
        <f>IFERROR(INDEX(Table!I:O,MATCH(K842,Table!I:I,0),5),"")</f>
        <v/>
      </c>
      <c r="P842" s="32" t="str">
        <f>IFERROR(INDEX(Table!I:O,MATCH(K842,Table!I:I,0),6),"")</f>
        <v/>
      </c>
      <c r="Q842" s="89" t="str">
        <f t="shared" si="39"/>
        <v/>
      </c>
      <c r="R842" s="89" t="str">
        <f t="shared" si="40"/>
        <v/>
      </c>
      <c r="S842" s="82"/>
      <c r="U842" s="37" t="e">
        <f t="shared" si="41"/>
        <v>#VALUE!</v>
      </c>
    </row>
    <row r="843" spans="1:21" x14ac:dyDescent="0.25">
      <c r="A843" s="31" t="str">
        <f>IF(Table!A843 = "","",Table!A843)</f>
        <v/>
      </c>
      <c r="B843" s="31" t="str">
        <f>IF(Table!B843 = "","",Table!B843)</f>
        <v/>
      </c>
      <c r="C843" s="31" t="str">
        <f>IF(Table!C843 = "","",Table!C843)</f>
        <v/>
      </c>
      <c r="D843" s="32" t="str">
        <f>IF(Table!D843 = "","",Table!D843)</f>
        <v/>
      </c>
      <c r="E843" s="32" t="str">
        <f>IF(Table!E843 = "","",Table!E843)</f>
        <v/>
      </c>
      <c r="F843" s="32" t="str">
        <f>IF(Table!F843 = "","",Table!F843)</f>
        <v/>
      </c>
      <c r="G843" s="91"/>
      <c r="I843" s="84" t="str">
        <f>IFERROR(VLOOKUP(A843,Downlink!A:L,12,TRUE),"")</f>
        <v/>
      </c>
      <c r="K843" s="31" t="str">
        <f>IFERROR(VLOOKUP(A843,Table!$I$4:$O$3000,1,TRUE),"")</f>
        <v/>
      </c>
      <c r="L843" s="31" t="str">
        <f>IFERROR(INDEX(Table!I:O,MATCH(K843,Table!I:I,0),2),"")</f>
        <v/>
      </c>
      <c r="M843" s="31" t="str">
        <f>IFERROR(INDEX(Table!I:O,MATCH(K843,Table!I:I,0),3),"")</f>
        <v/>
      </c>
      <c r="N843" s="32" t="str">
        <f>IFERROR(INDEX(Table!I:O,MATCH(K843,Table!I:I,0),4),"")</f>
        <v/>
      </c>
      <c r="O843" s="32" t="str">
        <f>IFERROR(INDEX(Table!I:O,MATCH(K843,Table!I:I,0),5),"")</f>
        <v/>
      </c>
      <c r="P843" s="32" t="str">
        <f>IFERROR(INDEX(Table!I:O,MATCH(K843,Table!I:I,0),6),"")</f>
        <v/>
      </c>
      <c r="Q843" s="89" t="str">
        <f t="shared" si="39"/>
        <v/>
      </c>
      <c r="R843" s="89" t="str">
        <f t="shared" si="40"/>
        <v/>
      </c>
      <c r="S843" s="82"/>
      <c r="U843" s="37" t="e">
        <f t="shared" si="41"/>
        <v>#VALUE!</v>
      </c>
    </row>
    <row r="844" spans="1:21" x14ac:dyDescent="0.25">
      <c r="A844" s="31" t="str">
        <f>IF(Table!A844 = "","",Table!A844)</f>
        <v/>
      </c>
      <c r="B844" s="31" t="str">
        <f>IF(Table!B844 = "","",Table!B844)</f>
        <v/>
      </c>
      <c r="C844" s="31" t="str">
        <f>IF(Table!C844 = "","",Table!C844)</f>
        <v/>
      </c>
      <c r="D844" s="32" t="str">
        <f>IF(Table!D844 = "","",Table!D844)</f>
        <v/>
      </c>
      <c r="E844" s="32" t="str">
        <f>IF(Table!E844 = "","",Table!E844)</f>
        <v/>
      </c>
      <c r="F844" s="32" t="str">
        <f>IF(Table!F844 = "","",Table!F844)</f>
        <v/>
      </c>
      <c r="G844" s="91"/>
      <c r="I844" s="84" t="str">
        <f>IFERROR(VLOOKUP(A844,Downlink!A:L,12,TRUE),"")</f>
        <v/>
      </c>
      <c r="K844" s="31" t="str">
        <f>IFERROR(VLOOKUP(A844,Table!$I$4:$O$3000,1,TRUE),"")</f>
        <v/>
      </c>
      <c r="L844" s="31" t="str">
        <f>IFERROR(INDEX(Table!I:O,MATCH(K844,Table!I:I,0),2),"")</f>
        <v/>
      </c>
      <c r="M844" s="31" t="str">
        <f>IFERROR(INDEX(Table!I:O,MATCH(K844,Table!I:I,0),3),"")</f>
        <v/>
      </c>
      <c r="N844" s="32" t="str">
        <f>IFERROR(INDEX(Table!I:O,MATCH(K844,Table!I:I,0),4),"")</f>
        <v/>
      </c>
      <c r="O844" s="32" t="str">
        <f>IFERROR(INDEX(Table!I:O,MATCH(K844,Table!I:I,0),5),"")</f>
        <v/>
      </c>
      <c r="P844" s="32" t="str">
        <f>IFERROR(INDEX(Table!I:O,MATCH(K844,Table!I:I,0),6),"")</f>
        <v/>
      </c>
      <c r="Q844" s="89" t="str">
        <f t="shared" si="39"/>
        <v/>
      </c>
      <c r="R844" s="89" t="str">
        <f t="shared" si="40"/>
        <v/>
      </c>
      <c r="S844" s="82"/>
      <c r="U844" s="37" t="e">
        <f t="shared" si="41"/>
        <v>#VALUE!</v>
      </c>
    </row>
    <row r="845" spans="1:21" x14ac:dyDescent="0.25">
      <c r="A845" s="31" t="str">
        <f>IF(Table!A845 = "","",Table!A845)</f>
        <v/>
      </c>
      <c r="B845" s="31" t="str">
        <f>IF(Table!B845 = "","",Table!B845)</f>
        <v/>
      </c>
      <c r="C845" s="31" t="str">
        <f>IF(Table!C845 = "","",Table!C845)</f>
        <v/>
      </c>
      <c r="D845" s="32" t="str">
        <f>IF(Table!D845 = "","",Table!D845)</f>
        <v/>
      </c>
      <c r="E845" s="32" t="str">
        <f>IF(Table!E845 = "","",Table!E845)</f>
        <v/>
      </c>
      <c r="F845" s="32" t="str">
        <f>IF(Table!F845 = "","",Table!F845)</f>
        <v/>
      </c>
      <c r="G845" s="91"/>
      <c r="I845" s="84" t="str">
        <f>IFERROR(VLOOKUP(A845,Downlink!A:L,12,TRUE),"")</f>
        <v/>
      </c>
      <c r="K845" s="31" t="str">
        <f>IFERROR(VLOOKUP(A845,Table!$I$4:$O$3000,1,TRUE),"")</f>
        <v/>
      </c>
      <c r="L845" s="31" t="str">
        <f>IFERROR(INDEX(Table!I:O,MATCH(K845,Table!I:I,0),2),"")</f>
        <v/>
      </c>
      <c r="M845" s="31" t="str">
        <f>IFERROR(INDEX(Table!I:O,MATCH(K845,Table!I:I,0),3),"")</f>
        <v/>
      </c>
      <c r="N845" s="32" t="str">
        <f>IFERROR(INDEX(Table!I:O,MATCH(K845,Table!I:I,0),4),"")</f>
        <v/>
      </c>
      <c r="O845" s="32" t="str">
        <f>IFERROR(INDEX(Table!I:O,MATCH(K845,Table!I:I,0),5),"")</f>
        <v/>
      </c>
      <c r="P845" s="32" t="str">
        <f>IFERROR(INDEX(Table!I:O,MATCH(K845,Table!I:I,0),6),"")</f>
        <v/>
      </c>
      <c r="Q845" s="89" t="str">
        <f t="shared" si="39"/>
        <v/>
      </c>
      <c r="R845" s="89" t="str">
        <f t="shared" si="40"/>
        <v/>
      </c>
      <c r="S845" s="82"/>
      <c r="U845" s="37" t="e">
        <f t="shared" si="41"/>
        <v>#VALUE!</v>
      </c>
    </row>
    <row r="846" spans="1:21" x14ac:dyDescent="0.25">
      <c r="A846" s="31" t="str">
        <f>IF(Table!A846 = "","",Table!A846)</f>
        <v/>
      </c>
      <c r="B846" s="31" t="str">
        <f>IF(Table!B846 = "","",Table!B846)</f>
        <v/>
      </c>
      <c r="C846" s="31" t="str">
        <f>IF(Table!C846 = "","",Table!C846)</f>
        <v/>
      </c>
      <c r="D846" s="32" t="str">
        <f>IF(Table!D846 = "","",Table!D846)</f>
        <v/>
      </c>
      <c r="E846" s="32" t="str">
        <f>IF(Table!E846 = "","",Table!E846)</f>
        <v/>
      </c>
      <c r="F846" s="32" t="str">
        <f>IF(Table!F846 = "","",Table!F846)</f>
        <v/>
      </c>
      <c r="G846" s="91"/>
      <c r="I846" s="84" t="str">
        <f>IFERROR(VLOOKUP(A846,Downlink!A:L,12,TRUE),"")</f>
        <v/>
      </c>
      <c r="K846" s="31" t="str">
        <f>IFERROR(VLOOKUP(A846,Table!$I$4:$O$3000,1,TRUE),"")</f>
        <v/>
      </c>
      <c r="L846" s="31" t="str">
        <f>IFERROR(INDEX(Table!I:O,MATCH(K846,Table!I:I,0),2),"")</f>
        <v/>
      </c>
      <c r="M846" s="31" t="str">
        <f>IFERROR(INDEX(Table!I:O,MATCH(K846,Table!I:I,0),3),"")</f>
        <v/>
      </c>
      <c r="N846" s="32" t="str">
        <f>IFERROR(INDEX(Table!I:O,MATCH(K846,Table!I:I,0),4),"")</f>
        <v/>
      </c>
      <c r="O846" s="32" t="str">
        <f>IFERROR(INDEX(Table!I:O,MATCH(K846,Table!I:I,0),5),"")</f>
        <v/>
      </c>
      <c r="P846" s="32" t="str">
        <f>IFERROR(INDEX(Table!I:O,MATCH(K846,Table!I:I,0),6),"")</f>
        <v/>
      </c>
      <c r="Q846" s="89" t="str">
        <f t="shared" si="39"/>
        <v/>
      </c>
      <c r="R846" s="89" t="str">
        <f t="shared" si="40"/>
        <v/>
      </c>
      <c r="S846" s="82"/>
      <c r="U846" s="37" t="e">
        <f t="shared" si="41"/>
        <v>#VALUE!</v>
      </c>
    </row>
    <row r="847" spans="1:21" x14ac:dyDescent="0.25">
      <c r="A847" s="31" t="str">
        <f>IF(Table!A847 = "","",Table!A847)</f>
        <v/>
      </c>
      <c r="B847" s="31" t="str">
        <f>IF(Table!B847 = "","",Table!B847)</f>
        <v/>
      </c>
      <c r="C847" s="31" t="str">
        <f>IF(Table!C847 = "","",Table!C847)</f>
        <v/>
      </c>
      <c r="D847" s="32" t="str">
        <f>IF(Table!D847 = "","",Table!D847)</f>
        <v/>
      </c>
      <c r="E847" s="32" t="str">
        <f>IF(Table!E847 = "","",Table!E847)</f>
        <v/>
      </c>
      <c r="F847" s="32" t="str">
        <f>IF(Table!F847 = "","",Table!F847)</f>
        <v/>
      </c>
      <c r="G847" s="91"/>
      <c r="I847" s="84" t="str">
        <f>IFERROR(VLOOKUP(A847,Downlink!A:L,12,TRUE),"")</f>
        <v/>
      </c>
      <c r="K847" s="31" t="str">
        <f>IFERROR(VLOOKUP(A847,Table!$I$4:$O$3000,1,TRUE),"")</f>
        <v/>
      </c>
      <c r="L847" s="31" t="str">
        <f>IFERROR(INDEX(Table!I:O,MATCH(K847,Table!I:I,0),2),"")</f>
        <v/>
      </c>
      <c r="M847" s="31" t="str">
        <f>IFERROR(INDEX(Table!I:O,MATCH(K847,Table!I:I,0),3),"")</f>
        <v/>
      </c>
      <c r="N847" s="32" t="str">
        <f>IFERROR(INDEX(Table!I:O,MATCH(K847,Table!I:I,0),4),"")</f>
        <v/>
      </c>
      <c r="O847" s="32" t="str">
        <f>IFERROR(INDEX(Table!I:O,MATCH(K847,Table!I:I,0),5),"")</f>
        <v/>
      </c>
      <c r="P847" s="32" t="str">
        <f>IFERROR(INDEX(Table!I:O,MATCH(K847,Table!I:I,0),6),"")</f>
        <v/>
      </c>
      <c r="Q847" s="89" t="str">
        <f t="shared" si="39"/>
        <v/>
      </c>
      <c r="R847" s="89" t="str">
        <f t="shared" si="40"/>
        <v/>
      </c>
      <c r="S847" s="82"/>
      <c r="U847" s="37" t="e">
        <f t="shared" si="41"/>
        <v>#VALUE!</v>
      </c>
    </row>
    <row r="848" spans="1:21" x14ac:dyDescent="0.25">
      <c r="A848" s="31" t="str">
        <f>IF(Table!A848 = "","",Table!A848)</f>
        <v/>
      </c>
      <c r="B848" s="31" t="str">
        <f>IF(Table!B848 = "","",Table!B848)</f>
        <v/>
      </c>
      <c r="C848" s="31" t="str">
        <f>IF(Table!C848 = "","",Table!C848)</f>
        <v/>
      </c>
      <c r="D848" s="32" t="str">
        <f>IF(Table!D848 = "","",Table!D848)</f>
        <v/>
      </c>
      <c r="E848" s="32" t="str">
        <f>IF(Table!E848 = "","",Table!E848)</f>
        <v/>
      </c>
      <c r="F848" s="32" t="str">
        <f>IF(Table!F848 = "","",Table!F848)</f>
        <v/>
      </c>
      <c r="G848" s="91"/>
      <c r="I848" s="84" t="str">
        <f>IFERROR(VLOOKUP(A848,Downlink!A:L,12,TRUE),"")</f>
        <v/>
      </c>
      <c r="K848" s="31" t="str">
        <f>IFERROR(VLOOKUP(A848,Table!$I$4:$O$3000,1,TRUE),"")</f>
        <v/>
      </c>
      <c r="L848" s="31" t="str">
        <f>IFERROR(INDEX(Table!I:O,MATCH(K848,Table!I:I,0),2),"")</f>
        <v/>
      </c>
      <c r="M848" s="31" t="str">
        <f>IFERROR(INDEX(Table!I:O,MATCH(K848,Table!I:I,0),3),"")</f>
        <v/>
      </c>
      <c r="N848" s="32" t="str">
        <f>IFERROR(INDEX(Table!I:O,MATCH(K848,Table!I:I,0),4),"")</f>
        <v/>
      </c>
      <c r="O848" s="32" t="str">
        <f>IFERROR(INDEX(Table!I:O,MATCH(K848,Table!I:I,0),5),"")</f>
        <v/>
      </c>
      <c r="P848" s="32" t="str">
        <f>IFERROR(INDEX(Table!I:O,MATCH(K848,Table!I:I,0),6),"")</f>
        <v/>
      </c>
      <c r="Q848" s="89" t="str">
        <f t="shared" si="39"/>
        <v/>
      </c>
      <c r="R848" s="89" t="str">
        <f t="shared" si="40"/>
        <v/>
      </c>
      <c r="S848" s="82"/>
      <c r="U848" s="37" t="e">
        <f t="shared" si="41"/>
        <v>#VALUE!</v>
      </c>
    </row>
    <row r="849" spans="1:21" x14ac:dyDescent="0.25">
      <c r="A849" s="31" t="str">
        <f>IF(Table!A849 = "","",Table!A849)</f>
        <v/>
      </c>
      <c r="B849" s="31" t="str">
        <f>IF(Table!B849 = "","",Table!B849)</f>
        <v/>
      </c>
      <c r="C849" s="31" t="str">
        <f>IF(Table!C849 = "","",Table!C849)</f>
        <v/>
      </c>
      <c r="D849" s="32" t="str">
        <f>IF(Table!D849 = "","",Table!D849)</f>
        <v/>
      </c>
      <c r="E849" s="32" t="str">
        <f>IF(Table!E849 = "","",Table!E849)</f>
        <v/>
      </c>
      <c r="F849" s="32" t="str">
        <f>IF(Table!F849 = "","",Table!F849)</f>
        <v/>
      </c>
      <c r="G849" s="91"/>
      <c r="I849" s="84" t="str">
        <f>IFERROR(VLOOKUP(A849,Downlink!A:L,12,TRUE),"")</f>
        <v/>
      </c>
      <c r="K849" s="31" t="str">
        <f>IFERROR(VLOOKUP(A849,Table!$I$4:$O$3000,1,TRUE),"")</f>
        <v/>
      </c>
      <c r="L849" s="31" t="str">
        <f>IFERROR(INDEX(Table!I:O,MATCH(K849,Table!I:I,0),2),"")</f>
        <v/>
      </c>
      <c r="M849" s="31" t="str">
        <f>IFERROR(INDEX(Table!I:O,MATCH(K849,Table!I:I,0),3),"")</f>
        <v/>
      </c>
      <c r="N849" s="32" t="str">
        <f>IFERROR(INDEX(Table!I:O,MATCH(K849,Table!I:I,0),4),"")</f>
        <v/>
      </c>
      <c r="O849" s="32" t="str">
        <f>IFERROR(INDEX(Table!I:O,MATCH(K849,Table!I:I,0),5),"")</f>
        <v/>
      </c>
      <c r="P849" s="32" t="str">
        <f>IFERROR(INDEX(Table!I:O,MATCH(K849,Table!I:I,0),6),"")</f>
        <v/>
      </c>
      <c r="Q849" s="89" t="str">
        <f t="shared" si="39"/>
        <v/>
      </c>
      <c r="R849" s="89" t="str">
        <f t="shared" si="40"/>
        <v/>
      </c>
      <c r="S849" s="82"/>
      <c r="U849" s="37" t="e">
        <f t="shared" si="41"/>
        <v>#VALUE!</v>
      </c>
    </row>
    <row r="850" spans="1:21" x14ac:dyDescent="0.25">
      <c r="A850" s="31" t="str">
        <f>IF(Table!A850 = "","",Table!A850)</f>
        <v/>
      </c>
      <c r="B850" s="31" t="str">
        <f>IF(Table!B850 = "","",Table!B850)</f>
        <v/>
      </c>
      <c r="C850" s="31" t="str">
        <f>IF(Table!C850 = "","",Table!C850)</f>
        <v/>
      </c>
      <c r="D850" s="32" t="str">
        <f>IF(Table!D850 = "","",Table!D850)</f>
        <v/>
      </c>
      <c r="E850" s="32" t="str">
        <f>IF(Table!E850 = "","",Table!E850)</f>
        <v/>
      </c>
      <c r="F850" s="32" t="str">
        <f>IF(Table!F850 = "","",Table!F850)</f>
        <v/>
      </c>
      <c r="G850" s="91"/>
      <c r="I850" s="84" t="str">
        <f>IFERROR(VLOOKUP(A850,Downlink!A:L,12,TRUE),"")</f>
        <v/>
      </c>
      <c r="K850" s="31" t="str">
        <f>IFERROR(VLOOKUP(A850,Table!$I$4:$O$3000,1,TRUE),"")</f>
        <v/>
      </c>
      <c r="L850" s="31" t="str">
        <f>IFERROR(INDEX(Table!I:O,MATCH(K850,Table!I:I,0),2),"")</f>
        <v/>
      </c>
      <c r="M850" s="31" t="str">
        <f>IFERROR(INDEX(Table!I:O,MATCH(K850,Table!I:I,0),3),"")</f>
        <v/>
      </c>
      <c r="N850" s="32" t="str">
        <f>IFERROR(INDEX(Table!I:O,MATCH(K850,Table!I:I,0),4),"")</f>
        <v/>
      </c>
      <c r="O850" s="32" t="str">
        <f>IFERROR(INDEX(Table!I:O,MATCH(K850,Table!I:I,0),5),"")</f>
        <v/>
      </c>
      <c r="P850" s="32" t="str">
        <f>IFERROR(INDEX(Table!I:O,MATCH(K850,Table!I:I,0),6),"")</f>
        <v/>
      </c>
      <c r="Q850" s="89" t="str">
        <f t="shared" si="39"/>
        <v/>
      </c>
      <c r="R850" s="89" t="str">
        <f t="shared" si="40"/>
        <v/>
      </c>
      <c r="S850" s="82"/>
      <c r="U850" s="37" t="e">
        <f t="shared" si="41"/>
        <v>#VALUE!</v>
      </c>
    </row>
    <row r="851" spans="1:21" x14ac:dyDescent="0.25">
      <c r="A851" s="31" t="str">
        <f>IF(Table!A851 = "","",Table!A851)</f>
        <v/>
      </c>
      <c r="B851" s="31" t="str">
        <f>IF(Table!B851 = "","",Table!B851)</f>
        <v/>
      </c>
      <c r="C851" s="31" t="str">
        <f>IF(Table!C851 = "","",Table!C851)</f>
        <v/>
      </c>
      <c r="D851" s="32" t="str">
        <f>IF(Table!D851 = "","",Table!D851)</f>
        <v/>
      </c>
      <c r="E851" s="32" t="str">
        <f>IF(Table!E851 = "","",Table!E851)</f>
        <v/>
      </c>
      <c r="F851" s="32" t="str">
        <f>IF(Table!F851 = "","",Table!F851)</f>
        <v/>
      </c>
      <c r="G851" s="91"/>
      <c r="I851" s="84" t="str">
        <f>IFERROR(VLOOKUP(A851,Downlink!A:L,12,TRUE),"")</f>
        <v/>
      </c>
      <c r="K851" s="31" t="str">
        <f>IFERROR(VLOOKUP(A851,Table!$I$4:$O$3000,1,TRUE),"")</f>
        <v/>
      </c>
      <c r="L851" s="31" t="str">
        <f>IFERROR(INDEX(Table!I:O,MATCH(K851,Table!I:I,0),2),"")</f>
        <v/>
      </c>
      <c r="M851" s="31" t="str">
        <f>IFERROR(INDEX(Table!I:O,MATCH(K851,Table!I:I,0),3),"")</f>
        <v/>
      </c>
      <c r="N851" s="32" t="str">
        <f>IFERROR(INDEX(Table!I:O,MATCH(K851,Table!I:I,0),4),"")</f>
        <v/>
      </c>
      <c r="O851" s="32" t="str">
        <f>IFERROR(INDEX(Table!I:O,MATCH(K851,Table!I:I,0),5),"")</f>
        <v/>
      </c>
      <c r="P851" s="32" t="str">
        <f>IFERROR(INDEX(Table!I:O,MATCH(K851,Table!I:I,0),6),"")</f>
        <v/>
      </c>
      <c r="Q851" s="89" t="str">
        <f t="shared" si="39"/>
        <v/>
      </c>
      <c r="R851" s="89" t="str">
        <f t="shared" si="40"/>
        <v/>
      </c>
      <c r="S851" s="82"/>
      <c r="U851" s="37" t="e">
        <f t="shared" si="41"/>
        <v>#VALUE!</v>
      </c>
    </row>
    <row r="852" spans="1:21" x14ac:dyDescent="0.25">
      <c r="A852" s="31" t="str">
        <f>IF(Table!A852 = "","",Table!A852)</f>
        <v/>
      </c>
      <c r="B852" s="31" t="str">
        <f>IF(Table!B852 = "","",Table!B852)</f>
        <v/>
      </c>
      <c r="C852" s="31" t="str">
        <f>IF(Table!C852 = "","",Table!C852)</f>
        <v/>
      </c>
      <c r="D852" s="32" t="str">
        <f>IF(Table!D852 = "","",Table!D852)</f>
        <v/>
      </c>
      <c r="E852" s="32" t="str">
        <f>IF(Table!E852 = "","",Table!E852)</f>
        <v/>
      </c>
      <c r="F852" s="32" t="str">
        <f>IF(Table!F852 = "","",Table!F852)</f>
        <v/>
      </c>
      <c r="G852" s="91"/>
      <c r="I852" s="84" t="str">
        <f>IFERROR(VLOOKUP(A852,Downlink!A:L,12,TRUE),"")</f>
        <v/>
      </c>
      <c r="K852" s="31" t="str">
        <f>IFERROR(VLOOKUP(A852,Table!$I$4:$O$3000,1,TRUE),"")</f>
        <v/>
      </c>
      <c r="L852" s="31" t="str">
        <f>IFERROR(INDEX(Table!I:O,MATCH(K852,Table!I:I,0),2),"")</f>
        <v/>
      </c>
      <c r="M852" s="31" t="str">
        <f>IFERROR(INDEX(Table!I:O,MATCH(K852,Table!I:I,0),3),"")</f>
        <v/>
      </c>
      <c r="N852" s="32" t="str">
        <f>IFERROR(INDEX(Table!I:O,MATCH(K852,Table!I:I,0),4),"")</f>
        <v/>
      </c>
      <c r="O852" s="32" t="str">
        <f>IFERROR(INDEX(Table!I:O,MATCH(K852,Table!I:I,0),5),"")</f>
        <v/>
      </c>
      <c r="P852" s="32" t="str">
        <f>IFERROR(INDEX(Table!I:O,MATCH(K852,Table!I:I,0),6),"")</f>
        <v/>
      </c>
      <c r="Q852" s="89" t="str">
        <f t="shared" si="39"/>
        <v/>
      </c>
      <c r="R852" s="89" t="str">
        <f t="shared" si="40"/>
        <v/>
      </c>
      <c r="S852" s="82"/>
      <c r="U852" s="37" t="e">
        <f t="shared" si="41"/>
        <v>#VALUE!</v>
      </c>
    </row>
    <row r="853" spans="1:21" x14ac:dyDescent="0.25">
      <c r="A853" s="31" t="str">
        <f>IF(Table!A853 = "","",Table!A853)</f>
        <v/>
      </c>
      <c r="B853" s="31" t="str">
        <f>IF(Table!B853 = "","",Table!B853)</f>
        <v/>
      </c>
      <c r="C853" s="31" t="str">
        <f>IF(Table!C853 = "","",Table!C853)</f>
        <v/>
      </c>
      <c r="D853" s="32" t="str">
        <f>IF(Table!D853 = "","",Table!D853)</f>
        <v/>
      </c>
      <c r="E853" s="32" t="str">
        <f>IF(Table!E853 = "","",Table!E853)</f>
        <v/>
      </c>
      <c r="F853" s="32" t="str">
        <f>IF(Table!F853 = "","",Table!F853)</f>
        <v/>
      </c>
      <c r="G853" s="91"/>
      <c r="I853" s="84" t="str">
        <f>IFERROR(VLOOKUP(A853,Downlink!A:L,12,TRUE),"")</f>
        <v/>
      </c>
      <c r="K853" s="31" t="str">
        <f>IFERROR(VLOOKUP(A853,Table!$I$4:$O$3000,1,TRUE),"")</f>
        <v/>
      </c>
      <c r="L853" s="31" t="str">
        <f>IFERROR(INDEX(Table!I:O,MATCH(K853,Table!I:I,0),2),"")</f>
        <v/>
      </c>
      <c r="M853" s="31" t="str">
        <f>IFERROR(INDEX(Table!I:O,MATCH(K853,Table!I:I,0),3),"")</f>
        <v/>
      </c>
      <c r="N853" s="32" t="str">
        <f>IFERROR(INDEX(Table!I:O,MATCH(K853,Table!I:I,0),4),"")</f>
        <v/>
      </c>
      <c r="O853" s="32" t="str">
        <f>IFERROR(INDEX(Table!I:O,MATCH(K853,Table!I:I,0),5),"")</f>
        <v/>
      </c>
      <c r="P853" s="32" t="str">
        <f>IFERROR(INDEX(Table!I:O,MATCH(K853,Table!I:I,0),6),"")</f>
        <v/>
      </c>
      <c r="Q853" s="89" t="str">
        <f t="shared" si="39"/>
        <v/>
      </c>
      <c r="R853" s="89" t="str">
        <f t="shared" si="40"/>
        <v/>
      </c>
      <c r="S853" s="82"/>
      <c r="U853" s="37" t="e">
        <f t="shared" si="41"/>
        <v>#VALUE!</v>
      </c>
    </row>
    <row r="854" spans="1:21" x14ac:dyDescent="0.25">
      <c r="A854" s="31" t="str">
        <f>IF(Table!A854 = "","",Table!A854)</f>
        <v/>
      </c>
      <c r="B854" s="31" t="str">
        <f>IF(Table!B854 = "","",Table!B854)</f>
        <v/>
      </c>
      <c r="C854" s="31" t="str">
        <f>IF(Table!C854 = "","",Table!C854)</f>
        <v/>
      </c>
      <c r="D854" s="32" t="str">
        <f>IF(Table!D854 = "","",Table!D854)</f>
        <v/>
      </c>
      <c r="E854" s="32" t="str">
        <f>IF(Table!E854 = "","",Table!E854)</f>
        <v/>
      </c>
      <c r="F854" s="32" t="str">
        <f>IF(Table!F854 = "","",Table!F854)</f>
        <v/>
      </c>
      <c r="G854" s="91"/>
      <c r="I854" s="84" t="str">
        <f>IFERROR(VLOOKUP(A854,Downlink!A:L,12,TRUE),"")</f>
        <v/>
      </c>
      <c r="K854" s="31" t="str">
        <f>IFERROR(VLOOKUP(A854,Table!$I$4:$O$3000,1,TRUE),"")</f>
        <v/>
      </c>
      <c r="L854" s="31" t="str">
        <f>IFERROR(INDEX(Table!I:O,MATCH(K854,Table!I:I,0),2),"")</f>
        <v/>
      </c>
      <c r="M854" s="31" t="str">
        <f>IFERROR(INDEX(Table!I:O,MATCH(K854,Table!I:I,0),3),"")</f>
        <v/>
      </c>
      <c r="N854" s="32" t="str">
        <f>IFERROR(INDEX(Table!I:O,MATCH(K854,Table!I:I,0),4),"")</f>
        <v/>
      </c>
      <c r="O854" s="32" t="str">
        <f>IFERROR(INDEX(Table!I:O,MATCH(K854,Table!I:I,0),5),"")</f>
        <v/>
      </c>
      <c r="P854" s="32" t="str">
        <f>IFERROR(INDEX(Table!I:O,MATCH(K854,Table!I:I,0),6),"")</f>
        <v/>
      </c>
      <c r="Q854" s="89" t="str">
        <f t="shared" si="39"/>
        <v/>
      </c>
      <c r="R854" s="89" t="str">
        <f t="shared" si="40"/>
        <v/>
      </c>
      <c r="S854" s="82"/>
      <c r="U854" s="37" t="e">
        <f t="shared" si="41"/>
        <v>#VALUE!</v>
      </c>
    </row>
    <row r="855" spans="1:21" x14ac:dyDescent="0.25">
      <c r="A855" s="31" t="str">
        <f>IF(Table!A855 = "","",Table!A855)</f>
        <v/>
      </c>
      <c r="B855" s="31" t="str">
        <f>IF(Table!B855 = "","",Table!B855)</f>
        <v/>
      </c>
      <c r="C855" s="31" t="str">
        <f>IF(Table!C855 = "","",Table!C855)</f>
        <v/>
      </c>
      <c r="D855" s="32" t="str">
        <f>IF(Table!D855 = "","",Table!D855)</f>
        <v/>
      </c>
      <c r="E855" s="32" t="str">
        <f>IF(Table!E855 = "","",Table!E855)</f>
        <v/>
      </c>
      <c r="F855" s="32" t="str">
        <f>IF(Table!F855 = "","",Table!F855)</f>
        <v/>
      </c>
      <c r="G855" s="91"/>
      <c r="I855" s="84" t="str">
        <f>IFERROR(VLOOKUP(A855,Downlink!A:L,12,TRUE),"")</f>
        <v/>
      </c>
      <c r="K855" s="31" t="str">
        <f>IFERROR(VLOOKUP(A855,Table!$I$4:$O$3000,1,TRUE),"")</f>
        <v/>
      </c>
      <c r="L855" s="31" t="str">
        <f>IFERROR(INDEX(Table!I:O,MATCH(K855,Table!I:I,0),2),"")</f>
        <v/>
      </c>
      <c r="M855" s="31" t="str">
        <f>IFERROR(INDEX(Table!I:O,MATCH(K855,Table!I:I,0),3),"")</f>
        <v/>
      </c>
      <c r="N855" s="32" t="str">
        <f>IFERROR(INDEX(Table!I:O,MATCH(K855,Table!I:I,0),4),"")</f>
        <v/>
      </c>
      <c r="O855" s="32" t="str">
        <f>IFERROR(INDEX(Table!I:O,MATCH(K855,Table!I:I,0),5),"")</f>
        <v/>
      </c>
      <c r="P855" s="32" t="str">
        <f>IFERROR(INDEX(Table!I:O,MATCH(K855,Table!I:I,0),6),"")</f>
        <v/>
      </c>
      <c r="Q855" s="89" t="str">
        <f t="shared" si="39"/>
        <v/>
      </c>
      <c r="R855" s="89" t="str">
        <f t="shared" si="40"/>
        <v/>
      </c>
      <c r="S855" s="82"/>
      <c r="U855" s="37" t="e">
        <f t="shared" si="41"/>
        <v>#VALUE!</v>
      </c>
    </row>
    <row r="856" spans="1:21" x14ac:dyDescent="0.25">
      <c r="A856" s="31" t="str">
        <f>IF(Table!A856 = "","",Table!A856)</f>
        <v/>
      </c>
      <c r="B856" s="31" t="str">
        <f>IF(Table!B856 = "","",Table!B856)</f>
        <v/>
      </c>
      <c r="C856" s="31" t="str">
        <f>IF(Table!C856 = "","",Table!C856)</f>
        <v/>
      </c>
      <c r="D856" s="32" t="str">
        <f>IF(Table!D856 = "","",Table!D856)</f>
        <v/>
      </c>
      <c r="E856" s="32" t="str">
        <f>IF(Table!E856 = "","",Table!E856)</f>
        <v/>
      </c>
      <c r="F856" s="32" t="str">
        <f>IF(Table!F856 = "","",Table!F856)</f>
        <v/>
      </c>
      <c r="G856" s="91"/>
      <c r="I856" s="84" t="str">
        <f>IFERROR(VLOOKUP(A856,Downlink!A:L,12,TRUE),"")</f>
        <v/>
      </c>
      <c r="K856" s="31" t="str">
        <f>IFERROR(VLOOKUP(A856,Table!$I$4:$O$3000,1,TRUE),"")</f>
        <v/>
      </c>
      <c r="L856" s="31" t="str">
        <f>IFERROR(INDEX(Table!I:O,MATCH(K856,Table!I:I,0),2),"")</f>
        <v/>
      </c>
      <c r="M856" s="31" t="str">
        <f>IFERROR(INDEX(Table!I:O,MATCH(K856,Table!I:I,0),3),"")</f>
        <v/>
      </c>
      <c r="N856" s="32" t="str">
        <f>IFERROR(INDEX(Table!I:O,MATCH(K856,Table!I:I,0),4),"")</f>
        <v/>
      </c>
      <c r="O856" s="32" t="str">
        <f>IFERROR(INDEX(Table!I:O,MATCH(K856,Table!I:I,0),5),"")</f>
        <v/>
      </c>
      <c r="P856" s="32" t="str">
        <f>IFERROR(INDEX(Table!I:O,MATCH(K856,Table!I:I,0),6),"")</f>
        <v/>
      </c>
      <c r="Q856" s="89" t="str">
        <f t="shared" si="39"/>
        <v/>
      </c>
      <c r="R856" s="89" t="str">
        <f t="shared" si="40"/>
        <v/>
      </c>
      <c r="S856" s="82"/>
      <c r="U856" s="37" t="e">
        <f t="shared" si="41"/>
        <v>#VALUE!</v>
      </c>
    </row>
    <row r="857" spans="1:21" x14ac:dyDescent="0.25">
      <c r="A857" s="31" t="str">
        <f>IF(Table!A857 = "","",Table!A857)</f>
        <v/>
      </c>
      <c r="B857" s="31" t="str">
        <f>IF(Table!B857 = "","",Table!B857)</f>
        <v/>
      </c>
      <c r="C857" s="31" t="str">
        <f>IF(Table!C857 = "","",Table!C857)</f>
        <v/>
      </c>
      <c r="D857" s="32" t="str">
        <f>IF(Table!D857 = "","",Table!D857)</f>
        <v/>
      </c>
      <c r="E857" s="32" t="str">
        <f>IF(Table!E857 = "","",Table!E857)</f>
        <v/>
      </c>
      <c r="F857" s="32" t="str">
        <f>IF(Table!F857 = "","",Table!F857)</f>
        <v/>
      </c>
      <c r="G857" s="91"/>
      <c r="I857" s="84" t="str">
        <f>IFERROR(VLOOKUP(A857,Downlink!A:L,12,TRUE),"")</f>
        <v/>
      </c>
      <c r="K857" s="31" t="str">
        <f>IFERROR(VLOOKUP(A857,Table!$I$4:$O$3000,1,TRUE),"")</f>
        <v/>
      </c>
      <c r="L857" s="31" t="str">
        <f>IFERROR(INDEX(Table!I:O,MATCH(K857,Table!I:I,0),2),"")</f>
        <v/>
      </c>
      <c r="M857" s="31" t="str">
        <f>IFERROR(INDEX(Table!I:O,MATCH(K857,Table!I:I,0),3),"")</f>
        <v/>
      </c>
      <c r="N857" s="32" t="str">
        <f>IFERROR(INDEX(Table!I:O,MATCH(K857,Table!I:I,0),4),"")</f>
        <v/>
      </c>
      <c r="O857" s="32" t="str">
        <f>IFERROR(INDEX(Table!I:O,MATCH(K857,Table!I:I,0),5),"")</f>
        <v/>
      </c>
      <c r="P857" s="32" t="str">
        <f>IFERROR(INDEX(Table!I:O,MATCH(K857,Table!I:I,0),6),"")</f>
        <v/>
      </c>
      <c r="Q857" s="89" t="str">
        <f t="shared" si="39"/>
        <v/>
      </c>
      <c r="R857" s="89" t="str">
        <f t="shared" si="40"/>
        <v/>
      </c>
      <c r="S857" s="82"/>
      <c r="U857" s="37" t="e">
        <f t="shared" si="41"/>
        <v>#VALUE!</v>
      </c>
    </row>
    <row r="858" spans="1:21" x14ac:dyDescent="0.25">
      <c r="A858" s="31" t="str">
        <f>IF(Table!A858 = "","",Table!A858)</f>
        <v/>
      </c>
      <c r="B858" s="31" t="str">
        <f>IF(Table!B858 = "","",Table!B858)</f>
        <v/>
      </c>
      <c r="C858" s="31" t="str">
        <f>IF(Table!C858 = "","",Table!C858)</f>
        <v/>
      </c>
      <c r="D858" s="32" t="str">
        <f>IF(Table!D858 = "","",Table!D858)</f>
        <v/>
      </c>
      <c r="E858" s="32" t="str">
        <f>IF(Table!E858 = "","",Table!E858)</f>
        <v/>
      </c>
      <c r="F858" s="32" t="str">
        <f>IF(Table!F858 = "","",Table!F858)</f>
        <v/>
      </c>
      <c r="G858" s="91"/>
      <c r="I858" s="84" t="str">
        <f>IFERROR(VLOOKUP(A858,Downlink!A:L,12,TRUE),"")</f>
        <v/>
      </c>
      <c r="K858" s="31" t="str">
        <f>IFERROR(VLOOKUP(A858,Table!$I$4:$O$3000,1,TRUE),"")</f>
        <v/>
      </c>
      <c r="L858" s="31" t="str">
        <f>IFERROR(INDEX(Table!I:O,MATCH(K858,Table!I:I,0),2),"")</f>
        <v/>
      </c>
      <c r="M858" s="31" t="str">
        <f>IFERROR(INDEX(Table!I:O,MATCH(K858,Table!I:I,0),3),"")</f>
        <v/>
      </c>
      <c r="N858" s="32" t="str">
        <f>IFERROR(INDEX(Table!I:O,MATCH(K858,Table!I:I,0),4),"")</f>
        <v/>
      </c>
      <c r="O858" s="32" t="str">
        <f>IFERROR(INDEX(Table!I:O,MATCH(K858,Table!I:I,0),5),"")</f>
        <v/>
      </c>
      <c r="P858" s="32" t="str">
        <f>IFERROR(INDEX(Table!I:O,MATCH(K858,Table!I:I,0),6),"")</f>
        <v/>
      </c>
      <c r="Q858" s="89" t="str">
        <f t="shared" si="39"/>
        <v/>
      </c>
      <c r="R858" s="89" t="str">
        <f t="shared" si="40"/>
        <v/>
      </c>
      <c r="S858" s="82"/>
      <c r="U858" s="37" t="e">
        <f t="shared" si="41"/>
        <v>#VALUE!</v>
      </c>
    </row>
    <row r="859" spans="1:21" x14ac:dyDescent="0.25">
      <c r="A859" s="31" t="str">
        <f>IF(Table!A859 = "","",Table!A859)</f>
        <v/>
      </c>
      <c r="B859" s="31" t="str">
        <f>IF(Table!B859 = "","",Table!B859)</f>
        <v/>
      </c>
      <c r="C859" s="31" t="str">
        <f>IF(Table!C859 = "","",Table!C859)</f>
        <v/>
      </c>
      <c r="D859" s="32" t="str">
        <f>IF(Table!D859 = "","",Table!D859)</f>
        <v/>
      </c>
      <c r="E859" s="32" t="str">
        <f>IF(Table!E859 = "","",Table!E859)</f>
        <v/>
      </c>
      <c r="F859" s="32" t="str">
        <f>IF(Table!F859 = "","",Table!F859)</f>
        <v/>
      </c>
      <c r="G859" s="91"/>
      <c r="I859" s="84" t="str">
        <f>IFERROR(VLOOKUP(A859,Downlink!A:L,12,TRUE),"")</f>
        <v/>
      </c>
      <c r="K859" s="31" t="str">
        <f>IFERROR(VLOOKUP(A859,Table!$I$4:$O$3000,1,TRUE),"")</f>
        <v/>
      </c>
      <c r="L859" s="31" t="str">
        <f>IFERROR(INDEX(Table!I:O,MATCH(K859,Table!I:I,0),2),"")</f>
        <v/>
      </c>
      <c r="M859" s="31" t="str">
        <f>IFERROR(INDEX(Table!I:O,MATCH(K859,Table!I:I,0),3),"")</f>
        <v/>
      </c>
      <c r="N859" s="32" t="str">
        <f>IFERROR(INDEX(Table!I:O,MATCH(K859,Table!I:I,0),4),"")</f>
        <v/>
      </c>
      <c r="O859" s="32" t="str">
        <f>IFERROR(INDEX(Table!I:O,MATCH(K859,Table!I:I,0),5),"")</f>
        <v/>
      </c>
      <c r="P859" s="32" t="str">
        <f>IFERROR(INDEX(Table!I:O,MATCH(K859,Table!I:I,0),6),"")</f>
        <v/>
      </c>
      <c r="Q859" s="89" t="str">
        <f t="shared" si="39"/>
        <v/>
      </c>
      <c r="R859" s="89" t="str">
        <f t="shared" si="40"/>
        <v/>
      </c>
      <c r="S859" s="82"/>
      <c r="U859" s="37" t="e">
        <f t="shared" si="41"/>
        <v>#VALUE!</v>
      </c>
    </row>
    <row r="860" spans="1:21" x14ac:dyDescent="0.25">
      <c r="A860" s="31" t="str">
        <f>IF(Table!A860 = "","",Table!A860)</f>
        <v/>
      </c>
      <c r="B860" s="31" t="str">
        <f>IF(Table!B860 = "","",Table!B860)</f>
        <v/>
      </c>
      <c r="C860" s="31" t="str">
        <f>IF(Table!C860 = "","",Table!C860)</f>
        <v/>
      </c>
      <c r="D860" s="32" t="str">
        <f>IF(Table!D860 = "","",Table!D860)</f>
        <v/>
      </c>
      <c r="E860" s="32" t="str">
        <f>IF(Table!E860 = "","",Table!E860)</f>
        <v/>
      </c>
      <c r="F860" s="32" t="str">
        <f>IF(Table!F860 = "","",Table!F860)</f>
        <v/>
      </c>
      <c r="G860" s="91"/>
      <c r="I860" s="84" t="str">
        <f>IFERROR(VLOOKUP(A860,Downlink!A:L,12,TRUE),"")</f>
        <v/>
      </c>
      <c r="K860" s="31" t="str">
        <f>IFERROR(VLOOKUP(A860,Table!$I$4:$O$3000,1,TRUE),"")</f>
        <v/>
      </c>
      <c r="L860" s="31" t="str">
        <f>IFERROR(INDEX(Table!I:O,MATCH(K860,Table!I:I,0),2),"")</f>
        <v/>
      </c>
      <c r="M860" s="31" t="str">
        <f>IFERROR(INDEX(Table!I:O,MATCH(K860,Table!I:I,0),3),"")</f>
        <v/>
      </c>
      <c r="N860" s="32" t="str">
        <f>IFERROR(INDEX(Table!I:O,MATCH(K860,Table!I:I,0),4),"")</f>
        <v/>
      </c>
      <c r="O860" s="32" t="str">
        <f>IFERROR(INDEX(Table!I:O,MATCH(K860,Table!I:I,0),5),"")</f>
        <v/>
      </c>
      <c r="P860" s="32" t="str">
        <f>IFERROR(INDEX(Table!I:O,MATCH(K860,Table!I:I,0),6),"")</f>
        <v/>
      </c>
      <c r="Q860" s="89" t="str">
        <f t="shared" si="39"/>
        <v/>
      </c>
      <c r="R860" s="89" t="str">
        <f t="shared" si="40"/>
        <v/>
      </c>
      <c r="S860" s="82"/>
      <c r="U860" s="37" t="e">
        <f t="shared" si="41"/>
        <v>#VALUE!</v>
      </c>
    </row>
    <row r="861" spans="1:21" x14ac:dyDescent="0.25">
      <c r="A861" s="31" t="str">
        <f>IF(Table!A861 = "","",Table!A861)</f>
        <v/>
      </c>
      <c r="B861" s="31" t="str">
        <f>IF(Table!B861 = "","",Table!B861)</f>
        <v/>
      </c>
      <c r="C861" s="31" t="str">
        <f>IF(Table!C861 = "","",Table!C861)</f>
        <v/>
      </c>
      <c r="D861" s="32" t="str">
        <f>IF(Table!D861 = "","",Table!D861)</f>
        <v/>
      </c>
      <c r="E861" s="32" t="str">
        <f>IF(Table!E861 = "","",Table!E861)</f>
        <v/>
      </c>
      <c r="F861" s="32" t="str">
        <f>IF(Table!F861 = "","",Table!F861)</f>
        <v/>
      </c>
      <c r="G861" s="91"/>
      <c r="I861" s="84" t="str">
        <f>IFERROR(VLOOKUP(A861,Downlink!A:L,12,TRUE),"")</f>
        <v/>
      </c>
      <c r="K861" s="31" t="str">
        <f>IFERROR(VLOOKUP(A861,Table!$I$4:$O$3000,1,TRUE),"")</f>
        <v/>
      </c>
      <c r="L861" s="31" t="str">
        <f>IFERROR(INDEX(Table!I:O,MATCH(K861,Table!I:I,0),2),"")</f>
        <v/>
      </c>
      <c r="M861" s="31" t="str">
        <f>IFERROR(INDEX(Table!I:O,MATCH(K861,Table!I:I,0),3),"")</f>
        <v/>
      </c>
      <c r="N861" s="32" t="str">
        <f>IFERROR(INDEX(Table!I:O,MATCH(K861,Table!I:I,0),4),"")</f>
        <v/>
      </c>
      <c r="O861" s="32" t="str">
        <f>IFERROR(INDEX(Table!I:O,MATCH(K861,Table!I:I,0),5),"")</f>
        <v/>
      </c>
      <c r="P861" s="32" t="str">
        <f>IFERROR(INDEX(Table!I:O,MATCH(K861,Table!I:I,0),6),"")</f>
        <v/>
      </c>
      <c r="Q861" s="89" t="str">
        <f t="shared" si="39"/>
        <v/>
      </c>
      <c r="R861" s="89" t="str">
        <f t="shared" si="40"/>
        <v/>
      </c>
      <c r="S861" s="82"/>
      <c r="U861" s="37" t="e">
        <f t="shared" si="41"/>
        <v>#VALUE!</v>
      </c>
    </row>
    <row r="862" spans="1:21" x14ac:dyDescent="0.25">
      <c r="A862" s="31" t="str">
        <f>IF(Table!A862 = "","",Table!A862)</f>
        <v/>
      </c>
      <c r="B862" s="31" t="str">
        <f>IF(Table!B862 = "","",Table!B862)</f>
        <v/>
      </c>
      <c r="C862" s="31" t="str">
        <f>IF(Table!C862 = "","",Table!C862)</f>
        <v/>
      </c>
      <c r="D862" s="32" t="str">
        <f>IF(Table!D862 = "","",Table!D862)</f>
        <v/>
      </c>
      <c r="E862" s="32" t="str">
        <f>IF(Table!E862 = "","",Table!E862)</f>
        <v/>
      </c>
      <c r="F862" s="32" t="str">
        <f>IF(Table!F862 = "","",Table!F862)</f>
        <v/>
      </c>
      <c r="G862" s="91"/>
      <c r="I862" s="84" t="str">
        <f>IFERROR(VLOOKUP(A862,Downlink!A:L,12,TRUE),"")</f>
        <v/>
      </c>
      <c r="K862" s="31" t="str">
        <f>IFERROR(VLOOKUP(A862,Table!$I$4:$O$3000,1,TRUE),"")</f>
        <v/>
      </c>
      <c r="L862" s="31" t="str">
        <f>IFERROR(INDEX(Table!I:O,MATCH(K862,Table!I:I,0),2),"")</f>
        <v/>
      </c>
      <c r="M862" s="31" t="str">
        <f>IFERROR(INDEX(Table!I:O,MATCH(K862,Table!I:I,0),3),"")</f>
        <v/>
      </c>
      <c r="N862" s="32" t="str">
        <f>IFERROR(INDEX(Table!I:O,MATCH(K862,Table!I:I,0),4),"")</f>
        <v/>
      </c>
      <c r="O862" s="32" t="str">
        <f>IFERROR(INDEX(Table!I:O,MATCH(K862,Table!I:I,0),5),"")</f>
        <v/>
      </c>
      <c r="P862" s="32" t="str">
        <f>IFERROR(INDEX(Table!I:O,MATCH(K862,Table!I:I,0),6),"")</f>
        <v/>
      </c>
      <c r="Q862" s="89" t="str">
        <f t="shared" si="39"/>
        <v/>
      </c>
      <c r="R862" s="89" t="str">
        <f t="shared" si="40"/>
        <v/>
      </c>
      <c r="S862" s="82"/>
      <c r="U862" s="37" t="e">
        <f t="shared" si="41"/>
        <v>#VALUE!</v>
      </c>
    </row>
    <row r="863" spans="1:21" x14ac:dyDescent="0.25">
      <c r="A863" s="31" t="str">
        <f>IF(Table!A863 = "","",Table!A863)</f>
        <v/>
      </c>
      <c r="B863" s="31" t="str">
        <f>IF(Table!B863 = "","",Table!B863)</f>
        <v/>
      </c>
      <c r="C863" s="31" t="str">
        <f>IF(Table!C863 = "","",Table!C863)</f>
        <v/>
      </c>
      <c r="D863" s="32" t="str">
        <f>IF(Table!D863 = "","",Table!D863)</f>
        <v/>
      </c>
      <c r="E863" s="32" t="str">
        <f>IF(Table!E863 = "","",Table!E863)</f>
        <v/>
      </c>
      <c r="F863" s="32" t="str">
        <f>IF(Table!F863 = "","",Table!F863)</f>
        <v/>
      </c>
      <c r="G863" s="91"/>
      <c r="I863" s="84" t="str">
        <f>IFERROR(VLOOKUP(A863,Downlink!A:L,12,TRUE),"")</f>
        <v/>
      </c>
      <c r="K863" s="31" t="str">
        <f>IFERROR(VLOOKUP(A863,Table!$I$4:$O$3000,1,TRUE),"")</f>
        <v/>
      </c>
      <c r="L863" s="31" t="str">
        <f>IFERROR(INDEX(Table!I:O,MATCH(K863,Table!I:I,0),2),"")</f>
        <v/>
      </c>
      <c r="M863" s="31" t="str">
        <f>IFERROR(INDEX(Table!I:O,MATCH(K863,Table!I:I,0),3),"")</f>
        <v/>
      </c>
      <c r="N863" s="32" t="str">
        <f>IFERROR(INDEX(Table!I:O,MATCH(K863,Table!I:I,0),4),"")</f>
        <v/>
      </c>
      <c r="O863" s="32" t="str">
        <f>IFERROR(INDEX(Table!I:O,MATCH(K863,Table!I:I,0),5),"")</f>
        <v/>
      </c>
      <c r="P863" s="32" t="str">
        <f>IFERROR(INDEX(Table!I:O,MATCH(K863,Table!I:I,0),6),"")</f>
        <v/>
      </c>
      <c r="Q863" s="89" t="str">
        <f t="shared" si="39"/>
        <v/>
      </c>
      <c r="R863" s="89" t="str">
        <f t="shared" si="40"/>
        <v/>
      </c>
      <c r="S863" s="82"/>
      <c r="U863" s="37" t="e">
        <f t="shared" si="41"/>
        <v>#VALUE!</v>
      </c>
    </row>
    <row r="864" spans="1:21" x14ac:dyDescent="0.25">
      <c r="A864" s="31" t="str">
        <f>IF(Table!A864 = "","",Table!A864)</f>
        <v/>
      </c>
      <c r="B864" s="31" t="str">
        <f>IF(Table!B864 = "","",Table!B864)</f>
        <v/>
      </c>
      <c r="C864" s="31" t="str">
        <f>IF(Table!C864 = "","",Table!C864)</f>
        <v/>
      </c>
      <c r="D864" s="32" t="str">
        <f>IF(Table!D864 = "","",Table!D864)</f>
        <v/>
      </c>
      <c r="E864" s="32" t="str">
        <f>IF(Table!E864 = "","",Table!E864)</f>
        <v/>
      </c>
      <c r="F864" s="32" t="str">
        <f>IF(Table!F864 = "","",Table!F864)</f>
        <v/>
      </c>
      <c r="G864" s="91"/>
      <c r="I864" s="84" t="str">
        <f>IFERROR(VLOOKUP(A864,Downlink!A:L,12,TRUE),"")</f>
        <v/>
      </c>
      <c r="K864" s="31" t="str">
        <f>IFERROR(VLOOKUP(A864,Table!$I$4:$O$3000,1,TRUE),"")</f>
        <v/>
      </c>
      <c r="L864" s="31" t="str">
        <f>IFERROR(INDEX(Table!I:O,MATCH(K864,Table!I:I,0),2),"")</f>
        <v/>
      </c>
      <c r="M864" s="31" t="str">
        <f>IFERROR(INDEX(Table!I:O,MATCH(K864,Table!I:I,0),3),"")</f>
        <v/>
      </c>
      <c r="N864" s="32" t="str">
        <f>IFERROR(INDEX(Table!I:O,MATCH(K864,Table!I:I,0),4),"")</f>
        <v/>
      </c>
      <c r="O864" s="32" t="str">
        <f>IFERROR(INDEX(Table!I:O,MATCH(K864,Table!I:I,0),5),"")</f>
        <v/>
      </c>
      <c r="P864" s="32" t="str">
        <f>IFERROR(INDEX(Table!I:O,MATCH(K864,Table!I:I,0),6),"")</f>
        <v/>
      </c>
      <c r="Q864" s="89" t="str">
        <f t="shared" si="39"/>
        <v/>
      </c>
      <c r="R864" s="89" t="str">
        <f t="shared" si="40"/>
        <v/>
      </c>
      <c r="S864" s="82"/>
      <c r="U864" s="37" t="e">
        <f t="shared" si="41"/>
        <v>#VALUE!</v>
      </c>
    </row>
    <row r="865" spans="1:21" x14ac:dyDescent="0.25">
      <c r="A865" s="31" t="str">
        <f>IF(Table!A865 = "","",Table!A865)</f>
        <v/>
      </c>
      <c r="B865" s="31" t="str">
        <f>IF(Table!B865 = "","",Table!B865)</f>
        <v/>
      </c>
      <c r="C865" s="31" t="str">
        <f>IF(Table!C865 = "","",Table!C865)</f>
        <v/>
      </c>
      <c r="D865" s="32" t="str">
        <f>IF(Table!D865 = "","",Table!D865)</f>
        <v/>
      </c>
      <c r="E865" s="32" t="str">
        <f>IF(Table!E865 = "","",Table!E865)</f>
        <v/>
      </c>
      <c r="F865" s="32" t="str">
        <f>IF(Table!F865 = "","",Table!F865)</f>
        <v/>
      </c>
      <c r="G865" s="91"/>
      <c r="I865" s="84" t="str">
        <f>IFERROR(VLOOKUP(A865,Downlink!A:L,12,TRUE),"")</f>
        <v/>
      </c>
      <c r="K865" s="31" t="str">
        <f>IFERROR(VLOOKUP(A865,Table!$I$4:$O$3000,1,TRUE),"")</f>
        <v/>
      </c>
      <c r="L865" s="31" t="str">
        <f>IFERROR(INDEX(Table!I:O,MATCH(K865,Table!I:I,0),2),"")</f>
        <v/>
      </c>
      <c r="M865" s="31" t="str">
        <f>IFERROR(INDEX(Table!I:O,MATCH(K865,Table!I:I,0),3),"")</f>
        <v/>
      </c>
      <c r="N865" s="32" t="str">
        <f>IFERROR(INDEX(Table!I:O,MATCH(K865,Table!I:I,0),4),"")</f>
        <v/>
      </c>
      <c r="O865" s="32" t="str">
        <f>IFERROR(INDEX(Table!I:O,MATCH(K865,Table!I:I,0),5),"")</f>
        <v/>
      </c>
      <c r="P865" s="32" t="str">
        <f>IFERROR(INDEX(Table!I:O,MATCH(K865,Table!I:I,0),6),"")</f>
        <v/>
      </c>
      <c r="Q865" s="89" t="str">
        <f t="shared" si="39"/>
        <v/>
      </c>
      <c r="R865" s="89" t="str">
        <f t="shared" si="40"/>
        <v/>
      </c>
      <c r="S865" s="82"/>
      <c r="U865" s="37" t="e">
        <f t="shared" si="41"/>
        <v>#VALUE!</v>
      </c>
    </row>
    <row r="866" spans="1:21" x14ac:dyDescent="0.25">
      <c r="A866" s="31" t="str">
        <f>IF(Table!A866 = "","",Table!A866)</f>
        <v/>
      </c>
      <c r="B866" s="31" t="str">
        <f>IF(Table!B866 = "","",Table!B866)</f>
        <v/>
      </c>
      <c r="C866" s="31" t="str">
        <f>IF(Table!C866 = "","",Table!C866)</f>
        <v/>
      </c>
      <c r="D866" s="32" t="str">
        <f>IF(Table!D866 = "","",Table!D866)</f>
        <v/>
      </c>
      <c r="E866" s="32" t="str">
        <f>IF(Table!E866 = "","",Table!E866)</f>
        <v/>
      </c>
      <c r="F866" s="32" t="str">
        <f>IF(Table!F866 = "","",Table!F866)</f>
        <v/>
      </c>
      <c r="G866" s="91"/>
      <c r="I866" s="84" t="str">
        <f>IFERROR(VLOOKUP(A866,Downlink!A:L,12,TRUE),"")</f>
        <v/>
      </c>
      <c r="K866" s="31" t="str">
        <f>IFERROR(VLOOKUP(A866,Table!$I$4:$O$3000,1,TRUE),"")</f>
        <v/>
      </c>
      <c r="L866" s="31" t="str">
        <f>IFERROR(INDEX(Table!I:O,MATCH(K866,Table!I:I,0),2),"")</f>
        <v/>
      </c>
      <c r="M866" s="31" t="str">
        <f>IFERROR(INDEX(Table!I:O,MATCH(K866,Table!I:I,0),3),"")</f>
        <v/>
      </c>
      <c r="N866" s="32" t="str">
        <f>IFERROR(INDEX(Table!I:O,MATCH(K866,Table!I:I,0),4),"")</f>
        <v/>
      </c>
      <c r="O866" s="32" t="str">
        <f>IFERROR(INDEX(Table!I:O,MATCH(K866,Table!I:I,0),5),"")</f>
        <v/>
      </c>
      <c r="P866" s="32" t="str">
        <f>IFERROR(INDEX(Table!I:O,MATCH(K866,Table!I:I,0),6),"")</f>
        <v/>
      </c>
      <c r="Q866" s="89" t="str">
        <f t="shared" si="39"/>
        <v/>
      </c>
      <c r="R866" s="89" t="str">
        <f t="shared" si="40"/>
        <v/>
      </c>
      <c r="S866" s="82"/>
      <c r="U866" s="37" t="e">
        <f t="shared" si="41"/>
        <v>#VALUE!</v>
      </c>
    </row>
    <row r="867" spans="1:21" x14ac:dyDescent="0.25">
      <c r="A867" s="31" t="str">
        <f>IF(Table!A867 = "","",Table!A867)</f>
        <v/>
      </c>
      <c r="B867" s="31" t="str">
        <f>IF(Table!B867 = "","",Table!B867)</f>
        <v/>
      </c>
      <c r="C867" s="31" t="str">
        <f>IF(Table!C867 = "","",Table!C867)</f>
        <v/>
      </c>
      <c r="D867" s="32" t="str">
        <f>IF(Table!D867 = "","",Table!D867)</f>
        <v/>
      </c>
      <c r="E867" s="32" t="str">
        <f>IF(Table!E867 = "","",Table!E867)</f>
        <v/>
      </c>
      <c r="F867" s="32" t="str">
        <f>IF(Table!F867 = "","",Table!F867)</f>
        <v/>
      </c>
      <c r="G867" s="91"/>
      <c r="I867" s="84" t="str">
        <f>IFERROR(VLOOKUP(A867,Downlink!A:L,12,TRUE),"")</f>
        <v/>
      </c>
      <c r="K867" s="31" t="str">
        <f>IFERROR(VLOOKUP(A867,Table!$I$4:$O$3000,1,TRUE),"")</f>
        <v/>
      </c>
      <c r="L867" s="31" t="str">
        <f>IFERROR(INDEX(Table!I:O,MATCH(K867,Table!I:I,0),2),"")</f>
        <v/>
      </c>
      <c r="M867" s="31" t="str">
        <f>IFERROR(INDEX(Table!I:O,MATCH(K867,Table!I:I,0),3),"")</f>
        <v/>
      </c>
      <c r="N867" s="32" t="str">
        <f>IFERROR(INDEX(Table!I:O,MATCH(K867,Table!I:I,0),4),"")</f>
        <v/>
      </c>
      <c r="O867" s="32" t="str">
        <f>IFERROR(INDEX(Table!I:O,MATCH(K867,Table!I:I,0),5),"")</f>
        <v/>
      </c>
      <c r="P867" s="32" t="str">
        <f>IFERROR(INDEX(Table!I:O,MATCH(K867,Table!I:I,0),6),"")</f>
        <v/>
      </c>
      <c r="Q867" s="89" t="str">
        <f t="shared" si="39"/>
        <v/>
      </c>
      <c r="R867" s="89" t="str">
        <f t="shared" si="40"/>
        <v/>
      </c>
      <c r="S867" s="82"/>
      <c r="U867" s="37" t="e">
        <f t="shared" si="41"/>
        <v>#VALUE!</v>
      </c>
    </row>
    <row r="868" spans="1:21" x14ac:dyDescent="0.25">
      <c r="A868" s="31" t="str">
        <f>IF(Table!A868 = "","",Table!A868)</f>
        <v/>
      </c>
      <c r="B868" s="31" t="str">
        <f>IF(Table!B868 = "","",Table!B868)</f>
        <v/>
      </c>
      <c r="C868" s="31" t="str">
        <f>IF(Table!C868 = "","",Table!C868)</f>
        <v/>
      </c>
      <c r="D868" s="32" t="str">
        <f>IF(Table!D868 = "","",Table!D868)</f>
        <v/>
      </c>
      <c r="E868" s="32" t="str">
        <f>IF(Table!E868 = "","",Table!E868)</f>
        <v/>
      </c>
      <c r="F868" s="32" t="str">
        <f>IF(Table!F868 = "","",Table!F868)</f>
        <v/>
      </c>
      <c r="G868" s="91"/>
      <c r="I868" s="84" t="str">
        <f>IFERROR(VLOOKUP(A868,Downlink!A:L,12,TRUE),"")</f>
        <v/>
      </c>
      <c r="K868" s="31" t="str">
        <f>IFERROR(VLOOKUP(A868,Table!$I$4:$O$3000,1,TRUE),"")</f>
        <v/>
      </c>
      <c r="L868" s="31" t="str">
        <f>IFERROR(INDEX(Table!I:O,MATCH(K868,Table!I:I,0),2),"")</f>
        <v/>
      </c>
      <c r="M868" s="31" t="str">
        <f>IFERROR(INDEX(Table!I:O,MATCH(K868,Table!I:I,0),3),"")</f>
        <v/>
      </c>
      <c r="N868" s="32" t="str">
        <f>IFERROR(INDEX(Table!I:O,MATCH(K868,Table!I:I,0),4),"")</f>
        <v/>
      </c>
      <c r="O868" s="32" t="str">
        <f>IFERROR(INDEX(Table!I:O,MATCH(K868,Table!I:I,0),5),"")</f>
        <v/>
      </c>
      <c r="P868" s="32" t="str">
        <f>IFERROR(INDEX(Table!I:O,MATCH(K868,Table!I:I,0),6),"")</f>
        <v/>
      </c>
      <c r="Q868" s="89" t="str">
        <f t="shared" si="39"/>
        <v/>
      </c>
      <c r="R868" s="89" t="str">
        <f t="shared" si="40"/>
        <v/>
      </c>
      <c r="S868" s="82"/>
      <c r="U868" s="37" t="e">
        <f t="shared" si="41"/>
        <v>#VALUE!</v>
      </c>
    </row>
    <row r="869" spans="1:21" x14ac:dyDescent="0.25">
      <c r="A869" s="31" t="str">
        <f>IF(Table!A869 = "","",Table!A869)</f>
        <v/>
      </c>
      <c r="B869" s="31" t="str">
        <f>IF(Table!B869 = "","",Table!B869)</f>
        <v/>
      </c>
      <c r="C869" s="31" t="str">
        <f>IF(Table!C869 = "","",Table!C869)</f>
        <v/>
      </c>
      <c r="D869" s="32" t="str">
        <f>IF(Table!D869 = "","",Table!D869)</f>
        <v/>
      </c>
      <c r="E869" s="32" t="str">
        <f>IF(Table!E869 = "","",Table!E869)</f>
        <v/>
      </c>
      <c r="F869" s="32" t="str">
        <f>IF(Table!F869 = "","",Table!F869)</f>
        <v/>
      </c>
      <c r="G869" s="91"/>
      <c r="I869" s="84" t="str">
        <f>IFERROR(VLOOKUP(A869,Downlink!A:L,12,TRUE),"")</f>
        <v/>
      </c>
      <c r="K869" s="31" t="str">
        <f>IFERROR(VLOOKUP(A869,Table!$I$4:$O$3000,1,TRUE),"")</f>
        <v/>
      </c>
      <c r="L869" s="31" t="str">
        <f>IFERROR(INDEX(Table!I:O,MATCH(K869,Table!I:I,0),2),"")</f>
        <v/>
      </c>
      <c r="M869" s="31" t="str">
        <f>IFERROR(INDEX(Table!I:O,MATCH(K869,Table!I:I,0),3),"")</f>
        <v/>
      </c>
      <c r="N869" s="32" t="str">
        <f>IFERROR(INDEX(Table!I:O,MATCH(K869,Table!I:I,0),4),"")</f>
        <v/>
      </c>
      <c r="O869" s="32" t="str">
        <f>IFERROR(INDEX(Table!I:O,MATCH(K869,Table!I:I,0),5),"")</f>
        <v/>
      </c>
      <c r="P869" s="32" t="str">
        <f>IFERROR(INDEX(Table!I:O,MATCH(K869,Table!I:I,0),6),"")</f>
        <v/>
      </c>
      <c r="Q869" s="89" t="str">
        <f t="shared" si="39"/>
        <v/>
      </c>
      <c r="R869" s="89" t="str">
        <f t="shared" si="40"/>
        <v/>
      </c>
      <c r="S869" s="82"/>
      <c r="U869" s="37" t="e">
        <f t="shared" si="41"/>
        <v>#VALUE!</v>
      </c>
    </row>
    <row r="870" spans="1:21" x14ac:dyDescent="0.25">
      <c r="A870" s="31" t="str">
        <f>IF(Table!A870 = "","",Table!A870)</f>
        <v/>
      </c>
      <c r="B870" s="31" t="str">
        <f>IF(Table!B870 = "","",Table!B870)</f>
        <v/>
      </c>
      <c r="C870" s="31" t="str">
        <f>IF(Table!C870 = "","",Table!C870)</f>
        <v/>
      </c>
      <c r="D870" s="32" t="str">
        <f>IF(Table!D870 = "","",Table!D870)</f>
        <v/>
      </c>
      <c r="E870" s="32" t="str">
        <f>IF(Table!E870 = "","",Table!E870)</f>
        <v/>
      </c>
      <c r="F870" s="32" t="str">
        <f>IF(Table!F870 = "","",Table!F870)</f>
        <v/>
      </c>
      <c r="G870" s="91"/>
      <c r="I870" s="84" t="str">
        <f>IFERROR(VLOOKUP(A870,Downlink!A:L,12,TRUE),"")</f>
        <v/>
      </c>
      <c r="K870" s="31" t="str">
        <f>IFERROR(VLOOKUP(A870,Table!$I$4:$O$3000,1,TRUE),"")</f>
        <v/>
      </c>
      <c r="L870" s="31" t="str">
        <f>IFERROR(INDEX(Table!I:O,MATCH(K870,Table!I:I,0),2),"")</f>
        <v/>
      </c>
      <c r="M870" s="31" t="str">
        <f>IFERROR(INDEX(Table!I:O,MATCH(K870,Table!I:I,0),3),"")</f>
        <v/>
      </c>
      <c r="N870" s="32" t="str">
        <f>IFERROR(INDEX(Table!I:O,MATCH(K870,Table!I:I,0),4),"")</f>
        <v/>
      </c>
      <c r="O870" s="32" t="str">
        <f>IFERROR(INDEX(Table!I:O,MATCH(K870,Table!I:I,0),5),"")</f>
        <v/>
      </c>
      <c r="P870" s="32" t="str">
        <f>IFERROR(INDEX(Table!I:O,MATCH(K870,Table!I:I,0),6),"")</f>
        <v/>
      </c>
      <c r="Q870" s="89" t="str">
        <f t="shared" si="39"/>
        <v/>
      </c>
      <c r="R870" s="89" t="str">
        <f t="shared" si="40"/>
        <v/>
      </c>
      <c r="S870" s="82"/>
      <c r="U870" s="37" t="e">
        <f t="shared" si="41"/>
        <v>#VALUE!</v>
      </c>
    </row>
    <row r="871" spans="1:21" x14ac:dyDescent="0.25">
      <c r="A871" s="31" t="str">
        <f>IF(Table!A871 = "","",Table!A871)</f>
        <v/>
      </c>
      <c r="B871" s="31" t="str">
        <f>IF(Table!B871 = "","",Table!B871)</f>
        <v/>
      </c>
      <c r="C871" s="31" t="str">
        <f>IF(Table!C871 = "","",Table!C871)</f>
        <v/>
      </c>
      <c r="D871" s="32" t="str">
        <f>IF(Table!D871 = "","",Table!D871)</f>
        <v/>
      </c>
      <c r="E871" s="32" t="str">
        <f>IF(Table!E871 = "","",Table!E871)</f>
        <v/>
      </c>
      <c r="F871" s="32" t="str">
        <f>IF(Table!F871 = "","",Table!F871)</f>
        <v/>
      </c>
      <c r="G871" s="91"/>
      <c r="I871" s="84" t="str">
        <f>IFERROR(VLOOKUP(A871,Downlink!A:L,12,TRUE),"")</f>
        <v/>
      </c>
      <c r="K871" s="31" t="str">
        <f>IFERROR(VLOOKUP(A871,Table!$I$4:$O$3000,1,TRUE),"")</f>
        <v/>
      </c>
      <c r="L871" s="31" t="str">
        <f>IFERROR(INDEX(Table!I:O,MATCH(K871,Table!I:I,0),2),"")</f>
        <v/>
      </c>
      <c r="M871" s="31" t="str">
        <f>IFERROR(INDEX(Table!I:O,MATCH(K871,Table!I:I,0),3),"")</f>
        <v/>
      </c>
      <c r="N871" s="32" t="str">
        <f>IFERROR(INDEX(Table!I:O,MATCH(K871,Table!I:I,0),4),"")</f>
        <v/>
      </c>
      <c r="O871" s="32" t="str">
        <f>IFERROR(INDEX(Table!I:O,MATCH(K871,Table!I:I,0),5),"")</f>
        <v/>
      </c>
      <c r="P871" s="32" t="str">
        <f>IFERROR(INDEX(Table!I:O,MATCH(K871,Table!I:I,0),6),"")</f>
        <v/>
      </c>
      <c r="Q871" s="89" t="str">
        <f t="shared" si="39"/>
        <v/>
      </c>
      <c r="R871" s="89" t="str">
        <f t="shared" si="40"/>
        <v/>
      </c>
      <c r="S871" s="82"/>
      <c r="U871" s="37" t="e">
        <f t="shared" si="41"/>
        <v>#VALUE!</v>
      </c>
    </row>
    <row r="872" spans="1:21" x14ac:dyDescent="0.25">
      <c r="A872" s="31" t="str">
        <f>IF(Table!A872 = "","",Table!A872)</f>
        <v/>
      </c>
      <c r="B872" s="31" t="str">
        <f>IF(Table!B872 = "","",Table!B872)</f>
        <v/>
      </c>
      <c r="C872" s="31" t="str">
        <f>IF(Table!C872 = "","",Table!C872)</f>
        <v/>
      </c>
      <c r="D872" s="32" t="str">
        <f>IF(Table!D872 = "","",Table!D872)</f>
        <v/>
      </c>
      <c r="E872" s="32" t="str">
        <f>IF(Table!E872 = "","",Table!E872)</f>
        <v/>
      </c>
      <c r="F872" s="32" t="str">
        <f>IF(Table!F872 = "","",Table!F872)</f>
        <v/>
      </c>
      <c r="G872" s="91"/>
      <c r="I872" s="84" t="str">
        <f>IFERROR(VLOOKUP(A872,Downlink!A:L,12,TRUE),"")</f>
        <v/>
      </c>
      <c r="K872" s="31" t="str">
        <f>IFERROR(VLOOKUP(A872,Table!$I$4:$O$3000,1,TRUE),"")</f>
        <v/>
      </c>
      <c r="L872" s="31" t="str">
        <f>IFERROR(INDEX(Table!I:O,MATCH(K872,Table!I:I,0),2),"")</f>
        <v/>
      </c>
      <c r="M872" s="31" t="str">
        <f>IFERROR(INDEX(Table!I:O,MATCH(K872,Table!I:I,0),3),"")</f>
        <v/>
      </c>
      <c r="N872" s="32" t="str">
        <f>IFERROR(INDEX(Table!I:O,MATCH(K872,Table!I:I,0),4),"")</f>
        <v/>
      </c>
      <c r="O872" s="32" t="str">
        <f>IFERROR(INDEX(Table!I:O,MATCH(K872,Table!I:I,0),5),"")</f>
        <v/>
      </c>
      <c r="P872" s="32" t="str">
        <f>IFERROR(INDEX(Table!I:O,MATCH(K872,Table!I:I,0),6),"")</f>
        <v/>
      </c>
      <c r="Q872" s="89" t="str">
        <f t="shared" si="39"/>
        <v/>
      </c>
      <c r="R872" s="89" t="str">
        <f t="shared" si="40"/>
        <v/>
      </c>
      <c r="S872" s="82"/>
      <c r="U872" s="37" t="e">
        <f t="shared" si="41"/>
        <v>#VALUE!</v>
      </c>
    </row>
    <row r="873" spans="1:21" x14ac:dyDescent="0.25">
      <c r="A873" s="31" t="str">
        <f>IF(Table!A873 = "","",Table!A873)</f>
        <v/>
      </c>
      <c r="B873" s="31" t="str">
        <f>IF(Table!B873 = "","",Table!B873)</f>
        <v/>
      </c>
      <c r="C873" s="31" t="str">
        <f>IF(Table!C873 = "","",Table!C873)</f>
        <v/>
      </c>
      <c r="D873" s="32" t="str">
        <f>IF(Table!D873 = "","",Table!D873)</f>
        <v/>
      </c>
      <c r="E873" s="32" t="str">
        <f>IF(Table!E873 = "","",Table!E873)</f>
        <v/>
      </c>
      <c r="F873" s="32" t="str">
        <f>IF(Table!F873 = "","",Table!F873)</f>
        <v/>
      </c>
      <c r="G873" s="91"/>
      <c r="I873" s="84" t="str">
        <f>IFERROR(VLOOKUP(A873,Downlink!A:L,12,TRUE),"")</f>
        <v/>
      </c>
      <c r="K873" s="31" t="str">
        <f>IFERROR(VLOOKUP(A873,Table!$I$4:$O$3000,1,TRUE),"")</f>
        <v/>
      </c>
      <c r="L873" s="31" t="str">
        <f>IFERROR(INDEX(Table!I:O,MATCH(K873,Table!I:I,0),2),"")</f>
        <v/>
      </c>
      <c r="M873" s="31" t="str">
        <f>IFERROR(INDEX(Table!I:O,MATCH(K873,Table!I:I,0),3),"")</f>
        <v/>
      </c>
      <c r="N873" s="32" t="str">
        <f>IFERROR(INDEX(Table!I:O,MATCH(K873,Table!I:I,0),4),"")</f>
        <v/>
      </c>
      <c r="O873" s="32" t="str">
        <f>IFERROR(INDEX(Table!I:O,MATCH(K873,Table!I:I,0),5),"")</f>
        <v/>
      </c>
      <c r="P873" s="32" t="str">
        <f>IFERROR(INDEX(Table!I:O,MATCH(K873,Table!I:I,0),6),"")</f>
        <v/>
      </c>
      <c r="Q873" s="89" t="str">
        <f t="shared" si="39"/>
        <v/>
      </c>
      <c r="R873" s="89" t="str">
        <f t="shared" si="40"/>
        <v/>
      </c>
      <c r="S873" s="82"/>
      <c r="U873" s="37" t="e">
        <f t="shared" si="41"/>
        <v>#VALUE!</v>
      </c>
    </row>
    <row r="874" spans="1:21" x14ac:dyDescent="0.25">
      <c r="A874" s="31" t="str">
        <f>IF(Table!A874 = "","",Table!A874)</f>
        <v/>
      </c>
      <c r="B874" s="31" t="str">
        <f>IF(Table!B874 = "","",Table!B874)</f>
        <v/>
      </c>
      <c r="C874" s="31" t="str">
        <f>IF(Table!C874 = "","",Table!C874)</f>
        <v/>
      </c>
      <c r="D874" s="32" t="str">
        <f>IF(Table!D874 = "","",Table!D874)</f>
        <v/>
      </c>
      <c r="E874" s="32" t="str">
        <f>IF(Table!E874 = "","",Table!E874)</f>
        <v/>
      </c>
      <c r="F874" s="32" t="str">
        <f>IF(Table!F874 = "","",Table!F874)</f>
        <v/>
      </c>
      <c r="G874" s="91"/>
      <c r="I874" s="84" t="str">
        <f>IFERROR(VLOOKUP(A874,Downlink!A:L,12,TRUE),"")</f>
        <v/>
      </c>
      <c r="K874" s="31" t="str">
        <f>IFERROR(VLOOKUP(A874,Table!$I$4:$O$3000,1,TRUE),"")</f>
        <v/>
      </c>
      <c r="L874" s="31" t="str">
        <f>IFERROR(INDEX(Table!I:O,MATCH(K874,Table!I:I,0),2),"")</f>
        <v/>
      </c>
      <c r="M874" s="31" t="str">
        <f>IFERROR(INDEX(Table!I:O,MATCH(K874,Table!I:I,0),3),"")</f>
        <v/>
      </c>
      <c r="N874" s="32" t="str">
        <f>IFERROR(INDEX(Table!I:O,MATCH(K874,Table!I:I,0),4),"")</f>
        <v/>
      </c>
      <c r="O874" s="32" t="str">
        <f>IFERROR(INDEX(Table!I:O,MATCH(K874,Table!I:I,0),5),"")</f>
        <v/>
      </c>
      <c r="P874" s="32" t="str">
        <f>IFERROR(INDEX(Table!I:O,MATCH(K874,Table!I:I,0),6),"")</f>
        <v/>
      </c>
      <c r="Q874" s="89" t="str">
        <f t="shared" si="39"/>
        <v/>
      </c>
      <c r="R874" s="89" t="str">
        <f t="shared" si="40"/>
        <v/>
      </c>
      <c r="S874" s="82"/>
      <c r="U874" s="37" t="e">
        <f t="shared" si="41"/>
        <v>#VALUE!</v>
      </c>
    </row>
    <row r="875" spans="1:21" x14ac:dyDescent="0.25">
      <c r="A875" s="31" t="str">
        <f>IF(Table!A875 = "","",Table!A875)</f>
        <v/>
      </c>
      <c r="B875" s="31" t="str">
        <f>IF(Table!B875 = "","",Table!B875)</f>
        <v/>
      </c>
      <c r="C875" s="31" t="str">
        <f>IF(Table!C875 = "","",Table!C875)</f>
        <v/>
      </c>
      <c r="D875" s="32" t="str">
        <f>IF(Table!D875 = "","",Table!D875)</f>
        <v/>
      </c>
      <c r="E875" s="32" t="str">
        <f>IF(Table!E875 = "","",Table!E875)</f>
        <v/>
      </c>
      <c r="F875" s="32" t="str">
        <f>IF(Table!F875 = "","",Table!F875)</f>
        <v/>
      </c>
      <c r="G875" s="91"/>
      <c r="I875" s="84" t="str">
        <f>IFERROR(VLOOKUP(A875,Downlink!A:L,12,TRUE),"")</f>
        <v/>
      </c>
      <c r="K875" s="31" t="str">
        <f>IFERROR(VLOOKUP(A875,Table!$I$4:$O$3000,1,TRUE),"")</f>
        <v/>
      </c>
      <c r="L875" s="31" t="str">
        <f>IFERROR(INDEX(Table!I:O,MATCH(K875,Table!I:I,0),2),"")</f>
        <v/>
      </c>
      <c r="M875" s="31" t="str">
        <f>IFERROR(INDEX(Table!I:O,MATCH(K875,Table!I:I,0),3),"")</f>
        <v/>
      </c>
      <c r="N875" s="32" t="str">
        <f>IFERROR(INDEX(Table!I:O,MATCH(K875,Table!I:I,0),4),"")</f>
        <v/>
      </c>
      <c r="O875" s="32" t="str">
        <f>IFERROR(INDEX(Table!I:O,MATCH(K875,Table!I:I,0),5),"")</f>
        <v/>
      </c>
      <c r="P875" s="32" t="str">
        <f>IFERROR(INDEX(Table!I:O,MATCH(K875,Table!I:I,0),6),"")</f>
        <v/>
      </c>
      <c r="Q875" s="89" t="str">
        <f t="shared" si="39"/>
        <v/>
      </c>
      <c r="R875" s="89" t="str">
        <f t="shared" si="40"/>
        <v/>
      </c>
      <c r="S875" s="82"/>
      <c r="U875" s="37" t="e">
        <f t="shared" si="41"/>
        <v>#VALUE!</v>
      </c>
    </row>
    <row r="876" spans="1:21" x14ac:dyDescent="0.25">
      <c r="A876" s="31" t="str">
        <f>IF(Table!A876 = "","",Table!A876)</f>
        <v/>
      </c>
      <c r="B876" s="31" t="str">
        <f>IF(Table!B876 = "","",Table!B876)</f>
        <v/>
      </c>
      <c r="C876" s="31" t="str">
        <f>IF(Table!C876 = "","",Table!C876)</f>
        <v/>
      </c>
      <c r="D876" s="32" t="str">
        <f>IF(Table!D876 = "","",Table!D876)</f>
        <v/>
      </c>
      <c r="E876" s="32" t="str">
        <f>IF(Table!E876 = "","",Table!E876)</f>
        <v/>
      </c>
      <c r="F876" s="32" t="str">
        <f>IF(Table!F876 = "","",Table!F876)</f>
        <v/>
      </c>
      <c r="G876" s="91"/>
      <c r="I876" s="84" t="str">
        <f>IFERROR(VLOOKUP(A876,Downlink!A:L,12,TRUE),"")</f>
        <v/>
      </c>
      <c r="K876" s="31" t="str">
        <f>IFERROR(VLOOKUP(A876,Table!$I$4:$O$3000,1,TRUE),"")</f>
        <v/>
      </c>
      <c r="L876" s="31" t="str">
        <f>IFERROR(INDEX(Table!I:O,MATCH(K876,Table!I:I,0),2),"")</f>
        <v/>
      </c>
      <c r="M876" s="31" t="str">
        <f>IFERROR(INDEX(Table!I:O,MATCH(K876,Table!I:I,0),3),"")</f>
        <v/>
      </c>
      <c r="N876" s="32" t="str">
        <f>IFERROR(INDEX(Table!I:O,MATCH(K876,Table!I:I,0),4),"")</f>
        <v/>
      </c>
      <c r="O876" s="32" t="str">
        <f>IFERROR(INDEX(Table!I:O,MATCH(K876,Table!I:I,0),5),"")</f>
        <v/>
      </c>
      <c r="P876" s="32" t="str">
        <f>IFERROR(INDEX(Table!I:O,MATCH(K876,Table!I:I,0),6),"")</f>
        <v/>
      </c>
      <c r="Q876" s="89" t="str">
        <f t="shared" si="39"/>
        <v/>
      </c>
      <c r="R876" s="89" t="str">
        <f t="shared" si="40"/>
        <v/>
      </c>
      <c r="S876" s="82"/>
      <c r="U876" s="37" t="e">
        <f t="shared" si="41"/>
        <v>#VALUE!</v>
      </c>
    </row>
    <row r="877" spans="1:21" x14ac:dyDescent="0.25">
      <c r="A877" s="31" t="str">
        <f>IF(Table!A877 = "","",Table!A877)</f>
        <v/>
      </c>
      <c r="B877" s="31" t="str">
        <f>IF(Table!B877 = "","",Table!B877)</f>
        <v/>
      </c>
      <c r="C877" s="31" t="str">
        <f>IF(Table!C877 = "","",Table!C877)</f>
        <v/>
      </c>
      <c r="D877" s="32" t="str">
        <f>IF(Table!D877 = "","",Table!D877)</f>
        <v/>
      </c>
      <c r="E877" s="32" t="str">
        <f>IF(Table!E877 = "","",Table!E877)</f>
        <v/>
      </c>
      <c r="F877" s="32" t="str">
        <f>IF(Table!F877 = "","",Table!F877)</f>
        <v/>
      </c>
      <c r="G877" s="91"/>
      <c r="I877" s="84" t="str">
        <f>IFERROR(VLOOKUP(A877,Downlink!A:L,12,TRUE),"")</f>
        <v/>
      </c>
      <c r="K877" s="31" t="str">
        <f>IFERROR(VLOOKUP(A877,Table!$I$4:$O$3000,1,TRUE),"")</f>
        <v/>
      </c>
      <c r="L877" s="31" t="str">
        <f>IFERROR(INDEX(Table!I:O,MATCH(K877,Table!I:I,0),2),"")</f>
        <v/>
      </c>
      <c r="M877" s="31" t="str">
        <f>IFERROR(INDEX(Table!I:O,MATCH(K877,Table!I:I,0),3),"")</f>
        <v/>
      </c>
      <c r="N877" s="32" t="str">
        <f>IFERROR(INDEX(Table!I:O,MATCH(K877,Table!I:I,0),4),"")</f>
        <v/>
      </c>
      <c r="O877" s="32" t="str">
        <f>IFERROR(INDEX(Table!I:O,MATCH(K877,Table!I:I,0),5),"")</f>
        <v/>
      </c>
      <c r="P877" s="32" t="str">
        <f>IFERROR(INDEX(Table!I:O,MATCH(K877,Table!I:I,0),6),"")</f>
        <v/>
      </c>
      <c r="Q877" s="89" t="str">
        <f t="shared" si="39"/>
        <v/>
      </c>
      <c r="R877" s="89" t="str">
        <f t="shared" si="40"/>
        <v/>
      </c>
      <c r="S877" s="82"/>
      <c r="U877" s="37" t="e">
        <f t="shared" si="41"/>
        <v>#VALUE!</v>
      </c>
    </row>
    <row r="878" spans="1:21" x14ac:dyDescent="0.25">
      <c r="A878" s="31" t="str">
        <f>IF(Table!A878 = "","",Table!A878)</f>
        <v/>
      </c>
      <c r="B878" s="31" t="str">
        <f>IF(Table!B878 = "","",Table!B878)</f>
        <v/>
      </c>
      <c r="C878" s="31" t="str">
        <f>IF(Table!C878 = "","",Table!C878)</f>
        <v/>
      </c>
      <c r="D878" s="32" t="str">
        <f>IF(Table!D878 = "","",Table!D878)</f>
        <v/>
      </c>
      <c r="E878" s="32" t="str">
        <f>IF(Table!E878 = "","",Table!E878)</f>
        <v/>
      </c>
      <c r="F878" s="32" t="str">
        <f>IF(Table!F878 = "","",Table!F878)</f>
        <v/>
      </c>
      <c r="G878" s="91"/>
      <c r="I878" s="84" t="str">
        <f>IFERROR(VLOOKUP(A878,Downlink!A:L,12,TRUE),"")</f>
        <v/>
      </c>
      <c r="K878" s="31" t="str">
        <f>IFERROR(VLOOKUP(A878,Table!$I$4:$O$3000,1,TRUE),"")</f>
        <v/>
      </c>
      <c r="L878" s="31" t="str">
        <f>IFERROR(INDEX(Table!I:O,MATCH(K878,Table!I:I,0),2),"")</f>
        <v/>
      </c>
      <c r="M878" s="31" t="str">
        <f>IFERROR(INDEX(Table!I:O,MATCH(K878,Table!I:I,0),3),"")</f>
        <v/>
      </c>
      <c r="N878" s="32" t="str">
        <f>IFERROR(INDEX(Table!I:O,MATCH(K878,Table!I:I,0),4),"")</f>
        <v/>
      </c>
      <c r="O878" s="32" t="str">
        <f>IFERROR(INDEX(Table!I:O,MATCH(K878,Table!I:I,0),5),"")</f>
        <v/>
      </c>
      <c r="P878" s="32" t="str">
        <f>IFERROR(INDEX(Table!I:O,MATCH(K878,Table!I:I,0),6),"")</f>
        <v/>
      </c>
      <c r="Q878" s="89" t="str">
        <f t="shared" si="39"/>
        <v/>
      </c>
      <c r="R878" s="89" t="str">
        <f t="shared" si="40"/>
        <v/>
      </c>
      <c r="S878" s="82"/>
      <c r="U878" s="37" t="e">
        <f t="shared" si="41"/>
        <v>#VALUE!</v>
      </c>
    </row>
    <row r="879" spans="1:21" x14ac:dyDescent="0.25">
      <c r="A879" s="31" t="str">
        <f>IF(Table!A879 = "","",Table!A879)</f>
        <v/>
      </c>
      <c r="B879" s="31" t="str">
        <f>IF(Table!B879 = "","",Table!B879)</f>
        <v/>
      </c>
      <c r="C879" s="31" t="str">
        <f>IF(Table!C879 = "","",Table!C879)</f>
        <v/>
      </c>
      <c r="D879" s="32" t="str">
        <f>IF(Table!D879 = "","",Table!D879)</f>
        <v/>
      </c>
      <c r="E879" s="32" t="str">
        <f>IF(Table!E879 = "","",Table!E879)</f>
        <v/>
      </c>
      <c r="F879" s="32" t="str">
        <f>IF(Table!F879 = "","",Table!F879)</f>
        <v/>
      </c>
      <c r="G879" s="91"/>
      <c r="I879" s="84" t="str">
        <f>IFERROR(VLOOKUP(A879,Downlink!A:L,12,TRUE),"")</f>
        <v/>
      </c>
      <c r="K879" s="31" t="str">
        <f>IFERROR(VLOOKUP(A879,Table!$I$4:$O$3000,1,TRUE),"")</f>
        <v/>
      </c>
      <c r="L879" s="31" t="str">
        <f>IFERROR(INDEX(Table!I:O,MATCH(K879,Table!I:I,0),2),"")</f>
        <v/>
      </c>
      <c r="M879" s="31" t="str">
        <f>IFERROR(INDEX(Table!I:O,MATCH(K879,Table!I:I,0),3),"")</f>
        <v/>
      </c>
      <c r="N879" s="32" t="str">
        <f>IFERROR(INDEX(Table!I:O,MATCH(K879,Table!I:I,0),4),"")</f>
        <v/>
      </c>
      <c r="O879" s="32" t="str">
        <f>IFERROR(INDEX(Table!I:O,MATCH(K879,Table!I:I,0),5),"")</f>
        <v/>
      </c>
      <c r="P879" s="32" t="str">
        <f>IFERROR(INDEX(Table!I:O,MATCH(K879,Table!I:I,0),6),"")</f>
        <v/>
      </c>
      <c r="Q879" s="89" t="str">
        <f t="shared" si="39"/>
        <v/>
      </c>
      <c r="R879" s="89" t="str">
        <f t="shared" si="40"/>
        <v/>
      </c>
      <c r="S879" s="82"/>
      <c r="U879" s="37" t="e">
        <f t="shared" si="41"/>
        <v>#VALUE!</v>
      </c>
    </row>
    <row r="880" spans="1:21" x14ac:dyDescent="0.25">
      <c r="A880" s="31" t="str">
        <f>IF(Table!A880 = "","",Table!A880)</f>
        <v/>
      </c>
      <c r="B880" s="31" t="str">
        <f>IF(Table!B880 = "","",Table!B880)</f>
        <v/>
      </c>
      <c r="C880" s="31" t="str">
        <f>IF(Table!C880 = "","",Table!C880)</f>
        <v/>
      </c>
      <c r="D880" s="32" t="str">
        <f>IF(Table!D880 = "","",Table!D880)</f>
        <v/>
      </c>
      <c r="E880" s="32" t="str">
        <f>IF(Table!E880 = "","",Table!E880)</f>
        <v/>
      </c>
      <c r="F880" s="32" t="str">
        <f>IF(Table!F880 = "","",Table!F880)</f>
        <v/>
      </c>
      <c r="G880" s="91"/>
      <c r="I880" s="84" t="str">
        <f>IFERROR(VLOOKUP(A880,Downlink!A:L,12,TRUE),"")</f>
        <v/>
      </c>
      <c r="K880" s="31" t="str">
        <f>IFERROR(VLOOKUP(A880,Table!$I$4:$O$3000,1,TRUE),"")</f>
        <v/>
      </c>
      <c r="L880" s="31" t="str">
        <f>IFERROR(INDEX(Table!I:O,MATCH(K880,Table!I:I,0),2),"")</f>
        <v/>
      </c>
      <c r="M880" s="31" t="str">
        <f>IFERROR(INDEX(Table!I:O,MATCH(K880,Table!I:I,0),3),"")</f>
        <v/>
      </c>
      <c r="N880" s="32" t="str">
        <f>IFERROR(INDEX(Table!I:O,MATCH(K880,Table!I:I,0),4),"")</f>
        <v/>
      </c>
      <c r="O880" s="32" t="str">
        <f>IFERROR(INDEX(Table!I:O,MATCH(K880,Table!I:I,0),5),"")</f>
        <v/>
      </c>
      <c r="P880" s="32" t="str">
        <f>IFERROR(INDEX(Table!I:O,MATCH(K880,Table!I:I,0),6),"")</f>
        <v/>
      </c>
      <c r="Q880" s="89" t="str">
        <f t="shared" si="39"/>
        <v/>
      </c>
      <c r="R880" s="89" t="str">
        <f t="shared" si="40"/>
        <v/>
      </c>
      <c r="S880" s="82"/>
      <c r="U880" s="37" t="e">
        <f t="shared" si="41"/>
        <v>#VALUE!</v>
      </c>
    </row>
    <row r="881" spans="1:21" x14ac:dyDescent="0.25">
      <c r="A881" s="31" t="str">
        <f>IF(Table!A881 = "","",Table!A881)</f>
        <v/>
      </c>
      <c r="B881" s="31" t="str">
        <f>IF(Table!B881 = "","",Table!B881)</f>
        <v/>
      </c>
      <c r="C881" s="31" t="str">
        <f>IF(Table!C881 = "","",Table!C881)</f>
        <v/>
      </c>
      <c r="D881" s="32" t="str">
        <f>IF(Table!D881 = "","",Table!D881)</f>
        <v/>
      </c>
      <c r="E881" s="32" t="str">
        <f>IF(Table!E881 = "","",Table!E881)</f>
        <v/>
      </c>
      <c r="F881" s="32" t="str">
        <f>IF(Table!F881 = "","",Table!F881)</f>
        <v/>
      </c>
      <c r="G881" s="91"/>
      <c r="I881" s="84" t="str">
        <f>IFERROR(VLOOKUP(A881,Downlink!A:L,12,TRUE),"")</f>
        <v/>
      </c>
      <c r="K881" s="31" t="str">
        <f>IFERROR(VLOOKUP(A881,Table!$I$4:$O$3000,1,TRUE),"")</f>
        <v/>
      </c>
      <c r="L881" s="31" t="str">
        <f>IFERROR(INDEX(Table!I:O,MATCH(K881,Table!I:I,0),2),"")</f>
        <v/>
      </c>
      <c r="M881" s="31" t="str">
        <f>IFERROR(INDEX(Table!I:O,MATCH(K881,Table!I:I,0),3),"")</f>
        <v/>
      </c>
      <c r="N881" s="32" t="str">
        <f>IFERROR(INDEX(Table!I:O,MATCH(K881,Table!I:I,0),4),"")</f>
        <v/>
      </c>
      <c r="O881" s="32" t="str">
        <f>IFERROR(INDEX(Table!I:O,MATCH(K881,Table!I:I,0),5),"")</f>
        <v/>
      </c>
      <c r="P881" s="32" t="str">
        <f>IFERROR(INDEX(Table!I:O,MATCH(K881,Table!I:I,0),6),"")</f>
        <v/>
      </c>
      <c r="Q881" s="89" t="str">
        <f t="shared" si="39"/>
        <v/>
      </c>
      <c r="R881" s="89" t="str">
        <f t="shared" si="40"/>
        <v/>
      </c>
      <c r="S881" s="82"/>
      <c r="U881" s="37" t="e">
        <f t="shared" si="41"/>
        <v>#VALUE!</v>
      </c>
    </row>
    <row r="882" spans="1:21" x14ac:dyDescent="0.25">
      <c r="A882" s="31" t="str">
        <f>IF(Table!A882 = "","",Table!A882)</f>
        <v/>
      </c>
      <c r="B882" s="31" t="str">
        <f>IF(Table!B882 = "","",Table!B882)</f>
        <v/>
      </c>
      <c r="C882" s="31" t="str">
        <f>IF(Table!C882 = "","",Table!C882)</f>
        <v/>
      </c>
      <c r="D882" s="32" t="str">
        <f>IF(Table!D882 = "","",Table!D882)</f>
        <v/>
      </c>
      <c r="E882" s="32" t="str">
        <f>IF(Table!E882 = "","",Table!E882)</f>
        <v/>
      </c>
      <c r="F882" s="32" t="str">
        <f>IF(Table!F882 = "","",Table!F882)</f>
        <v/>
      </c>
      <c r="G882" s="91"/>
      <c r="I882" s="84" t="str">
        <f>IFERROR(VLOOKUP(A882,Downlink!A:L,12,TRUE),"")</f>
        <v/>
      </c>
      <c r="K882" s="31" t="str">
        <f>IFERROR(VLOOKUP(A882,Table!$I$4:$O$3000,1,TRUE),"")</f>
        <v/>
      </c>
      <c r="L882" s="31" t="str">
        <f>IFERROR(INDEX(Table!I:O,MATCH(K882,Table!I:I,0),2),"")</f>
        <v/>
      </c>
      <c r="M882" s="31" t="str">
        <f>IFERROR(INDEX(Table!I:O,MATCH(K882,Table!I:I,0),3),"")</f>
        <v/>
      </c>
      <c r="N882" s="32" t="str">
        <f>IFERROR(INDEX(Table!I:O,MATCH(K882,Table!I:I,0),4),"")</f>
        <v/>
      </c>
      <c r="O882" s="32" t="str">
        <f>IFERROR(INDEX(Table!I:O,MATCH(K882,Table!I:I,0),5),"")</f>
        <v/>
      </c>
      <c r="P882" s="32" t="str">
        <f>IFERROR(INDEX(Table!I:O,MATCH(K882,Table!I:I,0),6),"")</f>
        <v/>
      </c>
      <c r="Q882" s="89" t="str">
        <f t="shared" si="39"/>
        <v/>
      </c>
      <c r="R882" s="89" t="str">
        <f t="shared" si="40"/>
        <v/>
      </c>
      <c r="S882" s="82"/>
      <c r="U882" s="37" t="e">
        <f t="shared" si="41"/>
        <v>#VALUE!</v>
      </c>
    </row>
    <row r="883" spans="1:21" x14ac:dyDescent="0.25">
      <c r="A883" s="31" t="str">
        <f>IF(Table!A883 = "","",Table!A883)</f>
        <v/>
      </c>
      <c r="B883" s="31" t="str">
        <f>IF(Table!B883 = "","",Table!B883)</f>
        <v/>
      </c>
      <c r="C883" s="31" t="str">
        <f>IF(Table!C883 = "","",Table!C883)</f>
        <v/>
      </c>
      <c r="D883" s="32" t="str">
        <f>IF(Table!D883 = "","",Table!D883)</f>
        <v/>
      </c>
      <c r="E883" s="32" t="str">
        <f>IF(Table!E883 = "","",Table!E883)</f>
        <v/>
      </c>
      <c r="F883" s="32" t="str">
        <f>IF(Table!F883 = "","",Table!F883)</f>
        <v/>
      </c>
      <c r="G883" s="91"/>
      <c r="I883" s="84" t="str">
        <f>IFERROR(VLOOKUP(A883,Downlink!A:L,12,TRUE),"")</f>
        <v/>
      </c>
      <c r="K883" s="31" t="str">
        <f>IFERROR(VLOOKUP(A883,Table!$I$4:$O$3000,1,TRUE),"")</f>
        <v/>
      </c>
      <c r="L883" s="31" t="str">
        <f>IFERROR(INDEX(Table!I:O,MATCH(K883,Table!I:I,0),2),"")</f>
        <v/>
      </c>
      <c r="M883" s="31" t="str">
        <f>IFERROR(INDEX(Table!I:O,MATCH(K883,Table!I:I,0),3),"")</f>
        <v/>
      </c>
      <c r="N883" s="32" t="str">
        <f>IFERROR(INDEX(Table!I:O,MATCH(K883,Table!I:I,0),4),"")</f>
        <v/>
      </c>
      <c r="O883" s="32" t="str">
        <f>IFERROR(INDEX(Table!I:O,MATCH(K883,Table!I:I,0),5),"")</f>
        <v/>
      </c>
      <c r="P883" s="32" t="str">
        <f>IFERROR(INDEX(Table!I:O,MATCH(K883,Table!I:I,0),6),"")</f>
        <v/>
      </c>
      <c r="Q883" s="89" t="str">
        <f t="shared" si="39"/>
        <v/>
      </c>
      <c r="R883" s="89" t="str">
        <f t="shared" si="40"/>
        <v/>
      </c>
      <c r="S883" s="82"/>
      <c r="U883" s="37" t="e">
        <f t="shared" si="41"/>
        <v>#VALUE!</v>
      </c>
    </row>
    <row r="884" spans="1:21" x14ac:dyDescent="0.25">
      <c r="A884" s="31" t="str">
        <f>IF(Table!A884 = "","",Table!A884)</f>
        <v/>
      </c>
      <c r="B884" s="31" t="str">
        <f>IF(Table!B884 = "","",Table!B884)</f>
        <v/>
      </c>
      <c r="C884" s="31" t="str">
        <f>IF(Table!C884 = "","",Table!C884)</f>
        <v/>
      </c>
      <c r="D884" s="32" t="str">
        <f>IF(Table!D884 = "","",Table!D884)</f>
        <v/>
      </c>
      <c r="E884" s="32" t="str">
        <f>IF(Table!E884 = "","",Table!E884)</f>
        <v/>
      </c>
      <c r="F884" s="32" t="str">
        <f>IF(Table!F884 = "","",Table!F884)</f>
        <v/>
      </c>
      <c r="G884" s="91"/>
      <c r="I884" s="84" t="str">
        <f>IFERROR(VLOOKUP(A884,Downlink!A:L,12,TRUE),"")</f>
        <v/>
      </c>
      <c r="K884" s="31" t="str">
        <f>IFERROR(VLOOKUP(A884,Table!$I$4:$O$3000,1,TRUE),"")</f>
        <v/>
      </c>
      <c r="L884" s="31" t="str">
        <f>IFERROR(INDEX(Table!I:O,MATCH(K884,Table!I:I,0),2),"")</f>
        <v/>
      </c>
      <c r="M884" s="31" t="str">
        <f>IFERROR(INDEX(Table!I:O,MATCH(K884,Table!I:I,0),3),"")</f>
        <v/>
      </c>
      <c r="N884" s="32" t="str">
        <f>IFERROR(INDEX(Table!I:O,MATCH(K884,Table!I:I,0),4),"")</f>
        <v/>
      </c>
      <c r="O884" s="32" t="str">
        <f>IFERROR(INDEX(Table!I:O,MATCH(K884,Table!I:I,0),5),"")</f>
        <v/>
      </c>
      <c r="P884" s="32" t="str">
        <f>IFERROR(INDEX(Table!I:O,MATCH(K884,Table!I:I,0),6),"")</f>
        <v/>
      </c>
      <c r="Q884" s="89" t="str">
        <f t="shared" si="39"/>
        <v/>
      </c>
      <c r="R884" s="89" t="str">
        <f t="shared" si="40"/>
        <v/>
      </c>
      <c r="S884" s="82"/>
      <c r="U884" s="37" t="e">
        <f t="shared" si="41"/>
        <v>#VALUE!</v>
      </c>
    </row>
    <row r="885" spans="1:21" x14ac:dyDescent="0.25">
      <c r="A885" s="31" t="str">
        <f>IF(Table!A885 = "","",Table!A885)</f>
        <v/>
      </c>
      <c r="B885" s="31" t="str">
        <f>IF(Table!B885 = "","",Table!B885)</f>
        <v/>
      </c>
      <c r="C885" s="31" t="str">
        <f>IF(Table!C885 = "","",Table!C885)</f>
        <v/>
      </c>
      <c r="D885" s="32" t="str">
        <f>IF(Table!D885 = "","",Table!D885)</f>
        <v/>
      </c>
      <c r="E885" s="32" t="str">
        <f>IF(Table!E885 = "","",Table!E885)</f>
        <v/>
      </c>
      <c r="F885" s="32" t="str">
        <f>IF(Table!F885 = "","",Table!F885)</f>
        <v/>
      </c>
      <c r="G885" s="91"/>
      <c r="I885" s="84" t="str">
        <f>IFERROR(VLOOKUP(A885,Downlink!A:L,12,TRUE),"")</f>
        <v/>
      </c>
      <c r="K885" s="31" t="str">
        <f>IFERROR(VLOOKUP(A885,Table!$I$4:$O$3000,1,TRUE),"")</f>
        <v/>
      </c>
      <c r="L885" s="31" t="str">
        <f>IFERROR(INDEX(Table!I:O,MATCH(K885,Table!I:I,0),2),"")</f>
        <v/>
      </c>
      <c r="M885" s="31" t="str">
        <f>IFERROR(INDEX(Table!I:O,MATCH(K885,Table!I:I,0),3),"")</f>
        <v/>
      </c>
      <c r="N885" s="32" t="str">
        <f>IFERROR(INDEX(Table!I:O,MATCH(K885,Table!I:I,0),4),"")</f>
        <v/>
      </c>
      <c r="O885" s="32" t="str">
        <f>IFERROR(INDEX(Table!I:O,MATCH(K885,Table!I:I,0),5),"")</f>
        <v/>
      </c>
      <c r="P885" s="32" t="str">
        <f>IFERROR(INDEX(Table!I:O,MATCH(K885,Table!I:I,0),6),"")</f>
        <v/>
      </c>
      <c r="Q885" s="89" t="str">
        <f t="shared" si="39"/>
        <v/>
      </c>
      <c r="R885" s="89" t="str">
        <f t="shared" si="40"/>
        <v/>
      </c>
      <c r="S885" s="82"/>
      <c r="U885" s="37" t="e">
        <f t="shared" si="41"/>
        <v>#VALUE!</v>
      </c>
    </row>
    <row r="886" spans="1:21" x14ac:dyDescent="0.25">
      <c r="A886" s="31" t="str">
        <f>IF(Table!A886 = "","",Table!A886)</f>
        <v/>
      </c>
      <c r="B886" s="31" t="str">
        <f>IF(Table!B886 = "","",Table!B886)</f>
        <v/>
      </c>
      <c r="C886" s="31" t="str">
        <f>IF(Table!C886 = "","",Table!C886)</f>
        <v/>
      </c>
      <c r="D886" s="32" t="str">
        <f>IF(Table!D886 = "","",Table!D886)</f>
        <v/>
      </c>
      <c r="E886" s="32" t="str">
        <f>IF(Table!E886 = "","",Table!E886)</f>
        <v/>
      </c>
      <c r="F886" s="32" t="str">
        <f>IF(Table!F886 = "","",Table!F886)</f>
        <v/>
      </c>
      <c r="G886" s="91"/>
      <c r="I886" s="84" t="str">
        <f>IFERROR(VLOOKUP(A886,Downlink!A:L,12,TRUE),"")</f>
        <v/>
      </c>
      <c r="K886" s="31" t="str">
        <f>IFERROR(VLOOKUP(A886,Table!$I$4:$O$3000,1,TRUE),"")</f>
        <v/>
      </c>
      <c r="L886" s="31" t="str">
        <f>IFERROR(INDEX(Table!I:O,MATCH(K886,Table!I:I,0),2),"")</f>
        <v/>
      </c>
      <c r="M886" s="31" t="str">
        <f>IFERROR(INDEX(Table!I:O,MATCH(K886,Table!I:I,0),3),"")</f>
        <v/>
      </c>
      <c r="N886" s="32" t="str">
        <f>IFERROR(INDEX(Table!I:O,MATCH(K886,Table!I:I,0),4),"")</f>
        <v/>
      </c>
      <c r="O886" s="32" t="str">
        <f>IFERROR(INDEX(Table!I:O,MATCH(K886,Table!I:I,0),5),"")</f>
        <v/>
      </c>
      <c r="P886" s="32" t="str">
        <f>IFERROR(INDEX(Table!I:O,MATCH(K886,Table!I:I,0),6),"")</f>
        <v/>
      </c>
      <c r="Q886" s="89" t="str">
        <f t="shared" si="39"/>
        <v/>
      </c>
      <c r="R886" s="89" t="str">
        <f t="shared" si="40"/>
        <v/>
      </c>
      <c r="S886" s="82"/>
      <c r="U886" s="37" t="e">
        <f t="shared" si="41"/>
        <v>#VALUE!</v>
      </c>
    </row>
    <row r="887" spans="1:21" x14ac:dyDescent="0.25">
      <c r="A887" s="31" t="str">
        <f>IF(Table!A887 = "","",Table!A887)</f>
        <v/>
      </c>
      <c r="B887" s="31" t="str">
        <f>IF(Table!B887 = "","",Table!B887)</f>
        <v/>
      </c>
      <c r="C887" s="31" t="str">
        <f>IF(Table!C887 = "","",Table!C887)</f>
        <v/>
      </c>
      <c r="D887" s="32" t="str">
        <f>IF(Table!D887 = "","",Table!D887)</f>
        <v/>
      </c>
      <c r="E887" s="32" t="str">
        <f>IF(Table!E887 = "","",Table!E887)</f>
        <v/>
      </c>
      <c r="F887" s="32" t="str">
        <f>IF(Table!F887 = "","",Table!F887)</f>
        <v/>
      </c>
      <c r="G887" s="91"/>
      <c r="I887" s="84" t="str">
        <f>IFERROR(VLOOKUP(A887,Downlink!A:L,12,TRUE),"")</f>
        <v/>
      </c>
      <c r="K887" s="31" t="str">
        <f>IFERROR(VLOOKUP(A887,Table!$I$4:$O$3000,1,TRUE),"")</f>
        <v/>
      </c>
      <c r="L887" s="31" t="str">
        <f>IFERROR(INDEX(Table!I:O,MATCH(K887,Table!I:I,0),2),"")</f>
        <v/>
      </c>
      <c r="M887" s="31" t="str">
        <f>IFERROR(INDEX(Table!I:O,MATCH(K887,Table!I:I,0),3),"")</f>
        <v/>
      </c>
      <c r="N887" s="32" t="str">
        <f>IFERROR(INDEX(Table!I:O,MATCH(K887,Table!I:I,0),4),"")</f>
        <v/>
      </c>
      <c r="O887" s="32" t="str">
        <f>IFERROR(INDEX(Table!I:O,MATCH(K887,Table!I:I,0),5),"")</f>
        <v/>
      </c>
      <c r="P887" s="32" t="str">
        <f>IFERROR(INDEX(Table!I:O,MATCH(K887,Table!I:I,0),6),"")</f>
        <v/>
      </c>
      <c r="Q887" s="89" t="str">
        <f t="shared" si="39"/>
        <v/>
      </c>
      <c r="R887" s="89" t="str">
        <f t="shared" si="40"/>
        <v/>
      </c>
      <c r="S887" s="82"/>
      <c r="U887" s="37" t="e">
        <f t="shared" si="41"/>
        <v>#VALUE!</v>
      </c>
    </row>
    <row r="888" spans="1:21" x14ac:dyDescent="0.25">
      <c r="A888" s="31" t="str">
        <f>IF(Table!A888 = "","",Table!A888)</f>
        <v/>
      </c>
      <c r="B888" s="31" t="str">
        <f>IF(Table!B888 = "","",Table!B888)</f>
        <v/>
      </c>
      <c r="C888" s="31" t="str">
        <f>IF(Table!C888 = "","",Table!C888)</f>
        <v/>
      </c>
      <c r="D888" s="32" t="str">
        <f>IF(Table!D888 = "","",Table!D888)</f>
        <v/>
      </c>
      <c r="E888" s="32" t="str">
        <f>IF(Table!E888 = "","",Table!E888)</f>
        <v/>
      </c>
      <c r="F888" s="32" t="str">
        <f>IF(Table!F888 = "","",Table!F888)</f>
        <v/>
      </c>
      <c r="G888" s="91"/>
      <c r="I888" s="84" t="str">
        <f>IFERROR(VLOOKUP(A888,Downlink!A:L,12,TRUE),"")</f>
        <v/>
      </c>
      <c r="K888" s="31" t="str">
        <f>IFERROR(VLOOKUP(A888,Table!$I$4:$O$3000,1,TRUE),"")</f>
        <v/>
      </c>
      <c r="L888" s="31" t="str">
        <f>IFERROR(INDEX(Table!I:O,MATCH(K888,Table!I:I,0),2),"")</f>
        <v/>
      </c>
      <c r="M888" s="31" t="str">
        <f>IFERROR(INDEX(Table!I:O,MATCH(K888,Table!I:I,0),3),"")</f>
        <v/>
      </c>
      <c r="N888" s="32" t="str">
        <f>IFERROR(INDEX(Table!I:O,MATCH(K888,Table!I:I,0),4),"")</f>
        <v/>
      </c>
      <c r="O888" s="32" t="str">
        <f>IFERROR(INDEX(Table!I:O,MATCH(K888,Table!I:I,0),5),"")</f>
        <v/>
      </c>
      <c r="P888" s="32" t="str">
        <f>IFERROR(INDEX(Table!I:O,MATCH(K888,Table!I:I,0),6),"")</f>
        <v/>
      </c>
      <c r="Q888" s="89" t="str">
        <f t="shared" si="39"/>
        <v/>
      </c>
      <c r="R888" s="89" t="str">
        <f t="shared" si="40"/>
        <v/>
      </c>
      <c r="S888" s="82"/>
      <c r="U888" s="37" t="e">
        <f t="shared" si="41"/>
        <v>#VALUE!</v>
      </c>
    </row>
    <row r="889" spans="1:21" x14ac:dyDescent="0.25">
      <c r="A889" s="31" t="str">
        <f>IF(Table!A889 = "","",Table!A889)</f>
        <v/>
      </c>
      <c r="B889" s="31" t="str">
        <f>IF(Table!B889 = "","",Table!B889)</f>
        <v/>
      </c>
      <c r="C889" s="31" t="str">
        <f>IF(Table!C889 = "","",Table!C889)</f>
        <v/>
      </c>
      <c r="D889" s="32" t="str">
        <f>IF(Table!D889 = "","",Table!D889)</f>
        <v/>
      </c>
      <c r="E889" s="32" t="str">
        <f>IF(Table!E889 = "","",Table!E889)</f>
        <v/>
      </c>
      <c r="F889" s="32" t="str">
        <f>IF(Table!F889 = "","",Table!F889)</f>
        <v/>
      </c>
      <c r="G889" s="91"/>
      <c r="I889" s="84" t="str">
        <f>IFERROR(VLOOKUP(A889,Downlink!A:L,12,TRUE),"")</f>
        <v/>
      </c>
      <c r="K889" s="31" t="str">
        <f>IFERROR(VLOOKUP(A889,Table!$I$4:$O$3000,1,TRUE),"")</f>
        <v/>
      </c>
      <c r="L889" s="31" t="str">
        <f>IFERROR(INDEX(Table!I:O,MATCH(K889,Table!I:I,0),2),"")</f>
        <v/>
      </c>
      <c r="M889" s="31" t="str">
        <f>IFERROR(INDEX(Table!I:O,MATCH(K889,Table!I:I,0),3),"")</f>
        <v/>
      </c>
      <c r="N889" s="32" t="str">
        <f>IFERROR(INDEX(Table!I:O,MATCH(K889,Table!I:I,0),4),"")</f>
        <v/>
      </c>
      <c r="O889" s="32" t="str">
        <f>IFERROR(INDEX(Table!I:O,MATCH(K889,Table!I:I,0),5),"")</f>
        <v/>
      </c>
      <c r="P889" s="32" t="str">
        <f>IFERROR(INDEX(Table!I:O,MATCH(K889,Table!I:I,0),6),"")</f>
        <v/>
      </c>
      <c r="Q889" s="89" t="str">
        <f t="shared" si="39"/>
        <v/>
      </c>
      <c r="R889" s="89" t="str">
        <f t="shared" si="40"/>
        <v/>
      </c>
      <c r="S889" s="82"/>
      <c r="U889" s="37" t="e">
        <f t="shared" si="41"/>
        <v>#VALUE!</v>
      </c>
    </row>
    <row r="890" spans="1:21" x14ac:dyDescent="0.25">
      <c r="A890" s="31" t="str">
        <f>IF(Table!A890 = "","",Table!A890)</f>
        <v/>
      </c>
      <c r="B890" s="31" t="str">
        <f>IF(Table!B890 = "","",Table!B890)</f>
        <v/>
      </c>
      <c r="C890" s="31" t="str">
        <f>IF(Table!C890 = "","",Table!C890)</f>
        <v/>
      </c>
      <c r="D890" s="32" t="str">
        <f>IF(Table!D890 = "","",Table!D890)</f>
        <v/>
      </c>
      <c r="E890" s="32" t="str">
        <f>IF(Table!E890 = "","",Table!E890)</f>
        <v/>
      </c>
      <c r="F890" s="32" t="str">
        <f>IF(Table!F890 = "","",Table!F890)</f>
        <v/>
      </c>
      <c r="G890" s="91"/>
      <c r="I890" s="84" t="str">
        <f>IFERROR(VLOOKUP(A890,Downlink!A:L,12,TRUE),"")</f>
        <v/>
      </c>
      <c r="K890" s="31" t="str">
        <f>IFERROR(VLOOKUP(A890,Table!$I$4:$O$3000,1,TRUE),"")</f>
        <v/>
      </c>
      <c r="L890" s="31" t="str">
        <f>IFERROR(INDEX(Table!I:O,MATCH(K890,Table!I:I,0),2),"")</f>
        <v/>
      </c>
      <c r="M890" s="31" t="str">
        <f>IFERROR(INDEX(Table!I:O,MATCH(K890,Table!I:I,0),3),"")</f>
        <v/>
      </c>
      <c r="N890" s="32" t="str">
        <f>IFERROR(INDEX(Table!I:O,MATCH(K890,Table!I:I,0),4),"")</f>
        <v/>
      </c>
      <c r="O890" s="32" t="str">
        <f>IFERROR(INDEX(Table!I:O,MATCH(K890,Table!I:I,0),5),"")</f>
        <v/>
      </c>
      <c r="P890" s="32" t="str">
        <f>IFERROR(INDEX(Table!I:O,MATCH(K890,Table!I:I,0),6),"")</f>
        <v/>
      </c>
      <c r="Q890" s="89" t="str">
        <f t="shared" si="39"/>
        <v/>
      </c>
      <c r="R890" s="89" t="str">
        <f t="shared" si="40"/>
        <v/>
      </c>
      <c r="S890" s="82"/>
      <c r="U890" s="37" t="e">
        <f t="shared" si="41"/>
        <v>#VALUE!</v>
      </c>
    </row>
    <row r="891" spans="1:21" x14ac:dyDescent="0.25">
      <c r="A891" s="31" t="str">
        <f>IF(Table!A891 = "","",Table!A891)</f>
        <v/>
      </c>
      <c r="B891" s="31" t="str">
        <f>IF(Table!B891 = "","",Table!B891)</f>
        <v/>
      </c>
      <c r="C891" s="31" t="str">
        <f>IF(Table!C891 = "","",Table!C891)</f>
        <v/>
      </c>
      <c r="D891" s="32" t="str">
        <f>IF(Table!D891 = "","",Table!D891)</f>
        <v/>
      </c>
      <c r="E891" s="32" t="str">
        <f>IF(Table!E891 = "","",Table!E891)</f>
        <v/>
      </c>
      <c r="F891" s="32" t="str">
        <f>IF(Table!F891 = "","",Table!F891)</f>
        <v/>
      </c>
      <c r="G891" s="91"/>
      <c r="I891" s="84" t="str">
        <f>IFERROR(VLOOKUP(A891,Downlink!A:L,12,TRUE),"")</f>
        <v/>
      </c>
      <c r="K891" s="31" t="str">
        <f>IFERROR(VLOOKUP(A891,Table!$I$4:$O$3000,1,TRUE),"")</f>
        <v/>
      </c>
      <c r="L891" s="31" t="str">
        <f>IFERROR(INDEX(Table!I:O,MATCH(K891,Table!I:I,0),2),"")</f>
        <v/>
      </c>
      <c r="M891" s="31" t="str">
        <f>IFERROR(INDEX(Table!I:O,MATCH(K891,Table!I:I,0),3),"")</f>
        <v/>
      </c>
      <c r="N891" s="32" t="str">
        <f>IFERROR(INDEX(Table!I:O,MATCH(K891,Table!I:I,0),4),"")</f>
        <v/>
      </c>
      <c r="O891" s="32" t="str">
        <f>IFERROR(INDEX(Table!I:O,MATCH(K891,Table!I:I,0),5),"")</f>
        <v/>
      </c>
      <c r="P891" s="32" t="str">
        <f>IFERROR(INDEX(Table!I:O,MATCH(K891,Table!I:I,0),6),"")</f>
        <v/>
      </c>
      <c r="Q891" s="89" t="str">
        <f t="shared" si="39"/>
        <v/>
      </c>
      <c r="R891" s="89" t="str">
        <f t="shared" si="40"/>
        <v/>
      </c>
      <c r="S891" s="82"/>
      <c r="U891" s="37" t="e">
        <f t="shared" si="41"/>
        <v>#VALUE!</v>
      </c>
    </row>
    <row r="892" spans="1:21" x14ac:dyDescent="0.25">
      <c r="A892" s="31" t="str">
        <f>IF(Table!A892 = "","",Table!A892)</f>
        <v/>
      </c>
      <c r="B892" s="31" t="str">
        <f>IF(Table!B892 = "","",Table!B892)</f>
        <v/>
      </c>
      <c r="C892" s="31" t="str">
        <f>IF(Table!C892 = "","",Table!C892)</f>
        <v/>
      </c>
      <c r="D892" s="32" t="str">
        <f>IF(Table!D892 = "","",Table!D892)</f>
        <v/>
      </c>
      <c r="E892" s="32" t="str">
        <f>IF(Table!E892 = "","",Table!E892)</f>
        <v/>
      </c>
      <c r="F892" s="32" t="str">
        <f>IF(Table!F892 = "","",Table!F892)</f>
        <v/>
      </c>
      <c r="G892" s="91"/>
      <c r="I892" s="84" t="str">
        <f>IFERROR(VLOOKUP(A892,Downlink!A:L,12,TRUE),"")</f>
        <v/>
      </c>
      <c r="K892" s="31" t="str">
        <f>IFERROR(VLOOKUP(A892,Table!$I$4:$O$3000,1,TRUE),"")</f>
        <v/>
      </c>
      <c r="L892" s="31" t="str">
        <f>IFERROR(INDEX(Table!I:O,MATCH(K892,Table!I:I,0),2),"")</f>
        <v/>
      </c>
      <c r="M892" s="31" t="str">
        <f>IFERROR(INDEX(Table!I:O,MATCH(K892,Table!I:I,0),3),"")</f>
        <v/>
      </c>
      <c r="N892" s="32" t="str">
        <f>IFERROR(INDEX(Table!I:O,MATCH(K892,Table!I:I,0),4),"")</f>
        <v/>
      </c>
      <c r="O892" s="32" t="str">
        <f>IFERROR(INDEX(Table!I:O,MATCH(K892,Table!I:I,0),5),"")</f>
        <v/>
      </c>
      <c r="P892" s="32" t="str">
        <f>IFERROR(INDEX(Table!I:O,MATCH(K892,Table!I:I,0),6),"")</f>
        <v/>
      </c>
      <c r="Q892" s="89" t="str">
        <f t="shared" si="39"/>
        <v/>
      </c>
      <c r="R892" s="89" t="str">
        <f t="shared" si="40"/>
        <v/>
      </c>
      <c r="S892" s="82"/>
      <c r="U892" s="37" t="e">
        <f t="shared" si="41"/>
        <v>#VALUE!</v>
      </c>
    </row>
    <row r="893" spans="1:21" x14ac:dyDescent="0.25">
      <c r="A893" s="31" t="str">
        <f>IF(Table!A893 = "","",Table!A893)</f>
        <v/>
      </c>
      <c r="B893" s="31" t="str">
        <f>IF(Table!B893 = "","",Table!B893)</f>
        <v/>
      </c>
      <c r="C893" s="31" t="str">
        <f>IF(Table!C893 = "","",Table!C893)</f>
        <v/>
      </c>
      <c r="D893" s="32" t="str">
        <f>IF(Table!D893 = "","",Table!D893)</f>
        <v/>
      </c>
      <c r="E893" s="32" t="str">
        <f>IF(Table!E893 = "","",Table!E893)</f>
        <v/>
      </c>
      <c r="F893" s="32" t="str">
        <f>IF(Table!F893 = "","",Table!F893)</f>
        <v/>
      </c>
      <c r="G893" s="91"/>
      <c r="I893" s="84" t="str">
        <f>IFERROR(VLOOKUP(A893,Downlink!A:L,12,TRUE),"")</f>
        <v/>
      </c>
      <c r="K893" s="31" t="str">
        <f>IFERROR(VLOOKUP(A893,Table!$I$4:$O$3000,1,TRUE),"")</f>
        <v/>
      </c>
      <c r="L893" s="31" t="str">
        <f>IFERROR(INDEX(Table!I:O,MATCH(K893,Table!I:I,0),2),"")</f>
        <v/>
      </c>
      <c r="M893" s="31" t="str">
        <f>IFERROR(INDEX(Table!I:O,MATCH(K893,Table!I:I,0),3),"")</f>
        <v/>
      </c>
      <c r="N893" s="32" t="str">
        <f>IFERROR(INDEX(Table!I:O,MATCH(K893,Table!I:I,0),4),"")</f>
        <v/>
      </c>
      <c r="O893" s="32" t="str">
        <f>IFERROR(INDEX(Table!I:O,MATCH(K893,Table!I:I,0),5),"")</f>
        <v/>
      </c>
      <c r="P893" s="32" t="str">
        <f>IFERROR(INDEX(Table!I:O,MATCH(K893,Table!I:I,0),6),"")</f>
        <v/>
      </c>
      <c r="Q893" s="89" t="str">
        <f t="shared" si="39"/>
        <v/>
      </c>
      <c r="R893" s="89" t="str">
        <f t="shared" si="40"/>
        <v/>
      </c>
      <c r="S893" s="82"/>
      <c r="U893" s="37" t="e">
        <f t="shared" si="41"/>
        <v>#VALUE!</v>
      </c>
    </row>
    <row r="894" spans="1:21" x14ac:dyDescent="0.25">
      <c r="A894" s="31" t="str">
        <f>IF(Table!A894 = "","",Table!A894)</f>
        <v/>
      </c>
      <c r="B894" s="31" t="str">
        <f>IF(Table!B894 = "","",Table!B894)</f>
        <v/>
      </c>
      <c r="C894" s="31" t="str">
        <f>IF(Table!C894 = "","",Table!C894)</f>
        <v/>
      </c>
      <c r="D894" s="32" t="str">
        <f>IF(Table!D894 = "","",Table!D894)</f>
        <v/>
      </c>
      <c r="E894" s="32" t="str">
        <f>IF(Table!E894 = "","",Table!E894)</f>
        <v/>
      </c>
      <c r="F894" s="32" t="str">
        <f>IF(Table!F894 = "","",Table!F894)</f>
        <v/>
      </c>
      <c r="G894" s="91"/>
      <c r="I894" s="84" t="str">
        <f>IFERROR(VLOOKUP(A894,Downlink!A:L,12,TRUE),"")</f>
        <v/>
      </c>
      <c r="K894" s="31" t="str">
        <f>IFERROR(VLOOKUP(A894,Table!$I$4:$O$3000,1,TRUE),"")</f>
        <v/>
      </c>
      <c r="L894" s="31" t="str">
        <f>IFERROR(INDEX(Table!I:O,MATCH(K894,Table!I:I,0),2),"")</f>
        <v/>
      </c>
      <c r="M894" s="31" t="str">
        <f>IFERROR(INDEX(Table!I:O,MATCH(K894,Table!I:I,0),3),"")</f>
        <v/>
      </c>
      <c r="N894" s="32" t="str">
        <f>IFERROR(INDEX(Table!I:O,MATCH(K894,Table!I:I,0),4),"")</f>
        <v/>
      </c>
      <c r="O894" s="32" t="str">
        <f>IFERROR(INDEX(Table!I:O,MATCH(K894,Table!I:I,0),5),"")</f>
        <v/>
      </c>
      <c r="P894" s="32" t="str">
        <f>IFERROR(INDEX(Table!I:O,MATCH(K894,Table!I:I,0),6),"")</f>
        <v/>
      </c>
      <c r="Q894" s="89" t="str">
        <f t="shared" si="39"/>
        <v/>
      </c>
      <c r="R894" s="89" t="str">
        <f t="shared" si="40"/>
        <v/>
      </c>
      <c r="S894" s="82"/>
      <c r="U894" s="37" t="e">
        <f t="shared" si="41"/>
        <v>#VALUE!</v>
      </c>
    </row>
    <row r="895" spans="1:21" x14ac:dyDescent="0.25">
      <c r="A895" s="31" t="str">
        <f>IF(Table!A895 = "","",Table!A895)</f>
        <v/>
      </c>
      <c r="B895" s="31" t="str">
        <f>IF(Table!B895 = "","",Table!B895)</f>
        <v/>
      </c>
      <c r="C895" s="31" t="str">
        <f>IF(Table!C895 = "","",Table!C895)</f>
        <v/>
      </c>
      <c r="D895" s="32" t="str">
        <f>IF(Table!D895 = "","",Table!D895)</f>
        <v/>
      </c>
      <c r="E895" s="32" t="str">
        <f>IF(Table!E895 = "","",Table!E895)</f>
        <v/>
      </c>
      <c r="F895" s="32" t="str">
        <f>IF(Table!F895 = "","",Table!F895)</f>
        <v/>
      </c>
      <c r="G895" s="91"/>
      <c r="I895" s="84" t="str">
        <f>IFERROR(VLOOKUP(A895,Downlink!A:L,12,TRUE),"")</f>
        <v/>
      </c>
      <c r="K895" s="31" t="str">
        <f>IFERROR(VLOOKUP(A895,Table!$I$4:$O$3000,1,TRUE),"")</f>
        <v/>
      </c>
      <c r="L895" s="31" t="str">
        <f>IFERROR(INDEX(Table!I:O,MATCH(K895,Table!I:I,0),2),"")</f>
        <v/>
      </c>
      <c r="M895" s="31" t="str">
        <f>IFERROR(INDEX(Table!I:O,MATCH(K895,Table!I:I,0),3),"")</f>
        <v/>
      </c>
      <c r="N895" s="32" t="str">
        <f>IFERROR(INDEX(Table!I:O,MATCH(K895,Table!I:I,0),4),"")</f>
        <v/>
      </c>
      <c r="O895" s="32" t="str">
        <f>IFERROR(INDEX(Table!I:O,MATCH(K895,Table!I:I,0),5),"")</f>
        <v/>
      </c>
      <c r="P895" s="32" t="str">
        <f>IFERROR(INDEX(Table!I:O,MATCH(K895,Table!I:I,0),6),"")</f>
        <v/>
      </c>
      <c r="Q895" s="89" t="str">
        <f t="shared" si="39"/>
        <v/>
      </c>
      <c r="R895" s="89" t="str">
        <f t="shared" si="40"/>
        <v/>
      </c>
      <c r="S895" s="82"/>
      <c r="U895" s="37" t="e">
        <f t="shared" si="41"/>
        <v>#VALUE!</v>
      </c>
    </row>
    <row r="896" spans="1:21" x14ac:dyDescent="0.25">
      <c r="A896" s="31" t="str">
        <f>IF(Table!A896 = "","",Table!A896)</f>
        <v/>
      </c>
      <c r="B896" s="31" t="str">
        <f>IF(Table!B896 = "","",Table!B896)</f>
        <v/>
      </c>
      <c r="C896" s="31" t="str">
        <f>IF(Table!C896 = "","",Table!C896)</f>
        <v/>
      </c>
      <c r="D896" s="32" t="str">
        <f>IF(Table!D896 = "","",Table!D896)</f>
        <v/>
      </c>
      <c r="E896" s="32" t="str">
        <f>IF(Table!E896 = "","",Table!E896)</f>
        <v/>
      </c>
      <c r="F896" s="32" t="str">
        <f>IF(Table!F896 = "","",Table!F896)</f>
        <v/>
      </c>
      <c r="G896" s="91"/>
      <c r="I896" s="84" t="str">
        <f>IFERROR(VLOOKUP(A896,Downlink!A:L,12,TRUE),"")</f>
        <v/>
      </c>
      <c r="K896" s="31" t="str">
        <f>IFERROR(VLOOKUP(A896,Table!$I$4:$O$3000,1,TRUE),"")</f>
        <v/>
      </c>
      <c r="L896" s="31" t="str">
        <f>IFERROR(INDEX(Table!I:O,MATCH(K896,Table!I:I,0),2),"")</f>
        <v/>
      </c>
      <c r="M896" s="31" t="str">
        <f>IFERROR(INDEX(Table!I:O,MATCH(K896,Table!I:I,0),3),"")</f>
        <v/>
      </c>
      <c r="N896" s="32" t="str">
        <f>IFERROR(INDEX(Table!I:O,MATCH(K896,Table!I:I,0),4),"")</f>
        <v/>
      </c>
      <c r="O896" s="32" t="str">
        <f>IFERROR(INDEX(Table!I:O,MATCH(K896,Table!I:I,0),5),"")</f>
        <v/>
      </c>
      <c r="P896" s="32" t="str">
        <f>IFERROR(INDEX(Table!I:O,MATCH(K896,Table!I:I,0),6),"")</f>
        <v/>
      </c>
      <c r="Q896" s="89" t="str">
        <f t="shared" si="39"/>
        <v/>
      </c>
      <c r="R896" s="89" t="str">
        <f t="shared" si="40"/>
        <v/>
      </c>
      <c r="S896" s="82"/>
      <c r="U896" s="37" t="e">
        <f t="shared" si="41"/>
        <v>#VALUE!</v>
      </c>
    </row>
    <row r="897" spans="1:21" x14ac:dyDescent="0.25">
      <c r="A897" s="31" t="str">
        <f>IF(Table!A897 = "","",Table!A897)</f>
        <v/>
      </c>
      <c r="B897" s="31" t="str">
        <f>IF(Table!B897 = "","",Table!B897)</f>
        <v/>
      </c>
      <c r="C897" s="31" t="str">
        <f>IF(Table!C897 = "","",Table!C897)</f>
        <v/>
      </c>
      <c r="D897" s="32" t="str">
        <f>IF(Table!D897 = "","",Table!D897)</f>
        <v/>
      </c>
      <c r="E897" s="32" t="str">
        <f>IF(Table!E897 = "","",Table!E897)</f>
        <v/>
      </c>
      <c r="F897" s="32" t="str">
        <f>IF(Table!F897 = "","",Table!F897)</f>
        <v/>
      </c>
      <c r="G897" s="91"/>
      <c r="I897" s="84" t="str">
        <f>IFERROR(VLOOKUP(A897,Downlink!A:L,12,TRUE),"")</f>
        <v/>
      </c>
      <c r="K897" s="31" t="str">
        <f>IFERROR(VLOOKUP(A897,Table!$I$4:$O$3000,1,TRUE),"")</f>
        <v/>
      </c>
      <c r="L897" s="31" t="str">
        <f>IFERROR(INDEX(Table!I:O,MATCH(K897,Table!I:I,0),2),"")</f>
        <v/>
      </c>
      <c r="M897" s="31" t="str">
        <f>IFERROR(INDEX(Table!I:O,MATCH(K897,Table!I:I,0),3),"")</f>
        <v/>
      </c>
      <c r="N897" s="32" t="str">
        <f>IFERROR(INDEX(Table!I:O,MATCH(K897,Table!I:I,0),4),"")</f>
        <v/>
      </c>
      <c r="O897" s="32" t="str">
        <f>IFERROR(INDEX(Table!I:O,MATCH(K897,Table!I:I,0),5),"")</f>
        <v/>
      </c>
      <c r="P897" s="32" t="str">
        <f>IFERROR(INDEX(Table!I:O,MATCH(K897,Table!I:I,0),6),"")</f>
        <v/>
      </c>
      <c r="Q897" s="89" t="str">
        <f t="shared" si="39"/>
        <v/>
      </c>
      <c r="R897" s="89" t="str">
        <f t="shared" si="40"/>
        <v/>
      </c>
      <c r="S897" s="82"/>
      <c r="U897" s="37" t="e">
        <f t="shared" si="41"/>
        <v>#VALUE!</v>
      </c>
    </row>
    <row r="898" spans="1:21" x14ac:dyDescent="0.25">
      <c r="A898" s="31" t="str">
        <f>IF(Table!A898 = "","",Table!A898)</f>
        <v/>
      </c>
      <c r="B898" s="31" t="str">
        <f>IF(Table!B898 = "","",Table!B898)</f>
        <v/>
      </c>
      <c r="C898" s="31" t="str">
        <f>IF(Table!C898 = "","",Table!C898)</f>
        <v/>
      </c>
      <c r="D898" s="32" t="str">
        <f>IF(Table!D898 = "","",Table!D898)</f>
        <v/>
      </c>
      <c r="E898" s="32" t="str">
        <f>IF(Table!E898 = "","",Table!E898)</f>
        <v/>
      </c>
      <c r="F898" s="32" t="str">
        <f>IF(Table!F898 = "","",Table!F898)</f>
        <v/>
      </c>
      <c r="G898" s="91"/>
      <c r="I898" s="84" t="str">
        <f>IFERROR(VLOOKUP(A898,Downlink!A:L,12,TRUE),"")</f>
        <v/>
      </c>
      <c r="K898" s="31" t="str">
        <f>IFERROR(VLOOKUP(A898,Table!$I$4:$O$3000,1,TRUE),"")</f>
        <v/>
      </c>
      <c r="L898" s="31" t="str">
        <f>IFERROR(INDEX(Table!I:O,MATCH(K898,Table!I:I,0),2),"")</f>
        <v/>
      </c>
      <c r="M898" s="31" t="str">
        <f>IFERROR(INDEX(Table!I:O,MATCH(K898,Table!I:I,0),3),"")</f>
        <v/>
      </c>
      <c r="N898" s="32" t="str">
        <f>IFERROR(INDEX(Table!I:O,MATCH(K898,Table!I:I,0),4),"")</f>
        <v/>
      </c>
      <c r="O898" s="32" t="str">
        <f>IFERROR(INDEX(Table!I:O,MATCH(K898,Table!I:I,0),5),"")</f>
        <v/>
      </c>
      <c r="P898" s="32" t="str">
        <f>IFERROR(INDEX(Table!I:O,MATCH(K898,Table!I:I,0),6),"")</f>
        <v/>
      </c>
      <c r="Q898" s="89" t="str">
        <f t="shared" si="39"/>
        <v/>
      </c>
      <c r="R898" s="89" t="str">
        <f t="shared" si="40"/>
        <v/>
      </c>
      <c r="S898" s="82"/>
      <c r="U898" s="37" t="e">
        <f t="shared" si="41"/>
        <v>#VALUE!</v>
      </c>
    </row>
    <row r="899" spans="1:21" x14ac:dyDescent="0.25">
      <c r="A899" s="31" t="str">
        <f>IF(Table!A899 = "","",Table!A899)</f>
        <v/>
      </c>
      <c r="B899" s="31" t="str">
        <f>IF(Table!B899 = "","",Table!B899)</f>
        <v/>
      </c>
      <c r="C899" s="31" t="str">
        <f>IF(Table!C899 = "","",Table!C899)</f>
        <v/>
      </c>
      <c r="D899" s="32" t="str">
        <f>IF(Table!D899 = "","",Table!D899)</f>
        <v/>
      </c>
      <c r="E899" s="32" t="str">
        <f>IF(Table!E899 = "","",Table!E899)</f>
        <v/>
      </c>
      <c r="F899" s="32" t="str">
        <f>IF(Table!F899 = "","",Table!F899)</f>
        <v/>
      </c>
      <c r="G899" s="91"/>
      <c r="I899" s="84" t="str">
        <f>IFERROR(VLOOKUP(A899,Downlink!A:L,12,TRUE),"")</f>
        <v/>
      </c>
      <c r="K899" s="31" t="str">
        <f>IFERROR(VLOOKUP(A899,Table!$I$4:$O$3000,1,TRUE),"")</f>
        <v/>
      </c>
      <c r="L899" s="31" t="str">
        <f>IFERROR(INDEX(Table!I:O,MATCH(K899,Table!I:I,0),2),"")</f>
        <v/>
      </c>
      <c r="M899" s="31" t="str">
        <f>IFERROR(INDEX(Table!I:O,MATCH(K899,Table!I:I,0),3),"")</f>
        <v/>
      </c>
      <c r="N899" s="32" t="str">
        <f>IFERROR(INDEX(Table!I:O,MATCH(K899,Table!I:I,0),4),"")</f>
        <v/>
      </c>
      <c r="O899" s="32" t="str">
        <f>IFERROR(INDEX(Table!I:O,MATCH(K899,Table!I:I,0),5),"")</f>
        <v/>
      </c>
      <c r="P899" s="32" t="str">
        <f>IFERROR(INDEX(Table!I:O,MATCH(K899,Table!I:I,0),6),"")</f>
        <v/>
      </c>
      <c r="Q899" s="89" t="str">
        <f t="shared" si="39"/>
        <v/>
      </c>
      <c r="R899" s="89" t="str">
        <f t="shared" si="40"/>
        <v/>
      </c>
      <c r="S899" s="82"/>
      <c r="U899" s="37" t="e">
        <f t="shared" si="41"/>
        <v>#VALUE!</v>
      </c>
    </row>
    <row r="900" spans="1:21" x14ac:dyDescent="0.25">
      <c r="A900" s="31" t="str">
        <f>IF(Table!A900 = "","",Table!A900)</f>
        <v/>
      </c>
      <c r="B900" s="31" t="str">
        <f>IF(Table!B900 = "","",Table!B900)</f>
        <v/>
      </c>
      <c r="C900" s="31" t="str">
        <f>IF(Table!C900 = "","",Table!C900)</f>
        <v/>
      </c>
      <c r="D900" s="32" t="str">
        <f>IF(Table!D900 = "","",Table!D900)</f>
        <v/>
      </c>
      <c r="E900" s="32" t="str">
        <f>IF(Table!E900 = "","",Table!E900)</f>
        <v/>
      </c>
      <c r="F900" s="32" t="str">
        <f>IF(Table!F900 = "","",Table!F900)</f>
        <v/>
      </c>
      <c r="G900" s="91"/>
      <c r="I900" s="84" t="str">
        <f>IFERROR(VLOOKUP(A900,Downlink!A:L,12,TRUE),"")</f>
        <v/>
      </c>
      <c r="K900" s="31" t="str">
        <f>IFERROR(VLOOKUP(A900,Table!$I$4:$O$3000,1,TRUE),"")</f>
        <v/>
      </c>
      <c r="L900" s="31" t="str">
        <f>IFERROR(INDEX(Table!I:O,MATCH(K900,Table!I:I,0),2),"")</f>
        <v/>
      </c>
      <c r="M900" s="31" t="str">
        <f>IFERROR(INDEX(Table!I:O,MATCH(K900,Table!I:I,0),3),"")</f>
        <v/>
      </c>
      <c r="N900" s="32" t="str">
        <f>IFERROR(INDEX(Table!I:O,MATCH(K900,Table!I:I,0),4),"")</f>
        <v/>
      </c>
      <c r="O900" s="32" t="str">
        <f>IFERROR(INDEX(Table!I:O,MATCH(K900,Table!I:I,0),5),"")</f>
        <v/>
      </c>
      <c r="P900" s="32" t="str">
        <f>IFERROR(INDEX(Table!I:O,MATCH(K900,Table!I:I,0),6),"")</f>
        <v/>
      </c>
      <c r="Q900" s="89" t="str">
        <f t="shared" si="39"/>
        <v/>
      </c>
      <c r="R900" s="89" t="str">
        <f t="shared" si="40"/>
        <v/>
      </c>
      <c r="S900" s="82"/>
      <c r="U900" s="37" t="e">
        <f t="shared" si="41"/>
        <v>#VALUE!</v>
      </c>
    </row>
    <row r="901" spans="1:21" x14ac:dyDescent="0.25">
      <c r="A901" s="31" t="str">
        <f>IF(Table!A901 = "","",Table!A901)</f>
        <v/>
      </c>
      <c r="B901" s="31" t="str">
        <f>IF(Table!B901 = "","",Table!B901)</f>
        <v/>
      </c>
      <c r="C901" s="31" t="str">
        <f>IF(Table!C901 = "","",Table!C901)</f>
        <v/>
      </c>
      <c r="D901" s="32" t="str">
        <f>IF(Table!D901 = "","",Table!D901)</f>
        <v/>
      </c>
      <c r="E901" s="32" t="str">
        <f>IF(Table!E901 = "","",Table!E901)</f>
        <v/>
      </c>
      <c r="F901" s="32" t="str">
        <f>IF(Table!F901 = "","",Table!F901)</f>
        <v/>
      </c>
      <c r="G901" s="91"/>
      <c r="I901" s="84" t="str">
        <f>IFERROR(VLOOKUP(A901,Downlink!A:L,12,TRUE),"")</f>
        <v/>
      </c>
      <c r="K901" s="31" t="str">
        <f>IFERROR(VLOOKUP(A901,Table!$I$4:$O$3000,1,TRUE),"")</f>
        <v/>
      </c>
      <c r="L901" s="31" t="str">
        <f>IFERROR(INDEX(Table!I:O,MATCH(K901,Table!I:I,0),2),"")</f>
        <v/>
      </c>
      <c r="M901" s="31" t="str">
        <f>IFERROR(INDEX(Table!I:O,MATCH(K901,Table!I:I,0),3),"")</f>
        <v/>
      </c>
      <c r="N901" s="32" t="str">
        <f>IFERROR(INDEX(Table!I:O,MATCH(K901,Table!I:I,0),4),"")</f>
        <v/>
      </c>
      <c r="O901" s="32" t="str">
        <f>IFERROR(INDEX(Table!I:O,MATCH(K901,Table!I:I,0),5),"")</f>
        <v/>
      </c>
      <c r="P901" s="32" t="str">
        <f>IFERROR(INDEX(Table!I:O,MATCH(K901,Table!I:I,0),6),"")</f>
        <v/>
      </c>
      <c r="Q901" s="89" t="str">
        <f t="shared" si="39"/>
        <v/>
      </c>
      <c r="R901" s="89" t="str">
        <f t="shared" si="40"/>
        <v/>
      </c>
      <c r="S901" s="82"/>
      <c r="U901" s="37" t="e">
        <f t="shared" si="41"/>
        <v>#VALUE!</v>
      </c>
    </row>
    <row r="902" spans="1:21" x14ac:dyDescent="0.25">
      <c r="A902" s="31" t="str">
        <f>IF(Table!A902 = "","",Table!A902)</f>
        <v/>
      </c>
      <c r="B902" s="31" t="str">
        <f>IF(Table!B902 = "","",Table!B902)</f>
        <v/>
      </c>
      <c r="C902" s="31" t="str">
        <f>IF(Table!C902 = "","",Table!C902)</f>
        <v/>
      </c>
      <c r="D902" s="32" t="str">
        <f>IF(Table!D902 = "","",Table!D902)</f>
        <v/>
      </c>
      <c r="E902" s="32" t="str">
        <f>IF(Table!E902 = "","",Table!E902)</f>
        <v/>
      </c>
      <c r="F902" s="32" t="str">
        <f>IF(Table!F902 = "","",Table!F902)</f>
        <v/>
      </c>
      <c r="G902" s="91"/>
      <c r="I902" s="84" t="str">
        <f>IFERROR(VLOOKUP(A902,Downlink!A:L,12,TRUE),"")</f>
        <v/>
      </c>
      <c r="K902" s="31" t="str">
        <f>IFERROR(VLOOKUP(A902,Table!$I$4:$O$3000,1,TRUE),"")</f>
        <v/>
      </c>
      <c r="L902" s="31" t="str">
        <f>IFERROR(INDEX(Table!I:O,MATCH(K902,Table!I:I,0),2),"")</f>
        <v/>
      </c>
      <c r="M902" s="31" t="str">
        <f>IFERROR(INDEX(Table!I:O,MATCH(K902,Table!I:I,0),3),"")</f>
        <v/>
      </c>
      <c r="N902" s="32" t="str">
        <f>IFERROR(INDEX(Table!I:O,MATCH(K902,Table!I:I,0),4),"")</f>
        <v/>
      </c>
      <c r="O902" s="32" t="str">
        <f>IFERROR(INDEX(Table!I:O,MATCH(K902,Table!I:I,0),5),"")</f>
        <v/>
      </c>
      <c r="P902" s="32" t="str">
        <f>IFERROR(INDEX(Table!I:O,MATCH(K902,Table!I:I,0),6),"")</f>
        <v/>
      </c>
      <c r="Q902" s="89" t="str">
        <f t="shared" ref="Q902:Q965" si="42">IFERROR(L902-B902,"")</f>
        <v/>
      </c>
      <c r="R902" s="89" t="str">
        <f t="shared" ref="R902:R965" si="43">IFERROR(M902-C902,"")</f>
        <v/>
      </c>
      <c r="S902" s="82"/>
      <c r="U902" s="37" t="e">
        <f t="shared" ref="U902:U965" si="44">K902-K901</f>
        <v>#VALUE!</v>
      </c>
    </row>
    <row r="903" spans="1:21" x14ac:dyDescent="0.25">
      <c r="A903" s="31" t="str">
        <f>IF(Table!A903 = "","",Table!A903)</f>
        <v/>
      </c>
      <c r="B903" s="31" t="str">
        <f>IF(Table!B903 = "","",Table!B903)</f>
        <v/>
      </c>
      <c r="C903" s="31" t="str">
        <f>IF(Table!C903 = "","",Table!C903)</f>
        <v/>
      </c>
      <c r="D903" s="32" t="str">
        <f>IF(Table!D903 = "","",Table!D903)</f>
        <v/>
      </c>
      <c r="E903" s="32" t="str">
        <f>IF(Table!E903 = "","",Table!E903)</f>
        <v/>
      </c>
      <c r="F903" s="32" t="str">
        <f>IF(Table!F903 = "","",Table!F903)</f>
        <v/>
      </c>
      <c r="G903" s="91"/>
      <c r="I903" s="84" t="str">
        <f>IFERROR(VLOOKUP(A903,Downlink!A:L,12,TRUE),"")</f>
        <v/>
      </c>
      <c r="K903" s="31" t="str">
        <f>IFERROR(VLOOKUP(A903,Table!$I$4:$O$3000,1,TRUE),"")</f>
        <v/>
      </c>
      <c r="L903" s="31" t="str">
        <f>IFERROR(INDEX(Table!I:O,MATCH(K903,Table!I:I,0),2),"")</f>
        <v/>
      </c>
      <c r="M903" s="31" t="str">
        <f>IFERROR(INDEX(Table!I:O,MATCH(K903,Table!I:I,0),3),"")</f>
        <v/>
      </c>
      <c r="N903" s="32" t="str">
        <f>IFERROR(INDEX(Table!I:O,MATCH(K903,Table!I:I,0),4),"")</f>
        <v/>
      </c>
      <c r="O903" s="32" t="str">
        <f>IFERROR(INDEX(Table!I:O,MATCH(K903,Table!I:I,0),5),"")</f>
        <v/>
      </c>
      <c r="P903" s="32" t="str">
        <f>IFERROR(INDEX(Table!I:O,MATCH(K903,Table!I:I,0),6),"")</f>
        <v/>
      </c>
      <c r="Q903" s="89" t="str">
        <f t="shared" si="42"/>
        <v/>
      </c>
      <c r="R903" s="89" t="str">
        <f t="shared" si="43"/>
        <v/>
      </c>
      <c r="S903" s="82"/>
      <c r="U903" s="37" t="e">
        <f t="shared" si="44"/>
        <v>#VALUE!</v>
      </c>
    </row>
    <row r="904" spans="1:21" x14ac:dyDescent="0.25">
      <c r="A904" s="31" t="str">
        <f>IF(Table!A904 = "","",Table!A904)</f>
        <v/>
      </c>
      <c r="B904" s="31" t="str">
        <f>IF(Table!B904 = "","",Table!B904)</f>
        <v/>
      </c>
      <c r="C904" s="31" t="str">
        <f>IF(Table!C904 = "","",Table!C904)</f>
        <v/>
      </c>
      <c r="D904" s="32" t="str">
        <f>IF(Table!D904 = "","",Table!D904)</f>
        <v/>
      </c>
      <c r="E904" s="32" t="str">
        <f>IF(Table!E904 = "","",Table!E904)</f>
        <v/>
      </c>
      <c r="F904" s="32" t="str">
        <f>IF(Table!F904 = "","",Table!F904)</f>
        <v/>
      </c>
      <c r="G904" s="91"/>
      <c r="I904" s="84" t="str">
        <f>IFERROR(VLOOKUP(A904,Downlink!A:L,12,TRUE),"")</f>
        <v/>
      </c>
      <c r="K904" s="31" t="str">
        <f>IFERROR(VLOOKUP(A904,Table!$I$4:$O$3000,1,TRUE),"")</f>
        <v/>
      </c>
      <c r="L904" s="31" t="str">
        <f>IFERROR(INDEX(Table!I:O,MATCH(K904,Table!I:I,0),2),"")</f>
        <v/>
      </c>
      <c r="M904" s="31" t="str">
        <f>IFERROR(INDEX(Table!I:O,MATCH(K904,Table!I:I,0),3),"")</f>
        <v/>
      </c>
      <c r="N904" s="32" t="str">
        <f>IFERROR(INDEX(Table!I:O,MATCH(K904,Table!I:I,0),4),"")</f>
        <v/>
      </c>
      <c r="O904" s="32" t="str">
        <f>IFERROR(INDEX(Table!I:O,MATCH(K904,Table!I:I,0),5),"")</f>
        <v/>
      </c>
      <c r="P904" s="32" t="str">
        <f>IFERROR(INDEX(Table!I:O,MATCH(K904,Table!I:I,0),6),"")</f>
        <v/>
      </c>
      <c r="Q904" s="89" t="str">
        <f t="shared" si="42"/>
        <v/>
      </c>
      <c r="R904" s="89" t="str">
        <f t="shared" si="43"/>
        <v/>
      </c>
      <c r="S904" s="82"/>
      <c r="U904" s="37" t="e">
        <f t="shared" si="44"/>
        <v>#VALUE!</v>
      </c>
    </row>
    <row r="905" spans="1:21" x14ac:dyDescent="0.25">
      <c r="A905" s="31" t="str">
        <f>IF(Table!A905 = "","",Table!A905)</f>
        <v/>
      </c>
      <c r="B905" s="31" t="str">
        <f>IF(Table!B905 = "","",Table!B905)</f>
        <v/>
      </c>
      <c r="C905" s="31" t="str">
        <f>IF(Table!C905 = "","",Table!C905)</f>
        <v/>
      </c>
      <c r="D905" s="32" t="str">
        <f>IF(Table!D905 = "","",Table!D905)</f>
        <v/>
      </c>
      <c r="E905" s="32" t="str">
        <f>IF(Table!E905 = "","",Table!E905)</f>
        <v/>
      </c>
      <c r="F905" s="32" t="str">
        <f>IF(Table!F905 = "","",Table!F905)</f>
        <v/>
      </c>
      <c r="G905" s="91"/>
      <c r="I905" s="84" t="str">
        <f>IFERROR(VLOOKUP(A905,Downlink!A:L,12,TRUE),"")</f>
        <v/>
      </c>
      <c r="K905" s="31" t="str">
        <f>IFERROR(VLOOKUP(A905,Table!$I$4:$O$3000,1,TRUE),"")</f>
        <v/>
      </c>
      <c r="L905" s="31" t="str">
        <f>IFERROR(INDEX(Table!I:O,MATCH(K905,Table!I:I,0),2),"")</f>
        <v/>
      </c>
      <c r="M905" s="31" t="str">
        <f>IFERROR(INDEX(Table!I:O,MATCH(K905,Table!I:I,0),3),"")</f>
        <v/>
      </c>
      <c r="N905" s="32" t="str">
        <f>IFERROR(INDEX(Table!I:O,MATCH(K905,Table!I:I,0),4),"")</f>
        <v/>
      </c>
      <c r="O905" s="32" t="str">
        <f>IFERROR(INDEX(Table!I:O,MATCH(K905,Table!I:I,0),5),"")</f>
        <v/>
      </c>
      <c r="P905" s="32" t="str">
        <f>IFERROR(INDEX(Table!I:O,MATCH(K905,Table!I:I,0),6),"")</f>
        <v/>
      </c>
      <c r="Q905" s="89" t="str">
        <f t="shared" si="42"/>
        <v/>
      </c>
      <c r="R905" s="89" t="str">
        <f t="shared" si="43"/>
        <v/>
      </c>
      <c r="S905" s="82"/>
      <c r="U905" s="37" t="e">
        <f t="shared" si="44"/>
        <v>#VALUE!</v>
      </c>
    </row>
    <row r="906" spans="1:21" x14ac:dyDescent="0.25">
      <c r="A906" s="31" t="str">
        <f>IF(Table!A906 = "","",Table!A906)</f>
        <v/>
      </c>
      <c r="B906" s="31" t="str">
        <f>IF(Table!B906 = "","",Table!B906)</f>
        <v/>
      </c>
      <c r="C906" s="31" t="str">
        <f>IF(Table!C906 = "","",Table!C906)</f>
        <v/>
      </c>
      <c r="D906" s="32" t="str">
        <f>IF(Table!D906 = "","",Table!D906)</f>
        <v/>
      </c>
      <c r="E906" s="32" t="str">
        <f>IF(Table!E906 = "","",Table!E906)</f>
        <v/>
      </c>
      <c r="F906" s="32" t="str">
        <f>IF(Table!F906 = "","",Table!F906)</f>
        <v/>
      </c>
      <c r="G906" s="91"/>
      <c r="I906" s="84" t="str">
        <f>IFERROR(VLOOKUP(A906,Downlink!A:L,12,TRUE),"")</f>
        <v/>
      </c>
      <c r="K906" s="31" t="str">
        <f>IFERROR(VLOOKUP(A906,Table!$I$4:$O$3000,1,TRUE),"")</f>
        <v/>
      </c>
      <c r="L906" s="31" t="str">
        <f>IFERROR(INDEX(Table!I:O,MATCH(K906,Table!I:I,0),2),"")</f>
        <v/>
      </c>
      <c r="M906" s="31" t="str">
        <f>IFERROR(INDEX(Table!I:O,MATCH(K906,Table!I:I,0),3),"")</f>
        <v/>
      </c>
      <c r="N906" s="32" t="str">
        <f>IFERROR(INDEX(Table!I:O,MATCH(K906,Table!I:I,0),4),"")</f>
        <v/>
      </c>
      <c r="O906" s="32" t="str">
        <f>IFERROR(INDEX(Table!I:O,MATCH(K906,Table!I:I,0),5),"")</f>
        <v/>
      </c>
      <c r="P906" s="32" t="str">
        <f>IFERROR(INDEX(Table!I:O,MATCH(K906,Table!I:I,0),6),"")</f>
        <v/>
      </c>
      <c r="Q906" s="89" t="str">
        <f t="shared" si="42"/>
        <v/>
      </c>
      <c r="R906" s="89" t="str">
        <f t="shared" si="43"/>
        <v/>
      </c>
      <c r="S906" s="82"/>
      <c r="U906" s="37" t="e">
        <f t="shared" si="44"/>
        <v>#VALUE!</v>
      </c>
    </row>
    <row r="907" spans="1:21" x14ac:dyDescent="0.25">
      <c r="A907" s="31" t="str">
        <f>IF(Table!A907 = "","",Table!A907)</f>
        <v/>
      </c>
      <c r="B907" s="31" t="str">
        <f>IF(Table!B907 = "","",Table!B907)</f>
        <v/>
      </c>
      <c r="C907" s="31" t="str">
        <f>IF(Table!C907 = "","",Table!C907)</f>
        <v/>
      </c>
      <c r="D907" s="32" t="str">
        <f>IF(Table!D907 = "","",Table!D907)</f>
        <v/>
      </c>
      <c r="E907" s="32" t="str">
        <f>IF(Table!E907 = "","",Table!E907)</f>
        <v/>
      </c>
      <c r="F907" s="32" t="str">
        <f>IF(Table!F907 = "","",Table!F907)</f>
        <v/>
      </c>
      <c r="G907" s="91"/>
      <c r="K907" s="31" t="str">
        <f>IFERROR(VLOOKUP(A907,Table!$I$4:$O$3000,1,TRUE),"")</f>
        <v/>
      </c>
      <c r="L907" s="31" t="str">
        <f>IFERROR(INDEX(Table!I:O,MATCH(K907,Table!I:I,0),2),"")</f>
        <v/>
      </c>
      <c r="M907" s="31" t="str">
        <f>IFERROR(INDEX(Table!I:O,MATCH(K907,Table!I:I,0),3),"")</f>
        <v/>
      </c>
      <c r="N907" s="32" t="str">
        <f>IFERROR(INDEX(Table!I:O,MATCH(K907,Table!I:I,0),4),"")</f>
        <v/>
      </c>
      <c r="O907" s="32" t="str">
        <f>IFERROR(INDEX(Table!I:O,MATCH(K907,Table!I:I,0),5),"")</f>
        <v/>
      </c>
      <c r="P907" s="32" t="str">
        <f>IFERROR(INDEX(Table!I:O,MATCH(K907,Table!I:I,0),6),"")</f>
        <v/>
      </c>
      <c r="Q907" s="89" t="str">
        <f t="shared" si="42"/>
        <v/>
      </c>
      <c r="R907" s="89" t="str">
        <f t="shared" si="43"/>
        <v/>
      </c>
      <c r="S907" s="82"/>
      <c r="U907" s="37" t="e">
        <f t="shared" si="44"/>
        <v>#VALUE!</v>
      </c>
    </row>
    <row r="908" spans="1:21" x14ac:dyDescent="0.25">
      <c r="A908" s="31" t="str">
        <f>IF(Table!A908 = "","",Table!A908)</f>
        <v/>
      </c>
      <c r="B908" s="31" t="str">
        <f>IF(Table!B908 = "","",Table!B908)</f>
        <v/>
      </c>
      <c r="C908" s="31" t="str">
        <f>IF(Table!C908 = "","",Table!C908)</f>
        <v/>
      </c>
      <c r="D908" s="32" t="str">
        <f>IF(Table!D908 = "","",Table!D908)</f>
        <v/>
      </c>
      <c r="E908" s="32" t="str">
        <f>IF(Table!E908 = "","",Table!E908)</f>
        <v/>
      </c>
      <c r="F908" s="32" t="str">
        <f>IF(Table!F908 = "","",Table!F908)</f>
        <v/>
      </c>
      <c r="G908" s="91"/>
      <c r="K908" s="31" t="str">
        <f>IFERROR(VLOOKUP(A908,Table!$I$4:$O$3000,1,TRUE),"")</f>
        <v/>
      </c>
      <c r="L908" s="31" t="str">
        <f>IFERROR(INDEX(Table!I:O,MATCH(K908,Table!I:I,0),2),"")</f>
        <v/>
      </c>
      <c r="M908" s="31" t="str">
        <f>IFERROR(INDEX(Table!I:O,MATCH(K908,Table!I:I,0),3),"")</f>
        <v/>
      </c>
      <c r="N908" s="32" t="str">
        <f>IFERROR(INDEX(Table!I:O,MATCH(K908,Table!I:I,0),4),"")</f>
        <v/>
      </c>
      <c r="O908" s="32" t="str">
        <f>IFERROR(INDEX(Table!I:O,MATCH(K908,Table!I:I,0),5),"")</f>
        <v/>
      </c>
      <c r="P908" s="32" t="str">
        <f>IFERROR(INDEX(Table!I:O,MATCH(K908,Table!I:I,0),6),"")</f>
        <v/>
      </c>
      <c r="Q908" s="89" t="str">
        <f t="shared" si="42"/>
        <v/>
      </c>
      <c r="R908" s="89" t="str">
        <f t="shared" si="43"/>
        <v/>
      </c>
      <c r="S908" s="82"/>
      <c r="U908" s="37" t="e">
        <f t="shared" si="44"/>
        <v>#VALUE!</v>
      </c>
    </row>
    <row r="909" spans="1:21" x14ac:dyDescent="0.25">
      <c r="A909" s="31" t="str">
        <f>IF(Table!A909 = "","",Table!A909)</f>
        <v/>
      </c>
      <c r="B909" s="31" t="str">
        <f>IF(Table!B909 = "","",Table!B909)</f>
        <v/>
      </c>
      <c r="C909" s="31" t="str">
        <f>IF(Table!C909 = "","",Table!C909)</f>
        <v/>
      </c>
      <c r="D909" s="32" t="str">
        <f>IF(Table!D909 = "","",Table!D909)</f>
        <v/>
      </c>
      <c r="E909" s="32" t="str">
        <f>IF(Table!E909 = "","",Table!E909)</f>
        <v/>
      </c>
      <c r="F909" s="32" t="str">
        <f>IF(Table!F909 = "","",Table!F909)</f>
        <v/>
      </c>
      <c r="G909" s="91"/>
      <c r="K909" s="31" t="str">
        <f>IFERROR(VLOOKUP(A909,Table!$I$4:$O$3000,1,TRUE),"")</f>
        <v/>
      </c>
      <c r="L909" s="31" t="str">
        <f>IFERROR(INDEX(Table!I:O,MATCH(K909,Table!I:I,0),2),"")</f>
        <v/>
      </c>
      <c r="M909" s="31" t="str">
        <f>IFERROR(INDEX(Table!I:O,MATCH(K909,Table!I:I,0),3),"")</f>
        <v/>
      </c>
      <c r="N909" s="32" t="str">
        <f>IFERROR(INDEX(Table!I:O,MATCH(K909,Table!I:I,0),4),"")</f>
        <v/>
      </c>
      <c r="O909" s="32" t="str">
        <f>IFERROR(INDEX(Table!I:O,MATCH(K909,Table!I:I,0),5),"")</f>
        <v/>
      </c>
      <c r="P909" s="32" t="str">
        <f>IFERROR(INDEX(Table!I:O,MATCH(K909,Table!I:I,0),6),"")</f>
        <v/>
      </c>
      <c r="Q909" s="89" t="str">
        <f t="shared" si="42"/>
        <v/>
      </c>
      <c r="R909" s="89" t="str">
        <f t="shared" si="43"/>
        <v/>
      </c>
      <c r="S909" s="82"/>
      <c r="U909" s="37" t="e">
        <f t="shared" si="44"/>
        <v>#VALUE!</v>
      </c>
    </row>
    <row r="910" spans="1:21" x14ac:dyDescent="0.25">
      <c r="A910" s="31" t="str">
        <f>IF(Table!A910 = "","",Table!A910)</f>
        <v/>
      </c>
      <c r="B910" s="31" t="str">
        <f>IF(Table!B910 = "","",Table!B910)</f>
        <v/>
      </c>
      <c r="C910" s="31" t="str">
        <f>IF(Table!C910 = "","",Table!C910)</f>
        <v/>
      </c>
      <c r="D910" s="32" t="str">
        <f>IF(Table!D910 = "","",Table!D910)</f>
        <v/>
      </c>
      <c r="E910" s="32" t="str">
        <f>IF(Table!E910 = "","",Table!E910)</f>
        <v/>
      </c>
      <c r="F910" s="32" t="str">
        <f>IF(Table!F910 = "","",Table!F910)</f>
        <v/>
      </c>
      <c r="G910" s="91"/>
      <c r="K910" s="31" t="str">
        <f>IFERROR(VLOOKUP(A910,Table!$I$4:$O$3000,1,TRUE),"")</f>
        <v/>
      </c>
      <c r="L910" s="31" t="str">
        <f>IFERROR(INDEX(Table!I:O,MATCH(K910,Table!I:I,0),2),"")</f>
        <v/>
      </c>
      <c r="M910" s="31" t="str">
        <f>IFERROR(INDEX(Table!I:O,MATCH(K910,Table!I:I,0),3),"")</f>
        <v/>
      </c>
      <c r="N910" s="32" t="str">
        <f>IFERROR(INDEX(Table!I:O,MATCH(K910,Table!I:I,0),4),"")</f>
        <v/>
      </c>
      <c r="O910" s="32" t="str">
        <f>IFERROR(INDEX(Table!I:O,MATCH(K910,Table!I:I,0),5),"")</f>
        <v/>
      </c>
      <c r="P910" s="32" t="str">
        <f>IFERROR(INDEX(Table!I:O,MATCH(K910,Table!I:I,0),6),"")</f>
        <v/>
      </c>
      <c r="Q910" s="89" t="str">
        <f t="shared" si="42"/>
        <v/>
      </c>
      <c r="R910" s="89" t="str">
        <f t="shared" si="43"/>
        <v/>
      </c>
      <c r="S910" s="82"/>
      <c r="U910" s="37" t="e">
        <f t="shared" si="44"/>
        <v>#VALUE!</v>
      </c>
    </row>
    <row r="911" spans="1:21" x14ac:dyDescent="0.25">
      <c r="A911" s="31" t="str">
        <f>IF(Table!A911 = "","",Table!A911)</f>
        <v/>
      </c>
      <c r="B911" s="31" t="str">
        <f>IF(Table!B911 = "","",Table!B911)</f>
        <v/>
      </c>
      <c r="C911" s="31" t="str">
        <f>IF(Table!C911 = "","",Table!C911)</f>
        <v/>
      </c>
      <c r="D911" s="32" t="str">
        <f>IF(Table!D911 = "","",Table!D911)</f>
        <v/>
      </c>
      <c r="E911" s="32" t="str">
        <f>IF(Table!E911 = "","",Table!E911)</f>
        <v/>
      </c>
      <c r="F911" s="32" t="str">
        <f>IF(Table!F911 = "","",Table!F911)</f>
        <v/>
      </c>
      <c r="G911" s="91"/>
      <c r="K911" s="31" t="str">
        <f>IFERROR(VLOOKUP(A911,Table!$I$4:$O$3000,1,TRUE),"")</f>
        <v/>
      </c>
      <c r="L911" s="31" t="str">
        <f>IFERROR(INDEX(Table!I:O,MATCH(K911,Table!I:I,0),2),"")</f>
        <v/>
      </c>
      <c r="M911" s="31" t="str">
        <f>IFERROR(INDEX(Table!I:O,MATCH(K911,Table!I:I,0),3),"")</f>
        <v/>
      </c>
      <c r="N911" s="32" t="str">
        <f>IFERROR(INDEX(Table!I:O,MATCH(K911,Table!I:I,0),4),"")</f>
        <v/>
      </c>
      <c r="O911" s="32" t="str">
        <f>IFERROR(INDEX(Table!I:O,MATCH(K911,Table!I:I,0),5),"")</f>
        <v/>
      </c>
      <c r="P911" s="32" t="str">
        <f>IFERROR(INDEX(Table!I:O,MATCH(K911,Table!I:I,0),6),"")</f>
        <v/>
      </c>
      <c r="Q911" s="89" t="str">
        <f t="shared" si="42"/>
        <v/>
      </c>
      <c r="R911" s="89" t="str">
        <f t="shared" si="43"/>
        <v/>
      </c>
      <c r="S911" s="82"/>
      <c r="U911" s="37" t="e">
        <f t="shared" si="44"/>
        <v>#VALUE!</v>
      </c>
    </row>
    <row r="912" spans="1:21" x14ac:dyDescent="0.25">
      <c r="A912" s="31" t="str">
        <f>IF(Table!A912 = "","",Table!A912)</f>
        <v/>
      </c>
      <c r="B912" s="31" t="str">
        <f>IF(Table!B912 = "","",Table!B912)</f>
        <v/>
      </c>
      <c r="C912" s="31" t="str">
        <f>IF(Table!C912 = "","",Table!C912)</f>
        <v/>
      </c>
      <c r="D912" s="32" t="str">
        <f>IF(Table!D912 = "","",Table!D912)</f>
        <v/>
      </c>
      <c r="E912" s="32" t="str">
        <f>IF(Table!E912 = "","",Table!E912)</f>
        <v/>
      </c>
      <c r="F912" s="32" t="str">
        <f>IF(Table!F912 = "","",Table!F912)</f>
        <v/>
      </c>
      <c r="G912" s="91"/>
      <c r="K912" s="31" t="str">
        <f>IFERROR(VLOOKUP(A912,Table!$I$4:$O$3000,1,TRUE),"")</f>
        <v/>
      </c>
      <c r="L912" s="31" t="str">
        <f>IFERROR(INDEX(Table!I:O,MATCH(K912,Table!I:I,0),2),"")</f>
        <v/>
      </c>
      <c r="M912" s="31" t="str">
        <f>IFERROR(INDEX(Table!I:O,MATCH(K912,Table!I:I,0),3),"")</f>
        <v/>
      </c>
      <c r="N912" s="32" t="str">
        <f>IFERROR(INDEX(Table!I:O,MATCH(K912,Table!I:I,0),4),"")</f>
        <v/>
      </c>
      <c r="O912" s="32" t="str">
        <f>IFERROR(INDEX(Table!I:O,MATCH(K912,Table!I:I,0),5),"")</f>
        <v/>
      </c>
      <c r="P912" s="32" t="str">
        <f>IFERROR(INDEX(Table!I:O,MATCH(K912,Table!I:I,0),6),"")</f>
        <v/>
      </c>
      <c r="Q912" s="89" t="str">
        <f t="shared" si="42"/>
        <v/>
      </c>
      <c r="R912" s="89" t="str">
        <f t="shared" si="43"/>
        <v/>
      </c>
      <c r="S912" s="82"/>
      <c r="U912" s="37" t="e">
        <f t="shared" si="44"/>
        <v>#VALUE!</v>
      </c>
    </row>
    <row r="913" spans="1:21" x14ac:dyDescent="0.25">
      <c r="A913" s="31" t="str">
        <f>IF(Table!A913 = "","",Table!A913)</f>
        <v/>
      </c>
      <c r="B913" s="31" t="str">
        <f>IF(Table!B913 = "","",Table!B913)</f>
        <v/>
      </c>
      <c r="C913" s="31" t="str">
        <f>IF(Table!C913 = "","",Table!C913)</f>
        <v/>
      </c>
      <c r="D913" s="32" t="str">
        <f>IF(Table!D913 = "","",Table!D913)</f>
        <v/>
      </c>
      <c r="E913" s="32" t="str">
        <f>IF(Table!E913 = "","",Table!E913)</f>
        <v/>
      </c>
      <c r="F913" s="32" t="str">
        <f>IF(Table!F913 = "","",Table!F913)</f>
        <v/>
      </c>
      <c r="G913" s="91"/>
      <c r="K913" s="31" t="str">
        <f>IFERROR(VLOOKUP(A913,Table!$I$4:$O$3000,1,TRUE),"")</f>
        <v/>
      </c>
      <c r="L913" s="31" t="str">
        <f>IFERROR(INDEX(Table!I:O,MATCH(K913,Table!I:I,0),2),"")</f>
        <v/>
      </c>
      <c r="M913" s="31" t="str">
        <f>IFERROR(INDEX(Table!I:O,MATCH(K913,Table!I:I,0),3),"")</f>
        <v/>
      </c>
      <c r="N913" s="32" t="str">
        <f>IFERROR(INDEX(Table!I:O,MATCH(K913,Table!I:I,0),4),"")</f>
        <v/>
      </c>
      <c r="O913" s="32" t="str">
        <f>IFERROR(INDEX(Table!I:O,MATCH(K913,Table!I:I,0),5),"")</f>
        <v/>
      </c>
      <c r="P913" s="32" t="str">
        <f>IFERROR(INDEX(Table!I:O,MATCH(K913,Table!I:I,0),6),"")</f>
        <v/>
      </c>
      <c r="Q913" s="89" t="str">
        <f t="shared" si="42"/>
        <v/>
      </c>
      <c r="R913" s="89" t="str">
        <f t="shared" si="43"/>
        <v/>
      </c>
      <c r="S913" s="82"/>
      <c r="U913" s="37" t="e">
        <f t="shared" si="44"/>
        <v>#VALUE!</v>
      </c>
    </row>
    <row r="914" spans="1:21" x14ac:dyDescent="0.25">
      <c r="A914" s="31" t="str">
        <f>IF(Table!A914 = "","",Table!A914)</f>
        <v/>
      </c>
      <c r="B914" s="31" t="str">
        <f>IF(Table!B914 = "","",Table!B914)</f>
        <v/>
      </c>
      <c r="C914" s="31" t="str">
        <f>IF(Table!C914 = "","",Table!C914)</f>
        <v/>
      </c>
      <c r="D914" s="32" t="str">
        <f>IF(Table!D914 = "","",Table!D914)</f>
        <v/>
      </c>
      <c r="E914" s="32" t="str">
        <f>IF(Table!E914 = "","",Table!E914)</f>
        <v/>
      </c>
      <c r="F914" s="32" t="str">
        <f>IF(Table!F914 = "","",Table!F914)</f>
        <v/>
      </c>
      <c r="G914" s="91"/>
      <c r="K914" s="31" t="str">
        <f>IFERROR(VLOOKUP(A914,Table!$I$4:$O$3000,1,TRUE),"")</f>
        <v/>
      </c>
      <c r="L914" s="31" t="str">
        <f>IFERROR(INDEX(Table!I:O,MATCH(K914,Table!I:I,0),2),"")</f>
        <v/>
      </c>
      <c r="M914" s="31" t="str">
        <f>IFERROR(INDEX(Table!I:O,MATCH(K914,Table!I:I,0),3),"")</f>
        <v/>
      </c>
      <c r="N914" s="32" t="str">
        <f>IFERROR(INDEX(Table!I:O,MATCH(K914,Table!I:I,0),4),"")</f>
        <v/>
      </c>
      <c r="O914" s="32" t="str">
        <f>IFERROR(INDEX(Table!I:O,MATCH(K914,Table!I:I,0),5),"")</f>
        <v/>
      </c>
      <c r="P914" s="32" t="str">
        <f>IFERROR(INDEX(Table!I:O,MATCH(K914,Table!I:I,0),6),"")</f>
        <v/>
      </c>
      <c r="Q914" s="89" t="str">
        <f t="shared" si="42"/>
        <v/>
      </c>
      <c r="R914" s="89" t="str">
        <f t="shared" si="43"/>
        <v/>
      </c>
      <c r="S914" s="82"/>
      <c r="U914" s="37" t="e">
        <f t="shared" si="44"/>
        <v>#VALUE!</v>
      </c>
    </row>
    <row r="915" spans="1:21" x14ac:dyDescent="0.25">
      <c r="A915" s="31" t="str">
        <f>IF(Table!A915 = "","",Table!A915)</f>
        <v/>
      </c>
      <c r="B915" s="31" t="str">
        <f>IF(Table!B915 = "","",Table!B915)</f>
        <v/>
      </c>
      <c r="C915" s="31" t="str">
        <f>IF(Table!C915 = "","",Table!C915)</f>
        <v/>
      </c>
      <c r="D915" s="32" t="str">
        <f>IF(Table!D915 = "","",Table!D915)</f>
        <v/>
      </c>
      <c r="E915" s="32" t="str">
        <f>IF(Table!E915 = "","",Table!E915)</f>
        <v/>
      </c>
      <c r="F915" s="32" t="str">
        <f>IF(Table!F915 = "","",Table!F915)</f>
        <v/>
      </c>
      <c r="G915" s="91"/>
      <c r="K915" s="31" t="str">
        <f>IFERROR(VLOOKUP(A915,Table!$I$4:$O$3000,1,TRUE),"")</f>
        <v/>
      </c>
      <c r="L915" s="31" t="str">
        <f>IFERROR(INDEX(Table!I:O,MATCH(K915,Table!I:I,0),2),"")</f>
        <v/>
      </c>
      <c r="M915" s="31" t="str">
        <f>IFERROR(INDEX(Table!I:O,MATCH(K915,Table!I:I,0),3),"")</f>
        <v/>
      </c>
      <c r="N915" s="32" t="str">
        <f>IFERROR(INDEX(Table!I:O,MATCH(K915,Table!I:I,0),4),"")</f>
        <v/>
      </c>
      <c r="O915" s="32" t="str">
        <f>IFERROR(INDEX(Table!I:O,MATCH(K915,Table!I:I,0),5),"")</f>
        <v/>
      </c>
      <c r="P915" s="32" t="str">
        <f>IFERROR(INDEX(Table!I:O,MATCH(K915,Table!I:I,0),6),"")</f>
        <v/>
      </c>
      <c r="Q915" s="89" t="str">
        <f t="shared" si="42"/>
        <v/>
      </c>
      <c r="R915" s="89" t="str">
        <f t="shared" si="43"/>
        <v/>
      </c>
      <c r="S915" s="82"/>
      <c r="U915" s="37" t="e">
        <f t="shared" si="44"/>
        <v>#VALUE!</v>
      </c>
    </row>
    <row r="916" spans="1:21" x14ac:dyDescent="0.25">
      <c r="A916" s="31" t="str">
        <f>IF(Table!A916 = "","",Table!A916)</f>
        <v/>
      </c>
      <c r="B916" s="31" t="str">
        <f>IF(Table!B916 = "","",Table!B916)</f>
        <v/>
      </c>
      <c r="C916" s="31" t="str">
        <f>IF(Table!C916 = "","",Table!C916)</f>
        <v/>
      </c>
      <c r="D916" s="32" t="str">
        <f>IF(Table!D916 = "","",Table!D916)</f>
        <v/>
      </c>
      <c r="E916" s="32" t="str">
        <f>IF(Table!E916 = "","",Table!E916)</f>
        <v/>
      </c>
      <c r="F916" s="32" t="str">
        <f>IF(Table!F916 = "","",Table!F916)</f>
        <v/>
      </c>
      <c r="G916" s="91"/>
      <c r="K916" s="31" t="str">
        <f>IFERROR(VLOOKUP(A916,Table!$I$4:$O$3000,1,TRUE),"")</f>
        <v/>
      </c>
      <c r="L916" s="31" t="str">
        <f>IFERROR(INDEX(Table!I:O,MATCH(K916,Table!I:I,0),2),"")</f>
        <v/>
      </c>
      <c r="M916" s="31" t="str">
        <f>IFERROR(INDEX(Table!I:O,MATCH(K916,Table!I:I,0),3),"")</f>
        <v/>
      </c>
      <c r="N916" s="32" t="str">
        <f>IFERROR(INDEX(Table!I:O,MATCH(K916,Table!I:I,0),4),"")</f>
        <v/>
      </c>
      <c r="O916" s="32" t="str">
        <f>IFERROR(INDEX(Table!I:O,MATCH(K916,Table!I:I,0),5),"")</f>
        <v/>
      </c>
      <c r="P916" s="32" t="str">
        <f>IFERROR(INDEX(Table!I:O,MATCH(K916,Table!I:I,0),6),"")</f>
        <v/>
      </c>
      <c r="Q916" s="89" t="str">
        <f t="shared" si="42"/>
        <v/>
      </c>
      <c r="R916" s="89" t="str">
        <f t="shared" si="43"/>
        <v/>
      </c>
      <c r="S916" s="82"/>
      <c r="U916" s="37" t="e">
        <f t="shared" si="44"/>
        <v>#VALUE!</v>
      </c>
    </row>
    <row r="917" spans="1:21" x14ac:dyDescent="0.25">
      <c r="A917" s="31" t="str">
        <f>IF(Table!A917 = "","",Table!A917)</f>
        <v/>
      </c>
      <c r="B917" s="31" t="str">
        <f>IF(Table!B917 = "","",Table!B917)</f>
        <v/>
      </c>
      <c r="C917" s="31" t="str">
        <f>IF(Table!C917 = "","",Table!C917)</f>
        <v/>
      </c>
      <c r="D917" s="32" t="str">
        <f>IF(Table!D917 = "","",Table!D917)</f>
        <v/>
      </c>
      <c r="E917" s="32" t="str">
        <f>IF(Table!E917 = "","",Table!E917)</f>
        <v/>
      </c>
      <c r="F917" s="32" t="str">
        <f>IF(Table!F917 = "","",Table!F917)</f>
        <v/>
      </c>
      <c r="G917" s="91"/>
      <c r="K917" s="31" t="str">
        <f>IFERROR(VLOOKUP(A917,Table!$I$4:$O$3000,1,TRUE),"")</f>
        <v/>
      </c>
      <c r="L917" s="31" t="str">
        <f>IFERROR(INDEX(Table!I:O,MATCH(K917,Table!I:I,0),2),"")</f>
        <v/>
      </c>
      <c r="M917" s="31" t="str">
        <f>IFERROR(INDEX(Table!I:O,MATCH(K917,Table!I:I,0),3),"")</f>
        <v/>
      </c>
      <c r="N917" s="32" t="str">
        <f>IFERROR(INDEX(Table!I:O,MATCH(K917,Table!I:I,0),4),"")</f>
        <v/>
      </c>
      <c r="O917" s="32" t="str">
        <f>IFERROR(INDEX(Table!I:O,MATCH(K917,Table!I:I,0),5),"")</f>
        <v/>
      </c>
      <c r="P917" s="32" t="str">
        <f>IFERROR(INDEX(Table!I:O,MATCH(K917,Table!I:I,0),6),"")</f>
        <v/>
      </c>
      <c r="Q917" s="89" t="str">
        <f t="shared" si="42"/>
        <v/>
      </c>
      <c r="R917" s="89" t="str">
        <f t="shared" si="43"/>
        <v/>
      </c>
      <c r="S917" s="82"/>
      <c r="U917" s="37" t="e">
        <f t="shared" si="44"/>
        <v>#VALUE!</v>
      </c>
    </row>
    <row r="918" spans="1:21" x14ac:dyDescent="0.25">
      <c r="A918" s="31" t="str">
        <f>IF(Table!A918 = "","",Table!A918)</f>
        <v/>
      </c>
      <c r="B918" s="31" t="str">
        <f>IF(Table!B918 = "","",Table!B918)</f>
        <v/>
      </c>
      <c r="C918" s="31" t="str">
        <f>IF(Table!C918 = "","",Table!C918)</f>
        <v/>
      </c>
      <c r="D918" s="32" t="str">
        <f>IF(Table!D918 = "","",Table!D918)</f>
        <v/>
      </c>
      <c r="E918" s="32" t="str">
        <f>IF(Table!E918 = "","",Table!E918)</f>
        <v/>
      </c>
      <c r="F918" s="32" t="str">
        <f>IF(Table!F918 = "","",Table!F918)</f>
        <v/>
      </c>
      <c r="G918" s="91"/>
      <c r="K918" s="31" t="str">
        <f>IFERROR(VLOOKUP(A918,Table!$I$4:$O$3000,1,TRUE),"")</f>
        <v/>
      </c>
      <c r="L918" s="31" t="str">
        <f>IFERROR(INDEX(Table!I:O,MATCH(K918,Table!I:I,0),2),"")</f>
        <v/>
      </c>
      <c r="M918" s="31" t="str">
        <f>IFERROR(INDEX(Table!I:O,MATCH(K918,Table!I:I,0),3),"")</f>
        <v/>
      </c>
      <c r="N918" s="32" t="str">
        <f>IFERROR(INDEX(Table!I:O,MATCH(K918,Table!I:I,0),4),"")</f>
        <v/>
      </c>
      <c r="O918" s="32" t="str">
        <f>IFERROR(INDEX(Table!I:O,MATCH(K918,Table!I:I,0),5),"")</f>
        <v/>
      </c>
      <c r="P918" s="32" t="str">
        <f>IFERROR(INDEX(Table!I:O,MATCH(K918,Table!I:I,0),6),"")</f>
        <v/>
      </c>
      <c r="Q918" s="89" t="str">
        <f t="shared" si="42"/>
        <v/>
      </c>
      <c r="R918" s="89" t="str">
        <f t="shared" si="43"/>
        <v/>
      </c>
      <c r="S918" s="82"/>
      <c r="U918" s="37" t="e">
        <f t="shared" si="44"/>
        <v>#VALUE!</v>
      </c>
    </row>
    <row r="919" spans="1:21" x14ac:dyDescent="0.25">
      <c r="A919" s="31" t="str">
        <f>IF(Table!A919 = "","",Table!A919)</f>
        <v/>
      </c>
      <c r="B919" s="31" t="str">
        <f>IF(Table!B919 = "","",Table!B919)</f>
        <v/>
      </c>
      <c r="C919" s="31" t="str">
        <f>IF(Table!C919 = "","",Table!C919)</f>
        <v/>
      </c>
      <c r="D919" s="32" t="str">
        <f>IF(Table!D919 = "","",Table!D919)</f>
        <v/>
      </c>
      <c r="E919" s="32" t="str">
        <f>IF(Table!E919 = "","",Table!E919)</f>
        <v/>
      </c>
      <c r="F919" s="32" t="str">
        <f>IF(Table!F919 = "","",Table!F919)</f>
        <v/>
      </c>
      <c r="G919" s="91"/>
      <c r="K919" s="31" t="str">
        <f>IFERROR(VLOOKUP(A919,Table!$I$4:$O$3000,1,TRUE),"")</f>
        <v/>
      </c>
      <c r="L919" s="31" t="str">
        <f>IFERROR(INDEX(Table!I:O,MATCH(K919,Table!I:I,0),2),"")</f>
        <v/>
      </c>
      <c r="M919" s="31" t="str">
        <f>IFERROR(INDEX(Table!I:O,MATCH(K919,Table!I:I,0),3),"")</f>
        <v/>
      </c>
      <c r="N919" s="32" t="str">
        <f>IFERROR(INDEX(Table!I:O,MATCH(K919,Table!I:I,0),4),"")</f>
        <v/>
      </c>
      <c r="O919" s="32" t="str">
        <f>IFERROR(INDEX(Table!I:O,MATCH(K919,Table!I:I,0),5),"")</f>
        <v/>
      </c>
      <c r="P919" s="32" t="str">
        <f>IFERROR(INDEX(Table!I:O,MATCH(K919,Table!I:I,0),6),"")</f>
        <v/>
      </c>
      <c r="Q919" s="89" t="str">
        <f t="shared" si="42"/>
        <v/>
      </c>
      <c r="R919" s="89" t="str">
        <f t="shared" si="43"/>
        <v/>
      </c>
      <c r="S919" s="82"/>
      <c r="U919" s="37" t="e">
        <f t="shared" si="44"/>
        <v>#VALUE!</v>
      </c>
    </row>
    <row r="920" spans="1:21" x14ac:dyDescent="0.25">
      <c r="A920" s="31" t="str">
        <f>IF(Table!A920 = "","",Table!A920)</f>
        <v/>
      </c>
      <c r="B920" s="31" t="str">
        <f>IF(Table!B920 = "","",Table!B920)</f>
        <v/>
      </c>
      <c r="C920" s="31" t="str">
        <f>IF(Table!C920 = "","",Table!C920)</f>
        <v/>
      </c>
      <c r="D920" s="32" t="str">
        <f>IF(Table!D920 = "","",Table!D920)</f>
        <v/>
      </c>
      <c r="E920" s="32" t="str">
        <f>IF(Table!E920 = "","",Table!E920)</f>
        <v/>
      </c>
      <c r="F920" s="32" t="str">
        <f>IF(Table!F920 = "","",Table!F920)</f>
        <v/>
      </c>
      <c r="G920" s="91"/>
      <c r="K920" s="31" t="str">
        <f>IFERROR(VLOOKUP(A920,Table!$I$4:$O$3000,1,TRUE),"")</f>
        <v/>
      </c>
      <c r="L920" s="31" t="str">
        <f>IFERROR(INDEX(Table!I:O,MATCH(K920,Table!I:I,0),2),"")</f>
        <v/>
      </c>
      <c r="M920" s="31" t="str">
        <f>IFERROR(INDEX(Table!I:O,MATCH(K920,Table!I:I,0),3),"")</f>
        <v/>
      </c>
      <c r="N920" s="32" t="str">
        <f>IFERROR(INDEX(Table!I:O,MATCH(K920,Table!I:I,0),4),"")</f>
        <v/>
      </c>
      <c r="O920" s="32" t="str">
        <f>IFERROR(INDEX(Table!I:O,MATCH(K920,Table!I:I,0),5),"")</f>
        <v/>
      </c>
      <c r="P920" s="32" t="str">
        <f>IFERROR(INDEX(Table!I:O,MATCH(K920,Table!I:I,0),6),"")</f>
        <v/>
      </c>
      <c r="Q920" s="89" t="str">
        <f t="shared" si="42"/>
        <v/>
      </c>
      <c r="R920" s="89" t="str">
        <f t="shared" si="43"/>
        <v/>
      </c>
      <c r="S920" s="82"/>
      <c r="U920" s="37" t="e">
        <f t="shared" si="44"/>
        <v>#VALUE!</v>
      </c>
    </row>
    <row r="921" spans="1:21" x14ac:dyDescent="0.25">
      <c r="A921" s="31" t="str">
        <f>IF(Table!A921 = "","",Table!A921)</f>
        <v/>
      </c>
      <c r="B921" s="31" t="str">
        <f>IF(Table!B921 = "","",Table!B921)</f>
        <v/>
      </c>
      <c r="C921" s="31" t="str">
        <f>IF(Table!C921 = "","",Table!C921)</f>
        <v/>
      </c>
      <c r="D921" s="32" t="str">
        <f>IF(Table!D921 = "","",Table!D921)</f>
        <v/>
      </c>
      <c r="E921" s="32" t="str">
        <f>IF(Table!E921 = "","",Table!E921)</f>
        <v/>
      </c>
      <c r="F921" s="32" t="str">
        <f>IF(Table!F921 = "","",Table!F921)</f>
        <v/>
      </c>
      <c r="G921" s="91"/>
      <c r="K921" s="31" t="str">
        <f>IFERROR(VLOOKUP(A921,Table!$I$4:$O$3000,1,TRUE),"")</f>
        <v/>
      </c>
      <c r="L921" s="31" t="str">
        <f>IFERROR(INDEX(Table!I:O,MATCH(K921,Table!I:I,0),2),"")</f>
        <v/>
      </c>
      <c r="M921" s="31" t="str">
        <f>IFERROR(INDEX(Table!I:O,MATCH(K921,Table!I:I,0),3),"")</f>
        <v/>
      </c>
      <c r="N921" s="32" t="str">
        <f>IFERROR(INDEX(Table!I:O,MATCH(K921,Table!I:I,0),4),"")</f>
        <v/>
      </c>
      <c r="O921" s="32" t="str">
        <f>IFERROR(INDEX(Table!I:O,MATCH(K921,Table!I:I,0),5),"")</f>
        <v/>
      </c>
      <c r="P921" s="32" t="str">
        <f>IFERROR(INDEX(Table!I:O,MATCH(K921,Table!I:I,0),6),"")</f>
        <v/>
      </c>
      <c r="Q921" s="89" t="str">
        <f t="shared" si="42"/>
        <v/>
      </c>
      <c r="R921" s="89" t="str">
        <f t="shared" si="43"/>
        <v/>
      </c>
      <c r="S921" s="82"/>
      <c r="U921" s="37" t="e">
        <f t="shared" si="44"/>
        <v>#VALUE!</v>
      </c>
    </row>
    <row r="922" spans="1:21" x14ac:dyDescent="0.25">
      <c r="A922" s="31" t="str">
        <f>IF(Table!A922 = "","",Table!A922)</f>
        <v/>
      </c>
      <c r="B922" s="31" t="str">
        <f>IF(Table!B922 = "","",Table!B922)</f>
        <v/>
      </c>
      <c r="C922" s="31" t="str">
        <f>IF(Table!C922 = "","",Table!C922)</f>
        <v/>
      </c>
      <c r="D922" s="32" t="str">
        <f>IF(Table!D922 = "","",Table!D922)</f>
        <v/>
      </c>
      <c r="E922" s="32" t="str">
        <f>IF(Table!E922 = "","",Table!E922)</f>
        <v/>
      </c>
      <c r="F922" s="32" t="str">
        <f>IF(Table!F922 = "","",Table!F922)</f>
        <v/>
      </c>
      <c r="G922" s="91"/>
      <c r="K922" s="31" t="str">
        <f>IFERROR(VLOOKUP(A922,Table!$I$4:$O$3000,1,TRUE),"")</f>
        <v/>
      </c>
      <c r="L922" s="31" t="str">
        <f>IFERROR(INDEX(Table!I:O,MATCH(K922,Table!I:I,0),2),"")</f>
        <v/>
      </c>
      <c r="M922" s="31" t="str">
        <f>IFERROR(INDEX(Table!I:O,MATCH(K922,Table!I:I,0),3),"")</f>
        <v/>
      </c>
      <c r="N922" s="32" t="str">
        <f>IFERROR(INDEX(Table!I:O,MATCH(K922,Table!I:I,0),4),"")</f>
        <v/>
      </c>
      <c r="O922" s="32" t="str">
        <f>IFERROR(INDEX(Table!I:O,MATCH(K922,Table!I:I,0),5),"")</f>
        <v/>
      </c>
      <c r="P922" s="32" t="str">
        <f>IFERROR(INDEX(Table!I:O,MATCH(K922,Table!I:I,0),6),"")</f>
        <v/>
      </c>
      <c r="Q922" s="89" t="str">
        <f t="shared" si="42"/>
        <v/>
      </c>
      <c r="R922" s="89" t="str">
        <f t="shared" si="43"/>
        <v/>
      </c>
      <c r="S922" s="82"/>
      <c r="U922" s="37" t="e">
        <f t="shared" si="44"/>
        <v>#VALUE!</v>
      </c>
    </row>
    <row r="923" spans="1:21" x14ac:dyDescent="0.25">
      <c r="A923" s="31" t="str">
        <f>IF(Table!A923 = "","",Table!A923)</f>
        <v/>
      </c>
      <c r="B923" s="31" t="str">
        <f>IF(Table!B923 = "","",Table!B923)</f>
        <v/>
      </c>
      <c r="C923" s="31" t="str">
        <f>IF(Table!C923 = "","",Table!C923)</f>
        <v/>
      </c>
      <c r="D923" s="32" t="str">
        <f>IF(Table!D923 = "","",Table!D923)</f>
        <v/>
      </c>
      <c r="E923" s="32" t="str">
        <f>IF(Table!E923 = "","",Table!E923)</f>
        <v/>
      </c>
      <c r="F923" s="32" t="str">
        <f>IF(Table!F923 = "","",Table!F923)</f>
        <v/>
      </c>
      <c r="G923" s="91"/>
      <c r="K923" s="31" t="str">
        <f>IFERROR(VLOOKUP(A923,Table!$I$4:$O$3000,1,TRUE),"")</f>
        <v/>
      </c>
      <c r="L923" s="31" t="str">
        <f>IFERROR(INDEX(Table!I:O,MATCH(K923,Table!I:I,0),2),"")</f>
        <v/>
      </c>
      <c r="M923" s="31" t="str">
        <f>IFERROR(INDEX(Table!I:O,MATCH(K923,Table!I:I,0),3),"")</f>
        <v/>
      </c>
      <c r="N923" s="32" t="str">
        <f>IFERROR(INDEX(Table!I:O,MATCH(K923,Table!I:I,0),4),"")</f>
        <v/>
      </c>
      <c r="O923" s="32" t="str">
        <f>IFERROR(INDEX(Table!I:O,MATCH(K923,Table!I:I,0),5),"")</f>
        <v/>
      </c>
      <c r="P923" s="32" t="str">
        <f>IFERROR(INDEX(Table!I:O,MATCH(K923,Table!I:I,0),6),"")</f>
        <v/>
      </c>
      <c r="Q923" s="89" t="str">
        <f t="shared" si="42"/>
        <v/>
      </c>
      <c r="R923" s="89" t="str">
        <f t="shared" si="43"/>
        <v/>
      </c>
      <c r="S923" s="82"/>
      <c r="U923" s="37" t="e">
        <f t="shared" si="44"/>
        <v>#VALUE!</v>
      </c>
    </row>
    <row r="924" spans="1:21" x14ac:dyDescent="0.25">
      <c r="A924" s="31" t="str">
        <f>IF(Table!A924 = "","",Table!A924)</f>
        <v/>
      </c>
      <c r="B924" s="31" t="str">
        <f>IF(Table!B924 = "","",Table!B924)</f>
        <v/>
      </c>
      <c r="C924" s="31" t="str">
        <f>IF(Table!C924 = "","",Table!C924)</f>
        <v/>
      </c>
      <c r="D924" s="32" t="str">
        <f>IF(Table!D924 = "","",Table!D924)</f>
        <v/>
      </c>
      <c r="E924" s="32" t="str">
        <f>IF(Table!E924 = "","",Table!E924)</f>
        <v/>
      </c>
      <c r="F924" s="32" t="str">
        <f>IF(Table!F924 = "","",Table!F924)</f>
        <v/>
      </c>
      <c r="G924" s="91"/>
      <c r="K924" s="31" t="str">
        <f>IFERROR(VLOOKUP(A924,Table!$I$4:$O$3000,1,TRUE),"")</f>
        <v/>
      </c>
      <c r="L924" s="31" t="str">
        <f>IFERROR(INDEX(Table!I:O,MATCH(K924,Table!I:I,0),2),"")</f>
        <v/>
      </c>
      <c r="M924" s="31" t="str">
        <f>IFERROR(INDEX(Table!I:O,MATCH(K924,Table!I:I,0),3),"")</f>
        <v/>
      </c>
      <c r="N924" s="32" t="str">
        <f>IFERROR(INDEX(Table!I:O,MATCH(K924,Table!I:I,0),4),"")</f>
        <v/>
      </c>
      <c r="O924" s="32" t="str">
        <f>IFERROR(INDEX(Table!I:O,MATCH(K924,Table!I:I,0),5),"")</f>
        <v/>
      </c>
      <c r="P924" s="32" t="str">
        <f>IFERROR(INDEX(Table!I:O,MATCH(K924,Table!I:I,0),6),"")</f>
        <v/>
      </c>
      <c r="Q924" s="89" t="str">
        <f t="shared" si="42"/>
        <v/>
      </c>
      <c r="R924" s="89" t="str">
        <f t="shared" si="43"/>
        <v/>
      </c>
      <c r="S924" s="82"/>
      <c r="U924" s="37" t="e">
        <f t="shared" si="44"/>
        <v>#VALUE!</v>
      </c>
    </row>
    <row r="925" spans="1:21" x14ac:dyDescent="0.25">
      <c r="A925" s="31" t="str">
        <f>IF(Table!A925 = "","",Table!A925)</f>
        <v/>
      </c>
      <c r="B925" s="31" t="str">
        <f>IF(Table!B925 = "","",Table!B925)</f>
        <v/>
      </c>
      <c r="C925" s="31" t="str">
        <f>IF(Table!C925 = "","",Table!C925)</f>
        <v/>
      </c>
      <c r="D925" s="32" t="str">
        <f>IF(Table!D925 = "","",Table!D925)</f>
        <v/>
      </c>
      <c r="E925" s="32" t="str">
        <f>IF(Table!E925 = "","",Table!E925)</f>
        <v/>
      </c>
      <c r="F925" s="32" t="str">
        <f>IF(Table!F925 = "","",Table!F925)</f>
        <v/>
      </c>
      <c r="G925" s="91"/>
      <c r="K925" s="31" t="str">
        <f>IFERROR(VLOOKUP(A925,Table!$I$4:$O$3000,1,TRUE),"")</f>
        <v/>
      </c>
      <c r="L925" s="31" t="str">
        <f>IFERROR(INDEX(Table!I:O,MATCH(K925,Table!I:I,0),2),"")</f>
        <v/>
      </c>
      <c r="M925" s="31" t="str">
        <f>IFERROR(INDEX(Table!I:O,MATCH(K925,Table!I:I,0),3),"")</f>
        <v/>
      </c>
      <c r="N925" s="32" t="str">
        <f>IFERROR(INDEX(Table!I:O,MATCH(K925,Table!I:I,0),4),"")</f>
        <v/>
      </c>
      <c r="O925" s="32" t="str">
        <f>IFERROR(INDEX(Table!I:O,MATCH(K925,Table!I:I,0),5),"")</f>
        <v/>
      </c>
      <c r="P925" s="32" t="str">
        <f>IFERROR(INDEX(Table!I:O,MATCH(K925,Table!I:I,0),6),"")</f>
        <v/>
      </c>
      <c r="Q925" s="89" t="str">
        <f t="shared" si="42"/>
        <v/>
      </c>
      <c r="R925" s="89" t="str">
        <f t="shared" si="43"/>
        <v/>
      </c>
      <c r="S925" s="82"/>
      <c r="U925" s="37" t="e">
        <f t="shared" si="44"/>
        <v>#VALUE!</v>
      </c>
    </row>
    <row r="926" spans="1:21" x14ac:dyDescent="0.25">
      <c r="A926" s="31" t="str">
        <f>IF(Table!A926 = "","",Table!A926)</f>
        <v/>
      </c>
      <c r="B926" s="31" t="str">
        <f>IF(Table!B926 = "","",Table!B926)</f>
        <v/>
      </c>
      <c r="C926" s="31" t="str">
        <f>IF(Table!C926 = "","",Table!C926)</f>
        <v/>
      </c>
      <c r="D926" s="32" t="str">
        <f>IF(Table!D926 = "","",Table!D926)</f>
        <v/>
      </c>
      <c r="E926" s="32" t="str">
        <f>IF(Table!E926 = "","",Table!E926)</f>
        <v/>
      </c>
      <c r="F926" s="32" t="str">
        <f>IF(Table!F926 = "","",Table!F926)</f>
        <v/>
      </c>
      <c r="G926" s="91"/>
      <c r="K926" s="31" t="str">
        <f>IFERROR(VLOOKUP(A926,Table!$I$4:$O$3000,1,TRUE),"")</f>
        <v/>
      </c>
      <c r="L926" s="31" t="str">
        <f>IFERROR(INDEX(Table!I:O,MATCH(K926,Table!I:I,0),2),"")</f>
        <v/>
      </c>
      <c r="M926" s="31" t="str">
        <f>IFERROR(INDEX(Table!I:O,MATCH(K926,Table!I:I,0),3),"")</f>
        <v/>
      </c>
      <c r="N926" s="32" t="str">
        <f>IFERROR(INDEX(Table!I:O,MATCH(K926,Table!I:I,0),4),"")</f>
        <v/>
      </c>
      <c r="O926" s="32" t="str">
        <f>IFERROR(INDEX(Table!I:O,MATCH(K926,Table!I:I,0),5),"")</f>
        <v/>
      </c>
      <c r="P926" s="32" t="str">
        <f>IFERROR(INDEX(Table!I:O,MATCH(K926,Table!I:I,0),6),"")</f>
        <v/>
      </c>
      <c r="Q926" s="89" t="str">
        <f t="shared" si="42"/>
        <v/>
      </c>
      <c r="R926" s="89" t="str">
        <f t="shared" si="43"/>
        <v/>
      </c>
      <c r="S926" s="82"/>
      <c r="U926" s="37" t="e">
        <f t="shared" si="44"/>
        <v>#VALUE!</v>
      </c>
    </row>
    <row r="927" spans="1:21" x14ac:dyDescent="0.25">
      <c r="A927" s="31" t="str">
        <f>IF(Table!A927 = "","",Table!A927)</f>
        <v/>
      </c>
      <c r="B927" s="31" t="str">
        <f>IF(Table!B927 = "","",Table!B927)</f>
        <v/>
      </c>
      <c r="C927" s="31" t="str">
        <f>IF(Table!C927 = "","",Table!C927)</f>
        <v/>
      </c>
      <c r="D927" s="32" t="str">
        <f>IF(Table!D927 = "","",Table!D927)</f>
        <v/>
      </c>
      <c r="E927" s="32" t="str">
        <f>IF(Table!E927 = "","",Table!E927)</f>
        <v/>
      </c>
      <c r="F927" s="32" t="str">
        <f>IF(Table!F927 = "","",Table!F927)</f>
        <v/>
      </c>
      <c r="G927" s="91"/>
      <c r="K927" s="31" t="str">
        <f>IFERROR(VLOOKUP(A927,Table!$I$4:$O$3000,1,TRUE),"")</f>
        <v/>
      </c>
      <c r="L927" s="31" t="str">
        <f>IFERROR(INDEX(Table!I:O,MATCH(K927,Table!I:I,0),2),"")</f>
        <v/>
      </c>
      <c r="M927" s="31" t="str">
        <f>IFERROR(INDEX(Table!I:O,MATCH(K927,Table!I:I,0),3),"")</f>
        <v/>
      </c>
      <c r="N927" s="32" t="str">
        <f>IFERROR(INDEX(Table!I:O,MATCH(K927,Table!I:I,0),4),"")</f>
        <v/>
      </c>
      <c r="O927" s="32" t="str">
        <f>IFERROR(INDEX(Table!I:O,MATCH(K927,Table!I:I,0),5),"")</f>
        <v/>
      </c>
      <c r="P927" s="32" t="str">
        <f>IFERROR(INDEX(Table!I:O,MATCH(K927,Table!I:I,0),6),"")</f>
        <v/>
      </c>
      <c r="Q927" s="89" t="str">
        <f t="shared" si="42"/>
        <v/>
      </c>
      <c r="R927" s="89" t="str">
        <f t="shared" si="43"/>
        <v/>
      </c>
      <c r="S927" s="82"/>
      <c r="U927" s="37" t="e">
        <f t="shared" si="44"/>
        <v>#VALUE!</v>
      </c>
    </row>
    <row r="928" spans="1:21" x14ac:dyDescent="0.25">
      <c r="A928" s="31" t="str">
        <f>IF(Table!A928 = "","",Table!A928)</f>
        <v/>
      </c>
      <c r="B928" s="31" t="str">
        <f>IF(Table!B928 = "","",Table!B928)</f>
        <v/>
      </c>
      <c r="C928" s="31" t="str">
        <f>IF(Table!C928 = "","",Table!C928)</f>
        <v/>
      </c>
      <c r="D928" s="32" t="str">
        <f>IF(Table!D928 = "","",Table!D928)</f>
        <v/>
      </c>
      <c r="E928" s="32" t="str">
        <f>IF(Table!E928 = "","",Table!E928)</f>
        <v/>
      </c>
      <c r="F928" s="32" t="str">
        <f>IF(Table!F928 = "","",Table!F928)</f>
        <v/>
      </c>
      <c r="G928" s="91"/>
      <c r="K928" s="31" t="str">
        <f>IFERROR(VLOOKUP(A928,Table!$I$4:$O$3000,1,TRUE),"")</f>
        <v/>
      </c>
      <c r="L928" s="31" t="str">
        <f>IFERROR(INDEX(Table!I:O,MATCH(K928,Table!I:I,0),2),"")</f>
        <v/>
      </c>
      <c r="M928" s="31" t="str">
        <f>IFERROR(INDEX(Table!I:O,MATCH(K928,Table!I:I,0),3),"")</f>
        <v/>
      </c>
      <c r="N928" s="32" t="str">
        <f>IFERROR(INDEX(Table!I:O,MATCH(K928,Table!I:I,0),4),"")</f>
        <v/>
      </c>
      <c r="O928" s="32" t="str">
        <f>IFERROR(INDEX(Table!I:O,MATCH(K928,Table!I:I,0),5),"")</f>
        <v/>
      </c>
      <c r="P928" s="32" t="str">
        <f>IFERROR(INDEX(Table!I:O,MATCH(K928,Table!I:I,0),6),"")</f>
        <v/>
      </c>
      <c r="Q928" s="89" t="str">
        <f t="shared" si="42"/>
        <v/>
      </c>
      <c r="R928" s="89" t="str">
        <f t="shared" si="43"/>
        <v/>
      </c>
      <c r="S928" s="82"/>
      <c r="U928" s="37" t="e">
        <f t="shared" si="44"/>
        <v>#VALUE!</v>
      </c>
    </row>
    <row r="929" spans="1:21" x14ac:dyDescent="0.25">
      <c r="A929" s="31" t="str">
        <f>IF(Table!A929 = "","",Table!A929)</f>
        <v/>
      </c>
      <c r="B929" s="31" t="str">
        <f>IF(Table!B929 = "","",Table!B929)</f>
        <v/>
      </c>
      <c r="C929" s="31" t="str">
        <f>IF(Table!C929 = "","",Table!C929)</f>
        <v/>
      </c>
      <c r="D929" s="32" t="str">
        <f>IF(Table!D929 = "","",Table!D929)</f>
        <v/>
      </c>
      <c r="E929" s="32" t="str">
        <f>IF(Table!E929 = "","",Table!E929)</f>
        <v/>
      </c>
      <c r="F929" s="32" t="str">
        <f>IF(Table!F929 = "","",Table!F929)</f>
        <v/>
      </c>
      <c r="G929" s="91"/>
      <c r="K929" s="31" t="str">
        <f>IFERROR(VLOOKUP(A929,Table!$I$4:$O$3000,1,TRUE),"")</f>
        <v/>
      </c>
      <c r="L929" s="31" t="str">
        <f>IFERROR(INDEX(Table!I:O,MATCH(K929,Table!I:I,0),2),"")</f>
        <v/>
      </c>
      <c r="M929" s="31" t="str">
        <f>IFERROR(INDEX(Table!I:O,MATCH(K929,Table!I:I,0),3),"")</f>
        <v/>
      </c>
      <c r="N929" s="32" t="str">
        <f>IFERROR(INDEX(Table!I:O,MATCH(K929,Table!I:I,0),4),"")</f>
        <v/>
      </c>
      <c r="O929" s="32" t="str">
        <f>IFERROR(INDEX(Table!I:O,MATCH(K929,Table!I:I,0),5),"")</f>
        <v/>
      </c>
      <c r="P929" s="32" t="str">
        <f>IFERROR(INDEX(Table!I:O,MATCH(K929,Table!I:I,0),6),"")</f>
        <v/>
      </c>
      <c r="Q929" s="89" t="str">
        <f t="shared" si="42"/>
        <v/>
      </c>
      <c r="R929" s="89" t="str">
        <f t="shared" si="43"/>
        <v/>
      </c>
      <c r="S929" s="82"/>
      <c r="U929" s="37" t="e">
        <f t="shared" si="44"/>
        <v>#VALUE!</v>
      </c>
    </row>
    <row r="930" spans="1:21" x14ac:dyDescent="0.25">
      <c r="A930" s="31" t="str">
        <f>IF(Table!A930 = "","",Table!A930)</f>
        <v/>
      </c>
      <c r="B930" s="31" t="str">
        <f>IF(Table!B930 = "","",Table!B930)</f>
        <v/>
      </c>
      <c r="C930" s="31" t="str">
        <f>IF(Table!C930 = "","",Table!C930)</f>
        <v/>
      </c>
      <c r="D930" s="32" t="str">
        <f>IF(Table!D930 = "","",Table!D930)</f>
        <v/>
      </c>
      <c r="E930" s="32" t="str">
        <f>IF(Table!E930 = "","",Table!E930)</f>
        <v/>
      </c>
      <c r="F930" s="32" t="str">
        <f>IF(Table!F930 = "","",Table!F930)</f>
        <v/>
      </c>
      <c r="G930" s="91"/>
      <c r="K930" s="31" t="str">
        <f>IFERROR(VLOOKUP(A930,Table!$I$4:$O$3000,1,TRUE),"")</f>
        <v/>
      </c>
      <c r="L930" s="31" t="str">
        <f>IFERROR(INDEX(Table!I:O,MATCH(K930,Table!I:I,0),2),"")</f>
        <v/>
      </c>
      <c r="M930" s="31" t="str">
        <f>IFERROR(INDEX(Table!I:O,MATCH(K930,Table!I:I,0),3),"")</f>
        <v/>
      </c>
      <c r="N930" s="32" t="str">
        <f>IFERROR(INDEX(Table!I:O,MATCH(K930,Table!I:I,0),4),"")</f>
        <v/>
      </c>
      <c r="O930" s="32" t="str">
        <f>IFERROR(INDEX(Table!I:O,MATCH(K930,Table!I:I,0),5),"")</f>
        <v/>
      </c>
      <c r="P930" s="32" t="str">
        <f>IFERROR(INDEX(Table!I:O,MATCH(K930,Table!I:I,0),6),"")</f>
        <v/>
      </c>
      <c r="Q930" s="89" t="str">
        <f t="shared" si="42"/>
        <v/>
      </c>
      <c r="R930" s="89" t="str">
        <f t="shared" si="43"/>
        <v/>
      </c>
      <c r="S930" s="82"/>
      <c r="U930" s="37" t="e">
        <f t="shared" si="44"/>
        <v>#VALUE!</v>
      </c>
    </row>
    <row r="931" spans="1:21" x14ac:dyDescent="0.25">
      <c r="A931" s="31" t="str">
        <f>IF(Table!A931 = "","",Table!A931)</f>
        <v/>
      </c>
      <c r="B931" s="31" t="str">
        <f>IF(Table!B931 = "","",Table!B931)</f>
        <v/>
      </c>
      <c r="C931" s="31" t="str">
        <f>IF(Table!C931 = "","",Table!C931)</f>
        <v/>
      </c>
      <c r="D931" s="32" t="str">
        <f>IF(Table!D931 = "","",Table!D931)</f>
        <v/>
      </c>
      <c r="E931" s="32" t="str">
        <f>IF(Table!E931 = "","",Table!E931)</f>
        <v/>
      </c>
      <c r="F931" s="32" t="str">
        <f>IF(Table!F931 = "","",Table!F931)</f>
        <v/>
      </c>
      <c r="G931" s="91"/>
      <c r="K931" s="31" t="str">
        <f>IFERROR(VLOOKUP(A931,Table!$I$4:$O$3000,1,TRUE),"")</f>
        <v/>
      </c>
      <c r="L931" s="31" t="str">
        <f>IFERROR(INDEX(Table!I:O,MATCH(K931,Table!I:I,0),2),"")</f>
        <v/>
      </c>
      <c r="M931" s="31" t="str">
        <f>IFERROR(INDEX(Table!I:O,MATCH(K931,Table!I:I,0),3),"")</f>
        <v/>
      </c>
      <c r="N931" s="32" t="str">
        <f>IFERROR(INDEX(Table!I:O,MATCH(K931,Table!I:I,0),4),"")</f>
        <v/>
      </c>
      <c r="O931" s="32" t="str">
        <f>IFERROR(INDEX(Table!I:O,MATCH(K931,Table!I:I,0),5),"")</f>
        <v/>
      </c>
      <c r="P931" s="32" t="str">
        <f>IFERROR(INDEX(Table!I:O,MATCH(K931,Table!I:I,0),6),"")</f>
        <v/>
      </c>
      <c r="Q931" s="89" t="str">
        <f t="shared" si="42"/>
        <v/>
      </c>
      <c r="R931" s="89" t="str">
        <f t="shared" si="43"/>
        <v/>
      </c>
      <c r="S931" s="82"/>
      <c r="U931" s="37" t="e">
        <f t="shared" si="44"/>
        <v>#VALUE!</v>
      </c>
    </row>
    <row r="932" spans="1:21" x14ac:dyDescent="0.25">
      <c r="A932" s="31" t="str">
        <f>IF(Table!A932 = "","",Table!A932)</f>
        <v/>
      </c>
      <c r="B932" s="31" t="str">
        <f>IF(Table!B932 = "","",Table!B932)</f>
        <v/>
      </c>
      <c r="C932" s="31" t="str">
        <f>IF(Table!C932 = "","",Table!C932)</f>
        <v/>
      </c>
      <c r="D932" s="32" t="str">
        <f>IF(Table!D932 = "","",Table!D932)</f>
        <v/>
      </c>
      <c r="E932" s="32" t="str">
        <f>IF(Table!E932 = "","",Table!E932)</f>
        <v/>
      </c>
      <c r="F932" s="32" t="str">
        <f>IF(Table!F932 = "","",Table!F932)</f>
        <v/>
      </c>
      <c r="G932" s="91"/>
      <c r="K932" s="31" t="str">
        <f>IFERROR(VLOOKUP(A932,Table!$I$4:$O$3000,1,TRUE),"")</f>
        <v/>
      </c>
      <c r="L932" s="31" t="str">
        <f>IFERROR(INDEX(Table!I:O,MATCH(K932,Table!I:I,0),2),"")</f>
        <v/>
      </c>
      <c r="M932" s="31" t="str">
        <f>IFERROR(INDEX(Table!I:O,MATCH(K932,Table!I:I,0),3),"")</f>
        <v/>
      </c>
      <c r="N932" s="32" t="str">
        <f>IFERROR(INDEX(Table!I:O,MATCH(K932,Table!I:I,0),4),"")</f>
        <v/>
      </c>
      <c r="O932" s="32" t="str">
        <f>IFERROR(INDEX(Table!I:O,MATCH(K932,Table!I:I,0),5),"")</f>
        <v/>
      </c>
      <c r="P932" s="32" t="str">
        <f>IFERROR(INDEX(Table!I:O,MATCH(K932,Table!I:I,0),6),"")</f>
        <v/>
      </c>
      <c r="Q932" s="89" t="str">
        <f t="shared" si="42"/>
        <v/>
      </c>
      <c r="R932" s="89" t="str">
        <f t="shared" si="43"/>
        <v/>
      </c>
      <c r="S932" s="82"/>
      <c r="U932" s="37" t="e">
        <f t="shared" si="44"/>
        <v>#VALUE!</v>
      </c>
    </row>
    <row r="933" spans="1:21" x14ac:dyDescent="0.25">
      <c r="A933" s="31" t="str">
        <f>IF(Table!A933 = "","",Table!A933)</f>
        <v/>
      </c>
      <c r="B933" s="31" t="str">
        <f>IF(Table!B933 = "","",Table!B933)</f>
        <v/>
      </c>
      <c r="C933" s="31" t="str">
        <f>IF(Table!C933 = "","",Table!C933)</f>
        <v/>
      </c>
      <c r="D933" s="32" t="str">
        <f>IF(Table!D933 = "","",Table!D933)</f>
        <v/>
      </c>
      <c r="E933" s="32" t="str">
        <f>IF(Table!E933 = "","",Table!E933)</f>
        <v/>
      </c>
      <c r="F933" s="32" t="str">
        <f>IF(Table!F933 = "","",Table!F933)</f>
        <v/>
      </c>
      <c r="G933" s="91"/>
      <c r="K933" s="31" t="str">
        <f>IFERROR(VLOOKUP(A933,Table!$I$4:$O$3000,1,TRUE),"")</f>
        <v/>
      </c>
      <c r="L933" s="31" t="str">
        <f>IFERROR(INDEX(Table!I:O,MATCH(K933,Table!I:I,0),2),"")</f>
        <v/>
      </c>
      <c r="M933" s="31" t="str">
        <f>IFERROR(INDEX(Table!I:O,MATCH(K933,Table!I:I,0),3),"")</f>
        <v/>
      </c>
      <c r="N933" s="32" t="str">
        <f>IFERROR(INDEX(Table!I:O,MATCH(K933,Table!I:I,0),4),"")</f>
        <v/>
      </c>
      <c r="O933" s="32" t="str">
        <f>IFERROR(INDEX(Table!I:O,MATCH(K933,Table!I:I,0),5),"")</f>
        <v/>
      </c>
      <c r="P933" s="32" t="str">
        <f>IFERROR(INDEX(Table!I:O,MATCH(K933,Table!I:I,0),6),"")</f>
        <v/>
      </c>
      <c r="Q933" s="89" t="str">
        <f t="shared" si="42"/>
        <v/>
      </c>
      <c r="R933" s="89" t="str">
        <f t="shared" si="43"/>
        <v/>
      </c>
      <c r="S933" s="82"/>
      <c r="U933" s="37" t="e">
        <f t="shared" si="44"/>
        <v>#VALUE!</v>
      </c>
    </row>
    <row r="934" spans="1:21" x14ac:dyDescent="0.25">
      <c r="A934" s="31" t="str">
        <f>IF(Table!A934 = "","",Table!A934)</f>
        <v/>
      </c>
      <c r="B934" s="31" t="str">
        <f>IF(Table!B934 = "","",Table!B934)</f>
        <v/>
      </c>
      <c r="C934" s="31" t="str">
        <f>IF(Table!C934 = "","",Table!C934)</f>
        <v/>
      </c>
      <c r="D934" s="32" t="str">
        <f>IF(Table!D934 = "","",Table!D934)</f>
        <v/>
      </c>
      <c r="E934" s="32" t="str">
        <f>IF(Table!E934 = "","",Table!E934)</f>
        <v/>
      </c>
      <c r="F934" s="32" t="str">
        <f>IF(Table!F934 = "","",Table!F934)</f>
        <v/>
      </c>
      <c r="G934" s="91"/>
      <c r="K934" s="31" t="str">
        <f>IFERROR(VLOOKUP(A934,Table!$I$4:$O$3000,1,TRUE),"")</f>
        <v/>
      </c>
      <c r="L934" s="31" t="str">
        <f>IFERROR(INDEX(Table!I:O,MATCH(K934,Table!I:I,0),2),"")</f>
        <v/>
      </c>
      <c r="M934" s="31" t="str">
        <f>IFERROR(INDEX(Table!I:O,MATCH(K934,Table!I:I,0),3),"")</f>
        <v/>
      </c>
      <c r="N934" s="32" t="str">
        <f>IFERROR(INDEX(Table!I:O,MATCH(K934,Table!I:I,0),4),"")</f>
        <v/>
      </c>
      <c r="O934" s="32" t="str">
        <f>IFERROR(INDEX(Table!I:O,MATCH(K934,Table!I:I,0),5),"")</f>
        <v/>
      </c>
      <c r="P934" s="32" t="str">
        <f>IFERROR(INDEX(Table!I:O,MATCH(K934,Table!I:I,0),6),"")</f>
        <v/>
      </c>
      <c r="Q934" s="89" t="str">
        <f t="shared" si="42"/>
        <v/>
      </c>
      <c r="R934" s="89" t="str">
        <f t="shared" si="43"/>
        <v/>
      </c>
      <c r="S934" s="82"/>
      <c r="U934" s="37" t="e">
        <f t="shared" si="44"/>
        <v>#VALUE!</v>
      </c>
    </row>
    <row r="935" spans="1:21" x14ac:dyDescent="0.25">
      <c r="A935" s="31" t="str">
        <f>IF(Table!A935 = "","",Table!A935)</f>
        <v/>
      </c>
      <c r="B935" s="31" t="str">
        <f>IF(Table!B935 = "","",Table!B935)</f>
        <v/>
      </c>
      <c r="C935" s="31" t="str">
        <f>IF(Table!C935 = "","",Table!C935)</f>
        <v/>
      </c>
      <c r="D935" s="32" t="str">
        <f>IF(Table!D935 = "","",Table!D935)</f>
        <v/>
      </c>
      <c r="E935" s="32" t="str">
        <f>IF(Table!E935 = "","",Table!E935)</f>
        <v/>
      </c>
      <c r="F935" s="32" t="str">
        <f>IF(Table!F935 = "","",Table!F935)</f>
        <v/>
      </c>
      <c r="G935" s="91"/>
      <c r="K935" s="31" t="str">
        <f>IFERROR(VLOOKUP(A935,Table!$I$4:$O$3000,1,TRUE),"")</f>
        <v/>
      </c>
      <c r="L935" s="31" t="str">
        <f>IFERROR(INDEX(Table!I:O,MATCH(K935,Table!I:I,0),2),"")</f>
        <v/>
      </c>
      <c r="M935" s="31" t="str">
        <f>IFERROR(INDEX(Table!I:O,MATCH(K935,Table!I:I,0),3),"")</f>
        <v/>
      </c>
      <c r="N935" s="32" t="str">
        <f>IFERROR(INDEX(Table!I:O,MATCH(K935,Table!I:I,0),4),"")</f>
        <v/>
      </c>
      <c r="O935" s="32" t="str">
        <f>IFERROR(INDEX(Table!I:O,MATCH(K935,Table!I:I,0),5),"")</f>
        <v/>
      </c>
      <c r="P935" s="32" t="str">
        <f>IFERROR(INDEX(Table!I:O,MATCH(K935,Table!I:I,0),6),"")</f>
        <v/>
      </c>
      <c r="Q935" s="89" t="str">
        <f t="shared" si="42"/>
        <v/>
      </c>
      <c r="R935" s="89" t="str">
        <f t="shared" si="43"/>
        <v/>
      </c>
      <c r="S935" s="82"/>
      <c r="U935" s="37" t="e">
        <f t="shared" si="44"/>
        <v>#VALUE!</v>
      </c>
    </row>
    <row r="936" spans="1:21" x14ac:dyDescent="0.25">
      <c r="A936" s="31" t="str">
        <f>IF(Table!A936 = "","",Table!A936)</f>
        <v/>
      </c>
      <c r="B936" s="31" t="str">
        <f>IF(Table!B936 = "","",Table!B936)</f>
        <v/>
      </c>
      <c r="C936" s="31" t="str">
        <f>IF(Table!C936 = "","",Table!C936)</f>
        <v/>
      </c>
      <c r="D936" s="32" t="str">
        <f>IF(Table!D936 = "","",Table!D936)</f>
        <v/>
      </c>
      <c r="E936" s="32" t="str">
        <f>IF(Table!E936 = "","",Table!E936)</f>
        <v/>
      </c>
      <c r="F936" s="32" t="str">
        <f>IF(Table!F936 = "","",Table!F936)</f>
        <v/>
      </c>
      <c r="G936" s="91"/>
      <c r="K936" s="31" t="str">
        <f>IFERROR(VLOOKUP(A936,Table!$I$4:$O$3000,1,TRUE),"")</f>
        <v/>
      </c>
      <c r="L936" s="31" t="str">
        <f>IFERROR(INDEX(Table!I:O,MATCH(K936,Table!I:I,0),2),"")</f>
        <v/>
      </c>
      <c r="M936" s="31" t="str">
        <f>IFERROR(INDEX(Table!I:O,MATCH(K936,Table!I:I,0),3),"")</f>
        <v/>
      </c>
      <c r="N936" s="32" t="str">
        <f>IFERROR(INDEX(Table!I:O,MATCH(K936,Table!I:I,0),4),"")</f>
        <v/>
      </c>
      <c r="O936" s="32" t="str">
        <f>IFERROR(INDEX(Table!I:O,MATCH(K936,Table!I:I,0),5),"")</f>
        <v/>
      </c>
      <c r="P936" s="32" t="str">
        <f>IFERROR(INDEX(Table!I:O,MATCH(K936,Table!I:I,0),6),"")</f>
        <v/>
      </c>
      <c r="Q936" s="89" t="str">
        <f t="shared" si="42"/>
        <v/>
      </c>
      <c r="R936" s="89" t="str">
        <f t="shared" si="43"/>
        <v/>
      </c>
      <c r="S936" s="82"/>
      <c r="U936" s="37" t="e">
        <f t="shared" si="44"/>
        <v>#VALUE!</v>
      </c>
    </row>
    <row r="937" spans="1:21" x14ac:dyDescent="0.25">
      <c r="A937" s="31" t="str">
        <f>IF(Table!A937 = "","",Table!A937)</f>
        <v/>
      </c>
      <c r="B937" s="31" t="str">
        <f>IF(Table!B937 = "","",Table!B937)</f>
        <v/>
      </c>
      <c r="C937" s="31" t="str">
        <f>IF(Table!C937 = "","",Table!C937)</f>
        <v/>
      </c>
      <c r="D937" s="32" t="str">
        <f>IF(Table!D937 = "","",Table!D937)</f>
        <v/>
      </c>
      <c r="E937" s="32" t="str">
        <f>IF(Table!E937 = "","",Table!E937)</f>
        <v/>
      </c>
      <c r="F937" s="32" t="str">
        <f>IF(Table!F937 = "","",Table!F937)</f>
        <v/>
      </c>
      <c r="G937" s="91"/>
      <c r="K937" s="31" t="str">
        <f>IFERROR(VLOOKUP(A937,Table!$I$4:$O$3000,1,TRUE),"")</f>
        <v/>
      </c>
      <c r="L937" s="31" t="str">
        <f>IFERROR(INDEX(Table!I:O,MATCH(K937,Table!I:I,0),2),"")</f>
        <v/>
      </c>
      <c r="M937" s="31" t="str">
        <f>IFERROR(INDEX(Table!I:O,MATCH(K937,Table!I:I,0),3),"")</f>
        <v/>
      </c>
      <c r="N937" s="32" t="str">
        <f>IFERROR(INDEX(Table!I:O,MATCH(K937,Table!I:I,0),4),"")</f>
        <v/>
      </c>
      <c r="O937" s="32" t="str">
        <f>IFERROR(INDEX(Table!I:O,MATCH(K937,Table!I:I,0),5),"")</f>
        <v/>
      </c>
      <c r="P937" s="32" t="str">
        <f>IFERROR(INDEX(Table!I:O,MATCH(K937,Table!I:I,0),6),"")</f>
        <v/>
      </c>
      <c r="Q937" s="89" t="str">
        <f t="shared" si="42"/>
        <v/>
      </c>
      <c r="R937" s="89" t="str">
        <f t="shared" si="43"/>
        <v/>
      </c>
      <c r="S937" s="82"/>
      <c r="U937" s="37" t="e">
        <f t="shared" si="44"/>
        <v>#VALUE!</v>
      </c>
    </row>
    <row r="938" spans="1:21" x14ac:dyDescent="0.25">
      <c r="A938" s="31" t="str">
        <f>IF(Table!A938 = "","",Table!A938)</f>
        <v/>
      </c>
      <c r="B938" s="31" t="str">
        <f>IF(Table!B938 = "","",Table!B938)</f>
        <v/>
      </c>
      <c r="C938" s="31" t="str">
        <f>IF(Table!C938 = "","",Table!C938)</f>
        <v/>
      </c>
      <c r="D938" s="32" t="str">
        <f>IF(Table!D938 = "","",Table!D938)</f>
        <v/>
      </c>
      <c r="E938" s="32" t="str">
        <f>IF(Table!E938 = "","",Table!E938)</f>
        <v/>
      </c>
      <c r="F938" s="32" t="str">
        <f>IF(Table!F938 = "","",Table!F938)</f>
        <v/>
      </c>
      <c r="G938" s="91"/>
      <c r="K938" s="31" t="str">
        <f>IFERROR(VLOOKUP(A938,Table!$I$4:$O$3000,1,TRUE),"")</f>
        <v/>
      </c>
      <c r="L938" s="31" t="str">
        <f>IFERROR(INDEX(Table!I:O,MATCH(K938,Table!I:I,0),2),"")</f>
        <v/>
      </c>
      <c r="M938" s="31" t="str">
        <f>IFERROR(INDEX(Table!I:O,MATCH(K938,Table!I:I,0),3),"")</f>
        <v/>
      </c>
      <c r="N938" s="32" t="str">
        <f>IFERROR(INDEX(Table!I:O,MATCH(K938,Table!I:I,0),4),"")</f>
        <v/>
      </c>
      <c r="O938" s="32" t="str">
        <f>IFERROR(INDEX(Table!I:O,MATCH(K938,Table!I:I,0),5),"")</f>
        <v/>
      </c>
      <c r="P938" s="32" t="str">
        <f>IFERROR(INDEX(Table!I:O,MATCH(K938,Table!I:I,0),6),"")</f>
        <v/>
      </c>
      <c r="Q938" s="89" t="str">
        <f t="shared" si="42"/>
        <v/>
      </c>
      <c r="R938" s="89" t="str">
        <f t="shared" si="43"/>
        <v/>
      </c>
      <c r="S938" s="82"/>
      <c r="U938" s="37" t="e">
        <f t="shared" si="44"/>
        <v>#VALUE!</v>
      </c>
    </row>
    <row r="939" spans="1:21" x14ac:dyDescent="0.25">
      <c r="A939" s="31" t="str">
        <f>IF(Table!A939 = "","",Table!A939)</f>
        <v/>
      </c>
      <c r="B939" s="31" t="str">
        <f>IF(Table!B939 = "","",Table!B939)</f>
        <v/>
      </c>
      <c r="C939" s="31" t="str">
        <f>IF(Table!C939 = "","",Table!C939)</f>
        <v/>
      </c>
      <c r="D939" s="32" t="str">
        <f>IF(Table!D939 = "","",Table!D939)</f>
        <v/>
      </c>
      <c r="E939" s="32" t="str">
        <f>IF(Table!E939 = "","",Table!E939)</f>
        <v/>
      </c>
      <c r="F939" s="32" t="str">
        <f>IF(Table!F939 = "","",Table!F939)</f>
        <v/>
      </c>
      <c r="G939" s="91"/>
      <c r="K939" s="31" t="str">
        <f>IFERROR(VLOOKUP(A939,Table!$I$4:$O$3000,1,TRUE),"")</f>
        <v/>
      </c>
      <c r="L939" s="31" t="str">
        <f>IFERROR(INDEX(Table!I:O,MATCH(K939,Table!I:I,0),2),"")</f>
        <v/>
      </c>
      <c r="M939" s="31" t="str">
        <f>IFERROR(INDEX(Table!I:O,MATCH(K939,Table!I:I,0),3),"")</f>
        <v/>
      </c>
      <c r="N939" s="32" t="str">
        <f>IFERROR(INDEX(Table!I:O,MATCH(K939,Table!I:I,0),4),"")</f>
        <v/>
      </c>
      <c r="O939" s="32" t="str">
        <f>IFERROR(INDEX(Table!I:O,MATCH(K939,Table!I:I,0),5),"")</f>
        <v/>
      </c>
      <c r="P939" s="32" t="str">
        <f>IFERROR(INDEX(Table!I:O,MATCH(K939,Table!I:I,0),6),"")</f>
        <v/>
      </c>
      <c r="Q939" s="89" t="str">
        <f t="shared" si="42"/>
        <v/>
      </c>
      <c r="R939" s="89" t="str">
        <f t="shared" si="43"/>
        <v/>
      </c>
      <c r="S939" s="82"/>
      <c r="U939" s="37" t="e">
        <f t="shared" si="44"/>
        <v>#VALUE!</v>
      </c>
    </row>
    <row r="940" spans="1:21" x14ac:dyDescent="0.25">
      <c r="A940" s="31" t="str">
        <f>IF(Table!A940 = "","",Table!A940)</f>
        <v/>
      </c>
      <c r="B940" s="31" t="str">
        <f>IF(Table!B940 = "","",Table!B940)</f>
        <v/>
      </c>
      <c r="C940" s="31" t="str">
        <f>IF(Table!C940 = "","",Table!C940)</f>
        <v/>
      </c>
      <c r="D940" s="32" t="str">
        <f>IF(Table!D940 = "","",Table!D940)</f>
        <v/>
      </c>
      <c r="E940" s="32" t="str">
        <f>IF(Table!E940 = "","",Table!E940)</f>
        <v/>
      </c>
      <c r="F940" s="32" t="str">
        <f>IF(Table!F940 = "","",Table!F940)</f>
        <v/>
      </c>
      <c r="G940" s="91"/>
      <c r="K940" s="31" t="str">
        <f>IFERROR(VLOOKUP(A940,Table!$I$4:$O$3000,1,TRUE),"")</f>
        <v/>
      </c>
      <c r="L940" s="31" t="str">
        <f>IFERROR(INDEX(Table!I:O,MATCH(K940,Table!I:I,0),2),"")</f>
        <v/>
      </c>
      <c r="M940" s="31" t="str">
        <f>IFERROR(INDEX(Table!I:O,MATCH(K940,Table!I:I,0),3),"")</f>
        <v/>
      </c>
      <c r="N940" s="32" t="str">
        <f>IFERROR(INDEX(Table!I:O,MATCH(K940,Table!I:I,0),4),"")</f>
        <v/>
      </c>
      <c r="O940" s="32" t="str">
        <f>IFERROR(INDEX(Table!I:O,MATCH(K940,Table!I:I,0),5),"")</f>
        <v/>
      </c>
      <c r="P940" s="32" t="str">
        <f>IFERROR(INDEX(Table!I:O,MATCH(K940,Table!I:I,0),6),"")</f>
        <v/>
      </c>
      <c r="Q940" s="89" t="str">
        <f t="shared" si="42"/>
        <v/>
      </c>
      <c r="R940" s="89" t="str">
        <f t="shared" si="43"/>
        <v/>
      </c>
      <c r="S940" s="82"/>
      <c r="U940" s="37" t="e">
        <f t="shared" si="44"/>
        <v>#VALUE!</v>
      </c>
    </row>
    <row r="941" spans="1:21" x14ac:dyDescent="0.25">
      <c r="A941" s="31" t="str">
        <f>IF(Table!A941 = "","",Table!A941)</f>
        <v/>
      </c>
      <c r="B941" s="31" t="str">
        <f>IF(Table!B941 = "","",Table!B941)</f>
        <v/>
      </c>
      <c r="C941" s="31" t="str">
        <f>IF(Table!C941 = "","",Table!C941)</f>
        <v/>
      </c>
      <c r="D941" s="32" t="str">
        <f>IF(Table!D941 = "","",Table!D941)</f>
        <v/>
      </c>
      <c r="E941" s="32" t="str">
        <f>IF(Table!E941 = "","",Table!E941)</f>
        <v/>
      </c>
      <c r="F941" s="32" t="str">
        <f>IF(Table!F941 = "","",Table!F941)</f>
        <v/>
      </c>
      <c r="G941" s="91"/>
      <c r="K941" s="31" t="str">
        <f>IFERROR(VLOOKUP(A941,Table!$I$4:$O$3000,1,TRUE),"")</f>
        <v/>
      </c>
      <c r="L941" s="31" t="str">
        <f>IFERROR(INDEX(Table!I:O,MATCH(K941,Table!I:I,0),2),"")</f>
        <v/>
      </c>
      <c r="M941" s="31" t="str">
        <f>IFERROR(INDEX(Table!I:O,MATCH(K941,Table!I:I,0),3),"")</f>
        <v/>
      </c>
      <c r="N941" s="32" t="str">
        <f>IFERROR(INDEX(Table!I:O,MATCH(K941,Table!I:I,0),4),"")</f>
        <v/>
      </c>
      <c r="O941" s="32" t="str">
        <f>IFERROR(INDEX(Table!I:O,MATCH(K941,Table!I:I,0),5),"")</f>
        <v/>
      </c>
      <c r="P941" s="32" t="str">
        <f>IFERROR(INDEX(Table!I:O,MATCH(K941,Table!I:I,0),6),"")</f>
        <v/>
      </c>
      <c r="Q941" s="89" t="str">
        <f t="shared" si="42"/>
        <v/>
      </c>
      <c r="R941" s="89" t="str">
        <f t="shared" si="43"/>
        <v/>
      </c>
      <c r="S941" s="82"/>
      <c r="U941" s="37" t="e">
        <f t="shared" si="44"/>
        <v>#VALUE!</v>
      </c>
    </row>
    <row r="942" spans="1:21" x14ac:dyDescent="0.25">
      <c r="A942" s="31" t="str">
        <f>IF(Table!A942 = "","",Table!A942)</f>
        <v/>
      </c>
      <c r="B942" s="31" t="str">
        <f>IF(Table!B942 = "","",Table!B942)</f>
        <v/>
      </c>
      <c r="C942" s="31" t="str">
        <f>IF(Table!C942 = "","",Table!C942)</f>
        <v/>
      </c>
      <c r="D942" s="32" t="str">
        <f>IF(Table!D942 = "","",Table!D942)</f>
        <v/>
      </c>
      <c r="E942" s="32" t="str">
        <f>IF(Table!E942 = "","",Table!E942)</f>
        <v/>
      </c>
      <c r="F942" s="32" t="str">
        <f>IF(Table!F942 = "","",Table!F942)</f>
        <v/>
      </c>
      <c r="G942" s="91"/>
      <c r="K942" s="31" t="str">
        <f>IFERROR(VLOOKUP(A942,Table!$I$4:$O$3000,1,TRUE),"")</f>
        <v/>
      </c>
      <c r="L942" s="31" t="str">
        <f>IFERROR(INDEX(Table!I:O,MATCH(K942,Table!I:I,0),2),"")</f>
        <v/>
      </c>
      <c r="M942" s="31" t="str">
        <f>IFERROR(INDEX(Table!I:O,MATCH(K942,Table!I:I,0),3),"")</f>
        <v/>
      </c>
      <c r="N942" s="32" t="str">
        <f>IFERROR(INDEX(Table!I:O,MATCH(K942,Table!I:I,0),4),"")</f>
        <v/>
      </c>
      <c r="O942" s="32" t="str">
        <f>IFERROR(INDEX(Table!I:O,MATCH(K942,Table!I:I,0),5),"")</f>
        <v/>
      </c>
      <c r="P942" s="32" t="str">
        <f>IFERROR(INDEX(Table!I:O,MATCH(K942,Table!I:I,0),6),"")</f>
        <v/>
      </c>
      <c r="Q942" s="89" t="str">
        <f t="shared" si="42"/>
        <v/>
      </c>
      <c r="R942" s="89" t="str">
        <f t="shared" si="43"/>
        <v/>
      </c>
      <c r="S942" s="82"/>
      <c r="U942" s="37" t="e">
        <f t="shared" si="44"/>
        <v>#VALUE!</v>
      </c>
    </row>
    <row r="943" spans="1:21" x14ac:dyDescent="0.25">
      <c r="A943" s="31" t="str">
        <f>IF(Table!A943 = "","",Table!A943)</f>
        <v/>
      </c>
      <c r="B943" s="31" t="str">
        <f>IF(Table!B943 = "","",Table!B943)</f>
        <v/>
      </c>
      <c r="C943" s="31" t="str">
        <f>IF(Table!C943 = "","",Table!C943)</f>
        <v/>
      </c>
      <c r="D943" s="32" t="str">
        <f>IF(Table!D943 = "","",Table!D943)</f>
        <v/>
      </c>
      <c r="E943" s="32" t="str">
        <f>IF(Table!E943 = "","",Table!E943)</f>
        <v/>
      </c>
      <c r="F943" s="32" t="str">
        <f>IF(Table!F943 = "","",Table!F943)</f>
        <v/>
      </c>
      <c r="G943" s="91"/>
      <c r="K943" s="31" t="str">
        <f>IFERROR(VLOOKUP(A943,Table!$I$4:$O$3000,1,TRUE),"")</f>
        <v/>
      </c>
      <c r="L943" s="31" t="str">
        <f>IFERROR(INDEX(Table!I:O,MATCH(K943,Table!I:I,0),2),"")</f>
        <v/>
      </c>
      <c r="M943" s="31" t="str">
        <f>IFERROR(INDEX(Table!I:O,MATCH(K943,Table!I:I,0),3),"")</f>
        <v/>
      </c>
      <c r="N943" s="32" t="str">
        <f>IFERROR(INDEX(Table!I:O,MATCH(K943,Table!I:I,0),4),"")</f>
        <v/>
      </c>
      <c r="O943" s="32" t="str">
        <f>IFERROR(INDEX(Table!I:O,MATCH(K943,Table!I:I,0),5),"")</f>
        <v/>
      </c>
      <c r="P943" s="32" t="str">
        <f>IFERROR(INDEX(Table!I:O,MATCH(K943,Table!I:I,0),6),"")</f>
        <v/>
      </c>
      <c r="Q943" s="89" t="str">
        <f t="shared" si="42"/>
        <v/>
      </c>
      <c r="R943" s="89" t="str">
        <f t="shared" si="43"/>
        <v/>
      </c>
      <c r="S943" s="82"/>
      <c r="U943" s="37" t="e">
        <f t="shared" si="44"/>
        <v>#VALUE!</v>
      </c>
    </row>
    <row r="944" spans="1:21" x14ac:dyDescent="0.25">
      <c r="A944" s="31" t="str">
        <f>IF(Table!A944 = "","",Table!A944)</f>
        <v/>
      </c>
      <c r="B944" s="31" t="str">
        <f>IF(Table!B944 = "","",Table!B944)</f>
        <v/>
      </c>
      <c r="C944" s="31" t="str">
        <f>IF(Table!C944 = "","",Table!C944)</f>
        <v/>
      </c>
      <c r="D944" s="32" t="str">
        <f>IF(Table!D944 = "","",Table!D944)</f>
        <v/>
      </c>
      <c r="E944" s="32" t="str">
        <f>IF(Table!E944 = "","",Table!E944)</f>
        <v/>
      </c>
      <c r="F944" s="32" t="str">
        <f>IF(Table!F944 = "","",Table!F944)</f>
        <v/>
      </c>
      <c r="G944" s="91"/>
      <c r="K944" s="31" t="str">
        <f>IFERROR(VLOOKUP(A944,Table!$I$4:$O$3000,1,TRUE),"")</f>
        <v/>
      </c>
      <c r="L944" s="31" t="str">
        <f>IFERROR(INDEX(Table!I:O,MATCH(K944,Table!I:I,0),2),"")</f>
        <v/>
      </c>
      <c r="M944" s="31" t="str">
        <f>IFERROR(INDEX(Table!I:O,MATCH(K944,Table!I:I,0),3),"")</f>
        <v/>
      </c>
      <c r="N944" s="32" t="str">
        <f>IFERROR(INDEX(Table!I:O,MATCH(K944,Table!I:I,0),4),"")</f>
        <v/>
      </c>
      <c r="O944" s="32" t="str">
        <f>IFERROR(INDEX(Table!I:O,MATCH(K944,Table!I:I,0),5),"")</f>
        <v/>
      </c>
      <c r="P944" s="32" t="str">
        <f>IFERROR(INDEX(Table!I:O,MATCH(K944,Table!I:I,0),6),"")</f>
        <v/>
      </c>
      <c r="Q944" s="89" t="str">
        <f t="shared" si="42"/>
        <v/>
      </c>
      <c r="R944" s="89" t="str">
        <f t="shared" si="43"/>
        <v/>
      </c>
      <c r="S944" s="82"/>
      <c r="U944" s="37" t="e">
        <f t="shared" si="44"/>
        <v>#VALUE!</v>
      </c>
    </row>
    <row r="945" spans="1:21" x14ac:dyDescent="0.25">
      <c r="A945" s="31" t="str">
        <f>IF(Table!A945 = "","",Table!A945)</f>
        <v/>
      </c>
      <c r="B945" s="31" t="str">
        <f>IF(Table!B945 = "","",Table!B945)</f>
        <v/>
      </c>
      <c r="C945" s="31" t="str">
        <f>IF(Table!C945 = "","",Table!C945)</f>
        <v/>
      </c>
      <c r="D945" s="32" t="str">
        <f>IF(Table!D945 = "","",Table!D945)</f>
        <v/>
      </c>
      <c r="E945" s="32" t="str">
        <f>IF(Table!E945 = "","",Table!E945)</f>
        <v/>
      </c>
      <c r="F945" s="32" t="str">
        <f>IF(Table!F945 = "","",Table!F945)</f>
        <v/>
      </c>
      <c r="G945" s="91"/>
      <c r="K945" s="31" t="str">
        <f>IFERROR(VLOOKUP(A945,Table!$I$4:$O$3000,1,TRUE),"")</f>
        <v/>
      </c>
      <c r="L945" s="31" t="str">
        <f>IFERROR(INDEX(Table!I:O,MATCH(K945,Table!I:I,0),2),"")</f>
        <v/>
      </c>
      <c r="M945" s="31" t="str">
        <f>IFERROR(INDEX(Table!I:O,MATCH(K945,Table!I:I,0),3),"")</f>
        <v/>
      </c>
      <c r="N945" s="32" t="str">
        <f>IFERROR(INDEX(Table!I:O,MATCH(K945,Table!I:I,0),4),"")</f>
        <v/>
      </c>
      <c r="O945" s="32" t="str">
        <f>IFERROR(INDEX(Table!I:O,MATCH(K945,Table!I:I,0),5),"")</f>
        <v/>
      </c>
      <c r="P945" s="32" t="str">
        <f>IFERROR(INDEX(Table!I:O,MATCH(K945,Table!I:I,0),6),"")</f>
        <v/>
      </c>
      <c r="Q945" s="89" t="str">
        <f t="shared" si="42"/>
        <v/>
      </c>
      <c r="R945" s="89" t="str">
        <f t="shared" si="43"/>
        <v/>
      </c>
      <c r="S945" s="82"/>
      <c r="U945" s="37" t="e">
        <f t="shared" si="44"/>
        <v>#VALUE!</v>
      </c>
    </row>
    <row r="946" spans="1:21" x14ac:dyDescent="0.25">
      <c r="A946" s="31" t="str">
        <f>IF(Table!A946 = "","",Table!A946)</f>
        <v/>
      </c>
      <c r="B946" s="31" t="str">
        <f>IF(Table!B946 = "","",Table!B946)</f>
        <v/>
      </c>
      <c r="C946" s="31" t="str">
        <f>IF(Table!C946 = "","",Table!C946)</f>
        <v/>
      </c>
      <c r="D946" s="32" t="str">
        <f>IF(Table!D946 = "","",Table!D946)</f>
        <v/>
      </c>
      <c r="E946" s="32" t="str">
        <f>IF(Table!E946 = "","",Table!E946)</f>
        <v/>
      </c>
      <c r="F946" s="32" t="str">
        <f>IF(Table!F946 = "","",Table!F946)</f>
        <v/>
      </c>
      <c r="G946" s="91"/>
      <c r="K946" s="31" t="str">
        <f>IFERROR(VLOOKUP(A946,Table!$I$4:$O$3000,1,TRUE),"")</f>
        <v/>
      </c>
      <c r="L946" s="31" t="str">
        <f>IFERROR(INDEX(Table!I:O,MATCH(K946,Table!I:I,0),2),"")</f>
        <v/>
      </c>
      <c r="M946" s="31" t="str">
        <f>IFERROR(INDEX(Table!I:O,MATCH(K946,Table!I:I,0),3),"")</f>
        <v/>
      </c>
      <c r="N946" s="32" t="str">
        <f>IFERROR(INDEX(Table!I:O,MATCH(K946,Table!I:I,0),4),"")</f>
        <v/>
      </c>
      <c r="O946" s="32" t="str">
        <f>IFERROR(INDEX(Table!I:O,MATCH(K946,Table!I:I,0),5),"")</f>
        <v/>
      </c>
      <c r="P946" s="32" t="str">
        <f>IFERROR(INDEX(Table!I:O,MATCH(K946,Table!I:I,0),6),"")</f>
        <v/>
      </c>
      <c r="Q946" s="89" t="str">
        <f t="shared" si="42"/>
        <v/>
      </c>
      <c r="R946" s="89" t="str">
        <f t="shared" si="43"/>
        <v/>
      </c>
      <c r="S946" s="82"/>
      <c r="U946" s="37" t="e">
        <f t="shared" si="44"/>
        <v>#VALUE!</v>
      </c>
    </row>
    <row r="947" spans="1:21" x14ac:dyDescent="0.25">
      <c r="A947" s="31" t="str">
        <f>IF(Table!A947 = "","",Table!A947)</f>
        <v/>
      </c>
      <c r="B947" s="31" t="str">
        <f>IF(Table!B947 = "","",Table!B947)</f>
        <v/>
      </c>
      <c r="C947" s="31" t="str">
        <f>IF(Table!C947 = "","",Table!C947)</f>
        <v/>
      </c>
      <c r="D947" s="32" t="str">
        <f>IF(Table!D947 = "","",Table!D947)</f>
        <v/>
      </c>
      <c r="E947" s="32" t="str">
        <f>IF(Table!E947 = "","",Table!E947)</f>
        <v/>
      </c>
      <c r="F947" s="32" t="str">
        <f>IF(Table!F947 = "","",Table!F947)</f>
        <v/>
      </c>
      <c r="G947" s="91"/>
      <c r="K947" s="31" t="str">
        <f>IFERROR(VLOOKUP(A947,Table!$I$4:$O$3000,1,TRUE),"")</f>
        <v/>
      </c>
      <c r="L947" s="31" t="str">
        <f>IFERROR(INDEX(Table!I:O,MATCH(K947,Table!I:I,0),2),"")</f>
        <v/>
      </c>
      <c r="M947" s="31" t="str">
        <f>IFERROR(INDEX(Table!I:O,MATCH(K947,Table!I:I,0),3),"")</f>
        <v/>
      </c>
      <c r="N947" s="32" t="str">
        <f>IFERROR(INDEX(Table!I:O,MATCH(K947,Table!I:I,0),4),"")</f>
        <v/>
      </c>
      <c r="O947" s="32" t="str">
        <f>IFERROR(INDEX(Table!I:O,MATCH(K947,Table!I:I,0),5),"")</f>
        <v/>
      </c>
      <c r="P947" s="32" t="str">
        <f>IFERROR(INDEX(Table!I:O,MATCH(K947,Table!I:I,0),6),"")</f>
        <v/>
      </c>
      <c r="Q947" s="89" t="str">
        <f t="shared" si="42"/>
        <v/>
      </c>
      <c r="R947" s="89" t="str">
        <f t="shared" si="43"/>
        <v/>
      </c>
      <c r="S947" s="82"/>
      <c r="U947" s="37" t="e">
        <f t="shared" si="44"/>
        <v>#VALUE!</v>
      </c>
    </row>
    <row r="948" spans="1:21" x14ac:dyDescent="0.25">
      <c r="A948" s="31" t="str">
        <f>IF(Table!A948 = "","",Table!A948)</f>
        <v/>
      </c>
      <c r="B948" s="31" t="str">
        <f>IF(Table!B948 = "","",Table!B948)</f>
        <v/>
      </c>
      <c r="C948" s="31" t="str">
        <f>IF(Table!C948 = "","",Table!C948)</f>
        <v/>
      </c>
      <c r="D948" s="32" t="str">
        <f>IF(Table!D948 = "","",Table!D948)</f>
        <v/>
      </c>
      <c r="E948" s="32" t="str">
        <f>IF(Table!E948 = "","",Table!E948)</f>
        <v/>
      </c>
      <c r="F948" s="32" t="str">
        <f>IF(Table!F948 = "","",Table!F948)</f>
        <v/>
      </c>
      <c r="G948" s="91"/>
      <c r="K948" s="31" t="str">
        <f>IFERROR(VLOOKUP(A948,Table!$I$4:$O$3000,1,TRUE),"")</f>
        <v/>
      </c>
      <c r="L948" s="31" t="str">
        <f>IFERROR(INDEX(Table!I:O,MATCH(K948,Table!I:I,0),2),"")</f>
        <v/>
      </c>
      <c r="M948" s="31" t="str">
        <f>IFERROR(INDEX(Table!I:O,MATCH(K948,Table!I:I,0),3),"")</f>
        <v/>
      </c>
      <c r="N948" s="32" t="str">
        <f>IFERROR(INDEX(Table!I:O,MATCH(K948,Table!I:I,0),4),"")</f>
        <v/>
      </c>
      <c r="O948" s="32" t="str">
        <f>IFERROR(INDEX(Table!I:O,MATCH(K948,Table!I:I,0),5),"")</f>
        <v/>
      </c>
      <c r="P948" s="32" t="str">
        <f>IFERROR(INDEX(Table!I:O,MATCH(K948,Table!I:I,0),6),"")</f>
        <v/>
      </c>
      <c r="Q948" s="89" t="str">
        <f t="shared" si="42"/>
        <v/>
      </c>
      <c r="R948" s="89" t="str">
        <f t="shared" si="43"/>
        <v/>
      </c>
      <c r="S948" s="82"/>
      <c r="U948" s="37" t="e">
        <f t="shared" si="44"/>
        <v>#VALUE!</v>
      </c>
    </row>
    <row r="949" spans="1:21" x14ac:dyDescent="0.25">
      <c r="A949" s="31" t="str">
        <f>IF(Table!A949 = "","",Table!A949)</f>
        <v/>
      </c>
      <c r="B949" s="31" t="str">
        <f>IF(Table!B949 = "","",Table!B949)</f>
        <v/>
      </c>
      <c r="C949" s="31" t="str">
        <f>IF(Table!C949 = "","",Table!C949)</f>
        <v/>
      </c>
      <c r="D949" s="32" t="str">
        <f>IF(Table!D949 = "","",Table!D949)</f>
        <v/>
      </c>
      <c r="E949" s="32" t="str">
        <f>IF(Table!E949 = "","",Table!E949)</f>
        <v/>
      </c>
      <c r="F949" s="32" t="str">
        <f>IF(Table!F949 = "","",Table!F949)</f>
        <v/>
      </c>
      <c r="G949" s="91"/>
      <c r="K949" s="31" t="str">
        <f>IFERROR(VLOOKUP(A949,Table!$I$4:$O$3000,1,TRUE),"")</f>
        <v/>
      </c>
      <c r="L949" s="31" t="str">
        <f>IFERROR(INDEX(Table!I:O,MATCH(K949,Table!I:I,0),2),"")</f>
        <v/>
      </c>
      <c r="M949" s="31" t="str">
        <f>IFERROR(INDEX(Table!I:O,MATCH(K949,Table!I:I,0),3),"")</f>
        <v/>
      </c>
      <c r="N949" s="32" t="str">
        <f>IFERROR(INDEX(Table!I:O,MATCH(K949,Table!I:I,0),4),"")</f>
        <v/>
      </c>
      <c r="O949" s="32" t="str">
        <f>IFERROR(INDEX(Table!I:O,MATCH(K949,Table!I:I,0),5),"")</f>
        <v/>
      </c>
      <c r="P949" s="32" t="str">
        <f>IFERROR(INDEX(Table!I:O,MATCH(K949,Table!I:I,0),6),"")</f>
        <v/>
      </c>
      <c r="Q949" s="89" t="str">
        <f t="shared" si="42"/>
        <v/>
      </c>
      <c r="R949" s="89" t="str">
        <f t="shared" si="43"/>
        <v/>
      </c>
      <c r="S949" s="82"/>
      <c r="U949" s="37" t="e">
        <f t="shared" si="44"/>
        <v>#VALUE!</v>
      </c>
    </row>
    <row r="950" spans="1:21" x14ac:dyDescent="0.25">
      <c r="A950" s="31" t="str">
        <f>IF(Table!A950 = "","",Table!A950)</f>
        <v/>
      </c>
      <c r="B950" s="31" t="str">
        <f>IF(Table!B950 = "","",Table!B950)</f>
        <v/>
      </c>
      <c r="C950" s="31" t="str">
        <f>IF(Table!C950 = "","",Table!C950)</f>
        <v/>
      </c>
      <c r="D950" s="32" t="str">
        <f>IF(Table!D950 = "","",Table!D950)</f>
        <v/>
      </c>
      <c r="E950" s="32" t="str">
        <f>IF(Table!E950 = "","",Table!E950)</f>
        <v/>
      </c>
      <c r="F950" s="32" t="str">
        <f>IF(Table!F950 = "","",Table!F950)</f>
        <v/>
      </c>
      <c r="G950" s="91"/>
      <c r="K950" s="31" t="str">
        <f>IFERROR(VLOOKUP(A950,Table!$I$4:$O$3000,1,TRUE),"")</f>
        <v/>
      </c>
      <c r="L950" s="31" t="str">
        <f>IFERROR(INDEX(Table!I:O,MATCH(K950,Table!I:I,0),2),"")</f>
        <v/>
      </c>
      <c r="M950" s="31" t="str">
        <f>IFERROR(INDEX(Table!I:O,MATCH(K950,Table!I:I,0),3),"")</f>
        <v/>
      </c>
      <c r="N950" s="32" t="str">
        <f>IFERROR(INDEX(Table!I:O,MATCH(K950,Table!I:I,0),4),"")</f>
        <v/>
      </c>
      <c r="O950" s="32" t="str">
        <f>IFERROR(INDEX(Table!I:O,MATCH(K950,Table!I:I,0),5),"")</f>
        <v/>
      </c>
      <c r="P950" s="32" t="str">
        <f>IFERROR(INDEX(Table!I:O,MATCH(K950,Table!I:I,0),6),"")</f>
        <v/>
      </c>
      <c r="Q950" s="89" t="str">
        <f t="shared" si="42"/>
        <v/>
      </c>
      <c r="R950" s="89" t="str">
        <f t="shared" si="43"/>
        <v/>
      </c>
      <c r="S950" s="82"/>
      <c r="U950" s="37" t="e">
        <f t="shared" si="44"/>
        <v>#VALUE!</v>
      </c>
    </row>
    <row r="951" spans="1:21" x14ac:dyDescent="0.25">
      <c r="A951" s="31" t="str">
        <f>IF(Table!A951 = "","",Table!A951)</f>
        <v/>
      </c>
      <c r="B951" s="31" t="str">
        <f>IF(Table!B951 = "","",Table!B951)</f>
        <v/>
      </c>
      <c r="C951" s="31" t="str">
        <f>IF(Table!C951 = "","",Table!C951)</f>
        <v/>
      </c>
      <c r="D951" s="32" t="str">
        <f>IF(Table!D951 = "","",Table!D951)</f>
        <v/>
      </c>
      <c r="E951" s="32" t="str">
        <f>IF(Table!E951 = "","",Table!E951)</f>
        <v/>
      </c>
      <c r="F951" s="32" t="str">
        <f>IF(Table!F951 = "","",Table!F951)</f>
        <v/>
      </c>
      <c r="G951" s="91"/>
      <c r="K951" s="31" t="str">
        <f>IFERROR(VLOOKUP(A951,Table!$I$4:$O$3000,1,TRUE),"")</f>
        <v/>
      </c>
      <c r="L951" s="31" t="str">
        <f>IFERROR(INDEX(Table!I:O,MATCH(K951,Table!I:I,0),2),"")</f>
        <v/>
      </c>
      <c r="M951" s="31" t="str">
        <f>IFERROR(INDEX(Table!I:O,MATCH(K951,Table!I:I,0),3),"")</f>
        <v/>
      </c>
      <c r="N951" s="32" t="str">
        <f>IFERROR(INDEX(Table!I:O,MATCH(K951,Table!I:I,0),4),"")</f>
        <v/>
      </c>
      <c r="O951" s="32" t="str">
        <f>IFERROR(INDEX(Table!I:O,MATCH(K951,Table!I:I,0),5),"")</f>
        <v/>
      </c>
      <c r="P951" s="32" t="str">
        <f>IFERROR(INDEX(Table!I:O,MATCH(K951,Table!I:I,0),6),"")</f>
        <v/>
      </c>
      <c r="Q951" s="89" t="str">
        <f t="shared" si="42"/>
        <v/>
      </c>
      <c r="R951" s="89" t="str">
        <f t="shared" si="43"/>
        <v/>
      </c>
      <c r="S951" s="82"/>
      <c r="U951" s="37" t="e">
        <f t="shared" si="44"/>
        <v>#VALUE!</v>
      </c>
    </row>
    <row r="952" spans="1:21" x14ac:dyDescent="0.25">
      <c r="A952" s="31" t="str">
        <f>IF(Table!A952 = "","",Table!A952)</f>
        <v/>
      </c>
      <c r="B952" s="31" t="str">
        <f>IF(Table!B952 = "","",Table!B952)</f>
        <v/>
      </c>
      <c r="C952" s="31" t="str">
        <f>IF(Table!C952 = "","",Table!C952)</f>
        <v/>
      </c>
      <c r="D952" s="32" t="str">
        <f>IF(Table!D952 = "","",Table!D952)</f>
        <v/>
      </c>
      <c r="E952" s="32" t="str">
        <f>IF(Table!E952 = "","",Table!E952)</f>
        <v/>
      </c>
      <c r="F952" s="32" t="str">
        <f>IF(Table!F952 = "","",Table!F952)</f>
        <v/>
      </c>
      <c r="G952" s="91"/>
      <c r="K952" s="31" t="str">
        <f>IFERROR(VLOOKUP(A952,Table!$I$4:$O$3000,1,TRUE),"")</f>
        <v/>
      </c>
      <c r="L952" s="31" t="str">
        <f>IFERROR(INDEX(Table!I:O,MATCH(K952,Table!I:I,0),2),"")</f>
        <v/>
      </c>
      <c r="M952" s="31" t="str">
        <f>IFERROR(INDEX(Table!I:O,MATCH(K952,Table!I:I,0),3),"")</f>
        <v/>
      </c>
      <c r="N952" s="32" t="str">
        <f>IFERROR(INDEX(Table!I:O,MATCH(K952,Table!I:I,0),4),"")</f>
        <v/>
      </c>
      <c r="O952" s="32" t="str">
        <f>IFERROR(INDEX(Table!I:O,MATCH(K952,Table!I:I,0),5),"")</f>
        <v/>
      </c>
      <c r="P952" s="32" t="str">
        <f>IFERROR(INDEX(Table!I:O,MATCH(K952,Table!I:I,0),6),"")</f>
        <v/>
      </c>
      <c r="Q952" s="89" t="str">
        <f t="shared" si="42"/>
        <v/>
      </c>
      <c r="R952" s="89" t="str">
        <f t="shared" si="43"/>
        <v/>
      </c>
      <c r="S952" s="82"/>
      <c r="U952" s="37" t="e">
        <f t="shared" si="44"/>
        <v>#VALUE!</v>
      </c>
    </row>
    <row r="953" spans="1:21" x14ac:dyDescent="0.25">
      <c r="A953" s="31" t="str">
        <f>IF(Table!A953 = "","",Table!A953)</f>
        <v/>
      </c>
      <c r="B953" s="31" t="str">
        <f>IF(Table!B953 = "","",Table!B953)</f>
        <v/>
      </c>
      <c r="C953" s="31" t="str">
        <f>IF(Table!C953 = "","",Table!C953)</f>
        <v/>
      </c>
      <c r="D953" s="32" t="str">
        <f>IF(Table!D953 = "","",Table!D953)</f>
        <v/>
      </c>
      <c r="E953" s="32" t="str">
        <f>IF(Table!E953 = "","",Table!E953)</f>
        <v/>
      </c>
      <c r="F953" s="32" t="str">
        <f>IF(Table!F953 = "","",Table!F953)</f>
        <v/>
      </c>
      <c r="G953" s="91"/>
      <c r="K953" s="31" t="str">
        <f>IFERROR(VLOOKUP(A953,Table!$I$4:$O$3000,1,TRUE),"")</f>
        <v/>
      </c>
      <c r="L953" s="31" t="str">
        <f>IFERROR(INDEX(Table!I:O,MATCH(K953,Table!I:I,0),2),"")</f>
        <v/>
      </c>
      <c r="M953" s="31" t="str">
        <f>IFERROR(INDEX(Table!I:O,MATCH(K953,Table!I:I,0),3),"")</f>
        <v/>
      </c>
      <c r="N953" s="32" t="str">
        <f>IFERROR(INDEX(Table!I:O,MATCH(K953,Table!I:I,0),4),"")</f>
        <v/>
      </c>
      <c r="O953" s="32" t="str">
        <f>IFERROR(INDEX(Table!I:O,MATCH(K953,Table!I:I,0),5),"")</f>
        <v/>
      </c>
      <c r="P953" s="32" t="str">
        <f>IFERROR(INDEX(Table!I:O,MATCH(K953,Table!I:I,0),6),"")</f>
        <v/>
      </c>
      <c r="Q953" s="89" t="str">
        <f t="shared" si="42"/>
        <v/>
      </c>
      <c r="R953" s="89" t="str">
        <f t="shared" si="43"/>
        <v/>
      </c>
      <c r="S953" s="82"/>
      <c r="U953" s="37" t="e">
        <f t="shared" si="44"/>
        <v>#VALUE!</v>
      </c>
    </row>
    <row r="954" spans="1:21" x14ac:dyDescent="0.25">
      <c r="A954" s="31" t="str">
        <f>IF(Table!A954 = "","",Table!A954)</f>
        <v/>
      </c>
      <c r="B954" s="31" t="str">
        <f>IF(Table!B954 = "","",Table!B954)</f>
        <v/>
      </c>
      <c r="C954" s="31" t="str">
        <f>IF(Table!C954 = "","",Table!C954)</f>
        <v/>
      </c>
      <c r="D954" s="32" t="str">
        <f>IF(Table!D954 = "","",Table!D954)</f>
        <v/>
      </c>
      <c r="E954" s="32" t="str">
        <f>IF(Table!E954 = "","",Table!E954)</f>
        <v/>
      </c>
      <c r="F954" s="32" t="str">
        <f>IF(Table!F954 = "","",Table!F954)</f>
        <v/>
      </c>
      <c r="G954" s="91"/>
      <c r="K954" s="31" t="str">
        <f>IFERROR(VLOOKUP(A954,Table!$I$4:$O$3000,1,TRUE),"")</f>
        <v/>
      </c>
      <c r="L954" s="31" t="str">
        <f>IFERROR(INDEX(Table!I:O,MATCH(K954,Table!I:I,0),2),"")</f>
        <v/>
      </c>
      <c r="M954" s="31" t="str">
        <f>IFERROR(INDEX(Table!I:O,MATCH(K954,Table!I:I,0),3),"")</f>
        <v/>
      </c>
      <c r="N954" s="32" t="str">
        <f>IFERROR(INDEX(Table!I:O,MATCH(K954,Table!I:I,0),4),"")</f>
        <v/>
      </c>
      <c r="O954" s="32" t="str">
        <f>IFERROR(INDEX(Table!I:O,MATCH(K954,Table!I:I,0),5),"")</f>
        <v/>
      </c>
      <c r="P954" s="32" t="str">
        <f>IFERROR(INDEX(Table!I:O,MATCH(K954,Table!I:I,0),6),"")</f>
        <v/>
      </c>
      <c r="Q954" s="89" t="str">
        <f t="shared" si="42"/>
        <v/>
      </c>
      <c r="R954" s="89" t="str">
        <f t="shared" si="43"/>
        <v/>
      </c>
      <c r="S954" s="82"/>
      <c r="U954" s="37" t="e">
        <f t="shared" si="44"/>
        <v>#VALUE!</v>
      </c>
    </row>
    <row r="955" spans="1:21" x14ac:dyDescent="0.25">
      <c r="A955" s="31" t="str">
        <f>IF(Table!A955 = "","",Table!A955)</f>
        <v/>
      </c>
      <c r="B955" s="31" t="str">
        <f>IF(Table!B955 = "","",Table!B955)</f>
        <v/>
      </c>
      <c r="C955" s="31" t="str">
        <f>IF(Table!C955 = "","",Table!C955)</f>
        <v/>
      </c>
      <c r="D955" s="32" t="str">
        <f>IF(Table!D955 = "","",Table!D955)</f>
        <v/>
      </c>
      <c r="E955" s="32" t="str">
        <f>IF(Table!E955 = "","",Table!E955)</f>
        <v/>
      </c>
      <c r="F955" s="32" t="str">
        <f>IF(Table!F955 = "","",Table!F955)</f>
        <v/>
      </c>
      <c r="G955" s="91"/>
      <c r="K955" s="31" t="str">
        <f>IFERROR(VLOOKUP(A955,Table!$I$4:$O$3000,1,TRUE),"")</f>
        <v/>
      </c>
      <c r="L955" s="31" t="str">
        <f>IFERROR(INDEX(Table!I:O,MATCH(K955,Table!I:I,0),2),"")</f>
        <v/>
      </c>
      <c r="M955" s="31" t="str">
        <f>IFERROR(INDEX(Table!I:O,MATCH(K955,Table!I:I,0),3),"")</f>
        <v/>
      </c>
      <c r="N955" s="32" t="str">
        <f>IFERROR(INDEX(Table!I:O,MATCH(K955,Table!I:I,0),4),"")</f>
        <v/>
      </c>
      <c r="O955" s="32" t="str">
        <f>IFERROR(INDEX(Table!I:O,MATCH(K955,Table!I:I,0),5),"")</f>
        <v/>
      </c>
      <c r="P955" s="32" t="str">
        <f>IFERROR(INDEX(Table!I:O,MATCH(K955,Table!I:I,0),6),"")</f>
        <v/>
      </c>
      <c r="Q955" s="89" t="str">
        <f t="shared" si="42"/>
        <v/>
      </c>
      <c r="R955" s="89" t="str">
        <f t="shared" si="43"/>
        <v/>
      </c>
      <c r="S955" s="82"/>
      <c r="U955" s="37" t="e">
        <f t="shared" si="44"/>
        <v>#VALUE!</v>
      </c>
    </row>
    <row r="956" spans="1:21" x14ac:dyDescent="0.25">
      <c r="A956" s="31" t="str">
        <f>IF(Table!A956 = "","",Table!A956)</f>
        <v/>
      </c>
      <c r="B956" s="31" t="str">
        <f>IF(Table!B956 = "","",Table!B956)</f>
        <v/>
      </c>
      <c r="C956" s="31" t="str">
        <f>IF(Table!C956 = "","",Table!C956)</f>
        <v/>
      </c>
      <c r="D956" s="32" t="str">
        <f>IF(Table!D956 = "","",Table!D956)</f>
        <v/>
      </c>
      <c r="E956" s="32" t="str">
        <f>IF(Table!E956 = "","",Table!E956)</f>
        <v/>
      </c>
      <c r="F956" s="32" t="str">
        <f>IF(Table!F956 = "","",Table!F956)</f>
        <v/>
      </c>
      <c r="G956" s="91"/>
      <c r="K956" s="31" t="str">
        <f>IFERROR(VLOOKUP(A956,Table!$I$4:$O$3000,1,TRUE),"")</f>
        <v/>
      </c>
      <c r="L956" s="31" t="str">
        <f>IFERROR(INDEX(Table!I:O,MATCH(K956,Table!I:I,0),2),"")</f>
        <v/>
      </c>
      <c r="M956" s="31" t="str">
        <f>IFERROR(INDEX(Table!I:O,MATCH(K956,Table!I:I,0),3),"")</f>
        <v/>
      </c>
      <c r="N956" s="32" t="str">
        <f>IFERROR(INDEX(Table!I:O,MATCH(K956,Table!I:I,0),4),"")</f>
        <v/>
      </c>
      <c r="O956" s="32" t="str">
        <f>IFERROR(INDEX(Table!I:O,MATCH(K956,Table!I:I,0),5),"")</f>
        <v/>
      </c>
      <c r="P956" s="32" t="str">
        <f>IFERROR(INDEX(Table!I:O,MATCH(K956,Table!I:I,0),6),"")</f>
        <v/>
      </c>
      <c r="Q956" s="89" t="str">
        <f t="shared" si="42"/>
        <v/>
      </c>
      <c r="R956" s="89" t="str">
        <f t="shared" si="43"/>
        <v/>
      </c>
      <c r="S956" s="82"/>
      <c r="U956" s="37" t="e">
        <f t="shared" si="44"/>
        <v>#VALUE!</v>
      </c>
    </row>
    <row r="957" spans="1:21" x14ac:dyDescent="0.25">
      <c r="A957" s="31" t="str">
        <f>IF(Table!A957 = "","",Table!A957)</f>
        <v/>
      </c>
      <c r="B957" s="31" t="str">
        <f>IF(Table!B957 = "","",Table!B957)</f>
        <v/>
      </c>
      <c r="C957" s="31" t="str">
        <f>IF(Table!C957 = "","",Table!C957)</f>
        <v/>
      </c>
      <c r="D957" s="32" t="str">
        <f>IF(Table!D957 = "","",Table!D957)</f>
        <v/>
      </c>
      <c r="E957" s="32" t="str">
        <f>IF(Table!E957 = "","",Table!E957)</f>
        <v/>
      </c>
      <c r="F957" s="32" t="str">
        <f>IF(Table!F957 = "","",Table!F957)</f>
        <v/>
      </c>
      <c r="G957" s="91"/>
      <c r="K957" s="31" t="str">
        <f>IFERROR(VLOOKUP(A957,Table!$I$4:$O$3000,1,TRUE),"")</f>
        <v/>
      </c>
      <c r="L957" s="31" t="str">
        <f>IFERROR(INDEX(Table!I:O,MATCH(K957,Table!I:I,0),2),"")</f>
        <v/>
      </c>
      <c r="M957" s="31" t="str">
        <f>IFERROR(INDEX(Table!I:O,MATCH(K957,Table!I:I,0),3),"")</f>
        <v/>
      </c>
      <c r="N957" s="32" t="str">
        <f>IFERROR(INDEX(Table!I:O,MATCH(K957,Table!I:I,0),4),"")</f>
        <v/>
      </c>
      <c r="O957" s="32" t="str">
        <f>IFERROR(INDEX(Table!I:O,MATCH(K957,Table!I:I,0),5),"")</f>
        <v/>
      </c>
      <c r="P957" s="32" t="str">
        <f>IFERROR(INDEX(Table!I:O,MATCH(K957,Table!I:I,0),6),"")</f>
        <v/>
      </c>
      <c r="Q957" s="89" t="str">
        <f t="shared" si="42"/>
        <v/>
      </c>
      <c r="R957" s="89" t="str">
        <f t="shared" si="43"/>
        <v/>
      </c>
      <c r="S957" s="82"/>
      <c r="U957" s="37" t="e">
        <f t="shared" si="44"/>
        <v>#VALUE!</v>
      </c>
    </row>
    <row r="958" spans="1:21" x14ac:dyDescent="0.25">
      <c r="A958" s="31" t="str">
        <f>IF(Table!A958 = "","",Table!A958)</f>
        <v/>
      </c>
      <c r="B958" s="31" t="str">
        <f>IF(Table!B958 = "","",Table!B958)</f>
        <v/>
      </c>
      <c r="C958" s="31" t="str">
        <f>IF(Table!C958 = "","",Table!C958)</f>
        <v/>
      </c>
      <c r="D958" s="32" t="str">
        <f>IF(Table!D958 = "","",Table!D958)</f>
        <v/>
      </c>
      <c r="E958" s="32" t="str">
        <f>IF(Table!E958 = "","",Table!E958)</f>
        <v/>
      </c>
      <c r="F958" s="32" t="str">
        <f>IF(Table!F958 = "","",Table!F958)</f>
        <v/>
      </c>
      <c r="G958" s="91"/>
      <c r="K958" s="31" t="str">
        <f>IFERROR(VLOOKUP(A958,Table!$I$4:$O$3000,1,TRUE),"")</f>
        <v/>
      </c>
      <c r="L958" s="31" t="str">
        <f>IFERROR(INDEX(Table!I:O,MATCH(K958,Table!I:I,0),2),"")</f>
        <v/>
      </c>
      <c r="M958" s="31" t="str">
        <f>IFERROR(INDEX(Table!I:O,MATCH(K958,Table!I:I,0),3),"")</f>
        <v/>
      </c>
      <c r="N958" s="32" t="str">
        <f>IFERROR(INDEX(Table!I:O,MATCH(K958,Table!I:I,0),4),"")</f>
        <v/>
      </c>
      <c r="O958" s="32" t="str">
        <f>IFERROR(INDEX(Table!I:O,MATCH(K958,Table!I:I,0),5),"")</f>
        <v/>
      </c>
      <c r="P958" s="32" t="str">
        <f>IFERROR(INDEX(Table!I:O,MATCH(K958,Table!I:I,0),6),"")</f>
        <v/>
      </c>
      <c r="Q958" s="89" t="str">
        <f t="shared" si="42"/>
        <v/>
      </c>
      <c r="R958" s="89" t="str">
        <f t="shared" si="43"/>
        <v/>
      </c>
      <c r="S958" s="82"/>
      <c r="U958" s="37" t="e">
        <f t="shared" si="44"/>
        <v>#VALUE!</v>
      </c>
    </row>
    <row r="959" spans="1:21" x14ac:dyDescent="0.25">
      <c r="A959" s="31" t="str">
        <f>IF(Table!A959 = "","",Table!A959)</f>
        <v/>
      </c>
      <c r="B959" s="31" t="str">
        <f>IF(Table!B959 = "","",Table!B959)</f>
        <v/>
      </c>
      <c r="C959" s="31" t="str">
        <f>IF(Table!C959 = "","",Table!C959)</f>
        <v/>
      </c>
      <c r="D959" s="32" t="str">
        <f>IF(Table!D959 = "","",Table!D959)</f>
        <v/>
      </c>
      <c r="E959" s="32" t="str">
        <f>IF(Table!E959 = "","",Table!E959)</f>
        <v/>
      </c>
      <c r="F959" s="32" t="str">
        <f>IF(Table!F959 = "","",Table!F959)</f>
        <v/>
      </c>
      <c r="G959" s="91"/>
      <c r="K959" s="31" t="str">
        <f>IFERROR(VLOOKUP(A959,Table!$I$4:$O$3000,1,TRUE),"")</f>
        <v/>
      </c>
      <c r="L959" s="31" t="str">
        <f>IFERROR(INDEX(Table!I:O,MATCH(K959,Table!I:I,0),2),"")</f>
        <v/>
      </c>
      <c r="M959" s="31" t="str">
        <f>IFERROR(INDEX(Table!I:O,MATCH(K959,Table!I:I,0),3),"")</f>
        <v/>
      </c>
      <c r="N959" s="32" t="str">
        <f>IFERROR(INDEX(Table!I:O,MATCH(K959,Table!I:I,0),4),"")</f>
        <v/>
      </c>
      <c r="O959" s="32" t="str">
        <f>IFERROR(INDEX(Table!I:O,MATCH(K959,Table!I:I,0),5),"")</f>
        <v/>
      </c>
      <c r="P959" s="32" t="str">
        <f>IFERROR(INDEX(Table!I:O,MATCH(K959,Table!I:I,0),6),"")</f>
        <v/>
      </c>
      <c r="Q959" s="89" t="str">
        <f t="shared" si="42"/>
        <v/>
      </c>
      <c r="R959" s="89" t="str">
        <f t="shared" si="43"/>
        <v/>
      </c>
      <c r="S959" s="82"/>
      <c r="U959" s="37" t="e">
        <f t="shared" si="44"/>
        <v>#VALUE!</v>
      </c>
    </row>
    <row r="960" spans="1:21" x14ac:dyDescent="0.25">
      <c r="A960" s="31" t="str">
        <f>IF(Table!A960 = "","",Table!A960)</f>
        <v/>
      </c>
      <c r="B960" s="31" t="str">
        <f>IF(Table!B960 = "","",Table!B960)</f>
        <v/>
      </c>
      <c r="C960" s="31" t="str">
        <f>IF(Table!C960 = "","",Table!C960)</f>
        <v/>
      </c>
      <c r="D960" s="32" t="str">
        <f>IF(Table!D960 = "","",Table!D960)</f>
        <v/>
      </c>
      <c r="E960" s="32" t="str">
        <f>IF(Table!E960 = "","",Table!E960)</f>
        <v/>
      </c>
      <c r="F960" s="32" t="str">
        <f>IF(Table!F960 = "","",Table!F960)</f>
        <v/>
      </c>
      <c r="G960" s="91"/>
      <c r="K960" s="31" t="str">
        <f>IFERROR(VLOOKUP(A960,Table!$I$4:$O$3000,1,TRUE),"")</f>
        <v/>
      </c>
      <c r="L960" s="31" t="str">
        <f>IFERROR(INDEX(Table!I:O,MATCH(K960,Table!I:I,0),2),"")</f>
        <v/>
      </c>
      <c r="M960" s="31" t="str">
        <f>IFERROR(INDEX(Table!I:O,MATCH(K960,Table!I:I,0),3),"")</f>
        <v/>
      </c>
      <c r="N960" s="32" t="str">
        <f>IFERROR(INDEX(Table!I:O,MATCH(K960,Table!I:I,0),4),"")</f>
        <v/>
      </c>
      <c r="O960" s="32" t="str">
        <f>IFERROR(INDEX(Table!I:O,MATCH(K960,Table!I:I,0),5),"")</f>
        <v/>
      </c>
      <c r="P960" s="32" t="str">
        <f>IFERROR(INDEX(Table!I:O,MATCH(K960,Table!I:I,0),6),"")</f>
        <v/>
      </c>
      <c r="Q960" s="89" t="str">
        <f t="shared" si="42"/>
        <v/>
      </c>
      <c r="R960" s="89" t="str">
        <f t="shared" si="43"/>
        <v/>
      </c>
      <c r="S960" s="82"/>
      <c r="U960" s="37" t="e">
        <f t="shared" si="44"/>
        <v>#VALUE!</v>
      </c>
    </row>
    <row r="961" spans="1:21" x14ac:dyDescent="0.25">
      <c r="A961" s="31" t="str">
        <f>IF(Table!A961 = "","",Table!A961)</f>
        <v/>
      </c>
      <c r="B961" s="31" t="str">
        <f>IF(Table!B961 = "","",Table!B961)</f>
        <v/>
      </c>
      <c r="C961" s="31" t="str">
        <f>IF(Table!C961 = "","",Table!C961)</f>
        <v/>
      </c>
      <c r="D961" s="32" t="str">
        <f>IF(Table!D961 = "","",Table!D961)</f>
        <v/>
      </c>
      <c r="E961" s="32" t="str">
        <f>IF(Table!E961 = "","",Table!E961)</f>
        <v/>
      </c>
      <c r="F961" s="32" t="str">
        <f>IF(Table!F961 = "","",Table!F961)</f>
        <v/>
      </c>
      <c r="G961" s="91"/>
      <c r="K961" s="31" t="str">
        <f>IFERROR(VLOOKUP(A961,Table!$I$4:$O$3000,1,TRUE),"")</f>
        <v/>
      </c>
      <c r="L961" s="31" t="str">
        <f>IFERROR(INDEX(Table!I:O,MATCH(K961,Table!I:I,0),2),"")</f>
        <v/>
      </c>
      <c r="M961" s="31" t="str">
        <f>IFERROR(INDEX(Table!I:O,MATCH(K961,Table!I:I,0),3),"")</f>
        <v/>
      </c>
      <c r="N961" s="32" t="str">
        <f>IFERROR(INDEX(Table!I:O,MATCH(K961,Table!I:I,0),4),"")</f>
        <v/>
      </c>
      <c r="O961" s="32" t="str">
        <f>IFERROR(INDEX(Table!I:O,MATCH(K961,Table!I:I,0),5),"")</f>
        <v/>
      </c>
      <c r="P961" s="32" t="str">
        <f>IFERROR(INDEX(Table!I:O,MATCH(K961,Table!I:I,0),6),"")</f>
        <v/>
      </c>
      <c r="Q961" s="89" t="str">
        <f t="shared" si="42"/>
        <v/>
      </c>
      <c r="R961" s="89" t="str">
        <f t="shared" si="43"/>
        <v/>
      </c>
      <c r="S961" s="82"/>
      <c r="U961" s="37" t="e">
        <f t="shared" si="44"/>
        <v>#VALUE!</v>
      </c>
    </row>
    <row r="962" spans="1:21" x14ac:dyDescent="0.25">
      <c r="A962" s="31" t="str">
        <f>IF(Table!A962 = "","",Table!A962)</f>
        <v/>
      </c>
      <c r="B962" s="31" t="str">
        <f>IF(Table!B962 = "","",Table!B962)</f>
        <v/>
      </c>
      <c r="C962" s="31" t="str">
        <f>IF(Table!C962 = "","",Table!C962)</f>
        <v/>
      </c>
      <c r="D962" s="32" t="str">
        <f>IF(Table!D962 = "","",Table!D962)</f>
        <v/>
      </c>
      <c r="E962" s="32" t="str">
        <f>IF(Table!E962 = "","",Table!E962)</f>
        <v/>
      </c>
      <c r="F962" s="32" t="str">
        <f>IF(Table!F962 = "","",Table!F962)</f>
        <v/>
      </c>
      <c r="G962" s="91"/>
      <c r="K962" s="31" t="str">
        <f>IFERROR(VLOOKUP(A962,Table!$I$4:$O$3000,1,TRUE),"")</f>
        <v/>
      </c>
      <c r="L962" s="31" t="str">
        <f>IFERROR(INDEX(Table!I:O,MATCH(K962,Table!I:I,0),2),"")</f>
        <v/>
      </c>
      <c r="M962" s="31" t="str">
        <f>IFERROR(INDEX(Table!I:O,MATCH(K962,Table!I:I,0),3),"")</f>
        <v/>
      </c>
      <c r="N962" s="32" t="str">
        <f>IFERROR(INDEX(Table!I:O,MATCH(K962,Table!I:I,0),4),"")</f>
        <v/>
      </c>
      <c r="O962" s="32" t="str">
        <f>IFERROR(INDEX(Table!I:O,MATCH(K962,Table!I:I,0),5),"")</f>
        <v/>
      </c>
      <c r="P962" s="32" t="str">
        <f>IFERROR(INDEX(Table!I:O,MATCH(K962,Table!I:I,0),6),"")</f>
        <v/>
      </c>
      <c r="Q962" s="89" t="str">
        <f t="shared" si="42"/>
        <v/>
      </c>
      <c r="R962" s="89" t="str">
        <f t="shared" si="43"/>
        <v/>
      </c>
      <c r="S962" s="82"/>
      <c r="U962" s="37" t="e">
        <f t="shared" si="44"/>
        <v>#VALUE!</v>
      </c>
    </row>
    <row r="963" spans="1:21" x14ac:dyDescent="0.25">
      <c r="A963" s="31" t="str">
        <f>IF(Table!A963 = "","",Table!A963)</f>
        <v/>
      </c>
      <c r="B963" s="31" t="str">
        <f>IF(Table!B963 = "","",Table!B963)</f>
        <v/>
      </c>
      <c r="C963" s="31" t="str">
        <f>IF(Table!C963 = "","",Table!C963)</f>
        <v/>
      </c>
      <c r="D963" s="32" t="str">
        <f>IF(Table!D963 = "","",Table!D963)</f>
        <v/>
      </c>
      <c r="E963" s="32" t="str">
        <f>IF(Table!E963 = "","",Table!E963)</f>
        <v/>
      </c>
      <c r="F963" s="32" t="str">
        <f>IF(Table!F963 = "","",Table!F963)</f>
        <v/>
      </c>
      <c r="G963" s="91"/>
      <c r="K963" s="31" t="str">
        <f>IFERROR(VLOOKUP(A963,Table!$I$4:$O$3000,1,TRUE),"")</f>
        <v/>
      </c>
      <c r="L963" s="31" t="str">
        <f>IFERROR(INDEX(Table!I:O,MATCH(K963,Table!I:I,0),2),"")</f>
        <v/>
      </c>
      <c r="M963" s="31" t="str">
        <f>IFERROR(INDEX(Table!I:O,MATCH(K963,Table!I:I,0),3),"")</f>
        <v/>
      </c>
      <c r="N963" s="32" t="str">
        <f>IFERROR(INDEX(Table!I:O,MATCH(K963,Table!I:I,0),4),"")</f>
        <v/>
      </c>
      <c r="O963" s="32" t="str">
        <f>IFERROR(INDEX(Table!I:O,MATCH(K963,Table!I:I,0),5),"")</f>
        <v/>
      </c>
      <c r="P963" s="32" t="str">
        <f>IFERROR(INDEX(Table!I:O,MATCH(K963,Table!I:I,0),6),"")</f>
        <v/>
      </c>
      <c r="Q963" s="89" t="str">
        <f t="shared" si="42"/>
        <v/>
      </c>
      <c r="R963" s="89" t="str">
        <f t="shared" si="43"/>
        <v/>
      </c>
      <c r="S963" s="82"/>
      <c r="U963" s="37" t="e">
        <f t="shared" si="44"/>
        <v>#VALUE!</v>
      </c>
    </row>
    <row r="964" spans="1:21" x14ac:dyDescent="0.25">
      <c r="A964" s="31" t="str">
        <f>IF(Table!A964 = "","",Table!A964)</f>
        <v/>
      </c>
      <c r="B964" s="31" t="str">
        <f>IF(Table!B964 = "","",Table!B964)</f>
        <v/>
      </c>
      <c r="C964" s="31" t="str">
        <f>IF(Table!C964 = "","",Table!C964)</f>
        <v/>
      </c>
      <c r="D964" s="32" t="str">
        <f>IF(Table!D964 = "","",Table!D964)</f>
        <v/>
      </c>
      <c r="E964" s="32" t="str">
        <f>IF(Table!E964 = "","",Table!E964)</f>
        <v/>
      </c>
      <c r="F964" s="32" t="str">
        <f>IF(Table!F964 = "","",Table!F964)</f>
        <v/>
      </c>
      <c r="G964" s="91"/>
      <c r="K964" s="31" t="str">
        <f>IFERROR(VLOOKUP(A964,Table!$I$4:$O$3000,1,TRUE),"")</f>
        <v/>
      </c>
      <c r="L964" s="31" t="str">
        <f>IFERROR(INDEX(Table!I:O,MATCH(K964,Table!I:I,0),2),"")</f>
        <v/>
      </c>
      <c r="M964" s="31" t="str">
        <f>IFERROR(INDEX(Table!I:O,MATCH(K964,Table!I:I,0),3),"")</f>
        <v/>
      </c>
      <c r="N964" s="32" t="str">
        <f>IFERROR(INDEX(Table!I:O,MATCH(K964,Table!I:I,0),4),"")</f>
        <v/>
      </c>
      <c r="O964" s="32" t="str">
        <f>IFERROR(INDEX(Table!I:O,MATCH(K964,Table!I:I,0),5),"")</f>
        <v/>
      </c>
      <c r="P964" s="32" t="str">
        <f>IFERROR(INDEX(Table!I:O,MATCH(K964,Table!I:I,0),6),"")</f>
        <v/>
      </c>
      <c r="Q964" s="89" t="str">
        <f t="shared" si="42"/>
        <v/>
      </c>
      <c r="R964" s="89" t="str">
        <f t="shared" si="43"/>
        <v/>
      </c>
      <c r="S964" s="82"/>
      <c r="U964" s="37" t="e">
        <f t="shared" si="44"/>
        <v>#VALUE!</v>
      </c>
    </row>
    <row r="965" spans="1:21" x14ac:dyDescent="0.25">
      <c r="A965" s="31" t="str">
        <f>IF(Table!A965 = "","",Table!A965)</f>
        <v/>
      </c>
      <c r="B965" s="31" t="str">
        <f>IF(Table!B965 = "","",Table!B965)</f>
        <v/>
      </c>
      <c r="C965" s="31" t="str">
        <f>IF(Table!C965 = "","",Table!C965)</f>
        <v/>
      </c>
      <c r="D965" s="32" t="str">
        <f>IF(Table!D965 = "","",Table!D965)</f>
        <v/>
      </c>
      <c r="E965" s="32" t="str">
        <f>IF(Table!E965 = "","",Table!E965)</f>
        <v/>
      </c>
      <c r="F965" s="32" t="str">
        <f>IF(Table!F965 = "","",Table!F965)</f>
        <v/>
      </c>
      <c r="G965" s="91"/>
      <c r="K965" s="31" t="str">
        <f>IFERROR(VLOOKUP(A965,Table!$I$4:$O$3000,1,TRUE),"")</f>
        <v/>
      </c>
      <c r="L965" s="31" t="str">
        <f>IFERROR(INDEX(Table!I:O,MATCH(K965,Table!I:I,0),2),"")</f>
        <v/>
      </c>
      <c r="M965" s="31" t="str">
        <f>IFERROR(INDEX(Table!I:O,MATCH(K965,Table!I:I,0),3),"")</f>
        <v/>
      </c>
      <c r="N965" s="32" t="str">
        <f>IFERROR(INDEX(Table!I:O,MATCH(K965,Table!I:I,0),4),"")</f>
        <v/>
      </c>
      <c r="O965" s="32" t="str">
        <f>IFERROR(INDEX(Table!I:O,MATCH(K965,Table!I:I,0),5),"")</f>
        <v/>
      </c>
      <c r="P965" s="32" t="str">
        <f>IFERROR(INDEX(Table!I:O,MATCH(K965,Table!I:I,0),6),"")</f>
        <v/>
      </c>
      <c r="Q965" s="89" t="str">
        <f t="shared" si="42"/>
        <v/>
      </c>
      <c r="R965" s="89" t="str">
        <f t="shared" si="43"/>
        <v/>
      </c>
      <c r="S965" s="82"/>
      <c r="U965" s="37" t="e">
        <f t="shared" si="44"/>
        <v>#VALUE!</v>
      </c>
    </row>
    <row r="966" spans="1:21" x14ac:dyDescent="0.25">
      <c r="A966" s="31" t="str">
        <f>IF(Table!A966 = "","",Table!A966)</f>
        <v/>
      </c>
      <c r="B966" s="31" t="str">
        <f>IF(Table!B966 = "","",Table!B966)</f>
        <v/>
      </c>
      <c r="C966" s="31" t="str">
        <f>IF(Table!C966 = "","",Table!C966)</f>
        <v/>
      </c>
      <c r="D966" s="32" t="str">
        <f>IF(Table!D966 = "","",Table!D966)</f>
        <v/>
      </c>
      <c r="E966" s="32" t="str">
        <f>IF(Table!E966 = "","",Table!E966)</f>
        <v/>
      </c>
      <c r="F966" s="32" t="str">
        <f>IF(Table!F966 = "","",Table!F966)</f>
        <v/>
      </c>
      <c r="G966" s="91"/>
      <c r="K966" s="31" t="str">
        <f>IFERROR(VLOOKUP(A966,Table!$I$4:$O$3000,1,TRUE),"")</f>
        <v/>
      </c>
      <c r="L966" s="31" t="str">
        <f>IFERROR(INDEX(Table!I:O,MATCH(K966,Table!I:I,0),2),"")</f>
        <v/>
      </c>
      <c r="M966" s="31" t="str">
        <f>IFERROR(INDEX(Table!I:O,MATCH(K966,Table!I:I,0),3),"")</f>
        <v/>
      </c>
      <c r="N966" s="32" t="str">
        <f>IFERROR(INDEX(Table!I:O,MATCH(K966,Table!I:I,0),4),"")</f>
        <v/>
      </c>
      <c r="O966" s="32" t="str">
        <f>IFERROR(INDEX(Table!I:O,MATCH(K966,Table!I:I,0),5),"")</f>
        <v/>
      </c>
      <c r="P966" s="32" t="str">
        <f>IFERROR(INDEX(Table!I:O,MATCH(K966,Table!I:I,0),6),"")</f>
        <v/>
      </c>
      <c r="Q966" s="89" t="str">
        <f t="shared" ref="Q966:Q1029" si="45">IFERROR(L966-B966,"")</f>
        <v/>
      </c>
      <c r="R966" s="89" t="str">
        <f t="shared" ref="R966:R1029" si="46">IFERROR(M966-C966,"")</f>
        <v/>
      </c>
      <c r="S966" s="82"/>
      <c r="U966" s="37" t="e">
        <f t="shared" ref="U966:U1029" si="47">K966-K965</f>
        <v>#VALUE!</v>
      </c>
    </row>
    <row r="967" spans="1:21" x14ac:dyDescent="0.25">
      <c r="A967" s="31" t="str">
        <f>IF(Table!A967 = "","",Table!A967)</f>
        <v/>
      </c>
      <c r="B967" s="31" t="str">
        <f>IF(Table!B967 = "","",Table!B967)</f>
        <v/>
      </c>
      <c r="C967" s="31" t="str">
        <f>IF(Table!C967 = "","",Table!C967)</f>
        <v/>
      </c>
      <c r="D967" s="32" t="str">
        <f>IF(Table!D967 = "","",Table!D967)</f>
        <v/>
      </c>
      <c r="E967" s="32" t="str">
        <f>IF(Table!E967 = "","",Table!E967)</f>
        <v/>
      </c>
      <c r="F967" s="32" t="str">
        <f>IF(Table!F967 = "","",Table!F967)</f>
        <v/>
      </c>
      <c r="G967" s="91"/>
      <c r="K967" s="31" t="str">
        <f>IFERROR(VLOOKUP(A967,Table!$I$4:$O$3000,1,TRUE),"")</f>
        <v/>
      </c>
      <c r="L967" s="31" t="str">
        <f>IFERROR(INDEX(Table!I:O,MATCH(K967,Table!I:I,0),2),"")</f>
        <v/>
      </c>
      <c r="M967" s="31" t="str">
        <f>IFERROR(INDEX(Table!I:O,MATCH(K967,Table!I:I,0),3),"")</f>
        <v/>
      </c>
      <c r="N967" s="32" t="str">
        <f>IFERROR(INDEX(Table!I:O,MATCH(K967,Table!I:I,0),4),"")</f>
        <v/>
      </c>
      <c r="O967" s="32" t="str">
        <f>IFERROR(INDEX(Table!I:O,MATCH(K967,Table!I:I,0),5),"")</f>
        <v/>
      </c>
      <c r="P967" s="32" t="str">
        <f>IFERROR(INDEX(Table!I:O,MATCH(K967,Table!I:I,0),6),"")</f>
        <v/>
      </c>
      <c r="Q967" s="89" t="str">
        <f t="shared" si="45"/>
        <v/>
      </c>
      <c r="R967" s="89" t="str">
        <f t="shared" si="46"/>
        <v/>
      </c>
      <c r="S967" s="82"/>
      <c r="U967" s="37" t="e">
        <f t="shared" si="47"/>
        <v>#VALUE!</v>
      </c>
    </row>
    <row r="968" spans="1:21" x14ac:dyDescent="0.25">
      <c r="A968" s="31" t="str">
        <f>IF(Table!A968 = "","",Table!A968)</f>
        <v/>
      </c>
      <c r="B968" s="31" t="str">
        <f>IF(Table!B968 = "","",Table!B968)</f>
        <v/>
      </c>
      <c r="C968" s="31" t="str">
        <f>IF(Table!C968 = "","",Table!C968)</f>
        <v/>
      </c>
      <c r="D968" s="32" t="str">
        <f>IF(Table!D968 = "","",Table!D968)</f>
        <v/>
      </c>
      <c r="E968" s="32" t="str">
        <f>IF(Table!E968 = "","",Table!E968)</f>
        <v/>
      </c>
      <c r="F968" s="32" t="str">
        <f>IF(Table!F968 = "","",Table!F968)</f>
        <v/>
      </c>
      <c r="G968" s="91"/>
      <c r="K968" s="31" t="str">
        <f>IFERROR(VLOOKUP(A968,Table!$I$4:$O$3000,1,TRUE),"")</f>
        <v/>
      </c>
      <c r="L968" s="31" t="str">
        <f>IFERROR(INDEX(Table!I:O,MATCH(K968,Table!I:I,0),2),"")</f>
        <v/>
      </c>
      <c r="M968" s="31" t="str">
        <f>IFERROR(INDEX(Table!I:O,MATCH(K968,Table!I:I,0),3),"")</f>
        <v/>
      </c>
      <c r="N968" s="32" t="str">
        <f>IFERROR(INDEX(Table!I:O,MATCH(K968,Table!I:I,0),4),"")</f>
        <v/>
      </c>
      <c r="O968" s="32" t="str">
        <f>IFERROR(INDEX(Table!I:O,MATCH(K968,Table!I:I,0),5),"")</f>
        <v/>
      </c>
      <c r="P968" s="32" t="str">
        <f>IFERROR(INDEX(Table!I:O,MATCH(K968,Table!I:I,0),6),"")</f>
        <v/>
      </c>
      <c r="Q968" s="89" t="str">
        <f t="shared" si="45"/>
        <v/>
      </c>
      <c r="R968" s="89" t="str">
        <f t="shared" si="46"/>
        <v/>
      </c>
      <c r="S968" s="82"/>
      <c r="U968" s="37" t="e">
        <f t="shared" si="47"/>
        <v>#VALUE!</v>
      </c>
    </row>
    <row r="969" spans="1:21" x14ac:dyDescent="0.25">
      <c r="A969" s="31" t="str">
        <f>IF(Table!A969 = "","",Table!A969)</f>
        <v/>
      </c>
      <c r="B969" s="31" t="str">
        <f>IF(Table!B969 = "","",Table!B969)</f>
        <v/>
      </c>
      <c r="C969" s="31" t="str">
        <f>IF(Table!C969 = "","",Table!C969)</f>
        <v/>
      </c>
      <c r="D969" s="32" t="str">
        <f>IF(Table!D969 = "","",Table!D969)</f>
        <v/>
      </c>
      <c r="E969" s="32" t="str">
        <f>IF(Table!E969 = "","",Table!E969)</f>
        <v/>
      </c>
      <c r="F969" s="32" t="str">
        <f>IF(Table!F969 = "","",Table!F969)</f>
        <v/>
      </c>
      <c r="G969" s="91"/>
      <c r="K969" s="31" t="str">
        <f>IFERROR(VLOOKUP(A969,Table!$I$4:$O$3000,1,TRUE),"")</f>
        <v/>
      </c>
      <c r="L969" s="31" t="str">
        <f>IFERROR(INDEX(Table!I:O,MATCH(K969,Table!I:I,0),2),"")</f>
        <v/>
      </c>
      <c r="M969" s="31" t="str">
        <f>IFERROR(INDEX(Table!I:O,MATCH(K969,Table!I:I,0),3),"")</f>
        <v/>
      </c>
      <c r="N969" s="32" t="str">
        <f>IFERROR(INDEX(Table!I:O,MATCH(K969,Table!I:I,0),4),"")</f>
        <v/>
      </c>
      <c r="O969" s="32" t="str">
        <f>IFERROR(INDEX(Table!I:O,MATCH(K969,Table!I:I,0),5),"")</f>
        <v/>
      </c>
      <c r="P969" s="32" t="str">
        <f>IFERROR(INDEX(Table!I:O,MATCH(K969,Table!I:I,0),6),"")</f>
        <v/>
      </c>
      <c r="Q969" s="89" t="str">
        <f t="shared" si="45"/>
        <v/>
      </c>
      <c r="R969" s="89" t="str">
        <f t="shared" si="46"/>
        <v/>
      </c>
      <c r="S969" s="82"/>
      <c r="U969" s="37" t="e">
        <f t="shared" si="47"/>
        <v>#VALUE!</v>
      </c>
    </row>
    <row r="970" spans="1:21" x14ac:dyDescent="0.25">
      <c r="A970" s="31" t="str">
        <f>IF(Table!A970 = "","",Table!A970)</f>
        <v/>
      </c>
      <c r="B970" s="31" t="str">
        <f>IF(Table!B970 = "","",Table!B970)</f>
        <v/>
      </c>
      <c r="C970" s="31" t="str">
        <f>IF(Table!C970 = "","",Table!C970)</f>
        <v/>
      </c>
      <c r="D970" s="32" t="str">
        <f>IF(Table!D970 = "","",Table!D970)</f>
        <v/>
      </c>
      <c r="E970" s="32" t="str">
        <f>IF(Table!E970 = "","",Table!E970)</f>
        <v/>
      </c>
      <c r="F970" s="32" t="str">
        <f>IF(Table!F970 = "","",Table!F970)</f>
        <v/>
      </c>
      <c r="G970" s="91"/>
      <c r="K970" s="31" t="str">
        <f>IFERROR(VLOOKUP(A970,Table!$I$4:$O$3000,1,TRUE),"")</f>
        <v/>
      </c>
      <c r="L970" s="31" t="str">
        <f>IFERROR(INDEX(Table!I:O,MATCH(K970,Table!I:I,0),2),"")</f>
        <v/>
      </c>
      <c r="M970" s="31" t="str">
        <f>IFERROR(INDEX(Table!I:O,MATCH(K970,Table!I:I,0),3),"")</f>
        <v/>
      </c>
      <c r="N970" s="32" t="str">
        <f>IFERROR(INDEX(Table!I:O,MATCH(K970,Table!I:I,0),4),"")</f>
        <v/>
      </c>
      <c r="O970" s="32" t="str">
        <f>IFERROR(INDEX(Table!I:O,MATCH(K970,Table!I:I,0),5),"")</f>
        <v/>
      </c>
      <c r="P970" s="32" t="str">
        <f>IFERROR(INDEX(Table!I:O,MATCH(K970,Table!I:I,0),6),"")</f>
        <v/>
      </c>
      <c r="Q970" s="89" t="str">
        <f t="shared" si="45"/>
        <v/>
      </c>
      <c r="R970" s="89" t="str">
        <f t="shared" si="46"/>
        <v/>
      </c>
      <c r="S970" s="82"/>
      <c r="U970" s="37" t="e">
        <f t="shared" si="47"/>
        <v>#VALUE!</v>
      </c>
    </row>
    <row r="971" spans="1:21" x14ac:dyDescent="0.25">
      <c r="A971" s="31" t="str">
        <f>IF(Table!A971 = "","",Table!A971)</f>
        <v/>
      </c>
      <c r="B971" s="31" t="str">
        <f>IF(Table!B971 = "","",Table!B971)</f>
        <v/>
      </c>
      <c r="C971" s="31" t="str">
        <f>IF(Table!C971 = "","",Table!C971)</f>
        <v/>
      </c>
      <c r="D971" s="32" t="str">
        <f>IF(Table!D971 = "","",Table!D971)</f>
        <v/>
      </c>
      <c r="E971" s="32" t="str">
        <f>IF(Table!E971 = "","",Table!E971)</f>
        <v/>
      </c>
      <c r="F971" s="32" t="str">
        <f>IF(Table!F971 = "","",Table!F971)</f>
        <v/>
      </c>
      <c r="G971" s="91"/>
      <c r="K971" s="31" t="str">
        <f>IFERROR(VLOOKUP(A971,Table!$I$4:$O$3000,1,TRUE),"")</f>
        <v/>
      </c>
      <c r="L971" s="31" t="str">
        <f>IFERROR(INDEX(Table!I:O,MATCH(K971,Table!I:I,0),2),"")</f>
        <v/>
      </c>
      <c r="M971" s="31" t="str">
        <f>IFERROR(INDEX(Table!I:O,MATCH(K971,Table!I:I,0),3),"")</f>
        <v/>
      </c>
      <c r="N971" s="32" t="str">
        <f>IFERROR(INDEX(Table!I:O,MATCH(K971,Table!I:I,0),4),"")</f>
        <v/>
      </c>
      <c r="O971" s="32" t="str">
        <f>IFERROR(INDEX(Table!I:O,MATCH(K971,Table!I:I,0),5),"")</f>
        <v/>
      </c>
      <c r="P971" s="32" t="str">
        <f>IFERROR(INDEX(Table!I:O,MATCH(K971,Table!I:I,0),6),"")</f>
        <v/>
      </c>
      <c r="Q971" s="89" t="str">
        <f t="shared" si="45"/>
        <v/>
      </c>
      <c r="R971" s="89" t="str">
        <f t="shared" si="46"/>
        <v/>
      </c>
      <c r="S971" s="82"/>
      <c r="U971" s="37" t="e">
        <f t="shared" si="47"/>
        <v>#VALUE!</v>
      </c>
    </row>
    <row r="972" spans="1:21" x14ac:dyDescent="0.25">
      <c r="A972" s="31" t="str">
        <f>IF(Table!A972 = "","",Table!A972)</f>
        <v/>
      </c>
      <c r="B972" s="31" t="str">
        <f>IF(Table!B972 = "","",Table!B972)</f>
        <v/>
      </c>
      <c r="C972" s="31" t="str">
        <f>IF(Table!C972 = "","",Table!C972)</f>
        <v/>
      </c>
      <c r="D972" s="32" t="str">
        <f>IF(Table!D972 = "","",Table!D972)</f>
        <v/>
      </c>
      <c r="E972" s="32" t="str">
        <f>IF(Table!E972 = "","",Table!E972)</f>
        <v/>
      </c>
      <c r="F972" s="32" t="str">
        <f>IF(Table!F972 = "","",Table!F972)</f>
        <v/>
      </c>
      <c r="G972" s="91"/>
      <c r="K972" s="31" t="str">
        <f>IFERROR(VLOOKUP(A972,Table!$I$4:$O$3000,1,TRUE),"")</f>
        <v/>
      </c>
      <c r="L972" s="31" t="str">
        <f>IFERROR(INDEX(Table!I:O,MATCH(K972,Table!I:I,0),2),"")</f>
        <v/>
      </c>
      <c r="M972" s="31" t="str">
        <f>IFERROR(INDEX(Table!I:O,MATCH(K972,Table!I:I,0),3),"")</f>
        <v/>
      </c>
      <c r="N972" s="32" t="str">
        <f>IFERROR(INDEX(Table!I:O,MATCH(K972,Table!I:I,0),4),"")</f>
        <v/>
      </c>
      <c r="O972" s="32" t="str">
        <f>IFERROR(INDEX(Table!I:O,MATCH(K972,Table!I:I,0),5),"")</f>
        <v/>
      </c>
      <c r="P972" s="32" t="str">
        <f>IFERROR(INDEX(Table!I:O,MATCH(K972,Table!I:I,0),6),"")</f>
        <v/>
      </c>
      <c r="Q972" s="89" t="str">
        <f t="shared" si="45"/>
        <v/>
      </c>
      <c r="R972" s="89" t="str">
        <f t="shared" si="46"/>
        <v/>
      </c>
      <c r="S972" s="82"/>
      <c r="U972" s="37" t="e">
        <f t="shared" si="47"/>
        <v>#VALUE!</v>
      </c>
    </row>
    <row r="973" spans="1:21" x14ac:dyDescent="0.25">
      <c r="A973" s="31" t="str">
        <f>IF(Table!A973 = "","",Table!A973)</f>
        <v/>
      </c>
      <c r="B973" s="31" t="str">
        <f>IF(Table!B973 = "","",Table!B973)</f>
        <v/>
      </c>
      <c r="C973" s="31" t="str">
        <f>IF(Table!C973 = "","",Table!C973)</f>
        <v/>
      </c>
      <c r="D973" s="32" t="str">
        <f>IF(Table!D973 = "","",Table!D973)</f>
        <v/>
      </c>
      <c r="E973" s="32" t="str">
        <f>IF(Table!E973 = "","",Table!E973)</f>
        <v/>
      </c>
      <c r="F973" s="32" t="str">
        <f>IF(Table!F973 = "","",Table!F973)</f>
        <v/>
      </c>
      <c r="G973" s="91"/>
      <c r="K973" s="31" t="str">
        <f>IFERROR(VLOOKUP(A973,Table!$I$4:$O$3000,1,TRUE),"")</f>
        <v/>
      </c>
      <c r="L973" s="31" t="str">
        <f>IFERROR(INDEX(Table!I:O,MATCH(K973,Table!I:I,0),2),"")</f>
        <v/>
      </c>
      <c r="M973" s="31" t="str">
        <f>IFERROR(INDEX(Table!I:O,MATCH(K973,Table!I:I,0),3),"")</f>
        <v/>
      </c>
      <c r="N973" s="32" t="str">
        <f>IFERROR(INDEX(Table!I:O,MATCH(K973,Table!I:I,0),4),"")</f>
        <v/>
      </c>
      <c r="O973" s="32" t="str">
        <f>IFERROR(INDEX(Table!I:O,MATCH(K973,Table!I:I,0),5),"")</f>
        <v/>
      </c>
      <c r="P973" s="32" t="str">
        <f>IFERROR(INDEX(Table!I:O,MATCH(K973,Table!I:I,0),6),"")</f>
        <v/>
      </c>
      <c r="Q973" s="89" t="str">
        <f t="shared" si="45"/>
        <v/>
      </c>
      <c r="R973" s="89" t="str">
        <f t="shared" si="46"/>
        <v/>
      </c>
      <c r="S973" s="82"/>
      <c r="U973" s="37" t="e">
        <f t="shared" si="47"/>
        <v>#VALUE!</v>
      </c>
    </row>
    <row r="974" spans="1:21" x14ac:dyDescent="0.25">
      <c r="A974" s="31" t="str">
        <f>IF(Table!A974 = "","",Table!A974)</f>
        <v/>
      </c>
      <c r="B974" s="31" t="str">
        <f>IF(Table!B974 = "","",Table!B974)</f>
        <v/>
      </c>
      <c r="C974" s="31" t="str">
        <f>IF(Table!C974 = "","",Table!C974)</f>
        <v/>
      </c>
      <c r="D974" s="32" t="str">
        <f>IF(Table!D974 = "","",Table!D974)</f>
        <v/>
      </c>
      <c r="E974" s="32" t="str">
        <f>IF(Table!E974 = "","",Table!E974)</f>
        <v/>
      </c>
      <c r="F974" s="32" t="str">
        <f>IF(Table!F974 = "","",Table!F974)</f>
        <v/>
      </c>
      <c r="G974" s="91"/>
      <c r="K974" s="31" t="str">
        <f>IFERROR(VLOOKUP(A974,Table!$I$4:$O$3000,1,TRUE),"")</f>
        <v/>
      </c>
      <c r="L974" s="31" t="str">
        <f>IFERROR(INDEX(Table!I:O,MATCH(K974,Table!I:I,0),2),"")</f>
        <v/>
      </c>
      <c r="M974" s="31" t="str">
        <f>IFERROR(INDEX(Table!I:O,MATCH(K974,Table!I:I,0),3),"")</f>
        <v/>
      </c>
      <c r="N974" s="32" t="str">
        <f>IFERROR(INDEX(Table!I:O,MATCH(K974,Table!I:I,0),4),"")</f>
        <v/>
      </c>
      <c r="O974" s="32" t="str">
        <f>IFERROR(INDEX(Table!I:O,MATCH(K974,Table!I:I,0),5),"")</f>
        <v/>
      </c>
      <c r="P974" s="32" t="str">
        <f>IFERROR(INDEX(Table!I:O,MATCH(K974,Table!I:I,0),6),"")</f>
        <v/>
      </c>
      <c r="Q974" s="89" t="str">
        <f t="shared" si="45"/>
        <v/>
      </c>
      <c r="R974" s="89" t="str">
        <f t="shared" si="46"/>
        <v/>
      </c>
      <c r="S974" s="82"/>
      <c r="U974" s="37" t="e">
        <f t="shared" si="47"/>
        <v>#VALUE!</v>
      </c>
    </row>
    <row r="975" spans="1:21" x14ac:dyDescent="0.25">
      <c r="A975" s="31" t="str">
        <f>IF(Table!A975 = "","",Table!A975)</f>
        <v/>
      </c>
      <c r="B975" s="31" t="str">
        <f>IF(Table!B975 = "","",Table!B975)</f>
        <v/>
      </c>
      <c r="C975" s="31" t="str">
        <f>IF(Table!C975 = "","",Table!C975)</f>
        <v/>
      </c>
      <c r="D975" s="32" t="str">
        <f>IF(Table!D975 = "","",Table!D975)</f>
        <v/>
      </c>
      <c r="E975" s="32" t="str">
        <f>IF(Table!E975 = "","",Table!E975)</f>
        <v/>
      </c>
      <c r="F975" s="32" t="str">
        <f>IF(Table!F975 = "","",Table!F975)</f>
        <v/>
      </c>
      <c r="G975" s="91"/>
      <c r="K975" s="31" t="str">
        <f>IFERROR(VLOOKUP(A975,Table!$I$4:$O$3000,1,TRUE),"")</f>
        <v/>
      </c>
      <c r="L975" s="31" t="str">
        <f>IFERROR(INDEX(Table!I:O,MATCH(K975,Table!I:I,0),2),"")</f>
        <v/>
      </c>
      <c r="M975" s="31" t="str">
        <f>IFERROR(INDEX(Table!I:O,MATCH(K975,Table!I:I,0),3),"")</f>
        <v/>
      </c>
      <c r="N975" s="32" t="str">
        <f>IFERROR(INDEX(Table!I:O,MATCH(K975,Table!I:I,0),4),"")</f>
        <v/>
      </c>
      <c r="O975" s="32" t="str">
        <f>IFERROR(INDEX(Table!I:O,MATCH(K975,Table!I:I,0),5),"")</f>
        <v/>
      </c>
      <c r="P975" s="32" t="str">
        <f>IFERROR(INDEX(Table!I:O,MATCH(K975,Table!I:I,0),6),"")</f>
        <v/>
      </c>
      <c r="Q975" s="89" t="str">
        <f t="shared" si="45"/>
        <v/>
      </c>
      <c r="R975" s="89" t="str">
        <f t="shared" si="46"/>
        <v/>
      </c>
      <c r="S975" s="82"/>
      <c r="U975" s="37" t="e">
        <f t="shared" si="47"/>
        <v>#VALUE!</v>
      </c>
    </row>
    <row r="976" spans="1:21" x14ac:dyDescent="0.25">
      <c r="A976" s="31" t="str">
        <f>IF(Table!A976 = "","",Table!A976)</f>
        <v/>
      </c>
      <c r="B976" s="31" t="str">
        <f>IF(Table!B976 = "","",Table!B976)</f>
        <v/>
      </c>
      <c r="C976" s="31" t="str">
        <f>IF(Table!C976 = "","",Table!C976)</f>
        <v/>
      </c>
      <c r="D976" s="32" t="str">
        <f>IF(Table!D976 = "","",Table!D976)</f>
        <v/>
      </c>
      <c r="E976" s="32" t="str">
        <f>IF(Table!E976 = "","",Table!E976)</f>
        <v/>
      </c>
      <c r="F976" s="32" t="str">
        <f>IF(Table!F976 = "","",Table!F976)</f>
        <v/>
      </c>
      <c r="G976" s="91"/>
      <c r="K976" s="31" t="str">
        <f>IFERROR(VLOOKUP(A976,Table!$I$4:$O$3000,1,TRUE),"")</f>
        <v/>
      </c>
      <c r="L976" s="31" t="str">
        <f>IFERROR(INDEX(Table!I:O,MATCH(K976,Table!I:I,0),2),"")</f>
        <v/>
      </c>
      <c r="M976" s="31" t="str">
        <f>IFERROR(INDEX(Table!I:O,MATCH(K976,Table!I:I,0),3),"")</f>
        <v/>
      </c>
      <c r="N976" s="32" t="str">
        <f>IFERROR(INDEX(Table!I:O,MATCH(K976,Table!I:I,0),4),"")</f>
        <v/>
      </c>
      <c r="O976" s="32" t="str">
        <f>IFERROR(INDEX(Table!I:O,MATCH(K976,Table!I:I,0),5),"")</f>
        <v/>
      </c>
      <c r="P976" s="32" t="str">
        <f>IFERROR(INDEX(Table!I:O,MATCH(K976,Table!I:I,0),6),"")</f>
        <v/>
      </c>
      <c r="Q976" s="89" t="str">
        <f t="shared" si="45"/>
        <v/>
      </c>
      <c r="R976" s="89" t="str">
        <f t="shared" si="46"/>
        <v/>
      </c>
      <c r="S976" s="82"/>
      <c r="U976" s="37" t="e">
        <f t="shared" si="47"/>
        <v>#VALUE!</v>
      </c>
    </row>
    <row r="977" spans="1:21" x14ac:dyDescent="0.25">
      <c r="A977" s="31" t="str">
        <f>IF(Table!A977 = "","",Table!A977)</f>
        <v/>
      </c>
      <c r="B977" s="31" t="str">
        <f>IF(Table!B977 = "","",Table!B977)</f>
        <v/>
      </c>
      <c r="C977" s="31" t="str">
        <f>IF(Table!C977 = "","",Table!C977)</f>
        <v/>
      </c>
      <c r="D977" s="32" t="str">
        <f>IF(Table!D977 = "","",Table!D977)</f>
        <v/>
      </c>
      <c r="E977" s="32" t="str">
        <f>IF(Table!E977 = "","",Table!E977)</f>
        <v/>
      </c>
      <c r="F977" s="32" t="str">
        <f>IF(Table!F977 = "","",Table!F977)</f>
        <v/>
      </c>
      <c r="G977" s="91"/>
      <c r="K977" s="31" t="str">
        <f>IFERROR(VLOOKUP(A977,Table!$I$4:$O$3000,1,TRUE),"")</f>
        <v/>
      </c>
      <c r="L977" s="31" t="str">
        <f>IFERROR(INDEX(Table!I:O,MATCH(K977,Table!I:I,0),2),"")</f>
        <v/>
      </c>
      <c r="M977" s="31" t="str">
        <f>IFERROR(INDEX(Table!I:O,MATCH(K977,Table!I:I,0),3),"")</f>
        <v/>
      </c>
      <c r="N977" s="32" t="str">
        <f>IFERROR(INDEX(Table!I:O,MATCH(K977,Table!I:I,0),4),"")</f>
        <v/>
      </c>
      <c r="O977" s="32" t="str">
        <f>IFERROR(INDEX(Table!I:O,MATCH(K977,Table!I:I,0),5),"")</f>
        <v/>
      </c>
      <c r="P977" s="32" t="str">
        <f>IFERROR(INDEX(Table!I:O,MATCH(K977,Table!I:I,0),6),"")</f>
        <v/>
      </c>
      <c r="Q977" s="89" t="str">
        <f t="shared" si="45"/>
        <v/>
      </c>
      <c r="R977" s="89" t="str">
        <f t="shared" si="46"/>
        <v/>
      </c>
      <c r="S977" s="82"/>
      <c r="U977" s="37" t="e">
        <f t="shared" si="47"/>
        <v>#VALUE!</v>
      </c>
    </row>
    <row r="978" spans="1:21" x14ac:dyDescent="0.25">
      <c r="A978" s="31" t="str">
        <f>IF(Table!A978 = "","",Table!A978)</f>
        <v/>
      </c>
      <c r="B978" s="31" t="str">
        <f>IF(Table!B978 = "","",Table!B978)</f>
        <v/>
      </c>
      <c r="C978" s="31" t="str">
        <f>IF(Table!C978 = "","",Table!C978)</f>
        <v/>
      </c>
      <c r="D978" s="32" t="str">
        <f>IF(Table!D978 = "","",Table!D978)</f>
        <v/>
      </c>
      <c r="E978" s="32" t="str">
        <f>IF(Table!E978 = "","",Table!E978)</f>
        <v/>
      </c>
      <c r="F978" s="32" t="str">
        <f>IF(Table!F978 = "","",Table!F978)</f>
        <v/>
      </c>
      <c r="G978" s="91"/>
      <c r="K978" s="31" t="str">
        <f>IFERROR(VLOOKUP(A978,Table!$I$4:$O$3000,1,TRUE),"")</f>
        <v/>
      </c>
      <c r="L978" s="31" t="str">
        <f>IFERROR(INDEX(Table!I:O,MATCH(K978,Table!I:I,0),2),"")</f>
        <v/>
      </c>
      <c r="M978" s="31" t="str">
        <f>IFERROR(INDEX(Table!I:O,MATCH(K978,Table!I:I,0),3),"")</f>
        <v/>
      </c>
      <c r="N978" s="32" t="str">
        <f>IFERROR(INDEX(Table!I:O,MATCH(K978,Table!I:I,0),4),"")</f>
        <v/>
      </c>
      <c r="O978" s="32" t="str">
        <f>IFERROR(INDEX(Table!I:O,MATCH(K978,Table!I:I,0),5),"")</f>
        <v/>
      </c>
      <c r="P978" s="32" t="str">
        <f>IFERROR(INDEX(Table!I:O,MATCH(K978,Table!I:I,0),6),"")</f>
        <v/>
      </c>
      <c r="Q978" s="89" t="str">
        <f t="shared" si="45"/>
        <v/>
      </c>
      <c r="R978" s="89" t="str">
        <f t="shared" si="46"/>
        <v/>
      </c>
      <c r="S978" s="82"/>
      <c r="U978" s="37" t="e">
        <f t="shared" si="47"/>
        <v>#VALUE!</v>
      </c>
    </row>
    <row r="979" spans="1:21" x14ac:dyDescent="0.25">
      <c r="A979" s="31" t="str">
        <f>IF(Table!A979 = "","",Table!A979)</f>
        <v/>
      </c>
      <c r="B979" s="31" t="str">
        <f>IF(Table!B979 = "","",Table!B979)</f>
        <v/>
      </c>
      <c r="C979" s="31" t="str">
        <f>IF(Table!C979 = "","",Table!C979)</f>
        <v/>
      </c>
      <c r="D979" s="32" t="str">
        <f>IF(Table!D979 = "","",Table!D979)</f>
        <v/>
      </c>
      <c r="E979" s="32" t="str">
        <f>IF(Table!E979 = "","",Table!E979)</f>
        <v/>
      </c>
      <c r="F979" s="32" t="str">
        <f>IF(Table!F979 = "","",Table!F979)</f>
        <v/>
      </c>
      <c r="G979" s="91"/>
      <c r="K979" s="31" t="str">
        <f>IFERROR(VLOOKUP(A979,Table!$I$4:$O$3000,1,TRUE),"")</f>
        <v/>
      </c>
      <c r="L979" s="31" t="str">
        <f>IFERROR(INDEX(Table!I:O,MATCH(K979,Table!I:I,0),2),"")</f>
        <v/>
      </c>
      <c r="M979" s="31" t="str">
        <f>IFERROR(INDEX(Table!I:O,MATCH(K979,Table!I:I,0),3),"")</f>
        <v/>
      </c>
      <c r="N979" s="32" t="str">
        <f>IFERROR(INDEX(Table!I:O,MATCH(K979,Table!I:I,0),4),"")</f>
        <v/>
      </c>
      <c r="O979" s="32" t="str">
        <f>IFERROR(INDEX(Table!I:O,MATCH(K979,Table!I:I,0),5),"")</f>
        <v/>
      </c>
      <c r="P979" s="32" t="str">
        <f>IFERROR(INDEX(Table!I:O,MATCH(K979,Table!I:I,0),6),"")</f>
        <v/>
      </c>
      <c r="Q979" s="89" t="str">
        <f t="shared" si="45"/>
        <v/>
      </c>
      <c r="R979" s="89" t="str">
        <f t="shared" si="46"/>
        <v/>
      </c>
      <c r="S979" s="82"/>
      <c r="U979" s="37" t="e">
        <f t="shared" si="47"/>
        <v>#VALUE!</v>
      </c>
    </row>
    <row r="980" spans="1:21" x14ac:dyDescent="0.25">
      <c r="A980" s="31" t="str">
        <f>IF(Table!A980 = "","",Table!A980)</f>
        <v/>
      </c>
      <c r="B980" s="31" t="str">
        <f>IF(Table!B980 = "","",Table!B980)</f>
        <v/>
      </c>
      <c r="C980" s="31" t="str">
        <f>IF(Table!C980 = "","",Table!C980)</f>
        <v/>
      </c>
      <c r="D980" s="32" t="str">
        <f>IF(Table!D980 = "","",Table!D980)</f>
        <v/>
      </c>
      <c r="E980" s="32" t="str">
        <f>IF(Table!E980 = "","",Table!E980)</f>
        <v/>
      </c>
      <c r="F980" s="32" t="str">
        <f>IF(Table!F980 = "","",Table!F980)</f>
        <v/>
      </c>
      <c r="G980" s="91"/>
      <c r="K980" s="31" t="str">
        <f>IFERROR(VLOOKUP(A980,Table!$I$4:$O$3000,1,TRUE),"")</f>
        <v/>
      </c>
      <c r="L980" s="31" t="str">
        <f>IFERROR(INDEX(Table!I:O,MATCH(K980,Table!I:I,0),2),"")</f>
        <v/>
      </c>
      <c r="M980" s="31" t="str">
        <f>IFERROR(INDEX(Table!I:O,MATCH(K980,Table!I:I,0),3),"")</f>
        <v/>
      </c>
      <c r="N980" s="32" t="str">
        <f>IFERROR(INDEX(Table!I:O,MATCH(K980,Table!I:I,0),4),"")</f>
        <v/>
      </c>
      <c r="O980" s="32" t="str">
        <f>IFERROR(INDEX(Table!I:O,MATCH(K980,Table!I:I,0),5),"")</f>
        <v/>
      </c>
      <c r="P980" s="32" t="str">
        <f>IFERROR(INDEX(Table!I:O,MATCH(K980,Table!I:I,0),6),"")</f>
        <v/>
      </c>
      <c r="Q980" s="89" t="str">
        <f t="shared" si="45"/>
        <v/>
      </c>
      <c r="R980" s="89" t="str">
        <f t="shared" si="46"/>
        <v/>
      </c>
      <c r="S980" s="82"/>
      <c r="U980" s="37" t="e">
        <f t="shared" si="47"/>
        <v>#VALUE!</v>
      </c>
    </row>
    <row r="981" spans="1:21" x14ac:dyDescent="0.25">
      <c r="A981" s="31" t="str">
        <f>IF(Table!A981 = "","",Table!A981)</f>
        <v/>
      </c>
      <c r="B981" s="31" t="str">
        <f>IF(Table!B981 = "","",Table!B981)</f>
        <v/>
      </c>
      <c r="C981" s="31" t="str">
        <f>IF(Table!C981 = "","",Table!C981)</f>
        <v/>
      </c>
      <c r="D981" s="32" t="str">
        <f>IF(Table!D981 = "","",Table!D981)</f>
        <v/>
      </c>
      <c r="E981" s="32" t="str">
        <f>IF(Table!E981 = "","",Table!E981)</f>
        <v/>
      </c>
      <c r="F981" s="32" t="str">
        <f>IF(Table!F981 = "","",Table!F981)</f>
        <v/>
      </c>
      <c r="G981" s="91"/>
      <c r="K981" s="31" t="str">
        <f>IFERROR(VLOOKUP(A981,Table!$I$4:$O$3000,1,TRUE),"")</f>
        <v/>
      </c>
      <c r="L981" s="31" t="str">
        <f>IFERROR(INDEX(Table!I:O,MATCH(K981,Table!I:I,0),2),"")</f>
        <v/>
      </c>
      <c r="M981" s="31" t="str">
        <f>IFERROR(INDEX(Table!I:O,MATCH(K981,Table!I:I,0),3),"")</f>
        <v/>
      </c>
      <c r="N981" s="32" t="str">
        <f>IFERROR(INDEX(Table!I:O,MATCH(K981,Table!I:I,0),4),"")</f>
        <v/>
      </c>
      <c r="O981" s="32" t="str">
        <f>IFERROR(INDEX(Table!I:O,MATCH(K981,Table!I:I,0),5),"")</f>
        <v/>
      </c>
      <c r="P981" s="32" t="str">
        <f>IFERROR(INDEX(Table!I:O,MATCH(K981,Table!I:I,0),6),"")</f>
        <v/>
      </c>
      <c r="Q981" s="89" t="str">
        <f t="shared" si="45"/>
        <v/>
      </c>
      <c r="R981" s="89" t="str">
        <f t="shared" si="46"/>
        <v/>
      </c>
      <c r="S981" s="82"/>
      <c r="U981" s="37" t="e">
        <f t="shared" si="47"/>
        <v>#VALUE!</v>
      </c>
    </row>
    <row r="982" spans="1:21" x14ac:dyDescent="0.25">
      <c r="A982" s="31" t="str">
        <f>IF(Table!A982 = "","",Table!A982)</f>
        <v/>
      </c>
      <c r="B982" s="31" t="str">
        <f>IF(Table!B982 = "","",Table!B982)</f>
        <v/>
      </c>
      <c r="C982" s="31" t="str">
        <f>IF(Table!C982 = "","",Table!C982)</f>
        <v/>
      </c>
      <c r="D982" s="32" t="str">
        <f>IF(Table!D982 = "","",Table!D982)</f>
        <v/>
      </c>
      <c r="E982" s="32" t="str">
        <f>IF(Table!E982 = "","",Table!E982)</f>
        <v/>
      </c>
      <c r="F982" s="32" t="str">
        <f>IF(Table!F982 = "","",Table!F982)</f>
        <v/>
      </c>
      <c r="G982" s="91"/>
      <c r="K982" s="31" t="str">
        <f>IFERROR(VLOOKUP(A982,Table!$I$4:$O$3000,1,TRUE),"")</f>
        <v/>
      </c>
      <c r="L982" s="31" t="str">
        <f>IFERROR(INDEX(Table!I:O,MATCH(K982,Table!I:I,0),2),"")</f>
        <v/>
      </c>
      <c r="M982" s="31" t="str">
        <f>IFERROR(INDEX(Table!I:O,MATCH(K982,Table!I:I,0),3),"")</f>
        <v/>
      </c>
      <c r="N982" s="32" t="str">
        <f>IFERROR(INDEX(Table!I:O,MATCH(K982,Table!I:I,0),4),"")</f>
        <v/>
      </c>
      <c r="O982" s="32" t="str">
        <f>IFERROR(INDEX(Table!I:O,MATCH(K982,Table!I:I,0),5),"")</f>
        <v/>
      </c>
      <c r="P982" s="32" t="str">
        <f>IFERROR(INDEX(Table!I:O,MATCH(K982,Table!I:I,0),6),"")</f>
        <v/>
      </c>
      <c r="Q982" s="89" t="str">
        <f t="shared" si="45"/>
        <v/>
      </c>
      <c r="R982" s="89" t="str">
        <f t="shared" si="46"/>
        <v/>
      </c>
      <c r="S982" s="82"/>
      <c r="U982" s="37" t="e">
        <f t="shared" si="47"/>
        <v>#VALUE!</v>
      </c>
    </row>
    <row r="983" spans="1:21" x14ac:dyDescent="0.25">
      <c r="A983" s="31" t="str">
        <f>IF(Table!A983 = "","",Table!A983)</f>
        <v/>
      </c>
      <c r="B983" s="31" t="str">
        <f>IF(Table!B983 = "","",Table!B983)</f>
        <v/>
      </c>
      <c r="C983" s="31" t="str">
        <f>IF(Table!C983 = "","",Table!C983)</f>
        <v/>
      </c>
      <c r="D983" s="32" t="str">
        <f>IF(Table!D983 = "","",Table!D983)</f>
        <v/>
      </c>
      <c r="E983" s="32" t="str">
        <f>IF(Table!E983 = "","",Table!E983)</f>
        <v/>
      </c>
      <c r="F983" s="32" t="str">
        <f>IF(Table!F983 = "","",Table!F983)</f>
        <v/>
      </c>
      <c r="G983" s="91"/>
      <c r="K983" s="31" t="str">
        <f>IFERROR(VLOOKUP(A983,Table!$I$4:$O$3000,1,TRUE),"")</f>
        <v/>
      </c>
      <c r="L983" s="31" t="str">
        <f>IFERROR(INDEX(Table!I:O,MATCH(K983,Table!I:I,0),2),"")</f>
        <v/>
      </c>
      <c r="M983" s="31" t="str">
        <f>IFERROR(INDEX(Table!I:O,MATCH(K983,Table!I:I,0),3),"")</f>
        <v/>
      </c>
      <c r="N983" s="32" t="str">
        <f>IFERROR(INDEX(Table!I:O,MATCH(K983,Table!I:I,0),4),"")</f>
        <v/>
      </c>
      <c r="O983" s="32" t="str">
        <f>IFERROR(INDEX(Table!I:O,MATCH(K983,Table!I:I,0),5),"")</f>
        <v/>
      </c>
      <c r="P983" s="32" t="str">
        <f>IFERROR(INDEX(Table!I:O,MATCH(K983,Table!I:I,0),6),"")</f>
        <v/>
      </c>
      <c r="Q983" s="89" t="str">
        <f t="shared" si="45"/>
        <v/>
      </c>
      <c r="R983" s="89" t="str">
        <f t="shared" si="46"/>
        <v/>
      </c>
      <c r="S983" s="82"/>
      <c r="U983" s="37" t="e">
        <f t="shared" si="47"/>
        <v>#VALUE!</v>
      </c>
    </row>
    <row r="984" spans="1:21" x14ac:dyDescent="0.25">
      <c r="A984" s="31" t="str">
        <f>IF(Table!A984 = "","",Table!A984)</f>
        <v/>
      </c>
      <c r="B984" s="31" t="str">
        <f>IF(Table!B984 = "","",Table!B984)</f>
        <v/>
      </c>
      <c r="C984" s="31" t="str">
        <f>IF(Table!C984 = "","",Table!C984)</f>
        <v/>
      </c>
      <c r="D984" s="32" t="str">
        <f>IF(Table!D984 = "","",Table!D984)</f>
        <v/>
      </c>
      <c r="E984" s="32" t="str">
        <f>IF(Table!E984 = "","",Table!E984)</f>
        <v/>
      </c>
      <c r="F984" s="32" t="str">
        <f>IF(Table!F984 = "","",Table!F984)</f>
        <v/>
      </c>
      <c r="G984" s="91"/>
      <c r="K984" s="31" t="str">
        <f>IFERROR(VLOOKUP(A984,Table!$I$4:$O$3000,1,TRUE),"")</f>
        <v/>
      </c>
      <c r="L984" s="31" t="str">
        <f>IFERROR(INDEX(Table!I:O,MATCH(K984,Table!I:I,0),2),"")</f>
        <v/>
      </c>
      <c r="M984" s="31" t="str">
        <f>IFERROR(INDEX(Table!I:O,MATCH(K984,Table!I:I,0),3),"")</f>
        <v/>
      </c>
      <c r="N984" s="32" t="str">
        <f>IFERROR(INDEX(Table!I:O,MATCH(K984,Table!I:I,0),4),"")</f>
        <v/>
      </c>
      <c r="O984" s="32" t="str">
        <f>IFERROR(INDEX(Table!I:O,MATCH(K984,Table!I:I,0),5),"")</f>
        <v/>
      </c>
      <c r="P984" s="32" t="str">
        <f>IFERROR(INDEX(Table!I:O,MATCH(K984,Table!I:I,0),6),"")</f>
        <v/>
      </c>
      <c r="Q984" s="89" t="str">
        <f t="shared" si="45"/>
        <v/>
      </c>
      <c r="R984" s="89" t="str">
        <f t="shared" si="46"/>
        <v/>
      </c>
      <c r="S984" s="82"/>
      <c r="U984" s="37" t="e">
        <f t="shared" si="47"/>
        <v>#VALUE!</v>
      </c>
    </row>
    <row r="985" spans="1:21" x14ac:dyDescent="0.25">
      <c r="A985" s="31" t="str">
        <f>IF(Table!A985 = "","",Table!A985)</f>
        <v/>
      </c>
      <c r="B985" s="31" t="str">
        <f>IF(Table!B985 = "","",Table!B985)</f>
        <v/>
      </c>
      <c r="C985" s="31" t="str">
        <f>IF(Table!C985 = "","",Table!C985)</f>
        <v/>
      </c>
      <c r="D985" s="32" t="str">
        <f>IF(Table!D985 = "","",Table!D985)</f>
        <v/>
      </c>
      <c r="E985" s="32" t="str">
        <f>IF(Table!E985 = "","",Table!E985)</f>
        <v/>
      </c>
      <c r="F985" s="32" t="str">
        <f>IF(Table!F985 = "","",Table!F985)</f>
        <v/>
      </c>
      <c r="G985" s="91"/>
      <c r="K985" s="31" t="str">
        <f>IFERROR(VLOOKUP(A985,Table!$I$4:$O$3000,1,TRUE),"")</f>
        <v/>
      </c>
      <c r="L985" s="31" t="str">
        <f>IFERROR(INDEX(Table!I:O,MATCH(K985,Table!I:I,0),2),"")</f>
        <v/>
      </c>
      <c r="M985" s="31" t="str">
        <f>IFERROR(INDEX(Table!I:O,MATCH(K985,Table!I:I,0),3),"")</f>
        <v/>
      </c>
      <c r="N985" s="32" t="str">
        <f>IFERROR(INDEX(Table!I:O,MATCH(K985,Table!I:I,0),4),"")</f>
        <v/>
      </c>
      <c r="O985" s="32" t="str">
        <f>IFERROR(INDEX(Table!I:O,MATCH(K985,Table!I:I,0),5),"")</f>
        <v/>
      </c>
      <c r="P985" s="32" t="str">
        <f>IFERROR(INDEX(Table!I:O,MATCH(K985,Table!I:I,0),6),"")</f>
        <v/>
      </c>
      <c r="Q985" s="89" t="str">
        <f t="shared" si="45"/>
        <v/>
      </c>
      <c r="R985" s="89" t="str">
        <f t="shared" si="46"/>
        <v/>
      </c>
      <c r="S985" s="82"/>
      <c r="U985" s="37" t="e">
        <f t="shared" si="47"/>
        <v>#VALUE!</v>
      </c>
    </row>
    <row r="986" spans="1:21" x14ac:dyDescent="0.25">
      <c r="A986" s="31" t="str">
        <f>IF(Table!A986 = "","",Table!A986)</f>
        <v/>
      </c>
      <c r="B986" s="31" t="str">
        <f>IF(Table!B986 = "","",Table!B986)</f>
        <v/>
      </c>
      <c r="C986" s="31" t="str">
        <f>IF(Table!C986 = "","",Table!C986)</f>
        <v/>
      </c>
      <c r="D986" s="32" t="str">
        <f>IF(Table!D986 = "","",Table!D986)</f>
        <v/>
      </c>
      <c r="E986" s="32" t="str">
        <f>IF(Table!E986 = "","",Table!E986)</f>
        <v/>
      </c>
      <c r="F986" s="32" t="str">
        <f>IF(Table!F986 = "","",Table!F986)</f>
        <v/>
      </c>
      <c r="G986" s="91"/>
      <c r="K986" s="31" t="str">
        <f>IFERROR(VLOOKUP(A986,Table!$I$4:$O$3000,1,TRUE),"")</f>
        <v/>
      </c>
      <c r="L986" s="31" t="str">
        <f>IFERROR(INDEX(Table!I:O,MATCH(K986,Table!I:I,0),2),"")</f>
        <v/>
      </c>
      <c r="M986" s="31" t="str">
        <f>IFERROR(INDEX(Table!I:O,MATCH(K986,Table!I:I,0),3),"")</f>
        <v/>
      </c>
      <c r="N986" s="32" t="str">
        <f>IFERROR(INDEX(Table!I:O,MATCH(K986,Table!I:I,0),4),"")</f>
        <v/>
      </c>
      <c r="O986" s="32" t="str">
        <f>IFERROR(INDEX(Table!I:O,MATCH(K986,Table!I:I,0),5),"")</f>
        <v/>
      </c>
      <c r="P986" s="32" t="str">
        <f>IFERROR(INDEX(Table!I:O,MATCH(K986,Table!I:I,0),6),"")</f>
        <v/>
      </c>
      <c r="Q986" s="89" t="str">
        <f t="shared" si="45"/>
        <v/>
      </c>
      <c r="R986" s="89" t="str">
        <f t="shared" si="46"/>
        <v/>
      </c>
      <c r="S986" s="82"/>
      <c r="U986" s="37" t="e">
        <f t="shared" si="47"/>
        <v>#VALUE!</v>
      </c>
    </row>
    <row r="987" spans="1:21" x14ac:dyDescent="0.25">
      <c r="A987" s="31" t="str">
        <f>IF(Table!A987 = "","",Table!A987)</f>
        <v/>
      </c>
      <c r="B987" s="31" t="str">
        <f>IF(Table!B987 = "","",Table!B987)</f>
        <v/>
      </c>
      <c r="C987" s="31" t="str">
        <f>IF(Table!C987 = "","",Table!C987)</f>
        <v/>
      </c>
      <c r="D987" s="32" t="str">
        <f>IF(Table!D987 = "","",Table!D987)</f>
        <v/>
      </c>
      <c r="E987" s="32" t="str">
        <f>IF(Table!E987 = "","",Table!E987)</f>
        <v/>
      </c>
      <c r="F987" s="32" t="str">
        <f>IF(Table!F987 = "","",Table!F987)</f>
        <v/>
      </c>
      <c r="G987" s="91"/>
      <c r="K987" s="31" t="str">
        <f>IFERROR(VLOOKUP(A987,Table!$I$4:$O$3000,1,TRUE),"")</f>
        <v/>
      </c>
      <c r="L987" s="31" t="str">
        <f>IFERROR(INDEX(Table!I:O,MATCH(K987,Table!I:I,0),2),"")</f>
        <v/>
      </c>
      <c r="M987" s="31" t="str">
        <f>IFERROR(INDEX(Table!I:O,MATCH(K987,Table!I:I,0),3),"")</f>
        <v/>
      </c>
      <c r="N987" s="32" t="str">
        <f>IFERROR(INDEX(Table!I:O,MATCH(K987,Table!I:I,0),4),"")</f>
        <v/>
      </c>
      <c r="O987" s="32" t="str">
        <f>IFERROR(INDEX(Table!I:O,MATCH(K987,Table!I:I,0),5),"")</f>
        <v/>
      </c>
      <c r="P987" s="32" t="str">
        <f>IFERROR(INDEX(Table!I:O,MATCH(K987,Table!I:I,0),6),"")</f>
        <v/>
      </c>
      <c r="Q987" s="89" t="str">
        <f t="shared" si="45"/>
        <v/>
      </c>
      <c r="R987" s="89" t="str">
        <f t="shared" si="46"/>
        <v/>
      </c>
      <c r="S987" s="82"/>
      <c r="U987" s="37" t="e">
        <f t="shared" si="47"/>
        <v>#VALUE!</v>
      </c>
    </row>
    <row r="988" spans="1:21" x14ac:dyDescent="0.25">
      <c r="A988" s="31" t="str">
        <f>IF(Table!A988 = "","",Table!A988)</f>
        <v/>
      </c>
      <c r="B988" s="31" t="str">
        <f>IF(Table!B988 = "","",Table!B988)</f>
        <v/>
      </c>
      <c r="C988" s="31" t="str">
        <f>IF(Table!C988 = "","",Table!C988)</f>
        <v/>
      </c>
      <c r="D988" s="32" t="str">
        <f>IF(Table!D988 = "","",Table!D988)</f>
        <v/>
      </c>
      <c r="E988" s="32" t="str">
        <f>IF(Table!E988 = "","",Table!E988)</f>
        <v/>
      </c>
      <c r="F988" s="32" t="str">
        <f>IF(Table!F988 = "","",Table!F988)</f>
        <v/>
      </c>
      <c r="G988" s="91"/>
      <c r="K988" s="31" t="str">
        <f>IFERROR(VLOOKUP(A988,Table!$I$4:$O$3000,1,TRUE),"")</f>
        <v/>
      </c>
      <c r="L988" s="31" t="str">
        <f>IFERROR(INDEX(Table!I:O,MATCH(K988,Table!I:I,0),2),"")</f>
        <v/>
      </c>
      <c r="M988" s="31" t="str">
        <f>IFERROR(INDEX(Table!I:O,MATCH(K988,Table!I:I,0),3),"")</f>
        <v/>
      </c>
      <c r="N988" s="32" t="str">
        <f>IFERROR(INDEX(Table!I:O,MATCH(K988,Table!I:I,0),4),"")</f>
        <v/>
      </c>
      <c r="O988" s="32" t="str">
        <f>IFERROR(INDEX(Table!I:O,MATCH(K988,Table!I:I,0),5),"")</f>
        <v/>
      </c>
      <c r="P988" s="32" t="str">
        <f>IFERROR(INDEX(Table!I:O,MATCH(K988,Table!I:I,0),6),"")</f>
        <v/>
      </c>
      <c r="Q988" s="89" t="str">
        <f t="shared" si="45"/>
        <v/>
      </c>
      <c r="R988" s="89" t="str">
        <f t="shared" si="46"/>
        <v/>
      </c>
      <c r="S988" s="82"/>
      <c r="U988" s="37" t="e">
        <f t="shared" si="47"/>
        <v>#VALUE!</v>
      </c>
    </row>
    <row r="989" spans="1:21" x14ac:dyDescent="0.25">
      <c r="A989" s="31" t="str">
        <f>IF(Table!A989 = "","",Table!A989)</f>
        <v/>
      </c>
      <c r="B989" s="31" t="str">
        <f>IF(Table!B989 = "","",Table!B989)</f>
        <v/>
      </c>
      <c r="C989" s="31" t="str">
        <f>IF(Table!C989 = "","",Table!C989)</f>
        <v/>
      </c>
      <c r="D989" s="32" t="str">
        <f>IF(Table!D989 = "","",Table!D989)</f>
        <v/>
      </c>
      <c r="E989" s="32" t="str">
        <f>IF(Table!E989 = "","",Table!E989)</f>
        <v/>
      </c>
      <c r="F989" s="32" t="str">
        <f>IF(Table!F989 = "","",Table!F989)</f>
        <v/>
      </c>
      <c r="G989" s="91"/>
      <c r="K989" s="31" t="str">
        <f>IFERROR(VLOOKUP(A989,Table!$I$4:$O$3000,1,TRUE),"")</f>
        <v/>
      </c>
      <c r="L989" s="31" t="str">
        <f>IFERROR(INDEX(Table!I:O,MATCH(K989,Table!I:I,0),2),"")</f>
        <v/>
      </c>
      <c r="M989" s="31" t="str">
        <f>IFERROR(INDEX(Table!I:O,MATCH(K989,Table!I:I,0),3),"")</f>
        <v/>
      </c>
      <c r="N989" s="32" t="str">
        <f>IFERROR(INDEX(Table!I:O,MATCH(K989,Table!I:I,0),4),"")</f>
        <v/>
      </c>
      <c r="O989" s="32" t="str">
        <f>IFERROR(INDEX(Table!I:O,MATCH(K989,Table!I:I,0),5),"")</f>
        <v/>
      </c>
      <c r="P989" s="32" t="str">
        <f>IFERROR(INDEX(Table!I:O,MATCH(K989,Table!I:I,0),6),"")</f>
        <v/>
      </c>
      <c r="Q989" s="89" t="str">
        <f t="shared" si="45"/>
        <v/>
      </c>
      <c r="R989" s="89" t="str">
        <f t="shared" si="46"/>
        <v/>
      </c>
      <c r="S989" s="82"/>
      <c r="U989" s="37" t="e">
        <f t="shared" si="47"/>
        <v>#VALUE!</v>
      </c>
    </row>
    <row r="990" spans="1:21" x14ac:dyDescent="0.25">
      <c r="A990" s="31" t="str">
        <f>IF(Table!A990 = "","",Table!A990)</f>
        <v/>
      </c>
      <c r="B990" s="31" t="str">
        <f>IF(Table!B990 = "","",Table!B990)</f>
        <v/>
      </c>
      <c r="C990" s="31" t="str">
        <f>IF(Table!C990 = "","",Table!C990)</f>
        <v/>
      </c>
      <c r="D990" s="32" t="str">
        <f>IF(Table!D990 = "","",Table!D990)</f>
        <v/>
      </c>
      <c r="E990" s="32" t="str">
        <f>IF(Table!E990 = "","",Table!E990)</f>
        <v/>
      </c>
      <c r="F990" s="32" t="str">
        <f>IF(Table!F990 = "","",Table!F990)</f>
        <v/>
      </c>
      <c r="G990" s="91"/>
      <c r="K990" s="31" t="str">
        <f>IFERROR(VLOOKUP(A990,Table!$I$4:$O$3000,1,TRUE),"")</f>
        <v/>
      </c>
      <c r="L990" s="31" t="str">
        <f>IFERROR(INDEX(Table!I:O,MATCH(K990,Table!I:I,0),2),"")</f>
        <v/>
      </c>
      <c r="M990" s="31" t="str">
        <f>IFERROR(INDEX(Table!I:O,MATCH(K990,Table!I:I,0),3),"")</f>
        <v/>
      </c>
      <c r="N990" s="32" t="str">
        <f>IFERROR(INDEX(Table!I:O,MATCH(K990,Table!I:I,0),4),"")</f>
        <v/>
      </c>
      <c r="O990" s="32" t="str">
        <f>IFERROR(INDEX(Table!I:O,MATCH(K990,Table!I:I,0),5),"")</f>
        <v/>
      </c>
      <c r="P990" s="32" t="str">
        <f>IFERROR(INDEX(Table!I:O,MATCH(K990,Table!I:I,0),6),"")</f>
        <v/>
      </c>
      <c r="Q990" s="89" t="str">
        <f t="shared" si="45"/>
        <v/>
      </c>
      <c r="R990" s="89" t="str">
        <f t="shared" si="46"/>
        <v/>
      </c>
      <c r="S990" s="82"/>
      <c r="U990" s="37" t="e">
        <f t="shared" si="47"/>
        <v>#VALUE!</v>
      </c>
    </row>
    <row r="991" spans="1:21" x14ac:dyDescent="0.25">
      <c r="A991" s="31" t="str">
        <f>IF(Table!A991 = "","",Table!A991)</f>
        <v/>
      </c>
      <c r="B991" s="31" t="str">
        <f>IF(Table!B991 = "","",Table!B991)</f>
        <v/>
      </c>
      <c r="C991" s="31" t="str">
        <f>IF(Table!C991 = "","",Table!C991)</f>
        <v/>
      </c>
      <c r="D991" s="32" t="str">
        <f>IF(Table!D991 = "","",Table!D991)</f>
        <v/>
      </c>
      <c r="E991" s="32" t="str">
        <f>IF(Table!E991 = "","",Table!E991)</f>
        <v/>
      </c>
      <c r="F991" s="32" t="str">
        <f>IF(Table!F991 = "","",Table!F991)</f>
        <v/>
      </c>
      <c r="G991" s="91"/>
      <c r="K991" s="31" t="str">
        <f>IFERROR(VLOOKUP(A991,Table!$I$4:$O$3000,1,TRUE),"")</f>
        <v/>
      </c>
      <c r="L991" s="31" t="str">
        <f>IFERROR(INDEX(Table!I:O,MATCH(K991,Table!I:I,0),2),"")</f>
        <v/>
      </c>
      <c r="M991" s="31" t="str">
        <f>IFERROR(INDEX(Table!I:O,MATCH(K991,Table!I:I,0),3),"")</f>
        <v/>
      </c>
      <c r="N991" s="32" t="str">
        <f>IFERROR(INDEX(Table!I:O,MATCH(K991,Table!I:I,0),4),"")</f>
        <v/>
      </c>
      <c r="O991" s="32" t="str">
        <f>IFERROR(INDEX(Table!I:O,MATCH(K991,Table!I:I,0),5),"")</f>
        <v/>
      </c>
      <c r="P991" s="32" t="str">
        <f>IFERROR(INDEX(Table!I:O,MATCH(K991,Table!I:I,0),6),"")</f>
        <v/>
      </c>
      <c r="Q991" s="89" t="str">
        <f t="shared" si="45"/>
        <v/>
      </c>
      <c r="R991" s="89" t="str">
        <f t="shared" si="46"/>
        <v/>
      </c>
      <c r="S991" s="82"/>
      <c r="U991" s="37" t="e">
        <f t="shared" si="47"/>
        <v>#VALUE!</v>
      </c>
    </row>
    <row r="992" spans="1:21" x14ac:dyDescent="0.25">
      <c r="A992" s="31" t="str">
        <f>IF(Table!A992 = "","",Table!A992)</f>
        <v/>
      </c>
      <c r="B992" s="31" t="str">
        <f>IF(Table!B992 = "","",Table!B992)</f>
        <v/>
      </c>
      <c r="C992" s="31" t="str">
        <f>IF(Table!C992 = "","",Table!C992)</f>
        <v/>
      </c>
      <c r="D992" s="32" t="str">
        <f>IF(Table!D992 = "","",Table!D992)</f>
        <v/>
      </c>
      <c r="E992" s="32" t="str">
        <f>IF(Table!E992 = "","",Table!E992)</f>
        <v/>
      </c>
      <c r="F992" s="32" t="str">
        <f>IF(Table!F992 = "","",Table!F992)</f>
        <v/>
      </c>
      <c r="G992" s="91"/>
      <c r="K992" s="31" t="str">
        <f>IFERROR(VLOOKUP(A992,Table!$I$4:$O$3000,1,TRUE),"")</f>
        <v/>
      </c>
      <c r="L992" s="31" t="str">
        <f>IFERROR(INDEX(Table!I:O,MATCH(K992,Table!I:I,0),2),"")</f>
        <v/>
      </c>
      <c r="M992" s="31" t="str">
        <f>IFERROR(INDEX(Table!I:O,MATCH(K992,Table!I:I,0),3),"")</f>
        <v/>
      </c>
      <c r="N992" s="32" t="str">
        <f>IFERROR(INDEX(Table!I:O,MATCH(K992,Table!I:I,0),4),"")</f>
        <v/>
      </c>
      <c r="O992" s="32" t="str">
        <f>IFERROR(INDEX(Table!I:O,MATCH(K992,Table!I:I,0),5),"")</f>
        <v/>
      </c>
      <c r="P992" s="32" t="str">
        <f>IFERROR(INDEX(Table!I:O,MATCH(K992,Table!I:I,0),6),"")</f>
        <v/>
      </c>
      <c r="Q992" s="89" t="str">
        <f t="shared" si="45"/>
        <v/>
      </c>
      <c r="R992" s="89" t="str">
        <f t="shared" si="46"/>
        <v/>
      </c>
      <c r="S992" s="82"/>
      <c r="U992" s="37" t="e">
        <f t="shared" si="47"/>
        <v>#VALUE!</v>
      </c>
    </row>
    <row r="993" spans="1:21" x14ac:dyDescent="0.25">
      <c r="A993" s="31" t="str">
        <f>IF(Table!A993 = "","",Table!A993)</f>
        <v/>
      </c>
      <c r="B993" s="31" t="str">
        <f>IF(Table!B993 = "","",Table!B993)</f>
        <v/>
      </c>
      <c r="C993" s="31" t="str">
        <f>IF(Table!C993 = "","",Table!C993)</f>
        <v/>
      </c>
      <c r="D993" s="32" t="str">
        <f>IF(Table!D993 = "","",Table!D993)</f>
        <v/>
      </c>
      <c r="E993" s="32" t="str">
        <f>IF(Table!E993 = "","",Table!E993)</f>
        <v/>
      </c>
      <c r="F993" s="32" t="str">
        <f>IF(Table!F993 = "","",Table!F993)</f>
        <v/>
      </c>
      <c r="G993" s="91"/>
      <c r="K993" s="31" t="str">
        <f>IFERROR(VLOOKUP(A993,Table!$I$4:$O$3000,1,TRUE),"")</f>
        <v/>
      </c>
      <c r="L993" s="31" t="str">
        <f>IFERROR(INDEX(Table!I:O,MATCH(K993,Table!I:I,0),2),"")</f>
        <v/>
      </c>
      <c r="M993" s="31" t="str">
        <f>IFERROR(INDEX(Table!I:O,MATCH(K993,Table!I:I,0),3),"")</f>
        <v/>
      </c>
      <c r="N993" s="32" t="str">
        <f>IFERROR(INDEX(Table!I:O,MATCH(K993,Table!I:I,0),4),"")</f>
        <v/>
      </c>
      <c r="O993" s="32" t="str">
        <f>IFERROR(INDEX(Table!I:O,MATCH(K993,Table!I:I,0),5),"")</f>
        <v/>
      </c>
      <c r="P993" s="32" t="str">
        <f>IFERROR(INDEX(Table!I:O,MATCH(K993,Table!I:I,0),6),"")</f>
        <v/>
      </c>
      <c r="Q993" s="89" t="str">
        <f t="shared" si="45"/>
        <v/>
      </c>
      <c r="R993" s="89" t="str">
        <f t="shared" si="46"/>
        <v/>
      </c>
      <c r="S993" s="82"/>
      <c r="U993" s="37" t="e">
        <f t="shared" si="47"/>
        <v>#VALUE!</v>
      </c>
    </row>
    <row r="994" spans="1:21" x14ac:dyDescent="0.25">
      <c r="A994" s="31" t="str">
        <f>IF(Table!A994 = "","",Table!A994)</f>
        <v/>
      </c>
      <c r="B994" s="31" t="str">
        <f>IF(Table!B994 = "","",Table!B994)</f>
        <v/>
      </c>
      <c r="C994" s="31" t="str">
        <f>IF(Table!C994 = "","",Table!C994)</f>
        <v/>
      </c>
      <c r="D994" s="32" t="str">
        <f>IF(Table!D994 = "","",Table!D994)</f>
        <v/>
      </c>
      <c r="E994" s="32" t="str">
        <f>IF(Table!E994 = "","",Table!E994)</f>
        <v/>
      </c>
      <c r="F994" s="32" t="str">
        <f>IF(Table!F994 = "","",Table!F994)</f>
        <v/>
      </c>
      <c r="G994" s="91"/>
      <c r="K994" s="31" t="str">
        <f>IFERROR(VLOOKUP(A994,Table!$I$4:$O$3000,1,TRUE),"")</f>
        <v/>
      </c>
      <c r="L994" s="31" t="str">
        <f>IFERROR(INDEX(Table!I:O,MATCH(K994,Table!I:I,0),2),"")</f>
        <v/>
      </c>
      <c r="M994" s="31" t="str">
        <f>IFERROR(INDEX(Table!I:O,MATCH(K994,Table!I:I,0),3),"")</f>
        <v/>
      </c>
      <c r="N994" s="32" t="str">
        <f>IFERROR(INDEX(Table!I:O,MATCH(K994,Table!I:I,0),4),"")</f>
        <v/>
      </c>
      <c r="O994" s="32" t="str">
        <f>IFERROR(INDEX(Table!I:O,MATCH(K994,Table!I:I,0),5),"")</f>
        <v/>
      </c>
      <c r="P994" s="32" t="str">
        <f>IFERROR(INDEX(Table!I:O,MATCH(K994,Table!I:I,0),6),"")</f>
        <v/>
      </c>
      <c r="Q994" s="89" t="str">
        <f t="shared" si="45"/>
        <v/>
      </c>
      <c r="R994" s="89" t="str">
        <f t="shared" si="46"/>
        <v/>
      </c>
      <c r="S994" s="82"/>
      <c r="U994" s="37" t="e">
        <f t="shared" si="47"/>
        <v>#VALUE!</v>
      </c>
    </row>
    <row r="995" spans="1:21" x14ac:dyDescent="0.25">
      <c r="A995" s="31" t="str">
        <f>IF(Table!A995 = "","",Table!A995)</f>
        <v/>
      </c>
      <c r="B995" s="31" t="str">
        <f>IF(Table!B995 = "","",Table!B995)</f>
        <v/>
      </c>
      <c r="C995" s="31" t="str">
        <f>IF(Table!C995 = "","",Table!C995)</f>
        <v/>
      </c>
      <c r="D995" s="32" t="str">
        <f>IF(Table!D995 = "","",Table!D995)</f>
        <v/>
      </c>
      <c r="E995" s="32" t="str">
        <f>IF(Table!E995 = "","",Table!E995)</f>
        <v/>
      </c>
      <c r="F995" s="32" t="str">
        <f>IF(Table!F995 = "","",Table!F995)</f>
        <v/>
      </c>
      <c r="G995" s="91"/>
      <c r="K995" s="31" t="str">
        <f>IFERROR(VLOOKUP(A995,Table!$I$4:$O$3000,1,TRUE),"")</f>
        <v/>
      </c>
      <c r="L995" s="31" t="str">
        <f>IFERROR(INDEX(Table!I:O,MATCH(K995,Table!I:I,0),2),"")</f>
        <v/>
      </c>
      <c r="M995" s="31" t="str">
        <f>IFERROR(INDEX(Table!I:O,MATCH(K995,Table!I:I,0),3),"")</f>
        <v/>
      </c>
      <c r="N995" s="32" t="str">
        <f>IFERROR(INDEX(Table!I:O,MATCH(K995,Table!I:I,0),4),"")</f>
        <v/>
      </c>
      <c r="O995" s="32" t="str">
        <f>IFERROR(INDEX(Table!I:O,MATCH(K995,Table!I:I,0),5),"")</f>
        <v/>
      </c>
      <c r="P995" s="32" t="str">
        <f>IFERROR(INDEX(Table!I:O,MATCH(K995,Table!I:I,0),6),"")</f>
        <v/>
      </c>
      <c r="Q995" s="89" t="str">
        <f t="shared" si="45"/>
        <v/>
      </c>
      <c r="R995" s="89" t="str">
        <f t="shared" si="46"/>
        <v/>
      </c>
      <c r="S995" s="82"/>
      <c r="U995" s="37" t="e">
        <f t="shared" si="47"/>
        <v>#VALUE!</v>
      </c>
    </row>
    <row r="996" spans="1:21" x14ac:dyDescent="0.25">
      <c r="A996" s="31" t="str">
        <f>IF(Table!A996 = "","",Table!A996)</f>
        <v/>
      </c>
      <c r="B996" s="31" t="str">
        <f>IF(Table!B996 = "","",Table!B996)</f>
        <v/>
      </c>
      <c r="C996" s="31" t="str">
        <f>IF(Table!C996 = "","",Table!C996)</f>
        <v/>
      </c>
      <c r="D996" s="32" t="str">
        <f>IF(Table!D996 = "","",Table!D996)</f>
        <v/>
      </c>
      <c r="E996" s="32" t="str">
        <f>IF(Table!E996 = "","",Table!E996)</f>
        <v/>
      </c>
      <c r="F996" s="32" t="str">
        <f>IF(Table!F996 = "","",Table!F996)</f>
        <v/>
      </c>
      <c r="G996" s="91"/>
      <c r="K996" s="31" t="str">
        <f>IFERROR(VLOOKUP(A996,Table!$I$4:$O$3000,1,TRUE),"")</f>
        <v/>
      </c>
      <c r="L996" s="31" t="str">
        <f>IFERROR(INDEX(Table!I:O,MATCH(K996,Table!I:I,0),2),"")</f>
        <v/>
      </c>
      <c r="M996" s="31" t="str">
        <f>IFERROR(INDEX(Table!I:O,MATCH(K996,Table!I:I,0),3),"")</f>
        <v/>
      </c>
      <c r="N996" s="32" t="str">
        <f>IFERROR(INDEX(Table!I:O,MATCH(K996,Table!I:I,0),4),"")</f>
        <v/>
      </c>
      <c r="O996" s="32" t="str">
        <f>IFERROR(INDEX(Table!I:O,MATCH(K996,Table!I:I,0),5),"")</f>
        <v/>
      </c>
      <c r="P996" s="32" t="str">
        <f>IFERROR(INDEX(Table!I:O,MATCH(K996,Table!I:I,0),6),"")</f>
        <v/>
      </c>
      <c r="Q996" s="89" t="str">
        <f t="shared" si="45"/>
        <v/>
      </c>
      <c r="R996" s="89" t="str">
        <f t="shared" si="46"/>
        <v/>
      </c>
      <c r="S996" s="82"/>
      <c r="U996" s="37" t="e">
        <f t="shared" si="47"/>
        <v>#VALUE!</v>
      </c>
    </row>
    <row r="997" spans="1:21" x14ac:dyDescent="0.25">
      <c r="A997" s="31" t="str">
        <f>IF(Table!A997 = "","",Table!A997)</f>
        <v/>
      </c>
      <c r="B997" s="31" t="str">
        <f>IF(Table!B997 = "","",Table!B997)</f>
        <v/>
      </c>
      <c r="C997" s="31" t="str">
        <f>IF(Table!C997 = "","",Table!C997)</f>
        <v/>
      </c>
      <c r="D997" s="32" t="str">
        <f>IF(Table!D997 = "","",Table!D997)</f>
        <v/>
      </c>
      <c r="E997" s="32" t="str">
        <f>IF(Table!E997 = "","",Table!E997)</f>
        <v/>
      </c>
      <c r="F997" s="32" t="str">
        <f>IF(Table!F997 = "","",Table!F997)</f>
        <v/>
      </c>
      <c r="G997" s="91"/>
      <c r="K997" s="31" t="str">
        <f>IFERROR(VLOOKUP(A997,Table!$I$4:$O$3000,1,TRUE),"")</f>
        <v/>
      </c>
      <c r="L997" s="31" t="str">
        <f>IFERROR(INDEX(Table!I:O,MATCH(K997,Table!I:I,0),2),"")</f>
        <v/>
      </c>
      <c r="M997" s="31" t="str">
        <f>IFERROR(INDEX(Table!I:O,MATCH(K997,Table!I:I,0),3),"")</f>
        <v/>
      </c>
      <c r="N997" s="32" t="str">
        <f>IFERROR(INDEX(Table!I:O,MATCH(K997,Table!I:I,0),4),"")</f>
        <v/>
      </c>
      <c r="O997" s="32" t="str">
        <f>IFERROR(INDEX(Table!I:O,MATCH(K997,Table!I:I,0),5),"")</f>
        <v/>
      </c>
      <c r="P997" s="32" t="str">
        <f>IFERROR(INDEX(Table!I:O,MATCH(K997,Table!I:I,0),6),"")</f>
        <v/>
      </c>
      <c r="Q997" s="89" t="str">
        <f t="shared" si="45"/>
        <v/>
      </c>
      <c r="R997" s="89" t="str">
        <f t="shared" si="46"/>
        <v/>
      </c>
      <c r="S997" s="82"/>
      <c r="U997" s="37" t="e">
        <f t="shared" si="47"/>
        <v>#VALUE!</v>
      </c>
    </row>
    <row r="998" spans="1:21" x14ac:dyDescent="0.25">
      <c r="A998" s="31" t="str">
        <f>IF(Table!A998 = "","",Table!A998)</f>
        <v/>
      </c>
      <c r="B998" s="31" t="str">
        <f>IF(Table!B998 = "","",Table!B998)</f>
        <v/>
      </c>
      <c r="C998" s="31" t="str">
        <f>IF(Table!C998 = "","",Table!C998)</f>
        <v/>
      </c>
      <c r="D998" s="32" t="str">
        <f>IF(Table!D998 = "","",Table!D998)</f>
        <v/>
      </c>
      <c r="E998" s="32" t="str">
        <f>IF(Table!E998 = "","",Table!E998)</f>
        <v/>
      </c>
      <c r="F998" s="32" t="str">
        <f>IF(Table!F998 = "","",Table!F998)</f>
        <v/>
      </c>
      <c r="G998" s="91"/>
      <c r="K998" s="31" t="str">
        <f>IFERROR(VLOOKUP(A998,Table!$I$4:$O$3000,1,TRUE),"")</f>
        <v/>
      </c>
      <c r="L998" s="31" t="str">
        <f>IFERROR(INDEX(Table!I:O,MATCH(K998,Table!I:I,0),2),"")</f>
        <v/>
      </c>
      <c r="M998" s="31" t="str">
        <f>IFERROR(INDEX(Table!I:O,MATCH(K998,Table!I:I,0),3),"")</f>
        <v/>
      </c>
      <c r="N998" s="32" t="str">
        <f>IFERROR(INDEX(Table!I:O,MATCH(K998,Table!I:I,0),4),"")</f>
        <v/>
      </c>
      <c r="O998" s="32" t="str">
        <f>IFERROR(INDEX(Table!I:O,MATCH(K998,Table!I:I,0),5),"")</f>
        <v/>
      </c>
      <c r="P998" s="32" t="str">
        <f>IFERROR(INDEX(Table!I:O,MATCH(K998,Table!I:I,0),6),"")</f>
        <v/>
      </c>
      <c r="Q998" s="89" t="str">
        <f t="shared" si="45"/>
        <v/>
      </c>
      <c r="R998" s="89" t="str">
        <f t="shared" si="46"/>
        <v/>
      </c>
      <c r="S998" s="82"/>
      <c r="U998" s="37" t="e">
        <f t="shared" si="47"/>
        <v>#VALUE!</v>
      </c>
    </row>
    <row r="999" spans="1:21" x14ac:dyDescent="0.25">
      <c r="A999" s="31" t="str">
        <f>IF(Table!A999 = "","",Table!A999)</f>
        <v/>
      </c>
      <c r="B999" s="31" t="str">
        <f>IF(Table!B999 = "","",Table!B999)</f>
        <v/>
      </c>
      <c r="C999" s="31" t="str">
        <f>IF(Table!C999 = "","",Table!C999)</f>
        <v/>
      </c>
      <c r="D999" s="32" t="str">
        <f>IF(Table!D999 = "","",Table!D999)</f>
        <v/>
      </c>
      <c r="E999" s="32" t="str">
        <f>IF(Table!E999 = "","",Table!E999)</f>
        <v/>
      </c>
      <c r="F999" s="32" t="str">
        <f>IF(Table!F999 = "","",Table!F999)</f>
        <v/>
      </c>
      <c r="G999" s="91"/>
      <c r="K999" s="31" t="str">
        <f>IFERROR(VLOOKUP(A999,Table!$I$4:$O$3000,1,TRUE),"")</f>
        <v/>
      </c>
      <c r="L999" s="31" t="str">
        <f>IFERROR(INDEX(Table!I:O,MATCH(K999,Table!I:I,0),2),"")</f>
        <v/>
      </c>
      <c r="M999" s="31" t="str">
        <f>IFERROR(INDEX(Table!I:O,MATCH(K999,Table!I:I,0),3),"")</f>
        <v/>
      </c>
      <c r="N999" s="32" t="str">
        <f>IFERROR(INDEX(Table!I:O,MATCH(K999,Table!I:I,0),4),"")</f>
        <v/>
      </c>
      <c r="O999" s="32" t="str">
        <f>IFERROR(INDEX(Table!I:O,MATCH(K999,Table!I:I,0),5),"")</f>
        <v/>
      </c>
      <c r="P999" s="32" t="str">
        <f>IFERROR(INDEX(Table!I:O,MATCH(K999,Table!I:I,0),6),"")</f>
        <v/>
      </c>
      <c r="Q999" s="89" t="str">
        <f t="shared" si="45"/>
        <v/>
      </c>
      <c r="R999" s="89" t="str">
        <f t="shared" si="46"/>
        <v/>
      </c>
      <c r="S999" s="82"/>
      <c r="U999" s="37" t="e">
        <f t="shared" si="47"/>
        <v>#VALUE!</v>
      </c>
    </row>
    <row r="1000" spans="1:21" x14ac:dyDescent="0.25">
      <c r="A1000" s="31" t="str">
        <f>IF(Table!A1000 = "","",Table!A1000)</f>
        <v/>
      </c>
      <c r="B1000" s="31" t="str">
        <f>IF(Table!B1000 = "","",Table!B1000)</f>
        <v/>
      </c>
      <c r="C1000" s="31" t="str">
        <f>IF(Table!C1000 = "","",Table!C1000)</f>
        <v/>
      </c>
      <c r="D1000" s="32" t="str">
        <f>IF(Table!D1000 = "","",Table!D1000)</f>
        <v/>
      </c>
      <c r="E1000" s="32" t="str">
        <f>IF(Table!E1000 = "","",Table!E1000)</f>
        <v/>
      </c>
      <c r="F1000" s="32" t="str">
        <f>IF(Table!F1000 = "","",Table!F1000)</f>
        <v/>
      </c>
      <c r="G1000" s="91"/>
      <c r="K1000" s="31" t="str">
        <f>IFERROR(VLOOKUP(A1000,Table!$I$4:$O$3000,1,TRUE),"")</f>
        <v/>
      </c>
      <c r="L1000" s="31" t="str">
        <f>IFERROR(INDEX(Table!I:O,MATCH(K1000,Table!I:I,0),2),"")</f>
        <v/>
      </c>
      <c r="M1000" s="31" t="str">
        <f>IFERROR(INDEX(Table!I:O,MATCH(K1000,Table!I:I,0),3),"")</f>
        <v/>
      </c>
      <c r="N1000" s="32" t="str">
        <f>IFERROR(INDEX(Table!I:O,MATCH(K1000,Table!I:I,0),4),"")</f>
        <v/>
      </c>
      <c r="O1000" s="32" t="str">
        <f>IFERROR(INDEX(Table!I:O,MATCH(K1000,Table!I:I,0),5),"")</f>
        <v/>
      </c>
      <c r="P1000" s="32" t="str">
        <f>IFERROR(INDEX(Table!I:O,MATCH(K1000,Table!I:I,0),6),"")</f>
        <v/>
      </c>
      <c r="Q1000" s="89" t="str">
        <f t="shared" si="45"/>
        <v/>
      </c>
      <c r="R1000" s="89" t="str">
        <f t="shared" si="46"/>
        <v/>
      </c>
      <c r="S1000" s="82"/>
      <c r="U1000" s="37" t="e">
        <f t="shared" si="47"/>
        <v>#VALUE!</v>
      </c>
    </row>
    <row r="1001" spans="1:21" x14ac:dyDescent="0.25">
      <c r="A1001" s="31" t="str">
        <f>IF(Table!A1001 = "","",Table!A1001)</f>
        <v/>
      </c>
      <c r="B1001" s="31" t="str">
        <f>IF(Table!B1001 = "","",Table!B1001)</f>
        <v/>
      </c>
      <c r="C1001" s="31" t="str">
        <f>IF(Table!C1001 = "","",Table!C1001)</f>
        <v/>
      </c>
      <c r="D1001" s="32" t="str">
        <f>IF(Table!D1001 = "","",Table!D1001)</f>
        <v/>
      </c>
      <c r="E1001" s="32" t="str">
        <f>IF(Table!E1001 = "","",Table!E1001)</f>
        <v/>
      </c>
      <c r="F1001" s="32" t="str">
        <f>IF(Table!F1001 = "","",Table!F1001)</f>
        <v/>
      </c>
      <c r="G1001" s="91"/>
      <c r="K1001" s="31" t="str">
        <f>IFERROR(VLOOKUP(A1001,Table!$I$4:$O$3000,1,TRUE),"")</f>
        <v/>
      </c>
      <c r="L1001" s="31" t="str">
        <f>IFERROR(INDEX(Table!I:O,MATCH(K1001,Table!I:I,0),2),"")</f>
        <v/>
      </c>
      <c r="M1001" s="31" t="str">
        <f>IFERROR(INDEX(Table!I:O,MATCH(K1001,Table!I:I,0),3),"")</f>
        <v/>
      </c>
      <c r="N1001" s="32" t="str">
        <f>IFERROR(INDEX(Table!I:O,MATCH(K1001,Table!I:I,0),4),"")</f>
        <v/>
      </c>
      <c r="O1001" s="32" t="str">
        <f>IFERROR(INDEX(Table!I:O,MATCH(K1001,Table!I:I,0),5),"")</f>
        <v/>
      </c>
      <c r="P1001" s="32" t="str">
        <f>IFERROR(INDEX(Table!I:O,MATCH(K1001,Table!I:I,0),6),"")</f>
        <v/>
      </c>
      <c r="Q1001" s="89" t="str">
        <f t="shared" si="45"/>
        <v/>
      </c>
      <c r="R1001" s="89" t="str">
        <f t="shared" si="46"/>
        <v/>
      </c>
      <c r="S1001" s="82"/>
      <c r="U1001" s="37" t="e">
        <f t="shared" si="47"/>
        <v>#VALUE!</v>
      </c>
    </row>
    <row r="1002" spans="1:21" x14ac:dyDescent="0.25">
      <c r="A1002" s="31" t="str">
        <f>IF(Table!A1002 = "","",Table!A1002)</f>
        <v/>
      </c>
      <c r="B1002" s="31" t="str">
        <f>IF(Table!B1002 = "","",Table!B1002)</f>
        <v/>
      </c>
      <c r="C1002" s="31" t="str">
        <f>IF(Table!C1002 = "","",Table!C1002)</f>
        <v/>
      </c>
      <c r="D1002" s="32" t="str">
        <f>IF(Table!D1002 = "","",Table!D1002)</f>
        <v/>
      </c>
      <c r="E1002" s="32" t="str">
        <f>IF(Table!E1002 = "","",Table!E1002)</f>
        <v/>
      </c>
      <c r="F1002" s="32" t="str">
        <f>IF(Table!F1002 = "","",Table!F1002)</f>
        <v/>
      </c>
      <c r="G1002" s="91"/>
      <c r="K1002" s="31" t="str">
        <f>IFERROR(VLOOKUP(A1002,Table!$I$4:$O$3000,1,TRUE),"")</f>
        <v/>
      </c>
      <c r="L1002" s="31" t="str">
        <f>IFERROR(INDEX(Table!I:O,MATCH(K1002,Table!I:I,0),2),"")</f>
        <v/>
      </c>
      <c r="M1002" s="31" t="str">
        <f>IFERROR(INDEX(Table!I:O,MATCH(K1002,Table!I:I,0),3),"")</f>
        <v/>
      </c>
      <c r="N1002" s="32" t="str">
        <f>IFERROR(INDEX(Table!I:O,MATCH(K1002,Table!I:I,0),4),"")</f>
        <v/>
      </c>
      <c r="O1002" s="32" t="str">
        <f>IFERROR(INDEX(Table!I:O,MATCH(K1002,Table!I:I,0),5),"")</f>
        <v/>
      </c>
      <c r="P1002" s="32" t="str">
        <f>IFERROR(INDEX(Table!I:O,MATCH(K1002,Table!I:I,0),6),"")</f>
        <v/>
      </c>
      <c r="Q1002" s="89" t="str">
        <f t="shared" si="45"/>
        <v/>
      </c>
      <c r="R1002" s="89" t="str">
        <f t="shared" si="46"/>
        <v/>
      </c>
      <c r="S1002" s="82"/>
      <c r="U1002" s="37" t="e">
        <f t="shared" si="47"/>
        <v>#VALUE!</v>
      </c>
    </row>
    <row r="1003" spans="1:21" x14ac:dyDescent="0.25">
      <c r="A1003" s="31" t="str">
        <f>IF(Table!A1003 = "","",Table!A1003)</f>
        <v/>
      </c>
      <c r="B1003" s="31" t="str">
        <f>IF(Table!B1003 = "","",Table!B1003)</f>
        <v/>
      </c>
      <c r="C1003" s="31" t="str">
        <f>IF(Table!C1003 = "","",Table!C1003)</f>
        <v/>
      </c>
      <c r="D1003" s="32" t="str">
        <f>IF(Table!D1003 = "","",Table!D1003)</f>
        <v/>
      </c>
      <c r="E1003" s="32" t="str">
        <f>IF(Table!E1003 = "","",Table!E1003)</f>
        <v/>
      </c>
      <c r="F1003" s="32" t="str">
        <f>IF(Table!F1003 = "","",Table!F1003)</f>
        <v/>
      </c>
      <c r="G1003" s="91"/>
      <c r="K1003" s="31" t="str">
        <f>IFERROR(VLOOKUP(A1003,Table!$I$4:$O$3000,1,TRUE),"")</f>
        <v/>
      </c>
      <c r="L1003" s="31" t="str">
        <f>IFERROR(INDEX(Table!I:O,MATCH(K1003,Table!I:I,0),2),"")</f>
        <v/>
      </c>
      <c r="M1003" s="31" t="str">
        <f>IFERROR(INDEX(Table!I:O,MATCH(K1003,Table!I:I,0),3),"")</f>
        <v/>
      </c>
      <c r="N1003" s="32" t="str">
        <f>IFERROR(INDEX(Table!I:O,MATCH(K1003,Table!I:I,0),4),"")</f>
        <v/>
      </c>
      <c r="O1003" s="32" t="str">
        <f>IFERROR(INDEX(Table!I:O,MATCH(K1003,Table!I:I,0),5),"")</f>
        <v/>
      </c>
      <c r="P1003" s="32" t="str">
        <f>IFERROR(INDEX(Table!I:O,MATCH(K1003,Table!I:I,0),6),"")</f>
        <v/>
      </c>
      <c r="Q1003" s="89" t="str">
        <f t="shared" si="45"/>
        <v/>
      </c>
      <c r="R1003" s="89" t="str">
        <f t="shared" si="46"/>
        <v/>
      </c>
      <c r="S1003" s="82"/>
      <c r="U1003" s="37" t="e">
        <f t="shared" si="47"/>
        <v>#VALUE!</v>
      </c>
    </row>
    <row r="1004" spans="1:21" x14ac:dyDescent="0.25">
      <c r="A1004" s="31" t="str">
        <f>IF(Table!A1004 = "","",Table!A1004)</f>
        <v/>
      </c>
      <c r="B1004" s="31" t="str">
        <f>IF(Table!B1004 = "","",Table!B1004)</f>
        <v/>
      </c>
      <c r="C1004" s="31" t="str">
        <f>IF(Table!C1004 = "","",Table!C1004)</f>
        <v/>
      </c>
      <c r="D1004" s="32" t="str">
        <f>IF(Table!D1004 = "","",Table!D1004)</f>
        <v/>
      </c>
      <c r="E1004" s="32" t="str">
        <f>IF(Table!E1004 = "","",Table!E1004)</f>
        <v/>
      </c>
      <c r="F1004" s="32" t="str">
        <f>IF(Table!F1004 = "","",Table!F1004)</f>
        <v/>
      </c>
      <c r="G1004" s="91"/>
      <c r="K1004" s="31" t="str">
        <f>IFERROR(VLOOKUP(A1004,Table!$I$4:$O$3000,1,TRUE),"")</f>
        <v/>
      </c>
      <c r="L1004" s="31" t="str">
        <f>IFERROR(INDEX(Table!I:O,MATCH(K1004,Table!I:I,0),2),"")</f>
        <v/>
      </c>
      <c r="M1004" s="31" t="str">
        <f>IFERROR(INDEX(Table!I:O,MATCH(K1004,Table!I:I,0),3),"")</f>
        <v/>
      </c>
      <c r="N1004" s="32" t="str">
        <f>IFERROR(INDEX(Table!I:O,MATCH(K1004,Table!I:I,0),4),"")</f>
        <v/>
      </c>
      <c r="O1004" s="32" t="str">
        <f>IFERROR(INDEX(Table!I:O,MATCH(K1004,Table!I:I,0),5),"")</f>
        <v/>
      </c>
      <c r="P1004" s="32" t="str">
        <f>IFERROR(INDEX(Table!I:O,MATCH(K1004,Table!I:I,0),6),"")</f>
        <v/>
      </c>
      <c r="Q1004" s="89" t="str">
        <f t="shared" si="45"/>
        <v/>
      </c>
      <c r="R1004" s="89" t="str">
        <f t="shared" si="46"/>
        <v/>
      </c>
      <c r="S1004" s="82"/>
      <c r="U1004" s="37" t="e">
        <f t="shared" si="47"/>
        <v>#VALUE!</v>
      </c>
    </row>
    <row r="1005" spans="1:21" x14ac:dyDescent="0.25">
      <c r="A1005" s="31" t="str">
        <f>IF(Table!A1005 = "","",Table!A1005)</f>
        <v/>
      </c>
      <c r="B1005" s="31" t="str">
        <f>IF(Table!B1005 = "","",Table!B1005)</f>
        <v/>
      </c>
      <c r="C1005" s="31" t="str">
        <f>IF(Table!C1005 = "","",Table!C1005)</f>
        <v/>
      </c>
      <c r="D1005" s="32" t="str">
        <f>IF(Table!D1005 = "","",Table!D1005)</f>
        <v/>
      </c>
      <c r="E1005" s="32" t="str">
        <f>IF(Table!E1005 = "","",Table!E1005)</f>
        <v/>
      </c>
      <c r="F1005" s="32" t="str">
        <f>IF(Table!F1005 = "","",Table!F1005)</f>
        <v/>
      </c>
      <c r="G1005" s="91"/>
      <c r="K1005" s="31" t="str">
        <f>IFERROR(VLOOKUP(A1005,Table!$I$4:$O$3000,1,TRUE),"")</f>
        <v/>
      </c>
      <c r="L1005" s="31" t="str">
        <f>IFERROR(INDEX(Table!I:O,MATCH(K1005,Table!I:I,0),2),"")</f>
        <v/>
      </c>
      <c r="M1005" s="31" t="str">
        <f>IFERROR(INDEX(Table!I:O,MATCH(K1005,Table!I:I,0),3),"")</f>
        <v/>
      </c>
      <c r="N1005" s="32" t="str">
        <f>IFERROR(INDEX(Table!I:O,MATCH(K1005,Table!I:I,0),4),"")</f>
        <v/>
      </c>
      <c r="O1005" s="32" t="str">
        <f>IFERROR(INDEX(Table!I:O,MATCH(K1005,Table!I:I,0),5),"")</f>
        <v/>
      </c>
      <c r="P1005" s="32" t="str">
        <f>IFERROR(INDEX(Table!I:O,MATCH(K1005,Table!I:I,0),6),"")</f>
        <v/>
      </c>
      <c r="Q1005" s="89" t="str">
        <f t="shared" si="45"/>
        <v/>
      </c>
      <c r="R1005" s="89" t="str">
        <f t="shared" si="46"/>
        <v/>
      </c>
      <c r="S1005" s="82"/>
      <c r="U1005" s="37" t="e">
        <f t="shared" si="47"/>
        <v>#VALUE!</v>
      </c>
    </row>
    <row r="1006" spans="1:21" x14ac:dyDescent="0.25">
      <c r="A1006" s="31" t="str">
        <f>IF(Table!A1006 = "","",Table!A1006)</f>
        <v/>
      </c>
      <c r="B1006" s="31" t="str">
        <f>IF(Table!B1006 = "","",Table!B1006)</f>
        <v/>
      </c>
      <c r="C1006" s="31" t="str">
        <f>IF(Table!C1006 = "","",Table!C1006)</f>
        <v/>
      </c>
      <c r="D1006" s="32" t="str">
        <f>IF(Table!D1006 = "","",Table!D1006)</f>
        <v/>
      </c>
      <c r="E1006" s="32" t="str">
        <f>IF(Table!E1006 = "","",Table!E1006)</f>
        <v/>
      </c>
      <c r="F1006" s="32" t="str">
        <f>IF(Table!F1006 = "","",Table!F1006)</f>
        <v/>
      </c>
      <c r="G1006" s="91"/>
      <c r="K1006" s="31" t="str">
        <f>IFERROR(VLOOKUP(A1006,Table!$I$4:$O$3000,1,TRUE),"")</f>
        <v/>
      </c>
      <c r="L1006" s="31" t="str">
        <f>IFERROR(INDEX(Table!I:O,MATCH(K1006,Table!I:I,0),2),"")</f>
        <v/>
      </c>
      <c r="M1006" s="31" t="str">
        <f>IFERROR(INDEX(Table!I:O,MATCH(K1006,Table!I:I,0),3),"")</f>
        <v/>
      </c>
      <c r="N1006" s="32" t="str">
        <f>IFERROR(INDEX(Table!I:O,MATCH(K1006,Table!I:I,0),4),"")</f>
        <v/>
      </c>
      <c r="O1006" s="32" t="str">
        <f>IFERROR(INDEX(Table!I:O,MATCH(K1006,Table!I:I,0),5),"")</f>
        <v/>
      </c>
      <c r="P1006" s="32" t="str">
        <f>IFERROR(INDEX(Table!I:O,MATCH(K1006,Table!I:I,0),6),"")</f>
        <v/>
      </c>
      <c r="Q1006" s="89" t="str">
        <f t="shared" si="45"/>
        <v/>
      </c>
      <c r="R1006" s="89" t="str">
        <f t="shared" si="46"/>
        <v/>
      </c>
      <c r="S1006" s="82"/>
      <c r="U1006" s="37" t="e">
        <f t="shared" si="47"/>
        <v>#VALUE!</v>
      </c>
    </row>
    <row r="1007" spans="1:21" x14ac:dyDescent="0.25">
      <c r="A1007" s="31" t="str">
        <f>IF(Table!A1007 = "","",Table!A1007)</f>
        <v/>
      </c>
      <c r="B1007" s="31" t="str">
        <f>IF(Table!B1007 = "","",Table!B1007)</f>
        <v/>
      </c>
      <c r="C1007" s="31" t="str">
        <f>IF(Table!C1007 = "","",Table!C1007)</f>
        <v/>
      </c>
      <c r="D1007" s="32" t="str">
        <f>IF(Table!D1007 = "","",Table!D1007)</f>
        <v/>
      </c>
      <c r="E1007" s="32" t="str">
        <f>IF(Table!E1007 = "","",Table!E1007)</f>
        <v/>
      </c>
      <c r="F1007" s="32" t="str">
        <f>IF(Table!F1007 = "","",Table!F1007)</f>
        <v/>
      </c>
      <c r="G1007" s="91"/>
      <c r="K1007" s="31" t="str">
        <f>IFERROR(VLOOKUP(A1007,Table!$I$4:$O$3000,1,TRUE),"")</f>
        <v/>
      </c>
      <c r="L1007" s="31" t="str">
        <f>IFERROR(INDEX(Table!I:O,MATCH(K1007,Table!I:I,0),2),"")</f>
        <v/>
      </c>
      <c r="M1007" s="31" t="str">
        <f>IFERROR(INDEX(Table!I:O,MATCH(K1007,Table!I:I,0),3),"")</f>
        <v/>
      </c>
      <c r="N1007" s="32" t="str">
        <f>IFERROR(INDEX(Table!I:O,MATCH(K1007,Table!I:I,0),4),"")</f>
        <v/>
      </c>
      <c r="O1007" s="32" t="str">
        <f>IFERROR(INDEX(Table!I:O,MATCH(K1007,Table!I:I,0),5),"")</f>
        <v/>
      </c>
      <c r="P1007" s="32" t="str">
        <f>IFERROR(INDEX(Table!I:O,MATCH(K1007,Table!I:I,0),6),"")</f>
        <v/>
      </c>
      <c r="Q1007" s="89" t="str">
        <f t="shared" si="45"/>
        <v/>
      </c>
      <c r="R1007" s="89" t="str">
        <f t="shared" si="46"/>
        <v/>
      </c>
      <c r="S1007" s="82"/>
      <c r="U1007" s="37" t="e">
        <f t="shared" si="47"/>
        <v>#VALUE!</v>
      </c>
    </row>
    <row r="1008" spans="1:21" x14ac:dyDescent="0.25">
      <c r="A1008" s="31" t="str">
        <f>IF(Table!A1008 = "","",Table!A1008)</f>
        <v/>
      </c>
      <c r="B1008" s="31" t="str">
        <f>IF(Table!B1008 = "","",Table!B1008)</f>
        <v/>
      </c>
      <c r="C1008" s="31" t="str">
        <f>IF(Table!C1008 = "","",Table!C1008)</f>
        <v/>
      </c>
      <c r="D1008" s="32" t="str">
        <f>IF(Table!D1008 = "","",Table!D1008)</f>
        <v/>
      </c>
      <c r="E1008" s="32" t="str">
        <f>IF(Table!E1008 = "","",Table!E1008)</f>
        <v/>
      </c>
      <c r="F1008" s="32" t="str">
        <f>IF(Table!F1008 = "","",Table!F1008)</f>
        <v/>
      </c>
      <c r="G1008" s="91"/>
      <c r="K1008" s="31" t="str">
        <f>IFERROR(VLOOKUP(A1008,Table!$I$4:$O$3000,1,TRUE),"")</f>
        <v/>
      </c>
      <c r="L1008" s="31" t="str">
        <f>IFERROR(INDEX(Table!I:O,MATCH(K1008,Table!I:I,0),2),"")</f>
        <v/>
      </c>
      <c r="M1008" s="31" t="str">
        <f>IFERROR(INDEX(Table!I:O,MATCH(K1008,Table!I:I,0),3),"")</f>
        <v/>
      </c>
      <c r="N1008" s="32" t="str">
        <f>IFERROR(INDEX(Table!I:O,MATCH(K1008,Table!I:I,0),4),"")</f>
        <v/>
      </c>
      <c r="O1008" s="32" t="str">
        <f>IFERROR(INDEX(Table!I:O,MATCH(K1008,Table!I:I,0),5),"")</f>
        <v/>
      </c>
      <c r="P1008" s="32" t="str">
        <f>IFERROR(INDEX(Table!I:O,MATCH(K1008,Table!I:I,0),6),"")</f>
        <v/>
      </c>
      <c r="Q1008" s="89" t="str">
        <f t="shared" si="45"/>
        <v/>
      </c>
      <c r="R1008" s="89" t="str">
        <f t="shared" si="46"/>
        <v/>
      </c>
      <c r="S1008" s="82"/>
      <c r="U1008" s="37" t="e">
        <f t="shared" si="47"/>
        <v>#VALUE!</v>
      </c>
    </row>
    <row r="1009" spans="1:21" x14ac:dyDescent="0.25">
      <c r="A1009" s="31" t="str">
        <f>IF(Table!A1009 = "","",Table!A1009)</f>
        <v/>
      </c>
      <c r="B1009" s="31" t="str">
        <f>IF(Table!B1009 = "","",Table!B1009)</f>
        <v/>
      </c>
      <c r="C1009" s="31" t="str">
        <f>IF(Table!C1009 = "","",Table!C1009)</f>
        <v/>
      </c>
      <c r="D1009" s="32" t="str">
        <f>IF(Table!D1009 = "","",Table!D1009)</f>
        <v/>
      </c>
      <c r="E1009" s="32" t="str">
        <f>IF(Table!E1009 = "","",Table!E1009)</f>
        <v/>
      </c>
      <c r="F1009" s="32" t="str">
        <f>IF(Table!F1009 = "","",Table!F1009)</f>
        <v/>
      </c>
      <c r="G1009" s="91"/>
      <c r="K1009" s="31" t="str">
        <f>IFERROR(VLOOKUP(A1009,Table!$I$4:$O$3000,1,TRUE),"")</f>
        <v/>
      </c>
      <c r="L1009" s="31" t="str">
        <f>IFERROR(INDEX(Table!I:O,MATCH(K1009,Table!I:I,0),2),"")</f>
        <v/>
      </c>
      <c r="M1009" s="31" t="str">
        <f>IFERROR(INDEX(Table!I:O,MATCH(K1009,Table!I:I,0),3),"")</f>
        <v/>
      </c>
      <c r="N1009" s="32" t="str">
        <f>IFERROR(INDEX(Table!I:O,MATCH(K1009,Table!I:I,0),4),"")</f>
        <v/>
      </c>
      <c r="O1009" s="32" t="str">
        <f>IFERROR(INDEX(Table!I:O,MATCH(K1009,Table!I:I,0),5),"")</f>
        <v/>
      </c>
      <c r="P1009" s="32" t="str">
        <f>IFERROR(INDEX(Table!I:O,MATCH(K1009,Table!I:I,0),6),"")</f>
        <v/>
      </c>
      <c r="Q1009" s="89" t="str">
        <f t="shared" si="45"/>
        <v/>
      </c>
      <c r="R1009" s="89" t="str">
        <f t="shared" si="46"/>
        <v/>
      </c>
      <c r="S1009" s="82"/>
      <c r="U1009" s="37" t="e">
        <f t="shared" si="47"/>
        <v>#VALUE!</v>
      </c>
    </row>
    <row r="1010" spans="1:21" x14ac:dyDescent="0.25">
      <c r="A1010" s="31" t="str">
        <f>IF(Table!A1010 = "","",Table!A1010)</f>
        <v/>
      </c>
      <c r="B1010" s="31" t="str">
        <f>IF(Table!B1010 = "","",Table!B1010)</f>
        <v/>
      </c>
      <c r="C1010" s="31" t="str">
        <f>IF(Table!C1010 = "","",Table!C1010)</f>
        <v/>
      </c>
      <c r="D1010" s="32" t="str">
        <f>IF(Table!D1010 = "","",Table!D1010)</f>
        <v/>
      </c>
      <c r="E1010" s="32" t="str">
        <f>IF(Table!E1010 = "","",Table!E1010)</f>
        <v/>
      </c>
      <c r="F1010" s="32" t="str">
        <f>IF(Table!F1010 = "","",Table!F1010)</f>
        <v/>
      </c>
      <c r="G1010" s="91"/>
      <c r="K1010" s="31" t="str">
        <f>IFERROR(VLOOKUP(A1010,Table!$I$4:$O$3000,1,TRUE),"")</f>
        <v/>
      </c>
      <c r="L1010" s="31" t="str">
        <f>IFERROR(INDEX(Table!I:O,MATCH(K1010,Table!I:I,0),2),"")</f>
        <v/>
      </c>
      <c r="M1010" s="31" t="str">
        <f>IFERROR(INDEX(Table!I:O,MATCH(K1010,Table!I:I,0),3),"")</f>
        <v/>
      </c>
      <c r="N1010" s="32" t="str">
        <f>IFERROR(INDEX(Table!I:O,MATCH(K1010,Table!I:I,0),4),"")</f>
        <v/>
      </c>
      <c r="O1010" s="32" t="str">
        <f>IFERROR(INDEX(Table!I:O,MATCH(K1010,Table!I:I,0),5),"")</f>
        <v/>
      </c>
      <c r="P1010" s="32" t="str">
        <f>IFERROR(INDEX(Table!I:O,MATCH(K1010,Table!I:I,0),6),"")</f>
        <v/>
      </c>
      <c r="Q1010" s="89" t="str">
        <f t="shared" si="45"/>
        <v/>
      </c>
      <c r="R1010" s="89" t="str">
        <f t="shared" si="46"/>
        <v/>
      </c>
      <c r="S1010" s="82"/>
      <c r="U1010" s="37" t="e">
        <f t="shared" si="47"/>
        <v>#VALUE!</v>
      </c>
    </row>
    <row r="1011" spans="1:21" x14ac:dyDescent="0.25">
      <c r="A1011" s="31" t="str">
        <f>IF(Table!A1011 = "","",Table!A1011)</f>
        <v/>
      </c>
      <c r="B1011" s="31" t="str">
        <f>IF(Table!B1011 = "","",Table!B1011)</f>
        <v/>
      </c>
      <c r="C1011" s="31" t="str">
        <f>IF(Table!C1011 = "","",Table!C1011)</f>
        <v/>
      </c>
      <c r="D1011" s="32" t="str">
        <f>IF(Table!D1011 = "","",Table!D1011)</f>
        <v/>
      </c>
      <c r="E1011" s="32" t="str">
        <f>IF(Table!E1011 = "","",Table!E1011)</f>
        <v/>
      </c>
      <c r="F1011" s="32" t="str">
        <f>IF(Table!F1011 = "","",Table!F1011)</f>
        <v/>
      </c>
      <c r="G1011" s="91"/>
      <c r="K1011" s="31" t="str">
        <f>IFERROR(VLOOKUP(A1011,Table!$I$4:$O$3000,1,TRUE),"")</f>
        <v/>
      </c>
      <c r="L1011" s="31" t="str">
        <f>IFERROR(INDEX(Table!I:O,MATCH(K1011,Table!I:I,0),2),"")</f>
        <v/>
      </c>
      <c r="M1011" s="31" t="str">
        <f>IFERROR(INDEX(Table!I:O,MATCH(K1011,Table!I:I,0),3),"")</f>
        <v/>
      </c>
      <c r="N1011" s="32" t="str">
        <f>IFERROR(INDEX(Table!I:O,MATCH(K1011,Table!I:I,0),4),"")</f>
        <v/>
      </c>
      <c r="O1011" s="32" t="str">
        <f>IFERROR(INDEX(Table!I:O,MATCH(K1011,Table!I:I,0),5),"")</f>
        <v/>
      </c>
      <c r="P1011" s="32" t="str">
        <f>IFERROR(INDEX(Table!I:O,MATCH(K1011,Table!I:I,0),6),"")</f>
        <v/>
      </c>
      <c r="Q1011" s="89" t="str">
        <f t="shared" si="45"/>
        <v/>
      </c>
      <c r="R1011" s="89" t="str">
        <f t="shared" si="46"/>
        <v/>
      </c>
      <c r="S1011" s="82"/>
      <c r="U1011" s="37" t="e">
        <f t="shared" si="47"/>
        <v>#VALUE!</v>
      </c>
    </row>
    <row r="1012" spans="1:21" x14ac:dyDescent="0.25">
      <c r="A1012" s="31" t="str">
        <f>IF(Table!A1012 = "","",Table!A1012)</f>
        <v/>
      </c>
      <c r="B1012" s="31" t="str">
        <f>IF(Table!B1012 = "","",Table!B1012)</f>
        <v/>
      </c>
      <c r="C1012" s="31" t="str">
        <f>IF(Table!C1012 = "","",Table!C1012)</f>
        <v/>
      </c>
      <c r="D1012" s="32" t="str">
        <f>IF(Table!D1012 = "","",Table!D1012)</f>
        <v/>
      </c>
      <c r="E1012" s="32" t="str">
        <f>IF(Table!E1012 = "","",Table!E1012)</f>
        <v/>
      </c>
      <c r="F1012" s="32" t="str">
        <f>IF(Table!F1012 = "","",Table!F1012)</f>
        <v/>
      </c>
      <c r="G1012" s="91"/>
      <c r="K1012" s="31" t="str">
        <f>IFERROR(VLOOKUP(A1012,Table!$I$4:$O$3000,1,TRUE),"")</f>
        <v/>
      </c>
      <c r="L1012" s="31" t="str">
        <f>IFERROR(INDEX(Table!I:O,MATCH(K1012,Table!I:I,0),2),"")</f>
        <v/>
      </c>
      <c r="M1012" s="31" t="str">
        <f>IFERROR(INDEX(Table!I:O,MATCH(K1012,Table!I:I,0),3),"")</f>
        <v/>
      </c>
      <c r="N1012" s="32" t="str">
        <f>IFERROR(INDEX(Table!I:O,MATCH(K1012,Table!I:I,0),4),"")</f>
        <v/>
      </c>
      <c r="O1012" s="32" t="str">
        <f>IFERROR(INDEX(Table!I:O,MATCH(K1012,Table!I:I,0),5),"")</f>
        <v/>
      </c>
      <c r="P1012" s="32" t="str">
        <f>IFERROR(INDEX(Table!I:O,MATCH(K1012,Table!I:I,0),6),"")</f>
        <v/>
      </c>
      <c r="Q1012" s="89" t="str">
        <f t="shared" si="45"/>
        <v/>
      </c>
      <c r="R1012" s="89" t="str">
        <f t="shared" si="46"/>
        <v/>
      </c>
      <c r="S1012" s="82"/>
      <c r="U1012" s="37" t="e">
        <f t="shared" si="47"/>
        <v>#VALUE!</v>
      </c>
    </row>
    <row r="1013" spans="1:21" x14ac:dyDescent="0.25">
      <c r="A1013" s="31" t="str">
        <f>IF(Table!A1013 = "","",Table!A1013)</f>
        <v/>
      </c>
      <c r="B1013" s="31" t="str">
        <f>IF(Table!B1013 = "","",Table!B1013)</f>
        <v/>
      </c>
      <c r="C1013" s="31" t="str">
        <f>IF(Table!C1013 = "","",Table!C1013)</f>
        <v/>
      </c>
      <c r="D1013" s="32" t="str">
        <f>IF(Table!D1013 = "","",Table!D1013)</f>
        <v/>
      </c>
      <c r="E1013" s="32" t="str">
        <f>IF(Table!E1013 = "","",Table!E1013)</f>
        <v/>
      </c>
      <c r="F1013" s="32" t="str">
        <f>IF(Table!F1013 = "","",Table!F1013)</f>
        <v/>
      </c>
      <c r="G1013" s="91"/>
      <c r="K1013" s="31" t="str">
        <f>IFERROR(VLOOKUP(A1013,Table!$I$4:$O$3000,1,TRUE),"")</f>
        <v/>
      </c>
      <c r="L1013" s="31" t="str">
        <f>IFERROR(INDEX(Table!I:O,MATCH(K1013,Table!I:I,0),2),"")</f>
        <v/>
      </c>
      <c r="M1013" s="31" t="str">
        <f>IFERROR(INDEX(Table!I:O,MATCH(K1013,Table!I:I,0),3),"")</f>
        <v/>
      </c>
      <c r="N1013" s="32" t="str">
        <f>IFERROR(INDEX(Table!I:O,MATCH(K1013,Table!I:I,0),4),"")</f>
        <v/>
      </c>
      <c r="O1013" s="32" t="str">
        <f>IFERROR(INDEX(Table!I:O,MATCH(K1013,Table!I:I,0),5),"")</f>
        <v/>
      </c>
      <c r="P1013" s="32" t="str">
        <f>IFERROR(INDEX(Table!I:O,MATCH(K1013,Table!I:I,0),6),"")</f>
        <v/>
      </c>
      <c r="Q1013" s="89" t="str">
        <f t="shared" si="45"/>
        <v/>
      </c>
      <c r="R1013" s="89" t="str">
        <f t="shared" si="46"/>
        <v/>
      </c>
      <c r="S1013" s="82"/>
      <c r="U1013" s="37" t="e">
        <f t="shared" si="47"/>
        <v>#VALUE!</v>
      </c>
    </row>
    <row r="1014" spans="1:21" x14ac:dyDescent="0.25">
      <c r="A1014" s="31" t="str">
        <f>IF(Table!A1014 = "","",Table!A1014)</f>
        <v/>
      </c>
      <c r="B1014" s="31" t="str">
        <f>IF(Table!B1014 = "","",Table!B1014)</f>
        <v/>
      </c>
      <c r="C1014" s="31" t="str">
        <f>IF(Table!C1014 = "","",Table!C1014)</f>
        <v/>
      </c>
      <c r="D1014" s="32" t="str">
        <f>IF(Table!D1014 = "","",Table!D1014)</f>
        <v/>
      </c>
      <c r="E1014" s="32" t="str">
        <f>IF(Table!E1014 = "","",Table!E1014)</f>
        <v/>
      </c>
      <c r="F1014" s="32" t="str">
        <f>IF(Table!F1014 = "","",Table!F1014)</f>
        <v/>
      </c>
      <c r="G1014" s="91"/>
      <c r="K1014" s="31" t="str">
        <f>IFERROR(VLOOKUP(A1014,Table!$I$4:$O$3000,1,TRUE),"")</f>
        <v/>
      </c>
      <c r="L1014" s="31" t="str">
        <f>IFERROR(INDEX(Table!I:O,MATCH(K1014,Table!I:I,0),2),"")</f>
        <v/>
      </c>
      <c r="M1014" s="31" t="str">
        <f>IFERROR(INDEX(Table!I:O,MATCH(K1014,Table!I:I,0),3),"")</f>
        <v/>
      </c>
      <c r="N1014" s="32" t="str">
        <f>IFERROR(INDEX(Table!I:O,MATCH(K1014,Table!I:I,0),4),"")</f>
        <v/>
      </c>
      <c r="O1014" s="32" t="str">
        <f>IFERROR(INDEX(Table!I:O,MATCH(K1014,Table!I:I,0),5),"")</f>
        <v/>
      </c>
      <c r="P1014" s="32" t="str">
        <f>IFERROR(INDEX(Table!I:O,MATCH(K1014,Table!I:I,0),6),"")</f>
        <v/>
      </c>
      <c r="Q1014" s="89" t="str">
        <f t="shared" si="45"/>
        <v/>
      </c>
      <c r="R1014" s="89" t="str">
        <f t="shared" si="46"/>
        <v/>
      </c>
      <c r="S1014" s="82"/>
      <c r="U1014" s="37" t="e">
        <f t="shared" si="47"/>
        <v>#VALUE!</v>
      </c>
    </row>
    <row r="1015" spans="1:21" x14ac:dyDescent="0.25">
      <c r="A1015" s="31" t="str">
        <f>IF(Table!A1015 = "","",Table!A1015)</f>
        <v/>
      </c>
      <c r="B1015" s="31" t="str">
        <f>IF(Table!B1015 = "","",Table!B1015)</f>
        <v/>
      </c>
      <c r="C1015" s="31" t="str">
        <f>IF(Table!C1015 = "","",Table!C1015)</f>
        <v/>
      </c>
      <c r="D1015" s="32" t="str">
        <f>IF(Table!D1015 = "","",Table!D1015)</f>
        <v/>
      </c>
      <c r="E1015" s="32" t="str">
        <f>IF(Table!E1015 = "","",Table!E1015)</f>
        <v/>
      </c>
      <c r="F1015" s="32" t="str">
        <f>IF(Table!F1015 = "","",Table!F1015)</f>
        <v/>
      </c>
      <c r="G1015" s="91"/>
      <c r="K1015" s="31" t="str">
        <f>IFERROR(VLOOKUP(A1015,Table!$I$4:$O$3000,1,TRUE),"")</f>
        <v/>
      </c>
      <c r="L1015" s="31" t="str">
        <f>IFERROR(INDEX(Table!I:O,MATCH(K1015,Table!I:I,0),2),"")</f>
        <v/>
      </c>
      <c r="M1015" s="31" t="str">
        <f>IFERROR(INDEX(Table!I:O,MATCH(K1015,Table!I:I,0),3),"")</f>
        <v/>
      </c>
      <c r="N1015" s="32" t="str">
        <f>IFERROR(INDEX(Table!I:O,MATCH(K1015,Table!I:I,0),4),"")</f>
        <v/>
      </c>
      <c r="O1015" s="32" t="str">
        <f>IFERROR(INDEX(Table!I:O,MATCH(K1015,Table!I:I,0),5),"")</f>
        <v/>
      </c>
      <c r="P1015" s="32" t="str">
        <f>IFERROR(INDEX(Table!I:O,MATCH(K1015,Table!I:I,0),6),"")</f>
        <v/>
      </c>
      <c r="Q1015" s="89" t="str">
        <f t="shared" si="45"/>
        <v/>
      </c>
      <c r="R1015" s="89" t="str">
        <f t="shared" si="46"/>
        <v/>
      </c>
      <c r="S1015" s="82"/>
      <c r="U1015" s="37" t="e">
        <f t="shared" si="47"/>
        <v>#VALUE!</v>
      </c>
    </row>
    <row r="1016" spans="1:21" x14ac:dyDescent="0.25">
      <c r="A1016" s="31" t="str">
        <f>IF(Table!A1016 = "","",Table!A1016)</f>
        <v/>
      </c>
      <c r="B1016" s="31" t="str">
        <f>IF(Table!B1016 = "","",Table!B1016)</f>
        <v/>
      </c>
      <c r="C1016" s="31" t="str">
        <f>IF(Table!C1016 = "","",Table!C1016)</f>
        <v/>
      </c>
      <c r="D1016" s="32" t="str">
        <f>IF(Table!D1016 = "","",Table!D1016)</f>
        <v/>
      </c>
      <c r="E1016" s="32" t="str">
        <f>IF(Table!E1016 = "","",Table!E1016)</f>
        <v/>
      </c>
      <c r="F1016" s="32" t="str">
        <f>IF(Table!F1016 = "","",Table!F1016)</f>
        <v/>
      </c>
      <c r="G1016" s="91"/>
      <c r="K1016" s="31" t="str">
        <f>IFERROR(VLOOKUP(A1016,Table!$I$4:$O$3000,1,TRUE),"")</f>
        <v/>
      </c>
      <c r="L1016" s="31" t="str">
        <f>IFERROR(INDEX(Table!I:O,MATCH(K1016,Table!I:I,0),2),"")</f>
        <v/>
      </c>
      <c r="M1016" s="31" t="str">
        <f>IFERROR(INDEX(Table!I:O,MATCH(K1016,Table!I:I,0),3),"")</f>
        <v/>
      </c>
      <c r="N1016" s="32" t="str">
        <f>IFERROR(INDEX(Table!I:O,MATCH(K1016,Table!I:I,0),4),"")</f>
        <v/>
      </c>
      <c r="O1016" s="32" t="str">
        <f>IFERROR(INDEX(Table!I:O,MATCH(K1016,Table!I:I,0),5),"")</f>
        <v/>
      </c>
      <c r="P1016" s="32" t="str">
        <f>IFERROR(INDEX(Table!I:O,MATCH(K1016,Table!I:I,0),6),"")</f>
        <v/>
      </c>
      <c r="Q1016" s="89" t="str">
        <f t="shared" si="45"/>
        <v/>
      </c>
      <c r="R1016" s="89" t="str">
        <f t="shared" si="46"/>
        <v/>
      </c>
      <c r="S1016" s="82"/>
      <c r="U1016" s="37" t="e">
        <f t="shared" si="47"/>
        <v>#VALUE!</v>
      </c>
    </row>
    <row r="1017" spans="1:21" x14ac:dyDescent="0.25">
      <c r="A1017" s="31" t="str">
        <f>IF(Table!A1017 = "","",Table!A1017)</f>
        <v/>
      </c>
      <c r="B1017" s="31" t="str">
        <f>IF(Table!B1017 = "","",Table!B1017)</f>
        <v/>
      </c>
      <c r="C1017" s="31" t="str">
        <f>IF(Table!C1017 = "","",Table!C1017)</f>
        <v/>
      </c>
      <c r="D1017" s="32" t="str">
        <f>IF(Table!D1017 = "","",Table!D1017)</f>
        <v/>
      </c>
      <c r="E1017" s="32" t="str">
        <f>IF(Table!E1017 = "","",Table!E1017)</f>
        <v/>
      </c>
      <c r="F1017" s="32" t="str">
        <f>IF(Table!F1017 = "","",Table!F1017)</f>
        <v/>
      </c>
      <c r="G1017" s="91"/>
      <c r="K1017" s="31" t="str">
        <f>IFERROR(VLOOKUP(A1017,Table!$I$4:$O$3000,1,TRUE),"")</f>
        <v/>
      </c>
      <c r="L1017" s="31" t="str">
        <f>IFERROR(INDEX(Table!I:O,MATCH(K1017,Table!I:I,0),2),"")</f>
        <v/>
      </c>
      <c r="M1017" s="31" t="str">
        <f>IFERROR(INDEX(Table!I:O,MATCH(K1017,Table!I:I,0),3),"")</f>
        <v/>
      </c>
      <c r="N1017" s="32" t="str">
        <f>IFERROR(INDEX(Table!I:O,MATCH(K1017,Table!I:I,0),4),"")</f>
        <v/>
      </c>
      <c r="O1017" s="32" t="str">
        <f>IFERROR(INDEX(Table!I:O,MATCH(K1017,Table!I:I,0),5),"")</f>
        <v/>
      </c>
      <c r="P1017" s="32" t="str">
        <f>IFERROR(INDEX(Table!I:O,MATCH(K1017,Table!I:I,0),6),"")</f>
        <v/>
      </c>
      <c r="Q1017" s="89" t="str">
        <f t="shared" si="45"/>
        <v/>
      </c>
      <c r="R1017" s="89" t="str">
        <f t="shared" si="46"/>
        <v/>
      </c>
      <c r="S1017" s="82"/>
      <c r="U1017" s="37" t="e">
        <f t="shared" si="47"/>
        <v>#VALUE!</v>
      </c>
    </row>
    <row r="1018" spans="1:21" x14ac:dyDescent="0.25">
      <c r="A1018" s="31" t="str">
        <f>IF(Table!A1018 = "","",Table!A1018)</f>
        <v/>
      </c>
      <c r="B1018" s="31" t="str">
        <f>IF(Table!B1018 = "","",Table!B1018)</f>
        <v/>
      </c>
      <c r="C1018" s="31" t="str">
        <f>IF(Table!C1018 = "","",Table!C1018)</f>
        <v/>
      </c>
      <c r="D1018" s="32" t="str">
        <f>IF(Table!D1018 = "","",Table!D1018)</f>
        <v/>
      </c>
      <c r="E1018" s="32" t="str">
        <f>IF(Table!E1018 = "","",Table!E1018)</f>
        <v/>
      </c>
      <c r="F1018" s="32" t="str">
        <f>IF(Table!F1018 = "","",Table!F1018)</f>
        <v/>
      </c>
      <c r="G1018" s="91"/>
      <c r="K1018" s="31" t="str">
        <f>IFERROR(VLOOKUP(A1018,Table!$I$4:$O$3000,1,TRUE),"")</f>
        <v/>
      </c>
      <c r="L1018" s="31" t="str">
        <f>IFERROR(INDEX(Table!I:O,MATCH(K1018,Table!I:I,0),2),"")</f>
        <v/>
      </c>
      <c r="M1018" s="31" t="str">
        <f>IFERROR(INDEX(Table!I:O,MATCH(K1018,Table!I:I,0),3),"")</f>
        <v/>
      </c>
      <c r="N1018" s="32" t="str">
        <f>IFERROR(INDEX(Table!I:O,MATCH(K1018,Table!I:I,0),4),"")</f>
        <v/>
      </c>
      <c r="O1018" s="32" t="str">
        <f>IFERROR(INDEX(Table!I:O,MATCH(K1018,Table!I:I,0),5),"")</f>
        <v/>
      </c>
      <c r="P1018" s="32" t="str">
        <f>IFERROR(INDEX(Table!I:O,MATCH(K1018,Table!I:I,0),6),"")</f>
        <v/>
      </c>
      <c r="Q1018" s="89" t="str">
        <f t="shared" si="45"/>
        <v/>
      </c>
      <c r="R1018" s="89" t="str">
        <f t="shared" si="46"/>
        <v/>
      </c>
      <c r="S1018" s="82"/>
      <c r="U1018" s="37" t="e">
        <f t="shared" si="47"/>
        <v>#VALUE!</v>
      </c>
    </row>
    <row r="1019" spans="1:21" x14ac:dyDescent="0.25">
      <c r="A1019" s="31" t="str">
        <f>IF(Table!A1019 = "","",Table!A1019)</f>
        <v/>
      </c>
      <c r="B1019" s="31" t="str">
        <f>IF(Table!B1019 = "","",Table!B1019)</f>
        <v/>
      </c>
      <c r="C1019" s="31" t="str">
        <f>IF(Table!C1019 = "","",Table!C1019)</f>
        <v/>
      </c>
      <c r="D1019" s="32" t="str">
        <f>IF(Table!D1019 = "","",Table!D1019)</f>
        <v/>
      </c>
      <c r="E1019" s="32" t="str">
        <f>IF(Table!E1019 = "","",Table!E1019)</f>
        <v/>
      </c>
      <c r="F1019" s="32" t="str">
        <f>IF(Table!F1019 = "","",Table!F1019)</f>
        <v/>
      </c>
      <c r="G1019" s="91"/>
      <c r="K1019" s="31" t="str">
        <f>IFERROR(VLOOKUP(A1019,Table!$I$4:$O$3000,1,TRUE),"")</f>
        <v/>
      </c>
      <c r="L1019" s="31" t="str">
        <f>IFERROR(INDEX(Table!I:O,MATCH(K1019,Table!I:I,0),2),"")</f>
        <v/>
      </c>
      <c r="M1019" s="31" t="str">
        <f>IFERROR(INDEX(Table!I:O,MATCH(K1019,Table!I:I,0),3),"")</f>
        <v/>
      </c>
      <c r="N1019" s="32" t="str">
        <f>IFERROR(INDEX(Table!I:O,MATCH(K1019,Table!I:I,0),4),"")</f>
        <v/>
      </c>
      <c r="O1019" s="32" t="str">
        <f>IFERROR(INDEX(Table!I:O,MATCH(K1019,Table!I:I,0),5),"")</f>
        <v/>
      </c>
      <c r="P1019" s="32" t="str">
        <f>IFERROR(INDEX(Table!I:O,MATCH(K1019,Table!I:I,0),6),"")</f>
        <v/>
      </c>
      <c r="Q1019" s="89" t="str">
        <f t="shared" si="45"/>
        <v/>
      </c>
      <c r="R1019" s="89" t="str">
        <f t="shared" si="46"/>
        <v/>
      </c>
      <c r="S1019" s="82"/>
      <c r="U1019" s="37" t="e">
        <f t="shared" si="47"/>
        <v>#VALUE!</v>
      </c>
    </row>
    <row r="1020" spans="1:21" x14ac:dyDescent="0.25">
      <c r="A1020" s="31" t="str">
        <f>IF(Table!A1020 = "","",Table!A1020)</f>
        <v/>
      </c>
      <c r="B1020" s="31" t="str">
        <f>IF(Table!B1020 = "","",Table!B1020)</f>
        <v/>
      </c>
      <c r="C1020" s="31" t="str">
        <f>IF(Table!C1020 = "","",Table!C1020)</f>
        <v/>
      </c>
      <c r="D1020" s="32" t="str">
        <f>IF(Table!D1020 = "","",Table!D1020)</f>
        <v/>
      </c>
      <c r="E1020" s="32" t="str">
        <f>IF(Table!E1020 = "","",Table!E1020)</f>
        <v/>
      </c>
      <c r="F1020" s="32" t="str">
        <f>IF(Table!F1020 = "","",Table!F1020)</f>
        <v/>
      </c>
      <c r="G1020" s="91"/>
      <c r="K1020" s="31" t="str">
        <f>IFERROR(VLOOKUP(A1020,Table!$I$4:$O$3000,1,TRUE),"")</f>
        <v/>
      </c>
      <c r="L1020" s="31" t="str">
        <f>IFERROR(INDEX(Table!I:O,MATCH(K1020,Table!I:I,0),2),"")</f>
        <v/>
      </c>
      <c r="M1020" s="31" t="str">
        <f>IFERROR(INDEX(Table!I:O,MATCH(K1020,Table!I:I,0),3),"")</f>
        <v/>
      </c>
      <c r="N1020" s="32" t="str">
        <f>IFERROR(INDEX(Table!I:O,MATCH(K1020,Table!I:I,0),4),"")</f>
        <v/>
      </c>
      <c r="O1020" s="32" t="str">
        <f>IFERROR(INDEX(Table!I:O,MATCH(K1020,Table!I:I,0),5),"")</f>
        <v/>
      </c>
      <c r="P1020" s="32" t="str">
        <f>IFERROR(INDEX(Table!I:O,MATCH(K1020,Table!I:I,0),6),"")</f>
        <v/>
      </c>
      <c r="Q1020" s="89" t="str">
        <f t="shared" si="45"/>
        <v/>
      </c>
      <c r="R1020" s="89" t="str">
        <f t="shared" si="46"/>
        <v/>
      </c>
      <c r="S1020" s="82"/>
      <c r="U1020" s="37" t="e">
        <f t="shared" si="47"/>
        <v>#VALUE!</v>
      </c>
    </row>
    <row r="1021" spans="1:21" x14ac:dyDescent="0.25">
      <c r="A1021" s="31" t="str">
        <f>IF(Table!A1021 = "","",Table!A1021)</f>
        <v/>
      </c>
      <c r="B1021" s="31" t="str">
        <f>IF(Table!B1021 = "","",Table!B1021)</f>
        <v/>
      </c>
      <c r="C1021" s="31" t="str">
        <f>IF(Table!C1021 = "","",Table!C1021)</f>
        <v/>
      </c>
      <c r="D1021" s="32" t="str">
        <f>IF(Table!D1021 = "","",Table!D1021)</f>
        <v/>
      </c>
      <c r="E1021" s="32" t="str">
        <f>IF(Table!E1021 = "","",Table!E1021)</f>
        <v/>
      </c>
      <c r="F1021" s="32" t="str">
        <f>IF(Table!F1021 = "","",Table!F1021)</f>
        <v/>
      </c>
      <c r="G1021" s="91"/>
      <c r="K1021" s="31" t="str">
        <f>IFERROR(VLOOKUP(A1021,Table!$I$4:$O$3000,1,TRUE),"")</f>
        <v/>
      </c>
      <c r="L1021" s="31" t="str">
        <f>IFERROR(INDEX(Table!I:O,MATCH(K1021,Table!I:I,0),2),"")</f>
        <v/>
      </c>
      <c r="M1021" s="31" t="str">
        <f>IFERROR(INDEX(Table!I:O,MATCH(K1021,Table!I:I,0),3),"")</f>
        <v/>
      </c>
      <c r="N1021" s="32" t="str">
        <f>IFERROR(INDEX(Table!I:O,MATCH(K1021,Table!I:I,0),4),"")</f>
        <v/>
      </c>
      <c r="O1021" s="32" t="str">
        <f>IFERROR(INDEX(Table!I:O,MATCH(K1021,Table!I:I,0),5),"")</f>
        <v/>
      </c>
      <c r="P1021" s="32" t="str">
        <f>IFERROR(INDEX(Table!I:O,MATCH(K1021,Table!I:I,0),6),"")</f>
        <v/>
      </c>
      <c r="Q1021" s="89" t="str">
        <f t="shared" si="45"/>
        <v/>
      </c>
      <c r="R1021" s="89" t="str">
        <f t="shared" si="46"/>
        <v/>
      </c>
      <c r="S1021" s="82"/>
      <c r="U1021" s="37" t="e">
        <f t="shared" si="47"/>
        <v>#VALUE!</v>
      </c>
    </row>
    <row r="1022" spans="1:21" x14ac:dyDescent="0.25">
      <c r="A1022" s="31" t="str">
        <f>IF(Table!A1022 = "","",Table!A1022)</f>
        <v/>
      </c>
      <c r="B1022" s="31" t="str">
        <f>IF(Table!B1022 = "","",Table!B1022)</f>
        <v/>
      </c>
      <c r="C1022" s="31" t="str">
        <f>IF(Table!C1022 = "","",Table!C1022)</f>
        <v/>
      </c>
      <c r="D1022" s="32" t="str">
        <f>IF(Table!D1022 = "","",Table!D1022)</f>
        <v/>
      </c>
      <c r="E1022" s="32" t="str">
        <f>IF(Table!E1022 = "","",Table!E1022)</f>
        <v/>
      </c>
      <c r="F1022" s="32" t="str">
        <f>IF(Table!F1022 = "","",Table!F1022)</f>
        <v/>
      </c>
      <c r="G1022" s="91"/>
      <c r="K1022" s="31" t="str">
        <f>IFERROR(VLOOKUP(A1022,Table!$I$4:$O$3000,1,TRUE),"")</f>
        <v/>
      </c>
      <c r="L1022" s="31" t="str">
        <f>IFERROR(INDEX(Table!I:O,MATCH(K1022,Table!I:I,0),2),"")</f>
        <v/>
      </c>
      <c r="M1022" s="31" t="str">
        <f>IFERROR(INDEX(Table!I:O,MATCH(K1022,Table!I:I,0),3),"")</f>
        <v/>
      </c>
      <c r="N1022" s="32" t="str">
        <f>IFERROR(INDEX(Table!I:O,MATCH(K1022,Table!I:I,0),4),"")</f>
        <v/>
      </c>
      <c r="O1022" s="32" t="str">
        <f>IFERROR(INDEX(Table!I:O,MATCH(K1022,Table!I:I,0),5),"")</f>
        <v/>
      </c>
      <c r="P1022" s="32" t="str">
        <f>IFERROR(INDEX(Table!I:O,MATCH(K1022,Table!I:I,0),6),"")</f>
        <v/>
      </c>
      <c r="Q1022" s="89" t="str">
        <f t="shared" si="45"/>
        <v/>
      </c>
      <c r="R1022" s="89" t="str">
        <f t="shared" si="46"/>
        <v/>
      </c>
      <c r="S1022" s="82"/>
      <c r="U1022" s="37" t="e">
        <f t="shared" si="47"/>
        <v>#VALUE!</v>
      </c>
    </row>
    <row r="1023" spans="1:21" x14ac:dyDescent="0.25">
      <c r="A1023" s="31" t="str">
        <f>IF(Table!A1023 = "","",Table!A1023)</f>
        <v/>
      </c>
      <c r="B1023" s="31" t="str">
        <f>IF(Table!B1023 = "","",Table!B1023)</f>
        <v/>
      </c>
      <c r="C1023" s="31" t="str">
        <f>IF(Table!C1023 = "","",Table!C1023)</f>
        <v/>
      </c>
      <c r="D1023" s="32" t="str">
        <f>IF(Table!D1023 = "","",Table!D1023)</f>
        <v/>
      </c>
      <c r="E1023" s="32" t="str">
        <f>IF(Table!E1023 = "","",Table!E1023)</f>
        <v/>
      </c>
      <c r="F1023" s="32" t="str">
        <f>IF(Table!F1023 = "","",Table!F1023)</f>
        <v/>
      </c>
      <c r="G1023" s="91"/>
      <c r="K1023" s="31" t="str">
        <f>IFERROR(VLOOKUP(A1023,Table!$I$4:$O$3000,1,TRUE),"")</f>
        <v/>
      </c>
      <c r="L1023" s="31" t="str">
        <f>IFERROR(INDEX(Table!I:O,MATCH(K1023,Table!I:I,0),2),"")</f>
        <v/>
      </c>
      <c r="M1023" s="31" t="str">
        <f>IFERROR(INDEX(Table!I:O,MATCH(K1023,Table!I:I,0),3),"")</f>
        <v/>
      </c>
      <c r="N1023" s="32" t="str">
        <f>IFERROR(INDEX(Table!I:O,MATCH(K1023,Table!I:I,0),4),"")</f>
        <v/>
      </c>
      <c r="O1023" s="32" t="str">
        <f>IFERROR(INDEX(Table!I:O,MATCH(K1023,Table!I:I,0),5),"")</f>
        <v/>
      </c>
      <c r="P1023" s="32" t="str">
        <f>IFERROR(INDEX(Table!I:O,MATCH(K1023,Table!I:I,0),6),"")</f>
        <v/>
      </c>
      <c r="Q1023" s="89" t="str">
        <f t="shared" si="45"/>
        <v/>
      </c>
      <c r="R1023" s="89" t="str">
        <f t="shared" si="46"/>
        <v/>
      </c>
      <c r="S1023" s="82"/>
      <c r="U1023" s="37" t="e">
        <f t="shared" si="47"/>
        <v>#VALUE!</v>
      </c>
    </row>
    <row r="1024" spans="1:21" x14ac:dyDescent="0.25">
      <c r="A1024" s="31" t="str">
        <f>IF(Table!A1024 = "","",Table!A1024)</f>
        <v/>
      </c>
      <c r="B1024" s="31" t="str">
        <f>IF(Table!B1024 = "","",Table!B1024)</f>
        <v/>
      </c>
      <c r="C1024" s="31" t="str">
        <f>IF(Table!C1024 = "","",Table!C1024)</f>
        <v/>
      </c>
      <c r="D1024" s="32" t="str">
        <f>IF(Table!D1024 = "","",Table!D1024)</f>
        <v/>
      </c>
      <c r="E1024" s="32" t="str">
        <f>IF(Table!E1024 = "","",Table!E1024)</f>
        <v/>
      </c>
      <c r="F1024" s="32" t="str">
        <f>IF(Table!F1024 = "","",Table!F1024)</f>
        <v/>
      </c>
      <c r="G1024" s="91"/>
      <c r="K1024" s="31" t="str">
        <f>IFERROR(VLOOKUP(A1024,Table!$I$4:$O$3000,1,TRUE),"")</f>
        <v/>
      </c>
      <c r="L1024" s="31" t="str">
        <f>IFERROR(INDEX(Table!I:O,MATCH(K1024,Table!I:I,0),2),"")</f>
        <v/>
      </c>
      <c r="M1024" s="31" t="str">
        <f>IFERROR(INDEX(Table!I:O,MATCH(K1024,Table!I:I,0),3),"")</f>
        <v/>
      </c>
      <c r="N1024" s="32" t="str">
        <f>IFERROR(INDEX(Table!I:O,MATCH(K1024,Table!I:I,0),4),"")</f>
        <v/>
      </c>
      <c r="O1024" s="32" t="str">
        <f>IFERROR(INDEX(Table!I:O,MATCH(K1024,Table!I:I,0),5),"")</f>
        <v/>
      </c>
      <c r="P1024" s="32" t="str">
        <f>IFERROR(INDEX(Table!I:O,MATCH(K1024,Table!I:I,0),6),"")</f>
        <v/>
      </c>
      <c r="Q1024" s="89" t="str">
        <f t="shared" si="45"/>
        <v/>
      </c>
      <c r="R1024" s="89" t="str">
        <f t="shared" si="46"/>
        <v/>
      </c>
      <c r="S1024" s="82"/>
      <c r="U1024" s="37" t="e">
        <f t="shared" si="47"/>
        <v>#VALUE!</v>
      </c>
    </row>
    <row r="1025" spans="1:21" x14ac:dyDescent="0.25">
      <c r="A1025" s="31" t="str">
        <f>IF(Table!A1025 = "","",Table!A1025)</f>
        <v/>
      </c>
      <c r="B1025" s="31" t="str">
        <f>IF(Table!B1025 = "","",Table!B1025)</f>
        <v/>
      </c>
      <c r="C1025" s="31" t="str">
        <f>IF(Table!C1025 = "","",Table!C1025)</f>
        <v/>
      </c>
      <c r="D1025" s="32" t="str">
        <f>IF(Table!D1025 = "","",Table!D1025)</f>
        <v/>
      </c>
      <c r="E1025" s="32" t="str">
        <f>IF(Table!E1025 = "","",Table!E1025)</f>
        <v/>
      </c>
      <c r="F1025" s="32" t="str">
        <f>IF(Table!F1025 = "","",Table!F1025)</f>
        <v/>
      </c>
      <c r="G1025" s="91"/>
      <c r="K1025" s="31" t="str">
        <f>IFERROR(VLOOKUP(A1025,Table!$I$4:$O$3000,1,TRUE),"")</f>
        <v/>
      </c>
      <c r="L1025" s="31" t="str">
        <f>IFERROR(INDEX(Table!I:O,MATCH(K1025,Table!I:I,0),2),"")</f>
        <v/>
      </c>
      <c r="M1025" s="31" t="str">
        <f>IFERROR(INDEX(Table!I:O,MATCH(K1025,Table!I:I,0),3),"")</f>
        <v/>
      </c>
      <c r="N1025" s="32" t="str">
        <f>IFERROR(INDEX(Table!I:O,MATCH(K1025,Table!I:I,0),4),"")</f>
        <v/>
      </c>
      <c r="O1025" s="32" t="str">
        <f>IFERROR(INDEX(Table!I:O,MATCH(K1025,Table!I:I,0),5),"")</f>
        <v/>
      </c>
      <c r="P1025" s="32" t="str">
        <f>IFERROR(INDEX(Table!I:O,MATCH(K1025,Table!I:I,0),6),"")</f>
        <v/>
      </c>
      <c r="Q1025" s="89" t="str">
        <f t="shared" si="45"/>
        <v/>
      </c>
      <c r="R1025" s="89" t="str">
        <f t="shared" si="46"/>
        <v/>
      </c>
      <c r="S1025" s="82"/>
      <c r="U1025" s="37" t="e">
        <f t="shared" si="47"/>
        <v>#VALUE!</v>
      </c>
    </row>
    <row r="1026" spans="1:21" x14ac:dyDescent="0.25">
      <c r="A1026" s="31" t="str">
        <f>IF(Table!A1026 = "","",Table!A1026)</f>
        <v/>
      </c>
      <c r="B1026" s="31" t="str">
        <f>IF(Table!B1026 = "","",Table!B1026)</f>
        <v/>
      </c>
      <c r="C1026" s="31" t="str">
        <f>IF(Table!C1026 = "","",Table!C1026)</f>
        <v/>
      </c>
      <c r="D1026" s="32" t="str">
        <f>IF(Table!D1026 = "","",Table!D1026)</f>
        <v/>
      </c>
      <c r="E1026" s="32" t="str">
        <f>IF(Table!E1026 = "","",Table!E1026)</f>
        <v/>
      </c>
      <c r="F1026" s="32" t="str">
        <f>IF(Table!F1026 = "","",Table!F1026)</f>
        <v/>
      </c>
      <c r="G1026" s="91"/>
      <c r="K1026" s="31" t="str">
        <f>IFERROR(VLOOKUP(A1026,Table!$I$4:$O$3000,1,TRUE),"")</f>
        <v/>
      </c>
      <c r="L1026" s="31" t="str">
        <f>IFERROR(INDEX(Table!I:O,MATCH(K1026,Table!I:I,0),2),"")</f>
        <v/>
      </c>
      <c r="M1026" s="31" t="str">
        <f>IFERROR(INDEX(Table!I:O,MATCH(K1026,Table!I:I,0),3),"")</f>
        <v/>
      </c>
      <c r="N1026" s="32" t="str">
        <f>IFERROR(INDEX(Table!I:O,MATCH(K1026,Table!I:I,0),4),"")</f>
        <v/>
      </c>
      <c r="O1026" s="32" t="str">
        <f>IFERROR(INDEX(Table!I:O,MATCH(K1026,Table!I:I,0),5),"")</f>
        <v/>
      </c>
      <c r="P1026" s="32" t="str">
        <f>IFERROR(INDEX(Table!I:O,MATCH(K1026,Table!I:I,0),6),"")</f>
        <v/>
      </c>
      <c r="Q1026" s="89" t="str">
        <f t="shared" si="45"/>
        <v/>
      </c>
      <c r="R1026" s="89" t="str">
        <f t="shared" si="46"/>
        <v/>
      </c>
      <c r="S1026" s="82"/>
      <c r="U1026" s="37" t="e">
        <f t="shared" si="47"/>
        <v>#VALUE!</v>
      </c>
    </row>
    <row r="1027" spans="1:21" x14ac:dyDescent="0.25">
      <c r="A1027" s="31" t="str">
        <f>IF(Table!A1027 = "","",Table!A1027)</f>
        <v/>
      </c>
      <c r="B1027" s="31" t="str">
        <f>IF(Table!B1027 = "","",Table!B1027)</f>
        <v/>
      </c>
      <c r="C1027" s="31" t="str">
        <f>IF(Table!C1027 = "","",Table!C1027)</f>
        <v/>
      </c>
      <c r="D1027" s="32" t="str">
        <f>IF(Table!D1027 = "","",Table!D1027)</f>
        <v/>
      </c>
      <c r="E1027" s="32" t="str">
        <f>IF(Table!E1027 = "","",Table!E1027)</f>
        <v/>
      </c>
      <c r="F1027" s="32" t="str">
        <f>IF(Table!F1027 = "","",Table!F1027)</f>
        <v/>
      </c>
      <c r="G1027" s="91"/>
      <c r="K1027" s="31" t="str">
        <f>IFERROR(VLOOKUP(A1027,Table!$I$4:$O$3000,1,TRUE),"")</f>
        <v/>
      </c>
      <c r="L1027" s="31" t="str">
        <f>IFERROR(INDEX(Table!I:O,MATCH(K1027,Table!I:I,0),2),"")</f>
        <v/>
      </c>
      <c r="M1027" s="31" t="str">
        <f>IFERROR(INDEX(Table!I:O,MATCH(K1027,Table!I:I,0),3),"")</f>
        <v/>
      </c>
      <c r="N1027" s="32" t="str">
        <f>IFERROR(INDEX(Table!I:O,MATCH(K1027,Table!I:I,0),4),"")</f>
        <v/>
      </c>
      <c r="O1027" s="32" t="str">
        <f>IFERROR(INDEX(Table!I:O,MATCH(K1027,Table!I:I,0),5),"")</f>
        <v/>
      </c>
      <c r="P1027" s="32" t="str">
        <f>IFERROR(INDEX(Table!I:O,MATCH(K1027,Table!I:I,0),6),"")</f>
        <v/>
      </c>
      <c r="Q1027" s="89" t="str">
        <f t="shared" si="45"/>
        <v/>
      </c>
      <c r="R1027" s="89" t="str">
        <f t="shared" si="46"/>
        <v/>
      </c>
      <c r="S1027" s="82"/>
      <c r="U1027" s="37" t="e">
        <f t="shared" si="47"/>
        <v>#VALUE!</v>
      </c>
    </row>
    <row r="1028" spans="1:21" x14ac:dyDescent="0.25">
      <c r="A1028" s="31" t="str">
        <f>IF(Table!A1028 = "","",Table!A1028)</f>
        <v/>
      </c>
      <c r="B1028" s="31" t="str">
        <f>IF(Table!B1028 = "","",Table!B1028)</f>
        <v/>
      </c>
      <c r="C1028" s="31" t="str">
        <f>IF(Table!C1028 = "","",Table!C1028)</f>
        <v/>
      </c>
      <c r="D1028" s="32" t="str">
        <f>IF(Table!D1028 = "","",Table!D1028)</f>
        <v/>
      </c>
      <c r="E1028" s="32" t="str">
        <f>IF(Table!E1028 = "","",Table!E1028)</f>
        <v/>
      </c>
      <c r="F1028" s="32" t="str">
        <f>IF(Table!F1028 = "","",Table!F1028)</f>
        <v/>
      </c>
      <c r="G1028" s="91"/>
      <c r="K1028" s="31" t="str">
        <f>IFERROR(VLOOKUP(A1028,Table!$I$4:$O$3000,1,TRUE),"")</f>
        <v/>
      </c>
      <c r="L1028" s="31" t="str">
        <f>IFERROR(INDEX(Table!I:O,MATCH(K1028,Table!I:I,0),2),"")</f>
        <v/>
      </c>
      <c r="M1028" s="31" t="str">
        <f>IFERROR(INDEX(Table!I:O,MATCH(K1028,Table!I:I,0),3),"")</f>
        <v/>
      </c>
      <c r="N1028" s="32" t="str">
        <f>IFERROR(INDEX(Table!I:O,MATCH(K1028,Table!I:I,0),4),"")</f>
        <v/>
      </c>
      <c r="O1028" s="32" t="str">
        <f>IFERROR(INDEX(Table!I:O,MATCH(K1028,Table!I:I,0),5),"")</f>
        <v/>
      </c>
      <c r="P1028" s="32" t="str">
        <f>IFERROR(INDEX(Table!I:O,MATCH(K1028,Table!I:I,0),6),"")</f>
        <v/>
      </c>
      <c r="Q1028" s="89" t="str">
        <f t="shared" si="45"/>
        <v/>
      </c>
      <c r="R1028" s="89" t="str">
        <f t="shared" si="46"/>
        <v/>
      </c>
      <c r="S1028" s="82"/>
      <c r="U1028" s="37" t="e">
        <f t="shared" si="47"/>
        <v>#VALUE!</v>
      </c>
    </row>
    <row r="1029" spans="1:21" x14ac:dyDescent="0.25">
      <c r="A1029" s="31" t="str">
        <f>IF(Table!A1029 = "","",Table!A1029)</f>
        <v/>
      </c>
      <c r="B1029" s="31" t="str">
        <f>IF(Table!B1029 = "","",Table!B1029)</f>
        <v/>
      </c>
      <c r="C1029" s="31" t="str">
        <f>IF(Table!C1029 = "","",Table!C1029)</f>
        <v/>
      </c>
      <c r="D1029" s="32" t="str">
        <f>IF(Table!D1029 = "","",Table!D1029)</f>
        <v/>
      </c>
      <c r="E1029" s="32" t="str">
        <f>IF(Table!E1029 = "","",Table!E1029)</f>
        <v/>
      </c>
      <c r="F1029" s="32" t="str">
        <f>IF(Table!F1029 = "","",Table!F1029)</f>
        <v/>
      </c>
      <c r="G1029" s="91"/>
      <c r="K1029" s="31" t="str">
        <f>IFERROR(VLOOKUP(A1029,Table!$I$4:$O$3000,1,TRUE),"")</f>
        <v/>
      </c>
      <c r="L1029" s="31" t="str">
        <f>IFERROR(INDEX(Table!I:O,MATCH(K1029,Table!I:I,0),2),"")</f>
        <v/>
      </c>
      <c r="M1029" s="31" t="str">
        <f>IFERROR(INDEX(Table!I:O,MATCH(K1029,Table!I:I,0),3),"")</f>
        <v/>
      </c>
      <c r="N1029" s="32" t="str">
        <f>IFERROR(INDEX(Table!I:O,MATCH(K1029,Table!I:I,0),4),"")</f>
        <v/>
      </c>
      <c r="O1029" s="32" t="str">
        <f>IFERROR(INDEX(Table!I:O,MATCH(K1029,Table!I:I,0),5),"")</f>
        <v/>
      </c>
      <c r="P1029" s="32" t="str">
        <f>IFERROR(INDEX(Table!I:O,MATCH(K1029,Table!I:I,0),6),"")</f>
        <v/>
      </c>
      <c r="Q1029" s="89" t="str">
        <f t="shared" si="45"/>
        <v/>
      </c>
      <c r="R1029" s="89" t="str">
        <f t="shared" si="46"/>
        <v/>
      </c>
      <c r="S1029" s="82"/>
      <c r="U1029" s="37" t="e">
        <f t="shared" si="47"/>
        <v>#VALUE!</v>
      </c>
    </row>
    <row r="1030" spans="1:21" x14ac:dyDescent="0.25">
      <c r="A1030" s="31" t="str">
        <f>IF(Table!A1030 = "","",Table!A1030)</f>
        <v/>
      </c>
      <c r="B1030" s="31" t="str">
        <f>IF(Table!B1030 = "","",Table!B1030)</f>
        <v/>
      </c>
      <c r="C1030" s="31" t="str">
        <f>IF(Table!C1030 = "","",Table!C1030)</f>
        <v/>
      </c>
      <c r="D1030" s="32" t="str">
        <f>IF(Table!D1030 = "","",Table!D1030)</f>
        <v/>
      </c>
      <c r="E1030" s="32" t="str">
        <f>IF(Table!E1030 = "","",Table!E1030)</f>
        <v/>
      </c>
      <c r="F1030" s="32" t="str">
        <f>IF(Table!F1030 = "","",Table!F1030)</f>
        <v/>
      </c>
      <c r="G1030" s="91"/>
      <c r="K1030" s="31" t="str">
        <f>IFERROR(VLOOKUP(A1030,Table!$I$4:$O$3000,1,TRUE),"")</f>
        <v/>
      </c>
      <c r="L1030" s="31" t="str">
        <f>IFERROR(INDEX(Table!I:O,MATCH(K1030,Table!I:I,0),2),"")</f>
        <v/>
      </c>
      <c r="M1030" s="31" t="str">
        <f>IFERROR(INDEX(Table!I:O,MATCH(K1030,Table!I:I,0),3),"")</f>
        <v/>
      </c>
      <c r="N1030" s="32" t="str">
        <f>IFERROR(INDEX(Table!I:O,MATCH(K1030,Table!I:I,0),4),"")</f>
        <v/>
      </c>
      <c r="O1030" s="32" t="str">
        <f>IFERROR(INDEX(Table!I:O,MATCH(K1030,Table!I:I,0),5),"")</f>
        <v/>
      </c>
      <c r="P1030" s="32" t="str">
        <f>IFERROR(INDEX(Table!I:O,MATCH(K1030,Table!I:I,0),6),"")</f>
        <v/>
      </c>
      <c r="Q1030" s="89" t="str">
        <f t="shared" ref="Q1030:Q1093" si="48">IFERROR(L1030-B1030,"")</f>
        <v/>
      </c>
      <c r="R1030" s="89" t="str">
        <f t="shared" ref="R1030:R1093" si="49">IFERROR(M1030-C1030,"")</f>
        <v/>
      </c>
      <c r="S1030" s="82"/>
      <c r="U1030" s="37" t="e">
        <f t="shared" ref="U1030:U1093" si="50">K1030-K1029</f>
        <v>#VALUE!</v>
      </c>
    </row>
    <row r="1031" spans="1:21" x14ac:dyDescent="0.25">
      <c r="A1031" s="31" t="str">
        <f>IF(Table!A1031 = "","",Table!A1031)</f>
        <v/>
      </c>
      <c r="B1031" s="31" t="str">
        <f>IF(Table!B1031 = "","",Table!B1031)</f>
        <v/>
      </c>
      <c r="C1031" s="31" t="str">
        <f>IF(Table!C1031 = "","",Table!C1031)</f>
        <v/>
      </c>
      <c r="D1031" s="32" t="str">
        <f>IF(Table!D1031 = "","",Table!D1031)</f>
        <v/>
      </c>
      <c r="E1031" s="32" t="str">
        <f>IF(Table!E1031 = "","",Table!E1031)</f>
        <v/>
      </c>
      <c r="F1031" s="32" t="str">
        <f>IF(Table!F1031 = "","",Table!F1031)</f>
        <v/>
      </c>
      <c r="G1031" s="91"/>
      <c r="K1031" s="31" t="str">
        <f>IFERROR(VLOOKUP(A1031,Table!$I$4:$O$3000,1,TRUE),"")</f>
        <v/>
      </c>
      <c r="L1031" s="31" t="str">
        <f>IFERROR(INDEX(Table!I:O,MATCH(K1031,Table!I:I,0),2),"")</f>
        <v/>
      </c>
      <c r="M1031" s="31" t="str">
        <f>IFERROR(INDEX(Table!I:O,MATCH(K1031,Table!I:I,0),3),"")</f>
        <v/>
      </c>
      <c r="N1031" s="32" t="str">
        <f>IFERROR(INDEX(Table!I:O,MATCH(K1031,Table!I:I,0),4),"")</f>
        <v/>
      </c>
      <c r="O1031" s="32" t="str">
        <f>IFERROR(INDEX(Table!I:O,MATCH(K1031,Table!I:I,0),5),"")</f>
        <v/>
      </c>
      <c r="P1031" s="32" t="str">
        <f>IFERROR(INDEX(Table!I:O,MATCH(K1031,Table!I:I,0),6),"")</f>
        <v/>
      </c>
      <c r="Q1031" s="89" t="str">
        <f t="shared" si="48"/>
        <v/>
      </c>
      <c r="R1031" s="89" t="str">
        <f t="shared" si="49"/>
        <v/>
      </c>
      <c r="S1031" s="82"/>
      <c r="U1031" s="37" t="e">
        <f t="shared" si="50"/>
        <v>#VALUE!</v>
      </c>
    </row>
    <row r="1032" spans="1:21" x14ac:dyDescent="0.25">
      <c r="A1032" s="31" t="str">
        <f>IF(Table!A1032 = "","",Table!A1032)</f>
        <v/>
      </c>
      <c r="B1032" s="31" t="str">
        <f>IF(Table!B1032 = "","",Table!B1032)</f>
        <v/>
      </c>
      <c r="C1032" s="31" t="str">
        <f>IF(Table!C1032 = "","",Table!C1032)</f>
        <v/>
      </c>
      <c r="D1032" s="32" t="str">
        <f>IF(Table!D1032 = "","",Table!D1032)</f>
        <v/>
      </c>
      <c r="E1032" s="32" t="str">
        <f>IF(Table!E1032 = "","",Table!E1032)</f>
        <v/>
      </c>
      <c r="F1032" s="32" t="str">
        <f>IF(Table!F1032 = "","",Table!F1032)</f>
        <v/>
      </c>
      <c r="G1032" s="91"/>
      <c r="K1032" s="31" t="str">
        <f>IFERROR(VLOOKUP(A1032,Table!$I$4:$O$3000,1,TRUE),"")</f>
        <v/>
      </c>
      <c r="L1032" s="31" t="str">
        <f>IFERROR(INDEX(Table!I:O,MATCH(K1032,Table!I:I,0),2),"")</f>
        <v/>
      </c>
      <c r="M1032" s="31" t="str">
        <f>IFERROR(INDEX(Table!I:O,MATCH(K1032,Table!I:I,0),3),"")</f>
        <v/>
      </c>
      <c r="N1032" s="32" t="str">
        <f>IFERROR(INDEX(Table!I:O,MATCH(K1032,Table!I:I,0),4),"")</f>
        <v/>
      </c>
      <c r="O1032" s="32" t="str">
        <f>IFERROR(INDEX(Table!I:O,MATCH(K1032,Table!I:I,0),5),"")</f>
        <v/>
      </c>
      <c r="P1032" s="32" t="str">
        <f>IFERROR(INDEX(Table!I:O,MATCH(K1032,Table!I:I,0),6),"")</f>
        <v/>
      </c>
      <c r="Q1032" s="89" t="str">
        <f t="shared" si="48"/>
        <v/>
      </c>
      <c r="R1032" s="89" t="str">
        <f t="shared" si="49"/>
        <v/>
      </c>
      <c r="S1032" s="82"/>
      <c r="U1032" s="37" t="e">
        <f t="shared" si="50"/>
        <v>#VALUE!</v>
      </c>
    </row>
    <row r="1033" spans="1:21" x14ac:dyDescent="0.25">
      <c r="A1033" s="31" t="str">
        <f>IF(Table!A1033 = "","",Table!A1033)</f>
        <v/>
      </c>
      <c r="B1033" s="31" t="str">
        <f>IF(Table!B1033 = "","",Table!B1033)</f>
        <v/>
      </c>
      <c r="C1033" s="31" t="str">
        <f>IF(Table!C1033 = "","",Table!C1033)</f>
        <v/>
      </c>
      <c r="D1033" s="32" t="str">
        <f>IF(Table!D1033 = "","",Table!D1033)</f>
        <v/>
      </c>
      <c r="E1033" s="32" t="str">
        <f>IF(Table!E1033 = "","",Table!E1033)</f>
        <v/>
      </c>
      <c r="F1033" s="32" t="str">
        <f>IF(Table!F1033 = "","",Table!F1033)</f>
        <v/>
      </c>
      <c r="G1033" s="91"/>
      <c r="K1033" s="31" t="str">
        <f>IFERROR(VLOOKUP(A1033,Table!$I$4:$O$3000,1,TRUE),"")</f>
        <v/>
      </c>
      <c r="L1033" s="31" t="str">
        <f>IFERROR(INDEX(Table!I:O,MATCH(K1033,Table!I:I,0),2),"")</f>
        <v/>
      </c>
      <c r="M1033" s="31" t="str">
        <f>IFERROR(INDEX(Table!I:O,MATCH(K1033,Table!I:I,0),3),"")</f>
        <v/>
      </c>
      <c r="N1033" s="32" t="str">
        <f>IFERROR(INDEX(Table!I:O,MATCH(K1033,Table!I:I,0),4),"")</f>
        <v/>
      </c>
      <c r="O1033" s="32" t="str">
        <f>IFERROR(INDEX(Table!I:O,MATCH(K1033,Table!I:I,0),5),"")</f>
        <v/>
      </c>
      <c r="P1033" s="32" t="str">
        <f>IFERROR(INDEX(Table!I:O,MATCH(K1033,Table!I:I,0),6),"")</f>
        <v/>
      </c>
      <c r="Q1033" s="89" t="str">
        <f t="shared" si="48"/>
        <v/>
      </c>
      <c r="R1033" s="89" t="str">
        <f t="shared" si="49"/>
        <v/>
      </c>
      <c r="S1033" s="82"/>
      <c r="U1033" s="37" t="e">
        <f t="shared" si="50"/>
        <v>#VALUE!</v>
      </c>
    </row>
    <row r="1034" spans="1:21" x14ac:dyDescent="0.25">
      <c r="A1034" s="31" t="str">
        <f>IF(Table!A1034 = "","",Table!A1034)</f>
        <v/>
      </c>
      <c r="B1034" s="31" t="str">
        <f>IF(Table!B1034 = "","",Table!B1034)</f>
        <v/>
      </c>
      <c r="C1034" s="31" t="str">
        <f>IF(Table!C1034 = "","",Table!C1034)</f>
        <v/>
      </c>
      <c r="D1034" s="32" t="str">
        <f>IF(Table!D1034 = "","",Table!D1034)</f>
        <v/>
      </c>
      <c r="E1034" s="32" t="str">
        <f>IF(Table!E1034 = "","",Table!E1034)</f>
        <v/>
      </c>
      <c r="F1034" s="32" t="str">
        <f>IF(Table!F1034 = "","",Table!F1034)</f>
        <v/>
      </c>
      <c r="G1034" s="91"/>
      <c r="K1034" s="31" t="str">
        <f>IFERROR(VLOOKUP(A1034,Table!$I$4:$O$3000,1,TRUE),"")</f>
        <v/>
      </c>
      <c r="L1034" s="31" t="str">
        <f>IFERROR(INDEX(Table!I:O,MATCH(K1034,Table!I:I,0),2),"")</f>
        <v/>
      </c>
      <c r="M1034" s="31" t="str">
        <f>IFERROR(INDEX(Table!I:O,MATCH(K1034,Table!I:I,0),3),"")</f>
        <v/>
      </c>
      <c r="N1034" s="32" t="str">
        <f>IFERROR(INDEX(Table!I:O,MATCH(K1034,Table!I:I,0),4),"")</f>
        <v/>
      </c>
      <c r="O1034" s="32" t="str">
        <f>IFERROR(INDEX(Table!I:O,MATCH(K1034,Table!I:I,0),5),"")</f>
        <v/>
      </c>
      <c r="P1034" s="32" t="str">
        <f>IFERROR(INDEX(Table!I:O,MATCH(K1034,Table!I:I,0),6),"")</f>
        <v/>
      </c>
      <c r="Q1034" s="89" t="str">
        <f t="shared" si="48"/>
        <v/>
      </c>
      <c r="R1034" s="89" t="str">
        <f t="shared" si="49"/>
        <v/>
      </c>
      <c r="S1034" s="82"/>
      <c r="U1034" s="37" t="e">
        <f t="shared" si="50"/>
        <v>#VALUE!</v>
      </c>
    </row>
    <row r="1035" spans="1:21" x14ac:dyDescent="0.25">
      <c r="A1035" s="31" t="str">
        <f>IF(Table!A1035 = "","",Table!A1035)</f>
        <v/>
      </c>
      <c r="B1035" s="31" t="str">
        <f>IF(Table!B1035 = "","",Table!B1035)</f>
        <v/>
      </c>
      <c r="C1035" s="31" t="str">
        <f>IF(Table!C1035 = "","",Table!C1035)</f>
        <v/>
      </c>
      <c r="D1035" s="32" t="str">
        <f>IF(Table!D1035 = "","",Table!D1035)</f>
        <v/>
      </c>
      <c r="E1035" s="32" t="str">
        <f>IF(Table!E1035 = "","",Table!E1035)</f>
        <v/>
      </c>
      <c r="F1035" s="32" t="str">
        <f>IF(Table!F1035 = "","",Table!F1035)</f>
        <v/>
      </c>
      <c r="G1035" s="91"/>
      <c r="K1035" s="31" t="str">
        <f>IFERROR(VLOOKUP(A1035,Table!$I$4:$O$3000,1,TRUE),"")</f>
        <v/>
      </c>
      <c r="L1035" s="31" t="str">
        <f>IFERROR(INDEX(Table!I:O,MATCH(K1035,Table!I:I,0),2),"")</f>
        <v/>
      </c>
      <c r="M1035" s="31" t="str">
        <f>IFERROR(INDEX(Table!I:O,MATCH(K1035,Table!I:I,0),3),"")</f>
        <v/>
      </c>
      <c r="N1035" s="32" t="str">
        <f>IFERROR(INDEX(Table!I:O,MATCH(K1035,Table!I:I,0),4),"")</f>
        <v/>
      </c>
      <c r="O1035" s="32" t="str">
        <f>IFERROR(INDEX(Table!I:O,MATCH(K1035,Table!I:I,0),5),"")</f>
        <v/>
      </c>
      <c r="P1035" s="32" t="str">
        <f>IFERROR(INDEX(Table!I:O,MATCH(K1035,Table!I:I,0),6),"")</f>
        <v/>
      </c>
      <c r="Q1035" s="89" t="str">
        <f t="shared" si="48"/>
        <v/>
      </c>
      <c r="R1035" s="89" t="str">
        <f t="shared" si="49"/>
        <v/>
      </c>
      <c r="S1035" s="82"/>
      <c r="U1035" s="37" t="e">
        <f t="shared" si="50"/>
        <v>#VALUE!</v>
      </c>
    </row>
    <row r="1036" spans="1:21" x14ac:dyDescent="0.25">
      <c r="A1036" s="31" t="str">
        <f>IF(Table!A1036 = "","",Table!A1036)</f>
        <v/>
      </c>
      <c r="B1036" s="31" t="str">
        <f>IF(Table!B1036 = "","",Table!B1036)</f>
        <v/>
      </c>
      <c r="C1036" s="31" t="str">
        <f>IF(Table!C1036 = "","",Table!C1036)</f>
        <v/>
      </c>
      <c r="D1036" s="32" t="str">
        <f>IF(Table!D1036 = "","",Table!D1036)</f>
        <v/>
      </c>
      <c r="E1036" s="32" t="str">
        <f>IF(Table!E1036 = "","",Table!E1036)</f>
        <v/>
      </c>
      <c r="F1036" s="32" t="str">
        <f>IF(Table!F1036 = "","",Table!F1036)</f>
        <v/>
      </c>
      <c r="G1036" s="91"/>
      <c r="K1036" s="31" t="str">
        <f>IFERROR(VLOOKUP(A1036,Table!$I$4:$O$3000,1,TRUE),"")</f>
        <v/>
      </c>
      <c r="L1036" s="31" t="str">
        <f>IFERROR(INDEX(Table!I:O,MATCH(K1036,Table!I:I,0),2),"")</f>
        <v/>
      </c>
      <c r="M1036" s="31" t="str">
        <f>IFERROR(INDEX(Table!I:O,MATCH(K1036,Table!I:I,0),3),"")</f>
        <v/>
      </c>
      <c r="N1036" s="32" t="str">
        <f>IFERROR(INDEX(Table!I:O,MATCH(K1036,Table!I:I,0),4),"")</f>
        <v/>
      </c>
      <c r="O1036" s="32" t="str">
        <f>IFERROR(INDEX(Table!I:O,MATCH(K1036,Table!I:I,0),5),"")</f>
        <v/>
      </c>
      <c r="P1036" s="32" t="str">
        <f>IFERROR(INDEX(Table!I:O,MATCH(K1036,Table!I:I,0),6),"")</f>
        <v/>
      </c>
      <c r="Q1036" s="89" t="str">
        <f t="shared" si="48"/>
        <v/>
      </c>
      <c r="R1036" s="89" t="str">
        <f t="shared" si="49"/>
        <v/>
      </c>
      <c r="S1036" s="82"/>
      <c r="U1036" s="37" t="e">
        <f t="shared" si="50"/>
        <v>#VALUE!</v>
      </c>
    </row>
    <row r="1037" spans="1:21" x14ac:dyDescent="0.25">
      <c r="A1037" s="31" t="str">
        <f>IF(Table!A1037 = "","",Table!A1037)</f>
        <v/>
      </c>
      <c r="B1037" s="31" t="str">
        <f>IF(Table!B1037 = "","",Table!B1037)</f>
        <v/>
      </c>
      <c r="C1037" s="31" t="str">
        <f>IF(Table!C1037 = "","",Table!C1037)</f>
        <v/>
      </c>
      <c r="D1037" s="32" t="str">
        <f>IF(Table!D1037 = "","",Table!D1037)</f>
        <v/>
      </c>
      <c r="E1037" s="32" t="str">
        <f>IF(Table!E1037 = "","",Table!E1037)</f>
        <v/>
      </c>
      <c r="F1037" s="32" t="str">
        <f>IF(Table!F1037 = "","",Table!F1037)</f>
        <v/>
      </c>
      <c r="G1037" s="91"/>
      <c r="K1037" s="31" t="str">
        <f>IFERROR(VLOOKUP(A1037,Table!$I$4:$O$3000,1,TRUE),"")</f>
        <v/>
      </c>
      <c r="L1037" s="31" t="str">
        <f>IFERROR(INDEX(Table!I:O,MATCH(K1037,Table!I:I,0),2),"")</f>
        <v/>
      </c>
      <c r="M1037" s="31" t="str">
        <f>IFERROR(INDEX(Table!I:O,MATCH(K1037,Table!I:I,0),3),"")</f>
        <v/>
      </c>
      <c r="N1037" s="32" t="str">
        <f>IFERROR(INDEX(Table!I:O,MATCH(K1037,Table!I:I,0),4),"")</f>
        <v/>
      </c>
      <c r="O1037" s="32" t="str">
        <f>IFERROR(INDEX(Table!I:O,MATCH(K1037,Table!I:I,0),5),"")</f>
        <v/>
      </c>
      <c r="P1037" s="32" t="str">
        <f>IFERROR(INDEX(Table!I:O,MATCH(K1037,Table!I:I,0),6),"")</f>
        <v/>
      </c>
      <c r="Q1037" s="89" t="str">
        <f t="shared" si="48"/>
        <v/>
      </c>
      <c r="R1037" s="89" t="str">
        <f t="shared" si="49"/>
        <v/>
      </c>
      <c r="S1037" s="82"/>
      <c r="U1037" s="37" t="e">
        <f t="shared" si="50"/>
        <v>#VALUE!</v>
      </c>
    </row>
    <row r="1038" spans="1:21" x14ac:dyDescent="0.25">
      <c r="A1038" s="31" t="str">
        <f>IF(Table!A1038 = "","",Table!A1038)</f>
        <v/>
      </c>
      <c r="B1038" s="31" t="str">
        <f>IF(Table!B1038 = "","",Table!B1038)</f>
        <v/>
      </c>
      <c r="C1038" s="31" t="str">
        <f>IF(Table!C1038 = "","",Table!C1038)</f>
        <v/>
      </c>
      <c r="D1038" s="32" t="str">
        <f>IF(Table!D1038 = "","",Table!D1038)</f>
        <v/>
      </c>
      <c r="E1038" s="32" t="str">
        <f>IF(Table!E1038 = "","",Table!E1038)</f>
        <v/>
      </c>
      <c r="F1038" s="32" t="str">
        <f>IF(Table!F1038 = "","",Table!F1038)</f>
        <v/>
      </c>
      <c r="G1038" s="91"/>
      <c r="K1038" s="31" t="str">
        <f>IFERROR(VLOOKUP(A1038,Table!$I$4:$O$3000,1,TRUE),"")</f>
        <v/>
      </c>
      <c r="L1038" s="31" t="str">
        <f>IFERROR(INDEX(Table!I:O,MATCH(K1038,Table!I:I,0),2),"")</f>
        <v/>
      </c>
      <c r="M1038" s="31" t="str">
        <f>IFERROR(INDEX(Table!I:O,MATCH(K1038,Table!I:I,0),3),"")</f>
        <v/>
      </c>
      <c r="N1038" s="32" t="str">
        <f>IFERROR(INDEX(Table!I:O,MATCH(K1038,Table!I:I,0),4),"")</f>
        <v/>
      </c>
      <c r="O1038" s="32" t="str">
        <f>IFERROR(INDEX(Table!I:O,MATCH(K1038,Table!I:I,0),5),"")</f>
        <v/>
      </c>
      <c r="P1038" s="32" t="str">
        <f>IFERROR(INDEX(Table!I:O,MATCH(K1038,Table!I:I,0),6),"")</f>
        <v/>
      </c>
      <c r="Q1038" s="89" t="str">
        <f t="shared" si="48"/>
        <v/>
      </c>
      <c r="R1038" s="89" t="str">
        <f t="shared" si="49"/>
        <v/>
      </c>
      <c r="S1038" s="82"/>
      <c r="U1038" s="37" t="e">
        <f t="shared" si="50"/>
        <v>#VALUE!</v>
      </c>
    </row>
    <row r="1039" spans="1:21" x14ac:dyDescent="0.25">
      <c r="A1039" s="31" t="str">
        <f>IF(Table!A1039 = "","",Table!A1039)</f>
        <v/>
      </c>
      <c r="B1039" s="31" t="str">
        <f>IF(Table!B1039 = "","",Table!B1039)</f>
        <v/>
      </c>
      <c r="C1039" s="31" t="str">
        <f>IF(Table!C1039 = "","",Table!C1039)</f>
        <v/>
      </c>
      <c r="D1039" s="32" t="str">
        <f>IF(Table!D1039 = "","",Table!D1039)</f>
        <v/>
      </c>
      <c r="E1039" s="32" t="str">
        <f>IF(Table!E1039 = "","",Table!E1039)</f>
        <v/>
      </c>
      <c r="F1039" s="32" t="str">
        <f>IF(Table!F1039 = "","",Table!F1039)</f>
        <v/>
      </c>
      <c r="G1039" s="91"/>
      <c r="K1039" s="31" t="str">
        <f>IFERROR(VLOOKUP(A1039,Table!$I$4:$O$3000,1,TRUE),"")</f>
        <v/>
      </c>
      <c r="L1039" s="31" t="str">
        <f>IFERROR(INDEX(Table!I:O,MATCH(K1039,Table!I:I,0),2),"")</f>
        <v/>
      </c>
      <c r="M1039" s="31" t="str">
        <f>IFERROR(INDEX(Table!I:O,MATCH(K1039,Table!I:I,0),3),"")</f>
        <v/>
      </c>
      <c r="N1039" s="32" t="str">
        <f>IFERROR(INDEX(Table!I:O,MATCH(K1039,Table!I:I,0),4),"")</f>
        <v/>
      </c>
      <c r="O1039" s="32" t="str">
        <f>IFERROR(INDEX(Table!I:O,MATCH(K1039,Table!I:I,0),5),"")</f>
        <v/>
      </c>
      <c r="P1039" s="32" t="str">
        <f>IFERROR(INDEX(Table!I:O,MATCH(K1039,Table!I:I,0),6),"")</f>
        <v/>
      </c>
      <c r="Q1039" s="89" t="str">
        <f t="shared" si="48"/>
        <v/>
      </c>
      <c r="R1039" s="89" t="str">
        <f t="shared" si="49"/>
        <v/>
      </c>
      <c r="S1039" s="82"/>
      <c r="U1039" s="37" t="e">
        <f t="shared" si="50"/>
        <v>#VALUE!</v>
      </c>
    </row>
    <row r="1040" spans="1:21" x14ac:dyDescent="0.25">
      <c r="A1040" s="31" t="str">
        <f>IF(Table!A1040 = "","",Table!A1040)</f>
        <v/>
      </c>
      <c r="B1040" s="31" t="str">
        <f>IF(Table!B1040 = "","",Table!B1040)</f>
        <v/>
      </c>
      <c r="C1040" s="31" t="str">
        <f>IF(Table!C1040 = "","",Table!C1040)</f>
        <v/>
      </c>
      <c r="D1040" s="32" t="str">
        <f>IF(Table!D1040 = "","",Table!D1040)</f>
        <v/>
      </c>
      <c r="E1040" s="32" t="str">
        <f>IF(Table!E1040 = "","",Table!E1040)</f>
        <v/>
      </c>
      <c r="F1040" s="32" t="str">
        <f>IF(Table!F1040 = "","",Table!F1040)</f>
        <v/>
      </c>
      <c r="G1040" s="91"/>
      <c r="K1040" s="31" t="str">
        <f>IFERROR(VLOOKUP(A1040,Table!$I$4:$O$3000,1,TRUE),"")</f>
        <v/>
      </c>
      <c r="L1040" s="31" t="str">
        <f>IFERROR(INDEX(Table!I:O,MATCH(K1040,Table!I:I,0),2),"")</f>
        <v/>
      </c>
      <c r="M1040" s="31" t="str">
        <f>IFERROR(INDEX(Table!I:O,MATCH(K1040,Table!I:I,0),3),"")</f>
        <v/>
      </c>
      <c r="N1040" s="32" t="str">
        <f>IFERROR(INDEX(Table!I:O,MATCH(K1040,Table!I:I,0),4),"")</f>
        <v/>
      </c>
      <c r="O1040" s="32" t="str">
        <f>IFERROR(INDEX(Table!I:O,MATCH(K1040,Table!I:I,0),5),"")</f>
        <v/>
      </c>
      <c r="P1040" s="32" t="str">
        <f>IFERROR(INDEX(Table!I:O,MATCH(K1040,Table!I:I,0),6),"")</f>
        <v/>
      </c>
      <c r="Q1040" s="89" t="str">
        <f t="shared" si="48"/>
        <v/>
      </c>
      <c r="R1040" s="89" t="str">
        <f t="shared" si="49"/>
        <v/>
      </c>
      <c r="S1040" s="82"/>
      <c r="U1040" s="37" t="e">
        <f t="shared" si="50"/>
        <v>#VALUE!</v>
      </c>
    </row>
    <row r="1041" spans="1:21" x14ac:dyDescent="0.25">
      <c r="A1041" s="31" t="str">
        <f>IF(Table!A1041 = "","",Table!A1041)</f>
        <v/>
      </c>
      <c r="B1041" s="31" t="str">
        <f>IF(Table!B1041 = "","",Table!B1041)</f>
        <v/>
      </c>
      <c r="C1041" s="31" t="str">
        <f>IF(Table!C1041 = "","",Table!C1041)</f>
        <v/>
      </c>
      <c r="D1041" s="32" t="str">
        <f>IF(Table!D1041 = "","",Table!D1041)</f>
        <v/>
      </c>
      <c r="E1041" s="32" t="str">
        <f>IF(Table!E1041 = "","",Table!E1041)</f>
        <v/>
      </c>
      <c r="F1041" s="32" t="str">
        <f>IF(Table!F1041 = "","",Table!F1041)</f>
        <v/>
      </c>
      <c r="G1041" s="91"/>
      <c r="K1041" s="31" t="str">
        <f>IFERROR(VLOOKUP(A1041,Table!$I$4:$O$3000,1,TRUE),"")</f>
        <v/>
      </c>
      <c r="L1041" s="31" t="str">
        <f>IFERROR(INDEX(Table!I:O,MATCH(K1041,Table!I:I,0),2),"")</f>
        <v/>
      </c>
      <c r="M1041" s="31" t="str">
        <f>IFERROR(INDEX(Table!I:O,MATCH(K1041,Table!I:I,0),3),"")</f>
        <v/>
      </c>
      <c r="N1041" s="32" t="str">
        <f>IFERROR(INDEX(Table!I:O,MATCH(K1041,Table!I:I,0),4),"")</f>
        <v/>
      </c>
      <c r="O1041" s="32" t="str">
        <f>IFERROR(INDEX(Table!I:O,MATCH(K1041,Table!I:I,0),5),"")</f>
        <v/>
      </c>
      <c r="P1041" s="32" t="str">
        <f>IFERROR(INDEX(Table!I:O,MATCH(K1041,Table!I:I,0),6),"")</f>
        <v/>
      </c>
      <c r="Q1041" s="89" t="str">
        <f t="shared" si="48"/>
        <v/>
      </c>
      <c r="R1041" s="89" t="str">
        <f t="shared" si="49"/>
        <v/>
      </c>
      <c r="S1041" s="82"/>
      <c r="U1041" s="37" t="e">
        <f t="shared" si="50"/>
        <v>#VALUE!</v>
      </c>
    </row>
    <row r="1042" spans="1:21" x14ac:dyDescent="0.25">
      <c r="A1042" s="31" t="str">
        <f>IF(Table!A1042 = "","",Table!A1042)</f>
        <v/>
      </c>
      <c r="B1042" s="31" t="str">
        <f>IF(Table!B1042 = "","",Table!B1042)</f>
        <v/>
      </c>
      <c r="C1042" s="31" t="str">
        <f>IF(Table!C1042 = "","",Table!C1042)</f>
        <v/>
      </c>
      <c r="D1042" s="32" t="str">
        <f>IF(Table!D1042 = "","",Table!D1042)</f>
        <v/>
      </c>
      <c r="E1042" s="32" t="str">
        <f>IF(Table!E1042 = "","",Table!E1042)</f>
        <v/>
      </c>
      <c r="F1042" s="32" t="str">
        <f>IF(Table!F1042 = "","",Table!F1042)</f>
        <v/>
      </c>
      <c r="G1042" s="91"/>
      <c r="K1042" s="31" t="str">
        <f>IFERROR(VLOOKUP(A1042,Table!$I$4:$O$3000,1,TRUE),"")</f>
        <v/>
      </c>
      <c r="L1042" s="31" t="str">
        <f>IFERROR(INDEX(Table!I:O,MATCH(K1042,Table!I:I,0),2),"")</f>
        <v/>
      </c>
      <c r="M1042" s="31" t="str">
        <f>IFERROR(INDEX(Table!I:O,MATCH(K1042,Table!I:I,0),3),"")</f>
        <v/>
      </c>
      <c r="N1042" s="32" t="str">
        <f>IFERROR(INDEX(Table!I:O,MATCH(K1042,Table!I:I,0),4),"")</f>
        <v/>
      </c>
      <c r="O1042" s="32" t="str">
        <f>IFERROR(INDEX(Table!I:O,MATCH(K1042,Table!I:I,0),5),"")</f>
        <v/>
      </c>
      <c r="P1042" s="32" t="str">
        <f>IFERROR(INDEX(Table!I:O,MATCH(K1042,Table!I:I,0),6),"")</f>
        <v/>
      </c>
      <c r="Q1042" s="89" t="str">
        <f t="shared" si="48"/>
        <v/>
      </c>
      <c r="R1042" s="89" t="str">
        <f t="shared" si="49"/>
        <v/>
      </c>
      <c r="S1042" s="82"/>
      <c r="U1042" s="37" t="e">
        <f t="shared" si="50"/>
        <v>#VALUE!</v>
      </c>
    </row>
    <row r="1043" spans="1:21" x14ac:dyDescent="0.25">
      <c r="A1043" s="31" t="str">
        <f>IF(Table!A1043 = "","",Table!A1043)</f>
        <v/>
      </c>
      <c r="B1043" s="31" t="str">
        <f>IF(Table!B1043 = "","",Table!B1043)</f>
        <v/>
      </c>
      <c r="C1043" s="31" t="str">
        <f>IF(Table!C1043 = "","",Table!C1043)</f>
        <v/>
      </c>
      <c r="D1043" s="32" t="str">
        <f>IF(Table!D1043 = "","",Table!D1043)</f>
        <v/>
      </c>
      <c r="E1043" s="32" t="str">
        <f>IF(Table!E1043 = "","",Table!E1043)</f>
        <v/>
      </c>
      <c r="F1043" s="32" t="str">
        <f>IF(Table!F1043 = "","",Table!F1043)</f>
        <v/>
      </c>
      <c r="G1043" s="91"/>
      <c r="K1043" s="31" t="str">
        <f>IFERROR(VLOOKUP(A1043,Table!$I$4:$O$3000,1,TRUE),"")</f>
        <v/>
      </c>
      <c r="L1043" s="31" t="str">
        <f>IFERROR(INDEX(Table!I:O,MATCH(K1043,Table!I:I,0),2),"")</f>
        <v/>
      </c>
      <c r="M1043" s="31" t="str">
        <f>IFERROR(INDEX(Table!I:O,MATCH(K1043,Table!I:I,0),3),"")</f>
        <v/>
      </c>
      <c r="N1043" s="32" t="str">
        <f>IFERROR(INDEX(Table!I:O,MATCH(K1043,Table!I:I,0),4),"")</f>
        <v/>
      </c>
      <c r="O1043" s="32" t="str">
        <f>IFERROR(INDEX(Table!I:O,MATCH(K1043,Table!I:I,0),5),"")</f>
        <v/>
      </c>
      <c r="P1043" s="32" t="str">
        <f>IFERROR(INDEX(Table!I:O,MATCH(K1043,Table!I:I,0),6),"")</f>
        <v/>
      </c>
      <c r="Q1043" s="89" t="str">
        <f t="shared" si="48"/>
        <v/>
      </c>
      <c r="R1043" s="89" t="str">
        <f t="shared" si="49"/>
        <v/>
      </c>
      <c r="S1043" s="82"/>
      <c r="U1043" s="37" t="e">
        <f t="shared" si="50"/>
        <v>#VALUE!</v>
      </c>
    </row>
    <row r="1044" spans="1:21" x14ac:dyDescent="0.25">
      <c r="A1044" s="31" t="str">
        <f>IF(Table!A1044 = "","",Table!A1044)</f>
        <v/>
      </c>
      <c r="B1044" s="31" t="str">
        <f>IF(Table!B1044 = "","",Table!B1044)</f>
        <v/>
      </c>
      <c r="C1044" s="31" t="str">
        <f>IF(Table!C1044 = "","",Table!C1044)</f>
        <v/>
      </c>
      <c r="D1044" s="32" t="str">
        <f>IF(Table!D1044 = "","",Table!D1044)</f>
        <v/>
      </c>
      <c r="E1044" s="32" t="str">
        <f>IF(Table!E1044 = "","",Table!E1044)</f>
        <v/>
      </c>
      <c r="F1044" s="32" t="str">
        <f>IF(Table!F1044 = "","",Table!F1044)</f>
        <v/>
      </c>
      <c r="G1044" s="91"/>
      <c r="K1044" s="31" t="str">
        <f>IFERROR(VLOOKUP(A1044,Table!$I$4:$O$3000,1,TRUE),"")</f>
        <v/>
      </c>
      <c r="L1044" s="31" t="str">
        <f>IFERROR(INDEX(Table!I:O,MATCH(K1044,Table!I:I,0),2),"")</f>
        <v/>
      </c>
      <c r="M1044" s="31" t="str">
        <f>IFERROR(INDEX(Table!I:O,MATCH(K1044,Table!I:I,0),3),"")</f>
        <v/>
      </c>
      <c r="N1044" s="32" t="str">
        <f>IFERROR(INDEX(Table!I:O,MATCH(K1044,Table!I:I,0),4),"")</f>
        <v/>
      </c>
      <c r="O1044" s="32" t="str">
        <f>IFERROR(INDEX(Table!I:O,MATCH(K1044,Table!I:I,0),5),"")</f>
        <v/>
      </c>
      <c r="P1044" s="32" t="str">
        <f>IFERROR(INDEX(Table!I:O,MATCH(K1044,Table!I:I,0),6),"")</f>
        <v/>
      </c>
      <c r="Q1044" s="89" t="str">
        <f t="shared" si="48"/>
        <v/>
      </c>
      <c r="R1044" s="89" t="str">
        <f t="shared" si="49"/>
        <v/>
      </c>
      <c r="S1044" s="82"/>
      <c r="U1044" s="37" t="e">
        <f t="shared" si="50"/>
        <v>#VALUE!</v>
      </c>
    </row>
    <row r="1045" spans="1:21" x14ac:dyDescent="0.25">
      <c r="A1045" s="31" t="str">
        <f>IF(Table!A1045 = "","",Table!A1045)</f>
        <v/>
      </c>
      <c r="B1045" s="31" t="str">
        <f>IF(Table!B1045 = "","",Table!B1045)</f>
        <v/>
      </c>
      <c r="C1045" s="31" t="str">
        <f>IF(Table!C1045 = "","",Table!C1045)</f>
        <v/>
      </c>
      <c r="D1045" s="32" t="str">
        <f>IF(Table!D1045 = "","",Table!D1045)</f>
        <v/>
      </c>
      <c r="E1045" s="32" t="str">
        <f>IF(Table!E1045 = "","",Table!E1045)</f>
        <v/>
      </c>
      <c r="F1045" s="32" t="str">
        <f>IF(Table!F1045 = "","",Table!F1045)</f>
        <v/>
      </c>
      <c r="G1045" s="91"/>
      <c r="K1045" s="31" t="str">
        <f>IFERROR(VLOOKUP(A1045,Table!$I$4:$O$3000,1,TRUE),"")</f>
        <v/>
      </c>
      <c r="L1045" s="31" t="str">
        <f>IFERROR(INDEX(Table!I:O,MATCH(K1045,Table!I:I,0),2),"")</f>
        <v/>
      </c>
      <c r="M1045" s="31" t="str">
        <f>IFERROR(INDEX(Table!I:O,MATCH(K1045,Table!I:I,0),3),"")</f>
        <v/>
      </c>
      <c r="N1045" s="32" t="str">
        <f>IFERROR(INDEX(Table!I:O,MATCH(K1045,Table!I:I,0),4),"")</f>
        <v/>
      </c>
      <c r="O1045" s="32" t="str">
        <f>IFERROR(INDEX(Table!I:O,MATCH(K1045,Table!I:I,0),5),"")</f>
        <v/>
      </c>
      <c r="P1045" s="32" t="str">
        <f>IFERROR(INDEX(Table!I:O,MATCH(K1045,Table!I:I,0),6),"")</f>
        <v/>
      </c>
      <c r="Q1045" s="89" t="str">
        <f t="shared" si="48"/>
        <v/>
      </c>
      <c r="R1045" s="89" t="str">
        <f t="shared" si="49"/>
        <v/>
      </c>
      <c r="S1045" s="82"/>
      <c r="U1045" s="37" t="e">
        <f t="shared" si="50"/>
        <v>#VALUE!</v>
      </c>
    </row>
    <row r="1046" spans="1:21" x14ac:dyDescent="0.25">
      <c r="A1046" s="31" t="str">
        <f>IF(Table!A1046 = "","",Table!A1046)</f>
        <v/>
      </c>
      <c r="B1046" s="31" t="str">
        <f>IF(Table!B1046 = "","",Table!B1046)</f>
        <v/>
      </c>
      <c r="C1046" s="31" t="str">
        <f>IF(Table!C1046 = "","",Table!C1046)</f>
        <v/>
      </c>
      <c r="D1046" s="32" t="str">
        <f>IF(Table!D1046 = "","",Table!D1046)</f>
        <v/>
      </c>
      <c r="E1046" s="32" t="str">
        <f>IF(Table!E1046 = "","",Table!E1046)</f>
        <v/>
      </c>
      <c r="F1046" s="32" t="str">
        <f>IF(Table!F1046 = "","",Table!F1046)</f>
        <v/>
      </c>
      <c r="G1046" s="91"/>
      <c r="K1046" s="31" t="str">
        <f>IFERROR(VLOOKUP(A1046,Table!$I$4:$O$3000,1,TRUE),"")</f>
        <v/>
      </c>
      <c r="L1046" s="31" t="str">
        <f>IFERROR(INDEX(Table!I:O,MATCH(K1046,Table!I:I,0),2),"")</f>
        <v/>
      </c>
      <c r="M1046" s="31" t="str">
        <f>IFERROR(INDEX(Table!I:O,MATCH(K1046,Table!I:I,0),3),"")</f>
        <v/>
      </c>
      <c r="N1046" s="32" t="str">
        <f>IFERROR(INDEX(Table!I:O,MATCH(K1046,Table!I:I,0),4),"")</f>
        <v/>
      </c>
      <c r="O1046" s="32" t="str">
        <f>IFERROR(INDEX(Table!I:O,MATCH(K1046,Table!I:I,0),5),"")</f>
        <v/>
      </c>
      <c r="P1046" s="32" t="str">
        <f>IFERROR(INDEX(Table!I:O,MATCH(K1046,Table!I:I,0),6),"")</f>
        <v/>
      </c>
      <c r="Q1046" s="89" t="str">
        <f t="shared" si="48"/>
        <v/>
      </c>
      <c r="R1046" s="89" t="str">
        <f t="shared" si="49"/>
        <v/>
      </c>
      <c r="S1046" s="82"/>
      <c r="U1046" s="37" t="e">
        <f t="shared" si="50"/>
        <v>#VALUE!</v>
      </c>
    </row>
    <row r="1047" spans="1:21" x14ac:dyDescent="0.25">
      <c r="A1047" s="31" t="str">
        <f>IF(Table!A1047 = "","",Table!A1047)</f>
        <v/>
      </c>
      <c r="B1047" s="31" t="str">
        <f>IF(Table!B1047 = "","",Table!B1047)</f>
        <v/>
      </c>
      <c r="C1047" s="31" t="str">
        <f>IF(Table!C1047 = "","",Table!C1047)</f>
        <v/>
      </c>
      <c r="D1047" s="32" t="str">
        <f>IF(Table!D1047 = "","",Table!D1047)</f>
        <v/>
      </c>
      <c r="E1047" s="32" t="str">
        <f>IF(Table!E1047 = "","",Table!E1047)</f>
        <v/>
      </c>
      <c r="F1047" s="32" t="str">
        <f>IF(Table!F1047 = "","",Table!F1047)</f>
        <v/>
      </c>
      <c r="G1047" s="91"/>
      <c r="K1047" s="31" t="str">
        <f>IFERROR(VLOOKUP(A1047,Table!$I$4:$O$3000,1,TRUE),"")</f>
        <v/>
      </c>
      <c r="L1047" s="31" t="str">
        <f>IFERROR(INDEX(Table!I:O,MATCH(K1047,Table!I:I,0),2),"")</f>
        <v/>
      </c>
      <c r="M1047" s="31" t="str">
        <f>IFERROR(INDEX(Table!I:O,MATCH(K1047,Table!I:I,0),3),"")</f>
        <v/>
      </c>
      <c r="N1047" s="32" t="str">
        <f>IFERROR(INDEX(Table!I:O,MATCH(K1047,Table!I:I,0),4),"")</f>
        <v/>
      </c>
      <c r="O1047" s="32" t="str">
        <f>IFERROR(INDEX(Table!I:O,MATCH(K1047,Table!I:I,0),5),"")</f>
        <v/>
      </c>
      <c r="P1047" s="32" t="str">
        <f>IFERROR(INDEX(Table!I:O,MATCH(K1047,Table!I:I,0),6),"")</f>
        <v/>
      </c>
      <c r="Q1047" s="89" t="str">
        <f t="shared" si="48"/>
        <v/>
      </c>
      <c r="R1047" s="89" t="str">
        <f t="shared" si="49"/>
        <v/>
      </c>
      <c r="S1047" s="82"/>
      <c r="U1047" s="37" t="e">
        <f t="shared" si="50"/>
        <v>#VALUE!</v>
      </c>
    </row>
    <row r="1048" spans="1:21" x14ac:dyDescent="0.25">
      <c r="A1048" s="31" t="str">
        <f>IF(Table!A1048 = "","",Table!A1048)</f>
        <v/>
      </c>
      <c r="B1048" s="31" t="str">
        <f>IF(Table!B1048 = "","",Table!B1048)</f>
        <v/>
      </c>
      <c r="C1048" s="31" t="str">
        <f>IF(Table!C1048 = "","",Table!C1048)</f>
        <v/>
      </c>
      <c r="D1048" s="32" t="str">
        <f>IF(Table!D1048 = "","",Table!D1048)</f>
        <v/>
      </c>
      <c r="E1048" s="32" t="str">
        <f>IF(Table!E1048 = "","",Table!E1048)</f>
        <v/>
      </c>
      <c r="F1048" s="32" t="str">
        <f>IF(Table!F1048 = "","",Table!F1048)</f>
        <v/>
      </c>
      <c r="G1048" s="91"/>
      <c r="K1048" s="31" t="str">
        <f>IFERROR(VLOOKUP(A1048,Table!$I$4:$O$3000,1,TRUE),"")</f>
        <v/>
      </c>
      <c r="L1048" s="31" t="str">
        <f>IFERROR(INDEX(Table!I:O,MATCH(K1048,Table!I:I,0),2),"")</f>
        <v/>
      </c>
      <c r="M1048" s="31" t="str">
        <f>IFERROR(INDEX(Table!I:O,MATCH(K1048,Table!I:I,0),3),"")</f>
        <v/>
      </c>
      <c r="N1048" s="32" t="str">
        <f>IFERROR(INDEX(Table!I:O,MATCH(K1048,Table!I:I,0),4),"")</f>
        <v/>
      </c>
      <c r="O1048" s="32" t="str">
        <f>IFERROR(INDEX(Table!I:O,MATCH(K1048,Table!I:I,0),5),"")</f>
        <v/>
      </c>
      <c r="P1048" s="32" t="str">
        <f>IFERROR(INDEX(Table!I:O,MATCH(K1048,Table!I:I,0),6),"")</f>
        <v/>
      </c>
      <c r="Q1048" s="89" t="str">
        <f t="shared" si="48"/>
        <v/>
      </c>
      <c r="R1048" s="89" t="str">
        <f t="shared" si="49"/>
        <v/>
      </c>
      <c r="S1048" s="82"/>
      <c r="U1048" s="37" t="e">
        <f t="shared" si="50"/>
        <v>#VALUE!</v>
      </c>
    </row>
    <row r="1049" spans="1:21" x14ac:dyDescent="0.25">
      <c r="A1049" s="31" t="str">
        <f>IF(Table!A1049 = "","",Table!A1049)</f>
        <v/>
      </c>
      <c r="B1049" s="31" t="str">
        <f>IF(Table!B1049 = "","",Table!B1049)</f>
        <v/>
      </c>
      <c r="C1049" s="31" t="str">
        <f>IF(Table!C1049 = "","",Table!C1049)</f>
        <v/>
      </c>
      <c r="D1049" s="32" t="str">
        <f>IF(Table!D1049 = "","",Table!D1049)</f>
        <v/>
      </c>
      <c r="E1049" s="32" t="str">
        <f>IF(Table!E1049 = "","",Table!E1049)</f>
        <v/>
      </c>
      <c r="F1049" s="32" t="str">
        <f>IF(Table!F1049 = "","",Table!F1049)</f>
        <v/>
      </c>
      <c r="G1049" s="91"/>
      <c r="K1049" s="31" t="str">
        <f>IFERROR(VLOOKUP(A1049,Table!$I$4:$O$3000,1,TRUE),"")</f>
        <v/>
      </c>
      <c r="L1049" s="31" t="str">
        <f>IFERROR(INDEX(Table!I:O,MATCH(K1049,Table!I:I,0),2),"")</f>
        <v/>
      </c>
      <c r="M1049" s="31" t="str">
        <f>IFERROR(INDEX(Table!I:O,MATCH(K1049,Table!I:I,0),3),"")</f>
        <v/>
      </c>
      <c r="N1049" s="32" t="str">
        <f>IFERROR(INDEX(Table!I:O,MATCH(K1049,Table!I:I,0),4),"")</f>
        <v/>
      </c>
      <c r="O1049" s="32" t="str">
        <f>IFERROR(INDEX(Table!I:O,MATCH(K1049,Table!I:I,0),5),"")</f>
        <v/>
      </c>
      <c r="P1049" s="32" t="str">
        <f>IFERROR(INDEX(Table!I:O,MATCH(K1049,Table!I:I,0),6),"")</f>
        <v/>
      </c>
      <c r="Q1049" s="89" t="str">
        <f t="shared" si="48"/>
        <v/>
      </c>
      <c r="R1049" s="89" t="str">
        <f t="shared" si="49"/>
        <v/>
      </c>
      <c r="S1049" s="82"/>
      <c r="U1049" s="37" t="e">
        <f t="shared" si="50"/>
        <v>#VALUE!</v>
      </c>
    </row>
    <row r="1050" spans="1:21" x14ac:dyDescent="0.25">
      <c r="A1050" s="31" t="str">
        <f>IF(Table!A1050 = "","",Table!A1050)</f>
        <v/>
      </c>
      <c r="B1050" s="31" t="str">
        <f>IF(Table!B1050 = "","",Table!B1050)</f>
        <v/>
      </c>
      <c r="C1050" s="31" t="str">
        <f>IF(Table!C1050 = "","",Table!C1050)</f>
        <v/>
      </c>
      <c r="D1050" s="32" t="str">
        <f>IF(Table!D1050 = "","",Table!D1050)</f>
        <v/>
      </c>
      <c r="E1050" s="32" t="str">
        <f>IF(Table!E1050 = "","",Table!E1050)</f>
        <v/>
      </c>
      <c r="F1050" s="32" t="str">
        <f>IF(Table!F1050 = "","",Table!F1050)</f>
        <v/>
      </c>
      <c r="G1050" s="91"/>
      <c r="K1050" s="31" t="str">
        <f>IFERROR(VLOOKUP(A1050,Table!$I$4:$O$3000,1,TRUE),"")</f>
        <v/>
      </c>
      <c r="L1050" s="31" t="str">
        <f>IFERROR(INDEX(Table!I:O,MATCH(K1050,Table!I:I,0),2),"")</f>
        <v/>
      </c>
      <c r="M1050" s="31" t="str">
        <f>IFERROR(INDEX(Table!I:O,MATCH(K1050,Table!I:I,0),3),"")</f>
        <v/>
      </c>
      <c r="N1050" s="32" t="str">
        <f>IFERROR(INDEX(Table!I:O,MATCH(K1050,Table!I:I,0),4),"")</f>
        <v/>
      </c>
      <c r="O1050" s="32" t="str">
        <f>IFERROR(INDEX(Table!I:O,MATCH(K1050,Table!I:I,0),5),"")</f>
        <v/>
      </c>
      <c r="P1050" s="32" t="str">
        <f>IFERROR(INDEX(Table!I:O,MATCH(K1050,Table!I:I,0),6),"")</f>
        <v/>
      </c>
      <c r="Q1050" s="89" t="str">
        <f t="shared" si="48"/>
        <v/>
      </c>
      <c r="R1050" s="89" t="str">
        <f t="shared" si="49"/>
        <v/>
      </c>
      <c r="S1050" s="82"/>
      <c r="U1050" s="37" t="e">
        <f t="shared" si="50"/>
        <v>#VALUE!</v>
      </c>
    </row>
    <row r="1051" spans="1:21" x14ac:dyDescent="0.25">
      <c r="A1051" s="31" t="str">
        <f>IF(Table!A1051 = "","",Table!A1051)</f>
        <v/>
      </c>
      <c r="B1051" s="31" t="str">
        <f>IF(Table!B1051 = "","",Table!B1051)</f>
        <v/>
      </c>
      <c r="C1051" s="31" t="str">
        <f>IF(Table!C1051 = "","",Table!C1051)</f>
        <v/>
      </c>
      <c r="D1051" s="32" t="str">
        <f>IF(Table!D1051 = "","",Table!D1051)</f>
        <v/>
      </c>
      <c r="E1051" s="32" t="str">
        <f>IF(Table!E1051 = "","",Table!E1051)</f>
        <v/>
      </c>
      <c r="F1051" s="32" t="str">
        <f>IF(Table!F1051 = "","",Table!F1051)</f>
        <v/>
      </c>
      <c r="G1051" s="91"/>
      <c r="K1051" s="31" t="str">
        <f>IFERROR(VLOOKUP(A1051,Table!$I$4:$O$3000,1,TRUE),"")</f>
        <v/>
      </c>
      <c r="L1051" s="31" t="str">
        <f>IFERROR(INDEX(Table!I:O,MATCH(K1051,Table!I:I,0),2),"")</f>
        <v/>
      </c>
      <c r="M1051" s="31" t="str">
        <f>IFERROR(INDEX(Table!I:O,MATCH(K1051,Table!I:I,0),3),"")</f>
        <v/>
      </c>
      <c r="N1051" s="32" t="str">
        <f>IFERROR(INDEX(Table!I:O,MATCH(K1051,Table!I:I,0),4),"")</f>
        <v/>
      </c>
      <c r="O1051" s="32" t="str">
        <f>IFERROR(INDEX(Table!I:O,MATCH(K1051,Table!I:I,0),5),"")</f>
        <v/>
      </c>
      <c r="P1051" s="32" t="str">
        <f>IFERROR(INDEX(Table!I:O,MATCH(K1051,Table!I:I,0),6),"")</f>
        <v/>
      </c>
      <c r="Q1051" s="89" t="str">
        <f t="shared" si="48"/>
        <v/>
      </c>
      <c r="R1051" s="89" t="str">
        <f t="shared" si="49"/>
        <v/>
      </c>
      <c r="S1051" s="82"/>
      <c r="U1051" s="37" t="e">
        <f t="shared" si="50"/>
        <v>#VALUE!</v>
      </c>
    </row>
    <row r="1052" spans="1:21" x14ac:dyDescent="0.25">
      <c r="A1052" s="31" t="str">
        <f>IF(Table!A1052 = "","",Table!A1052)</f>
        <v/>
      </c>
      <c r="B1052" s="31" t="str">
        <f>IF(Table!B1052 = "","",Table!B1052)</f>
        <v/>
      </c>
      <c r="C1052" s="31" t="str">
        <f>IF(Table!C1052 = "","",Table!C1052)</f>
        <v/>
      </c>
      <c r="D1052" s="32" t="str">
        <f>IF(Table!D1052 = "","",Table!D1052)</f>
        <v/>
      </c>
      <c r="E1052" s="32" t="str">
        <f>IF(Table!E1052 = "","",Table!E1052)</f>
        <v/>
      </c>
      <c r="F1052" s="32" t="str">
        <f>IF(Table!F1052 = "","",Table!F1052)</f>
        <v/>
      </c>
      <c r="G1052" s="91"/>
      <c r="K1052" s="31" t="str">
        <f>IFERROR(VLOOKUP(A1052,Table!$I$4:$O$3000,1,TRUE),"")</f>
        <v/>
      </c>
      <c r="L1052" s="31" t="str">
        <f>IFERROR(INDEX(Table!I:O,MATCH(K1052,Table!I:I,0),2),"")</f>
        <v/>
      </c>
      <c r="M1052" s="31" t="str">
        <f>IFERROR(INDEX(Table!I:O,MATCH(K1052,Table!I:I,0),3),"")</f>
        <v/>
      </c>
      <c r="N1052" s="32" t="str">
        <f>IFERROR(INDEX(Table!I:O,MATCH(K1052,Table!I:I,0),4),"")</f>
        <v/>
      </c>
      <c r="O1052" s="32" t="str">
        <f>IFERROR(INDEX(Table!I:O,MATCH(K1052,Table!I:I,0),5),"")</f>
        <v/>
      </c>
      <c r="P1052" s="32" t="str">
        <f>IFERROR(INDEX(Table!I:O,MATCH(K1052,Table!I:I,0),6),"")</f>
        <v/>
      </c>
      <c r="Q1052" s="89" t="str">
        <f t="shared" si="48"/>
        <v/>
      </c>
      <c r="R1052" s="89" t="str">
        <f t="shared" si="49"/>
        <v/>
      </c>
      <c r="S1052" s="82"/>
      <c r="U1052" s="37" t="e">
        <f t="shared" si="50"/>
        <v>#VALUE!</v>
      </c>
    </row>
    <row r="1053" spans="1:21" x14ac:dyDescent="0.25">
      <c r="A1053" s="31" t="str">
        <f>IF(Table!A1053 = "","",Table!A1053)</f>
        <v/>
      </c>
      <c r="B1053" s="31" t="str">
        <f>IF(Table!B1053 = "","",Table!B1053)</f>
        <v/>
      </c>
      <c r="C1053" s="31" t="str">
        <f>IF(Table!C1053 = "","",Table!C1053)</f>
        <v/>
      </c>
      <c r="D1053" s="32" t="str">
        <f>IF(Table!D1053 = "","",Table!D1053)</f>
        <v/>
      </c>
      <c r="E1053" s="32" t="str">
        <f>IF(Table!E1053 = "","",Table!E1053)</f>
        <v/>
      </c>
      <c r="F1053" s="32" t="str">
        <f>IF(Table!F1053 = "","",Table!F1053)</f>
        <v/>
      </c>
      <c r="G1053" s="91"/>
      <c r="K1053" s="31" t="str">
        <f>IFERROR(VLOOKUP(A1053,Table!$I$4:$O$3000,1,TRUE),"")</f>
        <v/>
      </c>
      <c r="L1053" s="31" t="str">
        <f>IFERROR(INDEX(Table!I:O,MATCH(K1053,Table!I:I,0),2),"")</f>
        <v/>
      </c>
      <c r="M1053" s="31" t="str">
        <f>IFERROR(INDEX(Table!I:O,MATCH(K1053,Table!I:I,0),3),"")</f>
        <v/>
      </c>
      <c r="N1053" s="32" t="str">
        <f>IFERROR(INDEX(Table!I:O,MATCH(K1053,Table!I:I,0),4),"")</f>
        <v/>
      </c>
      <c r="O1053" s="32" t="str">
        <f>IFERROR(INDEX(Table!I:O,MATCH(K1053,Table!I:I,0),5),"")</f>
        <v/>
      </c>
      <c r="P1053" s="32" t="str">
        <f>IFERROR(INDEX(Table!I:O,MATCH(K1053,Table!I:I,0),6),"")</f>
        <v/>
      </c>
      <c r="Q1053" s="89" t="str">
        <f t="shared" si="48"/>
        <v/>
      </c>
      <c r="R1053" s="89" t="str">
        <f t="shared" si="49"/>
        <v/>
      </c>
      <c r="S1053" s="82"/>
      <c r="U1053" s="37" t="e">
        <f t="shared" si="50"/>
        <v>#VALUE!</v>
      </c>
    </row>
    <row r="1054" spans="1:21" x14ac:dyDescent="0.25">
      <c r="A1054" s="31" t="str">
        <f>IF(Table!A1054 = "","",Table!A1054)</f>
        <v/>
      </c>
      <c r="B1054" s="31" t="str">
        <f>IF(Table!B1054 = "","",Table!B1054)</f>
        <v/>
      </c>
      <c r="C1054" s="31" t="str">
        <f>IF(Table!C1054 = "","",Table!C1054)</f>
        <v/>
      </c>
      <c r="D1054" s="32" t="str">
        <f>IF(Table!D1054 = "","",Table!D1054)</f>
        <v/>
      </c>
      <c r="E1054" s="32" t="str">
        <f>IF(Table!E1054 = "","",Table!E1054)</f>
        <v/>
      </c>
      <c r="F1054" s="32" t="str">
        <f>IF(Table!F1054 = "","",Table!F1054)</f>
        <v/>
      </c>
      <c r="G1054" s="91"/>
      <c r="K1054" s="31" t="str">
        <f>IFERROR(VLOOKUP(A1054,Table!$I$4:$O$3000,1,TRUE),"")</f>
        <v/>
      </c>
      <c r="L1054" s="31" t="str">
        <f>IFERROR(INDEX(Table!I:O,MATCH(K1054,Table!I:I,0),2),"")</f>
        <v/>
      </c>
      <c r="M1054" s="31" t="str">
        <f>IFERROR(INDEX(Table!I:O,MATCH(K1054,Table!I:I,0),3),"")</f>
        <v/>
      </c>
      <c r="N1054" s="32" t="str">
        <f>IFERROR(INDEX(Table!I:O,MATCH(K1054,Table!I:I,0),4),"")</f>
        <v/>
      </c>
      <c r="O1054" s="32" t="str">
        <f>IFERROR(INDEX(Table!I:O,MATCH(K1054,Table!I:I,0),5),"")</f>
        <v/>
      </c>
      <c r="P1054" s="32" t="str">
        <f>IFERROR(INDEX(Table!I:O,MATCH(K1054,Table!I:I,0),6),"")</f>
        <v/>
      </c>
      <c r="Q1054" s="89" t="str">
        <f t="shared" si="48"/>
        <v/>
      </c>
      <c r="R1054" s="89" t="str">
        <f t="shared" si="49"/>
        <v/>
      </c>
      <c r="S1054" s="82"/>
      <c r="U1054" s="37" t="e">
        <f t="shared" si="50"/>
        <v>#VALUE!</v>
      </c>
    </row>
    <row r="1055" spans="1:21" x14ac:dyDescent="0.25">
      <c r="A1055" s="31" t="str">
        <f>IF(Table!A1055 = "","",Table!A1055)</f>
        <v/>
      </c>
      <c r="B1055" s="31" t="str">
        <f>IF(Table!B1055 = "","",Table!B1055)</f>
        <v/>
      </c>
      <c r="C1055" s="31" t="str">
        <f>IF(Table!C1055 = "","",Table!C1055)</f>
        <v/>
      </c>
      <c r="D1055" s="32" t="str">
        <f>IF(Table!D1055 = "","",Table!D1055)</f>
        <v/>
      </c>
      <c r="E1055" s="32" t="str">
        <f>IF(Table!E1055 = "","",Table!E1055)</f>
        <v/>
      </c>
      <c r="F1055" s="32" t="str">
        <f>IF(Table!F1055 = "","",Table!F1055)</f>
        <v/>
      </c>
      <c r="G1055" s="91"/>
      <c r="K1055" s="31" t="str">
        <f>IFERROR(VLOOKUP(A1055,Table!$I$4:$O$3000,1,TRUE),"")</f>
        <v/>
      </c>
      <c r="L1055" s="31" t="str">
        <f>IFERROR(INDEX(Table!I:O,MATCH(K1055,Table!I:I,0),2),"")</f>
        <v/>
      </c>
      <c r="M1055" s="31" t="str">
        <f>IFERROR(INDEX(Table!I:O,MATCH(K1055,Table!I:I,0),3),"")</f>
        <v/>
      </c>
      <c r="N1055" s="32" t="str">
        <f>IFERROR(INDEX(Table!I:O,MATCH(K1055,Table!I:I,0),4),"")</f>
        <v/>
      </c>
      <c r="O1055" s="32" t="str">
        <f>IFERROR(INDEX(Table!I:O,MATCH(K1055,Table!I:I,0),5),"")</f>
        <v/>
      </c>
      <c r="P1055" s="32" t="str">
        <f>IFERROR(INDEX(Table!I:O,MATCH(K1055,Table!I:I,0),6),"")</f>
        <v/>
      </c>
      <c r="Q1055" s="89" t="str">
        <f t="shared" si="48"/>
        <v/>
      </c>
      <c r="R1055" s="89" t="str">
        <f t="shared" si="49"/>
        <v/>
      </c>
      <c r="S1055" s="82"/>
      <c r="U1055" s="37" t="e">
        <f t="shared" si="50"/>
        <v>#VALUE!</v>
      </c>
    </row>
    <row r="1056" spans="1:21" x14ac:dyDescent="0.25">
      <c r="A1056" s="31" t="str">
        <f>IF(Table!A1056 = "","",Table!A1056)</f>
        <v/>
      </c>
      <c r="B1056" s="31" t="str">
        <f>IF(Table!B1056 = "","",Table!B1056)</f>
        <v/>
      </c>
      <c r="C1056" s="31" t="str">
        <f>IF(Table!C1056 = "","",Table!C1056)</f>
        <v/>
      </c>
      <c r="D1056" s="32" t="str">
        <f>IF(Table!D1056 = "","",Table!D1056)</f>
        <v/>
      </c>
      <c r="E1056" s="32" t="str">
        <f>IF(Table!E1056 = "","",Table!E1056)</f>
        <v/>
      </c>
      <c r="F1056" s="32" t="str">
        <f>IF(Table!F1056 = "","",Table!F1056)</f>
        <v/>
      </c>
      <c r="G1056" s="91"/>
      <c r="K1056" s="31" t="str">
        <f>IFERROR(VLOOKUP(A1056,Table!$I$4:$O$3000,1,TRUE),"")</f>
        <v/>
      </c>
      <c r="L1056" s="31" t="str">
        <f>IFERROR(INDEX(Table!I:O,MATCH(K1056,Table!I:I,0),2),"")</f>
        <v/>
      </c>
      <c r="M1056" s="31" t="str">
        <f>IFERROR(INDEX(Table!I:O,MATCH(K1056,Table!I:I,0),3),"")</f>
        <v/>
      </c>
      <c r="N1056" s="32" t="str">
        <f>IFERROR(INDEX(Table!I:O,MATCH(K1056,Table!I:I,0),4),"")</f>
        <v/>
      </c>
      <c r="O1056" s="32" t="str">
        <f>IFERROR(INDEX(Table!I:O,MATCH(K1056,Table!I:I,0),5),"")</f>
        <v/>
      </c>
      <c r="P1056" s="32" t="str">
        <f>IFERROR(INDEX(Table!I:O,MATCH(K1056,Table!I:I,0),6),"")</f>
        <v/>
      </c>
      <c r="Q1056" s="89" t="str">
        <f t="shared" si="48"/>
        <v/>
      </c>
      <c r="R1056" s="89" t="str">
        <f t="shared" si="49"/>
        <v/>
      </c>
      <c r="S1056" s="82"/>
      <c r="U1056" s="37" t="e">
        <f t="shared" si="50"/>
        <v>#VALUE!</v>
      </c>
    </row>
    <row r="1057" spans="1:21" x14ac:dyDescent="0.25">
      <c r="A1057" s="31" t="str">
        <f>IF(Table!A1057 = "","",Table!A1057)</f>
        <v/>
      </c>
      <c r="B1057" s="31" t="str">
        <f>IF(Table!B1057 = "","",Table!B1057)</f>
        <v/>
      </c>
      <c r="C1057" s="31" t="str">
        <f>IF(Table!C1057 = "","",Table!C1057)</f>
        <v/>
      </c>
      <c r="D1057" s="32" t="str">
        <f>IF(Table!D1057 = "","",Table!D1057)</f>
        <v/>
      </c>
      <c r="E1057" s="32" t="str">
        <f>IF(Table!E1057 = "","",Table!E1057)</f>
        <v/>
      </c>
      <c r="F1057" s="32" t="str">
        <f>IF(Table!F1057 = "","",Table!F1057)</f>
        <v/>
      </c>
      <c r="G1057" s="91"/>
      <c r="K1057" s="31" t="str">
        <f>IFERROR(VLOOKUP(A1057,Table!$I$4:$O$3000,1,TRUE),"")</f>
        <v/>
      </c>
      <c r="L1057" s="31" t="str">
        <f>IFERROR(INDEX(Table!I:O,MATCH(K1057,Table!I:I,0),2),"")</f>
        <v/>
      </c>
      <c r="M1057" s="31" t="str">
        <f>IFERROR(INDEX(Table!I:O,MATCH(K1057,Table!I:I,0),3),"")</f>
        <v/>
      </c>
      <c r="N1057" s="32" t="str">
        <f>IFERROR(INDEX(Table!I:O,MATCH(K1057,Table!I:I,0),4),"")</f>
        <v/>
      </c>
      <c r="O1057" s="32" t="str">
        <f>IFERROR(INDEX(Table!I:O,MATCH(K1057,Table!I:I,0),5),"")</f>
        <v/>
      </c>
      <c r="P1057" s="32" t="str">
        <f>IFERROR(INDEX(Table!I:O,MATCH(K1057,Table!I:I,0),6),"")</f>
        <v/>
      </c>
      <c r="Q1057" s="89" t="str">
        <f t="shared" si="48"/>
        <v/>
      </c>
      <c r="R1057" s="89" t="str">
        <f t="shared" si="49"/>
        <v/>
      </c>
      <c r="S1057" s="82"/>
      <c r="U1057" s="37" t="e">
        <f t="shared" si="50"/>
        <v>#VALUE!</v>
      </c>
    </row>
    <row r="1058" spans="1:21" x14ac:dyDescent="0.25">
      <c r="A1058" s="31" t="str">
        <f>IF(Table!A1058 = "","",Table!A1058)</f>
        <v/>
      </c>
      <c r="B1058" s="31" t="str">
        <f>IF(Table!B1058 = "","",Table!B1058)</f>
        <v/>
      </c>
      <c r="C1058" s="31" t="str">
        <f>IF(Table!C1058 = "","",Table!C1058)</f>
        <v/>
      </c>
      <c r="D1058" s="32" t="str">
        <f>IF(Table!D1058 = "","",Table!D1058)</f>
        <v/>
      </c>
      <c r="E1058" s="32" t="str">
        <f>IF(Table!E1058 = "","",Table!E1058)</f>
        <v/>
      </c>
      <c r="F1058" s="32" t="str">
        <f>IF(Table!F1058 = "","",Table!F1058)</f>
        <v/>
      </c>
      <c r="G1058" s="91"/>
      <c r="K1058" s="31" t="str">
        <f>IFERROR(VLOOKUP(A1058,Table!$I$4:$O$3000,1,TRUE),"")</f>
        <v/>
      </c>
      <c r="L1058" s="31" t="str">
        <f>IFERROR(INDEX(Table!I:O,MATCH(K1058,Table!I:I,0),2),"")</f>
        <v/>
      </c>
      <c r="M1058" s="31" t="str">
        <f>IFERROR(INDEX(Table!I:O,MATCH(K1058,Table!I:I,0),3),"")</f>
        <v/>
      </c>
      <c r="N1058" s="32" t="str">
        <f>IFERROR(INDEX(Table!I:O,MATCH(K1058,Table!I:I,0),4),"")</f>
        <v/>
      </c>
      <c r="O1058" s="32" t="str">
        <f>IFERROR(INDEX(Table!I:O,MATCH(K1058,Table!I:I,0),5),"")</f>
        <v/>
      </c>
      <c r="P1058" s="32" t="str">
        <f>IFERROR(INDEX(Table!I:O,MATCH(K1058,Table!I:I,0),6),"")</f>
        <v/>
      </c>
      <c r="Q1058" s="89" t="str">
        <f t="shared" si="48"/>
        <v/>
      </c>
      <c r="R1058" s="89" t="str">
        <f t="shared" si="49"/>
        <v/>
      </c>
      <c r="S1058" s="82"/>
      <c r="U1058" s="37" t="e">
        <f t="shared" si="50"/>
        <v>#VALUE!</v>
      </c>
    </row>
    <row r="1059" spans="1:21" x14ac:dyDescent="0.25">
      <c r="A1059" s="31" t="str">
        <f>IF(Table!A1059 = "","",Table!A1059)</f>
        <v/>
      </c>
      <c r="B1059" s="31" t="str">
        <f>IF(Table!B1059 = "","",Table!B1059)</f>
        <v/>
      </c>
      <c r="C1059" s="31" t="str">
        <f>IF(Table!C1059 = "","",Table!C1059)</f>
        <v/>
      </c>
      <c r="D1059" s="32" t="str">
        <f>IF(Table!D1059 = "","",Table!D1059)</f>
        <v/>
      </c>
      <c r="E1059" s="32" t="str">
        <f>IF(Table!E1059 = "","",Table!E1059)</f>
        <v/>
      </c>
      <c r="F1059" s="32" t="str">
        <f>IF(Table!F1059 = "","",Table!F1059)</f>
        <v/>
      </c>
      <c r="G1059" s="91"/>
      <c r="K1059" s="31" t="str">
        <f>IFERROR(VLOOKUP(A1059,Table!$I$4:$O$3000,1,TRUE),"")</f>
        <v/>
      </c>
      <c r="L1059" s="31" t="str">
        <f>IFERROR(INDEX(Table!I:O,MATCH(K1059,Table!I:I,0),2),"")</f>
        <v/>
      </c>
      <c r="M1059" s="31" t="str">
        <f>IFERROR(INDEX(Table!I:O,MATCH(K1059,Table!I:I,0),3),"")</f>
        <v/>
      </c>
      <c r="N1059" s="32" t="str">
        <f>IFERROR(INDEX(Table!I:O,MATCH(K1059,Table!I:I,0),4),"")</f>
        <v/>
      </c>
      <c r="O1059" s="32" t="str">
        <f>IFERROR(INDEX(Table!I:O,MATCH(K1059,Table!I:I,0),5),"")</f>
        <v/>
      </c>
      <c r="P1059" s="32" t="str">
        <f>IFERROR(INDEX(Table!I:O,MATCH(K1059,Table!I:I,0),6),"")</f>
        <v/>
      </c>
      <c r="Q1059" s="89" t="str">
        <f t="shared" si="48"/>
        <v/>
      </c>
      <c r="R1059" s="89" t="str">
        <f t="shared" si="49"/>
        <v/>
      </c>
      <c r="S1059" s="82"/>
      <c r="U1059" s="37" t="e">
        <f t="shared" si="50"/>
        <v>#VALUE!</v>
      </c>
    </row>
    <row r="1060" spans="1:21" x14ac:dyDescent="0.25">
      <c r="A1060" s="31" t="str">
        <f>IF(Table!A1060 = "","",Table!A1060)</f>
        <v/>
      </c>
      <c r="B1060" s="31" t="str">
        <f>IF(Table!B1060 = "","",Table!B1060)</f>
        <v/>
      </c>
      <c r="C1060" s="31" t="str">
        <f>IF(Table!C1060 = "","",Table!C1060)</f>
        <v/>
      </c>
      <c r="D1060" s="32" t="str">
        <f>IF(Table!D1060 = "","",Table!D1060)</f>
        <v/>
      </c>
      <c r="E1060" s="32" t="str">
        <f>IF(Table!E1060 = "","",Table!E1060)</f>
        <v/>
      </c>
      <c r="F1060" s="32" t="str">
        <f>IF(Table!F1060 = "","",Table!F1060)</f>
        <v/>
      </c>
      <c r="G1060" s="91"/>
      <c r="K1060" s="31" t="str">
        <f>IFERROR(VLOOKUP(A1060,Table!$I$4:$O$3000,1,TRUE),"")</f>
        <v/>
      </c>
      <c r="L1060" s="31" t="str">
        <f>IFERROR(INDEX(Table!I:O,MATCH(K1060,Table!I:I,0),2),"")</f>
        <v/>
      </c>
      <c r="M1060" s="31" t="str">
        <f>IFERROR(INDEX(Table!I:O,MATCH(K1060,Table!I:I,0),3),"")</f>
        <v/>
      </c>
      <c r="N1060" s="32" t="str">
        <f>IFERROR(INDEX(Table!I:O,MATCH(K1060,Table!I:I,0),4),"")</f>
        <v/>
      </c>
      <c r="O1060" s="32" t="str">
        <f>IFERROR(INDEX(Table!I:O,MATCH(K1060,Table!I:I,0),5),"")</f>
        <v/>
      </c>
      <c r="P1060" s="32" t="str">
        <f>IFERROR(INDEX(Table!I:O,MATCH(K1060,Table!I:I,0),6),"")</f>
        <v/>
      </c>
      <c r="Q1060" s="89" t="str">
        <f t="shared" si="48"/>
        <v/>
      </c>
      <c r="R1060" s="89" t="str">
        <f t="shared" si="49"/>
        <v/>
      </c>
      <c r="S1060" s="82"/>
      <c r="U1060" s="37" t="e">
        <f t="shared" si="50"/>
        <v>#VALUE!</v>
      </c>
    </row>
    <row r="1061" spans="1:21" x14ac:dyDescent="0.25">
      <c r="A1061" s="31" t="str">
        <f>IF(Table!A1061 = "","",Table!A1061)</f>
        <v/>
      </c>
      <c r="B1061" s="31" t="str">
        <f>IF(Table!B1061 = "","",Table!B1061)</f>
        <v/>
      </c>
      <c r="C1061" s="31" t="str">
        <f>IF(Table!C1061 = "","",Table!C1061)</f>
        <v/>
      </c>
      <c r="D1061" s="32" t="str">
        <f>IF(Table!D1061 = "","",Table!D1061)</f>
        <v/>
      </c>
      <c r="E1061" s="32" t="str">
        <f>IF(Table!E1061 = "","",Table!E1061)</f>
        <v/>
      </c>
      <c r="F1061" s="32" t="str">
        <f>IF(Table!F1061 = "","",Table!F1061)</f>
        <v/>
      </c>
      <c r="G1061" s="91"/>
      <c r="K1061" s="31" t="str">
        <f>IFERROR(VLOOKUP(A1061,Table!$I$4:$O$3000,1,TRUE),"")</f>
        <v/>
      </c>
      <c r="L1061" s="31" t="str">
        <f>IFERROR(INDEX(Table!I:O,MATCH(K1061,Table!I:I,0),2),"")</f>
        <v/>
      </c>
      <c r="M1061" s="31" t="str">
        <f>IFERROR(INDEX(Table!I:O,MATCH(K1061,Table!I:I,0),3),"")</f>
        <v/>
      </c>
      <c r="N1061" s="32" t="str">
        <f>IFERROR(INDEX(Table!I:O,MATCH(K1061,Table!I:I,0),4),"")</f>
        <v/>
      </c>
      <c r="O1061" s="32" t="str">
        <f>IFERROR(INDEX(Table!I:O,MATCH(K1061,Table!I:I,0),5),"")</f>
        <v/>
      </c>
      <c r="P1061" s="32" t="str">
        <f>IFERROR(INDEX(Table!I:O,MATCH(K1061,Table!I:I,0),6),"")</f>
        <v/>
      </c>
      <c r="Q1061" s="89" t="str">
        <f t="shared" si="48"/>
        <v/>
      </c>
      <c r="R1061" s="89" t="str">
        <f t="shared" si="49"/>
        <v/>
      </c>
      <c r="S1061" s="82"/>
      <c r="U1061" s="37" t="e">
        <f t="shared" si="50"/>
        <v>#VALUE!</v>
      </c>
    </row>
    <row r="1062" spans="1:21" x14ac:dyDescent="0.25">
      <c r="A1062" s="31" t="str">
        <f>IF(Table!A1062 = "","",Table!A1062)</f>
        <v/>
      </c>
      <c r="B1062" s="31" t="str">
        <f>IF(Table!B1062 = "","",Table!B1062)</f>
        <v/>
      </c>
      <c r="C1062" s="31" t="str">
        <f>IF(Table!C1062 = "","",Table!C1062)</f>
        <v/>
      </c>
      <c r="D1062" s="32" t="str">
        <f>IF(Table!D1062 = "","",Table!D1062)</f>
        <v/>
      </c>
      <c r="E1062" s="32" t="str">
        <f>IF(Table!E1062 = "","",Table!E1062)</f>
        <v/>
      </c>
      <c r="F1062" s="32" t="str">
        <f>IF(Table!F1062 = "","",Table!F1062)</f>
        <v/>
      </c>
      <c r="G1062" s="91"/>
      <c r="K1062" s="31" t="str">
        <f>IFERROR(VLOOKUP(A1062,Table!$I$4:$O$3000,1,TRUE),"")</f>
        <v/>
      </c>
      <c r="L1062" s="31" t="str">
        <f>IFERROR(INDEX(Table!I:O,MATCH(K1062,Table!I:I,0),2),"")</f>
        <v/>
      </c>
      <c r="M1062" s="31" t="str">
        <f>IFERROR(INDEX(Table!I:O,MATCH(K1062,Table!I:I,0),3),"")</f>
        <v/>
      </c>
      <c r="N1062" s="32" t="str">
        <f>IFERROR(INDEX(Table!I:O,MATCH(K1062,Table!I:I,0),4),"")</f>
        <v/>
      </c>
      <c r="O1062" s="32" t="str">
        <f>IFERROR(INDEX(Table!I:O,MATCH(K1062,Table!I:I,0),5),"")</f>
        <v/>
      </c>
      <c r="P1062" s="32" t="str">
        <f>IFERROR(INDEX(Table!I:O,MATCH(K1062,Table!I:I,0),6),"")</f>
        <v/>
      </c>
      <c r="Q1062" s="89" t="str">
        <f t="shared" si="48"/>
        <v/>
      </c>
      <c r="R1062" s="89" t="str">
        <f t="shared" si="49"/>
        <v/>
      </c>
      <c r="S1062" s="82"/>
      <c r="U1062" s="37" t="e">
        <f t="shared" si="50"/>
        <v>#VALUE!</v>
      </c>
    </row>
    <row r="1063" spans="1:21" x14ac:dyDescent="0.25">
      <c r="A1063" s="31" t="str">
        <f>IF(Table!A1063 = "","",Table!A1063)</f>
        <v/>
      </c>
      <c r="B1063" s="31" t="str">
        <f>IF(Table!B1063 = "","",Table!B1063)</f>
        <v/>
      </c>
      <c r="C1063" s="31" t="str">
        <f>IF(Table!C1063 = "","",Table!C1063)</f>
        <v/>
      </c>
      <c r="D1063" s="32" t="str">
        <f>IF(Table!D1063 = "","",Table!D1063)</f>
        <v/>
      </c>
      <c r="E1063" s="32" t="str">
        <f>IF(Table!E1063 = "","",Table!E1063)</f>
        <v/>
      </c>
      <c r="F1063" s="32" t="str">
        <f>IF(Table!F1063 = "","",Table!F1063)</f>
        <v/>
      </c>
      <c r="G1063" s="91"/>
      <c r="K1063" s="31" t="str">
        <f>IFERROR(VLOOKUP(A1063,Table!$I$4:$O$3000,1,TRUE),"")</f>
        <v/>
      </c>
      <c r="L1063" s="31" t="str">
        <f>IFERROR(INDEX(Table!I:O,MATCH(K1063,Table!I:I,0),2),"")</f>
        <v/>
      </c>
      <c r="M1063" s="31" t="str">
        <f>IFERROR(INDEX(Table!I:O,MATCH(K1063,Table!I:I,0),3),"")</f>
        <v/>
      </c>
      <c r="N1063" s="32" t="str">
        <f>IFERROR(INDEX(Table!I:O,MATCH(K1063,Table!I:I,0),4),"")</f>
        <v/>
      </c>
      <c r="O1063" s="32" t="str">
        <f>IFERROR(INDEX(Table!I:O,MATCH(K1063,Table!I:I,0),5),"")</f>
        <v/>
      </c>
      <c r="P1063" s="32" t="str">
        <f>IFERROR(INDEX(Table!I:O,MATCH(K1063,Table!I:I,0),6),"")</f>
        <v/>
      </c>
      <c r="Q1063" s="89" t="str">
        <f t="shared" si="48"/>
        <v/>
      </c>
      <c r="R1063" s="89" t="str">
        <f t="shared" si="49"/>
        <v/>
      </c>
      <c r="S1063" s="82"/>
      <c r="U1063" s="37" t="e">
        <f t="shared" si="50"/>
        <v>#VALUE!</v>
      </c>
    </row>
    <row r="1064" spans="1:21" x14ac:dyDescent="0.25">
      <c r="A1064" s="31" t="str">
        <f>IF(Table!A1064 = "","",Table!A1064)</f>
        <v/>
      </c>
      <c r="B1064" s="31" t="str">
        <f>IF(Table!B1064 = "","",Table!B1064)</f>
        <v/>
      </c>
      <c r="C1064" s="31" t="str">
        <f>IF(Table!C1064 = "","",Table!C1064)</f>
        <v/>
      </c>
      <c r="D1064" s="32" t="str">
        <f>IF(Table!D1064 = "","",Table!D1064)</f>
        <v/>
      </c>
      <c r="E1064" s="32" t="str">
        <f>IF(Table!E1064 = "","",Table!E1064)</f>
        <v/>
      </c>
      <c r="F1064" s="32" t="str">
        <f>IF(Table!F1064 = "","",Table!F1064)</f>
        <v/>
      </c>
      <c r="G1064" s="91"/>
      <c r="K1064" s="31" t="str">
        <f>IFERROR(VLOOKUP(A1064,Table!$I$4:$O$3000,1,TRUE),"")</f>
        <v/>
      </c>
      <c r="L1064" s="31" t="str">
        <f>IFERROR(INDEX(Table!I:O,MATCH(K1064,Table!I:I,0),2),"")</f>
        <v/>
      </c>
      <c r="M1064" s="31" t="str">
        <f>IFERROR(INDEX(Table!I:O,MATCH(K1064,Table!I:I,0),3),"")</f>
        <v/>
      </c>
      <c r="N1064" s="32" t="str">
        <f>IFERROR(INDEX(Table!I:O,MATCH(K1064,Table!I:I,0),4),"")</f>
        <v/>
      </c>
      <c r="O1064" s="32" t="str">
        <f>IFERROR(INDEX(Table!I:O,MATCH(K1064,Table!I:I,0),5),"")</f>
        <v/>
      </c>
      <c r="P1064" s="32" t="str">
        <f>IFERROR(INDEX(Table!I:O,MATCH(K1064,Table!I:I,0),6),"")</f>
        <v/>
      </c>
      <c r="Q1064" s="89" t="str">
        <f t="shared" si="48"/>
        <v/>
      </c>
      <c r="R1064" s="89" t="str">
        <f t="shared" si="49"/>
        <v/>
      </c>
      <c r="S1064" s="82"/>
      <c r="U1064" s="37" t="e">
        <f t="shared" si="50"/>
        <v>#VALUE!</v>
      </c>
    </row>
    <row r="1065" spans="1:21" x14ac:dyDescent="0.25">
      <c r="A1065" s="31" t="str">
        <f>IF(Table!A1065 = "","",Table!A1065)</f>
        <v/>
      </c>
      <c r="B1065" s="31" t="str">
        <f>IF(Table!B1065 = "","",Table!B1065)</f>
        <v/>
      </c>
      <c r="C1065" s="31" t="str">
        <f>IF(Table!C1065 = "","",Table!C1065)</f>
        <v/>
      </c>
      <c r="D1065" s="32" t="str">
        <f>IF(Table!D1065 = "","",Table!D1065)</f>
        <v/>
      </c>
      <c r="E1065" s="32" t="str">
        <f>IF(Table!E1065 = "","",Table!E1065)</f>
        <v/>
      </c>
      <c r="F1065" s="32" t="str">
        <f>IF(Table!F1065 = "","",Table!F1065)</f>
        <v/>
      </c>
      <c r="G1065" s="91"/>
      <c r="K1065" s="31" t="str">
        <f>IFERROR(VLOOKUP(A1065,Table!$I$4:$O$3000,1,TRUE),"")</f>
        <v/>
      </c>
      <c r="L1065" s="31" t="str">
        <f>IFERROR(INDEX(Table!I:O,MATCH(K1065,Table!I:I,0),2),"")</f>
        <v/>
      </c>
      <c r="M1065" s="31" t="str">
        <f>IFERROR(INDEX(Table!I:O,MATCH(K1065,Table!I:I,0),3),"")</f>
        <v/>
      </c>
      <c r="N1065" s="32" t="str">
        <f>IFERROR(INDEX(Table!I:O,MATCH(K1065,Table!I:I,0),4),"")</f>
        <v/>
      </c>
      <c r="O1065" s="32" t="str">
        <f>IFERROR(INDEX(Table!I:O,MATCH(K1065,Table!I:I,0),5),"")</f>
        <v/>
      </c>
      <c r="P1065" s="32" t="str">
        <f>IFERROR(INDEX(Table!I:O,MATCH(K1065,Table!I:I,0),6),"")</f>
        <v/>
      </c>
      <c r="Q1065" s="89" t="str">
        <f t="shared" si="48"/>
        <v/>
      </c>
      <c r="R1065" s="89" t="str">
        <f t="shared" si="49"/>
        <v/>
      </c>
      <c r="S1065" s="82"/>
      <c r="U1065" s="37" t="e">
        <f t="shared" si="50"/>
        <v>#VALUE!</v>
      </c>
    </row>
    <row r="1066" spans="1:21" x14ac:dyDescent="0.25">
      <c r="A1066" s="31" t="str">
        <f>IF(Table!A1066 = "","",Table!A1066)</f>
        <v/>
      </c>
      <c r="B1066" s="31" t="str">
        <f>IF(Table!B1066 = "","",Table!B1066)</f>
        <v/>
      </c>
      <c r="C1066" s="31" t="str">
        <f>IF(Table!C1066 = "","",Table!C1066)</f>
        <v/>
      </c>
      <c r="D1066" s="32" t="str">
        <f>IF(Table!D1066 = "","",Table!D1066)</f>
        <v/>
      </c>
      <c r="E1066" s="32" t="str">
        <f>IF(Table!E1066 = "","",Table!E1066)</f>
        <v/>
      </c>
      <c r="F1066" s="32" t="str">
        <f>IF(Table!F1066 = "","",Table!F1066)</f>
        <v/>
      </c>
      <c r="G1066" s="91"/>
      <c r="K1066" s="31" t="str">
        <f>IFERROR(VLOOKUP(A1066,Table!$I$4:$O$3000,1,TRUE),"")</f>
        <v/>
      </c>
      <c r="L1066" s="31" t="str">
        <f>IFERROR(INDEX(Table!I:O,MATCH(K1066,Table!I:I,0),2),"")</f>
        <v/>
      </c>
      <c r="M1066" s="31" t="str">
        <f>IFERROR(INDEX(Table!I:O,MATCH(K1066,Table!I:I,0),3),"")</f>
        <v/>
      </c>
      <c r="N1066" s="32" t="str">
        <f>IFERROR(INDEX(Table!I:O,MATCH(K1066,Table!I:I,0),4),"")</f>
        <v/>
      </c>
      <c r="O1066" s="32" t="str">
        <f>IFERROR(INDEX(Table!I:O,MATCH(K1066,Table!I:I,0),5),"")</f>
        <v/>
      </c>
      <c r="P1066" s="32" t="str">
        <f>IFERROR(INDEX(Table!I:O,MATCH(K1066,Table!I:I,0),6),"")</f>
        <v/>
      </c>
      <c r="Q1066" s="89" t="str">
        <f t="shared" si="48"/>
        <v/>
      </c>
      <c r="R1066" s="89" t="str">
        <f t="shared" si="49"/>
        <v/>
      </c>
      <c r="S1066" s="82"/>
      <c r="U1066" s="37" t="e">
        <f t="shared" si="50"/>
        <v>#VALUE!</v>
      </c>
    </row>
    <row r="1067" spans="1:21" x14ac:dyDescent="0.25">
      <c r="A1067" s="31" t="str">
        <f>IF(Table!A1067 = "","",Table!A1067)</f>
        <v/>
      </c>
      <c r="B1067" s="31" t="str">
        <f>IF(Table!B1067 = "","",Table!B1067)</f>
        <v/>
      </c>
      <c r="C1067" s="31" t="str">
        <f>IF(Table!C1067 = "","",Table!C1067)</f>
        <v/>
      </c>
      <c r="D1067" s="32" t="str">
        <f>IF(Table!D1067 = "","",Table!D1067)</f>
        <v/>
      </c>
      <c r="E1067" s="32" t="str">
        <f>IF(Table!E1067 = "","",Table!E1067)</f>
        <v/>
      </c>
      <c r="F1067" s="32" t="str">
        <f>IF(Table!F1067 = "","",Table!F1067)</f>
        <v/>
      </c>
      <c r="G1067" s="91"/>
      <c r="K1067" s="31" t="str">
        <f>IFERROR(VLOOKUP(A1067,Table!$I$4:$O$3000,1,TRUE),"")</f>
        <v/>
      </c>
      <c r="L1067" s="31" t="str">
        <f>IFERROR(INDEX(Table!I:O,MATCH(K1067,Table!I:I,0),2),"")</f>
        <v/>
      </c>
      <c r="M1067" s="31" t="str">
        <f>IFERROR(INDEX(Table!I:O,MATCH(K1067,Table!I:I,0),3),"")</f>
        <v/>
      </c>
      <c r="N1067" s="32" t="str">
        <f>IFERROR(INDEX(Table!I:O,MATCH(K1067,Table!I:I,0),4),"")</f>
        <v/>
      </c>
      <c r="O1067" s="32" t="str">
        <f>IFERROR(INDEX(Table!I:O,MATCH(K1067,Table!I:I,0),5),"")</f>
        <v/>
      </c>
      <c r="P1067" s="32" t="str">
        <f>IFERROR(INDEX(Table!I:O,MATCH(K1067,Table!I:I,0),6),"")</f>
        <v/>
      </c>
      <c r="Q1067" s="89" t="str">
        <f t="shared" si="48"/>
        <v/>
      </c>
      <c r="R1067" s="89" t="str">
        <f t="shared" si="49"/>
        <v/>
      </c>
      <c r="S1067" s="82"/>
      <c r="U1067" s="37" t="e">
        <f t="shared" si="50"/>
        <v>#VALUE!</v>
      </c>
    </row>
    <row r="1068" spans="1:21" x14ac:dyDescent="0.25">
      <c r="A1068" s="31" t="str">
        <f>IF(Table!A1068 = "","",Table!A1068)</f>
        <v/>
      </c>
      <c r="B1068" s="31" t="str">
        <f>IF(Table!B1068 = "","",Table!B1068)</f>
        <v/>
      </c>
      <c r="C1068" s="31" t="str">
        <f>IF(Table!C1068 = "","",Table!C1068)</f>
        <v/>
      </c>
      <c r="D1068" s="32" t="str">
        <f>IF(Table!D1068 = "","",Table!D1068)</f>
        <v/>
      </c>
      <c r="E1068" s="32" t="str">
        <f>IF(Table!E1068 = "","",Table!E1068)</f>
        <v/>
      </c>
      <c r="F1068" s="32" t="str">
        <f>IF(Table!F1068 = "","",Table!F1068)</f>
        <v/>
      </c>
      <c r="G1068" s="91"/>
      <c r="K1068" s="31" t="str">
        <f>IFERROR(VLOOKUP(A1068,Table!$I$4:$O$3000,1,TRUE),"")</f>
        <v/>
      </c>
      <c r="L1068" s="31" t="str">
        <f>IFERROR(INDEX(Table!I:O,MATCH(K1068,Table!I:I,0),2),"")</f>
        <v/>
      </c>
      <c r="M1068" s="31" t="str">
        <f>IFERROR(INDEX(Table!I:O,MATCH(K1068,Table!I:I,0),3),"")</f>
        <v/>
      </c>
      <c r="N1068" s="32" t="str">
        <f>IFERROR(INDEX(Table!I:O,MATCH(K1068,Table!I:I,0),4),"")</f>
        <v/>
      </c>
      <c r="O1068" s="32" t="str">
        <f>IFERROR(INDEX(Table!I:O,MATCH(K1068,Table!I:I,0),5),"")</f>
        <v/>
      </c>
      <c r="P1068" s="32" t="str">
        <f>IFERROR(INDEX(Table!I:O,MATCH(K1068,Table!I:I,0),6),"")</f>
        <v/>
      </c>
      <c r="Q1068" s="89" t="str">
        <f t="shared" si="48"/>
        <v/>
      </c>
      <c r="R1068" s="89" t="str">
        <f t="shared" si="49"/>
        <v/>
      </c>
      <c r="S1068" s="82"/>
      <c r="U1068" s="37" t="e">
        <f t="shared" si="50"/>
        <v>#VALUE!</v>
      </c>
    </row>
    <row r="1069" spans="1:21" x14ac:dyDescent="0.25">
      <c r="A1069" s="31" t="str">
        <f>IF(Table!A1069 = "","",Table!A1069)</f>
        <v/>
      </c>
      <c r="B1069" s="31" t="str">
        <f>IF(Table!B1069 = "","",Table!B1069)</f>
        <v/>
      </c>
      <c r="C1069" s="31" t="str">
        <f>IF(Table!C1069 = "","",Table!C1069)</f>
        <v/>
      </c>
      <c r="D1069" s="32" t="str">
        <f>IF(Table!D1069 = "","",Table!D1069)</f>
        <v/>
      </c>
      <c r="E1069" s="32" t="str">
        <f>IF(Table!E1069 = "","",Table!E1069)</f>
        <v/>
      </c>
      <c r="F1069" s="32" t="str">
        <f>IF(Table!F1069 = "","",Table!F1069)</f>
        <v/>
      </c>
      <c r="G1069" s="91"/>
      <c r="K1069" s="31" t="str">
        <f>IFERROR(VLOOKUP(A1069,Table!$I$4:$O$3000,1,TRUE),"")</f>
        <v/>
      </c>
      <c r="L1069" s="31" t="str">
        <f>IFERROR(INDEX(Table!I:O,MATCH(K1069,Table!I:I,0),2),"")</f>
        <v/>
      </c>
      <c r="M1069" s="31" t="str">
        <f>IFERROR(INDEX(Table!I:O,MATCH(K1069,Table!I:I,0),3),"")</f>
        <v/>
      </c>
      <c r="N1069" s="32" t="str">
        <f>IFERROR(INDEX(Table!I:O,MATCH(K1069,Table!I:I,0),4),"")</f>
        <v/>
      </c>
      <c r="O1069" s="32" t="str">
        <f>IFERROR(INDEX(Table!I:O,MATCH(K1069,Table!I:I,0),5),"")</f>
        <v/>
      </c>
      <c r="P1069" s="32" t="str">
        <f>IFERROR(INDEX(Table!I:O,MATCH(K1069,Table!I:I,0),6),"")</f>
        <v/>
      </c>
      <c r="Q1069" s="89" t="str">
        <f t="shared" si="48"/>
        <v/>
      </c>
      <c r="R1069" s="89" t="str">
        <f t="shared" si="49"/>
        <v/>
      </c>
      <c r="S1069" s="82"/>
      <c r="U1069" s="37" t="e">
        <f t="shared" si="50"/>
        <v>#VALUE!</v>
      </c>
    </row>
    <row r="1070" spans="1:21" x14ac:dyDescent="0.25">
      <c r="A1070" s="31" t="str">
        <f>IF(Table!A1070 = "","",Table!A1070)</f>
        <v/>
      </c>
      <c r="B1070" s="31" t="str">
        <f>IF(Table!B1070 = "","",Table!B1070)</f>
        <v/>
      </c>
      <c r="C1070" s="31" t="str">
        <f>IF(Table!C1070 = "","",Table!C1070)</f>
        <v/>
      </c>
      <c r="D1070" s="32" t="str">
        <f>IF(Table!D1070 = "","",Table!D1070)</f>
        <v/>
      </c>
      <c r="E1070" s="32" t="str">
        <f>IF(Table!E1070 = "","",Table!E1070)</f>
        <v/>
      </c>
      <c r="F1070" s="32" t="str">
        <f>IF(Table!F1070 = "","",Table!F1070)</f>
        <v/>
      </c>
      <c r="G1070" s="91"/>
      <c r="K1070" s="31" t="str">
        <f>IFERROR(VLOOKUP(A1070,Table!$I$4:$O$3000,1,TRUE),"")</f>
        <v/>
      </c>
      <c r="L1070" s="31" t="str">
        <f>IFERROR(INDEX(Table!I:O,MATCH(K1070,Table!I:I,0),2),"")</f>
        <v/>
      </c>
      <c r="M1070" s="31" t="str">
        <f>IFERROR(INDEX(Table!I:O,MATCH(K1070,Table!I:I,0),3),"")</f>
        <v/>
      </c>
      <c r="N1070" s="32" t="str">
        <f>IFERROR(INDEX(Table!I:O,MATCH(K1070,Table!I:I,0),4),"")</f>
        <v/>
      </c>
      <c r="O1070" s="32" t="str">
        <f>IFERROR(INDEX(Table!I:O,MATCH(K1070,Table!I:I,0),5),"")</f>
        <v/>
      </c>
      <c r="P1070" s="32" t="str">
        <f>IFERROR(INDEX(Table!I:O,MATCH(K1070,Table!I:I,0),6),"")</f>
        <v/>
      </c>
      <c r="Q1070" s="89" t="str">
        <f t="shared" si="48"/>
        <v/>
      </c>
      <c r="R1070" s="89" t="str">
        <f t="shared" si="49"/>
        <v/>
      </c>
      <c r="S1070" s="82"/>
      <c r="U1070" s="37" t="e">
        <f t="shared" si="50"/>
        <v>#VALUE!</v>
      </c>
    </row>
    <row r="1071" spans="1:21" x14ac:dyDescent="0.25">
      <c r="A1071" s="31" t="str">
        <f>IF(Table!A1071 = "","",Table!A1071)</f>
        <v/>
      </c>
      <c r="B1071" s="31" t="str">
        <f>IF(Table!B1071 = "","",Table!B1071)</f>
        <v/>
      </c>
      <c r="C1071" s="31" t="str">
        <f>IF(Table!C1071 = "","",Table!C1071)</f>
        <v/>
      </c>
      <c r="D1071" s="32" t="str">
        <f>IF(Table!D1071 = "","",Table!D1071)</f>
        <v/>
      </c>
      <c r="E1071" s="32" t="str">
        <f>IF(Table!E1071 = "","",Table!E1071)</f>
        <v/>
      </c>
      <c r="F1071" s="32" t="str">
        <f>IF(Table!F1071 = "","",Table!F1071)</f>
        <v/>
      </c>
      <c r="G1071" s="91"/>
      <c r="K1071" s="31" t="str">
        <f>IFERROR(VLOOKUP(A1071,Table!$I$4:$O$3000,1,TRUE),"")</f>
        <v/>
      </c>
      <c r="L1071" s="31" t="str">
        <f>IFERROR(INDEX(Table!I:O,MATCH(K1071,Table!I:I,0),2),"")</f>
        <v/>
      </c>
      <c r="M1071" s="31" t="str">
        <f>IFERROR(INDEX(Table!I:O,MATCH(K1071,Table!I:I,0),3),"")</f>
        <v/>
      </c>
      <c r="N1071" s="32" t="str">
        <f>IFERROR(INDEX(Table!I:O,MATCH(K1071,Table!I:I,0),4),"")</f>
        <v/>
      </c>
      <c r="O1071" s="32" t="str">
        <f>IFERROR(INDEX(Table!I:O,MATCH(K1071,Table!I:I,0),5),"")</f>
        <v/>
      </c>
      <c r="P1071" s="32" t="str">
        <f>IFERROR(INDEX(Table!I:O,MATCH(K1071,Table!I:I,0),6),"")</f>
        <v/>
      </c>
      <c r="Q1071" s="89" t="str">
        <f t="shared" si="48"/>
        <v/>
      </c>
      <c r="R1071" s="89" t="str">
        <f t="shared" si="49"/>
        <v/>
      </c>
      <c r="S1071" s="82"/>
      <c r="U1071" s="37" t="e">
        <f t="shared" si="50"/>
        <v>#VALUE!</v>
      </c>
    </row>
    <row r="1072" spans="1:21" x14ac:dyDescent="0.25">
      <c r="A1072" s="31" t="str">
        <f>IF(Table!A1072 = "","",Table!A1072)</f>
        <v/>
      </c>
      <c r="B1072" s="31" t="str">
        <f>IF(Table!B1072 = "","",Table!B1072)</f>
        <v/>
      </c>
      <c r="C1072" s="31" t="str">
        <f>IF(Table!C1072 = "","",Table!C1072)</f>
        <v/>
      </c>
      <c r="D1072" s="32" t="str">
        <f>IF(Table!D1072 = "","",Table!D1072)</f>
        <v/>
      </c>
      <c r="E1072" s="32" t="str">
        <f>IF(Table!E1072 = "","",Table!E1072)</f>
        <v/>
      </c>
      <c r="F1072" s="32" t="str">
        <f>IF(Table!F1072 = "","",Table!F1072)</f>
        <v/>
      </c>
      <c r="G1072" s="91"/>
      <c r="K1072" s="31" t="str">
        <f>IFERROR(VLOOKUP(A1072,Table!$I$4:$O$3000,1,TRUE),"")</f>
        <v/>
      </c>
      <c r="L1072" s="31" t="str">
        <f>IFERROR(INDEX(Table!I:O,MATCH(K1072,Table!I:I,0),2),"")</f>
        <v/>
      </c>
      <c r="M1072" s="31" t="str">
        <f>IFERROR(INDEX(Table!I:O,MATCH(K1072,Table!I:I,0),3),"")</f>
        <v/>
      </c>
      <c r="N1072" s="32" t="str">
        <f>IFERROR(INDEX(Table!I:O,MATCH(K1072,Table!I:I,0),4),"")</f>
        <v/>
      </c>
      <c r="O1072" s="32" t="str">
        <f>IFERROR(INDEX(Table!I:O,MATCH(K1072,Table!I:I,0),5),"")</f>
        <v/>
      </c>
      <c r="P1072" s="32" t="str">
        <f>IFERROR(INDEX(Table!I:O,MATCH(K1072,Table!I:I,0),6),"")</f>
        <v/>
      </c>
      <c r="Q1072" s="89" t="str">
        <f t="shared" si="48"/>
        <v/>
      </c>
      <c r="R1072" s="89" t="str">
        <f t="shared" si="49"/>
        <v/>
      </c>
      <c r="S1072" s="82"/>
      <c r="U1072" s="37" t="e">
        <f t="shared" si="50"/>
        <v>#VALUE!</v>
      </c>
    </row>
    <row r="1073" spans="1:21" x14ac:dyDescent="0.25">
      <c r="A1073" s="31" t="str">
        <f>IF(Table!A1073 = "","",Table!A1073)</f>
        <v/>
      </c>
      <c r="B1073" s="31" t="str">
        <f>IF(Table!B1073 = "","",Table!B1073)</f>
        <v/>
      </c>
      <c r="C1073" s="31" t="str">
        <f>IF(Table!C1073 = "","",Table!C1073)</f>
        <v/>
      </c>
      <c r="D1073" s="32" t="str">
        <f>IF(Table!D1073 = "","",Table!D1073)</f>
        <v/>
      </c>
      <c r="E1073" s="32" t="str">
        <f>IF(Table!E1073 = "","",Table!E1073)</f>
        <v/>
      </c>
      <c r="F1073" s="32" t="str">
        <f>IF(Table!F1073 = "","",Table!F1073)</f>
        <v/>
      </c>
      <c r="G1073" s="91"/>
      <c r="K1073" s="31" t="str">
        <f>IFERROR(VLOOKUP(A1073,Table!$I$4:$O$3000,1,TRUE),"")</f>
        <v/>
      </c>
      <c r="L1073" s="31" t="str">
        <f>IFERROR(INDEX(Table!I:O,MATCH(K1073,Table!I:I,0),2),"")</f>
        <v/>
      </c>
      <c r="M1073" s="31" t="str">
        <f>IFERROR(INDEX(Table!I:O,MATCH(K1073,Table!I:I,0),3),"")</f>
        <v/>
      </c>
      <c r="N1073" s="32" t="str">
        <f>IFERROR(INDEX(Table!I:O,MATCH(K1073,Table!I:I,0),4),"")</f>
        <v/>
      </c>
      <c r="O1073" s="32" t="str">
        <f>IFERROR(INDEX(Table!I:O,MATCH(K1073,Table!I:I,0),5),"")</f>
        <v/>
      </c>
      <c r="P1073" s="32" t="str">
        <f>IFERROR(INDEX(Table!I:O,MATCH(K1073,Table!I:I,0),6),"")</f>
        <v/>
      </c>
      <c r="Q1073" s="89" t="str">
        <f t="shared" si="48"/>
        <v/>
      </c>
      <c r="R1073" s="89" t="str">
        <f t="shared" si="49"/>
        <v/>
      </c>
      <c r="S1073" s="82"/>
      <c r="U1073" s="37" t="e">
        <f t="shared" si="50"/>
        <v>#VALUE!</v>
      </c>
    </row>
    <row r="1074" spans="1:21" x14ac:dyDescent="0.25">
      <c r="A1074" s="31" t="str">
        <f>IF(Table!A1074 = "","",Table!A1074)</f>
        <v/>
      </c>
      <c r="B1074" s="31" t="str">
        <f>IF(Table!B1074 = "","",Table!B1074)</f>
        <v/>
      </c>
      <c r="C1074" s="31" t="str">
        <f>IF(Table!C1074 = "","",Table!C1074)</f>
        <v/>
      </c>
      <c r="D1074" s="32" t="str">
        <f>IF(Table!D1074 = "","",Table!D1074)</f>
        <v/>
      </c>
      <c r="E1074" s="32" t="str">
        <f>IF(Table!E1074 = "","",Table!E1074)</f>
        <v/>
      </c>
      <c r="F1074" s="32" t="str">
        <f>IF(Table!F1074 = "","",Table!F1074)</f>
        <v/>
      </c>
      <c r="G1074" s="91"/>
      <c r="K1074" s="31" t="str">
        <f>IFERROR(VLOOKUP(A1074,Table!$I$4:$O$3000,1,TRUE),"")</f>
        <v/>
      </c>
      <c r="L1074" s="31" t="str">
        <f>IFERROR(INDEX(Table!I:O,MATCH(K1074,Table!I:I,0),2),"")</f>
        <v/>
      </c>
      <c r="M1074" s="31" t="str">
        <f>IFERROR(INDEX(Table!I:O,MATCH(K1074,Table!I:I,0),3),"")</f>
        <v/>
      </c>
      <c r="N1074" s="32" t="str">
        <f>IFERROR(INDEX(Table!I:O,MATCH(K1074,Table!I:I,0),4),"")</f>
        <v/>
      </c>
      <c r="O1074" s="32" t="str">
        <f>IFERROR(INDEX(Table!I:O,MATCH(K1074,Table!I:I,0),5),"")</f>
        <v/>
      </c>
      <c r="P1074" s="32" t="str">
        <f>IFERROR(INDEX(Table!I:O,MATCH(K1074,Table!I:I,0),6),"")</f>
        <v/>
      </c>
      <c r="Q1074" s="89" t="str">
        <f t="shared" si="48"/>
        <v/>
      </c>
      <c r="R1074" s="89" t="str">
        <f t="shared" si="49"/>
        <v/>
      </c>
      <c r="S1074" s="82"/>
      <c r="U1074" s="37" t="e">
        <f t="shared" si="50"/>
        <v>#VALUE!</v>
      </c>
    </row>
    <row r="1075" spans="1:21" x14ac:dyDescent="0.25">
      <c r="A1075" s="31" t="str">
        <f>IF(Table!A1075 = "","",Table!A1075)</f>
        <v/>
      </c>
      <c r="B1075" s="31" t="str">
        <f>IF(Table!B1075 = "","",Table!B1075)</f>
        <v/>
      </c>
      <c r="C1075" s="31" t="str">
        <f>IF(Table!C1075 = "","",Table!C1075)</f>
        <v/>
      </c>
      <c r="D1075" s="32" t="str">
        <f>IF(Table!D1075 = "","",Table!D1075)</f>
        <v/>
      </c>
      <c r="E1075" s="32" t="str">
        <f>IF(Table!E1075 = "","",Table!E1075)</f>
        <v/>
      </c>
      <c r="F1075" s="32" t="str">
        <f>IF(Table!F1075 = "","",Table!F1075)</f>
        <v/>
      </c>
      <c r="G1075" s="91"/>
      <c r="K1075" s="31" t="str">
        <f>IFERROR(VLOOKUP(A1075,Table!$I$4:$O$3000,1,TRUE),"")</f>
        <v/>
      </c>
      <c r="L1075" s="31" t="str">
        <f>IFERROR(INDEX(Table!I:O,MATCH(K1075,Table!I:I,0),2),"")</f>
        <v/>
      </c>
      <c r="M1075" s="31" t="str">
        <f>IFERROR(INDEX(Table!I:O,MATCH(K1075,Table!I:I,0),3),"")</f>
        <v/>
      </c>
      <c r="N1075" s="32" t="str">
        <f>IFERROR(INDEX(Table!I:O,MATCH(K1075,Table!I:I,0),4),"")</f>
        <v/>
      </c>
      <c r="O1075" s="32" t="str">
        <f>IFERROR(INDEX(Table!I:O,MATCH(K1075,Table!I:I,0),5),"")</f>
        <v/>
      </c>
      <c r="P1075" s="32" t="str">
        <f>IFERROR(INDEX(Table!I:O,MATCH(K1075,Table!I:I,0),6),"")</f>
        <v/>
      </c>
      <c r="Q1075" s="89" t="str">
        <f t="shared" si="48"/>
        <v/>
      </c>
      <c r="R1075" s="89" t="str">
        <f t="shared" si="49"/>
        <v/>
      </c>
      <c r="S1075" s="82"/>
      <c r="U1075" s="37" t="e">
        <f t="shared" si="50"/>
        <v>#VALUE!</v>
      </c>
    </row>
    <row r="1076" spans="1:21" x14ac:dyDescent="0.25">
      <c r="A1076" s="31" t="str">
        <f>IF(Table!A1076 = "","",Table!A1076)</f>
        <v/>
      </c>
      <c r="B1076" s="31" t="str">
        <f>IF(Table!B1076 = "","",Table!B1076)</f>
        <v/>
      </c>
      <c r="C1076" s="31" t="str">
        <f>IF(Table!C1076 = "","",Table!C1076)</f>
        <v/>
      </c>
      <c r="D1076" s="32" t="str">
        <f>IF(Table!D1076 = "","",Table!D1076)</f>
        <v/>
      </c>
      <c r="E1076" s="32" t="str">
        <f>IF(Table!E1076 = "","",Table!E1076)</f>
        <v/>
      </c>
      <c r="F1076" s="32" t="str">
        <f>IF(Table!F1076 = "","",Table!F1076)</f>
        <v/>
      </c>
      <c r="G1076" s="91"/>
      <c r="K1076" s="31" t="str">
        <f>IFERROR(VLOOKUP(A1076,Table!$I$4:$O$3000,1,TRUE),"")</f>
        <v/>
      </c>
      <c r="L1076" s="31" t="str">
        <f>IFERROR(INDEX(Table!I:O,MATCH(K1076,Table!I:I,0),2),"")</f>
        <v/>
      </c>
      <c r="M1076" s="31" t="str">
        <f>IFERROR(INDEX(Table!I:O,MATCH(K1076,Table!I:I,0),3),"")</f>
        <v/>
      </c>
      <c r="N1076" s="32" t="str">
        <f>IFERROR(INDEX(Table!I:O,MATCH(K1076,Table!I:I,0),4),"")</f>
        <v/>
      </c>
      <c r="O1076" s="32" t="str">
        <f>IFERROR(INDEX(Table!I:O,MATCH(K1076,Table!I:I,0),5),"")</f>
        <v/>
      </c>
      <c r="P1076" s="32" t="str">
        <f>IFERROR(INDEX(Table!I:O,MATCH(K1076,Table!I:I,0),6),"")</f>
        <v/>
      </c>
      <c r="Q1076" s="89" t="str">
        <f t="shared" si="48"/>
        <v/>
      </c>
      <c r="R1076" s="89" t="str">
        <f t="shared" si="49"/>
        <v/>
      </c>
      <c r="S1076" s="82"/>
      <c r="U1076" s="37" t="e">
        <f t="shared" si="50"/>
        <v>#VALUE!</v>
      </c>
    </row>
    <row r="1077" spans="1:21" x14ac:dyDescent="0.25">
      <c r="A1077" s="31" t="str">
        <f>IF(Table!A1077 = "","",Table!A1077)</f>
        <v/>
      </c>
      <c r="B1077" s="31" t="str">
        <f>IF(Table!B1077 = "","",Table!B1077)</f>
        <v/>
      </c>
      <c r="C1077" s="31" t="str">
        <f>IF(Table!C1077 = "","",Table!C1077)</f>
        <v/>
      </c>
      <c r="D1077" s="32" t="str">
        <f>IF(Table!D1077 = "","",Table!D1077)</f>
        <v/>
      </c>
      <c r="E1077" s="32" t="str">
        <f>IF(Table!E1077 = "","",Table!E1077)</f>
        <v/>
      </c>
      <c r="F1077" s="32" t="str">
        <f>IF(Table!F1077 = "","",Table!F1077)</f>
        <v/>
      </c>
      <c r="G1077" s="91"/>
      <c r="K1077" s="31" t="str">
        <f>IFERROR(VLOOKUP(A1077,Table!$I$4:$O$3000,1,TRUE),"")</f>
        <v/>
      </c>
      <c r="L1077" s="31" t="str">
        <f>IFERROR(INDEX(Table!I:O,MATCH(K1077,Table!I:I,0),2),"")</f>
        <v/>
      </c>
      <c r="M1077" s="31" t="str">
        <f>IFERROR(INDEX(Table!I:O,MATCH(K1077,Table!I:I,0),3),"")</f>
        <v/>
      </c>
      <c r="N1077" s="32" t="str">
        <f>IFERROR(INDEX(Table!I:O,MATCH(K1077,Table!I:I,0),4),"")</f>
        <v/>
      </c>
      <c r="O1077" s="32" t="str">
        <f>IFERROR(INDEX(Table!I:O,MATCH(K1077,Table!I:I,0),5),"")</f>
        <v/>
      </c>
      <c r="P1077" s="32" t="str">
        <f>IFERROR(INDEX(Table!I:O,MATCH(K1077,Table!I:I,0),6),"")</f>
        <v/>
      </c>
      <c r="Q1077" s="89" t="str">
        <f t="shared" si="48"/>
        <v/>
      </c>
      <c r="R1077" s="89" t="str">
        <f t="shared" si="49"/>
        <v/>
      </c>
      <c r="S1077" s="82"/>
      <c r="U1077" s="37" t="e">
        <f t="shared" si="50"/>
        <v>#VALUE!</v>
      </c>
    </row>
    <row r="1078" spans="1:21" x14ac:dyDescent="0.25">
      <c r="A1078" s="31" t="str">
        <f>IF(Table!A1078 = "","",Table!A1078)</f>
        <v/>
      </c>
      <c r="B1078" s="31" t="str">
        <f>IF(Table!B1078 = "","",Table!B1078)</f>
        <v/>
      </c>
      <c r="C1078" s="31" t="str">
        <f>IF(Table!C1078 = "","",Table!C1078)</f>
        <v/>
      </c>
      <c r="D1078" s="32" t="str">
        <f>IF(Table!D1078 = "","",Table!D1078)</f>
        <v/>
      </c>
      <c r="E1078" s="32" t="str">
        <f>IF(Table!E1078 = "","",Table!E1078)</f>
        <v/>
      </c>
      <c r="F1078" s="32" t="str">
        <f>IF(Table!F1078 = "","",Table!F1078)</f>
        <v/>
      </c>
      <c r="G1078" s="91"/>
      <c r="K1078" s="31" t="str">
        <f>IFERROR(VLOOKUP(A1078,Table!$I$4:$O$3000,1,TRUE),"")</f>
        <v/>
      </c>
      <c r="L1078" s="31" t="str">
        <f>IFERROR(INDEX(Table!I:O,MATCH(K1078,Table!I:I,0),2),"")</f>
        <v/>
      </c>
      <c r="M1078" s="31" t="str">
        <f>IFERROR(INDEX(Table!I:O,MATCH(K1078,Table!I:I,0),3),"")</f>
        <v/>
      </c>
      <c r="N1078" s="32" t="str">
        <f>IFERROR(INDEX(Table!I:O,MATCH(K1078,Table!I:I,0),4),"")</f>
        <v/>
      </c>
      <c r="O1078" s="32" t="str">
        <f>IFERROR(INDEX(Table!I:O,MATCH(K1078,Table!I:I,0),5),"")</f>
        <v/>
      </c>
      <c r="P1078" s="32" t="str">
        <f>IFERROR(INDEX(Table!I:O,MATCH(K1078,Table!I:I,0),6),"")</f>
        <v/>
      </c>
      <c r="Q1078" s="89" t="str">
        <f t="shared" si="48"/>
        <v/>
      </c>
      <c r="R1078" s="89" t="str">
        <f t="shared" si="49"/>
        <v/>
      </c>
      <c r="S1078" s="82"/>
      <c r="U1078" s="37" t="e">
        <f t="shared" si="50"/>
        <v>#VALUE!</v>
      </c>
    </row>
    <row r="1079" spans="1:21" x14ac:dyDescent="0.25">
      <c r="A1079" s="31" t="str">
        <f>IF(Table!A1079 = "","",Table!A1079)</f>
        <v/>
      </c>
      <c r="B1079" s="31" t="str">
        <f>IF(Table!B1079 = "","",Table!B1079)</f>
        <v/>
      </c>
      <c r="C1079" s="31" t="str">
        <f>IF(Table!C1079 = "","",Table!C1079)</f>
        <v/>
      </c>
      <c r="D1079" s="32" t="str">
        <f>IF(Table!D1079 = "","",Table!D1079)</f>
        <v/>
      </c>
      <c r="E1079" s="32" t="str">
        <f>IF(Table!E1079 = "","",Table!E1079)</f>
        <v/>
      </c>
      <c r="F1079" s="32" t="str">
        <f>IF(Table!F1079 = "","",Table!F1079)</f>
        <v/>
      </c>
      <c r="G1079" s="91"/>
      <c r="K1079" s="31" t="str">
        <f>IFERROR(VLOOKUP(A1079,Table!$I$4:$O$3000,1,TRUE),"")</f>
        <v/>
      </c>
      <c r="L1079" s="31" t="str">
        <f>IFERROR(INDEX(Table!I:O,MATCH(K1079,Table!I:I,0),2),"")</f>
        <v/>
      </c>
      <c r="M1079" s="31" t="str">
        <f>IFERROR(INDEX(Table!I:O,MATCH(K1079,Table!I:I,0),3),"")</f>
        <v/>
      </c>
      <c r="N1079" s="32" t="str">
        <f>IFERROR(INDEX(Table!I:O,MATCH(K1079,Table!I:I,0),4),"")</f>
        <v/>
      </c>
      <c r="O1079" s="32" t="str">
        <f>IFERROR(INDEX(Table!I:O,MATCH(K1079,Table!I:I,0),5),"")</f>
        <v/>
      </c>
      <c r="P1079" s="32" t="str">
        <f>IFERROR(INDEX(Table!I:O,MATCH(K1079,Table!I:I,0),6),"")</f>
        <v/>
      </c>
      <c r="Q1079" s="89" t="str">
        <f t="shared" si="48"/>
        <v/>
      </c>
      <c r="R1079" s="89" t="str">
        <f t="shared" si="49"/>
        <v/>
      </c>
      <c r="S1079" s="82"/>
      <c r="U1079" s="37" t="e">
        <f t="shared" si="50"/>
        <v>#VALUE!</v>
      </c>
    </row>
    <row r="1080" spans="1:21" x14ac:dyDescent="0.25">
      <c r="A1080" s="31" t="str">
        <f>IF(Table!A1080 = "","",Table!A1080)</f>
        <v/>
      </c>
      <c r="B1080" s="31" t="str">
        <f>IF(Table!B1080 = "","",Table!B1080)</f>
        <v/>
      </c>
      <c r="C1080" s="31" t="str">
        <f>IF(Table!C1080 = "","",Table!C1080)</f>
        <v/>
      </c>
      <c r="D1080" s="32" t="str">
        <f>IF(Table!D1080 = "","",Table!D1080)</f>
        <v/>
      </c>
      <c r="E1080" s="32" t="str">
        <f>IF(Table!E1080 = "","",Table!E1080)</f>
        <v/>
      </c>
      <c r="F1080" s="32" t="str">
        <f>IF(Table!F1080 = "","",Table!F1080)</f>
        <v/>
      </c>
      <c r="G1080" s="91"/>
      <c r="K1080" s="31" t="str">
        <f>IFERROR(VLOOKUP(A1080,Table!$I$4:$O$3000,1,TRUE),"")</f>
        <v/>
      </c>
      <c r="L1080" s="31" t="str">
        <f>IFERROR(INDEX(Table!I:O,MATCH(K1080,Table!I:I,0),2),"")</f>
        <v/>
      </c>
      <c r="M1080" s="31" t="str">
        <f>IFERROR(INDEX(Table!I:O,MATCH(K1080,Table!I:I,0),3),"")</f>
        <v/>
      </c>
      <c r="N1080" s="32" t="str">
        <f>IFERROR(INDEX(Table!I:O,MATCH(K1080,Table!I:I,0),4),"")</f>
        <v/>
      </c>
      <c r="O1080" s="32" t="str">
        <f>IFERROR(INDEX(Table!I:O,MATCH(K1080,Table!I:I,0),5),"")</f>
        <v/>
      </c>
      <c r="P1080" s="32" t="str">
        <f>IFERROR(INDEX(Table!I:O,MATCH(K1080,Table!I:I,0),6),"")</f>
        <v/>
      </c>
      <c r="Q1080" s="89" t="str">
        <f t="shared" si="48"/>
        <v/>
      </c>
      <c r="R1080" s="89" t="str">
        <f t="shared" si="49"/>
        <v/>
      </c>
      <c r="S1080" s="82"/>
      <c r="U1080" s="37" t="e">
        <f t="shared" si="50"/>
        <v>#VALUE!</v>
      </c>
    </row>
    <row r="1081" spans="1:21" x14ac:dyDescent="0.25">
      <c r="A1081" s="31" t="str">
        <f>IF(Table!A1081 = "","",Table!A1081)</f>
        <v/>
      </c>
      <c r="B1081" s="31" t="str">
        <f>IF(Table!B1081 = "","",Table!B1081)</f>
        <v/>
      </c>
      <c r="C1081" s="31" t="str">
        <f>IF(Table!C1081 = "","",Table!C1081)</f>
        <v/>
      </c>
      <c r="D1081" s="32" t="str">
        <f>IF(Table!D1081 = "","",Table!D1081)</f>
        <v/>
      </c>
      <c r="E1081" s="32" t="str">
        <f>IF(Table!E1081 = "","",Table!E1081)</f>
        <v/>
      </c>
      <c r="F1081" s="32" t="str">
        <f>IF(Table!F1081 = "","",Table!F1081)</f>
        <v/>
      </c>
      <c r="G1081" s="91"/>
      <c r="K1081" s="31" t="str">
        <f>IFERROR(VLOOKUP(A1081,Table!$I$4:$O$3000,1,TRUE),"")</f>
        <v/>
      </c>
      <c r="L1081" s="31" t="str">
        <f>IFERROR(INDEX(Table!I:O,MATCH(K1081,Table!I:I,0),2),"")</f>
        <v/>
      </c>
      <c r="M1081" s="31" t="str">
        <f>IFERROR(INDEX(Table!I:O,MATCH(K1081,Table!I:I,0),3),"")</f>
        <v/>
      </c>
      <c r="N1081" s="32" t="str">
        <f>IFERROR(INDEX(Table!I:O,MATCH(K1081,Table!I:I,0),4),"")</f>
        <v/>
      </c>
      <c r="O1081" s="32" t="str">
        <f>IFERROR(INDEX(Table!I:O,MATCH(K1081,Table!I:I,0),5),"")</f>
        <v/>
      </c>
      <c r="P1081" s="32" t="str">
        <f>IFERROR(INDEX(Table!I:O,MATCH(K1081,Table!I:I,0),6),"")</f>
        <v/>
      </c>
      <c r="Q1081" s="89" t="str">
        <f t="shared" si="48"/>
        <v/>
      </c>
      <c r="R1081" s="89" t="str">
        <f t="shared" si="49"/>
        <v/>
      </c>
      <c r="S1081" s="82"/>
      <c r="U1081" s="37" t="e">
        <f t="shared" si="50"/>
        <v>#VALUE!</v>
      </c>
    </row>
    <row r="1082" spans="1:21" x14ac:dyDescent="0.25">
      <c r="A1082" s="31" t="str">
        <f>IF(Table!A1082 = "","",Table!A1082)</f>
        <v/>
      </c>
      <c r="B1082" s="31" t="str">
        <f>IF(Table!B1082 = "","",Table!B1082)</f>
        <v/>
      </c>
      <c r="C1082" s="31" t="str">
        <f>IF(Table!C1082 = "","",Table!C1082)</f>
        <v/>
      </c>
      <c r="D1082" s="32" t="str">
        <f>IF(Table!D1082 = "","",Table!D1082)</f>
        <v/>
      </c>
      <c r="E1082" s="32" t="str">
        <f>IF(Table!E1082 = "","",Table!E1082)</f>
        <v/>
      </c>
      <c r="F1082" s="32" t="str">
        <f>IF(Table!F1082 = "","",Table!F1082)</f>
        <v/>
      </c>
      <c r="G1082" s="91"/>
      <c r="K1082" s="31" t="str">
        <f>IFERROR(VLOOKUP(A1082,Table!$I$4:$O$3000,1,TRUE),"")</f>
        <v/>
      </c>
      <c r="L1082" s="31" t="str">
        <f>IFERROR(INDEX(Table!I:O,MATCH(K1082,Table!I:I,0),2),"")</f>
        <v/>
      </c>
      <c r="M1082" s="31" t="str">
        <f>IFERROR(INDEX(Table!I:O,MATCH(K1082,Table!I:I,0),3),"")</f>
        <v/>
      </c>
      <c r="N1082" s="32" t="str">
        <f>IFERROR(INDEX(Table!I:O,MATCH(K1082,Table!I:I,0),4),"")</f>
        <v/>
      </c>
      <c r="O1082" s="32" t="str">
        <f>IFERROR(INDEX(Table!I:O,MATCH(K1082,Table!I:I,0),5),"")</f>
        <v/>
      </c>
      <c r="P1082" s="32" t="str">
        <f>IFERROR(INDEX(Table!I:O,MATCH(K1082,Table!I:I,0),6),"")</f>
        <v/>
      </c>
      <c r="Q1082" s="89" t="str">
        <f t="shared" si="48"/>
        <v/>
      </c>
      <c r="R1082" s="89" t="str">
        <f t="shared" si="49"/>
        <v/>
      </c>
      <c r="S1082" s="82"/>
      <c r="U1082" s="37" t="e">
        <f t="shared" si="50"/>
        <v>#VALUE!</v>
      </c>
    </row>
    <row r="1083" spans="1:21" x14ac:dyDescent="0.25">
      <c r="A1083" s="31" t="str">
        <f>IF(Table!A1083 = "","",Table!A1083)</f>
        <v/>
      </c>
      <c r="B1083" s="31" t="str">
        <f>IF(Table!B1083 = "","",Table!B1083)</f>
        <v/>
      </c>
      <c r="C1083" s="31" t="str">
        <f>IF(Table!C1083 = "","",Table!C1083)</f>
        <v/>
      </c>
      <c r="D1083" s="32" t="str">
        <f>IF(Table!D1083 = "","",Table!D1083)</f>
        <v/>
      </c>
      <c r="E1083" s="32" t="str">
        <f>IF(Table!E1083 = "","",Table!E1083)</f>
        <v/>
      </c>
      <c r="F1083" s="32" t="str">
        <f>IF(Table!F1083 = "","",Table!F1083)</f>
        <v/>
      </c>
      <c r="G1083" s="91"/>
      <c r="K1083" s="31" t="str">
        <f>IFERROR(VLOOKUP(A1083,Table!$I$4:$O$3000,1,TRUE),"")</f>
        <v/>
      </c>
      <c r="L1083" s="31" t="str">
        <f>IFERROR(INDEX(Table!I:O,MATCH(K1083,Table!I:I,0),2),"")</f>
        <v/>
      </c>
      <c r="M1083" s="31" t="str">
        <f>IFERROR(INDEX(Table!I:O,MATCH(K1083,Table!I:I,0),3),"")</f>
        <v/>
      </c>
      <c r="N1083" s="32" t="str">
        <f>IFERROR(INDEX(Table!I:O,MATCH(K1083,Table!I:I,0),4),"")</f>
        <v/>
      </c>
      <c r="O1083" s="32" t="str">
        <f>IFERROR(INDEX(Table!I:O,MATCH(K1083,Table!I:I,0),5),"")</f>
        <v/>
      </c>
      <c r="P1083" s="32" t="str">
        <f>IFERROR(INDEX(Table!I:O,MATCH(K1083,Table!I:I,0),6),"")</f>
        <v/>
      </c>
      <c r="Q1083" s="89" t="str">
        <f t="shared" si="48"/>
        <v/>
      </c>
      <c r="R1083" s="89" t="str">
        <f t="shared" si="49"/>
        <v/>
      </c>
      <c r="S1083" s="82"/>
      <c r="U1083" s="37" t="e">
        <f t="shared" si="50"/>
        <v>#VALUE!</v>
      </c>
    </row>
    <row r="1084" spans="1:21" x14ac:dyDescent="0.25">
      <c r="A1084" s="31" t="str">
        <f>IF(Table!A1084 = "","",Table!A1084)</f>
        <v/>
      </c>
      <c r="B1084" s="31" t="str">
        <f>IF(Table!B1084 = "","",Table!B1084)</f>
        <v/>
      </c>
      <c r="C1084" s="31" t="str">
        <f>IF(Table!C1084 = "","",Table!C1084)</f>
        <v/>
      </c>
      <c r="D1084" s="32" t="str">
        <f>IF(Table!D1084 = "","",Table!D1084)</f>
        <v/>
      </c>
      <c r="E1084" s="32" t="str">
        <f>IF(Table!E1084 = "","",Table!E1084)</f>
        <v/>
      </c>
      <c r="F1084" s="32" t="str">
        <f>IF(Table!F1084 = "","",Table!F1084)</f>
        <v/>
      </c>
      <c r="G1084" s="91"/>
      <c r="K1084" s="31" t="str">
        <f>IFERROR(VLOOKUP(A1084,Table!$I$4:$O$3000,1,TRUE),"")</f>
        <v/>
      </c>
      <c r="L1084" s="31" t="str">
        <f>IFERROR(INDEX(Table!I:O,MATCH(K1084,Table!I:I,0),2),"")</f>
        <v/>
      </c>
      <c r="M1084" s="31" t="str">
        <f>IFERROR(INDEX(Table!I:O,MATCH(K1084,Table!I:I,0),3),"")</f>
        <v/>
      </c>
      <c r="N1084" s="32" t="str">
        <f>IFERROR(INDEX(Table!I:O,MATCH(K1084,Table!I:I,0),4),"")</f>
        <v/>
      </c>
      <c r="O1084" s="32" t="str">
        <f>IFERROR(INDEX(Table!I:O,MATCH(K1084,Table!I:I,0),5),"")</f>
        <v/>
      </c>
      <c r="P1084" s="32" t="str">
        <f>IFERROR(INDEX(Table!I:O,MATCH(K1084,Table!I:I,0),6),"")</f>
        <v/>
      </c>
      <c r="Q1084" s="89" t="str">
        <f t="shared" si="48"/>
        <v/>
      </c>
      <c r="R1084" s="89" t="str">
        <f t="shared" si="49"/>
        <v/>
      </c>
      <c r="S1084" s="82"/>
      <c r="U1084" s="37" t="e">
        <f t="shared" si="50"/>
        <v>#VALUE!</v>
      </c>
    </row>
    <row r="1085" spans="1:21" x14ac:dyDescent="0.25">
      <c r="A1085" s="31" t="str">
        <f>IF(Table!A1085 = "","",Table!A1085)</f>
        <v/>
      </c>
      <c r="B1085" s="31" t="str">
        <f>IF(Table!B1085 = "","",Table!B1085)</f>
        <v/>
      </c>
      <c r="C1085" s="31" t="str">
        <f>IF(Table!C1085 = "","",Table!C1085)</f>
        <v/>
      </c>
      <c r="D1085" s="32" t="str">
        <f>IF(Table!D1085 = "","",Table!D1085)</f>
        <v/>
      </c>
      <c r="E1085" s="32" t="str">
        <f>IF(Table!E1085 = "","",Table!E1085)</f>
        <v/>
      </c>
      <c r="F1085" s="32" t="str">
        <f>IF(Table!F1085 = "","",Table!F1085)</f>
        <v/>
      </c>
      <c r="G1085" s="91"/>
      <c r="K1085" s="31" t="str">
        <f>IFERROR(VLOOKUP(A1085,Table!$I$4:$O$3000,1,TRUE),"")</f>
        <v/>
      </c>
      <c r="L1085" s="31" t="str">
        <f>IFERROR(INDEX(Table!I:O,MATCH(K1085,Table!I:I,0),2),"")</f>
        <v/>
      </c>
      <c r="M1085" s="31" t="str">
        <f>IFERROR(INDEX(Table!I:O,MATCH(K1085,Table!I:I,0),3),"")</f>
        <v/>
      </c>
      <c r="N1085" s="32" t="str">
        <f>IFERROR(INDEX(Table!I:O,MATCH(K1085,Table!I:I,0),4),"")</f>
        <v/>
      </c>
      <c r="O1085" s="32" t="str">
        <f>IFERROR(INDEX(Table!I:O,MATCH(K1085,Table!I:I,0),5),"")</f>
        <v/>
      </c>
      <c r="P1085" s="32" t="str">
        <f>IFERROR(INDEX(Table!I:O,MATCH(K1085,Table!I:I,0),6),"")</f>
        <v/>
      </c>
      <c r="Q1085" s="89" t="str">
        <f t="shared" si="48"/>
        <v/>
      </c>
      <c r="R1085" s="89" t="str">
        <f t="shared" si="49"/>
        <v/>
      </c>
      <c r="S1085" s="82"/>
      <c r="U1085" s="37" t="e">
        <f t="shared" si="50"/>
        <v>#VALUE!</v>
      </c>
    </row>
    <row r="1086" spans="1:21" x14ac:dyDescent="0.25">
      <c r="A1086" s="31" t="str">
        <f>IF(Table!A1086 = "","",Table!A1086)</f>
        <v/>
      </c>
      <c r="B1086" s="31" t="str">
        <f>IF(Table!B1086 = "","",Table!B1086)</f>
        <v/>
      </c>
      <c r="C1086" s="31" t="str">
        <f>IF(Table!C1086 = "","",Table!C1086)</f>
        <v/>
      </c>
      <c r="D1086" s="32" t="str">
        <f>IF(Table!D1086 = "","",Table!D1086)</f>
        <v/>
      </c>
      <c r="E1086" s="32" t="str">
        <f>IF(Table!E1086 = "","",Table!E1086)</f>
        <v/>
      </c>
      <c r="F1086" s="32" t="str">
        <f>IF(Table!F1086 = "","",Table!F1086)</f>
        <v/>
      </c>
      <c r="G1086" s="91"/>
      <c r="K1086" s="31" t="str">
        <f>IFERROR(VLOOKUP(A1086,Table!$I$4:$O$3000,1,TRUE),"")</f>
        <v/>
      </c>
      <c r="L1086" s="31" t="str">
        <f>IFERROR(INDEX(Table!I:O,MATCH(K1086,Table!I:I,0),2),"")</f>
        <v/>
      </c>
      <c r="M1086" s="31" t="str">
        <f>IFERROR(INDEX(Table!I:O,MATCH(K1086,Table!I:I,0),3),"")</f>
        <v/>
      </c>
      <c r="N1086" s="32" t="str">
        <f>IFERROR(INDEX(Table!I:O,MATCH(K1086,Table!I:I,0),4),"")</f>
        <v/>
      </c>
      <c r="O1086" s="32" t="str">
        <f>IFERROR(INDEX(Table!I:O,MATCH(K1086,Table!I:I,0),5),"")</f>
        <v/>
      </c>
      <c r="P1086" s="32" t="str">
        <f>IFERROR(INDEX(Table!I:O,MATCH(K1086,Table!I:I,0),6),"")</f>
        <v/>
      </c>
      <c r="Q1086" s="89" t="str">
        <f t="shared" si="48"/>
        <v/>
      </c>
      <c r="R1086" s="89" t="str">
        <f t="shared" si="49"/>
        <v/>
      </c>
      <c r="S1086" s="82"/>
      <c r="U1086" s="37" t="e">
        <f t="shared" si="50"/>
        <v>#VALUE!</v>
      </c>
    </row>
    <row r="1087" spans="1:21" x14ac:dyDescent="0.25">
      <c r="A1087" s="31" t="str">
        <f>IF(Table!A1087 = "","",Table!A1087)</f>
        <v/>
      </c>
      <c r="B1087" s="31" t="str">
        <f>IF(Table!B1087 = "","",Table!B1087)</f>
        <v/>
      </c>
      <c r="C1087" s="31" t="str">
        <f>IF(Table!C1087 = "","",Table!C1087)</f>
        <v/>
      </c>
      <c r="D1087" s="32" t="str">
        <f>IF(Table!D1087 = "","",Table!D1087)</f>
        <v/>
      </c>
      <c r="E1087" s="32" t="str">
        <f>IF(Table!E1087 = "","",Table!E1087)</f>
        <v/>
      </c>
      <c r="F1087" s="32" t="str">
        <f>IF(Table!F1087 = "","",Table!F1087)</f>
        <v/>
      </c>
      <c r="G1087" s="91"/>
      <c r="K1087" s="31" t="str">
        <f>IFERROR(VLOOKUP(A1087,Table!$I$4:$O$3000,1,TRUE),"")</f>
        <v/>
      </c>
      <c r="L1087" s="31" t="str">
        <f>IFERROR(INDEX(Table!I:O,MATCH(K1087,Table!I:I,0),2),"")</f>
        <v/>
      </c>
      <c r="M1087" s="31" t="str">
        <f>IFERROR(INDEX(Table!I:O,MATCH(K1087,Table!I:I,0),3),"")</f>
        <v/>
      </c>
      <c r="N1087" s="32" t="str">
        <f>IFERROR(INDEX(Table!I:O,MATCH(K1087,Table!I:I,0),4),"")</f>
        <v/>
      </c>
      <c r="O1087" s="32" t="str">
        <f>IFERROR(INDEX(Table!I:O,MATCH(K1087,Table!I:I,0),5),"")</f>
        <v/>
      </c>
      <c r="P1087" s="32" t="str">
        <f>IFERROR(INDEX(Table!I:O,MATCH(K1087,Table!I:I,0),6),"")</f>
        <v/>
      </c>
      <c r="Q1087" s="89" t="str">
        <f t="shared" si="48"/>
        <v/>
      </c>
      <c r="R1087" s="89" t="str">
        <f t="shared" si="49"/>
        <v/>
      </c>
      <c r="S1087" s="82"/>
      <c r="U1087" s="37" t="e">
        <f t="shared" si="50"/>
        <v>#VALUE!</v>
      </c>
    </row>
    <row r="1088" spans="1:21" x14ac:dyDescent="0.25">
      <c r="A1088" s="31" t="str">
        <f>IF(Table!A1088 = "","",Table!A1088)</f>
        <v/>
      </c>
      <c r="B1088" s="31" t="str">
        <f>IF(Table!B1088 = "","",Table!B1088)</f>
        <v/>
      </c>
      <c r="C1088" s="31" t="str">
        <f>IF(Table!C1088 = "","",Table!C1088)</f>
        <v/>
      </c>
      <c r="D1088" s="32" t="str">
        <f>IF(Table!D1088 = "","",Table!D1088)</f>
        <v/>
      </c>
      <c r="E1088" s="32" t="str">
        <f>IF(Table!E1088 = "","",Table!E1088)</f>
        <v/>
      </c>
      <c r="F1088" s="32" t="str">
        <f>IF(Table!F1088 = "","",Table!F1088)</f>
        <v/>
      </c>
      <c r="G1088" s="91"/>
      <c r="K1088" s="31" t="str">
        <f>IFERROR(VLOOKUP(A1088,Table!$I$4:$O$3000,1,TRUE),"")</f>
        <v/>
      </c>
      <c r="L1088" s="31" t="str">
        <f>IFERROR(INDEX(Table!I:O,MATCH(K1088,Table!I:I,0),2),"")</f>
        <v/>
      </c>
      <c r="M1088" s="31" t="str">
        <f>IFERROR(INDEX(Table!I:O,MATCH(K1088,Table!I:I,0),3),"")</f>
        <v/>
      </c>
      <c r="N1088" s="32" t="str">
        <f>IFERROR(INDEX(Table!I:O,MATCH(K1088,Table!I:I,0),4),"")</f>
        <v/>
      </c>
      <c r="O1088" s="32" t="str">
        <f>IFERROR(INDEX(Table!I:O,MATCH(K1088,Table!I:I,0),5),"")</f>
        <v/>
      </c>
      <c r="P1088" s="32" t="str">
        <f>IFERROR(INDEX(Table!I:O,MATCH(K1088,Table!I:I,0),6),"")</f>
        <v/>
      </c>
      <c r="Q1088" s="89" t="str">
        <f t="shared" si="48"/>
        <v/>
      </c>
      <c r="R1088" s="89" t="str">
        <f t="shared" si="49"/>
        <v/>
      </c>
      <c r="S1088" s="82"/>
      <c r="U1088" s="37" t="e">
        <f t="shared" si="50"/>
        <v>#VALUE!</v>
      </c>
    </row>
    <row r="1089" spans="1:21" x14ac:dyDescent="0.25">
      <c r="A1089" s="31" t="str">
        <f>IF(Table!A1089 = "","",Table!A1089)</f>
        <v/>
      </c>
      <c r="B1089" s="31" t="str">
        <f>IF(Table!B1089 = "","",Table!B1089)</f>
        <v/>
      </c>
      <c r="C1089" s="31" t="str">
        <f>IF(Table!C1089 = "","",Table!C1089)</f>
        <v/>
      </c>
      <c r="D1089" s="32" t="str">
        <f>IF(Table!D1089 = "","",Table!D1089)</f>
        <v/>
      </c>
      <c r="E1089" s="32" t="str">
        <f>IF(Table!E1089 = "","",Table!E1089)</f>
        <v/>
      </c>
      <c r="F1089" s="32" t="str">
        <f>IF(Table!F1089 = "","",Table!F1089)</f>
        <v/>
      </c>
      <c r="G1089" s="91"/>
      <c r="K1089" s="31" t="str">
        <f>IFERROR(VLOOKUP(A1089,Table!$I$4:$O$3000,1,TRUE),"")</f>
        <v/>
      </c>
      <c r="L1089" s="31" t="str">
        <f>IFERROR(INDEX(Table!I:O,MATCH(K1089,Table!I:I,0),2),"")</f>
        <v/>
      </c>
      <c r="M1089" s="31" t="str">
        <f>IFERROR(INDEX(Table!I:O,MATCH(K1089,Table!I:I,0),3),"")</f>
        <v/>
      </c>
      <c r="N1089" s="32" t="str">
        <f>IFERROR(INDEX(Table!I:O,MATCH(K1089,Table!I:I,0),4),"")</f>
        <v/>
      </c>
      <c r="O1089" s="32" t="str">
        <f>IFERROR(INDEX(Table!I:O,MATCH(K1089,Table!I:I,0),5),"")</f>
        <v/>
      </c>
      <c r="P1089" s="32" t="str">
        <f>IFERROR(INDEX(Table!I:O,MATCH(K1089,Table!I:I,0),6),"")</f>
        <v/>
      </c>
      <c r="Q1089" s="89" t="str">
        <f t="shared" si="48"/>
        <v/>
      </c>
      <c r="R1089" s="89" t="str">
        <f t="shared" si="49"/>
        <v/>
      </c>
      <c r="S1089" s="82"/>
      <c r="U1089" s="37" t="e">
        <f t="shared" si="50"/>
        <v>#VALUE!</v>
      </c>
    </row>
    <row r="1090" spans="1:21" x14ac:dyDescent="0.25">
      <c r="A1090" s="31" t="str">
        <f>IF(Table!A1090 = "","",Table!A1090)</f>
        <v/>
      </c>
      <c r="B1090" s="31" t="str">
        <f>IF(Table!B1090 = "","",Table!B1090)</f>
        <v/>
      </c>
      <c r="C1090" s="31" t="str">
        <f>IF(Table!C1090 = "","",Table!C1090)</f>
        <v/>
      </c>
      <c r="D1090" s="32" t="str">
        <f>IF(Table!D1090 = "","",Table!D1090)</f>
        <v/>
      </c>
      <c r="E1090" s="32" t="str">
        <f>IF(Table!E1090 = "","",Table!E1090)</f>
        <v/>
      </c>
      <c r="F1090" s="32" t="str">
        <f>IF(Table!F1090 = "","",Table!F1090)</f>
        <v/>
      </c>
      <c r="G1090" s="91"/>
      <c r="K1090" s="31" t="str">
        <f>IFERROR(VLOOKUP(A1090,Table!$I$4:$O$3000,1,TRUE),"")</f>
        <v/>
      </c>
      <c r="L1090" s="31" t="str">
        <f>IFERROR(INDEX(Table!I:O,MATCH(K1090,Table!I:I,0),2),"")</f>
        <v/>
      </c>
      <c r="M1090" s="31" t="str">
        <f>IFERROR(INDEX(Table!I:O,MATCH(K1090,Table!I:I,0),3),"")</f>
        <v/>
      </c>
      <c r="N1090" s="32" t="str">
        <f>IFERROR(INDEX(Table!I:O,MATCH(K1090,Table!I:I,0),4),"")</f>
        <v/>
      </c>
      <c r="O1090" s="32" t="str">
        <f>IFERROR(INDEX(Table!I:O,MATCH(K1090,Table!I:I,0),5),"")</f>
        <v/>
      </c>
      <c r="P1090" s="32" t="str">
        <f>IFERROR(INDEX(Table!I:O,MATCH(K1090,Table!I:I,0),6),"")</f>
        <v/>
      </c>
      <c r="Q1090" s="89" t="str">
        <f t="shared" si="48"/>
        <v/>
      </c>
      <c r="R1090" s="89" t="str">
        <f t="shared" si="49"/>
        <v/>
      </c>
      <c r="S1090" s="82"/>
      <c r="U1090" s="37" t="e">
        <f t="shared" si="50"/>
        <v>#VALUE!</v>
      </c>
    </row>
    <row r="1091" spans="1:21" x14ac:dyDescent="0.25">
      <c r="A1091" s="31" t="str">
        <f>IF(Table!A1091 = "","",Table!A1091)</f>
        <v/>
      </c>
      <c r="B1091" s="31" t="str">
        <f>IF(Table!B1091 = "","",Table!B1091)</f>
        <v/>
      </c>
      <c r="C1091" s="31" t="str">
        <f>IF(Table!C1091 = "","",Table!C1091)</f>
        <v/>
      </c>
      <c r="D1091" s="32" t="str">
        <f>IF(Table!D1091 = "","",Table!D1091)</f>
        <v/>
      </c>
      <c r="E1091" s="32" t="str">
        <f>IF(Table!E1091 = "","",Table!E1091)</f>
        <v/>
      </c>
      <c r="F1091" s="32" t="str">
        <f>IF(Table!F1091 = "","",Table!F1091)</f>
        <v/>
      </c>
      <c r="G1091" s="91"/>
      <c r="K1091" s="31" t="str">
        <f>IFERROR(VLOOKUP(A1091,Table!$I$4:$O$3000,1,TRUE),"")</f>
        <v/>
      </c>
      <c r="L1091" s="31" t="str">
        <f>IFERROR(INDEX(Table!I:O,MATCH(K1091,Table!I:I,0),2),"")</f>
        <v/>
      </c>
      <c r="M1091" s="31" t="str">
        <f>IFERROR(INDEX(Table!I:O,MATCH(K1091,Table!I:I,0),3),"")</f>
        <v/>
      </c>
      <c r="N1091" s="32" t="str">
        <f>IFERROR(INDEX(Table!I:O,MATCH(K1091,Table!I:I,0),4),"")</f>
        <v/>
      </c>
      <c r="O1091" s="32" t="str">
        <f>IFERROR(INDEX(Table!I:O,MATCH(K1091,Table!I:I,0),5),"")</f>
        <v/>
      </c>
      <c r="P1091" s="32" t="str">
        <f>IFERROR(INDEX(Table!I:O,MATCH(K1091,Table!I:I,0),6),"")</f>
        <v/>
      </c>
      <c r="Q1091" s="89" t="str">
        <f t="shared" si="48"/>
        <v/>
      </c>
      <c r="R1091" s="89" t="str">
        <f t="shared" si="49"/>
        <v/>
      </c>
      <c r="S1091" s="82"/>
      <c r="U1091" s="37" t="e">
        <f t="shared" si="50"/>
        <v>#VALUE!</v>
      </c>
    </row>
    <row r="1092" spans="1:21" x14ac:dyDescent="0.25">
      <c r="A1092" s="31" t="str">
        <f>IF(Table!A1092 = "","",Table!A1092)</f>
        <v/>
      </c>
      <c r="B1092" s="31" t="str">
        <f>IF(Table!B1092 = "","",Table!B1092)</f>
        <v/>
      </c>
      <c r="C1092" s="31" t="str">
        <f>IF(Table!C1092 = "","",Table!C1092)</f>
        <v/>
      </c>
      <c r="D1092" s="32" t="str">
        <f>IF(Table!D1092 = "","",Table!D1092)</f>
        <v/>
      </c>
      <c r="E1092" s="32" t="str">
        <f>IF(Table!E1092 = "","",Table!E1092)</f>
        <v/>
      </c>
      <c r="F1092" s="32" t="str">
        <f>IF(Table!F1092 = "","",Table!F1092)</f>
        <v/>
      </c>
      <c r="G1092" s="91"/>
      <c r="K1092" s="31" t="str">
        <f>IFERROR(VLOOKUP(A1092,Table!$I$4:$O$3000,1,TRUE),"")</f>
        <v/>
      </c>
      <c r="L1092" s="31" t="str">
        <f>IFERROR(INDEX(Table!I:O,MATCH(K1092,Table!I:I,0),2),"")</f>
        <v/>
      </c>
      <c r="M1092" s="31" t="str">
        <f>IFERROR(INDEX(Table!I:O,MATCH(K1092,Table!I:I,0),3),"")</f>
        <v/>
      </c>
      <c r="N1092" s="32" t="str">
        <f>IFERROR(INDEX(Table!I:O,MATCH(K1092,Table!I:I,0),4),"")</f>
        <v/>
      </c>
      <c r="O1092" s="32" t="str">
        <f>IFERROR(INDEX(Table!I:O,MATCH(K1092,Table!I:I,0),5),"")</f>
        <v/>
      </c>
      <c r="P1092" s="32" t="str">
        <f>IFERROR(INDEX(Table!I:O,MATCH(K1092,Table!I:I,0),6),"")</f>
        <v/>
      </c>
      <c r="Q1092" s="89" t="str">
        <f t="shared" si="48"/>
        <v/>
      </c>
      <c r="R1092" s="89" t="str">
        <f t="shared" si="49"/>
        <v/>
      </c>
      <c r="S1092" s="82"/>
      <c r="U1092" s="37" t="e">
        <f t="shared" si="50"/>
        <v>#VALUE!</v>
      </c>
    </row>
    <row r="1093" spans="1:21" x14ac:dyDescent="0.25">
      <c r="A1093" s="31" t="str">
        <f>IF(Table!A1093 = "","",Table!A1093)</f>
        <v/>
      </c>
      <c r="B1093" s="31" t="str">
        <f>IF(Table!B1093 = "","",Table!B1093)</f>
        <v/>
      </c>
      <c r="C1093" s="31" t="str">
        <f>IF(Table!C1093 = "","",Table!C1093)</f>
        <v/>
      </c>
      <c r="D1093" s="32" t="str">
        <f>IF(Table!D1093 = "","",Table!D1093)</f>
        <v/>
      </c>
      <c r="E1093" s="32" t="str">
        <f>IF(Table!E1093 = "","",Table!E1093)</f>
        <v/>
      </c>
      <c r="F1093" s="32" t="str">
        <f>IF(Table!F1093 = "","",Table!F1093)</f>
        <v/>
      </c>
      <c r="G1093" s="91"/>
      <c r="K1093" s="31" t="str">
        <f>IFERROR(VLOOKUP(A1093,Table!$I$4:$O$3000,1,TRUE),"")</f>
        <v/>
      </c>
      <c r="L1093" s="31" t="str">
        <f>IFERROR(INDEX(Table!I:O,MATCH(K1093,Table!I:I,0),2),"")</f>
        <v/>
      </c>
      <c r="M1093" s="31" t="str">
        <f>IFERROR(INDEX(Table!I:O,MATCH(K1093,Table!I:I,0),3),"")</f>
        <v/>
      </c>
      <c r="N1093" s="32" t="str">
        <f>IFERROR(INDEX(Table!I:O,MATCH(K1093,Table!I:I,0),4),"")</f>
        <v/>
      </c>
      <c r="O1093" s="32" t="str">
        <f>IFERROR(INDEX(Table!I:O,MATCH(K1093,Table!I:I,0),5),"")</f>
        <v/>
      </c>
      <c r="P1093" s="32" t="str">
        <f>IFERROR(INDEX(Table!I:O,MATCH(K1093,Table!I:I,0),6),"")</f>
        <v/>
      </c>
      <c r="Q1093" s="89" t="str">
        <f t="shared" si="48"/>
        <v/>
      </c>
      <c r="R1093" s="89" t="str">
        <f t="shared" si="49"/>
        <v/>
      </c>
      <c r="S1093" s="82"/>
      <c r="U1093" s="37" t="e">
        <f t="shared" si="50"/>
        <v>#VALUE!</v>
      </c>
    </row>
    <row r="1094" spans="1:21" x14ac:dyDescent="0.25">
      <c r="A1094" s="31" t="str">
        <f>IF(Table!A1094 = "","",Table!A1094)</f>
        <v/>
      </c>
      <c r="B1094" s="31" t="str">
        <f>IF(Table!B1094 = "","",Table!B1094)</f>
        <v/>
      </c>
      <c r="C1094" s="31" t="str">
        <f>IF(Table!C1094 = "","",Table!C1094)</f>
        <v/>
      </c>
      <c r="D1094" s="32" t="str">
        <f>IF(Table!D1094 = "","",Table!D1094)</f>
        <v/>
      </c>
      <c r="E1094" s="32" t="str">
        <f>IF(Table!E1094 = "","",Table!E1094)</f>
        <v/>
      </c>
      <c r="F1094" s="32" t="str">
        <f>IF(Table!F1094 = "","",Table!F1094)</f>
        <v/>
      </c>
      <c r="G1094" s="91"/>
      <c r="K1094" s="31" t="str">
        <f>IFERROR(VLOOKUP(A1094,Table!$I$4:$O$3000,1,TRUE),"")</f>
        <v/>
      </c>
      <c r="L1094" s="31" t="str">
        <f>IFERROR(INDEX(Table!I:O,MATCH(K1094,Table!I:I,0),2),"")</f>
        <v/>
      </c>
      <c r="M1094" s="31" t="str">
        <f>IFERROR(INDEX(Table!I:O,MATCH(K1094,Table!I:I,0),3),"")</f>
        <v/>
      </c>
      <c r="N1094" s="32" t="str">
        <f>IFERROR(INDEX(Table!I:O,MATCH(K1094,Table!I:I,0),4),"")</f>
        <v/>
      </c>
      <c r="O1094" s="32" t="str">
        <f>IFERROR(INDEX(Table!I:O,MATCH(K1094,Table!I:I,0),5),"")</f>
        <v/>
      </c>
      <c r="P1094" s="32" t="str">
        <f>IFERROR(INDEX(Table!I:O,MATCH(K1094,Table!I:I,0),6),"")</f>
        <v/>
      </c>
      <c r="Q1094" s="89" t="str">
        <f t="shared" ref="Q1094:Q1157" si="51">IFERROR(L1094-B1094,"")</f>
        <v/>
      </c>
      <c r="R1094" s="89" t="str">
        <f t="shared" ref="R1094:R1157" si="52">IFERROR(M1094-C1094,"")</f>
        <v/>
      </c>
      <c r="S1094" s="82"/>
      <c r="U1094" s="37" t="e">
        <f t="shared" ref="U1094:U1157" si="53">K1094-K1093</f>
        <v>#VALUE!</v>
      </c>
    </row>
    <row r="1095" spans="1:21" x14ac:dyDescent="0.25">
      <c r="A1095" s="31" t="str">
        <f>IF(Table!A1095 = "","",Table!A1095)</f>
        <v/>
      </c>
      <c r="B1095" s="31" t="str">
        <f>IF(Table!B1095 = "","",Table!B1095)</f>
        <v/>
      </c>
      <c r="C1095" s="31" t="str">
        <f>IF(Table!C1095 = "","",Table!C1095)</f>
        <v/>
      </c>
      <c r="D1095" s="32" t="str">
        <f>IF(Table!D1095 = "","",Table!D1095)</f>
        <v/>
      </c>
      <c r="E1095" s="32" t="str">
        <f>IF(Table!E1095 = "","",Table!E1095)</f>
        <v/>
      </c>
      <c r="F1095" s="32" t="str">
        <f>IF(Table!F1095 = "","",Table!F1095)</f>
        <v/>
      </c>
      <c r="G1095" s="91"/>
      <c r="K1095" s="31" t="str">
        <f>IFERROR(VLOOKUP(A1095,Table!$I$4:$O$3000,1,TRUE),"")</f>
        <v/>
      </c>
      <c r="L1095" s="31" t="str">
        <f>IFERROR(INDEX(Table!I:O,MATCH(K1095,Table!I:I,0),2),"")</f>
        <v/>
      </c>
      <c r="M1095" s="31" t="str">
        <f>IFERROR(INDEX(Table!I:O,MATCH(K1095,Table!I:I,0),3),"")</f>
        <v/>
      </c>
      <c r="N1095" s="32" t="str">
        <f>IFERROR(INDEX(Table!I:O,MATCH(K1095,Table!I:I,0),4),"")</f>
        <v/>
      </c>
      <c r="O1095" s="32" t="str">
        <f>IFERROR(INDEX(Table!I:O,MATCH(K1095,Table!I:I,0),5),"")</f>
        <v/>
      </c>
      <c r="P1095" s="32" t="str">
        <f>IFERROR(INDEX(Table!I:O,MATCH(K1095,Table!I:I,0),6),"")</f>
        <v/>
      </c>
      <c r="Q1095" s="89" t="str">
        <f t="shared" si="51"/>
        <v/>
      </c>
      <c r="R1095" s="89" t="str">
        <f t="shared" si="52"/>
        <v/>
      </c>
      <c r="S1095" s="82"/>
      <c r="U1095" s="37" t="e">
        <f t="shared" si="53"/>
        <v>#VALUE!</v>
      </c>
    </row>
    <row r="1096" spans="1:21" x14ac:dyDescent="0.25">
      <c r="A1096" s="31" t="str">
        <f>IF(Table!A1096 = "","",Table!A1096)</f>
        <v/>
      </c>
      <c r="B1096" s="31" t="str">
        <f>IF(Table!B1096 = "","",Table!B1096)</f>
        <v/>
      </c>
      <c r="C1096" s="31" t="str">
        <f>IF(Table!C1096 = "","",Table!C1096)</f>
        <v/>
      </c>
      <c r="D1096" s="32" t="str">
        <f>IF(Table!D1096 = "","",Table!D1096)</f>
        <v/>
      </c>
      <c r="E1096" s="32" t="str">
        <f>IF(Table!E1096 = "","",Table!E1096)</f>
        <v/>
      </c>
      <c r="F1096" s="32" t="str">
        <f>IF(Table!F1096 = "","",Table!F1096)</f>
        <v/>
      </c>
      <c r="G1096" s="91"/>
      <c r="K1096" s="31" t="str">
        <f>IFERROR(VLOOKUP(A1096,Table!$I$4:$O$3000,1,TRUE),"")</f>
        <v/>
      </c>
      <c r="L1096" s="31" t="str">
        <f>IFERROR(INDEX(Table!I:O,MATCH(K1096,Table!I:I,0),2),"")</f>
        <v/>
      </c>
      <c r="M1096" s="31" t="str">
        <f>IFERROR(INDEX(Table!I:O,MATCH(K1096,Table!I:I,0),3),"")</f>
        <v/>
      </c>
      <c r="N1096" s="32" t="str">
        <f>IFERROR(INDEX(Table!I:O,MATCH(K1096,Table!I:I,0),4),"")</f>
        <v/>
      </c>
      <c r="O1096" s="32" t="str">
        <f>IFERROR(INDEX(Table!I:O,MATCH(K1096,Table!I:I,0),5),"")</f>
        <v/>
      </c>
      <c r="P1096" s="32" t="str">
        <f>IFERROR(INDEX(Table!I:O,MATCH(K1096,Table!I:I,0),6),"")</f>
        <v/>
      </c>
      <c r="Q1096" s="89" t="str">
        <f t="shared" si="51"/>
        <v/>
      </c>
      <c r="R1096" s="89" t="str">
        <f t="shared" si="52"/>
        <v/>
      </c>
      <c r="S1096" s="82"/>
      <c r="U1096" s="37" t="e">
        <f t="shared" si="53"/>
        <v>#VALUE!</v>
      </c>
    </row>
    <row r="1097" spans="1:21" x14ac:dyDescent="0.25">
      <c r="A1097" s="31" t="str">
        <f>IF(Table!A1097 = "","",Table!A1097)</f>
        <v/>
      </c>
      <c r="B1097" s="31" t="str">
        <f>IF(Table!B1097 = "","",Table!B1097)</f>
        <v/>
      </c>
      <c r="C1097" s="31" t="str">
        <f>IF(Table!C1097 = "","",Table!C1097)</f>
        <v/>
      </c>
      <c r="D1097" s="32" t="str">
        <f>IF(Table!D1097 = "","",Table!D1097)</f>
        <v/>
      </c>
      <c r="E1097" s="32" t="str">
        <f>IF(Table!E1097 = "","",Table!E1097)</f>
        <v/>
      </c>
      <c r="F1097" s="32" t="str">
        <f>IF(Table!F1097 = "","",Table!F1097)</f>
        <v/>
      </c>
      <c r="G1097" s="91"/>
      <c r="K1097" s="31" t="str">
        <f>IFERROR(VLOOKUP(A1097,Table!$I$4:$O$3000,1,TRUE),"")</f>
        <v/>
      </c>
      <c r="L1097" s="31" t="str">
        <f>IFERROR(INDEX(Table!I:O,MATCH(K1097,Table!I:I,0),2),"")</f>
        <v/>
      </c>
      <c r="M1097" s="31" t="str">
        <f>IFERROR(INDEX(Table!I:O,MATCH(K1097,Table!I:I,0),3),"")</f>
        <v/>
      </c>
      <c r="N1097" s="32" t="str">
        <f>IFERROR(INDEX(Table!I:O,MATCH(K1097,Table!I:I,0),4),"")</f>
        <v/>
      </c>
      <c r="O1097" s="32" t="str">
        <f>IFERROR(INDEX(Table!I:O,MATCH(K1097,Table!I:I,0),5),"")</f>
        <v/>
      </c>
      <c r="P1097" s="32" t="str">
        <f>IFERROR(INDEX(Table!I:O,MATCH(K1097,Table!I:I,0),6),"")</f>
        <v/>
      </c>
      <c r="Q1097" s="89" t="str">
        <f t="shared" si="51"/>
        <v/>
      </c>
      <c r="R1097" s="89" t="str">
        <f t="shared" si="52"/>
        <v/>
      </c>
      <c r="S1097" s="82"/>
      <c r="U1097" s="37" t="e">
        <f t="shared" si="53"/>
        <v>#VALUE!</v>
      </c>
    </row>
    <row r="1098" spans="1:21" x14ac:dyDescent="0.25">
      <c r="A1098" s="31" t="str">
        <f>IF(Table!A1098 = "","",Table!A1098)</f>
        <v/>
      </c>
      <c r="B1098" s="31" t="str">
        <f>IF(Table!B1098 = "","",Table!B1098)</f>
        <v/>
      </c>
      <c r="C1098" s="31" t="str">
        <f>IF(Table!C1098 = "","",Table!C1098)</f>
        <v/>
      </c>
      <c r="D1098" s="32" t="str">
        <f>IF(Table!D1098 = "","",Table!D1098)</f>
        <v/>
      </c>
      <c r="E1098" s="32" t="str">
        <f>IF(Table!E1098 = "","",Table!E1098)</f>
        <v/>
      </c>
      <c r="F1098" s="32" t="str">
        <f>IF(Table!F1098 = "","",Table!F1098)</f>
        <v/>
      </c>
      <c r="G1098" s="91"/>
      <c r="K1098" s="31" t="str">
        <f>IFERROR(VLOOKUP(A1098,Table!$I$4:$O$3000,1,TRUE),"")</f>
        <v/>
      </c>
      <c r="L1098" s="31" t="str">
        <f>IFERROR(INDEX(Table!I:O,MATCH(K1098,Table!I:I,0),2),"")</f>
        <v/>
      </c>
      <c r="M1098" s="31" t="str">
        <f>IFERROR(INDEX(Table!I:O,MATCH(K1098,Table!I:I,0),3),"")</f>
        <v/>
      </c>
      <c r="N1098" s="32" t="str">
        <f>IFERROR(INDEX(Table!I:O,MATCH(K1098,Table!I:I,0),4),"")</f>
        <v/>
      </c>
      <c r="O1098" s="32" t="str">
        <f>IFERROR(INDEX(Table!I:O,MATCH(K1098,Table!I:I,0),5),"")</f>
        <v/>
      </c>
      <c r="P1098" s="32" t="str">
        <f>IFERROR(INDEX(Table!I:O,MATCH(K1098,Table!I:I,0),6),"")</f>
        <v/>
      </c>
      <c r="Q1098" s="89" t="str">
        <f t="shared" si="51"/>
        <v/>
      </c>
      <c r="R1098" s="89" t="str">
        <f t="shared" si="52"/>
        <v/>
      </c>
      <c r="S1098" s="82"/>
      <c r="U1098" s="37" t="e">
        <f t="shared" si="53"/>
        <v>#VALUE!</v>
      </c>
    </row>
    <row r="1099" spans="1:21" x14ac:dyDescent="0.25">
      <c r="A1099" s="31" t="str">
        <f>IF(Table!A1099 = "","",Table!A1099)</f>
        <v/>
      </c>
      <c r="B1099" s="31" t="str">
        <f>IF(Table!B1099 = "","",Table!B1099)</f>
        <v/>
      </c>
      <c r="C1099" s="31" t="str">
        <f>IF(Table!C1099 = "","",Table!C1099)</f>
        <v/>
      </c>
      <c r="D1099" s="32" t="str">
        <f>IF(Table!D1099 = "","",Table!D1099)</f>
        <v/>
      </c>
      <c r="E1099" s="32" t="str">
        <f>IF(Table!E1099 = "","",Table!E1099)</f>
        <v/>
      </c>
      <c r="F1099" s="32" t="str">
        <f>IF(Table!F1099 = "","",Table!F1099)</f>
        <v/>
      </c>
      <c r="G1099" s="91"/>
      <c r="K1099" s="31" t="str">
        <f>IFERROR(VLOOKUP(A1099,Table!$I$4:$O$3000,1,TRUE),"")</f>
        <v/>
      </c>
      <c r="L1099" s="31" t="str">
        <f>IFERROR(INDEX(Table!I:O,MATCH(K1099,Table!I:I,0),2),"")</f>
        <v/>
      </c>
      <c r="M1099" s="31" t="str">
        <f>IFERROR(INDEX(Table!I:O,MATCH(K1099,Table!I:I,0),3),"")</f>
        <v/>
      </c>
      <c r="N1099" s="32" t="str">
        <f>IFERROR(INDEX(Table!I:O,MATCH(K1099,Table!I:I,0),4),"")</f>
        <v/>
      </c>
      <c r="O1099" s="32" t="str">
        <f>IFERROR(INDEX(Table!I:O,MATCH(K1099,Table!I:I,0),5),"")</f>
        <v/>
      </c>
      <c r="P1099" s="32" t="str">
        <f>IFERROR(INDEX(Table!I:O,MATCH(K1099,Table!I:I,0),6),"")</f>
        <v/>
      </c>
      <c r="Q1099" s="89" t="str">
        <f t="shared" si="51"/>
        <v/>
      </c>
      <c r="R1099" s="89" t="str">
        <f t="shared" si="52"/>
        <v/>
      </c>
      <c r="S1099" s="82"/>
      <c r="U1099" s="37" t="e">
        <f t="shared" si="53"/>
        <v>#VALUE!</v>
      </c>
    </row>
    <row r="1100" spans="1:21" x14ac:dyDescent="0.25">
      <c r="A1100" s="31" t="str">
        <f>IF(Table!A1100 = "","",Table!A1100)</f>
        <v/>
      </c>
      <c r="B1100" s="31" t="str">
        <f>IF(Table!B1100 = "","",Table!B1100)</f>
        <v/>
      </c>
      <c r="C1100" s="31" t="str">
        <f>IF(Table!C1100 = "","",Table!C1100)</f>
        <v/>
      </c>
      <c r="D1100" s="32" t="str">
        <f>IF(Table!D1100 = "","",Table!D1100)</f>
        <v/>
      </c>
      <c r="E1100" s="32" t="str">
        <f>IF(Table!E1100 = "","",Table!E1100)</f>
        <v/>
      </c>
      <c r="F1100" s="32" t="str">
        <f>IF(Table!F1100 = "","",Table!F1100)</f>
        <v/>
      </c>
      <c r="G1100" s="91"/>
      <c r="K1100" s="31" t="str">
        <f>IFERROR(VLOOKUP(A1100,Table!$I$4:$O$3000,1,TRUE),"")</f>
        <v/>
      </c>
      <c r="L1100" s="31" t="str">
        <f>IFERROR(INDEX(Table!I:O,MATCH(K1100,Table!I:I,0),2),"")</f>
        <v/>
      </c>
      <c r="M1100" s="31" t="str">
        <f>IFERROR(INDEX(Table!I:O,MATCH(K1100,Table!I:I,0),3),"")</f>
        <v/>
      </c>
      <c r="N1100" s="32" t="str">
        <f>IFERROR(INDEX(Table!I:O,MATCH(K1100,Table!I:I,0),4),"")</f>
        <v/>
      </c>
      <c r="O1100" s="32" t="str">
        <f>IFERROR(INDEX(Table!I:O,MATCH(K1100,Table!I:I,0),5),"")</f>
        <v/>
      </c>
      <c r="P1100" s="32" t="str">
        <f>IFERROR(INDEX(Table!I:O,MATCH(K1100,Table!I:I,0),6),"")</f>
        <v/>
      </c>
      <c r="Q1100" s="89" t="str">
        <f t="shared" si="51"/>
        <v/>
      </c>
      <c r="R1100" s="89" t="str">
        <f t="shared" si="52"/>
        <v/>
      </c>
      <c r="S1100" s="82"/>
      <c r="U1100" s="37" t="e">
        <f t="shared" si="53"/>
        <v>#VALUE!</v>
      </c>
    </row>
    <row r="1101" spans="1:21" x14ac:dyDescent="0.25">
      <c r="A1101" s="31" t="str">
        <f>IF(Table!A1101 = "","",Table!A1101)</f>
        <v/>
      </c>
      <c r="B1101" s="31" t="str">
        <f>IF(Table!B1101 = "","",Table!B1101)</f>
        <v/>
      </c>
      <c r="C1101" s="31" t="str">
        <f>IF(Table!C1101 = "","",Table!C1101)</f>
        <v/>
      </c>
      <c r="D1101" s="32" t="str">
        <f>IF(Table!D1101 = "","",Table!D1101)</f>
        <v/>
      </c>
      <c r="E1101" s="32" t="str">
        <f>IF(Table!E1101 = "","",Table!E1101)</f>
        <v/>
      </c>
      <c r="F1101" s="32" t="str">
        <f>IF(Table!F1101 = "","",Table!F1101)</f>
        <v/>
      </c>
      <c r="G1101" s="91"/>
      <c r="K1101" s="31" t="str">
        <f>IFERROR(VLOOKUP(A1101,Table!$I$4:$O$3000,1,TRUE),"")</f>
        <v/>
      </c>
      <c r="L1101" s="31" t="str">
        <f>IFERROR(INDEX(Table!I:O,MATCH(K1101,Table!I:I,0),2),"")</f>
        <v/>
      </c>
      <c r="M1101" s="31" t="str">
        <f>IFERROR(INDEX(Table!I:O,MATCH(K1101,Table!I:I,0),3),"")</f>
        <v/>
      </c>
      <c r="N1101" s="32" t="str">
        <f>IFERROR(INDEX(Table!I:O,MATCH(K1101,Table!I:I,0),4),"")</f>
        <v/>
      </c>
      <c r="O1101" s="32" t="str">
        <f>IFERROR(INDEX(Table!I:O,MATCH(K1101,Table!I:I,0),5),"")</f>
        <v/>
      </c>
      <c r="P1101" s="32" t="str">
        <f>IFERROR(INDEX(Table!I:O,MATCH(K1101,Table!I:I,0),6),"")</f>
        <v/>
      </c>
      <c r="Q1101" s="89" t="str">
        <f t="shared" si="51"/>
        <v/>
      </c>
      <c r="R1101" s="89" t="str">
        <f t="shared" si="52"/>
        <v/>
      </c>
      <c r="S1101" s="82"/>
      <c r="U1101" s="37" t="e">
        <f t="shared" si="53"/>
        <v>#VALUE!</v>
      </c>
    </row>
    <row r="1102" spans="1:21" x14ac:dyDescent="0.25">
      <c r="A1102" s="31" t="str">
        <f>IF(Table!A1102 = "","",Table!A1102)</f>
        <v/>
      </c>
      <c r="B1102" s="31" t="str">
        <f>IF(Table!B1102 = "","",Table!B1102)</f>
        <v/>
      </c>
      <c r="C1102" s="31" t="str">
        <f>IF(Table!C1102 = "","",Table!C1102)</f>
        <v/>
      </c>
      <c r="D1102" s="32" t="str">
        <f>IF(Table!D1102 = "","",Table!D1102)</f>
        <v/>
      </c>
      <c r="E1102" s="32" t="str">
        <f>IF(Table!E1102 = "","",Table!E1102)</f>
        <v/>
      </c>
      <c r="F1102" s="32" t="str">
        <f>IF(Table!F1102 = "","",Table!F1102)</f>
        <v/>
      </c>
      <c r="G1102" s="91"/>
      <c r="K1102" s="31" t="str">
        <f>IFERROR(VLOOKUP(A1102,Table!$I$4:$O$3000,1,TRUE),"")</f>
        <v/>
      </c>
      <c r="L1102" s="31" t="str">
        <f>IFERROR(INDEX(Table!I:O,MATCH(K1102,Table!I:I,0),2),"")</f>
        <v/>
      </c>
      <c r="M1102" s="31" t="str">
        <f>IFERROR(INDEX(Table!I:O,MATCH(K1102,Table!I:I,0),3),"")</f>
        <v/>
      </c>
      <c r="N1102" s="32" t="str">
        <f>IFERROR(INDEX(Table!I:O,MATCH(K1102,Table!I:I,0),4),"")</f>
        <v/>
      </c>
      <c r="O1102" s="32" t="str">
        <f>IFERROR(INDEX(Table!I:O,MATCH(K1102,Table!I:I,0),5),"")</f>
        <v/>
      </c>
      <c r="P1102" s="32" t="str">
        <f>IFERROR(INDEX(Table!I:O,MATCH(K1102,Table!I:I,0),6),"")</f>
        <v/>
      </c>
      <c r="Q1102" s="89" t="str">
        <f t="shared" si="51"/>
        <v/>
      </c>
      <c r="R1102" s="89" t="str">
        <f t="shared" si="52"/>
        <v/>
      </c>
      <c r="S1102" s="82"/>
      <c r="U1102" s="37" t="e">
        <f t="shared" si="53"/>
        <v>#VALUE!</v>
      </c>
    </row>
    <row r="1103" spans="1:21" x14ac:dyDescent="0.25">
      <c r="A1103" s="31" t="str">
        <f>IF(Table!A1103 = "","",Table!A1103)</f>
        <v/>
      </c>
      <c r="B1103" s="31" t="str">
        <f>IF(Table!B1103 = "","",Table!B1103)</f>
        <v/>
      </c>
      <c r="C1103" s="31" t="str">
        <f>IF(Table!C1103 = "","",Table!C1103)</f>
        <v/>
      </c>
      <c r="D1103" s="32" t="str">
        <f>IF(Table!D1103 = "","",Table!D1103)</f>
        <v/>
      </c>
      <c r="E1103" s="32" t="str">
        <f>IF(Table!E1103 = "","",Table!E1103)</f>
        <v/>
      </c>
      <c r="F1103" s="32" t="str">
        <f>IF(Table!F1103 = "","",Table!F1103)</f>
        <v/>
      </c>
      <c r="G1103" s="91"/>
      <c r="K1103" s="31" t="str">
        <f>IFERROR(VLOOKUP(A1103,Table!$I$4:$O$3000,1,TRUE),"")</f>
        <v/>
      </c>
      <c r="L1103" s="31" t="str">
        <f>IFERROR(INDEX(Table!I:O,MATCH(K1103,Table!I:I,0),2),"")</f>
        <v/>
      </c>
      <c r="M1103" s="31" t="str">
        <f>IFERROR(INDEX(Table!I:O,MATCH(K1103,Table!I:I,0),3),"")</f>
        <v/>
      </c>
      <c r="N1103" s="32" t="str">
        <f>IFERROR(INDEX(Table!I:O,MATCH(K1103,Table!I:I,0),4),"")</f>
        <v/>
      </c>
      <c r="O1103" s="32" t="str">
        <f>IFERROR(INDEX(Table!I:O,MATCH(K1103,Table!I:I,0),5),"")</f>
        <v/>
      </c>
      <c r="P1103" s="32" t="str">
        <f>IFERROR(INDEX(Table!I:O,MATCH(K1103,Table!I:I,0),6),"")</f>
        <v/>
      </c>
      <c r="Q1103" s="89" t="str">
        <f t="shared" si="51"/>
        <v/>
      </c>
      <c r="R1103" s="89" t="str">
        <f t="shared" si="52"/>
        <v/>
      </c>
      <c r="S1103" s="82"/>
      <c r="U1103" s="37" t="e">
        <f t="shared" si="53"/>
        <v>#VALUE!</v>
      </c>
    </row>
    <row r="1104" spans="1:21" x14ac:dyDescent="0.25">
      <c r="A1104" s="31" t="str">
        <f>IF(Table!A1104 = "","",Table!A1104)</f>
        <v/>
      </c>
      <c r="B1104" s="31" t="str">
        <f>IF(Table!B1104 = "","",Table!B1104)</f>
        <v/>
      </c>
      <c r="C1104" s="31" t="str">
        <f>IF(Table!C1104 = "","",Table!C1104)</f>
        <v/>
      </c>
      <c r="D1104" s="32" t="str">
        <f>IF(Table!D1104 = "","",Table!D1104)</f>
        <v/>
      </c>
      <c r="E1104" s="32" t="str">
        <f>IF(Table!E1104 = "","",Table!E1104)</f>
        <v/>
      </c>
      <c r="F1104" s="32" t="str">
        <f>IF(Table!F1104 = "","",Table!F1104)</f>
        <v/>
      </c>
      <c r="G1104" s="91"/>
      <c r="K1104" s="31" t="str">
        <f>IFERROR(VLOOKUP(A1104,Table!$I$4:$O$3000,1,TRUE),"")</f>
        <v/>
      </c>
      <c r="L1104" s="31" t="str">
        <f>IFERROR(INDEX(Table!I:O,MATCH(K1104,Table!I:I,0),2),"")</f>
        <v/>
      </c>
      <c r="M1104" s="31" t="str">
        <f>IFERROR(INDEX(Table!I:O,MATCH(K1104,Table!I:I,0),3),"")</f>
        <v/>
      </c>
      <c r="N1104" s="32" t="str">
        <f>IFERROR(INDEX(Table!I:O,MATCH(K1104,Table!I:I,0),4),"")</f>
        <v/>
      </c>
      <c r="O1104" s="32" t="str">
        <f>IFERROR(INDEX(Table!I:O,MATCH(K1104,Table!I:I,0),5),"")</f>
        <v/>
      </c>
      <c r="P1104" s="32" t="str">
        <f>IFERROR(INDEX(Table!I:O,MATCH(K1104,Table!I:I,0),6),"")</f>
        <v/>
      </c>
      <c r="Q1104" s="89" t="str">
        <f t="shared" si="51"/>
        <v/>
      </c>
      <c r="R1104" s="89" t="str">
        <f t="shared" si="52"/>
        <v/>
      </c>
      <c r="S1104" s="82"/>
      <c r="U1104" s="37" t="e">
        <f t="shared" si="53"/>
        <v>#VALUE!</v>
      </c>
    </row>
    <row r="1105" spans="1:21" x14ac:dyDescent="0.25">
      <c r="A1105" s="31" t="str">
        <f>IF(Table!A1105 = "","",Table!A1105)</f>
        <v/>
      </c>
      <c r="B1105" s="31" t="str">
        <f>IF(Table!B1105 = "","",Table!B1105)</f>
        <v/>
      </c>
      <c r="C1105" s="31" t="str">
        <f>IF(Table!C1105 = "","",Table!C1105)</f>
        <v/>
      </c>
      <c r="D1105" s="32" t="str">
        <f>IF(Table!D1105 = "","",Table!D1105)</f>
        <v/>
      </c>
      <c r="E1105" s="32" t="str">
        <f>IF(Table!E1105 = "","",Table!E1105)</f>
        <v/>
      </c>
      <c r="F1105" s="32" t="str">
        <f>IF(Table!F1105 = "","",Table!F1105)</f>
        <v/>
      </c>
      <c r="G1105" s="91"/>
      <c r="K1105" s="31" t="str">
        <f>IFERROR(VLOOKUP(A1105,Table!$I$4:$O$3000,1,TRUE),"")</f>
        <v/>
      </c>
      <c r="L1105" s="31" t="str">
        <f>IFERROR(INDEX(Table!I:O,MATCH(K1105,Table!I:I,0),2),"")</f>
        <v/>
      </c>
      <c r="M1105" s="31" t="str">
        <f>IFERROR(INDEX(Table!I:O,MATCH(K1105,Table!I:I,0),3),"")</f>
        <v/>
      </c>
      <c r="N1105" s="32" t="str">
        <f>IFERROR(INDEX(Table!I:O,MATCH(K1105,Table!I:I,0),4),"")</f>
        <v/>
      </c>
      <c r="O1105" s="32" t="str">
        <f>IFERROR(INDEX(Table!I:O,MATCH(K1105,Table!I:I,0),5),"")</f>
        <v/>
      </c>
      <c r="P1105" s="32" t="str">
        <f>IFERROR(INDEX(Table!I:O,MATCH(K1105,Table!I:I,0),6),"")</f>
        <v/>
      </c>
      <c r="Q1105" s="89" t="str">
        <f t="shared" si="51"/>
        <v/>
      </c>
      <c r="R1105" s="89" t="str">
        <f t="shared" si="52"/>
        <v/>
      </c>
      <c r="S1105" s="82"/>
      <c r="U1105" s="37" t="e">
        <f t="shared" si="53"/>
        <v>#VALUE!</v>
      </c>
    </row>
    <row r="1106" spans="1:21" x14ac:dyDescent="0.25">
      <c r="A1106" s="31" t="str">
        <f>IF(Table!A1106 = "","",Table!A1106)</f>
        <v/>
      </c>
      <c r="B1106" s="31" t="str">
        <f>IF(Table!B1106 = "","",Table!B1106)</f>
        <v/>
      </c>
      <c r="C1106" s="31" t="str">
        <f>IF(Table!C1106 = "","",Table!C1106)</f>
        <v/>
      </c>
      <c r="D1106" s="32" t="str">
        <f>IF(Table!D1106 = "","",Table!D1106)</f>
        <v/>
      </c>
      <c r="E1106" s="32" t="str">
        <f>IF(Table!E1106 = "","",Table!E1106)</f>
        <v/>
      </c>
      <c r="F1106" s="32" t="str">
        <f>IF(Table!F1106 = "","",Table!F1106)</f>
        <v/>
      </c>
      <c r="G1106" s="91"/>
      <c r="K1106" s="31" t="str">
        <f>IFERROR(VLOOKUP(A1106,Table!$I$4:$O$3000,1,TRUE),"")</f>
        <v/>
      </c>
      <c r="L1106" s="31" t="str">
        <f>IFERROR(INDEX(Table!I:O,MATCH(K1106,Table!I:I,0),2),"")</f>
        <v/>
      </c>
      <c r="M1106" s="31" t="str">
        <f>IFERROR(INDEX(Table!I:O,MATCH(K1106,Table!I:I,0),3),"")</f>
        <v/>
      </c>
      <c r="N1106" s="32" t="str">
        <f>IFERROR(INDEX(Table!I:O,MATCH(K1106,Table!I:I,0),4),"")</f>
        <v/>
      </c>
      <c r="O1106" s="32" t="str">
        <f>IFERROR(INDEX(Table!I:O,MATCH(K1106,Table!I:I,0),5),"")</f>
        <v/>
      </c>
      <c r="P1106" s="32" t="str">
        <f>IFERROR(INDEX(Table!I:O,MATCH(K1106,Table!I:I,0),6),"")</f>
        <v/>
      </c>
      <c r="Q1106" s="89" t="str">
        <f t="shared" si="51"/>
        <v/>
      </c>
      <c r="R1106" s="89" t="str">
        <f t="shared" si="52"/>
        <v/>
      </c>
      <c r="S1106" s="82"/>
      <c r="U1106" s="37" t="e">
        <f t="shared" si="53"/>
        <v>#VALUE!</v>
      </c>
    </row>
    <row r="1107" spans="1:21" x14ac:dyDescent="0.25">
      <c r="A1107" s="31" t="str">
        <f>IF(Table!A1107 = "","",Table!A1107)</f>
        <v/>
      </c>
      <c r="B1107" s="31" t="str">
        <f>IF(Table!B1107 = "","",Table!B1107)</f>
        <v/>
      </c>
      <c r="C1107" s="31" t="str">
        <f>IF(Table!C1107 = "","",Table!C1107)</f>
        <v/>
      </c>
      <c r="D1107" s="32" t="str">
        <f>IF(Table!D1107 = "","",Table!D1107)</f>
        <v/>
      </c>
      <c r="E1107" s="32" t="str">
        <f>IF(Table!E1107 = "","",Table!E1107)</f>
        <v/>
      </c>
      <c r="F1107" s="32" t="str">
        <f>IF(Table!F1107 = "","",Table!F1107)</f>
        <v/>
      </c>
      <c r="G1107" s="91"/>
      <c r="K1107" s="31" t="str">
        <f>IFERROR(VLOOKUP(A1107,Table!$I$4:$O$3000,1,TRUE),"")</f>
        <v/>
      </c>
      <c r="L1107" s="31" t="str">
        <f>IFERROR(INDEX(Table!I:O,MATCH(K1107,Table!I:I,0),2),"")</f>
        <v/>
      </c>
      <c r="M1107" s="31" t="str">
        <f>IFERROR(INDEX(Table!I:O,MATCH(K1107,Table!I:I,0),3),"")</f>
        <v/>
      </c>
      <c r="N1107" s="32" t="str">
        <f>IFERROR(INDEX(Table!I:O,MATCH(K1107,Table!I:I,0),4),"")</f>
        <v/>
      </c>
      <c r="O1107" s="32" t="str">
        <f>IFERROR(INDEX(Table!I:O,MATCH(K1107,Table!I:I,0),5),"")</f>
        <v/>
      </c>
      <c r="P1107" s="32" t="str">
        <f>IFERROR(INDEX(Table!I:O,MATCH(K1107,Table!I:I,0),6),"")</f>
        <v/>
      </c>
      <c r="Q1107" s="89" t="str">
        <f t="shared" si="51"/>
        <v/>
      </c>
      <c r="R1107" s="89" t="str">
        <f t="shared" si="52"/>
        <v/>
      </c>
      <c r="S1107" s="82"/>
      <c r="U1107" s="37" t="e">
        <f t="shared" si="53"/>
        <v>#VALUE!</v>
      </c>
    </row>
    <row r="1108" spans="1:21" x14ac:dyDescent="0.25">
      <c r="A1108" s="31" t="str">
        <f>IF(Table!A1108 = "","",Table!A1108)</f>
        <v/>
      </c>
      <c r="B1108" s="31" t="str">
        <f>IF(Table!B1108 = "","",Table!B1108)</f>
        <v/>
      </c>
      <c r="C1108" s="31" t="str">
        <f>IF(Table!C1108 = "","",Table!C1108)</f>
        <v/>
      </c>
      <c r="D1108" s="32" t="str">
        <f>IF(Table!D1108 = "","",Table!D1108)</f>
        <v/>
      </c>
      <c r="E1108" s="32" t="str">
        <f>IF(Table!E1108 = "","",Table!E1108)</f>
        <v/>
      </c>
      <c r="F1108" s="32" t="str">
        <f>IF(Table!F1108 = "","",Table!F1108)</f>
        <v/>
      </c>
      <c r="G1108" s="91"/>
      <c r="K1108" s="31" t="str">
        <f>IFERROR(VLOOKUP(A1108,Table!$I$4:$O$3000,1,TRUE),"")</f>
        <v/>
      </c>
      <c r="L1108" s="31" t="str">
        <f>IFERROR(INDEX(Table!I:O,MATCH(K1108,Table!I:I,0),2),"")</f>
        <v/>
      </c>
      <c r="M1108" s="31" t="str">
        <f>IFERROR(INDEX(Table!I:O,MATCH(K1108,Table!I:I,0),3),"")</f>
        <v/>
      </c>
      <c r="N1108" s="32" t="str">
        <f>IFERROR(INDEX(Table!I:O,MATCH(K1108,Table!I:I,0),4),"")</f>
        <v/>
      </c>
      <c r="O1108" s="32" t="str">
        <f>IFERROR(INDEX(Table!I:O,MATCH(K1108,Table!I:I,0),5),"")</f>
        <v/>
      </c>
      <c r="P1108" s="32" t="str">
        <f>IFERROR(INDEX(Table!I:O,MATCH(K1108,Table!I:I,0),6),"")</f>
        <v/>
      </c>
      <c r="Q1108" s="89" t="str">
        <f t="shared" si="51"/>
        <v/>
      </c>
      <c r="R1108" s="89" t="str">
        <f t="shared" si="52"/>
        <v/>
      </c>
      <c r="S1108" s="82"/>
      <c r="U1108" s="37" t="e">
        <f t="shared" si="53"/>
        <v>#VALUE!</v>
      </c>
    </row>
    <row r="1109" spans="1:21" x14ac:dyDescent="0.25">
      <c r="A1109" s="31" t="str">
        <f>IF(Table!A1109 = "","",Table!A1109)</f>
        <v/>
      </c>
      <c r="B1109" s="31" t="str">
        <f>IF(Table!B1109 = "","",Table!B1109)</f>
        <v/>
      </c>
      <c r="C1109" s="31" t="str">
        <f>IF(Table!C1109 = "","",Table!C1109)</f>
        <v/>
      </c>
      <c r="D1109" s="32" t="str">
        <f>IF(Table!D1109 = "","",Table!D1109)</f>
        <v/>
      </c>
      <c r="E1109" s="32" t="str">
        <f>IF(Table!E1109 = "","",Table!E1109)</f>
        <v/>
      </c>
      <c r="F1109" s="32" t="str">
        <f>IF(Table!F1109 = "","",Table!F1109)</f>
        <v/>
      </c>
      <c r="G1109" s="91"/>
      <c r="K1109" s="31" t="str">
        <f>IFERROR(VLOOKUP(A1109,Table!$I$4:$O$3000,1,TRUE),"")</f>
        <v/>
      </c>
      <c r="L1109" s="31" t="str">
        <f>IFERROR(INDEX(Table!I:O,MATCH(K1109,Table!I:I,0),2),"")</f>
        <v/>
      </c>
      <c r="M1109" s="31" t="str">
        <f>IFERROR(INDEX(Table!I:O,MATCH(K1109,Table!I:I,0),3),"")</f>
        <v/>
      </c>
      <c r="N1109" s="32" t="str">
        <f>IFERROR(INDEX(Table!I:O,MATCH(K1109,Table!I:I,0),4),"")</f>
        <v/>
      </c>
      <c r="O1109" s="32" t="str">
        <f>IFERROR(INDEX(Table!I:O,MATCH(K1109,Table!I:I,0),5),"")</f>
        <v/>
      </c>
      <c r="P1109" s="32" t="str">
        <f>IFERROR(INDEX(Table!I:O,MATCH(K1109,Table!I:I,0),6),"")</f>
        <v/>
      </c>
      <c r="Q1109" s="89" t="str">
        <f t="shared" si="51"/>
        <v/>
      </c>
      <c r="R1109" s="89" t="str">
        <f t="shared" si="52"/>
        <v/>
      </c>
      <c r="S1109" s="82"/>
      <c r="U1109" s="37" t="e">
        <f t="shared" si="53"/>
        <v>#VALUE!</v>
      </c>
    </row>
    <row r="1110" spans="1:21" x14ac:dyDescent="0.25">
      <c r="A1110" s="31" t="str">
        <f>IF(Table!A1110 = "","",Table!A1110)</f>
        <v/>
      </c>
      <c r="B1110" s="31" t="str">
        <f>IF(Table!B1110 = "","",Table!B1110)</f>
        <v/>
      </c>
      <c r="C1110" s="31" t="str">
        <f>IF(Table!C1110 = "","",Table!C1110)</f>
        <v/>
      </c>
      <c r="D1110" s="32" t="str">
        <f>IF(Table!D1110 = "","",Table!D1110)</f>
        <v/>
      </c>
      <c r="E1110" s="32" t="str">
        <f>IF(Table!E1110 = "","",Table!E1110)</f>
        <v/>
      </c>
      <c r="F1110" s="32" t="str">
        <f>IF(Table!F1110 = "","",Table!F1110)</f>
        <v/>
      </c>
      <c r="G1110" s="91"/>
      <c r="K1110" s="31" t="str">
        <f>IFERROR(VLOOKUP(A1110,Table!$I$4:$O$3000,1,TRUE),"")</f>
        <v/>
      </c>
      <c r="L1110" s="31" t="str">
        <f>IFERROR(INDEX(Table!I:O,MATCH(K1110,Table!I:I,0),2),"")</f>
        <v/>
      </c>
      <c r="M1110" s="31" t="str">
        <f>IFERROR(INDEX(Table!I:O,MATCH(K1110,Table!I:I,0),3),"")</f>
        <v/>
      </c>
      <c r="N1110" s="32" t="str">
        <f>IFERROR(INDEX(Table!I:O,MATCH(K1110,Table!I:I,0),4),"")</f>
        <v/>
      </c>
      <c r="O1110" s="32" t="str">
        <f>IFERROR(INDEX(Table!I:O,MATCH(K1110,Table!I:I,0),5),"")</f>
        <v/>
      </c>
      <c r="P1110" s="32" t="str">
        <f>IFERROR(INDEX(Table!I:O,MATCH(K1110,Table!I:I,0),6),"")</f>
        <v/>
      </c>
      <c r="Q1110" s="89" t="str">
        <f t="shared" si="51"/>
        <v/>
      </c>
      <c r="R1110" s="89" t="str">
        <f t="shared" si="52"/>
        <v/>
      </c>
      <c r="S1110" s="82"/>
      <c r="U1110" s="37" t="e">
        <f t="shared" si="53"/>
        <v>#VALUE!</v>
      </c>
    </row>
    <row r="1111" spans="1:21" x14ac:dyDescent="0.25">
      <c r="A1111" s="31" t="str">
        <f>IF(Table!A1111 = "","",Table!A1111)</f>
        <v/>
      </c>
      <c r="B1111" s="31" t="str">
        <f>IF(Table!B1111 = "","",Table!B1111)</f>
        <v/>
      </c>
      <c r="C1111" s="31" t="str">
        <f>IF(Table!C1111 = "","",Table!C1111)</f>
        <v/>
      </c>
      <c r="D1111" s="32" t="str">
        <f>IF(Table!D1111 = "","",Table!D1111)</f>
        <v/>
      </c>
      <c r="E1111" s="32" t="str">
        <f>IF(Table!E1111 = "","",Table!E1111)</f>
        <v/>
      </c>
      <c r="F1111" s="32" t="str">
        <f>IF(Table!F1111 = "","",Table!F1111)</f>
        <v/>
      </c>
      <c r="G1111" s="91"/>
      <c r="K1111" s="31" t="str">
        <f>IFERROR(VLOOKUP(A1111,Table!$I$4:$O$3000,1,TRUE),"")</f>
        <v/>
      </c>
      <c r="L1111" s="31" t="str">
        <f>IFERROR(INDEX(Table!I:O,MATCH(K1111,Table!I:I,0),2),"")</f>
        <v/>
      </c>
      <c r="M1111" s="31" t="str">
        <f>IFERROR(INDEX(Table!I:O,MATCH(K1111,Table!I:I,0),3),"")</f>
        <v/>
      </c>
      <c r="N1111" s="32" t="str">
        <f>IFERROR(INDEX(Table!I:O,MATCH(K1111,Table!I:I,0),4),"")</f>
        <v/>
      </c>
      <c r="O1111" s="32" t="str">
        <f>IFERROR(INDEX(Table!I:O,MATCH(K1111,Table!I:I,0),5),"")</f>
        <v/>
      </c>
      <c r="P1111" s="32" t="str">
        <f>IFERROR(INDEX(Table!I:O,MATCH(K1111,Table!I:I,0),6),"")</f>
        <v/>
      </c>
      <c r="Q1111" s="89" t="str">
        <f t="shared" si="51"/>
        <v/>
      </c>
      <c r="R1111" s="89" t="str">
        <f t="shared" si="52"/>
        <v/>
      </c>
      <c r="S1111" s="82"/>
      <c r="U1111" s="37" t="e">
        <f t="shared" si="53"/>
        <v>#VALUE!</v>
      </c>
    </row>
    <row r="1112" spans="1:21" x14ac:dyDescent="0.25">
      <c r="A1112" s="31" t="str">
        <f>IF(Table!A1112 = "","",Table!A1112)</f>
        <v/>
      </c>
      <c r="B1112" s="31" t="str">
        <f>IF(Table!B1112 = "","",Table!B1112)</f>
        <v/>
      </c>
      <c r="C1112" s="31" t="str">
        <f>IF(Table!C1112 = "","",Table!C1112)</f>
        <v/>
      </c>
      <c r="D1112" s="32" t="str">
        <f>IF(Table!D1112 = "","",Table!D1112)</f>
        <v/>
      </c>
      <c r="E1112" s="32" t="str">
        <f>IF(Table!E1112 = "","",Table!E1112)</f>
        <v/>
      </c>
      <c r="F1112" s="32" t="str">
        <f>IF(Table!F1112 = "","",Table!F1112)</f>
        <v/>
      </c>
      <c r="G1112" s="91"/>
      <c r="K1112" s="31" t="str">
        <f>IFERROR(VLOOKUP(A1112,Table!$I$4:$O$3000,1,TRUE),"")</f>
        <v/>
      </c>
      <c r="L1112" s="31" t="str">
        <f>IFERROR(INDEX(Table!I:O,MATCH(K1112,Table!I:I,0),2),"")</f>
        <v/>
      </c>
      <c r="M1112" s="31" t="str">
        <f>IFERROR(INDEX(Table!I:O,MATCH(K1112,Table!I:I,0),3),"")</f>
        <v/>
      </c>
      <c r="N1112" s="32" t="str">
        <f>IFERROR(INDEX(Table!I:O,MATCH(K1112,Table!I:I,0),4),"")</f>
        <v/>
      </c>
      <c r="O1112" s="32" t="str">
        <f>IFERROR(INDEX(Table!I:O,MATCH(K1112,Table!I:I,0),5),"")</f>
        <v/>
      </c>
      <c r="P1112" s="32" t="str">
        <f>IFERROR(INDEX(Table!I:O,MATCH(K1112,Table!I:I,0),6),"")</f>
        <v/>
      </c>
      <c r="Q1112" s="89" t="str">
        <f t="shared" si="51"/>
        <v/>
      </c>
      <c r="R1112" s="89" t="str">
        <f t="shared" si="52"/>
        <v/>
      </c>
      <c r="S1112" s="82"/>
      <c r="U1112" s="37" t="e">
        <f t="shared" si="53"/>
        <v>#VALUE!</v>
      </c>
    </row>
    <row r="1113" spans="1:21" x14ac:dyDescent="0.25">
      <c r="A1113" s="31" t="str">
        <f>IF(Table!A1113 = "","",Table!A1113)</f>
        <v/>
      </c>
      <c r="B1113" s="31" t="str">
        <f>IF(Table!B1113 = "","",Table!B1113)</f>
        <v/>
      </c>
      <c r="C1113" s="31" t="str">
        <f>IF(Table!C1113 = "","",Table!C1113)</f>
        <v/>
      </c>
      <c r="D1113" s="32" t="str">
        <f>IF(Table!D1113 = "","",Table!D1113)</f>
        <v/>
      </c>
      <c r="E1113" s="32" t="str">
        <f>IF(Table!E1113 = "","",Table!E1113)</f>
        <v/>
      </c>
      <c r="F1113" s="32" t="str">
        <f>IF(Table!F1113 = "","",Table!F1113)</f>
        <v/>
      </c>
      <c r="G1113" s="91"/>
      <c r="K1113" s="31" t="str">
        <f>IFERROR(VLOOKUP(A1113,Table!$I$4:$O$3000,1,TRUE),"")</f>
        <v/>
      </c>
      <c r="L1113" s="31" t="str">
        <f>IFERROR(INDEX(Table!I:O,MATCH(K1113,Table!I:I,0),2),"")</f>
        <v/>
      </c>
      <c r="M1113" s="31" t="str">
        <f>IFERROR(INDEX(Table!I:O,MATCH(K1113,Table!I:I,0),3),"")</f>
        <v/>
      </c>
      <c r="N1113" s="32" t="str">
        <f>IFERROR(INDEX(Table!I:O,MATCH(K1113,Table!I:I,0),4),"")</f>
        <v/>
      </c>
      <c r="O1113" s="32" t="str">
        <f>IFERROR(INDEX(Table!I:O,MATCH(K1113,Table!I:I,0),5),"")</f>
        <v/>
      </c>
      <c r="P1113" s="32" t="str">
        <f>IFERROR(INDEX(Table!I:O,MATCH(K1113,Table!I:I,0),6),"")</f>
        <v/>
      </c>
      <c r="Q1113" s="89" t="str">
        <f t="shared" si="51"/>
        <v/>
      </c>
      <c r="R1113" s="89" t="str">
        <f t="shared" si="52"/>
        <v/>
      </c>
      <c r="S1113" s="82"/>
      <c r="U1113" s="37" t="e">
        <f t="shared" si="53"/>
        <v>#VALUE!</v>
      </c>
    </row>
    <row r="1114" spans="1:21" x14ac:dyDescent="0.25">
      <c r="A1114" s="31" t="str">
        <f>IF(Table!A1114 = "","",Table!A1114)</f>
        <v/>
      </c>
      <c r="B1114" s="31" t="str">
        <f>IF(Table!B1114 = "","",Table!B1114)</f>
        <v/>
      </c>
      <c r="C1114" s="31" t="str">
        <f>IF(Table!C1114 = "","",Table!C1114)</f>
        <v/>
      </c>
      <c r="D1114" s="32" t="str">
        <f>IF(Table!D1114 = "","",Table!D1114)</f>
        <v/>
      </c>
      <c r="E1114" s="32" t="str">
        <f>IF(Table!E1114 = "","",Table!E1114)</f>
        <v/>
      </c>
      <c r="F1114" s="32" t="str">
        <f>IF(Table!F1114 = "","",Table!F1114)</f>
        <v/>
      </c>
      <c r="G1114" s="91"/>
      <c r="K1114" s="31" t="str">
        <f>IFERROR(VLOOKUP(A1114,Table!$I$4:$O$3000,1,TRUE),"")</f>
        <v/>
      </c>
      <c r="L1114" s="31" t="str">
        <f>IFERROR(INDEX(Table!I:O,MATCH(K1114,Table!I:I,0),2),"")</f>
        <v/>
      </c>
      <c r="M1114" s="31" t="str">
        <f>IFERROR(INDEX(Table!I:O,MATCH(K1114,Table!I:I,0),3),"")</f>
        <v/>
      </c>
      <c r="N1114" s="32" t="str">
        <f>IFERROR(INDEX(Table!I:O,MATCH(K1114,Table!I:I,0),4),"")</f>
        <v/>
      </c>
      <c r="O1114" s="32" t="str">
        <f>IFERROR(INDEX(Table!I:O,MATCH(K1114,Table!I:I,0),5),"")</f>
        <v/>
      </c>
      <c r="P1114" s="32" t="str">
        <f>IFERROR(INDEX(Table!I:O,MATCH(K1114,Table!I:I,0),6),"")</f>
        <v/>
      </c>
      <c r="Q1114" s="89" t="str">
        <f t="shared" si="51"/>
        <v/>
      </c>
      <c r="R1114" s="89" t="str">
        <f t="shared" si="52"/>
        <v/>
      </c>
      <c r="S1114" s="82"/>
      <c r="U1114" s="37" t="e">
        <f t="shared" si="53"/>
        <v>#VALUE!</v>
      </c>
    </row>
    <row r="1115" spans="1:21" x14ac:dyDescent="0.25">
      <c r="A1115" s="31" t="str">
        <f>IF(Table!A1115 = "","",Table!A1115)</f>
        <v/>
      </c>
      <c r="B1115" s="31" t="str">
        <f>IF(Table!B1115 = "","",Table!B1115)</f>
        <v/>
      </c>
      <c r="C1115" s="31" t="str">
        <f>IF(Table!C1115 = "","",Table!C1115)</f>
        <v/>
      </c>
      <c r="D1115" s="32" t="str">
        <f>IF(Table!D1115 = "","",Table!D1115)</f>
        <v/>
      </c>
      <c r="E1115" s="32" t="str">
        <f>IF(Table!E1115 = "","",Table!E1115)</f>
        <v/>
      </c>
      <c r="F1115" s="32" t="str">
        <f>IF(Table!F1115 = "","",Table!F1115)</f>
        <v/>
      </c>
      <c r="G1115" s="91"/>
      <c r="K1115" s="31" t="str">
        <f>IFERROR(VLOOKUP(A1115,Table!$I$4:$O$3000,1,TRUE),"")</f>
        <v/>
      </c>
      <c r="L1115" s="31" t="str">
        <f>IFERROR(INDEX(Table!I:O,MATCH(K1115,Table!I:I,0),2),"")</f>
        <v/>
      </c>
      <c r="M1115" s="31" t="str">
        <f>IFERROR(INDEX(Table!I:O,MATCH(K1115,Table!I:I,0),3),"")</f>
        <v/>
      </c>
      <c r="N1115" s="32" t="str">
        <f>IFERROR(INDEX(Table!I:O,MATCH(K1115,Table!I:I,0),4),"")</f>
        <v/>
      </c>
      <c r="O1115" s="32" t="str">
        <f>IFERROR(INDEX(Table!I:O,MATCH(K1115,Table!I:I,0),5),"")</f>
        <v/>
      </c>
      <c r="P1115" s="32" t="str">
        <f>IFERROR(INDEX(Table!I:O,MATCH(K1115,Table!I:I,0),6),"")</f>
        <v/>
      </c>
      <c r="Q1115" s="89" t="str">
        <f t="shared" si="51"/>
        <v/>
      </c>
      <c r="R1115" s="89" t="str">
        <f t="shared" si="52"/>
        <v/>
      </c>
      <c r="S1115" s="82"/>
      <c r="U1115" s="37" t="e">
        <f t="shared" si="53"/>
        <v>#VALUE!</v>
      </c>
    </row>
    <row r="1116" spans="1:21" x14ac:dyDescent="0.25">
      <c r="A1116" s="31" t="str">
        <f>IF(Table!A1116 = "","",Table!A1116)</f>
        <v/>
      </c>
      <c r="B1116" s="31" t="str">
        <f>IF(Table!B1116 = "","",Table!B1116)</f>
        <v/>
      </c>
      <c r="C1116" s="31" t="str">
        <f>IF(Table!C1116 = "","",Table!C1116)</f>
        <v/>
      </c>
      <c r="D1116" s="32" t="str">
        <f>IF(Table!D1116 = "","",Table!D1116)</f>
        <v/>
      </c>
      <c r="E1116" s="32" t="str">
        <f>IF(Table!E1116 = "","",Table!E1116)</f>
        <v/>
      </c>
      <c r="F1116" s="32" t="str">
        <f>IF(Table!F1116 = "","",Table!F1116)</f>
        <v/>
      </c>
      <c r="G1116" s="91"/>
      <c r="K1116" s="31" t="str">
        <f>IFERROR(VLOOKUP(A1116,Table!$I$4:$O$3000,1,TRUE),"")</f>
        <v/>
      </c>
      <c r="L1116" s="31" t="str">
        <f>IFERROR(INDEX(Table!I:O,MATCH(K1116,Table!I:I,0),2),"")</f>
        <v/>
      </c>
      <c r="M1116" s="31" t="str">
        <f>IFERROR(INDEX(Table!I:O,MATCH(K1116,Table!I:I,0),3),"")</f>
        <v/>
      </c>
      <c r="N1116" s="32" t="str">
        <f>IFERROR(INDEX(Table!I:O,MATCH(K1116,Table!I:I,0),4),"")</f>
        <v/>
      </c>
      <c r="O1116" s="32" t="str">
        <f>IFERROR(INDEX(Table!I:O,MATCH(K1116,Table!I:I,0),5),"")</f>
        <v/>
      </c>
      <c r="P1116" s="32" t="str">
        <f>IFERROR(INDEX(Table!I:O,MATCH(K1116,Table!I:I,0),6),"")</f>
        <v/>
      </c>
      <c r="Q1116" s="89" t="str">
        <f t="shared" si="51"/>
        <v/>
      </c>
      <c r="R1116" s="89" t="str">
        <f t="shared" si="52"/>
        <v/>
      </c>
      <c r="S1116" s="82"/>
      <c r="U1116" s="37" t="e">
        <f t="shared" si="53"/>
        <v>#VALUE!</v>
      </c>
    </row>
    <row r="1117" spans="1:21" x14ac:dyDescent="0.25">
      <c r="A1117" s="31" t="str">
        <f>IF(Table!A1117 = "","",Table!A1117)</f>
        <v/>
      </c>
      <c r="B1117" s="31" t="str">
        <f>IF(Table!B1117 = "","",Table!B1117)</f>
        <v/>
      </c>
      <c r="C1117" s="31" t="str">
        <f>IF(Table!C1117 = "","",Table!C1117)</f>
        <v/>
      </c>
      <c r="D1117" s="32" t="str">
        <f>IF(Table!D1117 = "","",Table!D1117)</f>
        <v/>
      </c>
      <c r="E1117" s="32" t="str">
        <f>IF(Table!E1117 = "","",Table!E1117)</f>
        <v/>
      </c>
      <c r="F1117" s="32" t="str">
        <f>IF(Table!F1117 = "","",Table!F1117)</f>
        <v/>
      </c>
      <c r="G1117" s="91"/>
      <c r="K1117" s="31" t="str">
        <f>IFERROR(VLOOKUP(A1117,Table!$I$4:$O$3000,1,TRUE),"")</f>
        <v/>
      </c>
      <c r="L1117" s="31" t="str">
        <f>IFERROR(INDEX(Table!I:O,MATCH(K1117,Table!I:I,0),2),"")</f>
        <v/>
      </c>
      <c r="M1117" s="31" t="str">
        <f>IFERROR(INDEX(Table!I:O,MATCH(K1117,Table!I:I,0),3),"")</f>
        <v/>
      </c>
      <c r="N1117" s="32" t="str">
        <f>IFERROR(INDEX(Table!I:O,MATCH(K1117,Table!I:I,0),4),"")</f>
        <v/>
      </c>
      <c r="O1117" s="32" t="str">
        <f>IFERROR(INDEX(Table!I:O,MATCH(K1117,Table!I:I,0),5),"")</f>
        <v/>
      </c>
      <c r="P1117" s="32" t="str">
        <f>IFERROR(INDEX(Table!I:O,MATCH(K1117,Table!I:I,0),6),"")</f>
        <v/>
      </c>
      <c r="Q1117" s="89" t="str">
        <f t="shared" si="51"/>
        <v/>
      </c>
      <c r="R1117" s="89" t="str">
        <f t="shared" si="52"/>
        <v/>
      </c>
      <c r="S1117" s="82"/>
      <c r="U1117" s="37" t="e">
        <f t="shared" si="53"/>
        <v>#VALUE!</v>
      </c>
    </row>
    <row r="1118" spans="1:21" x14ac:dyDescent="0.25">
      <c r="A1118" s="31" t="str">
        <f>IF(Table!A1118 = "","",Table!A1118)</f>
        <v/>
      </c>
      <c r="B1118" s="31" t="str">
        <f>IF(Table!B1118 = "","",Table!B1118)</f>
        <v/>
      </c>
      <c r="C1118" s="31" t="str">
        <f>IF(Table!C1118 = "","",Table!C1118)</f>
        <v/>
      </c>
      <c r="D1118" s="32" t="str">
        <f>IF(Table!D1118 = "","",Table!D1118)</f>
        <v/>
      </c>
      <c r="E1118" s="32" t="str">
        <f>IF(Table!E1118 = "","",Table!E1118)</f>
        <v/>
      </c>
      <c r="F1118" s="32" t="str">
        <f>IF(Table!F1118 = "","",Table!F1118)</f>
        <v/>
      </c>
      <c r="G1118" s="91"/>
      <c r="K1118" s="31" t="str">
        <f>IFERROR(VLOOKUP(A1118,Table!$I$4:$O$3000,1,TRUE),"")</f>
        <v/>
      </c>
      <c r="L1118" s="31" t="str">
        <f>IFERROR(INDEX(Table!I:O,MATCH(K1118,Table!I:I,0),2),"")</f>
        <v/>
      </c>
      <c r="M1118" s="31" t="str">
        <f>IFERROR(INDEX(Table!I:O,MATCH(K1118,Table!I:I,0),3),"")</f>
        <v/>
      </c>
      <c r="N1118" s="32" t="str">
        <f>IFERROR(INDEX(Table!I:O,MATCH(K1118,Table!I:I,0),4),"")</f>
        <v/>
      </c>
      <c r="O1118" s="32" t="str">
        <f>IFERROR(INDEX(Table!I:O,MATCH(K1118,Table!I:I,0),5),"")</f>
        <v/>
      </c>
      <c r="P1118" s="32" t="str">
        <f>IFERROR(INDEX(Table!I:O,MATCH(K1118,Table!I:I,0),6),"")</f>
        <v/>
      </c>
      <c r="Q1118" s="89" t="str">
        <f t="shared" si="51"/>
        <v/>
      </c>
      <c r="R1118" s="89" t="str">
        <f t="shared" si="52"/>
        <v/>
      </c>
      <c r="S1118" s="82"/>
      <c r="U1118" s="37" t="e">
        <f t="shared" si="53"/>
        <v>#VALUE!</v>
      </c>
    </row>
    <row r="1119" spans="1:21" x14ac:dyDescent="0.25">
      <c r="A1119" s="31" t="str">
        <f>IF(Table!A1119 = "","",Table!A1119)</f>
        <v/>
      </c>
      <c r="B1119" s="31" t="str">
        <f>IF(Table!B1119 = "","",Table!B1119)</f>
        <v/>
      </c>
      <c r="C1119" s="31" t="str">
        <f>IF(Table!C1119 = "","",Table!C1119)</f>
        <v/>
      </c>
      <c r="D1119" s="32" t="str">
        <f>IF(Table!D1119 = "","",Table!D1119)</f>
        <v/>
      </c>
      <c r="E1119" s="32" t="str">
        <f>IF(Table!E1119 = "","",Table!E1119)</f>
        <v/>
      </c>
      <c r="F1119" s="32" t="str">
        <f>IF(Table!F1119 = "","",Table!F1119)</f>
        <v/>
      </c>
      <c r="G1119" s="91"/>
      <c r="K1119" s="31" t="str">
        <f>IFERROR(VLOOKUP(A1119,Table!$I$4:$O$3000,1,TRUE),"")</f>
        <v/>
      </c>
      <c r="L1119" s="31" t="str">
        <f>IFERROR(INDEX(Table!I:O,MATCH(K1119,Table!I:I,0),2),"")</f>
        <v/>
      </c>
      <c r="M1119" s="31" t="str">
        <f>IFERROR(INDEX(Table!I:O,MATCH(K1119,Table!I:I,0),3),"")</f>
        <v/>
      </c>
      <c r="N1119" s="32" t="str">
        <f>IFERROR(INDEX(Table!I:O,MATCH(K1119,Table!I:I,0),4),"")</f>
        <v/>
      </c>
      <c r="O1119" s="32" t="str">
        <f>IFERROR(INDEX(Table!I:O,MATCH(K1119,Table!I:I,0),5),"")</f>
        <v/>
      </c>
      <c r="P1119" s="32" t="str">
        <f>IFERROR(INDEX(Table!I:O,MATCH(K1119,Table!I:I,0),6),"")</f>
        <v/>
      </c>
      <c r="Q1119" s="89" t="str">
        <f t="shared" si="51"/>
        <v/>
      </c>
      <c r="R1119" s="89" t="str">
        <f t="shared" si="52"/>
        <v/>
      </c>
      <c r="S1119" s="82"/>
      <c r="U1119" s="37" t="e">
        <f t="shared" si="53"/>
        <v>#VALUE!</v>
      </c>
    </row>
    <row r="1120" spans="1:21" x14ac:dyDescent="0.25">
      <c r="A1120" s="31" t="str">
        <f>IF(Table!A1120 = "","",Table!A1120)</f>
        <v/>
      </c>
      <c r="B1120" s="31" t="str">
        <f>IF(Table!B1120 = "","",Table!B1120)</f>
        <v/>
      </c>
      <c r="C1120" s="31" t="str">
        <f>IF(Table!C1120 = "","",Table!C1120)</f>
        <v/>
      </c>
      <c r="D1120" s="32" t="str">
        <f>IF(Table!D1120 = "","",Table!D1120)</f>
        <v/>
      </c>
      <c r="E1120" s="32" t="str">
        <f>IF(Table!E1120 = "","",Table!E1120)</f>
        <v/>
      </c>
      <c r="F1120" s="32" t="str">
        <f>IF(Table!F1120 = "","",Table!F1120)</f>
        <v/>
      </c>
      <c r="G1120" s="91"/>
      <c r="K1120" s="31" t="str">
        <f>IFERROR(VLOOKUP(A1120,Table!$I$4:$O$3000,1,TRUE),"")</f>
        <v/>
      </c>
      <c r="L1120" s="31" t="str">
        <f>IFERROR(INDEX(Table!I:O,MATCH(K1120,Table!I:I,0),2),"")</f>
        <v/>
      </c>
      <c r="M1120" s="31" t="str">
        <f>IFERROR(INDEX(Table!I:O,MATCH(K1120,Table!I:I,0),3),"")</f>
        <v/>
      </c>
      <c r="N1120" s="32" t="str">
        <f>IFERROR(INDEX(Table!I:O,MATCH(K1120,Table!I:I,0),4),"")</f>
        <v/>
      </c>
      <c r="O1120" s="32" t="str">
        <f>IFERROR(INDEX(Table!I:O,MATCH(K1120,Table!I:I,0),5),"")</f>
        <v/>
      </c>
      <c r="P1120" s="32" t="str">
        <f>IFERROR(INDEX(Table!I:O,MATCH(K1120,Table!I:I,0),6),"")</f>
        <v/>
      </c>
      <c r="Q1120" s="89" t="str">
        <f t="shared" si="51"/>
        <v/>
      </c>
      <c r="R1120" s="89" t="str">
        <f t="shared" si="52"/>
        <v/>
      </c>
      <c r="S1120" s="82"/>
      <c r="U1120" s="37" t="e">
        <f t="shared" si="53"/>
        <v>#VALUE!</v>
      </c>
    </row>
    <row r="1121" spans="1:21" x14ac:dyDescent="0.25">
      <c r="A1121" s="31" t="str">
        <f>IF(Table!A1121 = "","",Table!A1121)</f>
        <v/>
      </c>
      <c r="B1121" s="31" t="str">
        <f>IF(Table!B1121 = "","",Table!B1121)</f>
        <v/>
      </c>
      <c r="C1121" s="31" t="str">
        <f>IF(Table!C1121 = "","",Table!C1121)</f>
        <v/>
      </c>
      <c r="D1121" s="32" t="str">
        <f>IF(Table!D1121 = "","",Table!D1121)</f>
        <v/>
      </c>
      <c r="E1121" s="32" t="str">
        <f>IF(Table!E1121 = "","",Table!E1121)</f>
        <v/>
      </c>
      <c r="F1121" s="32" t="str">
        <f>IF(Table!F1121 = "","",Table!F1121)</f>
        <v/>
      </c>
      <c r="G1121" s="91"/>
      <c r="K1121" s="31" t="str">
        <f>IFERROR(VLOOKUP(A1121,Table!$I$4:$O$3000,1,TRUE),"")</f>
        <v/>
      </c>
      <c r="L1121" s="31" t="str">
        <f>IFERROR(INDEX(Table!I:O,MATCH(K1121,Table!I:I,0),2),"")</f>
        <v/>
      </c>
      <c r="M1121" s="31" t="str">
        <f>IFERROR(INDEX(Table!I:O,MATCH(K1121,Table!I:I,0),3),"")</f>
        <v/>
      </c>
      <c r="N1121" s="32" t="str">
        <f>IFERROR(INDEX(Table!I:O,MATCH(K1121,Table!I:I,0),4),"")</f>
        <v/>
      </c>
      <c r="O1121" s="32" t="str">
        <f>IFERROR(INDEX(Table!I:O,MATCH(K1121,Table!I:I,0),5),"")</f>
        <v/>
      </c>
      <c r="P1121" s="32" t="str">
        <f>IFERROR(INDEX(Table!I:O,MATCH(K1121,Table!I:I,0),6),"")</f>
        <v/>
      </c>
      <c r="Q1121" s="89" t="str">
        <f t="shared" si="51"/>
        <v/>
      </c>
      <c r="R1121" s="89" t="str">
        <f t="shared" si="52"/>
        <v/>
      </c>
      <c r="S1121" s="82"/>
      <c r="U1121" s="37" t="e">
        <f t="shared" si="53"/>
        <v>#VALUE!</v>
      </c>
    </row>
    <row r="1122" spans="1:21" x14ac:dyDescent="0.25">
      <c r="A1122" s="31" t="str">
        <f>IF(Table!A1122 = "","",Table!A1122)</f>
        <v/>
      </c>
      <c r="B1122" s="31" t="str">
        <f>IF(Table!B1122 = "","",Table!B1122)</f>
        <v/>
      </c>
      <c r="C1122" s="31" t="str">
        <f>IF(Table!C1122 = "","",Table!C1122)</f>
        <v/>
      </c>
      <c r="D1122" s="32" t="str">
        <f>IF(Table!D1122 = "","",Table!D1122)</f>
        <v/>
      </c>
      <c r="E1122" s="32" t="str">
        <f>IF(Table!E1122 = "","",Table!E1122)</f>
        <v/>
      </c>
      <c r="F1122" s="32" t="str">
        <f>IF(Table!F1122 = "","",Table!F1122)</f>
        <v/>
      </c>
      <c r="G1122" s="91"/>
      <c r="K1122" s="31" t="str">
        <f>IFERROR(VLOOKUP(A1122,Table!$I$4:$O$3000,1,TRUE),"")</f>
        <v/>
      </c>
      <c r="L1122" s="31" t="str">
        <f>IFERROR(INDEX(Table!I:O,MATCH(K1122,Table!I:I,0),2),"")</f>
        <v/>
      </c>
      <c r="M1122" s="31" t="str">
        <f>IFERROR(INDEX(Table!I:O,MATCH(K1122,Table!I:I,0),3),"")</f>
        <v/>
      </c>
      <c r="N1122" s="32" t="str">
        <f>IFERROR(INDEX(Table!I:O,MATCH(K1122,Table!I:I,0),4),"")</f>
        <v/>
      </c>
      <c r="O1122" s="32" t="str">
        <f>IFERROR(INDEX(Table!I:O,MATCH(K1122,Table!I:I,0),5),"")</f>
        <v/>
      </c>
      <c r="P1122" s="32" t="str">
        <f>IFERROR(INDEX(Table!I:O,MATCH(K1122,Table!I:I,0),6),"")</f>
        <v/>
      </c>
      <c r="Q1122" s="89" t="str">
        <f t="shared" si="51"/>
        <v/>
      </c>
      <c r="R1122" s="89" t="str">
        <f t="shared" si="52"/>
        <v/>
      </c>
      <c r="S1122" s="82"/>
      <c r="U1122" s="37" t="e">
        <f t="shared" si="53"/>
        <v>#VALUE!</v>
      </c>
    </row>
    <row r="1123" spans="1:21" x14ac:dyDescent="0.25">
      <c r="A1123" s="31" t="str">
        <f>IF(Table!A1123 = "","",Table!A1123)</f>
        <v/>
      </c>
      <c r="B1123" s="31" t="str">
        <f>IF(Table!B1123 = "","",Table!B1123)</f>
        <v/>
      </c>
      <c r="C1123" s="31" t="str">
        <f>IF(Table!C1123 = "","",Table!C1123)</f>
        <v/>
      </c>
      <c r="D1123" s="32" t="str">
        <f>IF(Table!D1123 = "","",Table!D1123)</f>
        <v/>
      </c>
      <c r="E1123" s="32" t="str">
        <f>IF(Table!E1123 = "","",Table!E1123)</f>
        <v/>
      </c>
      <c r="F1123" s="32" t="str">
        <f>IF(Table!F1123 = "","",Table!F1123)</f>
        <v/>
      </c>
      <c r="G1123" s="91"/>
      <c r="K1123" s="31" t="str">
        <f>IFERROR(VLOOKUP(A1123,Table!$I$4:$O$3000,1,TRUE),"")</f>
        <v/>
      </c>
      <c r="L1123" s="31" t="str">
        <f>IFERROR(INDEX(Table!I:O,MATCH(K1123,Table!I:I,0),2),"")</f>
        <v/>
      </c>
      <c r="M1123" s="31" t="str">
        <f>IFERROR(INDEX(Table!I:O,MATCH(K1123,Table!I:I,0),3),"")</f>
        <v/>
      </c>
      <c r="N1123" s="32" t="str">
        <f>IFERROR(INDEX(Table!I:O,MATCH(K1123,Table!I:I,0),4),"")</f>
        <v/>
      </c>
      <c r="O1123" s="32" t="str">
        <f>IFERROR(INDEX(Table!I:O,MATCH(K1123,Table!I:I,0),5),"")</f>
        <v/>
      </c>
      <c r="P1123" s="32" t="str">
        <f>IFERROR(INDEX(Table!I:O,MATCH(K1123,Table!I:I,0),6),"")</f>
        <v/>
      </c>
      <c r="Q1123" s="89" t="str">
        <f t="shared" si="51"/>
        <v/>
      </c>
      <c r="R1123" s="89" t="str">
        <f t="shared" si="52"/>
        <v/>
      </c>
      <c r="S1123" s="82"/>
      <c r="U1123" s="37" t="e">
        <f t="shared" si="53"/>
        <v>#VALUE!</v>
      </c>
    </row>
    <row r="1124" spans="1:21" x14ac:dyDescent="0.25">
      <c r="A1124" s="31" t="str">
        <f>IF(Table!A1124 = "","",Table!A1124)</f>
        <v/>
      </c>
      <c r="B1124" s="31" t="str">
        <f>IF(Table!B1124 = "","",Table!B1124)</f>
        <v/>
      </c>
      <c r="C1124" s="31" t="str">
        <f>IF(Table!C1124 = "","",Table!C1124)</f>
        <v/>
      </c>
      <c r="D1124" s="32" t="str">
        <f>IF(Table!D1124 = "","",Table!D1124)</f>
        <v/>
      </c>
      <c r="E1124" s="32" t="str">
        <f>IF(Table!E1124 = "","",Table!E1124)</f>
        <v/>
      </c>
      <c r="F1124" s="32" t="str">
        <f>IF(Table!F1124 = "","",Table!F1124)</f>
        <v/>
      </c>
      <c r="G1124" s="91"/>
      <c r="K1124" s="31" t="str">
        <f>IFERROR(VLOOKUP(A1124,Table!$I$4:$O$3000,1,TRUE),"")</f>
        <v/>
      </c>
      <c r="L1124" s="31" t="str">
        <f>IFERROR(INDEX(Table!I:O,MATCH(K1124,Table!I:I,0),2),"")</f>
        <v/>
      </c>
      <c r="M1124" s="31" t="str">
        <f>IFERROR(INDEX(Table!I:O,MATCH(K1124,Table!I:I,0),3),"")</f>
        <v/>
      </c>
      <c r="N1124" s="32" t="str">
        <f>IFERROR(INDEX(Table!I:O,MATCH(K1124,Table!I:I,0),4),"")</f>
        <v/>
      </c>
      <c r="O1124" s="32" t="str">
        <f>IFERROR(INDEX(Table!I:O,MATCH(K1124,Table!I:I,0),5),"")</f>
        <v/>
      </c>
      <c r="P1124" s="32" t="str">
        <f>IFERROR(INDEX(Table!I:O,MATCH(K1124,Table!I:I,0),6),"")</f>
        <v/>
      </c>
      <c r="Q1124" s="89" t="str">
        <f t="shared" si="51"/>
        <v/>
      </c>
      <c r="R1124" s="89" t="str">
        <f t="shared" si="52"/>
        <v/>
      </c>
      <c r="S1124" s="82"/>
      <c r="U1124" s="37" t="e">
        <f t="shared" si="53"/>
        <v>#VALUE!</v>
      </c>
    </row>
    <row r="1125" spans="1:21" x14ac:dyDescent="0.25">
      <c r="A1125" s="31" t="str">
        <f>IF(Table!A1125 = "","",Table!A1125)</f>
        <v/>
      </c>
      <c r="B1125" s="31" t="str">
        <f>IF(Table!B1125 = "","",Table!B1125)</f>
        <v/>
      </c>
      <c r="C1125" s="31" t="str">
        <f>IF(Table!C1125 = "","",Table!C1125)</f>
        <v/>
      </c>
      <c r="D1125" s="32" t="str">
        <f>IF(Table!D1125 = "","",Table!D1125)</f>
        <v/>
      </c>
      <c r="E1125" s="32" t="str">
        <f>IF(Table!E1125 = "","",Table!E1125)</f>
        <v/>
      </c>
      <c r="F1125" s="32" t="str">
        <f>IF(Table!F1125 = "","",Table!F1125)</f>
        <v/>
      </c>
      <c r="G1125" s="91"/>
      <c r="K1125" s="31" t="str">
        <f>IFERROR(VLOOKUP(A1125,Table!$I$4:$O$3000,1,TRUE),"")</f>
        <v/>
      </c>
      <c r="L1125" s="31" t="str">
        <f>IFERROR(INDEX(Table!I:O,MATCH(K1125,Table!I:I,0),2),"")</f>
        <v/>
      </c>
      <c r="M1125" s="31" t="str">
        <f>IFERROR(INDEX(Table!I:O,MATCH(K1125,Table!I:I,0),3),"")</f>
        <v/>
      </c>
      <c r="N1125" s="32" t="str">
        <f>IFERROR(INDEX(Table!I:O,MATCH(K1125,Table!I:I,0),4),"")</f>
        <v/>
      </c>
      <c r="O1125" s="32" t="str">
        <f>IFERROR(INDEX(Table!I:O,MATCH(K1125,Table!I:I,0),5),"")</f>
        <v/>
      </c>
      <c r="P1125" s="32" t="str">
        <f>IFERROR(INDEX(Table!I:O,MATCH(K1125,Table!I:I,0),6),"")</f>
        <v/>
      </c>
      <c r="Q1125" s="89" t="str">
        <f t="shared" si="51"/>
        <v/>
      </c>
      <c r="R1125" s="89" t="str">
        <f t="shared" si="52"/>
        <v/>
      </c>
      <c r="S1125" s="82"/>
      <c r="U1125" s="37" t="e">
        <f t="shared" si="53"/>
        <v>#VALUE!</v>
      </c>
    </row>
    <row r="1126" spans="1:21" x14ac:dyDescent="0.25">
      <c r="A1126" s="31" t="str">
        <f>IF(Table!A1126 = "","",Table!A1126)</f>
        <v/>
      </c>
      <c r="B1126" s="31" t="str">
        <f>IF(Table!B1126 = "","",Table!B1126)</f>
        <v/>
      </c>
      <c r="C1126" s="31" t="str">
        <f>IF(Table!C1126 = "","",Table!C1126)</f>
        <v/>
      </c>
      <c r="D1126" s="32" t="str">
        <f>IF(Table!D1126 = "","",Table!D1126)</f>
        <v/>
      </c>
      <c r="E1126" s="32" t="str">
        <f>IF(Table!E1126 = "","",Table!E1126)</f>
        <v/>
      </c>
      <c r="F1126" s="32" t="str">
        <f>IF(Table!F1126 = "","",Table!F1126)</f>
        <v/>
      </c>
      <c r="G1126" s="91"/>
      <c r="K1126" s="31" t="str">
        <f>IFERROR(VLOOKUP(A1126,Table!$I$4:$O$3000,1,TRUE),"")</f>
        <v/>
      </c>
      <c r="L1126" s="31" t="str">
        <f>IFERROR(INDEX(Table!I:O,MATCH(K1126,Table!I:I,0),2),"")</f>
        <v/>
      </c>
      <c r="M1126" s="31" t="str">
        <f>IFERROR(INDEX(Table!I:O,MATCH(K1126,Table!I:I,0),3),"")</f>
        <v/>
      </c>
      <c r="N1126" s="32" t="str">
        <f>IFERROR(INDEX(Table!I:O,MATCH(K1126,Table!I:I,0),4),"")</f>
        <v/>
      </c>
      <c r="O1126" s="32" t="str">
        <f>IFERROR(INDEX(Table!I:O,MATCH(K1126,Table!I:I,0),5),"")</f>
        <v/>
      </c>
      <c r="P1126" s="32" t="str">
        <f>IFERROR(INDEX(Table!I:O,MATCH(K1126,Table!I:I,0),6),"")</f>
        <v/>
      </c>
      <c r="Q1126" s="89" t="str">
        <f t="shared" si="51"/>
        <v/>
      </c>
      <c r="R1126" s="89" t="str">
        <f t="shared" si="52"/>
        <v/>
      </c>
      <c r="S1126" s="82"/>
      <c r="U1126" s="37" t="e">
        <f t="shared" si="53"/>
        <v>#VALUE!</v>
      </c>
    </row>
    <row r="1127" spans="1:21" x14ac:dyDescent="0.25">
      <c r="A1127" s="31" t="str">
        <f>IF(Table!A1127 = "","",Table!A1127)</f>
        <v/>
      </c>
      <c r="B1127" s="31" t="str">
        <f>IF(Table!B1127 = "","",Table!B1127)</f>
        <v/>
      </c>
      <c r="C1127" s="31" t="str">
        <f>IF(Table!C1127 = "","",Table!C1127)</f>
        <v/>
      </c>
      <c r="D1127" s="32" t="str">
        <f>IF(Table!D1127 = "","",Table!D1127)</f>
        <v/>
      </c>
      <c r="E1127" s="32" t="str">
        <f>IF(Table!E1127 = "","",Table!E1127)</f>
        <v/>
      </c>
      <c r="F1127" s="32" t="str">
        <f>IF(Table!F1127 = "","",Table!F1127)</f>
        <v/>
      </c>
      <c r="G1127" s="91"/>
      <c r="K1127" s="31" t="str">
        <f>IFERROR(VLOOKUP(A1127,Table!$I$4:$O$3000,1,TRUE),"")</f>
        <v/>
      </c>
      <c r="L1127" s="31" t="str">
        <f>IFERROR(INDEX(Table!I:O,MATCH(K1127,Table!I:I,0),2),"")</f>
        <v/>
      </c>
      <c r="M1127" s="31" t="str">
        <f>IFERROR(INDEX(Table!I:O,MATCH(K1127,Table!I:I,0),3),"")</f>
        <v/>
      </c>
      <c r="N1127" s="32" t="str">
        <f>IFERROR(INDEX(Table!I:O,MATCH(K1127,Table!I:I,0),4),"")</f>
        <v/>
      </c>
      <c r="O1127" s="32" t="str">
        <f>IFERROR(INDEX(Table!I:O,MATCH(K1127,Table!I:I,0),5),"")</f>
        <v/>
      </c>
      <c r="P1127" s="32" t="str">
        <f>IFERROR(INDEX(Table!I:O,MATCH(K1127,Table!I:I,0),6),"")</f>
        <v/>
      </c>
      <c r="Q1127" s="89" t="str">
        <f t="shared" si="51"/>
        <v/>
      </c>
      <c r="R1127" s="89" t="str">
        <f t="shared" si="52"/>
        <v/>
      </c>
      <c r="S1127" s="82"/>
      <c r="U1127" s="37" t="e">
        <f t="shared" si="53"/>
        <v>#VALUE!</v>
      </c>
    </row>
    <row r="1128" spans="1:21" x14ac:dyDescent="0.25">
      <c r="A1128" s="31" t="str">
        <f>IF(Table!A1128 = "","",Table!A1128)</f>
        <v/>
      </c>
      <c r="B1128" s="31" t="str">
        <f>IF(Table!B1128 = "","",Table!B1128)</f>
        <v/>
      </c>
      <c r="C1128" s="31" t="str">
        <f>IF(Table!C1128 = "","",Table!C1128)</f>
        <v/>
      </c>
      <c r="D1128" s="32" t="str">
        <f>IF(Table!D1128 = "","",Table!D1128)</f>
        <v/>
      </c>
      <c r="E1128" s="32" t="str">
        <f>IF(Table!E1128 = "","",Table!E1128)</f>
        <v/>
      </c>
      <c r="F1128" s="32" t="str">
        <f>IF(Table!F1128 = "","",Table!F1128)</f>
        <v/>
      </c>
      <c r="G1128" s="91"/>
      <c r="K1128" s="31" t="str">
        <f>IFERROR(VLOOKUP(A1128,Table!$I$4:$O$3000,1,TRUE),"")</f>
        <v/>
      </c>
      <c r="L1128" s="31" t="str">
        <f>IFERROR(INDEX(Table!I:O,MATCH(K1128,Table!I:I,0),2),"")</f>
        <v/>
      </c>
      <c r="M1128" s="31" t="str">
        <f>IFERROR(INDEX(Table!I:O,MATCH(K1128,Table!I:I,0),3),"")</f>
        <v/>
      </c>
      <c r="N1128" s="32" t="str">
        <f>IFERROR(INDEX(Table!I:O,MATCH(K1128,Table!I:I,0),4),"")</f>
        <v/>
      </c>
      <c r="O1128" s="32" t="str">
        <f>IFERROR(INDEX(Table!I:O,MATCH(K1128,Table!I:I,0),5),"")</f>
        <v/>
      </c>
      <c r="P1128" s="32" t="str">
        <f>IFERROR(INDEX(Table!I:O,MATCH(K1128,Table!I:I,0),6),"")</f>
        <v/>
      </c>
      <c r="Q1128" s="89" t="str">
        <f t="shared" si="51"/>
        <v/>
      </c>
      <c r="R1128" s="89" t="str">
        <f t="shared" si="52"/>
        <v/>
      </c>
      <c r="S1128" s="82"/>
      <c r="U1128" s="37" t="e">
        <f t="shared" si="53"/>
        <v>#VALUE!</v>
      </c>
    </row>
    <row r="1129" spans="1:21" x14ac:dyDescent="0.25">
      <c r="A1129" s="31" t="str">
        <f>IF(Table!A1129 = "","",Table!A1129)</f>
        <v/>
      </c>
      <c r="B1129" s="31" t="str">
        <f>IF(Table!B1129 = "","",Table!B1129)</f>
        <v/>
      </c>
      <c r="C1129" s="31" t="str">
        <f>IF(Table!C1129 = "","",Table!C1129)</f>
        <v/>
      </c>
      <c r="D1129" s="32" t="str">
        <f>IF(Table!D1129 = "","",Table!D1129)</f>
        <v/>
      </c>
      <c r="E1129" s="32" t="str">
        <f>IF(Table!E1129 = "","",Table!E1129)</f>
        <v/>
      </c>
      <c r="F1129" s="32" t="str">
        <f>IF(Table!F1129 = "","",Table!F1129)</f>
        <v/>
      </c>
      <c r="G1129" s="91"/>
      <c r="K1129" s="31" t="str">
        <f>IFERROR(VLOOKUP(A1129,Table!$I$4:$O$3000,1,TRUE),"")</f>
        <v/>
      </c>
      <c r="L1129" s="31" t="str">
        <f>IFERROR(INDEX(Table!I:O,MATCH(K1129,Table!I:I,0),2),"")</f>
        <v/>
      </c>
      <c r="M1129" s="31" t="str">
        <f>IFERROR(INDEX(Table!I:O,MATCH(K1129,Table!I:I,0),3),"")</f>
        <v/>
      </c>
      <c r="N1129" s="32" t="str">
        <f>IFERROR(INDEX(Table!I:O,MATCH(K1129,Table!I:I,0),4),"")</f>
        <v/>
      </c>
      <c r="O1129" s="32" t="str">
        <f>IFERROR(INDEX(Table!I:O,MATCH(K1129,Table!I:I,0),5),"")</f>
        <v/>
      </c>
      <c r="P1129" s="32" t="str">
        <f>IFERROR(INDEX(Table!I:O,MATCH(K1129,Table!I:I,0),6),"")</f>
        <v/>
      </c>
      <c r="Q1129" s="89" t="str">
        <f t="shared" si="51"/>
        <v/>
      </c>
      <c r="R1129" s="89" t="str">
        <f t="shared" si="52"/>
        <v/>
      </c>
      <c r="S1129" s="82"/>
      <c r="U1129" s="37" t="e">
        <f t="shared" si="53"/>
        <v>#VALUE!</v>
      </c>
    </row>
    <row r="1130" spans="1:21" x14ac:dyDescent="0.25">
      <c r="A1130" s="31" t="str">
        <f>IF(Table!A1130 = "","",Table!A1130)</f>
        <v/>
      </c>
      <c r="B1130" s="31" t="str">
        <f>IF(Table!B1130 = "","",Table!B1130)</f>
        <v/>
      </c>
      <c r="C1130" s="31" t="str">
        <f>IF(Table!C1130 = "","",Table!C1130)</f>
        <v/>
      </c>
      <c r="D1130" s="32" t="str">
        <f>IF(Table!D1130 = "","",Table!D1130)</f>
        <v/>
      </c>
      <c r="E1130" s="32" t="str">
        <f>IF(Table!E1130 = "","",Table!E1130)</f>
        <v/>
      </c>
      <c r="F1130" s="32" t="str">
        <f>IF(Table!F1130 = "","",Table!F1130)</f>
        <v/>
      </c>
      <c r="G1130" s="91"/>
      <c r="K1130" s="31" t="str">
        <f>IFERROR(VLOOKUP(A1130,Table!$I$4:$O$3000,1,TRUE),"")</f>
        <v/>
      </c>
      <c r="L1130" s="31" t="str">
        <f>IFERROR(INDEX(Table!I:O,MATCH(K1130,Table!I:I,0),2),"")</f>
        <v/>
      </c>
      <c r="M1130" s="31" t="str">
        <f>IFERROR(INDEX(Table!I:O,MATCH(K1130,Table!I:I,0),3),"")</f>
        <v/>
      </c>
      <c r="N1130" s="32" t="str">
        <f>IFERROR(INDEX(Table!I:O,MATCH(K1130,Table!I:I,0),4),"")</f>
        <v/>
      </c>
      <c r="O1130" s="32" t="str">
        <f>IFERROR(INDEX(Table!I:O,MATCH(K1130,Table!I:I,0),5),"")</f>
        <v/>
      </c>
      <c r="P1130" s="32" t="str">
        <f>IFERROR(INDEX(Table!I:O,MATCH(K1130,Table!I:I,0),6),"")</f>
        <v/>
      </c>
      <c r="Q1130" s="89" t="str">
        <f t="shared" si="51"/>
        <v/>
      </c>
      <c r="R1130" s="89" t="str">
        <f t="shared" si="52"/>
        <v/>
      </c>
      <c r="S1130" s="82"/>
      <c r="U1130" s="37" t="e">
        <f t="shared" si="53"/>
        <v>#VALUE!</v>
      </c>
    </row>
    <row r="1131" spans="1:21" x14ac:dyDescent="0.25">
      <c r="A1131" s="31" t="str">
        <f>IF(Table!A1131 = "","",Table!A1131)</f>
        <v/>
      </c>
      <c r="B1131" s="31" t="str">
        <f>IF(Table!B1131 = "","",Table!B1131)</f>
        <v/>
      </c>
      <c r="C1131" s="31" t="str">
        <f>IF(Table!C1131 = "","",Table!C1131)</f>
        <v/>
      </c>
      <c r="D1131" s="32" t="str">
        <f>IF(Table!D1131 = "","",Table!D1131)</f>
        <v/>
      </c>
      <c r="E1131" s="32" t="str">
        <f>IF(Table!E1131 = "","",Table!E1131)</f>
        <v/>
      </c>
      <c r="F1131" s="32" t="str">
        <f>IF(Table!F1131 = "","",Table!F1131)</f>
        <v/>
      </c>
      <c r="G1131" s="91"/>
      <c r="K1131" s="31" t="str">
        <f>IFERROR(VLOOKUP(A1131,Table!$I$4:$O$3000,1,TRUE),"")</f>
        <v/>
      </c>
      <c r="L1131" s="31" t="str">
        <f>IFERROR(INDEX(Table!I:O,MATCH(K1131,Table!I:I,0),2),"")</f>
        <v/>
      </c>
      <c r="M1131" s="31" t="str">
        <f>IFERROR(INDEX(Table!I:O,MATCH(K1131,Table!I:I,0),3),"")</f>
        <v/>
      </c>
      <c r="N1131" s="32" t="str">
        <f>IFERROR(INDEX(Table!I:O,MATCH(K1131,Table!I:I,0),4),"")</f>
        <v/>
      </c>
      <c r="O1131" s="32" t="str">
        <f>IFERROR(INDEX(Table!I:O,MATCH(K1131,Table!I:I,0),5),"")</f>
        <v/>
      </c>
      <c r="P1131" s="32" t="str">
        <f>IFERROR(INDEX(Table!I:O,MATCH(K1131,Table!I:I,0),6),"")</f>
        <v/>
      </c>
      <c r="Q1131" s="89" t="str">
        <f t="shared" si="51"/>
        <v/>
      </c>
      <c r="R1131" s="89" t="str">
        <f t="shared" si="52"/>
        <v/>
      </c>
      <c r="S1131" s="82"/>
      <c r="U1131" s="37" t="e">
        <f t="shared" si="53"/>
        <v>#VALUE!</v>
      </c>
    </row>
    <row r="1132" spans="1:21" x14ac:dyDescent="0.25">
      <c r="A1132" s="31" t="str">
        <f>IF(Table!A1132 = "","",Table!A1132)</f>
        <v/>
      </c>
      <c r="B1132" s="31" t="str">
        <f>IF(Table!B1132 = "","",Table!B1132)</f>
        <v/>
      </c>
      <c r="C1132" s="31" t="str">
        <f>IF(Table!C1132 = "","",Table!C1132)</f>
        <v/>
      </c>
      <c r="D1132" s="32" t="str">
        <f>IF(Table!D1132 = "","",Table!D1132)</f>
        <v/>
      </c>
      <c r="E1132" s="32" t="str">
        <f>IF(Table!E1132 = "","",Table!E1132)</f>
        <v/>
      </c>
      <c r="F1132" s="32" t="str">
        <f>IF(Table!F1132 = "","",Table!F1132)</f>
        <v/>
      </c>
      <c r="G1132" s="91"/>
      <c r="K1132" s="31" t="str">
        <f>IFERROR(VLOOKUP(A1132,Table!$I$4:$O$3000,1,TRUE),"")</f>
        <v/>
      </c>
      <c r="L1132" s="31" t="str">
        <f>IFERROR(INDEX(Table!I:O,MATCH(K1132,Table!I:I,0),2),"")</f>
        <v/>
      </c>
      <c r="M1132" s="31" t="str">
        <f>IFERROR(INDEX(Table!I:O,MATCH(K1132,Table!I:I,0),3),"")</f>
        <v/>
      </c>
      <c r="N1132" s="32" t="str">
        <f>IFERROR(INDEX(Table!I:O,MATCH(K1132,Table!I:I,0),4),"")</f>
        <v/>
      </c>
      <c r="O1132" s="32" t="str">
        <f>IFERROR(INDEX(Table!I:O,MATCH(K1132,Table!I:I,0),5),"")</f>
        <v/>
      </c>
      <c r="P1132" s="32" t="str">
        <f>IFERROR(INDEX(Table!I:O,MATCH(K1132,Table!I:I,0),6),"")</f>
        <v/>
      </c>
      <c r="Q1132" s="89" t="str">
        <f t="shared" si="51"/>
        <v/>
      </c>
      <c r="R1132" s="89" t="str">
        <f t="shared" si="52"/>
        <v/>
      </c>
      <c r="S1132" s="82"/>
      <c r="U1132" s="37" t="e">
        <f t="shared" si="53"/>
        <v>#VALUE!</v>
      </c>
    </row>
    <row r="1133" spans="1:21" x14ac:dyDescent="0.25">
      <c r="A1133" s="31" t="str">
        <f>IF(Table!A1133 = "","",Table!A1133)</f>
        <v/>
      </c>
      <c r="B1133" s="31" t="str">
        <f>IF(Table!B1133 = "","",Table!B1133)</f>
        <v/>
      </c>
      <c r="C1133" s="31" t="str">
        <f>IF(Table!C1133 = "","",Table!C1133)</f>
        <v/>
      </c>
      <c r="D1133" s="32" t="str">
        <f>IF(Table!D1133 = "","",Table!D1133)</f>
        <v/>
      </c>
      <c r="E1133" s="32" t="str">
        <f>IF(Table!E1133 = "","",Table!E1133)</f>
        <v/>
      </c>
      <c r="F1133" s="32" t="str">
        <f>IF(Table!F1133 = "","",Table!F1133)</f>
        <v/>
      </c>
      <c r="G1133" s="91"/>
      <c r="K1133" s="31" t="str">
        <f>IFERROR(VLOOKUP(A1133,Table!$I$4:$O$3000,1,TRUE),"")</f>
        <v/>
      </c>
      <c r="L1133" s="31" t="str">
        <f>IFERROR(INDEX(Table!I:O,MATCH(K1133,Table!I:I,0),2),"")</f>
        <v/>
      </c>
      <c r="M1133" s="31" t="str">
        <f>IFERROR(INDEX(Table!I:O,MATCH(K1133,Table!I:I,0),3),"")</f>
        <v/>
      </c>
      <c r="N1133" s="32" t="str">
        <f>IFERROR(INDEX(Table!I:O,MATCH(K1133,Table!I:I,0),4),"")</f>
        <v/>
      </c>
      <c r="O1133" s="32" t="str">
        <f>IFERROR(INDEX(Table!I:O,MATCH(K1133,Table!I:I,0),5),"")</f>
        <v/>
      </c>
      <c r="P1133" s="32" t="str">
        <f>IFERROR(INDEX(Table!I:O,MATCH(K1133,Table!I:I,0),6),"")</f>
        <v/>
      </c>
      <c r="Q1133" s="89" t="str">
        <f t="shared" si="51"/>
        <v/>
      </c>
      <c r="R1133" s="89" t="str">
        <f t="shared" si="52"/>
        <v/>
      </c>
      <c r="S1133" s="82"/>
      <c r="U1133" s="37" t="e">
        <f t="shared" si="53"/>
        <v>#VALUE!</v>
      </c>
    </row>
    <row r="1134" spans="1:21" x14ac:dyDescent="0.25">
      <c r="A1134" s="31" t="str">
        <f>IF(Table!A1134 = "","",Table!A1134)</f>
        <v/>
      </c>
      <c r="B1134" s="31" t="str">
        <f>IF(Table!B1134 = "","",Table!B1134)</f>
        <v/>
      </c>
      <c r="C1134" s="31" t="str">
        <f>IF(Table!C1134 = "","",Table!C1134)</f>
        <v/>
      </c>
      <c r="D1134" s="32" t="str">
        <f>IF(Table!D1134 = "","",Table!D1134)</f>
        <v/>
      </c>
      <c r="E1134" s="32" t="str">
        <f>IF(Table!E1134 = "","",Table!E1134)</f>
        <v/>
      </c>
      <c r="F1134" s="32" t="str">
        <f>IF(Table!F1134 = "","",Table!F1134)</f>
        <v/>
      </c>
      <c r="G1134" s="91"/>
      <c r="K1134" s="31" t="str">
        <f>IFERROR(VLOOKUP(A1134,Table!$I$4:$O$3000,1,TRUE),"")</f>
        <v/>
      </c>
      <c r="L1134" s="31" t="str">
        <f>IFERROR(INDEX(Table!I:O,MATCH(K1134,Table!I:I,0),2),"")</f>
        <v/>
      </c>
      <c r="M1134" s="31" t="str">
        <f>IFERROR(INDEX(Table!I:O,MATCH(K1134,Table!I:I,0),3),"")</f>
        <v/>
      </c>
      <c r="N1134" s="32" t="str">
        <f>IFERROR(INDEX(Table!I:O,MATCH(K1134,Table!I:I,0),4),"")</f>
        <v/>
      </c>
      <c r="O1134" s="32" t="str">
        <f>IFERROR(INDEX(Table!I:O,MATCH(K1134,Table!I:I,0),5),"")</f>
        <v/>
      </c>
      <c r="P1134" s="32" t="str">
        <f>IFERROR(INDEX(Table!I:O,MATCH(K1134,Table!I:I,0),6),"")</f>
        <v/>
      </c>
      <c r="Q1134" s="89" t="str">
        <f t="shared" si="51"/>
        <v/>
      </c>
      <c r="R1134" s="89" t="str">
        <f t="shared" si="52"/>
        <v/>
      </c>
      <c r="S1134" s="82"/>
      <c r="U1134" s="37" t="e">
        <f t="shared" si="53"/>
        <v>#VALUE!</v>
      </c>
    </row>
    <row r="1135" spans="1:21" x14ac:dyDescent="0.25">
      <c r="A1135" s="31" t="str">
        <f>IF(Table!A1135 = "","",Table!A1135)</f>
        <v/>
      </c>
      <c r="B1135" s="31" t="str">
        <f>IF(Table!B1135 = "","",Table!B1135)</f>
        <v/>
      </c>
      <c r="C1135" s="31" t="str">
        <f>IF(Table!C1135 = "","",Table!C1135)</f>
        <v/>
      </c>
      <c r="D1135" s="32" t="str">
        <f>IF(Table!D1135 = "","",Table!D1135)</f>
        <v/>
      </c>
      <c r="E1135" s="32" t="str">
        <f>IF(Table!E1135 = "","",Table!E1135)</f>
        <v/>
      </c>
      <c r="F1135" s="32" t="str">
        <f>IF(Table!F1135 = "","",Table!F1135)</f>
        <v/>
      </c>
      <c r="G1135" s="91"/>
      <c r="K1135" s="31" t="str">
        <f>IFERROR(VLOOKUP(A1135,Table!$I$4:$O$3000,1,TRUE),"")</f>
        <v/>
      </c>
      <c r="L1135" s="31" t="str">
        <f>IFERROR(INDEX(Table!I:O,MATCH(K1135,Table!I:I,0),2),"")</f>
        <v/>
      </c>
      <c r="M1135" s="31" t="str">
        <f>IFERROR(INDEX(Table!I:O,MATCH(K1135,Table!I:I,0),3),"")</f>
        <v/>
      </c>
      <c r="N1135" s="32" t="str">
        <f>IFERROR(INDEX(Table!I:O,MATCH(K1135,Table!I:I,0),4),"")</f>
        <v/>
      </c>
      <c r="O1135" s="32" t="str">
        <f>IFERROR(INDEX(Table!I:O,MATCH(K1135,Table!I:I,0),5),"")</f>
        <v/>
      </c>
      <c r="P1135" s="32" t="str">
        <f>IFERROR(INDEX(Table!I:O,MATCH(K1135,Table!I:I,0),6),"")</f>
        <v/>
      </c>
      <c r="Q1135" s="89" t="str">
        <f t="shared" si="51"/>
        <v/>
      </c>
      <c r="R1135" s="89" t="str">
        <f t="shared" si="52"/>
        <v/>
      </c>
      <c r="S1135" s="82"/>
      <c r="U1135" s="37" t="e">
        <f t="shared" si="53"/>
        <v>#VALUE!</v>
      </c>
    </row>
    <row r="1136" spans="1:21" x14ac:dyDescent="0.25">
      <c r="A1136" s="31" t="str">
        <f>IF(Table!A1136 = "","",Table!A1136)</f>
        <v/>
      </c>
      <c r="B1136" s="31" t="str">
        <f>IF(Table!B1136 = "","",Table!B1136)</f>
        <v/>
      </c>
      <c r="C1136" s="31" t="str">
        <f>IF(Table!C1136 = "","",Table!C1136)</f>
        <v/>
      </c>
      <c r="D1136" s="32" t="str">
        <f>IF(Table!D1136 = "","",Table!D1136)</f>
        <v/>
      </c>
      <c r="E1136" s="32" t="str">
        <f>IF(Table!E1136 = "","",Table!E1136)</f>
        <v/>
      </c>
      <c r="F1136" s="32" t="str">
        <f>IF(Table!F1136 = "","",Table!F1136)</f>
        <v/>
      </c>
      <c r="G1136" s="91"/>
      <c r="K1136" s="31" t="str">
        <f>IFERROR(VLOOKUP(A1136,Table!$I$4:$O$3000,1,TRUE),"")</f>
        <v/>
      </c>
      <c r="L1136" s="31" t="str">
        <f>IFERROR(INDEX(Table!I:O,MATCH(K1136,Table!I:I,0),2),"")</f>
        <v/>
      </c>
      <c r="M1136" s="31" t="str">
        <f>IFERROR(INDEX(Table!I:O,MATCH(K1136,Table!I:I,0),3),"")</f>
        <v/>
      </c>
      <c r="N1136" s="32" t="str">
        <f>IFERROR(INDEX(Table!I:O,MATCH(K1136,Table!I:I,0),4),"")</f>
        <v/>
      </c>
      <c r="O1136" s="32" t="str">
        <f>IFERROR(INDEX(Table!I:O,MATCH(K1136,Table!I:I,0),5),"")</f>
        <v/>
      </c>
      <c r="P1136" s="32" t="str">
        <f>IFERROR(INDEX(Table!I:O,MATCH(K1136,Table!I:I,0),6),"")</f>
        <v/>
      </c>
      <c r="Q1136" s="89" t="str">
        <f t="shared" si="51"/>
        <v/>
      </c>
      <c r="R1136" s="89" t="str">
        <f t="shared" si="52"/>
        <v/>
      </c>
      <c r="S1136" s="82"/>
      <c r="U1136" s="37" t="e">
        <f t="shared" si="53"/>
        <v>#VALUE!</v>
      </c>
    </row>
    <row r="1137" spans="1:21" x14ac:dyDescent="0.25">
      <c r="A1137" s="31" t="str">
        <f>IF(Table!A1137 = "","",Table!A1137)</f>
        <v/>
      </c>
      <c r="B1137" s="31" t="str">
        <f>IF(Table!B1137 = "","",Table!B1137)</f>
        <v/>
      </c>
      <c r="C1137" s="31" t="str">
        <f>IF(Table!C1137 = "","",Table!C1137)</f>
        <v/>
      </c>
      <c r="D1137" s="32" t="str">
        <f>IF(Table!D1137 = "","",Table!D1137)</f>
        <v/>
      </c>
      <c r="E1137" s="32" t="str">
        <f>IF(Table!E1137 = "","",Table!E1137)</f>
        <v/>
      </c>
      <c r="F1137" s="32" t="str">
        <f>IF(Table!F1137 = "","",Table!F1137)</f>
        <v/>
      </c>
      <c r="G1137" s="91"/>
      <c r="K1137" s="31" t="str">
        <f>IFERROR(VLOOKUP(A1137,Table!$I$4:$O$3000,1,TRUE),"")</f>
        <v/>
      </c>
      <c r="L1137" s="31" t="str">
        <f>IFERROR(INDEX(Table!I:O,MATCH(K1137,Table!I:I,0),2),"")</f>
        <v/>
      </c>
      <c r="M1137" s="31" t="str">
        <f>IFERROR(INDEX(Table!I:O,MATCH(K1137,Table!I:I,0),3),"")</f>
        <v/>
      </c>
      <c r="N1137" s="32" t="str">
        <f>IFERROR(INDEX(Table!I:O,MATCH(K1137,Table!I:I,0),4),"")</f>
        <v/>
      </c>
      <c r="O1137" s="32" t="str">
        <f>IFERROR(INDEX(Table!I:O,MATCH(K1137,Table!I:I,0),5),"")</f>
        <v/>
      </c>
      <c r="P1137" s="32" t="str">
        <f>IFERROR(INDEX(Table!I:O,MATCH(K1137,Table!I:I,0),6),"")</f>
        <v/>
      </c>
      <c r="Q1137" s="89" t="str">
        <f t="shared" si="51"/>
        <v/>
      </c>
      <c r="R1137" s="89" t="str">
        <f t="shared" si="52"/>
        <v/>
      </c>
      <c r="S1137" s="82"/>
      <c r="U1137" s="37" t="e">
        <f t="shared" si="53"/>
        <v>#VALUE!</v>
      </c>
    </row>
    <row r="1138" spans="1:21" x14ac:dyDescent="0.25">
      <c r="A1138" s="31" t="str">
        <f>IF(Table!A1138 = "","",Table!A1138)</f>
        <v/>
      </c>
      <c r="B1138" s="31" t="str">
        <f>IF(Table!B1138 = "","",Table!B1138)</f>
        <v/>
      </c>
      <c r="C1138" s="31" t="str">
        <f>IF(Table!C1138 = "","",Table!C1138)</f>
        <v/>
      </c>
      <c r="D1138" s="32" t="str">
        <f>IF(Table!D1138 = "","",Table!D1138)</f>
        <v/>
      </c>
      <c r="E1138" s="32" t="str">
        <f>IF(Table!E1138 = "","",Table!E1138)</f>
        <v/>
      </c>
      <c r="F1138" s="32" t="str">
        <f>IF(Table!F1138 = "","",Table!F1138)</f>
        <v/>
      </c>
      <c r="G1138" s="91"/>
      <c r="K1138" s="31" t="str">
        <f>IFERROR(VLOOKUP(A1138,Table!$I$4:$O$3000,1,TRUE),"")</f>
        <v/>
      </c>
      <c r="L1138" s="31" t="str">
        <f>IFERROR(INDEX(Table!I:O,MATCH(K1138,Table!I:I,0),2),"")</f>
        <v/>
      </c>
      <c r="M1138" s="31" t="str">
        <f>IFERROR(INDEX(Table!I:O,MATCH(K1138,Table!I:I,0),3),"")</f>
        <v/>
      </c>
      <c r="N1138" s="32" t="str">
        <f>IFERROR(INDEX(Table!I:O,MATCH(K1138,Table!I:I,0),4),"")</f>
        <v/>
      </c>
      <c r="O1138" s="32" t="str">
        <f>IFERROR(INDEX(Table!I:O,MATCH(K1138,Table!I:I,0),5),"")</f>
        <v/>
      </c>
      <c r="P1138" s="32" t="str">
        <f>IFERROR(INDEX(Table!I:O,MATCH(K1138,Table!I:I,0),6),"")</f>
        <v/>
      </c>
      <c r="Q1138" s="89" t="str">
        <f t="shared" si="51"/>
        <v/>
      </c>
      <c r="R1138" s="89" t="str">
        <f t="shared" si="52"/>
        <v/>
      </c>
      <c r="S1138" s="82"/>
      <c r="U1138" s="37" t="e">
        <f t="shared" si="53"/>
        <v>#VALUE!</v>
      </c>
    </row>
    <row r="1139" spans="1:21" x14ac:dyDescent="0.25">
      <c r="A1139" s="31" t="str">
        <f>IF(Table!A1139 = "","",Table!A1139)</f>
        <v/>
      </c>
      <c r="B1139" s="31" t="str">
        <f>IF(Table!B1139 = "","",Table!B1139)</f>
        <v/>
      </c>
      <c r="C1139" s="31" t="str">
        <f>IF(Table!C1139 = "","",Table!C1139)</f>
        <v/>
      </c>
      <c r="D1139" s="32" t="str">
        <f>IF(Table!D1139 = "","",Table!D1139)</f>
        <v/>
      </c>
      <c r="E1139" s="32" t="str">
        <f>IF(Table!E1139 = "","",Table!E1139)</f>
        <v/>
      </c>
      <c r="F1139" s="32" t="str">
        <f>IF(Table!F1139 = "","",Table!F1139)</f>
        <v/>
      </c>
      <c r="G1139" s="91"/>
      <c r="K1139" s="31" t="str">
        <f>IFERROR(VLOOKUP(A1139,Table!$I$4:$O$3000,1,TRUE),"")</f>
        <v/>
      </c>
      <c r="L1139" s="31" t="str">
        <f>IFERROR(INDEX(Table!I:O,MATCH(K1139,Table!I:I,0),2),"")</f>
        <v/>
      </c>
      <c r="M1139" s="31" t="str">
        <f>IFERROR(INDEX(Table!I:O,MATCH(K1139,Table!I:I,0),3),"")</f>
        <v/>
      </c>
      <c r="N1139" s="32" t="str">
        <f>IFERROR(INDEX(Table!I:O,MATCH(K1139,Table!I:I,0),4),"")</f>
        <v/>
      </c>
      <c r="O1139" s="32" t="str">
        <f>IFERROR(INDEX(Table!I:O,MATCH(K1139,Table!I:I,0),5),"")</f>
        <v/>
      </c>
      <c r="P1139" s="32" t="str">
        <f>IFERROR(INDEX(Table!I:O,MATCH(K1139,Table!I:I,0),6),"")</f>
        <v/>
      </c>
      <c r="Q1139" s="89" t="str">
        <f t="shared" si="51"/>
        <v/>
      </c>
      <c r="R1139" s="89" t="str">
        <f t="shared" si="52"/>
        <v/>
      </c>
      <c r="S1139" s="82"/>
      <c r="U1139" s="37" t="e">
        <f t="shared" si="53"/>
        <v>#VALUE!</v>
      </c>
    </row>
    <row r="1140" spans="1:21" x14ac:dyDescent="0.25">
      <c r="A1140" s="31" t="str">
        <f>IF(Table!A1140 = "","",Table!A1140)</f>
        <v/>
      </c>
      <c r="B1140" s="31" t="str">
        <f>IF(Table!B1140 = "","",Table!B1140)</f>
        <v/>
      </c>
      <c r="C1140" s="31" t="str">
        <f>IF(Table!C1140 = "","",Table!C1140)</f>
        <v/>
      </c>
      <c r="D1140" s="32" t="str">
        <f>IF(Table!D1140 = "","",Table!D1140)</f>
        <v/>
      </c>
      <c r="E1140" s="32" t="str">
        <f>IF(Table!E1140 = "","",Table!E1140)</f>
        <v/>
      </c>
      <c r="F1140" s="32" t="str">
        <f>IF(Table!F1140 = "","",Table!F1140)</f>
        <v/>
      </c>
      <c r="G1140" s="91"/>
      <c r="K1140" s="31" t="str">
        <f>IFERROR(VLOOKUP(A1140,Table!$I$4:$O$3000,1,TRUE),"")</f>
        <v/>
      </c>
      <c r="L1140" s="31" t="str">
        <f>IFERROR(INDEX(Table!I:O,MATCH(K1140,Table!I:I,0),2),"")</f>
        <v/>
      </c>
      <c r="M1140" s="31" t="str">
        <f>IFERROR(INDEX(Table!I:O,MATCH(K1140,Table!I:I,0),3),"")</f>
        <v/>
      </c>
      <c r="N1140" s="32" t="str">
        <f>IFERROR(INDEX(Table!I:O,MATCH(K1140,Table!I:I,0),4),"")</f>
        <v/>
      </c>
      <c r="O1140" s="32" t="str">
        <f>IFERROR(INDEX(Table!I:O,MATCH(K1140,Table!I:I,0),5),"")</f>
        <v/>
      </c>
      <c r="P1140" s="32" t="str">
        <f>IFERROR(INDEX(Table!I:O,MATCH(K1140,Table!I:I,0),6),"")</f>
        <v/>
      </c>
      <c r="Q1140" s="89" t="str">
        <f t="shared" si="51"/>
        <v/>
      </c>
      <c r="R1140" s="89" t="str">
        <f t="shared" si="52"/>
        <v/>
      </c>
      <c r="S1140" s="82"/>
      <c r="U1140" s="37" t="e">
        <f t="shared" si="53"/>
        <v>#VALUE!</v>
      </c>
    </row>
    <row r="1141" spans="1:21" x14ac:dyDescent="0.25">
      <c r="A1141" s="31" t="str">
        <f>IF(Table!A1141 = "","",Table!A1141)</f>
        <v/>
      </c>
      <c r="B1141" s="31" t="str">
        <f>IF(Table!B1141 = "","",Table!B1141)</f>
        <v/>
      </c>
      <c r="C1141" s="31" t="str">
        <f>IF(Table!C1141 = "","",Table!C1141)</f>
        <v/>
      </c>
      <c r="D1141" s="32" t="str">
        <f>IF(Table!D1141 = "","",Table!D1141)</f>
        <v/>
      </c>
      <c r="E1141" s="32" t="str">
        <f>IF(Table!E1141 = "","",Table!E1141)</f>
        <v/>
      </c>
      <c r="F1141" s="32" t="str">
        <f>IF(Table!F1141 = "","",Table!F1141)</f>
        <v/>
      </c>
      <c r="G1141" s="91"/>
      <c r="K1141" s="31" t="str">
        <f>IFERROR(VLOOKUP(A1141,Table!$I$4:$O$3000,1,TRUE),"")</f>
        <v/>
      </c>
      <c r="L1141" s="31" t="str">
        <f>IFERROR(INDEX(Table!I:O,MATCH(K1141,Table!I:I,0),2),"")</f>
        <v/>
      </c>
      <c r="M1141" s="31" t="str">
        <f>IFERROR(INDEX(Table!I:O,MATCH(K1141,Table!I:I,0),3),"")</f>
        <v/>
      </c>
      <c r="N1141" s="32" t="str">
        <f>IFERROR(INDEX(Table!I:O,MATCH(K1141,Table!I:I,0),4),"")</f>
        <v/>
      </c>
      <c r="O1141" s="32" t="str">
        <f>IFERROR(INDEX(Table!I:O,MATCH(K1141,Table!I:I,0),5),"")</f>
        <v/>
      </c>
      <c r="P1141" s="32" t="str">
        <f>IFERROR(INDEX(Table!I:O,MATCH(K1141,Table!I:I,0),6),"")</f>
        <v/>
      </c>
      <c r="Q1141" s="89" t="str">
        <f t="shared" si="51"/>
        <v/>
      </c>
      <c r="R1141" s="89" t="str">
        <f t="shared" si="52"/>
        <v/>
      </c>
      <c r="S1141" s="82"/>
      <c r="U1141" s="37" t="e">
        <f t="shared" si="53"/>
        <v>#VALUE!</v>
      </c>
    </row>
    <row r="1142" spans="1:21" x14ac:dyDescent="0.25">
      <c r="A1142" s="31" t="str">
        <f>IF(Table!A1142 = "","",Table!A1142)</f>
        <v/>
      </c>
      <c r="B1142" s="31" t="str">
        <f>IF(Table!B1142 = "","",Table!B1142)</f>
        <v/>
      </c>
      <c r="C1142" s="31" t="str">
        <f>IF(Table!C1142 = "","",Table!C1142)</f>
        <v/>
      </c>
      <c r="D1142" s="32" t="str">
        <f>IF(Table!D1142 = "","",Table!D1142)</f>
        <v/>
      </c>
      <c r="E1142" s="32" t="str">
        <f>IF(Table!E1142 = "","",Table!E1142)</f>
        <v/>
      </c>
      <c r="F1142" s="32" t="str">
        <f>IF(Table!F1142 = "","",Table!F1142)</f>
        <v/>
      </c>
      <c r="G1142" s="91"/>
      <c r="K1142" s="31" t="str">
        <f>IFERROR(VLOOKUP(A1142,Table!$I$4:$O$3000,1,TRUE),"")</f>
        <v/>
      </c>
      <c r="L1142" s="31" t="str">
        <f>IFERROR(INDEX(Table!I:O,MATCH(K1142,Table!I:I,0),2),"")</f>
        <v/>
      </c>
      <c r="M1142" s="31" t="str">
        <f>IFERROR(INDEX(Table!I:O,MATCH(K1142,Table!I:I,0),3),"")</f>
        <v/>
      </c>
      <c r="N1142" s="32" t="str">
        <f>IFERROR(INDEX(Table!I:O,MATCH(K1142,Table!I:I,0),4),"")</f>
        <v/>
      </c>
      <c r="O1142" s="32" t="str">
        <f>IFERROR(INDEX(Table!I:O,MATCH(K1142,Table!I:I,0),5),"")</f>
        <v/>
      </c>
      <c r="P1142" s="32" t="str">
        <f>IFERROR(INDEX(Table!I:O,MATCH(K1142,Table!I:I,0),6),"")</f>
        <v/>
      </c>
      <c r="Q1142" s="89" t="str">
        <f t="shared" si="51"/>
        <v/>
      </c>
      <c r="R1142" s="89" t="str">
        <f t="shared" si="52"/>
        <v/>
      </c>
      <c r="S1142" s="82"/>
      <c r="U1142" s="37" t="e">
        <f t="shared" si="53"/>
        <v>#VALUE!</v>
      </c>
    </row>
    <row r="1143" spans="1:21" x14ac:dyDescent="0.25">
      <c r="A1143" s="31" t="str">
        <f>IF(Table!A1143 = "","",Table!A1143)</f>
        <v/>
      </c>
      <c r="B1143" s="31" t="str">
        <f>IF(Table!B1143 = "","",Table!B1143)</f>
        <v/>
      </c>
      <c r="C1143" s="31" t="str">
        <f>IF(Table!C1143 = "","",Table!C1143)</f>
        <v/>
      </c>
      <c r="D1143" s="32" t="str">
        <f>IF(Table!D1143 = "","",Table!D1143)</f>
        <v/>
      </c>
      <c r="E1143" s="32" t="str">
        <f>IF(Table!E1143 = "","",Table!E1143)</f>
        <v/>
      </c>
      <c r="F1143" s="32" t="str">
        <f>IF(Table!F1143 = "","",Table!F1143)</f>
        <v/>
      </c>
      <c r="G1143" s="91"/>
      <c r="K1143" s="31" t="str">
        <f>IFERROR(VLOOKUP(A1143,Table!$I$4:$O$3000,1,TRUE),"")</f>
        <v/>
      </c>
      <c r="L1143" s="31" t="str">
        <f>IFERROR(INDEX(Table!I:O,MATCH(K1143,Table!I:I,0),2),"")</f>
        <v/>
      </c>
      <c r="M1143" s="31" t="str">
        <f>IFERROR(INDEX(Table!I:O,MATCH(K1143,Table!I:I,0),3),"")</f>
        <v/>
      </c>
      <c r="N1143" s="32" t="str">
        <f>IFERROR(INDEX(Table!I:O,MATCH(K1143,Table!I:I,0),4),"")</f>
        <v/>
      </c>
      <c r="O1143" s="32" t="str">
        <f>IFERROR(INDEX(Table!I:O,MATCH(K1143,Table!I:I,0),5),"")</f>
        <v/>
      </c>
      <c r="P1143" s="32" t="str">
        <f>IFERROR(INDEX(Table!I:O,MATCH(K1143,Table!I:I,0),6),"")</f>
        <v/>
      </c>
      <c r="Q1143" s="89" t="str">
        <f t="shared" si="51"/>
        <v/>
      </c>
      <c r="R1143" s="89" t="str">
        <f t="shared" si="52"/>
        <v/>
      </c>
      <c r="S1143" s="82"/>
      <c r="U1143" s="37" t="e">
        <f t="shared" si="53"/>
        <v>#VALUE!</v>
      </c>
    </row>
    <row r="1144" spans="1:21" x14ac:dyDescent="0.25">
      <c r="A1144" s="31" t="str">
        <f>IF(Table!A1144 = "","",Table!A1144)</f>
        <v/>
      </c>
      <c r="B1144" s="31" t="str">
        <f>IF(Table!B1144 = "","",Table!B1144)</f>
        <v/>
      </c>
      <c r="C1144" s="31" t="str">
        <f>IF(Table!C1144 = "","",Table!C1144)</f>
        <v/>
      </c>
      <c r="D1144" s="32" t="str">
        <f>IF(Table!D1144 = "","",Table!D1144)</f>
        <v/>
      </c>
      <c r="E1144" s="32" t="str">
        <f>IF(Table!E1144 = "","",Table!E1144)</f>
        <v/>
      </c>
      <c r="F1144" s="32" t="str">
        <f>IF(Table!F1144 = "","",Table!F1144)</f>
        <v/>
      </c>
      <c r="G1144" s="91"/>
      <c r="K1144" s="31" t="str">
        <f>IFERROR(VLOOKUP(A1144,Table!$I$4:$O$3000,1,TRUE),"")</f>
        <v/>
      </c>
      <c r="L1144" s="31" t="str">
        <f>IFERROR(INDEX(Table!I:O,MATCH(K1144,Table!I:I,0),2),"")</f>
        <v/>
      </c>
      <c r="M1144" s="31" t="str">
        <f>IFERROR(INDEX(Table!I:O,MATCH(K1144,Table!I:I,0),3),"")</f>
        <v/>
      </c>
      <c r="N1144" s="32" t="str">
        <f>IFERROR(INDEX(Table!I:O,MATCH(K1144,Table!I:I,0),4),"")</f>
        <v/>
      </c>
      <c r="O1144" s="32" t="str">
        <f>IFERROR(INDEX(Table!I:O,MATCH(K1144,Table!I:I,0),5),"")</f>
        <v/>
      </c>
      <c r="P1144" s="32" t="str">
        <f>IFERROR(INDEX(Table!I:O,MATCH(K1144,Table!I:I,0),6),"")</f>
        <v/>
      </c>
      <c r="Q1144" s="89" t="str">
        <f t="shared" si="51"/>
        <v/>
      </c>
      <c r="R1144" s="89" t="str">
        <f t="shared" si="52"/>
        <v/>
      </c>
      <c r="S1144" s="82"/>
      <c r="U1144" s="37" t="e">
        <f t="shared" si="53"/>
        <v>#VALUE!</v>
      </c>
    </row>
    <row r="1145" spans="1:21" x14ac:dyDescent="0.25">
      <c r="A1145" s="31" t="str">
        <f>IF(Table!A1145 = "","",Table!A1145)</f>
        <v/>
      </c>
      <c r="B1145" s="31" t="str">
        <f>IF(Table!B1145 = "","",Table!B1145)</f>
        <v/>
      </c>
      <c r="C1145" s="31" t="str">
        <f>IF(Table!C1145 = "","",Table!C1145)</f>
        <v/>
      </c>
      <c r="D1145" s="32" t="str">
        <f>IF(Table!D1145 = "","",Table!D1145)</f>
        <v/>
      </c>
      <c r="E1145" s="32" t="str">
        <f>IF(Table!E1145 = "","",Table!E1145)</f>
        <v/>
      </c>
      <c r="F1145" s="32" t="str">
        <f>IF(Table!F1145 = "","",Table!F1145)</f>
        <v/>
      </c>
      <c r="G1145" s="91"/>
      <c r="K1145" s="31" t="str">
        <f>IFERROR(VLOOKUP(A1145,Table!$I$4:$O$3000,1,TRUE),"")</f>
        <v/>
      </c>
      <c r="L1145" s="31" t="str">
        <f>IFERROR(INDEX(Table!I:O,MATCH(K1145,Table!I:I,0),2),"")</f>
        <v/>
      </c>
      <c r="M1145" s="31" t="str">
        <f>IFERROR(INDEX(Table!I:O,MATCH(K1145,Table!I:I,0),3),"")</f>
        <v/>
      </c>
      <c r="N1145" s="32" t="str">
        <f>IFERROR(INDEX(Table!I:O,MATCH(K1145,Table!I:I,0),4),"")</f>
        <v/>
      </c>
      <c r="O1145" s="32" t="str">
        <f>IFERROR(INDEX(Table!I:O,MATCH(K1145,Table!I:I,0),5),"")</f>
        <v/>
      </c>
      <c r="P1145" s="32" t="str">
        <f>IFERROR(INDEX(Table!I:O,MATCH(K1145,Table!I:I,0),6),"")</f>
        <v/>
      </c>
      <c r="Q1145" s="89" t="str">
        <f t="shared" si="51"/>
        <v/>
      </c>
      <c r="R1145" s="89" t="str">
        <f t="shared" si="52"/>
        <v/>
      </c>
      <c r="S1145" s="82"/>
      <c r="U1145" s="37" t="e">
        <f t="shared" si="53"/>
        <v>#VALUE!</v>
      </c>
    </row>
    <row r="1146" spans="1:21" x14ac:dyDescent="0.25">
      <c r="A1146" s="31" t="str">
        <f>IF(Table!A1146 = "","",Table!A1146)</f>
        <v/>
      </c>
      <c r="B1146" s="31" t="str">
        <f>IF(Table!B1146 = "","",Table!B1146)</f>
        <v/>
      </c>
      <c r="C1146" s="31" t="str">
        <f>IF(Table!C1146 = "","",Table!C1146)</f>
        <v/>
      </c>
      <c r="D1146" s="32" t="str">
        <f>IF(Table!D1146 = "","",Table!D1146)</f>
        <v/>
      </c>
      <c r="E1146" s="32" t="str">
        <f>IF(Table!E1146 = "","",Table!E1146)</f>
        <v/>
      </c>
      <c r="F1146" s="32" t="str">
        <f>IF(Table!F1146 = "","",Table!F1146)</f>
        <v/>
      </c>
      <c r="G1146" s="91"/>
      <c r="K1146" s="31" t="str">
        <f>IFERROR(VLOOKUP(A1146,Table!$I$4:$O$3000,1,TRUE),"")</f>
        <v/>
      </c>
      <c r="L1146" s="31" t="str">
        <f>IFERROR(INDEX(Table!I:O,MATCH(K1146,Table!I:I,0),2),"")</f>
        <v/>
      </c>
      <c r="M1146" s="31" t="str">
        <f>IFERROR(INDEX(Table!I:O,MATCH(K1146,Table!I:I,0),3),"")</f>
        <v/>
      </c>
      <c r="N1146" s="32" t="str">
        <f>IFERROR(INDEX(Table!I:O,MATCH(K1146,Table!I:I,0),4),"")</f>
        <v/>
      </c>
      <c r="O1146" s="32" t="str">
        <f>IFERROR(INDEX(Table!I:O,MATCH(K1146,Table!I:I,0),5),"")</f>
        <v/>
      </c>
      <c r="P1146" s="32" t="str">
        <f>IFERROR(INDEX(Table!I:O,MATCH(K1146,Table!I:I,0),6),"")</f>
        <v/>
      </c>
      <c r="Q1146" s="89" t="str">
        <f t="shared" si="51"/>
        <v/>
      </c>
      <c r="R1146" s="89" t="str">
        <f t="shared" si="52"/>
        <v/>
      </c>
      <c r="S1146" s="82"/>
      <c r="U1146" s="37" t="e">
        <f t="shared" si="53"/>
        <v>#VALUE!</v>
      </c>
    </row>
    <row r="1147" spans="1:21" x14ac:dyDescent="0.25">
      <c r="A1147" s="31" t="str">
        <f>IF(Table!A1147 = "","",Table!A1147)</f>
        <v/>
      </c>
      <c r="B1147" s="31" t="str">
        <f>IF(Table!B1147 = "","",Table!B1147)</f>
        <v/>
      </c>
      <c r="C1147" s="31" t="str">
        <f>IF(Table!C1147 = "","",Table!C1147)</f>
        <v/>
      </c>
      <c r="D1147" s="32" t="str">
        <f>IF(Table!D1147 = "","",Table!D1147)</f>
        <v/>
      </c>
      <c r="E1147" s="32" t="str">
        <f>IF(Table!E1147 = "","",Table!E1147)</f>
        <v/>
      </c>
      <c r="F1147" s="32" t="str">
        <f>IF(Table!F1147 = "","",Table!F1147)</f>
        <v/>
      </c>
      <c r="G1147" s="91"/>
      <c r="K1147" s="31" t="str">
        <f>IFERROR(VLOOKUP(A1147,Table!$I$4:$O$3000,1,TRUE),"")</f>
        <v/>
      </c>
      <c r="L1147" s="31" t="str">
        <f>IFERROR(INDEX(Table!I:O,MATCH(K1147,Table!I:I,0),2),"")</f>
        <v/>
      </c>
      <c r="M1147" s="31" t="str">
        <f>IFERROR(INDEX(Table!I:O,MATCH(K1147,Table!I:I,0),3),"")</f>
        <v/>
      </c>
      <c r="N1147" s="32" t="str">
        <f>IFERROR(INDEX(Table!I:O,MATCH(K1147,Table!I:I,0),4),"")</f>
        <v/>
      </c>
      <c r="O1147" s="32" t="str">
        <f>IFERROR(INDEX(Table!I:O,MATCH(K1147,Table!I:I,0),5),"")</f>
        <v/>
      </c>
      <c r="P1147" s="32" t="str">
        <f>IFERROR(INDEX(Table!I:O,MATCH(K1147,Table!I:I,0),6),"")</f>
        <v/>
      </c>
      <c r="Q1147" s="89" t="str">
        <f t="shared" si="51"/>
        <v/>
      </c>
      <c r="R1147" s="89" t="str">
        <f t="shared" si="52"/>
        <v/>
      </c>
      <c r="S1147" s="82"/>
      <c r="U1147" s="37" t="e">
        <f t="shared" si="53"/>
        <v>#VALUE!</v>
      </c>
    </row>
    <row r="1148" spans="1:21" x14ac:dyDescent="0.25">
      <c r="A1148" s="31" t="str">
        <f>IF(Table!A1148 = "","",Table!A1148)</f>
        <v/>
      </c>
      <c r="B1148" s="31" t="str">
        <f>IF(Table!B1148 = "","",Table!B1148)</f>
        <v/>
      </c>
      <c r="C1148" s="31" t="str">
        <f>IF(Table!C1148 = "","",Table!C1148)</f>
        <v/>
      </c>
      <c r="D1148" s="32" t="str">
        <f>IF(Table!D1148 = "","",Table!D1148)</f>
        <v/>
      </c>
      <c r="E1148" s="32" t="str">
        <f>IF(Table!E1148 = "","",Table!E1148)</f>
        <v/>
      </c>
      <c r="F1148" s="32" t="str">
        <f>IF(Table!F1148 = "","",Table!F1148)</f>
        <v/>
      </c>
      <c r="G1148" s="91"/>
      <c r="K1148" s="31" t="str">
        <f>IFERROR(VLOOKUP(A1148,Table!$I$4:$O$3000,1,TRUE),"")</f>
        <v/>
      </c>
      <c r="L1148" s="31" t="str">
        <f>IFERROR(INDEX(Table!I:O,MATCH(K1148,Table!I:I,0),2),"")</f>
        <v/>
      </c>
      <c r="M1148" s="31" t="str">
        <f>IFERROR(INDEX(Table!I:O,MATCH(K1148,Table!I:I,0),3),"")</f>
        <v/>
      </c>
      <c r="N1148" s="32" t="str">
        <f>IFERROR(INDEX(Table!I:O,MATCH(K1148,Table!I:I,0),4),"")</f>
        <v/>
      </c>
      <c r="O1148" s="32" t="str">
        <f>IFERROR(INDEX(Table!I:O,MATCH(K1148,Table!I:I,0),5),"")</f>
        <v/>
      </c>
      <c r="P1148" s="32" t="str">
        <f>IFERROR(INDEX(Table!I:O,MATCH(K1148,Table!I:I,0),6),"")</f>
        <v/>
      </c>
      <c r="Q1148" s="89" t="str">
        <f t="shared" si="51"/>
        <v/>
      </c>
      <c r="R1148" s="89" t="str">
        <f t="shared" si="52"/>
        <v/>
      </c>
      <c r="S1148" s="82"/>
      <c r="U1148" s="37" t="e">
        <f t="shared" si="53"/>
        <v>#VALUE!</v>
      </c>
    </row>
    <row r="1149" spans="1:21" x14ac:dyDescent="0.25">
      <c r="A1149" s="31" t="str">
        <f>IF(Table!A1149 = "","",Table!A1149)</f>
        <v/>
      </c>
      <c r="B1149" s="31" t="str">
        <f>IF(Table!B1149 = "","",Table!B1149)</f>
        <v/>
      </c>
      <c r="C1149" s="31" t="str">
        <f>IF(Table!C1149 = "","",Table!C1149)</f>
        <v/>
      </c>
      <c r="D1149" s="32" t="str">
        <f>IF(Table!D1149 = "","",Table!D1149)</f>
        <v/>
      </c>
      <c r="E1149" s="32" t="str">
        <f>IF(Table!E1149 = "","",Table!E1149)</f>
        <v/>
      </c>
      <c r="F1149" s="32" t="str">
        <f>IF(Table!F1149 = "","",Table!F1149)</f>
        <v/>
      </c>
      <c r="G1149" s="91"/>
      <c r="K1149" s="31" t="str">
        <f>IFERROR(VLOOKUP(A1149,Table!$I$4:$O$3000,1,TRUE),"")</f>
        <v/>
      </c>
      <c r="L1149" s="31" t="str">
        <f>IFERROR(INDEX(Table!I:O,MATCH(K1149,Table!I:I,0),2),"")</f>
        <v/>
      </c>
      <c r="M1149" s="31" t="str">
        <f>IFERROR(INDEX(Table!I:O,MATCH(K1149,Table!I:I,0),3),"")</f>
        <v/>
      </c>
      <c r="N1149" s="32" t="str">
        <f>IFERROR(INDEX(Table!I:O,MATCH(K1149,Table!I:I,0),4),"")</f>
        <v/>
      </c>
      <c r="O1149" s="32" t="str">
        <f>IFERROR(INDEX(Table!I:O,MATCH(K1149,Table!I:I,0),5),"")</f>
        <v/>
      </c>
      <c r="P1149" s="32" t="str">
        <f>IFERROR(INDEX(Table!I:O,MATCH(K1149,Table!I:I,0),6),"")</f>
        <v/>
      </c>
      <c r="Q1149" s="89" t="str">
        <f t="shared" si="51"/>
        <v/>
      </c>
      <c r="R1149" s="89" t="str">
        <f t="shared" si="52"/>
        <v/>
      </c>
      <c r="S1149" s="82"/>
      <c r="U1149" s="37" t="e">
        <f t="shared" si="53"/>
        <v>#VALUE!</v>
      </c>
    </row>
    <row r="1150" spans="1:21" x14ac:dyDescent="0.25">
      <c r="A1150" s="31" t="str">
        <f>IF(Table!A1150 = "","",Table!A1150)</f>
        <v/>
      </c>
      <c r="B1150" s="31" t="str">
        <f>IF(Table!B1150 = "","",Table!B1150)</f>
        <v/>
      </c>
      <c r="C1150" s="31" t="str">
        <f>IF(Table!C1150 = "","",Table!C1150)</f>
        <v/>
      </c>
      <c r="D1150" s="32" t="str">
        <f>IF(Table!D1150 = "","",Table!D1150)</f>
        <v/>
      </c>
      <c r="E1150" s="32" t="str">
        <f>IF(Table!E1150 = "","",Table!E1150)</f>
        <v/>
      </c>
      <c r="F1150" s="32" t="str">
        <f>IF(Table!F1150 = "","",Table!F1150)</f>
        <v/>
      </c>
      <c r="G1150" s="91"/>
      <c r="K1150" s="31" t="str">
        <f>IFERROR(VLOOKUP(A1150,Table!$I$4:$O$3000,1,TRUE),"")</f>
        <v/>
      </c>
      <c r="L1150" s="31" t="str">
        <f>IFERROR(INDEX(Table!I:O,MATCH(K1150,Table!I:I,0),2),"")</f>
        <v/>
      </c>
      <c r="M1150" s="31" t="str">
        <f>IFERROR(INDEX(Table!I:O,MATCH(K1150,Table!I:I,0),3),"")</f>
        <v/>
      </c>
      <c r="N1150" s="32" t="str">
        <f>IFERROR(INDEX(Table!I:O,MATCH(K1150,Table!I:I,0),4),"")</f>
        <v/>
      </c>
      <c r="O1150" s="32" t="str">
        <f>IFERROR(INDEX(Table!I:O,MATCH(K1150,Table!I:I,0),5),"")</f>
        <v/>
      </c>
      <c r="P1150" s="32" t="str">
        <f>IFERROR(INDEX(Table!I:O,MATCH(K1150,Table!I:I,0),6),"")</f>
        <v/>
      </c>
      <c r="Q1150" s="89" t="str">
        <f t="shared" si="51"/>
        <v/>
      </c>
      <c r="R1150" s="89" t="str">
        <f t="shared" si="52"/>
        <v/>
      </c>
      <c r="S1150" s="82"/>
      <c r="U1150" s="37" t="e">
        <f t="shared" si="53"/>
        <v>#VALUE!</v>
      </c>
    </row>
    <row r="1151" spans="1:21" x14ac:dyDescent="0.25">
      <c r="A1151" s="31" t="str">
        <f>IF(Table!A1151 = "","",Table!A1151)</f>
        <v/>
      </c>
      <c r="B1151" s="31" t="str">
        <f>IF(Table!B1151 = "","",Table!B1151)</f>
        <v/>
      </c>
      <c r="C1151" s="31" t="str">
        <f>IF(Table!C1151 = "","",Table!C1151)</f>
        <v/>
      </c>
      <c r="D1151" s="32" t="str">
        <f>IF(Table!D1151 = "","",Table!D1151)</f>
        <v/>
      </c>
      <c r="E1151" s="32" t="str">
        <f>IF(Table!E1151 = "","",Table!E1151)</f>
        <v/>
      </c>
      <c r="F1151" s="32" t="str">
        <f>IF(Table!F1151 = "","",Table!F1151)</f>
        <v/>
      </c>
      <c r="G1151" s="91"/>
      <c r="K1151" s="31" t="str">
        <f>IFERROR(VLOOKUP(A1151,Table!$I$4:$O$3000,1,TRUE),"")</f>
        <v/>
      </c>
      <c r="L1151" s="31" t="str">
        <f>IFERROR(INDEX(Table!I:O,MATCH(K1151,Table!I:I,0),2),"")</f>
        <v/>
      </c>
      <c r="M1151" s="31" t="str">
        <f>IFERROR(INDEX(Table!I:O,MATCH(K1151,Table!I:I,0),3),"")</f>
        <v/>
      </c>
      <c r="N1151" s="32" t="str">
        <f>IFERROR(INDEX(Table!I:O,MATCH(K1151,Table!I:I,0),4),"")</f>
        <v/>
      </c>
      <c r="O1151" s="32" t="str">
        <f>IFERROR(INDEX(Table!I:O,MATCH(K1151,Table!I:I,0),5),"")</f>
        <v/>
      </c>
      <c r="P1151" s="32" t="str">
        <f>IFERROR(INDEX(Table!I:O,MATCH(K1151,Table!I:I,0),6),"")</f>
        <v/>
      </c>
      <c r="Q1151" s="89" t="str">
        <f t="shared" si="51"/>
        <v/>
      </c>
      <c r="R1151" s="89" t="str">
        <f t="shared" si="52"/>
        <v/>
      </c>
      <c r="S1151" s="82"/>
      <c r="U1151" s="37" t="e">
        <f t="shared" si="53"/>
        <v>#VALUE!</v>
      </c>
    </row>
    <row r="1152" spans="1:21" x14ac:dyDescent="0.25">
      <c r="A1152" s="31" t="str">
        <f>IF(Table!A1152 = "","",Table!A1152)</f>
        <v/>
      </c>
      <c r="B1152" s="31" t="str">
        <f>IF(Table!B1152 = "","",Table!B1152)</f>
        <v/>
      </c>
      <c r="C1152" s="31" t="str">
        <f>IF(Table!C1152 = "","",Table!C1152)</f>
        <v/>
      </c>
      <c r="D1152" s="32" t="str">
        <f>IF(Table!D1152 = "","",Table!D1152)</f>
        <v/>
      </c>
      <c r="E1152" s="32" t="str">
        <f>IF(Table!E1152 = "","",Table!E1152)</f>
        <v/>
      </c>
      <c r="F1152" s="32" t="str">
        <f>IF(Table!F1152 = "","",Table!F1152)</f>
        <v/>
      </c>
      <c r="G1152" s="91"/>
      <c r="K1152" s="31" t="str">
        <f>IFERROR(VLOOKUP(A1152,Table!$I$4:$O$3000,1,TRUE),"")</f>
        <v/>
      </c>
      <c r="L1152" s="31" t="str">
        <f>IFERROR(INDEX(Table!I:O,MATCH(K1152,Table!I:I,0),2),"")</f>
        <v/>
      </c>
      <c r="M1152" s="31" t="str">
        <f>IFERROR(INDEX(Table!I:O,MATCH(K1152,Table!I:I,0),3),"")</f>
        <v/>
      </c>
      <c r="N1152" s="32" t="str">
        <f>IFERROR(INDEX(Table!I:O,MATCH(K1152,Table!I:I,0),4),"")</f>
        <v/>
      </c>
      <c r="O1152" s="32" t="str">
        <f>IFERROR(INDEX(Table!I:O,MATCH(K1152,Table!I:I,0),5),"")</f>
        <v/>
      </c>
      <c r="P1152" s="32" t="str">
        <f>IFERROR(INDEX(Table!I:O,MATCH(K1152,Table!I:I,0),6),"")</f>
        <v/>
      </c>
      <c r="Q1152" s="89" t="str">
        <f t="shared" si="51"/>
        <v/>
      </c>
      <c r="R1152" s="89" t="str">
        <f t="shared" si="52"/>
        <v/>
      </c>
      <c r="S1152" s="82"/>
      <c r="U1152" s="37" t="e">
        <f t="shared" si="53"/>
        <v>#VALUE!</v>
      </c>
    </row>
    <row r="1153" spans="1:21" x14ac:dyDescent="0.25">
      <c r="A1153" s="31" t="str">
        <f>IF(Table!A1153 = "","",Table!A1153)</f>
        <v/>
      </c>
      <c r="B1153" s="31" t="str">
        <f>IF(Table!B1153 = "","",Table!B1153)</f>
        <v/>
      </c>
      <c r="C1153" s="31" t="str">
        <f>IF(Table!C1153 = "","",Table!C1153)</f>
        <v/>
      </c>
      <c r="D1153" s="32" t="str">
        <f>IF(Table!D1153 = "","",Table!D1153)</f>
        <v/>
      </c>
      <c r="E1153" s="32" t="str">
        <f>IF(Table!E1153 = "","",Table!E1153)</f>
        <v/>
      </c>
      <c r="F1153" s="32" t="str">
        <f>IF(Table!F1153 = "","",Table!F1153)</f>
        <v/>
      </c>
      <c r="G1153" s="91"/>
      <c r="K1153" s="31" t="str">
        <f>IFERROR(VLOOKUP(A1153,Table!$I$4:$O$3000,1,TRUE),"")</f>
        <v/>
      </c>
      <c r="L1153" s="31" t="str">
        <f>IFERROR(INDEX(Table!I:O,MATCH(K1153,Table!I:I,0),2),"")</f>
        <v/>
      </c>
      <c r="M1153" s="31" t="str">
        <f>IFERROR(INDEX(Table!I:O,MATCH(K1153,Table!I:I,0),3),"")</f>
        <v/>
      </c>
      <c r="N1153" s="32" t="str">
        <f>IFERROR(INDEX(Table!I:O,MATCH(K1153,Table!I:I,0),4),"")</f>
        <v/>
      </c>
      <c r="O1153" s="32" t="str">
        <f>IFERROR(INDEX(Table!I:O,MATCH(K1153,Table!I:I,0),5),"")</f>
        <v/>
      </c>
      <c r="P1153" s="32" t="str">
        <f>IFERROR(INDEX(Table!I:O,MATCH(K1153,Table!I:I,0),6),"")</f>
        <v/>
      </c>
      <c r="Q1153" s="89" t="str">
        <f t="shared" si="51"/>
        <v/>
      </c>
      <c r="R1153" s="89" t="str">
        <f t="shared" si="52"/>
        <v/>
      </c>
      <c r="S1153" s="82"/>
      <c r="U1153" s="37" t="e">
        <f t="shared" si="53"/>
        <v>#VALUE!</v>
      </c>
    </row>
    <row r="1154" spans="1:21" x14ac:dyDescent="0.25">
      <c r="A1154" s="31" t="str">
        <f>IF(Table!A1154 = "","",Table!A1154)</f>
        <v/>
      </c>
      <c r="B1154" s="31" t="str">
        <f>IF(Table!B1154 = "","",Table!B1154)</f>
        <v/>
      </c>
      <c r="C1154" s="31" t="str">
        <f>IF(Table!C1154 = "","",Table!C1154)</f>
        <v/>
      </c>
      <c r="D1154" s="32" t="str">
        <f>IF(Table!D1154 = "","",Table!D1154)</f>
        <v/>
      </c>
      <c r="E1154" s="32" t="str">
        <f>IF(Table!E1154 = "","",Table!E1154)</f>
        <v/>
      </c>
      <c r="F1154" s="32" t="str">
        <f>IF(Table!F1154 = "","",Table!F1154)</f>
        <v/>
      </c>
      <c r="G1154" s="91"/>
      <c r="K1154" s="31" t="str">
        <f>IFERROR(VLOOKUP(A1154,Table!$I$4:$O$3000,1,TRUE),"")</f>
        <v/>
      </c>
      <c r="L1154" s="31" t="str">
        <f>IFERROR(INDEX(Table!I:O,MATCH(K1154,Table!I:I,0),2),"")</f>
        <v/>
      </c>
      <c r="M1154" s="31" t="str">
        <f>IFERROR(INDEX(Table!I:O,MATCH(K1154,Table!I:I,0),3),"")</f>
        <v/>
      </c>
      <c r="N1154" s="32" t="str">
        <f>IFERROR(INDEX(Table!I:O,MATCH(K1154,Table!I:I,0),4),"")</f>
        <v/>
      </c>
      <c r="O1154" s="32" t="str">
        <f>IFERROR(INDEX(Table!I:O,MATCH(K1154,Table!I:I,0),5),"")</f>
        <v/>
      </c>
      <c r="P1154" s="32" t="str">
        <f>IFERROR(INDEX(Table!I:O,MATCH(K1154,Table!I:I,0),6),"")</f>
        <v/>
      </c>
      <c r="Q1154" s="89" t="str">
        <f t="shared" si="51"/>
        <v/>
      </c>
      <c r="R1154" s="89" t="str">
        <f t="shared" si="52"/>
        <v/>
      </c>
      <c r="S1154" s="82"/>
      <c r="U1154" s="37" t="e">
        <f t="shared" si="53"/>
        <v>#VALUE!</v>
      </c>
    </row>
    <row r="1155" spans="1:21" x14ac:dyDescent="0.25">
      <c r="A1155" s="31" t="str">
        <f>IF(Table!A1155 = "","",Table!A1155)</f>
        <v/>
      </c>
      <c r="B1155" s="31" t="str">
        <f>IF(Table!B1155 = "","",Table!B1155)</f>
        <v/>
      </c>
      <c r="C1155" s="31" t="str">
        <f>IF(Table!C1155 = "","",Table!C1155)</f>
        <v/>
      </c>
      <c r="D1155" s="32" t="str">
        <f>IF(Table!D1155 = "","",Table!D1155)</f>
        <v/>
      </c>
      <c r="E1155" s="32" t="str">
        <f>IF(Table!E1155 = "","",Table!E1155)</f>
        <v/>
      </c>
      <c r="F1155" s="32" t="str">
        <f>IF(Table!F1155 = "","",Table!F1155)</f>
        <v/>
      </c>
      <c r="G1155" s="91"/>
      <c r="K1155" s="31" t="str">
        <f>IFERROR(VLOOKUP(A1155,Table!$I$4:$O$3000,1,TRUE),"")</f>
        <v/>
      </c>
      <c r="L1155" s="31" t="str">
        <f>IFERROR(INDEX(Table!I:O,MATCH(K1155,Table!I:I,0),2),"")</f>
        <v/>
      </c>
      <c r="M1155" s="31" t="str">
        <f>IFERROR(INDEX(Table!I:O,MATCH(K1155,Table!I:I,0),3),"")</f>
        <v/>
      </c>
      <c r="N1155" s="32" t="str">
        <f>IFERROR(INDEX(Table!I:O,MATCH(K1155,Table!I:I,0),4),"")</f>
        <v/>
      </c>
      <c r="O1155" s="32" t="str">
        <f>IFERROR(INDEX(Table!I:O,MATCH(K1155,Table!I:I,0),5),"")</f>
        <v/>
      </c>
      <c r="P1155" s="32" t="str">
        <f>IFERROR(INDEX(Table!I:O,MATCH(K1155,Table!I:I,0),6),"")</f>
        <v/>
      </c>
      <c r="Q1155" s="89" t="str">
        <f t="shared" si="51"/>
        <v/>
      </c>
      <c r="R1155" s="89" t="str">
        <f t="shared" si="52"/>
        <v/>
      </c>
      <c r="S1155" s="82"/>
      <c r="U1155" s="37" t="e">
        <f t="shared" si="53"/>
        <v>#VALUE!</v>
      </c>
    </row>
    <row r="1156" spans="1:21" x14ac:dyDescent="0.25">
      <c r="A1156" s="31" t="str">
        <f>IF(Table!A1156 = "","",Table!A1156)</f>
        <v/>
      </c>
      <c r="B1156" s="31" t="str">
        <f>IF(Table!B1156 = "","",Table!B1156)</f>
        <v/>
      </c>
      <c r="C1156" s="31" t="str">
        <f>IF(Table!C1156 = "","",Table!C1156)</f>
        <v/>
      </c>
      <c r="D1156" s="32" t="str">
        <f>IF(Table!D1156 = "","",Table!D1156)</f>
        <v/>
      </c>
      <c r="E1156" s="32" t="str">
        <f>IF(Table!E1156 = "","",Table!E1156)</f>
        <v/>
      </c>
      <c r="F1156" s="32" t="str">
        <f>IF(Table!F1156 = "","",Table!F1156)</f>
        <v/>
      </c>
      <c r="G1156" s="91"/>
      <c r="K1156" s="31" t="str">
        <f>IFERROR(VLOOKUP(A1156,Table!$I$4:$O$3000,1,TRUE),"")</f>
        <v/>
      </c>
      <c r="L1156" s="31" t="str">
        <f>IFERROR(INDEX(Table!I:O,MATCH(K1156,Table!I:I,0),2),"")</f>
        <v/>
      </c>
      <c r="M1156" s="31" t="str">
        <f>IFERROR(INDEX(Table!I:O,MATCH(K1156,Table!I:I,0),3),"")</f>
        <v/>
      </c>
      <c r="N1156" s="32" t="str">
        <f>IFERROR(INDEX(Table!I:O,MATCH(K1156,Table!I:I,0),4),"")</f>
        <v/>
      </c>
      <c r="O1156" s="32" t="str">
        <f>IFERROR(INDEX(Table!I:O,MATCH(K1156,Table!I:I,0),5),"")</f>
        <v/>
      </c>
      <c r="P1156" s="32" t="str">
        <f>IFERROR(INDEX(Table!I:O,MATCH(K1156,Table!I:I,0),6),"")</f>
        <v/>
      </c>
      <c r="Q1156" s="89" t="str">
        <f t="shared" si="51"/>
        <v/>
      </c>
      <c r="R1156" s="89" t="str">
        <f t="shared" si="52"/>
        <v/>
      </c>
      <c r="S1156" s="82"/>
      <c r="U1156" s="37" t="e">
        <f t="shared" si="53"/>
        <v>#VALUE!</v>
      </c>
    </row>
    <row r="1157" spans="1:21" x14ac:dyDescent="0.25">
      <c r="A1157" s="31" t="str">
        <f>IF(Table!A1157 = "","",Table!A1157)</f>
        <v/>
      </c>
      <c r="B1157" s="31" t="str">
        <f>IF(Table!B1157 = "","",Table!B1157)</f>
        <v/>
      </c>
      <c r="C1157" s="31" t="str">
        <f>IF(Table!C1157 = "","",Table!C1157)</f>
        <v/>
      </c>
      <c r="D1157" s="32" t="str">
        <f>IF(Table!D1157 = "","",Table!D1157)</f>
        <v/>
      </c>
      <c r="E1157" s="32" t="str">
        <f>IF(Table!E1157 = "","",Table!E1157)</f>
        <v/>
      </c>
      <c r="F1157" s="32" t="str">
        <f>IF(Table!F1157 = "","",Table!F1157)</f>
        <v/>
      </c>
      <c r="G1157" s="91"/>
      <c r="K1157" s="31" t="str">
        <f>IFERROR(VLOOKUP(A1157,Table!$I$4:$O$3000,1,TRUE),"")</f>
        <v/>
      </c>
      <c r="L1157" s="31" t="str">
        <f>IFERROR(INDEX(Table!I:O,MATCH(K1157,Table!I:I,0),2),"")</f>
        <v/>
      </c>
      <c r="M1157" s="31" t="str">
        <f>IFERROR(INDEX(Table!I:O,MATCH(K1157,Table!I:I,0),3),"")</f>
        <v/>
      </c>
      <c r="N1157" s="32" t="str">
        <f>IFERROR(INDEX(Table!I:O,MATCH(K1157,Table!I:I,0),4),"")</f>
        <v/>
      </c>
      <c r="O1157" s="32" t="str">
        <f>IFERROR(INDEX(Table!I:O,MATCH(K1157,Table!I:I,0),5),"")</f>
        <v/>
      </c>
      <c r="P1157" s="32" t="str">
        <f>IFERROR(INDEX(Table!I:O,MATCH(K1157,Table!I:I,0),6),"")</f>
        <v/>
      </c>
      <c r="Q1157" s="89" t="str">
        <f t="shared" si="51"/>
        <v/>
      </c>
      <c r="R1157" s="89" t="str">
        <f t="shared" si="52"/>
        <v/>
      </c>
      <c r="S1157" s="82"/>
      <c r="U1157" s="37" t="e">
        <f t="shared" si="53"/>
        <v>#VALUE!</v>
      </c>
    </row>
    <row r="1158" spans="1:21" x14ac:dyDescent="0.25">
      <c r="A1158" s="31" t="str">
        <f>IF(Table!A1158 = "","",Table!A1158)</f>
        <v/>
      </c>
      <c r="B1158" s="31" t="str">
        <f>IF(Table!B1158 = "","",Table!B1158)</f>
        <v/>
      </c>
      <c r="C1158" s="31" t="str">
        <f>IF(Table!C1158 = "","",Table!C1158)</f>
        <v/>
      </c>
      <c r="D1158" s="32" t="str">
        <f>IF(Table!D1158 = "","",Table!D1158)</f>
        <v/>
      </c>
      <c r="E1158" s="32" t="str">
        <f>IF(Table!E1158 = "","",Table!E1158)</f>
        <v/>
      </c>
      <c r="F1158" s="32" t="str">
        <f>IF(Table!F1158 = "","",Table!F1158)</f>
        <v/>
      </c>
      <c r="G1158" s="91"/>
      <c r="K1158" s="31" t="str">
        <f>IFERROR(VLOOKUP(A1158,Table!$I$4:$O$3000,1,TRUE),"")</f>
        <v/>
      </c>
      <c r="L1158" s="31" t="str">
        <f>IFERROR(INDEX(Table!I:O,MATCH(K1158,Table!I:I,0),2),"")</f>
        <v/>
      </c>
      <c r="M1158" s="31" t="str">
        <f>IFERROR(INDEX(Table!I:O,MATCH(K1158,Table!I:I,0),3),"")</f>
        <v/>
      </c>
      <c r="N1158" s="32" t="str">
        <f>IFERROR(INDEX(Table!I:O,MATCH(K1158,Table!I:I,0),4),"")</f>
        <v/>
      </c>
      <c r="O1158" s="32" t="str">
        <f>IFERROR(INDEX(Table!I:O,MATCH(K1158,Table!I:I,0),5),"")</f>
        <v/>
      </c>
      <c r="P1158" s="32" t="str">
        <f>IFERROR(INDEX(Table!I:O,MATCH(K1158,Table!I:I,0),6),"")</f>
        <v/>
      </c>
      <c r="Q1158" s="89" t="str">
        <f t="shared" ref="Q1158:Q1221" si="54">IFERROR(L1158-B1158,"")</f>
        <v/>
      </c>
      <c r="R1158" s="89" t="str">
        <f t="shared" ref="R1158:R1221" si="55">IFERROR(M1158-C1158,"")</f>
        <v/>
      </c>
      <c r="S1158" s="82"/>
      <c r="U1158" s="37" t="e">
        <f t="shared" ref="U1158:U1221" si="56">K1158-K1157</f>
        <v>#VALUE!</v>
      </c>
    </row>
    <row r="1159" spans="1:21" x14ac:dyDescent="0.25">
      <c r="A1159" s="31" t="str">
        <f>IF(Table!A1159 = "","",Table!A1159)</f>
        <v/>
      </c>
      <c r="B1159" s="31" t="str">
        <f>IF(Table!B1159 = "","",Table!B1159)</f>
        <v/>
      </c>
      <c r="C1159" s="31" t="str">
        <f>IF(Table!C1159 = "","",Table!C1159)</f>
        <v/>
      </c>
      <c r="D1159" s="32" t="str">
        <f>IF(Table!D1159 = "","",Table!D1159)</f>
        <v/>
      </c>
      <c r="E1159" s="32" t="str">
        <f>IF(Table!E1159 = "","",Table!E1159)</f>
        <v/>
      </c>
      <c r="F1159" s="32" t="str">
        <f>IF(Table!F1159 = "","",Table!F1159)</f>
        <v/>
      </c>
      <c r="G1159" s="91"/>
      <c r="K1159" s="31" t="str">
        <f>IFERROR(VLOOKUP(A1159,Table!$I$4:$O$3000,1,TRUE),"")</f>
        <v/>
      </c>
      <c r="L1159" s="31" t="str">
        <f>IFERROR(INDEX(Table!I:O,MATCH(K1159,Table!I:I,0),2),"")</f>
        <v/>
      </c>
      <c r="M1159" s="31" t="str">
        <f>IFERROR(INDEX(Table!I:O,MATCH(K1159,Table!I:I,0),3),"")</f>
        <v/>
      </c>
      <c r="N1159" s="32" t="str">
        <f>IFERROR(INDEX(Table!I:O,MATCH(K1159,Table!I:I,0),4),"")</f>
        <v/>
      </c>
      <c r="O1159" s="32" t="str">
        <f>IFERROR(INDEX(Table!I:O,MATCH(K1159,Table!I:I,0),5),"")</f>
        <v/>
      </c>
      <c r="P1159" s="32" t="str">
        <f>IFERROR(INDEX(Table!I:O,MATCH(K1159,Table!I:I,0),6),"")</f>
        <v/>
      </c>
      <c r="Q1159" s="89" t="str">
        <f t="shared" si="54"/>
        <v/>
      </c>
      <c r="R1159" s="89" t="str">
        <f t="shared" si="55"/>
        <v/>
      </c>
      <c r="S1159" s="82"/>
      <c r="U1159" s="37" t="e">
        <f t="shared" si="56"/>
        <v>#VALUE!</v>
      </c>
    </row>
    <row r="1160" spans="1:21" x14ac:dyDescent="0.25">
      <c r="A1160" s="31" t="str">
        <f>IF(Table!A1160 = "","",Table!A1160)</f>
        <v/>
      </c>
      <c r="B1160" s="31" t="str">
        <f>IF(Table!B1160 = "","",Table!B1160)</f>
        <v/>
      </c>
      <c r="C1160" s="31" t="str">
        <f>IF(Table!C1160 = "","",Table!C1160)</f>
        <v/>
      </c>
      <c r="D1160" s="32" t="str">
        <f>IF(Table!D1160 = "","",Table!D1160)</f>
        <v/>
      </c>
      <c r="E1160" s="32" t="str">
        <f>IF(Table!E1160 = "","",Table!E1160)</f>
        <v/>
      </c>
      <c r="F1160" s="32" t="str">
        <f>IF(Table!F1160 = "","",Table!F1160)</f>
        <v/>
      </c>
      <c r="G1160" s="91"/>
      <c r="K1160" s="31" t="str">
        <f>IFERROR(VLOOKUP(A1160,Table!$I$4:$O$3000,1,TRUE),"")</f>
        <v/>
      </c>
      <c r="L1160" s="31" t="str">
        <f>IFERROR(INDEX(Table!I:O,MATCH(K1160,Table!I:I,0),2),"")</f>
        <v/>
      </c>
      <c r="M1160" s="31" t="str">
        <f>IFERROR(INDEX(Table!I:O,MATCH(K1160,Table!I:I,0),3),"")</f>
        <v/>
      </c>
      <c r="N1160" s="32" t="str">
        <f>IFERROR(INDEX(Table!I:O,MATCH(K1160,Table!I:I,0),4),"")</f>
        <v/>
      </c>
      <c r="O1160" s="32" t="str">
        <f>IFERROR(INDEX(Table!I:O,MATCH(K1160,Table!I:I,0),5),"")</f>
        <v/>
      </c>
      <c r="P1160" s="32" t="str">
        <f>IFERROR(INDEX(Table!I:O,MATCH(K1160,Table!I:I,0),6),"")</f>
        <v/>
      </c>
      <c r="Q1160" s="89" t="str">
        <f t="shared" si="54"/>
        <v/>
      </c>
      <c r="R1160" s="89" t="str">
        <f t="shared" si="55"/>
        <v/>
      </c>
      <c r="S1160" s="82"/>
      <c r="U1160" s="37" t="e">
        <f t="shared" si="56"/>
        <v>#VALUE!</v>
      </c>
    </row>
    <row r="1161" spans="1:21" x14ac:dyDescent="0.25">
      <c r="A1161" s="31" t="str">
        <f>IF(Table!A1161 = "","",Table!A1161)</f>
        <v/>
      </c>
      <c r="B1161" s="31" t="str">
        <f>IF(Table!B1161 = "","",Table!B1161)</f>
        <v/>
      </c>
      <c r="C1161" s="31" t="str">
        <f>IF(Table!C1161 = "","",Table!C1161)</f>
        <v/>
      </c>
      <c r="D1161" s="32" t="str">
        <f>IF(Table!D1161 = "","",Table!D1161)</f>
        <v/>
      </c>
      <c r="E1161" s="32" t="str">
        <f>IF(Table!E1161 = "","",Table!E1161)</f>
        <v/>
      </c>
      <c r="F1161" s="32" t="str">
        <f>IF(Table!F1161 = "","",Table!F1161)</f>
        <v/>
      </c>
      <c r="G1161" s="91"/>
      <c r="K1161" s="31" t="str">
        <f>IFERROR(VLOOKUP(A1161,Table!$I$4:$O$3000,1,TRUE),"")</f>
        <v/>
      </c>
      <c r="L1161" s="31" t="str">
        <f>IFERROR(INDEX(Table!I:O,MATCH(K1161,Table!I:I,0),2),"")</f>
        <v/>
      </c>
      <c r="M1161" s="31" t="str">
        <f>IFERROR(INDEX(Table!I:O,MATCH(K1161,Table!I:I,0),3),"")</f>
        <v/>
      </c>
      <c r="N1161" s="32" t="str">
        <f>IFERROR(INDEX(Table!I:O,MATCH(K1161,Table!I:I,0),4),"")</f>
        <v/>
      </c>
      <c r="O1161" s="32" t="str">
        <f>IFERROR(INDEX(Table!I:O,MATCH(K1161,Table!I:I,0),5),"")</f>
        <v/>
      </c>
      <c r="P1161" s="32" t="str">
        <f>IFERROR(INDEX(Table!I:O,MATCH(K1161,Table!I:I,0),6),"")</f>
        <v/>
      </c>
      <c r="Q1161" s="89" t="str">
        <f t="shared" si="54"/>
        <v/>
      </c>
      <c r="R1161" s="89" t="str">
        <f t="shared" si="55"/>
        <v/>
      </c>
      <c r="S1161" s="82"/>
      <c r="U1161" s="37" t="e">
        <f t="shared" si="56"/>
        <v>#VALUE!</v>
      </c>
    </row>
    <row r="1162" spans="1:21" x14ac:dyDescent="0.25">
      <c r="A1162" s="31" t="str">
        <f>IF(Table!A1162 = "","",Table!A1162)</f>
        <v/>
      </c>
      <c r="B1162" s="31" t="str">
        <f>IF(Table!B1162 = "","",Table!B1162)</f>
        <v/>
      </c>
      <c r="C1162" s="31" t="str">
        <f>IF(Table!C1162 = "","",Table!C1162)</f>
        <v/>
      </c>
      <c r="D1162" s="32" t="str">
        <f>IF(Table!D1162 = "","",Table!D1162)</f>
        <v/>
      </c>
      <c r="E1162" s="32" t="str">
        <f>IF(Table!E1162 = "","",Table!E1162)</f>
        <v/>
      </c>
      <c r="F1162" s="32" t="str">
        <f>IF(Table!F1162 = "","",Table!F1162)</f>
        <v/>
      </c>
      <c r="G1162" s="91"/>
      <c r="K1162" s="31" t="str">
        <f>IFERROR(VLOOKUP(A1162,Table!$I$4:$O$3000,1,TRUE),"")</f>
        <v/>
      </c>
      <c r="L1162" s="31" t="str">
        <f>IFERROR(INDEX(Table!I:O,MATCH(K1162,Table!I:I,0),2),"")</f>
        <v/>
      </c>
      <c r="M1162" s="31" t="str">
        <f>IFERROR(INDEX(Table!I:O,MATCH(K1162,Table!I:I,0),3),"")</f>
        <v/>
      </c>
      <c r="N1162" s="32" t="str">
        <f>IFERROR(INDEX(Table!I:O,MATCH(K1162,Table!I:I,0),4),"")</f>
        <v/>
      </c>
      <c r="O1162" s="32" t="str">
        <f>IFERROR(INDEX(Table!I:O,MATCH(K1162,Table!I:I,0),5),"")</f>
        <v/>
      </c>
      <c r="P1162" s="32" t="str">
        <f>IFERROR(INDEX(Table!I:O,MATCH(K1162,Table!I:I,0),6),"")</f>
        <v/>
      </c>
      <c r="Q1162" s="89" t="str">
        <f t="shared" si="54"/>
        <v/>
      </c>
      <c r="R1162" s="89" t="str">
        <f t="shared" si="55"/>
        <v/>
      </c>
      <c r="S1162" s="82"/>
      <c r="U1162" s="37" t="e">
        <f t="shared" si="56"/>
        <v>#VALUE!</v>
      </c>
    </row>
    <row r="1163" spans="1:21" x14ac:dyDescent="0.25">
      <c r="A1163" s="31" t="str">
        <f>IF(Table!A1163 = "","",Table!A1163)</f>
        <v/>
      </c>
      <c r="B1163" s="31" t="str">
        <f>IF(Table!B1163 = "","",Table!B1163)</f>
        <v/>
      </c>
      <c r="C1163" s="31" t="str">
        <f>IF(Table!C1163 = "","",Table!C1163)</f>
        <v/>
      </c>
      <c r="D1163" s="32" t="str">
        <f>IF(Table!D1163 = "","",Table!D1163)</f>
        <v/>
      </c>
      <c r="E1163" s="32" t="str">
        <f>IF(Table!E1163 = "","",Table!E1163)</f>
        <v/>
      </c>
      <c r="F1163" s="32" t="str">
        <f>IF(Table!F1163 = "","",Table!F1163)</f>
        <v/>
      </c>
      <c r="G1163" s="91"/>
      <c r="K1163" s="31" t="str">
        <f>IFERROR(VLOOKUP(A1163,Table!$I$4:$O$3000,1,TRUE),"")</f>
        <v/>
      </c>
      <c r="L1163" s="31" t="str">
        <f>IFERROR(INDEX(Table!I:O,MATCH(K1163,Table!I:I,0),2),"")</f>
        <v/>
      </c>
      <c r="M1163" s="31" t="str">
        <f>IFERROR(INDEX(Table!I:O,MATCH(K1163,Table!I:I,0),3),"")</f>
        <v/>
      </c>
      <c r="N1163" s="32" t="str">
        <f>IFERROR(INDEX(Table!I:O,MATCH(K1163,Table!I:I,0),4),"")</f>
        <v/>
      </c>
      <c r="O1163" s="32" t="str">
        <f>IFERROR(INDEX(Table!I:O,MATCH(K1163,Table!I:I,0),5),"")</f>
        <v/>
      </c>
      <c r="P1163" s="32" t="str">
        <f>IFERROR(INDEX(Table!I:O,MATCH(K1163,Table!I:I,0),6),"")</f>
        <v/>
      </c>
      <c r="Q1163" s="89" t="str">
        <f t="shared" si="54"/>
        <v/>
      </c>
      <c r="R1163" s="89" t="str">
        <f t="shared" si="55"/>
        <v/>
      </c>
      <c r="S1163" s="82"/>
      <c r="U1163" s="37" t="e">
        <f t="shared" si="56"/>
        <v>#VALUE!</v>
      </c>
    </row>
    <row r="1164" spans="1:21" x14ac:dyDescent="0.25">
      <c r="A1164" s="31" t="str">
        <f>IF(Table!A1164 = "","",Table!A1164)</f>
        <v/>
      </c>
      <c r="B1164" s="31" t="str">
        <f>IF(Table!B1164 = "","",Table!B1164)</f>
        <v/>
      </c>
      <c r="C1164" s="31" t="str">
        <f>IF(Table!C1164 = "","",Table!C1164)</f>
        <v/>
      </c>
      <c r="D1164" s="32" t="str">
        <f>IF(Table!D1164 = "","",Table!D1164)</f>
        <v/>
      </c>
      <c r="E1164" s="32" t="str">
        <f>IF(Table!E1164 = "","",Table!E1164)</f>
        <v/>
      </c>
      <c r="F1164" s="32" t="str">
        <f>IF(Table!F1164 = "","",Table!F1164)</f>
        <v/>
      </c>
      <c r="G1164" s="91"/>
      <c r="K1164" s="31" t="str">
        <f>IFERROR(VLOOKUP(A1164,Table!$I$4:$O$3000,1,TRUE),"")</f>
        <v/>
      </c>
      <c r="L1164" s="31" t="str">
        <f>IFERROR(INDEX(Table!I:O,MATCH(K1164,Table!I:I,0),2),"")</f>
        <v/>
      </c>
      <c r="M1164" s="31" t="str">
        <f>IFERROR(INDEX(Table!I:O,MATCH(K1164,Table!I:I,0),3),"")</f>
        <v/>
      </c>
      <c r="N1164" s="32" t="str">
        <f>IFERROR(INDEX(Table!I:O,MATCH(K1164,Table!I:I,0),4),"")</f>
        <v/>
      </c>
      <c r="O1164" s="32" t="str">
        <f>IFERROR(INDEX(Table!I:O,MATCH(K1164,Table!I:I,0),5),"")</f>
        <v/>
      </c>
      <c r="P1164" s="32" t="str">
        <f>IFERROR(INDEX(Table!I:O,MATCH(K1164,Table!I:I,0),6),"")</f>
        <v/>
      </c>
      <c r="Q1164" s="89" t="str">
        <f t="shared" si="54"/>
        <v/>
      </c>
      <c r="R1164" s="89" t="str">
        <f t="shared" si="55"/>
        <v/>
      </c>
      <c r="S1164" s="82"/>
      <c r="U1164" s="37" t="e">
        <f t="shared" si="56"/>
        <v>#VALUE!</v>
      </c>
    </row>
    <row r="1165" spans="1:21" x14ac:dyDescent="0.25">
      <c r="A1165" s="31" t="str">
        <f>IF(Table!A1165 = "","",Table!A1165)</f>
        <v/>
      </c>
      <c r="B1165" s="31" t="str">
        <f>IF(Table!B1165 = "","",Table!B1165)</f>
        <v/>
      </c>
      <c r="C1165" s="31" t="str">
        <f>IF(Table!C1165 = "","",Table!C1165)</f>
        <v/>
      </c>
      <c r="D1165" s="32" t="str">
        <f>IF(Table!D1165 = "","",Table!D1165)</f>
        <v/>
      </c>
      <c r="E1165" s="32" t="str">
        <f>IF(Table!E1165 = "","",Table!E1165)</f>
        <v/>
      </c>
      <c r="F1165" s="32" t="str">
        <f>IF(Table!F1165 = "","",Table!F1165)</f>
        <v/>
      </c>
      <c r="G1165" s="91"/>
      <c r="K1165" s="31" t="str">
        <f>IFERROR(VLOOKUP(A1165,Table!$I$4:$O$3000,1,TRUE),"")</f>
        <v/>
      </c>
      <c r="L1165" s="31" t="str">
        <f>IFERROR(INDEX(Table!I:O,MATCH(K1165,Table!I:I,0),2),"")</f>
        <v/>
      </c>
      <c r="M1165" s="31" t="str">
        <f>IFERROR(INDEX(Table!I:O,MATCH(K1165,Table!I:I,0),3),"")</f>
        <v/>
      </c>
      <c r="N1165" s="32" t="str">
        <f>IFERROR(INDEX(Table!I:O,MATCH(K1165,Table!I:I,0),4),"")</f>
        <v/>
      </c>
      <c r="O1165" s="32" t="str">
        <f>IFERROR(INDEX(Table!I:O,MATCH(K1165,Table!I:I,0),5),"")</f>
        <v/>
      </c>
      <c r="P1165" s="32" t="str">
        <f>IFERROR(INDEX(Table!I:O,MATCH(K1165,Table!I:I,0),6),"")</f>
        <v/>
      </c>
      <c r="Q1165" s="89" t="str">
        <f t="shared" si="54"/>
        <v/>
      </c>
      <c r="R1165" s="89" t="str">
        <f t="shared" si="55"/>
        <v/>
      </c>
      <c r="S1165" s="82"/>
      <c r="U1165" s="37" t="e">
        <f t="shared" si="56"/>
        <v>#VALUE!</v>
      </c>
    </row>
    <row r="1166" spans="1:21" x14ac:dyDescent="0.25">
      <c r="A1166" s="31" t="str">
        <f>IF(Table!A1166 = "","",Table!A1166)</f>
        <v/>
      </c>
      <c r="B1166" s="31" t="str">
        <f>IF(Table!B1166 = "","",Table!B1166)</f>
        <v/>
      </c>
      <c r="C1166" s="31" t="str">
        <f>IF(Table!C1166 = "","",Table!C1166)</f>
        <v/>
      </c>
      <c r="D1166" s="32" t="str">
        <f>IF(Table!D1166 = "","",Table!D1166)</f>
        <v/>
      </c>
      <c r="E1166" s="32" t="str">
        <f>IF(Table!E1166 = "","",Table!E1166)</f>
        <v/>
      </c>
      <c r="F1166" s="32" t="str">
        <f>IF(Table!F1166 = "","",Table!F1166)</f>
        <v/>
      </c>
      <c r="G1166" s="91"/>
      <c r="K1166" s="31" t="str">
        <f>IFERROR(VLOOKUP(A1166,Table!$I$4:$O$3000,1,TRUE),"")</f>
        <v/>
      </c>
      <c r="L1166" s="31" t="str">
        <f>IFERROR(INDEX(Table!I:O,MATCH(K1166,Table!I:I,0),2),"")</f>
        <v/>
      </c>
      <c r="M1166" s="31" t="str">
        <f>IFERROR(INDEX(Table!I:O,MATCH(K1166,Table!I:I,0),3),"")</f>
        <v/>
      </c>
      <c r="N1166" s="32" t="str">
        <f>IFERROR(INDEX(Table!I:O,MATCH(K1166,Table!I:I,0),4),"")</f>
        <v/>
      </c>
      <c r="O1166" s="32" t="str">
        <f>IFERROR(INDEX(Table!I:O,MATCH(K1166,Table!I:I,0),5),"")</f>
        <v/>
      </c>
      <c r="P1166" s="32" t="str">
        <f>IFERROR(INDEX(Table!I:O,MATCH(K1166,Table!I:I,0),6),"")</f>
        <v/>
      </c>
      <c r="Q1166" s="89" t="str">
        <f t="shared" si="54"/>
        <v/>
      </c>
      <c r="R1166" s="89" t="str">
        <f t="shared" si="55"/>
        <v/>
      </c>
      <c r="S1166" s="82"/>
      <c r="U1166" s="37" t="e">
        <f t="shared" si="56"/>
        <v>#VALUE!</v>
      </c>
    </row>
    <row r="1167" spans="1:21" x14ac:dyDescent="0.25">
      <c r="A1167" s="31" t="str">
        <f>IF(Table!A1167 = "","",Table!A1167)</f>
        <v/>
      </c>
      <c r="B1167" s="31" t="str">
        <f>IF(Table!B1167 = "","",Table!B1167)</f>
        <v/>
      </c>
      <c r="C1167" s="31" t="str">
        <f>IF(Table!C1167 = "","",Table!C1167)</f>
        <v/>
      </c>
      <c r="D1167" s="32" t="str">
        <f>IF(Table!D1167 = "","",Table!D1167)</f>
        <v/>
      </c>
      <c r="E1167" s="32" t="str">
        <f>IF(Table!E1167 = "","",Table!E1167)</f>
        <v/>
      </c>
      <c r="F1167" s="32" t="str">
        <f>IF(Table!F1167 = "","",Table!F1167)</f>
        <v/>
      </c>
      <c r="G1167" s="91"/>
      <c r="K1167" s="31" t="str">
        <f>IFERROR(VLOOKUP(A1167,Table!$I$4:$O$3000,1,TRUE),"")</f>
        <v/>
      </c>
      <c r="L1167" s="31" t="str">
        <f>IFERROR(INDEX(Table!I:O,MATCH(K1167,Table!I:I,0),2),"")</f>
        <v/>
      </c>
      <c r="M1167" s="31" t="str">
        <f>IFERROR(INDEX(Table!I:O,MATCH(K1167,Table!I:I,0),3),"")</f>
        <v/>
      </c>
      <c r="N1167" s="32" t="str">
        <f>IFERROR(INDEX(Table!I:O,MATCH(K1167,Table!I:I,0),4),"")</f>
        <v/>
      </c>
      <c r="O1167" s="32" t="str">
        <f>IFERROR(INDEX(Table!I:O,MATCH(K1167,Table!I:I,0),5),"")</f>
        <v/>
      </c>
      <c r="P1167" s="32" t="str">
        <f>IFERROR(INDEX(Table!I:O,MATCH(K1167,Table!I:I,0),6),"")</f>
        <v/>
      </c>
      <c r="Q1167" s="89" t="str">
        <f t="shared" si="54"/>
        <v/>
      </c>
      <c r="R1167" s="89" t="str">
        <f t="shared" si="55"/>
        <v/>
      </c>
      <c r="S1167" s="82"/>
      <c r="U1167" s="37" t="e">
        <f t="shared" si="56"/>
        <v>#VALUE!</v>
      </c>
    </row>
    <row r="1168" spans="1:21" x14ac:dyDescent="0.25">
      <c r="A1168" s="31" t="str">
        <f>IF(Table!A1168 = "","",Table!A1168)</f>
        <v/>
      </c>
      <c r="B1168" s="31" t="str">
        <f>IF(Table!B1168 = "","",Table!B1168)</f>
        <v/>
      </c>
      <c r="C1168" s="31" t="str">
        <f>IF(Table!C1168 = "","",Table!C1168)</f>
        <v/>
      </c>
      <c r="D1168" s="32" t="str">
        <f>IF(Table!D1168 = "","",Table!D1168)</f>
        <v/>
      </c>
      <c r="E1168" s="32" t="str">
        <f>IF(Table!E1168 = "","",Table!E1168)</f>
        <v/>
      </c>
      <c r="F1168" s="32" t="str">
        <f>IF(Table!F1168 = "","",Table!F1168)</f>
        <v/>
      </c>
      <c r="G1168" s="91"/>
      <c r="K1168" s="31" t="str">
        <f>IFERROR(VLOOKUP(A1168,Table!$I$4:$O$3000,1,TRUE),"")</f>
        <v/>
      </c>
      <c r="L1168" s="31" t="str">
        <f>IFERROR(INDEX(Table!I:O,MATCH(K1168,Table!I:I,0),2),"")</f>
        <v/>
      </c>
      <c r="M1168" s="31" t="str">
        <f>IFERROR(INDEX(Table!I:O,MATCH(K1168,Table!I:I,0),3),"")</f>
        <v/>
      </c>
      <c r="N1168" s="32" t="str">
        <f>IFERROR(INDEX(Table!I:O,MATCH(K1168,Table!I:I,0),4),"")</f>
        <v/>
      </c>
      <c r="O1168" s="32" t="str">
        <f>IFERROR(INDEX(Table!I:O,MATCH(K1168,Table!I:I,0),5),"")</f>
        <v/>
      </c>
      <c r="P1168" s="32" t="str">
        <f>IFERROR(INDEX(Table!I:O,MATCH(K1168,Table!I:I,0),6),"")</f>
        <v/>
      </c>
      <c r="Q1168" s="89" t="str">
        <f t="shared" si="54"/>
        <v/>
      </c>
      <c r="R1168" s="89" t="str">
        <f t="shared" si="55"/>
        <v/>
      </c>
      <c r="S1168" s="82"/>
      <c r="U1168" s="37" t="e">
        <f t="shared" si="56"/>
        <v>#VALUE!</v>
      </c>
    </row>
    <row r="1169" spans="1:21" x14ac:dyDescent="0.25">
      <c r="A1169" s="31" t="str">
        <f>IF(Table!A1169 = "","",Table!A1169)</f>
        <v/>
      </c>
      <c r="B1169" s="31" t="str">
        <f>IF(Table!B1169 = "","",Table!B1169)</f>
        <v/>
      </c>
      <c r="C1169" s="31" t="str">
        <f>IF(Table!C1169 = "","",Table!C1169)</f>
        <v/>
      </c>
      <c r="D1169" s="32" t="str">
        <f>IF(Table!D1169 = "","",Table!D1169)</f>
        <v/>
      </c>
      <c r="E1169" s="32" t="str">
        <f>IF(Table!E1169 = "","",Table!E1169)</f>
        <v/>
      </c>
      <c r="F1169" s="32" t="str">
        <f>IF(Table!F1169 = "","",Table!F1169)</f>
        <v/>
      </c>
      <c r="G1169" s="91"/>
      <c r="K1169" s="31" t="str">
        <f>IFERROR(VLOOKUP(A1169,Table!$I$4:$O$3000,1,TRUE),"")</f>
        <v/>
      </c>
      <c r="L1169" s="31" t="str">
        <f>IFERROR(INDEX(Table!I:O,MATCH(K1169,Table!I:I,0),2),"")</f>
        <v/>
      </c>
      <c r="M1169" s="31" t="str">
        <f>IFERROR(INDEX(Table!I:O,MATCH(K1169,Table!I:I,0),3),"")</f>
        <v/>
      </c>
      <c r="N1169" s="32" t="str">
        <f>IFERROR(INDEX(Table!I:O,MATCH(K1169,Table!I:I,0),4),"")</f>
        <v/>
      </c>
      <c r="O1169" s="32" t="str">
        <f>IFERROR(INDEX(Table!I:O,MATCH(K1169,Table!I:I,0),5),"")</f>
        <v/>
      </c>
      <c r="P1169" s="32" t="str">
        <f>IFERROR(INDEX(Table!I:O,MATCH(K1169,Table!I:I,0),6),"")</f>
        <v/>
      </c>
      <c r="Q1169" s="89" t="str">
        <f t="shared" si="54"/>
        <v/>
      </c>
      <c r="R1169" s="89" t="str">
        <f t="shared" si="55"/>
        <v/>
      </c>
      <c r="S1169" s="82"/>
      <c r="U1169" s="37" t="e">
        <f t="shared" si="56"/>
        <v>#VALUE!</v>
      </c>
    </row>
    <row r="1170" spans="1:21" x14ac:dyDescent="0.25">
      <c r="A1170" s="31" t="str">
        <f>IF(Table!A1170 = "","",Table!A1170)</f>
        <v/>
      </c>
      <c r="B1170" s="31" t="str">
        <f>IF(Table!B1170 = "","",Table!B1170)</f>
        <v/>
      </c>
      <c r="C1170" s="31" t="str">
        <f>IF(Table!C1170 = "","",Table!C1170)</f>
        <v/>
      </c>
      <c r="D1170" s="32" t="str">
        <f>IF(Table!D1170 = "","",Table!D1170)</f>
        <v/>
      </c>
      <c r="E1170" s="32" t="str">
        <f>IF(Table!E1170 = "","",Table!E1170)</f>
        <v/>
      </c>
      <c r="F1170" s="32" t="str">
        <f>IF(Table!F1170 = "","",Table!F1170)</f>
        <v/>
      </c>
      <c r="G1170" s="91"/>
      <c r="K1170" s="31" t="str">
        <f>IFERROR(VLOOKUP(A1170,Table!$I$4:$O$3000,1,TRUE),"")</f>
        <v/>
      </c>
      <c r="L1170" s="31" t="str">
        <f>IFERROR(INDEX(Table!I:O,MATCH(K1170,Table!I:I,0),2),"")</f>
        <v/>
      </c>
      <c r="M1170" s="31" t="str">
        <f>IFERROR(INDEX(Table!I:O,MATCH(K1170,Table!I:I,0),3),"")</f>
        <v/>
      </c>
      <c r="N1170" s="32" t="str">
        <f>IFERROR(INDEX(Table!I:O,MATCH(K1170,Table!I:I,0),4),"")</f>
        <v/>
      </c>
      <c r="O1170" s="32" t="str">
        <f>IFERROR(INDEX(Table!I:O,MATCH(K1170,Table!I:I,0),5),"")</f>
        <v/>
      </c>
      <c r="P1170" s="32" t="str">
        <f>IFERROR(INDEX(Table!I:O,MATCH(K1170,Table!I:I,0),6),"")</f>
        <v/>
      </c>
      <c r="Q1170" s="89" t="str">
        <f t="shared" si="54"/>
        <v/>
      </c>
      <c r="R1170" s="89" t="str">
        <f t="shared" si="55"/>
        <v/>
      </c>
      <c r="S1170" s="82"/>
      <c r="U1170" s="37" t="e">
        <f t="shared" si="56"/>
        <v>#VALUE!</v>
      </c>
    </row>
    <row r="1171" spans="1:21" x14ac:dyDescent="0.25">
      <c r="A1171" s="31" t="str">
        <f>IF(Table!A1171 = "","",Table!A1171)</f>
        <v/>
      </c>
      <c r="B1171" s="31" t="str">
        <f>IF(Table!B1171 = "","",Table!B1171)</f>
        <v/>
      </c>
      <c r="C1171" s="31" t="str">
        <f>IF(Table!C1171 = "","",Table!C1171)</f>
        <v/>
      </c>
      <c r="D1171" s="32" t="str">
        <f>IF(Table!D1171 = "","",Table!D1171)</f>
        <v/>
      </c>
      <c r="E1171" s="32" t="str">
        <f>IF(Table!E1171 = "","",Table!E1171)</f>
        <v/>
      </c>
      <c r="F1171" s="32" t="str">
        <f>IF(Table!F1171 = "","",Table!F1171)</f>
        <v/>
      </c>
      <c r="G1171" s="91"/>
      <c r="K1171" s="31" t="str">
        <f>IFERROR(VLOOKUP(A1171,Table!$I$4:$O$3000,1,TRUE),"")</f>
        <v/>
      </c>
      <c r="L1171" s="31" t="str">
        <f>IFERROR(INDEX(Table!I:O,MATCH(K1171,Table!I:I,0),2),"")</f>
        <v/>
      </c>
      <c r="M1171" s="31" t="str">
        <f>IFERROR(INDEX(Table!I:O,MATCH(K1171,Table!I:I,0),3),"")</f>
        <v/>
      </c>
      <c r="N1171" s="32" t="str">
        <f>IFERROR(INDEX(Table!I:O,MATCH(K1171,Table!I:I,0),4),"")</f>
        <v/>
      </c>
      <c r="O1171" s="32" t="str">
        <f>IFERROR(INDEX(Table!I:O,MATCH(K1171,Table!I:I,0),5),"")</f>
        <v/>
      </c>
      <c r="P1171" s="32" t="str">
        <f>IFERROR(INDEX(Table!I:O,MATCH(K1171,Table!I:I,0),6),"")</f>
        <v/>
      </c>
      <c r="Q1171" s="89" t="str">
        <f t="shared" si="54"/>
        <v/>
      </c>
      <c r="R1171" s="89" t="str">
        <f t="shared" si="55"/>
        <v/>
      </c>
      <c r="S1171" s="82"/>
      <c r="U1171" s="37" t="e">
        <f t="shared" si="56"/>
        <v>#VALUE!</v>
      </c>
    </row>
    <row r="1172" spans="1:21" x14ac:dyDescent="0.25">
      <c r="A1172" s="31" t="str">
        <f>IF(Table!A1172 = "","",Table!A1172)</f>
        <v/>
      </c>
      <c r="B1172" s="31" t="str">
        <f>IF(Table!B1172 = "","",Table!B1172)</f>
        <v/>
      </c>
      <c r="C1172" s="31" t="str">
        <f>IF(Table!C1172 = "","",Table!C1172)</f>
        <v/>
      </c>
      <c r="D1172" s="32" t="str">
        <f>IF(Table!D1172 = "","",Table!D1172)</f>
        <v/>
      </c>
      <c r="E1172" s="32" t="str">
        <f>IF(Table!E1172 = "","",Table!E1172)</f>
        <v/>
      </c>
      <c r="F1172" s="32" t="str">
        <f>IF(Table!F1172 = "","",Table!F1172)</f>
        <v/>
      </c>
      <c r="G1172" s="91"/>
      <c r="K1172" s="31" t="str">
        <f>IFERROR(VLOOKUP(A1172,Table!$I$4:$O$3000,1,TRUE),"")</f>
        <v/>
      </c>
      <c r="L1172" s="31" t="str">
        <f>IFERROR(INDEX(Table!I:O,MATCH(K1172,Table!I:I,0),2),"")</f>
        <v/>
      </c>
      <c r="M1172" s="31" t="str">
        <f>IFERROR(INDEX(Table!I:O,MATCH(K1172,Table!I:I,0),3),"")</f>
        <v/>
      </c>
      <c r="N1172" s="32" t="str">
        <f>IFERROR(INDEX(Table!I:O,MATCH(K1172,Table!I:I,0),4),"")</f>
        <v/>
      </c>
      <c r="O1172" s="32" t="str">
        <f>IFERROR(INDEX(Table!I:O,MATCH(K1172,Table!I:I,0),5),"")</f>
        <v/>
      </c>
      <c r="P1172" s="32" t="str">
        <f>IFERROR(INDEX(Table!I:O,MATCH(K1172,Table!I:I,0),6),"")</f>
        <v/>
      </c>
      <c r="Q1172" s="89" t="str">
        <f t="shared" si="54"/>
        <v/>
      </c>
      <c r="R1172" s="89" t="str">
        <f t="shared" si="55"/>
        <v/>
      </c>
      <c r="S1172" s="82"/>
      <c r="U1172" s="37" t="e">
        <f t="shared" si="56"/>
        <v>#VALUE!</v>
      </c>
    </row>
    <row r="1173" spans="1:21" x14ac:dyDescent="0.25">
      <c r="A1173" s="31" t="str">
        <f>IF(Table!A1173 = "","",Table!A1173)</f>
        <v/>
      </c>
      <c r="B1173" s="31" t="str">
        <f>IF(Table!B1173 = "","",Table!B1173)</f>
        <v/>
      </c>
      <c r="C1173" s="31" t="str">
        <f>IF(Table!C1173 = "","",Table!C1173)</f>
        <v/>
      </c>
      <c r="D1173" s="32" t="str">
        <f>IF(Table!D1173 = "","",Table!D1173)</f>
        <v/>
      </c>
      <c r="E1173" s="32" t="str">
        <f>IF(Table!E1173 = "","",Table!E1173)</f>
        <v/>
      </c>
      <c r="F1173" s="32" t="str">
        <f>IF(Table!F1173 = "","",Table!F1173)</f>
        <v/>
      </c>
      <c r="G1173" s="91"/>
      <c r="K1173" s="31" t="str">
        <f>IFERROR(VLOOKUP(A1173,Table!$I$4:$O$3000,1,TRUE),"")</f>
        <v/>
      </c>
      <c r="L1173" s="31" t="str">
        <f>IFERROR(INDEX(Table!I:O,MATCH(K1173,Table!I:I,0),2),"")</f>
        <v/>
      </c>
      <c r="M1173" s="31" t="str">
        <f>IFERROR(INDEX(Table!I:O,MATCH(K1173,Table!I:I,0),3),"")</f>
        <v/>
      </c>
      <c r="N1173" s="32" t="str">
        <f>IFERROR(INDEX(Table!I:O,MATCH(K1173,Table!I:I,0),4),"")</f>
        <v/>
      </c>
      <c r="O1173" s="32" t="str">
        <f>IFERROR(INDEX(Table!I:O,MATCH(K1173,Table!I:I,0),5),"")</f>
        <v/>
      </c>
      <c r="P1173" s="32" t="str">
        <f>IFERROR(INDEX(Table!I:O,MATCH(K1173,Table!I:I,0),6),"")</f>
        <v/>
      </c>
      <c r="Q1173" s="89" t="str">
        <f t="shared" si="54"/>
        <v/>
      </c>
      <c r="R1173" s="89" t="str">
        <f t="shared" si="55"/>
        <v/>
      </c>
      <c r="S1173" s="82"/>
      <c r="U1173" s="37" t="e">
        <f t="shared" si="56"/>
        <v>#VALUE!</v>
      </c>
    </row>
    <row r="1174" spans="1:21" x14ac:dyDescent="0.25">
      <c r="A1174" s="31" t="str">
        <f>IF(Table!A1174 = "","",Table!A1174)</f>
        <v/>
      </c>
      <c r="B1174" s="31" t="str">
        <f>IF(Table!B1174 = "","",Table!B1174)</f>
        <v/>
      </c>
      <c r="C1174" s="31" t="str">
        <f>IF(Table!C1174 = "","",Table!C1174)</f>
        <v/>
      </c>
      <c r="D1174" s="32" t="str">
        <f>IF(Table!D1174 = "","",Table!D1174)</f>
        <v/>
      </c>
      <c r="E1174" s="32" t="str">
        <f>IF(Table!E1174 = "","",Table!E1174)</f>
        <v/>
      </c>
      <c r="F1174" s="32" t="str">
        <f>IF(Table!F1174 = "","",Table!F1174)</f>
        <v/>
      </c>
      <c r="G1174" s="91"/>
      <c r="K1174" s="31" t="str">
        <f>IFERROR(VLOOKUP(A1174,Table!$I$4:$O$3000,1,TRUE),"")</f>
        <v/>
      </c>
      <c r="L1174" s="31" t="str">
        <f>IFERROR(INDEX(Table!I:O,MATCH(K1174,Table!I:I,0),2),"")</f>
        <v/>
      </c>
      <c r="M1174" s="31" t="str">
        <f>IFERROR(INDEX(Table!I:O,MATCH(K1174,Table!I:I,0),3),"")</f>
        <v/>
      </c>
      <c r="N1174" s="32" t="str">
        <f>IFERROR(INDEX(Table!I:O,MATCH(K1174,Table!I:I,0),4),"")</f>
        <v/>
      </c>
      <c r="O1174" s="32" t="str">
        <f>IFERROR(INDEX(Table!I:O,MATCH(K1174,Table!I:I,0),5),"")</f>
        <v/>
      </c>
      <c r="P1174" s="32" t="str">
        <f>IFERROR(INDEX(Table!I:O,MATCH(K1174,Table!I:I,0),6),"")</f>
        <v/>
      </c>
      <c r="Q1174" s="89" t="str">
        <f t="shared" si="54"/>
        <v/>
      </c>
      <c r="R1174" s="89" t="str">
        <f t="shared" si="55"/>
        <v/>
      </c>
      <c r="S1174" s="82"/>
      <c r="U1174" s="37" t="e">
        <f t="shared" si="56"/>
        <v>#VALUE!</v>
      </c>
    </row>
    <row r="1175" spans="1:21" x14ac:dyDescent="0.25">
      <c r="A1175" s="31" t="str">
        <f>IF(Table!A1175 = "","",Table!A1175)</f>
        <v/>
      </c>
      <c r="B1175" s="31" t="str">
        <f>IF(Table!B1175 = "","",Table!B1175)</f>
        <v/>
      </c>
      <c r="C1175" s="31" t="str">
        <f>IF(Table!C1175 = "","",Table!C1175)</f>
        <v/>
      </c>
      <c r="D1175" s="32" t="str">
        <f>IF(Table!D1175 = "","",Table!D1175)</f>
        <v/>
      </c>
      <c r="E1175" s="32" t="str">
        <f>IF(Table!E1175 = "","",Table!E1175)</f>
        <v/>
      </c>
      <c r="F1175" s="32" t="str">
        <f>IF(Table!F1175 = "","",Table!F1175)</f>
        <v/>
      </c>
      <c r="G1175" s="91"/>
      <c r="K1175" s="31" t="str">
        <f>IFERROR(VLOOKUP(A1175,Table!$I$4:$O$3000,1,TRUE),"")</f>
        <v/>
      </c>
      <c r="L1175" s="31" t="str">
        <f>IFERROR(INDEX(Table!I:O,MATCH(K1175,Table!I:I,0),2),"")</f>
        <v/>
      </c>
      <c r="M1175" s="31" t="str">
        <f>IFERROR(INDEX(Table!I:O,MATCH(K1175,Table!I:I,0),3),"")</f>
        <v/>
      </c>
      <c r="N1175" s="32" t="str">
        <f>IFERROR(INDEX(Table!I:O,MATCH(K1175,Table!I:I,0),4),"")</f>
        <v/>
      </c>
      <c r="O1175" s="32" t="str">
        <f>IFERROR(INDEX(Table!I:O,MATCH(K1175,Table!I:I,0),5),"")</f>
        <v/>
      </c>
      <c r="P1175" s="32" t="str">
        <f>IFERROR(INDEX(Table!I:O,MATCH(K1175,Table!I:I,0),6),"")</f>
        <v/>
      </c>
      <c r="Q1175" s="89" t="str">
        <f t="shared" si="54"/>
        <v/>
      </c>
      <c r="R1175" s="89" t="str">
        <f t="shared" si="55"/>
        <v/>
      </c>
      <c r="S1175" s="82"/>
      <c r="U1175" s="37" t="e">
        <f t="shared" si="56"/>
        <v>#VALUE!</v>
      </c>
    </row>
    <row r="1176" spans="1:21" x14ac:dyDescent="0.25">
      <c r="A1176" s="31" t="str">
        <f>IF(Table!A1176 = "","",Table!A1176)</f>
        <v/>
      </c>
      <c r="B1176" s="31" t="str">
        <f>IF(Table!B1176 = "","",Table!B1176)</f>
        <v/>
      </c>
      <c r="C1176" s="31" t="str">
        <f>IF(Table!C1176 = "","",Table!C1176)</f>
        <v/>
      </c>
      <c r="D1176" s="32" t="str">
        <f>IF(Table!D1176 = "","",Table!D1176)</f>
        <v/>
      </c>
      <c r="E1176" s="32" t="str">
        <f>IF(Table!E1176 = "","",Table!E1176)</f>
        <v/>
      </c>
      <c r="F1176" s="32" t="str">
        <f>IF(Table!F1176 = "","",Table!F1176)</f>
        <v/>
      </c>
      <c r="G1176" s="91"/>
      <c r="K1176" s="31" t="str">
        <f>IFERROR(VLOOKUP(A1176,Table!$I$4:$O$3000,1,TRUE),"")</f>
        <v/>
      </c>
      <c r="L1176" s="31" t="str">
        <f>IFERROR(INDEX(Table!I:O,MATCH(K1176,Table!I:I,0),2),"")</f>
        <v/>
      </c>
      <c r="M1176" s="31" t="str">
        <f>IFERROR(INDEX(Table!I:O,MATCH(K1176,Table!I:I,0),3),"")</f>
        <v/>
      </c>
      <c r="N1176" s="32" t="str">
        <f>IFERROR(INDEX(Table!I:O,MATCH(K1176,Table!I:I,0),4),"")</f>
        <v/>
      </c>
      <c r="O1176" s="32" t="str">
        <f>IFERROR(INDEX(Table!I:O,MATCH(K1176,Table!I:I,0),5),"")</f>
        <v/>
      </c>
      <c r="P1176" s="32" t="str">
        <f>IFERROR(INDEX(Table!I:O,MATCH(K1176,Table!I:I,0),6),"")</f>
        <v/>
      </c>
      <c r="Q1176" s="89" t="str">
        <f t="shared" si="54"/>
        <v/>
      </c>
      <c r="R1176" s="89" t="str">
        <f t="shared" si="55"/>
        <v/>
      </c>
      <c r="S1176" s="82"/>
      <c r="U1176" s="37" t="e">
        <f t="shared" si="56"/>
        <v>#VALUE!</v>
      </c>
    </row>
    <row r="1177" spans="1:21" x14ac:dyDescent="0.25">
      <c r="A1177" s="31" t="str">
        <f>IF(Table!A1177 = "","",Table!A1177)</f>
        <v/>
      </c>
      <c r="B1177" s="31" t="str">
        <f>IF(Table!B1177 = "","",Table!B1177)</f>
        <v/>
      </c>
      <c r="C1177" s="31" t="str">
        <f>IF(Table!C1177 = "","",Table!C1177)</f>
        <v/>
      </c>
      <c r="D1177" s="32" t="str">
        <f>IF(Table!D1177 = "","",Table!D1177)</f>
        <v/>
      </c>
      <c r="E1177" s="32" t="str">
        <f>IF(Table!E1177 = "","",Table!E1177)</f>
        <v/>
      </c>
      <c r="F1177" s="32" t="str">
        <f>IF(Table!F1177 = "","",Table!F1177)</f>
        <v/>
      </c>
      <c r="G1177" s="91"/>
      <c r="K1177" s="31" t="str">
        <f>IFERROR(VLOOKUP(A1177,Table!$I$4:$O$3000,1,TRUE),"")</f>
        <v/>
      </c>
      <c r="L1177" s="31" t="str">
        <f>IFERROR(INDEX(Table!I:O,MATCH(K1177,Table!I:I,0),2),"")</f>
        <v/>
      </c>
      <c r="M1177" s="31" t="str">
        <f>IFERROR(INDEX(Table!I:O,MATCH(K1177,Table!I:I,0),3),"")</f>
        <v/>
      </c>
      <c r="N1177" s="32" t="str">
        <f>IFERROR(INDEX(Table!I:O,MATCH(K1177,Table!I:I,0),4),"")</f>
        <v/>
      </c>
      <c r="O1177" s="32" t="str">
        <f>IFERROR(INDEX(Table!I:O,MATCH(K1177,Table!I:I,0),5),"")</f>
        <v/>
      </c>
      <c r="P1177" s="32" t="str">
        <f>IFERROR(INDEX(Table!I:O,MATCH(K1177,Table!I:I,0),6),"")</f>
        <v/>
      </c>
      <c r="Q1177" s="89" t="str">
        <f t="shared" si="54"/>
        <v/>
      </c>
      <c r="R1177" s="89" t="str">
        <f t="shared" si="55"/>
        <v/>
      </c>
      <c r="S1177" s="82"/>
      <c r="U1177" s="37" t="e">
        <f t="shared" si="56"/>
        <v>#VALUE!</v>
      </c>
    </row>
    <row r="1178" spans="1:21" x14ac:dyDescent="0.25">
      <c r="A1178" s="31" t="str">
        <f>IF(Table!A1178 = "","",Table!A1178)</f>
        <v/>
      </c>
      <c r="B1178" s="31" t="str">
        <f>IF(Table!B1178 = "","",Table!B1178)</f>
        <v/>
      </c>
      <c r="C1178" s="31" t="str">
        <f>IF(Table!C1178 = "","",Table!C1178)</f>
        <v/>
      </c>
      <c r="D1178" s="32" t="str">
        <f>IF(Table!D1178 = "","",Table!D1178)</f>
        <v/>
      </c>
      <c r="E1178" s="32" t="str">
        <f>IF(Table!E1178 = "","",Table!E1178)</f>
        <v/>
      </c>
      <c r="F1178" s="32" t="str">
        <f>IF(Table!F1178 = "","",Table!F1178)</f>
        <v/>
      </c>
      <c r="G1178" s="91"/>
      <c r="K1178" s="31" t="str">
        <f>IFERROR(VLOOKUP(A1178,Table!$I$4:$O$3000,1,TRUE),"")</f>
        <v/>
      </c>
      <c r="L1178" s="31" t="str">
        <f>IFERROR(INDEX(Table!I:O,MATCH(K1178,Table!I:I,0),2),"")</f>
        <v/>
      </c>
      <c r="M1178" s="31" t="str">
        <f>IFERROR(INDEX(Table!I:O,MATCH(K1178,Table!I:I,0),3),"")</f>
        <v/>
      </c>
      <c r="N1178" s="32" t="str">
        <f>IFERROR(INDEX(Table!I:O,MATCH(K1178,Table!I:I,0),4),"")</f>
        <v/>
      </c>
      <c r="O1178" s="32" t="str">
        <f>IFERROR(INDEX(Table!I:O,MATCH(K1178,Table!I:I,0),5),"")</f>
        <v/>
      </c>
      <c r="P1178" s="32" t="str">
        <f>IFERROR(INDEX(Table!I:O,MATCH(K1178,Table!I:I,0),6),"")</f>
        <v/>
      </c>
      <c r="Q1178" s="89" t="str">
        <f t="shared" si="54"/>
        <v/>
      </c>
      <c r="R1178" s="89" t="str">
        <f t="shared" si="55"/>
        <v/>
      </c>
      <c r="S1178" s="82"/>
      <c r="U1178" s="37" t="e">
        <f t="shared" si="56"/>
        <v>#VALUE!</v>
      </c>
    </row>
    <row r="1179" spans="1:21" x14ac:dyDescent="0.25">
      <c r="A1179" s="31" t="str">
        <f>IF(Table!A1179 = "","",Table!A1179)</f>
        <v/>
      </c>
      <c r="B1179" s="31" t="str">
        <f>IF(Table!B1179 = "","",Table!B1179)</f>
        <v/>
      </c>
      <c r="C1179" s="31" t="str">
        <f>IF(Table!C1179 = "","",Table!C1179)</f>
        <v/>
      </c>
      <c r="D1179" s="32" t="str">
        <f>IF(Table!D1179 = "","",Table!D1179)</f>
        <v/>
      </c>
      <c r="E1179" s="32" t="str">
        <f>IF(Table!E1179 = "","",Table!E1179)</f>
        <v/>
      </c>
      <c r="F1179" s="32" t="str">
        <f>IF(Table!F1179 = "","",Table!F1179)</f>
        <v/>
      </c>
      <c r="G1179" s="91"/>
      <c r="K1179" s="31" t="str">
        <f>IFERROR(VLOOKUP(A1179,Table!$I$4:$O$3000,1,TRUE),"")</f>
        <v/>
      </c>
      <c r="L1179" s="31" t="str">
        <f>IFERROR(INDEX(Table!I:O,MATCH(K1179,Table!I:I,0),2),"")</f>
        <v/>
      </c>
      <c r="M1179" s="31" t="str">
        <f>IFERROR(INDEX(Table!I:O,MATCH(K1179,Table!I:I,0),3),"")</f>
        <v/>
      </c>
      <c r="N1179" s="32" t="str">
        <f>IFERROR(INDEX(Table!I:O,MATCH(K1179,Table!I:I,0),4),"")</f>
        <v/>
      </c>
      <c r="O1179" s="32" t="str">
        <f>IFERROR(INDEX(Table!I:O,MATCH(K1179,Table!I:I,0),5),"")</f>
        <v/>
      </c>
      <c r="P1179" s="32" t="str">
        <f>IFERROR(INDEX(Table!I:O,MATCH(K1179,Table!I:I,0),6),"")</f>
        <v/>
      </c>
      <c r="Q1179" s="89" t="str">
        <f t="shared" si="54"/>
        <v/>
      </c>
      <c r="R1179" s="89" t="str">
        <f t="shared" si="55"/>
        <v/>
      </c>
      <c r="S1179" s="82"/>
      <c r="U1179" s="37" t="e">
        <f t="shared" si="56"/>
        <v>#VALUE!</v>
      </c>
    </row>
    <row r="1180" spans="1:21" x14ac:dyDescent="0.25">
      <c r="A1180" s="31" t="str">
        <f>IF(Table!A1180 = "","",Table!A1180)</f>
        <v/>
      </c>
      <c r="B1180" s="31" t="str">
        <f>IF(Table!B1180 = "","",Table!B1180)</f>
        <v/>
      </c>
      <c r="C1180" s="31" t="str">
        <f>IF(Table!C1180 = "","",Table!C1180)</f>
        <v/>
      </c>
      <c r="D1180" s="32" t="str">
        <f>IF(Table!D1180 = "","",Table!D1180)</f>
        <v/>
      </c>
      <c r="E1180" s="32" t="str">
        <f>IF(Table!E1180 = "","",Table!E1180)</f>
        <v/>
      </c>
      <c r="F1180" s="32" t="str">
        <f>IF(Table!F1180 = "","",Table!F1180)</f>
        <v/>
      </c>
      <c r="G1180" s="91"/>
      <c r="K1180" s="31" t="str">
        <f>IFERROR(VLOOKUP(A1180,Table!$I$4:$O$3000,1,TRUE),"")</f>
        <v/>
      </c>
      <c r="L1180" s="31" t="str">
        <f>IFERROR(INDEX(Table!I:O,MATCH(K1180,Table!I:I,0),2),"")</f>
        <v/>
      </c>
      <c r="M1180" s="31" t="str">
        <f>IFERROR(INDEX(Table!I:O,MATCH(K1180,Table!I:I,0),3),"")</f>
        <v/>
      </c>
      <c r="N1180" s="32" t="str">
        <f>IFERROR(INDEX(Table!I:O,MATCH(K1180,Table!I:I,0),4),"")</f>
        <v/>
      </c>
      <c r="O1180" s="32" t="str">
        <f>IFERROR(INDEX(Table!I:O,MATCH(K1180,Table!I:I,0),5),"")</f>
        <v/>
      </c>
      <c r="P1180" s="32" t="str">
        <f>IFERROR(INDEX(Table!I:O,MATCH(K1180,Table!I:I,0),6),"")</f>
        <v/>
      </c>
      <c r="Q1180" s="89" t="str">
        <f t="shared" si="54"/>
        <v/>
      </c>
      <c r="R1180" s="89" t="str">
        <f t="shared" si="55"/>
        <v/>
      </c>
      <c r="S1180" s="82"/>
      <c r="U1180" s="37" t="e">
        <f t="shared" si="56"/>
        <v>#VALUE!</v>
      </c>
    </row>
    <row r="1181" spans="1:21" x14ac:dyDescent="0.25">
      <c r="A1181" s="31" t="str">
        <f>IF(Table!A1181 = "","",Table!A1181)</f>
        <v/>
      </c>
      <c r="B1181" s="31" t="str">
        <f>IF(Table!B1181 = "","",Table!B1181)</f>
        <v/>
      </c>
      <c r="C1181" s="31" t="str">
        <f>IF(Table!C1181 = "","",Table!C1181)</f>
        <v/>
      </c>
      <c r="D1181" s="32" t="str">
        <f>IF(Table!D1181 = "","",Table!D1181)</f>
        <v/>
      </c>
      <c r="E1181" s="32" t="str">
        <f>IF(Table!E1181 = "","",Table!E1181)</f>
        <v/>
      </c>
      <c r="F1181" s="32" t="str">
        <f>IF(Table!F1181 = "","",Table!F1181)</f>
        <v/>
      </c>
      <c r="G1181" s="91"/>
      <c r="K1181" s="31" t="str">
        <f>IFERROR(VLOOKUP(A1181,Table!$I$4:$O$3000,1,TRUE),"")</f>
        <v/>
      </c>
      <c r="L1181" s="31" t="str">
        <f>IFERROR(INDEX(Table!I:O,MATCH(K1181,Table!I:I,0),2),"")</f>
        <v/>
      </c>
      <c r="M1181" s="31" t="str">
        <f>IFERROR(INDEX(Table!I:O,MATCH(K1181,Table!I:I,0),3),"")</f>
        <v/>
      </c>
      <c r="N1181" s="32" t="str">
        <f>IFERROR(INDEX(Table!I:O,MATCH(K1181,Table!I:I,0),4),"")</f>
        <v/>
      </c>
      <c r="O1181" s="32" t="str">
        <f>IFERROR(INDEX(Table!I:O,MATCH(K1181,Table!I:I,0),5),"")</f>
        <v/>
      </c>
      <c r="P1181" s="32" t="str">
        <f>IFERROR(INDEX(Table!I:O,MATCH(K1181,Table!I:I,0),6),"")</f>
        <v/>
      </c>
      <c r="Q1181" s="89" t="str">
        <f t="shared" si="54"/>
        <v/>
      </c>
      <c r="R1181" s="89" t="str">
        <f t="shared" si="55"/>
        <v/>
      </c>
      <c r="S1181" s="82"/>
      <c r="U1181" s="37" t="e">
        <f t="shared" si="56"/>
        <v>#VALUE!</v>
      </c>
    </row>
    <row r="1182" spans="1:21" x14ac:dyDescent="0.25">
      <c r="A1182" s="31" t="str">
        <f>IF(Table!A1182 = "","",Table!A1182)</f>
        <v/>
      </c>
      <c r="B1182" s="31" t="str">
        <f>IF(Table!B1182 = "","",Table!B1182)</f>
        <v/>
      </c>
      <c r="C1182" s="31" t="str">
        <f>IF(Table!C1182 = "","",Table!C1182)</f>
        <v/>
      </c>
      <c r="D1182" s="32" t="str">
        <f>IF(Table!D1182 = "","",Table!D1182)</f>
        <v/>
      </c>
      <c r="E1182" s="32" t="str">
        <f>IF(Table!E1182 = "","",Table!E1182)</f>
        <v/>
      </c>
      <c r="F1182" s="32" t="str">
        <f>IF(Table!F1182 = "","",Table!F1182)</f>
        <v/>
      </c>
      <c r="G1182" s="91"/>
      <c r="K1182" s="31" t="str">
        <f>IFERROR(VLOOKUP(A1182,Table!$I$4:$O$3000,1,TRUE),"")</f>
        <v/>
      </c>
      <c r="L1182" s="31" t="str">
        <f>IFERROR(INDEX(Table!I:O,MATCH(K1182,Table!I:I,0),2),"")</f>
        <v/>
      </c>
      <c r="M1182" s="31" t="str">
        <f>IFERROR(INDEX(Table!I:O,MATCH(K1182,Table!I:I,0),3),"")</f>
        <v/>
      </c>
      <c r="N1182" s="32" t="str">
        <f>IFERROR(INDEX(Table!I:O,MATCH(K1182,Table!I:I,0),4),"")</f>
        <v/>
      </c>
      <c r="O1182" s="32" t="str">
        <f>IFERROR(INDEX(Table!I:O,MATCH(K1182,Table!I:I,0),5),"")</f>
        <v/>
      </c>
      <c r="P1182" s="32" t="str">
        <f>IFERROR(INDEX(Table!I:O,MATCH(K1182,Table!I:I,0),6),"")</f>
        <v/>
      </c>
      <c r="Q1182" s="89" t="str">
        <f t="shared" si="54"/>
        <v/>
      </c>
      <c r="R1182" s="89" t="str">
        <f t="shared" si="55"/>
        <v/>
      </c>
      <c r="S1182" s="82"/>
      <c r="U1182" s="37" t="e">
        <f t="shared" si="56"/>
        <v>#VALUE!</v>
      </c>
    </row>
    <row r="1183" spans="1:21" x14ac:dyDescent="0.25">
      <c r="A1183" s="31" t="str">
        <f>IF(Table!A1183 = "","",Table!A1183)</f>
        <v/>
      </c>
      <c r="B1183" s="31" t="str">
        <f>IF(Table!B1183 = "","",Table!B1183)</f>
        <v/>
      </c>
      <c r="C1183" s="31" t="str">
        <f>IF(Table!C1183 = "","",Table!C1183)</f>
        <v/>
      </c>
      <c r="D1183" s="32" t="str">
        <f>IF(Table!D1183 = "","",Table!D1183)</f>
        <v/>
      </c>
      <c r="E1183" s="32" t="str">
        <f>IF(Table!E1183 = "","",Table!E1183)</f>
        <v/>
      </c>
      <c r="F1183" s="32" t="str">
        <f>IF(Table!F1183 = "","",Table!F1183)</f>
        <v/>
      </c>
      <c r="G1183" s="91"/>
      <c r="K1183" s="31" t="str">
        <f>IFERROR(VLOOKUP(A1183,Table!$I$4:$O$3000,1,TRUE),"")</f>
        <v/>
      </c>
      <c r="L1183" s="31" t="str">
        <f>IFERROR(INDEX(Table!I:O,MATCH(K1183,Table!I:I,0),2),"")</f>
        <v/>
      </c>
      <c r="M1183" s="31" t="str">
        <f>IFERROR(INDEX(Table!I:O,MATCH(K1183,Table!I:I,0),3),"")</f>
        <v/>
      </c>
      <c r="N1183" s="32" t="str">
        <f>IFERROR(INDEX(Table!I:O,MATCH(K1183,Table!I:I,0),4),"")</f>
        <v/>
      </c>
      <c r="O1183" s="32" t="str">
        <f>IFERROR(INDEX(Table!I:O,MATCH(K1183,Table!I:I,0),5),"")</f>
        <v/>
      </c>
      <c r="P1183" s="32" t="str">
        <f>IFERROR(INDEX(Table!I:O,MATCH(K1183,Table!I:I,0),6),"")</f>
        <v/>
      </c>
      <c r="Q1183" s="89" t="str">
        <f t="shared" si="54"/>
        <v/>
      </c>
      <c r="R1183" s="89" t="str">
        <f t="shared" si="55"/>
        <v/>
      </c>
      <c r="S1183" s="82"/>
      <c r="U1183" s="37" t="e">
        <f t="shared" si="56"/>
        <v>#VALUE!</v>
      </c>
    </row>
    <row r="1184" spans="1:21" x14ac:dyDescent="0.25">
      <c r="A1184" s="31" t="str">
        <f>IF(Table!A1184 = "","",Table!A1184)</f>
        <v/>
      </c>
      <c r="B1184" s="31" t="str">
        <f>IF(Table!B1184 = "","",Table!B1184)</f>
        <v/>
      </c>
      <c r="C1184" s="31" t="str">
        <f>IF(Table!C1184 = "","",Table!C1184)</f>
        <v/>
      </c>
      <c r="D1184" s="32" t="str">
        <f>IF(Table!D1184 = "","",Table!D1184)</f>
        <v/>
      </c>
      <c r="E1184" s="32" t="str">
        <f>IF(Table!E1184 = "","",Table!E1184)</f>
        <v/>
      </c>
      <c r="F1184" s="32" t="str">
        <f>IF(Table!F1184 = "","",Table!F1184)</f>
        <v/>
      </c>
      <c r="G1184" s="91"/>
      <c r="K1184" s="31" t="str">
        <f>IFERROR(VLOOKUP(A1184,Table!$I$4:$O$3000,1,TRUE),"")</f>
        <v/>
      </c>
      <c r="L1184" s="31" t="str">
        <f>IFERROR(INDEX(Table!I:O,MATCH(K1184,Table!I:I,0),2),"")</f>
        <v/>
      </c>
      <c r="M1184" s="31" t="str">
        <f>IFERROR(INDEX(Table!I:O,MATCH(K1184,Table!I:I,0),3),"")</f>
        <v/>
      </c>
      <c r="N1184" s="32" t="str">
        <f>IFERROR(INDEX(Table!I:O,MATCH(K1184,Table!I:I,0),4),"")</f>
        <v/>
      </c>
      <c r="O1184" s="32" t="str">
        <f>IFERROR(INDEX(Table!I:O,MATCH(K1184,Table!I:I,0),5),"")</f>
        <v/>
      </c>
      <c r="P1184" s="32" t="str">
        <f>IFERROR(INDEX(Table!I:O,MATCH(K1184,Table!I:I,0),6),"")</f>
        <v/>
      </c>
      <c r="Q1184" s="89" t="str">
        <f t="shared" si="54"/>
        <v/>
      </c>
      <c r="R1184" s="89" t="str">
        <f t="shared" si="55"/>
        <v/>
      </c>
      <c r="S1184" s="82"/>
      <c r="U1184" s="37" t="e">
        <f t="shared" si="56"/>
        <v>#VALUE!</v>
      </c>
    </row>
    <row r="1185" spans="1:21" x14ac:dyDescent="0.25">
      <c r="A1185" s="31" t="str">
        <f>IF(Table!A1185 = "","",Table!A1185)</f>
        <v/>
      </c>
      <c r="B1185" s="31" t="str">
        <f>IF(Table!B1185 = "","",Table!B1185)</f>
        <v/>
      </c>
      <c r="C1185" s="31" t="str">
        <f>IF(Table!C1185 = "","",Table!C1185)</f>
        <v/>
      </c>
      <c r="D1185" s="32" t="str">
        <f>IF(Table!D1185 = "","",Table!D1185)</f>
        <v/>
      </c>
      <c r="E1185" s="32" t="str">
        <f>IF(Table!E1185 = "","",Table!E1185)</f>
        <v/>
      </c>
      <c r="F1185" s="32" t="str">
        <f>IF(Table!F1185 = "","",Table!F1185)</f>
        <v/>
      </c>
      <c r="G1185" s="91"/>
      <c r="K1185" s="31" t="str">
        <f>IFERROR(VLOOKUP(A1185,Table!$I$4:$O$3000,1,TRUE),"")</f>
        <v/>
      </c>
      <c r="L1185" s="31" t="str">
        <f>IFERROR(INDEX(Table!I:O,MATCH(K1185,Table!I:I,0),2),"")</f>
        <v/>
      </c>
      <c r="M1185" s="31" t="str">
        <f>IFERROR(INDEX(Table!I:O,MATCH(K1185,Table!I:I,0),3),"")</f>
        <v/>
      </c>
      <c r="N1185" s="32" t="str">
        <f>IFERROR(INDEX(Table!I:O,MATCH(K1185,Table!I:I,0),4),"")</f>
        <v/>
      </c>
      <c r="O1185" s="32" t="str">
        <f>IFERROR(INDEX(Table!I:O,MATCH(K1185,Table!I:I,0),5),"")</f>
        <v/>
      </c>
      <c r="P1185" s="32" t="str">
        <f>IFERROR(INDEX(Table!I:O,MATCH(K1185,Table!I:I,0),6),"")</f>
        <v/>
      </c>
      <c r="Q1185" s="89" t="str">
        <f t="shared" si="54"/>
        <v/>
      </c>
      <c r="R1185" s="89" t="str">
        <f t="shared" si="55"/>
        <v/>
      </c>
      <c r="S1185" s="82"/>
      <c r="U1185" s="37" t="e">
        <f t="shared" si="56"/>
        <v>#VALUE!</v>
      </c>
    </row>
    <row r="1186" spans="1:21" x14ac:dyDescent="0.25">
      <c r="A1186" s="31" t="str">
        <f>IF(Table!A1186 = "","",Table!A1186)</f>
        <v/>
      </c>
      <c r="B1186" s="31" t="str">
        <f>IF(Table!B1186 = "","",Table!B1186)</f>
        <v/>
      </c>
      <c r="C1186" s="31" t="str">
        <f>IF(Table!C1186 = "","",Table!C1186)</f>
        <v/>
      </c>
      <c r="D1186" s="32" t="str">
        <f>IF(Table!D1186 = "","",Table!D1186)</f>
        <v/>
      </c>
      <c r="E1186" s="32" t="str">
        <f>IF(Table!E1186 = "","",Table!E1186)</f>
        <v/>
      </c>
      <c r="F1186" s="32" t="str">
        <f>IF(Table!F1186 = "","",Table!F1186)</f>
        <v/>
      </c>
      <c r="G1186" s="91"/>
      <c r="K1186" s="31" t="str">
        <f>IFERROR(VLOOKUP(A1186,Table!$I$4:$O$3000,1,TRUE),"")</f>
        <v/>
      </c>
      <c r="L1186" s="31" t="str">
        <f>IFERROR(INDEX(Table!I:O,MATCH(K1186,Table!I:I,0),2),"")</f>
        <v/>
      </c>
      <c r="M1186" s="31" t="str">
        <f>IFERROR(INDEX(Table!I:O,MATCH(K1186,Table!I:I,0),3),"")</f>
        <v/>
      </c>
      <c r="N1186" s="32" t="str">
        <f>IFERROR(INDEX(Table!I:O,MATCH(K1186,Table!I:I,0),4),"")</f>
        <v/>
      </c>
      <c r="O1186" s="32" t="str">
        <f>IFERROR(INDEX(Table!I:O,MATCH(K1186,Table!I:I,0),5),"")</f>
        <v/>
      </c>
      <c r="P1186" s="32" t="str">
        <f>IFERROR(INDEX(Table!I:O,MATCH(K1186,Table!I:I,0),6),"")</f>
        <v/>
      </c>
      <c r="Q1186" s="89" t="str">
        <f t="shared" si="54"/>
        <v/>
      </c>
      <c r="R1186" s="89" t="str">
        <f t="shared" si="55"/>
        <v/>
      </c>
      <c r="S1186" s="82"/>
      <c r="U1186" s="37" t="e">
        <f t="shared" si="56"/>
        <v>#VALUE!</v>
      </c>
    </row>
    <row r="1187" spans="1:21" x14ac:dyDescent="0.25">
      <c r="A1187" s="31" t="str">
        <f>IF(Table!A1187 = "","",Table!A1187)</f>
        <v/>
      </c>
      <c r="B1187" s="31" t="str">
        <f>IF(Table!B1187 = "","",Table!B1187)</f>
        <v/>
      </c>
      <c r="C1187" s="31" t="str">
        <f>IF(Table!C1187 = "","",Table!C1187)</f>
        <v/>
      </c>
      <c r="D1187" s="32" t="str">
        <f>IF(Table!D1187 = "","",Table!D1187)</f>
        <v/>
      </c>
      <c r="E1187" s="32" t="str">
        <f>IF(Table!E1187 = "","",Table!E1187)</f>
        <v/>
      </c>
      <c r="F1187" s="32" t="str">
        <f>IF(Table!F1187 = "","",Table!F1187)</f>
        <v/>
      </c>
      <c r="G1187" s="91"/>
      <c r="K1187" s="31" t="str">
        <f>IFERROR(VLOOKUP(A1187,Table!$I$4:$O$3000,1,TRUE),"")</f>
        <v/>
      </c>
      <c r="L1187" s="31" t="str">
        <f>IFERROR(INDEX(Table!I:O,MATCH(K1187,Table!I:I,0),2),"")</f>
        <v/>
      </c>
      <c r="M1187" s="31" t="str">
        <f>IFERROR(INDEX(Table!I:O,MATCH(K1187,Table!I:I,0),3),"")</f>
        <v/>
      </c>
      <c r="N1187" s="32" t="str">
        <f>IFERROR(INDEX(Table!I:O,MATCH(K1187,Table!I:I,0),4),"")</f>
        <v/>
      </c>
      <c r="O1187" s="32" t="str">
        <f>IFERROR(INDEX(Table!I:O,MATCH(K1187,Table!I:I,0),5),"")</f>
        <v/>
      </c>
      <c r="P1187" s="32" t="str">
        <f>IFERROR(INDEX(Table!I:O,MATCH(K1187,Table!I:I,0),6),"")</f>
        <v/>
      </c>
      <c r="Q1187" s="89" t="str">
        <f t="shared" si="54"/>
        <v/>
      </c>
      <c r="R1187" s="89" t="str">
        <f t="shared" si="55"/>
        <v/>
      </c>
      <c r="S1187" s="82"/>
      <c r="U1187" s="37" t="e">
        <f t="shared" si="56"/>
        <v>#VALUE!</v>
      </c>
    </row>
    <row r="1188" spans="1:21" x14ac:dyDescent="0.25">
      <c r="A1188" s="31" t="str">
        <f>IF(Table!A1188 = "","",Table!A1188)</f>
        <v/>
      </c>
      <c r="B1188" s="31" t="str">
        <f>IF(Table!B1188 = "","",Table!B1188)</f>
        <v/>
      </c>
      <c r="C1188" s="31" t="str">
        <f>IF(Table!C1188 = "","",Table!C1188)</f>
        <v/>
      </c>
      <c r="D1188" s="32" t="str">
        <f>IF(Table!D1188 = "","",Table!D1188)</f>
        <v/>
      </c>
      <c r="E1188" s="32" t="str">
        <f>IF(Table!E1188 = "","",Table!E1188)</f>
        <v/>
      </c>
      <c r="F1188" s="32" t="str">
        <f>IF(Table!F1188 = "","",Table!F1188)</f>
        <v/>
      </c>
      <c r="G1188" s="91"/>
      <c r="K1188" s="31" t="str">
        <f>IFERROR(VLOOKUP(A1188,Table!$I$4:$O$3000,1,TRUE),"")</f>
        <v/>
      </c>
      <c r="L1188" s="31" t="str">
        <f>IFERROR(INDEX(Table!I:O,MATCH(K1188,Table!I:I,0),2),"")</f>
        <v/>
      </c>
      <c r="M1188" s="31" t="str">
        <f>IFERROR(INDEX(Table!I:O,MATCH(K1188,Table!I:I,0),3),"")</f>
        <v/>
      </c>
      <c r="N1188" s="32" t="str">
        <f>IFERROR(INDEX(Table!I:O,MATCH(K1188,Table!I:I,0),4),"")</f>
        <v/>
      </c>
      <c r="O1188" s="32" t="str">
        <f>IFERROR(INDEX(Table!I:O,MATCH(K1188,Table!I:I,0),5),"")</f>
        <v/>
      </c>
      <c r="P1188" s="32" t="str">
        <f>IFERROR(INDEX(Table!I:O,MATCH(K1188,Table!I:I,0),6),"")</f>
        <v/>
      </c>
      <c r="Q1188" s="89" t="str">
        <f t="shared" si="54"/>
        <v/>
      </c>
      <c r="R1188" s="89" t="str">
        <f t="shared" si="55"/>
        <v/>
      </c>
      <c r="S1188" s="82"/>
      <c r="U1188" s="37" t="e">
        <f t="shared" si="56"/>
        <v>#VALUE!</v>
      </c>
    </row>
    <row r="1189" spans="1:21" x14ac:dyDescent="0.25">
      <c r="A1189" s="31" t="str">
        <f>IF(Table!A1189 = "","",Table!A1189)</f>
        <v/>
      </c>
      <c r="B1189" s="31" t="str">
        <f>IF(Table!B1189 = "","",Table!B1189)</f>
        <v/>
      </c>
      <c r="C1189" s="31" t="str">
        <f>IF(Table!C1189 = "","",Table!C1189)</f>
        <v/>
      </c>
      <c r="D1189" s="32" t="str">
        <f>IF(Table!D1189 = "","",Table!D1189)</f>
        <v/>
      </c>
      <c r="E1189" s="32" t="str">
        <f>IF(Table!E1189 = "","",Table!E1189)</f>
        <v/>
      </c>
      <c r="F1189" s="32" t="str">
        <f>IF(Table!F1189 = "","",Table!F1189)</f>
        <v/>
      </c>
      <c r="G1189" s="91"/>
      <c r="K1189" s="31" t="str">
        <f>IFERROR(VLOOKUP(A1189,Table!$I$4:$O$3000,1,TRUE),"")</f>
        <v/>
      </c>
      <c r="L1189" s="31" t="str">
        <f>IFERROR(INDEX(Table!I:O,MATCH(K1189,Table!I:I,0),2),"")</f>
        <v/>
      </c>
      <c r="M1189" s="31" t="str">
        <f>IFERROR(INDEX(Table!I:O,MATCH(K1189,Table!I:I,0),3),"")</f>
        <v/>
      </c>
      <c r="N1189" s="32" t="str">
        <f>IFERROR(INDEX(Table!I:O,MATCH(K1189,Table!I:I,0),4),"")</f>
        <v/>
      </c>
      <c r="O1189" s="32" t="str">
        <f>IFERROR(INDEX(Table!I:O,MATCH(K1189,Table!I:I,0),5),"")</f>
        <v/>
      </c>
      <c r="P1189" s="32" t="str">
        <f>IFERROR(INDEX(Table!I:O,MATCH(K1189,Table!I:I,0),6),"")</f>
        <v/>
      </c>
      <c r="Q1189" s="89" t="str">
        <f t="shared" si="54"/>
        <v/>
      </c>
      <c r="R1189" s="89" t="str">
        <f t="shared" si="55"/>
        <v/>
      </c>
      <c r="S1189" s="82"/>
      <c r="U1189" s="37" t="e">
        <f t="shared" si="56"/>
        <v>#VALUE!</v>
      </c>
    </row>
    <row r="1190" spans="1:21" x14ac:dyDescent="0.25">
      <c r="A1190" s="31" t="str">
        <f>IF(Table!A1190 = "","",Table!A1190)</f>
        <v/>
      </c>
      <c r="B1190" s="31" t="str">
        <f>IF(Table!B1190 = "","",Table!B1190)</f>
        <v/>
      </c>
      <c r="C1190" s="31" t="str">
        <f>IF(Table!C1190 = "","",Table!C1190)</f>
        <v/>
      </c>
      <c r="D1190" s="32" t="str">
        <f>IF(Table!D1190 = "","",Table!D1190)</f>
        <v/>
      </c>
      <c r="E1190" s="32" t="str">
        <f>IF(Table!E1190 = "","",Table!E1190)</f>
        <v/>
      </c>
      <c r="F1190" s="32" t="str">
        <f>IF(Table!F1190 = "","",Table!F1190)</f>
        <v/>
      </c>
      <c r="G1190" s="91"/>
      <c r="K1190" s="31" t="str">
        <f>IFERROR(VLOOKUP(A1190,Table!$I$4:$O$3000,1,TRUE),"")</f>
        <v/>
      </c>
      <c r="L1190" s="31" t="str">
        <f>IFERROR(INDEX(Table!I:O,MATCH(K1190,Table!I:I,0),2),"")</f>
        <v/>
      </c>
      <c r="M1190" s="31" t="str">
        <f>IFERROR(INDEX(Table!I:O,MATCH(K1190,Table!I:I,0),3),"")</f>
        <v/>
      </c>
      <c r="N1190" s="32" t="str">
        <f>IFERROR(INDEX(Table!I:O,MATCH(K1190,Table!I:I,0),4),"")</f>
        <v/>
      </c>
      <c r="O1190" s="32" t="str">
        <f>IFERROR(INDEX(Table!I:O,MATCH(K1190,Table!I:I,0),5),"")</f>
        <v/>
      </c>
      <c r="P1190" s="32" t="str">
        <f>IFERROR(INDEX(Table!I:O,MATCH(K1190,Table!I:I,0),6),"")</f>
        <v/>
      </c>
      <c r="Q1190" s="89" t="str">
        <f t="shared" si="54"/>
        <v/>
      </c>
      <c r="R1190" s="89" t="str">
        <f t="shared" si="55"/>
        <v/>
      </c>
      <c r="S1190" s="82"/>
      <c r="U1190" s="37" t="e">
        <f t="shared" si="56"/>
        <v>#VALUE!</v>
      </c>
    </row>
    <row r="1191" spans="1:21" x14ac:dyDescent="0.25">
      <c r="A1191" s="31" t="str">
        <f>IF(Table!A1191 = "","",Table!A1191)</f>
        <v/>
      </c>
      <c r="B1191" s="31" t="str">
        <f>IF(Table!B1191 = "","",Table!B1191)</f>
        <v/>
      </c>
      <c r="C1191" s="31" t="str">
        <f>IF(Table!C1191 = "","",Table!C1191)</f>
        <v/>
      </c>
      <c r="D1191" s="32" t="str">
        <f>IF(Table!D1191 = "","",Table!D1191)</f>
        <v/>
      </c>
      <c r="E1191" s="32" t="str">
        <f>IF(Table!E1191 = "","",Table!E1191)</f>
        <v/>
      </c>
      <c r="F1191" s="32" t="str">
        <f>IF(Table!F1191 = "","",Table!F1191)</f>
        <v/>
      </c>
      <c r="G1191" s="91"/>
      <c r="K1191" s="31" t="str">
        <f>IFERROR(VLOOKUP(A1191,Table!$I$4:$O$3000,1,TRUE),"")</f>
        <v/>
      </c>
      <c r="L1191" s="31" t="str">
        <f>IFERROR(INDEX(Table!I:O,MATCH(K1191,Table!I:I,0),2),"")</f>
        <v/>
      </c>
      <c r="M1191" s="31" t="str">
        <f>IFERROR(INDEX(Table!I:O,MATCH(K1191,Table!I:I,0),3),"")</f>
        <v/>
      </c>
      <c r="N1191" s="32" t="str">
        <f>IFERROR(INDEX(Table!I:O,MATCH(K1191,Table!I:I,0),4),"")</f>
        <v/>
      </c>
      <c r="O1191" s="32" t="str">
        <f>IFERROR(INDEX(Table!I:O,MATCH(K1191,Table!I:I,0),5),"")</f>
        <v/>
      </c>
      <c r="P1191" s="32" t="str">
        <f>IFERROR(INDEX(Table!I:O,MATCH(K1191,Table!I:I,0),6),"")</f>
        <v/>
      </c>
      <c r="Q1191" s="89" t="str">
        <f t="shared" si="54"/>
        <v/>
      </c>
      <c r="R1191" s="89" t="str">
        <f t="shared" si="55"/>
        <v/>
      </c>
      <c r="S1191" s="82"/>
      <c r="U1191" s="37" t="e">
        <f t="shared" si="56"/>
        <v>#VALUE!</v>
      </c>
    </row>
    <row r="1192" spans="1:21" x14ac:dyDescent="0.25">
      <c r="A1192" s="31" t="str">
        <f>IF(Table!A1192 = "","",Table!A1192)</f>
        <v/>
      </c>
      <c r="B1192" s="31" t="str">
        <f>IF(Table!B1192 = "","",Table!B1192)</f>
        <v/>
      </c>
      <c r="C1192" s="31" t="str">
        <f>IF(Table!C1192 = "","",Table!C1192)</f>
        <v/>
      </c>
      <c r="D1192" s="32" t="str">
        <f>IF(Table!D1192 = "","",Table!D1192)</f>
        <v/>
      </c>
      <c r="E1192" s="32" t="str">
        <f>IF(Table!E1192 = "","",Table!E1192)</f>
        <v/>
      </c>
      <c r="F1192" s="32" t="str">
        <f>IF(Table!F1192 = "","",Table!F1192)</f>
        <v/>
      </c>
      <c r="G1192" s="91"/>
      <c r="K1192" s="31" t="str">
        <f>IFERROR(VLOOKUP(A1192,Table!$I$4:$O$3000,1,TRUE),"")</f>
        <v/>
      </c>
      <c r="L1192" s="31" t="str">
        <f>IFERROR(INDEX(Table!I:O,MATCH(K1192,Table!I:I,0),2),"")</f>
        <v/>
      </c>
      <c r="M1192" s="31" t="str">
        <f>IFERROR(INDEX(Table!I:O,MATCH(K1192,Table!I:I,0),3),"")</f>
        <v/>
      </c>
      <c r="N1192" s="32" t="str">
        <f>IFERROR(INDEX(Table!I:O,MATCH(K1192,Table!I:I,0),4),"")</f>
        <v/>
      </c>
      <c r="O1192" s="32" t="str">
        <f>IFERROR(INDEX(Table!I:O,MATCH(K1192,Table!I:I,0),5),"")</f>
        <v/>
      </c>
      <c r="P1192" s="32" t="str">
        <f>IFERROR(INDEX(Table!I:O,MATCH(K1192,Table!I:I,0),6),"")</f>
        <v/>
      </c>
      <c r="Q1192" s="89" t="str">
        <f t="shared" si="54"/>
        <v/>
      </c>
      <c r="R1192" s="89" t="str">
        <f t="shared" si="55"/>
        <v/>
      </c>
      <c r="S1192" s="82"/>
      <c r="U1192" s="37" t="e">
        <f t="shared" si="56"/>
        <v>#VALUE!</v>
      </c>
    </row>
    <row r="1193" spans="1:21" x14ac:dyDescent="0.25">
      <c r="A1193" s="31" t="str">
        <f>IF(Table!A1193 = "","",Table!A1193)</f>
        <v/>
      </c>
      <c r="B1193" s="31" t="str">
        <f>IF(Table!B1193 = "","",Table!B1193)</f>
        <v/>
      </c>
      <c r="C1193" s="31" t="str">
        <f>IF(Table!C1193 = "","",Table!C1193)</f>
        <v/>
      </c>
      <c r="D1193" s="32" t="str">
        <f>IF(Table!D1193 = "","",Table!D1193)</f>
        <v/>
      </c>
      <c r="E1193" s="32" t="str">
        <f>IF(Table!E1193 = "","",Table!E1193)</f>
        <v/>
      </c>
      <c r="F1193" s="32" t="str">
        <f>IF(Table!F1193 = "","",Table!F1193)</f>
        <v/>
      </c>
      <c r="G1193" s="91"/>
      <c r="K1193" s="31" t="str">
        <f>IFERROR(VLOOKUP(A1193,Table!$I$4:$O$3000,1,TRUE),"")</f>
        <v/>
      </c>
      <c r="L1193" s="31" t="str">
        <f>IFERROR(INDEX(Table!I:O,MATCH(K1193,Table!I:I,0),2),"")</f>
        <v/>
      </c>
      <c r="M1193" s="31" t="str">
        <f>IFERROR(INDEX(Table!I:O,MATCH(K1193,Table!I:I,0),3),"")</f>
        <v/>
      </c>
      <c r="N1193" s="32" t="str">
        <f>IFERROR(INDEX(Table!I:O,MATCH(K1193,Table!I:I,0),4),"")</f>
        <v/>
      </c>
      <c r="O1193" s="32" t="str">
        <f>IFERROR(INDEX(Table!I:O,MATCH(K1193,Table!I:I,0),5),"")</f>
        <v/>
      </c>
      <c r="P1193" s="32" t="str">
        <f>IFERROR(INDEX(Table!I:O,MATCH(K1193,Table!I:I,0),6),"")</f>
        <v/>
      </c>
      <c r="Q1193" s="89" t="str">
        <f t="shared" si="54"/>
        <v/>
      </c>
      <c r="R1193" s="89" t="str">
        <f t="shared" si="55"/>
        <v/>
      </c>
      <c r="S1193" s="82"/>
      <c r="U1193" s="37" t="e">
        <f t="shared" si="56"/>
        <v>#VALUE!</v>
      </c>
    </row>
    <row r="1194" spans="1:21" x14ac:dyDescent="0.25">
      <c r="A1194" s="31" t="str">
        <f>IF(Table!A1194 = "","",Table!A1194)</f>
        <v/>
      </c>
      <c r="B1194" s="31" t="str">
        <f>IF(Table!B1194 = "","",Table!B1194)</f>
        <v/>
      </c>
      <c r="C1194" s="31" t="str">
        <f>IF(Table!C1194 = "","",Table!C1194)</f>
        <v/>
      </c>
      <c r="D1194" s="32" t="str">
        <f>IF(Table!D1194 = "","",Table!D1194)</f>
        <v/>
      </c>
      <c r="E1194" s="32" t="str">
        <f>IF(Table!E1194 = "","",Table!E1194)</f>
        <v/>
      </c>
      <c r="F1194" s="32" t="str">
        <f>IF(Table!F1194 = "","",Table!F1194)</f>
        <v/>
      </c>
      <c r="G1194" s="91"/>
      <c r="K1194" s="31" t="str">
        <f>IFERROR(VLOOKUP(A1194,Table!$I$4:$O$3000,1,TRUE),"")</f>
        <v/>
      </c>
      <c r="L1194" s="31" t="str">
        <f>IFERROR(INDEX(Table!I:O,MATCH(K1194,Table!I:I,0),2),"")</f>
        <v/>
      </c>
      <c r="M1194" s="31" t="str">
        <f>IFERROR(INDEX(Table!I:O,MATCH(K1194,Table!I:I,0),3),"")</f>
        <v/>
      </c>
      <c r="N1194" s="32" t="str">
        <f>IFERROR(INDEX(Table!I:O,MATCH(K1194,Table!I:I,0),4),"")</f>
        <v/>
      </c>
      <c r="O1194" s="32" t="str">
        <f>IFERROR(INDEX(Table!I:O,MATCH(K1194,Table!I:I,0),5),"")</f>
        <v/>
      </c>
      <c r="P1194" s="32" t="str">
        <f>IFERROR(INDEX(Table!I:O,MATCH(K1194,Table!I:I,0),6),"")</f>
        <v/>
      </c>
      <c r="Q1194" s="89" t="str">
        <f t="shared" si="54"/>
        <v/>
      </c>
      <c r="R1194" s="89" t="str">
        <f t="shared" si="55"/>
        <v/>
      </c>
      <c r="S1194" s="82"/>
      <c r="U1194" s="37" t="e">
        <f t="shared" si="56"/>
        <v>#VALUE!</v>
      </c>
    </row>
    <row r="1195" spans="1:21" x14ac:dyDescent="0.25">
      <c r="A1195" s="31" t="str">
        <f>IF(Table!A1195 = "","",Table!A1195)</f>
        <v/>
      </c>
      <c r="B1195" s="31" t="str">
        <f>IF(Table!B1195 = "","",Table!B1195)</f>
        <v/>
      </c>
      <c r="C1195" s="31" t="str">
        <f>IF(Table!C1195 = "","",Table!C1195)</f>
        <v/>
      </c>
      <c r="D1195" s="32" t="str">
        <f>IF(Table!D1195 = "","",Table!D1195)</f>
        <v/>
      </c>
      <c r="E1195" s="32" t="str">
        <f>IF(Table!E1195 = "","",Table!E1195)</f>
        <v/>
      </c>
      <c r="F1195" s="32" t="str">
        <f>IF(Table!F1195 = "","",Table!F1195)</f>
        <v/>
      </c>
      <c r="G1195" s="91"/>
      <c r="K1195" s="31" t="str">
        <f>IFERROR(VLOOKUP(A1195,Table!$I$4:$O$3000,1,TRUE),"")</f>
        <v/>
      </c>
      <c r="L1195" s="31" t="str">
        <f>IFERROR(INDEX(Table!I:O,MATCH(K1195,Table!I:I,0),2),"")</f>
        <v/>
      </c>
      <c r="M1195" s="31" t="str">
        <f>IFERROR(INDEX(Table!I:O,MATCH(K1195,Table!I:I,0),3),"")</f>
        <v/>
      </c>
      <c r="N1195" s="32" t="str">
        <f>IFERROR(INDEX(Table!I:O,MATCH(K1195,Table!I:I,0),4),"")</f>
        <v/>
      </c>
      <c r="O1195" s="32" t="str">
        <f>IFERROR(INDEX(Table!I:O,MATCH(K1195,Table!I:I,0),5),"")</f>
        <v/>
      </c>
      <c r="P1195" s="32" t="str">
        <f>IFERROR(INDEX(Table!I:O,MATCH(K1195,Table!I:I,0),6),"")</f>
        <v/>
      </c>
      <c r="Q1195" s="89" t="str">
        <f t="shared" si="54"/>
        <v/>
      </c>
      <c r="R1195" s="89" t="str">
        <f t="shared" si="55"/>
        <v/>
      </c>
      <c r="S1195" s="82"/>
      <c r="U1195" s="37" t="e">
        <f t="shared" si="56"/>
        <v>#VALUE!</v>
      </c>
    </row>
    <row r="1196" spans="1:21" x14ac:dyDescent="0.25">
      <c r="A1196" s="31" t="str">
        <f>IF(Table!A1196 = "","",Table!A1196)</f>
        <v/>
      </c>
      <c r="B1196" s="31" t="str">
        <f>IF(Table!B1196 = "","",Table!B1196)</f>
        <v/>
      </c>
      <c r="C1196" s="31" t="str">
        <f>IF(Table!C1196 = "","",Table!C1196)</f>
        <v/>
      </c>
      <c r="D1196" s="32" t="str">
        <f>IF(Table!D1196 = "","",Table!D1196)</f>
        <v/>
      </c>
      <c r="E1196" s="32" t="str">
        <f>IF(Table!E1196 = "","",Table!E1196)</f>
        <v/>
      </c>
      <c r="F1196" s="32" t="str">
        <f>IF(Table!F1196 = "","",Table!F1196)</f>
        <v/>
      </c>
      <c r="G1196" s="91"/>
      <c r="K1196" s="31" t="str">
        <f>IFERROR(VLOOKUP(A1196,Table!$I$4:$O$3000,1,TRUE),"")</f>
        <v/>
      </c>
      <c r="L1196" s="31" t="str">
        <f>IFERROR(INDEX(Table!I:O,MATCH(K1196,Table!I:I,0),2),"")</f>
        <v/>
      </c>
      <c r="M1196" s="31" t="str">
        <f>IFERROR(INDEX(Table!I:O,MATCH(K1196,Table!I:I,0),3),"")</f>
        <v/>
      </c>
      <c r="N1196" s="32" t="str">
        <f>IFERROR(INDEX(Table!I:O,MATCH(K1196,Table!I:I,0),4),"")</f>
        <v/>
      </c>
      <c r="O1196" s="32" t="str">
        <f>IFERROR(INDEX(Table!I:O,MATCH(K1196,Table!I:I,0),5),"")</f>
        <v/>
      </c>
      <c r="P1196" s="32" t="str">
        <f>IFERROR(INDEX(Table!I:O,MATCH(K1196,Table!I:I,0),6),"")</f>
        <v/>
      </c>
      <c r="Q1196" s="89" t="str">
        <f t="shared" si="54"/>
        <v/>
      </c>
      <c r="R1196" s="89" t="str">
        <f t="shared" si="55"/>
        <v/>
      </c>
      <c r="S1196" s="82"/>
      <c r="U1196" s="37" t="e">
        <f t="shared" si="56"/>
        <v>#VALUE!</v>
      </c>
    </row>
    <row r="1197" spans="1:21" x14ac:dyDescent="0.25">
      <c r="A1197" s="31" t="str">
        <f>IF(Table!A1197 = "","",Table!A1197)</f>
        <v/>
      </c>
      <c r="B1197" s="31" t="str">
        <f>IF(Table!B1197 = "","",Table!B1197)</f>
        <v/>
      </c>
      <c r="C1197" s="31" t="str">
        <f>IF(Table!C1197 = "","",Table!C1197)</f>
        <v/>
      </c>
      <c r="D1197" s="32" t="str">
        <f>IF(Table!D1197 = "","",Table!D1197)</f>
        <v/>
      </c>
      <c r="E1197" s="32" t="str">
        <f>IF(Table!E1197 = "","",Table!E1197)</f>
        <v/>
      </c>
      <c r="F1197" s="32" t="str">
        <f>IF(Table!F1197 = "","",Table!F1197)</f>
        <v/>
      </c>
      <c r="G1197" s="91"/>
      <c r="K1197" s="31" t="str">
        <f>IFERROR(VLOOKUP(A1197,Table!$I$4:$O$3000,1,TRUE),"")</f>
        <v/>
      </c>
      <c r="L1197" s="31" t="str">
        <f>IFERROR(INDEX(Table!I:O,MATCH(K1197,Table!I:I,0),2),"")</f>
        <v/>
      </c>
      <c r="M1197" s="31" t="str">
        <f>IFERROR(INDEX(Table!I:O,MATCH(K1197,Table!I:I,0),3),"")</f>
        <v/>
      </c>
      <c r="N1197" s="32" t="str">
        <f>IFERROR(INDEX(Table!I:O,MATCH(K1197,Table!I:I,0),4),"")</f>
        <v/>
      </c>
      <c r="O1197" s="32" t="str">
        <f>IFERROR(INDEX(Table!I:O,MATCH(K1197,Table!I:I,0),5),"")</f>
        <v/>
      </c>
      <c r="P1197" s="32" t="str">
        <f>IFERROR(INDEX(Table!I:O,MATCH(K1197,Table!I:I,0),6),"")</f>
        <v/>
      </c>
      <c r="Q1197" s="89" t="str">
        <f t="shared" si="54"/>
        <v/>
      </c>
      <c r="R1197" s="89" t="str">
        <f t="shared" si="55"/>
        <v/>
      </c>
      <c r="S1197" s="82"/>
      <c r="U1197" s="37" t="e">
        <f t="shared" si="56"/>
        <v>#VALUE!</v>
      </c>
    </row>
    <row r="1198" spans="1:21" x14ac:dyDescent="0.25">
      <c r="A1198" s="31" t="str">
        <f>IF(Table!A1198 = "","",Table!A1198)</f>
        <v/>
      </c>
      <c r="B1198" s="31" t="str">
        <f>IF(Table!B1198 = "","",Table!B1198)</f>
        <v/>
      </c>
      <c r="C1198" s="31" t="str">
        <f>IF(Table!C1198 = "","",Table!C1198)</f>
        <v/>
      </c>
      <c r="D1198" s="32" t="str">
        <f>IF(Table!D1198 = "","",Table!D1198)</f>
        <v/>
      </c>
      <c r="E1198" s="32" t="str">
        <f>IF(Table!E1198 = "","",Table!E1198)</f>
        <v/>
      </c>
      <c r="F1198" s="32" t="str">
        <f>IF(Table!F1198 = "","",Table!F1198)</f>
        <v/>
      </c>
      <c r="G1198" s="91"/>
      <c r="K1198" s="31" t="str">
        <f>IFERROR(VLOOKUP(A1198,Table!$I$4:$O$3000,1,TRUE),"")</f>
        <v/>
      </c>
      <c r="L1198" s="31" t="str">
        <f>IFERROR(INDEX(Table!I:O,MATCH(K1198,Table!I:I,0),2),"")</f>
        <v/>
      </c>
      <c r="M1198" s="31" t="str">
        <f>IFERROR(INDEX(Table!I:O,MATCH(K1198,Table!I:I,0),3),"")</f>
        <v/>
      </c>
      <c r="N1198" s="32" t="str">
        <f>IFERROR(INDEX(Table!I:O,MATCH(K1198,Table!I:I,0),4),"")</f>
        <v/>
      </c>
      <c r="O1198" s="32" t="str">
        <f>IFERROR(INDEX(Table!I:O,MATCH(K1198,Table!I:I,0),5),"")</f>
        <v/>
      </c>
      <c r="P1198" s="32" t="str">
        <f>IFERROR(INDEX(Table!I:O,MATCH(K1198,Table!I:I,0),6),"")</f>
        <v/>
      </c>
      <c r="Q1198" s="89" t="str">
        <f t="shared" si="54"/>
        <v/>
      </c>
      <c r="R1198" s="89" t="str">
        <f t="shared" si="55"/>
        <v/>
      </c>
      <c r="S1198" s="82"/>
      <c r="U1198" s="37" t="e">
        <f t="shared" si="56"/>
        <v>#VALUE!</v>
      </c>
    </row>
    <row r="1199" spans="1:21" x14ac:dyDescent="0.25">
      <c r="A1199" s="31" t="str">
        <f>IF(Table!A1199 = "","",Table!A1199)</f>
        <v/>
      </c>
      <c r="B1199" s="31" t="str">
        <f>IF(Table!B1199 = "","",Table!B1199)</f>
        <v/>
      </c>
      <c r="C1199" s="31" t="str">
        <f>IF(Table!C1199 = "","",Table!C1199)</f>
        <v/>
      </c>
      <c r="D1199" s="32" t="str">
        <f>IF(Table!D1199 = "","",Table!D1199)</f>
        <v/>
      </c>
      <c r="E1199" s="32" t="str">
        <f>IF(Table!E1199 = "","",Table!E1199)</f>
        <v/>
      </c>
      <c r="F1199" s="32" t="str">
        <f>IF(Table!F1199 = "","",Table!F1199)</f>
        <v/>
      </c>
      <c r="G1199" s="91"/>
      <c r="K1199" s="31" t="str">
        <f>IFERROR(VLOOKUP(A1199,Table!$I$4:$O$3000,1,TRUE),"")</f>
        <v/>
      </c>
      <c r="L1199" s="31" t="str">
        <f>IFERROR(INDEX(Table!I:O,MATCH(K1199,Table!I:I,0),2),"")</f>
        <v/>
      </c>
      <c r="M1199" s="31" t="str">
        <f>IFERROR(INDEX(Table!I:O,MATCH(K1199,Table!I:I,0),3),"")</f>
        <v/>
      </c>
      <c r="N1199" s="32" t="str">
        <f>IFERROR(INDEX(Table!I:O,MATCH(K1199,Table!I:I,0),4),"")</f>
        <v/>
      </c>
      <c r="O1199" s="32" t="str">
        <f>IFERROR(INDEX(Table!I:O,MATCH(K1199,Table!I:I,0),5),"")</f>
        <v/>
      </c>
      <c r="P1199" s="32" t="str">
        <f>IFERROR(INDEX(Table!I:O,MATCH(K1199,Table!I:I,0),6),"")</f>
        <v/>
      </c>
      <c r="Q1199" s="89" t="str">
        <f t="shared" si="54"/>
        <v/>
      </c>
      <c r="R1199" s="89" t="str">
        <f t="shared" si="55"/>
        <v/>
      </c>
      <c r="S1199" s="82"/>
      <c r="U1199" s="37" t="e">
        <f t="shared" si="56"/>
        <v>#VALUE!</v>
      </c>
    </row>
    <row r="1200" spans="1:21" x14ac:dyDescent="0.25">
      <c r="A1200" s="31" t="str">
        <f>IF(Table!A1200 = "","",Table!A1200)</f>
        <v/>
      </c>
      <c r="B1200" s="31" t="str">
        <f>IF(Table!B1200 = "","",Table!B1200)</f>
        <v/>
      </c>
      <c r="C1200" s="31" t="str">
        <f>IF(Table!C1200 = "","",Table!C1200)</f>
        <v/>
      </c>
      <c r="D1200" s="32" t="str">
        <f>IF(Table!D1200 = "","",Table!D1200)</f>
        <v/>
      </c>
      <c r="E1200" s="32" t="str">
        <f>IF(Table!E1200 = "","",Table!E1200)</f>
        <v/>
      </c>
      <c r="F1200" s="32" t="str">
        <f>IF(Table!F1200 = "","",Table!F1200)</f>
        <v/>
      </c>
      <c r="G1200" s="91"/>
      <c r="K1200" s="31" t="str">
        <f>IFERROR(VLOOKUP(A1200,Table!$I$4:$O$3000,1,TRUE),"")</f>
        <v/>
      </c>
      <c r="L1200" s="31" t="str">
        <f>IFERROR(INDEX(Table!I:O,MATCH(K1200,Table!I:I,0),2),"")</f>
        <v/>
      </c>
      <c r="M1200" s="31" t="str">
        <f>IFERROR(INDEX(Table!I:O,MATCH(K1200,Table!I:I,0),3),"")</f>
        <v/>
      </c>
      <c r="N1200" s="32" t="str">
        <f>IFERROR(INDEX(Table!I:O,MATCH(K1200,Table!I:I,0),4),"")</f>
        <v/>
      </c>
      <c r="O1200" s="32" t="str">
        <f>IFERROR(INDEX(Table!I:O,MATCH(K1200,Table!I:I,0),5),"")</f>
        <v/>
      </c>
      <c r="P1200" s="32" t="str">
        <f>IFERROR(INDEX(Table!I:O,MATCH(K1200,Table!I:I,0),6),"")</f>
        <v/>
      </c>
      <c r="Q1200" s="89" t="str">
        <f t="shared" si="54"/>
        <v/>
      </c>
      <c r="R1200" s="89" t="str">
        <f t="shared" si="55"/>
        <v/>
      </c>
      <c r="S1200" s="82"/>
      <c r="U1200" s="37" t="e">
        <f t="shared" si="56"/>
        <v>#VALUE!</v>
      </c>
    </row>
    <row r="1201" spans="1:21" x14ac:dyDescent="0.25">
      <c r="A1201" s="31" t="str">
        <f>IF(Table!A1201 = "","",Table!A1201)</f>
        <v/>
      </c>
      <c r="B1201" s="31" t="str">
        <f>IF(Table!B1201 = "","",Table!B1201)</f>
        <v/>
      </c>
      <c r="C1201" s="31" t="str">
        <f>IF(Table!C1201 = "","",Table!C1201)</f>
        <v/>
      </c>
      <c r="D1201" s="32" t="str">
        <f>IF(Table!D1201 = "","",Table!D1201)</f>
        <v/>
      </c>
      <c r="E1201" s="32" t="str">
        <f>IF(Table!E1201 = "","",Table!E1201)</f>
        <v/>
      </c>
      <c r="F1201" s="32" t="str">
        <f>IF(Table!F1201 = "","",Table!F1201)</f>
        <v/>
      </c>
      <c r="G1201" s="91"/>
      <c r="K1201" s="31" t="str">
        <f>IFERROR(VLOOKUP(A1201,Table!$I$4:$O$3000,1,TRUE),"")</f>
        <v/>
      </c>
      <c r="L1201" s="31" t="str">
        <f>IFERROR(INDEX(Table!I:O,MATCH(K1201,Table!I:I,0),2),"")</f>
        <v/>
      </c>
      <c r="M1201" s="31" t="str">
        <f>IFERROR(INDEX(Table!I:O,MATCH(K1201,Table!I:I,0),3),"")</f>
        <v/>
      </c>
      <c r="N1201" s="32" t="str">
        <f>IFERROR(INDEX(Table!I:O,MATCH(K1201,Table!I:I,0),4),"")</f>
        <v/>
      </c>
      <c r="O1201" s="32" t="str">
        <f>IFERROR(INDEX(Table!I:O,MATCH(K1201,Table!I:I,0),5),"")</f>
        <v/>
      </c>
      <c r="P1201" s="32" t="str">
        <f>IFERROR(INDEX(Table!I:O,MATCH(K1201,Table!I:I,0),6),"")</f>
        <v/>
      </c>
      <c r="Q1201" s="89" t="str">
        <f t="shared" si="54"/>
        <v/>
      </c>
      <c r="R1201" s="89" t="str">
        <f t="shared" si="55"/>
        <v/>
      </c>
      <c r="S1201" s="82"/>
      <c r="U1201" s="37" t="e">
        <f t="shared" si="56"/>
        <v>#VALUE!</v>
      </c>
    </row>
    <row r="1202" spans="1:21" x14ac:dyDescent="0.25">
      <c r="A1202" s="31" t="str">
        <f>IF(Table!A1202 = "","",Table!A1202)</f>
        <v/>
      </c>
      <c r="B1202" s="31" t="str">
        <f>IF(Table!B1202 = "","",Table!B1202)</f>
        <v/>
      </c>
      <c r="C1202" s="31" t="str">
        <f>IF(Table!C1202 = "","",Table!C1202)</f>
        <v/>
      </c>
      <c r="D1202" s="32" t="str">
        <f>IF(Table!D1202 = "","",Table!D1202)</f>
        <v/>
      </c>
      <c r="E1202" s="32" t="str">
        <f>IF(Table!E1202 = "","",Table!E1202)</f>
        <v/>
      </c>
      <c r="F1202" s="32" t="str">
        <f>IF(Table!F1202 = "","",Table!F1202)</f>
        <v/>
      </c>
      <c r="G1202" s="91"/>
      <c r="K1202" s="31" t="str">
        <f>IFERROR(VLOOKUP(A1202,Table!$I$4:$O$3000,1,TRUE),"")</f>
        <v/>
      </c>
      <c r="L1202" s="31" t="str">
        <f>IFERROR(INDEX(Table!I:O,MATCH(K1202,Table!I:I,0),2),"")</f>
        <v/>
      </c>
      <c r="M1202" s="31" t="str">
        <f>IFERROR(INDEX(Table!I:O,MATCH(K1202,Table!I:I,0),3),"")</f>
        <v/>
      </c>
      <c r="N1202" s="32" t="str">
        <f>IFERROR(INDEX(Table!I:O,MATCH(K1202,Table!I:I,0),4),"")</f>
        <v/>
      </c>
      <c r="O1202" s="32" t="str">
        <f>IFERROR(INDEX(Table!I:O,MATCH(K1202,Table!I:I,0),5),"")</f>
        <v/>
      </c>
      <c r="P1202" s="32" t="str">
        <f>IFERROR(INDEX(Table!I:O,MATCH(K1202,Table!I:I,0),6),"")</f>
        <v/>
      </c>
      <c r="Q1202" s="89" t="str">
        <f t="shared" si="54"/>
        <v/>
      </c>
      <c r="R1202" s="89" t="str">
        <f t="shared" si="55"/>
        <v/>
      </c>
      <c r="S1202" s="82"/>
      <c r="U1202" s="37" t="e">
        <f t="shared" si="56"/>
        <v>#VALUE!</v>
      </c>
    </row>
    <row r="1203" spans="1:21" x14ac:dyDescent="0.25">
      <c r="A1203" s="31" t="str">
        <f>IF(Table!A1203 = "","",Table!A1203)</f>
        <v/>
      </c>
      <c r="B1203" s="31" t="str">
        <f>IF(Table!B1203 = "","",Table!B1203)</f>
        <v/>
      </c>
      <c r="C1203" s="31" t="str">
        <f>IF(Table!C1203 = "","",Table!C1203)</f>
        <v/>
      </c>
      <c r="D1203" s="32" t="str">
        <f>IF(Table!D1203 = "","",Table!D1203)</f>
        <v/>
      </c>
      <c r="E1203" s="32" t="str">
        <f>IF(Table!E1203 = "","",Table!E1203)</f>
        <v/>
      </c>
      <c r="F1203" s="32" t="str">
        <f>IF(Table!F1203 = "","",Table!F1203)</f>
        <v/>
      </c>
      <c r="G1203" s="91"/>
      <c r="K1203" s="31" t="str">
        <f>IFERROR(VLOOKUP(A1203,Table!$I$4:$O$3000,1,TRUE),"")</f>
        <v/>
      </c>
      <c r="L1203" s="31" t="str">
        <f>IFERROR(INDEX(Table!I:O,MATCH(K1203,Table!I:I,0),2),"")</f>
        <v/>
      </c>
      <c r="M1203" s="31" t="str">
        <f>IFERROR(INDEX(Table!I:O,MATCH(K1203,Table!I:I,0),3),"")</f>
        <v/>
      </c>
      <c r="N1203" s="32" t="str">
        <f>IFERROR(INDEX(Table!I:O,MATCH(K1203,Table!I:I,0),4),"")</f>
        <v/>
      </c>
      <c r="O1203" s="32" t="str">
        <f>IFERROR(INDEX(Table!I:O,MATCH(K1203,Table!I:I,0),5),"")</f>
        <v/>
      </c>
      <c r="P1203" s="32" t="str">
        <f>IFERROR(INDEX(Table!I:O,MATCH(K1203,Table!I:I,0),6),"")</f>
        <v/>
      </c>
      <c r="Q1203" s="89" t="str">
        <f t="shared" si="54"/>
        <v/>
      </c>
      <c r="R1203" s="89" t="str">
        <f t="shared" si="55"/>
        <v/>
      </c>
      <c r="S1203" s="82"/>
      <c r="U1203" s="37" t="e">
        <f t="shared" si="56"/>
        <v>#VALUE!</v>
      </c>
    </row>
    <row r="1204" spans="1:21" x14ac:dyDescent="0.25">
      <c r="A1204" s="31" t="str">
        <f>IF(Table!A1204 = "","",Table!A1204)</f>
        <v/>
      </c>
      <c r="B1204" s="31" t="str">
        <f>IF(Table!B1204 = "","",Table!B1204)</f>
        <v/>
      </c>
      <c r="C1204" s="31" t="str">
        <f>IF(Table!C1204 = "","",Table!C1204)</f>
        <v/>
      </c>
      <c r="D1204" s="32" t="str">
        <f>IF(Table!D1204 = "","",Table!D1204)</f>
        <v/>
      </c>
      <c r="E1204" s="32" t="str">
        <f>IF(Table!E1204 = "","",Table!E1204)</f>
        <v/>
      </c>
      <c r="F1204" s="32" t="str">
        <f>IF(Table!F1204 = "","",Table!F1204)</f>
        <v/>
      </c>
      <c r="G1204" s="91"/>
      <c r="K1204" s="31" t="str">
        <f>IFERROR(VLOOKUP(A1204,Table!$I$4:$O$3000,1,TRUE),"")</f>
        <v/>
      </c>
      <c r="L1204" s="31" t="str">
        <f>IFERROR(INDEX(Table!I:O,MATCH(K1204,Table!I:I,0),2),"")</f>
        <v/>
      </c>
      <c r="M1204" s="31" t="str">
        <f>IFERROR(INDEX(Table!I:O,MATCH(K1204,Table!I:I,0),3),"")</f>
        <v/>
      </c>
      <c r="N1204" s="32" t="str">
        <f>IFERROR(INDEX(Table!I:O,MATCH(K1204,Table!I:I,0),4),"")</f>
        <v/>
      </c>
      <c r="O1204" s="32" t="str">
        <f>IFERROR(INDEX(Table!I:O,MATCH(K1204,Table!I:I,0),5),"")</f>
        <v/>
      </c>
      <c r="P1204" s="32" t="str">
        <f>IFERROR(INDEX(Table!I:O,MATCH(K1204,Table!I:I,0),6),"")</f>
        <v/>
      </c>
      <c r="Q1204" s="89" t="str">
        <f t="shared" si="54"/>
        <v/>
      </c>
      <c r="R1204" s="89" t="str">
        <f t="shared" si="55"/>
        <v/>
      </c>
      <c r="S1204" s="82"/>
      <c r="U1204" s="37" t="e">
        <f t="shared" si="56"/>
        <v>#VALUE!</v>
      </c>
    </row>
    <row r="1205" spans="1:21" x14ac:dyDescent="0.25">
      <c r="A1205" s="31" t="str">
        <f>IF(Table!A1205 = "","",Table!A1205)</f>
        <v/>
      </c>
      <c r="B1205" s="31" t="str">
        <f>IF(Table!B1205 = "","",Table!B1205)</f>
        <v/>
      </c>
      <c r="C1205" s="31" t="str">
        <f>IF(Table!C1205 = "","",Table!C1205)</f>
        <v/>
      </c>
      <c r="D1205" s="32" t="str">
        <f>IF(Table!D1205 = "","",Table!D1205)</f>
        <v/>
      </c>
      <c r="E1205" s="32" t="str">
        <f>IF(Table!E1205 = "","",Table!E1205)</f>
        <v/>
      </c>
      <c r="F1205" s="32" t="str">
        <f>IF(Table!F1205 = "","",Table!F1205)</f>
        <v/>
      </c>
      <c r="G1205" s="91"/>
      <c r="K1205" s="31" t="str">
        <f>IFERROR(VLOOKUP(A1205,Table!$I$4:$O$3000,1,TRUE),"")</f>
        <v/>
      </c>
      <c r="L1205" s="31" t="str">
        <f>IFERROR(INDEX(Table!I:O,MATCH(K1205,Table!I:I,0),2),"")</f>
        <v/>
      </c>
      <c r="M1205" s="31" t="str">
        <f>IFERROR(INDEX(Table!I:O,MATCH(K1205,Table!I:I,0),3),"")</f>
        <v/>
      </c>
      <c r="N1205" s="32" t="str">
        <f>IFERROR(INDEX(Table!I:O,MATCH(K1205,Table!I:I,0),4),"")</f>
        <v/>
      </c>
      <c r="O1205" s="32" t="str">
        <f>IFERROR(INDEX(Table!I:O,MATCH(K1205,Table!I:I,0),5),"")</f>
        <v/>
      </c>
      <c r="P1205" s="32" t="str">
        <f>IFERROR(INDEX(Table!I:O,MATCH(K1205,Table!I:I,0),6),"")</f>
        <v/>
      </c>
      <c r="Q1205" s="89" t="str">
        <f t="shared" si="54"/>
        <v/>
      </c>
      <c r="R1205" s="89" t="str">
        <f t="shared" si="55"/>
        <v/>
      </c>
      <c r="S1205" s="82"/>
      <c r="U1205" s="37" t="e">
        <f t="shared" si="56"/>
        <v>#VALUE!</v>
      </c>
    </row>
    <row r="1206" spans="1:21" x14ac:dyDescent="0.25">
      <c r="A1206" s="31" t="str">
        <f>IF(Table!A1206 = "","",Table!A1206)</f>
        <v/>
      </c>
      <c r="B1206" s="31" t="str">
        <f>IF(Table!B1206 = "","",Table!B1206)</f>
        <v/>
      </c>
      <c r="C1206" s="31" t="str">
        <f>IF(Table!C1206 = "","",Table!C1206)</f>
        <v/>
      </c>
      <c r="D1206" s="32" t="str">
        <f>IF(Table!D1206 = "","",Table!D1206)</f>
        <v/>
      </c>
      <c r="E1206" s="32" t="str">
        <f>IF(Table!E1206 = "","",Table!E1206)</f>
        <v/>
      </c>
      <c r="F1206" s="32" t="str">
        <f>IF(Table!F1206 = "","",Table!F1206)</f>
        <v/>
      </c>
      <c r="G1206" s="91"/>
      <c r="K1206" s="31" t="str">
        <f>IFERROR(VLOOKUP(A1206,Table!$I$4:$O$3000,1,TRUE),"")</f>
        <v/>
      </c>
      <c r="L1206" s="31" t="str">
        <f>IFERROR(INDEX(Table!I:O,MATCH(K1206,Table!I:I,0),2),"")</f>
        <v/>
      </c>
      <c r="M1206" s="31" t="str">
        <f>IFERROR(INDEX(Table!I:O,MATCH(K1206,Table!I:I,0),3),"")</f>
        <v/>
      </c>
      <c r="N1206" s="32" t="str">
        <f>IFERROR(INDEX(Table!I:O,MATCH(K1206,Table!I:I,0),4),"")</f>
        <v/>
      </c>
      <c r="O1206" s="32" t="str">
        <f>IFERROR(INDEX(Table!I:O,MATCH(K1206,Table!I:I,0),5),"")</f>
        <v/>
      </c>
      <c r="P1206" s="32" t="str">
        <f>IFERROR(INDEX(Table!I:O,MATCH(K1206,Table!I:I,0),6),"")</f>
        <v/>
      </c>
      <c r="Q1206" s="89" t="str">
        <f t="shared" si="54"/>
        <v/>
      </c>
      <c r="R1206" s="89" t="str">
        <f t="shared" si="55"/>
        <v/>
      </c>
      <c r="S1206" s="82"/>
      <c r="U1206" s="37" t="e">
        <f t="shared" si="56"/>
        <v>#VALUE!</v>
      </c>
    </row>
    <row r="1207" spans="1:21" x14ac:dyDescent="0.25">
      <c r="A1207" s="31" t="str">
        <f>IF(Table!A1207 = "","",Table!A1207)</f>
        <v/>
      </c>
      <c r="B1207" s="31" t="str">
        <f>IF(Table!B1207 = "","",Table!B1207)</f>
        <v/>
      </c>
      <c r="C1207" s="31" t="str">
        <f>IF(Table!C1207 = "","",Table!C1207)</f>
        <v/>
      </c>
      <c r="D1207" s="32" t="str">
        <f>IF(Table!D1207 = "","",Table!D1207)</f>
        <v/>
      </c>
      <c r="E1207" s="32" t="str">
        <f>IF(Table!E1207 = "","",Table!E1207)</f>
        <v/>
      </c>
      <c r="F1207" s="32" t="str">
        <f>IF(Table!F1207 = "","",Table!F1207)</f>
        <v/>
      </c>
      <c r="G1207" s="91"/>
      <c r="K1207" s="31" t="str">
        <f>IFERROR(VLOOKUP(A1207,Table!$I$4:$O$3000,1,TRUE),"")</f>
        <v/>
      </c>
      <c r="L1207" s="31" t="str">
        <f>IFERROR(INDEX(Table!I:O,MATCH(K1207,Table!I:I,0),2),"")</f>
        <v/>
      </c>
      <c r="M1207" s="31" t="str">
        <f>IFERROR(INDEX(Table!I:O,MATCH(K1207,Table!I:I,0),3),"")</f>
        <v/>
      </c>
      <c r="N1207" s="32" t="str">
        <f>IFERROR(INDEX(Table!I:O,MATCH(K1207,Table!I:I,0),4),"")</f>
        <v/>
      </c>
      <c r="O1207" s="32" t="str">
        <f>IFERROR(INDEX(Table!I:O,MATCH(K1207,Table!I:I,0),5),"")</f>
        <v/>
      </c>
      <c r="P1207" s="32" t="str">
        <f>IFERROR(INDEX(Table!I:O,MATCH(K1207,Table!I:I,0),6),"")</f>
        <v/>
      </c>
      <c r="Q1207" s="89" t="str">
        <f t="shared" si="54"/>
        <v/>
      </c>
      <c r="R1207" s="89" t="str">
        <f t="shared" si="55"/>
        <v/>
      </c>
      <c r="S1207" s="82"/>
      <c r="U1207" s="37" t="e">
        <f t="shared" si="56"/>
        <v>#VALUE!</v>
      </c>
    </row>
    <row r="1208" spans="1:21" x14ac:dyDescent="0.25">
      <c r="A1208" s="31" t="str">
        <f>IF(Table!A1208 = "","",Table!A1208)</f>
        <v/>
      </c>
      <c r="B1208" s="31" t="str">
        <f>IF(Table!B1208 = "","",Table!B1208)</f>
        <v/>
      </c>
      <c r="C1208" s="31" t="str">
        <f>IF(Table!C1208 = "","",Table!C1208)</f>
        <v/>
      </c>
      <c r="D1208" s="32" t="str">
        <f>IF(Table!D1208 = "","",Table!D1208)</f>
        <v/>
      </c>
      <c r="E1208" s="32" t="str">
        <f>IF(Table!E1208 = "","",Table!E1208)</f>
        <v/>
      </c>
      <c r="F1208" s="32" t="str">
        <f>IF(Table!F1208 = "","",Table!F1208)</f>
        <v/>
      </c>
      <c r="G1208" s="91"/>
      <c r="K1208" s="31" t="str">
        <f>IFERROR(VLOOKUP(A1208,Table!$I$4:$O$3000,1,TRUE),"")</f>
        <v/>
      </c>
      <c r="L1208" s="31" t="str">
        <f>IFERROR(INDEX(Table!I:O,MATCH(K1208,Table!I:I,0),2),"")</f>
        <v/>
      </c>
      <c r="M1208" s="31" t="str">
        <f>IFERROR(INDEX(Table!I:O,MATCH(K1208,Table!I:I,0),3),"")</f>
        <v/>
      </c>
      <c r="N1208" s="32" t="str">
        <f>IFERROR(INDEX(Table!I:O,MATCH(K1208,Table!I:I,0),4),"")</f>
        <v/>
      </c>
      <c r="O1208" s="32" t="str">
        <f>IFERROR(INDEX(Table!I:O,MATCH(K1208,Table!I:I,0),5),"")</f>
        <v/>
      </c>
      <c r="P1208" s="32" t="str">
        <f>IFERROR(INDEX(Table!I:O,MATCH(K1208,Table!I:I,0),6),"")</f>
        <v/>
      </c>
      <c r="Q1208" s="89" t="str">
        <f t="shared" si="54"/>
        <v/>
      </c>
      <c r="R1208" s="89" t="str">
        <f t="shared" si="55"/>
        <v/>
      </c>
      <c r="S1208" s="82"/>
      <c r="U1208" s="37" t="e">
        <f t="shared" si="56"/>
        <v>#VALUE!</v>
      </c>
    </row>
    <row r="1209" spans="1:21" x14ac:dyDescent="0.25">
      <c r="A1209" s="31" t="str">
        <f>IF(Table!A1209 = "","",Table!A1209)</f>
        <v/>
      </c>
      <c r="B1209" s="31" t="str">
        <f>IF(Table!B1209 = "","",Table!B1209)</f>
        <v/>
      </c>
      <c r="C1209" s="31" t="str">
        <f>IF(Table!C1209 = "","",Table!C1209)</f>
        <v/>
      </c>
      <c r="D1209" s="32" t="str">
        <f>IF(Table!D1209 = "","",Table!D1209)</f>
        <v/>
      </c>
      <c r="E1209" s="32" t="str">
        <f>IF(Table!E1209 = "","",Table!E1209)</f>
        <v/>
      </c>
      <c r="F1209" s="32" t="str">
        <f>IF(Table!F1209 = "","",Table!F1209)</f>
        <v/>
      </c>
      <c r="G1209" s="91"/>
      <c r="K1209" s="31" t="str">
        <f>IFERROR(VLOOKUP(A1209,Table!$I$4:$O$3000,1,TRUE),"")</f>
        <v/>
      </c>
      <c r="L1209" s="31" t="str">
        <f>IFERROR(INDEX(Table!I:O,MATCH(K1209,Table!I:I,0),2),"")</f>
        <v/>
      </c>
      <c r="M1209" s="31" t="str">
        <f>IFERROR(INDEX(Table!I:O,MATCH(K1209,Table!I:I,0),3),"")</f>
        <v/>
      </c>
      <c r="N1209" s="32" t="str">
        <f>IFERROR(INDEX(Table!I:O,MATCH(K1209,Table!I:I,0),4),"")</f>
        <v/>
      </c>
      <c r="O1209" s="32" t="str">
        <f>IFERROR(INDEX(Table!I:O,MATCH(K1209,Table!I:I,0),5),"")</f>
        <v/>
      </c>
      <c r="P1209" s="32" t="str">
        <f>IFERROR(INDEX(Table!I:O,MATCH(K1209,Table!I:I,0),6),"")</f>
        <v/>
      </c>
      <c r="Q1209" s="89" t="str">
        <f t="shared" si="54"/>
        <v/>
      </c>
      <c r="R1209" s="89" t="str">
        <f t="shared" si="55"/>
        <v/>
      </c>
      <c r="S1209" s="82"/>
      <c r="U1209" s="37" t="e">
        <f t="shared" si="56"/>
        <v>#VALUE!</v>
      </c>
    </row>
    <row r="1210" spans="1:21" x14ac:dyDescent="0.25">
      <c r="A1210" s="31" t="str">
        <f>IF(Table!A1210 = "","",Table!A1210)</f>
        <v/>
      </c>
      <c r="B1210" s="31" t="str">
        <f>IF(Table!B1210 = "","",Table!B1210)</f>
        <v/>
      </c>
      <c r="C1210" s="31" t="str">
        <f>IF(Table!C1210 = "","",Table!C1210)</f>
        <v/>
      </c>
      <c r="D1210" s="32" t="str">
        <f>IF(Table!D1210 = "","",Table!D1210)</f>
        <v/>
      </c>
      <c r="E1210" s="32" t="str">
        <f>IF(Table!E1210 = "","",Table!E1210)</f>
        <v/>
      </c>
      <c r="F1210" s="32" t="str">
        <f>IF(Table!F1210 = "","",Table!F1210)</f>
        <v/>
      </c>
      <c r="G1210" s="91"/>
      <c r="K1210" s="31" t="str">
        <f>IFERROR(VLOOKUP(A1210,Table!$I$4:$O$3000,1,TRUE),"")</f>
        <v/>
      </c>
      <c r="L1210" s="31" t="str">
        <f>IFERROR(INDEX(Table!I:O,MATCH(K1210,Table!I:I,0),2),"")</f>
        <v/>
      </c>
      <c r="M1210" s="31" t="str">
        <f>IFERROR(INDEX(Table!I:O,MATCH(K1210,Table!I:I,0),3),"")</f>
        <v/>
      </c>
      <c r="N1210" s="32" t="str">
        <f>IFERROR(INDEX(Table!I:O,MATCH(K1210,Table!I:I,0),4),"")</f>
        <v/>
      </c>
      <c r="O1210" s="32" t="str">
        <f>IFERROR(INDEX(Table!I:O,MATCH(K1210,Table!I:I,0),5),"")</f>
        <v/>
      </c>
      <c r="P1210" s="32" t="str">
        <f>IFERROR(INDEX(Table!I:O,MATCH(K1210,Table!I:I,0),6),"")</f>
        <v/>
      </c>
      <c r="Q1210" s="89" t="str">
        <f t="shared" si="54"/>
        <v/>
      </c>
      <c r="R1210" s="89" t="str">
        <f t="shared" si="55"/>
        <v/>
      </c>
      <c r="S1210" s="82"/>
      <c r="U1210" s="37" t="e">
        <f t="shared" si="56"/>
        <v>#VALUE!</v>
      </c>
    </row>
    <row r="1211" spans="1:21" x14ac:dyDescent="0.25">
      <c r="A1211" s="31" t="str">
        <f>IF(Table!A1211 = "","",Table!A1211)</f>
        <v/>
      </c>
      <c r="B1211" s="31" t="str">
        <f>IF(Table!B1211 = "","",Table!B1211)</f>
        <v/>
      </c>
      <c r="C1211" s="31" t="str">
        <f>IF(Table!C1211 = "","",Table!C1211)</f>
        <v/>
      </c>
      <c r="D1211" s="32" t="str">
        <f>IF(Table!D1211 = "","",Table!D1211)</f>
        <v/>
      </c>
      <c r="E1211" s="32" t="str">
        <f>IF(Table!E1211 = "","",Table!E1211)</f>
        <v/>
      </c>
      <c r="F1211" s="32" t="str">
        <f>IF(Table!F1211 = "","",Table!F1211)</f>
        <v/>
      </c>
      <c r="G1211" s="91"/>
      <c r="K1211" s="31" t="str">
        <f>IFERROR(VLOOKUP(A1211,Table!$I$4:$O$3000,1,TRUE),"")</f>
        <v/>
      </c>
      <c r="L1211" s="31" t="str">
        <f>IFERROR(INDEX(Table!I:O,MATCH(K1211,Table!I:I,0),2),"")</f>
        <v/>
      </c>
      <c r="M1211" s="31" t="str">
        <f>IFERROR(INDEX(Table!I:O,MATCH(K1211,Table!I:I,0),3),"")</f>
        <v/>
      </c>
      <c r="N1211" s="32" t="str">
        <f>IFERROR(INDEX(Table!I:O,MATCH(K1211,Table!I:I,0),4),"")</f>
        <v/>
      </c>
      <c r="O1211" s="32" t="str">
        <f>IFERROR(INDEX(Table!I:O,MATCH(K1211,Table!I:I,0),5),"")</f>
        <v/>
      </c>
      <c r="P1211" s="32" t="str">
        <f>IFERROR(INDEX(Table!I:O,MATCH(K1211,Table!I:I,0),6),"")</f>
        <v/>
      </c>
      <c r="Q1211" s="89" t="str">
        <f t="shared" si="54"/>
        <v/>
      </c>
      <c r="R1211" s="89" t="str">
        <f t="shared" si="55"/>
        <v/>
      </c>
      <c r="S1211" s="82"/>
      <c r="U1211" s="37" t="e">
        <f t="shared" si="56"/>
        <v>#VALUE!</v>
      </c>
    </row>
    <row r="1212" spans="1:21" x14ac:dyDescent="0.25">
      <c r="A1212" s="31" t="str">
        <f>IF(Table!A1212 = "","",Table!A1212)</f>
        <v/>
      </c>
      <c r="B1212" s="31" t="str">
        <f>IF(Table!B1212 = "","",Table!B1212)</f>
        <v/>
      </c>
      <c r="C1212" s="31" t="str">
        <f>IF(Table!C1212 = "","",Table!C1212)</f>
        <v/>
      </c>
      <c r="D1212" s="32" t="str">
        <f>IF(Table!D1212 = "","",Table!D1212)</f>
        <v/>
      </c>
      <c r="E1212" s="32" t="str">
        <f>IF(Table!E1212 = "","",Table!E1212)</f>
        <v/>
      </c>
      <c r="F1212" s="32" t="str">
        <f>IF(Table!F1212 = "","",Table!F1212)</f>
        <v/>
      </c>
      <c r="G1212" s="91"/>
      <c r="K1212" s="31" t="str">
        <f>IFERROR(VLOOKUP(A1212,Table!$I$4:$O$3000,1,TRUE),"")</f>
        <v/>
      </c>
      <c r="L1212" s="31" t="str">
        <f>IFERROR(INDEX(Table!I:O,MATCH(K1212,Table!I:I,0),2),"")</f>
        <v/>
      </c>
      <c r="M1212" s="31" t="str">
        <f>IFERROR(INDEX(Table!I:O,MATCH(K1212,Table!I:I,0),3),"")</f>
        <v/>
      </c>
      <c r="N1212" s="32" t="str">
        <f>IFERROR(INDEX(Table!I:O,MATCH(K1212,Table!I:I,0),4),"")</f>
        <v/>
      </c>
      <c r="O1212" s="32" t="str">
        <f>IFERROR(INDEX(Table!I:O,MATCH(K1212,Table!I:I,0),5),"")</f>
        <v/>
      </c>
      <c r="P1212" s="32" t="str">
        <f>IFERROR(INDEX(Table!I:O,MATCH(K1212,Table!I:I,0),6),"")</f>
        <v/>
      </c>
      <c r="Q1212" s="89" t="str">
        <f t="shared" si="54"/>
        <v/>
      </c>
      <c r="R1212" s="89" t="str">
        <f t="shared" si="55"/>
        <v/>
      </c>
      <c r="S1212" s="82"/>
      <c r="U1212" s="37" t="e">
        <f t="shared" si="56"/>
        <v>#VALUE!</v>
      </c>
    </row>
    <row r="1213" spans="1:21" x14ac:dyDescent="0.25">
      <c r="A1213" s="31" t="str">
        <f>IF(Table!A1213 = "","",Table!A1213)</f>
        <v/>
      </c>
      <c r="B1213" s="31" t="str">
        <f>IF(Table!B1213 = "","",Table!B1213)</f>
        <v/>
      </c>
      <c r="C1213" s="31" t="str">
        <f>IF(Table!C1213 = "","",Table!C1213)</f>
        <v/>
      </c>
      <c r="D1213" s="32" t="str">
        <f>IF(Table!D1213 = "","",Table!D1213)</f>
        <v/>
      </c>
      <c r="E1213" s="32" t="str">
        <f>IF(Table!E1213 = "","",Table!E1213)</f>
        <v/>
      </c>
      <c r="F1213" s="32" t="str">
        <f>IF(Table!F1213 = "","",Table!F1213)</f>
        <v/>
      </c>
      <c r="G1213" s="91"/>
      <c r="K1213" s="31" t="str">
        <f>IFERROR(VLOOKUP(A1213,Table!$I$4:$O$3000,1,TRUE),"")</f>
        <v/>
      </c>
      <c r="L1213" s="31" t="str">
        <f>IFERROR(INDEX(Table!I:O,MATCH(K1213,Table!I:I,0),2),"")</f>
        <v/>
      </c>
      <c r="M1213" s="31" t="str">
        <f>IFERROR(INDEX(Table!I:O,MATCH(K1213,Table!I:I,0),3),"")</f>
        <v/>
      </c>
      <c r="N1213" s="32" t="str">
        <f>IFERROR(INDEX(Table!I:O,MATCH(K1213,Table!I:I,0),4),"")</f>
        <v/>
      </c>
      <c r="O1213" s="32" t="str">
        <f>IFERROR(INDEX(Table!I:O,MATCH(K1213,Table!I:I,0),5),"")</f>
        <v/>
      </c>
      <c r="P1213" s="32" t="str">
        <f>IFERROR(INDEX(Table!I:O,MATCH(K1213,Table!I:I,0),6),"")</f>
        <v/>
      </c>
      <c r="Q1213" s="89" t="str">
        <f t="shared" si="54"/>
        <v/>
      </c>
      <c r="R1213" s="89" t="str">
        <f t="shared" si="55"/>
        <v/>
      </c>
      <c r="S1213" s="82"/>
      <c r="U1213" s="37" t="e">
        <f t="shared" si="56"/>
        <v>#VALUE!</v>
      </c>
    </row>
    <row r="1214" spans="1:21" x14ac:dyDescent="0.25">
      <c r="A1214" s="31" t="str">
        <f>IF(Table!A1214 = "","",Table!A1214)</f>
        <v/>
      </c>
      <c r="B1214" s="31" t="str">
        <f>IF(Table!B1214 = "","",Table!B1214)</f>
        <v/>
      </c>
      <c r="C1214" s="31" t="str">
        <f>IF(Table!C1214 = "","",Table!C1214)</f>
        <v/>
      </c>
      <c r="D1214" s="32" t="str">
        <f>IF(Table!D1214 = "","",Table!D1214)</f>
        <v/>
      </c>
      <c r="E1214" s="32" t="str">
        <f>IF(Table!E1214 = "","",Table!E1214)</f>
        <v/>
      </c>
      <c r="F1214" s="32" t="str">
        <f>IF(Table!F1214 = "","",Table!F1214)</f>
        <v/>
      </c>
      <c r="G1214" s="91"/>
      <c r="K1214" s="31" t="str">
        <f>IFERROR(VLOOKUP(A1214,Table!$I$4:$O$3000,1,TRUE),"")</f>
        <v/>
      </c>
      <c r="L1214" s="31" t="str">
        <f>IFERROR(INDEX(Table!I:O,MATCH(K1214,Table!I:I,0),2),"")</f>
        <v/>
      </c>
      <c r="M1214" s="31" t="str">
        <f>IFERROR(INDEX(Table!I:O,MATCH(K1214,Table!I:I,0),3),"")</f>
        <v/>
      </c>
      <c r="N1214" s="32" t="str">
        <f>IFERROR(INDEX(Table!I:O,MATCH(K1214,Table!I:I,0),4),"")</f>
        <v/>
      </c>
      <c r="O1214" s="32" t="str">
        <f>IFERROR(INDEX(Table!I:O,MATCH(K1214,Table!I:I,0),5),"")</f>
        <v/>
      </c>
      <c r="P1214" s="32" t="str">
        <f>IFERROR(INDEX(Table!I:O,MATCH(K1214,Table!I:I,0),6),"")</f>
        <v/>
      </c>
      <c r="Q1214" s="89" t="str">
        <f t="shared" si="54"/>
        <v/>
      </c>
      <c r="R1214" s="89" t="str">
        <f t="shared" si="55"/>
        <v/>
      </c>
      <c r="S1214" s="82"/>
      <c r="U1214" s="37" t="e">
        <f t="shared" si="56"/>
        <v>#VALUE!</v>
      </c>
    </row>
    <row r="1215" spans="1:21" x14ac:dyDescent="0.25">
      <c r="A1215" s="31" t="str">
        <f>IF(Table!A1215 = "","",Table!A1215)</f>
        <v/>
      </c>
      <c r="B1215" s="31" t="str">
        <f>IF(Table!B1215 = "","",Table!B1215)</f>
        <v/>
      </c>
      <c r="C1215" s="31" t="str">
        <f>IF(Table!C1215 = "","",Table!C1215)</f>
        <v/>
      </c>
      <c r="D1215" s="32" t="str">
        <f>IF(Table!D1215 = "","",Table!D1215)</f>
        <v/>
      </c>
      <c r="E1215" s="32" t="str">
        <f>IF(Table!E1215 = "","",Table!E1215)</f>
        <v/>
      </c>
      <c r="F1215" s="32" t="str">
        <f>IF(Table!F1215 = "","",Table!F1215)</f>
        <v/>
      </c>
      <c r="G1215" s="91"/>
      <c r="K1215" s="31" t="str">
        <f>IFERROR(VLOOKUP(A1215,Table!$I$4:$O$3000,1,TRUE),"")</f>
        <v/>
      </c>
      <c r="L1215" s="31" t="str">
        <f>IFERROR(INDEX(Table!I:O,MATCH(K1215,Table!I:I,0),2),"")</f>
        <v/>
      </c>
      <c r="M1215" s="31" t="str">
        <f>IFERROR(INDEX(Table!I:O,MATCH(K1215,Table!I:I,0),3),"")</f>
        <v/>
      </c>
      <c r="N1215" s="32" t="str">
        <f>IFERROR(INDEX(Table!I:O,MATCH(K1215,Table!I:I,0),4),"")</f>
        <v/>
      </c>
      <c r="O1215" s="32" t="str">
        <f>IFERROR(INDEX(Table!I:O,MATCH(K1215,Table!I:I,0),5),"")</f>
        <v/>
      </c>
      <c r="P1215" s="32" t="str">
        <f>IFERROR(INDEX(Table!I:O,MATCH(K1215,Table!I:I,0),6),"")</f>
        <v/>
      </c>
      <c r="Q1215" s="89" t="str">
        <f t="shared" si="54"/>
        <v/>
      </c>
      <c r="R1215" s="89" t="str">
        <f t="shared" si="55"/>
        <v/>
      </c>
      <c r="S1215" s="82"/>
      <c r="U1215" s="37" t="e">
        <f t="shared" si="56"/>
        <v>#VALUE!</v>
      </c>
    </row>
    <row r="1216" spans="1:21" x14ac:dyDescent="0.25">
      <c r="A1216" s="31" t="str">
        <f>IF(Table!A1216 = "","",Table!A1216)</f>
        <v/>
      </c>
      <c r="B1216" s="31" t="str">
        <f>IF(Table!B1216 = "","",Table!B1216)</f>
        <v/>
      </c>
      <c r="C1216" s="31" t="str">
        <f>IF(Table!C1216 = "","",Table!C1216)</f>
        <v/>
      </c>
      <c r="D1216" s="32" t="str">
        <f>IF(Table!D1216 = "","",Table!D1216)</f>
        <v/>
      </c>
      <c r="E1216" s="32" t="str">
        <f>IF(Table!E1216 = "","",Table!E1216)</f>
        <v/>
      </c>
      <c r="F1216" s="32" t="str">
        <f>IF(Table!F1216 = "","",Table!F1216)</f>
        <v/>
      </c>
      <c r="G1216" s="91"/>
      <c r="K1216" s="31" t="str">
        <f>IFERROR(VLOOKUP(A1216,Table!$I$4:$O$3000,1,TRUE),"")</f>
        <v/>
      </c>
      <c r="L1216" s="31" t="str">
        <f>IFERROR(INDEX(Table!I:O,MATCH(K1216,Table!I:I,0),2),"")</f>
        <v/>
      </c>
      <c r="M1216" s="31" t="str">
        <f>IFERROR(INDEX(Table!I:O,MATCH(K1216,Table!I:I,0),3),"")</f>
        <v/>
      </c>
      <c r="N1216" s="32" t="str">
        <f>IFERROR(INDEX(Table!I:O,MATCH(K1216,Table!I:I,0),4),"")</f>
        <v/>
      </c>
      <c r="O1216" s="32" t="str">
        <f>IFERROR(INDEX(Table!I:O,MATCH(K1216,Table!I:I,0),5),"")</f>
        <v/>
      </c>
      <c r="P1216" s="32" t="str">
        <f>IFERROR(INDEX(Table!I:O,MATCH(K1216,Table!I:I,0),6),"")</f>
        <v/>
      </c>
      <c r="Q1216" s="89" t="str">
        <f t="shared" si="54"/>
        <v/>
      </c>
      <c r="R1216" s="89" t="str">
        <f t="shared" si="55"/>
        <v/>
      </c>
      <c r="S1216" s="82"/>
      <c r="U1216" s="37" t="e">
        <f t="shared" si="56"/>
        <v>#VALUE!</v>
      </c>
    </row>
    <row r="1217" spans="1:21" x14ac:dyDescent="0.25">
      <c r="A1217" s="31" t="str">
        <f>IF(Table!A1217 = "","",Table!A1217)</f>
        <v/>
      </c>
      <c r="B1217" s="31" t="str">
        <f>IF(Table!B1217 = "","",Table!B1217)</f>
        <v/>
      </c>
      <c r="C1217" s="31" t="str">
        <f>IF(Table!C1217 = "","",Table!C1217)</f>
        <v/>
      </c>
      <c r="D1217" s="32" t="str">
        <f>IF(Table!D1217 = "","",Table!D1217)</f>
        <v/>
      </c>
      <c r="E1217" s="32" t="str">
        <f>IF(Table!E1217 = "","",Table!E1217)</f>
        <v/>
      </c>
      <c r="F1217" s="32" t="str">
        <f>IF(Table!F1217 = "","",Table!F1217)</f>
        <v/>
      </c>
      <c r="G1217" s="91"/>
      <c r="K1217" s="31" t="str">
        <f>IFERROR(VLOOKUP(A1217,Table!$I$4:$O$3000,1,TRUE),"")</f>
        <v/>
      </c>
      <c r="L1217" s="31" t="str">
        <f>IFERROR(INDEX(Table!I:O,MATCH(K1217,Table!I:I,0),2),"")</f>
        <v/>
      </c>
      <c r="M1217" s="31" t="str">
        <f>IFERROR(INDEX(Table!I:O,MATCH(K1217,Table!I:I,0),3),"")</f>
        <v/>
      </c>
      <c r="N1217" s="32" t="str">
        <f>IFERROR(INDEX(Table!I:O,MATCH(K1217,Table!I:I,0),4),"")</f>
        <v/>
      </c>
      <c r="O1217" s="32" t="str">
        <f>IFERROR(INDEX(Table!I:O,MATCH(K1217,Table!I:I,0),5),"")</f>
        <v/>
      </c>
      <c r="P1217" s="32" t="str">
        <f>IFERROR(INDEX(Table!I:O,MATCH(K1217,Table!I:I,0),6),"")</f>
        <v/>
      </c>
      <c r="Q1217" s="89" t="str">
        <f t="shared" si="54"/>
        <v/>
      </c>
      <c r="R1217" s="89" t="str">
        <f t="shared" si="55"/>
        <v/>
      </c>
      <c r="S1217" s="82"/>
      <c r="U1217" s="37" t="e">
        <f t="shared" si="56"/>
        <v>#VALUE!</v>
      </c>
    </row>
    <row r="1218" spans="1:21" x14ac:dyDescent="0.25">
      <c r="A1218" s="31" t="str">
        <f>IF(Table!A1218 = "","",Table!A1218)</f>
        <v/>
      </c>
      <c r="B1218" s="31" t="str">
        <f>IF(Table!B1218 = "","",Table!B1218)</f>
        <v/>
      </c>
      <c r="C1218" s="31" t="str">
        <f>IF(Table!C1218 = "","",Table!C1218)</f>
        <v/>
      </c>
      <c r="D1218" s="32" t="str">
        <f>IF(Table!D1218 = "","",Table!D1218)</f>
        <v/>
      </c>
      <c r="E1218" s="32" t="str">
        <f>IF(Table!E1218 = "","",Table!E1218)</f>
        <v/>
      </c>
      <c r="F1218" s="32" t="str">
        <f>IF(Table!F1218 = "","",Table!F1218)</f>
        <v/>
      </c>
      <c r="G1218" s="91"/>
      <c r="K1218" s="31" t="str">
        <f>IFERROR(VLOOKUP(A1218,Table!$I$4:$O$3000,1,TRUE),"")</f>
        <v/>
      </c>
      <c r="L1218" s="31" t="str">
        <f>IFERROR(INDEX(Table!I:O,MATCH(K1218,Table!I:I,0),2),"")</f>
        <v/>
      </c>
      <c r="M1218" s="31" t="str">
        <f>IFERROR(INDEX(Table!I:O,MATCH(K1218,Table!I:I,0),3),"")</f>
        <v/>
      </c>
      <c r="N1218" s="32" t="str">
        <f>IFERROR(INDEX(Table!I:O,MATCH(K1218,Table!I:I,0),4),"")</f>
        <v/>
      </c>
      <c r="O1218" s="32" t="str">
        <f>IFERROR(INDEX(Table!I:O,MATCH(K1218,Table!I:I,0),5),"")</f>
        <v/>
      </c>
      <c r="P1218" s="32" t="str">
        <f>IFERROR(INDEX(Table!I:O,MATCH(K1218,Table!I:I,0),6),"")</f>
        <v/>
      </c>
      <c r="Q1218" s="89" t="str">
        <f t="shared" si="54"/>
        <v/>
      </c>
      <c r="R1218" s="89" t="str">
        <f t="shared" si="55"/>
        <v/>
      </c>
      <c r="S1218" s="82"/>
      <c r="U1218" s="37" t="e">
        <f t="shared" si="56"/>
        <v>#VALUE!</v>
      </c>
    </row>
    <row r="1219" spans="1:21" x14ac:dyDescent="0.25">
      <c r="A1219" s="31" t="str">
        <f>IF(Table!A1219 = "","",Table!A1219)</f>
        <v/>
      </c>
      <c r="B1219" s="31" t="str">
        <f>IF(Table!B1219 = "","",Table!B1219)</f>
        <v/>
      </c>
      <c r="C1219" s="31" t="str">
        <f>IF(Table!C1219 = "","",Table!C1219)</f>
        <v/>
      </c>
      <c r="D1219" s="32" t="str">
        <f>IF(Table!D1219 = "","",Table!D1219)</f>
        <v/>
      </c>
      <c r="E1219" s="32" t="str">
        <f>IF(Table!E1219 = "","",Table!E1219)</f>
        <v/>
      </c>
      <c r="F1219" s="32" t="str">
        <f>IF(Table!F1219 = "","",Table!F1219)</f>
        <v/>
      </c>
      <c r="G1219" s="91"/>
      <c r="K1219" s="31" t="str">
        <f>IFERROR(VLOOKUP(A1219,Table!$I$4:$O$3000,1,TRUE),"")</f>
        <v/>
      </c>
      <c r="L1219" s="31" t="str">
        <f>IFERROR(INDEX(Table!I:O,MATCH(K1219,Table!I:I,0),2),"")</f>
        <v/>
      </c>
      <c r="M1219" s="31" t="str">
        <f>IFERROR(INDEX(Table!I:O,MATCH(K1219,Table!I:I,0),3),"")</f>
        <v/>
      </c>
      <c r="N1219" s="32" t="str">
        <f>IFERROR(INDEX(Table!I:O,MATCH(K1219,Table!I:I,0),4),"")</f>
        <v/>
      </c>
      <c r="O1219" s="32" t="str">
        <f>IFERROR(INDEX(Table!I:O,MATCH(K1219,Table!I:I,0),5),"")</f>
        <v/>
      </c>
      <c r="P1219" s="32" t="str">
        <f>IFERROR(INDEX(Table!I:O,MATCH(K1219,Table!I:I,0),6),"")</f>
        <v/>
      </c>
      <c r="Q1219" s="89" t="str">
        <f t="shared" si="54"/>
        <v/>
      </c>
      <c r="R1219" s="89" t="str">
        <f t="shared" si="55"/>
        <v/>
      </c>
      <c r="S1219" s="82"/>
      <c r="U1219" s="37" t="e">
        <f t="shared" si="56"/>
        <v>#VALUE!</v>
      </c>
    </row>
    <row r="1220" spans="1:21" x14ac:dyDescent="0.25">
      <c r="A1220" s="31" t="str">
        <f>IF(Table!A1220 = "","",Table!A1220)</f>
        <v/>
      </c>
      <c r="B1220" s="31" t="str">
        <f>IF(Table!B1220 = "","",Table!B1220)</f>
        <v/>
      </c>
      <c r="C1220" s="31" t="str">
        <f>IF(Table!C1220 = "","",Table!C1220)</f>
        <v/>
      </c>
      <c r="D1220" s="32" t="str">
        <f>IF(Table!D1220 = "","",Table!D1220)</f>
        <v/>
      </c>
      <c r="E1220" s="32" t="str">
        <f>IF(Table!E1220 = "","",Table!E1220)</f>
        <v/>
      </c>
      <c r="F1220" s="32" t="str">
        <f>IF(Table!F1220 = "","",Table!F1220)</f>
        <v/>
      </c>
      <c r="G1220" s="91"/>
      <c r="K1220" s="31" t="str">
        <f>IFERROR(VLOOKUP(A1220,Table!$I$4:$O$3000,1,TRUE),"")</f>
        <v/>
      </c>
      <c r="L1220" s="31" t="str">
        <f>IFERROR(INDEX(Table!I:O,MATCH(K1220,Table!I:I,0),2),"")</f>
        <v/>
      </c>
      <c r="M1220" s="31" t="str">
        <f>IFERROR(INDEX(Table!I:O,MATCH(K1220,Table!I:I,0),3),"")</f>
        <v/>
      </c>
      <c r="N1220" s="32" t="str">
        <f>IFERROR(INDEX(Table!I:O,MATCH(K1220,Table!I:I,0),4),"")</f>
        <v/>
      </c>
      <c r="O1220" s="32" t="str">
        <f>IFERROR(INDEX(Table!I:O,MATCH(K1220,Table!I:I,0),5),"")</f>
        <v/>
      </c>
      <c r="P1220" s="32" t="str">
        <f>IFERROR(INDEX(Table!I:O,MATCH(K1220,Table!I:I,0),6),"")</f>
        <v/>
      </c>
      <c r="Q1220" s="89" t="str">
        <f t="shared" si="54"/>
        <v/>
      </c>
      <c r="R1220" s="89" t="str">
        <f t="shared" si="55"/>
        <v/>
      </c>
      <c r="S1220" s="82"/>
      <c r="U1220" s="37" t="e">
        <f t="shared" si="56"/>
        <v>#VALUE!</v>
      </c>
    </row>
    <row r="1221" spans="1:21" x14ac:dyDescent="0.25">
      <c r="A1221" s="31" t="str">
        <f>IF(Table!A1221 = "","",Table!A1221)</f>
        <v/>
      </c>
      <c r="B1221" s="31" t="str">
        <f>IF(Table!B1221 = "","",Table!B1221)</f>
        <v/>
      </c>
      <c r="C1221" s="31" t="str">
        <f>IF(Table!C1221 = "","",Table!C1221)</f>
        <v/>
      </c>
      <c r="D1221" s="32" t="str">
        <f>IF(Table!D1221 = "","",Table!D1221)</f>
        <v/>
      </c>
      <c r="E1221" s="32" t="str">
        <f>IF(Table!E1221 = "","",Table!E1221)</f>
        <v/>
      </c>
      <c r="F1221" s="32" t="str">
        <f>IF(Table!F1221 = "","",Table!F1221)</f>
        <v/>
      </c>
      <c r="G1221" s="91"/>
      <c r="K1221" s="31" t="str">
        <f>IFERROR(VLOOKUP(A1221,Table!$I$4:$O$3000,1,TRUE),"")</f>
        <v/>
      </c>
      <c r="L1221" s="31" t="str">
        <f>IFERROR(INDEX(Table!I:O,MATCH(K1221,Table!I:I,0),2),"")</f>
        <v/>
      </c>
      <c r="M1221" s="31" t="str">
        <f>IFERROR(INDEX(Table!I:O,MATCH(K1221,Table!I:I,0),3),"")</f>
        <v/>
      </c>
      <c r="N1221" s="32" t="str">
        <f>IFERROR(INDEX(Table!I:O,MATCH(K1221,Table!I:I,0),4),"")</f>
        <v/>
      </c>
      <c r="O1221" s="32" t="str">
        <f>IFERROR(INDEX(Table!I:O,MATCH(K1221,Table!I:I,0),5),"")</f>
        <v/>
      </c>
      <c r="P1221" s="32" t="str">
        <f>IFERROR(INDEX(Table!I:O,MATCH(K1221,Table!I:I,0),6),"")</f>
        <v/>
      </c>
      <c r="Q1221" s="89" t="str">
        <f t="shared" si="54"/>
        <v/>
      </c>
      <c r="R1221" s="89" t="str">
        <f t="shared" si="55"/>
        <v/>
      </c>
      <c r="S1221" s="82"/>
      <c r="U1221" s="37" t="e">
        <f t="shared" si="56"/>
        <v>#VALUE!</v>
      </c>
    </row>
    <row r="1222" spans="1:21" x14ac:dyDescent="0.25">
      <c r="A1222" s="31" t="str">
        <f>IF(Table!A1222 = "","",Table!A1222)</f>
        <v/>
      </c>
      <c r="B1222" s="31" t="str">
        <f>IF(Table!B1222 = "","",Table!B1222)</f>
        <v/>
      </c>
      <c r="C1222" s="31" t="str">
        <f>IF(Table!C1222 = "","",Table!C1222)</f>
        <v/>
      </c>
      <c r="D1222" s="32" t="str">
        <f>IF(Table!D1222 = "","",Table!D1222)</f>
        <v/>
      </c>
      <c r="E1222" s="32" t="str">
        <f>IF(Table!E1222 = "","",Table!E1222)</f>
        <v/>
      </c>
      <c r="F1222" s="32" t="str">
        <f>IF(Table!F1222 = "","",Table!F1222)</f>
        <v/>
      </c>
      <c r="G1222" s="91"/>
      <c r="K1222" s="31" t="str">
        <f>IFERROR(VLOOKUP(A1222,Table!$I$4:$O$3000,1,TRUE),"")</f>
        <v/>
      </c>
      <c r="L1222" s="31" t="str">
        <f>IFERROR(INDEX(Table!I:O,MATCH(K1222,Table!I:I,0),2),"")</f>
        <v/>
      </c>
      <c r="M1222" s="31" t="str">
        <f>IFERROR(INDEX(Table!I:O,MATCH(K1222,Table!I:I,0),3),"")</f>
        <v/>
      </c>
      <c r="N1222" s="32" t="str">
        <f>IFERROR(INDEX(Table!I:O,MATCH(K1222,Table!I:I,0),4),"")</f>
        <v/>
      </c>
      <c r="O1222" s="32" t="str">
        <f>IFERROR(INDEX(Table!I:O,MATCH(K1222,Table!I:I,0),5),"")</f>
        <v/>
      </c>
      <c r="P1222" s="32" t="str">
        <f>IFERROR(INDEX(Table!I:O,MATCH(K1222,Table!I:I,0),6),"")</f>
        <v/>
      </c>
      <c r="Q1222" s="89" t="str">
        <f t="shared" ref="Q1222:Q1285" si="57">IFERROR(L1222-B1222,"")</f>
        <v/>
      </c>
      <c r="R1222" s="89" t="str">
        <f t="shared" ref="R1222:R1285" si="58">IFERROR(M1222-C1222,"")</f>
        <v/>
      </c>
      <c r="S1222" s="82"/>
      <c r="U1222" s="37" t="e">
        <f t="shared" ref="U1222:U1285" si="59">K1222-K1221</f>
        <v>#VALUE!</v>
      </c>
    </row>
    <row r="1223" spans="1:21" x14ac:dyDescent="0.25">
      <c r="A1223" s="31" t="str">
        <f>IF(Table!A1223 = "","",Table!A1223)</f>
        <v/>
      </c>
      <c r="B1223" s="31" t="str">
        <f>IF(Table!B1223 = "","",Table!B1223)</f>
        <v/>
      </c>
      <c r="C1223" s="31" t="str">
        <f>IF(Table!C1223 = "","",Table!C1223)</f>
        <v/>
      </c>
      <c r="D1223" s="32" t="str">
        <f>IF(Table!D1223 = "","",Table!D1223)</f>
        <v/>
      </c>
      <c r="E1223" s="32" t="str">
        <f>IF(Table!E1223 = "","",Table!E1223)</f>
        <v/>
      </c>
      <c r="F1223" s="32" t="str">
        <f>IF(Table!F1223 = "","",Table!F1223)</f>
        <v/>
      </c>
      <c r="G1223" s="91"/>
      <c r="K1223" s="31" t="str">
        <f>IFERROR(VLOOKUP(A1223,Table!$I$4:$O$3000,1,TRUE),"")</f>
        <v/>
      </c>
      <c r="L1223" s="31" t="str">
        <f>IFERROR(INDEX(Table!I:O,MATCH(K1223,Table!I:I,0),2),"")</f>
        <v/>
      </c>
      <c r="M1223" s="31" t="str">
        <f>IFERROR(INDEX(Table!I:O,MATCH(K1223,Table!I:I,0),3),"")</f>
        <v/>
      </c>
      <c r="N1223" s="32" t="str">
        <f>IFERROR(INDEX(Table!I:O,MATCH(K1223,Table!I:I,0),4),"")</f>
        <v/>
      </c>
      <c r="O1223" s="32" t="str">
        <f>IFERROR(INDEX(Table!I:O,MATCH(K1223,Table!I:I,0),5),"")</f>
        <v/>
      </c>
      <c r="P1223" s="32" t="str">
        <f>IFERROR(INDEX(Table!I:O,MATCH(K1223,Table!I:I,0),6),"")</f>
        <v/>
      </c>
      <c r="Q1223" s="89" t="str">
        <f t="shared" si="57"/>
        <v/>
      </c>
      <c r="R1223" s="89" t="str">
        <f t="shared" si="58"/>
        <v/>
      </c>
      <c r="S1223" s="82"/>
      <c r="U1223" s="37" t="e">
        <f t="shared" si="59"/>
        <v>#VALUE!</v>
      </c>
    </row>
    <row r="1224" spans="1:21" x14ac:dyDescent="0.25">
      <c r="A1224" s="31" t="str">
        <f>IF(Table!A1224 = "","",Table!A1224)</f>
        <v/>
      </c>
      <c r="B1224" s="31" t="str">
        <f>IF(Table!B1224 = "","",Table!B1224)</f>
        <v/>
      </c>
      <c r="C1224" s="31" t="str">
        <f>IF(Table!C1224 = "","",Table!C1224)</f>
        <v/>
      </c>
      <c r="D1224" s="32" t="str">
        <f>IF(Table!D1224 = "","",Table!D1224)</f>
        <v/>
      </c>
      <c r="E1224" s="32" t="str">
        <f>IF(Table!E1224 = "","",Table!E1224)</f>
        <v/>
      </c>
      <c r="F1224" s="32" t="str">
        <f>IF(Table!F1224 = "","",Table!F1224)</f>
        <v/>
      </c>
      <c r="G1224" s="91"/>
      <c r="K1224" s="31" t="str">
        <f>IFERROR(VLOOKUP(A1224,Table!$I$4:$O$3000,1,TRUE),"")</f>
        <v/>
      </c>
      <c r="L1224" s="31" t="str">
        <f>IFERROR(INDEX(Table!I:O,MATCH(K1224,Table!I:I,0),2),"")</f>
        <v/>
      </c>
      <c r="M1224" s="31" t="str">
        <f>IFERROR(INDEX(Table!I:O,MATCH(K1224,Table!I:I,0),3),"")</f>
        <v/>
      </c>
      <c r="N1224" s="32" t="str">
        <f>IFERROR(INDEX(Table!I:O,MATCH(K1224,Table!I:I,0),4),"")</f>
        <v/>
      </c>
      <c r="O1224" s="32" t="str">
        <f>IFERROR(INDEX(Table!I:O,MATCH(K1224,Table!I:I,0),5),"")</f>
        <v/>
      </c>
      <c r="P1224" s="32" t="str">
        <f>IFERROR(INDEX(Table!I:O,MATCH(K1224,Table!I:I,0),6),"")</f>
        <v/>
      </c>
      <c r="Q1224" s="89" t="str">
        <f t="shared" si="57"/>
        <v/>
      </c>
      <c r="R1224" s="89" t="str">
        <f t="shared" si="58"/>
        <v/>
      </c>
      <c r="S1224" s="82"/>
      <c r="U1224" s="37" t="e">
        <f t="shared" si="59"/>
        <v>#VALUE!</v>
      </c>
    </row>
    <row r="1225" spans="1:21" x14ac:dyDescent="0.25">
      <c r="A1225" s="31" t="str">
        <f>IF(Table!A1225 = "","",Table!A1225)</f>
        <v/>
      </c>
      <c r="B1225" s="31" t="str">
        <f>IF(Table!B1225 = "","",Table!B1225)</f>
        <v/>
      </c>
      <c r="C1225" s="31" t="str">
        <f>IF(Table!C1225 = "","",Table!C1225)</f>
        <v/>
      </c>
      <c r="D1225" s="32" t="str">
        <f>IF(Table!D1225 = "","",Table!D1225)</f>
        <v/>
      </c>
      <c r="E1225" s="32" t="str">
        <f>IF(Table!E1225 = "","",Table!E1225)</f>
        <v/>
      </c>
      <c r="F1225" s="32" t="str">
        <f>IF(Table!F1225 = "","",Table!F1225)</f>
        <v/>
      </c>
      <c r="G1225" s="91"/>
      <c r="K1225" s="31" t="str">
        <f>IFERROR(VLOOKUP(A1225,Table!$I$4:$O$3000,1,TRUE),"")</f>
        <v/>
      </c>
      <c r="L1225" s="31" t="str">
        <f>IFERROR(INDEX(Table!I:O,MATCH(K1225,Table!I:I,0),2),"")</f>
        <v/>
      </c>
      <c r="M1225" s="31" t="str">
        <f>IFERROR(INDEX(Table!I:O,MATCH(K1225,Table!I:I,0),3),"")</f>
        <v/>
      </c>
      <c r="N1225" s="32" t="str">
        <f>IFERROR(INDEX(Table!I:O,MATCH(K1225,Table!I:I,0),4),"")</f>
        <v/>
      </c>
      <c r="O1225" s="32" t="str">
        <f>IFERROR(INDEX(Table!I:O,MATCH(K1225,Table!I:I,0),5),"")</f>
        <v/>
      </c>
      <c r="P1225" s="32" t="str">
        <f>IFERROR(INDEX(Table!I:O,MATCH(K1225,Table!I:I,0),6),"")</f>
        <v/>
      </c>
      <c r="Q1225" s="89" t="str">
        <f t="shared" si="57"/>
        <v/>
      </c>
      <c r="R1225" s="89" t="str">
        <f t="shared" si="58"/>
        <v/>
      </c>
      <c r="S1225" s="82"/>
      <c r="U1225" s="37" t="e">
        <f t="shared" si="59"/>
        <v>#VALUE!</v>
      </c>
    </row>
    <row r="1226" spans="1:21" x14ac:dyDescent="0.25">
      <c r="A1226" s="31" t="str">
        <f>IF(Table!A1226 = "","",Table!A1226)</f>
        <v/>
      </c>
      <c r="B1226" s="31" t="str">
        <f>IF(Table!B1226 = "","",Table!B1226)</f>
        <v/>
      </c>
      <c r="C1226" s="31" t="str">
        <f>IF(Table!C1226 = "","",Table!C1226)</f>
        <v/>
      </c>
      <c r="D1226" s="32" t="str">
        <f>IF(Table!D1226 = "","",Table!D1226)</f>
        <v/>
      </c>
      <c r="E1226" s="32" t="str">
        <f>IF(Table!E1226 = "","",Table!E1226)</f>
        <v/>
      </c>
      <c r="F1226" s="32" t="str">
        <f>IF(Table!F1226 = "","",Table!F1226)</f>
        <v/>
      </c>
      <c r="G1226" s="91"/>
      <c r="K1226" s="31" t="str">
        <f>IFERROR(VLOOKUP(A1226,Table!$I$4:$O$3000,1,TRUE),"")</f>
        <v/>
      </c>
      <c r="L1226" s="31" t="str">
        <f>IFERROR(INDEX(Table!I:O,MATCH(K1226,Table!I:I,0),2),"")</f>
        <v/>
      </c>
      <c r="M1226" s="31" t="str">
        <f>IFERROR(INDEX(Table!I:O,MATCH(K1226,Table!I:I,0),3),"")</f>
        <v/>
      </c>
      <c r="N1226" s="32" t="str">
        <f>IFERROR(INDEX(Table!I:O,MATCH(K1226,Table!I:I,0),4),"")</f>
        <v/>
      </c>
      <c r="O1226" s="32" t="str">
        <f>IFERROR(INDEX(Table!I:O,MATCH(K1226,Table!I:I,0),5),"")</f>
        <v/>
      </c>
      <c r="P1226" s="32" t="str">
        <f>IFERROR(INDEX(Table!I:O,MATCH(K1226,Table!I:I,0),6),"")</f>
        <v/>
      </c>
      <c r="Q1226" s="89" t="str">
        <f t="shared" si="57"/>
        <v/>
      </c>
      <c r="R1226" s="89" t="str">
        <f t="shared" si="58"/>
        <v/>
      </c>
      <c r="S1226" s="82"/>
      <c r="U1226" s="37" t="e">
        <f t="shared" si="59"/>
        <v>#VALUE!</v>
      </c>
    </row>
    <row r="1227" spans="1:21" x14ac:dyDescent="0.25">
      <c r="A1227" s="31" t="str">
        <f>IF(Table!A1227 = "","",Table!A1227)</f>
        <v/>
      </c>
      <c r="B1227" s="31" t="str">
        <f>IF(Table!B1227 = "","",Table!B1227)</f>
        <v/>
      </c>
      <c r="C1227" s="31" t="str">
        <f>IF(Table!C1227 = "","",Table!C1227)</f>
        <v/>
      </c>
      <c r="D1227" s="32" t="str">
        <f>IF(Table!D1227 = "","",Table!D1227)</f>
        <v/>
      </c>
      <c r="E1227" s="32" t="str">
        <f>IF(Table!E1227 = "","",Table!E1227)</f>
        <v/>
      </c>
      <c r="F1227" s="32" t="str">
        <f>IF(Table!F1227 = "","",Table!F1227)</f>
        <v/>
      </c>
      <c r="G1227" s="91"/>
      <c r="K1227" s="31" t="str">
        <f>IFERROR(VLOOKUP(A1227,Table!$I$4:$O$3000,1,TRUE),"")</f>
        <v/>
      </c>
      <c r="L1227" s="31" t="str">
        <f>IFERROR(INDEX(Table!I:O,MATCH(K1227,Table!I:I,0),2),"")</f>
        <v/>
      </c>
      <c r="M1227" s="31" t="str">
        <f>IFERROR(INDEX(Table!I:O,MATCH(K1227,Table!I:I,0),3),"")</f>
        <v/>
      </c>
      <c r="N1227" s="32" t="str">
        <f>IFERROR(INDEX(Table!I:O,MATCH(K1227,Table!I:I,0),4),"")</f>
        <v/>
      </c>
      <c r="O1227" s="32" t="str">
        <f>IFERROR(INDEX(Table!I:O,MATCH(K1227,Table!I:I,0),5),"")</f>
        <v/>
      </c>
      <c r="P1227" s="32" t="str">
        <f>IFERROR(INDEX(Table!I:O,MATCH(K1227,Table!I:I,0),6),"")</f>
        <v/>
      </c>
      <c r="Q1227" s="89" t="str">
        <f t="shared" si="57"/>
        <v/>
      </c>
      <c r="R1227" s="89" t="str">
        <f t="shared" si="58"/>
        <v/>
      </c>
      <c r="S1227" s="82"/>
      <c r="U1227" s="37" t="e">
        <f t="shared" si="59"/>
        <v>#VALUE!</v>
      </c>
    </row>
    <row r="1228" spans="1:21" x14ac:dyDescent="0.25">
      <c r="A1228" s="31" t="str">
        <f>IF(Table!A1228 = "","",Table!A1228)</f>
        <v/>
      </c>
      <c r="B1228" s="31" t="str">
        <f>IF(Table!B1228 = "","",Table!B1228)</f>
        <v/>
      </c>
      <c r="C1228" s="31" t="str">
        <f>IF(Table!C1228 = "","",Table!C1228)</f>
        <v/>
      </c>
      <c r="D1228" s="32" t="str">
        <f>IF(Table!D1228 = "","",Table!D1228)</f>
        <v/>
      </c>
      <c r="E1228" s="32" t="str">
        <f>IF(Table!E1228 = "","",Table!E1228)</f>
        <v/>
      </c>
      <c r="F1228" s="32" t="str">
        <f>IF(Table!F1228 = "","",Table!F1228)</f>
        <v/>
      </c>
      <c r="G1228" s="91"/>
      <c r="K1228" s="31" t="str">
        <f>IFERROR(VLOOKUP(A1228,Table!$I$4:$O$3000,1,TRUE),"")</f>
        <v/>
      </c>
      <c r="L1228" s="31" t="str">
        <f>IFERROR(INDEX(Table!I:O,MATCH(K1228,Table!I:I,0),2),"")</f>
        <v/>
      </c>
      <c r="M1228" s="31" t="str">
        <f>IFERROR(INDEX(Table!I:O,MATCH(K1228,Table!I:I,0),3),"")</f>
        <v/>
      </c>
      <c r="N1228" s="32" t="str">
        <f>IFERROR(INDEX(Table!I:O,MATCH(K1228,Table!I:I,0),4),"")</f>
        <v/>
      </c>
      <c r="O1228" s="32" t="str">
        <f>IFERROR(INDEX(Table!I:O,MATCH(K1228,Table!I:I,0),5),"")</f>
        <v/>
      </c>
      <c r="P1228" s="32" t="str">
        <f>IFERROR(INDEX(Table!I:O,MATCH(K1228,Table!I:I,0),6),"")</f>
        <v/>
      </c>
      <c r="Q1228" s="89" t="str">
        <f t="shared" si="57"/>
        <v/>
      </c>
      <c r="R1228" s="89" t="str">
        <f t="shared" si="58"/>
        <v/>
      </c>
      <c r="S1228" s="82"/>
      <c r="U1228" s="37" t="e">
        <f t="shared" si="59"/>
        <v>#VALUE!</v>
      </c>
    </row>
    <row r="1229" spans="1:21" x14ac:dyDescent="0.25">
      <c r="A1229" s="31" t="str">
        <f>IF(Table!A1229 = "","",Table!A1229)</f>
        <v/>
      </c>
      <c r="B1229" s="31" t="str">
        <f>IF(Table!B1229 = "","",Table!B1229)</f>
        <v/>
      </c>
      <c r="C1229" s="31" t="str">
        <f>IF(Table!C1229 = "","",Table!C1229)</f>
        <v/>
      </c>
      <c r="D1229" s="32" t="str">
        <f>IF(Table!D1229 = "","",Table!D1229)</f>
        <v/>
      </c>
      <c r="E1229" s="32" t="str">
        <f>IF(Table!E1229 = "","",Table!E1229)</f>
        <v/>
      </c>
      <c r="F1229" s="32" t="str">
        <f>IF(Table!F1229 = "","",Table!F1229)</f>
        <v/>
      </c>
      <c r="G1229" s="91"/>
      <c r="K1229" s="31" t="str">
        <f>IFERROR(VLOOKUP(A1229,Table!$I$4:$O$3000,1,TRUE),"")</f>
        <v/>
      </c>
      <c r="L1229" s="31" t="str">
        <f>IFERROR(INDEX(Table!I:O,MATCH(K1229,Table!I:I,0),2),"")</f>
        <v/>
      </c>
      <c r="M1229" s="31" t="str">
        <f>IFERROR(INDEX(Table!I:O,MATCH(K1229,Table!I:I,0),3),"")</f>
        <v/>
      </c>
      <c r="N1229" s="32" t="str">
        <f>IFERROR(INDEX(Table!I:O,MATCH(K1229,Table!I:I,0),4),"")</f>
        <v/>
      </c>
      <c r="O1229" s="32" t="str">
        <f>IFERROR(INDEX(Table!I:O,MATCH(K1229,Table!I:I,0),5),"")</f>
        <v/>
      </c>
      <c r="P1229" s="32" t="str">
        <f>IFERROR(INDEX(Table!I:O,MATCH(K1229,Table!I:I,0),6),"")</f>
        <v/>
      </c>
      <c r="Q1229" s="89" t="str">
        <f t="shared" si="57"/>
        <v/>
      </c>
      <c r="R1229" s="89" t="str">
        <f t="shared" si="58"/>
        <v/>
      </c>
      <c r="S1229" s="82"/>
      <c r="U1229" s="37" t="e">
        <f t="shared" si="59"/>
        <v>#VALUE!</v>
      </c>
    </row>
    <row r="1230" spans="1:21" x14ac:dyDescent="0.25">
      <c r="A1230" s="31" t="str">
        <f>IF(Table!A1230 = "","",Table!A1230)</f>
        <v/>
      </c>
      <c r="B1230" s="31" t="str">
        <f>IF(Table!B1230 = "","",Table!B1230)</f>
        <v/>
      </c>
      <c r="C1230" s="31" t="str">
        <f>IF(Table!C1230 = "","",Table!C1230)</f>
        <v/>
      </c>
      <c r="D1230" s="32" t="str">
        <f>IF(Table!D1230 = "","",Table!D1230)</f>
        <v/>
      </c>
      <c r="E1230" s="32" t="str">
        <f>IF(Table!E1230 = "","",Table!E1230)</f>
        <v/>
      </c>
      <c r="F1230" s="32" t="str">
        <f>IF(Table!F1230 = "","",Table!F1230)</f>
        <v/>
      </c>
      <c r="G1230" s="91"/>
      <c r="K1230" s="31" t="str">
        <f>IFERROR(VLOOKUP(A1230,Table!$I$4:$O$3000,1,TRUE),"")</f>
        <v/>
      </c>
      <c r="L1230" s="31" t="str">
        <f>IFERROR(INDEX(Table!I:O,MATCH(K1230,Table!I:I,0),2),"")</f>
        <v/>
      </c>
      <c r="M1230" s="31" t="str">
        <f>IFERROR(INDEX(Table!I:O,MATCH(K1230,Table!I:I,0),3),"")</f>
        <v/>
      </c>
      <c r="N1230" s="32" t="str">
        <f>IFERROR(INDEX(Table!I:O,MATCH(K1230,Table!I:I,0),4),"")</f>
        <v/>
      </c>
      <c r="O1230" s="32" t="str">
        <f>IFERROR(INDEX(Table!I:O,MATCH(K1230,Table!I:I,0),5),"")</f>
        <v/>
      </c>
      <c r="P1230" s="32" t="str">
        <f>IFERROR(INDEX(Table!I:O,MATCH(K1230,Table!I:I,0),6),"")</f>
        <v/>
      </c>
      <c r="Q1230" s="89" t="str">
        <f t="shared" si="57"/>
        <v/>
      </c>
      <c r="R1230" s="89" t="str">
        <f t="shared" si="58"/>
        <v/>
      </c>
      <c r="S1230" s="82"/>
      <c r="U1230" s="37" t="e">
        <f t="shared" si="59"/>
        <v>#VALUE!</v>
      </c>
    </row>
    <row r="1231" spans="1:21" x14ac:dyDescent="0.25">
      <c r="A1231" s="31" t="str">
        <f>IF(Table!A1231 = "","",Table!A1231)</f>
        <v/>
      </c>
      <c r="B1231" s="31" t="str">
        <f>IF(Table!B1231 = "","",Table!B1231)</f>
        <v/>
      </c>
      <c r="C1231" s="31" t="str">
        <f>IF(Table!C1231 = "","",Table!C1231)</f>
        <v/>
      </c>
      <c r="D1231" s="32" t="str">
        <f>IF(Table!D1231 = "","",Table!D1231)</f>
        <v/>
      </c>
      <c r="E1231" s="32" t="str">
        <f>IF(Table!E1231 = "","",Table!E1231)</f>
        <v/>
      </c>
      <c r="F1231" s="32" t="str">
        <f>IF(Table!F1231 = "","",Table!F1231)</f>
        <v/>
      </c>
      <c r="G1231" s="91"/>
      <c r="K1231" s="31" t="str">
        <f>IFERROR(VLOOKUP(A1231,Table!$I$4:$O$3000,1,TRUE),"")</f>
        <v/>
      </c>
      <c r="L1231" s="31" t="str">
        <f>IFERROR(INDEX(Table!I:O,MATCH(K1231,Table!I:I,0),2),"")</f>
        <v/>
      </c>
      <c r="M1231" s="31" t="str">
        <f>IFERROR(INDEX(Table!I:O,MATCH(K1231,Table!I:I,0),3),"")</f>
        <v/>
      </c>
      <c r="N1231" s="32" t="str">
        <f>IFERROR(INDEX(Table!I:O,MATCH(K1231,Table!I:I,0),4),"")</f>
        <v/>
      </c>
      <c r="O1231" s="32" t="str">
        <f>IFERROR(INDEX(Table!I:O,MATCH(K1231,Table!I:I,0),5),"")</f>
        <v/>
      </c>
      <c r="P1231" s="32" t="str">
        <f>IFERROR(INDEX(Table!I:O,MATCH(K1231,Table!I:I,0),6),"")</f>
        <v/>
      </c>
      <c r="Q1231" s="89" t="str">
        <f t="shared" si="57"/>
        <v/>
      </c>
      <c r="R1231" s="89" t="str">
        <f t="shared" si="58"/>
        <v/>
      </c>
      <c r="S1231" s="82"/>
      <c r="U1231" s="37" t="e">
        <f t="shared" si="59"/>
        <v>#VALUE!</v>
      </c>
    </row>
    <row r="1232" spans="1:21" x14ac:dyDescent="0.25">
      <c r="A1232" s="31" t="str">
        <f>IF(Table!A1232 = "","",Table!A1232)</f>
        <v/>
      </c>
      <c r="B1232" s="31" t="str">
        <f>IF(Table!B1232 = "","",Table!B1232)</f>
        <v/>
      </c>
      <c r="C1232" s="31" t="str">
        <f>IF(Table!C1232 = "","",Table!C1232)</f>
        <v/>
      </c>
      <c r="D1232" s="32" t="str">
        <f>IF(Table!D1232 = "","",Table!D1232)</f>
        <v/>
      </c>
      <c r="E1232" s="32" t="str">
        <f>IF(Table!E1232 = "","",Table!E1232)</f>
        <v/>
      </c>
      <c r="F1232" s="32" t="str">
        <f>IF(Table!F1232 = "","",Table!F1232)</f>
        <v/>
      </c>
      <c r="G1232" s="91"/>
      <c r="K1232" s="31" t="str">
        <f>IFERROR(VLOOKUP(A1232,Table!$I$4:$O$3000,1,TRUE),"")</f>
        <v/>
      </c>
      <c r="L1232" s="31" t="str">
        <f>IFERROR(INDEX(Table!I:O,MATCH(K1232,Table!I:I,0),2),"")</f>
        <v/>
      </c>
      <c r="M1232" s="31" t="str">
        <f>IFERROR(INDEX(Table!I:O,MATCH(K1232,Table!I:I,0),3),"")</f>
        <v/>
      </c>
      <c r="N1232" s="32" t="str">
        <f>IFERROR(INDEX(Table!I:O,MATCH(K1232,Table!I:I,0),4),"")</f>
        <v/>
      </c>
      <c r="O1232" s="32" t="str">
        <f>IFERROR(INDEX(Table!I:O,MATCH(K1232,Table!I:I,0),5),"")</f>
        <v/>
      </c>
      <c r="P1232" s="32" t="str">
        <f>IFERROR(INDEX(Table!I:O,MATCH(K1232,Table!I:I,0),6),"")</f>
        <v/>
      </c>
      <c r="Q1232" s="89" t="str">
        <f t="shared" si="57"/>
        <v/>
      </c>
      <c r="R1232" s="89" t="str">
        <f t="shared" si="58"/>
        <v/>
      </c>
      <c r="S1232" s="82"/>
      <c r="U1232" s="37" t="e">
        <f t="shared" si="59"/>
        <v>#VALUE!</v>
      </c>
    </row>
    <row r="1233" spans="1:21" x14ac:dyDescent="0.25">
      <c r="A1233" s="31" t="str">
        <f>IF(Table!A1233 = "","",Table!A1233)</f>
        <v/>
      </c>
      <c r="B1233" s="31" t="str">
        <f>IF(Table!B1233 = "","",Table!B1233)</f>
        <v/>
      </c>
      <c r="C1233" s="31" t="str">
        <f>IF(Table!C1233 = "","",Table!C1233)</f>
        <v/>
      </c>
      <c r="D1233" s="32" t="str">
        <f>IF(Table!D1233 = "","",Table!D1233)</f>
        <v/>
      </c>
      <c r="E1233" s="32" t="str">
        <f>IF(Table!E1233 = "","",Table!E1233)</f>
        <v/>
      </c>
      <c r="F1233" s="32" t="str">
        <f>IF(Table!F1233 = "","",Table!F1233)</f>
        <v/>
      </c>
      <c r="G1233" s="91"/>
      <c r="K1233" s="31" t="str">
        <f>IFERROR(VLOOKUP(A1233,Table!$I$4:$O$3000,1,TRUE),"")</f>
        <v/>
      </c>
      <c r="L1233" s="31" t="str">
        <f>IFERROR(INDEX(Table!I:O,MATCH(K1233,Table!I:I,0),2),"")</f>
        <v/>
      </c>
      <c r="M1233" s="31" t="str">
        <f>IFERROR(INDEX(Table!I:O,MATCH(K1233,Table!I:I,0),3),"")</f>
        <v/>
      </c>
      <c r="N1233" s="32" t="str">
        <f>IFERROR(INDEX(Table!I:O,MATCH(K1233,Table!I:I,0),4),"")</f>
        <v/>
      </c>
      <c r="O1233" s="32" t="str">
        <f>IFERROR(INDEX(Table!I:O,MATCH(K1233,Table!I:I,0),5),"")</f>
        <v/>
      </c>
      <c r="P1233" s="32" t="str">
        <f>IFERROR(INDEX(Table!I:O,MATCH(K1233,Table!I:I,0),6),"")</f>
        <v/>
      </c>
      <c r="Q1233" s="89" t="str">
        <f t="shared" si="57"/>
        <v/>
      </c>
      <c r="R1233" s="89" t="str">
        <f t="shared" si="58"/>
        <v/>
      </c>
      <c r="S1233" s="82"/>
      <c r="U1233" s="37" t="e">
        <f t="shared" si="59"/>
        <v>#VALUE!</v>
      </c>
    </row>
    <row r="1234" spans="1:21" x14ac:dyDescent="0.25">
      <c r="A1234" s="31" t="str">
        <f>IF(Table!A1234 = "","",Table!A1234)</f>
        <v/>
      </c>
      <c r="B1234" s="31" t="str">
        <f>IF(Table!B1234 = "","",Table!B1234)</f>
        <v/>
      </c>
      <c r="C1234" s="31" t="str">
        <f>IF(Table!C1234 = "","",Table!C1234)</f>
        <v/>
      </c>
      <c r="D1234" s="32" t="str">
        <f>IF(Table!D1234 = "","",Table!D1234)</f>
        <v/>
      </c>
      <c r="E1234" s="32" t="str">
        <f>IF(Table!E1234 = "","",Table!E1234)</f>
        <v/>
      </c>
      <c r="F1234" s="32" t="str">
        <f>IF(Table!F1234 = "","",Table!F1234)</f>
        <v/>
      </c>
      <c r="G1234" s="91"/>
      <c r="K1234" s="31" t="str">
        <f>IFERROR(VLOOKUP(A1234,Table!$I$4:$O$3000,1,TRUE),"")</f>
        <v/>
      </c>
      <c r="L1234" s="31" t="str">
        <f>IFERROR(INDEX(Table!I:O,MATCH(K1234,Table!I:I,0),2),"")</f>
        <v/>
      </c>
      <c r="M1234" s="31" t="str">
        <f>IFERROR(INDEX(Table!I:O,MATCH(K1234,Table!I:I,0),3),"")</f>
        <v/>
      </c>
      <c r="N1234" s="32" t="str">
        <f>IFERROR(INDEX(Table!I:O,MATCH(K1234,Table!I:I,0),4),"")</f>
        <v/>
      </c>
      <c r="O1234" s="32" t="str">
        <f>IFERROR(INDEX(Table!I:O,MATCH(K1234,Table!I:I,0),5),"")</f>
        <v/>
      </c>
      <c r="P1234" s="32" t="str">
        <f>IFERROR(INDEX(Table!I:O,MATCH(K1234,Table!I:I,0),6),"")</f>
        <v/>
      </c>
      <c r="Q1234" s="89" t="str">
        <f t="shared" si="57"/>
        <v/>
      </c>
      <c r="R1234" s="89" t="str">
        <f t="shared" si="58"/>
        <v/>
      </c>
      <c r="S1234" s="82"/>
      <c r="U1234" s="37" t="e">
        <f t="shared" si="59"/>
        <v>#VALUE!</v>
      </c>
    </row>
    <row r="1235" spans="1:21" x14ac:dyDescent="0.25">
      <c r="A1235" s="31" t="str">
        <f>IF(Table!A1235 = "","",Table!A1235)</f>
        <v/>
      </c>
      <c r="B1235" s="31" t="str">
        <f>IF(Table!B1235 = "","",Table!B1235)</f>
        <v/>
      </c>
      <c r="C1235" s="31" t="str">
        <f>IF(Table!C1235 = "","",Table!C1235)</f>
        <v/>
      </c>
      <c r="D1235" s="32" t="str">
        <f>IF(Table!D1235 = "","",Table!D1235)</f>
        <v/>
      </c>
      <c r="E1235" s="32" t="str">
        <f>IF(Table!E1235 = "","",Table!E1235)</f>
        <v/>
      </c>
      <c r="F1235" s="32" t="str">
        <f>IF(Table!F1235 = "","",Table!F1235)</f>
        <v/>
      </c>
      <c r="G1235" s="91"/>
      <c r="K1235" s="31" t="str">
        <f>IFERROR(VLOOKUP(A1235,Table!$I$4:$O$3000,1,TRUE),"")</f>
        <v/>
      </c>
      <c r="L1235" s="31" t="str">
        <f>IFERROR(INDEX(Table!I:O,MATCH(K1235,Table!I:I,0),2),"")</f>
        <v/>
      </c>
      <c r="M1235" s="31" t="str">
        <f>IFERROR(INDEX(Table!I:O,MATCH(K1235,Table!I:I,0),3),"")</f>
        <v/>
      </c>
      <c r="N1235" s="32" t="str">
        <f>IFERROR(INDEX(Table!I:O,MATCH(K1235,Table!I:I,0),4),"")</f>
        <v/>
      </c>
      <c r="O1235" s="32" t="str">
        <f>IFERROR(INDEX(Table!I:O,MATCH(K1235,Table!I:I,0),5),"")</f>
        <v/>
      </c>
      <c r="P1235" s="32" t="str">
        <f>IFERROR(INDEX(Table!I:O,MATCH(K1235,Table!I:I,0),6),"")</f>
        <v/>
      </c>
      <c r="Q1235" s="89" t="str">
        <f t="shared" si="57"/>
        <v/>
      </c>
      <c r="R1235" s="89" t="str">
        <f t="shared" si="58"/>
        <v/>
      </c>
      <c r="S1235" s="82"/>
      <c r="U1235" s="37" t="e">
        <f t="shared" si="59"/>
        <v>#VALUE!</v>
      </c>
    </row>
    <row r="1236" spans="1:21" x14ac:dyDescent="0.25">
      <c r="A1236" s="31" t="str">
        <f>IF(Table!A1236 = "","",Table!A1236)</f>
        <v/>
      </c>
      <c r="B1236" s="31" t="str">
        <f>IF(Table!B1236 = "","",Table!B1236)</f>
        <v/>
      </c>
      <c r="C1236" s="31" t="str">
        <f>IF(Table!C1236 = "","",Table!C1236)</f>
        <v/>
      </c>
      <c r="D1236" s="32" t="str">
        <f>IF(Table!D1236 = "","",Table!D1236)</f>
        <v/>
      </c>
      <c r="E1236" s="32" t="str">
        <f>IF(Table!E1236 = "","",Table!E1236)</f>
        <v/>
      </c>
      <c r="F1236" s="32" t="str">
        <f>IF(Table!F1236 = "","",Table!F1236)</f>
        <v/>
      </c>
      <c r="G1236" s="91"/>
      <c r="K1236" s="31" t="str">
        <f>IFERROR(VLOOKUP(A1236,Table!$I$4:$O$3000,1,TRUE),"")</f>
        <v/>
      </c>
      <c r="L1236" s="31" t="str">
        <f>IFERROR(INDEX(Table!I:O,MATCH(K1236,Table!I:I,0),2),"")</f>
        <v/>
      </c>
      <c r="M1236" s="31" t="str">
        <f>IFERROR(INDEX(Table!I:O,MATCH(K1236,Table!I:I,0),3),"")</f>
        <v/>
      </c>
      <c r="N1236" s="32" t="str">
        <f>IFERROR(INDEX(Table!I:O,MATCH(K1236,Table!I:I,0),4),"")</f>
        <v/>
      </c>
      <c r="O1236" s="32" t="str">
        <f>IFERROR(INDEX(Table!I:O,MATCH(K1236,Table!I:I,0),5),"")</f>
        <v/>
      </c>
      <c r="P1236" s="32" t="str">
        <f>IFERROR(INDEX(Table!I:O,MATCH(K1236,Table!I:I,0),6),"")</f>
        <v/>
      </c>
      <c r="Q1236" s="89" t="str">
        <f t="shared" si="57"/>
        <v/>
      </c>
      <c r="R1236" s="89" t="str">
        <f t="shared" si="58"/>
        <v/>
      </c>
      <c r="S1236" s="82"/>
      <c r="U1236" s="37" t="e">
        <f t="shared" si="59"/>
        <v>#VALUE!</v>
      </c>
    </row>
    <row r="1237" spans="1:21" x14ac:dyDescent="0.25">
      <c r="A1237" s="31" t="str">
        <f>IF(Table!A1237 = "","",Table!A1237)</f>
        <v/>
      </c>
      <c r="B1237" s="31" t="str">
        <f>IF(Table!B1237 = "","",Table!B1237)</f>
        <v/>
      </c>
      <c r="C1237" s="31" t="str">
        <f>IF(Table!C1237 = "","",Table!C1237)</f>
        <v/>
      </c>
      <c r="D1237" s="32" t="str">
        <f>IF(Table!D1237 = "","",Table!D1237)</f>
        <v/>
      </c>
      <c r="E1237" s="32" t="str">
        <f>IF(Table!E1237 = "","",Table!E1237)</f>
        <v/>
      </c>
      <c r="F1237" s="32" t="str">
        <f>IF(Table!F1237 = "","",Table!F1237)</f>
        <v/>
      </c>
      <c r="G1237" s="91"/>
      <c r="K1237" s="31" t="str">
        <f>IFERROR(VLOOKUP(A1237,Table!$I$4:$O$3000,1,TRUE),"")</f>
        <v/>
      </c>
      <c r="L1237" s="31" t="str">
        <f>IFERROR(INDEX(Table!I:O,MATCH(K1237,Table!I:I,0),2),"")</f>
        <v/>
      </c>
      <c r="M1237" s="31" t="str">
        <f>IFERROR(INDEX(Table!I:O,MATCH(K1237,Table!I:I,0),3),"")</f>
        <v/>
      </c>
      <c r="N1237" s="32" t="str">
        <f>IFERROR(INDEX(Table!I:O,MATCH(K1237,Table!I:I,0),4),"")</f>
        <v/>
      </c>
      <c r="O1237" s="32" t="str">
        <f>IFERROR(INDEX(Table!I:O,MATCH(K1237,Table!I:I,0),5),"")</f>
        <v/>
      </c>
      <c r="P1237" s="32" t="str">
        <f>IFERROR(INDEX(Table!I:O,MATCH(K1237,Table!I:I,0),6),"")</f>
        <v/>
      </c>
      <c r="Q1237" s="89" t="str">
        <f t="shared" si="57"/>
        <v/>
      </c>
      <c r="R1237" s="89" t="str">
        <f t="shared" si="58"/>
        <v/>
      </c>
      <c r="S1237" s="82"/>
      <c r="U1237" s="37" t="e">
        <f t="shared" si="59"/>
        <v>#VALUE!</v>
      </c>
    </row>
    <row r="1238" spans="1:21" x14ac:dyDescent="0.25">
      <c r="A1238" s="31" t="str">
        <f>IF(Table!A1238 = "","",Table!A1238)</f>
        <v/>
      </c>
      <c r="B1238" s="31" t="str">
        <f>IF(Table!B1238 = "","",Table!B1238)</f>
        <v/>
      </c>
      <c r="C1238" s="31" t="str">
        <f>IF(Table!C1238 = "","",Table!C1238)</f>
        <v/>
      </c>
      <c r="D1238" s="32" t="str">
        <f>IF(Table!D1238 = "","",Table!D1238)</f>
        <v/>
      </c>
      <c r="E1238" s="32" t="str">
        <f>IF(Table!E1238 = "","",Table!E1238)</f>
        <v/>
      </c>
      <c r="F1238" s="32" t="str">
        <f>IF(Table!F1238 = "","",Table!F1238)</f>
        <v/>
      </c>
      <c r="G1238" s="91"/>
      <c r="K1238" s="31" t="str">
        <f>IFERROR(VLOOKUP(A1238,Table!$I$4:$O$3000,1,TRUE),"")</f>
        <v/>
      </c>
      <c r="L1238" s="31" t="str">
        <f>IFERROR(INDEX(Table!I:O,MATCH(K1238,Table!I:I,0),2),"")</f>
        <v/>
      </c>
      <c r="M1238" s="31" t="str">
        <f>IFERROR(INDEX(Table!I:O,MATCH(K1238,Table!I:I,0),3),"")</f>
        <v/>
      </c>
      <c r="N1238" s="32" t="str">
        <f>IFERROR(INDEX(Table!I:O,MATCH(K1238,Table!I:I,0),4),"")</f>
        <v/>
      </c>
      <c r="O1238" s="32" t="str">
        <f>IFERROR(INDEX(Table!I:O,MATCH(K1238,Table!I:I,0),5),"")</f>
        <v/>
      </c>
      <c r="P1238" s="32" t="str">
        <f>IFERROR(INDEX(Table!I:O,MATCH(K1238,Table!I:I,0),6),"")</f>
        <v/>
      </c>
      <c r="Q1238" s="89" t="str">
        <f t="shared" si="57"/>
        <v/>
      </c>
      <c r="R1238" s="89" t="str">
        <f t="shared" si="58"/>
        <v/>
      </c>
      <c r="S1238" s="82"/>
      <c r="U1238" s="37" t="e">
        <f t="shared" si="59"/>
        <v>#VALUE!</v>
      </c>
    </row>
    <row r="1239" spans="1:21" x14ac:dyDescent="0.25">
      <c r="A1239" s="31" t="str">
        <f>IF(Table!A1239 = "","",Table!A1239)</f>
        <v/>
      </c>
      <c r="B1239" s="31" t="str">
        <f>IF(Table!B1239 = "","",Table!B1239)</f>
        <v/>
      </c>
      <c r="C1239" s="31" t="str">
        <f>IF(Table!C1239 = "","",Table!C1239)</f>
        <v/>
      </c>
      <c r="D1239" s="32" t="str">
        <f>IF(Table!D1239 = "","",Table!D1239)</f>
        <v/>
      </c>
      <c r="E1239" s="32" t="str">
        <f>IF(Table!E1239 = "","",Table!E1239)</f>
        <v/>
      </c>
      <c r="F1239" s="32" t="str">
        <f>IF(Table!F1239 = "","",Table!F1239)</f>
        <v/>
      </c>
      <c r="G1239" s="91"/>
      <c r="K1239" s="31" t="str">
        <f>IFERROR(VLOOKUP(A1239,Table!$I$4:$O$3000,1,TRUE),"")</f>
        <v/>
      </c>
      <c r="L1239" s="31" t="str">
        <f>IFERROR(INDEX(Table!I:O,MATCH(K1239,Table!I:I,0),2),"")</f>
        <v/>
      </c>
      <c r="M1239" s="31" t="str">
        <f>IFERROR(INDEX(Table!I:O,MATCH(K1239,Table!I:I,0),3),"")</f>
        <v/>
      </c>
      <c r="N1239" s="32" t="str">
        <f>IFERROR(INDEX(Table!I:O,MATCH(K1239,Table!I:I,0),4),"")</f>
        <v/>
      </c>
      <c r="O1239" s="32" t="str">
        <f>IFERROR(INDEX(Table!I:O,MATCH(K1239,Table!I:I,0),5),"")</f>
        <v/>
      </c>
      <c r="P1239" s="32" t="str">
        <f>IFERROR(INDEX(Table!I:O,MATCH(K1239,Table!I:I,0),6),"")</f>
        <v/>
      </c>
      <c r="Q1239" s="89" t="str">
        <f t="shared" si="57"/>
        <v/>
      </c>
      <c r="R1239" s="89" t="str">
        <f t="shared" si="58"/>
        <v/>
      </c>
      <c r="S1239" s="82"/>
      <c r="U1239" s="37" t="e">
        <f t="shared" si="59"/>
        <v>#VALUE!</v>
      </c>
    </row>
    <row r="1240" spans="1:21" x14ac:dyDescent="0.25">
      <c r="A1240" s="31" t="str">
        <f>IF(Table!A1240 = "","",Table!A1240)</f>
        <v/>
      </c>
      <c r="B1240" s="31" t="str">
        <f>IF(Table!B1240 = "","",Table!B1240)</f>
        <v/>
      </c>
      <c r="C1240" s="31" t="str">
        <f>IF(Table!C1240 = "","",Table!C1240)</f>
        <v/>
      </c>
      <c r="D1240" s="32" t="str">
        <f>IF(Table!D1240 = "","",Table!D1240)</f>
        <v/>
      </c>
      <c r="E1240" s="32" t="str">
        <f>IF(Table!E1240 = "","",Table!E1240)</f>
        <v/>
      </c>
      <c r="F1240" s="32" t="str">
        <f>IF(Table!F1240 = "","",Table!F1240)</f>
        <v/>
      </c>
      <c r="G1240" s="91"/>
      <c r="K1240" s="31" t="str">
        <f>IFERROR(VLOOKUP(A1240,Table!$I$4:$O$3000,1,TRUE),"")</f>
        <v/>
      </c>
      <c r="L1240" s="31" t="str">
        <f>IFERROR(INDEX(Table!I:O,MATCH(K1240,Table!I:I,0),2),"")</f>
        <v/>
      </c>
      <c r="M1240" s="31" t="str">
        <f>IFERROR(INDEX(Table!I:O,MATCH(K1240,Table!I:I,0),3),"")</f>
        <v/>
      </c>
      <c r="N1240" s="32" t="str">
        <f>IFERROR(INDEX(Table!I:O,MATCH(K1240,Table!I:I,0),4),"")</f>
        <v/>
      </c>
      <c r="O1240" s="32" t="str">
        <f>IFERROR(INDEX(Table!I:O,MATCH(K1240,Table!I:I,0),5),"")</f>
        <v/>
      </c>
      <c r="P1240" s="32" t="str">
        <f>IFERROR(INDEX(Table!I:O,MATCH(K1240,Table!I:I,0),6),"")</f>
        <v/>
      </c>
      <c r="Q1240" s="89" t="str">
        <f t="shared" si="57"/>
        <v/>
      </c>
      <c r="R1240" s="89" t="str">
        <f t="shared" si="58"/>
        <v/>
      </c>
      <c r="S1240" s="82"/>
      <c r="U1240" s="37" t="e">
        <f t="shared" si="59"/>
        <v>#VALUE!</v>
      </c>
    </row>
    <row r="1241" spans="1:21" x14ac:dyDescent="0.25">
      <c r="A1241" s="31" t="str">
        <f>IF(Table!A1241 = "","",Table!A1241)</f>
        <v/>
      </c>
      <c r="B1241" s="31" t="str">
        <f>IF(Table!B1241 = "","",Table!B1241)</f>
        <v/>
      </c>
      <c r="C1241" s="31" t="str">
        <f>IF(Table!C1241 = "","",Table!C1241)</f>
        <v/>
      </c>
      <c r="D1241" s="32" t="str">
        <f>IF(Table!D1241 = "","",Table!D1241)</f>
        <v/>
      </c>
      <c r="E1241" s="32" t="str">
        <f>IF(Table!E1241 = "","",Table!E1241)</f>
        <v/>
      </c>
      <c r="F1241" s="32" t="str">
        <f>IF(Table!F1241 = "","",Table!F1241)</f>
        <v/>
      </c>
      <c r="G1241" s="91"/>
      <c r="K1241" s="31" t="str">
        <f>IFERROR(VLOOKUP(A1241,Table!$I$4:$O$3000,1,TRUE),"")</f>
        <v/>
      </c>
      <c r="L1241" s="31" t="str">
        <f>IFERROR(INDEX(Table!I:O,MATCH(K1241,Table!I:I,0),2),"")</f>
        <v/>
      </c>
      <c r="M1241" s="31" t="str">
        <f>IFERROR(INDEX(Table!I:O,MATCH(K1241,Table!I:I,0),3),"")</f>
        <v/>
      </c>
      <c r="N1241" s="32" t="str">
        <f>IFERROR(INDEX(Table!I:O,MATCH(K1241,Table!I:I,0),4),"")</f>
        <v/>
      </c>
      <c r="O1241" s="32" t="str">
        <f>IFERROR(INDEX(Table!I:O,MATCH(K1241,Table!I:I,0),5),"")</f>
        <v/>
      </c>
      <c r="P1241" s="32" t="str">
        <f>IFERROR(INDEX(Table!I:O,MATCH(K1241,Table!I:I,0),6),"")</f>
        <v/>
      </c>
      <c r="Q1241" s="89" t="str">
        <f t="shared" si="57"/>
        <v/>
      </c>
      <c r="R1241" s="89" t="str">
        <f t="shared" si="58"/>
        <v/>
      </c>
      <c r="S1241" s="82"/>
      <c r="U1241" s="37" t="e">
        <f t="shared" si="59"/>
        <v>#VALUE!</v>
      </c>
    </row>
    <row r="1242" spans="1:21" x14ac:dyDescent="0.25">
      <c r="A1242" s="31" t="str">
        <f>IF(Table!A1242 = "","",Table!A1242)</f>
        <v/>
      </c>
      <c r="B1242" s="31" t="str">
        <f>IF(Table!B1242 = "","",Table!B1242)</f>
        <v/>
      </c>
      <c r="C1242" s="31" t="str">
        <f>IF(Table!C1242 = "","",Table!C1242)</f>
        <v/>
      </c>
      <c r="D1242" s="32" t="str">
        <f>IF(Table!D1242 = "","",Table!D1242)</f>
        <v/>
      </c>
      <c r="E1242" s="32" t="str">
        <f>IF(Table!E1242 = "","",Table!E1242)</f>
        <v/>
      </c>
      <c r="F1242" s="32" t="str">
        <f>IF(Table!F1242 = "","",Table!F1242)</f>
        <v/>
      </c>
      <c r="G1242" s="91"/>
      <c r="K1242" s="31" t="str">
        <f>IFERROR(VLOOKUP(A1242,Table!$I$4:$O$3000,1,TRUE),"")</f>
        <v/>
      </c>
      <c r="L1242" s="31" t="str">
        <f>IFERROR(INDEX(Table!I:O,MATCH(K1242,Table!I:I,0),2),"")</f>
        <v/>
      </c>
      <c r="M1242" s="31" t="str">
        <f>IFERROR(INDEX(Table!I:O,MATCH(K1242,Table!I:I,0),3),"")</f>
        <v/>
      </c>
      <c r="N1242" s="32" t="str">
        <f>IFERROR(INDEX(Table!I:O,MATCH(K1242,Table!I:I,0),4),"")</f>
        <v/>
      </c>
      <c r="O1242" s="32" t="str">
        <f>IFERROR(INDEX(Table!I:O,MATCH(K1242,Table!I:I,0),5),"")</f>
        <v/>
      </c>
      <c r="P1242" s="32" t="str">
        <f>IFERROR(INDEX(Table!I:O,MATCH(K1242,Table!I:I,0),6),"")</f>
        <v/>
      </c>
      <c r="Q1242" s="89" t="str">
        <f t="shared" si="57"/>
        <v/>
      </c>
      <c r="R1242" s="89" t="str">
        <f t="shared" si="58"/>
        <v/>
      </c>
      <c r="S1242" s="82"/>
      <c r="U1242" s="37" t="e">
        <f t="shared" si="59"/>
        <v>#VALUE!</v>
      </c>
    </row>
    <row r="1243" spans="1:21" x14ac:dyDescent="0.25">
      <c r="A1243" s="31" t="str">
        <f>IF(Table!A1243 = "","",Table!A1243)</f>
        <v/>
      </c>
      <c r="B1243" s="31" t="str">
        <f>IF(Table!B1243 = "","",Table!B1243)</f>
        <v/>
      </c>
      <c r="C1243" s="31" t="str">
        <f>IF(Table!C1243 = "","",Table!C1243)</f>
        <v/>
      </c>
      <c r="D1243" s="32" t="str">
        <f>IF(Table!D1243 = "","",Table!D1243)</f>
        <v/>
      </c>
      <c r="E1243" s="32" t="str">
        <f>IF(Table!E1243 = "","",Table!E1243)</f>
        <v/>
      </c>
      <c r="F1243" s="32" t="str">
        <f>IF(Table!F1243 = "","",Table!F1243)</f>
        <v/>
      </c>
      <c r="G1243" s="91"/>
      <c r="K1243" s="31" t="str">
        <f>IFERROR(VLOOKUP(A1243,Table!$I$4:$O$3000,1,TRUE),"")</f>
        <v/>
      </c>
      <c r="L1243" s="31" t="str">
        <f>IFERROR(INDEX(Table!I:O,MATCH(K1243,Table!I:I,0),2),"")</f>
        <v/>
      </c>
      <c r="M1243" s="31" t="str">
        <f>IFERROR(INDEX(Table!I:O,MATCH(K1243,Table!I:I,0),3),"")</f>
        <v/>
      </c>
      <c r="N1243" s="32" t="str">
        <f>IFERROR(INDEX(Table!I:O,MATCH(K1243,Table!I:I,0),4),"")</f>
        <v/>
      </c>
      <c r="O1243" s="32" t="str">
        <f>IFERROR(INDEX(Table!I:O,MATCH(K1243,Table!I:I,0),5),"")</f>
        <v/>
      </c>
      <c r="P1243" s="32" t="str">
        <f>IFERROR(INDEX(Table!I:O,MATCH(K1243,Table!I:I,0),6),"")</f>
        <v/>
      </c>
      <c r="Q1243" s="89" t="str">
        <f t="shared" si="57"/>
        <v/>
      </c>
      <c r="R1243" s="89" t="str">
        <f t="shared" si="58"/>
        <v/>
      </c>
      <c r="S1243" s="82"/>
      <c r="U1243" s="37" t="e">
        <f t="shared" si="59"/>
        <v>#VALUE!</v>
      </c>
    </row>
    <row r="1244" spans="1:21" x14ac:dyDescent="0.25">
      <c r="A1244" s="31" t="str">
        <f>IF(Table!A1244 = "","",Table!A1244)</f>
        <v/>
      </c>
      <c r="B1244" s="31" t="str">
        <f>IF(Table!B1244 = "","",Table!B1244)</f>
        <v/>
      </c>
      <c r="C1244" s="31" t="str">
        <f>IF(Table!C1244 = "","",Table!C1244)</f>
        <v/>
      </c>
      <c r="D1244" s="32" t="str">
        <f>IF(Table!D1244 = "","",Table!D1244)</f>
        <v/>
      </c>
      <c r="E1244" s="32" t="str">
        <f>IF(Table!E1244 = "","",Table!E1244)</f>
        <v/>
      </c>
      <c r="F1244" s="32" t="str">
        <f>IF(Table!F1244 = "","",Table!F1244)</f>
        <v/>
      </c>
      <c r="G1244" s="91"/>
      <c r="K1244" s="31" t="str">
        <f>IFERROR(VLOOKUP(A1244,Table!$I$4:$O$3000,1,TRUE),"")</f>
        <v/>
      </c>
      <c r="L1244" s="31" t="str">
        <f>IFERROR(INDEX(Table!I:O,MATCH(K1244,Table!I:I,0),2),"")</f>
        <v/>
      </c>
      <c r="M1244" s="31" t="str">
        <f>IFERROR(INDEX(Table!I:O,MATCH(K1244,Table!I:I,0),3),"")</f>
        <v/>
      </c>
      <c r="N1244" s="32" t="str">
        <f>IFERROR(INDEX(Table!I:O,MATCH(K1244,Table!I:I,0),4),"")</f>
        <v/>
      </c>
      <c r="O1244" s="32" t="str">
        <f>IFERROR(INDEX(Table!I:O,MATCH(K1244,Table!I:I,0),5),"")</f>
        <v/>
      </c>
      <c r="P1244" s="32" t="str">
        <f>IFERROR(INDEX(Table!I:O,MATCH(K1244,Table!I:I,0),6),"")</f>
        <v/>
      </c>
      <c r="Q1244" s="89" t="str">
        <f t="shared" si="57"/>
        <v/>
      </c>
      <c r="R1244" s="89" t="str">
        <f t="shared" si="58"/>
        <v/>
      </c>
      <c r="S1244" s="82"/>
      <c r="U1244" s="37" t="e">
        <f t="shared" si="59"/>
        <v>#VALUE!</v>
      </c>
    </row>
    <row r="1245" spans="1:21" x14ac:dyDescent="0.25">
      <c r="A1245" s="31" t="str">
        <f>IF(Table!A1245 = "","",Table!A1245)</f>
        <v/>
      </c>
      <c r="B1245" s="31" t="str">
        <f>IF(Table!B1245 = "","",Table!B1245)</f>
        <v/>
      </c>
      <c r="C1245" s="31" t="str">
        <f>IF(Table!C1245 = "","",Table!C1245)</f>
        <v/>
      </c>
      <c r="D1245" s="32" t="str">
        <f>IF(Table!D1245 = "","",Table!D1245)</f>
        <v/>
      </c>
      <c r="E1245" s="32" t="str">
        <f>IF(Table!E1245 = "","",Table!E1245)</f>
        <v/>
      </c>
      <c r="F1245" s="32" t="str">
        <f>IF(Table!F1245 = "","",Table!F1245)</f>
        <v/>
      </c>
      <c r="G1245" s="91"/>
      <c r="K1245" s="31" t="str">
        <f>IFERROR(VLOOKUP(A1245,Table!$I$4:$O$3000,1,TRUE),"")</f>
        <v/>
      </c>
      <c r="L1245" s="31" t="str">
        <f>IFERROR(INDEX(Table!I:O,MATCH(K1245,Table!I:I,0),2),"")</f>
        <v/>
      </c>
      <c r="M1245" s="31" t="str">
        <f>IFERROR(INDEX(Table!I:O,MATCH(K1245,Table!I:I,0),3),"")</f>
        <v/>
      </c>
      <c r="N1245" s="32" t="str">
        <f>IFERROR(INDEX(Table!I:O,MATCH(K1245,Table!I:I,0),4),"")</f>
        <v/>
      </c>
      <c r="O1245" s="32" t="str">
        <f>IFERROR(INDEX(Table!I:O,MATCH(K1245,Table!I:I,0),5),"")</f>
        <v/>
      </c>
      <c r="P1245" s="32" t="str">
        <f>IFERROR(INDEX(Table!I:O,MATCH(K1245,Table!I:I,0),6),"")</f>
        <v/>
      </c>
      <c r="Q1245" s="89" t="str">
        <f t="shared" si="57"/>
        <v/>
      </c>
      <c r="R1245" s="89" t="str">
        <f t="shared" si="58"/>
        <v/>
      </c>
      <c r="S1245" s="82"/>
      <c r="U1245" s="37" t="e">
        <f t="shared" si="59"/>
        <v>#VALUE!</v>
      </c>
    </row>
    <row r="1246" spans="1:21" x14ac:dyDescent="0.25">
      <c r="A1246" s="31" t="str">
        <f>IF(Table!A1246 = "","",Table!A1246)</f>
        <v/>
      </c>
      <c r="B1246" s="31" t="str">
        <f>IF(Table!B1246 = "","",Table!B1246)</f>
        <v/>
      </c>
      <c r="C1246" s="31" t="str">
        <f>IF(Table!C1246 = "","",Table!C1246)</f>
        <v/>
      </c>
      <c r="D1246" s="32" t="str">
        <f>IF(Table!D1246 = "","",Table!D1246)</f>
        <v/>
      </c>
      <c r="E1246" s="32" t="str">
        <f>IF(Table!E1246 = "","",Table!E1246)</f>
        <v/>
      </c>
      <c r="F1246" s="32" t="str">
        <f>IF(Table!F1246 = "","",Table!F1246)</f>
        <v/>
      </c>
      <c r="G1246" s="91"/>
      <c r="K1246" s="31" t="str">
        <f>IFERROR(VLOOKUP(A1246,Table!$I$4:$O$3000,1,TRUE),"")</f>
        <v/>
      </c>
      <c r="L1246" s="31" t="str">
        <f>IFERROR(INDEX(Table!I:O,MATCH(K1246,Table!I:I,0),2),"")</f>
        <v/>
      </c>
      <c r="M1246" s="31" t="str">
        <f>IFERROR(INDEX(Table!I:O,MATCH(K1246,Table!I:I,0),3),"")</f>
        <v/>
      </c>
      <c r="N1246" s="32" t="str">
        <f>IFERROR(INDEX(Table!I:O,MATCH(K1246,Table!I:I,0),4),"")</f>
        <v/>
      </c>
      <c r="O1246" s="32" t="str">
        <f>IFERROR(INDEX(Table!I:O,MATCH(K1246,Table!I:I,0),5),"")</f>
        <v/>
      </c>
      <c r="P1246" s="32" t="str">
        <f>IFERROR(INDEX(Table!I:O,MATCH(K1246,Table!I:I,0),6),"")</f>
        <v/>
      </c>
      <c r="Q1246" s="89" t="str">
        <f t="shared" si="57"/>
        <v/>
      </c>
      <c r="R1246" s="89" t="str">
        <f t="shared" si="58"/>
        <v/>
      </c>
      <c r="S1246" s="82"/>
      <c r="U1246" s="37" t="e">
        <f t="shared" si="59"/>
        <v>#VALUE!</v>
      </c>
    </row>
    <row r="1247" spans="1:21" x14ac:dyDescent="0.25">
      <c r="A1247" s="31" t="str">
        <f>IF(Table!A1247 = "","",Table!A1247)</f>
        <v/>
      </c>
      <c r="B1247" s="31" t="str">
        <f>IF(Table!B1247 = "","",Table!B1247)</f>
        <v/>
      </c>
      <c r="C1247" s="31" t="str">
        <f>IF(Table!C1247 = "","",Table!C1247)</f>
        <v/>
      </c>
      <c r="D1247" s="32" t="str">
        <f>IF(Table!D1247 = "","",Table!D1247)</f>
        <v/>
      </c>
      <c r="E1247" s="32" t="str">
        <f>IF(Table!E1247 = "","",Table!E1247)</f>
        <v/>
      </c>
      <c r="F1247" s="32" t="str">
        <f>IF(Table!F1247 = "","",Table!F1247)</f>
        <v/>
      </c>
      <c r="G1247" s="91"/>
      <c r="K1247" s="31" t="str">
        <f>IFERROR(VLOOKUP(A1247,Table!$I$4:$O$3000,1,TRUE),"")</f>
        <v/>
      </c>
      <c r="L1247" s="31" t="str">
        <f>IFERROR(INDEX(Table!I:O,MATCH(K1247,Table!I:I,0),2),"")</f>
        <v/>
      </c>
      <c r="M1247" s="31" t="str">
        <f>IFERROR(INDEX(Table!I:O,MATCH(K1247,Table!I:I,0),3),"")</f>
        <v/>
      </c>
      <c r="N1247" s="32" t="str">
        <f>IFERROR(INDEX(Table!I:O,MATCH(K1247,Table!I:I,0),4),"")</f>
        <v/>
      </c>
      <c r="O1247" s="32" t="str">
        <f>IFERROR(INDEX(Table!I:O,MATCH(K1247,Table!I:I,0),5),"")</f>
        <v/>
      </c>
      <c r="P1247" s="32" t="str">
        <f>IFERROR(INDEX(Table!I:O,MATCH(K1247,Table!I:I,0),6),"")</f>
        <v/>
      </c>
      <c r="Q1247" s="89" t="str">
        <f t="shared" si="57"/>
        <v/>
      </c>
      <c r="R1247" s="89" t="str">
        <f t="shared" si="58"/>
        <v/>
      </c>
      <c r="S1247" s="82"/>
      <c r="U1247" s="37" t="e">
        <f t="shared" si="59"/>
        <v>#VALUE!</v>
      </c>
    </row>
    <row r="1248" spans="1:21" x14ac:dyDescent="0.25">
      <c r="A1248" s="31" t="str">
        <f>IF(Table!A1248 = "","",Table!A1248)</f>
        <v/>
      </c>
      <c r="B1248" s="31" t="str">
        <f>IF(Table!B1248 = "","",Table!B1248)</f>
        <v/>
      </c>
      <c r="C1248" s="31" t="str">
        <f>IF(Table!C1248 = "","",Table!C1248)</f>
        <v/>
      </c>
      <c r="D1248" s="32" t="str">
        <f>IF(Table!D1248 = "","",Table!D1248)</f>
        <v/>
      </c>
      <c r="E1248" s="32" t="str">
        <f>IF(Table!E1248 = "","",Table!E1248)</f>
        <v/>
      </c>
      <c r="F1248" s="32" t="str">
        <f>IF(Table!F1248 = "","",Table!F1248)</f>
        <v/>
      </c>
      <c r="G1248" s="91"/>
      <c r="K1248" s="31" t="str">
        <f>IFERROR(VLOOKUP(A1248,Table!$I$4:$O$3000,1,TRUE),"")</f>
        <v/>
      </c>
      <c r="L1248" s="31" t="str">
        <f>IFERROR(INDEX(Table!I:O,MATCH(K1248,Table!I:I,0),2),"")</f>
        <v/>
      </c>
      <c r="M1248" s="31" t="str">
        <f>IFERROR(INDEX(Table!I:O,MATCH(K1248,Table!I:I,0),3),"")</f>
        <v/>
      </c>
      <c r="N1248" s="32" t="str">
        <f>IFERROR(INDEX(Table!I:O,MATCH(K1248,Table!I:I,0),4),"")</f>
        <v/>
      </c>
      <c r="O1248" s="32" t="str">
        <f>IFERROR(INDEX(Table!I:O,MATCH(K1248,Table!I:I,0),5),"")</f>
        <v/>
      </c>
      <c r="P1248" s="32" t="str">
        <f>IFERROR(INDEX(Table!I:O,MATCH(K1248,Table!I:I,0),6),"")</f>
        <v/>
      </c>
      <c r="Q1248" s="89" t="str">
        <f t="shared" si="57"/>
        <v/>
      </c>
      <c r="R1248" s="89" t="str">
        <f t="shared" si="58"/>
        <v/>
      </c>
      <c r="S1248" s="82"/>
      <c r="U1248" s="37" t="e">
        <f t="shared" si="59"/>
        <v>#VALUE!</v>
      </c>
    </row>
    <row r="1249" spans="1:21" x14ac:dyDescent="0.25">
      <c r="A1249" s="31" t="str">
        <f>IF(Table!A1249 = "","",Table!A1249)</f>
        <v/>
      </c>
      <c r="B1249" s="31" t="str">
        <f>IF(Table!B1249 = "","",Table!B1249)</f>
        <v/>
      </c>
      <c r="C1249" s="31" t="str">
        <f>IF(Table!C1249 = "","",Table!C1249)</f>
        <v/>
      </c>
      <c r="D1249" s="32" t="str">
        <f>IF(Table!D1249 = "","",Table!D1249)</f>
        <v/>
      </c>
      <c r="E1249" s="32" t="str">
        <f>IF(Table!E1249 = "","",Table!E1249)</f>
        <v/>
      </c>
      <c r="F1249" s="32" t="str">
        <f>IF(Table!F1249 = "","",Table!F1249)</f>
        <v/>
      </c>
      <c r="G1249" s="91"/>
      <c r="K1249" s="31" t="str">
        <f>IFERROR(VLOOKUP(A1249,Table!$I$4:$O$3000,1,TRUE),"")</f>
        <v/>
      </c>
      <c r="L1249" s="31" t="str">
        <f>IFERROR(INDEX(Table!I:O,MATCH(K1249,Table!I:I,0),2),"")</f>
        <v/>
      </c>
      <c r="M1249" s="31" t="str">
        <f>IFERROR(INDEX(Table!I:O,MATCH(K1249,Table!I:I,0),3),"")</f>
        <v/>
      </c>
      <c r="N1249" s="32" t="str">
        <f>IFERROR(INDEX(Table!I:O,MATCH(K1249,Table!I:I,0),4),"")</f>
        <v/>
      </c>
      <c r="O1249" s="32" t="str">
        <f>IFERROR(INDEX(Table!I:O,MATCH(K1249,Table!I:I,0),5),"")</f>
        <v/>
      </c>
      <c r="P1249" s="32" t="str">
        <f>IFERROR(INDEX(Table!I:O,MATCH(K1249,Table!I:I,0),6),"")</f>
        <v/>
      </c>
      <c r="Q1249" s="89" t="str">
        <f t="shared" si="57"/>
        <v/>
      </c>
      <c r="R1249" s="89" t="str">
        <f t="shared" si="58"/>
        <v/>
      </c>
      <c r="S1249" s="82"/>
      <c r="U1249" s="37" t="e">
        <f t="shared" si="59"/>
        <v>#VALUE!</v>
      </c>
    </row>
    <row r="1250" spans="1:21" x14ac:dyDescent="0.25">
      <c r="A1250" s="31" t="str">
        <f>IF(Table!A1250 = "","",Table!A1250)</f>
        <v/>
      </c>
      <c r="B1250" s="31" t="str">
        <f>IF(Table!B1250 = "","",Table!B1250)</f>
        <v/>
      </c>
      <c r="C1250" s="31" t="str">
        <f>IF(Table!C1250 = "","",Table!C1250)</f>
        <v/>
      </c>
      <c r="D1250" s="32" t="str">
        <f>IF(Table!D1250 = "","",Table!D1250)</f>
        <v/>
      </c>
      <c r="E1250" s="32" t="str">
        <f>IF(Table!E1250 = "","",Table!E1250)</f>
        <v/>
      </c>
      <c r="F1250" s="32" t="str">
        <f>IF(Table!F1250 = "","",Table!F1250)</f>
        <v/>
      </c>
      <c r="G1250" s="91"/>
      <c r="K1250" s="31" t="str">
        <f>IFERROR(VLOOKUP(A1250,Table!$I$4:$O$3000,1,TRUE),"")</f>
        <v/>
      </c>
      <c r="L1250" s="31" t="str">
        <f>IFERROR(INDEX(Table!I:O,MATCH(K1250,Table!I:I,0),2),"")</f>
        <v/>
      </c>
      <c r="M1250" s="31" t="str">
        <f>IFERROR(INDEX(Table!I:O,MATCH(K1250,Table!I:I,0),3),"")</f>
        <v/>
      </c>
      <c r="N1250" s="32" t="str">
        <f>IFERROR(INDEX(Table!I:O,MATCH(K1250,Table!I:I,0),4),"")</f>
        <v/>
      </c>
      <c r="O1250" s="32" t="str">
        <f>IFERROR(INDEX(Table!I:O,MATCH(K1250,Table!I:I,0),5),"")</f>
        <v/>
      </c>
      <c r="P1250" s="32" t="str">
        <f>IFERROR(INDEX(Table!I:O,MATCH(K1250,Table!I:I,0),6),"")</f>
        <v/>
      </c>
      <c r="Q1250" s="89" t="str">
        <f t="shared" si="57"/>
        <v/>
      </c>
      <c r="R1250" s="89" t="str">
        <f t="shared" si="58"/>
        <v/>
      </c>
      <c r="S1250" s="82"/>
      <c r="U1250" s="37" t="e">
        <f t="shared" si="59"/>
        <v>#VALUE!</v>
      </c>
    </row>
    <row r="1251" spans="1:21" x14ac:dyDescent="0.25">
      <c r="A1251" s="31" t="str">
        <f>IF(Table!A1251 = "","",Table!A1251)</f>
        <v/>
      </c>
      <c r="B1251" s="31" t="str">
        <f>IF(Table!B1251 = "","",Table!B1251)</f>
        <v/>
      </c>
      <c r="C1251" s="31" t="str">
        <f>IF(Table!C1251 = "","",Table!C1251)</f>
        <v/>
      </c>
      <c r="D1251" s="32" t="str">
        <f>IF(Table!D1251 = "","",Table!D1251)</f>
        <v/>
      </c>
      <c r="E1251" s="32" t="str">
        <f>IF(Table!E1251 = "","",Table!E1251)</f>
        <v/>
      </c>
      <c r="F1251" s="32" t="str">
        <f>IF(Table!F1251 = "","",Table!F1251)</f>
        <v/>
      </c>
      <c r="G1251" s="91"/>
      <c r="K1251" s="31" t="str">
        <f>IFERROR(VLOOKUP(A1251,Table!$I$4:$O$3000,1,TRUE),"")</f>
        <v/>
      </c>
      <c r="L1251" s="31" t="str">
        <f>IFERROR(INDEX(Table!I:O,MATCH(K1251,Table!I:I,0),2),"")</f>
        <v/>
      </c>
      <c r="M1251" s="31" t="str">
        <f>IFERROR(INDEX(Table!I:O,MATCH(K1251,Table!I:I,0),3),"")</f>
        <v/>
      </c>
      <c r="N1251" s="32" t="str">
        <f>IFERROR(INDEX(Table!I:O,MATCH(K1251,Table!I:I,0),4),"")</f>
        <v/>
      </c>
      <c r="O1251" s="32" t="str">
        <f>IFERROR(INDEX(Table!I:O,MATCH(K1251,Table!I:I,0),5),"")</f>
        <v/>
      </c>
      <c r="P1251" s="32" t="str">
        <f>IFERROR(INDEX(Table!I:O,MATCH(K1251,Table!I:I,0),6),"")</f>
        <v/>
      </c>
      <c r="Q1251" s="89" t="str">
        <f t="shared" si="57"/>
        <v/>
      </c>
      <c r="R1251" s="89" t="str">
        <f t="shared" si="58"/>
        <v/>
      </c>
      <c r="S1251" s="82"/>
      <c r="U1251" s="37" t="e">
        <f t="shared" si="59"/>
        <v>#VALUE!</v>
      </c>
    </row>
    <row r="1252" spans="1:21" x14ac:dyDescent="0.25">
      <c r="A1252" s="31" t="str">
        <f>IF(Table!A1252 = "","",Table!A1252)</f>
        <v/>
      </c>
      <c r="B1252" s="31" t="str">
        <f>IF(Table!B1252 = "","",Table!B1252)</f>
        <v/>
      </c>
      <c r="C1252" s="31" t="str">
        <f>IF(Table!C1252 = "","",Table!C1252)</f>
        <v/>
      </c>
      <c r="D1252" s="32" t="str">
        <f>IF(Table!D1252 = "","",Table!D1252)</f>
        <v/>
      </c>
      <c r="E1252" s="32" t="str">
        <f>IF(Table!E1252 = "","",Table!E1252)</f>
        <v/>
      </c>
      <c r="F1252" s="32" t="str">
        <f>IF(Table!F1252 = "","",Table!F1252)</f>
        <v/>
      </c>
      <c r="G1252" s="91"/>
      <c r="K1252" s="31" t="str">
        <f>IFERROR(VLOOKUP(A1252,Table!$I$4:$O$3000,1,TRUE),"")</f>
        <v/>
      </c>
      <c r="L1252" s="31" t="str">
        <f>IFERROR(INDEX(Table!I:O,MATCH(K1252,Table!I:I,0),2),"")</f>
        <v/>
      </c>
      <c r="M1252" s="31" t="str">
        <f>IFERROR(INDEX(Table!I:O,MATCH(K1252,Table!I:I,0),3),"")</f>
        <v/>
      </c>
      <c r="N1252" s="32" t="str">
        <f>IFERROR(INDEX(Table!I:O,MATCH(K1252,Table!I:I,0),4),"")</f>
        <v/>
      </c>
      <c r="O1252" s="32" t="str">
        <f>IFERROR(INDEX(Table!I:O,MATCH(K1252,Table!I:I,0),5),"")</f>
        <v/>
      </c>
      <c r="P1252" s="32" t="str">
        <f>IFERROR(INDEX(Table!I:O,MATCH(K1252,Table!I:I,0),6),"")</f>
        <v/>
      </c>
      <c r="Q1252" s="89" t="str">
        <f t="shared" si="57"/>
        <v/>
      </c>
      <c r="R1252" s="89" t="str">
        <f t="shared" si="58"/>
        <v/>
      </c>
      <c r="S1252" s="82"/>
      <c r="U1252" s="37" t="e">
        <f t="shared" si="59"/>
        <v>#VALUE!</v>
      </c>
    </row>
    <row r="1253" spans="1:21" x14ac:dyDescent="0.25">
      <c r="A1253" s="31" t="str">
        <f>IF(Table!A1253 = "","",Table!A1253)</f>
        <v/>
      </c>
      <c r="B1253" s="31" t="str">
        <f>IF(Table!B1253 = "","",Table!B1253)</f>
        <v/>
      </c>
      <c r="C1253" s="31" t="str">
        <f>IF(Table!C1253 = "","",Table!C1253)</f>
        <v/>
      </c>
      <c r="D1253" s="32" t="str">
        <f>IF(Table!D1253 = "","",Table!D1253)</f>
        <v/>
      </c>
      <c r="E1253" s="32" t="str">
        <f>IF(Table!E1253 = "","",Table!E1253)</f>
        <v/>
      </c>
      <c r="F1253" s="32" t="str">
        <f>IF(Table!F1253 = "","",Table!F1253)</f>
        <v/>
      </c>
      <c r="G1253" s="91"/>
      <c r="K1253" s="31" t="str">
        <f>IFERROR(VLOOKUP(A1253,Table!$I$4:$O$3000,1,TRUE),"")</f>
        <v/>
      </c>
      <c r="L1253" s="31" t="str">
        <f>IFERROR(INDEX(Table!I:O,MATCH(K1253,Table!I:I,0),2),"")</f>
        <v/>
      </c>
      <c r="M1253" s="31" t="str">
        <f>IFERROR(INDEX(Table!I:O,MATCH(K1253,Table!I:I,0),3),"")</f>
        <v/>
      </c>
      <c r="N1253" s="32" t="str">
        <f>IFERROR(INDEX(Table!I:O,MATCH(K1253,Table!I:I,0),4),"")</f>
        <v/>
      </c>
      <c r="O1253" s="32" t="str">
        <f>IFERROR(INDEX(Table!I:O,MATCH(K1253,Table!I:I,0),5),"")</f>
        <v/>
      </c>
      <c r="P1253" s="32" t="str">
        <f>IFERROR(INDEX(Table!I:O,MATCH(K1253,Table!I:I,0),6),"")</f>
        <v/>
      </c>
      <c r="Q1253" s="89" t="str">
        <f t="shared" si="57"/>
        <v/>
      </c>
      <c r="R1253" s="89" t="str">
        <f t="shared" si="58"/>
        <v/>
      </c>
      <c r="S1253" s="82"/>
      <c r="U1253" s="37" t="e">
        <f t="shared" si="59"/>
        <v>#VALUE!</v>
      </c>
    </row>
    <row r="1254" spans="1:21" x14ac:dyDescent="0.25">
      <c r="A1254" s="31" t="str">
        <f>IF(Table!A1254 = "","",Table!A1254)</f>
        <v/>
      </c>
      <c r="B1254" s="31" t="str">
        <f>IF(Table!B1254 = "","",Table!B1254)</f>
        <v/>
      </c>
      <c r="C1254" s="31" t="str">
        <f>IF(Table!C1254 = "","",Table!C1254)</f>
        <v/>
      </c>
      <c r="D1254" s="32" t="str">
        <f>IF(Table!D1254 = "","",Table!D1254)</f>
        <v/>
      </c>
      <c r="E1254" s="32" t="str">
        <f>IF(Table!E1254 = "","",Table!E1254)</f>
        <v/>
      </c>
      <c r="F1254" s="32" t="str">
        <f>IF(Table!F1254 = "","",Table!F1254)</f>
        <v/>
      </c>
      <c r="G1254" s="91"/>
      <c r="K1254" s="31" t="str">
        <f>IFERROR(VLOOKUP(A1254,Table!$I$4:$O$3000,1,TRUE),"")</f>
        <v/>
      </c>
      <c r="L1254" s="31" t="str">
        <f>IFERROR(INDEX(Table!I:O,MATCH(K1254,Table!I:I,0),2),"")</f>
        <v/>
      </c>
      <c r="M1254" s="31" t="str">
        <f>IFERROR(INDEX(Table!I:O,MATCH(K1254,Table!I:I,0),3),"")</f>
        <v/>
      </c>
      <c r="N1254" s="32" t="str">
        <f>IFERROR(INDEX(Table!I:O,MATCH(K1254,Table!I:I,0),4),"")</f>
        <v/>
      </c>
      <c r="O1254" s="32" t="str">
        <f>IFERROR(INDEX(Table!I:O,MATCH(K1254,Table!I:I,0),5),"")</f>
        <v/>
      </c>
      <c r="P1254" s="32" t="str">
        <f>IFERROR(INDEX(Table!I:O,MATCH(K1254,Table!I:I,0),6),"")</f>
        <v/>
      </c>
      <c r="Q1254" s="89" t="str">
        <f t="shared" si="57"/>
        <v/>
      </c>
      <c r="R1254" s="89" t="str">
        <f t="shared" si="58"/>
        <v/>
      </c>
      <c r="S1254" s="82"/>
      <c r="U1254" s="37" t="e">
        <f t="shared" si="59"/>
        <v>#VALUE!</v>
      </c>
    </row>
    <row r="1255" spans="1:21" x14ac:dyDescent="0.25">
      <c r="A1255" s="31" t="str">
        <f>IF(Table!A1255 = "","",Table!A1255)</f>
        <v/>
      </c>
      <c r="B1255" s="31" t="str">
        <f>IF(Table!B1255 = "","",Table!B1255)</f>
        <v/>
      </c>
      <c r="C1255" s="31" t="str">
        <f>IF(Table!C1255 = "","",Table!C1255)</f>
        <v/>
      </c>
      <c r="D1255" s="32" t="str">
        <f>IF(Table!D1255 = "","",Table!D1255)</f>
        <v/>
      </c>
      <c r="E1255" s="32" t="str">
        <f>IF(Table!E1255 = "","",Table!E1255)</f>
        <v/>
      </c>
      <c r="F1255" s="32" t="str">
        <f>IF(Table!F1255 = "","",Table!F1255)</f>
        <v/>
      </c>
      <c r="G1255" s="91"/>
      <c r="K1255" s="31" t="str">
        <f>IFERROR(VLOOKUP(A1255,Table!$I$4:$O$3000,1,TRUE),"")</f>
        <v/>
      </c>
      <c r="L1255" s="31" t="str">
        <f>IFERROR(INDEX(Table!I:O,MATCH(K1255,Table!I:I,0),2),"")</f>
        <v/>
      </c>
      <c r="M1255" s="31" t="str">
        <f>IFERROR(INDEX(Table!I:O,MATCH(K1255,Table!I:I,0),3),"")</f>
        <v/>
      </c>
      <c r="N1255" s="32" t="str">
        <f>IFERROR(INDEX(Table!I:O,MATCH(K1255,Table!I:I,0),4),"")</f>
        <v/>
      </c>
      <c r="O1255" s="32" t="str">
        <f>IFERROR(INDEX(Table!I:O,MATCH(K1255,Table!I:I,0),5),"")</f>
        <v/>
      </c>
      <c r="P1255" s="32" t="str">
        <f>IFERROR(INDEX(Table!I:O,MATCH(K1255,Table!I:I,0),6),"")</f>
        <v/>
      </c>
      <c r="Q1255" s="89" t="str">
        <f t="shared" si="57"/>
        <v/>
      </c>
      <c r="R1255" s="89" t="str">
        <f t="shared" si="58"/>
        <v/>
      </c>
      <c r="S1255" s="82"/>
      <c r="U1255" s="37" t="e">
        <f t="shared" si="59"/>
        <v>#VALUE!</v>
      </c>
    </row>
    <row r="1256" spans="1:21" x14ac:dyDescent="0.25">
      <c r="A1256" s="31" t="str">
        <f>IF(Table!A1256 = "","",Table!A1256)</f>
        <v/>
      </c>
      <c r="B1256" s="31" t="str">
        <f>IF(Table!B1256 = "","",Table!B1256)</f>
        <v/>
      </c>
      <c r="C1256" s="31" t="str">
        <f>IF(Table!C1256 = "","",Table!C1256)</f>
        <v/>
      </c>
      <c r="D1256" s="32" t="str">
        <f>IF(Table!D1256 = "","",Table!D1256)</f>
        <v/>
      </c>
      <c r="E1256" s="32" t="str">
        <f>IF(Table!E1256 = "","",Table!E1256)</f>
        <v/>
      </c>
      <c r="F1256" s="32" t="str">
        <f>IF(Table!F1256 = "","",Table!F1256)</f>
        <v/>
      </c>
      <c r="G1256" s="91"/>
      <c r="K1256" s="31" t="str">
        <f>IFERROR(VLOOKUP(A1256,Table!$I$4:$O$3000,1,TRUE),"")</f>
        <v/>
      </c>
      <c r="L1256" s="31" t="str">
        <f>IFERROR(INDEX(Table!I:O,MATCH(K1256,Table!I:I,0),2),"")</f>
        <v/>
      </c>
      <c r="M1256" s="31" t="str">
        <f>IFERROR(INDEX(Table!I:O,MATCH(K1256,Table!I:I,0),3),"")</f>
        <v/>
      </c>
      <c r="N1256" s="32" t="str">
        <f>IFERROR(INDEX(Table!I:O,MATCH(K1256,Table!I:I,0),4),"")</f>
        <v/>
      </c>
      <c r="O1256" s="32" t="str">
        <f>IFERROR(INDEX(Table!I:O,MATCH(K1256,Table!I:I,0),5),"")</f>
        <v/>
      </c>
      <c r="P1256" s="32" t="str">
        <f>IFERROR(INDEX(Table!I:O,MATCH(K1256,Table!I:I,0),6),"")</f>
        <v/>
      </c>
      <c r="Q1256" s="89" t="str">
        <f t="shared" si="57"/>
        <v/>
      </c>
      <c r="R1256" s="89" t="str">
        <f t="shared" si="58"/>
        <v/>
      </c>
      <c r="S1256" s="82"/>
      <c r="U1256" s="37" t="e">
        <f t="shared" si="59"/>
        <v>#VALUE!</v>
      </c>
    </row>
    <row r="1257" spans="1:21" x14ac:dyDescent="0.25">
      <c r="A1257" s="31" t="str">
        <f>IF(Table!A1257 = "","",Table!A1257)</f>
        <v/>
      </c>
      <c r="B1257" s="31" t="str">
        <f>IF(Table!B1257 = "","",Table!B1257)</f>
        <v/>
      </c>
      <c r="C1257" s="31" t="str">
        <f>IF(Table!C1257 = "","",Table!C1257)</f>
        <v/>
      </c>
      <c r="D1257" s="32" t="str">
        <f>IF(Table!D1257 = "","",Table!D1257)</f>
        <v/>
      </c>
      <c r="E1257" s="32" t="str">
        <f>IF(Table!E1257 = "","",Table!E1257)</f>
        <v/>
      </c>
      <c r="F1257" s="32" t="str">
        <f>IF(Table!F1257 = "","",Table!F1257)</f>
        <v/>
      </c>
      <c r="G1257" s="91"/>
      <c r="K1257" s="31" t="str">
        <f>IFERROR(VLOOKUP(A1257,Table!$I$4:$O$3000,1,TRUE),"")</f>
        <v/>
      </c>
      <c r="L1257" s="31" t="str">
        <f>IFERROR(INDEX(Table!I:O,MATCH(K1257,Table!I:I,0),2),"")</f>
        <v/>
      </c>
      <c r="M1257" s="31" t="str">
        <f>IFERROR(INDEX(Table!I:O,MATCH(K1257,Table!I:I,0),3),"")</f>
        <v/>
      </c>
      <c r="N1257" s="32" t="str">
        <f>IFERROR(INDEX(Table!I:O,MATCH(K1257,Table!I:I,0),4),"")</f>
        <v/>
      </c>
      <c r="O1257" s="32" t="str">
        <f>IFERROR(INDEX(Table!I:O,MATCH(K1257,Table!I:I,0),5),"")</f>
        <v/>
      </c>
      <c r="P1257" s="32" t="str">
        <f>IFERROR(INDEX(Table!I:O,MATCH(K1257,Table!I:I,0),6),"")</f>
        <v/>
      </c>
      <c r="Q1257" s="89" t="str">
        <f t="shared" si="57"/>
        <v/>
      </c>
      <c r="R1257" s="89" t="str">
        <f t="shared" si="58"/>
        <v/>
      </c>
      <c r="S1257" s="82"/>
      <c r="U1257" s="37" t="e">
        <f t="shared" si="59"/>
        <v>#VALUE!</v>
      </c>
    </row>
    <row r="1258" spans="1:21" x14ac:dyDescent="0.25">
      <c r="A1258" s="31" t="str">
        <f>IF(Table!A1258 = "","",Table!A1258)</f>
        <v/>
      </c>
      <c r="B1258" s="31" t="str">
        <f>IF(Table!B1258 = "","",Table!B1258)</f>
        <v/>
      </c>
      <c r="C1258" s="31" t="str">
        <f>IF(Table!C1258 = "","",Table!C1258)</f>
        <v/>
      </c>
      <c r="D1258" s="32" t="str">
        <f>IF(Table!D1258 = "","",Table!D1258)</f>
        <v/>
      </c>
      <c r="E1258" s="32" t="str">
        <f>IF(Table!E1258 = "","",Table!E1258)</f>
        <v/>
      </c>
      <c r="F1258" s="32" t="str">
        <f>IF(Table!F1258 = "","",Table!F1258)</f>
        <v/>
      </c>
      <c r="G1258" s="91"/>
      <c r="K1258" s="31" t="str">
        <f>IFERROR(VLOOKUP(A1258,Table!$I$4:$O$3000,1,TRUE),"")</f>
        <v/>
      </c>
      <c r="L1258" s="31" t="str">
        <f>IFERROR(INDEX(Table!I:O,MATCH(K1258,Table!I:I,0),2),"")</f>
        <v/>
      </c>
      <c r="M1258" s="31" t="str">
        <f>IFERROR(INDEX(Table!I:O,MATCH(K1258,Table!I:I,0),3),"")</f>
        <v/>
      </c>
      <c r="N1258" s="32" t="str">
        <f>IFERROR(INDEX(Table!I:O,MATCH(K1258,Table!I:I,0),4),"")</f>
        <v/>
      </c>
      <c r="O1258" s="32" t="str">
        <f>IFERROR(INDEX(Table!I:O,MATCH(K1258,Table!I:I,0),5),"")</f>
        <v/>
      </c>
      <c r="P1258" s="32" t="str">
        <f>IFERROR(INDEX(Table!I:O,MATCH(K1258,Table!I:I,0),6),"")</f>
        <v/>
      </c>
      <c r="Q1258" s="89" t="str">
        <f t="shared" si="57"/>
        <v/>
      </c>
      <c r="R1258" s="89" t="str">
        <f t="shared" si="58"/>
        <v/>
      </c>
      <c r="S1258" s="82"/>
      <c r="U1258" s="37" t="e">
        <f t="shared" si="59"/>
        <v>#VALUE!</v>
      </c>
    </row>
    <row r="1259" spans="1:21" x14ac:dyDescent="0.25">
      <c r="A1259" s="31" t="str">
        <f>IF(Table!A1259 = "","",Table!A1259)</f>
        <v/>
      </c>
      <c r="B1259" s="31" t="str">
        <f>IF(Table!B1259 = "","",Table!B1259)</f>
        <v/>
      </c>
      <c r="C1259" s="31" t="str">
        <f>IF(Table!C1259 = "","",Table!C1259)</f>
        <v/>
      </c>
      <c r="D1259" s="32" t="str">
        <f>IF(Table!D1259 = "","",Table!D1259)</f>
        <v/>
      </c>
      <c r="E1259" s="32" t="str">
        <f>IF(Table!E1259 = "","",Table!E1259)</f>
        <v/>
      </c>
      <c r="F1259" s="32" t="str">
        <f>IF(Table!F1259 = "","",Table!F1259)</f>
        <v/>
      </c>
      <c r="G1259" s="91"/>
      <c r="K1259" s="31" t="str">
        <f>IFERROR(VLOOKUP(A1259,Table!$I$4:$O$3000,1,TRUE),"")</f>
        <v/>
      </c>
      <c r="L1259" s="31" t="str">
        <f>IFERROR(INDEX(Table!I:O,MATCH(K1259,Table!I:I,0),2),"")</f>
        <v/>
      </c>
      <c r="M1259" s="31" t="str">
        <f>IFERROR(INDEX(Table!I:O,MATCH(K1259,Table!I:I,0),3),"")</f>
        <v/>
      </c>
      <c r="N1259" s="32" t="str">
        <f>IFERROR(INDEX(Table!I:O,MATCH(K1259,Table!I:I,0),4),"")</f>
        <v/>
      </c>
      <c r="O1259" s="32" t="str">
        <f>IFERROR(INDEX(Table!I:O,MATCH(K1259,Table!I:I,0),5),"")</f>
        <v/>
      </c>
      <c r="P1259" s="32" t="str">
        <f>IFERROR(INDEX(Table!I:O,MATCH(K1259,Table!I:I,0),6),"")</f>
        <v/>
      </c>
      <c r="Q1259" s="89" t="str">
        <f t="shared" si="57"/>
        <v/>
      </c>
      <c r="R1259" s="89" t="str">
        <f t="shared" si="58"/>
        <v/>
      </c>
      <c r="S1259" s="82"/>
      <c r="U1259" s="37" t="e">
        <f t="shared" si="59"/>
        <v>#VALUE!</v>
      </c>
    </row>
    <row r="1260" spans="1:21" x14ac:dyDescent="0.25">
      <c r="A1260" s="31" t="str">
        <f>IF(Table!A1260 = "","",Table!A1260)</f>
        <v/>
      </c>
      <c r="B1260" s="31" t="str">
        <f>IF(Table!B1260 = "","",Table!B1260)</f>
        <v/>
      </c>
      <c r="C1260" s="31" t="str">
        <f>IF(Table!C1260 = "","",Table!C1260)</f>
        <v/>
      </c>
      <c r="D1260" s="32" t="str">
        <f>IF(Table!D1260 = "","",Table!D1260)</f>
        <v/>
      </c>
      <c r="E1260" s="32" t="str">
        <f>IF(Table!E1260 = "","",Table!E1260)</f>
        <v/>
      </c>
      <c r="F1260" s="32" t="str">
        <f>IF(Table!F1260 = "","",Table!F1260)</f>
        <v/>
      </c>
      <c r="G1260" s="91"/>
      <c r="K1260" s="31" t="str">
        <f>IFERROR(VLOOKUP(A1260,Table!$I$4:$O$3000,1,TRUE),"")</f>
        <v/>
      </c>
      <c r="L1260" s="31" t="str">
        <f>IFERROR(INDEX(Table!I:O,MATCH(K1260,Table!I:I,0),2),"")</f>
        <v/>
      </c>
      <c r="M1260" s="31" t="str">
        <f>IFERROR(INDEX(Table!I:O,MATCH(K1260,Table!I:I,0),3),"")</f>
        <v/>
      </c>
      <c r="N1260" s="32" t="str">
        <f>IFERROR(INDEX(Table!I:O,MATCH(K1260,Table!I:I,0),4),"")</f>
        <v/>
      </c>
      <c r="O1260" s="32" t="str">
        <f>IFERROR(INDEX(Table!I:O,MATCH(K1260,Table!I:I,0),5),"")</f>
        <v/>
      </c>
      <c r="P1260" s="32" t="str">
        <f>IFERROR(INDEX(Table!I:O,MATCH(K1260,Table!I:I,0),6),"")</f>
        <v/>
      </c>
      <c r="Q1260" s="89" t="str">
        <f t="shared" si="57"/>
        <v/>
      </c>
      <c r="R1260" s="89" t="str">
        <f t="shared" si="58"/>
        <v/>
      </c>
      <c r="S1260" s="82"/>
      <c r="U1260" s="37" t="e">
        <f t="shared" si="59"/>
        <v>#VALUE!</v>
      </c>
    </row>
    <row r="1261" spans="1:21" x14ac:dyDescent="0.25">
      <c r="A1261" s="31" t="str">
        <f>IF(Table!A1261 = "","",Table!A1261)</f>
        <v/>
      </c>
      <c r="B1261" s="31" t="str">
        <f>IF(Table!B1261 = "","",Table!B1261)</f>
        <v/>
      </c>
      <c r="C1261" s="31" t="str">
        <f>IF(Table!C1261 = "","",Table!C1261)</f>
        <v/>
      </c>
      <c r="D1261" s="32" t="str">
        <f>IF(Table!D1261 = "","",Table!D1261)</f>
        <v/>
      </c>
      <c r="E1261" s="32" t="str">
        <f>IF(Table!E1261 = "","",Table!E1261)</f>
        <v/>
      </c>
      <c r="F1261" s="32" t="str">
        <f>IF(Table!F1261 = "","",Table!F1261)</f>
        <v/>
      </c>
      <c r="G1261" s="91"/>
      <c r="K1261" s="31" t="str">
        <f>IFERROR(VLOOKUP(A1261,Table!$I$4:$O$3000,1,TRUE),"")</f>
        <v/>
      </c>
      <c r="L1261" s="31" t="str">
        <f>IFERROR(INDEX(Table!I:O,MATCH(K1261,Table!I:I,0),2),"")</f>
        <v/>
      </c>
      <c r="M1261" s="31" t="str">
        <f>IFERROR(INDEX(Table!I:O,MATCH(K1261,Table!I:I,0),3),"")</f>
        <v/>
      </c>
      <c r="N1261" s="32" t="str">
        <f>IFERROR(INDEX(Table!I:O,MATCH(K1261,Table!I:I,0),4),"")</f>
        <v/>
      </c>
      <c r="O1261" s="32" t="str">
        <f>IFERROR(INDEX(Table!I:O,MATCH(K1261,Table!I:I,0),5),"")</f>
        <v/>
      </c>
      <c r="P1261" s="32" t="str">
        <f>IFERROR(INDEX(Table!I:O,MATCH(K1261,Table!I:I,0),6),"")</f>
        <v/>
      </c>
      <c r="Q1261" s="89" t="str">
        <f t="shared" si="57"/>
        <v/>
      </c>
      <c r="R1261" s="89" t="str">
        <f t="shared" si="58"/>
        <v/>
      </c>
      <c r="S1261" s="82"/>
      <c r="U1261" s="37" t="e">
        <f t="shared" si="59"/>
        <v>#VALUE!</v>
      </c>
    </row>
    <row r="1262" spans="1:21" x14ac:dyDescent="0.25">
      <c r="A1262" s="31" t="str">
        <f>IF(Table!A1262 = "","",Table!A1262)</f>
        <v/>
      </c>
      <c r="B1262" s="31" t="str">
        <f>IF(Table!B1262 = "","",Table!B1262)</f>
        <v/>
      </c>
      <c r="C1262" s="31" t="str">
        <f>IF(Table!C1262 = "","",Table!C1262)</f>
        <v/>
      </c>
      <c r="D1262" s="32" t="str">
        <f>IF(Table!D1262 = "","",Table!D1262)</f>
        <v/>
      </c>
      <c r="E1262" s="32" t="str">
        <f>IF(Table!E1262 = "","",Table!E1262)</f>
        <v/>
      </c>
      <c r="F1262" s="32" t="str">
        <f>IF(Table!F1262 = "","",Table!F1262)</f>
        <v/>
      </c>
      <c r="G1262" s="91"/>
      <c r="K1262" s="31" t="str">
        <f>IFERROR(VLOOKUP(A1262,Table!$I$4:$O$3000,1,TRUE),"")</f>
        <v/>
      </c>
      <c r="L1262" s="31" t="str">
        <f>IFERROR(INDEX(Table!I:O,MATCH(K1262,Table!I:I,0),2),"")</f>
        <v/>
      </c>
      <c r="M1262" s="31" t="str">
        <f>IFERROR(INDEX(Table!I:O,MATCH(K1262,Table!I:I,0),3),"")</f>
        <v/>
      </c>
      <c r="N1262" s="32" t="str">
        <f>IFERROR(INDEX(Table!I:O,MATCH(K1262,Table!I:I,0),4),"")</f>
        <v/>
      </c>
      <c r="O1262" s="32" t="str">
        <f>IFERROR(INDEX(Table!I:O,MATCH(K1262,Table!I:I,0),5),"")</f>
        <v/>
      </c>
      <c r="P1262" s="32" t="str">
        <f>IFERROR(INDEX(Table!I:O,MATCH(K1262,Table!I:I,0),6),"")</f>
        <v/>
      </c>
      <c r="Q1262" s="89" t="str">
        <f t="shared" si="57"/>
        <v/>
      </c>
      <c r="R1262" s="89" t="str">
        <f t="shared" si="58"/>
        <v/>
      </c>
      <c r="S1262" s="82"/>
      <c r="U1262" s="37" t="e">
        <f t="shared" si="59"/>
        <v>#VALUE!</v>
      </c>
    </row>
    <row r="1263" spans="1:21" x14ac:dyDescent="0.25">
      <c r="A1263" s="31" t="str">
        <f>IF(Table!A1263 = "","",Table!A1263)</f>
        <v/>
      </c>
      <c r="B1263" s="31" t="str">
        <f>IF(Table!B1263 = "","",Table!B1263)</f>
        <v/>
      </c>
      <c r="C1263" s="31" t="str">
        <f>IF(Table!C1263 = "","",Table!C1263)</f>
        <v/>
      </c>
      <c r="D1263" s="32" t="str">
        <f>IF(Table!D1263 = "","",Table!D1263)</f>
        <v/>
      </c>
      <c r="E1263" s="32" t="str">
        <f>IF(Table!E1263 = "","",Table!E1263)</f>
        <v/>
      </c>
      <c r="F1263" s="32" t="str">
        <f>IF(Table!F1263 = "","",Table!F1263)</f>
        <v/>
      </c>
      <c r="G1263" s="91"/>
      <c r="K1263" s="31" t="str">
        <f>IFERROR(VLOOKUP(A1263,Table!$I$4:$O$3000,1,TRUE),"")</f>
        <v/>
      </c>
      <c r="L1263" s="31" t="str">
        <f>IFERROR(INDEX(Table!I:O,MATCH(K1263,Table!I:I,0),2),"")</f>
        <v/>
      </c>
      <c r="M1263" s="31" t="str">
        <f>IFERROR(INDEX(Table!I:O,MATCH(K1263,Table!I:I,0),3),"")</f>
        <v/>
      </c>
      <c r="N1263" s="32" t="str">
        <f>IFERROR(INDEX(Table!I:O,MATCH(K1263,Table!I:I,0),4),"")</f>
        <v/>
      </c>
      <c r="O1263" s="32" t="str">
        <f>IFERROR(INDEX(Table!I:O,MATCH(K1263,Table!I:I,0),5),"")</f>
        <v/>
      </c>
      <c r="P1263" s="32" t="str">
        <f>IFERROR(INDEX(Table!I:O,MATCH(K1263,Table!I:I,0),6),"")</f>
        <v/>
      </c>
      <c r="Q1263" s="89" t="str">
        <f t="shared" si="57"/>
        <v/>
      </c>
      <c r="R1263" s="89" t="str">
        <f t="shared" si="58"/>
        <v/>
      </c>
      <c r="S1263" s="82"/>
      <c r="U1263" s="37" t="e">
        <f t="shared" si="59"/>
        <v>#VALUE!</v>
      </c>
    </row>
    <row r="1264" spans="1:21" x14ac:dyDescent="0.25">
      <c r="A1264" s="31" t="str">
        <f>IF(Table!A1264 = "","",Table!A1264)</f>
        <v/>
      </c>
      <c r="B1264" s="31" t="str">
        <f>IF(Table!B1264 = "","",Table!B1264)</f>
        <v/>
      </c>
      <c r="C1264" s="31" t="str">
        <f>IF(Table!C1264 = "","",Table!C1264)</f>
        <v/>
      </c>
      <c r="D1264" s="32" t="str">
        <f>IF(Table!D1264 = "","",Table!D1264)</f>
        <v/>
      </c>
      <c r="E1264" s="32" t="str">
        <f>IF(Table!E1264 = "","",Table!E1264)</f>
        <v/>
      </c>
      <c r="F1264" s="32" t="str">
        <f>IF(Table!F1264 = "","",Table!F1264)</f>
        <v/>
      </c>
      <c r="G1264" s="91"/>
      <c r="K1264" s="31" t="str">
        <f>IFERROR(VLOOKUP(A1264,Table!$I$4:$O$3000,1,TRUE),"")</f>
        <v/>
      </c>
      <c r="L1264" s="31" t="str">
        <f>IFERROR(INDEX(Table!I:O,MATCH(K1264,Table!I:I,0),2),"")</f>
        <v/>
      </c>
      <c r="M1264" s="31" t="str">
        <f>IFERROR(INDEX(Table!I:O,MATCH(K1264,Table!I:I,0),3),"")</f>
        <v/>
      </c>
      <c r="N1264" s="32" t="str">
        <f>IFERROR(INDEX(Table!I:O,MATCH(K1264,Table!I:I,0),4),"")</f>
        <v/>
      </c>
      <c r="O1264" s="32" t="str">
        <f>IFERROR(INDEX(Table!I:O,MATCH(K1264,Table!I:I,0),5),"")</f>
        <v/>
      </c>
      <c r="P1264" s="32" t="str">
        <f>IFERROR(INDEX(Table!I:O,MATCH(K1264,Table!I:I,0),6),"")</f>
        <v/>
      </c>
      <c r="Q1264" s="89" t="str">
        <f t="shared" si="57"/>
        <v/>
      </c>
      <c r="R1264" s="89" t="str">
        <f t="shared" si="58"/>
        <v/>
      </c>
      <c r="S1264" s="82"/>
      <c r="U1264" s="37" t="e">
        <f t="shared" si="59"/>
        <v>#VALUE!</v>
      </c>
    </row>
    <row r="1265" spans="1:21" x14ac:dyDescent="0.25">
      <c r="A1265" s="31" t="str">
        <f>IF(Table!A1265 = "","",Table!A1265)</f>
        <v/>
      </c>
      <c r="B1265" s="31" t="str">
        <f>IF(Table!B1265 = "","",Table!B1265)</f>
        <v/>
      </c>
      <c r="C1265" s="31" t="str">
        <f>IF(Table!C1265 = "","",Table!C1265)</f>
        <v/>
      </c>
      <c r="D1265" s="32" t="str">
        <f>IF(Table!D1265 = "","",Table!D1265)</f>
        <v/>
      </c>
      <c r="E1265" s="32" t="str">
        <f>IF(Table!E1265 = "","",Table!E1265)</f>
        <v/>
      </c>
      <c r="F1265" s="32" t="str">
        <f>IF(Table!F1265 = "","",Table!F1265)</f>
        <v/>
      </c>
      <c r="G1265" s="91"/>
      <c r="K1265" s="31" t="str">
        <f>IFERROR(VLOOKUP(A1265,Table!$I$4:$O$3000,1,TRUE),"")</f>
        <v/>
      </c>
      <c r="L1265" s="31" t="str">
        <f>IFERROR(INDEX(Table!I:O,MATCH(K1265,Table!I:I,0),2),"")</f>
        <v/>
      </c>
      <c r="M1265" s="31" t="str">
        <f>IFERROR(INDEX(Table!I:O,MATCH(K1265,Table!I:I,0),3),"")</f>
        <v/>
      </c>
      <c r="N1265" s="32" t="str">
        <f>IFERROR(INDEX(Table!I:O,MATCH(K1265,Table!I:I,0),4),"")</f>
        <v/>
      </c>
      <c r="O1265" s="32" t="str">
        <f>IFERROR(INDEX(Table!I:O,MATCH(K1265,Table!I:I,0),5),"")</f>
        <v/>
      </c>
      <c r="P1265" s="32" t="str">
        <f>IFERROR(INDEX(Table!I:O,MATCH(K1265,Table!I:I,0),6),"")</f>
        <v/>
      </c>
      <c r="Q1265" s="89" t="str">
        <f t="shared" si="57"/>
        <v/>
      </c>
      <c r="R1265" s="89" t="str">
        <f t="shared" si="58"/>
        <v/>
      </c>
      <c r="S1265" s="82"/>
      <c r="U1265" s="37" t="e">
        <f t="shared" si="59"/>
        <v>#VALUE!</v>
      </c>
    </row>
    <row r="1266" spans="1:21" x14ac:dyDescent="0.25">
      <c r="A1266" s="31" t="str">
        <f>IF(Table!A1266 = "","",Table!A1266)</f>
        <v/>
      </c>
      <c r="B1266" s="31" t="str">
        <f>IF(Table!B1266 = "","",Table!B1266)</f>
        <v/>
      </c>
      <c r="C1266" s="31" t="str">
        <f>IF(Table!C1266 = "","",Table!C1266)</f>
        <v/>
      </c>
      <c r="D1266" s="32" t="str">
        <f>IF(Table!D1266 = "","",Table!D1266)</f>
        <v/>
      </c>
      <c r="E1266" s="32" t="str">
        <f>IF(Table!E1266 = "","",Table!E1266)</f>
        <v/>
      </c>
      <c r="F1266" s="32" t="str">
        <f>IF(Table!F1266 = "","",Table!F1266)</f>
        <v/>
      </c>
      <c r="G1266" s="91"/>
      <c r="K1266" s="31" t="str">
        <f>IFERROR(VLOOKUP(A1266,Table!$I$4:$O$3000,1,TRUE),"")</f>
        <v/>
      </c>
      <c r="L1266" s="31" t="str">
        <f>IFERROR(INDEX(Table!I:O,MATCH(K1266,Table!I:I,0),2),"")</f>
        <v/>
      </c>
      <c r="M1266" s="31" t="str">
        <f>IFERROR(INDEX(Table!I:O,MATCH(K1266,Table!I:I,0),3),"")</f>
        <v/>
      </c>
      <c r="N1266" s="32" t="str">
        <f>IFERROR(INDEX(Table!I:O,MATCH(K1266,Table!I:I,0),4),"")</f>
        <v/>
      </c>
      <c r="O1266" s="32" t="str">
        <f>IFERROR(INDEX(Table!I:O,MATCH(K1266,Table!I:I,0),5),"")</f>
        <v/>
      </c>
      <c r="P1266" s="32" t="str">
        <f>IFERROR(INDEX(Table!I:O,MATCH(K1266,Table!I:I,0),6),"")</f>
        <v/>
      </c>
      <c r="Q1266" s="89" t="str">
        <f t="shared" si="57"/>
        <v/>
      </c>
      <c r="R1266" s="89" t="str">
        <f t="shared" si="58"/>
        <v/>
      </c>
      <c r="S1266" s="82"/>
      <c r="U1266" s="37" t="e">
        <f t="shared" si="59"/>
        <v>#VALUE!</v>
      </c>
    </row>
    <row r="1267" spans="1:21" x14ac:dyDescent="0.25">
      <c r="A1267" s="31" t="str">
        <f>IF(Table!A1267 = "","",Table!A1267)</f>
        <v/>
      </c>
      <c r="B1267" s="31" t="str">
        <f>IF(Table!B1267 = "","",Table!B1267)</f>
        <v/>
      </c>
      <c r="C1267" s="31" t="str">
        <f>IF(Table!C1267 = "","",Table!C1267)</f>
        <v/>
      </c>
      <c r="D1267" s="32" t="str">
        <f>IF(Table!D1267 = "","",Table!D1267)</f>
        <v/>
      </c>
      <c r="E1267" s="32" t="str">
        <f>IF(Table!E1267 = "","",Table!E1267)</f>
        <v/>
      </c>
      <c r="F1267" s="32" t="str">
        <f>IF(Table!F1267 = "","",Table!F1267)</f>
        <v/>
      </c>
      <c r="G1267" s="91"/>
      <c r="K1267" s="31" t="str">
        <f>IFERROR(VLOOKUP(A1267,Table!$I$4:$O$3000,1,TRUE),"")</f>
        <v/>
      </c>
      <c r="L1267" s="31" t="str">
        <f>IFERROR(INDEX(Table!I:O,MATCH(K1267,Table!I:I,0),2),"")</f>
        <v/>
      </c>
      <c r="M1267" s="31" t="str">
        <f>IFERROR(INDEX(Table!I:O,MATCH(K1267,Table!I:I,0),3),"")</f>
        <v/>
      </c>
      <c r="N1267" s="32" t="str">
        <f>IFERROR(INDEX(Table!I:O,MATCH(K1267,Table!I:I,0),4),"")</f>
        <v/>
      </c>
      <c r="O1267" s="32" t="str">
        <f>IFERROR(INDEX(Table!I:O,MATCH(K1267,Table!I:I,0),5),"")</f>
        <v/>
      </c>
      <c r="P1267" s="32" t="str">
        <f>IFERROR(INDEX(Table!I:O,MATCH(K1267,Table!I:I,0),6),"")</f>
        <v/>
      </c>
      <c r="Q1267" s="89" t="str">
        <f t="shared" si="57"/>
        <v/>
      </c>
      <c r="R1267" s="89" t="str">
        <f t="shared" si="58"/>
        <v/>
      </c>
      <c r="S1267" s="82"/>
      <c r="U1267" s="37" t="e">
        <f t="shared" si="59"/>
        <v>#VALUE!</v>
      </c>
    </row>
    <row r="1268" spans="1:21" x14ac:dyDescent="0.25">
      <c r="A1268" s="31" t="str">
        <f>IF(Table!A1268 = "","",Table!A1268)</f>
        <v/>
      </c>
      <c r="B1268" s="31" t="str">
        <f>IF(Table!B1268 = "","",Table!B1268)</f>
        <v/>
      </c>
      <c r="C1268" s="31" t="str">
        <f>IF(Table!C1268 = "","",Table!C1268)</f>
        <v/>
      </c>
      <c r="D1268" s="32" t="str">
        <f>IF(Table!D1268 = "","",Table!D1268)</f>
        <v/>
      </c>
      <c r="E1268" s="32" t="str">
        <f>IF(Table!E1268 = "","",Table!E1268)</f>
        <v/>
      </c>
      <c r="F1268" s="32" t="str">
        <f>IF(Table!F1268 = "","",Table!F1268)</f>
        <v/>
      </c>
      <c r="G1268" s="91"/>
      <c r="K1268" s="31" t="str">
        <f>IFERROR(VLOOKUP(A1268,Table!$I$4:$O$3000,1,TRUE),"")</f>
        <v/>
      </c>
      <c r="L1268" s="31" t="str">
        <f>IFERROR(INDEX(Table!I:O,MATCH(K1268,Table!I:I,0),2),"")</f>
        <v/>
      </c>
      <c r="M1268" s="31" t="str">
        <f>IFERROR(INDEX(Table!I:O,MATCH(K1268,Table!I:I,0),3),"")</f>
        <v/>
      </c>
      <c r="N1268" s="32" t="str">
        <f>IFERROR(INDEX(Table!I:O,MATCH(K1268,Table!I:I,0),4),"")</f>
        <v/>
      </c>
      <c r="O1268" s="32" t="str">
        <f>IFERROR(INDEX(Table!I:O,MATCH(K1268,Table!I:I,0),5),"")</f>
        <v/>
      </c>
      <c r="P1268" s="32" t="str">
        <f>IFERROR(INDEX(Table!I:O,MATCH(K1268,Table!I:I,0),6),"")</f>
        <v/>
      </c>
      <c r="Q1268" s="89" t="str">
        <f t="shared" si="57"/>
        <v/>
      </c>
      <c r="R1268" s="89" t="str">
        <f t="shared" si="58"/>
        <v/>
      </c>
      <c r="S1268" s="82"/>
      <c r="U1268" s="37" t="e">
        <f t="shared" si="59"/>
        <v>#VALUE!</v>
      </c>
    </row>
    <row r="1269" spans="1:21" x14ac:dyDescent="0.25">
      <c r="A1269" s="31" t="str">
        <f>IF(Table!A1269 = "","",Table!A1269)</f>
        <v/>
      </c>
      <c r="B1269" s="31" t="str">
        <f>IF(Table!B1269 = "","",Table!B1269)</f>
        <v/>
      </c>
      <c r="C1269" s="31" t="str">
        <f>IF(Table!C1269 = "","",Table!C1269)</f>
        <v/>
      </c>
      <c r="D1269" s="32" t="str">
        <f>IF(Table!D1269 = "","",Table!D1269)</f>
        <v/>
      </c>
      <c r="E1269" s="32" t="str">
        <f>IF(Table!E1269 = "","",Table!E1269)</f>
        <v/>
      </c>
      <c r="F1269" s="32" t="str">
        <f>IF(Table!F1269 = "","",Table!F1269)</f>
        <v/>
      </c>
      <c r="G1269" s="91"/>
      <c r="K1269" s="31" t="str">
        <f>IFERROR(VLOOKUP(A1269,Table!$I$4:$O$3000,1,TRUE),"")</f>
        <v/>
      </c>
      <c r="L1269" s="31" t="str">
        <f>IFERROR(INDEX(Table!I:O,MATCH(K1269,Table!I:I,0),2),"")</f>
        <v/>
      </c>
      <c r="M1269" s="31" t="str">
        <f>IFERROR(INDEX(Table!I:O,MATCH(K1269,Table!I:I,0),3),"")</f>
        <v/>
      </c>
      <c r="N1269" s="32" t="str">
        <f>IFERROR(INDEX(Table!I:O,MATCH(K1269,Table!I:I,0),4),"")</f>
        <v/>
      </c>
      <c r="O1269" s="32" t="str">
        <f>IFERROR(INDEX(Table!I:O,MATCH(K1269,Table!I:I,0),5),"")</f>
        <v/>
      </c>
      <c r="P1269" s="32" t="str">
        <f>IFERROR(INDEX(Table!I:O,MATCH(K1269,Table!I:I,0),6),"")</f>
        <v/>
      </c>
      <c r="Q1269" s="89" t="str">
        <f t="shared" si="57"/>
        <v/>
      </c>
      <c r="R1269" s="89" t="str">
        <f t="shared" si="58"/>
        <v/>
      </c>
      <c r="S1269" s="82"/>
      <c r="U1269" s="37" t="e">
        <f t="shared" si="59"/>
        <v>#VALUE!</v>
      </c>
    </row>
    <row r="1270" spans="1:21" x14ac:dyDescent="0.25">
      <c r="A1270" s="31" t="str">
        <f>IF(Table!A1270 = "","",Table!A1270)</f>
        <v/>
      </c>
      <c r="B1270" s="31" t="str">
        <f>IF(Table!B1270 = "","",Table!B1270)</f>
        <v/>
      </c>
      <c r="C1270" s="31" t="str">
        <f>IF(Table!C1270 = "","",Table!C1270)</f>
        <v/>
      </c>
      <c r="D1270" s="32" t="str">
        <f>IF(Table!D1270 = "","",Table!D1270)</f>
        <v/>
      </c>
      <c r="E1270" s="32" t="str">
        <f>IF(Table!E1270 = "","",Table!E1270)</f>
        <v/>
      </c>
      <c r="F1270" s="32" t="str">
        <f>IF(Table!F1270 = "","",Table!F1270)</f>
        <v/>
      </c>
      <c r="G1270" s="91"/>
      <c r="K1270" s="31" t="str">
        <f>IFERROR(VLOOKUP(A1270,Table!$I$4:$O$3000,1,TRUE),"")</f>
        <v/>
      </c>
      <c r="L1270" s="31" t="str">
        <f>IFERROR(INDEX(Table!I:O,MATCH(K1270,Table!I:I,0),2),"")</f>
        <v/>
      </c>
      <c r="M1270" s="31" t="str">
        <f>IFERROR(INDEX(Table!I:O,MATCH(K1270,Table!I:I,0),3),"")</f>
        <v/>
      </c>
      <c r="N1270" s="32" t="str">
        <f>IFERROR(INDEX(Table!I:O,MATCH(K1270,Table!I:I,0),4),"")</f>
        <v/>
      </c>
      <c r="O1270" s="32" t="str">
        <f>IFERROR(INDEX(Table!I:O,MATCH(K1270,Table!I:I,0),5),"")</f>
        <v/>
      </c>
      <c r="P1270" s="32" t="str">
        <f>IFERROR(INDEX(Table!I:O,MATCH(K1270,Table!I:I,0),6),"")</f>
        <v/>
      </c>
      <c r="Q1270" s="89" t="str">
        <f t="shared" si="57"/>
        <v/>
      </c>
      <c r="R1270" s="89" t="str">
        <f t="shared" si="58"/>
        <v/>
      </c>
      <c r="S1270" s="82"/>
      <c r="U1270" s="37" t="e">
        <f t="shared" si="59"/>
        <v>#VALUE!</v>
      </c>
    </row>
    <row r="1271" spans="1:21" x14ac:dyDescent="0.25">
      <c r="A1271" s="31" t="str">
        <f>IF(Table!A1271 = "","",Table!A1271)</f>
        <v/>
      </c>
      <c r="B1271" s="31" t="str">
        <f>IF(Table!B1271 = "","",Table!B1271)</f>
        <v/>
      </c>
      <c r="C1271" s="31" t="str">
        <f>IF(Table!C1271 = "","",Table!C1271)</f>
        <v/>
      </c>
      <c r="D1271" s="32" t="str">
        <f>IF(Table!D1271 = "","",Table!D1271)</f>
        <v/>
      </c>
      <c r="E1271" s="32" t="str">
        <f>IF(Table!E1271 = "","",Table!E1271)</f>
        <v/>
      </c>
      <c r="F1271" s="32" t="str">
        <f>IF(Table!F1271 = "","",Table!F1271)</f>
        <v/>
      </c>
      <c r="G1271" s="91"/>
      <c r="K1271" s="31" t="str">
        <f>IFERROR(VLOOKUP(A1271,Table!$I$4:$O$3000,1,TRUE),"")</f>
        <v/>
      </c>
      <c r="L1271" s="31" t="str">
        <f>IFERROR(INDEX(Table!I:O,MATCH(K1271,Table!I:I,0),2),"")</f>
        <v/>
      </c>
      <c r="M1271" s="31" t="str">
        <f>IFERROR(INDEX(Table!I:O,MATCH(K1271,Table!I:I,0),3),"")</f>
        <v/>
      </c>
      <c r="N1271" s="32" t="str">
        <f>IFERROR(INDEX(Table!I:O,MATCH(K1271,Table!I:I,0),4),"")</f>
        <v/>
      </c>
      <c r="O1271" s="32" t="str">
        <f>IFERROR(INDEX(Table!I:O,MATCH(K1271,Table!I:I,0),5),"")</f>
        <v/>
      </c>
      <c r="P1271" s="32" t="str">
        <f>IFERROR(INDEX(Table!I:O,MATCH(K1271,Table!I:I,0),6),"")</f>
        <v/>
      </c>
      <c r="Q1271" s="89" t="str">
        <f t="shared" si="57"/>
        <v/>
      </c>
      <c r="R1271" s="89" t="str">
        <f t="shared" si="58"/>
        <v/>
      </c>
      <c r="S1271" s="82"/>
      <c r="U1271" s="37" t="e">
        <f t="shared" si="59"/>
        <v>#VALUE!</v>
      </c>
    </row>
    <row r="1272" spans="1:21" x14ac:dyDescent="0.25">
      <c r="A1272" s="31" t="str">
        <f>IF(Table!A1272 = "","",Table!A1272)</f>
        <v/>
      </c>
      <c r="B1272" s="31" t="str">
        <f>IF(Table!B1272 = "","",Table!B1272)</f>
        <v/>
      </c>
      <c r="C1272" s="31" t="str">
        <f>IF(Table!C1272 = "","",Table!C1272)</f>
        <v/>
      </c>
      <c r="D1272" s="32" t="str">
        <f>IF(Table!D1272 = "","",Table!D1272)</f>
        <v/>
      </c>
      <c r="E1272" s="32" t="str">
        <f>IF(Table!E1272 = "","",Table!E1272)</f>
        <v/>
      </c>
      <c r="F1272" s="32" t="str">
        <f>IF(Table!F1272 = "","",Table!F1272)</f>
        <v/>
      </c>
      <c r="G1272" s="91"/>
      <c r="K1272" s="31" t="str">
        <f>IFERROR(VLOOKUP(A1272,Table!$I$4:$O$3000,1,TRUE),"")</f>
        <v/>
      </c>
      <c r="L1272" s="31" t="str">
        <f>IFERROR(INDEX(Table!I:O,MATCH(K1272,Table!I:I,0),2),"")</f>
        <v/>
      </c>
      <c r="M1272" s="31" t="str">
        <f>IFERROR(INDEX(Table!I:O,MATCH(K1272,Table!I:I,0),3),"")</f>
        <v/>
      </c>
      <c r="N1272" s="32" t="str">
        <f>IFERROR(INDEX(Table!I:O,MATCH(K1272,Table!I:I,0),4),"")</f>
        <v/>
      </c>
      <c r="O1272" s="32" t="str">
        <f>IFERROR(INDEX(Table!I:O,MATCH(K1272,Table!I:I,0),5),"")</f>
        <v/>
      </c>
      <c r="P1272" s="32" t="str">
        <f>IFERROR(INDEX(Table!I:O,MATCH(K1272,Table!I:I,0),6),"")</f>
        <v/>
      </c>
      <c r="Q1272" s="89" t="str">
        <f t="shared" si="57"/>
        <v/>
      </c>
      <c r="R1272" s="89" t="str">
        <f t="shared" si="58"/>
        <v/>
      </c>
      <c r="S1272" s="82"/>
      <c r="U1272" s="37" t="e">
        <f t="shared" si="59"/>
        <v>#VALUE!</v>
      </c>
    </row>
    <row r="1273" spans="1:21" x14ac:dyDescent="0.25">
      <c r="A1273" s="31" t="str">
        <f>IF(Table!A1273 = "","",Table!A1273)</f>
        <v/>
      </c>
      <c r="B1273" s="31" t="str">
        <f>IF(Table!B1273 = "","",Table!B1273)</f>
        <v/>
      </c>
      <c r="C1273" s="31" t="str">
        <f>IF(Table!C1273 = "","",Table!C1273)</f>
        <v/>
      </c>
      <c r="D1273" s="32" t="str">
        <f>IF(Table!D1273 = "","",Table!D1273)</f>
        <v/>
      </c>
      <c r="E1273" s="32" t="str">
        <f>IF(Table!E1273 = "","",Table!E1273)</f>
        <v/>
      </c>
      <c r="F1273" s="32" t="str">
        <f>IF(Table!F1273 = "","",Table!F1273)</f>
        <v/>
      </c>
      <c r="G1273" s="91"/>
      <c r="K1273" s="31" t="str">
        <f>IFERROR(VLOOKUP(A1273,Table!$I$4:$O$3000,1,TRUE),"")</f>
        <v/>
      </c>
      <c r="L1273" s="31" t="str">
        <f>IFERROR(INDEX(Table!I:O,MATCH(K1273,Table!I:I,0),2),"")</f>
        <v/>
      </c>
      <c r="M1273" s="31" t="str">
        <f>IFERROR(INDEX(Table!I:O,MATCH(K1273,Table!I:I,0),3),"")</f>
        <v/>
      </c>
      <c r="N1273" s="32" t="str">
        <f>IFERROR(INDEX(Table!I:O,MATCH(K1273,Table!I:I,0),4),"")</f>
        <v/>
      </c>
      <c r="O1273" s="32" t="str">
        <f>IFERROR(INDEX(Table!I:O,MATCH(K1273,Table!I:I,0),5),"")</f>
        <v/>
      </c>
      <c r="P1273" s="32" t="str">
        <f>IFERROR(INDEX(Table!I:O,MATCH(K1273,Table!I:I,0),6),"")</f>
        <v/>
      </c>
      <c r="Q1273" s="89" t="str">
        <f t="shared" si="57"/>
        <v/>
      </c>
      <c r="R1273" s="89" t="str">
        <f t="shared" si="58"/>
        <v/>
      </c>
      <c r="S1273" s="82"/>
      <c r="U1273" s="37" t="e">
        <f t="shared" si="59"/>
        <v>#VALUE!</v>
      </c>
    </row>
    <row r="1274" spans="1:21" x14ac:dyDescent="0.25">
      <c r="A1274" s="31" t="str">
        <f>IF(Table!A1274 = "","",Table!A1274)</f>
        <v/>
      </c>
      <c r="B1274" s="31" t="str">
        <f>IF(Table!B1274 = "","",Table!B1274)</f>
        <v/>
      </c>
      <c r="C1274" s="31" t="str">
        <f>IF(Table!C1274 = "","",Table!C1274)</f>
        <v/>
      </c>
      <c r="D1274" s="32" t="str">
        <f>IF(Table!D1274 = "","",Table!D1274)</f>
        <v/>
      </c>
      <c r="E1274" s="32" t="str">
        <f>IF(Table!E1274 = "","",Table!E1274)</f>
        <v/>
      </c>
      <c r="F1274" s="32" t="str">
        <f>IF(Table!F1274 = "","",Table!F1274)</f>
        <v/>
      </c>
      <c r="G1274" s="91"/>
      <c r="K1274" s="31" t="str">
        <f>IFERROR(VLOOKUP(A1274,Table!$I$4:$O$3000,1,TRUE),"")</f>
        <v/>
      </c>
      <c r="L1274" s="31" t="str">
        <f>IFERROR(INDEX(Table!I:O,MATCH(K1274,Table!I:I,0),2),"")</f>
        <v/>
      </c>
      <c r="M1274" s="31" t="str">
        <f>IFERROR(INDEX(Table!I:O,MATCH(K1274,Table!I:I,0),3),"")</f>
        <v/>
      </c>
      <c r="N1274" s="32" t="str">
        <f>IFERROR(INDEX(Table!I:O,MATCH(K1274,Table!I:I,0),4),"")</f>
        <v/>
      </c>
      <c r="O1274" s="32" t="str">
        <f>IFERROR(INDEX(Table!I:O,MATCH(K1274,Table!I:I,0),5),"")</f>
        <v/>
      </c>
      <c r="P1274" s="32" t="str">
        <f>IFERROR(INDEX(Table!I:O,MATCH(K1274,Table!I:I,0),6),"")</f>
        <v/>
      </c>
      <c r="Q1274" s="89" t="str">
        <f t="shared" si="57"/>
        <v/>
      </c>
      <c r="R1274" s="89" t="str">
        <f t="shared" si="58"/>
        <v/>
      </c>
      <c r="S1274" s="82"/>
      <c r="U1274" s="37" t="e">
        <f t="shared" si="59"/>
        <v>#VALUE!</v>
      </c>
    </row>
    <row r="1275" spans="1:21" x14ac:dyDescent="0.25">
      <c r="A1275" s="31" t="str">
        <f>IF(Table!A1275 = "","",Table!A1275)</f>
        <v/>
      </c>
      <c r="B1275" s="31" t="str">
        <f>IF(Table!B1275 = "","",Table!B1275)</f>
        <v/>
      </c>
      <c r="C1275" s="31" t="str">
        <f>IF(Table!C1275 = "","",Table!C1275)</f>
        <v/>
      </c>
      <c r="D1275" s="32" t="str">
        <f>IF(Table!D1275 = "","",Table!D1275)</f>
        <v/>
      </c>
      <c r="E1275" s="32" t="str">
        <f>IF(Table!E1275 = "","",Table!E1275)</f>
        <v/>
      </c>
      <c r="F1275" s="32" t="str">
        <f>IF(Table!F1275 = "","",Table!F1275)</f>
        <v/>
      </c>
      <c r="G1275" s="91"/>
      <c r="K1275" s="31" t="str">
        <f>IFERROR(VLOOKUP(A1275,Table!$I$4:$O$3000,1,TRUE),"")</f>
        <v/>
      </c>
      <c r="L1275" s="31" t="str">
        <f>IFERROR(INDEX(Table!I:O,MATCH(K1275,Table!I:I,0),2),"")</f>
        <v/>
      </c>
      <c r="M1275" s="31" t="str">
        <f>IFERROR(INDEX(Table!I:O,MATCH(K1275,Table!I:I,0),3),"")</f>
        <v/>
      </c>
      <c r="N1275" s="32" t="str">
        <f>IFERROR(INDEX(Table!I:O,MATCH(K1275,Table!I:I,0),4),"")</f>
        <v/>
      </c>
      <c r="O1275" s="32" t="str">
        <f>IFERROR(INDEX(Table!I:O,MATCH(K1275,Table!I:I,0),5),"")</f>
        <v/>
      </c>
      <c r="P1275" s="32" t="str">
        <f>IFERROR(INDEX(Table!I:O,MATCH(K1275,Table!I:I,0),6),"")</f>
        <v/>
      </c>
      <c r="Q1275" s="89" t="str">
        <f t="shared" si="57"/>
        <v/>
      </c>
      <c r="R1275" s="89" t="str">
        <f t="shared" si="58"/>
        <v/>
      </c>
      <c r="S1275" s="82"/>
      <c r="U1275" s="37" t="e">
        <f t="shared" si="59"/>
        <v>#VALUE!</v>
      </c>
    </row>
    <row r="1276" spans="1:21" x14ac:dyDescent="0.25">
      <c r="A1276" s="31" t="str">
        <f>IF(Table!A1276 = "","",Table!A1276)</f>
        <v/>
      </c>
      <c r="B1276" s="31" t="str">
        <f>IF(Table!B1276 = "","",Table!B1276)</f>
        <v/>
      </c>
      <c r="C1276" s="31" t="str">
        <f>IF(Table!C1276 = "","",Table!C1276)</f>
        <v/>
      </c>
      <c r="D1276" s="32" t="str">
        <f>IF(Table!D1276 = "","",Table!D1276)</f>
        <v/>
      </c>
      <c r="E1276" s="32" t="str">
        <f>IF(Table!E1276 = "","",Table!E1276)</f>
        <v/>
      </c>
      <c r="F1276" s="32" t="str">
        <f>IF(Table!F1276 = "","",Table!F1276)</f>
        <v/>
      </c>
      <c r="G1276" s="91"/>
      <c r="K1276" s="31" t="str">
        <f>IFERROR(VLOOKUP(A1276,Table!$I$4:$O$3000,1,TRUE),"")</f>
        <v/>
      </c>
      <c r="L1276" s="31" t="str">
        <f>IFERROR(INDEX(Table!I:O,MATCH(K1276,Table!I:I,0),2),"")</f>
        <v/>
      </c>
      <c r="M1276" s="31" t="str">
        <f>IFERROR(INDEX(Table!I:O,MATCH(K1276,Table!I:I,0),3),"")</f>
        <v/>
      </c>
      <c r="N1276" s="32" t="str">
        <f>IFERROR(INDEX(Table!I:O,MATCH(K1276,Table!I:I,0),4),"")</f>
        <v/>
      </c>
      <c r="O1276" s="32" t="str">
        <f>IFERROR(INDEX(Table!I:O,MATCH(K1276,Table!I:I,0),5),"")</f>
        <v/>
      </c>
      <c r="P1276" s="32" t="str">
        <f>IFERROR(INDEX(Table!I:O,MATCH(K1276,Table!I:I,0),6),"")</f>
        <v/>
      </c>
      <c r="Q1276" s="89" t="str">
        <f t="shared" si="57"/>
        <v/>
      </c>
      <c r="R1276" s="89" t="str">
        <f t="shared" si="58"/>
        <v/>
      </c>
      <c r="S1276" s="82"/>
      <c r="U1276" s="37" t="e">
        <f t="shared" si="59"/>
        <v>#VALUE!</v>
      </c>
    </row>
    <row r="1277" spans="1:21" x14ac:dyDescent="0.25">
      <c r="A1277" s="31" t="str">
        <f>IF(Table!A1277 = "","",Table!A1277)</f>
        <v/>
      </c>
      <c r="B1277" s="31" t="str">
        <f>IF(Table!B1277 = "","",Table!B1277)</f>
        <v/>
      </c>
      <c r="C1277" s="31" t="str">
        <f>IF(Table!C1277 = "","",Table!C1277)</f>
        <v/>
      </c>
      <c r="D1277" s="32" t="str">
        <f>IF(Table!D1277 = "","",Table!D1277)</f>
        <v/>
      </c>
      <c r="E1277" s="32" t="str">
        <f>IF(Table!E1277 = "","",Table!E1277)</f>
        <v/>
      </c>
      <c r="F1277" s="32" t="str">
        <f>IF(Table!F1277 = "","",Table!F1277)</f>
        <v/>
      </c>
      <c r="G1277" s="91"/>
      <c r="K1277" s="31" t="str">
        <f>IFERROR(VLOOKUP(A1277,Table!$I$4:$O$3000,1,TRUE),"")</f>
        <v/>
      </c>
      <c r="L1277" s="31" t="str">
        <f>IFERROR(INDEX(Table!I:O,MATCH(K1277,Table!I:I,0),2),"")</f>
        <v/>
      </c>
      <c r="M1277" s="31" t="str">
        <f>IFERROR(INDEX(Table!I:O,MATCH(K1277,Table!I:I,0),3),"")</f>
        <v/>
      </c>
      <c r="N1277" s="32" t="str">
        <f>IFERROR(INDEX(Table!I:O,MATCH(K1277,Table!I:I,0),4),"")</f>
        <v/>
      </c>
      <c r="O1277" s="32" t="str">
        <f>IFERROR(INDEX(Table!I:O,MATCH(K1277,Table!I:I,0),5),"")</f>
        <v/>
      </c>
      <c r="P1277" s="32" t="str">
        <f>IFERROR(INDEX(Table!I:O,MATCH(K1277,Table!I:I,0),6),"")</f>
        <v/>
      </c>
      <c r="Q1277" s="89" t="str">
        <f t="shared" si="57"/>
        <v/>
      </c>
      <c r="R1277" s="89" t="str">
        <f t="shared" si="58"/>
        <v/>
      </c>
      <c r="S1277" s="82"/>
      <c r="U1277" s="37" t="e">
        <f t="shared" si="59"/>
        <v>#VALUE!</v>
      </c>
    </row>
    <row r="1278" spans="1:21" x14ac:dyDescent="0.25">
      <c r="A1278" s="31" t="str">
        <f>IF(Table!A1278 = "","",Table!A1278)</f>
        <v/>
      </c>
      <c r="B1278" s="31" t="str">
        <f>IF(Table!B1278 = "","",Table!B1278)</f>
        <v/>
      </c>
      <c r="C1278" s="31" t="str">
        <f>IF(Table!C1278 = "","",Table!C1278)</f>
        <v/>
      </c>
      <c r="D1278" s="32" t="str">
        <f>IF(Table!D1278 = "","",Table!D1278)</f>
        <v/>
      </c>
      <c r="E1278" s="32" t="str">
        <f>IF(Table!E1278 = "","",Table!E1278)</f>
        <v/>
      </c>
      <c r="F1278" s="32" t="str">
        <f>IF(Table!F1278 = "","",Table!F1278)</f>
        <v/>
      </c>
      <c r="G1278" s="91"/>
      <c r="K1278" s="31" t="str">
        <f>IFERROR(VLOOKUP(A1278,Table!$I$4:$O$3000,1,TRUE),"")</f>
        <v/>
      </c>
      <c r="L1278" s="31" t="str">
        <f>IFERROR(INDEX(Table!I:O,MATCH(K1278,Table!I:I,0),2),"")</f>
        <v/>
      </c>
      <c r="M1278" s="31" t="str">
        <f>IFERROR(INDEX(Table!I:O,MATCH(K1278,Table!I:I,0),3),"")</f>
        <v/>
      </c>
      <c r="N1278" s="32" t="str">
        <f>IFERROR(INDEX(Table!I:O,MATCH(K1278,Table!I:I,0),4),"")</f>
        <v/>
      </c>
      <c r="O1278" s="32" t="str">
        <f>IFERROR(INDEX(Table!I:O,MATCH(K1278,Table!I:I,0),5),"")</f>
        <v/>
      </c>
      <c r="P1278" s="32" t="str">
        <f>IFERROR(INDEX(Table!I:O,MATCH(K1278,Table!I:I,0),6),"")</f>
        <v/>
      </c>
      <c r="Q1278" s="89" t="str">
        <f t="shared" si="57"/>
        <v/>
      </c>
      <c r="R1278" s="89" t="str">
        <f t="shared" si="58"/>
        <v/>
      </c>
      <c r="S1278" s="82"/>
      <c r="U1278" s="37" t="e">
        <f t="shared" si="59"/>
        <v>#VALUE!</v>
      </c>
    </row>
    <row r="1279" spans="1:21" x14ac:dyDescent="0.25">
      <c r="A1279" s="31" t="str">
        <f>IF(Table!A1279 = "","",Table!A1279)</f>
        <v/>
      </c>
      <c r="B1279" s="31" t="str">
        <f>IF(Table!B1279 = "","",Table!B1279)</f>
        <v/>
      </c>
      <c r="C1279" s="31" t="str">
        <f>IF(Table!C1279 = "","",Table!C1279)</f>
        <v/>
      </c>
      <c r="D1279" s="32" t="str">
        <f>IF(Table!D1279 = "","",Table!D1279)</f>
        <v/>
      </c>
      <c r="E1279" s="32" t="str">
        <f>IF(Table!E1279 = "","",Table!E1279)</f>
        <v/>
      </c>
      <c r="F1279" s="32" t="str">
        <f>IF(Table!F1279 = "","",Table!F1279)</f>
        <v/>
      </c>
      <c r="G1279" s="91"/>
      <c r="K1279" s="31" t="str">
        <f>IFERROR(VLOOKUP(A1279,Table!$I$4:$O$3000,1,TRUE),"")</f>
        <v/>
      </c>
      <c r="L1279" s="31" t="str">
        <f>IFERROR(INDEX(Table!I:O,MATCH(K1279,Table!I:I,0),2),"")</f>
        <v/>
      </c>
      <c r="M1279" s="31" t="str">
        <f>IFERROR(INDEX(Table!I:O,MATCH(K1279,Table!I:I,0),3),"")</f>
        <v/>
      </c>
      <c r="N1279" s="32" t="str">
        <f>IFERROR(INDEX(Table!I:O,MATCH(K1279,Table!I:I,0),4),"")</f>
        <v/>
      </c>
      <c r="O1279" s="32" t="str">
        <f>IFERROR(INDEX(Table!I:O,MATCH(K1279,Table!I:I,0),5),"")</f>
        <v/>
      </c>
      <c r="P1279" s="32" t="str">
        <f>IFERROR(INDEX(Table!I:O,MATCH(K1279,Table!I:I,0),6),"")</f>
        <v/>
      </c>
      <c r="Q1279" s="89" t="str">
        <f t="shared" si="57"/>
        <v/>
      </c>
      <c r="R1279" s="89" t="str">
        <f t="shared" si="58"/>
        <v/>
      </c>
      <c r="S1279" s="82"/>
      <c r="U1279" s="37" t="e">
        <f t="shared" si="59"/>
        <v>#VALUE!</v>
      </c>
    </row>
    <row r="1280" spans="1:21" x14ac:dyDescent="0.25">
      <c r="A1280" s="31" t="str">
        <f>IF(Table!A1280 = "","",Table!A1280)</f>
        <v/>
      </c>
      <c r="B1280" s="31" t="str">
        <f>IF(Table!B1280 = "","",Table!B1280)</f>
        <v/>
      </c>
      <c r="C1280" s="31" t="str">
        <f>IF(Table!C1280 = "","",Table!C1280)</f>
        <v/>
      </c>
      <c r="D1280" s="32" t="str">
        <f>IF(Table!D1280 = "","",Table!D1280)</f>
        <v/>
      </c>
      <c r="E1280" s="32" t="str">
        <f>IF(Table!E1280 = "","",Table!E1280)</f>
        <v/>
      </c>
      <c r="F1280" s="32" t="str">
        <f>IF(Table!F1280 = "","",Table!F1280)</f>
        <v/>
      </c>
      <c r="G1280" s="91"/>
      <c r="K1280" s="31" t="str">
        <f>IFERROR(VLOOKUP(A1280,Table!$I$4:$O$3000,1,TRUE),"")</f>
        <v/>
      </c>
      <c r="L1280" s="31" t="str">
        <f>IFERROR(INDEX(Table!I:O,MATCH(K1280,Table!I:I,0),2),"")</f>
        <v/>
      </c>
      <c r="M1280" s="31" t="str">
        <f>IFERROR(INDEX(Table!I:O,MATCH(K1280,Table!I:I,0),3),"")</f>
        <v/>
      </c>
      <c r="N1280" s="32" t="str">
        <f>IFERROR(INDEX(Table!I:O,MATCH(K1280,Table!I:I,0),4),"")</f>
        <v/>
      </c>
      <c r="O1280" s="32" t="str">
        <f>IFERROR(INDEX(Table!I:O,MATCH(K1280,Table!I:I,0),5),"")</f>
        <v/>
      </c>
      <c r="P1280" s="32" t="str">
        <f>IFERROR(INDEX(Table!I:O,MATCH(K1280,Table!I:I,0),6),"")</f>
        <v/>
      </c>
      <c r="Q1280" s="89" t="str">
        <f t="shared" si="57"/>
        <v/>
      </c>
      <c r="R1280" s="89" t="str">
        <f t="shared" si="58"/>
        <v/>
      </c>
      <c r="S1280" s="82"/>
      <c r="U1280" s="37" t="e">
        <f t="shared" si="59"/>
        <v>#VALUE!</v>
      </c>
    </row>
    <row r="1281" spans="1:21" x14ac:dyDescent="0.25">
      <c r="A1281" s="31" t="str">
        <f>IF(Table!A1281 = "","",Table!A1281)</f>
        <v/>
      </c>
      <c r="B1281" s="31" t="str">
        <f>IF(Table!B1281 = "","",Table!B1281)</f>
        <v/>
      </c>
      <c r="C1281" s="31" t="str">
        <f>IF(Table!C1281 = "","",Table!C1281)</f>
        <v/>
      </c>
      <c r="D1281" s="32" t="str">
        <f>IF(Table!D1281 = "","",Table!D1281)</f>
        <v/>
      </c>
      <c r="E1281" s="32" t="str">
        <f>IF(Table!E1281 = "","",Table!E1281)</f>
        <v/>
      </c>
      <c r="F1281" s="32" t="str">
        <f>IF(Table!F1281 = "","",Table!F1281)</f>
        <v/>
      </c>
      <c r="G1281" s="91"/>
      <c r="K1281" s="31" t="str">
        <f>IFERROR(VLOOKUP(A1281,Table!$I$4:$O$3000,1,TRUE),"")</f>
        <v/>
      </c>
      <c r="L1281" s="31" t="str">
        <f>IFERROR(INDEX(Table!I:O,MATCH(K1281,Table!I:I,0),2),"")</f>
        <v/>
      </c>
      <c r="M1281" s="31" t="str">
        <f>IFERROR(INDEX(Table!I:O,MATCH(K1281,Table!I:I,0),3),"")</f>
        <v/>
      </c>
      <c r="N1281" s="32" t="str">
        <f>IFERROR(INDEX(Table!I:O,MATCH(K1281,Table!I:I,0),4),"")</f>
        <v/>
      </c>
      <c r="O1281" s="32" t="str">
        <f>IFERROR(INDEX(Table!I:O,MATCH(K1281,Table!I:I,0),5),"")</f>
        <v/>
      </c>
      <c r="P1281" s="32" t="str">
        <f>IFERROR(INDEX(Table!I:O,MATCH(K1281,Table!I:I,0),6),"")</f>
        <v/>
      </c>
      <c r="Q1281" s="89" t="str">
        <f t="shared" si="57"/>
        <v/>
      </c>
      <c r="R1281" s="89" t="str">
        <f t="shared" si="58"/>
        <v/>
      </c>
      <c r="S1281" s="82"/>
      <c r="U1281" s="37" t="e">
        <f t="shared" si="59"/>
        <v>#VALUE!</v>
      </c>
    </row>
    <row r="1282" spans="1:21" x14ac:dyDescent="0.25">
      <c r="A1282" s="31" t="str">
        <f>IF(Table!A1282 = "","",Table!A1282)</f>
        <v/>
      </c>
      <c r="B1282" s="31" t="str">
        <f>IF(Table!B1282 = "","",Table!B1282)</f>
        <v/>
      </c>
      <c r="C1282" s="31" t="str">
        <f>IF(Table!C1282 = "","",Table!C1282)</f>
        <v/>
      </c>
      <c r="D1282" s="32" t="str">
        <f>IF(Table!D1282 = "","",Table!D1282)</f>
        <v/>
      </c>
      <c r="E1282" s="32" t="str">
        <f>IF(Table!E1282 = "","",Table!E1282)</f>
        <v/>
      </c>
      <c r="F1282" s="32" t="str">
        <f>IF(Table!F1282 = "","",Table!F1282)</f>
        <v/>
      </c>
      <c r="G1282" s="91"/>
      <c r="K1282" s="31" t="str">
        <f>IFERROR(VLOOKUP(A1282,Table!$I$4:$O$3000,1,TRUE),"")</f>
        <v/>
      </c>
      <c r="L1282" s="31" t="str">
        <f>IFERROR(INDEX(Table!I:O,MATCH(K1282,Table!I:I,0),2),"")</f>
        <v/>
      </c>
      <c r="M1282" s="31" t="str">
        <f>IFERROR(INDEX(Table!I:O,MATCH(K1282,Table!I:I,0),3),"")</f>
        <v/>
      </c>
      <c r="N1282" s="32" t="str">
        <f>IFERROR(INDEX(Table!I:O,MATCH(K1282,Table!I:I,0),4),"")</f>
        <v/>
      </c>
      <c r="O1282" s="32" t="str">
        <f>IFERROR(INDEX(Table!I:O,MATCH(K1282,Table!I:I,0),5),"")</f>
        <v/>
      </c>
      <c r="P1282" s="32" t="str">
        <f>IFERROR(INDEX(Table!I:O,MATCH(K1282,Table!I:I,0),6),"")</f>
        <v/>
      </c>
      <c r="Q1282" s="89" t="str">
        <f t="shared" si="57"/>
        <v/>
      </c>
      <c r="R1282" s="89" t="str">
        <f t="shared" si="58"/>
        <v/>
      </c>
      <c r="S1282" s="82"/>
      <c r="U1282" s="37" t="e">
        <f t="shared" si="59"/>
        <v>#VALUE!</v>
      </c>
    </row>
    <row r="1283" spans="1:21" x14ac:dyDescent="0.25">
      <c r="A1283" s="31" t="str">
        <f>IF(Table!A1283 = "","",Table!A1283)</f>
        <v/>
      </c>
      <c r="B1283" s="31" t="str">
        <f>IF(Table!B1283 = "","",Table!B1283)</f>
        <v/>
      </c>
      <c r="C1283" s="31" t="str">
        <f>IF(Table!C1283 = "","",Table!C1283)</f>
        <v/>
      </c>
      <c r="D1283" s="32" t="str">
        <f>IF(Table!D1283 = "","",Table!D1283)</f>
        <v/>
      </c>
      <c r="E1283" s="32" t="str">
        <f>IF(Table!E1283 = "","",Table!E1283)</f>
        <v/>
      </c>
      <c r="F1283" s="32" t="str">
        <f>IF(Table!F1283 = "","",Table!F1283)</f>
        <v/>
      </c>
      <c r="G1283" s="91"/>
      <c r="K1283" s="31" t="str">
        <f>IFERROR(VLOOKUP(A1283,Table!$I$4:$O$3000,1,TRUE),"")</f>
        <v/>
      </c>
      <c r="L1283" s="31" t="str">
        <f>IFERROR(INDEX(Table!I:O,MATCH(K1283,Table!I:I,0),2),"")</f>
        <v/>
      </c>
      <c r="M1283" s="31" t="str">
        <f>IFERROR(INDEX(Table!I:O,MATCH(K1283,Table!I:I,0),3),"")</f>
        <v/>
      </c>
      <c r="N1283" s="32" t="str">
        <f>IFERROR(INDEX(Table!I:O,MATCH(K1283,Table!I:I,0),4),"")</f>
        <v/>
      </c>
      <c r="O1283" s="32" t="str">
        <f>IFERROR(INDEX(Table!I:O,MATCH(K1283,Table!I:I,0),5),"")</f>
        <v/>
      </c>
      <c r="P1283" s="32" t="str">
        <f>IFERROR(INDEX(Table!I:O,MATCH(K1283,Table!I:I,0),6),"")</f>
        <v/>
      </c>
      <c r="Q1283" s="89" t="str">
        <f t="shared" si="57"/>
        <v/>
      </c>
      <c r="R1283" s="89" t="str">
        <f t="shared" si="58"/>
        <v/>
      </c>
      <c r="S1283" s="82"/>
      <c r="U1283" s="37" t="e">
        <f t="shared" si="59"/>
        <v>#VALUE!</v>
      </c>
    </row>
    <row r="1284" spans="1:21" x14ac:dyDescent="0.25">
      <c r="A1284" s="31" t="str">
        <f>IF(Table!A1284 = "","",Table!A1284)</f>
        <v/>
      </c>
      <c r="B1284" s="31" t="str">
        <f>IF(Table!B1284 = "","",Table!B1284)</f>
        <v/>
      </c>
      <c r="C1284" s="31" t="str">
        <f>IF(Table!C1284 = "","",Table!C1284)</f>
        <v/>
      </c>
      <c r="D1284" s="32" t="str">
        <f>IF(Table!D1284 = "","",Table!D1284)</f>
        <v/>
      </c>
      <c r="E1284" s="32" t="str">
        <f>IF(Table!E1284 = "","",Table!E1284)</f>
        <v/>
      </c>
      <c r="F1284" s="32" t="str">
        <f>IF(Table!F1284 = "","",Table!F1284)</f>
        <v/>
      </c>
      <c r="G1284" s="91"/>
      <c r="K1284" s="31" t="str">
        <f>IFERROR(VLOOKUP(A1284,Table!$I$4:$O$3000,1,TRUE),"")</f>
        <v/>
      </c>
      <c r="L1284" s="31" t="str">
        <f>IFERROR(INDEX(Table!I:O,MATCH(K1284,Table!I:I,0),2),"")</f>
        <v/>
      </c>
      <c r="M1284" s="31" t="str">
        <f>IFERROR(INDEX(Table!I:O,MATCH(K1284,Table!I:I,0),3),"")</f>
        <v/>
      </c>
      <c r="N1284" s="32" t="str">
        <f>IFERROR(INDEX(Table!I:O,MATCH(K1284,Table!I:I,0),4),"")</f>
        <v/>
      </c>
      <c r="O1284" s="32" t="str">
        <f>IFERROR(INDEX(Table!I:O,MATCH(K1284,Table!I:I,0),5),"")</f>
        <v/>
      </c>
      <c r="P1284" s="32" t="str">
        <f>IFERROR(INDEX(Table!I:O,MATCH(K1284,Table!I:I,0),6),"")</f>
        <v/>
      </c>
      <c r="Q1284" s="89" t="str">
        <f t="shared" si="57"/>
        <v/>
      </c>
      <c r="R1284" s="89" t="str">
        <f t="shared" si="58"/>
        <v/>
      </c>
      <c r="S1284" s="82"/>
      <c r="U1284" s="37" t="e">
        <f t="shared" si="59"/>
        <v>#VALUE!</v>
      </c>
    </row>
    <row r="1285" spans="1:21" x14ac:dyDescent="0.25">
      <c r="A1285" s="31" t="str">
        <f>IF(Table!A1285 = "","",Table!A1285)</f>
        <v/>
      </c>
      <c r="B1285" s="31" t="str">
        <f>IF(Table!B1285 = "","",Table!B1285)</f>
        <v/>
      </c>
      <c r="C1285" s="31" t="str">
        <f>IF(Table!C1285 = "","",Table!C1285)</f>
        <v/>
      </c>
      <c r="D1285" s="32" t="str">
        <f>IF(Table!D1285 = "","",Table!D1285)</f>
        <v/>
      </c>
      <c r="E1285" s="32" t="str">
        <f>IF(Table!E1285 = "","",Table!E1285)</f>
        <v/>
      </c>
      <c r="F1285" s="32" t="str">
        <f>IF(Table!F1285 = "","",Table!F1285)</f>
        <v/>
      </c>
      <c r="G1285" s="91"/>
      <c r="K1285" s="31" t="str">
        <f>IFERROR(VLOOKUP(A1285,Table!$I$4:$O$3000,1,TRUE),"")</f>
        <v/>
      </c>
      <c r="L1285" s="31" t="str">
        <f>IFERROR(INDEX(Table!I:O,MATCH(K1285,Table!I:I,0),2),"")</f>
        <v/>
      </c>
      <c r="M1285" s="31" t="str">
        <f>IFERROR(INDEX(Table!I:O,MATCH(K1285,Table!I:I,0),3),"")</f>
        <v/>
      </c>
      <c r="N1285" s="32" t="str">
        <f>IFERROR(INDEX(Table!I:O,MATCH(K1285,Table!I:I,0),4),"")</f>
        <v/>
      </c>
      <c r="O1285" s="32" t="str">
        <f>IFERROR(INDEX(Table!I:O,MATCH(K1285,Table!I:I,0),5),"")</f>
        <v/>
      </c>
      <c r="P1285" s="32" t="str">
        <f>IFERROR(INDEX(Table!I:O,MATCH(K1285,Table!I:I,0),6),"")</f>
        <v/>
      </c>
      <c r="Q1285" s="89" t="str">
        <f t="shared" si="57"/>
        <v/>
      </c>
      <c r="R1285" s="89" t="str">
        <f t="shared" si="58"/>
        <v/>
      </c>
      <c r="S1285" s="82"/>
      <c r="U1285" s="37" t="e">
        <f t="shared" si="59"/>
        <v>#VALUE!</v>
      </c>
    </row>
    <row r="1286" spans="1:21" x14ac:dyDescent="0.25">
      <c r="A1286" s="31" t="str">
        <f>IF(Table!A1286 = "","",Table!A1286)</f>
        <v/>
      </c>
      <c r="B1286" s="31" t="str">
        <f>IF(Table!B1286 = "","",Table!B1286)</f>
        <v/>
      </c>
      <c r="C1286" s="31" t="str">
        <f>IF(Table!C1286 = "","",Table!C1286)</f>
        <v/>
      </c>
      <c r="D1286" s="32" t="str">
        <f>IF(Table!D1286 = "","",Table!D1286)</f>
        <v/>
      </c>
      <c r="E1286" s="32" t="str">
        <f>IF(Table!E1286 = "","",Table!E1286)</f>
        <v/>
      </c>
      <c r="F1286" s="32" t="str">
        <f>IF(Table!F1286 = "","",Table!F1286)</f>
        <v/>
      </c>
      <c r="G1286" s="91"/>
      <c r="K1286" s="31" t="str">
        <f>IFERROR(VLOOKUP(A1286,Table!$I$4:$O$3000,1,TRUE),"")</f>
        <v/>
      </c>
      <c r="L1286" s="31" t="str">
        <f>IFERROR(INDEX(Table!I:O,MATCH(K1286,Table!I:I,0),2),"")</f>
        <v/>
      </c>
      <c r="M1286" s="31" t="str">
        <f>IFERROR(INDEX(Table!I:O,MATCH(K1286,Table!I:I,0),3),"")</f>
        <v/>
      </c>
      <c r="N1286" s="32" t="str">
        <f>IFERROR(INDEX(Table!I:O,MATCH(K1286,Table!I:I,0),4),"")</f>
        <v/>
      </c>
      <c r="O1286" s="32" t="str">
        <f>IFERROR(INDEX(Table!I:O,MATCH(K1286,Table!I:I,0),5),"")</f>
        <v/>
      </c>
      <c r="P1286" s="32" t="str">
        <f>IFERROR(INDEX(Table!I:O,MATCH(K1286,Table!I:I,0),6),"")</f>
        <v/>
      </c>
      <c r="Q1286" s="89" t="str">
        <f t="shared" ref="Q1286:Q1349" si="60">IFERROR(L1286-B1286,"")</f>
        <v/>
      </c>
      <c r="R1286" s="89" t="str">
        <f t="shared" ref="R1286:R1349" si="61">IFERROR(M1286-C1286,"")</f>
        <v/>
      </c>
      <c r="S1286" s="82"/>
      <c r="U1286" s="37" t="e">
        <f t="shared" ref="U1286:U1349" si="62">K1286-K1285</f>
        <v>#VALUE!</v>
      </c>
    </row>
    <row r="1287" spans="1:21" x14ac:dyDescent="0.25">
      <c r="A1287" s="31" t="str">
        <f>IF(Table!A1287 = "","",Table!A1287)</f>
        <v/>
      </c>
      <c r="B1287" s="31" t="str">
        <f>IF(Table!B1287 = "","",Table!B1287)</f>
        <v/>
      </c>
      <c r="C1287" s="31" t="str">
        <f>IF(Table!C1287 = "","",Table!C1287)</f>
        <v/>
      </c>
      <c r="D1287" s="32" t="str">
        <f>IF(Table!D1287 = "","",Table!D1287)</f>
        <v/>
      </c>
      <c r="E1287" s="32" t="str">
        <f>IF(Table!E1287 = "","",Table!E1287)</f>
        <v/>
      </c>
      <c r="F1287" s="32" t="str">
        <f>IF(Table!F1287 = "","",Table!F1287)</f>
        <v/>
      </c>
      <c r="G1287" s="91"/>
      <c r="K1287" s="31" t="str">
        <f>IFERROR(VLOOKUP(A1287,Table!$I$4:$O$3000,1,TRUE),"")</f>
        <v/>
      </c>
      <c r="L1287" s="31" t="str">
        <f>IFERROR(INDEX(Table!I:O,MATCH(K1287,Table!I:I,0),2),"")</f>
        <v/>
      </c>
      <c r="M1287" s="31" t="str">
        <f>IFERROR(INDEX(Table!I:O,MATCH(K1287,Table!I:I,0),3),"")</f>
        <v/>
      </c>
      <c r="N1287" s="32" t="str">
        <f>IFERROR(INDEX(Table!I:O,MATCH(K1287,Table!I:I,0),4),"")</f>
        <v/>
      </c>
      <c r="O1287" s="32" t="str">
        <f>IFERROR(INDEX(Table!I:O,MATCH(K1287,Table!I:I,0),5),"")</f>
        <v/>
      </c>
      <c r="P1287" s="32" t="str">
        <f>IFERROR(INDEX(Table!I:O,MATCH(K1287,Table!I:I,0),6),"")</f>
        <v/>
      </c>
      <c r="Q1287" s="89" t="str">
        <f t="shared" si="60"/>
        <v/>
      </c>
      <c r="R1287" s="89" t="str">
        <f t="shared" si="61"/>
        <v/>
      </c>
      <c r="S1287" s="82"/>
      <c r="U1287" s="37" t="e">
        <f t="shared" si="62"/>
        <v>#VALUE!</v>
      </c>
    </row>
    <row r="1288" spans="1:21" x14ac:dyDescent="0.25">
      <c r="A1288" s="31" t="str">
        <f>IF(Table!A1288 = "","",Table!A1288)</f>
        <v/>
      </c>
      <c r="B1288" s="31" t="str">
        <f>IF(Table!B1288 = "","",Table!B1288)</f>
        <v/>
      </c>
      <c r="C1288" s="31" t="str">
        <f>IF(Table!C1288 = "","",Table!C1288)</f>
        <v/>
      </c>
      <c r="D1288" s="32" t="str">
        <f>IF(Table!D1288 = "","",Table!D1288)</f>
        <v/>
      </c>
      <c r="E1288" s="32" t="str">
        <f>IF(Table!E1288 = "","",Table!E1288)</f>
        <v/>
      </c>
      <c r="F1288" s="32" t="str">
        <f>IF(Table!F1288 = "","",Table!F1288)</f>
        <v/>
      </c>
      <c r="G1288" s="91"/>
      <c r="K1288" s="31" t="str">
        <f>IFERROR(VLOOKUP(A1288,Table!$I$4:$O$3000,1,TRUE),"")</f>
        <v/>
      </c>
      <c r="L1288" s="31" t="str">
        <f>IFERROR(INDEX(Table!I:O,MATCH(K1288,Table!I:I,0),2),"")</f>
        <v/>
      </c>
      <c r="M1288" s="31" t="str">
        <f>IFERROR(INDEX(Table!I:O,MATCH(K1288,Table!I:I,0),3),"")</f>
        <v/>
      </c>
      <c r="N1288" s="32" t="str">
        <f>IFERROR(INDEX(Table!I:O,MATCH(K1288,Table!I:I,0),4),"")</f>
        <v/>
      </c>
      <c r="O1288" s="32" t="str">
        <f>IFERROR(INDEX(Table!I:O,MATCH(K1288,Table!I:I,0),5),"")</f>
        <v/>
      </c>
      <c r="P1288" s="32" t="str">
        <f>IFERROR(INDEX(Table!I:O,MATCH(K1288,Table!I:I,0),6),"")</f>
        <v/>
      </c>
      <c r="Q1288" s="89" t="str">
        <f t="shared" si="60"/>
        <v/>
      </c>
      <c r="R1288" s="89" t="str">
        <f t="shared" si="61"/>
        <v/>
      </c>
      <c r="S1288" s="82"/>
      <c r="U1288" s="37" t="e">
        <f t="shared" si="62"/>
        <v>#VALUE!</v>
      </c>
    </row>
    <row r="1289" spans="1:21" x14ac:dyDescent="0.25">
      <c r="A1289" s="31" t="str">
        <f>IF(Table!A1289 = "","",Table!A1289)</f>
        <v/>
      </c>
      <c r="B1289" s="31" t="str">
        <f>IF(Table!B1289 = "","",Table!B1289)</f>
        <v/>
      </c>
      <c r="C1289" s="31" t="str">
        <f>IF(Table!C1289 = "","",Table!C1289)</f>
        <v/>
      </c>
      <c r="D1289" s="32" t="str">
        <f>IF(Table!D1289 = "","",Table!D1289)</f>
        <v/>
      </c>
      <c r="E1289" s="32" t="str">
        <f>IF(Table!E1289 = "","",Table!E1289)</f>
        <v/>
      </c>
      <c r="F1289" s="32" t="str">
        <f>IF(Table!F1289 = "","",Table!F1289)</f>
        <v/>
      </c>
      <c r="G1289" s="91"/>
      <c r="K1289" s="31" t="str">
        <f>IFERROR(VLOOKUP(A1289,Table!$I$4:$O$3000,1,TRUE),"")</f>
        <v/>
      </c>
      <c r="L1289" s="31" t="str">
        <f>IFERROR(INDEX(Table!I:O,MATCH(K1289,Table!I:I,0),2),"")</f>
        <v/>
      </c>
      <c r="M1289" s="31" t="str">
        <f>IFERROR(INDEX(Table!I:O,MATCH(K1289,Table!I:I,0),3),"")</f>
        <v/>
      </c>
      <c r="N1289" s="32" t="str">
        <f>IFERROR(INDEX(Table!I:O,MATCH(K1289,Table!I:I,0),4),"")</f>
        <v/>
      </c>
      <c r="O1289" s="32" t="str">
        <f>IFERROR(INDEX(Table!I:O,MATCH(K1289,Table!I:I,0),5),"")</f>
        <v/>
      </c>
      <c r="P1289" s="32" t="str">
        <f>IFERROR(INDEX(Table!I:O,MATCH(K1289,Table!I:I,0),6),"")</f>
        <v/>
      </c>
      <c r="Q1289" s="89" t="str">
        <f t="shared" si="60"/>
        <v/>
      </c>
      <c r="R1289" s="89" t="str">
        <f t="shared" si="61"/>
        <v/>
      </c>
      <c r="S1289" s="82"/>
      <c r="U1289" s="37" t="e">
        <f t="shared" si="62"/>
        <v>#VALUE!</v>
      </c>
    </row>
    <row r="1290" spans="1:21" x14ac:dyDescent="0.25">
      <c r="A1290" s="31" t="str">
        <f>IF(Table!A1290 = "","",Table!A1290)</f>
        <v/>
      </c>
      <c r="B1290" s="31" t="str">
        <f>IF(Table!B1290 = "","",Table!B1290)</f>
        <v/>
      </c>
      <c r="C1290" s="31" t="str">
        <f>IF(Table!C1290 = "","",Table!C1290)</f>
        <v/>
      </c>
      <c r="D1290" s="32" t="str">
        <f>IF(Table!D1290 = "","",Table!D1290)</f>
        <v/>
      </c>
      <c r="E1290" s="32" t="str">
        <f>IF(Table!E1290 = "","",Table!E1290)</f>
        <v/>
      </c>
      <c r="F1290" s="32" t="str">
        <f>IF(Table!F1290 = "","",Table!F1290)</f>
        <v/>
      </c>
      <c r="G1290" s="91"/>
      <c r="K1290" s="31" t="str">
        <f>IFERROR(VLOOKUP(A1290,Table!$I$4:$O$3000,1,TRUE),"")</f>
        <v/>
      </c>
      <c r="L1290" s="31" t="str">
        <f>IFERROR(INDEX(Table!I:O,MATCH(K1290,Table!I:I,0),2),"")</f>
        <v/>
      </c>
      <c r="M1290" s="31" t="str">
        <f>IFERROR(INDEX(Table!I:O,MATCH(K1290,Table!I:I,0),3),"")</f>
        <v/>
      </c>
      <c r="N1290" s="32" t="str">
        <f>IFERROR(INDEX(Table!I:O,MATCH(K1290,Table!I:I,0),4),"")</f>
        <v/>
      </c>
      <c r="O1290" s="32" t="str">
        <f>IFERROR(INDEX(Table!I:O,MATCH(K1290,Table!I:I,0),5),"")</f>
        <v/>
      </c>
      <c r="P1290" s="32" t="str">
        <f>IFERROR(INDEX(Table!I:O,MATCH(K1290,Table!I:I,0),6),"")</f>
        <v/>
      </c>
      <c r="Q1290" s="89" t="str">
        <f t="shared" si="60"/>
        <v/>
      </c>
      <c r="R1290" s="89" t="str">
        <f t="shared" si="61"/>
        <v/>
      </c>
      <c r="S1290" s="82"/>
      <c r="U1290" s="37" t="e">
        <f t="shared" si="62"/>
        <v>#VALUE!</v>
      </c>
    </row>
    <row r="1291" spans="1:21" x14ac:dyDescent="0.25">
      <c r="A1291" s="31" t="str">
        <f>IF(Table!A1291 = "","",Table!A1291)</f>
        <v/>
      </c>
      <c r="B1291" s="31" t="str">
        <f>IF(Table!B1291 = "","",Table!B1291)</f>
        <v/>
      </c>
      <c r="C1291" s="31" t="str">
        <f>IF(Table!C1291 = "","",Table!C1291)</f>
        <v/>
      </c>
      <c r="D1291" s="32" t="str">
        <f>IF(Table!D1291 = "","",Table!D1291)</f>
        <v/>
      </c>
      <c r="E1291" s="32" t="str">
        <f>IF(Table!E1291 = "","",Table!E1291)</f>
        <v/>
      </c>
      <c r="F1291" s="32" t="str">
        <f>IF(Table!F1291 = "","",Table!F1291)</f>
        <v/>
      </c>
      <c r="G1291" s="91"/>
      <c r="K1291" s="31" t="str">
        <f>IFERROR(VLOOKUP(A1291,Table!$I$4:$O$3000,1,TRUE),"")</f>
        <v/>
      </c>
      <c r="L1291" s="31" t="str">
        <f>IFERROR(INDEX(Table!I:O,MATCH(K1291,Table!I:I,0),2),"")</f>
        <v/>
      </c>
      <c r="M1291" s="31" t="str">
        <f>IFERROR(INDEX(Table!I:O,MATCH(K1291,Table!I:I,0),3),"")</f>
        <v/>
      </c>
      <c r="N1291" s="32" t="str">
        <f>IFERROR(INDEX(Table!I:O,MATCH(K1291,Table!I:I,0),4),"")</f>
        <v/>
      </c>
      <c r="O1291" s="32" t="str">
        <f>IFERROR(INDEX(Table!I:O,MATCH(K1291,Table!I:I,0),5),"")</f>
        <v/>
      </c>
      <c r="P1291" s="32" t="str">
        <f>IFERROR(INDEX(Table!I:O,MATCH(K1291,Table!I:I,0),6),"")</f>
        <v/>
      </c>
      <c r="Q1291" s="89" t="str">
        <f t="shared" si="60"/>
        <v/>
      </c>
      <c r="R1291" s="89" t="str">
        <f t="shared" si="61"/>
        <v/>
      </c>
      <c r="S1291" s="82"/>
      <c r="U1291" s="37" t="e">
        <f t="shared" si="62"/>
        <v>#VALUE!</v>
      </c>
    </row>
    <row r="1292" spans="1:21" x14ac:dyDescent="0.25">
      <c r="A1292" s="31" t="str">
        <f>IF(Table!A1292 = "","",Table!A1292)</f>
        <v/>
      </c>
      <c r="B1292" s="31" t="str">
        <f>IF(Table!B1292 = "","",Table!B1292)</f>
        <v/>
      </c>
      <c r="C1292" s="31" t="str">
        <f>IF(Table!C1292 = "","",Table!C1292)</f>
        <v/>
      </c>
      <c r="D1292" s="32" t="str">
        <f>IF(Table!D1292 = "","",Table!D1292)</f>
        <v/>
      </c>
      <c r="E1292" s="32" t="str">
        <f>IF(Table!E1292 = "","",Table!E1292)</f>
        <v/>
      </c>
      <c r="F1292" s="32" t="str">
        <f>IF(Table!F1292 = "","",Table!F1292)</f>
        <v/>
      </c>
      <c r="G1292" s="91"/>
      <c r="K1292" s="31" t="str">
        <f>IFERROR(VLOOKUP(A1292,Table!$I$4:$O$3000,1,TRUE),"")</f>
        <v/>
      </c>
      <c r="L1292" s="31" t="str">
        <f>IFERROR(INDEX(Table!I:O,MATCH(K1292,Table!I:I,0),2),"")</f>
        <v/>
      </c>
      <c r="M1292" s="31" t="str">
        <f>IFERROR(INDEX(Table!I:O,MATCH(K1292,Table!I:I,0),3),"")</f>
        <v/>
      </c>
      <c r="N1292" s="32" t="str">
        <f>IFERROR(INDEX(Table!I:O,MATCH(K1292,Table!I:I,0),4),"")</f>
        <v/>
      </c>
      <c r="O1292" s="32" t="str">
        <f>IFERROR(INDEX(Table!I:O,MATCH(K1292,Table!I:I,0),5),"")</f>
        <v/>
      </c>
      <c r="P1292" s="32" t="str">
        <f>IFERROR(INDEX(Table!I:O,MATCH(K1292,Table!I:I,0),6),"")</f>
        <v/>
      </c>
      <c r="Q1292" s="89" t="str">
        <f t="shared" si="60"/>
        <v/>
      </c>
      <c r="R1292" s="89" t="str">
        <f t="shared" si="61"/>
        <v/>
      </c>
      <c r="S1292" s="82"/>
      <c r="U1292" s="37" t="e">
        <f t="shared" si="62"/>
        <v>#VALUE!</v>
      </c>
    </row>
    <row r="1293" spans="1:21" x14ac:dyDescent="0.25">
      <c r="A1293" s="31" t="str">
        <f>IF(Table!A1293 = "","",Table!A1293)</f>
        <v/>
      </c>
      <c r="B1293" s="31" t="str">
        <f>IF(Table!B1293 = "","",Table!B1293)</f>
        <v/>
      </c>
      <c r="C1293" s="31" t="str">
        <f>IF(Table!C1293 = "","",Table!C1293)</f>
        <v/>
      </c>
      <c r="D1293" s="32" t="str">
        <f>IF(Table!D1293 = "","",Table!D1293)</f>
        <v/>
      </c>
      <c r="E1293" s="32" t="str">
        <f>IF(Table!E1293 = "","",Table!E1293)</f>
        <v/>
      </c>
      <c r="F1293" s="32" t="str">
        <f>IF(Table!F1293 = "","",Table!F1293)</f>
        <v/>
      </c>
      <c r="G1293" s="91"/>
      <c r="K1293" s="31" t="str">
        <f>IFERROR(VLOOKUP(A1293,Table!$I$4:$O$3000,1,TRUE),"")</f>
        <v/>
      </c>
      <c r="L1293" s="31" t="str">
        <f>IFERROR(INDEX(Table!I:O,MATCH(K1293,Table!I:I,0),2),"")</f>
        <v/>
      </c>
      <c r="M1293" s="31" t="str">
        <f>IFERROR(INDEX(Table!I:O,MATCH(K1293,Table!I:I,0),3),"")</f>
        <v/>
      </c>
      <c r="N1293" s="32" t="str">
        <f>IFERROR(INDEX(Table!I:O,MATCH(K1293,Table!I:I,0),4),"")</f>
        <v/>
      </c>
      <c r="O1293" s="32" t="str">
        <f>IFERROR(INDEX(Table!I:O,MATCH(K1293,Table!I:I,0),5),"")</f>
        <v/>
      </c>
      <c r="P1293" s="32" t="str">
        <f>IFERROR(INDEX(Table!I:O,MATCH(K1293,Table!I:I,0),6),"")</f>
        <v/>
      </c>
      <c r="Q1293" s="89" t="str">
        <f t="shared" si="60"/>
        <v/>
      </c>
      <c r="R1293" s="89" t="str">
        <f t="shared" si="61"/>
        <v/>
      </c>
      <c r="S1293" s="82"/>
      <c r="U1293" s="37" t="e">
        <f t="shared" si="62"/>
        <v>#VALUE!</v>
      </c>
    </row>
    <row r="1294" spans="1:21" x14ac:dyDescent="0.25">
      <c r="A1294" s="31" t="str">
        <f>IF(Table!A1294 = "","",Table!A1294)</f>
        <v/>
      </c>
      <c r="B1294" s="31" t="str">
        <f>IF(Table!B1294 = "","",Table!B1294)</f>
        <v/>
      </c>
      <c r="C1294" s="31" t="str">
        <f>IF(Table!C1294 = "","",Table!C1294)</f>
        <v/>
      </c>
      <c r="D1294" s="32" t="str">
        <f>IF(Table!D1294 = "","",Table!D1294)</f>
        <v/>
      </c>
      <c r="E1294" s="32" t="str">
        <f>IF(Table!E1294 = "","",Table!E1294)</f>
        <v/>
      </c>
      <c r="F1294" s="32" t="str">
        <f>IF(Table!F1294 = "","",Table!F1294)</f>
        <v/>
      </c>
      <c r="G1294" s="91"/>
      <c r="K1294" s="31" t="str">
        <f>IFERROR(VLOOKUP(A1294,Table!$I$4:$O$3000,1,TRUE),"")</f>
        <v/>
      </c>
      <c r="L1294" s="31" t="str">
        <f>IFERROR(INDEX(Table!I:O,MATCH(K1294,Table!I:I,0),2),"")</f>
        <v/>
      </c>
      <c r="M1294" s="31" t="str">
        <f>IFERROR(INDEX(Table!I:O,MATCH(K1294,Table!I:I,0),3),"")</f>
        <v/>
      </c>
      <c r="N1294" s="32" t="str">
        <f>IFERROR(INDEX(Table!I:O,MATCH(K1294,Table!I:I,0),4),"")</f>
        <v/>
      </c>
      <c r="O1294" s="32" t="str">
        <f>IFERROR(INDEX(Table!I:O,MATCH(K1294,Table!I:I,0),5),"")</f>
        <v/>
      </c>
      <c r="P1294" s="32" t="str">
        <f>IFERROR(INDEX(Table!I:O,MATCH(K1294,Table!I:I,0),6),"")</f>
        <v/>
      </c>
      <c r="Q1294" s="89" t="str">
        <f t="shared" si="60"/>
        <v/>
      </c>
      <c r="R1294" s="89" t="str">
        <f t="shared" si="61"/>
        <v/>
      </c>
      <c r="S1294" s="82"/>
      <c r="U1294" s="37" t="e">
        <f t="shared" si="62"/>
        <v>#VALUE!</v>
      </c>
    </row>
    <row r="1295" spans="1:21" x14ac:dyDescent="0.25">
      <c r="A1295" s="31" t="str">
        <f>IF(Table!A1295 = "","",Table!A1295)</f>
        <v/>
      </c>
      <c r="B1295" s="31" t="str">
        <f>IF(Table!B1295 = "","",Table!B1295)</f>
        <v/>
      </c>
      <c r="C1295" s="31" t="str">
        <f>IF(Table!C1295 = "","",Table!C1295)</f>
        <v/>
      </c>
      <c r="D1295" s="32" t="str">
        <f>IF(Table!D1295 = "","",Table!D1295)</f>
        <v/>
      </c>
      <c r="E1295" s="32" t="str">
        <f>IF(Table!E1295 = "","",Table!E1295)</f>
        <v/>
      </c>
      <c r="F1295" s="32" t="str">
        <f>IF(Table!F1295 = "","",Table!F1295)</f>
        <v/>
      </c>
      <c r="G1295" s="91"/>
      <c r="K1295" s="31" t="str">
        <f>IFERROR(VLOOKUP(A1295,Table!$I$4:$O$3000,1,TRUE),"")</f>
        <v/>
      </c>
      <c r="L1295" s="31" t="str">
        <f>IFERROR(INDEX(Table!I:O,MATCH(K1295,Table!I:I,0),2),"")</f>
        <v/>
      </c>
      <c r="M1295" s="31" t="str">
        <f>IFERROR(INDEX(Table!I:O,MATCH(K1295,Table!I:I,0),3),"")</f>
        <v/>
      </c>
      <c r="N1295" s="32" t="str">
        <f>IFERROR(INDEX(Table!I:O,MATCH(K1295,Table!I:I,0),4),"")</f>
        <v/>
      </c>
      <c r="O1295" s="32" t="str">
        <f>IFERROR(INDEX(Table!I:O,MATCH(K1295,Table!I:I,0),5),"")</f>
        <v/>
      </c>
      <c r="P1295" s="32" t="str">
        <f>IFERROR(INDEX(Table!I:O,MATCH(K1295,Table!I:I,0),6),"")</f>
        <v/>
      </c>
      <c r="Q1295" s="89" t="str">
        <f t="shared" si="60"/>
        <v/>
      </c>
      <c r="R1295" s="89" t="str">
        <f t="shared" si="61"/>
        <v/>
      </c>
      <c r="S1295" s="82"/>
      <c r="U1295" s="37" t="e">
        <f t="shared" si="62"/>
        <v>#VALUE!</v>
      </c>
    </row>
    <row r="1296" spans="1:21" x14ac:dyDescent="0.25">
      <c r="A1296" s="31" t="str">
        <f>IF(Table!A1296 = "","",Table!A1296)</f>
        <v/>
      </c>
      <c r="B1296" s="31" t="str">
        <f>IF(Table!B1296 = "","",Table!B1296)</f>
        <v/>
      </c>
      <c r="C1296" s="31" t="str">
        <f>IF(Table!C1296 = "","",Table!C1296)</f>
        <v/>
      </c>
      <c r="D1296" s="32" t="str">
        <f>IF(Table!D1296 = "","",Table!D1296)</f>
        <v/>
      </c>
      <c r="E1296" s="32" t="str">
        <f>IF(Table!E1296 = "","",Table!E1296)</f>
        <v/>
      </c>
      <c r="F1296" s="32" t="str">
        <f>IF(Table!F1296 = "","",Table!F1296)</f>
        <v/>
      </c>
      <c r="G1296" s="91"/>
      <c r="K1296" s="31" t="str">
        <f>IFERROR(VLOOKUP(A1296,Table!$I$4:$O$3000,1,TRUE),"")</f>
        <v/>
      </c>
      <c r="L1296" s="31" t="str">
        <f>IFERROR(INDEX(Table!I:O,MATCH(K1296,Table!I:I,0),2),"")</f>
        <v/>
      </c>
      <c r="M1296" s="31" t="str">
        <f>IFERROR(INDEX(Table!I:O,MATCH(K1296,Table!I:I,0),3),"")</f>
        <v/>
      </c>
      <c r="N1296" s="32" t="str">
        <f>IFERROR(INDEX(Table!I:O,MATCH(K1296,Table!I:I,0),4),"")</f>
        <v/>
      </c>
      <c r="O1296" s="32" t="str">
        <f>IFERROR(INDEX(Table!I:O,MATCH(K1296,Table!I:I,0),5),"")</f>
        <v/>
      </c>
      <c r="P1296" s="32" t="str">
        <f>IFERROR(INDEX(Table!I:O,MATCH(K1296,Table!I:I,0),6),"")</f>
        <v/>
      </c>
      <c r="Q1296" s="89" t="str">
        <f t="shared" si="60"/>
        <v/>
      </c>
      <c r="R1296" s="89" t="str">
        <f t="shared" si="61"/>
        <v/>
      </c>
      <c r="S1296" s="82"/>
      <c r="U1296" s="37" t="e">
        <f t="shared" si="62"/>
        <v>#VALUE!</v>
      </c>
    </row>
    <row r="1297" spans="1:21" x14ac:dyDescent="0.25">
      <c r="A1297" s="31" t="str">
        <f>IF(Table!A1297 = "","",Table!A1297)</f>
        <v/>
      </c>
      <c r="B1297" s="31" t="str">
        <f>IF(Table!B1297 = "","",Table!B1297)</f>
        <v/>
      </c>
      <c r="C1297" s="31" t="str">
        <f>IF(Table!C1297 = "","",Table!C1297)</f>
        <v/>
      </c>
      <c r="D1297" s="32" t="str">
        <f>IF(Table!D1297 = "","",Table!D1297)</f>
        <v/>
      </c>
      <c r="E1297" s="32" t="str">
        <f>IF(Table!E1297 = "","",Table!E1297)</f>
        <v/>
      </c>
      <c r="F1297" s="32" t="str">
        <f>IF(Table!F1297 = "","",Table!F1297)</f>
        <v/>
      </c>
      <c r="G1297" s="91"/>
      <c r="K1297" s="31" t="str">
        <f>IFERROR(VLOOKUP(A1297,Table!$I$4:$O$3000,1,TRUE),"")</f>
        <v/>
      </c>
      <c r="L1297" s="31" t="str">
        <f>IFERROR(INDEX(Table!I:O,MATCH(K1297,Table!I:I,0),2),"")</f>
        <v/>
      </c>
      <c r="M1297" s="31" t="str">
        <f>IFERROR(INDEX(Table!I:O,MATCH(K1297,Table!I:I,0),3),"")</f>
        <v/>
      </c>
      <c r="N1297" s="32" t="str">
        <f>IFERROR(INDEX(Table!I:O,MATCH(K1297,Table!I:I,0),4),"")</f>
        <v/>
      </c>
      <c r="O1297" s="32" t="str">
        <f>IFERROR(INDEX(Table!I:O,MATCH(K1297,Table!I:I,0),5),"")</f>
        <v/>
      </c>
      <c r="P1297" s="32" t="str">
        <f>IFERROR(INDEX(Table!I:O,MATCH(K1297,Table!I:I,0),6),"")</f>
        <v/>
      </c>
      <c r="Q1297" s="89" t="str">
        <f t="shared" si="60"/>
        <v/>
      </c>
      <c r="R1297" s="89" t="str">
        <f t="shared" si="61"/>
        <v/>
      </c>
      <c r="S1297" s="82"/>
      <c r="U1297" s="37" t="e">
        <f t="shared" si="62"/>
        <v>#VALUE!</v>
      </c>
    </row>
    <row r="1298" spans="1:21" x14ac:dyDescent="0.25">
      <c r="A1298" s="31" t="str">
        <f>IF(Table!A1298 = "","",Table!A1298)</f>
        <v/>
      </c>
      <c r="B1298" s="31" t="str">
        <f>IF(Table!B1298 = "","",Table!B1298)</f>
        <v/>
      </c>
      <c r="C1298" s="31" t="str">
        <f>IF(Table!C1298 = "","",Table!C1298)</f>
        <v/>
      </c>
      <c r="D1298" s="32" t="str">
        <f>IF(Table!D1298 = "","",Table!D1298)</f>
        <v/>
      </c>
      <c r="E1298" s="32" t="str">
        <f>IF(Table!E1298 = "","",Table!E1298)</f>
        <v/>
      </c>
      <c r="F1298" s="32" t="str">
        <f>IF(Table!F1298 = "","",Table!F1298)</f>
        <v/>
      </c>
      <c r="G1298" s="91"/>
      <c r="K1298" s="31" t="str">
        <f>IFERROR(VLOOKUP(A1298,Table!$I$4:$O$3000,1,TRUE),"")</f>
        <v/>
      </c>
      <c r="L1298" s="31" t="str">
        <f>IFERROR(INDEX(Table!I:O,MATCH(K1298,Table!I:I,0),2),"")</f>
        <v/>
      </c>
      <c r="M1298" s="31" t="str">
        <f>IFERROR(INDEX(Table!I:O,MATCH(K1298,Table!I:I,0),3),"")</f>
        <v/>
      </c>
      <c r="N1298" s="32" t="str">
        <f>IFERROR(INDEX(Table!I:O,MATCH(K1298,Table!I:I,0),4),"")</f>
        <v/>
      </c>
      <c r="O1298" s="32" t="str">
        <f>IFERROR(INDEX(Table!I:O,MATCH(K1298,Table!I:I,0),5),"")</f>
        <v/>
      </c>
      <c r="P1298" s="32" t="str">
        <f>IFERROR(INDEX(Table!I:O,MATCH(K1298,Table!I:I,0),6),"")</f>
        <v/>
      </c>
      <c r="Q1298" s="89" t="str">
        <f t="shared" si="60"/>
        <v/>
      </c>
      <c r="R1298" s="89" t="str">
        <f t="shared" si="61"/>
        <v/>
      </c>
      <c r="S1298" s="82"/>
      <c r="U1298" s="37" t="e">
        <f t="shared" si="62"/>
        <v>#VALUE!</v>
      </c>
    </row>
    <row r="1299" spans="1:21" x14ac:dyDescent="0.25">
      <c r="A1299" s="31" t="str">
        <f>IF(Table!A1299 = "","",Table!A1299)</f>
        <v/>
      </c>
      <c r="B1299" s="31" t="str">
        <f>IF(Table!B1299 = "","",Table!B1299)</f>
        <v/>
      </c>
      <c r="C1299" s="31" t="str">
        <f>IF(Table!C1299 = "","",Table!C1299)</f>
        <v/>
      </c>
      <c r="D1299" s="32" t="str">
        <f>IF(Table!D1299 = "","",Table!D1299)</f>
        <v/>
      </c>
      <c r="E1299" s="32" t="str">
        <f>IF(Table!E1299 = "","",Table!E1299)</f>
        <v/>
      </c>
      <c r="F1299" s="32" t="str">
        <f>IF(Table!F1299 = "","",Table!F1299)</f>
        <v/>
      </c>
      <c r="G1299" s="91"/>
      <c r="K1299" s="31" t="str">
        <f>IFERROR(VLOOKUP(A1299,Table!$I$4:$O$3000,1,TRUE),"")</f>
        <v/>
      </c>
      <c r="L1299" s="31" t="str">
        <f>IFERROR(INDEX(Table!I:O,MATCH(K1299,Table!I:I,0),2),"")</f>
        <v/>
      </c>
      <c r="M1299" s="31" t="str">
        <f>IFERROR(INDEX(Table!I:O,MATCH(K1299,Table!I:I,0),3),"")</f>
        <v/>
      </c>
      <c r="N1299" s="32" t="str">
        <f>IFERROR(INDEX(Table!I:O,MATCH(K1299,Table!I:I,0),4),"")</f>
        <v/>
      </c>
      <c r="O1299" s="32" t="str">
        <f>IFERROR(INDEX(Table!I:O,MATCH(K1299,Table!I:I,0),5),"")</f>
        <v/>
      </c>
      <c r="P1299" s="32" t="str">
        <f>IFERROR(INDEX(Table!I:O,MATCH(K1299,Table!I:I,0),6),"")</f>
        <v/>
      </c>
      <c r="Q1299" s="89" t="str">
        <f t="shared" si="60"/>
        <v/>
      </c>
      <c r="R1299" s="89" t="str">
        <f t="shared" si="61"/>
        <v/>
      </c>
      <c r="S1299" s="82"/>
      <c r="U1299" s="37" t="e">
        <f t="shared" si="62"/>
        <v>#VALUE!</v>
      </c>
    </row>
    <row r="1300" spans="1:21" x14ac:dyDescent="0.25">
      <c r="A1300" s="31" t="str">
        <f>IF(Table!A1300 = "","",Table!A1300)</f>
        <v/>
      </c>
      <c r="B1300" s="31" t="str">
        <f>IF(Table!B1300 = "","",Table!B1300)</f>
        <v/>
      </c>
      <c r="C1300" s="31" t="str">
        <f>IF(Table!C1300 = "","",Table!C1300)</f>
        <v/>
      </c>
      <c r="D1300" s="32" t="str">
        <f>IF(Table!D1300 = "","",Table!D1300)</f>
        <v/>
      </c>
      <c r="E1300" s="32" t="str">
        <f>IF(Table!E1300 = "","",Table!E1300)</f>
        <v/>
      </c>
      <c r="F1300" s="32" t="str">
        <f>IF(Table!F1300 = "","",Table!F1300)</f>
        <v/>
      </c>
      <c r="G1300" s="91"/>
      <c r="K1300" s="31" t="str">
        <f>IFERROR(VLOOKUP(A1300,Table!$I$4:$O$3000,1,TRUE),"")</f>
        <v/>
      </c>
      <c r="L1300" s="31" t="str">
        <f>IFERROR(INDEX(Table!I:O,MATCH(K1300,Table!I:I,0),2),"")</f>
        <v/>
      </c>
      <c r="M1300" s="31" t="str">
        <f>IFERROR(INDEX(Table!I:O,MATCH(K1300,Table!I:I,0),3),"")</f>
        <v/>
      </c>
      <c r="N1300" s="32" t="str">
        <f>IFERROR(INDEX(Table!I:O,MATCH(K1300,Table!I:I,0),4),"")</f>
        <v/>
      </c>
      <c r="O1300" s="32" t="str">
        <f>IFERROR(INDEX(Table!I:O,MATCH(K1300,Table!I:I,0),5),"")</f>
        <v/>
      </c>
      <c r="P1300" s="32" t="str">
        <f>IFERROR(INDEX(Table!I:O,MATCH(K1300,Table!I:I,0),6),"")</f>
        <v/>
      </c>
      <c r="Q1300" s="89" t="str">
        <f t="shared" si="60"/>
        <v/>
      </c>
      <c r="R1300" s="89" t="str">
        <f t="shared" si="61"/>
        <v/>
      </c>
      <c r="S1300" s="82"/>
      <c r="U1300" s="37" t="e">
        <f t="shared" si="62"/>
        <v>#VALUE!</v>
      </c>
    </row>
    <row r="1301" spans="1:21" x14ac:dyDescent="0.25">
      <c r="A1301" s="31" t="str">
        <f>IF(Table!A1301 = "","",Table!A1301)</f>
        <v/>
      </c>
      <c r="B1301" s="31" t="str">
        <f>IF(Table!B1301 = "","",Table!B1301)</f>
        <v/>
      </c>
      <c r="C1301" s="31" t="str">
        <f>IF(Table!C1301 = "","",Table!C1301)</f>
        <v/>
      </c>
      <c r="D1301" s="32" t="str">
        <f>IF(Table!D1301 = "","",Table!D1301)</f>
        <v/>
      </c>
      <c r="E1301" s="32" t="str">
        <f>IF(Table!E1301 = "","",Table!E1301)</f>
        <v/>
      </c>
      <c r="F1301" s="32" t="str">
        <f>IF(Table!F1301 = "","",Table!F1301)</f>
        <v/>
      </c>
      <c r="G1301" s="91"/>
      <c r="K1301" s="31" t="str">
        <f>IFERROR(VLOOKUP(A1301,Table!$I$4:$O$3000,1,TRUE),"")</f>
        <v/>
      </c>
      <c r="L1301" s="31" t="str">
        <f>IFERROR(INDEX(Table!I:O,MATCH(K1301,Table!I:I,0),2),"")</f>
        <v/>
      </c>
      <c r="M1301" s="31" t="str">
        <f>IFERROR(INDEX(Table!I:O,MATCH(K1301,Table!I:I,0),3),"")</f>
        <v/>
      </c>
      <c r="N1301" s="32" t="str">
        <f>IFERROR(INDEX(Table!I:O,MATCH(K1301,Table!I:I,0),4),"")</f>
        <v/>
      </c>
      <c r="O1301" s="32" t="str">
        <f>IFERROR(INDEX(Table!I:O,MATCH(K1301,Table!I:I,0),5),"")</f>
        <v/>
      </c>
      <c r="P1301" s="32" t="str">
        <f>IFERROR(INDEX(Table!I:O,MATCH(K1301,Table!I:I,0),6),"")</f>
        <v/>
      </c>
      <c r="Q1301" s="89" t="str">
        <f t="shared" si="60"/>
        <v/>
      </c>
      <c r="R1301" s="89" t="str">
        <f t="shared" si="61"/>
        <v/>
      </c>
      <c r="S1301" s="82"/>
      <c r="U1301" s="37" t="e">
        <f t="shared" si="62"/>
        <v>#VALUE!</v>
      </c>
    </row>
    <row r="1302" spans="1:21" x14ac:dyDescent="0.25">
      <c r="A1302" s="31" t="str">
        <f>IF(Table!A1302 = "","",Table!A1302)</f>
        <v/>
      </c>
      <c r="B1302" s="31" t="str">
        <f>IF(Table!B1302 = "","",Table!B1302)</f>
        <v/>
      </c>
      <c r="C1302" s="31" t="str">
        <f>IF(Table!C1302 = "","",Table!C1302)</f>
        <v/>
      </c>
      <c r="D1302" s="32" t="str">
        <f>IF(Table!D1302 = "","",Table!D1302)</f>
        <v/>
      </c>
      <c r="E1302" s="32" t="str">
        <f>IF(Table!E1302 = "","",Table!E1302)</f>
        <v/>
      </c>
      <c r="F1302" s="32" t="str">
        <f>IF(Table!F1302 = "","",Table!F1302)</f>
        <v/>
      </c>
      <c r="G1302" s="91"/>
      <c r="K1302" s="31" t="str">
        <f>IFERROR(VLOOKUP(A1302,Table!$I$4:$O$3000,1,TRUE),"")</f>
        <v/>
      </c>
      <c r="L1302" s="31" t="str">
        <f>IFERROR(INDEX(Table!I:O,MATCH(K1302,Table!I:I,0),2),"")</f>
        <v/>
      </c>
      <c r="M1302" s="31" t="str">
        <f>IFERROR(INDEX(Table!I:O,MATCH(K1302,Table!I:I,0),3),"")</f>
        <v/>
      </c>
      <c r="N1302" s="32" t="str">
        <f>IFERROR(INDEX(Table!I:O,MATCH(K1302,Table!I:I,0),4),"")</f>
        <v/>
      </c>
      <c r="O1302" s="32" t="str">
        <f>IFERROR(INDEX(Table!I:O,MATCH(K1302,Table!I:I,0),5),"")</f>
        <v/>
      </c>
      <c r="P1302" s="32" t="str">
        <f>IFERROR(INDEX(Table!I:O,MATCH(K1302,Table!I:I,0),6),"")</f>
        <v/>
      </c>
      <c r="Q1302" s="89" t="str">
        <f t="shared" si="60"/>
        <v/>
      </c>
      <c r="R1302" s="89" t="str">
        <f t="shared" si="61"/>
        <v/>
      </c>
      <c r="S1302" s="82"/>
      <c r="U1302" s="37" t="e">
        <f t="shared" si="62"/>
        <v>#VALUE!</v>
      </c>
    </row>
    <row r="1303" spans="1:21" x14ac:dyDescent="0.25">
      <c r="A1303" s="31" t="str">
        <f>IF(Table!A1303 = "","",Table!A1303)</f>
        <v/>
      </c>
      <c r="B1303" s="31" t="str">
        <f>IF(Table!B1303 = "","",Table!B1303)</f>
        <v/>
      </c>
      <c r="C1303" s="31" t="str">
        <f>IF(Table!C1303 = "","",Table!C1303)</f>
        <v/>
      </c>
      <c r="D1303" s="32" t="str">
        <f>IF(Table!D1303 = "","",Table!D1303)</f>
        <v/>
      </c>
      <c r="E1303" s="32" t="str">
        <f>IF(Table!E1303 = "","",Table!E1303)</f>
        <v/>
      </c>
      <c r="F1303" s="32" t="str">
        <f>IF(Table!F1303 = "","",Table!F1303)</f>
        <v/>
      </c>
      <c r="G1303" s="91"/>
      <c r="K1303" s="31" t="str">
        <f>IFERROR(VLOOKUP(A1303,Table!$I$4:$O$3000,1,TRUE),"")</f>
        <v/>
      </c>
      <c r="L1303" s="31" t="str">
        <f>IFERROR(INDEX(Table!I:O,MATCH(K1303,Table!I:I,0),2),"")</f>
        <v/>
      </c>
      <c r="M1303" s="31" t="str">
        <f>IFERROR(INDEX(Table!I:O,MATCH(K1303,Table!I:I,0),3),"")</f>
        <v/>
      </c>
      <c r="N1303" s="32" t="str">
        <f>IFERROR(INDEX(Table!I:O,MATCH(K1303,Table!I:I,0),4),"")</f>
        <v/>
      </c>
      <c r="O1303" s="32" t="str">
        <f>IFERROR(INDEX(Table!I:O,MATCH(K1303,Table!I:I,0),5),"")</f>
        <v/>
      </c>
      <c r="P1303" s="32" t="str">
        <f>IFERROR(INDEX(Table!I:O,MATCH(K1303,Table!I:I,0),6),"")</f>
        <v/>
      </c>
      <c r="Q1303" s="89" t="str">
        <f t="shared" si="60"/>
        <v/>
      </c>
      <c r="R1303" s="89" t="str">
        <f t="shared" si="61"/>
        <v/>
      </c>
      <c r="S1303" s="82"/>
      <c r="U1303" s="37" t="e">
        <f t="shared" si="62"/>
        <v>#VALUE!</v>
      </c>
    </row>
    <row r="1304" spans="1:21" x14ac:dyDescent="0.25">
      <c r="A1304" s="31" t="str">
        <f>IF(Table!A1304 = "","",Table!A1304)</f>
        <v/>
      </c>
      <c r="B1304" s="31" t="str">
        <f>IF(Table!B1304 = "","",Table!B1304)</f>
        <v/>
      </c>
      <c r="C1304" s="31" t="str">
        <f>IF(Table!C1304 = "","",Table!C1304)</f>
        <v/>
      </c>
      <c r="D1304" s="32" t="str">
        <f>IF(Table!D1304 = "","",Table!D1304)</f>
        <v/>
      </c>
      <c r="E1304" s="32" t="str">
        <f>IF(Table!E1304 = "","",Table!E1304)</f>
        <v/>
      </c>
      <c r="F1304" s="32" t="str">
        <f>IF(Table!F1304 = "","",Table!F1304)</f>
        <v/>
      </c>
      <c r="G1304" s="91"/>
      <c r="K1304" s="31" t="str">
        <f>IFERROR(VLOOKUP(A1304,Table!$I$4:$O$3000,1,TRUE),"")</f>
        <v/>
      </c>
      <c r="L1304" s="31" t="str">
        <f>IFERROR(INDEX(Table!I:O,MATCH(K1304,Table!I:I,0),2),"")</f>
        <v/>
      </c>
      <c r="M1304" s="31" t="str">
        <f>IFERROR(INDEX(Table!I:O,MATCH(K1304,Table!I:I,0),3),"")</f>
        <v/>
      </c>
      <c r="N1304" s="32" t="str">
        <f>IFERROR(INDEX(Table!I:O,MATCH(K1304,Table!I:I,0),4),"")</f>
        <v/>
      </c>
      <c r="O1304" s="32" t="str">
        <f>IFERROR(INDEX(Table!I:O,MATCH(K1304,Table!I:I,0),5),"")</f>
        <v/>
      </c>
      <c r="P1304" s="32" t="str">
        <f>IFERROR(INDEX(Table!I:O,MATCH(K1304,Table!I:I,0),6),"")</f>
        <v/>
      </c>
      <c r="Q1304" s="89" t="str">
        <f t="shared" si="60"/>
        <v/>
      </c>
      <c r="R1304" s="89" t="str">
        <f t="shared" si="61"/>
        <v/>
      </c>
      <c r="S1304" s="82"/>
      <c r="U1304" s="37" t="e">
        <f t="shared" si="62"/>
        <v>#VALUE!</v>
      </c>
    </row>
    <row r="1305" spans="1:21" x14ac:dyDescent="0.25">
      <c r="A1305" s="31" t="str">
        <f>IF(Table!A1305 = "","",Table!A1305)</f>
        <v/>
      </c>
      <c r="B1305" s="31" t="str">
        <f>IF(Table!B1305 = "","",Table!B1305)</f>
        <v/>
      </c>
      <c r="C1305" s="31" t="str">
        <f>IF(Table!C1305 = "","",Table!C1305)</f>
        <v/>
      </c>
      <c r="D1305" s="32" t="str">
        <f>IF(Table!D1305 = "","",Table!D1305)</f>
        <v/>
      </c>
      <c r="E1305" s="32" t="str">
        <f>IF(Table!E1305 = "","",Table!E1305)</f>
        <v/>
      </c>
      <c r="F1305" s="32" t="str">
        <f>IF(Table!F1305 = "","",Table!F1305)</f>
        <v/>
      </c>
      <c r="G1305" s="91"/>
      <c r="K1305" s="31" t="str">
        <f>IFERROR(VLOOKUP(A1305,Table!$I$4:$O$3000,1,TRUE),"")</f>
        <v/>
      </c>
      <c r="L1305" s="31" t="str">
        <f>IFERROR(INDEX(Table!I:O,MATCH(K1305,Table!I:I,0),2),"")</f>
        <v/>
      </c>
      <c r="M1305" s="31" t="str">
        <f>IFERROR(INDEX(Table!I:O,MATCH(K1305,Table!I:I,0),3),"")</f>
        <v/>
      </c>
      <c r="N1305" s="32" t="str">
        <f>IFERROR(INDEX(Table!I:O,MATCH(K1305,Table!I:I,0),4),"")</f>
        <v/>
      </c>
      <c r="O1305" s="32" t="str">
        <f>IFERROR(INDEX(Table!I:O,MATCH(K1305,Table!I:I,0),5),"")</f>
        <v/>
      </c>
      <c r="P1305" s="32" t="str">
        <f>IFERROR(INDEX(Table!I:O,MATCH(K1305,Table!I:I,0),6),"")</f>
        <v/>
      </c>
      <c r="Q1305" s="89" t="str">
        <f t="shared" si="60"/>
        <v/>
      </c>
      <c r="R1305" s="89" t="str">
        <f t="shared" si="61"/>
        <v/>
      </c>
      <c r="S1305" s="82"/>
      <c r="U1305" s="37" t="e">
        <f t="shared" si="62"/>
        <v>#VALUE!</v>
      </c>
    </row>
    <row r="1306" spans="1:21" x14ac:dyDescent="0.25">
      <c r="A1306" s="31" t="str">
        <f>IF(Table!A1306 = "","",Table!A1306)</f>
        <v/>
      </c>
      <c r="B1306" s="31" t="str">
        <f>IF(Table!B1306 = "","",Table!B1306)</f>
        <v/>
      </c>
      <c r="C1306" s="31" t="str">
        <f>IF(Table!C1306 = "","",Table!C1306)</f>
        <v/>
      </c>
      <c r="D1306" s="32" t="str">
        <f>IF(Table!D1306 = "","",Table!D1306)</f>
        <v/>
      </c>
      <c r="E1306" s="32" t="str">
        <f>IF(Table!E1306 = "","",Table!E1306)</f>
        <v/>
      </c>
      <c r="F1306" s="32" t="str">
        <f>IF(Table!F1306 = "","",Table!F1306)</f>
        <v/>
      </c>
      <c r="G1306" s="91"/>
      <c r="K1306" s="31" t="str">
        <f>IFERROR(VLOOKUP(A1306,Table!$I$4:$O$3000,1,TRUE),"")</f>
        <v/>
      </c>
      <c r="L1306" s="31" t="str">
        <f>IFERROR(INDEX(Table!I:O,MATCH(K1306,Table!I:I,0),2),"")</f>
        <v/>
      </c>
      <c r="M1306" s="31" t="str">
        <f>IFERROR(INDEX(Table!I:O,MATCH(K1306,Table!I:I,0),3),"")</f>
        <v/>
      </c>
      <c r="N1306" s="32" t="str">
        <f>IFERROR(INDEX(Table!I:O,MATCH(K1306,Table!I:I,0),4),"")</f>
        <v/>
      </c>
      <c r="O1306" s="32" t="str">
        <f>IFERROR(INDEX(Table!I:O,MATCH(K1306,Table!I:I,0),5),"")</f>
        <v/>
      </c>
      <c r="P1306" s="32" t="str">
        <f>IFERROR(INDEX(Table!I:O,MATCH(K1306,Table!I:I,0),6),"")</f>
        <v/>
      </c>
      <c r="Q1306" s="89" t="str">
        <f t="shared" si="60"/>
        <v/>
      </c>
      <c r="R1306" s="89" t="str">
        <f t="shared" si="61"/>
        <v/>
      </c>
      <c r="S1306" s="82"/>
      <c r="U1306" s="37" t="e">
        <f t="shared" si="62"/>
        <v>#VALUE!</v>
      </c>
    </row>
    <row r="1307" spans="1:21" x14ac:dyDescent="0.25">
      <c r="A1307" s="31" t="str">
        <f>IF(Table!A1307 = "","",Table!A1307)</f>
        <v/>
      </c>
      <c r="B1307" s="31" t="str">
        <f>IF(Table!B1307 = "","",Table!B1307)</f>
        <v/>
      </c>
      <c r="C1307" s="31" t="str">
        <f>IF(Table!C1307 = "","",Table!C1307)</f>
        <v/>
      </c>
      <c r="D1307" s="32" t="str">
        <f>IF(Table!D1307 = "","",Table!D1307)</f>
        <v/>
      </c>
      <c r="E1307" s="32" t="str">
        <f>IF(Table!E1307 = "","",Table!E1307)</f>
        <v/>
      </c>
      <c r="F1307" s="32" t="str">
        <f>IF(Table!F1307 = "","",Table!F1307)</f>
        <v/>
      </c>
      <c r="G1307" s="91"/>
      <c r="K1307" s="31" t="str">
        <f>IFERROR(VLOOKUP(A1307,Table!$I$4:$O$3000,1,TRUE),"")</f>
        <v/>
      </c>
      <c r="L1307" s="31" t="str">
        <f>IFERROR(INDEX(Table!I:O,MATCH(K1307,Table!I:I,0),2),"")</f>
        <v/>
      </c>
      <c r="M1307" s="31" t="str">
        <f>IFERROR(INDEX(Table!I:O,MATCH(K1307,Table!I:I,0),3),"")</f>
        <v/>
      </c>
      <c r="N1307" s="32" t="str">
        <f>IFERROR(INDEX(Table!I:O,MATCH(K1307,Table!I:I,0),4),"")</f>
        <v/>
      </c>
      <c r="O1307" s="32" t="str">
        <f>IFERROR(INDEX(Table!I:O,MATCH(K1307,Table!I:I,0),5),"")</f>
        <v/>
      </c>
      <c r="P1307" s="32" t="str">
        <f>IFERROR(INDEX(Table!I:O,MATCH(K1307,Table!I:I,0),6),"")</f>
        <v/>
      </c>
      <c r="Q1307" s="89" t="str">
        <f t="shared" si="60"/>
        <v/>
      </c>
      <c r="R1307" s="89" t="str">
        <f t="shared" si="61"/>
        <v/>
      </c>
      <c r="S1307" s="82"/>
      <c r="U1307" s="37" t="e">
        <f t="shared" si="62"/>
        <v>#VALUE!</v>
      </c>
    </row>
    <row r="1308" spans="1:21" x14ac:dyDescent="0.25">
      <c r="A1308" s="31" t="str">
        <f>IF(Table!A1308 = "","",Table!A1308)</f>
        <v/>
      </c>
      <c r="B1308" s="31" t="str">
        <f>IF(Table!B1308 = "","",Table!B1308)</f>
        <v/>
      </c>
      <c r="C1308" s="31" t="str">
        <f>IF(Table!C1308 = "","",Table!C1308)</f>
        <v/>
      </c>
      <c r="D1308" s="32" t="str">
        <f>IF(Table!D1308 = "","",Table!D1308)</f>
        <v/>
      </c>
      <c r="E1308" s="32" t="str">
        <f>IF(Table!E1308 = "","",Table!E1308)</f>
        <v/>
      </c>
      <c r="F1308" s="32" t="str">
        <f>IF(Table!F1308 = "","",Table!F1308)</f>
        <v/>
      </c>
      <c r="G1308" s="91"/>
      <c r="K1308" s="31" t="str">
        <f>IFERROR(VLOOKUP(A1308,Table!$I$4:$O$3000,1,TRUE),"")</f>
        <v/>
      </c>
      <c r="L1308" s="31" t="str">
        <f>IFERROR(INDEX(Table!I:O,MATCH(K1308,Table!I:I,0),2),"")</f>
        <v/>
      </c>
      <c r="M1308" s="31" t="str">
        <f>IFERROR(INDEX(Table!I:O,MATCH(K1308,Table!I:I,0),3),"")</f>
        <v/>
      </c>
      <c r="N1308" s="32" t="str">
        <f>IFERROR(INDEX(Table!I:O,MATCH(K1308,Table!I:I,0),4),"")</f>
        <v/>
      </c>
      <c r="O1308" s="32" t="str">
        <f>IFERROR(INDEX(Table!I:O,MATCH(K1308,Table!I:I,0),5),"")</f>
        <v/>
      </c>
      <c r="P1308" s="32" t="str">
        <f>IFERROR(INDEX(Table!I:O,MATCH(K1308,Table!I:I,0),6),"")</f>
        <v/>
      </c>
      <c r="Q1308" s="89" t="str">
        <f t="shared" si="60"/>
        <v/>
      </c>
      <c r="R1308" s="89" t="str">
        <f t="shared" si="61"/>
        <v/>
      </c>
      <c r="S1308" s="82"/>
      <c r="U1308" s="37" t="e">
        <f t="shared" si="62"/>
        <v>#VALUE!</v>
      </c>
    </row>
    <row r="1309" spans="1:21" x14ac:dyDescent="0.25">
      <c r="A1309" s="31" t="str">
        <f>IF(Table!A1309 = "","",Table!A1309)</f>
        <v/>
      </c>
      <c r="B1309" s="31" t="str">
        <f>IF(Table!B1309 = "","",Table!B1309)</f>
        <v/>
      </c>
      <c r="C1309" s="31" t="str">
        <f>IF(Table!C1309 = "","",Table!C1309)</f>
        <v/>
      </c>
      <c r="D1309" s="32" t="str">
        <f>IF(Table!D1309 = "","",Table!D1309)</f>
        <v/>
      </c>
      <c r="E1309" s="32" t="str">
        <f>IF(Table!E1309 = "","",Table!E1309)</f>
        <v/>
      </c>
      <c r="F1309" s="32" t="str">
        <f>IF(Table!F1309 = "","",Table!F1309)</f>
        <v/>
      </c>
      <c r="G1309" s="91"/>
      <c r="K1309" s="31" t="str">
        <f>IFERROR(VLOOKUP(A1309,Table!$I$4:$O$3000,1,TRUE),"")</f>
        <v/>
      </c>
      <c r="L1309" s="31" t="str">
        <f>IFERROR(INDEX(Table!I:O,MATCH(K1309,Table!I:I,0),2),"")</f>
        <v/>
      </c>
      <c r="M1309" s="31" t="str">
        <f>IFERROR(INDEX(Table!I:O,MATCH(K1309,Table!I:I,0),3),"")</f>
        <v/>
      </c>
      <c r="N1309" s="32" t="str">
        <f>IFERROR(INDEX(Table!I:O,MATCH(K1309,Table!I:I,0),4),"")</f>
        <v/>
      </c>
      <c r="O1309" s="32" t="str">
        <f>IFERROR(INDEX(Table!I:O,MATCH(K1309,Table!I:I,0),5),"")</f>
        <v/>
      </c>
      <c r="P1309" s="32" t="str">
        <f>IFERROR(INDEX(Table!I:O,MATCH(K1309,Table!I:I,0),6),"")</f>
        <v/>
      </c>
      <c r="Q1309" s="89" t="str">
        <f t="shared" si="60"/>
        <v/>
      </c>
      <c r="R1309" s="89" t="str">
        <f t="shared" si="61"/>
        <v/>
      </c>
      <c r="S1309" s="82"/>
      <c r="U1309" s="37" t="e">
        <f t="shared" si="62"/>
        <v>#VALUE!</v>
      </c>
    </row>
    <row r="1310" spans="1:21" x14ac:dyDescent="0.25">
      <c r="A1310" s="31" t="str">
        <f>IF(Table!A1310 = "","",Table!A1310)</f>
        <v/>
      </c>
      <c r="B1310" s="31" t="str">
        <f>IF(Table!B1310 = "","",Table!B1310)</f>
        <v/>
      </c>
      <c r="C1310" s="31" t="str">
        <f>IF(Table!C1310 = "","",Table!C1310)</f>
        <v/>
      </c>
      <c r="D1310" s="32" t="str">
        <f>IF(Table!D1310 = "","",Table!D1310)</f>
        <v/>
      </c>
      <c r="E1310" s="32" t="str">
        <f>IF(Table!E1310 = "","",Table!E1310)</f>
        <v/>
      </c>
      <c r="F1310" s="32" t="str">
        <f>IF(Table!F1310 = "","",Table!F1310)</f>
        <v/>
      </c>
      <c r="G1310" s="91"/>
      <c r="K1310" s="31" t="str">
        <f>IFERROR(VLOOKUP(A1310,Table!$I$4:$O$3000,1,TRUE),"")</f>
        <v/>
      </c>
      <c r="L1310" s="31" t="str">
        <f>IFERROR(INDEX(Table!I:O,MATCH(K1310,Table!I:I,0),2),"")</f>
        <v/>
      </c>
      <c r="M1310" s="31" t="str">
        <f>IFERROR(INDEX(Table!I:O,MATCH(K1310,Table!I:I,0),3),"")</f>
        <v/>
      </c>
      <c r="N1310" s="32" t="str">
        <f>IFERROR(INDEX(Table!I:O,MATCH(K1310,Table!I:I,0),4),"")</f>
        <v/>
      </c>
      <c r="O1310" s="32" t="str">
        <f>IFERROR(INDEX(Table!I:O,MATCH(K1310,Table!I:I,0),5),"")</f>
        <v/>
      </c>
      <c r="P1310" s="32" t="str">
        <f>IFERROR(INDEX(Table!I:O,MATCH(K1310,Table!I:I,0),6),"")</f>
        <v/>
      </c>
      <c r="Q1310" s="89" t="str">
        <f t="shared" si="60"/>
        <v/>
      </c>
      <c r="R1310" s="89" t="str">
        <f t="shared" si="61"/>
        <v/>
      </c>
      <c r="S1310" s="82"/>
      <c r="U1310" s="37" t="e">
        <f t="shared" si="62"/>
        <v>#VALUE!</v>
      </c>
    </row>
    <row r="1311" spans="1:21" x14ac:dyDescent="0.25">
      <c r="A1311" s="31" t="str">
        <f>IF(Table!A1311 = "","",Table!A1311)</f>
        <v/>
      </c>
      <c r="B1311" s="31" t="str">
        <f>IF(Table!B1311 = "","",Table!B1311)</f>
        <v/>
      </c>
      <c r="C1311" s="31" t="str">
        <f>IF(Table!C1311 = "","",Table!C1311)</f>
        <v/>
      </c>
      <c r="D1311" s="32" t="str">
        <f>IF(Table!D1311 = "","",Table!D1311)</f>
        <v/>
      </c>
      <c r="E1311" s="32" t="str">
        <f>IF(Table!E1311 = "","",Table!E1311)</f>
        <v/>
      </c>
      <c r="F1311" s="32" t="str">
        <f>IF(Table!F1311 = "","",Table!F1311)</f>
        <v/>
      </c>
      <c r="G1311" s="91"/>
      <c r="K1311" s="31" t="str">
        <f>IFERROR(VLOOKUP(A1311,Table!$I$4:$O$3000,1,TRUE),"")</f>
        <v/>
      </c>
      <c r="L1311" s="31" t="str">
        <f>IFERROR(INDEX(Table!I:O,MATCH(K1311,Table!I:I,0),2),"")</f>
        <v/>
      </c>
      <c r="M1311" s="31" t="str">
        <f>IFERROR(INDEX(Table!I:O,MATCH(K1311,Table!I:I,0),3),"")</f>
        <v/>
      </c>
      <c r="N1311" s="32" t="str">
        <f>IFERROR(INDEX(Table!I:O,MATCH(K1311,Table!I:I,0),4),"")</f>
        <v/>
      </c>
      <c r="O1311" s="32" t="str">
        <f>IFERROR(INDEX(Table!I:O,MATCH(K1311,Table!I:I,0),5),"")</f>
        <v/>
      </c>
      <c r="P1311" s="32" t="str">
        <f>IFERROR(INDEX(Table!I:O,MATCH(K1311,Table!I:I,0),6),"")</f>
        <v/>
      </c>
      <c r="Q1311" s="89" t="str">
        <f t="shared" si="60"/>
        <v/>
      </c>
      <c r="R1311" s="89" t="str">
        <f t="shared" si="61"/>
        <v/>
      </c>
      <c r="S1311" s="82"/>
      <c r="U1311" s="37" t="e">
        <f t="shared" si="62"/>
        <v>#VALUE!</v>
      </c>
    </row>
    <row r="1312" spans="1:21" x14ac:dyDescent="0.25">
      <c r="A1312" s="31" t="str">
        <f>IF(Table!A1312 = "","",Table!A1312)</f>
        <v/>
      </c>
      <c r="B1312" s="31" t="str">
        <f>IF(Table!B1312 = "","",Table!B1312)</f>
        <v/>
      </c>
      <c r="C1312" s="31" t="str">
        <f>IF(Table!C1312 = "","",Table!C1312)</f>
        <v/>
      </c>
      <c r="D1312" s="32" t="str">
        <f>IF(Table!D1312 = "","",Table!D1312)</f>
        <v/>
      </c>
      <c r="E1312" s="32" t="str">
        <f>IF(Table!E1312 = "","",Table!E1312)</f>
        <v/>
      </c>
      <c r="F1312" s="32" t="str">
        <f>IF(Table!F1312 = "","",Table!F1312)</f>
        <v/>
      </c>
      <c r="G1312" s="91"/>
      <c r="K1312" s="31" t="str">
        <f>IFERROR(VLOOKUP(A1312,Table!$I$4:$O$3000,1,TRUE),"")</f>
        <v/>
      </c>
      <c r="L1312" s="31" t="str">
        <f>IFERROR(INDEX(Table!I:O,MATCH(K1312,Table!I:I,0),2),"")</f>
        <v/>
      </c>
      <c r="M1312" s="31" t="str">
        <f>IFERROR(INDEX(Table!I:O,MATCH(K1312,Table!I:I,0),3),"")</f>
        <v/>
      </c>
      <c r="N1312" s="32" t="str">
        <f>IFERROR(INDEX(Table!I:O,MATCH(K1312,Table!I:I,0),4),"")</f>
        <v/>
      </c>
      <c r="O1312" s="32" t="str">
        <f>IFERROR(INDEX(Table!I:O,MATCH(K1312,Table!I:I,0),5),"")</f>
        <v/>
      </c>
      <c r="P1312" s="32" t="str">
        <f>IFERROR(INDEX(Table!I:O,MATCH(K1312,Table!I:I,0),6),"")</f>
        <v/>
      </c>
      <c r="Q1312" s="89" t="str">
        <f t="shared" si="60"/>
        <v/>
      </c>
      <c r="R1312" s="89" t="str">
        <f t="shared" si="61"/>
        <v/>
      </c>
      <c r="S1312" s="82"/>
      <c r="U1312" s="37" t="e">
        <f t="shared" si="62"/>
        <v>#VALUE!</v>
      </c>
    </row>
    <row r="1313" spans="1:21" x14ac:dyDescent="0.25">
      <c r="A1313" s="31" t="str">
        <f>IF(Table!A1313 = "","",Table!A1313)</f>
        <v/>
      </c>
      <c r="B1313" s="31" t="str">
        <f>IF(Table!B1313 = "","",Table!B1313)</f>
        <v/>
      </c>
      <c r="C1313" s="31" t="str">
        <f>IF(Table!C1313 = "","",Table!C1313)</f>
        <v/>
      </c>
      <c r="D1313" s="32" t="str">
        <f>IF(Table!D1313 = "","",Table!D1313)</f>
        <v/>
      </c>
      <c r="E1313" s="32" t="str">
        <f>IF(Table!E1313 = "","",Table!E1313)</f>
        <v/>
      </c>
      <c r="F1313" s="32" t="str">
        <f>IF(Table!F1313 = "","",Table!F1313)</f>
        <v/>
      </c>
      <c r="G1313" s="91"/>
      <c r="K1313" s="31" t="str">
        <f>IFERROR(VLOOKUP(A1313,Table!$I$4:$O$3000,1,TRUE),"")</f>
        <v/>
      </c>
      <c r="L1313" s="31" t="str">
        <f>IFERROR(INDEX(Table!I:O,MATCH(K1313,Table!I:I,0),2),"")</f>
        <v/>
      </c>
      <c r="M1313" s="31" t="str">
        <f>IFERROR(INDEX(Table!I:O,MATCH(K1313,Table!I:I,0),3),"")</f>
        <v/>
      </c>
      <c r="N1313" s="32" t="str">
        <f>IFERROR(INDEX(Table!I:O,MATCH(K1313,Table!I:I,0),4),"")</f>
        <v/>
      </c>
      <c r="O1313" s="32" t="str">
        <f>IFERROR(INDEX(Table!I:O,MATCH(K1313,Table!I:I,0),5),"")</f>
        <v/>
      </c>
      <c r="P1313" s="32" t="str">
        <f>IFERROR(INDEX(Table!I:O,MATCH(K1313,Table!I:I,0),6),"")</f>
        <v/>
      </c>
      <c r="Q1313" s="89" t="str">
        <f t="shared" si="60"/>
        <v/>
      </c>
      <c r="R1313" s="89" t="str">
        <f t="shared" si="61"/>
        <v/>
      </c>
      <c r="S1313" s="82"/>
      <c r="U1313" s="37" t="e">
        <f t="shared" si="62"/>
        <v>#VALUE!</v>
      </c>
    </row>
    <row r="1314" spans="1:21" x14ac:dyDescent="0.25">
      <c r="A1314" s="31" t="str">
        <f>IF(Table!A1314 = "","",Table!A1314)</f>
        <v/>
      </c>
      <c r="B1314" s="31" t="str">
        <f>IF(Table!B1314 = "","",Table!B1314)</f>
        <v/>
      </c>
      <c r="C1314" s="31" t="str">
        <f>IF(Table!C1314 = "","",Table!C1314)</f>
        <v/>
      </c>
      <c r="D1314" s="32" t="str">
        <f>IF(Table!D1314 = "","",Table!D1314)</f>
        <v/>
      </c>
      <c r="E1314" s="32" t="str">
        <f>IF(Table!E1314 = "","",Table!E1314)</f>
        <v/>
      </c>
      <c r="F1314" s="32" t="str">
        <f>IF(Table!F1314 = "","",Table!F1314)</f>
        <v/>
      </c>
      <c r="G1314" s="91"/>
      <c r="K1314" s="31" t="str">
        <f>IFERROR(VLOOKUP(A1314,Table!$I$4:$O$3000,1,TRUE),"")</f>
        <v/>
      </c>
      <c r="L1314" s="31" t="str">
        <f>IFERROR(INDEX(Table!I:O,MATCH(K1314,Table!I:I,0),2),"")</f>
        <v/>
      </c>
      <c r="M1314" s="31" t="str">
        <f>IFERROR(INDEX(Table!I:O,MATCH(K1314,Table!I:I,0),3),"")</f>
        <v/>
      </c>
      <c r="N1314" s="32" t="str">
        <f>IFERROR(INDEX(Table!I:O,MATCH(K1314,Table!I:I,0),4),"")</f>
        <v/>
      </c>
      <c r="O1314" s="32" t="str">
        <f>IFERROR(INDEX(Table!I:O,MATCH(K1314,Table!I:I,0),5),"")</f>
        <v/>
      </c>
      <c r="P1314" s="32" t="str">
        <f>IFERROR(INDEX(Table!I:O,MATCH(K1314,Table!I:I,0),6),"")</f>
        <v/>
      </c>
      <c r="Q1314" s="89" t="str">
        <f t="shared" si="60"/>
        <v/>
      </c>
      <c r="R1314" s="89" t="str">
        <f t="shared" si="61"/>
        <v/>
      </c>
      <c r="S1314" s="82"/>
      <c r="U1314" s="37" t="e">
        <f t="shared" si="62"/>
        <v>#VALUE!</v>
      </c>
    </row>
    <row r="1315" spans="1:21" x14ac:dyDescent="0.25">
      <c r="A1315" s="31" t="str">
        <f>IF(Table!A1315 = "","",Table!A1315)</f>
        <v/>
      </c>
      <c r="B1315" s="31" t="str">
        <f>IF(Table!B1315 = "","",Table!B1315)</f>
        <v/>
      </c>
      <c r="C1315" s="31" t="str">
        <f>IF(Table!C1315 = "","",Table!C1315)</f>
        <v/>
      </c>
      <c r="D1315" s="32" t="str">
        <f>IF(Table!D1315 = "","",Table!D1315)</f>
        <v/>
      </c>
      <c r="E1315" s="32" t="str">
        <f>IF(Table!E1315 = "","",Table!E1315)</f>
        <v/>
      </c>
      <c r="F1315" s="32" t="str">
        <f>IF(Table!F1315 = "","",Table!F1315)</f>
        <v/>
      </c>
      <c r="G1315" s="91"/>
      <c r="K1315" s="31" t="str">
        <f>IFERROR(VLOOKUP(A1315,Table!$I$4:$O$3000,1,TRUE),"")</f>
        <v/>
      </c>
      <c r="L1315" s="31" t="str">
        <f>IFERROR(INDEX(Table!I:O,MATCH(K1315,Table!I:I,0),2),"")</f>
        <v/>
      </c>
      <c r="M1315" s="31" t="str">
        <f>IFERROR(INDEX(Table!I:O,MATCH(K1315,Table!I:I,0),3),"")</f>
        <v/>
      </c>
      <c r="N1315" s="32" t="str">
        <f>IFERROR(INDEX(Table!I:O,MATCH(K1315,Table!I:I,0),4),"")</f>
        <v/>
      </c>
      <c r="O1315" s="32" t="str">
        <f>IFERROR(INDEX(Table!I:O,MATCH(K1315,Table!I:I,0),5),"")</f>
        <v/>
      </c>
      <c r="P1315" s="32" t="str">
        <f>IFERROR(INDEX(Table!I:O,MATCH(K1315,Table!I:I,0),6),"")</f>
        <v/>
      </c>
      <c r="Q1315" s="89" t="str">
        <f t="shared" si="60"/>
        <v/>
      </c>
      <c r="R1315" s="89" t="str">
        <f t="shared" si="61"/>
        <v/>
      </c>
      <c r="S1315" s="82"/>
      <c r="U1315" s="37" t="e">
        <f t="shared" si="62"/>
        <v>#VALUE!</v>
      </c>
    </row>
    <row r="1316" spans="1:21" x14ac:dyDescent="0.25">
      <c r="A1316" s="31" t="str">
        <f>IF(Table!A1316 = "","",Table!A1316)</f>
        <v/>
      </c>
      <c r="B1316" s="31" t="str">
        <f>IF(Table!B1316 = "","",Table!B1316)</f>
        <v/>
      </c>
      <c r="C1316" s="31" t="str">
        <f>IF(Table!C1316 = "","",Table!C1316)</f>
        <v/>
      </c>
      <c r="D1316" s="32" t="str">
        <f>IF(Table!D1316 = "","",Table!D1316)</f>
        <v/>
      </c>
      <c r="E1316" s="32" t="str">
        <f>IF(Table!E1316 = "","",Table!E1316)</f>
        <v/>
      </c>
      <c r="F1316" s="32" t="str">
        <f>IF(Table!F1316 = "","",Table!F1316)</f>
        <v/>
      </c>
      <c r="G1316" s="91"/>
      <c r="K1316" s="31" t="str">
        <f>IFERROR(VLOOKUP(A1316,Table!$I$4:$O$3000,1,TRUE),"")</f>
        <v/>
      </c>
      <c r="L1316" s="31" t="str">
        <f>IFERROR(INDEX(Table!I:O,MATCH(K1316,Table!I:I,0),2),"")</f>
        <v/>
      </c>
      <c r="M1316" s="31" t="str">
        <f>IFERROR(INDEX(Table!I:O,MATCH(K1316,Table!I:I,0),3),"")</f>
        <v/>
      </c>
      <c r="N1316" s="32" t="str">
        <f>IFERROR(INDEX(Table!I:O,MATCH(K1316,Table!I:I,0),4),"")</f>
        <v/>
      </c>
      <c r="O1316" s="32" t="str">
        <f>IFERROR(INDEX(Table!I:O,MATCH(K1316,Table!I:I,0),5),"")</f>
        <v/>
      </c>
      <c r="P1316" s="32" t="str">
        <f>IFERROR(INDEX(Table!I:O,MATCH(K1316,Table!I:I,0),6),"")</f>
        <v/>
      </c>
      <c r="Q1316" s="89" t="str">
        <f t="shared" si="60"/>
        <v/>
      </c>
      <c r="R1316" s="89" t="str">
        <f t="shared" si="61"/>
        <v/>
      </c>
      <c r="S1316" s="82"/>
      <c r="U1316" s="37" t="e">
        <f t="shared" si="62"/>
        <v>#VALUE!</v>
      </c>
    </row>
    <row r="1317" spans="1:21" x14ac:dyDescent="0.25">
      <c r="A1317" s="31" t="str">
        <f>IF(Table!A1317 = "","",Table!A1317)</f>
        <v/>
      </c>
      <c r="B1317" s="31" t="str">
        <f>IF(Table!B1317 = "","",Table!B1317)</f>
        <v/>
      </c>
      <c r="C1317" s="31" t="str">
        <f>IF(Table!C1317 = "","",Table!C1317)</f>
        <v/>
      </c>
      <c r="D1317" s="32" t="str">
        <f>IF(Table!D1317 = "","",Table!D1317)</f>
        <v/>
      </c>
      <c r="E1317" s="32" t="str">
        <f>IF(Table!E1317 = "","",Table!E1317)</f>
        <v/>
      </c>
      <c r="F1317" s="32" t="str">
        <f>IF(Table!F1317 = "","",Table!F1317)</f>
        <v/>
      </c>
      <c r="G1317" s="91"/>
      <c r="K1317" s="31" t="str">
        <f>IFERROR(VLOOKUP(A1317,Table!$I$4:$O$3000,1,TRUE),"")</f>
        <v/>
      </c>
      <c r="L1317" s="31" t="str">
        <f>IFERROR(INDEX(Table!I:O,MATCH(K1317,Table!I:I,0),2),"")</f>
        <v/>
      </c>
      <c r="M1317" s="31" t="str">
        <f>IFERROR(INDEX(Table!I:O,MATCH(K1317,Table!I:I,0),3),"")</f>
        <v/>
      </c>
      <c r="N1317" s="32" t="str">
        <f>IFERROR(INDEX(Table!I:O,MATCH(K1317,Table!I:I,0),4),"")</f>
        <v/>
      </c>
      <c r="O1317" s="32" t="str">
        <f>IFERROR(INDEX(Table!I:O,MATCH(K1317,Table!I:I,0),5),"")</f>
        <v/>
      </c>
      <c r="P1317" s="32" t="str">
        <f>IFERROR(INDEX(Table!I:O,MATCH(K1317,Table!I:I,0),6),"")</f>
        <v/>
      </c>
      <c r="Q1317" s="89" t="str">
        <f t="shared" si="60"/>
        <v/>
      </c>
      <c r="R1317" s="89" t="str">
        <f t="shared" si="61"/>
        <v/>
      </c>
      <c r="S1317" s="82"/>
      <c r="U1317" s="37" t="e">
        <f t="shared" si="62"/>
        <v>#VALUE!</v>
      </c>
    </row>
    <row r="1318" spans="1:21" x14ac:dyDescent="0.25">
      <c r="A1318" s="31" t="str">
        <f>IF(Table!A1318 = "","",Table!A1318)</f>
        <v/>
      </c>
      <c r="B1318" s="31" t="str">
        <f>IF(Table!B1318 = "","",Table!B1318)</f>
        <v/>
      </c>
      <c r="C1318" s="31" t="str">
        <f>IF(Table!C1318 = "","",Table!C1318)</f>
        <v/>
      </c>
      <c r="D1318" s="32" t="str">
        <f>IF(Table!D1318 = "","",Table!D1318)</f>
        <v/>
      </c>
      <c r="E1318" s="32" t="str">
        <f>IF(Table!E1318 = "","",Table!E1318)</f>
        <v/>
      </c>
      <c r="F1318" s="32" t="str">
        <f>IF(Table!F1318 = "","",Table!F1318)</f>
        <v/>
      </c>
      <c r="G1318" s="91"/>
      <c r="K1318" s="31" t="str">
        <f>IFERROR(VLOOKUP(A1318,Table!$I$4:$O$3000,1,TRUE),"")</f>
        <v/>
      </c>
      <c r="L1318" s="31" t="str">
        <f>IFERROR(INDEX(Table!I:O,MATCH(K1318,Table!I:I,0),2),"")</f>
        <v/>
      </c>
      <c r="M1318" s="31" t="str">
        <f>IFERROR(INDEX(Table!I:O,MATCH(K1318,Table!I:I,0),3),"")</f>
        <v/>
      </c>
      <c r="N1318" s="32" t="str">
        <f>IFERROR(INDEX(Table!I:O,MATCH(K1318,Table!I:I,0),4),"")</f>
        <v/>
      </c>
      <c r="O1318" s="32" t="str">
        <f>IFERROR(INDEX(Table!I:O,MATCH(K1318,Table!I:I,0),5),"")</f>
        <v/>
      </c>
      <c r="P1318" s="32" t="str">
        <f>IFERROR(INDEX(Table!I:O,MATCH(K1318,Table!I:I,0),6),"")</f>
        <v/>
      </c>
      <c r="Q1318" s="89" t="str">
        <f t="shared" si="60"/>
        <v/>
      </c>
      <c r="R1318" s="89" t="str">
        <f t="shared" si="61"/>
        <v/>
      </c>
      <c r="S1318" s="82"/>
      <c r="U1318" s="37" t="e">
        <f t="shared" si="62"/>
        <v>#VALUE!</v>
      </c>
    </row>
    <row r="1319" spans="1:21" x14ac:dyDescent="0.25">
      <c r="A1319" s="31" t="str">
        <f>IF(Table!A1319 = "","",Table!A1319)</f>
        <v/>
      </c>
      <c r="B1319" s="31" t="str">
        <f>IF(Table!B1319 = "","",Table!B1319)</f>
        <v/>
      </c>
      <c r="C1319" s="31" t="str">
        <f>IF(Table!C1319 = "","",Table!C1319)</f>
        <v/>
      </c>
      <c r="D1319" s="32" t="str">
        <f>IF(Table!D1319 = "","",Table!D1319)</f>
        <v/>
      </c>
      <c r="E1319" s="32" t="str">
        <f>IF(Table!E1319 = "","",Table!E1319)</f>
        <v/>
      </c>
      <c r="F1319" s="32" t="str">
        <f>IF(Table!F1319 = "","",Table!F1319)</f>
        <v/>
      </c>
      <c r="G1319" s="91"/>
      <c r="K1319" s="31" t="str">
        <f>IFERROR(VLOOKUP(A1319,Table!$I$4:$O$3000,1,TRUE),"")</f>
        <v/>
      </c>
      <c r="L1319" s="31" t="str">
        <f>IFERROR(INDEX(Table!I:O,MATCH(K1319,Table!I:I,0),2),"")</f>
        <v/>
      </c>
      <c r="M1319" s="31" t="str">
        <f>IFERROR(INDEX(Table!I:O,MATCH(K1319,Table!I:I,0),3),"")</f>
        <v/>
      </c>
      <c r="N1319" s="32" t="str">
        <f>IFERROR(INDEX(Table!I:O,MATCH(K1319,Table!I:I,0),4),"")</f>
        <v/>
      </c>
      <c r="O1319" s="32" t="str">
        <f>IFERROR(INDEX(Table!I:O,MATCH(K1319,Table!I:I,0),5),"")</f>
        <v/>
      </c>
      <c r="P1319" s="32" t="str">
        <f>IFERROR(INDEX(Table!I:O,MATCH(K1319,Table!I:I,0),6),"")</f>
        <v/>
      </c>
      <c r="Q1319" s="89" t="str">
        <f t="shared" si="60"/>
        <v/>
      </c>
      <c r="R1319" s="89" t="str">
        <f t="shared" si="61"/>
        <v/>
      </c>
      <c r="S1319" s="82"/>
      <c r="U1319" s="37" t="e">
        <f t="shared" si="62"/>
        <v>#VALUE!</v>
      </c>
    </row>
    <row r="1320" spans="1:21" x14ac:dyDescent="0.25">
      <c r="A1320" s="31" t="str">
        <f>IF(Table!A1320 = "","",Table!A1320)</f>
        <v/>
      </c>
      <c r="B1320" s="31" t="str">
        <f>IF(Table!B1320 = "","",Table!B1320)</f>
        <v/>
      </c>
      <c r="C1320" s="31" t="str">
        <f>IF(Table!C1320 = "","",Table!C1320)</f>
        <v/>
      </c>
      <c r="D1320" s="32" t="str">
        <f>IF(Table!D1320 = "","",Table!D1320)</f>
        <v/>
      </c>
      <c r="E1320" s="32" t="str">
        <f>IF(Table!E1320 = "","",Table!E1320)</f>
        <v/>
      </c>
      <c r="F1320" s="32" t="str">
        <f>IF(Table!F1320 = "","",Table!F1320)</f>
        <v/>
      </c>
      <c r="G1320" s="91"/>
      <c r="K1320" s="31" t="str">
        <f>IFERROR(VLOOKUP(A1320,Table!$I$4:$O$3000,1,TRUE),"")</f>
        <v/>
      </c>
      <c r="L1320" s="31" t="str">
        <f>IFERROR(INDEX(Table!I:O,MATCH(K1320,Table!I:I,0),2),"")</f>
        <v/>
      </c>
      <c r="M1320" s="31" t="str">
        <f>IFERROR(INDEX(Table!I:O,MATCH(K1320,Table!I:I,0),3),"")</f>
        <v/>
      </c>
      <c r="N1320" s="32" t="str">
        <f>IFERROR(INDEX(Table!I:O,MATCH(K1320,Table!I:I,0),4),"")</f>
        <v/>
      </c>
      <c r="O1320" s="32" t="str">
        <f>IFERROR(INDEX(Table!I:O,MATCH(K1320,Table!I:I,0),5),"")</f>
        <v/>
      </c>
      <c r="P1320" s="32" t="str">
        <f>IFERROR(INDEX(Table!I:O,MATCH(K1320,Table!I:I,0),6),"")</f>
        <v/>
      </c>
      <c r="Q1320" s="89" t="str">
        <f t="shared" si="60"/>
        <v/>
      </c>
      <c r="R1320" s="89" t="str">
        <f t="shared" si="61"/>
        <v/>
      </c>
      <c r="S1320" s="82"/>
      <c r="U1320" s="37" t="e">
        <f t="shared" si="62"/>
        <v>#VALUE!</v>
      </c>
    </row>
    <row r="1321" spans="1:21" x14ac:dyDescent="0.25">
      <c r="A1321" s="31" t="str">
        <f>IF(Table!A1321 = "","",Table!A1321)</f>
        <v/>
      </c>
      <c r="B1321" s="31" t="str">
        <f>IF(Table!B1321 = "","",Table!B1321)</f>
        <v/>
      </c>
      <c r="C1321" s="31" t="str">
        <f>IF(Table!C1321 = "","",Table!C1321)</f>
        <v/>
      </c>
      <c r="D1321" s="32" t="str">
        <f>IF(Table!D1321 = "","",Table!D1321)</f>
        <v/>
      </c>
      <c r="E1321" s="32" t="str">
        <f>IF(Table!E1321 = "","",Table!E1321)</f>
        <v/>
      </c>
      <c r="F1321" s="32" t="str">
        <f>IF(Table!F1321 = "","",Table!F1321)</f>
        <v/>
      </c>
      <c r="G1321" s="91"/>
      <c r="K1321" s="31" t="str">
        <f>IFERROR(VLOOKUP(A1321,Table!$I$4:$O$3000,1,TRUE),"")</f>
        <v/>
      </c>
      <c r="L1321" s="31" t="str">
        <f>IFERROR(INDEX(Table!I:O,MATCH(K1321,Table!I:I,0),2),"")</f>
        <v/>
      </c>
      <c r="M1321" s="31" t="str">
        <f>IFERROR(INDEX(Table!I:O,MATCH(K1321,Table!I:I,0),3),"")</f>
        <v/>
      </c>
      <c r="N1321" s="32" t="str">
        <f>IFERROR(INDEX(Table!I:O,MATCH(K1321,Table!I:I,0),4),"")</f>
        <v/>
      </c>
      <c r="O1321" s="32" t="str">
        <f>IFERROR(INDEX(Table!I:O,MATCH(K1321,Table!I:I,0),5),"")</f>
        <v/>
      </c>
      <c r="P1321" s="32" t="str">
        <f>IFERROR(INDEX(Table!I:O,MATCH(K1321,Table!I:I,0),6),"")</f>
        <v/>
      </c>
      <c r="Q1321" s="89" t="str">
        <f t="shared" si="60"/>
        <v/>
      </c>
      <c r="R1321" s="89" t="str">
        <f t="shared" si="61"/>
        <v/>
      </c>
      <c r="S1321" s="82"/>
      <c r="U1321" s="37" t="e">
        <f t="shared" si="62"/>
        <v>#VALUE!</v>
      </c>
    </row>
    <row r="1322" spans="1:21" x14ac:dyDescent="0.25">
      <c r="A1322" s="31" t="str">
        <f>IF(Table!A1322 = "","",Table!A1322)</f>
        <v/>
      </c>
      <c r="B1322" s="31" t="str">
        <f>IF(Table!B1322 = "","",Table!B1322)</f>
        <v/>
      </c>
      <c r="C1322" s="31" t="str">
        <f>IF(Table!C1322 = "","",Table!C1322)</f>
        <v/>
      </c>
      <c r="D1322" s="32" t="str">
        <f>IF(Table!D1322 = "","",Table!D1322)</f>
        <v/>
      </c>
      <c r="E1322" s="32" t="str">
        <f>IF(Table!E1322 = "","",Table!E1322)</f>
        <v/>
      </c>
      <c r="F1322" s="32" t="str">
        <f>IF(Table!F1322 = "","",Table!F1322)</f>
        <v/>
      </c>
      <c r="G1322" s="91"/>
      <c r="K1322" s="31" t="str">
        <f>IFERROR(VLOOKUP(A1322,Table!$I$4:$O$3000,1,TRUE),"")</f>
        <v/>
      </c>
      <c r="L1322" s="31" t="str">
        <f>IFERROR(INDEX(Table!I:O,MATCH(K1322,Table!I:I,0),2),"")</f>
        <v/>
      </c>
      <c r="M1322" s="31" t="str">
        <f>IFERROR(INDEX(Table!I:O,MATCH(K1322,Table!I:I,0),3),"")</f>
        <v/>
      </c>
      <c r="N1322" s="32" t="str">
        <f>IFERROR(INDEX(Table!I:O,MATCH(K1322,Table!I:I,0),4),"")</f>
        <v/>
      </c>
      <c r="O1322" s="32" t="str">
        <f>IFERROR(INDEX(Table!I:O,MATCH(K1322,Table!I:I,0),5),"")</f>
        <v/>
      </c>
      <c r="P1322" s="32" t="str">
        <f>IFERROR(INDEX(Table!I:O,MATCH(K1322,Table!I:I,0),6),"")</f>
        <v/>
      </c>
      <c r="Q1322" s="89" t="str">
        <f t="shared" si="60"/>
        <v/>
      </c>
      <c r="R1322" s="89" t="str">
        <f t="shared" si="61"/>
        <v/>
      </c>
      <c r="S1322" s="82"/>
      <c r="U1322" s="37" t="e">
        <f t="shared" si="62"/>
        <v>#VALUE!</v>
      </c>
    </row>
    <row r="1323" spans="1:21" x14ac:dyDescent="0.25">
      <c r="A1323" s="31" t="str">
        <f>IF(Table!A1323 = "","",Table!A1323)</f>
        <v/>
      </c>
      <c r="B1323" s="31" t="str">
        <f>IF(Table!B1323 = "","",Table!B1323)</f>
        <v/>
      </c>
      <c r="C1323" s="31" t="str">
        <f>IF(Table!C1323 = "","",Table!C1323)</f>
        <v/>
      </c>
      <c r="D1323" s="32" t="str">
        <f>IF(Table!D1323 = "","",Table!D1323)</f>
        <v/>
      </c>
      <c r="E1323" s="32" t="str">
        <f>IF(Table!E1323 = "","",Table!E1323)</f>
        <v/>
      </c>
      <c r="F1323" s="32" t="str">
        <f>IF(Table!F1323 = "","",Table!F1323)</f>
        <v/>
      </c>
      <c r="G1323" s="91"/>
      <c r="K1323" s="31" t="str">
        <f>IFERROR(VLOOKUP(A1323,Table!$I$4:$O$3000,1,TRUE),"")</f>
        <v/>
      </c>
      <c r="L1323" s="31" t="str">
        <f>IFERROR(INDEX(Table!I:O,MATCH(K1323,Table!I:I,0),2),"")</f>
        <v/>
      </c>
      <c r="M1323" s="31" t="str">
        <f>IFERROR(INDEX(Table!I:O,MATCH(K1323,Table!I:I,0),3),"")</f>
        <v/>
      </c>
      <c r="N1323" s="32" t="str">
        <f>IFERROR(INDEX(Table!I:O,MATCH(K1323,Table!I:I,0),4),"")</f>
        <v/>
      </c>
      <c r="O1323" s="32" t="str">
        <f>IFERROR(INDEX(Table!I:O,MATCH(K1323,Table!I:I,0),5),"")</f>
        <v/>
      </c>
      <c r="P1323" s="32" t="str">
        <f>IFERROR(INDEX(Table!I:O,MATCH(K1323,Table!I:I,0),6),"")</f>
        <v/>
      </c>
      <c r="Q1323" s="89" t="str">
        <f t="shared" si="60"/>
        <v/>
      </c>
      <c r="R1323" s="89" t="str">
        <f t="shared" si="61"/>
        <v/>
      </c>
      <c r="S1323" s="82"/>
      <c r="U1323" s="37" t="e">
        <f t="shared" si="62"/>
        <v>#VALUE!</v>
      </c>
    </row>
    <row r="1324" spans="1:21" x14ac:dyDescent="0.25">
      <c r="A1324" s="31" t="str">
        <f>IF(Table!A1324 = "","",Table!A1324)</f>
        <v/>
      </c>
      <c r="B1324" s="31" t="str">
        <f>IF(Table!B1324 = "","",Table!B1324)</f>
        <v/>
      </c>
      <c r="C1324" s="31" t="str">
        <f>IF(Table!C1324 = "","",Table!C1324)</f>
        <v/>
      </c>
      <c r="D1324" s="32" t="str">
        <f>IF(Table!D1324 = "","",Table!D1324)</f>
        <v/>
      </c>
      <c r="E1324" s="32" t="str">
        <f>IF(Table!E1324 = "","",Table!E1324)</f>
        <v/>
      </c>
      <c r="F1324" s="32" t="str">
        <f>IF(Table!F1324 = "","",Table!F1324)</f>
        <v/>
      </c>
      <c r="G1324" s="91"/>
      <c r="K1324" s="31" t="str">
        <f>IFERROR(VLOOKUP(A1324,Table!$I$4:$O$3000,1,TRUE),"")</f>
        <v/>
      </c>
      <c r="L1324" s="31" t="str">
        <f>IFERROR(INDEX(Table!I:O,MATCH(K1324,Table!I:I,0),2),"")</f>
        <v/>
      </c>
      <c r="M1324" s="31" t="str">
        <f>IFERROR(INDEX(Table!I:O,MATCH(K1324,Table!I:I,0),3),"")</f>
        <v/>
      </c>
      <c r="N1324" s="32" t="str">
        <f>IFERROR(INDEX(Table!I:O,MATCH(K1324,Table!I:I,0),4),"")</f>
        <v/>
      </c>
      <c r="O1324" s="32" t="str">
        <f>IFERROR(INDEX(Table!I:O,MATCH(K1324,Table!I:I,0),5),"")</f>
        <v/>
      </c>
      <c r="P1324" s="32" t="str">
        <f>IFERROR(INDEX(Table!I:O,MATCH(K1324,Table!I:I,0),6),"")</f>
        <v/>
      </c>
      <c r="Q1324" s="89" t="str">
        <f t="shared" si="60"/>
        <v/>
      </c>
      <c r="R1324" s="89" t="str">
        <f t="shared" si="61"/>
        <v/>
      </c>
      <c r="S1324" s="82"/>
      <c r="U1324" s="37" t="e">
        <f t="shared" si="62"/>
        <v>#VALUE!</v>
      </c>
    </row>
    <row r="1325" spans="1:21" x14ac:dyDescent="0.25">
      <c r="A1325" s="31" t="str">
        <f>IF(Table!A1325 = "","",Table!A1325)</f>
        <v/>
      </c>
      <c r="B1325" s="31" t="str">
        <f>IF(Table!B1325 = "","",Table!B1325)</f>
        <v/>
      </c>
      <c r="C1325" s="31" t="str">
        <f>IF(Table!C1325 = "","",Table!C1325)</f>
        <v/>
      </c>
      <c r="D1325" s="32" t="str">
        <f>IF(Table!D1325 = "","",Table!D1325)</f>
        <v/>
      </c>
      <c r="E1325" s="32" t="str">
        <f>IF(Table!E1325 = "","",Table!E1325)</f>
        <v/>
      </c>
      <c r="F1325" s="32" t="str">
        <f>IF(Table!F1325 = "","",Table!F1325)</f>
        <v/>
      </c>
      <c r="G1325" s="91"/>
      <c r="K1325" s="31" t="str">
        <f>IFERROR(VLOOKUP(A1325,Table!$I$4:$O$3000,1,TRUE),"")</f>
        <v/>
      </c>
      <c r="L1325" s="31" t="str">
        <f>IFERROR(INDEX(Table!I:O,MATCH(K1325,Table!I:I,0),2),"")</f>
        <v/>
      </c>
      <c r="M1325" s="31" t="str">
        <f>IFERROR(INDEX(Table!I:O,MATCH(K1325,Table!I:I,0),3),"")</f>
        <v/>
      </c>
      <c r="N1325" s="32" t="str">
        <f>IFERROR(INDEX(Table!I:O,MATCH(K1325,Table!I:I,0),4),"")</f>
        <v/>
      </c>
      <c r="O1325" s="32" t="str">
        <f>IFERROR(INDEX(Table!I:O,MATCH(K1325,Table!I:I,0),5),"")</f>
        <v/>
      </c>
      <c r="P1325" s="32" t="str">
        <f>IFERROR(INDEX(Table!I:O,MATCH(K1325,Table!I:I,0),6),"")</f>
        <v/>
      </c>
      <c r="Q1325" s="89" t="str">
        <f t="shared" si="60"/>
        <v/>
      </c>
      <c r="R1325" s="89" t="str">
        <f t="shared" si="61"/>
        <v/>
      </c>
      <c r="S1325" s="82"/>
      <c r="U1325" s="37" t="e">
        <f t="shared" si="62"/>
        <v>#VALUE!</v>
      </c>
    </row>
    <row r="1326" spans="1:21" x14ac:dyDescent="0.25">
      <c r="A1326" s="31" t="str">
        <f>IF(Table!A1326 = "","",Table!A1326)</f>
        <v/>
      </c>
      <c r="B1326" s="31" t="str">
        <f>IF(Table!B1326 = "","",Table!B1326)</f>
        <v/>
      </c>
      <c r="C1326" s="31" t="str">
        <f>IF(Table!C1326 = "","",Table!C1326)</f>
        <v/>
      </c>
      <c r="D1326" s="32" t="str">
        <f>IF(Table!D1326 = "","",Table!D1326)</f>
        <v/>
      </c>
      <c r="E1326" s="32" t="str">
        <f>IF(Table!E1326 = "","",Table!E1326)</f>
        <v/>
      </c>
      <c r="F1326" s="32" t="str">
        <f>IF(Table!F1326 = "","",Table!F1326)</f>
        <v/>
      </c>
      <c r="G1326" s="91"/>
      <c r="K1326" s="31" t="str">
        <f>IFERROR(VLOOKUP(A1326,Table!$I$4:$O$3000,1,TRUE),"")</f>
        <v/>
      </c>
      <c r="L1326" s="31" t="str">
        <f>IFERROR(INDEX(Table!I:O,MATCH(K1326,Table!I:I,0),2),"")</f>
        <v/>
      </c>
      <c r="M1326" s="31" t="str">
        <f>IFERROR(INDEX(Table!I:O,MATCH(K1326,Table!I:I,0),3),"")</f>
        <v/>
      </c>
      <c r="N1326" s="32" t="str">
        <f>IFERROR(INDEX(Table!I:O,MATCH(K1326,Table!I:I,0),4),"")</f>
        <v/>
      </c>
      <c r="O1326" s="32" t="str">
        <f>IFERROR(INDEX(Table!I:O,MATCH(K1326,Table!I:I,0),5),"")</f>
        <v/>
      </c>
      <c r="P1326" s="32" t="str">
        <f>IFERROR(INDEX(Table!I:O,MATCH(K1326,Table!I:I,0),6),"")</f>
        <v/>
      </c>
      <c r="Q1326" s="89" t="str">
        <f t="shared" si="60"/>
        <v/>
      </c>
      <c r="R1326" s="89" t="str">
        <f t="shared" si="61"/>
        <v/>
      </c>
      <c r="S1326" s="82"/>
      <c r="U1326" s="37" t="e">
        <f t="shared" si="62"/>
        <v>#VALUE!</v>
      </c>
    </row>
    <row r="1327" spans="1:21" x14ac:dyDescent="0.25">
      <c r="A1327" s="31" t="str">
        <f>IF(Table!A1327 = "","",Table!A1327)</f>
        <v/>
      </c>
      <c r="B1327" s="31" t="str">
        <f>IF(Table!B1327 = "","",Table!B1327)</f>
        <v/>
      </c>
      <c r="C1327" s="31" t="str">
        <f>IF(Table!C1327 = "","",Table!C1327)</f>
        <v/>
      </c>
      <c r="D1327" s="32" t="str">
        <f>IF(Table!D1327 = "","",Table!D1327)</f>
        <v/>
      </c>
      <c r="E1327" s="32" t="str">
        <f>IF(Table!E1327 = "","",Table!E1327)</f>
        <v/>
      </c>
      <c r="F1327" s="32" t="str">
        <f>IF(Table!F1327 = "","",Table!F1327)</f>
        <v/>
      </c>
      <c r="G1327" s="91"/>
      <c r="K1327" s="31" t="str">
        <f>IFERROR(VLOOKUP(A1327,Table!$I$4:$O$3000,1,TRUE),"")</f>
        <v/>
      </c>
      <c r="L1327" s="31" t="str">
        <f>IFERROR(INDEX(Table!I:O,MATCH(K1327,Table!I:I,0),2),"")</f>
        <v/>
      </c>
      <c r="M1327" s="31" t="str">
        <f>IFERROR(INDEX(Table!I:O,MATCH(K1327,Table!I:I,0),3),"")</f>
        <v/>
      </c>
      <c r="N1327" s="32" t="str">
        <f>IFERROR(INDEX(Table!I:O,MATCH(K1327,Table!I:I,0),4),"")</f>
        <v/>
      </c>
      <c r="O1327" s="32" t="str">
        <f>IFERROR(INDEX(Table!I:O,MATCH(K1327,Table!I:I,0),5),"")</f>
        <v/>
      </c>
      <c r="P1327" s="32" t="str">
        <f>IFERROR(INDEX(Table!I:O,MATCH(K1327,Table!I:I,0),6),"")</f>
        <v/>
      </c>
      <c r="Q1327" s="89" t="str">
        <f t="shared" si="60"/>
        <v/>
      </c>
      <c r="R1327" s="89" t="str">
        <f t="shared" si="61"/>
        <v/>
      </c>
      <c r="S1327" s="82"/>
      <c r="U1327" s="37" t="e">
        <f t="shared" si="62"/>
        <v>#VALUE!</v>
      </c>
    </row>
    <row r="1328" spans="1:21" x14ac:dyDescent="0.25">
      <c r="A1328" s="31" t="str">
        <f>IF(Table!A1328 = "","",Table!A1328)</f>
        <v/>
      </c>
      <c r="B1328" s="31" t="str">
        <f>IF(Table!B1328 = "","",Table!B1328)</f>
        <v/>
      </c>
      <c r="C1328" s="31" t="str">
        <f>IF(Table!C1328 = "","",Table!C1328)</f>
        <v/>
      </c>
      <c r="D1328" s="32" t="str">
        <f>IF(Table!D1328 = "","",Table!D1328)</f>
        <v/>
      </c>
      <c r="E1328" s="32" t="str">
        <f>IF(Table!E1328 = "","",Table!E1328)</f>
        <v/>
      </c>
      <c r="F1328" s="32" t="str">
        <f>IF(Table!F1328 = "","",Table!F1328)</f>
        <v/>
      </c>
      <c r="G1328" s="91"/>
      <c r="K1328" s="31" t="str">
        <f>IFERROR(VLOOKUP(A1328,Table!$I$4:$O$3000,1,TRUE),"")</f>
        <v/>
      </c>
      <c r="L1328" s="31" t="str">
        <f>IFERROR(INDEX(Table!I:O,MATCH(K1328,Table!I:I,0),2),"")</f>
        <v/>
      </c>
      <c r="M1328" s="31" t="str">
        <f>IFERROR(INDEX(Table!I:O,MATCH(K1328,Table!I:I,0),3),"")</f>
        <v/>
      </c>
      <c r="N1328" s="32" t="str">
        <f>IFERROR(INDEX(Table!I:O,MATCH(K1328,Table!I:I,0),4),"")</f>
        <v/>
      </c>
      <c r="O1328" s="32" t="str">
        <f>IFERROR(INDEX(Table!I:O,MATCH(K1328,Table!I:I,0),5),"")</f>
        <v/>
      </c>
      <c r="P1328" s="32" t="str">
        <f>IFERROR(INDEX(Table!I:O,MATCH(K1328,Table!I:I,0),6),"")</f>
        <v/>
      </c>
      <c r="Q1328" s="89" t="str">
        <f t="shared" si="60"/>
        <v/>
      </c>
      <c r="R1328" s="89" t="str">
        <f t="shared" si="61"/>
        <v/>
      </c>
      <c r="S1328" s="82"/>
      <c r="U1328" s="37" t="e">
        <f t="shared" si="62"/>
        <v>#VALUE!</v>
      </c>
    </row>
    <row r="1329" spans="1:21" x14ac:dyDescent="0.25">
      <c r="A1329" s="31" t="str">
        <f>IF(Table!A1329 = "","",Table!A1329)</f>
        <v/>
      </c>
      <c r="B1329" s="31" t="str">
        <f>IF(Table!B1329 = "","",Table!B1329)</f>
        <v/>
      </c>
      <c r="C1329" s="31" t="str">
        <f>IF(Table!C1329 = "","",Table!C1329)</f>
        <v/>
      </c>
      <c r="D1329" s="32" t="str">
        <f>IF(Table!D1329 = "","",Table!D1329)</f>
        <v/>
      </c>
      <c r="E1329" s="32" t="str">
        <f>IF(Table!E1329 = "","",Table!E1329)</f>
        <v/>
      </c>
      <c r="F1329" s="32" t="str">
        <f>IF(Table!F1329 = "","",Table!F1329)</f>
        <v/>
      </c>
      <c r="G1329" s="91"/>
      <c r="K1329" s="31" t="str">
        <f>IFERROR(VLOOKUP(A1329,Table!$I$4:$O$3000,1,TRUE),"")</f>
        <v/>
      </c>
      <c r="L1329" s="31" t="str">
        <f>IFERROR(INDEX(Table!I:O,MATCH(K1329,Table!I:I,0),2),"")</f>
        <v/>
      </c>
      <c r="M1329" s="31" t="str">
        <f>IFERROR(INDEX(Table!I:O,MATCH(K1329,Table!I:I,0),3),"")</f>
        <v/>
      </c>
      <c r="N1329" s="32" t="str">
        <f>IFERROR(INDEX(Table!I:O,MATCH(K1329,Table!I:I,0),4),"")</f>
        <v/>
      </c>
      <c r="O1329" s="32" t="str">
        <f>IFERROR(INDEX(Table!I:O,MATCH(K1329,Table!I:I,0),5),"")</f>
        <v/>
      </c>
      <c r="P1329" s="32" t="str">
        <f>IFERROR(INDEX(Table!I:O,MATCH(K1329,Table!I:I,0),6),"")</f>
        <v/>
      </c>
      <c r="Q1329" s="89" t="str">
        <f t="shared" si="60"/>
        <v/>
      </c>
      <c r="R1329" s="89" t="str">
        <f t="shared" si="61"/>
        <v/>
      </c>
      <c r="S1329" s="82"/>
      <c r="U1329" s="37" t="e">
        <f t="shared" si="62"/>
        <v>#VALUE!</v>
      </c>
    </row>
    <row r="1330" spans="1:21" x14ac:dyDescent="0.25">
      <c r="A1330" s="31" t="str">
        <f>IF(Table!A1330 = "","",Table!A1330)</f>
        <v/>
      </c>
      <c r="B1330" s="31" t="str">
        <f>IF(Table!B1330 = "","",Table!B1330)</f>
        <v/>
      </c>
      <c r="C1330" s="31" t="str">
        <f>IF(Table!C1330 = "","",Table!C1330)</f>
        <v/>
      </c>
      <c r="D1330" s="32" t="str">
        <f>IF(Table!D1330 = "","",Table!D1330)</f>
        <v/>
      </c>
      <c r="E1330" s="32" t="str">
        <f>IF(Table!E1330 = "","",Table!E1330)</f>
        <v/>
      </c>
      <c r="F1330" s="32" t="str">
        <f>IF(Table!F1330 = "","",Table!F1330)</f>
        <v/>
      </c>
      <c r="G1330" s="91"/>
      <c r="K1330" s="31" t="str">
        <f>IFERROR(VLOOKUP(A1330,Table!$I$4:$O$3000,1,TRUE),"")</f>
        <v/>
      </c>
      <c r="L1330" s="31" t="str">
        <f>IFERROR(INDEX(Table!I:O,MATCH(K1330,Table!I:I,0),2),"")</f>
        <v/>
      </c>
      <c r="M1330" s="31" t="str">
        <f>IFERROR(INDEX(Table!I:O,MATCH(K1330,Table!I:I,0),3),"")</f>
        <v/>
      </c>
      <c r="N1330" s="32" t="str">
        <f>IFERROR(INDEX(Table!I:O,MATCH(K1330,Table!I:I,0),4),"")</f>
        <v/>
      </c>
      <c r="O1330" s="32" t="str">
        <f>IFERROR(INDEX(Table!I:O,MATCH(K1330,Table!I:I,0),5),"")</f>
        <v/>
      </c>
      <c r="P1330" s="32" t="str">
        <f>IFERROR(INDEX(Table!I:O,MATCH(K1330,Table!I:I,0),6),"")</f>
        <v/>
      </c>
      <c r="Q1330" s="89" t="str">
        <f t="shared" si="60"/>
        <v/>
      </c>
      <c r="R1330" s="89" t="str">
        <f t="shared" si="61"/>
        <v/>
      </c>
      <c r="S1330" s="82"/>
      <c r="U1330" s="37" t="e">
        <f t="shared" si="62"/>
        <v>#VALUE!</v>
      </c>
    </row>
    <row r="1331" spans="1:21" x14ac:dyDescent="0.25">
      <c r="A1331" s="31" t="str">
        <f>IF(Table!A1331 = "","",Table!A1331)</f>
        <v/>
      </c>
      <c r="B1331" s="31" t="str">
        <f>IF(Table!B1331 = "","",Table!B1331)</f>
        <v/>
      </c>
      <c r="C1331" s="31" t="str">
        <f>IF(Table!C1331 = "","",Table!C1331)</f>
        <v/>
      </c>
      <c r="D1331" s="32" t="str">
        <f>IF(Table!D1331 = "","",Table!D1331)</f>
        <v/>
      </c>
      <c r="E1331" s="32" t="str">
        <f>IF(Table!E1331 = "","",Table!E1331)</f>
        <v/>
      </c>
      <c r="F1331" s="32" t="str">
        <f>IF(Table!F1331 = "","",Table!F1331)</f>
        <v/>
      </c>
      <c r="G1331" s="91"/>
      <c r="K1331" s="31" t="str">
        <f>IFERROR(VLOOKUP(A1331,Table!$I$4:$O$3000,1,TRUE),"")</f>
        <v/>
      </c>
      <c r="L1331" s="31" t="str">
        <f>IFERROR(INDEX(Table!I:O,MATCH(K1331,Table!I:I,0),2),"")</f>
        <v/>
      </c>
      <c r="M1331" s="31" t="str">
        <f>IFERROR(INDEX(Table!I:O,MATCH(K1331,Table!I:I,0),3),"")</f>
        <v/>
      </c>
      <c r="N1331" s="32" t="str">
        <f>IFERROR(INDEX(Table!I:O,MATCH(K1331,Table!I:I,0),4),"")</f>
        <v/>
      </c>
      <c r="O1331" s="32" t="str">
        <f>IFERROR(INDEX(Table!I:O,MATCH(K1331,Table!I:I,0),5),"")</f>
        <v/>
      </c>
      <c r="P1331" s="32" t="str">
        <f>IFERROR(INDEX(Table!I:O,MATCH(K1331,Table!I:I,0),6),"")</f>
        <v/>
      </c>
      <c r="Q1331" s="89" t="str">
        <f t="shared" si="60"/>
        <v/>
      </c>
      <c r="R1331" s="89" t="str">
        <f t="shared" si="61"/>
        <v/>
      </c>
      <c r="S1331" s="82"/>
      <c r="U1331" s="37" t="e">
        <f t="shared" si="62"/>
        <v>#VALUE!</v>
      </c>
    </row>
    <row r="1332" spans="1:21" x14ac:dyDescent="0.25">
      <c r="A1332" s="31" t="str">
        <f>IF(Table!A1332 = "","",Table!A1332)</f>
        <v/>
      </c>
      <c r="B1332" s="31" t="str">
        <f>IF(Table!B1332 = "","",Table!B1332)</f>
        <v/>
      </c>
      <c r="C1332" s="31" t="str">
        <f>IF(Table!C1332 = "","",Table!C1332)</f>
        <v/>
      </c>
      <c r="D1332" s="32" t="str">
        <f>IF(Table!D1332 = "","",Table!D1332)</f>
        <v/>
      </c>
      <c r="E1332" s="32" t="str">
        <f>IF(Table!E1332 = "","",Table!E1332)</f>
        <v/>
      </c>
      <c r="F1332" s="32" t="str">
        <f>IF(Table!F1332 = "","",Table!F1332)</f>
        <v/>
      </c>
      <c r="G1332" s="91"/>
      <c r="K1332" s="31" t="str">
        <f>IFERROR(VLOOKUP(A1332,Table!$I$4:$O$3000,1,TRUE),"")</f>
        <v/>
      </c>
      <c r="L1332" s="31" t="str">
        <f>IFERROR(INDEX(Table!I:O,MATCH(K1332,Table!I:I,0),2),"")</f>
        <v/>
      </c>
      <c r="M1332" s="31" t="str">
        <f>IFERROR(INDEX(Table!I:O,MATCH(K1332,Table!I:I,0),3),"")</f>
        <v/>
      </c>
      <c r="N1332" s="32" t="str">
        <f>IFERROR(INDEX(Table!I:O,MATCH(K1332,Table!I:I,0),4),"")</f>
        <v/>
      </c>
      <c r="O1332" s="32" t="str">
        <f>IFERROR(INDEX(Table!I:O,MATCH(K1332,Table!I:I,0),5),"")</f>
        <v/>
      </c>
      <c r="P1332" s="32" t="str">
        <f>IFERROR(INDEX(Table!I:O,MATCH(K1332,Table!I:I,0),6),"")</f>
        <v/>
      </c>
      <c r="Q1332" s="89" t="str">
        <f t="shared" si="60"/>
        <v/>
      </c>
      <c r="R1332" s="89" t="str">
        <f t="shared" si="61"/>
        <v/>
      </c>
      <c r="S1332" s="82"/>
      <c r="U1332" s="37" t="e">
        <f t="shared" si="62"/>
        <v>#VALUE!</v>
      </c>
    </row>
    <row r="1333" spans="1:21" x14ac:dyDescent="0.25">
      <c r="A1333" s="31" t="str">
        <f>IF(Table!A1333 = "","",Table!A1333)</f>
        <v/>
      </c>
      <c r="B1333" s="31" t="str">
        <f>IF(Table!B1333 = "","",Table!B1333)</f>
        <v/>
      </c>
      <c r="C1333" s="31" t="str">
        <f>IF(Table!C1333 = "","",Table!C1333)</f>
        <v/>
      </c>
      <c r="D1333" s="32" t="str">
        <f>IF(Table!D1333 = "","",Table!D1333)</f>
        <v/>
      </c>
      <c r="E1333" s="32" t="str">
        <f>IF(Table!E1333 = "","",Table!E1333)</f>
        <v/>
      </c>
      <c r="F1333" s="32" t="str">
        <f>IF(Table!F1333 = "","",Table!F1333)</f>
        <v/>
      </c>
      <c r="G1333" s="91"/>
      <c r="K1333" s="31" t="str">
        <f>IFERROR(VLOOKUP(A1333,Table!$I$4:$O$3000,1,TRUE),"")</f>
        <v/>
      </c>
      <c r="L1333" s="31" t="str">
        <f>IFERROR(INDEX(Table!I:O,MATCH(K1333,Table!I:I,0),2),"")</f>
        <v/>
      </c>
      <c r="M1333" s="31" t="str">
        <f>IFERROR(INDEX(Table!I:O,MATCH(K1333,Table!I:I,0),3),"")</f>
        <v/>
      </c>
      <c r="N1333" s="32" t="str">
        <f>IFERROR(INDEX(Table!I:O,MATCH(K1333,Table!I:I,0),4),"")</f>
        <v/>
      </c>
      <c r="O1333" s="32" t="str">
        <f>IFERROR(INDEX(Table!I:O,MATCH(K1333,Table!I:I,0),5),"")</f>
        <v/>
      </c>
      <c r="P1333" s="32" t="str">
        <f>IFERROR(INDEX(Table!I:O,MATCH(K1333,Table!I:I,0),6),"")</f>
        <v/>
      </c>
      <c r="Q1333" s="89" t="str">
        <f t="shared" si="60"/>
        <v/>
      </c>
      <c r="R1333" s="89" t="str">
        <f t="shared" si="61"/>
        <v/>
      </c>
      <c r="S1333" s="82"/>
      <c r="U1333" s="37" t="e">
        <f t="shared" si="62"/>
        <v>#VALUE!</v>
      </c>
    </row>
    <row r="1334" spans="1:21" x14ac:dyDescent="0.25">
      <c r="A1334" s="31" t="str">
        <f>IF(Table!A1334 = "","",Table!A1334)</f>
        <v/>
      </c>
      <c r="B1334" s="31" t="str">
        <f>IF(Table!B1334 = "","",Table!B1334)</f>
        <v/>
      </c>
      <c r="C1334" s="31" t="str">
        <f>IF(Table!C1334 = "","",Table!C1334)</f>
        <v/>
      </c>
      <c r="D1334" s="32" t="str">
        <f>IF(Table!D1334 = "","",Table!D1334)</f>
        <v/>
      </c>
      <c r="E1334" s="32" t="str">
        <f>IF(Table!E1334 = "","",Table!E1334)</f>
        <v/>
      </c>
      <c r="F1334" s="32" t="str">
        <f>IF(Table!F1334 = "","",Table!F1334)</f>
        <v/>
      </c>
      <c r="G1334" s="91"/>
      <c r="K1334" s="31" t="str">
        <f>IFERROR(VLOOKUP(A1334,Table!$I$4:$O$3000,1,TRUE),"")</f>
        <v/>
      </c>
      <c r="L1334" s="31" t="str">
        <f>IFERROR(INDEX(Table!I:O,MATCH(K1334,Table!I:I,0),2),"")</f>
        <v/>
      </c>
      <c r="M1334" s="31" t="str">
        <f>IFERROR(INDEX(Table!I:O,MATCH(K1334,Table!I:I,0),3),"")</f>
        <v/>
      </c>
      <c r="N1334" s="32" t="str">
        <f>IFERROR(INDEX(Table!I:O,MATCH(K1334,Table!I:I,0),4),"")</f>
        <v/>
      </c>
      <c r="O1334" s="32" t="str">
        <f>IFERROR(INDEX(Table!I:O,MATCH(K1334,Table!I:I,0),5),"")</f>
        <v/>
      </c>
      <c r="P1334" s="32" t="str">
        <f>IFERROR(INDEX(Table!I:O,MATCH(K1334,Table!I:I,0),6),"")</f>
        <v/>
      </c>
      <c r="Q1334" s="89" t="str">
        <f t="shared" si="60"/>
        <v/>
      </c>
      <c r="R1334" s="89" t="str">
        <f t="shared" si="61"/>
        <v/>
      </c>
      <c r="S1334" s="82"/>
      <c r="U1334" s="37" t="e">
        <f t="shared" si="62"/>
        <v>#VALUE!</v>
      </c>
    </row>
    <row r="1335" spans="1:21" x14ac:dyDescent="0.25">
      <c r="A1335" s="31" t="str">
        <f>IF(Table!A1335 = "","",Table!A1335)</f>
        <v/>
      </c>
      <c r="B1335" s="31" t="str">
        <f>IF(Table!B1335 = "","",Table!B1335)</f>
        <v/>
      </c>
      <c r="C1335" s="31" t="str">
        <f>IF(Table!C1335 = "","",Table!C1335)</f>
        <v/>
      </c>
      <c r="D1335" s="32" t="str">
        <f>IF(Table!D1335 = "","",Table!D1335)</f>
        <v/>
      </c>
      <c r="E1335" s="32" t="str">
        <f>IF(Table!E1335 = "","",Table!E1335)</f>
        <v/>
      </c>
      <c r="F1335" s="32" t="str">
        <f>IF(Table!F1335 = "","",Table!F1335)</f>
        <v/>
      </c>
      <c r="G1335" s="91"/>
      <c r="K1335" s="31" t="str">
        <f>IFERROR(VLOOKUP(A1335,Table!$I$4:$O$3000,1,TRUE),"")</f>
        <v/>
      </c>
      <c r="L1335" s="31" t="str">
        <f>IFERROR(INDEX(Table!I:O,MATCH(K1335,Table!I:I,0),2),"")</f>
        <v/>
      </c>
      <c r="M1335" s="31" t="str">
        <f>IFERROR(INDEX(Table!I:O,MATCH(K1335,Table!I:I,0),3),"")</f>
        <v/>
      </c>
      <c r="N1335" s="32" t="str">
        <f>IFERROR(INDEX(Table!I:O,MATCH(K1335,Table!I:I,0),4),"")</f>
        <v/>
      </c>
      <c r="O1335" s="32" t="str">
        <f>IFERROR(INDEX(Table!I:O,MATCH(K1335,Table!I:I,0),5),"")</f>
        <v/>
      </c>
      <c r="P1335" s="32" t="str">
        <f>IFERROR(INDEX(Table!I:O,MATCH(K1335,Table!I:I,0),6),"")</f>
        <v/>
      </c>
      <c r="Q1335" s="89" t="str">
        <f t="shared" si="60"/>
        <v/>
      </c>
      <c r="R1335" s="89" t="str">
        <f t="shared" si="61"/>
        <v/>
      </c>
      <c r="S1335" s="82"/>
      <c r="U1335" s="37" t="e">
        <f t="shared" si="62"/>
        <v>#VALUE!</v>
      </c>
    </row>
    <row r="1336" spans="1:21" x14ac:dyDescent="0.25">
      <c r="A1336" s="31" t="str">
        <f>IF(Table!A1336 = "","",Table!A1336)</f>
        <v/>
      </c>
      <c r="B1336" s="31" t="str">
        <f>IF(Table!B1336 = "","",Table!B1336)</f>
        <v/>
      </c>
      <c r="C1336" s="31" t="str">
        <f>IF(Table!C1336 = "","",Table!C1336)</f>
        <v/>
      </c>
      <c r="D1336" s="32" t="str">
        <f>IF(Table!D1336 = "","",Table!D1336)</f>
        <v/>
      </c>
      <c r="E1336" s="32" t="str">
        <f>IF(Table!E1336 = "","",Table!E1336)</f>
        <v/>
      </c>
      <c r="F1336" s="32" t="str">
        <f>IF(Table!F1336 = "","",Table!F1336)</f>
        <v/>
      </c>
      <c r="G1336" s="91"/>
      <c r="K1336" s="31" t="str">
        <f>IFERROR(VLOOKUP(A1336,Table!$I$4:$O$3000,1,TRUE),"")</f>
        <v/>
      </c>
      <c r="L1336" s="31" t="str">
        <f>IFERROR(INDEX(Table!I:O,MATCH(K1336,Table!I:I,0),2),"")</f>
        <v/>
      </c>
      <c r="M1336" s="31" t="str">
        <f>IFERROR(INDEX(Table!I:O,MATCH(K1336,Table!I:I,0),3),"")</f>
        <v/>
      </c>
      <c r="N1336" s="32" t="str">
        <f>IFERROR(INDEX(Table!I:O,MATCH(K1336,Table!I:I,0),4),"")</f>
        <v/>
      </c>
      <c r="O1336" s="32" t="str">
        <f>IFERROR(INDEX(Table!I:O,MATCH(K1336,Table!I:I,0),5),"")</f>
        <v/>
      </c>
      <c r="P1336" s="32" t="str">
        <f>IFERROR(INDEX(Table!I:O,MATCH(K1336,Table!I:I,0),6),"")</f>
        <v/>
      </c>
      <c r="Q1336" s="89" t="str">
        <f t="shared" si="60"/>
        <v/>
      </c>
      <c r="R1336" s="89" t="str">
        <f t="shared" si="61"/>
        <v/>
      </c>
      <c r="S1336" s="82"/>
      <c r="U1336" s="37" t="e">
        <f t="shared" si="62"/>
        <v>#VALUE!</v>
      </c>
    </row>
    <row r="1337" spans="1:21" x14ac:dyDescent="0.25">
      <c r="A1337" s="31" t="str">
        <f>IF(Table!A1337 = "","",Table!A1337)</f>
        <v/>
      </c>
      <c r="B1337" s="31" t="str">
        <f>IF(Table!B1337 = "","",Table!B1337)</f>
        <v/>
      </c>
      <c r="C1337" s="31" t="str">
        <f>IF(Table!C1337 = "","",Table!C1337)</f>
        <v/>
      </c>
      <c r="D1337" s="32" t="str">
        <f>IF(Table!D1337 = "","",Table!D1337)</f>
        <v/>
      </c>
      <c r="E1337" s="32" t="str">
        <f>IF(Table!E1337 = "","",Table!E1337)</f>
        <v/>
      </c>
      <c r="F1337" s="32" t="str">
        <f>IF(Table!F1337 = "","",Table!F1337)</f>
        <v/>
      </c>
      <c r="G1337" s="91"/>
      <c r="K1337" s="31" t="str">
        <f>IFERROR(VLOOKUP(A1337,Table!$I$4:$O$3000,1,TRUE),"")</f>
        <v/>
      </c>
      <c r="L1337" s="31" t="str">
        <f>IFERROR(INDEX(Table!I:O,MATCH(K1337,Table!I:I,0),2),"")</f>
        <v/>
      </c>
      <c r="M1337" s="31" t="str">
        <f>IFERROR(INDEX(Table!I:O,MATCH(K1337,Table!I:I,0),3),"")</f>
        <v/>
      </c>
      <c r="N1337" s="32" t="str">
        <f>IFERROR(INDEX(Table!I:O,MATCH(K1337,Table!I:I,0),4),"")</f>
        <v/>
      </c>
      <c r="O1337" s="32" t="str">
        <f>IFERROR(INDEX(Table!I:O,MATCH(K1337,Table!I:I,0),5),"")</f>
        <v/>
      </c>
      <c r="P1337" s="32" t="str">
        <f>IFERROR(INDEX(Table!I:O,MATCH(K1337,Table!I:I,0),6),"")</f>
        <v/>
      </c>
      <c r="Q1337" s="89" t="str">
        <f t="shared" si="60"/>
        <v/>
      </c>
      <c r="R1337" s="89" t="str">
        <f t="shared" si="61"/>
        <v/>
      </c>
      <c r="S1337" s="82"/>
      <c r="U1337" s="37" t="e">
        <f t="shared" si="62"/>
        <v>#VALUE!</v>
      </c>
    </row>
    <row r="1338" spans="1:21" x14ac:dyDescent="0.25">
      <c r="A1338" s="31" t="str">
        <f>IF(Table!A1338 = "","",Table!A1338)</f>
        <v/>
      </c>
      <c r="B1338" s="31" t="str">
        <f>IF(Table!B1338 = "","",Table!B1338)</f>
        <v/>
      </c>
      <c r="C1338" s="31" t="str">
        <f>IF(Table!C1338 = "","",Table!C1338)</f>
        <v/>
      </c>
      <c r="D1338" s="32" t="str">
        <f>IF(Table!D1338 = "","",Table!D1338)</f>
        <v/>
      </c>
      <c r="E1338" s="32" t="str">
        <f>IF(Table!E1338 = "","",Table!E1338)</f>
        <v/>
      </c>
      <c r="F1338" s="32" t="str">
        <f>IF(Table!F1338 = "","",Table!F1338)</f>
        <v/>
      </c>
      <c r="G1338" s="91"/>
      <c r="K1338" s="31" t="str">
        <f>IFERROR(VLOOKUP(A1338,Table!$I$4:$O$3000,1,TRUE),"")</f>
        <v/>
      </c>
      <c r="L1338" s="31" t="str">
        <f>IFERROR(INDEX(Table!I:O,MATCH(K1338,Table!I:I,0),2),"")</f>
        <v/>
      </c>
      <c r="M1338" s="31" t="str">
        <f>IFERROR(INDEX(Table!I:O,MATCH(K1338,Table!I:I,0),3),"")</f>
        <v/>
      </c>
      <c r="N1338" s="32" t="str">
        <f>IFERROR(INDEX(Table!I:O,MATCH(K1338,Table!I:I,0),4),"")</f>
        <v/>
      </c>
      <c r="O1338" s="32" t="str">
        <f>IFERROR(INDEX(Table!I:O,MATCH(K1338,Table!I:I,0),5),"")</f>
        <v/>
      </c>
      <c r="P1338" s="32" t="str">
        <f>IFERROR(INDEX(Table!I:O,MATCH(K1338,Table!I:I,0),6),"")</f>
        <v/>
      </c>
      <c r="Q1338" s="89" t="str">
        <f t="shared" si="60"/>
        <v/>
      </c>
      <c r="R1338" s="89" t="str">
        <f t="shared" si="61"/>
        <v/>
      </c>
      <c r="S1338" s="82"/>
      <c r="U1338" s="37" t="e">
        <f t="shared" si="62"/>
        <v>#VALUE!</v>
      </c>
    </row>
    <row r="1339" spans="1:21" x14ac:dyDescent="0.25">
      <c r="A1339" s="31" t="str">
        <f>IF(Table!A1339 = "","",Table!A1339)</f>
        <v/>
      </c>
      <c r="B1339" s="31" t="str">
        <f>IF(Table!B1339 = "","",Table!B1339)</f>
        <v/>
      </c>
      <c r="C1339" s="31" t="str">
        <f>IF(Table!C1339 = "","",Table!C1339)</f>
        <v/>
      </c>
      <c r="D1339" s="32" t="str">
        <f>IF(Table!D1339 = "","",Table!D1339)</f>
        <v/>
      </c>
      <c r="E1339" s="32" t="str">
        <f>IF(Table!E1339 = "","",Table!E1339)</f>
        <v/>
      </c>
      <c r="F1339" s="32" t="str">
        <f>IF(Table!F1339 = "","",Table!F1339)</f>
        <v/>
      </c>
      <c r="G1339" s="91"/>
      <c r="K1339" s="31" t="str">
        <f>IFERROR(VLOOKUP(A1339,Table!$I$4:$O$3000,1,TRUE),"")</f>
        <v/>
      </c>
      <c r="L1339" s="31" t="str">
        <f>IFERROR(INDEX(Table!I:O,MATCH(K1339,Table!I:I,0),2),"")</f>
        <v/>
      </c>
      <c r="M1339" s="31" t="str">
        <f>IFERROR(INDEX(Table!I:O,MATCH(K1339,Table!I:I,0),3),"")</f>
        <v/>
      </c>
      <c r="N1339" s="32" t="str">
        <f>IFERROR(INDEX(Table!I:O,MATCH(K1339,Table!I:I,0),4),"")</f>
        <v/>
      </c>
      <c r="O1339" s="32" t="str">
        <f>IFERROR(INDEX(Table!I:O,MATCH(K1339,Table!I:I,0),5),"")</f>
        <v/>
      </c>
      <c r="P1339" s="32" t="str">
        <f>IFERROR(INDEX(Table!I:O,MATCH(K1339,Table!I:I,0),6),"")</f>
        <v/>
      </c>
      <c r="Q1339" s="89" t="str">
        <f t="shared" si="60"/>
        <v/>
      </c>
      <c r="R1339" s="89" t="str">
        <f t="shared" si="61"/>
        <v/>
      </c>
      <c r="S1339" s="82"/>
      <c r="U1339" s="37" t="e">
        <f t="shared" si="62"/>
        <v>#VALUE!</v>
      </c>
    </row>
    <row r="1340" spans="1:21" x14ac:dyDescent="0.25">
      <c r="A1340" s="31" t="str">
        <f>IF(Table!A1340 = "","",Table!A1340)</f>
        <v/>
      </c>
      <c r="B1340" s="31" t="str">
        <f>IF(Table!B1340 = "","",Table!B1340)</f>
        <v/>
      </c>
      <c r="C1340" s="31" t="str">
        <f>IF(Table!C1340 = "","",Table!C1340)</f>
        <v/>
      </c>
      <c r="D1340" s="32" t="str">
        <f>IF(Table!D1340 = "","",Table!D1340)</f>
        <v/>
      </c>
      <c r="E1340" s="32" t="str">
        <f>IF(Table!E1340 = "","",Table!E1340)</f>
        <v/>
      </c>
      <c r="F1340" s="32" t="str">
        <f>IF(Table!F1340 = "","",Table!F1340)</f>
        <v/>
      </c>
      <c r="G1340" s="91"/>
      <c r="K1340" s="31" t="str">
        <f>IFERROR(VLOOKUP(A1340,Table!$I$4:$O$3000,1,TRUE),"")</f>
        <v/>
      </c>
      <c r="L1340" s="31" t="str">
        <f>IFERROR(INDEX(Table!I:O,MATCH(K1340,Table!I:I,0),2),"")</f>
        <v/>
      </c>
      <c r="M1340" s="31" t="str">
        <f>IFERROR(INDEX(Table!I:O,MATCH(K1340,Table!I:I,0),3),"")</f>
        <v/>
      </c>
      <c r="N1340" s="32" t="str">
        <f>IFERROR(INDEX(Table!I:O,MATCH(K1340,Table!I:I,0),4),"")</f>
        <v/>
      </c>
      <c r="O1340" s="32" t="str">
        <f>IFERROR(INDEX(Table!I:O,MATCH(K1340,Table!I:I,0),5),"")</f>
        <v/>
      </c>
      <c r="P1340" s="32" t="str">
        <f>IFERROR(INDEX(Table!I:O,MATCH(K1340,Table!I:I,0),6),"")</f>
        <v/>
      </c>
      <c r="Q1340" s="89" t="str">
        <f t="shared" si="60"/>
        <v/>
      </c>
      <c r="R1340" s="89" t="str">
        <f t="shared" si="61"/>
        <v/>
      </c>
      <c r="S1340" s="82"/>
      <c r="U1340" s="37" t="e">
        <f t="shared" si="62"/>
        <v>#VALUE!</v>
      </c>
    </row>
    <row r="1341" spans="1:21" x14ac:dyDescent="0.25">
      <c r="A1341" s="31" t="str">
        <f>IF(Table!A1341 = "","",Table!A1341)</f>
        <v/>
      </c>
      <c r="B1341" s="31" t="str">
        <f>IF(Table!B1341 = "","",Table!B1341)</f>
        <v/>
      </c>
      <c r="C1341" s="31" t="str">
        <f>IF(Table!C1341 = "","",Table!C1341)</f>
        <v/>
      </c>
      <c r="D1341" s="32" t="str">
        <f>IF(Table!D1341 = "","",Table!D1341)</f>
        <v/>
      </c>
      <c r="E1341" s="32" t="str">
        <f>IF(Table!E1341 = "","",Table!E1341)</f>
        <v/>
      </c>
      <c r="F1341" s="32" t="str">
        <f>IF(Table!F1341 = "","",Table!F1341)</f>
        <v/>
      </c>
      <c r="G1341" s="91"/>
      <c r="K1341" s="31" t="str">
        <f>IFERROR(VLOOKUP(A1341,Table!$I$4:$O$3000,1,TRUE),"")</f>
        <v/>
      </c>
      <c r="L1341" s="31" t="str">
        <f>IFERROR(INDEX(Table!I:O,MATCH(K1341,Table!I:I,0),2),"")</f>
        <v/>
      </c>
      <c r="M1341" s="31" t="str">
        <f>IFERROR(INDEX(Table!I:O,MATCH(K1341,Table!I:I,0),3),"")</f>
        <v/>
      </c>
      <c r="N1341" s="32" t="str">
        <f>IFERROR(INDEX(Table!I:O,MATCH(K1341,Table!I:I,0),4),"")</f>
        <v/>
      </c>
      <c r="O1341" s="32" t="str">
        <f>IFERROR(INDEX(Table!I:O,MATCH(K1341,Table!I:I,0),5),"")</f>
        <v/>
      </c>
      <c r="P1341" s="32" t="str">
        <f>IFERROR(INDEX(Table!I:O,MATCH(K1341,Table!I:I,0),6),"")</f>
        <v/>
      </c>
      <c r="Q1341" s="89" t="str">
        <f t="shared" si="60"/>
        <v/>
      </c>
      <c r="R1341" s="89" t="str">
        <f t="shared" si="61"/>
        <v/>
      </c>
      <c r="S1341" s="82"/>
      <c r="U1341" s="37" t="e">
        <f t="shared" si="62"/>
        <v>#VALUE!</v>
      </c>
    </row>
    <row r="1342" spans="1:21" x14ac:dyDescent="0.25">
      <c r="A1342" s="31" t="str">
        <f>IF(Table!A1342 = "","",Table!A1342)</f>
        <v/>
      </c>
      <c r="B1342" s="31" t="str">
        <f>IF(Table!B1342 = "","",Table!B1342)</f>
        <v/>
      </c>
      <c r="C1342" s="31" t="str">
        <f>IF(Table!C1342 = "","",Table!C1342)</f>
        <v/>
      </c>
      <c r="D1342" s="32" t="str">
        <f>IF(Table!D1342 = "","",Table!D1342)</f>
        <v/>
      </c>
      <c r="E1342" s="32" t="str">
        <f>IF(Table!E1342 = "","",Table!E1342)</f>
        <v/>
      </c>
      <c r="F1342" s="32" t="str">
        <f>IF(Table!F1342 = "","",Table!F1342)</f>
        <v/>
      </c>
      <c r="G1342" s="91"/>
      <c r="K1342" s="31" t="str">
        <f>IFERROR(VLOOKUP(A1342,Table!$I$4:$O$3000,1,TRUE),"")</f>
        <v/>
      </c>
      <c r="L1342" s="31" t="str">
        <f>IFERROR(INDEX(Table!I:O,MATCH(K1342,Table!I:I,0),2),"")</f>
        <v/>
      </c>
      <c r="M1342" s="31" t="str">
        <f>IFERROR(INDEX(Table!I:O,MATCH(K1342,Table!I:I,0),3),"")</f>
        <v/>
      </c>
      <c r="N1342" s="32" t="str">
        <f>IFERROR(INDEX(Table!I:O,MATCH(K1342,Table!I:I,0),4),"")</f>
        <v/>
      </c>
      <c r="O1342" s="32" t="str">
        <f>IFERROR(INDEX(Table!I:O,MATCH(K1342,Table!I:I,0),5),"")</f>
        <v/>
      </c>
      <c r="P1342" s="32" t="str">
        <f>IFERROR(INDEX(Table!I:O,MATCH(K1342,Table!I:I,0),6),"")</f>
        <v/>
      </c>
      <c r="Q1342" s="89" t="str">
        <f t="shared" si="60"/>
        <v/>
      </c>
      <c r="R1342" s="89" t="str">
        <f t="shared" si="61"/>
        <v/>
      </c>
      <c r="S1342" s="82"/>
      <c r="U1342" s="37" t="e">
        <f t="shared" si="62"/>
        <v>#VALUE!</v>
      </c>
    </row>
    <row r="1343" spans="1:21" x14ac:dyDescent="0.25">
      <c r="A1343" s="31" t="str">
        <f>IF(Table!A1343 = "","",Table!A1343)</f>
        <v/>
      </c>
      <c r="B1343" s="31" t="str">
        <f>IF(Table!B1343 = "","",Table!B1343)</f>
        <v/>
      </c>
      <c r="C1343" s="31" t="str">
        <f>IF(Table!C1343 = "","",Table!C1343)</f>
        <v/>
      </c>
      <c r="D1343" s="32" t="str">
        <f>IF(Table!D1343 = "","",Table!D1343)</f>
        <v/>
      </c>
      <c r="E1343" s="32" t="str">
        <f>IF(Table!E1343 = "","",Table!E1343)</f>
        <v/>
      </c>
      <c r="F1343" s="32" t="str">
        <f>IF(Table!F1343 = "","",Table!F1343)</f>
        <v/>
      </c>
      <c r="G1343" s="91"/>
      <c r="K1343" s="31" t="str">
        <f>IFERROR(VLOOKUP(A1343,Table!$I$4:$O$3000,1,TRUE),"")</f>
        <v/>
      </c>
      <c r="L1343" s="31" t="str">
        <f>IFERROR(INDEX(Table!I:O,MATCH(K1343,Table!I:I,0),2),"")</f>
        <v/>
      </c>
      <c r="M1343" s="31" t="str">
        <f>IFERROR(INDEX(Table!I:O,MATCH(K1343,Table!I:I,0),3),"")</f>
        <v/>
      </c>
      <c r="N1343" s="32" t="str">
        <f>IFERROR(INDEX(Table!I:O,MATCH(K1343,Table!I:I,0),4),"")</f>
        <v/>
      </c>
      <c r="O1343" s="32" t="str">
        <f>IFERROR(INDEX(Table!I:O,MATCH(K1343,Table!I:I,0),5),"")</f>
        <v/>
      </c>
      <c r="P1343" s="32" t="str">
        <f>IFERROR(INDEX(Table!I:O,MATCH(K1343,Table!I:I,0),6),"")</f>
        <v/>
      </c>
      <c r="Q1343" s="89" t="str">
        <f t="shared" si="60"/>
        <v/>
      </c>
      <c r="R1343" s="89" t="str">
        <f t="shared" si="61"/>
        <v/>
      </c>
      <c r="S1343" s="82"/>
      <c r="U1343" s="37" t="e">
        <f t="shared" si="62"/>
        <v>#VALUE!</v>
      </c>
    </row>
    <row r="1344" spans="1:21" x14ac:dyDescent="0.25">
      <c r="A1344" s="31" t="str">
        <f>IF(Table!A1344 = "","",Table!A1344)</f>
        <v/>
      </c>
      <c r="B1344" s="31" t="str">
        <f>IF(Table!B1344 = "","",Table!B1344)</f>
        <v/>
      </c>
      <c r="C1344" s="31" t="str">
        <f>IF(Table!C1344 = "","",Table!C1344)</f>
        <v/>
      </c>
      <c r="D1344" s="32" t="str">
        <f>IF(Table!D1344 = "","",Table!D1344)</f>
        <v/>
      </c>
      <c r="E1344" s="32" t="str">
        <f>IF(Table!E1344 = "","",Table!E1344)</f>
        <v/>
      </c>
      <c r="F1344" s="32" t="str">
        <f>IF(Table!F1344 = "","",Table!F1344)</f>
        <v/>
      </c>
      <c r="G1344" s="91"/>
      <c r="K1344" s="31" t="str">
        <f>IFERROR(VLOOKUP(A1344,Table!$I$4:$O$3000,1,TRUE),"")</f>
        <v/>
      </c>
      <c r="L1344" s="31" t="str">
        <f>IFERROR(INDEX(Table!I:O,MATCH(K1344,Table!I:I,0),2),"")</f>
        <v/>
      </c>
      <c r="M1344" s="31" t="str">
        <f>IFERROR(INDEX(Table!I:O,MATCH(K1344,Table!I:I,0),3),"")</f>
        <v/>
      </c>
      <c r="N1344" s="32" t="str">
        <f>IFERROR(INDEX(Table!I:O,MATCH(K1344,Table!I:I,0),4),"")</f>
        <v/>
      </c>
      <c r="O1344" s="32" t="str">
        <f>IFERROR(INDEX(Table!I:O,MATCH(K1344,Table!I:I,0),5),"")</f>
        <v/>
      </c>
      <c r="P1344" s="32" t="str">
        <f>IFERROR(INDEX(Table!I:O,MATCH(K1344,Table!I:I,0),6),"")</f>
        <v/>
      </c>
      <c r="Q1344" s="89" t="str">
        <f t="shared" si="60"/>
        <v/>
      </c>
      <c r="R1344" s="89" t="str">
        <f t="shared" si="61"/>
        <v/>
      </c>
      <c r="S1344" s="82"/>
      <c r="U1344" s="37" t="e">
        <f t="shared" si="62"/>
        <v>#VALUE!</v>
      </c>
    </row>
    <row r="1345" spans="1:21" x14ac:dyDescent="0.25">
      <c r="A1345" s="31" t="str">
        <f>IF(Table!A1345 = "","",Table!A1345)</f>
        <v/>
      </c>
      <c r="B1345" s="31" t="str">
        <f>IF(Table!B1345 = "","",Table!B1345)</f>
        <v/>
      </c>
      <c r="C1345" s="31" t="str">
        <f>IF(Table!C1345 = "","",Table!C1345)</f>
        <v/>
      </c>
      <c r="D1345" s="32" t="str">
        <f>IF(Table!D1345 = "","",Table!D1345)</f>
        <v/>
      </c>
      <c r="E1345" s="32" t="str">
        <f>IF(Table!E1345 = "","",Table!E1345)</f>
        <v/>
      </c>
      <c r="F1345" s="32" t="str">
        <f>IF(Table!F1345 = "","",Table!F1345)</f>
        <v/>
      </c>
      <c r="G1345" s="91"/>
      <c r="K1345" s="31" t="str">
        <f>IFERROR(VLOOKUP(A1345,Table!$I$4:$O$3000,1,TRUE),"")</f>
        <v/>
      </c>
      <c r="L1345" s="31" t="str">
        <f>IFERROR(INDEX(Table!I:O,MATCH(K1345,Table!I:I,0),2),"")</f>
        <v/>
      </c>
      <c r="M1345" s="31" t="str">
        <f>IFERROR(INDEX(Table!I:O,MATCH(K1345,Table!I:I,0),3),"")</f>
        <v/>
      </c>
      <c r="N1345" s="32" t="str">
        <f>IFERROR(INDEX(Table!I:O,MATCH(K1345,Table!I:I,0),4),"")</f>
        <v/>
      </c>
      <c r="O1345" s="32" t="str">
        <f>IFERROR(INDEX(Table!I:O,MATCH(K1345,Table!I:I,0),5),"")</f>
        <v/>
      </c>
      <c r="P1345" s="32" t="str">
        <f>IFERROR(INDEX(Table!I:O,MATCH(K1345,Table!I:I,0),6),"")</f>
        <v/>
      </c>
      <c r="Q1345" s="89" t="str">
        <f t="shared" si="60"/>
        <v/>
      </c>
      <c r="R1345" s="89" t="str">
        <f t="shared" si="61"/>
        <v/>
      </c>
      <c r="S1345" s="82"/>
      <c r="U1345" s="37" t="e">
        <f t="shared" si="62"/>
        <v>#VALUE!</v>
      </c>
    </row>
    <row r="1346" spans="1:21" x14ac:dyDescent="0.25">
      <c r="A1346" s="31" t="str">
        <f>IF(Table!A1346 = "","",Table!A1346)</f>
        <v/>
      </c>
      <c r="B1346" s="31" t="str">
        <f>IF(Table!B1346 = "","",Table!B1346)</f>
        <v/>
      </c>
      <c r="C1346" s="31" t="str">
        <f>IF(Table!C1346 = "","",Table!C1346)</f>
        <v/>
      </c>
      <c r="D1346" s="32" t="str">
        <f>IF(Table!D1346 = "","",Table!D1346)</f>
        <v/>
      </c>
      <c r="E1346" s="32" t="str">
        <f>IF(Table!E1346 = "","",Table!E1346)</f>
        <v/>
      </c>
      <c r="F1346" s="32" t="str">
        <f>IF(Table!F1346 = "","",Table!F1346)</f>
        <v/>
      </c>
      <c r="G1346" s="91"/>
      <c r="K1346" s="31" t="str">
        <f>IFERROR(VLOOKUP(A1346,Table!$I$4:$O$3000,1,TRUE),"")</f>
        <v/>
      </c>
      <c r="L1346" s="31" t="str">
        <f>IFERROR(INDEX(Table!I:O,MATCH(K1346,Table!I:I,0),2),"")</f>
        <v/>
      </c>
      <c r="M1346" s="31" t="str">
        <f>IFERROR(INDEX(Table!I:O,MATCH(K1346,Table!I:I,0),3),"")</f>
        <v/>
      </c>
      <c r="N1346" s="32" t="str">
        <f>IFERROR(INDEX(Table!I:O,MATCH(K1346,Table!I:I,0),4),"")</f>
        <v/>
      </c>
      <c r="O1346" s="32" t="str">
        <f>IFERROR(INDEX(Table!I:O,MATCH(K1346,Table!I:I,0),5),"")</f>
        <v/>
      </c>
      <c r="P1346" s="32" t="str">
        <f>IFERROR(INDEX(Table!I:O,MATCH(K1346,Table!I:I,0),6),"")</f>
        <v/>
      </c>
      <c r="Q1346" s="89" t="str">
        <f t="shared" si="60"/>
        <v/>
      </c>
      <c r="R1346" s="89" t="str">
        <f t="shared" si="61"/>
        <v/>
      </c>
      <c r="S1346" s="82"/>
      <c r="U1346" s="37" t="e">
        <f t="shared" si="62"/>
        <v>#VALUE!</v>
      </c>
    </row>
    <row r="1347" spans="1:21" x14ac:dyDescent="0.25">
      <c r="A1347" s="31" t="str">
        <f>IF(Table!A1347 = "","",Table!A1347)</f>
        <v/>
      </c>
      <c r="B1347" s="31" t="str">
        <f>IF(Table!B1347 = "","",Table!B1347)</f>
        <v/>
      </c>
      <c r="C1347" s="31" t="str">
        <f>IF(Table!C1347 = "","",Table!C1347)</f>
        <v/>
      </c>
      <c r="D1347" s="32" t="str">
        <f>IF(Table!D1347 = "","",Table!D1347)</f>
        <v/>
      </c>
      <c r="E1347" s="32" t="str">
        <f>IF(Table!E1347 = "","",Table!E1347)</f>
        <v/>
      </c>
      <c r="F1347" s="32" t="str">
        <f>IF(Table!F1347 = "","",Table!F1347)</f>
        <v/>
      </c>
      <c r="G1347" s="91"/>
      <c r="K1347" s="31" t="str">
        <f>IFERROR(VLOOKUP(A1347,Table!$I$4:$O$3000,1,TRUE),"")</f>
        <v/>
      </c>
      <c r="L1347" s="31" t="str">
        <f>IFERROR(INDEX(Table!I:O,MATCH(K1347,Table!I:I,0),2),"")</f>
        <v/>
      </c>
      <c r="M1347" s="31" t="str">
        <f>IFERROR(INDEX(Table!I:O,MATCH(K1347,Table!I:I,0),3),"")</f>
        <v/>
      </c>
      <c r="N1347" s="32" t="str">
        <f>IFERROR(INDEX(Table!I:O,MATCH(K1347,Table!I:I,0),4),"")</f>
        <v/>
      </c>
      <c r="O1347" s="32" t="str">
        <f>IFERROR(INDEX(Table!I:O,MATCH(K1347,Table!I:I,0),5),"")</f>
        <v/>
      </c>
      <c r="P1347" s="32" t="str">
        <f>IFERROR(INDEX(Table!I:O,MATCH(K1347,Table!I:I,0),6),"")</f>
        <v/>
      </c>
      <c r="Q1347" s="89" t="str">
        <f t="shared" si="60"/>
        <v/>
      </c>
      <c r="R1347" s="89" t="str">
        <f t="shared" si="61"/>
        <v/>
      </c>
      <c r="S1347" s="82"/>
      <c r="U1347" s="37" t="e">
        <f t="shared" si="62"/>
        <v>#VALUE!</v>
      </c>
    </row>
    <row r="1348" spans="1:21" x14ac:dyDescent="0.25">
      <c r="A1348" s="31" t="str">
        <f>IF(Table!A1348 = "","",Table!A1348)</f>
        <v/>
      </c>
      <c r="B1348" s="31" t="str">
        <f>IF(Table!B1348 = "","",Table!B1348)</f>
        <v/>
      </c>
      <c r="C1348" s="31" t="str">
        <f>IF(Table!C1348 = "","",Table!C1348)</f>
        <v/>
      </c>
      <c r="D1348" s="32" t="str">
        <f>IF(Table!D1348 = "","",Table!D1348)</f>
        <v/>
      </c>
      <c r="E1348" s="32" t="str">
        <f>IF(Table!E1348 = "","",Table!E1348)</f>
        <v/>
      </c>
      <c r="F1348" s="32" t="str">
        <f>IF(Table!F1348 = "","",Table!F1348)</f>
        <v/>
      </c>
      <c r="G1348" s="91"/>
      <c r="K1348" s="31" t="str">
        <f>IFERROR(VLOOKUP(A1348,Table!$I$4:$O$3000,1,TRUE),"")</f>
        <v/>
      </c>
      <c r="L1348" s="31" t="str">
        <f>IFERROR(INDEX(Table!I:O,MATCH(K1348,Table!I:I,0),2),"")</f>
        <v/>
      </c>
      <c r="M1348" s="31" t="str">
        <f>IFERROR(INDEX(Table!I:O,MATCH(K1348,Table!I:I,0),3),"")</f>
        <v/>
      </c>
      <c r="N1348" s="32" t="str">
        <f>IFERROR(INDEX(Table!I:O,MATCH(K1348,Table!I:I,0),4),"")</f>
        <v/>
      </c>
      <c r="O1348" s="32" t="str">
        <f>IFERROR(INDEX(Table!I:O,MATCH(K1348,Table!I:I,0),5),"")</f>
        <v/>
      </c>
      <c r="P1348" s="32" t="str">
        <f>IFERROR(INDEX(Table!I:O,MATCH(K1348,Table!I:I,0),6),"")</f>
        <v/>
      </c>
      <c r="Q1348" s="89" t="str">
        <f t="shared" si="60"/>
        <v/>
      </c>
      <c r="R1348" s="89" t="str">
        <f t="shared" si="61"/>
        <v/>
      </c>
      <c r="S1348" s="82"/>
      <c r="U1348" s="37" t="e">
        <f t="shared" si="62"/>
        <v>#VALUE!</v>
      </c>
    </row>
    <row r="1349" spans="1:21" x14ac:dyDescent="0.25">
      <c r="A1349" s="31" t="str">
        <f>IF(Table!A1349 = "","",Table!A1349)</f>
        <v/>
      </c>
      <c r="B1349" s="31" t="str">
        <f>IF(Table!B1349 = "","",Table!B1349)</f>
        <v/>
      </c>
      <c r="C1349" s="31" t="str">
        <f>IF(Table!C1349 = "","",Table!C1349)</f>
        <v/>
      </c>
      <c r="D1349" s="32" t="str">
        <f>IF(Table!D1349 = "","",Table!D1349)</f>
        <v/>
      </c>
      <c r="E1349" s="32" t="str">
        <f>IF(Table!E1349 = "","",Table!E1349)</f>
        <v/>
      </c>
      <c r="F1349" s="32" t="str">
        <f>IF(Table!F1349 = "","",Table!F1349)</f>
        <v/>
      </c>
      <c r="G1349" s="91"/>
      <c r="K1349" s="31" t="str">
        <f>IFERROR(VLOOKUP(A1349,Table!$I$4:$O$3000,1,TRUE),"")</f>
        <v/>
      </c>
      <c r="L1349" s="31" t="str">
        <f>IFERROR(INDEX(Table!I:O,MATCH(K1349,Table!I:I,0),2),"")</f>
        <v/>
      </c>
      <c r="M1349" s="31" t="str">
        <f>IFERROR(INDEX(Table!I:O,MATCH(K1349,Table!I:I,0),3),"")</f>
        <v/>
      </c>
      <c r="N1349" s="32" t="str">
        <f>IFERROR(INDEX(Table!I:O,MATCH(K1349,Table!I:I,0),4),"")</f>
        <v/>
      </c>
      <c r="O1349" s="32" t="str">
        <f>IFERROR(INDEX(Table!I:O,MATCH(K1349,Table!I:I,0),5),"")</f>
        <v/>
      </c>
      <c r="P1349" s="32" t="str">
        <f>IFERROR(INDEX(Table!I:O,MATCH(K1349,Table!I:I,0),6),"")</f>
        <v/>
      </c>
      <c r="Q1349" s="89" t="str">
        <f t="shared" si="60"/>
        <v/>
      </c>
      <c r="R1349" s="89" t="str">
        <f t="shared" si="61"/>
        <v/>
      </c>
      <c r="S1349" s="82"/>
      <c r="U1349" s="37" t="e">
        <f t="shared" si="62"/>
        <v>#VALUE!</v>
      </c>
    </row>
    <row r="1350" spans="1:21" x14ac:dyDescent="0.25">
      <c r="A1350" s="31" t="str">
        <f>IF(Table!A1350 = "","",Table!A1350)</f>
        <v/>
      </c>
      <c r="B1350" s="31" t="str">
        <f>IF(Table!B1350 = "","",Table!B1350)</f>
        <v/>
      </c>
      <c r="C1350" s="31" t="str">
        <f>IF(Table!C1350 = "","",Table!C1350)</f>
        <v/>
      </c>
      <c r="D1350" s="32" t="str">
        <f>IF(Table!D1350 = "","",Table!D1350)</f>
        <v/>
      </c>
      <c r="E1350" s="32" t="str">
        <f>IF(Table!E1350 = "","",Table!E1350)</f>
        <v/>
      </c>
      <c r="F1350" s="32" t="str">
        <f>IF(Table!F1350 = "","",Table!F1350)</f>
        <v/>
      </c>
      <c r="G1350" s="91"/>
      <c r="K1350" s="31" t="str">
        <f>IFERROR(VLOOKUP(A1350,Table!$I$4:$O$3000,1,TRUE),"")</f>
        <v/>
      </c>
      <c r="L1350" s="31" t="str">
        <f>IFERROR(INDEX(Table!I:O,MATCH(K1350,Table!I:I,0),2),"")</f>
        <v/>
      </c>
      <c r="M1350" s="31" t="str">
        <f>IFERROR(INDEX(Table!I:O,MATCH(K1350,Table!I:I,0),3),"")</f>
        <v/>
      </c>
      <c r="N1350" s="32" t="str">
        <f>IFERROR(INDEX(Table!I:O,MATCH(K1350,Table!I:I,0),4),"")</f>
        <v/>
      </c>
      <c r="O1350" s="32" t="str">
        <f>IFERROR(INDEX(Table!I:O,MATCH(K1350,Table!I:I,0),5),"")</f>
        <v/>
      </c>
      <c r="P1350" s="32" t="str">
        <f>IFERROR(INDEX(Table!I:O,MATCH(K1350,Table!I:I,0),6),"")</f>
        <v/>
      </c>
      <c r="Q1350" s="89" t="str">
        <f t="shared" ref="Q1350:Q1413" si="63">IFERROR(L1350-B1350,"")</f>
        <v/>
      </c>
      <c r="R1350" s="89" t="str">
        <f t="shared" ref="R1350:R1413" si="64">IFERROR(M1350-C1350,"")</f>
        <v/>
      </c>
      <c r="S1350" s="82"/>
      <c r="U1350" s="37" t="e">
        <f t="shared" ref="U1350:U1413" si="65">K1350-K1349</f>
        <v>#VALUE!</v>
      </c>
    </row>
    <row r="1351" spans="1:21" x14ac:dyDescent="0.25">
      <c r="A1351" s="31" t="str">
        <f>IF(Table!A1351 = "","",Table!A1351)</f>
        <v/>
      </c>
      <c r="B1351" s="31" t="str">
        <f>IF(Table!B1351 = "","",Table!B1351)</f>
        <v/>
      </c>
      <c r="C1351" s="31" t="str">
        <f>IF(Table!C1351 = "","",Table!C1351)</f>
        <v/>
      </c>
      <c r="D1351" s="32" t="str">
        <f>IF(Table!D1351 = "","",Table!D1351)</f>
        <v/>
      </c>
      <c r="E1351" s="32" t="str">
        <f>IF(Table!E1351 = "","",Table!E1351)</f>
        <v/>
      </c>
      <c r="F1351" s="32" t="str">
        <f>IF(Table!F1351 = "","",Table!F1351)</f>
        <v/>
      </c>
      <c r="G1351" s="91"/>
      <c r="K1351" s="31" t="str">
        <f>IFERROR(VLOOKUP(A1351,Table!$I$4:$O$3000,1,TRUE),"")</f>
        <v/>
      </c>
      <c r="L1351" s="31" t="str">
        <f>IFERROR(INDEX(Table!I:O,MATCH(K1351,Table!I:I,0),2),"")</f>
        <v/>
      </c>
      <c r="M1351" s="31" t="str">
        <f>IFERROR(INDEX(Table!I:O,MATCH(K1351,Table!I:I,0),3),"")</f>
        <v/>
      </c>
      <c r="N1351" s="32" t="str">
        <f>IFERROR(INDEX(Table!I:O,MATCH(K1351,Table!I:I,0),4),"")</f>
        <v/>
      </c>
      <c r="O1351" s="32" t="str">
        <f>IFERROR(INDEX(Table!I:O,MATCH(K1351,Table!I:I,0),5),"")</f>
        <v/>
      </c>
      <c r="P1351" s="32" t="str">
        <f>IFERROR(INDEX(Table!I:O,MATCH(K1351,Table!I:I,0),6),"")</f>
        <v/>
      </c>
      <c r="Q1351" s="89" t="str">
        <f t="shared" si="63"/>
        <v/>
      </c>
      <c r="R1351" s="89" t="str">
        <f t="shared" si="64"/>
        <v/>
      </c>
      <c r="S1351" s="82"/>
      <c r="U1351" s="37" t="e">
        <f t="shared" si="65"/>
        <v>#VALUE!</v>
      </c>
    </row>
    <row r="1352" spans="1:21" x14ac:dyDescent="0.25">
      <c r="A1352" s="31" t="str">
        <f>IF(Table!A1352 = "","",Table!A1352)</f>
        <v/>
      </c>
      <c r="B1352" s="31" t="str">
        <f>IF(Table!B1352 = "","",Table!B1352)</f>
        <v/>
      </c>
      <c r="C1352" s="31" t="str">
        <f>IF(Table!C1352 = "","",Table!C1352)</f>
        <v/>
      </c>
      <c r="D1352" s="32" t="str">
        <f>IF(Table!D1352 = "","",Table!D1352)</f>
        <v/>
      </c>
      <c r="E1352" s="32" t="str">
        <f>IF(Table!E1352 = "","",Table!E1352)</f>
        <v/>
      </c>
      <c r="F1352" s="32" t="str">
        <f>IF(Table!F1352 = "","",Table!F1352)</f>
        <v/>
      </c>
      <c r="G1352" s="91"/>
      <c r="K1352" s="31" t="str">
        <f>IFERROR(VLOOKUP(A1352,Table!$I$4:$O$3000,1,TRUE),"")</f>
        <v/>
      </c>
      <c r="L1352" s="31" t="str">
        <f>IFERROR(INDEX(Table!I:O,MATCH(K1352,Table!I:I,0),2),"")</f>
        <v/>
      </c>
      <c r="M1352" s="31" t="str">
        <f>IFERROR(INDEX(Table!I:O,MATCH(K1352,Table!I:I,0),3),"")</f>
        <v/>
      </c>
      <c r="N1352" s="32" t="str">
        <f>IFERROR(INDEX(Table!I:O,MATCH(K1352,Table!I:I,0),4),"")</f>
        <v/>
      </c>
      <c r="O1352" s="32" t="str">
        <f>IFERROR(INDEX(Table!I:O,MATCH(K1352,Table!I:I,0),5),"")</f>
        <v/>
      </c>
      <c r="P1352" s="32" t="str">
        <f>IFERROR(INDEX(Table!I:O,MATCH(K1352,Table!I:I,0),6),"")</f>
        <v/>
      </c>
      <c r="Q1352" s="89" t="str">
        <f t="shared" si="63"/>
        <v/>
      </c>
      <c r="R1352" s="89" t="str">
        <f t="shared" si="64"/>
        <v/>
      </c>
      <c r="S1352" s="82"/>
      <c r="U1352" s="37" t="e">
        <f t="shared" si="65"/>
        <v>#VALUE!</v>
      </c>
    </row>
    <row r="1353" spans="1:21" x14ac:dyDescent="0.25">
      <c r="A1353" s="31" t="str">
        <f>IF(Table!A1353 = "","",Table!A1353)</f>
        <v/>
      </c>
      <c r="B1353" s="31" t="str">
        <f>IF(Table!B1353 = "","",Table!B1353)</f>
        <v/>
      </c>
      <c r="C1353" s="31" t="str">
        <f>IF(Table!C1353 = "","",Table!C1353)</f>
        <v/>
      </c>
      <c r="D1353" s="32" t="str">
        <f>IF(Table!D1353 = "","",Table!D1353)</f>
        <v/>
      </c>
      <c r="E1353" s="32" t="str">
        <f>IF(Table!E1353 = "","",Table!E1353)</f>
        <v/>
      </c>
      <c r="F1353" s="32" t="str">
        <f>IF(Table!F1353 = "","",Table!F1353)</f>
        <v/>
      </c>
      <c r="G1353" s="91"/>
      <c r="K1353" s="31" t="str">
        <f>IFERROR(VLOOKUP(A1353,Table!$I$4:$O$3000,1,TRUE),"")</f>
        <v/>
      </c>
      <c r="L1353" s="31" t="str">
        <f>IFERROR(INDEX(Table!I:O,MATCH(K1353,Table!I:I,0),2),"")</f>
        <v/>
      </c>
      <c r="M1353" s="31" t="str">
        <f>IFERROR(INDEX(Table!I:O,MATCH(K1353,Table!I:I,0),3),"")</f>
        <v/>
      </c>
      <c r="N1353" s="32" t="str">
        <f>IFERROR(INDEX(Table!I:O,MATCH(K1353,Table!I:I,0),4),"")</f>
        <v/>
      </c>
      <c r="O1353" s="32" t="str">
        <f>IFERROR(INDEX(Table!I:O,MATCH(K1353,Table!I:I,0),5),"")</f>
        <v/>
      </c>
      <c r="P1353" s="32" t="str">
        <f>IFERROR(INDEX(Table!I:O,MATCH(K1353,Table!I:I,0),6),"")</f>
        <v/>
      </c>
      <c r="Q1353" s="89" t="str">
        <f t="shared" si="63"/>
        <v/>
      </c>
      <c r="R1353" s="89" t="str">
        <f t="shared" si="64"/>
        <v/>
      </c>
      <c r="S1353" s="82"/>
      <c r="U1353" s="37" t="e">
        <f t="shared" si="65"/>
        <v>#VALUE!</v>
      </c>
    </row>
    <row r="1354" spans="1:21" x14ac:dyDescent="0.25">
      <c r="A1354" s="31" t="str">
        <f>IF(Table!A1354 = "","",Table!A1354)</f>
        <v/>
      </c>
      <c r="B1354" s="31" t="str">
        <f>IF(Table!B1354 = "","",Table!B1354)</f>
        <v/>
      </c>
      <c r="C1354" s="31" t="str">
        <f>IF(Table!C1354 = "","",Table!C1354)</f>
        <v/>
      </c>
      <c r="D1354" s="32" t="str">
        <f>IF(Table!D1354 = "","",Table!D1354)</f>
        <v/>
      </c>
      <c r="E1354" s="32" t="str">
        <f>IF(Table!E1354 = "","",Table!E1354)</f>
        <v/>
      </c>
      <c r="F1354" s="32" t="str">
        <f>IF(Table!F1354 = "","",Table!F1354)</f>
        <v/>
      </c>
      <c r="G1354" s="91"/>
      <c r="K1354" s="31" t="str">
        <f>IFERROR(VLOOKUP(A1354,Table!$I$4:$O$3000,1,TRUE),"")</f>
        <v/>
      </c>
      <c r="L1354" s="31" t="str">
        <f>IFERROR(INDEX(Table!I:O,MATCH(K1354,Table!I:I,0),2),"")</f>
        <v/>
      </c>
      <c r="M1354" s="31" t="str">
        <f>IFERROR(INDEX(Table!I:O,MATCH(K1354,Table!I:I,0),3),"")</f>
        <v/>
      </c>
      <c r="N1354" s="32" t="str">
        <f>IFERROR(INDEX(Table!I:O,MATCH(K1354,Table!I:I,0),4),"")</f>
        <v/>
      </c>
      <c r="O1354" s="32" t="str">
        <f>IFERROR(INDEX(Table!I:O,MATCH(K1354,Table!I:I,0),5),"")</f>
        <v/>
      </c>
      <c r="P1354" s="32" t="str">
        <f>IFERROR(INDEX(Table!I:O,MATCH(K1354,Table!I:I,0),6),"")</f>
        <v/>
      </c>
      <c r="Q1354" s="89" t="str">
        <f t="shared" si="63"/>
        <v/>
      </c>
      <c r="R1354" s="89" t="str">
        <f t="shared" si="64"/>
        <v/>
      </c>
      <c r="S1354" s="82"/>
      <c r="U1354" s="37" t="e">
        <f t="shared" si="65"/>
        <v>#VALUE!</v>
      </c>
    </row>
    <row r="1355" spans="1:21" x14ac:dyDescent="0.25">
      <c r="A1355" s="31" t="str">
        <f>IF(Table!A1355 = "","",Table!A1355)</f>
        <v/>
      </c>
      <c r="B1355" s="31" t="str">
        <f>IF(Table!B1355 = "","",Table!B1355)</f>
        <v/>
      </c>
      <c r="C1355" s="31" t="str">
        <f>IF(Table!C1355 = "","",Table!C1355)</f>
        <v/>
      </c>
      <c r="D1355" s="32" t="str">
        <f>IF(Table!D1355 = "","",Table!D1355)</f>
        <v/>
      </c>
      <c r="E1355" s="32" t="str">
        <f>IF(Table!E1355 = "","",Table!E1355)</f>
        <v/>
      </c>
      <c r="F1355" s="32" t="str">
        <f>IF(Table!F1355 = "","",Table!F1355)</f>
        <v/>
      </c>
      <c r="G1355" s="91"/>
      <c r="K1355" s="31" t="str">
        <f>IFERROR(VLOOKUP(A1355,Table!$I$4:$O$3000,1,TRUE),"")</f>
        <v/>
      </c>
      <c r="L1355" s="31" t="str">
        <f>IFERROR(INDEX(Table!I:O,MATCH(K1355,Table!I:I,0),2),"")</f>
        <v/>
      </c>
      <c r="M1355" s="31" t="str">
        <f>IFERROR(INDEX(Table!I:O,MATCH(K1355,Table!I:I,0),3),"")</f>
        <v/>
      </c>
      <c r="N1355" s="32" t="str">
        <f>IFERROR(INDEX(Table!I:O,MATCH(K1355,Table!I:I,0),4),"")</f>
        <v/>
      </c>
      <c r="O1355" s="32" t="str">
        <f>IFERROR(INDEX(Table!I:O,MATCH(K1355,Table!I:I,0),5),"")</f>
        <v/>
      </c>
      <c r="P1355" s="32" t="str">
        <f>IFERROR(INDEX(Table!I:O,MATCH(K1355,Table!I:I,0),6),"")</f>
        <v/>
      </c>
      <c r="Q1355" s="89" t="str">
        <f t="shared" si="63"/>
        <v/>
      </c>
      <c r="R1355" s="89" t="str">
        <f t="shared" si="64"/>
        <v/>
      </c>
      <c r="S1355" s="82"/>
      <c r="U1355" s="37" t="e">
        <f t="shared" si="65"/>
        <v>#VALUE!</v>
      </c>
    </row>
    <row r="1356" spans="1:21" x14ac:dyDescent="0.25">
      <c r="A1356" s="31" t="str">
        <f>IF(Table!A1356 = "","",Table!A1356)</f>
        <v/>
      </c>
      <c r="B1356" s="31" t="str">
        <f>IF(Table!B1356 = "","",Table!B1356)</f>
        <v/>
      </c>
      <c r="C1356" s="31" t="str">
        <f>IF(Table!C1356 = "","",Table!C1356)</f>
        <v/>
      </c>
      <c r="D1356" s="32" t="str">
        <f>IF(Table!D1356 = "","",Table!D1356)</f>
        <v/>
      </c>
      <c r="E1356" s="32" t="str">
        <f>IF(Table!E1356 = "","",Table!E1356)</f>
        <v/>
      </c>
      <c r="F1356" s="32" t="str">
        <f>IF(Table!F1356 = "","",Table!F1356)</f>
        <v/>
      </c>
      <c r="G1356" s="91"/>
      <c r="K1356" s="31" t="str">
        <f>IFERROR(VLOOKUP(A1356,Table!$I$4:$O$3000,1,TRUE),"")</f>
        <v/>
      </c>
      <c r="L1356" s="31" t="str">
        <f>IFERROR(INDEX(Table!I:O,MATCH(K1356,Table!I:I,0),2),"")</f>
        <v/>
      </c>
      <c r="M1356" s="31" t="str">
        <f>IFERROR(INDEX(Table!I:O,MATCH(K1356,Table!I:I,0),3),"")</f>
        <v/>
      </c>
      <c r="N1356" s="32" t="str">
        <f>IFERROR(INDEX(Table!I:O,MATCH(K1356,Table!I:I,0),4),"")</f>
        <v/>
      </c>
      <c r="O1356" s="32" t="str">
        <f>IFERROR(INDEX(Table!I:O,MATCH(K1356,Table!I:I,0),5),"")</f>
        <v/>
      </c>
      <c r="P1356" s="32" t="str">
        <f>IFERROR(INDEX(Table!I:O,MATCH(K1356,Table!I:I,0),6),"")</f>
        <v/>
      </c>
      <c r="Q1356" s="89" t="str">
        <f t="shared" si="63"/>
        <v/>
      </c>
      <c r="R1356" s="89" t="str">
        <f t="shared" si="64"/>
        <v/>
      </c>
      <c r="S1356" s="82"/>
      <c r="U1356" s="37" t="e">
        <f t="shared" si="65"/>
        <v>#VALUE!</v>
      </c>
    </row>
    <row r="1357" spans="1:21" x14ac:dyDescent="0.25">
      <c r="A1357" s="31" t="str">
        <f>IF(Table!A1357 = "","",Table!A1357)</f>
        <v/>
      </c>
      <c r="B1357" s="31" t="str">
        <f>IF(Table!B1357 = "","",Table!B1357)</f>
        <v/>
      </c>
      <c r="C1357" s="31" t="str">
        <f>IF(Table!C1357 = "","",Table!C1357)</f>
        <v/>
      </c>
      <c r="D1357" s="32" t="str">
        <f>IF(Table!D1357 = "","",Table!D1357)</f>
        <v/>
      </c>
      <c r="E1357" s="32" t="str">
        <f>IF(Table!E1357 = "","",Table!E1357)</f>
        <v/>
      </c>
      <c r="F1357" s="32" t="str">
        <f>IF(Table!F1357 = "","",Table!F1357)</f>
        <v/>
      </c>
      <c r="G1357" s="91"/>
      <c r="K1357" s="31" t="str">
        <f>IFERROR(VLOOKUP(A1357,Table!$I$4:$O$3000,1,TRUE),"")</f>
        <v/>
      </c>
      <c r="L1357" s="31" t="str">
        <f>IFERROR(INDEX(Table!I:O,MATCH(K1357,Table!I:I,0),2),"")</f>
        <v/>
      </c>
      <c r="M1357" s="31" t="str">
        <f>IFERROR(INDEX(Table!I:O,MATCH(K1357,Table!I:I,0),3),"")</f>
        <v/>
      </c>
      <c r="N1357" s="32" t="str">
        <f>IFERROR(INDEX(Table!I:O,MATCH(K1357,Table!I:I,0),4),"")</f>
        <v/>
      </c>
      <c r="O1357" s="32" t="str">
        <f>IFERROR(INDEX(Table!I:O,MATCH(K1357,Table!I:I,0),5),"")</f>
        <v/>
      </c>
      <c r="P1357" s="32" t="str">
        <f>IFERROR(INDEX(Table!I:O,MATCH(K1357,Table!I:I,0),6),"")</f>
        <v/>
      </c>
      <c r="Q1357" s="89" t="str">
        <f t="shared" si="63"/>
        <v/>
      </c>
      <c r="R1357" s="89" t="str">
        <f t="shared" si="64"/>
        <v/>
      </c>
      <c r="S1357" s="82"/>
      <c r="U1357" s="37" t="e">
        <f t="shared" si="65"/>
        <v>#VALUE!</v>
      </c>
    </row>
    <row r="1358" spans="1:21" x14ac:dyDescent="0.25">
      <c r="A1358" s="31" t="str">
        <f>IF(Table!A1358 = "","",Table!A1358)</f>
        <v/>
      </c>
      <c r="B1358" s="31" t="str">
        <f>IF(Table!B1358 = "","",Table!B1358)</f>
        <v/>
      </c>
      <c r="C1358" s="31" t="str">
        <f>IF(Table!C1358 = "","",Table!C1358)</f>
        <v/>
      </c>
      <c r="D1358" s="32" t="str">
        <f>IF(Table!D1358 = "","",Table!D1358)</f>
        <v/>
      </c>
      <c r="E1358" s="32" t="str">
        <f>IF(Table!E1358 = "","",Table!E1358)</f>
        <v/>
      </c>
      <c r="F1358" s="32" t="str">
        <f>IF(Table!F1358 = "","",Table!F1358)</f>
        <v/>
      </c>
      <c r="G1358" s="91"/>
      <c r="K1358" s="31" t="str">
        <f>IFERROR(VLOOKUP(A1358,Table!$I$4:$O$3000,1,TRUE),"")</f>
        <v/>
      </c>
      <c r="L1358" s="31" t="str">
        <f>IFERROR(INDEX(Table!I:O,MATCH(K1358,Table!I:I,0),2),"")</f>
        <v/>
      </c>
      <c r="M1358" s="31" t="str">
        <f>IFERROR(INDEX(Table!I:O,MATCH(K1358,Table!I:I,0),3),"")</f>
        <v/>
      </c>
      <c r="N1358" s="32" t="str">
        <f>IFERROR(INDEX(Table!I:O,MATCH(K1358,Table!I:I,0),4),"")</f>
        <v/>
      </c>
      <c r="O1358" s="32" t="str">
        <f>IFERROR(INDEX(Table!I:O,MATCH(K1358,Table!I:I,0),5),"")</f>
        <v/>
      </c>
      <c r="P1358" s="32" t="str">
        <f>IFERROR(INDEX(Table!I:O,MATCH(K1358,Table!I:I,0),6),"")</f>
        <v/>
      </c>
      <c r="Q1358" s="89" t="str">
        <f t="shared" si="63"/>
        <v/>
      </c>
      <c r="R1358" s="89" t="str">
        <f t="shared" si="64"/>
        <v/>
      </c>
      <c r="S1358" s="82"/>
      <c r="U1358" s="37" t="e">
        <f t="shared" si="65"/>
        <v>#VALUE!</v>
      </c>
    </row>
    <row r="1359" spans="1:21" x14ac:dyDescent="0.25">
      <c r="A1359" s="31" t="str">
        <f>IF(Table!A1359 = "","",Table!A1359)</f>
        <v/>
      </c>
      <c r="B1359" s="31" t="str">
        <f>IF(Table!B1359 = "","",Table!B1359)</f>
        <v/>
      </c>
      <c r="C1359" s="31" t="str">
        <f>IF(Table!C1359 = "","",Table!C1359)</f>
        <v/>
      </c>
      <c r="D1359" s="32" t="str">
        <f>IF(Table!D1359 = "","",Table!D1359)</f>
        <v/>
      </c>
      <c r="E1359" s="32" t="str">
        <f>IF(Table!E1359 = "","",Table!E1359)</f>
        <v/>
      </c>
      <c r="F1359" s="32" t="str">
        <f>IF(Table!F1359 = "","",Table!F1359)</f>
        <v/>
      </c>
      <c r="G1359" s="91"/>
      <c r="K1359" s="31" t="str">
        <f>IFERROR(VLOOKUP(A1359,Table!$I$4:$O$3000,1,TRUE),"")</f>
        <v/>
      </c>
      <c r="L1359" s="31" t="str">
        <f>IFERROR(INDEX(Table!I:O,MATCH(K1359,Table!I:I,0),2),"")</f>
        <v/>
      </c>
      <c r="M1359" s="31" t="str">
        <f>IFERROR(INDEX(Table!I:O,MATCH(K1359,Table!I:I,0),3),"")</f>
        <v/>
      </c>
      <c r="N1359" s="32" t="str">
        <f>IFERROR(INDEX(Table!I:O,MATCH(K1359,Table!I:I,0),4),"")</f>
        <v/>
      </c>
      <c r="O1359" s="32" t="str">
        <f>IFERROR(INDEX(Table!I:O,MATCH(K1359,Table!I:I,0),5),"")</f>
        <v/>
      </c>
      <c r="P1359" s="32" t="str">
        <f>IFERROR(INDEX(Table!I:O,MATCH(K1359,Table!I:I,0),6),"")</f>
        <v/>
      </c>
      <c r="Q1359" s="89" t="str">
        <f t="shared" si="63"/>
        <v/>
      </c>
      <c r="R1359" s="89" t="str">
        <f t="shared" si="64"/>
        <v/>
      </c>
      <c r="S1359" s="82"/>
      <c r="U1359" s="37" t="e">
        <f t="shared" si="65"/>
        <v>#VALUE!</v>
      </c>
    </row>
    <row r="1360" spans="1:21" x14ac:dyDescent="0.25">
      <c r="A1360" s="31" t="str">
        <f>IF(Table!A1360 = "","",Table!A1360)</f>
        <v/>
      </c>
      <c r="B1360" s="31" t="str">
        <f>IF(Table!B1360 = "","",Table!B1360)</f>
        <v/>
      </c>
      <c r="C1360" s="31" t="str">
        <f>IF(Table!C1360 = "","",Table!C1360)</f>
        <v/>
      </c>
      <c r="D1360" s="32" t="str">
        <f>IF(Table!D1360 = "","",Table!D1360)</f>
        <v/>
      </c>
      <c r="E1360" s="32" t="str">
        <f>IF(Table!E1360 = "","",Table!E1360)</f>
        <v/>
      </c>
      <c r="F1360" s="32" t="str">
        <f>IF(Table!F1360 = "","",Table!F1360)</f>
        <v/>
      </c>
      <c r="G1360" s="91"/>
      <c r="K1360" s="31" t="str">
        <f>IFERROR(VLOOKUP(A1360,Table!$I$4:$O$3000,1,TRUE),"")</f>
        <v/>
      </c>
      <c r="L1360" s="31" t="str">
        <f>IFERROR(INDEX(Table!I:O,MATCH(K1360,Table!I:I,0),2),"")</f>
        <v/>
      </c>
      <c r="M1360" s="31" t="str">
        <f>IFERROR(INDEX(Table!I:O,MATCH(K1360,Table!I:I,0),3),"")</f>
        <v/>
      </c>
      <c r="N1360" s="32" t="str">
        <f>IFERROR(INDEX(Table!I:O,MATCH(K1360,Table!I:I,0),4),"")</f>
        <v/>
      </c>
      <c r="O1360" s="32" t="str">
        <f>IFERROR(INDEX(Table!I:O,MATCH(K1360,Table!I:I,0),5),"")</f>
        <v/>
      </c>
      <c r="P1360" s="32" t="str">
        <f>IFERROR(INDEX(Table!I:O,MATCH(K1360,Table!I:I,0),6),"")</f>
        <v/>
      </c>
      <c r="Q1360" s="89" t="str">
        <f t="shared" si="63"/>
        <v/>
      </c>
      <c r="R1360" s="89" t="str">
        <f t="shared" si="64"/>
        <v/>
      </c>
      <c r="S1360" s="82"/>
      <c r="U1360" s="37" t="e">
        <f t="shared" si="65"/>
        <v>#VALUE!</v>
      </c>
    </row>
    <row r="1361" spans="1:21" x14ac:dyDescent="0.25">
      <c r="A1361" s="31" t="str">
        <f>IF(Table!A1361 = "","",Table!A1361)</f>
        <v/>
      </c>
      <c r="B1361" s="31" t="str">
        <f>IF(Table!B1361 = "","",Table!B1361)</f>
        <v/>
      </c>
      <c r="C1361" s="31" t="str">
        <f>IF(Table!C1361 = "","",Table!C1361)</f>
        <v/>
      </c>
      <c r="D1361" s="32" t="str">
        <f>IF(Table!D1361 = "","",Table!D1361)</f>
        <v/>
      </c>
      <c r="E1361" s="32" t="str">
        <f>IF(Table!E1361 = "","",Table!E1361)</f>
        <v/>
      </c>
      <c r="F1361" s="32" t="str">
        <f>IF(Table!F1361 = "","",Table!F1361)</f>
        <v/>
      </c>
      <c r="G1361" s="91"/>
      <c r="K1361" s="31" t="str">
        <f>IFERROR(VLOOKUP(A1361,Table!$I$4:$O$3000,1,TRUE),"")</f>
        <v/>
      </c>
      <c r="L1361" s="31" t="str">
        <f>IFERROR(INDEX(Table!I:O,MATCH(K1361,Table!I:I,0),2),"")</f>
        <v/>
      </c>
      <c r="M1361" s="31" t="str">
        <f>IFERROR(INDEX(Table!I:O,MATCH(K1361,Table!I:I,0),3),"")</f>
        <v/>
      </c>
      <c r="N1361" s="32" t="str">
        <f>IFERROR(INDEX(Table!I:O,MATCH(K1361,Table!I:I,0),4),"")</f>
        <v/>
      </c>
      <c r="O1361" s="32" t="str">
        <f>IFERROR(INDEX(Table!I:O,MATCH(K1361,Table!I:I,0),5),"")</f>
        <v/>
      </c>
      <c r="P1361" s="32" t="str">
        <f>IFERROR(INDEX(Table!I:O,MATCH(K1361,Table!I:I,0),6),"")</f>
        <v/>
      </c>
      <c r="Q1361" s="89" t="str">
        <f t="shared" si="63"/>
        <v/>
      </c>
      <c r="R1361" s="89" t="str">
        <f t="shared" si="64"/>
        <v/>
      </c>
      <c r="S1361" s="82"/>
      <c r="U1361" s="37" t="e">
        <f t="shared" si="65"/>
        <v>#VALUE!</v>
      </c>
    </row>
    <row r="1362" spans="1:21" x14ac:dyDescent="0.25">
      <c r="A1362" s="31" t="str">
        <f>IF(Table!A1362 = "","",Table!A1362)</f>
        <v/>
      </c>
      <c r="B1362" s="31" t="str">
        <f>IF(Table!B1362 = "","",Table!B1362)</f>
        <v/>
      </c>
      <c r="C1362" s="31" t="str">
        <f>IF(Table!C1362 = "","",Table!C1362)</f>
        <v/>
      </c>
      <c r="D1362" s="32" t="str">
        <f>IF(Table!D1362 = "","",Table!D1362)</f>
        <v/>
      </c>
      <c r="E1362" s="32" t="str">
        <f>IF(Table!E1362 = "","",Table!E1362)</f>
        <v/>
      </c>
      <c r="F1362" s="32" t="str">
        <f>IF(Table!F1362 = "","",Table!F1362)</f>
        <v/>
      </c>
      <c r="G1362" s="91"/>
      <c r="K1362" s="31" t="str">
        <f>IFERROR(VLOOKUP(A1362,Table!$I$4:$O$3000,1,TRUE),"")</f>
        <v/>
      </c>
      <c r="L1362" s="31" t="str">
        <f>IFERROR(INDEX(Table!I:O,MATCH(K1362,Table!I:I,0),2),"")</f>
        <v/>
      </c>
      <c r="M1362" s="31" t="str">
        <f>IFERROR(INDEX(Table!I:O,MATCH(K1362,Table!I:I,0),3),"")</f>
        <v/>
      </c>
      <c r="N1362" s="32" t="str">
        <f>IFERROR(INDEX(Table!I:O,MATCH(K1362,Table!I:I,0),4),"")</f>
        <v/>
      </c>
      <c r="O1362" s="32" t="str">
        <f>IFERROR(INDEX(Table!I:O,MATCH(K1362,Table!I:I,0),5),"")</f>
        <v/>
      </c>
      <c r="P1362" s="32" t="str">
        <f>IFERROR(INDEX(Table!I:O,MATCH(K1362,Table!I:I,0),6),"")</f>
        <v/>
      </c>
      <c r="Q1362" s="89" t="str">
        <f t="shared" si="63"/>
        <v/>
      </c>
      <c r="R1362" s="89" t="str">
        <f t="shared" si="64"/>
        <v/>
      </c>
      <c r="S1362" s="82"/>
      <c r="U1362" s="37" t="e">
        <f t="shared" si="65"/>
        <v>#VALUE!</v>
      </c>
    </row>
    <row r="1363" spans="1:21" x14ac:dyDescent="0.25">
      <c r="A1363" s="31" t="str">
        <f>IF(Table!A1363 = "","",Table!A1363)</f>
        <v/>
      </c>
      <c r="B1363" s="31" t="str">
        <f>IF(Table!B1363 = "","",Table!B1363)</f>
        <v/>
      </c>
      <c r="C1363" s="31" t="str">
        <f>IF(Table!C1363 = "","",Table!C1363)</f>
        <v/>
      </c>
      <c r="D1363" s="32" t="str">
        <f>IF(Table!D1363 = "","",Table!D1363)</f>
        <v/>
      </c>
      <c r="E1363" s="32" t="str">
        <f>IF(Table!E1363 = "","",Table!E1363)</f>
        <v/>
      </c>
      <c r="F1363" s="32" t="str">
        <f>IF(Table!F1363 = "","",Table!F1363)</f>
        <v/>
      </c>
      <c r="G1363" s="91"/>
      <c r="K1363" s="31" t="str">
        <f>IFERROR(VLOOKUP(A1363,Table!$I$4:$O$3000,1,TRUE),"")</f>
        <v/>
      </c>
      <c r="L1363" s="31" t="str">
        <f>IFERROR(INDEX(Table!I:O,MATCH(K1363,Table!I:I,0),2),"")</f>
        <v/>
      </c>
      <c r="M1363" s="31" t="str">
        <f>IFERROR(INDEX(Table!I:O,MATCH(K1363,Table!I:I,0),3),"")</f>
        <v/>
      </c>
      <c r="N1363" s="32" t="str">
        <f>IFERROR(INDEX(Table!I:O,MATCH(K1363,Table!I:I,0),4),"")</f>
        <v/>
      </c>
      <c r="O1363" s="32" t="str">
        <f>IFERROR(INDEX(Table!I:O,MATCH(K1363,Table!I:I,0),5),"")</f>
        <v/>
      </c>
      <c r="P1363" s="32" t="str">
        <f>IFERROR(INDEX(Table!I:O,MATCH(K1363,Table!I:I,0),6),"")</f>
        <v/>
      </c>
      <c r="Q1363" s="89" t="str">
        <f t="shared" si="63"/>
        <v/>
      </c>
      <c r="R1363" s="89" t="str">
        <f t="shared" si="64"/>
        <v/>
      </c>
      <c r="S1363" s="82"/>
      <c r="U1363" s="37" t="e">
        <f t="shared" si="65"/>
        <v>#VALUE!</v>
      </c>
    </row>
    <row r="1364" spans="1:21" x14ac:dyDescent="0.25">
      <c r="A1364" s="31" t="str">
        <f>IF(Table!A1364 = "","",Table!A1364)</f>
        <v/>
      </c>
      <c r="B1364" s="31" t="str">
        <f>IF(Table!B1364 = "","",Table!B1364)</f>
        <v/>
      </c>
      <c r="C1364" s="31" t="str">
        <f>IF(Table!C1364 = "","",Table!C1364)</f>
        <v/>
      </c>
      <c r="D1364" s="32" t="str">
        <f>IF(Table!D1364 = "","",Table!D1364)</f>
        <v/>
      </c>
      <c r="E1364" s="32" t="str">
        <f>IF(Table!E1364 = "","",Table!E1364)</f>
        <v/>
      </c>
      <c r="F1364" s="32" t="str">
        <f>IF(Table!F1364 = "","",Table!F1364)</f>
        <v/>
      </c>
      <c r="G1364" s="91"/>
      <c r="K1364" s="31" t="str">
        <f>IFERROR(VLOOKUP(A1364,Table!$I$4:$O$3000,1,TRUE),"")</f>
        <v/>
      </c>
      <c r="L1364" s="31" t="str">
        <f>IFERROR(INDEX(Table!I:O,MATCH(K1364,Table!I:I,0),2),"")</f>
        <v/>
      </c>
      <c r="M1364" s="31" t="str">
        <f>IFERROR(INDEX(Table!I:O,MATCH(K1364,Table!I:I,0),3),"")</f>
        <v/>
      </c>
      <c r="N1364" s="32" t="str">
        <f>IFERROR(INDEX(Table!I:O,MATCH(K1364,Table!I:I,0),4),"")</f>
        <v/>
      </c>
      <c r="O1364" s="32" t="str">
        <f>IFERROR(INDEX(Table!I:O,MATCH(K1364,Table!I:I,0),5),"")</f>
        <v/>
      </c>
      <c r="P1364" s="32" t="str">
        <f>IFERROR(INDEX(Table!I:O,MATCH(K1364,Table!I:I,0),6),"")</f>
        <v/>
      </c>
      <c r="Q1364" s="89" t="str">
        <f t="shared" si="63"/>
        <v/>
      </c>
      <c r="R1364" s="89" t="str">
        <f t="shared" si="64"/>
        <v/>
      </c>
      <c r="S1364" s="82"/>
      <c r="U1364" s="37" t="e">
        <f t="shared" si="65"/>
        <v>#VALUE!</v>
      </c>
    </row>
    <row r="1365" spans="1:21" x14ac:dyDescent="0.25">
      <c r="A1365" s="31" t="str">
        <f>IF(Table!A1365 = "","",Table!A1365)</f>
        <v/>
      </c>
      <c r="B1365" s="31" t="str">
        <f>IF(Table!B1365 = "","",Table!B1365)</f>
        <v/>
      </c>
      <c r="C1365" s="31" t="str">
        <f>IF(Table!C1365 = "","",Table!C1365)</f>
        <v/>
      </c>
      <c r="D1365" s="32" t="str">
        <f>IF(Table!D1365 = "","",Table!D1365)</f>
        <v/>
      </c>
      <c r="E1365" s="32" t="str">
        <f>IF(Table!E1365 = "","",Table!E1365)</f>
        <v/>
      </c>
      <c r="F1365" s="32" t="str">
        <f>IF(Table!F1365 = "","",Table!F1365)</f>
        <v/>
      </c>
      <c r="G1365" s="91"/>
      <c r="K1365" s="31" t="str">
        <f>IFERROR(VLOOKUP(A1365,Table!$I$4:$O$3000,1,TRUE),"")</f>
        <v/>
      </c>
      <c r="L1365" s="31" t="str">
        <f>IFERROR(INDEX(Table!I:O,MATCH(K1365,Table!I:I,0),2),"")</f>
        <v/>
      </c>
      <c r="M1365" s="31" t="str">
        <f>IFERROR(INDEX(Table!I:O,MATCH(K1365,Table!I:I,0),3),"")</f>
        <v/>
      </c>
      <c r="N1365" s="32" t="str">
        <f>IFERROR(INDEX(Table!I:O,MATCH(K1365,Table!I:I,0),4),"")</f>
        <v/>
      </c>
      <c r="O1365" s="32" t="str">
        <f>IFERROR(INDEX(Table!I:O,MATCH(K1365,Table!I:I,0),5),"")</f>
        <v/>
      </c>
      <c r="P1365" s="32" t="str">
        <f>IFERROR(INDEX(Table!I:O,MATCH(K1365,Table!I:I,0),6),"")</f>
        <v/>
      </c>
      <c r="Q1365" s="89" t="str">
        <f t="shared" si="63"/>
        <v/>
      </c>
      <c r="R1365" s="89" t="str">
        <f t="shared" si="64"/>
        <v/>
      </c>
      <c r="S1365" s="82"/>
      <c r="U1365" s="37" t="e">
        <f t="shared" si="65"/>
        <v>#VALUE!</v>
      </c>
    </row>
    <row r="1366" spans="1:21" x14ac:dyDescent="0.25">
      <c r="A1366" s="31" t="str">
        <f>IF(Table!A1366 = "","",Table!A1366)</f>
        <v/>
      </c>
      <c r="B1366" s="31" t="str">
        <f>IF(Table!B1366 = "","",Table!B1366)</f>
        <v/>
      </c>
      <c r="C1366" s="31" t="str">
        <f>IF(Table!C1366 = "","",Table!C1366)</f>
        <v/>
      </c>
      <c r="D1366" s="32" t="str">
        <f>IF(Table!D1366 = "","",Table!D1366)</f>
        <v/>
      </c>
      <c r="E1366" s="32" t="str">
        <f>IF(Table!E1366 = "","",Table!E1366)</f>
        <v/>
      </c>
      <c r="F1366" s="32" t="str">
        <f>IF(Table!F1366 = "","",Table!F1366)</f>
        <v/>
      </c>
      <c r="G1366" s="91"/>
      <c r="K1366" s="31" t="str">
        <f>IFERROR(VLOOKUP(A1366,Table!$I$4:$O$3000,1,TRUE),"")</f>
        <v/>
      </c>
      <c r="L1366" s="31" t="str">
        <f>IFERROR(INDEX(Table!I:O,MATCH(K1366,Table!I:I,0),2),"")</f>
        <v/>
      </c>
      <c r="M1366" s="31" t="str">
        <f>IFERROR(INDEX(Table!I:O,MATCH(K1366,Table!I:I,0),3),"")</f>
        <v/>
      </c>
      <c r="N1366" s="32" t="str">
        <f>IFERROR(INDEX(Table!I:O,MATCH(K1366,Table!I:I,0),4),"")</f>
        <v/>
      </c>
      <c r="O1366" s="32" t="str">
        <f>IFERROR(INDEX(Table!I:O,MATCH(K1366,Table!I:I,0),5),"")</f>
        <v/>
      </c>
      <c r="P1366" s="32" t="str">
        <f>IFERROR(INDEX(Table!I:O,MATCH(K1366,Table!I:I,0),6),"")</f>
        <v/>
      </c>
      <c r="Q1366" s="89" t="str">
        <f t="shared" si="63"/>
        <v/>
      </c>
      <c r="R1366" s="89" t="str">
        <f t="shared" si="64"/>
        <v/>
      </c>
      <c r="S1366" s="82"/>
      <c r="U1366" s="37" t="e">
        <f t="shared" si="65"/>
        <v>#VALUE!</v>
      </c>
    </row>
    <row r="1367" spans="1:21" x14ac:dyDescent="0.25">
      <c r="A1367" s="31" t="str">
        <f>IF(Table!A1367 = "","",Table!A1367)</f>
        <v/>
      </c>
      <c r="B1367" s="31" t="str">
        <f>IF(Table!B1367 = "","",Table!B1367)</f>
        <v/>
      </c>
      <c r="C1367" s="31" t="str">
        <f>IF(Table!C1367 = "","",Table!C1367)</f>
        <v/>
      </c>
      <c r="D1367" s="32" t="str">
        <f>IF(Table!D1367 = "","",Table!D1367)</f>
        <v/>
      </c>
      <c r="E1367" s="32" t="str">
        <f>IF(Table!E1367 = "","",Table!E1367)</f>
        <v/>
      </c>
      <c r="F1367" s="32" t="str">
        <f>IF(Table!F1367 = "","",Table!F1367)</f>
        <v/>
      </c>
      <c r="G1367" s="91"/>
      <c r="K1367" s="31" t="str">
        <f>IFERROR(VLOOKUP(A1367,Table!$I$4:$O$3000,1,TRUE),"")</f>
        <v/>
      </c>
      <c r="L1367" s="31" t="str">
        <f>IFERROR(INDEX(Table!I:O,MATCH(K1367,Table!I:I,0),2),"")</f>
        <v/>
      </c>
      <c r="M1367" s="31" t="str">
        <f>IFERROR(INDEX(Table!I:O,MATCH(K1367,Table!I:I,0),3),"")</f>
        <v/>
      </c>
      <c r="N1367" s="32" t="str">
        <f>IFERROR(INDEX(Table!I:O,MATCH(K1367,Table!I:I,0),4),"")</f>
        <v/>
      </c>
      <c r="O1367" s="32" t="str">
        <f>IFERROR(INDEX(Table!I:O,MATCH(K1367,Table!I:I,0),5),"")</f>
        <v/>
      </c>
      <c r="P1367" s="32" t="str">
        <f>IFERROR(INDEX(Table!I:O,MATCH(K1367,Table!I:I,0),6),"")</f>
        <v/>
      </c>
      <c r="Q1367" s="89" t="str">
        <f t="shared" si="63"/>
        <v/>
      </c>
      <c r="R1367" s="89" t="str">
        <f t="shared" si="64"/>
        <v/>
      </c>
      <c r="S1367" s="82"/>
      <c r="U1367" s="37" t="e">
        <f t="shared" si="65"/>
        <v>#VALUE!</v>
      </c>
    </row>
    <row r="1368" spans="1:21" x14ac:dyDescent="0.25">
      <c r="A1368" s="31" t="str">
        <f>IF(Table!A1368 = "","",Table!A1368)</f>
        <v/>
      </c>
      <c r="B1368" s="31" t="str">
        <f>IF(Table!B1368 = "","",Table!B1368)</f>
        <v/>
      </c>
      <c r="C1368" s="31" t="str">
        <f>IF(Table!C1368 = "","",Table!C1368)</f>
        <v/>
      </c>
      <c r="D1368" s="32" t="str">
        <f>IF(Table!D1368 = "","",Table!D1368)</f>
        <v/>
      </c>
      <c r="E1368" s="32" t="str">
        <f>IF(Table!E1368 = "","",Table!E1368)</f>
        <v/>
      </c>
      <c r="F1368" s="32" t="str">
        <f>IF(Table!F1368 = "","",Table!F1368)</f>
        <v/>
      </c>
      <c r="G1368" s="91"/>
      <c r="K1368" s="31" t="str">
        <f>IFERROR(VLOOKUP(A1368,Table!$I$4:$O$3000,1,TRUE),"")</f>
        <v/>
      </c>
      <c r="L1368" s="31" t="str">
        <f>IFERROR(INDEX(Table!I:O,MATCH(K1368,Table!I:I,0),2),"")</f>
        <v/>
      </c>
      <c r="M1368" s="31" t="str">
        <f>IFERROR(INDEX(Table!I:O,MATCH(K1368,Table!I:I,0),3),"")</f>
        <v/>
      </c>
      <c r="N1368" s="32" t="str">
        <f>IFERROR(INDEX(Table!I:O,MATCH(K1368,Table!I:I,0),4),"")</f>
        <v/>
      </c>
      <c r="O1368" s="32" t="str">
        <f>IFERROR(INDEX(Table!I:O,MATCH(K1368,Table!I:I,0),5),"")</f>
        <v/>
      </c>
      <c r="P1368" s="32" t="str">
        <f>IFERROR(INDEX(Table!I:O,MATCH(K1368,Table!I:I,0),6),"")</f>
        <v/>
      </c>
      <c r="Q1368" s="89" t="str">
        <f t="shared" si="63"/>
        <v/>
      </c>
      <c r="R1368" s="89" t="str">
        <f t="shared" si="64"/>
        <v/>
      </c>
      <c r="S1368" s="82"/>
      <c r="U1368" s="37" t="e">
        <f t="shared" si="65"/>
        <v>#VALUE!</v>
      </c>
    </row>
    <row r="1369" spans="1:21" x14ac:dyDescent="0.25">
      <c r="A1369" s="31" t="str">
        <f>IF(Table!A1369 = "","",Table!A1369)</f>
        <v/>
      </c>
      <c r="B1369" s="31" t="str">
        <f>IF(Table!B1369 = "","",Table!B1369)</f>
        <v/>
      </c>
      <c r="C1369" s="31" t="str">
        <f>IF(Table!C1369 = "","",Table!C1369)</f>
        <v/>
      </c>
      <c r="D1369" s="32" t="str">
        <f>IF(Table!D1369 = "","",Table!D1369)</f>
        <v/>
      </c>
      <c r="E1369" s="32" t="str">
        <f>IF(Table!E1369 = "","",Table!E1369)</f>
        <v/>
      </c>
      <c r="F1369" s="32" t="str">
        <f>IF(Table!F1369 = "","",Table!F1369)</f>
        <v/>
      </c>
      <c r="G1369" s="91"/>
      <c r="K1369" s="31" t="str">
        <f>IFERROR(VLOOKUP(A1369,Table!$I$4:$O$3000,1,TRUE),"")</f>
        <v/>
      </c>
      <c r="L1369" s="31" t="str">
        <f>IFERROR(INDEX(Table!I:O,MATCH(K1369,Table!I:I,0),2),"")</f>
        <v/>
      </c>
      <c r="M1369" s="31" t="str">
        <f>IFERROR(INDEX(Table!I:O,MATCH(K1369,Table!I:I,0),3),"")</f>
        <v/>
      </c>
      <c r="N1369" s="32" t="str">
        <f>IFERROR(INDEX(Table!I:O,MATCH(K1369,Table!I:I,0),4),"")</f>
        <v/>
      </c>
      <c r="O1369" s="32" t="str">
        <f>IFERROR(INDEX(Table!I:O,MATCH(K1369,Table!I:I,0),5),"")</f>
        <v/>
      </c>
      <c r="P1369" s="32" t="str">
        <f>IFERROR(INDEX(Table!I:O,MATCH(K1369,Table!I:I,0),6),"")</f>
        <v/>
      </c>
      <c r="Q1369" s="89" t="str">
        <f t="shared" si="63"/>
        <v/>
      </c>
      <c r="R1369" s="89" t="str">
        <f t="shared" si="64"/>
        <v/>
      </c>
      <c r="S1369" s="82"/>
      <c r="U1369" s="37" t="e">
        <f t="shared" si="65"/>
        <v>#VALUE!</v>
      </c>
    </row>
    <row r="1370" spans="1:21" x14ac:dyDescent="0.25">
      <c r="A1370" s="31" t="str">
        <f>IF(Table!A1370 = "","",Table!A1370)</f>
        <v/>
      </c>
      <c r="B1370" s="31" t="str">
        <f>IF(Table!B1370 = "","",Table!B1370)</f>
        <v/>
      </c>
      <c r="C1370" s="31" t="str">
        <f>IF(Table!C1370 = "","",Table!C1370)</f>
        <v/>
      </c>
      <c r="D1370" s="32" t="str">
        <f>IF(Table!D1370 = "","",Table!D1370)</f>
        <v/>
      </c>
      <c r="E1370" s="32" t="str">
        <f>IF(Table!E1370 = "","",Table!E1370)</f>
        <v/>
      </c>
      <c r="F1370" s="32" t="str">
        <f>IF(Table!F1370 = "","",Table!F1370)</f>
        <v/>
      </c>
      <c r="G1370" s="91"/>
      <c r="K1370" s="31" t="str">
        <f>IFERROR(VLOOKUP(A1370,Table!$I$4:$O$3000,1,TRUE),"")</f>
        <v/>
      </c>
      <c r="L1370" s="31" t="str">
        <f>IFERROR(INDEX(Table!I:O,MATCH(K1370,Table!I:I,0),2),"")</f>
        <v/>
      </c>
      <c r="M1370" s="31" t="str">
        <f>IFERROR(INDEX(Table!I:O,MATCH(K1370,Table!I:I,0),3),"")</f>
        <v/>
      </c>
      <c r="N1370" s="32" t="str">
        <f>IFERROR(INDEX(Table!I:O,MATCH(K1370,Table!I:I,0),4),"")</f>
        <v/>
      </c>
      <c r="O1370" s="32" t="str">
        <f>IFERROR(INDEX(Table!I:O,MATCH(K1370,Table!I:I,0),5),"")</f>
        <v/>
      </c>
      <c r="P1370" s="32" t="str">
        <f>IFERROR(INDEX(Table!I:O,MATCH(K1370,Table!I:I,0),6),"")</f>
        <v/>
      </c>
      <c r="Q1370" s="89" t="str">
        <f t="shared" si="63"/>
        <v/>
      </c>
      <c r="R1370" s="89" t="str">
        <f t="shared" si="64"/>
        <v/>
      </c>
      <c r="S1370" s="82"/>
      <c r="U1370" s="37" t="e">
        <f t="shared" si="65"/>
        <v>#VALUE!</v>
      </c>
    </row>
    <row r="1371" spans="1:21" x14ac:dyDescent="0.25">
      <c r="A1371" s="31" t="str">
        <f>IF(Table!A1371 = "","",Table!A1371)</f>
        <v/>
      </c>
      <c r="B1371" s="31" t="str">
        <f>IF(Table!B1371 = "","",Table!B1371)</f>
        <v/>
      </c>
      <c r="C1371" s="31" t="str">
        <f>IF(Table!C1371 = "","",Table!C1371)</f>
        <v/>
      </c>
      <c r="D1371" s="32" t="str">
        <f>IF(Table!D1371 = "","",Table!D1371)</f>
        <v/>
      </c>
      <c r="E1371" s="32" t="str">
        <f>IF(Table!E1371 = "","",Table!E1371)</f>
        <v/>
      </c>
      <c r="F1371" s="32" t="str">
        <f>IF(Table!F1371 = "","",Table!F1371)</f>
        <v/>
      </c>
      <c r="G1371" s="91"/>
      <c r="K1371" s="31" t="str">
        <f>IFERROR(VLOOKUP(A1371,Table!$I$4:$O$3000,1,TRUE),"")</f>
        <v/>
      </c>
      <c r="L1371" s="31" t="str">
        <f>IFERROR(INDEX(Table!I:O,MATCH(K1371,Table!I:I,0),2),"")</f>
        <v/>
      </c>
      <c r="M1371" s="31" t="str">
        <f>IFERROR(INDEX(Table!I:O,MATCH(K1371,Table!I:I,0),3),"")</f>
        <v/>
      </c>
      <c r="N1371" s="32" t="str">
        <f>IFERROR(INDEX(Table!I:O,MATCH(K1371,Table!I:I,0),4),"")</f>
        <v/>
      </c>
      <c r="O1371" s="32" t="str">
        <f>IFERROR(INDEX(Table!I:O,MATCH(K1371,Table!I:I,0),5),"")</f>
        <v/>
      </c>
      <c r="P1371" s="32" t="str">
        <f>IFERROR(INDEX(Table!I:O,MATCH(K1371,Table!I:I,0),6),"")</f>
        <v/>
      </c>
      <c r="Q1371" s="89" t="str">
        <f t="shared" si="63"/>
        <v/>
      </c>
      <c r="R1371" s="89" t="str">
        <f t="shared" si="64"/>
        <v/>
      </c>
      <c r="S1371" s="82"/>
      <c r="U1371" s="37" t="e">
        <f t="shared" si="65"/>
        <v>#VALUE!</v>
      </c>
    </row>
    <row r="1372" spans="1:21" x14ac:dyDescent="0.25">
      <c r="A1372" s="31" t="str">
        <f>IF(Table!A1372 = "","",Table!A1372)</f>
        <v/>
      </c>
      <c r="B1372" s="31" t="str">
        <f>IF(Table!B1372 = "","",Table!B1372)</f>
        <v/>
      </c>
      <c r="C1372" s="31" t="str">
        <f>IF(Table!C1372 = "","",Table!C1372)</f>
        <v/>
      </c>
      <c r="D1372" s="32" t="str">
        <f>IF(Table!D1372 = "","",Table!D1372)</f>
        <v/>
      </c>
      <c r="E1372" s="32" t="str">
        <f>IF(Table!E1372 = "","",Table!E1372)</f>
        <v/>
      </c>
      <c r="F1372" s="32" t="str">
        <f>IF(Table!F1372 = "","",Table!F1372)</f>
        <v/>
      </c>
      <c r="G1372" s="91"/>
      <c r="K1372" s="31" t="str">
        <f>IFERROR(VLOOKUP(A1372,Table!$I$4:$O$3000,1,TRUE),"")</f>
        <v/>
      </c>
      <c r="L1372" s="31" t="str">
        <f>IFERROR(INDEX(Table!I:O,MATCH(K1372,Table!I:I,0),2),"")</f>
        <v/>
      </c>
      <c r="M1372" s="31" t="str">
        <f>IFERROR(INDEX(Table!I:O,MATCH(K1372,Table!I:I,0),3),"")</f>
        <v/>
      </c>
      <c r="N1372" s="32" t="str">
        <f>IFERROR(INDEX(Table!I:O,MATCH(K1372,Table!I:I,0),4),"")</f>
        <v/>
      </c>
      <c r="O1372" s="32" t="str">
        <f>IFERROR(INDEX(Table!I:O,MATCH(K1372,Table!I:I,0),5),"")</f>
        <v/>
      </c>
      <c r="P1372" s="32" t="str">
        <f>IFERROR(INDEX(Table!I:O,MATCH(K1372,Table!I:I,0),6),"")</f>
        <v/>
      </c>
      <c r="Q1372" s="89" t="str">
        <f t="shared" si="63"/>
        <v/>
      </c>
      <c r="R1372" s="89" t="str">
        <f t="shared" si="64"/>
        <v/>
      </c>
      <c r="S1372" s="82"/>
      <c r="U1372" s="37" t="e">
        <f t="shared" si="65"/>
        <v>#VALUE!</v>
      </c>
    </row>
    <row r="1373" spans="1:21" x14ac:dyDescent="0.25">
      <c r="A1373" s="31" t="str">
        <f>IF(Table!A1373 = "","",Table!A1373)</f>
        <v/>
      </c>
      <c r="B1373" s="31" t="str">
        <f>IF(Table!B1373 = "","",Table!B1373)</f>
        <v/>
      </c>
      <c r="C1373" s="31" t="str">
        <f>IF(Table!C1373 = "","",Table!C1373)</f>
        <v/>
      </c>
      <c r="D1373" s="32" t="str">
        <f>IF(Table!D1373 = "","",Table!D1373)</f>
        <v/>
      </c>
      <c r="E1373" s="32" t="str">
        <f>IF(Table!E1373 = "","",Table!E1373)</f>
        <v/>
      </c>
      <c r="F1373" s="32" t="str">
        <f>IF(Table!F1373 = "","",Table!F1373)</f>
        <v/>
      </c>
      <c r="G1373" s="91"/>
      <c r="K1373" s="31" t="str">
        <f>IFERROR(VLOOKUP(A1373,Table!$I$4:$O$3000,1,TRUE),"")</f>
        <v/>
      </c>
      <c r="L1373" s="31" t="str">
        <f>IFERROR(INDEX(Table!I:O,MATCH(K1373,Table!I:I,0),2),"")</f>
        <v/>
      </c>
      <c r="M1373" s="31" t="str">
        <f>IFERROR(INDEX(Table!I:O,MATCH(K1373,Table!I:I,0),3),"")</f>
        <v/>
      </c>
      <c r="N1373" s="32" t="str">
        <f>IFERROR(INDEX(Table!I:O,MATCH(K1373,Table!I:I,0),4),"")</f>
        <v/>
      </c>
      <c r="O1373" s="32" t="str">
        <f>IFERROR(INDEX(Table!I:O,MATCH(K1373,Table!I:I,0),5),"")</f>
        <v/>
      </c>
      <c r="P1373" s="32" t="str">
        <f>IFERROR(INDEX(Table!I:O,MATCH(K1373,Table!I:I,0),6),"")</f>
        <v/>
      </c>
      <c r="Q1373" s="89" t="str">
        <f t="shared" si="63"/>
        <v/>
      </c>
      <c r="R1373" s="89" t="str">
        <f t="shared" si="64"/>
        <v/>
      </c>
      <c r="S1373" s="82"/>
      <c r="U1373" s="37" t="e">
        <f t="shared" si="65"/>
        <v>#VALUE!</v>
      </c>
    </row>
    <row r="1374" spans="1:21" x14ac:dyDescent="0.25">
      <c r="A1374" s="31" t="str">
        <f>IF(Table!A1374 = "","",Table!A1374)</f>
        <v/>
      </c>
      <c r="B1374" s="31" t="str">
        <f>IF(Table!B1374 = "","",Table!B1374)</f>
        <v/>
      </c>
      <c r="C1374" s="31" t="str">
        <f>IF(Table!C1374 = "","",Table!C1374)</f>
        <v/>
      </c>
      <c r="D1374" s="32" t="str">
        <f>IF(Table!D1374 = "","",Table!D1374)</f>
        <v/>
      </c>
      <c r="E1374" s="32" t="str">
        <f>IF(Table!E1374 = "","",Table!E1374)</f>
        <v/>
      </c>
      <c r="F1374" s="32" t="str">
        <f>IF(Table!F1374 = "","",Table!F1374)</f>
        <v/>
      </c>
      <c r="G1374" s="91"/>
      <c r="K1374" s="31" t="str">
        <f>IFERROR(VLOOKUP(A1374,Table!$I$4:$O$3000,1,TRUE),"")</f>
        <v/>
      </c>
      <c r="L1374" s="31" t="str">
        <f>IFERROR(INDEX(Table!I:O,MATCH(K1374,Table!I:I,0),2),"")</f>
        <v/>
      </c>
      <c r="M1374" s="31" t="str">
        <f>IFERROR(INDEX(Table!I:O,MATCH(K1374,Table!I:I,0),3),"")</f>
        <v/>
      </c>
      <c r="N1374" s="32" t="str">
        <f>IFERROR(INDEX(Table!I:O,MATCH(K1374,Table!I:I,0),4),"")</f>
        <v/>
      </c>
      <c r="O1374" s="32" t="str">
        <f>IFERROR(INDEX(Table!I:O,MATCH(K1374,Table!I:I,0),5),"")</f>
        <v/>
      </c>
      <c r="P1374" s="32" t="str">
        <f>IFERROR(INDEX(Table!I:O,MATCH(K1374,Table!I:I,0),6),"")</f>
        <v/>
      </c>
      <c r="Q1374" s="89" t="str">
        <f t="shared" si="63"/>
        <v/>
      </c>
      <c r="R1374" s="89" t="str">
        <f t="shared" si="64"/>
        <v/>
      </c>
      <c r="S1374" s="82"/>
      <c r="U1374" s="37" t="e">
        <f t="shared" si="65"/>
        <v>#VALUE!</v>
      </c>
    </row>
    <row r="1375" spans="1:21" x14ac:dyDescent="0.25">
      <c r="A1375" s="31" t="str">
        <f>IF(Table!A1375 = "","",Table!A1375)</f>
        <v/>
      </c>
      <c r="B1375" s="31" t="str">
        <f>IF(Table!B1375 = "","",Table!B1375)</f>
        <v/>
      </c>
      <c r="C1375" s="31" t="str">
        <f>IF(Table!C1375 = "","",Table!C1375)</f>
        <v/>
      </c>
      <c r="D1375" s="32" t="str">
        <f>IF(Table!D1375 = "","",Table!D1375)</f>
        <v/>
      </c>
      <c r="E1375" s="32" t="str">
        <f>IF(Table!E1375 = "","",Table!E1375)</f>
        <v/>
      </c>
      <c r="F1375" s="32" t="str">
        <f>IF(Table!F1375 = "","",Table!F1375)</f>
        <v/>
      </c>
      <c r="G1375" s="91"/>
      <c r="K1375" s="31" t="str">
        <f>IFERROR(VLOOKUP(A1375,Table!$I$4:$O$3000,1,TRUE),"")</f>
        <v/>
      </c>
      <c r="L1375" s="31" t="str">
        <f>IFERROR(INDEX(Table!I:O,MATCH(K1375,Table!I:I,0),2),"")</f>
        <v/>
      </c>
      <c r="M1375" s="31" t="str">
        <f>IFERROR(INDEX(Table!I:O,MATCH(K1375,Table!I:I,0),3),"")</f>
        <v/>
      </c>
      <c r="N1375" s="32" t="str">
        <f>IFERROR(INDEX(Table!I:O,MATCH(K1375,Table!I:I,0),4),"")</f>
        <v/>
      </c>
      <c r="O1375" s="32" t="str">
        <f>IFERROR(INDEX(Table!I:O,MATCH(K1375,Table!I:I,0),5),"")</f>
        <v/>
      </c>
      <c r="P1375" s="32" t="str">
        <f>IFERROR(INDEX(Table!I:O,MATCH(K1375,Table!I:I,0),6),"")</f>
        <v/>
      </c>
      <c r="Q1375" s="89" t="str">
        <f t="shared" si="63"/>
        <v/>
      </c>
      <c r="R1375" s="89" t="str">
        <f t="shared" si="64"/>
        <v/>
      </c>
      <c r="S1375" s="82"/>
      <c r="U1375" s="37" t="e">
        <f t="shared" si="65"/>
        <v>#VALUE!</v>
      </c>
    </row>
    <row r="1376" spans="1:21" x14ac:dyDescent="0.25">
      <c r="A1376" s="31" t="str">
        <f>IF(Table!A1376 = "","",Table!A1376)</f>
        <v/>
      </c>
      <c r="B1376" s="31" t="str">
        <f>IF(Table!B1376 = "","",Table!B1376)</f>
        <v/>
      </c>
      <c r="C1376" s="31" t="str">
        <f>IF(Table!C1376 = "","",Table!C1376)</f>
        <v/>
      </c>
      <c r="D1376" s="32" t="str">
        <f>IF(Table!D1376 = "","",Table!D1376)</f>
        <v/>
      </c>
      <c r="E1376" s="32" t="str">
        <f>IF(Table!E1376 = "","",Table!E1376)</f>
        <v/>
      </c>
      <c r="F1376" s="32" t="str">
        <f>IF(Table!F1376 = "","",Table!F1376)</f>
        <v/>
      </c>
      <c r="G1376" s="91"/>
      <c r="K1376" s="31" t="str">
        <f>IFERROR(VLOOKUP(A1376,Table!$I$4:$O$3000,1,TRUE),"")</f>
        <v/>
      </c>
      <c r="L1376" s="31" t="str">
        <f>IFERROR(INDEX(Table!I:O,MATCH(K1376,Table!I:I,0),2),"")</f>
        <v/>
      </c>
      <c r="M1376" s="31" t="str">
        <f>IFERROR(INDEX(Table!I:O,MATCH(K1376,Table!I:I,0),3),"")</f>
        <v/>
      </c>
      <c r="N1376" s="32" t="str">
        <f>IFERROR(INDEX(Table!I:O,MATCH(K1376,Table!I:I,0),4),"")</f>
        <v/>
      </c>
      <c r="O1376" s="32" t="str">
        <f>IFERROR(INDEX(Table!I:O,MATCH(K1376,Table!I:I,0),5),"")</f>
        <v/>
      </c>
      <c r="P1376" s="32" t="str">
        <f>IFERROR(INDEX(Table!I:O,MATCH(K1376,Table!I:I,0),6),"")</f>
        <v/>
      </c>
      <c r="Q1376" s="89" t="str">
        <f t="shared" si="63"/>
        <v/>
      </c>
      <c r="R1376" s="89" t="str">
        <f t="shared" si="64"/>
        <v/>
      </c>
      <c r="S1376" s="82"/>
      <c r="U1376" s="37" t="e">
        <f t="shared" si="65"/>
        <v>#VALUE!</v>
      </c>
    </row>
    <row r="1377" spans="1:21" x14ac:dyDescent="0.25">
      <c r="A1377" s="31" t="str">
        <f>IF(Table!A1377 = "","",Table!A1377)</f>
        <v/>
      </c>
      <c r="B1377" s="31" t="str">
        <f>IF(Table!B1377 = "","",Table!B1377)</f>
        <v/>
      </c>
      <c r="C1377" s="31" t="str">
        <f>IF(Table!C1377 = "","",Table!C1377)</f>
        <v/>
      </c>
      <c r="D1377" s="32" t="str">
        <f>IF(Table!D1377 = "","",Table!D1377)</f>
        <v/>
      </c>
      <c r="E1377" s="32" t="str">
        <f>IF(Table!E1377 = "","",Table!E1377)</f>
        <v/>
      </c>
      <c r="F1377" s="32" t="str">
        <f>IF(Table!F1377 = "","",Table!F1377)</f>
        <v/>
      </c>
      <c r="G1377" s="91"/>
      <c r="K1377" s="31" t="str">
        <f>IFERROR(VLOOKUP(A1377,Table!$I$4:$O$3000,1,TRUE),"")</f>
        <v/>
      </c>
      <c r="L1377" s="31" t="str">
        <f>IFERROR(INDEX(Table!I:O,MATCH(K1377,Table!I:I,0),2),"")</f>
        <v/>
      </c>
      <c r="M1377" s="31" t="str">
        <f>IFERROR(INDEX(Table!I:O,MATCH(K1377,Table!I:I,0),3),"")</f>
        <v/>
      </c>
      <c r="N1377" s="32" t="str">
        <f>IFERROR(INDEX(Table!I:O,MATCH(K1377,Table!I:I,0),4),"")</f>
        <v/>
      </c>
      <c r="O1377" s="32" t="str">
        <f>IFERROR(INDEX(Table!I:O,MATCH(K1377,Table!I:I,0),5),"")</f>
        <v/>
      </c>
      <c r="P1377" s="32" t="str">
        <f>IFERROR(INDEX(Table!I:O,MATCH(K1377,Table!I:I,0),6),"")</f>
        <v/>
      </c>
      <c r="Q1377" s="89" t="str">
        <f t="shared" si="63"/>
        <v/>
      </c>
      <c r="R1377" s="89" t="str">
        <f t="shared" si="64"/>
        <v/>
      </c>
      <c r="S1377" s="82"/>
      <c r="U1377" s="37" t="e">
        <f t="shared" si="65"/>
        <v>#VALUE!</v>
      </c>
    </row>
    <row r="1378" spans="1:21" x14ac:dyDescent="0.25">
      <c r="A1378" s="31" t="str">
        <f>IF(Table!A1378 = "","",Table!A1378)</f>
        <v/>
      </c>
      <c r="B1378" s="31" t="str">
        <f>IF(Table!B1378 = "","",Table!B1378)</f>
        <v/>
      </c>
      <c r="C1378" s="31" t="str">
        <f>IF(Table!C1378 = "","",Table!C1378)</f>
        <v/>
      </c>
      <c r="D1378" s="32" t="str">
        <f>IF(Table!D1378 = "","",Table!D1378)</f>
        <v/>
      </c>
      <c r="E1378" s="32" t="str">
        <f>IF(Table!E1378 = "","",Table!E1378)</f>
        <v/>
      </c>
      <c r="F1378" s="32" t="str">
        <f>IF(Table!F1378 = "","",Table!F1378)</f>
        <v/>
      </c>
      <c r="G1378" s="91"/>
      <c r="K1378" s="31" t="str">
        <f>IFERROR(VLOOKUP(A1378,Table!$I$4:$O$3000,1,TRUE),"")</f>
        <v/>
      </c>
      <c r="L1378" s="31" t="str">
        <f>IFERROR(INDEX(Table!I:O,MATCH(K1378,Table!I:I,0),2),"")</f>
        <v/>
      </c>
      <c r="M1378" s="31" t="str">
        <f>IFERROR(INDEX(Table!I:O,MATCH(K1378,Table!I:I,0),3),"")</f>
        <v/>
      </c>
      <c r="N1378" s="32" t="str">
        <f>IFERROR(INDEX(Table!I:O,MATCH(K1378,Table!I:I,0),4),"")</f>
        <v/>
      </c>
      <c r="O1378" s="32" t="str">
        <f>IFERROR(INDEX(Table!I:O,MATCH(K1378,Table!I:I,0),5),"")</f>
        <v/>
      </c>
      <c r="P1378" s="32" t="str">
        <f>IFERROR(INDEX(Table!I:O,MATCH(K1378,Table!I:I,0),6),"")</f>
        <v/>
      </c>
      <c r="Q1378" s="89" t="str">
        <f t="shared" si="63"/>
        <v/>
      </c>
      <c r="R1378" s="89" t="str">
        <f t="shared" si="64"/>
        <v/>
      </c>
      <c r="S1378" s="82"/>
      <c r="U1378" s="37" t="e">
        <f t="shared" si="65"/>
        <v>#VALUE!</v>
      </c>
    </row>
    <row r="1379" spans="1:21" x14ac:dyDescent="0.25">
      <c r="A1379" s="31" t="str">
        <f>IF(Table!A1379 = "","",Table!A1379)</f>
        <v/>
      </c>
      <c r="B1379" s="31" t="str">
        <f>IF(Table!B1379 = "","",Table!B1379)</f>
        <v/>
      </c>
      <c r="C1379" s="31" t="str">
        <f>IF(Table!C1379 = "","",Table!C1379)</f>
        <v/>
      </c>
      <c r="D1379" s="32" t="str">
        <f>IF(Table!D1379 = "","",Table!D1379)</f>
        <v/>
      </c>
      <c r="E1379" s="32" t="str">
        <f>IF(Table!E1379 = "","",Table!E1379)</f>
        <v/>
      </c>
      <c r="F1379" s="32" t="str">
        <f>IF(Table!F1379 = "","",Table!F1379)</f>
        <v/>
      </c>
      <c r="G1379" s="91"/>
      <c r="K1379" s="31" t="str">
        <f>IFERROR(VLOOKUP(A1379,Table!$I$4:$O$3000,1,TRUE),"")</f>
        <v/>
      </c>
      <c r="L1379" s="31" t="str">
        <f>IFERROR(INDEX(Table!I:O,MATCH(K1379,Table!I:I,0),2),"")</f>
        <v/>
      </c>
      <c r="M1379" s="31" t="str">
        <f>IFERROR(INDEX(Table!I:O,MATCH(K1379,Table!I:I,0),3),"")</f>
        <v/>
      </c>
      <c r="N1379" s="32" t="str">
        <f>IFERROR(INDEX(Table!I:O,MATCH(K1379,Table!I:I,0),4),"")</f>
        <v/>
      </c>
      <c r="O1379" s="32" t="str">
        <f>IFERROR(INDEX(Table!I:O,MATCH(K1379,Table!I:I,0),5),"")</f>
        <v/>
      </c>
      <c r="P1379" s="32" t="str">
        <f>IFERROR(INDEX(Table!I:O,MATCH(K1379,Table!I:I,0),6),"")</f>
        <v/>
      </c>
      <c r="Q1379" s="89" t="str">
        <f t="shared" si="63"/>
        <v/>
      </c>
      <c r="R1379" s="89" t="str">
        <f t="shared" si="64"/>
        <v/>
      </c>
      <c r="S1379" s="82"/>
      <c r="U1379" s="37" t="e">
        <f t="shared" si="65"/>
        <v>#VALUE!</v>
      </c>
    </row>
    <row r="1380" spans="1:21" x14ac:dyDescent="0.25">
      <c r="A1380" s="31" t="str">
        <f>IF(Table!A1380 = "","",Table!A1380)</f>
        <v/>
      </c>
      <c r="B1380" s="31" t="str">
        <f>IF(Table!B1380 = "","",Table!B1380)</f>
        <v/>
      </c>
      <c r="C1380" s="31" t="str">
        <f>IF(Table!C1380 = "","",Table!C1380)</f>
        <v/>
      </c>
      <c r="D1380" s="32" t="str">
        <f>IF(Table!D1380 = "","",Table!D1380)</f>
        <v/>
      </c>
      <c r="E1380" s="32" t="str">
        <f>IF(Table!E1380 = "","",Table!E1380)</f>
        <v/>
      </c>
      <c r="F1380" s="32" t="str">
        <f>IF(Table!F1380 = "","",Table!F1380)</f>
        <v/>
      </c>
      <c r="G1380" s="91"/>
      <c r="K1380" s="31" t="str">
        <f>IFERROR(VLOOKUP(A1380,Table!$I$4:$O$3000,1,TRUE),"")</f>
        <v/>
      </c>
      <c r="L1380" s="31" t="str">
        <f>IFERROR(INDEX(Table!I:O,MATCH(K1380,Table!I:I,0),2),"")</f>
        <v/>
      </c>
      <c r="M1380" s="31" t="str">
        <f>IFERROR(INDEX(Table!I:O,MATCH(K1380,Table!I:I,0),3),"")</f>
        <v/>
      </c>
      <c r="N1380" s="32" t="str">
        <f>IFERROR(INDEX(Table!I:O,MATCH(K1380,Table!I:I,0),4),"")</f>
        <v/>
      </c>
      <c r="O1380" s="32" t="str">
        <f>IFERROR(INDEX(Table!I:O,MATCH(K1380,Table!I:I,0),5),"")</f>
        <v/>
      </c>
      <c r="P1380" s="32" t="str">
        <f>IFERROR(INDEX(Table!I:O,MATCH(K1380,Table!I:I,0),6),"")</f>
        <v/>
      </c>
      <c r="Q1380" s="89" t="str">
        <f t="shared" si="63"/>
        <v/>
      </c>
      <c r="R1380" s="89" t="str">
        <f t="shared" si="64"/>
        <v/>
      </c>
      <c r="S1380" s="82"/>
      <c r="U1380" s="37" t="e">
        <f t="shared" si="65"/>
        <v>#VALUE!</v>
      </c>
    </row>
    <row r="1381" spans="1:21" x14ac:dyDescent="0.25">
      <c r="A1381" s="31" t="str">
        <f>IF(Table!A1381 = "","",Table!A1381)</f>
        <v/>
      </c>
      <c r="B1381" s="31" t="str">
        <f>IF(Table!B1381 = "","",Table!B1381)</f>
        <v/>
      </c>
      <c r="C1381" s="31" t="str">
        <f>IF(Table!C1381 = "","",Table!C1381)</f>
        <v/>
      </c>
      <c r="D1381" s="32" t="str">
        <f>IF(Table!D1381 = "","",Table!D1381)</f>
        <v/>
      </c>
      <c r="E1381" s="32" t="str">
        <f>IF(Table!E1381 = "","",Table!E1381)</f>
        <v/>
      </c>
      <c r="F1381" s="32" t="str">
        <f>IF(Table!F1381 = "","",Table!F1381)</f>
        <v/>
      </c>
      <c r="G1381" s="91"/>
      <c r="K1381" s="31" t="str">
        <f>IFERROR(VLOOKUP(A1381,Table!$I$4:$O$3000,1,TRUE),"")</f>
        <v/>
      </c>
      <c r="L1381" s="31" t="str">
        <f>IFERROR(INDEX(Table!I:O,MATCH(K1381,Table!I:I,0),2),"")</f>
        <v/>
      </c>
      <c r="M1381" s="31" t="str">
        <f>IFERROR(INDEX(Table!I:O,MATCH(K1381,Table!I:I,0),3),"")</f>
        <v/>
      </c>
      <c r="N1381" s="32" t="str">
        <f>IFERROR(INDEX(Table!I:O,MATCH(K1381,Table!I:I,0),4),"")</f>
        <v/>
      </c>
      <c r="O1381" s="32" t="str">
        <f>IFERROR(INDEX(Table!I:O,MATCH(K1381,Table!I:I,0),5),"")</f>
        <v/>
      </c>
      <c r="P1381" s="32" t="str">
        <f>IFERROR(INDEX(Table!I:O,MATCH(K1381,Table!I:I,0),6),"")</f>
        <v/>
      </c>
      <c r="Q1381" s="89" t="str">
        <f t="shared" si="63"/>
        <v/>
      </c>
      <c r="R1381" s="89" t="str">
        <f t="shared" si="64"/>
        <v/>
      </c>
      <c r="S1381" s="82"/>
      <c r="U1381" s="37" t="e">
        <f t="shared" si="65"/>
        <v>#VALUE!</v>
      </c>
    </row>
    <row r="1382" spans="1:21" x14ac:dyDescent="0.25">
      <c r="A1382" s="31" t="str">
        <f>IF(Table!A1382 = "","",Table!A1382)</f>
        <v/>
      </c>
      <c r="B1382" s="31" t="str">
        <f>IF(Table!B1382 = "","",Table!B1382)</f>
        <v/>
      </c>
      <c r="C1382" s="31" t="str">
        <f>IF(Table!C1382 = "","",Table!C1382)</f>
        <v/>
      </c>
      <c r="D1382" s="32" t="str">
        <f>IF(Table!D1382 = "","",Table!D1382)</f>
        <v/>
      </c>
      <c r="E1382" s="32" t="str">
        <f>IF(Table!E1382 = "","",Table!E1382)</f>
        <v/>
      </c>
      <c r="F1382" s="32" t="str">
        <f>IF(Table!F1382 = "","",Table!F1382)</f>
        <v/>
      </c>
      <c r="G1382" s="91"/>
      <c r="K1382" s="31" t="str">
        <f>IFERROR(VLOOKUP(A1382,Table!$I$4:$O$3000,1,TRUE),"")</f>
        <v/>
      </c>
      <c r="L1382" s="31" t="str">
        <f>IFERROR(INDEX(Table!I:O,MATCH(K1382,Table!I:I,0),2),"")</f>
        <v/>
      </c>
      <c r="M1382" s="31" t="str">
        <f>IFERROR(INDEX(Table!I:O,MATCH(K1382,Table!I:I,0),3),"")</f>
        <v/>
      </c>
      <c r="N1382" s="32" t="str">
        <f>IFERROR(INDEX(Table!I:O,MATCH(K1382,Table!I:I,0),4),"")</f>
        <v/>
      </c>
      <c r="O1382" s="32" t="str">
        <f>IFERROR(INDEX(Table!I:O,MATCH(K1382,Table!I:I,0),5),"")</f>
        <v/>
      </c>
      <c r="P1382" s="32" t="str">
        <f>IFERROR(INDEX(Table!I:O,MATCH(K1382,Table!I:I,0),6),"")</f>
        <v/>
      </c>
      <c r="Q1382" s="89" t="str">
        <f t="shared" si="63"/>
        <v/>
      </c>
      <c r="R1382" s="89" t="str">
        <f t="shared" si="64"/>
        <v/>
      </c>
      <c r="S1382" s="82"/>
      <c r="U1382" s="37" t="e">
        <f t="shared" si="65"/>
        <v>#VALUE!</v>
      </c>
    </row>
    <row r="1383" spans="1:21" x14ac:dyDescent="0.25">
      <c r="A1383" s="31" t="str">
        <f>IF(Table!A1383 = "","",Table!A1383)</f>
        <v/>
      </c>
      <c r="B1383" s="31" t="str">
        <f>IF(Table!B1383 = "","",Table!B1383)</f>
        <v/>
      </c>
      <c r="C1383" s="31" t="str">
        <f>IF(Table!C1383 = "","",Table!C1383)</f>
        <v/>
      </c>
      <c r="D1383" s="32" t="str">
        <f>IF(Table!D1383 = "","",Table!D1383)</f>
        <v/>
      </c>
      <c r="E1383" s="32" t="str">
        <f>IF(Table!E1383 = "","",Table!E1383)</f>
        <v/>
      </c>
      <c r="F1383" s="32" t="str">
        <f>IF(Table!F1383 = "","",Table!F1383)</f>
        <v/>
      </c>
      <c r="G1383" s="91"/>
      <c r="K1383" s="31" t="str">
        <f>IFERROR(VLOOKUP(A1383,Table!$I$4:$O$3000,1,TRUE),"")</f>
        <v/>
      </c>
      <c r="L1383" s="31" t="str">
        <f>IFERROR(INDEX(Table!I:O,MATCH(K1383,Table!I:I,0),2),"")</f>
        <v/>
      </c>
      <c r="M1383" s="31" t="str">
        <f>IFERROR(INDEX(Table!I:O,MATCH(K1383,Table!I:I,0),3),"")</f>
        <v/>
      </c>
      <c r="N1383" s="32" t="str">
        <f>IFERROR(INDEX(Table!I:O,MATCH(K1383,Table!I:I,0),4),"")</f>
        <v/>
      </c>
      <c r="O1383" s="32" t="str">
        <f>IFERROR(INDEX(Table!I:O,MATCH(K1383,Table!I:I,0),5),"")</f>
        <v/>
      </c>
      <c r="P1383" s="32" t="str">
        <f>IFERROR(INDEX(Table!I:O,MATCH(K1383,Table!I:I,0),6),"")</f>
        <v/>
      </c>
      <c r="Q1383" s="89" t="str">
        <f t="shared" si="63"/>
        <v/>
      </c>
      <c r="R1383" s="89" t="str">
        <f t="shared" si="64"/>
        <v/>
      </c>
      <c r="S1383" s="82"/>
      <c r="U1383" s="37" t="e">
        <f t="shared" si="65"/>
        <v>#VALUE!</v>
      </c>
    </row>
    <row r="1384" spans="1:21" x14ac:dyDescent="0.25">
      <c r="A1384" s="31" t="str">
        <f>IF(Table!A1384 = "","",Table!A1384)</f>
        <v/>
      </c>
      <c r="B1384" s="31" t="str">
        <f>IF(Table!B1384 = "","",Table!B1384)</f>
        <v/>
      </c>
      <c r="C1384" s="31" t="str">
        <f>IF(Table!C1384 = "","",Table!C1384)</f>
        <v/>
      </c>
      <c r="D1384" s="32" t="str">
        <f>IF(Table!D1384 = "","",Table!D1384)</f>
        <v/>
      </c>
      <c r="E1384" s="32" t="str">
        <f>IF(Table!E1384 = "","",Table!E1384)</f>
        <v/>
      </c>
      <c r="F1384" s="32" t="str">
        <f>IF(Table!F1384 = "","",Table!F1384)</f>
        <v/>
      </c>
      <c r="G1384" s="91"/>
      <c r="K1384" s="31" t="str">
        <f>IFERROR(VLOOKUP(A1384,Table!$I$4:$O$3000,1,TRUE),"")</f>
        <v/>
      </c>
      <c r="L1384" s="31" t="str">
        <f>IFERROR(INDEX(Table!I:O,MATCH(K1384,Table!I:I,0),2),"")</f>
        <v/>
      </c>
      <c r="M1384" s="31" t="str">
        <f>IFERROR(INDEX(Table!I:O,MATCH(K1384,Table!I:I,0),3),"")</f>
        <v/>
      </c>
      <c r="N1384" s="32" t="str">
        <f>IFERROR(INDEX(Table!I:O,MATCH(K1384,Table!I:I,0),4),"")</f>
        <v/>
      </c>
      <c r="O1384" s="32" t="str">
        <f>IFERROR(INDEX(Table!I:O,MATCH(K1384,Table!I:I,0),5),"")</f>
        <v/>
      </c>
      <c r="P1384" s="32" t="str">
        <f>IFERROR(INDEX(Table!I:O,MATCH(K1384,Table!I:I,0),6),"")</f>
        <v/>
      </c>
      <c r="Q1384" s="89" t="str">
        <f t="shared" si="63"/>
        <v/>
      </c>
      <c r="R1384" s="89" t="str">
        <f t="shared" si="64"/>
        <v/>
      </c>
      <c r="S1384" s="82"/>
      <c r="U1384" s="37" t="e">
        <f t="shared" si="65"/>
        <v>#VALUE!</v>
      </c>
    </row>
    <row r="1385" spans="1:21" x14ac:dyDescent="0.25">
      <c r="A1385" s="31" t="str">
        <f>IF(Table!A1385 = "","",Table!A1385)</f>
        <v/>
      </c>
      <c r="B1385" s="31" t="str">
        <f>IF(Table!B1385 = "","",Table!B1385)</f>
        <v/>
      </c>
      <c r="C1385" s="31" t="str">
        <f>IF(Table!C1385 = "","",Table!C1385)</f>
        <v/>
      </c>
      <c r="D1385" s="32" t="str">
        <f>IF(Table!D1385 = "","",Table!D1385)</f>
        <v/>
      </c>
      <c r="E1385" s="32" t="str">
        <f>IF(Table!E1385 = "","",Table!E1385)</f>
        <v/>
      </c>
      <c r="F1385" s="32" t="str">
        <f>IF(Table!F1385 = "","",Table!F1385)</f>
        <v/>
      </c>
      <c r="G1385" s="91"/>
      <c r="K1385" s="31" t="str">
        <f>IFERROR(VLOOKUP(A1385,Table!$I$4:$O$3000,1,TRUE),"")</f>
        <v/>
      </c>
      <c r="L1385" s="31" t="str">
        <f>IFERROR(INDEX(Table!I:O,MATCH(K1385,Table!I:I,0),2),"")</f>
        <v/>
      </c>
      <c r="M1385" s="31" t="str">
        <f>IFERROR(INDEX(Table!I:O,MATCH(K1385,Table!I:I,0),3),"")</f>
        <v/>
      </c>
      <c r="N1385" s="32" t="str">
        <f>IFERROR(INDEX(Table!I:O,MATCH(K1385,Table!I:I,0),4),"")</f>
        <v/>
      </c>
      <c r="O1385" s="32" t="str">
        <f>IFERROR(INDEX(Table!I:O,MATCH(K1385,Table!I:I,0),5),"")</f>
        <v/>
      </c>
      <c r="P1385" s="32" t="str">
        <f>IFERROR(INDEX(Table!I:O,MATCH(K1385,Table!I:I,0),6),"")</f>
        <v/>
      </c>
      <c r="Q1385" s="89" t="str">
        <f t="shared" si="63"/>
        <v/>
      </c>
      <c r="R1385" s="89" t="str">
        <f t="shared" si="64"/>
        <v/>
      </c>
      <c r="S1385" s="82"/>
      <c r="U1385" s="37" t="e">
        <f t="shared" si="65"/>
        <v>#VALUE!</v>
      </c>
    </row>
    <row r="1386" spans="1:21" x14ac:dyDescent="0.25">
      <c r="A1386" s="31" t="str">
        <f>IF(Table!A1386 = "","",Table!A1386)</f>
        <v/>
      </c>
      <c r="B1386" s="31" t="str">
        <f>IF(Table!B1386 = "","",Table!B1386)</f>
        <v/>
      </c>
      <c r="C1386" s="31" t="str">
        <f>IF(Table!C1386 = "","",Table!C1386)</f>
        <v/>
      </c>
      <c r="D1386" s="32" t="str">
        <f>IF(Table!D1386 = "","",Table!D1386)</f>
        <v/>
      </c>
      <c r="E1386" s="32" t="str">
        <f>IF(Table!E1386 = "","",Table!E1386)</f>
        <v/>
      </c>
      <c r="F1386" s="32" t="str">
        <f>IF(Table!F1386 = "","",Table!F1386)</f>
        <v/>
      </c>
      <c r="G1386" s="91"/>
      <c r="K1386" s="31" t="str">
        <f>IFERROR(VLOOKUP(A1386,Table!$I$4:$O$3000,1,TRUE),"")</f>
        <v/>
      </c>
      <c r="L1386" s="31" t="str">
        <f>IFERROR(INDEX(Table!I:O,MATCH(K1386,Table!I:I,0),2),"")</f>
        <v/>
      </c>
      <c r="M1386" s="31" t="str">
        <f>IFERROR(INDEX(Table!I:O,MATCH(K1386,Table!I:I,0),3),"")</f>
        <v/>
      </c>
      <c r="N1386" s="32" t="str">
        <f>IFERROR(INDEX(Table!I:O,MATCH(K1386,Table!I:I,0),4),"")</f>
        <v/>
      </c>
      <c r="O1386" s="32" t="str">
        <f>IFERROR(INDEX(Table!I:O,MATCH(K1386,Table!I:I,0),5),"")</f>
        <v/>
      </c>
      <c r="P1386" s="32" t="str">
        <f>IFERROR(INDEX(Table!I:O,MATCH(K1386,Table!I:I,0),6),"")</f>
        <v/>
      </c>
      <c r="Q1386" s="89" t="str">
        <f t="shared" si="63"/>
        <v/>
      </c>
      <c r="R1386" s="89" t="str">
        <f t="shared" si="64"/>
        <v/>
      </c>
      <c r="S1386" s="82"/>
      <c r="U1386" s="37" t="e">
        <f t="shared" si="65"/>
        <v>#VALUE!</v>
      </c>
    </row>
    <row r="1387" spans="1:21" x14ac:dyDescent="0.25">
      <c r="A1387" s="31" t="str">
        <f>IF(Table!A1387 = "","",Table!A1387)</f>
        <v/>
      </c>
      <c r="B1387" s="31" t="str">
        <f>IF(Table!B1387 = "","",Table!B1387)</f>
        <v/>
      </c>
      <c r="C1387" s="31" t="str">
        <f>IF(Table!C1387 = "","",Table!C1387)</f>
        <v/>
      </c>
      <c r="D1387" s="32" t="str">
        <f>IF(Table!D1387 = "","",Table!D1387)</f>
        <v/>
      </c>
      <c r="E1387" s="32" t="str">
        <f>IF(Table!E1387 = "","",Table!E1387)</f>
        <v/>
      </c>
      <c r="F1387" s="32" t="str">
        <f>IF(Table!F1387 = "","",Table!F1387)</f>
        <v/>
      </c>
      <c r="G1387" s="91"/>
      <c r="K1387" s="31" t="str">
        <f>IFERROR(VLOOKUP(A1387,Table!$I$4:$O$3000,1,TRUE),"")</f>
        <v/>
      </c>
      <c r="L1387" s="31" t="str">
        <f>IFERROR(INDEX(Table!I:O,MATCH(K1387,Table!I:I,0),2),"")</f>
        <v/>
      </c>
      <c r="M1387" s="31" t="str">
        <f>IFERROR(INDEX(Table!I:O,MATCH(K1387,Table!I:I,0),3),"")</f>
        <v/>
      </c>
      <c r="N1387" s="32" t="str">
        <f>IFERROR(INDEX(Table!I:O,MATCH(K1387,Table!I:I,0),4),"")</f>
        <v/>
      </c>
      <c r="O1387" s="32" t="str">
        <f>IFERROR(INDEX(Table!I:O,MATCH(K1387,Table!I:I,0),5),"")</f>
        <v/>
      </c>
      <c r="P1387" s="32" t="str">
        <f>IFERROR(INDEX(Table!I:O,MATCH(K1387,Table!I:I,0),6),"")</f>
        <v/>
      </c>
      <c r="Q1387" s="89" t="str">
        <f t="shared" si="63"/>
        <v/>
      </c>
      <c r="R1387" s="89" t="str">
        <f t="shared" si="64"/>
        <v/>
      </c>
      <c r="S1387" s="82"/>
      <c r="U1387" s="37" t="e">
        <f t="shared" si="65"/>
        <v>#VALUE!</v>
      </c>
    </row>
    <row r="1388" spans="1:21" x14ac:dyDescent="0.25">
      <c r="A1388" s="31" t="str">
        <f>IF(Table!A1388 = "","",Table!A1388)</f>
        <v/>
      </c>
      <c r="B1388" s="31" t="str">
        <f>IF(Table!B1388 = "","",Table!B1388)</f>
        <v/>
      </c>
      <c r="C1388" s="31" t="str">
        <f>IF(Table!C1388 = "","",Table!C1388)</f>
        <v/>
      </c>
      <c r="D1388" s="32" t="str">
        <f>IF(Table!D1388 = "","",Table!D1388)</f>
        <v/>
      </c>
      <c r="E1388" s="32" t="str">
        <f>IF(Table!E1388 = "","",Table!E1388)</f>
        <v/>
      </c>
      <c r="F1388" s="32" t="str">
        <f>IF(Table!F1388 = "","",Table!F1388)</f>
        <v/>
      </c>
      <c r="G1388" s="91"/>
      <c r="K1388" s="31" t="str">
        <f>IFERROR(VLOOKUP(A1388,Table!$I$4:$O$3000,1,TRUE),"")</f>
        <v/>
      </c>
      <c r="L1388" s="31" t="str">
        <f>IFERROR(INDEX(Table!I:O,MATCH(K1388,Table!I:I,0),2),"")</f>
        <v/>
      </c>
      <c r="M1388" s="31" t="str">
        <f>IFERROR(INDEX(Table!I:O,MATCH(K1388,Table!I:I,0),3),"")</f>
        <v/>
      </c>
      <c r="N1388" s="32" t="str">
        <f>IFERROR(INDEX(Table!I:O,MATCH(K1388,Table!I:I,0),4),"")</f>
        <v/>
      </c>
      <c r="O1388" s="32" t="str">
        <f>IFERROR(INDEX(Table!I:O,MATCH(K1388,Table!I:I,0),5),"")</f>
        <v/>
      </c>
      <c r="P1388" s="32" t="str">
        <f>IFERROR(INDEX(Table!I:O,MATCH(K1388,Table!I:I,0),6),"")</f>
        <v/>
      </c>
      <c r="Q1388" s="89" t="str">
        <f t="shared" si="63"/>
        <v/>
      </c>
      <c r="R1388" s="89" t="str">
        <f t="shared" si="64"/>
        <v/>
      </c>
      <c r="S1388" s="82"/>
      <c r="U1388" s="37" t="e">
        <f t="shared" si="65"/>
        <v>#VALUE!</v>
      </c>
    </row>
    <row r="1389" spans="1:21" x14ac:dyDescent="0.25">
      <c r="A1389" s="31" t="str">
        <f>IF(Table!A1389 = "","",Table!A1389)</f>
        <v/>
      </c>
      <c r="B1389" s="31" t="str">
        <f>IF(Table!B1389 = "","",Table!B1389)</f>
        <v/>
      </c>
      <c r="C1389" s="31" t="str">
        <f>IF(Table!C1389 = "","",Table!C1389)</f>
        <v/>
      </c>
      <c r="D1389" s="32" t="str">
        <f>IF(Table!D1389 = "","",Table!D1389)</f>
        <v/>
      </c>
      <c r="E1389" s="32" t="str">
        <f>IF(Table!E1389 = "","",Table!E1389)</f>
        <v/>
      </c>
      <c r="F1389" s="32" t="str">
        <f>IF(Table!F1389 = "","",Table!F1389)</f>
        <v/>
      </c>
      <c r="G1389" s="91"/>
      <c r="K1389" s="31" t="str">
        <f>IFERROR(VLOOKUP(A1389,Table!$I$4:$O$3000,1,TRUE),"")</f>
        <v/>
      </c>
      <c r="L1389" s="31" t="str">
        <f>IFERROR(INDEX(Table!I:O,MATCH(K1389,Table!I:I,0),2),"")</f>
        <v/>
      </c>
      <c r="M1389" s="31" t="str">
        <f>IFERROR(INDEX(Table!I:O,MATCH(K1389,Table!I:I,0),3),"")</f>
        <v/>
      </c>
      <c r="N1389" s="32" t="str">
        <f>IFERROR(INDEX(Table!I:O,MATCH(K1389,Table!I:I,0),4),"")</f>
        <v/>
      </c>
      <c r="O1389" s="32" t="str">
        <f>IFERROR(INDEX(Table!I:O,MATCH(K1389,Table!I:I,0),5),"")</f>
        <v/>
      </c>
      <c r="P1389" s="32" t="str">
        <f>IFERROR(INDEX(Table!I:O,MATCH(K1389,Table!I:I,0),6),"")</f>
        <v/>
      </c>
      <c r="Q1389" s="89" t="str">
        <f t="shared" si="63"/>
        <v/>
      </c>
      <c r="R1389" s="89" t="str">
        <f t="shared" si="64"/>
        <v/>
      </c>
      <c r="S1389" s="82"/>
      <c r="U1389" s="37" t="e">
        <f t="shared" si="65"/>
        <v>#VALUE!</v>
      </c>
    </row>
    <row r="1390" spans="1:21" x14ac:dyDescent="0.25">
      <c r="A1390" s="31" t="str">
        <f>IF(Table!A1390 = "","",Table!A1390)</f>
        <v/>
      </c>
      <c r="B1390" s="31" t="str">
        <f>IF(Table!B1390 = "","",Table!B1390)</f>
        <v/>
      </c>
      <c r="C1390" s="31" t="str">
        <f>IF(Table!C1390 = "","",Table!C1390)</f>
        <v/>
      </c>
      <c r="D1390" s="32" t="str">
        <f>IF(Table!D1390 = "","",Table!D1390)</f>
        <v/>
      </c>
      <c r="E1390" s="32" t="str">
        <f>IF(Table!E1390 = "","",Table!E1390)</f>
        <v/>
      </c>
      <c r="F1390" s="32" t="str">
        <f>IF(Table!F1390 = "","",Table!F1390)</f>
        <v/>
      </c>
      <c r="G1390" s="91"/>
      <c r="K1390" s="31" t="str">
        <f>IFERROR(VLOOKUP(A1390,Table!$I$4:$O$3000,1,TRUE),"")</f>
        <v/>
      </c>
      <c r="L1390" s="31" t="str">
        <f>IFERROR(INDEX(Table!I:O,MATCH(K1390,Table!I:I,0),2),"")</f>
        <v/>
      </c>
      <c r="M1390" s="31" t="str">
        <f>IFERROR(INDEX(Table!I:O,MATCH(K1390,Table!I:I,0),3),"")</f>
        <v/>
      </c>
      <c r="N1390" s="32" t="str">
        <f>IFERROR(INDEX(Table!I:O,MATCH(K1390,Table!I:I,0),4),"")</f>
        <v/>
      </c>
      <c r="O1390" s="32" t="str">
        <f>IFERROR(INDEX(Table!I:O,MATCH(K1390,Table!I:I,0),5),"")</f>
        <v/>
      </c>
      <c r="P1390" s="32" t="str">
        <f>IFERROR(INDEX(Table!I:O,MATCH(K1390,Table!I:I,0),6),"")</f>
        <v/>
      </c>
      <c r="Q1390" s="89" t="str">
        <f t="shared" si="63"/>
        <v/>
      </c>
      <c r="R1390" s="89" t="str">
        <f t="shared" si="64"/>
        <v/>
      </c>
      <c r="S1390" s="82"/>
      <c r="U1390" s="37" t="e">
        <f t="shared" si="65"/>
        <v>#VALUE!</v>
      </c>
    </row>
    <row r="1391" spans="1:21" x14ac:dyDescent="0.25">
      <c r="A1391" s="31" t="str">
        <f>IF(Table!A1391 = "","",Table!A1391)</f>
        <v/>
      </c>
      <c r="B1391" s="31" t="str">
        <f>IF(Table!B1391 = "","",Table!B1391)</f>
        <v/>
      </c>
      <c r="C1391" s="31" t="str">
        <f>IF(Table!C1391 = "","",Table!C1391)</f>
        <v/>
      </c>
      <c r="D1391" s="32" t="str">
        <f>IF(Table!D1391 = "","",Table!D1391)</f>
        <v/>
      </c>
      <c r="E1391" s="32" t="str">
        <f>IF(Table!E1391 = "","",Table!E1391)</f>
        <v/>
      </c>
      <c r="F1391" s="32" t="str">
        <f>IF(Table!F1391 = "","",Table!F1391)</f>
        <v/>
      </c>
      <c r="G1391" s="91"/>
      <c r="K1391" s="31" t="str">
        <f>IFERROR(VLOOKUP(A1391,Table!$I$4:$O$3000,1,TRUE),"")</f>
        <v/>
      </c>
      <c r="L1391" s="31" t="str">
        <f>IFERROR(INDEX(Table!I:O,MATCH(K1391,Table!I:I,0),2),"")</f>
        <v/>
      </c>
      <c r="M1391" s="31" t="str">
        <f>IFERROR(INDEX(Table!I:O,MATCH(K1391,Table!I:I,0),3),"")</f>
        <v/>
      </c>
      <c r="N1391" s="32" t="str">
        <f>IFERROR(INDEX(Table!I:O,MATCH(K1391,Table!I:I,0),4),"")</f>
        <v/>
      </c>
      <c r="O1391" s="32" t="str">
        <f>IFERROR(INDEX(Table!I:O,MATCH(K1391,Table!I:I,0),5),"")</f>
        <v/>
      </c>
      <c r="P1391" s="32" t="str">
        <f>IFERROR(INDEX(Table!I:O,MATCH(K1391,Table!I:I,0),6),"")</f>
        <v/>
      </c>
      <c r="Q1391" s="89" t="str">
        <f t="shared" si="63"/>
        <v/>
      </c>
      <c r="R1391" s="89" t="str">
        <f t="shared" si="64"/>
        <v/>
      </c>
      <c r="S1391" s="82"/>
      <c r="U1391" s="37" t="e">
        <f t="shared" si="65"/>
        <v>#VALUE!</v>
      </c>
    </row>
    <row r="1392" spans="1:21" x14ac:dyDescent="0.25">
      <c r="A1392" s="31" t="str">
        <f>IF(Table!A1392 = "","",Table!A1392)</f>
        <v/>
      </c>
      <c r="B1392" s="31" t="str">
        <f>IF(Table!B1392 = "","",Table!B1392)</f>
        <v/>
      </c>
      <c r="C1392" s="31" t="str">
        <f>IF(Table!C1392 = "","",Table!C1392)</f>
        <v/>
      </c>
      <c r="D1392" s="32" t="str">
        <f>IF(Table!D1392 = "","",Table!D1392)</f>
        <v/>
      </c>
      <c r="E1392" s="32" t="str">
        <f>IF(Table!E1392 = "","",Table!E1392)</f>
        <v/>
      </c>
      <c r="F1392" s="32" t="str">
        <f>IF(Table!F1392 = "","",Table!F1392)</f>
        <v/>
      </c>
      <c r="G1392" s="91"/>
      <c r="K1392" s="31" t="str">
        <f>IFERROR(VLOOKUP(A1392,Table!$I$4:$O$3000,1,TRUE),"")</f>
        <v/>
      </c>
      <c r="L1392" s="31" t="str">
        <f>IFERROR(INDEX(Table!I:O,MATCH(K1392,Table!I:I,0),2),"")</f>
        <v/>
      </c>
      <c r="M1392" s="31" t="str">
        <f>IFERROR(INDEX(Table!I:O,MATCH(K1392,Table!I:I,0),3),"")</f>
        <v/>
      </c>
      <c r="N1392" s="32" t="str">
        <f>IFERROR(INDEX(Table!I:O,MATCH(K1392,Table!I:I,0),4),"")</f>
        <v/>
      </c>
      <c r="O1392" s="32" t="str">
        <f>IFERROR(INDEX(Table!I:O,MATCH(K1392,Table!I:I,0),5),"")</f>
        <v/>
      </c>
      <c r="P1392" s="32" t="str">
        <f>IFERROR(INDEX(Table!I:O,MATCH(K1392,Table!I:I,0),6),"")</f>
        <v/>
      </c>
      <c r="Q1392" s="89" t="str">
        <f t="shared" si="63"/>
        <v/>
      </c>
      <c r="R1392" s="89" t="str">
        <f t="shared" si="64"/>
        <v/>
      </c>
      <c r="S1392" s="82"/>
      <c r="U1392" s="37" t="e">
        <f t="shared" si="65"/>
        <v>#VALUE!</v>
      </c>
    </row>
    <row r="1393" spans="1:21" x14ac:dyDescent="0.25">
      <c r="A1393" s="31" t="str">
        <f>IF(Table!A1393 = "","",Table!A1393)</f>
        <v/>
      </c>
      <c r="B1393" s="31" t="str">
        <f>IF(Table!B1393 = "","",Table!B1393)</f>
        <v/>
      </c>
      <c r="C1393" s="31" t="str">
        <f>IF(Table!C1393 = "","",Table!C1393)</f>
        <v/>
      </c>
      <c r="D1393" s="32" t="str">
        <f>IF(Table!D1393 = "","",Table!D1393)</f>
        <v/>
      </c>
      <c r="E1393" s="32" t="str">
        <f>IF(Table!E1393 = "","",Table!E1393)</f>
        <v/>
      </c>
      <c r="F1393" s="32" t="str">
        <f>IF(Table!F1393 = "","",Table!F1393)</f>
        <v/>
      </c>
      <c r="G1393" s="91"/>
      <c r="K1393" s="31" t="str">
        <f>IFERROR(VLOOKUP(A1393,Table!$I$4:$O$3000,1,TRUE),"")</f>
        <v/>
      </c>
      <c r="L1393" s="31" t="str">
        <f>IFERROR(INDEX(Table!I:O,MATCH(K1393,Table!I:I,0),2),"")</f>
        <v/>
      </c>
      <c r="M1393" s="31" t="str">
        <f>IFERROR(INDEX(Table!I:O,MATCH(K1393,Table!I:I,0),3),"")</f>
        <v/>
      </c>
      <c r="N1393" s="32" t="str">
        <f>IFERROR(INDEX(Table!I:O,MATCH(K1393,Table!I:I,0),4),"")</f>
        <v/>
      </c>
      <c r="O1393" s="32" t="str">
        <f>IFERROR(INDEX(Table!I:O,MATCH(K1393,Table!I:I,0),5),"")</f>
        <v/>
      </c>
      <c r="P1393" s="32" t="str">
        <f>IFERROR(INDEX(Table!I:O,MATCH(K1393,Table!I:I,0),6),"")</f>
        <v/>
      </c>
      <c r="Q1393" s="89" t="str">
        <f t="shared" si="63"/>
        <v/>
      </c>
      <c r="R1393" s="89" t="str">
        <f t="shared" si="64"/>
        <v/>
      </c>
      <c r="S1393" s="82"/>
      <c r="U1393" s="37" t="e">
        <f t="shared" si="65"/>
        <v>#VALUE!</v>
      </c>
    </row>
    <row r="1394" spans="1:21" x14ac:dyDescent="0.25">
      <c r="A1394" s="31" t="str">
        <f>IF(Table!A1394 = "","",Table!A1394)</f>
        <v/>
      </c>
      <c r="B1394" s="31" t="str">
        <f>IF(Table!B1394 = "","",Table!B1394)</f>
        <v/>
      </c>
      <c r="C1394" s="31" t="str">
        <f>IF(Table!C1394 = "","",Table!C1394)</f>
        <v/>
      </c>
      <c r="D1394" s="32" t="str">
        <f>IF(Table!D1394 = "","",Table!D1394)</f>
        <v/>
      </c>
      <c r="E1394" s="32" t="str">
        <f>IF(Table!E1394 = "","",Table!E1394)</f>
        <v/>
      </c>
      <c r="F1394" s="32" t="str">
        <f>IF(Table!F1394 = "","",Table!F1394)</f>
        <v/>
      </c>
      <c r="G1394" s="91"/>
      <c r="K1394" s="31" t="str">
        <f>IFERROR(VLOOKUP(A1394,Table!$I$4:$O$3000,1,TRUE),"")</f>
        <v/>
      </c>
      <c r="L1394" s="31" t="str">
        <f>IFERROR(INDEX(Table!I:O,MATCH(K1394,Table!I:I,0),2),"")</f>
        <v/>
      </c>
      <c r="M1394" s="31" t="str">
        <f>IFERROR(INDEX(Table!I:O,MATCH(K1394,Table!I:I,0),3),"")</f>
        <v/>
      </c>
      <c r="N1394" s="32" t="str">
        <f>IFERROR(INDEX(Table!I:O,MATCH(K1394,Table!I:I,0),4),"")</f>
        <v/>
      </c>
      <c r="O1394" s="32" t="str">
        <f>IFERROR(INDEX(Table!I:O,MATCH(K1394,Table!I:I,0),5),"")</f>
        <v/>
      </c>
      <c r="P1394" s="32" t="str">
        <f>IFERROR(INDEX(Table!I:O,MATCH(K1394,Table!I:I,0),6),"")</f>
        <v/>
      </c>
      <c r="Q1394" s="89" t="str">
        <f t="shared" si="63"/>
        <v/>
      </c>
      <c r="R1394" s="89" t="str">
        <f t="shared" si="64"/>
        <v/>
      </c>
      <c r="S1394" s="82"/>
      <c r="U1394" s="37" t="e">
        <f t="shared" si="65"/>
        <v>#VALUE!</v>
      </c>
    </row>
    <row r="1395" spans="1:21" x14ac:dyDescent="0.25">
      <c r="A1395" s="31" t="str">
        <f>IF(Table!A1395 = "","",Table!A1395)</f>
        <v/>
      </c>
      <c r="B1395" s="31" t="str">
        <f>IF(Table!B1395 = "","",Table!B1395)</f>
        <v/>
      </c>
      <c r="C1395" s="31" t="str">
        <f>IF(Table!C1395 = "","",Table!C1395)</f>
        <v/>
      </c>
      <c r="D1395" s="32" t="str">
        <f>IF(Table!D1395 = "","",Table!D1395)</f>
        <v/>
      </c>
      <c r="E1395" s="32" t="str">
        <f>IF(Table!E1395 = "","",Table!E1395)</f>
        <v/>
      </c>
      <c r="F1395" s="32" t="str">
        <f>IF(Table!F1395 = "","",Table!F1395)</f>
        <v/>
      </c>
      <c r="G1395" s="91"/>
      <c r="K1395" s="31" t="str">
        <f>IFERROR(VLOOKUP(A1395,Table!$I$4:$O$3000,1,TRUE),"")</f>
        <v/>
      </c>
      <c r="L1395" s="31" t="str">
        <f>IFERROR(INDEX(Table!I:O,MATCH(K1395,Table!I:I,0),2),"")</f>
        <v/>
      </c>
      <c r="M1395" s="31" t="str">
        <f>IFERROR(INDEX(Table!I:O,MATCH(K1395,Table!I:I,0),3),"")</f>
        <v/>
      </c>
      <c r="N1395" s="32" t="str">
        <f>IFERROR(INDEX(Table!I:O,MATCH(K1395,Table!I:I,0),4),"")</f>
        <v/>
      </c>
      <c r="O1395" s="32" t="str">
        <f>IFERROR(INDEX(Table!I:O,MATCH(K1395,Table!I:I,0),5),"")</f>
        <v/>
      </c>
      <c r="P1395" s="32" t="str">
        <f>IFERROR(INDEX(Table!I:O,MATCH(K1395,Table!I:I,0),6),"")</f>
        <v/>
      </c>
      <c r="Q1395" s="89" t="str">
        <f t="shared" si="63"/>
        <v/>
      </c>
      <c r="R1395" s="89" t="str">
        <f t="shared" si="64"/>
        <v/>
      </c>
      <c r="S1395" s="82"/>
      <c r="U1395" s="37" t="e">
        <f t="shared" si="65"/>
        <v>#VALUE!</v>
      </c>
    </row>
    <row r="1396" spans="1:21" x14ac:dyDescent="0.25">
      <c r="A1396" s="31" t="str">
        <f>IF(Table!A1396 = "","",Table!A1396)</f>
        <v/>
      </c>
      <c r="B1396" s="31" t="str">
        <f>IF(Table!B1396 = "","",Table!B1396)</f>
        <v/>
      </c>
      <c r="C1396" s="31" t="str">
        <f>IF(Table!C1396 = "","",Table!C1396)</f>
        <v/>
      </c>
      <c r="D1396" s="32" t="str">
        <f>IF(Table!D1396 = "","",Table!D1396)</f>
        <v/>
      </c>
      <c r="E1396" s="32" t="str">
        <f>IF(Table!E1396 = "","",Table!E1396)</f>
        <v/>
      </c>
      <c r="F1396" s="32" t="str">
        <f>IF(Table!F1396 = "","",Table!F1396)</f>
        <v/>
      </c>
      <c r="G1396" s="91"/>
      <c r="K1396" s="31" t="str">
        <f>IFERROR(VLOOKUP(A1396,Table!$I$4:$O$3000,1,TRUE),"")</f>
        <v/>
      </c>
      <c r="L1396" s="31" t="str">
        <f>IFERROR(INDEX(Table!I:O,MATCH(K1396,Table!I:I,0),2),"")</f>
        <v/>
      </c>
      <c r="M1396" s="31" t="str">
        <f>IFERROR(INDEX(Table!I:O,MATCH(K1396,Table!I:I,0),3),"")</f>
        <v/>
      </c>
      <c r="N1396" s="32" t="str">
        <f>IFERROR(INDEX(Table!I:O,MATCH(K1396,Table!I:I,0),4),"")</f>
        <v/>
      </c>
      <c r="O1396" s="32" t="str">
        <f>IFERROR(INDEX(Table!I:O,MATCH(K1396,Table!I:I,0),5),"")</f>
        <v/>
      </c>
      <c r="P1396" s="32" t="str">
        <f>IFERROR(INDEX(Table!I:O,MATCH(K1396,Table!I:I,0),6),"")</f>
        <v/>
      </c>
      <c r="Q1396" s="89" t="str">
        <f t="shared" si="63"/>
        <v/>
      </c>
      <c r="R1396" s="89" t="str">
        <f t="shared" si="64"/>
        <v/>
      </c>
      <c r="S1396" s="82"/>
      <c r="U1396" s="37" t="e">
        <f t="shared" si="65"/>
        <v>#VALUE!</v>
      </c>
    </row>
    <row r="1397" spans="1:21" x14ac:dyDescent="0.25">
      <c r="A1397" s="31" t="str">
        <f>IF(Table!A1397 = "","",Table!A1397)</f>
        <v/>
      </c>
      <c r="B1397" s="31" t="str">
        <f>IF(Table!B1397 = "","",Table!B1397)</f>
        <v/>
      </c>
      <c r="C1397" s="31" t="str">
        <f>IF(Table!C1397 = "","",Table!C1397)</f>
        <v/>
      </c>
      <c r="D1397" s="32" t="str">
        <f>IF(Table!D1397 = "","",Table!D1397)</f>
        <v/>
      </c>
      <c r="E1397" s="32" t="str">
        <f>IF(Table!E1397 = "","",Table!E1397)</f>
        <v/>
      </c>
      <c r="F1397" s="32" t="str">
        <f>IF(Table!F1397 = "","",Table!F1397)</f>
        <v/>
      </c>
      <c r="G1397" s="91"/>
      <c r="K1397" s="31" t="str">
        <f>IFERROR(VLOOKUP(A1397,Table!$I$4:$O$3000,1,TRUE),"")</f>
        <v/>
      </c>
      <c r="L1397" s="31" t="str">
        <f>IFERROR(INDEX(Table!I:O,MATCH(K1397,Table!I:I,0),2),"")</f>
        <v/>
      </c>
      <c r="M1397" s="31" t="str">
        <f>IFERROR(INDEX(Table!I:O,MATCH(K1397,Table!I:I,0),3),"")</f>
        <v/>
      </c>
      <c r="N1397" s="32" t="str">
        <f>IFERROR(INDEX(Table!I:O,MATCH(K1397,Table!I:I,0),4),"")</f>
        <v/>
      </c>
      <c r="O1397" s="32" t="str">
        <f>IFERROR(INDEX(Table!I:O,MATCH(K1397,Table!I:I,0),5),"")</f>
        <v/>
      </c>
      <c r="P1397" s="32" t="str">
        <f>IFERROR(INDEX(Table!I:O,MATCH(K1397,Table!I:I,0),6),"")</f>
        <v/>
      </c>
      <c r="Q1397" s="89" t="str">
        <f t="shared" si="63"/>
        <v/>
      </c>
      <c r="R1397" s="89" t="str">
        <f t="shared" si="64"/>
        <v/>
      </c>
      <c r="S1397" s="82"/>
      <c r="U1397" s="37" t="e">
        <f t="shared" si="65"/>
        <v>#VALUE!</v>
      </c>
    </row>
    <row r="1398" spans="1:21" x14ac:dyDescent="0.25">
      <c r="A1398" s="31" t="str">
        <f>IF(Table!A1398 = "","",Table!A1398)</f>
        <v/>
      </c>
      <c r="B1398" s="31" t="str">
        <f>IF(Table!B1398 = "","",Table!B1398)</f>
        <v/>
      </c>
      <c r="C1398" s="31" t="str">
        <f>IF(Table!C1398 = "","",Table!C1398)</f>
        <v/>
      </c>
      <c r="D1398" s="32" t="str">
        <f>IF(Table!D1398 = "","",Table!D1398)</f>
        <v/>
      </c>
      <c r="E1398" s="32" t="str">
        <f>IF(Table!E1398 = "","",Table!E1398)</f>
        <v/>
      </c>
      <c r="F1398" s="32" t="str">
        <f>IF(Table!F1398 = "","",Table!F1398)</f>
        <v/>
      </c>
      <c r="G1398" s="91"/>
      <c r="K1398" s="31" t="str">
        <f>IFERROR(VLOOKUP(A1398,Table!$I$4:$O$3000,1,TRUE),"")</f>
        <v/>
      </c>
      <c r="L1398" s="31" t="str">
        <f>IFERROR(INDEX(Table!I:O,MATCH(K1398,Table!I:I,0),2),"")</f>
        <v/>
      </c>
      <c r="M1398" s="31" t="str">
        <f>IFERROR(INDEX(Table!I:O,MATCH(K1398,Table!I:I,0),3),"")</f>
        <v/>
      </c>
      <c r="N1398" s="32" t="str">
        <f>IFERROR(INDEX(Table!I:O,MATCH(K1398,Table!I:I,0),4),"")</f>
        <v/>
      </c>
      <c r="O1398" s="32" t="str">
        <f>IFERROR(INDEX(Table!I:O,MATCH(K1398,Table!I:I,0),5),"")</f>
        <v/>
      </c>
      <c r="P1398" s="32" t="str">
        <f>IFERROR(INDEX(Table!I:O,MATCH(K1398,Table!I:I,0),6),"")</f>
        <v/>
      </c>
      <c r="Q1398" s="89" t="str">
        <f t="shared" si="63"/>
        <v/>
      </c>
      <c r="R1398" s="89" t="str">
        <f t="shared" si="64"/>
        <v/>
      </c>
      <c r="S1398" s="82"/>
      <c r="U1398" s="37" t="e">
        <f t="shared" si="65"/>
        <v>#VALUE!</v>
      </c>
    </row>
    <row r="1399" spans="1:21" x14ac:dyDescent="0.25">
      <c r="A1399" s="31" t="str">
        <f>IF(Table!A1399 = "","",Table!A1399)</f>
        <v/>
      </c>
      <c r="B1399" s="31" t="str">
        <f>IF(Table!B1399 = "","",Table!B1399)</f>
        <v/>
      </c>
      <c r="C1399" s="31" t="str">
        <f>IF(Table!C1399 = "","",Table!C1399)</f>
        <v/>
      </c>
      <c r="D1399" s="32" t="str">
        <f>IF(Table!D1399 = "","",Table!D1399)</f>
        <v/>
      </c>
      <c r="E1399" s="32" t="str">
        <f>IF(Table!E1399 = "","",Table!E1399)</f>
        <v/>
      </c>
      <c r="F1399" s="32" t="str">
        <f>IF(Table!F1399 = "","",Table!F1399)</f>
        <v/>
      </c>
      <c r="G1399" s="91"/>
      <c r="K1399" s="31" t="str">
        <f>IFERROR(VLOOKUP(A1399,Table!$I$4:$O$3000,1,TRUE),"")</f>
        <v/>
      </c>
      <c r="L1399" s="31" t="str">
        <f>IFERROR(INDEX(Table!I:O,MATCH(K1399,Table!I:I,0),2),"")</f>
        <v/>
      </c>
      <c r="M1399" s="31" t="str">
        <f>IFERROR(INDEX(Table!I:O,MATCH(K1399,Table!I:I,0),3),"")</f>
        <v/>
      </c>
      <c r="N1399" s="32" t="str">
        <f>IFERROR(INDEX(Table!I:O,MATCH(K1399,Table!I:I,0),4),"")</f>
        <v/>
      </c>
      <c r="O1399" s="32" t="str">
        <f>IFERROR(INDEX(Table!I:O,MATCH(K1399,Table!I:I,0),5),"")</f>
        <v/>
      </c>
      <c r="P1399" s="32" t="str">
        <f>IFERROR(INDEX(Table!I:O,MATCH(K1399,Table!I:I,0),6),"")</f>
        <v/>
      </c>
      <c r="Q1399" s="89" t="str">
        <f t="shared" si="63"/>
        <v/>
      </c>
      <c r="R1399" s="89" t="str">
        <f t="shared" si="64"/>
        <v/>
      </c>
      <c r="S1399" s="82"/>
      <c r="U1399" s="37" t="e">
        <f t="shared" si="65"/>
        <v>#VALUE!</v>
      </c>
    </row>
    <row r="1400" spans="1:21" x14ac:dyDescent="0.25">
      <c r="A1400" s="31" t="str">
        <f>IF(Table!A1400 = "","",Table!A1400)</f>
        <v/>
      </c>
      <c r="B1400" s="31" t="str">
        <f>IF(Table!B1400 = "","",Table!B1400)</f>
        <v/>
      </c>
      <c r="C1400" s="31" t="str">
        <f>IF(Table!C1400 = "","",Table!C1400)</f>
        <v/>
      </c>
      <c r="D1400" s="32" t="str">
        <f>IF(Table!D1400 = "","",Table!D1400)</f>
        <v/>
      </c>
      <c r="E1400" s="32" t="str">
        <f>IF(Table!E1400 = "","",Table!E1400)</f>
        <v/>
      </c>
      <c r="F1400" s="32" t="str">
        <f>IF(Table!F1400 = "","",Table!F1400)</f>
        <v/>
      </c>
      <c r="G1400" s="91"/>
      <c r="K1400" s="31" t="str">
        <f>IFERROR(VLOOKUP(A1400,Table!$I$4:$O$3000,1,TRUE),"")</f>
        <v/>
      </c>
      <c r="L1400" s="31" t="str">
        <f>IFERROR(INDEX(Table!I:O,MATCH(K1400,Table!I:I,0),2),"")</f>
        <v/>
      </c>
      <c r="M1400" s="31" t="str">
        <f>IFERROR(INDEX(Table!I:O,MATCH(K1400,Table!I:I,0),3),"")</f>
        <v/>
      </c>
      <c r="N1400" s="32" t="str">
        <f>IFERROR(INDEX(Table!I:O,MATCH(K1400,Table!I:I,0),4),"")</f>
        <v/>
      </c>
      <c r="O1400" s="32" t="str">
        <f>IFERROR(INDEX(Table!I:O,MATCH(K1400,Table!I:I,0),5),"")</f>
        <v/>
      </c>
      <c r="P1400" s="32" t="str">
        <f>IFERROR(INDEX(Table!I:O,MATCH(K1400,Table!I:I,0),6),"")</f>
        <v/>
      </c>
      <c r="Q1400" s="89" t="str">
        <f t="shared" si="63"/>
        <v/>
      </c>
      <c r="R1400" s="89" t="str">
        <f t="shared" si="64"/>
        <v/>
      </c>
      <c r="S1400" s="82"/>
      <c r="U1400" s="37" t="e">
        <f t="shared" si="65"/>
        <v>#VALUE!</v>
      </c>
    </row>
    <row r="1401" spans="1:21" x14ac:dyDescent="0.25">
      <c r="A1401" s="31" t="str">
        <f>IF(Table!A1401 = "","",Table!A1401)</f>
        <v/>
      </c>
      <c r="B1401" s="31" t="str">
        <f>IF(Table!B1401 = "","",Table!B1401)</f>
        <v/>
      </c>
      <c r="C1401" s="31" t="str">
        <f>IF(Table!C1401 = "","",Table!C1401)</f>
        <v/>
      </c>
      <c r="D1401" s="32" t="str">
        <f>IF(Table!D1401 = "","",Table!D1401)</f>
        <v/>
      </c>
      <c r="E1401" s="32" t="str">
        <f>IF(Table!E1401 = "","",Table!E1401)</f>
        <v/>
      </c>
      <c r="F1401" s="32" t="str">
        <f>IF(Table!F1401 = "","",Table!F1401)</f>
        <v/>
      </c>
      <c r="G1401" s="91"/>
      <c r="K1401" s="31" t="str">
        <f>IFERROR(VLOOKUP(A1401,Table!$I$4:$O$3000,1,TRUE),"")</f>
        <v/>
      </c>
      <c r="L1401" s="31" t="str">
        <f>IFERROR(INDEX(Table!I:O,MATCH(K1401,Table!I:I,0),2),"")</f>
        <v/>
      </c>
      <c r="M1401" s="31" t="str">
        <f>IFERROR(INDEX(Table!I:O,MATCH(K1401,Table!I:I,0),3),"")</f>
        <v/>
      </c>
      <c r="N1401" s="32" t="str">
        <f>IFERROR(INDEX(Table!I:O,MATCH(K1401,Table!I:I,0),4),"")</f>
        <v/>
      </c>
      <c r="O1401" s="32" t="str">
        <f>IFERROR(INDEX(Table!I:O,MATCH(K1401,Table!I:I,0),5),"")</f>
        <v/>
      </c>
      <c r="P1401" s="32" t="str">
        <f>IFERROR(INDEX(Table!I:O,MATCH(K1401,Table!I:I,0),6),"")</f>
        <v/>
      </c>
      <c r="Q1401" s="89" t="str">
        <f t="shared" si="63"/>
        <v/>
      </c>
      <c r="R1401" s="89" t="str">
        <f t="shared" si="64"/>
        <v/>
      </c>
      <c r="S1401" s="82"/>
      <c r="U1401" s="37" t="e">
        <f t="shared" si="65"/>
        <v>#VALUE!</v>
      </c>
    </row>
    <row r="1402" spans="1:21" x14ac:dyDescent="0.25">
      <c r="A1402" s="31" t="str">
        <f>IF(Table!A1402 = "","",Table!A1402)</f>
        <v/>
      </c>
      <c r="B1402" s="31" t="str">
        <f>IF(Table!B1402 = "","",Table!B1402)</f>
        <v/>
      </c>
      <c r="C1402" s="31" t="str">
        <f>IF(Table!C1402 = "","",Table!C1402)</f>
        <v/>
      </c>
      <c r="D1402" s="32" t="str">
        <f>IF(Table!D1402 = "","",Table!D1402)</f>
        <v/>
      </c>
      <c r="E1402" s="32" t="str">
        <f>IF(Table!E1402 = "","",Table!E1402)</f>
        <v/>
      </c>
      <c r="F1402" s="32" t="str">
        <f>IF(Table!F1402 = "","",Table!F1402)</f>
        <v/>
      </c>
      <c r="G1402" s="91"/>
      <c r="K1402" s="31" t="str">
        <f>IFERROR(VLOOKUP(A1402,Table!$I$4:$O$3000,1,TRUE),"")</f>
        <v/>
      </c>
      <c r="L1402" s="31" t="str">
        <f>IFERROR(INDEX(Table!I:O,MATCH(K1402,Table!I:I,0),2),"")</f>
        <v/>
      </c>
      <c r="M1402" s="31" t="str">
        <f>IFERROR(INDEX(Table!I:O,MATCH(K1402,Table!I:I,0),3),"")</f>
        <v/>
      </c>
      <c r="N1402" s="32" t="str">
        <f>IFERROR(INDEX(Table!I:O,MATCH(K1402,Table!I:I,0),4),"")</f>
        <v/>
      </c>
      <c r="O1402" s="32" t="str">
        <f>IFERROR(INDEX(Table!I:O,MATCH(K1402,Table!I:I,0),5),"")</f>
        <v/>
      </c>
      <c r="P1402" s="32" t="str">
        <f>IFERROR(INDEX(Table!I:O,MATCH(K1402,Table!I:I,0),6),"")</f>
        <v/>
      </c>
      <c r="Q1402" s="89" t="str">
        <f t="shared" si="63"/>
        <v/>
      </c>
      <c r="R1402" s="89" t="str">
        <f t="shared" si="64"/>
        <v/>
      </c>
      <c r="S1402" s="82"/>
      <c r="U1402" s="37" t="e">
        <f t="shared" si="65"/>
        <v>#VALUE!</v>
      </c>
    </row>
    <row r="1403" spans="1:21" x14ac:dyDescent="0.25">
      <c r="A1403" s="31" t="str">
        <f>IF(Table!A1403 = "","",Table!A1403)</f>
        <v/>
      </c>
      <c r="B1403" s="31" t="str">
        <f>IF(Table!B1403 = "","",Table!B1403)</f>
        <v/>
      </c>
      <c r="C1403" s="31" t="str">
        <f>IF(Table!C1403 = "","",Table!C1403)</f>
        <v/>
      </c>
      <c r="D1403" s="32" t="str">
        <f>IF(Table!D1403 = "","",Table!D1403)</f>
        <v/>
      </c>
      <c r="E1403" s="32" t="str">
        <f>IF(Table!E1403 = "","",Table!E1403)</f>
        <v/>
      </c>
      <c r="F1403" s="32" t="str">
        <f>IF(Table!F1403 = "","",Table!F1403)</f>
        <v/>
      </c>
      <c r="G1403" s="91"/>
      <c r="K1403" s="31" t="str">
        <f>IFERROR(VLOOKUP(A1403,Table!$I$4:$O$3000,1,TRUE),"")</f>
        <v/>
      </c>
      <c r="L1403" s="31" t="str">
        <f>IFERROR(INDEX(Table!I:O,MATCH(K1403,Table!I:I,0),2),"")</f>
        <v/>
      </c>
      <c r="M1403" s="31" t="str">
        <f>IFERROR(INDEX(Table!I:O,MATCH(K1403,Table!I:I,0),3),"")</f>
        <v/>
      </c>
      <c r="N1403" s="32" t="str">
        <f>IFERROR(INDEX(Table!I:O,MATCH(K1403,Table!I:I,0),4),"")</f>
        <v/>
      </c>
      <c r="O1403" s="32" t="str">
        <f>IFERROR(INDEX(Table!I:O,MATCH(K1403,Table!I:I,0),5),"")</f>
        <v/>
      </c>
      <c r="P1403" s="32" t="str">
        <f>IFERROR(INDEX(Table!I:O,MATCH(K1403,Table!I:I,0),6),"")</f>
        <v/>
      </c>
      <c r="Q1403" s="89" t="str">
        <f t="shared" si="63"/>
        <v/>
      </c>
      <c r="R1403" s="89" t="str">
        <f t="shared" si="64"/>
        <v/>
      </c>
      <c r="S1403" s="82"/>
      <c r="U1403" s="37" t="e">
        <f t="shared" si="65"/>
        <v>#VALUE!</v>
      </c>
    </row>
    <row r="1404" spans="1:21" x14ac:dyDescent="0.25">
      <c r="A1404" s="31" t="str">
        <f>IF(Table!A1404 = "","",Table!A1404)</f>
        <v/>
      </c>
      <c r="B1404" s="31" t="str">
        <f>IF(Table!B1404 = "","",Table!B1404)</f>
        <v/>
      </c>
      <c r="C1404" s="31" t="str">
        <f>IF(Table!C1404 = "","",Table!C1404)</f>
        <v/>
      </c>
      <c r="D1404" s="32" t="str">
        <f>IF(Table!D1404 = "","",Table!D1404)</f>
        <v/>
      </c>
      <c r="E1404" s="32" t="str">
        <f>IF(Table!E1404 = "","",Table!E1404)</f>
        <v/>
      </c>
      <c r="F1404" s="32" t="str">
        <f>IF(Table!F1404 = "","",Table!F1404)</f>
        <v/>
      </c>
      <c r="G1404" s="91"/>
      <c r="K1404" s="31" t="str">
        <f>IFERROR(VLOOKUP(A1404,Table!$I$4:$O$3000,1,TRUE),"")</f>
        <v/>
      </c>
      <c r="L1404" s="31" t="str">
        <f>IFERROR(INDEX(Table!I:O,MATCH(K1404,Table!I:I,0),2),"")</f>
        <v/>
      </c>
      <c r="M1404" s="31" t="str">
        <f>IFERROR(INDEX(Table!I:O,MATCH(K1404,Table!I:I,0),3),"")</f>
        <v/>
      </c>
      <c r="N1404" s="32" t="str">
        <f>IFERROR(INDEX(Table!I:O,MATCH(K1404,Table!I:I,0),4),"")</f>
        <v/>
      </c>
      <c r="O1404" s="32" t="str">
        <f>IFERROR(INDEX(Table!I:O,MATCH(K1404,Table!I:I,0),5),"")</f>
        <v/>
      </c>
      <c r="P1404" s="32" t="str">
        <f>IFERROR(INDEX(Table!I:O,MATCH(K1404,Table!I:I,0),6),"")</f>
        <v/>
      </c>
      <c r="Q1404" s="89" t="str">
        <f t="shared" si="63"/>
        <v/>
      </c>
      <c r="R1404" s="89" t="str">
        <f t="shared" si="64"/>
        <v/>
      </c>
      <c r="S1404" s="82"/>
      <c r="U1404" s="37" t="e">
        <f t="shared" si="65"/>
        <v>#VALUE!</v>
      </c>
    </row>
    <row r="1405" spans="1:21" x14ac:dyDescent="0.25">
      <c r="A1405" s="31" t="str">
        <f>IF(Table!A1405 = "","",Table!A1405)</f>
        <v/>
      </c>
      <c r="B1405" s="31" t="str">
        <f>IF(Table!B1405 = "","",Table!B1405)</f>
        <v/>
      </c>
      <c r="C1405" s="31" t="str">
        <f>IF(Table!C1405 = "","",Table!C1405)</f>
        <v/>
      </c>
      <c r="D1405" s="32" t="str">
        <f>IF(Table!D1405 = "","",Table!D1405)</f>
        <v/>
      </c>
      <c r="E1405" s="32" t="str">
        <f>IF(Table!E1405 = "","",Table!E1405)</f>
        <v/>
      </c>
      <c r="F1405" s="32" t="str">
        <f>IF(Table!F1405 = "","",Table!F1405)</f>
        <v/>
      </c>
      <c r="G1405" s="91"/>
      <c r="K1405" s="31" t="str">
        <f>IFERROR(VLOOKUP(A1405,Table!$I$4:$O$3000,1,TRUE),"")</f>
        <v/>
      </c>
      <c r="L1405" s="31" t="str">
        <f>IFERROR(INDEX(Table!I:O,MATCH(K1405,Table!I:I,0),2),"")</f>
        <v/>
      </c>
      <c r="M1405" s="31" t="str">
        <f>IFERROR(INDEX(Table!I:O,MATCH(K1405,Table!I:I,0),3),"")</f>
        <v/>
      </c>
      <c r="N1405" s="32" t="str">
        <f>IFERROR(INDEX(Table!I:O,MATCH(K1405,Table!I:I,0),4),"")</f>
        <v/>
      </c>
      <c r="O1405" s="32" t="str">
        <f>IFERROR(INDEX(Table!I:O,MATCH(K1405,Table!I:I,0),5),"")</f>
        <v/>
      </c>
      <c r="P1405" s="32" t="str">
        <f>IFERROR(INDEX(Table!I:O,MATCH(K1405,Table!I:I,0),6),"")</f>
        <v/>
      </c>
      <c r="Q1405" s="89" t="str">
        <f t="shared" si="63"/>
        <v/>
      </c>
      <c r="R1405" s="89" t="str">
        <f t="shared" si="64"/>
        <v/>
      </c>
      <c r="S1405" s="82"/>
      <c r="U1405" s="37" t="e">
        <f t="shared" si="65"/>
        <v>#VALUE!</v>
      </c>
    </row>
    <row r="1406" spans="1:21" x14ac:dyDescent="0.25">
      <c r="A1406" s="31" t="str">
        <f>IF(Table!A1406 = "","",Table!A1406)</f>
        <v/>
      </c>
      <c r="B1406" s="31" t="str">
        <f>IF(Table!B1406 = "","",Table!B1406)</f>
        <v/>
      </c>
      <c r="C1406" s="31" t="str">
        <f>IF(Table!C1406 = "","",Table!C1406)</f>
        <v/>
      </c>
      <c r="D1406" s="32" t="str">
        <f>IF(Table!D1406 = "","",Table!D1406)</f>
        <v/>
      </c>
      <c r="E1406" s="32" t="str">
        <f>IF(Table!E1406 = "","",Table!E1406)</f>
        <v/>
      </c>
      <c r="F1406" s="32" t="str">
        <f>IF(Table!F1406 = "","",Table!F1406)</f>
        <v/>
      </c>
      <c r="G1406" s="91"/>
      <c r="K1406" s="31" t="str">
        <f>IFERROR(VLOOKUP(A1406,Table!$I$4:$O$3000,1,TRUE),"")</f>
        <v/>
      </c>
      <c r="L1406" s="31" t="str">
        <f>IFERROR(INDEX(Table!I:O,MATCH(K1406,Table!I:I,0),2),"")</f>
        <v/>
      </c>
      <c r="M1406" s="31" t="str">
        <f>IFERROR(INDEX(Table!I:O,MATCH(K1406,Table!I:I,0),3),"")</f>
        <v/>
      </c>
      <c r="N1406" s="32" t="str">
        <f>IFERROR(INDEX(Table!I:O,MATCH(K1406,Table!I:I,0),4),"")</f>
        <v/>
      </c>
      <c r="O1406" s="32" t="str">
        <f>IFERROR(INDEX(Table!I:O,MATCH(K1406,Table!I:I,0),5),"")</f>
        <v/>
      </c>
      <c r="P1406" s="32" t="str">
        <f>IFERROR(INDEX(Table!I:O,MATCH(K1406,Table!I:I,0),6),"")</f>
        <v/>
      </c>
      <c r="Q1406" s="89" t="str">
        <f t="shared" si="63"/>
        <v/>
      </c>
      <c r="R1406" s="89" t="str">
        <f t="shared" si="64"/>
        <v/>
      </c>
      <c r="S1406" s="82"/>
      <c r="U1406" s="37" t="e">
        <f t="shared" si="65"/>
        <v>#VALUE!</v>
      </c>
    </row>
    <row r="1407" spans="1:21" x14ac:dyDescent="0.25">
      <c r="A1407" s="31" t="str">
        <f>IF(Table!A1407 = "","",Table!A1407)</f>
        <v/>
      </c>
      <c r="B1407" s="31" t="str">
        <f>IF(Table!B1407 = "","",Table!B1407)</f>
        <v/>
      </c>
      <c r="C1407" s="31" t="str">
        <f>IF(Table!C1407 = "","",Table!C1407)</f>
        <v/>
      </c>
      <c r="D1407" s="32" t="str">
        <f>IF(Table!D1407 = "","",Table!D1407)</f>
        <v/>
      </c>
      <c r="E1407" s="32" t="str">
        <f>IF(Table!E1407 = "","",Table!E1407)</f>
        <v/>
      </c>
      <c r="F1407" s="32" t="str">
        <f>IF(Table!F1407 = "","",Table!F1407)</f>
        <v/>
      </c>
      <c r="G1407" s="91"/>
      <c r="K1407" s="31" t="str">
        <f>IFERROR(VLOOKUP(A1407,Table!$I$4:$O$3000,1,TRUE),"")</f>
        <v/>
      </c>
      <c r="L1407" s="31" t="str">
        <f>IFERROR(INDEX(Table!I:O,MATCH(K1407,Table!I:I,0),2),"")</f>
        <v/>
      </c>
      <c r="M1407" s="31" t="str">
        <f>IFERROR(INDEX(Table!I:O,MATCH(K1407,Table!I:I,0),3),"")</f>
        <v/>
      </c>
      <c r="N1407" s="32" t="str">
        <f>IFERROR(INDEX(Table!I:O,MATCH(K1407,Table!I:I,0),4),"")</f>
        <v/>
      </c>
      <c r="O1407" s="32" t="str">
        <f>IFERROR(INDEX(Table!I:O,MATCH(K1407,Table!I:I,0),5),"")</f>
        <v/>
      </c>
      <c r="P1407" s="32" t="str">
        <f>IFERROR(INDEX(Table!I:O,MATCH(K1407,Table!I:I,0),6),"")</f>
        <v/>
      </c>
      <c r="Q1407" s="89" t="str">
        <f t="shared" si="63"/>
        <v/>
      </c>
      <c r="R1407" s="89" t="str">
        <f t="shared" si="64"/>
        <v/>
      </c>
      <c r="S1407" s="82"/>
      <c r="U1407" s="37" t="e">
        <f t="shared" si="65"/>
        <v>#VALUE!</v>
      </c>
    </row>
    <row r="1408" spans="1:21" x14ac:dyDescent="0.25">
      <c r="A1408" s="31" t="str">
        <f>IF(Table!A1408 = "","",Table!A1408)</f>
        <v/>
      </c>
      <c r="B1408" s="31" t="str">
        <f>IF(Table!B1408 = "","",Table!B1408)</f>
        <v/>
      </c>
      <c r="C1408" s="31" t="str">
        <f>IF(Table!C1408 = "","",Table!C1408)</f>
        <v/>
      </c>
      <c r="D1408" s="32" t="str">
        <f>IF(Table!D1408 = "","",Table!D1408)</f>
        <v/>
      </c>
      <c r="E1408" s="32" t="str">
        <f>IF(Table!E1408 = "","",Table!E1408)</f>
        <v/>
      </c>
      <c r="F1408" s="32" t="str">
        <f>IF(Table!F1408 = "","",Table!F1408)</f>
        <v/>
      </c>
      <c r="G1408" s="91"/>
      <c r="K1408" s="31" t="str">
        <f>IFERROR(VLOOKUP(A1408,Table!$I$4:$O$3000,1,TRUE),"")</f>
        <v/>
      </c>
      <c r="L1408" s="31" t="str">
        <f>IFERROR(INDEX(Table!I:O,MATCH(K1408,Table!I:I,0),2),"")</f>
        <v/>
      </c>
      <c r="M1408" s="31" t="str">
        <f>IFERROR(INDEX(Table!I:O,MATCH(K1408,Table!I:I,0),3),"")</f>
        <v/>
      </c>
      <c r="N1408" s="32" t="str">
        <f>IFERROR(INDEX(Table!I:O,MATCH(K1408,Table!I:I,0),4),"")</f>
        <v/>
      </c>
      <c r="O1408" s="32" t="str">
        <f>IFERROR(INDEX(Table!I:O,MATCH(K1408,Table!I:I,0),5),"")</f>
        <v/>
      </c>
      <c r="P1408" s="32" t="str">
        <f>IFERROR(INDEX(Table!I:O,MATCH(K1408,Table!I:I,0),6),"")</f>
        <v/>
      </c>
      <c r="Q1408" s="89" t="str">
        <f t="shared" si="63"/>
        <v/>
      </c>
      <c r="R1408" s="89" t="str">
        <f t="shared" si="64"/>
        <v/>
      </c>
      <c r="S1408" s="82"/>
      <c r="U1408" s="37" t="e">
        <f t="shared" si="65"/>
        <v>#VALUE!</v>
      </c>
    </row>
    <row r="1409" spans="1:21" x14ac:dyDescent="0.25">
      <c r="A1409" s="31" t="str">
        <f>IF(Table!A1409 = "","",Table!A1409)</f>
        <v/>
      </c>
      <c r="B1409" s="31" t="str">
        <f>IF(Table!B1409 = "","",Table!B1409)</f>
        <v/>
      </c>
      <c r="C1409" s="31" t="str">
        <f>IF(Table!C1409 = "","",Table!C1409)</f>
        <v/>
      </c>
      <c r="D1409" s="32" t="str">
        <f>IF(Table!D1409 = "","",Table!D1409)</f>
        <v/>
      </c>
      <c r="E1409" s="32" t="str">
        <f>IF(Table!E1409 = "","",Table!E1409)</f>
        <v/>
      </c>
      <c r="F1409" s="32" t="str">
        <f>IF(Table!F1409 = "","",Table!F1409)</f>
        <v/>
      </c>
      <c r="G1409" s="91"/>
      <c r="K1409" s="31" t="str">
        <f>IFERROR(VLOOKUP(A1409,Table!$I$4:$O$3000,1,TRUE),"")</f>
        <v/>
      </c>
      <c r="L1409" s="31" t="str">
        <f>IFERROR(INDEX(Table!I:O,MATCH(K1409,Table!I:I,0),2),"")</f>
        <v/>
      </c>
      <c r="M1409" s="31" t="str">
        <f>IFERROR(INDEX(Table!I:O,MATCH(K1409,Table!I:I,0),3),"")</f>
        <v/>
      </c>
      <c r="N1409" s="32" t="str">
        <f>IFERROR(INDEX(Table!I:O,MATCH(K1409,Table!I:I,0),4),"")</f>
        <v/>
      </c>
      <c r="O1409" s="32" t="str">
        <f>IFERROR(INDEX(Table!I:O,MATCH(K1409,Table!I:I,0),5),"")</f>
        <v/>
      </c>
      <c r="P1409" s="32" t="str">
        <f>IFERROR(INDEX(Table!I:O,MATCH(K1409,Table!I:I,0),6),"")</f>
        <v/>
      </c>
      <c r="Q1409" s="89" t="str">
        <f t="shared" si="63"/>
        <v/>
      </c>
      <c r="R1409" s="89" t="str">
        <f t="shared" si="64"/>
        <v/>
      </c>
      <c r="S1409" s="82"/>
      <c r="U1409" s="37" t="e">
        <f t="shared" si="65"/>
        <v>#VALUE!</v>
      </c>
    </row>
    <row r="1410" spans="1:21" x14ac:dyDescent="0.25">
      <c r="A1410" s="31" t="str">
        <f>IF(Table!A1410 = "","",Table!A1410)</f>
        <v/>
      </c>
      <c r="B1410" s="31" t="str">
        <f>IF(Table!B1410 = "","",Table!B1410)</f>
        <v/>
      </c>
      <c r="C1410" s="31" t="str">
        <f>IF(Table!C1410 = "","",Table!C1410)</f>
        <v/>
      </c>
      <c r="D1410" s="32" t="str">
        <f>IF(Table!D1410 = "","",Table!D1410)</f>
        <v/>
      </c>
      <c r="E1410" s="32" t="str">
        <f>IF(Table!E1410 = "","",Table!E1410)</f>
        <v/>
      </c>
      <c r="F1410" s="32" t="str">
        <f>IF(Table!F1410 = "","",Table!F1410)</f>
        <v/>
      </c>
      <c r="G1410" s="91"/>
      <c r="K1410" s="31" t="str">
        <f>IFERROR(VLOOKUP(A1410,Table!$I$4:$O$3000,1,TRUE),"")</f>
        <v/>
      </c>
      <c r="L1410" s="31" t="str">
        <f>IFERROR(INDEX(Table!I:O,MATCH(K1410,Table!I:I,0),2),"")</f>
        <v/>
      </c>
      <c r="M1410" s="31" t="str">
        <f>IFERROR(INDEX(Table!I:O,MATCH(K1410,Table!I:I,0),3),"")</f>
        <v/>
      </c>
      <c r="N1410" s="32" t="str">
        <f>IFERROR(INDEX(Table!I:O,MATCH(K1410,Table!I:I,0),4),"")</f>
        <v/>
      </c>
      <c r="O1410" s="32" t="str">
        <f>IFERROR(INDEX(Table!I:O,MATCH(K1410,Table!I:I,0),5),"")</f>
        <v/>
      </c>
      <c r="P1410" s="32" t="str">
        <f>IFERROR(INDEX(Table!I:O,MATCH(K1410,Table!I:I,0),6),"")</f>
        <v/>
      </c>
      <c r="Q1410" s="89" t="str">
        <f t="shared" si="63"/>
        <v/>
      </c>
      <c r="R1410" s="89" t="str">
        <f t="shared" si="64"/>
        <v/>
      </c>
      <c r="S1410" s="82"/>
      <c r="U1410" s="37" t="e">
        <f t="shared" si="65"/>
        <v>#VALUE!</v>
      </c>
    </row>
    <row r="1411" spans="1:21" x14ac:dyDescent="0.25">
      <c r="A1411" s="31" t="str">
        <f>IF(Table!A1411 = "","",Table!A1411)</f>
        <v/>
      </c>
      <c r="B1411" s="31" t="str">
        <f>IF(Table!B1411 = "","",Table!B1411)</f>
        <v/>
      </c>
      <c r="C1411" s="31" t="str">
        <f>IF(Table!C1411 = "","",Table!C1411)</f>
        <v/>
      </c>
      <c r="D1411" s="32" t="str">
        <f>IF(Table!D1411 = "","",Table!D1411)</f>
        <v/>
      </c>
      <c r="E1411" s="32" t="str">
        <f>IF(Table!E1411 = "","",Table!E1411)</f>
        <v/>
      </c>
      <c r="F1411" s="32" t="str">
        <f>IF(Table!F1411 = "","",Table!F1411)</f>
        <v/>
      </c>
      <c r="G1411" s="91"/>
      <c r="K1411" s="31" t="str">
        <f>IFERROR(VLOOKUP(A1411,Table!$I$4:$O$3000,1,TRUE),"")</f>
        <v/>
      </c>
      <c r="L1411" s="31" t="str">
        <f>IFERROR(INDEX(Table!I:O,MATCH(K1411,Table!I:I,0),2),"")</f>
        <v/>
      </c>
      <c r="M1411" s="31" t="str">
        <f>IFERROR(INDEX(Table!I:O,MATCH(K1411,Table!I:I,0),3),"")</f>
        <v/>
      </c>
      <c r="N1411" s="32" t="str">
        <f>IFERROR(INDEX(Table!I:O,MATCH(K1411,Table!I:I,0),4),"")</f>
        <v/>
      </c>
      <c r="O1411" s="32" t="str">
        <f>IFERROR(INDEX(Table!I:O,MATCH(K1411,Table!I:I,0),5),"")</f>
        <v/>
      </c>
      <c r="P1411" s="32" t="str">
        <f>IFERROR(INDEX(Table!I:O,MATCH(K1411,Table!I:I,0),6),"")</f>
        <v/>
      </c>
      <c r="Q1411" s="89" t="str">
        <f t="shared" si="63"/>
        <v/>
      </c>
      <c r="R1411" s="89" t="str">
        <f t="shared" si="64"/>
        <v/>
      </c>
      <c r="S1411" s="82"/>
      <c r="U1411" s="37" t="e">
        <f t="shared" si="65"/>
        <v>#VALUE!</v>
      </c>
    </row>
    <row r="1412" spans="1:21" x14ac:dyDescent="0.25">
      <c r="A1412" s="31" t="str">
        <f>IF(Table!A1412 = "","",Table!A1412)</f>
        <v/>
      </c>
      <c r="B1412" s="31" t="str">
        <f>IF(Table!B1412 = "","",Table!B1412)</f>
        <v/>
      </c>
      <c r="C1412" s="31" t="str">
        <f>IF(Table!C1412 = "","",Table!C1412)</f>
        <v/>
      </c>
      <c r="D1412" s="32" t="str">
        <f>IF(Table!D1412 = "","",Table!D1412)</f>
        <v/>
      </c>
      <c r="E1412" s="32" t="str">
        <f>IF(Table!E1412 = "","",Table!E1412)</f>
        <v/>
      </c>
      <c r="F1412" s="32" t="str">
        <f>IF(Table!F1412 = "","",Table!F1412)</f>
        <v/>
      </c>
      <c r="G1412" s="91"/>
      <c r="K1412" s="31" t="str">
        <f>IFERROR(VLOOKUP(A1412,Table!$I$4:$O$3000,1,TRUE),"")</f>
        <v/>
      </c>
      <c r="L1412" s="31" t="str">
        <f>IFERROR(INDEX(Table!I:O,MATCH(K1412,Table!I:I,0),2),"")</f>
        <v/>
      </c>
      <c r="M1412" s="31" t="str">
        <f>IFERROR(INDEX(Table!I:O,MATCH(K1412,Table!I:I,0),3),"")</f>
        <v/>
      </c>
      <c r="N1412" s="32" t="str">
        <f>IFERROR(INDEX(Table!I:O,MATCH(K1412,Table!I:I,0),4),"")</f>
        <v/>
      </c>
      <c r="O1412" s="32" t="str">
        <f>IFERROR(INDEX(Table!I:O,MATCH(K1412,Table!I:I,0),5),"")</f>
        <v/>
      </c>
      <c r="P1412" s="32" t="str">
        <f>IFERROR(INDEX(Table!I:O,MATCH(K1412,Table!I:I,0),6),"")</f>
        <v/>
      </c>
      <c r="Q1412" s="89" t="str">
        <f t="shared" si="63"/>
        <v/>
      </c>
      <c r="R1412" s="89" t="str">
        <f t="shared" si="64"/>
        <v/>
      </c>
      <c r="S1412" s="82"/>
      <c r="U1412" s="37" t="e">
        <f t="shared" si="65"/>
        <v>#VALUE!</v>
      </c>
    </row>
    <row r="1413" spans="1:21" x14ac:dyDescent="0.25">
      <c r="A1413" s="31" t="str">
        <f>IF(Table!A1413 = "","",Table!A1413)</f>
        <v/>
      </c>
      <c r="B1413" s="31" t="str">
        <f>IF(Table!B1413 = "","",Table!B1413)</f>
        <v/>
      </c>
      <c r="C1413" s="31" t="str">
        <f>IF(Table!C1413 = "","",Table!C1413)</f>
        <v/>
      </c>
      <c r="D1413" s="32" t="str">
        <f>IF(Table!D1413 = "","",Table!D1413)</f>
        <v/>
      </c>
      <c r="E1413" s="32" t="str">
        <f>IF(Table!E1413 = "","",Table!E1413)</f>
        <v/>
      </c>
      <c r="F1413" s="32" t="str">
        <f>IF(Table!F1413 = "","",Table!F1413)</f>
        <v/>
      </c>
      <c r="G1413" s="91"/>
      <c r="K1413" s="31" t="str">
        <f>IFERROR(VLOOKUP(A1413,Table!$I$4:$O$3000,1,TRUE),"")</f>
        <v/>
      </c>
      <c r="L1413" s="31" t="str">
        <f>IFERROR(INDEX(Table!I:O,MATCH(K1413,Table!I:I,0),2),"")</f>
        <v/>
      </c>
      <c r="M1413" s="31" t="str">
        <f>IFERROR(INDEX(Table!I:O,MATCH(K1413,Table!I:I,0),3),"")</f>
        <v/>
      </c>
      <c r="N1413" s="32" t="str">
        <f>IFERROR(INDEX(Table!I:O,MATCH(K1413,Table!I:I,0),4),"")</f>
        <v/>
      </c>
      <c r="O1413" s="32" t="str">
        <f>IFERROR(INDEX(Table!I:O,MATCH(K1413,Table!I:I,0),5),"")</f>
        <v/>
      </c>
      <c r="P1413" s="32" t="str">
        <f>IFERROR(INDEX(Table!I:O,MATCH(K1413,Table!I:I,0),6),"")</f>
        <v/>
      </c>
      <c r="Q1413" s="89" t="str">
        <f t="shared" si="63"/>
        <v/>
      </c>
      <c r="R1413" s="89" t="str">
        <f t="shared" si="64"/>
        <v/>
      </c>
      <c r="S1413" s="82"/>
      <c r="U1413" s="37" t="e">
        <f t="shared" si="65"/>
        <v>#VALUE!</v>
      </c>
    </row>
    <row r="1414" spans="1:21" x14ac:dyDescent="0.25">
      <c r="A1414" s="31" t="str">
        <f>IF(Table!A1414 = "","",Table!A1414)</f>
        <v/>
      </c>
      <c r="B1414" s="31" t="str">
        <f>IF(Table!B1414 = "","",Table!B1414)</f>
        <v/>
      </c>
      <c r="C1414" s="31" t="str">
        <f>IF(Table!C1414 = "","",Table!C1414)</f>
        <v/>
      </c>
      <c r="D1414" s="32" t="str">
        <f>IF(Table!D1414 = "","",Table!D1414)</f>
        <v/>
      </c>
      <c r="E1414" s="32" t="str">
        <f>IF(Table!E1414 = "","",Table!E1414)</f>
        <v/>
      </c>
      <c r="F1414" s="32" t="str">
        <f>IF(Table!F1414 = "","",Table!F1414)</f>
        <v/>
      </c>
      <c r="G1414" s="91"/>
      <c r="K1414" s="31" t="str">
        <f>IFERROR(VLOOKUP(A1414,Table!$I$4:$O$3000,1,TRUE),"")</f>
        <v/>
      </c>
      <c r="L1414" s="31" t="str">
        <f>IFERROR(INDEX(Table!I:O,MATCH(K1414,Table!I:I,0),2),"")</f>
        <v/>
      </c>
      <c r="M1414" s="31" t="str">
        <f>IFERROR(INDEX(Table!I:O,MATCH(K1414,Table!I:I,0),3),"")</f>
        <v/>
      </c>
      <c r="N1414" s="32" t="str">
        <f>IFERROR(INDEX(Table!I:O,MATCH(K1414,Table!I:I,0),4),"")</f>
        <v/>
      </c>
      <c r="O1414" s="32" t="str">
        <f>IFERROR(INDEX(Table!I:O,MATCH(K1414,Table!I:I,0),5),"")</f>
        <v/>
      </c>
      <c r="P1414" s="32" t="str">
        <f>IFERROR(INDEX(Table!I:O,MATCH(K1414,Table!I:I,0),6),"")</f>
        <v/>
      </c>
      <c r="Q1414" s="89" t="str">
        <f t="shared" ref="Q1414:Q1477" si="66">IFERROR(L1414-B1414,"")</f>
        <v/>
      </c>
      <c r="R1414" s="89" t="str">
        <f t="shared" ref="R1414:R1477" si="67">IFERROR(M1414-C1414,"")</f>
        <v/>
      </c>
      <c r="S1414" s="82"/>
      <c r="U1414" s="37" t="e">
        <f t="shared" ref="U1414:U1477" si="68">K1414-K1413</f>
        <v>#VALUE!</v>
      </c>
    </row>
    <row r="1415" spans="1:21" x14ac:dyDescent="0.25">
      <c r="A1415" s="31" t="str">
        <f>IF(Table!A1415 = "","",Table!A1415)</f>
        <v/>
      </c>
      <c r="B1415" s="31" t="str">
        <f>IF(Table!B1415 = "","",Table!B1415)</f>
        <v/>
      </c>
      <c r="C1415" s="31" t="str">
        <f>IF(Table!C1415 = "","",Table!C1415)</f>
        <v/>
      </c>
      <c r="D1415" s="32" t="str">
        <f>IF(Table!D1415 = "","",Table!D1415)</f>
        <v/>
      </c>
      <c r="E1415" s="32" t="str">
        <f>IF(Table!E1415 = "","",Table!E1415)</f>
        <v/>
      </c>
      <c r="F1415" s="32" t="str">
        <f>IF(Table!F1415 = "","",Table!F1415)</f>
        <v/>
      </c>
      <c r="G1415" s="91"/>
      <c r="K1415" s="31" t="str">
        <f>IFERROR(VLOOKUP(A1415,Table!$I$4:$O$3000,1,TRUE),"")</f>
        <v/>
      </c>
      <c r="L1415" s="31" t="str">
        <f>IFERROR(INDEX(Table!I:O,MATCH(K1415,Table!I:I,0),2),"")</f>
        <v/>
      </c>
      <c r="M1415" s="31" t="str">
        <f>IFERROR(INDEX(Table!I:O,MATCH(K1415,Table!I:I,0),3),"")</f>
        <v/>
      </c>
      <c r="N1415" s="32" t="str">
        <f>IFERROR(INDEX(Table!I:O,MATCH(K1415,Table!I:I,0),4),"")</f>
        <v/>
      </c>
      <c r="O1415" s="32" t="str">
        <f>IFERROR(INDEX(Table!I:O,MATCH(K1415,Table!I:I,0),5),"")</f>
        <v/>
      </c>
      <c r="P1415" s="32" t="str">
        <f>IFERROR(INDEX(Table!I:O,MATCH(K1415,Table!I:I,0),6),"")</f>
        <v/>
      </c>
      <c r="Q1415" s="89" t="str">
        <f t="shared" si="66"/>
        <v/>
      </c>
      <c r="R1415" s="89" t="str">
        <f t="shared" si="67"/>
        <v/>
      </c>
      <c r="S1415" s="82"/>
      <c r="U1415" s="37" t="e">
        <f t="shared" si="68"/>
        <v>#VALUE!</v>
      </c>
    </row>
    <row r="1416" spans="1:21" x14ac:dyDescent="0.25">
      <c r="A1416" s="31" t="str">
        <f>IF(Table!A1416 = "","",Table!A1416)</f>
        <v/>
      </c>
      <c r="B1416" s="31" t="str">
        <f>IF(Table!B1416 = "","",Table!B1416)</f>
        <v/>
      </c>
      <c r="C1416" s="31" t="str">
        <f>IF(Table!C1416 = "","",Table!C1416)</f>
        <v/>
      </c>
      <c r="D1416" s="32" t="str">
        <f>IF(Table!D1416 = "","",Table!D1416)</f>
        <v/>
      </c>
      <c r="E1416" s="32" t="str">
        <f>IF(Table!E1416 = "","",Table!E1416)</f>
        <v/>
      </c>
      <c r="F1416" s="32" t="str">
        <f>IF(Table!F1416 = "","",Table!F1416)</f>
        <v/>
      </c>
      <c r="G1416" s="91"/>
      <c r="K1416" s="31" t="str">
        <f>IFERROR(VLOOKUP(A1416,Table!$I$4:$O$3000,1,TRUE),"")</f>
        <v/>
      </c>
      <c r="L1416" s="31" t="str">
        <f>IFERROR(INDEX(Table!I:O,MATCH(K1416,Table!I:I,0),2),"")</f>
        <v/>
      </c>
      <c r="M1416" s="31" t="str">
        <f>IFERROR(INDEX(Table!I:O,MATCH(K1416,Table!I:I,0),3),"")</f>
        <v/>
      </c>
      <c r="N1416" s="32" t="str">
        <f>IFERROR(INDEX(Table!I:O,MATCH(K1416,Table!I:I,0),4),"")</f>
        <v/>
      </c>
      <c r="O1416" s="32" t="str">
        <f>IFERROR(INDEX(Table!I:O,MATCH(K1416,Table!I:I,0),5),"")</f>
        <v/>
      </c>
      <c r="P1416" s="32" t="str">
        <f>IFERROR(INDEX(Table!I:O,MATCH(K1416,Table!I:I,0),6),"")</f>
        <v/>
      </c>
      <c r="Q1416" s="89" t="str">
        <f t="shared" si="66"/>
        <v/>
      </c>
      <c r="R1416" s="89" t="str">
        <f t="shared" si="67"/>
        <v/>
      </c>
      <c r="S1416" s="82"/>
      <c r="U1416" s="37" t="e">
        <f t="shared" si="68"/>
        <v>#VALUE!</v>
      </c>
    </row>
    <row r="1417" spans="1:21" x14ac:dyDescent="0.25">
      <c r="A1417" s="31" t="str">
        <f>IF(Table!A1417 = "","",Table!A1417)</f>
        <v/>
      </c>
      <c r="B1417" s="31" t="str">
        <f>IF(Table!B1417 = "","",Table!B1417)</f>
        <v/>
      </c>
      <c r="C1417" s="31" t="str">
        <f>IF(Table!C1417 = "","",Table!C1417)</f>
        <v/>
      </c>
      <c r="D1417" s="32" t="str">
        <f>IF(Table!D1417 = "","",Table!D1417)</f>
        <v/>
      </c>
      <c r="E1417" s="32" t="str">
        <f>IF(Table!E1417 = "","",Table!E1417)</f>
        <v/>
      </c>
      <c r="F1417" s="32" t="str">
        <f>IF(Table!F1417 = "","",Table!F1417)</f>
        <v/>
      </c>
      <c r="G1417" s="91"/>
      <c r="K1417" s="31" t="str">
        <f>IFERROR(VLOOKUP(A1417,Table!$I$4:$O$3000,1,TRUE),"")</f>
        <v/>
      </c>
      <c r="L1417" s="31" t="str">
        <f>IFERROR(INDEX(Table!I:O,MATCH(K1417,Table!I:I,0),2),"")</f>
        <v/>
      </c>
      <c r="M1417" s="31" t="str">
        <f>IFERROR(INDEX(Table!I:O,MATCH(K1417,Table!I:I,0),3),"")</f>
        <v/>
      </c>
      <c r="N1417" s="32" t="str">
        <f>IFERROR(INDEX(Table!I:O,MATCH(K1417,Table!I:I,0),4),"")</f>
        <v/>
      </c>
      <c r="O1417" s="32" t="str">
        <f>IFERROR(INDEX(Table!I:O,MATCH(K1417,Table!I:I,0),5),"")</f>
        <v/>
      </c>
      <c r="P1417" s="32" t="str">
        <f>IFERROR(INDEX(Table!I:O,MATCH(K1417,Table!I:I,0),6),"")</f>
        <v/>
      </c>
      <c r="Q1417" s="89" t="str">
        <f t="shared" si="66"/>
        <v/>
      </c>
      <c r="R1417" s="89" t="str">
        <f t="shared" si="67"/>
        <v/>
      </c>
      <c r="S1417" s="82"/>
      <c r="U1417" s="37" t="e">
        <f t="shared" si="68"/>
        <v>#VALUE!</v>
      </c>
    </row>
    <row r="1418" spans="1:21" x14ac:dyDescent="0.25">
      <c r="A1418" s="31" t="str">
        <f>IF(Table!A1418 = "","",Table!A1418)</f>
        <v/>
      </c>
      <c r="B1418" s="31" t="str">
        <f>IF(Table!B1418 = "","",Table!B1418)</f>
        <v/>
      </c>
      <c r="C1418" s="31" t="str">
        <f>IF(Table!C1418 = "","",Table!C1418)</f>
        <v/>
      </c>
      <c r="D1418" s="32" t="str">
        <f>IF(Table!D1418 = "","",Table!D1418)</f>
        <v/>
      </c>
      <c r="E1418" s="32" t="str">
        <f>IF(Table!E1418 = "","",Table!E1418)</f>
        <v/>
      </c>
      <c r="F1418" s="32" t="str">
        <f>IF(Table!F1418 = "","",Table!F1418)</f>
        <v/>
      </c>
      <c r="G1418" s="91"/>
      <c r="K1418" s="31" t="str">
        <f>IFERROR(VLOOKUP(A1418,Table!$I$4:$O$3000,1,TRUE),"")</f>
        <v/>
      </c>
      <c r="L1418" s="31" t="str">
        <f>IFERROR(INDEX(Table!I:O,MATCH(K1418,Table!I:I,0),2),"")</f>
        <v/>
      </c>
      <c r="M1418" s="31" t="str">
        <f>IFERROR(INDEX(Table!I:O,MATCH(K1418,Table!I:I,0),3),"")</f>
        <v/>
      </c>
      <c r="N1418" s="32" t="str">
        <f>IFERROR(INDEX(Table!I:O,MATCH(K1418,Table!I:I,0),4),"")</f>
        <v/>
      </c>
      <c r="O1418" s="32" t="str">
        <f>IFERROR(INDEX(Table!I:O,MATCH(K1418,Table!I:I,0),5),"")</f>
        <v/>
      </c>
      <c r="P1418" s="32" t="str">
        <f>IFERROR(INDEX(Table!I:O,MATCH(K1418,Table!I:I,0),6),"")</f>
        <v/>
      </c>
      <c r="Q1418" s="89" t="str">
        <f t="shared" si="66"/>
        <v/>
      </c>
      <c r="R1418" s="89" t="str">
        <f t="shared" si="67"/>
        <v/>
      </c>
      <c r="S1418" s="82"/>
      <c r="U1418" s="37" t="e">
        <f t="shared" si="68"/>
        <v>#VALUE!</v>
      </c>
    </row>
    <row r="1419" spans="1:21" x14ac:dyDescent="0.25">
      <c r="A1419" s="31" t="str">
        <f>IF(Table!A1419 = "","",Table!A1419)</f>
        <v/>
      </c>
      <c r="B1419" s="31" t="str">
        <f>IF(Table!B1419 = "","",Table!B1419)</f>
        <v/>
      </c>
      <c r="C1419" s="31" t="str">
        <f>IF(Table!C1419 = "","",Table!C1419)</f>
        <v/>
      </c>
      <c r="D1419" s="32" t="str">
        <f>IF(Table!D1419 = "","",Table!D1419)</f>
        <v/>
      </c>
      <c r="E1419" s="32" t="str">
        <f>IF(Table!E1419 = "","",Table!E1419)</f>
        <v/>
      </c>
      <c r="F1419" s="32" t="str">
        <f>IF(Table!F1419 = "","",Table!F1419)</f>
        <v/>
      </c>
      <c r="G1419" s="91"/>
      <c r="K1419" s="31" t="str">
        <f>IFERROR(VLOOKUP(A1419,Table!$I$4:$O$3000,1,TRUE),"")</f>
        <v/>
      </c>
      <c r="L1419" s="31" t="str">
        <f>IFERROR(INDEX(Table!I:O,MATCH(K1419,Table!I:I,0),2),"")</f>
        <v/>
      </c>
      <c r="M1419" s="31" t="str">
        <f>IFERROR(INDEX(Table!I:O,MATCH(K1419,Table!I:I,0),3),"")</f>
        <v/>
      </c>
      <c r="N1419" s="32" t="str">
        <f>IFERROR(INDEX(Table!I:O,MATCH(K1419,Table!I:I,0),4),"")</f>
        <v/>
      </c>
      <c r="O1419" s="32" t="str">
        <f>IFERROR(INDEX(Table!I:O,MATCH(K1419,Table!I:I,0),5),"")</f>
        <v/>
      </c>
      <c r="P1419" s="32" t="str">
        <f>IFERROR(INDEX(Table!I:O,MATCH(K1419,Table!I:I,0),6),"")</f>
        <v/>
      </c>
      <c r="Q1419" s="89" t="str">
        <f t="shared" si="66"/>
        <v/>
      </c>
      <c r="R1419" s="89" t="str">
        <f t="shared" si="67"/>
        <v/>
      </c>
      <c r="S1419" s="82"/>
      <c r="U1419" s="37" t="e">
        <f t="shared" si="68"/>
        <v>#VALUE!</v>
      </c>
    </row>
    <row r="1420" spans="1:21" x14ac:dyDescent="0.25">
      <c r="A1420" s="31" t="str">
        <f>IF(Table!A1420 = "","",Table!A1420)</f>
        <v/>
      </c>
      <c r="B1420" s="31" t="str">
        <f>IF(Table!B1420 = "","",Table!B1420)</f>
        <v/>
      </c>
      <c r="C1420" s="31" t="str">
        <f>IF(Table!C1420 = "","",Table!C1420)</f>
        <v/>
      </c>
      <c r="D1420" s="32" t="str">
        <f>IF(Table!D1420 = "","",Table!D1420)</f>
        <v/>
      </c>
      <c r="E1420" s="32" t="str">
        <f>IF(Table!E1420 = "","",Table!E1420)</f>
        <v/>
      </c>
      <c r="F1420" s="32" t="str">
        <f>IF(Table!F1420 = "","",Table!F1420)</f>
        <v/>
      </c>
      <c r="G1420" s="91"/>
      <c r="K1420" s="31" t="str">
        <f>IFERROR(VLOOKUP(A1420,Table!$I$4:$O$3000,1,TRUE),"")</f>
        <v/>
      </c>
      <c r="L1420" s="31" t="str">
        <f>IFERROR(INDEX(Table!I:O,MATCH(K1420,Table!I:I,0),2),"")</f>
        <v/>
      </c>
      <c r="M1420" s="31" t="str">
        <f>IFERROR(INDEX(Table!I:O,MATCH(K1420,Table!I:I,0),3),"")</f>
        <v/>
      </c>
      <c r="N1420" s="32" t="str">
        <f>IFERROR(INDEX(Table!I:O,MATCH(K1420,Table!I:I,0),4),"")</f>
        <v/>
      </c>
      <c r="O1420" s="32" t="str">
        <f>IFERROR(INDEX(Table!I:O,MATCH(K1420,Table!I:I,0),5),"")</f>
        <v/>
      </c>
      <c r="P1420" s="32" t="str">
        <f>IFERROR(INDEX(Table!I:O,MATCH(K1420,Table!I:I,0),6),"")</f>
        <v/>
      </c>
      <c r="Q1420" s="89" t="str">
        <f t="shared" si="66"/>
        <v/>
      </c>
      <c r="R1420" s="89" t="str">
        <f t="shared" si="67"/>
        <v/>
      </c>
      <c r="S1420" s="82"/>
      <c r="U1420" s="37" t="e">
        <f t="shared" si="68"/>
        <v>#VALUE!</v>
      </c>
    </row>
    <row r="1421" spans="1:21" x14ac:dyDescent="0.25">
      <c r="A1421" s="31" t="str">
        <f>IF(Table!A1421 = "","",Table!A1421)</f>
        <v/>
      </c>
      <c r="B1421" s="31" t="str">
        <f>IF(Table!B1421 = "","",Table!B1421)</f>
        <v/>
      </c>
      <c r="C1421" s="31" t="str">
        <f>IF(Table!C1421 = "","",Table!C1421)</f>
        <v/>
      </c>
      <c r="D1421" s="32" t="str">
        <f>IF(Table!D1421 = "","",Table!D1421)</f>
        <v/>
      </c>
      <c r="E1421" s="32" t="str">
        <f>IF(Table!E1421 = "","",Table!E1421)</f>
        <v/>
      </c>
      <c r="F1421" s="32" t="str">
        <f>IF(Table!F1421 = "","",Table!F1421)</f>
        <v/>
      </c>
      <c r="G1421" s="91"/>
      <c r="K1421" s="31" t="str">
        <f>IFERROR(VLOOKUP(A1421,Table!$I$4:$O$3000,1,TRUE),"")</f>
        <v/>
      </c>
      <c r="L1421" s="31" t="str">
        <f>IFERROR(INDEX(Table!I:O,MATCH(K1421,Table!I:I,0),2),"")</f>
        <v/>
      </c>
      <c r="M1421" s="31" t="str">
        <f>IFERROR(INDEX(Table!I:O,MATCH(K1421,Table!I:I,0),3),"")</f>
        <v/>
      </c>
      <c r="N1421" s="32" t="str">
        <f>IFERROR(INDEX(Table!I:O,MATCH(K1421,Table!I:I,0),4),"")</f>
        <v/>
      </c>
      <c r="O1421" s="32" t="str">
        <f>IFERROR(INDEX(Table!I:O,MATCH(K1421,Table!I:I,0),5),"")</f>
        <v/>
      </c>
      <c r="P1421" s="32" t="str">
        <f>IFERROR(INDEX(Table!I:O,MATCH(K1421,Table!I:I,0),6),"")</f>
        <v/>
      </c>
      <c r="Q1421" s="89" t="str">
        <f t="shared" si="66"/>
        <v/>
      </c>
      <c r="R1421" s="89" t="str">
        <f t="shared" si="67"/>
        <v/>
      </c>
      <c r="S1421" s="82"/>
      <c r="U1421" s="37" t="e">
        <f t="shared" si="68"/>
        <v>#VALUE!</v>
      </c>
    </row>
    <row r="1422" spans="1:21" x14ac:dyDescent="0.25">
      <c r="A1422" s="31" t="str">
        <f>IF(Table!A1422 = "","",Table!A1422)</f>
        <v/>
      </c>
      <c r="B1422" s="31" t="str">
        <f>IF(Table!B1422 = "","",Table!B1422)</f>
        <v/>
      </c>
      <c r="C1422" s="31" t="str">
        <f>IF(Table!C1422 = "","",Table!C1422)</f>
        <v/>
      </c>
      <c r="D1422" s="32" t="str">
        <f>IF(Table!D1422 = "","",Table!D1422)</f>
        <v/>
      </c>
      <c r="E1422" s="32" t="str">
        <f>IF(Table!E1422 = "","",Table!E1422)</f>
        <v/>
      </c>
      <c r="F1422" s="32" t="str">
        <f>IF(Table!F1422 = "","",Table!F1422)</f>
        <v/>
      </c>
      <c r="G1422" s="91"/>
      <c r="K1422" s="31" t="str">
        <f>IFERROR(VLOOKUP(A1422,Table!$I$4:$O$3000,1,TRUE),"")</f>
        <v/>
      </c>
      <c r="L1422" s="31" t="str">
        <f>IFERROR(INDEX(Table!I:O,MATCH(K1422,Table!I:I,0),2),"")</f>
        <v/>
      </c>
      <c r="M1422" s="31" t="str">
        <f>IFERROR(INDEX(Table!I:O,MATCH(K1422,Table!I:I,0),3),"")</f>
        <v/>
      </c>
      <c r="N1422" s="32" t="str">
        <f>IFERROR(INDEX(Table!I:O,MATCH(K1422,Table!I:I,0),4),"")</f>
        <v/>
      </c>
      <c r="O1422" s="32" t="str">
        <f>IFERROR(INDEX(Table!I:O,MATCH(K1422,Table!I:I,0),5),"")</f>
        <v/>
      </c>
      <c r="P1422" s="32" t="str">
        <f>IFERROR(INDEX(Table!I:O,MATCH(K1422,Table!I:I,0),6),"")</f>
        <v/>
      </c>
      <c r="Q1422" s="89" t="str">
        <f t="shared" si="66"/>
        <v/>
      </c>
      <c r="R1422" s="89" t="str">
        <f t="shared" si="67"/>
        <v/>
      </c>
      <c r="S1422" s="82"/>
      <c r="U1422" s="37" t="e">
        <f t="shared" si="68"/>
        <v>#VALUE!</v>
      </c>
    </row>
    <row r="1423" spans="1:21" x14ac:dyDescent="0.25">
      <c r="A1423" s="31" t="str">
        <f>IF(Table!A1423 = "","",Table!A1423)</f>
        <v/>
      </c>
      <c r="B1423" s="31" t="str">
        <f>IF(Table!B1423 = "","",Table!B1423)</f>
        <v/>
      </c>
      <c r="C1423" s="31" t="str">
        <f>IF(Table!C1423 = "","",Table!C1423)</f>
        <v/>
      </c>
      <c r="D1423" s="32" t="str">
        <f>IF(Table!D1423 = "","",Table!D1423)</f>
        <v/>
      </c>
      <c r="E1423" s="32" t="str">
        <f>IF(Table!E1423 = "","",Table!E1423)</f>
        <v/>
      </c>
      <c r="F1423" s="32" t="str">
        <f>IF(Table!F1423 = "","",Table!F1423)</f>
        <v/>
      </c>
      <c r="G1423" s="91"/>
      <c r="K1423" s="31" t="str">
        <f>IFERROR(VLOOKUP(A1423,Table!$I$4:$O$3000,1,TRUE),"")</f>
        <v/>
      </c>
      <c r="L1423" s="31" t="str">
        <f>IFERROR(INDEX(Table!I:O,MATCH(K1423,Table!I:I,0),2),"")</f>
        <v/>
      </c>
      <c r="M1423" s="31" t="str">
        <f>IFERROR(INDEX(Table!I:O,MATCH(K1423,Table!I:I,0),3),"")</f>
        <v/>
      </c>
      <c r="N1423" s="32" t="str">
        <f>IFERROR(INDEX(Table!I:O,MATCH(K1423,Table!I:I,0),4),"")</f>
        <v/>
      </c>
      <c r="O1423" s="32" t="str">
        <f>IFERROR(INDEX(Table!I:O,MATCH(K1423,Table!I:I,0),5),"")</f>
        <v/>
      </c>
      <c r="P1423" s="32" t="str">
        <f>IFERROR(INDEX(Table!I:O,MATCH(K1423,Table!I:I,0),6),"")</f>
        <v/>
      </c>
      <c r="Q1423" s="89" t="str">
        <f t="shared" si="66"/>
        <v/>
      </c>
      <c r="R1423" s="89" t="str">
        <f t="shared" si="67"/>
        <v/>
      </c>
      <c r="S1423" s="82"/>
      <c r="U1423" s="37" t="e">
        <f t="shared" si="68"/>
        <v>#VALUE!</v>
      </c>
    </row>
    <row r="1424" spans="1:21" x14ac:dyDescent="0.25">
      <c r="A1424" s="31" t="str">
        <f>IF(Table!A1424 = "","",Table!A1424)</f>
        <v/>
      </c>
      <c r="B1424" s="31" t="str">
        <f>IF(Table!B1424 = "","",Table!B1424)</f>
        <v/>
      </c>
      <c r="C1424" s="31" t="str">
        <f>IF(Table!C1424 = "","",Table!C1424)</f>
        <v/>
      </c>
      <c r="D1424" s="32" t="str">
        <f>IF(Table!D1424 = "","",Table!D1424)</f>
        <v/>
      </c>
      <c r="E1424" s="32" t="str">
        <f>IF(Table!E1424 = "","",Table!E1424)</f>
        <v/>
      </c>
      <c r="F1424" s="32" t="str">
        <f>IF(Table!F1424 = "","",Table!F1424)</f>
        <v/>
      </c>
      <c r="G1424" s="91"/>
      <c r="K1424" s="31" t="str">
        <f>IFERROR(VLOOKUP(A1424,Table!$I$4:$O$3000,1,TRUE),"")</f>
        <v/>
      </c>
      <c r="L1424" s="31" t="str">
        <f>IFERROR(INDEX(Table!I:O,MATCH(K1424,Table!I:I,0),2),"")</f>
        <v/>
      </c>
      <c r="M1424" s="31" t="str">
        <f>IFERROR(INDEX(Table!I:O,MATCH(K1424,Table!I:I,0),3),"")</f>
        <v/>
      </c>
      <c r="N1424" s="32" t="str">
        <f>IFERROR(INDEX(Table!I:O,MATCH(K1424,Table!I:I,0),4),"")</f>
        <v/>
      </c>
      <c r="O1424" s="32" t="str">
        <f>IFERROR(INDEX(Table!I:O,MATCH(K1424,Table!I:I,0),5),"")</f>
        <v/>
      </c>
      <c r="P1424" s="32" t="str">
        <f>IFERROR(INDEX(Table!I:O,MATCH(K1424,Table!I:I,0),6),"")</f>
        <v/>
      </c>
      <c r="Q1424" s="89" t="str">
        <f t="shared" si="66"/>
        <v/>
      </c>
      <c r="R1424" s="89" t="str">
        <f t="shared" si="67"/>
        <v/>
      </c>
      <c r="S1424" s="82"/>
      <c r="U1424" s="37" t="e">
        <f t="shared" si="68"/>
        <v>#VALUE!</v>
      </c>
    </row>
    <row r="1425" spans="1:21" x14ac:dyDescent="0.25">
      <c r="A1425" s="31" t="str">
        <f>IF(Table!A1425 = "","",Table!A1425)</f>
        <v/>
      </c>
      <c r="B1425" s="31" t="str">
        <f>IF(Table!B1425 = "","",Table!B1425)</f>
        <v/>
      </c>
      <c r="C1425" s="31" t="str">
        <f>IF(Table!C1425 = "","",Table!C1425)</f>
        <v/>
      </c>
      <c r="D1425" s="32" t="str">
        <f>IF(Table!D1425 = "","",Table!D1425)</f>
        <v/>
      </c>
      <c r="E1425" s="32" t="str">
        <f>IF(Table!E1425 = "","",Table!E1425)</f>
        <v/>
      </c>
      <c r="F1425" s="32" t="str">
        <f>IF(Table!F1425 = "","",Table!F1425)</f>
        <v/>
      </c>
      <c r="G1425" s="91"/>
      <c r="K1425" s="31" t="str">
        <f>IFERROR(VLOOKUP(A1425,Table!$I$4:$O$3000,1,TRUE),"")</f>
        <v/>
      </c>
      <c r="L1425" s="31" t="str">
        <f>IFERROR(INDEX(Table!I:O,MATCH(K1425,Table!I:I,0),2),"")</f>
        <v/>
      </c>
      <c r="M1425" s="31" t="str">
        <f>IFERROR(INDEX(Table!I:O,MATCH(K1425,Table!I:I,0),3),"")</f>
        <v/>
      </c>
      <c r="N1425" s="32" t="str">
        <f>IFERROR(INDEX(Table!I:O,MATCH(K1425,Table!I:I,0),4),"")</f>
        <v/>
      </c>
      <c r="O1425" s="32" t="str">
        <f>IFERROR(INDEX(Table!I:O,MATCH(K1425,Table!I:I,0),5),"")</f>
        <v/>
      </c>
      <c r="P1425" s="32" t="str">
        <f>IFERROR(INDEX(Table!I:O,MATCH(K1425,Table!I:I,0),6),"")</f>
        <v/>
      </c>
      <c r="Q1425" s="89" t="str">
        <f t="shared" si="66"/>
        <v/>
      </c>
      <c r="R1425" s="89" t="str">
        <f t="shared" si="67"/>
        <v/>
      </c>
      <c r="S1425" s="82"/>
      <c r="U1425" s="37" t="e">
        <f t="shared" si="68"/>
        <v>#VALUE!</v>
      </c>
    </row>
    <row r="1426" spans="1:21" x14ac:dyDescent="0.25">
      <c r="A1426" s="31" t="str">
        <f>IF(Table!A1426 = "","",Table!A1426)</f>
        <v/>
      </c>
      <c r="B1426" s="31" t="str">
        <f>IF(Table!B1426 = "","",Table!B1426)</f>
        <v/>
      </c>
      <c r="C1426" s="31" t="str">
        <f>IF(Table!C1426 = "","",Table!C1426)</f>
        <v/>
      </c>
      <c r="D1426" s="32" t="str">
        <f>IF(Table!D1426 = "","",Table!D1426)</f>
        <v/>
      </c>
      <c r="E1426" s="32" t="str">
        <f>IF(Table!E1426 = "","",Table!E1426)</f>
        <v/>
      </c>
      <c r="F1426" s="32" t="str">
        <f>IF(Table!F1426 = "","",Table!F1426)</f>
        <v/>
      </c>
      <c r="G1426" s="91"/>
      <c r="K1426" s="31" t="str">
        <f>IFERROR(VLOOKUP(A1426,Table!$I$4:$O$3000,1,TRUE),"")</f>
        <v/>
      </c>
      <c r="L1426" s="31" t="str">
        <f>IFERROR(INDEX(Table!I:O,MATCH(K1426,Table!I:I,0),2),"")</f>
        <v/>
      </c>
      <c r="M1426" s="31" t="str">
        <f>IFERROR(INDEX(Table!I:O,MATCH(K1426,Table!I:I,0),3),"")</f>
        <v/>
      </c>
      <c r="N1426" s="32" t="str">
        <f>IFERROR(INDEX(Table!I:O,MATCH(K1426,Table!I:I,0),4),"")</f>
        <v/>
      </c>
      <c r="O1426" s="32" t="str">
        <f>IFERROR(INDEX(Table!I:O,MATCH(K1426,Table!I:I,0),5),"")</f>
        <v/>
      </c>
      <c r="P1426" s="32" t="str">
        <f>IFERROR(INDEX(Table!I:O,MATCH(K1426,Table!I:I,0),6),"")</f>
        <v/>
      </c>
      <c r="Q1426" s="89" t="str">
        <f t="shared" si="66"/>
        <v/>
      </c>
      <c r="R1426" s="89" t="str">
        <f t="shared" si="67"/>
        <v/>
      </c>
      <c r="S1426" s="82"/>
      <c r="U1426" s="37" t="e">
        <f t="shared" si="68"/>
        <v>#VALUE!</v>
      </c>
    </row>
    <row r="1427" spans="1:21" x14ac:dyDescent="0.25">
      <c r="A1427" s="31" t="str">
        <f>IF(Table!A1427 = "","",Table!A1427)</f>
        <v/>
      </c>
      <c r="B1427" s="31" t="str">
        <f>IF(Table!B1427 = "","",Table!B1427)</f>
        <v/>
      </c>
      <c r="C1427" s="31" t="str">
        <f>IF(Table!C1427 = "","",Table!C1427)</f>
        <v/>
      </c>
      <c r="D1427" s="32" t="str">
        <f>IF(Table!D1427 = "","",Table!D1427)</f>
        <v/>
      </c>
      <c r="E1427" s="32" t="str">
        <f>IF(Table!E1427 = "","",Table!E1427)</f>
        <v/>
      </c>
      <c r="F1427" s="32" t="str">
        <f>IF(Table!F1427 = "","",Table!F1427)</f>
        <v/>
      </c>
      <c r="G1427" s="91"/>
      <c r="K1427" s="31" t="str">
        <f>IFERROR(VLOOKUP(A1427,Table!$I$4:$O$3000,1,TRUE),"")</f>
        <v/>
      </c>
      <c r="L1427" s="31" t="str">
        <f>IFERROR(INDEX(Table!I:O,MATCH(K1427,Table!I:I,0),2),"")</f>
        <v/>
      </c>
      <c r="M1427" s="31" t="str">
        <f>IFERROR(INDEX(Table!I:O,MATCH(K1427,Table!I:I,0),3),"")</f>
        <v/>
      </c>
      <c r="N1427" s="32" t="str">
        <f>IFERROR(INDEX(Table!I:O,MATCH(K1427,Table!I:I,0),4),"")</f>
        <v/>
      </c>
      <c r="O1427" s="32" t="str">
        <f>IFERROR(INDEX(Table!I:O,MATCH(K1427,Table!I:I,0),5),"")</f>
        <v/>
      </c>
      <c r="P1427" s="32" t="str">
        <f>IFERROR(INDEX(Table!I:O,MATCH(K1427,Table!I:I,0),6),"")</f>
        <v/>
      </c>
      <c r="Q1427" s="89" t="str">
        <f t="shared" si="66"/>
        <v/>
      </c>
      <c r="R1427" s="89" t="str">
        <f t="shared" si="67"/>
        <v/>
      </c>
      <c r="S1427" s="82"/>
      <c r="U1427" s="37" t="e">
        <f t="shared" si="68"/>
        <v>#VALUE!</v>
      </c>
    </row>
    <row r="1428" spans="1:21" x14ac:dyDescent="0.25">
      <c r="A1428" s="31" t="str">
        <f>IF(Table!A1428 = "","",Table!A1428)</f>
        <v/>
      </c>
      <c r="B1428" s="31" t="str">
        <f>IF(Table!B1428 = "","",Table!B1428)</f>
        <v/>
      </c>
      <c r="C1428" s="31" t="str">
        <f>IF(Table!C1428 = "","",Table!C1428)</f>
        <v/>
      </c>
      <c r="D1428" s="32" t="str">
        <f>IF(Table!D1428 = "","",Table!D1428)</f>
        <v/>
      </c>
      <c r="E1428" s="32" t="str">
        <f>IF(Table!E1428 = "","",Table!E1428)</f>
        <v/>
      </c>
      <c r="F1428" s="32" t="str">
        <f>IF(Table!F1428 = "","",Table!F1428)</f>
        <v/>
      </c>
      <c r="G1428" s="91"/>
      <c r="K1428" s="31" t="str">
        <f>IFERROR(VLOOKUP(A1428,Table!$I$4:$O$3000,1,TRUE),"")</f>
        <v/>
      </c>
      <c r="L1428" s="31" t="str">
        <f>IFERROR(INDEX(Table!I:O,MATCH(K1428,Table!I:I,0),2),"")</f>
        <v/>
      </c>
      <c r="M1428" s="31" t="str">
        <f>IFERROR(INDEX(Table!I:O,MATCH(K1428,Table!I:I,0),3),"")</f>
        <v/>
      </c>
      <c r="N1428" s="32" t="str">
        <f>IFERROR(INDEX(Table!I:O,MATCH(K1428,Table!I:I,0),4),"")</f>
        <v/>
      </c>
      <c r="O1428" s="32" t="str">
        <f>IFERROR(INDEX(Table!I:O,MATCH(K1428,Table!I:I,0),5),"")</f>
        <v/>
      </c>
      <c r="P1428" s="32" t="str">
        <f>IFERROR(INDEX(Table!I:O,MATCH(K1428,Table!I:I,0),6),"")</f>
        <v/>
      </c>
      <c r="Q1428" s="89" t="str">
        <f t="shared" si="66"/>
        <v/>
      </c>
      <c r="R1428" s="89" t="str">
        <f t="shared" si="67"/>
        <v/>
      </c>
      <c r="S1428" s="82"/>
      <c r="U1428" s="37" t="e">
        <f t="shared" si="68"/>
        <v>#VALUE!</v>
      </c>
    </row>
    <row r="1429" spans="1:21" x14ac:dyDescent="0.25">
      <c r="A1429" s="31" t="str">
        <f>IF(Table!A1429 = "","",Table!A1429)</f>
        <v/>
      </c>
      <c r="B1429" s="31" t="str">
        <f>IF(Table!B1429 = "","",Table!B1429)</f>
        <v/>
      </c>
      <c r="C1429" s="31" t="str">
        <f>IF(Table!C1429 = "","",Table!C1429)</f>
        <v/>
      </c>
      <c r="D1429" s="32" t="str">
        <f>IF(Table!D1429 = "","",Table!D1429)</f>
        <v/>
      </c>
      <c r="E1429" s="32" t="str">
        <f>IF(Table!E1429 = "","",Table!E1429)</f>
        <v/>
      </c>
      <c r="F1429" s="32" t="str">
        <f>IF(Table!F1429 = "","",Table!F1429)</f>
        <v/>
      </c>
      <c r="G1429" s="91"/>
      <c r="K1429" s="31" t="str">
        <f>IFERROR(VLOOKUP(A1429,Table!$I$4:$O$3000,1,TRUE),"")</f>
        <v/>
      </c>
      <c r="L1429" s="31" t="str">
        <f>IFERROR(INDEX(Table!I:O,MATCH(K1429,Table!I:I,0),2),"")</f>
        <v/>
      </c>
      <c r="M1429" s="31" t="str">
        <f>IFERROR(INDEX(Table!I:O,MATCH(K1429,Table!I:I,0),3),"")</f>
        <v/>
      </c>
      <c r="N1429" s="32" t="str">
        <f>IFERROR(INDEX(Table!I:O,MATCH(K1429,Table!I:I,0),4),"")</f>
        <v/>
      </c>
      <c r="O1429" s="32" t="str">
        <f>IFERROR(INDEX(Table!I:O,MATCH(K1429,Table!I:I,0),5),"")</f>
        <v/>
      </c>
      <c r="P1429" s="32" t="str">
        <f>IFERROR(INDEX(Table!I:O,MATCH(K1429,Table!I:I,0),6),"")</f>
        <v/>
      </c>
      <c r="Q1429" s="89" t="str">
        <f t="shared" si="66"/>
        <v/>
      </c>
      <c r="R1429" s="89" t="str">
        <f t="shared" si="67"/>
        <v/>
      </c>
      <c r="S1429" s="82"/>
      <c r="U1429" s="37" t="e">
        <f t="shared" si="68"/>
        <v>#VALUE!</v>
      </c>
    </row>
    <row r="1430" spans="1:21" x14ac:dyDescent="0.25">
      <c r="A1430" s="31" t="str">
        <f>IF(Table!A1430 = "","",Table!A1430)</f>
        <v/>
      </c>
      <c r="B1430" s="31" t="str">
        <f>IF(Table!B1430 = "","",Table!B1430)</f>
        <v/>
      </c>
      <c r="C1430" s="31" t="str">
        <f>IF(Table!C1430 = "","",Table!C1430)</f>
        <v/>
      </c>
      <c r="D1430" s="32" t="str">
        <f>IF(Table!D1430 = "","",Table!D1430)</f>
        <v/>
      </c>
      <c r="E1430" s="32" t="str">
        <f>IF(Table!E1430 = "","",Table!E1430)</f>
        <v/>
      </c>
      <c r="F1430" s="32" t="str">
        <f>IF(Table!F1430 = "","",Table!F1430)</f>
        <v/>
      </c>
      <c r="G1430" s="91"/>
      <c r="K1430" s="31" t="str">
        <f>IFERROR(VLOOKUP(A1430,Table!$I$4:$O$3000,1,TRUE),"")</f>
        <v/>
      </c>
      <c r="L1430" s="31" t="str">
        <f>IFERROR(INDEX(Table!I:O,MATCH(K1430,Table!I:I,0),2),"")</f>
        <v/>
      </c>
      <c r="M1430" s="31" t="str">
        <f>IFERROR(INDEX(Table!I:O,MATCH(K1430,Table!I:I,0),3),"")</f>
        <v/>
      </c>
      <c r="N1430" s="32" t="str">
        <f>IFERROR(INDEX(Table!I:O,MATCH(K1430,Table!I:I,0),4),"")</f>
        <v/>
      </c>
      <c r="O1430" s="32" t="str">
        <f>IFERROR(INDEX(Table!I:O,MATCH(K1430,Table!I:I,0),5),"")</f>
        <v/>
      </c>
      <c r="P1430" s="32" t="str">
        <f>IFERROR(INDEX(Table!I:O,MATCH(K1430,Table!I:I,0),6),"")</f>
        <v/>
      </c>
      <c r="Q1430" s="89" t="str">
        <f t="shared" si="66"/>
        <v/>
      </c>
      <c r="R1430" s="89" t="str">
        <f t="shared" si="67"/>
        <v/>
      </c>
      <c r="S1430" s="82"/>
      <c r="U1430" s="37" t="e">
        <f t="shared" si="68"/>
        <v>#VALUE!</v>
      </c>
    </row>
    <row r="1431" spans="1:21" x14ac:dyDescent="0.25">
      <c r="A1431" s="31" t="str">
        <f>IF(Table!A1431 = "","",Table!A1431)</f>
        <v/>
      </c>
      <c r="B1431" s="31" t="str">
        <f>IF(Table!B1431 = "","",Table!B1431)</f>
        <v/>
      </c>
      <c r="C1431" s="31" t="str">
        <f>IF(Table!C1431 = "","",Table!C1431)</f>
        <v/>
      </c>
      <c r="D1431" s="32" t="str">
        <f>IF(Table!D1431 = "","",Table!D1431)</f>
        <v/>
      </c>
      <c r="E1431" s="32" t="str">
        <f>IF(Table!E1431 = "","",Table!E1431)</f>
        <v/>
      </c>
      <c r="F1431" s="32" t="str">
        <f>IF(Table!F1431 = "","",Table!F1431)</f>
        <v/>
      </c>
      <c r="G1431" s="91"/>
      <c r="K1431" s="31" t="str">
        <f>IFERROR(VLOOKUP(A1431,Table!$I$4:$O$3000,1,TRUE),"")</f>
        <v/>
      </c>
      <c r="L1431" s="31" t="str">
        <f>IFERROR(INDEX(Table!I:O,MATCH(K1431,Table!I:I,0),2),"")</f>
        <v/>
      </c>
      <c r="M1431" s="31" t="str">
        <f>IFERROR(INDEX(Table!I:O,MATCH(K1431,Table!I:I,0),3),"")</f>
        <v/>
      </c>
      <c r="N1431" s="32" t="str">
        <f>IFERROR(INDEX(Table!I:O,MATCH(K1431,Table!I:I,0),4),"")</f>
        <v/>
      </c>
      <c r="O1431" s="32" t="str">
        <f>IFERROR(INDEX(Table!I:O,MATCH(K1431,Table!I:I,0),5),"")</f>
        <v/>
      </c>
      <c r="P1431" s="32" t="str">
        <f>IFERROR(INDEX(Table!I:O,MATCH(K1431,Table!I:I,0),6),"")</f>
        <v/>
      </c>
      <c r="Q1431" s="89" t="str">
        <f t="shared" si="66"/>
        <v/>
      </c>
      <c r="R1431" s="89" t="str">
        <f t="shared" si="67"/>
        <v/>
      </c>
      <c r="S1431" s="82"/>
      <c r="U1431" s="37" t="e">
        <f t="shared" si="68"/>
        <v>#VALUE!</v>
      </c>
    </row>
    <row r="1432" spans="1:21" x14ac:dyDescent="0.25">
      <c r="A1432" s="31" t="str">
        <f>IF(Table!A1432 = "","",Table!A1432)</f>
        <v/>
      </c>
      <c r="B1432" s="31" t="str">
        <f>IF(Table!B1432 = "","",Table!B1432)</f>
        <v/>
      </c>
      <c r="C1432" s="31" t="str">
        <f>IF(Table!C1432 = "","",Table!C1432)</f>
        <v/>
      </c>
      <c r="D1432" s="32" t="str">
        <f>IF(Table!D1432 = "","",Table!D1432)</f>
        <v/>
      </c>
      <c r="E1432" s="32" t="str">
        <f>IF(Table!E1432 = "","",Table!E1432)</f>
        <v/>
      </c>
      <c r="F1432" s="32" t="str">
        <f>IF(Table!F1432 = "","",Table!F1432)</f>
        <v/>
      </c>
      <c r="G1432" s="91"/>
      <c r="K1432" s="31" t="str">
        <f>IFERROR(VLOOKUP(A1432,Table!$I$4:$O$3000,1,TRUE),"")</f>
        <v/>
      </c>
      <c r="L1432" s="31" t="str">
        <f>IFERROR(INDEX(Table!I:O,MATCH(K1432,Table!I:I,0),2),"")</f>
        <v/>
      </c>
      <c r="M1432" s="31" t="str">
        <f>IFERROR(INDEX(Table!I:O,MATCH(K1432,Table!I:I,0),3),"")</f>
        <v/>
      </c>
      <c r="N1432" s="32" t="str">
        <f>IFERROR(INDEX(Table!I:O,MATCH(K1432,Table!I:I,0),4),"")</f>
        <v/>
      </c>
      <c r="O1432" s="32" t="str">
        <f>IFERROR(INDEX(Table!I:O,MATCH(K1432,Table!I:I,0),5),"")</f>
        <v/>
      </c>
      <c r="P1432" s="32" t="str">
        <f>IFERROR(INDEX(Table!I:O,MATCH(K1432,Table!I:I,0),6),"")</f>
        <v/>
      </c>
      <c r="Q1432" s="89" t="str">
        <f t="shared" si="66"/>
        <v/>
      </c>
      <c r="R1432" s="89" t="str">
        <f t="shared" si="67"/>
        <v/>
      </c>
      <c r="S1432" s="82"/>
      <c r="U1432" s="37" t="e">
        <f t="shared" si="68"/>
        <v>#VALUE!</v>
      </c>
    </row>
    <row r="1433" spans="1:21" x14ac:dyDescent="0.25">
      <c r="A1433" s="31" t="str">
        <f>IF(Table!A1433 = "","",Table!A1433)</f>
        <v/>
      </c>
      <c r="B1433" s="31" t="str">
        <f>IF(Table!B1433 = "","",Table!B1433)</f>
        <v/>
      </c>
      <c r="C1433" s="31" t="str">
        <f>IF(Table!C1433 = "","",Table!C1433)</f>
        <v/>
      </c>
      <c r="D1433" s="32" t="str">
        <f>IF(Table!D1433 = "","",Table!D1433)</f>
        <v/>
      </c>
      <c r="E1433" s="32" t="str">
        <f>IF(Table!E1433 = "","",Table!E1433)</f>
        <v/>
      </c>
      <c r="F1433" s="32" t="str">
        <f>IF(Table!F1433 = "","",Table!F1433)</f>
        <v/>
      </c>
      <c r="G1433" s="91"/>
      <c r="K1433" s="31" t="str">
        <f>IFERROR(VLOOKUP(A1433,Table!$I$4:$O$3000,1,TRUE),"")</f>
        <v/>
      </c>
      <c r="L1433" s="31" t="str">
        <f>IFERROR(INDEX(Table!I:O,MATCH(K1433,Table!I:I,0),2),"")</f>
        <v/>
      </c>
      <c r="M1433" s="31" t="str">
        <f>IFERROR(INDEX(Table!I:O,MATCH(K1433,Table!I:I,0),3),"")</f>
        <v/>
      </c>
      <c r="N1433" s="32" t="str">
        <f>IFERROR(INDEX(Table!I:O,MATCH(K1433,Table!I:I,0),4),"")</f>
        <v/>
      </c>
      <c r="O1433" s="32" t="str">
        <f>IFERROR(INDEX(Table!I:O,MATCH(K1433,Table!I:I,0),5),"")</f>
        <v/>
      </c>
      <c r="P1433" s="32" t="str">
        <f>IFERROR(INDEX(Table!I:O,MATCH(K1433,Table!I:I,0),6),"")</f>
        <v/>
      </c>
      <c r="Q1433" s="89" t="str">
        <f t="shared" si="66"/>
        <v/>
      </c>
      <c r="R1433" s="89" t="str">
        <f t="shared" si="67"/>
        <v/>
      </c>
      <c r="S1433" s="82"/>
      <c r="U1433" s="37" t="e">
        <f t="shared" si="68"/>
        <v>#VALUE!</v>
      </c>
    </row>
    <row r="1434" spans="1:21" x14ac:dyDescent="0.25">
      <c r="A1434" s="31" t="str">
        <f>IF(Table!A1434 = "","",Table!A1434)</f>
        <v/>
      </c>
      <c r="B1434" s="31" t="str">
        <f>IF(Table!B1434 = "","",Table!B1434)</f>
        <v/>
      </c>
      <c r="C1434" s="31" t="str">
        <f>IF(Table!C1434 = "","",Table!C1434)</f>
        <v/>
      </c>
      <c r="D1434" s="32" t="str">
        <f>IF(Table!D1434 = "","",Table!D1434)</f>
        <v/>
      </c>
      <c r="E1434" s="32" t="str">
        <f>IF(Table!E1434 = "","",Table!E1434)</f>
        <v/>
      </c>
      <c r="F1434" s="32" t="str">
        <f>IF(Table!F1434 = "","",Table!F1434)</f>
        <v/>
      </c>
      <c r="G1434" s="91"/>
      <c r="K1434" s="31" t="str">
        <f>IFERROR(VLOOKUP(A1434,Table!$I$4:$O$3000,1,TRUE),"")</f>
        <v/>
      </c>
      <c r="L1434" s="31" t="str">
        <f>IFERROR(INDEX(Table!I:O,MATCH(K1434,Table!I:I,0),2),"")</f>
        <v/>
      </c>
      <c r="M1434" s="31" t="str">
        <f>IFERROR(INDEX(Table!I:O,MATCH(K1434,Table!I:I,0),3),"")</f>
        <v/>
      </c>
      <c r="N1434" s="32" t="str">
        <f>IFERROR(INDEX(Table!I:O,MATCH(K1434,Table!I:I,0),4),"")</f>
        <v/>
      </c>
      <c r="O1434" s="32" t="str">
        <f>IFERROR(INDEX(Table!I:O,MATCH(K1434,Table!I:I,0),5),"")</f>
        <v/>
      </c>
      <c r="P1434" s="32" t="str">
        <f>IFERROR(INDEX(Table!I:O,MATCH(K1434,Table!I:I,0),6),"")</f>
        <v/>
      </c>
      <c r="Q1434" s="89" t="str">
        <f t="shared" si="66"/>
        <v/>
      </c>
      <c r="R1434" s="89" t="str">
        <f t="shared" si="67"/>
        <v/>
      </c>
      <c r="S1434" s="82"/>
      <c r="U1434" s="37" t="e">
        <f t="shared" si="68"/>
        <v>#VALUE!</v>
      </c>
    </row>
    <row r="1435" spans="1:21" x14ac:dyDescent="0.25">
      <c r="A1435" s="31" t="str">
        <f>IF(Table!A1435 = "","",Table!A1435)</f>
        <v/>
      </c>
      <c r="B1435" s="31" t="str">
        <f>IF(Table!B1435 = "","",Table!B1435)</f>
        <v/>
      </c>
      <c r="C1435" s="31" t="str">
        <f>IF(Table!C1435 = "","",Table!C1435)</f>
        <v/>
      </c>
      <c r="D1435" s="32" t="str">
        <f>IF(Table!D1435 = "","",Table!D1435)</f>
        <v/>
      </c>
      <c r="E1435" s="32" t="str">
        <f>IF(Table!E1435 = "","",Table!E1435)</f>
        <v/>
      </c>
      <c r="F1435" s="32" t="str">
        <f>IF(Table!F1435 = "","",Table!F1435)</f>
        <v/>
      </c>
      <c r="G1435" s="91"/>
      <c r="K1435" s="31" t="str">
        <f>IFERROR(VLOOKUP(A1435,Table!$I$4:$O$3000,1,TRUE),"")</f>
        <v/>
      </c>
      <c r="L1435" s="31" t="str">
        <f>IFERROR(INDEX(Table!I:O,MATCH(K1435,Table!I:I,0),2),"")</f>
        <v/>
      </c>
      <c r="M1435" s="31" t="str">
        <f>IFERROR(INDEX(Table!I:O,MATCH(K1435,Table!I:I,0),3),"")</f>
        <v/>
      </c>
      <c r="N1435" s="32" t="str">
        <f>IFERROR(INDEX(Table!I:O,MATCH(K1435,Table!I:I,0),4),"")</f>
        <v/>
      </c>
      <c r="O1435" s="32" t="str">
        <f>IFERROR(INDEX(Table!I:O,MATCH(K1435,Table!I:I,0),5),"")</f>
        <v/>
      </c>
      <c r="P1435" s="32" t="str">
        <f>IFERROR(INDEX(Table!I:O,MATCH(K1435,Table!I:I,0),6),"")</f>
        <v/>
      </c>
      <c r="Q1435" s="89" t="str">
        <f t="shared" si="66"/>
        <v/>
      </c>
      <c r="R1435" s="89" t="str">
        <f t="shared" si="67"/>
        <v/>
      </c>
      <c r="S1435" s="82"/>
      <c r="U1435" s="37" t="e">
        <f t="shared" si="68"/>
        <v>#VALUE!</v>
      </c>
    </row>
    <row r="1436" spans="1:21" x14ac:dyDescent="0.25">
      <c r="A1436" s="31" t="str">
        <f>IF(Table!A1436 = "","",Table!A1436)</f>
        <v/>
      </c>
      <c r="B1436" s="31" t="str">
        <f>IF(Table!B1436 = "","",Table!B1436)</f>
        <v/>
      </c>
      <c r="C1436" s="31" t="str">
        <f>IF(Table!C1436 = "","",Table!C1436)</f>
        <v/>
      </c>
      <c r="D1436" s="32" t="str">
        <f>IF(Table!D1436 = "","",Table!D1436)</f>
        <v/>
      </c>
      <c r="E1436" s="32" t="str">
        <f>IF(Table!E1436 = "","",Table!E1436)</f>
        <v/>
      </c>
      <c r="F1436" s="32" t="str">
        <f>IF(Table!F1436 = "","",Table!F1436)</f>
        <v/>
      </c>
      <c r="G1436" s="91"/>
      <c r="K1436" s="31" t="str">
        <f>IFERROR(VLOOKUP(A1436,Table!$I$4:$O$3000,1,TRUE),"")</f>
        <v/>
      </c>
      <c r="L1436" s="31" t="str">
        <f>IFERROR(INDEX(Table!I:O,MATCH(K1436,Table!I:I,0),2),"")</f>
        <v/>
      </c>
      <c r="M1436" s="31" t="str">
        <f>IFERROR(INDEX(Table!I:O,MATCH(K1436,Table!I:I,0),3),"")</f>
        <v/>
      </c>
      <c r="N1436" s="32" t="str">
        <f>IFERROR(INDEX(Table!I:O,MATCH(K1436,Table!I:I,0),4),"")</f>
        <v/>
      </c>
      <c r="O1436" s="32" t="str">
        <f>IFERROR(INDEX(Table!I:O,MATCH(K1436,Table!I:I,0),5),"")</f>
        <v/>
      </c>
      <c r="P1436" s="32" t="str">
        <f>IFERROR(INDEX(Table!I:O,MATCH(K1436,Table!I:I,0),6),"")</f>
        <v/>
      </c>
      <c r="Q1436" s="89" t="str">
        <f t="shared" si="66"/>
        <v/>
      </c>
      <c r="R1436" s="89" t="str">
        <f t="shared" si="67"/>
        <v/>
      </c>
      <c r="S1436" s="82"/>
      <c r="U1436" s="37" t="e">
        <f t="shared" si="68"/>
        <v>#VALUE!</v>
      </c>
    </row>
    <row r="1437" spans="1:21" x14ac:dyDescent="0.25">
      <c r="A1437" s="31" t="str">
        <f>IF(Table!A1437 = "","",Table!A1437)</f>
        <v/>
      </c>
      <c r="B1437" s="31" t="str">
        <f>IF(Table!B1437 = "","",Table!B1437)</f>
        <v/>
      </c>
      <c r="C1437" s="31" t="str">
        <f>IF(Table!C1437 = "","",Table!C1437)</f>
        <v/>
      </c>
      <c r="D1437" s="32" t="str">
        <f>IF(Table!D1437 = "","",Table!D1437)</f>
        <v/>
      </c>
      <c r="E1437" s="32" t="str">
        <f>IF(Table!E1437 = "","",Table!E1437)</f>
        <v/>
      </c>
      <c r="F1437" s="32" t="str">
        <f>IF(Table!F1437 = "","",Table!F1437)</f>
        <v/>
      </c>
      <c r="G1437" s="91"/>
      <c r="K1437" s="31" t="str">
        <f>IFERROR(VLOOKUP(A1437,Table!$I$4:$O$3000,1,TRUE),"")</f>
        <v/>
      </c>
      <c r="L1437" s="31" t="str">
        <f>IFERROR(INDEX(Table!I:O,MATCH(K1437,Table!I:I,0),2),"")</f>
        <v/>
      </c>
      <c r="M1437" s="31" t="str">
        <f>IFERROR(INDEX(Table!I:O,MATCH(K1437,Table!I:I,0),3),"")</f>
        <v/>
      </c>
      <c r="N1437" s="32" t="str">
        <f>IFERROR(INDEX(Table!I:O,MATCH(K1437,Table!I:I,0),4),"")</f>
        <v/>
      </c>
      <c r="O1437" s="32" t="str">
        <f>IFERROR(INDEX(Table!I:O,MATCH(K1437,Table!I:I,0),5),"")</f>
        <v/>
      </c>
      <c r="P1437" s="32" t="str">
        <f>IFERROR(INDEX(Table!I:O,MATCH(K1437,Table!I:I,0),6),"")</f>
        <v/>
      </c>
      <c r="Q1437" s="89" t="str">
        <f t="shared" si="66"/>
        <v/>
      </c>
      <c r="R1437" s="89" t="str">
        <f t="shared" si="67"/>
        <v/>
      </c>
      <c r="S1437" s="82"/>
      <c r="U1437" s="37" t="e">
        <f t="shared" si="68"/>
        <v>#VALUE!</v>
      </c>
    </row>
    <row r="1438" spans="1:21" x14ac:dyDescent="0.25">
      <c r="A1438" s="31" t="str">
        <f>IF(Table!A1438 = "","",Table!A1438)</f>
        <v/>
      </c>
      <c r="B1438" s="31" t="str">
        <f>IF(Table!B1438 = "","",Table!B1438)</f>
        <v/>
      </c>
      <c r="C1438" s="31" t="str">
        <f>IF(Table!C1438 = "","",Table!C1438)</f>
        <v/>
      </c>
      <c r="D1438" s="32" t="str">
        <f>IF(Table!D1438 = "","",Table!D1438)</f>
        <v/>
      </c>
      <c r="E1438" s="32" t="str">
        <f>IF(Table!E1438 = "","",Table!E1438)</f>
        <v/>
      </c>
      <c r="F1438" s="32" t="str">
        <f>IF(Table!F1438 = "","",Table!F1438)</f>
        <v/>
      </c>
      <c r="G1438" s="91"/>
      <c r="K1438" s="31" t="str">
        <f>IFERROR(VLOOKUP(A1438,Table!$I$4:$O$3000,1,TRUE),"")</f>
        <v/>
      </c>
      <c r="L1438" s="31" t="str">
        <f>IFERROR(INDEX(Table!I:O,MATCH(K1438,Table!I:I,0),2),"")</f>
        <v/>
      </c>
      <c r="M1438" s="31" t="str">
        <f>IFERROR(INDEX(Table!I:O,MATCH(K1438,Table!I:I,0),3),"")</f>
        <v/>
      </c>
      <c r="N1438" s="32" t="str">
        <f>IFERROR(INDEX(Table!I:O,MATCH(K1438,Table!I:I,0),4),"")</f>
        <v/>
      </c>
      <c r="O1438" s="32" t="str">
        <f>IFERROR(INDEX(Table!I:O,MATCH(K1438,Table!I:I,0),5),"")</f>
        <v/>
      </c>
      <c r="P1438" s="32" t="str">
        <f>IFERROR(INDEX(Table!I:O,MATCH(K1438,Table!I:I,0),6),"")</f>
        <v/>
      </c>
      <c r="Q1438" s="89" t="str">
        <f t="shared" si="66"/>
        <v/>
      </c>
      <c r="R1438" s="89" t="str">
        <f t="shared" si="67"/>
        <v/>
      </c>
      <c r="S1438" s="82"/>
      <c r="U1438" s="37" t="e">
        <f t="shared" si="68"/>
        <v>#VALUE!</v>
      </c>
    </row>
    <row r="1439" spans="1:21" x14ac:dyDescent="0.25">
      <c r="A1439" s="31" t="str">
        <f>IF(Table!A1439 = "","",Table!A1439)</f>
        <v/>
      </c>
      <c r="B1439" s="31" t="str">
        <f>IF(Table!B1439 = "","",Table!B1439)</f>
        <v/>
      </c>
      <c r="C1439" s="31" t="str">
        <f>IF(Table!C1439 = "","",Table!C1439)</f>
        <v/>
      </c>
      <c r="D1439" s="32" t="str">
        <f>IF(Table!D1439 = "","",Table!D1439)</f>
        <v/>
      </c>
      <c r="E1439" s="32" t="str">
        <f>IF(Table!E1439 = "","",Table!E1439)</f>
        <v/>
      </c>
      <c r="F1439" s="32" t="str">
        <f>IF(Table!F1439 = "","",Table!F1439)</f>
        <v/>
      </c>
      <c r="G1439" s="91"/>
      <c r="K1439" s="31" t="str">
        <f>IFERROR(VLOOKUP(A1439,Table!$I$4:$O$3000,1,TRUE),"")</f>
        <v/>
      </c>
      <c r="L1439" s="31" t="str">
        <f>IFERROR(INDEX(Table!I:O,MATCH(K1439,Table!I:I,0),2),"")</f>
        <v/>
      </c>
      <c r="M1439" s="31" t="str">
        <f>IFERROR(INDEX(Table!I:O,MATCH(K1439,Table!I:I,0),3),"")</f>
        <v/>
      </c>
      <c r="N1439" s="32" t="str">
        <f>IFERROR(INDEX(Table!I:O,MATCH(K1439,Table!I:I,0),4),"")</f>
        <v/>
      </c>
      <c r="O1439" s="32" t="str">
        <f>IFERROR(INDEX(Table!I:O,MATCH(K1439,Table!I:I,0),5),"")</f>
        <v/>
      </c>
      <c r="P1439" s="32" t="str">
        <f>IFERROR(INDEX(Table!I:O,MATCH(K1439,Table!I:I,0),6),"")</f>
        <v/>
      </c>
      <c r="Q1439" s="89" t="str">
        <f t="shared" si="66"/>
        <v/>
      </c>
      <c r="R1439" s="89" t="str">
        <f t="shared" si="67"/>
        <v/>
      </c>
      <c r="S1439" s="82"/>
      <c r="U1439" s="37" t="e">
        <f t="shared" si="68"/>
        <v>#VALUE!</v>
      </c>
    </row>
    <row r="1440" spans="1:21" x14ac:dyDescent="0.25">
      <c r="A1440" s="31" t="str">
        <f>IF(Table!A1440 = "","",Table!A1440)</f>
        <v/>
      </c>
      <c r="B1440" s="31" t="str">
        <f>IF(Table!B1440 = "","",Table!B1440)</f>
        <v/>
      </c>
      <c r="C1440" s="31" t="str">
        <f>IF(Table!C1440 = "","",Table!C1440)</f>
        <v/>
      </c>
      <c r="D1440" s="32" t="str">
        <f>IF(Table!D1440 = "","",Table!D1440)</f>
        <v/>
      </c>
      <c r="E1440" s="32" t="str">
        <f>IF(Table!E1440 = "","",Table!E1440)</f>
        <v/>
      </c>
      <c r="F1440" s="32" t="str">
        <f>IF(Table!F1440 = "","",Table!F1440)</f>
        <v/>
      </c>
      <c r="G1440" s="91"/>
      <c r="K1440" s="31" t="str">
        <f>IFERROR(VLOOKUP(A1440,Table!$I$4:$O$3000,1,TRUE),"")</f>
        <v/>
      </c>
      <c r="L1440" s="31" t="str">
        <f>IFERROR(INDEX(Table!I:O,MATCH(K1440,Table!I:I,0),2),"")</f>
        <v/>
      </c>
      <c r="M1440" s="31" t="str">
        <f>IFERROR(INDEX(Table!I:O,MATCH(K1440,Table!I:I,0),3),"")</f>
        <v/>
      </c>
      <c r="N1440" s="32" t="str">
        <f>IFERROR(INDEX(Table!I:O,MATCH(K1440,Table!I:I,0),4),"")</f>
        <v/>
      </c>
      <c r="O1440" s="32" t="str">
        <f>IFERROR(INDEX(Table!I:O,MATCH(K1440,Table!I:I,0),5),"")</f>
        <v/>
      </c>
      <c r="P1440" s="32" t="str">
        <f>IFERROR(INDEX(Table!I:O,MATCH(K1440,Table!I:I,0),6),"")</f>
        <v/>
      </c>
      <c r="Q1440" s="89" t="str">
        <f t="shared" si="66"/>
        <v/>
      </c>
      <c r="R1440" s="89" t="str">
        <f t="shared" si="67"/>
        <v/>
      </c>
      <c r="S1440" s="82"/>
      <c r="U1440" s="37" t="e">
        <f t="shared" si="68"/>
        <v>#VALUE!</v>
      </c>
    </row>
    <row r="1441" spans="1:21" x14ac:dyDescent="0.25">
      <c r="A1441" s="31" t="str">
        <f>IF(Table!A1441 = "","",Table!A1441)</f>
        <v/>
      </c>
      <c r="B1441" s="31" t="str">
        <f>IF(Table!B1441 = "","",Table!B1441)</f>
        <v/>
      </c>
      <c r="C1441" s="31" t="str">
        <f>IF(Table!C1441 = "","",Table!C1441)</f>
        <v/>
      </c>
      <c r="D1441" s="32" t="str">
        <f>IF(Table!D1441 = "","",Table!D1441)</f>
        <v/>
      </c>
      <c r="E1441" s="32" t="str">
        <f>IF(Table!E1441 = "","",Table!E1441)</f>
        <v/>
      </c>
      <c r="F1441" s="32" t="str">
        <f>IF(Table!F1441 = "","",Table!F1441)</f>
        <v/>
      </c>
      <c r="G1441" s="91"/>
      <c r="K1441" s="31" t="str">
        <f>IFERROR(VLOOKUP(A1441,Table!$I$4:$O$3000,1,TRUE),"")</f>
        <v/>
      </c>
      <c r="L1441" s="31" t="str">
        <f>IFERROR(INDEX(Table!I:O,MATCH(K1441,Table!I:I,0),2),"")</f>
        <v/>
      </c>
      <c r="M1441" s="31" t="str">
        <f>IFERROR(INDEX(Table!I:O,MATCH(K1441,Table!I:I,0),3),"")</f>
        <v/>
      </c>
      <c r="N1441" s="32" t="str">
        <f>IFERROR(INDEX(Table!I:O,MATCH(K1441,Table!I:I,0),4),"")</f>
        <v/>
      </c>
      <c r="O1441" s="32" t="str">
        <f>IFERROR(INDEX(Table!I:O,MATCH(K1441,Table!I:I,0),5),"")</f>
        <v/>
      </c>
      <c r="P1441" s="32" t="str">
        <f>IFERROR(INDEX(Table!I:O,MATCH(K1441,Table!I:I,0),6),"")</f>
        <v/>
      </c>
      <c r="Q1441" s="89" t="str">
        <f t="shared" si="66"/>
        <v/>
      </c>
      <c r="R1441" s="89" t="str">
        <f t="shared" si="67"/>
        <v/>
      </c>
      <c r="S1441" s="82"/>
      <c r="U1441" s="37" t="e">
        <f t="shared" si="68"/>
        <v>#VALUE!</v>
      </c>
    </row>
    <row r="1442" spans="1:21" x14ac:dyDescent="0.25">
      <c r="A1442" s="31" t="str">
        <f>IF(Table!A1442 = "","",Table!A1442)</f>
        <v/>
      </c>
      <c r="B1442" s="31" t="str">
        <f>IF(Table!B1442 = "","",Table!B1442)</f>
        <v/>
      </c>
      <c r="C1442" s="31" t="str">
        <f>IF(Table!C1442 = "","",Table!C1442)</f>
        <v/>
      </c>
      <c r="D1442" s="32" t="str">
        <f>IF(Table!D1442 = "","",Table!D1442)</f>
        <v/>
      </c>
      <c r="E1442" s="32" t="str">
        <f>IF(Table!E1442 = "","",Table!E1442)</f>
        <v/>
      </c>
      <c r="F1442" s="32" t="str">
        <f>IF(Table!F1442 = "","",Table!F1442)</f>
        <v/>
      </c>
      <c r="G1442" s="91"/>
      <c r="K1442" s="31" t="str">
        <f>IFERROR(VLOOKUP(A1442,Table!$I$4:$O$3000,1,TRUE),"")</f>
        <v/>
      </c>
      <c r="L1442" s="31" t="str">
        <f>IFERROR(INDEX(Table!I:O,MATCH(K1442,Table!I:I,0),2),"")</f>
        <v/>
      </c>
      <c r="M1442" s="31" t="str">
        <f>IFERROR(INDEX(Table!I:O,MATCH(K1442,Table!I:I,0),3),"")</f>
        <v/>
      </c>
      <c r="N1442" s="32" t="str">
        <f>IFERROR(INDEX(Table!I:O,MATCH(K1442,Table!I:I,0),4),"")</f>
        <v/>
      </c>
      <c r="O1442" s="32" t="str">
        <f>IFERROR(INDEX(Table!I:O,MATCH(K1442,Table!I:I,0),5),"")</f>
        <v/>
      </c>
      <c r="P1442" s="32" t="str">
        <f>IFERROR(INDEX(Table!I:O,MATCH(K1442,Table!I:I,0),6),"")</f>
        <v/>
      </c>
      <c r="Q1442" s="89" t="str">
        <f t="shared" si="66"/>
        <v/>
      </c>
      <c r="R1442" s="89" t="str">
        <f t="shared" si="67"/>
        <v/>
      </c>
      <c r="S1442" s="82"/>
      <c r="U1442" s="37" t="e">
        <f t="shared" si="68"/>
        <v>#VALUE!</v>
      </c>
    </row>
    <row r="1443" spans="1:21" x14ac:dyDescent="0.25">
      <c r="A1443" s="31" t="str">
        <f>IF(Table!A1443 = "","",Table!A1443)</f>
        <v/>
      </c>
      <c r="B1443" s="31" t="str">
        <f>IF(Table!B1443 = "","",Table!B1443)</f>
        <v/>
      </c>
      <c r="C1443" s="31" t="str">
        <f>IF(Table!C1443 = "","",Table!C1443)</f>
        <v/>
      </c>
      <c r="D1443" s="32" t="str">
        <f>IF(Table!D1443 = "","",Table!D1443)</f>
        <v/>
      </c>
      <c r="E1443" s="32" t="str">
        <f>IF(Table!E1443 = "","",Table!E1443)</f>
        <v/>
      </c>
      <c r="F1443" s="32" t="str">
        <f>IF(Table!F1443 = "","",Table!F1443)</f>
        <v/>
      </c>
      <c r="G1443" s="91"/>
      <c r="K1443" s="31" t="str">
        <f>IFERROR(VLOOKUP(A1443,Table!$I$4:$O$3000,1,TRUE),"")</f>
        <v/>
      </c>
      <c r="L1443" s="31" t="str">
        <f>IFERROR(INDEX(Table!I:O,MATCH(K1443,Table!I:I,0),2),"")</f>
        <v/>
      </c>
      <c r="M1443" s="31" t="str">
        <f>IFERROR(INDEX(Table!I:O,MATCH(K1443,Table!I:I,0),3),"")</f>
        <v/>
      </c>
      <c r="N1443" s="32" t="str">
        <f>IFERROR(INDEX(Table!I:O,MATCH(K1443,Table!I:I,0),4),"")</f>
        <v/>
      </c>
      <c r="O1443" s="32" t="str">
        <f>IFERROR(INDEX(Table!I:O,MATCH(K1443,Table!I:I,0),5),"")</f>
        <v/>
      </c>
      <c r="P1443" s="32" t="str">
        <f>IFERROR(INDEX(Table!I:O,MATCH(K1443,Table!I:I,0),6),"")</f>
        <v/>
      </c>
      <c r="Q1443" s="89" t="str">
        <f t="shared" si="66"/>
        <v/>
      </c>
      <c r="R1443" s="89" t="str">
        <f t="shared" si="67"/>
        <v/>
      </c>
      <c r="S1443" s="82"/>
      <c r="U1443" s="37" t="e">
        <f t="shared" si="68"/>
        <v>#VALUE!</v>
      </c>
    </row>
    <row r="1444" spans="1:21" x14ac:dyDescent="0.25">
      <c r="A1444" s="31" t="str">
        <f>IF(Table!A1444 = "","",Table!A1444)</f>
        <v/>
      </c>
      <c r="B1444" s="31" t="str">
        <f>IF(Table!B1444 = "","",Table!B1444)</f>
        <v/>
      </c>
      <c r="C1444" s="31" t="str">
        <f>IF(Table!C1444 = "","",Table!C1444)</f>
        <v/>
      </c>
      <c r="D1444" s="32" t="str">
        <f>IF(Table!D1444 = "","",Table!D1444)</f>
        <v/>
      </c>
      <c r="E1444" s="32" t="str">
        <f>IF(Table!E1444 = "","",Table!E1444)</f>
        <v/>
      </c>
      <c r="F1444" s="32" t="str">
        <f>IF(Table!F1444 = "","",Table!F1444)</f>
        <v/>
      </c>
      <c r="G1444" s="91"/>
      <c r="K1444" s="31" t="str">
        <f>IFERROR(VLOOKUP(A1444,Table!$I$4:$O$3000,1,TRUE),"")</f>
        <v/>
      </c>
      <c r="L1444" s="31" t="str">
        <f>IFERROR(INDEX(Table!I:O,MATCH(K1444,Table!I:I,0),2),"")</f>
        <v/>
      </c>
      <c r="M1444" s="31" t="str">
        <f>IFERROR(INDEX(Table!I:O,MATCH(K1444,Table!I:I,0),3),"")</f>
        <v/>
      </c>
      <c r="N1444" s="32" t="str">
        <f>IFERROR(INDEX(Table!I:O,MATCH(K1444,Table!I:I,0),4),"")</f>
        <v/>
      </c>
      <c r="O1444" s="32" t="str">
        <f>IFERROR(INDEX(Table!I:O,MATCH(K1444,Table!I:I,0),5),"")</f>
        <v/>
      </c>
      <c r="P1444" s="32" t="str">
        <f>IFERROR(INDEX(Table!I:O,MATCH(K1444,Table!I:I,0),6),"")</f>
        <v/>
      </c>
      <c r="Q1444" s="89" t="str">
        <f t="shared" si="66"/>
        <v/>
      </c>
      <c r="R1444" s="89" t="str">
        <f t="shared" si="67"/>
        <v/>
      </c>
      <c r="S1444" s="82"/>
      <c r="U1444" s="37" t="e">
        <f t="shared" si="68"/>
        <v>#VALUE!</v>
      </c>
    </row>
    <row r="1445" spans="1:21" x14ac:dyDescent="0.25">
      <c r="A1445" s="31" t="str">
        <f>IF(Table!A1445 = "","",Table!A1445)</f>
        <v/>
      </c>
      <c r="B1445" s="31" t="str">
        <f>IF(Table!B1445 = "","",Table!B1445)</f>
        <v/>
      </c>
      <c r="C1445" s="31" t="str">
        <f>IF(Table!C1445 = "","",Table!C1445)</f>
        <v/>
      </c>
      <c r="D1445" s="32" t="str">
        <f>IF(Table!D1445 = "","",Table!D1445)</f>
        <v/>
      </c>
      <c r="E1445" s="32" t="str">
        <f>IF(Table!E1445 = "","",Table!E1445)</f>
        <v/>
      </c>
      <c r="F1445" s="32" t="str">
        <f>IF(Table!F1445 = "","",Table!F1445)</f>
        <v/>
      </c>
      <c r="G1445" s="91"/>
      <c r="K1445" s="31" t="str">
        <f>IFERROR(VLOOKUP(A1445,Table!$I$4:$O$3000,1,TRUE),"")</f>
        <v/>
      </c>
      <c r="L1445" s="31" t="str">
        <f>IFERROR(INDEX(Table!I:O,MATCH(K1445,Table!I:I,0),2),"")</f>
        <v/>
      </c>
      <c r="M1445" s="31" t="str">
        <f>IFERROR(INDEX(Table!I:O,MATCH(K1445,Table!I:I,0),3),"")</f>
        <v/>
      </c>
      <c r="N1445" s="32" t="str">
        <f>IFERROR(INDEX(Table!I:O,MATCH(K1445,Table!I:I,0),4),"")</f>
        <v/>
      </c>
      <c r="O1445" s="32" t="str">
        <f>IFERROR(INDEX(Table!I:O,MATCH(K1445,Table!I:I,0),5),"")</f>
        <v/>
      </c>
      <c r="P1445" s="32" t="str">
        <f>IFERROR(INDEX(Table!I:O,MATCH(K1445,Table!I:I,0),6),"")</f>
        <v/>
      </c>
      <c r="Q1445" s="89" t="str">
        <f t="shared" si="66"/>
        <v/>
      </c>
      <c r="R1445" s="89" t="str">
        <f t="shared" si="67"/>
        <v/>
      </c>
      <c r="S1445" s="82"/>
      <c r="U1445" s="37" t="e">
        <f t="shared" si="68"/>
        <v>#VALUE!</v>
      </c>
    </row>
    <row r="1446" spans="1:21" x14ac:dyDescent="0.25">
      <c r="A1446" s="31" t="str">
        <f>IF(Table!A1446 = "","",Table!A1446)</f>
        <v/>
      </c>
      <c r="B1446" s="31" t="str">
        <f>IF(Table!B1446 = "","",Table!B1446)</f>
        <v/>
      </c>
      <c r="C1446" s="31" t="str">
        <f>IF(Table!C1446 = "","",Table!C1446)</f>
        <v/>
      </c>
      <c r="D1446" s="32" t="str">
        <f>IF(Table!D1446 = "","",Table!D1446)</f>
        <v/>
      </c>
      <c r="E1446" s="32" t="str">
        <f>IF(Table!E1446 = "","",Table!E1446)</f>
        <v/>
      </c>
      <c r="F1446" s="32" t="str">
        <f>IF(Table!F1446 = "","",Table!F1446)</f>
        <v/>
      </c>
      <c r="G1446" s="91"/>
      <c r="K1446" s="31" t="str">
        <f>IFERROR(VLOOKUP(A1446,Table!$I$4:$O$3000,1,TRUE),"")</f>
        <v/>
      </c>
      <c r="L1446" s="31" t="str">
        <f>IFERROR(INDEX(Table!I:O,MATCH(K1446,Table!I:I,0),2),"")</f>
        <v/>
      </c>
      <c r="M1446" s="31" t="str">
        <f>IFERROR(INDEX(Table!I:O,MATCH(K1446,Table!I:I,0),3),"")</f>
        <v/>
      </c>
      <c r="N1446" s="32" t="str">
        <f>IFERROR(INDEX(Table!I:O,MATCH(K1446,Table!I:I,0),4),"")</f>
        <v/>
      </c>
      <c r="O1446" s="32" t="str">
        <f>IFERROR(INDEX(Table!I:O,MATCH(K1446,Table!I:I,0),5),"")</f>
        <v/>
      </c>
      <c r="P1446" s="32" t="str">
        <f>IFERROR(INDEX(Table!I:O,MATCH(K1446,Table!I:I,0),6),"")</f>
        <v/>
      </c>
      <c r="Q1446" s="89" t="str">
        <f t="shared" si="66"/>
        <v/>
      </c>
      <c r="R1446" s="89" t="str">
        <f t="shared" si="67"/>
        <v/>
      </c>
      <c r="S1446" s="82"/>
      <c r="U1446" s="37" t="e">
        <f t="shared" si="68"/>
        <v>#VALUE!</v>
      </c>
    </row>
    <row r="1447" spans="1:21" x14ac:dyDescent="0.25">
      <c r="A1447" s="31" t="str">
        <f>IF(Table!A1447 = "","",Table!A1447)</f>
        <v/>
      </c>
      <c r="B1447" s="31" t="str">
        <f>IF(Table!B1447 = "","",Table!B1447)</f>
        <v/>
      </c>
      <c r="C1447" s="31" t="str">
        <f>IF(Table!C1447 = "","",Table!C1447)</f>
        <v/>
      </c>
      <c r="D1447" s="32" t="str">
        <f>IF(Table!D1447 = "","",Table!D1447)</f>
        <v/>
      </c>
      <c r="E1447" s="32" t="str">
        <f>IF(Table!E1447 = "","",Table!E1447)</f>
        <v/>
      </c>
      <c r="F1447" s="32" t="str">
        <f>IF(Table!F1447 = "","",Table!F1447)</f>
        <v/>
      </c>
      <c r="G1447" s="91"/>
      <c r="K1447" s="31" t="str">
        <f>IFERROR(VLOOKUP(A1447,Table!$I$4:$O$3000,1,TRUE),"")</f>
        <v/>
      </c>
      <c r="L1447" s="31" t="str">
        <f>IFERROR(INDEX(Table!I:O,MATCH(K1447,Table!I:I,0),2),"")</f>
        <v/>
      </c>
      <c r="M1447" s="31" t="str">
        <f>IFERROR(INDEX(Table!I:O,MATCH(K1447,Table!I:I,0),3),"")</f>
        <v/>
      </c>
      <c r="N1447" s="32" t="str">
        <f>IFERROR(INDEX(Table!I:O,MATCH(K1447,Table!I:I,0),4),"")</f>
        <v/>
      </c>
      <c r="O1447" s="32" t="str">
        <f>IFERROR(INDEX(Table!I:O,MATCH(K1447,Table!I:I,0),5),"")</f>
        <v/>
      </c>
      <c r="P1447" s="32" t="str">
        <f>IFERROR(INDEX(Table!I:O,MATCH(K1447,Table!I:I,0),6),"")</f>
        <v/>
      </c>
      <c r="Q1447" s="89" t="str">
        <f t="shared" si="66"/>
        <v/>
      </c>
      <c r="R1447" s="89" t="str">
        <f t="shared" si="67"/>
        <v/>
      </c>
      <c r="S1447" s="82"/>
      <c r="U1447" s="37" t="e">
        <f t="shared" si="68"/>
        <v>#VALUE!</v>
      </c>
    </row>
    <row r="1448" spans="1:21" x14ac:dyDescent="0.25">
      <c r="A1448" s="31" t="str">
        <f>IF(Table!A1448 = "","",Table!A1448)</f>
        <v/>
      </c>
      <c r="B1448" s="31" t="str">
        <f>IF(Table!B1448 = "","",Table!B1448)</f>
        <v/>
      </c>
      <c r="C1448" s="31" t="str">
        <f>IF(Table!C1448 = "","",Table!C1448)</f>
        <v/>
      </c>
      <c r="D1448" s="32" t="str">
        <f>IF(Table!D1448 = "","",Table!D1448)</f>
        <v/>
      </c>
      <c r="E1448" s="32" t="str">
        <f>IF(Table!E1448 = "","",Table!E1448)</f>
        <v/>
      </c>
      <c r="F1448" s="32" t="str">
        <f>IF(Table!F1448 = "","",Table!F1448)</f>
        <v/>
      </c>
      <c r="G1448" s="91"/>
      <c r="K1448" s="31" t="str">
        <f>IFERROR(VLOOKUP(A1448,Table!$I$4:$O$3000,1,TRUE),"")</f>
        <v/>
      </c>
      <c r="L1448" s="31" t="str">
        <f>IFERROR(INDEX(Table!I:O,MATCH(K1448,Table!I:I,0),2),"")</f>
        <v/>
      </c>
      <c r="M1448" s="31" t="str">
        <f>IFERROR(INDEX(Table!I:O,MATCH(K1448,Table!I:I,0),3),"")</f>
        <v/>
      </c>
      <c r="N1448" s="32" t="str">
        <f>IFERROR(INDEX(Table!I:O,MATCH(K1448,Table!I:I,0),4),"")</f>
        <v/>
      </c>
      <c r="O1448" s="32" t="str">
        <f>IFERROR(INDEX(Table!I:O,MATCH(K1448,Table!I:I,0),5),"")</f>
        <v/>
      </c>
      <c r="P1448" s="32" t="str">
        <f>IFERROR(INDEX(Table!I:O,MATCH(K1448,Table!I:I,0),6),"")</f>
        <v/>
      </c>
      <c r="Q1448" s="89" t="str">
        <f t="shared" si="66"/>
        <v/>
      </c>
      <c r="R1448" s="89" t="str">
        <f t="shared" si="67"/>
        <v/>
      </c>
      <c r="S1448" s="82"/>
      <c r="U1448" s="37" t="e">
        <f t="shared" si="68"/>
        <v>#VALUE!</v>
      </c>
    </row>
    <row r="1449" spans="1:21" x14ac:dyDescent="0.25">
      <c r="A1449" s="31" t="str">
        <f>IF(Table!A1449 = "","",Table!A1449)</f>
        <v/>
      </c>
      <c r="B1449" s="31" t="str">
        <f>IF(Table!B1449 = "","",Table!B1449)</f>
        <v/>
      </c>
      <c r="C1449" s="31" t="str">
        <f>IF(Table!C1449 = "","",Table!C1449)</f>
        <v/>
      </c>
      <c r="D1449" s="32" t="str">
        <f>IF(Table!D1449 = "","",Table!D1449)</f>
        <v/>
      </c>
      <c r="E1449" s="32" t="str">
        <f>IF(Table!E1449 = "","",Table!E1449)</f>
        <v/>
      </c>
      <c r="F1449" s="32" t="str">
        <f>IF(Table!F1449 = "","",Table!F1449)</f>
        <v/>
      </c>
      <c r="G1449" s="91"/>
      <c r="K1449" s="31" t="str">
        <f>IFERROR(VLOOKUP(A1449,Table!$I$4:$O$3000,1,TRUE),"")</f>
        <v/>
      </c>
      <c r="L1449" s="31" t="str">
        <f>IFERROR(INDEX(Table!I:O,MATCH(K1449,Table!I:I,0),2),"")</f>
        <v/>
      </c>
      <c r="M1449" s="31" t="str">
        <f>IFERROR(INDEX(Table!I:O,MATCH(K1449,Table!I:I,0),3),"")</f>
        <v/>
      </c>
      <c r="N1449" s="32" t="str">
        <f>IFERROR(INDEX(Table!I:O,MATCH(K1449,Table!I:I,0),4),"")</f>
        <v/>
      </c>
      <c r="O1449" s="32" t="str">
        <f>IFERROR(INDEX(Table!I:O,MATCH(K1449,Table!I:I,0),5),"")</f>
        <v/>
      </c>
      <c r="P1449" s="32" t="str">
        <f>IFERROR(INDEX(Table!I:O,MATCH(K1449,Table!I:I,0),6),"")</f>
        <v/>
      </c>
      <c r="Q1449" s="89" t="str">
        <f t="shared" si="66"/>
        <v/>
      </c>
      <c r="R1449" s="89" t="str">
        <f t="shared" si="67"/>
        <v/>
      </c>
      <c r="S1449" s="82"/>
      <c r="U1449" s="37" t="e">
        <f t="shared" si="68"/>
        <v>#VALUE!</v>
      </c>
    </row>
    <row r="1450" spans="1:21" x14ac:dyDescent="0.25">
      <c r="A1450" s="31" t="str">
        <f>IF(Table!A1450 = "","",Table!A1450)</f>
        <v/>
      </c>
      <c r="B1450" s="31" t="str">
        <f>IF(Table!B1450 = "","",Table!B1450)</f>
        <v/>
      </c>
      <c r="C1450" s="31" t="str">
        <f>IF(Table!C1450 = "","",Table!C1450)</f>
        <v/>
      </c>
      <c r="D1450" s="32" t="str">
        <f>IF(Table!D1450 = "","",Table!D1450)</f>
        <v/>
      </c>
      <c r="E1450" s="32" t="str">
        <f>IF(Table!E1450 = "","",Table!E1450)</f>
        <v/>
      </c>
      <c r="F1450" s="32" t="str">
        <f>IF(Table!F1450 = "","",Table!F1450)</f>
        <v/>
      </c>
      <c r="G1450" s="91"/>
      <c r="K1450" s="31" t="str">
        <f>IFERROR(VLOOKUP(A1450,Table!$I$4:$O$3000,1,TRUE),"")</f>
        <v/>
      </c>
      <c r="L1450" s="31" t="str">
        <f>IFERROR(INDEX(Table!I:O,MATCH(K1450,Table!I:I,0),2),"")</f>
        <v/>
      </c>
      <c r="M1450" s="31" t="str">
        <f>IFERROR(INDEX(Table!I:O,MATCH(K1450,Table!I:I,0),3),"")</f>
        <v/>
      </c>
      <c r="N1450" s="32" t="str">
        <f>IFERROR(INDEX(Table!I:O,MATCH(K1450,Table!I:I,0),4),"")</f>
        <v/>
      </c>
      <c r="O1450" s="32" t="str">
        <f>IFERROR(INDEX(Table!I:O,MATCH(K1450,Table!I:I,0),5),"")</f>
        <v/>
      </c>
      <c r="P1450" s="32" t="str">
        <f>IFERROR(INDEX(Table!I:O,MATCH(K1450,Table!I:I,0),6),"")</f>
        <v/>
      </c>
      <c r="Q1450" s="89" t="str">
        <f t="shared" si="66"/>
        <v/>
      </c>
      <c r="R1450" s="89" t="str">
        <f t="shared" si="67"/>
        <v/>
      </c>
      <c r="S1450" s="82"/>
      <c r="U1450" s="37" t="e">
        <f t="shared" si="68"/>
        <v>#VALUE!</v>
      </c>
    </row>
    <row r="1451" spans="1:21" x14ac:dyDescent="0.25">
      <c r="A1451" s="31" t="str">
        <f>IF(Table!A1451 = "","",Table!A1451)</f>
        <v/>
      </c>
      <c r="B1451" s="31" t="str">
        <f>IF(Table!B1451 = "","",Table!B1451)</f>
        <v/>
      </c>
      <c r="C1451" s="31" t="str">
        <f>IF(Table!C1451 = "","",Table!C1451)</f>
        <v/>
      </c>
      <c r="D1451" s="32" t="str">
        <f>IF(Table!D1451 = "","",Table!D1451)</f>
        <v/>
      </c>
      <c r="E1451" s="32" t="str">
        <f>IF(Table!E1451 = "","",Table!E1451)</f>
        <v/>
      </c>
      <c r="F1451" s="32" t="str">
        <f>IF(Table!F1451 = "","",Table!F1451)</f>
        <v/>
      </c>
      <c r="G1451" s="91"/>
      <c r="K1451" s="31" t="str">
        <f>IFERROR(VLOOKUP(A1451,Table!$I$4:$O$3000,1,TRUE),"")</f>
        <v/>
      </c>
      <c r="L1451" s="31" t="str">
        <f>IFERROR(INDEX(Table!I:O,MATCH(K1451,Table!I:I,0),2),"")</f>
        <v/>
      </c>
      <c r="M1451" s="31" t="str">
        <f>IFERROR(INDEX(Table!I:O,MATCH(K1451,Table!I:I,0),3),"")</f>
        <v/>
      </c>
      <c r="N1451" s="32" t="str">
        <f>IFERROR(INDEX(Table!I:O,MATCH(K1451,Table!I:I,0),4),"")</f>
        <v/>
      </c>
      <c r="O1451" s="32" t="str">
        <f>IFERROR(INDEX(Table!I:O,MATCH(K1451,Table!I:I,0),5),"")</f>
        <v/>
      </c>
      <c r="P1451" s="32" t="str">
        <f>IFERROR(INDEX(Table!I:O,MATCH(K1451,Table!I:I,0),6),"")</f>
        <v/>
      </c>
      <c r="Q1451" s="89" t="str">
        <f t="shared" si="66"/>
        <v/>
      </c>
      <c r="R1451" s="89" t="str">
        <f t="shared" si="67"/>
        <v/>
      </c>
      <c r="S1451" s="82"/>
      <c r="U1451" s="37" t="e">
        <f t="shared" si="68"/>
        <v>#VALUE!</v>
      </c>
    </row>
    <row r="1452" spans="1:21" x14ac:dyDescent="0.25">
      <c r="A1452" s="31" t="str">
        <f>IF(Table!A1452 = "","",Table!A1452)</f>
        <v/>
      </c>
      <c r="B1452" s="31" t="str">
        <f>IF(Table!B1452 = "","",Table!B1452)</f>
        <v/>
      </c>
      <c r="C1452" s="31" t="str">
        <f>IF(Table!C1452 = "","",Table!C1452)</f>
        <v/>
      </c>
      <c r="D1452" s="32" t="str">
        <f>IF(Table!D1452 = "","",Table!D1452)</f>
        <v/>
      </c>
      <c r="E1452" s="32" t="str">
        <f>IF(Table!E1452 = "","",Table!E1452)</f>
        <v/>
      </c>
      <c r="F1452" s="32" t="str">
        <f>IF(Table!F1452 = "","",Table!F1452)</f>
        <v/>
      </c>
      <c r="G1452" s="91"/>
      <c r="K1452" s="31" t="str">
        <f>IFERROR(VLOOKUP(A1452,Table!$I$4:$O$3000,1,TRUE),"")</f>
        <v/>
      </c>
      <c r="L1452" s="31" t="str">
        <f>IFERROR(INDEX(Table!I:O,MATCH(K1452,Table!I:I,0),2),"")</f>
        <v/>
      </c>
      <c r="M1452" s="31" t="str">
        <f>IFERROR(INDEX(Table!I:O,MATCH(K1452,Table!I:I,0),3),"")</f>
        <v/>
      </c>
      <c r="N1452" s="32" t="str">
        <f>IFERROR(INDEX(Table!I:O,MATCH(K1452,Table!I:I,0),4),"")</f>
        <v/>
      </c>
      <c r="O1452" s="32" t="str">
        <f>IFERROR(INDEX(Table!I:O,MATCH(K1452,Table!I:I,0),5),"")</f>
        <v/>
      </c>
      <c r="P1452" s="32" t="str">
        <f>IFERROR(INDEX(Table!I:O,MATCH(K1452,Table!I:I,0),6),"")</f>
        <v/>
      </c>
      <c r="Q1452" s="89" t="str">
        <f t="shared" si="66"/>
        <v/>
      </c>
      <c r="R1452" s="89" t="str">
        <f t="shared" si="67"/>
        <v/>
      </c>
      <c r="S1452" s="82"/>
      <c r="U1452" s="37" t="e">
        <f t="shared" si="68"/>
        <v>#VALUE!</v>
      </c>
    </row>
    <row r="1453" spans="1:21" x14ac:dyDescent="0.25">
      <c r="A1453" s="31" t="str">
        <f>IF(Table!A1453 = "","",Table!A1453)</f>
        <v/>
      </c>
      <c r="B1453" s="31" t="str">
        <f>IF(Table!B1453 = "","",Table!B1453)</f>
        <v/>
      </c>
      <c r="C1453" s="31" t="str">
        <f>IF(Table!C1453 = "","",Table!C1453)</f>
        <v/>
      </c>
      <c r="D1453" s="32" t="str">
        <f>IF(Table!D1453 = "","",Table!D1453)</f>
        <v/>
      </c>
      <c r="E1453" s="32" t="str">
        <f>IF(Table!E1453 = "","",Table!E1453)</f>
        <v/>
      </c>
      <c r="F1453" s="32" t="str">
        <f>IF(Table!F1453 = "","",Table!F1453)</f>
        <v/>
      </c>
      <c r="G1453" s="91"/>
      <c r="K1453" s="31" t="str">
        <f>IFERROR(VLOOKUP(A1453,Table!$I$4:$O$3000,1,TRUE),"")</f>
        <v/>
      </c>
      <c r="L1453" s="31" t="str">
        <f>IFERROR(INDEX(Table!I:O,MATCH(K1453,Table!I:I,0),2),"")</f>
        <v/>
      </c>
      <c r="M1453" s="31" t="str">
        <f>IFERROR(INDEX(Table!I:O,MATCH(K1453,Table!I:I,0),3),"")</f>
        <v/>
      </c>
      <c r="N1453" s="32" t="str">
        <f>IFERROR(INDEX(Table!I:O,MATCH(K1453,Table!I:I,0),4),"")</f>
        <v/>
      </c>
      <c r="O1453" s="32" t="str">
        <f>IFERROR(INDEX(Table!I:O,MATCH(K1453,Table!I:I,0),5),"")</f>
        <v/>
      </c>
      <c r="P1453" s="32" t="str">
        <f>IFERROR(INDEX(Table!I:O,MATCH(K1453,Table!I:I,0),6),"")</f>
        <v/>
      </c>
      <c r="Q1453" s="89" t="str">
        <f t="shared" si="66"/>
        <v/>
      </c>
      <c r="R1453" s="89" t="str">
        <f t="shared" si="67"/>
        <v/>
      </c>
      <c r="S1453" s="82"/>
      <c r="U1453" s="37" t="e">
        <f t="shared" si="68"/>
        <v>#VALUE!</v>
      </c>
    </row>
    <row r="1454" spans="1:21" x14ac:dyDescent="0.25">
      <c r="A1454" s="31" t="str">
        <f>IF(Table!A1454 = "","",Table!A1454)</f>
        <v/>
      </c>
      <c r="B1454" s="31" t="str">
        <f>IF(Table!B1454 = "","",Table!B1454)</f>
        <v/>
      </c>
      <c r="C1454" s="31" t="str">
        <f>IF(Table!C1454 = "","",Table!C1454)</f>
        <v/>
      </c>
      <c r="D1454" s="32" t="str">
        <f>IF(Table!D1454 = "","",Table!D1454)</f>
        <v/>
      </c>
      <c r="E1454" s="32" t="str">
        <f>IF(Table!E1454 = "","",Table!E1454)</f>
        <v/>
      </c>
      <c r="F1454" s="32" t="str">
        <f>IF(Table!F1454 = "","",Table!F1454)</f>
        <v/>
      </c>
      <c r="G1454" s="91"/>
      <c r="K1454" s="31" t="str">
        <f>IFERROR(VLOOKUP(A1454,Table!$I$4:$O$3000,1,TRUE),"")</f>
        <v/>
      </c>
      <c r="L1454" s="31" t="str">
        <f>IFERROR(INDEX(Table!I:O,MATCH(K1454,Table!I:I,0),2),"")</f>
        <v/>
      </c>
      <c r="M1454" s="31" t="str">
        <f>IFERROR(INDEX(Table!I:O,MATCH(K1454,Table!I:I,0),3),"")</f>
        <v/>
      </c>
      <c r="N1454" s="32" t="str">
        <f>IFERROR(INDEX(Table!I:O,MATCH(K1454,Table!I:I,0),4),"")</f>
        <v/>
      </c>
      <c r="O1454" s="32" t="str">
        <f>IFERROR(INDEX(Table!I:O,MATCH(K1454,Table!I:I,0),5),"")</f>
        <v/>
      </c>
      <c r="P1454" s="32" t="str">
        <f>IFERROR(INDEX(Table!I:O,MATCH(K1454,Table!I:I,0),6),"")</f>
        <v/>
      </c>
      <c r="Q1454" s="89" t="str">
        <f t="shared" si="66"/>
        <v/>
      </c>
      <c r="R1454" s="89" t="str">
        <f t="shared" si="67"/>
        <v/>
      </c>
      <c r="S1454" s="82"/>
      <c r="U1454" s="37" t="e">
        <f t="shared" si="68"/>
        <v>#VALUE!</v>
      </c>
    </row>
    <row r="1455" spans="1:21" x14ac:dyDescent="0.25">
      <c r="A1455" s="31" t="str">
        <f>IF(Table!A1455 = "","",Table!A1455)</f>
        <v/>
      </c>
      <c r="B1455" s="31" t="str">
        <f>IF(Table!B1455 = "","",Table!B1455)</f>
        <v/>
      </c>
      <c r="C1455" s="31" t="str">
        <f>IF(Table!C1455 = "","",Table!C1455)</f>
        <v/>
      </c>
      <c r="D1455" s="32" t="str">
        <f>IF(Table!D1455 = "","",Table!D1455)</f>
        <v/>
      </c>
      <c r="E1455" s="32" t="str">
        <f>IF(Table!E1455 = "","",Table!E1455)</f>
        <v/>
      </c>
      <c r="F1455" s="32" t="str">
        <f>IF(Table!F1455 = "","",Table!F1455)</f>
        <v/>
      </c>
      <c r="G1455" s="91"/>
      <c r="K1455" s="31" t="str">
        <f>IFERROR(VLOOKUP(A1455,Table!$I$4:$O$3000,1,TRUE),"")</f>
        <v/>
      </c>
      <c r="L1455" s="31" t="str">
        <f>IFERROR(INDEX(Table!I:O,MATCH(K1455,Table!I:I,0),2),"")</f>
        <v/>
      </c>
      <c r="M1455" s="31" t="str">
        <f>IFERROR(INDEX(Table!I:O,MATCH(K1455,Table!I:I,0),3),"")</f>
        <v/>
      </c>
      <c r="N1455" s="32" t="str">
        <f>IFERROR(INDEX(Table!I:O,MATCH(K1455,Table!I:I,0),4),"")</f>
        <v/>
      </c>
      <c r="O1455" s="32" t="str">
        <f>IFERROR(INDEX(Table!I:O,MATCH(K1455,Table!I:I,0),5),"")</f>
        <v/>
      </c>
      <c r="P1455" s="32" t="str">
        <f>IFERROR(INDEX(Table!I:O,MATCH(K1455,Table!I:I,0),6),"")</f>
        <v/>
      </c>
      <c r="Q1455" s="89" t="str">
        <f t="shared" si="66"/>
        <v/>
      </c>
      <c r="R1455" s="89" t="str">
        <f t="shared" si="67"/>
        <v/>
      </c>
      <c r="S1455" s="82"/>
      <c r="U1455" s="37" t="e">
        <f t="shared" si="68"/>
        <v>#VALUE!</v>
      </c>
    </row>
    <row r="1456" spans="1:21" x14ac:dyDescent="0.25">
      <c r="A1456" s="31" t="str">
        <f>IF(Table!A1456 = "","",Table!A1456)</f>
        <v/>
      </c>
      <c r="B1456" s="31" t="str">
        <f>IF(Table!B1456 = "","",Table!B1456)</f>
        <v/>
      </c>
      <c r="C1456" s="31" t="str">
        <f>IF(Table!C1456 = "","",Table!C1456)</f>
        <v/>
      </c>
      <c r="D1456" s="32" t="str">
        <f>IF(Table!D1456 = "","",Table!D1456)</f>
        <v/>
      </c>
      <c r="E1456" s="32" t="str">
        <f>IF(Table!E1456 = "","",Table!E1456)</f>
        <v/>
      </c>
      <c r="F1456" s="32" t="str">
        <f>IF(Table!F1456 = "","",Table!F1456)</f>
        <v/>
      </c>
      <c r="G1456" s="91"/>
      <c r="K1456" s="31" t="str">
        <f>IFERROR(VLOOKUP(A1456,Table!$I$4:$O$3000,1,TRUE),"")</f>
        <v/>
      </c>
      <c r="L1456" s="31" t="str">
        <f>IFERROR(INDEX(Table!I:O,MATCH(K1456,Table!I:I,0),2),"")</f>
        <v/>
      </c>
      <c r="M1456" s="31" t="str">
        <f>IFERROR(INDEX(Table!I:O,MATCH(K1456,Table!I:I,0),3),"")</f>
        <v/>
      </c>
      <c r="N1456" s="32" t="str">
        <f>IFERROR(INDEX(Table!I:O,MATCH(K1456,Table!I:I,0),4),"")</f>
        <v/>
      </c>
      <c r="O1456" s="32" t="str">
        <f>IFERROR(INDEX(Table!I:O,MATCH(K1456,Table!I:I,0),5),"")</f>
        <v/>
      </c>
      <c r="P1456" s="32" t="str">
        <f>IFERROR(INDEX(Table!I:O,MATCH(K1456,Table!I:I,0),6),"")</f>
        <v/>
      </c>
      <c r="Q1456" s="89" t="str">
        <f t="shared" si="66"/>
        <v/>
      </c>
      <c r="R1456" s="89" t="str">
        <f t="shared" si="67"/>
        <v/>
      </c>
      <c r="S1456" s="82"/>
      <c r="U1456" s="37" t="e">
        <f t="shared" si="68"/>
        <v>#VALUE!</v>
      </c>
    </row>
    <row r="1457" spans="1:21" x14ac:dyDescent="0.25">
      <c r="A1457" s="31" t="str">
        <f>IF(Table!A1457 = "","",Table!A1457)</f>
        <v/>
      </c>
      <c r="B1457" s="31" t="str">
        <f>IF(Table!B1457 = "","",Table!B1457)</f>
        <v/>
      </c>
      <c r="C1457" s="31" t="str">
        <f>IF(Table!C1457 = "","",Table!C1457)</f>
        <v/>
      </c>
      <c r="D1457" s="32" t="str">
        <f>IF(Table!D1457 = "","",Table!D1457)</f>
        <v/>
      </c>
      <c r="E1457" s="32" t="str">
        <f>IF(Table!E1457 = "","",Table!E1457)</f>
        <v/>
      </c>
      <c r="F1457" s="32" t="str">
        <f>IF(Table!F1457 = "","",Table!F1457)</f>
        <v/>
      </c>
      <c r="G1457" s="91"/>
      <c r="K1457" s="31" t="str">
        <f>IFERROR(VLOOKUP(A1457,Table!$I$4:$O$3000,1,TRUE),"")</f>
        <v/>
      </c>
      <c r="L1457" s="31" t="str">
        <f>IFERROR(INDEX(Table!I:O,MATCH(K1457,Table!I:I,0),2),"")</f>
        <v/>
      </c>
      <c r="M1457" s="31" t="str">
        <f>IFERROR(INDEX(Table!I:O,MATCH(K1457,Table!I:I,0),3),"")</f>
        <v/>
      </c>
      <c r="N1457" s="32" t="str">
        <f>IFERROR(INDEX(Table!I:O,MATCH(K1457,Table!I:I,0),4),"")</f>
        <v/>
      </c>
      <c r="O1457" s="32" t="str">
        <f>IFERROR(INDEX(Table!I:O,MATCH(K1457,Table!I:I,0),5),"")</f>
        <v/>
      </c>
      <c r="P1457" s="32" t="str">
        <f>IFERROR(INDEX(Table!I:O,MATCH(K1457,Table!I:I,0),6),"")</f>
        <v/>
      </c>
      <c r="Q1457" s="89" t="str">
        <f t="shared" si="66"/>
        <v/>
      </c>
      <c r="R1457" s="89" t="str">
        <f t="shared" si="67"/>
        <v/>
      </c>
      <c r="S1457" s="82"/>
      <c r="U1457" s="37" t="e">
        <f t="shared" si="68"/>
        <v>#VALUE!</v>
      </c>
    </row>
    <row r="1458" spans="1:21" x14ac:dyDescent="0.25">
      <c r="A1458" s="31" t="str">
        <f>IF(Table!A1458 = "","",Table!A1458)</f>
        <v/>
      </c>
      <c r="B1458" s="31" t="str">
        <f>IF(Table!B1458 = "","",Table!B1458)</f>
        <v/>
      </c>
      <c r="C1458" s="31" t="str">
        <f>IF(Table!C1458 = "","",Table!C1458)</f>
        <v/>
      </c>
      <c r="D1458" s="32" t="str">
        <f>IF(Table!D1458 = "","",Table!D1458)</f>
        <v/>
      </c>
      <c r="E1458" s="32" t="str">
        <f>IF(Table!E1458 = "","",Table!E1458)</f>
        <v/>
      </c>
      <c r="F1458" s="32" t="str">
        <f>IF(Table!F1458 = "","",Table!F1458)</f>
        <v/>
      </c>
      <c r="G1458" s="91"/>
      <c r="K1458" s="31" t="str">
        <f>IFERROR(VLOOKUP(A1458,Table!$I$4:$O$3000,1,TRUE),"")</f>
        <v/>
      </c>
      <c r="L1458" s="31" t="str">
        <f>IFERROR(INDEX(Table!I:O,MATCH(K1458,Table!I:I,0),2),"")</f>
        <v/>
      </c>
      <c r="M1458" s="31" t="str">
        <f>IFERROR(INDEX(Table!I:O,MATCH(K1458,Table!I:I,0),3),"")</f>
        <v/>
      </c>
      <c r="N1458" s="32" t="str">
        <f>IFERROR(INDEX(Table!I:O,MATCH(K1458,Table!I:I,0),4),"")</f>
        <v/>
      </c>
      <c r="O1458" s="32" t="str">
        <f>IFERROR(INDEX(Table!I:O,MATCH(K1458,Table!I:I,0),5),"")</f>
        <v/>
      </c>
      <c r="P1458" s="32" t="str">
        <f>IFERROR(INDEX(Table!I:O,MATCH(K1458,Table!I:I,0),6),"")</f>
        <v/>
      </c>
      <c r="Q1458" s="89" t="str">
        <f t="shared" si="66"/>
        <v/>
      </c>
      <c r="R1458" s="89" t="str">
        <f t="shared" si="67"/>
        <v/>
      </c>
      <c r="S1458" s="82"/>
      <c r="U1458" s="37" t="e">
        <f t="shared" si="68"/>
        <v>#VALUE!</v>
      </c>
    </row>
    <row r="1459" spans="1:21" x14ac:dyDescent="0.25">
      <c r="A1459" s="31" t="str">
        <f>IF(Table!A1459 = "","",Table!A1459)</f>
        <v/>
      </c>
      <c r="B1459" s="31" t="str">
        <f>IF(Table!B1459 = "","",Table!B1459)</f>
        <v/>
      </c>
      <c r="C1459" s="31" t="str">
        <f>IF(Table!C1459 = "","",Table!C1459)</f>
        <v/>
      </c>
      <c r="D1459" s="32" t="str">
        <f>IF(Table!D1459 = "","",Table!D1459)</f>
        <v/>
      </c>
      <c r="E1459" s="32" t="str">
        <f>IF(Table!E1459 = "","",Table!E1459)</f>
        <v/>
      </c>
      <c r="F1459" s="32" t="str">
        <f>IF(Table!F1459 = "","",Table!F1459)</f>
        <v/>
      </c>
      <c r="G1459" s="91"/>
      <c r="K1459" s="31" t="str">
        <f>IFERROR(VLOOKUP(A1459,Table!$I$4:$O$3000,1,TRUE),"")</f>
        <v/>
      </c>
      <c r="L1459" s="31" t="str">
        <f>IFERROR(INDEX(Table!I:O,MATCH(K1459,Table!I:I,0),2),"")</f>
        <v/>
      </c>
      <c r="M1459" s="31" t="str">
        <f>IFERROR(INDEX(Table!I:O,MATCH(K1459,Table!I:I,0),3),"")</f>
        <v/>
      </c>
      <c r="N1459" s="32" t="str">
        <f>IFERROR(INDEX(Table!I:O,MATCH(K1459,Table!I:I,0),4),"")</f>
        <v/>
      </c>
      <c r="O1459" s="32" t="str">
        <f>IFERROR(INDEX(Table!I:O,MATCH(K1459,Table!I:I,0),5),"")</f>
        <v/>
      </c>
      <c r="P1459" s="32" t="str">
        <f>IFERROR(INDEX(Table!I:O,MATCH(K1459,Table!I:I,0),6),"")</f>
        <v/>
      </c>
      <c r="Q1459" s="89" t="str">
        <f t="shared" si="66"/>
        <v/>
      </c>
      <c r="R1459" s="89" t="str">
        <f t="shared" si="67"/>
        <v/>
      </c>
      <c r="S1459" s="82"/>
      <c r="U1459" s="37" t="e">
        <f t="shared" si="68"/>
        <v>#VALUE!</v>
      </c>
    </row>
    <row r="1460" spans="1:21" x14ac:dyDescent="0.25">
      <c r="A1460" s="31" t="str">
        <f>IF(Table!A1460 = "","",Table!A1460)</f>
        <v/>
      </c>
      <c r="B1460" s="31" t="str">
        <f>IF(Table!B1460 = "","",Table!B1460)</f>
        <v/>
      </c>
      <c r="C1460" s="31" t="str">
        <f>IF(Table!C1460 = "","",Table!C1460)</f>
        <v/>
      </c>
      <c r="D1460" s="32" t="str">
        <f>IF(Table!D1460 = "","",Table!D1460)</f>
        <v/>
      </c>
      <c r="E1460" s="32" t="str">
        <f>IF(Table!E1460 = "","",Table!E1460)</f>
        <v/>
      </c>
      <c r="F1460" s="32" t="str">
        <f>IF(Table!F1460 = "","",Table!F1460)</f>
        <v/>
      </c>
      <c r="G1460" s="91"/>
      <c r="K1460" s="31" t="str">
        <f>IFERROR(VLOOKUP(A1460,Table!$I$4:$O$3000,1,TRUE),"")</f>
        <v/>
      </c>
      <c r="L1460" s="31" t="str">
        <f>IFERROR(INDEX(Table!I:O,MATCH(K1460,Table!I:I,0),2),"")</f>
        <v/>
      </c>
      <c r="M1460" s="31" t="str">
        <f>IFERROR(INDEX(Table!I:O,MATCH(K1460,Table!I:I,0),3),"")</f>
        <v/>
      </c>
      <c r="N1460" s="32" t="str">
        <f>IFERROR(INDEX(Table!I:O,MATCH(K1460,Table!I:I,0),4),"")</f>
        <v/>
      </c>
      <c r="O1460" s="32" t="str">
        <f>IFERROR(INDEX(Table!I:O,MATCH(K1460,Table!I:I,0),5),"")</f>
        <v/>
      </c>
      <c r="P1460" s="32" t="str">
        <f>IFERROR(INDEX(Table!I:O,MATCH(K1460,Table!I:I,0),6),"")</f>
        <v/>
      </c>
      <c r="Q1460" s="89" t="str">
        <f t="shared" si="66"/>
        <v/>
      </c>
      <c r="R1460" s="89" t="str">
        <f t="shared" si="67"/>
        <v/>
      </c>
      <c r="S1460" s="82"/>
      <c r="U1460" s="37" t="e">
        <f t="shared" si="68"/>
        <v>#VALUE!</v>
      </c>
    </row>
    <row r="1461" spans="1:21" x14ac:dyDescent="0.25">
      <c r="A1461" s="31" t="str">
        <f>IF(Table!A1461 = "","",Table!A1461)</f>
        <v/>
      </c>
      <c r="B1461" s="31" t="str">
        <f>IF(Table!B1461 = "","",Table!B1461)</f>
        <v/>
      </c>
      <c r="C1461" s="31" t="str">
        <f>IF(Table!C1461 = "","",Table!C1461)</f>
        <v/>
      </c>
      <c r="D1461" s="32" t="str">
        <f>IF(Table!D1461 = "","",Table!D1461)</f>
        <v/>
      </c>
      <c r="E1461" s="32" t="str">
        <f>IF(Table!E1461 = "","",Table!E1461)</f>
        <v/>
      </c>
      <c r="F1461" s="32" t="str">
        <f>IF(Table!F1461 = "","",Table!F1461)</f>
        <v/>
      </c>
      <c r="G1461" s="91"/>
      <c r="K1461" s="31" t="str">
        <f>IFERROR(VLOOKUP(A1461,Table!$I$4:$O$3000,1,TRUE),"")</f>
        <v/>
      </c>
      <c r="L1461" s="31" t="str">
        <f>IFERROR(INDEX(Table!I:O,MATCH(K1461,Table!I:I,0),2),"")</f>
        <v/>
      </c>
      <c r="M1461" s="31" t="str">
        <f>IFERROR(INDEX(Table!I:O,MATCH(K1461,Table!I:I,0),3),"")</f>
        <v/>
      </c>
      <c r="N1461" s="32" t="str">
        <f>IFERROR(INDEX(Table!I:O,MATCH(K1461,Table!I:I,0),4),"")</f>
        <v/>
      </c>
      <c r="O1461" s="32" t="str">
        <f>IFERROR(INDEX(Table!I:O,MATCH(K1461,Table!I:I,0),5),"")</f>
        <v/>
      </c>
      <c r="P1461" s="32" t="str">
        <f>IFERROR(INDEX(Table!I:O,MATCH(K1461,Table!I:I,0),6),"")</f>
        <v/>
      </c>
      <c r="Q1461" s="89" t="str">
        <f t="shared" si="66"/>
        <v/>
      </c>
      <c r="R1461" s="89" t="str">
        <f t="shared" si="67"/>
        <v/>
      </c>
      <c r="S1461" s="82"/>
      <c r="U1461" s="37" t="e">
        <f t="shared" si="68"/>
        <v>#VALUE!</v>
      </c>
    </row>
    <row r="1462" spans="1:21" x14ac:dyDescent="0.25">
      <c r="A1462" s="31" t="str">
        <f>IF(Table!A1462 = "","",Table!A1462)</f>
        <v/>
      </c>
      <c r="B1462" s="31" t="str">
        <f>IF(Table!B1462 = "","",Table!B1462)</f>
        <v/>
      </c>
      <c r="C1462" s="31" t="str">
        <f>IF(Table!C1462 = "","",Table!C1462)</f>
        <v/>
      </c>
      <c r="D1462" s="32" t="str">
        <f>IF(Table!D1462 = "","",Table!D1462)</f>
        <v/>
      </c>
      <c r="E1462" s="32" t="str">
        <f>IF(Table!E1462 = "","",Table!E1462)</f>
        <v/>
      </c>
      <c r="F1462" s="32" t="str">
        <f>IF(Table!F1462 = "","",Table!F1462)</f>
        <v/>
      </c>
      <c r="G1462" s="91"/>
      <c r="K1462" s="31" t="str">
        <f>IFERROR(VLOOKUP(A1462,Table!$I$4:$O$3000,1,TRUE),"")</f>
        <v/>
      </c>
      <c r="L1462" s="31" t="str">
        <f>IFERROR(INDEX(Table!I:O,MATCH(K1462,Table!I:I,0),2),"")</f>
        <v/>
      </c>
      <c r="M1462" s="31" t="str">
        <f>IFERROR(INDEX(Table!I:O,MATCH(K1462,Table!I:I,0),3),"")</f>
        <v/>
      </c>
      <c r="N1462" s="32" t="str">
        <f>IFERROR(INDEX(Table!I:O,MATCH(K1462,Table!I:I,0),4),"")</f>
        <v/>
      </c>
      <c r="O1462" s="32" t="str">
        <f>IFERROR(INDEX(Table!I:O,MATCH(K1462,Table!I:I,0),5),"")</f>
        <v/>
      </c>
      <c r="P1462" s="32" t="str">
        <f>IFERROR(INDEX(Table!I:O,MATCH(K1462,Table!I:I,0),6),"")</f>
        <v/>
      </c>
      <c r="Q1462" s="89" t="str">
        <f t="shared" si="66"/>
        <v/>
      </c>
      <c r="R1462" s="89" t="str">
        <f t="shared" si="67"/>
        <v/>
      </c>
      <c r="S1462" s="82"/>
      <c r="U1462" s="37" t="e">
        <f t="shared" si="68"/>
        <v>#VALUE!</v>
      </c>
    </row>
    <row r="1463" spans="1:21" x14ac:dyDescent="0.25">
      <c r="A1463" s="31" t="str">
        <f>IF(Table!A1463 = "","",Table!A1463)</f>
        <v/>
      </c>
      <c r="B1463" s="31" t="str">
        <f>IF(Table!B1463 = "","",Table!B1463)</f>
        <v/>
      </c>
      <c r="C1463" s="31" t="str">
        <f>IF(Table!C1463 = "","",Table!C1463)</f>
        <v/>
      </c>
      <c r="D1463" s="32" t="str">
        <f>IF(Table!D1463 = "","",Table!D1463)</f>
        <v/>
      </c>
      <c r="E1463" s="32" t="str">
        <f>IF(Table!E1463 = "","",Table!E1463)</f>
        <v/>
      </c>
      <c r="F1463" s="32" t="str">
        <f>IF(Table!F1463 = "","",Table!F1463)</f>
        <v/>
      </c>
      <c r="G1463" s="91"/>
      <c r="K1463" s="31" t="str">
        <f>IFERROR(VLOOKUP(A1463,Table!$I$4:$O$3000,1,TRUE),"")</f>
        <v/>
      </c>
      <c r="L1463" s="31" t="str">
        <f>IFERROR(INDEX(Table!I:O,MATCH(K1463,Table!I:I,0),2),"")</f>
        <v/>
      </c>
      <c r="M1463" s="31" t="str">
        <f>IFERROR(INDEX(Table!I:O,MATCH(K1463,Table!I:I,0),3),"")</f>
        <v/>
      </c>
      <c r="N1463" s="32" t="str">
        <f>IFERROR(INDEX(Table!I:O,MATCH(K1463,Table!I:I,0),4),"")</f>
        <v/>
      </c>
      <c r="O1463" s="32" t="str">
        <f>IFERROR(INDEX(Table!I:O,MATCH(K1463,Table!I:I,0),5),"")</f>
        <v/>
      </c>
      <c r="P1463" s="32" t="str">
        <f>IFERROR(INDEX(Table!I:O,MATCH(K1463,Table!I:I,0),6),"")</f>
        <v/>
      </c>
      <c r="Q1463" s="89" t="str">
        <f t="shared" si="66"/>
        <v/>
      </c>
      <c r="R1463" s="89" t="str">
        <f t="shared" si="67"/>
        <v/>
      </c>
      <c r="S1463" s="82"/>
      <c r="U1463" s="37" t="e">
        <f t="shared" si="68"/>
        <v>#VALUE!</v>
      </c>
    </row>
    <row r="1464" spans="1:21" x14ac:dyDescent="0.25">
      <c r="A1464" s="31" t="str">
        <f>IF(Table!A1464 = "","",Table!A1464)</f>
        <v/>
      </c>
      <c r="B1464" s="31" t="str">
        <f>IF(Table!B1464 = "","",Table!B1464)</f>
        <v/>
      </c>
      <c r="C1464" s="31" t="str">
        <f>IF(Table!C1464 = "","",Table!C1464)</f>
        <v/>
      </c>
      <c r="D1464" s="32" t="str">
        <f>IF(Table!D1464 = "","",Table!D1464)</f>
        <v/>
      </c>
      <c r="E1464" s="32" t="str">
        <f>IF(Table!E1464 = "","",Table!E1464)</f>
        <v/>
      </c>
      <c r="F1464" s="32" t="str">
        <f>IF(Table!F1464 = "","",Table!F1464)</f>
        <v/>
      </c>
      <c r="G1464" s="91"/>
      <c r="K1464" s="31" t="str">
        <f>IFERROR(VLOOKUP(A1464,Table!$I$4:$O$3000,1,TRUE),"")</f>
        <v/>
      </c>
      <c r="L1464" s="31" t="str">
        <f>IFERROR(INDEX(Table!I:O,MATCH(K1464,Table!I:I,0),2),"")</f>
        <v/>
      </c>
      <c r="M1464" s="31" t="str">
        <f>IFERROR(INDEX(Table!I:O,MATCH(K1464,Table!I:I,0),3),"")</f>
        <v/>
      </c>
      <c r="N1464" s="32" t="str">
        <f>IFERROR(INDEX(Table!I:O,MATCH(K1464,Table!I:I,0),4),"")</f>
        <v/>
      </c>
      <c r="O1464" s="32" t="str">
        <f>IFERROR(INDEX(Table!I:O,MATCH(K1464,Table!I:I,0),5),"")</f>
        <v/>
      </c>
      <c r="P1464" s="32" t="str">
        <f>IFERROR(INDEX(Table!I:O,MATCH(K1464,Table!I:I,0),6),"")</f>
        <v/>
      </c>
      <c r="Q1464" s="89" t="str">
        <f t="shared" si="66"/>
        <v/>
      </c>
      <c r="R1464" s="89" t="str">
        <f t="shared" si="67"/>
        <v/>
      </c>
      <c r="S1464" s="82"/>
      <c r="U1464" s="37" t="e">
        <f t="shared" si="68"/>
        <v>#VALUE!</v>
      </c>
    </row>
    <row r="1465" spans="1:21" x14ac:dyDescent="0.25">
      <c r="A1465" s="31" t="str">
        <f>IF(Table!A1465 = "","",Table!A1465)</f>
        <v/>
      </c>
      <c r="B1465" s="31" t="str">
        <f>IF(Table!B1465 = "","",Table!B1465)</f>
        <v/>
      </c>
      <c r="C1465" s="31" t="str">
        <f>IF(Table!C1465 = "","",Table!C1465)</f>
        <v/>
      </c>
      <c r="D1465" s="32" t="str">
        <f>IF(Table!D1465 = "","",Table!D1465)</f>
        <v/>
      </c>
      <c r="E1465" s="32" t="str">
        <f>IF(Table!E1465 = "","",Table!E1465)</f>
        <v/>
      </c>
      <c r="F1465" s="32" t="str">
        <f>IF(Table!F1465 = "","",Table!F1465)</f>
        <v/>
      </c>
      <c r="G1465" s="91"/>
      <c r="K1465" s="31" t="str">
        <f>IFERROR(VLOOKUP(A1465,Table!$I$4:$O$3000,1,TRUE),"")</f>
        <v/>
      </c>
      <c r="L1465" s="31" t="str">
        <f>IFERROR(INDEX(Table!I:O,MATCH(K1465,Table!I:I,0),2),"")</f>
        <v/>
      </c>
      <c r="M1465" s="31" t="str">
        <f>IFERROR(INDEX(Table!I:O,MATCH(K1465,Table!I:I,0),3),"")</f>
        <v/>
      </c>
      <c r="N1465" s="32" t="str">
        <f>IFERROR(INDEX(Table!I:O,MATCH(K1465,Table!I:I,0),4),"")</f>
        <v/>
      </c>
      <c r="O1465" s="32" t="str">
        <f>IFERROR(INDEX(Table!I:O,MATCH(K1465,Table!I:I,0),5),"")</f>
        <v/>
      </c>
      <c r="P1465" s="32" t="str">
        <f>IFERROR(INDEX(Table!I:O,MATCH(K1465,Table!I:I,0),6),"")</f>
        <v/>
      </c>
      <c r="Q1465" s="89" t="str">
        <f t="shared" si="66"/>
        <v/>
      </c>
      <c r="R1465" s="89" t="str">
        <f t="shared" si="67"/>
        <v/>
      </c>
      <c r="S1465" s="82"/>
      <c r="U1465" s="37" t="e">
        <f t="shared" si="68"/>
        <v>#VALUE!</v>
      </c>
    </row>
    <row r="1466" spans="1:21" x14ac:dyDescent="0.25">
      <c r="A1466" s="31" t="str">
        <f>IF(Table!A1466 = "","",Table!A1466)</f>
        <v/>
      </c>
      <c r="B1466" s="31" t="str">
        <f>IF(Table!B1466 = "","",Table!B1466)</f>
        <v/>
      </c>
      <c r="C1466" s="31" t="str">
        <f>IF(Table!C1466 = "","",Table!C1466)</f>
        <v/>
      </c>
      <c r="D1466" s="32" t="str">
        <f>IF(Table!D1466 = "","",Table!D1466)</f>
        <v/>
      </c>
      <c r="E1466" s="32" t="str">
        <f>IF(Table!E1466 = "","",Table!E1466)</f>
        <v/>
      </c>
      <c r="F1466" s="32" t="str">
        <f>IF(Table!F1466 = "","",Table!F1466)</f>
        <v/>
      </c>
      <c r="G1466" s="91"/>
      <c r="K1466" s="31" t="str">
        <f>IFERROR(VLOOKUP(A1466,Table!$I$4:$O$3000,1,TRUE),"")</f>
        <v/>
      </c>
      <c r="L1466" s="31" t="str">
        <f>IFERROR(INDEX(Table!I:O,MATCH(K1466,Table!I:I,0),2),"")</f>
        <v/>
      </c>
      <c r="M1466" s="31" t="str">
        <f>IFERROR(INDEX(Table!I:O,MATCH(K1466,Table!I:I,0),3),"")</f>
        <v/>
      </c>
      <c r="N1466" s="32" t="str">
        <f>IFERROR(INDEX(Table!I:O,MATCH(K1466,Table!I:I,0),4),"")</f>
        <v/>
      </c>
      <c r="O1466" s="32" t="str">
        <f>IFERROR(INDEX(Table!I:O,MATCH(K1466,Table!I:I,0),5),"")</f>
        <v/>
      </c>
      <c r="P1466" s="32" t="str">
        <f>IFERROR(INDEX(Table!I:O,MATCH(K1466,Table!I:I,0),6),"")</f>
        <v/>
      </c>
      <c r="Q1466" s="89" t="str">
        <f t="shared" si="66"/>
        <v/>
      </c>
      <c r="R1466" s="89" t="str">
        <f t="shared" si="67"/>
        <v/>
      </c>
      <c r="S1466" s="82"/>
      <c r="U1466" s="37" t="e">
        <f t="shared" si="68"/>
        <v>#VALUE!</v>
      </c>
    </row>
    <row r="1467" spans="1:21" x14ac:dyDescent="0.25">
      <c r="A1467" s="31" t="str">
        <f>IF(Table!A1467 = "","",Table!A1467)</f>
        <v/>
      </c>
      <c r="B1467" s="31" t="str">
        <f>IF(Table!B1467 = "","",Table!B1467)</f>
        <v/>
      </c>
      <c r="C1467" s="31" t="str">
        <f>IF(Table!C1467 = "","",Table!C1467)</f>
        <v/>
      </c>
      <c r="D1467" s="32" t="str">
        <f>IF(Table!D1467 = "","",Table!D1467)</f>
        <v/>
      </c>
      <c r="E1467" s="32" t="str">
        <f>IF(Table!E1467 = "","",Table!E1467)</f>
        <v/>
      </c>
      <c r="F1467" s="32" t="str">
        <f>IF(Table!F1467 = "","",Table!F1467)</f>
        <v/>
      </c>
      <c r="G1467" s="91"/>
      <c r="K1467" s="31" t="str">
        <f>IFERROR(VLOOKUP(A1467,Table!$I$4:$O$3000,1,TRUE),"")</f>
        <v/>
      </c>
      <c r="L1467" s="31" t="str">
        <f>IFERROR(INDEX(Table!I:O,MATCH(K1467,Table!I:I,0),2),"")</f>
        <v/>
      </c>
      <c r="M1467" s="31" t="str">
        <f>IFERROR(INDEX(Table!I:O,MATCH(K1467,Table!I:I,0),3),"")</f>
        <v/>
      </c>
      <c r="N1467" s="32" t="str">
        <f>IFERROR(INDEX(Table!I:O,MATCH(K1467,Table!I:I,0),4),"")</f>
        <v/>
      </c>
      <c r="O1467" s="32" t="str">
        <f>IFERROR(INDEX(Table!I:O,MATCH(K1467,Table!I:I,0),5),"")</f>
        <v/>
      </c>
      <c r="P1467" s="32" t="str">
        <f>IFERROR(INDEX(Table!I:O,MATCH(K1467,Table!I:I,0),6),"")</f>
        <v/>
      </c>
      <c r="Q1467" s="89" t="str">
        <f t="shared" si="66"/>
        <v/>
      </c>
      <c r="R1467" s="89" t="str">
        <f t="shared" si="67"/>
        <v/>
      </c>
      <c r="S1467" s="82"/>
      <c r="U1467" s="37" t="e">
        <f t="shared" si="68"/>
        <v>#VALUE!</v>
      </c>
    </row>
    <row r="1468" spans="1:21" x14ac:dyDescent="0.25">
      <c r="A1468" s="31" t="str">
        <f>IF(Table!A1468 = "","",Table!A1468)</f>
        <v/>
      </c>
      <c r="B1468" s="31" t="str">
        <f>IF(Table!B1468 = "","",Table!B1468)</f>
        <v/>
      </c>
      <c r="C1468" s="31" t="str">
        <f>IF(Table!C1468 = "","",Table!C1468)</f>
        <v/>
      </c>
      <c r="D1468" s="32" t="str">
        <f>IF(Table!D1468 = "","",Table!D1468)</f>
        <v/>
      </c>
      <c r="E1468" s="32" t="str">
        <f>IF(Table!E1468 = "","",Table!E1468)</f>
        <v/>
      </c>
      <c r="F1468" s="32" t="str">
        <f>IF(Table!F1468 = "","",Table!F1468)</f>
        <v/>
      </c>
      <c r="G1468" s="91"/>
      <c r="K1468" s="31" t="str">
        <f>IFERROR(VLOOKUP(A1468,Table!$I$4:$O$3000,1,TRUE),"")</f>
        <v/>
      </c>
      <c r="L1468" s="31" t="str">
        <f>IFERROR(INDEX(Table!I:O,MATCH(K1468,Table!I:I,0),2),"")</f>
        <v/>
      </c>
      <c r="M1468" s="31" t="str">
        <f>IFERROR(INDEX(Table!I:O,MATCH(K1468,Table!I:I,0),3),"")</f>
        <v/>
      </c>
      <c r="N1468" s="32" t="str">
        <f>IFERROR(INDEX(Table!I:O,MATCH(K1468,Table!I:I,0),4),"")</f>
        <v/>
      </c>
      <c r="O1468" s="32" t="str">
        <f>IFERROR(INDEX(Table!I:O,MATCH(K1468,Table!I:I,0),5),"")</f>
        <v/>
      </c>
      <c r="P1468" s="32" t="str">
        <f>IFERROR(INDEX(Table!I:O,MATCH(K1468,Table!I:I,0),6),"")</f>
        <v/>
      </c>
      <c r="Q1468" s="89" t="str">
        <f t="shared" si="66"/>
        <v/>
      </c>
      <c r="R1468" s="89" t="str">
        <f t="shared" si="67"/>
        <v/>
      </c>
      <c r="S1468" s="82"/>
      <c r="U1468" s="37" t="e">
        <f t="shared" si="68"/>
        <v>#VALUE!</v>
      </c>
    </row>
    <row r="1469" spans="1:21" x14ac:dyDescent="0.25">
      <c r="A1469" s="31" t="str">
        <f>IF(Table!A1469 = "","",Table!A1469)</f>
        <v/>
      </c>
      <c r="B1469" s="31" t="str">
        <f>IF(Table!B1469 = "","",Table!B1469)</f>
        <v/>
      </c>
      <c r="C1469" s="31" t="str">
        <f>IF(Table!C1469 = "","",Table!C1469)</f>
        <v/>
      </c>
      <c r="D1469" s="32" t="str">
        <f>IF(Table!D1469 = "","",Table!D1469)</f>
        <v/>
      </c>
      <c r="E1469" s="32" t="str">
        <f>IF(Table!E1469 = "","",Table!E1469)</f>
        <v/>
      </c>
      <c r="F1469" s="32" t="str">
        <f>IF(Table!F1469 = "","",Table!F1469)</f>
        <v/>
      </c>
      <c r="G1469" s="91"/>
      <c r="K1469" s="31" t="str">
        <f>IFERROR(VLOOKUP(A1469,Table!$I$4:$O$3000,1,TRUE),"")</f>
        <v/>
      </c>
      <c r="L1469" s="31" t="str">
        <f>IFERROR(INDEX(Table!I:O,MATCH(K1469,Table!I:I,0),2),"")</f>
        <v/>
      </c>
      <c r="M1469" s="31" t="str">
        <f>IFERROR(INDEX(Table!I:O,MATCH(K1469,Table!I:I,0),3),"")</f>
        <v/>
      </c>
      <c r="N1469" s="32" t="str">
        <f>IFERROR(INDEX(Table!I:O,MATCH(K1469,Table!I:I,0),4),"")</f>
        <v/>
      </c>
      <c r="O1469" s="32" t="str">
        <f>IFERROR(INDEX(Table!I:O,MATCH(K1469,Table!I:I,0),5),"")</f>
        <v/>
      </c>
      <c r="P1469" s="32" t="str">
        <f>IFERROR(INDEX(Table!I:O,MATCH(K1469,Table!I:I,0),6),"")</f>
        <v/>
      </c>
      <c r="Q1469" s="89" t="str">
        <f t="shared" si="66"/>
        <v/>
      </c>
      <c r="R1469" s="89" t="str">
        <f t="shared" si="67"/>
        <v/>
      </c>
      <c r="S1469" s="82"/>
      <c r="U1469" s="37" t="e">
        <f t="shared" si="68"/>
        <v>#VALUE!</v>
      </c>
    </row>
    <row r="1470" spans="1:21" x14ac:dyDescent="0.25">
      <c r="A1470" s="31" t="str">
        <f>IF(Table!A1470 = "","",Table!A1470)</f>
        <v/>
      </c>
      <c r="B1470" s="31" t="str">
        <f>IF(Table!B1470 = "","",Table!B1470)</f>
        <v/>
      </c>
      <c r="C1470" s="31" t="str">
        <f>IF(Table!C1470 = "","",Table!C1470)</f>
        <v/>
      </c>
      <c r="D1470" s="32" t="str">
        <f>IF(Table!D1470 = "","",Table!D1470)</f>
        <v/>
      </c>
      <c r="E1470" s="32" t="str">
        <f>IF(Table!E1470 = "","",Table!E1470)</f>
        <v/>
      </c>
      <c r="F1470" s="32" t="str">
        <f>IF(Table!F1470 = "","",Table!F1470)</f>
        <v/>
      </c>
      <c r="G1470" s="91"/>
      <c r="K1470" s="31" t="str">
        <f>IFERROR(VLOOKUP(A1470,Table!$I$4:$O$3000,1,TRUE),"")</f>
        <v/>
      </c>
      <c r="L1470" s="31" t="str">
        <f>IFERROR(INDEX(Table!I:O,MATCH(K1470,Table!I:I,0),2),"")</f>
        <v/>
      </c>
      <c r="M1470" s="31" t="str">
        <f>IFERROR(INDEX(Table!I:O,MATCH(K1470,Table!I:I,0),3),"")</f>
        <v/>
      </c>
      <c r="N1470" s="32" t="str">
        <f>IFERROR(INDEX(Table!I:O,MATCH(K1470,Table!I:I,0),4),"")</f>
        <v/>
      </c>
      <c r="O1470" s="32" t="str">
        <f>IFERROR(INDEX(Table!I:O,MATCH(K1470,Table!I:I,0),5),"")</f>
        <v/>
      </c>
      <c r="P1470" s="32" t="str">
        <f>IFERROR(INDEX(Table!I:O,MATCH(K1470,Table!I:I,0),6),"")</f>
        <v/>
      </c>
      <c r="Q1470" s="89" t="str">
        <f t="shared" si="66"/>
        <v/>
      </c>
      <c r="R1470" s="89" t="str">
        <f t="shared" si="67"/>
        <v/>
      </c>
      <c r="S1470" s="82"/>
      <c r="U1470" s="37" t="e">
        <f t="shared" si="68"/>
        <v>#VALUE!</v>
      </c>
    </row>
    <row r="1471" spans="1:21" x14ac:dyDescent="0.25">
      <c r="A1471" s="31" t="str">
        <f>IF(Table!A1471 = "","",Table!A1471)</f>
        <v/>
      </c>
      <c r="B1471" s="31" t="str">
        <f>IF(Table!B1471 = "","",Table!B1471)</f>
        <v/>
      </c>
      <c r="C1471" s="31" t="str">
        <f>IF(Table!C1471 = "","",Table!C1471)</f>
        <v/>
      </c>
      <c r="D1471" s="32" t="str">
        <f>IF(Table!D1471 = "","",Table!D1471)</f>
        <v/>
      </c>
      <c r="E1471" s="32" t="str">
        <f>IF(Table!E1471 = "","",Table!E1471)</f>
        <v/>
      </c>
      <c r="F1471" s="32" t="str">
        <f>IF(Table!F1471 = "","",Table!F1471)</f>
        <v/>
      </c>
      <c r="G1471" s="91"/>
      <c r="K1471" s="31" t="str">
        <f>IFERROR(VLOOKUP(A1471,Table!$I$4:$O$3000,1,TRUE),"")</f>
        <v/>
      </c>
      <c r="L1471" s="31" t="str">
        <f>IFERROR(INDEX(Table!I:O,MATCH(K1471,Table!I:I,0),2),"")</f>
        <v/>
      </c>
      <c r="M1471" s="31" t="str">
        <f>IFERROR(INDEX(Table!I:O,MATCH(K1471,Table!I:I,0),3),"")</f>
        <v/>
      </c>
      <c r="N1471" s="32" t="str">
        <f>IFERROR(INDEX(Table!I:O,MATCH(K1471,Table!I:I,0),4),"")</f>
        <v/>
      </c>
      <c r="O1471" s="32" t="str">
        <f>IFERROR(INDEX(Table!I:O,MATCH(K1471,Table!I:I,0),5),"")</f>
        <v/>
      </c>
      <c r="P1471" s="32" t="str">
        <f>IFERROR(INDEX(Table!I:O,MATCH(K1471,Table!I:I,0),6),"")</f>
        <v/>
      </c>
      <c r="Q1471" s="89" t="str">
        <f t="shared" si="66"/>
        <v/>
      </c>
      <c r="R1471" s="89" t="str">
        <f t="shared" si="67"/>
        <v/>
      </c>
      <c r="S1471" s="82"/>
      <c r="U1471" s="37" t="e">
        <f t="shared" si="68"/>
        <v>#VALUE!</v>
      </c>
    </row>
    <row r="1472" spans="1:21" x14ac:dyDescent="0.25">
      <c r="A1472" s="31" t="str">
        <f>IF(Table!A1472 = "","",Table!A1472)</f>
        <v/>
      </c>
      <c r="B1472" s="31" t="str">
        <f>IF(Table!B1472 = "","",Table!B1472)</f>
        <v/>
      </c>
      <c r="C1472" s="31" t="str">
        <f>IF(Table!C1472 = "","",Table!C1472)</f>
        <v/>
      </c>
      <c r="D1472" s="32" t="str">
        <f>IF(Table!D1472 = "","",Table!D1472)</f>
        <v/>
      </c>
      <c r="E1472" s="32" t="str">
        <f>IF(Table!E1472 = "","",Table!E1472)</f>
        <v/>
      </c>
      <c r="F1472" s="32" t="str">
        <f>IF(Table!F1472 = "","",Table!F1472)</f>
        <v/>
      </c>
      <c r="G1472" s="91"/>
      <c r="K1472" s="31" t="str">
        <f>IFERROR(VLOOKUP(A1472,Table!$I$4:$O$3000,1,TRUE),"")</f>
        <v/>
      </c>
      <c r="L1472" s="31" t="str">
        <f>IFERROR(INDEX(Table!I:O,MATCH(K1472,Table!I:I,0),2),"")</f>
        <v/>
      </c>
      <c r="M1472" s="31" t="str">
        <f>IFERROR(INDEX(Table!I:O,MATCH(K1472,Table!I:I,0),3),"")</f>
        <v/>
      </c>
      <c r="N1472" s="32" t="str">
        <f>IFERROR(INDEX(Table!I:O,MATCH(K1472,Table!I:I,0),4),"")</f>
        <v/>
      </c>
      <c r="O1472" s="32" t="str">
        <f>IFERROR(INDEX(Table!I:O,MATCH(K1472,Table!I:I,0),5),"")</f>
        <v/>
      </c>
      <c r="P1472" s="32" t="str">
        <f>IFERROR(INDEX(Table!I:O,MATCH(K1472,Table!I:I,0),6),"")</f>
        <v/>
      </c>
      <c r="Q1472" s="89" t="str">
        <f t="shared" si="66"/>
        <v/>
      </c>
      <c r="R1472" s="89" t="str">
        <f t="shared" si="67"/>
        <v/>
      </c>
      <c r="S1472" s="82"/>
      <c r="U1472" s="37" t="e">
        <f t="shared" si="68"/>
        <v>#VALUE!</v>
      </c>
    </row>
    <row r="1473" spans="1:21" x14ac:dyDescent="0.25">
      <c r="A1473" s="31" t="str">
        <f>IF(Table!A1473 = "","",Table!A1473)</f>
        <v/>
      </c>
      <c r="B1473" s="31" t="str">
        <f>IF(Table!B1473 = "","",Table!B1473)</f>
        <v/>
      </c>
      <c r="C1473" s="31" t="str">
        <f>IF(Table!C1473 = "","",Table!C1473)</f>
        <v/>
      </c>
      <c r="D1473" s="32" t="str">
        <f>IF(Table!D1473 = "","",Table!D1473)</f>
        <v/>
      </c>
      <c r="E1473" s="32" t="str">
        <f>IF(Table!E1473 = "","",Table!E1473)</f>
        <v/>
      </c>
      <c r="F1473" s="32" t="str">
        <f>IF(Table!F1473 = "","",Table!F1473)</f>
        <v/>
      </c>
      <c r="G1473" s="91"/>
      <c r="K1473" s="31" t="str">
        <f>IFERROR(VLOOKUP(A1473,Table!$I$4:$O$3000,1,TRUE),"")</f>
        <v/>
      </c>
      <c r="L1473" s="31" t="str">
        <f>IFERROR(INDEX(Table!I:O,MATCH(K1473,Table!I:I,0),2),"")</f>
        <v/>
      </c>
      <c r="M1473" s="31" t="str">
        <f>IFERROR(INDEX(Table!I:O,MATCH(K1473,Table!I:I,0),3),"")</f>
        <v/>
      </c>
      <c r="N1473" s="32" t="str">
        <f>IFERROR(INDEX(Table!I:O,MATCH(K1473,Table!I:I,0),4),"")</f>
        <v/>
      </c>
      <c r="O1473" s="32" t="str">
        <f>IFERROR(INDEX(Table!I:O,MATCH(K1473,Table!I:I,0),5),"")</f>
        <v/>
      </c>
      <c r="P1473" s="32" t="str">
        <f>IFERROR(INDEX(Table!I:O,MATCH(K1473,Table!I:I,0),6),"")</f>
        <v/>
      </c>
      <c r="Q1473" s="89" t="str">
        <f t="shared" si="66"/>
        <v/>
      </c>
      <c r="R1473" s="89" t="str">
        <f t="shared" si="67"/>
        <v/>
      </c>
      <c r="S1473" s="82"/>
      <c r="U1473" s="37" t="e">
        <f t="shared" si="68"/>
        <v>#VALUE!</v>
      </c>
    </row>
    <row r="1474" spans="1:21" x14ac:dyDescent="0.25">
      <c r="A1474" s="31" t="str">
        <f>IF(Table!A1474 = "","",Table!A1474)</f>
        <v/>
      </c>
      <c r="B1474" s="31" t="str">
        <f>IF(Table!B1474 = "","",Table!B1474)</f>
        <v/>
      </c>
      <c r="C1474" s="31" t="str">
        <f>IF(Table!C1474 = "","",Table!C1474)</f>
        <v/>
      </c>
      <c r="D1474" s="32" t="str">
        <f>IF(Table!D1474 = "","",Table!D1474)</f>
        <v/>
      </c>
      <c r="E1474" s="32" t="str">
        <f>IF(Table!E1474 = "","",Table!E1474)</f>
        <v/>
      </c>
      <c r="F1474" s="32" t="str">
        <f>IF(Table!F1474 = "","",Table!F1474)</f>
        <v/>
      </c>
      <c r="G1474" s="91"/>
      <c r="K1474" s="31" t="str">
        <f>IFERROR(VLOOKUP(A1474,Table!$I$4:$O$3000,1,TRUE),"")</f>
        <v/>
      </c>
      <c r="L1474" s="31" t="str">
        <f>IFERROR(INDEX(Table!I:O,MATCH(K1474,Table!I:I,0),2),"")</f>
        <v/>
      </c>
      <c r="M1474" s="31" t="str">
        <f>IFERROR(INDEX(Table!I:O,MATCH(K1474,Table!I:I,0),3),"")</f>
        <v/>
      </c>
      <c r="N1474" s="32" t="str">
        <f>IFERROR(INDEX(Table!I:O,MATCH(K1474,Table!I:I,0),4),"")</f>
        <v/>
      </c>
      <c r="O1474" s="32" t="str">
        <f>IFERROR(INDEX(Table!I:O,MATCH(K1474,Table!I:I,0),5),"")</f>
        <v/>
      </c>
      <c r="P1474" s="32" t="str">
        <f>IFERROR(INDEX(Table!I:O,MATCH(K1474,Table!I:I,0),6),"")</f>
        <v/>
      </c>
      <c r="Q1474" s="89" t="str">
        <f t="shared" si="66"/>
        <v/>
      </c>
      <c r="R1474" s="89" t="str">
        <f t="shared" si="67"/>
        <v/>
      </c>
      <c r="S1474" s="82"/>
      <c r="U1474" s="37" t="e">
        <f t="shared" si="68"/>
        <v>#VALUE!</v>
      </c>
    </row>
    <row r="1475" spans="1:21" x14ac:dyDescent="0.25">
      <c r="A1475" s="31" t="str">
        <f>IF(Table!A1475 = "","",Table!A1475)</f>
        <v/>
      </c>
      <c r="B1475" s="31" t="str">
        <f>IF(Table!B1475 = "","",Table!B1475)</f>
        <v/>
      </c>
      <c r="C1475" s="31" t="str">
        <f>IF(Table!C1475 = "","",Table!C1475)</f>
        <v/>
      </c>
      <c r="D1475" s="32" t="str">
        <f>IF(Table!D1475 = "","",Table!D1475)</f>
        <v/>
      </c>
      <c r="E1475" s="32" t="str">
        <f>IF(Table!E1475 = "","",Table!E1475)</f>
        <v/>
      </c>
      <c r="F1475" s="32" t="str">
        <f>IF(Table!F1475 = "","",Table!F1475)</f>
        <v/>
      </c>
      <c r="G1475" s="91"/>
      <c r="K1475" s="31" t="str">
        <f>IFERROR(VLOOKUP(A1475,Table!$I$4:$O$3000,1,TRUE),"")</f>
        <v/>
      </c>
      <c r="L1475" s="31" t="str">
        <f>IFERROR(INDEX(Table!I:O,MATCH(K1475,Table!I:I,0),2),"")</f>
        <v/>
      </c>
      <c r="M1475" s="31" t="str">
        <f>IFERROR(INDEX(Table!I:O,MATCH(K1475,Table!I:I,0),3),"")</f>
        <v/>
      </c>
      <c r="N1475" s="32" t="str">
        <f>IFERROR(INDEX(Table!I:O,MATCH(K1475,Table!I:I,0),4),"")</f>
        <v/>
      </c>
      <c r="O1475" s="32" t="str">
        <f>IFERROR(INDEX(Table!I:O,MATCH(K1475,Table!I:I,0),5),"")</f>
        <v/>
      </c>
      <c r="P1475" s="32" t="str">
        <f>IFERROR(INDEX(Table!I:O,MATCH(K1475,Table!I:I,0),6),"")</f>
        <v/>
      </c>
      <c r="Q1475" s="89" t="str">
        <f t="shared" si="66"/>
        <v/>
      </c>
      <c r="R1475" s="89" t="str">
        <f t="shared" si="67"/>
        <v/>
      </c>
      <c r="S1475" s="82"/>
      <c r="U1475" s="37" t="e">
        <f t="shared" si="68"/>
        <v>#VALUE!</v>
      </c>
    </row>
    <row r="1476" spans="1:21" x14ac:dyDescent="0.25">
      <c r="A1476" s="31" t="str">
        <f>IF(Table!A1476 = "","",Table!A1476)</f>
        <v/>
      </c>
      <c r="B1476" s="31" t="str">
        <f>IF(Table!B1476 = "","",Table!B1476)</f>
        <v/>
      </c>
      <c r="C1476" s="31" t="str">
        <f>IF(Table!C1476 = "","",Table!C1476)</f>
        <v/>
      </c>
      <c r="D1476" s="32" t="str">
        <f>IF(Table!D1476 = "","",Table!D1476)</f>
        <v/>
      </c>
      <c r="E1476" s="32" t="str">
        <f>IF(Table!E1476 = "","",Table!E1476)</f>
        <v/>
      </c>
      <c r="F1476" s="32" t="str">
        <f>IF(Table!F1476 = "","",Table!F1476)</f>
        <v/>
      </c>
      <c r="G1476" s="91"/>
      <c r="K1476" s="31" t="str">
        <f>IFERROR(VLOOKUP(A1476,Table!$I$4:$O$3000,1,TRUE),"")</f>
        <v/>
      </c>
      <c r="L1476" s="31" t="str">
        <f>IFERROR(INDEX(Table!I:O,MATCH(K1476,Table!I:I,0),2),"")</f>
        <v/>
      </c>
      <c r="M1476" s="31" t="str">
        <f>IFERROR(INDEX(Table!I:O,MATCH(K1476,Table!I:I,0),3),"")</f>
        <v/>
      </c>
      <c r="N1476" s="32" t="str">
        <f>IFERROR(INDEX(Table!I:O,MATCH(K1476,Table!I:I,0),4),"")</f>
        <v/>
      </c>
      <c r="O1476" s="32" t="str">
        <f>IFERROR(INDEX(Table!I:O,MATCH(K1476,Table!I:I,0),5),"")</f>
        <v/>
      </c>
      <c r="P1476" s="32" t="str">
        <f>IFERROR(INDEX(Table!I:O,MATCH(K1476,Table!I:I,0),6),"")</f>
        <v/>
      </c>
      <c r="Q1476" s="89" t="str">
        <f t="shared" si="66"/>
        <v/>
      </c>
      <c r="R1476" s="89" t="str">
        <f t="shared" si="67"/>
        <v/>
      </c>
      <c r="S1476" s="82"/>
      <c r="U1476" s="37" t="e">
        <f t="shared" si="68"/>
        <v>#VALUE!</v>
      </c>
    </row>
    <row r="1477" spans="1:21" x14ac:dyDescent="0.25">
      <c r="A1477" s="31" t="str">
        <f>IF(Table!A1477 = "","",Table!A1477)</f>
        <v/>
      </c>
      <c r="B1477" s="31" t="str">
        <f>IF(Table!B1477 = "","",Table!B1477)</f>
        <v/>
      </c>
      <c r="C1477" s="31" t="str">
        <f>IF(Table!C1477 = "","",Table!C1477)</f>
        <v/>
      </c>
      <c r="D1477" s="32" t="str">
        <f>IF(Table!D1477 = "","",Table!D1477)</f>
        <v/>
      </c>
      <c r="E1477" s="32" t="str">
        <f>IF(Table!E1477 = "","",Table!E1477)</f>
        <v/>
      </c>
      <c r="F1477" s="32" t="str">
        <f>IF(Table!F1477 = "","",Table!F1477)</f>
        <v/>
      </c>
      <c r="G1477" s="91"/>
      <c r="K1477" s="31" t="str">
        <f>IFERROR(VLOOKUP(A1477,Table!$I$4:$O$3000,1,TRUE),"")</f>
        <v/>
      </c>
      <c r="L1477" s="31" t="str">
        <f>IFERROR(INDEX(Table!I:O,MATCH(K1477,Table!I:I,0),2),"")</f>
        <v/>
      </c>
      <c r="M1477" s="31" t="str">
        <f>IFERROR(INDEX(Table!I:O,MATCH(K1477,Table!I:I,0),3),"")</f>
        <v/>
      </c>
      <c r="N1477" s="32" t="str">
        <f>IFERROR(INDEX(Table!I:O,MATCH(K1477,Table!I:I,0),4),"")</f>
        <v/>
      </c>
      <c r="O1477" s="32" t="str">
        <f>IFERROR(INDEX(Table!I:O,MATCH(K1477,Table!I:I,0),5),"")</f>
        <v/>
      </c>
      <c r="P1477" s="32" t="str">
        <f>IFERROR(INDEX(Table!I:O,MATCH(K1477,Table!I:I,0),6),"")</f>
        <v/>
      </c>
      <c r="Q1477" s="89" t="str">
        <f t="shared" si="66"/>
        <v/>
      </c>
      <c r="R1477" s="89" t="str">
        <f t="shared" si="67"/>
        <v/>
      </c>
      <c r="S1477" s="82"/>
      <c r="U1477" s="37" t="e">
        <f t="shared" si="68"/>
        <v>#VALUE!</v>
      </c>
    </row>
    <row r="1478" spans="1:21" x14ac:dyDescent="0.25">
      <c r="A1478" s="31" t="str">
        <f>IF(Table!A1478 = "","",Table!A1478)</f>
        <v/>
      </c>
      <c r="B1478" s="31" t="str">
        <f>IF(Table!B1478 = "","",Table!B1478)</f>
        <v/>
      </c>
      <c r="C1478" s="31" t="str">
        <f>IF(Table!C1478 = "","",Table!C1478)</f>
        <v/>
      </c>
      <c r="D1478" s="32" t="str">
        <f>IF(Table!D1478 = "","",Table!D1478)</f>
        <v/>
      </c>
      <c r="E1478" s="32" t="str">
        <f>IF(Table!E1478 = "","",Table!E1478)</f>
        <v/>
      </c>
      <c r="F1478" s="32" t="str">
        <f>IF(Table!F1478 = "","",Table!F1478)</f>
        <v/>
      </c>
      <c r="G1478" s="91"/>
      <c r="K1478" s="31" t="str">
        <f>IFERROR(VLOOKUP(A1478,Table!$I$4:$O$3000,1,TRUE),"")</f>
        <v/>
      </c>
      <c r="L1478" s="31" t="str">
        <f>IFERROR(INDEX(Table!I:O,MATCH(K1478,Table!I:I,0),2),"")</f>
        <v/>
      </c>
      <c r="M1478" s="31" t="str">
        <f>IFERROR(INDEX(Table!I:O,MATCH(K1478,Table!I:I,0),3),"")</f>
        <v/>
      </c>
      <c r="N1478" s="32" t="str">
        <f>IFERROR(INDEX(Table!I:O,MATCH(K1478,Table!I:I,0),4),"")</f>
        <v/>
      </c>
      <c r="O1478" s="32" t="str">
        <f>IFERROR(INDEX(Table!I:O,MATCH(K1478,Table!I:I,0),5),"")</f>
        <v/>
      </c>
      <c r="P1478" s="32" t="str">
        <f>IFERROR(INDEX(Table!I:O,MATCH(K1478,Table!I:I,0),6),"")</f>
        <v/>
      </c>
      <c r="Q1478" s="89" t="str">
        <f t="shared" ref="Q1478:Q1541" si="69">IFERROR(L1478-B1478,"")</f>
        <v/>
      </c>
      <c r="R1478" s="89" t="str">
        <f t="shared" ref="R1478:R1541" si="70">IFERROR(M1478-C1478,"")</f>
        <v/>
      </c>
      <c r="S1478" s="82"/>
      <c r="U1478" s="37" t="e">
        <f t="shared" ref="U1478:U1541" si="71">K1478-K1477</f>
        <v>#VALUE!</v>
      </c>
    </row>
    <row r="1479" spans="1:21" x14ac:dyDescent="0.25">
      <c r="A1479" s="31" t="str">
        <f>IF(Table!A1479 = "","",Table!A1479)</f>
        <v/>
      </c>
      <c r="B1479" s="31" t="str">
        <f>IF(Table!B1479 = "","",Table!B1479)</f>
        <v/>
      </c>
      <c r="C1479" s="31" t="str">
        <f>IF(Table!C1479 = "","",Table!C1479)</f>
        <v/>
      </c>
      <c r="D1479" s="32" t="str">
        <f>IF(Table!D1479 = "","",Table!D1479)</f>
        <v/>
      </c>
      <c r="E1479" s="32" t="str">
        <f>IF(Table!E1479 = "","",Table!E1479)</f>
        <v/>
      </c>
      <c r="F1479" s="32" t="str">
        <f>IF(Table!F1479 = "","",Table!F1479)</f>
        <v/>
      </c>
      <c r="G1479" s="91"/>
      <c r="K1479" s="31" t="str">
        <f>IFERROR(VLOOKUP(A1479,Table!$I$4:$O$3000,1,TRUE),"")</f>
        <v/>
      </c>
      <c r="L1479" s="31" t="str">
        <f>IFERROR(INDEX(Table!I:O,MATCH(K1479,Table!I:I,0),2),"")</f>
        <v/>
      </c>
      <c r="M1479" s="31" t="str">
        <f>IFERROR(INDEX(Table!I:O,MATCH(K1479,Table!I:I,0),3),"")</f>
        <v/>
      </c>
      <c r="N1479" s="32" t="str">
        <f>IFERROR(INDEX(Table!I:O,MATCH(K1479,Table!I:I,0),4),"")</f>
        <v/>
      </c>
      <c r="O1479" s="32" t="str">
        <f>IFERROR(INDEX(Table!I:O,MATCH(K1479,Table!I:I,0),5),"")</f>
        <v/>
      </c>
      <c r="P1479" s="32" t="str">
        <f>IFERROR(INDEX(Table!I:O,MATCH(K1479,Table!I:I,0),6),"")</f>
        <v/>
      </c>
      <c r="Q1479" s="89" t="str">
        <f t="shared" si="69"/>
        <v/>
      </c>
      <c r="R1479" s="89" t="str">
        <f t="shared" si="70"/>
        <v/>
      </c>
      <c r="S1479" s="82"/>
      <c r="U1479" s="37" t="e">
        <f t="shared" si="71"/>
        <v>#VALUE!</v>
      </c>
    </row>
    <row r="1480" spans="1:21" x14ac:dyDescent="0.25">
      <c r="A1480" s="31" t="str">
        <f>IF(Table!A1480 = "","",Table!A1480)</f>
        <v/>
      </c>
      <c r="B1480" s="31" t="str">
        <f>IF(Table!B1480 = "","",Table!B1480)</f>
        <v/>
      </c>
      <c r="C1480" s="31" t="str">
        <f>IF(Table!C1480 = "","",Table!C1480)</f>
        <v/>
      </c>
      <c r="D1480" s="32" t="str">
        <f>IF(Table!D1480 = "","",Table!D1480)</f>
        <v/>
      </c>
      <c r="E1480" s="32" t="str">
        <f>IF(Table!E1480 = "","",Table!E1480)</f>
        <v/>
      </c>
      <c r="F1480" s="32" t="str">
        <f>IF(Table!F1480 = "","",Table!F1480)</f>
        <v/>
      </c>
      <c r="G1480" s="91"/>
      <c r="K1480" s="31" t="str">
        <f>IFERROR(VLOOKUP(A1480,Table!$I$4:$O$3000,1,TRUE),"")</f>
        <v/>
      </c>
      <c r="L1480" s="31" t="str">
        <f>IFERROR(INDEX(Table!I:O,MATCH(K1480,Table!I:I,0),2),"")</f>
        <v/>
      </c>
      <c r="M1480" s="31" t="str">
        <f>IFERROR(INDEX(Table!I:O,MATCH(K1480,Table!I:I,0),3),"")</f>
        <v/>
      </c>
      <c r="N1480" s="32" t="str">
        <f>IFERROR(INDEX(Table!I:O,MATCH(K1480,Table!I:I,0),4),"")</f>
        <v/>
      </c>
      <c r="O1480" s="32" t="str">
        <f>IFERROR(INDEX(Table!I:O,MATCH(K1480,Table!I:I,0),5),"")</f>
        <v/>
      </c>
      <c r="P1480" s="32" t="str">
        <f>IFERROR(INDEX(Table!I:O,MATCH(K1480,Table!I:I,0),6),"")</f>
        <v/>
      </c>
      <c r="Q1480" s="89" t="str">
        <f t="shared" si="69"/>
        <v/>
      </c>
      <c r="R1480" s="89" t="str">
        <f t="shared" si="70"/>
        <v/>
      </c>
      <c r="S1480" s="82"/>
      <c r="U1480" s="37" t="e">
        <f t="shared" si="71"/>
        <v>#VALUE!</v>
      </c>
    </row>
    <row r="1481" spans="1:21" x14ac:dyDescent="0.25">
      <c r="A1481" s="31" t="str">
        <f>IF(Table!A1481 = "","",Table!A1481)</f>
        <v/>
      </c>
      <c r="B1481" s="31" t="str">
        <f>IF(Table!B1481 = "","",Table!B1481)</f>
        <v/>
      </c>
      <c r="C1481" s="31" t="str">
        <f>IF(Table!C1481 = "","",Table!C1481)</f>
        <v/>
      </c>
      <c r="D1481" s="32" t="str">
        <f>IF(Table!D1481 = "","",Table!D1481)</f>
        <v/>
      </c>
      <c r="E1481" s="32" t="str">
        <f>IF(Table!E1481 = "","",Table!E1481)</f>
        <v/>
      </c>
      <c r="F1481" s="32" t="str">
        <f>IF(Table!F1481 = "","",Table!F1481)</f>
        <v/>
      </c>
      <c r="G1481" s="91"/>
      <c r="K1481" s="31" t="str">
        <f>IFERROR(VLOOKUP(A1481,Table!$I$4:$O$3000,1,TRUE),"")</f>
        <v/>
      </c>
      <c r="L1481" s="31" t="str">
        <f>IFERROR(INDEX(Table!I:O,MATCH(K1481,Table!I:I,0),2),"")</f>
        <v/>
      </c>
      <c r="M1481" s="31" t="str">
        <f>IFERROR(INDEX(Table!I:O,MATCH(K1481,Table!I:I,0),3),"")</f>
        <v/>
      </c>
      <c r="N1481" s="32" t="str">
        <f>IFERROR(INDEX(Table!I:O,MATCH(K1481,Table!I:I,0),4),"")</f>
        <v/>
      </c>
      <c r="O1481" s="32" t="str">
        <f>IFERROR(INDEX(Table!I:O,MATCH(K1481,Table!I:I,0),5),"")</f>
        <v/>
      </c>
      <c r="P1481" s="32" t="str">
        <f>IFERROR(INDEX(Table!I:O,MATCH(K1481,Table!I:I,0),6),"")</f>
        <v/>
      </c>
      <c r="Q1481" s="89" t="str">
        <f t="shared" si="69"/>
        <v/>
      </c>
      <c r="R1481" s="89" t="str">
        <f t="shared" si="70"/>
        <v/>
      </c>
      <c r="S1481" s="82"/>
      <c r="U1481" s="37" t="e">
        <f t="shared" si="71"/>
        <v>#VALUE!</v>
      </c>
    </row>
    <row r="1482" spans="1:21" x14ac:dyDescent="0.25">
      <c r="A1482" s="31" t="str">
        <f>IF(Table!A1482 = "","",Table!A1482)</f>
        <v/>
      </c>
      <c r="B1482" s="31" t="str">
        <f>IF(Table!B1482 = "","",Table!B1482)</f>
        <v/>
      </c>
      <c r="C1482" s="31" t="str">
        <f>IF(Table!C1482 = "","",Table!C1482)</f>
        <v/>
      </c>
      <c r="D1482" s="32" t="str">
        <f>IF(Table!D1482 = "","",Table!D1482)</f>
        <v/>
      </c>
      <c r="E1482" s="32" t="str">
        <f>IF(Table!E1482 = "","",Table!E1482)</f>
        <v/>
      </c>
      <c r="F1482" s="32" t="str">
        <f>IF(Table!F1482 = "","",Table!F1482)</f>
        <v/>
      </c>
      <c r="G1482" s="91"/>
      <c r="K1482" s="31" t="str">
        <f>IFERROR(VLOOKUP(A1482,Table!$I$4:$O$3000,1,TRUE),"")</f>
        <v/>
      </c>
      <c r="L1482" s="31" t="str">
        <f>IFERROR(INDEX(Table!I:O,MATCH(K1482,Table!I:I,0),2),"")</f>
        <v/>
      </c>
      <c r="M1482" s="31" t="str">
        <f>IFERROR(INDEX(Table!I:O,MATCH(K1482,Table!I:I,0),3),"")</f>
        <v/>
      </c>
      <c r="N1482" s="32" t="str">
        <f>IFERROR(INDEX(Table!I:O,MATCH(K1482,Table!I:I,0),4),"")</f>
        <v/>
      </c>
      <c r="O1482" s="32" t="str">
        <f>IFERROR(INDEX(Table!I:O,MATCH(K1482,Table!I:I,0),5),"")</f>
        <v/>
      </c>
      <c r="P1482" s="32" t="str">
        <f>IFERROR(INDEX(Table!I:O,MATCH(K1482,Table!I:I,0),6),"")</f>
        <v/>
      </c>
      <c r="Q1482" s="89" t="str">
        <f t="shared" si="69"/>
        <v/>
      </c>
      <c r="R1482" s="89" t="str">
        <f t="shared" si="70"/>
        <v/>
      </c>
      <c r="S1482" s="82"/>
      <c r="U1482" s="37" t="e">
        <f t="shared" si="71"/>
        <v>#VALUE!</v>
      </c>
    </row>
    <row r="1483" spans="1:21" x14ac:dyDescent="0.25">
      <c r="A1483" s="31" t="str">
        <f>IF(Table!A1483 = "","",Table!A1483)</f>
        <v/>
      </c>
      <c r="B1483" s="31" t="str">
        <f>IF(Table!B1483 = "","",Table!B1483)</f>
        <v/>
      </c>
      <c r="C1483" s="31" t="str">
        <f>IF(Table!C1483 = "","",Table!C1483)</f>
        <v/>
      </c>
      <c r="D1483" s="32" t="str">
        <f>IF(Table!D1483 = "","",Table!D1483)</f>
        <v/>
      </c>
      <c r="E1483" s="32" t="str">
        <f>IF(Table!E1483 = "","",Table!E1483)</f>
        <v/>
      </c>
      <c r="F1483" s="32" t="str">
        <f>IF(Table!F1483 = "","",Table!F1483)</f>
        <v/>
      </c>
      <c r="G1483" s="91"/>
      <c r="K1483" s="31" t="str">
        <f>IFERROR(VLOOKUP(A1483,Table!$I$4:$O$3000,1,TRUE),"")</f>
        <v/>
      </c>
      <c r="L1483" s="31" t="str">
        <f>IFERROR(INDEX(Table!I:O,MATCH(K1483,Table!I:I,0),2),"")</f>
        <v/>
      </c>
      <c r="M1483" s="31" t="str">
        <f>IFERROR(INDEX(Table!I:O,MATCH(K1483,Table!I:I,0),3),"")</f>
        <v/>
      </c>
      <c r="N1483" s="32" t="str">
        <f>IFERROR(INDEX(Table!I:O,MATCH(K1483,Table!I:I,0),4),"")</f>
        <v/>
      </c>
      <c r="O1483" s="32" t="str">
        <f>IFERROR(INDEX(Table!I:O,MATCH(K1483,Table!I:I,0),5),"")</f>
        <v/>
      </c>
      <c r="P1483" s="32" t="str">
        <f>IFERROR(INDEX(Table!I:O,MATCH(K1483,Table!I:I,0),6),"")</f>
        <v/>
      </c>
      <c r="Q1483" s="89" t="str">
        <f t="shared" si="69"/>
        <v/>
      </c>
      <c r="R1483" s="89" t="str">
        <f t="shared" si="70"/>
        <v/>
      </c>
      <c r="S1483" s="82"/>
      <c r="U1483" s="37" t="e">
        <f t="shared" si="71"/>
        <v>#VALUE!</v>
      </c>
    </row>
    <row r="1484" spans="1:21" x14ac:dyDescent="0.25">
      <c r="A1484" s="31" t="str">
        <f>IF(Table!A1484 = "","",Table!A1484)</f>
        <v/>
      </c>
      <c r="B1484" s="31" t="str">
        <f>IF(Table!B1484 = "","",Table!B1484)</f>
        <v/>
      </c>
      <c r="C1484" s="31" t="str">
        <f>IF(Table!C1484 = "","",Table!C1484)</f>
        <v/>
      </c>
      <c r="D1484" s="32" t="str">
        <f>IF(Table!D1484 = "","",Table!D1484)</f>
        <v/>
      </c>
      <c r="E1484" s="32" t="str">
        <f>IF(Table!E1484 = "","",Table!E1484)</f>
        <v/>
      </c>
      <c r="F1484" s="32" t="str">
        <f>IF(Table!F1484 = "","",Table!F1484)</f>
        <v/>
      </c>
      <c r="G1484" s="91"/>
      <c r="K1484" s="31" t="str">
        <f>IFERROR(VLOOKUP(A1484,Table!$I$4:$O$3000,1,TRUE),"")</f>
        <v/>
      </c>
      <c r="L1484" s="31" t="str">
        <f>IFERROR(INDEX(Table!I:O,MATCH(K1484,Table!I:I,0),2),"")</f>
        <v/>
      </c>
      <c r="M1484" s="31" t="str">
        <f>IFERROR(INDEX(Table!I:O,MATCH(K1484,Table!I:I,0),3),"")</f>
        <v/>
      </c>
      <c r="N1484" s="32" t="str">
        <f>IFERROR(INDEX(Table!I:O,MATCH(K1484,Table!I:I,0),4),"")</f>
        <v/>
      </c>
      <c r="O1484" s="32" t="str">
        <f>IFERROR(INDEX(Table!I:O,MATCH(K1484,Table!I:I,0),5),"")</f>
        <v/>
      </c>
      <c r="P1484" s="32" t="str">
        <f>IFERROR(INDEX(Table!I:O,MATCH(K1484,Table!I:I,0),6),"")</f>
        <v/>
      </c>
      <c r="Q1484" s="89" t="str">
        <f t="shared" si="69"/>
        <v/>
      </c>
      <c r="R1484" s="89" t="str">
        <f t="shared" si="70"/>
        <v/>
      </c>
      <c r="S1484" s="82"/>
      <c r="U1484" s="37" t="e">
        <f t="shared" si="71"/>
        <v>#VALUE!</v>
      </c>
    </row>
    <row r="1485" spans="1:21" x14ac:dyDescent="0.25">
      <c r="A1485" s="31" t="str">
        <f>IF(Table!A1485 = "","",Table!A1485)</f>
        <v/>
      </c>
      <c r="B1485" s="31" t="str">
        <f>IF(Table!B1485 = "","",Table!B1485)</f>
        <v/>
      </c>
      <c r="C1485" s="31" t="str">
        <f>IF(Table!C1485 = "","",Table!C1485)</f>
        <v/>
      </c>
      <c r="D1485" s="32" t="str">
        <f>IF(Table!D1485 = "","",Table!D1485)</f>
        <v/>
      </c>
      <c r="E1485" s="32" t="str">
        <f>IF(Table!E1485 = "","",Table!E1485)</f>
        <v/>
      </c>
      <c r="F1485" s="32" t="str">
        <f>IF(Table!F1485 = "","",Table!F1485)</f>
        <v/>
      </c>
      <c r="G1485" s="91"/>
      <c r="K1485" s="31" t="str">
        <f>IFERROR(VLOOKUP(A1485,Table!$I$4:$O$3000,1,TRUE),"")</f>
        <v/>
      </c>
      <c r="L1485" s="31" t="str">
        <f>IFERROR(INDEX(Table!I:O,MATCH(K1485,Table!I:I,0),2),"")</f>
        <v/>
      </c>
      <c r="M1485" s="31" t="str">
        <f>IFERROR(INDEX(Table!I:O,MATCH(K1485,Table!I:I,0),3),"")</f>
        <v/>
      </c>
      <c r="N1485" s="32" t="str">
        <f>IFERROR(INDEX(Table!I:O,MATCH(K1485,Table!I:I,0),4),"")</f>
        <v/>
      </c>
      <c r="O1485" s="32" t="str">
        <f>IFERROR(INDEX(Table!I:O,MATCH(K1485,Table!I:I,0),5),"")</f>
        <v/>
      </c>
      <c r="P1485" s="32" t="str">
        <f>IFERROR(INDEX(Table!I:O,MATCH(K1485,Table!I:I,0),6),"")</f>
        <v/>
      </c>
      <c r="Q1485" s="89" t="str">
        <f t="shared" si="69"/>
        <v/>
      </c>
      <c r="R1485" s="89" t="str">
        <f t="shared" si="70"/>
        <v/>
      </c>
      <c r="S1485" s="82"/>
      <c r="U1485" s="37" t="e">
        <f t="shared" si="71"/>
        <v>#VALUE!</v>
      </c>
    </row>
    <row r="1486" spans="1:21" x14ac:dyDescent="0.25">
      <c r="A1486" s="31" t="str">
        <f>IF(Table!A1486 = "","",Table!A1486)</f>
        <v/>
      </c>
      <c r="B1486" s="31" t="str">
        <f>IF(Table!B1486 = "","",Table!B1486)</f>
        <v/>
      </c>
      <c r="C1486" s="31" t="str">
        <f>IF(Table!C1486 = "","",Table!C1486)</f>
        <v/>
      </c>
      <c r="D1486" s="32" t="str">
        <f>IF(Table!D1486 = "","",Table!D1486)</f>
        <v/>
      </c>
      <c r="E1486" s="32" t="str">
        <f>IF(Table!E1486 = "","",Table!E1486)</f>
        <v/>
      </c>
      <c r="F1486" s="32" t="str">
        <f>IF(Table!F1486 = "","",Table!F1486)</f>
        <v/>
      </c>
      <c r="G1486" s="91"/>
      <c r="K1486" s="31" t="str">
        <f>IFERROR(VLOOKUP(A1486,Table!$I$4:$O$3000,1,TRUE),"")</f>
        <v/>
      </c>
      <c r="L1486" s="31" t="str">
        <f>IFERROR(INDEX(Table!I:O,MATCH(K1486,Table!I:I,0),2),"")</f>
        <v/>
      </c>
      <c r="M1486" s="31" t="str">
        <f>IFERROR(INDEX(Table!I:O,MATCH(K1486,Table!I:I,0),3),"")</f>
        <v/>
      </c>
      <c r="N1486" s="32" t="str">
        <f>IFERROR(INDEX(Table!I:O,MATCH(K1486,Table!I:I,0),4),"")</f>
        <v/>
      </c>
      <c r="O1486" s="32" t="str">
        <f>IFERROR(INDEX(Table!I:O,MATCH(K1486,Table!I:I,0),5),"")</f>
        <v/>
      </c>
      <c r="P1486" s="32" t="str">
        <f>IFERROR(INDEX(Table!I:O,MATCH(K1486,Table!I:I,0),6),"")</f>
        <v/>
      </c>
      <c r="Q1486" s="89" t="str">
        <f t="shared" si="69"/>
        <v/>
      </c>
      <c r="R1486" s="89" t="str">
        <f t="shared" si="70"/>
        <v/>
      </c>
      <c r="S1486" s="82"/>
      <c r="U1486" s="37" t="e">
        <f t="shared" si="71"/>
        <v>#VALUE!</v>
      </c>
    </row>
    <row r="1487" spans="1:21" x14ac:dyDescent="0.25">
      <c r="A1487" s="31" t="str">
        <f>IF(Table!A1487 = "","",Table!A1487)</f>
        <v/>
      </c>
      <c r="B1487" s="31" t="str">
        <f>IF(Table!B1487 = "","",Table!B1487)</f>
        <v/>
      </c>
      <c r="C1487" s="31" t="str">
        <f>IF(Table!C1487 = "","",Table!C1487)</f>
        <v/>
      </c>
      <c r="D1487" s="32" t="str">
        <f>IF(Table!D1487 = "","",Table!D1487)</f>
        <v/>
      </c>
      <c r="E1487" s="32" t="str">
        <f>IF(Table!E1487 = "","",Table!E1487)</f>
        <v/>
      </c>
      <c r="F1487" s="32" t="str">
        <f>IF(Table!F1487 = "","",Table!F1487)</f>
        <v/>
      </c>
      <c r="G1487" s="91"/>
      <c r="K1487" s="31" t="str">
        <f>IFERROR(VLOOKUP(A1487,Table!$I$4:$O$3000,1,TRUE),"")</f>
        <v/>
      </c>
      <c r="L1487" s="31" t="str">
        <f>IFERROR(INDEX(Table!I:O,MATCH(K1487,Table!I:I,0),2),"")</f>
        <v/>
      </c>
      <c r="M1487" s="31" t="str">
        <f>IFERROR(INDEX(Table!I:O,MATCH(K1487,Table!I:I,0),3),"")</f>
        <v/>
      </c>
      <c r="N1487" s="32" t="str">
        <f>IFERROR(INDEX(Table!I:O,MATCH(K1487,Table!I:I,0),4),"")</f>
        <v/>
      </c>
      <c r="O1487" s="32" t="str">
        <f>IFERROR(INDEX(Table!I:O,MATCH(K1487,Table!I:I,0),5),"")</f>
        <v/>
      </c>
      <c r="P1487" s="32" t="str">
        <f>IFERROR(INDEX(Table!I:O,MATCH(K1487,Table!I:I,0),6),"")</f>
        <v/>
      </c>
      <c r="Q1487" s="89" t="str">
        <f t="shared" si="69"/>
        <v/>
      </c>
      <c r="R1487" s="89" t="str">
        <f t="shared" si="70"/>
        <v/>
      </c>
      <c r="S1487" s="82"/>
      <c r="U1487" s="37" t="e">
        <f t="shared" si="71"/>
        <v>#VALUE!</v>
      </c>
    </row>
    <row r="1488" spans="1:21" x14ac:dyDescent="0.25">
      <c r="A1488" s="31" t="str">
        <f>IF(Table!A1488 = "","",Table!A1488)</f>
        <v/>
      </c>
      <c r="B1488" s="31" t="str">
        <f>IF(Table!B1488 = "","",Table!B1488)</f>
        <v/>
      </c>
      <c r="C1488" s="31" t="str">
        <f>IF(Table!C1488 = "","",Table!C1488)</f>
        <v/>
      </c>
      <c r="D1488" s="32" t="str">
        <f>IF(Table!D1488 = "","",Table!D1488)</f>
        <v/>
      </c>
      <c r="E1488" s="32" t="str">
        <f>IF(Table!E1488 = "","",Table!E1488)</f>
        <v/>
      </c>
      <c r="F1488" s="32" t="str">
        <f>IF(Table!F1488 = "","",Table!F1488)</f>
        <v/>
      </c>
      <c r="G1488" s="91"/>
      <c r="K1488" s="31" t="str">
        <f>IFERROR(VLOOKUP(A1488,Table!$I$4:$O$3000,1,TRUE),"")</f>
        <v/>
      </c>
      <c r="L1488" s="31" t="str">
        <f>IFERROR(INDEX(Table!I:O,MATCH(K1488,Table!I:I,0),2),"")</f>
        <v/>
      </c>
      <c r="M1488" s="31" t="str">
        <f>IFERROR(INDEX(Table!I:O,MATCH(K1488,Table!I:I,0),3),"")</f>
        <v/>
      </c>
      <c r="N1488" s="32" t="str">
        <f>IFERROR(INDEX(Table!I:O,MATCH(K1488,Table!I:I,0),4),"")</f>
        <v/>
      </c>
      <c r="O1488" s="32" t="str">
        <f>IFERROR(INDEX(Table!I:O,MATCH(K1488,Table!I:I,0),5),"")</f>
        <v/>
      </c>
      <c r="P1488" s="32" t="str">
        <f>IFERROR(INDEX(Table!I:O,MATCH(K1488,Table!I:I,0),6),"")</f>
        <v/>
      </c>
      <c r="Q1488" s="89" t="str">
        <f t="shared" si="69"/>
        <v/>
      </c>
      <c r="R1488" s="89" t="str">
        <f t="shared" si="70"/>
        <v/>
      </c>
      <c r="S1488" s="82"/>
      <c r="U1488" s="37" t="e">
        <f t="shared" si="71"/>
        <v>#VALUE!</v>
      </c>
    </row>
    <row r="1489" spans="1:21" x14ac:dyDescent="0.25">
      <c r="A1489" s="31" t="str">
        <f>IF(Table!A1489 = "","",Table!A1489)</f>
        <v/>
      </c>
      <c r="B1489" s="31" t="str">
        <f>IF(Table!B1489 = "","",Table!B1489)</f>
        <v/>
      </c>
      <c r="C1489" s="31" t="str">
        <f>IF(Table!C1489 = "","",Table!C1489)</f>
        <v/>
      </c>
      <c r="D1489" s="32" t="str">
        <f>IF(Table!D1489 = "","",Table!D1489)</f>
        <v/>
      </c>
      <c r="E1489" s="32" t="str">
        <f>IF(Table!E1489 = "","",Table!E1489)</f>
        <v/>
      </c>
      <c r="F1489" s="32" t="str">
        <f>IF(Table!F1489 = "","",Table!F1489)</f>
        <v/>
      </c>
      <c r="G1489" s="91"/>
      <c r="K1489" s="31" t="str">
        <f>IFERROR(VLOOKUP(A1489,Table!$I$4:$O$3000,1,TRUE),"")</f>
        <v/>
      </c>
      <c r="L1489" s="31" t="str">
        <f>IFERROR(INDEX(Table!I:O,MATCH(K1489,Table!I:I,0),2),"")</f>
        <v/>
      </c>
      <c r="M1489" s="31" t="str">
        <f>IFERROR(INDEX(Table!I:O,MATCH(K1489,Table!I:I,0),3),"")</f>
        <v/>
      </c>
      <c r="N1489" s="32" t="str">
        <f>IFERROR(INDEX(Table!I:O,MATCH(K1489,Table!I:I,0),4),"")</f>
        <v/>
      </c>
      <c r="O1489" s="32" t="str">
        <f>IFERROR(INDEX(Table!I:O,MATCH(K1489,Table!I:I,0),5),"")</f>
        <v/>
      </c>
      <c r="P1489" s="32" t="str">
        <f>IFERROR(INDEX(Table!I:O,MATCH(K1489,Table!I:I,0),6),"")</f>
        <v/>
      </c>
      <c r="Q1489" s="89" t="str">
        <f t="shared" si="69"/>
        <v/>
      </c>
      <c r="R1489" s="89" t="str">
        <f t="shared" si="70"/>
        <v/>
      </c>
      <c r="S1489" s="82"/>
      <c r="U1489" s="37" t="e">
        <f t="shared" si="71"/>
        <v>#VALUE!</v>
      </c>
    </row>
    <row r="1490" spans="1:21" x14ac:dyDescent="0.25">
      <c r="A1490" s="31" t="str">
        <f>IF(Table!A1490 = "","",Table!A1490)</f>
        <v/>
      </c>
      <c r="B1490" s="31" t="str">
        <f>IF(Table!B1490 = "","",Table!B1490)</f>
        <v/>
      </c>
      <c r="C1490" s="31" t="str">
        <f>IF(Table!C1490 = "","",Table!C1490)</f>
        <v/>
      </c>
      <c r="D1490" s="32" t="str">
        <f>IF(Table!D1490 = "","",Table!D1490)</f>
        <v/>
      </c>
      <c r="E1490" s="32" t="str">
        <f>IF(Table!E1490 = "","",Table!E1490)</f>
        <v/>
      </c>
      <c r="F1490" s="32" t="str">
        <f>IF(Table!F1490 = "","",Table!F1490)</f>
        <v/>
      </c>
      <c r="G1490" s="91"/>
      <c r="K1490" s="31" t="str">
        <f>IFERROR(VLOOKUP(A1490,Table!$I$4:$O$3000,1,TRUE),"")</f>
        <v/>
      </c>
      <c r="L1490" s="31" t="str">
        <f>IFERROR(INDEX(Table!I:O,MATCH(K1490,Table!I:I,0),2),"")</f>
        <v/>
      </c>
      <c r="M1490" s="31" t="str">
        <f>IFERROR(INDEX(Table!I:O,MATCH(K1490,Table!I:I,0),3),"")</f>
        <v/>
      </c>
      <c r="N1490" s="32" t="str">
        <f>IFERROR(INDEX(Table!I:O,MATCH(K1490,Table!I:I,0),4),"")</f>
        <v/>
      </c>
      <c r="O1490" s="32" t="str">
        <f>IFERROR(INDEX(Table!I:O,MATCH(K1490,Table!I:I,0),5),"")</f>
        <v/>
      </c>
      <c r="P1490" s="32" t="str">
        <f>IFERROR(INDEX(Table!I:O,MATCH(K1490,Table!I:I,0),6),"")</f>
        <v/>
      </c>
      <c r="Q1490" s="89" t="str">
        <f t="shared" si="69"/>
        <v/>
      </c>
      <c r="R1490" s="89" t="str">
        <f t="shared" si="70"/>
        <v/>
      </c>
      <c r="S1490" s="82"/>
      <c r="U1490" s="37" t="e">
        <f t="shared" si="71"/>
        <v>#VALUE!</v>
      </c>
    </row>
    <row r="1491" spans="1:21" x14ac:dyDescent="0.25">
      <c r="A1491" s="31" t="str">
        <f>IF(Table!A1491 = "","",Table!A1491)</f>
        <v/>
      </c>
      <c r="B1491" s="31" t="str">
        <f>IF(Table!B1491 = "","",Table!B1491)</f>
        <v/>
      </c>
      <c r="C1491" s="31" t="str">
        <f>IF(Table!C1491 = "","",Table!C1491)</f>
        <v/>
      </c>
      <c r="D1491" s="32" t="str">
        <f>IF(Table!D1491 = "","",Table!D1491)</f>
        <v/>
      </c>
      <c r="E1491" s="32" t="str">
        <f>IF(Table!E1491 = "","",Table!E1491)</f>
        <v/>
      </c>
      <c r="F1491" s="32" t="str">
        <f>IF(Table!F1491 = "","",Table!F1491)</f>
        <v/>
      </c>
      <c r="G1491" s="91"/>
      <c r="K1491" s="31" t="str">
        <f>IFERROR(VLOOKUP(A1491,Table!$I$4:$O$3000,1,TRUE),"")</f>
        <v/>
      </c>
      <c r="L1491" s="31" t="str">
        <f>IFERROR(INDEX(Table!I:O,MATCH(K1491,Table!I:I,0),2),"")</f>
        <v/>
      </c>
      <c r="M1491" s="31" t="str">
        <f>IFERROR(INDEX(Table!I:O,MATCH(K1491,Table!I:I,0),3),"")</f>
        <v/>
      </c>
      <c r="N1491" s="32" t="str">
        <f>IFERROR(INDEX(Table!I:O,MATCH(K1491,Table!I:I,0),4),"")</f>
        <v/>
      </c>
      <c r="O1491" s="32" t="str">
        <f>IFERROR(INDEX(Table!I:O,MATCH(K1491,Table!I:I,0),5),"")</f>
        <v/>
      </c>
      <c r="P1491" s="32" t="str">
        <f>IFERROR(INDEX(Table!I:O,MATCH(K1491,Table!I:I,0),6),"")</f>
        <v/>
      </c>
      <c r="Q1491" s="89" t="str">
        <f t="shared" si="69"/>
        <v/>
      </c>
      <c r="R1491" s="89" t="str">
        <f t="shared" si="70"/>
        <v/>
      </c>
      <c r="S1491" s="82"/>
      <c r="U1491" s="37" t="e">
        <f t="shared" si="71"/>
        <v>#VALUE!</v>
      </c>
    </row>
    <row r="1492" spans="1:21" x14ac:dyDescent="0.25">
      <c r="A1492" s="31" t="str">
        <f>IF(Table!A1492 = "","",Table!A1492)</f>
        <v/>
      </c>
      <c r="B1492" s="31" t="str">
        <f>IF(Table!B1492 = "","",Table!B1492)</f>
        <v/>
      </c>
      <c r="C1492" s="31" t="str">
        <f>IF(Table!C1492 = "","",Table!C1492)</f>
        <v/>
      </c>
      <c r="D1492" s="32" t="str">
        <f>IF(Table!D1492 = "","",Table!D1492)</f>
        <v/>
      </c>
      <c r="E1492" s="32" t="str">
        <f>IF(Table!E1492 = "","",Table!E1492)</f>
        <v/>
      </c>
      <c r="F1492" s="32" t="str">
        <f>IF(Table!F1492 = "","",Table!F1492)</f>
        <v/>
      </c>
      <c r="G1492" s="91"/>
      <c r="K1492" s="31" t="str">
        <f>IFERROR(VLOOKUP(A1492,Table!$I$4:$O$3000,1,TRUE),"")</f>
        <v/>
      </c>
      <c r="L1492" s="31" t="str">
        <f>IFERROR(INDEX(Table!I:O,MATCH(K1492,Table!I:I,0),2),"")</f>
        <v/>
      </c>
      <c r="M1492" s="31" t="str">
        <f>IFERROR(INDEX(Table!I:O,MATCH(K1492,Table!I:I,0),3),"")</f>
        <v/>
      </c>
      <c r="N1492" s="32" t="str">
        <f>IFERROR(INDEX(Table!I:O,MATCH(K1492,Table!I:I,0),4),"")</f>
        <v/>
      </c>
      <c r="O1492" s="32" t="str">
        <f>IFERROR(INDEX(Table!I:O,MATCH(K1492,Table!I:I,0),5),"")</f>
        <v/>
      </c>
      <c r="P1492" s="32" t="str">
        <f>IFERROR(INDEX(Table!I:O,MATCH(K1492,Table!I:I,0),6),"")</f>
        <v/>
      </c>
      <c r="Q1492" s="89" t="str">
        <f t="shared" si="69"/>
        <v/>
      </c>
      <c r="R1492" s="89" t="str">
        <f t="shared" si="70"/>
        <v/>
      </c>
      <c r="S1492" s="82"/>
      <c r="U1492" s="37" t="e">
        <f t="shared" si="71"/>
        <v>#VALUE!</v>
      </c>
    </row>
    <row r="1493" spans="1:21" x14ac:dyDescent="0.25">
      <c r="A1493" s="31" t="str">
        <f>IF(Table!A1493 = "","",Table!A1493)</f>
        <v/>
      </c>
      <c r="B1493" s="31" t="str">
        <f>IF(Table!B1493 = "","",Table!B1493)</f>
        <v/>
      </c>
      <c r="C1493" s="31" t="str">
        <f>IF(Table!C1493 = "","",Table!C1493)</f>
        <v/>
      </c>
      <c r="D1493" s="32" t="str">
        <f>IF(Table!D1493 = "","",Table!D1493)</f>
        <v/>
      </c>
      <c r="E1493" s="32" t="str">
        <f>IF(Table!E1493 = "","",Table!E1493)</f>
        <v/>
      </c>
      <c r="F1493" s="32" t="str">
        <f>IF(Table!F1493 = "","",Table!F1493)</f>
        <v/>
      </c>
      <c r="G1493" s="91"/>
      <c r="K1493" s="31" t="str">
        <f>IFERROR(VLOOKUP(A1493,Table!$I$4:$O$3000,1,TRUE),"")</f>
        <v/>
      </c>
      <c r="L1493" s="31" t="str">
        <f>IFERROR(INDEX(Table!I:O,MATCH(K1493,Table!I:I,0),2),"")</f>
        <v/>
      </c>
      <c r="M1493" s="31" t="str">
        <f>IFERROR(INDEX(Table!I:O,MATCH(K1493,Table!I:I,0),3),"")</f>
        <v/>
      </c>
      <c r="N1493" s="32" t="str">
        <f>IFERROR(INDEX(Table!I:O,MATCH(K1493,Table!I:I,0),4),"")</f>
        <v/>
      </c>
      <c r="O1493" s="32" t="str">
        <f>IFERROR(INDEX(Table!I:O,MATCH(K1493,Table!I:I,0),5),"")</f>
        <v/>
      </c>
      <c r="P1493" s="32" t="str">
        <f>IFERROR(INDEX(Table!I:O,MATCH(K1493,Table!I:I,0),6),"")</f>
        <v/>
      </c>
      <c r="Q1493" s="89" t="str">
        <f t="shared" si="69"/>
        <v/>
      </c>
      <c r="R1493" s="89" t="str">
        <f t="shared" si="70"/>
        <v/>
      </c>
      <c r="S1493" s="82"/>
      <c r="U1493" s="37" t="e">
        <f t="shared" si="71"/>
        <v>#VALUE!</v>
      </c>
    </row>
    <row r="1494" spans="1:21" x14ac:dyDescent="0.25">
      <c r="A1494" s="31" t="str">
        <f>IF(Table!A1494 = "","",Table!A1494)</f>
        <v/>
      </c>
      <c r="B1494" s="31" t="str">
        <f>IF(Table!B1494 = "","",Table!B1494)</f>
        <v/>
      </c>
      <c r="C1494" s="31" t="str">
        <f>IF(Table!C1494 = "","",Table!C1494)</f>
        <v/>
      </c>
      <c r="D1494" s="32" t="str">
        <f>IF(Table!D1494 = "","",Table!D1494)</f>
        <v/>
      </c>
      <c r="E1494" s="32" t="str">
        <f>IF(Table!E1494 = "","",Table!E1494)</f>
        <v/>
      </c>
      <c r="F1494" s="32" t="str">
        <f>IF(Table!F1494 = "","",Table!F1494)</f>
        <v/>
      </c>
      <c r="G1494" s="91"/>
      <c r="K1494" s="31" t="str">
        <f>IFERROR(VLOOKUP(A1494,Table!$I$4:$O$3000,1,TRUE),"")</f>
        <v/>
      </c>
      <c r="L1494" s="31" t="str">
        <f>IFERROR(INDEX(Table!I:O,MATCH(K1494,Table!I:I,0),2),"")</f>
        <v/>
      </c>
      <c r="M1494" s="31" t="str">
        <f>IFERROR(INDEX(Table!I:O,MATCH(K1494,Table!I:I,0),3),"")</f>
        <v/>
      </c>
      <c r="N1494" s="32" t="str">
        <f>IFERROR(INDEX(Table!I:O,MATCH(K1494,Table!I:I,0),4),"")</f>
        <v/>
      </c>
      <c r="O1494" s="32" t="str">
        <f>IFERROR(INDEX(Table!I:O,MATCH(K1494,Table!I:I,0),5),"")</f>
        <v/>
      </c>
      <c r="P1494" s="32" t="str">
        <f>IFERROR(INDEX(Table!I:O,MATCH(K1494,Table!I:I,0),6),"")</f>
        <v/>
      </c>
      <c r="Q1494" s="89" t="str">
        <f t="shared" si="69"/>
        <v/>
      </c>
      <c r="R1494" s="89" t="str">
        <f t="shared" si="70"/>
        <v/>
      </c>
      <c r="S1494" s="82"/>
      <c r="U1494" s="37" t="e">
        <f t="shared" si="71"/>
        <v>#VALUE!</v>
      </c>
    </row>
    <row r="1495" spans="1:21" x14ac:dyDescent="0.25">
      <c r="A1495" s="31" t="str">
        <f>IF(Table!A1495 = "","",Table!A1495)</f>
        <v/>
      </c>
      <c r="B1495" s="31" t="str">
        <f>IF(Table!B1495 = "","",Table!B1495)</f>
        <v/>
      </c>
      <c r="C1495" s="31" t="str">
        <f>IF(Table!C1495 = "","",Table!C1495)</f>
        <v/>
      </c>
      <c r="D1495" s="32" t="str">
        <f>IF(Table!D1495 = "","",Table!D1495)</f>
        <v/>
      </c>
      <c r="E1495" s="32" t="str">
        <f>IF(Table!E1495 = "","",Table!E1495)</f>
        <v/>
      </c>
      <c r="F1495" s="32" t="str">
        <f>IF(Table!F1495 = "","",Table!F1495)</f>
        <v/>
      </c>
      <c r="G1495" s="91"/>
      <c r="K1495" s="31" t="str">
        <f>IFERROR(VLOOKUP(A1495,Table!$I$4:$O$3000,1,TRUE),"")</f>
        <v/>
      </c>
      <c r="L1495" s="31" t="str">
        <f>IFERROR(INDEX(Table!I:O,MATCH(K1495,Table!I:I,0),2),"")</f>
        <v/>
      </c>
      <c r="M1495" s="31" t="str">
        <f>IFERROR(INDEX(Table!I:O,MATCH(K1495,Table!I:I,0),3),"")</f>
        <v/>
      </c>
      <c r="N1495" s="32" t="str">
        <f>IFERROR(INDEX(Table!I:O,MATCH(K1495,Table!I:I,0),4),"")</f>
        <v/>
      </c>
      <c r="O1495" s="32" t="str">
        <f>IFERROR(INDEX(Table!I:O,MATCH(K1495,Table!I:I,0),5),"")</f>
        <v/>
      </c>
      <c r="P1495" s="32" t="str">
        <f>IFERROR(INDEX(Table!I:O,MATCH(K1495,Table!I:I,0),6),"")</f>
        <v/>
      </c>
      <c r="Q1495" s="89" t="str">
        <f t="shared" si="69"/>
        <v/>
      </c>
      <c r="R1495" s="89" t="str">
        <f t="shared" si="70"/>
        <v/>
      </c>
      <c r="S1495" s="82"/>
      <c r="U1495" s="37" t="e">
        <f t="shared" si="71"/>
        <v>#VALUE!</v>
      </c>
    </row>
    <row r="1496" spans="1:21" x14ac:dyDescent="0.25">
      <c r="A1496" s="31" t="str">
        <f>IF(Table!A1496 = "","",Table!A1496)</f>
        <v/>
      </c>
      <c r="B1496" s="31" t="str">
        <f>IF(Table!B1496 = "","",Table!B1496)</f>
        <v/>
      </c>
      <c r="C1496" s="31" t="str">
        <f>IF(Table!C1496 = "","",Table!C1496)</f>
        <v/>
      </c>
      <c r="D1496" s="32" t="str">
        <f>IF(Table!D1496 = "","",Table!D1496)</f>
        <v/>
      </c>
      <c r="E1496" s="32" t="str">
        <f>IF(Table!E1496 = "","",Table!E1496)</f>
        <v/>
      </c>
      <c r="F1496" s="32" t="str">
        <f>IF(Table!F1496 = "","",Table!F1496)</f>
        <v/>
      </c>
      <c r="G1496" s="91"/>
      <c r="K1496" s="31" t="str">
        <f>IFERROR(VLOOKUP(A1496,Table!$I$4:$O$3000,1,TRUE),"")</f>
        <v/>
      </c>
      <c r="L1496" s="31" t="str">
        <f>IFERROR(INDEX(Table!I:O,MATCH(K1496,Table!I:I,0),2),"")</f>
        <v/>
      </c>
      <c r="M1496" s="31" t="str">
        <f>IFERROR(INDEX(Table!I:O,MATCH(K1496,Table!I:I,0),3),"")</f>
        <v/>
      </c>
      <c r="N1496" s="32" t="str">
        <f>IFERROR(INDEX(Table!I:O,MATCH(K1496,Table!I:I,0),4),"")</f>
        <v/>
      </c>
      <c r="O1496" s="32" t="str">
        <f>IFERROR(INDEX(Table!I:O,MATCH(K1496,Table!I:I,0),5),"")</f>
        <v/>
      </c>
      <c r="P1496" s="32" t="str">
        <f>IFERROR(INDEX(Table!I:O,MATCH(K1496,Table!I:I,0),6),"")</f>
        <v/>
      </c>
      <c r="Q1496" s="89" t="str">
        <f t="shared" si="69"/>
        <v/>
      </c>
      <c r="R1496" s="89" t="str">
        <f t="shared" si="70"/>
        <v/>
      </c>
      <c r="S1496" s="82"/>
      <c r="U1496" s="37" t="e">
        <f t="shared" si="71"/>
        <v>#VALUE!</v>
      </c>
    </row>
    <row r="1497" spans="1:21" x14ac:dyDescent="0.25">
      <c r="A1497" s="31" t="str">
        <f>IF(Table!A1497 = "","",Table!A1497)</f>
        <v/>
      </c>
      <c r="B1497" s="31" t="str">
        <f>IF(Table!B1497 = "","",Table!B1497)</f>
        <v/>
      </c>
      <c r="C1497" s="31" t="str">
        <f>IF(Table!C1497 = "","",Table!C1497)</f>
        <v/>
      </c>
      <c r="D1497" s="32" t="str">
        <f>IF(Table!D1497 = "","",Table!D1497)</f>
        <v/>
      </c>
      <c r="E1497" s="32" t="str">
        <f>IF(Table!E1497 = "","",Table!E1497)</f>
        <v/>
      </c>
      <c r="F1497" s="32" t="str">
        <f>IF(Table!F1497 = "","",Table!F1497)</f>
        <v/>
      </c>
      <c r="G1497" s="91"/>
      <c r="K1497" s="31" t="str">
        <f>IFERROR(VLOOKUP(A1497,Table!$I$4:$O$3000,1,TRUE),"")</f>
        <v/>
      </c>
      <c r="L1497" s="31" t="str">
        <f>IFERROR(INDEX(Table!I:O,MATCH(K1497,Table!I:I,0),2),"")</f>
        <v/>
      </c>
      <c r="M1497" s="31" t="str">
        <f>IFERROR(INDEX(Table!I:O,MATCH(K1497,Table!I:I,0),3),"")</f>
        <v/>
      </c>
      <c r="N1497" s="32" t="str">
        <f>IFERROR(INDEX(Table!I:O,MATCH(K1497,Table!I:I,0),4),"")</f>
        <v/>
      </c>
      <c r="O1497" s="32" t="str">
        <f>IFERROR(INDEX(Table!I:O,MATCH(K1497,Table!I:I,0),5),"")</f>
        <v/>
      </c>
      <c r="P1497" s="32" t="str">
        <f>IFERROR(INDEX(Table!I:O,MATCH(K1497,Table!I:I,0),6),"")</f>
        <v/>
      </c>
      <c r="Q1497" s="89" t="str">
        <f t="shared" si="69"/>
        <v/>
      </c>
      <c r="R1497" s="89" t="str">
        <f t="shared" si="70"/>
        <v/>
      </c>
      <c r="S1497" s="82"/>
      <c r="U1497" s="37" t="e">
        <f t="shared" si="71"/>
        <v>#VALUE!</v>
      </c>
    </row>
    <row r="1498" spans="1:21" x14ac:dyDescent="0.25">
      <c r="A1498" s="31" t="str">
        <f>IF(Table!A1498 = "","",Table!A1498)</f>
        <v/>
      </c>
      <c r="B1498" s="31" t="str">
        <f>IF(Table!B1498 = "","",Table!B1498)</f>
        <v/>
      </c>
      <c r="C1498" s="31" t="str">
        <f>IF(Table!C1498 = "","",Table!C1498)</f>
        <v/>
      </c>
      <c r="D1498" s="32" t="str">
        <f>IF(Table!D1498 = "","",Table!D1498)</f>
        <v/>
      </c>
      <c r="E1498" s="32" t="str">
        <f>IF(Table!E1498 = "","",Table!E1498)</f>
        <v/>
      </c>
      <c r="F1498" s="32" t="str">
        <f>IF(Table!F1498 = "","",Table!F1498)</f>
        <v/>
      </c>
      <c r="G1498" s="91"/>
      <c r="K1498" s="31" t="str">
        <f>IFERROR(VLOOKUP(A1498,Table!$I$4:$O$3000,1,TRUE),"")</f>
        <v/>
      </c>
      <c r="L1498" s="31" t="str">
        <f>IFERROR(INDEX(Table!I:O,MATCH(K1498,Table!I:I,0),2),"")</f>
        <v/>
      </c>
      <c r="M1498" s="31" t="str">
        <f>IFERROR(INDEX(Table!I:O,MATCH(K1498,Table!I:I,0),3),"")</f>
        <v/>
      </c>
      <c r="N1498" s="32" t="str">
        <f>IFERROR(INDEX(Table!I:O,MATCH(K1498,Table!I:I,0),4),"")</f>
        <v/>
      </c>
      <c r="O1498" s="32" t="str">
        <f>IFERROR(INDEX(Table!I:O,MATCH(K1498,Table!I:I,0),5),"")</f>
        <v/>
      </c>
      <c r="P1498" s="32" t="str">
        <f>IFERROR(INDEX(Table!I:O,MATCH(K1498,Table!I:I,0),6),"")</f>
        <v/>
      </c>
      <c r="Q1498" s="89" t="str">
        <f t="shared" si="69"/>
        <v/>
      </c>
      <c r="R1498" s="89" t="str">
        <f t="shared" si="70"/>
        <v/>
      </c>
      <c r="S1498" s="82"/>
      <c r="U1498" s="37" t="e">
        <f t="shared" si="71"/>
        <v>#VALUE!</v>
      </c>
    </row>
    <row r="1499" spans="1:21" x14ac:dyDescent="0.25">
      <c r="A1499" s="31" t="str">
        <f>IF(Table!A1499 = "","",Table!A1499)</f>
        <v/>
      </c>
      <c r="B1499" s="31" t="str">
        <f>IF(Table!B1499 = "","",Table!B1499)</f>
        <v/>
      </c>
      <c r="C1499" s="31" t="str">
        <f>IF(Table!C1499 = "","",Table!C1499)</f>
        <v/>
      </c>
      <c r="D1499" s="32" t="str">
        <f>IF(Table!D1499 = "","",Table!D1499)</f>
        <v/>
      </c>
      <c r="E1499" s="32" t="str">
        <f>IF(Table!E1499 = "","",Table!E1499)</f>
        <v/>
      </c>
      <c r="F1499" s="32" t="str">
        <f>IF(Table!F1499 = "","",Table!F1499)</f>
        <v/>
      </c>
      <c r="G1499" s="91"/>
      <c r="K1499" s="31" t="str">
        <f>IFERROR(VLOOKUP(A1499,Table!$I$4:$O$3000,1,TRUE),"")</f>
        <v/>
      </c>
      <c r="L1499" s="31" t="str">
        <f>IFERROR(INDEX(Table!I:O,MATCH(K1499,Table!I:I,0),2),"")</f>
        <v/>
      </c>
      <c r="M1499" s="31" t="str">
        <f>IFERROR(INDEX(Table!I:O,MATCH(K1499,Table!I:I,0),3),"")</f>
        <v/>
      </c>
      <c r="N1499" s="32" t="str">
        <f>IFERROR(INDEX(Table!I:O,MATCH(K1499,Table!I:I,0),4),"")</f>
        <v/>
      </c>
      <c r="O1499" s="32" t="str">
        <f>IFERROR(INDEX(Table!I:O,MATCH(K1499,Table!I:I,0),5),"")</f>
        <v/>
      </c>
      <c r="P1499" s="32" t="str">
        <f>IFERROR(INDEX(Table!I:O,MATCH(K1499,Table!I:I,0),6),"")</f>
        <v/>
      </c>
      <c r="Q1499" s="89" t="str">
        <f t="shared" si="69"/>
        <v/>
      </c>
      <c r="R1499" s="89" t="str">
        <f t="shared" si="70"/>
        <v/>
      </c>
      <c r="S1499" s="82"/>
      <c r="U1499" s="37" t="e">
        <f t="shared" si="71"/>
        <v>#VALUE!</v>
      </c>
    </row>
    <row r="1500" spans="1:21" x14ac:dyDescent="0.25">
      <c r="A1500" s="31" t="str">
        <f>IF(Table!A1500 = "","",Table!A1500)</f>
        <v/>
      </c>
      <c r="B1500" s="31" t="str">
        <f>IF(Table!B1500 = "","",Table!B1500)</f>
        <v/>
      </c>
      <c r="C1500" s="31" t="str">
        <f>IF(Table!C1500 = "","",Table!C1500)</f>
        <v/>
      </c>
      <c r="D1500" s="32" t="str">
        <f>IF(Table!D1500 = "","",Table!D1500)</f>
        <v/>
      </c>
      <c r="E1500" s="32" t="str">
        <f>IF(Table!E1500 = "","",Table!E1500)</f>
        <v/>
      </c>
      <c r="F1500" s="32" t="str">
        <f>IF(Table!F1500 = "","",Table!F1500)</f>
        <v/>
      </c>
      <c r="G1500" s="91"/>
      <c r="K1500" s="31" t="str">
        <f>IFERROR(VLOOKUP(A1500,Table!$I$4:$O$3000,1,TRUE),"")</f>
        <v/>
      </c>
      <c r="L1500" s="31" t="str">
        <f>IFERROR(INDEX(Table!I:O,MATCH(K1500,Table!I:I,0),2),"")</f>
        <v/>
      </c>
      <c r="M1500" s="31" t="str">
        <f>IFERROR(INDEX(Table!I:O,MATCH(K1500,Table!I:I,0),3),"")</f>
        <v/>
      </c>
      <c r="N1500" s="32" t="str">
        <f>IFERROR(INDEX(Table!I:O,MATCH(K1500,Table!I:I,0),4),"")</f>
        <v/>
      </c>
      <c r="O1500" s="32" t="str">
        <f>IFERROR(INDEX(Table!I:O,MATCH(K1500,Table!I:I,0),5),"")</f>
        <v/>
      </c>
      <c r="P1500" s="32" t="str">
        <f>IFERROR(INDEX(Table!I:O,MATCH(K1500,Table!I:I,0),6),"")</f>
        <v/>
      </c>
      <c r="Q1500" s="89" t="str">
        <f t="shared" si="69"/>
        <v/>
      </c>
      <c r="R1500" s="89" t="str">
        <f t="shared" si="70"/>
        <v/>
      </c>
      <c r="S1500" s="82"/>
      <c r="U1500" s="37" t="e">
        <f t="shared" si="71"/>
        <v>#VALUE!</v>
      </c>
    </row>
    <row r="1501" spans="1:21" x14ac:dyDescent="0.25">
      <c r="A1501" s="31" t="str">
        <f>IF(Table!A1501 = "","",Table!A1501)</f>
        <v/>
      </c>
      <c r="B1501" s="31" t="str">
        <f>IF(Table!B1501 = "","",Table!B1501)</f>
        <v/>
      </c>
      <c r="C1501" s="31" t="str">
        <f>IF(Table!C1501 = "","",Table!C1501)</f>
        <v/>
      </c>
      <c r="D1501" s="32" t="str">
        <f>IF(Table!D1501 = "","",Table!D1501)</f>
        <v/>
      </c>
      <c r="E1501" s="32" t="str">
        <f>IF(Table!E1501 = "","",Table!E1501)</f>
        <v/>
      </c>
      <c r="F1501" s="32" t="str">
        <f>IF(Table!F1501 = "","",Table!F1501)</f>
        <v/>
      </c>
      <c r="G1501" s="91"/>
      <c r="K1501" s="31" t="str">
        <f>IFERROR(VLOOKUP(A1501,Table!$I$4:$O$3000,1,TRUE),"")</f>
        <v/>
      </c>
      <c r="L1501" s="31" t="str">
        <f>IFERROR(INDEX(Table!I:O,MATCH(K1501,Table!I:I,0),2),"")</f>
        <v/>
      </c>
      <c r="M1501" s="31" t="str">
        <f>IFERROR(INDEX(Table!I:O,MATCH(K1501,Table!I:I,0),3),"")</f>
        <v/>
      </c>
      <c r="N1501" s="32" t="str">
        <f>IFERROR(INDEX(Table!I:O,MATCH(K1501,Table!I:I,0),4),"")</f>
        <v/>
      </c>
      <c r="O1501" s="32" t="str">
        <f>IFERROR(INDEX(Table!I:O,MATCH(K1501,Table!I:I,0),5),"")</f>
        <v/>
      </c>
      <c r="P1501" s="32" t="str">
        <f>IFERROR(INDEX(Table!I:O,MATCH(K1501,Table!I:I,0),6),"")</f>
        <v/>
      </c>
      <c r="Q1501" s="89" t="str">
        <f t="shared" si="69"/>
        <v/>
      </c>
      <c r="R1501" s="89" t="str">
        <f t="shared" si="70"/>
        <v/>
      </c>
      <c r="S1501" s="82"/>
      <c r="U1501" s="37" t="e">
        <f t="shared" si="71"/>
        <v>#VALUE!</v>
      </c>
    </row>
    <row r="1502" spans="1:21" x14ac:dyDescent="0.25">
      <c r="A1502" s="31" t="str">
        <f>IF(Table!A1502 = "","",Table!A1502)</f>
        <v/>
      </c>
      <c r="B1502" s="31" t="str">
        <f>IF(Table!B1502 = "","",Table!B1502)</f>
        <v/>
      </c>
      <c r="C1502" s="31" t="str">
        <f>IF(Table!C1502 = "","",Table!C1502)</f>
        <v/>
      </c>
      <c r="D1502" s="32" t="str">
        <f>IF(Table!D1502 = "","",Table!D1502)</f>
        <v/>
      </c>
      <c r="E1502" s="32" t="str">
        <f>IF(Table!E1502 = "","",Table!E1502)</f>
        <v/>
      </c>
      <c r="F1502" s="32" t="str">
        <f>IF(Table!F1502 = "","",Table!F1502)</f>
        <v/>
      </c>
      <c r="G1502" s="91"/>
      <c r="K1502" s="31" t="str">
        <f>IFERROR(VLOOKUP(A1502,Table!$I$4:$O$3000,1,TRUE),"")</f>
        <v/>
      </c>
      <c r="L1502" s="31" t="str">
        <f>IFERROR(INDEX(Table!I:O,MATCH(K1502,Table!I:I,0),2),"")</f>
        <v/>
      </c>
      <c r="M1502" s="31" t="str">
        <f>IFERROR(INDEX(Table!I:O,MATCH(K1502,Table!I:I,0),3),"")</f>
        <v/>
      </c>
      <c r="N1502" s="32" t="str">
        <f>IFERROR(INDEX(Table!I:O,MATCH(K1502,Table!I:I,0),4),"")</f>
        <v/>
      </c>
      <c r="O1502" s="32" t="str">
        <f>IFERROR(INDEX(Table!I:O,MATCH(K1502,Table!I:I,0),5),"")</f>
        <v/>
      </c>
      <c r="P1502" s="32" t="str">
        <f>IFERROR(INDEX(Table!I:O,MATCH(K1502,Table!I:I,0),6),"")</f>
        <v/>
      </c>
      <c r="Q1502" s="89" t="str">
        <f t="shared" si="69"/>
        <v/>
      </c>
      <c r="R1502" s="89" t="str">
        <f t="shared" si="70"/>
        <v/>
      </c>
      <c r="S1502" s="82"/>
      <c r="U1502" s="37" t="e">
        <f t="shared" si="71"/>
        <v>#VALUE!</v>
      </c>
    </row>
    <row r="1503" spans="1:21" x14ac:dyDescent="0.25">
      <c r="A1503" s="31" t="str">
        <f>IF(Table!A1503 = "","",Table!A1503)</f>
        <v/>
      </c>
      <c r="B1503" s="31" t="str">
        <f>IF(Table!B1503 = "","",Table!B1503)</f>
        <v/>
      </c>
      <c r="C1503" s="31" t="str">
        <f>IF(Table!C1503 = "","",Table!C1503)</f>
        <v/>
      </c>
      <c r="D1503" s="32" t="str">
        <f>IF(Table!D1503 = "","",Table!D1503)</f>
        <v/>
      </c>
      <c r="E1503" s="32" t="str">
        <f>IF(Table!E1503 = "","",Table!E1503)</f>
        <v/>
      </c>
      <c r="F1503" s="32" t="str">
        <f>IF(Table!F1503 = "","",Table!F1503)</f>
        <v/>
      </c>
      <c r="G1503" s="91"/>
      <c r="K1503" s="31" t="str">
        <f>IFERROR(VLOOKUP(A1503,Table!$I$4:$O$3000,1,TRUE),"")</f>
        <v/>
      </c>
      <c r="L1503" s="31" t="str">
        <f>IFERROR(INDEX(Table!I:O,MATCH(K1503,Table!I:I,0),2),"")</f>
        <v/>
      </c>
      <c r="M1503" s="31" t="str">
        <f>IFERROR(INDEX(Table!I:O,MATCH(K1503,Table!I:I,0),3),"")</f>
        <v/>
      </c>
      <c r="N1503" s="32" t="str">
        <f>IFERROR(INDEX(Table!I:O,MATCH(K1503,Table!I:I,0),4),"")</f>
        <v/>
      </c>
      <c r="O1503" s="32" t="str">
        <f>IFERROR(INDEX(Table!I:O,MATCH(K1503,Table!I:I,0),5),"")</f>
        <v/>
      </c>
      <c r="P1503" s="32" t="str">
        <f>IFERROR(INDEX(Table!I:O,MATCH(K1503,Table!I:I,0),6),"")</f>
        <v/>
      </c>
      <c r="Q1503" s="89" t="str">
        <f t="shared" si="69"/>
        <v/>
      </c>
      <c r="R1503" s="89" t="str">
        <f t="shared" si="70"/>
        <v/>
      </c>
      <c r="S1503" s="82"/>
      <c r="U1503" s="37" t="e">
        <f t="shared" si="71"/>
        <v>#VALUE!</v>
      </c>
    </row>
    <row r="1504" spans="1:21" x14ac:dyDescent="0.25">
      <c r="A1504" s="31" t="str">
        <f>IF(Table!A1504 = "","",Table!A1504)</f>
        <v/>
      </c>
      <c r="B1504" s="31" t="str">
        <f>IF(Table!B1504 = "","",Table!B1504)</f>
        <v/>
      </c>
      <c r="C1504" s="31" t="str">
        <f>IF(Table!C1504 = "","",Table!C1504)</f>
        <v/>
      </c>
      <c r="D1504" s="32" t="str">
        <f>IF(Table!D1504 = "","",Table!D1504)</f>
        <v/>
      </c>
      <c r="E1504" s="32" t="str">
        <f>IF(Table!E1504 = "","",Table!E1504)</f>
        <v/>
      </c>
      <c r="F1504" s="32" t="str">
        <f>IF(Table!F1504 = "","",Table!F1504)</f>
        <v/>
      </c>
      <c r="G1504" s="91"/>
      <c r="K1504" s="31" t="str">
        <f>IFERROR(VLOOKUP(A1504,Table!$I$4:$O$3000,1,TRUE),"")</f>
        <v/>
      </c>
      <c r="L1504" s="31" t="str">
        <f>IFERROR(INDEX(Table!I:O,MATCH(K1504,Table!I:I,0),2),"")</f>
        <v/>
      </c>
      <c r="M1504" s="31" t="str">
        <f>IFERROR(INDEX(Table!I:O,MATCH(K1504,Table!I:I,0),3),"")</f>
        <v/>
      </c>
      <c r="N1504" s="32" t="str">
        <f>IFERROR(INDEX(Table!I:O,MATCH(K1504,Table!I:I,0),4),"")</f>
        <v/>
      </c>
      <c r="O1504" s="32" t="str">
        <f>IFERROR(INDEX(Table!I:O,MATCH(K1504,Table!I:I,0),5),"")</f>
        <v/>
      </c>
      <c r="P1504" s="32" t="str">
        <f>IFERROR(INDEX(Table!I:O,MATCH(K1504,Table!I:I,0),6),"")</f>
        <v/>
      </c>
      <c r="Q1504" s="89" t="str">
        <f t="shared" si="69"/>
        <v/>
      </c>
      <c r="R1504" s="89" t="str">
        <f t="shared" si="70"/>
        <v/>
      </c>
      <c r="S1504" s="82"/>
      <c r="U1504" s="37" t="e">
        <f t="shared" si="71"/>
        <v>#VALUE!</v>
      </c>
    </row>
    <row r="1505" spans="1:21" x14ac:dyDescent="0.25">
      <c r="A1505" s="31" t="str">
        <f>IF(Table!A1505 = "","",Table!A1505)</f>
        <v/>
      </c>
      <c r="B1505" s="31" t="str">
        <f>IF(Table!B1505 = "","",Table!B1505)</f>
        <v/>
      </c>
      <c r="C1505" s="31" t="str">
        <f>IF(Table!C1505 = "","",Table!C1505)</f>
        <v/>
      </c>
      <c r="D1505" s="32" t="str">
        <f>IF(Table!D1505 = "","",Table!D1505)</f>
        <v/>
      </c>
      <c r="E1505" s="32" t="str">
        <f>IF(Table!E1505 = "","",Table!E1505)</f>
        <v/>
      </c>
      <c r="F1505" s="32" t="str">
        <f>IF(Table!F1505 = "","",Table!F1505)</f>
        <v/>
      </c>
      <c r="G1505" s="91"/>
      <c r="K1505" s="31" t="str">
        <f>IFERROR(VLOOKUP(A1505,Table!$I$4:$O$3000,1,TRUE),"")</f>
        <v/>
      </c>
      <c r="L1505" s="31" t="str">
        <f>IFERROR(INDEX(Table!I:O,MATCH(K1505,Table!I:I,0),2),"")</f>
        <v/>
      </c>
      <c r="M1505" s="31" t="str">
        <f>IFERROR(INDEX(Table!I:O,MATCH(K1505,Table!I:I,0),3),"")</f>
        <v/>
      </c>
      <c r="N1505" s="32" t="str">
        <f>IFERROR(INDEX(Table!I:O,MATCH(K1505,Table!I:I,0),4),"")</f>
        <v/>
      </c>
      <c r="O1505" s="32" t="str">
        <f>IFERROR(INDEX(Table!I:O,MATCH(K1505,Table!I:I,0),5),"")</f>
        <v/>
      </c>
      <c r="P1505" s="32" t="str">
        <f>IFERROR(INDEX(Table!I:O,MATCH(K1505,Table!I:I,0),6),"")</f>
        <v/>
      </c>
      <c r="Q1505" s="89" t="str">
        <f t="shared" si="69"/>
        <v/>
      </c>
      <c r="R1505" s="89" t="str">
        <f t="shared" si="70"/>
        <v/>
      </c>
      <c r="S1505" s="82"/>
      <c r="U1505" s="37" t="e">
        <f t="shared" si="71"/>
        <v>#VALUE!</v>
      </c>
    </row>
    <row r="1506" spans="1:21" x14ac:dyDescent="0.25">
      <c r="A1506" s="31" t="str">
        <f>IF(Table!A1506 = "","",Table!A1506)</f>
        <v/>
      </c>
      <c r="B1506" s="31" t="str">
        <f>IF(Table!B1506 = "","",Table!B1506)</f>
        <v/>
      </c>
      <c r="C1506" s="31" t="str">
        <f>IF(Table!C1506 = "","",Table!C1506)</f>
        <v/>
      </c>
      <c r="D1506" s="32" t="str">
        <f>IF(Table!D1506 = "","",Table!D1506)</f>
        <v/>
      </c>
      <c r="E1506" s="32" t="str">
        <f>IF(Table!E1506 = "","",Table!E1506)</f>
        <v/>
      </c>
      <c r="F1506" s="32" t="str">
        <f>IF(Table!F1506 = "","",Table!F1506)</f>
        <v/>
      </c>
      <c r="G1506" s="91"/>
      <c r="K1506" s="31" t="str">
        <f>IFERROR(VLOOKUP(A1506,Table!$I$4:$O$3000,1,TRUE),"")</f>
        <v/>
      </c>
      <c r="L1506" s="31" t="str">
        <f>IFERROR(INDEX(Table!I:O,MATCH(K1506,Table!I:I,0),2),"")</f>
        <v/>
      </c>
      <c r="M1506" s="31" t="str">
        <f>IFERROR(INDEX(Table!I:O,MATCH(K1506,Table!I:I,0),3),"")</f>
        <v/>
      </c>
      <c r="N1506" s="32" t="str">
        <f>IFERROR(INDEX(Table!I:O,MATCH(K1506,Table!I:I,0),4),"")</f>
        <v/>
      </c>
      <c r="O1506" s="32" t="str">
        <f>IFERROR(INDEX(Table!I:O,MATCH(K1506,Table!I:I,0),5),"")</f>
        <v/>
      </c>
      <c r="P1506" s="32" t="str">
        <f>IFERROR(INDEX(Table!I:O,MATCH(K1506,Table!I:I,0),6),"")</f>
        <v/>
      </c>
      <c r="Q1506" s="89" t="str">
        <f t="shared" si="69"/>
        <v/>
      </c>
      <c r="R1506" s="89" t="str">
        <f t="shared" si="70"/>
        <v/>
      </c>
      <c r="S1506" s="82"/>
      <c r="U1506" s="37" t="e">
        <f t="shared" si="71"/>
        <v>#VALUE!</v>
      </c>
    </row>
    <row r="1507" spans="1:21" x14ac:dyDescent="0.25">
      <c r="A1507" s="31" t="str">
        <f>IF(Table!A1507 = "","",Table!A1507)</f>
        <v/>
      </c>
      <c r="B1507" s="31" t="str">
        <f>IF(Table!B1507 = "","",Table!B1507)</f>
        <v/>
      </c>
      <c r="C1507" s="31" t="str">
        <f>IF(Table!C1507 = "","",Table!C1507)</f>
        <v/>
      </c>
      <c r="D1507" s="32" t="str">
        <f>IF(Table!D1507 = "","",Table!D1507)</f>
        <v/>
      </c>
      <c r="E1507" s="32" t="str">
        <f>IF(Table!E1507 = "","",Table!E1507)</f>
        <v/>
      </c>
      <c r="F1507" s="32" t="str">
        <f>IF(Table!F1507 = "","",Table!F1507)</f>
        <v/>
      </c>
      <c r="G1507" s="91"/>
      <c r="K1507" s="31" t="str">
        <f>IFERROR(VLOOKUP(A1507,Table!$I$4:$O$3000,1,TRUE),"")</f>
        <v/>
      </c>
      <c r="L1507" s="31" t="str">
        <f>IFERROR(INDEX(Table!I:O,MATCH(K1507,Table!I:I,0),2),"")</f>
        <v/>
      </c>
      <c r="M1507" s="31" t="str">
        <f>IFERROR(INDEX(Table!I:O,MATCH(K1507,Table!I:I,0),3),"")</f>
        <v/>
      </c>
      <c r="N1507" s="32" t="str">
        <f>IFERROR(INDEX(Table!I:O,MATCH(K1507,Table!I:I,0),4),"")</f>
        <v/>
      </c>
      <c r="O1507" s="32" t="str">
        <f>IFERROR(INDEX(Table!I:O,MATCH(K1507,Table!I:I,0),5),"")</f>
        <v/>
      </c>
      <c r="P1507" s="32" t="str">
        <f>IFERROR(INDEX(Table!I:O,MATCH(K1507,Table!I:I,0),6),"")</f>
        <v/>
      </c>
      <c r="Q1507" s="89" t="str">
        <f t="shared" si="69"/>
        <v/>
      </c>
      <c r="R1507" s="89" t="str">
        <f t="shared" si="70"/>
        <v/>
      </c>
      <c r="S1507" s="82"/>
      <c r="U1507" s="37" t="e">
        <f t="shared" si="71"/>
        <v>#VALUE!</v>
      </c>
    </row>
    <row r="1508" spans="1:21" x14ac:dyDescent="0.25">
      <c r="A1508" s="31" t="str">
        <f>IF(Table!A1508 = "","",Table!A1508)</f>
        <v/>
      </c>
      <c r="B1508" s="31" t="str">
        <f>IF(Table!B1508 = "","",Table!B1508)</f>
        <v/>
      </c>
      <c r="C1508" s="31" t="str">
        <f>IF(Table!C1508 = "","",Table!C1508)</f>
        <v/>
      </c>
      <c r="D1508" s="32" t="str">
        <f>IF(Table!D1508 = "","",Table!D1508)</f>
        <v/>
      </c>
      <c r="E1508" s="32" t="str">
        <f>IF(Table!E1508 = "","",Table!E1508)</f>
        <v/>
      </c>
      <c r="F1508" s="32" t="str">
        <f>IF(Table!F1508 = "","",Table!F1508)</f>
        <v/>
      </c>
      <c r="G1508" s="91"/>
      <c r="K1508" s="31" t="str">
        <f>IFERROR(VLOOKUP(A1508,Table!$I$4:$O$3000,1,TRUE),"")</f>
        <v/>
      </c>
      <c r="L1508" s="31" t="str">
        <f>IFERROR(INDEX(Table!I:O,MATCH(K1508,Table!I:I,0),2),"")</f>
        <v/>
      </c>
      <c r="M1508" s="31" t="str">
        <f>IFERROR(INDEX(Table!I:O,MATCH(K1508,Table!I:I,0),3),"")</f>
        <v/>
      </c>
      <c r="N1508" s="32" t="str">
        <f>IFERROR(INDEX(Table!I:O,MATCH(K1508,Table!I:I,0),4),"")</f>
        <v/>
      </c>
      <c r="O1508" s="32" t="str">
        <f>IFERROR(INDEX(Table!I:O,MATCH(K1508,Table!I:I,0),5),"")</f>
        <v/>
      </c>
      <c r="P1508" s="32" t="str">
        <f>IFERROR(INDEX(Table!I:O,MATCH(K1508,Table!I:I,0),6),"")</f>
        <v/>
      </c>
      <c r="Q1508" s="89" t="str">
        <f t="shared" si="69"/>
        <v/>
      </c>
      <c r="R1508" s="89" t="str">
        <f t="shared" si="70"/>
        <v/>
      </c>
      <c r="S1508" s="82"/>
      <c r="U1508" s="37" t="e">
        <f t="shared" si="71"/>
        <v>#VALUE!</v>
      </c>
    </row>
    <row r="1509" spans="1:21" x14ac:dyDescent="0.25">
      <c r="A1509" s="31" t="str">
        <f>IF(Table!A1509 = "","",Table!A1509)</f>
        <v/>
      </c>
      <c r="B1509" s="31" t="str">
        <f>IF(Table!B1509 = "","",Table!B1509)</f>
        <v/>
      </c>
      <c r="C1509" s="31" t="str">
        <f>IF(Table!C1509 = "","",Table!C1509)</f>
        <v/>
      </c>
      <c r="D1509" s="32" t="str">
        <f>IF(Table!D1509 = "","",Table!D1509)</f>
        <v/>
      </c>
      <c r="E1509" s="32" t="str">
        <f>IF(Table!E1509 = "","",Table!E1509)</f>
        <v/>
      </c>
      <c r="F1509" s="32" t="str">
        <f>IF(Table!F1509 = "","",Table!F1509)</f>
        <v/>
      </c>
      <c r="G1509" s="91"/>
      <c r="K1509" s="31" t="str">
        <f>IFERROR(VLOOKUP(A1509,Table!$I$4:$O$3000,1,TRUE),"")</f>
        <v/>
      </c>
      <c r="L1509" s="31" t="str">
        <f>IFERROR(INDEX(Table!I:O,MATCH(K1509,Table!I:I,0),2),"")</f>
        <v/>
      </c>
      <c r="M1509" s="31" t="str">
        <f>IFERROR(INDEX(Table!I:O,MATCH(K1509,Table!I:I,0),3),"")</f>
        <v/>
      </c>
      <c r="N1509" s="32" t="str">
        <f>IFERROR(INDEX(Table!I:O,MATCH(K1509,Table!I:I,0),4),"")</f>
        <v/>
      </c>
      <c r="O1509" s="32" t="str">
        <f>IFERROR(INDEX(Table!I:O,MATCH(K1509,Table!I:I,0),5),"")</f>
        <v/>
      </c>
      <c r="P1509" s="32" t="str">
        <f>IFERROR(INDEX(Table!I:O,MATCH(K1509,Table!I:I,0),6),"")</f>
        <v/>
      </c>
      <c r="Q1509" s="89" t="str">
        <f t="shared" si="69"/>
        <v/>
      </c>
      <c r="R1509" s="89" t="str">
        <f t="shared" si="70"/>
        <v/>
      </c>
      <c r="S1509" s="82"/>
      <c r="U1509" s="37" t="e">
        <f t="shared" si="71"/>
        <v>#VALUE!</v>
      </c>
    </row>
    <row r="1510" spans="1:21" x14ac:dyDescent="0.25">
      <c r="A1510" s="31" t="str">
        <f>IF(Table!A1510 = "","",Table!A1510)</f>
        <v/>
      </c>
      <c r="B1510" s="31" t="str">
        <f>IF(Table!B1510 = "","",Table!B1510)</f>
        <v/>
      </c>
      <c r="C1510" s="31" t="str">
        <f>IF(Table!C1510 = "","",Table!C1510)</f>
        <v/>
      </c>
      <c r="D1510" s="32" t="str">
        <f>IF(Table!D1510 = "","",Table!D1510)</f>
        <v/>
      </c>
      <c r="E1510" s="32" t="str">
        <f>IF(Table!E1510 = "","",Table!E1510)</f>
        <v/>
      </c>
      <c r="F1510" s="32" t="str">
        <f>IF(Table!F1510 = "","",Table!F1510)</f>
        <v/>
      </c>
      <c r="G1510" s="91"/>
      <c r="K1510" s="31" t="str">
        <f>IFERROR(VLOOKUP(A1510,Table!$I$4:$O$3000,1,TRUE),"")</f>
        <v/>
      </c>
      <c r="L1510" s="31" t="str">
        <f>IFERROR(INDEX(Table!I:O,MATCH(K1510,Table!I:I,0),2),"")</f>
        <v/>
      </c>
      <c r="M1510" s="31" t="str">
        <f>IFERROR(INDEX(Table!I:O,MATCH(K1510,Table!I:I,0),3),"")</f>
        <v/>
      </c>
      <c r="N1510" s="32" t="str">
        <f>IFERROR(INDEX(Table!I:O,MATCH(K1510,Table!I:I,0),4),"")</f>
        <v/>
      </c>
      <c r="O1510" s="32" t="str">
        <f>IFERROR(INDEX(Table!I:O,MATCH(K1510,Table!I:I,0),5),"")</f>
        <v/>
      </c>
      <c r="P1510" s="32" t="str">
        <f>IFERROR(INDEX(Table!I:O,MATCH(K1510,Table!I:I,0),6),"")</f>
        <v/>
      </c>
      <c r="Q1510" s="89" t="str">
        <f t="shared" si="69"/>
        <v/>
      </c>
      <c r="R1510" s="89" t="str">
        <f t="shared" si="70"/>
        <v/>
      </c>
      <c r="S1510" s="82"/>
      <c r="U1510" s="37" t="e">
        <f t="shared" si="71"/>
        <v>#VALUE!</v>
      </c>
    </row>
    <row r="1511" spans="1:21" x14ac:dyDescent="0.25">
      <c r="A1511" s="31" t="str">
        <f>IF(Table!A1511 = "","",Table!A1511)</f>
        <v/>
      </c>
      <c r="B1511" s="31" t="str">
        <f>IF(Table!B1511 = "","",Table!B1511)</f>
        <v/>
      </c>
      <c r="C1511" s="31" t="str">
        <f>IF(Table!C1511 = "","",Table!C1511)</f>
        <v/>
      </c>
      <c r="D1511" s="32" t="str">
        <f>IF(Table!D1511 = "","",Table!D1511)</f>
        <v/>
      </c>
      <c r="E1511" s="32" t="str">
        <f>IF(Table!E1511 = "","",Table!E1511)</f>
        <v/>
      </c>
      <c r="F1511" s="32" t="str">
        <f>IF(Table!F1511 = "","",Table!F1511)</f>
        <v/>
      </c>
      <c r="G1511" s="91"/>
      <c r="K1511" s="31" t="str">
        <f>IFERROR(VLOOKUP(A1511,Table!$I$4:$O$3000,1,TRUE),"")</f>
        <v/>
      </c>
      <c r="L1511" s="31" t="str">
        <f>IFERROR(INDEX(Table!I:O,MATCH(K1511,Table!I:I,0),2),"")</f>
        <v/>
      </c>
      <c r="M1511" s="31" t="str">
        <f>IFERROR(INDEX(Table!I:O,MATCH(K1511,Table!I:I,0),3),"")</f>
        <v/>
      </c>
      <c r="N1511" s="32" t="str">
        <f>IFERROR(INDEX(Table!I:O,MATCH(K1511,Table!I:I,0),4),"")</f>
        <v/>
      </c>
      <c r="O1511" s="32" t="str">
        <f>IFERROR(INDEX(Table!I:O,MATCH(K1511,Table!I:I,0),5),"")</f>
        <v/>
      </c>
      <c r="P1511" s="32" t="str">
        <f>IFERROR(INDEX(Table!I:O,MATCH(K1511,Table!I:I,0),6),"")</f>
        <v/>
      </c>
      <c r="Q1511" s="89" t="str">
        <f t="shared" si="69"/>
        <v/>
      </c>
      <c r="R1511" s="89" t="str">
        <f t="shared" si="70"/>
        <v/>
      </c>
      <c r="S1511" s="82"/>
      <c r="U1511" s="37" t="e">
        <f t="shared" si="71"/>
        <v>#VALUE!</v>
      </c>
    </row>
    <row r="1512" spans="1:21" x14ac:dyDescent="0.25">
      <c r="A1512" s="31" t="str">
        <f>IF(Table!A1512 = "","",Table!A1512)</f>
        <v/>
      </c>
      <c r="B1512" s="31" t="str">
        <f>IF(Table!B1512 = "","",Table!B1512)</f>
        <v/>
      </c>
      <c r="C1512" s="31" t="str">
        <f>IF(Table!C1512 = "","",Table!C1512)</f>
        <v/>
      </c>
      <c r="D1512" s="32" t="str">
        <f>IF(Table!D1512 = "","",Table!D1512)</f>
        <v/>
      </c>
      <c r="E1512" s="32" t="str">
        <f>IF(Table!E1512 = "","",Table!E1512)</f>
        <v/>
      </c>
      <c r="F1512" s="32" t="str">
        <f>IF(Table!F1512 = "","",Table!F1512)</f>
        <v/>
      </c>
      <c r="G1512" s="91"/>
      <c r="K1512" s="31" t="str">
        <f>IFERROR(VLOOKUP(A1512,Table!$I$4:$O$3000,1,TRUE),"")</f>
        <v/>
      </c>
      <c r="L1512" s="31" t="str">
        <f>IFERROR(INDEX(Table!I:O,MATCH(K1512,Table!I:I,0),2),"")</f>
        <v/>
      </c>
      <c r="M1512" s="31" t="str">
        <f>IFERROR(INDEX(Table!I:O,MATCH(K1512,Table!I:I,0),3),"")</f>
        <v/>
      </c>
      <c r="N1512" s="32" t="str">
        <f>IFERROR(INDEX(Table!I:O,MATCH(K1512,Table!I:I,0),4),"")</f>
        <v/>
      </c>
      <c r="O1512" s="32" t="str">
        <f>IFERROR(INDEX(Table!I:O,MATCH(K1512,Table!I:I,0),5),"")</f>
        <v/>
      </c>
      <c r="P1512" s="32" t="str">
        <f>IFERROR(INDEX(Table!I:O,MATCH(K1512,Table!I:I,0),6),"")</f>
        <v/>
      </c>
      <c r="Q1512" s="89" t="str">
        <f t="shared" si="69"/>
        <v/>
      </c>
      <c r="R1512" s="89" t="str">
        <f t="shared" si="70"/>
        <v/>
      </c>
      <c r="S1512" s="82"/>
      <c r="U1512" s="37" t="e">
        <f t="shared" si="71"/>
        <v>#VALUE!</v>
      </c>
    </row>
    <row r="1513" spans="1:21" x14ac:dyDescent="0.25">
      <c r="A1513" s="31" t="str">
        <f>IF(Table!A1513 = "","",Table!A1513)</f>
        <v/>
      </c>
      <c r="B1513" s="31" t="str">
        <f>IF(Table!B1513 = "","",Table!B1513)</f>
        <v/>
      </c>
      <c r="C1513" s="31" t="str">
        <f>IF(Table!C1513 = "","",Table!C1513)</f>
        <v/>
      </c>
      <c r="D1513" s="32" t="str">
        <f>IF(Table!D1513 = "","",Table!D1513)</f>
        <v/>
      </c>
      <c r="E1513" s="32" t="str">
        <f>IF(Table!E1513 = "","",Table!E1513)</f>
        <v/>
      </c>
      <c r="F1513" s="32" t="str">
        <f>IF(Table!F1513 = "","",Table!F1513)</f>
        <v/>
      </c>
      <c r="G1513" s="91"/>
      <c r="K1513" s="31" t="str">
        <f>IFERROR(VLOOKUP(A1513,Table!$I$4:$O$3000,1,TRUE),"")</f>
        <v/>
      </c>
      <c r="L1513" s="31" t="str">
        <f>IFERROR(INDEX(Table!I:O,MATCH(K1513,Table!I:I,0),2),"")</f>
        <v/>
      </c>
      <c r="M1513" s="31" t="str">
        <f>IFERROR(INDEX(Table!I:O,MATCH(K1513,Table!I:I,0),3),"")</f>
        <v/>
      </c>
      <c r="N1513" s="32" t="str">
        <f>IFERROR(INDEX(Table!I:O,MATCH(K1513,Table!I:I,0),4),"")</f>
        <v/>
      </c>
      <c r="O1513" s="32" t="str">
        <f>IFERROR(INDEX(Table!I:O,MATCH(K1513,Table!I:I,0),5),"")</f>
        <v/>
      </c>
      <c r="P1513" s="32" t="str">
        <f>IFERROR(INDEX(Table!I:O,MATCH(K1513,Table!I:I,0),6),"")</f>
        <v/>
      </c>
      <c r="Q1513" s="89" t="str">
        <f t="shared" si="69"/>
        <v/>
      </c>
      <c r="R1513" s="89" t="str">
        <f t="shared" si="70"/>
        <v/>
      </c>
      <c r="S1513" s="82"/>
      <c r="U1513" s="37" t="e">
        <f t="shared" si="71"/>
        <v>#VALUE!</v>
      </c>
    </row>
    <row r="1514" spans="1:21" x14ac:dyDescent="0.25">
      <c r="A1514" s="31" t="str">
        <f>IF(Table!A1514 = "","",Table!A1514)</f>
        <v/>
      </c>
      <c r="B1514" s="31" t="str">
        <f>IF(Table!B1514 = "","",Table!B1514)</f>
        <v/>
      </c>
      <c r="C1514" s="31" t="str">
        <f>IF(Table!C1514 = "","",Table!C1514)</f>
        <v/>
      </c>
      <c r="D1514" s="32" t="str">
        <f>IF(Table!D1514 = "","",Table!D1514)</f>
        <v/>
      </c>
      <c r="E1514" s="32" t="str">
        <f>IF(Table!E1514 = "","",Table!E1514)</f>
        <v/>
      </c>
      <c r="F1514" s="32" t="str">
        <f>IF(Table!F1514 = "","",Table!F1514)</f>
        <v/>
      </c>
      <c r="G1514" s="91"/>
      <c r="K1514" s="31" t="str">
        <f>IFERROR(VLOOKUP(A1514,Table!$I$4:$O$3000,1,TRUE),"")</f>
        <v/>
      </c>
      <c r="L1514" s="31" t="str">
        <f>IFERROR(INDEX(Table!I:O,MATCH(K1514,Table!I:I,0),2),"")</f>
        <v/>
      </c>
      <c r="M1514" s="31" t="str">
        <f>IFERROR(INDEX(Table!I:O,MATCH(K1514,Table!I:I,0),3),"")</f>
        <v/>
      </c>
      <c r="N1514" s="32" t="str">
        <f>IFERROR(INDEX(Table!I:O,MATCH(K1514,Table!I:I,0),4),"")</f>
        <v/>
      </c>
      <c r="O1514" s="32" t="str">
        <f>IFERROR(INDEX(Table!I:O,MATCH(K1514,Table!I:I,0),5),"")</f>
        <v/>
      </c>
      <c r="P1514" s="32" t="str">
        <f>IFERROR(INDEX(Table!I:O,MATCH(K1514,Table!I:I,0),6),"")</f>
        <v/>
      </c>
      <c r="Q1514" s="89" t="str">
        <f t="shared" si="69"/>
        <v/>
      </c>
      <c r="R1514" s="89" t="str">
        <f t="shared" si="70"/>
        <v/>
      </c>
      <c r="S1514" s="82"/>
      <c r="U1514" s="37" t="e">
        <f t="shared" si="71"/>
        <v>#VALUE!</v>
      </c>
    </row>
    <row r="1515" spans="1:21" x14ac:dyDescent="0.25">
      <c r="A1515" s="31" t="str">
        <f>IF(Table!A1515 = "","",Table!A1515)</f>
        <v/>
      </c>
      <c r="B1515" s="31" t="str">
        <f>IF(Table!B1515 = "","",Table!B1515)</f>
        <v/>
      </c>
      <c r="C1515" s="31" t="str">
        <f>IF(Table!C1515 = "","",Table!C1515)</f>
        <v/>
      </c>
      <c r="D1515" s="32" t="str">
        <f>IF(Table!D1515 = "","",Table!D1515)</f>
        <v/>
      </c>
      <c r="E1515" s="32" t="str">
        <f>IF(Table!E1515 = "","",Table!E1515)</f>
        <v/>
      </c>
      <c r="F1515" s="32" t="str">
        <f>IF(Table!F1515 = "","",Table!F1515)</f>
        <v/>
      </c>
      <c r="G1515" s="91"/>
      <c r="K1515" s="31" t="str">
        <f>IFERROR(VLOOKUP(A1515,Table!$I$4:$O$3000,1,TRUE),"")</f>
        <v/>
      </c>
      <c r="L1515" s="31" t="str">
        <f>IFERROR(INDEX(Table!I:O,MATCH(K1515,Table!I:I,0),2),"")</f>
        <v/>
      </c>
      <c r="M1515" s="31" t="str">
        <f>IFERROR(INDEX(Table!I:O,MATCH(K1515,Table!I:I,0),3),"")</f>
        <v/>
      </c>
      <c r="N1515" s="32" t="str">
        <f>IFERROR(INDEX(Table!I:O,MATCH(K1515,Table!I:I,0),4),"")</f>
        <v/>
      </c>
      <c r="O1515" s="32" t="str">
        <f>IFERROR(INDEX(Table!I:O,MATCH(K1515,Table!I:I,0),5),"")</f>
        <v/>
      </c>
      <c r="P1515" s="32" t="str">
        <f>IFERROR(INDEX(Table!I:O,MATCH(K1515,Table!I:I,0),6),"")</f>
        <v/>
      </c>
      <c r="Q1515" s="89" t="str">
        <f t="shared" si="69"/>
        <v/>
      </c>
      <c r="R1515" s="89" t="str">
        <f t="shared" si="70"/>
        <v/>
      </c>
      <c r="S1515" s="82"/>
      <c r="U1515" s="37" t="e">
        <f t="shared" si="71"/>
        <v>#VALUE!</v>
      </c>
    </row>
    <row r="1516" spans="1:21" x14ac:dyDescent="0.25">
      <c r="A1516" s="31" t="str">
        <f>IF(Table!A1516 = "","",Table!A1516)</f>
        <v/>
      </c>
      <c r="B1516" s="31" t="str">
        <f>IF(Table!B1516 = "","",Table!B1516)</f>
        <v/>
      </c>
      <c r="C1516" s="31" t="str">
        <f>IF(Table!C1516 = "","",Table!C1516)</f>
        <v/>
      </c>
      <c r="D1516" s="32" t="str">
        <f>IF(Table!D1516 = "","",Table!D1516)</f>
        <v/>
      </c>
      <c r="E1516" s="32" t="str">
        <f>IF(Table!E1516 = "","",Table!E1516)</f>
        <v/>
      </c>
      <c r="F1516" s="32" t="str">
        <f>IF(Table!F1516 = "","",Table!F1516)</f>
        <v/>
      </c>
      <c r="G1516" s="91"/>
      <c r="K1516" s="31" t="str">
        <f>IFERROR(VLOOKUP(A1516,Table!$I$4:$O$3000,1,TRUE),"")</f>
        <v/>
      </c>
      <c r="L1516" s="31" t="str">
        <f>IFERROR(INDEX(Table!I:O,MATCH(K1516,Table!I:I,0),2),"")</f>
        <v/>
      </c>
      <c r="M1516" s="31" t="str">
        <f>IFERROR(INDEX(Table!I:O,MATCH(K1516,Table!I:I,0),3),"")</f>
        <v/>
      </c>
      <c r="N1516" s="32" t="str">
        <f>IFERROR(INDEX(Table!I:O,MATCH(K1516,Table!I:I,0),4),"")</f>
        <v/>
      </c>
      <c r="O1516" s="32" t="str">
        <f>IFERROR(INDEX(Table!I:O,MATCH(K1516,Table!I:I,0),5),"")</f>
        <v/>
      </c>
      <c r="P1516" s="32" t="str">
        <f>IFERROR(INDEX(Table!I:O,MATCH(K1516,Table!I:I,0),6),"")</f>
        <v/>
      </c>
      <c r="Q1516" s="89" t="str">
        <f t="shared" si="69"/>
        <v/>
      </c>
      <c r="R1516" s="89" t="str">
        <f t="shared" si="70"/>
        <v/>
      </c>
      <c r="S1516" s="82"/>
      <c r="U1516" s="37" t="e">
        <f t="shared" si="71"/>
        <v>#VALUE!</v>
      </c>
    </row>
    <row r="1517" spans="1:21" x14ac:dyDescent="0.25">
      <c r="A1517" s="31" t="str">
        <f>IF(Table!A1517 = "","",Table!A1517)</f>
        <v/>
      </c>
      <c r="B1517" s="31" t="str">
        <f>IF(Table!B1517 = "","",Table!B1517)</f>
        <v/>
      </c>
      <c r="C1517" s="31" t="str">
        <f>IF(Table!C1517 = "","",Table!C1517)</f>
        <v/>
      </c>
      <c r="D1517" s="32" t="str">
        <f>IF(Table!D1517 = "","",Table!D1517)</f>
        <v/>
      </c>
      <c r="E1517" s="32" t="str">
        <f>IF(Table!E1517 = "","",Table!E1517)</f>
        <v/>
      </c>
      <c r="F1517" s="32" t="str">
        <f>IF(Table!F1517 = "","",Table!F1517)</f>
        <v/>
      </c>
      <c r="G1517" s="91"/>
      <c r="K1517" s="31" t="str">
        <f>IFERROR(VLOOKUP(A1517,Table!$I$4:$O$3000,1,TRUE),"")</f>
        <v/>
      </c>
      <c r="L1517" s="31" t="str">
        <f>IFERROR(INDEX(Table!I:O,MATCH(K1517,Table!I:I,0),2),"")</f>
        <v/>
      </c>
      <c r="M1517" s="31" t="str">
        <f>IFERROR(INDEX(Table!I:O,MATCH(K1517,Table!I:I,0),3),"")</f>
        <v/>
      </c>
      <c r="N1517" s="32" t="str">
        <f>IFERROR(INDEX(Table!I:O,MATCH(K1517,Table!I:I,0),4),"")</f>
        <v/>
      </c>
      <c r="O1517" s="32" t="str">
        <f>IFERROR(INDEX(Table!I:O,MATCH(K1517,Table!I:I,0),5),"")</f>
        <v/>
      </c>
      <c r="P1517" s="32" t="str">
        <f>IFERROR(INDEX(Table!I:O,MATCH(K1517,Table!I:I,0),6),"")</f>
        <v/>
      </c>
      <c r="Q1517" s="89" t="str">
        <f t="shared" si="69"/>
        <v/>
      </c>
      <c r="R1517" s="89" t="str">
        <f t="shared" si="70"/>
        <v/>
      </c>
      <c r="S1517" s="82"/>
      <c r="U1517" s="37" t="e">
        <f t="shared" si="71"/>
        <v>#VALUE!</v>
      </c>
    </row>
    <row r="1518" spans="1:21" x14ac:dyDescent="0.25">
      <c r="A1518" s="31" t="str">
        <f>IF(Table!A1518 = "","",Table!A1518)</f>
        <v/>
      </c>
      <c r="B1518" s="31" t="str">
        <f>IF(Table!B1518 = "","",Table!B1518)</f>
        <v/>
      </c>
      <c r="C1518" s="31" t="str">
        <f>IF(Table!C1518 = "","",Table!C1518)</f>
        <v/>
      </c>
      <c r="D1518" s="32" t="str">
        <f>IF(Table!D1518 = "","",Table!D1518)</f>
        <v/>
      </c>
      <c r="E1518" s="32" t="str">
        <f>IF(Table!E1518 = "","",Table!E1518)</f>
        <v/>
      </c>
      <c r="F1518" s="32" t="str">
        <f>IF(Table!F1518 = "","",Table!F1518)</f>
        <v/>
      </c>
      <c r="G1518" s="91"/>
      <c r="K1518" s="31" t="str">
        <f>IFERROR(VLOOKUP(A1518,Table!$I$4:$O$3000,1,TRUE),"")</f>
        <v/>
      </c>
      <c r="L1518" s="31" t="str">
        <f>IFERROR(INDEX(Table!I:O,MATCH(K1518,Table!I:I,0),2),"")</f>
        <v/>
      </c>
      <c r="M1518" s="31" t="str">
        <f>IFERROR(INDEX(Table!I:O,MATCH(K1518,Table!I:I,0),3),"")</f>
        <v/>
      </c>
      <c r="N1518" s="32" t="str">
        <f>IFERROR(INDEX(Table!I:O,MATCH(K1518,Table!I:I,0),4),"")</f>
        <v/>
      </c>
      <c r="O1518" s="32" t="str">
        <f>IFERROR(INDEX(Table!I:O,MATCH(K1518,Table!I:I,0),5),"")</f>
        <v/>
      </c>
      <c r="P1518" s="32" t="str">
        <f>IFERROR(INDEX(Table!I:O,MATCH(K1518,Table!I:I,0),6),"")</f>
        <v/>
      </c>
      <c r="Q1518" s="89" t="str">
        <f t="shared" si="69"/>
        <v/>
      </c>
      <c r="R1518" s="89" t="str">
        <f t="shared" si="70"/>
        <v/>
      </c>
      <c r="S1518" s="82"/>
      <c r="U1518" s="37" t="e">
        <f t="shared" si="71"/>
        <v>#VALUE!</v>
      </c>
    </row>
    <row r="1519" spans="1:21" x14ac:dyDescent="0.25">
      <c r="A1519" s="31" t="str">
        <f>IF(Table!A1519 = "","",Table!A1519)</f>
        <v/>
      </c>
      <c r="B1519" s="31" t="str">
        <f>IF(Table!B1519 = "","",Table!B1519)</f>
        <v/>
      </c>
      <c r="C1519" s="31" t="str">
        <f>IF(Table!C1519 = "","",Table!C1519)</f>
        <v/>
      </c>
      <c r="D1519" s="32" t="str">
        <f>IF(Table!D1519 = "","",Table!D1519)</f>
        <v/>
      </c>
      <c r="E1519" s="32" t="str">
        <f>IF(Table!E1519 = "","",Table!E1519)</f>
        <v/>
      </c>
      <c r="F1519" s="32" t="str">
        <f>IF(Table!F1519 = "","",Table!F1519)</f>
        <v/>
      </c>
      <c r="G1519" s="91"/>
      <c r="K1519" s="31" t="str">
        <f>IFERROR(VLOOKUP(A1519,Table!$I$4:$O$3000,1,TRUE),"")</f>
        <v/>
      </c>
      <c r="L1519" s="31" t="str">
        <f>IFERROR(INDEX(Table!I:O,MATCH(K1519,Table!I:I,0),2),"")</f>
        <v/>
      </c>
      <c r="M1519" s="31" t="str">
        <f>IFERROR(INDEX(Table!I:O,MATCH(K1519,Table!I:I,0),3),"")</f>
        <v/>
      </c>
      <c r="N1519" s="32" t="str">
        <f>IFERROR(INDEX(Table!I:O,MATCH(K1519,Table!I:I,0),4),"")</f>
        <v/>
      </c>
      <c r="O1519" s="32" t="str">
        <f>IFERROR(INDEX(Table!I:O,MATCH(K1519,Table!I:I,0),5),"")</f>
        <v/>
      </c>
      <c r="P1519" s="32" t="str">
        <f>IFERROR(INDEX(Table!I:O,MATCH(K1519,Table!I:I,0),6),"")</f>
        <v/>
      </c>
      <c r="Q1519" s="89" t="str">
        <f t="shared" si="69"/>
        <v/>
      </c>
      <c r="R1519" s="89" t="str">
        <f t="shared" si="70"/>
        <v/>
      </c>
      <c r="S1519" s="82"/>
      <c r="U1519" s="37" t="e">
        <f t="shared" si="71"/>
        <v>#VALUE!</v>
      </c>
    </row>
    <row r="1520" spans="1:21" x14ac:dyDescent="0.25">
      <c r="A1520" s="31" t="str">
        <f>IF(Table!A1520 = "","",Table!A1520)</f>
        <v/>
      </c>
      <c r="B1520" s="31" t="str">
        <f>IF(Table!B1520 = "","",Table!B1520)</f>
        <v/>
      </c>
      <c r="C1520" s="31" t="str">
        <f>IF(Table!C1520 = "","",Table!C1520)</f>
        <v/>
      </c>
      <c r="D1520" s="32" t="str">
        <f>IF(Table!D1520 = "","",Table!D1520)</f>
        <v/>
      </c>
      <c r="E1520" s="32" t="str">
        <f>IF(Table!E1520 = "","",Table!E1520)</f>
        <v/>
      </c>
      <c r="F1520" s="32" t="str">
        <f>IF(Table!F1520 = "","",Table!F1520)</f>
        <v/>
      </c>
      <c r="G1520" s="91"/>
      <c r="K1520" s="31" t="str">
        <f>IFERROR(VLOOKUP(A1520,Table!$I$4:$O$3000,1,TRUE),"")</f>
        <v/>
      </c>
      <c r="L1520" s="31" t="str">
        <f>IFERROR(INDEX(Table!I:O,MATCH(K1520,Table!I:I,0),2),"")</f>
        <v/>
      </c>
      <c r="M1520" s="31" t="str">
        <f>IFERROR(INDEX(Table!I:O,MATCH(K1520,Table!I:I,0),3),"")</f>
        <v/>
      </c>
      <c r="N1520" s="32" t="str">
        <f>IFERROR(INDEX(Table!I:O,MATCH(K1520,Table!I:I,0),4),"")</f>
        <v/>
      </c>
      <c r="O1520" s="32" t="str">
        <f>IFERROR(INDEX(Table!I:O,MATCH(K1520,Table!I:I,0),5),"")</f>
        <v/>
      </c>
      <c r="P1520" s="32" t="str">
        <f>IFERROR(INDEX(Table!I:O,MATCH(K1520,Table!I:I,0),6),"")</f>
        <v/>
      </c>
      <c r="Q1520" s="89" t="str">
        <f t="shared" si="69"/>
        <v/>
      </c>
      <c r="R1520" s="89" t="str">
        <f t="shared" si="70"/>
        <v/>
      </c>
      <c r="S1520" s="82"/>
      <c r="U1520" s="37" t="e">
        <f t="shared" si="71"/>
        <v>#VALUE!</v>
      </c>
    </row>
    <row r="1521" spans="1:21" x14ac:dyDescent="0.25">
      <c r="A1521" s="31" t="str">
        <f>IF(Table!A1521 = "","",Table!A1521)</f>
        <v/>
      </c>
      <c r="B1521" s="31" t="str">
        <f>IF(Table!B1521 = "","",Table!B1521)</f>
        <v/>
      </c>
      <c r="C1521" s="31" t="str">
        <f>IF(Table!C1521 = "","",Table!C1521)</f>
        <v/>
      </c>
      <c r="D1521" s="32" t="str">
        <f>IF(Table!D1521 = "","",Table!D1521)</f>
        <v/>
      </c>
      <c r="E1521" s="32" t="str">
        <f>IF(Table!E1521 = "","",Table!E1521)</f>
        <v/>
      </c>
      <c r="F1521" s="32" t="str">
        <f>IF(Table!F1521 = "","",Table!F1521)</f>
        <v/>
      </c>
      <c r="G1521" s="91"/>
      <c r="K1521" s="31" t="str">
        <f>IFERROR(VLOOKUP(A1521,Table!$I$4:$O$3000,1,TRUE),"")</f>
        <v/>
      </c>
      <c r="L1521" s="31" t="str">
        <f>IFERROR(INDEX(Table!I:O,MATCH(K1521,Table!I:I,0),2),"")</f>
        <v/>
      </c>
      <c r="M1521" s="31" t="str">
        <f>IFERROR(INDEX(Table!I:O,MATCH(K1521,Table!I:I,0),3),"")</f>
        <v/>
      </c>
      <c r="N1521" s="32" t="str">
        <f>IFERROR(INDEX(Table!I:O,MATCH(K1521,Table!I:I,0),4),"")</f>
        <v/>
      </c>
      <c r="O1521" s="32" t="str">
        <f>IFERROR(INDEX(Table!I:O,MATCH(K1521,Table!I:I,0),5),"")</f>
        <v/>
      </c>
      <c r="P1521" s="32" t="str">
        <f>IFERROR(INDEX(Table!I:O,MATCH(K1521,Table!I:I,0),6),"")</f>
        <v/>
      </c>
      <c r="Q1521" s="89" t="str">
        <f t="shared" si="69"/>
        <v/>
      </c>
      <c r="R1521" s="89" t="str">
        <f t="shared" si="70"/>
        <v/>
      </c>
      <c r="S1521" s="82"/>
      <c r="U1521" s="37" t="e">
        <f t="shared" si="71"/>
        <v>#VALUE!</v>
      </c>
    </row>
    <row r="1522" spans="1:21" x14ac:dyDescent="0.25">
      <c r="A1522" s="31" t="str">
        <f>IF(Table!A1522 = "","",Table!A1522)</f>
        <v/>
      </c>
      <c r="B1522" s="31" t="str">
        <f>IF(Table!B1522 = "","",Table!B1522)</f>
        <v/>
      </c>
      <c r="C1522" s="31" t="str">
        <f>IF(Table!C1522 = "","",Table!C1522)</f>
        <v/>
      </c>
      <c r="D1522" s="32" t="str">
        <f>IF(Table!D1522 = "","",Table!D1522)</f>
        <v/>
      </c>
      <c r="E1522" s="32" t="str">
        <f>IF(Table!E1522 = "","",Table!E1522)</f>
        <v/>
      </c>
      <c r="F1522" s="32" t="str">
        <f>IF(Table!F1522 = "","",Table!F1522)</f>
        <v/>
      </c>
      <c r="G1522" s="91"/>
      <c r="K1522" s="31" t="str">
        <f>IFERROR(VLOOKUP(A1522,Table!$I$4:$O$3000,1,TRUE),"")</f>
        <v/>
      </c>
      <c r="L1522" s="31" t="str">
        <f>IFERROR(INDEX(Table!I:O,MATCH(K1522,Table!I:I,0),2),"")</f>
        <v/>
      </c>
      <c r="M1522" s="31" t="str">
        <f>IFERROR(INDEX(Table!I:O,MATCH(K1522,Table!I:I,0),3),"")</f>
        <v/>
      </c>
      <c r="N1522" s="32" t="str">
        <f>IFERROR(INDEX(Table!I:O,MATCH(K1522,Table!I:I,0),4),"")</f>
        <v/>
      </c>
      <c r="O1522" s="32" t="str">
        <f>IFERROR(INDEX(Table!I:O,MATCH(K1522,Table!I:I,0),5),"")</f>
        <v/>
      </c>
      <c r="P1522" s="32" t="str">
        <f>IFERROR(INDEX(Table!I:O,MATCH(K1522,Table!I:I,0),6),"")</f>
        <v/>
      </c>
      <c r="Q1522" s="89" t="str">
        <f t="shared" si="69"/>
        <v/>
      </c>
      <c r="R1522" s="89" t="str">
        <f t="shared" si="70"/>
        <v/>
      </c>
      <c r="S1522" s="82"/>
      <c r="U1522" s="37" t="e">
        <f t="shared" si="71"/>
        <v>#VALUE!</v>
      </c>
    </row>
    <row r="1523" spans="1:21" x14ac:dyDescent="0.25">
      <c r="A1523" s="31" t="str">
        <f>IF(Table!A1523 = "","",Table!A1523)</f>
        <v/>
      </c>
      <c r="B1523" s="31" t="str">
        <f>IF(Table!B1523 = "","",Table!B1523)</f>
        <v/>
      </c>
      <c r="C1523" s="31" t="str">
        <f>IF(Table!C1523 = "","",Table!C1523)</f>
        <v/>
      </c>
      <c r="D1523" s="32" t="str">
        <f>IF(Table!D1523 = "","",Table!D1523)</f>
        <v/>
      </c>
      <c r="E1523" s="32" t="str">
        <f>IF(Table!E1523 = "","",Table!E1523)</f>
        <v/>
      </c>
      <c r="F1523" s="32" t="str">
        <f>IF(Table!F1523 = "","",Table!F1523)</f>
        <v/>
      </c>
      <c r="G1523" s="91"/>
      <c r="K1523" s="31" t="str">
        <f>IFERROR(VLOOKUP(A1523,Table!$I$4:$O$3000,1,TRUE),"")</f>
        <v/>
      </c>
      <c r="L1523" s="31" t="str">
        <f>IFERROR(INDEX(Table!I:O,MATCH(K1523,Table!I:I,0),2),"")</f>
        <v/>
      </c>
      <c r="M1523" s="31" t="str">
        <f>IFERROR(INDEX(Table!I:O,MATCH(K1523,Table!I:I,0),3),"")</f>
        <v/>
      </c>
      <c r="N1523" s="32" t="str">
        <f>IFERROR(INDEX(Table!I:O,MATCH(K1523,Table!I:I,0),4),"")</f>
        <v/>
      </c>
      <c r="O1523" s="32" t="str">
        <f>IFERROR(INDEX(Table!I:O,MATCH(K1523,Table!I:I,0),5),"")</f>
        <v/>
      </c>
      <c r="P1523" s="32" t="str">
        <f>IFERROR(INDEX(Table!I:O,MATCH(K1523,Table!I:I,0),6),"")</f>
        <v/>
      </c>
      <c r="Q1523" s="89" t="str">
        <f t="shared" si="69"/>
        <v/>
      </c>
      <c r="R1523" s="89" t="str">
        <f t="shared" si="70"/>
        <v/>
      </c>
      <c r="S1523" s="82"/>
      <c r="U1523" s="37" t="e">
        <f t="shared" si="71"/>
        <v>#VALUE!</v>
      </c>
    </row>
    <row r="1524" spans="1:21" x14ac:dyDescent="0.25">
      <c r="A1524" s="31" t="str">
        <f>IF(Table!A1524 = "","",Table!A1524)</f>
        <v/>
      </c>
      <c r="B1524" s="31" t="str">
        <f>IF(Table!B1524 = "","",Table!B1524)</f>
        <v/>
      </c>
      <c r="C1524" s="31" t="str">
        <f>IF(Table!C1524 = "","",Table!C1524)</f>
        <v/>
      </c>
      <c r="D1524" s="32" t="str">
        <f>IF(Table!D1524 = "","",Table!D1524)</f>
        <v/>
      </c>
      <c r="E1524" s="32" t="str">
        <f>IF(Table!E1524 = "","",Table!E1524)</f>
        <v/>
      </c>
      <c r="F1524" s="32" t="str">
        <f>IF(Table!F1524 = "","",Table!F1524)</f>
        <v/>
      </c>
      <c r="G1524" s="91"/>
      <c r="K1524" s="31" t="str">
        <f>IFERROR(VLOOKUP(A1524,Table!$I$4:$O$3000,1,TRUE),"")</f>
        <v/>
      </c>
      <c r="L1524" s="31" t="str">
        <f>IFERROR(INDEX(Table!I:O,MATCH(K1524,Table!I:I,0),2),"")</f>
        <v/>
      </c>
      <c r="M1524" s="31" t="str">
        <f>IFERROR(INDEX(Table!I:O,MATCH(K1524,Table!I:I,0),3),"")</f>
        <v/>
      </c>
      <c r="N1524" s="32" t="str">
        <f>IFERROR(INDEX(Table!I:O,MATCH(K1524,Table!I:I,0),4),"")</f>
        <v/>
      </c>
      <c r="O1524" s="32" t="str">
        <f>IFERROR(INDEX(Table!I:O,MATCH(K1524,Table!I:I,0),5),"")</f>
        <v/>
      </c>
      <c r="P1524" s="32" t="str">
        <f>IFERROR(INDEX(Table!I:O,MATCH(K1524,Table!I:I,0),6),"")</f>
        <v/>
      </c>
      <c r="Q1524" s="89" t="str">
        <f t="shared" si="69"/>
        <v/>
      </c>
      <c r="R1524" s="89" t="str">
        <f t="shared" si="70"/>
        <v/>
      </c>
      <c r="S1524" s="82"/>
      <c r="U1524" s="37" t="e">
        <f t="shared" si="71"/>
        <v>#VALUE!</v>
      </c>
    </row>
    <row r="1525" spans="1:21" x14ac:dyDescent="0.25">
      <c r="A1525" s="31" t="str">
        <f>IF(Table!A1525 = "","",Table!A1525)</f>
        <v/>
      </c>
      <c r="B1525" s="31" t="str">
        <f>IF(Table!B1525 = "","",Table!B1525)</f>
        <v/>
      </c>
      <c r="C1525" s="31" t="str">
        <f>IF(Table!C1525 = "","",Table!C1525)</f>
        <v/>
      </c>
      <c r="D1525" s="32" t="str">
        <f>IF(Table!D1525 = "","",Table!D1525)</f>
        <v/>
      </c>
      <c r="E1525" s="32" t="str">
        <f>IF(Table!E1525 = "","",Table!E1525)</f>
        <v/>
      </c>
      <c r="F1525" s="32" t="str">
        <f>IF(Table!F1525 = "","",Table!F1525)</f>
        <v/>
      </c>
      <c r="G1525" s="91"/>
      <c r="K1525" s="31" t="str">
        <f>IFERROR(VLOOKUP(A1525,Table!$I$4:$O$3000,1,TRUE),"")</f>
        <v/>
      </c>
      <c r="L1525" s="31" t="str">
        <f>IFERROR(INDEX(Table!I:O,MATCH(K1525,Table!I:I,0),2),"")</f>
        <v/>
      </c>
      <c r="M1525" s="31" t="str">
        <f>IFERROR(INDEX(Table!I:O,MATCH(K1525,Table!I:I,0),3),"")</f>
        <v/>
      </c>
      <c r="N1525" s="32" t="str">
        <f>IFERROR(INDEX(Table!I:O,MATCH(K1525,Table!I:I,0),4),"")</f>
        <v/>
      </c>
      <c r="O1525" s="32" t="str">
        <f>IFERROR(INDEX(Table!I:O,MATCH(K1525,Table!I:I,0),5),"")</f>
        <v/>
      </c>
      <c r="P1525" s="32" t="str">
        <f>IFERROR(INDEX(Table!I:O,MATCH(K1525,Table!I:I,0),6),"")</f>
        <v/>
      </c>
      <c r="Q1525" s="89" t="str">
        <f t="shared" si="69"/>
        <v/>
      </c>
      <c r="R1525" s="89" t="str">
        <f t="shared" si="70"/>
        <v/>
      </c>
      <c r="S1525" s="82"/>
      <c r="U1525" s="37" t="e">
        <f t="shared" si="71"/>
        <v>#VALUE!</v>
      </c>
    </row>
    <row r="1526" spans="1:21" x14ac:dyDescent="0.25">
      <c r="A1526" s="31" t="str">
        <f>IF(Table!A1526 = "","",Table!A1526)</f>
        <v/>
      </c>
      <c r="B1526" s="31" t="str">
        <f>IF(Table!B1526 = "","",Table!B1526)</f>
        <v/>
      </c>
      <c r="C1526" s="31" t="str">
        <f>IF(Table!C1526 = "","",Table!C1526)</f>
        <v/>
      </c>
      <c r="D1526" s="32" t="str">
        <f>IF(Table!D1526 = "","",Table!D1526)</f>
        <v/>
      </c>
      <c r="E1526" s="32" t="str">
        <f>IF(Table!E1526 = "","",Table!E1526)</f>
        <v/>
      </c>
      <c r="F1526" s="32" t="str">
        <f>IF(Table!F1526 = "","",Table!F1526)</f>
        <v/>
      </c>
      <c r="G1526" s="91"/>
      <c r="K1526" s="31" t="str">
        <f>IFERROR(VLOOKUP(A1526,Table!$I$4:$O$3000,1,TRUE),"")</f>
        <v/>
      </c>
      <c r="L1526" s="31" t="str">
        <f>IFERROR(INDEX(Table!I:O,MATCH(K1526,Table!I:I,0),2),"")</f>
        <v/>
      </c>
      <c r="M1526" s="31" t="str">
        <f>IFERROR(INDEX(Table!I:O,MATCH(K1526,Table!I:I,0),3),"")</f>
        <v/>
      </c>
      <c r="N1526" s="32" t="str">
        <f>IFERROR(INDEX(Table!I:O,MATCH(K1526,Table!I:I,0),4),"")</f>
        <v/>
      </c>
      <c r="O1526" s="32" t="str">
        <f>IFERROR(INDEX(Table!I:O,MATCH(K1526,Table!I:I,0),5),"")</f>
        <v/>
      </c>
      <c r="P1526" s="32" t="str">
        <f>IFERROR(INDEX(Table!I:O,MATCH(K1526,Table!I:I,0),6),"")</f>
        <v/>
      </c>
      <c r="Q1526" s="89" t="str">
        <f t="shared" si="69"/>
        <v/>
      </c>
      <c r="R1526" s="89" t="str">
        <f t="shared" si="70"/>
        <v/>
      </c>
      <c r="S1526" s="82"/>
      <c r="U1526" s="37" t="e">
        <f t="shared" si="71"/>
        <v>#VALUE!</v>
      </c>
    </row>
    <row r="1527" spans="1:21" x14ac:dyDescent="0.25">
      <c r="A1527" s="31" t="str">
        <f>IF(Table!A1527 = "","",Table!A1527)</f>
        <v/>
      </c>
      <c r="B1527" s="31" t="str">
        <f>IF(Table!B1527 = "","",Table!B1527)</f>
        <v/>
      </c>
      <c r="C1527" s="31" t="str">
        <f>IF(Table!C1527 = "","",Table!C1527)</f>
        <v/>
      </c>
      <c r="D1527" s="32" t="str">
        <f>IF(Table!D1527 = "","",Table!D1527)</f>
        <v/>
      </c>
      <c r="E1527" s="32" t="str">
        <f>IF(Table!E1527 = "","",Table!E1527)</f>
        <v/>
      </c>
      <c r="F1527" s="32" t="str">
        <f>IF(Table!F1527 = "","",Table!F1527)</f>
        <v/>
      </c>
      <c r="G1527" s="91"/>
      <c r="K1527" s="31" t="str">
        <f>IFERROR(VLOOKUP(A1527,Table!$I$4:$O$3000,1,TRUE),"")</f>
        <v/>
      </c>
      <c r="L1527" s="31" t="str">
        <f>IFERROR(INDEX(Table!I:O,MATCH(K1527,Table!I:I,0),2),"")</f>
        <v/>
      </c>
      <c r="M1527" s="31" t="str">
        <f>IFERROR(INDEX(Table!I:O,MATCH(K1527,Table!I:I,0),3),"")</f>
        <v/>
      </c>
      <c r="N1527" s="32" t="str">
        <f>IFERROR(INDEX(Table!I:O,MATCH(K1527,Table!I:I,0),4),"")</f>
        <v/>
      </c>
      <c r="O1527" s="32" t="str">
        <f>IFERROR(INDEX(Table!I:O,MATCH(K1527,Table!I:I,0),5),"")</f>
        <v/>
      </c>
      <c r="P1527" s="32" t="str">
        <f>IFERROR(INDEX(Table!I:O,MATCH(K1527,Table!I:I,0),6),"")</f>
        <v/>
      </c>
      <c r="Q1527" s="89" t="str">
        <f t="shared" si="69"/>
        <v/>
      </c>
      <c r="R1527" s="89" t="str">
        <f t="shared" si="70"/>
        <v/>
      </c>
      <c r="S1527" s="82"/>
      <c r="U1527" s="37" t="e">
        <f t="shared" si="71"/>
        <v>#VALUE!</v>
      </c>
    </row>
    <row r="1528" spans="1:21" x14ac:dyDescent="0.25">
      <c r="A1528" s="31" t="str">
        <f>IF(Table!A1528 = "","",Table!A1528)</f>
        <v/>
      </c>
      <c r="B1528" s="31" t="str">
        <f>IF(Table!B1528 = "","",Table!B1528)</f>
        <v/>
      </c>
      <c r="C1528" s="31" t="str">
        <f>IF(Table!C1528 = "","",Table!C1528)</f>
        <v/>
      </c>
      <c r="D1528" s="32" t="str">
        <f>IF(Table!D1528 = "","",Table!D1528)</f>
        <v/>
      </c>
      <c r="E1528" s="32" t="str">
        <f>IF(Table!E1528 = "","",Table!E1528)</f>
        <v/>
      </c>
      <c r="F1528" s="32" t="str">
        <f>IF(Table!F1528 = "","",Table!F1528)</f>
        <v/>
      </c>
      <c r="G1528" s="91"/>
      <c r="K1528" s="31" t="str">
        <f>IFERROR(VLOOKUP(A1528,Table!$I$4:$O$3000,1,TRUE),"")</f>
        <v/>
      </c>
      <c r="L1528" s="31" t="str">
        <f>IFERROR(INDEX(Table!I:O,MATCH(K1528,Table!I:I,0),2),"")</f>
        <v/>
      </c>
      <c r="M1528" s="31" t="str">
        <f>IFERROR(INDEX(Table!I:O,MATCH(K1528,Table!I:I,0),3),"")</f>
        <v/>
      </c>
      <c r="N1528" s="32" t="str">
        <f>IFERROR(INDEX(Table!I:O,MATCH(K1528,Table!I:I,0),4),"")</f>
        <v/>
      </c>
      <c r="O1528" s="32" t="str">
        <f>IFERROR(INDEX(Table!I:O,MATCH(K1528,Table!I:I,0),5),"")</f>
        <v/>
      </c>
      <c r="P1528" s="32" t="str">
        <f>IFERROR(INDEX(Table!I:O,MATCH(K1528,Table!I:I,0),6),"")</f>
        <v/>
      </c>
      <c r="Q1528" s="89" t="str">
        <f t="shared" si="69"/>
        <v/>
      </c>
      <c r="R1528" s="89" t="str">
        <f t="shared" si="70"/>
        <v/>
      </c>
      <c r="S1528" s="82"/>
      <c r="U1528" s="37" t="e">
        <f t="shared" si="71"/>
        <v>#VALUE!</v>
      </c>
    </row>
    <row r="1529" spans="1:21" x14ac:dyDescent="0.25">
      <c r="A1529" s="31" t="str">
        <f>IF(Table!A1529 = "","",Table!A1529)</f>
        <v/>
      </c>
      <c r="B1529" s="31" t="str">
        <f>IF(Table!B1529 = "","",Table!B1529)</f>
        <v/>
      </c>
      <c r="C1529" s="31" t="str">
        <f>IF(Table!C1529 = "","",Table!C1529)</f>
        <v/>
      </c>
      <c r="D1529" s="32" t="str">
        <f>IF(Table!D1529 = "","",Table!D1529)</f>
        <v/>
      </c>
      <c r="E1529" s="32" t="str">
        <f>IF(Table!E1529 = "","",Table!E1529)</f>
        <v/>
      </c>
      <c r="F1529" s="32" t="str">
        <f>IF(Table!F1529 = "","",Table!F1529)</f>
        <v/>
      </c>
      <c r="G1529" s="91"/>
      <c r="K1529" s="31" t="str">
        <f>IFERROR(VLOOKUP(A1529,Table!$I$4:$O$3000,1,TRUE),"")</f>
        <v/>
      </c>
      <c r="L1529" s="31" t="str">
        <f>IFERROR(INDEX(Table!I:O,MATCH(K1529,Table!I:I,0),2),"")</f>
        <v/>
      </c>
      <c r="M1529" s="31" t="str">
        <f>IFERROR(INDEX(Table!I:O,MATCH(K1529,Table!I:I,0),3),"")</f>
        <v/>
      </c>
      <c r="N1529" s="32" t="str">
        <f>IFERROR(INDEX(Table!I:O,MATCH(K1529,Table!I:I,0),4),"")</f>
        <v/>
      </c>
      <c r="O1529" s="32" t="str">
        <f>IFERROR(INDEX(Table!I:O,MATCH(K1529,Table!I:I,0),5),"")</f>
        <v/>
      </c>
      <c r="P1529" s="32" t="str">
        <f>IFERROR(INDEX(Table!I:O,MATCH(K1529,Table!I:I,0),6),"")</f>
        <v/>
      </c>
      <c r="Q1529" s="89" t="str">
        <f t="shared" si="69"/>
        <v/>
      </c>
      <c r="R1529" s="89" t="str">
        <f t="shared" si="70"/>
        <v/>
      </c>
      <c r="S1529" s="82"/>
      <c r="U1529" s="37" t="e">
        <f t="shared" si="71"/>
        <v>#VALUE!</v>
      </c>
    </row>
    <row r="1530" spans="1:21" x14ac:dyDescent="0.25">
      <c r="A1530" s="31" t="str">
        <f>IF(Table!A1530 = "","",Table!A1530)</f>
        <v/>
      </c>
      <c r="B1530" s="31" t="str">
        <f>IF(Table!B1530 = "","",Table!B1530)</f>
        <v/>
      </c>
      <c r="C1530" s="31" t="str">
        <f>IF(Table!C1530 = "","",Table!C1530)</f>
        <v/>
      </c>
      <c r="D1530" s="32" t="str">
        <f>IF(Table!D1530 = "","",Table!D1530)</f>
        <v/>
      </c>
      <c r="E1530" s="32" t="str">
        <f>IF(Table!E1530 = "","",Table!E1530)</f>
        <v/>
      </c>
      <c r="F1530" s="32" t="str">
        <f>IF(Table!F1530 = "","",Table!F1530)</f>
        <v/>
      </c>
      <c r="G1530" s="91"/>
      <c r="K1530" s="31" t="str">
        <f>IFERROR(VLOOKUP(A1530,Table!$I$4:$O$3000,1,TRUE),"")</f>
        <v/>
      </c>
      <c r="L1530" s="31" t="str">
        <f>IFERROR(INDEX(Table!I:O,MATCH(K1530,Table!I:I,0),2),"")</f>
        <v/>
      </c>
      <c r="M1530" s="31" t="str">
        <f>IFERROR(INDEX(Table!I:O,MATCH(K1530,Table!I:I,0),3),"")</f>
        <v/>
      </c>
      <c r="N1530" s="32" t="str">
        <f>IFERROR(INDEX(Table!I:O,MATCH(K1530,Table!I:I,0),4),"")</f>
        <v/>
      </c>
      <c r="O1530" s="32" t="str">
        <f>IFERROR(INDEX(Table!I:O,MATCH(K1530,Table!I:I,0),5),"")</f>
        <v/>
      </c>
      <c r="P1530" s="32" t="str">
        <f>IFERROR(INDEX(Table!I:O,MATCH(K1530,Table!I:I,0),6),"")</f>
        <v/>
      </c>
      <c r="Q1530" s="89" t="str">
        <f t="shared" si="69"/>
        <v/>
      </c>
      <c r="R1530" s="89" t="str">
        <f t="shared" si="70"/>
        <v/>
      </c>
      <c r="S1530" s="82"/>
      <c r="U1530" s="37" t="e">
        <f t="shared" si="71"/>
        <v>#VALUE!</v>
      </c>
    </row>
    <row r="1531" spans="1:21" x14ac:dyDescent="0.25">
      <c r="A1531" s="31" t="str">
        <f>IF(Table!A1531 = "","",Table!A1531)</f>
        <v/>
      </c>
      <c r="B1531" s="31" t="str">
        <f>IF(Table!B1531 = "","",Table!B1531)</f>
        <v/>
      </c>
      <c r="C1531" s="31" t="str">
        <f>IF(Table!C1531 = "","",Table!C1531)</f>
        <v/>
      </c>
      <c r="D1531" s="32" t="str">
        <f>IF(Table!D1531 = "","",Table!D1531)</f>
        <v/>
      </c>
      <c r="E1531" s="32" t="str">
        <f>IF(Table!E1531 = "","",Table!E1531)</f>
        <v/>
      </c>
      <c r="F1531" s="32" t="str">
        <f>IF(Table!F1531 = "","",Table!F1531)</f>
        <v/>
      </c>
      <c r="G1531" s="91"/>
      <c r="K1531" s="31" t="str">
        <f>IFERROR(VLOOKUP(A1531,Table!$I$4:$O$3000,1,TRUE),"")</f>
        <v/>
      </c>
      <c r="L1531" s="31" t="str">
        <f>IFERROR(INDEX(Table!I:O,MATCH(K1531,Table!I:I,0),2),"")</f>
        <v/>
      </c>
      <c r="M1531" s="31" t="str">
        <f>IFERROR(INDEX(Table!I:O,MATCH(K1531,Table!I:I,0),3),"")</f>
        <v/>
      </c>
      <c r="N1531" s="32" t="str">
        <f>IFERROR(INDEX(Table!I:O,MATCH(K1531,Table!I:I,0),4),"")</f>
        <v/>
      </c>
      <c r="O1531" s="32" t="str">
        <f>IFERROR(INDEX(Table!I:O,MATCH(K1531,Table!I:I,0),5),"")</f>
        <v/>
      </c>
      <c r="P1531" s="32" t="str">
        <f>IFERROR(INDEX(Table!I:O,MATCH(K1531,Table!I:I,0),6),"")</f>
        <v/>
      </c>
      <c r="Q1531" s="89" t="str">
        <f t="shared" si="69"/>
        <v/>
      </c>
      <c r="R1531" s="89" t="str">
        <f t="shared" si="70"/>
        <v/>
      </c>
      <c r="S1531" s="82"/>
      <c r="U1531" s="37" t="e">
        <f t="shared" si="71"/>
        <v>#VALUE!</v>
      </c>
    </row>
    <row r="1532" spans="1:21" x14ac:dyDescent="0.25">
      <c r="A1532" s="31" t="str">
        <f>IF(Table!A1532 = "","",Table!A1532)</f>
        <v/>
      </c>
      <c r="B1532" s="31" t="str">
        <f>IF(Table!B1532 = "","",Table!B1532)</f>
        <v/>
      </c>
      <c r="C1532" s="31" t="str">
        <f>IF(Table!C1532 = "","",Table!C1532)</f>
        <v/>
      </c>
      <c r="D1532" s="32" t="str">
        <f>IF(Table!D1532 = "","",Table!D1532)</f>
        <v/>
      </c>
      <c r="E1532" s="32" t="str">
        <f>IF(Table!E1532 = "","",Table!E1532)</f>
        <v/>
      </c>
      <c r="F1532" s="32" t="str">
        <f>IF(Table!F1532 = "","",Table!F1532)</f>
        <v/>
      </c>
      <c r="G1532" s="91"/>
      <c r="K1532" s="31" t="str">
        <f>IFERROR(VLOOKUP(A1532,Table!$I$4:$O$3000,1,TRUE),"")</f>
        <v/>
      </c>
      <c r="L1532" s="31" t="str">
        <f>IFERROR(INDEX(Table!I:O,MATCH(K1532,Table!I:I,0),2),"")</f>
        <v/>
      </c>
      <c r="M1532" s="31" t="str">
        <f>IFERROR(INDEX(Table!I:O,MATCH(K1532,Table!I:I,0),3),"")</f>
        <v/>
      </c>
      <c r="N1532" s="32" t="str">
        <f>IFERROR(INDEX(Table!I:O,MATCH(K1532,Table!I:I,0),4),"")</f>
        <v/>
      </c>
      <c r="O1532" s="32" t="str">
        <f>IFERROR(INDEX(Table!I:O,MATCH(K1532,Table!I:I,0),5),"")</f>
        <v/>
      </c>
      <c r="P1532" s="32" t="str">
        <f>IFERROR(INDEX(Table!I:O,MATCH(K1532,Table!I:I,0),6),"")</f>
        <v/>
      </c>
      <c r="Q1532" s="89" t="str">
        <f t="shared" si="69"/>
        <v/>
      </c>
      <c r="R1532" s="89" t="str">
        <f t="shared" si="70"/>
        <v/>
      </c>
      <c r="S1532" s="82"/>
      <c r="U1532" s="37" t="e">
        <f t="shared" si="71"/>
        <v>#VALUE!</v>
      </c>
    </row>
    <row r="1533" spans="1:21" x14ac:dyDescent="0.25">
      <c r="A1533" s="31" t="str">
        <f>IF(Table!A1533 = "","",Table!A1533)</f>
        <v/>
      </c>
      <c r="B1533" s="31" t="str">
        <f>IF(Table!B1533 = "","",Table!B1533)</f>
        <v/>
      </c>
      <c r="C1533" s="31" t="str">
        <f>IF(Table!C1533 = "","",Table!C1533)</f>
        <v/>
      </c>
      <c r="D1533" s="32" t="str">
        <f>IF(Table!D1533 = "","",Table!D1533)</f>
        <v/>
      </c>
      <c r="E1533" s="32" t="str">
        <f>IF(Table!E1533 = "","",Table!E1533)</f>
        <v/>
      </c>
      <c r="F1533" s="32" t="str">
        <f>IF(Table!F1533 = "","",Table!F1533)</f>
        <v/>
      </c>
      <c r="G1533" s="91"/>
      <c r="K1533" s="31" t="str">
        <f>IFERROR(VLOOKUP(A1533,Table!$I$4:$O$3000,1,TRUE),"")</f>
        <v/>
      </c>
      <c r="L1533" s="31" t="str">
        <f>IFERROR(INDEX(Table!I:O,MATCH(K1533,Table!I:I,0),2),"")</f>
        <v/>
      </c>
      <c r="M1533" s="31" t="str">
        <f>IFERROR(INDEX(Table!I:O,MATCH(K1533,Table!I:I,0),3),"")</f>
        <v/>
      </c>
      <c r="N1533" s="32" t="str">
        <f>IFERROR(INDEX(Table!I:O,MATCH(K1533,Table!I:I,0),4),"")</f>
        <v/>
      </c>
      <c r="O1533" s="32" t="str">
        <f>IFERROR(INDEX(Table!I:O,MATCH(K1533,Table!I:I,0),5),"")</f>
        <v/>
      </c>
      <c r="P1533" s="32" t="str">
        <f>IFERROR(INDEX(Table!I:O,MATCH(K1533,Table!I:I,0),6),"")</f>
        <v/>
      </c>
      <c r="Q1533" s="89" t="str">
        <f t="shared" si="69"/>
        <v/>
      </c>
      <c r="R1533" s="89" t="str">
        <f t="shared" si="70"/>
        <v/>
      </c>
      <c r="S1533" s="82"/>
      <c r="U1533" s="37" t="e">
        <f t="shared" si="71"/>
        <v>#VALUE!</v>
      </c>
    </row>
    <row r="1534" spans="1:21" x14ac:dyDescent="0.25">
      <c r="A1534" s="31" t="str">
        <f>IF(Table!A1534 = "","",Table!A1534)</f>
        <v/>
      </c>
      <c r="B1534" s="31" t="str">
        <f>IF(Table!B1534 = "","",Table!B1534)</f>
        <v/>
      </c>
      <c r="C1534" s="31" t="str">
        <f>IF(Table!C1534 = "","",Table!C1534)</f>
        <v/>
      </c>
      <c r="D1534" s="32" t="str">
        <f>IF(Table!D1534 = "","",Table!D1534)</f>
        <v/>
      </c>
      <c r="E1534" s="32" t="str">
        <f>IF(Table!E1534 = "","",Table!E1534)</f>
        <v/>
      </c>
      <c r="F1534" s="32" t="str">
        <f>IF(Table!F1534 = "","",Table!F1534)</f>
        <v/>
      </c>
      <c r="G1534" s="91"/>
      <c r="K1534" s="31" t="str">
        <f>IFERROR(VLOOKUP(A1534,Table!$I$4:$O$3000,1,TRUE),"")</f>
        <v/>
      </c>
      <c r="L1534" s="31" t="str">
        <f>IFERROR(INDEX(Table!I:O,MATCH(K1534,Table!I:I,0),2),"")</f>
        <v/>
      </c>
      <c r="M1534" s="31" t="str">
        <f>IFERROR(INDEX(Table!I:O,MATCH(K1534,Table!I:I,0),3),"")</f>
        <v/>
      </c>
      <c r="N1534" s="32" t="str">
        <f>IFERROR(INDEX(Table!I:O,MATCH(K1534,Table!I:I,0),4),"")</f>
        <v/>
      </c>
      <c r="O1534" s="32" t="str">
        <f>IFERROR(INDEX(Table!I:O,MATCH(K1534,Table!I:I,0),5),"")</f>
        <v/>
      </c>
      <c r="P1534" s="32" t="str">
        <f>IFERROR(INDEX(Table!I:O,MATCH(K1534,Table!I:I,0),6),"")</f>
        <v/>
      </c>
      <c r="Q1534" s="89" t="str">
        <f t="shared" si="69"/>
        <v/>
      </c>
      <c r="R1534" s="89" t="str">
        <f t="shared" si="70"/>
        <v/>
      </c>
      <c r="S1534" s="82"/>
      <c r="U1534" s="37" t="e">
        <f t="shared" si="71"/>
        <v>#VALUE!</v>
      </c>
    </row>
    <row r="1535" spans="1:21" x14ac:dyDescent="0.25">
      <c r="A1535" s="31" t="str">
        <f>IF(Table!A1535 = "","",Table!A1535)</f>
        <v/>
      </c>
      <c r="B1535" s="31" t="str">
        <f>IF(Table!B1535 = "","",Table!B1535)</f>
        <v/>
      </c>
      <c r="C1535" s="31" t="str">
        <f>IF(Table!C1535 = "","",Table!C1535)</f>
        <v/>
      </c>
      <c r="D1535" s="32" t="str">
        <f>IF(Table!D1535 = "","",Table!D1535)</f>
        <v/>
      </c>
      <c r="E1535" s="32" t="str">
        <f>IF(Table!E1535 = "","",Table!E1535)</f>
        <v/>
      </c>
      <c r="F1535" s="32" t="str">
        <f>IF(Table!F1535 = "","",Table!F1535)</f>
        <v/>
      </c>
      <c r="G1535" s="91"/>
      <c r="K1535" s="31" t="str">
        <f>IFERROR(VLOOKUP(A1535,Table!$I$4:$O$3000,1,TRUE),"")</f>
        <v/>
      </c>
      <c r="L1535" s="31" t="str">
        <f>IFERROR(INDEX(Table!I:O,MATCH(K1535,Table!I:I,0),2),"")</f>
        <v/>
      </c>
      <c r="M1535" s="31" t="str">
        <f>IFERROR(INDEX(Table!I:O,MATCH(K1535,Table!I:I,0),3),"")</f>
        <v/>
      </c>
      <c r="N1535" s="32" t="str">
        <f>IFERROR(INDEX(Table!I:O,MATCH(K1535,Table!I:I,0),4),"")</f>
        <v/>
      </c>
      <c r="O1535" s="32" t="str">
        <f>IFERROR(INDEX(Table!I:O,MATCH(K1535,Table!I:I,0),5),"")</f>
        <v/>
      </c>
      <c r="P1535" s="32" t="str">
        <f>IFERROR(INDEX(Table!I:O,MATCH(K1535,Table!I:I,0),6),"")</f>
        <v/>
      </c>
      <c r="Q1535" s="89" t="str">
        <f t="shared" si="69"/>
        <v/>
      </c>
      <c r="R1535" s="89" t="str">
        <f t="shared" si="70"/>
        <v/>
      </c>
      <c r="S1535" s="82"/>
      <c r="U1535" s="37" t="e">
        <f t="shared" si="71"/>
        <v>#VALUE!</v>
      </c>
    </row>
    <row r="1536" spans="1:21" x14ac:dyDescent="0.25">
      <c r="A1536" s="31" t="str">
        <f>IF(Table!A1536 = "","",Table!A1536)</f>
        <v/>
      </c>
      <c r="B1536" s="31" t="str">
        <f>IF(Table!B1536 = "","",Table!B1536)</f>
        <v/>
      </c>
      <c r="C1536" s="31" t="str">
        <f>IF(Table!C1536 = "","",Table!C1536)</f>
        <v/>
      </c>
      <c r="D1536" s="32" t="str">
        <f>IF(Table!D1536 = "","",Table!D1536)</f>
        <v/>
      </c>
      <c r="E1536" s="32" t="str">
        <f>IF(Table!E1536 = "","",Table!E1536)</f>
        <v/>
      </c>
      <c r="F1536" s="32" t="str">
        <f>IF(Table!F1536 = "","",Table!F1536)</f>
        <v/>
      </c>
      <c r="G1536" s="91"/>
      <c r="K1536" s="31" t="str">
        <f>IFERROR(VLOOKUP(A1536,Table!$I$4:$O$3000,1,TRUE),"")</f>
        <v/>
      </c>
      <c r="L1536" s="31" t="str">
        <f>IFERROR(INDEX(Table!I:O,MATCH(K1536,Table!I:I,0),2),"")</f>
        <v/>
      </c>
      <c r="M1536" s="31" t="str">
        <f>IFERROR(INDEX(Table!I:O,MATCH(K1536,Table!I:I,0),3),"")</f>
        <v/>
      </c>
      <c r="N1536" s="32" t="str">
        <f>IFERROR(INDEX(Table!I:O,MATCH(K1536,Table!I:I,0),4),"")</f>
        <v/>
      </c>
      <c r="O1536" s="32" t="str">
        <f>IFERROR(INDEX(Table!I:O,MATCH(K1536,Table!I:I,0),5),"")</f>
        <v/>
      </c>
      <c r="P1536" s="32" t="str">
        <f>IFERROR(INDEX(Table!I:O,MATCH(K1536,Table!I:I,0),6),"")</f>
        <v/>
      </c>
      <c r="Q1536" s="89" t="str">
        <f t="shared" si="69"/>
        <v/>
      </c>
      <c r="R1536" s="89" t="str">
        <f t="shared" si="70"/>
        <v/>
      </c>
      <c r="S1536" s="82"/>
      <c r="U1536" s="37" t="e">
        <f t="shared" si="71"/>
        <v>#VALUE!</v>
      </c>
    </row>
    <row r="1537" spans="1:21" x14ac:dyDescent="0.25">
      <c r="A1537" s="31" t="str">
        <f>IF(Table!A1537 = "","",Table!A1537)</f>
        <v/>
      </c>
      <c r="B1537" s="31" t="str">
        <f>IF(Table!B1537 = "","",Table!B1537)</f>
        <v/>
      </c>
      <c r="C1537" s="31" t="str">
        <f>IF(Table!C1537 = "","",Table!C1537)</f>
        <v/>
      </c>
      <c r="D1537" s="32" t="str">
        <f>IF(Table!D1537 = "","",Table!D1537)</f>
        <v/>
      </c>
      <c r="E1537" s="32" t="str">
        <f>IF(Table!E1537 = "","",Table!E1537)</f>
        <v/>
      </c>
      <c r="F1537" s="32" t="str">
        <f>IF(Table!F1537 = "","",Table!F1537)</f>
        <v/>
      </c>
      <c r="G1537" s="91"/>
      <c r="K1537" s="31" t="str">
        <f>IFERROR(VLOOKUP(A1537,Table!$I$4:$O$3000,1,TRUE),"")</f>
        <v/>
      </c>
      <c r="L1537" s="31" t="str">
        <f>IFERROR(INDEX(Table!I:O,MATCH(K1537,Table!I:I,0),2),"")</f>
        <v/>
      </c>
      <c r="M1537" s="31" t="str">
        <f>IFERROR(INDEX(Table!I:O,MATCH(K1537,Table!I:I,0),3),"")</f>
        <v/>
      </c>
      <c r="N1537" s="32" t="str">
        <f>IFERROR(INDEX(Table!I:O,MATCH(K1537,Table!I:I,0),4),"")</f>
        <v/>
      </c>
      <c r="O1537" s="32" t="str">
        <f>IFERROR(INDEX(Table!I:O,MATCH(K1537,Table!I:I,0),5),"")</f>
        <v/>
      </c>
      <c r="P1537" s="32" t="str">
        <f>IFERROR(INDEX(Table!I:O,MATCH(K1537,Table!I:I,0),6),"")</f>
        <v/>
      </c>
      <c r="Q1537" s="89" t="str">
        <f t="shared" si="69"/>
        <v/>
      </c>
      <c r="R1537" s="89" t="str">
        <f t="shared" si="70"/>
        <v/>
      </c>
      <c r="S1537" s="82"/>
      <c r="U1537" s="37" t="e">
        <f t="shared" si="71"/>
        <v>#VALUE!</v>
      </c>
    </row>
    <row r="1538" spans="1:21" x14ac:dyDescent="0.25">
      <c r="A1538" s="31" t="str">
        <f>IF(Table!A1538 = "","",Table!A1538)</f>
        <v/>
      </c>
      <c r="B1538" s="31" t="str">
        <f>IF(Table!B1538 = "","",Table!B1538)</f>
        <v/>
      </c>
      <c r="C1538" s="31" t="str">
        <f>IF(Table!C1538 = "","",Table!C1538)</f>
        <v/>
      </c>
      <c r="D1538" s="32" t="str">
        <f>IF(Table!D1538 = "","",Table!D1538)</f>
        <v/>
      </c>
      <c r="E1538" s="32" t="str">
        <f>IF(Table!E1538 = "","",Table!E1538)</f>
        <v/>
      </c>
      <c r="F1538" s="32" t="str">
        <f>IF(Table!F1538 = "","",Table!F1538)</f>
        <v/>
      </c>
      <c r="G1538" s="91"/>
      <c r="K1538" s="31" t="str">
        <f>IFERROR(VLOOKUP(A1538,Table!$I$4:$O$3000,1,TRUE),"")</f>
        <v/>
      </c>
      <c r="L1538" s="31" t="str">
        <f>IFERROR(INDEX(Table!I:O,MATCH(K1538,Table!I:I,0),2),"")</f>
        <v/>
      </c>
      <c r="M1538" s="31" t="str">
        <f>IFERROR(INDEX(Table!I:O,MATCH(K1538,Table!I:I,0),3),"")</f>
        <v/>
      </c>
      <c r="N1538" s="32" t="str">
        <f>IFERROR(INDEX(Table!I:O,MATCH(K1538,Table!I:I,0),4),"")</f>
        <v/>
      </c>
      <c r="O1538" s="32" t="str">
        <f>IFERROR(INDEX(Table!I:O,MATCH(K1538,Table!I:I,0),5),"")</f>
        <v/>
      </c>
      <c r="P1538" s="32" t="str">
        <f>IFERROR(INDEX(Table!I:O,MATCH(K1538,Table!I:I,0),6),"")</f>
        <v/>
      </c>
      <c r="Q1538" s="89" t="str">
        <f t="shared" si="69"/>
        <v/>
      </c>
      <c r="R1538" s="89" t="str">
        <f t="shared" si="70"/>
        <v/>
      </c>
      <c r="S1538" s="82"/>
      <c r="U1538" s="37" t="e">
        <f t="shared" si="71"/>
        <v>#VALUE!</v>
      </c>
    </row>
    <row r="1539" spans="1:21" x14ac:dyDescent="0.25">
      <c r="A1539" s="31" t="str">
        <f>IF(Table!A1539 = "","",Table!A1539)</f>
        <v/>
      </c>
      <c r="B1539" s="31" t="str">
        <f>IF(Table!B1539 = "","",Table!B1539)</f>
        <v/>
      </c>
      <c r="C1539" s="31" t="str">
        <f>IF(Table!C1539 = "","",Table!C1539)</f>
        <v/>
      </c>
      <c r="D1539" s="32" t="str">
        <f>IF(Table!D1539 = "","",Table!D1539)</f>
        <v/>
      </c>
      <c r="E1539" s="32" t="str">
        <f>IF(Table!E1539 = "","",Table!E1539)</f>
        <v/>
      </c>
      <c r="F1539" s="32" t="str">
        <f>IF(Table!F1539 = "","",Table!F1539)</f>
        <v/>
      </c>
      <c r="G1539" s="91"/>
      <c r="K1539" s="31" t="str">
        <f>IFERROR(VLOOKUP(A1539,Table!$I$4:$O$3000,1,TRUE),"")</f>
        <v/>
      </c>
      <c r="L1539" s="31" t="str">
        <f>IFERROR(INDEX(Table!I:O,MATCH(K1539,Table!I:I,0),2),"")</f>
        <v/>
      </c>
      <c r="M1539" s="31" t="str">
        <f>IFERROR(INDEX(Table!I:O,MATCH(K1539,Table!I:I,0),3),"")</f>
        <v/>
      </c>
      <c r="N1539" s="32" t="str">
        <f>IFERROR(INDEX(Table!I:O,MATCH(K1539,Table!I:I,0),4),"")</f>
        <v/>
      </c>
      <c r="O1539" s="32" t="str">
        <f>IFERROR(INDEX(Table!I:O,MATCH(K1539,Table!I:I,0),5),"")</f>
        <v/>
      </c>
      <c r="P1539" s="32" t="str">
        <f>IFERROR(INDEX(Table!I:O,MATCH(K1539,Table!I:I,0),6),"")</f>
        <v/>
      </c>
      <c r="Q1539" s="89" t="str">
        <f t="shared" si="69"/>
        <v/>
      </c>
      <c r="R1539" s="89" t="str">
        <f t="shared" si="70"/>
        <v/>
      </c>
      <c r="S1539" s="82"/>
      <c r="U1539" s="37" t="e">
        <f t="shared" si="71"/>
        <v>#VALUE!</v>
      </c>
    </row>
    <row r="1540" spans="1:21" x14ac:dyDescent="0.25">
      <c r="A1540" s="31" t="str">
        <f>IF(Table!A1540 = "","",Table!A1540)</f>
        <v/>
      </c>
      <c r="B1540" s="31" t="str">
        <f>IF(Table!B1540 = "","",Table!B1540)</f>
        <v/>
      </c>
      <c r="C1540" s="31" t="str">
        <f>IF(Table!C1540 = "","",Table!C1540)</f>
        <v/>
      </c>
      <c r="D1540" s="32" t="str">
        <f>IF(Table!D1540 = "","",Table!D1540)</f>
        <v/>
      </c>
      <c r="E1540" s="32" t="str">
        <f>IF(Table!E1540 = "","",Table!E1540)</f>
        <v/>
      </c>
      <c r="F1540" s="32" t="str">
        <f>IF(Table!F1540 = "","",Table!F1540)</f>
        <v/>
      </c>
      <c r="G1540" s="91"/>
      <c r="K1540" s="31" t="str">
        <f>IFERROR(VLOOKUP(A1540,Table!$I$4:$O$3000,1,TRUE),"")</f>
        <v/>
      </c>
      <c r="L1540" s="31" t="str">
        <f>IFERROR(INDEX(Table!I:O,MATCH(K1540,Table!I:I,0),2),"")</f>
        <v/>
      </c>
      <c r="M1540" s="31" t="str">
        <f>IFERROR(INDEX(Table!I:O,MATCH(K1540,Table!I:I,0),3),"")</f>
        <v/>
      </c>
      <c r="N1540" s="32" t="str">
        <f>IFERROR(INDEX(Table!I:O,MATCH(K1540,Table!I:I,0),4),"")</f>
        <v/>
      </c>
      <c r="O1540" s="32" t="str">
        <f>IFERROR(INDEX(Table!I:O,MATCH(K1540,Table!I:I,0),5),"")</f>
        <v/>
      </c>
      <c r="P1540" s="32" t="str">
        <f>IFERROR(INDEX(Table!I:O,MATCH(K1540,Table!I:I,0),6),"")</f>
        <v/>
      </c>
      <c r="Q1540" s="89" t="str">
        <f t="shared" si="69"/>
        <v/>
      </c>
      <c r="R1540" s="89" t="str">
        <f t="shared" si="70"/>
        <v/>
      </c>
      <c r="S1540" s="82"/>
      <c r="U1540" s="37" t="e">
        <f t="shared" si="71"/>
        <v>#VALUE!</v>
      </c>
    </row>
    <row r="1541" spans="1:21" x14ac:dyDescent="0.25">
      <c r="A1541" s="31" t="str">
        <f>IF(Table!A1541 = "","",Table!A1541)</f>
        <v/>
      </c>
      <c r="B1541" s="31" t="str">
        <f>IF(Table!B1541 = "","",Table!B1541)</f>
        <v/>
      </c>
      <c r="C1541" s="31" t="str">
        <f>IF(Table!C1541 = "","",Table!C1541)</f>
        <v/>
      </c>
      <c r="D1541" s="32" t="str">
        <f>IF(Table!D1541 = "","",Table!D1541)</f>
        <v/>
      </c>
      <c r="E1541" s="32" t="str">
        <f>IF(Table!E1541 = "","",Table!E1541)</f>
        <v/>
      </c>
      <c r="F1541" s="32" t="str">
        <f>IF(Table!F1541 = "","",Table!F1541)</f>
        <v/>
      </c>
      <c r="G1541" s="91"/>
      <c r="K1541" s="31" t="str">
        <f>IFERROR(VLOOKUP(A1541,Table!$I$4:$O$3000,1,TRUE),"")</f>
        <v/>
      </c>
      <c r="L1541" s="31" t="str">
        <f>IFERROR(INDEX(Table!I:O,MATCH(K1541,Table!I:I,0),2),"")</f>
        <v/>
      </c>
      <c r="M1541" s="31" t="str">
        <f>IFERROR(INDEX(Table!I:O,MATCH(K1541,Table!I:I,0),3),"")</f>
        <v/>
      </c>
      <c r="N1541" s="32" t="str">
        <f>IFERROR(INDEX(Table!I:O,MATCH(K1541,Table!I:I,0),4),"")</f>
        <v/>
      </c>
      <c r="O1541" s="32" t="str">
        <f>IFERROR(INDEX(Table!I:O,MATCH(K1541,Table!I:I,0),5),"")</f>
        <v/>
      </c>
      <c r="P1541" s="32" t="str">
        <f>IFERROR(INDEX(Table!I:O,MATCH(K1541,Table!I:I,0),6),"")</f>
        <v/>
      </c>
      <c r="Q1541" s="89" t="str">
        <f t="shared" si="69"/>
        <v/>
      </c>
      <c r="R1541" s="89" t="str">
        <f t="shared" si="70"/>
        <v/>
      </c>
      <c r="S1541" s="82"/>
      <c r="U1541" s="37" t="e">
        <f t="shared" si="71"/>
        <v>#VALUE!</v>
      </c>
    </row>
    <row r="1542" spans="1:21" x14ac:dyDescent="0.25">
      <c r="A1542" s="31" t="str">
        <f>IF(Table!A1542 = "","",Table!A1542)</f>
        <v/>
      </c>
      <c r="B1542" s="31" t="str">
        <f>IF(Table!B1542 = "","",Table!B1542)</f>
        <v/>
      </c>
      <c r="C1542" s="31" t="str">
        <f>IF(Table!C1542 = "","",Table!C1542)</f>
        <v/>
      </c>
      <c r="D1542" s="32" t="str">
        <f>IF(Table!D1542 = "","",Table!D1542)</f>
        <v/>
      </c>
      <c r="E1542" s="32" t="str">
        <f>IF(Table!E1542 = "","",Table!E1542)</f>
        <v/>
      </c>
      <c r="F1542" s="32" t="str">
        <f>IF(Table!F1542 = "","",Table!F1542)</f>
        <v/>
      </c>
      <c r="G1542" s="91"/>
      <c r="K1542" s="31" t="str">
        <f>IFERROR(VLOOKUP(A1542,Table!$I$4:$O$3000,1,TRUE),"")</f>
        <v/>
      </c>
      <c r="L1542" s="31" t="str">
        <f>IFERROR(INDEX(Table!I:O,MATCH(K1542,Table!I:I,0),2),"")</f>
        <v/>
      </c>
      <c r="M1542" s="31" t="str">
        <f>IFERROR(INDEX(Table!I:O,MATCH(K1542,Table!I:I,0),3),"")</f>
        <v/>
      </c>
      <c r="N1542" s="32" t="str">
        <f>IFERROR(INDEX(Table!I:O,MATCH(K1542,Table!I:I,0),4),"")</f>
        <v/>
      </c>
      <c r="O1542" s="32" t="str">
        <f>IFERROR(INDEX(Table!I:O,MATCH(K1542,Table!I:I,0),5),"")</f>
        <v/>
      </c>
      <c r="P1542" s="32" t="str">
        <f>IFERROR(INDEX(Table!I:O,MATCH(K1542,Table!I:I,0),6),"")</f>
        <v/>
      </c>
      <c r="Q1542" s="89" t="str">
        <f t="shared" ref="Q1542:Q1605" si="72">IFERROR(L1542-B1542,"")</f>
        <v/>
      </c>
      <c r="R1542" s="89" t="str">
        <f t="shared" ref="R1542:R1605" si="73">IFERROR(M1542-C1542,"")</f>
        <v/>
      </c>
      <c r="S1542" s="82"/>
      <c r="U1542" s="37" t="e">
        <f t="shared" ref="U1542:U1605" si="74">K1542-K1541</f>
        <v>#VALUE!</v>
      </c>
    </row>
    <row r="1543" spans="1:21" x14ac:dyDescent="0.25">
      <c r="A1543" s="31" t="str">
        <f>IF(Table!A1543 = "","",Table!A1543)</f>
        <v/>
      </c>
      <c r="B1543" s="31" t="str">
        <f>IF(Table!B1543 = "","",Table!B1543)</f>
        <v/>
      </c>
      <c r="C1543" s="31" t="str">
        <f>IF(Table!C1543 = "","",Table!C1543)</f>
        <v/>
      </c>
      <c r="D1543" s="32" t="str">
        <f>IF(Table!D1543 = "","",Table!D1543)</f>
        <v/>
      </c>
      <c r="E1543" s="32" t="str">
        <f>IF(Table!E1543 = "","",Table!E1543)</f>
        <v/>
      </c>
      <c r="F1543" s="32" t="str">
        <f>IF(Table!F1543 = "","",Table!F1543)</f>
        <v/>
      </c>
      <c r="G1543" s="91"/>
      <c r="K1543" s="31" t="str">
        <f>IFERROR(VLOOKUP(A1543,Table!$I$4:$O$3000,1,TRUE),"")</f>
        <v/>
      </c>
      <c r="L1543" s="31" t="str">
        <f>IFERROR(INDEX(Table!I:O,MATCH(K1543,Table!I:I,0),2),"")</f>
        <v/>
      </c>
      <c r="M1543" s="31" t="str">
        <f>IFERROR(INDEX(Table!I:O,MATCH(K1543,Table!I:I,0),3),"")</f>
        <v/>
      </c>
      <c r="N1543" s="32" t="str">
        <f>IFERROR(INDEX(Table!I:O,MATCH(K1543,Table!I:I,0),4),"")</f>
        <v/>
      </c>
      <c r="O1543" s="32" t="str">
        <f>IFERROR(INDEX(Table!I:O,MATCH(K1543,Table!I:I,0),5),"")</f>
        <v/>
      </c>
      <c r="P1543" s="32" t="str">
        <f>IFERROR(INDEX(Table!I:O,MATCH(K1543,Table!I:I,0),6),"")</f>
        <v/>
      </c>
      <c r="Q1543" s="89" t="str">
        <f t="shared" si="72"/>
        <v/>
      </c>
      <c r="R1543" s="89" t="str">
        <f t="shared" si="73"/>
        <v/>
      </c>
      <c r="S1543" s="82"/>
      <c r="U1543" s="37" t="e">
        <f t="shared" si="74"/>
        <v>#VALUE!</v>
      </c>
    </row>
    <row r="1544" spans="1:21" x14ac:dyDescent="0.25">
      <c r="A1544" s="31" t="str">
        <f>IF(Table!A1544 = "","",Table!A1544)</f>
        <v/>
      </c>
      <c r="B1544" s="31" t="str">
        <f>IF(Table!B1544 = "","",Table!B1544)</f>
        <v/>
      </c>
      <c r="C1544" s="31" t="str">
        <f>IF(Table!C1544 = "","",Table!C1544)</f>
        <v/>
      </c>
      <c r="D1544" s="32" t="str">
        <f>IF(Table!D1544 = "","",Table!D1544)</f>
        <v/>
      </c>
      <c r="E1544" s="32" t="str">
        <f>IF(Table!E1544 = "","",Table!E1544)</f>
        <v/>
      </c>
      <c r="F1544" s="32" t="str">
        <f>IF(Table!F1544 = "","",Table!F1544)</f>
        <v/>
      </c>
      <c r="G1544" s="91"/>
      <c r="K1544" s="31" t="str">
        <f>IFERROR(VLOOKUP(A1544,Table!$I$4:$O$3000,1,TRUE),"")</f>
        <v/>
      </c>
      <c r="L1544" s="31" t="str">
        <f>IFERROR(INDEX(Table!I:O,MATCH(K1544,Table!I:I,0),2),"")</f>
        <v/>
      </c>
      <c r="M1544" s="31" t="str">
        <f>IFERROR(INDEX(Table!I:O,MATCH(K1544,Table!I:I,0),3),"")</f>
        <v/>
      </c>
      <c r="N1544" s="32" t="str">
        <f>IFERROR(INDEX(Table!I:O,MATCH(K1544,Table!I:I,0),4),"")</f>
        <v/>
      </c>
      <c r="O1544" s="32" t="str">
        <f>IFERROR(INDEX(Table!I:O,MATCH(K1544,Table!I:I,0),5),"")</f>
        <v/>
      </c>
      <c r="P1544" s="32" t="str">
        <f>IFERROR(INDEX(Table!I:O,MATCH(K1544,Table!I:I,0),6),"")</f>
        <v/>
      </c>
      <c r="Q1544" s="89" t="str">
        <f t="shared" si="72"/>
        <v/>
      </c>
      <c r="R1544" s="89" t="str">
        <f t="shared" si="73"/>
        <v/>
      </c>
      <c r="S1544" s="82"/>
      <c r="U1544" s="37" t="e">
        <f t="shared" si="74"/>
        <v>#VALUE!</v>
      </c>
    </row>
    <row r="1545" spans="1:21" x14ac:dyDescent="0.25">
      <c r="A1545" s="31" t="str">
        <f>IF(Table!A1545 = "","",Table!A1545)</f>
        <v/>
      </c>
      <c r="B1545" s="31" t="str">
        <f>IF(Table!B1545 = "","",Table!B1545)</f>
        <v/>
      </c>
      <c r="C1545" s="31" t="str">
        <f>IF(Table!C1545 = "","",Table!C1545)</f>
        <v/>
      </c>
      <c r="D1545" s="32" t="str">
        <f>IF(Table!D1545 = "","",Table!D1545)</f>
        <v/>
      </c>
      <c r="E1545" s="32" t="str">
        <f>IF(Table!E1545 = "","",Table!E1545)</f>
        <v/>
      </c>
      <c r="F1545" s="32" t="str">
        <f>IF(Table!F1545 = "","",Table!F1545)</f>
        <v/>
      </c>
      <c r="G1545" s="91"/>
      <c r="K1545" s="31" t="str">
        <f>IFERROR(VLOOKUP(A1545,Table!$I$4:$O$3000,1,TRUE),"")</f>
        <v/>
      </c>
      <c r="L1545" s="31" t="str">
        <f>IFERROR(INDEX(Table!I:O,MATCH(K1545,Table!I:I,0),2),"")</f>
        <v/>
      </c>
      <c r="M1545" s="31" t="str">
        <f>IFERROR(INDEX(Table!I:O,MATCH(K1545,Table!I:I,0),3),"")</f>
        <v/>
      </c>
      <c r="N1545" s="32" t="str">
        <f>IFERROR(INDEX(Table!I:O,MATCH(K1545,Table!I:I,0),4),"")</f>
        <v/>
      </c>
      <c r="O1545" s="32" t="str">
        <f>IFERROR(INDEX(Table!I:O,MATCH(K1545,Table!I:I,0),5),"")</f>
        <v/>
      </c>
      <c r="P1545" s="32" t="str">
        <f>IFERROR(INDEX(Table!I:O,MATCH(K1545,Table!I:I,0),6),"")</f>
        <v/>
      </c>
      <c r="Q1545" s="89" t="str">
        <f t="shared" si="72"/>
        <v/>
      </c>
      <c r="R1545" s="89" t="str">
        <f t="shared" si="73"/>
        <v/>
      </c>
      <c r="S1545" s="82"/>
      <c r="U1545" s="37" t="e">
        <f t="shared" si="74"/>
        <v>#VALUE!</v>
      </c>
    </row>
    <row r="1546" spans="1:21" x14ac:dyDescent="0.25">
      <c r="A1546" s="31" t="str">
        <f>IF(Table!A1546 = "","",Table!A1546)</f>
        <v/>
      </c>
      <c r="B1546" s="31" t="str">
        <f>IF(Table!B1546 = "","",Table!B1546)</f>
        <v/>
      </c>
      <c r="C1546" s="31" t="str">
        <f>IF(Table!C1546 = "","",Table!C1546)</f>
        <v/>
      </c>
      <c r="D1546" s="32" t="str">
        <f>IF(Table!D1546 = "","",Table!D1546)</f>
        <v/>
      </c>
      <c r="E1546" s="32" t="str">
        <f>IF(Table!E1546 = "","",Table!E1546)</f>
        <v/>
      </c>
      <c r="F1546" s="32" t="str">
        <f>IF(Table!F1546 = "","",Table!F1546)</f>
        <v/>
      </c>
      <c r="G1546" s="91"/>
      <c r="K1546" s="31" t="str">
        <f>IFERROR(VLOOKUP(A1546,Table!$I$4:$O$3000,1,TRUE),"")</f>
        <v/>
      </c>
      <c r="L1546" s="31" t="str">
        <f>IFERROR(INDEX(Table!I:O,MATCH(K1546,Table!I:I,0),2),"")</f>
        <v/>
      </c>
      <c r="M1546" s="31" t="str">
        <f>IFERROR(INDEX(Table!I:O,MATCH(K1546,Table!I:I,0),3),"")</f>
        <v/>
      </c>
      <c r="N1546" s="32" t="str">
        <f>IFERROR(INDEX(Table!I:O,MATCH(K1546,Table!I:I,0),4),"")</f>
        <v/>
      </c>
      <c r="O1546" s="32" t="str">
        <f>IFERROR(INDEX(Table!I:O,MATCH(K1546,Table!I:I,0),5),"")</f>
        <v/>
      </c>
      <c r="P1546" s="32" t="str">
        <f>IFERROR(INDEX(Table!I:O,MATCH(K1546,Table!I:I,0),6),"")</f>
        <v/>
      </c>
      <c r="Q1546" s="89" t="str">
        <f t="shared" si="72"/>
        <v/>
      </c>
      <c r="R1546" s="89" t="str">
        <f t="shared" si="73"/>
        <v/>
      </c>
      <c r="S1546" s="82"/>
      <c r="U1546" s="37" t="e">
        <f t="shared" si="74"/>
        <v>#VALUE!</v>
      </c>
    </row>
    <row r="1547" spans="1:21" x14ac:dyDescent="0.25">
      <c r="A1547" s="31" t="str">
        <f>IF(Table!A1547 = "","",Table!A1547)</f>
        <v/>
      </c>
      <c r="B1547" s="31" t="str">
        <f>IF(Table!B1547 = "","",Table!B1547)</f>
        <v/>
      </c>
      <c r="C1547" s="31" t="str">
        <f>IF(Table!C1547 = "","",Table!C1547)</f>
        <v/>
      </c>
      <c r="D1547" s="32" t="str">
        <f>IF(Table!D1547 = "","",Table!D1547)</f>
        <v/>
      </c>
      <c r="E1547" s="32" t="str">
        <f>IF(Table!E1547 = "","",Table!E1547)</f>
        <v/>
      </c>
      <c r="F1547" s="32" t="str">
        <f>IF(Table!F1547 = "","",Table!F1547)</f>
        <v/>
      </c>
      <c r="G1547" s="91"/>
      <c r="K1547" s="31" t="str">
        <f>IFERROR(VLOOKUP(A1547,Table!$I$4:$O$3000,1,TRUE),"")</f>
        <v/>
      </c>
      <c r="L1547" s="31" t="str">
        <f>IFERROR(INDEX(Table!I:O,MATCH(K1547,Table!I:I,0),2),"")</f>
        <v/>
      </c>
      <c r="M1547" s="31" t="str">
        <f>IFERROR(INDEX(Table!I:O,MATCH(K1547,Table!I:I,0),3),"")</f>
        <v/>
      </c>
      <c r="N1547" s="32" t="str">
        <f>IFERROR(INDEX(Table!I:O,MATCH(K1547,Table!I:I,0),4),"")</f>
        <v/>
      </c>
      <c r="O1547" s="32" t="str">
        <f>IFERROR(INDEX(Table!I:O,MATCH(K1547,Table!I:I,0),5),"")</f>
        <v/>
      </c>
      <c r="P1547" s="32" t="str">
        <f>IFERROR(INDEX(Table!I:O,MATCH(K1547,Table!I:I,0),6),"")</f>
        <v/>
      </c>
      <c r="Q1547" s="89" t="str">
        <f t="shared" si="72"/>
        <v/>
      </c>
      <c r="R1547" s="89" t="str">
        <f t="shared" si="73"/>
        <v/>
      </c>
      <c r="S1547" s="82"/>
      <c r="U1547" s="37" t="e">
        <f t="shared" si="74"/>
        <v>#VALUE!</v>
      </c>
    </row>
    <row r="1548" spans="1:21" x14ac:dyDescent="0.25">
      <c r="A1548" s="31" t="str">
        <f>IF(Table!A1548 = "","",Table!A1548)</f>
        <v/>
      </c>
      <c r="B1548" s="31" t="str">
        <f>IF(Table!B1548 = "","",Table!B1548)</f>
        <v/>
      </c>
      <c r="C1548" s="31" t="str">
        <f>IF(Table!C1548 = "","",Table!C1548)</f>
        <v/>
      </c>
      <c r="D1548" s="32" t="str">
        <f>IF(Table!D1548 = "","",Table!D1548)</f>
        <v/>
      </c>
      <c r="E1548" s="32" t="str">
        <f>IF(Table!E1548 = "","",Table!E1548)</f>
        <v/>
      </c>
      <c r="F1548" s="32" t="str">
        <f>IF(Table!F1548 = "","",Table!F1548)</f>
        <v/>
      </c>
      <c r="G1548" s="91"/>
      <c r="K1548" s="31" t="str">
        <f>IFERROR(VLOOKUP(A1548,Table!$I$4:$O$3000,1,TRUE),"")</f>
        <v/>
      </c>
      <c r="L1548" s="31" t="str">
        <f>IFERROR(INDEX(Table!I:O,MATCH(K1548,Table!I:I,0),2),"")</f>
        <v/>
      </c>
      <c r="M1548" s="31" t="str">
        <f>IFERROR(INDEX(Table!I:O,MATCH(K1548,Table!I:I,0),3),"")</f>
        <v/>
      </c>
      <c r="N1548" s="32" t="str">
        <f>IFERROR(INDEX(Table!I:O,MATCH(K1548,Table!I:I,0),4),"")</f>
        <v/>
      </c>
      <c r="O1548" s="32" t="str">
        <f>IFERROR(INDEX(Table!I:O,MATCH(K1548,Table!I:I,0),5),"")</f>
        <v/>
      </c>
      <c r="P1548" s="32" t="str">
        <f>IFERROR(INDEX(Table!I:O,MATCH(K1548,Table!I:I,0),6),"")</f>
        <v/>
      </c>
      <c r="Q1548" s="89" t="str">
        <f t="shared" si="72"/>
        <v/>
      </c>
      <c r="R1548" s="89" t="str">
        <f t="shared" si="73"/>
        <v/>
      </c>
      <c r="S1548" s="82"/>
      <c r="U1548" s="37" t="e">
        <f t="shared" si="74"/>
        <v>#VALUE!</v>
      </c>
    </row>
    <row r="1549" spans="1:21" x14ac:dyDescent="0.25">
      <c r="A1549" s="31" t="str">
        <f>IF(Table!A1549 = "","",Table!A1549)</f>
        <v/>
      </c>
      <c r="B1549" s="31" t="str">
        <f>IF(Table!B1549 = "","",Table!B1549)</f>
        <v/>
      </c>
      <c r="C1549" s="31" t="str">
        <f>IF(Table!C1549 = "","",Table!C1549)</f>
        <v/>
      </c>
      <c r="D1549" s="32" t="str">
        <f>IF(Table!D1549 = "","",Table!D1549)</f>
        <v/>
      </c>
      <c r="E1549" s="32" t="str">
        <f>IF(Table!E1549 = "","",Table!E1549)</f>
        <v/>
      </c>
      <c r="F1549" s="32" t="str">
        <f>IF(Table!F1549 = "","",Table!F1549)</f>
        <v/>
      </c>
      <c r="G1549" s="91"/>
      <c r="K1549" s="31" t="str">
        <f>IFERROR(VLOOKUP(A1549,Table!$I$4:$O$3000,1,TRUE),"")</f>
        <v/>
      </c>
      <c r="L1549" s="31" t="str">
        <f>IFERROR(INDEX(Table!I:O,MATCH(K1549,Table!I:I,0),2),"")</f>
        <v/>
      </c>
      <c r="M1549" s="31" t="str">
        <f>IFERROR(INDEX(Table!I:O,MATCH(K1549,Table!I:I,0),3),"")</f>
        <v/>
      </c>
      <c r="N1549" s="32" t="str">
        <f>IFERROR(INDEX(Table!I:O,MATCH(K1549,Table!I:I,0),4),"")</f>
        <v/>
      </c>
      <c r="O1549" s="32" t="str">
        <f>IFERROR(INDEX(Table!I:O,MATCH(K1549,Table!I:I,0),5),"")</f>
        <v/>
      </c>
      <c r="P1549" s="32" t="str">
        <f>IFERROR(INDEX(Table!I:O,MATCH(K1549,Table!I:I,0),6),"")</f>
        <v/>
      </c>
      <c r="Q1549" s="89" t="str">
        <f t="shared" si="72"/>
        <v/>
      </c>
      <c r="R1549" s="89" t="str">
        <f t="shared" si="73"/>
        <v/>
      </c>
      <c r="S1549" s="82"/>
      <c r="U1549" s="37" t="e">
        <f t="shared" si="74"/>
        <v>#VALUE!</v>
      </c>
    </row>
    <row r="1550" spans="1:21" x14ac:dyDescent="0.25">
      <c r="A1550" s="31" t="str">
        <f>IF(Table!A1550 = "","",Table!A1550)</f>
        <v/>
      </c>
      <c r="B1550" s="31" t="str">
        <f>IF(Table!B1550 = "","",Table!B1550)</f>
        <v/>
      </c>
      <c r="C1550" s="31" t="str">
        <f>IF(Table!C1550 = "","",Table!C1550)</f>
        <v/>
      </c>
      <c r="D1550" s="32" t="str">
        <f>IF(Table!D1550 = "","",Table!D1550)</f>
        <v/>
      </c>
      <c r="E1550" s="32" t="str">
        <f>IF(Table!E1550 = "","",Table!E1550)</f>
        <v/>
      </c>
      <c r="F1550" s="32" t="str">
        <f>IF(Table!F1550 = "","",Table!F1550)</f>
        <v/>
      </c>
      <c r="G1550" s="91"/>
      <c r="K1550" s="31" t="str">
        <f>IFERROR(VLOOKUP(A1550,Table!$I$4:$O$3000,1,TRUE),"")</f>
        <v/>
      </c>
      <c r="L1550" s="31" t="str">
        <f>IFERROR(INDEX(Table!I:O,MATCH(K1550,Table!I:I,0),2),"")</f>
        <v/>
      </c>
      <c r="M1550" s="31" t="str">
        <f>IFERROR(INDEX(Table!I:O,MATCH(K1550,Table!I:I,0),3),"")</f>
        <v/>
      </c>
      <c r="N1550" s="32" t="str">
        <f>IFERROR(INDEX(Table!I:O,MATCH(K1550,Table!I:I,0),4),"")</f>
        <v/>
      </c>
      <c r="O1550" s="32" t="str">
        <f>IFERROR(INDEX(Table!I:O,MATCH(K1550,Table!I:I,0),5),"")</f>
        <v/>
      </c>
      <c r="P1550" s="32" t="str">
        <f>IFERROR(INDEX(Table!I:O,MATCH(K1550,Table!I:I,0),6),"")</f>
        <v/>
      </c>
      <c r="Q1550" s="89" t="str">
        <f t="shared" si="72"/>
        <v/>
      </c>
      <c r="R1550" s="89" t="str">
        <f t="shared" si="73"/>
        <v/>
      </c>
      <c r="S1550" s="82"/>
      <c r="U1550" s="37" t="e">
        <f t="shared" si="74"/>
        <v>#VALUE!</v>
      </c>
    </row>
    <row r="1551" spans="1:21" x14ac:dyDescent="0.25">
      <c r="A1551" s="31" t="str">
        <f>IF(Table!A1551 = "","",Table!A1551)</f>
        <v/>
      </c>
      <c r="B1551" s="31" t="str">
        <f>IF(Table!B1551 = "","",Table!B1551)</f>
        <v/>
      </c>
      <c r="C1551" s="31" t="str">
        <f>IF(Table!C1551 = "","",Table!C1551)</f>
        <v/>
      </c>
      <c r="D1551" s="32" t="str">
        <f>IF(Table!D1551 = "","",Table!D1551)</f>
        <v/>
      </c>
      <c r="E1551" s="32" t="str">
        <f>IF(Table!E1551 = "","",Table!E1551)</f>
        <v/>
      </c>
      <c r="F1551" s="32" t="str">
        <f>IF(Table!F1551 = "","",Table!F1551)</f>
        <v/>
      </c>
      <c r="G1551" s="91"/>
      <c r="K1551" s="31" t="str">
        <f>IFERROR(VLOOKUP(A1551,Table!$I$4:$O$3000,1,TRUE),"")</f>
        <v/>
      </c>
      <c r="L1551" s="31" t="str">
        <f>IFERROR(INDEX(Table!I:O,MATCH(K1551,Table!I:I,0),2),"")</f>
        <v/>
      </c>
      <c r="M1551" s="31" t="str">
        <f>IFERROR(INDEX(Table!I:O,MATCH(K1551,Table!I:I,0),3),"")</f>
        <v/>
      </c>
      <c r="N1551" s="32" t="str">
        <f>IFERROR(INDEX(Table!I:O,MATCH(K1551,Table!I:I,0),4),"")</f>
        <v/>
      </c>
      <c r="O1551" s="32" t="str">
        <f>IFERROR(INDEX(Table!I:O,MATCH(K1551,Table!I:I,0),5),"")</f>
        <v/>
      </c>
      <c r="P1551" s="32" t="str">
        <f>IFERROR(INDEX(Table!I:O,MATCH(K1551,Table!I:I,0),6),"")</f>
        <v/>
      </c>
      <c r="Q1551" s="89" t="str">
        <f t="shared" si="72"/>
        <v/>
      </c>
      <c r="R1551" s="89" t="str">
        <f t="shared" si="73"/>
        <v/>
      </c>
      <c r="S1551" s="82"/>
      <c r="U1551" s="37" t="e">
        <f t="shared" si="74"/>
        <v>#VALUE!</v>
      </c>
    </row>
    <row r="1552" spans="1:21" x14ac:dyDescent="0.25">
      <c r="A1552" s="31" t="str">
        <f>IF(Table!A1552 = "","",Table!A1552)</f>
        <v/>
      </c>
      <c r="B1552" s="31" t="str">
        <f>IF(Table!B1552 = "","",Table!B1552)</f>
        <v/>
      </c>
      <c r="C1552" s="31" t="str">
        <f>IF(Table!C1552 = "","",Table!C1552)</f>
        <v/>
      </c>
      <c r="D1552" s="32" t="str">
        <f>IF(Table!D1552 = "","",Table!D1552)</f>
        <v/>
      </c>
      <c r="E1552" s="32" t="str">
        <f>IF(Table!E1552 = "","",Table!E1552)</f>
        <v/>
      </c>
      <c r="F1552" s="32" t="str">
        <f>IF(Table!F1552 = "","",Table!F1552)</f>
        <v/>
      </c>
      <c r="G1552" s="91"/>
      <c r="K1552" s="31" t="str">
        <f>IFERROR(VLOOKUP(A1552,Table!$I$4:$O$3000,1,TRUE),"")</f>
        <v/>
      </c>
      <c r="L1552" s="31" t="str">
        <f>IFERROR(INDEX(Table!I:O,MATCH(K1552,Table!I:I,0),2),"")</f>
        <v/>
      </c>
      <c r="M1552" s="31" t="str">
        <f>IFERROR(INDEX(Table!I:O,MATCH(K1552,Table!I:I,0),3),"")</f>
        <v/>
      </c>
      <c r="N1552" s="32" t="str">
        <f>IFERROR(INDEX(Table!I:O,MATCH(K1552,Table!I:I,0),4),"")</f>
        <v/>
      </c>
      <c r="O1552" s="32" t="str">
        <f>IFERROR(INDEX(Table!I:O,MATCH(K1552,Table!I:I,0),5),"")</f>
        <v/>
      </c>
      <c r="P1552" s="32" t="str">
        <f>IFERROR(INDEX(Table!I:O,MATCH(K1552,Table!I:I,0),6),"")</f>
        <v/>
      </c>
      <c r="Q1552" s="89" t="str">
        <f t="shared" si="72"/>
        <v/>
      </c>
      <c r="R1552" s="89" t="str">
        <f t="shared" si="73"/>
        <v/>
      </c>
      <c r="S1552" s="82"/>
      <c r="U1552" s="37" t="e">
        <f t="shared" si="74"/>
        <v>#VALUE!</v>
      </c>
    </row>
    <row r="1553" spans="1:21" x14ac:dyDescent="0.25">
      <c r="A1553" s="31" t="str">
        <f>IF(Table!A1553 = "","",Table!A1553)</f>
        <v/>
      </c>
      <c r="B1553" s="31" t="str">
        <f>IF(Table!B1553 = "","",Table!B1553)</f>
        <v/>
      </c>
      <c r="C1553" s="31" t="str">
        <f>IF(Table!C1553 = "","",Table!C1553)</f>
        <v/>
      </c>
      <c r="D1553" s="32" t="str">
        <f>IF(Table!D1553 = "","",Table!D1553)</f>
        <v/>
      </c>
      <c r="E1553" s="32" t="str">
        <f>IF(Table!E1553 = "","",Table!E1553)</f>
        <v/>
      </c>
      <c r="F1553" s="32" t="str">
        <f>IF(Table!F1553 = "","",Table!F1553)</f>
        <v/>
      </c>
      <c r="G1553" s="91"/>
      <c r="K1553" s="31" t="str">
        <f>IFERROR(VLOOKUP(A1553,Table!$I$4:$O$3000,1,TRUE),"")</f>
        <v/>
      </c>
      <c r="L1553" s="31" t="str">
        <f>IFERROR(INDEX(Table!I:O,MATCH(K1553,Table!I:I,0),2),"")</f>
        <v/>
      </c>
      <c r="M1553" s="31" t="str">
        <f>IFERROR(INDEX(Table!I:O,MATCH(K1553,Table!I:I,0),3),"")</f>
        <v/>
      </c>
      <c r="N1553" s="32" t="str">
        <f>IFERROR(INDEX(Table!I:O,MATCH(K1553,Table!I:I,0),4),"")</f>
        <v/>
      </c>
      <c r="O1553" s="32" t="str">
        <f>IFERROR(INDEX(Table!I:O,MATCH(K1553,Table!I:I,0),5),"")</f>
        <v/>
      </c>
      <c r="P1553" s="32" t="str">
        <f>IFERROR(INDEX(Table!I:O,MATCH(K1553,Table!I:I,0),6),"")</f>
        <v/>
      </c>
      <c r="Q1553" s="89" t="str">
        <f t="shared" si="72"/>
        <v/>
      </c>
      <c r="R1553" s="89" t="str">
        <f t="shared" si="73"/>
        <v/>
      </c>
      <c r="S1553" s="82"/>
      <c r="U1553" s="37" t="e">
        <f t="shared" si="74"/>
        <v>#VALUE!</v>
      </c>
    </row>
    <row r="1554" spans="1:21" x14ac:dyDescent="0.25">
      <c r="A1554" s="31" t="str">
        <f>IF(Table!A1554 = "","",Table!A1554)</f>
        <v/>
      </c>
      <c r="B1554" s="31" t="str">
        <f>IF(Table!B1554 = "","",Table!B1554)</f>
        <v/>
      </c>
      <c r="C1554" s="31" t="str">
        <f>IF(Table!C1554 = "","",Table!C1554)</f>
        <v/>
      </c>
      <c r="D1554" s="32" t="str">
        <f>IF(Table!D1554 = "","",Table!D1554)</f>
        <v/>
      </c>
      <c r="E1554" s="32" t="str">
        <f>IF(Table!E1554 = "","",Table!E1554)</f>
        <v/>
      </c>
      <c r="F1554" s="32" t="str">
        <f>IF(Table!F1554 = "","",Table!F1554)</f>
        <v/>
      </c>
      <c r="G1554" s="91"/>
      <c r="K1554" s="31" t="str">
        <f>IFERROR(VLOOKUP(A1554,Table!$I$4:$O$3000,1,TRUE),"")</f>
        <v/>
      </c>
      <c r="L1554" s="31" t="str">
        <f>IFERROR(INDEX(Table!I:O,MATCH(K1554,Table!I:I,0),2),"")</f>
        <v/>
      </c>
      <c r="M1554" s="31" t="str">
        <f>IFERROR(INDEX(Table!I:O,MATCH(K1554,Table!I:I,0),3),"")</f>
        <v/>
      </c>
      <c r="N1554" s="32" t="str">
        <f>IFERROR(INDEX(Table!I:O,MATCH(K1554,Table!I:I,0),4),"")</f>
        <v/>
      </c>
      <c r="O1554" s="32" t="str">
        <f>IFERROR(INDEX(Table!I:O,MATCH(K1554,Table!I:I,0),5),"")</f>
        <v/>
      </c>
      <c r="P1554" s="32" t="str">
        <f>IFERROR(INDEX(Table!I:O,MATCH(K1554,Table!I:I,0),6),"")</f>
        <v/>
      </c>
      <c r="Q1554" s="89" t="str">
        <f t="shared" si="72"/>
        <v/>
      </c>
      <c r="R1554" s="89" t="str">
        <f t="shared" si="73"/>
        <v/>
      </c>
      <c r="S1554" s="82"/>
      <c r="U1554" s="37" t="e">
        <f t="shared" si="74"/>
        <v>#VALUE!</v>
      </c>
    </row>
    <row r="1555" spans="1:21" x14ac:dyDescent="0.25">
      <c r="A1555" s="31" t="str">
        <f>IF(Table!A1555 = "","",Table!A1555)</f>
        <v/>
      </c>
      <c r="B1555" s="31" t="str">
        <f>IF(Table!B1555 = "","",Table!B1555)</f>
        <v/>
      </c>
      <c r="C1555" s="31" t="str">
        <f>IF(Table!C1555 = "","",Table!C1555)</f>
        <v/>
      </c>
      <c r="D1555" s="32" t="str">
        <f>IF(Table!D1555 = "","",Table!D1555)</f>
        <v/>
      </c>
      <c r="E1555" s="32" t="str">
        <f>IF(Table!E1555 = "","",Table!E1555)</f>
        <v/>
      </c>
      <c r="F1555" s="32" t="str">
        <f>IF(Table!F1555 = "","",Table!F1555)</f>
        <v/>
      </c>
      <c r="G1555" s="91"/>
      <c r="K1555" s="31" t="str">
        <f>IFERROR(VLOOKUP(A1555,Table!$I$4:$O$3000,1,TRUE),"")</f>
        <v/>
      </c>
      <c r="L1555" s="31" t="str">
        <f>IFERROR(INDEX(Table!I:O,MATCH(K1555,Table!I:I,0),2),"")</f>
        <v/>
      </c>
      <c r="M1555" s="31" t="str">
        <f>IFERROR(INDEX(Table!I:O,MATCH(K1555,Table!I:I,0),3),"")</f>
        <v/>
      </c>
      <c r="N1555" s="32" t="str">
        <f>IFERROR(INDEX(Table!I:O,MATCH(K1555,Table!I:I,0),4),"")</f>
        <v/>
      </c>
      <c r="O1555" s="32" t="str">
        <f>IFERROR(INDEX(Table!I:O,MATCH(K1555,Table!I:I,0),5),"")</f>
        <v/>
      </c>
      <c r="P1555" s="32" t="str">
        <f>IFERROR(INDEX(Table!I:O,MATCH(K1555,Table!I:I,0),6),"")</f>
        <v/>
      </c>
      <c r="Q1555" s="89" t="str">
        <f t="shared" si="72"/>
        <v/>
      </c>
      <c r="R1555" s="89" t="str">
        <f t="shared" si="73"/>
        <v/>
      </c>
      <c r="S1555" s="82"/>
      <c r="U1555" s="37" t="e">
        <f t="shared" si="74"/>
        <v>#VALUE!</v>
      </c>
    </row>
    <row r="1556" spans="1:21" x14ac:dyDescent="0.25">
      <c r="A1556" s="31" t="str">
        <f>IF(Table!A1556 = "","",Table!A1556)</f>
        <v/>
      </c>
      <c r="B1556" s="31" t="str">
        <f>IF(Table!B1556 = "","",Table!B1556)</f>
        <v/>
      </c>
      <c r="C1556" s="31" t="str">
        <f>IF(Table!C1556 = "","",Table!C1556)</f>
        <v/>
      </c>
      <c r="D1556" s="32" t="str">
        <f>IF(Table!D1556 = "","",Table!D1556)</f>
        <v/>
      </c>
      <c r="E1556" s="32" t="str">
        <f>IF(Table!E1556 = "","",Table!E1556)</f>
        <v/>
      </c>
      <c r="F1556" s="32" t="str">
        <f>IF(Table!F1556 = "","",Table!F1556)</f>
        <v/>
      </c>
      <c r="G1556" s="91"/>
      <c r="K1556" s="31" t="str">
        <f>IFERROR(VLOOKUP(A1556,Table!$I$4:$O$3000,1,TRUE),"")</f>
        <v/>
      </c>
      <c r="L1556" s="31" t="str">
        <f>IFERROR(INDEX(Table!I:O,MATCH(K1556,Table!I:I,0),2),"")</f>
        <v/>
      </c>
      <c r="M1556" s="31" t="str">
        <f>IFERROR(INDEX(Table!I:O,MATCH(K1556,Table!I:I,0),3),"")</f>
        <v/>
      </c>
      <c r="N1556" s="32" t="str">
        <f>IFERROR(INDEX(Table!I:O,MATCH(K1556,Table!I:I,0),4),"")</f>
        <v/>
      </c>
      <c r="O1556" s="32" t="str">
        <f>IFERROR(INDEX(Table!I:O,MATCH(K1556,Table!I:I,0),5),"")</f>
        <v/>
      </c>
      <c r="P1556" s="32" t="str">
        <f>IFERROR(INDEX(Table!I:O,MATCH(K1556,Table!I:I,0),6),"")</f>
        <v/>
      </c>
      <c r="Q1556" s="89" t="str">
        <f t="shared" si="72"/>
        <v/>
      </c>
      <c r="R1556" s="89" t="str">
        <f t="shared" si="73"/>
        <v/>
      </c>
      <c r="S1556" s="82"/>
      <c r="U1556" s="37" t="e">
        <f t="shared" si="74"/>
        <v>#VALUE!</v>
      </c>
    </row>
    <row r="1557" spans="1:21" x14ac:dyDescent="0.25">
      <c r="A1557" s="31" t="str">
        <f>IF(Table!A1557 = "","",Table!A1557)</f>
        <v/>
      </c>
      <c r="B1557" s="31" t="str">
        <f>IF(Table!B1557 = "","",Table!B1557)</f>
        <v/>
      </c>
      <c r="C1557" s="31" t="str">
        <f>IF(Table!C1557 = "","",Table!C1557)</f>
        <v/>
      </c>
      <c r="D1557" s="32" t="str">
        <f>IF(Table!D1557 = "","",Table!D1557)</f>
        <v/>
      </c>
      <c r="E1557" s="32" t="str">
        <f>IF(Table!E1557 = "","",Table!E1557)</f>
        <v/>
      </c>
      <c r="F1557" s="32" t="str">
        <f>IF(Table!F1557 = "","",Table!F1557)</f>
        <v/>
      </c>
      <c r="G1557" s="91"/>
      <c r="K1557" s="31" t="str">
        <f>IFERROR(VLOOKUP(A1557,Table!$I$4:$O$3000,1,TRUE),"")</f>
        <v/>
      </c>
      <c r="L1557" s="31" t="str">
        <f>IFERROR(INDEX(Table!I:O,MATCH(K1557,Table!I:I,0),2),"")</f>
        <v/>
      </c>
      <c r="M1557" s="31" t="str">
        <f>IFERROR(INDEX(Table!I:O,MATCH(K1557,Table!I:I,0),3),"")</f>
        <v/>
      </c>
      <c r="N1557" s="32" t="str">
        <f>IFERROR(INDEX(Table!I:O,MATCH(K1557,Table!I:I,0),4),"")</f>
        <v/>
      </c>
      <c r="O1557" s="32" t="str">
        <f>IFERROR(INDEX(Table!I:O,MATCH(K1557,Table!I:I,0),5),"")</f>
        <v/>
      </c>
      <c r="P1557" s="32" t="str">
        <f>IFERROR(INDEX(Table!I:O,MATCH(K1557,Table!I:I,0),6),"")</f>
        <v/>
      </c>
      <c r="Q1557" s="89" t="str">
        <f t="shared" si="72"/>
        <v/>
      </c>
      <c r="R1557" s="89" t="str">
        <f t="shared" si="73"/>
        <v/>
      </c>
      <c r="S1557" s="82"/>
      <c r="U1557" s="37" t="e">
        <f t="shared" si="74"/>
        <v>#VALUE!</v>
      </c>
    </row>
    <row r="1558" spans="1:21" x14ac:dyDescent="0.25">
      <c r="A1558" s="31" t="str">
        <f>IF(Table!A1558 = "","",Table!A1558)</f>
        <v/>
      </c>
      <c r="B1558" s="31" t="str">
        <f>IF(Table!B1558 = "","",Table!B1558)</f>
        <v/>
      </c>
      <c r="C1558" s="31" t="str">
        <f>IF(Table!C1558 = "","",Table!C1558)</f>
        <v/>
      </c>
      <c r="D1558" s="32" t="str">
        <f>IF(Table!D1558 = "","",Table!D1558)</f>
        <v/>
      </c>
      <c r="E1558" s="32" t="str">
        <f>IF(Table!E1558 = "","",Table!E1558)</f>
        <v/>
      </c>
      <c r="F1558" s="32" t="str">
        <f>IF(Table!F1558 = "","",Table!F1558)</f>
        <v/>
      </c>
      <c r="G1558" s="91"/>
      <c r="K1558" s="31" t="str">
        <f>IFERROR(VLOOKUP(A1558,Table!$I$4:$O$3000,1,TRUE),"")</f>
        <v/>
      </c>
      <c r="L1558" s="31" t="str">
        <f>IFERROR(INDEX(Table!I:O,MATCH(K1558,Table!I:I,0),2),"")</f>
        <v/>
      </c>
      <c r="M1558" s="31" t="str">
        <f>IFERROR(INDEX(Table!I:O,MATCH(K1558,Table!I:I,0),3),"")</f>
        <v/>
      </c>
      <c r="N1558" s="32" t="str">
        <f>IFERROR(INDEX(Table!I:O,MATCH(K1558,Table!I:I,0),4),"")</f>
        <v/>
      </c>
      <c r="O1558" s="32" t="str">
        <f>IFERROR(INDEX(Table!I:O,MATCH(K1558,Table!I:I,0),5),"")</f>
        <v/>
      </c>
      <c r="P1558" s="32" t="str">
        <f>IFERROR(INDEX(Table!I:O,MATCH(K1558,Table!I:I,0),6),"")</f>
        <v/>
      </c>
      <c r="Q1558" s="89" t="str">
        <f t="shared" si="72"/>
        <v/>
      </c>
      <c r="R1558" s="89" t="str">
        <f t="shared" si="73"/>
        <v/>
      </c>
      <c r="S1558" s="82"/>
      <c r="U1558" s="37" t="e">
        <f t="shared" si="74"/>
        <v>#VALUE!</v>
      </c>
    </row>
    <row r="1559" spans="1:21" x14ac:dyDescent="0.25">
      <c r="A1559" s="31" t="str">
        <f>IF(Table!A1559 = "","",Table!A1559)</f>
        <v/>
      </c>
      <c r="B1559" s="31" t="str">
        <f>IF(Table!B1559 = "","",Table!B1559)</f>
        <v/>
      </c>
      <c r="C1559" s="31" t="str">
        <f>IF(Table!C1559 = "","",Table!C1559)</f>
        <v/>
      </c>
      <c r="D1559" s="32" t="str">
        <f>IF(Table!D1559 = "","",Table!D1559)</f>
        <v/>
      </c>
      <c r="E1559" s="32" t="str">
        <f>IF(Table!E1559 = "","",Table!E1559)</f>
        <v/>
      </c>
      <c r="F1559" s="32" t="str">
        <f>IF(Table!F1559 = "","",Table!F1559)</f>
        <v/>
      </c>
      <c r="G1559" s="91"/>
      <c r="K1559" s="31" t="str">
        <f>IFERROR(VLOOKUP(A1559,Table!$I$4:$O$3000,1,TRUE),"")</f>
        <v/>
      </c>
      <c r="L1559" s="31" t="str">
        <f>IFERROR(INDEX(Table!I:O,MATCH(K1559,Table!I:I,0),2),"")</f>
        <v/>
      </c>
      <c r="M1559" s="31" t="str">
        <f>IFERROR(INDEX(Table!I:O,MATCH(K1559,Table!I:I,0),3),"")</f>
        <v/>
      </c>
      <c r="N1559" s="32" t="str">
        <f>IFERROR(INDEX(Table!I:O,MATCH(K1559,Table!I:I,0),4),"")</f>
        <v/>
      </c>
      <c r="O1559" s="32" t="str">
        <f>IFERROR(INDEX(Table!I:O,MATCH(K1559,Table!I:I,0),5),"")</f>
        <v/>
      </c>
      <c r="P1559" s="32" t="str">
        <f>IFERROR(INDEX(Table!I:O,MATCH(K1559,Table!I:I,0),6),"")</f>
        <v/>
      </c>
      <c r="Q1559" s="89" t="str">
        <f t="shared" si="72"/>
        <v/>
      </c>
      <c r="R1559" s="89" t="str">
        <f t="shared" si="73"/>
        <v/>
      </c>
      <c r="S1559" s="82"/>
      <c r="U1559" s="37" t="e">
        <f t="shared" si="74"/>
        <v>#VALUE!</v>
      </c>
    </row>
    <row r="1560" spans="1:21" x14ac:dyDescent="0.25">
      <c r="A1560" s="31" t="str">
        <f>IF(Table!A1560 = "","",Table!A1560)</f>
        <v/>
      </c>
      <c r="B1560" s="31" t="str">
        <f>IF(Table!B1560 = "","",Table!B1560)</f>
        <v/>
      </c>
      <c r="C1560" s="31" t="str">
        <f>IF(Table!C1560 = "","",Table!C1560)</f>
        <v/>
      </c>
      <c r="D1560" s="32" t="str">
        <f>IF(Table!D1560 = "","",Table!D1560)</f>
        <v/>
      </c>
      <c r="E1560" s="32" t="str">
        <f>IF(Table!E1560 = "","",Table!E1560)</f>
        <v/>
      </c>
      <c r="F1560" s="32" t="str">
        <f>IF(Table!F1560 = "","",Table!F1560)</f>
        <v/>
      </c>
      <c r="G1560" s="91"/>
      <c r="K1560" s="31" t="str">
        <f>IFERROR(VLOOKUP(A1560,Table!$I$4:$O$3000,1,TRUE),"")</f>
        <v/>
      </c>
      <c r="L1560" s="31" t="str">
        <f>IFERROR(INDEX(Table!I:O,MATCH(K1560,Table!I:I,0),2),"")</f>
        <v/>
      </c>
      <c r="M1560" s="31" t="str">
        <f>IFERROR(INDEX(Table!I:O,MATCH(K1560,Table!I:I,0),3),"")</f>
        <v/>
      </c>
      <c r="N1560" s="32" t="str">
        <f>IFERROR(INDEX(Table!I:O,MATCH(K1560,Table!I:I,0),4),"")</f>
        <v/>
      </c>
      <c r="O1560" s="32" t="str">
        <f>IFERROR(INDEX(Table!I:O,MATCH(K1560,Table!I:I,0),5),"")</f>
        <v/>
      </c>
      <c r="P1560" s="32" t="str">
        <f>IFERROR(INDEX(Table!I:O,MATCH(K1560,Table!I:I,0),6),"")</f>
        <v/>
      </c>
      <c r="Q1560" s="89" t="str">
        <f t="shared" si="72"/>
        <v/>
      </c>
      <c r="R1560" s="89" t="str">
        <f t="shared" si="73"/>
        <v/>
      </c>
      <c r="S1560" s="82"/>
      <c r="U1560" s="37" t="e">
        <f t="shared" si="74"/>
        <v>#VALUE!</v>
      </c>
    </row>
    <row r="1561" spans="1:21" x14ac:dyDescent="0.25">
      <c r="A1561" s="31" t="str">
        <f>IF(Table!A1561 = "","",Table!A1561)</f>
        <v/>
      </c>
      <c r="B1561" s="31" t="str">
        <f>IF(Table!B1561 = "","",Table!B1561)</f>
        <v/>
      </c>
      <c r="C1561" s="31" t="str">
        <f>IF(Table!C1561 = "","",Table!C1561)</f>
        <v/>
      </c>
      <c r="D1561" s="32" t="str">
        <f>IF(Table!D1561 = "","",Table!D1561)</f>
        <v/>
      </c>
      <c r="E1561" s="32" t="str">
        <f>IF(Table!E1561 = "","",Table!E1561)</f>
        <v/>
      </c>
      <c r="F1561" s="32" t="str">
        <f>IF(Table!F1561 = "","",Table!F1561)</f>
        <v/>
      </c>
      <c r="G1561" s="91"/>
      <c r="K1561" s="31" t="str">
        <f>IFERROR(VLOOKUP(A1561,Table!$I$4:$O$3000,1,TRUE),"")</f>
        <v/>
      </c>
      <c r="L1561" s="31" t="str">
        <f>IFERROR(INDEX(Table!I:O,MATCH(K1561,Table!I:I,0),2),"")</f>
        <v/>
      </c>
      <c r="M1561" s="31" t="str">
        <f>IFERROR(INDEX(Table!I:O,MATCH(K1561,Table!I:I,0),3),"")</f>
        <v/>
      </c>
      <c r="N1561" s="32" t="str">
        <f>IFERROR(INDEX(Table!I:O,MATCH(K1561,Table!I:I,0),4),"")</f>
        <v/>
      </c>
      <c r="O1561" s="32" t="str">
        <f>IFERROR(INDEX(Table!I:O,MATCH(K1561,Table!I:I,0),5),"")</f>
        <v/>
      </c>
      <c r="P1561" s="32" t="str">
        <f>IFERROR(INDEX(Table!I:O,MATCH(K1561,Table!I:I,0),6),"")</f>
        <v/>
      </c>
      <c r="Q1561" s="89" t="str">
        <f t="shared" si="72"/>
        <v/>
      </c>
      <c r="R1561" s="89" t="str">
        <f t="shared" si="73"/>
        <v/>
      </c>
      <c r="S1561" s="82"/>
      <c r="U1561" s="37" t="e">
        <f t="shared" si="74"/>
        <v>#VALUE!</v>
      </c>
    </row>
    <row r="1562" spans="1:21" x14ac:dyDescent="0.25">
      <c r="A1562" s="31" t="str">
        <f>IF(Table!A1562 = "","",Table!A1562)</f>
        <v/>
      </c>
      <c r="B1562" s="31" t="str">
        <f>IF(Table!B1562 = "","",Table!B1562)</f>
        <v/>
      </c>
      <c r="C1562" s="31" t="str">
        <f>IF(Table!C1562 = "","",Table!C1562)</f>
        <v/>
      </c>
      <c r="D1562" s="32" t="str">
        <f>IF(Table!D1562 = "","",Table!D1562)</f>
        <v/>
      </c>
      <c r="E1562" s="32" t="str">
        <f>IF(Table!E1562 = "","",Table!E1562)</f>
        <v/>
      </c>
      <c r="F1562" s="32" t="str">
        <f>IF(Table!F1562 = "","",Table!F1562)</f>
        <v/>
      </c>
      <c r="G1562" s="91"/>
      <c r="K1562" s="31" t="str">
        <f>IFERROR(VLOOKUP(A1562,Table!$I$4:$O$3000,1,TRUE),"")</f>
        <v/>
      </c>
      <c r="L1562" s="31" t="str">
        <f>IFERROR(INDEX(Table!I:O,MATCH(K1562,Table!I:I,0),2),"")</f>
        <v/>
      </c>
      <c r="M1562" s="31" t="str">
        <f>IFERROR(INDEX(Table!I:O,MATCH(K1562,Table!I:I,0),3),"")</f>
        <v/>
      </c>
      <c r="N1562" s="32" t="str">
        <f>IFERROR(INDEX(Table!I:O,MATCH(K1562,Table!I:I,0),4),"")</f>
        <v/>
      </c>
      <c r="O1562" s="32" t="str">
        <f>IFERROR(INDEX(Table!I:O,MATCH(K1562,Table!I:I,0),5),"")</f>
        <v/>
      </c>
      <c r="P1562" s="32" t="str">
        <f>IFERROR(INDEX(Table!I:O,MATCH(K1562,Table!I:I,0),6),"")</f>
        <v/>
      </c>
      <c r="Q1562" s="89" t="str">
        <f t="shared" si="72"/>
        <v/>
      </c>
      <c r="R1562" s="89" t="str">
        <f t="shared" si="73"/>
        <v/>
      </c>
      <c r="S1562" s="82"/>
      <c r="U1562" s="37" t="e">
        <f t="shared" si="74"/>
        <v>#VALUE!</v>
      </c>
    </row>
    <row r="1563" spans="1:21" x14ac:dyDescent="0.25">
      <c r="A1563" s="31" t="str">
        <f>IF(Table!A1563 = "","",Table!A1563)</f>
        <v/>
      </c>
      <c r="B1563" s="31" t="str">
        <f>IF(Table!B1563 = "","",Table!B1563)</f>
        <v/>
      </c>
      <c r="C1563" s="31" t="str">
        <f>IF(Table!C1563 = "","",Table!C1563)</f>
        <v/>
      </c>
      <c r="D1563" s="32" t="str">
        <f>IF(Table!D1563 = "","",Table!D1563)</f>
        <v/>
      </c>
      <c r="E1563" s="32" t="str">
        <f>IF(Table!E1563 = "","",Table!E1563)</f>
        <v/>
      </c>
      <c r="F1563" s="32" t="str">
        <f>IF(Table!F1563 = "","",Table!F1563)</f>
        <v/>
      </c>
      <c r="G1563" s="91"/>
      <c r="K1563" s="31" t="str">
        <f>IFERROR(VLOOKUP(A1563,Table!$I$4:$O$3000,1,TRUE),"")</f>
        <v/>
      </c>
      <c r="L1563" s="31" t="str">
        <f>IFERROR(INDEX(Table!I:O,MATCH(K1563,Table!I:I,0),2),"")</f>
        <v/>
      </c>
      <c r="M1563" s="31" t="str">
        <f>IFERROR(INDEX(Table!I:O,MATCH(K1563,Table!I:I,0),3),"")</f>
        <v/>
      </c>
      <c r="N1563" s="32" t="str">
        <f>IFERROR(INDEX(Table!I:O,MATCH(K1563,Table!I:I,0),4),"")</f>
        <v/>
      </c>
      <c r="O1563" s="32" t="str">
        <f>IFERROR(INDEX(Table!I:O,MATCH(K1563,Table!I:I,0),5),"")</f>
        <v/>
      </c>
      <c r="P1563" s="32" t="str">
        <f>IFERROR(INDEX(Table!I:O,MATCH(K1563,Table!I:I,0),6),"")</f>
        <v/>
      </c>
      <c r="Q1563" s="89" t="str">
        <f t="shared" si="72"/>
        <v/>
      </c>
      <c r="R1563" s="89" t="str">
        <f t="shared" si="73"/>
        <v/>
      </c>
      <c r="S1563" s="82"/>
      <c r="U1563" s="37" t="e">
        <f t="shared" si="74"/>
        <v>#VALUE!</v>
      </c>
    </row>
    <row r="1564" spans="1:21" x14ac:dyDescent="0.25">
      <c r="A1564" s="31" t="str">
        <f>IF(Table!A1564 = "","",Table!A1564)</f>
        <v/>
      </c>
      <c r="B1564" s="31" t="str">
        <f>IF(Table!B1564 = "","",Table!B1564)</f>
        <v/>
      </c>
      <c r="C1564" s="31" t="str">
        <f>IF(Table!C1564 = "","",Table!C1564)</f>
        <v/>
      </c>
      <c r="D1564" s="32" t="str">
        <f>IF(Table!D1564 = "","",Table!D1564)</f>
        <v/>
      </c>
      <c r="E1564" s="32" t="str">
        <f>IF(Table!E1564 = "","",Table!E1564)</f>
        <v/>
      </c>
      <c r="F1564" s="32" t="str">
        <f>IF(Table!F1564 = "","",Table!F1564)</f>
        <v/>
      </c>
      <c r="G1564" s="91"/>
      <c r="K1564" s="31" t="str">
        <f>IFERROR(VLOOKUP(A1564,Table!$I$4:$O$3000,1,TRUE),"")</f>
        <v/>
      </c>
      <c r="L1564" s="31" t="str">
        <f>IFERROR(INDEX(Table!I:O,MATCH(K1564,Table!I:I,0),2),"")</f>
        <v/>
      </c>
      <c r="M1564" s="31" t="str">
        <f>IFERROR(INDEX(Table!I:O,MATCH(K1564,Table!I:I,0),3),"")</f>
        <v/>
      </c>
      <c r="N1564" s="32" t="str">
        <f>IFERROR(INDEX(Table!I:O,MATCH(K1564,Table!I:I,0),4),"")</f>
        <v/>
      </c>
      <c r="O1564" s="32" t="str">
        <f>IFERROR(INDEX(Table!I:O,MATCH(K1564,Table!I:I,0),5),"")</f>
        <v/>
      </c>
      <c r="P1564" s="32" t="str">
        <f>IFERROR(INDEX(Table!I:O,MATCH(K1564,Table!I:I,0),6),"")</f>
        <v/>
      </c>
      <c r="Q1564" s="89" t="str">
        <f t="shared" si="72"/>
        <v/>
      </c>
      <c r="R1564" s="89" t="str">
        <f t="shared" si="73"/>
        <v/>
      </c>
      <c r="S1564" s="82"/>
      <c r="U1564" s="37" t="e">
        <f t="shared" si="74"/>
        <v>#VALUE!</v>
      </c>
    </row>
    <row r="1565" spans="1:21" x14ac:dyDescent="0.25">
      <c r="A1565" s="31" t="str">
        <f>IF(Table!A1565 = "","",Table!A1565)</f>
        <v/>
      </c>
      <c r="B1565" s="31" t="str">
        <f>IF(Table!B1565 = "","",Table!B1565)</f>
        <v/>
      </c>
      <c r="C1565" s="31" t="str">
        <f>IF(Table!C1565 = "","",Table!C1565)</f>
        <v/>
      </c>
      <c r="D1565" s="32" t="str">
        <f>IF(Table!D1565 = "","",Table!D1565)</f>
        <v/>
      </c>
      <c r="E1565" s="32" t="str">
        <f>IF(Table!E1565 = "","",Table!E1565)</f>
        <v/>
      </c>
      <c r="F1565" s="32" t="str">
        <f>IF(Table!F1565 = "","",Table!F1565)</f>
        <v/>
      </c>
      <c r="G1565" s="91"/>
      <c r="K1565" s="31" t="str">
        <f>IFERROR(VLOOKUP(A1565,Table!$I$4:$O$3000,1,TRUE),"")</f>
        <v/>
      </c>
      <c r="L1565" s="31" t="str">
        <f>IFERROR(INDEX(Table!I:O,MATCH(K1565,Table!I:I,0),2),"")</f>
        <v/>
      </c>
      <c r="M1565" s="31" t="str">
        <f>IFERROR(INDEX(Table!I:O,MATCH(K1565,Table!I:I,0),3),"")</f>
        <v/>
      </c>
      <c r="N1565" s="32" t="str">
        <f>IFERROR(INDEX(Table!I:O,MATCH(K1565,Table!I:I,0),4),"")</f>
        <v/>
      </c>
      <c r="O1565" s="32" t="str">
        <f>IFERROR(INDEX(Table!I:O,MATCH(K1565,Table!I:I,0),5),"")</f>
        <v/>
      </c>
      <c r="P1565" s="32" t="str">
        <f>IFERROR(INDEX(Table!I:O,MATCH(K1565,Table!I:I,0),6),"")</f>
        <v/>
      </c>
      <c r="Q1565" s="89" t="str">
        <f t="shared" si="72"/>
        <v/>
      </c>
      <c r="R1565" s="89" t="str">
        <f t="shared" si="73"/>
        <v/>
      </c>
      <c r="S1565" s="82"/>
      <c r="U1565" s="37" t="e">
        <f t="shared" si="74"/>
        <v>#VALUE!</v>
      </c>
    </row>
    <row r="1566" spans="1:21" x14ac:dyDescent="0.25">
      <c r="A1566" s="31" t="str">
        <f>IF(Table!A1566 = "","",Table!A1566)</f>
        <v/>
      </c>
      <c r="B1566" s="31" t="str">
        <f>IF(Table!B1566 = "","",Table!B1566)</f>
        <v/>
      </c>
      <c r="C1566" s="31" t="str">
        <f>IF(Table!C1566 = "","",Table!C1566)</f>
        <v/>
      </c>
      <c r="D1566" s="32" t="str">
        <f>IF(Table!D1566 = "","",Table!D1566)</f>
        <v/>
      </c>
      <c r="E1566" s="32" t="str">
        <f>IF(Table!E1566 = "","",Table!E1566)</f>
        <v/>
      </c>
      <c r="F1566" s="32" t="str">
        <f>IF(Table!F1566 = "","",Table!F1566)</f>
        <v/>
      </c>
      <c r="G1566" s="91"/>
      <c r="K1566" s="31" t="str">
        <f>IFERROR(VLOOKUP(A1566,Table!$I$4:$O$3000,1,TRUE),"")</f>
        <v/>
      </c>
      <c r="L1566" s="31" t="str">
        <f>IFERROR(INDEX(Table!I:O,MATCH(K1566,Table!I:I,0),2),"")</f>
        <v/>
      </c>
      <c r="M1566" s="31" t="str">
        <f>IFERROR(INDEX(Table!I:O,MATCH(K1566,Table!I:I,0),3),"")</f>
        <v/>
      </c>
      <c r="N1566" s="32" t="str">
        <f>IFERROR(INDEX(Table!I:O,MATCH(K1566,Table!I:I,0),4),"")</f>
        <v/>
      </c>
      <c r="O1566" s="32" t="str">
        <f>IFERROR(INDEX(Table!I:O,MATCH(K1566,Table!I:I,0),5),"")</f>
        <v/>
      </c>
      <c r="P1566" s="32" t="str">
        <f>IFERROR(INDEX(Table!I:O,MATCH(K1566,Table!I:I,0),6),"")</f>
        <v/>
      </c>
      <c r="Q1566" s="89" t="str">
        <f t="shared" si="72"/>
        <v/>
      </c>
      <c r="R1566" s="89" t="str">
        <f t="shared" si="73"/>
        <v/>
      </c>
      <c r="S1566" s="82"/>
      <c r="U1566" s="37" t="e">
        <f t="shared" si="74"/>
        <v>#VALUE!</v>
      </c>
    </row>
    <row r="1567" spans="1:21" x14ac:dyDescent="0.25">
      <c r="A1567" s="31" t="str">
        <f>IF(Table!A1567 = "","",Table!A1567)</f>
        <v/>
      </c>
      <c r="B1567" s="31" t="str">
        <f>IF(Table!B1567 = "","",Table!B1567)</f>
        <v/>
      </c>
      <c r="C1567" s="31" t="str">
        <f>IF(Table!C1567 = "","",Table!C1567)</f>
        <v/>
      </c>
      <c r="D1567" s="32" t="str">
        <f>IF(Table!D1567 = "","",Table!D1567)</f>
        <v/>
      </c>
      <c r="E1567" s="32" t="str">
        <f>IF(Table!E1567 = "","",Table!E1567)</f>
        <v/>
      </c>
      <c r="F1567" s="32" t="str">
        <f>IF(Table!F1567 = "","",Table!F1567)</f>
        <v/>
      </c>
      <c r="G1567" s="91"/>
      <c r="K1567" s="31" t="str">
        <f>IFERROR(VLOOKUP(A1567,Table!$I$4:$O$3000,1,TRUE),"")</f>
        <v/>
      </c>
      <c r="L1567" s="31" t="str">
        <f>IFERROR(INDEX(Table!I:O,MATCH(K1567,Table!I:I,0),2),"")</f>
        <v/>
      </c>
      <c r="M1567" s="31" t="str">
        <f>IFERROR(INDEX(Table!I:O,MATCH(K1567,Table!I:I,0),3),"")</f>
        <v/>
      </c>
      <c r="N1567" s="32" t="str">
        <f>IFERROR(INDEX(Table!I:O,MATCH(K1567,Table!I:I,0),4),"")</f>
        <v/>
      </c>
      <c r="O1567" s="32" t="str">
        <f>IFERROR(INDEX(Table!I:O,MATCH(K1567,Table!I:I,0),5),"")</f>
        <v/>
      </c>
      <c r="P1567" s="32" t="str">
        <f>IFERROR(INDEX(Table!I:O,MATCH(K1567,Table!I:I,0),6),"")</f>
        <v/>
      </c>
      <c r="Q1567" s="89" t="str">
        <f t="shared" si="72"/>
        <v/>
      </c>
      <c r="R1567" s="89" t="str">
        <f t="shared" si="73"/>
        <v/>
      </c>
      <c r="S1567" s="82"/>
      <c r="U1567" s="37" t="e">
        <f t="shared" si="74"/>
        <v>#VALUE!</v>
      </c>
    </row>
    <row r="1568" spans="1:21" x14ac:dyDescent="0.25">
      <c r="A1568" s="31" t="str">
        <f>IF(Table!A1568 = "","",Table!A1568)</f>
        <v/>
      </c>
      <c r="B1568" s="31" t="str">
        <f>IF(Table!B1568 = "","",Table!B1568)</f>
        <v/>
      </c>
      <c r="C1568" s="31" t="str">
        <f>IF(Table!C1568 = "","",Table!C1568)</f>
        <v/>
      </c>
      <c r="D1568" s="32" t="str">
        <f>IF(Table!D1568 = "","",Table!D1568)</f>
        <v/>
      </c>
      <c r="E1568" s="32" t="str">
        <f>IF(Table!E1568 = "","",Table!E1568)</f>
        <v/>
      </c>
      <c r="F1568" s="32" t="str">
        <f>IF(Table!F1568 = "","",Table!F1568)</f>
        <v/>
      </c>
      <c r="G1568" s="91"/>
      <c r="K1568" s="31" t="str">
        <f>IFERROR(VLOOKUP(A1568,Table!$I$4:$O$3000,1,TRUE),"")</f>
        <v/>
      </c>
      <c r="L1568" s="31" t="str">
        <f>IFERROR(INDEX(Table!I:O,MATCH(K1568,Table!I:I,0),2),"")</f>
        <v/>
      </c>
      <c r="M1568" s="31" t="str">
        <f>IFERROR(INDEX(Table!I:O,MATCH(K1568,Table!I:I,0),3),"")</f>
        <v/>
      </c>
      <c r="N1568" s="32" t="str">
        <f>IFERROR(INDEX(Table!I:O,MATCH(K1568,Table!I:I,0),4),"")</f>
        <v/>
      </c>
      <c r="O1568" s="32" t="str">
        <f>IFERROR(INDEX(Table!I:O,MATCH(K1568,Table!I:I,0),5),"")</f>
        <v/>
      </c>
      <c r="P1568" s="32" t="str">
        <f>IFERROR(INDEX(Table!I:O,MATCH(K1568,Table!I:I,0),6),"")</f>
        <v/>
      </c>
      <c r="Q1568" s="89" t="str">
        <f t="shared" si="72"/>
        <v/>
      </c>
      <c r="R1568" s="89" t="str">
        <f t="shared" si="73"/>
        <v/>
      </c>
      <c r="S1568" s="82"/>
      <c r="U1568" s="37" t="e">
        <f t="shared" si="74"/>
        <v>#VALUE!</v>
      </c>
    </row>
    <row r="1569" spans="1:21" x14ac:dyDescent="0.25">
      <c r="A1569" s="31" t="str">
        <f>IF(Table!A1569 = "","",Table!A1569)</f>
        <v/>
      </c>
      <c r="B1569" s="31" t="str">
        <f>IF(Table!B1569 = "","",Table!B1569)</f>
        <v/>
      </c>
      <c r="C1569" s="31" t="str">
        <f>IF(Table!C1569 = "","",Table!C1569)</f>
        <v/>
      </c>
      <c r="D1569" s="32" t="str">
        <f>IF(Table!D1569 = "","",Table!D1569)</f>
        <v/>
      </c>
      <c r="E1569" s="32" t="str">
        <f>IF(Table!E1569 = "","",Table!E1569)</f>
        <v/>
      </c>
      <c r="F1569" s="32" t="str">
        <f>IF(Table!F1569 = "","",Table!F1569)</f>
        <v/>
      </c>
      <c r="G1569" s="91"/>
      <c r="K1569" s="31" t="str">
        <f>IFERROR(VLOOKUP(A1569,Table!$I$4:$O$3000,1,TRUE),"")</f>
        <v/>
      </c>
      <c r="L1569" s="31" t="str">
        <f>IFERROR(INDEX(Table!I:O,MATCH(K1569,Table!I:I,0),2),"")</f>
        <v/>
      </c>
      <c r="M1569" s="31" t="str">
        <f>IFERROR(INDEX(Table!I:O,MATCH(K1569,Table!I:I,0),3),"")</f>
        <v/>
      </c>
      <c r="N1569" s="32" t="str">
        <f>IFERROR(INDEX(Table!I:O,MATCH(K1569,Table!I:I,0),4),"")</f>
        <v/>
      </c>
      <c r="O1569" s="32" t="str">
        <f>IFERROR(INDEX(Table!I:O,MATCH(K1569,Table!I:I,0),5),"")</f>
        <v/>
      </c>
      <c r="P1569" s="32" t="str">
        <f>IFERROR(INDEX(Table!I:O,MATCH(K1569,Table!I:I,0),6),"")</f>
        <v/>
      </c>
      <c r="Q1569" s="89" t="str">
        <f t="shared" si="72"/>
        <v/>
      </c>
      <c r="R1569" s="89" t="str">
        <f t="shared" si="73"/>
        <v/>
      </c>
      <c r="S1569" s="82"/>
      <c r="U1569" s="37" t="e">
        <f t="shared" si="74"/>
        <v>#VALUE!</v>
      </c>
    </row>
    <row r="1570" spans="1:21" x14ac:dyDescent="0.25">
      <c r="A1570" s="31" t="str">
        <f>IF(Table!A1570 = "","",Table!A1570)</f>
        <v/>
      </c>
      <c r="B1570" s="31" t="str">
        <f>IF(Table!B1570 = "","",Table!B1570)</f>
        <v/>
      </c>
      <c r="C1570" s="31" t="str">
        <f>IF(Table!C1570 = "","",Table!C1570)</f>
        <v/>
      </c>
      <c r="D1570" s="32" t="str">
        <f>IF(Table!D1570 = "","",Table!D1570)</f>
        <v/>
      </c>
      <c r="E1570" s="32" t="str">
        <f>IF(Table!E1570 = "","",Table!E1570)</f>
        <v/>
      </c>
      <c r="F1570" s="32" t="str">
        <f>IF(Table!F1570 = "","",Table!F1570)</f>
        <v/>
      </c>
      <c r="G1570" s="91"/>
      <c r="K1570" s="31" t="str">
        <f>IFERROR(VLOOKUP(A1570,Table!$I$4:$O$3000,1,TRUE),"")</f>
        <v/>
      </c>
      <c r="L1570" s="31" t="str">
        <f>IFERROR(INDEX(Table!I:O,MATCH(K1570,Table!I:I,0),2),"")</f>
        <v/>
      </c>
      <c r="M1570" s="31" t="str">
        <f>IFERROR(INDEX(Table!I:O,MATCH(K1570,Table!I:I,0),3),"")</f>
        <v/>
      </c>
      <c r="N1570" s="32" t="str">
        <f>IFERROR(INDEX(Table!I:O,MATCH(K1570,Table!I:I,0),4),"")</f>
        <v/>
      </c>
      <c r="O1570" s="32" t="str">
        <f>IFERROR(INDEX(Table!I:O,MATCH(K1570,Table!I:I,0),5),"")</f>
        <v/>
      </c>
      <c r="P1570" s="32" t="str">
        <f>IFERROR(INDEX(Table!I:O,MATCH(K1570,Table!I:I,0),6),"")</f>
        <v/>
      </c>
      <c r="Q1570" s="89" t="str">
        <f t="shared" si="72"/>
        <v/>
      </c>
      <c r="R1570" s="89" t="str">
        <f t="shared" si="73"/>
        <v/>
      </c>
      <c r="S1570" s="82"/>
      <c r="U1570" s="37" t="e">
        <f t="shared" si="74"/>
        <v>#VALUE!</v>
      </c>
    </row>
    <row r="1571" spans="1:21" x14ac:dyDescent="0.25">
      <c r="A1571" s="31" t="str">
        <f>IF(Table!A1571 = "","",Table!A1571)</f>
        <v/>
      </c>
      <c r="B1571" s="31" t="str">
        <f>IF(Table!B1571 = "","",Table!B1571)</f>
        <v/>
      </c>
      <c r="C1571" s="31" t="str">
        <f>IF(Table!C1571 = "","",Table!C1571)</f>
        <v/>
      </c>
      <c r="D1571" s="32" t="str">
        <f>IF(Table!D1571 = "","",Table!D1571)</f>
        <v/>
      </c>
      <c r="E1571" s="32" t="str">
        <f>IF(Table!E1571 = "","",Table!E1571)</f>
        <v/>
      </c>
      <c r="F1571" s="32" t="str">
        <f>IF(Table!F1571 = "","",Table!F1571)</f>
        <v/>
      </c>
      <c r="G1571" s="91"/>
      <c r="K1571" s="31" t="str">
        <f>IFERROR(VLOOKUP(A1571,Table!$I$4:$O$3000,1,TRUE),"")</f>
        <v/>
      </c>
      <c r="L1571" s="31" t="str">
        <f>IFERROR(INDEX(Table!I:O,MATCH(K1571,Table!I:I,0),2),"")</f>
        <v/>
      </c>
      <c r="M1571" s="31" t="str">
        <f>IFERROR(INDEX(Table!I:O,MATCH(K1571,Table!I:I,0),3),"")</f>
        <v/>
      </c>
      <c r="N1571" s="32" t="str">
        <f>IFERROR(INDEX(Table!I:O,MATCH(K1571,Table!I:I,0),4),"")</f>
        <v/>
      </c>
      <c r="O1571" s="32" t="str">
        <f>IFERROR(INDEX(Table!I:O,MATCH(K1571,Table!I:I,0),5),"")</f>
        <v/>
      </c>
      <c r="P1571" s="32" t="str">
        <f>IFERROR(INDEX(Table!I:O,MATCH(K1571,Table!I:I,0),6),"")</f>
        <v/>
      </c>
      <c r="Q1571" s="89" t="str">
        <f t="shared" si="72"/>
        <v/>
      </c>
      <c r="R1571" s="89" t="str">
        <f t="shared" si="73"/>
        <v/>
      </c>
      <c r="S1571" s="82"/>
      <c r="U1571" s="37" t="e">
        <f t="shared" si="74"/>
        <v>#VALUE!</v>
      </c>
    </row>
    <row r="1572" spans="1:21" x14ac:dyDescent="0.25">
      <c r="A1572" s="31" t="str">
        <f>IF(Table!A1572 = "","",Table!A1572)</f>
        <v/>
      </c>
      <c r="B1572" s="31" t="str">
        <f>IF(Table!B1572 = "","",Table!B1572)</f>
        <v/>
      </c>
      <c r="C1572" s="31" t="str">
        <f>IF(Table!C1572 = "","",Table!C1572)</f>
        <v/>
      </c>
      <c r="D1572" s="32" t="str">
        <f>IF(Table!D1572 = "","",Table!D1572)</f>
        <v/>
      </c>
      <c r="E1572" s="32" t="str">
        <f>IF(Table!E1572 = "","",Table!E1572)</f>
        <v/>
      </c>
      <c r="F1572" s="32" t="str">
        <f>IF(Table!F1572 = "","",Table!F1572)</f>
        <v/>
      </c>
      <c r="G1572" s="91"/>
      <c r="K1572" s="31" t="str">
        <f>IFERROR(VLOOKUP(A1572,Table!$I$4:$O$3000,1,TRUE),"")</f>
        <v/>
      </c>
      <c r="L1572" s="31" t="str">
        <f>IFERROR(INDEX(Table!I:O,MATCH(K1572,Table!I:I,0),2),"")</f>
        <v/>
      </c>
      <c r="M1572" s="31" t="str">
        <f>IFERROR(INDEX(Table!I:O,MATCH(K1572,Table!I:I,0),3),"")</f>
        <v/>
      </c>
      <c r="N1572" s="32" t="str">
        <f>IFERROR(INDEX(Table!I:O,MATCH(K1572,Table!I:I,0),4),"")</f>
        <v/>
      </c>
      <c r="O1572" s="32" t="str">
        <f>IFERROR(INDEX(Table!I:O,MATCH(K1572,Table!I:I,0),5),"")</f>
        <v/>
      </c>
      <c r="P1572" s="32" t="str">
        <f>IFERROR(INDEX(Table!I:O,MATCH(K1572,Table!I:I,0),6),"")</f>
        <v/>
      </c>
      <c r="Q1572" s="89" t="str">
        <f t="shared" si="72"/>
        <v/>
      </c>
      <c r="R1572" s="89" t="str">
        <f t="shared" si="73"/>
        <v/>
      </c>
      <c r="S1572" s="82"/>
      <c r="U1572" s="37" t="e">
        <f t="shared" si="74"/>
        <v>#VALUE!</v>
      </c>
    </row>
    <row r="1573" spans="1:21" x14ac:dyDescent="0.25">
      <c r="A1573" s="31" t="str">
        <f>IF(Table!A1573 = "","",Table!A1573)</f>
        <v/>
      </c>
      <c r="B1573" s="31" t="str">
        <f>IF(Table!B1573 = "","",Table!B1573)</f>
        <v/>
      </c>
      <c r="C1573" s="31" t="str">
        <f>IF(Table!C1573 = "","",Table!C1573)</f>
        <v/>
      </c>
      <c r="D1573" s="32" t="str">
        <f>IF(Table!D1573 = "","",Table!D1573)</f>
        <v/>
      </c>
      <c r="E1573" s="32" t="str">
        <f>IF(Table!E1573 = "","",Table!E1573)</f>
        <v/>
      </c>
      <c r="F1573" s="32" t="str">
        <f>IF(Table!F1573 = "","",Table!F1573)</f>
        <v/>
      </c>
      <c r="G1573" s="91"/>
      <c r="K1573" s="31" t="str">
        <f>IFERROR(VLOOKUP(A1573,Table!$I$4:$O$3000,1,TRUE),"")</f>
        <v/>
      </c>
      <c r="L1573" s="31" t="str">
        <f>IFERROR(INDEX(Table!I:O,MATCH(K1573,Table!I:I,0),2),"")</f>
        <v/>
      </c>
      <c r="M1573" s="31" t="str">
        <f>IFERROR(INDEX(Table!I:O,MATCH(K1573,Table!I:I,0),3),"")</f>
        <v/>
      </c>
      <c r="N1573" s="32" t="str">
        <f>IFERROR(INDEX(Table!I:O,MATCH(K1573,Table!I:I,0),4),"")</f>
        <v/>
      </c>
      <c r="O1573" s="32" t="str">
        <f>IFERROR(INDEX(Table!I:O,MATCH(K1573,Table!I:I,0),5),"")</f>
        <v/>
      </c>
      <c r="P1573" s="32" t="str">
        <f>IFERROR(INDEX(Table!I:O,MATCH(K1573,Table!I:I,0),6),"")</f>
        <v/>
      </c>
      <c r="Q1573" s="89" t="str">
        <f t="shared" si="72"/>
        <v/>
      </c>
      <c r="R1573" s="89" t="str">
        <f t="shared" si="73"/>
        <v/>
      </c>
      <c r="S1573" s="82"/>
      <c r="U1573" s="37" t="e">
        <f t="shared" si="74"/>
        <v>#VALUE!</v>
      </c>
    </row>
    <row r="1574" spans="1:21" x14ac:dyDescent="0.25">
      <c r="A1574" s="31" t="str">
        <f>IF(Table!A1574 = "","",Table!A1574)</f>
        <v/>
      </c>
      <c r="B1574" s="31" t="str">
        <f>IF(Table!B1574 = "","",Table!B1574)</f>
        <v/>
      </c>
      <c r="C1574" s="31" t="str">
        <f>IF(Table!C1574 = "","",Table!C1574)</f>
        <v/>
      </c>
      <c r="D1574" s="32" t="str">
        <f>IF(Table!D1574 = "","",Table!D1574)</f>
        <v/>
      </c>
      <c r="E1574" s="32" t="str">
        <f>IF(Table!E1574 = "","",Table!E1574)</f>
        <v/>
      </c>
      <c r="F1574" s="32" t="str">
        <f>IF(Table!F1574 = "","",Table!F1574)</f>
        <v/>
      </c>
      <c r="G1574" s="91"/>
      <c r="K1574" s="31" t="str">
        <f>IFERROR(VLOOKUP(A1574,Table!$I$4:$O$3000,1,TRUE),"")</f>
        <v/>
      </c>
      <c r="L1574" s="31" t="str">
        <f>IFERROR(INDEX(Table!I:O,MATCH(K1574,Table!I:I,0),2),"")</f>
        <v/>
      </c>
      <c r="M1574" s="31" t="str">
        <f>IFERROR(INDEX(Table!I:O,MATCH(K1574,Table!I:I,0),3),"")</f>
        <v/>
      </c>
      <c r="N1574" s="32" t="str">
        <f>IFERROR(INDEX(Table!I:O,MATCH(K1574,Table!I:I,0),4),"")</f>
        <v/>
      </c>
      <c r="O1574" s="32" t="str">
        <f>IFERROR(INDEX(Table!I:O,MATCH(K1574,Table!I:I,0),5),"")</f>
        <v/>
      </c>
      <c r="P1574" s="32" t="str">
        <f>IFERROR(INDEX(Table!I:O,MATCH(K1574,Table!I:I,0),6),"")</f>
        <v/>
      </c>
      <c r="Q1574" s="89" t="str">
        <f t="shared" si="72"/>
        <v/>
      </c>
      <c r="R1574" s="89" t="str">
        <f t="shared" si="73"/>
        <v/>
      </c>
      <c r="S1574" s="82"/>
      <c r="U1574" s="37" t="e">
        <f t="shared" si="74"/>
        <v>#VALUE!</v>
      </c>
    </row>
    <row r="1575" spans="1:21" x14ac:dyDescent="0.25">
      <c r="A1575" s="31" t="str">
        <f>IF(Table!A1575 = "","",Table!A1575)</f>
        <v/>
      </c>
      <c r="B1575" s="31" t="str">
        <f>IF(Table!B1575 = "","",Table!B1575)</f>
        <v/>
      </c>
      <c r="C1575" s="31" t="str">
        <f>IF(Table!C1575 = "","",Table!C1575)</f>
        <v/>
      </c>
      <c r="D1575" s="32" t="str">
        <f>IF(Table!D1575 = "","",Table!D1575)</f>
        <v/>
      </c>
      <c r="E1575" s="32" t="str">
        <f>IF(Table!E1575 = "","",Table!E1575)</f>
        <v/>
      </c>
      <c r="F1575" s="32" t="str">
        <f>IF(Table!F1575 = "","",Table!F1575)</f>
        <v/>
      </c>
      <c r="G1575" s="91"/>
      <c r="K1575" s="31" t="str">
        <f>IFERROR(VLOOKUP(A1575,Table!$I$4:$O$3000,1,TRUE),"")</f>
        <v/>
      </c>
      <c r="L1575" s="31" t="str">
        <f>IFERROR(INDEX(Table!I:O,MATCH(K1575,Table!I:I,0),2),"")</f>
        <v/>
      </c>
      <c r="M1575" s="31" t="str">
        <f>IFERROR(INDEX(Table!I:O,MATCH(K1575,Table!I:I,0),3),"")</f>
        <v/>
      </c>
      <c r="N1575" s="32" t="str">
        <f>IFERROR(INDEX(Table!I:O,MATCH(K1575,Table!I:I,0),4),"")</f>
        <v/>
      </c>
      <c r="O1575" s="32" t="str">
        <f>IFERROR(INDEX(Table!I:O,MATCH(K1575,Table!I:I,0),5),"")</f>
        <v/>
      </c>
      <c r="P1575" s="32" t="str">
        <f>IFERROR(INDEX(Table!I:O,MATCH(K1575,Table!I:I,0),6),"")</f>
        <v/>
      </c>
      <c r="Q1575" s="89" t="str">
        <f t="shared" si="72"/>
        <v/>
      </c>
      <c r="R1575" s="89" t="str">
        <f t="shared" si="73"/>
        <v/>
      </c>
      <c r="S1575" s="82"/>
      <c r="U1575" s="37" t="e">
        <f t="shared" si="74"/>
        <v>#VALUE!</v>
      </c>
    </row>
    <row r="1576" spans="1:21" x14ac:dyDescent="0.25">
      <c r="A1576" s="31" t="str">
        <f>IF(Table!A1576 = "","",Table!A1576)</f>
        <v/>
      </c>
      <c r="B1576" s="31" t="str">
        <f>IF(Table!B1576 = "","",Table!B1576)</f>
        <v/>
      </c>
      <c r="C1576" s="31" t="str">
        <f>IF(Table!C1576 = "","",Table!C1576)</f>
        <v/>
      </c>
      <c r="D1576" s="32" t="str">
        <f>IF(Table!D1576 = "","",Table!D1576)</f>
        <v/>
      </c>
      <c r="E1576" s="32" t="str">
        <f>IF(Table!E1576 = "","",Table!E1576)</f>
        <v/>
      </c>
      <c r="F1576" s="32" t="str">
        <f>IF(Table!F1576 = "","",Table!F1576)</f>
        <v/>
      </c>
      <c r="G1576" s="91"/>
      <c r="K1576" s="31" t="str">
        <f>IFERROR(VLOOKUP(A1576,Table!$I$4:$O$3000,1,TRUE),"")</f>
        <v/>
      </c>
      <c r="L1576" s="31" t="str">
        <f>IFERROR(INDEX(Table!I:O,MATCH(K1576,Table!I:I,0),2),"")</f>
        <v/>
      </c>
      <c r="M1576" s="31" t="str">
        <f>IFERROR(INDEX(Table!I:O,MATCH(K1576,Table!I:I,0),3),"")</f>
        <v/>
      </c>
      <c r="N1576" s="32" t="str">
        <f>IFERROR(INDEX(Table!I:O,MATCH(K1576,Table!I:I,0),4),"")</f>
        <v/>
      </c>
      <c r="O1576" s="32" t="str">
        <f>IFERROR(INDEX(Table!I:O,MATCH(K1576,Table!I:I,0),5),"")</f>
        <v/>
      </c>
      <c r="P1576" s="32" t="str">
        <f>IFERROR(INDEX(Table!I:O,MATCH(K1576,Table!I:I,0),6),"")</f>
        <v/>
      </c>
      <c r="Q1576" s="89" t="str">
        <f t="shared" si="72"/>
        <v/>
      </c>
      <c r="R1576" s="89" t="str">
        <f t="shared" si="73"/>
        <v/>
      </c>
      <c r="S1576" s="82"/>
      <c r="U1576" s="37" t="e">
        <f t="shared" si="74"/>
        <v>#VALUE!</v>
      </c>
    </row>
    <row r="1577" spans="1:21" x14ac:dyDescent="0.25">
      <c r="A1577" s="31" t="str">
        <f>IF(Table!A1577 = "","",Table!A1577)</f>
        <v/>
      </c>
      <c r="B1577" s="31" t="str">
        <f>IF(Table!B1577 = "","",Table!B1577)</f>
        <v/>
      </c>
      <c r="C1577" s="31" t="str">
        <f>IF(Table!C1577 = "","",Table!C1577)</f>
        <v/>
      </c>
      <c r="D1577" s="32" t="str">
        <f>IF(Table!D1577 = "","",Table!D1577)</f>
        <v/>
      </c>
      <c r="E1577" s="32" t="str">
        <f>IF(Table!E1577 = "","",Table!E1577)</f>
        <v/>
      </c>
      <c r="F1577" s="32" t="str">
        <f>IF(Table!F1577 = "","",Table!F1577)</f>
        <v/>
      </c>
      <c r="G1577" s="91"/>
      <c r="K1577" s="31" t="str">
        <f>IFERROR(VLOOKUP(A1577,Table!$I$4:$O$3000,1,TRUE),"")</f>
        <v/>
      </c>
      <c r="L1577" s="31" t="str">
        <f>IFERROR(INDEX(Table!I:O,MATCH(K1577,Table!I:I,0),2),"")</f>
        <v/>
      </c>
      <c r="M1577" s="31" t="str">
        <f>IFERROR(INDEX(Table!I:O,MATCH(K1577,Table!I:I,0),3),"")</f>
        <v/>
      </c>
      <c r="N1577" s="32" t="str">
        <f>IFERROR(INDEX(Table!I:O,MATCH(K1577,Table!I:I,0),4),"")</f>
        <v/>
      </c>
      <c r="O1577" s="32" t="str">
        <f>IFERROR(INDEX(Table!I:O,MATCH(K1577,Table!I:I,0),5),"")</f>
        <v/>
      </c>
      <c r="P1577" s="32" t="str">
        <f>IFERROR(INDEX(Table!I:O,MATCH(K1577,Table!I:I,0),6),"")</f>
        <v/>
      </c>
      <c r="Q1577" s="89" t="str">
        <f t="shared" si="72"/>
        <v/>
      </c>
      <c r="R1577" s="89" t="str">
        <f t="shared" si="73"/>
        <v/>
      </c>
      <c r="S1577" s="82"/>
      <c r="U1577" s="37" t="e">
        <f t="shared" si="74"/>
        <v>#VALUE!</v>
      </c>
    </row>
    <row r="1578" spans="1:21" x14ac:dyDescent="0.25">
      <c r="A1578" s="31" t="str">
        <f>IF(Table!A1578 = "","",Table!A1578)</f>
        <v/>
      </c>
      <c r="B1578" s="31" t="str">
        <f>IF(Table!B1578 = "","",Table!B1578)</f>
        <v/>
      </c>
      <c r="C1578" s="31" t="str">
        <f>IF(Table!C1578 = "","",Table!C1578)</f>
        <v/>
      </c>
      <c r="D1578" s="32" t="str">
        <f>IF(Table!D1578 = "","",Table!D1578)</f>
        <v/>
      </c>
      <c r="E1578" s="32" t="str">
        <f>IF(Table!E1578 = "","",Table!E1578)</f>
        <v/>
      </c>
      <c r="F1578" s="32" t="str">
        <f>IF(Table!F1578 = "","",Table!F1578)</f>
        <v/>
      </c>
      <c r="G1578" s="91"/>
      <c r="K1578" s="31" t="str">
        <f>IFERROR(VLOOKUP(A1578,Table!$I$4:$O$3000,1,TRUE),"")</f>
        <v/>
      </c>
      <c r="L1578" s="31" t="str">
        <f>IFERROR(INDEX(Table!I:O,MATCH(K1578,Table!I:I,0),2),"")</f>
        <v/>
      </c>
      <c r="M1578" s="31" t="str">
        <f>IFERROR(INDEX(Table!I:O,MATCH(K1578,Table!I:I,0),3),"")</f>
        <v/>
      </c>
      <c r="N1578" s="32" t="str">
        <f>IFERROR(INDEX(Table!I:O,MATCH(K1578,Table!I:I,0),4),"")</f>
        <v/>
      </c>
      <c r="O1578" s="32" t="str">
        <f>IFERROR(INDEX(Table!I:O,MATCH(K1578,Table!I:I,0),5),"")</f>
        <v/>
      </c>
      <c r="P1578" s="32" t="str">
        <f>IFERROR(INDEX(Table!I:O,MATCH(K1578,Table!I:I,0),6),"")</f>
        <v/>
      </c>
      <c r="Q1578" s="89" t="str">
        <f t="shared" si="72"/>
        <v/>
      </c>
      <c r="R1578" s="89" t="str">
        <f t="shared" si="73"/>
        <v/>
      </c>
      <c r="S1578" s="82"/>
      <c r="U1578" s="37" t="e">
        <f t="shared" si="74"/>
        <v>#VALUE!</v>
      </c>
    </row>
    <row r="1579" spans="1:21" x14ac:dyDescent="0.25">
      <c r="A1579" s="31" t="str">
        <f>IF(Table!A1579 = "","",Table!A1579)</f>
        <v/>
      </c>
      <c r="B1579" s="31" t="str">
        <f>IF(Table!B1579 = "","",Table!B1579)</f>
        <v/>
      </c>
      <c r="C1579" s="31" t="str">
        <f>IF(Table!C1579 = "","",Table!C1579)</f>
        <v/>
      </c>
      <c r="D1579" s="32" t="str">
        <f>IF(Table!D1579 = "","",Table!D1579)</f>
        <v/>
      </c>
      <c r="E1579" s="32" t="str">
        <f>IF(Table!E1579 = "","",Table!E1579)</f>
        <v/>
      </c>
      <c r="F1579" s="32" t="str">
        <f>IF(Table!F1579 = "","",Table!F1579)</f>
        <v/>
      </c>
      <c r="G1579" s="91"/>
      <c r="K1579" s="31" t="str">
        <f>IFERROR(VLOOKUP(A1579,Table!$I$4:$O$3000,1,TRUE),"")</f>
        <v/>
      </c>
      <c r="L1579" s="31" t="str">
        <f>IFERROR(INDEX(Table!I:O,MATCH(K1579,Table!I:I,0),2),"")</f>
        <v/>
      </c>
      <c r="M1579" s="31" t="str">
        <f>IFERROR(INDEX(Table!I:O,MATCH(K1579,Table!I:I,0),3),"")</f>
        <v/>
      </c>
      <c r="N1579" s="32" t="str">
        <f>IFERROR(INDEX(Table!I:O,MATCH(K1579,Table!I:I,0),4),"")</f>
        <v/>
      </c>
      <c r="O1579" s="32" t="str">
        <f>IFERROR(INDEX(Table!I:O,MATCH(K1579,Table!I:I,0),5),"")</f>
        <v/>
      </c>
      <c r="P1579" s="32" t="str">
        <f>IFERROR(INDEX(Table!I:O,MATCH(K1579,Table!I:I,0),6),"")</f>
        <v/>
      </c>
      <c r="Q1579" s="89" t="str">
        <f t="shared" si="72"/>
        <v/>
      </c>
      <c r="R1579" s="89" t="str">
        <f t="shared" si="73"/>
        <v/>
      </c>
      <c r="S1579" s="82"/>
      <c r="U1579" s="37" t="e">
        <f t="shared" si="74"/>
        <v>#VALUE!</v>
      </c>
    </row>
    <row r="1580" spans="1:21" x14ac:dyDescent="0.25">
      <c r="A1580" s="31" t="str">
        <f>IF(Table!A1580 = "","",Table!A1580)</f>
        <v/>
      </c>
      <c r="B1580" s="31" t="str">
        <f>IF(Table!B1580 = "","",Table!B1580)</f>
        <v/>
      </c>
      <c r="C1580" s="31" t="str">
        <f>IF(Table!C1580 = "","",Table!C1580)</f>
        <v/>
      </c>
      <c r="D1580" s="32" t="str">
        <f>IF(Table!D1580 = "","",Table!D1580)</f>
        <v/>
      </c>
      <c r="E1580" s="32" t="str">
        <f>IF(Table!E1580 = "","",Table!E1580)</f>
        <v/>
      </c>
      <c r="F1580" s="32" t="str">
        <f>IF(Table!F1580 = "","",Table!F1580)</f>
        <v/>
      </c>
      <c r="G1580" s="91"/>
      <c r="K1580" s="31" t="str">
        <f>IFERROR(VLOOKUP(A1580,Table!$I$4:$O$3000,1,TRUE),"")</f>
        <v/>
      </c>
      <c r="L1580" s="31" t="str">
        <f>IFERROR(INDEX(Table!I:O,MATCH(K1580,Table!I:I,0),2),"")</f>
        <v/>
      </c>
      <c r="M1580" s="31" t="str">
        <f>IFERROR(INDEX(Table!I:O,MATCH(K1580,Table!I:I,0),3),"")</f>
        <v/>
      </c>
      <c r="N1580" s="32" t="str">
        <f>IFERROR(INDEX(Table!I:O,MATCH(K1580,Table!I:I,0),4),"")</f>
        <v/>
      </c>
      <c r="O1580" s="32" t="str">
        <f>IFERROR(INDEX(Table!I:O,MATCH(K1580,Table!I:I,0),5),"")</f>
        <v/>
      </c>
      <c r="P1580" s="32" t="str">
        <f>IFERROR(INDEX(Table!I:O,MATCH(K1580,Table!I:I,0),6),"")</f>
        <v/>
      </c>
      <c r="Q1580" s="89" t="str">
        <f t="shared" si="72"/>
        <v/>
      </c>
      <c r="R1580" s="89" t="str">
        <f t="shared" si="73"/>
        <v/>
      </c>
      <c r="S1580" s="82"/>
      <c r="U1580" s="37" t="e">
        <f t="shared" si="74"/>
        <v>#VALUE!</v>
      </c>
    </row>
    <row r="1581" spans="1:21" x14ac:dyDescent="0.25">
      <c r="A1581" s="31" t="str">
        <f>IF(Table!A1581 = "","",Table!A1581)</f>
        <v/>
      </c>
      <c r="B1581" s="31" t="str">
        <f>IF(Table!B1581 = "","",Table!B1581)</f>
        <v/>
      </c>
      <c r="C1581" s="31" t="str">
        <f>IF(Table!C1581 = "","",Table!C1581)</f>
        <v/>
      </c>
      <c r="D1581" s="32" t="str">
        <f>IF(Table!D1581 = "","",Table!D1581)</f>
        <v/>
      </c>
      <c r="E1581" s="32" t="str">
        <f>IF(Table!E1581 = "","",Table!E1581)</f>
        <v/>
      </c>
      <c r="F1581" s="32" t="str">
        <f>IF(Table!F1581 = "","",Table!F1581)</f>
        <v/>
      </c>
      <c r="G1581" s="91"/>
      <c r="K1581" s="31" t="str">
        <f>IFERROR(VLOOKUP(A1581,Table!$I$4:$O$3000,1,TRUE),"")</f>
        <v/>
      </c>
      <c r="L1581" s="31" t="str">
        <f>IFERROR(INDEX(Table!I:O,MATCH(K1581,Table!I:I,0),2),"")</f>
        <v/>
      </c>
      <c r="M1581" s="31" t="str">
        <f>IFERROR(INDEX(Table!I:O,MATCH(K1581,Table!I:I,0),3),"")</f>
        <v/>
      </c>
      <c r="N1581" s="32" t="str">
        <f>IFERROR(INDEX(Table!I:O,MATCH(K1581,Table!I:I,0),4),"")</f>
        <v/>
      </c>
      <c r="O1581" s="32" t="str">
        <f>IFERROR(INDEX(Table!I:O,MATCH(K1581,Table!I:I,0),5),"")</f>
        <v/>
      </c>
      <c r="P1581" s="32" t="str">
        <f>IFERROR(INDEX(Table!I:O,MATCH(K1581,Table!I:I,0),6),"")</f>
        <v/>
      </c>
      <c r="Q1581" s="89" t="str">
        <f t="shared" si="72"/>
        <v/>
      </c>
      <c r="R1581" s="89" t="str">
        <f t="shared" si="73"/>
        <v/>
      </c>
      <c r="S1581" s="82"/>
      <c r="U1581" s="37" t="e">
        <f t="shared" si="74"/>
        <v>#VALUE!</v>
      </c>
    </row>
    <row r="1582" spans="1:21" x14ac:dyDescent="0.25">
      <c r="A1582" s="31" t="str">
        <f>IF(Table!A1582 = "","",Table!A1582)</f>
        <v/>
      </c>
      <c r="B1582" s="31" t="str">
        <f>IF(Table!B1582 = "","",Table!B1582)</f>
        <v/>
      </c>
      <c r="C1582" s="31" t="str">
        <f>IF(Table!C1582 = "","",Table!C1582)</f>
        <v/>
      </c>
      <c r="D1582" s="32" t="str">
        <f>IF(Table!D1582 = "","",Table!D1582)</f>
        <v/>
      </c>
      <c r="E1582" s="32" t="str">
        <f>IF(Table!E1582 = "","",Table!E1582)</f>
        <v/>
      </c>
      <c r="F1582" s="32" t="str">
        <f>IF(Table!F1582 = "","",Table!F1582)</f>
        <v/>
      </c>
      <c r="G1582" s="91"/>
      <c r="K1582" s="31" t="str">
        <f>IFERROR(VLOOKUP(A1582,Table!$I$4:$O$3000,1,TRUE),"")</f>
        <v/>
      </c>
      <c r="L1582" s="31" t="str">
        <f>IFERROR(INDEX(Table!I:O,MATCH(K1582,Table!I:I,0),2),"")</f>
        <v/>
      </c>
      <c r="M1582" s="31" t="str">
        <f>IFERROR(INDEX(Table!I:O,MATCH(K1582,Table!I:I,0),3),"")</f>
        <v/>
      </c>
      <c r="N1582" s="32" t="str">
        <f>IFERROR(INDEX(Table!I:O,MATCH(K1582,Table!I:I,0),4),"")</f>
        <v/>
      </c>
      <c r="O1582" s="32" t="str">
        <f>IFERROR(INDEX(Table!I:O,MATCH(K1582,Table!I:I,0),5),"")</f>
        <v/>
      </c>
      <c r="P1582" s="32" t="str">
        <f>IFERROR(INDEX(Table!I:O,MATCH(K1582,Table!I:I,0),6),"")</f>
        <v/>
      </c>
      <c r="Q1582" s="89" t="str">
        <f t="shared" si="72"/>
        <v/>
      </c>
      <c r="R1582" s="89" t="str">
        <f t="shared" si="73"/>
        <v/>
      </c>
      <c r="S1582" s="82"/>
      <c r="U1582" s="37" t="e">
        <f t="shared" si="74"/>
        <v>#VALUE!</v>
      </c>
    </row>
    <row r="1583" spans="1:21" x14ac:dyDescent="0.25">
      <c r="A1583" s="31" t="str">
        <f>IF(Table!A1583 = "","",Table!A1583)</f>
        <v/>
      </c>
      <c r="B1583" s="31" t="str">
        <f>IF(Table!B1583 = "","",Table!B1583)</f>
        <v/>
      </c>
      <c r="C1583" s="31" t="str">
        <f>IF(Table!C1583 = "","",Table!C1583)</f>
        <v/>
      </c>
      <c r="D1583" s="32" t="str">
        <f>IF(Table!D1583 = "","",Table!D1583)</f>
        <v/>
      </c>
      <c r="E1583" s="32" t="str">
        <f>IF(Table!E1583 = "","",Table!E1583)</f>
        <v/>
      </c>
      <c r="F1583" s="32" t="str">
        <f>IF(Table!F1583 = "","",Table!F1583)</f>
        <v/>
      </c>
      <c r="G1583" s="91"/>
      <c r="K1583" s="31" t="str">
        <f>IFERROR(VLOOKUP(A1583,Table!$I$4:$O$3000,1,TRUE),"")</f>
        <v/>
      </c>
      <c r="L1583" s="31" t="str">
        <f>IFERROR(INDEX(Table!I:O,MATCH(K1583,Table!I:I,0),2),"")</f>
        <v/>
      </c>
      <c r="M1583" s="31" t="str">
        <f>IFERROR(INDEX(Table!I:O,MATCH(K1583,Table!I:I,0),3),"")</f>
        <v/>
      </c>
      <c r="N1583" s="32" t="str">
        <f>IFERROR(INDEX(Table!I:O,MATCH(K1583,Table!I:I,0),4),"")</f>
        <v/>
      </c>
      <c r="O1583" s="32" t="str">
        <f>IFERROR(INDEX(Table!I:O,MATCH(K1583,Table!I:I,0),5),"")</f>
        <v/>
      </c>
      <c r="P1583" s="32" t="str">
        <f>IFERROR(INDEX(Table!I:O,MATCH(K1583,Table!I:I,0),6),"")</f>
        <v/>
      </c>
      <c r="Q1583" s="89" t="str">
        <f t="shared" si="72"/>
        <v/>
      </c>
      <c r="R1583" s="89" t="str">
        <f t="shared" si="73"/>
        <v/>
      </c>
      <c r="S1583" s="82"/>
      <c r="U1583" s="37" t="e">
        <f t="shared" si="74"/>
        <v>#VALUE!</v>
      </c>
    </row>
    <row r="1584" spans="1:21" x14ac:dyDescent="0.25">
      <c r="A1584" s="31" t="str">
        <f>IF(Table!A1584 = "","",Table!A1584)</f>
        <v/>
      </c>
      <c r="B1584" s="31" t="str">
        <f>IF(Table!B1584 = "","",Table!B1584)</f>
        <v/>
      </c>
      <c r="C1584" s="31" t="str">
        <f>IF(Table!C1584 = "","",Table!C1584)</f>
        <v/>
      </c>
      <c r="D1584" s="32" t="str">
        <f>IF(Table!D1584 = "","",Table!D1584)</f>
        <v/>
      </c>
      <c r="E1584" s="32" t="str">
        <f>IF(Table!E1584 = "","",Table!E1584)</f>
        <v/>
      </c>
      <c r="F1584" s="32" t="str">
        <f>IF(Table!F1584 = "","",Table!F1584)</f>
        <v/>
      </c>
      <c r="G1584" s="91"/>
      <c r="K1584" s="31" t="str">
        <f>IFERROR(VLOOKUP(A1584,Table!$I$4:$O$3000,1,TRUE),"")</f>
        <v/>
      </c>
      <c r="L1584" s="31" t="str">
        <f>IFERROR(INDEX(Table!I:O,MATCH(K1584,Table!I:I,0),2),"")</f>
        <v/>
      </c>
      <c r="M1584" s="31" t="str">
        <f>IFERROR(INDEX(Table!I:O,MATCH(K1584,Table!I:I,0),3),"")</f>
        <v/>
      </c>
      <c r="N1584" s="32" t="str">
        <f>IFERROR(INDEX(Table!I:O,MATCH(K1584,Table!I:I,0),4),"")</f>
        <v/>
      </c>
      <c r="O1584" s="32" t="str">
        <f>IFERROR(INDEX(Table!I:O,MATCH(K1584,Table!I:I,0),5),"")</f>
        <v/>
      </c>
      <c r="P1584" s="32" t="str">
        <f>IFERROR(INDEX(Table!I:O,MATCH(K1584,Table!I:I,0),6),"")</f>
        <v/>
      </c>
      <c r="Q1584" s="89" t="str">
        <f t="shared" si="72"/>
        <v/>
      </c>
      <c r="R1584" s="89" t="str">
        <f t="shared" si="73"/>
        <v/>
      </c>
      <c r="S1584" s="82"/>
      <c r="U1584" s="37" t="e">
        <f t="shared" si="74"/>
        <v>#VALUE!</v>
      </c>
    </row>
    <row r="1585" spans="1:21" x14ac:dyDescent="0.25">
      <c r="A1585" s="31" t="str">
        <f>IF(Table!A1585 = "","",Table!A1585)</f>
        <v/>
      </c>
      <c r="B1585" s="31" t="str">
        <f>IF(Table!B1585 = "","",Table!B1585)</f>
        <v/>
      </c>
      <c r="C1585" s="31" t="str">
        <f>IF(Table!C1585 = "","",Table!C1585)</f>
        <v/>
      </c>
      <c r="D1585" s="32" t="str">
        <f>IF(Table!D1585 = "","",Table!D1585)</f>
        <v/>
      </c>
      <c r="E1585" s="32" t="str">
        <f>IF(Table!E1585 = "","",Table!E1585)</f>
        <v/>
      </c>
      <c r="F1585" s="32" t="str">
        <f>IF(Table!F1585 = "","",Table!F1585)</f>
        <v/>
      </c>
      <c r="G1585" s="91"/>
      <c r="K1585" s="31" t="str">
        <f>IFERROR(VLOOKUP(A1585,Table!$I$4:$O$3000,1,TRUE),"")</f>
        <v/>
      </c>
      <c r="L1585" s="31" t="str">
        <f>IFERROR(INDEX(Table!I:O,MATCH(K1585,Table!I:I,0),2),"")</f>
        <v/>
      </c>
      <c r="M1585" s="31" t="str">
        <f>IFERROR(INDEX(Table!I:O,MATCH(K1585,Table!I:I,0),3),"")</f>
        <v/>
      </c>
      <c r="N1585" s="32" t="str">
        <f>IFERROR(INDEX(Table!I:O,MATCH(K1585,Table!I:I,0),4),"")</f>
        <v/>
      </c>
      <c r="O1585" s="32" t="str">
        <f>IFERROR(INDEX(Table!I:O,MATCH(K1585,Table!I:I,0),5),"")</f>
        <v/>
      </c>
      <c r="P1585" s="32" t="str">
        <f>IFERROR(INDEX(Table!I:O,MATCH(K1585,Table!I:I,0),6),"")</f>
        <v/>
      </c>
      <c r="Q1585" s="89" t="str">
        <f t="shared" si="72"/>
        <v/>
      </c>
      <c r="R1585" s="89" t="str">
        <f t="shared" si="73"/>
        <v/>
      </c>
      <c r="S1585" s="82"/>
      <c r="U1585" s="37" t="e">
        <f t="shared" si="74"/>
        <v>#VALUE!</v>
      </c>
    </row>
    <row r="1586" spans="1:21" x14ac:dyDescent="0.25">
      <c r="A1586" s="31" t="str">
        <f>IF(Table!A1586 = "","",Table!A1586)</f>
        <v/>
      </c>
      <c r="B1586" s="31" t="str">
        <f>IF(Table!B1586 = "","",Table!B1586)</f>
        <v/>
      </c>
      <c r="C1586" s="31" t="str">
        <f>IF(Table!C1586 = "","",Table!C1586)</f>
        <v/>
      </c>
      <c r="D1586" s="32" t="str">
        <f>IF(Table!D1586 = "","",Table!D1586)</f>
        <v/>
      </c>
      <c r="E1586" s="32" t="str">
        <f>IF(Table!E1586 = "","",Table!E1586)</f>
        <v/>
      </c>
      <c r="F1586" s="32" t="str">
        <f>IF(Table!F1586 = "","",Table!F1586)</f>
        <v/>
      </c>
      <c r="G1586" s="91"/>
      <c r="K1586" s="31" t="str">
        <f>IFERROR(VLOOKUP(A1586,Table!$I$4:$O$3000,1,TRUE),"")</f>
        <v/>
      </c>
      <c r="L1586" s="31" t="str">
        <f>IFERROR(INDEX(Table!I:O,MATCH(K1586,Table!I:I,0),2),"")</f>
        <v/>
      </c>
      <c r="M1586" s="31" t="str">
        <f>IFERROR(INDEX(Table!I:O,MATCH(K1586,Table!I:I,0),3),"")</f>
        <v/>
      </c>
      <c r="N1586" s="32" t="str">
        <f>IFERROR(INDEX(Table!I:O,MATCH(K1586,Table!I:I,0),4),"")</f>
        <v/>
      </c>
      <c r="O1586" s="32" t="str">
        <f>IFERROR(INDEX(Table!I:O,MATCH(K1586,Table!I:I,0),5),"")</f>
        <v/>
      </c>
      <c r="P1586" s="32" t="str">
        <f>IFERROR(INDEX(Table!I:O,MATCH(K1586,Table!I:I,0),6),"")</f>
        <v/>
      </c>
      <c r="Q1586" s="89" t="str">
        <f t="shared" si="72"/>
        <v/>
      </c>
      <c r="R1586" s="89" t="str">
        <f t="shared" si="73"/>
        <v/>
      </c>
      <c r="S1586" s="82"/>
      <c r="U1586" s="37" t="e">
        <f t="shared" si="74"/>
        <v>#VALUE!</v>
      </c>
    </row>
    <row r="1587" spans="1:21" x14ac:dyDescent="0.25">
      <c r="A1587" s="31" t="str">
        <f>IF(Table!A1587 = "","",Table!A1587)</f>
        <v/>
      </c>
      <c r="B1587" s="31" t="str">
        <f>IF(Table!B1587 = "","",Table!B1587)</f>
        <v/>
      </c>
      <c r="C1587" s="31" t="str">
        <f>IF(Table!C1587 = "","",Table!C1587)</f>
        <v/>
      </c>
      <c r="D1587" s="32" t="str">
        <f>IF(Table!D1587 = "","",Table!D1587)</f>
        <v/>
      </c>
      <c r="E1587" s="32" t="str">
        <f>IF(Table!E1587 = "","",Table!E1587)</f>
        <v/>
      </c>
      <c r="F1587" s="32" t="str">
        <f>IF(Table!F1587 = "","",Table!F1587)</f>
        <v/>
      </c>
      <c r="G1587" s="91"/>
      <c r="K1587" s="31" t="str">
        <f>IFERROR(VLOOKUP(A1587,Table!$I$4:$O$3000,1,TRUE),"")</f>
        <v/>
      </c>
      <c r="L1587" s="31" t="str">
        <f>IFERROR(INDEX(Table!I:O,MATCH(K1587,Table!I:I,0),2),"")</f>
        <v/>
      </c>
      <c r="M1587" s="31" t="str">
        <f>IFERROR(INDEX(Table!I:O,MATCH(K1587,Table!I:I,0),3),"")</f>
        <v/>
      </c>
      <c r="N1587" s="32" t="str">
        <f>IFERROR(INDEX(Table!I:O,MATCH(K1587,Table!I:I,0),4),"")</f>
        <v/>
      </c>
      <c r="O1587" s="32" t="str">
        <f>IFERROR(INDEX(Table!I:O,MATCH(K1587,Table!I:I,0),5),"")</f>
        <v/>
      </c>
      <c r="P1587" s="32" t="str">
        <f>IFERROR(INDEX(Table!I:O,MATCH(K1587,Table!I:I,0),6),"")</f>
        <v/>
      </c>
      <c r="Q1587" s="89" t="str">
        <f t="shared" si="72"/>
        <v/>
      </c>
      <c r="R1587" s="89" t="str">
        <f t="shared" si="73"/>
        <v/>
      </c>
      <c r="S1587" s="82"/>
      <c r="U1587" s="37" t="e">
        <f t="shared" si="74"/>
        <v>#VALUE!</v>
      </c>
    </row>
    <row r="1588" spans="1:21" x14ac:dyDescent="0.25">
      <c r="A1588" s="31" t="str">
        <f>IF(Table!A1588 = "","",Table!A1588)</f>
        <v/>
      </c>
      <c r="B1588" s="31" t="str">
        <f>IF(Table!B1588 = "","",Table!B1588)</f>
        <v/>
      </c>
      <c r="C1588" s="31" t="str">
        <f>IF(Table!C1588 = "","",Table!C1588)</f>
        <v/>
      </c>
      <c r="D1588" s="32" t="str">
        <f>IF(Table!D1588 = "","",Table!D1588)</f>
        <v/>
      </c>
      <c r="E1588" s="32" t="str">
        <f>IF(Table!E1588 = "","",Table!E1588)</f>
        <v/>
      </c>
      <c r="F1588" s="32" t="str">
        <f>IF(Table!F1588 = "","",Table!F1588)</f>
        <v/>
      </c>
      <c r="G1588" s="91"/>
      <c r="K1588" s="31" t="str">
        <f>IFERROR(VLOOKUP(A1588,Table!$I$4:$O$3000,1,TRUE),"")</f>
        <v/>
      </c>
      <c r="L1588" s="31" t="str">
        <f>IFERROR(INDEX(Table!I:O,MATCH(K1588,Table!I:I,0),2),"")</f>
        <v/>
      </c>
      <c r="M1588" s="31" t="str">
        <f>IFERROR(INDEX(Table!I:O,MATCH(K1588,Table!I:I,0),3),"")</f>
        <v/>
      </c>
      <c r="N1588" s="32" t="str">
        <f>IFERROR(INDEX(Table!I:O,MATCH(K1588,Table!I:I,0),4),"")</f>
        <v/>
      </c>
      <c r="O1588" s="32" t="str">
        <f>IFERROR(INDEX(Table!I:O,MATCH(K1588,Table!I:I,0),5),"")</f>
        <v/>
      </c>
      <c r="P1588" s="32" t="str">
        <f>IFERROR(INDEX(Table!I:O,MATCH(K1588,Table!I:I,0),6),"")</f>
        <v/>
      </c>
      <c r="Q1588" s="89" t="str">
        <f t="shared" si="72"/>
        <v/>
      </c>
      <c r="R1588" s="89" t="str">
        <f t="shared" si="73"/>
        <v/>
      </c>
      <c r="S1588" s="82"/>
      <c r="U1588" s="37" t="e">
        <f t="shared" si="74"/>
        <v>#VALUE!</v>
      </c>
    </row>
    <row r="1589" spans="1:21" x14ac:dyDescent="0.25">
      <c r="A1589" s="31" t="str">
        <f>IF(Table!A1589 = "","",Table!A1589)</f>
        <v/>
      </c>
      <c r="B1589" s="31" t="str">
        <f>IF(Table!B1589 = "","",Table!B1589)</f>
        <v/>
      </c>
      <c r="C1589" s="31" t="str">
        <f>IF(Table!C1589 = "","",Table!C1589)</f>
        <v/>
      </c>
      <c r="D1589" s="32" t="str">
        <f>IF(Table!D1589 = "","",Table!D1589)</f>
        <v/>
      </c>
      <c r="E1589" s="32" t="str">
        <f>IF(Table!E1589 = "","",Table!E1589)</f>
        <v/>
      </c>
      <c r="F1589" s="32" t="str">
        <f>IF(Table!F1589 = "","",Table!F1589)</f>
        <v/>
      </c>
      <c r="G1589" s="91"/>
      <c r="K1589" s="31" t="str">
        <f>IFERROR(VLOOKUP(A1589,Table!$I$4:$O$3000,1,TRUE),"")</f>
        <v/>
      </c>
      <c r="L1589" s="31" t="str">
        <f>IFERROR(INDEX(Table!I:O,MATCH(K1589,Table!I:I,0),2),"")</f>
        <v/>
      </c>
      <c r="M1589" s="31" t="str">
        <f>IFERROR(INDEX(Table!I:O,MATCH(K1589,Table!I:I,0),3),"")</f>
        <v/>
      </c>
      <c r="N1589" s="32" t="str">
        <f>IFERROR(INDEX(Table!I:O,MATCH(K1589,Table!I:I,0),4),"")</f>
        <v/>
      </c>
      <c r="O1589" s="32" t="str">
        <f>IFERROR(INDEX(Table!I:O,MATCH(K1589,Table!I:I,0),5),"")</f>
        <v/>
      </c>
      <c r="P1589" s="32" t="str">
        <f>IFERROR(INDEX(Table!I:O,MATCH(K1589,Table!I:I,0),6),"")</f>
        <v/>
      </c>
      <c r="Q1589" s="89" t="str">
        <f t="shared" si="72"/>
        <v/>
      </c>
      <c r="R1589" s="89" t="str">
        <f t="shared" si="73"/>
        <v/>
      </c>
      <c r="S1589" s="82"/>
      <c r="U1589" s="37" t="e">
        <f t="shared" si="74"/>
        <v>#VALUE!</v>
      </c>
    </row>
    <row r="1590" spans="1:21" x14ac:dyDescent="0.25">
      <c r="A1590" s="31" t="str">
        <f>IF(Table!A1590 = "","",Table!A1590)</f>
        <v/>
      </c>
      <c r="B1590" s="31" t="str">
        <f>IF(Table!B1590 = "","",Table!B1590)</f>
        <v/>
      </c>
      <c r="C1590" s="31" t="str">
        <f>IF(Table!C1590 = "","",Table!C1590)</f>
        <v/>
      </c>
      <c r="D1590" s="32" t="str">
        <f>IF(Table!D1590 = "","",Table!D1590)</f>
        <v/>
      </c>
      <c r="E1590" s="32" t="str">
        <f>IF(Table!E1590 = "","",Table!E1590)</f>
        <v/>
      </c>
      <c r="F1590" s="32" t="str">
        <f>IF(Table!F1590 = "","",Table!F1590)</f>
        <v/>
      </c>
      <c r="G1590" s="91"/>
      <c r="K1590" s="31" t="str">
        <f>IFERROR(VLOOKUP(A1590,Table!$I$4:$O$3000,1,TRUE),"")</f>
        <v/>
      </c>
      <c r="L1590" s="31" t="str">
        <f>IFERROR(INDEX(Table!I:O,MATCH(K1590,Table!I:I,0),2),"")</f>
        <v/>
      </c>
      <c r="M1590" s="31" t="str">
        <f>IFERROR(INDEX(Table!I:O,MATCH(K1590,Table!I:I,0),3),"")</f>
        <v/>
      </c>
      <c r="N1590" s="32" t="str">
        <f>IFERROR(INDEX(Table!I:O,MATCH(K1590,Table!I:I,0),4),"")</f>
        <v/>
      </c>
      <c r="O1590" s="32" t="str">
        <f>IFERROR(INDEX(Table!I:O,MATCH(K1590,Table!I:I,0),5),"")</f>
        <v/>
      </c>
      <c r="P1590" s="32" t="str">
        <f>IFERROR(INDEX(Table!I:O,MATCH(K1590,Table!I:I,0),6),"")</f>
        <v/>
      </c>
      <c r="Q1590" s="89" t="str">
        <f t="shared" si="72"/>
        <v/>
      </c>
      <c r="R1590" s="89" t="str">
        <f t="shared" si="73"/>
        <v/>
      </c>
      <c r="S1590" s="82"/>
      <c r="U1590" s="37" t="e">
        <f t="shared" si="74"/>
        <v>#VALUE!</v>
      </c>
    </row>
    <row r="1591" spans="1:21" x14ac:dyDescent="0.25">
      <c r="A1591" s="31" t="str">
        <f>IF(Table!A1591 = "","",Table!A1591)</f>
        <v/>
      </c>
      <c r="B1591" s="31" t="str">
        <f>IF(Table!B1591 = "","",Table!B1591)</f>
        <v/>
      </c>
      <c r="C1591" s="31" t="str">
        <f>IF(Table!C1591 = "","",Table!C1591)</f>
        <v/>
      </c>
      <c r="D1591" s="32" t="str">
        <f>IF(Table!D1591 = "","",Table!D1591)</f>
        <v/>
      </c>
      <c r="E1591" s="32" t="str">
        <f>IF(Table!E1591 = "","",Table!E1591)</f>
        <v/>
      </c>
      <c r="F1591" s="32" t="str">
        <f>IF(Table!F1591 = "","",Table!F1591)</f>
        <v/>
      </c>
      <c r="G1591" s="91"/>
      <c r="K1591" s="31" t="str">
        <f>IFERROR(VLOOKUP(A1591,Table!$I$4:$O$3000,1,TRUE),"")</f>
        <v/>
      </c>
      <c r="L1591" s="31" t="str">
        <f>IFERROR(INDEX(Table!I:O,MATCH(K1591,Table!I:I,0),2),"")</f>
        <v/>
      </c>
      <c r="M1591" s="31" t="str">
        <f>IFERROR(INDEX(Table!I:O,MATCH(K1591,Table!I:I,0),3),"")</f>
        <v/>
      </c>
      <c r="N1591" s="32" t="str">
        <f>IFERROR(INDEX(Table!I:O,MATCH(K1591,Table!I:I,0),4),"")</f>
        <v/>
      </c>
      <c r="O1591" s="32" t="str">
        <f>IFERROR(INDEX(Table!I:O,MATCH(K1591,Table!I:I,0),5),"")</f>
        <v/>
      </c>
      <c r="P1591" s="32" t="str">
        <f>IFERROR(INDEX(Table!I:O,MATCH(K1591,Table!I:I,0),6),"")</f>
        <v/>
      </c>
      <c r="Q1591" s="89" t="str">
        <f t="shared" si="72"/>
        <v/>
      </c>
      <c r="R1591" s="89" t="str">
        <f t="shared" si="73"/>
        <v/>
      </c>
      <c r="S1591" s="82"/>
      <c r="U1591" s="37" t="e">
        <f t="shared" si="74"/>
        <v>#VALUE!</v>
      </c>
    </row>
    <row r="1592" spans="1:21" x14ac:dyDescent="0.25">
      <c r="A1592" s="31" t="str">
        <f>IF(Table!A1592 = "","",Table!A1592)</f>
        <v/>
      </c>
      <c r="B1592" s="31" t="str">
        <f>IF(Table!B1592 = "","",Table!B1592)</f>
        <v/>
      </c>
      <c r="C1592" s="31" t="str">
        <f>IF(Table!C1592 = "","",Table!C1592)</f>
        <v/>
      </c>
      <c r="D1592" s="32" t="str">
        <f>IF(Table!D1592 = "","",Table!D1592)</f>
        <v/>
      </c>
      <c r="E1592" s="32" t="str">
        <f>IF(Table!E1592 = "","",Table!E1592)</f>
        <v/>
      </c>
      <c r="F1592" s="32" t="str">
        <f>IF(Table!F1592 = "","",Table!F1592)</f>
        <v/>
      </c>
      <c r="G1592" s="91"/>
      <c r="K1592" s="31" t="str">
        <f>IFERROR(VLOOKUP(A1592,Table!$I$4:$O$3000,1,TRUE),"")</f>
        <v/>
      </c>
      <c r="L1592" s="31" t="str">
        <f>IFERROR(INDEX(Table!I:O,MATCH(K1592,Table!I:I,0),2),"")</f>
        <v/>
      </c>
      <c r="M1592" s="31" t="str">
        <f>IFERROR(INDEX(Table!I:O,MATCH(K1592,Table!I:I,0),3),"")</f>
        <v/>
      </c>
      <c r="N1592" s="32" t="str">
        <f>IFERROR(INDEX(Table!I:O,MATCH(K1592,Table!I:I,0),4),"")</f>
        <v/>
      </c>
      <c r="O1592" s="32" t="str">
        <f>IFERROR(INDEX(Table!I:O,MATCH(K1592,Table!I:I,0),5),"")</f>
        <v/>
      </c>
      <c r="P1592" s="32" t="str">
        <f>IFERROR(INDEX(Table!I:O,MATCH(K1592,Table!I:I,0),6),"")</f>
        <v/>
      </c>
      <c r="Q1592" s="89" t="str">
        <f t="shared" si="72"/>
        <v/>
      </c>
      <c r="R1592" s="89" t="str">
        <f t="shared" si="73"/>
        <v/>
      </c>
      <c r="S1592" s="82"/>
      <c r="U1592" s="37" t="e">
        <f t="shared" si="74"/>
        <v>#VALUE!</v>
      </c>
    </row>
    <row r="1593" spans="1:21" x14ac:dyDescent="0.25">
      <c r="A1593" s="31" t="str">
        <f>IF(Table!A1593 = "","",Table!A1593)</f>
        <v/>
      </c>
      <c r="B1593" s="31" t="str">
        <f>IF(Table!B1593 = "","",Table!B1593)</f>
        <v/>
      </c>
      <c r="C1593" s="31" t="str">
        <f>IF(Table!C1593 = "","",Table!C1593)</f>
        <v/>
      </c>
      <c r="D1593" s="32" t="str">
        <f>IF(Table!D1593 = "","",Table!D1593)</f>
        <v/>
      </c>
      <c r="E1593" s="32" t="str">
        <f>IF(Table!E1593 = "","",Table!E1593)</f>
        <v/>
      </c>
      <c r="F1593" s="32" t="str">
        <f>IF(Table!F1593 = "","",Table!F1593)</f>
        <v/>
      </c>
      <c r="G1593" s="91"/>
      <c r="K1593" s="31" t="str">
        <f>IFERROR(VLOOKUP(A1593,Table!$I$4:$O$3000,1,TRUE),"")</f>
        <v/>
      </c>
      <c r="L1593" s="31" t="str">
        <f>IFERROR(INDEX(Table!I:O,MATCH(K1593,Table!I:I,0),2),"")</f>
        <v/>
      </c>
      <c r="M1593" s="31" t="str">
        <f>IFERROR(INDEX(Table!I:O,MATCH(K1593,Table!I:I,0),3),"")</f>
        <v/>
      </c>
      <c r="N1593" s="32" t="str">
        <f>IFERROR(INDEX(Table!I:O,MATCH(K1593,Table!I:I,0),4),"")</f>
        <v/>
      </c>
      <c r="O1593" s="32" t="str">
        <f>IFERROR(INDEX(Table!I:O,MATCH(K1593,Table!I:I,0),5),"")</f>
        <v/>
      </c>
      <c r="P1593" s="32" t="str">
        <f>IFERROR(INDEX(Table!I:O,MATCH(K1593,Table!I:I,0),6),"")</f>
        <v/>
      </c>
      <c r="Q1593" s="89" t="str">
        <f t="shared" si="72"/>
        <v/>
      </c>
      <c r="R1593" s="89" t="str">
        <f t="shared" si="73"/>
        <v/>
      </c>
      <c r="S1593" s="82"/>
      <c r="U1593" s="37" t="e">
        <f t="shared" si="74"/>
        <v>#VALUE!</v>
      </c>
    </row>
    <row r="1594" spans="1:21" x14ac:dyDescent="0.25">
      <c r="A1594" s="31" t="str">
        <f>IF(Table!A1594 = "","",Table!A1594)</f>
        <v/>
      </c>
      <c r="B1594" s="31" t="str">
        <f>IF(Table!B1594 = "","",Table!B1594)</f>
        <v/>
      </c>
      <c r="C1594" s="31" t="str">
        <f>IF(Table!C1594 = "","",Table!C1594)</f>
        <v/>
      </c>
      <c r="D1594" s="32" t="str">
        <f>IF(Table!D1594 = "","",Table!D1594)</f>
        <v/>
      </c>
      <c r="E1594" s="32" t="str">
        <f>IF(Table!E1594 = "","",Table!E1594)</f>
        <v/>
      </c>
      <c r="F1594" s="32" t="str">
        <f>IF(Table!F1594 = "","",Table!F1594)</f>
        <v/>
      </c>
      <c r="G1594" s="91"/>
      <c r="K1594" s="31" t="str">
        <f>IFERROR(VLOOKUP(A1594,Table!$I$4:$O$3000,1,TRUE),"")</f>
        <v/>
      </c>
      <c r="L1594" s="31" t="str">
        <f>IFERROR(INDEX(Table!I:O,MATCH(K1594,Table!I:I,0),2),"")</f>
        <v/>
      </c>
      <c r="M1594" s="31" t="str">
        <f>IFERROR(INDEX(Table!I:O,MATCH(K1594,Table!I:I,0),3),"")</f>
        <v/>
      </c>
      <c r="N1594" s="32" t="str">
        <f>IFERROR(INDEX(Table!I:O,MATCH(K1594,Table!I:I,0),4),"")</f>
        <v/>
      </c>
      <c r="O1594" s="32" t="str">
        <f>IFERROR(INDEX(Table!I:O,MATCH(K1594,Table!I:I,0),5),"")</f>
        <v/>
      </c>
      <c r="P1594" s="32" t="str">
        <f>IFERROR(INDEX(Table!I:O,MATCH(K1594,Table!I:I,0),6),"")</f>
        <v/>
      </c>
      <c r="Q1594" s="89" t="str">
        <f t="shared" si="72"/>
        <v/>
      </c>
      <c r="R1594" s="89" t="str">
        <f t="shared" si="73"/>
        <v/>
      </c>
      <c r="S1594" s="82"/>
      <c r="U1594" s="37" t="e">
        <f t="shared" si="74"/>
        <v>#VALUE!</v>
      </c>
    </row>
    <row r="1595" spans="1:21" x14ac:dyDescent="0.25">
      <c r="A1595" s="31" t="str">
        <f>IF(Table!A1595 = "","",Table!A1595)</f>
        <v/>
      </c>
      <c r="B1595" s="31" t="str">
        <f>IF(Table!B1595 = "","",Table!B1595)</f>
        <v/>
      </c>
      <c r="C1595" s="31" t="str">
        <f>IF(Table!C1595 = "","",Table!C1595)</f>
        <v/>
      </c>
      <c r="D1595" s="32" t="str">
        <f>IF(Table!D1595 = "","",Table!D1595)</f>
        <v/>
      </c>
      <c r="E1595" s="32" t="str">
        <f>IF(Table!E1595 = "","",Table!E1595)</f>
        <v/>
      </c>
      <c r="F1595" s="32" t="str">
        <f>IF(Table!F1595 = "","",Table!F1595)</f>
        <v/>
      </c>
      <c r="G1595" s="91"/>
      <c r="K1595" s="31" t="str">
        <f>IFERROR(VLOOKUP(A1595,Table!$I$4:$O$3000,1,TRUE),"")</f>
        <v/>
      </c>
      <c r="L1595" s="31" t="str">
        <f>IFERROR(INDEX(Table!I:O,MATCH(K1595,Table!I:I,0),2),"")</f>
        <v/>
      </c>
      <c r="M1595" s="31" t="str">
        <f>IFERROR(INDEX(Table!I:O,MATCH(K1595,Table!I:I,0),3),"")</f>
        <v/>
      </c>
      <c r="N1595" s="32" t="str">
        <f>IFERROR(INDEX(Table!I:O,MATCH(K1595,Table!I:I,0),4),"")</f>
        <v/>
      </c>
      <c r="O1595" s="32" t="str">
        <f>IFERROR(INDEX(Table!I:O,MATCH(K1595,Table!I:I,0),5),"")</f>
        <v/>
      </c>
      <c r="P1595" s="32" t="str">
        <f>IFERROR(INDEX(Table!I:O,MATCH(K1595,Table!I:I,0),6),"")</f>
        <v/>
      </c>
      <c r="Q1595" s="89" t="str">
        <f t="shared" si="72"/>
        <v/>
      </c>
      <c r="R1595" s="89" t="str">
        <f t="shared" si="73"/>
        <v/>
      </c>
      <c r="S1595" s="82"/>
      <c r="U1595" s="37" t="e">
        <f t="shared" si="74"/>
        <v>#VALUE!</v>
      </c>
    </row>
    <row r="1596" spans="1:21" x14ac:dyDescent="0.25">
      <c r="A1596" s="31" t="str">
        <f>IF(Table!A1596 = "","",Table!A1596)</f>
        <v/>
      </c>
      <c r="B1596" s="31" t="str">
        <f>IF(Table!B1596 = "","",Table!B1596)</f>
        <v/>
      </c>
      <c r="C1596" s="31" t="str">
        <f>IF(Table!C1596 = "","",Table!C1596)</f>
        <v/>
      </c>
      <c r="D1596" s="32" t="str">
        <f>IF(Table!D1596 = "","",Table!D1596)</f>
        <v/>
      </c>
      <c r="E1596" s="32" t="str">
        <f>IF(Table!E1596 = "","",Table!E1596)</f>
        <v/>
      </c>
      <c r="F1596" s="32" t="str">
        <f>IF(Table!F1596 = "","",Table!F1596)</f>
        <v/>
      </c>
      <c r="G1596" s="91"/>
      <c r="K1596" s="31" t="str">
        <f>IFERROR(VLOOKUP(A1596,Table!$I$4:$O$3000,1,TRUE),"")</f>
        <v/>
      </c>
      <c r="L1596" s="31" t="str">
        <f>IFERROR(INDEX(Table!I:O,MATCH(K1596,Table!I:I,0),2),"")</f>
        <v/>
      </c>
      <c r="M1596" s="31" t="str">
        <f>IFERROR(INDEX(Table!I:O,MATCH(K1596,Table!I:I,0),3),"")</f>
        <v/>
      </c>
      <c r="N1596" s="32" t="str">
        <f>IFERROR(INDEX(Table!I:O,MATCH(K1596,Table!I:I,0),4),"")</f>
        <v/>
      </c>
      <c r="O1596" s="32" t="str">
        <f>IFERROR(INDEX(Table!I:O,MATCH(K1596,Table!I:I,0),5),"")</f>
        <v/>
      </c>
      <c r="P1596" s="32" t="str">
        <f>IFERROR(INDEX(Table!I:O,MATCH(K1596,Table!I:I,0),6),"")</f>
        <v/>
      </c>
      <c r="Q1596" s="89" t="str">
        <f t="shared" si="72"/>
        <v/>
      </c>
      <c r="R1596" s="89" t="str">
        <f t="shared" si="73"/>
        <v/>
      </c>
      <c r="S1596" s="82"/>
      <c r="U1596" s="37" t="e">
        <f t="shared" si="74"/>
        <v>#VALUE!</v>
      </c>
    </row>
    <row r="1597" spans="1:21" x14ac:dyDescent="0.25">
      <c r="A1597" s="31" t="str">
        <f>IF(Table!A1597 = "","",Table!A1597)</f>
        <v/>
      </c>
      <c r="B1597" s="31" t="str">
        <f>IF(Table!B1597 = "","",Table!B1597)</f>
        <v/>
      </c>
      <c r="C1597" s="31" t="str">
        <f>IF(Table!C1597 = "","",Table!C1597)</f>
        <v/>
      </c>
      <c r="D1597" s="32" t="str">
        <f>IF(Table!D1597 = "","",Table!D1597)</f>
        <v/>
      </c>
      <c r="E1597" s="32" t="str">
        <f>IF(Table!E1597 = "","",Table!E1597)</f>
        <v/>
      </c>
      <c r="F1597" s="32" t="str">
        <f>IF(Table!F1597 = "","",Table!F1597)</f>
        <v/>
      </c>
      <c r="G1597" s="91"/>
      <c r="K1597" s="31" t="str">
        <f>IFERROR(VLOOKUP(A1597,Table!$I$4:$O$3000,1,TRUE),"")</f>
        <v/>
      </c>
      <c r="L1597" s="31" t="str">
        <f>IFERROR(INDEX(Table!I:O,MATCH(K1597,Table!I:I,0),2),"")</f>
        <v/>
      </c>
      <c r="M1597" s="31" t="str">
        <f>IFERROR(INDEX(Table!I:O,MATCH(K1597,Table!I:I,0),3),"")</f>
        <v/>
      </c>
      <c r="N1597" s="32" t="str">
        <f>IFERROR(INDEX(Table!I:O,MATCH(K1597,Table!I:I,0),4),"")</f>
        <v/>
      </c>
      <c r="O1597" s="32" t="str">
        <f>IFERROR(INDEX(Table!I:O,MATCH(K1597,Table!I:I,0),5),"")</f>
        <v/>
      </c>
      <c r="P1597" s="32" t="str">
        <f>IFERROR(INDEX(Table!I:O,MATCH(K1597,Table!I:I,0),6),"")</f>
        <v/>
      </c>
      <c r="Q1597" s="89" t="str">
        <f t="shared" si="72"/>
        <v/>
      </c>
      <c r="R1597" s="89" t="str">
        <f t="shared" si="73"/>
        <v/>
      </c>
      <c r="S1597" s="82"/>
      <c r="U1597" s="37" t="e">
        <f t="shared" si="74"/>
        <v>#VALUE!</v>
      </c>
    </row>
    <row r="1598" spans="1:21" x14ac:dyDescent="0.25">
      <c r="A1598" s="31" t="str">
        <f>IF(Table!A1598 = "","",Table!A1598)</f>
        <v/>
      </c>
      <c r="B1598" s="31" t="str">
        <f>IF(Table!B1598 = "","",Table!B1598)</f>
        <v/>
      </c>
      <c r="C1598" s="31" t="str">
        <f>IF(Table!C1598 = "","",Table!C1598)</f>
        <v/>
      </c>
      <c r="D1598" s="32" t="str">
        <f>IF(Table!D1598 = "","",Table!D1598)</f>
        <v/>
      </c>
      <c r="E1598" s="32" t="str">
        <f>IF(Table!E1598 = "","",Table!E1598)</f>
        <v/>
      </c>
      <c r="F1598" s="32" t="str">
        <f>IF(Table!F1598 = "","",Table!F1598)</f>
        <v/>
      </c>
      <c r="G1598" s="91"/>
      <c r="K1598" s="31" t="str">
        <f>IFERROR(VLOOKUP(A1598,Table!$I$4:$O$3000,1,TRUE),"")</f>
        <v/>
      </c>
      <c r="L1598" s="31" t="str">
        <f>IFERROR(INDEX(Table!I:O,MATCH(K1598,Table!I:I,0),2),"")</f>
        <v/>
      </c>
      <c r="M1598" s="31" t="str">
        <f>IFERROR(INDEX(Table!I:O,MATCH(K1598,Table!I:I,0),3),"")</f>
        <v/>
      </c>
      <c r="N1598" s="32" t="str">
        <f>IFERROR(INDEX(Table!I:O,MATCH(K1598,Table!I:I,0),4),"")</f>
        <v/>
      </c>
      <c r="O1598" s="32" t="str">
        <f>IFERROR(INDEX(Table!I:O,MATCH(K1598,Table!I:I,0),5),"")</f>
        <v/>
      </c>
      <c r="P1598" s="32" t="str">
        <f>IFERROR(INDEX(Table!I:O,MATCH(K1598,Table!I:I,0),6),"")</f>
        <v/>
      </c>
      <c r="Q1598" s="89" t="str">
        <f t="shared" si="72"/>
        <v/>
      </c>
      <c r="R1598" s="89" t="str">
        <f t="shared" si="73"/>
        <v/>
      </c>
      <c r="S1598" s="82"/>
      <c r="U1598" s="37" t="e">
        <f t="shared" si="74"/>
        <v>#VALUE!</v>
      </c>
    </row>
    <row r="1599" spans="1:21" x14ac:dyDescent="0.25">
      <c r="A1599" s="31" t="str">
        <f>IF(Table!A1599 = "","",Table!A1599)</f>
        <v/>
      </c>
      <c r="B1599" s="31" t="str">
        <f>IF(Table!B1599 = "","",Table!B1599)</f>
        <v/>
      </c>
      <c r="C1599" s="31" t="str">
        <f>IF(Table!C1599 = "","",Table!C1599)</f>
        <v/>
      </c>
      <c r="D1599" s="32" t="str">
        <f>IF(Table!D1599 = "","",Table!D1599)</f>
        <v/>
      </c>
      <c r="E1599" s="32" t="str">
        <f>IF(Table!E1599 = "","",Table!E1599)</f>
        <v/>
      </c>
      <c r="F1599" s="32" t="str">
        <f>IF(Table!F1599 = "","",Table!F1599)</f>
        <v/>
      </c>
      <c r="G1599" s="91"/>
      <c r="K1599" s="31" t="str">
        <f>IFERROR(VLOOKUP(A1599,Table!$I$4:$O$3000,1,TRUE),"")</f>
        <v/>
      </c>
      <c r="L1599" s="31" t="str">
        <f>IFERROR(INDEX(Table!I:O,MATCH(K1599,Table!I:I,0),2),"")</f>
        <v/>
      </c>
      <c r="M1599" s="31" t="str">
        <f>IFERROR(INDEX(Table!I:O,MATCH(K1599,Table!I:I,0),3),"")</f>
        <v/>
      </c>
      <c r="N1599" s="32" t="str">
        <f>IFERROR(INDEX(Table!I:O,MATCH(K1599,Table!I:I,0),4),"")</f>
        <v/>
      </c>
      <c r="O1599" s="32" t="str">
        <f>IFERROR(INDEX(Table!I:O,MATCH(K1599,Table!I:I,0),5),"")</f>
        <v/>
      </c>
      <c r="P1599" s="32" t="str">
        <f>IFERROR(INDEX(Table!I:O,MATCH(K1599,Table!I:I,0),6),"")</f>
        <v/>
      </c>
      <c r="Q1599" s="89" t="str">
        <f t="shared" si="72"/>
        <v/>
      </c>
      <c r="R1599" s="89" t="str">
        <f t="shared" si="73"/>
        <v/>
      </c>
      <c r="S1599" s="82"/>
      <c r="U1599" s="37" t="e">
        <f t="shared" si="74"/>
        <v>#VALUE!</v>
      </c>
    </row>
    <row r="1600" spans="1:21" x14ac:dyDescent="0.25">
      <c r="A1600" s="31" t="str">
        <f>IF(Table!A1600 = "","",Table!A1600)</f>
        <v/>
      </c>
      <c r="B1600" s="31" t="str">
        <f>IF(Table!B1600 = "","",Table!B1600)</f>
        <v/>
      </c>
      <c r="C1600" s="31" t="str">
        <f>IF(Table!C1600 = "","",Table!C1600)</f>
        <v/>
      </c>
      <c r="D1600" s="32" t="str">
        <f>IF(Table!D1600 = "","",Table!D1600)</f>
        <v/>
      </c>
      <c r="E1600" s="32" t="str">
        <f>IF(Table!E1600 = "","",Table!E1600)</f>
        <v/>
      </c>
      <c r="F1600" s="32" t="str">
        <f>IF(Table!F1600 = "","",Table!F1600)</f>
        <v/>
      </c>
      <c r="G1600" s="91"/>
      <c r="K1600" s="31" t="str">
        <f>IFERROR(VLOOKUP(A1600,Table!$I$4:$O$3000,1,TRUE),"")</f>
        <v/>
      </c>
      <c r="L1600" s="31" t="str">
        <f>IFERROR(INDEX(Table!I:O,MATCH(K1600,Table!I:I,0),2),"")</f>
        <v/>
      </c>
      <c r="M1600" s="31" t="str">
        <f>IFERROR(INDEX(Table!I:O,MATCH(K1600,Table!I:I,0),3),"")</f>
        <v/>
      </c>
      <c r="N1600" s="32" t="str">
        <f>IFERROR(INDEX(Table!I:O,MATCH(K1600,Table!I:I,0),4),"")</f>
        <v/>
      </c>
      <c r="O1600" s="32" t="str">
        <f>IFERROR(INDEX(Table!I:O,MATCH(K1600,Table!I:I,0),5),"")</f>
        <v/>
      </c>
      <c r="P1600" s="32" t="str">
        <f>IFERROR(INDEX(Table!I:O,MATCH(K1600,Table!I:I,0),6),"")</f>
        <v/>
      </c>
      <c r="Q1600" s="89" t="str">
        <f t="shared" si="72"/>
        <v/>
      </c>
      <c r="R1600" s="89" t="str">
        <f t="shared" si="73"/>
        <v/>
      </c>
      <c r="S1600" s="82"/>
      <c r="U1600" s="37" t="e">
        <f t="shared" si="74"/>
        <v>#VALUE!</v>
      </c>
    </row>
    <row r="1601" spans="1:21" x14ac:dyDescent="0.25">
      <c r="A1601" s="31" t="str">
        <f>IF(Table!A1601 = "","",Table!A1601)</f>
        <v/>
      </c>
      <c r="B1601" s="31" t="str">
        <f>IF(Table!B1601 = "","",Table!B1601)</f>
        <v/>
      </c>
      <c r="C1601" s="31" t="str">
        <f>IF(Table!C1601 = "","",Table!C1601)</f>
        <v/>
      </c>
      <c r="D1601" s="32" t="str">
        <f>IF(Table!D1601 = "","",Table!D1601)</f>
        <v/>
      </c>
      <c r="E1601" s="32" t="str">
        <f>IF(Table!E1601 = "","",Table!E1601)</f>
        <v/>
      </c>
      <c r="F1601" s="32" t="str">
        <f>IF(Table!F1601 = "","",Table!F1601)</f>
        <v/>
      </c>
      <c r="G1601" s="91"/>
      <c r="K1601" s="31" t="str">
        <f>IFERROR(VLOOKUP(A1601,Table!$I$4:$O$3000,1,TRUE),"")</f>
        <v/>
      </c>
      <c r="L1601" s="31" t="str">
        <f>IFERROR(INDEX(Table!I:O,MATCH(K1601,Table!I:I,0),2),"")</f>
        <v/>
      </c>
      <c r="M1601" s="31" t="str">
        <f>IFERROR(INDEX(Table!I:O,MATCH(K1601,Table!I:I,0),3),"")</f>
        <v/>
      </c>
      <c r="N1601" s="32" t="str">
        <f>IFERROR(INDEX(Table!I:O,MATCH(K1601,Table!I:I,0),4),"")</f>
        <v/>
      </c>
      <c r="O1601" s="32" t="str">
        <f>IFERROR(INDEX(Table!I:O,MATCH(K1601,Table!I:I,0),5),"")</f>
        <v/>
      </c>
      <c r="P1601" s="32" t="str">
        <f>IFERROR(INDEX(Table!I:O,MATCH(K1601,Table!I:I,0),6),"")</f>
        <v/>
      </c>
      <c r="Q1601" s="89" t="str">
        <f t="shared" si="72"/>
        <v/>
      </c>
      <c r="R1601" s="89" t="str">
        <f t="shared" si="73"/>
        <v/>
      </c>
      <c r="S1601" s="82"/>
      <c r="U1601" s="37" t="e">
        <f t="shared" si="74"/>
        <v>#VALUE!</v>
      </c>
    </row>
    <row r="1602" spans="1:21" x14ac:dyDescent="0.25">
      <c r="A1602" s="31" t="str">
        <f>IF(Table!A1602 = "","",Table!A1602)</f>
        <v/>
      </c>
      <c r="B1602" s="31" t="str">
        <f>IF(Table!B1602 = "","",Table!B1602)</f>
        <v/>
      </c>
      <c r="C1602" s="31" t="str">
        <f>IF(Table!C1602 = "","",Table!C1602)</f>
        <v/>
      </c>
      <c r="D1602" s="32" t="str">
        <f>IF(Table!D1602 = "","",Table!D1602)</f>
        <v/>
      </c>
      <c r="E1602" s="32" t="str">
        <f>IF(Table!E1602 = "","",Table!E1602)</f>
        <v/>
      </c>
      <c r="F1602" s="32" t="str">
        <f>IF(Table!F1602 = "","",Table!F1602)</f>
        <v/>
      </c>
      <c r="G1602" s="91"/>
      <c r="K1602" s="31" t="str">
        <f>IFERROR(VLOOKUP(A1602,Table!$I$4:$O$3000,1,TRUE),"")</f>
        <v/>
      </c>
      <c r="L1602" s="31" t="str">
        <f>IFERROR(INDEX(Table!I:O,MATCH(K1602,Table!I:I,0),2),"")</f>
        <v/>
      </c>
      <c r="M1602" s="31" t="str">
        <f>IFERROR(INDEX(Table!I:O,MATCH(K1602,Table!I:I,0),3),"")</f>
        <v/>
      </c>
      <c r="N1602" s="32" t="str">
        <f>IFERROR(INDEX(Table!I:O,MATCH(K1602,Table!I:I,0),4),"")</f>
        <v/>
      </c>
      <c r="O1602" s="32" t="str">
        <f>IFERROR(INDEX(Table!I:O,MATCH(K1602,Table!I:I,0),5),"")</f>
        <v/>
      </c>
      <c r="P1602" s="32" t="str">
        <f>IFERROR(INDEX(Table!I:O,MATCH(K1602,Table!I:I,0),6),"")</f>
        <v/>
      </c>
      <c r="Q1602" s="89" t="str">
        <f t="shared" si="72"/>
        <v/>
      </c>
      <c r="R1602" s="89" t="str">
        <f t="shared" si="73"/>
        <v/>
      </c>
      <c r="S1602" s="82"/>
      <c r="U1602" s="37" t="e">
        <f t="shared" si="74"/>
        <v>#VALUE!</v>
      </c>
    </row>
    <row r="1603" spans="1:21" x14ac:dyDescent="0.25">
      <c r="A1603" s="31" t="str">
        <f>IF(Table!A1603 = "","",Table!A1603)</f>
        <v/>
      </c>
      <c r="B1603" s="31" t="str">
        <f>IF(Table!B1603 = "","",Table!B1603)</f>
        <v/>
      </c>
      <c r="C1603" s="31" t="str">
        <f>IF(Table!C1603 = "","",Table!C1603)</f>
        <v/>
      </c>
      <c r="D1603" s="32" t="str">
        <f>IF(Table!D1603 = "","",Table!D1603)</f>
        <v/>
      </c>
      <c r="E1603" s="32" t="str">
        <f>IF(Table!E1603 = "","",Table!E1603)</f>
        <v/>
      </c>
      <c r="F1603" s="32" t="str">
        <f>IF(Table!F1603 = "","",Table!F1603)</f>
        <v/>
      </c>
      <c r="G1603" s="91"/>
      <c r="K1603" s="31" t="str">
        <f>IFERROR(VLOOKUP(A1603,Table!$I$4:$O$3000,1,TRUE),"")</f>
        <v/>
      </c>
      <c r="L1603" s="31" t="str">
        <f>IFERROR(INDEX(Table!I:O,MATCH(K1603,Table!I:I,0),2),"")</f>
        <v/>
      </c>
      <c r="M1603" s="31" t="str">
        <f>IFERROR(INDEX(Table!I:O,MATCH(K1603,Table!I:I,0),3),"")</f>
        <v/>
      </c>
      <c r="N1603" s="32" t="str">
        <f>IFERROR(INDEX(Table!I:O,MATCH(K1603,Table!I:I,0),4),"")</f>
        <v/>
      </c>
      <c r="O1603" s="32" t="str">
        <f>IFERROR(INDEX(Table!I:O,MATCH(K1603,Table!I:I,0),5),"")</f>
        <v/>
      </c>
      <c r="P1603" s="32" t="str">
        <f>IFERROR(INDEX(Table!I:O,MATCH(K1603,Table!I:I,0),6),"")</f>
        <v/>
      </c>
      <c r="Q1603" s="89" t="str">
        <f t="shared" si="72"/>
        <v/>
      </c>
      <c r="R1603" s="89" t="str">
        <f t="shared" si="73"/>
        <v/>
      </c>
      <c r="S1603" s="82"/>
      <c r="U1603" s="37" t="e">
        <f t="shared" si="74"/>
        <v>#VALUE!</v>
      </c>
    </row>
    <row r="1604" spans="1:21" x14ac:dyDescent="0.25">
      <c r="A1604" s="31" t="str">
        <f>IF(Table!A1604 = "","",Table!A1604)</f>
        <v/>
      </c>
      <c r="B1604" s="31" t="str">
        <f>IF(Table!B1604 = "","",Table!B1604)</f>
        <v/>
      </c>
      <c r="C1604" s="31" t="str">
        <f>IF(Table!C1604 = "","",Table!C1604)</f>
        <v/>
      </c>
      <c r="D1604" s="32" t="str">
        <f>IF(Table!D1604 = "","",Table!D1604)</f>
        <v/>
      </c>
      <c r="E1604" s="32" t="str">
        <f>IF(Table!E1604 = "","",Table!E1604)</f>
        <v/>
      </c>
      <c r="F1604" s="32" t="str">
        <f>IF(Table!F1604 = "","",Table!F1604)</f>
        <v/>
      </c>
      <c r="G1604" s="91"/>
      <c r="K1604" s="31" t="str">
        <f>IFERROR(VLOOKUP(A1604,Table!$I$4:$O$3000,1,TRUE),"")</f>
        <v/>
      </c>
      <c r="L1604" s="31" t="str">
        <f>IFERROR(INDEX(Table!I:O,MATCH(K1604,Table!I:I,0),2),"")</f>
        <v/>
      </c>
      <c r="M1604" s="31" t="str">
        <f>IFERROR(INDEX(Table!I:O,MATCH(K1604,Table!I:I,0),3),"")</f>
        <v/>
      </c>
      <c r="N1604" s="32" t="str">
        <f>IFERROR(INDEX(Table!I:O,MATCH(K1604,Table!I:I,0),4),"")</f>
        <v/>
      </c>
      <c r="O1604" s="32" t="str">
        <f>IFERROR(INDEX(Table!I:O,MATCH(K1604,Table!I:I,0),5),"")</f>
        <v/>
      </c>
      <c r="P1604" s="32" t="str">
        <f>IFERROR(INDEX(Table!I:O,MATCH(K1604,Table!I:I,0),6),"")</f>
        <v/>
      </c>
      <c r="Q1604" s="89" t="str">
        <f t="shared" si="72"/>
        <v/>
      </c>
      <c r="R1604" s="89" t="str">
        <f t="shared" si="73"/>
        <v/>
      </c>
      <c r="S1604" s="82"/>
      <c r="U1604" s="37" t="e">
        <f t="shared" si="74"/>
        <v>#VALUE!</v>
      </c>
    </row>
    <row r="1605" spans="1:21" x14ac:dyDescent="0.25">
      <c r="A1605" s="31" t="str">
        <f>IF(Table!A1605 = "","",Table!A1605)</f>
        <v/>
      </c>
      <c r="B1605" s="31" t="str">
        <f>IF(Table!B1605 = "","",Table!B1605)</f>
        <v/>
      </c>
      <c r="C1605" s="31" t="str">
        <f>IF(Table!C1605 = "","",Table!C1605)</f>
        <v/>
      </c>
      <c r="D1605" s="32" t="str">
        <f>IF(Table!D1605 = "","",Table!D1605)</f>
        <v/>
      </c>
      <c r="E1605" s="32" t="str">
        <f>IF(Table!E1605 = "","",Table!E1605)</f>
        <v/>
      </c>
      <c r="F1605" s="32" t="str">
        <f>IF(Table!F1605 = "","",Table!F1605)</f>
        <v/>
      </c>
      <c r="G1605" s="91"/>
      <c r="K1605" s="31" t="str">
        <f>IFERROR(VLOOKUP(A1605,Table!$I$4:$O$3000,1,TRUE),"")</f>
        <v/>
      </c>
      <c r="L1605" s="31" t="str">
        <f>IFERROR(INDEX(Table!I:O,MATCH(K1605,Table!I:I,0),2),"")</f>
        <v/>
      </c>
      <c r="M1605" s="31" t="str">
        <f>IFERROR(INDEX(Table!I:O,MATCH(K1605,Table!I:I,0),3),"")</f>
        <v/>
      </c>
      <c r="N1605" s="32" t="str">
        <f>IFERROR(INDEX(Table!I:O,MATCH(K1605,Table!I:I,0),4),"")</f>
        <v/>
      </c>
      <c r="O1605" s="32" t="str">
        <f>IFERROR(INDEX(Table!I:O,MATCH(K1605,Table!I:I,0),5),"")</f>
        <v/>
      </c>
      <c r="P1605" s="32" t="str">
        <f>IFERROR(INDEX(Table!I:O,MATCH(K1605,Table!I:I,0),6),"")</f>
        <v/>
      </c>
      <c r="Q1605" s="89" t="str">
        <f t="shared" si="72"/>
        <v/>
      </c>
      <c r="R1605" s="89" t="str">
        <f t="shared" si="73"/>
        <v/>
      </c>
      <c r="S1605" s="82"/>
      <c r="U1605" s="37" t="e">
        <f t="shared" si="74"/>
        <v>#VALUE!</v>
      </c>
    </row>
    <row r="1606" spans="1:21" x14ac:dyDescent="0.25">
      <c r="A1606" s="31" t="str">
        <f>IF(Table!A1606 = "","",Table!A1606)</f>
        <v/>
      </c>
      <c r="B1606" s="31" t="str">
        <f>IF(Table!B1606 = "","",Table!B1606)</f>
        <v/>
      </c>
      <c r="C1606" s="31" t="str">
        <f>IF(Table!C1606 = "","",Table!C1606)</f>
        <v/>
      </c>
      <c r="D1606" s="32" t="str">
        <f>IF(Table!D1606 = "","",Table!D1606)</f>
        <v/>
      </c>
      <c r="E1606" s="32" t="str">
        <f>IF(Table!E1606 = "","",Table!E1606)</f>
        <v/>
      </c>
      <c r="F1606" s="32" t="str">
        <f>IF(Table!F1606 = "","",Table!F1606)</f>
        <v/>
      </c>
      <c r="G1606" s="91"/>
      <c r="K1606" s="31" t="str">
        <f>IFERROR(VLOOKUP(A1606,Table!$I$4:$O$3000,1,TRUE),"")</f>
        <v/>
      </c>
      <c r="L1606" s="31" t="str">
        <f>IFERROR(INDEX(Table!I:O,MATCH(K1606,Table!I:I,0),2),"")</f>
        <v/>
      </c>
      <c r="M1606" s="31" t="str">
        <f>IFERROR(INDEX(Table!I:O,MATCH(K1606,Table!I:I,0),3),"")</f>
        <v/>
      </c>
      <c r="N1606" s="32" t="str">
        <f>IFERROR(INDEX(Table!I:O,MATCH(K1606,Table!I:I,0),4),"")</f>
        <v/>
      </c>
      <c r="O1606" s="32" t="str">
        <f>IFERROR(INDEX(Table!I:O,MATCH(K1606,Table!I:I,0),5),"")</f>
        <v/>
      </c>
      <c r="P1606" s="32" t="str">
        <f>IFERROR(INDEX(Table!I:O,MATCH(K1606,Table!I:I,0),6),"")</f>
        <v/>
      </c>
      <c r="Q1606" s="89" t="str">
        <f t="shared" ref="Q1606:Q1669" si="75">IFERROR(L1606-B1606,"")</f>
        <v/>
      </c>
      <c r="R1606" s="89" t="str">
        <f t="shared" ref="R1606:R1669" si="76">IFERROR(M1606-C1606,"")</f>
        <v/>
      </c>
      <c r="S1606" s="82"/>
      <c r="U1606" s="37" t="e">
        <f t="shared" ref="U1606:U1669" si="77">K1606-K1605</f>
        <v>#VALUE!</v>
      </c>
    </row>
    <row r="1607" spans="1:21" x14ac:dyDescent="0.25">
      <c r="A1607" s="31" t="str">
        <f>IF(Table!A1607 = "","",Table!A1607)</f>
        <v/>
      </c>
      <c r="B1607" s="31" t="str">
        <f>IF(Table!B1607 = "","",Table!B1607)</f>
        <v/>
      </c>
      <c r="C1607" s="31" t="str">
        <f>IF(Table!C1607 = "","",Table!C1607)</f>
        <v/>
      </c>
      <c r="D1607" s="32" t="str">
        <f>IF(Table!D1607 = "","",Table!D1607)</f>
        <v/>
      </c>
      <c r="E1607" s="32" t="str">
        <f>IF(Table!E1607 = "","",Table!E1607)</f>
        <v/>
      </c>
      <c r="F1607" s="32" t="str">
        <f>IF(Table!F1607 = "","",Table!F1607)</f>
        <v/>
      </c>
      <c r="G1607" s="91"/>
      <c r="K1607" s="31" t="str">
        <f>IFERROR(VLOOKUP(A1607,Table!$I$4:$O$3000,1,TRUE),"")</f>
        <v/>
      </c>
      <c r="L1607" s="31" t="str">
        <f>IFERROR(INDEX(Table!I:O,MATCH(K1607,Table!I:I,0),2),"")</f>
        <v/>
      </c>
      <c r="M1607" s="31" t="str">
        <f>IFERROR(INDEX(Table!I:O,MATCH(K1607,Table!I:I,0),3),"")</f>
        <v/>
      </c>
      <c r="N1607" s="32" t="str">
        <f>IFERROR(INDEX(Table!I:O,MATCH(K1607,Table!I:I,0),4),"")</f>
        <v/>
      </c>
      <c r="O1607" s="32" t="str">
        <f>IFERROR(INDEX(Table!I:O,MATCH(K1607,Table!I:I,0),5),"")</f>
        <v/>
      </c>
      <c r="P1607" s="32" t="str">
        <f>IFERROR(INDEX(Table!I:O,MATCH(K1607,Table!I:I,0),6),"")</f>
        <v/>
      </c>
      <c r="Q1607" s="89" t="str">
        <f t="shared" si="75"/>
        <v/>
      </c>
      <c r="R1607" s="89" t="str">
        <f t="shared" si="76"/>
        <v/>
      </c>
      <c r="S1607" s="82"/>
      <c r="U1607" s="37" t="e">
        <f t="shared" si="77"/>
        <v>#VALUE!</v>
      </c>
    </row>
    <row r="1608" spans="1:21" x14ac:dyDescent="0.25">
      <c r="A1608" s="31" t="str">
        <f>IF(Table!A1608 = "","",Table!A1608)</f>
        <v/>
      </c>
      <c r="B1608" s="31" t="str">
        <f>IF(Table!B1608 = "","",Table!B1608)</f>
        <v/>
      </c>
      <c r="C1608" s="31" t="str">
        <f>IF(Table!C1608 = "","",Table!C1608)</f>
        <v/>
      </c>
      <c r="D1608" s="32" t="str">
        <f>IF(Table!D1608 = "","",Table!D1608)</f>
        <v/>
      </c>
      <c r="E1608" s="32" t="str">
        <f>IF(Table!E1608 = "","",Table!E1608)</f>
        <v/>
      </c>
      <c r="F1608" s="32" t="str">
        <f>IF(Table!F1608 = "","",Table!F1608)</f>
        <v/>
      </c>
      <c r="G1608" s="91"/>
      <c r="K1608" s="31" t="str">
        <f>IFERROR(VLOOKUP(A1608,Table!$I$4:$O$3000,1,TRUE),"")</f>
        <v/>
      </c>
      <c r="L1608" s="31" t="str">
        <f>IFERROR(INDEX(Table!I:O,MATCH(K1608,Table!I:I,0),2),"")</f>
        <v/>
      </c>
      <c r="M1608" s="31" t="str">
        <f>IFERROR(INDEX(Table!I:O,MATCH(K1608,Table!I:I,0),3),"")</f>
        <v/>
      </c>
      <c r="N1608" s="32" t="str">
        <f>IFERROR(INDEX(Table!I:O,MATCH(K1608,Table!I:I,0),4),"")</f>
        <v/>
      </c>
      <c r="O1608" s="32" t="str">
        <f>IFERROR(INDEX(Table!I:O,MATCH(K1608,Table!I:I,0),5),"")</f>
        <v/>
      </c>
      <c r="P1608" s="32" t="str">
        <f>IFERROR(INDEX(Table!I:O,MATCH(K1608,Table!I:I,0),6),"")</f>
        <v/>
      </c>
      <c r="Q1608" s="89" t="str">
        <f t="shared" si="75"/>
        <v/>
      </c>
      <c r="R1608" s="89" t="str">
        <f t="shared" si="76"/>
        <v/>
      </c>
      <c r="S1608" s="82"/>
      <c r="U1608" s="37" t="e">
        <f t="shared" si="77"/>
        <v>#VALUE!</v>
      </c>
    </row>
    <row r="1609" spans="1:21" x14ac:dyDescent="0.25">
      <c r="A1609" s="31" t="str">
        <f>IF(Table!A1609 = "","",Table!A1609)</f>
        <v/>
      </c>
      <c r="B1609" s="31" t="str">
        <f>IF(Table!B1609 = "","",Table!B1609)</f>
        <v/>
      </c>
      <c r="C1609" s="31" t="str">
        <f>IF(Table!C1609 = "","",Table!C1609)</f>
        <v/>
      </c>
      <c r="D1609" s="32" t="str">
        <f>IF(Table!D1609 = "","",Table!D1609)</f>
        <v/>
      </c>
      <c r="E1609" s="32" t="str">
        <f>IF(Table!E1609 = "","",Table!E1609)</f>
        <v/>
      </c>
      <c r="F1609" s="32" t="str">
        <f>IF(Table!F1609 = "","",Table!F1609)</f>
        <v/>
      </c>
      <c r="G1609" s="91"/>
      <c r="K1609" s="31" t="str">
        <f>IFERROR(VLOOKUP(A1609,Table!$I$4:$O$3000,1,TRUE),"")</f>
        <v/>
      </c>
      <c r="L1609" s="31" t="str">
        <f>IFERROR(INDEX(Table!I:O,MATCH(K1609,Table!I:I,0),2),"")</f>
        <v/>
      </c>
      <c r="M1609" s="31" t="str">
        <f>IFERROR(INDEX(Table!I:O,MATCH(K1609,Table!I:I,0),3),"")</f>
        <v/>
      </c>
      <c r="N1609" s="32" t="str">
        <f>IFERROR(INDEX(Table!I:O,MATCH(K1609,Table!I:I,0),4),"")</f>
        <v/>
      </c>
      <c r="O1609" s="32" t="str">
        <f>IFERROR(INDEX(Table!I:O,MATCH(K1609,Table!I:I,0),5),"")</f>
        <v/>
      </c>
      <c r="P1609" s="32" t="str">
        <f>IFERROR(INDEX(Table!I:O,MATCH(K1609,Table!I:I,0),6),"")</f>
        <v/>
      </c>
      <c r="Q1609" s="89" t="str">
        <f t="shared" si="75"/>
        <v/>
      </c>
      <c r="R1609" s="89" t="str">
        <f t="shared" si="76"/>
        <v/>
      </c>
      <c r="S1609" s="82"/>
      <c r="U1609" s="37" t="e">
        <f t="shared" si="77"/>
        <v>#VALUE!</v>
      </c>
    </row>
    <row r="1610" spans="1:21" x14ac:dyDescent="0.25">
      <c r="A1610" s="31" t="str">
        <f>IF(Table!A1610 = "","",Table!A1610)</f>
        <v/>
      </c>
      <c r="B1610" s="31" t="str">
        <f>IF(Table!B1610 = "","",Table!B1610)</f>
        <v/>
      </c>
      <c r="C1610" s="31" t="str">
        <f>IF(Table!C1610 = "","",Table!C1610)</f>
        <v/>
      </c>
      <c r="D1610" s="32" t="str">
        <f>IF(Table!D1610 = "","",Table!D1610)</f>
        <v/>
      </c>
      <c r="E1610" s="32" t="str">
        <f>IF(Table!E1610 = "","",Table!E1610)</f>
        <v/>
      </c>
      <c r="F1610" s="32" t="str">
        <f>IF(Table!F1610 = "","",Table!F1610)</f>
        <v/>
      </c>
      <c r="G1610" s="91"/>
      <c r="K1610" s="31" t="str">
        <f>IFERROR(VLOOKUP(A1610,Table!$I$4:$O$3000,1,TRUE),"")</f>
        <v/>
      </c>
      <c r="L1610" s="31" t="str">
        <f>IFERROR(INDEX(Table!I:O,MATCH(K1610,Table!I:I,0),2),"")</f>
        <v/>
      </c>
      <c r="M1610" s="31" t="str">
        <f>IFERROR(INDEX(Table!I:O,MATCH(K1610,Table!I:I,0),3),"")</f>
        <v/>
      </c>
      <c r="N1610" s="32" t="str">
        <f>IFERROR(INDEX(Table!I:O,MATCH(K1610,Table!I:I,0),4),"")</f>
        <v/>
      </c>
      <c r="O1610" s="32" t="str">
        <f>IFERROR(INDEX(Table!I:O,MATCH(K1610,Table!I:I,0),5),"")</f>
        <v/>
      </c>
      <c r="P1610" s="32" t="str">
        <f>IFERROR(INDEX(Table!I:O,MATCH(K1610,Table!I:I,0),6),"")</f>
        <v/>
      </c>
      <c r="Q1610" s="89" t="str">
        <f t="shared" si="75"/>
        <v/>
      </c>
      <c r="R1610" s="89" t="str">
        <f t="shared" si="76"/>
        <v/>
      </c>
      <c r="S1610" s="82"/>
      <c r="U1610" s="37" t="e">
        <f t="shared" si="77"/>
        <v>#VALUE!</v>
      </c>
    </row>
    <row r="1611" spans="1:21" x14ac:dyDescent="0.25">
      <c r="A1611" s="31" t="str">
        <f>IF(Table!A1611 = "","",Table!A1611)</f>
        <v/>
      </c>
      <c r="B1611" s="31" t="str">
        <f>IF(Table!B1611 = "","",Table!B1611)</f>
        <v/>
      </c>
      <c r="C1611" s="31" t="str">
        <f>IF(Table!C1611 = "","",Table!C1611)</f>
        <v/>
      </c>
      <c r="D1611" s="32" t="str">
        <f>IF(Table!D1611 = "","",Table!D1611)</f>
        <v/>
      </c>
      <c r="E1611" s="32" t="str">
        <f>IF(Table!E1611 = "","",Table!E1611)</f>
        <v/>
      </c>
      <c r="F1611" s="32" t="str">
        <f>IF(Table!F1611 = "","",Table!F1611)</f>
        <v/>
      </c>
      <c r="G1611" s="91"/>
      <c r="K1611" s="31" t="str">
        <f>IFERROR(VLOOKUP(A1611,Table!$I$4:$O$3000,1,TRUE),"")</f>
        <v/>
      </c>
      <c r="L1611" s="31" t="str">
        <f>IFERROR(INDEX(Table!I:O,MATCH(K1611,Table!I:I,0),2),"")</f>
        <v/>
      </c>
      <c r="M1611" s="31" t="str">
        <f>IFERROR(INDEX(Table!I:O,MATCH(K1611,Table!I:I,0),3),"")</f>
        <v/>
      </c>
      <c r="N1611" s="32" t="str">
        <f>IFERROR(INDEX(Table!I:O,MATCH(K1611,Table!I:I,0),4),"")</f>
        <v/>
      </c>
      <c r="O1611" s="32" t="str">
        <f>IFERROR(INDEX(Table!I:O,MATCH(K1611,Table!I:I,0),5),"")</f>
        <v/>
      </c>
      <c r="P1611" s="32" t="str">
        <f>IFERROR(INDEX(Table!I:O,MATCH(K1611,Table!I:I,0),6),"")</f>
        <v/>
      </c>
      <c r="Q1611" s="89" t="str">
        <f t="shared" si="75"/>
        <v/>
      </c>
      <c r="R1611" s="89" t="str">
        <f t="shared" si="76"/>
        <v/>
      </c>
      <c r="S1611" s="82"/>
      <c r="U1611" s="37" t="e">
        <f t="shared" si="77"/>
        <v>#VALUE!</v>
      </c>
    </row>
    <row r="1612" spans="1:21" x14ac:dyDescent="0.25">
      <c r="A1612" s="31" t="str">
        <f>IF(Table!A1612 = "","",Table!A1612)</f>
        <v/>
      </c>
      <c r="B1612" s="31" t="str">
        <f>IF(Table!B1612 = "","",Table!B1612)</f>
        <v/>
      </c>
      <c r="C1612" s="31" t="str">
        <f>IF(Table!C1612 = "","",Table!C1612)</f>
        <v/>
      </c>
      <c r="D1612" s="32" t="str">
        <f>IF(Table!D1612 = "","",Table!D1612)</f>
        <v/>
      </c>
      <c r="E1612" s="32" t="str">
        <f>IF(Table!E1612 = "","",Table!E1612)</f>
        <v/>
      </c>
      <c r="F1612" s="32" t="str">
        <f>IF(Table!F1612 = "","",Table!F1612)</f>
        <v/>
      </c>
      <c r="G1612" s="91"/>
      <c r="K1612" s="31" t="str">
        <f>IFERROR(VLOOKUP(A1612,Table!$I$4:$O$3000,1,TRUE),"")</f>
        <v/>
      </c>
      <c r="L1612" s="31" t="str">
        <f>IFERROR(INDEX(Table!I:O,MATCH(K1612,Table!I:I,0),2),"")</f>
        <v/>
      </c>
      <c r="M1612" s="31" t="str">
        <f>IFERROR(INDEX(Table!I:O,MATCH(K1612,Table!I:I,0),3),"")</f>
        <v/>
      </c>
      <c r="N1612" s="32" t="str">
        <f>IFERROR(INDEX(Table!I:O,MATCH(K1612,Table!I:I,0),4),"")</f>
        <v/>
      </c>
      <c r="O1612" s="32" t="str">
        <f>IFERROR(INDEX(Table!I:O,MATCH(K1612,Table!I:I,0),5),"")</f>
        <v/>
      </c>
      <c r="P1612" s="32" t="str">
        <f>IFERROR(INDEX(Table!I:O,MATCH(K1612,Table!I:I,0),6),"")</f>
        <v/>
      </c>
      <c r="Q1612" s="89" t="str">
        <f t="shared" si="75"/>
        <v/>
      </c>
      <c r="R1612" s="89" t="str">
        <f t="shared" si="76"/>
        <v/>
      </c>
      <c r="S1612" s="82"/>
      <c r="U1612" s="37" t="e">
        <f t="shared" si="77"/>
        <v>#VALUE!</v>
      </c>
    </row>
    <row r="1613" spans="1:21" x14ac:dyDescent="0.25">
      <c r="A1613" s="31" t="str">
        <f>IF(Table!A1613 = "","",Table!A1613)</f>
        <v/>
      </c>
      <c r="B1613" s="31" t="str">
        <f>IF(Table!B1613 = "","",Table!B1613)</f>
        <v/>
      </c>
      <c r="C1613" s="31" t="str">
        <f>IF(Table!C1613 = "","",Table!C1613)</f>
        <v/>
      </c>
      <c r="D1613" s="32" t="str">
        <f>IF(Table!D1613 = "","",Table!D1613)</f>
        <v/>
      </c>
      <c r="E1613" s="32" t="str">
        <f>IF(Table!E1613 = "","",Table!E1613)</f>
        <v/>
      </c>
      <c r="F1613" s="32" t="str">
        <f>IF(Table!F1613 = "","",Table!F1613)</f>
        <v/>
      </c>
      <c r="G1613" s="91"/>
      <c r="K1613" s="31" t="str">
        <f>IFERROR(VLOOKUP(A1613,Table!$I$4:$O$3000,1,TRUE),"")</f>
        <v/>
      </c>
      <c r="L1613" s="31" t="str">
        <f>IFERROR(INDEX(Table!I:O,MATCH(K1613,Table!I:I,0),2),"")</f>
        <v/>
      </c>
      <c r="M1613" s="31" t="str">
        <f>IFERROR(INDEX(Table!I:O,MATCH(K1613,Table!I:I,0),3),"")</f>
        <v/>
      </c>
      <c r="N1613" s="32" t="str">
        <f>IFERROR(INDEX(Table!I:O,MATCH(K1613,Table!I:I,0),4),"")</f>
        <v/>
      </c>
      <c r="O1613" s="32" t="str">
        <f>IFERROR(INDEX(Table!I:O,MATCH(K1613,Table!I:I,0),5),"")</f>
        <v/>
      </c>
      <c r="P1613" s="32" t="str">
        <f>IFERROR(INDEX(Table!I:O,MATCH(K1613,Table!I:I,0),6),"")</f>
        <v/>
      </c>
      <c r="Q1613" s="89" t="str">
        <f t="shared" si="75"/>
        <v/>
      </c>
      <c r="R1613" s="89" t="str">
        <f t="shared" si="76"/>
        <v/>
      </c>
      <c r="S1613" s="82"/>
      <c r="U1613" s="37" t="e">
        <f t="shared" si="77"/>
        <v>#VALUE!</v>
      </c>
    </row>
    <row r="1614" spans="1:21" x14ac:dyDescent="0.25">
      <c r="A1614" s="31" t="str">
        <f>IF(Table!A1614 = "","",Table!A1614)</f>
        <v/>
      </c>
      <c r="B1614" s="31" t="str">
        <f>IF(Table!B1614 = "","",Table!B1614)</f>
        <v/>
      </c>
      <c r="C1614" s="31" t="str">
        <f>IF(Table!C1614 = "","",Table!C1614)</f>
        <v/>
      </c>
      <c r="D1614" s="32" t="str">
        <f>IF(Table!D1614 = "","",Table!D1614)</f>
        <v/>
      </c>
      <c r="E1614" s="32" t="str">
        <f>IF(Table!E1614 = "","",Table!E1614)</f>
        <v/>
      </c>
      <c r="F1614" s="32" t="str">
        <f>IF(Table!F1614 = "","",Table!F1614)</f>
        <v/>
      </c>
      <c r="G1614" s="91"/>
      <c r="K1614" s="31" t="str">
        <f>IFERROR(VLOOKUP(A1614,Table!$I$4:$O$3000,1,TRUE),"")</f>
        <v/>
      </c>
      <c r="L1614" s="31" t="str">
        <f>IFERROR(INDEX(Table!I:O,MATCH(K1614,Table!I:I,0),2),"")</f>
        <v/>
      </c>
      <c r="M1614" s="31" t="str">
        <f>IFERROR(INDEX(Table!I:O,MATCH(K1614,Table!I:I,0),3),"")</f>
        <v/>
      </c>
      <c r="N1614" s="32" t="str">
        <f>IFERROR(INDEX(Table!I:O,MATCH(K1614,Table!I:I,0),4),"")</f>
        <v/>
      </c>
      <c r="O1614" s="32" t="str">
        <f>IFERROR(INDEX(Table!I:O,MATCH(K1614,Table!I:I,0),5),"")</f>
        <v/>
      </c>
      <c r="P1614" s="32" t="str">
        <f>IFERROR(INDEX(Table!I:O,MATCH(K1614,Table!I:I,0),6),"")</f>
        <v/>
      </c>
      <c r="Q1614" s="89" t="str">
        <f t="shared" si="75"/>
        <v/>
      </c>
      <c r="R1614" s="89" t="str">
        <f t="shared" si="76"/>
        <v/>
      </c>
      <c r="S1614" s="82"/>
      <c r="U1614" s="37" t="e">
        <f t="shared" si="77"/>
        <v>#VALUE!</v>
      </c>
    </row>
    <row r="1615" spans="1:21" x14ac:dyDescent="0.25">
      <c r="A1615" s="31" t="str">
        <f>IF(Table!A1615 = "","",Table!A1615)</f>
        <v/>
      </c>
      <c r="B1615" s="31" t="str">
        <f>IF(Table!B1615 = "","",Table!B1615)</f>
        <v/>
      </c>
      <c r="C1615" s="31" t="str">
        <f>IF(Table!C1615 = "","",Table!C1615)</f>
        <v/>
      </c>
      <c r="D1615" s="32" t="str">
        <f>IF(Table!D1615 = "","",Table!D1615)</f>
        <v/>
      </c>
      <c r="E1615" s="32" t="str">
        <f>IF(Table!E1615 = "","",Table!E1615)</f>
        <v/>
      </c>
      <c r="F1615" s="32" t="str">
        <f>IF(Table!F1615 = "","",Table!F1615)</f>
        <v/>
      </c>
      <c r="G1615" s="91"/>
      <c r="K1615" s="31" t="str">
        <f>IFERROR(VLOOKUP(A1615,Table!$I$4:$O$3000,1,TRUE),"")</f>
        <v/>
      </c>
      <c r="L1615" s="31" t="str">
        <f>IFERROR(INDEX(Table!I:O,MATCH(K1615,Table!I:I,0),2),"")</f>
        <v/>
      </c>
      <c r="M1615" s="31" t="str">
        <f>IFERROR(INDEX(Table!I:O,MATCH(K1615,Table!I:I,0),3),"")</f>
        <v/>
      </c>
      <c r="N1615" s="32" t="str">
        <f>IFERROR(INDEX(Table!I:O,MATCH(K1615,Table!I:I,0),4),"")</f>
        <v/>
      </c>
      <c r="O1615" s="32" t="str">
        <f>IFERROR(INDEX(Table!I:O,MATCH(K1615,Table!I:I,0),5),"")</f>
        <v/>
      </c>
      <c r="P1615" s="32" t="str">
        <f>IFERROR(INDEX(Table!I:O,MATCH(K1615,Table!I:I,0),6),"")</f>
        <v/>
      </c>
      <c r="Q1615" s="89" t="str">
        <f t="shared" si="75"/>
        <v/>
      </c>
      <c r="R1615" s="89" t="str">
        <f t="shared" si="76"/>
        <v/>
      </c>
      <c r="S1615" s="82"/>
      <c r="U1615" s="37" t="e">
        <f t="shared" si="77"/>
        <v>#VALUE!</v>
      </c>
    </row>
    <row r="1616" spans="1:21" x14ac:dyDescent="0.25">
      <c r="A1616" s="31" t="str">
        <f>IF(Table!A1616 = "","",Table!A1616)</f>
        <v/>
      </c>
      <c r="B1616" s="31" t="str">
        <f>IF(Table!B1616 = "","",Table!B1616)</f>
        <v/>
      </c>
      <c r="C1616" s="31" t="str">
        <f>IF(Table!C1616 = "","",Table!C1616)</f>
        <v/>
      </c>
      <c r="D1616" s="32" t="str">
        <f>IF(Table!D1616 = "","",Table!D1616)</f>
        <v/>
      </c>
      <c r="E1616" s="32" t="str">
        <f>IF(Table!E1616 = "","",Table!E1616)</f>
        <v/>
      </c>
      <c r="F1616" s="32" t="str">
        <f>IF(Table!F1616 = "","",Table!F1616)</f>
        <v/>
      </c>
      <c r="G1616" s="91"/>
      <c r="K1616" s="31" t="str">
        <f>IFERROR(VLOOKUP(A1616,Table!$I$4:$O$3000,1,TRUE),"")</f>
        <v/>
      </c>
      <c r="L1616" s="31" t="str">
        <f>IFERROR(INDEX(Table!I:O,MATCH(K1616,Table!I:I,0),2),"")</f>
        <v/>
      </c>
      <c r="M1616" s="31" t="str">
        <f>IFERROR(INDEX(Table!I:O,MATCH(K1616,Table!I:I,0),3),"")</f>
        <v/>
      </c>
      <c r="N1616" s="32" t="str">
        <f>IFERROR(INDEX(Table!I:O,MATCH(K1616,Table!I:I,0),4),"")</f>
        <v/>
      </c>
      <c r="O1616" s="32" t="str">
        <f>IFERROR(INDEX(Table!I:O,MATCH(K1616,Table!I:I,0),5),"")</f>
        <v/>
      </c>
      <c r="P1616" s="32" t="str">
        <f>IFERROR(INDEX(Table!I:O,MATCH(K1616,Table!I:I,0),6),"")</f>
        <v/>
      </c>
      <c r="Q1616" s="89" t="str">
        <f t="shared" si="75"/>
        <v/>
      </c>
      <c r="R1616" s="89" t="str">
        <f t="shared" si="76"/>
        <v/>
      </c>
      <c r="S1616" s="82"/>
      <c r="U1616" s="37" t="e">
        <f t="shared" si="77"/>
        <v>#VALUE!</v>
      </c>
    </row>
    <row r="1617" spans="1:21" x14ac:dyDescent="0.25">
      <c r="A1617" s="31" t="str">
        <f>IF(Table!A1617 = "","",Table!A1617)</f>
        <v/>
      </c>
      <c r="B1617" s="31" t="str">
        <f>IF(Table!B1617 = "","",Table!B1617)</f>
        <v/>
      </c>
      <c r="C1617" s="31" t="str">
        <f>IF(Table!C1617 = "","",Table!C1617)</f>
        <v/>
      </c>
      <c r="D1617" s="32" t="str">
        <f>IF(Table!D1617 = "","",Table!D1617)</f>
        <v/>
      </c>
      <c r="E1617" s="32" t="str">
        <f>IF(Table!E1617 = "","",Table!E1617)</f>
        <v/>
      </c>
      <c r="F1617" s="32" t="str">
        <f>IF(Table!F1617 = "","",Table!F1617)</f>
        <v/>
      </c>
      <c r="G1617" s="91"/>
      <c r="K1617" s="31" t="str">
        <f>IFERROR(VLOOKUP(A1617,Table!$I$4:$O$3000,1,TRUE),"")</f>
        <v/>
      </c>
      <c r="L1617" s="31" t="str">
        <f>IFERROR(INDEX(Table!I:O,MATCH(K1617,Table!I:I,0),2),"")</f>
        <v/>
      </c>
      <c r="M1617" s="31" t="str">
        <f>IFERROR(INDEX(Table!I:O,MATCH(K1617,Table!I:I,0),3),"")</f>
        <v/>
      </c>
      <c r="N1617" s="32" t="str">
        <f>IFERROR(INDEX(Table!I:O,MATCH(K1617,Table!I:I,0),4),"")</f>
        <v/>
      </c>
      <c r="O1617" s="32" t="str">
        <f>IFERROR(INDEX(Table!I:O,MATCH(K1617,Table!I:I,0),5),"")</f>
        <v/>
      </c>
      <c r="P1617" s="32" t="str">
        <f>IFERROR(INDEX(Table!I:O,MATCH(K1617,Table!I:I,0),6),"")</f>
        <v/>
      </c>
      <c r="Q1617" s="89" t="str">
        <f t="shared" si="75"/>
        <v/>
      </c>
      <c r="R1617" s="89" t="str">
        <f t="shared" si="76"/>
        <v/>
      </c>
      <c r="S1617" s="82"/>
      <c r="U1617" s="37" t="e">
        <f t="shared" si="77"/>
        <v>#VALUE!</v>
      </c>
    </row>
    <row r="1618" spans="1:21" x14ac:dyDescent="0.25">
      <c r="A1618" s="31" t="str">
        <f>IF(Table!A1618 = "","",Table!A1618)</f>
        <v/>
      </c>
      <c r="B1618" s="31" t="str">
        <f>IF(Table!B1618 = "","",Table!B1618)</f>
        <v/>
      </c>
      <c r="C1618" s="31" t="str">
        <f>IF(Table!C1618 = "","",Table!C1618)</f>
        <v/>
      </c>
      <c r="D1618" s="32" t="str">
        <f>IF(Table!D1618 = "","",Table!D1618)</f>
        <v/>
      </c>
      <c r="E1618" s="32" t="str">
        <f>IF(Table!E1618 = "","",Table!E1618)</f>
        <v/>
      </c>
      <c r="F1618" s="32" t="str">
        <f>IF(Table!F1618 = "","",Table!F1618)</f>
        <v/>
      </c>
      <c r="G1618" s="91"/>
      <c r="K1618" s="31" t="str">
        <f>IFERROR(VLOOKUP(A1618,Table!$I$4:$O$3000,1,TRUE),"")</f>
        <v/>
      </c>
      <c r="L1618" s="31" t="str">
        <f>IFERROR(INDEX(Table!I:O,MATCH(K1618,Table!I:I,0),2),"")</f>
        <v/>
      </c>
      <c r="M1618" s="31" t="str">
        <f>IFERROR(INDEX(Table!I:O,MATCH(K1618,Table!I:I,0),3),"")</f>
        <v/>
      </c>
      <c r="N1618" s="32" t="str">
        <f>IFERROR(INDEX(Table!I:O,MATCH(K1618,Table!I:I,0),4),"")</f>
        <v/>
      </c>
      <c r="O1618" s="32" t="str">
        <f>IFERROR(INDEX(Table!I:O,MATCH(K1618,Table!I:I,0),5),"")</f>
        <v/>
      </c>
      <c r="P1618" s="32" t="str">
        <f>IFERROR(INDEX(Table!I:O,MATCH(K1618,Table!I:I,0),6),"")</f>
        <v/>
      </c>
      <c r="Q1618" s="89" t="str">
        <f t="shared" si="75"/>
        <v/>
      </c>
      <c r="R1618" s="89" t="str">
        <f t="shared" si="76"/>
        <v/>
      </c>
      <c r="S1618" s="82"/>
      <c r="U1618" s="37" t="e">
        <f t="shared" si="77"/>
        <v>#VALUE!</v>
      </c>
    </row>
    <row r="1619" spans="1:21" x14ac:dyDescent="0.25">
      <c r="A1619" s="31" t="str">
        <f>IF(Table!A1619 = "","",Table!A1619)</f>
        <v/>
      </c>
      <c r="B1619" s="31" t="str">
        <f>IF(Table!B1619 = "","",Table!B1619)</f>
        <v/>
      </c>
      <c r="C1619" s="31" t="str">
        <f>IF(Table!C1619 = "","",Table!C1619)</f>
        <v/>
      </c>
      <c r="D1619" s="32" t="str">
        <f>IF(Table!D1619 = "","",Table!D1619)</f>
        <v/>
      </c>
      <c r="E1619" s="32" t="str">
        <f>IF(Table!E1619 = "","",Table!E1619)</f>
        <v/>
      </c>
      <c r="F1619" s="32" t="str">
        <f>IF(Table!F1619 = "","",Table!F1619)</f>
        <v/>
      </c>
      <c r="G1619" s="91"/>
      <c r="K1619" s="31" t="str">
        <f>IFERROR(VLOOKUP(A1619,Table!$I$4:$O$3000,1,TRUE),"")</f>
        <v/>
      </c>
      <c r="L1619" s="31" t="str">
        <f>IFERROR(INDEX(Table!I:O,MATCH(K1619,Table!I:I,0),2),"")</f>
        <v/>
      </c>
      <c r="M1619" s="31" t="str">
        <f>IFERROR(INDEX(Table!I:O,MATCH(K1619,Table!I:I,0),3),"")</f>
        <v/>
      </c>
      <c r="N1619" s="32" t="str">
        <f>IFERROR(INDEX(Table!I:O,MATCH(K1619,Table!I:I,0),4),"")</f>
        <v/>
      </c>
      <c r="O1619" s="32" t="str">
        <f>IFERROR(INDEX(Table!I:O,MATCH(K1619,Table!I:I,0),5),"")</f>
        <v/>
      </c>
      <c r="P1619" s="32" t="str">
        <f>IFERROR(INDEX(Table!I:O,MATCH(K1619,Table!I:I,0),6),"")</f>
        <v/>
      </c>
      <c r="Q1619" s="89" t="str">
        <f t="shared" si="75"/>
        <v/>
      </c>
      <c r="R1619" s="89" t="str">
        <f t="shared" si="76"/>
        <v/>
      </c>
      <c r="S1619" s="82"/>
      <c r="U1619" s="37" t="e">
        <f t="shared" si="77"/>
        <v>#VALUE!</v>
      </c>
    </row>
    <row r="1620" spans="1:21" x14ac:dyDescent="0.25">
      <c r="A1620" s="31" t="str">
        <f>IF(Table!A1620 = "","",Table!A1620)</f>
        <v/>
      </c>
      <c r="B1620" s="31" t="str">
        <f>IF(Table!B1620 = "","",Table!B1620)</f>
        <v/>
      </c>
      <c r="C1620" s="31" t="str">
        <f>IF(Table!C1620 = "","",Table!C1620)</f>
        <v/>
      </c>
      <c r="D1620" s="32" t="str">
        <f>IF(Table!D1620 = "","",Table!D1620)</f>
        <v/>
      </c>
      <c r="E1620" s="32" t="str">
        <f>IF(Table!E1620 = "","",Table!E1620)</f>
        <v/>
      </c>
      <c r="F1620" s="32" t="str">
        <f>IF(Table!F1620 = "","",Table!F1620)</f>
        <v/>
      </c>
      <c r="G1620" s="91"/>
      <c r="K1620" s="31" t="str">
        <f>IFERROR(VLOOKUP(A1620,Table!$I$4:$O$3000,1,TRUE),"")</f>
        <v/>
      </c>
      <c r="L1620" s="31" t="str">
        <f>IFERROR(INDEX(Table!I:O,MATCH(K1620,Table!I:I,0),2),"")</f>
        <v/>
      </c>
      <c r="M1620" s="31" t="str">
        <f>IFERROR(INDEX(Table!I:O,MATCH(K1620,Table!I:I,0),3),"")</f>
        <v/>
      </c>
      <c r="N1620" s="32" t="str">
        <f>IFERROR(INDEX(Table!I:O,MATCH(K1620,Table!I:I,0),4),"")</f>
        <v/>
      </c>
      <c r="O1620" s="32" t="str">
        <f>IFERROR(INDEX(Table!I:O,MATCH(K1620,Table!I:I,0),5),"")</f>
        <v/>
      </c>
      <c r="P1620" s="32" t="str">
        <f>IFERROR(INDEX(Table!I:O,MATCH(K1620,Table!I:I,0),6),"")</f>
        <v/>
      </c>
      <c r="Q1620" s="89" t="str">
        <f t="shared" si="75"/>
        <v/>
      </c>
      <c r="R1620" s="89" t="str">
        <f t="shared" si="76"/>
        <v/>
      </c>
      <c r="S1620" s="82"/>
      <c r="U1620" s="37" t="e">
        <f t="shared" si="77"/>
        <v>#VALUE!</v>
      </c>
    </row>
    <row r="1621" spans="1:21" x14ac:dyDescent="0.25">
      <c r="A1621" s="31" t="str">
        <f>IF(Table!A1621 = "","",Table!A1621)</f>
        <v/>
      </c>
      <c r="B1621" s="31" t="str">
        <f>IF(Table!B1621 = "","",Table!B1621)</f>
        <v/>
      </c>
      <c r="C1621" s="31" t="str">
        <f>IF(Table!C1621 = "","",Table!C1621)</f>
        <v/>
      </c>
      <c r="D1621" s="32" t="str">
        <f>IF(Table!D1621 = "","",Table!D1621)</f>
        <v/>
      </c>
      <c r="E1621" s="32" t="str">
        <f>IF(Table!E1621 = "","",Table!E1621)</f>
        <v/>
      </c>
      <c r="F1621" s="32" t="str">
        <f>IF(Table!F1621 = "","",Table!F1621)</f>
        <v/>
      </c>
      <c r="G1621" s="91"/>
      <c r="K1621" s="31" t="str">
        <f>IFERROR(VLOOKUP(A1621,Table!$I$4:$O$3000,1,TRUE),"")</f>
        <v/>
      </c>
      <c r="L1621" s="31" t="str">
        <f>IFERROR(INDEX(Table!I:O,MATCH(K1621,Table!I:I,0),2),"")</f>
        <v/>
      </c>
      <c r="M1621" s="31" t="str">
        <f>IFERROR(INDEX(Table!I:O,MATCH(K1621,Table!I:I,0),3),"")</f>
        <v/>
      </c>
      <c r="N1621" s="32" t="str">
        <f>IFERROR(INDEX(Table!I:O,MATCH(K1621,Table!I:I,0),4),"")</f>
        <v/>
      </c>
      <c r="O1621" s="32" t="str">
        <f>IFERROR(INDEX(Table!I:O,MATCH(K1621,Table!I:I,0),5),"")</f>
        <v/>
      </c>
      <c r="P1621" s="32" t="str">
        <f>IFERROR(INDEX(Table!I:O,MATCH(K1621,Table!I:I,0),6),"")</f>
        <v/>
      </c>
      <c r="Q1621" s="89" t="str">
        <f t="shared" si="75"/>
        <v/>
      </c>
      <c r="R1621" s="89" t="str">
        <f t="shared" si="76"/>
        <v/>
      </c>
      <c r="S1621" s="82"/>
      <c r="U1621" s="37" t="e">
        <f t="shared" si="77"/>
        <v>#VALUE!</v>
      </c>
    </row>
    <row r="1622" spans="1:21" x14ac:dyDescent="0.25">
      <c r="A1622" s="31" t="str">
        <f>IF(Table!A1622 = "","",Table!A1622)</f>
        <v/>
      </c>
      <c r="B1622" s="31" t="str">
        <f>IF(Table!B1622 = "","",Table!B1622)</f>
        <v/>
      </c>
      <c r="C1622" s="31" t="str">
        <f>IF(Table!C1622 = "","",Table!C1622)</f>
        <v/>
      </c>
      <c r="D1622" s="32" t="str">
        <f>IF(Table!D1622 = "","",Table!D1622)</f>
        <v/>
      </c>
      <c r="E1622" s="32" t="str">
        <f>IF(Table!E1622 = "","",Table!E1622)</f>
        <v/>
      </c>
      <c r="F1622" s="32" t="str">
        <f>IF(Table!F1622 = "","",Table!F1622)</f>
        <v/>
      </c>
      <c r="G1622" s="91"/>
      <c r="K1622" s="31" t="str">
        <f>IFERROR(VLOOKUP(A1622,Table!$I$4:$O$3000,1,TRUE),"")</f>
        <v/>
      </c>
      <c r="L1622" s="31" t="str">
        <f>IFERROR(INDEX(Table!I:O,MATCH(K1622,Table!I:I,0),2),"")</f>
        <v/>
      </c>
      <c r="M1622" s="31" t="str">
        <f>IFERROR(INDEX(Table!I:O,MATCH(K1622,Table!I:I,0),3),"")</f>
        <v/>
      </c>
      <c r="N1622" s="32" t="str">
        <f>IFERROR(INDEX(Table!I:O,MATCH(K1622,Table!I:I,0),4),"")</f>
        <v/>
      </c>
      <c r="O1622" s="32" t="str">
        <f>IFERROR(INDEX(Table!I:O,MATCH(K1622,Table!I:I,0),5),"")</f>
        <v/>
      </c>
      <c r="P1622" s="32" t="str">
        <f>IFERROR(INDEX(Table!I:O,MATCH(K1622,Table!I:I,0),6),"")</f>
        <v/>
      </c>
      <c r="Q1622" s="89" t="str">
        <f t="shared" si="75"/>
        <v/>
      </c>
      <c r="R1622" s="89" t="str">
        <f t="shared" si="76"/>
        <v/>
      </c>
      <c r="S1622" s="82"/>
      <c r="U1622" s="37" t="e">
        <f t="shared" si="77"/>
        <v>#VALUE!</v>
      </c>
    </row>
    <row r="1623" spans="1:21" x14ac:dyDescent="0.25">
      <c r="A1623" s="31" t="str">
        <f>IF(Table!A1623 = "","",Table!A1623)</f>
        <v/>
      </c>
      <c r="B1623" s="31" t="str">
        <f>IF(Table!B1623 = "","",Table!B1623)</f>
        <v/>
      </c>
      <c r="C1623" s="31" t="str">
        <f>IF(Table!C1623 = "","",Table!C1623)</f>
        <v/>
      </c>
      <c r="D1623" s="32" t="str">
        <f>IF(Table!D1623 = "","",Table!D1623)</f>
        <v/>
      </c>
      <c r="E1623" s="32" t="str">
        <f>IF(Table!E1623 = "","",Table!E1623)</f>
        <v/>
      </c>
      <c r="F1623" s="32" t="str">
        <f>IF(Table!F1623 = "","",Table!F1623)</f>
        <v/>
      </c>
      <c r="G1623" s="91"/>
      <c r="K1623" s="31" t="str">
        <f>IFERROR(VLOOKUP(A1623,Table!$I$4:$O$3000,1,TRUE),"")</f>
        <v/>
      </c>
      <c r="L1623" s="31" t="str">
        <f>IFERROR(INDEX(Table!I:O,MATCH(K1623,Table!I:I,0),2),"")</f>
        <v/>
      </c>
      <c r="M1623" s="31" t="str">
        <f>IFERROR(INDEX(Table!I:O,MATCH(K1623,Table!I:I,0),3),"")</f>
        <v/>
      </c>
      <c r="N1623" s="32" t="str">
        <f>IFERROR(INDEX(Table!I:O,MATCH(K1623,Table!I:I,0),4),"")</f>
        <v/>
      </c>
      <c r="O1623" s="32" t="str">
        <f>IFERROR(INDEX(Table!I:O,MATCH(K1623,Table!I:I,0),5),"")</f>
        <v/>
      </c>
      <c r="P1623" s="32" t="str">
        <f>IFERROR(INDEX(Table!I:O,MATCH(K1623,Table!I:I,0),6),"")</f>
        <v/>
      </c>
      <c r="Q1623" s="89" t="str">
        <f t="shared" si="75"/>
        <v/>
      </c>
      <c r="R1623" s="89" t="str">
        <f t="shared" si="76"/>
        <v/>
      </c>
      <c r="S1623" s="82"/>
      <c r="U1623" s="37" t="e">
        <f t="shared" si="77"/>
        <v>#VALUE!</v>
      </c>
    </row>
    <row r="1624" spans="1:21" x14ac:dyDescent="0.25">
      <c r="A1624" s="31" t="str">
        <f>IF(Table!A1624 = "","",Table!A1624)</f>
        <v/>
      </c>
      <c r="B1624" s="31" t="str">
        <f>IF(Table!B1624 = "","",Table!B1624)</f>
        <v/>
      </c>
      <c r="C1624" s="31" t="str">
        <f>IF(Table!C1624 = "","",Table!C1624)</f>
        <v/>
      </c>
      <c r="D1624" s="32" t="str">
        <f>IF(Table!D1624 = "","",Table!D1624)</f>
        <v/>
      </c>
      <c r="E1624" s="32" t="str">
        <f>IF(Table!E1624 = "","",Table!E1624)</f>
        <v/>
      </c>
      <c r="F1624" s="32" t="str">
        <f>IF(Table!F1624 = "","",Table!F1624)</f>
        <v/>
      </c>
      <c r="G1624" s="91"/>
      <c r="K1624" s="31" t="str">
        <f>IFERROR(VLOOKUP(A1624,Table!$I$4:$O$3000,1,TRUE),"")</f>
        <v/>
      </c>
      <c r="L1624" s="31" t="str">
        <f>IFERROR(INDEX(Table!I:O,MATCH(K1624,Table!I:I,0),2),"")</f>
        <v/>
      </c>
      <c r="M1624" s="31" t="str">
        <f>IFERROR(INDEX(Table!I:O,MATCH(K1624,Table!I:I,0),3),"")</f>
        <v/>
      </c>
      <c r="N1624" s="32" t="str">
        <f>IFERROR(INDEX(Table!I:O,MATCH(K1624,Table!I:I,0),4),"")</f>
        <v/>
      </c>
      <c r="O1624" s="32" t="str">
        <f>IFERROR(INDEX(Table!I:O,MATCH(K1624,Table!I:I,0),5),"")</f>
        <v/>
      </c>
      <c r="P1624" s="32" t="str">
        <f>IFERROR(INDEX(Table!I:O,MATCH(K1624,Table!I:I,0),6),"")</f>
        <v/>
      </c>
      <c r="Q1624" s="89" t="str">
        <f t="shared" si="75"/>
        <v/>
      </c>
      <c r="R1624" s="89" t="str">
        <f t="shared" si="76"/>
        <v/>
      </c>
      <c r="S1624" s="82"/>
      <c r="U1624" s="37" t="e">
        <f t="shared" si="77"/>
        <v>#VALUE!</v>
      </c>
    </row>
    <row r="1625" spans="1:21" x14ac:dyDescent="0.25">
      <c r="A1625" s="31" t="str">
        <f>IF(Table!A1625 = "","",Table!A1625)</f>
        <v/>
      </c>
      <c r="B1625" s="31" t="str">
        <f>IF(Table!B1625 = "","",Table!B1625)</f>
        <v/>
      </c>
      <c r="C1625" s="31" t="str">
        <f>IF(Table!C1625 = "","",Table!C1625)</f>
        <v/>
      </c>
      <c r="D1625" s="32" t="str">
        <f>IF(Table!D1625 = "","",Table!D1625)</f>
        <v/>
      </c>
      <c r="E1625" s="32" t="str">
        <f>IF(Table!E1625 = "","",Table!E1625)</f>
        <v/>
      </c>
      <c r="F1625" s="32" t="str">
        <f>IF(Table!F1625 = "","",Table!F1625)</f>
        <v/>
      </c>
      <c r="G1625" s="91"/>
      <c r="K1625" s="31" t="str">
        <f>IFERROR(VLOOKUP(A1625,Table!$I$4:$O$3000,1,TRUE),"")</f>
        <v/>
      </c>
      <c r="L1625" s="31" t="str">
        <f>IFERROR(INDEX(Table!I:O,MATCH(K1625,Table!I:I,0),2),"")</f>
        <v/>
      </c>
      <c r="M1625" s="31" t="str">
        <f>IFERROR(INDEX(Table!I:O,MATCH(K1625,Table!I:I,0),3),"")</f>
        <v/>
      </c>
      <c r="N1625" s="32" t="str">
        <f>IFERROR(INDEX(Table!I:O,MATCH(K1625,Table!I:I,0),4),"")</f>
        <v/>
      </c>
      <c r="O1625" s="32" t="str">
        <f>IFERROR(INDEX(Table!I:O,MATCH(K1625,Table!I:I,0),5),"")</f>
        <v/>
      </c>
      <c r="P1625" s="32" t="str">
        <f>IFERROR(INDEX(Table!I:O,MATCH(K1625,Table!I:I,0),6),"")</f>
        <v/>
      </c>
      <c r="Q1625" s="89" t="str">
        <f t="shared" si="75"/>
        <v/>
      </c>
      <c r="R1625" s="89" t="str">
        <f t="shared" si="76"/>
        <v/>
      </c>
      <c r="S1625" s="82"/>
      <c r="U1625" s="37" t="e">
        <f t="shared" si="77"/>
        <v>#VALUE!</v>
      </c>
    </row>
    <row r="1626" spans="1:21" x14ac:dyDescent="0.25">
      <c r="A1626" s="31" t="str">
        <f>IF(Table!A1626 = "","",Table!A1626)</f>
        <v/>
      </c>
      <c r="B1626" s="31" t="str">
        <f>IF(Table!B1626 = "","",Table!B1626)</f>
        <v/>
      </c>
      <c r="C1626" s="31" t="str">
        <f>IF(Table!C1626 = "","",Table!C1626)</f>
        <v/>
      </c>
      <c r="D1626" s="32" t="str">
        <f>IF(Table!D1626 = "","",Table!D1626)</f>
        <v/>
      </c>
      <c r="E1626" s="32" t="str">
        <f>IF(Table!E1626 = "","",Table!E1626)</f>
        <v/>
      </c>
      <c r="F1626" s="32" t="str">
        <f>IF(Table!F1626 = "","",Table!F1626)</f>
        <v/>
      </c>
      <c r="G1626" s="91"/>
      <c r="K1626" s="31" t="str">
        <f>IFERROR(VLOOKUP(A1626,Table!$I$4:$O$3000,1,TRUE),"")</f>
        <v/>
      </c>
      <c r="L1626" s="31" t="str">
        <f>IFERROR(INDEX(Table!I:O,MATCH(K1626,Table!I:I,0),2),"")</f>
        <v/>
      </c>
      <c r="M1626" s="31" t="str">
        <f>IFERROR(INDEX(Table!I:O,MATCH(K1626,Table!I:I,0),3),"")</f>
        <v/>
      </c>
      <c r="N1626" s="32" t="str">
        <f>IFERROR(INDEX(Table!I:O,MATCH(K1626,Table!I:I,0),4),"")</f>
        <v/>
      </c>
      <c r="O1626" s="32" t="str">
        <f>IFERROR(INDEX(Table!I:O,MATCH(K1626,Table!I:I,0),5),"")</f>
        <v/>
      </c>
      <c r="P1626" s="32" t="str">
        <f>IFERROR(INDEX(Table!I:O,MATCH(K1626,Table!I:I,0),6),"")</f>
        <v/>
      </c>
      <c r="Q1626" s="89" t="str">
        <f t="shared" si="75"/>
        <v/>
      </c>
      <c r="R1626" s="89" t="str">
        <f t="shared" si="76"/>
        <v/>
      </c>
      <c r="S1626" s="82"/>
      <c r="U1626" s="37" t="e">
        <f t="shared" si="77"/>
        <v>#VALUE!</v>
      </c>
    </row>
    <row r="1627" spans="1:21" x14ac:dyDescent="0.25">
      <c r="A1627" s="31" t="str">
        <f>IF(Table!A1627 = "","",Table!A1627)</f>
        <v/>
      </c>
      <c r="B1627" s="31" t="str">
        <f>IF(Table!B1627 = "","",Table!B1627)</f>
        <v/>
      </c>
      <c r="C1627" s="31" t="str">
        <f>IF(Table!C1627 = "","",Table!C1627)</f>
        <v/>
      </c>
      <c r="D1627" s="32" t="str">
        <f>IF(Table!D1627 = "","",Table!D1627)</f>
        <v/>
      </c>
      <c r="E1627" s="32" t="str">
        <f>IF(Table!E1627 = "","",Table!E1627)</f>
        <v/>
      </c>
      <c r="F1627" s="32" t="str">
        <f>IF(Table!F1627 = "","",Table!F1627)</f>
        <v/>
      </c>
      <c r="G1627" s="91"/>
      <c r="K1627" s="31" t="str">
        <f>IFERROR(VLOOKUP(A1627,Table!$I$4:$O$3000,1,TRUE),"")</f>
        <v/>
      </c>
      <c r="L1627" s="31" t="str">
        <f>IFERROR(INDEX(Table!I:O,MATCH(K1627,Table!I:I,0),2),"")</f>
        <v/>
      </c>
      <c r="M1627" s="31" t="str">
        <f>IFERROR(INDEX(Table!I:O,MATCH(K1627,Table!I:I,0),3),"")</f>
        <v/>
      </c>
      <c r="N1627" s="32" t="str">
        <f>IFERROR(INDEX(Table!I:O,MATCH(K1627,Table!I:I,0),4),"")</f>
        <v/>
      </c>
      <c r="O1627" s="32" t="str">
        <f>IFERROR(INDEX(Table!I:O,MATCH(K1627,Table!I:I,0),5),"")</f>
        <v/>
      </c>
      <c r="P1627" s="32" t="str">
        <f>IFERROR(INDEX(Table!I:O,MATCH(K1627,Table!I:I,0),6),"")</f>
        <v/>
      </c>
      <c r="Q1627" s="89" t="str">
        <f t="shared" si="75"/>
        <v/>
      </c>
      <c r="R1627" s="89" t="str">
        <f t="shared" si="76"/>
        <v/>
      </c>
      <c r="S1627" s="82"/>
      <c r="U1627" s="37" t="e">
        <f t="shared" si="77"/>
        <v>#VALUE!</v>
      </c>
    </row>
    <row r="1628" spans="1:21" x14ac:dyDescent="0.25">
      <c r="A1628" s="31" t="str">
        <f>IF(Table!A1628 = "","",Table!A1628)</f>
        <v/>
      </c>
      <c r="B1628" s="31" t="str">
        <f>IF(Table!B1628 = "","",Table!B1628)</f>
        <v/>
      </c>
      <c r="C1628" s="31" t="str">
        <f>IF(Table!C1628 = "","",Table!C1628)</f>
        <v/>
      </c>
      <c r="D1628" s="32" t="str">
        <f>IF(Table!D1628 = "","",Table!D1628)</f>
        <v/>
      </c>
      <c r="E1628" s="32" t="str">
        <f>IF(Table!E1628 = "","",Table!E1628)</f>
        <v/>
      </c>
      <c r="F1628" s="32" t="str">
        <f>IF(Table!F1628 = "","",Table!F1628)</f>
        <v/>
      </c>
      <c r="G1628" s="91"/>
      <c r="K1628" s="31" t="str">
        <f>IFERROR(VLOOKUP(A1628,Table!$I$4:$O$3000,1,TRUE),"")</f>
        <v/>
      </c>
      <c r="L1628" s="31" t="str">
        <f>IFERROR(INDEX(Table!I:O,MATCH(K1628,Table!I:I,0),2),"")</f>
        <v/>
      </c>
      <c r="M1628" s="31" t="str">
        <f>IFERROR(INDEX(Table!I:O,MATCH(K1628,Table!I:I,0),3),"")</f>
        <v/>
      </c>
      <c r="N1628" s="32" t="str">
        <f>IFERROR(INDEX(Table!I:O,MATCH(K1628,Table!I:I,0),4),"")</f>
        <v/>
      </c>
      <c r="O1628" s="32" t="str">
        <f>IFERROR(INDEX(Table!I:O,MATCH(K1628,Table!I:I,0),5),"")</f>
        <v/>
      </c>
      <c r="P1628" s="32" t="str">
        <f>IFERROR(INDEX(Table!I:O,MATCH(K1628,Table!I:I,0),6),"")</f>
        <v/>
      </c>
      <c r="Q1628" s="89" t="str">
        <f t="shared" si="75"/>
        <v/>
      </c>
      <c r="R1628" s="89" t="str">
        <f t="shared" si="76"/>
        <v/>
      </c>
      <c r="S1628" s="82"/>
      <c r="U1628" s="37" t="e">
        <f t="shared" si="77"/>
        <v>#VALUE!</v>
      </c>
    </row>
    <row r="1629" spans="1:21" x14ac:dyDescent="0.25">
      <c r="A1629" s="31" t="str">
        <f>IF(Table!A1629 = "","",Table!A1629)</f>
        <v/>
      </c>
      <c r="B1629" s="31" t="str">
        <f>IF(Table!B1629 = "","",Table!B1629)</f>
        <v/>
      </c>
      <c r="C1629" s="31" t="str">
        <f>IF(Table!C1629 = "","",Table!C1629)</f>
        <v/>
      </c>
      <c r="D1629" s="32" t="str">
        <f>IF(Table!D1629 = "","",Table!D1629)</f>
        <v/>
      </c>
      <c r="E1629" s="32" t="str">
        <f>IF(Table!E1629 = "","",Table!E1629)</f>
        <v/>
      </c>
      <c r="F1629" s="32" t="str">
        <f>IF(Table!F1629 = "","",Table!F1629)</f>
        <v/>
      </c>
      <c r="G1629" s="91"/>
      <c r="K1629" s="31" t="str">
        <f>IFERROR(VLOOKUP(A1629,Table!$I$4:$O$3000,1,TRUE),"")</f>
        <v/>
      </c>
      <c r="L1629" s="31" t="str">
        <f>IFERROR(INDEX(Table!I:O,MATCH(K1629,Table!I:I,0),2),"")</f>
        <v/>
      </c>
      <c r="M1629" s="31" t="str">
        <f>IFERROR(INDEX(Table!I:O,MATCH(K1629,Table!I:I,0),3),"")</f>
        <v/>
      </c>
      <c r="N1629" s="32" t="str">
        <f>IFERROR(INDEX(Table!I:O,MATCH(K1629,Table!I:I,0),4),"")</f>
        <v/>
      </c>
      <c r="O1629" s="32" t="str">
        <f>IFERROR(INDEX(Table!I:O,MATCH(K1629,Table!I:I,0),5),"")</f>
        <v/>
      </c>
      <c r="P1629" s="32" t="str">
        <f>IFERROR(INDEX(Table!I:O,MATCH(K1629,Table!I:I,0),6),"")</f>
        <v/>
      </c>
      <c r="Q1629" s="89" t="str">
        <f t="shared" si="75"/>
        <v/>
      </c>
      <c r="R1629" s="89" t="str">
        <f t="shared" si="76"/>
        <v/>
      </c>
      <c r="S1629" s="82"/>
      <c r="U1629" s="37" t="e">
        <f t="shared" si="77"/>
        <v>#VALUE!</v>
      </c>
    </row>
    <row r="1630" spans="1:21" x14ac:dyDescent="0.25">
      <c r="A1630" s="31" t="str">
        <f>IF(Table!A1630 = "","",Table!A1630)</f>
        <v/>
      </c>
      <c r="B1630" s="31" t="str">
        <f>IF(Table!B1630 = "","",Table!B1630)</f>
        <v/>
      </c>
      <c r="C1630" s="31" t="str">
        <f>IF(Table!C1630 = "","",Table!C1630)</f>
        <v/>
      </c>
      <c r="D1630" s="32" t="str">
        <f>IF(Table!D1630 = "","",Table!D1630)</f>
        <v/>
      </c>
      <c r="E1630" s="32" t="str">
        <f>IF(Table!E1630 = "","",Table!E1630)</f>
        <v/>
      </c>
      <c r="F1630" s="32" t="str">
        <f>IF(Table!F1630 = "","",Table!F1630)</f>
        <v/>
      </c>
      <c r="G1630" s="91"/>
      <c r="K1630" s="31" t="str">
        <f>IFERROR(VLOOKUP(A1630,Table!$I$4:$O$3000,1,TRUE),"")</f>
        <v/>
      </c>
      <c r="L1630" s="31" t="str">
        <f>IFERROR(INDEX(Table!I:O,MATCH(K1630,Table!I:I,0),2),"")</f>
        <v/>
      </c>
      <c r="M1630" s="31" t="str">
        <f>IFERROR(INDEX(Table!I:O,MATCH(K1630,Table!I:I,0),3),"")</f>
        <v/>
      </c>
      <c r="N1630" s="32" t="str">
        <f>IFERROR(INDEX(Table!I:O,MATCH(K1630,Table!I:I,0),4),"")</f>
        <v/>
      </c>
      <c r="O1630" s="32" t="str">
        <f>IFERROR(INDEX(Table!I:O,MATCH(K1630,Table!I:I,0),5),"")</f>
        <v/>
      </c>
      <c r="P1630" s="32" t="str">
        <f>IFERROR(INDEX(Table!I:O,MATCH(K1630,Table!I:I,0),6),"")</f>
        <v/>
      </c>
      <c r="Q1630" s="89" t="str">
        <f t="shared" si="75"/>
        <v/>
      </c>
      <c r="R1630" s="89" t="str">
        <f t="shared" si="76"/>
        <v/>
      </c>
      <c r="S1630" s="82"/>
      <c r="U1630" s="37" t="e">
        <f t="shared" si="77"/>
        <v>#VALUE!</v>
      </c>
    </row>
    <row r="1631" spans="1:21" x14ac:dyDescent="0.25">
      <c r="A1631" s="31" t="str">
        <f>IF(Table!A1631 = "","",Table!A1631)</f>
        <v/>
      </c>
      <c r="B1631" s="31" t="str">
        <f>IF(Table!B1631 = "","",Table!B1631)</f>
        <v/>
      </c>
      <c r="C1631" s="31" t="str">
        <f>IF(Table!C1631 = "","",Table!C1631)</f>
        <v/>
      </c>
      <c r="D1631" s="32" t="str">
        <f>IF(Table!D1631 = "","",Table!D1631)</f>
        <v/>
      </c>
      <c r="E1631" s="32" t="str">
        <f>IF(Table!E1631 = "","",Table!E1631)</f>
        <v/>
      </c>
      <c r="F1631" s="32" t="str">
        <f>IF(Table!F1631 = "","",Table!F1631)</f>
        <v/>
      </c>
      <c r="G1631" s="91"/>
      <c r="K1631" s="31" t="str">
        <f>IFERROR(VLOOKUP(A1631,Table!$I$4:$O$3000,1,TRUE),"")</f>
        <v/>
      </c>
      <c r="L1631" s="31" t="str">
        <f>IFERROR(INDEX(Table!I:O,MATCH(K1631,Table!I:I,0),2),"")</f>
        <v/>
      </c>
      <c r="M1631" s="31" t="str">
        <f>IFERROR(INDEX(Table!I:O,MATCH(K1631,Table!I:I,0),3),"")</f>
        <v/>
      </c>
      <c r="N1631" s="32" t="str">
        <f>IFERROR(INDEX(Table!I:O,MATCH(K1631,Table!I:I,0),4),"")</f>
        <v/>
      </c>
      <c r="O1631" s="32" t="str">
        <f>IFERROR(INDEX(Table!I:O,MATCH(K1631,Table!I:I,0),5),"")</f>
        <v/>
      </c>
      <c r="P1631" s="32" t="str">
        <f>IFERROR(INDEX(Table!I:O,MATCH(K1631,Table!I:I,0),6),"")</f>
        <v/>
      </c>
      <c r="Q1631" s="89" t="str">
        <f t="shared" si="75"/>
        <v/>
      </c>
      <c r="R1631" s="89" t="str">
        <f t="shared" si="76"/>
        <v/>
      </c>
      <c r="S1631" s="82"/>
      <c r="U1631" s="37" t="e">
        <f t="shared" si="77"/>
        <v>#VALUE!</v>
      </c>
    </row>
    <row r="1632" spans="1:21" x14ac:dyDescent="0.25">
      <c r="A1632" s="31" t="str">
        <f>IF(Table!A1632 = "","",Table!A1632)</f>
        <v/>
      </c>
      <c r="B1632" s="31" t="str">
        <f>IF(Table!B1632 = "","",Table!B1632)</f>
        <v/>
      </c>
      <c r="C1632" s="31" t="str">
        <f>IF(Table!C1632 = "","",Table!C1632)</f>
        <v/>
      </c>
      <c r="D1632" s="32" t="str">
        <f>IF(Table!D1632 = "","",Table!D1632)</f>
        <v/>
      </c>
      <c r="E1632" s="32" t="str">
        <f>IF(Table!E1632 = "","",Table!E1632)</f>
        <v/>
      </c>
      <c r="F1632" s="32" t="str">
        <f>IF(Table!F1632 = "","",Table!F1632)</f>
        <v/>
      </c>
      <c r="G1632" s="91"/>
      <c r="K1632" s="31" t="str">
        <f>IFERROR(VLOOKUP(A1632,Table!$I$4:$O$3000,1,TRUE),"")</f>
        <v/>
      </c>
      <c r="L1632" s="31" t="str">
        <f>IFERROR(INDEX(Table!I:O,MATCH(K1632,Table!I:I,0),2),"")</f>
        <v/>
      </c>
      <c r="M1632" s="31" t="str">
        <f>IFERROR(INDEX(Table!I:O,MATCH(K1632,Table!I:I,0),3),"")</f>
        <v/>
      </c>
      <c r="N1632" s="32" t="str">
        <f>IFERROR(INDEX(Table!I:O,MATCH(K1632,Table!I:I,0),4),"")</f>
        <v/>
      </c>
      <c r="O1632" s="32" t="str">
        <f>IFERROR(INDEX(Table!I:O,MATCH(K1632,Table!I:I,0),5),"")</f>
        <v/>
      </c>
      <c r="P1632" s="32" t="str">
        <f>IFERROR(INDEX(Table!I:O,MATCH(K1632,Table!I:I,0),6),"")</f>
        <v/>
      </c>
      <c r="Q1632" s="89" t="str">
        <f t="shared" si="75"/>
        <v/>
      </c>
      <c r="R1632" s="89" t="str">
        <f t="shared" si="76"/>
        <v/>
      </c>
      <c r="S1632" s="82"/>
      <c r="U1632" s="37" t="e">
        <f t="shared" si="77"/>
        <v>#VALUE!</v>
      </c>
    </row>
    <row r="1633" spans="1:21" x14ac:dyDescent="0.25">
      <c r="A1633" s="31" t="str">
        <f>IF(Table!A1633 = "","",Table!A1633)</f>
        <v/>
      </c>
      <c r="B1633" s="31" t="str">
        <f>IF(Table!B1633 = "","",Table!B1633)</f>
        <v/>
      </c>
      <c r="C1633" s="31" t="str">
        <f>IF(Table!C1633 = "","",Table!C1633)</f>
        <v/>
      </c>
      <c r="D1633" s="32" t="str">
        <f>IF(Table!D1633 = "","",Table!D1633)</f>
        <v/>
      </c>
      <c r="E1633" s="32" t="str">
        <f>IF(Table!E1633 = "","",Table!E1633)</f>
        <v/>
      </c>
      <c r="F1633" s="32" t="str">
        <f>IF(Table!F1633 = "","",Table!F1633)</f>
        <v/>
      </c>
      <c r="G1633" s="91"/>
      <c r="K1633" s="31" t="str">
        <f>IFERROR(VLOOKUP(A1633,Table!$I$4:$O$3000,1,TRUE),"")</f>
        <v/>
      </c>
      <c r="L1633" s="31" t="str">
        <f>IFERROR(INDEX(Table!I:O,MATCH(K1633,Table!I:I,0),2),"")</f>
        <v/>
      </c>
      <c r="M1633" s="31" t="str">
        <f>IFERROR(INDEX(Table!I:O,MATCH(K1633,Table!I:I,0),3),"")</f>
        <v/>
      </c>
      <c r="N1633" s="32" t="str">
        <f>IFERROR(INDEX(Table!I:O,MATCH(K1633,Table!I:I,0),4),"")</f>
        <v/>
      </c>
      <c r="O1633" s="32" t="str">
        <f>IFERROR(INDEX(Table!I:O,MATCH(K1633,Table!I:I,0),5),"")</f>
        <v/>
      </c>
      <c r="P1633" s="32" t="str">
        <f>IFERROR(INDEX(Table!I:O,MATCH(K1633,Table!I:I,0),6),"")</f>
        <v/>
      </c>
      <c r="Q1633" s="89" t="str">
        <f t="shared" si="75"/>
        <v/>
      </c>
      <c r="R1633" s="89" t="str">
        <f t="shared" si="76"/>
        <v/>
      </c>
      <c r="S1633" s="82"/>
      <c r="U1633" s="37" t="e">
        <f t="shared" si="77"/>
        <v>#VALUE!</v>
      </c>
    </row>
    <row r="1634" spans="1:21" x14ac:dyDescent="0.25">
      <c r="A1634" s="31" t="str">
        <f>IF(Table!A1634 = "","",Table!A1634)</f>
        <v/>
      </c>
      <c r="B1634" s="31" t="str">
        <f>IF(Table!B1634 = "","",Table!B1634)</f>
        <v/>
      </c>
      <c r="C1634" s="31" t="str">
        <f>IF(Table!C1634 = "","",Table!C1634)</f>
        <v/>
      </c>
      <c r="D1634" s="32" t="str">
        <f>IF(Table!D1634 = "","",Table!D1634)</f>
        <v/>
      </c>
      <c r="E1634" s="32" t="str">
        <f>IF(Table!E1634 = "","",Table!E1634)</f>
        <v/>
      </c>
      <c r="F1634" s="32" t="str">
        <f>IF(Table!F1634 = "","",Table!F1634)</f>
        <v/>
      </c>
      <c r="G1634" s="91"/>
      <c r="K1634" s="31" t="str">
        <f>IFERROR(VLOOKUP(A1634,Table!$I$4:$O$3000,1,TRUE),"")</f>
        <v/>
      </c>
      <c r="L1634" s="31" t="str">
        <f>IFERROR(INDEX(Table!I:O,MATCH(K1634,Table!I:I,0),2),"")</f>
        <v/>
      </c>
      <c r="M1634" s="31" t="str">
        <f>IFERROR(INDEX(Table!I:O,MATCH(K1634,Table!I:I,0),3),"")</f>
        <v/>
      </c>
      <c r="N1634" s="32" t="str">
        <f>IFERROR(INDEX(Table!I:O,MATCH(K1634,Table!I:I,0),4),"")</f>
        <v/>
      </c>
      <c r="O1634" s="32" t="str">
        <f>IFERROR(INDEX(Table!I:O,MATCH(K1634,Table!I:I,0),5),"")</f>
        <v/>
      </c>
      <c r="P1634" s="32" t="str">
        <f>IFERROR(INDEX(Table!I:O,MATCH(K1634,Table!I:I,0),6),"")</f>
        <v/>
      </c>
      <c r="Q1634" s="89" t="str">
        <f t="shared" si="75"/>
        <v/>
      </c>
      <c r="R1634" s="89" t="str">
        <f t="shared" si="76"/>
        <v/>
      </c>
      <c r="S1634" s="82"/>
      <c r="U1634" s="37" t="e">
        <f t="shared" si="77"/>
        <v>#VALUE!</v>
      </c>
    </row>
    <row r="1635" spans="1:21" x14ac:dyDescent="0.25">
      <c r="A1635" s="31" t="str">
        <f>IF(Table!A1635 = "","",Table!A1635)</f>
        <v/>
      </c>
      <c r="B1635" s="31" t="str">
        <f>IF(Table!B1635 = "","",Table!B1635)</f>
        <v/>
      </c>
      <c r="C1635" s="31" t="str">
        <f>IF(Table!C1635 = "","",Table!C1635)</f>
        <v/>
      </c>
      <c r="D1635" s="32" t="str">
        <f>IF(Table!D1635 = "","",Table!D1635)</f>
        <v/>
      </c>
      <c r="E1635" s="32" t="str">
        <f>IF(Table!E1635 = "","",Table!E1635)</f>
        <v/>
      </c>
      <c r="F1635" s="32" t="str">
        <f>IF(Table!F1635 = "","",Table!F1635)</f>
        <v/>
      </c>
      <c r="G1635" s="91"/>
      <c r="K1635" s="31" t="str">
        <f>IFERROR(VLOOKUP(A1635,Table!$I$4:$O$3000,1,TRUE),"")</f>
        <v/>
      </c>
      <c r="L1635" s="31" t="str">
        <f>IFERROR(INDEX(Table!I:O,MATCH(K1635,Table!I:I,0),2),"")</f>
        <v/>
      </c>
      <c r="M1635" s="31" t="str">
        <f>IFERROR(INDEX(Table!I:O,MATCH(K1635,Table!I:I,0),3),"")</f>
        <v/>
      </c>
      <c r="N1635" s="32" t="str">
        <f>IFERROR(INDEX(Table!I:O,MATCH(K1635,Table!I:I,0),4),"")</f>
        <v/>
      </c>
      <c r="O1635" s="32" t="str">
        <f>IFERROR(INDEX(Table!I:O,MATCH(K1635,Table!I:I,0),5),"")</f>
        <v/>
      </c>
      <c r="P1635" s="32" t="str">
        <f>IFERROR(INDEX(Table!I:O,MATCH(K1635,Table!I:I,0),6),"")</f>
        <v/>
      </c>
      <c r="Q1635" s="89" t="str">
        <f t="shared" si="75"/>
        <v/>
      </c>
      <c r="R1635" s="89" t="str">
        <f t="shared" si="76"/>
        <v/>
      </c>
      <c r="S1635" s="82"/>
      <c r="U1635" s="37" t="e">
        <f t="shared" si="77"/>
        <v>#VALUE!</v>
      </c>
    </row>
    <row r="1636" spans="1:21" x14ac:dyDescent="0.25">
      <c r="A1636" s="31" t="str">
        <f>IF(Table!A1636 = "","",Table!A1636)</f>
        <v/>
      </c>
      <c r="B1636" s="31" t="str">
        <f>IF(Table!B1636 = "","",Table!B1636)</f>
        <v/>
      </c>
      <c r="C1636" s="31" t="str">
        <f>IF(Table!C1636 = "","",Table!C1636)</f>
        <v/>
      </c>
      <c r="D1636" s="32" t="str">
        <f>IF(Table!D1636 = "","",Table!D1636)</f>
        <v/>
      </c>
      <c r="E1636" s="32" t="str">
        <f>IF(Table!E1636 = "","",Table!E1636)</f>
        <v/>
      </c>
      <c r="F1636" s="32" t="str">
        <f>IF(Table!F1636 = "","",Table!F1636)</f>
        <v/>
      </c>
      <c r="G1636" s="91"/>
      <c r="K1636" s="31" t="str">
        <f>IFERROR(VLOOKUP(A1636,Table!$I$4:$O$3000,1,TRUE),"")</f>
        <v/>
      </c>
      <c r="L1636" s="31" t="str">
        <f>IFERROR(INDEX(Table!I:O,MATCH(K1636,Table!I:I,0),2),"")</f>
        <v/>
      </c>
      <c r="M1636" s="31" t="str">
        <f>IFERROR(INDEX(Table!I:O,MATCH(K1636,Table!I:I,0),3),"")</f>
        <v/>
      </c>
      <c r="N1636" s="32" t="str">
        <f>IFERROR(INDEX(Table!I:O,MATCH(K1636,Table!I:I,0),4),"")</f>
        <v/>
      </c>
      <c r="O1636" s="32" t="str">
        <f>IFERROR(INDEX(Table!I:O,MATCH(K1636,Table!I:I,0),5),"")</f>
        <v/>
      </c>
      <c r="P1636" s="32" t="str">
        <f>IFERROR(INDEX(Table!I:O,MATCH(K1636,Table!I:I,0),6),"")</f>
        <v/>
      </c>
      <c r="Q1636" s="89" t="str">
        <f t="shared" si="75"/>
        <v/>
      </c>
      <c r="R1636" s="89" t="str">
        <f t="shared" si="76"/>
        <v/>
      </c>
      <c r="S1636" s="82"/>
      <c r="U1636" s="37" t="e">
        <f t="shared" si="77"/>
        <v>#VALUE!</v>
      </c>
    </row>
    <row r="1637" spans="1:21" x14ac:dyDescent="0.25">
      <c r="A1637" s="31" t="str">
        <f>IF(Table!A1637 = "","",Table!A1637)</f>
        <v/>
      </c>
      <c r="B1637" s="31" t="str">
        <f>IF(Table!B1637 = "","",Table!B1637)</f>
        <v/>
      </c>
      <c r="C1637" s="31" t="str">
        <f>IF(Table!C1637 = "","",Table!C1637)</f>
        <v/>
      </c>
      <c r="D1637" s="32" t="str">
        <f>IF(Table!D1637 = "","",Table!D1637)</f>
        <v/>
      </c>
      <c r="E1637" s="32" t="str">
        <f>IF(Table!E1637 = "","",Table!E1637)</f>
        <v/>
      </c>
      <c r="F1637" s="32" t="str">
        <f>IF(Table!F1637 = "","",Table!F1637)</f>
        <v/>
      </c>
      <c r="G1637" s="91"/>
      <c r="K1637" s="31" t="str">
        <f>IFERROR(VLOOKUP(A1637,Table!$I$4:$O$3000,1,TRUE),"")</f>
        <v/>
      </c>
      <c r="L1637" s="31" t="str">
        <f>IFERROR(INDEX(Table!I:O,MATCH(K1637,Table!I:I,0),2),"")</f>
        <v/>
      </c>
      <c r="M1637" s="31" t="str">
        <f>IFERROR(INDEX(Table!I:O,MATCH(K1637,Table!I:I,0),3),"")</f>
        <v/>
      </c>
      <c r="N1637" s="32" t="str">
        <f>IFERROR(INDEX(Table!I:O,MATCH(K1637,Table!I:I,0),4),"")</f>
        <v/>
      </c>
      <c r="O1637" s="32" t="str">
        <f>IFERROR(INDEX(Table!I:O,MATCH(K1637,Table!I:I,0),5),"")</f>
        <v/>
      </c>
      <c r="P1637" s="32" t="str">
        <f>IFERROR(INDEX(Table!I:O,MATCH(K1637,Table!I:I,0),6),"")</f>
        <v/>
      </c>
      <c r="Q1637" s="89" t="str">
        <f t="shared" si="75"/>
        <v/>
      </c>
      <c r="R1637" s="89" t="str">
        <f t="shared" si="76"/>
        <v/>
      </c>
      <c r="S1637" s="82"/>
      <c r="U1637" s="37" t="e">
        <f t="shared" si="77"/>
        <v>#VALUE!</v>
      </c>
    </row>
    <row r="1638" spans="1:21" x14ac:dyDescent="0.25">
      <c r="A1638" s="31" t="str">
        <f>IF(Table!A1638 = "","",Table!A1638)</f>
        <v/>
      </c>
      <c r="B1638" s="31" t="str">
        <f>IF(Table!B1638 = "","",Table!B1638)</f>
        <v/>
      </c>
      <c r="C1638" s="31" t="str">
        <f>IF(Table!C1638 = "","",Table!C1638)</f>
        <v/>
      </c>
      <c r="D1638" s="32" t="str">
        <f>IF(Table!D1638 = "","",Table!D1638)</f>
        <v/>
      </c>
      <c r="E1638" s="32" t="str">
        <f>IF(Table!E1638 = "","",Table!E1638)</f>
        <v/>
      </c>
      <c r="F1638" s="32" t="str">
        <f>IF(Table!F1638 = "","",Table!F1638)</f>
        <v/>
      </c>
      <c r="G1638" s="91"/>
      <c r="K1638" s="31" t="str">
        <f>IFERROR(VLOOKUP(A1638,Table!$I$4:$O$3000,1,TRUE),"")</f>
        <v/>
      </c>
      <c r="L1638" s="31" t="str">
        <f>IFERROR(INDEX(Table!I:O,MATCH(K1638,Table!I:I,0),2),"")</f>
        <v/>
      </c>
      <c r="M1638" s="31" t="str">
        <f>IFERROR(INDEX(Table!I:O,MATCH(K1638,Table!I:I,0),3),"")</f>
        <v/>
      </c>
      <c r="N1638" s="32" t="str">
        <f>IFERROR(INDEX(Table!I:O,MATCH(K1638,Table!I:I,0),4),"")</f>
        <v/>
      </c>
      <c r="O1638" s="32" t="str">
        <f>IFERROR(INDEX(Table!I:O,MATCH(K1638,Table!I:I,0),5),"")</f>
        <v/>
      </c>
      <c r="P1638" s="32" t="str">
        <f>IFERROR(INDEX(Table!I:O,MATCH(K1638,Table!I:I,0),6),"")</f>
        <v/>
      </c>
      <c r="Q1638" s="89" t="str">
        <f t="shared" si="75"/>
        <v/>
      </c>
      <c r="R1638" s="89" t="str">
        <f t="shared" si="76"/>
        <v/>
      </c>
      <c r="S1638" s="82"/>
      <c r="U1638" s="37" t="e">
        <f t="shared" si="77"/>
        <v>#VALUE!</v>
      </c>
    </row>
    <row r="1639" spans="1:21" x14ac:dyDescent="0.25">
      <c r="A1639" s="31" t="str">
        <f>IF(Table!A1639 = "","",Table!A1639)</f>
        <v/>
      </c>
      <c r="B1639" s="31" t="str">
        <f>IF(Table!B1639 = "","",Table!B1639)</f>
        <v/>
      </c>
      <c r="C1639" s="31" t="str">
        <f>IF(Table!C1639 = "","",Table!C1639)</f>
        <v/>
      </c>
      <c r="D1639" s="32" t="str">
        <f>IF(Table!D1639 = "","",Table!D1639)</f>
        <v/>
      </c>
      <c r="E1639" s="32" t="str">
        <f>IF(Table!E1639 = "","",Table!E1639)</f>
        <v/>
      </c>
      <c r="F1639" s="32" t="str">
        <f>IF(Table!F1639 = "","",Table!F1639)</f>
        <v/>
      </c>
      <c r="G1639" s="91"/>
      <c r="K1639" s="31" t="str">
        <f>IFERROR(VLOOKUP(A1639,Table!$I$4:$O$3000,1,TRUE),"")</f>
        <v/>
      </c>
      <c r="L1639" s="31" t="str">
        <f>IFERROR(INDEX(Table!I:O,MATCH(K1639,Table!I:I,0),2),"")</f>
        <v/>
      </c>
      <c r="M1639" s="31" t="str">
        <f>IFERROR(INDEX(Table!I:O,MATCH(K1639,Table!I:I,0),3),"")</f>
        <v/>
      </c>
      <c r="N1639" s="32" t="str">
        <f>IFERROR(INDEX(Table!I:O,MATCH(K1639,Table!I:I,0),4),"")</f>
        <v/>
      </c>
      <c r="O1639" s="32" t="str">
        <f>IFERROR(INDEX(Table!I:O,MATCH(K1639,Table!I:I,0),5),"")</f>
        <v/>
      </c>
      <c r="P1639" s="32" t="str">
        <f>IFERROR(INDEX(Table!I:O,MATCH(K1639,Table!I:I,0),6),"")</f>
        <v/>
      </c>
      <c r="Q1639" s="89" t="str">
        <f t="shared" si="75"/>
        <v/>
      </c>
      <c r="R1639" s="89" t="str">
        <f t="shared" si="76"/>
        <v/>
      </c>
      <c r="S1639" s="82"/>
      <c r="U1639" s="37" t="e">
        <f t="shared" si="77"/>
        <v>#VALUE!</v>
      </c>
    </row>
    <row r="1640" spans="1:21" x14ac:dyDescent="0.25">
      <c r="A1640" s="31" t="str">
        <f>IF(Table!A1640 = "","",Table!A1640)</f>
        <v/>
      </c>
      <c r="B1640" s="31" t="str">
        <f>IF(Table!B1640 = "","",Table!B1640)</f>
        <v/>
      </c>
      <c r="C1640" s="31" t="str">
        <f>IF(Table!C1640 = "","",Table!C1640)</f>
        <v/>
      </c>
      <c r="D1640" s="32" t="str">
        <f>IF(Table!D1640 = "","",Table!D1640)</f>
        <v/>
      </c>
      <c r="E1640" s="32" t="str">
        <f>IF(Table!E1640 = "","",Table!E1640)</f>
        <v/>
      </c>
      <c r="F1640" s="32" t="str">
        <f>IF(Table!F1640 = "","",Table!F1640)</f>
        <v/>
      </c>
      <c r="G1640" s="91"/>
      <c r="K1640" s="31" t="str">
        <f>IFERROR(VLOOKUP(A1640,Table!$I$4:$O$3000,1,TRUE),"")</f>
        <v/>
      </c>
      <c r="L1640" s="31" t="str">
        <f>IFERROR(INDEX(Table!I:O,MATCH(K1640,Table!I:I,0),2),"")</f>
        <v/>
      </c>
      <c r="M1640" s="31" t="str">
        <f>IFERROR(INDEX(Table!I:O,MATCH(K1640,Table!I:I,0),3),"")</f>
        <v/>
      </c>
      <c r="N1640" s="32" t="str">
        <f>IFERROR(INDEX(Table!I:O,MATCH(K1640,Table!I:I,0),4),"")</f>
        <v/>
      </c>
      <c r="O1640" s="32" t="str">
        <f>IFERROR(INDEX(Table!I:O,MATCH(K1640,Table!I:I,0),5),"")</f>
        <v/>
      </c>
      <c r="P1640" s="32" t="str">
        <f>IFERROR(INDEX(Table!I:O,MATCH(K1640,Table!I:I,0),6),"")</f>
        <v/>
      </c>
      <c r="Q1640" s="89" t="str">
        <f t="shared" si="75"/>
        <v/>
      </c>
      <c r="R1640" s="89" t="str">
        <f t="shared" si="76"/>
        <v/>
      </c>
      <c r="S1640" s="82"/>
      <c r="U1640" s="37" t="e">
        <f t="shared" si="77"/>
        <v>#VALUE!</v>
      </c>
    </row>
    <row r="1641" spans="1:21" x14ac:dyDescent="0.25">
      <c r="A1641" s="31" t="str">
        <f>IF(Table!A1641 = "","",Table!A1641)</f>
        <v/>
      </c>
      <c r="B1641" s="31" t="str">
        <f>IF(Table!B1641 = "","",Table!B1641)</f>
        <v/>
      </c>
      <c r="C1641" s="31" t="str">
        <f>IF(Table!C1641 = "","",Table!C1641)</f>
        <v/>
      </c>
      <c r="D1641" s="32" t="str">
        <f>IF(Table!D1641 = "","",Table!D1641)</f>
        <v/>
      </c>
      <c r="E1641" s="32" t="str">
        <f>IF(Table!E1641 = "","",Table!E1641)</f>
        <v/>
      </c>
      <c r="F1641" s="32" t="str">
        <f>IF(Table!F1641 = "","",Table!F1641)</f>
        <v/>
      </c>
      <c r="G1641" s="91"/>
      <c r="K1641" s="31" t="str">
        <f>IFERROR(VLOOKUP(A1641,Table!$I$4:$O$3000,1,TRUE),"")</f>
        <v/>
      </c>
      <c r="L1641" s="31" t="str">
        <f>IFERROR(INDEX(Table!I:O,MATCH(K1641,Table!I:I,0),2),"")</f>
        <v/>
      </c>
      <c r="M1641" s="31" t="str">
        <f>IFERROR(INDEX(Table!I:O,MATCH(K1641,Table!I:I,0),3),"")</f>
        <v/>
      </c>
      <c r="N1641" s="32" t="str">
        <f>IFERROR(INDEX(Table!I:O,MATCH(K1641,Table!I:I,0),4),"")</f>
        <v/>
      </c>
      <c r="O1641" s="32" t="str">
        <f>IFERROR(INDEX(Table!I:O,MATCH(K1641,Table!I:I,0),5),"")</f>
        <v/>
      </c>
      <c r="P1641" s="32" t="str">
        <f>IFERROR(INDEX(Table!I:O,MATCH(K1641,Table!I:I,0),6),"")</f>
        <v/>
      </c>
      <c r="Q1641" s="89" t="str">
        <f t="shared" si="75"/>
        <v/>
      </c>
      <c r="R1641" s="89" t="str">
        <f t="shared" si="76"/>
        <v/>
      </c>
      <c r="S1641" s="82"/>
      <c r="U1641" s="37" t="e">
        <f t="shared" si="77"/>
        <v>#VALUE!</v>
      </c>
    </row>
    <row r="1642" spans="1:21" x14ac:dyDescent="0.25">
      <c r="A1642" s="31" t="str">
        <f>IF(Table!A1642 = "","",Table!A1642)</f>
        <v/>
      </c>
      <c r="B1642" s="31" t="str">
        <f>IF(Table!B1642 = "","",Table!B1642)</f>
        <v/>
      </c>
      <c r="C1642" s="31" t="str">
        <f>IF(Table!C1642 = "","",Table!C1642)</f>
        <v/>
      </c>
      <c r="D1642" s="32" t="str">
        <f>IF(Table!D1642 = "","",Table!D1642)</f>
        <v/>
      </c>
      <c r="E1642" s="32" t="str">
        <f>IF(Table!E1642 = "","",Table!E1642)</f>
        <v/>
      </c>
      <c r="F1642" s="32" t="str">
        <f>IF(Table!F1642 = "","",Table!F1642)</f>
        <v/>
      </c>
      <c r="G1642" s="91"/>
      <c r="K1642" s="31" t="str">
        <f>IFERROR(VLOOKUP(A1642,Table!$I$4:$O$3000,1,TRUE),"")</f>
        <v/>
      </c>
      <c r="L1642" s="31" t="str">
        <f>IFERROR(INDEX(Table!I:O,MATCH(K1642,Table!I:I,0),2),"")</f>
        <v/>
      </c>
      <c r="M1642" s="31" t="str">
        <f>IFERROR(INDEX(Table!I:O,MATCH(K1642,Table!I:I,0),3),"")</f>
        <v/>
      </c>
      <c r="N1642" s="32" t="str">
        <f>IFERROR(INDEX(Table!I:O,MATCH(K1642,Table!I:I,0),4),"")</f>
        <v/>
      </c>
      <c r="O1642" s="32" t="str">
        <f>IFERROR(INDEX(Table!I:O,MATCH(K1642,Table!I:I,0),5),"")</f>
        <v/>
      </c>
      <c r="P1642" s="32" t="str">
        <f>IFERROR(INDEX(Table!I:O,MATCH(K1642,Table!I:I,0),6),"")</f>
        <v/>
      </c>
      <c r="Q1642" s="89" t="str">
        <f t="shared" si="75"/>
        <v/>
      </c>
      <c r="R1642" s="89" t="str">
        <f t="shared" si="76"/>
        <v/>
      </c>
      <c r="S1642" s="82"/>
      <c r="U1642" s="37" t="e">
        <f t="shared" si="77"/>
        <v>#VALUE!</v>
      </c>
    </row>
    <row r="1643" spans="1:21" x14ac:dyDescent="0.25">
      <c r="A1643" s="31" t="str">
        <f>IF(Table!A1643 = "","",Table!A1643)</f>
        <v/>
      </c>
      <c r="B1643" s="31" t="str">
        <f>IF(Table!B1643 = "","",Table!B1643)</f>
        <v/>
      </c>
      <c r="C1643" s="31" t="str">
        <f>IF(Table!C1643 = "","",Table!C1643)</f>
        <v/>
      </c>
      <c r="D1643" s="32" t="str">
        <f>IF(Table!D1643 = "","",Table!D1643)</f>
        <v/>
      </c>
      <c r="E1643" s="32" t="str">
        <f>IF(Table!E1643 = "","",Table!E1643)</f>
        <v/>
      </c>
      <c r="F1643" s="32" t="str">
        <f>IF(Table!F1643 = "","",Table!F1643)</f>
        <v/>
      </c>
      <c r="G1643" s="91"/>
      <c r="K1643" s="31" t="str">
        <f>IFERROR(VLOOKUP(A1643,Table!$I$4:$O$3000,1,TRUE),"")</f>
        <v/>
      </c>
      <c r="L1643" s="31" t="str">
        <f>IFERROR(INDEX(Table!I:O,MATCH(K1643,Table!I:I,0),2),"")</f>
        <v/>
      </c>
      <c r="M1643" s="31" t="str">
        <f>IFERROR(INDEX(Table!I:O,MATCH(K1643,Table!I:I,0),3),"")</f>
        <v/>
      </c>
      <c r="N1643" s="32" t="str">
        <f>IFERROR(INDEX(Table!I:O,MATCH(K1643,Table!I:I,0),4),"")</f>
        <v/>
      </c>
      <c r="O1643" s="32" t="str">
        <f>IFERROR(INDEX(Table!I:O,MATCH(K1643,Table!I:I,0),5),"")</f>
        <v/>
      </c>
      <c r="P1643" s="32" t="str">
        <f>IFERROR(INDEX(Table!I:O,MATCH(K1643,Table!I:I,0),6),"")</f>
        <v/>
      </c>
      <c r="Q1643" s="89" t="str">
        <f t="shared" si="75"/>
        <v/>
      </c>
      <c r="R1643" s="89" t="str">
        <f t="shared" si="76"/>
        <v/>
      </c>
      <c r="S1643" s="82"/>
      <c r="U1643" s="37" t="e">
        <f t="shared" si="77"/>
        <v>#VALUE!</v>
      </c>
    </row>
    <row r="1644" spans="1:21" x14ac:dyDescent="0.25">
      <c r="A1644" s="31" t="str">
        <f>IF(Table!A1644 = "","",Table!A1644)</f>
        <v/>
      </c>
      <c r="B1644" s="31" t="str">
        <f>IF(Table!B1644 = "","",Table!B1644)</f>
        <v/>
      </c>
      <c r="C1644" s="31" t="str">
        <f>IF(Table!C1644 = "","",Table!C1644)</f>
        <v/>
      </c>
      <c r="D1644" s="32" t="str">
        <f>IF(Table!D1644 = "","",Table!D1644)</f>
        <v/>
      </c>
      <c r="E1644" s="32" t="str">
        <f>IF(Table!E1644 = "","",Table!E1644)</f>
        <v/>
      </c>
      <c r="F1644" s="32" t="str">
        <f>IF(Table!F1644 = "","",Table!F1644)</f>
        <v/>
      </c>
      <c r="G1644" s="91"/>
      <c r="K1644" s="31" t="str">
        <f>IFERROR(VLOOKUP(A1644,Table!$I$4:$O$3000,1,TRUE),"")</f>
        <v/>
      </c>
      <c r="L1644" s="31" t="str">
        <f>IFERROR(INDEX(Table!I:O,MATCH(K1644,Table!I:I,0),2),"")</f>
        <v/>
      </c>
      <c r="M1644" s="31" t="str">
        <f>IFERROR(INDEX(Table!I:O,MATCH(K1644,Table!I:I,0),3),"")</f>
        <v/>
      </c>
      <c r="N1644" s="32" t="str">
        <f>IFERROR(INDEX(Table!I:O,MATCH(K1644,Table!I:I,0),4),"")</f>
        <v/>
      </c>
      <c r="O1644" s="32" t="str">
        <f>IFERROR(INDEX(Table!I:O,MATCH(K1644,Table!I:I,0),5),"")</f>
        <v/>
      </c>
      <c r="P1644" s="32" t="str">
        <f>IFERROR(INDEX(Table!I:O,MATCH(K1644,Table!I:I,0),6),"")</f>
        <v/>
      </c>
      <c r="Q1644" s="89" t="str">
        <f t="shared" si="75"/>
        <v/>
      </c>
      <c r="R1644" s="89" t="str">
        <f t="shared" si="76"/>
        <v/>
      </c>
      <c r="S1644" s="82"/>
      <c r="U1644" s="37" t="e">
        <f t="shared" si="77"/>
        <v>#VALUE!</v>
      </c>
    </row>
    <row r="1645" spans="1:21" x14ac:dyDescent="0.25">
      <c r="A1645" s="31" t="str">
        <f>IF(Table!A1645 = "","",Table!A1645)</f>
        <v/>
      </c>
      <c r="B1645" s="31" t="str">
        <f>IF(Table!B1645 = "","",Table!B1645)</f>
        <v/>
      </c>
      <c r="C1645" s="31" t="str">
        <f>IF(Table!C1645 = "","",Table!C1645)</f>
        <v/>
      </c>
      <c r="D1645" s="32" t="str">
        <f>IF(Table!D1645 = "","",Table!D1645)</f>
        <v/>
      </c>
      <c r="E1645" s="32" t="str">
        <f>IF(Table!E1645 = "","",Table!E1645)</f>
        <v/>
      </c>
      <c r="F1645" s="32" t="str">
        <f>IF(Table!F1645 = "","",Table!F1645)</f>
        <v/>
      </c>
      <c r="G1645" s="91"/>
      <c r="K1645" s="31" t="str">
        <f>IFERROR(VLOOKUP(A1645,Table!$I$4:$O$3000,1,TRUE),"")</f>
        <v/>
      </c>
      <c r="L1645" s="31" t="str">
        <f>IFERROR(INDEX(Table!I:O,MATCH(K1645,Table!I:I,0),2),"")</f>
        <v/>
      </c>
      <c r="M1645" s="31" t="str">
        <f>IFERROR(INDEX(Table!I:O,MATCH(K1645,Table!I:I,0),3),"")</f>
        <v/>
      </c>
      <c r="N1645" s="32" t="str">
        <f>IFERROR(INDEX(Table!I:O,MATCH(K1645,Table!I:I,0),4),"")</f>
        <v/>
      </c>
      <c r="O1645" s="32" t="str">
        <f>IFERROR(INDEX(Table!I:O,MATCH(K1645,Table!I:I,0),5),"")</f>
        <v/>
      </c>
      <c r="P1645" s="32" t="str">
        <f>IFERROR(INDEX(Table!I:O,MATCH(K1645,Table!I:I,0),6),"")</f>
        <v/>
      </c>
      <c r="Q1645" s="89" t="str">
        <f t="shared" si="75"/>
        <v/>
      </c>
      <c r="R1645" s="89" t="str">
        <f t="shared" si="76"/>
        <v/>
      </c>
      <c r="S1645" s="82"/>
      <c r="U1645" s="37" t="e">
        <f t="shared" si="77"/>
        <v>#VALUE!</v>
      </c>
    </row>
    <row r="1646" spans="1:21" x14ac:dyDescent="0.25">
      <c r="A1646" s="31" t="str">
        <f>IF(Table!A1646 = "","",Table!A1646)</f>
        <v/>
      </c>
      <c r="B1646" s="31" t="str">
        <f>IF(Table!B1646 = "","",Table!B1646)</f>
        <v/>
      </c>
      <c r="C1646" s="31" t="str">
        <f>IF(Table!C1646 = "","",Table!C1646)</f>
        <v/>
      </c>
      <c r="D1646" s="32" t="str">
        <f>IF(Table!D1646 = "","",Table!D1646)</f>
        <v/>
      </c>
      <c r="E1646" s="32" t="str">
        <f>IF(Table!E1646 = "","",Table!E1646)</f>
        <v/>
      </c>
      <c r="F1646" s="32" t="str">
        <f>IF(Table!F1646 = "","",Table!F1646)</f>
        <v/>
      </c>
      <c r="G1646" s="91"/>
      <c r="K1646" s="31" t="str">
        <f>IFERROR(VLOOKUP(A1646,Table!$I$4:$O$3000,1,TRUE),"")</f>
        <v/>
      </c>
      <c r="L1646" s="31" t="str">
        <f>IFERROR(INDEX(Table!I:O,MATCH(K1646,Table!I:I,0),2),"")</f>
        <v/>
      </c>
      <c r="M1646" s="31" t="str">
        <f>IFERROR(INDEX(Table!I:O,MATCH(K1646,Table!I:I,0),3),"")</f>
        <v/>
      </c>
      <c r="N1646" s="32" t="str">
        <f>IFERROR(INDEX(Table!I:O,MATCH(K1646,Table!I:I,0),4),"")</f>
        <v/>
      </c>
      <c r="O1646" s="32" t="str">
        <f>IFERROR(INDEX(Table!I:O,MATCH(K1646,Table!I:I,0),5),"")</f>
        <v/>
      </c>
      <c r="P1646" s="32" t="str">
        <f>IFERROR(INDEX(Table!I:O,MATCH(K1646,Table!I:I,0),6),"")</f>
        <v/>
      </c>
      <c r="Q1646" s="89" t="str">
        <f t="shared" si="75"/>
        <v/>
      </c>
      <c r="R1646" s="89" t="str">
        <f t="shared" si="76"/>
        <v/>
      </c>
      <c r="S1646" s="82"/>
      <c r="U1646" s="37" t="e">
        <f t="shared" si="77"/>
        <v>#VALUE!</v>
      </c>
    </row>
    <row r="1647" spans="1:21" x14ac:dyDescent="0.25">
      <c r="A1647" s="31" t="str">
        <f>IF(Table!A1647 = "","",Table!A1647)</f>
        <v/>
      </c>
      <c r="B1647" s="31" t="str">
        <f>IF(Table!B1647 = "","",Table!B1647)</f>
        <v/>
      </c>
      <c r="C1647" s="31" t="str">
        <f>IF(Table!C1647 = "","",Table!C1647)</f>
        <v/>
      </c>
      <c r="D1647" s="32" t="str">
        <f>IF(Table!D1647 = "","",Table!D1647)</f>
        <v/>
      </c>
      <c r="E1647" s="32" t="str">
        <f>IF(Table!E1647 = "","",Table!E1647)</f>
        <v/>
      </c>
      <c r="F1647" s="32" t="str">
        <f>IF(Table!F1647 = "","",Table!F1647)</f>
        <v/>
      </c>
      <c r="G1647" s="91"/>
      <c r="K1647" s="31" t="str">
        <f>IFERROR(VLOOKUP(A1647,Table!$I$4:$O$3000,1,TRUE),"")</f>
        <v/>
      </c>
      <c r="L1647" s="31" t="str">
        <f>IFERROR(INDEX(Table!I:O,MATCH(K1647,Table!I:I,0),2),"")</f>
        <v/>
      </c>
      <c r="M1647" s="31" t="str">
        <f>IFERROR(INDEX(Table!I:O,MATCH(K1647,Table!I:I,0),3),"")</f>
        <v/>
      </c>
      <c r="N1647" s="32" t="str">
        <f>IFERROR(INDEX(Table!I:O,MATCH(K1647,Table!I:I,0),4),"")</f>
        <v/>
      </c>
      <c r="O1647" s="32" t="str">
        <f>IFERROR(INDEX(Table!I:O,MATCH(K1647,Table!I:I,0),5),"")</f>
        <v/>
      </c>
      <c r="P1647" s="32" t="str">
        <f>IFERROR(INDEX(Table!I:O,MATCH(K1647,Table!I:I,0),6),"")</f>
        <v/>
      </c>
      <c r="Q1647" s="89" t="str">
        <f t="shared" si="75"/>
        <v/>
      </c>
      <c r="R1647" s="89" t="str">
        <f t="shared" si="76"/>
        <v/>
      </c>
      <c r="S1647" s="82"/>
      <c r="U1647" s="37" t="e">
        <f t="shared" si="77"/>
        <v>#VALUE!</v>
      </c>
    </row>
    <row r="1648" spans="1:21" x14ac:dyDescent="0.25">
      <c r="A1648" s="31" t="str">
        <f>IF(Table!A1648 = "","",Table!A1648)</f>
        <v/>
      </c>
      <c r="B1648" s="31" t="str">
        <f>IF(Table!B1648 = "","",Table!B1648)</f>
        <v/>
      </c>
      <c r="C1648" s="31" t="str">
        <f>IF(Table!C1648 = "","",Table!C1648)</f>
        <v/>
      </c>
      <c r="D1648" s="32" t="str">
        <f>IF(Table!D1648 = "","",Table!D1648)</f>
        <v/>
      </c>
      <c r="E1648" s="32" t="str">
        <f>IF(Table!E1648 = "","",Table!E1648)</f>
        <v/>
      </c>
      <c r="F1648" s="32" t="str">
        <f>IF(Table!F1648 = "","",Table!F1648)</f>
        <v/>
      </c>
      <c r="G1648" s="91"/>
      <c r="K1648" s="31" t="str">
        <f>IFERROR(VLOOKUP(A1648,Table!$I$4:$O$3000,1,TRUE),"")</f>
        <v/>
      </c>
      <c r="L1648" s="31" t="str">
        <f>IFERROR(INDEX(Table!I:O,MATCH(K1648,Table!I:I,0),2),"")</f>
        <v/>
      </c>
      <c r="M1648" s="31" t="str">
        <f>IFERROR(INDEX(Table!I:O,MATCH(K1648,Table!I:I,0),3),"")</f>
        <v/>
      </c>
      <c r="N1648" s="32" t="str">
        <f>IFERROR(INDEX(Table!I:O,MATCH(K1648,Table!I:I,0),4),"")</f>
        <v/>
      </c>
      <c r="O1648" s="32" t="str">
        <f>IFERROR(INDEX(Table!I:O,MATCH(K1648,Table!I:I,0),5),"")</f>
        <v/>
      </c>
      <c r="P1648" s="32" t="str">
        <f>IFERROR(INDEX(Table!I:O,MATCH(K1648,Table!I:I,0),6),"")</f>
        <v/>
      </c>
      <c r="Q1648" s="89" t="str">
        <f t="shared" si="75"/>
        <v/>
      </c>
      <c r="R1648" s="89" t="str">
        <f t="shared" si="76"/>
        <v/>
      </c>
      <c r="S1648" s="82"/>
      <c r="U1648" s="37" t="e">
        <f t="shared" si="77"/>
        <v>#VALUE!</v>
      </c>
    </row>
    <row r="1649" spans="1:21" x14ac:dyDescent="0.25">
      <c r="A1649" s="31" t="str">
        <f>IF(Table!A1649 = "","",Table!A1649)</f>
        <v/>
      </c>
      <c r="B1649" s="31" t="str">
        <f>IF(Table!B1649 = "","",Table!B1649)</f>
        <v/>
      </c>
      <c r="C1649" s="31" t="str">
        <f>IF(Table!C1649 = "","",Table!C1649)</f>
        <v/>
      </c>
      <c r="D1649" s="32" t="str">
        <f>IF(Table!D1649 = "","",Table!D1649)</f>
        <v/>
      </c>
      <c r="E1649" s="32" t="str">
        <f>IF(Table!E1649 = "","",Table!E1649)</f>
        <v/>
      </c>
      <c r="F1649" s="32" t="str">
        <f>IF(Table!F1649 = "","",Table!F1649)</f>
        <v/>
      </c>
      <c r="G1649" s="91"/>
      <c r="K1649" s="31" t="str">
        <f>IFERROR(VLOOKUP(A1649,Table!$I$4:$O$3000,1,TRUE),"")</f>
        <v/>
      </c>
      <c r="L1649" s="31" t="str">
        <f>IFERROR(INDEX(Table!I:O,MATCH(K1649,Table!I:I,0),2),"")</f>
        <v/>
      </c>
      <c r="M1649" s="31" t="str">
        <f>IFERROR(INDEX(Table!I:O,MATCH(K1649,Table!I:I,0),3),"")</f>
        <v/>
      </c>
      <c r="N1649" s="32" t="str">
        <f>IFERROR(INDEX(Table!I:O,MATCH(K1649,Table!I:I,0),4),"")</f>
        <v/>
      </c>
      <c r="O1649" s="32" t="str">
        <f>IFERROR(INDEX(Table!I:O,MATCH(K1649,Table!I:I,0),5),"")</f>
        <v/>
      </c>
      <c r="P1649" s="32" t="str">
        <f>IFERROR(INDEX(Table!I:O,MATCH(K1649,Table!I:I,0),6),"")</f>
        <v/>
      </c>
      <c r="Q1649" s="89" t="str">
        <f t="shared" si="75"/>
        <v/>
      </c>
      <c r="R1649" s="89" t="str">
        <f t="shared" si="76"/>
        <v/>
      </c>
      <c r="S1649" s="82"/>
      <c r="U1649" s="37" t="e">
        <f t="shared" si="77"/>
        <v>#VALUE!</v>
      </c>
    </row>
    <row r="1650" spans="1:21" x14ac:dyDescent="0.25">
      <c r="A1650" s="31" t="str">
        <f>IF(Table!A1650 = "","",Table!A1650)</f>
        <v/>
      </c>
      <c r="B1650" s="31" t="str">
        <f>IF(Table!B1650 = "","",Table!B1650)</f>
        <v/>
      </c>
      <c r="C1650" s="31" t="str">
        <f>IF(Table!C1650 = "","",Table!C1650)</f>
        <v/>
      </c>
      <c r="D1650" s="32" t="str">
        <f>IF(Table!D1650 = "","",Table!D1650)</f>
        <v/>
      </c>
      <c r="E1650" s="32" t="str">
        <f>IF(Table!E1650 = "","",Table!E1650)</f>
        <v/>
      </c>
      <c r="F1650" s="32" t="str">
        <f>IF(Table!F1650 = "","",Table!F1650)</f>
        <v/>
      </c>
      <c r="G1650" s="91"/>
      <c r="K1650" s="31" t="str">
        <f>IFERROR(VLOOKUP(A1650,Table!$I$4:$O$3000,1,TRUE),"")</f>
        <v/>
      </c>
      <c r="L1650" s="31" t="str">
        <f>IFERROR(INDEX(Table!I:O,MATCH(K1650,Table!I:I,0),2),"")</f>
        <v/>
      </c>
      <c r="M1650" s="31" t="str">
        <f>IFERROR(INDEX(Table!I:O,MATCH(K1650,Table!I:I,0),3),"")</f>
        <v/>
      </c>
      <c r="N1650" s="32" t="str">
        <f>IFERROR(INDEX(Table!I:O,MATCH(K1650,Table!I:I,0),4),"")</f>
        <v/>
      </c>
      <c r="O1650" s="32" t="str">
        <f>IFERROR(INDEX(Table!I:O,MATCH(K1650,Table!I:I,0),5),"")</f>
        <v/>
      </c>
      <c r="P1650" s="32" t="str">
        <f>IFERROR(INDEX(Table!I:O,MATCH(K1650,Table!I:I,0),6),"")</f>
        <v/>
      </c>
      <c r="Q1650" s="89" t="str">
        <f t="shared" si="75"/>
        <v/>
      </c>
      <c r="R1650" s="89" t="str">
        <f t="shared" si="76"/>
        <v/>
      </c>
      <c r="S1650" s="82"/>
      <c r="U1650" s="37" t="e">
        <f t="shared" si="77"/>
        <v>#VALUE!</v>
      </c>
    </row>
    <row r="1651" spans="1:21" x14ac:dyDescent="0.25">
      <c r="A1651" s="31" t="str">
        <f>IF(Table!A1651 = "","",Table!A1651)</f>
        <v/>
      </c>
      <c r="B1651" s="31" t="str">
        <f>IF(Table!B1651 = "","",Table!B1651)</f>
        <v/>
      </c>
      <c r="C1651" s="31" t="str">
        <f>IF(Table!C1651 = "","",Table!C1651)</f>
        <v/>
      </c>
      <c r="D1651" s="32" t="str">
        <f>IF(Table!D1651 = "","",Table!D1651)</f>
        <v/>
      </c>
      <c r="E1651" s="32" t="str">
        <f>IF(Table!E1651 = "","",Table!E1651)</f>
        <v/>
      </c>
      <c r="F1651" s="32" t="str">
        <f>IF(Table!F1651 = "","",Table!F1651)</f>
        <v/>
      </c>
      <c r="G1651" s="91"/>
      <c r="K1651" s="31" t="str">
        <f>IFERROR(VLOOKUP(A1651,Table!$I$4:$O$3000,1,TRUE),"")</f>
        <v/>
      </c>
      <c r="L1651" s="31" t="str">
        <f>IFERROR(INDEX(Table!I:O,MATCH(K1651,Table!I:I,0),2),"")</f>
        <v/>
      </c>
      <c r="M1651" s="31" t="str">
        <f>IFERROR(INDEX(Table!I:O,MATCH(K1651,Table!I:I,0),3),"")</f>
        <v/>
      </c>
      <c r="N1651" s="32" t="str">
        <f>IFERROR(INDEX(Table!I:O,MATCH(K1651,Table!I:I,0),4),"")</f>
        <v/>
      </c>
      <c r="O1651" s="32" t="str">
        <f>IFERROR(INDEX(Table!I:O,MATCH(K1651,Table!I:I,0),5),"")</f>
        <v/>
      </c>
      <c r="P1651" s="32" t="str">
        <f>IFERROR(INDEX(Table!I:O,MATCH(K1651,Table!I:I,0),6),"")</f>
        <v/>
      </c>
      <c r="Q1651" s="89" t="str">
        <f t="shared" si="75"/>
        <v/>
      </c>
      <c r="R1651" s="89" t="str">
        <f t="shared" si="76"/>
        <v/>
      </c>
      <c r="S1651" s="82"/>
      <c r="U1651" s="37" t="e">
        <f t="shared" si="77"/>
        <v>#VALUE!</v>
      </c>
    </row>
    <row r="1652" spans="1:21" x14ac:dyDescent="0.25">
      <c r="A1652" s="31" t="str">
        <f>IF(Table!A1652 = "","",Table!A1652)</f>
        <v/>
      </c>
      <c r="B1652" s="31" t="str">
        <f>IF(Table!B1652 = "","",Table!B1652)</f>
        <v/>
      </c>
      <c r="C1652" s="31" t="str">
        <f>IF(Table!C1652 = "","",Table!C1652)</f>
        <v/>
      </c>
      <c r="D1652" s="32" t="str">
        <f>IF(Table!D1652 = "","",Table!D1652)</f>
        <v/>
      </c>
      <c r="E1652" s="32" t="str">
        <f>IF(Table!E1652 = "","",Table!E1652)</f>
        <v/>
      </c>
      <c r="F1652" s="32" t="str">
        <f>IF(Table!F1652 = "","",Table!F1652)</f>
        <v/>
      </c>
      <c r="G1652" s="91"/>
      <c r="K1652" s="31" t="str">
        <f>IFERROR(VLOOKUP(A1652,Table!$I$4:$O$3000,1,TRUE),"")</f>
        <v/>
      </c>
      <c r="L1652" s="31" t="str">
        <f>IFERROR(INDEX(Table!I:O,MATCH(K1652,Table!I:I,0),2),"")</f>
        <v/>
      </c>
      <c r="M1652" s="31" t="str">
        <f>IFERROR(INDEX(Table!I:O,MATCH(K1652,Table!I:I,0),3),"")</f>
        <v/>
      </c>
      <c r="N1652" s="32" t="str">
        <f>IFERROR(INDEX(Table!I:O,MATCH(K1652,Table!I:I,0),4),"")</f>
        <v/>
      </c>
      <c r="O1652" s="32" t="str">
        <f>IFERROR(INDEX(Table!I:O,MATCH(K1652,Table!I:I,0),5),"")</f>
        <v/>
      </c>
      <c r="P1652" s="32" t="str">
        <f>IFERROR(INDEX(Table!I:O,MATCH(K1652,Table!I:I,0),6),"")</f>
        <v/>
      </c>
      <c r="Q1652" s="89" t="str">
        <f t="shared" si="75"/>
        <v/>
      </c>
      <c r="R1652" s="89" t="str">
        <f t="shared" si="76"/>
        <v/>
      </c>
      <c r="S1652" s="82"/>
      <c r="U1652" s="37" t="e">
        <f t="shared" si="77"/>
        <v>#VALUE!</v>
      </c>
    </row>
    <row r="1653" spans="1:21" x14ac:dyDescent="0.25">
      <c r="A1653" s="31" t="str">
        <f>IF(Table!A1653 = "","",Table!A1653)</f>
        <v/>
      </c>
      <c r="B1653" s="31" t="str">
        <f>IF(Table!B1653 = "","",Table!B1653)</f>
        <v/>
      </c>
      <c r="C1653" s="31" t="str">
        <f>IF(Table!C1653 = "","",Table!C1653)</f>
        <v/>
      </c>
      <c r="D1653" s="32" t="str">
        <f>IF(Table!D1653 = "","",Table!D1653)</f>
        <v/>
      </c>
      <c r="E1653" s="32" t="str">
        <f>IF(Table!E1653 = "","",Table!E1653)</f>
        <v/>
      </c>
      <c r="F1653" s="32" t="str">
        <f>IF(Table!F1653 = "","",Table!F1653)</f>
        <v/>
      </c>
      <c r="G1653" s="91"/>
      <c r="K1653" s="31" t="str">
        <f>IFERROR(VLOOKUP(A1653,Table!$I$4:$O$3000,1,TRUE),"")</f>
        <v/>
      </c>
      <c r="L1653" s="31" t="str">
        <f>IFERROR(INDEX(Table!I:O,MATCH(K1653,Table!I:I,0),2),"")</f>
        <v/>
      </c>
      <c r="M1653" s="31" t="str">
        <f>IFERROR(INDEX(Table!I:O,MATCH(K1653,Table!I:I,0),3),"")</f>
        <v/>
      </c>
      <c r="N1653" s="32" t="str">
        <f>IFERROR(INDEX(Table!I:O,MATCH(K1653,Table!I:I,0),4),"")</f>
        <v/>
      </c>
      <c r="O1653" s="32" t="str">
        <f>IFERROR(INDEX(Table!I:O,MATCH(K1653,Table!I:I,0),5),"")</f>
        <v/>
      </c>
      <c r="P1653" s="32" t="str">
        <f>IFERROR(INDEX(Table!I:O,MATCH(K1653,Table!I:I,0),6),"")</f>
        <v/>
      </c>
      <c r="Q1653" s="89" t="str">
        <f t="shared" si="75"/>
        <v/>
      </c>
      <c r="R1653" s="89" t="str">
        <f t="shared" si="76"/>
        <v/>
      </c>
      <c r="S1653" s="82"/>
      <c r="U1653" s="37" t="e">
        <f t="shared" si="77"/>
        <v>#VALUE!</v>
      </c>
    </row>
    <row r="1654" spans="1:21" x14ac:dyDescent="0.25">
      <c r="A1654" s="31" t="str">
        <f>IF(Table!A1654 = "","",Table!A1654)</f>
        <v/>
      </c>
      <c r="B1654" s="31" t="str">
        <f>IF(Table!B1654 = "","",Table!B1654)</f>
        <v/>
      </c>
      <c r="C1654" s="31" t="str">
        <f>IF(Table!C1654 = "","",Table!C1654)</f>
        <v/>
      </c>
      <c r="D1654" s="32" t="str">
        <f>IF(Table!D1654 = "","",Table!D1654)</f>
        <v/>
      </c>
      <c r="E1654" s="32" t="str">
        <f>IF(Table!E1654 = "","",Table!E1654)</f>
        <v/>
      </c>
      <c r="F1654" s="32" t="str">
        <f>IF(Table!F1654 = "","",Table!F1654)</f>
        <v/>
      </c>
      <c r="G1654" s="91"/>
      <c r="K1654" s="31" t="str">
        <f>IFERROR(VLOOKUP(A1654,Table!$I$4:$O$3000,1,TRUE),"")</f>
        <v/>
      </c>
      <c r="L1654" s="31" t="str">
        <f>IFERROR(INDEX(Table!I:O,MATCH(K1654,Table!I:I,0),2),"")</f>
        <v/>
      </c>
      <c r="M1654" s="31" t="str">
        <f>IFERROR(INDEX(Table!I:O,MATCH(K1654,Table!I:I,0),3),"")</f>
        <v/>
      </c>
      <c r="N1654" s="32" t="str">
        <f>IFERROR(INDEX(Table!I:O,MATCH(K1654,Table!I:I,0),4),"")</f>
        <v/>
      </c>
      <c r="O1654" s="32" t="str">
        <f>IFERROR(INDEX(Table!I:O,MATCH(K1654,Table!I:I,0),5),"")</f>
        <v/>
      </c>
      <c r="P1654" s="32" t="str">
        <f>IFERROR(INDEX(Table!I:O,MATCH(K1654,Table!I:I,0),6),"")</f>
        <v/>
      </c>
      <c r="Q1654" s="89" t="str">
        <f t="shared" si="75"/>
        <v/>
      </c>
      <c r="R1654" s="89" t="str">
        <f t="shared" si="76"/>
        <v/>
      </c>
      <c r="S1654" s="82"/>
      <c r="U1654" s="37" t="e">
        <f t="shared" si="77"/>
        <v>#VALUE!</v>
      </c>
    </row>
    <row r="1655" spans="1:21" x14ac:dyDescent="0.25">
      <c r="A1655" s="31" t="str">
        <f>IF(Table!A1655 = "","",Table!A1655)</f>
        <v/>
      </c>
      <c r="B1655" s="31" t="str">
        <f>IF(Table!B1655 = "","",Table!B1655)</f>
        <v/>
      </c>
      <c r="C1655" s="31" t="str">
        <f>IF(Table!C1655 = "","",Table!C1655)</f>
        <v/>
      </c>
      <c r="D1655" s="32" t="str">
        <f>IF(Table!D1655 = "","",Table!D1655)</f>
        <v/>
      </c>
      <c r="E1655" s="32" t="str">
        <f>IF(Table!E1655 = "","",Table!E1655)</f>
        <v/>
      </c>
      <c r="F1655" s="32" t="str">
        <f>IF(Table!F1655 = "","",Table!F1655)</f>
        <v/>
      </c>
      <c r="G1655" s="91"/>
      <c r="K1655" s="31" t="str">
        <f>IFERROR(VLOOKUP(A1655,Table!$I$4:$O$3000,1,TRUE),"")</f>
        <v/>
      </c>
      <c r="L1655" s="31" t="str">
        <f>IFERROR(INDEX(Table!I:O,MATCH(K1655,Table!I:I,0),2),"")</f>
        <v/>
      </c>
      <c r="M1655" s="31" t="str">
        <f>IFERROR(INDEX(Table!I:O,MATCH(K1655,Table!I:I,0),3),"")</f>
        <v/>
      </c>
      <c r="N1655" s="32" t="str">
        <f>IFERROR(INDEX(Table!I:O,MATCH(K1655,Table!I:I,0),4),"")</f>
        <v/>
      </c>
      <c r="O1655" s="32" t="str">
        <f>IFERROR(INDEX(Table!I:O,MATCH(K1655,Table!I:I,0),5),"")</f>
        <v/>
      </c>
      <c r="P1655" s="32" t="str">
        <f>IFERROR(INDEX(Table!I:O,MATCH(K1655,Table!I:I,0),6),"")</f>
        <v/>
      </c>
      <c r="Q1655" s="89" t="str">
        <f t="shared" si="75"/>
        <v/>
      </c>
      <c r="R1655" s="89" t="str">
        <f t="shared" si="76"/>
        <v/>
      </c>
      <c r="S1655" s="82"/>
      <c r="U1655" s="37" t="e">
        <f t="shared" si="77"/>
        <v>#VALUE!</v>
      </c>
    </row>
    <row r="1656" spans="1:21" x14ac:dyDescent="0.25">
      <c r="A1656" s="31" t="str">
        <f>IF(Table!A1656 = "","",Table!A1656)</f>
        <v/>
      </c>
      <c r="B1656" s="31" t="str">
        <f>IF(Table!B1656 = "","",Table!B1656)</f>
        <v/>
      </c>
      <c r="C1656" s="31" t="str">
        <f>IF(Table!C1656 = "","",Table!C1656)</f>
        <v/>
      </c>
      <c r="D1656" s="32" t="str">
        <f>IF(Table!D1656 = "","",Table!D1656)</f>
        <v/>
      </c>
      <c r="E1656" s="32" t="str">
        <f>IF(Table!E1656 = "","",Table!E1656)</f>
        <v/>
      </c>
      <c r="F1656" s="32" t="str">
        <f>IF(Table!F1656 = "","",Table!F1656)</f>
        <v/>
      </c>
      <c r="G1656" s="91"/>
      <c r="K1656" s="31" t="str">
        <f>IFERROR(VLOOKUP(A1656,Table!$I$4:$O$3000,1,TRUE),"")</f>
        <v/>
      </c>
      <c r="L1656" s="31" t="str">
        <f>IFERROR(INDEX(Table!I:O,MATCH(K1656,Table!I:I,0),2),"")</f>
        <v/>
      </c>
      <c r="M1656" s="31" t="str">
        <f>IFERROR(INDEX(Table!I:O,MATCH(K1656,Table!I:I,0),3),"")</f>
        <v/>
      </c>
      <c r="N1656" s="32" t="str">
        <f>IFERROR(INDEX(Table!I:O,MATCH(K1656,Table!I:I,0),4),"")</f>
        <v/>
      </c>
      <c r="O1656" s="32" t="str">
        <f>IFERROR(INDEX(Table!I:O,MATCH(K1656,Table!I:I,0),5),"")</f>
        <v/>
      </c>
      <c r="P1656" s="32" t="str">
        <f>IFERROR(INDEX(Table!I:O,MATCH(K1656,Table!I:I,0),6),"")</f>
        <v/>
      </c>
      <c r="Q1656" s="89" t="str">
        <f t="shared" si="75"/>
        <v/>
      </c>
      <c r="R1656" s="89" t="str">
        <f t="shared" si="76"/>
        <v/>
      </c>
      <c r="S1656" s="82"/>
      <c r="U1656" s="37" t="e">
        <f t="shared" si="77"/>
        <v>#VALUE!</v>
      </c>
    </row>
    <row r="1657" spans="1:21" x14ac:dyDescent="0.25">
      <c r="A1657" s="31" t="str">
        <f>IF(Table!A1657 = "","",Table!A1657)</f>
        <v/>
      </c>
      <c r="B1657" s="31" t="str">
        <f>IF(Table!B1657 = "","",Table!B1657)</f>
        <v/>
      </c>
      <c r="C1657" s="31" t="str">
        <f>IF(Table!C1657 = "","",Table!C1657)</f>
        <v/>
      </c>
      <c r="D1657" s="32" t="str">
        <f>IF(Table!D1657 = "","",Table!D1657)</f>
        <v/>
      </c>
      <c r="E1657" s="32" t="str">
        <f>IF(Table!E1657 = "","",Table!E1657)</f>
        <v/>
      </c>
      <c r="F1657" s="32" t="str">
        <f>IF(Table!F1657 = "","",Table!F1657)</f>
        <v/>
      </c>
      <c r="G1657" s="91"/>
      <c r="K1657" s="31" t="str">
        <f>IFERROR(VLOOKUP(A1657,Table!$I$4:$O$3000,1,TRUE),"")</f>
        <v/>
      </c>
      <c r="L1657" s="31" t="str">
        <f>IFERROR(INDEX(Table!I:O,MATCH(K1657,Table!I:I,0),2),"")</f>
        <v/>
      </c>
      <c r="M1657" s="31" t="str">
        <f>IFERROR(INDEX(Table!I:O,MATCH(K1657,Table!I:I,0),3),"")</f>
        <v/>
      </c>
      <c r="N1657" s="32" t="str">
        <f>IFERROR(INDEX(Table!I:O,MATCH(K1657,Table!I:I,0),4),"")</f>
        <v/>
      </c>
      <c r="O1657" s="32" t="str">
        <f>IFERROR(INDEX(Table!I:O,MATCH(K1657,Table!I:I,0),5),"")</f>
        <v/>
      </c>
      <c r="P1657" s="32" t="str">
        <f>IFERROR(INDEX(Table!I:O,MATCH(K1657,Table!I:I,0),6),"")</f>
        <v/>
      </c>
      <c r="Q1657" s="89" t="str">
        <f t="shared" si="75"/>
        <v/>
      </c>
      <c r="R1657" s="89" t="str">
        <f t="shared" si="76"/>
        <v/>
      </c>
      <c r="S1657" s="82"/>
      <c r="U1657" s="37" t="e">
        <f t="shared" si="77"/>
        <v>#VALUE!</v>
      </c>
    </row>
    <row r="1658" spans="1:21" x14ac:dyDescent="0.25">
      <c r="A1658" s="31" t="str">
        <f>IF(Table!A1658 = "","",Table!A1658)</f>
        <v/>
      </c>
      <c r="B1658" s="31" t="str">
        <f>IF(Table!B1658 = "","",Table!B1658)</f>
        <v/>
      </c>
      <c r="C1658" s="31" t="str">
        <f>IF(Table!C1658 = "","",Table!C1658)</f>
        <v/>
      </c>
      <c r="D1658" s="32" t="str">
        <f>IF(Table!D1658 = "","",Table!D1658)</f>
        <v/>
      </c>
      <c r="E1658" s="32" t="str">
        <f>IF(Table!E1658 = "","",Table!E1658)</f>
        <v/>
      </c>
      <c r="F1658" s="32" t="str">
        <f>IF(Table!F1658 = "","",Table!F1658)</f>
        <v/>
      </c>
      <c r="G1658" s="91"/>
      <c r="K1658" s="31" t="str">
        <f>IFERROR(VLOOKUP(A1658,Table!$I$4:$O$3000,1,TRUE),"")</f>
        <v/>
      </c>
      <c r="L1658" s="31" t="str">
        <f>IFERROR(INDEX(Table!I:O,MATCH(K1658,Table!I:I,0),2),"")</f>
        <v/>
      </c>
      <c r="M1658" s="31" t="str">
        <f>IFERROR(INDEX(Table!I:O,MATCH(K1658,Table!I:I,0),3),"")</f>
        <v/>
      </c>
      <c r="N1658" s="32" t="str">
        <f>IFERROR(INDEX(Table!I:O,MATCH(K1658,Table!I:I,0),4),"")</f>
        <v/>
      </c>
      <c r="O1658" s="32" t="str">
        <f>IFERROR(INDEX(Table!I:O,MATCH(K1658,Table!I:I,0),5),"")</f>
        <v/>
      </c>
      <c r="P1658" s="32" t="str">
        <f>IFERROR(INDEX(Table!I:O,MATCH(K1658,Table!I:I,0),6),"")</f>
        <v/>
      </c>
      <c r="Q1658" s="89" t="str">
        <f t="shared" si="75"/>
        <v/>
      </c>
      <c r="R1658" s="89" t="str">
        <f t="shared" si="76"/>
        <v/>
      </c>
      <c r="S1658" s="82"/>
      <c r="U1658" s="37" t="e">
        <f t="shared" si="77"/>
        <v>#VALUE!</v>
      </c>
    </row>
    <row r="1659" spans="1:21" x14ac:dyDescent="0.25">
      <c r="A1659" s="31" t="str">
        <f>IF(Table!A1659 = "","",Table!A1659)</f>
        <v/>
      </c>
      <c r="B1659" s="31" t="str">
        <f>IF(Table!B1659 = "","",Table!B1659)</f>
        <v/>
      </c>
      <c r="C1659" s="31" t="str">
        <f>IF(Table!C1659 = "","",Table!C1659)</f>
        <v/>
      </c>
      <c r="D1659" s="32" t="str">
        <f>IF(Table!D1659 = "","",Table!D1659)</f>
        <v/>
      </c>
      <c r="E1659" s="32" t="str">
        <f>IF(Table!E1659 = "","",Table!E1659)</f>
        <v/>
      </c>
      <c r="F1659" s="32" t="str">
        <f>IF(Table!F1659 = "","",Table!F1659)</f>
        <v/>
      </c>
      <c r="G1659" s="91"/>
      <c r="K1659" s="31" t="str">
        <f>IFERROR(VLOOKUP(A1659,Table!$I$4:$O$3000,1,TRUE),"")</f>
        <v/>
      </c>
      <c r="L1659" s="31" t="str">
        <f>IFERROR(INDEX(Table!I:O,MATCH(K1659,Table!I:I,0),2),"")</f>
        <v/>
      </c>
      <c r="M1659" s="31" t="str">
        <f>IFERROR(INDEX(Table!I:O,MATCH(K1659,Table!I:I,0),3),"")</f>
        <v/>
      </c>
      <c r="N1659" s="32" t="str">
        <f>IFERROR(INDEX(Table!I:O,MATCH(K1659,Table!I:I,0),4),"")</f>
        <v/>
      </c>
      <c r="O1659" s="32" t="str">
        <f>IFERROR(INDEX(Table!I:O,MATCH(K1659,Table!I:I,0),5),"")</f>
        <v/>
      </c>
      <c r="P1659" s="32" t="str">
        <f>IFERROR(INDEX(Table!I:O,MATCH(K1659,Table!I:I,0),6),"")</f>
        <v/>
      </c>
      <c r="Q1659" s="89" t="str">
        <f t="shared" si="75"/>
        <v/>
      </c>
      <c r="R1659" s="89" t="str">
        <f t="shared" si="76"/>
        <v/>
      </c>
      <c r="S1659" s="82"/>
      <c r="U1659" s="37" t="e">
        <f t="shared" si="77"/>
        <v>#VALUE!</v>
      </c>
    </row>
    <row r="1660" spans="1:21" x14ac:dyDescent="0.25">
      <c r="A1660" s="31" t="str">
        <f>IF(Table!A1660 = "","",Table!A1660)</f>
        <v/>
      </c>
      <c r="B1660" s="31" t="str">
        <f>IF(Table!B1660 = "","",Table!B1660)</f>
        <v/>
      </c>
      <c r="C1660" s="31" t="str">
        <f>IF(Table!C1660 = "","",Table!C1660)</f>
        <v/>
      </c>
      <c r="D1660" s="32" t="str">
        <f>IF(Table!D1660 = "","",Table!D1660)</f>
        <v/>
      </c>
      <c r="E1660" s="32" t="str">
        <f>IF(Table!E1660 = "","",Table!E1660)</f>
        <v/>
      </c>
      <c r="F1660" s="32" t="str">
        <f>IF(Table!F1660 = "","",Table!F1660)</f>
        <v/>
      </c>
      <c r="G1660" s="91"/>
      <c r="K1660" s="31" t="str">
        <f>IFERROR(VLOOKUP(A1660,Table!$I$4:$O$3000,1,TRUE),"")</f>
        <v/>
      </c>
      <c r="L1660" s="31" t="str">
        <f>IFERROR(INDEX(Table!I:O,MATCH(K1660,Table!I:I,0),2),"")</f>
        <v/>
      </c>
      <c r="M1660" s="31" t="str">
        <f>IFERROR(INDEX(Table!I:O,MATCH(K1660,Table!I:I,0),3),"")</f>
        <v/>
      </c>
      <c r="N1660" s="32" t="str">
        <f>IFERROR(INDEX(Table!I:O,MATCH(K1660,Table!I:I,0),4),"")</f>
        <v/>
      </c>
      <c r="O1660" s="32" t="str">
        <f>IFERROR(INDEX(Table!I:O,MATCH(K1660,Table!I:I,0),5),"")</f>
        <v/>
      </c>
      <c r="P1660" s="32" t="str">
        <f>IFERROR(INDEX(Table!I:O,MATCH(K1660,Table!I:I,0),6),"")</f>
        <v/>
      </c>
      <c r="Q1660" s="89" t="str">
        <f t="shared" si="75"/>
        <v/>
      </c>
      <c r="R1660" s="89" t="str">
        <f t="shared" si="76"/>
        <v/>
      </c>
      <c r="S1660" s="82"/>
      <c r="U1660" s="37" t="e">
        <f t="shared" si="77"/>
        <v>#VALUE!</v>
      </c>
    </row>
    <row r="1661" spans="1:21" x14ac:dyDescent="0.25">
      <c r="A1661" s="31" t="str">
        <f>IF(Table!A1661 = "","",Table!A1661)</f>
        <v/>
      </c>
      <c r="B1661" s="31" t="str">
        <f>IF(Table!B1661 = "","",Table!B1661)</f>
        <v/>
      </c>
      <c r="C1661" s="31" t="str">
        <f>IF(Table!C1661 = "","",Table!C1661)</f>
        <v/>
      </c>
      <c r="D1661" s="32" t="str">
        <f>IF(Table!D1661 = "","",Table!D1661)</f>
        <v/>
      </c>
      <c r="E1661" s="32" t="str">
        <f>IF(Table!E1661 = "","",Table!E1661)</f>
        <v/>
      </c>
      <c r="F1661" s="32" t="str">
        <f>IF(Table!F1661 = "","",Table!F1661)</f>
        <v/>
      </c>
      <c r="G1661" s="91"/>
      <c r="K1661" s="31" t="str">
        <f>IFERROR(VLOOKUP(A1661,Table!$I$4:$O$3000,1,TRUE),"")</f>
        <v/>
      </c>
      <c r="L1661" s="31" t="str">
        <f>IFERROR(INDEX(Table!I:O,MATCH(K1661,Table!I:I,0),2),"")</f>
        <v/>
      </c>
      <c r="M1661" s="31" t="str">
        <f>IFERROR(INDEX(Table!I:O,MATCH(K1661,Table!I:I,0),3),"")</f>
        <v/>
      </c>
      <c r="N1661" s="32" t="str">
        <f>IFERROR(INDEX(Table!I:O,MATCH(K1661,Table!I:I,0),4),"")</f>
        <v/>
      </c>
      <c r="O1661" s="32" t="str">
        <f>IFERROR(INDEX(Table!I:O,MATCH(K1661,Table!I:I,0),5),"")</f>
        <v/>
      </c>
      <c r="P1661" s="32" t="str">
        <f>IFERROR(INDEX(Table!I:O,MATCH(K1661,Table!I:I,0),6),"")</f>
        <v/>
      </c>
      <c r="Q1661" s="89" t="str">
        <f t="shared" si="75"/>
        <v/>
      </c>
      <c r="R1661" s="89" t="str">
        <f t="shared" si="76"/>
        <v/>
      </c>
      <c r="S1661" s="82"/>
      <c r="U1661" s="37" t="e">
        <f t="shared" si="77"/>
        <v>#VALUE!</v>
      </c>
    </row>
    <row r="1662" spans="1:21" x14ac:dyDescent="0.25">
      <c r="A1662" s="31" t="str">
        <f>IF(Table!A1662 = "","",Table!A1662)</f>
        <v/>
      </c>
      <c r="B1662" s="31" t="str">
        <f>IF(Table!B1662 = "","",Table!B1662)</f>
        <v/>
      </c>
      <c r="C1662" s="31" t="str">
        <f>IF(Table!C1662 = "","",Table!C1662)</f>
        <v/>
      </c>
      <c r="D1662" s="32" t="str">
        <f>IF(Table!D1662 = "","",Table!D1662)</f>
        <v/>
      </c>
      <c r="E1662" s="32" t="str">
        <f>IF(Table!E1662 = "","",Table!E1662)</f>
        <v/>
      </c>
      <c r="F1662" s="32" t="str">
        <f>IF(Table!F1662 = "","",Table!F1662)</f>
        <v/>
      </c>
      <c r="G1662" s="91"/>
      <c r="K1662" s="31" t="str">
        <f>IFERROR(VLOOKUP(A1662,Table!$I$4:$O$3000,1,TRUE),"")</f>
        <v/>
      </c>
      <c r="L1662" s="31" t="str">
        <f>IFERROR(INDEX(Table!I:O,MATCH(K1662,Table!I:I,0),2),"")</f>
        <v/>
      </c>
      <c r="M1662" s="31" t="str">
        <f>IFERROR(INDEX(Table!I:O,MATCH(K1662,Table!I:I,0),3),"")</f>
        <v/>
      </c>
      <c r="N1662" s="32" t="str">
        <f>IFERROR(INDEX(Table!I:O,MATCH(K1662,Table!I:I,0),4),"")</f>
        <v/>
      </c>
      <c r="O1662" s="32" t="str">
        <f>IFERROR(INDEX(Table!I:O,MATCH(K1662,Table!I:I,0),5),"")</f>
        <v/>
      </c>
      <c r="P1662" s="32" t="str">
        <f>IFERROR(INDEX(Table!I:O,MATCH(K1662,Table!I:I,0),6),"")</f>
        <v/>
      </c>
      <c r="Q1662" s="89" t="str">
        <f t="shared" si="75"/>
        <v/>
      </c>
      <c r="R1662" s="89" t="str">
        <f t="shared" si="76"/>
        <v/>
      </c>
      <c r="S1662" s="82"/>
      <c r="U1662" s="37" t="e">
        <f t="shared" si="77"/>
        <v>#VALUE!</v>
      </c>
    </row>
    <row r="1663" spans="1:21" x14ac:dyDescent="0.25">
      <c r="A1663" s="31" t="str">
        <f>IF(Table!A1663 = "","",Table!A1663)</f>
        <v/>
      </c>
      <c r="B1663" s="31" t="str">
        <f>IF(Table!B1663 = "","",Table!B1663)</f>
        <v/>
      </c>
      <c r="C1663" s="31" t="str">
        <f>IF(Table!C1663 = "","",Table!C1663)</f>
        <v/>
      </c>
      <c r="D1663" s="32" t="str">
        <f>IF(Table!D1663 = "","",Table!D1663)</f>
        <v/>
      </c>
      <c r="E1663" s="32" t="str">
        <f>IF(Table!E1663 = "","",Table!E1663)</f>
        <v/>
      </c>
      <c r="F1663" s="32" t="str">
        <f>IF(Table!F1663 = "","",Table!F1663)</f>
        <v/>
      </c>
      <c r="G1663" s="91"/>
      <c r="K1663" s="31" t="str">
        <f>IFERROR(VLOOKUP(A1663,Table!$I$4:$O$3000,1,TRUE),"")</f>
        <v/>
      </c>
      <c r="L1663" s="31" t="str">
        <f>IFERROR(INDEX(Table!I:O,MATCH(K1663,Table!I:I,0),2),"")</f>
        <v/>
      </c>
      <c r="M1663" s="31" t="str">
        <f>IFERROR(INDEX(Table!I:O,MATCH(K1663,Table!I:I,0),3),"")</f>
        <v/>
      </c>
      <c r="N1663" s="32" t="str">
        <f>IFERROR(INDEX(Table!I:O,MATCH(K1663,Table!I:I,0),4),"")</f>
        <v/>
      </c>
      <c r="O1663" s="32" t="str">
        <f>IFERROR(INDEX(Table!I:O,MATCH(K1663,Table!I:I,0),5),"")</f>
        <v/>
      </c>
      <c r="P1663" s="32" t="str">
        <f>IFERROR(INDEX(Table!I:O,MATCH(K1663,Table!I:I,0),6),"")</f>
        <v/>
      </c>
      <c r="Q1663" s="89" t="str">
        <f t="shared" si="75"/>
        <v/>
      </c>
      <c r="R1663" s="89" t="str">
        <f t="shared" si="76"/>
        <v/>
      </c>
      <c r="S1663" s="82"/>
      <c r="U1663" s="37" t="e">
        <f t="shared" si="77"/>
        <v>#VALUE!</v>
      </c>
    </row>
    <row r="1664" spans="1:21" x14ac:dyDescent="0.25">
      <c r="A1664" s="31" t="str">
        <f>IF(Table!A1664 = "","",Table!A1664)</f>
        <v/>
      </c>
      <c r="B1664" s="31" t="str">
        <f>IF(Table!B1664 = "","",Table!B1664)</f>
        <v/>
      </c>
      <c r="C1664" s="31" t="str">
        <f>IF(Table!C1664 = "","",Table!C1664)</f>
        <v/>
      </c>
      <c r="D1664" s="32" t="str">
        <f>IF(Table!D1664 = "","",Table!D1664)</f>
        <v/>
      </c>
      <c r="E1664" s="32" t="str">
        <f>IF(Table!E1664 = "","",Table!E1664)</f>
        <v/>
      </c>
      <c r="F1664" s="32" t="str">
        <f>IF(Table!F1664 = "","",Table!F1664)</f>
        <v/>
      </c>
      <c r="G1664" s="91"/>
      <c r="K1664" s="31" t="str">
        <f>IFERROR(VLOOKUP(A1664,Table!$I$4:$O$3000,1,TRUE),"")</f>
        <v/>
      </c>
      <c r="L1664" s="31" t="str">
        <f>IFERROR(INDEX(Table!I:O,MATCH(K1664,Table!I:I,0),2),"")</f>
        <v/>
      </c>
      <c r="M1664" s="31" t="str">
        <f>IFERROR(INDEX(Table!I:O,MATCH(K1664,Table!I:I,0),3),"")</f>
        <v/>
      </c>
      <c r="N1664" s="32" t="str">
        <f>IFERROR(INDEX(Table!I:O,MATCH(K1664,Table!I:I,0),4),"")</f>
        <v/>
      </c>
      <c r="O1664" s="32" t="str">
        <f>IFERROR(INDEX(Table!I:O,MATCH(K1664,Table!I:I,0),5),"")</f>
        <v/>
      </c>
      <c r="P1664" s="32" t="str">
        <f>IFERROR(INDEX(Table!I:O,MATCH(K1664,Table!I:I,0),6),"")</f>
        <v/>
      </c>
      <c r="Q1664" s="89" t="str">
        <f t="shared" si="75"/>
        <v/>
      </c>
      <c r="R1664" s="89" t="str">
        <f t="shared" si="76"/>
        <v/>
      </c>
      <c r="S1664" s="82"/>
      <c r="U1664" s="37" t="e">
        <f t="shared" si="77"/>
        <v>#VALUE!</v>
      </c>
    </row>
    <row r="1665" spans="1:21" x14ac:dyDescent="0.25">
      <c r="A1665" s="31" t="str">
        <f>IF(Table!A1665 = "","",Table!A1665)</f>
        <v/>
      </c>
      <c r="B1665" s="31" t="str">
        <f>IF(Table!B1665 = "","",Table!B1665)</f>
        <v/>
      </c>
      <c r="C1665" s="31" t="str">
        <f>IF(Table!C1665 = "","",Table!C1665)</f>
        <v/>
      </c>
      <c r="D1665" s="32" t="str">
        <f>IF(Table!D1665 = "","",Table!D1665)</f>
        <v/>
      </c>
      <c r="E1665" s="32" t="str">
        <f>IF(Table!E1665 = "","",Table!E1665)</f>
        <v/>
      </c>
      <c r="F1665" s="32" t="str">
        <f>IF(Table!F1665 = "","",Table!F1665)</f>
        <v/>
      </c>
      <c r="G1665" s="91"/>
      <c r="K1665" s="31" t="str">
        <f>IFERROR(VLOOKUP(A1665,Table!$I$4:$O$3000,1,TRUE),"")</f>
        <v/>
      </c>
      <c r="L1665" s="31" t="str">
        <f>IFERROR(INDEX(Table!I:O,MATCH(K1665,Table!I:I,0),2),"")</f>
        <v/>
      </c>
      <c r="M1665" s="31" t="str">
        <f>IFERROR(INDEX(Table!I:O,MATCH(K1665,Table!I:I,0),3),"")</f>
        <v/>
      </c>
      <c r="N1665" s="32" t="str">
        <f>IFERROR(INDEX(Table!I:O,MATCH(K1665,Table!I:I,0),4),"")</f>
        <v/>
      </c>
      <c r="O1665" s="32" t="str">
        <f>IFERROR(INDEX(Table!I:O,MATCH(K1665,Table!I:I,0),5),"")</f>
        <v/>
      </c>
      <c r="P1665" s="32" t="str">
        <f>IFERROR(INDEX(Table!I:O,MATCH(K1665,Table!I:I,0),6),"")</f>
        <v/>
      </c>
      <c r="Q1665" s="89" t="str">
        <f t="shared" si="75"/>
        <v/>
      </c>
      <c r="R1665" s="89" t="str">
        <f t="shared" si="76"/>
        <v/>
      </c>
      <c r="S1665" s="82"/>
      <c r="U1665" s="37" t="e">
        <f t="shared" si="77"/>
        <v>#VALUE!</v>
      </c>
    </row>
    <row r="1666" spans="1:21" x14ac:dyDescent="0.25">
      <c r="A1666" s="31" t="str">
        <f>IF(Table!A1666 = "","",Table!A1666)</f>
        <v/>
      </c>
      <c r="B1666" s="31" t="str">
        <f>IF(Table!B1666 = "","",Table!B1666)</f>
        <v/>
      </c>
      <c r="C1666" s="31" t="str">
        <f>IF(Table!C1666 = "","",Table!C1666)</f>
        <v/>
      </c>
      <c r="D1666" s="32" t="str">
        <f>IF(Table!D1666 = "","",Table!D1666)</f>
        <v/>
      </c>
      <c r="E1666" s="32" t="str">
        <f>IF(Table!E1666 = "","",Table!E1666)</f>
        <v/>
      </c>
      <c r="F1666" s="32" t="str">
        <f>IF(Table!F1666 = "","",Table!F1666)</f>
        <v/>
      </c>
      <c r="G1666" s="91"/>
      <c r="K1666" s="31" t="str">
        <f>IFERROR(VLOOKUP(A1666,Table!$I$4:$O$3000,1,TRUE),"")</f>
        <v/>
      </c>
      <c r="L1666" s="31" t="str">
        <f>IFERROR(INDEX(Table!I:O,MATCH(K1666,Table!I:I,0),2),"")</f>
        <v/>
      </c>
      <c r="M1666" s="31" t="str">
        <f>IFERROR(INDEX(Table!I:O,MATCH(K1666,Table!I:I,0),3),"")</f>
        <v/>
      </c>
      <c r="N1666" s="32" t="str">
        <f>IFERROR(INDEX(Table!I:O,MATCH(K1666,Table!I:I,0),4),"")</f>
        <v/>
      </c>
      <c r="O1666" s="32" t="str">
        <f>IFERROR(INDEX(Table!I:O,MATCH(K1666,Table!I:I,0),5),"")</f>
        <v/>
      </c>
      <c r="P1666" s="32" t="str">
        <f>IFERROR(INDEX(Table!I:O,MATCH(K1666,Table!I:I,0),6),"")</f>
        <v/>
      </c>
      <c r="Q1666" s="89" t="str">
        <f t="shared" si="75"/>
        <v/>
      </c>
      <c r="R1666" s="89" t="str">
        <f t="shared" si="76"/>
        <v/>
      </c>
      <c r="S1666" s="82"/>
      <c r="U1666" s="37" t="e">
        <f t="shared" si="77"/>
        <v>#VALUE!</v>
      </c>
    </row>
    <row r="1667" spans="1:21" x14ac:dyDescent="0.25">
      <c r="A1667" s="31" t="str">
        <f>IF(Table!A1667 = "","",Table!A1667)</f>
        <v/>
      </c>
      <c r="B1667" s="31" t="str">
        <f>IF(Table!B1667 = "","",Table!B1667)</f>
        <v/>
      </c>
      <c r="C1667" s="31" t="str">
        <f>IF(Table!C1667 = "","",Table!C1667)</f>
        <v/>
      </c>
      <c r="D1667" s="32" t="str">
        <f>IF(Table!D1667 = "","",Table!D1667)</f>
        <v/>
      </c>
      <c r="E1667" s="32" t="str">
        <f>IF(Table!E1667 = "","",Table!E1667)</f>
        <v/>
      </c>
      <c r="F1667" s="32" t="str">
        <f>IF(Table!F1667 = "","",Table!F1667)</f>
        <v/>
      </c>
      <c r="G1667" s="91"/>
      <c r="K1667" s="31" t="str">
        <f>IFERROR(VLOOKUP(A1667,Table!$I$4:$O$3000,1,TRUE),"")</f>
        <v/>
      </c>
      <c r="L1667" s="31" t="str">
        <f>IFERROR(INDEX(Table!I:O,MATCH(K1667,Table!I:I,0),2),"")</f>
        <v/>
      </c>
      <c r="M1667" s="31" t="str">
        <f>IFERROR(INDEX(Table!I:O,MATCH(K1667,Table!I:I,0),3),"")</f>
        <v/>
      </c>
      <c r="N1667" s="32" t="str">
        <f>IFERROR(INDEX(Table!I:O,MATCH(K1667,Table!I:I,0),4),"")</f>
        <v/>
      </c>
      <c r="O1667" s="32" t="str">
        <f>IFERROR(INDEX(Table!I:O,MATCH(K1667,Table!I:I,0),5),"")</f>
        <v/>
      </c>
      <c r="P1667" s="32" t="str">
        <f>IFERROR(INDEX(Table!I:O,MATCH(K1667,Table!I:I,0),6),"")</f>
        <v/>
      </c>
      <c r="Q1667" s="89" t="str">
        <f t="shared" si="75"/>
        <v/>
      </c>
      <c r="R1667" s="89" t="str">
        <f t="shared" si="76"/>
        <v/>
      </c>
      <c r="S1667" s="82"/>
      <c r="U1667" s="37" t="e">
        <f t="shared" si="77"/>
        <v>#VALUE!</v>
      </c>
    </row>
    <row r="1668" spans="1:21" x14ac:dyDescent="0.25">
      <c r="A1668" s="31" t="str">
        <f>IF(Table!A1668 = "","",Table!A1668)</f>
        <v/>
      </c>
      <c r="B1668" s="31" t="str">
        <f>IF(Table!B1668 = "","",Table!B1668)</f>
        <v/>
      </c>
      <c r="C1668" s="31" t="str">
        <f>IF(Table!C1668 = "","",Table!C1668)</f>
        <v/>
      </c>
      <c r="D1668" s="32" t="str">
        <f>IF(Table!D1668 = "","",Table!D1668)</f>
        <v/>
      </c>
      <c r="E1668" s="32" t="str">
        <f>IF(Table!E1668 = "","",Table!E1668)</f>
        <v/>
      </c>
      <c r="F1668" s="32" t="str">
        <f>IF(Table!F1668 = "","",Table!F1668)</f>
        <v/>
      </c>
      <c r="G1668" s="91"/>
      <c r="K1668" s="31" t="str">
        <f>IFERROR(VLOOKUP(A1668,Table!$I$4:$O$3000,1,TRUE),"")</f>
        <v/>
      </c>
      <c r="L1668" s="31" t="str">
        <f>IFERROR(INDEX(Table!I:O,MATCH(K1668,Table!I:I,0),2),"")</f>
        <v/>
      </c>
      <c r="M1668" s="31" t="str">
        <f>IFERROR(INDEX(Table!I:O,MATCH(K1668,Table!I:I,0),3),"")</f>
        <v/>
      </c>
      <c r="N1668" s="32" t="str">
        <f>IFERROR(INDEX(Table!I:O,MATCH(K1668,Table!I:I,0),4),"")</f>
        <v/>
      </c>
      <c r="O1668" s="32" t="str">
        <f>IFERROR(INDEX(Table!I:O,MATCH(K1668,Table!I:I,0),5),"")</f>
        <v/>
      </c>
      <c r="P1668" s="32" t="str">
        <f>IFERROR(INDEX(Table!I:O,MATCH(K1668,Table!I:I,0),6),"")</f>
        <v/>
      </c>
      <c r="Q1668" s="89" t="str">
        <f t="shared" si="75"/>
        <v/>
      </c>
      <c r="R1668" s="89" t="str">
        <f t="shared" si="76"/>
        <v/>
      </c>
      <c r="S1668" s="82"/>
      <c r="U1668" s="37" t="e">
        <f t="shared" si="77"/>
        <v>#VALUE!</v>
      </c>
    </row>
    <row r="1669" spans="1:21" x14ac:dyDescent="0.25">
      <c r="A1669" s="31" t="str">
        <f>IF(Table!A1669 = "","",Table!A1669)</f>
        <v/>
      </c>
      <c r="B1669" s="31" t="str">
        <f>IF(Table!B1669 = "","",Table!B1669)</f>
        <v/>
      </c>
      <c r="C1669" s="31" t="str">
        <f>IF(Table!C1669 = "","",Table!C1669)</f>
        <v/>
      </c>
      <c r="D1669" s="32" t="str">
        <f>IF(Table!D1669 = "","",Table!D1669)</f>
        <v/>
      </c>
      <c r="E1669" s="32" t="str">
        <f>IF(Table!E1669 = "","",Table!E1669)</f>
        <v/>
      </c>
      <c r="F1669" s="32" t="str">
        <f>IF(Table!F1669 = "","",Table!F1669)</f>
        <v/>
      </c>
      <c r="G1669" s="91"/>
      <c r="K1669" s="31" t="str">
        <f>IFERROR(VLOOKUP(A1669,Table!$I$4:$O$3000,1,TRUE),"")</f>
        <v/>
      </c>
      <c r="L1669" s="31" t="str">
        <f>IFERROR(INDEX(Table!I:O,MATCH(K1669,Table!I:I,0),2),"")</f>
        <v/>
      </c>
      <c r="M1669" s="31" t="str">
        <f>IFERROR(INDEX(Table!I:O,MATCH(K1669,Table!I:I,0),3),"")</f>
        <v/>
      </c>
      <c r="N1669" s="32" t="str">
        <f>IFERROR(INDEX(Table!I:O,MATCH(K1669,Table!I:I,0),4),"")</f>
        <v/>
      </c>
      <c r="O1669" s="32" t="str">
        <f>IFERROR(INDEX(Table!I:O,MATCH(K1669,Table!I:I,0),5),"")</f>
        <v/>
      </c>
      <c r="P1669" s="32" t="str">
        <f>IFERROR(INDEX(Table!I:O,MATCH(K1669,Table!I:I,0),6),"")</f>
        <v/>
      </c>
      <c r="Q1669" s="89" t="str">
        <f t="shared" si="75"/>
        <v/>
      </c>
      <c r="R1669" s="89" t="str">
        <f t="shared" si="76"/>
        <v/>
      </c>
      <c r="S1669" s="82"/>
      <c r="U1669" s="37" t="e">
        <f t="shared" si="77"/>
        <v>#VALUE!</v>
      </c>
    </row>
    <row r="1670" spans="1:21" x14ac:dyDescent="0.25">
      <c r="A1670" s="31" t="str">
        <f>IF(Table!A1670 = "","",Table!A1670)</f>
        <v/>
      </c>
      <c r="B1670" s="31" t="str">
        <f>IF(Table!B1670 = "","",Table!B1670)</f>
        <v/>
      </c>
      <c r="C1670" s="31" t="str">
        <f>IF(Table!C1670 = "","",Table!C1670)</f>
        <v/>
      </c>
      <c r="D1670" s="32" t="str">
        <f>IF(Table!D1670 = "","",Table!D1670)</f>
        <v/>
      </c>
      <c r="E1670" s="32" t="str">
        <f>IF(Table!E1670 = "","",Table!E1670)</f>
        <v/>
      </c>
      <c r="F1670" s="32" t="str">
        <f>IF(Table!F1670 = "","",Table!F1670)</f>
        <v/>
      </c>
      <c r="G1670" s="91"/>
      <c r="K1670" s="31" t="str">
        <f>IFERROR(VLOOKUP(A1670,Table!$I$4:$O$3000,1,TRUE),"")</f>
        <v/>
      </c>
      <c r="L1670" s="31" t="str">
        <f>IFERROR(INDEX(Table!I:O,MATCH(K1670,Table!I:I,0),2),"")</f>
        <v/>
      </c>
      <c r="M1670" s="31" t="str">
        <f>IFERROR(INDEX(Table!I:O,MATCH(K1670,Table!I:I,0),3),"")</f>
        <v/>
      </c>
      <c r="N1670" s="32" t="str">
        <f>IFERROR(INDEX(Table!I:O,MATCH(K1670,Table!I:I,0),4),"")</f>
        <v/>
      </c>
      <c r="O1670" s="32" t="str">
        <f>IFERROR(INDEX(Table!I:O,MATCH(K1670,Table!I:I,0),5),"")</f>
        <v/>
      </c>
      <c r="P1670" s="32" t="str">
        <f>IFERROR(INDEX(Table!I:O,MATCH(K1670,Table!I:I,0),6),"")</f>
        <v/>
      </c>
      <c r="Q1670" s="89" t="str">
        <f t="shared" ref="Q1670:Q1733" si="78">IFERROR(L1670-B1670,"")</f>
        <v/>
      </c>
      <c r="R1670" s="89" t="str">
        <f t="shared" ref="R1670:R1733" si="79">IFERROR(M1670-C1670,"")</f>
        <v/>
      </c>
      <c r="S1670" s="82"/>
      <c r="U1670" s="37" t="e">
        <f t="shared" ref="U1670:U1733" si="80">K1670-K1669</f>
        <v>#VALUE!</v>
      </c>
    </row>
    <row r="1671" spans="1:21" x14ac:dyDescent="0.25">
      <c r="A1671" s="31" t="str">
        <f>IF(Table!A1671 = "","",Table!A1671)</f>
        <v/>
      </c>
      <c r="B1671" s="31" t="str">
        <f>IF(Table!B1671 = "","",Table!B1671)</f>
        <v/>
      </c>
      <c r="C1671" s="31" t="str">
        <f>IF(Table!C1671 = "","",Table!C1671)</f>
        <v/>
      </c>
      <c r="D1671" s="32" t="str">
        <f>IF(Table!D1671 = "","",Table!D1671)</f>
        <v/>
      </c>
      <c r="E1671" s="32" t="str">
        <f>IF(Table!E1671 = "","",Table!E1671)</f>
        <v/>
      </c>
      <c r="F1671" s="32" t="str">
        <f>IF(Table!F1671 = "","",Table!F1671)</f>
        <v/>
      </c>
      <c r="G1671" s="91"/>
      <c r="K1671" s="31" t="str">
        <f>IFERROR(VLOOKUP(A1671,Table!$I$4:$O$3000,1,TRUE),"")</f>
        <v/>
      </c>
      <c r="L1671" s="31" t="str">
        <f>IFERROR(INDEX(Table!I:O,MATCH(K1671,Table!I:I,0),2),"")</f>
        <v/>
      </c>
      <c r="M1671" s="31" t="str">
        <f>IFERROR(INDEX(Table!I:O,MATCH(K1671,Table!I:I,0),3),"")</f>
        <v/>
      </c>
      <c r="N1671" s="32" t="str">
        <f>IFERROR(INDEX(Table!I:O,MATCH(K1671,Table!I:I,0),4),"")</f>
        <v/>
      </c>
      <c r="O1671" s="32" t="str">
        <f>IFERROR(INDEX(Table!I:O,MATCH(K1671,Table!I:I,0),5),"")</f>
        <v/>
      </c>
      <c r="P1671" s="32" t="str">
        <f>IFERROR(INDEX(Table!I:O,MATCH(K1671,Table!I:I,0),6),"")</f>
        <v/>
      </c>
      <c r="Q1671" s="89" t="str">
        <f t="shared" si="78"/>
        <v/>
      </c>
      <c r="R1671" s="89" t="str">
        <f t="shared" si="79"/>
        <v/>
      </c>
      <c r="S1671" s="82"/>
      <c r="U1671" s="37" t="e">
        <f t="shared" si="80"/>
        <v>#VALUE!</v>
      </c>
    </row>
    <row r="1672" spans="1:21" x14ac:dyDescent="0.25">
      <c r="A1672" s="31" t="str">
        <f>IF(Table!A1672 = "","",Table!A1672)</f>
        <v/>
      </c>
      <c r="B1672" s="31" t="str">
        <f>IF(Table!B1672 = "","",Table!B1672)</f>
        <v/>
      </c>
      <c r="C1672" s="31" t="str">
        <f>IF(Table!C1672 = "","",Table!C1672)</f>
        <v/>
      </c>
      <c r="D1672" s="32" t="str">
        <f>IF(Table!D1672 = "","",Table!D1672)</f>
        <v/>
      </c>
      <c r="E1672" s="32" t="str">
        <f>IF(Table!E1672 = "","",Table!E1672)</f>
        <v/>
      </c>
      <c r="F1672" s="32" t="str">
        <f>IF(Table!F1672 = "","",Table!F1672)</f>
        <v/>
      </c>
      <c r="G1672" s="91"/>
      <c r="K1672" s="31" t="str">
        <f>IFERROR(VLOOKUP(A1672,Table!$I$4:$O$3000,1,TRUE),"")</f>
        <v/>
      </c>
      <c r="L1672" s="31" t="str">
        <f>IFERROR(INDEX(Table!I:O,MATCH(K1672,Table!I:I,0),2),"")</f>
        <v/>
      </c>
      <c r="M1672" s="31" t="str">
        <f>IFERROR(INDEX(Table!I:O,MATCH(K1672,Table!I:I,0),3),"")</f>
        <v/>
      </c>
      <c r="N1672" s="32" t="str">
        <f>IFERROR(INDEX(Table!I:O,MATCH(K1672,Table!I:I,0),4),"")</f>
        <v/>
      </c>
      <c r="O1672" s="32" t="str">
        <f>IFERROR(INDEX(Table!I:O,MATCH(K1672,Table!I:I,0),5),"")</f>
        <v/>
      </c>
      <c r="P1672" s="32" t="str">
        <f>IFERROR(INDEX(Table!I:O,MATCH(K1672,Table!I:I,0),6),"")</f>
        <v/>
      </c>
      <c r="Q1672" s="89" t="str">
        <f t="shared" si="78"/>
        <v/>
      </c>
      <c r="R1672" s="89" t="str">
        <f t="shared" si="79"/>
        <v/>
      </c>
      <c r="S1672" s="82"/>
      <c r="U1672" s="37" t="e">
        <f t="shared" si="80"/>
        <v>#VALUE!</v>
      </c>
    </row>
    <row r="1673" spans="1:21" x14ac:dyDescent="0.25">
      <c r="A1673" s="31" t="str">
        <f>IF(Table!A1673 = "","",Table!A1673)</f>
        <v/>
      </c>
      <c r="B1673" s="31" t="str">
        <f>IF(Table!B1673 = "","",Table!B1673)</f>
        <v/>
      </c>
      <c r="C1673" s="31" t="str">
        <f>IF(Table!C1673 = "","",Table!C1673)</f>
        <v/>
      </c>
      <c r="D1673" s="32" t="str">
        <f>IF(Table!D1673 = "","",Table!D1673)</f>
        <v/>
      </c>
      <c r="E1673" s="32" t="str">
        <f>IF(Table!E1673 = "","",Table!E1673)</f>
        <v/>
      </c>
      <c r="F1673" s="32" t="str">
        <f>IF(Table!F1673 = "","",Table!F1673)</f>
        <v/>
      </c>
      <c r="G1673" s="91"/>
      <c r="K1673" s="31" t="str">
        <f>IFERROR(VLOOKUP(A1673,Table!$I$4:$O$3000,1,TRUE),"")</f>
        <v/>
      </c>
      <c r="L1673" s="31" t="str">
        <f>IFERROR(INDEX(Table!I:O,MATCH(K1673,Table!I:I,0),2),"")</f>
        <v/>
      </c>
      <c r="M1673" s="31" t="str">
        <f>IFERROR(INDEX(Table!I:O,MATCH(K1673,Table!I:I,0),3),"")</f>
        <v/>
      </c>
      <c r="N1673" s="32" t="str">
        <f>IFERROR(INDEX(Table!I:O,MATCH(K1673,Table!I:I,0),4),"")</f>
        <v/>
      </c>
      <c r="O1673" s="32" t="str">
        <f>IFERROR(INDEX(Table!I:O,MATCH(K1673,Table!I:I,0),5),"")</f>
        <v/>
      </c>
      <c r="P1673" s="32" t="str">
        <f>IFERROR(INDEX(Table!I:O,MATCH(K1673,Table!I:I,0),6),"")</f>
        <v/>
      </c>
      <c r="Q1673" s="89" t="str">
        <f t="shared" si="78"/>
        <v/>
      </c>
      <c r="R1673" s="89" t="str">
        <f t="shared" si="79"/>
        <v/>
      </c>
      <c r="S1673" s="82"/>
      <c r="U1673" s="37" t="e">
        <f t="shared" si="80"/>
        <v>#VALUE!</v>
      </c>
    </row>
    <row r="1674" spans="1:21" x14ac:dyDescent="0.25">
      <c r="A1674" s="31" t="str">
        <f>IF(Table!A1674 = "","",Table!A1674)</f>
        <v/>
      </c>
      <c r="B1674" s="31" t="str">
        <f>IF(Table!B1674 = "","",Table!B1674)</f>
        <v/>
      </c>
      <c r="C1674" s="31" t="str">
        <f>IF(Table!C1674 = "","",Table!C1674)</f>
        <v/>
      </c>
      <c r="D1674" s="32" t="str">
        <f>IF(Table!D1674 = "","",Table!D1674)</f>
        <v/>
      </c>
      <c r="E1674" s="32" t="str">
        <f>IF(Table!E1674 = "","",Table!E1674)</f>
        <v/>
      </c>
      <c r="F1674" s="32" t="str">
        <f>IF(Table!F1674 = "","",Table!F1674)</f>
        <v/>
      </c>
      <c r="G1674" s="91"/>
      <c r="K1674" s="31" t="str">
        <f>IFERROR(VLOOKUP(A1674,Table!$I$4:$O$3000,1,TRUE),"")</f>
        <v/>
      </c>
      <c r="L1674" s="31" t="str">
        <f>IFERROR(INDEX(Table!I:O,MATCH(K1674,Table!I:I,0),2),"")</f>
        <v/>
      </c>
      <c r="M1674" s="31" t="str">
        <f>IFERROR(INDEX(Table!I:O,MATCH(K1674,Table!I:I,0),3),"")</f>
        <v/>
      </c>
      <c r="N1674" s="32" t="str">
        <f>IFERROR(INDEX(Table!I:O,MATCH(K1674,Table!I:I,0),4),"")</f>
        <v/>
      </c>
      <c r="O1674" s="32" t="str">
        <f>IFERROR(INDEX(Table!I:O,MATCH(K1674,Table!I:I,0),5),"")</f>
        <v/>
      </c>
      <c r="P1674" s="32" t="str">
        <f>IFERROR(INDEX(Table!I:O,MATCH(K1674,Table!I:I,0),6),"")</f>
        <v/>
      </c>
      <c r="Q1674" s="89" t="str">
        <f t="shared" si="78"/>
        <v/>
      </c>
      <c r="R1674" s="89" t="str">
        <f t="shared" si="79"/>
        <v/>
      </c>
      <c r="S1674" s="82"/>
      <c r="U1674" s="37" t="e">
        <f t="shared" si="80"/>
        <v>#VALUE!</v>
      </c>
    </row>
    <row r="1675" spans="1:21" x14ac:dyDescent="0.25">
      <c r="A1675" s="31" t="str">
        <f>IF(Table!A1675 = "","",Table!A1675)</f>
        <v/>
      </c>
      <c r="B1675" s="31" t="str">
        <f>IF(Table!B1675 = "","",Table!B1675)</f>
        <v/>
      </c>
      <c r="C1675" s="31" t="str">
        <f>IF(Table!C1675 = "","",Table!C1675)</f>
        <v/>
      </c>
      <c r="D1675" s="32" t="str">
        <f>IF(Table!D1675 = "","",Table!D1675)</f>
        <v/>
      </c>
      <c r="E1675" s="32" t="str">
        <f>IF(Table!E1675 = "","",Table!E1675)</f>
        <v/>
      </c>
      <c r="F1675" s="32" t="str">
        <f>IF(Table!F1675 = "","",Table!F1675)</f>
        <v/>
      </c>
      <c r="G1675" s="91"/>
      <c r="K1675" s="31" t="str">
        <f>IFERROR(VLOOKUP(A1675,Table!$I$4:$O$3000,1,TRUE),"")</f>
        <v/>
      </c>
      <c r="L1675" s="31" t="str">
        <f>IFERROR(INDEX(Table!I:O,MATCH(K1675,Table!I:I,0),2),"")</f>
        <v/>
      </c>
      <c r="M1675" s="31" t="str">
        <f>IFERROR(INDEX(Table!I:O,MATCH(K1675,Table!I:I,0),3),"")</f>
        <v/>
      </c>
      <c r="N1675" s="32" t="str">
        <f>IFERROR(INDEX(Table!I:O,MATCH(K1675,Table!I:I,0),4),"")</f>
        <v/>
      </c>
      <c r="O1675" s="32" t="str">
        <f>IFERROR(INDEX(Table!I:O,MATCH(K1675,Table!I:I,0),5),"")</f>
        <v/>
      </c>
      <c r="P1675" s="32" t="str">
        <f>IFERROR(INDEX(Table!I:O,MATCH(K1675,Table!I:I,0),6),"")</f>
        <v/>
      </c>
      <c r="Q1675" s="89" t="str">
        <f t="shared" si="78"/>
        <v/>
      </c>
      <c r="R1675" s="89" t="str">
        <f t="shared" si="79"/>
        <v/>
      </c>
      <c r="S1675" s="82"/>
      <c r="U1675" s="37" t="e">
        <f t="shared" si="80"/>
        <v>#VALUE!</v>
      </c>
    </row>
    <row r="1676" spans="1:21" x14ac:dyDescent="0.25">
      <c r="A1676" s="31" t="str">
        <f>IF(Table!A1676 = "","",Table!A1676)</f>
        <v/>
      </c>
      <c r="B1676" s="31" t="str">
        <f>IF(Table!B1676 = "","",Table!B1676)</f>
        <v/>
      </c>
      <c r="C1676" s="31" t="str">
        <f>IF(Table!C1676 = "","",Table!C1676)</f>
        <v/>
      </c>
      <c r="D1676" s="32" t="str">
        <f>IF(Table!D1676 = "","",Table!D1676)</f>
        <v/>
      </c>
      <c r="E1676" s="32" t="str">
        <f>IF(Table!E1676 = "","",Table!E1676)</f>
        <v/>
      </c>
      <c r="F1676" s="32" t="str">
        <f>IF(Table!F1676 = "","",Table!F1676)</f>
        <v/>
      </c>
      <c r="G1676" s="91"/>
      <c r="K1676" s="31" t="str">
        <f>IFERROR(VLOOKUP(A1676,Table!$I$4:$O$3000,1,TRUE),"")</f>
        <v/>
      </c>
      <c r="L1676" s="31" t="str">
        <f>IFERROR(INDEX(Table!I:O,MATCH(K1676,Table!I:I,0),2),"")</f>
        <v/>
      </c>
      <c r="M1676" s="31" t="str">
        <f>IFERROR(INDEX(Table!I:O,MATCH(K1676,Table!I:I,0),3),"")</f>
        <v/>
      </c>
      <c r="N1676" s="32" t="str">
        <f>IFERROR(INDEX(Table!I:O,MATCH(K1676,Table!I:I,0),4),"")</f>
        <v/>
      </c>
      <c r="O1676" s="32" t="str">
        <f>IFERROR(INDEX(Table!I:O,MATCH(K1676,Table!I:I,0),5),"")</f>
        <v/>
      </c>
      <c r="P1676" s="32" t="str">
        <f>IFERROR(INDEX(Table!I:O,MATCH(K1676,Table!I:I,0),6),"")</f>
        <v/>
      </c>
      <c r="Q1676" s="89" t="str">
        <f t="shared" si="78"/>
        <v/>
      </c>
      <c r="R1676" s="89" t="str">
        <f t="shared" si="79"/>
        <v/>
      </c>
      <c r="S1676" s="82"/>
      <c r="U1676" s="37" t="e">
        <f t="shared" si="80"/>
        <v>#VALUE!</v>
      </c>
    </row>
    <row r="1677" spans="1:21" x14ac:dyDescent="0.25">
      <c r="A1677" s="31" t="str">
        <f>IF(Table!A1677 = "","",Table!A1677)</f>
        <v/>
      </c>
      <c r="B1677" s="31" t="str">
        <f>IF(Table!B1677 = "","",Table!B1677)</f>
        <v/>
      </c>
      <c r="C1677" s="31" t="str">
        <f>IF(Table!C1677 = "","",Table!C1677)</f>
        <v/>
      </c>
      <c r="D1677" s="32" t="str">
        <f>IF(Table!D1677 = "","",Table!D1677)</f>
        <v/>
      </c>
      <c r="E1677" s="32" t="str">
        <f>IF(Table!E1677 = "","",Table!E1677)</f>
        <v/>
      </c>
      <c r="F1677" s="32" t="str">
        <f>IF(Table!F1677 = "","",Table!F1677)</f>
        <v/>
      </c>
      <c r="G1677" s="91"/>
      <c r="K1677" s="31" t="str">
        <f>IFERROR(VLOOKUP(A1677,Table!$I$4:$O$3000,1,TRUE),"")</f>
        <v/>
      </c>
      <c r="L1677" s="31" t="str">
        <f>IFERROR(INDEX(Table!I:O,MATCH(K1677,Table!I:I,0),2),"")</f>
        <v/>
      </c>
      <c r="M1677" s="31" t="str">
        <f>IFERROR(INDEX(Table!I:O,MATCH(K1677,Table!I:I,0),3),"")</f>
        <v/>
      </c>
      <c r="N1677" s="32" t="str">
        <f>IFERROR(INDEX(Table!I:O,MATCH(K1677,Table!I:I,0),4),"")</f>
        <v/>
      </c>
      <c r="O1677" s="32" t="str">
        <f>IFERROR(INDEX(Table!I:O,MATCH(K1677,Table!I:I,0),5),"")</f>
        <v/>
      </c>
      <c r="P1677" s="32" t="str">
        <f>IFERROR(INDEX(Table!I:O,MATCH(K1677,Table!I:I,0),6),"")</f>
        <v/>
      </c>
      <c r="Q1677" s="89" t="str">
        <f t="shared" si="78"/>
        <v/>
      </c>
      <c r="R1677" s="89" t="str">
        <f t="shared" si="79"/>
        <v/>
      </c>
      <c r="S1677" s="82"/>
      <c r="U1677" s="37" t="e">
        <f t="shared" si="80"/>
        <v>#VALUE!</v>
      </c>
    </row>
    <row r="1678" spans="1:21" x14ac:dyDescent="0.25">
      <c r="A1678" s="31" t="str">
        <f>IF(Table!A1678 = "","",Table!A1678)</f>
        <v/>
      </c>
      <c r="B1678" s="31" t="str">
        <f>IF(Table!B1678 = "","",Table!B1678)</f>
        <v/>
      </c>
      <c r="C1678" s="31" t="str">
        <f>IF(Table!C1678 = "","",Table!C1678)</f>
        <v/>
      </c>
      <c r="D1678" s="32" t="str">
        <f>IF(Table!D1678 = "","",Table!D1678)</f>
        <v/>
      </c>
      <c r="E1678" s="32" t="str">
        <f>IF(Table!E1678 = "","",Table!E1678)</f>
        <v/>
      </c>
      <c r="F1678" s="32" t="str">
        <f>IF(Table!F1678 = "","",Table!F1678)</f>
        <v/>
      </c>
      <c r="G1678" s="91"/>
      <c r="K1678" s="31" t="str">
        <f>IFERROR(VLOOKUP(A1678,Table!$I$4:$O$3000,1,TRUE),"")</f>
        <v/>
      </c>
      <c r="L1678" s="31" t="str">
        <f>IFERROR(INDEX(Table!I:O,MATCH(K1678,Table!I:I,0),2),"")</f>
        <v/>
      </c>
      <c r="M1678" s="31" t="str">
        <f>IFERROR(INDEX(Table!I:O,MATCH(K1678,Table!I:I,0),3),"")</f>
        <v/>
      </c>
      <c r="N1678" s="32" t="str">
        <f>IFERROR(INDEX(Table!I:O,MATCH(K1678,Table!I:I,0),4),"")</f>
        <v/>
      </c>
      <c r="O1678" s="32" t="str">
        <f>IFERROR(INDEX(Table!I:O,MATCH(K1678,Table!I:I,0),5),"")</f>
        <v/>
      </c>
      <c r="P1678" s="32" t="str">
        <f>IFERROR(INDEX(Table!I:O,MATCH(K1678,Table!I:I,0),6),"")</f>
        <v/>
      </c>
      <c r="Q1678" s="89" t="str">
        <f t="shared" si="78"/>
        <v/>
      </c>
      <c r="R1678" s="89" t="str">
        <f t="shared" si="79"/>
        <v/>
      </c>
      <c r="S1678" s="82"/>
      <c r="U1678" s="37" t="e">
        <f t="shared" si="80"/>
        <v>#VALUE!</v>
      </c>
    </row>
    <row r="1679" spans="1:21" x14ac:dyDescent="0.25">
      <c r="A1679" s="31" t="str">
        <f>IF(Table!A1679 = "","",Table!A1679)</f>
        <v/>
      </c>
      <c r="B1679" s="31" t="str">
        <f>IF(Table!B1679 = "","",Table!B1679)</f>
        <v/>
      </c>
      <c r="C1679" s="31" t="str">
        <f>IF(Table!C1679 = "","",Table!C1679)</f>
        <v/>
      </c>
      <c r="D1679" s="32" t="str">
        <f>IF(Table!D1679 = "","",Table!D1679)</f>
        <v/>
      </c>
      <c r="E1679" s="32" t="str">
        <f>IF(Table!E1679 = "","",Table!E1679)</f>
        <v/>
      </c>
      <c r="F1679" s="32" t="str">
        <f>IF(Table!F1679 = "","",Table!F1679)</f>
        <v/>
      </c>
      <c r="G1679" s="91"/>
      <c r="K1679" s="31" t="str">
        <f>IFERROR(VLOOKUP(A1679,Table!$I$4:$O$3000,1,TRUE),"")</f>
        <v/>
      </c>
      <c r="L1679" s="31" t="str">
        <f>IFERROR(INDEX(Table!I:O,MATCH(K1679,Table!I:I,0),2),"")</f>
        <v/>
      </c>
      <c r="M1679" s="31" t="str">
        <f>IFERROR(INDEX(Table!I:O,MATCH(K1679,Table!I:I,0),3),"")</f>
        <v/>
      </c>
      <c r="N1679" s="32" t="str">
        <f>IFERROR(INDEX(Table!I:O,MATCH(K1679,Table!I:I,0),4),"")</f>
        <v/>
      </c>
      <c r="O1679" s="32" t="str">
        <f>IFERROR(INDEX(Table!I:O,MATCH(K1679,Table!I:I,0),5),"")</f>
        <v/>
      </c>
      <c r="P1679" s="32" t="str">
        <f>IFERROR(INDEX(Table!I:O,MATCH(K1679,Table!I:I,0),6),"")</f>
        <v/>
      </c>
      <c r="Q1679" s="89" t="str">
        <f t="shared" si="78"/>
        <v/>
      </c>
      <c r="R1679" s="89" t="str">
        <f t="shared" si="79"/>
        <v/>
      </c>
      <c r="S1679" s="82"/>
      <c r="U1679" s="37" t="e">
        <f t="shared" si="80"/>
        <v>#VALUE!</v>
      </c>
    </row>
    <row r="1680" spans="1:21" x14ac:dyDescent="0.25">
      <c r="A1680" s="31" t="str">
        <f>IF(Table!A1680 = "","",Table!A1680)</f>
        <v/>
      </c>
      <c r="B1680" s="31" t="str">
        <f>IF(Table!B1680 = "","",Table!B1680)</f>
        <v/>
      </c>
      <c r="C1680" s="31" t="str">
        <f>IF(Table!C1680 = "","",Table!C1680)</f>
        <v/>
      </c>
      <c r="D1680" s="32" t="str">
        <f>IF(Table!D1680 = "","",Table!D1680)</f>
        <v/>
      </c>
      <c r="E1680" s="32" t="str">
        <f>IF(Table!E1680 = "","",Table!E1680)</f>
        <v/>
      </c>
      <c r="F1680" s="32" t="str">
        <f>IF(Table!F1680 = "","",Table!F1680)</f>
        <v/>
      </c>
      <c r="G1680" s="91"/>
      <c r="K1680" s="31" t="str">
        <f>IFERROR(VLOOKUP(A1680,Table!$I$4:$O$3000,1,TRUE),"")</f>
        <v/>
      </c>
      <c r="L1680" s="31" t="str">
        <f>IFERROR(INDEX(Table!I:O,MATCH(K1680,Table!I:I,0),2),"")</f>
        <v/>
      </c>
      <c r="M1680" s="31" t="str">
        <f>IFERROR(INDEX(Table!I:O,MATCH(K1680,Table!I:I,0),3),"")</f>
        <v/>
      </c>
      <c r="N1680" s="32" t="str">
        <f>IFERROR(INDEX(Table!I:O,MATCH(K1680,Table!I:I,0),4),"")</f>
        <v/>
      </c>
      <c r="O1680" s="32" t="str">
        <f>IFERROR(INDEX(Table!I:O,MATCH(K1680,Table!I:I,0),5),"")</f>
        <v/>
      </c>
      <c r="P1680" s="32" t="str">
        <f>IFERROR(INDEX(Table!I:O,MATCH(K1680,Table!I:I,0),6),"")</f>
        <v/>
      </c>
      <c r="Q1680" s="89" t="str">
        <f t="shared" si="78"/>
        <v/>
      </c>
      <c r="R1680" s="89" t="str">
        <f t="shared" si="79"/>
        <v/>
      </c>
      <c r="S1680" s="82"/>
      <c r="U1680" s="37" t="e">
        <f t="shared" si="80"/>
        <v>#VALUE!</v>
      </c>
    </row>
    <row r="1681" spans="1:21" x14ac:dyDescent="0.25">
      <c r="A1681" s="31" t="str">
        <f>IF(Table!A1681 = "","",Table!A1681)</f>
        <v/>
      </c>
      <c r="B1681" s="31" t="str">
        <f>IF(Table!B1681 = "","",Table!B1681)</f>
        <v/>
      </c>
      <c r="C1681" s="31" t="str">
        <f>IF(Table!C1681 = "","",Table!C1681)</f>
        <v/>
      </c>
      <c r="D1681" s="32" t="str">
        <f>IF(Table!D1681 = "","",Table!D1681)</f>
        <v/>
      </c>
      <c r="E1681" s="32" t="str">
        <f>IF(Table!E1681 = "","",Table!E1681)</f>
        <v/>
      </c>
      <c r="F1681" s="32" t="str">
        <f>IF(Table!F1681 = "","",Table!F1681)</f>
        <v/>
      </c>
      <c r="G1681" s="91"/>
      <c r="K1681" s="31" t="str">
        <f>IFERROR(VLOOKUP(A1681,Table!$I$4:$O$3000,1,TRUE),"")</f>
        <v/>
      </c>
      <c r="L1681" s="31" t="str">
        <f>IFERROR(INDEX(Table!I:O,MATCH(K1681,Table!I:I,0),2),"")</f>
        <v/>
      </c>
      <c r="M1681" s="31" t="str">
        <f>IFERROR(INDEX(Table!I:O,MATCH(K1681,Table!I:I,0),3),"")</f>
        <v/>
      </c>
      <c r="N1681" s="32" t="str">
        <f>IFERROR(INDEX(Table!I:O,MATCH(K1681,Table!I:I,0),4),"")</f>
        <v/>
      </c>
      <c r="O1681" s="32" t="str">
        <f>IFERROR(INDEX(Table!I:O,MATCH(K1681,Table!I:I,0),5),"")</f>
        <v/>
      </c>
      <c r="P1681" s="32" t="str">
        <f>IFERROR(INDEX(Table!I:O,MATCH(K1681,Table!I:I,0),6),"")</f>
        <v/>
      </c>
      <c r="Q1681" s="89" t="str">
        <f t="shared" si="78"/>
        <v/>
      </c>
      <c r="R1681" s="89" t="str">
        <f t="shared" si="79"/>
        <v/>
      </c>
      <c r="S1681" s="82"/>
      <c r="U1681" s="37" t="e">
        <f t="shared" si="80"/>
        <v>#VALUE!</v>
      </c>
    </row>
    <row r="1682" spans="1:21" x14ac:dyDescent="0.25">
      <c r="A1682" s="31" t="str">
        <f>IF(Table!A1682 = "","",Table!A1682)</f>
        <v/>
      </c>
      <c r="B1682" s="31" t="str">
        <f>IF(Table!B1682 = "","",Table!B1682)</f>
        <v/>
      </c>
      <c r="C1682" s="31" t="str">
        <f>IF(Table!C1682 = "","",Table!C1682)</f>
        <v/>
      </c>
      <c r="D1682" s="32" t="str">
        <f>IF(Table!D1682 = "","",Table!D1682)</f>
        <v/>
      </c>
      <c r="E1682" s="32" t="str">
        <f>IF(Table!E1682 = "","",Table!E1682)</f>
        <v/>
      </c>
      <c r="F1682" s="32" t="str">
        <f>IF(Table!F1682 = "","",Table!F1682)</f>
        <v/>
      </c>
      <c r="G1682" s="91"/>
      <c r="K1682" s="31" t="str">
        <f>IFERROR(VLOOKUP(A1682,Table!$I$4:$O$3000,1,TRUE),"")</f>
        <v/>
      </c>
      <c r="L1682" s="31" t="str">
        <f>IFERROR(INDEX(Table!I:O,MATCH(K1682,Table!I:I,0),2),"")</f>
        <v/>
      </c>
      <c r="M1682" s="31" t="str">
        <f>IFERROR(INDEX(Table!I:O,MATCH(K1682,Table!I:I,0),3),"")</f>
        <v/>
      </c>
      <c r="N1682" s="32" t="str">
        <f>IFERROR(INDEX(Table!I:O,MATCH(K1682,Table!I:I,0),4),"")</f>
        <v/>
      </c>
      <c r="O1682" s="32" t="str">
        <f>IFERROR(INDEX(Table!I:O,MATCH(K1682,Table!I:I,0),5),"")</f>
        <v/>
      </c>
      <c r="P1682" s="32" t="str">
        <f>IFERROR(INDEX(Table!I:O,MATCH(K1682,Table!I:I,0),6),"")</f>
        <v/>
      </c>
      <c r="Q1682" s="89" t="str">
        <f t="shared" si="78"/>
        <v/>
      </c>
      <c r="R1682" s="89" t="str">
        <f t="shared" si="79"/>
        <v/>
      </c>
      <c r="S1682" s="82"/>
      <c r="U1682" s="37" t="e">
        <f t="shared" si="80"/>
        <v>#VALUE!</v>
      </c>
    </row>
    <row r="1683" spans="1:21" x14ac:dyDescent="0.25">
      <c r="A1683" s="31" t="str">
        <f>IF(Table!A1683 = "","",Table!A1683)</f>
        <v/>
      </c>
      <c r="B1683" s="31" t="str">
        <f>IF(Table!B1683 = "","",Table!B1683)</f>
        <v/>
      </c>
      <c r="C1683" s="31" t="str">
        <f>IF(Table!C1683 = "","",Table!C1683)</f>
        <v/>
      </c>
      <c r="D1683" s="32" t="str">
        <f>IF(Table!D1683 = "","",Table!D1683)</f>
        <v/>
      </c>
      <c r="E1683" s="32" t="str">
        <f>IF(Table!E1683 = "","",Table!E1683)</f>
        <v/>
      </c>
      <c r="F1683" s="32" t="str">
        <f>IF(Table!F1683 = "","",Table!F1683)</f>
        <v/>
      </c>
      <c r="G1683" s="91"/>
      <c r="K1683" s="31" t="str">
        <f>IFERROR(VLOOKUP(A1683,Table!$I$4:$O$3000,1,TRUE),"")</f>
        <v/>
      </c>
      <c r="L1683" s="31" t="str">
        <f>IFERROR(INDEX(Table!I:O,MATCH(K1683,Table!I:I,0),2),"")</f>
        <v/>
      </c>
      <c r="M1683" s="31" t="str">
        <f>IFERROR(INDEX(Table!I:O,MATCH(K1683,Table!I:I,0),3),"")</f>
        <v/>
      </c>
      <c r="N1683" s="32" t="str">
        <f>IFERROR(INDEX(Table!I:O,MATCH(K1683,Table!I:I,0),4),"")</f>
        <v/>
      </c>
      <c r="O1683" s="32" t="str">
        <f>IFERROR(INDEX(Table!I:O,MATCH(K1683,Table!I:I,0),5),"")</f>
        <v/>
      </c>
      <c r="P1683" s="32" t="str">
        <f>IFERROR(INDEX(Table!I:O,MATCH(K1683,Table!I:I,0),6),"")</f>
        <v/>
      </c>
      <c r="Q1683" s="89" t="str">
        <f t="shared" si="78"/>
        <v/>
      </c>
      <c r="R1683" s="89" t="str">
        <f t="shared" si="79"/>
        <v/>
      </c>
      <c r="S1683" s="82"/>
      <c r="U1683" s="37" t="e">
        <f t="shared" si="80"/>
        <v>#VALUE!</v>
      </c>
    </row>
    <row r="1684" spans="1:21" x14ac:dyDescent="0.25">
      <c r="A1684" s="31" t="str">
        <f>IF(Table!A1684 = "","",Table!A1684)</f>
        <v/>
      </c>
      <c r="B1684" s="31" t="str">
        <f>IF(Table!B1684 = "","",Table!B1684)</f>
        <v/>
      </c>
      <c r="C1684" s="31" t="str">
        <f>IF(Table!C1684 = "","",Table!C1684)</f>
        <v/>
      </c>
      <c r="D1684" s="32" t="str">
        <f>IF(Table!D1684 = "","",Table!D1684)</f>
        <v/>
      </c>
      <c r="E1684" s="32" t="str">
        <f>IF(Table!E1684 = "","",Table!E1684)</f>
        <v/>
      </c>
      <c r="F1684" s="32" t="str">
        <f>IF(Table!F1684 = "","",Table!F1684)</f>
        <v/>
      </c>
      <c r="G1684" s="91"/>
      <c r="K1684" s="31" t="str">
        <f>IFERROR(VLOOKUP(A1684,Table!$I$4:$O$3000,1,TRUE),"")</f>
        <v/>
      </c>
      <c r="L1684" s="31" t="str">
        <f>IFERROR(INDEX(Table!I:O,MATCH(K1684,Table!I:I,0),2),"")</f>
        <v/>
      </c>
      <c r="M1684" s="31" t="str">
        <f>IFERROR(INDEX(Table!I:O,MATCH(K1684,Table!I:I,0),3),"")</f>
        <v/>
      </c>
      <c r="N1684" s="32" t="str">
        <f>IFERROR(INDEX(Table!I:O,MATCH(K1684,Table!I:I,0),4),"")</f>
        <v/>
      </c>
      <c r="O1684" s="32" t="str">
        <f>IFERROR(INDEX(Table!I:O,MATCH(K1684,Table!I:I,0),5),"")</f>
        <v/>
      </c>
      <c r="P1684" s="32" t="str">
        <f>IFERROR(INDEX(Table!I:O,MATCH(K1684,Table!I:I,0),6),"")</f>
        <v/>
      </c>
      <c r="Q1684" s="89" t="str">
        <f t="shared" si="78"/>
        <v/>
      </c>
      <c r="R1684" s="89" t="str">
        <f t="shared" si="79"/>
        <v/>
      </c>
      <c r="S1684" s="82"/>
      <c r="U1684" s="37" t="e">
        <f t="shared" si="80"/>
        <v>#VALUE!</v>
      </c>
    </row>
    <row r="1685" spans="1:21" x14ac:dyDescent="0.25">
      <c r="A1685" s="31" t="str">
        <f>IF(Table!A1685 = "","",Table!A1685)</f>
        <v/>
      </c>
      <c r="B1685" s="31" t="str">
        <f>IF(Table!B1685 = "","",Table!B1685)</f>
        <v/>
      </c>
      <c r="C1685" s="31" t="str">
        <f>IF(Table!C1685 = "","",Table!C1685)</f>
        <v/>
      </c>
      <c r="D1685" s="32" t="str">
        <f>IF(Table!D1685 = "","",Table!D1685)</f>
        <v/>
      </c>
      <c r="E1685" s="32" t="str">
        <f>IF(Table!E1685 = "","",Table!E1685)</f>
        <v/>
      </c>
      <c r="F1685" s="32" t="str">
        <f>IF(Table!F1685 = "","",Table!F1685)</f>
        <v/>
      </c>
      <c r="G1685" s="91"/>
      <c r="K1685" s="31" t="str">
        <f>IFERROR(VLOOKUP(A1685,Table!$I$4:$O$3000,1,TRUE),"")</f>
        <v/>
      </c>
      <c r="L1685" s="31" t="str">
        <f>IFERROR(INDEX(Table!I:O,MATCH(K1685,Table!I:I,0),2),"")</f>
        <v/>
      </c>
      <c r="M1685" s="31" t="str">
        <f>IFERROR(INDEX(Table!I:O,MATCH(K1685,Table!I:I,0),3),"")</f>
        <v/>
      </c>
      <c r="N1685" s="32" t="str">
        <f>IFERROR(INDEX(Table!I:O,MATCH(K1685,Table!I:I,0),4),"")</f>
        <v/>
      </c>
      <c r="O1685" s="32" t="str">
        <f>IFERROR(INDEX(Table!I:O,MATCH(K1685,Table!I:I,0),5),"")</f>
        <v/>
      </c>
      <c r="P1685" s="32" t="str">
        <f>IFERROR(INDEX(Table!I:O,MATCH(K1685,Table!I:I,0),6),"")</f>
        <v/>
      </c>
      <c r="Q1685" s="89" t="str">
        <f t="shared" si="78"/>
        <v/>
      </c>
      <c r="R1685" s="89" t="str">
        <f t="shared" si="79"/>
        <v/>
      </c>
      <c r="S1685" s="82"/>
      <c r="U1685" s="37" t="e">
        <f t="shared" si="80"/>
        <v>#VALUE!</v>
      </c>
    </row>
    <row r="1686" spans="1:21" x14ac:dyDescent="0.25">
      <c r="A1686" s="31" t="str">
        <f>IF(Table!A1686 = "","",Table!A1686)</f>
        <v/>
      </c>
      <c r="B1686" s="31" t="str">
        <f>IF(Table!B1686 = "","",Table!B1686)</f>
        <v/>
      </c>
      <c r="C1686" s="31" t="str">
        <f>IF(Table!C1686 = "","",Table!C1686)</f>
        <v/>
      </c>
      <c r="D1686" s="32" t="str">
        <f>IF(Table!D1686 = "","",Table!D1686)</f>
        <v/>
      </c>
      <c r="E1686" s="32" t="str">
        <f>IF(Table!E1686 = "","",Table!E1686)</f>
        <v/>
      </c>
      <c r="F1686" s="32" t="str">
        <f>IF(Table!F1686 = "","",Table!F1686)</f>
        <v/>
      </c>
      <c r="G1686" s="91"/>
      <c r="K1686" s="31" t="str">
        <f>IFERROR(VLOOKUP(A1686,Table!$I$4:$O$3000,1,TRUE),"")</f>
        <v/>
      </c>
      <c r="L1686" s="31" t="str">
        <f>IFERROR(INDEX(Table!I:O,MATCH(K1686,Table!I:I,0),2),"")</f>
        <v/>
      </c>
      <c r="M1686" s="31" t="str">
        <f>IFERROR(INDEX(Table!I:O,MATCH(K1686,Table!I:I,0),3),"")</f>
        <v/>
      </c>
      <c r="N1686" s="32" t="str">
        <f>IFERROR(INDEX(Table!I:O,MATCH(K1686,Table!I:I,0),4),"")</f>
        <v/>
      </c>
      <c r="O1686" s="32" t="str">
        <f>IFERROR(INDEX(Table!I:O,MATCH(K1686,Table!I:I,0),5),"")</f>
        <v/>
      </c>
      <c r="P1686" s="32" t="str">
        <f>IFERROR(INDEX(Table!I:O,MATCH(K1686,Table!I:I,0),6),"")</f>
        <v/>
      </c>
      <c r="Q1686" s="89" t="str">
        <f t="shared" si="78"/>
        <v/>
      </c>
      <c r="R1686" s="89" t="str">
        <f t="shared" si="79"/>
        <v/>
      </c>
      <c r="S1686" s="82"/>
      <c r="U1686" s="37" t="e">
        <f t="shared" si="80"/>
        <v>#VALUE!</v>
      </c>
    </row>
    <row r="1687" spans="1:21" x14ac:dyDescent="0.25">
      <c r="A1687" s="31" t="str">
        <f>IF(Table!A1687 = "","",Table!A1687)</f>
        <v/>
      </c>
      <c r="B1687" s="31" t="str">
        <f>IF(Table!B1687 = "","",Table!B1687)</f>
        <v/>
      </c>
      <c r="C1687" s="31" t="str">
        <f>IF(Table!C1687 = "","",Table!C1687)</f>
        <v/>
      </c>
      <c r="D1687" s="32" t="str">
        <f>IF(Table!D1687 = "","",Table!D1687)</f>
        <v/>
      </c>
      <c r="E1687" s="32" t="str">
        <f>IF(Table!E1687 = "","",Table!E1687)</f>
        <v/>
      </c>
      <c r="F1687" s="32" t="str">
        <f>IF(Table!F1687 = "","",Table!F1687)</f>
        <v/>
      </c>
      <c r="G1687" s="91"/>
      <c r="K1687" s="31" t="str">
        <f>IFERROR(VLOOKUP(A1687,Table!$I$4:$O$3000,1,TRUE),"")</f>
        <v/>
      </c>
      <c r="L1687" s="31" t="str">
        <f>IFERROR(INDEX(Table!I:O,MATCH(K1687,Table!I:I,0),2),"")</f>
        <v/>
      </c>
      <c r="M1687" s="31" t="str">
        <f>IFERROR(INDEX(Table!I:O,MATCH(K1687,Table!I:I,0),3),"")</f>
        <v/>
      </c>
      <c r="N1687" s="32" t="str">
        <f>IFERROR(INDEX(Table!I:O,MATCH(K1687,Table!I:I,0),4),"")</f>
        <v/>
      </c>
      <c r="O1687" s="32" t="str">
        <f>IFERROR(INDEX(Table!I:O,MATCH(K1687,Table!I:I,0),5),"")</f>
        <v/>
      </c>
      <c r="P1687" s="32" t="str">
        <f>IFERROR(INDEX(Table!I:O,MATCH(K1687,Table!I:I,0),6),"")</f>
        <v/>
      </c>
      <c r="Q1687" s="89" t="str">
        <f t="shared" si="78"/>
        <v/>
      </c>
      <c r="R1687" s="89" t="str">
        <f t="shared" si="79"/>
        <v/>
      </c>
      <c r="S1687" s="82"/>
      <c r="U1687" s="37" t="e">
        <f t="shared" si="80"/>
        <v>#VALUE!</v>
      </c>
    </row>
    <row r="1688" spans="1:21" x14ac:dyDescent="0.25">
      <c r="A1688" s="31" t="str">
        <f>IF(Table!A1688 = "","",Table!A1688)</f>
        <v/>
      </c>
      <c r="B1688" s="31" t="str">
        <f>IF(Table!B1688 = "","",Table!B1688)</f>
        <v/>
      </c>
      <c r="C1688" s="31" t="str">
        <f>IF(Table!C1688 = "","",Table!C1688)</f>
        <v/>
      </c>
      <c r="D1688" s="32" t="str">
        <f>IF(Table!D1688 = "","",Table!D1688)</f>
        <v/>
      </c>
      <c r="E1688" s="32" t="str">
        <f>IF(Table!E1688 = "","",Table!E1688)</f>
        <v/>
      </c>
      <c r="F1688" s="32" t="str">
        <f>IF(Table!F1688 = "","",Table!F1688)</f>
        <v/>
      </c>
      <c r="G1688" s="91"/>
      <c r="K1688" s="31" t="str">
        <f>IFERROR(VLOOKUP(A1688,Table!$I$4:$O$3000,1,TRUE),"")</f>
        <v/>
      </c>
      <c r="L1688" s="31" t="str">
        <f>IFERROR(INDEX(Table!I:O,MATCH(K1688,Table!I:I,0),2),"")</f>
        <v/>
      </c>
      <c r="M1688" s="31" t="str">
        <f>IFERROR(INDEX(Table!I:O,MATCH(K1688,Table!I:I,0),3),"")</f>
        <v/>
      </c>
      <c r="N1688" s="32" t="str">
        <f>IFERROR(INDEX(Table!I:O,MATCH(K1688,Table!I:I,0),4),"")</f>
        <v/>
      </c>
      <c r="O1688" s="32" t="str">
        <f>IFERROR(INDEX(Table!I:O,MATCH(K1688,Table!I:I,0),5),"")</f>
        <v/>
      </c>
      <c r="P1688" s="32" t="str">
        <f>IFERROR(INDEX(Table!I:O,MATCH(K1688,Table!I:I,0),6),"")</f>
        <v/>
      </c>
      <c r="Q1688" s="89" t="str">
        <f t="shared" si="78"/>
        <v/>
      </c>
      <c r="R1688" s="89" t="str">
        <f t="shared" si="79"/>
        <v/>
      </c>
      <c r="S1688" s="82"/>
      <c r="U1688" s="37" t="e">
        <f t="shared" si="80"/>
        <v>#VALUE!</v>
      </c>
    </row>
    <row r="1689" spans="1:21" x14ac:dyDescent="0.25">
      <c r="A1689" s="31" t="str">
        <f>IF(Table!A1689 = "","",Table!A1689)</f>
        <v/>
      </c>
      <c r="B1689" s="31" t="str">
        <f>IF(Table!B1689 = "","",Table!B1689)</f>
        <v/>
      </c>
      <c r="C1689" s="31" t="str">
        <f>IF(Table!C1689 = "","",Table!C1689)</f>
        <v/>
      </c>
      <c r="D1689" s="32" t="str">
        <f>IF(Table!D1689 = "","",Table!D1689)</f>
        <v/>
      </c>
      <c r="E1689" s="32" t="str">
        <f>IF(Table!E1689 = "","",Table!E1689)</f>
        <v/>
      </c>
      <c r="F1689" s="32" t="str">
        <f>IF(Table!F1689 = "","",Table!F1689)</f>
        <v/>
      </c>
      <c r="G1689" s="91"/>
      <c r="K1689" s="31" t="str">
        <f>IFERROR(VLOOKUP(A1689,Table!$I$4:$O$3000,1,TRUE),"")</f>
        <v/>
      </c>
      <c r="L1689" s="31" t="str">
        <f>IFERROR(INDEX(Table!I:O,MATCH(K1689,Table!I:I,0),2),"")</f>
        <v/>
      </c>
      <c r="M1689" s="31" t="str">
        <f>IFERROR(INDEX(Table!I:O,MATCH(K1689,Table!I:I,0),3),"")</f>
        <v/>
      </c>
      <c r="N1689" s="32" t="str">
        <f>IFERROR(INDEX(Table!I:O,MATCH(K1689,Table!I:I,0),4),"")</f>
        <v/>
      </c>
      <c r="O1689" s="32" t="str">
        <f>IFERROR(INDEX(Table!I:O,MATCH(K1689,Table!I:I,0),5),"")</f>
        <v/>
      </c>
      <c r="P1689" s="32" t="str">
        <f>IFERROR(INDEX(Table!I:O,MATCH(K1689,Table!I:I,0),6),"")</f>
        <v/>
      </c>
      <c r="Q1689" s="89" t="str">
        <f t="shared" si="78"/>
        <v/>
      </c>
      <c r="R1689" s="89" t="str">
        <f t="shared" si="79"/>
        <v/>
      </c>
      <c r="S1689" s="82"/>
      <c r="U1689" s="37" t="e">
        <f t="shared" si="80"/>
        <v>#VALUE!</v>
      </c>
    </row>
    <row r="1690" spans="1:21" x14ac:dyDescent="0.25">
      <c r="A1690" s="31" t="str">
        <f>IF(Table!A1690 = "","",Table!A1690)</f>
        <v/>
      </c>
      <c r="B1690" s="31" t="str">
        <f>IF(Table!B1690 = "","",Table!B1690)</f>
        <v/>
      </c>
      <c r="C1690" s="31" t="str">
        <f>IF(Table!C1690 = "","",Table!C1690)</f>
        <v/>
      </c>
      <c r="D1690" s="32" t="str">
        <f>IF(Table!D1690 = "","",Table!D1690)</f>
        <v/>
      </c>
      <c r="E1690" s="32" t="str">
        <f>IF(Table!E1690 = "","",Table!E1690)</f>
        <v/>
      </c>
      <c r="F1690" s="32" t="str">
        <f>IF(Table!F1690 = "","",Table!F1690)</f>
        <v/>
      </c>
      <c r="G1690" s="91"/>
      <c r="K1690" s="31" t="str">
        <f>IFERROR(VLOOKUP(A1690,Table!$I$4:$O$3000,1,TRUE),"")</f>
        <v/>
      </c>
      <c r="L1690" s="31" t="str">
        <f>IFERROR(INDEX(Table!I:O,MATCH(K1690,Table!I:I,0),2),"")</f>
        <v/>
      </c>
      <c r="M1690" s="31" t="str">
        <f>IFERROR(INDEX(Table!I:O,MATCH(K1690,Table!I:I,0),3),"")</f>
        <v/>
      </c>
      <c r="N1690" s="32" t="str">
        <f>IFERROR(INDEX(Table!I:O,MATCH(K1690,Table!I:I,0),4),"")</f>
        <v/>
      </c>
      <c r="O1690" s="32" t="str">
        <f>IFERROR(INDEX(Table!I:O,MATCH(K1690,Table!I:I,0),5),"")</f>
        <v/>
      </c>
      <c r="P1690" s="32" t="str">
        <f>IFERROR(INDEX(Table!I:O,MATCH(K1690,Table!I:I,0),6),"")</f>
        <v/>
      </c>
      <c r="Q1690" s="89" t="str">
        <f t="shared" si="78"/>
        <v/>
      </c>
      <c r="R1690" s="89" t="str">
        <f t="shared" si="79"/>
        <v/>
      </c>
      <c r="S1690" s="82"/>
      <c r="U1690" s="37" t="e">
        <f t="shared" si="80"/>
        <v>#VALUE!</v>
      </c>
    </row>
    <row r="1691" spans="1:21" x14ac:dyDescent="0.25">
      <c r="A1691" s="31" t="str">
        <f>IF(Table!A1691 = "","",Table!A1691)</f>
        <v/>
      </c>
      <c r="B1691" s="31" t="str">
        <f>IF(Table!B1691 = "","",Table!B1691)</f>
        <v/>
      </c>
      <c r="C1691" s="31" t="str">
        <f>IF(Table!C1691 = "","",Table!C1691)</f>
        <v/>
      </c>
      <c r="D1691" s="32" t="str">
        <f>IF(Table!D1691 = "","",Table!D1691)</f>
        <v/>
      </c>
      <c r="E1691" s="32" t="str">
        <f>IF(Table!E1691 = "","",Table!E1691)</f>
        <v/>
      </c>
      <c r="F1691" s="32" t="str">
        <f>IF(Table!F1691 = "","",Table!F1691)</f>
        <v/>
      </c>
      <c r="G1691" s="91"/>
      <c r="K1691" s="31" t="str">
        <f>IFERROR(VLOOKUP(A1691,Table!$I$4:$O$3000,1,TRUE),"")</f>
        <v/>
      </c>
      <c r="L1691" s="31" t="str">
        <f>IFERROR(INDEX(Table!I:O,MATCH(K1691,Table!I:I,0),2),"")</f>
        <v/>
      </c>
      <c r="M1691" s="31" t="str">
        <f>IFERROR(INDEX(Table!I:O,MATCH(K1691,Table!I:I,0),3),"")</f>
        <v/>
      </c>
      <c r="N1691" s="32" t="str">
        <f>IFERROR(INDEX(Table!I:O,MATCH(K1691,Table!I:I,0),4),"")</f>
        <v/>
      </c>
      <c r="O1691" s="32" t="str">
        <f>IFERROR(INDEX(Table!I:O,MATCH(K1691,Table!I:I,0),5),"")</f>
        <v/>
      </c>
      <c r="P1691" s="32" t="str">
        <f>IFERROR(INDEX(Table!I:O,MATCH(K1691,Table!I:I,0),6),"")</f>
        <v/>
      </c>
      <c r="Q1691" s="89" t="str">
        <f t="shared" si="78"/>
        <v/>
      </c>
      <c r="R1691" s="89" t="str">
        <f t="shared" si="79"/>
        <v/>
      </c>
      <c r="S1691" s="82"/>
      <c r="U1691" s="37" t="e">
        <f t="shared" si="80"/>
        <v>#VALUE!</v>
      </c>
    </row>
    <row r="1692" spans="1:21" x14ac:dyDescent="0.25">
      <c r="A1692" s="31" t="str">
        <f>IF(Table!A1692 = "","",Table!A1692)</f>
        <v/>
      </c>
      <c r="B1692" s="31" t="str">
        <f>IF(Table!B1692 = "","",Table!B1692)</f>
        <v/>
      </c>
      <c r="C1692" s="31" t="str">
        <f>IF(Table!C1692 = "","",Table!C1692)</f>
        <v/>
      </c>
      <c r="D1692" s="32" t="str">
        <f>IF(Table!D1692 = "","",Table!D1692)</f>
        <v/>
      </c>
      <c r="E1692" s="32" t="str">
        <f>IF(Table!E1692 = "","",Table!E1692)</f>
        <v/>
      </c>
      <c r="F1692" s="32" t="str">
        <f>IF(Table!F1692 = "","",Table!F1692)</f>
        <v/>
      </c>
      <c r="G1692" s="91"/>
      <c r="K1692" s="31" t="str">
        <f>IFERROR(VLOOKUP(A1692,Table!$I$4:$O$3000,1,TRUE),"")</f>
        <v/>
      </c>
      <c r="L1692" s="31" t="str">
        <f>IFERROR(INDEX(Table!I:O,MATCH(K1692,Table!I:I,0),2),"")</f>
        <v/>
      </c>
      <c r="M1692" s="31" t="str">
        <f>IFERROR(INDEX(Table!I:O,MATCH(K1692,Table!I:I,0),3),"")</f>
        <v/>
      </c>
      <c r="N1692" s="32" t="str">
        <f>IFERROR(INDEX(Table!I:O,MATCH(K1692,Table!I:I,0),4),"")</f>
        <v/>
      </c>
      <c r="O1692" s="32" t="str">
        <f>IFERROR(INDEX(Table!I:O,MATCH(K1692,Table!I:I,0),5),"")</f>
        <v/>
      </c>
      <c r="P1692" s="32" t="str">
        <f>IFERROR(INDEX(Table!I:O,MATCH(K1692,Table!I:I,0),6),"")</f>
        <v/>
      </c>
      <c r="Q1692" s="89" t="str">
        <f t="shared" si="78"/>
        <v/>
      </c>
      <c r="R1692" s="89" t="str">
        <f t="shared" si="79"/>
        <v/>
      </c>
      <c r="S1692" s="82"/>
      <c r="U1692" s="37" t="e">
        <f t="shared" si="80"/>
        <v>#VALUE!</v>
      </c>
    </row>
    <row r="1693" spans="1:21" x14ac:dyDescent="0.25">
      <c r="A1693" s="31" t="str">
        <f>IF(Table!A1693 = "","",Table!A1693)</f>
        <v/>
      </c>
      <c r="B1693" s="31" t="str">
        <f>IF(Table!B1693 = "","",Table!B1693)</f>
        <v/>
      </c>
      <c r="C1693" s="31" t="str">
        <f>IF(Table!C1693 = "","",Table!C1693)</f>
        <v/>
      </c>
      <c r="D1693" s="32" t="str">
        <f>IF(Table!D1693 = "","",Table!D1693)</f>
        <v/>
      </c>
      <c r="E1693" s="32" t="str">
        <f>IF(Table!E1693 = "","",Table!E1693)</f>
        <v/>
      </c>
      <c r="F1693" s="32" t="str">
        <f>IF(Table!F1693 = "","",Table!F1693)</f>
        <v/>
      </c>
      <c r="G1693" s="91"/>
      <c r="K1693" s="31" t="str">
        <f>IFERROR(VLOOKUP(A1693,Table!$I$4:$O$3000,1,TRUE),"")</f>
        <v/>
      </c>
      <c r="L1693" s="31" t="str">
        <f>IFERROR(INDEX(Table!I:O,MATCH(K1693,Table!I:I,0),2),"")</f>
        <v/>
      </c>
      <c r="M1693" s="31" t="str">
        <f>IFERROR(INDEX(Table!I:O,MATCH(K1693,Table!I:I,0),3),"")</f>
        <v/>
      </c>
      <c r="N1693" s="32" t="str">
        <f>IFERROR(INDEX(Table!I:O,MATCH(K1693,Table!I:I,0),4),"")</f>
        <v/>
      </c>
      <c r="O1693" s="32" t="str">
        <f>IFERROR(INDEX(Table!I:O,MATCH(K1693,Table!I:I,0),5),"")</f>
        <v/>
      </c>
      <c r="P1693" s="32" t="str">
        <f>IFERROR(INDEX(Table!I:O,MATCH(K1693,Table!I:I,0),6),"")</f>
        <v/>
      </c>
      <c r="Q1693" s="89" t="str">
        <f t="shared" si="78"/>
        <v/>
      </c>
      <c r="R1693" s="89" t="str">
        <f t="shared" si="79"/>
        <v/>
      </c>
      <c r="S1693" s="82"/>
      <c r="U1693" s="37" t="e">
        <f t="shared" si="80"/>
        <v>#VALUE!</v>
      </c>
    </row>
    <row r="1694" spans="1:21" x14ac:dyDescent="0.25">
      <c r="A1694" s="31" t="str">
        <f>IF(Table!A1694 = "","",Table!A1694)</f>
        <v/>
      </c>
      <c r="B1694" s="31" t="str">
        <f>IF(Table!B1694 = "","",Table!B1694)</f>
        <v/>
      </c>
      <c r="C1694" s="31" t="str">
        <f>IF(Table!C1694 = "","",Table!C1694)</f>
        <v/>
      </c>
      <c r="D1694" s="32" t="str">
        <f>IF(Table!D1694 = "","",Table!D1694)</f>
        <v/>
      </c>
      <c r="E1694" s="32" t="str">
        <f>IF(Table!E1694 = "","",Table!E1694)</f>
        <v/>
      </c>
      <c r="F1694" s="32" t="str">
        <f>IF(Table!F1694 = "","",Table!F1694)</f>
        <v/>
      </c>
      <c r="G1694" s="91"/>
      <c r="K1694" s="31" t="str">
        <f>IFERROR(VLOOKUP(A1694,Table!$I$4:$O$3000,1,TRUE),"")</f>
        <v/>
      </c>
      <c r="L1694" s="31" t="str">
        <f>IFERROR(INDEX(Table!I:O,MATCH(K1694,Table!I:I,0),2),"")</f>
        <v/>
      </c>
      <c r="M1694" s="31" t="str">
        <f>IFERROR(INDEX(Table!I:O,MATCH(K1694,Table!I:I,0),3),"")</f>
        <v/>
      </c>
      <c r="N1694" s="32" t="str">
        <f>IFERROR(INDEX(Table!I:O,MATCH(K1694,Table!I:I,0),4),"")</f>
        <v/>
      </c>
      <c r="O1694" s="32" t="str">
        <f>IFERROR(INDEX(Table!I:O,MATCH(K1694,Table!I:I,0),5),"")</f>
        <v/>
      </c>
      <c r="P1694" s="32" t="str">
        <f>IFERROR(INDEX(Table!I:O,MATCH(K1694,Table!I:I,0),6),"")</f>
        <v/>
      </c>
      <c r="Q1694" s="89" t="str">
        <f t="shared" si="78"/>
        <v/>
      </c>
      <c r="R1694" s="89" t="str">
        <f t="shared" si="79"/>
        <v/>
      </c>
      <c r="S1694" s="82"/>
      <c r="U1694" s="37" t="e">
        <f t="shared" si="80"/>
        <v>#VALUE!</v>
      </c>
    </row>
    <row r="1695" spans="1:21" x14ac:dyDescent="0.25">
      <c r="A1695" s="31" t="str">
        <f>IF(Table!A1695 = "","",Table!A1695)</f>
        <v/>
      </c>
      <c r="B1695" s="31" t="str">
        <f>IF(Table!B1695 = "","",Table!B1695)</f>
        <v/>
      </c>
      <c r="C1695" s="31" t="str">
        <f>IF(Table!C1695 = "","",Table!C1695)</f>
        <v/>
      </c>
      <c r="D1695" s="32" t="str">
        <f>IF(Table!D1695 = "","",Table!D1695)</f>
        <v/>
      </c>
      <c r="E1695" s="32" t="str">
        <f>IF(Table!E1695 = "","",Table!E1695)</f>
        <v/>
      </c>
      <c r="F1695" s="32" t="str">
        <f>IF(Table!F1695 = "","",Table!F1695)</f>
        <v/>
      </c>
      <c r="G1695" s="91"/>
      <c r="K1695" s="31" t="str">
        <f>IFERROR(VLOOKUP(A1695,Table!$I$4:$O$3000,1,TRUE),"")</f>
        <v/>
      </c>
      <c r="L1695" s="31" t="str">
        <f>IFERROR(INDEX(Table!I:O,MATCH(K1695,Table!I:I,0),2),"")</f>
        <v/>
      </c>
      <c r="M1695" s="31" t="str">
        <f>IFERROR(INDEX(Table!I:O,MATCH(K1695,Table!I:I,0),3),"")</f>
        <v/>
      </c>
      <c r="N1695" s="32" t="str">
        <f>IFERROR(INDEX(Table!I:O,MATCH(K1695,Table!I:I,0),4),"")</f>
        <v/>
      </c>
      <c r="O1695" s="32" t="str">
        <f>IFERROR(INDEX(Table!I:O,MATCH(K1695,Table!I:I,0),5),"")</f>
        <v/>
      </c>
      <c r="P1695" s="32" t="str">
        <f>IFERROR(INDEX(Table!I:O,MATCH(K1695,Table!I:I,0),6),"")</f>
        <v/>
      </c>
      <c r="Q1695" s="89" t="str">
        <f t="shared" si="78"/>
        <v/>
      </c>
      <c r="R1695" s="89" t="str">
        <f t="shared" si="79"/>
        <v/>
      </c>
      <c r="S1695" s="82"/>
      <c r="U1695" s="37" t="e">
        <f t="shared" si="80"/>
        <v>#VALUE!</v>
      </c>
    </row>
    <row r="1696" spans="1:21" x14ac:dyDescent="0.25">
      <c r="A1696" s="31" t="str">
        <f>IF(Table!A1696 = "","",Table!A1696)</f>
        <v/>
      </c>
      <c r="B1696" s="31" t="str">
        <f>IF(Table!B1696 = "","",Table!B1696)</f>
        <v/>
      </c>
      <c r="C1696" s="31" t="str">
        <f>IF(Table!C1696 = "","",Table!C1696)</f>
        <v/>
      </c>
      <c r="D1696" s="32" t="str">
        <f>IF(Table!D1696 = "","",Table!D1696)</f>
        <v/>
      </c>
      <c r="E1696" s="32" t="str">
        <f>IF(Table!E1696 = "","",Table!E1696)</f>
        <v/>
      </c>
      <c r="F1696" s="32" t="str">
        <f>IF(Table!F1696 = "","",Table!F1696)</f>
        <v/>
      </c>
      <c r="G1696" s="91"/>
      <c r="K1696" s="31" t="str">
        <f>IFERROR(VLOOKUP(A1696,Table!$I$4:$O$3000,1,TRUE),"")</f>
        <v/>
      </c>
      <c r="L1696" s="31" t="str">
        <f>IFERROR(INDEX(Table!I:O,MATCH(K1696,Table!I:I,0),2),"")</f>
        <v/>
      </c>
      <c r="M1696" s="31" t="str">
        <f>IFERROR(INDEX(Table!I:O,MATCH(K1696,Table!I:I,0),3),"")</f>
        <v/>
      </c>
      <c r="N1696" s="32" t="str">
        <f>IFERROR(INDEX(Table!I:O,MATCH(K1696,Table!I:I,0),4),"")</f>
        <v/>
      </c>
      <c r="O1696" s="32" t="str">
        <f>IFERROR(INDEX(Table!I:O,MATCH(K1696,Table!I:I,0),5),"")</f>
        <v/>
      </c>
      <c r="P1696" s="32" t="str">
        <f>IFERROR(INDEX(Table!I:O,MATCH(K1696,Table!I:I,0),6),"")</f>
        <v/>
      </c>
      <c r="Q1696" s="89" t="str">
        <f t="shared" si="78"/>
        <v/>
      </c>
      <c r="R1696" s="89" t="str">
        <f t="shared" si="79"/>
        <v/>
      </c>
      <c r="S1696" s="82"/>
      <c r="U1696" s="37" t="e">
        <f t="shared" si="80"/>
        <v>#VALUE!</v>
      </c>
    </row>
    <row r="1697" spans="1:21" x14ac:dyDescent="0.25">
      <c r="A1697" s="31" t="str">
        <f>IF(Table!A1697 = "","",Table!A1697)</f>
        <v/>
      </c>
      <c r="B1697" s="31" t="str">
        <f>IF(Table!B1697 = "","",Table!B1697)</f>
        <v/>
      </c>
      <c r="C1697" s="31" t="str">
        <f>IF(Table!C1697 = "","",Table!C1697)</f>
        <v/>
      </c>
      <c r="D1697" s="32" t="str">
        <f>IF(Table!D1697 = "","",Table!D1697)</f>
        <v/>
      </c>
      <c r="E1697" s="32" t="str">
        <f>IF(Table!E1697 = "","",Table!E1697)</f>
        <v/>
      </c>
      <c r="F1697" s="32" t="str">
        <f>IF(Table!F1697 = "","",Table!F1697)</f>
        <v/>
      </c>
      <c r="G1697" s="91"/>
      <c r="K1697" s="31" t="str">
        <f>IFERROR(VLOOKUP(A1697,Table!$I$4:$O$3000,1,TRUE),"")</f>
        <v/>
      </c>
      <c r="L1697" s="31" t="str">
        <f>IFERROR(INDEX(Table!I:O,MATCH(K1697,Table!I:I,0),2),"")</f>
        <v/>
      </c>
      <c r="M1697" s="31" t="str">
        <f>IFERROR(INDEX(Table!I:O,MATCH(K1697,Table!I:I,0),3),"")</f>
        <v/>
      </c>
      <c r="N1697" s="32" t="str">
        <f>IFERROR(INDEX(Table!I:O,MATCH(K1697,Table!I:I,0),4),"")</f>
        <v/>
      </c>
      <c r="O1697" s="32" t="str">
        <f>IFERROR(INDEX(Table!I:O,MATCH(K1697,Table!I:I,0),5),"")</f>
        <v/>
      </c>
      <c r="P1697" s="32" t="str">
        <f>IFERROR(INDEX(Table!I:O,MATCH(K1697,Table!I:I,0),6),"")</f>
        <v/>
      </c>
      <c r="Q1697" s="89" t="str">
        <f t="shared" si="78"/>
        <v/>
      </c>
      <c r="R1697" s="89" t="str">
        <f t="shared" si="79"/>
        <v/>
      </c>
      <c r="S1697" s="82"/>
      <c r="U1697" s="37" t="e">
        <f t="shared" si="80"/>
        <v>#VALUE!</v>
      </c>
    </row>
    <row r="1698" spans="1:21" x14ac:dyDescent="0.25">
      <c r="A1698" s="31" t="str">
        <f>IF(Table!A1698 = "","",Table!A1698)</f>
        <v/>
      </c>
      <c r="B1698" s="31" t="str">
        <f>IF(Table!B1698 = "","",Table!B1698)</f>
        <v/>
      </c>
      <c r="C1698" s="31" t="str">
        <f>IF(Table!C1698 = "","",Table!C1698)</f>
        <v/>
      </c>
      <c r="D1698" s="32" t="str">
        <f>IF(Table!D1698 = "","",Table!D1698)</f>
        <v/>
      </c>
      <c r="E1698" s="32" t="str">
        <f>IF(Table!E1698 = "","",Table!E1698)</f>
        <v/>
      </c>
      <c r="F1698" s="32" t="str">
        <f>IF(Table!F1698 = "","",Table!F1698)</f>
        <v/>
      </c>
      <c r="G1698" s="91"/>
      <c r="K1698" s="31" t="str">
        <f>IFERROR(VLOOKUP(A1698,Table!$I$4:$O$3000,1,TRUE),"")</f>
        <v/>
      </c>
      <c r="L1698" s="31" t="str">
        <f>IFERROR(INDEX(Table!I:O,MATCH(K1698,Table!I:I,0),2),"")</f>
        <v/>
      </c>
      <c r="M1698" s="31" t="str">
        <f>IFERROR(INDEX(Table!I:O,MATCH(K1698,Table!I:I,0),3),"")</f>
        <v/>
      </c>
      <c r="N1698" s="32" t="str">
        <f>IFERROR(INDEX(Table!I:O,MATCH(K1698,Table!I:I,0),4),"")</f>
        <v/>
      </c>
      <c r="O1698" s="32" t="str">
        <f>IFERROR(INDEX(Table!I:O,MATCH(K1698,Table!I:I,0),5),"")</f>
        <v/>
      </c>
      <c r="P1698" s="32" t="str">
        <f>IFERROR(INDEX(Table!I:O,MATCH(K1698,Table!I:I,0),6),"")</f>
        <v/>
      </c>
      <c r="Q1698" s="89" t="str">
        <f t="shared" si="78"/>
        <v/>
      </c>
      <c r="R1698" s="89" t="str">
        <f t="shared" si="79"/>
        <v/>
      </c>
      <c r="S1698" s="82"/>
      <c r="U1698" s="37" t="e">
        <f t="shared" si="80"/>
        <v>#VALUE!</v>
      </c>
    </row>
    <row r="1699" spans="1:21" x14ac:dyDescent="0.25">
      <c r="A1699" s="31" t="str">
        <f>IF(Table!A1699 = "","",Table!A1699)</f>
        <v/>
      </c>
      <c r="B1699" s="31" t="str">
        <f>IF(Table!B1699 = "","",Table!B1699)</f>
        <v/>
      </c>
      <c r="C1699" s="31" t="str">
        <f>IF(Table!C1699 = "","",Table!C1699)</f>
        <v/>
      </c>
      <c r="D1699" s="32" t="str">
        <f>IF(Table!D1699 = "","",Table!D1699)</f>
        <v/>
      </c>
      <c r="E1699" s="32" t="str">
        <f>IF(Table!E1699 = "","",Table!E1699)</f>
        <v/>
      </c>
      <c r="F1699" s="32" t="str">
        <f>IF(Table!F1699 = "","",Table!F1699)</f>
        <v/>
      </c>
      <c r="G1699" s="91"/>
      <c r="K1699" s="31" t="str">
        <f>IFERROR(VLOOKUP(A1699,Table!$I$4:$O$3000,1,TRUE),"")</f>
        <v/>
      </c>
      <c r="L1699" s="31" t="str">
        <f>IFERROR(INDEX(Table!I:O,MATCH(K1699,Table!I:I,0),2),"")</f>
        <v/>
      </c>
      <c r="M1699" s="31" t="str">
        <f>IFERROR(INDEX(Table!I:O,MATCH(K1699,Table!I:I,0),3),"")</f>
        <v/>
      </c>
      <c r="N1699" s="32" t="str">
        <f>IFERROR(INDEX(Table!I:O,MATCH(K1699,Table!I:I,0),4),"")</f>
        <v/>
      </c>
      <c r="O1699" s="32" t="str">
        <f>IFERROR(INDEX(Table!I:O,MATCH(K1699,Table!I:I,0),5),"")</f>
        <v/>
      </c>
      <c r="P1699" s="32" t="str">
        <f>IFERROR(INDEX(Table!I:O,MATCH(K1699,Table!I:I,0),6),"")</f>
        <v/>
      </c>
      <c r="Q1699" s="89" t="str">
        <f t="shared" si="78"/>
        <v/>
      </c>
      <c r="R1699" s="89" t="str">
        <f t="shared" si="79"/>
        <v/>
      </c>
      <c r="S1699" s="82"/>
      <c r="U1699" s="37" t="e">
        <f t="shared" si="80"/>
        <v>#VALUE!</v>
      </c>
    </row>
    <row r="1700" spans="1:21" x14ac:dyDescent="0.25">
      <c r="A1700" s="31" t="str">
        <f>IF(Table!A1700 = "","",Table!A1700)</f>
        <v/>
      </c>
      <c r="B1700" s="31" t="str">
        <f>IF(Table!B1700 = "","",Table!B1700)</f>
        <v/>
      </c>
      <c r="C1700" s="31" t="str">
        <f>IF(Table!C1700 = "","",Table!C1700)</f>
        <v/>
      </c>
      <c r="D1700" s="32" t="str">
        <f>IF(Table!D1700 = "","",Table!D1700)</f>
        <v/>
      </c>
      <c r="E1700" s="32" t="str">
        <f>IF(Table!E1700 = "","",Table!E1700)</f>
        <v/>
      </c>
      <c r="F1700" s="32" t="str">
        <f>IF(Table!F1700 = "","",Table!F1700)</f>
        <v/>
      </c>
      <c r="G1700" s="91"/>
      <c r="K1700" s="31" t="str">
        <f>IFERROR(VLOOKUP(A1700,Table!$I$4:$O$3000,1,TRUE),"")</f>
        <v/>
      </c>
      <c r="L1700" s="31" t="str">
        <f>IFERROR(INDEX(Table!I:O,MATCH(K1700,Table!I:I,0),2),"")</f>
        <v/>
      </c>
      <c r="M1700" s="31" t="str">
        <f>IFERROR(INDEX(Table!I:O,MATCH(K1700,Table!I:I,0),3),"")</f>
        <v/>
      </c>
      <c r="N1700" s="32" t="str">
        <f>IFERROR(INDEX(Table!I:O,MATCH(K1700,Table!I:I,0),4),"")</f>
        <v/>
      </c>
      <c r="O1700" s="32" t="str">
        <f>IFERROR(INDEX(Table!I:O,MATCH(K1700,Table!I:I,0),5),"")</f>
        <v/>
      </c>
      <c r="P1700" s="32" t="str">
        <f>IFERROR(INDEX(Table!I:O,MATCH(K1700,Table!I:I,0),6),"")</f>
        <v/>
      </c>
      <c r="Q1700" s="89" t="str">
        <f t="shared" si="78"/>
        <v/>
      </c>
      <c r="R1700" s="89" t="str">
        <f t="shared" si="79"/>
        <v/>
      </c>
      <c r="S1700" s="82"/>
      <c r="U1700" s="37" t="e">
        <f t="shared" si="80"/>
        <v>#VALUE!</v>
      </c>
    </row>
    <row r="1701" spans="1:21" x14ac:dyDescent="0.25">
      <c r="A1701" s="31" t="str">
        <f>IF(Table!A1701 = "","",Table!A1701)</f>
        <v/>
      </c>
      <c r="B1701" s="31" t="str">
        <f>IF(Table!B1701 = "","",Table!B1701)</f>
        <v/>
      </c>
      <c r="C1701" s="31" t="str">
        <f>IF(Table!C1701 = "","",Table!C1701)</f>
        <v/>
      </c>
      <c r="D1701" s="32" t="str">
        <f>IF(Table!D1701 = "","",Table!D1701)</f>
        <v/>
      </c>
      <c r="E1701" s="32" t="str">
        <f>IF(Table!E1701 = "","",Table!E1701)</f>
        <v/>
      </c>
      <c r="F1701" s="32" t="str">
        <f>IF(Table!F1701 = "","",Table!F1701)</f>
        <v/>
      </c>
      <c r="G1701" s="91"/>
      <c r="K1701" s="31" t="str">
        <f>IFERROR(VLOOKUP(A1701,Table!$I$4:$O$3000,1,TRUE),"")</f>
        <v/>
      </c>
      <c r="L1701" s="31" t="str">
        <f>IFERROR(INDEX(Table!I:O,MATCH(K1701,Table!I:I,0),2),"")</f>
        <v/>
      </c>
      <c r="M1701" s="31" t="str">
        <f>IFERROR(INDEX(Table!I:O,MATCH(K1701,Table!I:I,0),3),"")</f>
        <v/>
      </c>
      <c r="N1701" s="32" t="str">
        <f>IFERROR(INDEX(Table!I:O,MATCH(K1701,Table!I:I,0),4),"")</f>
        <v/>
      </c>
      <c r="O1701" s="32" t="str">
        <f>IFERROR(INDEX(Table!I:O,MATCH(K1701,Table!I:I,0),5),"")</f>
        <v/>
      </c>
      <c r="P1701" s="32" t="str">
        <f>IFERROR(INDEX(Table!I:O,MATCH(K1701,Table!I:I,0),6),"")</f>
        <v/>
      </c>
      <c r="Q1701" s="89" t="str">
        <f t="shared" si="78"/>
        <v/>
      </c>
      <c r="R1701" s="89" t="str">
        <f t="shared" si="79"/>
        <v/>
      </c>
      <c r="S1701" s="82"/>
      <c r="U1701" s="37" t="e">
        <f t="shared" si="80"/>
        <v>#VALUE!</v>
      </c>
    </row>
    <row r="1702" spans="1:21" x14ac:dyDescent="0.25">
      <c r="A1702" s="31" t="str">
        <f>IF(Table!A1702 = "","",Table!A1702)</f>
        <v/>
      </c>
      <c r="B1702" s="31" t="str">
        <f>IF(Table!B1702 = "","",Table!B1702)</f>
        <v/>
      </c>
      <c r="C1702" s="31" t="str">
        <f>IF(Table!C1702 = "","",Table!C1702)</f>
        <v/>
      </c>
      <c r="D1702" s="32" t="str">
        <f>IF(Table!D1702 = "","",Table!D1702)</f>
        <v/>
      </c>
      <c r="E1702" s="32" t="str">
        <f>IF(Table!E1702 = "","",Table!E1702)</f>
        <v/>
      </c>
      <c r="F1702" s="32" t="str">
        <f>IF(Table!F1702 = "","",Table!F1702)</f>
        <v/>
      </c>
      <c r="G1702" s="91"/>
      <c r="K1702" s="31" t="str">
        <f>IFERROR(VLOOKUP(A1702,Table!$I$4:$O$3000,1,TRUE),"")</f>
        <v/>
      </c>
      <c r="L1702" s="31" t="str">
        <f>IFERROR(INDEX(Table!I:O,MATCH(K1702,Table!I:I,0),2),"")</f>
        <v/>
      </c>
      <c r="M1702" s="31" t="str">
        <f>IFERROR(INDEX(Table!I:O,MATCH(K1702,Table!I:I,0),3),"")</f>
        <v/>
      </c>
      <c r="N1702" s="32" t="str">
        <f>IFERROR(INDEX(Table!I:O,MATCH(K1702,Table!I:I,0),4),"")</f>
        <v/>
      </c>
      <c r="O1702" s="32" t="str">
        <f>IFERROR(INDEX(Table!I:O,MATCH(K1702,Table!I:I,0),5),"")</f>
        <v/>
      </c>
      <c r="P1702" s="32" t="str">
        <f>IFERROR(INDEX(Table!I:O,MATCH(K1702,Table!I:I,0),6),"")</f>
        <v/>
      </c>
      <c r="Q1702" s="89" t="str">
        <f t="shared" si="78"/>
        <v/>
      </c>
      <c r="R1702" s="89" t="str">
        <f t="shared" si="79"/>
        <v/>
      </c>
      <c r="S1702" s="82"/>
      <c r="U1702" s="37" t="e">
        <f t="shared" si="80"/>
        <v>#VALUE!</v>
      </c>
    </row>
    <row r="1703" spans="1:21" x14ac:dyDescent="0.25">
      <c r="A1703" s="31" t="str">
        <f>IF(Table!A1703 = "","",Table!A1703)</f>
        <v/>
      </c>
      <c r="B1703" s="31" t="str">
        <f>IF(Table!B1703 = "","",Table!B1703)</f>
        <v/>
      </c>
      <c r="C1703" s="31" t="str">
        <f>IF(Table!C1703 = "","",Table!C1703)</f>
        <v/>
      </c>
      <c r="D1703" s="32" t="str">
        <f>IF(Table!D1703 = "","",Table!D1703)</f>
        <v/>
      </c>
      <c r="E1703" s="32" t="str">
        <f>IF(Table!E1703 = "","",Table!E1703)</f>
        <v/>
      </c>
      <c r="F1703" s="32" t="str">
        <f>IF(Table!F1703 = "","",Table!F1703)</f>
        <v/>
      </c>
      <c r="G1703" s="91"/>
      <c r="K1703" s="31" t="str">
        <f>IFERROR(VLOOKUP(A1703,Table!$I$4:$O$3000,1,TRUE),"")</f>
        <v/>
      </c>
      <c r="L1703" s="31" t="str">
        <f>IFERROR(INDEX(Table!I:O,MATCH(K1703,Table!I:I,0),2),"")</f>
        <v/>
      </c>
      <c r="M1703" s="31" t="str">
        <f>IFERROR(INDEX(Table!I:O,MATCH(K1703,Table!I:I,0),3),"")</f>
        <v/>
      </c>
      <c r="N1703" s="32" t="str">
        <f>IFERROR(INDEX(Table!I:O,MATCH(K1703,Table!I:I,0),4),"")</f>
        <v/>
      </c>
      <c r="O1703" s="32" t="str">
        <f>IFERROR(INDEX(Table!I:O,MATCH(K1703,Table!I:I,0),5),"")</f>
        <v/>
      </c>
      <c r="P1703" s="32" t="str">
        <f>IFERROR(INDEX(Table!I:O,MATCH(K1703,Table!I:I,0),6),"")</f>
        <v/>
      </c>
      <c r="Q1703" s="89" t="str">
        <f t="shared" si="78"/>
        <v/>
      </c>
      <c r="R1703" s="89" t="str">
        <f t="shared" si="79"/>
        <v/>
      </c>
      <c r="S1703" s="82"/>
      <c r="U1703" s="37" t="e">
        <f t="shared" si="80"/>
        <v>#VALUE!</v>
      </c>
    </row>
    <row r="1704" spans="1:21" x14ac:dyDescent="0.25">
      <c r="A1704" s="31" t="str">
        <f>IF(Table!A1704 = "","",Table!A1704)</f>
        <v/>
      </c>
      <c r="B1704" s="31" t="str">
        <f>IF(Table!B1704 = "","",Table!B1704)</f>
        <v/>
      </c>
      <c r="C1704" s="31" t="str">
        <f>IF(Table!C1704 = "","",Table!C1704)</f>
        <v/>
      </c>
      <c r="D1704" s="32" t="str">
        <f>IF(Table!D1704 = "","",Table!D1704)</f>
        <v/>
      </c>
      <c r="E1704" s="32" t="str">
        <f>IF(Table!E1704 = "","",Table!E1704)</f>
        <v/>
      </c>
      <c r="F1704" s="32" t="str">
        <f>IF(Table!F1704 = "","",Table!F1704)</f>
        <v/>
      </c>
      <c r="G1704" s="91"/>
      <c r="K1704" s="31" t="str">
        <f>IFERROR(VLOOKUP(A1704,Table!$I$4:$O$3000,1,TRUE),"")</f>
        <v/>
      </c>
      <c r="L1704" s="31" t="str">
        <f>IFERROR(INDEX(Table!I:O,MATCH(K1704,Table!I:I,0),2),"")</f>
        <v/>
      </c>
      <c r="M1704" s="31" t="str">
        <f>IFERROR(INDEX(Table!I:O,MATCH(K1704,Table!I:I,0),3),"")</f>
        <v/>
      </c>
      <c r="N1704" s="32" t="str">
        <f>IFERROR(INDEX(Table!I:O,MATCH(K1704,Table!I:I,0),4),"")</f>
        <v/>
      </c>
      <c r="O1704" s="32" t="str">
        <f>IFERROR(INDEX(Table!I:O,MATCH(K1704,Table!I:I,0),5),"")</f>
        <v/>
      </c>
      <c r="P1704" s="32" t="str">
        <f>IFERROR(INDEX(Table!I:O,MATCH(K1704,Table!I:I,0),6),"")</f>
        <v/>
      </c>
      <c r="Q1704" s="89" t="str">
        <f t="shared" si="78"/>
        <v/>
      </c>
      <c r="R1704" s="89" t="str">
        <f t="shared" si="79"/>
        <v/>
      </c>
      <c r="S1704" s="82"/>
      <c r="U1704" s="37" t="e">
        <f t="shared" si="80"/>
        <v>#VALUE!</v>
      </c>
    </row>
    <row r="1705" spans="1:21" x14ac:dyDescent="0.25">
      <c r="A1705" s="31" t="str">
        <f>IF(Table!A1705 = "","",Table!A1705)</f>
        <v/>
      </c>
      <c r="B1705" s="31" t="str">
        <f>IF(Table!B1705 = "","",Table!B1705)</f>
        <v/>
      </c>
      <c r="C1705" s="31" t="str">
        <f>IF(Table!C1705 = "","",Table!C1705)</f>
        <v/>
      </c>
      <c r="D1705" s="32" t="str">
        <f>IF(Table!D1705 = "","",Table!D1705)</f>
        <v/>
      </c>
      <c r="E1705" s="32" t="str">
        <f>IF(Table!E1705 = "","",Table!E1705)</f>
        <v/>
      </c>
      <c r="F1705" s="32" t="str">
        <f>IF(Table!F1705 = "","",Table!F1705)</f>
        <v/>
      </c>
      <c r="G1705" s="91"/>
      <c r="K1705" s="31" t="str">
        <f>IFERROR(VLOOKUP(A1705,Table!$I$4:$O$3000,1,TRUE),"")</f>
        <v/>
      </c>
      <c r="L1705" s="31" t="str">
        <f>IFERROR(INDEX(Table!I:O,MATCH(K1705,Table!I:I,0),2),"")</f>
        <v/>
      </c>
      <c r="M1705" s="31" t="str">
        <f>IFERROR(INDEX(Table!I:O,MATCH(K1705,Table!I:I,0),3),"")</f>
        <v/>
      </c>
      <c r="N1705" s="32" t="str">
        <f>IFERROR(INDEX(Table!I:O,MATCH(K1705,Table!I:I,0),4),"")</f>
        <v/>
      </c>
      <c r="O1705" s="32" t="str">
        <f>IFERROR(INDEX(Table!I:O,MATCH(K1705,Table!I:I,0),5),"")</f>
        <v/>
      </c>
      <c r="P1705" s="32" t="str">
        <f>IFERROR(INDEX(Table!I:O,MATCH(K1705,Table!I:I,0),6),"")</f>
        <v/>
      </c>
      <c r="Q1705" s="89" t="str">
        <f t="shared" si="78"/>
        <v/>
      </c>
      <c r="R1705" s="89" t="str">
        <f t="shared" si="79"/>
        <v/>
      </c>
      <c r="S1705" s="82"/>
      <c r="U1705" s="37" t="e">
        <f t="shared" si="80"/>
        <v>#VALUE!</v>
      </c>
    </row>
    <row r="1706" spans="1:21" x14ac:dyDescent="0.25">
      <c r="A1706" s="31" t="str">
        <f>IF(Table!A1706 = "","",Table!A1706)</f>
        <v/>
      </c>
      <c r="B1706" s="31" t="str">
        <f>IF(Table!B1706 = "","",Table!B1706)</f>
        <v/>
      </c>
      <c r="C1706" s="31" t="str">
        <f>IF(Table!C1706 = "","",Table!C1706)</f>
        <v/>
      </c>
      <c r="D1706" s="32" t="str">
        <f>IF(Table!D1706 = "","",Table!D1706)</f>
        <v/>
      </c>
      <c r="E1706" s="32" t="str">
        <f>IF(Table!E1706 = "","",Table!E1706)</f>
        <v/>
      </c>
      <c r="F1706" s="32" t="str">
        <f>IF(Table!F1706 = "","",Table!F1706)</f>
        <v/>
      </c>
      <c r="G1706" s="91"/>
      <c r="K1706" s="31" t="str">
        <f>IFERROR(VLOOKUP(A1706,Table!$I$4:$O$3000,1,TRUE),"")</f>
        <v/>
      </c>
      <c r="L1706" s="31" t="str">
        <f>IFERROR(INDEX(Table!I:O,MATCH(K1706,Table!I:I,0),2),"")</f>
        <v/>
      </c>
      <c r="M1706" s="31" t="str">
        <f>IFERROR(INDEX(Table!I:O,MATCH(K1706,Table!I:I,0),3),"")</f>
        <v/>
      </c>
      <c r="N1706" s="32" t="str">
        <f>IFERROR(INDEX(Table!I:O,MATCH(K1706,Table!I:I,0),4),"")</f>
        <v/>
      </c>
      <c r="O1706" s="32" t="str">
        <f>IFERROR(INDEX(Table!I:O,MATCH(K1706,Table!I:I,0),5),"")</f>
        <v/>
      </c>
      <c r="P1706" s="32" t="str">
        <f>IFERROR(INDEX(Table!I:O,MATCH(K1706,Table!I:I,0),6),"")</f>
        <v/>
      </c>
      <c r="Q1706" s="89" t="str">
        <f t="shared" si="78"/>
        <v/>
      </c>
      <c r="R1706" s="89" t="str">
        <f t="shared" si="79"/>
        <v/>
      </c>
      <c r="S1706" s="82"/>
      <c r="U1706" s="37" t="e">
        <f t="shared" si="80"/>
        <v>#VALUE!</v>
      </c>
    </row>
    <row r="1707" spans="1:21" x14ac:dyDescent="0.25">
      <c r="A1707" s="31" t="str">
        <f>IF(Table!A1707 = "","",Table!A1707)</f>
        <v/>
      </c>
      <c r="B1707" s="31" t="str">
        <f>IF(Table!B1707 = "","",Table!B1707)</f>
        <v/>
      </c>
      <c r="C1707" s="31" t="str">
        <f>IF(Table!C1707 = "","",Table!C1707)</f>
        <v/>
      </c>
      <c r="D1707" s="32" t="str">
        <f>IF(Table!D1707 = "","",Table!D1707)</f>
        <v/>
      </c>
      <c r="E1707" s="32" t="str">
        <f>IF(Table!E1707 = "","",Table!E1707)</f>
        <v/>
      </c>
      <c r="F1707" s="32" t="str">
        <f>IF(Table!F1707 = "","",Table!F1707)</f>
        <v/>
      </c>
      <c r="G1707" s="91"/>
      <c r="K1707" s="31" t="str">
        <f>IFERROR(VLOOKUP(A1707,Table!$I$4:$O$3000,1,TRUE),"")</f>
        <v/>
      </c>
      <c r="L1707" s="31" t="str">
        <f>IFERROR(INDEX(Table!I:O,MATCH(K1707,Table!I:I,0),2),"")</f>
        <v/>
      </c>
      <c r="M1707" s="31" t="str">
        <f>IFERROR(INDEX(Table!I:O,MATCH(K1707,Table!I:I,0),3),"")</f>
        <v/>
      </c>
      <c r="N1707" s="32" t="str">
        <f>IFERROR(INDEX(Table!I:O,MATCH(K1707,Table!I:I,0),4),"")</f>
        <v/>
      </c>
      <c r="O1707" s="32" t="str">
        <f>IFERROR(INDEX(Table!I:O,MATCH(K1707,Table!I:I,0),5),"")</f>
        <v/>
      </c>
      <c r="P1707" s="32" t="str">
        <f>IFERROR(INDEX(Table!I:O,MATCH(K1707,Table!I:I,0),6),"")</f>
        <v/>
      </c>
      <c r="Q1707" s="89" t="str">
        <f t="shared" si="78"/>
        <v/>
      </c>
      <c r="R1707" s="89" t="str">
        <f t="shared" si="79"/>
        <v/>
      </c>
      <c r="S1707" s="82"/>
      <c r="U1707" s="37" t="e">
        <f t="shared" si="80"/>
        <v>#VALUE!</v>
      </c>
    </row>
    <row r="1708" spans="1:21" x14ac:dyDescent="0.25">
      <c r="A1708" s="31" t="str">
        <f>IF(Table!A1708 = "","",Table!A1708)</f>
        <v/>
      </c>
      <c r="B1708" s="31" t="str">
        <f>IF(Table!B1708 = "","",Table!B1708)</f>
        <v/>
      </c>
      <c r="C1708" s="31" t="str">
        <f>IF(Table!C1708 = "","",Table!C1708)</f>
        <v/>
      </c>
      <c r="D1708" s="32" t="str">
        <f>IF(Table!D1708 = "","",Table!D1708)</f>
        <v/>
      </c>
      <c r="E1708" s="32" t="str">
        <f>IF(Table!E1708 = "","",Table!E1708)</f>
        <v/>
      </c>
      <c r="F1708" s="32" t="str">
        <f>IF(Table!F1708 = "","",Table!F1708)</f>
        <v/>
      </c>
      <c r="G1708" s="91"/>
      <c r="K1708" s="31" t="str">
        <f>IFERROR(VLOOKUP(A1708,Table!$I$4:$O$3000,1,TRUE),"")</f>
        <v/>
      </c>
      <c r="L1708" s="31" t="str">
        <f>IFERROR(INDEX(Table!I:O,MATCH(K1708,Table!I:I,0),2),"")</f>
        <v/>
      </c>
      <c r="M1708" s="31" t="str">
        <f>IFERROR(INDEX(Table!I:O,MATCH(K1708,Table!I:I,0),3),"")</f>
        <v/>
      </c>
      <c r="N1708" s="32" t="str">
        <f>IFERROR(INDEX(Table!I:O,MATCH(K1708,Table!I:I,0),4),"")</f>
        <v/>
      </c>
      <c r="O1708" s="32" t="str">
        <f>IFERROR(INDEX(Table!I:O,MATCH(K1708,Table!I:I,0),5),"")</f>
        <v/>
      </c>
      <c r="P1708" s="32" t="str">
        <f>IFERROR(INDEX(Table!I:O,MATCH(K1708,Table!I:I,0),6),"")</f>
        <v/>
      </c>
      <c r="Q1708" s="89" t="str">
        <f t="shared" si="78"/>
        <v/>
      </c>
      <c r="R1708" s="89" t="str">
        <f t="shared" si="79"/>
        <v/>
      </c>
      <c r="S1708" s="82"/>
      <c r="U1708" s="37" t="e">
        <f t="shared" si="80"/>
        <v>#VALUE!</v>
      </c>
    </row>
    <row r="1709" spans="1:21" x14ac:dyDescent="0.25">
      <c r="A1709" s="31" t="str">
        <f>IF(Table!A1709 = "","",Table!A1709)</f>
        <v/>
      </c>
      <c r="B1709" s="31" t="str">
        <f>IF(Table!B1709 = "","",Table!B1709)</f>
        <v/>
      </c>
      <c r="C1709" s="31" t="str">
        <f>IF(Table!C1709 = "","",Table!C1709)</f>
        <v/>
      </c>
      <c r="D1709" s="32" t="str">
        <f>IF(Table!D1709 = "","",Table!D1709)</f>
        <v/>
      </c>
      <c r="E1709" s="32" t="str">
        <f>IF(Table!E1709 = "","",Table!E1709)</f>
        <v/>
      </c>
      <c r="F1709" s="32" t="str">
        <f>IF(Table!F1709 = "","",Table!F1709)</f>
        <v/>
      </c>
      <c r="G1709" s="91"/>
      <c r="K1709" s="31" t="str">
        <f>IFERROR(VLOOKUP(A1709,Table!$I$4:$O$3000,1,TRUE),"")</f>
        <v/>
      </c>
      <c r="L1709" s="31" t="str">
        <f>IFERROR(INDEX(Table!I:O,MATCH(K1709,Table!I:I,0),2),"")</f>
        <v/>
      </c>
      <c r="M1709" s="31" t="str">
        <f>IFERROR(INDEX(Table!I:O,MATCH(K1709,Table!I:I,0),3),"")</f>
        <v/>
      </c>
      <c r="N1709" s="32" t="str">
        <f>IFERROR(INDEX(Table!I:O,MATCH(K1709,Table!I:I,0),4),"")</f>
        <v/>
      </c>
      <c r="O1709" s="32" t="str">
        <f>IFERROR(INDEX(Table!I:O,MATCH(K1709,Table!I:I,0),5),"")</f>
        <v/>
      </c>
      <c r="P1709" s="32" t="str">
        <f>IFERROR(INDEX(Table!I:O,MATCH(K1709,Table!I:I,0),6),"")</f>
        <v/>
      </c>
      <c r="Q1709" s="89" t="str">
        <f t="shared" si="78"/>
        <v/>
      </c>
      <c r="R1709" s="89" t="str">
        <f t="shared" si="79"/>
        <v/>
      </c>
      <c r="S1709" s="82"/>
      <c r="U1709" s="37" t="e">
        <f t="shared" si="80"/>
        <v>#VALUE!</v>
      </c>
    </row>
    <row r="1710" spans="1:21" x14ac:dyDescent="0.25">
      <c r="A1710" s="31" t="str">
        <f>IF(Table!A1710 = "","",Table!A1710)</f>
        <v/>
      </c>
      <c r="B1710" s="31" t="str">
        <f>IF(Table!B1710 = "","",Table!B1710)</f>
        <v/>
      </c>
      <c r="C1710" s="31" t="str">
        <f>IF(Table!C1710 = "","",Table!C1710)</f>
        <v/>
      </c>
      <c r="D1710" s="32" t="str">
        <f>IF(Table!D1710 = "","",Table!D1710)</f>
        <v/>
      </c>
      <c r="E1710" s="32" t="str">
        <f>IF(Table!E1710 = "","",Table!E1710)</f>
        <v/>
      </c>
      <c r="F1710" s="32" t="str">
        <f>IF(Table!F1710 = "","",Table!F1710)</f>
        <v/>
      </c>
      <c r="G1710" s="91"/>
      <c r="K1710" s="31" t="str">
        <f>IFERROR(VLOOKUP(A1710,Table!$I$4:$O$3000,1,TRUE),"")</f>
        <v/>
      </c>
      <c r="L1710" s="31" t="str">
        <f>IFERROR(INDEX(Table!I:O,MATCH(K1710,Table!I:I,0),2),"")</f>
        <v/>
      </c>
      <c r="M1710" s="31" t="str">
        <f>IFERROR(INDEX(Table!I:O,MATCH(K1710,Table!I:I,0),3),"")</f>
        <v/>
      </c>
      <c r="N1710" s="32" t="str">
        <f>IFERROR(INDEX(Table!I:O,MATCH(K1710,Table!I:I,0),4),"")</f>
        <v/>
      </c>
      <c r="O1710" s="32" t="str">
        <f>IFERROR(INDEX(Table!I:O,MATCH(K1710,Table!I:I,0),5),"")</f>
        <v/>
      </c>
      <c r="P1710" s="32" t="str">
        <f>IFERROR(INDEX(Table!I:O,MATCH(K1710,Table!I:I,0),6),"")</f>
        <v/>
      </c>
      <c r="Q1710" s="89" t="str">
        <f t="shared" si="78"/>
        <v/>
      </c>
      <c r="R1710" s="89" t="str">
        <f t="shared" si="79"/>
        <v/>
      </c>
      <c r="S1710" s="82"/>
      <c r="U1710" s="37" t="e">
        <f t="shared" si="80"/>
        <v>#VALUE!</v>
      </c>
    </row>
    <row r="1711" spans="1:21" x14ac:dyDescent="0.25">
      <c r="A1711" s="31" t="str">
        <f>IF(Table!A1711 = "","",Table!A1711)</f>
        <v/>
      </c>
      <c r="B1711" s="31" t="str">
        <f>IF(Table!B1711 = "","",Table!B1711)</f>
        <v/>
      </c>
      <c r="C1711" s="31" t="str">
        <f>IF(Table!C1711 = "","",Table!C1711)</f>
        <v/>
      </c>
      <c r="D1711" s="32" t="str">
        <f>IF(Table!D1711 = "","",Table!D1711)</f>
        <v/>
      </c>
      <c r="E1711" s="32" t="str">
        <f>IF(Table!E1711 = "","",Table!E1711)</f>
        <v/>
      </c>
      <c r="F1711" s="32" t="str">
        <f>IF(Table!F1711 = "","",Table!F1711)</f>
        <v/>
      </c>
      <c r="G1711" s="91"/>
      <c r="K1711" s="31" t="str">
        <f>IFERROR(VLOOKUP(A1711,Table!$I$4:$O$3000,1,TRUE),"")</f>
        <v/>
      </c>
      <c r="L1711" s="31" t="str">
        <f>IFERROR(INDEX(Table!I:O,MATCH(K1711,Table!I:I,0),2),"")</f>
        <v/>
      </c>
      <c r="M1711" s="31" t="str">
        <f>IFERROR(INDEX(Table!I:O,MATCH(K1711,Table!I:I,0),3),"")</f>
        <v/>
      </c>
      <c r="N1711" s="32" t="str">
        <f>IFERROR(INDEX(Table!I:O,MATCH(K1711,Table!I:I,0),4),"")</f>
        <v/>
      </c>
      <c r="O1711" s="32" t="str">
        <f>IFERROR(INDEX(Table!I:O,MATCH(K1711,Table!I:I,0),5),"")</f>
        <v/>
      </c>
      <c r="P1711" s="32" t="str">
        <f>IFERROR(INDEX(Table!I:O,MATCH(K1711,Table!I:I,0),6),"")</f>
        <v/>
      </c>
      <c r="Q1711" s="89" t="str">
        <f t="shared" si="78"/>
        <v/>
      </c>
      <c r="R1711" s="89" t="str">
        <f t="shared" si="79"/>
        <v/>
      </c>
      <c r="S1711" s="82"/>
      <c r="U1711" s="37" t="e">
        <f t="shared" si="80"/>
        <v>#VALUE!</v>
      </c>
    </row>
    <row r="1712" spans="1:21" x14ac:dyDescent="0.25">
      <c r="A1712" s="31" t="str">
        <f>IF(Table!A1712 = "","",Table!A1712)</f>
        <v/>
      </c>
      <c r="B1712" s="31" t="str">
        <f>IF(Table!B1712 = "","",Table!B1712)</f>
        <v/>
      </c>
      <c r="C1712" s="31" t="str">
        <f>IF(Table!C1712 = "","",Table!C1712)</f>
        <v/>
      </c>
      <c r="D1712" s="32" t="str">
        <f>IF(Table!D1712 = "","",Table!D1712)</f>
        <v/>
      </c>
      <c r="E1712" s="32" t="str">
        <f>IF(Table!E1712 = "","",Table!E1712)</f>
        <v/>
      </c>
      <c r="F1712" s="32" t="str">
        <f>IF(Table!F1712 = "","",Table!F1712)</f>
        <v/>
      </c>
      <c r="G1712" s="91"/>
      <c r="K1712" s="31" t="str">
        <f>IFERROR(VLOOKUP(A1712,Table!$I$4:$O$3000,1,TRUE),"")</f>
        <v/>
      </c>
      <c r="L1712" s="31" t="str">
        <f>IFERROR(INDEX(Table!I:O,MATCH(K1712,Table!I:I,0),2),"")</f>
        <v/>
      </c>
      <c r="M1712" s="31" t="str">
        <f>IFERROR(INDEX(Table!I:O,MATCH(K1712,Table!I:I,0),3),"")</f>
        <v/>
      </c>
      <c r="N1712" s="32" t="str">
        <f>IFERROR(INDEX(Table!I:O,MATCH(K1712,Table!I:I,0),4),"")</f>
        <v/>
      </c>
      <c r="O1712" s="32" t="str">
        <f>IFERROR(INDEX(Table!I:O,MATCH(K1712,Table!I:I,0),5),"")</f>
        <v/>
      </c>
      <c r="P1712" s="32" t="str">
        <f>IFERROR(INDEX(Table!I:O,MATCH(K1712,Table!I:I,0),6),"")</f>
        <v/>
      </c>
      <c r="Q1712" s="89" t="str">
        <f t="shared" si="78"/>
        <v/>
      </c>
      <c r="R1712" s="89" t="str">
        <f t="shared" si="79"/>
        <v/>
      </c>
      <c r="S1712" s="82"/>
      <c r="U1712" s="37" t="e">
        <f t="shared" si="80"/>
        <v>#VALUE!</v>
      </c>
    </row>
    <row r="1713" spans="1:21" x14ac:dyDescent="0.25">
      <c r="A1713" s="31" t="str">
        <f>IF(Table!A1713 = "","",Table!A1713)</f>
        <v/>
      </c>
      <c r="B1713" s="31" t="str">
        <f>IF(Table!B1713 = "","",Table!B1713)</f>
        <v/>
      </c>
      <c r="C1713" s="31" t="str">
        <f>IF(Table!C1713 = "","",Table!C1713)</f>
        <v/>
      </c>
      <c r="D1713" s="32" t="str">
        <f>IF(Table!D1713 = "","",Table!D1713)</f>
        <v/>
      </c>
      <c r="E1713" s="32" t="str">
        <f>IF(Table!E1713 = "","",Table!E1713)</f>
        <v/>
      </c>
      <c r="F1713" s="32" t="str">
        <f>IF(Table!F1713 = "","",Table!F1713)</f>
        <v/>
      </c>
      <c r="G1713" s="91"/>
      <c r="K1713" s="31" t="str">
        <f>IFERROR(VLOOKUP(A1713,Table!$I$4:$O$3000,1,TRUE),"")</f>
        <v/>
      </c>
      <c r="L1713" s="31" t="str">
        <f>IFERROR(INDEX(Table!I:O,MATCH(K1713,Table!I:I,0),2),"")</f>
        <v/>
      </c>
      <c r="M1713" s="31" t="str">
        <f>IFERROR(INDEX(Table!I:O,MATCH(K1713,Table!I:I,0),3),"")</f>
        <v/>
      </c>
      <c r="N1713" s="32" t="str">
        <f>IFERROR(INDEX(Table!I:O,MATCH(K1713,Table!I:I,0),4),"")</f>
        <v/>
      </c>
      <c r="O1713" s="32" t="str">
        <f>IFERROR(INDEX(Table!I:O,MATCH(K1713,Table!I:I,0),5),"")</f>
        <v/>
      </c>
      <c r="P1713" s="32" t="str">
        <f>IFERROR(INDEX(Table!I:O,MATCH(K1713,Table!I:I,0),6),"")</f>
        <v/>
      </c>
      <c r="Q1713" s="89" t="str">
        <f t="shared" si="78"/>
        <v/>
      </c>
      <c r="R1713" s="89" t="str">
        <f t="shared" si="79"/>
        <v/>
      </c>
      <c r="S1713" s="82"/>
      <c r="U1713" s="37" t="e">
        <f t="shared" si="80"/>
        <v>#VALUE!</v>
      </c>
    </row>
    <row r="1714" spans="1:21" x14ac:dyDescent="0.25">
      <c r="A1714" s="31" t="str">
        <f>IF(Table!A1714 = "","",Table!A1714)</f>
        <v/>
      </c>
      <c r="B1714" s="31" t="str">
        <f>IF(Table!B1714 = "","",Table!B1714)</f>
        <v/>
      </c>
      <c r="C1714" s="31" t="str">
        <f>IF(Table!C1714 = "","",Table!C1714)</f>
        <v/>
      </c>
      <c r="D1714" s="32" t="str">
        <f>IF(Table!D1714 = "","",Table!D1714)</f>
        <v/>
      </c>
      <c r="E1714" s="32" t="str">
        <f>IF(Table!E1714 = "","",Table!E1714)</f>
        <v/>
      </c>
      <c r="F1714" s="32" t="str">
        <f>IF(Table!F1714 = "","",Table!F1714)</f>
        <v/>
      </c>
      <c r="G1714" s="91"/>
      <c r="K1714" s="31" t="str">
        <f>IFERROR(VLOOKUP(A1714,Table!$I$4:$O$3000,1,TRUE),"")</f>
        <v/>
      </c>
      <c r="L1714" s="31" t="str">
        <f>IFERROR(INDEX(Table!I:O,MATCH(K1714,Table!I:I,0),2),"")</f>
        <v/>
      </c>
      <c r="M1714" s="31" t="str">
        <f>IFERROR(INDEX(Table!I:O,MATCH(K1714,Table!I:I,0),3),"")</f>
        <v/>
      </c>
      <c r="N1714" s="32" t="str">
        <f>IFERROR(INDEX(Table!I:O,MATCH(K1714,Table!I:I,0),4),"")</f>
        <v/>
      </c>
      <c r="O1714" s="32" t="str">
        <f>IFERROR(INDEX(Table!I:O,MATCH(K1714,Table!I:I,0),5),"")</f>
        <v/>
      </c>
      <c r="P1714" s="32" t="str">
        <f>IFERROR(INDEX(Table!I:O,MATCH(K1714,Table!I:I,0),6),"")</f>
        <v/>
      </c>
      <c r="Q1714" s="89" t="str">
        <f t="shared" si="78"/>
        <v/>
      </c>
      <c r="R1714" s="89" t="str">
        <f t="shared" si="79"/>
        <v/>
      </c>
      <c r="S1714" s="82"/>
      <c r="U1714" s="37" t="e">
        <f t="shared" si="80"/>
        <v>#VALUE!</v>
      </c>
    </row>
    <row r="1715" spans="1:21" x14ac:dyDescent="0.25">
      <c r="A1715" s="31" t="str">
        <f>IF(Table!A1715 = "","",Table!A1715)</f>
        <v/>
      </c>
      <c r="B1715" s="31" t="str">
        <f>IF(Table!B1715 = "","",Table!B1715)</f>
        <v/>
      </c>
      <c r="C1715" s="31" t="str">
        <f>IF(Table!C1715 = "","",Table!C1715)</f>
        <v/>
      </c>
      <c r="D1715" s="32" t="str">
        <f>IF(Table!D1715 = "","",Table!D1715)</f>
        <v/>
      </c>
      <c r="E1715" s="32" t="str">
        <f>IF(Table!E1715 = "","",Table!E1715)</f>
        <v/>
      </c>
      <c r="F1715" s="32" t="str">
        <f>IF(Table!F1715 = "","",Table!F1715)</f>
        <v/>
      </c>
      <c r="G1715" s="91"/>
      <c r="K1715" s="31" t="str">
        <f>IFERROR(VLOOKUP(A1715,Table!$I$4:$O$3000,1,TRUE),"")</f>
        <v/>
      </c>
      <c r="L1715" s="31" t="str">
        <f>IFERROR(INDEX(Table!I:O,MATCH(K1715,Table!I:I,0),2),"")</f>
        <v/>
      </c>
      <c r="M1715" s="31" t="str">
        <f>IFERROR(INDEX(Table!I:O,MATCH(K1715,Table!I:I,0),3),"")</f>
        <v/>
      </c>
      <c r="N1715" s="32" t="str">
        <f>IFERROR(INDEX(Table!I:O,MATCH(K1715,Table!I:I,0),4),"")</f>
        <v/>
      </c>
      <c r="O1715" s="32" t="str">
        <f>IFERROR(INDEX(Table!I:O,MATCH(K1715,Table!I:I,0),5),"")</f>
        <v/>
      </c>
      <c r="P1715" s="32" t="str">
        <f>IFERROR(INDEX(Table!I:O,MATCH(K1715,Table!I:I,0),6),"")</f>
        <v/>
      </c>
      <c r="Q1715" s="89" t="str">
        <f t="shared" si="78"/>
        <v/>
      </c>
      <c r="R1715" s="89" t="str">
        <f t="shared" si="79"/>
        <v/>
      </c>
      <c r="S1715" s="82"/>
      <c r="U1715" s="37" t="e">
        <f t="shared" si="80"/>
        <v>#VALUE!</v>
      </c>
    </row>
    <row r="1716" spans="1:21" x14ac:dyDescent="0.25">
      <c r="A1716" s="31" t="str">
        <f>IF(Table!A1716 = "","",Table!A1716)</f>
        <v/>
      </c>
      <c r="B1716" s="31" t="str">
        <f>IF(Table!B1716 = "","",Table!B1716)</f>
        <v/>
      </c>
      <c r="C1716" s="31" t="str">
        <f>IF(Table!C1716 = "","",Table!C1716)</f>
        <v/>
      </c>
      <c r="D1716" s="32" t="str">
        <f>IF(Table!D1716 = "","",Table!D1716)</f>
        <v/>
      </c>
      <c r="E1716" s="32" t="str">
        <f>IF(Table!E1716 = "","",Table!E1716)</f>
        <v/>
      </c>
      <c r="F1716" s="32" t="str">
        <f>IF(Table!F1716 = "","",Table!F1716)</f>
        <v/>
      </c>
      <c r="G1716" s="91"/>
      <c r="K1716" s="31" t="str">
        <f>IFERROR(VLOOKUP(A1716,Table!$I$4:$O$3000,1,TRUE),"")</f>
        <v/>
      </c>
      <c r="L1716" s="31" t="str">
        <f>IFERROR(INDEX(Table!I:O,MATCH(K1716,Table!I:I,0),2),"")</f>
        <v/>
      </c>
      <c r="M1716" s="31" t="str">
        <f>IFERROR(INDEX(Table!I:O,MATCH(K1716,Table!I:I,0),3),"")</f>
        <v/>
      </c>
      <c r="N1716" s="32" t="str">
        <f>IFERROR(INDEX(Table!I:O,MATCH(K1716,Table!I:I,0),4),"")</f>
        <v/>
      </c>
      <c r="O1716" s="32" t="str">
        <f>IFERROR(INDEX(Table!I:O,MATCH(K1716,Table!I:I,0),5),"")</f>
        <v/>
      </c>
      <c r="P1716" s="32" t="str">
        <f>IFERROR(INDEX(Table!I:O,MATCH(K1716,Table!I:I,0),6),"")</f>
        <v/>
      </c>
      <c r="Q1716" s="89" t="str">
        <f t="shared" si="78"/>
        <v/>
      </c>
      <c r="R1716" s="89" t="str">
        <f t="shared" si="79"/>
        <v/>
      </c>
      <c r="S1716" s="82"/>
      <c r="U1716" s="37" t="e">
        <f t="shared" si="80"/>
        <v>#VALUE!</v>
      </c>
    </row>
    <row r="1717" spans="1:21" x14ac:dyDescent="0.25">
      <c r="A1717" s="31" t="str">
        <f>IF(Table!A1717 = "","",Table!A1717)</f>
        <v/>
      </c>
      <c r="B1717" s="31" t="str">
        <f>IF(Table!B1717 = "","",Table!B1717)</f>
        <v/>
      </c>
      <c r="C1717" s="31" t="str">
        <f>IF(Table!C1717 = "","",Table!C1717)</f>
        <v/>
      </c>
      <c r="D1717" s="32" t="str">
        <f>IF(Table!D1717 = "","",Table!D1717)</f>
        <v/>
      </c>
      <c r="E1717" s="32" t="str">
        <f>IF(Table!E1717 = "","",Table!E1717)</f>
        <v/>
      </c>
      <c r="F1717" s="32" t="str">
        <f>IF(Table!F1717 = "","",Table!F1717)</f>
        <v/>
      </c>
      <c r="G1717" s="91"/>
      <c r="K1717" s="31" t="str">
        <f>IFERROR(VLOOKUP(A1717,Table!$I$4:$O$3000,1,TRUE),"")</f>
        <v/>
      </c>
      <c r="L1717" s="31" t="str">
        <f>IFERROR(INDEX(Table!I:O,MATCH(K1717,Table!I:I,0),2),"")</f>
        <v/>
      </c>
      <c r="M1717" s="31" t="str">
        <f>IFERROR(INDEX(Table!I:O,MATCH(K1717,Table!I:I,0),3),"")</f>
        <v/>
      </c>
      <c r="N1717" s="32" t="str">
        <f>IFERROR(INDEX(Table!I:O,MATCH(K1717,Table!I:I,0),4),"")</f>
        <v/>
      </c>
      <c r="O1717" s="32" t="str">
        <f>IFERROR(INDEX(Table!I:O,MATCH(K1717,Table!I:I,0),5),"")</f>
        <v/>
      </c>
      <c r="P1717" s="32" t="str">
        <f>IFERROR(INDEX(Table!I:O,MATCH(K1717,Table!I:I,0),6),"")</f>
        <v/>
      </c>
      <c r="Q1717" s="89" t="str">
        <f t="shared" si="78"/>
        <v/>
      </c>
      <c r="R1717" s="89" t="str">
        <f t="shared" si="79"/>
        <v/>
      </c>
      <c r="S1717" s="82"/>
      <c r="U1717" s="37" t="e">
        <f t="shared" si="80"/>
        <v>#VALUE!</v>
      </c>
    </row>
    <row r="1718" spans="1:21" x14ac:dyDescent="0.25">
      <c r="A1718" s="31" t="str">
        <f>IF(Table!A1718 = "","",Table!A1718)</f>
        <v/>
      </c>
      <c r="B1718" s="31" t="str">
        <f>IF(Table!B1718 = "","",Table!B1718)</f>
        <v/>
      </c>
      <c r="C1718" s="31" t="str">
        <f>IF(Table!C1718 = "","",Table!C1718)</f>
        <v/>
      </c>
      <c r="D1718" s="32" t="str">
        <f>IF(Table!D1718 = "","",Table!D1718)</f>
        <v/>
      </c>
      <c r="E1718" s="32" t="str">
        <f>IF(Table!E1718 = "","",Table!E1718)</f>
        <v/>
      </c>
      <c r="F1718" s="32" t="str">
        <f>IF(Table!F1718 = "","",Table!F1718)</f>
        <v/>
      </c>
      <c r="G1718" s="91"/>
      <c r="K1718" s="31" t="str">
        <f>IFERROR(VLOOKUP(A1718,Table!$I$4:$O$3000,1,TRUE),"")</f>
        <v/>
      </c>
      <c r="L1718" s="31" t="str">
        <f>IFERROR(INDEX(Table!I:O,MATCH(K1718,Table!I:I,0),2),"")</f>
        <v/>
      </c>
      <c r="M1718" s="31" t="str">
        <f>IFERROR(INDEX(Table!I:O,MATCH(K1718,Table!I:I,0),3),"")</f>
        <v/>
      </c>
      <c r="N1718" s="32" t="str">
        <f>IFERROR(INDEX(Table!I:O,MATCH(K1718,Table!I:I,0),4),"")</f>
        <v/>
      </c>
      <c r="O1718" s="32" t="str">
        <f>IFERROR(INDEX(Table!I:O,MATCH(K1718,Table!I:I,0),5),"")</f>
        <v/>
      </c>
      <c r="P1718" s="32" t="str">
        <f>IFERROR(INDEX(Table!I:O,MATCH(K1718,Table!I:I,0),6),"")</f>
        <v/>
      </c>
      <c r="Q1718" s="89" t="str">
        <f t="shared" si="78"/>
        <v/>
      </c>
      <c r="R1718" s="89" t="str">
        <f t="shared" si="79"/>
        <v/>
      </c>
      <c r="S1718" s="82"/>
      <c r="U1718" s="37" t="e">
        <f t="shared" si="80"/>
        <v>#VALUE!</v>
      </c>
    </row>
    <row r="1719" spans="1:21" x14ac:dyDescent="0.25">
      <c r="A1719" s="31" t="str">
        <f>IF(Table!A1719 = "","",Table!A1719)</f>
        <v/>
      </c>
      <c r="B1719" s="31" t="str">
        <f>IF(Table!B1719 = "","",Table!B1719)</f>
        <v/>
      </c>
      <c r="C1719" s="31" t="str">
        <f>IF(Table!C1719 = "","",Table!C1719)</f>
        <v/>
      </c>
      <c r="D1719" s="32" t="str">
        <f>IF(Table!D1719 = "","",Table!D1719)</f>
        <v/>
      </c>
      <c r="E1719" s="32" t="str">
        <f>IF(Table!E1719 = "","",Table!E1719)</f>
        <v/>
      </c>
      <c r="F1719" s="32" t="str">
        <f>IF(Table!F1719 = "","",Table!F1719)</f>
        <v/>
      </c>
      <c r="G1719" s="91"/>
      <c r="K1719" s="31" t="str">
        <f>IFERROR(VLOOKUP(A1719,Table!$I$4:$O$3000,1,TRUE),"")</f>
        <v/>
      </c>
      <c r="L1719" s="31" t="str">
        <f>IFERROR(INDEX(Table!I:O,MATCH(K1719,Table!I:I,0),2),"")</f>
        <v/>
      </c>
      <c r="M1719" s="31" t="str">
        <f>IFERROR(INDEX(Table!I:O,MATCH(K1719,Table!I:I,0),3),"")</f>
        <v/>
      </c>
      <c r="N1719" s="32" t="str">
        <f>IFERROR(INDEX(Table!I:O,MATCH(K1719,Table!I:I,0),4),"")</f>
        <v/>
      </c>
      <c r="O1719" s="32" t="str">
        <f>IFERROR(INDEX(Table!I:O,MATCH(K1719,Table!I:I,0),5),"")</f>
        <v/>
      </c>
      <c r="P1719" s="32" t="str">
        <f>IFERROR(INDEX(Table!I:O,MATCH(K1719,Table!I:I,0),6),"")</f>
        <v/>
      </c>
      <c r="Q1719" s="89" t="str">
        <f t="shared" si="78"/>
        <v/>
      </c>
      <c r="R1719" s="89" t="str">
        <f t="shared" si="79"/>
        <v/>
      </c>
      <c r="S1719" s="82"/>
      <c r="U1719" s="37" t="e">
        <f t="shared" si="80"/>
        <v>#VALUE!</v>
      </c>
    </row>
    <row r="1720" spans="1:21" x14ac:dyDescent="0.25">
      <c r="A1720" s="31" t="str">
        <f>IF(Table!A1720 = "","",Table!A1720)</f>
        <v/>
      </c>
      <c r="B1720" s="31" t="str">
        <f>IF(Table!B1720 = "","",Table!B1720)</f>
        <v/>
      </c>
      <c r="C1720" s="31" t="str">
        <f>IF(Table!C1720 = "","",Table!C1720)</f>
        <v/>
      </c>
      <c r="D1720" s="32" t="str">
        <f>IF(Table!D1720 = "","",Table!D1720)</f>
        <v/>
      </c>
      <c r="E1720" s="32" t="str">
        <f>IF(Table!E1720 = "","",Table!E1720)</f>
        <v/>
      </c>
      <c r="F1720" s="32" t="str">
        <f>IF(Table!F1720 = "","",Table!F1720)</f>
        <v/>
      </c>
      <c r="G1720" s="91"/>
      <c r="K1720" s="31" t="str">
        <f>IFERROR(VLOOKUP(A1720,Table!$I$4:$O$3000,1,TRUE),"")</f>
        <v/>
      </c>
      <c r="L1720" s="31" t="str">
        <f>IFERROR(INDEX(Table!I:O,MATCH(K1720,Table!I:I,0),2),"")</f>
        <v/>
      </c>
      <c r="M1720" s="31" t="str">
        <f>IFERROR(INDEX(Table!I:O,MATCH(K1720,Table!I:I,0),3),"")</f>
        <v/>
      </c>
      <c r="N1720" s="32" t="str">
        <f>IFERROR(INDEX(Table!I:O,MATCH(K1720,Table!I:I,0),4),"")</f>
        <v/>
      </c>
      <c r="O1720" s="32" t="str">
        <f>IFERROR(INDEX(Table!I:O,MATCH(K1720,Table!I:I,0),5),"")</f>
        <v/>
      </c>
      <c r="P1720" s="32" t="str">
        <f>IFERROR(INDEX(Table!I:O,MATCH(K1720,Table!I:I,0),6),"")</f>
        <v/>
      </c>
      <c r="Q1720" s="89" t="str">
        <f t="shared" si="78"/>
        <v/>
      </c>
      <c r="R1720" s="89" t="str">
        <f t="shared" si="79"/>
        <v/>
      </c>
      <c r="S1720" s="82"/>
      <c r="U1720" s="37" t="e">
        <f t="shared" si="80"/>
        <v>#VALUE!</v>
      </c>
    </row>
    <row r="1721" spans="1:21" x14ac:dyDescent="0.25">
      <c r="A1721" s="31" t="str">
        <f>IF(Table!A1721 = "","",Table!A1721)</f>
        <v/>
      </c>
      <c r="B1721" s="31" t="str">
        <f>IF(Table!B1721 = "","",Table!B1721)</f>
        <v/>
      </c>
      <c r="C1721" s="31" t="str">
        <f>IF(Table!C1721 = "","",Table!C1721)</f>
        <v/>
      </c>
      <c r="D1721" s="32" t="str">
        <f>IF(Table!D1721 = "","",Table!D1721)</f>
        <v/>
      </c>
      <c r="E1721" s="32" t="str">
        <f>IF(Table!E1721 = "","",Table!E1721)</f>
        <v/>
      </c>
      <c r="F1721" s="32" t="str">
        <f>IF(Table!F1721 = "","",Table!F1721)</f>
        <v/>
      </c>
      <c r="G1721" s="91"/>
      <c r="K1721" s="31" t="str">
        <f>IFERROR(VLOOKUP(A1721,Table!$I$4:$O$3000,1,TRUE),"")</f>
        <v/>
      </c>
      <c r="L1721" s="31" t="str">
        <f>IFERROR(INDEX(Table!I:O,MATCH(K1721,Table!I:I,0),2),"")</f>
        <v/>
      </c>
      <c r="M1721" s="31" t="str">
        <f>IFERROR(INDEX(Table!I:O,MATCH(K1721,Table!I:I,0),3),"")</f>
        <v/>
      </c>
      <c r="N1721" s="32" t="str">
        <f>IFERROR(INDEX(Table!I:O,MATCH(K1721,Table!I:I,0),4),"")</f>
        <v/>
      </c>
      <c r="O1721" s="32" t="str">
        <f>IFERROR(INDEX(Table!I:O,MATCH(K1721,Table!I:I,0),5),"")</f>
        <v/>
      </c>
      <c r="P1721" s="32" t="str">
        <f>IFERROR(INDEX(Table!I:O,MATCH(K1721,Table!I:I,0),6),"")</f>
        <v/>
      </c>
      <c r="Q1721" s="89" t="str">
        <f t="shared" si="78"/>
        <v/>
      </c>
      <c r="R1721" s="89" t="str">
        <f t="shared" si="79"/>
        <v/>
      </c>
      <c r="S1721" s="82"/>
      <c r="U1721" s="37" t="e">
        <f t="shared" si="80"/>
        <v>#VALUE!</v>
      </c>
    </row>
    <row r="1722" spans="1:21" x14ac:dyDescent="0.25">
      <c r="A1722" s="31" t="str">
        <f>IF(Table!A1722 = "","",Table!A1722)</f>
        <v/>
      </c>
      <c r="B1722" s="31" t="str">
        <f>IF(Table!B1722 = "","",Table!B1722)</f>
        <v/>
      </c>
      <c r="C1722" s="31" t="str">
        <f>IF(Table!C1722 = "","",Table!C1722)</f>
        <v/>
      </c>
      <c r="D1722" s="32" t="str">
        <f>IF(Table!D1722 = "","",Table!D1722)</f>
        <v/>
      </c>
      <c r="E1722" s="32" t="str">
        <f>IF(Table!E1722 = "","",Table!E1722)</f>
        <v/>
      </c>
      <c r="F1722" s="32" t="str">
        <f>IF(Table!F1722 = "","",Table!F1722)</f>
        <v/>
      </c>
      <c r="G1722" s="91"/>
      <c r="K1722" s="31" t="str">
        <f>IFERROR(VLOOKUP(A1722,Table!$I$4:$O$3000,1,TRUE),"")</f>
        <v/>
      </c>
      <c r="L1722" s="31" t="str">
        <f>IFERROR(INDEX(Table!I:O,MATCH(K1722,Table!I:I,0),2),"")</f>
        <v/>
      </c>
      <c r="M1722" s="31" t="str">
        <f>IFERROR(INDEX(Table!I:O,MATCH(K1722,Table!I:I,0),3),"")</f>
        <v/>
      </c>
      <c r="N1722" s="32" t="str">
        <f>IFERROR(INDEX(Table!I:O,MATCH(K1722,Table!I:I,0),4),"")</f>
        <v/>
      </c>
      <c r="O1722" s="32" t="str">
        <f>IFERROR(INDEX(Table!I:O,MATCH(K1722,Table!I:I,0),5),"")</f>
        <v/>
      </c>
      <c r="P1722" s="32" t="str">
        <f>IFERROR(INDEX(Table!I:O,MATCH(K1722,Table!I:I,0),6),"")</f>
        <v/>
      </c>
      <c r="Q1722" s="89" t="str">
        <f t="shared" si="78"/>
        <v/>
      </c>
      <c r="R1722" s="89" t="str">
        <f t="shared" si="79"/>
        <v/>
      </c>
      <c r="S1722" s="82"/>
      <c r="U1722" s="37" t="e">
        <f t="shared" si="80"/>
        <v>#VALUE!</v>
      </c>
    </row>
    <row r="1723" spans="1:21" x14ac:dyDescent="0.25">
      <c r="A1723" s="31" t="str">
        <f>IF(Table!A1723 = "","",Table!A1723)</f>
        <v/>
      </c>
      <c r="B1723" s="31" t="str">
        <f>IF(Table!B1723 = "","",Table!B1723)</f>
        <v/>
      </c>
      <c r="C1723" s="31" t="str">
        <f>IF(Table!C1723 = "","",Table!C1723)</f>
        <v/>
      </c>
      <c r="D1723" s="32" t="str">
        <f>IF(Table!D1723 = "","",Table!D1723)</f>
        <v/>
      </c>
      <c r="E1723" s="32" t="str">
        <f>IF(Table!E1723 = "","",Table!E1723)</f>
        <v/>
      </c>
      <c r="F1723" s="32" t="str">
        <f>IF(Table!F1723 = "","",Table!F1723)</f>
        <v/>
      </c>
      <c r="G1723" s="91"/>
      <c r="K1723" s="31" t="str">
        <f>IFERROR(VLOOKUP(A1723,Table!$I$4:$O$3000,1,TRUE),"")</f>
        <v/>
      </c>
      <c r="L1723" s="31" t="str">
        <f>IFERROR(INDEX(Table!I:O,MATCH(K1723,Table!I:I,0),2),"")</f>
        <v/>
      </c>
      <c r="M1723" s="31" t="str">
        <f>IFERROR(INDEX(Table!I:O,MATCH(K1723,Table!I:I,0),3),"")</f>
        <v/>
      </c>
      <c r="N1723" s="32" t="str">
        <f>IFERROR(INDEX(Table!I:O,MATCH(K1723,Table!I:I,0),4),"")</f>
        <v/>
      </c>
      <c r="O1723" s="32" t="str">
        <f>IFERROR(INDEX(Table!I:O,MATCH(K1723,Table!I:I,0),5),"")</f>
        <v/>
      </c>
      <c r="P1723" s="32" t="str">
        <f>IFERROR(INDEX(Table!I:O,MATCH(K1723,Table!I:I,0),6),"")</f>
        <v/>
      </c>
      <c r="Q1723" s="89" t="str">
        <f t="shared" si="78"/>
        <v/>
      </c>
      <c r="R1723" s="89" t="str">
        <f t="shared" si="79"/>
        <v/>
      </c>
      <c r="S1723" s="82"/>
      <c r="U1723" s="37" t="e">
        <f t="shared" si="80"/>
        <v>#VALUE!</v>
      </c>
    </row>
    <row r="1724" spans="1:21" x14ac:dyDescent="0.25">
      <c r="A1724" s="31" t="str">
        <f>IF(Table!A1724 = "","",Table!A1724)</f>
        <v/>
      </c>
      <c r="B1724" s="31" t="str">
        <f>IF(Table!B1724 = "","",Table!B1724)</f>
        <v/>
      </c>
      <c r="C1724" s="31" t="str">
        <f>IF(Table!C1724 = "","",Table!C1724)</f>
        <v/>
      </c>
      <c r="D1724" s="32" t="str">
        <f>IF(Table!D1724 = "","",Table!D1724)</f>
        <v/>
      </c>
      <c r="E1724" s="32" t="str">
        <f>IF(Table!E1724 = "","",Table!E1724)</f>
        <v/>
      </c>
      <c r="F1724" s="32" t="str">
        <f>IF(Table!F1724 = "","",Table!F1724)</f>
        <v/>
      </c>
      <c r="G1724" s="91"/>
      <c r="K1724" s="31" t="str">
        <f>IFERROR(VLOOKUP(A1724,Table!$I$4:$O$3000,1,TRUE),"")</f>
        <v/>
      </c>
      <c r="L1724" s="31" t="str">
        <f>IFERROR(INDEX(Table!I:O,MATCH(K1724,Table!I:I,0),2),"")</f>
        <v/>
      </c>
      <c r="M1724" s="31" t="str">
        <f>IFERROR(INDEX(Table!I:O,MATCH(K1724,Table!I:I,0),3),"")</f>
        <v/>
      </c>
      <c r="N1724" s="32" t="str">
        <f>IFERROR(INDEX(Table!I:O,MATCH(K1724,Table!I:I,0),4),"")</f>
        <v/>
      </c>
      <c r="O1724" s="32" t="str">
        <f>IFERROR(INDEX(Table!I:O,MATCH(K1724,Table!I:I,0),5),"")</f>
        <v/>
      </c>
      <c r="P1724" s="32" t="str">
        <f>IFERROR(INDEX(Table!I:O,MATCH(K1724,Table!I:I,0),6),"")</f>
        <v/>
      </c>
      <c r="Q1724" s="89" t="str">
        <f t="shared" si="78"/>
        <v/>
      </c>
      <c r="R1724" s="89" t="str">
        <f t="shared" si="79"/>
        <v/>
      </c>
      <c r="S1724" s="82"/>
      <c r="U1724" s="37" t="e">
        <f t="shared" si="80"/>
        <v>#VALUE!</v>
      </c>
    </row>
    <row r="1725" spans="1:21" x14ac:dyDescent="0.25">
      <c r="A1725" s="31" t="str">
        <f>IF(Table!A1725 = "","",Table!A1725)</f>
        <v/>
      </c>
      <c r="B1725" s="31" t="str">
        <f>IF(Table!B1725 = "","",Table!B1725)</f>
        <v/>
      </c>
      <c r="C1725" s="31" t="str">
        <f>IF(Table!C1725 = "","",Table!C1725)</f>
        <v/>
      </c>
      <c r="D1725" s="32" t="str">
        <f>IF(Table!D1725 = "","",Table!D1725)</f>
        <v/>
      </c>
      <c r="E1725" s="32" t="str">
        <f>IF(Table!E1725 = "","",Table!E1725)</f>
        <v/>
      </c>
      <c r="F1725" s="32" t="str">
        <f>IF(Table!F1725 = "","",Table!F1725)</f>
        <v/>
      </c>
      <c r="G1725" s="91"/>
      <c r="K1725" s="31" t="str">
        <f>IFERROR(VLOOKUP(A1725,Table!$I$4:$O$3000,1,TRUE),"")</f>
        <v/>
      </c>
      <c r="L1725" s="31" t="str">
        <f>IFERROR(INDEX(Table!I:O,MATCH(K1725,Table!I:I,0),2),"")</f>
        <v/>
      </c>
      <c r="M1725" s="31" t="str">
        <f>IFERROR(INDEX(Table!I:O,MATCH(K1725,Table!I:I,0),3),"")</f>
        <v/>
      </c>
      <c r="N1725" s="32" t="str">
        <f>IFERROR(INDEX(Table!I:O,MATCH(K1725,Table!I:I,0),4),"")</f>
        <v/>
      </c>
      <c r="O1725" s="32" t="str">
        <f>IFERROR(INDEX(Table!I:O,MATCH(K1725,Table!I:I,0),5),"")</f>
        <v/>
      </c>
      <c r="P1725" s="32" t="str">
        <f>IFERROR(INDEX(Table!I:O,MATCH(K1725,Table!I:I,0),6),"")</f>
        <v/>
      </c>
      <c r="Q1725" s="89" t="str">
        <f t="shared" si="78"/>
        <v/>
      </c>
      <c r="R1725" s="89" t="str">
        <f t="shared" si="79"/>
        <v/>
      </c>
      <c r="S1725" s="82"/>
      <c r="U1725" s="37" t="e">
        <f t="shared" si="80"/>
        <v>#VALUE!</v>
      </c>
    </row>
    <row r="1726" spans="1:21" x14ac:dyDescent="0.25">
      <c r="A1726" s="31" t="str">
        <f>IF(Table!A1726 = "","",Table!A1726)</f>
        <v/>
      </c>
      <c r="B1726" s="31" t="str">
        <f>IF(Table!B1726 = "","",Table!B1726)</f>
        <v/>
      </c>
      <c r="C1726" s="31" t="str">
        <f>IF(Table!C1726 = "","",Table!C1726)</f>
        <v/>
      </c>
      <c r="D1726" s="32" t="str">
        <f>IF(Table!D1726 = "","",Table!D1726)</f>
        <v/>
      </c>
      <c r="E1726" s="32" t="str">
        <f>IF(Table!E1726 = "","",Table!E1726)</f>
        <v/>
      </c>
      <c r="F1726" s="32" t="str">
        <f>IF(Table!F1726 = "","",Table!F1726)</f>
        <v/>
      </c>
      <c r="G1726" s="91"/>
      <c r="K1726" s="31" t="str">
        <f>IFERROR(VLOOKUP(A1726,Table!$I$4:$O$3000,1,TRUE),"")</f>
        <v/>
      </c>
      <c r="L1726" s="31" t="str">
        <f>IFERROR(INDEX(Table!I:O,MATCH(K1726,Table!I:I,0),2),"")</f>
        <v/>
      </c>
      <c r="M1726" s="31" t="str">
        <f>IFERROR(INDEX(Table!I:O,MATCH(K1726,Table!I:I,0),3),"")</f>
        <v/>
      </c>
      <c r="N1726" s="32" t="str">
        <f>IFERROR(INDEX(Table!I:O,MATCH(K1726,Table!I:I,0),4),"")</f>
        <v/>
      </c>
      <c r="O1726" s="32" t="str">
        <f>IFERROR(INDEX(Table!I:O,MATCH(K1726,Table!I:I,0),5),"")</f>
        <v/>
      </c>
      <c r="P1726" s="32" t="str">
        <f>IFERROR(INDEX(Table!I:O,MATCH(K1726,Table!I:I,0),6),"")</f>
        <v/>
      </c>
      <c r="Q1726" s="89" t="str">
        <f t="shared" si="78"/>
        <v/>
      </c>
      <c r="R1726" s="89" t="str">
        <f t="shared" si="79"/>
        <v/>
      </c>
      <c r="S1726" s="82"/>
      <c r="U1726" s="37" t="e">
        <f t="shared" si="80"/>
        <v>#VALUE!</v>
      </c>
    </row>
    <row r="1727" spans="1:21" x14ac:dyDescent="0.25">
      <c r="A1727" s="31" t="str">
        <f>IF(Table!A1727 = "","",Table!A1727)</f>
        <v/>
      </c>
      <c r="B1727" s="31" t="str">
        <f>IF(Table!B1727 = "","",Table!B1727)</f>
        <v/>
      </c>
      <c r="C1727" s="31" t="str">
        <f>IF(Table!C1727 = "","",Table!C1727)</f>
        <v/>
      </c>
      <c r="D1727" s="32" t="str">
        <f>IF(Table!D1727 = "","",Table!D1727)</f>
        <v/>
      </c>
      <c r="E1727" s="32" t="str">
        <f>IF(Table!E1727 = "","",Table!E1727)</f>
        <v/>
      </c>
      <c r="F1727" s="32" t="str">
        <f>IF(Table!F1727 = "","",Table!F1727)</f>
        <v/>
      </c>
      <c r="G1727" s="91"/>
      <c r="K1727" s="31" t="str">
        <f>IFERROR(VLOOKUP(A1727,Table!$I$4:$O$3000,1,TRUE),"")</f>
        <v/>
      </c>
      <c r="L1727" s="31" t="str">
        <f>IFERROR(INDEX(Table!I:O,MATCH(K1727,Table!I:I,0),2),"")</f>
        <v/>
      </c>
      <c r="M1727" s="31" t="str">
        <f>IFERROR(INDEX(Table!I:O,MATCH(K1727,Table!I:I,0),3),"")</f>
        <v/>
      </c>
      <c r="N1727" s="32" t="str">
        <f>IFERROR(INDEX(Table!I:O,MATCH(K1727,Table!I:I,0),4),"")</f>
        <v/>
      </c>
      <c r="O1727" s="32" t="str">
        <f>IFERROR(INDEX(Table!I:O,MATCH(K1727,Table!I:I,0),5),"")</f>
        <v/>
      </c>
      <c r="P1727" s="32" t="str">
        <f>IFERROR(INDEX(Table!I:O,MATCH(K1727,Table!I:I,0),6),"")</f>
        <v/>
      </c>
      <c r="Q1727" s="89" t="str">
        <f t="shared" si="78"/>
        <v/>
      </c>
      <c r="R1727" s="89" t="str">
        <f t="shared" si="79"/>
        <v/>
      </c>
      <c r="S1727" s="82"/>
      <c r="U1727" s="37" t="e">
        <f t="shared" si="80"/>
        <v>#VALUE!</v>
      </c>
    </row>
    <row r="1728" spans="1:21" x14ac:dyDescent="0.25">
      <c r="A1728" s="31" t="str">
        <f>IF(Table!A1728 = "","",Table!A1728)</f>
        <v/>
      </c>
      <c r="B1728" s="31" t="str">
        <f>IF(Table!B1728 = "","",Table!B1728)</f>
        <v/>
      </c>
      <c r="C1728" s="31" t="str">
        <f>IF(Table!C1728 = "","",Table!C1728)</f>
        <v/>
      </c>
      <c r="D1728" s="32" t="str">
        <f>IF(Table!D1728 = "","",Table!D1728)</f>
        <v/>
      </c>
      <c r="E1728" s="32" t="str">
        <f>IF(Table!E1728 = "","",Table!E1728)</f>
        <v/>
      </c>
      <c r="F1728" s="32" t="str">
        <f>IF(Table!F1728 = "","",Table!F1728)</f>
        <v/>
      </c>
      <c r="G1728" s="91"/>
      <c r="K1728" s="31" t="str">
        <f>IFERROR(VLOOKUP(A1728,Table!$I$4:$O$3000,1,TRUE),"")</f>
        <v/>
      </c>
      <c r="L1728" s="31" t="str">
        <f>IFERROR(INDEX(Table!I:O,MATCH(K1728,Table!I:I,0),2),"")</f>
        <v/>
      </c>
      <c r="M1728" s="31" t="str">
        <f>IFERROR(INDEX(Table!I:O,MATCH(K1728,Table!I:I,0),3),"")</f>
        <v/>
      </c>
      <c r="N1728" s="32" t="str">
        <f>IFERROR(INDEX(Table!I:O,MATCH(K1728,Table!I:I,0),4),"")</f>
        <v/>
      </c>
      <c r="O1728" s="32" t="str">
        <f>IFERROR(INDEX(Table!I:O,MATCH(K1728,Table!I:I,0),5),"")</f>
        <v/>
      </c>
      <c r="P1728" s="32" t="str">
        <f>IFERROR(INDEX(Table!I:O,MATCH(K1728,Table!I:I,0),6),"")</f>
        <v/>
      </c>
      <c r="Q1728" s="89" t="str">
        <f t="shared" si="78"/>
        <v/>
      </c>
      <c r="R1728" s="89" t="str">
        <f t="shared" si="79"/>
        <v/>
      </c>
      <c r="S1728" s="82"/>
      <c r="U1728" s="37" t="e">
        <f t="shared" si="80"/>
        <v>#VALUE!</v>
      </c>
    </row>
    <row r="1729" spans="1:21" x14ac:dyDescent="0.25">
      <c r="A1729" s="31" t="str">
        <f>IF(Table!A1729 = "","",Table!A1729)</f>
        <v/>
      </c>
      <c r="B1729" s="31" t="str">
        <f>IF(Table!B1729 = "","",Table!B1729)</f>
        <v/>
      </c>
      <c r="C1729" s="31" t="str">
        <f>IF(Table!C1729 = "","",Table!C1729)</f>
        <v/>
      </c>
      <c r="D1729" s="32" t="str">
        <f>IF(Table!D1729 = "","",Table!D1729)</f>
        <v/>
      </c>
      <c r="E1729" s="32" t="str">
        <f>IF(Table!E1729 = "","",Table!E1729)</f>
        <v/>
      </c>
      <c r="F1729" s="32" t="str">
        <f>IF(Table!F1729 = "","",Table!F1729)</f>
        <v/>
      </c>
      <c r="G1729" s="91"/>
      <c r="K1729" s="31" t="str">
        <f>IFERROR(VLOOKUP(A1729,Table!$I$4:$O$3000,1,TRUE),"")</f>
        <v/>
      </c>
      <c r="L1729" s="31" t="str">
        <f>IFERROR(INDEX(Table!I:O,MATCH(K1729,Table!I:I,0),2),"")</f>
        <v/>
      </c>
      <c r="M1729" s="31" t="str">
        <f>IFERROR(INDEX(Table!I:O,MATCH(K1729,Table!I:I,0),3),"")</f>
        <v/>
      </c>
      <c r="N1729" s="32" t="str">
        <f>IFERROR(INDEX(Table!I:O,MATCH(K1729,Table!I:I,0),4),"")</f>
        <v/>
      </c>
      <c r="O1729" s="32" t="str">
        <f>IFERROR(INDEX(Table!I:O,MATCH(K1729,Table!I:I,0),5),"")</f>
        <v/>
      </c>
      <c r="P1729" s="32" t="str">
        <f>IFERROR(INDEX(Table!I:O,MATCH(K1729,Table!I:I,0),6),"")</f>
        <v/>
      </c>
      <c r="Q1729" s="89" t="str">
        <f t="shared" si="78"/>
        <v/>
      </c>
      <c r="R1729" s="89" t="str">
        <f t="shared" si="79"/>
        <v/>
      </c>
      <c r="S1729" s="82"/>
      <c r="U1729" s="37" t="e">
        <f t="shared" si="80"/>
        <v>#VALUE!</v>
      </c>
    </row>
    <row r="1730" spans="1:21" x14ac:dyDescent="0.25">
      <c r="A1730" s="31" t="str">
        <f>IF(Table!A1730 = "","",Table!A1730)</f>
        <v/>
      </c>
      <c r="B1730" s="31" t="str">
        <f>IF(Table!B1730 = "","",Table!B1730)</f>
        <v/>
      </c>
      <c r="C1730" s="31" t="str">
        <f>IF(Table!C1730 = "","",Table!C1730)</f>
        <v/>
      </c>
      <c r="D1730" s="32" t="str">
        <f>IF(Table!D1730 = "","",Table!D1730)</f>
        <v/>
      </c>
      <c r="E1730" s="32" t="str">
        <f>IF(Table!E1730 = "","",Table!E1730)</f>
        <v/>
      </c>
      <c r="F1730" s="32" t="str">
        <f>IF(Table!F1730 = "","",Table!F1730)</f>
        <v/>
      </c>
      <c r="G1730" s="91"/>
      <c r="K1730" s="31" t="str">
        <f>IFERROR(VLOOKUP(A1730,Table!$I$4:$O$3000,1,TRUE),"")</f>
        <v/>
      </c>
      <c r="L1730" s="31" t="str">
        <f>IFERROR(INDEX(Table!I:O,MATCH(K1730,Table!I:I,0),2),"")</f>
        <v/>
      </c>
      <c r="M1730" s="31" t="str">
        <f>IFERROR(INDEX(Table!I:O,MATCH(K1730,Table!I:I,0),3),"")</f>
        <v/>
      </c>
      <c r="N1730" s="32" t="str">
        <f>IFERROR(INDEX(Table!I:O,MATCH(K1730,Table!I:I,0),4),"")</f>
        <v/>
      </c>
      <c r="O1730" s="32" t="str">
        <f>IFERROR(INDEX(Table!I:O,MATCH(K1730,Table!I:I,0),5),"")</f>
        <v/>
      </c>
      <c r="P1730" s="32" t="str">
        <f>IFERROR(INDEX(Table!I:O,MATCH(K1730,Table!I:I,0),6),"")</f>
        <v/>
      </c>
      <c r="Q1730" s="89" t="str">
        <f t="shared" si="78"/>
        <v/>
      </c>
      <c r="R1730" s="89" t="str">
        <f t="shared" si="79"/>
        <v/>
      </c>
      <c r="S1730" s="82"/>
      <c r="U1730" s="37" t="e">
        <f t="shared" si="80"/>
        <v>#VALUE!</v>
      </c>
    </row>
    <row r="1731" spans="1:21" x14ac:dyDescent="0.25">
      <c r="A1731" s="31" t="str">
        <f>IF(Table!A1731 = "","",Table!A1731)</f>
        <v/>
      </c>
      <c r="B1731" s="31" t="str">
        <f>IF(Table!B1731 = "","",Table!B1731)</f>
        <v/>
      </c>
      <c r="C1731" s="31" t="str">
        <f>IF(Table!C1731 = "","",Table!C1731)</f>
        <v/>
      </c>
      <c r="D1731" s="32" t="str">
        <f>IF(Table!D1731 = "","",Table!D1731)</f>
        <v/>
      </c>
      <c r="E1731" s="32" t="str">
        <f>IF(Table!E1731 = "","",Table!E1731)</f>
        <v/>
      </c>
      <c r="F1731" s="32" t="str">
        <f>IF(Table!F1731 = "","",Table!F1731)</f>
        <v/>
      </c>
      <c r="G1731" s="91"/>
      <c r="K1731" s="31" t="str">
        <f>IFERROR(VLOOKUP(A1731,Table!$I$4:$O$3000,1,TRUE),"")</f>
        <v/>
      </c>
      <c r="L1731" s="31" t="str">
        <f>IFERROR(INDEX(Table!I:O,MATCH(K1731,Table!I:I,0),2),"")</f>
        <v/>
      </c>
      <c r="M1731" s="31" t="str">
        <f>IFERROR(INDEX(Table!I:O,MATCH(K1731,Table!I:I,0),3),"")</f>
        <v/>
      </c>
      <c r="N1731" s="32" t="str">
        <f>IFERROR(INDEX(Table!I:O,MATCH(K1731,Table!I:I,0),4),"")</f>
        <v/>
      </c>
      <c r="O1731" s="32" t="str">
        <f>IFERROR(INDEX(Table!I:O,MATCH(K1731,Table!I:I,0),5),"")</f>
        <v/>
      </c>
      <c r="P1731" s="32" t="str">
        <f>IFERROR(INDEX(Table!I:O,MATCH(K1731,Table!I:I,0),6),"")</f>
        <v/>
      </c>
      <c r="Q1731" s="89" t="str">
        <f t="shared" si="78"/>
        <v/>
      </c>
      <c r="R1731" s="89" t="str">
        <f t="shared" si="79"/>
        <v/>
      </c>
      <c r="S1731" s="82"/>
      <c r="U1731" s="37" t="e">
        <f t="shared" si="80"/>
        <v>#VALUE!</v>
      </c>
    </row>
    <row r="1732" spans="1:21" x14ac:dyDescent="0.25">
      <c r="A1732" s="31" t="str">
        <f>IF(Table!A1732 = "","",Table!A1732)</f>
        <v/>
      </c>
      <c r="B1732" s="31" t="str">
        <f>IF(Table!B1732 = "","",Table!B1732)</f>
        <v/>
      </c>
      <c r="C1732" s="31" t="str">
        <f>IF(Table!C1732 = "","",Table!C1732)</f>
        <v/>
      </c>
      <c r="D1732" s="32" t="str">
        <f>IF(Table!D1732 = "","",Table!D1732)</f>
        <v/>
      </c>
      <c r="E1732" s="32" t="str">
        <f>IF(Table!E1732 = "","",Table!E1732)</f>
        <v/>
      </c>
      <c r="F1732" s="32" t="str">
        <f>IF(Table!F1732 = "","",Table!F1732)</f>
        <v/>
      </c>
      <c r="G1732" s="91"/>
      <c r="K1732" s="31" t="str">
        <f>IFERROR(VLOOKUP(A1732,Table!$I$4:$O$3000,1,TRUE),"")</f>
        <v/>
      </c>
      <c r="L1732" s="31" t="str">
        <f>IFERROR(INDEX(Table!I:O,MATCH(K1732,Table!I:I,0),2),"")</f>
        <v/>
      </c>
      <c r="M1732" s="31" t="str">
        <f>IFERROR(INDEX(Table!I:O,MATCH(K1732,Table!I:I,0),3),"")</f>
        <v/>
      </c>
      <c r="N1732" s="32" t="str">
        <f>IFERROR(INDEX(Table!I:O,MATCH(K1732,Table!I:I,0),4),"")</f>
        <v/>
      </c>
      <c r="O1732" s="32" t="str">
        <f>IFERROR(INDEX(Table!I:O,MATCH(K1732,Table!I:I,0),5),"")</f>
        <v/>
      </c>
      <c r="P1732" s="32" t="str">
        <f>IFERROR(INDEX(Table!I:O,MATCH(K1732,Table!I:I,0),6),"")</f>
        <v/>
      </c>
      <c r="Q1732" s="89" t="str">
        <f t="shared" si="78"/>
        <v/>
      </c>
      <c r="R1732" s="89" t="str">
        <f t="shared" si="79"/>
        <v/>
      </c>
      <c r="S1732" s="82"/>
      <c r="U1732" s="37" t="e">
        <f t="shared" si="80"/>
        <v>#VALUE!</v>
      </c>
    </row>
    <row r="1733" spans="1:21" x14ac:dyDescent="0.25">
      <c r="A1733" s="31" t="str">
        <f>IF(Table!A1733 = "","",Table!A1733)</f>
        <v/>
      </c>
      <c r="B1733" s="31" t="str">
        <f>IF(Table!B1733 = "","",Table!B1733)</f>
        <v/>
      </c>
      <c r="C1733" s="31" t="str">
        <f>IF(Table!C1733 = "","",Table!C1733)</f>
        <v/>
      </c>
      <c r="D1733" s="32" t="str">
        <f>IF(Table!D1733 = "","",Table!D1733)</f>
        <v/>
      </c>
      <c r="E1733" s="32" t="str">
        <f>IF(Table!E1733 = "","",Table!E1733)</f>
        <v/>
      </c>
      <c r="F1733" s="32" t="str">
        <f>IF(Table!F1733 = "","",Table!F1733)</f>
        <v/>
      </c>
      <c r="G1733" s="91"/>
      <c r="K1733" s="31" t="str">
        <f>IFERROR(VLOOKUP(A1733,Table!$I$4:$O$3000,1,TRUE),"")</f>
        <v/>
      </c>
      <c r="L1733" s="31" t="str">
        <f>IFERROR(INDEX(Table!I:O,MATCH(K1733,Table!I:I,0),2),"")</f>
        <v/>
      </c>
      <c r="M1733" s="31" t="str">
        <f>IFERROR(INDEX(Table!I:O,MATCH(K1733,Table!I:I,0),3),"")</f>
        <v/>
      </c>
      <c r="N1733" s="32" t="str">
        <f>IFERROR(INDEX(Table!I:O,MATCH(K1733,Table!I:I,0),4),"")</f>
        <v/>
      </c>
      <c r="O1733" s="32" t="str">
        <f>IFERROR(INDEX(Table!I:O,MATCH(K1733,Table!I:I,0),5),"")</f>
        <v/>
      </c>
      <c r="P1733" s="32" t="str">
        <f>IFERROR(INDEX(Table!I:O,MATCH(K1733,Table!I:I,0),6),"")</f>
        <v/>
      </c>
      <c r="Q1733" s="89" t="str">
        <f t="shared" si="78"/>
        <v/>
      </c>
      <c r="R1733" s="89" t="str">
        <f t="shared" si="79"/>
        <v/>
      </c>
      <c r="S1733" s="82"/>
      <c r="U1733" s="37" t="e">
        <f t="shared" si="80"/>
        <v>#VALUE!</v>
      </c>
    </row>
    <row r="1734" spans="1:21" x14ac:dyDescent="0.25">
      <c r="A1734" s="31" t="str">
        <f>IF(Table!A1734 = "","",Table!A1734)</f>
        <v/>
      </c>
      <c r="B1734" s="31" t="str">
        <f>IF(Table!B1734 = "","",Table!B1734)</f>
        <v/>
      </c>
      <c r="C1734" s="31" t="str">
        <f>IF(Table!C1734 = "","",Table!C1734)</f>
        <v/>
      </c>
      <c r="D1734" s="32" t="str">
        <f>IF(Table!D1734 = "","",Table!D1734)</f>
        <v/>
      </c>
      <c r="E1734" s="32" t="str">
        <f>IF(Table!E1734 = "","",Table!E1734)</f>
        <v/>
      </c>
      <c r="F1734" s="32" t="str">
        <f>IF(Table!F1734 = "","",Table!F1734)</f>
        <v/>
      </c>
      <c r="G1734" s="91"/>
      <c r="K1734" s="31" t="str">
        <f>IFERROR(VLOOKUP(A1734,Table!$I$4:$O$3000,1,TRUE),"")</f>
        <v/>
      </c>
      <c r="L1734" s="31" t="str">
        <f>IFERROR(INDEX(Table!I:O,MATCH(K1734,Table!I:I,0),2),"")</f>
        <v/>
      </c>
      <c r="M1734" s="31" t="str">
        <f>IFERROR(INDEX(Table!I:O,MATCH(K1734,Table!I:I,0),3),"")</f>
        <v/>
      </c>
      <c r="N1734" s="32" t="str">
        <f>IFERROR(INDEX(Table!I:O,MATCH(K1734,Table!I:I,0),4),"")</f>
        <v/>
      </c>
      <c r="O1734" s="32" t="str">
        <f>IFERROR(INDEX(Table!I:O,MATCH(K1734,Table!I:I,0),5),"")</f>
        <v/>
      </c>
      <c r="P1734" s="32" t="str">
        <f>IFERROR(INDEX(Table!I:O,MATCH(K1734,Table!I:I,0),6),"")</f>
        <v/>
      </c>
      <c r="Q1734" s="89" t="str">
        <f t="shared" ref="Q1734:Q1797" si="81">IFERROR(L1734-B1734,"")</f>
        <v/>
      </c>
      <c r="R1734" s="89" t="str">
        <f t="shared" ref="R1734:R1797" si="82">IFERROR(M1734-C1734,"")</f>
        <v/>
      </c>
      <c r="S1734" s="82"/>
      <c r="U1734" s="37" t="e">
        <f t="shared" ref="U1734:U1797" si="83">K1734-K1733</f>
        <v>#VALUE!</v>
      </c>
    </row>
    <row r="1735" spans="1:21" x14ac:dyDescent="0.25">
      <c r="A1735" s="31" t="str">
        <f>IF(Table!A1735 = "","",Table!A1735)</f>
        <v/>
      </c>
      <c r="B1735" s="31" t="str">
        <f>IF(Table!B1735 = "","",Table!B1735)</f>
        <v/>
      </c>
      <c r="C1735" s="31" t="str">
        <f>IF(Table!C1735 = "","",Table!C1735)</f>
        <v/>
      </c>
      <c r="D1735" s="32" t="str">
        <f>IF(Table!D1735 = "","",Table!D1735)</f>
        <v/>
      </c>
      <c r="E1735" s="32" t="str">
        <f>IF(Table!E1735 = "","",Table!E1735)</f>
        <v/>
      </c>
      <c r="F1735" s="32" t="str">
        <f>IF(Table!F1735 = "","",Table!F1735)</f>
        <v/>
      </c>
      <c r="G1735" s="91"/>
      <c r="K1735" s="31" t="str">
        <f>IFERROR(VLOOKUP(A1735,Table!$I$4:$O$3000,1,TRUE),"")</f>
        <v/>
      </c>
      <c r="L1735" s="31" t="str">
        <f>IFERROR(INDEX(Table!I:O,MATCH(K1735,Table!I:I,0),2),"")</f>
        <v/>
      </c>
      <c r="M1735" s="31" t="str">
        <f>IFERROR(INDEX(Table!I:O,MATCH(K1735,Table!I:I,0),3),"")</f>
        <v/>
      </c>
      <c r="N1735" s="32" t="str">
        <f>IFERROR(INDEX(Table!I:O,MATCH(K1735,Table!I:I,0),4),"")</f>
        <v/>
      </c>
      <c r="O1735" s="32" t="str">
        <f>IFERROR(INDEX(Table!I:O,MATCH(K1735,Table!I:I,0),5),"")</f>
        <v/>
      </c>
      <c r="P1735" s="32" t="str">
        <f>IFERROR(INDEX(Table!I:O,MATCH(K1735,Table!I:I,0),6),"")</f>
        <v/>
      </c>
      <c r="Q1735" s="89" t="str">
        <f t="shared" si="81"/>
        <v/>
      </c>
      <c r="R1735" s="89" t="str">
        <f t="shared" si="82"/>
        <v/>
      </c>
      <c r="S1735" s="82"/>
      <c r="U1735" s="37" t="e">
        <f t="shared" si="83"/>
        <v>#VALUE!</v>
      </c>
    </row>
    <row r="1736" spans="1:21" x14ac:dyDescent="0.25">
      <c r="A1736" s="31" t="str">
        <f>IF(Table!A1736 = "","",Table!A1736)</f>
        <v/>
      </c>
      <c r="B1736" s="31" t="str">
        <f>IF(Table!B1736 = "","",Table!B1736)</f>
        <v/>
      </c>
      <c r="C1736" s="31" t="str">
        <f>IF(Table!C1736 = "","",Table!C1736)</f>
        <v/>
      </c>
      <c r="D1736" s="32" t="str">
        <f>IF(Table!D1736 = "","",Table!D1736)</f>
        <v/>
      </c>
      <c r="E1736" s="32" t="str">
        <f>IF(Table!E1736 = "","",Table!E1736)</f>
        <v/>
      </c>
      <c r="F1736" s="32" t="str">
        <f>IF(Table!F1736 = "","",Table!F1736)</f>
        <v/>
      </c>
      <c r="G1736" s="91"/>
      <c r="K1736" s="31" t="str">
        <f>IFERROR(VLOOKUP(A1736,Table!$I$4:$O$3000,1,TRUE),"")</f>
        <v/>
      </c>
      <c r="L1736" s="31" t="str">
        <f>IFERROR(INDEX(Table!I:O,MATCH(K1736,Table!I:I,0),2),"")</f>
        <v/>
      </c>
      <c r="M1736" s="31" t="str">
        <f>IFERROR(INDEX(Table!I:O,MATCH(K1736,Table!I:I,0),3),"")</f>
        <v/>
      </c>
      <c r="N1736" s="32" t="str">
        <f>IFERROR(INDEX(Table!I:O,MATCH(K1736,Table!I:I,0),4),"")</f>
        <v/>
      </c>
      <c r="O1736" s="32" t="str">
        <f>IFERROR(INDEX(Table!I:O,MATCH(K1736,Table!I:I,0),5),"")</f>
        <v/>
      </c>
      <c r="P1736" s="32" t="str">
        <f>IFERROR(INDEX(Table!I:O,MATCH(K1736,Table!I:I,0),6),"")</f>
        <v/>
      </c>
      <c r="Q1736" s="89" t="str">
        <f t="shared" si="81"/>
        <v/>
      </c>
      <c r="R1736" s="89" t="str">
        <f t="shared" si="82"/>
        <v/>
      </c>
      <c r="S1736" s="82"/>
      <c r="U1736" s="37" t="e">
        <f t="shared" si="83"/>
        <v>#VALUE!</v>
      </c>
    </row>
    <row r="1737" spans="1:21" x14ac:dyDescent="0.25">
      <c r="A1737" s="31" t="str">
        <f>IF(Table!A1737 = "","",Table!A1737)</f>
        <v/>
      </c>
      <c r="B1737" s="31" t="str">
        <f>IF(Table!B1737 = "","",Table!B1737)</f>
        <v/>
      </c>
      <c r="C1737" s="31" t="str">
        <f>IF(Table!C1737 = "","",Table!C1737)</f>
        <v/>
      </c>
      <c r="D1737" s="32" t="str">
        <f>IF(Table!D1737 = "","",Table!D1737)</f>
        <v/>
      </c>
      <c r="E1737" s="32" t="str">
        <f>IF(Table!E1737 = "","",Table!E1737)</f>
        <v/>
      </c>
      <c r="F1737" s="32" t="str">
        <f>IF(Table!F1737 = "","",Table!F1737)</f>
        <v/>
      </c>
      <c r="G1737" s="91"/>
      <c r="K1737" s="31" t="str">
        <f>IFERROR(VLOOKUP(A1737,Table!$I$4:$O$3000,1,TRUE),"")</f>
        <v/>
      </c>
      <c r="L1737" s="31" t="str">
        <f>IFERROR(INDEX(Table!I:O,MATCH(K1737,Table!I:I,0),2),"")</f>
        <v/>
      </c>
      <c r="M1737" s="31" t="str">
        <f>IFERROR(INDEX(Table!I:O,MATCH(K1737,Table!I:I,0),3),"")</f>
        <v/>
      </c>
      <c r="N1737" s="32" t="str">
        <f>IFERROR(INDEX(Table!I:O,MATCH(K1737,Table!I:I,0),4),"")</f>
        <v/>
      </c>
      <c r="O1737" s="32" t="str">
        <f>IFERROR(INDEX(Table!I:O,MATCH(K1737,Table!I:I,0),5),"")</f>
        <v/>
      </c>
      <c r="P1737" s="32" t="str">
        <f>IFERROR(INDEX(Table!I:O,MATCH(K1737,Table!I:I,0),6),"")</f>
        <v/>
      </c>
      <c r="Q1737" s="89" t="str">
        <f t="shared" si="81"/>
        <v/>
      </c>
      <c r="R1737" s="89" t="str">
        <f t="shared" si="82"/>
        <v/>
      </c>
      <c r="S1737" s="82"/>
      <c r="U1737" s="37" t="e">
        <f t="shared" si="83"/>
        <v>#VALUE!</v>
      </c>
    </row>
    <row r="1738" spans="1:21" x14ac:dyDescent="0.25">
      <c r="A1738" s="31" t="str">
        <f>IF(Table!A1738 = "","",Table!A1738)</f>
        <v/>
      </c>
      <c r="B1738" s="31" t="str">
        <f>IF(Table!B1738 = "","",Table!B1738)</f>
        <v/>
      </c>
      <c r="C1738" s="31" t="str">
        <f>IF(Table!C1738 = "","",Table!C1738)</f>
        <v/>
      </c>
      <c r="D1738" s="32" t="str">
        <f>IF(Table!D1738 = "","",Table!D1738)</f>
        <v/>
      </c>
      <c r="E1738" s="32" t="str">
        <f>IF(Table!E1738 = "","",Table!E1738)</f>
        <v/>
      </c>
      <c r="F1738" s="32" t="str">
        <f>IF(Table!F1738 = "","",Table!F1738)</f>
        <v/>
      </c>
      <c r="G1738" s="91"/>
      <c r="K1738" s="31" t="str">
        <f>IFERROR(VLOOKUP(A1738,Table!$I$4:$O$3000,1,TRUE),"")</f>
        <v/>
      </c>
      <c r="L1738" s="31" t="str">
        <f>IFERROR(INDEX(Table!I:O,MATCH(K1738,Table!I:I,0),2),"")</f>
        <v/>
      </c>
      <c r="M1738" s="31" t="str">
        <f>IFERROR(INDEX(Table!I:O,MATCH(K1738,Table!I:I,0),3),"")</f>
        <v/>
      </c>
      <c r="N1738" s="32" t="str">
        <f>IFERROR(INDEX(Table!I:O,MATCH(K1738,Table!I:I,0),4),"")</f>
        <v/>
      </c>
      <c r="O1738" s="32" t="str">
        <f>IFERROR(INDEX(Table!I:O,MATCH(K1738,Table!I:I,0),5),"")</f>
        <v/>
      </c>
      <c r="P1738" s="32" t="str">
        <f>IFERROR(INDEX(Table!I:O,MATCH(K1738,Table!I:I,0),6),"")</f>
        <v/>
      </c>
      <c r="Q1738" s="89" t="str">
        <f t="shared" si="81"/>
        <v/>
      </c>
      <c r="R1738" s="89" t="str">
        <f t="shared" si="82"/>
        <v/>
      </c>
      <c r="S1738" s="82"/>
      <c r="U1738" s="37" t="e">
        <f t="shared" si="83"/>
        <v>#VALUE!</v>
      </c>
    </row>
    <row r="1739" spans="1:21" x14ac:dyDescent="0.25">
      <c r="A1739" s="31" t="str">
        <f>IF(Table!A1739 = "","",Table!A1739)</f>
        <v/>
      </c>
      <c r="B1739" s="31" t="str">
        <f>IF(Table!B1739 = "","",Table!B1739)</f>
        <v/>
      </c>
      <c r="C1739" s="31" t="str">
        <f>IF(Table!C1739 = "","",Table!C1739)</f>
        <v/>
      </c>
      <c r="D1739" s="32" t="str">
        <f>IF(Table!D1739 = "","",Table!D1739)</f>
        <v/>
      </c>
      <c r="E1739" s="32" t="str">
        <f>IF(Table!E1739 = "","",Table!E1739)</f>
        <v/>
      </c>
      <c r="F1739" s="32" t="str">
        <f>IF(Table!F1739 = "","",Table!F1739)</f>
        <v/>
      </c>
      <c r="G1739" s="91"/>
      <c r="K1739" s="31" t="str">
        <f>IFERROR(VLOOKUP(A1739,Table!$I$4:$O$3000,1,TRUE),"")</f>
        <v/>
      </c>
      <c r="L1739" s="31" t="str">
        <f>IFERROR(INDEX(Table!I:O,MATCH(K1739,Table!I:I,0),2),"")</f>
        <v/>
      </c>
      <c r="M1739" s="31" t="str">
        <f>IFERROR(INDEX(Table!I:O,MATCH(K1739,Table!I:I,0),3),"")</f>
        <v/>
      </c>
      <c r="N1739" s="32" t="str">
        <f>IFERROR(INDEX(Table!I:O,MATCH(K1739,Table!I:I,0),4),"")</f>
        <v/>
      </c>
      <c r="O1739" s="32" t="str">
        <f>IFERROR(INDEX(Table!I:O,MATCH(K1739,Table!I:I,0),5),"")</f>
        <v/>
      </c>
      <c r="P1739" s="32" t="str">
        <f>IFERROR(INDEX(Table!I:O,MATCH(K1739,Table!I:I,0),6),"")</f>
        <v/>
      </c>
      <c r="Q1739" s="89" t="str">
        <f t="shared" si="81"/>
        <v/>
      </c>
      <c r="R1739" s="89" t="str">
        <f t="shared" si="82"/>
        <v/>
      </c>
      <c r="S1739" s="82"/>
      <c r="U1739" s="37" t="e">
        <f t="shared" si="83"/>
        <v>#VALUE!</v>
      </c>
    </row>
    <row r="1740" spans="1:21" x14ac:dyDescent="0.25">
      <c r="A1740" s="31" t="str">
        <f>IF(Table!A1740 = "","",Table!A1740)</f>
        <v/>
      </c>
      <c r="B1740" s="31" t="str">
        <f>IF(Table!B1740 = "","",Table!B1740)</f>
        <v/>
      </c>
      <c r="C1740" s="31" t="str">
        <f>IF(Table!C1740 = "","",Table!C1740)</f>
        <v/>
      </c>
      <c r="D1740" s="32" t="str">
        <f>IF(Table!D1740 = "","",Table!D1740)</f>
        <v/>
      </c>
      <c r="E1740" s="32" t="str">
        <f>IF(Table!E1740 = "","",Table!E1740)</f>
        <v/>
      </c>
      <c r="F1740" s="32" t="str">
        <f>IF(Table!F1740 = "","",Table!F1740)</f>
        <v/>
      </c>
      <c r="G1740" s="91"/>
      <c r="K1740" s="31" t="str">
        <f>IFERROR(VLOOKUP(A1740,Table!$I$4:$O$3000,1,TRUE),"")</f>
        <v/>
      </c>
      <c r="L1740" s="31" t="str">
        <f>IFERROR(INDEX(Table!I:O,MATCH(K1740,Table!I:I,0),2),"")</f>
        <v/>
      </c>
      <c r="M1740" s="31" t="str">
        <f>IFERROR(INDEX(Table!I:O,MATCH(K1740,Table!I:I,0),3),"")</f>
        <v/>
      </c>
      <c r="N1740" s="32" t="str">
        <f>IFERROR(INDEX(Table!I:O,MATCH(K1740,Table!I:I,0),4),"")</f>
        <v/>
      </c>
      <c r="O1740" s="32" t="str">
        <f>IFERROR(INDEX(Table!I:O,MATCH(K1740,Table!I:I,0),5),"")</f>
        <v/>
      </c>
      <c r="P1740" s="32" t="str">
        <f>IFERROR(INDEX(Table!I:O,MATCH(K1740,Table!I:I,0),6),"")</f>
        <v/>
      </c>
      <c r="Q1740" s="89" t="str">
        <f t="shared" si="81"/>
        <v/>
      </c>
      <c r="R1740" s="89" t="str">
        <f t="shared" si="82"/>
        <v/>
      </c>
      <c r="S1740" s="82"/>
      <c r="U1740" s="37" t="e">
        <f t="shared" si="83"/>
        <v>#VALUE!</v>
      </c>
    </row>
    <row r="1741" spans="1:21" x14ac:dyDescent="0.25">
      <c r="A1741" s="31" t="str">
        <f>IF(Table!A1741 = "","",Table!A1741)</f>
        <v/>
      </c>
      <c r="B1741" s="31" t="str">
        <f>IF(Table!B1741 = "","",Table!B1741)</f>
        <v/>
      </c>
      <c r="C1741" s="31" t="str">
        <f>IF(Table!C1741 = "","",Table!C1741)</f>
        <v/>
      </c>
      <c r="D1741" s="32" t="str">
        <f>IF(Table!D1741 = "","",Table!D1741)</f>
        <v/>
      </c>
      <c r="E1741" s="32" t="str">
        <f>IF(Table!E1741 = "","",Table!E1741)</f>
        <v/>
      </c>
      <c r="F1741" s="32" t="str">
        <f>IF(Table!F1741 = "","",Table!F1741)</f>
        <v/>
      </c>
      <c r="G1741" s="91"/>
      <c r="K1741" s="31" t="str">
        <f>IFERROR(VLOOKUP(A1741,Table!$I$4:$O$3000,1,TRUE),"")</f>
        <v/>
      </c>
      <c r="L1741" s="31" t="str">
        <f>IFERROR(INDEX(Table!I:O,MATCH(K1741,Table!I:I,0),2),"")</f>
        <v/>
      </c>
      <c r="M1741" s="31" t="str">
        <f>IFERROR(INDEX(Table!I:O,MATCH(K1741,Table!I:I,0),3),"")</f>
        <v/>
      </c>
      <c r="N1741" s="32" t="str">
        <f>IFERROR(INDEX(Table!I:O,MATCH(K1741,Table!I:I,0),4),"")</f>
        <v/>
      </c>
      <c r="O1741" s="32" t="str">
        <f>IFERROR(INDEX(Table!I:O,MATCH(K1741,Table!I:I,0),5),"")</f>
        <v/>
      </c>
      <c r="P1741" s="32" t="str">
        <f>IFERROR(INDEX(Table!I:O,MATCH(K1741,Table!I:I,0),6),"")</f>
        <v/>
      </c>
      <c r="Q1741" s="89" t="str">
        <f t="shared" si="81"/>
        <v/>
      </c>
      <c r="R1741" s="89" t="str">
        <f t="shared" si="82"/>
        <v/>
      </c>
      <c r="S1741" s="82"/>
      <c r="U1741" s="37" t="e">
        <f t="shared" si="83"/>
        <v>#VALUE!</v>
      </c>
    </row>
    <row r="1742" spans="1:21" x14ac:dyDescent="0.25">
      <c r="A1742" s="31" t="str">
        <f>IF(Table!A1742 = "","",Table!A1742)</f>
        <v/>
      </c>
      <c r="B1742" s="31" t="str">
        <f>IF(Table!B1742 = "","",Table!B1742)</f>
        <v/>
      </c>
      <c r="C1742" s="31" t="str">
        <f>IF(Table!C1742 = "","",Table!C1742)</f>
        <v/>
      </c>
      <c r="D1742" s="32" t="str">
        <f>IF(Table!D1742 = "","",Table!D1742)</f>
        <v/>
      </c>
      <c r="E1742" s="32" t="str">
        <f>IF(Table!E1742 = "","",Table!E1742)</f>
        <v/>
      </c>
      <c r="F1742" s="32" t="str">
        <f>IF(Table!F1742 = "","",Table!F1742)</f>
        <v/>
      </c>
      <c r="G1742" s="91"/>
      <c r="K1742" s="31" t="str">
        <f>IFERROR(VLOOKUP(A1742,Table!$I$4:$O$3000,1,TRUE),"")</f>
        <v/>
      </c>
      <c r="L1742" s="31" t="str">
        <f>IFERROR(INDEX(Table!I:O,MATCH(K1742,Table!I:I,0),2),"")</f>
        <v/>
      </c>
      <c r="M1742" s="31" t="str">
        <f>IFERROR(INDEX(Table!I:O,MATCH(K1742,Table!I:I,0),3),"")</f>
        <v/>
      </c>
      <c r="N1742" s="32" t="str">
        <f>IFERROR(INDEX(Table!I:O,MATCH(K1742,Table!I:I,0),4),"")</f>
        <v/>
      </c>
      <c r="O1742" s="32" t="str">
        <f>IFERROR(INDEX(Table!I:O,MATCH(K1742,Table!I:I,0),5),"")</f>
        <v/>
      </c>
      <c r="P1742" s="32" t="str">
        <f>IFERROR(INDEX(Table!I:O,MATCH(K1742,Table!I:I,0),6),"")</f>
        <v/>
      </c>
      <c r="Q1742" s="89" t="str">
        <f t="shared" si="81"/>
        <v/>
      </c>
      <c r="R1742" s="89" t="str">
        <f t="shared" si="82"/>
        <v/>
      </c>
      <c r="S1742" s="82"/>
      <c r="U1742" s="37" t="e">
        <f t="shared" si="83"/>
        <v>#VALUE!</v>
      </c>
    </row>
    <row r="1743" spans="1:21" x14ac:dyDescent="0.25">
      <c r="A1743" s="31" t="str">
        <f>IF(Table!A1743 = "","",Table!A1743)</f>
        <v/>
      </c>
      <c r="B1743" s="31" t="str">
        <f>IF(Table!B1743 = "","",Table!B1743)</f>
        <v/>
      </c>
      <c r="C1743" s="31" t="str">
        <f>IF(Table!C1743 = "","",Table!C1743)</f>
        <v/>
      </c>
      <c r="D1743" s="32" t="str">
        <f>IF(Table!D1743 = "","",Table!D1743)</f>
        <v/>
      </c>
      <c r="E1743" s="32" t="str">
        <f>IF(Table!E1743 = "","",Table!E1743)</f>
        <v/>
      </c>
      <c r="F1743" s="32" t="str">
        <f>IF(Table!F1743 = "","",Table!F1743)</f>
        <v/>
      </c>
      <c r="G1743" s="91"/>
      <c r="K1743" s="31" t="str">
        <f>IFERROR(VLOOKUP(A1743,Table!$I$4:$O$3000,1,TRUE),"")</f>
        <v/>
      </c>
      <c r="L1743" s="31" t="str">
        <f>IFERROR(INDEX(Table!I:O,MATCH(K1743,Table!I:I,0),2),"")</f>
        <v/>
      </c>
      <c r="M1743" s="31" t="str">
        <f>IFERROR(INDEX(Table!I:O,MATCH(K1743,Table!I:I,0),3),"")</f>
        <v/>
      </c>
      <c r="N1743" s="32" t="str">
        <f>IFERROR(INDEX(Table!I:O,MATCH(K1743,Table!I:I,0),4),"")</f>
        <v/>
      </c>
      <c r="O1743" s="32" t="str">
        <f>IFERROR(INDEX(Table!I:O,MATCH(K1743,Table!I:I,0),5),"")</f>
        <v/>
      </c>
      <c r="P1743" s="32" t="str">
        <f>IFERROR(INDEX(Table!I:O,MATCH(K1743,Table!I:I,0),6),"")</f>
        <v/>
      </c>
      <c r="Q1743" s="89" t="str">
        <f t="shared" si="81"/>
        <v/>
      </c>
      <c r="R1743" s="89" t="str">
        <f t="shared" si="82"/>
        <v/>
      </c>
      <c r="S1743" s="82"/>
      <c r="U1743" s="37" t="e">
        <f t="shared" si="83"/>
        <v>#VALUE!</v>
      </c>
    </row>
    <row r="1744" spans="1:21" x14ac:dyDescent="0.25">
      <c r="A1744" s="31" t="str">
        <f>IF(Table!A1744 = "","",Table!A1744)</f>
        <v/>
      </c>
      <c r="B1744" s="31" t="str">
        <f>IF(Table!B1744 = "","",Table!B1744)</f>
        <v/>
      </c>
      <c r="C1744" s="31" t="str">
        <f>IF(Table!C1744 = "","",Table!C1744)</f>
        <v/>
      </c>
      <c r="D1744" s="32" t="str">
        <f>IF(Table!D1744 = "","",Table!D1744)</f>
        <v/>
      </c>
      <c r="E1744" s="32" t="str">
        <f>IF(Table!E1744 = "","",Table!E1744)</f>
        <v/>
      </c>
      <c r="F1744" s="32" t="str">
        <f>IF(Table!F1744 = "","",Table!F1744)</f>
        <v/>
      </c>
      <c r="G1744" s="91"/>
      <c r="K1744" s="31" t="str">
        <f>IFERROR(VLOOKUP(A1744,Table!$I$4:$O$3000,1,TRUE),"")</f>
        <v/>
      </c>
      <c r="L1744" s="31" t="str">
        <f>IFERROR(INDEX(Table!I:O,MATCH(K1744,Table!I:I,0),2),"")</f>
        <v/>
      </c>
      <c r="M1744" s="31" t="str">
        <f>IFERROR(INDEX(Table!I:O,MATCH(K1744,Table!I:I,0),3),"")</f>
        <v/>
      </c>
      <c r="N1744" s="32" t="str">
        <f>IFERROR(INDEX(Table!I:O,MATCH(K1744,Table!I:I,0),4),"")</f>
        <v/>
      </c>
      <c r="O1744" s="32" t="str">
        <f>IFERROR(INDEX(Table!I:O,MATCH(K1744,Table!I:I,0),5),"")</f>
        <v/>
      </c>
      <c r="P1744" s="32" t="str">
        <f>IFERROR(INDEX(Table!I:O,MATCH(K1744,Table!I:I,0),6),"")</f>
        <v/>
      </c>
      <c r="Q1744" s="89" t="str">
        <f t="shared" si="81"/>
        <v/>
      </c>
      <c r="R1744" s="89" t="str">
        <f t="shared" si="82"/>
        <v/>
      </c>
      <c r="S1744" s="82"/>
      <c r="U1744" s="37" t="e">
        <f t="shared" si="83"/>
        <v>#VALUE!</v>
      </c>
    </row>
    <row r="1745" spans="1:21" x14ac:dyDescent="0.25">
      <c r="A1745" s="31" t="str">
        <f>IF(Table!A1745 = "","",Table!A1745)</f>
        <v/>
      </c>
      <c r="B1745" s="31" t="str">
        <f>IF(Table!B1745 = "","",Table!B1745)</f>
        <v/>
      </c>
      <c r="C1745" s="31" t="str">
        <f>IF(Table!C1745 = "","",Table!C1745)</f>
        <v/>
      </c>
      <c r="D1745" s="32" t="str">
        <f>IF(Table!D1745 = "","",Table!D1745)</f>
        <v/>
      </c>
      <c r="E1745" s="32" t="str">
        <f>IF(Table!E1745 = "","",Table!E1745)</f>
        <v/>
      </c>
      <c r="F1745" s="32" t="str">
        <f>IF(Table!F1745 = "","",Table!F1745)</f>
        <v/>
      </c>
      <c r="G1745" s="91"/>
      <c r="K1745" s="31" t="str">
        <f>IFERROR(VLOOKUP(A1745,Table!$I$4:$O$3000,1,TRUE),"")</f>
        <v/>
      </c>
      <c r="L1745" s="31" t="str">
        <f>IFERROR(INDEX(Table!I:O,MATCH(K1745,Table!I:I,0),2),"")</f>
        <v/>
      </c>
      <c r="M1745" s="31" t="str">
        <f>IFERROR(INDEX(Table!I:O,MATCH(K1745,Table!I:I,0),3),"")</f>
        <v/>
      </c>
      <c r="N1745" s="32" t="str">
        <f>IFERROR(INDEX(Table!I:O,MATCH(K1745,Table!I:I,0),4),"")</f>
        <v/>
      </c>
      <c r="O1745" s="32" t="str">
        <f>IFERROR(INDEX(Table!I:O,MATCH(K1745,Table!I:I,0),5),"")</f>
        <v/>
      </c>
      <c r="P1745" s="32" t="str">
        <f>IFERROR(INDEX(Table!I:O,MATCH(K1745,Table!I:I,0),6),"")</f>
        <v/>
      </c>
      <c r="Q1745" s="89" t="str">
        <f t="shared" si="81"/>
        <v/>
      </c>
      <c r="R1745" s="89" t="str">
        <f t="shared" si="82"/>
        <v/>
      </c>
      <c r="S1745" s="82"/>
      <c r="U1745" s="37" t="e">
        <f t="shared" si="83"/>
        <v>#VALUE!</v>
      </c>
    </row>
    <row r="1746" spans="1:21" x14ac:dyDescent="0.25">
      <c r="A1746" s="31" t="str">
        <f>IF(Table!A1746 = "","",Table!A1746)</f>
        <v/>
      </c>
      <c r="B1746" s="31" t="str">
        <f>IF(Table!B1746 = "","",Table!B1746)</f>
        <v/>
      </c>
      <c r="C1746" s="31" t="str">
        <f>IF(Table!C1746 = "","",Table!C1746)</f>
        <v/>
      </c>
      <c r="D1746" s="32" t="str">
        <f>IF(Table!D1746 = "","",Table!D1746)</f>
        <v/>
      </c>
      <c r="E1746" s="32" t="str">
        <f>IF(Table!E1746 = "","",Table!E1746)</f>
        <v/>
      </c>
      <c r="F1746" s="32" t="str">
        <f>IF(Table!F1746 = "","",Table!F1746)</f>
        <v/>
      </c>
      <c r="G1746" s="91"/>
      <c r="K1746" s="31" t="str">
        <f>IFERROR(VLOOKUP(A1746,Table!$I$4:$O$3000,1,TRUE),"")</f>
        <v/>
      </c>
      <c r="L1746" s="31" t="str">
        <f>IFERROR(INDEX(Table!I:O,MATCH(K1746,Table!I:I,0),2),"")</f>
        <v/>
      </c>
      <c r="M1746" s="31" t="str">
        <f>IFERROR(INDEX(Table!I:O,MATCH(K1746,Table!I:I,0),3),"")</f>
        <v/>
      </c>
      <c r="N1746" s="32" t="str">
        <f>IFERROR(INDEX(Table!I:O,MATCH(K1746,Table!I:I,0),4),"")</f>
        <v/>
      </c>
      <c r="O1746" s="32" t="str">
        <f>IFERROR(INDEX(Table!I:O,MATCH(K1746,Table!I:I,0),5),"")</f>
        <v/>
      </c>
      <c r="P1746" s="32" t="str">
        <f>IFERROR(INDEX(Table!I:O,MATCH(K1746,Table!I:I,0),6),"")</f>
        <v/>
      </c>
      <c r="Q1746" s="89" t="str">
        <f t="shared" si="81"/>
        <v/>
      </c>
      <c r="R1746" s="89" t="str">
        <f t="shared" si="82"/>
        <v/>
      </c>
      <c r="S1746" s="82"/>
      <c r="U1746" s="37" t="e">
        <f t="shared" si="83"/>
        <v>#VALUE!</v>
      </c>
    </row>
    <row r="1747" spans="1:21" x14ac:dyDescent="0.25">
      <c r="A1747" s="31" t="str">
        <f>IF(Table!A1747 = "","",Table!A1747)</f>
        <v/>
      </c>
      <c r="B1747" s="31" t="str">
        <f>IF(Table!B1747 = "","",Table!B1747)</f>
        <v/>
      </c>
      <c r="C1747" s="31" t="str">
        <f>IF(Table!C1747 = "","",Table!C1747)</f>
        <v/>
      </c>
      <c r="D1747" s="32" t="str">
        <f>IF(Table!D1747 = "","",Table!D1747)</f>
        <v/>
      </c>
      <c r="E1747" s="32" t="str">
        <f>IF(Table!E1747 = "","",Table!E1747)</f>
        <v/>
      </c>
      <c r="F1747" s="32" t="str">
        <f>IF(Table!F1747 = "","",Table!F1747)</f>
        <v/>
      </c>
      <c r="G1747" s="91"/>
      <c r="K1747" s="31" t="str">
        <f>IFERROR(VLOOKUP(A1747,Table!$I$4:$O$3000,1,TRUE),"")</f>
        <v/>
      </c>
      <c r="L1747" s="31" t="str">
        <f>IFERROR(INDEX(Table!I:O,MATCH(K1747,Table!I:I,0),2),"")</f>
        <v/>
      </c>
      <c r="M1747" s="31" t="str">
        <f>IFERROR(INDEX(Table!I:O,MATCH(K1747,Table!I:I,0),3),"")</f>
        <v/>
      </c>
      <c r="N1747" s="32" t="str">
        <f>IFERROR(INDEX(Table!I:O,MATCH(K1747,Table!I:I,0),4),"")</f>
        <v/>
      </c>
      <c r="O1747" s="32" t="str">
        <f>IFERROR(INDEX(Table!I:O,MATCH(K1747,Table!I:I,0),5),"")</f>
        <v/>
      </c>
      <c r="P1747" s="32" t="str">
        <f>IFERROR(INDEX(Table!I:O,MATCH(K1747,Table!I:I,0),6),"")</f>
        <v/>
      </c>
      <c r="Q1747" s="89" t="str">
        <f t="shared" si="81"/>
        <v/>
      </c>
      <c r="R1747" s="89" t="str">
        <f t="shared" si="82"/>
        <v/>
      </c>
      <c r="S1747" s="82"/>
      <c r="U1747" s="37" t="e">
        <f t="shared" si="83"/>
        <v>#VALUE!</v>
      </c>
    </row>
    <row r="1748" spans="1:21" x14ac:dyDescent="0.25">
      <c r="A1748" s="31" t="str">
        <f>IF(Table!A1748 = "","",Table!A1748)</f>
        <v/>
      </c>
      <c r="B1748" s="31" t="str">
        <f>IF(Table!B1748 = "","",Table!B1748)</f>
        <v/>
      </c>
      <c r="C1748" s="31" t="str">
        <f>IF(Table!C1748 = "","",Table!C1748)</f>
        <v/>
      </c>
      <c r="D1748" s="32" t="str">
        <f>IF(Table!D1748 = "","",Table!D1748)</f>
        <v/>
      </c>
      <c r="E1748" s="32" t="str">
        <f>IF(Table!E1748 = "","",Table!E1748)</f>
        <v/>
      </c>
      <c r="F1748" s="32" t="str">
        <f>IF(Table!F1748 = "","",Table!F1748)</f>
        <v/>
      </c>
      <c r="G1748" s="91"/>
      <c r="K1748" s="31" t="str">
        <f>IFERROR(VLOOKUP(A1748,Table!$I$4:$O$3000,1,TRUE),"")</f>
        <v/>
      </c>
      <c r="L1748" s="31" t="str">
        <f>IFERROR(INDEX(Table!I:O,MATCH(K1748,Table!I:I,0),2),"")</f>
        <v/>
      </c>
      <c r="M1748" s="31" t="str">
        <f>IFERROR(INDEX(Table!I:O,MATCH(K1748,Table!I:I,0),3),"")</f>
        <v/>
      </c>
      <c r="N1748" s="32" t="str">
        <f>IFERROR(INDEX(Table!I:O,MATCH(K1748,Table!I:I,0),4),"")</f>
        <v/>
      </c>
      <c r="O1748" s="32" t="str">
        <f>IFERROR(INDEX(Table!I:O,MATCH(K1748,Table!I:I,0),5),"")</f>
        <v/>
      </c>
      <c r="P1748" s="32" t="str">
        <f>IFERROR(INDEX(Table!I:O,MATCH(K1748,Table!I:I,0),6),"")</f>
        <v/>
      </c>
      <c r="Q1748" s="89" t="str">
        <f t="shared" si="81"/>
        <v/>
      </c>
      <c r="R1748" s="89" t="str">
        <f t="shared" si="82"/>
        <v/>
      </c>
      <c r="S1748" s="82"/>
      <c r="U1748" s="37" t="e">
        <f t="shared" si="83"/>
        <v>#VALUE!</v>
      </c>
    </row>
    <row r="1749" spans="1:21" x14ac:dyDescent="0.25">
      <c r="A1749" s="31" t="str">
        <f>IF(Table!A1749 = "","",Table!A1749)</f>
        <v/>
      </c>
      <c r="B1749" s="31" t="str">
        <f>IF(Table!B1749 = "","",Table!B1749)</f>
        <v/>
      </c>
      <c r="C1749" s="31" t="str">
        <f>IF(Table!C1749 = "","",Table!C1749)</f>
        <v/>
      </c>
      <c r="D1749" s="32" t="str">
        <f>IF(Table!D1749 = "","",Table!D1749)</f>
        <v/>
      </c>
      <c r="E1749" s="32" t="str">
        <f>IF(Table!E1749 = "","",Table!E1749)</f>
        <v/>
      </c>
      <c r="F1749" s="32" t="str">
        <f>IF(Table!F1749 = "","",Table!F1749)</f>
        <v/>
      </c>
      <c r="G1749" s="91"/>
      <c r="K1749" s="31" t="str">
        <f>IFERROR(VLOOKUP(A1749,Table!$I$4:$O$3000,1,TRUE),"")</f>
        <v/>
      </c>
      <c r="L1749" s="31" t="str">
        <f>IFERROR(INDEX(Table!I:O,MATCH(K1749,Table!I:I,0),2),"")</f>
        <v/>
      </c>
      <c r="M1749" s="31" t="str">
        <f>IFERROR(INDEX(Table!I:O,MATCH(K1749,Table!I:I,0),3),"")</f>
        <v/>
      </c>
      <c r="N1749" s="32" t="str">
        <f>IFERROR(INDEX(Table!I:O,MATCH(K1749,Table!I:I,0),4),"")</f>
        <v/>
      </c>
      <c r="O1749" s="32" t="str">
        <f>IFERROR(INDEX(Table!I:O,MATCH(K1749,Table!I:I,0),5),"")</f>
        <v/>
      </c>
      <c r="P1749" s="32" t="str">
        <f>IFERROR(INDEX(Table!I:O,MATCH(K1749,Table!I:I,0),6),"")</f>
        <v/>
      </c>
      <c r="Q1749" s="89" t="str">
        <f t="shared" si="81"/>
        <v/>
      </c>
      <c r="R1749" s="89" t="str">
        <f t="shared" si="82"/>
        <v/>
      </c>
      <c r="S1749" s="82"/>
      <c r="U1749" s="37" t="e">
        <f t="shared" si="83"/>
        <v>#VALUE!</v>
      </c>
    </row>
    <row r="1750" spans="1:21" x14ac:dyDescent="0.25">
      <c r="A1750" s="31" t="str">
        <f>IF(Table!A1750 = "","",Table!A1750)</f>
        <v/>
      </c>
      <c r="B1750" s="31" t="str">
        <f>IF(Table!B1750 = "","",Table!B1750)</f>
        <v/>
      </c>
      <c r="C1750" s="31" t="str">
        <f>IF(Table!C1750 = "","",Table!C1750)</f>
        <v/>
      </c>
      <c r="D1750" s="32" t="str">
        <f>IF(Table!D1750 = "","",Table!D1750)</f>
        <v/>
      </c>
      <c r="E1750" s="32" t="str">
        <f>IF(Table!E1750 = "","",Table!E1750)</f>
        <v/>
      </c>
      <c r="F1750" s="32" t="str">
        <f>IF(Table!F1750 = "","",Table!F1750)</f>
        <v/>
      </c>
      <c r="G1750" s="91"/>
      <c r="K1750" s="31" t="str">
        <f>IFERROR(VLOOKUP(A1750,Table!$I$4:$O$3000,1,TRUE),"")</f>
        <v/>
      </c>
      <c r="L1750" s="31" t="str">
        <f>IFERROR(INDEX(Table!I:O,MATCH(K1750,Table!I:I,0),2),"")</f>
        <v/>
      </c>
      <c r="M1750" s="31" t="str">
        <f>IFERROR(INDEX(Table!I:O,MATCH(K1750,Table!I:I,0),3),"")</f>
        <v/>
      </c>
      <c r="N1750" s="32" t="str">
        <f>IFERROR(INDEX(Table!I:O,MATCH(K1750,Table!I:I,0),4),"")</f>
        <v/>
      </c>
      <c r="O1750" s="32" t="str">
        <f>IFERROR(INDEX(Table!I:O,MATCH(K1750,Table!I:I,0),5),"")</f>
        <v/>
      </c>
      <c r="P1750" s="32" t="str">
        <f>IFERROR(INDEX(Table!I:O,MATCH(K1750,Table!I:I,0),6),"")</f>
        <v/>
      </c>
      <c r="Q1750" s="89" t="str">
        <f t="shared" si="81"/>
        <v/>
      </c>
      <c r="R1750" s="89" t="str">
        <f t="shared" si="82"/>
        <v/>
      </c>
      <c r="S1750" s="82"/>
      <c r="U1750" s="37" t="e">
        <f t="shared" si="83"/>
        <v>#VALUE!</v>
      </c>
    </row>
    <row r="1751" spans="1:21" x14ac:dyDescent="0.25">
      <c r="A1751" s="31" t="str">
        <f>IF(Table!A1751 = "","",Table!A1751)</f>
        <v/>
      </c>
      <c r="B1751" s="31" t="str">
        <f>IF(Table!B1751 = "","",Table!B1751)</f>
        <v/>
      </c>
      <c r="C1751" s="31" t="str">
        <f>IF(Table!C1751 = "","",Table!C1751)</f>
        <v/>
      </c>
      <c r="D1751" s="32" t="str">
        <f>IF(Table!D1751 = "","",Table!D1751)</f>
        <v/>
      </c>
      <c r="E1751" s="32" t="str">
        <f>IF(Table!E1751 = "","",Table!E1751)</f>
        <v/>
      </c>
      <c r="F1751" s="32" t="str">
        <f>IF(Table!F1751 = "","",Table!F1751)</f>
        <v/>
      </c>
      <c r="G1751" s="91"/>
      <c r="K1751" s="31" t="str">
        <f>IFERROR(VLOOKUP(A1751,Table!$I$4:$O$3000,1,TRUE),"")</f>
        <v/>
      </c>
      <c r="L1751" s="31" t="str">
        <f>IFERROR(INDEX(Table!I:O,MATCH(K1751,Table!I:I,0),2),"")</f>
        <v/>
      </c>
      <c r="M1751" s="31" t="str">
        <f>IFERROR(INDEX(Table!I:O,MATCH(K1751,Table!I:I,0),3),"")</f>
        <v/>
      </c>
      <c r="N1751" s="32" t="str">
        <f>IFERROR(INDEX(Table!I:O,MATCH(K1751,Table!I:I,0),4),"")</f>
        <v/>
      </c>
      <c r="O1751" s="32" t="str">
        <f>IFERROR(INDEX(Table!I:O,MATCH(K1751,Table!I:I,0),5),"")</f>
        <v/>
      </c>
      <c r="P1751" s="32" t="str">
        <f>IFERROR(INDEX(Table!I:O,MATCH(K1751,Table!I:I,0),6),"")</f>
        <v/>
      </c>
      <c r="Q1751" s="89" t="str">
        <f t="shared" si="81"/>
        <v/>
      </c>
      <c r="R1751" s="89" t="str">
        <f t="shared" si="82"/>
        <v/>
      </c>
      <c r="S1751" s="82"/>
      <c r="U1751" s="37" t="e">
        <f t="shared" si="83"/>
        <v>#VALUE!</v>
      </c>
    </row>
    <row r="1752" spans="1:21" x14ac:dyDescent="0.25">
      <c r="A1752" s="31" t="str">
        <f>IF(Table!A1752 = "","",Table!A1752)</f>
        <v/>
      </c>
      <c r="B1752" s="31" t="str">
        <f>IF(Table!B1752 = "","",Table!B1752)</f>
        <v/>
      </c>
      <c r="C1752" s="31" t="str">
        <f>IF(Table!C1752 = "","",Table!C1752)</f>
        <v/>
      </c>
      <c r="D1752" s="32" t="str">
        <f>IF(Table!D1752 = "","",Table!D1752)</f>
        <v/>
      </c>
      <c r="E1752" s="32" t="str">
        <f>IF(Table!E1752 = "","",Table!E1752)</f>
        <v/>
      </c>
      <c r="F1752" s="32" t="str">
        <f>IF(Table!F1752 = "","",Table!F1752)</f>
        <v/>
      </c>
      <c r="G1752" s="91"/>
      <c r="K1752" s="31" t="str">
        <f>IFERROR(VLOOKUP(A1752,Table!$I$4:$O$3000,1,TRUE),"")</f>
        <v/>
      </c>
      <c r="L1752" s="31" t="str">
        <f>IFERROR(INDEX(Table!I:O,MATCH(K1752,Table!I:I,0),2),"")</f>
        <v/>
      </c>
      <c r="M1752" s="31" t="str">
        <f>IFERROR(INDEX(Table!I:O,MATCH(K1752,Table!I:I,0),3),"")</f>
        <v/>
      </c>
      <c r="N1752" s="32" t="str">
        <f>IFERROR(INDEX(Table!I:O,MATCH(K1752,Table!I:I,0),4),"")</f>
        <v/>
      </c>
      <c r="O1752" s="32" t="str">
        <f>IFERROR(INDEX(Table!I:O,MATCH(K1752,Table!I:I,0),5),"")</f>
        <v/>
      </c>
      <c r="P1752" s="32" t="str">
        <f>IFERROR(INDEX(Table!I:O,MATCH(K1752,Table!I:I,0),6),"")</f>
        <v/>
      </c>
      <c r="Q1752" s="89" t="str">
        <f t="shared" si="81"/>
        <v/>
      </c>
      <c r="R1752" s="89" t="str">
        <f t="shared" si="82"/>
        <v/>
      </c>
      <c r="S1752" s="82"/>
      <c r="U1752" s="37" t="e">
        <f t="shared" si="83"/>
        <v>#VALUE!</v>
      </c>
    </row>
    <row r="1753" spans="1:21" x14ac:dyDescent="0.25">
      <c r="A1753" s="31" t="str">
        <f>IF(Table!A1753 = "","",Table!A1753)</f>
        <v/>
      </c>
      <c r="B1753" s="31" t="str">
        <f>IF(Table!B1753 = "","",Table!B1753)</f>
        <v/>
      </c>
      <c r="C1753" s="31" t="str">
        <f>IF(Table!C1753 = "","",Table!C1753)</f>
        <v/>
      </c>
      <c r="D1753" s="32" t="str">
        <f>IF(Table!D1753 = "","",Table!D1753)</f>
        <v/>
      </c>
      <c r="E1753" s="32" t="str">
        <f>IF(Table!E1753 = "","",Table!E1753)</f>
        <v/>
      </c>
      <c r="F1753" s="32" t="str">
        <f>IF(Table!F1753 = "","",Table!F1753)</f>
        <v/>
      </c>
      <c r="G1753" s="91"/>
      <c r="K1753" s="31" t="str">
        <f>IFERROR(VLOOKUP(A1753,Table!$I$4:$O$3000,1,TRUE),"")</f>
        <v/>
      </c>
      <c r="L1753" s="31" t="str">
        <f>IFERROR(INDEX(Table!I:O,MATCH(K1753,Table!I:I,0),2),"")</f>
        <v/>
      </c>
      <c r="M1753" s="31" t="str">
        <f>IFERROR(INDEX(Table!I:O,MATCH(K1753,Table!I:I,0),3),"")</f>
        <v/>
      </c>
      <c r="N1753" s="32" t="str">
        <f>IFERROR(INDEX(Table!I:O,MATCH(K1753,Table!I:I,0),4),"")</f>
        <v/>
      </c>
      <c r="O1753" s="32" t="str">
        <f>IFERROR(INDEX(Table!I:O,MATCH(K1753,Table!I:I,0),5),"")</f>
        <v/>
      </c>
      <c r="P1753" s="32" t="str">
        <f>IFERROR(INDEX(Table!I:O,MATCH(K1753,Table!I:I,0),6),"")</f>
        <v/>
      </c>
      <c r="Q1753" s="89" t="str">
        <f t="shared" si="81"/>
        <v/>
      </c>
      <c r="R1753" s="89" t="str">
        <f t="shared" si="82"/>
        <v/>
      </c>
      <c r="S1753" s="82"/>
      <c r="U1753" s="37" t="e">
        <f t="shared" si="83"/>
        <v>#VALUE!</v>
      </c>
    </row>
    <row r="1754" spans="1:21" x14ac:dyDescent="0.25">
      <c r="A1754" s="31" t="str">
        <f>IF(Table!A1754 = "","",Table!A1754)</f>
        <v/>
      </c>
      <c r="B1754" s="31" t="str">
        <f>IF(Table!B1754 = "","",Table!B1754)</f>
        <v/>
      </c>
      <c r="C1754" s="31" t="str">
        <f>IF(Table!C1754 = "","",Table!C1754)</f>
        <v/>
      </c>
      <c r="D1754" s="32" t="str">
        <f>IF(Table!D1754 = "","",Table!D1754)</f>
        <v/>
      </c>
      <c r="E1754" s="32" t="str">
        <f>IF(Table!E1754 = "","",Table!E1754)</f>
        <v/>
      </c>
      <c r="F1754" s="32" t="str">
        <f>IF(Table!F1754 = "","",Table!F1754)</f>
        <v/>
      </c>
      <c r="G1754" s="91"/>
      <c r="K1754" s="31" t="str">
        <f>IFERROR(VLOOKUP(A1754,Table!$I$4:$O$3000,1,TRUE),"")</f>
        <v/>
      </c>
      <c r="L1754" s="31" t="str">
        <f>IFERROR(INDEX(Table!I:O,MATCH(K1754,Table!I:I,0),2),"")</f>
        <v/>
      </c>
      <c r="M1754" s="31" t="str">
        <f>IFERROR(INDEX(Table!I:O,MATCH(K1754,Table!I:I,0),3),"")</f>
        <v/>
      </c>
      <c r="N1754" s="32" t="str">
        <f>IFERROR(INDEX(Table!I:O,MATCH(K1754,Table!I:I,0),4),"")</f>
        <v/>
      </c>
      <c r="O1754" s="32" t="str">
        <f>IFERROR(INDEX(Table!I:O,MATCH(K1754,Table!I:I,0),5),"")</f>
        <v/>
      </c>
      <c r="P1754" s="32" t="str">
        <f>IFERROR(INDEX(Table!I:O,MATCH(K1754,Table!I:I,0),6),"")</f>
        <v/>
      </c>
      <c r="Q1754" s="89" t="str">
        <f t="shared" si="81"/>
        <v/>
      </c>
      <c r="R1754" s="89" t="str">
        <f t="shared" si="82"/>
        <v/>
      </c>
      <c r="S1754" s="82"/>
      <c r="U1754" s="37" t="e">
        <f t="shared" si="83"/>
        <v>#VALUE!</v>
      </c>
    </row>
    <row r="1755" spans="1:21" x14ac:dyDescent="0.25">
      <c r="A1755" s="31" t="str">
        <f>IF(Table!A1755 = "","",Table!A1755)</f>
        <v/>
      </c>
      <c r="B1755" s="31" t="str">
        <f>IF(Table!B1755 = "","",Table!B1755)</f>
        <v/>
      </c>
      <c r="C1755" s="31" t="str">
        <f>IF(Table!C1755 = "","",Table!C1755)</f>
        <v/>
      </c>
      <c r="D1755" s="32" t="str">
        <f>IF(Table!D1755 = "","",Table!D1755)</f>
        <v/>
      </c>
      <c r="E1755" s="32" t="str">
        <f>IF(Table!E1755 = "","",Table!E1755)</f>
        <v/>
      </c>
      <c r="F1755" s="32" t="str">
        <f>IF(Table!F1755 = "","",Table!F1755)</f>
        <v/>
      </c>
      <c r="G1755" s="91"/>
      <c r="K1755" s="31" t="str">
        <f>IFERROR(VLOOKUP(A1755,Table!$I$4:$O$3000,1,TRUE),"")</f>
        <v/>
      </c>
      <c r="L1755" s="31" t="str">
        <f>IFERROR(INDEX(Table!I:O,MATCH(K1755,Table!I:I,0),2),"")</f>
        <v/>
      </c>
      <c r="M1755" s="31" t="str">
        <f>IFERROR(INDEX(Table!I:O,MATCH(K1755,Table!I:I,0),3),"")</f>
        <v/>
      </c>
      <c r="N1755" s="32" t="str">
        <f>IFERROR(INDEX(Table!I:O,MATCH(K1755,Table!I:I,0),4),"")</f>
        <v/>
      </c>
      <c r="O1755" s="32" t="str">
        <f>IFERROR(INDEX(Table!I:O,MATCH(K1755,Table!I:I,0),5),"")</f>
        <v/>
      </c>
      <c r="P1755" s="32" t="str">
        <f>IFERROR(INDEX(Table!I:O,MATCH(K1755,Table!I:I,0),6),"")</f>
        <v/>
      </c>
      <c r="Q1755" s="89" t="str">
        <f t="shared" si="81"/>
        <v/>
      </c>
      <c r="R1755" s="89" t="str">
        <f t="shared" si="82"/>
        <v/>
      </c>
      <c r="S1755" s="82"/>
      <c r="U1755" s="37" t="e">
        <f t="shared" si="83"/>
        <v>#VALUE!</v>
      </c>
    </row>
    <row r="1756" spans="1:21" x14ac:dyDescent="0.25">
      <c r="A1756" s="31" t="str">
        <f>IF(Table!A1756 = "","",Table!A1756)</f>
        <v/>
      </c>
      <c r="B1756" s="31" t="str">
        <f>IF(Table!B1756 = "","",Table!B1756)</f>
        <v/>
      </c>
      <c r="C1756" s="31" t="str">
        <f>IF(Table!C1756 = "","",Table!C1756)</f>
        <v/>
      </c>
      <c r="D1756" s="32" t="str">
        <f>IF(Table!D1756 = "","",Table!D1756)</f>
        <v/>
      </c>
      <c r="E1756" s="32" t="str">
        <f>IF(Table!E1756 = "","",Table!E1756)</f>
        <v/>
      </c>
      <c r="F1756" s="32" t="str">
        <f>IF(Table!F1756 = "","",Table!F1756)</f>
        <v/>
      </c>
      <c r="G1756" s="91"/>
      <c r="K1756" s="31" t="str">
        <f>IFERROR(VLOOKUP(A1756,Table!$I$4:$O$3000,1,TRUE),"")</f>
        <v/>
      </c>
      <c r="L1756" s="31" t="str">
        <f>IFERROR(INDEX(Table!I:O,MATCH(K1756,Table!I:I,0),2),"")</f>
        <v/>
      </c>
      <c r="M1756" s="31" t="str">
        <f>IFERROR(INDEX(Table!I:O,MATCH(K1756,Table!I:I,0),3),"")</f>
        <v/>
      </c>
      <c r="N1756" s="32" t="str">
        <f>IFERROR(INDEX(Table!I:O,MATCH(K1756,Table!I:I,0),4),"")</f>
        <v/>
      </c>
      <c r="O1756" s="32" t="str">
        <f>IFERROR(INDEX(Table!I:O,MATCH(K1756,Table!I:I,0),5),"")</f>
        <v/>
      </c>
      <c r="P1756" s="32" t="str">
        <f>IFERROR(INDEX(Table!I:O,MATCH(K1756,Table!I:I,0),6),"")</f>
        <v/>
      </c>
      <c r="Q1756" s="89" t="str">
        <f t="shared" si="81"/>
        <v/>
      </c>
      <c r="R1756" s="89" t="str">
        <f t="shared" si="82"/>
        <v/>
      </c>
      <c r="S1756" s="82"/>
      <c r="U1756" s="37" t="e">
        <f t="shared" si="83"/>
        <v>#VALUE!</v>
      </c>
    </row>
    <row r="1757" spans="1:21" x14ac:dyDescent="0.25">
      <c r="A1757" s="31" t="str">
        <f>IF(Table!A1757 = "","",Table!A1757)</f>
        <v/>
      </c>
      <c r="B1757" s="31" t="str">
        <f>IF(Table!B1757 = "","",Table!B1757)</f>
        <v/>
      </c>
      <c r="C1757" s="31" t="str">
        <f>IF(Table!C1757 = "","",Table!C1757)</f>
        <v/>
      </c>
      <c r="D1757" s="32" t="str">
        <f>IF(Table!D1757 = "","",Table!D1757)</f>
        <v/>
      </c>
      <c r="E1757" s="32" t="str">
        <f>IF(Table!E1757 = "","",Table!E1757)</f>
        <v/>
      </c>
      <c r="F1757" s="32" t="str">
        <f>IF(Table!F1757 = "","",Table!F1757)</f>
        <v/>
      </c>
      <c r="G1757" s="91"/>
      <c r="K1757" s="31" t="str">
        <f>IFERROR(VLOOKUP(A1757,Table!$I$4:$O$3000,1,TRUE),"")</f>
        <v/>
      </c>
      <c r="L1757" s="31" t="str">
        <f>IFERROR(INDEX(Table!I:O,MATCH(K1757,Table!I:I,0),2),"")</f>
        <v/>
      </c>
      <c r="M1757" s="31" t="str">
        <f>IFERROR(INDEX(Table!I:O,MATCH(K1757,Table!I:I,0),3),"")</f>
        <v/>
      </c>
      <c r="N1757" s="32" t="str">
        <f>IFERROR(INDEX(Table!I:O,MATCH(K1757,Table!I:I,0),4),"")</f>
        <v/>
      </c>
      <c r="O1757" s="32" t="str">
        <f>IFERROR(INDEX(Table!I:O,MATCH(K1757,Table!I:I,0),5),"")</f>
        <v/>
      </c>
      <c r="P1757" s="32" t="str">
        <f>IFERROR(INDEX(Table!I:O,MATCH(K1757,Table!I:I,0),6),"")</f>
        <v/>
      </c>
      <c r="Q1757" s="89" t="str">
        <f t="shared" si="81"/>
        <v/>
      </c>
      <c r="R1757" s="89" t="str">
        <f t="shared" si="82"/>
        <v/>
      </c>
      <c r="S1757" s="82"/>
      <c r="U1757" s="37" t="e">
        <f t="shared" si="83"/>
        <v>#VALUE!</v>
      </c>
    </row>
    <row r="1758" spans="1:21" x14ac:dyDescent="0.25">
      <c r="A1758" s="31" t="str">
        <f>IF(Table!A1758 = "","",Table!A1758)</f>
        <v/>
      </c>
      <c r="B1758" s="31" t="str">
        <f>IF(Table!B1758 = "","",Table!B1758)</f>
        <v/>
      </c>
      <c r="C1758" s="31" t="str">
        <f>IF(Table!C1758 = "","",Table!C1758)</f>
        <v/>
      </c>
      <c r="D1758" s="32" t="str">
        <f>IF(Table!D1758 = "","",Table!D1758)</f>
        <v/>
      </c>
      <c r="E1758" s="32" t="str">
        <f>IF(Table!E1758 = "","",Table!E1758)</f>
        <v/>
      </c>
      <c r="F1758" s="32" t="str">
        <f>IF(Table!F1758 = "","",Table!F1758)</f>
        <v/>
      </c>
      <c r="G1758" s="91"/>
      <c r="K1758" s="31" t="str">
        <f>IFERROR(VLOOKUP(A1758,Table!$I$4:$O$3000,1,TRUE),"")</f>
        <v/>
      </c>
      <c r="L1758" s="31" t="str">
        <f>IFERROR(INDEX(Table!I:O,MATCH(K1758,Table!I:I,0),2),"")</f>
        <v/>
      </c>
      <c r="M1758" s="31" t="str">
        <f>IFERROR(INDEX(Table!I:O,MATCH(K1758,Table!I:I,0),3),"")</f>
        <v/>
      </c>
      <c r="N1758" s="32" t="str">
        <f>IFERROR(INDEX(Table!I:O,MATCH(K1758,Table!I:I,0),4),"")</f>
        <v/>
      </c>
      <c r="O1758" s="32" t="str">
        <f>IFERROR(INDEX(Table!I:O,MATCH(K1758,Table!I:I,0),5),"")</f>
        <v/>
      </c>
      <c r="P1758" s="32" t="str">
        <f>IFERROR(INDEX(Table!I:O,MATCH(K1758,Table!I:I,0),6),"")</f>
        <v/>
      </c>
      <c r="Q1758" s="89" t="str">
        <f t="shared" si="81"/>
        <v/>
      </c>
      <c r="R1758" s="89" t="str">
        <f t="shared" si="82"/>
        <v/>
      </c>
      <c r="S1758" s="82"/>
      <c r="U1758" s="37" t="e">
        <f t="shared" si="83"/>
        <v>#VALUE!</v>
      </c>
    </row>
    <row r="1759" spans="1:21" x14ac:dyDescent="0.25">
      <c r="A1759" s="31" t="str">
        <f>IF(Table!A1759 = "","",Table!A1759)</f>
        <v/>
      </c>
      <c r="B1759" s="31" t="str">
        <f>IF(Table!B1759 = "","",Table!B1759)</f>
        <v/>
      </c>
      <c r="C1759" s="31" t="str">
        <f>IF(Table!C1759 = "","",Table!C1759)</f>
        <v/>
      </c>
      <c r="D1759" s="32" t="str">
        <f>IF(Table!D1759 = "","",Table!D1759)</f>
        <v/>
      </c>
      <c r="E1759" s="32" t="str">
        <f>IF(Table!E1759 = "","",Table!E1759)</f>
        <v/>
      </c>
      <c r="F1759" s="32" t="str">
        <f>IF(Table!F1759 = "","",Table!F1759)</f>
        <v/>
      </c>
      <c r="G1759" s="91"/>
      <c r="K1759" s="31" t="str">
        <f>IFERROR(VLOOKUP(A1759,Table!$I$4:$O$3000,1,TRUE),"")</f>
        <v/>
      </c>
      <c r="L1759" s="31" t="str">
        <f>IFERROR(INDEX(Table!I:O,MATCH(K1759,Table!I:I,0),2),"")</f>
        <v/>
      </c>
      <c r="M1759" s="31" t="str">
        <f>IFERROR(INDEX(Table!I:O,MATCH(K1759,Table!I:I,0),3),"")</f>
        <v/>
      </c>
      <c r="N1759" s="32" t="str">
        <f>IFERROR(INDEX(Table!I:O,MATCH(K1759,Table!I:I,0),4),"")</f>
        <v/>
      </c>
      <c r="O1759" s="32" t="str">
        <f>IFERROR(INDEX(Table!I:O,MATCH(K1759,Table!I:I,0),5),"")</f>
        <v/>
      </c>
      <c r="P1759" s="32" t="str">
        <f>IFERROR(INDEX(Table!I:O,MATCH(K1759,Table!I:I,0),6),"")</f>
        <v/>
      </c>
      <c r="Q1759" s="89" t="str">
        <f t="shared" si="81"/>
        <v/>
      </c>
      <c r="R1759" s="89" t="str">
        <f t="shared" si="82"/>
        <v/>
      </c>
      <c r="S1759" s="82"/>
      <c r="U1759" s="37" t="e">
        <f t="shared" si="83"/>
        <v>#VALUE!</v>
      </c>
    </row>
    <row r="1760" spans="1:21" x14ac:dyDescent="0.25">
      <c r="A1760" s="31" t="str">
        <f>IF(Table!A1760 = "","",Table!A1760)</f>
        <v/>
      </c>
      <c r="B1760" s="31" t="str">
        <f>IF(Table!B1760 = "","",Table!B1760)</f>
        <v/>
      </c>
      <c r="C1760" s="31" t="str">
        <f>IF(Table!C1760 = "","",Table!C1760)</f>
        <v/>
      </c>
      <c r="D1760" s="32" t="str">
        <f>IF(Table!D1760 = "","",Table!D1760)</f>
        <v/>
      </c>
      <c r="E1760" s="32" t="str">
        <f>IF(Table!E1760 = "","",Table!E1760)</f>
        <v/>
      </c>
      <c r="F1760" s="32" t="str">
        <f>IF(Table!F1760 = "","",Table!F1760)</f>
        <v/>
      </c>
      <c r="G1760" s="91"/>
      <c r="K1760" s="31" t="str">
        <f>IFERROR(VLOOKUP(A1760,Table!$I$4:$O$3000,1,TRUE),"")</f>
        <v/>
      </c>
      <c r="L1760" s="31" t="str">
        <f>IFERROR(INDEX(Table!I:O,MATCH(K1760,Table!I:I,0),2),"")</f>
        <v/>
      </c>
      <c r="M1760" s="31" t="str">
        <f>IFERROR(INDEX(Table!I:O,MATCH(K1760,Table!I:I,0),3),"")</f>
        <v/>
      </c>
      <c r="N1760" s="32" t="str">
        <f>IFERROR(INDEX(Table!I:O,MATCH(K1760,Table!I:I,0),4),"")</f>
        <v/>
      </c>
      <c r="O1760" s="32" t="str">
        <f>IFERROR(INDEX(Table!I:O,MATCH(K1760,Table!I:I,0),5),"")</f>
        <v/>
      </c>
      <c r="P1760" s="32" t="str">
        <f>IFERROR(INDEX(Table!I:O,MATCH(K1760,Table!I:I,0),6),"")</f>
        <v/>
      </c>
      <c r="Q1760" s="89" t="str">
        <f t="shared" si="81"/>
        <v/>
      </c>
      <c r="R1760" s="89" t="str">
        <f t="shared" si="82"/>
        <v/>
      </c>
      <c r="S1760" s="82"/>
      <c r="U1760" s="37" t="e">
        <f t="shared" si="83"/>
        <v>#VALUE!</v>
      </c>
    </row>
    <row r="1761" spans="1:21" x14ac:dyDescent="0.25">
      <c r="A1761" s="31" t="str">
        <f>IF(Table!A1761 = "","",Table!A1761)</f>
        <v/>
      </c>
      <c r="B1761" s="31" t="str">
        <f>IF(Table!B1761 = "","",Table!B1761)</f>
        <v/>
      </c>
      <c r="C1761" s="31" t="str">
        <f>IF(Table!C1761 = "","",Table!C1761)</f>
        <v/>
      </c>
      <c r="D1761" s="32" t="str">
        <f>IF(Table!D1761 = "","",Table!D1761)</f>
        <v/>
      </c>
      <c r="E1761" s="32" t="str">
        <f>IF(Table!E1761 = "","",Table!E1761)</f>
        <v/>
      </c>
      <c r="F1761" s="32" t="str">
        <f>IF(Table!F1761 = "","",Table!F1761)</f>
        <v/>
      </c>
      <c r="G1761" s="91"/>
      <c r="K1761" s="31" t="str">
        <f>IFERROR(VLOOKUP(A1761,Table!$I$4:$O$3000,1,TRUE),"")</f>
        <v/>
      </c>
      <c r="L1761" s="31" t="str">
        <f>IFERROR(INDEX(Table!I:O,MATCH(K1761,Table!I:I,0),2),"")</f>
        <v/>
      </c>
      <c r="M1761" s="31" t="str">
        <f>IFERROR(INDEX(Table!I:O,MATCH(K1761,Table!I:I,0),3),"")</f>
        <v/>
      </c>
      <c r="N1761" s="32" t="str">
        <f>IFERROR(INDEX(Table!I:O,MATCH(K1761,Table!I:I,0),4),"")</f>
        <v/>
      </c>
      <c r="O1761" s="32" t="str">
        <f>IFERROR(INDEX(Table!I:O,MATCH(K1761,Table!I:I,0),5),"")</f>
        <v/>
      </c>
      <c r="P1761" s="32" t="str">
        <f>IFERROR(INDEX(Table!I:O,MATCH(K1761,Table!I:I,0),6),"")</f>
        <v/>
      </c>
      <c r="Q1761" s="89" t="str">
        <f t="shared" si="81"/>
        <v/>
      </c>
      <c r="R1761" s="89" t="str">
        <f t="shared" si="82"/>
        <v/>
      </c>
      <c r="S1761" s="82"/>
      <c r="U1761" s="37" t="e">
        <f t="shared" si="83"/>
        <v>#VALUE!</v>
      </c>
    </row>
    <row r="1762" spans="1:21" x14ac:dyDescent="0.25">
      <c r="A1762" s="31" t="str">
        <f>IF(Table!A1762 = "","",Table!A1762)</f>
        <v/>
      </c>
      <c r="B1762" s="31" t="str">
        <f>IF(Table!B1762 = "","",Table!B1762)</f>
        <v/>
      </c>
      <c r="C1762" s="31" t="str">
        <f>IF(Table!C1762 = "","",Table!C1762)</f>
        <v/>
      </c>
      <c r="D1762" s="32" t="str">
        <f>IF(Table!D1762 = "","",Table!D1762)</f>
        <v/>
      </c>
      <c r="E1762" s="32" t="str">
        <f>IF(Table!E1762 = "","",Table!E1762)</f>
        <v/>
      </c>
      <c r="F1762" s="32" t="str">
        <f>IF(Table!F1762 = "","",Table!F1762)</f>
        <v/>
      </c>
      <c r="G1762" s="91"/>
      <c r="K1762" s="31" t="str">
        <f>IFERROR(VLOOKUP(A1762,Table!$I$4:$O$3000,1,TRUE),"")</f>
        <v/>
      </c>
      <c r="L1762" s="31" t="str">
        <f>IFERROR(INDEX(Table!I:O,MATCH(K1762,Table!I:I,0),2),"")</f>
        <v/>
      </c>
      <c r="M1762" s="31" t="str">
        <f>IFERROR(INDEX(Table!I:O,MATCH(K1762,Table!I:I,0),3),"")</f>
        <v/>
      </c>
      <c r="N1762" s="32" t="str">
        <f>IFERROR(INDEX(Table!I:O,MATCH(K1762,Table!I:I,0),4),"")</f>
        <v/>
      </c>
      <c r="O1762" s="32" t="str">
        <f>IFERROR(INDEX(Table!I:O,MATCH(K1762,Table!I:I,0),5),"")</f>
        <v/>
      </c>
      <c r="P1762" s="32" t="str">
        <f>IFERROR(INDEX(Table!I:O,MATCH(K1762,Table!I:I,0),6),"")</f>
        <v/>
      </c>
      <c r="Q1762" s="89" t="str">
        <f t="shared" si="81"/>
        <v/>
      </c>
      <c r="R1762" s="89" t="str">
        <f t="shared" si="82"/>
        <v/>
      </c>
      <c r="S1762" s="82"/>
      <c r="U1762" s="37" t="e">
        <f t="shared" si="83"/>
        <v>#VALUE!</v>
      </c>
    </row>
    <row r="1763" spans="1:21" x14ac:dyDescent="0.25">
      <c r="A1763" s="31" t="str">
        <f>IF(Table!A1763 = "","",Table!A1763)</f>
        <v/>
      </c>
      <c r="B1763" s="31" t="str">
        <f>IF(Table!B1763 = "","",Table!B1763)</f>
        <v/>
      </c>
      <c r="C1763" s="31" t="str">
        <f>IF(Table!C1763 = "","",Table!C1763)</f>
        <v/>
      </c>
      <c r="D1763" s="32" t="str">
        <f>IF(Table!D1763 = "","",Table!D1763)</f>
        <v/>
      </c>
      <c r="E1763" s="32" t="str">
        <f>IF(Table!E1763 = "","",Table!E1763)</f>
        <v/>
      </c>
      <c r="F1763" s="32" t="str">
        <f>IF(Table!F1763 = "","",Table!F1763)</f>
        <v/>
      </c>
      <c r="G1763" s="91"/>
      <c r="K1763" s="31" t="str">
        <f>IFERROR(VLOOKUP(A1763,Table!$I$4:$O$3000,1,TRUE),"")</f>
        <v/>
      </c>
      <c r="L1763" s="31" t="str">
        <f>IFERROR(INDEX(Table!I:O,MATCH(K1763,Table!I:I,0),2),"")</f>
        <v/>
      </c>
      <c r="M1763" s="31" t="str">
        <f>IFERROR(INDEX(Table!I:O,MATCH(K1763,Table!I:I,0),3),"")</f>
        <v/>
      </c>
      <c r="N1763" s="32" t="str">
        <f>IFERROR(INDEX(Table!I:O,MATCH(K1763,Table!I:I,0),4),"")</f>
        <v/>
      </c>
      <c r="O1763" s="32" t="str">
        <f>IFERROR(INDEX(Table!I:O,MATCH(K1763,Table!I:I,0),5),"")</f>
        <v/>
      </c>
      <c r="P1763" s="32" t="str">
        <f>IFERROR(INDEX(Table!I:O,MATCH(K1763,Table!I:I,0),6),"")</f>
        <v/>
      </c>
      <c r="Q1763" s="89" t="str">
        <f t="shared" si="81"/>
        <v/>
      </c>
      <c r="R1763" s="89" t="str">
        <f t="shared" si="82"/>
        <v/>
      </c>
      <c r="S1763" s="82"/>
      <c r="U1763" s="37" t="e">
        <f t="shared" si="83"/>
        <v>#VALUE!</v>
      </c>
    </row>
    <row r="1764" spans="1:21" x14ac:dyDescent="0.25">
      <c r="A1764" s="31" t="str">
        <f>IF(Table!A1764 = "","",Table!A1764)</f>
        <v/>
      </c>
      <c r="B1764" s="31" t="str">
        <f>IF(Table!B1764 = "","",Table!B1764)</f>
        <v/>
      </c>
      <c r="C1764" s="31" t="str">
        <f>IF(Table!C1764 = "","",Table!C1764)</f>
        <v/>
      </c>
      <c r="D1764" s="32" t="str">
        <f>IF(Table!D1764 = "","",Table!D1764)</f>
        <v/>
      </c>
      <c r="E1764" s="32" t="str">
        <f>IF(Table!E1764 = "","",Table!E1764)</f>
        <v/>
      </c>
      <c r="F1764" s="32" t="str">
        <f>IF(Table!F1764 = "","",Table!F1764)</f>
        <v/>
      </c>
      <c r="G1764" s="91"/>
      <c r="K1764" s="31" t="str">
        <f>IFERROR(VLOOKUP(A1764,Table!$I$4:$O$3000,1,TRUE),"")</f>
        <v/>
      </c>
      <c r="L1764" s="31" t="str">
        <f>IFERROR(INDEX(Table!I:O,MATCH(K1764,Table!I:I,0),2),"")</f>
        <v/>
      </c>
      <c r="M1764" s="31" t="str">
        <f>IFERROR(INDEX(Table!I:O,MATCH(K1764,Table!I:I,0),3),"")</f>
        <v/>
      </c>
      <c r="N1764" s="32" t="str">
        <f>IFERROR(INDEX(Table!I:O,MATCH(K1764,Table!I:I,0),4),"")</f>
        <v/>
      </c>
      <c r="O1764" s="32" t="str">
        <f>IFERROR(INDEX(Table!I:O,MATCH(K1764,Table!I:I,0),5),"")</f>
        <v/>
      </c>
      <c r="P1764" s="32" t="str">
        <f>IFERROR(INDEX(Table!I:O,MATCH(K1764,Table!I:I,0),6),"")</f>
        <v/>
      </c>
      <c r="Q1764" s="89" t="str">
        <f t="shared" si="81"/>
        <v/>
      </c>
      <c r="R1764" s="89" t="str">
        <f t="shared" si="82"/>
        <v/>
      </c>
      <c r="S1764" s="82"/>
      <c r="U1764" s="37" t="e">
        <f t="shared" si="83"/>
        <v>#VALUE!</v>
      </c>
    </row>
    <row r="1765" spans="1:21" x14ac:dyDescent="0.25">
      <c r="A1765" s="31" t="str">
        <f>IF(Table!A1765 = "","",Table!A1765)</f>
        <v/>
      </c>
      <c r="B1765" s="31" t="str">
        <f>IF(Table!B1765 = "","",Table!B1765)</f>
        <v/>
      </c>
      <c r="C1765" s="31" t="str">
        <f>IF(Table!C1765 = "","",Table!C1765)</f>
        <v/>
      </c>
      <c r="D1765" s="32" t="str">
        <f>IF(Table!D1765 = "","",Table!D1765)</f>
        <v/>
      </c>
      <c r="E1765" s="32" t="str">
        <f>IF(Table!E1765 = "","",Table!E1765)</f>
        <v/>
      </c>
      <c r="F1765" s="32" t="str">
        <f>IF(Table!F1765 = "","",Table!F1765)</f>
        <v/>
      </c>
      <c r="G1765" s="91"/>
      <c r="K1765" s="31" t="str">
        <f>IFERROR(VLOOKUP(A1765,Table!$I$4:$O$3000,1,TRUE),"")</f>
        <v/>
      </c>
      <c r="L1765" s="31" t="str">
        <f>IFERROR(INDEX(Table!I:O,MATCH(K1765,Table!I:I,0),2),"")</f>
        <v/>
      </c>
      <c r="M1765" s="31" t="str">
        <f>IFERROR(INDEX(Table!I:O,MATCH(K1765,Table!I:I,0),3),"")</f>
        <v/>
      </c>
      <c r="N1765" s="32" t="str">
        <f>IFERROR(INDEX(Table!I:O,MATCH(K1765,Table!I:I,0),4),"")</f>
        <v/>
      </c>
      <c r="O1765" s="32" t="str">
        <f>IFERROR(INDEX(Table!I:O,MATCH(K1765,Table!I:I,0),5),"")</f>
        <v/>
      </c>
      <c r="P1765" s="32" t="str">
        <f>IFERROR(INDEX(Table!I:O,MATCH(K1765,Table!I:I,0),6),"")</f>
        <v/>
      </c>
      <c r="Q1765" s="89" t="str">
        <f t="shared" si="81"/>
        <v/>
      </c>
      <c r="R1765" s="89" t="str">
        <f t="shared" si="82"/>
        <v/>
      </c>
      <c r="S1765" s="82"/>
      <c r="U1765" s="37" t="e">
        <f t="shared" si="83"/>
        <v>#VALUE!</v>
      </c>
    </row>
    <row r="1766" spans="1:21" x14ac:dyDescent="0.25">
      <c r="A1766" s="31" t="str">
        <f>IF(Table!A1766 = "","",Table!A1766)</f>
        <v/>
      </c>
      <c r="B1766" s="31" t="str">
        <f>IF(Table!B1766 = "","",Table!B1766)</f>
        <v/>
      </c>
      <c r="C1766" s="31" t="str">
        <f>IF(Table!C1766 = "","",Table!C1766)</f>
        <v/>
      </c>
      <c r="D1766" s="32" t="str">
        <f>IF(Table!D1766 = "","",Table!D1766)</f>
        <v/>
      </c>
      <c r="E1766" s="32" t="str">
        <f>IF(Table!E1766 = "","",Table!E1766)</f>
        <v/>
      </c>
      <c r="F1766" s="32" t="str">
        <f>IF(Table!F1766 = "","",Table!F1766)</f>
        <v/>
      </c>
      <c r="G1766" s="91"/>
      <c r="K1766" s="31" t="str">
        <f>IFERROR(VLOOKUP(A1766,Table!$I$4:$O$3000,1,TRUE),"")</f>
        <v/>
      </c>
      <c r="L1766" s="31" t="str">
        <f>IFERROR(INDEX(Table!I:O,MATCH(K1766,Table!I:I,0),2),"")</f>
        <v/>
      </c>
      <c r="M1766" s="31" t="str">
        <f>IFERROR(INDEX(Table!I:O,MATCH(K1766,Table!I:I,0),3),"")</f>
        <v/>
      </c>
      <c r="N1766" s="32" t="str">
        <f>IFERROR(INDEX(Table!I:O,MATCH(K1766,Table!I:I,0),4),"")</f>
        <v/>
      </c>
      <c r="O1766" s="32" t="str">
        <f>IFERROR(INDEX(Table!I:O,MATCH(K1766,Table!I:I,0),5),"")</f>
        <v/>
      </c>
      <c r="P1766" s="32" t="str">
        <f>IFERROR(INDEX(Table!I:O,MATCH(K1766,Table!I:I,0),6),"")</f>
        <v/>
      </c>
      <c r="Q1766" s="89" t="str">
        <f t="shared" si="81"/>
        <v/>
      </c>
      <c r="R1766" s="89" t="str">
        <f t="shared" si="82"/>
        <v/>
      </c>
      <c r="S1766" s="82"/>
      <c r="U1766" s="37" t="e">
        <f t="shared" si="83"/>
        <v>#VALUE!</v>
      </c>
    </row>
    <row r="1767" spans="1:21" x14ac:dyDescent="0.25">
      <c r="A1767" s="31" t="str">
        <f>IF(Table!A1767 = "","",Table!A1767)</f>
        <v/>
      </c>
      <c r="B1767" s="31" t="str">
        <f>IF(Table!B1767 = "","",Table!B1767)</f>
        <v/>
      </c>
      <c r="C1767" s="31" t="str">
        <f>IF(Table!C1767 = "","",Table!C1767)</f>
        <v/>
      </c>
      <c r="D1767" s="32" t="str">
        <f>IF(Table!D1767 = "","",Table!D1767)</f>
        <v/>
      </c>
      <c r="E1767" s="32" t="str">
        <f>IF(Table!E1767 = "","",Table!E1767)</f>
        <v/>
      </c>
      <c r="F1767" s="32" t="str">
        <f>IF(Table!F1767 = "","",Table!F1767)</f>
        <v/>
      </c>
      <c r="G1767" s="91"/>
      <c r="K1767" s="31" t="str">
        <f>IFERROR(VLOOKUP(A1767,Table!$I$4:$O$3000,1,TRUE),"")</f>
        <v/>
      </c>
      <c r="L1767" s="31" t="str">
        <f>IFERROR(INDEX(Table!I:O,MATCH(K1767,Table!I:I,0),2),"")</f>
        <v/>
      </c>
      <c r="M1767" s="31" t="str">
        <f>IFERROR(INDEX(Table!I:O,MATCH(K1767,Table!I:I,0),3),"")</f>
        <v/>
      </c>
      <c r="N1767" s="32" t="str">
        <f>IFERROR(INDEX(Table!I:O,MATCH(K1767,Table!I:I,0),4),"")</f>
        <v/>
      </c>
      <c r="O1767" s="32" t="str">
        <f>IFERROR(INDEX(Table!I:O,MATCH(K1767,Table!I:I,0),5),"")</f>
        <v/>
      </c>
      <c r="P1767" s="32" t="str">
        <f>IFERROR(INDEX(Table!I:O,MATCH(K1767,Table!I:I,0),6),"")</f>
        <v/>
      </c>
      <c r="Q1767" s="89" t="str">
        <f t="shared" si="81"/>
        <v/>
      </c>
      <c r="R1767" s="89" t="str">
        <f t="shared" si="82"/>
        <v/>
      </c>
      <c r="S1767" s="82"/>
      <c r="U1767" s="37" t="e">
        <f t="shared" si="83"/>
        <v>#VALUE!</v>
      </c>
    </row>
    <row r="1768" spans="1:21" x14ac:dyDescent="0.25">
      <c r="A1768" s="31" t="str">
        <f>IF(Table!A1768 = "","",Table!A1768)</f>
        <v/>
      </c>
      <c r="B1768" s="31" t="str">
        <f>IF(Table!B1768 = "","",Table!B1768)</f>
        <v/>
      </c>
      <c r="C1768" s="31" t="str">
        <f>IF(Table!C1768 = "","",Table!C1768)</f>
        <v/>
      </c>
      <c r="D1768" s="32" t="str">
        <f>IF(Table!D1768 = "","",Table!D1768)</f>
        <v/>
      </c>
      <c r="E1768" s="32" t="str">
        <f>IF(Table!E1768 = "","",Table!E1768)</f>
        <v/>
      </c>
      <c r="F1768" s="32" t="str">
        <f>IF(Table!F1768 = "","",Table!F1768)</f>
        <v/>
      </c>
      <c r="G1768" s="91"/>
      <c r="K1768" s="31" t="str">
        <f>IFERROR(VLOOKUP(A1768,Table!$I$4:$O$3000,1,TRUE),"")</f>
        <v/>
      </c>
      <c r="L1768" s="31" t="str">
        <f>IFERROR(INDEX(Table!I:O,MATCH(K1768,Table!I:I,0),2),"")</f>
        <v/>
      </c>
      <c r="M1768" s="31" t="str">
        <f>IFERROR(INDEX(Table!I:O,MATCH(K1768,Table!I:I,0),3),"")</f>
        <v/>
      </c>
      <c r="N1768" s="32" t="str">
        <f>IFERROR(INDEX(Table!I:O,MATCH(K1768,Table!I:I,0),4),"")</f>
        <v/>
      </c>
      <c r="O1768" s="32" t="str">
        <f>IFERROR(INDEX(Table!I:O,MATCH(K1768,Table!I:I,0),5),"")</f>
        <v/>
      </c>
      <c r="P1768" s="32" t="str">
        <f>IFERROR(INDEX(Table!I:O,MATCH(K1768,Table!I:I,0),6),"")</f>
        <v/>
      </c>
      <c r="Q1768" s="89" t="str">
        <f t="shared" si="81"/>
        <v/>
      </c>
      <c r="R1768" s="89" t="str">
        <f t="shared" si="82"/>
        <v/>
      </c>
      <c r="S1768" s="82"/>
      <c r="U1768" s="37" t="e">
        <f t="shared" si="83"/>
        <v>#VALUE!</v>
      </c>
    </row>
    <row r="1769" spans="1:21" x14ac:dyDescent="0.25">
      <c r="A1769" s="31" t="str">
        <f>IF(Table!A1769 = "","",Table!A1769)</f>
        <v/>
      </c>
      <c r="B1769" s="31" t="str">
        <f>IF(Table!B1769 = "","",Table!B1769)</f>
        <v/>
      </c>
      <c r="C1769" s="31" t="str">
        <f>IF(Table!C1769 = "","",Table!C1769)</f>
        <v/>
      </c>
      <c r="D1769" s="32" t="str">
        <f>IF(Table!D1769 = "","",Table!D1769)</f>
        <v/>
      </c>
      <c r="E1769" s="32" t="str">
        <f>IF(Table!E1769 = "","",Table!E1769)</f>
        <v/>
      </c>
      <c r="F1769" s="32" t="str">
        <f>IF(Table!F1769 = "","",Table!F1769)</f>
        <v/>
      </c>
      <c r="G1769" s="91"/>
      <c r="K1769" s="31" t="str">
        <f>IFERROR(VLOOKUP(A1769,Table!$I$4:$O$3000,1,TRUE),"")</f>
        <v/>
      </c>
      <c r="L1769" s="31" t="str">
        <f>IFERROR(INDEX(Table!I:O,MATCH(K1769,Table!I:I,0),2),"")</f>
        <v/>
      </c>
      <c r="M1769" s="31" t="str">
        <f>IFERROR(INDEX(Table!I:O,MATCH(K1769,Table!I:I,0),3),"")</f>
        <v/>
      </c>
      <c r="N1769" s="32" t="str">
        <f>IFERROR(INDEX(Table!I:O,MATCH(K1769,Table!I:I,0),4),"")</f>
        <v/>
      </c>
      <c r="O1769" s="32" t="str">
        <f>IFERROR(INDEX(Table!I:O,MATCH(K1769,Table!I:I,0),5),"")</f>
        <v/>
      </c>
      <c r="P1769" s="32" t="str">
        <f>IFERROR(INDEX(Table!I:O,MATCH(K1769,Table!I:I,0),6),"")</f>
        <v/>
      </c>
      <c r="Q1769" s="89" t="str">
        <f t="shared" si="81"/>
        <v/>
      </c>
      <c r="R1769" s="89" t="str">
        <f t="shared" si="82"/>
        <v/>
      </c>
      <c r="S1769" s="82"/>
      <c r="U1769" s="37" t="e">
        <f t="shared" si="83"/>
        <v>#VALUE!</v>
      </c>
    </row>
    <row r="1770" spans="1:21" x14ac:dyDescent="0.25">
      <c r="A1770" s="31" t="str">
        <f>IF(Table!A1770 = "","",Table!A1770)</f>
        <v/>
      </c>
      <c r="B1770" s="31" t="str">
        <f>IF(Table!B1770 = "","",Table!B1770)</f>
        <v/>
      </c>
      <c r="C1770" s="31" t="str">
        <f>IF(Table!C1770 = "","",Table!C1770)</f>
        <v/>
      </c>
      <c r="D1770" s="32" t="str">
        <f>IF(Table!D1770 = "","",Table!D1770)</f>
        <v/>
      </c>
      <c r="E1770" s="32" t="str">
        <f>IF(Table!E1770 = "","",Table!E1770)</f>
        <v/>
      </c>
      <c r="F1770" s="32" t="str">
        <f>IF(Table!F1770 = "","",Table!F1770)</f>
        <v/>
      </c>
      <c r="G1770" s="91"/>
      <c r="K1770" s="31" t="str">
        <f>IFERROR(VLOOKUP(A1770,Table!$I$4:$O$3000,1,TRUE),"")</f>
        <v/>
      </c>
      <c r="L1770" s="31" t="str">
        <f>IFERROR(INDEX(Table!I:O,MATCH(K1770,Table!I:I,0),2),"")</f>
        <v/>
      </c>
      <c r="M1770" s="31" t="str">
        <f>IFERROR(INDEX(Table!I:O,MATCH(K1770,Table!I:I,0),3),"")</f>
        <v/>
      </c>
      <c r="N1770" s="32" t="str">
        <f>IFERROR(INDEX(Table!I:O,MATCH(K1770,Table!I:I,0),4),"")</f>
        <v/>
      </c>
      <c r="O1770" s="32" t="str">
        <f>IFERROR(INDEX(Table!I:O,MATCH(K1770,Table!I:I,0),5),"")</f>
        <v/>
      </c>
      <c r="P1770" s="32" t="str">
        <f>IFERROR(INDEX(Table!I:O,MATCH(K1770,Table!I:I,0),6),"")</f>
        <v/>
      </c>
      <c r="Q1770" s="89" t="str">
        <f t="shared" si="81"/>
        <v/>
      </c>
      <c r="R1770" s="89" t="str">
        <f t="shared" si="82"/>
        <v/>
      </c>
      <c r="S1770" s="82"/>
      <c r="U1770" s="37" t="e">
        <f t="shared" si="83"/>
        <v>#VALUE!</v>
      </c>
    </row>
    <row r="1771" spans="1:21" x14ac:dyDescent="0.25">
      <c r="A1771" s="31" t="str">
        <f>IF(Table!A1771 = "","",Table!A1771)</f>
        <v/>
      </c>
      <c r="B1771" s="31" t="str">
        <f>IF(Table!B1771 = "","",Table!B1771)</f>
        <v/>
      </c>
      <c r="C1771" s="31" t="str">
        <f>IF(Table!C1771 = "","",Table!C1771)</f>
        <v/>
      </c>
      <c r="D1771" s="32" t="str">
        <f>IF(Table!D1771 = "","",Table!D1771)</f>
        <v/>
      </c>
      <c r="E1771" s="32" t="str">
        <f>IF(Table!E1771 = "","",Table!E1771)</f>
        <v/>
      </c>
      <c r="F1771" s="32" t="str">
        <f>IF(Table!F1771 = "","",Table!F1771)</f>
        <v/>
      </c>
      <c r="G1771" s="91"/>
      <c r="K1771" s="31" t="str">
        <f>IFERROR(VLOOKUP(A1771,Table!$I$4:$O$3000,1,TRUE),"")</f>
        <v/>
      </c>
      <c r="L1771" s="31" t="str">
        <f>IFERROR(INDEX(Table!I:O,MATCH(K1771,Table!I:I,0),2),"")</f>
        <v/>
      </c>
      <c r="M1771" s="31" t="str">
        <f>IFERROR(INDEX(Table!I:O,MATCH(K1771,Table!I:I,0),3),"")</f>
        <v/>
      </c>
      <c r="N1771" s="32" t="str">
        <f>IFERROR(INDEX(Table!I:O,MATCH(K1771,Table!I:I,0),4),"")</f>
        <v/>
      </c>
      <c r="O1771" s="32" t="str">
        <f>IFERROR(INDEX(Table!I:O,MATCH(K1771,Table!I:I,0),5),"")</f>
        <v/>
      </c>
      <c r="P1771" s="32" t="str">
        <f>IFERROR(INDEX(Table!I:O,MATCH(K1771,Table!I:I,0),6),"")</f>
        <v/>
      </c>
      <c r="Q1771" s="89" t="str">
        <f t="shared" si="81"/>
        <v/>
      </c>
      <c r="R1771" s="89" t="str">
        <f t="shared" si="82"/>
        <v/>
      </c>
      <c r="S1771" s="82"/>
      <c r="U1771" s="37" t="e">
        <f t="shared" si="83"/>
        <v>#VALUE!</v>
      </c>
    </row>
    <row r="1772" spans="1:21" x14ac:dyDescent="0.25">
      <c r="A1772" s="31" t="str">
        <f>IF(Table!A1772 = "","",Table!A1772)</f>
        <v/>
      </c>
      <c r="B1772" s="31" t="str">
        <f>IF(Table!B1772 = "","",Table!B1772)</f>
        <v/>
      </c>
      <c r="C1772" s="31" t="str">
        <f>IF(Table!C1772 = "","",Table!C1772)</f>
        <v/>
      </c>
      <c r="D1772" s="32" t="str">
        <f>IF(Table!D1772 = "","",Table!D1772)</f>
        <v/>
      </c>
      <c r="E1772" s="32" t="str">
        <f>IF(Table!E1772 = "","",Table!E1772)</f>
        <v/>
      </c>
      <c r="F1772" s="32" t="str">
        <f>IF(Table!F1772 = "","",Table!F1772)</f>
        <v/>
      </c>
      <c r="G1772" s="91"/>
      <c r="K1772" s="31" t="str">
        <f>IFERROR(VLOOKUP(A1772,Table!$I$4:$O$3000,1,TRUE),"")</f>
        <v/>
      </c>
      <c r="L1772" s="31" t="str">
        <f>IFERROR(INDEX(Table!I:O,MATCH(K1772,Table!I:I,0),2),"")</f>
        <v/>
      </c>
      <c r="M1772" s="31" t="str">
        <f>IFERROR(INDEX(Table!I:O,MATCH(K1772,Table!I:I,0),3),"")</f>
        <v/>
      </c>
      <c r="N1772" s="32" t="str">
        <f>IFERROR(INDEX(Table!I:O,MATCH(K1772,Table!I:I,0),4),"")</f>
        <v/>
      </c>
      <c r="O1772" s="32" t="str">
        <f>IFERROR(INDEX(Table!I:O,MATCH(K1772,Table!I:I,0),5),"")</f>
        <v/>
      </c>
      <c r="P1772" s="32" t="str">
        <f>IFERROR(INDEX(Table!I:O,MATCH(K1772,Table!I:I,0),6),"")</f>
        <v/>
      </c>
      <c r="Q1772" s="89" t="str">
        <f t="shared" si="81"/>
        <v/>
      </c>
      <c r="R1772" s="89" t="str">
        <f t="shared" si="82"/>
        <v/>
      </c>
      <c r="S1772" s="82"/>
      <c r="U1772" s="37" t="e">
        <f t="shared" si="83"/>
        <v>#VALUE!</v>
      </c>
    </row>
    <row r="1773" spans="1:21" x14ac:dyDescent="0.25">
      <c r="A1773" s="31" t="str">
        <f>IF(Table!A1773 = "","",Table!A1773)</f>
        <v/>
      </c>
      <c r="B1773" s="31" t="str">
        <f>IF(Table!B1773 = "","",Table!B1773)</f>
        <v/>
      </c>
      <c r="C1773" s="31" t="str">
        <f>IF(Table!C1773 = "","",Table!C1773)</f>
        <v/>
      </c>
      <c r="D1773" s="32" t="str">
        <f>IF(Table!D1773 = "","",Table!D1773)</f>
        <v/>
      </c>
      <c r="E1773" s="32" t="str">
        <f>IF(Table!E1773 = "","",Table!E1773)</f>
        <v/>
      </c>
      <c r="F1773" s="32" t="str">
        <f>IF(Table!F1773 = "","",Table!F1773)</f>
        <v/>
      </c>
      <c r="G1773" s="91"/>
      <c r="K1773" s="31" t="str">
        <f>IFERROR(VLOOKUP(A1773,Table!$I$4:$O$3000,1,TRUE),"")</f>
        <v/>
      </c>
      <c r="L1773" s="31" t="str">
        <f>IFERROR(INDEX(Table!I:O,MATCH(K1773,Table!I:I,0),2),"")</f>
        <v/>
      </c>
      <c r="M1773" s="31" t="str">
        <f>IFERROR(INDEX(Table!I:O,MATCH(K1773,Table!I:I,0),3),"")</f>
        <v/>
      </c>
      <c r="N1773" s="32" t="str">
        <f>IFERROR(INDEX(Table!I:O,MATCH(K1773,Table!I:I,0),4),"")</f>
        <v/>
      </c>
      <c r="O1773" s="32" t="str">
        <f>IFERROR(INDEX(Table!I:O,MATCH(K1773,Table!I:I,0),5),"")</f>
        <v/>
      </c>
      <c r="P1773" s="32" t="str">
        <f>IFERROR(INDEX(Table!I:O,MATCH(K1773,Table!I:I,0),6),"")</f>
        <v/>
      </c>
      <c r="Q1773" s="89" t="str">
        <f t="shared" si="81"/>
        <v/>
      </c>
      <c r="R1773" s="89" t="str">
        <f t="shared" si="82"/>
        <v/>
      </c>
      <c r="S1773" s="82"/>
      <c r="U1773" s="37" t="e">
        <f t="shared" si="83"/>
        <v>#VALUE!</v>
      </c>
    </row>
    <row r="1774" spans="1:21" x14ac:dyDescent="0.25">
      <c r="A1774" s="31" t="str">
        <f>IF(Table!A1774 = "","",Table!A1774)</f>
        <v/>
      </c>
      <c r="B1774" s="31" t="str">
        <f>IF(Table!B1774 = "","",Table!B1774)</f>
        <v/>
      </c>
      <c r="C1774" s="31" t="str">
        <f>IF(Table!C1774 = "","",Table!C1774)</f>
        <v/>
      </c>
      <c r="D1774" s="32" t="str">
        <f>IF(Table!D1774 = "","",Table!D1774)</f>
        <v/>
      </c>
      <c r="E1774" s="32" t="str">
        <f>IF(Table!E1774 = "","",Table!E1774)</f>
        <v/>
      </c>
      <c r="F1774" s="32" t="str">
        <f>IF(Table!F1774 = "","",Table!F1774)</f>
        <v/>
      </c>
      <c r="G1774" s="91"/>
      <c r="K1774" s="31" t="str">
        <f>IFERROR(VLOOKUP(A1774,Table!$I$4:$O$3000,1,TRUE),"")</f>
        <v/>
      </c>
      <c r="L1774" s="31" t="str">
        <f>IFERROR(INDEX(Table!I:O,MATCH(K1774,Table!I:I,0),2),"")</f>
        <v/>
      </c>
      <c r="M1774" s="31" t="str">
        <f>IFERROR(INDEX(Table!I:O,MATCH(K1774,Table!I:I,0),3),"")</f>
        <v/>
      </c>
      <c r="N1774" s="32" t="str">
        <f>IFERROR(INDEX(Table!I:O,MATCH(K1774,Table!I:I,0),4),"")</f>
        <v/>
      </c>
      <c r="O1774" s="32" t="str">
        <f>IFERROR(INDEX(Table!I:O,MATCH(K1774,Table!I:I,0),5),"")</f>
        <v/>
      </c>
      <c r="P1774" s="32" t="str">
        <f>IFERROR(INDEX(Table!I:O,MATCH(K1774,Table!I:I,0),6),"")</f>
        <v/>
      </c>
      <c r="Q1774" s="89" t="str">
        <f t="shared" si="81"/>
        <v/>
      </c>
      <c r="R1774" s="89" t="str">
        <f t="shared" si="82"/>
        <v/>
      </c>
      <c r="S1774" s="82"/>
      <c r="U1774" s="37" t="e">
        <f t="shared" si="83"/>
        <v>#VALUE!</v>
      </c>
    </row>
    <row r="1775" spans="1:21" x14ac:dyDescent="0.25">
      <c r="A1775" s="31" t="str">
        <f>IF(Table!A1775 = "","",Table!A1775)</f>
        <v/>
      </c>
      <c r="B1775" s="31" t="str">
        <f>IF(Table!B1775 = "","",Table!B1775)</f>
        <v/>
      </c>
      <c r="C1775" s="31" t="str">
        <f>IF(Table!C1775 = "","",Table!C1775)</f>
        <v/>
      </c>
      <c r="D1775" s="32" t="str">
        <f>IF(Table!D1775 = "","",Table!D1775)</f>
        <v/>
      </c>
      <c r="E1775" s="32" t="str">
        <f>IF(Table!E1775 = "","",Table!E1775)</f>
        <v/>
      </c>
      <c r="F1775" s="32" t="str">
        <f>IF(Table!F1775 = "","",Table!F1775)</f>
        <v/>
      </c>
      <c r="G1775" s="91"/>
      <c r="K1775" s="31" t="str">
        <f>IFERROR(VLOOKUP(A1775,Table!$I$4:$O$3000,1,TRUE),"")</f>
        <v/>
      </c>
      <c r="L1775" s="31" t="str">
        <f>IFERROR(INDEX(Table!I:O,MATCH(K1775,Table!I:I,0),2),"")</f>
        <v/>
      </c>
      <c r="M1775" s="31" t="str">
        <f>IFERROR(INDEX(Table!I:O,MATCH(K1775,Table!I:I,0),3),"")</f>
        <v/>
      </c>
      <c r="N1775" s="32" t="str">
        <f>IFERROR(INDEX(Table!I:O,MATCH(K1775,Table!I:I,0),4),"")</f>
        <v/>
      </c>
      <c r="O1775" s="32" t="str">
        <f>IFERROR(INDEX(Table!I:O,MATCH(K1775,Table!I:I,0),5),"")</f>
        <v/>
      </c>
      <c r="P1775" s="32" t="str">
        <f>IFERROR(INDEX(Table!I:O,MATCH(K1775,Table!I:I,0),6),"")</f>
        <v/>
      </c>
      <c r="Q1775" s="89" t="str">
        <f t="shared" si="81"/>
        <v/>
      </c>
      <c r="R1775" s="89" t="str">
        <f t="shared" si="82"/>
        <v/>
      </c>
      <c r="S1775" s="82"/>
      <c r="U1775" s="37" t="e">
        <f t="shared" si="83"/>
        <v>#VALUE!</v>
      </c>
    </row>
    <row r="1776" spans="1:21" x14ac:dyDescent="0.25">
      <c r="A1776" s="31" t="str">
        <f>IF(Table!A1776 = "","",Table!A1776)</f>
        <v/>
      </c>
      <c r="B1776" s="31" t="str">
        <f>IF(Table!B1776 = "","",Table!B1776)</f>
        <v/>
      </c>
      <c r="C1776" s="31" t="str">
        <f>IF(Table!C1776 = "","",Table!C1776)</f>
        <v/>
      </c>
      <c r="D1776" s="32" t="str">
        <f>IF(Table!D1776 = "","",Table!D1776)</f>
        <v/>
      </c>
      <c r="E1776" s="32" t="str">
        <f>IF(Table!E1776 = "","",Table!E1776)</f>
        <v/>
      </c>
      <c r="F1776" s="32" t="str">
        <f>IF(Table!F1776 = "","",Table!F1776)</f>
        <v/>
      </c>
      <c r="G1776" s="91"/>
      <c r="K1776" s="31" t="str">
        <f>IFERROR(VLOOKUP(A1776,Table!$I$4:$O$3000,1,TRUE),"")</f>
        <v/>
      </c>
      <c r="L1776" s="31" t="str">
        <f>IFERROR(INDEX(Table!I:O,MATCH(K1776,Table!I:I,0),2),"")</f>
        <v/>
      </c>
      <c r="M1776" s="31" t="str">
        <f>IFERROR(INDEX(Table!I:O,MATCH(K1776,Table!I:I,0),3),"")</f>
        <v/>
      </c>
      <c r="N1776" s="32" t="str">
        <f>IFERROR(INDEX(Table!I:O,MATCH(K1776,Table!I:I,0),4),"")</f>
        <v/>
      </c>
      <c r="O1776" s="32" t="str">
        <f>IFERROR(INDEX(Table!I:O,MATCH(K1776,Table!I:I,0),5),"")</f>
        <v/>
      </c>
      <c r="P1776" s="32" t="str">
        <f>IFERROR(INDEX(Table!I:O,MATCH(K1776,Table!I:I,0),6),"")</f>
        <v/>
      </c>
      <c r="Q1776" s="89" t="str">
        <f t="shared" si="81"/>
        <v/>
      </c>
      <c r="R1776" s="89" t="str">
        <f t="shared" si="82"/>
        <v/>
      </c>
      <c r="S1776" s="82"/>
      <c r="U1776" s="37" t="e">
        <f t="shared" si="83"/>
        <v>#VALUE!</v>
      </c>
    </row>
    <row r="1777" spans="1:21" x14ac:dyDescent="0.25">
      <c r="A1777" s="31" t="str">
        <f>IF(Table!A1777 = "","",Table!A1777)</f>
        <v/>
      </c>
      <c r="B1777" s="31" t="str">
        <f>IF(Table!B1777 = "","",Table!B1777)</f>
        <v/>
      </c>
      <c r="C1777" s="31" t="str">
        <f>IF(Table!C1777 = "","",Table!C1777)</f>
        <v/>
      </c>
      <c r="D1777" s="32" t="str">
        <f>IF(Table!D1777 = "","",Table!D1777)</f>
        <v/>
      </c>
      <c r="E1777" s="32" t="str">
        <f>IF(Table!E1777 = "","",Table!E1777)</f>
        <v/>
      </c>
      <c r="F1777" s="32" t="str">
        <f>IF(Table!F1777 = "","",Table!F1777)</f>
        <v/>
      </c>
      <c r="G1777" s="91"/>
      <c r="K1777" s="31" t="str">
        <f>IFERROR(VLOOKUP(A1777,Table!$I$4:$O$3000,1,TRUE),"")</f>
        <v/>
      </c>
      <c r="L1777" s="31" t="str">
        <f>IFERROR(INDEX(Table!I:O,MATCH(K1777,Table!I:I,0),2),"")</f>
        <v/>
      </c>
      <c r="M1777" s="31" t="str">
        <f>IFERROR(INDEX(Table!I:O,MATCH(K1777,Table!I:I,0),3),"")</f>
        <v/>
      </c>
      <c r="N1777" s="32" t="str">
        <f>IFERROR(INDEX(Table!I:O,MATCH(K1777,Table!I:I,0),4),"")</f>
        <v/>
      </c>
      <c r="O1777" s="32" t="str">
        <f>IFERROR(INDEX(Table!I:O,MATCH(K1777,Table!I:I,0),5),"")</f>
        <v/>
      </c>
      <c r="P1777" s="32" t="str">
        <f>IFERROR(INDEX(Table!I:O,MATCH(K1777,Table!I:I,0),6),"")</f>
        <v/>
      </c>
      <c r="Q1777" s="89" t="str">
        <f t="shared" si="81"/>
        <v/>
      </c>
      <c r="R1777" s="89" t="str">
        <f t="shared" si="82"/>
        <v/>
      </c>
      <c r="S1777" s="82"/>
      <c r="U1777" s="37" t="e">
        <f t="shared" si="83"/>
        <v>#VALUE!</v>
      </c>
    </row>
    <row r="1778" spans="1:21" x14ac:dyDescent="0.25">
      <c r="A1778" s="31" t="str">
        <f>IF(Table!A1778 = "","",Table!A1778)</f>
        <v/>
      </c>
      <c r="B1778" s="31" t="str">
        <f>IF(Table!B1778 = "","",Table!B1778)</f>
        <v/>
      </c>
      <c r="C1778" s="31" t="str">
        <f>IF(Table!C1778 = "","",Table!C1778)</f>
        <v/>
      </c>
      <c r="D1778" s="32" t="str">
        <f>IF(Table!D1778 = "","",Table!D1778)</f>
        <v/>
      </c>
      <c r="E1778" s="32" t="str">
        <f>IF(Table!E1778 = "","",Table!E1778)</f>
        <v/>
      </c>
      <c r="F1778" s="32" t="str">
        <f>IF(Table!F1778 = "","",Table!F1778)</f>
        <v/>
      </c>
      <c r="G1778" s="91"/>
      <c r="K1778" s="31" t="str">
        <f>IFERROR(VLOOKUP(A1778,Table!$I$4:$O$3000,1,TRUE),"")</f>
        <v/>
      </c>
      <c r="L1778" s="31" t="str">
        <f>IFERROR(INDEX(Table!I:O,MATCH(K1778,Table!I:I,0),2),"")</f>
        <v/>
      </c>
      <c r="M1778" s="31" t="str">
        <f>IFERROR(INDEX(Table!I:O,MATCH(K1778,Table!I:I,0),3),"")</f>
        <v/>
      </c>
      <c r="N1778" s="32" t="str">
        <f>IFERROR(INDEX(Table!I:O,MATCH(K1778,Table!I:I,0),4),"")</f>
        <v/>
      </c>
      <c r="O1778" s="32" t="str">
        <f>IFERROR(INDEX(Table!I:O,MATCH(K1778,Table!I:I,0),5),"")</f>
        <v/>
      </c>
      <c r="P1778" s="32" t="str">
        <f>IFERROR(INDEX(Table!I:O,MATCH(K1778,Table!I:I,0),6),"")</f>
        <v/>
      </c>
      <c r="Q1778" s="89" t="str">
        <f t="shared" si="81"/>
        <v/>
      </c>
      <c r="R1778" s="89" t="str">
        <f t="shared" si="82"/>
        <v/>
      </c>
      <c r="S1778" s="82"/>
      <c r="U1778" s="37" t="e">
        <f t="shared" si="83"/>
        <v>#VALUE!</v>
      </c>
    </row>
    <row r="1779" spans="1:21" x14ac:dyDescent="0.25">
      <c r="A1779" s="31" t="str">
        <f>IF(Table!A1779 = "","",Table!A1779)</f>
        <v/>
      </c>
      <c r="B1779" s="31" t="str">
        <f>IF(Table!B1779 = "","",Table!B1779)</f>
        <v/>
      </c>
      <c r="C1779" s="31" t="str">
        <f>IF(Table!C1779 = "","",Table!C1779)</f>
        <v/>
      </c>
      <c r="D1779" s="32" t="str">
        <f>IF(Table!D1779 = "","",Table!D1779)</f>
        <v/>
      </c>
      <c r="E1779" s="32" t="str">
        <f>IF(Table!E1779 = "","",Table!E1779)</f>
        <v/>
      </c>
      <c r="F1779" s="32" t="str">
        <f>IF(Table!F1779 = "","",Table!F1779)</f>
        <v/>
      </c>
      <c r="G1779" s="91"/>
      <c r="K1779" s="31" t="str">
        <f>IFERROR(VLOOKUP(A1779,Table!$I$4:$O$3000,1,TRUE),"")</f>
        <v/>
      </c>
      <c r="L1779" s="31" t="str">
        <f>IFERROR(INDEX(Table!I:O,MATCH(K1779,Table!I:I,0),2),"")</f>
        <v/>
      </c>
      <c r="M1779" s="31" t="str">
        <f>IFERROR(INDEX(Table!I:O,MATCH(K1779,Table!I:I,0),3),"")</f>
        <v/>
      </c>
      <c r="N1779" s="32" t="str">
        <f>IFERROR(INDEX(Table!I:O,MATCH(K1779,Table!I:I,0),4),"")</f>
        <v/>
      </c>
      <c r="O1779" s="32" t="str">
        <f>IFERROR(INDEX(Table!I:O,MATCH(K1779,Table!I:I,0),5),"")</f>
        <v/>
      </c>
      <c r="P1779" s="32" t="str">
        <f>IFERROR(INDEX(Table!I:O,MATCH(K1779,Table!I:I,0),6),"")</f>
        <v/>
      </c>
      <c r="Q1779" s="89" t="str">
        <f t="shared" si="81"/>
        <v/>
      </c>
      <c r="R1779" s="89" t="str">
        <f t="shared" si="82"/>
        <v/>
      </c>
      <c r="S1779" s="82"/>
      <c r="U1779" s="37" t="e">
        <f t="shared" si="83"/>
        <v>#VALUE!</v>
      </c>
    </row>
    <row r="1780" spans="1:21" x14ac:dyDescent="0.25">
      <c r="A1780" s="31" t="str">
        <f>IF(Table!A1780 = "","",Table!A1780)</f>
        <v/>
      </c>
      <c r="B1780" s="31" t="str">
        <f>IF(Table!B1780 = "","",Table!B1780)</f>
        <v/>
      </c>
      <c r="C1780" s="31" t="str">
        <f>IF(Table!C1780 = "","",Table!C1780)</f>
        <v/>
      </c>
      <c r="D1780" s="32" t="str">
        <f>IF(Table!D1780 = "","",Table!D1780)</f>
        <v/>
      </c>
      <c r="E1780" s="32" t="str">
        <f>IF(Table!E1780 = "","",Table!E1780)</f>
        <v/>
      </c>
      <c r="F1780" s="32" t="str">
        <f>IF(Table!F1780 = "","",Table!F1780)</f>
        <v/>
      </c>
      <c r="G1780" s="91"/>
      <c r="K1780" s="31" t="str">
        <f>IFERROR(VLOOKUP(A1780,Table!$I$4:$O$3000,1,TRUE),"")</f>
        <v/>
      </c>
      <c r="L1780" s="31" t="str">
        <f>IFERROR(INDEX(Table!I:O,MATCH(K1780,Table!I:I,0),2),"")</f>
        <v/>
      </c>
      <c r="M1780" s="31" t="str">
        <f>IFERROR(INDEX(Table!I:O,MATCH(K1780,Table!I:I,0),3),"")</f>
        <v/>
      </c>
      <c r="N1780" s="32" t="str">
        <f>IFERROR(INDEX(Table!I:O,MATCH(K1780,Table!I:I,0),4),"")</f>
        <v/>
      </c>
      <c r="O1780" s="32" t="str">
        <f>IFERROR(INDEX(Table!I:O,MATCH(K1780,Table!I:I,0),5),"")</f>
        <v/>
      </c>
      <c r="P1780" s="32" t="str">
        <f>IFERROR(INDEX(Table!I:O,MATCH(K1780,Table!I:I,0),6),"")</f>
        <v/>
      </c>
      <c r="Q1780" s="89" t="str">
        <f t="shared" si="81"/>
        <v/>
      </c>
      <c r="R1780" s="89" t="str">
        <f t="shared" si="82"/>
        <v/>
      </c>
      <c r="S1780" s="82"/>
      <c r="U1780" s="37" t="e">
        <f t="shared" si="83"/>
        <v>#VALUE!</v>
      </c>
    </row>
    <row r="1781" spans="1:21" x14ac:dyDescent="0.25">
      <c r="A1781" s="31" t="str">
        <f>IF(Table!A1781 = "","",Table!A1781)</f>
        <v/>
      </c>
      <c r="B1781" s="31" t="str">
        <f>IF(Table!B1781 = "","",Table!B1781)</f>
        <v/>
      </c>
      <c r="C1781" s="31" t="str">
        <f>IF(Table!C1781 = "","",Table!C1781)</f>
        <v/>
      </c>
      <c r="D1781" s="32" t="str">
        <f>IF(Table!D1781 = "","",Table!D1781)</f>
        <v/>
      </c>
      <c r="E1781" s="32" t="str">
        <f>IF(Table!E1781 = "","",Table!E1781)</f>
        <v/>
      </c>
      <c r="F1781" s="32" t="str">
        <f>IF(Table!F1781 = "","",Table!F1781)</f>
        <v/>
      </c>
      <c r="G1781" s="91"/>
      <c r="K1781" s="31" t="str">
        <f>IFERROR(VLOOKUP(A1781,Table!$I$4:$O$3000,1,TRUE),"")</f>
        <v/>
      </c>
      <c r="L1781" s="31" t="str">
        <f>IFERROR(INDEX(Table!I:O,MATCH(K1781,Table!I:I,0),2),"")</f>
        <v/>
      </c>
      <c r="M1781" s="31" t="str">
        <f>IFERROR(INDEX(Table!I:O,MATCH(K1781,Table!I:I,0),3),"")</f>
        <v/>
      </c>
      <c r="N1781" s="32" t="str">
        <f>IFERROR(INDEX(Table!I:O,MATCH(K1781,Table!I:I,0),4),"")</f>
        <v/>
      </c>
      <c r="O1781" s="32" t="str">
        <f>IFERROR(INDEX(Table!I:O,MATCH(K1781,Table!I:I,0),5),"")</f>
        <v/>
      </c>
      <c r="P1781" s="32" t="str">
        <f>IFERROR(INDEX(Table!I:O,MATCH(K1781,Table!I:I,0),6),"")</f>
        <v/>
      </c>
      <c r="Q1781" s="89" t="str">
        <f t="shared" si="81"/>
        <v/>
      </c>
      <c r="R1781" s="89" t="str">
        <f t="shared" si="82"/>
        <v/>
      </c>
      <c r="S1781" s="82"/>
      <c r="U1781" s="37" t="e">
        <f t="shared" si="83"/>
        <v>#VALUE!</v>
      </c>
    </row>
    <row r="1782" spans="1:21" x14ac:dyDescent="0.25">
      <c r="A1782" s="31" t="str">
        <f>IF(Table!A1782 = "","",Table!A1782)</f>
        <v/>
      </c>
      <c r="B1782" s="31" t="str">
        <f>IF(Table!B1782 = "","",Table!B1782)</f>
        <v/>
      </c>
      <c r="C1782" s="31" t="str">
        <f>IF(Table!C1782 = "","",Table!C1782)</f>
        <v/>
      </c>
      <c r="D1782" s="32" t="str">
        <f>IF(Table!D1782 = "","",Table!D1782)</f>
        <v/>
      </c>
      <c r="E1782" s="32" t="str">
        <f>IF(Table!E1782 = "","",Table!E1782)</f>
        <v/>
      </c>
      <c r="F1782" s="32" t="str">
        <f>IF(Table!F1782 = "","",Table!F1782)</f>
        <v/>
      </c>
      <c r="G1782" s="91"/>
      <c r="K1782" s="31" t="str">
        <f>IFERROR(VLOOKUP(A1782,Table!$I$4:$O$3000,1,TRUE),"")</f>
        <v/>
      </c>
      <c r="L1782" s="31" t="str">
        <f>IFERROR(INDEX(Table!I:O,MATCH(K1782,Table!I:I,0),2),"")</f>
        <v/>
      </c>
      <c r="M1782" s="31" t="str">
        <f>IFERROR(INDEX(Table!I:O,MATCH(K1782,Table!I:I,0),3),"")</f>
        <v/>
      </c>
      <c r="N1782" s="32" t="str">
        <f>IFERROR(INDEX(Table!I:O,MATCH(K1782,Table!I:I,0),4),"")</f>
        <v/>
      </c>
      <c r="O1782" s="32" t="str">
        <f>IFERROR(INDEX(Table!I:O,MATCH(K1782,Table!I:I,0),5),"")</f>
        <v/>
      </c>
      <c r="P1782" s="32" t="str">
        <f>IFERROR(INDEX(Table!I:O,MATCH(K1782,Table!I:I,0),6),"")</f>
        <v/>
      </c>
      <c r="Q1782" s="89" t="str">
        <f t="shared" si="81"/>
        <v/>
      </c>
      <c r="R1782" s="89" t="str">
        <f t="shared" si="82"/>
        <v/>
      </c>
      <c r="S1782" s="82"/>
      <c r="U1782" s="37" t="e">
        <f t="shared" si="83"/>
        <v>#VALUE!</v>
      </c>
    </row>
    <row r="1783" spans="1:21" x14ac:dyDescent="0.25">
      <c r="A1783" s="31" t="str">
        <f>IF(Table!A1783 = "","",Table!A1783)</f>
        <v/>
      </c>
      <c r="B1783" s="31" t="str">
        <f>IF(Table!B1783 = "","",Table!B1783)</f>
        <v/>
      </c>
      <c r="C1783" s="31" t="str">
        <f>IF(Table!C1783 = "","",Table!C1783)</f>
        <v/>
      </c>
      <c r="D1783" s="32" t="str">
        <f>IF(Table!D1783 = "","",Table!D1783)</f>
        <v/>
      </c>
      <c r="E1783" s="32" t="str">
        <f>IF(Table!E1783 = "","",Table!E1783)</f>
        <v/>
      </c>
      <c r="F1783" s="32" t="str">
        <f>IF(Table!F1783 = "","",Table!F1783)</f>
        <v/>
      </c>
      <c r="G1783" s="91"/>
      <c r="K1783" s="31" t="str">
        <f>IFERROR(VLOOKUP(A1783,Table!$I$4:$O$3000,1,TRUE),"")</f>
        <v/>
      </c>
      <c r="L1783" s="31" t="str">
        <f>IFERROR(INDEX(Table!I:O,MATCH(K1783,Table!I:I,0),2),"")</f>
        <v/>
      </c>
      <c r="M1783" s="31" t="str">
        <f>IFERROR(INDEX(Table!I:O,MATCH(K1783,Table!I:I,0),3),"")</f>
        <v/>
      </c>
      <c r="N1783" s="32" t="str">
        <f>IFERROR(INDEX(Table!I:O,MATCH(K1783,Table!I:I,0),4),"")</f>
        <v/>
      </c>
      <c r="O1783" s="32" t="str">
        <f>IFERROR(INDEX(Table!I:O,MATCH(K1783,Table!I:I,0),5),"")</f>
        <v/>
      </c>
      <c r="P1783" s="32" t="str">
        <f>IFERROR(INDEX(Table!I:O,MATCH(K1783,Table!I:I,0),6),"")</f>
        <v/>
      </c>
      <c r="Q1783" s="89" t="str">
        <f t="shared" si="81"/>
        <v/>
      </c>
      <c r="R1783" s="89" t="str">
        <f t="shared" si="82"/>
        <v/>
      </c>
      <c r="S1783" s="82"/>
      <c r="U1783" s="37" t="e">
        <f t="shared" si="83"/>
        <v>#VALUE!</v>
      </c>
    </row>
    <row r="1784" spans="1:21" x14ac:dyDescent="0.25">
      <c r="A1784" s="31" t="str">
        <f>IF(Table!A1784 = "","",Table!A1784)</f>
        <v/>
      </c>
      <c r="B1784" s="31" t="str">
        <f>IF(Table!B1784 = "","",Table!B1784)</f>
        <v/>
      </c>
      <c r="C1784" s="31" t="str">
        <f>IF(Table!C1784 = "","",Table!C1784)</f>
        <v/>
      </c>
      <c r="D1784" s="32" t="str">
        <f>IF(Table!D1784 = "","",Table!D1784)</f>
        <v/>
      </c>
      <c r="E1784" s="32" t="str">
        <f>IF(Table!E1784 = "","",Table!E1784)</f>
        <v/>
      </c>
      <c r="F1784" s="32" t="str">
        <f>IF(Table!F1784 = "","",Table!F1784)</f>
        <v/>
      </c>
      <c r="G1784" s="91"/>
      <c r="K1784" s="31" t="str">
        <f>IFERROR(VLOOKUP(A1784,Table!$I$4:$O$3000,1,TRUE),"")</f>
        <v/>
      </c>
      <c r="L1784" s="31" t="str">
        <f>IFERROR(INDEX(Table!I:O,MATCH(K1784,Table!I:I,0),2),"")</f>
        <v/>
      </c>
      <c r="M1784" s="31" t="str">
        <f>IFERROR(INDEX(Table!I:O,MATCH(K1784,Table!I:I,0),3),"")</f>
        <v/>
      </c>
      <c r="N1784" s="32" t="str">
        <f>IFERROR(INDEX(Table!I:O,MATCH(K1784,Table!I:I,0),4),"")</f>
        <v/>
      </c>
      <c r="O1784" s="32" t="str">
        <f>IFERROR(INDEX(Table!I:O,MATCH(K1784,Table!I:I,0),5),"")</f>
        <v/>
      </c>
      <c r="P1784" s="32" t="str">
        <f>IFERROR(INDEX(Table!I:O,MATCH(K1784,Table!I:I,0),6),"")</f>
        <v/>
      </c>
      <c r="Q1784" s="89" t="str">
        <f t="shared" si="81"/>
        <v/>
      </c>
      <c r="R1784" s="89" t="str">
        <f t="shared" si="82"/>
        <v/>
      </c>
      <c r="S1784" s="82"/>
      <c r="U1784" s="37" t="e">
        <f t="shared" si="83"/>
        <v>#VALUE!</v>
      </c>
    </row>
    <row r="1785" spans="1:21" x14ac:dyDescent="0.25">
      <c r="A1785" s="31" t="str">
        <f>IF(Table!A1785 = "","",Table!A1785)</f>
        <v/>
      </c>
      <c r="B1785" s="31" t="str">
        <f>IF(Table!B1785 = "","",Table!B1785)</f>
        <v/>
      </c>
      <c r="C1785" s="31" t="str">
        <f>IF(Table!C1785 = "","",Table!C1785)</f>
        <v/>
      </c>
      <c r="D1785" s="32" t="str">
        <f>IF(Table!D1785 = "","",Table!D1785)</f>
        <v/>
      </c>
      <c r="E1785" s="32" t="str">
        <f>IF(Table!E1785 = "","",Table!E1785)</f>
        <v/>
      </c>
      <c r="F1785" s="32" t="str">
        <f>IF(Table!F1785 = "","",Table!F1785)</f>
        <v/>
      </c>
      <c r="G1785" s="91"/>
      <c r="K1785" s="31" t="str">
        <f>IFERROR(VLOOKUP(A1785,Table!$I$4:$O$3000,1,TRUE),"")</f>
        <v/>
      </c>
      <c r="L1785" s="31" t="str">
        <f>IFERROR(INDEX(Table!I:O,MATCH(K1785,Table!I:I,0),2),"")</f>
        <v/>
      </c>
      <c r="M1785" s="31" t="str">
        <f>IFERROR(INDEX(Table!I:O,MATCH(K1785,Table!I:I,0),3),"")</f>
        <v/>
      </c>
      <c r="N1785" s="32" t="str">
        <f>IFERROR(INDEX(Table!I:O,MATCH(K1785,Table!I:I,0),4),"")</f>
        <v/>
      </c>
      <c r="O1785" s="32" t="str">
        <f>IFERROR(INDEX(Table!I:O,MATCH(K1785,Table!I:I,0),5),"")</f>
        <v/>
      </c>
      <c r="P1785" s="32" t="str">
        <f>IFERROR(INDEX(Table!I:O,MATCH(K1785,Table!I:I,0),6),"")</f>
        <v/>
      </c>
      <c r="Q1785" s="89" t="str">
        <f t="shared" si="81"/>
        <v/>
      </c>
      <c r="R1785" s="89" t="str">
        <f t="shared" si="82"/>
        <v/>
      </c>
      <c r="S1785" s="82"/>
      <c r="U1785" s="37" t="e">
        <f t="shared" si="83"/>
        <v>#VALUE!</v>
      </c>
    </row>
    <row r="1786" spans="1:21" x14ac:dyDescent="0.25">
      <c r="A1786" s="31" t="str">
        <f>IF(Table!A1786 = "","",Table!A1786)</f>
        <v/>
      </c>
      <c r="B1786" s="31" t="str">
        <f>IF(Table!B1786 = "","",Table!B1786)</f>
        <v/>
      </c>
      <c r="C1786" s="31" t="str">
        <f>IF(Table!C1786 = "","",Table!C1786)</f>
        <v/>
      </c>
      <c r="D1786" s="32" t="str">
        <f>IF(Table!D1786 = "","",Table!D1786)</f>
        <v/>
      </c>
      <c r="E1786" s="32" t="str">
        <f>IF(Table!E1786 = "","",Table!E1786)</f>
        <v/>
      </c>
      <c r="F1786" s="32" t="str">
        <f>IF(Table!F1786 = "","",Table!F1786)</f>
        <v/>
      </c>
      <c r="G1786" s="91"/>
      <c r="K1786" s="31" t="str">
        <f>IFERROR(VLOOKUP(A1786,Table!$I$4:$O$3000,1,TRUE),"")</f>
        <v/>
      </c>
      <c r="L1786" s="31" t="str">
        <f>IFERROR(INDEX(Table!I:O,MATCH(K1786,Table!I:I,0),2),"")</f>
        <v/>
      </c>
      <c r="M1786" s="31" t="str">
        <f>IFERROR(INDEX(Table!I:O,MATCH(K1786,Table!I:I,0),3),"")</f>
        <v/>
      </c>
      <c r="N1786" s="32" t="str">
        <f>IFERROR(INDEX(Table!I:O,MATCH(K1786,Table!I:I,0),4),"")</f>
        <v/>
      </c>
      <c r="O1786" s="32" t="str">
        <f>IFERROR(INDEX(Table!I:O,MATCH(K1786,Table!I:I,0),5),"")</f>
        <v/>
      </c>
      <c r="P1786" s="32" t="str">
        <f>IFERROR(INDEX(Table!I:O,MATCH(K1786,Table!I:I,0),6),"")</f>
        <v/>
      </c>
      <c r="Q1786" s="89" t="str">
        <f t="shared" si="81"/>
        <v/>
      </c>
      <c r="R1786" s="89" t="str">
        <f t="shared" si="82"/>
        <v/>
      </c>
      <c r="S1786" s="82"/>
      <c r="U1786" s="37" t="e">
        <f t="shared" si="83"/>
        <v>#VALUE!</v>
      </c>
    </row>
    <row r="1787" spans="1:21" x14ac:dyDescent="0.25">
      <c r="A1787" s="31" t="str">
        <f>IF(Table!A1787 = "","",Table!A1787)</f>
        <v/>
      </c>
      <c r="B1787" s="31" t="str">
        <f>IF(Table!B1787 = "","",Table!B1787)</f>
        <v/>
      </c>
      <c r="C1787" s="31" t="str">
        <f>IF(Table!C1787 = "","",Table!C1787)</f>
        <v/>
      </c>
      <c r="D1787" s="32" t="str">
        <f>IF(Table!D1787 = "","",Table!D1787)</f>
        <v/>
      </c>
      <c r="E1787" s="32" t="str">
        <f>IF(Table!E1787 = "","",Table!E1787)</f>
        <v/>
      </c>
      <c r="F1787" s="32" t="str">
        <f>IF(Table!F1787 = "","",Table!F1787)</f>
        <v/>
      </c>
      <c r="G1787" s="91"/>
      <c r="K1787" s="31" t="str">
        <f>IFERROR(VLOOKUP(A1787,Table!$I$4:$O$3000,1,TRUE),"")</f>
        <v/>
      </c>
      <c r="L1787" s="31" t="str">
        <f>IFERROR(INDEX(Table!I:O,MATCH(K1787,Table!I:I,0),2),"")</f>
        <v/>
      </c>
      <c r="M1787" s="31" t="str">
        <f>IFERROR(INDEX(Table!I:O,MATCH(K1787,Table!I:I,0),3),"")</f>
        <v/>
      </c>
      <c r="N1787" s="32" t="str">
        <f>IFERROR(INDEX(Table!I:O,MATCH(K1787,Table!I:I,0),4),"")</f>
        <v/>
      </c>
      <c r="O1787" s="32" t="str">
        <f>IFERROR(INDEX(Table!I:O,MATCH(K1787,Table!I:I,0),5),"")</f>
        <v/>
      </c>
      <c r="P1787" s="32" t="str">
        <f>IFERROR(INDEX(Table!I:O,MATCH(K1787,Table!I:I,0),6),"")</f>
        <v/>
      </c>
      <c r="Q1787" s="89" t="str">
        <f t="shared" si="81"/>
        <v/>
      </c>
      <c r="R1787" s="89" t="str">
        <f t="shared" si="82"/>
        <v/>
      </c>
      <c r="S1787" s="82"/>
      <c r="U1787" s="37" t="e">
        <f t="shared" si="83"/>
        <v>#VALUE!</v>
      </c>
    </row>
    <row r="1788" spans="1:21" x14ac:dyDescent="0.25">
      <c r="A1788" s="31" t="str">
        <f>IF(Table!A1788 = "","",Table!A1788)</f>
        <v/>
      </c>
      <c r="B1788" s="31" t="str">
        <f>IF(Table!B1788 = "","",Table!B1788)</f>
        <v/>
      </c>
      <c r="C1788" s="31" t="str">
        <f>IF(Table!C1788 = "","",Table!C1788)</f>
        <v/>
      </c>
      <c r="D1788" s="32" t="str">
        <f>IF(Table!D1788 = "","",Table!D1788)</f>
        <v/>
      </c>
      <c r="E1788" s="32" t="str">
        <f>IF(Table!E1788 = "","",Table!E1788)</f>
        <v/>
      </c>
      <c r="F1788" s="32" t="str">
        <f>IF(Table!F1788 = "","",Table!F1788)</f>
        <v/>
      </c>
      <c r="G1788" s="91"/>
      <c r="K1788" s="31" t="str">
        <f>IFERROR(VLOOKUP(A1788,Table!$I$4:$O$3000,1,TRUE),"")</f>
        <v/>
      </c>
      <c r="L1788" s="31" t="str">
        <f>IFERROR(INDEX(Table!I:O,MATCH(K1788,Table!I:I,0),2),"")</f>
        <v/>
      </c>
      <c r="M1788" s="31" t="str">
        <f>IFERROR(INDEX(Table!I:O,MATCH(K1788,Table!I:I,0),3),"")</f>
        <v/>
      </c>
      <c r="N1788" s="32" t="str">
        <f>IFERROR(INDEX(Table!I:O,MATCH(K1788,Table!I:I,0),4),"")</f>
        <v/>
      </c>
      <c r="O1788" s="32" t="str">
        <f>IFERROR(INDEX(Table!I:O,MATCH(K1788,Table!I:I,0),5),"")</f>
        <v/>
      </c>
      <c r="P1788" s="32" t="str">
        <f>IFERROR(INDEX(Table!I:O,MATCH(K1788,Table!I:I,0),6),"")</f>
        <v/>
      </c>
      <c r="Q1788" s="89" t="str">
        <f t="shared" si="81"/>
        <v/>
      </c>
      <c r="R1788" s="89" t="str">
        <f t="shared" si="82"/>
        <v/>
      </c>
      <c r="S1788" s="82"/>
      <c r="U1788" s="37" t="e">
        <f t="shared" si="83"/>
        <v>#VALUE!</v>
      </c>
    </row>
    <row r="1789" spans="1:21" x14ac:dyDescent="0.25">
      <c r="A1789" s="31" t="str">
        <f>IF(Table!A1789 = "","",Table!A1789)</f>
        <v/>
      </c>
      <c r="B1789" s="31" t="str">
        <f>IF(Table!B1789 = "","",Table!B1789)</f>
        <v/>
      </c>
      <c r="C1789" s="31" t="str">
        <f>IF(Table!C1789 = "","",Table!C1789)</f>
        <v/>
      </c>
      <c r="D1789" s="32" t="str">
        <f>IF(Table!D1789 = "","",Table!D1789)</f>
        <v/>
      </c>
      <c r="E1789" s="32" t="str">
        <f>IF(Table!E1789 = "","",Table!E1789)</f>
        <v/>
      </c>
      <c r="F1789" s="32" t="str">
        <f>IF(Table!F1789 = "","",Table!F1789)</f>
        <v/>
      </c>
      <c r="G1789" s="91"/>
      <c r="K1789" s="31" t="str">
        <f>IFERROR(VLOOKUP(A1789,Table!$I$4:$O$3000,1,TRUE),"")</f>
        <v/>
      </c>
      <c r="L1789" s="31" t="str">
        <f>IFERROR(INDEX(Table!I:O,MATCH(K1789,Table!I:I,0),2),"")</f>
        <v/>
      </c>
      <c r="M1789" s="31" t="str">
        <f>IFERROR(INDEX(Table!I:O,MATCH(K1789,Table!I:I,0),3),"")</f>
        <v/>
      </c>
      <c r="N1789" s="32" t="str">
        <f>IFERROR(INDEX(Table!I:O,MATCH(K1789,Table!I:I,0),4),"")</f>
        <v/>
      </c>
      <c r="O1789" s="32" t="str">
        <f>IFERROR(INDEX(Table!I:O,MATCH(K1789,Table!I:I,0),5),"")</f>
        <v/>
      </c>
      <c r="P1789" s="32" t="str">
        <f>IFERROR(INDEX(Table!I:O,MATCH(K1789,Table!I:I,0),6),"")</f>
        <v/>
      </c>
      <c r="Q1789" s="89" t="str">
        <f t="shared" si="81"/>
        <v/>
      </c>
      <c r="R1789" s="89" t="str">
        <f t="shared" si="82"/>
        <v/>
      </c>
      <c r="S1789" s="82"/>
      <c r="U1789" s="37" t="e">
        <f t="shared" si="83"/>
        <v>#VALUE!</v>
      </c>
    </row>
    <row r="1790" spans="1:21" x14ac:dyDescent="0.25">
      <c r="A1790" s="31" t="str">
        <f>IF(Table!A1790 = "","",Table!A1790)</f>
        <v/>
      </c>
      <c r="B1790" s="31" t="str">
        <f>IF(Table!B1790 = "","",Table!B1790)</f>
        <v/>
      </c>
      <c r="C1790" s="31" t="str">
        <f>IF(Table!C1790 = "","",Table!C1790)</f>
        <v/>
      </c>
      <c r="D1790" s="32" t="str">
        <f>IF(Table!D1790 = "","",Table!D1790)</f>
        <v/>
      </c>
      <c r="E1790" s="32" t="str">
        <f>IF(Table!E1790 = "","",Table!E1790)</f>
        <v/>
      </c>
      <c r="F1790" s="32" t="str">
        <f>IF(Table!F1790 = "","",Table!F1790)</f>
        <v/>
      </c>
      <c r="G1790" s="91"/>
      <c r="K1790" s="31" t="str">
        <f>IFERROR(VLOOKUP(A1790,Table!$I$4:$O$3000,1,TRUE),"")</f>
        <v/>
      </c>
      <c r="L1790" s="31" t="str">
        <f>IFERROR(INDEX(Table!I:O,MATCH(K1790,Table!I:I,0),2),"")</f>
        <v/>
      </c>
      <c r="M1790" s="31" t="str">
        <f>IFERROR(INDEX(Table!I:O,MATCH(K1790,Table!I:I,0),3),"")</f>
        <v/>
      </c>
      <c r="N1790" s="32" t="str">
        <f>IFERROR(INDEX(Table!I:O,MATCH(K1790,Table!I:I,0),4),"")</f>
        <v/>
      </c>
      <c r="O1790" s="32" t="str">
        <f>IFERROR(INDEX(Table!I:O,MATCH(K1790,Table!I:I,0),5),"")</f>
        <v/>
      </c>
      <c r="P1790" s="32" t="str">
        <f>IFERROR(INDEX(Table!I:O,MATCH(K1790,Table!I:I,0),6),"")</f>
        <v/>
      </c>
      <c r="Q1790" s="89" t="str">
        <f t="shared" si="81"/>
        <v/>
      </c>
      <c r="R1790" s="89" t="str">
        <f t="shared" si="82"/>
        <v/>
      </c>
      <c r="S1790" s="82"/>
      <c r="U1790" s="37" t="e">
        <f t="shared" si="83"/>
        <v>#VALUE!</v>
      </c>
    </row>
    <row r="1791" spans="1:21" x14ac:dyDescent="0.25">
      <c r="A1791" s="31" t="str">
        <f>IF(Table!A1791 = "","",Table!A1791)</f>
        <v/>
      </c>
      <c r="B1791" s="31" t="str">
        <f>IF(Table!B1791 = "","",Table!B1791)</f>
        <v/>
      </c>
      <c r="C1791" s="31" t="str">
        <f>IF(Table!C1791 = "","",Table!C1791)</f>
        <v/>
      </c>
      <c r="D1791" s="32" t="str">
        <f>IF(Table!D1791 = "","",Table!D1791)</f>
        <v/>
      </c>
      <c r="E1791" s="32" t="str">
        <f>IF(Table!E1791 = "","",Table!E1791)</f>
        <v/>
      </c>
      <c r="F1791" s="32" t="str">
        <f>IF(Table!F1791 = "","",Table!F1791)</f>
        <v/>
      </c>
      <c r="G1791" s="91"/>
      <c r="K1791" s="31" t="str">
        <f>IFERROR(VLOOKUP(A1791,Table!$I$4:$O$3000,1,TRUE),"")</f>
        <v/>
      </c>
      <c r="L1791" s="31" t="str">
        <f>IFERROR(INDEX(Table!I:O,MATCH(K1791,Table!I:I,0),2),"")</f>
        <v/>
      </c>
      <c r="M1791" s="31" t="str">
        <f>IFERROR(INDEX(Table!I:O,MATCH(K1791,Table!I:I,0),3),"")</f>
        <v/>
      </c>
      <c r="N1791" s="32" t="str">
        <f>IFERROR(INDEX(Table!I:O,MATCH(K1791,Table!I:I,0),4),"")</f>
        <v/>
      </c>
      <c r="O1791" s="32" t="str">
        <f>IFERROR(INDEX(Table!I:O,MATCH(K1791,Table!I:I,0),5),"")</f>
        <v/>
      </c>
      <c r="P1791" s="32" t="str">
        <f>IFERROR(INDEX(Table!I:O,MATCH(K1791,Table!I:I,0),6),"")</f>
        <v/>
      </c>
      <c r="Q1791" s="89" t="str">
        <f t="shared" si="81"/>
        <v/>
      </c>
      <c r="R1791" s="89" t="str">
        <f t="shared" si="82"/>
        <v/>
      </c>
      <c r="S1791" s="82"/>
      <c r="U1791" s="37" t="e">
        <f t="shared" si="83"/>
        <v>#VALUE!</v>
      </c>
    </row>
    <row r="1792" spans="1:21" x14ac:dyDescent="0.25">
      <c r="A1792" s="31" t="str">
        <f>IF(Table!A1792 = "","",Table!A1792)</f>
        <v/>
      </c>
      <c r="B1792" s="31" t="str">
        <f>IF(Table!B1792 = "","",Table!B1792)</f>
        <v/>
      </c>
      <c r="C1792" s="31" t="str">
        <f>IF(Table!C1792 = "","",Table!C1792)</f>
        <v/>
      </c>
      <c r="D1792" s="32" t="str">
        <f>IF(Table!D1792 = "","",Table!D1792)</f>
        <v/>
      </c>
      <c r="E1792" s="32" t="str">
        <f>IF(Table!E1792 = "","",Table!E1792)</f>
        <v/>
      </c>
      <c r="F1792" s="32" t="str">
        <f>IF(Table!F1792 = "","",Table!F1792)</f>
        <v/>
      </c>
      <c r="G1792" s="91"/>
      <c r="K1792" s="31" t="str">
        <f>IFERROR(VLOOKUP(A1792,Table!$I$4:$O$3000,1,TRUE),"")</f>
        <v/>
      </c>
      <c r="L1792" s="31" t="str">
        <f>IFERROR(INDEX(Table!I:O,MATCH(K1792,Table!I:I,0),2),"")</f>
        <v/>
      </c>
      <c r="M1792" s="31" t="str">
        <f>IFERROR(INDEX(Table!I:O,MATCH(K1792,Table!I:I,0),3),"")</f>
        <v/>
      </c>
      <c r="N1792" s="32" t="str">
        <f>IFERROR(INDEX(Table!I:O,MATCH(K1792,Table!I:I,0),4),"")</f>
        <v/>
      </c>
      <c r="O1792" s="32" t="str">
        <f>IFERROR(INDEX(Table!I:O,MATCH(K1792,Table!I:I,0),5),"")</f>
        <v/>
      </c>
      <c r="P1792" s="32" t="str">
        <f>IFERROR(INDEX(Table!I:O,MATCH(K1792,Table!I:I,0),6),"")</f>
        <v/>
      </c>
      <c r="Q1792" s="89" t="str">
        <f t="shared" si="81"/>
        <v/>
      </c>
      <c r="R1792" s="89" t="str">
        <f t="shared" si="82"/>
        <v/>
      </c>
      <c r="S1792" s="82"/>
      <c r="U1792" s="37" t="e">
        <f t="shared" si="83"/>
        <v>#VALUE!</v>
      </c>
    </row>
    <row r="1793" spans="1:21" x14ac:dyDescent="0.25">
      <c r="A1793" s="31" t="str">
        <f>IF(Table!A1793 = "","",Table!A1793)</f>
        <v/>
      </c>
      <c r="B1793" s="31" t="str">
        <f>IF(Table!B1793 = "","",Table!B1793)</f>
        <v/>
      </c>
      <c r="C1793" s="31" t="str">
        <f>IF(Table!C1793 = "","",Table!C1793)</f>
        <v/>
      </c>
      <c r="D1793" s="32" t="str">
        <f>IF(Table!D1793 = "","",Table!D1793)</f>
        <v/>
      </c>
      <c r="E1793" s="32" t="str">
        <f>IF(Table!E1793 = "","",Table!E1793)</f>
        <v/>
      </c>
      <c r="F1793" s="32" t="str">
        <f>IF(Table!F1793 = "","",Table!F1793)</f>
        <v/>
      </c>
      <c r="G1793" s="91"/>
      <c r="K1793" s="31" t="str">
        <f>IFERROR(VLOOKUP(A1793,Table!$I$4:$O$3000,1,TRUE),"")</f>
        <v/>
      </c>
      <c r="L1793" s="31" t="str">
        <f>IFERROR(INDEX(Table!I:O,MATCH(K1793,Table!I:I,0),2),"")</f>
        <v/>
      </c>
      <c r="M1793" s="31" t="str">
        <f>IFERROR(INDEX(Table!I:O,MATCH(K1793,Table!I:I,0),3),"")</f>
        <v/>
      </c>
      <c r="N1793" s="32" t="str">
        <f>IFERROR(INDEX(Table!I:O,MATCH(K1793,Table!I:I,0),4),"")</f>
        <v/>
      </c>
      <c r="O1793" s="32" t="str">
        <f>IFERROR(INDEX(Table!I:O,MATCH(K1793,Table!I:I,0),5),"")</f>
        <v/>
      </c>
      <c r="P1793" s="32" t="str">
        <f>IFERROR(INDEX(Table!I:O,MATCH(K1793,Table!I:I,0),6),"")</f>
        <v/>
      </c>
      <c r="Q1793" s="89" t="str">
        <f t="shared" si="81"/>
        <v/>
      </c>
      <c r="R1793" s="89" t="str">
        <f t="shared" si="82"/>
        <v/>
      </c>
      <c r="S1793" s="82"/>
      <c r="U1793" s="37" t="e">
        <f t="shared" si="83"/>
        <v>#VALUE!</v>
      </c>
    </row>
    <row r="1794" spans="1:21" x14ac:dyDescent="0.25">
      <c r="A1794" s="31" t="str">
        <f>IF(Table!A1794 = "","",Table!A1794)</f>
        <v/>
      </c>
      <c r="B1794" s="31" t="str">
        <f>IF(Table!B1794 = "","",Table!B1794)</f>
        <v/>
      </c>
      <c r="C1794" s="31" t="str">
        <f>IF(Table!C1794 = "","",Table!C1794)</f>
        <v/>
      </c>
      <c r="D1794" s="32" t="str">
        <f>IF(Table!D1794 = "","",Table!D1794)</f>
        <v/>
      </c>
      <c r="E1794" s="32" t="str">
        <f>IF(Table!E1794 = "","",Table!E1794)</f>
        <v/>
      </c>
      <c r="F1794" s="32" t="str">
        <f>IF(Table!F1794 = "","",Table!F1794)</f>
        <v/>
      </c>
      <c r="G1794" s="91"/>
      <c r="K1794" s="31" t="str">
        <f>IFERROR(VLOOKUP(A1794,Table!$I$4:$O$3000,1,TRUE),"")</f>
        <v/>
      </c>
      <c r="L1794" s="31" t="str">
        <f>IFERROR(INDEX(Table!I:O,MATCH(K1794,Table!I:I,0),2),"")</f>
        <v/>
      </c>
      <c r="M1794" s="31" t="str">
        <f>IFERROR(INDEX(Table!I:O,MATCH(K1794,Table!I:I,0),3),"")</f>
        <v/>
      </c>
      <c r="N1794" s="32" t="str">
        <f>IFERROR(INDEX(Table!I:O,MATCH(K1794,Table!I:I,0),4),"")</f>
        <v/>
      </c>
      <c r="O1794" s="32" t="str">
        <f>IFERROR(INDEX(Table!I:O,MATCH(K1794,Table!I:I,0),5),"")</f>
        <v/>
      </c>
      <c r="P1794" s="32" t="str">
        <f>IFERROR(INDEX(Table!I:O,MATCH(K1794,Table!I:I,0),6),"")</f>
        <v/>
      </c>
      <c r="Q1794" s="89" t="str">
        <f t="shared" si="81"/>
        <v/>
      </c>
      <c r="R1794" s="89" t="str">
        <f t="shared" si="82"/>
        <v/>
      </c>
      <c r="S1794" s="82"/>
      <c r="U1794" s="37" t="e">
        <f t="shared" si="83"/>
        <v>#VALUE!</v>
      </c>
    </row>
    <row r="1795" spans="1:21" x14ac:dyDescent="0.25">
      <c r="A1795" s="31" t="str">
        <f>IF(Table!A1795 = "","",Table!A1795)</f>
        <v/>
      </c>
      <c r="B1795" s="31" t="str">
        <f>IF(Table!B1795 = "","",Table!B1795)</f>
        <v/>
      </c>
      <c r="C1795" s="31" t="str">
        <f>IF(Table!C1795 = "","",Table!C1795)</f>
        <v/>
      </c>
      <c r="D1795" s="32" t="str">
        <f>IF(Table!D1795 = "","",Table!D1795)</f>
        <v/>
      </c>
      <c r="E1795" s="32" t="str">
        <f>IF(Table!E1795 = "","",Table!E1795)</f>
        <v/>
      </c>
      <c r="F1795" s="32" t="str">
        <f>IF(Table!F1795 = "","",Table!F1795)</f>
        <v/>
      </c>
      <c r="G1795" s="91"/>
      <c r="K1795" s="31" t="str">
        <f>IFERROR(VLOOKUP(A1795,Table!$I$4:$O$3000,1,TRUE),"")</f>
        <v/>
      </c>
      <c r="L1795" s="31" t="str">
        <f>IFERROR(INDEX(Table!I:O,MATCH(K1795,Table!I:I,0),2),"")</f>
        <v/>
      </c>
      <c r="M1795" s="31" t="str">
        <f>IFERROR(INDEX(Table!I:O,MATCH(K1795,Table!I:I,0),3),"")</f>
        <v/>
      </c>
      <c r="N1795" s="32" t="str">
        <f>IFERROR(INDEX(Table!I:O,MATCH(K1795,Table!I:I,0),4),"")</f>
        <v/>
      </c>
      <c r="O1795" s="32" t="str">
        <f>IFERROR(INDEX(Table!I:O,MATCH(K1795,Table!I:I,0),5),"")</f>
        <v/>
      </c>
      <c r="P1795" s="32" t="str">
        <f>IFERROR(INDEX(Table!I:O,MATCH(K1795,Table!I:I,0),6),"")</f>
        <v/>
      </c>
      <c r="Q1795" s="89" t="str">
        <f t="shared" si="81"/>
        <v/>
      </c>
      <c r="R1795" s="89" t="str">
        <f t="shared" si="82"/>
        <v/>
      </c>
      <c r="S1795" s="82"/>
      <c r="U1795" s="37" t="e">
        <f t="shared" si="83"/>
        <v>#VALUE!</v>
      </c>
    </row>
    <row r="1796" spans="1:21" x14ac:dyDescent="0.25">
      <c r="A1796" s="31" t="str">
        <f>IF(Table!A1796 = "","",Table!A1796)</f>
        <v/>
      </c>
      <c r="B1796" s="31" t="str">
        <f>IF(Table!B1796 = "","",Table!B1796)</f>
        <v/>
      </c>
      <c r="C1796" s="31" t="str">
        <f>IF(Table!C1796 = "","",Table!C1796)</f>
        <v/>
      </c>
      <c r="D1796" s="32" t="str">
        <f>IF(Table!D1796 = "","",Table!D1796)</f>
        <v/>
      </c>
      <c r="E1796" s="32" t="str">
        <f>IF(Table!E1796 = "","",Table!E1796)</f>
        <v/>
      </c>
      <c r="F1796" s="32" t="str">
        <f>IF(Table!F1796 = "","",Table!F1796)</f>
        <v/>
      </c>
      <c r="G1796" s="91"/>
      <c r="K1796" s="31" t="str">
        <f>IFERROR(VLOOKUP(A1796,Table!$I$4:$O$3000,1,TRUE),"")</f>
        <v/>
      </c>
      <c r="L1796" s="31" t="str">
        <f>IFERROR(INDEX(Table!I:O,MATCH(K1796,Table!I:I,0),2),"")</f>
        <v/>
      </c>
      <c r="M1796" s="31" t="str">
        <f>IFERROR(INDEX(Table!I:O,MATCH(K1796,Table!I:I,0),3),"")</f>
        <v/>
      </c>
      <c r="N1796" s="32" t="str">
        <f>IFERROR(INDEX(Table!I:O,MATCH(K1796,Table!I:I,0),4),"")</f>
        <v/>
      </c>
      <c r="O1796" s="32" t="str">
        <f>IFERROR(INDEX(Table!I:O,MATCH(K1796,Table!I:I,0),5),"")</f>
        <v/>
      </c>
      <c r="P1796" s="32" t="str">
        <f>IFERROR(INDEX(Table!I:O,MATCH(K1796,Table!I:I,0),6),"")</f>
        <v/>
      </c>
      <c r="Q1796" s="89" t="str">
        <f t="shared" si="81"/>
        <v/>
      </c>
      <c r="R1796" s="89" t="str">
        <f t="shared" si="82"/>
        <v/>
      </c>
      <c r="S1796" s="82"/>
      <c r="U1796" s="37" t="e">
        <f t="shared" si="83"/>
        <v>#VALUE!</v>
      </c>
    </row>
    <row r="1797" spans="1:21" x14ac:dyDescent="0.25">
      <c r="A1797" s="31" t="str">
        <f>IF(Table!A1797 = "","",Table!A1797)</f>
        <v/>
      </c>
      <c r="B1797" s="31" t="str">
        <f>IF(Table!B1797 = "","",Table!B1797)</f>
        <v/>
      </c>
      <c r="C1797" s="31" t="str">
        <f>IF(Table!C1797 = "","",Table!C1797)</f>
        <v/>
      </c>
      <c r="D1797" s="32" t="str">
        <f>IF(Table!D1797 = "","",Table!D1797)</f>
        <v/>
      </c>
      <c r="E1797" s="32" t="str">
        <f>IF(Table!E1797 = "","",Table!E1797)</f>
        <v/>
      </c>
      <c r="F1797" s="32" t="str">
        <f>IF(Table!F1797 = "","",Table!F1797)</f>
        <v/>
      </c>
      <c r="G1797" s="91"/>
      <c r="K1797" s="31" t="str">
        <f>IFERROR(VLOOKUP(A1797,Table!$I$4:$O$3000,1,TRUE),"")</f>
        <v/>
      </c>
      <c r="L1797" s="31" t="str">
        <f>IFERROR(INDEX(Table!I:O,MATCH(K1797,Table!I:I,0),2),"")</f>
        <v/>
      </c>
      <c r="M1797" s="31" t="str">
        <f>IFERROR(INDEX(Table!I:O,MATCH(K1797,Table!I:I,0),3),"")</f>
        <v/>
      </c>
      <c r="N1797" s="32" t="str">
        <f>IFERROR(INDEX(Table!I:O,MATCH(K1797,Table!I:I,0),4),"")</f>
        <v/>
      </c>
      <c r="O1797" s="32" t="str">
        <f>IFERROR(INDEX(Table!I:O,MATCH(K1797,Table!I:I,0),5),"")</f>
        <v/>
      </c>
      <c r="P1797" s="32" t="str">
        <f>IFERROR(INDEX(Table!I:O,MATCH(K1797,Table!I:I,0),6),"")</f>
        <v/>
      </c>
      <c r="Q1797" s="89" t="str">
        <f t="shared" si="81"/>
        <v/>
      </c>
      <c r="R1797" s="89" t="str">
        <f t="shared" si="82"/>
        <v/>
      </c>
      <c r="S1797" s="82"/>
      <c r="U1797" s="37" t="e">
        <f t="shared" si="83"/>
        <v>#VALUE!</v>
      </c>
    </row>
    <row r="1798" spans="1:21" x14ac:dyDescent="0.25">
      <c r="A1798" s="31" t="str">
        <f>IF(Table!A1798 = "","",Table!A1798)</f>
        <v/>
      </c>
      <c r="B1798" s="31" t="str">
        <f>IF(Table!B1798 = "","",Table!B1798)</f>
        <v/>
      </c>
      <c r="C1798" s="31" t="str">
        <f>IF(Table!C1798 = "","",Table!C1798)</f>
        <v/>
      </c>
      <c r="D1798" s="32" t="str">
        <f>IF(Table!D1798 = "","",Table!D1798)</f>
        <v/>
      </c>
      <c r="E1798" s="32" t="str">
        <f>IF(Table!E1798 = "","",Table!E1798)</f>
        <v/>
      </c>
      <c r="F1798" s="32" t="str">
        <f>IF(Table!F1798 = "","",Table!F1798)</f>
        <v/>
      </c>
      <c r="G1798" s="91"/>
      <c r="K1798" s="31" t="str">
        <f>IFERROR(VLOOKUP(A1798,Table!$I$4:$O$3000,1,TRUE),"")</f>
        <v/>
      </c>
      <c r="L1798" s="31" t="str">
        <f>IFERROR(INDEX(Table!I:O,MATCH(K1798,Table!I:I,0),2),"")</f>
        <v/>
      </c>
      <c r="M1798" s="31" t="str">
        <f>IFERROR(INDEX(Table!I:O,MATCH(K1798,Table!I:I,0),3),"")</f>
        <v/>
      </c>
      <c r="N1798" s="32" t="str">
        <f>IFERROR(INDEX(Table!I:O,MATCH(K1798,Table!I:I,0),4),"")</f>
        <v/>
      </c>
      <c r="O1798" s="32" t="str">
        <f>IFERROR(INDEX(Table!I:O,MATCH(K1798,Table!I:I,0),5),"")</f>
        <v/>
      </c>
      <c r="P1798" s="32" t="str">
        <f>IFERROR(INDEX(Table!I:O,MATCH(K1798,Table!I:I,0),6),"")</f>
        <v/>
      </c>
      <c r="Q1798" s="89" t="str">
        <f t="shared" ref="Q1798:Q1861" si="84">IFERROR(L1798-B1798,"")</f>
        <v/>
      </c>
      <c r="R1798" s="89" t="str">
        <f t="shared" ref="R1798:R1861" si="85">IFERROR(M1798-C1798,"")</f>
        <v/>
      </c>
      <c r="S1798" s="82"/>
      <c r="U1798" s="37" t="e">
        <f t="shared" ref="U1798:U1861" si="86">K1798-K1797</f>
        <v>#VALUE!</v>
      </c>
    </row>
    <row r="1799" spans="1:21" x14ac:dyDescent="0.25">
      <c r="A1799" s="31" t="str">
        <f>IF(Table!A1799 = "","",Table!A1799)</f>
        <v/>
      </c>
      <c r="B1799" s="31" t="str">
        <f>IF(Table!B1799 = "","",Table!B1799)</f>
        <v/>
      </c>
      <c r="C1799" s="31" t="str">
        <f>IF(Table!C1799 = "","",Table!C1799)</f>
        <v/>
      </c>
      <c r="D1799" s="32" t="str">
        <f>IF(Table!D1799 = "","",Table!D1799)</f>
        <v/>
      </c>
      <c r="E1799" s="32" t="str">
        <f>IF(Table!E1799 = "","",Table!E1799)</f>
        <v/>
      </c>
      <c r="F1799" s="32" t="str">
        <f>IF(Table!F1799 = "","",Table!F1799)</f>
        <v/>
      </c>
      <c r="G1799" s="91"/>
      <c r="K1799" s="31" t="str">
        <f>IFERROR(VLOOKUP(A1799,Table!$I$4:$O$3000,1,TRUE),"")</f>
        <v/>
      </c>
      <c r="L1799" s="31" t="str">
        <f>IFERROR(INDEX(Table!I:O,MATCH(K1799,Table!I:I,0),2),"")</f>
        <v/>
      </c>
      <c r="M1799" s="31" t="str">
        <f>IFERROR(INDEX(Table!I:O,MATCH(K1799,Table!I:I,0),3),"")</f>
        <v/>
      </c>
      <c r="N1799" s="32" t="str">
        <f>IFERROR(INDEX(Table!I:O,MATCH(K1799,Table!I:I,0),4),"")</f>
        <v/>
      </c>
      <c r="O1799" s="32" t="str">
        <f>IFERROR(INDEX(Table!I:O,MATCH(K1799,Table!I:I,0),5),"")</f>
        <v/>
      </c>
      <c r="P1799" s="32" t="str">
        <f>IFERROR(INDEX(Table!I:O,MATCH(K1799,Table!I:I,0),6),"")</f>
        <v/>
      </c>
      <c r="Q1799" s="89" t="str">
        <f t="shared" si="84"/>
        <v/>
      </c>
      <c r="R1799" s="89" t="str">
        <f t="shared" si="85"/>
        <v/>
      </c>
      <c r="S1799" s="82"/>
      <c r="U1799" s="37" t="e">
        <f t="shared" si="86"/>
        <v>#VALUE!</v>
      </c>
    </row>
    <row r="1800" spans="1:21" x14ac:dyDescent="0.25">
      <c r="A1800" s="31" t="str">
        <f>IF(Table!A1800 = "","",Table!A1800)</f>
        <v/>
      </c>
      <c r="B1800" s="31" t="str">
        <f>IF(Table!B1800 = "","",Table!B1800)</f>
        <v/>
      </c>
      <c r="C1800" s="31" t="str">
        <f>IF(Table!C1800 = "","",Table!C1800)</f>
        <v/>
      </c>
      <c r="D1800" s="32" t="str">
        <f>IF(Table!D1800 = "","",Table!D1800)</f>
        <v/>
      </c>
      <c r="E1800" s="32" t="str">
        <f>IF(Table!E1800 = "","",Table!E1800)</f>
        <v/>
      </c>
      <c r="F1800" s="32" t="str">
        <f>IF(Table!F1800 = "","",Table!F1800)</f>
        <v/>
      </c>
      <c r="G1800" s="91"/>
      <c r="K1800" s="31" t="str">
        <f>IFERROR(VLOOKUP(A1800,Table!$I$4:$O$3000,1,TRUE),"")</f>
        <v/>
      </c>
      <c r="L1800" s="31" t="str">
        <f>IFERROR(INDEX(Table!I:O,MATCH(K1800,Table!I:I,0),2),"")</f>
        <v/>
      </c>
      <c r="M1800" s="31" t="str">
        <f>IFERROR(INDEX(Table!I:O,MATCH(K1800,Table!I:I,0),3),"")</f>
        <v/>
      </c>
      <c r="N1800" s="32" t="str">
        <f>IFERROR(INDEX(Table!I:O,MATCH(K1800,Table!I:I,0),4),"")</f>
        <v/>
      </c>
      <c r="O1800" s="32" t="str">
        <f>IFERROR(INDEX(Table!I:O,MATCH(K1800,Table!I:I,0),5),"")</f>
        <v/>
      </c>
      <c r="P1800" s="32" t="str">
        <f>IFERROR(INDEX(Table!I:O,MATCH(K1800,Table!I:I,0),6),"")</f>
        <v/>
      </c>
      <c r="Q1800" s="89" t="str">
        <f t="shared" si="84"/>
        <v/>
      </c>
      <c r="R1800" s="89" t="str">
        <f t="shared" si="85"/>
        <v/>
      </c>
      <c r="S1800" s="82"/>
      <c r="U1800" s="37" t="e">
        <f t="shared" si="86"/>
        <v>#VALUE!</v>
      </c>
    </row>
    <row r="1801" spans="1:21" x14ac:dyDescent="0.25">
      <c r="A1801" s="31" t="str">
        <f>IF(Table!A1801 = "","",Table!A1801)</f>
        <v/>
      </c>
      <c r="B1801" s="31" t="str">
        <f>IF(Table!B1801 = "","",Table!B1801)</f>
        <v/>
      </c>
      <c r="C1801" s="31" t="str">
        <f>IF(Table!C1801 = "","",Table!C1801)</f>
        <v/>
      </c>
      <c r="D1801" s="32" t="str">
        <f>IF(Table!D1801 = "","",Table!D1801)</f>
        <v/>
      </c>
      <c r="E1801" s="32" t="str">
        <f>IF(Table!E1801 = "","",Table!E1801)</f>
        <v/>
      </c>
      <c r="F1801" s="32" t="str">
        <f>IF(Table!F1801 = "","",Table!F1801)</f>
        <v/>
      </c>
      <c r="G1801" s="91"/>
      <c r="K1801" s="31" t="str">
        <f>IFERROR(VLOOKUP(A1801,Table!$I$4:$O$3000,1,TRUE),"")</f>
        <v/>
      </c>
      <c r="L1801" s="31" t="str">
        <f>IFERROR(INDEX(Table!I:O,MATCH(K1801,Table!I:I,0),2),"")</f>
        <v/>
      </c>
      <c r="M1801" s="31" t="str">
        <f>IFERROR(INDEX(Table!I:O,MATCH(K1801,Table!I:I,0),3),"")</f>
        <v/>
      </c>
      <c r="N1801" s="32" t="str">
        <f>IFERROR(INDEX(Table!I:O,MATCH(K1801,Table!I:I,0),4),"")</f>
        <v/>
      </c>
      <c r="O1801" s="32" t="str">
        <f>IFERROR(INDEX(Table!I:O,MATCH(K1801,Table!I:I,0),5),"")</f>
        <v/>
      </c>
      <c r="P1801" s="32" t="str">
        <f>IFERROR(INDEX(Table!I:O,MATCH(K1801,Table!I:I,0),6),"")</f>
        <v/>
      </c>
      <c r="Q1801" s="89" t="str">
        <f t="shared" si="84"/>
        <v/>
      </c>
      <c r="R1801" s="89" t="str">
        <f t="shared" si="85"/>
        <v/>
      </c>
      <c r="S1801" s="82"/>
      <c r="U1801" s="37" t="e">
        <f t="shared" si="86"/>
        <v>#VALUE!</v>
      </c>
    </row>
    <row r="1802" spans="1:21" x14ac:dyDescent="0.25">
      <c r="A1802" s="31" t="str">
        <f>IF(Table!A1802 = "","",Table!A1802)</f>
        <v/>
      </c>
      <c r="B1802" s="31" t="str">
        <f>IF(Table!B1802 = "","",Table!B1802)</f>
        <v/>
      </c>
      <c r="C1802" s="31" t="str">
        <f>IF(Table!C1802 = "","",Table!C1802)</f>
        <v/>
      </c>
      <c r="D1802" s="32" t="str">
        <f>IF(Table!D1802 = "","",Table!D1802)</f>
        <v/>
      </c>
      <c r="E1802" s="32" t="str">
        <f>IF(Table!E1802 = "","",Table!E1802)</f>
        <v/>
      </c>
      <c r="F1802" s="32" t="str">
        <f>IF(Table!F1802 = "","",Table!F1802)</f>
        <v/>
      </c>
      <c r="G1802" s="91"/>
      <c r="K1802" s="31" t="str">
        <f>IFERROR(VLOOKUP(A1802,Table!$I$4:$O$3000,1,TRUE),"")</f>
        <v/>
      </c>
      <c r="L1802" s="31" t="str">
        <f>IFERROR(INDEX(Table!I:O,MATCH(K1802,Table!I:I,0),2),"")</f>
        <v/>
      </c>
      <c r="M1802" s="31" t="str">
        <f>IFERROR(INDEX(Table!I:O,MATCH(K1802,Table!I:I,0),3),"")</f>
        <v/>
      </c>
      <c r="N1802" s="32" t="str">
        <f>IFERROR(INDEX(Table!I:O,MATCH(K1802,Table!I:I,0),4),"")</f>
        <v/>
      </c>
      <c r="O1802" s="32" t="str">
        <f>IFERROR(INDEX(Table!I:O,MATCH(K1802,Table!I:I,0),5),"")</f>
        <v/>
      </c>
      <c r="P1802" s="32" t="str">
        <f>IFERROR(INDEX(Table!I:O,MATCH(K1802,Table!I:I,0),6),"")</f>
        <v/>
      </c>
      <c r="Q1802" s="89" t="str">
        <f t="shared" si="84"/>
        <v/>
      </c>
      <c r="R1802" s="89" t="str">
        <f t="shared" si="85"/>
        <v/>
      </c>
      <c r="S1802" s="82"/>
      <c r="U1802" s="37" t="e">
        <f t="shared" si="86"/>
        <v>#VALUE!</v>
      </c>
    </row>
    <row r="1803" spans="1:21" x14ac:dyDescent="0.25">
      <c r="A1803" s="31" t="str">
        <f>IF(Table!A1803 = "","",Table!A1803)</f>
        <v/>
      </c>
      <c r="B1803" s="31" t="str">
        <f>IF(Table!B1803 = "","",Table!B1803)</f>
        <v/>
      </c>
      <c r="C1803" s="31" t="str">
        <f>IF(Table!C1803 = "","",Table!C1803)</f>
        <v/>
      </c>
      <c r="D1803" s="32" t="str">
        <f>IF(Table!D1803 = "","",Table!D1803)</f>
        <v/>
      </c>
      <c r="E1803" s="32" t="str">
        <f>IF(Table!E1803 = "","",Table!E1803)</f>
        <v/>
      </c>
      <c r="F1803" s="32" t="str">
        <f>IF(Table!F1803 = "","",Table!F1803)</f>
        <v/>
      </c>
      <c r="G1803" s="91"/>
      <c r="K1803" s="31" t="str">
        <f>IFERROR(VLOOKUP(A1803,Table!$I$4:$O$3000,1,TRUE),"")</f>
        <v/>
      </c>
      <c r="L1803" s="31" t="str">
        <f>IFERROR(INDEX(Table!I:O,MATCH(K1803,Table!I:I,0),2),"")</f>
        <v/>
      </c>
      <c r="M1803" s="31" t="str">
        <f>IFERROR(INDEX(Table!I:O,MATCH(K1803,Table!I:I,0),3),"")</f>
        <v/>
      </c>
      <c r="N1803" s="32" t="str">
        <f>IFERROR(INDEX(Table!I:O,MATCH(K1803,Table!I:I,0),4),"")</f>
        <v/>
      </c>
      <c r="O1803" s="32" t="str">
        <f>IFERROR(INDEX(Table!I:O,MATCH(K1803,Table!I:I,0),5),"")</f>
        <v/>
      </c>
      <c r="P1803" s="32" t="str">
        <f>IFERROR(INDEX(Table!I:O,MATCH(K1803,Table!I:I,0),6),"")</f>
        <v/>
      </c>
      <c r="Q1803" s="89" t="str">
        <f t="shared" si="84"/>
        <v/>
      </c>
      <c r="R1803" s="89" t="str">
        <f t="shared" si="85"/>
        <v/>
      </c>
      <c r="S1803" s="82"/>
      <c r="U1803" s="37" t="e">
        <f t="shared" si="86"/>
        <v>#VALUE!</v>
      </c>
    </row>
    <row r="1804" spans="1:21" x14ac:dyDescent="0.25">
      <c r="A1804" s="31" t="str">
        <f>IF(Table!A1804 = "","",Table!A1804)</f>
        <v/>
      </c>
      <c r="B1804" s="31" t="str">
        <f>IF(Table!B1804 = "","",Table!B1804)</f>
        <v/>
      </c>
      <c r="C1804" s="31" t="str">
        <f>IF(Table!C1804 = "","",Table!C1804)</f>
        <v/>
      </c>
      <c r="D1804" s="32" t="str">
        <f>IF(Table!D1804 = "","",Table!D1804)</f>
        <v/>
      </c>
      <c r="E1804" s="32" t="str">
        <f>IF(Table!E1804 = "","",Table!E1804)</f>
        <v/>
      </c>
      <c r="F1804" s="32" t="str">
        <f>IF(Table!F1804 = "","",Table!F1804)</f>
        <v/>
      </c>
      <c r="G1804" s="91"/>
      <c r="K1804" s="31" t="str">
        <f>IFERROR(VLOOKUP(A1804,Table!$I$4:$O$3000,1,TRUE),"")</f>
        <v/>
      </c>
      <c r="L1804" s="31" t="str">
        <f>IFERROR(INDEX(Table!I:O,MATCH(K1804,Table!I:I,0),2),"")</f>
        <v/>
      </c>
      <c r="M1804" s="31" t="str">
        <f>IFERROR(INDEX(Table!I:O,MATCH(K1804,Table!I:I,0),3),"")</f>
        <v/>
      </c>
      <c r="N1804" s="32" t="str">
        <f>IFERROR(INDEX(Table!I:O,MATCH(K1804,Table!I:I,0),4),"")</f>
        <v/>
      </c>
      <c r="O1804" s="32" t="str">
        <f>IFERROR(INDEX(Table!I:O,MATCH(K1804,Table!I:I,0),5),"")</f>
        <v/>
      </c>
      <c r="P1804" s="32" t="str">
        <f>IFERROR(INDEX(Table!I:O,MATCH(K1804,Table!I:I,0),6),"")</f>
        <v/>
      </c>
      <c r="Q1804" s="89" t="str">
        <f t="shared" si="84"/>
        <v/>
      </c>
      <c r="R1804" s="89" t="str">
        <f t="shared" si="85"/>
        <v/>
      </c>
      <c r="S1804" s="82"/>
      <c r="U1804" s="37" t="e">
        <f t="shared" si="86"/>
        <v>#VALUE!</v>
      </c>
    </row>
    <row r="1805" spans="1:21" x14ac:dyDescent="0.25">
      <c r="A1805" s="31" t="str">
        <f>IF(Table!A1805 = "","",Table!A1805)</f>
        <v/>
      </c>
      <c r="B1805" s="31" t="str">
        <f>IF(Table!B1805 = "","",Table!B1805)</f>
        <v/>
      </c>
      <c r="C1805" s="31" t="str">
        <f>IF(Table!C1805 = "","",Table!C1805)</f>
        <v/>
      </c>
      <c r="D1805" s="32" t="str">
        <f>IF(Table!D1805 = "","",Table!D1805)</f>
        <v/>
      </c>
      <c r="E1805" s="32" t="str">
        <f>IF(Table!E1805 = "","",Table!E1805)</f>
        <v/>
      </c>
      <c r="F1805" s="32" t="str">
        <f>IF(Table!F1805 = "","",Table!F1805)</f>
        <v/>
      </c>
      <c r="G1805" s="91"/>
      <c r="K1805" s="31" t="str">
        <f>IFERROR(VLOOKUP(A1805,Table!$I$4:$O$3000,1,TRUE),"")</f>
        <v/>
      </c>
      <c r="L1805" s="31" t="str">
        <f>IFERROR(INDEX(Table!I:O,MATCH(K1805,Table!I:I,0),2),"")</f>
        <v/>
      </c>
      <c r="M1805" s="31" t="str">
        <f>IFERROR(INDEX(Table!I:O,MATCH(K1805,Table!I:I,0),3),"")</f>
        <v/>
      </c>
      <c r="N1805" s="32" t="str">
        <f>IFERROR(INDEX(Table!I:O,MATCH(K1805,Table!I:I,0),4),"")</f>
        <v/>
      </c>
      <c r="O1805" s="32" t="str">
        <f>IFERROR(INDEX(Table!I:O,MATCH(K1805,Table!I:I,0),5),"")</f>
        <v/>
      </c>
      <c r="P1805" s="32" t="str">
        <f>IFERROR(INDEX(Table!I:O,MATCH(K1805,Table!I:I,0),6),"")</f>
        <v/>
      </c>
      <c r="Q1805" s="89" t="str">
        <f t="shared" si="84"/>
        <v/>
      </c>
      <c r="R1805" s="89" t="str">
        <f t="shared" si="85"/>
        <v/>
      </c>
      <c r="S1805" s="82"/>
      <c r="U1805" s="37" t="e">
        <f t="shared" si="86"/>
        <v>#VALUE!</v>
      </c>
    </row>
    <row r="1806" spans="1:21" x14ac:dyDescent="0.25">
      <c r="A1806" s="31" t="str">
        <f>IF(Table!A1806 = "","",Table!A1806)</f>
        <v/>
      </c>
      <c r="B1806" s="31" t="str">
        <f>IF(Table!B1806 = "","",Table!B1806)</f>
        <v/>
      </c>
      <c r="C1806" s="31" t="str">
        <f>IF(Table!C1806 = "","",Table!C1806)</f>
        <v/>
      </c>
      <c r="D1806" s="32" t="str">
        <f>IF(Table!D1806 = "","",Table!D1806)</f>
        <v/>
      </c>
      <c r="E1806" s="32" t="str">
        <f>IF(Table!E1806 = "","",Table!E1806)</f>
        <v/>
      </c>
      <c r="F1806" s="32" t="str">
        <f>IF(Table!F1806 = "","",Table!F1806)</f>
        <v/>
      </c>
      <c r="G1806" s="91"/>
      <c r="K1806" s="31" t="str">
        <f>IFERROR(VLOOKUP(A1806,Table!$I$4:$O$3000,1,TRUE),"")</f>
        <v/>
      </c>
      <c r="L1806" s="31" t="str">
        <f>IFERROR(INDEX(Table!I:O,MATCH(K1806,Table!I:I,0),2),"")</f>
        <v/>
      </c>
      <c r="M1806" s="31" t="str">
        <f>IFERROR(INDEX(Table!I:O,MATCH(K1806,Table!I:I,0),3),"")</f>
        <v/>
      </c>
      <c r="N1806" s="32" t="str">
        <f>IFERROR(INDEX(Table!I:O,MATCH(K1806,Table!I:I,0),4),"")</f>
        <v/>
      </c>
      <c r="O1806" s="32" t="str">
        <f>IFERROR(INDEX(Table!I:O,MATCH(K1806,Table!I:I,0),5),"")</f>
        <v/>
      </c>
      <c r="P1806" s="32" t="str">
        <f>IFERROR(INDEX(Table!I:O,MATCH(K1806,Table!I:I,0),6),"")</f>
        <v/>
      </c>
      <c r="Q1806" s="89" t="str">
        <f t="shared" si="84"/>
        <v/>
      </c>
      <c r="R1806" s="89" t="str">
        <f t="shared" si="85"/>
        <v/>
      </c>
      <c r="S1806" s="82"/>
      <c r="U1806" s="37" t="e">
        <f t="shared" si="86"/>
        <v>#VALUE!</v>
      </c>
    </row>
    <row r="1807" spans="1:21" x14ac:dyDescent="0.25">
      <c r="A1807" s="31" t="str">
        <f>IF(Table!A1807 = "","",Table!A1807)</f>
        <v/>
      </c>
      <c r="B1807" s="31" t="str">
        <f>IF(Table!B1807 = "","",Table!B1807)</f>
        <v/>
      </c>
      <c r="C1807" s="31" t="str">
        <f>IF(Table!C1807 = "","",Table!C1807)</f>
        <v/>
      </c>
      <c r="D1807" s="32" t="str">
        <f>IF(Table!D1807 = "","",Table!D1807)</f>
        <v/>
      </c>
      <c r="E1807" s="32" t="str">
        <f>IF(Table!E1807 = "","",Table!E1807)</f>
        <v/>
      </c>
      <c r="F1807" s="32" t="str">
        <f>IF(Table!F1807 = "","",Table!F1807)</f>
        <v/>
      </c>
      <c r="G1807" s="91"/>
      <c r="K1807" s="31" t="str">
        <f>IFERROR(VLOOKUP(A1807,Table!$I$4:$O$3000,1,TRUE),"")</f>
        <v/>
      </c>
      <c r="L1807" s="31" t="str">
        <f>IFERROR(INDEX(Table!I:O,MATCH(K1807,Table!I:I,0),2),"")</f>
        <v/>
      </c>
      <c r="M1807" s="31" t="str">
        <f>IFERROR(INDEX(Table!I:O,MATCH(K1807,Table!I:I,0),3),"")</f>
        <v/>
      </c>
      <c r="N1807" s="32" t="str">
        <f>IFERROR(INDEX(Table!I:O,MATCH(K1807,Table!I:I,0),4),"")</f>
        <v/>
      </c>
      <c r="O1807" s="32" t="str">
        <f>IFERROR(INDEX(Table!I:O,MATCH(K1807,Table!I:I,0),5),"")</f>
        <v/>
      </c>
      <c r="P1807" s="32" t="str">
        <f>IFERROR(INDEX(Table!I:O,MATCH(K1807,Table!I:I,0),6),"")</f>
        <v/>
      </c>
      <c r="Q1807" s="89" t="str">
        <f t="shared" si="84"/>
        <v/>
      </c>
      <c r="R1807" s="89" t="str">
        <f t="shared" si="85"/>
        <v/>
      </c>
      <c r="S1807" s="82"/>
      <c r="U1807" s="37" t="e">
        <f t="shared" si="86"/>
        <v>#VALUE!</v>
      </c>
    </row>
    <row r="1808" spans="1:21" x14ac:dyDescent="0.25">
      <c r="A1808" s="31" t="str">
        <f>IF(Table!A1808 = "","",Table!A1808)</f>
        <v/>
      </c>
      <c r="B1808" s="31" t="str">
        <f>IF(Table!B1808 = "","",Table!B1808)</f>
        <v/>
      </c>
      <c r="C1808" s="31" t="str">
        <f>IF(Table!C1808 = "","",Table!C1808)</f>
        <v/>
      </c>
      <c r="D1808" s="32" t="str">
        <f>IF(Table!D1808 = "","",Table!D1808)</f>
        <v/>
      </c>
      <c r="E1808" s="32" t="str">
        <f>IF(Table!E1808 = "","",Table!E1808)</f>
        <v/>
      </c>
      <c r="F1808" s="32" t="str">
        <f>IF(Table!F1808 = "","",Table!F1808)</f>
        <v/>
      </c>
      <c r="G1808" s="91"/>
      <c r="K1808" s="31" t="str">
        <f>IFERROR(VLOOKUP(A1808,Table!$I$4:$O$3000,1,TRUE),"")</f>
        <v/>
      </c>
      <c r="L1808" s="31" t="str">
        <f>IFERROR(INDEX(Table!I:O,MATCH(K1808,Table!I:I,0),2),"")</f>
        <v/>
      </c>
      <c r="M1808" s="31" t="str">
        <f>IFERROR(INDEX(Table!I:O,MATCH(K1808,Table!I:I,0),3),"")</f>
        <v/>
      </c>
      <c r="N1808" s="32" t="str">
        <f>IFERROR(INDEX(Table!I:O,MATCH(K1808,Table!I:I,0),4),"")</f>
        <v/>
      </c>
      <c r="O1808" s="32" t="str">
        <f>IFERROR(INDEX(Table!I:O,MATCH(K1808,Table!I:I,0),5),"")</f>
        <v/>
      </c>
      <c r="P1808" s="32" t="str">
        <f>IFERROR(INDEX(Table!I:O,MATCH(K1808,Table!I:I,0),6),"")</f>
        <v/>
      </c>
      <c r="Q1808" s="89" t="str">
        <f t="shared" si="84"/>
        <v/>
      </c>
      <c r="R1808" s="89" t="str">
        <f t="shared" si="85"/>
        <v/>
      </c>
      <c r="S1808" s="82"/>
      <c r="U1808" s="37" t="e">
        <f t="shared" si="86"/>
        <v>#VALUE!</v>
      </c>
    </row>
    <row r="1809" spans="1:21" x14ac:dyDescent="0.25">
      <c r="A1809" s="31" t="str">
        <f>IF(Table!A1809 = "","",Table!A1809)</f>
        <v/>
      </c>
      <c r="B1809" s="31" t="str">
        <f>IF(Table!B1809 = "","",Table!B1809)</f>
        <v/>
      </c>
      <c r="C1809" s="31" t="str">
        <f>IF(Table!C1809 = "","",Table!C1809)</f>
        <v/>
      </c>
      <c r="D1809" s="32" t="str">
        <f>IF(Table!D1809 = "","",Table!D1809)</f>
        <v/>
      </c>
      <c r="E1809" s="32" t="str">
        <f>IF(Table!E1809 = "","",Table!E1809)</f>
        <v/>
      </c>
      <c r="F1809" s="32" t="str">
        <f>IF(Table!F1809 = "","",Table!F1809)</f>
        <v/>
      </c>
      <c r="G1809" s="91"/>
      <c r="K1809" s="31" t="str">
        <f>IFERROR(VLOOKUP(A1809,Table!$I$4:$O$3000,1,TRUE),"")</f>
        <v/>
      </c>
      <c r="L1809" s="31" t="str">
        <f>IFERROR(INDEX(Table!I:O,MATCH(K1809,Table!I:I,0),2),"")</f>
        <v/>
      </c>
      <c r="M1809" s="31" t="str">
        <f>IFERROR(INDEX(Table!I:O,MATCH(K1809,Table!I:I,0),3),"")</f>
        <v/>
      </c>
      <c r="N1809" s="32" t="str">
        <f>IFERROR(INDEX(Table!I:O,MATCH(K1809,Table!I:I,0),4),"")</f>
        <v/>
      </c>
      <c r="O1809" s="32" t="str">
        <f>IFERROR(INDEX(Table!I:O,MATCH(K1809,Table!I:I,0),5),"")</f>
        <v/>
      </c>
      <c r="P1809" s="32" t="str">
        <f>IFERROR(INDEX(Table!I:O,MATCH(K1809,Table!I:I,0),6),"")</f>
        <v/>
      </c>
      <c r="Q1809" s="89" t="str">
        <f t="shared" si="84"/>
        <v/>
      </c>
      <c r="R1809" s="89" t="str">
        <f t="shared" si="85"/>
        <v/>
      </c>
      <c r="S1809" s="82"/>
      <c r="U1809" s="37" t="e">
        <f t="shared" si="86"/>
        <v>#VALUE!</v>
      </c>
    </row>
    <row r="1810" spans="1:21" x14ac:dyDescent="0.25">
      <c r="A1810" s="31" t="str">
        <f>IF(Table!A1810 = "","",Table!A1810)</f>
        <v/>
      </c>
      <c r="B1810" s="31" t="str">
        <f>IF(Table!B1810 = "","",Table!B1810)</f>
        <v/>
      </c>
      <c r="C1810" s="31" t="str">
        <f>IF(Table!C1810 = "","",Table!C1810)</f>
        <v/>
      </c>
      <c r="D1810" s="32" t="str">
        <f>IF(Table!D1810 = "","",Table!D1810)</f>
        <v/>
      </c>
      <c r="E1810" s="32" t="str">
        <f>IF(Table!E1810 = "","",Table!E1810)</f>
        <v/>
      </c>
      <c r="F1810" s="32" t="str">
        <f>IF(Table!F1810 = "","",Table!F1810)</f>
        <v/>
      </c>
      <c r="G1810" s="91"/>
      <c r="K1810" s="31" t="str">
        <f>IFERROR(VLOOKUP(A1810,Table!$I$4:$O$3000,1,TRUE),"")</f>
        <v/>
      </c>
      <c r="L1810" s="31" t="str">
        <f>IFERROR(INDEX(Table!I:O,MATCH(K1810,Table!I:I,0),2),"")</f>
        <v/>
      </c>
      <c r="M1810" s="31" t="str">
        <f>IFERROR(INDEX(Table!I:O,MATCH(K1810,Table!I:I,0),3),"")</f>
        <v/>
      </c>
      <c r="N1810" s="32" t="str">
        <f>IFERROR(INDEX(Table!I:O,MATCH(K1810,Table!I:I,0),4),"")</f>
        <v/>
      </c>
      <c r="O1810" s="32" t="str">
        <f>IFERROR(INDEX(Table!I:O,MATCH(K1810,Table!I:I,0),5),"")</f>
        <v/>
      </c>
      <c r="P1810" s="32" t="str">
        <f>IFERROR(INDEX(Table!I:O,MATCH(K1810,Table!I:I,0),6),"")</f>
        <v/>
      </c>
      <c r="Q1810" s="89" t="str">
        <f t="shared" si="84"/>
        <v/>
      </c>
      <c r="R1810" s="89" t="str">
        <f t="shared" si="85"/>
        <v/>
      </c>
      <c r="S1810" s="82"/>
      <c r="U1810" s="37" t="e">
        <f t="shared" si="86"/>
        <v>#VALUE!</v>
      </c>
    </row>
    <row r="1811" spans="1:21" x14ac:dyDescent="0.25">
      <c r="A1811" s="31" t="str">
        <f>IF(Table!A1811 = "","",Table!A1811)</f>
        <v/>
      </c>
      <c r="B1811" s="31" t="str">
        <f>IF(Table!B1811 = "","",Table!B1811)</f>
        <v/>
      </c>
      <c r="C1811" s="31" t="str">
        <f>IF(Table!C1811 = "","",Table!C1811)</f>
        <v/>
      </c>
      <c r="D1811" s="32" t="str">
        <f>IF(Table!D1811 = "","",Table!D1811)</f>
        <v/>
      </c>
      <c r="E1811" s="32" t="str">
        <f>IF(Table!E1811 = "","",Table!E1811)</f>
        <v/>
      </c>
      <c r="F1811" s="32" t="str">
        <f>IF(Table!F1811 = "","",Table!F1811)</f>
        <v/>
      </c>
      <c r="G1811" s="91"/>
      <c r="K1811" s="31" t="str">
        <f>IFERROR(VLOOKUP(A1811,Table!$I$4:$O$3000,1,TRUE),"")</f>
        <v/>
      </c>
      <c r="L1811" s="31" t="str">
        <f>IFERROR(INDEX(Table!I:O,MATCH(K1811,Table!I:I,0),2),"")</f>
        <v/>
      </c>
      <c r="M1811" s="31" t="str">
        <f>IFERROR(INDEX(Table!I:O,MATCH(K1811,Table!I:I,0),3),"")</f>
        <v/>
      </c>
      <c r="N1811" s="32" t="str">
        <f>IFERROR(INDEX(Table!I:O,MATCH(K1811,Table!I:I,0),4),"")</f>
        <v/>
      </c>
      <c r="O1811" s="32" t="str">
        <f>IFERROR(INDEX(Table!I:O,MATCH(K1811,Table!I:I,0),5),"")</f>
        <v/>
      </c>
      <c r="P1811" s="32" t="str">
        <f>IFERROR(INDEX(Table!I:O,MATCH(K1811,Table!I:I,0),6),"")</f>
        <v/>
      </c>
      <c r="Q1811" s="89" t="str">
        <f t="shared" si="84"/>
        <v/>
      </c>
      <c r="R1811" s="89" t="str">
        <f t="shared" si="85"/>
        <v/>
      </c>
      <c r="S1811" s="82"/>
      <c r="U1811" s="37" t="e">
        <f t="shared" si="86"/>
        <v>#VALUE!</v>
      </c>
    </row>
    <row r="1812" spans="1:21" x14ac:dyDescent="0.25">
      <c r="A1812" s="31" t="str">
        <f>IF(Table!A1812 = "","",Table!A1812)</f>
        <v/>
      </c>
      <c r="B1812" s="31" t="str">
        <f>IF(Table!B1812 = "","",Table!B1812)</f>
        <v/>
      </c>
      <c r="C1812" s="31" t="str">
        <f>IF(Table!C1812 = "","",Table!C1812)</f>
        <v/>
      </c>
      <c r="D1812" s="32" t="str">
        <f>IF(Table!D1812 = "","",Table!D1812)</f>
        <v/>
      </c>
      <c r="E1812" s="32" t="str">
        <f>IF(Table!E1812 = "","",Table!E1812)</f>
        <v/>
      </c>
      <c r="F1812" s="32" t="str">
        <f>IF(Table!F1812 = "","",Table!F1812)</f>
        <v/>
      </c>
      <c r="G1812" s="91"/>
      <c r="K1812" s="31" t="str">
        <f>IFERROR(VLOOKUP(A1812,Table!$I$4:$O$3000,1,TRUE),"")</f>
        <v/>
      </c>
      <c r="L1812" s="31" t="str">
        <f>IFERROR(INDEX(Table!I:O,MATCH(K1812,Table!I:I,0),2),"")</f>
        <v/>
      </c>
      <c r="M1812" s="31" t="str">
        <f>IFERROR(INDEX(Table!I:O,MATCH(K1812,Table!I:I,0),3),"")</f>
        <v/>
      </c>
      <c r="N1812" s="32" t="str">
        <f>IFERROR(INDEX(Table!I:O,MATCH(K1812,Table!I:I,0),4),"")</f>
        <v/>
      </c>
      <c r="O1812" s="32" t="str">
        <f>IFERROR(INDEX(Table!I:O,MATCH(K1812,Table!I:I,0),5),"")</f>
        <v/>
      </c>
      <c r="P1812" s="32" t="str">
        <f>IFERROR(INDEX(Table!I:O,MATCH(K1812,Table!I:I,0),6),"")</f>
        <v/>
      </c>
      <c r="Q1812" s="89" t="str">
        <f t="shared" si="84"/>
        <v/>
      </c>
      <c r="R1812" s="89" t="str">
        <f t="shared" si="85"/>
        <v/>
      </c>
      <c r="S1812" s="82"/>
      <c r="U1812" s="37" t="e">
        <f t="shared" si="86"/>
        <v>#VALUE!</v>
      </c>
    </row>
    <row r="1813" spans="1:21" x14ac:dyDescent="0.25">
      <c r="A1813" s="31" t="str">
        <f>IF(Table!A1813 = "","",Table!A1813)</f>
        <v/>
      </c>
      <c r="B1813" s="31" t="str">
        <f>IF(Table!B1813 = "","",Table!B1813)</f>
        <v/>
      </c>
      <c r="C1813" s="31" t="str">
        <f>IF(Table!C1813 = "","",Table!C1813)</f>
        <v/>
      </c>
      <c r="D1813" s="32" t="str">
        <f>IF(Table!D1813 = "","",Table!D1813)</f>
        <v/>
      </c>
      <c r="E1813" s="32" t="str">
        <f>IF(Table!E1813 = "","",Table!E1813)</f>
        <v/>
      </c>
      <c r="F1813" s="32" t="str">
        <f>IF(Table!F1813 = "","",Table!F1813)</f>
        <v/>
      </c>
      <c r="G1813" s="91"/>
      <c r="K1813" s="31" t="str">
        <f>IFERROR(VLOOKUP(A1813,Table!$I$4:$O$3000,1,TRUE),"")</f>
        <v/>
      </c>
      <c r="L1813" s="31" t="str">
        <f>IFERROR(INDEX(Table!I:O,MATCH(K1813,Table!I:I,0),2),"")</f>
        <v/>
      </c>
      <c r="M1813" s="31" t="str">
        <f>IFERROR(INDEX(Table!I:O,MATCH(K1813,Table!I:I,0),3),"")</f>
        <v/>
      </c>
      <c r="N1813" s="32" t="str">
        <f>IFERROR(INDEX(Table!I:O,MATCH(K1813,Table!I:I,0),4),"")</f>
        <v/>
      </c>
      <c r="O1813" s="32" t="str">
        <f>IFERROR(INDEX(Table!I:O,MATCH(K1813,Table!I:I,0),5),"")</f>
        <v/>
      </c>
      <c r="P1813" s="32" t="str">
        <f>IFERROR(INDEX(Table!I:O,MATCH(K1813,Table!I:I,0),6),"")</f>
        <v/>
      </c>
      <c r="Q1813" s="89" t="str">
        <f t="shared" si="84"/>
        <v/>
      </c>
      <c r="R1813" s="89" t="str">
        <f t="shared" si="85"/>
        <v/>
      </c>
      <c r="S1813" s="82"/>
      <c r="U1813" s="37" t="e">
        <f t="shared" si="86"/>
        <v>#VALUE!</v>
      </c>
    </row>
    <row r="1814" spans="1:21" x14ac:dyDescent="0.25">
      <c r="A1814" s="31" t="str">
        <f>IF(Table!A1814 = "","",Table!A1814)</f>
        <v/>
      </c>
      <c r="B1814" s="31" t="str">
        <f>IF(Table!B1814 = "","",Table!B1814)</f>
        <v/>
      </c>
      <c r="C1814" s="31" t="str">
        <f>IF(Table!C1814 = "","",Table!C1814)</f>
        <v/>
      </c>
      <c r="D1814" s="32" t="str">
        <f>IF(Table!D1814 = "","",Table!D1814)</f>
        <v/>
      </c>
      <c r="E1814" s="32" t="str">
        <f>IF(Table!E1814 = "","",Table!E1814)</f>
        <v/>
      </c>
      <c r="F1814" s="32" t="str">
        <f>IF(Table!F1814 = "","",Table!F1814)</f>
        <v/>
      </c>
      <c r="G1814" s="91"/>
      <c r="K1814" s="31" t="str">
        <f>IFERROR(VLOOKUP(A1814,Table!$I$4:$O$3000,1,TRUE),"")</f>
        <v/>
      </c>
      <c r="L1814" s="31" t="str">
        <f>IFERROR(INDEX(Table!I:O,MATCH(K1814,Table!I:I,0),2),"")</f>
        <v/>
      </c>
      <c r="M1814" s="31" t="str">
        <f>IFERROR(INDEX(Table!I:O,MATCH(K1814,Table!I:I,0),3),"")</f>
        <v/>
      </c>
      <c r="N1814" s="32" t="str">
        <f>IFERROR(INDEX(Table!I:O,MATCH(K1814,Table!I:I,0),4),"")</f>
        <v/>
      </c>
      <c r="O1814" s="32" t="str">
        <f>IFERROR(INDEX(Table!I:O,MATCH(K1814,Table!I:I,0),5),"")</f>
        <v/>
      </c>
      <c r="P1814" s="32" t="str">
        <f>IFERROR(INDEX(Table!I:O,MATCH(K1814,Table!I:I,0),6),"")</f>
        <v/>
      </c>
      <c r="Q1814" s="89" t="str">
        <f t="shared" si="84"/>
        <v/>
      </c>
      <c r="R1814" s="89" t="str">
        <f t="shared" si="85"/>
        <v/>
      </c>
      <c r="S1814" s="82"/>
      <c r="U1814" s="37" t="e">
        <f t="shared" si="86"/>
        <v>#VALUE!</v>
      </c>
    </row>
    <row r="1815" spans="1:21" x14ac:dyDescent="0.25">
      <c r="A1815" s="31" t="str">
        <f>IF(Table!A1815 = "","",Table!A1815)</f>
        <v/>
      </c>
      <c r="B1815" s="31" t="str">
        <f>IF(Table!B1815 = "","",Table!B1815)</f>
        <v/>
      </c>
      <c r="C1815" s="31" t="str">
        <f>IF(Table!C1815 = "","",Table!C1815)</f>
        <v/>
      </c>
      <c r="D1815" s="32" t="str">
        <f>IF(Table!D1815 = "","",Table!D1815)</f>
        <v/>
      </c>
      <c r="E1815" s="32" t="str">
        <f>IF(Table!E1815 = "","",Table!E1815)</f>
        <v/>
      </c>
      <c r="F1815" s="32" t="str">
        <f>IF(Table!F1815 = "","",Table!F1815)</f>
        <v/>
      </c>
      <c r="G1815" s="91"/>
      <c r="K1815" s="31" t="str">
        <f>IFERROR(VLOOKUP(A1815,Table!$I$4:$O$3000,1,TRUE),"")</f>
        <v/>
      </c>
      <c r="L1815" s="31" t="str">
        <f>IFERROR(INDEX(Table!I:O,MATCH(K1815,Table!I:I,0),2),"")</f>
        <v/>
      </c>
      <c r="M1815" s="31" t="str">
        <f>IFERROR(INDEX(Table!I:O,MATCH(K1815,Table!I:I,0),3),"")</f>
        <v/>
      </c>
      <c r="N1815" s="32" t="str">
        <f>IFERROR(INDEX(Table!I:O,MATCH(K1815,Table!I:I,0),4),"")</f>
        <v/>
      </c>
      <c r="O1815" s="32" t="str">
        <f>IFERROR(INDEX(Table!I:O,MATCH(K1815,Table!I:I,0),5),"")</f>
        <v/>
      </c>
      <c r="P1815" s="32" t="str">
        <f>IFERROR(INDEX(Table!I:O,MATCH(K1815,Table!I:I,0),6),"")</f>
        <v/>
      </c>
      <c r="Q1815" s="89" t="str">
        <f t="shared" si="84"/>
        <v/>
      </c>
      <c r="R1815" s="89" t="str">
        <f t="shared" si="85"/>
        <v/>
      </c>
      <c r="S1815" s="82"/>
      <c r="U1815" s="37" t="e">
        <f t="shared" si="86"/>
        <v>#VALUE!</v>
      </c>
    </row>
    <row r="1816" spans="1:21" x14ac:dyDescent="0.25">
      <c r="A1816" s="31" t="str">
        <f>IF(Table!A1816 = "","",Table!A1816)</f>
        <v/>
      </c>
      <c r="B1816" s="31" t="str">
        <f>IF(Table!B1816 = "","",Table!B1816)</f>
        <v/>
      </c>
      <c r="C1816" s="31" t="str">
        <f>IF(Table!C1816 = "","",Table!C1816)</f>
        <v/>
      </c>
      <c r="D1816" s="32" t="str">
        <f>IF(Table!D1816 = "","",Table!D1816)</f>
        <v/>
      </c>
      <c r="E1816" s="32" t="str">
        <f>IF(Table!E1816 = "","",Table!E1816)</f>
        <v/>
      </c>
      <c r="F1816" s="32" t="str">
        <f>IF(Table!F1816 = "","",Table!F1816)</f>
        <v/>
      </c>
      <c r="G1816" s="91"/>
      <c r="K1816" s="31" t="str">
        <f>IFERROR(VLOOKUP(A1816,Table!$I$4:$O$3000,1,TRUE),"")</f>
        <v/>
      </c>
      <c r="L1816" s="31" t="str">
        <f>IFERROR(INDEX(Table!I:O,MATCH(K1816,Table!I:I,0),2),"")</f>
        <v/>
      </c>
      <c r="M1816" s="31" t="str">
        <f>IFERROR(INDEX(Table!I:O,MATCH(K1816,Table!I:I,0),3),"")</f>
        <v/>
      </c>
      <c r="N1816" s="32" t="str">
        <f>IFERROR(INDEX(Table!I:O,MATCH(K1816,Table!I:I,0),4),"")</f>
        <v/>
      </c>
      <c r="O1816" s="32" t="str">
        <f>IFERROR(INDEX(Table!I:O,MATCH(K1816,Table!I:I,0),5),"")</f>
        <v/>
      </c>
      <c r="P1816" s="32" t="str">
        <f>IFERROR(INDEX(Table!I:O,MATCH(K1816,Table!I:I,0),6),"")</f>
        <v/>
      </c>
      <c r="Q1816" s="89" t="str">
        <f t="shared" si="84"/>
        <v/>
      </c>
      <c r="R1816" s="89" t="str">
        <f t="shared" si="85"/>
        <v/>
      </c>
      <c r="S1816" s="82"/>
      <c r="U1816" s="37" t="e">
        <f t="shared" si="86"/>
        <v>#VALUE!</v>
      </c>
    </row>
    <row r="1817" spans="1:21" x14ac:dyDescent="0.25">
      <c r="A1817" s="31" t="str">
        <f>IF(Table!A1817 = "","",Table!A1817)</f>
        <v/>
      </c>
      <c r="B1817" s="31" t="str">
        <f>IF(Table!B1817 = "","",Table!B1817)</f>
        <v/>
      </c>
      <c r="C1817" s="31" t="str">
        <f>IF(Table!C1817 = "","",Table!C1817)</f>
        <v/>
      </c>
      <c r="D1817" s="32" t="str">
        <f>IF(Table!D1817 = "","",Table!D1817)</f>
        <v/>
      </c>
      <c r="E1817" s="32" t="str">
        <f>IF(Table!E1817 = "","",Table!E1817)</f>
        <v/>
      </c>
      <c r="F1817" s="32" t="str">
        <f>IF(Table!F1817 = "","",Table!F1817)</f>
        <v/>
      </c>
      <c r="G1817" s="91"/>
      <c r="K1817" s="31" t="str">
        <f>IFERROR(VLOOKUP(A1817,Table!$I$4:$O$3000,1,TRUE),"")</f>
        <v/>
      </c>
      <c r="L1817" s="31" t="str">
        <f>IFERROR(INDEX(Table!I:O,MATCH(K1817,Table!I:I,0),2),"")</f>
        <v/>
      </c>
      <c r="M1817" s="31" t="str">
        <f>IFERROR(INDEX(Table!I:O,MATCH(K1817,Table!I:I,0),3),"")</f>
        <v/>
      </c>
      <c r="N1817" s="32" t="str">
        <f>IFERROR(INDEX(Table!I:O,MATCH(K1817,Table!I:I,0),4),"")</f>
        <v/>
      </c>
      <c r="O1817" s="32" t="str">
        <f>IFERROR(INDEX(Table!I:O,MATCH(K1817,Table!I:I,0),5),"")</f>
        <v/>
      </c>
      <c r="P1817" s="32" t="str">
        <f>IFERROR(INDEX(Table!I:O,MATCH(K1817,Table!I:I,0),6),"")</f>
        <v/>
      </c>
      <c r="Q1817" s="89" t="str">
        <f t="shared" si="84"/>
        <v/>
      </c>
      <c r="R1817" s="89" t="str">
        <f t="shared" si="85"/>
        <v/>
      </c>
      <c r="S1817" s="82"/>
      <c r="U1817" s="37" t="e">
        <f t="shared" si="86"/>
        <v>#VALUE!</v>
      </c>
    </row>
    <row r="1818" spans="1:21" x14ac:dyDescent="0.25">
      <c r="A1818" s="31" t="str">
        <f>IF(Table!A1818 = "","",Table!A1818)</f>
        <v/>
      </c>
      <c r="B1818" s="31" t="str">
        <f>IF(Table!B1818 = "","",Table!B1818)</f>
        <v/>
      </c>
      <c r="C1818" s="31" t="str">
        <f>IF(Table!C1818 = "","",Table!C1818)</f>
        <v/>
      </c>
      <c r="D1818" s="32" t="str">
        <f>IF(Table!D1818 = "","",Table!D1818)</f>
        <v/>
      </c>
      <c r="E1818" s="32" t="str">
        <f>IF(Table!E1818 = "","",Table!E1818)</f>
        <v/>
      </c>
      <c r="F1818" s="32" t="str">
        <f>IF(Table!F1818 = "","",Table!F1818)</f>
        <v/>
      </c>
      <c r="G1818" s="91"/>
      <c r="K1818" s="31" t="str">
        <f>IFERROR(VLOOKUP(A1818,Table!$I$4:$O$3000,1,TRUE),"")</f>
        <v/>
      </c>
      <c r="L1818" s="31" t="str">
        <f>IFERROR(INDEX(Table!I:O,MATCH(K1818,Table!I:I,0),2),"")</f>
        <v/>
      </c>
      <c r="M1818" s="31" t="str">
        <f>IFERROR(INDEX(Table!I:O,MATCH(K1818,Table!I:I,0),3),"")</f>
        <v/>
      </c>
      <c r="N1818" s="32" t="str">
        <f>IFERROR(INDEX(Table!I:O,MATCH(K1818,Table!I:I,0),4),"")</f>
        <v/>
      </c>
      <c r="O1818" s="32" t="str">
        <f>IFERROR(INDEX(Table!I:O,MATCH(K1818,Table!I:I,0),5),"")</f>
        <v/>
      </c>
      <c r="P1818" s="32" t="str">
        <f>IFERROR(INDEX(Table!I:O,MATCH(K1818,Table!I:I,0),6),"")</f>
        <v/>
      </c>
      <c r="Q1818" s="89" t="str">
        <f t="shared" si="84"/>
        <v/>
      </c>
      <c r="R1818" s="89" t="str">
        <f t="shared" si="85"/>
        <v/>
      </c>
      <c r="S1818" s="82"/>
      <c r="U1818" s="37" t="e">
        <f t="shared" si="86"/>
        <v>#VALUE!</v>
      </c>
    </row>
    <row r="1819" spans="1:21" x14ac:dyDescent="0.25">
      <c r="A1819" s="31" t="str">
        <f>IF(Table!A1819 = "","",Table!A1819)</f>
        <v/>
      </c>
      <c r="B1819" s="31" t="str">
        <f>IF(Table!B1819 = "","",Table!B1819)</f>
        <v/>
      </c>
      <c r="C1819" s="31" t="str">
        <f>IF(Table!C1819 = "","",Table!C1819)</f>
        <v/>
      </c>
      <c r="D1819" s="32" t="str">
        <f>IF(Table!D1819 = "","",Table!D1819)</f>
        <v/>
      </c>
      <c r="E1819" s="32" t="str">
        <f>IF(Table!E1819 = "","",Table!E1819)</f>
        <v/>
      </c>
      <c r="F1819" s="32" t="str">
        <f>IF(Table!F1819 = "","",Table!F1819)</f>
        <v/>
      </c>
      <c r="G1819" s="91"/>
      <c r="K1819" s="31" t="str">
        <f>IFERROR(VLOOKUP(A1819,Table!$I$4:$O$3000,1,TRUE),"")</f>
        <v/>
      </c>
      <c r="L1819" s="31" t="str">
        <f>IFERROR(INDEX(Table!I:O,MATCH(K1819,Table!I:I,0),2),"")</f>
        <v/>
      </c>
      <c r="M1819" s="31" t="str">
        <f>IFERROR(INDEX(Table!I:O,MATCH(K1819,Table!I:I,0),3),"")</f>
        <v/>
      </c>
      <c r="N1819" s="32" t="str">
        <f>IFERROR(INDEX(Table!I:O,MATCH(K1819,Table!I:I,0),4),"")</f>
        <v/>
      </c>
      <c r="O1819" s="32" t="str">
        <f>IFERROR(INDEX(Table!I:O,MATCH(K1819,Table!I:I,0),5),"")</f>
        <v/>
      </c>
      <c r="P1819" s="32" t="str">
        <f>IFERROR(INDEX(Table!I:O,MATCH(K1819,Table!I:I,0),6),"")</f>
        <v/>
      </c>
      <c r="Q1819" s="89" t="str">
        <f t="shared" si="84"/>
        <v/>
      </c>
      <c r="R1819" s="89" t="str">
        <f t="shared" si="85"/>
        <v/>
      </c>
      <c r="S1819" s="82"/>
      <c r="U1819" s="37" t="e">
        <f t="shared" si="86"/>
        <v>#VALUE!</v>
      </c>
    </row>
    <row r="1820" spans="1:21" x14ac:dyDescent="0.25">
      <c r="A1820" s="31" t="str">
        <f>IF(Table!A1820 = "","",Table!A1820)</f>
        <v/>
      </c>
      <c r="B1820" s="31" t="str">
        <f>IF(Table!B1820 = "","",Table!B1820)</f>
        <v/>
      </c>
      <c r="C1820" s="31" t="str">
        <f>IF(Table!C1820 = "","",Table!C1820)</f>
        <v/>
      </c>
      <c r="D1820" s="32" t="str">
        <f>IF(Table!D1820 = "","",Table!D1820)</f>
        <v/>
      </c>
      <c r="E1820" s="32" t="str">
        <f>IF(Table!E1820 = "","",Table!E1820)</f>
        <v/>
      </c>
      <c r="F1820" s="32" t="str">
        <f>IF(Table!F1820 = "","",Table!F1820)</f>
        <v/>
      </c>
      <c r="G1820" s="91"/>
      <c r="K1820" s="31" t="str">
        <f>IFERROR(VLOOKUP(A1820,Table!$I$4:$O$3000,1,TRUE),"")</f>
        <v/>
      </c>
      <c r="L1820" s="31" t="str">
        <f>IFERROR(INDEX(Table!I:O,MATCH(K1820,Table!I:I,0),2),"")</f>
        <v/>
      </c>
      <c r="M1820" s="31" t="str">
        <f>IFERROR(INDEX(Table!I:O,MATCH(K1820,Table!I:I,0),3),"")</f>
        <v/>
      </c>
      <c r="N1820" s="32" t="str">
        <f>IFERROR(INDEX(Table!I:O,MATCH(K1820,Table!I:I,0),4),"")</f>
        <v/>
      </c>
      <c r="O1820" s="32" t="str">
        <f>IFERROR(INDEX(Table!I:O,MATCH(K1820,Table!I:I,0),5),"")</f>
        <v/>
      </c>
      <c r="P1820" s="32" t="str">
        <f>IFERROR(INDEX(Table!I:O,MATCH(K1820,Table!I:I,0),6),"")</f>
        <v/>
      </c>
      <c r="Q1820" s="89" t="str">
        <f t="shared" si="84"/>
        <v/>
      </c>
      <c r="R1820" s="89" t="str">
        <f t="shared" si="85"/>
        <v/>
      </c>
      <c r="S1820" s="82"/>
      <c r="U1820" s="37" t="e">
        <f t="shared" si="86"/>
        <v>#VALUE!</v>
      </c>
    </row>
    <row r="1821" spans="1:21" x14ac:dyDescent="0.25">
      <c r="A1821" s="31" t="str">
        <f>IF(Table!A1821 = "","",Table!A1821)</f>
        <v/>
      </c>
      <c r="B1821" s="31" t="str">
        <f>IF(Table!B1821 = "","",Table!B1821)</f>
        <v/>
      </c>
      <c r="C1821" s="31" t="str">
        <f>IF(Table!C1821 = "","",Table!C1821)</f>
        <v/>
      </c>
      <c r="D1821" s="32" t="str">
        <f>IF(Table!D1821 = "","",Table!D1821)</f>
        <v/>
      </c>
      <c r="E1821" s="32" t="str">
        <f>IF(Table!E1821 = "","",Table!E1821)</f>
        <v/>
      </c>
      <c r="F1821" s="32" t="str">
        <f>IF(Table!F1821 = "","",Table!F1821)</f>
        <v/>
      </c>
      <c r="G1821" s="91"/>
      <c r="K1821" s="31" t="str">
        <f>IFERROR(VLOOKUP(A1821,Table!$I$4:$O$3000,1,TRUE),"")</f>
        <v/>
      </c>
      <c r="L1821" s="31" t="str">
        <f>IFERROR(INDEX(Table!I:O,MATCH(K1821,Table!I:I,0),2),"")</f>
        <v/>
      </c>
      <c r="M1821" s="31" t="str">
        <f>IFERROR(INDEX(Table!I:O,MATCH(K1821,Table!I:I,0),3),"")</f>
        <v/>
      </c>
      <c r="N1821" s="32" t="str">
        <f>IFERROR(INDEX(Table!I:O,MATCH(K1821,Table!I:I,0),4),"")</f>
        <v/>
      </c>
      <c r="O1821" s="32" t="str">
        <f>IFERROR(INDEX(Table!I:O,MATCH(K1821,Table!I:I,0),5),"")</f>
        <v/>
      </c>
      <c r="P1821" s="32" t="str">
        <f>IFERROR(INDEX(Table!I:O,MATCH(K1821,Table!I:I,0),6),"")</f>
        <v/>
      </c>
      <c r="Q1821" s="89" t="str">
        <f t="shared" si="84"/>
        <v/>
      </c>
      <c r="R1821" s="89" t="str">
        <f t="shared" si="85"/>
        <v/>
      </c>
      <c r="S1821" s="82"/>
      <c r="U1821" s="37" t="e">
        <f t="shared" si="86"/>
        <v>#VALUE!</v>
      </c>
    </row>
    <row r="1822" spans="1:21" x14ac:dyDescent="0.25">
      <c r="A1822" s="31" t="str">
        <f>IF(Table!A1822 = "","",Table!A1822)</f>
        <v/>
      </c>
      <c r="B1822" s="31" t="str">
        <f>IF(Table!B1822 = "","",Table!B1822)</f>
        <v/>
      </c>
      <c r="C1822" s="31" t="str">
        <f>IF(Table!C1822 = "","",Table!C1822)</f>
        <v/>
      </c>
      <c r="D1822" s="32" t="str">
        <f>IF(Table!D1822 = "","",Table!D1822)</f>
        <v/>
      </c>
      <c r="E1822" s="32" t="str">
        <f>IF(Table!E1822 = "","",Table!E1822)</f>
        <v/>
      </c>
      <c r="F1822" s="32" t="str">
        <f>IF(Table!F1822 = "","",Table!F1822)</f>
        <v/>
      </c>
      <c r="G1822" s="91"/>
      <c r="K1822" s="31" t="str">
        <f>IFERROR(VLOOKUP(A1822,Table!$I$4:$O$3000,1,TRUE),"")</f>
        <v/>
      </c>
      <c r="L1822" s="31" t="str">
        <f>IFERROR(INDEX(Table!I:O,MATCH(K1822,Table!I:I,0),2),"")</f>
        <v/>
      </c>
      <c r="M1822" s="31" t="str">
        <f>IFERROR(INDEX(Table!I:O,MATCH(K1822,Table!I:I,0),3),"")</f>
        <v/>
      </c>
      <c r="N1822" s="32" t="str">
        <f>IFERROR(INDEX(Table!I:O,MATCH(K1822,Table!I:I,0),4),"")</f>
        <v/>
      </c>
      <c r="O1822" s="32" t="str">
        <f>IFERROR(INDEX(Table!I:O,MATCH(K1822,Table!I:I,0),5),"")</f>
        <v/>
      </c>
      <c r="P1822" s="32" t="str">
        <f>IFERROR(INDEX(Table!I:O,MATCH(K1822,Table!I:I,0),6),"")</f>
        <v/>
      </c>
      <c r="Q1822" s="89" t="str">
        <f t="shared" si="84"/>
        <v/>
      </c>
      <c r="R1822" s="89" t="str">
        <f t="shared" si="85"/>
        <v/>
      </c>
      <c r="S1822" s="82"/>
      <c r="U1822" s="37" t="e">
        <f t="shared" si="86"/>
        <v>#VALUE!</v>
      </c>
    </row>
    <row r="1823" spans="1:21" x14ac:dyDescent="0.25">
      <c r="A1823" s="31" t="str">
        <f>IF(Table!A1823 = "","",Table!A1823)</f>
        <v/>
      </c>
      <c r="B1823" s="31" t="str">
        <f>IF(Table!B1823 = "","",Table!B1823)</f>
        <v/>
      </c>
      <c r="C1823" s="31" t="str">
        <f>IF(Table!C1823 = "","",Table!C1823)</f>
        <v/>
      </c>
      <c r="D1823" s="32" t="str">
        <f>IF(Table!D1823 = "","",Table!D1823)</f>
        <v/>
      </c>
      <c r="E1823" s="32" t="str">
        <f>IF(Table!E1823 = "","",Table!E1823)</f>
        <v/>
      </c>
      <c r="F1823" s="32" t="str">
        <f>IF(Table!F1823 = "","",Table!F1823)</f>
        <v/>
      </c>
      <c r="G1823" s="91"/>
      <c r="K1823" s="31" t="str">
        <f>IFERROR(VLOOKUP(A1823,Table!$I$4:$O$3000,1,TRUE),"")</f>
        <v/>
      </c>
      <c r="L1823" s="31" t="str">
        <f>IFERROR(INDEX(Table!I:O,MATCH(K1823,Table!I:I,0),2),"")</f>
        <v/>
      </c>
      <c r="M1823" s="31" t="str">
        <f>IFERROR(INDEX(Table!I:O,MATCH(K1823,Table!I:I,0),3),"")</f>
        <v/>
      </c>
      <c r="N1823" s="32" t="str">
        <f>IFERROR(INDEX(Table!I:O,MATCH(K1823,Table!I:I,0),4),"")</f>
        <v/>
      </c>
      <c r="O1823" s="32" t="str">
        <f>IFERROR(INDEX(Table!I:O,MATCH(K1823,Table!I:I,0),5),"")</f>
        <v/>
      </c>
      <c r="P1823" s="32" t="str">
        <f>IFERROR(INDEX(Table!I:O,MATCH(K1823,Table!I:I,0),6),"")</f>
        <v/>
      </c>
      <c r="Q1823" s="89" t="str">
        <f t="shared" si="84"/>
        <v/>
      </c>
      <c r="R1823" s="89" t="str">
        <f t="shared" si="85"/>
        <v/>
      </c>
      <c r="S1823" s="82"/>
      <c r="U1823" s="37" t="e">
        <f t="shared" si="86"/>
        <v>#VALUE!</v>
      </c>
    </row>
    <row r="1824" spans="1:21" x14ac:dyDescent="0.25">
      <c r="A1824" s="31" t="str">
        <f>IF(Table!A1824 = "","",Table!A1824)</f>
        <v/>
      </c>
      <c r="B1824" s="31" t="str">
        <f>IF(Table!B1824 = "","",Table!B1824)</f>
        <v/>
      </c>
      <c r="C1824" s="31" t="str">
        <f>IF(Table!C1824 = "","",Table!C1824)</f>
        <v/>
      </c>
      <c r="D1824" s="32" t="str">
        <f>IF(Table!D1824 = "","",Table!D1824)</f>
        <v/>
      </c>
      <c r="E1824" s="32" t="str">
        <f>IF(Table!E1824 = "","",Table!E1824)</f>
        <v/>
      </c>
      <c r="F1824" s="32" t="str">
        <f>IF(Table!F1824 = "","",Table!F1824)</f>
        <v/>
      </c>
      <c r="G1824" s="91"/>
      <c r="K1824" s="31" t="str">
        <f>IFERROR(VLOOKUP(A1824,Table!$I$4:$O$3000,1,TRUE),"")</f>
        <v/>
      </c>
      <c r="L1824" s="31" t="str">
        <f>IFERROR(INDEX(Table!I:O,MATCH(K1824,Table!I:I,0),2),"")</f>
        <v/>
      </c>
      <c r="M1824" s="31" t="str">
        <f>IFERROR(INDEX(Table!I:O,MATCH(K1824,Table!I:I,0),3),"")</f>
        <v/>
      </c>
      <c r="N1824" s="32" t="str">
        <f>IFERROR(INDEX(Table!I:O,MATCH(K1824,Table!I:I,0),4),"")</f>
        <v/>
      </c>
      <c r="O1824" s="32" t="str">
        <f>IFERROR(INDEX(Table!I:O,MATCH(K1824,Table!I:I,0),5),"")</f>
        <v/>
      </c>
      <c r="P1824" s="32" t="str">
        <f>IFERROR(INDEX(Table!I:O,MATCH(K1824,Table!I:I,0),6),"")</f>
        <v/>
      </c>
      <c r="Q1824" s="89" t="str">
        <f t="shared" si="84"/>
        <v/>
      </c>
      <c r="R1824" s="89" t="str">
        <f t="shared" si="85"/>
        <v/>
      </c>
      <c r="S1824" s="82"/>
      <c r="U1824" s="37" t="e">
        <f t="shared" si="86"/>
        <v>#VALUE!</v>
      </c>
    </row>
    <row r="1825" spans="1:21" x14ac:dyDescent="0.25">
      <c r="A1825" s="31" t="str">
        <f>IF(Table!A1825 = "","",Table!A1825)</f>
        <v/>
      </c>
      <c r="B1825" s="31" t="str">
        <f>IF(Table!B1825 = "","",Table!B1825)</f>
        <v/>
      </c>
      <c r="C1825" s="31" t="str">
        <f>IF(Table!C1825 = "","",Table!C1825)</f>
        <v/>
      </c>
      <c r="D1825" s="32" t="str">
        <f>IF(Table!D1825 = "","",Table!D1825)</f>
        <v/>
      </c>
      <c r="E1825" s="32" t="str">
        <f>IF(Table!E1825 = "","",Table!E1825)</f>
        <v/>
      </c>
      <c r="F1825" s="32" t="str">
        <f>IF(Table!F1825 = "","",Table!F1825)</f>
        <v/>
      </c>
      <c r="G1825" s="91"/>
      <c r="K1825" s="31" t="str">
        <f>IFERROR(VLOOKUP(A1825,Table!$I$4:$O$3000,1,TRUE),"")</f>
        <v/>
      </c>
      <c r="L1825" s="31" t="str">
        <f>IFERROR(INDEX(Table!I:O,MATCH(K1825,Table!I:I,0),2),"")</f>
        <v/>
      </c>
      <c r="M1825" s="31" t="str">
        <f>IFERROR(INDEX(Table!I:O,MATCH(K1825,Table!I:I,0),3),"")</f>
        <v/>
      </c>
      <c r="N1825" s="32" t="str">
        <f>IFERROR(INDEX(Table!I:O,MATCH(K1825,Table!I:I,0),4),"")</f>
        <v/>
      </c>
      <c r="O1825" s="32" t="str">
        <f>IFERROR(INDEX(Table!I:O,MATCH(K1825,Table!I:I,0),5),"")</f>
        <v/>
      </c>
      <c r="P1825" s="32" t="str">
        <f>IFERROR(INDEX(Table!I:O,MATCH(K1825,Table!I:I,0),6),"")</f>
        <v/>
      </c>
      <c r="Q1825" s="89" t="str">
        <f t="shared" si="84"/>
        <v/>
      </c>
      <c r="R1825" s="89" t="str">
        <f t="shared" si="85"/>
        <v/>
      </c>
      <c r="S1825" s="82"/>
      <c r="U1825" s="37" t="e">
        <f t="shared" si="86"/>
        <v>#VALUE!</v>
      </c>
    </row>
    <row r="1826" spans="1:21" x14ac:dyDescent="0.25">
      <c r="A1826" s="31" t="str">
        <f>IF(Table!A1826 = "","",Table!A1826)</f>
        <v/>
      </c>
      <c r="B1826" s="31" t="str">
        <f>IF(Table!B1826 = "","",Table!B1826)</f>
        <v/>
      </c>
      <c r="C1826" s="31" t="str">
        <f>IF(Table!C1826 = "","",Table!C1826)</f>
        <v/>
      </c>
      <c r="D1826" s="32" t="str">
        <f>IF(Table!D1826 = "","",Table!D1826)</f>
        <v/>
      </c>
      <c r="E1826" s="32" t="str">
        <f>IF(Table!E1826 = "","",Table!E1826)</f>
        <v/>
      </c>
      <c r="F1826" s="32" t="str">
        <f>IF(Table!F1826 = "","",Table!F1826)</f>
        <v/>
      </c>
      <c r="G1826" s="91"/>
      <c r="K1826" s="31" t="str">
        <f>IFERROR(VLOOKUP(A1826,Table!$I$4:$O$3000,1,TRUE),"")</f>
        <v/>
      </c>
      <c r="L1826" s="31" t="str">
        <f>IFERROR(INDEX(Table!I:O,MATCH(K1826,Table!I:I,0),2),"")</f>
        <v/>
      </c>
      <c r="M1826" s="31" t="str">
        <f>IFERROR(INDEX(Table!I:O,MATCH(K1826,Table!I:I,0),3),"")</f>
        <v/>
      </c>
      <c r="N1826" s="32" t="str">
        <f>IFERROR(INDEX(Table!I:O,MATCH(K1826,Table!I:I,0),4),"")</f>
        <v/>
      </c>
      <c r="O1826" s="32" t="str">
        <f>IFERROR(INDEX(Table!I:O,MATCH(K1826,Table!I:I,0),5),"")</f>
        <v/>
      </c>
      <c r="P1826" s="32" t="str">
        <f>IFERROR(INDEX(Table!I:O,MATCH(K1826,Table!I:I,0),6),"")</f>
        <v/>
      </c>
      <c r="Q1826" s="89" t="str">
        <f t="shared" si="84"/>
        <v/>
      </c>
      <c r="R1826" s="89" t="str">
        <f t="shared" si="85"/>
        <v/>
      </c>
      <c r="S1826" s="82"/>
      <c r="U1826" s="37" t="e">
        <f t="shared" si="86"/>
        <v>#VALUE!</v>
      </c>
    </row>
    <row r="1827" spans="1:21" x14ac:dyDescent="0.25">
      <c r="A1827" s="31" t="str">
        <f>IF(Table!A1827 = "","",Table!A1827)</f>
        <v/>
      </c>
      <c r="B1827" s="31" t="str">
        <f>IF(Table!B1827 = "","",Table!B1827)</f>
        <v/>
      </c>
      <c r="C1827" s="31" t="str">
        <f>IF(Table!C1827 = "","",Table!C1827)</f>
        <v/>
      </c>
      <c r="D1827" s="32" t="str">
        <f>IF(Table!D1827 = "","",Table!D1827)</f>
        <v/>
      </c>
      <c r="E1827" s="32" t="str">
        <f>IF(Table!E1827 = "","",Table!E1827)</f>
        <v/>
      </c>
      <c r="F1827" s="32" t="str">
        <f>IF(Table!F1827 = "","",Table!F1827)</f>
        <v/>
      </c>
      <c r="G1827" s="91"/>
      <c r="K1827" s="31" t="str">
        <f>IFERROR(VLOOKUP(A1827,Table!$I$4:$O$3000,1,TRUE),"")</f>
        <v/>
      </c>
      <c r="L1827" s="31" t="str">
        <f>IFERROR(INDEX(Table!I:O,MATCH(K1827,Table!I:I,0),2),"")</f>
        <v/>
      </c>
      <c r="M1827" s="31" t="str">
        <f>IFERROR(INDEX(Table!I:O,MATCH(K1827,Table!I:I,0),3),"")</f>
        <v/>
      </c>
      <c r="N1827" s="32" t="str">
        <f>IFERROR(INDEX(Table!I:O,MATCH(K1827,Table!I:I,0),4),"")</f>
        <v/>
      </c>
      <c r="O1827" s="32" t="str">
        <f>IFERROR(INDEX(Table!I:O,MATCH(K1827,Table!I:I,0),5),"")</f>
        <v/>
      </c>
      <c r="P1827" s="32" t="str">
        <f>IFERROR(INDEX(Table!I:O,MATCH(K1827,Table!I:I,0),6),"")</f>
        <v/>
      </c>
      <c r="Q1827" s="89" t="str">
        <f t="shared" si="84"/>
        <v/>
      </c>
      <c r="R1827" s="89" t="str">
        <f t="shared" si="85"/>
        <v/>
      </c>
      <c r="S1827" s="82"/>
      <c r="U1827" s="37" t="e">
        <f t="shared" si="86"/>
        <v>#VALUE!</v>
      </c>
    </row>
    <row r="1828" spans="1:21" x14ac:dyDescent="0.25">
      <c r="A1828" s="31" t="str">
        <f>IF(Table!A1828 = "","",Table!A1828)</f>
        <v/>
      </c>
      <c r="B1828" s="31" t="str">
        <f>IF(Table!B1828 = "","",Table!B1828)</f>
        <v/>
      </c>
      <c r="C1828" s="31" t="str">
        <f>IF(Table!C1828 = "","",Table!C1828)</f>
        <v/>
      </c>
      <c r="D1828" s="32" t="str">
        <f>IF(Table!D1828 = "","",Table!D1828)</f>
        <v/>
      </c>
      <c r="E1828" s="32" t="str">
        <f>IF(Table!E1828 = "","",Table!E1828)</f>
        <v/>
      </c>
      <c r="F1828" s="32" t="str">
        <f>IF(Table!F1828 = "","",Table!F1828)</f>
        <v/>
      </c>
      <c r="G1828" s="91"/>
      <c r="K1828" s="31" t="str">
        <f>IFERROR(VLOOKUP(A1828,Table!$I$4:$O$3000,1,TRUE),"")</f>
        <v/>
      </c>
      <c r="L1828" s="31" t="str">
        <f>IFERROR(INDEX(Table!I:O,MATCH(K1828,Table!I:I,0),2),"")</f>
        <v/>
      </c>
      <c r="M1828" s="31" t="str">
        <f>IFERROR(INDEX(Table!I:O,MATCH(K1828,Table!I:I,0),3),"")</f>
        <v/>
      </c>
      <c r="N1828" s="32" t="str">
        <f>IFERROR(INDEX(Table!I:O,MATCH(K1828,Table!I:I,0),4),"")</f>
        <v/>
      </c>
      <c r="O1828" s="32" t="str">
        <f>IFERROR(INDEX(Table!I:O,MATCH(K1828,Table!I:I,0),5),"")</f>
        <v/>
      </c>
      <c r="P1828" s="32" t="str">
        <f>IFERROR(INDEX(Table!I:O,MATCH(K1828,Table!I:I,0),6),"")</f>
        <v/>
      </c>
      <c r="Q1828" s="89" t="str">
        <f t="shared" si="84"/>
        <v/>
      </c>
      <c r="R1828" s="89" t="str">
        <f t="shared" si="85"/>
        <v/>
      </c>
      <c r="S1828" s="82"/>
      <c r="U1828" s="37" t="e">
        <f t="shared" si="86"/>
        <v>#VALUE!</v>
      </c>
    </row>
    <row r="1829" spans="1:21" x14ac:dyDescent="0.25">
      <c r="A1829" s="31" t="str">
        <f>IF(Table!A1829 = "","",Table!A1829)</f>
        <v/>
      </c>
      <c r="B1829" s="31" t="str">
        <f>IF(Table!B1829 = "","",Table!B1829)</f>
        <v/>
      </c>
      <c r="C1829" s="31" t="str">
        <f>IF(Table!C1829 = "","",Table!C1829)</f>
        <v/>
      </c>
      <c r="D1829" s="32" t="str">
        <f>IF(Table!D1829 = "","",Table!D1829)</f>
        <v/>
      </c>
      <c r="E1829" s="32" t="str">
        <f>IF(Table!E1829 = "","",Table!E1829)</f>
        <v/>
      </c>
      <c r="F1829" s="32" t="str">
        <f>IF(Table!F1829 = "","",Table!F1829)</f>
        <v/>
      </c>
      <c r="G1829" s="91"/>
      <c r="K1829" s="31" t="str">
        <f>IFERROR(VLOOKUP(A1829,Table!$I$4:$O$3000,1,TRUE),"")</f>
        <v/>
      </c>
      <c r="L1829" s="31" t="str">
        <f>IFERROR(INDEX(Table!I:O,MATCH(K1829,Table!I:I,0),2),"")</f>
        <v/>
      </c>
      <c r="M1829" s="31" t="str">
        <f>IFERROR(INDEX(Table!I:O,MATCH(K1829,Table!I:I,0),3),"")</f>
        <v/>
      </c>
      <c r="N1829" s="32" t="str">
        <f>IFERROR(INDEX(Table!I:O,MATCH(K1829,Table!I:I,0),4),"")</f>
        <v/>
      </c>
      <c r="O1829" s="32" t="str">
        <f>IFERROR(INDEX(Table!I:O,MATCH(K1829,Table!I:I,0),5),"")</f>
        <v/>
      </c>
      <c r="P1829" s="32" t="str">
        <f>IFERROR(INDEX(Table!I:O,MATCH(K1829,Table!I:I,0),6),"")</f>
        <v/>
      </c>
      <c r="Q1829" s="89" t="str">
        <f t="shared" si="84"/>
        <v/>
      </c>
      <c r="R1829" s="89" t="str">
        <f t="shared" si="85"/>
        <v/>
      </c>
      <c r="S1829" s="82"/>
      <c r="U1829" s="37" t="e">
        <f t="shared" si="86"/>
        <v>#VALUE!</v>
      </c>
    </row>
    <row r="1830" spans="1:21" x14ac:dyDescent="0.25">
      <c r="A1830" s="31" t="str">
        <f>IF(Table!A1830 = "","",Table!A1830)</f>
        <v/>
      </c>
      <c r="B1830" s="31" t="str">
        <f>IF(Table!B1830 = "","",Table!B1830)</f>
        <v/>
      </c>
      <c r="C1830" s="31" t="str">
        <f>IF(Table!C1830 = "","",Table!C1830)</f>
        <v/>
      </c>
      <c r="D1830" s="32" t="str">
        <f>IF(Table!D1830 = "","",Table!D1830)</f>
        <v/>
      </c>
      <c r="E1830" s="32" t="str">
        <f>IF(Table!E1830 = "","",Table!E1830)</f>
        <v/>
      </c>
      <c r="F1830" s="32" t="str">
        <f>IF(Table!F1830 = "","",Table!F1830)</f>
        <v/>
      </c>
      <c r="G1830" s="91"/>
      <c r="K1830" s="31" t="str">
        <f>IFERROR(VLOOKUP(A1830,Table!$I$4:$O$3000,1,TRUE),"")</f>
        <v/>
      </c>
      <c r="L1830" s="31" t="str">
        <f>IFERROR(INDEX(Table!I:O,MATCH(K1830,Table!I:I,0),2),"")</f>
        <v/>
      </c>
      <c r="M1830" s="31" t="str">
        <f>IFERROR(INDEX(Table!I:O,MATCH(K1830,Table!I:I,0),3),"")</f>
        <v/>
      </c>
      <c r="N1830" s="32" t="str">
        <f>IFERROR(INDEX(Table!I:O,MATCH(K1830,Table!I:I,0),4),"")</f>
        <v/>
      </c>
      <c r="O1830" s="32" t="str">
        <f>IFERROR(INDEX(Table!I:O,MATCH(K1830,Table!I:I,0),5),"")</f>
        <v/>
      </c>
      <c r="P1830" s="32" t="str">
        <f>IFERROR(INDEX(Table!I:O,MATCH(K1830,Table!I:I,0),6),"")</f>
        <v/>
      </c>
      <c r="Q1830" s="89" t="str">
        <f t="shared" si="84"/>
        <v/>
      </c>
      <c r="R1830" s="89" t="str">
        <f t="shared" si="85"/>
        <v/>
      </c>
      <c r="S1830" s="82"/>
      <c r="U1830" s="37" t="e">
        <f t="shared" si="86"/>
        <v>#VALUE!</v>
      </c>
    </row>
    <row r="1831" spans="1:21" x14ac:dyDescent="0.25">
      <c r="A1831" s="31" t="str">
        <f>IF(Table!A1831 = "","",Table!A1831)</f>
        <v/>
      </c>
      <c r="B1831" s="31" t="str">
        <f>IF(Table!B1831 = "","",Table!B1831)</f>
        <v/>
      </c>
      <c r="C1831" s="31" t="str">
        <f>IF(Table!C1831 = "","",Table!C1831)</f>
        <v/>
      </c>
      <c r="D1831" s="32" t="str">
        <f>IF(Table!D1831 = "","",Table!D1831)</f>
        <v/>
      </c>
      <c r="E1831" s="32" t="str">
        <f>IF(Table!E1831 = "","",Table!E1831)</f>
        <v/>
      </c>
      <c r="F1831" s="32" t="str">
        <f>IF(Table!F1831 = "","",Table!F1831)</f>
        <v/>
      </c>
      <c r="G1831" s="91"/>
      <c r="K1831" s="31" t="str">
        <f>IFERROR(VLOOKUP(A1831,Table!$I$4:$O$3000,1,TRUE),"")</f>
        <v/>
      </c>
      <c r="L1831" s="31" t="str">
        <f>IFERROR(INDEX(Table!I:O,MATCH(K1831,Table!I:I,0),2),"")</f>
        <v/>
      </c>
      <c r="M1831" s="31" t="str">
        <f>IFERROR(INDEX(Table!I:O,MATCH(K1831,Table!I:I,0),3),"")</f>
        <v/>
      </c>
      <c r="N1831" s="32" t="str">
        <f>IFERROR(INDEX(Table!I:O,MATCH(K1831,Table!I:I,0),4),"")</f>
        <v/>
      </c>
      <c r="O1831" s="32" t="str">
        <f>IFERROR(INDEX(Table!I:O,MATCH(K1831,Table!I:I,0),5),"")</f>
        <v/>
      </c>
      <c r="P1831" s="32" t="str">
        <f>IFERROR(INDEX(Table!I:O,MATCH(K1831,Table!I:I,0),6),"")</f>
        <v/>
      </c>
      <c r="Q1831" s="89" t="str">
        <f t="shared" si="84"/>
        <v/>
      </c>
      <c r="R1831" s="89" t="str">
        <f t="shared" si="85"/>
        <v/>
      </c>
      <c r="S1831" s="82"/>
      <c r="U1831" s="37" t="e">
        <f t="shared" si="86"/>
        <v>#VALUE!</v>
      </c>
    </row>
    <row r="1832" spans="1:21" x14ac:dyDescent="0.25">
      <c r="A1832" s="31" t="str">
        <f>IF(Table!A1832 = "","",Table!A1832)</f>
        <v/>
      </c>
      <c r="B1832" s="31" t="str">
        <f>IF(Table!B1832 = "","",Table!B1832)</f>
        <v/>
      </c>
      <c r="C1832" s="31" t="str">
        <f>IF(Table!C1832 = "","",Table!C1832)</f>
        <v/>
      </c>
      <c r="D1832" s="32" t="str">
        <f>IF(Table!D1832 = "","",Table!D1832)</f>
        <v/>
      </c>
      <c r="E1832" s="32" t="str">
        <f>IF(Table!E1832 = "","",Table!E1832)</f>
        <v/>
      </c>
      <c r="F1832" s="32" t="str">
        <f>IF(Table!F1832 = "","",Table!F1832)</f>
        <v/>
      </c>
      <c r="G1832" s="91"/>
      <c r="K1832" s="31" t="str">
        <f>IFERROR(VLOOKUP(A1832,Table!$I$4:$O$3000,1,TRUE),"")</f>
        <v/>
      </c>
      <c r="L1832" s="31" t="str">
        <f>IFERROR(INDEX(Table!I:O,MATCH(K1832,Table!I:I,0),2),"")</f>
        <v/>
      </c>
      <c r="M1832" s="31" t="str">
        <f>IFERROR(INDEX(Table!I:O,MATCH(K1832,Table!I:I,0),3),"")</f>
        <v/>
      </c>
      <c r="N1832" s="32" t="str">
        <f>IFERROR(INDEX(Table!I:O,MATCH(K1832,Table!I:I,0),4),"")</f>
        <v/>
      </c>
      <c r="O1832" s="32" t="str">
        <f>IFERROR(INDEX(Table!I:O,MATCH(K1832,Table!I:I,0),5),"")</f>
        <v/>
      </c>
      <c r="P1832" s="32" t="str">
        <f>IFERROR(INDEX(Table!I:O,MATCH(K1832,Table!I:I,0),6),"")</f>
        <v/>
      </c>
      <c r="Q1832" s="89" t="str">
        <f t="shared" si="84"/>
        <v/>
      </c>
      <c r="R1832" s="89" t="str">
        <f t="shared" si="85"/>
        <v/>
      </c>
      <c r="S1832" s="82"/>
      <c r="U1832" s="37" t="e">
        <f t="shared" si="86"/>
        <v>#VALUE!</v>
      </c>
    </row>
    <row r="1833" spans="1:21" x14ac:dyDescent="0.25">
      <c r="A1833" s="31" t="str">
        <f>IF(Table!A1833 = "","",Table!A1833)</f>
        <v/>
      </c>
      <c r="B1833" s="31" t="str">
        <f>IF(Table!B1833 = "","",Table!B1833)</f>
        <v/>
      </c>
      <c r="C1833" s="31" t="str">
        <f>IF(Table!C1833 = "","",Table!C1833)</f>
        <v/>
      </c>
      <c r="D1833" s="32" t="str">
        <f>IF(Table!D1833 = "","",Table!D1833)</f>
        <v/>
      </c>
      <c r="E1833" s="32" t="str">
        <f>IF(Table!E1833 = "","",Table!E1833)</f>
        <v/>
      </c>
      <c r="F1833" s="32" t="str">
        <f>IF(Table!F1833 = "","",Table!F1833)</f>
        <v/>
      </c>
      <c r="G1833" s="91"/>
      <c r="K1833" s="31" t="str">
        <f>IFERROR(VLOOKUP(A1833,Table!$I$4:$O$3000,1,TRUE),"")</f>
        <v/>
      </c>
      <c r="L1833" s="31" t="str">
        <f>IFERROR(INDEX(Table!I:O,MATCH(K1833,Table!I:I,0),2),"")</f>
        <v/>
      </c>
      <c r="M1833" s="31" t="str">
        <f>IFERROR(INDEX(Table!I:O,MATCH(K1833,Table!I:I,0),3),"")</f>
        <v/>
      </c>
      <c r="N1833" s="32" t="str">
        <f>IFERROR(INDEX(Table!I:O,MATCH(K1833,Table!I:I,0),4),"")</f>
        <v/>
      </c>
      <c r="O1833" s="32" t="str">
        <f>IFERROR(INDEX(Table!I:O,MATCH(K1833,Table!I:I,0),5),"")</f>
        <v/>
      </c>
      <c r="P1833" s="32" t="str">
        <f>IFERROR(INDEX(Table!I:O,MATCH(K1833,Table!I:I,0),6),"")</f>
        <v/>
      </c>
      <c r="Q1833" s="89" t="str">
        <f t="shared" si="84"/>
        <v/>
      </c>
      <c r="R1833" s="89" t="str">
        <f t="shared" si="85"/>
        <v/>
      </c>
      <c r="S1833" s="82"/>
      <c r="U1833" s="37" t="e">
        <f t="shared" si="86"/>
        <v>#VALUE!</v>
      </c>
    </row>
    <row r="1834" spans="1:21" x14ac:dyDescent="0.25">
      <c r="A1834" s="31" t="str">
        <f>IF(Table!A1834 = "","",Table!A1834)</f>
        <v/>
      </c>
      <c r="B1834" s="31" t="str">
        <f>IF(Table!B1834 = "","",Table!B1834)</f>
        <v/>
      </c>
      <c r="C1834" s="31" t="str">
        <f>IF(Table!C1834 = "","",Table!C1834)</f>
        <v/>
      </c>
      <c r="D1834" s="32" t="str">
        <f>IF(Table!D1834 = "","",Table!D1834)</f>
        <v/>
      </c>
      <c r="E1834" s="32" t="str">
        <f>IF(Table!E1834 = "","",Table!E1834)</f>
        <v/>
      </c>
      <c r="F1834" s="32" t="str">
        <f>IF(Table!F1834 = "","",Table!F1834)</f>
        <v/>
      </c>
      <c r="G1834" s="91"/>
      <c r="K1834" s="31" t="str">
        <f>IFERROR(VLOOKUP(A1834,Table!$I$4:$O$3000,1,TRUE),"")</f>
        <v/>
      </c>
      <c r="L1834" s="31" t="str">
        <f>IFERROR(INDEX(Table!I:O,MATCH(K1834,Table!I:I,0),2),"")</f>
        <v/>
      </c>
      <c r="M1834" s="31" t="str">
        <f>IFERROR(INDEX(Table!I:O,MATCH(K1834,Table!I:I,0),3),"")</f>
        <v/>
      </c>
      <c r="N1834" s="32" t="str">
        <f>IFERROR(INDEX(Table!I:O,MATCH(K1834,Table!I:I,0),4),"")</f>
        <v/>
      </c>
      <c r="O1834" s="32" t="str">
        <f>IFERROR(INDEX(Table!I:O,MATCH(K1834,Table!I:I,0),5),"")</f>
        <v/>
      </c>
      <c r="P1834" s="32" t="str">
        <f>IFERROR(INDEX(Table!I:O,MATCH(K1834,Table!I:I,0),6),"")</f>
        <v/>
      </c>
      <c r="Q1834" s="89" t="str">
        <f t="shared" si="84"/>
        <v/>
      </c>
      <c r="R1834" s="89" t="str">
        <f t="shared" si="85"/>
        <v/>
      </c>
      <c r="S1834" s="82"/>
      <c r="U1834" s="37" t="e">
        <f t="shared" si="86"/>
        <v>#VALUE!</v>
      </c>
    </row>
    <row r="1835" spans="1:21" x14ac:dyDescent="0.25">
      <c r="A1835" s="31" t="str">
        <f>IF(Table!A1835 = "","",Table!A1835)</f>
        <v/>
      </c>
      <c r="B1835" s="31" t="str">
        <f>IF(Table!B1835 = "","",Table!B1835)</f>
        <v/>
      </c>
      <c r="C1835" s="31" t="str">
        <f>IF(Table!C1835 = "","",Table!C1835)</f>
        <v/>
      </c>
      <c r="D1835" s="32" t="str">
        <f>IF(Table!D1835 = "","",Table!D1835)</f>
        <v/>
      </c>
      <c r="E1835" s="32" t="str">
        <f>IF(Table!E1835 = "","",Table!E1835)</f>
        <v/>
      </c>
      <c r="F1835" s="32" t="str">
        <f>IF(Table!F1835 = "","",Table!F1835)</f>
        <v/>
      </c>
      <c r="G1835" s="91"/>
      <c r="K1835" s="31" t="str">
        <f>IFERROR(VLOOKUP(A1835,Table!$I$4:$O$3000,1,TRUE),"")</f>
        <v/>
      </c>
      <c r="L1835" s="31" t="str">
        <f>IFERROR(INDEX(Table!I:O,MATCH(K1835,Table!I:I,0),2),"")</f>
        <v/>
      </c>
      <c r="M1835" s="31" t="str">
        <f>IFERROR(INDEX(Table!I:O,MATCH(K1835,Table!I:I,0),3),"")</f>
        <v/>
      </c>
      <c r="N1835" s="32" t="str">
        <f>IFERROR(INDEX(Table!I:O,MATCH(K1835,Table!I:I,0),4),"")</f>
        <v/>
      </c>
      <c r="O1835" s="32" t="str">
        <f>IFERROR(INDEX(Table!I:O,MATCH(K1835,Table!I:I,0),5),"")</f>
        <v/>
      </c>
      <c r="P1835" s="32" t="str">
        <f>IFERROR(INDEX(Table!I:O,MATCH(K1835,Table!I:I,0),6),"")</f>
        <v/>
      </c>
      <c r="Q1835" s="89" t="str">
        <f t="shared" si="84"/>
        <v/>
      </c>
      <c r="R1835" s="89" t="str">
        <f t="shared" si="85"/>
        <v/>
      </c>
      <c r="S1835" s="82"/>
      <c r="U1835" s="37" t="e">
        <f t="shared" si="86"/>
        <v>#VALUE!</v>
      </c>
    </row>
    <row r="1836" spans="1:21" x14ac:dyDescent="0.25">
      <c r="A1836" s="31" t="str">
        <f>IF(Table!A1836 = "","",Table!A1836)</f>
        <v/>
      </c>
      <c r="B1836" s="31" t="str">
        <f>IF(Table!B1836 = "","",Table!B1836)</f>
        <v/>
      </c>
      <c r="C1836" s="31" t="str">
        <f>IF(Table!C1836 = "","",Table!C1836)</f>
        <v/>
      </c>
      <c r="D1836" s="32" t="str">
        <f>IF(Table!D1836 = "","",Table!D1836)</f>
        <v/>
      </c>
      <c r="E1836" s="32" t="str">
        <f>IF(Table!E1836 = "","",Table!E1836)</f>
        <v/>
      </c>
      <c r="F1836" s="32" t="str">
        <f>IF(Table!F1836 = "","",Table!F1836)</f>
        <v/>
      </c>
      <c r="G1836" s="91"/>
      <c r="K1836" s="31" t="str">
        <f>IFERROR(VLOOKUP(A1836,Table!$I$4:$O$3000,1,TRUE),"")</f>
        <v/>
      </c>
      <c r="L1836" s="31" t="str">
        <f>IFERROR(INDEX(Table!I:O,MATCH(K1836,Table!I:I,0),2),"")</f>
        <v/>
      </c>
      <c r="M1836" s="31" t="str">
        <f>IFERROR(INDEX(Table!I:O,MATCH(K1836,Table!I:I,0),3),"")</f>
        <v/>
      </c>
      <c r="N1836" s="32" t="str">
        <f>IFERROR(INDEX(Table!I:O,MATCH(K1836,Table!I:I,0),4),"")</f>
        <v/>
      </c>
      <c r="O1836" s="32" t="str">
        <f>IFERROR(INDEX(Table!I:O,MATCH(K1836,Table!I:I,0),5),"")</f>
        <v/>
      </c>
      <c r="P1836" s="32" t="str">
        <f>IFERROR(INDEX(Table!I:O,MATCH(K1836,Table!I:I,0),6),"")</f>
        <v/>
      </c>
      <c r="Q1836" s="89" t="str">
        <f t="shared" si="84"/>
        <v/>
      </c>
      <c r="R1836" s="89" t="str">
        <f t="shared" si="85"/>
        <v/>
      </c>
      <c r="S1836" s="82"/>
      <c r="U1836" s="37" t="e">
        <f t="shared" si="86"/>
        <v>#VALUE!</v>
      </c>
    </row>
    <row r="1837" spans="1:21" x14ac:dyDescent="0.25">
      <c r="A1837" s="31" t="str">
        <f>IF(Table!A1837 = "","",Table!A1837)</f>
        <v/>
      </c>
      <c r="B1837" s="31" t="str">
        <f>IF(Table!B1837 = "","",Table!B1837)</f>
        <v/>
      </c>
      <c r="C1837" s="31" t="str">
        <f>IF(Table!C1837 = "","",Table!C1837)</f>
        <v/>
      </c>
      <c r="D1837" s="32" t="str">
        <f>IF(Table!D1837 = "","",Table!D1837)</f>
        <v/>
      </c>
      <c r="E1837" s="32" t="str">
        <f>IF(Table!E1837 = "","",Table!E1837)</f>
        <v/>
      </c>
      <c r="F1837" s="32" t="str">
        <f>IF(Table!F1837 = "","",Table!F1837)</f>
        <v/>
      </c>
      <c r="G1837" s="91"/>
      <c r="K1837" s="31" t="str">
        <f>IFERROR(VLOOKUP(A1837,Table!$I$4:$O$3000,1,TRUE),"")</f>
        <v/>
      </c>
      <c r="L1837" s="31" t="str">
        <f>IFERROR(INDEX(Table!I:O,MATCH(K1837,Table!I:I,0),2),"")</f>
        <v/>
      </c>
      <c r="M1837" s="31" t="str">
        <f>IFERROR(INDEX(Table!I:O,MATCH(K1837,Table!I:I,0),3),"")</f>
        <v/>
      </c>
      <c r="N1837" s="32" t="str">
        <f>IFERROR(INDEX(Table!I:O,MATCH(K1837,Table!I:I,0),4),"")</f>
        <v/>
      </c>
      <c r="O1837" s="32" t="str">
        <f>IFERROR(INDEX(Table!I:O,MATCH(K1837,Table!I:I,0),5),"")</f>
        <v/>
      </c>
      <c r="P1837" s="32" t="str">
        <f>IFERROR(INDEX(Table!I:O,MATCH(K1837,Table!I:I,0),6),"")</f>
        <v/>
      </c>
      <c r="Q1837" s="89" t="str">
        <f t="shared" si="84"/>
        <v/>
      </c>
      <c r="R1837" s="89" t="str">
        <f t="shared" si="85"/>
        <v/>
      </c>
      <c r="S1837" s="82"/>
      <c r="U1837" s="37" t="e">
        <f t="shared" si="86"/>
        <v>#VALUE!</v>
      </c>
    </row>
    <row r="1838" spans="1:21" x14ac:dyDescent="0.25">
      <c r="A1838" s="31" t="str">
        <f>IF(Table!A1838 = "","",Table!A1838)</f>
        <v/>
      </c>
      <c r="B1838" s="31" t="str">
        <f>IF(Table!B1838 = "","",Table!B1838)</f>
        <v/>
      </c>
      <c r="C1838" s="31" t="str">
        <f>IF(Table!C1838 = "","",Table!C1838)</f>
        <v/>
      </c>
      <c r="D1838" s="32" t="str">
        <f>IF(Table!D1838 = "","",Table!D1838)</f>
        <v/>
      </c>
      <c r="E1838" s="32" t="str">
        <f>IF(Table!E1838 = "","",Table!E1838)</f>
        <v/>
      </c>
      <c r="F1838" s="32" t="str">
        <f>IF(Table!F1838 = "","",Table!F1838)</f>
        <v/>
      </c>
      <c r="G1838" s="91"/>
      <c r="K1838" s="31" t="str">
        <f>IFERROR(VLOOKUP(A1838,Table!$I$4:$O$3000,1,TRUE),"")</f>
        <v/>
      </c>
      <c r="L1838" s="31" t="str">
        <f>IFERROR(INDEX(Table!I:O,MATCH(K1838,Table!I:I,0),2),"")</f>
        <v/>
      </c>
      <c r="M1838" s="31" t="str">
        <f>IFERROR(INDEX(Table!I:O,MATCH(K1838,Table!I:I,0),3),"")</f>
        <v/>
      </c>
      <c r="N1838" s="32" t="str">
        <f>IFERROR(INDEX(Table!I:O,MATCH(K1838,Table!I:I,0),4),"")</f>
        <v/>
      </c>
      <c r="O1838" s="32" t="str">
        <f>IFERROR(INDEX(Table!I:O,MATCH(K1838,Table!I:I,0),5),"")</f>
        <v/>
      </c>
      <c r="P1838" s="32" t="str">
        <f>IFERROR(INDEX(Table!I:O,MATCH(K1838,Table!I:I,0),6),"")</f>
        <v/>
      </c>
      <c r="Q1838" s="89" t="str">
        <f t="shared" si="84"/>
        <v/>
      </c>
      <c r="R1838" s="89" t="str">
        <f t="shared" si="85"/>
        <v/>
      </c>
      <c r="S1838" s="82"/>
      <c r="U1838" s="37" t="e">
        <f t="shared" si="86"/>
        <v>#VALUE!</v>
      </c>
    </row>
    <row r="1839" spans="1:21" x14ac:dyDescent="0.25">
      <c r="A1839" s="31" t="str">
        <f>IF(Table!A1839 = "","",Table!A1839)</f>
        <v/>
      </c>
      <c r="B1839" s="31" t="str">
        <f>IF(Table!B1839 = "","",Table!B1839)</f>
        <v/>
      </c>
      <c r="C1839" s="31" t="str">
        <f>IF(Table!C1839 = "","",Table!C1839)</f>
        <v/>
      </c>
      <c r="D1839" s="32" t="str">
        <f>IF(Table!D1839 = "","",Table!D1839)</f>
        <v/>
      </c>
      <c r="E1839" s="32" t="str">
        <f>IF(Table!E1839 = "","",Table!E1839)</f>
        <v/>
      </c>
      <c r="F1839" s="32" t="str">
        <f>IF(Table!F1839 = "","",Table!F1839)</f>
        <v/>
      </c>
      <c r="G1839" s="91"/>
      <c r="K1839" s="31" t="str">
        <f>IFERROR(VLOOKUP(A1839,Table!$I$4:$O$3000,1,TRUE),"")</f>
        <v/>
      </c>
      <c r="L1839" s="31" t="str">
        <f>IFERROR(INDEX(Table!I:O,MATCH(K1839,Table!I:I,0),2),"")</f>
        <v/>
      </c>
      <c r="M1839" s="31" t="str">
        <f>IFERROR(INDEX(Table!I:O,MATCH(K1839,Table!I:I,0),3),"")</f>
        <v/>
      </c>
      <c r="N1839" s="32" t="str">
        <f>IFERROR(INDEX(Table!I:O,MATCH(K1839,Table!I:I,0),4),"")</f>
        <v/>
      </c>
      <c r="O1839" s="32" t="str">
        <f>IFERROR(INDEX(Table!I:O,MATCH(K1839,Table!I:I,0),5),"")</f>
        <v/>
      </c>
      <c r="P1839" s="32" t="str">
        <f>IFERROR(INDEX(Table!I:O,MATCH(K1839,Table!I:I,0),6),"")</f>
        <v/>
      </c>
      <c r="Q1839" s="89" t="str">
        <f t="shared" si="84"/>
        <v/>
      </c>
      <c r="R1839" s="89" t="str">
        <f t="shared" si="85"/>
        <v/>
      </c>
      <c r="S1839" s="82"/>
      <c r="U1839" s="37" t="e">
        <f t="shared" si="86"/>
        <v>#VALUE!</v>
      </c>
    </row>
    <row r="1840" spans="1:21" x14ac:dyDescent="0.25">
      <c r="A1840" s="31" t="str">
        <f>IF(Table!A1840 = "","",Table!A1840)</f>
        <v/>
      </c>
      <c r="B1840" s="31" t="str">
        <f>IF(Table!B1840 = "","",Table!B1840)</f>
        <v/>
      </c>
      <c r="C1840" s="31" t="str">
        <f>IF(Table!C1840 = "","",Table!C1840)</f>
        <v/>
      </c>
      <c r="D1840" s="32" t="str">
        <f>IF(Table!D1840 = "","",Table!D1840)</f>
        <v/>
      </c>
      <c r="E1840" s="32" t="str">
        <f>IF(Table!E1840 = "","",Table!E1840)</f>
        <v/>
      </c>
      <c r="F1840" s="32" t="str">
        <f>IF(Table!F1840 = "","",Table!F1840)</f>
        <v/>
      </c>
      <c r="G1840" s="91"/>
      <c r="K1840" s="31" t="str">
        <f>IFERROR(VLOOKUP(A1840,Table!$I$4:$O$3000,1,TRUE),"")</f>
        <v/>
      </c>
      <c r="L1840" s="31" t="str">
        <f>IFERROR(INDEX(Table!I:O,MATCH(K1840,Table!I:I,0),2),"")</f>
        <v/>
      </c>
      <c r="M1840" s="31" t="str">
        <f>IFERROR(INDEX(Table!I:O,MATCH(K1840,Table!I:I,0),3),"")</f>
        <v/>
      </c>
      <c r="N1840" s="32" t="str">
        <f>IFERROR(INDEX(Table!I:O,MATCH(K1840,Table!I:I,0),4),"")</f>
        <v/>
      </c>
      <c r="O1840" s="32" t="str">
        <f>IFERROR(INDEX(Table!I:O,MATCH(K1840,Table!I:I,0),5),"")</f>
        <v/>
      </c>
      <c r="P1840" s="32" t="str">
        <f>IFERROR(INDEX(Table!I:O,MATCH(K1840,Table!I:I,0),6),"")</f>
        <v/>
      </c>
      <c r="Q1840" s="89" t="str">
        <f t="shared" si="84"/>
        <v/>
      </c>
      <c r="R1840" s="89" t="str">
        <f t="shared" si="85"/>
        <v/>
      </c>
      <c r="S1840" s="82"/>
      <c r="U1840" s="37" t="e">
        <f t="shared" si="86"/>
        <v>#VALUE!</v>
      </c>
    </row>
    <row r="1841" spans="1:21" x14ac:dyDescent="0.25">
      <c r="A1841" s="31" t="str">
        <f>IF(Table!A1841 = "","",Table!A1841)</f>
        <v/>
      </c>
      <c r="B1841" s="31" t="str">
        <f>IF(Table!B1841 = "","",Table!B1841)</f>
        <v/>
      </c>
      <c r="C1841" s="31" t="str">
        <f>IF(Table!C1841 = "","",Table!C1841)</f>
        <v/>
      </c>
      <c r="D1841" s="32" t="str">
        <f>IF(Table!D1841 = "","",Table!D1841)</f>
        <v/>
      </c>
      <c r="E1841" s="32" t="str">
        <f>IF(Table!E1841 = "","",Table!E1841)</f>
        <v/>
      </c>
      <c r="F1841" s="32" t="str">
        <f>IF(Table!F1841 = "","",Table!F1841)</f>
        <v/>
      </c>
      <c r="G1841" s="91"/>
      <c r="K1841" s="31" t="str">
        <f>IFERROR(VLOOKUP(A1841,Table!$I$4:$O$3000,1,TRUE),"")</f>
        <v/>
      </c>
      <c r="L1841" s="31" t="str">
        <f>IFERROR(INDEX(Table!I:O,MATCH(K1841,Table!I:I,0),2),"")</f>
        <v/>
      </c>
      <c r="M1841" s="31" t="str">
        <f>IFERROR(INDEX(Table!I:O,MATCH(K1841,Table!I:I,0),3),"")</f>
        <v/>
      </c>
      <c r="N1841" s="32" t="str">
        <f>IFERROR(INDEX(Table!I:O,MATCH(K1841,Table!I:I,0),4),"")</f>
        <v/>
      </c>
      <c r="O1841" s="32" t="str">
        <f>IFERROR(INDEX(Table!I:O,MATCH(K1841,Table!I:I,0),5),"")</f>
        <v/>
      </c>
      <c r="P1841" s="32" t="str">
        <f>IFERROR(INDEX(Table!I:O,MATCH(K1841,Table!I:I,0),6),"")</f>
        <v/>
      </c>
      <c r="Q1841" s="89" t="str">
        <f t="shared" si="84"/>
        <v/>
      </c>
      <c r="R1841" s="89" t="str">
        <f t="shared" si="85"/>
        <v/>
      </c>
      <c r="S1841" s="82"/>
      <c r="U1841" s="37" t="e">
        <f t="shared" si="86"/>
        <v>#VALUE!</v>
      </c>
    </row>
    <row r="1842" spans="1:21" x14ac:dyDescent="0.25">
      <c r="A1842" s="31" t="str">
        <f>IF(Table!A1842 = "","",Table!A1842)</f>
        <v/>
      </c>
      <c r="B1842" s="31" t="str">
        <f>IF(Table!B1842 = "","",Table!B1842)</f>
        <v/>
      </c>
      <c r="C1842" s="31" t="str">
        <f>IF(Table!C1842 = "","",Table!C1842)</f>
        <v/>
      </c>
      <c r="D1842" s="32" t="str">
        <f>IF(Table!D1842 = "","",Table!D1842)</f>
        <v/>
      </c>
      <c r="E1842" s="32" t="str">
        <f>IF(Table!E1842 = "","",Table!E1842)</f>
        <v/>
      </c>
      <c r="F1842" s="32" t="str">
        <f>IF(Table!F1842 = "","",Table!F1842)</f>
        <v/>
      </c>
      <c r="G1842" s="91"/>
      <c r="K1842" s="31" t="str">
        <f>IFERROR(VLOOKUP(A1842,Table!$I$4:$O$3000,1,TRUE),"")</f>
        <v/>
      </c>
      <c r="L1842" s="31" t="str">
        <f>IFERROR(INDEX(Table!I:O,MATCH(K1842,Table!I:I,0),2),"")</f>
        <v/>
      </c>
      <c r="M1842" s="31" t="str">
        <f>IFERROR(INDEX(Table!I:O,MATCH(K1842,Table!I:I,0),3),"")</f>
        <v/>
      </c>
      <c r="N1842" s="32" t="str">
        <f>IFERROR(INDEX(Table!I:O,MATCH(K1842,Table!I:I,0),4),"")</f>
        <v/>
      </c>
      <c r="O1842" s="32" t="str">
        <f>IFERROR(INDEX(Table!I:O,MATCH(K1842,Table!I:I,0),5),"")</f>
        <v/>
      </c>
      <c r="P1842" s="32" t="str">
        <f>IFERROR(INDEX(Table!I:O,MATCH(K1842,Table!I:I,0),6),"")</f>
        <v/>
      </c>
      <c r="Q1842" s="89" t="str">
        <f t="shared" si="84"/>
        <v/>
      </c>
      <c r="R1842" s="89" t="str">
        <f t="shared" si="85"/>
        <v/>
      </c>
      <c r="S1842" s="82"/>
      <c r="U1842" s="37" t="e">
        <f t="shared" si="86"/>
        <v>#VALUE!</v>
      </c>
    </row>
    <row r="1843" spans="1:21" x14ac:dyDescent="0.25">
      <c r="A1843" s="31" t="str">
        <f>IF(Table!A1843 = "","",Table!A1843)</f>
        <v/>
      </c>
      <c r="B1843" s="31" t="str">
        <f>IF(Table!B1843 = "","",Table!B1843)</f>
        <v/>
      </c>
      <c r="C1843" s="31" t="str">
        <f>IF(Table!C1843 = "","",Table!C1843)</f>
        <v/>
      </c>
      <c r="D1843" s="32" t="str">
        <f>IF(Table!D1843 = "","",Table!D1843)</f>
        <v/>
      </c>
      <c r="E1843" s="32" t="str">
        <f>IF(Table!E1843 = "","",Table!E1843)</f>
        <v/>
      </c>
      <c r="F1843" s="32" t="str">
        <f>IF(Table!F1843 = "","",Table!F1843)</f>
        <v/>
      </c>
      <c r="G1843" s="91"/>
      <c r="K1843" s="31" t="str">
        <f>IFERROR(VLOOKUP(A1843,Table!$I$4:$O$3000,1,TRUE),"")</f>
        <v/>
      </c>
      <c r="L1843" s="31" t="str">
        <f>IFERROR(INDEX(Table!I:O,MATCH(K1843,Table!I:I,0),2),"")</f>
        <v/>
      </c>
      <c r="M1843" s="31" t="str">
        <f>IFERROR(INDEX(Table!I:O,MATCH(K1843,Table!I:I,0),3),"")</f>
        <v/>
      </c>
      <c r="N1843" s="32" t="str">
        <f>IFERROR(INDEX(Table!I:O,MATCH(K1843,Table!I:I,0),4),"")</f>
        <v/>
      </c>
      <c r="O1843" s="32" t="str">
        <f>IFERROR(INDEX(Table!I:O,MATCH(K1843,Table!I:I,0),5),"")</f>
        <v/>
      </c>
      <c r="P1843" s="32" t="str">
        <f>IFERROR(INDEX(Table!I:O,MATCH(K1843,Table!I:I,0),6),"")</f>
        <v/>
      </c>
      <c r="Q1843" s="89" t="str">
        <f t="shared" si="84"/>
        <v/>
      </c>
      <c r="R1843" s="89" t="str">
        <f t="shared" si="85"/>
        <v/>
      </c>
      <c r="S1843" s="82"/>
      <c r="U1843" s="37" t="e">
        <f t="shared" si="86"/>
        <v>#VALUE!</v>
      </c>
    </row>
    <row r="1844" spans="1:21" x14ac:dyDescent="0.25">
      <c r="A1844" s="31" t="str">
        <f>IF(Table!A1844 = "","",Table!A1844)</f>
        <v/>
      </c>
      <c r="B1844" s="31" t="str">
        <f>IF(Table!B1844 = "","",Table!B1844)</f>
        <v/>
      </c>
      <c r="C1844" s="31" t="str">
        <f>IF(Table!C1844 = "","",Table!C1844)</f>
        <v/>
      </c>
      <c r="D1844" s="32" t="str">
        <f>IF(Table!D1844 = "","",Table!D1844)</f>
        <v/>
      </c>
      <c r="E1844" s="32" t="str">
        <f>IF(Table!E1844 = "","",Table!E1844)</f>
        <v/>
      </c>
      <c r="F1844" s="32" t="str">
        <f>IF(Table!F1844 = "","",Table!F1844)</f>
        <v/>
      </c>
      <c r="G1844" s="91"/>
      <c r="K1844" s="31" t="str">
        <f>IFERROR(VLOOKUP(A1844,Table!$I$4:$O$3000,1,TRUE),"")</f>
        <v/>
      </c>
      <c r="L1844" s="31" t="str">
        <f>IFERROR(INDEX(Table!I:O,MATCH(K1844,Table!I:I,0),2),"")</f>
        <v/>
      </c>
      <c r="M1844" s="31" t="str">
        <f>IFERROR(INDEX(Table!I:O,MATCH(K1844,Table!I:I,0),3),"")</f>
        <v/>
      </c>
      <c r="N1844" s="32" t="str">
        <f>IFERROR(INDEX(Table!I:O,MATCH(K1844,Table!I:I,0),4),"")</f>
        <v/>
      </c>
      <c r="O1844" s="32" t="str">
        <f>IFERROR(INDEX(Table!I:O,MATCH(K1844,Table!I:I,0),5),"")</f>
        <v/>
      </c>
      <c r="P1844" s="32" t="str">
        <f>IFERROR(INDEX(Table!I:O,MATCH(K1844,Table!I:I,0),6),"")</f>
        <v/>
      </c>
      <c r="Q1844" s="89" t="str">
        <f t="shared" si="84"/>
        <v/>
      </c>
      <c r="R1844" s="89" t="str">
        <f t="shared" si="85"/>
        <v/>
      </c>
      <c r="S1844" s="82"/>
      <c r="U1844" s="37" t="e">
        <f t="shared" si="86"/>
        <v>#VALUE!</v>
      </c>
    </row>
    <row r="1845" spans="1:21" x14ac:dyDescent="0.25">
      <c r="A1845" s="31" t="str">
        <f>IF(Table!A1845 = "","",Table!A1845)</f>
        <v/>
      </c>
      <c r="B1845" s="31" t="str">
        <f>IF(Table!B1845 = "","",Table!B1845)</f>
        <v/>
      </c>
      <c r="C1845" s="31" t="str">
        <f>IF(Table!C1845 = "","",Table!C1845)</f>
        <v/>
      </c>
      <c r="D1845" s="32" t="str">
        <f>IF(Table!D1845 = "","",Table!D1845)</f>
        <v/>
      </c>
      <c r="E1845" s="32" t="str">
        <f>IF(Table!E1845 = "","",Table!E1845)</f>
        <v/>
      </c>
      <c r="F1845" s="32" t="str">
        <f>IF(Table!F1845 = "","",Table!F1845)</f>
        <v/>
      </c>
      <c r="G1845" s="91"/>
      <c r="K1845" s="31" t="str">
        <f>IFERROR(VLOOKUP(A1845,Table!$I$4:$O$3000,1,TRUE),"")</f>
        <v/>
      </c>
      <c r="L1845" s="31" t="str">
        <f>IFERROR(INDEX(Table!I:O,MATCH(K1845,Table!I:I,0),2),"")</f>
        <v/>
      </c>
      <c r="M1845" s="31" t="str">
        <f>IFERROR(INDEX(Table!I:O,MATCH(K1845,Table!I:I,0),3),"")</f>
        <v/>
      </c>
      <c r="N1845" s="32" t="str">
        <f>IFERROR(INDEX(Table!I:O,MATCH(K1845,Table!I:I,0),4),"")</f>
        <v/>
      </c>
      <c r="O1845" s="32" t="str">
        <f>IFERROR(INDEX(Table!I:O,MATCH(K1845,Table!I:I,0),5),"")</f>
        <v/>
      </c>
      <c r="P1845" s="32" t="str">
        <f>IFERROR(INDEX(Table!I:O,MATCH(K1845,Table!I:I,0),6),"")</f>
        <v/>
      </c>
      <c r="Q1845" s="89" t="str">
        <f t="shared" si="84"/>
        <v/>
      </c>
      <c r="R1845" s="89" t="str">
        <f t="shared" si="85"/>
        <v/>
      </c>
      <c r="S1845" s="82"/>
      <c r="U1845" s="37" t="e">
        <f t="shared" si="86"/>
        <v>#VALUE!</v>
      </c>
    </row>
    <row r="1846" spans="1:21" x14ac:dyDescent="0.25">
      <c r="A1846" s="31" t="str">
        <f>IF(Table!A1846 = "","",Table!A1846)</f>
        <v/>
      </c>
      <c r="B1846" s="31" t="str">
        <f>IF(Table!B1846 = "","",Table!B1846)</f>
        <v/>
      </c>
      <c r="C1846" s="31" t="str">
        <f>IF(Table!C1846 = "","",Table!C1846)</f>
        <v/>
      </c>
      <c r="D1846" s="32" t="str">
        <f>IF(Table!D1846 = "","",Table!D1846)</f>
        <v/>
      </c>
      <c r="E1846" s="32" t="str">
        <f>IF(Table!E1846 = "","",Table!E1846)</f>
        <v/>
      </c>
      <c r="F1846" s="32" t="str">
        <f>IF(Table!F1846 = "","",Table!F1846)</f>
        <v/>
      </c>
      <c r="G1846" s="91"/>
      <c r="K1846" s="31" t="str">
        <f>IFERROR(VLOOKUP(A1846,Table!$I$4:$O$3000,1,TRUE),"")</f>
        <v/>
      </c>
      <c r="L1846" s="31" t="str">
        <f>IFERROR(INDEX(Table!I:O,MATCH(K1846,Table!I:I,0),2),"")</f>
        <v/>
      </c>
      <c r="M1846" s="31" t="str">
        <f>IFERROR(INDEX(Table!I:O,MATCH(K1846,Table!I:I,0),3),"")</f>
        <v/>
      </c>
      <c r="N1846" s="32" t="str">
        <f>IFERROR(INDEX(Table!I:O,MATCH(K1846,Table!I:I,0),4),"")</f>
        <v/>
      </c>
      <c r="O1846" s="32" t="str">
        <f>IFERROR(INDEX(Table!I:O,MATCH(K1846,Table!I:I,0),5),"")</f>
        <v/>
      </c>
      <c r="P1846" s="32" t="str">
        <f>IFERROR(INDEX(Table!I:O,MATCH(K1846,Table!I:I,0),6),"")</f>
        <v/>
      </c>
      <c r="Q1846" s="89" t="str">
        <f t="shared" si="84"/>
        <v/>
      </c>
      <c r="R1846" s="89" t="str">
        <f t="shared" si="85"/>
        <v/>
      </c>
      <c r="S1846" s="82"/>
      <c r="U1846" s="37" t="e">
        <f t="shared" si="86"/>
        <v>#VALUE!</v>
      </c>
    </row>
    <row r="1847" spans="1:21" x14ac:dyDescent="0.25">
      <c r="A1847" s="31" t="str">
        <f>IF(Table!A1847 = "","",Table!A1847)</f>
        <v/>
      </c>
      <c r="B1847" s="31" t="str">
        <f>IF(Table!B1847 = "","",Table!B1847)</f>
        <v/>
      </c>
      <c r="C1847" s="31" t="str">
        <f>IF(Table!C1847 = "","",Table!C1847)</f>
        <v/>
      </c>
      <c r="D1847" s="32" t="str">
        <f>IF(Table!D1847 = "","",Table!D1847)</f>
        <v/>
      </c>
      <c r="E1847" s="32" t="str">
        <f>IF(Table!E1847 = "","",Table!E1847)</f>
        <v/>
      </c>
      <c r="F1847" s="32" t="str">
        <f>IF(Table!F1847 = "","",Table!F1847)</f>
        <v/>
      </c>
      <c r="G1847" s="91"/>
      <c r="K1847" s="31" t="str">
        <f>IFERROR(VLOOKUP(A1847,Table!$I$4:$O$3000,1,TRUE),"")</f>
        <v/>
      </c>
      <c r="L1847" s="31" t="str">
        <f>IFERROR(INDEX(Table!I:O,MATCH(K1847,Table!I:I,0),2),"")</f>
        <v/>
      </c>
      <c r="M1847" s="31" t="str">
        <f>IFERROR(INDEX(Table!I:O,MATCH(K1847,Table!I:I,0),3),"")</f>
        <v/>
      </c>
      <c r="N1847" s="32" t="str">
        <f>IFERROR(INDEX(Table!I:O,MATCH(K1847,Table!I:I,0),4),"")</f>
        <v/>
      </c>
      <c r="O1847" s="32" t="str">
        <f>IFERROR(INDEX(Table!I:O,MATCH(K1847,Table!I:I,0),5),"")</f>
        <v/>
      </c>
      <c r="P1847" s="32" t="str">
        <f>IFERROR(INDEX(Table!I:O,MATCH(K1847,Table!I:I,0),6),"")</f>
        <v/>
      </c>
      <c r="Q1847" s="89" t="str">
        <f t="shared" si="84"/>
        <v/>
      </c>
      <c r="R1847" s="89" t="str">
        <f t="shared" si="85"/>
        <v/>
      </c>
      <c r="S1847" s="82"/>
      <c r="U1847" s="37" t="e">
        <f t="shared" si="86"/>
        <v>#VALUE!</v>
      </c>
    </row>
    <row r="1848" spans="1:21" x14ac:dyDescent="0.25">
      <c r="A1848" s="31" t="str">
        <f>IF(Table!A1848 = "","",Table!A1848)</f>
        <v/>
      </c>
      <c r="B1848" s="31" t="str">
        <f>IF(Table!B1848 = "","",Table!B1848)</f>
        <v/>
      </c>
      <c r="C1848" s="31" t="str">
        <f>IF(Table!C1848 = "","",Table!C1848)</f>
        <v/>
      </c>
      <c r="D1848" s="32" t="str">
        <f>IF(Table!D1848 = "","",Table!D1848)</f>
        <v/>
      </c>
      <c r="E1848" s="32" t="str">
        <f>IF(Table!E1848 = "","",Table!E1848)</f>
        <v/>
      </c>
      <c r="F1848" s="32" t="str">
        <f>IF(Table!F1848 = "","",Table!F1848)</f>
        <v/>
      </c>
      <c r="G1848" s="91"/>
      <c r="K1848" s="31" t="str">
        <f>IFERROR(VLOOKUP(A1848,Table!$I$4:$O$3000,1,TRUE),"")</f>
        <v/>
      </c>
      <c r="L1848" s="31" t="str">
        <f>IFERROR(INDEX(Table!I:O,MATCH(K1848,Table!I:I,0),2),"")</f>
        <v/>
      </c>
      <c r="M1848" s="31" t="str">
        <f>IFERROR(INDEX(Table!I:O,MATCH(K1848,Table!I:I,0),3),"")</f>
        <v/>
      </c>
      <c r="N1848" s="32" t="str">
        <f>IFERROR(INDEX(Table!I:O,MATCH(K1848,Table!I:I,0),4),"")</f>
        <v/>
      </c>
      <c r="O1848" s="32" t="str">
        <f>IFERROR(INDEX(Table!I:O,MATCH(K1848,Table!I:I,0),5),"")</f>
        <v/>
      </c>
      <c r="P1848" s="32" t="str">
        <f>IFERROR(INDEX(Table!I:O,MATCH(K1848,Table!I:I,0),6),"")</f>
        <v/>
      </c>
      <c r="Q1848" s="89" t="str">
        <f t="shared" si="84"/>
        <v/>
      </c>
      <c r="R1848" s="89" t="str">
        <f t="shared" si="85"/>
        <v/>
      </c>
      <c r="S1848" s="82"/>
      <c r="U1848" s="37" t="e">
        <f t="shared" si="86"/>
        <v>#VALUE!</v>
      </c>
    </row>
    <row r="1849" spans="1:21" x14ac:dyDescent="0.25">
      <c r="A1849" s="31" t="str">
        <f>IF(Table!A1849 = "","",Table!A1849)</f>
        <v/>
      </c>
      <c r="B1849" s="31" t="str">
        <f>IF(Table!B1849 = "","",Table!B1849)</f>
        <v/>
      </c>
      <c r="C1849" s="31" t="str">
        <f>IF(Table!C1849 = "","",Table!C1849)</f>
        <v/>
      </c>
      <c r="D1849" s="32" t="str">
        <f>IF(Table!D1849 = "","",Table!D1849)</f>
        <v/>
      </c>
      <c r="E1849" s="32" t="str">
        <f>IF(Table!E1849 = "","",Table!E1849)</f>
        <v/>
      </c>
      <c r="F1849" s="32" t="str">
        <f>IF(Table!F1849 = "","",Table!F1849)</f>
        <v/>
      </c>
      <c r="G1849" s="91"/>
      <c r="K1849" s="31" t="str">
        <f>IFERROR(VLOOKUP(A1849,Table!$I$4:$O$3000,1,TRUE),"")</f>
        <v/>
      </c>
      <c r="L1849" s="31" t="str">
        <f>IFERROR(INDEX(Table!I:O,MATCH(K1849,Table!I:I,0),2),"")</f>
        <v/>
      </c>
      <c r="M1849" s="31" t="str">
        <f>IFERROR(INDEX(Table!I:O,MATCH(K1849,Table!I:I,0),3),"")</f>
        <v/>
      </c>
      <c r="N1849" s="32" t="str">
        <f>IFERROR(INDEX(Table!I:O,MATCH(K1849,Table!I:I,0),4),"")</f>
        <v/>
      </c>
      <c r="O1849" s="32" t="str">
        <f>IFERROR(INDEX(Table!I:O,MATCH(K1849,Table!I:I,0),5),"")</f>
        <v/>
      </c>
      <c r="P1849" s="32" t="str">
        <f>IFERROR(INDEX(Table!I:O,MATCH(K1849,Table!I:I,0),6),"")</f>
        <v/>
      </c>
      <c r="Q1849" s="89" t="str">
        <f t="shared" si="84"/>
        <v/>
      </c>
      <c r="R1849" s="89" t="str">
        <f t="shared" si="85"/>
        <v/>
      </c>
      <c r="S1849" s="82"/>
      <c r="U1849" s="37" t="e">
        <f t="shared" si="86"/>
        <v>#VALUE!</v>
      </c>
    </row>
    <row r="1850" spans="1:21" x14ac:dyDescent="0.25">
      <c r="A1850" s="31" t="str">
        <f>IF(Table!A1850 = "","",Table!A1850)</f>
        <v/>
      </c>
      <c r="B1850" s="31" t="str">
        <f>IF(Table!B1850 = "","",Table!B1850)</f>
        <v/>
      </c>
      <c r="C1850" s="31" t="str">
        <f>IF(Table!C1850 = "","",Table!C1850)</f>
        <v/>
      </c>
      <c r="D1850" s="32" t="str">
        <f>IF(Table!D1850 = "","",Table!D1850)</f>
        <v/>
      </c>
      <c r="E1850" s="32" t="str">
        <f>IF(Table!E1850 = "","",Table!E1850)</f>
        <v/>
      </c>
      <c r="F1850" s="32" t="str">
        <f>IF(Table!F1850 = "","",Table!F1850)</f>
        <v/>
      </c>
      <c r="G1850" s="91"/>
      <c r="K1850" s="31" t="str">
        <f>IFERROR(VLOOKUP(A1850,Table!$I$4:$O$3000,1,TRUE),"")</f>
        <v/>
      </c>
      <c r="L1850" s="31" t="str">
        <f>IFERROR(INDEX(Table!I:O,MATCH(K1850,Table!I:I,0),2),"")</f>
        <v/>
      </c>
      <c r="M1850" s="31" t="str">
        <f>IFERROR(INDEX(Table!I:O,MATCH(K1850,Table!I:I,0),3),"")</f>
        <v/>
      </c>
      <c r="N1850" s="32" t="str">
        <f>IFERROR(INDEX(Table!I:O,MATCH(K1850,Table!I:I,0),4),"")</f>
        <v/>
      </c>
      <c r="O1850" s="32" t="str">
        <f>IFERROR(INDEX(Table!I:O,MATCH(K1850,Table!I:I,0),5),"")</f>
        <v/>
      </c>
      <c r="P1850" s="32" t="str">
        <f>IFERROR(INDEX(Table!I:O,MATCH(K1850,Table!I:I,0),6),"")</f>
        <v/>
      </c>
      <c r="Q1850" s="89" t="str">
        <f t="shared" si="84"/>
        <v/>
      </c>
      <c r="R1850" s="89" t="str">
        <f t="shared" si="85"/>
        <v/>
      </c>
      <c r="S1850" s="82"/>
      <c r="U1850" s="37" t="e">
        <f t="shared" si="86"/>
        <v>#VALUE!</v>
      </c>
    </row>
    <row r="1851" spans="1:21" x14ac:dyDescent="0.25">
      <c r="A1851" s="31" t="str">
        <f>IF(Table!A1851 = "","",Table!A1851)</f>
        <v/>
      </c>
      <c r="B1851" s="31" t="str">
        <f>IF(Table!B1851 = "","",Table!B1851)</f>
        <v/>
      </c>
      <c r="C1851" s="31" t="str">
        <f>IF(Table!C1851 = "","",Table!C1851)</f>
        <v/>
      </c>
      <c r="D1851" s="32" t="str">
        <f>IF(Table!D1851 = "","",Table!D1851)</f>
        <v/>
      </c>
      <c r="E1851" s="32" t="str">
        <f>IF(Table!E1851 = "","",Table!E1851)</f>
        <v/>
      </c>
      <c r="F1851" s="32" t="str">
        <f>IF(Table!F1851 = "","",Table!F1851)</f>
        <v/>
      </c>
      <c r="G1851" s="91"/>
      <c r="K1851" s="31" t="str">
        <f>IFERROR(VLOOKUP(A1851,Table!$I$4:$O$3000,1,TRUE),"")</f>
        <v/>
      </c>
      <c r="L1851" s="31" t="str">
        <f>IFERROR(INDEX(Table!I:O,MATCH(K1851,Table!I:I,0),2),"")</f>
        <v/>
      </c>
      <c r="M1851" s="31" t="str">
        <f>IFERROR(INDEX(Table!I:O,MATCH(K1851,Table!I:I,0),3),"")</f>
        <v/>
      </c>
      <c r="N1851" s="32" t="str">
        <f>IFERROR(INDEX(Table!I:O,MATCH(K1851,Table!I:I,0),4),"")</f>
        <v/>
      </c>
      <c r="O1851" s="32" t="str">
        <f>IFERROR(INDEX(Table!I:O,MATCH(K1851,Table!I:I,0),5),"")</f>
        <v/>
      </c>
      <c r="P1851" s="32" t="str">
        <f>IFERROR(INDEX(Table!I:O,MATCH(K1851,Table!I:I,0),6),"")</f>
        <v/>
      </c>
      <c r="Q1851" s="89" t="str">
        <f t="shared" si="84"/>
        <v/>
      </c>
      <c r="R1851" s="89" t="str">
        <f t="shared" si="85"/>
        <v/>
      </c>
      <c r="S1851" s="82"/>
      <c r="U1851" s="37" t="e">
        <f t="shared" si="86"/>
        <v>#VALUE!</v>
      </c>
    </row>
    <row r="1852" spans="1:21" x14ac:dyDescent="0.25">
      <c r="A1852" s="31" t="str">
        <f>IF(Table!A1852 = "","",Table!A1852)</f>
        <v/>
      </c>
      <c r="B1852" s="31" t="str">
        <f>IF(Table!B1852 = "","",Table!B1852)</f>
        <v/>
      </c>
      <c r="C1852" s="31" t="str">
        <f>IF(Table!C1852 = "","",Table!C1852)</f>
        <v/>
      </c>
      <c r="D1852" s="32" t="str">
        <f>IF(Table!D1852 = "","",Table!D1852)</f>
        <v/>
      </c>
      <c r="E1852" s="32" t="str">
        <f>IF(Table!E1852 = "","",Table!E1852)</f>
        <v/>
      </c>
      <c r="F1852" s="32" t="str">
        <f>IF(Table!F1852 = "","",Table!F1852)</f>
        <v/>
      </c>
      <c r="G1852" s="91"/>
      <c r="K1852" s="31" t="str">
        <f>IFERROR(VLOOKUP(A1852,Table!$I$4:$O$3000,1,TRUE),"")</f>
        <v/>
      </c>
      <c r="L1852" s="31" t="str">
        <f>IFERROR(INDEX(Table!I:O,MATCH(K1852,Table!I:I,0),2),"")</f>
        <v/>
      </c>
      <c r="M1852" s="31" t="str">
        <f>IFERROR(INDEX(Table!I:O,MATCH(K1852,Table!I:I,0),3),"")</f>
        <v/>
      </c>
      <c r="N1852" s="32" t="str">
        <f>IFERROR(INDEX(Table!I:O,MATCH(K1852,Table!I:I,0),4),"")</f>
        <v/>
      </c>
      <c r="O1852" s="32" t="str">
        <f>IFERROR(INDEX(Table!I:O,MATCH(K1852,Table!I:I,0),5),"")</f>
        <v/>
      </c>
      <c r="P1852" s="32" t="str">
        <f>IFERROR(INDEX(Table!I:O,MATCH(K1852,Table!I:I,0),6),"")</f>
        <v/>
      </c>
      <c r="Q1852" s="89" t="str">
        <f t="shared" si="84"/>
        <v/>
      </c>
      <c r="R1852" s="89" t="str">
        <f t="shared" si="85"/>
        <v/>
      </c>
      <c r="S1852" s="82"/>
      <c r="U1852" s="37" t="e">
        <f t="shared" si="86"/>
        <v>#VALUE!</v>
      </c>
    </row>
    <row r="1853" spans="1:21" x14ac:dyDescent="0.25">
      <c r="A1853" s="31" t="str">
        <f>IF(Table!A1853 = "","",Table!A1853)</f>
        <v/>
      </c>
      <c r="B1853" s="31" t="str">
        <f>IF(Table!B1853 = "","",Table!B1853)</f>
        <v/>
      </c>
      <c r="C1853" s="31" t="str">
        <f>IF(Table!C1853 = "","",Table!C1853)</f>
        <v/>
      </c>
      <c r="D1853" s="32" t="str">
        <f>IF(Table!D1853 = "","",Table!D1853)</f>
        <v/>
      </c>
      <c r="E1853" s="32" t="str">
        <f>IF(Table!E1853 = "","",Table!E1853)</f>
        <v/>
      </c>
      <c r="F1853" s="32" t="str">
        <f>IF(Table!F1853 = "","",Table!F1853)</f>
        <v/>
      </c>
      <c r="G1853" s="91"/>
      <c r="K1853" s="31" t="str">
        <f>IFERROR(VLOOKUP(A1853,Table!$I$4:$O$3000,1,TRUE),"")</f>
        <v/>
      </c>
      <c r="L1853" s="31" t="str">
        <f>IFERROR(INDEX(Table!I:O,MATCH(K1853,Table!I:I,0),2),"")</f>
        <v/>
      </c>
      <c r="M1853" s="31" t="str">
        <f>IFERROR(INDEX(Table!I:O,MATCH(K1853,Table!I:I,0),3),"")</f>
        <v/>
      </c>
      <c r="N1853" s="32" t="str">
        <f>IFERROR(INDEX(Table!I:O,MATCH(K1853,Table!I:I,0),4),"")</f>
        <v/>
      </c>
      <c r="O1853" s="32" t="str">
        <f>IFERROR(INDEX(Table!I:O,MATCH(K1853,Table!I:I,0),5),"")</f>
        <v/>
      </c>
      <c r="P1853" s="32" t="str">
        <f>IFERROR(INDEX(Table!I:O,MATCH(K1853,Table!I:I,0),6),"")</f>
        <v/>
      </c>
      <c r="Q1853" s="89" t="str">
        <f t="shared" si="84"/>
        <v/>
      </c>
      <c r="R1853" s="89" t="str">
        <f t="shared" si="85"/>
        <v/>
      </c>
      <c r="S1853" s="82"/>
      <c r="U1853" s="37" t="e">
        <f t="shared" si="86"/>
        <v>#VALUE!</v>
      </c>
    </row>
    <row r="1854" spans="1:21" x14ac:dyDescent="0.25">
      <c r="A1854" s="31" t="str">
        <f>IF(Table!A1854 = "","",Table!A1854)</f>
        <v/>
      </c>
      <c r="B1854" s="31" t="str">
        <f>IF(Table!B1854 = "","",Table!B1854)</f>
        <v/>
      </c>
      <c r="C1854" s="31" t="str">
        <f>IF(Table!C1854 = "","",Table!C1854)</f>
        <v/>
      </c>
      <c r="D1854" s="32" t="str">
        <f>IF(Table!D1854 = "","",Table!D1854)</f>
        <v/>
      </c>
      <c r="E1854" s="32" t="str">
        <f>IF(Table!E1854 = "","",Table!E1854)</f>
        <v/>
      </c>
      <c r="F1854" s="32" t="str">
        <f>IF(Table!F1854 = "","",Table!F1854)</f>
        <v/>
      </c>
      <c r="G1854" s="91"/>
      <c r="K1854" s="31" t="str">
        <f>IFERROR(VLOOKUP(A1854,Table!$I$4:$O$3000,1,TRUE),"")</f>
        <v/>
      </c>
      <c r="L1854" s="31" t="str">
        <f>IFERROR(INDEX(Table!I:O,MATCH(K1854,Table!I:I,0),2),"")</f>
        <v/>
      </c>
      <c r="M1854" s="31" t="str">
        <f>IFERROR(INDEX(Table!I:O,MATCH(K1854,Table!I:I,0),3),"")</f>
        <v/>
      </c>
      <c r="N1854" s="32" t="str">
        <f>IFERROR(INDEX(Table!I:O,MATCH(K1854,Table!I:I,0),4),"")</f>
        <v/>
      </c>
      <c r="O1854" s="32" t="str">
        <f>IFERROR(INDEX(Table!I:O,MATCH(K1854,Table!I:I,0),5),"")</f>
        <v/>
      </c>
      <c r="P1854" s="32" t="str">
        <f>IFERROR(INDEX(Table!I:O,MATCH(K1854,Table!I:I,0),6),"")</f>
        <v/>
      </c>
      <c r="Q1854" s="89" t="str">
        <f t="shared" si="84"/>
        <v/>
      </c>
      <c r="R1854" s="89" t="str">
        <f t="shared" si="85"/>
        <v/>
      </c>
      <c r="S1854" s="82"/>
      <c r="U1854" s="37" t="e">
        <f t="shared" si="86"/>
        <v>#VALUE!</v>
      </c>
    </row>
    <row r="1855" spans="1:21" x14ac:dyDescent="0.25">
      <c r="A1855" s="31" t="str">
        <f>IF(Table!A1855 = "","",Table!A1855)</f>
        <v/>
      </c>
      <c r="B1855" s="31" t="str">
        <f>IF(Table!B1855 = "","",Table!B1855)</f>
        <v/>
      </c>
      <c r="C1855" s="31" t="str">
        <f>IF(Table!C1855 = "","",Table!C1855)</f>
        <v/>
      </c>
      <c r="D1855" s="32" t="str">
        <f>IF(Table!D1855 = "","",Table!D1855)</f>
        <v/>
      </c>
      <c r="E1855" s="32" t="str">
        <f>IF(Table!E1855 = "","",Table!E1855)</f>
        <v/>
      </c>
      <c r="F1855" s="32" t="str">
        <f>IF(Table!F1855 = "","",Table!F1855)</f>
        <v/>
      </c>
      <c r="G1855" s="91"/>
      <c r="K1855" s="31" t="str">
        <f>IFERROR(VLOOKUP(A1855,Table!$I$4:$O$3000,1,TRUE),"")</f>
        <v/>
      </c>
      <c r="L1855" s="31" t="str">
        <f>IFERROR(INDEX(Table!I:O,MATCH(K1855,Table!I:I,0),2),"")</f>
        <v/>
      </c>
      <c r="M1855" s="31" t="str">
        <f>IFERROR(INDEX(Table!I:O,MATCH(K1855,Table!I:I,0),3),"")</f>
        <v/>
      </c>
      <c r="N1855" s="32" t="str">
        <f>IFERROR(INDEX(Table!I:O,MATCH(K1855,Table!I:I,0),4),"")</f>
        <v/>
      </c>
      <c r="O1855" s="32" t="str">
        <f>IFERROR(INDEX(Table!I:O,MATCH(K1855,Table!I:I,0),5),"")</f>
        <v/>
      </c>
      <c r="P1855" s="32" t="str">
        <f>IFERROR(INDEX(Table!I:O,MATCH(K1855,Table!I:I,0),6),"")</f>
        <v/>
      </c>
      <c r="Q1855" s="89" t="str">
        <f t="shared" si="84"/>
        <v/>
      </c>
      <c r="R1855" s="89" t="str">
        <f t="shared" si="85"/>
        <v/>
      </c>
      <c r="S1855" s="82"/>
      <c r="U1855" s="37" t="e">
        <f t="shared" si="86"/>
        <v>#VALUE!</v>
      </c>
    </row>
    <row r="1856" spans="1:21" x14ac:dyDescent="0.25">
      <c r="A1856" s="31" t="str">
        <f>IF(Table!A1856 = "","",Table!A1856)</f>
        <v/>
      </c>
      <c r="B1856" s="31" t="str">
        <f>IF(Table!B1856 = "","",Table!B1856)</f>
        <v/>
      </c>
      <c r="C1856" s="31" t="str">
        <f>IF(Table!C1856 = "","",Table!C1856)</f>
        <v/>
      </c>
      <c r="D1856" s="32" t="str">
        <f>IF(Table!D1856 = "","",Table!D1856)</f>
        <v/>
      </c>
      <c r="E1856" s="32" t="str">
        <f>IF(Table!E1856 = "","",Table!E1856)</f>
        <v/>
      </c>
      <c r="F1856" s="32" t="str">
        <f>IF(Table!F1856 = "","",Table!F1856)</f>
        <v/>
      </c>
      <c r="G1856" s="91"/>
      <c r="K1856" s="31" t="str">
        <f>IFERROR(VLOOKUP(A1856,Table!$I$4:$O$3000,1,TRUE),"")</f>
        <v/>
      </c>
      <c r="L1856" s="31" t="str">
        <f>IFERROR(INDEX(Table!I:O,MATCH(K1856,Table!I:I,0),2),"")</f>
        <v/>
      </c>
      <c r="M1856" s="31" t="str">
        <f>IFERROR(INDEX(Table!I:O,MATCH(K1856,Table!I:I,0),3),"")</f>
        <v/>
      </c>
      <c r="N1856" s="32" t="str">
        <f>IFERROR(INDEX(Table!I:O,MATCH(K1856,Table!I:I,0),4),"")</f>
        <v/>
      </c>
      <c r="O1856" s="32" t="str">
        <f>IFERROR(INDEX(Table!I:O,MATCH(K1856,Table!I:I,0),5),"")</f>
        <v/>
      </c>
      <c r="P1856" s="32" t="str">
        <f>IFERROR(INDEX(Table!I:O,MATCH(K1856,Table!I:I,0),6),"")</f>
        <v/>
      </c>
      <c r="Q1856" s="89" t="str">
        <f t="shared" si="84"/>
        <v/>
      </c>
      <c r="R1856" s="89" t="str">
        <f t="shared" si="85"/>
        <v/>
      </c>
      <c r="S1856" s="82"/>
      <c r="U1856" s="37" t="e">
        <f t="shared" si="86"/>
        <v>#VALUE!</v>
      </c>
    </row>
    <row r="1857" spans="1:21" x14ac:dyDescent="0.25">
      <c r="A1857" s="31" t="str">
        <f>IF(Table!A1857 = "","",Table!A1857)</f>
        <v/>
      </c>
      <c r="B1857" s="31" t="str">
        <f>IF(Table!B1857 = "","",Table!B1857)</f>
        <v/>
      </c>
      <c r="C1857" s="31" t="str">
        <f>IF(Table!C1857 = "","",Table!C1857)</f>
        <v/>
      </c>
      <c r="D1857" s="32" t="str">
        <f>IF(Table!D1857 = "","",Table!D1857)</f>
        <v/>
      </c>
      <c r="E1857" s="32" t="str">
        <f>IF(Table!E1857 = "","",Table!E1857)</f>
        <v/>
      </c>
      <c r="F1857" s="32" t="str">
        <f>IF(Table!F1857 = "","",Table!F1857)</f>
        <v/>
      </c>
      <c r="G1857" s="91"/>
      <c r="K1857" s="31" t="str">
        <f>IFERROR(VLOOKUP(A1857,Table!$I$4:$O$3000,1,TRUE),"")</f>
        <v/>
      </c>
      <c r="L1857" s="31" t="str">
        <f>IFERROR(INDEX(Table!I:O,MATCH(K1857,Table!I:I,0),2),"")</f>
        <v/>
      </c>
      <c r="M1857" s="31" t="str">
        <f>IFERROR(INDEX(Table!I:O,MATCH(K1857,Table!I:I,0),3),"")</f>
        <v/>
      </c>
      <c r="N1857" s="32" t="str">
        <f>IFERROR(INDEX(Table!I:O,MATCH(K1857,Table!I:I,0),4),"")</f>
        <v/>
      </c>
      <c r="O1857" s="32" t="str">
        <f>IFERROR(INDEX(Table!I:O,MATCH(K1857,Table!I:I,0),5),"")</f>
        <v/>
      </c>
      <c r="P1857" s="32" t="str">
        <f>IFERROR(INDEX(Table!I:O,MATCH(K1857,Table!I:I,0),6),"")</f>
        <v/>
      </c>
      <c r="Q1857" s="89" t="str">
        <f t="shared" si="84"/>
        <v/>
      </c>
      <c r="R1857" s="89" t="str">
        <f t="shared" si="85"/>
        <v/>
      </c>
      <c r="S1857" s="82"/>
      <c r="U1857" s="37" t="e">
        <f t="shared" si="86"/>
        <v>#VALUE!</v>
      </c>
    </row>
    <row r="1858" spans="1:21" x14ac:dyDescent="0.25">
      <c r="A1858" s="31" t="str">
        <f>IF(Table!A1858 = "","",Table!A1858)</f>
        <v/>
      </c>
      <c r="B1858" s="31" t="str">
        <f>IF(Table!B1858 = "","",Table!B1858)</f>
        <v/>
      </c>
      <c r="C1858" s="31" t="str">
        <f>IF(Table!C1858 = "","",Table!C1858)</f>
        <v/>
      </c>
      <c r="D1858" s="32" t="str">
        <f>IF(Table!D1858 = "","",Table!D1858)</f>
        <v/>
      </c>
      <c r="E1858" s="32" t="str">
        <f>IF(Table!E1858 = "","",Table!E1858)</f>
        <v/>
      </c>
      <c r="F1858" s="32" t="str">
        <f>IF(Table!F1858 = "","",Table!F1858)</f>
        <v/>
      </c>
      <c r="G1858" s="91"/>
      <c r="K1858" s="31" t="str">
        <f>IFERROR(VLOOKUP(A1858,Table!$I$4:$O$3000,1,TRUE),"")</f>
        <v/>
      </c>
      <c r="L1858" s="31" t="str">
        <f>IFERROR(INDEX(Table!I:O,MATCH(K1858,Table!I:I,0),2),"")</f>
        <v/>
      </c>
      <c r="M1858" s="31" t="str">
        <f>IFERROR(INDEX(Table!I:O,MATCH(K1858,Table!I:I,0),3),"")</f>
        <v/>
      </c>
      <c r="N1858" s="32" t="str">
        <f>IFERROR(INDEX(Table!I:O,MATCH(K1858,Table!I:I,0),4),"")</f>
        <v/>
      </c>
      <c r="O1858" s="32" t="str">
        <f>IFERROR(INDEX(Table!I:O,MATCH(K1858,Table!I:I,0),5),"")</f>
        <v/>
      </c>
      <c r="P1858" s="32" t="str">
        <f>IFERROR(INDEX(Table!I:O,MATCH(K1858,Table!I:I,0),6),"")</f>
        <v/>
      </c>
      <c r="Q1858" s="89" t="str">
        <f t="shared" si="84"/>
        <v/>
      </c>
      <c r="R1858" s="89" t="str">
        <f t="shared" si="85"/>
        <v/>
      </c>
      <c r="S1858" s="82"/>
      <c r="U1858" s="37" t="e">
        <f t="shared" si="86"/>
        <v>#VALUE!</v>
      </c>
    </row>
    <row r="1859" spans="1:21" x14ac:dyDescent="0.25">
      <c r="A1859" s="31" t="str">
        <f>IF(Table!A1859 = "","",Table!A1859)</f>
        <v/>
      </c>
      <c r="B1859" s="31" t="str">
        <f>IF(Table!B1859 = "","",Table!B1859)</f>
        <v/>
      </c>
      <c r="C1859" s="31" t="str">
        <f>IF(Table!C1859 = "","",Table!C1859)</f>
        <v/>
      </c>
      <c r="D1859" s="32" t="str">
        <f>IF(Table!D1859 = "","",Table!D1859)</f>
        <v/>
      </c>
      <c r="E1859" s="32" t="str">
        <f>IF(Table!E1859 = "","",Table!E1859)</f>
        <v/>
      </c>
      <c r="F1859" s="32" t="str">
        <f>IF(Table!F1859 = "","",Table!F1859)</f>
        <v/>
      </c>
      <c r="G1859" s="91"/>
      <c r="K1859" s="31" t="str">
        <f>IFERROR(VLOOKUP(A1859,Table!$I$4:$O$3000,1,TRUE),"")</f>
        <v/>
      </c>
      <c r="L1859" s="31" t="str">
        <f>IFERROR(INDEX(Table!I:O,MATCH(K1859,Table!I:I,0),2),"")</f>
        <v/>
      </c>
      <c r="M1859" s="31" t="str">
        <f>IFERROR(INDEX(Table!I:O,MATCH(K1859,Table!I:I,0),3),"")</f>
        <v/>
      </c>
      <c r="N1859" s="32" t="str">
        <f>IFERROR(INDEX(Table!I:O,MATCH(K1859,Table!I:I,0),4),"")</f>
        <v/>
      </c>
      <c r="O1859" s="32" t="str">
        <f>IFERROR(INDEX(Table!I:O,MATCH(K1859,Table!I:I,0),5),"")</f>
        <v/>
      </c>
      <c r="P1859" s="32" t="str">
        <f>IFERROR(INDEX(Table!I:O,MATCH(K1859,Table!I:I,0),6),"")</f>
        <v/>
      </c>
      <c r="Q1859" s="89" t="str">
        <f t="shared" si="84"/>
        <v/>
      </c>
      <c r="R1859" s="89" t="str">
        <f t="shared" si="85"/>
        <v/>
      </c>
      <c r="S1859" s="82"/>
      <c r="U1859" s="37" t="e">
        <f t="shared" si="86"/>
        <v>#VALUE!</v>
      </c>
    </row>
    <row r="1860" spans="1:21" x14ac:dyDescent="0.25">
      <c r="A1860" s="31" t="str">
        <f>IF(Table!A1860 = "","",Table!A1860)</f>
        <v/>
      </c>
      <c r="B1860" s="31" t="str">
        <f>IF(Table!B1860 = "","",Table!B1860)</f>
        <v/>
      </c>
      <c r="C1860" s="31" t="str">
        <f>IF(Table!C1860 = "","",Table!C1860)</f>
        <v/>
      </c>
      <c r="D1860" s="32" t="str">
        <f>IF(Table!D1860 = "","",Table!D1860)</f>
        <v/>
      </c>
      <c r="E1860" s="32" t="str">
        <f>IF(Table!E1860 = "","",Table!E1860)</f>
        <v/>
      </c>
      <c r="F1860" s="32" t="str">
        <f>IF(Table!F1860 = "","",Table!F1860)</f>
        <v/>
      </c>
      <c r="G1860" s="91"/>
      <c r="K1860" s="31" t="str">
        <f>IFERROR(VLOOKUP(A1860,Table!$I$4:$O$3000,1,TRUE),"")</f>
        <v/>
      </c>
      <c r="L1860" s="31" t="str">
        <f>IFERROR(INDEX(Table!I:O,MATCH(K1860,Table!I:I,0),2),"")</f>
        <v/>
      </c>
      <c r="M1860" s="31" t="str">
        <f>IFERROR(INDEX(Table!I:O,MATCH(K1860,Table!I:I,0),3),"")</f>
        <v/>
      </c>
      <c r="N1860" s="32" t="str">
        <f>IFERROR(INDEX(Table!I:O,MATCH(K1860,Table!I:I,0),4),"")</f>
        <v/>
      </c>
      <c r="O1860" s="32" t="str">
        <f>IFERROR(INDEX(Table!I:O,MATCH(K1860,Table!I:I,0),5),"")</f>
        <v/>
      </c>
      <c r="P1860" s="32" t="str">
        <f>IFERROR(INDEX(Table!I:O,MATCH(K1860,Table!I:I,0),6),"")</f>
        <v/>
      </c>
      <c r="Q1860" s="89" t="str">
        <f t="shared" si="84"/>
        <v/>
      </c>
      <c r="R1860" s="89" t="str">
        <f t="shared" si="85"/>
        <v/>
      </c>
      <c r="S1860" s="82"/>
      <c r="U1860" s="37" t="e">
        <f t="shared" si="86"/>
        <v>#VALUE!</v>
      </c>
    </row>
    <row r="1861" spans="1:21" x14ac:dyDescent="0.25">
      <c r="A1861" s="31" t="str">
        <f>IF(Table!A1861 = "","",Table!A1861)</f>
        <v/>
      </c>
      <c r="B1861" s="31" t="str">
        <f>IF(Table!B1861 = "","",Table!B1861)</f>
        <v/>
      </c>
      <c r="C1861" s="31" t="str">
        <f>IF(Table!C1861 = "","",Table!C1861)</f>
        <v/>
      </c>
      <c r="D1861" s="32" t="str">
        <f>IF(Table!D1861 = "","",Table!D1861)</f>
        <v/>
      </c>
      <c r="E1861" s="32" t="str">
        <f>IF(Table!E1861 = "","",Table!E1861)</f>
        <v/>
      </c>
      <c r="F1861" s="32" t="str">
        <f>IF(Table!F1861 = "","",Table!F1861)</f>
        <v/>
      </c>
      <c r="G1861" s="91"/>
      <c r="K1861" s="31" t="str">
        <f>IFERROR(VLOOKUP(A1861,Table!$I$4:$O$3000,1,TRUE),"")</f>
        <v/>
      </c>
      <c r="L1861" s="31" t="str">
        <f>IFERROR(INDEX(Table!I:O,MATCH(K1861,Table!I:I,0),2),"")</f>
        <v/>
      </c>
      <c r="M1861" s="31" t="str">
        <f>IFERROR(INDEX(Table!I:O,MATCH(K1861,Table!I:I,0),3),"")</f>
        <v/>
      </c>
      <c r="N1861" s="32" t="str">
        <f>IFERROR(INDEX(Table!I:O,MATCH(K1861,Table!I:I,0),4),"")</f>
        <v/>
      </c>
      <c r="O1861" s="32" t="str">
        <f>IFERROR(INDEX(Table!I:O,MATCH(K1861,Table!I:I,0),5),"")</f>
        <v/>
      </c>
      <c r="P1861" s="32" t="str">
        <f>IFERROR(INDEX(Table!I:O,MATCH(K1861,Table!I:I,0),6),"")</f>
        <v/>
      </c>
      <c r="Q1861" s="89" t="str">
        <f t="shared" si="84"/>
        <v/>
      </c>
      <c r="R1861" s="89" t="str">
        <f t="shared" si="85"/>
        <v/>
      </c>
      <c r="S1861" s="82"/>
      <c r="U1861" s="37" t="e">
        <f t="shared" si="86"/>
        <v>#VALUE!</v>
      </c>
    </row>
    <row r="1862" spans="1:21" x14ac:dyDescent="0.25">
      <c r="A1862" s="31" t="str">
        <f>IF(Table!A1862 = "","",Table!A1862)</f>
        <v/>
      </c>
      <c r="B1862" s="31" t="str">
        <f>IF(Table!B1862 = "","",Table!B1862)</f>
        <v/>
      </c>
      <c r="C1862" s="31" t="str">
        <f>IF(Table!C1862 = "","",Table!C1862)</f>
        <v/>
      </c>
      <c r="D1862" s="32" t="str">
        <f>IF(Table!D1862 = "","",Table!D1862)</f>
        <v/>
      </c>
      <c r="E1862" s="32" t="str">
        <f>IF(Table!E1862 = "","",Table!E1862)</f>
        <v/>
      </c>
      <c r="F1862" s="32" t="str">
        <f>IF(Table!F1862 = "","",Table!F1862)</f>
        <v/>
      </c>
      <c r="G1862" s="91"/>
      <c r="K1862" s="31" t="str">
        <f>IFERROR(VLOOKUP(A1862,Table!$I$4:$O$3000,1,TRUE),"")</f>
        <v/>
      </c>
      <c r="L1862" s="31" t="str">
        <f>IFERROR(INDEX(Table!I:O,MATCH(K1862,Table!I:I,0),2),"")</f>
        <v/>
      </c>
      <c r="M1862" s="31" t="str">
        <f>IFERROR(INDEX(Table!I:O,MATCH(K1862,Table!I:I,0),3),"")</f>
        <v/>
      </c>
      <c r="N1862" s="32" t="str">
        <f>IFERROR(INDEX(Table!I:O,MATCH(K1862,Table!I:I,0),4),"")</f>
        <v/>
      </c>
      <c r="O1862" s="32" t="str">
        <f>IFERROR(INDEX(Table!I:O,MATCH(K1862,Table!I:I,0),5),"")</f>
        <v/>
      </c>
      <c r="P1862" s="32" t="str">
        <f>IFERROR(INDEX(Table!I:O,MATCH(K1862,Table!I:I,0),6),"")</f>
        <v/>
      </c>
      <c r="Q1862" s="89" t="str">
        <f t="shared" ref="Q1862:Q1925" si="87">IFERROR(L1862-B1862,"")</f>
        <v/>
      </c>
      <c r="R1862" s="89" t="str">
        <f t="shared" ref="R1862:R1925" si="88">IFERROR(M1862-C1862,"")</f>
        <v/>
      </c>
      <c r="S1862" s="82"/>
      <c r="U1862" s="37" t="e">
        <f t="shared" ref="U1862:U1925" si="89">K1862-K1861</f>
        <v>#VALUE!</v>
      </c>
    </row>
    <row r="1863" spans="1:21" x14ac:dyDescent="0.25">
      <c r="A1863" s="31" t="str">
        <f>IF(Table!A1863 = "","",Table!A1863)</f>
        <v/>
      </c>
      <c r="B1863" s="31" t="str">
        <f>IF(Table!B1863 = "","",Table!B1863)</f>
        <v/>
      </c>
      <c r="C1863" s="31" t="str">
        <f>IF(Table!C1863 = "","",Table!C1863)</f>
        <v/>
      </c>
      <c r="D1863" s="32" t="str">
        <f>IF(Table!D1863 = "","",Table!D1863)</f>
        <v/>
      </c>
      <c r="E1863" s="32" t="str">
        <f>IF(Table!E1863 = "","",Table!E1863)</f>
        <v/>
      </c>
      <c r="F1863" s="32" t="str">
        <f>IF(Table!F1863 = "","",Table!F1863)</f>
        <v/>
      </c>
      <c r="G1863" s="91"/>
      <c r="K1863" s="31" t="str">
        <f>IFERROR(VLOOKUP(A1863,Table!$I$4:$O$3000,1,TRUE),"")</f>
        <v/>
      </c>
      <c r="L1863" s="31" t="str">
        <f>IFERROR(INDEX(Table!I:O,MATCH(K1863,Table!I:I,0),2),"")</f>
        <v/>
      </c>
      <c r="M1863" s="31" t="str">
        <f>IFERROR(INDEX(Table!I:O,MATCH(K1863,Table!I:I,0),3),"")</f>
        <v/>
      </c>
      <c r="N1863" s="32" t="str">
        <f>IFERROR(INDEX(Table!I:O,MATCH(K1863,Table!I:I,0),4),"")</f>
        <v/>
      </c>
      <c r="O1863" s="32" t="str">
        <f>IFERROR(INDEX(Table!I:O,MATCH(K1863,Table!I:I,0),5),"")</f>
        <v/>
      </c>
      <c r="P1863" s="32" t="str">
        <f>IFERROR(INDEX(Table!I:O,MATCH(K1863,Table!I:I,0),6),"")</f>
        <v/>
      </c>
      <c r="Q1863" s="89" t="str">
        <f t="shared" si="87"/>
        <v/>
      </c>
      <c r="R1863" s="89" t="str">
        <f t="shared" si="88"/>
        <v/>
      </c>
      <c r="S1863" s="82"/>
      <c r="U1863" s="37" t="e">
        <f t="shared" si="89"/>
        <v>#VALUE!</v>
      </c>
    </row>
    <row r="1864" spans="1:21" x14ac:dyDescent="0.25">
      <c r="A1864" s="31" t="str">
        <f>IF(Table!A1864 = "","",Table!A1864)</f>
        <v/>
      </c>
      <c r="B1864" s="31" t="str">
        <f>IF(Table!B1864 = "","",Table!B1864)</f>
        <v/>
      </c>
      <c r="C1864" s="31" t="str">
        <f>IF(Table!C1864 = "","",Table!C1864)</f>
        <v/>
      </c>
      <c r="D1864" s="32" t="str">
        <f>IF(Table!D1864 = "","",Table!D1864)</f>
        <v/>
      </c>
      <c r="E1864" s="32" t="str">
        <f>IF(Table!E1864 = "","",Table!E1864)</f>
        <v/>
      </c>
      <c r="F1864" s="32" t="str">
        <f>IF(Table!F1864 = "","",Table!F1864)</f>
        <v/>
      </c>
      <c r="G1864" s="91"/>
      <c r="K1864" s="31" t="str">
        <f>IFERROR(VLOOKUP(A1864,Table!$I$4:$O$3000,1,TRUE),"")</f>
        <v/>
      </c>
      <c r="L1864" s="31" t="str">
        <f>IFERROR(INDEX(Table!I:O,MATCH(K1864,Table!I:I,0),2),"")</f>
        <v/>
      </c>
      <c r="M1864" s="31" t="str">
        <f>IFERROR(INDEX(Table!I:O,MATCH(K1864,Table!I:I,0),3),"")</f>
        <v/>
      </c>
      <c r="N1864" s="32" t="str">
        <f>IFERROR(INDEX(Table!I:O,MATCH(K1864,Table!I:I,0),4),"")</f>
        <v/>
      </c>
      <c r="O1864" s="32" t="str">
        <f>IFERROR(INDEX(Table!I:O,MATCH(K1864,Table!I:I,0),5),"")</f>
        <v/>
      </c>
      <c r="P1864" s="32" t="str">
        <f>IFERROR(INDEX(Table!I:O,MATCH(K1864,Table!I:I,0),6),"")</f>
        <v/>
      </c>
      <c r="Q1864" s="89" t="str">
        <f t="shared" si="87"/>
        <v/>
      </c>
      <c r="R1864" s="89" t="str">
        <f t="shared" si="88"/>
        <v/>
      </c>
      <c r="S1864" s="82"/>
      <c r="U1864" s="37" t="e">
        <f t="shared" si="89"/>
        <v>#VALUE!</v>
      </c>
    </row>
    <row r="1865" spans="1:21" x14ac:dyDescent="0.25">
      <c r="A1865" s="31" t="str">
        <f>IF(Table!A1865 = "","",Table!A1865)</f>
        <v/>
      </c>
      <c r="B1865" s="31" t="str">
        <f>IF(Table!B1865 = "","",Table!B1865)</f>
        <v/>
      </c>
      <c r="C1865" s="31" t="str">
        <f>IF(Table!C1865 = "","",Table!C1865)</f>
        <v/>
      </c>
      <c r="D1865" s="32" t="str">
        <f>IF(Table!D1865 = "","",Table!D1865)</f>
        <v/>
      </c>
      <c r="E1865" s="32" t="str">
        <f>IF(Table!E1865 = "","",Table!E1865)</f>
        <v/>
      </c>
      <c r="F1865" s="32" t="str">
        <f>IF(Table!F1865 = "","",Table!F1865)</f>
        <v/>
      </c>
      <c r="G1865" s="91"/>
      <c r="K1865" s="31" t="str">
        <f>IFERROR(VLOOKUP(A1865,Table!$I$4:$O$3000,1,TRUE),"")</f>
        <v/>
      </c>
      <c r="L1865" s="31" t="str">
        <f>IFERROR(INDEX(Table!I:O,MATCH(K1865,Table!I:I,0),2),"")</f>
        <v/>
      </c>
      <c r="M1865" s="31" t="str">
        <f>IFERROR(INDEX(Table!I:O,MATCH(K1865,Table!I:I,0),3),"")</f>
        <v/>
      </c>
      <c r="N1865" s="32" t="str">
        <f>IFERROR(INDEX(Table!I:O,MATCH(K1865,Table!I:I,0),4),"")</f>
        <v/>
      </c>
      <c r="O1865" s="32" t="str">
        <f>IFERROR(INDEX(Table!I:O,MATCH(K1865,Table!I:I,0),5),"")</f>
        <v/>
      </c>
      <c r="P1865" s="32" t="str">
        <f>IFERROR(INDEX(Table!I:O,MATCH(K1865,Table!I:I,0),6),"")</f>
        <v/>
      </c>
      <c r="Q1865" s="89" t="str">
        <f t="shared" si="87"/>
        <v/>
      </c>
      <c r="R1865" s="89" t="str">
        <f t="shared" si="88"/>
        <v/>
      </c>
      <c r="S1865" s="82"/>
      <c r="U1865" s="37" t="e">
        <f t="shared" si="89"/>
        <v>#VALUE!</v>
      </c>
    </row>
    <row r="1866" spans="1:21" x14ac:dyDescent="0.25">
      <c r="A1866" s="31" t="str">
        <f>IF(Table!A1866 = "","",Table!A1866)</f>
        <v/>
      </c>
      <c r="B1866" s="31" t="str">
        <f>IF(Table!B1866 = "","",Table!B1866)</f>
        <v/>
      </c>
      <c r="C1866" s="31" t="str">
        <f>IF(Table!C1866 = "","",Table!C1866)</f>
        <v/>
      </c>
      <c r="D1866" s="32" t="str">
        <f>IF(Table!D1866 = "","",Table!D1866)</f>
        <v/>
      </c>
      <c r="E1866" s="32" t="str">
        <f>IF(Table!E1866 = "","",Table!E1866)</f>
        <v/>
      </c>
      <c r="F1866" s="32" t="str">
        <f>IF(Table!F1866 = "","",Table!F1866)</f>
        <v/>
      </c>
      <c r="G1866" s="91"/>
      <c r="K1866" s="31" t="str">
        <f>IFERROR(VLOOKUP(A1866,Table!$I$4:$O$3000,1,TRUE),"")</f>
        <v/>
      </c>
      <c r="L1866" s="31" t="str">
        <f>IFERROR(INDEX(Table!I:O,MATCH(K1866,Table!I:I,0),2),"")</f>
        <v/>
      </c>
      <c r="M1866" s="31" t="str">
        <f>IFERROR(INDEX(Table!I:O,MATCH(K1866,Table!I:I,0),3),"")</f>
        <v/>
      </c>
      <c r="N1866" s="32" t="str">
        <f>IFERROR(INDEX(Table!I:O,MATCH(K1866,Table!I:I,0),4),"")</f>
        <v/>
      </c>
      <c r="O1866" s="32" t="str">
        <f>IFERROR(INDEX(Table!I:O,MATCH(K1866,Table!I:I,0),5),"")</f>
        <v/>
      </c>
      <c r="P1866" s="32" t="str">
        <f>IFERROR(INDEX(Table!I:O,MATCH(K1866,Table!I:I,0),6),"")</f>
        <v/>
      </c>
      <c r="Q1866" s="89" t="str">
        <f t="shared" si="87"/>
        <v/>
      </c>
      <c r="R1866" s="89" t="str">
        <f t="shared" si="88"/>
        <v/>
      </c>
      <c r="S1866" s="82"/>
      <c r="U1866" s="37" t="e">
        <f t="shared" si="89"/>
        <v>#VALUE!</v>
      </c>
    </row>
    <row r="1867" spans="1:21" x14ac:dyDescent="0.25">
      <c r="A1867" s="31" t="str">
        <f>IF(Table!A1867 = "","",Table!A1867)</f>
        <v/>
      </c>
      <c r="B1867" s="31" t="str">
        <f>IF(Table!B1867 = "","",Table!B1867)</f>
        <v/>
      </c>
      <c r="C1867" s="31" t="str">
        <f>IF(Table!C1867 = "","",Table!C1867)</f>
        <v/>
      </c>
      <c r="D1867" s="32" t="str">
        <f>IF(Table!D1867 = "","",Table!D1867)</f>
        <v/>
      </c>
      <c r="E1867" s="32" t="str">
        <f>IF(Table!E1867 = "","",Table!E1867)</f>
        <v/>
      </c>
      <c r="F1867" s="32" t="str">
        <f>IF(Table!F1867 = "","",Table!F1867)</f>
        <v/>
      </c>
      <c r="G1867" s="91"/>
      <c r="K1867" s="31" t="str">
        <f>IFERROR(VLOOKUP(A1867,Table!$I$4:$O$3000,1,TRUE),"")</f>
        <v/>
      </c>
      <c r="L1867" s="31" t="str">
        <f>IFERROR(INDEX(Table!I:O,MATCH(K1867,Table!I:I,0),2),"")</f>
        <v/>
      </c>
      <c r="M1867" s="31" t="str">
        <f>IFERROR(INDEX(Table!I:O,MATCH(K1867,Table!I:I,0),3),"")</f>
        <v/>
      </c>
      <c r="N1867" s="32" t="str">
        <f>IFERROR(INDEX(Table!I:O,MATCH(K1867,Table!I:I,0),4),"")</f>
        <v/>
      </c>
      <c r="O1867" s="32" t="str">
        <f>IFERROR(INDEX(Table!I:O,MATCH(K1867,Table!I:I,0),5),"")</f>
        <v/>
      </c>
      <c r="P1867" s="32" t="str">
        <f>IFERROR(INDEX(Table!I:O,MATCH(K1867,Table!I:I,0),6),"")</f>
        <v/>
      </c>
      <c r="Q1867" s="89" t="str">
        <f t="shared" si="87"/>
        <v/>
      </c>
      <c r="R1867" s="89" t="str">
        <f t="shared" si="88"/>
        <v/>
      </c>
      <c r="S1867" s="82"/>
      <c r="U1867" s="37" t="e">
        <f t="shared" si="89"/>
        <v>#VALUE!</v>
      </c>
    </row>
    <row r="1868" spans="1:21" x14ac:dyDescent="0.25">
      <c r="A1868" s="31" t="str">
        <f>IF(Table!A1868 = "","",Table!A1868)</f>
        <v/>
      </c>
      <c r="B1868" s="31" t="str">
        <f>IF(Table!B1868 = "","",Table!B1868)</f>
        <v/>
      </c>
      <c r="C1868" s="31" t="str">
        <f>IF(Table!C1868 = "","",Table!C1868)</f>
        <v/>
      </c>
      <c r="D1868" s="32" t="str">
        <f>IF(Table!D1868 = "","",Table!D1868)</f>
        <v/>
      </c>
      <c r="E1868" s="32" t="str">
        <f>IF(Table!E1868 = "","",Table!E1868)</f>
        <v/>
      </c>
      <c r="F1868" s="32" t="str">
        <f>IF(Table!F1868 = "","",Table!F1868)</f>
        <v/>
      </c>
      <c r="G1868" s="91"/>
      <c r="K1868" s="31" t="str">
        <f>IFERROR(VLOOKUP(A1868,Table!$I$4:$O$3000,1,TRUE),"")</f>
        <v/>
      </c>
      <c r="L1868" s="31" t="str">
        <f>IFERROR(INDEX(Table!I:O,MATCH(K1868,Table!I:I,0),2),"")</f>
        <v/>
      </c>
      <c r="M1868" s="31" t="str">
        <f>IFERROR(INDEX(Table!I:O,MATCH(K1868,Table!I:I,0),3),"")</f>
        <v/>
      </c>
      <c r="N1868" s="32" t="str">
        <f>IFERROR(INDEX(Table!I:O,MATCH(K1868,Table!I:I,0),4),"")</f>
        <v/>
      </c>
      <c r="O1868" s="32" t="str">
        <f>IFERROR(INDEX(Table!I:O,MATCH(K1868,Table!I:I,0),5),"")</f>
        <v/>
      </c>
      <c r="P1868" s="32" t="str">
        <f>IFERROR(INDEX(Table!I:O,MATCH(K1868,Table!I:I,0),6),"")</f>
        <v/>
      </c>
      <c r="Q1868" s="89" t="str">
        <f t="shared" si="87"/>
        <v/>
      </c>
      <c r="R1868" s="89" t="str">
        <f t="shared" si="88"/>
        <v/>
      </c>
      <c r="S1868" s="82"/>
      <c r="U1868" s="37" t="e">
        <f t="shared" si="89"/>
        <v>#VALUE!</v>
      </c>
    </row>
    <row r="1869" spans="1:21" x14ac:dyDescent="0.25">
      <c r="A1869" s="31" t="str">
        <f>IF(Table!A1869 = "","",Table!A1869)</f>
        <v/>
      </c>
      <c r="B1869" s="31" t="str">
        <f>IF(Table!B1869 = "","",Table!B1869)</f>
        <v/>
      </c>
      <c r="C1869" s="31" t="str">
        <f>IF(Table!C1869 = "","",Table!C1869)</f>
        <v/>
      </c>
      <c r="D1869" s="32" t="str">
        <f>IF(Table!D1869 = "","",Table!D1869)</f>
        <v/>
      </c>
      <c r="E1869" s="32" t="str">
        <f>IF(Table!E1869 = "","",Table!E1869)</f>
        <v/>
      </c>
      <c r="F1869" s="32" t="str">
        <f>IF(Table!F1869 = "","",Table!F1869)</f>
        <v/>
      </c>
      <c r="G1869" s="91"/>
      <c r="K1869" s="31" t="str">
        <f>IFERROR(VLOOKUP(A1869,Table!$I$4:$O$3000,1,TRUE),"")</f>
        <v/>
      </c>
      <c r="L1869" s="31" t="str">
        <f>IFERROR(INDEX(Table!I:O,MATCH(K1869,Table!I:I,0),2),"")</f>
        <v/>
      </c>
      <c r="M1869" s="31" t="str">
        <f>IFERROR(INDEX(Table!I:O,MATCH(K1869,Table!I:I,0),3),"")</f>
        <v/>
      </c>
      <c r="N1869" s="32" t="str">
        <f>IFERROR(INDEX(Table!I:O,MATCH(K1869,Table!I:I,0),4),"")</f>
        <v/>
      </c>
      <c r="O1869" s="32" t="str">
        <f>IFERROR(INDEX(Table!I:O,MATCH(K1869,Table!I:I,0),5),"")</f>
        <v/>
      </c>
      <c r="P1869" s="32" t="str">
        <f>IFERROR(INDEX(Table!I:O,MATCH(K1869,Table!I:I,0),6),"")</f>
        <v/>
      </c>
      <c r="Q1869" s="89" t="str">
        <f t="shared" si="87"/>
        <v/>
      </c>
      <c r="R1869" s="89" t="str">
        <f t="shared" si="88"/>
        <v/>
      </c>
      <c r="S1869" s="82"/>
      <c r="U1869" s="37" t="e">
        <f t="shared" si="89"/>
        <v>#VALUE!</v>
      </c>
    </row>
    <row r="1870" spans="1:21" x14ac:dyDescent="0.25">
      <c r="A1870" s="31" t="str">
        <f>IF(Table!A1870 = "","",Table!A1870)</f>
        <v/>
      </c>
      <c r="B1870" s="31" t="str">
        <f>IF(Table!B1870 = "","",Table!B1870)</f>
        <v/>
      </c>
      <c r="C1870" s="31" t="str">
        <f>IF(Table!C1870 = "","",Table!C1870)</f>
        <v/>
      </c>
      <c r="D1870" s="32" t="str">
        <f>IF(Table!D1870 = "","",Table!D1870)</f>
        <v/>
      </c>
      <c r="E1870" s="32" t="str">
        <f>IF(Table!E1870 = "","",Table!E1870)</f>
        <v/>
      </c>
      <c r="F1870" s="32" t="str">
        <f>IF(Table!F1870 = "","",Table!F1870)</f>
        <v/>
      </c>
      <c r="G1870" s="91"/>
      <c r="K1870" s="31" t="str">
        <f>IFERROR(VLOOKUP(A1870,Table!$I$4:$O$3000,1,TRUE),"")</f>
        <v/>
      </c>
      <c r="L1870" s="31" t="str">
        <f>IFERROR(INDEX(Table!I:O,MATCH(K1870,Table!I:I,0),2),"")</f>
        <v/>
      </c>
      <c r="M1870" s="31" t="str">
        <f>IFERROR(INDEX(Table!I:O,MATCH(K1870,Table!I:I,0),3),"")</f>
        <v/>
      </c>
      <c r="N1870" s="32" t="str">
        <f>IFERROR(INDEX(Table!I:O,MATCH(K1870,Table!I:I,0),4),"")</f>
        <v/>
      </c>
      <c r="O1870" s="32" t="str">
        <f>IFERROR(INDEX(Table!I:O,MATCH(K1870,Table!I:I,0),5),"")</f>
        <v/>
      </c>
      <c r="P1870" s="32" t="str">
        <f>IFERROR(INDEX(Table!I:O,MATCH(K1870,Table!I:I,0),6),"")</f>
        <v/>
      </c>
      <c r="Q1870" s="89" t="str">
        <f t="shared" si="87"/>
        <v/>
      </c>
      <c r="R1870" s="89" t="str">
        <f t="shared" si="88"/>
        <v/>
      </c>
      <c r="S1870" s="82"/>
      <c r="U1870" s="37" t="e">
        <f t="shared" si="89"/>
        <v>#VALUE!</v>
      </c>
    </row>
    <row r="1871" spans="1:21" x14ac:dyDescent="0.25">
      <c r="A1871" s="31" t="str">
        <f>IF(Table!A1871 = "","",Table!A1871)</f>
        <v/>
      </c>
      <c r="B1871" s="31" t="str">
        <f>IF(Table!B1871 = "","",Table!B1871)</f>
        <v/>
      </c>
      <c r="C1871" s="31" t="str">
        <f>IF(Table!C1871 = "","",Table!C1871)</f>
        <v/>
      </c>
      <c r="D1871" s="32" t="str">
        <f>IF(Table!D1871 = "","",Table!D1871)</f>
        <v/>
      </c>
      <c r="E1871" s="32" t="str">
        <f>IF(Table!E1871 = "","",Table!E1871)</f>
        <v/>
      </c>
      <c r="F1871" s="32" t="str">
        <f>IF(Table!F1871 = "","",Table!F1871)</f>
        <v/>
      </c>
      <c r="G1871" s="91"/>
      <c r="K1871" s="31" t="str">
        <f>IFERROR(VLOOKUP(A1871,Table!$I$4:$O$3000,1,TRUE),"")</f>
        <v/>
      </c>
      <c r="L1871" s="31" t="str">
        <f>IFERROR(INDEX(Table!I:O,MATCH(K1871,Table!I:I,0),2),"")</f>
        <v/>
      </c>
      <c r="M1871" s="31" t="str">
        <f>IFERROR(INDEX(Table!I:O,MATCH(K1871,Table!I:I,0),3),"")</f>
        <v/>
      </c>
      <c r="N1871" s="32" t="str">
        <f>IFERROR(INDEX(Table!I:O,MATCH(K1871,Table!I:I,0),4),"")</f>
        <v/>
      </c>
      <c r="O1871" s="32" t="str">
        <f>IFERROR(INDEX(Table!I:O,MATCH(K1871,Table!I:I,0),5),"")</f>
        <v/>
      </c>
      <c r="P1871" s="32" t="str">
        <f>IFERROR(INDEX(Table!I:O,MATCH(K1871,Table!I:I,0),6),"")</f>
        <v/>
      </c>
      <c r="Q1871" s="89" t="str">
        <f t="shared" si="87"/>
        <v/>
      </c>
      <c r="R1871" s="89" t="str">
        <f t="shared" si="88"/>
        <v/>
      </c>
      <c r="S1871" s="82"/>
      <c r="U1871" s="37" t="e">
        <f t="shared" si="89"/>
        <v>#VALUE!</v>
      </c>
    </row>
    <row r="1872" spans="1:21" x14ac:dyDescent="0.25">
      <c r="A1872" s="31" t="str">
        <f>IF(Table!A1872 = "","",Table!A1872)</f>
        <v/>
      </c>
      <c r="B1872" s="31" t="str">
        <f>IF(Table!B1872 = "","",Table!B1872)</f>
        <v/>
      </c>
      <c r="C1872" s="31" t="str">
        <f>IF(Table!C1872 = "","",Table!C1872)</f>
        <v/>
      </c>
      <c r="D1872" s="32" t="str">
        <f>IF(Table!D1872 = "","",Table!D1872)</f>
        <v/>
      </c>
      <c r="E1872" s="32" t="str">
        <f>IF(Table!E1872 = "","",Table!E1872)</f>
        <v/>
      </c>
      <c r="F1872" s="32" t="str">
        <f>IF(Table!F1872 = "","",Table!F1872)</f>
        <v/>
      </c>
      <c r="G1872" s="91"/>
      <c r="K1872" s="31" t="str">
        <f>IFERROR(VLOOKUP(A1872,Table!$I$4:$O$3000,1,TRUE),"")</f>
        <v/>
      </c>
      <c r="L1872" s="31" t="str">
        <f>IFERROR(INDEX(Table!I:O,MATCH(K1872,Table!I:I,0),2),"")</f>
        <v/>
      </c>
      <c r="M1872" s="31" t="str">
        <f>IFERROR(INDEX(Table!I:O,MATCH(K1872,Table!I:I,0),3),"")</f>
        <v/>
      </c>
      <c r="N1872" s="32" t="str">
        <f>IFERROR(INDEX(Table!I:O,MATCH(K1872,Table!I:I,0),4),"")</f>
        <v/>
      </c>
      <c r="O1872" s="32" t="str">
        <f>IFERROR(INDEX(Table!I:O,MATCH(K1872,Table!I:I,0),5),"")</f>
        <v/>
      </c>
      <c r="P1872" s="32" t="str">
        <f>IFERROR(INDEX(Table!I:O,MATCH(K1872,Table!I:I,0),6),"")</f>
        <v/>
      </c>
      <c r="Q1872" s="89" t="str">
        <f t="shared" si="87"/>
        <v/>
      </c>
      <c r="R1872" s="89" t="str">
        <f t="shared" si="88"/>
        <v/>
      </c>
      <c r="S1872" s="82"/>
      <c r="U1872" s="37" t="e">
        <f t="shared" si="89"/>
        <v>#VALUE!</v>
      </c>
    </row>
    <row r="1873" spans="1:21" x14ac:dyDescent="0.25">
      <c r="A1873" s="31" t="str">
        <f>IF(Table!A1873 = "","",Table!A1873)</f>
        <v/>
      </c>
      <c r="B1873" s="31" t="str">
        <f>IF(Table!B1873 = "","",Table!B1873)</f>
        <v/>
      </c>
      <c r="C1873" s="31" t="str">
        <f>IF(Table!C1873 = "","",Table!C1873)</f>
        <v/>
      </c>
      <c r="D1873" s="32" t="str">
        <f>IF(Table!D1873 = "","",Table!D1873)</f>
        <v/>
      </c>
      <c r="E1873" s="32" t="str">
        <f>IF(Table!E1873 = "","",Table!E1873)</f>
        <v/>
      </c>
      <c r="F1873" s="32" t="str">
        <f>IF(Table!F1873 = "","",Table!F1873)</f>
        <v/>
      </c>
      <c r="G1873" s="91"/>
      <c r="K1873" s="31" t="str">
        <f>IFERROR(VLOOKUP(A1873,Table!$I$4:$O$3000,1,TRUE),"")</f>
        <v/>
      </c>
      <c r="L1873" s="31" t="str">
        <f>IFERROR(INDEX(Table!I:O,MATCH(K1873,Table!I:I,0),2),"")</f>
        <v/>
      </c>
      <c r="M1873" s="31" t="str">
        <f>IFERROR(INDEX(Table!I:O,MATCH(K1873,Table!I:I,0),3),"")</f>
        <v/>
      </c>
      <c r="N1873" s="32" t="str">
        <f>IFERROR(INDEX(Table!I:O,MATCH(K1873,Table!I:I,0),4),"")</f>
        <v/>
      </c>
      <c r="O1873" s="32" t="str">
        <f>IFERROR(INDEX(Table!I:O,MATCH(K1873,Table!I:I,0),5),"")</f>
        <v/>
      </c>
      <c r="P1873" s="32" t="str">
        <f>IFERROR(INDEX(Table!I:O,MATCH(K1873,Table!I:I,0),6),"")</f>
        <v/>
      </c>
      <c r="Q1873" s="89" t="str">
        <f t="shared" si="87"/>
        <v/>
      </c>
      <c r="R1873" s="89" t="str">
        <f t="shared" si="88"/>
        <v/>
      </c>
      <c r="S1873" s="82"/>
      <c r="U1873" s="37" t="e">
        <f t="shared" si="89"/>
        <v>#VALUE!</v>
      </c>
    </row>
    <row r="1874" spans="1:21" x14ac:dyDescent="0.25">
      <c r="A1874" s="31" t="str">
        <f>IF(Table!A1874 = "","",Table!A1874)</f>
        <v/>
      </c>
      <c r="B1874" s="31" t="str">
        <f>IF(Table!B1874 = "","",Table!B1874)</f>
        <v/>
      </c>
      <c r="C1874" s="31" t="str">
        <f>IF(Table!C1874 = "","",Table!C1874)</f>
        <v/>
      </c>
      <c r="D1874" s="32" t="str">
        <f>IF(Table!D1874 = "","",Table!D1874)</f>
        <v/>
      </c>
      <c r="E1874" s="32" t="str">
        <f>IF(Table!E1874 = "","",Table!E1874)</f>
        <v/>
      </c>
      <c r="F1874" s="32" t="str">
        <f>IF(Table!F1874 = "","",Table!F1874)</f>
        <v/>
      </c>
      <c r="G1874" s="91"/>
      <c r="K1874" s="31" t="str">
        <f>IFERROR(VLOOKUP(A1874,Table!$I$4:$O$3000,1,TRUE),"")</f>
        <v/>
      </c>
      <c r="L1874" s="31" t="str">
        <f>IFERROR(INDEX(Table!I:O,MATCH(K1874,Table!I:I,0),2),"")</f>
        <v/>
      </c>
      <c r="M1874" s="31" t="str">
        <f>IFERROR(INDEX(Table!I:O,MATCH(K1874,Table!I:I,0),3),"")</f>
        <v/>
      </c>
      <c r="N1874" s="32" t="str">
        <f>IFERROR(INDEX(Table!I:O,MATCH(K1874,Table!I:I,0),4),"")</f>
        <v/>
      </c>
      <c r="O1874" s="32" t="str">
        <f>IFERROR(INDEX(Table!I:O,MATCH(K1874,Table!I:I,0),5),"")</f>
        <v/>
      </c>
      <c r="P1874" s="32" t="str">
        <f>IFERROR(INDEX(Table!I:O,MATCH(K1874,Table!I:I,0),6),"")</f>
        <v/>
      </c>
      <c r="Q1874" s="89" t="str">
        <f t="shared" si="87"/>
        <v/>
      </c>
      <c r="R1874" s="89" t="str">
        <f t="shared" si="88"/>
        <v/>
      </c>
      <c r="S1874" s="82"/>
      <c r="U1874" s="37" t="e">
        <f t="shared" si="89"/>
        <v>#VALUE!</v>
      </c>
    </row>
    <row r="1875" spans="1:21" x14ac:dyDescent="0.25">
      <c r="A1875" s="31" t="str">
        <f>IF(Table!A1875 = "","",Table!A1875)</f>
        <v/>
      </c>
      <c r="B1875" s="31" t="str">
        <f>IF(Table!B1875 = "","",Table!B1875)</f>
        <v/>
      </c>
      <c r="C1875" s="31" t="str">
        <f>IF(Table!C1875 = "","",Table!C1875)</f>
        <v/>
      </c>
      <c r="D1875" s="32" t="str">
        <f>IF(Table!D1875 = "","",Table!D1875)</f>
        <v/>
      </c>
      <c r="E1875" s="32" t="str">
        <f>IF(Table!E1875 = "","",Table!E1875)</f>
        <v/>
      </c>
      <c r="F1875" s="32" t="str">
        <f>IF(Table!F1875 = "","",Table!F1875)</f>
        <v/>
      </c>
      <c r="G1875" s="91"/>
      <c r="K1875" s="31" t="str">
        <f>IFERROR(VLOOKUP(A1875,Table!$I$4:$O$3000,1,TRUE),"")</f>
        <v/>
      </c>
      <c r="L1875" s="31" t="str">
        <f>IFERROR(INDEX(Table!I:O,MATCH(K1875,Table!I:I,0),2),"")</f>
        <v/>
      </c>
      <c r="M1875" s="31" t="str">
        <f>IFERROR(INDEX(Table!I:O,MATCH(K1875,Table!I:I,0),3),"")</f>
        <v/>
      </c>
      <c r="N1875" s="32" t="str">
        <f>IFERROR(INDEX(Table!I:O,MATCH(K1875,Table!I:I,0),4),"")</f>
        <v/>
      </c>
      <c r="O1875" s="32" t="str">
        <f>IFERROR(INDEX(Table!I:O,MATCH(K1875,Table!I:I,0),5),"")</f>
        <v/>
      </c>
      <c r="P1875" s="32" t="str">
        <f>IFERROR(INDEX(Table!I:O,MATCH(K1875,Table!I:I,0),6),"")</f>
        <v/>
      </c>
      <c r="Q1875" s="89" t="str">
        <f t="shared" si="87"/>
        <v/>
      </c>
      <c r="R1875" s="89" t="str">
        <f t="shared" si="88"/>
        <v/>
      </c>
      <c r="S1875" s="82"/>
      <c r="U1875" s="37" t="e">
        <f t="shared" si="89"/>
        <v>#VALUE!</v>
      </c>
    </row>
    <row r="1876" spans="1:21" x14ac:dyDescent="0.25">
      <c r="A1876" s="31" t="str">
        <f>IF(Table!A1876 = "","",Table!A1876)</f>
        <v/>
      </c>
      <c r="B1876" s="31" t="str">
        <f>IF(Table!B1876 = "","",Table!B1876)</f>
        <v/>
      </c>
      <c r="C1876" s="31" t="str">
        <f>IF(Table!C1876 = "","",Table!C1876)</f>
        <v/>
      </c>
      <c r="D1876" s="32" t="str">
        <f>IF(Table!D1876 = "","",Table!D1876)</f>
        <v/>
      </c>
      <c r="E1876" s="32" t="str">
        <f>IF(Table!E1876 = "","",Table!E1876)</f>
        <v/>
      </c>
      <c r="F1876" s="32" t="str">
        <f>IF(Table!F1876 = "","",Table!F1876)</f>
        <v/>
      </c>
      <c r="G1876" s="91"/>
      <c r="K1876" s="31" t="str">
        <f>IFERROR(VLOOKUP(A1876,Table!$I$4:$O$3000,1,TRUE),"")</f>
        <v/>
      </c>
      <c r="L1876" s="31" t="str">
        <f>IFERROR(INDEX(Table!I:O,MATCH(K1876,Table!I:I,0),2),"")</f>
        <v/>
      </c>
      <c r="M1876" s="31" t="str">
        <f>IFERROR(INDEX(Table!I:O,MATCH(K1876,Table!I:I,0),3),"")</f>
        <v/>
      </c>
      <c r="N1876" s="32" t="str">
        <f>IFERROR(INDEX(Table!I:O,MATCH(K1876,Table!I:I,0),4),"")</f>
        <v/>
      </c>
      <c r="O1876" s="32" t="str">
        <f>IFERROR(INDEX(Table!I:O,MATCH(K1876,Table!I:I,0),5),"")</f>
        <v/>
      </c>
      <c r="P1876" s="32" t="str">
        <f>IFERROR(INDEX(Table!I:O,MATCH(K1876,Table!I:I,0),6),"")</f>
        <v/>
      </c>
      <c r="Q1876" s="89" t="str">
        <f t="shared" si="87"/>
        <v/>
      </c>
      <c r="R1876" s="89" t="str">
        <f t="shared" si="88"/>
        <v/>
      </c>
      <c r="S1876" s="82"/>
      <c r="U1876" s="37" t="e">
        <f t="shared" si="89"/>
        <v>#VALUE!</v>
      </c>
    </row>
    <row r="1877" spans="1:21" x14ac:dyDescent="0.25">
      <c r="A1877" s="31" t="str">
        <f>IF(Table!A1877 = "","",Table!A1877)</f>
        <v/>
      </c>
      <c r="B1877" s="31" t="str">
        <f>IF(Table!B1877 = "","",Table!B1877)</f>
        <v/>
      </c>
      <c r="C1877" s="31" t="str">
        <f>IF(Table!C1877 = "","",Table!C1877)</f>
        <v/>
      </c>
      <c r="D1877" s="32" t="str">
        <f>IF(Table!D1877 = "","",Table!D1877)</f>
        <v/>
      </c>
      <c r="E1877" s="32" t="str">
        <f>IF(Table!E1877 = "","",Table!E1877)</f>
        <v/>
      </c>
      <c r="F1877" s="32" t="str">
        <f>IF(Table!F1877 = "","",Table!F1877)</f>
        <v/>
      </c>
      <c r="G1877" s="91"/>
      <c r="K1877" s="31" t="str">
        <f>IFERROR(VLOOKUP(A1877,Table!$I$4:$O$3000,1,TRUE),"")</f>
        <v/>
      </c>
      <c r="L1877" s="31" t="str">
        <f>IFERROR(INDEX(Table!I:O,MATCH(K1877,Table!I:I,0),2),"")</f>
        <v/>
      </c>
      <c r="M1877" s="31" t="str">
        <f>IFERROR(INDEX(Table!I:O,MATCH(K1877,Table!I:I,0),3),"")</f>
        <v/>
      </c>
      <c r="N1877" s="32" t="str">
        <f>IFERROR(INDEX(Table!I:O,MATCH(K1877,Table!I:I,0),4),"")</f>
        <v/>
      </c>
      <c r="O1877" s="32" t="str">
        <f>IFERROR(INDEX(Table!I:O,MATCH(K1877,Table!I:I,0),5),"")</f>
        <v/>
      </c>
      <c r="P1877" s="32" t="str">
        <f>IFERROR(INDEX(Table!I:O,MATCH(K1877,Table!I:I,0),6),"")</f>
        <v/>
      </c>
      <c r="Q1877" s="89" t="str">
        <f t="shared" si="87"/>
        <v/>
      </c>
      <c r="R1877" s="89" t="str">
        <f t="shared" si="88"/>
        <v/>
      </c>
      <c r="S1877" s="82"/>
      <c r="U1877" s="37" t="e">
        <f t="shared" si="89"/>
        <v>#VALUE!</v>
      </c>
    </row>
    <row r="1878" spans="1:21" x14ac:dyDescent="0.25">
      <c r="A1878" s="31" t="str">
        <f>IF(Table!A1878 = "","",Table!A1878)</f>
        <v/>
      </c>
      <c r="B1878" s="31" t="str">
        <f>IF(Table!B1878 = "","",Table!B1878)</f>
        <v/>
      </c>
      <c r="C1878" s="31" t="str">
        <f>IF(Table!C1878 = "","",Table!C1878)</f>
        <v/>
      </c>
      <c r="D1878" s="32" t="str">
        <f>IF(Table!D1878 = "","",Table!D1878)</f>
        <v/>
      </c>
      <c r="E1878" s="32" t="str">
        <f>IF(Table!E1878 = "","",Table!E1878)</f>
        <v/>
      </c>
      <c r="F1878" s="32" t="str">
        <f>IF(Table!F1878 = "","",Table!F1878)</f>
        <v/>
      </c>
      <c r="G1878" s="91"/>
      <c r="K1878" s="31" t="str">
        <f>IFERROR(VLOOKUP(A1878,Table!$I$4:$O$3000,1,TRUE),"")</f>
        <v/>
      </c>
      <c r="L1878" s="31" t="str">
        <f>IFERROR(INDEX(Table!I:O,MATCH(K1878,Table!I:I,0),2),"")</f>
        <v/>
      </c>
      <c r="M1878" s="31" t="str">
        <f>IFERROR(INDEX(Table!I:O,MATCH(K1878,Table!I:I,0),3),"")</f>
        <v/>
      </c>
      <c r="N1878" s="32" t="str">
        <f>IFERROR(INDEX(Table!I:O,MATCH(K1878,Table!I:I,0),4),"")</f>
        <v/>
      </c>
      <c r="O1878" s="32" t="str">
        <f>IFERROR(INDEX(Table!I:O,MATCH(K1878,Table!I:I,0),5),"")</f>
        <v/>
      </c>
      <c r="P1878" s="32" t="str">
        <f>IFERROR(INDEX(Table!I:O,MATCH(K1878,Table!I:I,0),6),"")</f>
        <v/>
      </c>
      <c r="Q1878" s="89" t="str">
        <f t="shared" si="87"/>
        <v/>
      </c>
      <c r="R1878" s="89" t="str">
        <f t="shared" si="88"/>
        <v/>
      </c>
      <c r="S1878" s="82"/>
      <c r="U1878" s="37" t="e">
        <f t="shared" si="89"/>
        <v>#VALUE!</v>
      </c>
    </row>
    <row r="1879" spans="1:21" x14ac:dyDescent="0.25">
      <c r="A1879" s="31" t="str">
        <f>IF(Table!A1879 = "","",Table!A1879)</f>
        <v/>
      </c>
      <c r="B1879" s="31" t="str">
        <f>IF(Table!B1879 = "","",Table!B1879)</f>
        <v/>
      </c>
      <c r="C1879" s="31" t="str">
        <f>IF(Table!C1879 = "","",Table!C1879)</f>
        <v/>
      </c>
      <c r="D1879" s="32" t="str">
        <f>IF(Table!D1879 = "","",Table!D1879)</f>
        <v/>
      </c>
      <c r="E1879" s="32" t="str">
        <f>IF(Table!E1879 = "","",Table!E1879)</f>
        <v/>
      </c>
      <c r="F1879" s="32" t="str">
        <f>IF(Table!F1879 = "","",Table!F1879)</f>
        <v/>
      </c>
      <c r="G1879" s="91"/>
      <c r="K1879" s="31" t="str">
        <f>IFERROR(VLOOKUP(A1879,Table!$I$4:$O$3000,1,TRUE),"")</f>
        <v/>
      </c>
      <c r="L1879" s="31" t="str">
        <f>IFERROR(INDEX(Table!I:O,MATCH(K1879,Table!I:I,0),2),"")</f>
        <v/>
      </c>
      <c r="M1879" s="31" t="str">
        <f>IFERROR(INDEX(Table!I:O,MATCH(K1879,Table!I:I,0),3),"")</f>
        <v/>
      </c>
      <c r="N1879" s="32" t="str">
        <f>IFERROR(INDEX(Table!I:O,MATCH(K1879,Table!I:I,0),4),"")</f>
        <v/>
      </c>
      <c r="O1879" s="32" t="str">
        <f>IFERROR(INDEX(Table!I:O,MATCH(K1879,Table!I:I,0),5),"")</f>
        <v/>
      </c>
      <c r="P1879" s="32" t="str">
        <f>IFERROR(INDEX(Table!I:O,MATCH(K1879,Table!I:I,0),6),"")</f>
        <v/>
      </c>
      <c r="Q1879" s="89" t="str">
        <f t="shared" si="87"/>
        <v/>
      </c>
      <c r="R1879" s="89" t="str">
        <f t="shared" si="88"/>
        <v/>
      </c>
      <c r="S1879" s="82"/>
      <c r="U1879" s="37" t="e">
        <f t="shared" si="89"/>
        <v>#VALUE!</v>
      </c>
    </row>
    <row r="1880" spans="1:21" x14ac:dyDescent="0.25">
      <c r="A1880" s="31" t="str">
        <f>IF(Table!A1880 = "","",Table!A1880)</f>
        <v/>
      </c>
      <c r="B1880" s="31" t="str">
        <f>IF(Table!B1880 = "","",Table!B1880)</f>
        <v/>
      </c>
      <c r="C1880" s="31" t="str">
        <f>IF(Table!C1880 = "","",Table!C1880)</f>
        <v/>
      </c>
      <c r="D1880" s="32" t="str">
        <f>IF(Table!D1880 = "","",Table!D1880)</f>
        <v/>
      </c>
      <c r="E1880" s="32" t="str">
        <f>IF(Table!E1880 = "","",Table!E1880)</f>
        <v/>
      </c>
      <c r="F1880" s="32" t="str">
        <f>IF(Table!F1880 = "","",Table!F1880)</f>
        <v/>
      </c>
      <c r="G1880" s="91"/>
      <c r="K1880" s="31" t="str">
        <f>IFERROR(VLOOKUP(A1880,Table!$I$4:$O$3000,1,TRUE),"")</f>
        <v/>
      </c>
      <c r="L1880" s="31" t="str">
        <f>IFERROR(INDEX(Table!I:O,MATCH(K1880,Table!I:I,0),2),"")</f>
        <v/>
      </c>
      <c r="M1880" s="31" t="str">
        <f>IFERROR(INDEX(Table!I:O,MATCH(K1880,Table!I:I,0),3),"")</f>
        <v/>
      </c>
      <c r="N1880" s="32" t="str">
        <f>IFERROR(INDEX(Table!I:O,MATCH(K1880,Table!I:I,0),4),"")</f>
        <v/>
      </c>
      <c r="O1880" s="32" t="str">
        <f>IFERROR(INDEX(Table!I:O,MATCH(K1880,Table!I:I,0),5),"")</f>
        <v/>
      </c>
      <c r="P1880" s="32" t="str">
        <f>IFERROR(INDEX(Table!I:O,MATCH(K1880,Table!I:I,0),6),"")</f>
        <v/>
      </c>
      <c r="Q1880" s="89" t="str">
        <f t="shared" si="87"/>
        <v/>
      </c>
      <c r="R1880" s="89" t="str">
        <f t="shared" si="88"/>
        <v/>
      </c>
      <c r="S1880" s="82"/>
      <c r="U1880" s="37" t="e">
        <f t="shared" si="89"/>
        <v>#VALUE!</v>
      </c>
    </row>
    <row r="1881" spans="1:21" x14ac:dyDescent="0.25">
      <c r="A1881" s="31" t="str">
        <f>IF(Table!A1881 = "","",Table!A1881)</f>
        <v/>
      </c>
      <c r="B1881" s="31" t="str">
        <f>IF(Table!B1881 = "","",Table!B1881)</f>
        <v/>
      </c>
      <c r="C1881" s="31" t="str">
        <f>IF(Table!C1881 = "","",Table!C1881)</f>
        <v/>
      </c>
      <c r="D1881" s="32" t="str">
        <f>IF(Table!D1881 = "","",Table!D1881)</f>
        <v/>
      </c>
      <c r="E1881" s="32" t="str">
        <f>IF(Table!E1881 = "","",Table!E1881)</f>
        <v/>
      </c>
      <c r="F1881" s="32" t="str">
        <f>IF(Table!F1881 = "","",Table!F1881)</f>
        <v/>
      </c>
      <c r="G1881" s="91"/>
      <c r="K1881" s="31" t="str">
        <f>IFERROR(VLOOKUP(A1881,Table!$I$4:$O$3000,1,TRUE),"")</f>
        <v/>
      </c>
      <c r="L1881" s="31" t="str">
        <f>IFERROR(INDEX(Table!I:O,MATCH(K1881,Table!I:I,0),2),"")</f>
        <v/>
      </c>
      <c r="M1881" s="31" t="str">
        <f>IFERROR(INDEX(Table!I:O,MATCH(K1881,Table!I:I,0),3),"")</f>
        <v/>
      </c>
      <c r="N1881" s="32" t="str">
        <f>IFERROR(INDEX(Table!I:O,MATCH(K1881,Table!I:I,0),4),"")</f>
        <v/>
      </c>
      <c r="O1881" s="32" t="str">
        <f>IFERROR(INDEX(Table!I:O,MATCH(K1881,Table!I:I,0),5),"")</f>
        <v/>
      </c>
      <c r="P1881" s="32" t="str">
        <f>IFERROR(INDEX(Table!I:O,MATCH(K1881,Table!I:I,0),6),"")</f>
        <v/>
      </c>
      <c r="Q1881" s="89" t="str">
        <f t="shared" si="87"/>
        <v/>
      </c>
      <c r="R1881" s="89" t="str">
        <f t="shared" si="88"/>
        <v/>
      </c>
      <c r="S1881" s="82"/>
      <c r="U1881" s="37" t="e">
        <f t="shared" si="89"/>
        <v>#VALUE!</v>
      </c>
    </row>
    <row r="1882" spans="1:21" x14ac:dyDescent="0.25">
      <c r="A1882" s="31" t="str">
        <f>IF(Table!A1882 = "","",Table!A1882)</f>
        <v/>
      </c>
      <c r="B1882" s="31" t="str">
        <f>IF(Table!B1882 = "","",Table!B1882)</f>
        <v/>
      </c>
      <c r="C1882" s="31" t="str">
        <f>IF(Table!C1882 = "","",Table!C1882)</f>
        <v/>
      </c>
      <c r="D1882" s="32" t="str">
        <f>IF(Table!D1882 = "","",Table!D1882)</f>
        <v/>
      </c>
      <c r="E1882" s="32" t="str">
        <f>IF(Table!E1882 = "","",Table!E1882)</f>
        <v/>
      </c>
      <c r="F1882" s="32" t="str">
        <f>IF(Table!F1882 = "","",Table!F1882)</f>
        <v/>
      </c>
      <c r="G1882" s="91"/>
      <c r="K1882" s="31" t="str">
        <f>IFERROR(VLOOKUP(A1882,Table!$I$4:$O$3000,1,TRUE),"")</f>
        <v/>
      </c>
      <c r="L1882" s="31" t="str">
        <f>IFERROR(INDEX(Table!I:O,MATCH(K1882,Table!I:I,0),2),"")</f>
        <v/>
      </c>
      <c r="M1882" s="31" t="str">
        <f>IFERROR(INDEX(Table!I:O,MATCH(K1882,Table!I:I,0),3),"")</f>
        <v/>
      </c>
      <c r="N1882" s="32" t="str">
        <f>IFERROR(INDEX(Table!I:O,MATCH(K1882,Table!I:I,0),4),"")</f>
        <v/>
      </c>
      <c r="O1882" s="32" t="str">
        <f>IFERROR(INDEX(Table!I:O,MATCH(K1882,Table!I:I,0),5),"")</f>
        <v/>
      </c>
      <c r="P1882" s="32" t="str">
        <f>IFERROR(INDEX(Table!I:O,MATCH(K1882,Table!I:I,0),6),"")</f>
        <v/>
      </c>
      <c r="Q1882" s="89" t="str">
        <f t="shared" si="87"/>
        <v/>
      </c>
      <c r="R1882" s="89" t="str">
        <f t="shared" si="88"/>
        <v/>
      </c>
      <c r="S1882" s="82"/>
      <c r="U1882" s="37" t="e">
        <f t="shared" si="89"/>
        <v>#VALUE!</v>
      </c>
    </row>
    <row r="1883" spans="1:21" x14ac:dyDescent="0.25">
      <c r="A1883" s="31" t="str">
        <f>IF(Table!A1883 = "","",Table!A1883)</f>
        <v/>
      </c>
      <c r="B1883" s="31" t="str">
        <f>IF(Table!B1883 = "","",Table!B1883)</f>
        <v/>
      </c>
      <c r="C1883" s="31" t="str">
        <f>IF(Table!C1883 = "","",Table!C1883)</f>
        <v/>
      </c>
      <c r="D1883" s="32" t="str">
        <f>IF(Table!D1883 = "","",Table!D1883)</f>
        <v/>
      </c>
      <c r="E1883" s="32" t="str">
        <f>IF(Table!E1883 = "","",Table!E1883)</f>
        <v/>
      </c>
      <c r="F1883" s="32" t="str">
        <f>IF(Table!F1883 = "","",Table!F1883)</f>
        <v/>
      </c>
      <c r="G1883" s="91"/>
      <c r="K1883" s="31" t="str">
        <f>IFERROR(VLOOKUP(A1883,Table!$I$4:$O$3000,1,TRUE),"")</f>
        <v/>
      </c>
      <c r="L1883" s="31" t="str">
        <f>IFERROR(INDEX(Table!I:O,MATCH(K1883,Table!I:I,0),2),"")</f>
        <v/>
      </c>
      <c r="M1883" s="31" t="str">
        <f>IFERROR(INDEX(Table!I:O,MATCH(K1883,Table!I:I,0),3),"")</f>
        <v/>
      </c>
      <c r="N1883" s="32" t="str">
        <f>IFERROR(INDEX(Table!I:O,MATCH(K1883,Table!I:I,0),4),"")</f>
        <v/>
      </c>
      <c r="O1883" s="32" t="str">
        <f>IFERROR(INDEX(Table!I:O,MATCH(K1883,Table!I:I,0),5),"")</f>
        <v/>
      </c>
      <c r="P1883" s="32" t="str">
        <f>IFERROR(INDEX(Table!I:O,MATCH(K1883,Table!I:I,0),6),"")</f>
        <v/>
      </c>
      <c r="Q1883" s="89" t="str">
        <f t="shared" si="87"/>
        <v/>
      </c>
      <c r="R1883" s="89" t="str">
        <f t="shared" si="88"/>
        <v/>
      </c>
      <c r="S1883" s="82"/>
      <c r="U1883" s="37" t="e">
        <f t="shared" si="89"/>
        <v>#VALUE!</v>
      </c>
    </row>
    <row r="1884" spans="1:21" x14ac:dyDescent="0.25">
      <c r="A1884" s="31" t="str">
        <f>IF(Table!A1884 = "","",Table!A1884)</f>
        <v/>
      </c>
      <c r="B1884" s="31" t="str">
        <f>IF(Table!B1884 = "","",Table!B1884)</f>
        <v/>
      </c>
      <c r="C1884" s="31" t="str">
        <f>IF(Table!C1884 = "","",Table!C1884)</f>
        <v/>
      </c>
      <c r="D1884" s="32" t="str">
        <f>IF(Table!D1884 = "","",Table!D1884)</f>
        <v/>
      </c>
      <c r="E1884" s="32" t="str">
        <f>IF(Table!E1884 = "","",Table!E1884)</f>
        <v/>
      </c>
      <c r="F1884" s="32" t="str">
        <f>IF(Table!F1884 = "","",Table!F1884)</f>
        <v/>
      </c>
      <c r="G1884" s="91"/>
      <c r="K1884" s="31" t="str">
        <f>IFERROR(VLOOKUP(A1884,Table!$I$4:$O$3000,1,TRUE),"")</f>
        <v/>
      </c>
      <c r="L1884" s="31" t="str">
        <f>IFERROR(INDEX(Table!I:O,MATCH(K1884,Table!I:I,0),2),"")</f>
        <v/>
      </c>
      <c r="M1884" s="31" t="str">
        <f>IFERROR(INDEX(Table!I:O,MATCH(K1884,Table!I:I,0),3),"")</f>
        <v/>
      </c>
      <c r="N1884" s="32" t="str">
        <f>IFERROR(INDEX(Table!I:O,MATCH(K1884,Table!I:I,0),4),"")</f>
        <v/>
      </c>
      <c r="O1884" s="32" t="str">
        <f>IFERROR(INDEX(Table!I:O,MATCH(K1884,Table!I:I,0),5),"")</f>
        <v/>
      </c>
      <c r="P1884" s="32" t="str">
        <f>IFERROR(INDEX(Table!I:O,MATCH(K1884,Table!I:I,0),6),"")</f>
        <v/>
      </c>
      <c r="Q1884" s="89" t="str">
        <f t="shared" si="87"/>
        <v/>
      </c>
      <c r="R1884" s="89" t="str">
        <f t="shared" si="88"/>
        <v/>
      </c>
      <c r="S1884" s="82"/>
      <c r="U1884" s="37" t="e">
        <f t="shared" si="89"/>
        <v>#VALUE!</v>
      </c>
    </row>
    <row r="1885" spans="1:21" x14ac:dyDescent="0.25">
      <c r="A1885" s="31" t="str">
        <f>IF(Table!A1885 = "","",Table!A1885)</f>
        <v/>
      </c>
      <c r="B1885" s="31" t="str">
        <f>IF(Table!B1885 = "","",Table!B1885)</f>
        <v/>
      </c>
      <c r="C1885" s="31" t="str">
        <f>IF(Table!C1885 = "","",Table!C1885)</f>
        <v/>
      </c>
      <c r="D1885" s="32" t="str">
        <f>IF(Table!D1885 = "","",Table!D1885)</f>
        <v/>
      </c>
      <c r="E1885" s="32" t="str">
        <f>IF(Table!E1885 = "","",Table!E1885)</f>
        <v/>
      </c>
      <c r="F1885" s="32" t="str">
        <f>IF(Table!F1885 = "","",Table!F1885)</f>
        <v/>
      </c>
      <c r="G1885" s="91"/>
      <c r="K1885" s="31" t="str">
        <f>IFERROR(VLOOKUP(A1885,Table!$I$4:$O$3000,1,TRUE),"")</f>
        <v/>
      </c>
      <c r="L1885" s="31" t="str">
        <f>IFERROR(INDEX(Table!I:O,MATCH(K1885,Table!I:I,0),2),"")</f>
        <v/>
      </c>
      <c r="M1885" s="31" t="str">
        <f>IFERROR(INDEX(Table!I:O,MATCH(K1885,Table!I:I,0),3),"")</f>
        <v/>
      </c>
      <c r="N1885" s="32" t="str">
        <f>IFERROR(INDEX(Table!I:O,MATCH(K1885,Table!I:I,0),4),"")</f>
        <v/>
      </c>
      <c r="O1885" s="32" t="str">
        <f>IFERROR(INDEX(Table!I:O,MATCH(K1885,Table!I:I,0),5),"")</f>
        <v/>
      </c>
      <c r="P1885" s="32" t="str">
        <f>IFERROR(INDEX(Table!I:O,MATCH(K1885,Table!I:I,0),6),"")</f>
        <v/>
      </c>
      <c r="Q1885" s="89" t="str">
        <f t="shared" si="87"/>
        <v/>
      </c>
      <c r="R1885" s="89" t="str">
        <f t="shared" si="88"/>
        <v/>
      </c>
      <c r="S1885" s="82"/>
      <c r="U1885" s="37" t="e">
        <f t="shared" si="89"/>
        <v>#VALUE!</v>
      </c>
    </row>
    <row r="1886" spans="1:21" x14ac:dyDescent="0.25">
      <c r="A1886" s="31" t="str">
        <f>IF(Table!A1886 = "","",Table!A1886)</f>
        <v/>
      </c>
      <c r="B1886" s="31" t="str">
        <f>IF(Table!B1886 = "","",Table!B1886)</f>
        <v/>
      </c>
      <c r="C1886" s="31" t="str">
        <f>IF(Table!C1886 = "","",Table!C1886)</f>
        <v/>
      </c>
      <c r="D1886" s="32" t="str">
        <f>IF(Table!D1886 = "","",Table!D1886)</f>
        <v/>
      </c>
      <c r="E1886" s="32" t="str">
        <f>IF(Table!E1886 = "","",Table!E1886)</f>
        <v/>
      </c>
      <c r="F1886" s="32" t="str">
        <f>IF(Table!F1886 = "","",Table!F1886)</f>
        <v/>
      </c>
      <c r="G1886" s="91"/>
      <c r="K1886" s="31" t="str">
        <f>IFERROR(VLOOKUP(A1886,Table!$I$4:$O$3000,1,TRUE),"")</f>
        <v/>
      </c>
      <c r="L1886" s="31" t="str">
        <f>IFERROR(INDEX(Table!I:O,MATCH(K1886,Table!I:I,0),2),"")</f>
        <v/>
      </c>
      <c r="M1886" s="31" t="str">
        <f>IFERROR(INDEX(Table!I:O,MATCH(K1886,Table!I:I,0),3),"")</f>
        <v/>
      </c>
      <c r="N1886" s="32" t="str">
        <f>IFERROR(INDEX(Table!I:O,MATCH(K1886,Table!I:I,0),4),"")</f>
        <v/>
      </c>
      <c r="O1886" s="32" t="str">
        <f>IFERROR(INDEX(Table!I:O,MATCH(K1886,Table!I:I,0),5),"")</f>
        <v/>
      </c>
      <c r="P1886" s="32" t="str">
        <f>IFERROR(INDEX(Table!I:O,MATCH(K1886,Table!I:I,0),6),"")</f>
        <v/>
      </c>
      <c r="Q1886" s="89" t="str">
        <f t="shared" si="87"/>
        <v/>
      </c>
      <c r="R1886" s="89" t="str">
        <f t="shared" si="88"/>
        <v/>
      </c>
      <c r="S1886" s="82"/>
      <c r="U1886" s="37" t="e">
        <f t="shared" si="89"/>
        <v>#VALUE!</v>
      </c>
    </row>
    <row r="1887" spans="1:21" x14ac:dyDescent="0.25">
      <c r="A1887" s="31" t="str">
        <f>IF(Table!A1887 = "","",Table!A1887)</f>
        <v/>
      </c>
      <c r="B1887" s="31" t="str">
        <f>IF(Table!B1887 = "","",Table!B1887)</f>
        <v/>
      </c>
      <c r="C1887" s="31" t="str">
        <f>IF(Table!C1887 = "","",Table!C1887)</f>
        <v/>
      </c>
      <c r="D1887" s="32" t="str">
        <f>IF(Table!D1887 = "","",Table!D1887)</f>
        <v/>
      </c>
      <c r="E1887" s="32" t="str">
        <f>IF(Table!E1887 = "","",Table!E1887)</f>
        <v/>
      </c>
      <c r="F1887" s="32" t="str">
        <f>IF(Table!F1887 = "","",Table!F1887)</f>
        <v/>
      </c>
      <c r="G1887" s="91"/>
      <c r="K1887" s="31" t="str">
        <f>IFERROR(VLOOKUP(A1887,Table!$I$4:$O$3000,1,TRUE),"")</f>
        <v/>
      </c>
      <c r="L1887" s="31" t="str">
        <f>IFERROR(INDEX(Table!I:O,MATCH(K1887,Table!I:I,0),2),"")</f>
        <v/>
      </c>
      <c r="M1887" s="31" t="str">
        <f>IFERROR(INDEX(Table!I:O,MATCH(K1887,Table!I:I,0),3),"")</f>
        <v/>
      </c>
      <c r="N1887" s="32" t="str">
        <f>IFERROR(INDEX(Table!I:O,MATCH(K1887,Table!I:I,0),4),"")</f>
        <v/>
      </c>
      <c r="O1887" s="32" t="str">
        <f>IFERROR(INDEX(Table!I:O,MATCH(K1887,Table!I:I,0),5),"")</f>
        <v/>
      </c>
      <c r="P1887" s="32" t="str">
        <f>IFERROR(INDEX(Table!I:O,MATCH(K1887,Table!I:I,0),6),"")</f>
        <v/>
      </c>
      <c r="Q1887" s="89" t="str">
        <f t="shared" si="87"/>
        <v/>
      </c>
      <c r="R1887" s="89" t="str">
        <f t="shared" si="88"/>
        <v/>
      </c>
      <c r="S1887" s="82"/>
      <c r="U1887" s="37" t="e">
        <f t="shared" si="89"/>
        <v>#VALUE!</v>
      </c>
    </row>
    <row r="1888" spans="1:21" x14ac:dyDescent="0.25">
      <c r="A1888" s="31" t="str">
        <f>IF(Table!A1888 = "","",Table!A1888)</f>
        <v/>
      </c>
      <c r="B1888" s="31" t="str">
        <f>IF(Table!B1888 = "","",Table!B1888)</f>
        <v/>
      </c>
      <c r="C1888" s="31" t="str">
        <f>IF(Table!C1888 = "","",Table!C1888)</f>
        <v/>
      </c>
      <c r="D1888" s="32" t="str">
        <f>IF(Table!D1888 = "","",Table!D1888)</f>
        <v/>
      </c>
      <c r="E1888" s="32" t="str">
        <f>IF(Table!E1888 = "","",Table!E1888)</f>
        <v/>
      </c>
      <c r="F1888" s="32" t="str">
        <f>IF(Table!F1888 = "","",Table!F1888)</f>
        <v/>
      </c>
      <c r="G1888" s="91"/>
      <c r="K1888" s="31" t="str">
        <f>IFERROR(VLOOKUP(A1888,Table!$I$4:$O$3000,1,TRUE),"")</f>
        <v/>
      </c>
      <c r="L1888" s="31" t="str">
        <f>IFERROR(INDEX(Table!I:O,MATCH(K1888,Table!I:I,0),2),"")</f>
        <v/>
      </c>
      <c r="M1888" s="31" t="str">
        <f>IFERROR(INDEX(Table!I:O,MATCH(K1888,Table!I:I,0),3),"")</f>
        <v/>
      </c>
      <c r="N1888" s="32" t="str">
        <f>IFERROR(INDEX(Table!I:O,MATCH(K1888,Table!I:I,0),4),"")</f>
        <v/>
      </c>
      <c r="O1888" s="32" t="str">
        <f>IFERROR(INDEX(Table!I:O,MATCH(K1888,Table!I:I,0),5),"")</f>
        <v/>
      </c>
      <c r="P1888" s="32" t="str">
        <f>IFERROR(INDEX(Table!I:O,MATCH(K1888,Table!I:I,0),6),"")</f>
        <v/>
      </c>
      <c r="Q1888" s="89" t="str">
        <f t="shared" si="87"/>
        <v/>
      </c>
      <c r="R1888" s="89" t="str">
        <f t="shared" si="88"/>
        <v/>
      </c>
      <c r="S1888" s="82"/>
      <c r="U1888" s="37" t="e">
        <f t="shared" si="89"/>
        <v>#VALUE!</v>
      </c>
    </row>
    <row r="1889" spans="1:21" x14ac:dyDescent="0.25">
      <c r="A1889" s="31" t="str">
        <f>IF(Table!A1889 = "","",Table!A1889)</f>
        <v/>
      </c>
      <c r="B1889" s="31" t="str">
        <f>IF(Table!B1889 = "","",Table!B1889)</f>
        <v/>
      </c>
      <c r="C1889" s="31" t="str">
        <f>IF(Table!C1889 = "","",Table!C1889)</f>
        <v/>
      </c>
      <c r="D1889" s="32" t="str">
        <f>IF(Table!D1889 = "","",Table!D1889)</f>
        <v/>
      </c>
      <c r="E1889" s="32" t="str">
        <f>IF(Table!E1889 = "","",Table!E1889)</f>
        <v/>
      </c>
      <c r="F1889" s="32" t="str">
        <f>IF(Table!F1889 = "","",Table!F1889)</f>
        <v/>
      </c>
      <c r="G1889" s="91"/>
      <c r="K1889" s="31" t="str">
        <f>IFERROR(VLOOKUP(A1889,Table!$I$4:$O$3000,1,TRUE),"")</f>
        <v/>
      </c>
      <c r="L1889" s="31" t="str">
        <f>IFERROR(INDEX(Table!I:O,MATCH(K1889,Table!I:I,0),2),"")</f>
        <v/>
      </c>
      <c r="M1889" s="31" t="str">
        <f>IFERROR(INDEX(Table!I:O,MATCH(K1889,Table!I:I,0),3),"")</f>
        <v/>
      </c>
      <c r="N1889" s="32" t="str">
        <f>IFERROR(INDEX(Table!I:O,MATCH(K1889,Table!I:I,0),4),"")</f>
        <v/>
      </c>
      <c r="O1889" s="32" t="str">
        <f>IFERROR(INDEX(Table!I:O,MATCH(K1889,Table!I:I,0),5),"")</f>
        <v/>
      </c>
      <c r="P1889" s="32" t="str">
        <f>IFERROR(INDEX(Table!I:O,MATCH(K1889,Table!I:I,0),6),"")</f>
        <v/>
      </c>
      <c r="Q1889" s="89" t="str">
        <f t="shared" si="87"/>
        <v/>
      </c>
      <c r="R1889" s="89" t="str">
        <f t="shared" si="88"/>
        <v/>
      </c>
      <c r="S1889" s="82"/>
      <c r="U1889" s="37" t="e">
        <f t="shared" si="89"/>
        <v>#VALUE!</v>
      </c>
    </row>
    <row r="1890" spans="1:21" x14ac:dyDescent="0.25">
      <c r="A1890" s="31" t="str">
        <f>IF(Table!A1890 = "","",Table!A1890)</f>
        <v/>
      </c>
      <c r="B1890" s="31" t="str">
        <f>IF(Table!B1890 = "","",Table!B1890)</f>
        <v/>
      </c>
      <c r="C1890" s="31" t="str">
        <f>IF(Table!C1890 = "","",Table!C1890)</f>
        <v/>
      </c>
      <c r="D1890" s="32" t="str">
        <f>IF(Table!D1890 = "","",Table!D1890)</f>
        <v/>
      </c>
      <c r="E1890" s="32" t="str">
        <f>IF(Table!E1890 = "","",Table!E1890)</f>
        <v/>
      </c>
      <c r="F1890" s="32" t="str">
        <f>IF(Table!F1890 = "","",Table!F1890)</f>
        <v/>
      </c>
      <c r="G1890" s="91"/>
      <c r="K1890" s="31" t="str">
        <f>IFERROR(VLOOKUP(A1890,Table!$I$4:$O$3000,1,TRUE),"")</f>
        <v/>
      </c>
      <c r="L1890" s="31" t="str">
        <f>IFERROR(INDEX(Table!I:O,MATCH(K1890,Table!I:I,0),2),"")</f>
        <v/>
      </c>
      <c r="M1890" s="31" t="str">
        <f>IFERROR(INDEX(Table!I:O,MATCH(K1890,Table!I:I,0),3),"")</f>
        <v/>
      </c>
      <c r="N1890" s="32" t="str">
        <f>IFERROR(INDEX(Table!I:O,MATCH(K1890,Table!I:I,0),4),"")</f>
        <v/>
      </c>
      <c r="O1890" s="32" t="str">
        <f>IFERROR(INDEX(Table!I:O,MATCH(K1890,Table!I:I,0),5),"")</f>
        <v/>
      </c>
      <c r="P1890" s="32" t="str">
        <f>IFERROR(INDEX(Table!I:O,MATCH(K1890,Table!I:I,0),6),"")</f>
        <v/>
      </c>
      <c r="Q1890" s="89" t="str">
        <f t="shared" si="87"/>
        <v/>
      </c>
      <c r="R1890" s="89" t="str">
        <f t="shared" si="88"/>
        <v/>
      </c>
      <c r="S1890" s="82"/>
      <c r="U1890" s="37" t="e">
        <f t="shared" si="89"/>
        <v>#VALUE!</v>
      </c>
    </row>
    <row r="1891" spans="1:21" x14ac:dyDescent="0.25">
      <c r="A1891" s="31" t="str">
        <f>IF(Table!A1891 = "","",Table!A1891)</f>
        <v/>
      </c>
      <c r="B1891" s="31" t="str">
        <f>IF(Table!B1891 = "","",Table!B1891)</f>
        <v/>
      </c>
      <c r="C1891" s="31" t="str">
        <f>IF(Table!C1891 = "","",Table!C1891)</f>
        <v/>
      </c>
      <c r="D1891" s="32" t="str">
        <f>IF(Table!D1891 = "","",Table!D1891)</f>
        <v/>
      </c>
      <c r="E1891" s="32" t="str">
        <f>IF(Table!E1891 = "","",Table!E1891)</f>
        <v/>
      </c>
      <c r="F1891" s="32" t="str">
        <f>IF(Table!F1891 = "","",Table!F1891)</f>
        <v/>
      </c>
      <c r="G1891" s="91"/>
      <c r="K1891" s="31" t="str">
        <f>IFERROR(VLOOKUP(A1891,Table!$I$4:$O$3000,1,TRUE),"")</f>
        <v/>
      </c>
      <c r="L1891" s="31" t="str">
        <f>IFERROR(INDEX(Table!I:O,MATCH(K1891,Table!I:I,0),2),"")</f>
        <v/>
      </c>
      <c r="M1891" s="31" t="str">
        <f>IFERROR(INDEX(Table!I:O,MATCH(K1891,Table!I:I,0),3),"")</f>
        <v/>
      </c>
      <c r="N1891" s="32" t="str">
        <f>IFERROR(INDEX(Table!I:O,MATCH(K1891,Table!I:I,0),4),"")</f>
        <v/>
      </c>
      <c r="O1891" s="32" t="str">
        <f>IFERROR(INDEX(Table!I:O,MATCH(K1891,Table!I:I,0),5),"")</f>
        <v/>
      </c>
      <c r="P1891" s="32" t="str">
        <f>IFERROR(INDEX(Table!I:O,MATCH(K1891,Table!I:I,0),6),"")</f>
        <v/>
      </c>
      <c r="Q1891" s="89" t="str">
        <f t="shared" si="87"/>
        <v/>
      </c>
      <c r="R1891" s="89" t="str">
        <f t="shared" si="88"/>
        <v/>
      </c>
      <c r="S1891" s="82"/>
      <c r="U1891" s="37" t="e">
        <f t="shared" si="89"/>
        <v>#VALUE!</v>
      </c>
    </row>
    <row r="1892" spans="1:21" x14ac:dyDescent="0.25">
      <c r="A1892" s="31" t="str">
        <f>IF(Table!A1892 = "","",Table!A1892)</f>
        <v/>
      </c>
      <c r="B1892" s="31" t="str">
        <f>IF(Table!B1892 = "","",Table!B1892)</f>
        <v/>
      </c>
      <c r="C1892" s="31" t="str">
        <f>IF(Table!C1892 = "","",Table!C1892)</f>
        <v/>
      </c>
      <c r="D1892" s="32" t="str">
        <f>IF(Table!D1892 = "","",Table!D1892)</f>
        <v/>
      </c>
      <c r="E1892" s="32" t="str">
        <f>IF(Table!E1892 = "","",Table!E1892)</f>
        <v/>
      </c>
      <c r="F1892" s="32" t="str">
        <f>IF(Table!F1892 = "","",Table!F1892)</f>
        <v/>
      </c>
      <c r="G1892" s="91"/>
      <c r="K1892" s="31" t="str">
        <f>IFERROR(VLOOKUP(A1892,Table!$I$4:$O$3000,1,TRUE),"")</f>
        <v/>
      </c>
      <c r="L1892" s="31" t="str">
        <f>IFERROR(INDEX(Table!I:O,MATCH(K1892,Table!I:I,0),2),"")</f>
        <v/>
      </c>
      <c r="M1892" s="31" t="str">
        <f>IFERROR(INDEX(Table!I:O,MATCH(K1892,Table!I:I,0),3),"")</f>
        <v/>
      </c>
      <c r="N1892" s="32" t="str">
        <f>IFERROR(INDEX(Table!I:O,MATCH(K1892,Table!I:I,0),4),"")</f>
        <v/>
      </c>
      <c r="O1892" s="32" t="str">
        <f>IFERROR(INDEX(Table!I:O,MATCH(K1892,Table!I:I,0),5),"")</f>
        <v/>
      </c>
      <c r="P1892" s="32" t="str">
        <f>IFERROR(INDEX(Table!I:O,MATCH(K1892,Table!I:I,0),6),"")</f>
        <v/>
      </c>
      <c r="Q1892" s="89" t="str">
        <f t="shared" si="87"/>
        <v/>
      </c>
      <c r="R1892" s="89" t="str">
        <f t="shared" si="88"/>
        <v/>
      </c>
      <c r="S1892" s="82"/>
      <c r="U1892" s="37" t="e">
        <f t="shared" si="89"/>
        <v>#VALUE!</v>
      </c>
    </row>
    <row r="1893" spans="1:21" x14ac:dyDescent="0.25">
      <c r="A1893" s="31" t="str">
        <f>IF(Table!A1893 = "","",Table!A1893)</f>
        <v/>
      </c>
      <c r="B1893" s="31" t="str">
        <f>IF(Table!B1893 = "","",Table!B1893)</f>
        <v/>
      </c>
      <c r="C1893" s="31" t="str">
        <f>IF(Table!C1893 = "","",Table!C1893)</f>
        <v/>
      </c>
      <c r="D1893" s="32" t="str">
        <f>IF(Table!D1893 = "","",Table!D1893)</f>
        <v/>
      </c>
      <c r="E1893" s="32" t="str">
        <f>IF(Table!E1893 = "","",Table!E1893)</f>
        <v/>
      </c>
      <c r="F1893" s="32" t="str">
        <f>IF(Table!F1893 = "","",Table!F1893)</f>
        <v/>
      </c>
      <c r="G1893" s="91"/>
      <c r="K1893" s="31" t="str">
        <f>IFERROR(VLOOKUP(A1893,Table!$I$4:$O$3000,1,TRUE),"")</f>
        <v/>
      </c>
      <c r="L1893" s="31" t="str">
        <f>IFERROR(INDEX(Table!I:O,MATCH(K1893,Table!I:I,0),2),"")</f>
        <v/>
      </c>
      <c r="M1893" s="31" t="str">
        <f>IFERROR(INDEX(Table!I:O,MATCH(K1893,Table!I:I,0),3),"")</f>
        <v/>
      </c>
      <c r="N1893" s="32" t="str">
        <f>IFERROR(INDEX(Table!I:O,MATCH(K1893,Table!I:I,0),4),"")</f>
        <v/>
      </c>
      <c r="O1893" s="32" t="str">
        <f>IFERROR(INDEX(Table!I:O,MATCH(K1893,Table!I:I,0),5),"")</f>
        <v/>
      </c>
      <c r="P1893" s="32" t="str">
        <f>IFERROR(INDEX(Table!I:O,MATCH(K1893,Table!I:I,0),6),"")</f>
        <v/>
      </c>
      <c r="Q1893" s="89" t="str">
        <f t="shared" si="87"/>
        <v/>
      </c>
      <c r="R1893" s="89" t="str">
        <f t="shared" si="88"/>
        <v/>
      </c>
      <c r="S1893" s="82"/>
      <c r="U1893" s="37" t="e">
        <f t="shared" si="89"/>
        <v>#VALUE!</v>
      </c>
    </row>
    <row r="1894" spans="1:21" x14ac:dyDescent="0.25">
      <c r="A1894" s="31" t="str">
        <f>IF(Table!A1894 = "","",Table!A1894)</f>
        <v/>
      </c>
      <c r="B1894" s="31" t="str">
        <f>IF(Table!B1894 = "","",Table!B1894)</f>
        <v/>
      </c>
      <c r="C1894" s="31" t="str">
        <f>IF(Table!C1894 = "","",Table!C1894)</f>
        <v/>
      </c>
      <c r="D1894" s="32" t="str">
        <f>IF(Table!D1894 = "","",Table!D1894)</f>
        <v/>
      </c>
      <c r="E1894" s="32" t="str">
        <f>IF(Table!E1894 = "","",Table!E1894)</f>
        <v/>
      </c>
      <c r="F1894" s="32" t="str">
        <f>IF(Table!F1894 = "","",Table!F1894)</f>
        <v/>
      </c>
      <c r="G1894" s="91"/>
      <c r="K1894" s="31" t="str">
        <f>IFERROR(VLOOKUP(A1894,Table!$I$4:$O$3000,1,TRUE),"")</f>
        <v/>
      </c>
      <c r="L1894" s="31" t="str">
        <f>IFERROR(INDEX(Table!I:O,MATCH(K1894,Table!I:I,0),2),"")</f>
        <v/>
      </c>
      <c r="M1894" s="31" t="str">
        <f>IFERROR(INDEX(Table!I:O,MATCH(K1894,Table!I:I,0),3),"")</f>
        <v/>
      </c>
      <c r="N1894" s="32" t="str">
        <f>IFERROR(INDEX(Table!I:O,MATCH(K1894,Table!I:I,0),4),"")</f>
        <v/>
      </c>
      <c r="O1894" s="32" t="str">
        <f>IFERROR(INDEX(Table!I:O,MATCH(K1894,Table!I:I,0),5),"")</f>
        <v/>
      </c>
      <c r="P1894" s="32" t="str">
        <f>IFERROR(INDEX(Table!I:O,MATCH(K1894,Table!I:I,0),6),"")</f>
        <v/>
      </c>
      <c r="Q1894" s="89" t="str">
        <f t="shared" si="87"/>
        <v/>
      </c>
      <c r="R1894" s="89" t="str">
        <f t="shared" si="88"/>
        <v/>
      </c>
      <c r="S1894" s="82"/>
      <c r="U1894" s="37" t="e">
        <f t="shared" si="89"/>
        <v>#VALUE!</v>
      </c>
    </row>
    <row r="1895" spans="1:21" x14ac:dyDescent="0.25">
      <c r="A1895" s="31" t="str">
        <f>IF(Table!A1895 = "","",Table!A1895)</f>
        <v/>
      </c>
      <c r="B1895" s="31" t="str">
        <f>IF(Table!B1895 = "","",Table!B1895)</f>
        <v/>
      </c>
      <c r="C1895" s="31" t="str">
        <f>IF(Table!C1895 = "","",Table!C1895)</f>
        <v/>
      </c>
      <c r="D1895" s="32" t="str">
        <f>IF(Table!D1895 = "","",Table!D1895)</f>
        <v/>
      </c>
      <c r="E1895" s="32" t="str">
        <f>IF(Table!E1895 = "","",Table!E1895)</f>
        <v/>
      </c>
      <c r="F1895" s="32" t="str">
        <f>IF(Table!F1895 = "","",Table!F1895)</f>
        <v/>
      </c>
      <c r="G1895" s="91"/>
      <c r="K1895" s="31" t="str">
        <f>IFERROR(VLOOKUP(A1895,Table!$I$4:$O$3000,1,TRUE),"")</f>
        <v/>
      </c>
      <c r="L1895" s="31" t="str">
        <f>IFERROR(INDEX(Table!I:O,MATCH(K1895,Table!I:I,0),2),"")</f>
        <v/>
      </c>
      <c r="M1895" s="31" t="str">
        <f>IFERROR(INDEX(Table!I:O,MATCH(K1895,Table!I:I,0),3),"")</f>
        <v/>
      </c>
      <c r="N1895" s="32" t="str">
        <f>IFERROR(INDEX(Table!I:O,MATCH(K1895,Table!I:I,0),4),"")</f>
        <v/>
      </c>
      <c r="O1895" s="32" t="str">
        <f>IFERROR(INDEX(Table!I:O,MATCH(K1895,Table!I:I,0),5),"")</f>
        <v/>
      </c>
      <c r="P1895" s="32" t="str">
        <f>IFERROR(INDEX(Table!I:O,MATCH(K1895,Table!I:I,0),6),"")</f>
        <v/>
      </c>
      <c r="Q1895" s="89" t="str">
        <f t="shared" si="87"/>
        <v/>
      </c>
      <c r="R1895" s="89" t="str">
        <f t="shared" si="88"/>
        <v/>
      </c>
      <c r="S1895" s="82"/>
      <c r="U1895" s="37" t="e">
        <f t="shared" si="89"/>
        <v>#VALUE!</v>
      </c>
    </row>
    <row r="1896" spans="1:21" x14ac:dyDescent="0.25">
      <c r="A1896" s="31" t="str">
        <f>IF(Table!A1896 = "","",Table!A1896)</f>
        <v/>
      </c>
      <c r="B1896" s="31" t="str">
        <f>IF(Table!B1896 = "","",Table!B1896)</f>
        <v/>
      </c>
      <c r="C1896" s="31" t="str">
        <f>IF(Table!C1896 = "","",Table!C1896)</f>
        <v/>
      </c>
      <c r="D1896" s="32" t="str">
        <f>IF(Table!D1896 = "","",Table!D1896)</f>
        <v/>
      </c>
      <c r="E1896" s="32" t="str">
        <f>IF(Table!E1896 = "","",Table!E1896)</f>
        <v/>
      </c>
      <c r="F1896" s="32" t="str">
        <f>IF(Table!F1896 = "","",Table!F1896)</f>
        <v/>
      </c>
      <c r="G1896" s="91"/>
      <c r="K1896" s="31" t="str">
        <f>IFERROR(VLOOKUP(A1896,Table!$I$4:$O$3000,1,TRUE),"")</f>
        <v/>
      </c>
      <c r="L1896" s="31" t="str">
        <f>IFERROR(INDEX(Table!I:O,MATCH(K1896,Table!I:I,0),2),"")</f>
        <v/>
      </c>
      <c r="M1896" s="31" t="str">
        <f>IFERROR(INDEX(Table!I:O,MATCH(K1896,Table!I:I,0),3),"")</f>
        <v/>
      </c>
      <c r="N1896" s="32" t="str">
        <f>IFERROR(INDEX(Table!I:O,MATCH(K1896,Table!I:I,0),4),"")</f>
        <v/>
      </c>
      <c r="O1896" s="32" t="str">
        <f>IFERROR(INDEX(Table!I:O,MATCH(K1896,Table!I:I,0),5),"")</f>
        <v/>
      </c>
      <c r="P1896" s="32" t="str">
        <f>IFERROR(INDEX(Table!I:O,MATCH(K1896,Table!I:I,0),6),"")</f>
        <v/>
      </c>
      <c r="Q1896" s="89" t="str">
        <f t="shared" si="87"/>
        <v/>
      </c>
      <c r="R1896" s="89" t="str">
        <f t="shared" si="88"/>
        <v/>
      </c>
      <c r="S1896" s="82"/>
      <c r="U1896" s="37" t="e">
        <f t="shared" si="89"/>
        <v>#VALUE!</v>
      </c>
    </row>
    <row r="1897" spans="1:21" x14ac:dyDescent="0.25">
      <c r="A1897" s="31" t="str">
        <f>IF(Table!A1897 = "","",Table!A1897)</f>
        <v/>
      </c>
      <c r="B1897" s="31" t="str">
        <f>IF(Table!B1897 = "","",Table!B1897)</f>
        <v/>
      </c>
      <c r="C1897" s="31" t="str">
        <f>IF(Table!C1897 = "","",Table!C1897)</f>
        <v/>
      </c>
      <c r="D1897" s="32" t="str">
        <f>IF(Table!D1897 = "","",Table!D1897)</f>
        <v/>
      </c>
      <c r="E1897" s="32" t="str">
        <f>IF(Table!E1897 = "","",Table!E1897)</f>
        <v/>
      </c>
      <c r="F1897" s="32" t="str">
        <f>IF(Table!F1897 = "","",Table!F1897)</f>
        <v/>
      </c>
      <c r="G1897" s="91"/>
      <c r="K1897" s="31" t="str">
        <f>IFERROR(VLOOKUP(A1897,Table!$I$4:$O$3000,1,TRUE),"")</f>
        <v/>
      </c>
      <c r="L1897" s="31" t="str">
        <f>IFERROR(INDEX(Table!I:O,MATCH(K1897,Table!I:I,0),2),"")</f>
        <v/>
      </c>
      <c r="M1897" s="31" t="str">
        <f>IFERROR(INDEX(Table!I:O,MATCH(K1897,Table!I:I,0),3),"")</f>
        <v/>
      </c>
      <c r="N1897" s="32" t="str">
        <f>IFERROR(INDEX(Table!I:O,MATCH(K1897,Table!I:I,0),4),"")</f>
        <v/>
      </c>
      <c r="O1897" s="32" t="str">
        <f>IFERROR(INDEX(Table!I:O,MATCH(K1897,Table!I:I,0),5),"")</f>
        <v/>
      </c>
      <c r="P1897" s="32" t="str">
        <f>IFERROR(INDEX(Table!I:O,MATCH(K1897,Table!I:I,0),6),"")</f>
        <v/>
      </c>
      <c r="Q1897" s="89" t="str">
        <f t="shared" si="87"/>
        <v/>
      </c>
      <c r="R1897" s="89" t="str">
        <f t="shared" si="88"/>
        <v/>
      </c>
      <c r="S1897" s="82"/>
      <c r="U1897" s="37" t="e">
        <f t="shared" si="89"/>
        <v>#VALUE!</v>
      </c>
    </row>
    <row r="1898" spans="1:21" x14ac:dyDescent="0.25">
      <c r="A1898" s="31" t="str">
        <f>IF(Table!A1898 = "","",Table!A1898)</f>
        <v/>
      </c>
      <c r="B1898" s="31" t="str">
        <f>IF(Table!B1898 = "","",Table!B1898)</f>
        <v/>
      </c>
      <c r="C1898" s="31" t="str">
        <f>IF(Table!C1898 = "","",Table!C1898)</f>
        <v/>
      </c>
      <c r="D1898" s="32" t="str">
        <f>IF(Table!D1898 = "","",Table!D1898)</f>
        <v/>
      </c>
      <c r="E1898" s="32" t="str">
        <f>IF(Table!E1898 = "","",Table!E1898)</f>
        <v/>
      </c>
      <c r="F1898" s="32" t="str">
        <f>IF(Table!F1898 = "","",Table!F1898)</f>
        <v/>
      </c>
      <c r="G1898" s="91"/>
      <c r="K1898" s="31" t="str">
        <f>IFERROR(VLOOKUP(A1898,Table!$I$4:$O$3000,1,TRUE),"")</f>
        <v/>
      </c>
      <c r="L1898" s="31" t="str">
        <f>IFERROR(INDEX(Table!I:O,MATCH(K1898,Table!I:I,0),2),"")</f>
        <v/>
      </c>
      <c r="M1898" s="31" t="str">
        <f>IFERROR(INDEX(Table!I:O,MATCH(K1898,Table!I:I,0),3),"")</f>
        <v/>
      </c>
      <c r="N1898" s="32" t="str">
        <f>IFERROR(INDEX(Table!I:O,MATCH(K1898,Table!I:I,0),4),"")</f>
        <v/>
      </c>
      <c r="O1898" s="32" t="str">
        <f>IFERROR(INDEX(Table!I:O,MATCH(K1898,Table!I:I,0),5),"")</f>
        <v/>
      </c>
      <c r="P1898" s="32" t="str">
        <f>IFERROR(INDEX(Table!I:O,MATCH(K1898,Table!I:I,0),6),"")</f>
        <v/>
      </c>
      <c r="Q1898" s="89" t="str">
        <f t="shared" si="87"/>
        <v/>
      </c>
      <c r="R1898" s="89" t="str">
        <f t="shared" si="88"/>
        <v/>
      </c>
      <c r="S1898" s="82"/>
      <c r="U1898" s="37" t="e">
        <f t="shared" si="89"/>
        <v>#VALUE!</v>
      </c>
    </row>
    <row r="1899" spans="1:21" x14ac:dyDescent="0.25">
      <c r="A1899" s="31" t="str">
        <f>IF(Table!A1899 = "","",Table!A1899)</f>
        <v/>
      </c>
      <c r="B1899" s="31" t="str">
        <f>IF(Table!B1899 = "","",Table!B1899)</f>
        <v/>
      </c>
      <c r="C1899" s="31" t="str">
        <f>IF(Table!C1899 = "","",Table!C1899)</f>
        <v/>
      </c>
      <c r="D1899" s="32" t="str">
        <f>IF(Table!D1899 = "","",Table!D1899)</f>
        <v/>
      </c>
      <c r="E1899" s="32" t="str">
        <f>IF(Table!E1899 = "","",Table!E1899)</f>
        <v/>
      </c>
      <c r="F1899" s="32" t="str">
        <f>IF(Table!F1899 = "","",Table!F1899)</f>
        <v/>
      </c>
      <c r="G1899" s="91"/>
      <c r="K1899" s="31" t="str">
        <f>IFERROR(VLOOKUP(A1899,Table!$I$4:$O$3000,1,TRUE),"")</f>
        <v/>
      </c>
      <c r="L1899" s="31" t="str">
        <f>IFERROR(INDEX(Table!I:O,MATCH(K1899,Table!I:I,0),2),"")</f>
        <v/>
      </c>
      <c r="M1899" s="31" t="str">
        <f>IFERROR(INDEX(Table!I:O,MATCH(K1899,Table!I:I,0),3),"")</f>
        <v/>
      </c>
      <c r="N1899" s="32" t="str">
        <f>IFERROR(INDEX(Table!I:O,MATCH(K1899,Table!I:I,0),4),"")</f>
        <v/>
      </c>
      <c r="O1899" s="32" t="str">
        <f>IFERROR(INDEX(Table!I:O,MATCH(K1899,Table!I:I,0),5),"")</f>
        <v/>
      </c>
      <c r="P1899" s="32" t="str">
        <f>IFERROR(INDEX(Table!I:O,MATCH(K1899,Table!I:I,0),6),"")</f>
        <v/>
      </c>
      <c r="Q1899" s="89" t="str">
        <f t="shared" si="87"/>
        <v/>
      </c>
      <c r="R1899" s="89" t="str">
        <f t="shared" si="88"/>
        <v/>
      </c>
      <c r="S1899" s="82"/>
      <c r="U1899" s="37" t="e">
        <f t="shared" si="89"/>
        <v>#VALUE!</v>
      </c>
    </row>
    <row r="1900" spans="1:21" x14ac:dyDescent="0.25">
      <c r="A1900" s="31" t="str">
        <f>IF(Table!A1900 = "","",Table!A1900)</f>
        <v/>
      </c>
      <c r="B1900" s="31" t="str">
        <f>IF(Table!B1900 = "","",Table!B1900)</f>
        <v/>
      </c>
      <c r="C1900" s="31" t="str">
        <f>IF(Table!C1900 = "","",Table!C1900)</f>
        <v/>
      </c>
      <c r="D1900" s="32" t="str">
        <f>IF(Table!D1900 = "","",Table!D1900)</f>
        <v/>
      </c>
      <c r="E1900" s="32" t="str">
        <f>IF(Table!E1900 = "","",Table!E1900)</f>
        <v/>
      </c>
      <c r="F1900" s="32" t="str">
        <f>IF(Table!F1900 = "","",Table!F1900)</f>
        <v/>
      </c>
      <c r="G1900" s="91"/>
      <c r="K1900" s="31" t="str">
        <f>IFERROR(VLOOKUP(A1900,Table!$I$4:$O$3000,1,TRUE),"")</f>
        <v/>
      </c>
      <c r="L1900" s="31" t="str">
        <f>IFERROR(INDEX(Table!I:O,MATCH(K1900,Table!I:I,0),2),"")</f>
        <v/>
      </c>
      <c r="M1900" s="31" t="str">
        <f>IFERROR(INDEX(Table!I:O,MATCH(K1900,Table!I:I,0),3),"")</f>
        <v/>
      </c>
      <c r="N1900" s="32" t="str">
        <f>IFERROR(INDEX(Table!I:O,MATCH(K1900,Table!I:I,0),4),"")</f>
        <v/>
      </c>
      <c r="O1900" s="32" t="str">
        <f>IFERROR(INDEX(Table!I:O,MATCH(K1900,Table!I:I,0),5),"")</f>
        <v/>
      </c>
      <c r="P1900" s="32" t="str">
        <f>IFERROR(INDEX(Table!I:O,MATCH(K1900,Table!I:I,0),6),"")</f>
        <v/>
      </c>
      <c r="Q1900" s="89" t="str">
        <f t="shared" si="87"/>
        <v/>
      </c>
      <c r="R1900" s="89" t="str">
        <f t="shared" si="88"/>
        <v/>
      </c>
      <c r="S1900" s="82"/>
      <c r="U1900" s="37" t="e">
        <f t="shared" si="89"/>
        <v>#VALUE!</v>
      </c>
    </row>
    <row r="1901" spans="1:21" x14ac:dyDescent="0.25">
      <c r="A1901" s="31" t="str">
        <f>IF(Table!A1901 = "","",Table!A1901)</f>
        <v/>
      </c>
      <c r="B1901" s="31" t="str">
        <f>IF(Table!B1901 = "","",Table!B1901)</f>
        <v/>
      </c>
      <c r="C1901" s="31" t="str">
        <f>IF(Table!C1901 = "","",Table!C1901)</f>
        <v/>
      </c>
      <c r="D1901" s="32" t="str">
        <f>IF(Table!D1901 = "","",Table!D1901)</f>
        <v/>
      </c>
      <c r="E1901" s="32" t="str">
        <f>IF(Table!E1901 = "","",Table!E1901)</f>
        <v/>
      </c>
      <c r="F1901" s="32" t="str">
        <f>IF(Table!F1901 = "","",Table!F1901)</f>
        <v/>
      </c>
      <c r="G1901" s="91"/>
      <c r="K1901" s="31" t="str">
        <f>IFERROR(VLOOKUP(A1901,Table!$I$4:$O$3000,1,TRUE),"")</f>
        <v/>
      </c>
      <c r="L1901" s="31" t="str">
        <f>IFERROR(INDEX(Table!I:O,MATCH(K1901,Table!I:I,0),2),"")</f>
        <v/>
      </c>
      <c r="M1901" s="31" t="str">
        <f>IFERROR(INDEX(Table!I:O,MATCH(K1901,Table!I:I,0),3),"")</f>
        <v/>
      </c>
      <c r="N1901" s="32" t="str">
        <f>IFERROR(INDEX(Table!I:O,MATCH(K1901,Table!I:I,0),4),"")</f>
        <v/>
      </c>
      <c r="O1901" s="32" t="str">
        <f>IFERROR(INDEX(Table!I:O,MATCH(K1901,Table!I:I,0),5),"")</f>
        <v/>
      </c>
      <c r="P1901" s="32" t="str">
        <f>IFERROR(INDEX(Table!I:O,MATCH(K1901,Table!I:I,0),6),"")</f>
        <v/>
      </c>
      <c r="Q1901" s="89" t="str">
        <f t="shared" si="87"/>
        <v/>
      </c>
      <c r="R1901" s="89" t="str">
        <f t="shared" si="88"/>
        <v/>
      </c>
      <c r="S1901" s="82"/>
      <c r="U1901" s="37" t="e">
        <f t="shared" si="89"/>
        <v>#VALUE!</v>
      </c>
    </row>
    <row r="1902" spans="1:21" x14ac:dyDescent="0.25">
      <c r="A1902" s="31" t="str">
        <f>IF(Table!A1902 = "","",Table!A1902)</f>
        <v/>
      </c>
      <c r="B1902" s="31" t="str">
        <f>IF(Table!B1902 = "","",Table!B1902)</f>
        <v/>
      </c>
      <c r="C1902" s="31" t="str">
        <f>IF(Table!C1902 = "","",Table!C1902)</f>
        <v/>
      </c>
      <c r="D1902" s="32" t="str">
        <f>IF(Table!D1902 = "","",Table!D1902)</f>
        <v/>
      </c>
      <c r="E1902" s="32" t="str">
        <f>IF(Table!E1902 = "","",Table!E1902)</f>
        <v/>
      </c>
      <c r="F1902" s="32" t="str">
        <f>IF(Table!F1902 = "","",Table!F1902)</f>
        <v/>
      </c>
      <c r="G1902" s="91"/>
      <c r="K1902" s="31" t="str">
        <f>IFERROR(VLOOKUP(A1902,Table!$I$4:$O$3000,1,TRUE),"")</f>
        <v/>
      </c>
      <c r="L1902" s="31" t="str">
        <f>IFERROR(INDEX(Table!I:O,MATCH(K1902,Table!I:I,0),2),"")</f>
        <v/>
      </c>
      <c r="M1902" s="31" t="str">
        <f>IFERROR(INDEX(Table!I:O,MATCH(K1902,Table!I:I,0),3),"")</f>
        <v/>
      </c>
      <c r="N1902" s="32" t="str">
        <f>IFERROR(INDEX(Table!I:O,MATCH(K1902,Table!I:I,0),4),"")</f>
        <v/>
      </c>
      <c r="O1902" s="32" t="str">
        <f>IFERROR(INDEX(Table!I:O,MATCH(K1902,Table!I:I,0),5),"")</f>
        <v/>
      </c>
      <c r="P1902" s="32" t="str">
        <f>IFERROR(INDEX(Table!I:O,MATCH(K1902,Table!I:I,0),6),"")</f>
        <v/>
      </c>
      <c r="Q1902" s="89" t="str">
        <f t="shared" si="87"/>
        <v/>
      </c>
      <c r="R1902" s="89" t="str">
        <f t="shared" si="88"/>
        <v/>
      </c>
      <c r="S1902" s="82"/>
      <c r="U1902" s="37" t="e">
        <f t="shared" si="89"/>
        <v>#VALUE!</v>
      </c>
    </row>
    <row r="1903" spans="1:21" x14ac:dyDescent="0.25">
      <c r="A1903" s="31" t="str">
        <f>IF(Table!A1903 = "","",Table!A1903)</f>
        <v/>
      </c>
      <c r="B1903" s="31" t="str">
        <f>IF(Table!B1903 = "","",Table!B1903)</f>
        <v/>
      </c>
      <c r="C1903" s="31" t="str">
        <f>IF(Table!C1903 = "","",Table!C1903)</f>
        <v/>
      </c>
      <c r="D1903" s="32" t="str">
        <f>IF(Table!D1903 = "","",Table!D1903)</f>
        <v/>
      </c>
      <c r="E1903" s="32" t="str">
        <f>IF(Table!E1903 = "","",Table!E1903)</f>
        <v/>
      </c>
      <c r="F1903" s="32" t="str">
        <f>IF(Table!F1903 = "","",Table!F1903)</f>
        <v/>
      </c>
      <c r="G1903" s="91"/>
      <c r="K1903" s="31" t="str">
        <f>IFERROR(VLOOKUP(A1903,Table!$I$4:$O$3000,1,TRUE),"")</f>
        <v/>
      </c>
      <c r="L1903" s="31" t="str">
        <f>IFERROR(INDEX(Table!I:O,MATCH(K1903,Table!I:I,0),2),"")</f>
        <v/>
      </c>
      <c r="M1903" s="31" t="str">
        <f>IFERROR(INDEX(Table!I:O,MATCH(K1903,Table!I:I,0),3),"")</f>
        <v/>
      </c>
      <c r="N1903" s="32" t="str">
        <f>IFERROR(INDEX(Table!I:O,MATCH(K1903,Table!I:I,0),4),"")</f>
        <v/>
      </c>
      <c r="O1903" s="32" t="str">
        <f>IFERROR(INDEX(Table!I:O,MATCH(K1903,Table!I:I,0),5),"")</f>
        <v/>
      </c>
      <c r="P1903" s="32" t="str">
        <f>IFERROR(INDEX(Table!I:O,MATCH(K1903,Table!I:I,0),6),"")</f>
        <v/>
      </c>
      <c r="Q1903" s="89" t="str">
        <f t="shared" si="87"/>
        <v/>
      </c>
      <c r="R1903" s="89" t="str">
        <f t="shared" si="88"/>
        <v/>
      </c>
      <c r="S1903" s="82"/>
      <c r="U1903" s="37" t="e">
        <f t="shared" si="89"/>
        <v>#VALUE!</v>
      </c>
    </row>
    <row r="1904" spans="1:21" x14ac:dyDescent="0.25">
      <c r="A1904" s="31" t="str">
        <f>IF(Table!A1904 = "","",Table!A1904)</f>
        <v/>
      </c>
      <c r="B1904" s="31" t="str">
        <f>IF(Table!B1904 = "","",Table!B1904)</f>
        <v/>
      </c>
      <c r="C1904" s="31" t="str">
        <f>IF(Table!C1904 = "","",Table!C1904)</f>
        <v/>
      </c>
      <c r="D1904" s="32" t="str">
        <f>IF(Table!D1904 = "","",Table!D1904)</f>
        <v/>
      </c>
      <c r="E1904" s="32" t="str">
        <f>IF(Table!E1904 = "","",Table!E1904)</f>
        <v/>
      </c>
      <c r="F1904" s="32" t="str">
        <f>IF(Table!F1904 = "","",Table!F1904)</f>
        <v/>
      </c>
      <c r="G1904" s="91"/>
      <c r="K1904" s="31" t="str">
        <f>IFERROR(VLOOKUP(A1904,Table!$I$4:$O$3000,1,TRUE),"")</f>
        <v/>
      </c>
      <c r="L1904" s="31" t="str">
        <f>IFERROR(INDEX(Table!I:O,MATCH(K1904,Table!I:I,0),2),"")</f>
        <v/>
      </c>
      <c r="M1904" s="31" t="str">
        <f>IFERROR(INDEX(Table!I:O,MATCH(K1904,Table!I:I,0),3),"")</f>
        <v/>
      </c>
      <c r="N1904" s="32" t="str">
        <f>IFERROR(INDEX(Table!I:O,MATCH(K1904,Table!I:I,0),4),"")</f>
        <v/>
      </c>
      <c r="O1904" s="32" t="str">
        <f>IFERROR(INDEX(Table!I:O,MATCH(K1904,Table!I:I,0),5),"")</f>
        <v/>
      </c>
      <c r="P1904" s="32" t="str">
        <f>IFERROR(INDEX(Table!I:O,MATCH(K1904,Table!I:I,0),6),"")</f>
        <v/>
      </c>
      <c r="Q1904" s="89" t="str">
        <f t="shared" si="87"/>
        <v/>
      </c>
      <c r="R1904" s="89" t="str">
        <f t="shared" si="88"/>
        <v/>
      </c>
      <c r="S1904" s="82"/>
      <c r="U1904" s="37" t="e">
        <f t="shared" si="89"/>
        <v>#VALUE!</v>
      </c>
    </row>
    <row r="1905" spans="1:21" x14ac:dyDescent="0.25">
      <c r="A1905" s="31" t="str">
        <f>IF(Table!A1905 = "","",Table!A1905)</f>
        <v/>
      </c>
      <c r="B1905" s="31" t="str">
        <f>IF(Table!B1905 = "","",Table!B1905)</f>
        <v/>
      </c>
      <c r="C1905" s="31" t="str">
        <f>IF(Table!C1905 = "","",Table!C1905)</f>
        <v/>
      </c>
      <c r="D1905" s="32" t="str">
        <f>IF(Table!D1905 = "","",Table!D1905)</f>
        <v/>
      </c>
      <c r="E1905" s="32" t="str">
        <f>IF(Table!E1905 = "","",Table!E1905)</f>
        <v/>
      </c>
      <c r="F1905" s="32" t="str">
        <f>IF(Table!F1905 = "","",Table!F1905)</f>
        <v/>
      </c>
      <c r="G1905" s="91"/>
      <c r="K1905" s="31" t="str">
        <f>IFERROR(VLOOKUP(A1905,Table!$I$4:$O$3000,1,TRUE),"")</f>
        <v/>
      </c>
      <c r="L1905" s="31" t="str">
        <f>IFERROR(INDEX(Table!I:O,MATCH(K1905,Table!I:I,0),2),"")</f>
        <v/>
      </c>
      <c r="M1905" s="31" t="str">
        <f>IFERROR(INDEX(Table!I:O,MATCH(K1905,Table!I:I,0),3),"")</f>
        <v/>
      </c>
      <c r="N1905" s="32" t="str">
        <f>IFERROR(INDEX(Table!I:O,MATCH(K1905,Table!I:I,0),4),"")</f>
        <v/>
      </c>
      <c r="O1905" s="32" t="str">
        <f>IFERROR(INDEX(Table!I:O,MATCH(K1905,Table!I:I,0),5),"")</f>
        <v/>
      </c>
      <c r="P1905" s="32" t="str">
        <f>IFERROR(INDEX(Table!I:O,MATCH(K1905,Table!I:I,0),6),"")</f>
        <v/>
      </c>
      <c r="Q1905" s="89" t="str">
        <f t="shared" si="87"/>
        <v/>
      </c>
      <c r="R1905" s="89" t="str">
        <f t="shared" si="88"/>
        <v/>
      </c>
      <c r="S1905" s="82"/>
      <c r="U1905" s="37" t="e">
        <f t="shared" si="89"/>
        <v>#VALUE!</v>
      </c>
    </row>
    <row r="1906" spans="1:21" x14ac:dyDescent="0.25">
      <c r="A1906" s="31" t="str">
        <f>IF(Table!A1906 = "","",Table!A1906)</f>
        <v/>
      </c>
      <c r="B1906" s="31" t="str">
        <f>IF(Table!B1906 = "","",Table!B1906)</f>
        <v/>
      </c>
      <c r="C1906" s="31" t="str">
        <f>IF(Table!C1906 = "","",Table!C1906)</f>
        <v/>
      </c>
      <c r="D1906" s="32" t="str">
        <f>IF(Table!D1906 = "","",Table!D1906)</f>
        <v/>
      </c>
      <c r="E1906" s="32" t="str">
        <f>IF(Table!E1906 = "","",Table!E1906)</f>
        <v/>
      </c>
      <c r="F1906" s="32" t="str">
        <f>IF(Table!F1906 = "","",Table!F1906)</f>
        <v/>
      </c>
      <c r="G1906" s="91"/>
      <c r="K1906" s="31" t="str">
        <f>IFERROR(VLOOKUP(A1906,Table!$I$4:$O$3000,1,TRUE),"")</f>
        <v/>
      </c>
      <c r="L1906" s="31" t="str">
        <f>IFERROR(INDEX(Table!I:O,MATCH(K1906,Table!I:I,0),2),"")</f>
        <v/>
      </c>
      <c r="M1906" s="31" t="str">
        <f>IFERROR(INDEX(Table!I:O,MATCH(K1906,Table!I:I,0),3),"")</f>
        <v/>
      </c>
      <c r="N1906" s="32" t="str">
        <f>IFERROR(INDEX(Table!I:O,MATCH(K1906,Table!I:I,0),4),"")</f>
        <v/>
      </c>
      <c r="O1906" s="32" t="str">
        <f>IFERROR(INDEX(Table!I:O,MATCH(K1906,Table!I:I,0),5),"")</f>
        <v/>
      </c>
      <c r="P1906" s="32" t="str">
        <f>IFERROR(INDEX(Table!I:O,MATCH(K1906,Table!I:I,0),6),"")</f>
        <v/>
      </c>
      <c r="Q1906" s="89" t="str">
        <f t="shared" si="87"/>
        <v/>
      </c>
      <c r="R1906" s="89" t="str">
        <f t="shared" si="88"/>
        <v/>
      </c>
      <c r="S1906" s="82"/>
      <c r="U1906" s="37" t="e">
        <f t="shared" si="89"/>
        <v>#VALUE!</v>
      </c>
    </row>
    <row r="1907" spans="1:21" x14ac:dyDescent="0.25">
      <c r="A1907" s="31" t="str">
        <f>IF(Table!A1907 = "","",Table!A1907)</f>
        <v/>
      </c>
      <c r="B1907" s="31" t="str">
        <f>IF(Table!B1907 = "","",Table!B1907)</f>
        <v/>
      </c>
      <c r="C1907" s="31" t="str">
        <f>IF(Table!C1907 = "","",Table!C1907)</f>
        <v/>
      </c>
      <c r="D1907" s="32" t="str">
        <f>IF(Table!D1907 = "","",Table!D1907)</f>
        <v/>
      </c>
      <c r="E1907" s="32" t="str">
        <f>IF(Table!E1907 = "","",Table!E1907)</f>
        <v/>
      </c>
      <c r="F1907" s="32" t="str">
        <f>IF(Table!F1907 = "","",Table!F1907)</f>
        <v/>
      </c>
      <c r="G1907" s="91"/>
      <c r="K1907" s="31" t="str">
        <f>IFERROR(VLOOKUP(A1907,Table!$I$4:$O$3000,1,TRUE),"")</f>
        <v/>
      </c>
      <c r="L1907" s="31" t="str">
        <f>IFERROR(INDEX(Table!I:O,MATCH(K1907,Table!I:I,0),2),"")</f>
        <v/>
      </c>
      <c r="M1907" s="31" t="str">
        <f>IFERROR(INDEX(Table!I:O,MATCH(K1907,Table!I:I,0),3),"")</f>
        <v/>
      </c>
      <c r="N1907" s="32" t="str">
        <f>IFERROR(INDEX(Table!I:O,MATCH(K1907,Table!I:I,0),4),"")</f>
        <v/>
      </c>
      <c r="O1907" s="32" t="str">
        <f>IFERROR(INDEX(Table!I:O,MATCH(K1907,Table!I:I,0),5),"")</f>
        <v/>
      </c>
      <c r="P1907" s="32" t="str">
        <f>IFERROR(INDEX(Table!I:O,MATCH(K1907,Table!I:I,0),6),"")</f>
        <v/>
      </c>
      <c r="Q1907" s="89" t="str">
        <f t="shared" si="87"/>
        <v/>
      </c>
      <c r="R1907" s="89" t="str">
        <f t="shared" si="88"/>
        <v/>
      </c>
      <c r="S1907" s="82"/>
      <c r="U1907" s="37" t="e">
        <f t="shared" si="89"/>
        <v>#VALUE!</v>
      </c>
    </row>
    <row r="1908" spans="1:21" x14ac:dyDescent="0.25">
      <c r="A1908" s="31" t="str">
        <f>IF(Table!A1908 = "","",Table!A1908)</f>
        <v/>
      </c>
      <c r="B1908" s="31" t="str">
        <f>IF(Table!B1908 = "","",Table!B1908)</f>
        <v/>
      </c>
      <c r="C1908" s="31" t="str">
        <f>IF(Table!C1908 = "","",Table!C1908)</f>
        <v/>
      </c>
      <c r="D1908" s="32" t="str">
        <f>IF(Table!D1908 = "","",Table!D1908)</f>
        <v/>
      </c>
      <c r="E1908" s="32" t="str">
        <f>IF(Table!E1908 = "","",Table!E1908)</f>
        <v/>
      </c>
      <c r="F1908" s="32" t="str">
        <f>IF(Table!F1908 = "","",Table!F1908)</f>
        <v/>
      </c>
      <c r="G1908" s="91"/>
      <c r="K1908" s="31" t="str">
        <f>IFERROR(VLOOKUP(A1908,Table!$I$4:$O$3000,1,TRUE),"")</f>
        <v/>
      </c>
      <c r="L1908" s="31" t="str">
        <f>IFERROR(INDEX(Table!I:O,MATCH(K1908,Table!I:I,0),2),"")</f>
        <v/>
      </c>
      <c r="M1908" s="31" t="str">
        <f>IFERROR(INDEX(Table!I:O,MATCH(K1908,Table!I:I,0),3),"")</f>
        <v/>
      </c>
      <c r="N1908" s="32" t="str">
        <f>IFERROR(INDEX(Table!I:O,MATCH(K1908,Table!I:I,0),4),"")</f>
        <v/>
      </c>
      <c r="O1908" s="32" t="str">
        <f>IFERROR(INDEX(Table!I:O,MATCH(K1908,Table!I:I,0),5),"")</f>
        <v/>
      </c>
      <c r="P1908" s="32" t="str">
        <f>IFERROR(INDEX(Table!I:O,MATCH(K1908,Table!I:I,0),6),"")</f>
        <v/>
      </c>
      <c r="Q1908" s="89" t="str">
        <f t="shared" si="87"/>
        <v/>
      </c>
      <c r="R1908" s="89" t="str">
        <f t="shared" si="88"/>
        <v/>
      </c>
      <c r="S1908" s="82"/>
      <c r="U1908" s="37" t="e">
        <f t="shared" si="89"/>
        <v>#VALUE!</v>
      </c>
    </row>
    <row r="1909" spans="1:21" x14ac:dyDescent="0.25">
      <c r="A1909" s="31" t="str">
        <f>IF(Table!A1909 = "","",Table!A1909)</f>
        <v/>
      </c>
      <c r="B1909" s="31" t="str">
        <f>IF(Table!B1909 = "","",Table!B1909)</f>
        <v/>
      </c>
      <c r="C1909" s="31" t="str">
        <f>IF(Table!C1909 = "","",Table!C1909)</f>
        <v/>
      </c>
      <c r="D1909" s="32" t="str">
        <f>IF(Table!D1909 = "","",Table!D1909)</f>
        <v/>
      </c>
      <c r="E1909" s="32" t="str">
        <f>IF(Table!E1909 = "","",Table!E1909)</f>
        <v/>
      </c>
      <c r="F1909" s="32" t="str">
        <f>IF(Table!F1909 = "","",Table!F1909)</f>
        <v/>
      </c>
      <c r="G1909" s="91"/>
      <c r="K1909" s="31" t="str">
        <f>IFERROR(VLOOKUP(A1909,Table!$I$4:$O$3000,1,TRUE),"")</f>
        <v/>
      </c>
      <c r="L1909" s="31" t="str">
        <f>IFERROR(INDEX(Table!I:O,MATCH(K1909,Table!I:I,0),2),"")</f>
        <v/>
      </c>
      <c r="M1909" s="31" t="str">
        <f>IFERROR(INDEX(Table!I:O,MATCH(K1909,Table!I:I,0),3),"")</f>
        <v/>
      </c>
      <c r="N1909" s="32" t="str">
        <f>IFERROR(INDEX(Table!I:O,MATCH(K1909,Table!I:I,0),4),"")</f>
        <v/>
      </c>
      <c r="O1909" s="32" t="str">
        <f>IFERROR(INDEX(Table!I:O,MATCH(K1909,Table!I:I,0),5),"")</f>
        <v/>
      </c>
      <c r="P1909" s="32" t="str">
        <f>IFERROR(INDEX(Table!I:O,MATCH(K1909,Table!I:I,0),6),"")</f>
        <v/>
      </c>
      <c r="Q1909" s="89" t="str">
        <f t="shared" si="87"/>
        <v/>
      </c>
      <c r="R1909" s="89" t="str">
        <f t="shared" si="88"/>
        <v/>
      </c>
      <c r="S1909" s="82"/>
      <c r="U1909" s="37" t="e">
        <f t="shared" si="89"/>
        <v>#VALUE!</v>
      </c>
    </row>
    <row r="1910" spans="1:21" x14ac:dyDescent="0.25">
      <c r="A1910" s="31" t="str">
        <f>IF(Table!A1910 = "","",Table!A1910)</f>
        <v/>
      </c>
      <c r="B1910" s="31" t="str">
        <f>IF(Table!B1910 = "","",Table!B1910)</f>
        <v/>
      </c>
      <c r="C1910" s="31" t="str">
        <f>IF(Table!C1910 = "","",Table!C1910)</f>
        <v/>
      </c>
      <c r="D1910" s="32" t="str">
        <f>IF(Table!D1910 = "","",Table!D1910)</f>
        <v/>
      </c>
      <c r="E1910" s="32" t="str">
        <f>IF(Table!E1910 = "","",Table!E1910)</f>
        <v/>
      </c>
      <c r="F1910" s="32" t="str">
        <f>IF(Table!F1910 = "","",Table!F1910)</f>
        <v/>
      </c>
      <c r="G1910" s="91"/>
      <c r="K1910" s="31" t="str">
        <f>IFERROR(VLOOKUP(A1910,Table!$I$4:$O$3000,1,TRUE),"")</f>
        <v/>
      </c>
      <c r="L1910" s="31" t="str">
        <f>IFERROR(INDEX(Table!I:O,MATCH(K1910,Table!I:I,0),2),"")</f>
        <v/>
      </c>
      <c r="M1910" s="31" t="str">
        <f>IFERROR(INDEX(Table!I:O,MATCH(K1910,Table!I:I,0),3),"")</f>
        <v/>
      </c>
      <c r="N1910" s="32" t="str">
        <f>IFERROR(INDEX(Table!I:O,MATCH(K1910,Table!I:I,0),4),"")</f>
        <v/>
      </c>
      <c r="O1910" s="32" t="str">
        <f>IFERROR(INDEX(Table!I:O,MATCH(K1910,Table!I:I,0),5),"")</f>
        <v/>
      </c>
      <c r="P1910" s="32" t="str">
        <f>IFERROR(INDEX(Table!I:O,MATCH(K1910,Table!I:I,0),6),"")</f>
        <v/>
      </c>
      <c r="Q1910" s="89" t="str">
        <f t="shared" si="87"/>
        <v/>
      </c>
      <c r="R1910" s="89" t="str">
        <f t="shared" si="88"/>
        <v/>
      </c>
      <c r="S1910" s="82"/>
      <c r="U1910" s="37" t="e">
        <f t="shared" si="89"/>
        <v>#VALUE!</v>
      </c>
    </row>
    <row r="1911" spans="1:21" x14ac:dyDescent="0.25">
      <c r="A1911" s="31" t="str">
        <f>IF(Table!A1911 = "","",Table!A1911)</f>
        <v/>
      </c>
      <c r="B1911" s="31" t="str">
        <f>IF(Table!B1911 = "","",Table!B1911)</f>
        <v/>
      </c>
      <c r="C1911" s="31" t="str">
        <f>IF(Table!C1911 = "","",Table!C1911)</f>
        <v/>
      </c>
      <c r="D1911" s="32" t="str">
        <f>IF(Table!D1911 = "","",Table!D1911)</f>
        <v/>
      </c>
      <c r="E1911" s="32" t="str">
        <f>IF(Table!E1911 = "","",Table!E1911)</f>
        <v/>
      </c>
      <c r="F1911" s="32" t="str">
        <f>IF(Table!F1911 = "","",Table!F1911)</f>
        <v/>
      </c>
      <c r="G1911" s="91"/>
      <c r="K1911" s="31" t="str">
        <f>IFERROR(VLOOKUP(A1911,Table!$I$4:$O$3000,1,TRUE),"")</f>
        <v/>
      </c>
      <c r="L1911" s="31" t="str">
        <f>IFERROR(INDEX(Table!I:O,MATCH(K1911,Table!I:I,0),2),"")</f>
        <v/>
      </c>
      <c r="M1911" s="31" t="str">
        <f>IFERROR(INDEX(Table!I:O,MATCH(K1911,Table!I:I,0),3),"")</f>
        <v/>
      </c>
      <c r="N1911" s="32" t="str">
        <f>IFERROR(INDEX(Table!I:O,MATCH(K1911,Table!I:I,0),4),"")</f>
        <v/>
      </c>
      <c r="O1911" s="32" t="str">
        <f>IFERROR(INDEX(Table!I:O,MATCH(K1911,Table!I:I,0),5),"")</f>
        <v/>
      </c>
      <c r="P1911" s="32" t="str">
        <f>IFERROR(INDEX(Table!I:O,MATCH(K1911,Table!I:I,0),6),"")</f>
        <v/>
      </c>
      <c r="Q1911" s="89" t="str">
        <f t="shared" si="87"/>
        <v/>
      </c>
      <c r="R1911" s="89" t="str">
        <f t="shared" si="88"/>
        <v/>
      </c>
      <c r="S1911" s="82"/>
      <c r="U1911" s="37" t="e">
        <f t="shared" si="89"/>
        <v>#VALUE!</v>
      </c>
    </row>
    <row r="1912" spans="1:21" x14ac:dyDescent="0.25">
      <c r="A1912" s="31" t="str">
        <f>IF(Table!A1912 = "","",Table!A1912)</f>
        <v/>
      </c>
      <c r="B1912" s="31" t="str">
        <f>IF(Table!B1912 = "","",Table!B1912)</f>
        <v/>
      </c>
      <c r="C1912" s="31" t="str">
        <f>IF(Table!C1912 = "","",Table!C1912)</f>
        <v/>
      </c>
      <c r="D1912" s="32" t="str">
        <f>IF(Table!D1912 = "","",Table!D1912)</f>
        <v/>
      </c>
      <c r="E1912" s="32" t="str">
        <f>IF(Table!E1912 = "","",Table!E1912)</f>
        <v/>
      </c>
      <c r="F1912" s="32" t="str">
        <f>IF(Table!F1912 = "","",Table!F1912)</f>
        <v/>
      </c>
      <c r="G1912" s="91"/>
      <c r="K1912" s="31" t="str">
        <f>IFERROR(VLOOKUP(A1912,Table!$I$4:$O$3000,1,TRUE),"")</f>
        <v/>
      </c>
      <c r="L1912" s="31" t="str">
        <f>IFERROR(INDEX(Table!I:O,MATCH(K1912,Table!I:I,0),2),"")</f>
        <v/>
      </c>
      <c r="M1912" s="31" t="str">
        <f>IFERROR(INDEX(Table!I:O,MATCH(K1912,Table!I:I,0),3),"")</f>
        <v/>
      </c>
      <c r="N1912" s="32" t="str">
        <f>IFERROR(INDEX(Table!I:O,MATCH(K1912,Table!I:I,0),4),"")</f>
        <v/>
      </c>
      <c r="O1912" s="32" t="str">
        <f>IFERROR(INDEX(Table!I:O,MATCH(K1912,Table!I:I,0),5),"")</f>
        <v/>
      </c>
      <c r="P1912" s="32" t="str">
        <f>IFERROR(INDEX(Table!I:O,MATCH(K1912,Table!I:I,0),6),"")</f>
        <v/>
      </c>
      <c r="Q1912" s="89" t="str">
        <f t="shared" si="87"/>
        <v/>
      </c>
      <c r="R1912" s="89" t="str">
        <f t="shared" si="88"/>
        <v/>
      </c>
      <c r="S1912" s="82"/>
      <c r="U1912" s="37" t="e">
        <f t="shared" si="89"/>
        <v>#VALUE!</v>
      </c>
    </row>
    <row r="1913" spans="1:21" x14ac:dyDescent="0.25">
      <c r="A1913" s="31" t="str">
        <f>IF(Table!A1913 = "","",Table!A1913)</f>
        <v/>
      </c>
      <c r="B1913" s="31" t="str">
        <f>IF(Table!B1913 = "","",Table!B1913)</f>
        <v/>
      </c>
      <c r="C1913" s="31" t="str">
        <f>IF(Table!C1913 = "","",Table!C1913)</f>
        <v/>
      </c>
      <c r="D1913" s="32" t="str">
        <f>IF(Table!D1913 = "","",Table!D1913)</f>
        <v/>
      </c>
      <c r="E1913" s="32" t="str">
        <f>IF(Table!E1913 = "","",Table!E1913)</f>
        <v/>
      </c>
      <c r="F1913" s="32" t="str">
        <f>IF(Table!F1913 = "","",Table!F1913)</f>
        <v/>
      </c>
      <c r="G1913" s="91"/>
      <c r="K1913" s="31" t="str">
        <f>IFERROR(VLOOKUP(A1913,Table!$I$4:$O$3000,1,TRUE),"")</f>
        <v/>
      </c>
      <c r="L1913" s="31" t="str">
        <f>IFERROR(INDEX(Table!I:O,MATCH(K1913,Table!I:I,0),2),"")</f>
        <v/>
      </c>
      <c r="M1913" s="31" t="str">
        <f>IFERROR(INDEX(Table!I:O,MATCH(K1913,Table!I:I,0),3),"")</f>
        <v/>
      </c>
      <c r="N1913" s="32" t="str">
        <f>IFERROR(INDEX(Table!I:O,MATCH(K1913,Table!I:I,0),4),"")</f>
        <v/>
      </c>
      <c r="O1913" s="32" t="str">
        <f>IFERROR(INDEX(Table!I:O,MATCH(K1913,Table!I:I,0),5),"")</f>
        <v/>
      </c>
      <c r="P1913" s="32" t="str">
        <f>IFERROR(INDEX(Table!I:O,MATCH(K1913,Table!I:I,0),6),"")</f>
        <v/>
      </c>
      <c r="Q1913" s="89" t="str">
        <f t="shared" si="87"/>
        <v/>
      </c>
      <c r="R1913" s="89" t="str">
        <f t="shared" si="88"/>
        <v/>
      </c>
      <c r="S1913" s="82"/>
      <c r="U1913" s="37" t="e">
        <f t="shared" si="89"/>
        <v>#VALUE!</v>
      </c>
    </row>
    <row r="1914" spans="1:21" x14ac:dyDescent="0.25">
      <c r="A1914" s="31" t="str">
        <f>IF(Table!A1914 = "","",Table!A1914)</f>
        <v/>
      </c>
      <c r="B1914" s="31" t="str">
        <f>IF(Table!B1914 = "","",Table!B1914)</f>
        <v/>
      </c>
      <c r="C1914" s="31" t="str">
        <f>IF(Table!C1914 = "","",Table!C1914)</f>
        <v/>
      </c>
      <c r="D1914" s="32" t="str">
        <f>IF(Table!D1914 = "","",Table!D1914)</f>
        <v/>
      </c>
      <c r="E1914" s="32" t="str">
        <f>IF(Table!E1914 = "","",Table!E1914)</f>
        <v/>
      </c>
      <c r="F1914" s="32" t="str">
        <f>IF(Table!F1914 = "","",Table!F1914)</f>
        <v/>
      </c>
      <c r="G1914" s="91"/>
      <c r="K1914" s="31" t="str">
        <f>IFERROR(VLOOKUP(A1914,Table!$I$4:$O$3000,1,TRUE),"")</f>
        <v/>
      </c>
      <c r="L1914" s="31" t="str">
        <f>IFERROR(INDEX(Table!I:O,MATCH(K1914,Table!I:I,0),2),"")</f>
        <v/>
      </c>
      <c r="M1914" s="31" t="str">
        <f>IFERROR(INDEX(Table!I:O,MATCH(K1914,Table!I:I,0),3),"")</f>
        <v/>
      </c>
      <c r="N1914" s="32" t="str">
        <f>IFERROR(INDEX(Table!I:O,MATCH(K1914,Table!I:I,0),4),"")</f>
        <v/>
      </c>
      <c r="O1914" s="32" t="str">
        <f>IFERROR(INDEX(Table!I:O,MATCH(K1914,Table!I:I,0),5),"")</f>
        <v/>
      </c>
      <c r="P1914" s="32" t="str">
        <f>IFERROR(INDEX(Table!I:O,MATCH(K1914,Table!I:I,0),6),"")</f>
        <v/>
      </c>
      <c r="Q1914" s="89" t="str">
        <f t="shared" si="87"/>
        <v/>
      </c>
      <c r="R1914" s="89" t="str">
        <f t="shared" si="88"/>
        <v/>
      </c>
      <c r="S1914" s="82"/>
      <c r="U1914" s="37" t="e">
        <f t="shared" si="89"/>
        <v>#VALUE!</v>
      </c>
    </row>
    <row r="1915" spans="1:21" x14ac:dyDescent="0.25">
      <c r="A1915" s="31" t="str">
        <f>IF(Table!A1915 = "","",Table!A1915)</f>
        <v/>
      </c>
      <c r="B1915" s="31" t="str">
        <f>IF(Table!B1915 = "","",Table!B1915)</f>
        <v/>
      </c>
      <c r="C1915" s="31" t="str">
        <f>IF(Table!C1915 = "","",Table!C1915)</f>
        <v/>
      </c>
      <c r="D1915" s="32" t="str">
        <f>IF(Table!D1915 = "","",Table!D1915)</f>
        <v/>
      </c>
      <c r="E1915" s="32" t="str">
        <f>IF(Table!E1915 = "","",Table!E1915)</f>
        <v/>
      </c>
      <c r="F1915" s="32" t="str">
        <f>IF(Table!F1915 = "","",Table!F1915)</f>
        <v/>
      </c>
      <c r="G1915" s="91"/>
      <c r="K1915" s="31" t="str">
        <f>IFERROR(VLOOKUP(A1915,Table!$I$4:$O$3000,1,TRUE),"")</f>
        <v/>
      </c>
      <c r="L1915" s="31" t="str">
        <f>IFERROR(INDEX(Table!I:O,MATCH(K1915,Table!I:I,0),2),"")</f>
        <v/>
      </c>
      <c r="M1915" s="31" t="str">
        <f>IFERROR(INDEX(Table!I:O,MATCH(K1915,Table!I:I,0),3),"")</f>
        <v/>
      </c>
      <c r="N1915" s="32" t="str">
        <f>IFERROR(INDEX(Table!I:O,MATCH(K1915,Table!I:I,0),4),"")</f>
        <v/>
      </c>
      <c r="O1915" s="32" t="str">
        <f>IFERROR(INDEX(Table!I:O,MATCH(K1915,Table!I:I,0),5),"")</f>
        <v/>
      </c>
      <c r="P1915" s="32" t="str">
        <f>IFERROR(INDEX(Table!I:O,MATCH(K1915,Table!I:I,0),6),"")</f>
        <v/>
      </c>
      <c r="Q1915" s="89" t="str">
        <f t="shared" si="87"/>
        <v/>
      </c>
      <c r="R1915" s="89" t="str">
        <f t="shared" si="88"/>
        <v/>
      </c>
      <c r="S1915" s="82"/>
      <c r="U1915" s="37" t="e">
        <f t="shared" si="89"/>
        <v>#VALUE!</v>
      </c>
    </row>
    <row r="1916" spans="1:21" x14ac:dyDescent="0.25">
      <c r="A1916" s="31" t="str">
        <f>IF(Table!A1916 = "","",Table!A1916)</f>
        <v/>
      </c>
      <c r="B1916" s="31" t="str">
        <f>IF(Table!B1916 = "","",Table!B1916)</f>
        <v/>
      </c>
      <c r="C1916" s="31" t="str">
        <f>IF(Table!C1916 = "","",Table!C1916)</f>
        <v/>
      </c>
      <c r="D1916" s="32" t="str">
        <f>IF(Table!D1916 = "","",Table!D1916)</f>
        <v/>
      </c>
      <c r="E1916" s="32" t="str">
        <f>IF(Table!E1916 = "","",Table!E1916)</f>
        <v/>
      </c>
      <c r="F1916" s="32" t="str">
        <f>IF(Table!F1916 = "","",Table!F1916)</f>
        <v/>
      </c>
      <c r="G1916" s="91"/>
      <c r="K1916" s="31" t="str">
        <f>IFERROR(VLOOKUP(A1916,Table!$I$4:$O$3000,1,TRUE),"")</f>
        <v/>
      </c>
      <c r="L1916" s="31" t="str">
        <f>IFERROR(INDEX(Table!I:O,MATCH(K1916,Table!I:I,0),2),"")</f>
        <v/>
      </c>
      <c r="M1916" s="31" t="str">
        <f>IFERROR(INDEX(Table!I:O,MATCH(K1916,Table!I:I,0),3),"")</f>
        <v/>
      </c>
      <c r="N1916" s="32" t="str">
        <f>IFERROR(INDEX(Table!I:O,MATCH(K1916,Table!I:I,0),4),"")</f>
        <v/>
      </c>
      <c r="O1916" s="32" t="str">
        <f>IFERROR(INDEX(Table!I:O,MATCH(K1916,Table!I:I,0),5),"")</f>
        <v/>
      </c>
      <c r="P1916" s="32" t="str">
        <f>IFERROR(INDEX(Table!I:O,MATCH(K1916,Table!I:I,0),6),"")</f>
        <v/>
      </c>
      <c r="Q1916" s="89" t="str">
        <f t="shared" si="87"/>
        <v/>
      </c>
      <c r="R1916" s="89" t="str">
        <f t="shared" si="88"/>
        <v/>
      </c>
      <c r="S1916" s="82"/>
      <c r="U1916" s="37" t="e">
        <f t="shared" si="89"/>
        <v>#VALUE!</v>
      </c>
    </row>
    <row r="1917" spans="1:21" x14ac:dyDescent="0.25">
      <c r="A1917" s="31" t="str">
        <f>IF(Table!A1917 = "","",Table!A1917)</f>
        <v/>
      </c>
      <c r="B1917" s="31" t="str">
        <f>IF(Table!B1917 = "","",Table!B1917)</f>
        <v/>
      </c>
      <c r="C1917" s="31" t="str">
        <f>IF(Table!C1917 = "","",Table!C1917)</f>
        <v/>
      </c>
      <c r="D1917" s="32" t="str">
        <f>IF(Table!D1917 = "","",Table!D1917)</f>
        <v/>
      </c>
      <c r="E1917" s="32" t="str">
        <f>IF(Table!E1917 = "","",Table!E1917)</f>
        <v/>
      </c>
      <c r="F1917" s="32" t="str">
        <f>IF(Table!F1917 = "","",Table!F1917)</f>
        <v/>
      </c>
      <c r="G1917" s="91"/>
      <c r="K1917" s="31" t="str">
        <f>IFERROR(VLOOKUP(A1917,Table!$I$4:$O$3000,1,TRUE),"")</f>
        <v/>
      </c>
      <c r="L1917" s="31" t="str">
        <f>IFERROR(INDEX(Table!I:O,MATCH(K1917,Table!I:I,0),2),"")</f>
        <v/>
      </c>
      <c r="M1917" s="31" t="str">
        <f>IFERROR(INDEX(Table!I:O,MATCH(K1917,Table!I:I,0),3),"")</f>
        <v/>
      </c>
      <c r="N1917" s="32" t="str">
        <f>IFERROR(INDEX(Table!I:O,MATCH(K1917,Table!I:I,0),4),"")</f>
        <v/>
      </c>
      <c r="O1917" s="32" t="str">
        <f>IFERROR(INDEX(Table!I:O,MATCH(K1917,Table!I:I,0),5),"")</f>
        <v/>
      </c>
      <c r="P1917" s="32" t="str">
        <f>IFERROR(INDEX(Table!I:O,MATCH(K1917,Table!I:I,0),6),"")</f>
        <v/>
      </c>
      <c r="Q1917" s="89" t="str">
        <f t="shared" si="87"/>
        <v/>
      </c>
      <c r="R1917" s="89" t="str">
        <f t="shared" si="88"/>
        <v/>
      </c>
      <c r="S1917" s="82"/>
      <c r="U1917" s="37" t="e">
        <f t="shared" si="89"/>
        <v>#VALUE!</v>
      </c>
    </row>
    <row r="1918" spans="1:21" x14ac:dyDescent="0.25">
      <c r="A1918" s="31" t="str">
        <f>IF(Table!A1918 = "","",Table!A1918)</f>
        <v/>
      </c>
      <c r="B1918" s="31" t="str">
        <f>IF(Table!B1918 = "","",Table!B1918)</f>
        <v/>
      </c>
      <c r="C1918" s="31" t="str">
        <f>IF(Table!C1918 = "","",Table!C1918)</f>
        <v/>
      </c>
      <c r="D1918" s="32" t="str">
        <f>IF(Table!D1918 = "","",Table!D1918)</f>
        <v/>
      </c>
      <c r="E1918" s="32" t="str">
        <f>IF(Table!E1918 = "","",Table!E1918)</f>
        <v/>
      </c>
      <c r="F1918" s="32" t="str">
        <f>IF(Table!F1918 = "","",Table!F1918)</f>
        <v/>
      </c>
      <c r="G1918" s="91"/>
      <c r="K1918" s="31" t="str">
        <f>IFERROR(VLOOKUP(A1918,Table!$I$4:$O$3000,1,TRUE),"")</f>
        <v/>
      </c>
      <c r="L1918" s="31" t="str">
        <f>IFERROR(INDEX(Table!I:O,MATCH(K1918,Table!I:I,0),2),"")</f>
        <v/>
      </c>
      <c r="M1918" s="31" t="str">
        <f>IFERROR(INDEX(Table!I:O,MATCH(K1918,Table!I:I,0),3),"")</f>
        <v/>
      </c>
      <c r="N1918" s="32" t="str">
        <f>IFERROR(INDEX(Table!I:O,MATCH(K1918,Table!I:I,0),4),"")</f>
        <v/>
      </c>
      <c r="O1918" s="32" t="str">
        <f>IFERROR(INDEX(Table!I:O,MATCH(K1918,Table!I:I,0),5),"")</f>
        <v/>
      </c>
      <c r="P1918" s="32" t="str">
        <f>IFERROR(INDEX(Table!I:O,MATCH(K1918,Table!I:I,0),6),"")</f>
        <v/>
      </c>
      <c r="Q1918" s="89" t="str">
        <f t="shared" si="87"/>
        <v/>
      </c>
      <c r="R1918" s="89" t="str">
        <f t="shared" si="88"/>
        <v/>
      </c>
      <c r="S1918" s="82"/>
      <c r="U1918" s="37" t="e">
        <f t="shared" si="89"/>
        <v>#VALUE!</v>
      </c>
    </row>
    <row r="1919" spans="1:21" x14ac:dyDescent="0.25">
      <c r="A1919" s="31" t="str">
        <f>IF(Table!A1919 = "","",Table!A1919)</f>
        <v/>
      </c>
      <c r="B1919" s="31" t="str">
        <f>IF(Table!B1919 = "","",Table!B1919)</f>
        <v/>
      </c>
      <c r="C1919" s="31" t="str">
        <f>IF(Table!C1919 = "","",Table!C1919)</f>
        <v/>
      </c>
      <c r="D1919" s="32" t="str">
        <f>IF(Table!D1919 = "","",Table!D1919)</f>
        <v/>
      </c>
      <c r="E1919" s="32" t="str">
        <f>IF(Table!E1919 = "","",Table!E1919)</f>
        <v/>
      </c>
      <c r="F1919" s="32" t="str">
        <f>IF(Table!F1919 = "","",Table!F1919)</f>
        <v/>
      </c>
      <c r="G1919" s="91"/>
      <c r="K1919" s="31" t="str">
        <f>IFERROR(VLOOKUP(A1919,Table!$I$4:$O$3000,1,TRUE),"")</f>
        <v/>
      </c>
      <c r="L1919" s="31" t="str">
        <f>IFERROR(INDEX(Table!I:O,MATCH(K1919,Table!I:I,0),2),"")</f>
        <v/>
      </c>
      <c r="M1919" s="31" t="str">
        <f>IFERROR(INDEX(Table!I:O,MATCH(K1919,Table!I:I,0),3),"")</f>
        <v/>
      </c>
      <c r="N1919" s="32" t="str">
        <f>IFERROR(INDEX(Table!I:O,MATCH(K1919,Table!I:I,0),4),"")</f>
        <v/>
      </c>
      <c r="O1919" s="32" t="str">
        <f>IFERROR(INDEX(Table!I:O,MATCH(K1919,Table!I:I,0),5),"")</f>
        <v/>
      </c>
      <c r="P1919" s="32" t="str">
        <f>IFERROR(INDEX(Table!I:O,MATCH(K1919,Table!I:I,0),6),"")</f>
        <v/>
      </c>
      <c r="Q1919" s="89" t="str">
        <f t="shared" si="87"/>
        <v/>
      </c>
      <c r="R1919" s="89" t="str">
        <f t="shared" si="88"/>
        <v/>
      </c>
      <c r="S1919" s="82"/>
      <c r="U1919" s="37" t="e">
        <f t="shared" si="89"/>
        <v>#VALUE!</v>
      </c>
    </row>
    <row r="1920" spans="1:21" x14ac:dyDescent="0.25">
      <c r="A1920" s="31" t="str">
        <f>IF(Table!A1920 = "","",Table!A1920)</f>
        <v/>
      </c>
      <c r="B1920" s="31" t="str">
        <f>IF(Table!B1920 = "","",Table!B1920)</f>
        <v/>
      </c>
      <c r="C1920" s="31" t="str">
        <f>IF(Table!C1920 = "","",Table!C1920)</f>
        <v/>
      </c>
      <c r="D1920" s="32" t="str">
        <f>IF(Table!D1920 = "","",Table!D1920)</f>
        <v/>
      </c>
      <c r="E1920" s="32" t="str">
        <f>IF(Table!E1920 = "","",Table!E1920)</f>
        <v/>
      </c>
      <c r="F1920" s="32" t="str">
        <f>IF(Table!F1920 = "","",Table!F1920)</f>
        <v/>
      </c>
      <c r="G1920" s="91"/>
      <c r="K1920" s="31" t="str">
        <f>IFERROR(VLOOKUP(A1920,Table!$I$4:$O$3000,1,TRUE),"")</f>
        <v/>
      </c>
      <c r="L1920" s="31" t="str">
        <f>IFERROR(INDEX(Table!I:O,MATCH(K1920,Table!I:I,0),2),"")</f>
        <v/>
      </c>
      <c r="M1920" s="31" t="str">
        <f>IFERROR(INDEX(Table!I:O,MATCH(K1920,Table!I:I,0),3),"")</f>
        <v/>
      </c>
      <c r="N1920" s="32" t="str">
        <f>IFERROR(INDEX(Table!I:O,MATCH(K1920,Table!I:I,0),4),"")</f>
        <v/>
      </c>
      <c r="O1920" s="32" t="str">
        <f>IFERROR(INDEX(Table!I:O,MATCH(K1920,Table!I:I,0),5),"")</f>
        <v/>
      </c>
      <c r="P1920" s="32" t="str">
        <f>IFERROR(INDEX(Table!I:O,MATCH(K1920,Table!I:I,0),6),"")</f>
        <v/>
      </c>
      <c r="Q1920" s="89" t="str">
        <f t="shared" si="87"/>
        <v/>
      </c>
      <c r="R1920" s="89" t="str">
        <f t="shared" si="88"/>
        <v/>
      </c>
      <c r="S1920" s="82"/>
      <c r="U1920" s="37" t="e">
        <f t="shared" si="89"/>
        <v>#VALUE!</v>
      </c>
    </row>
    <row r="1921" spans="1:21" x14ac:dyDescent="0.25">
      <c r="A1921" s="31" t="str">
        <f>IF(Table!A1921 = "","",Table!A1921)</f>
        <v/>
      </c>
      <c r="B1921" s="31" t="str">
        <f>IF(Table!B1921 = "","",Table!B1921)</f>
        <v/>
      </c>
      <c r="C1921" s="31" t="str">
        <f>IF(Table!C1921 = "","",Table!C1921)</f>
        <v/>
      </c>
      <c r="D1921" s="32" t="str">
        <f>IF(Table!D1921 = "","",Table!D1921)</f>
        <v/>
      </c>
      <c r="E1921" s="32" t="str">
        <f>IF(Table!E1921 = "","",Table!E1921)</f>
        <v/>
      </c>
      <c r="F1921" s="32" t="str">
        <f>IF(Table!F1921 = "","",Table!F1921)</f>
        <v/>
      </c>
      <c r="G1921" s="91"/>
      <c r="K1921" s="31" t="str">
        <f>IFERROR(VLOOKUP(A1921,Table!$I$4:$O$3000,1,TRUE),"")</f>
        <v/>
      </c>
      <c r="L1921" s="31" t="str">
        <f>IFERROR(INDEX(Table!I:O,MATCH(K1921,Table!I:I,0),2),"")</f>
        <v/>
      </c>
      <c r="M1921" s="31" t="str">
        <f>IFERROR(INDEX(Table!I:O,MATCH(K1921,Table!I:I,0),3),"")</f>
        <v/>
      </c>
      <c r="N1921" s="32" t="str">
        <f>IFERROR(INDEX(Table!I:O,MATCH(K1921,Table!I:I,0),4),"")</f>
        <v/>
      </c>
      <c r="O1921" s="32" t="str">
        <f>IFERROR(INDEX(Table!I:O,MATCH(K1921,Table!I:I,0),5),"")</f>
        <v/>
      </c>
      <c r="P1921" s="32" t="str">
        <f>IFERROR(INDEX(Table!I:O,MATCH(K1921,Table!I:I,0),6),"")</f>
        <v/>
      </c>
      <c r="Q1921" s="89" t="str">
        <f t="shared" si="87"/>
        <v/>
      </c>
      <c r="R1921" s="89" t="str">
        <f t="shared" si="88"/>
        <v/>
      </c>
      <c r="S1921" s="82"/>
      <c r="U1921" s="37" t="e">
        <f t="shared" si="89"/>
        <v>#VALUE!</v>
      </c>
    </row>
    <row r="1922" spans="1:21" x14ac:dyDescent="0.25">
      <c r="A1922" s="31" t="str">
        <f>IF(Table!A1922 = "","",Table!A1922)</f>
        <v/>
      </c>
      <c r="B1922" s="31" t="str">
        <f>IF(Table!B1922 = "","",Table!B1922)</f>
        <v/>
      </c>
      <c r="C1922" s="31" t="str">
        <f>IF(Table!C1922 = "","",Table!C1922)</f>
        <v/>
      </c>
      <c r="D1922" s="32" t="str">
        <f>IF(Table!D1922 = "","",Table!D1922)</f>
        <v/>
      </c>
      <c r="E1922" s="32" t="str">
        <f>IF(Table!E1922 = "","",Table!E1922)</f>
        <v/>
      </c>
      <c r="F1922" s="32" t="str">
        <f>IF(Table!F1922 = "","",Table!F1922)</f>
        <v/>
      </c>
      <c r="G1922" s="91"/>
      <c r="K1922" s="31" t="str">
        <f>IFERROR(VLOOKUP(A1922,Table!$I$4:$O$3000,1,TRUE),"")</f>
        <v/>
      </c>
      <c r="L1922" s="31" t="str">
        <f>IFERROR(INDEX(Table!I:O,MATCH(K1922,Table!I:I,0),2),"")</f>
        <v/>
      </c>
      <c r="M1922" s="31" t="str">
        <f>IFERROR(INDEX(Table!I:O,MATCH(K1922,Table!I:I,0),3),"")</f>
        <v/>
      </c>
      <c r="N1922" s="32" t="str">
        <f>IFERROR(INDEX(Table!I:O,MATCH(K1922,Table!I:I,0),4),"")</f>
        <v/>
      </c>
      <c r="O1922" s="32" t="str">
        <f>IFERROR(INDEX(Table!I:O,MATCH(K1922,Table!I:I,0),5),"")</f>
        <v/>
      </c>
      <c r="P1922" s="32" t="str">
        <f>IFERROR(INDEX(Table!I:O,MATCH(K1922,Table!I:I,0),6),"")</f>
        <v/>
      </c>
      <c r="Q1922" s="89" t="str">
        <f t="shared" si="87"/>
        <v/>
      </c>
      <c r="R1922" s="89" t="str">
        <f t="shared" si="88"/>
        <v/>
      </c>
      <c r="S1922" s="82"/>
      <c r="U1922" s="37" t="e">
        <f t="shared" si="89"/>
        <v>#VALUE!</v>
      </c>
    </row>
    <row r="1923" spans="1:21" x14ac:dyDescent="0.25">
      <c r="A1923" s="31" t="str">
        <f>IF(Table!A1923 = "","",Table!A1923)</f>
        <v/>
      </c>
      <c r="B1923" s="31" t="str">
        <f>IF(Table!B1923 = "","",Table!B1923)</f>
        <v/>
      </c>
      <c r="C1923" s="31" t="str">
        <f>IF(Table!C1923 = "","",Table!C1923)</f>
        <v/>
      </c>
      <c r="D1923" s="32" t="str">
        <f>IF(Table!D1923 = "","",Table!D1923)</f>
        <v/>
      </c>
      <c r="E1923" s="32" t="str">
        <f>IF(Table!E1923 = "","",Table!E1923)</f>
        <v/>
      </c>
      <c r="F1923" s="32" t="str">
        <f>IF(Table!F1923 = "","",Table!F1923)</f>
        <v/>
      </c>
      <c r="G1923" s="91"/>
      <c r="K1923" s="31" t="str">
        <f>IFERROR(VLOOKUP(A1923,Table!$I$4:$O$3000,1,TRUE),"")</f>
        <v/>
      </c>
      <c r="L1923" s="31" t="str">
        <f>IFERROR(INDEX(Table!I:O,MATCH(K1923,Table!I:I,0),2),"")</f>
        <v/>
      </c>
      <c r="M1923" s="31" t="str">
        <f>IFERROR(INDEX(Table!I:O,MATCH(K1923,Table!I:I,0),3),"")</f>
        <v/>
      </c>
      <c r="N1923" s="32" t="str">
        <f>IFERROR(INDEX(Table!I:O,MATCH(K1923,Table!I:I,0),4),"")</f>
        <v/>
      </c>
      <c r="O1923" s="32" t="str">
        <f>IFERROR(INDEX(Table!I:O,MATCH(K1923,Table!I:I,0),5),"")</f>
        <v/>
      </c>
      <c r="P1923" s="32" t="str">
        <f>IFERROR(INDEX(Table!I:O,MATCH(K1923,Table!I:I,0),6),"")</f>
        <v/>
      </c>
      <c r="Q1923" s="89" t="str">
        <f t="shared" si="87"/>
        <v/>
      </c>
      <c r="R1923" s="89" t="str">
        <f t="shared" si="88"/>
        <v/>
      </c>
      <c r="S1923" s="82"/>
      <c r="U1923" s="37" t="e">
        <f t="shared" si="89"/>
        <v>#VALUE!</v>
      </c>
    </row>
    <row r="1924" spans="1:21" x14ac:dyDescent="0.25">
      <c r="A1924" s="31" t="str">
        <f>IF(Table!A1924 = "","",Table!A1924)</f>
        <v/>
      </c>
      <c r="B1924" s="31" t="str">
        <f>IF(Table!B1924 = "","",Table!B1924)</f>
        <v/>
      </c>
      <c r="C1924" s="31" t="str">
        <f>IF(Table!C1924 = "","",Table!C1924)</f>
        <v/>
      </c>
      <c r="D1924" s="32" t="str">
        <f>IF(Table!D1924 = "","",Table!D1924)</f>
        <v/>
      </c>
      <c r="E1924" s="32" t="str">
        <f>IF(Table!E1924 = "","",Table!E1924)</f>
        <v/>
      </c>
      <c r="F1924" s="32" t="str">
        <f>IF(Table!F1924 = "","",Table!F1924)</f>
        <v/>
      </c>
      <c r="G1924" s="91"/>
      <c r="K1924" s="31" t="str">
        <f>IFERROR(VLOOKUP(A1924,Table!$I$4:$O$3000,1,TRUE),"")</f>
        <v/>
      </c>
      <c r="L1924" s="31" t="str">
        <f>IFERROR(INDEX(Table!I:O,MATCH(K1924,Table!I:I,0),2),"")</f>
        <v/>
      </c>
      <c r="M1924" s="31" t="str">
        <f>IFERROR(INDEX(Table!I:O,MATCH(K1924,Table!I:I,0),3),"")</f>
        <v/>
      </c>
      <c r="N1924" s="32" t="str">
        <f>IFERROR(INDEX(Table!I:O,MATCH(K1924,Table!I:I,0),4),"")</f>
        <v/>
      </c>
      <c r="O1924" s="32" t="str">
        <f>IFERROR(INDEX(Table!I:O,MATCH(K1924,Table!I:I,0),5),"")</f>
        <v/>
      </c>
      <c r="P1924" s="32" t="str">
        <f>IFERROR(INDEX(Table!I:O,MATCH(K1924,Table!I:I,0),6),"")</f>
        <v/>
      </c>
      <c r="Q1924" s="89" t="str">
        <f t="shared" si="87"/>
        <v/>
      </c>
      <c r="R1924" s="89" t="str">
        <f t="shared" si="88"/>
        <v/>
      </c>
      <c r="S1924" s="82"/>
      <c r="U1924" s="37" t="e">
        <f t="shared" si="89"/>
        <v>#VALUE!</v>
      </c>
    </row>
    <row r="1925" spans="1:21" x14ac:dyDescent="0.25">
      <c r="A1925" s="31" t="str">
        <f>IF(Table!A1925 = "","",Table!A1925)</f>
        <v/>
      </c>
      <c r="B1925" s="31" t="str">
        <f>IF(Table!B1925 = "","",Table!B1925)</f>
        <v/>
      </c>
      <c r="C1925" s="31" t="str">
        <f>IF(Table!C1925 = "","",Table!C1925)</f>
        <v/>
      </c>
      <c r="D1925" s="32" t="str">
        <f>IF(Table!D1925 = "","",Table!D1925)</f>
        <v/>
      </c>
      <c r="E1925" s="32" t="str">
        <f>IF(Table!E1925 = "","",Table!E1925)</f>
        <v/>
      </c>
      <c r="F1925" s="32" t="str">
        <f>IF(Table!F1925 = "","",Table!F1925)</f>
        <v/>
      </c>
      <c r="G1925" s="91"/>
      <c r="K1925" s="31" t="str">
        <f>IFERROR(VLOOKUP(A1925,Table!$I$4:$O$3000,1,TRUE),"")</f>
        <v/>
      </c>
      <c r="L1925" s="31" t="str">
        <f>IFERROR(INDEX(Table!I:O,MATCH(K1925,Table!I:I,0),2),"")</f>
        <v/>
      </c>
      <c r="M1925" s="31" t="str">
        <f>IFERROR(INDEX(Table!I:O,MATCH(K1925,Table!I:I,0),3),"")</f>
        <v/>
      </c>
      <c r="N1925" s="32" t="str">
        <f>IFERROR(INDEX(Table!I:O,MATCH(K1925,Table!I:I,0),4),"")</f>
        <v/>
      </c>
      <c r="O1925" s="32" t="str">
        <f>IFERROR(INDEX(Table!I:O,MATCH(K1925,Table!I:I,0),5),"")</f>
        <v/>
      </c>
      <c r="P1925" s="32" t="str">
        <f>IFERROR(INDEX(Table!I:O,MATCH(K1925,Table!I:I,0),6),"")</f>
        <v/>
      </c>
      <c r="Q1925" s="89" t="str">
        <f t="shared" si="87"/>
        <v/>
      </c>
      <c r="R1925" s="89" t="str">
        <f t="shared" si="88"/>
        <v/>
      </c>
      <c r="S1925" s="82"/>
      <c r="U1925" s="37" t="e">
        <f t="shared" si="89"/>
        <v>#VALUE!</v>
      </c>
    </row>
    <row r="1926" spans="1:21" x14ac:dyDescent="0.25">
      <c r="A1926" s="31" t="str">
        <f>IF(Table!A1926 = "","",Table!A1926)</f>
        <v/>
      </c>
      <c r="B1926" s="31" t="str">
        <f>IF(Table!B1926 = "","",Table!B1926)</f>
        <v/>
      </c>
      <c r="C1926" s="31" t="str">
        <f>IF(Table!C1926 = "","",Table!C1926)</f>
        <v/>
      </c>
      <c r="D1926" s="32" t="str">
        <f>IF(Table!D1926 = "","",Table!D1926)</f>
        <v/>
      </c>
      <c r="E1926" s="32" t="str">
        <f>IF(Table!E1926 = "","",Table!E1926)</f>
        <v/>
      </c>
      <c r="F1926" s="32" t="str">
        <f>IF(Table!F1926 = "","",Table!F1926)</f>
        <v/>
      </c>
      <c r="G1926" s="91"/>
      <c r="K1926" s="31" t="str">
        <f>IFERROR(VLOOKUP(A1926,Table!$I$4:$O$3000,1,TRUE),"")</f>
        <v/>
      </c>
      <c r="L1926" s="31" t="str">
        <f>IFERROR(INDEX(Table!I:O,MATCH(K1926,Table!I:I,0),2),"")</f>
        <v/>
      </c>
      <c r="M1926" s="31" t="str">
        <f>IFERROR(INDEX(Table!I:O,MATCH(K1926,Table!I:I,0),3),"")</f>
        <v/>
      </c>
      <c r="N1926" s="32" t="str">
        <f>IFERROR(INDEX(Table!I:O,MATCH(K1926,Table!I:I,0),4),"")</f>
        <v/>
      </c>
      <c r="O1926" s="32" t="str">
        <f>IFERROR(INDEX(Table!I:O,MATCH(K1926,Table!I:I,0),5),"")</f>
        <v/>
      </c>
      <c r="P1926" s="32" t="str">
        <f>IFERROR(INDEX(Table!I:O,MATCH(K1926,Table!I:I,0),6),"")</f>
        <v/>
      </c>
      <c r="Q1926" s="89" t="str">
        <f t="shared" ref="Q1926:Q1989" si="90">IFERROR(L1926-B1926,"")</f>
        <v/>
      </c>
      <c r="R1926" s="89" t="str">
        <f t="shared" ref="R1926:R1989" si="91">IFERROR(M1926-C1926,"")</f>
        <v/>
      </c>
      <c r="S1926" s="82"/>
      <c r="U1926" s="37" t="e">
        <f t="shared" ref="U1926:U1989" si="92">K1926-K1925</f>
        <v>#VALUE!</v>
      </c>
    </row>
    <row r="1927" spans="1:21" x14ac:dyDescent="0.25">
      <c r="A1927" s="31" t="str">
        <f>IF(Table!A1927 = "","",Table!A1927)</f>
        <v/>
      </c>
      <c r="B1927" s="31" t="str">
        <f>IF(Table!B1927 = "","",Table!B1927)</f>
        <v/>
      </c>
      <c r="C1927" s="31" t="str">
        <f>IF(Table!C1927 = "","",Table!C1927)</f>
        <v/>
      </c>
      <c r="D1927" s="32" t="str">
        <f>IF(Table!D1927 = "","",Table!D1927)</f>
        <v/>
      </c>
      <c r="E1927" s="32" t="str">
        <f>IF(Table!E1927 = "","",Table!E1927)</f>
        <v/>
      </c>
      <c r="F1927" s="32" t="str">
        <f>IF(Table!F1927 = "","",Table!F1927)</f>
        <v/>
      </c>
      <c r="G1927" s="91"/>
      <c r="K1927" s="31" t="str">
        <f>IFERROR(VLOOKUP(A1927,Table!$I$4:$O$3000,1,TRUE),"")</f>
        <v/>
      </c>
      <c r="L1927" s="31" t="str">
        <f>IFERROR(INDEX(Table!I:O,MATCH(K1927,Table!I:I,0),2),"")</f>
        <v/>
      </c>
      <c r="M1927" s="31" t="str">
        <f>IFERROR(INDEX(Table!I:O,MATCH(K1927,Table!I:I,0),3),"")</f>
        <v/>
      </c>
      <c r="N1927" s="32" t="str">
        <f>IFERROR(INDEX(Table!I:O,MATCH(K1927,Table!I:I,0),4),"")</f>
        <v/>
      </c>
      <c r="O1927" s="32" t="str">
        <f>IFERROR(INDEX(Table!I:O,MATCH(K1927,Table!I:I,0),5),"")</f>
        <v/>
      </c>
      <c r="P1927" s="32" t="str">
        <f>IFERROR(INDEX(Table!I:O,MATCH(K1927,Table!I:I,0),6),"")</f>
        <v/>
      </c>
      <c r="Q1927" s="89" t="str">
        <f t="shared" si="90"/>
        <v/>
      </c>
      <c r="R1927" s="89" t="str">
        <f t="shared" si="91"/>
        <v/>
      </c>
      <c r="S1927" s="82"/>
      <c r="U1927" s="37" t="e">
        <f t="shared" si="92"/>
        <v>#VALUE!</v>
      </c>
    </row>
    <row r="1928" spans="1:21" x14ac:dyDescent="0.25">
      <c r="A1928" s="31" t="str">
        <f>IF(Table!A1928 = "","",Table!A1928)</f>
        <v/>
      </c>
      <c r="B1928" s="31" t="str">
        <f>IF(Table!B1928 = "","",Table!B1928)</f>
        <v/>
      </c>
      <c r="C1928" s="31" t="str">
        <f>IF(Table!C1928 = "","",Table!C1928)</f>
        <v/>
      </c>
      <c r="D1928" s="32" t="str">
        <f>IF(Table!D1928 = "","",Table!D1928)</f>
        <v/>
      </c>
      <c r="E1928" s="32" t="str">
        <f>IF(Table!E1928 = "","",Table!E1928)</f>
        <v/>
      </c>
      <c r="F1928" s="32" t="str">
        <f>IF(Table!F1928 = "","",Table!F1928)</f>
        <v/>
      </c>
      <c r="G1928" s="91"/>
      <c r="K1928" s="31" t="str">
        <f>IFERROR(VLOOKUP(A1928,Table!$I$4:$O$3000,1,TRUE),"")</f>
        <v/>
      </c>
      <c r="L1928" s="31" t="str">
        <f>IFERROR(INDEX(Table!I:O,MATCH(K1928,Table!I:I,0),2),"")</f>
        <v/>
      </c>
      <c r="M1928" s="31" t="str">
        <f>IFERROR(INDEX(Table!I:O,MATCH(K1928,Table!I:I,0),3),"")</f>
        <v/>
      </c>
      <c r="N1928" s="32" t="str">
        <f>IFERROR(INDEX(Table!I:O,MATCH(K1928,Table!I:I,0),4),"")</f>
        <v/>
      </c>
      <c r="O1928" s="32" t="str">
        <f>IFERROR(INDEX(Table!I:O,MATCH(K1928,Table!I:I,0),5),"")</f>
        <v/>
      </c>
      <c r="P1928" s="32" t="str">
        <f>IFERROR(INDEX(Table!I:O,MATCH(K1928,Table!I:I,0),6),"")</f>
        <v/>
      </c>
      <c r="Q1928" s="89" t="str">
        <f t="shared" si="90"/>
        <v/>
      </c>
      <c r="R1928" s="89" t="str">
        <f t="shared" si="91"/>
        <v/>
      </c>
      <c r="S1928" s="82"/>
      <c r="U1928" s="37" t="e">
        <f t="shared" si="92"/>
        <v>#VALUE!</v>
      </c>
    </row>
    <row r="1929" spans="1:21" x14ac:dyDescent="0.25">
      <c r="A1929" s="31" t="str">
        <f>IF(Table!A1929 = "","",Table!A1929)</f>
        <v/>
      </c>
      <c r="B1929" s="31" t="str">
        <f>IF(Table!B1929 = "","",Table!B1929)</f>
        <v/>
      </c>
      <c r="C1929" s="31" t="str">
        <f>IF(Table!C1929 = "","",Table!C1929)</f>
        <v/>
      </c>
      <c r="D1929" s="32" t="str">
        <f>IF(Table!D1929 = "","",Table!D1929)</f>
        <v/>
      </c>
      <c r="E1929" s="32" t="str">
        <f>IF(Table!E1929 = "","",Table!E1929)</f>
        <v/>
      </c>
      <c r="F1929" s="32" t="str">
        <f>IF(Table!F1929 = "","",Table!F1929)</f>
        <v/>
      </c>
      <c r="G1929" s="91"/>
      <c r="K1929" s="31" t="str">
        <f>IFERROR(VLOOKUP(A1929,Table!$I$4:$O$3000,1,TRUE),"")</f>
        <v/>
      </c>
      <c r="L1929" s="31" t="str">
        <f>IFERROR(INDEX(Table!I:O,MATCH(K1929,Table!I:I,0),2),"")</f>
        <v/>
      </c>
      <c r="M1929" s="31" t="str">
        <f>IFERROR(INDEX(Table!I:O,MATCH(K1929,Table!I:I,0),3),"")</f>
        <v/>
      </c>
      <c r="N1929" s="32" t="str">
        <f>IFERROR(INDEX(Table!I:O,MATCH(K1929,Table!I:I,0),4),"")</f>
        <v/>
      </c>
      <c r="O1929" s="32" t="str">
        <f>IFERROR(INDEX(Table!I:O,MATCH(K1929,Table!I:I,0),5),"")</f>
        <v/>
      </c>
      <c r="P1929" s="32" t="str">
        <f>IFERROR(INDEX(Table!I:O,MATCH(K1929,Table!I:I,0),6),"")</f>
        <v/>
      </c>
      <c r="Q1929" s="89" t="str">
        <f t="shared" si="90"/>
        <v/>
      </c>
      <c r="R1929" s="89" t="str">
        <f t="shared" si="91"/>
        <v/>
      </c>
      <c r="S1929" s="82"/>
      <c r="U1929" s="37" t="e">
        <f t="shared" si="92"/>
        <v>#VALUE!</v>
      </c>
    </row>
    <row r="1930" spans="1:21" x14ac:dyDescent="0.25">
      <c r="A1930" s="31" t="str">
        <f>IF(Table!A1930 = "","",Table!A1930)</f>
        <v/>
      </c>
      <c r="B1930" s="31" t="str">
        <f>IF(Table!B1930 = "","",Table!B1930)</f>
        <v/>
      </c>
      <c r="C1930" s="31" t="str">
        <f>IF(Table!C1930 = "","",Table!C1930)</f>
        <v/>
      </c>
      <c r="D1930" s="32" t="str">
        <f>IF(Table!D1930 = "","",Table!D1930)</f>
        <v/>
      </c>
      <c r="E1930" s="32" t="str">
        <f>IF(Table!E1930 = "","",Table!E1930)</f>
        <v/>
      </c>
      <c r="F1930" s="32" t="str">
        <f>IF(Table!F1930 = "","",Table!F1930)</f>
        <v/>
      </c>
      <c r="G1930" s="91"/>
      <c r="K1930" s="31" t="str">
        <f>IFERROR(VLOOKUP(A1930,Table!$I$4:$O$3000,1,TRUE),"")</f>
        <v/>
      </c>
      <c r="L1930" s="31" t="str">
        <f>IFERROR(INDEX(Table!I:O,MATCH(K1930,Table!I:I,0),2),"")</f>
        <v/>
      </c>
      <c r="M1930" s="31" t="str">
        <f>IFERROR(INDEX(Table!I:O,MATCH(K1930,Table!I:I,0),3),"")</f>
        <v/>
      </c>
      <c r="N1930" s="32" t="str">
        <f>IFERROR(INDEX(Table!I:O,MATCH(K1930,Table!I:I,0),4),"")</f>
        <v/>
      </c>
      <c r="O1930" s="32" t="str">
        <f>IFERROR(INDEX(Table!I:O,MATCH(K1930,Table!I:I,0),5),"")</f>
        <v/>
      </c>
      <c r="P1930" s="32" t="str">
        <f>IFERROR(INDEX(Table!I:O,MATCH(K1930,Table!I:I,0),6),"")</f>
        <v/>
      </c>
      <c r="Q1930" s="89" t="str">
        <f t="shared" si="90"/>
        <v/>
      </c>
      <c r="R1930" s="89" t="str">
        <f t="shared" si="91"/>
        <v/>
      </c>
      <c r="S1930" s="82"/>
      <c r="U1930" s="37" t="e">
        <f t="shared" si="92"/>
        <v>#VALUE!</v>
      </c>
    </row>
    <row r="1931" spans="1:21" x14ac:dyDescent="0.25">
      <c r="A1931" s="31" t="str">
        <f>IF(Table!A1931 = "","",Table!A1931)</f>
        <v/>
      </c>
      <c r="B1931" s="31" t="str">
        <f>IF(Table!B1931 = "","",Table!B1931)</f>
        <v/>
      </c>
      <c r="C1931" s="31" t="str">
        <f>IF(Table!C1931 = "","",Table!C1931)</f>
        <v/>
      </c>
      <c r="D1931" s="32" t="str">
        <f>IF(Table!D1931 = "","",Table!D1931)</f>
        <v/>
      </c>
      <c r="E1931" s="32" t="str">
        <f>IF(Table!E1931 = "","",Table!E1931)</f>
        <v/>
      </c>
      <c r="F1931" s="32" t="str">
        <f>IF(Table!F1931 = "","",Table!F1931)</f>
        <v/>
      </c>
      <c r="G1931" s="91"/>
      <c r="K1931" s="31" t="str">
        <f>IFERROR(VLOOKUP(A1931,Table!$I$4:$O$3000,1,TRUE),"")</f>
        <v/>
      </c>
      <c r="L1931" s="31" t="str">
        <f>IFERROR(INDEX(Table!I:O,MATCH(K1931,Table!I:I,0),2),"")</f>
        <v/>
      </c>
      <c r="M1931" s="31" t="str">
        <f>IFERROR(INDEX(Table!I:O,MATCH(K1931,Table!I:I,0),3),"")</f>
        <v/>
      </c>
      <c r="N1931" s="32" t="str">
        <f>IFERROR(INDEX(Table!I:O,MATCH(K1931,Table!I:I,0),4),"")</f>
        <v/>
      </c>
      <c r="O1931" s="32" t="str">
        <f>IFERROR(INDEX(Table!I:O,MATCH(K1931,Table!I:I,0),5),"")</f>
        <v/>
      </c>
      <c r="P1931" s="32" t="str">
        <f>IFERROR(INDEX(Table!I:O,MATCH(K1931,Table!I:I,0),6),"")</f>
        <v/>
      </c>
      <c r="Q1931" s="89" t="str">
        <f t="shared" si="90"/>
        <v/>
      </c>
      <c r="R1931" s="89" t="str">
        <f t="shared" si="91"/>
        <v/>
      </c>
      <c r="S1931" s="82"/>
      <c r="U1931" s="37" t="e">
        <f t="shared" si="92"/>
        <v>#VALUE!</v>
      </c>
    </row>
    <row r="1932" spans="1:21" x14ac:dyDescent="0.25">
      <c r="A1932" s="31" t="str">
        <f>IF(Table!A1932 = "","",Table!A1932)</f>
        <v/>
      </c>
      <c r="B1932" s="31" t="str">
        <f>IF(Table!B1932 = "","",Table!B1932)</f>
        <v/>
      </c>
      <c r="C1932" s="31" t="str">
        <f>IF(Table!C1932 = "","",Table!C1932)</f>
        <v/>
      </c>
      <c r="D1932" s="32" t="str">
        <f>IF(Table!D1932 = "","",Table!D1932)</f>
        <v/>
      </c>
      <c r="E1932" s="32" t="str">
        <f>IF(Table!E1932 = "","",Table!E1932)</f>
        <v/>
      </c>
      <c r="F1932" s="32" t="str">
        <f>IF(Table!F1932 = "","",Table!F1932)</f>
        <v/>
      </c>
      <c r="G1932" s="91"/>
      <c r="K1932" s="31" t="str">
        <f>IFERROR(VLOOKUP(A1932,Table!$I$4:$O$3000,1,TRUE),"")</f>
        <v/>
      </c>
      <c r="L1932" s="31" t="str">
        <f>IFERROR(INDEX(Table!I:O,MATCH(K1932,Table!I:I,0),2),"")</f>
        <v/>
      </c>
      <c r="M1932" s="31" t="str">
        <f>IFERROR(INDEX(Table!I:O,MATCH(K1932,Table!I:I,0),3),"")</f>
        <v/>
      </c>
      <c r="N1932" s="32" t="str">
        <f>IFERROR(INDEX(Table!I:O,MATCH(K1932,Table!I:I,0),4),"")</f>
        <v/>
      </c>
      <c r="O1932" s="32" t="str">
        <f>IFERROR(INDEX(Table!I:O,MATCH(K1932,Table!I:I,0),5),"")</f>
        <v/>
      </c>
      <c r="P1932" s="32" t="str">
        <f>IFERROR(INDEX(Table!I:O,MATCH(K1932,Table!I:I,0),6),"")</f>
        <v/>
      </c>
      <c r="Q1932" s="89" t="str">
        <f t="shared" si="90"/>
        <v/>
      </c>
      <c r="R1932" s="89" t="str">
        <f t="shared" si="91"/>
        <v/>
      </c>
      <c r="S1932" s="82"/>
      <c r="U1932" s="37" t="e">
        <f t="shared" si="92"/>
        <v>#VALUE!</v>
      </c>
    </row>
    <row r="1933" spans="1:21" x14ac:dyDescent="0.25">
      <c r="A1933" s="31" t="str">
        <f>IF(Table!A1933 = "","",Table!A1933)</f>
        <v/>
      </c>
      <c r="B1933" s="31" t="str">
        <f>IF(Table!B1933 = "","",Table!B1933)</f>
        <v/>
      </c>
      <c r="C1933" s="31" t="str">
        <f>IF(Table!C1933 = "","",Table!C1933)</f>
        <v/>
      </c>
      <c r="D1933" s="32" t="str">
        <f>IF(Table!D1933 = "","",Table!D1933)</f>
        <v/>
      </c>
      <c r="E1933" s="32" t="str">
        <f>IF(Table!E1933 = "","",Table!E1933)</f>
        <v/>
      </c>
      <c r="F1933" s="32" t="str">
        <f>IF(Table!F1933 = "","",Table!F1933)</f>
        <v/>
      </c>
      <c r="G1933" s="91"/>
      <c r="K1933" s="31" t="str">
        <f>IFERROR(VLOOKUP(A1933,Table!$I$4:$O$3000,1,TRUE),"")</f>
        <v/>
      </c>
      <c r="L1933" s="31" t="str">
        <f>IFERROR(INDEX(Table!I:O,MATCH(K1933,Table!I:I,0),2),"")</f>
        <v/>
      </c>
      <c r="M1933" s="31" t="str">
        <f>IFERROR(INDEX(Table!I:O,MATCH(K1933,Table!I:I,0),3),"")</f>
        <v/>
      </c>
      <c r="N1933" s="32" t="str">
        <f>IFERROR(INDEX(Table!I:O,MATCH(K1933,Table!I:I,0),4),"")</f>
        <v/>
      </c>
      <c r="O1933" s="32" t="str">
        <f>IFERROR(INDEX(Table!I:O,MATCH(K1933,Table!I:I,0),5),"")</f>
        <v/>
      </c>
      <c r="P1933" s="32" t="str">
        <f>IFERROR(INDEX(Table!I:O,MATCH(K1933,Table!I:I,0),6),"")</f>
        <v/>
      </c>
      <c r="Q1933" s="89" t="str">
        <f t="shared" si="90"/>
        <v/>
      </c>
      <c r="R1933" s="89" t="str">
        <f t="shared" si="91"/>
        <v/>
      </c>
      <c r="S1933" s="82"/>
      <c r="U1933" s="37" t="e">
        <f t="shared" si="92"/>
        <v>#VALUE!</v>
      </c>
    </row>
    <row r="1934" spans="1:21" x14ac:dyDescent="0.25">
      <c r="A1934" s="31" t="str">
        <f>IF(Table!A1934 = "","",Table!A1934)</f>
        <v/>
      </c>
      <c r="B1934" s="31" t="str">
        <f>IF(Table!B1934 = "","",Table!B1934)</f>
        <v/>
      </c>
      <c r="C1934" s="31" t="str">
        <f>IF(Table!C1934 = "","",Table!C1934)</f>
        <v/>
      </c>
      <c r="D1934" s="32" t="str">
        <f>IF(Table!D1934 = "","",Table!D1934)</f>
        <v/>
      </c>
      <c r="E1934" s="32" t="str">
        <f>IF(Table!E1934 = "","",Table!E1934)</f>
        <v/>
      </c>
      <c r="F1934" s="32" t="str">
        <f>IF(Table!F1934 = "","",Table!F1934)</f>
        <v/>
      </c>
      <c r="G1934" s="91"/>
      <c r="K1934" s="31" t="str">
        <f>IFERROR(VLOOKUP(A1934,Table!$I$4:$O$3000,1,TRUE),"")</f>
        <v/>
      </c>
      <c r="L1934" s="31" t="str">
        <f>IFERROR(INDEX(Table!I:O,MATCH(K1934,Table!I:I,0),2),"")</f>
        <v/>
      </c>
      <c r="M1934" s="31" t="str">
        <f>IFERROR(INDEX(Table!I:O,MATCH(K1934,Table!I:I,0),3),"")</f>
        <v/>
      </c>
      <c r="N1934" s="32" t="str">
        <f>IFERROR(INDEX(Table!I:O,MATCH(K1934,Table!I:I,0),4),"")</f>
        <v/>
      </c>
      <c r="O1934" s="32" t="str">
        <f>IFERROR(INDEX(Table!I:O,MATCH(K1934,Table!I:I,0),5),"")</f>
        <v/>
      </c>
      <c r="P1934" s="32" t="str">
        <f>IFERROR(INDEX(Table!I:O,MATCH(K1934,Table!I:I,0),6),"")</f>
        <v/>
      </c>
      <c r="Q1934" s="89" t="str">
        <f t="shared" si="90"/>
        <v/>
      </c>
      <c r="R1934" s="89" t="str">
        <f t="shared" si="91"/>
        <v/>
      </c>
      <c r="S1934" s="82"/>
      <c r="U1934" s="37" t="e">
        <f t="shared" si="92"/>
        <v>#VALUE!</v>
      </c>
    </row>
    <row r="1935" spans="1:21" x14ac:dyDescent="0.25">
      <c r="A1935" s="31" t="str">
        <f>IF(Table!A1935 = "","",Table!A1935)</f>
        <v/>
      </c>
      <c r="B1935" s="31" t="str">
        <f>IF(Table!B1935 = "","",Table!B1935)</f>
        <v/>
      </c>
      <c r="C1935" s="31" t="str">
        <f>IF(Table!C1935 = "","",Table!C1935)</f>
        <v/>
      </c>
      <c r="D1935" s="32" t="str">
        <f>IF(Table!D1935 = "","",Table!D1935)</f>
        <v/>
      </c>
      <c r="E1935" s="32" t="str">
        <f>IF(Table!E1935 = "","",Table!E1935)</f>
        <v/>
      </c>
      <c r="F1935" s="32" t="str">
        <f>IF(Table!F1935 = "","",Table!F1935)</f>
        <v/>
      </c>
      <c r="G1935" s="91"/>
      <c r="K1935" s="31" t="str">
        <f>IFERROR(VLOOKUP(A1935,Table!$I$4:$O$3000,1,TRUE),"")</f>
        <v/>
      </c>
      <c r="L1935" s="31" t="str">
        <f>IFERROR(INDEX(Table!I:O,MATCH(K1935,Table!I:I,0),2),"")</f>
        <v/>
      </c>
      <c r="M1935" s="31" t="str">
        <f>IFERROR(INDEX(Table!I:O,MATCH(K1935,Table!I:I,0),3),"")</f>
        <v/>
      </c>
      <c r="N1935" s="32" t="str">
        <f>IFERROR(INDEX(Table!I:O,MATCH(K1935,Table!I:I,0),4),"")</f>
        <v/>
      </c>
      <c r="O1935" s="32" t="str">
        <f>IFERROR(INDEX(Table!I:O,MATCH(K1935,Table!I:I,0),5),"")</f>
        <v/>
      </c>
      <c r="P1935" s="32" t="str">
        <f>IFERROR(INDEX(Table!I:O,MATCH(K1935,Table!I:I,0),6),"")</f>
        <v/>
      </c>
      <c r="Q1935" s="89" t="str">
        <f t="shared" si="90"/>
        <v/>
      </c>
      <c r="R1935" s="89" t="str">
        <f t="shared" si="91"/>
        <v/>
      </c>
      <c r="S1935" s="82"/>
      <c r="U1935" s="37" t="e">
        <f t="shared" si="92"/>
        <v>#VALUE!</v>
      </c>
    </row>
    <row r="1936" spans="1:21" x14ac:dyDescent="0.25">
      <c r="A1936" s="31" t="str">
        <f>IF(Table!A1936 = "","",Table!A1936)</f>
        <v/>
      </c>
      <c r="B1936" s="31" t="str">
        <f>IF(Table!B1936 = "","",Table!B1936)</f>
        <v/>
      </c>
      <c r="C1936" s="31" t="str">
        <f>IF(Table!C1936 = "","",Table!C1936)</f>
        <v/>
      </c>
      <c r="D1936" s="32" t="str">
        <f>IF(Table!D1936 = "","",Table!D1936)</f>
        <v/>
      </c>
      <c r="E1936" s="32" t="str">
        <f>IF(Table!E1936 = "","",Table!E1936)</f>
        <v/>
      </c>
      <c r="F1936" s="32" t="str">
        <f>IF(Table!F1936 = "","",Table!F1936)</f>
        <v/>
      </c>
      <c r="G1936" s="91"/>
      <c r="K1936" s="31" t="str">
        <f>IFERROR(VLOOKUP(A1936,Table!$I$4:$O$3000,1,TRUE),"")</f>
        <v/>
      </c>
      <c r="L1936" s="31" t="str">
        <f>IFERROR(INDEX(Table!I:O,MATCH(K1936,Table!I:I,0),2),"")</f>
        <v/>
      </c>
      <c r="M1936" s="31" t="str">
        <f>IFERROR(INDEX(Table!I:O,MATCH(K1936,Table!I:I,0),3),"")</f>
        <v/>
      </c>
      <c r="N1936" s="32" t="str">
        <f>IFERROR(INDEX(Table!I:O,MATCH(K1936,Table!I:I,0),4),"")</f>
        <v/>
      </c>
      <c r="O1936" s="32" t="str">
        <f>IFERROR(INDEX(Table!I:O,MATCH(K1936,Table!I:I,0),5),"")</f>
        <v/>
      </c>
      <c r="P1936" s="32" t="str">
        <f>IFERROR(INDEX(Table!I:O,MATCH(K1936,Table!I:I,0),6),"")</f>
        <v/>
      </c>
      <c r="Q1936" s="89" t="str">
        <f t="shared" si="90"/>
        <v/>
      </c>
      <c r="R1936" s="89" t="str">
        <f t="shared" si="91"/>
        <v/>
      </c>
      <c r="S1936" s="82"/>
      <c r="U1936" s="37" t="e">
        <f t="shared" si="92"/>
        <v>#VALUE!</v>
      </c>
    </row>
    <row r="1937" spans="1:21" x14ac:dyDescent="0.25">
      <c r="A1937" s="31" t="str">
        <f>IF(Table!A1937 = "","",Table!A1937)</f>
        <v/>
      </c>
      <c r="B1937" s="31" t="str">
        <f>IF(Table!B1937 = "","",Table!B1937)</f>
        <v/>
      </c>
      <c r="C1937" s="31" t="str">
        <f>IF(Table!C1937 = "","",Table!C1937)</f>
        <v/>
      </c>
      <c r="D1937" s="32" t="str">
        <f>IF(Table!D1937 = "","",Table!D1937)</f>
        <v/>
      </c>
      <c r="E1937" s="32" t="str">
        <f>IF(Table!E1937 = "","",Table!E1937)</f>
        <v/>
      </c>
      <c r="F1937" s="32" t="str">
        <f>IF(Table!F1937 = "","",Table!F1937)</f>
        <v/>
      </c>
      <c r="G1937" s="91"/>
      <c r="K1937" s="31" t="str">
        <f>IFERROR(VLOOKUP(A1937,Table!$I$4:$O$3000,1,TRUE),"")</f>
        <v/>
      </c>
      <c r="L1937" s="31" t="str">
        <f>IFERROR(INDEX(Table!I:O,MATCH(K1937,Table!I:I,0),2),"")</f>
        <v/>
      </c>
      <c r="M1937" s="31" t="str">
        <f>IFERROR(INDEX(Table!I:O,MATCH(K1937,Table!I:I,0),3),"")</f>
        <v/>
      </c>
      <c r="N1937" s="32" t="str">
        <f>IFERROR(INDEX(Table!I:O,MATCH(K1937,Table!I:I,0),4),"")</f>
        <v/>
      </c>
      <c r="O1937" s="32" t="str">
        <f>IFERROR(INDEX(Table!I:O,MATCH(K1937,Table!I:I,0),5),"")</f>
        <v/>
      </c>
      <c r="P1937" s="32" t="str">
        <f>IFERROR(INDEX(Table!I:O,MATCH(K1937,Table!I:I,0),6),"")</f>
        <v/>
      </c>
      <c r="Q1937" s="89" t="str">
        <f t="shared" si="90"/>
        <v/>
      </c>
      <c r="R1937" s="89" t="str">
        <f t="shared" si="91"/>
        <v/>
      </c>
      <c r="S1937" s="82"/>
      <c r="U1937" s="37" t="e">
        <f t="shared" si="92"/>
        <v>#VALUE!</v>
      </c>
    </row>
    <row r="1938" spans="1:21" x14ac:dyDescent="0.25">
      <c r="A1938" s="31" t="str">
        <f>IF(Table!A1938 = "","",Table!A1938)</f>
        <v/>
      </c>
      <c r="B1938" s="31" t="str">
        <f>IF(Table!B1938 = "","",Table!B1938)</f>
        <v/>
      </c>
      <c r="C1938" s="31" t="str">
        <f>IF(Table!C1938 = "","",Table!C1938)</f>
        <v/>
      </c>
      <c r="D1938" s="32" t="str">
        <f>IF(Table!D1938 = "","",Table!D1938)</f>
        <v/>
      </c>
      <c r="E1938" s="32" t="str">
        <f>IF(Table!E1938 = "","",Table!E1938)</f>
        <v/>
      </c>
      <c r="F1938" s="32" t="str">
        <f>IF(Table!F1938 = "","",Table!F1938)</f>
        <v/>
      </c>
      <c r="G1938" s="91"/>
      <c r="K1938" s="31" t="str">
        <f>IFERROR(VLOOKUP(A1938,Table!$I$4:$O$3000,1,TRUE),"")</f>
        <v/>
      </c>
      <c r="L1938" s="31" t="str">
        <f>IFERROR(INDEX(Table!I:O,MATCH(K1938,Table!I:I,0),2),"")</f>
        <v/>
      </c>
      <c r="M1938" s="31" t="str">
        <f>IFERROR(INDEX(Table!I:O,MATCH(K1938,Table!I:I,0),3),"")</f>
        <v/>
      </c>
      <c r="N1938" s="32" t="str">
        <f>IFERROR(INDEX(Table!I:O,MATCH(K1938,Table!I:I,0),4),"")</f>
        <v/>
      </c>
      <c r="O1938" s="32" t="str">
        <f>IFERROR(INDEX(Table!I:O,MATCH(K1938,Table!I:I,0),5),"")</f>
        <v/>
      </c>
      <c r="P1938" s="32" t="str">
        <f>IFERROR(INDEX(Table!I:O,MATCH(K1938,Table!I:I,0),6),"")</f>
        <v/>
      </c>
      <c r="Q1938" s="89" t="str">
        <f t="shared" si="90"/>
        <v/>
      </c>
      <c r="R1938" s="89" t="str">
        <f t="shared" si="91"/>
        <v/>
      </c>
      <c r="S1938" s="82"/>
      <c r="U1938" s="37" t="e">
        <f t="shared" si="92"/>
        <v>#VALUE!</v>
      </c>
    </row>
    <row r="1939" spans="1:21" x14ac:dyDescent="0.25">
      <c r="A1939" s="31" t="str">
        <f>IF(Table!A1939 = "","",Table!A1939)</f>
        <v/>
      </c>
      <c r="B1939" s="31" t="str">
        <f>IF(Table!B1939 = "","",Table!B1939)</f>
        <v/>
      </c>
      <c r="C1939" s="31" t="str">
        <f>IF(Table!C1939 = "","",Table!C1939)</f>
        <v/>
      </c>
      <c r="D1939" s="32" t="str">
        <f>IF(Table!D1939 = "","",Table!D1939)</f>
        <v/>
      </c>
      <c r="E1939" s="32" t="str">
        <f>IF(Table!E1939 = "","",Table!E1939)</f>
        <v/>
      </c>
      <c r="F1939" s="32" t="str">
        <f>IF(Table!F1939 = "","",Table!F1939)</f>
        <v/>
      </c>
      <c r="G1939" s="91"/>
      <c r="K1939" s="31" t="str">
        <f>IFERROR(VLOOKUP(A1939,Table!$I$4:$O$3000,1,TRUE),"")</f>
        <v/>
      </c>
      <c r="L1939" s="31" t="str">
        <f>IFERROR(INDEX(Table!I:O,MATCH(K1939,Table!I:I,0),2),"")</f>
        <v/>
      </c>
      <c r="M1939" s="31" t="str">
        <f>IFERROR(INDEX(Table!I:O,MATCH(K1939,Table!I:I,0),3),"")</f>
        <v/>
      </c>
      <c r="N1939" s="32" t="str">
        <f>IFERROR(INDEX(Table!I:O,MATCH(K1939,Table!I:I,0),4),"")</f>
        <v/>
      </c>
      <c r="O1939" s="32" t="str">
        <f>IFERROR(INDEX(Table!I:O,MATCH(K1939,Table!I:I,0),5),"")</f>
        <v/>
      </c>
      <c r="P1939" s="32" t="str">
        <f>IFERROR(INDEX(Table!I:O,MATCH(K1939,Table!I:I,0),6),"")</f>
        <v/>
      </c>
      <c r="Q1939" s="89" t="str">
        <f t="shared" si="90"/>
        <v/>
      </c>
      <c r="R1939" s="89" t="str">
        <f t="shared" si="91"/>
        <v/>
      </c>
      <c r="S1939" s="82"/>
      <c r="U1939" s="37" t="e">
        <f t="shared" si="92"/>
        <v>#VALUE!</v>
      </c>
    </row>
    <row r="1940" spans="1:21" x14ac:dyDescent="0.25">
      <c r="A1940" s="31" t="str">
        <f>IF(Table!A1940 = "","",Table!A1940)</f>
        <v/>
      </c>
      <c r="B1940" s="31" t="str">
        <f>IF(Table!B1940 = "","",Table!B1940)</f>
        <v/>
      </c>
      <c r="C1940" s="31" t="str">
        <f>IF(Table!C1940 = "","",Table!C1940)</f>
        <v/>
      </c>
      <c r="D1940" s="32" t="str">
        <f>IF(Table!D1940 = "","",Table!D1940)</f>
        <v/>
      </c>
      <c r="E1940" s="32" t="str">
        <f>IF(Table!E1940 = "","",Table!E1940)</f>
        <v/>
      </c>
      <c r="F1940" s="32" t="str">
        <f>IF(Table!F1940 = "","",Table!F1940)</f>
        <v/>
      </c>
      <c r="G1940" s="91"/>
      <c r="K1940" s="31" t="str">
        <f>IFERROR(VLOOKUP(A1940,Table!$I$4:$O$3000,1,TRUE),"")</f>
        <v/>
      </c>
      <c r="L1940" s="31" t="str">
        <f>IFERROR(INDEX(Table!I:O,MATCH(K1940,Table!I:I,0),2),"")</f>
        <v/>
      </c>
      <c r="M1940" s="31" t="str">
        <f>IFERROR(INDEX(Table!I:O,MATCH(K1940,Table!I:I,0),3),"")</f>
        <v/>
      </c>
      <c r="N1940" s="32" t="str">
        <f>IFERROR(INDEX(Table!I:O,MATCH(K1940,Table!I:I,0),4),"")</f>
        <v/>
      </c>
      <c r="O1940" s="32" t="str">
        <f>IFERROR(INDEX(Table!I:O,MATCH(K1940,Table!I:I,0),5),"")</f>
        <v/>
      </c>
      <c r="P1940" s="32" t="str">
        <f>IFERROR(INDEX(Table!I:O,MATCH(K1940,Table!I:I,0),6),"")</f>
        <v/>
      </c>
      <c r="Q1940" s="89" t="str">
        <f t="shared" si="90"/>
        <v/>
      </c>
      <c r="R1940" s="89" t="str">
        <f t="shared" si="91"/>
        <v/>
      </c>
      <c r="S1940" s="82"/>
      <c r="U1940" s="37" t="e">
        <f t="shared" si="92"/>
        <v>#VALUE!</v>
      </c>
    </row>
    <row r="1941" spans="1:21" x14ac:dyDescent="0.25">
      <c r="A1941" s="31" t="str">
        <f>IF(Table!A1941 = "","",Table!A1941)</f>
        <v/>
      </c>
      <c r="B1941" s="31" t="str">
        <f>IF(Table!B1941 = "","",Table!B1941)</f>
        <v/>
      </c>
      <c r="C1941" s="31" t="str">
        <f>IF(Table!C1941 = "","",Table!C1941)</f>
        <v/>
      </c>
      <c r="D1941" s="32" t="str">
        <f>IF(Table!D1941 = "","",Table!D1941)</f>
        <v/>
      </c>
      <c r="E1941" s="32" t="str">
        <f>IF(Table!E1941 = "","",Table!E1941)</f>
        <v/>
      </c>
      <c r="F1941" s="32" t="str">
        <f>IF(Table!F1941 = "","",Table!F1941)</f>
        <v/>
      </c>
      <c r="G1941" s="91"/>
      <c r="K1941" s="31" t="str">
        <f>IFERROR(VLOOKUP(A1941,Table!$I$4:$O$3000,1,TRUE),"")</f>
        <v/>
      </c>
      <c r="L1941" s="31" t="str">
        <f>IFERROR(INDEX(Table!I:O,MATCH(K1941,Table!I:I,0),2),"")</f>
        <v/>
      </c>
      <c r="M1941" s="31" t="str">
        <f>IFERROR(INDEX(Table!I:O,MATCH(K1941,Table!I:I,0),3),"")</f>
        <v/>
      </c>
      <c r="N1941" s="32" t="str">
        <f>IFERROR(INDEX(Table!I:O,MATCH(K1941,Table!I:I,0),4),"")</f>
        <v/>
      </c>
      <c r="O1941" s="32" t="str">
        <f>IFERROR(INDEX(Table!I:O,MATCH(K1941,Table!I:I,0),5),"")</f>
        <v/>
      </c>
      <c r="P1941" s="32" t="str">
        <f>IFERROR(INDEX(Table!I:O,MATCH(K1941,Table!I:I,0),6),"")</f>
        <v/>
      </c>
      <c r="Q1941" s="89" t="str">
        <f t="shared" si="90"/>
        <v/>
      </c>
      <c r="R1941" s="89" t="str">
        <f t="shared" si="91"/>
        <v/>
      </c>
      <c r="S1941" s="82"/>
      <c r="U1941" s="37" t="e">
        <f t="shared" si="92"/>
        <v>#VALUE!</v>
      </c>
    </row>
    <row r="1942" spans="1:21" x14ac:dyDescent="0.25">
      <c r="A1942" s="31" t="str">
        <f>IF(Table!A1942 = "","",Table!A1942)</f>
        <v/>
      </c>
      <c r="B1942" s="31" t="str">
        <f>IF(Table!B1942 = "","",Table!B1942)</f>
        <v/>
      </c>
      <c r="C1942" s="31" t="str">
        <f>IF(Table!C1942 = "","",Table!C1942)</f>
        <v/>
      </c>
      <c r="D1942" s="32" t="str">
        <f>IF(Table!D1942 = "","",Table!D1942)</f>
        <v/>
      </c>
      <c r="E1942" s="32" t="str">
        <f>IF(Table!E1942 = "","",Table!E1942)</f>
        <v/>
      </c>
      <c r="F1942" s="32" t="str">
        <f>IF(Table!F1942 = "","",Table!F1942)</f>
        <v/>
      </c>
      <c r="G1942" s="91"/>
      <c r="K1942" s="31" t="str">
        <f>IFERROR(VLOOKUP(A1942,Table!$I$4:$O$3000,1,TRUE),"")</f>
        <v/>
      </c>
      <c r="L1942" s="31" t="str">
        <f>IFERROR(INDEX(Table!I:O,MATCH(K1942,Table!I:I,0),2),"")</f>
        <v/>
      </c>
      <c r="M1942" s="31" t="str">
        <f>IFERROR(INDEX(Table!I:O,MATCH(K1942,Table!I:I,0),3),"")</f>
        <v/>
      </c>
      <c r="N1942" s="32" t="str">
        <f>IFERROR(INDEX(Table!I:O,MATCH(K1942,Table!I:I,0),4),"")</f>
        <v/>
      </c>
      <c r="O1942" s="32" t="str">
        <f>IFERROR(INDEX(Table!I:O,MATCH(K1942,Table!I:I,0),5),"")</f>
        <v/>
      </c>
      <c r="P1942" s="32" t="str">
        <f>IFERROR(INDEX(Table!I:O,MATCH(K1942,Table!I:I,0),6),"")</f>
        <v/>
      </c>
      <c r="Q1942" s="89" t="str">
        <f t="shared" si="90"/>
        <v/>
      </c>
      <c r="R1942" s="89" t="str">
        <f t="shared" si="91"/>
        <v/>
      </c>
      <c r="S1942" s="82"/>
      <c r="U1942" s="37" t="e">
        <f t="shared" si="92"/>
        <v>#VALUE!</v>
      </c>
    </row>
    <row r="1943" spans="1:21" x14ac:dyDescent="0.25">
      <c r="A1943" s="31" t="str">
        <f>IF(Table!A1943 = "","",Table!A1943)</f>
        <v/>
      </c>
      <c r="B1943" s="31" t="str">
        <f>IF(Table!B1943 = "","",Table!B1943)</f>
        <v/>
      </c>
      <c r="C1943" s="31" t="str">
        <f>IF(Table!C1943 = "","",Table!C1943)</f>
        <v/>
      </c>
      <c r="D1943" s="32" t="str">
        <f>IF(Table!D1943 = "","",Table!D1943)</f>
        <v/>
      </c>
      <c r="E1943" s="32" t="str">
        <f>IF(Table!E1943 = "","",Table!E1943)</f>
        <v/>
      </c>
      <c r="F1943" s="32" t="str">
        <f>IF(Table!F1943 = "","",Table!F1943)</f>
        <v/>
      </c>
      <c r="G1943" s="91"/>
      <c r="K1943" s="31" t="str">
        <f>IFERROR(VLOOKUP(A1943,Table!$I$4:$O$3000,1,TRUE),"")</f>
        <v/>
      </c>
      <c r="L1943" s="31" t="str">
        <f>IFERROR(INDEX(Table!I:O,MATCH(K1943,Table!I:I,0),2),"")</f>
        <v/>
      </c>
      <c r="M1943" s="31" t="str">
        <f>IFERROR(INDEX(Table!I:O,MATCH(K1943,Table!I:I,0),3),"")</f>
        <v/>
      </c>
      <c r="N1943" s="32" t="str">
        <f>IFERROR(INDEX(Table!I:O,MATCH(K1943,Table!I:I,0),4),"")</f>
        <v/>
      </c>
      <c r="O1943" s="32" t="str">
        <f>IFERROR(INDEX(Table!I:O,MATCH(K1943,Table!I:I,0),5),"")</f>
        <v/>
      </c>
      <c r="P1943" s="32" t="str">
        <f>IFERROR(INDEX(Table!I:O,MATCH(K1943,Table!I:I,0),6),"")</f>
        <v/>
      </c>
      <c r="Q1943" s="89" t="str">
        <f t="shared" si="90"/>
        <v/>
      </c>
      <c r="R1943" s="89" t="str">
        <f t="shared" si="91"/>
        <v/>
      </c>
      <c r="S1943" s="82"/>
      <c r="U1943" s="37" t="e">
        <f t="shared" si="92"/>
        <v>#VALUE!</v>
      </c>
    </row>
    <row r="1944" spans="1:21" x14ac:dyDescent="0.25">
      <c r="A1944" s="31" t="str">
        <f>IF(Table!A1944 = "","",Table!A1944)</f>
        <v/>
      </c>
      <c r="B1944" s="31" t="str">
        <f>IF(Table!B1944 = "","",Table!B1944)</f>
        <v/>
      </c>
      <c r="C1944" s="31" t="str">
        <f>IF(Table!C1944 = "","",Table!C1944)</f>
        <v/>
      </c>
      <c r="D1944" s="32" t="str">
        <f>IF(Table!D1944 = "","",Table!D1944)</f>
        <v/>
      </c>
      <c r="E1944" s="32" t="str">
        <f>IF(Table!E1944 = "","",Table!E1944)</f>
        <v/>
      </c>
      <c r="F1944" s="32" t="str">
        <f>IF(Table!F1944 = "","",Table!F1944)</f>
        <v/>
      </c>
      <c r="G1944" s="91"/>
      <c r="K1944" s="31" t="str">
        <f>IFERROR(VLOOKUP(A1944,Table!$I$4:$O$3000,1,TRUE),"")</f>
        <v/>
      </c>
      <c r="L1944" s="31" t="str">
        <f>IFERROR(INDEX(Table!I:O,MATCH(K1944,Table!I:I,0),2),"")</f>
        <v/>
      </c>
      <c r="M1944" s="31" t="str">
        <f>IFERROR(INDEX(Table!I:O,MATCH(K1944,Table!I:I,0),3),"")</f>
        <v/>
      </c>
      <c r="N1944" s="32" t="str">
        <f>IFERROR(INDEX(Table!I:O,MATCH(K1944,Table!I:I,0),4),"")</f>
        <v/>
      </c>
      <c r="O1944" s="32" t="str">
        <f>IFERROR(INDEX(Table!I:O,MATCH(K1944,Table!I:I,0),5),"")</f>
        <v/>
      </c>
      <c r="P1944" s="32" t="str">
        <f>IFERROR(INDEX(Table!I:O,MATCH(K1944,Table!I:I,0),6),"")</f>
        <v/>
      </c>
      <c r="Q1944" s="89" t="str">
        <f t="shared" si="90"/>
        <v/>
      </c>
      <c r="R1944" s="89" t="str">
        <f t="shared" si="91"/>
        <v/>
      </c>
      <c r="S1944" s="82"/>
      <c r="U1944" s="37" t="e">
        <f t="shared" si="92"/>
        <v>#VALUE!</v>
      </c>
    </row>
    <row r="1945" spans="1:21" x14ac:dyDescent="0.25">
      <c r="A1945" s="31" t="str">
        <f>IF(Table!A1945 = "","",Table!A1945)</f>
        <v/>
      </c>
      <c r="B1945" s="31" t="str">
        <f>IF(Table!B1945 = "","",Table!B1945)</f>
        <v/>
      </c>
      <c r="C1945" s="31" t="str">
        <f>IF(Table!C1945 = "","",Table!C1945)</f>
        <v/>
      </c>
      <c r="D1945" s="32" t="str">
        <f>IF(Table!D1945 = "","",Table!D1945)</f>
        <v/>
      </c>
      <c r="E1945" s="32" t="str">
        <f>IF(Table!E1945 = "","",Table!E1945)</f>
        <v/>
      </c>
      <c r="F1945" s="32" t="str">
        <f>IF(Table!F1945 = "","",Table!F1945)</f>
        <v/>
      </c>
      <c r="G1945" s="91"/>
      <c r="K1945" s="31" t="str">
        <f>IFERROR(VLOOKUP(A1945,Table!$I$4:$O$3000,1,TRUE),"")</f>
        <v/>
      </c>
      <c r="L1945" s="31" t="str">
        <f>IFERROR(INDEX(Table!I:O,MATCH(K1945,Table!I:I,0),2),"")</f>
        <v/>
      </c>
      <c r="M1945" s="31" t="str">
        <f>IFERROR(INDEX(Table!I:O,MATCH(K1945,Table!I:I,0),3),"")</f>
        <v/>
      </c>
      <c r="N1945" s="32" t="str">
        <f>IFERROR(INDEX(Table!I:O,MATCH(K1945,Table!I:I,0),4),"")</f>
        <v/>
      </c>
      <c r="O1945" s="32" t="str">
        <f>IFERROR(INDEX(Table!I:O,MATCH(K1945,Table!I:I,0),5),"")</f>
        <v/>
      </c>
      <c r="P1945" s="32" t="str">
        <f>IFERROR(INDEX(Table!I:O,MATCH(K1945,Table!I:I,0),6),"")</f>
        <v/>
      </c>
      <c r="Q1945" s="89" t="str">
        <f t="shared" si="90"/>
        <v/>
      </c>
      <c r="R1945" s="89" t="str">
        <f t="shared" si="91"/>
        <v/>
      </c>
      <c r="S1945" s="82"/>
      <c r="U1945" s="37" t="e">
        <f t="shared" si="92"/>
        <v>#VALUE!</v>
      </c>
    </row>
    <row r="1946" spans="1:21" x14ac:dyDescent="0.25">
      <c r="A1946" s="31" t="str">
        <f>IF(Table!A1946 = "","",Table!A1946)</f>
        <v/>
      </c>
      <c r="B1946" s="31" t="str">
        <f>IF(Table!B1946 = "","",Table!B1946)</f>
        <v/>
      </c>
      <c r="C1946" s="31" t="str">
        <f>IF(Table!C1946 = "","",Table!C1946)</f>
        <v/>
      </c>
      <c r="D1946" s="32" t="str">
        <f>IF(Table!D1946 = "","",Table!D1946)</f>
        <v/>
      </c>
      <c r="E1946" s="32" t="str">
        <f>IF(Table!E1946 = "","",Table!E1946)</f>
        <v/>
      </c>
      <c r="F1946" s="32" t="str">
        <f>IF(Table!F1946 = "","",Table!F1946)</f>
        <v/>
      </c>
      <c r="G1946" s="91"/>
      <c r="K1946" s="31" t="str">
        <f>IFERROR(VLOOKUP(A1946,Table!$I$4:$O$3000,1,TRUE),"")</f>
        <v/>
      </c>
      <c r="L1946" s="31" t="str">
        <f>IFERROR(INDEX(Table!I:O,MATCH(K1946,Table!I:I,0),2),"")</f>
        <v/>
      </c>
      <c r="M1946" s="31" t="str">
        <f>IFERROR(INDEX(Table!I:O,MATCH(K1946,Table!I:I,0),3),"")</f>
        <v/>
      </c>
      <c r="N1946" s="32" t="str">
        <f>IFERROR(INDEX(Table!I:O,MATCH(K1946,Table!I:I,0),4),"")</f>
        <v/>
      </c>
      <c r="O1946" s="32" t="str">
        <f>IFERROR(INDEX(Table!I:O,MATCH(K1946,Table!I:I,0),5),"")</f>
        <v/>
      </c>
      <c r="P1946" s="32" t="str">
        <f>IFERROR(INDEX(Table!I:O,MATCH(K1946,Table!I:I,0),6),"")</f>
        <v/>
      </c>
      <c r="Q1946" s="89" t="str">
        <f t="shared" si="90"/>
        <v/>
      </c>
      <c r="R1946" s="89" t="str">
        <f t="shared" si="91"/>
        <v/>
      </c>
      <c r="S1946" s="82"/>
      <c r="U1946" s="37" t="e">
        <f t="shared" si="92"/>
        <v>#VALUE!</v>
      </c>
    </row>
    <row r="1947" spans="1:21" x14ac:dyDescent="0.25">
      <c r="A1947" s="31" t="str">
        <f>IF(Table!A1947 = "","",Table!A1947)</f>
        <v/>
      </c>
      <c r="B1947" s="31" t="str">
        <f>IF(Table!B1947 = "","",Table!B1947)</f>
        <v/>
      </c>
      <c r="C1947" s="31" t="str">
        <f>IF(Table!C1947 = "","",Table!C1947)</f>
        <v/>
      </c>
      <c r="D1947" s="32" t="str">
        <f>IF(Table!D1947 = "","",Table!D1947)</f>
        <v/>
      </c>
      <c r="E1947" s="32" t="str">
        <f>IF(Table!E1947 = "","",Table!E1947)</f>
        <v/>
      </c>
      <c r="F1947" s="32" t="str">
        <f>IF(Table!F1947 = "","",Table!F1947)</f>
        <v/>
      </c>
      <c r="G1947" s="91"/>
      <c r="K1947" s="31" t="str">
        <f>IFERROR(VLOOKUP(A1947,Table!$I$4:$O$3000,1,TRUE),"")</f>
        <v/>
      </c>
      <c r="L1947" s="31" t="str">
        <f>IFERROR(INDEX(Table!I:O,MATCH(K1947,Table!I:I,0),2),"")</f>
        <v/>
      </c>
      <c r="M1947" s="31" t="str">
        <f>IFERROR(INDEX(Table!I:O,MATCH(K1947,Table!I:I,0),3),"")</f>
        <v/>
      </c>
      <c r="N1947" s="32" t="str">
        <f>IFERROR(INDEX(Table!I:O,MATCH(K1947,Table!I:I,0),4),"")</f>
        <v/>
      </c>
      <c r="O1947" s="32" t="str">
        <f>IFERROR(INDEX(Table!I:O,MATCH(K1947,Table!I:I,0),5),"")</f>
        <v/>
      </c>
      <c r="P1947" s="32" t="str">
        <f>IFERROR(INDEX(Table!I:O,MATCH(K1947,Table!I:I,0),6),"")</f>
        <v/>
      </c>
      <c r="Q1947" s="89" t="str">
        <f t="shared" si="90"/>
        <v/>
      </c>
      <c r="R1947" s="89" t="str">
        <f t="shared" si="91"/>
        <v/>
      </c>
      <c r="S1947" s="82"/>
      <c r="U1947" s="37" t="e">
        <f t="shared" si="92"/>
        <v>#VALUE!</v>
      </c>
    </row>
    <row r="1948" spans="1:21" x14ac:dyDescent="0.25">
      <c r="A1948" s="31" t="str">
        <f>IF(Table!A1948 = "","",Table!A1948)</f>
        <v/>
      </c>
      <c r="B1948" s="31" t="str">
        <f>IF(Table!B1948 = "","",Table!B1948)</f>
        <v/>
      </c>
      <c r="C1948" s="31" t="str">
        <f>IF(Table!C1948 = "","",Table!C1948)</f>
        <v/>
      </c>
      <c r="D1948" s="32" t="str">
        <f>IF(Table!D1948 = "","",Table!D1948)</f>
        <v/>
      </c>
      <c r="E1948" s="32" t="str">
        <f>IF(Table!E1948 = "","",Table!E1948)</f>
        <v/>
      </c>
      <c r="F1948" s="32" t="str">
        <f>IF(Table!F1948 = "","",Table!F1948)</f>
        <v/>
      </c>
      <c r="G1948" s="91"/>
      <c r="K1948" s="31" t="str">
        <f>IFERROR(VLOOKUP(A1948,Table!$I$4:$O$3000,1,TRUE),"")</f>
        <v/>
      </c>
      <c r="L1948" s="31" t="str">
        <f>IFERROR(INDEX(Table!I:O,MATCH(K1948,Table!I:I,0),2),"")</f>
        <v/>
      </c>
      <c r="M1948" s="31" t="str">
        <f>IFERROR(INDEX(Table!I:O,MATCH(K1948,Table!I:I,0),3),"")</f>
        <v/>
      </c>
      <c r="N1948" s="32" t="str">
        <f>IFERROR(INDEX(Table!I:O,MATCH(K1948,Table!I:I,0),4),"")</f>
        <v/>
      </c>
      <c r="O1948" s="32" t="str">
        <f>IFERROR(INDEX(Table!I:O,MATCH(K1948,Table!I:I,0),5),"")</f>
        <v/>
      </c>
      <c r="P1948" s="32" t="str">
        <f>IFERROR(INDEX(Table!I:O,MATCH(K1948,Table!I:I,0),6),"")</f>
        <v/>
      </c>
      <c r="Q1948" s="89" t="str">
        <f t="shared" si="90"/>
        <v/>
      </c>
      <c r="R1948" s="89" t="str">
        <f t="shared" si="91"/>
        <v/>
      </c>
      <c r="S1948" s="82"/>
      <c r="U1948" s="37" t="e">
        <f t="shared" si="92"/>
        <v>#VALUE!</v>
      </c>
    </row>
    <row r="1949" spans="1:21" x14ac:dyDescent="0.25">
      <c r="A1949" s="31" t="str">
        <f>IF(Table!A1949 = "","",Table!A1949)</f>
        <v/>
      </c>
      <c r="B1949" s="31" t="str">
        <f>IF(Table!B1949 = "","",Table!B1949)</f>
        <v/>
      </c>
      <c r="C1949" s="31" t="str">
        <f>IF(Table!C1949 = "","",Table!C1949)</f>
        <v/>
      </c>
      <c r="D1949" s="32" t="str">
        <f>IF(Table!D1949 = "","",Table!D1949)</f>
        <v/>
      </c>
      <c r="E1949" s="32" t="str">
        <f>IF(Table!E1949 = "","",Table!E1949)</f>
        <v/>
      </c>
      <c r="F1949" s="32" t="str">
        <f>IF(Table!F1949 = "","",Table!F1949)</f>
        <v/>
      </c>
      <c r="G1949" s="91"/>
      <c r="K1949" s="31" t="str">
        <f>IFERROR(VLOOKUP(A1949,Table!$I$4:$O$3000,1,TRUE),"")</f>
        <v/>
      </c>
      <c r="L1949" s="31" t="str">
        <f>IFERROR(INDEX(Table!I:O,MATCH(K1949,Table!I:I,0),2),"")</f>
        <v/>
      </c>
      <c r="M1949" s="31" t="str">
        <f>IFERROR(INDEX(Table!I:O,MATCH(K1949,Table!I:I,0),3),"")</f>
        <v/>
      </c>
      <c r="N1949" s="32" t="str">
        <f>IFERROR(INDEX(Table!I:O,MATCH(K1949,Table!I:I,0),4),"")</f>
        <v/>
      </c>
      <c r="O1949" s="32" t="str">
        <f>IFERROR(INDEX(Table!I:O,MATCH(K1949,Table!I:I,0),5),"")</f>
        <v/>
      </c>
      <c r="P1949" s="32" t="str">
        <f>IFERROR(INDEX(Table!I:O,MATCH(K1949,Table!I:I,0),6),"")</f>
        <v/>
      </c>
      <c r="Q1949" s="89" t="str">
        <f t="shared" si="90"/>
        <v/>
      </c>
      <c r="R1949" s="89" t="str">
        <f t="shared" si="91"/>
        <v/>
      </c>
      <c r="S1949" s="82"/>
      <c r="U1949" s="37" t="e">
        <f t="shared" si="92"/>
        <v>#VALUE!</v>
      </c>
    </row>
    <row r="1950" spans="1:21" x14ac:dyDescent="0.25">
      <c r="A1950" s="31" t="str">
        <f>IF(Table!A1950 = "","",Table!A1950)</f>
        <v/>
      </c>
      <c r="B1950" s="31" t="str">
        <f>IF(Table!B1950 = "","",Table!B1950)</f>
        <v/>
      </c>
      <c r="C1950" s="31" t="str">
        <f>IF(Table!C1950 = "","",Table!C1950)</f>
        <v/>
      </c>
      <c r="D1950" s="32" t="str">
        <f>IF(Table!D1950 = "","",Table!D1950)</f>
        <v/>
      </c>
      <c r="E1950" s="32" t="str">
        <f>IF(Table!E1950 = "","",Table!E1950)</f>
        <v/>
      </c>
      <c r="F1950" s="32" t="str">
        <f>IF(Table!F1950 = "","",Table!F1950)</f>
        <v/>
      </c>
      <c r="G1950" s="91"/>
      <c r="K1950" s="31" t="str">
        <f>IFERROR(VLOOKUP(A1950,Table!$I$4:$O$3000,1,TRUE),"")</f>
        <v/>
      </c>
      <c r="L1950" s="31" t="str">
        <f>IFERROR(INDEX(Table!I:O,MATCH(K1950,Table!I:I,0),2),"")</f>
        <v/>
      </c>
      <c r="M1950" s="31" t="str">
        <f>IFERROR(INDEX(Table!I:O,MATCH(K1950,Table!I:I,0),3),"")</f>
        <v/>
      </c>
      <c r="N1950" s="32" t="str">
        <f>IFERROR(INDEX(Table!I:O,MATCH(K1950,Table!I:I,0),4),"")</f>
        <v/>
      </c>
      <c r="O1950" s="32" t="str">
        <f>IFERROR(INDEX(Table!I:O,MATCH(K1950,Table!I:I,0),5),"")</f>
        <v/>
      </c>
      <c r="P1950" s="32" t="str">
        <f>IFERROR(INDEX(Table!I:O,MATCH(K1950,Table!I:I,0),6),"")</f>
        <v/>
      </c>
      <c r="Q1950" s="89" t="str">
        <f t="shared" si="90"/>
        <v/>
      </c>
      <c r="R1950" s="89" t="str">
        <f t="shared" si="91"/>
        <v/>
      </c>
      <c r="S1950" s="82"/>
      <c r="U1950" s="37" t="e">
        <f t="shared" si="92"/>
        <v>#VALUE!</v>
      </c>
    </row>
    <row r="1951" spans="1:21" x14ac:dyDescent="0.25">
      <c r="A1951" s="31" t="str">
        <f>IF(Table!A1951 = "","",Table!A1951)</f>
        <v/>
      </c>
      <c r="B1951" s="31" t="str">
        <f>IF(Table!B1951 = "","",Table!B1951)</f>
        <v/>
      </c>
      <c r="C1951" s="31" t="str">
        <f>IF(Table!C1951 = "","",Table!C1951)</f>
        <v/>
      </c>
      <c r="D1951" s="32" t="str">
        <f>IF(Table!D1951 = "","",Table!D1951)</f>
        <v/>
      </c>
      <c r="E1951" s="32" t="str">
        <f>IF(Table!E1951 = "","",Table!E1951)</f>
        <v/>
      </c>
      <c r="F1951" s="32" t="str">
        <f>IF(Table!F1951 = "","",Table!F1951)</f>
        <v/>
      </c>
      <c r="G1951" s="91"/>
      <c r="K1951" s="31" t="str">
        <f>IFERROR(VLOOKUP(A1951,Table!$I$4:$O$3000,1,TRUE),"")</f>
        <v/>
      </c>
      <c r="L1951" s="31" t="str">
        <f>IFERROR(INDEX(Table!I:O,MATCH(K1951,Table!I:I,0),2),"")</f>
        <v/>
      </c>
      <c r="M1951" s="31" t="str">
        <f>IFERROR(INDEX(Table!I:O,MATCH(K1951,Table!I:I,0),3),"")</f>
        <v/>
      </c>
      <c r="N1951" s="32" t="str">
        <f>IFERROR(INDEX(Table!I:O,MATCH(K1951,Table!I:I,0),4),"")</f>
        <v/>
      </c>
      <c r="O1951" s="32" t="str">
        <f>IFERROR(INDEX(Table!I:O,MATCH(K1951,Table!I:I,0),5),"")</f>
        <v/>
      </c>
      <c r="P1951" s="32" t="str">
        <f>IFERROR(INDEX(Table!I:O,MATCH(K1951,Table!I:I,0),6),"")</f>
        <v/>
      </c>
      <c r="Q1951" s="89" t="str">
        <f t="shared" si="90"/>
        <v/>
      </c>
      <c r="R1951" s="89" t="str">
        <f t="shared" si="91"/>
        <v/>
      </c>
      <c r="S1951" s="82"/>
      <c r="U1951" s="37" t="e">
        <f t="shared" si="92"/>
        <v>#VALUE!</v>
      </c>
    </row>
    <row r="1952" spans="1:21" x14ac:dyDescent="0.25">
      <c r="A1952" s="31" t="str">
        <f>IF(Table!A1952 = "","",Table!A1952)</f>
        <v/>
      </c>
      <c r="B1952" s="31" t="str">
        <f>IF(Table!B1952 = "","",Table!B1952)</f>
        <v/>
      </c>
      <c r="C1952" s="31" t="str">
        <f>IF(Table!C1952 = "","",Table!C1952)</f>
        <v/>
      </c>
      <c r="D1952" s="32" t="str">
        <f>IF(Table!D1952 = "","",Table!D1952)</f>
        <v/>
      </c>
      <c r="E1952" s="32" t="str">
        <f>IF(Table!E1952 = "","",Table!E1952)</f>
        <v/>
      </c>
      <c r="F1952" s="32" t="str">
        <f>IF(Table!F1952 = "","",Table!F1952)</f>
        <v/>
      </c>
      <c r="G1952" s="91"/>
      <c r="K1952" s="31" t="str">
        <f>IFERROR(VLOOKUP(A1952,Table!$I$4:$O$3000,1,TRUE),"")</f>
        <v/>
      </c>
      <c r="L1952" s="31" t="str">
        <f>IFERROR(INDEX(Table!I:O,MATCH(K1952,Table!I:I,0),2),"")</f>
        <v/>
      </c>
      <c r="M1952" s="31" t="str">
        <f>IFERROR(INDEX(Table!I:O,MATCH(K1952,Table!I:I,0),3),"")</f>
        <v/>
      </c>
      <c r="N1952" s="32" t="str">
        <f>IFERROR(INDEX(Table!I:O,MATCH(K1952,Table!I:I,0),4),"")</f>
        <v/>
      </c>
      <c r="O1952" s="32" t="str">
        <f>IFERROR(INDEX(Table!I:O,MATCH(K1952,Table!I:I,0),5),"")</f>
        <v/>
      </c>
      <c r="P1952" s="32" t="str">
        <f>IFERROR(INDEX(Table!I:O,MATCH(K1952,Table!I:I,0),6),"")</f>
        <v/>
      </c>
      <c r="Q1952" s="89" t="str">
        <f t="shared" si="90"/>
        <v/>
      </c>
      <c r="R1952" s="89" t="str">
        <f t="shared" si="91"/>
        <v/>
      </c>
      <c r="S1952" s="82"/>
      <c r="U1952" s="37" t="e">
        <f t="shared" si="92"/>
        <v>#VALUE!</v>
      </c>
    </row>
    <row r="1953" spans="1:21" x14ac:dyDescent="0.25">
      <c r="A1953" s="31" t="str">
        <f>IF(Table!A1953 = "","",Table!A1953)</f>
        <v/>
      </c>
      <c r="B1953" s="31" t="str">
        <f>IF(Table!B1953 = "","",Table!B1953)</f>
        <v/>
      </c>
      <c r="C1953" s="31" t="str">
        <f>IF(Table!C1953 = "","",Table!C1953)</f>
        <v/>
      </c>
      <c r="D1953" s="32" t="str">
        <f>IF(Table!D1953 = "","",Table!D1953)</f>
        <v/>
      </c>
      <c r="E1953" s="32" t="str">
        <f>IF(Table!E1953 = "","",Table!E1953)</f>
        <v/>
      </c>
      <c r="F1953" s="32" t="str">
        <f>IF(Table!F1953 = "","",Table!F1953)</f>
        <v/>
      </c>
      <c r="G1953" s="91"/>
      <c r="K1953" s="31" t="str">
        <f>IFERROR(VLOOKUP(A1953,Table!$I$4:$O$3000,1,TRUE),"")</f>
        <v/>
      </c>
      <c r="L1953" s="31" t="str">
        <f>IFERROR(INDEX(Table!I:O,MATCH(K1953,Table!I:I,0),2),"")</f>
        <v/>
      </c>
      <c r="M1953" s="31" t="str">
        <f>IFERROR(INDEX(Table!I:O,MATCH(K1953,Table!I:I,0),3),"")</f>
        <v/>
      </c>
      <c r="N1953" s="32" t="str">
        <f>IFERROR(INDEX(Table!I:O,MATCH(K1953,Table!I:I,0),4),"")</f>
        <v/>
      </c>
      <c r="O1953" s="32" t="str">
        <f>IFERROR(INDEX(Table!I:O,MATCH(K1953,Table!I:I,0),5),"")</f>
        <v/>
      </c>
      <c r="P1953" s="32" t="str">
        <f>IFERROR(INDEX(Table!I:O,MATCH(K1953,Table!I:I,0),6),"")</f>
        <v/>
      </c>
      <c r="Q1953" s="89" t="str">
        <f t="shared" si="90"/>
        <v/>
      </c>
      <c r="R1953" s="89" t="str">
        <f t="shared" si="91"/>
        <v/>
      </c>
      <c r="S1953" s="82"/>
      <c r="U1953" s="37" t="e">
        <f t="shared" si="92"/>
        <v>#VALUE!</v>
      </c>
    </row>
    <row r="1954" spans="1:21" x14ac:dyDescent="0.25">
      <c r="A1954" s="31" t="str">
        <f>IF(Table!A1954 = "","",Table!A1954)</f>
        <v/>
      </c>
      <c r="B1954" s="31" t="str">
        <f>IF(Table!B1954 = "","",Table!B1954)</f>
        <v/>
      </c>
      <c r="C1954" s="31" t="str">
        <f>IF(Table!C1954 = "","",Table!C1954)</f>
        <v/>
      </c>
      <c r="D1954" s="32" t="str">
        <f>IF(Table!D1954 = "","",Table!D1954)</f>
        <v/>
      </c>
      <c r="E1954" s="32" t="str">
        <f>IF(Table!E1954 = "","",Table!E1954)</f>
        <v/>
      </c>
      <c r="F1954" s="32" t="str">
        <f>IF(Table!F1954 = "","",Table!F1954)</f>
        <v/>
      </c>
      <c r="G1954" s="91"/>
      <c r="K1954" s="31" t="str">
        <f>IFERROR(VLOOKUP(A1954,Table!$I$4:$O$3000,1,TRUE),"")</f>
        <v/>
      </c>
      <c r="L1954" s="31" t="str">
        <f>IFERROR(INDEX(Table!I:O,MATCH(K1954,Table!I:I,0),2),"")</f>
        <v/>
      </c>
      <c r="M1954" s="31" t="str">
        <f>IFERROR(INDEX(Table!I:O,MATCH(K1954,Table!I:I,0),3),"")</f>
        <v/>
      </c>
      <c r="N1954" s="32" t="str">
        <f>IFERROR(INDEX(Table!I:O,MATCH(K1954,Table!I:I,0),4),"")</f>
        <v/>
      </c>
      <c r="O1954" s="32" t="str">
        <f>IFERROR(INDEX(Table!I:O,MATCH(K1954,Table!I:I,0),5),"")</f>
        <v/>
      </c>
      <c r="P1954" s="32" t="str">
        <f>IFERROR(INDEX(Table!I:O,MATCH(K1954,Table!I:I,0),6),"")</f>
        <v/>
      </c>
      <c r="Q1954" s="89" t="str">
        <f t="shared" si="90"/>
        <v/>
      </c>
      <c r="R1954" s="89" t="str">
        <f t="shared" si="91"/>
        <v/>
      </c>
      <c r="S1954" s="82"/>
      <c r="U1954" s="37" t="e">
        <f t="shared" si="92"/>
        <v>#VALUE!</v>
      </c>
    </row>
    <row r="1955" spans="1:21" x14ac:dyDescent="0.25">
      <c r="A1955" s="31" t="str">
        <f>IF(Table!A1955 = "","",Table!A1955)</f>
        <v/>
      </c>
      <c r="B1955" s="31" t="str">
        <f>IF(Table!B1955 = "","",Table!B1955)</f>
        <v/>
      </c>
      <c r="C1955" s="31" t="str">
        <f>IF(Table!C1955 = "","",Table!C1955)</f>
        <v/>
      </c>
      <c r="D1955" s="32" t="str">
        <f>IF(Table!D1955 = "","",Table!D1955)</f>
        <v/>
      </c>
      <c r="E1955" s="32" t="str">
        <f>IF(Table!E1955 = "","",Table!E1955)</f>
        <v/>
      </c>
      <c r="F1955" s="32" t="str">
        <f>IF(Table!F1955 = "","",Table!F1955)</f>
        <v/>
      </c>
      <c r="G1955" s="91"/>
      <c r="K1955" s="31" t="str">
        <f>IFERROR(VLOOKUP(A1955,Table!$I$4:$O$3000,1,TRUE),"")</f>
        <v/>
      </c>
      <c r="L1955" s="31" t="str">
        <f>IFERROR(INDEX(Table!I:O,MATCH(K1955,Table!I:I,0),2),"")</f>
        <v/>
      </c>
      <c r="M1955" s="31" t="str">
        <f>IFERROR(INDEX(Table!I:O,MATCH(K1955,Table!I:I,0),3),"")</f>
        <v/>
      </c>
      <c r="N1955" s="32" t="str">
        <f>IFERROR(INDEX(Table!I:O,MATCH(K1955,Table!I:I,0),4),"")</f>
        <v/>
      </c>
      <c r="O1955" s="32" t="str">
        <f>IFERROR(INDEX(Table!I:O,MATCH(K1955,Table!I:I,0),5),"")</f>
        <v/>
      </c>
      <c r="P1955" s="32" t="str">
        <f>IFERROR(INDEX(Table!I:O,MATCH(K1955,Table!I:I,0),6),"")</f>
        <v/>
      </c>
      <c r="Q1955" s="89" t="str">
        <f t="shared" si="90"/>
        <v/>
      </c>
      <c r="R1955" s="89" t="str">
        <f t="shared" si="91"/>
        <v/>
      </c>
      <c r="S1955" s="82"/>
      <c r="U1955" s="37" t="e">
        <f t="shared" si="92"/>
        <v>#VALUE!</v>
      </c>
    </row>
    <row r="1956" spans="1:21" x14ac:dyDescent="0.25">
      <c r="A1956" s="31" t="str">
        <f>IF(Table!A1956 = "","",Table!A1956)</f>
        <v/>
      </c>
      <c r="B1956" s="31" t="str">
        <f>IF(Table!B1956 = "","",Table!B1956)</f>
        <v/>
      </c>
      <c r="C1956" s="31" t="str">
        <f>IF(Table!C1956 = "","",Table!C1956)</f>
        <v/>
      </c>
      <c r="D1956" s="32" t="str">
        <f>IF(Table!D1956 = "","",Table!D1956)</f>
        <v/>
      </c>
      <c r="E1956" s="32" t="str">
        <f>IF(Table!E1956 = "","",Table!E1956)</f>
        <v/>
      </c>
      <c r="F1956" s="32" t="str">
        <f>IF(Table!F1956 = "","",Table!F1956)</f>
        <v/>
      </c>
      <c r="G1956" s="91"/>
      <c r="K1956" s="31" t="str">
        <f>IFERROR(VLOOKUP(A1956,Table!$I$4:$O$3000,1,TRUE),"")</f>
        <v/>
      </c>
      <c r="L1956" s="31" t="str">
        <f>IFERROR(INDEX(Table!I:O,MATCH(K1956,Table!I:I,0),2),"")</f>
        <v/>
      </c>
      <c r="M1956" s="31" t="str">
        <f>IFERROR(INDEX(Table!I:O,MATCH(K1956,Table!I:I,0),3),"")</f>
        <v/>
      </c>
      <c r="N1956" s="32" t="str">
        <f>IFERROR(INDEX(Table!I:O,MATCH(K1956,Table!I:I,0),4),"")</f>
        <v/>
      </c>
      <c r="O1956" s="32" t="str">
        <f>IFERROR(INDEX(Table!I:O,MATCH(K1956,Table!I:I,0),5),"")</f>
        <v/>
      </c>
      <c r="P1956" s="32" t="str">
        <f>IFERROR(INDEX(Table!I:O,MATCH(K1956,Table!I:I,0),6),"")</f>
        <v/>
      </c>
      <c r="Q1956" s="89" t="str">
        <f t="shared" si="90"/>
        <v/>
      </c>
      <c r="R1956" s="89" t="str">
        <f t="shared" si="91"/>
        <v/>
      </c>
      <c r="S1956" s="82"/>
      <c r="U1956" s="37" t="e">
        <f t="shared" si="92"/>
        <v>#VALUE!</v>
      </c>
    </row>
    <row r="1957" spans="1:21" x14ac:dyDescent="0.25">
      <c r="A1957" s="31" t="str">
        <f>IF(Table!A1957 = "","",Table!A1957)</f>
        <v/>
      </c>
      <c r="B1957" s="31" t="str">
        <f>IF(Table!B1957 = "","",Table!B1957)</f>
        <v/>
      </c>
      <c r="C1957" s="31" t="str">
        <f>IF(Table!C1957 = "","",Table!C1957)</f>
        <v/>
      </c>
      <c r="D1957" s="32" t="str">
        <f>IF(Table!D1957 = "","",Table!D1957)</f>
        <v/>
      </c>
      <c r="E1957" s="32" t="str">
        <f>IF(Table!E1957 = "","",Table!E1957)</f>
        <v/>
      </c>
      <c r="F1957" s="32" t="str">
        <f>IF(Table!F1957 = "","",Table!F1957)</f>
        <v/>
      </c>
      <c r="G1957" s="91"/>
      <c r="K1957" s="31" t="str">
        <f>IFERROR(VLOOKUP(A1957,Table!$I$4:$O$3000,1,TRUE),"")</f>
        <v/>
      </c>
      <c r="L1957" s="31" t="str">
        <f>IFERROR(INDEX(Table!I:O,MATCH(K1957,Table!I:I,0),2),"")</f>
        <v/>
      </c>
      <c r="M1957" s="31" t="str">
        <f>IFERROR(INDEX(Table!I:O,MATCH(K1957,Table!I:I,0),3),"")</f>
        <v/>
      </c>
      <c r="N1957" s="32" t="str">
        <f>IFERROR(INDEX(Table!I:O,MATCH(K1957,Table!I:I,0),4),"")</f>
        <v/>
      </c>
      <c r="O1957" s="32" t="str">
        <f>IFERROR(INDEX(Table!I:O,MATCH(K1957,Table!I:I,0),5),"")</f>
        <v/>
      </c>
      <c r="P1957" s="32" t="str">
        <f>IFERROR(INDEX(Table!I:O,MATCH(K1957,Table!I:I,0),6),"")</f>
        <v/>
      </c>
      <c r="Q1957" s="89" t="str">
        <f t="shared" si="90"/>
        <v/>
      </c>
      <c r="R1957" s="89" t="str">
        <f t="shared" si="91"/>
        <v/>
      </c>
      <c r="S1957" s="82"/>
      <c r="U1957" s="37" t="e">
        <f t="shared" si="92"/>
        <v>#VALUE!</v>
      </c>
    </row>
    <row r="1958" spans="1:21" x14ac:dyDescent="0.25">
      <c r="A1958" s="31" t="str">
        <f>IF(Table!A1958 = "","",Table!A1958)</f>
        <v/>
      </c>
      <c r="B1958" s="31" t="str">
        <f>IF(Table!B1958 = "","",Table!B1958)</f>
        <v/>
      </c>
      <c r="C1958" s="31" t="str">
        <f>IF(Table!C1958 = "","",Table!C1958)</f>
        <v/>
      </c>
      <c r="D1958" s="32" t="str">
        <f>IF(Table!D1958 = "","",Table!D1958)</f>
        <v/>
      </c>
      <c r="E1958" s="32" t="str">
        <f>IF(Table!E1958 = "","",Table!E1958)</f>
        <v/>
      </c>
      <c r="F1958" s="32" t="str">
        <f>IF(Table!F1958 = "","",Table!F1958)</f>
        <v/>
      </c>
      <c r="G1958" s="91"/>
      <c r="K1958" s="31" t="str">
        <f>IFERROR(VLOOKUP(A1958,Table!$I$4:$O$3000,1,TRUE),"")</f>
        <v/>
      </c>
      <c r="L1958" s="31" t="str">
        <f>IFERROR(INDEX(Table!I:O,MATCH(K1958,Table!I:I,0),2),"")</f>
        <v/>
      </c>
      <c r="M1958" s="31" t="str">
        <f>IFERROR(INDEX(Table!I:O,MATCH(K1958,Table!I:I,0),3),"")</f>
        <v/>
      </c>
      <c r="N1958" s="32" t="str">
        <f>IFERROR(INDEX(Table!I:O,MATCH(K1958,Table!I:I,0),4),"")</f>
        <v/>
      </c>
      <c r="O1958" s="32" t="str">
        <f>IFERROR(INDEX(Table!I:O,MATCH(K1958,Table!I:I,0),5),"")</f>
        <v/>
      </c>
      <c r="P1958" s="32" t="str">
        <f>IFERROR(INDEX(Table!I:O,MATCH(K1958,Table!I:I,0),6),"")</f>
        <v/>
      </c>
      <c r="Q1958" s="89" t="str">
        <f t="shared" si="90"/>
        <v/>
      </c>
      <c r="R1958" s="89" t="str">
        <f t="shared" si="91"/>
        <v/>
      </c>
      <c r="S1958" s="82"/>
      <c r="U1958" s="37" t="e">
        <f t="shared" si="92"/>
        <v>#VALUE!</v>
      </c>
    </row>
    <row r="1959" spans="1:21" x14ac:dyDescent="0.25">
      <c r="A1959" s="31" t="str">
        <f>IF(Table!A1959 = "","",Table!A1959)</f>
        <v/>
      </c>
      <c r="B1959" s="31" t="str">
        <f>IF(Table!B1959 = "","",Table!B1959)</f>
        <v/>
      </c>
      <c r="C1959" s="31" t="str">
        <f>IF(Table!C1959 = "","",Table!C1959)</f>
        <v/>
      </c>
      <c r="D1959" s="32" t="str">
        <f>IF(Table!D1959 = "","",Table!D1959)</f>
        <v/>
      </c>
      <c r="E1959" s="32" t="str">
        <f>IF(Table!E1959 = "","",Table!E1959)</f>
        <v/>
      </c>
      <c r="F1959" s="32" t="str">
        <f>IF(Table!F1959 = "","",Table!F1959)</f>
        <v/>
      </c>
      <c r="G1959" s="91"/>
      <c r="K1959" s="31" t="str">
        <f>IFERROR(VLOOKUP(A1959,Table!$I$4:$O$3000,1,TRUE),"")</f>
        <v/>
      </c>
      <c r="L1959" s="31" t="str">
        <f>IFERROR(INDEX(Table!I:O,MATCH(K1959,Table!I:I,0),2),"")</f>
        <v/>
      </c>
      <c r="M1959" s="31" t="str">
        <f>IFERROR(INDEX(Table!I:O,MATCH(K1959,Table!I:I,0),3),"")</f>
        <v/>
      </c>
      <c r="N1959" s="32" t="str">
        <f>IFERROR(INDEX(Table!I:O,MATCH(K1959,Table!I:I,0),4),"")</f>
        <v/>
      </c>
      <c r="O1959" s="32" t="str">
        <f>IFERROR(INDEX(Table!I:O,MATCH(K1959,Table!I:I,0),5),"")</f>
        <v/>
      </c>
      <c r="P1959" s="32" t="str">
        <f>IFERROR(INDEX(Table!I:O,MATCH(K1959,Table!I:I,0),6),"")</f>
        <v/>
      </c>
      <c r="Q1959" s="89" t="str">
        <f t="shared" si="90"/>
        <v/>
      </c>
      <c r="R1959" s="89" t="str">
        <f t="shared" si="91"/>
        <v/>
      </c>
      <c r="S1959" s="82"/>
      <c r="U1959" s="37" t="e">
        <f t="shared" si="92"/>
        <v>#VALUE!</v>
      </c>
    </row>
    <row r="1960" spans="1:21" x14ac:dyDescent="0.25">
      <c r="A1960" s="31" t="str">
        <f>IF(Table!A1960 = "","",Table!A1960)</f>
        <v/>
      </c>
      <c r="B1960" s="31" t="str">
        <f>IF(Table!B1960 = "","",Table!B1960)</f>
        <v/>
      </c>
      <c r="C1960" s="31" t="str">
        <f>IF(Table!C1960 = "","",Table!C1960)</f>
        <v/>
      </c>
      <c r="D1960" s="32" t="str">
        <f>IF(Table!D1960 = "","",Table!D1960)</f>
        <v/>
      </c>
      <c r="E1960" s="32" t="str">
        <f>IF(Table!E1960 = "","",Table!E1960)</f>
        <v/>
      </c>
      <c r="F1960" s="32" t="str">
        <f>IF(Table!F1960 = "","",Table!F1960)</f>
        <v/>
      </c>
      <c r="G1960" s="91"/>
      <c r="K1960" s="31" t="str">
        <f>IFERROR(VLOOKUP(A1960,Table!$I$4:$O$3000,1,TRUE),"")</f>
        <v/>
      </c>
      <c r="L1960" s="31" t="str">
        <f>IFERROR(INDEX(Table!I:O,MATCH(K1960,Table!I:I,0),2),"")</f>
        <v/>
      </c>
      <c r="M1960" s="31" t="str">
        <f>IFERROR(INDEX(Table!I:O,MATCH(K1960,Table!I:I,0),3),"")</f>
        <v/>
      </c>
      <c r="N1960" s="32" t="str">
        <f>IFERROR(INDEX(Table!I:O,MATCH(K1960,Table!I:I,0),4),"")</f>
        <v/>
      </c>
      <c r="O1960" s="32" t="str">
        <f>IFERROR(INDEX(Table!I:O,MATCH(K1960,Table!I:I,0),5),"")</f>
        <v/>
      </c>
      <c r="P1960" s="32" t="str">
        <f>IFERROR(INDEX(Table!I:O,MATCH(K1960,Table!I:I,0),6),"")</f>
        <v/>
      </c>
      <c r="Q1960" s="89" t="str">
        <f t="shared" si="90"/>
        <v/>
      </c>
      <c r="R1960" s="89" t="str">
        <f t="shared" si="91"/>
        <v/>
      </c>
      <c r="S1960" s="82"/>
      <c r="U1960" s="37" t="e">
        <f t="shared" si="92"/>
        <v>#VALUE!</v>
      </c>
    </row>
    <row r="1961" spans="1:21" x14ac:dyDescent="0.25">
      <c r="A1961" s="31" t="str">
        <f>IF(Table!A1961 = "","",Table!A1961)</f>
        <v/>
      </c>
      <c r="B1961" s="31" t="str">
        <f>IF(Table!B1961 = "","",Table!B1961)</f>
        <v/>
      </c>
      <c r="C1961" s="31" t="str">
        <f>IF(Table!C1961 = "","",Table!C1961)</f>
        <v/>
      </c>
      <c r="D1961" s="32" t="str">
        <f>IF(Table!D1961 = "","",Table!D1961)</f>
        <v/>
      </c>
      <c r="E1961" s="32" t="str">
        <f>IF(Table!E1961 = "","",Table!E1961)</f>
        <v/>
      </c>
      <c r="F1961" s="32" t="str">
        <f>IF(Table!F1961 = "","",Table!F1961)</f>
        <v/>
      </c>
      <c r="G1961" s="91"/>
      <c r="K1961" s="31" t="str">
        <f>IFERROR(VLOOKUP(A1961,Table!$I$4:$O$3000,1,TRUE),"")</f>
        <v/>
      </c>
      <c r="L1961" s="31" t="str">
        <f>IFERROR(INDEX(Table!I:O,MATCH(K1961,Table!I:I,0),2),"")</f>
        <v/>
      </c>
      <c r="M1961" s="31" t="str">
        <f>IFERROR(INDEX(Table!I:O,MATCH(K1961,Table!I:I,0),3),"")</f>
        <v/>
      </c>
      <c r="N1961" s="32" t="str">
        <f>IFERROR(INDEX(Table!I:O,MATCH(K1961,Table!I:I,0),4),"")</f>
        <v/>
      </c>
      <c r="O1961" s="32" t="str">
        <f>IFERROR(INDEX(Table!I:O,MATCH(K1961,Table!I:I,0),5),"")</f>
        <v/>
      </c>
      <c r="P1961" s="32" t="str">
        <f>IFERROR(INDEX(Table!I:O,MATCH(K1961,Table!I:I,0),6),"")</f>
        <v/>
      </c>
      <c r="Q1961" s="89" t="str">
        <f t="shared" si="90"/>
        <v/>
      </c>
      <c r="R1961" s="89" t="str">
        <f t="shared" si="91"/>
        <v/>
      </c>
      <c r="S1961" s="82"/>
      <c r="U1961" s="37" t="e">
        <f t="shared" si="92"/>
        <v>#VALUE!</v>
      </c>
    </row>
    <row r="1962" spans="1:21" x14ac:dyDescent="0.25">
      <c r="A1962" s="31" t="str">
        <f>IF(Table!A1962 = "","",Table!A1962)</f>
        <v/>
      </c>
      <c r="B1962" s="31" t="str">
        <f>IF(Table!B1962 = "","",Table!B1962)</f>
        <v/>
      </c>
      <c r="C1962" s="31" t="str">
        <f>IF(Table!C1962 = "","",Table!C1962)</f>
        <v/>
      </c>
      <c r="D1962" s="32" t="str">
        <f>IF(Table!D1962 = "","",Table!D1962)</f>
        <v/>
      </c>
      <c r="E1962" s="32" t="str">
        <f>IF(Table!E1962 = "","",Table!E1962)</f>
        <v/>
      </c>
      <c r="F1962" s="32" t="str">
        <f>IF(Table!F1962 = "","",Table!F1962)</f>
        <v/>
      </c>
      <c r="G1962" s="91"/>
      <c r="K1962" s="31" t="str">
        <f>IFERROR(VLOOKUP(A1962,Table!$I$4:$O$3000,1,TRUE),"")</f>
        <v/>
      </c>
      <c r="L1962" s="31" t="str">
        <f>IFERROR(INDEX(Table!I:O,MATCH(K1962,Table!I:I,0),2),"")</f>
        <v/>
      </c>
      <c r="M1962" s="31" t="str">
        <f>IFERROR(INDEX(Table!I:O,MATCH(K1962,Table!I:I,0),3),"")</f>
        <v/>
      </c>
      <c r="N1962" s="32" t="str">
        <f>IFERROR(INDEX(Table!I:O,MATCH(K1962,Table!I:I,0),4),"")</f>
        <v/>
      </c>
      <c r="O1962" s="32" t="str">
        <f>IFERROR(INDEX(Table!I:O,MATCH(K1962,Table!I:I,0),5),"")</f>
        <v/>
      </c>
      <c r="P1962" s="32" t="str">
        <f>IFERROR(INDEX(Table!I:O,MATCH(K1962,Table!I:I,0),6),"")</f>
        <v/>
      </c>
      <c r="Q1962" s="89" t="str">
        <f t="shared" si="90"/>
        <v/>
      </c>
      <c r="R1962" s="89" t="str">
        <f t="shared" si="91"/>
        <v/>
      </c>
      <c r="S1962" s="82"/>
      <c r="U1962" s="37" t="e">
        <f t="shared" si="92"/>
        <v>#VALUE!</v>
      </c>
    </row>
    <row r="1963" spans="1:21" x14ac:dyDescent="0.25">
      <c r="A1963" s="31" t="str">
        <f>IF(Table!A1963 = "","",Table!A1963)</f>
        <v/>
      </c>
      <c r="B1963" s="31" t="str">
        <f>IF(Table!B1963 = "","",Table!B1963)</f>
        <v/>
      </c>
      <c r="C1963" s="31" t="str">
        <f>IF(Table!C1963 = "","",Table!C1963)</f>
        <v/>
      </c>
      <c r="D1963" s="32" t="str">
        <f>IF(Table!D1963 = "","",Table!D1963)</f>
        <v/>
      </c>
      <c r="E1963" s="32" t="str">
        <f>IF(Table!E1963 = "","",Table!E1963)</f>
        <v/>
      </c>
      <c r="F1963" s="32" t="str">
        <f>IF(Table!F1963 = "","",Table!F1963)</f>
        <v/>
      </c>
      <c r="G1963" s="91"/>
      <c r="K1963" s="31" t="str">
        <f>IFERROR(VLOOKUP(A1963,Table!$I$4:$O$3000,1,TRUE),"")</f>
        <v/>
      </c>
      <c r="L1963" s="31" t="str">
        <f>IFERROR(INDEX(Table!I:O,MATCH(K1963,Table!I:I,0),2),"")</f>
        <v/>
      </c>
      <c r="M1963" s="31" t="str">
        <f>IFERROR(INDEX(Table!I:O,MATCH(K1963,Table!I:I,0),3),"")</f>
        <v/>
      </c>
      <c r="N1963" s="32" t="str">
        <f>IFERROR(INDEX(Table!I:O,MATCH(K1963,Table!I:I,0),4),"")</f>
        <v/>
      </c>
      <c r="O1963" s="32" t="str">
        <f>IFERROR(INDEX(Table!I:O,MATCH(K1963,Table!I:I,0),5),"")</f>
        <v/>
      </c>
      <c r="P1963" s="32" t="str">
        <f>IFERROR(INDEX(Table!I:O,MATCH(K1963,Table!I:I,0),6),"")</f>
        <v/>
      </c>
      <c r="Q1963" s="89" t="str">
        <f t="shared" si="90"/>
        <v/>
      </c>
      <c r="R1963" s="89" t="str">
        <f t="shared" si="91"/>
        <v/>
      </c>
      <c r="S1963" s="82"/>
      <c r="U1963" s="37" t="e">
        <f t="shared" si="92"/>
        <v>#VALUE!</v>
      </c>
    </row>
    <row r="1964" spans="1:21" x14ac:dyDescent="0.25">
      <c r="A1964" s="31" t="str">
        <f>IF(Table!A1964 = "","",Table!A1964)</f>
        <v/>
      </c>
      <c r="B1964" s="31" t="str">
        <f>IF(Table!B1964 = "","",Table!B1964)</f>
        <v/>
      </c>
      <c r="C1964" s="31" t="str">
        <f>IF(Table!C1964 = "","",Table!C1964)</f>
        <v/>
      </c>
      <c r="D1964" s="32" t="str">
        <f>IF(Table!D1964 = "","",Table!D1964)</f>
        <v/>
      </c>
      <c r="E1964" s="32" t="str">
        <f>IF(Table!E1964 = "","",Table!E1964)</f>
        <v/>
      </c>
      <c r="F1964" s="32" t="str">
        <f>IF(Table!F1964 = "","",Table!F1964)</f>
        <v/>
      </c>
      <c r="G1964" s="91"/>
      <c r="K1964" s="31" t="str">
        <f>IFERROR(VLOOKUP(A1964,Table!$I$4:$O$3000,1,TRUE),"")</f>
        <v/>
      </c>
      <c r="L1964" s="31" t="str">
        <f>IFERROR(INDEX(Table!I:O,MATCH(K1964,Table!I:I,0),2),"")</f>
        <v/>
      </c>
      <c r="M1964" s="31" t="str">
        <f>IFERROR(INDEX(Table!I:O,MATCH(K1964,Table!I:I,0),3),"")</f>
        <v/>
      </c>
      <c r="N1964" s="32" t="str">
        <f>IFERROR(INDEX(Table!I:O,MATCH(K1964,Table!I:I,0),4),"")</f>
        <v/>
      </c>
      <c r="O1964" s="32" t="str">
        <f>IFERROR(INDEX(Table!I:O,MATCH(K1964,Table!I:I,0),5),"")</f>
        <v/>
      </c>
      <c r="P1964" s="32" t="str">
        <f>IFERROR(INDEX(Table!I:O,MATCH(K1964,Table!I:I,0),6),"")</f>
        <v/>
      </c>
      <c r="Q1964" s="89" t="str">
        <f t="shared" si="90"/>
        <v/>
      </c>
      <c r="R1964" s="89" t="str">
        <f t="shared" si="91"/>
        <v/>
      </c>
      <c r="S1964" s="82"/>
      <c r="U1964" s="37" t="e">
        <f t="shared" si="92"/>
        <v>#VALUE!</v>
      </c>
    </row>
    <row r="1965" spans="1:21" x14ac:dyDescent="0.25">
      <c r="A1965" s="31" t="str">
        <f>IF(Table!A1965 = "","",Table!A1965)</f>
        <v/>
      </c>
      <c r="B1965" s="31" t="str">
        <f>IF(Table!B1965 = "","",Table!B1965)</f>
        <v/>
      </c>
      <c r="C1965" s="31" t="str">
        <f>IF(Table!C1965 = "","",Table!C1965)</f>
        <v/>
      </c>
      <c r="D1965" s="32" t="str">
        <f>IF(Table!D1965 = "","",Table!D1965)</f>
        <v/>
      </c>
      <c r="E1965" s="32" t="str">
        <f>IF(Table!E1965 = "","",Table!E1965)</f>
        <v/>
      </c>
      <c r="F1965" s="32" t="str">
        <f>IF(Table!F1965 = "","",Table!F1965)</f>
        <v/>
      </c>
      <c r="G1965" s="91"/>
      <c r="K1965" s="31" t="str">
        <f>IFERROR(VLOOKUP(A1965,Table!$I$4:$O$3000,1,TRUE),"")</f>
        <v/>
      </c>
      <c r="L1965" s="31" t="str">
        <f>IFERROR(INDEX(Table!I:O,MATCH(K1965,Table!I:I,0),2),"")</f>
        <v/>
      </c>
      <c r="M1965" s="31" t="str">
        <f>IFERROR(INDEX(Table!I:O,MATCH(K1965,Table!I:I,0),3),"")</f>
        <v/>
      </c>
      <c r="N1965" s="32" t="str">
        <f>IFERROR(INDEX(Table!I:O,MATCH(K1965,Table!I:I,0),4),"")</f>
        <v/>
      </c>
      <c r="O1965" s="32" t="str">
        <f>IFERROR(INDEX(Table!I:O,MATCH(K1965,Table!I:I,0),5),"")</f>
        <v/>
      </c>
      <c r="P1965" s="32" t="str">
        <f>IFERROR(INDEX(Table!I:O,MATCH(K1965,Table!I:I,0),6),"")</f>
        <v/>
      </c>
      <c r="Q1965" s="89" t="str">
        <f t="shared" si="90"/>
        <v/>
      </c>
      <c r="R1965" s="89" t="str">
        <f t="shared" si="91"/>
        <v/>
      </c>
      <c r="S1965" s="82"/>
      <c r="U1965" s="37" t="e">
        <f t="shared" si="92"/>
        <v>#VALUE!</v>
      </c>
    </row>
    <row r="1966" spans="1:21" x14ac:dyDescent="0.25">
      <c r="A1966" s="31" t="str">
        <f>IF(Table!A1966 = "","",Table!A1966)</f>
        <v/>
      </c>
      <c r="B1966" s="31" t="str">
        <f>IF(Table!B1966 = "","",Table!B1966)</f>
        <v/>
      </c>
      <c r="C1966" s="31" t="str">
        <f>IF(Table!C1966 = "","",Table!C1966)</f>
        <v/>
      </c>
      <c r="D1966" s="32" t="str">
        <f>IF(Table!D1966 = "","",Table!D1966)</f>
        <v/>
      </c>
      <c r="E1966" s="32" t="str">
        <f>IF(Table!E1966 = "","",Table!E1966)</f>
        <v/>
      </c>
      <c r="F1966" s="32" t="str">
        <f>IF(Table!F1966 = "","",Table!F1966)</f>
        <v/>
      </c>
      <c r="G1966" s="91"/>
      <c r="K1966" s="31" t="str">
        <f>IFERROR(VLOOKUP(A1966,Table!$I$4:$O$3000,1,TRUE),"")</f>
        <v/>
      </c>
      <c r="L1966" s="31" t="str">
        <f>IFERROR(INDEX(Table!I:O,MATCH(K1966,Table!I:I,0),2),"")</f>
        <v/>
      </c>
      <c r="M1966" s="31" t="str">
        <f>IFERROR(INDEX(Table!I:O,MATCH(K1966,Table!I:I,0),3),"")</f>
        <v/>
      </c>
      <c r="N1966" s="32" t="str">
        <f>IFERROR(INDEX(Table!I:O,MATCH(K1966,Table!I:I,0),4),"")</f>
        <v/>
      </c>
      <c r="O1966" s="32" t="str">
        <f>IFERROR(INDEX(Table!I:O,MATCH(K1966,Table!I:I,0),5),"")</f>
        <v/>
      </c>
      <c r="P1966" s="32" t="str">
        <f>IFERROR(INDEX(Table!I:O,MATCH(K1966,Table!I:I,0),6),"")</f>
        <v/>
      </c>
      <c r="Q1966" s="89" t="str">
        <f t="shared" si="90"/>
        <v/>
      </c>
      <c r="R1966" s="89" t="str">
        <f t="shared" si="91"/>
        <v/>
      </c>
      <c r="S1966" s="82"/>
      <c r="U1966" s="37" t="e">
        <f t="shared" si="92"/>
        <v>#VALUE!</v>
      </c>
    </row>
    <row r="1967" spans="1:21" x14ac:dyDescent="0.25">
      <c r="A1967" s="31" t="str">
        <f>IF(Table!A1967 = "","",Table!A1967)</f>
        <v/>
      </c>
      <c r="B1967" s="31" t="str">
        <f>IF(Table!B1967 = "","",Table!B1967)</f>
        <v/>
      </c>
      <c r="C1967" s="31" t="str">
        <f>IF(Table!C1967 = "","",Table!C1967)</f>
        <v/>
      </c>
      <c r="D1967" s="32" t="str">
        <f>IF(Table!D1967 = "","",Table!D1967)</f>
        <v/>
      </c>
      <c r="E1967" s="32" t="str">
        <f>IF(Table!E1967 = "","",Table!E1967)</f>
        <v/>
      </c>
      <c r="F1967" s="32" t="str">
        <f>IF(Table!F1967 = "","",Table!F1967)</f>
        <v/>
      </c>
      <c r="G1967" s="91"/>
      <c r="K1967" s="31" t="str">
        <f>IFERROR(VLOOKUP(A1967,Table!$I$4:$O$3000,1,TRUE),"")</f>
        <v/>
      </c>
      <c r="L1967" s="31" t="str">
        <f>IFERROR(INDEX(Table!I:O,MATCH(K1967,Table!I:I,0),2),"")</f>
        <v/>
      </c>
      <c r="M1967" s="31" t="str">
        <f>IFERROR(INDEX(Table!I:O,MATCH(K1967,Table!I:I,0),3),"")</f>
        <v/>
      </c>
      <c r="N1967" s="32" t="str">
        <f>IFERROR(INDEX(Table!I:O,MATCH(K1967,Table!I:I,0),4),"")</f>
        <v/>
      </c>
      <c r="O1967" s="32" t="str">
        <f>IFERROR(INDEX(Table!I:O,MATCH(K1967,Table!I:I,0),5),"")</f>
        <v/>
      </c>
      <c r="P1967" s="32" t="str">
        <f>IFERROR(INDEX(Table!I:O,MATCH(K1967,Table!I:I,0),6),"")</f>
        <v/>
      </c>
      <c r="Q1967" s="89" t="str">
        <f t="shared" si="90"/>
        <v/>
      </c>
      <c r="R1967" s="89" t="str">
        <f t="shared" si="91"/>
        <v/>
      </c>
      <c r="S1967" s="82"/>
      <c r="U1967" s="37" t="e">
        <f t="shared" si="92"/>
        <v>#VALUE!</v>
      </c>
    </row>
    <row r="1968" spans="1:21" x14ac:dyDescent="0.25">
      <c r="A1968" s="31" t="str">
        <f>IF(Table!A1968 = "","",Table!A1968)</f>
        <v/>
      </c>
      <c r="B1968" s="31" t="str">
        <f>IF(Table!B1968 = "","",Table!B1968)</f>
        <v/>
      </c>
      <c r="C1968" s="31" t="str">
        <f>IF(Table!C1968 = "","",Table!C1968)</f>
        <v/>
      </c>
      <c r="D1968" s="32" t="str">
        <f>IF(Table!D1968 = "","",Table!D1968)</f>
        <v/>
      </c>
      <c r="E1968" s="32" t="str">
        <f>IF(Table!E1968 = "","",Table!E1968)</f>
        <v/>
      </c>
      <c r="F1968" s="32" t="str">
        <f>IF(Table!F1968 = "","",Table!F1968)</f>
        <v/>
      </c>
      <c r="G1968" s="91"/>
      <c r="K1968" s="31" t="str">
        <f>IFERROR(VLOOKUP(A1968,Table!$I$4:$O$3000,1,TRUE),"")</f>
        <v/>
      </c>
      <c r="L1968" s="31" t="str">
        <f>IFERROR(INDEX(Table!I:O,MATCH(K1968,Table!I:I,0),2),"")</f>
        <v/>
      </c>
      <c r="M1968" s="31" t="str">
        <f>IFERROR(INDEX(Table!I:O,MATCH(K1968,Table!I:I,0),3),"")</f>
        <v/>
      </c>
      <c r="N1968" s="32" t="str">
        <f>IFERROR(INDEX(Table!I:O,MATCH(K1968,Table!I:I,0),4),"")</f>
        <v/>
      </c>
      <c r="O1968" s="32" t="str">
        <f>IFERROR(INDEX(Table!I:O,MATCH(K1968,Table!I:I,0),5),"")</f>
        <v/>
      </c>
      <c r="P1968" s="32" t="str">
        <f>IFERROR(INDEX(Table!I:O,MATCH(K1968,Table!I:I,0),6),"")</f>
        <v/>
      </c>
      <c r="Q1968" s="89" t="str">
        <f t="shared" si="90"/>
        <v/>
      </c>
      <c r="R1968" s="89" t="str">
        <f t="shared" si="91"/>
        <v/>
      </c>
      <c r="S1968" s="82"/>
      <c r="U1968" s="37" t="e">
        <f t="shared" si="92"/>
        <v>#VALUE!</v>
      </c>
    </row>
    <row r="1969" spans="1:21" x14ac:dyDescent="0.25">
      <c r="A1969" s="31" t="str">
        <f>IF(Table!A1969 = "","",Table!A1969)</f>
        <v/>
      </c>
      <c r="B1969" s="31" t="str">
        <f>IF(Table!B1969 = "","",Table!B1969)</f>
        <v/>
      </c>
      <c r="C1969" s="31" t="str">
        <f>IF(Table!C1969 = "","",Table!C1969)</f>
        <v/>
      </c>
      <c r="D1969" s="32" t="str">
        <f>IF(Table!D1969 = "","",Table!D1969)</f>
        <v/>
      </c>
      <c r="E1969" s="32" t="str">
        <f>IF(Table!E1969 = "","",Table!E1969)</f>
        <v/>
      </c>
      <c r="F1969" s="32" t="str">
        <f>IF(Table!F1969 = "","",Table!F1969)</f>
        <v/>
      </c>
      <c r="G1969" s="91"/>
      <c r="K1969" s="31" t="str">
        <f>IFERROR(VLOOKUP(A1969,Table!$I$4:$O$3000,1,TRUE),"")</f>
        <v/>
      </c>
      <c r="L1969" s="31" t="str">
        <f>IFERROR(INDEX(Table!I:O,MATCH(K1969,Table!I:I,0),2),"")</f>
        <v/>
      </c>
      <c r="M1969" s="31" t="str">
        <f>IFERROR(INDEX(Table!I:O,MATCH(K1969,Table!I:I,0),3),"")</f>
        <v/>
      </c>
      <c r="N1969" s="32" t="str">
        <f>IFERROR(INDEX(Table!I:O,MATCH(K1969,Table!I:I,0),4),"")</f>
        <v/>
      </c>
      <c r="O1969" s="32" t="str">
        <f>IFERROR(INDEX(Table!I:O,MATCH(K1969,Table!I:I,0),5),"")</f>
        <v/>
      </c>
      <c r="P1969" s="32" t="str">
        <f>IFERROR(INDEX(Table!I:O,MATCH(K1969,Table!I:I,0),6),"")</f>
        <v/>
      </c>
      <c r="Q1969" s="89" t="str">
        <f t="shared" si="90"/>
        <v/>
      </c>
      <c r="R1969" s="89" t="str">
        <f t="shared" si="91"/>
        <v/>
      </c>
      <c r="S1969" s="82"/>
      <c r="U1969" s="37" t="e">
        <f t="shared" si="92"/>
        <v>#VALUE!</v>
      </c>
    </row>
    <row r="1970" spans="1:21" x14ac:dyDescent="0.25">
      <c r="A1970" s="31" t="str">
        <f>IF(Table!A1970 = "","",Table!A1970)</f>
        <v/>
      </c>
      <c r="B1970" s="31" t="str">
        <f>IF(Table!B1970 = "","",Table!B1970)</f>
        <v/>
      </c>
      <c r="C1970" s="31" t="str">
        <f>IF(Table!C1970 = "","",Table!C1970)</f>
        <v/>
      </c>
      <c r="D1970" s="32" t="str">
        <f>IF(Table!D1970 = "","",Table!D1970)</f>
        <v/>
      </c>
      <c r="E1970" s="32" t="str">
        <f>IF(Table!E1970 = "","",Table!E1970)</f>
        <v/>
      </c>
      <c r="F1970" s="32" t="str">
        <f>IF(Table!F1970 = "","",Table!F1970)</f>
        <v/>
      </c>
      <c r="G1970" s="91"/>
      <c r="K1970" s="31" t="str">
        <f>IFERROR(VLOOKUP(A1970,Table!$I$4:$O$3000,1,TRUE),"")</f>
        <v/>
      </c>
      <c r="L1970" s="31" t="str">
        <f>IFERROR(INDEX(Table!I:O,MATCH(K1970,Table!I:I,0),2),"")</f>
        <v/>
      </c>
      <c r="M1970" s="31" t="str">
        <f>IFERROR(INDEX(Table!I:O,MATCH(K1970,Table!I:I,0),3),"")</f>
        <v/>
      </c>
      <c r="N1970" s="32" t="str">
        <f>IFERROR(INDEX(Table!I:O,MATCH(K1970,Table!I:I,0),4),"")</f>
        <v/>
      </c>
      <c r="O1970" s="32" t="str">
        <f>IFERROR(INDEX(Table!I:O,MATCH(K1970,Table!I:I,0),5),"")</f>
        <v/>
      </c>
      <c r="P1970" s="32" t="str">
        <f>IFERROR(INDEX(Table!I:O,MATCH(K1970,Table!I:I,0),6),"")</f>
        <v/>
      </c>
      <c r="Q1970" s="89" t="str">
        <f t="shared" si="90"/>
        <v/>
      </c>
      <c r="R1970" s="89" t="str">
        <f t="shared" si="91"/>
        <v/>
      </c>
      <c r="S1970" s="82"/>
      <c r="U1970" s="37" t="e">
        <f t="shared" si="92"/>
        <v>#VALUE!</v>
      </c>
    </row>
    <row r="1971" spans="1:21" x14ac:dyDescent="0.25">
      <c r="A1971" s="31" t="str">
        <f>IF(Table!A1971 = "","",Table!A1971)</f>
        <v/>
      </c>
      <c r="B1971" s="31" t="str">
        <f>IF(Table!B1971 = "","",Table!B1971)</f>
        <v/>
      </c>
      <c r="C1971" s="31" t="str">
        <f>IF(Table!C1971 = "","",Table!C1971)</f>
        <v/>
      </c>
      <c r="D1971" s="32" t="str">
        <f>IF(Table!D1971 = "","",Table!D1971)</f>
        <v/>
      </c>
      <c r="E1971" s="32" t="str">
        <f>IF(Table!E1971 = "","",Table!E1971)</f>
        <v/>
      </c>
      <c r="F1971" s="32" t="str">
        <f>IF(Table!F1971 = "","",Table!F1971)</f>
        <v/>
      </c>
      <c r="G1971" s="91"/>
      <c r="K1971" s="31" t="str">
        <f>IFERROR(VLOOKUP(A1971,Table!$I$4:$O$3000,1,TRUE),"")</f>
        <v/>
      </c>
      <c r="L1971" s="31" t="str">
        <f>IFERROR(INDEX(Table!I:O,MATCH(K1971,Table!I:I,0),2),"")</f>
        <v/>
      </c>
      <c r="M1971" s="31" t="str">
        <f>IFERROR(INDEX(Table!I:O,MATCH(K1971,Table!I:I,0),3),"")</f>
        <v/>
      </c>
      <c r="N1971" s="32" t="str">
        <f>IFERROR(INDEX(Table!I:O,MATCH(K1971,Table!I:I,0),4),"")</f>
        <v/>
      </c>
      <c r="O1971" s="32" t="str">
        <f>IFERROR(INDEX(Table!I:O,MATCH(K1971,Table!I:I,0),5),"")</f>
        <v/>
      </c>
      <c r="P1971" s="32" t="str">
        <f>IFERROR(INDEX(Table!I:O,MATCH(K1971,Table!I:I,0),6),"")</f>
        <v/>
      </c>
      <c r="Q1971" s="89" t="str">
        <f t="shared" si="90"/>
        <v/>
      </c>
      <c r="R1971" s="89" t="str">
        <f t="shared" si="91"/>
        <v/>
      </c>
      <c r="S1971" s="82"/>
      <c r="U1971" s="37" t="e">
        <f t="shared" si="92"/>
        <v>#VALUE!</v>
      </c>
    </row>
    <row r="1972" spans="1:21" x14ac:dyDescent="0.25">
      <c r="A1972" s="31" t="str">
        <f>IF(Table!A1972 = "","",Table!A1972)</f>
        <v/>
      </c>
      <c r="B1972" s="31" t="str">
        <f>IF(Table!B1972 = "","",Table!B1972)</f>
        <v/>
      </c>
      <c r="C1972" s="31" t="str">
        <f>IF(Table!C1972 = "","",Table!C1972)</f>
        <v/>
      </c>
      <c r="D1972" s="32" t="str">
        <f>IF(Table!D1972 = "","",Table!D1972)</f>
        <v/>
      </c>
      <c r="E1972" s="32" t="str">
        <f>IF(Table!E1972 = "","",Table!E1972)</f>
        <v/>
      </c>
      <c r="F1972" s="32" t="str">
        <f>IF(Table!F1972 = "","",Table!F1972)</f>
        <v/>
      </c>
      <c r="G1972" s="91"/>
      <c r="K1972" s="31" t="str">
        <f>IFERROR(VLOOKUP(A1972,Table!$I$4:$O$3000,1,TRUE),"")</f>
        <v/>
      </c>
      <c r="L1972" s="31" t="str">
        <f>IFERROR(INDEX(Table!I:O,MATCH(K1972,Table!I:I,0),2),"")</f>
        <v/>
      </c>
      <c r="M1972" s="31" t="str">
        <f>IFERROR(INDEX(Table!I:O,MATCH(K1972,Table!I:I,0),3),"")</f>
        <v/>
      </c>
      <c r="N1972" s="32" t="str">
        <f>IFERROR(INDEX(Table!I:O,MATCH(K1972,Table!I:I,0),4),"")</f>
        <v/>
      </c>
      <c r="O1972" s="32" t="str">
        <f>IFERROR(INDEX(Table!I:O,MATCH(K1972,Table!I:I,0),5),"")</f>
        <v/>
      </c>
      <c r="P1972" s="32" t="str">
        <f>IFERROR(INDEX(Table!I:O,MATCH(K1972,Table!I:I,0),6),"")</f>
        <v/>
      </c>
      <c r="Q1972" s="89" t="str">
        <f t="shared" si="90"/>
        <v/>
      </c>
      <c r="R1972" s="89" t="str">
        <f t="shared" si="91"/>
        <v/>
      </c>
      <c r="S1972" s="82"/>
      <c r="U1972" s="37" t="e">
        <f t="shared" si="92"/>
        <v>#VALUE!</v>
      </c>
    </row>
    <row r="1973" spans="1:21" x14ac:dyDescent="0.25">
      <c r="A1973" s="31" t="str">
        <f>IF(Table!A1973 = "","",Table!A1973)</f>
        <v/>
      </c>
      <c r="B1973" s="31" t="str">
        <f>IF(Table!B1973 = "","",Table!B1973)</f>
        <v/>
      </c>
      <c r="C1973" s="31" t="str">
        <f>IF(Table!C1973 = "","",Table!C1973)</f>
        <v/>
      </c>
      <c r="D1973" s="32" t="str">
        <f>IF(Table!D1973 = "","",Table!D1973)</f>
        <v/>
      </c>
      <c r="E1973" s="32" t="str">
        <f>IF(Table!E1973 = "","",Table!E1973)</f>
        <v/>
      </c>
      <c r="F1973" s="32" t="str">
        <f>IF(Table!F1973 = "","",Table!F1973)</f>
        <v/>
      </c>
      <c r="G1973" s="91"/>
      <c r="K1973" s="31" t="str">
        <f>IFERROR(VLOOKUP(A1973,Table!$I$4:$O$3000,1,TRUE),"")</f>
        <v/>
      </c>
      <c r="L1973" s="31" t="str">
        <f>IFERROR(INDEX(Table!I:O,MATCH(K1973,Table!I:I,0),2),"")</f>
        <v/>
      </c>
      <c r="M1973" s="31" t="str">
        <f>IFERROR(INDEX(Table!I:O,MATCH(K1973,Table!I:I,0),3),"")</f>
        <v/>
      </c>
      <c r="N1973" s="32" t="str">
        <f>IFERROR(INDEX(Table!I:O,MATCH(K1973,Table!I:I,0),4),"")</f>
        <v/>
      </c>
      <c r="O1973" s="32" t="str">
        <f>IFERROR(INDEX(Table!I:O,MATCH(K1973,Table!I:I,0),5),"")</f>
        <v/>
      </c>
      <c r="P1973" s="32" t="str">
        <f>IFERROR(INDEX(Table!I:O,MATCH(K1973,Table!I:I,0),6),"")</f>
        <v/>
      </c>
      <c r="Q1973" s="89" t="str">
        <f t="shared" si="90"/>
        <v/>
      </c>
      <c r="R1973" s="89" t="str">
        <f t="shared" si="91"/>
        <v/>
      </c>
      <c r="S1973" s="82"/>
      <c r="U1973" s="37" t="e">
        <f t="shared" si="92"/>
        <v>#VALUE!</v>
      </c>
    </row>
    <row r="1974" spans="1:21" x14ac:dyDescent="0.25">
      <c r="A1974" s="31" t="str">
        <f>IF(Table!A1974 = "","",Table!A1974)</f>
        <v/>
      </c>
      <c r="B1974" s="31" t="str">
        <f>IF(Table!B1974 = "","",Table!B1974)</f>
        <v/>
      </c>
      <c r="C1974" s="31" t="str">
        <f>IF(Table!C1974 = "","",Table!C1974)</f>
        <v/>
      </c>
      <c r="D1974" s="32" t="str">
        <f>IF(Table!D1974 = "","",Table!D1974)</f>
        <v/>
      </c>
      <c r="E1974" s="32" t="str">
        <f>IF(Table!E1974 = "","",Table!E1974)</f>
        <v/>
      </c>
      <c r="F1974" s="32" t="str">
        <f>IF(Table!F1974 = "","",Table!F1974)</f>
        <v/>
      </c>
      <c r="G1974" s="91"/>
      <c r="K1974" s="31" t="str">
        <f>IFERROR(VLOOKUP(A1974,Table!$I$4:$O$3000,1,TRUE),"")</f>
        <v/>
      </c>
      <c r="L1974" s="31" t="str">
        <f>IFERROR(INDEX(Table!I:O,MATCH(K1974,Table!I:I,0),2),"")</f>
        <v/>
      </c>
      <c r="M1974" s="31" t="str">
        <f>IFERROR(INDEX(Table!I:O,MATCH(K1974,Table!I:I,0),3),"")</f>
        <v/>
      </c>
      <c r="N1974" s="32" t="str">
        <f>IFERROR(INDEX(Table!I:O,MATCH(K1974,Table!I:I,0),4),"")</f>
        <v/>
      </c>
      <c r="O1974" s="32" t="str">
        <f>IFERROR(INDEX(Table!I:O,MATCH(K1974,Table!I:I,0),5),"")</f>
        <v/>
      </c>
      <c r="P1974" s="32" t="str">
        <f>IFERROR(INDEX(Table!I:O,MATCH(K1974,Table!I:I,0),6),"")</f>
        <v/>
      </c>
      <c r="Q1974" s="89" t="str">
        <f t="shared" si="90"/>
        <v/>
      </c>
      <c r="R1974" s="89" t="str">
        <f t="shared" si="91"/>
        <v/>
      </c>
      <c r="S1974" s="82"/>
      <c r="U1974" s="37" t="e">
        <f t="shared" si="92"/>
        <v>#VALUE!</v>
      </c>
    </row>
    <row r="1975" spans="1:21" x14ac:dyDescent="0.25">
      <c r="A1975" s="31" t="str">
        <f>IF(Table!A1975 = "","",Table!A1975)</f>
        <v/>
      </c>
      <c r="B1975" s="31" t="str">
        <f>IF(Table!B1975 = "","",Table!B1975)</f>
        <v/>
      </c>
      <c r="C1975" s="31" t="str">
        <f>IF(Table!C1975 = "","",Table!C1975)</f>
        <v/>
      </c>
      <c r="D1975" s="32" t="str">
        <f>IF(Table!D1975 = "","",Table!D1975)</f>
        <v/>
      </c>
      <c r="E1975" s="32" t="str">
        <f>IF(Table!E1975 = "","",Table!E1975)</f>
        <v/>
      </c>
      <c r="F1975" s="32" t="str">
        <f>IF(Table!F1975 = "","",Table!F1975)</f>
        <v/>
      </c>
      <c r="G1975" s="91"/>
      <c r="K1975" s="31" t="str">
        <f>IFERROR(VLOOKUP(A1975,Table!$I$4:$O$3000,1,TRUE),"")</f>
        <v/>
      </c>
      <c r="L1975" s="31" t="str">
        <f>IFERROR(INDEX(Table!I:O,MATCH(K1975,Table!I:I,0),2),"")</f>
        <v/>
      </c>
      <c r="M1975" s="31" t="str">
        <f>IFERROR(INDEX(Table!I:O,MATCH(K1975,Table!I:I,0),3),"")</f>
        <v/>
      </c>
      <c r="N1975" s="32" t="str">
        <f>IFERROR(INDEX(Table!I:O,MATCH(K1975,Table!I:I,0),4),"")</f>
        <v/>
      </c>
      <c r="O1975" s="32" t="str">
        <f>IFERROR(INDEX(Table!I:O,MATCH(K1975,Table!I:I,0),5),"")</f>
        <v/>
      </c>
      <c r="P1975" s="32" t="str">
        <f>IFERROR(INDEX(Table!I:O,MATCH(K1975,Table!I:I,0),6),"")</f>
        <v/>
      </c>
      <c r="Q1975" s="89" t="str">
        <f t="shared" si="90"/>
        <v/>
      </c>
      <c r="R1975" s="89" t="str">
        <f t="shared" si="91"/>
        <v/>
      </c>
      <c r="S1975" s="82"/>
      <c r="U1975" s="37" t="e">
        <f t="shared" si="92"/>
        <v>#VALUE!</v>
      </c>
    </row>
    <row r="1976" spans="1:21" x14ac:dyDescent="0.25">
      <c r="A1976" s="31" t="str">
        <f>IF(Table!A1976 = "","",Table!A1976)</f>
        <v/>
      </c>
      <c r="B1976" s="31" t="str">
        <f>IF(Table!B1976 = "","",Table!B1976)</f>
        <v/>
      </c>
      <c r="C1976" s="31" t="str">
        <f>IF(Table!C1976 = "","",Table!C1976)</f>
        <v/>
      </c>
      <c r="D1976" s="32" t="str">
        <f>IF(Table!D1976 = "","",Table!D1976)</f>
        <v/>
      </c>
      <c r="E1976" s="32" t="str">
        <f>IF(Table!E1976 = "","",Table!E1976)</f>
        <v/>
      </c>
      <c r="F1976" s="32" t="str">
        <f>IF(Table!F1976 = "","",Table!F1976)</f>
        <v/>
      </c>
      <c r="G1976" s="91"/>
      <c r="K1976" s="31" t="str">
        <f>IFERROR(VLOOKUP(A1976,Table!$I$4:$O$3000,1,TRUE),"")</f>
        <v/>
      </c>
      <c r="L1976" s="31" t="str">
        <f>IFERROR(INDEX(Table!I:O,MATCH(K1976,Table!I:I,0),2),"")</f>
        <v/>
      </c>
      <c r="M1976" s="31" t="str">
        <f>IFERROR(INDEX(Table!I:O,MATCH(K1976,Table!I:I,0),3),"")</f>
        <v/>
      </c>
      <c r="N1976" s="32" t="str">
        <f>IFERROR(INDEX(Table!I:O,MATCH(K1976,Table!I:I,0),4),"")</f>
        <v/>
      </c>
      <c r="O1976" s="32" t="str">
        <f>IFERROR(INDEX(Table!I:O,MATCH(K1976,Table!I:I,0),5),"")</f>
        <v/>
      </c>
      <c r="P1976" s="32" t="str">
        <f>IFERROR(INDEX(Table!I:O,MATCH(K1976,Table!I:I,0),6),"")</f>
        <v/>
      </c>
      <c r="Q1976" s="89" t="str">
        <f t="shared" si="90"/>
        <v/>
      </c>
      <c r="R1976" s="89" t="str">
        <f t="shared" si="91"/>
        <v/>
      </c>
      <c r="S1976" s="82"/>
      <c r="U1976" s="37" t="e">
        <f t="shared" si="92"/>
        <v>#VALUE!</v>
      </c>
    </row>
    <row r="1977" spans="1:21" x14ac:dyDescent="0.25">
      <c r="A1977" s="31" t="str">
        <f>IF(Table!A1977 = "","",Table!A1977)</f>
        <v/>
      </c>
      <c r="B1977" s="31" t="str">
        <f>IF(Table!B1977 = "","",Table!B1977)</f>
        <v/>
      </c>
      <c r="C1977" s="31" t="str">
        <f>IF(Table!C1977 = "","",Table!C1977)</f>
        <v/>
      </c>
      <c r="D1977" s="32" t="str">
        <f>IF(Table!D1977 = "","",Table!D1977)</f>
        <v/>
      </c>
      <c r="E1977" s="32" t="str">
        <f>IF(Table!E1977 = "","",Table!E1977)</f>
        <v/>
      </c>
      <c r="F1977" s="32" t="str">
        <f>IF(Table!F1977 = "","",Table!F1977)</f>
        <v/>
      </c>
      <c r="G1977" s="91"/>
      <c r="K1977" s="31" t="str">
        <f>IFERROR(VLOOKUP(A1977,Table!$I$4:$O$3000,1,TRUE),"")</f>
        <v/>
      </c>
      <c r="L1977" s="31" t="str">
        <f>IFERROR(INDEX(Table!I:O,MATCH(K1977,Table!I:I,0),2),"")</f>
        <v/>
      </c>
      <c r="M1977" s="31" t="str">
        <f>IFERROR(INDEX(Table!I:O,MATCH(K1977,Table!I:I,0),3),"")</f>
        <v/>
      </c>
      <c r="N1977" s="32" t="str">
        <f>IFERROR(INDEX(Table!I:O,MATCH(K1977,Table!I:I,0),4),"")</f>
        <v/>
      </c>
      <c r="O1977" s="32" t="str">
        <f>IFERROR(INDEX(Table!I:O,MATCH(K1977,Table!I:I,0),5),"")</f>
        <v/>
      </c>
      <c r="P1977" s="32" t="str">
        <f>IFERROR(INDEX(Table!I:O,MATCH(K1977,Table!I:I,0),6),"")</f>
        <v/>
      </c>
      <c r="Q1977" s="89" t="str">
        <f t="shared" si="90"/>
        <v/>
      </c>
      <c r="R1977" s="89" t="str">
        <f t="shared" si="91"/>
        <v/>
      </c>
      <c r="S1977" s="82"/>
      <c r="U1977" s="37" t="e">
        <f t="shared" si="92"/>
        <v>#VALUE!</v>
      </c>
    </row>
    <row r="1978" spans="1:21" x14ac:dyDescent="0.25">
      <c r="A1978" s="31" t="str">
        <f>IF(Table!A1978 = "","",Table!A1978)</f>
        <v/>
      </c>
      <c r="B1978" s="31" t="str">
        <f>IF(Table!B1978 = "","",Table!B1978)</f>
        <v/>
      </c>
      <c r="C1978" s="31" t="str">
        <f>IF(Table!C1978 = "","",Table!C1978)</f>
        <v/>
      </c>
      <c r="D1978" s="32" t="str">
        <f>IF(Table!D1978 = "","",Table!D1978)</f>
        <v/>
      </c>
      <c r="E1978" s="32" t="str">
        <f>IF(Table!E1978 = "","",Table!E1978)</f>
        <v/>
      </c>
      <c r="F1978" s="32" t="str">
        <f>IF(Table!F1978 = "","",Table!F1978)</f>
        <v/>
      </c>
      <c r="G1978" s="91"/>
      <c r="K1978" s="31" t="str">
        <f>IFERROR(VLOOKUP(A1978,Table!$I$4:$O$3000,1,TRUE),"")</f>
        <v/>
      </c>
      <c r="L1978" s="31" t="str">
        <f>IFERROR(INDEX(Table!I:O,MATCH(K1978,Table!I:I,0),2),"")</f>
        <v/>
      </c>
      <c r="M1978" s="31" t="str">
        <f>IFERROR(INDEX(Table!I:O,MATCH(K1978,Table!I:I,0),3),"")</f>
        <v/>
      </c>
      <c r="N1978" s="32" t="str">
        <f>IFERROR(INDEX(Table!I:O,MATCH(K1978,Table!I:I,0),4),"")</f>
        <v/>
      </c>
      <c r="O1978" s="32" t="str">
        <f>IFERROR(INDEX(Table!I:O,MATCH(K1978,Table!I:I,0),5),"")</f>
        <v/>
      </c>
      <c r="P1978" s="32" t="str">
        <f>IFERROR(INDEX(Table!I:O,MATCH(K1978,Table!I:I,0),6),"")</f>
        <v/>
      </c>
      <c r="Q1978" s="89" t="str">
        <f t="shared" si="90"/>
        <v/>
      </c>
      <c r="R1978" s="89" t="str">
        <f t="shared" si="91"/>
        <v/>
      </c>
      <c r="S1978" s="82"/>
      <c r="U1978" s="37" t="e">
        <f t="shared" si="92"/>
        <v>#VALUE!</v>
      </c>
    </row>
    <row r="1979" spans="1:21" x14ac:dyDescent="0.25">
      <c r="A1979" s="31" t="str">
        <f>IF(Table!A1979 = "","",Table!A1979)</f>
        <v/>
      </c>
      <c r="B1979" s="31" t="str">
        <f>IF(Table!B1979 = "","",Table!B1979)</f>
        <v/>
      </c>
      <c r="C1979" s="31" t="str">
        <f>IF(Table!C1979 = "","",Table!C1979)</f>
        <v/>
      </c>
      <c r="D1979" s="32" t="str">
        <f>IF(Table!D1979 = "","",Table!D1979)</f>
        <v/>
      </c>
      <c r="E1979" s="32" t="str">
        <f>IF(Table!E1979 = "","",Table!E1979)</f>
        <v/>
      </c>
      <c r="F1979" s="32" t="str">
        <f>IF(Table!F1979 = "","",Table!F1979)</f>
        <v/>
      </c>
      <c r="G1979" s="91"/>
      <c r="K1979" s="31" t="str">
        <f>IFERROR(VLOOKUP(A1979,Table!$I$4:$O$3000,1,TRUE),"")</f>
        <v/>
      </c>
      <c r="L1979" s="31" t="str">
        <f>IFERROR(INDEX(Table!I:O,MATCH(K1979,Table!I:I,0),2),"")</f>
        <v/>
      </c>
      <c r="M1979" s="31" t="str">
        <f>IFERROR(INDEX(Table!I:O,MATCH(K1979,Table!I:I,0),3),"")</f>
        <v/>
      </c>
      <c r="N1979" s="32" t="str">
        <f>IFERROR(INDEX(Table!I:O,MATCH(K1979,Table!I:I,0),4),"")</f>
        <v/>
      </c>
      <c r="O1979" s="32" t="str">
        <f>IFERROR(INDEX(Table!I:O,MATCH(K1979,Table!I:I,0),5),"")</f>
        <v/>
      </c>
      <c r="P1979" s="32" t="str">
        <f>IFERROR(INDEX(Table!I:O,MATCH(K1979,Table!I:I,0),6),"")</f>
        <v/>
      </c>
      <c r="Q1979" s="89" t="str">
        <f t="shared" si="90"/>
        <v/>
      </c>
      <c r="R1979" s="89" t="str">
        <f t="shared" si="91"/>
        <v/>
      </c>
      <c r="S1979" s="82"/>
      <c r="U1979" s="37" t="e">
        <f t="shared" si="92"/>
        <v>#VALUE!</v>
      </c>
    </row>
    <row r="1980" spans="1:21" x14ac:dyDescent="0.25">
      <c r="A1980" s="31" t="str">
        <f>IF(Table!A1980 = "","",Table!A1980)</f>
        <v/>
      </c>
      <c r="B1980" s="31" t="str">
        <f>IF(Table!B1980 = "","",Table!B1980)</f>
        <v/>
      </c>
      <c r="C1980" s="31" t="str">
        <f>IF(Table!C1980 = "","",Table!C1980)</f>
        <v/>
      </c>
      <c r="D1980" s="32" t="str">
        <f>IF(Table!D1980 = "","",Table!D1980)</f>
        <v/>
      </c>
      <c r="E1980" s="32" t="str">
        <f>IF(Table!E1980 = "","",Table!E1980)</f>
        <v/>
      </c>
      <c r="F1980" s="32" t="str">
        <f>IF(Table!F1980 = "","",Table!F1980)</f>
        <v/>
      </c>
      <c r="G1980" s="91"/>
      <c r="K1980" s="31" t="str">
        <f>IFERROR(VLOOKUP(A1980,Table!$I$4:$O$3000,1,TRUE),"")</f>
        <v/>
      </c>
      <c r="L1980" s="31" t="str">
        <f>IFERROR(INDEX(Table!I:O,MATCH(K1980,Table!I:I,0),2),"")</f>
        <v/>
      </c>
      <c r="M1980" s="31" t="str">
        <f>IFERROR(INDEX(Table!I:O,MATCH(K1980,Table!I:I,0),3),"")</f>
        <v/>
      </c>
      <c r="N1980" s="32" t="str">
        <f>IFERROR(INDEX(Table!I:O,MATCH(K1980,Table!I:I,0),4),"")</f>
        <v/>
      </c>
      <c r="O1980" s="32" t="str">
        <f>IFERROR(INDEX(Table!I:O,MATCH(K1980,Table!I:I,0),5),"")</f>
        <v/>
      </c>
      <c r="P1980" s="32" t="str">
        <f>IFERROR(INDEX(Table!I:O,MATCH(K1980,Table!I:I,0),6),"")</f>
        <v/>
      </c>
      <c r="Q1980" s="89" t="str">
        <f t="shared" si="90"/>
        <v/>
      </c>
      <c r="R1980" s="89" t="str">
        <f t="shared" si="91"/>
        <v/>
      </c>
      <c r="S1980" s="82"/>
      <c r="U1980" s="37" t="e">
        <f t="shared" si="92"/>
        <v>#VALUE!</v>
      </c>
    </row>
    <row r="1981" spans="1:21" x14ac:dyDescent="0.25">
      <c r="A1981" s="31" t="str">
        <f>IF(Table!A1981 = "","",Table!A1981)</f>
        <v/>
      </c>
      <c r="B1981" s="31" t="str">
        <f>IF(Table!B1981 = "","",Table!B1981)</f>
        <v/>
      </c>
      <c r="C1981" s="31" t="str">
        <f>IF(Table!C1981 = "","",Table!C1981)</f>
        <v/>
      </c>
      <c r="D1981" s="32" t="str">
        <f>IF(Table!D1981 = "","",Table!D1981)</f>
        <v/>
      </c>
      <c r="E1981" s="32" t="str">
        <f>IF(Table!E1981 = "","",Table!E1981)</f>
        <v/>
      </c>
      <c r="F1981" s="32" t="str">
        <f>IF(Table!F1981 = "","",Table!F1981)</f>
        <v/>
      </c>
      <c r="G1981" s="91"/>
      <c r="K1981" s="31" t="str">
        <f>IFERROR(VLOOKUP(A1981,Table!$I$4:$O$3000,1,TRUE),"")</f>
        <v/>
      </c>
      <c r="L1981" s="31" t="str">
        <f>IFERROR(INDEX(Table!I:O,MATCH(K1981,Table!I:I,0),2),"")</f>
        <v/>
      </c>
      <c r="M1981" s="31" t="str">
        <f>IFERROR(INDEX(Table!I:O,MATCH(K1981,Table!I:I,0),3),"")</f>
        <v/>
      </c>
      <c r="N1981" s="32" t="str">
        <f>IFERROR(INDEX(Table!I:O,MATCH(K1981,Table!I:I,0),4),"")</f>
        <v/>
      </c>
      <c r="O1981" s="32" t="str">
        <f>IFERROR(INDEX(Table!I:O,MATCH(K1981,Table!I:I,0),5),"")</f>
        <v/>
      </c>
      <c r="P1981" s="32" t="str">
        <f>IFERROR(INDEX(Table!I:O,MATCH(K1981,Table!I:I,0),6),"")</f>
        <v/>
      </c>
      <c r="Q1981" s="89" t="str">
        <f t="shared" si="90"/>
        <v/>
      </c>
      <c r="R1981" s="89" t="str">
        <f t="shared" si="91"/>
        <v/>
      </c>
      <c r="S1981" s="82"/>
      <c r="U1981" s="37" t="e">
        <f t="shared" si="92"/>
        <v>#VALUE!</v>
      </c>
    </row>
    <row r="1982" spans="1:21" x14ac:dyDescent="0.25">
      <c r="A1982" s="31" t="str">
        <f>IF(Table!A1982 = "","",Table!A1982)</f>
        <v/>
      </c>
      <c r="B1982" s="31" t="str">
        <f>IF(Table!B1982 = "","",Table!B1982)</f>
        <v/>
      </c>
      <c r="C1982" s="31" t="str">
        <f>IF(Table!C1982 = "","",Table!C1982)</f>
        <v/>
      </c>
      <c r="D1982" s="32" t="str">
        <f>IF(Table!D1982 = "","",Table!D1982)</f>
        <v/>
      </c>
      <c r="E1982" s="32" t="str">
        <f>IF(Table!E1982 = "","",Table!E1982)</f>
        <v/>
      </c>
      <c r="F1982" s="32" t="str">
        <f>IF(Table!F1982 = "","",Table!F1982)</f>
        <v/>
      </c>
      <c r="G1982" s="91"/>
      <c r="K1982" s="31" t="str">
        <f>IFERROR(VLOOKUP(A1982,Table!$I$4:$O$3000,1,TRUE),"")</f>
        <v/>
      </c>
      <c r="L1982" s="31" t="str">
        <f>IFERROR(INDEX(Table!I:O,MATCH(K1982,Table!I:I,0),2),"")</f>
        <v/>
      </c>
      <c r="M1982" s="31" t="str">
        <f>IFERROR(INDEX(Table!I:O,MATCH(K1982,Table!I:I,0),3),"")</f>
        <v/>
      </c>
      <c r="N1982" s="32" t="str">
        <f>IFERROR(INDEX(Table!I:O,MATCH(K1982,Table!I:I,0),4),"")</f>
        <v/>
      </c>
      <c r="O1982" s="32" t="str">
        <f>IFERROR(INDEX(Table!I:O,MATCH(K1982,Table!I:I,0),5),"")</f>
        <v/>
      </c>
      <c r="P1982" s="32" t="str">
        <f>IFERROR(INDEX(Table!I:O,MATCH(K1982,Table!I:I,0),6),"")</f>
        <v/>
      </c>
      <c r="Q1982" s="89" t="str">
        <f t="shared" si="90"/>
        <v/>
      </c>
      <c r="R1982" s="89" t="str">
        <f t="shared" si="91"/>
        <v/>
      </c>
      <c r="S1982" s="82"/>
      <c r="U1982" s="37" t="e">
        <f t="shared" si="92"/>
        <v>#VALUE!</v>
      </c>
    </row>
    <row r="1983" spans="1:21" x14ac:dyDescent="0.25">
      <c r="A1983" s="31" t="str">
        <f>IF(Table!A1983 = "","",Table!A1983)</f>
        <v/>
      </c>
      <c r="B1983" s="31" t="str">
        <f>IF(Table!B1983 = "","",Table!B1983)</f>
        <v/>
      </c>
      <c r="C1983" s="31" t="str">
        <f>IF(Table!C1983 = "","",Table!C1983)</f>
        <v/>
      </c>
      <c r="D1983" s="32" t="str">
        <f>IF(Table!D1983 = "","",Table!D1983)</f>
        <v/>
      </c>
      <c r="E1983" s="32" t="str">
        <f>IF(Table!E1983 = "","",Table!E1983)</f>
        <v/>
      </c>
      <c r="F1983" s="32" t="str">
        <f>IF(Table!F1983 = "","",Table!F1983)</f>
        <v/>
      </c>
      <c r="G1983" s="91"/>
      <c r="K1983" s="31" t="str">
        <f>IFERROR(VLOOKUP(A1983,Table!$I$4:$O$3000,1,TRUE),"")</f>
        <v/>
      </c>
      <c r="L1983" s="31" t="str">
        <f>IFERROR(INDEX(Table!I:O,MATCH(K1983,Table!I:I,0),2),"")</f>
        <v/>
      </c>
      <c r="M1983" s="31" t="str">
        <f>IFERROR(INDEX(Table!I:O,MATCH(K1983,Table!I:I,0),3),"")</f>
        <v/>
      </c>
      <c r="N1983" s="32" t="str">
        <f>IFERROR(INDEX(Table!I:O,MATCH(K1983,Table!I:I,0),4),"")</f>
        <v/>
      </c>
      <c r="O1983" s="32" t="str">
        <f>IFERROR(INDEX(Table!I:O,MATCH(K1983,Table!I:I,0),5),"")</f>
        <v/>
      </c>
      <c r="P1983" s="32" t="str">
        <f>IFERROR(INDEX(Table!I:O,MATCH(K1983,Table!I:I,0),6),"")</f>
        <v/>
      </c>
      <c r="Q1983" s="89" t="str">
        <f t="shared" si="90"/>
        <v/>
      </c>
      <c r="R1983" s="89" t="str">
        <f t="shared" si="91"/>
        <v/>
      </c>
      <c r="S1983" s="82"/>
      <c r="U1983" s="37" t="e">
        <f t="shared" si="92"/>
        <v>#VALUE!</v>
      </c>
    </row>
    <row r="1984" spans="1:21" x14ac:dyDescent="0.25">
      <c r="A1984" s="31" t="str">
        <f>IF(Table!A1984 = "","",Table!A1984)</f>
        <v/>
      </c>
      <c r="B1984" s="31" t="str">
        <f>IF(Table!B1984 = "","",Table!B1984)</f>
        <v/>
      </c>
      <c r="C1984" s="31" t="str">
        <f>IF(Table!C1984 = "","",Table!C1984)</f>
        <v/>
      </c>
      <c r="D1984" s="32" t="str">
        <f>IF(Table!D1984 = "","",Table!D1984)</f>
        <v/>
      </c>
      <c r="E1984" s="32" t="str">
        <f>IF(Table!E1984 = "","",Table!E1984)</f>
        <v/>
      </c>
      <c r="F1984" s="32" t="str">
        <f>IF(Table!F1984 = "","",Table!F1984)</f>
        <v/>
      </c>
      <c r="G1984" s="91"/>
      <c r="K1984" s="31" t="str">
        <f>IFERROR(VLOOKUP(A1984,Table!$I$4:$O$3000,1,TRUE),"")</f>
        <v/>
      </c>
      <c r="L1984" s="31" t="str">
        <f>IFERROR(INDEX(Table!I:O,MATCH(K1984,Table!I:I,0),2),"")</f>
        <v/>
      </c>
      <c r="M1984" s="31" t="str">
        <f>IFERROR(INDEX(Table!I:O,MATCH(K1984,Table!I:I,0),3),"")</f>
        <v/>
      </c>
      <c r="N1984" s="32" t="str">
        <f>IFERROR(INDEX(Table!I:O,MATCH(K1984,Table!I:I,0),4),"")</f>
        <v/>
      </c>
      <c r="O1984" s="32" t="str">
        <f>IFERROR(INDEX(Table!I:O,MATCH(K1984,Table!I:I,0),5),"")</f>
        <v/>
      </c>
      <c r="P1984" s="32" t="str">
        <f>IFERROR(INDEX(Table!I:O,MATCH(K1984,Table!I:I,0),6),"")</f>
        <v/>
      </c>
      <c r="Q1984" s="89" t="str">
        <f t="shared" si="90"/>
        <v/>
      </c>
      <c r="R1984" s="89" t="str">
        <f t="shared" si="91"/>
        <v/>
      </c>
      <c r="S1984" s="82"/>
      <c r="U1984" s="37" t="e">
        <f t="shared" si="92"/>
        <v>#VALUE!</v>
      </c>
    </row>
    <row r="1985" spans="1:21" x14ac:dyDescent="0.25">
      <c r="A1985" s="31" t="str">
        <f>IF(Table!A1985 = "","",Table!A1985)</f>
        <v/>
      </c>
      <c r="B1985" s="31" t="str">
        <f>IF(Table!B1985 = "","",Table!B1985)</f>
        <v/>
      </c>
      <c r="C1985" s="31" t="str">
        <f>IF(Table!C1985 = "","",Table!C1985)</f>
        <v/>
      </c>
      <c r="D1985" s="32" t="str">
        <f>IF(Table!D1985 = "","",Table!D1985)</f>
        <v/>
      </c>
      <c r="E1985" s="32" t="str">
        <f>IF(Table!E1985 = "","",Table!E1985)</f>
        <v/>
      </c>
      <c r="F1985" s="32" t="str">
        <f>IF(Table!F1985 = "","",Table!F1985)</f>
        <v/>
      </c>
      <c r="G1985" s="91"/>
      <c r="K1985" s="31" t="str">
        <f>IFERROR(VLOOKUP(A1985,Table!$I$4:$O$3000,1,TRUE),"")</f>
        <v/>
      </c>
      <c r="L1985" s="31" t="str">
        <f>IFERROR(INDEX(Table!I:O,MATCH(K1985,Table!I:I,0),2),"")</f>
        <v/>
      </c>
      <c r="M1985" s="31" t="str">
        <f>IFERROR(INDEX(Table!I:O,MATCH(K1985,Table!I:I,0),3),"")</f>
        <v/>
      </c>
      <c r="N1985" s="32" t="str">
        <f>IFERROR(INDEX(Table!I:O,MATCH(K1985,Table!I:I,0),4),"")</f>
        <v/>
      </c>
      <c r="O1985" s="32" t="str">
        <f>IFERROR(INDEX(Table!I:O,MATCH(K1985,Table!I:I,0),5),"")</f>
        <v/>
      </c>
      <c r="P1985" s="32" t="str">
        <f>IFERROR(INDEX(Table!I:O,MATCH(K1985,Table!I:I,0),6),"")</f>
        <v/>
      </c>
      <c r="Q1985" s="89" t="str">
        <f t="shared" si="90"/>
        <v/>
      </c>
      <c r="R1985" s="89" t="str">
        <f t="shared" si="91"/>
        <v/>
      </c>
      <c r="S1985" s="82"/>
      <c r="U1985" s="37" t="e">
        <f t="shared" si="92"/>
        <v>#VALUE!</v>
      </c>
    </row>
    <row r="1986" spans="1:21" x14ac:dyDescent="0.25">
      <c r="A1986" s="31" t="str">
        <f>IF(Table!A1986 = "","",Table!A1986)</f>
        <v/>
      </c>
      <c r="B1986" s="31" t="str">
        <f>IF(Table!B1986 = "","",Table!B1986)</f>
        <v/>
      </c>
      <c r="C1986" s="31" t="str">
        <f>IF(Table!C1986 = "","",Table!C1986)</f>
        <v/>
      </c>
      <c r="D1986" s="32" t="str">
        <f>IF(Table!D1986 = "","",Table!D1986)</f>
        <v/>
      </c>
      <c r="E1986" s="32" t="str">
        <f>IF(Table!E1986 = "","",Table!E1986)</f>
        <v/>
      </c>
      <c r="F1986" s="32" t="str">
        <f>IF(Table!F1986 = "","",Table!F1986)</f>
        <v/>
      </c>
      <c r="G1986" s="91"/>
      <c r="K1986" s="31" t="str">
        <f>IFERROR(VLOOKUP(A1986,Table!$I$4:$O$3000,1,TRUE),"")</f>
        <v/>
      </c>
      <c r="L1986" s="31" t="str">
        <f>IFERROR(INDEX(Table!I:O,MATCH(K1986,Table!I:I,0),2),"")</f>
        <v/>
      </c>
      <c r="M1986" s="31" t="str">
        <f>IFERROR(INDEX(Table!I:O,MATCH(K1986,Table!I:I,0),3),"")</f>
        <v/>
      </c>
      <c r="N1986" s="32" t="str">
        <f>IFERROR(INDEX(Table!I:O,MATCH(K1986,Table!I:I,0),4),"")</f>
        <v/>
      </c>
      <c r="O1986" s="32" t="str">
        <f>IFERROR(INDEX(Table!I:O,MATCH(K1986,Table!I:I,0),5),"")</f>
        <v/>
      </c>
      <c r="P1986" s="32" t="str">
        <f>IFERROR(INDEX(Table!I:O,MATCH(K1986,Table!I:I,0),6),"")</f>
        <v/>
      </c>
      <c r="Q1986" s="89" t="str">
        <f t="shared" si="90"/>
        <v/>
      </c>
      <c r="R1986" s="89" t="str">
        <f t="shared" si="91"/>
        <v/>
      </c>
      <c r="S1986" s="82"/>
      <c r="U1986" s="37" t="e">
        <f t="shared" si="92"/>
        <v>#VALUE!</v>
      </c>
    </row>
    <row r="1987" spans="1:21" x14ac:dyDescent="0.25">
      <c r="A1987" s="31" t="str">
        <f>IF(Table!A1987 = "","",Table!A1987)</f>
        <v/>
      </c>
      <c r="B1987" s="31" t="str">
        <f>IF(Table!B1987 = "","",Table!B1987)</f>
        <v/>
      </c>
      <c r="C1987" s="31" t="str">
        <f>IF(Table!C1987 = "","",Table!C1987)</f>
        <v/>
      </c>
      <c r="D1987" s="32" t="str">
        <f>IF(Table!D1987 = "","",Table!D1987)</f>
        <v/>
      </c>
      <c r="E1987" s="32" t="str">
        <f>IF(Table!E1987 = "","",Table!E1987)</f>
        <v/>
      </c>
      <c r="F1987" s="32" t="str">
        <f>IF(Table!F1987 = "","",Table!F1987)</f>
        <v/>
      </c>
      <c r="G1987" s="91"/>
      <c r="K1987" s="31" t="str">
        <f>IFERROR(VLOOKUP(A1987,Table!$I$4:$O$3000,1,TRUE),"")</f>
        <v/>
      </c>
      <c r="L1987" s="31" t="str">
        <f>IFERROR(INDEX(Table!I:O,MATCH(K1987,Table!I:I,0),2),"")</f>
        <v/>
      </c>
      <c r="M1987" s="31" t="str">
        <f>IFERROR(INDEX(Table!I:O,MATCH(K1987,Table!I:I,0),3),"")</f>
        <v/>
      </c>
      <c r="N1987" s="32" t="str">
        <f>IFERROR(INDEX(Table!I:O,MATCH(K1987,Table!I:I,0),4),"")</f>
        <v/>
      </c>
      <c r="O1987" s="32" t="str">
        <f>IFERROR(INDEX(Table!I:O,MATCH(K1987,Table!I:I,0),5),"")</f>
        <v/>
      </c>
      <c r="P1987" s="32" t="str">
        <f>IFERROR(INDEX(Table!I:O,MATCH(K1987,Table!I:I,0),6),"")</f>
        <v/>
      </c>
      <c r="Q1987" s="89" t="str">
        <f t="shared" si="90"/>
        <v/>
      </c>
      <c r="R1987" s="89" t="str">
        <f t="shared" si="91"/>
        <v/>
      </c>
      <c r="S1987" s="82"/>
      <c r="U1987" s="37" t="e">
        <f t="shared" si="92"/>
        <v>#VALUE!</v>
      </c>
    </row>
    <row r="1988" spans="1:21" x14ac:dyDescent="0.25">
      <c r="A1988" s="31" t="str">
        <f>IF(Table!A1988 = "","",Table!A1988)</f>
        <v/>
      </c>
      <c r="B1988" s="31" t="str">
        <f>IF(Table!B1988 = "","",Table!B1988)</f>
        <v/>
      </c>
      <c r="C1988" s="31" t="str">
        <f>IF(Table!C1988 = "","",Table!C1988)</f>
        <v/>
      </c>
      <c r="D1988" s="32" t="str">
        <f>IF(Table!D1988 = "","",Table!D1988)</f>
        <v/>
      </c>
      <c r="E1988" s="32" t="str">
        <f>IF(Table!E1988 = "","",Table!E1988)</f>
        <v/>
      </c>
      <c r="F1988" s="32" t="str">
        <f>IF(Table!F1988 = "","",Table!F1988)</f>
        <v/>
      </c>
      <c r="G1988" s="91"/>
      <c r="K1988" s="31" t="str">
        <f>IFERROR(VLOOKUP(A1988,Table!$I$4:$O$3000,1,TRUE),"")</f>
        <v/>
      </c>
      <c r="L1988" s="31" t="str">
        <f>IFERROR(INDEX(Table!I:O,MATCH(K1988,Table!I:I,0),2),"")</f>
        <v/>
      </c>
      <c r="M1988" s="31" t="str">
        <f>IFERROR(INDEX(Table!I:O,MATCH(K1988,Table!I:I,0),3),"")</f>
        <v/>
      </c>
      <c r="N1988" s="32" t="str">
        <f>IFERROR(INDEX(Table!I:O,MATCH(K1988,Table!I:I,0),4),"")</f>
        <v/>
      </c>
      <c r="O1988" s="32" t="str">
        <f>IFERROR(INDEX(Table!I:O,MATCH(K1988,Table!I:I,0),5),"")</f>
        <v/>
      </c>
      <c r="P1988" s="32" t="str">
        <f>IFERROR(INDEX(Table!I:O,MATCH(K1988,Table!I:I,0),6),"")</f>
        <v/>
      </c>
      <c r="Q1988" s="89" t="str">
        <f t="shared" si="90"/>
        <v/>
      </c>
      <c r="R1988" s="89" t="str">
        <f t="shared" si="91"/>
        <v/>
      </c>
      <c r="S1988" s="82"/>
      <c r="U1988" s="37" t="e">
        <f t="shared" si="92"/>
        <v>#VALUE!</v>
      </c>
    </row>
    <row r="1989" spans="1:21" x14ac:dyDescent="0.25">
      <c r="A1989" s="31" t="str">
        <f>IF(Table!A1989 = "","",Table!A1989)</f>
        <v/>
      </c>
      <c r="B1989" s="31" t="str">
        <f>IF(Table!B1989 = "","",Table!B1989)</f>
        <v/>
      </c>
      <c r="C1989" s="31" t="str">
        <f>IF(Table!C1989 = "","",Table!C1989)</f>
        <v/>
      </c>
      <c r="D1989" s="32" t="str">
        <f>IF(Table!D1989 = "","",Table!D1989)</f>
        <v/>
      </c>
      <c r="E1989" s="32" t="str">
        <f>IF(Table!E1989 = "","",Table!E1989)</f>
        <v/>
      </c>
      <c r="F1989" s="32" t="str">
        <f>IF(Table!F1989 = "","",Table!F1989)</f>
        <v/>
      </c>
      <c r="G1989" s="91"/>
      <c r="K1989" s="31" t="str">
        <f>IFERROR(VLOOKUP(A1989,Table!$I$4:$O$3000,1,TRUE),"")</f>
        <v/>
      </c>
      <c r="L1989" s="31" t="str">
        <f>IFERROR(INDEX(Table!I:O,MATCH(K1989,Table!I:I,0),2),"")</f>
        <v/>
      </c>
      <c r="M1989" s="31" t="str">
        <f>IFERROR(INDEX(Table!I:O,MATCH(K1989,Table!I:I,0),3),"")</f>
        <v/>
      </c>
      <c r="N1989" s="32" t="str">
        <f>IFERROR(INDEX(Table!I:O,MATCH(K1989,Table!I:I,0),4),"")</f>
        <v/>
      </c>
      <c r="O1989" s="32" t="str">
        <f>IFERROR(INDEX(Table!I:O,MATCH(K1989,Table!I:I,0),5),"")</f>
        <v/>
      </c>
      <c r="P1989" s="32" t="str">
        <f>IFERROR(INDEX(Table!I:O,MATCH(K1989,Table!I:I,0),6),"")</f>
        <v/>
      </c>
      <c r="Q1989" s="89" t="str">
        <f t="shared" si="90"/>
        <v/>
      </c>
      <c r="R1989" s="89" t="str">
        <f t="shared" si="91"/>
        <v/>
      </c>
      <c r="S1989" s="82"/>
      <c r="U1989" s="37" t="e">
        <f t="shared" si="92"/>
        <v>#VALUE!</v>
      </c>
    </row>
    <row r="1990" spans="1:21" x14ac:dyDescent="0.25">
      <c r="A1990" s="31" t="str">
        <f>IF(Table!A1990 = "","",Table!A1990)</f>
        <v/>
      </c>
      <c r="B1990" s="31" t="str">
        <f>IF(Table!B1990 = "","",Table!B1990)</f>
        <v/>
      </c>
      <c r="C1990" s="31" t="str">
        <f>IF(Table!C1990 = "","",Table!C1990)</f>
        <v/>
      </c>
      <c r="D1990" s="32" t="str">
        <f>IF(Table!D1990 = "","",Table!D1990)</f>
        <v/>
      </c>
      <c r="E1990" s="32" t="str">
        <f>IF(Table!E1990 = "","",Table!E1990)</f>
        <v/>
      </c>
      <c r="F1990" s="32" t="str">
        <f>IF(Table!F1990 = "","",Table!F1990)</f>
        <v/>
      </c>
      <c r="G1990" s="91"/>
      <c r="K1990" s="31" t="str">
        <f>IFERROR(VLOOKUP(A1990,Table!$I$4:$O$3000,1,TRUE),"")</f>
        <v/>
      </c>
      <c r="L1990" s="31" t="str">
        <f>IFERROR(INDEX(Table!I:O,MATCH(K1990,Table!I:I,0),2),"")</f>
        <v/>
      </c>
      <c r="M1990" s="31" t="str">
        <f>IFERROR(INDEX(Table!I:O,MATCH(K1990,Table!I:I,0),3),"")</f>
        <v/>
      </c>
      <c r="N1990" s="32" t="str">
        <f>IFERROR(INDEX(Table!I:O,MATCH(K1990,Table!I:I,0),4),"")</f>
        <v/>
      </c>
      <c r="O1990" s="32" t="str">
        <f>IFERROR(INDEX(Table!I:O,MATCH(K1990,Table!I:I,0),5),"")</f>
        <v/>
      </c>
      <c r="P1990" s="32" t="str">
        <f>IFERROR(INDEX(Table!I:O,MATCH(K1990,Table!I:I,0),6),"")</f>
        <v/>
      </c>
      <c r="Q1990" s="89" t="str">
        <f t="shared" ref="Q1990:Q2053" si="93">IFERROR(L1990-B1990,"")</f>
        <v/>
      </c>
      <c r="R1990" s="89" t="str">
        <f t="shared" ref="R1990:R2053" si="94">IFERROR(M1990-C1990,"")</f>
        <v/>
      </c>
      <c r="S1990" s="82"/>
      <c r="U1990" s="37" t="e">
        <f t="shared" ref="U1990:U2053" si="95">K1990-K1989</f>
        <v>#VALUE!</v>
      </c>
    </row>
    <row r="1991" spans="1:21" x14ac:dyDescent="0.25">
      <c r="A1991" s="31" t="str">
        <f>IF(Table!A1991 = "","",Table!A1991)</f>
        <v/>
      </c>
      <c r="B1991" s="31" t="str">
        <f>IF(Table!B1991 = "","",Table!B1991)</f>
        <v/>
      </c>
      <c r="C1991" s="31" t="str">
        <f>IF(Table!C1991 = "","",Table!C1991)</f>
        <v/>
      </c>
      <c r="D1991" s="32" t="str">
        <f>IF(Table!D1991 = "","",Table!D1991)</f>
        <v/>
      </c>
      <c r="E1991" s="32" t="str">
        <f>IF(Table!E1991 = "","",Table!E1991)</f>
        <v/>
      </c>
      <c r="F1991" s="32" t="str">
        <f>IF(Table!F1991 = "","",Table!F1991)</f>
        <v/>
      </c>
      <c r="G1991" s="91"/>
      <c r="K1991" s="31" t="str">
        <f>IFERROR(VLOOKUP(A1991,Table!$I$4:$O$3000,1,TRUE),"")</f>
        <v/>
      </c>
      <c r="L1991" s="31" t="str">
        <f>IFERROR(INDEX(Table!I:O,MATCH(K1991,Table!I:I,0),2),"")</f>
        <v/>
      </c>
      <c r="M1991" s="31" t="str">
        <f>IFERROR(INDEX(Table!I:O,MATCH(K1991,Table!I:I,0),3),"")</f>
        <v/>
      </c>
      <c r="N1991" s="32" t="str">
        <f>IFERROR(INDEX(Table!I:O,MATCH(K1991,Table!I:I,0),4),"")</f>
        <v/>
      </c>
      <c r="O1991" s="32" t="str">
        <f>IFERROR(INDEX(Table!I:O,MATCH(K1991,Table!I:I,0),5),"")</f>
        <v/>
      </c>
      <c r="P1991" s="32" t="str">
        <f>IFERROR(INDEX(Table!I:O,MATCH(K1991,Table!I:I,0),6),"")</f>
        <v/>
      </c>
      <c r="Q1991" s="89" t="str">
        <f t="shared" si="93"/>
        <v/>
      </c>
      <c r="R1991" s="89" t="str">
        <f t="shared" si="94"/>
        <v/>
      </c>
      <c r="S1991" s="82"/>
      <c r="U1991" s="37" t="e">
        <f t="shared" si="95"/>
        <v>#VALUE!</v>
      </c>
    </row>
    <row r="1992" spans="1:21" x14ac:dyDescent="0.25">
      <c r="A1992" s="31" t="str">
        <f>IF(Table!A1992 = "","",Table!A1992)</f>
        <v/>
      </c>
      <c r="B1992" s="31" t="str">
        <f>IF(Table!B1992 = "","",Table!B1992)</f>
        <v/>
      </c>
      <c r="C1992" s="31" t="str">
        <f>IF(Table!C1992 = "","",Table!C1992)</f>
        <v/>
      </c>
      <c r="D1992" s="32" t="str">
        <f>IF(Table!D1992 = "","",Table!D1992)</f>
        <v/>
      </c>
      <c r="E1992" s="32" t="str">
        <f>IF(Table!E1992 = "","",Table!E1992)</f>
        <v/>
      </c>
      <c r="F1992" s="32" t="str">
        <f>IF(Table!F1992 = "","",Table!F1992)</f>
        <v/>
      </c>
      <c r="G1992" s="91"/>
      <c r="K1992" s="31" t="str">
        <f>IFERROR(VLOOKUP(A1992,Table!$I$4:$O$3000,1,TRUE),"")</f>
        <v/>
      </c>
      <c r="L1992" s="31" t="str">
        <f>IFERROR(INDEX(Table!I:O,MATCH(K1992,Table!I:I,0),2),"")</f>
        <v/>
      </c>
      <c r="M1992" s="31" t="str">
        <f>IFERROR(INDEX(Table!I:O,MATCH(K1992,Table!I:I,0),3),"")</f>
        <v/>
      </c>
      <c r="N1992" s="32" t="str">
        <f>IFERROR(INDEX(Table!I:O,MATCH(K1992,Table!I:I,0),4),"")</f>
        <v/>
      </c>
      <c r="O1992" s="32" t="str">
        <f>IFERROR(INDEX(Table!I:O,MATCH(K1992,Table!I:I,0),5),"")</f>
        <v/>
      </c>
      <c r="P1992" s="32" t="str">
        <f>IFERROR(INDEX(Table!I:O,MATCH(K1992,Table!I:I,0),6),"")</f>
        <v/>
      </c>
      <c r="Q1992" s="89" t="str">
        <f t="shared" si="93"/>
        <v/>
      </c>
      <c r="R1992" s="89" t="str">
        <f t="shared" si="94"/>
        <v/>
      </c>
      <c r="S1992" s="82"/>
      <c r="U1992" s="37" t="e">
        <f t="shared" si="95"/>
        <v>#VALUE!</v>
      </c>
    </row>
    <row r="1993" spans="1:21" x14ac:dyDescent="0.25">
      <c r="A1993" s="31" t="str">
        <f>IF(Table!A1993 = "","",Table!A1993)</f>
        <v/>
      </c>
      <c r="B1993" s="31" t="str">
        <f>IF(Table!B1993 = "","",Table!B1993)</f>
        <v/>
      </c>
      <c r="C1993" s="31" t="str">
        <f>IF(Table!C1993 = "","",Table!C1993)</f>
        <v/>
      </c>
      <c r="D1993" s="32" t="str">
        <f>IF(Table!D1993 = "","",Table!D1993)</f>
        <v/>
      </c>
      <c r="E1993" s="32" t="str">
        <f>IF(Table!E1993 = "","",Table!E1993)</f>
        <v/>
      </c>
      <c r="F1993" s="32" t="str">
        <f>IF(Table!F1993 = "","",Table!F1993)</f>
        <v/>
      </c>
      <c r="G1993" s="91"/>
      <c r="K1993" s="31" t="str">
        <f>IFERROR(VLOOKUP(A1993,Table!$I$4:$O$3000,1,TRUE),"")</f>
        <v/>
      </c>
      <c r="L1993" s="31" t="str">
        <f>IFERROR(INDEX(Table!I:O,MATCH(K1993,Table!I:I,0),2),"")</f>
        <v/>
      </c>
      <c r="M1993" s="31" t="str">
        <f>IFERROR(INDEX(Table!I:O,MATCH(K1993,Table!I:I,0),3),"")</f>
        <v/>
      </c>
      <c r="N1993" s="32" t="str">
        <f>IFERROR(INDEX(Table!I:O,MATCH(K1993,Table!I:I,0),4),"")</f>
        <v/>
      </c>
      <c r="O1993" s="32" t="str">
        <f>IFERROR(INDEX(Table!I:O,MATCH(K1993,Table!I:I,0),5),"")</f>
        <v/>
      </c>
      <c r="P1993" s="32" t="str">
        <f>IFERROR(INDEX(Table!I:O,MATCH(K1993,Table!I:I,0),6),"")</f>
        <v/>
      </c>
      <c r="Q1993" s="89" t="str">
        <f t="shared" si="93"/>
        <v/>
      </c>
      <c r="R1993" s="89" t="str">
        <f t="shared" si="94"/>
        <v/>
      </c>
      <c r="S1993" s="82"/>
      <c r="U1993" s="37" t="e">
        <f t="shared" si="95"/>
        <v>#VALUE!</v>
      </c>
    </row>
    <row r="1994" spans="1:21" x14ac:dyDescent="0.25">
      <c r="A1994" s="31" t="str">
        <f>IF(Table!A1994 = "","",Table!A1994)</f>
        <v/>
      </c>
      <c r="B1994" s="31" t="str">
        <f>IF(Table!B1994 = "","",Table!B1994)</f>
        <v/>
      </c>
      <c r="C1994" s="31" t="str">
        <f>IF(Table!C1994 = "","",Table!C1994)</f>
        <v/>
      </c>
      <c r="D1994" s="32" t="str">
        <f>IF(Table!D1994 = "","",Table!D1994)</f>
        <v/>
      </c>
      <c r="E1994" s="32" t="str">
        <f>IF(Table!E1994 = "","",Table!E1994)</f>
        <v/>
      </c>
      <c r="F1994" s="32" t="str">
        <f>IF(Table!F1994 = "","",Table!F1994)</f>
        <v/>
      </c>
      <c r="G1994" s="91"/>
      <c r="K1994" s="31" t="str">
        <f>IFERROR(VLOOKUP(A1994,Table!$I$4:$O$3000,1,TRUE),"")</f>
        <v/>
      </c>
      <c r="L1994" s="31" t="str">
        <f>IFERROR(INDEX(Table!I:O,MATCH(K1994,Table!I:I,0),2),"")</f>
        <v/>
      </c>
      <c r="M1994" s="31" t="str">
        <f>IFERROR(INDEX(Table!I:O,MATCH(K1994,Table!I:I,0),3),"")</f>
        <v/>
      </c>
      <c r="N1994" s="32" t="str">
        <f>IFERROR(INDEX(Table!I:O,MATCH(K1994,Table!I:I,0),4),"")</f>
        <v/>
      </c>
      <c r="O1994" s="32" t="str">
        <f>IFERROR(INDEX(Table!I:O,MATCH(K1994,Table!I:I,0),5),"")</f>
        <v/>
      </c>
      <c r="P1994" s="32" t="str">
        <f>IFERROR(INDEX(Table!I:O,MATCH(K1994,Table!I:I,0),6),"")</f>
        <v/>
      </c>
      <c r="Q1994" s="89" t="str">
        <f t="shared" si="93"/>
        <v/>
      </c>
      <c r="R1994" s="89" t="str">
        <f t="shared" si="94"/>
        <v/>
      </c>
      <c r="S1994" s="82"/>
      <c r="U1994" s="37" t="e">
        <f t="shared" si="95"/>
        <v>#VALUE!</v>
      </c>
    </row>
    <row r="1995" spans="1:21" x14ac:dyDescent="0.25">
      <c r="A1995" s="31" t="str">
        <f>IF(Table!A1995 = "","",Table!A1995)</f>
        <v/>
      </c>
      <c r="B1995" s="31" t="str">
        <f>IF(Table!B1995 = "","",Table!B1995)</f>
        <v/>
      </c>
      <c r="C1995" s="31" t="str">
        <f>IF(Table!C1995 = "","",Table!C1995)</f>
        <v/>
      </c>
      <c r="D1995" s="32" t="str">
        <f>IF(Table!D1995 = "","",Table!D1995)</f>
        <v/>
      </c>
      <c r="E1995" s="32" t="str">
        <f>IF(Table!E1995 = "","",Table!E1995)</f>
        <v/>
      </c>
      <c r="F1995" s="32" t="str">
        <f>IF(Table!F1995 = "","",Table!F1995)</f>
        <v/>
      </c>
      <c r="G1995" s="91"/>
      <c r="K1995" s="31" t="str">
        <f>IFERROR(VLOOKUP(A1995,Table!$I$4:$O$3000,1,TRUE),"")</f>
        <v/>
      </c>
      <c r="L1995" s="31" t="str">
        <f>IFERROR(INDEX(Table!I:O,MATCH(K1995,Table!I:I,0),2),"")</f>
        <v/>
      </c>
      <c r="M1995" s="31" t="str">
        <f>IFERROR(INDEX(Table!I:O,MATCH(K1995,Table!I:I,0),3),"")</f>
        <v/>
      </c>
      <c r="N1995" s="32" t="str">
        <f>IFERROR(INDEX(Table!I:O,MATCH(K1995,Table!I:I,0),4),"")</f>
        <v/>
      </c>
      <c r="O1995" s="32" t="str">
        <f>IFERROR(INDEX(Table!I:O,MATCH(K1995,Table!I:I,0),5),"")</f>
        <v/>
      </c>
      <c r="P1995" s="32" t="str">
        <f>IFERROR(INDEX(Table!I:O,MATCH(K1995,Table!I:I,0),6),"")</f>
        <v/>
      </c>
      <c r="Q1995" s="89" t="str">
        <f t="shared" si="93"/>
        <v/>
      </c>
      <c r="R1995" s="89" t="str">
        <f t="shared" si="94"/>
        <v/>
      </c>
      <c r="S1995" s="82"/>
      <c r="U1995" s="37" t="e">
        <f t="shared" si="95"/>
        <v>#VALUE!</v>
      </c>
    </row>
    <row r="1996" spans="1:21" x14ac:dyDescent="0.25">
      <c r="A1996" s="31" t="str">
        <f>IF(Table!A1996 = "","",Table!A1996)</f>
        <v/>
      </c>
      <c r="B1996" s="31" t="str">
        <f>IF(Table!B1996 = "","",Table!B1996)</f>
        <v/>
      </c>
      <c r="C1996" s="31" t="str">
        <f>IF(Table!C1996 = "","",Table!C1996)</f>
        <v/>
      </c>
      <c r="D1996" s="32" t="str">
        <f>IF(Table!D1996 = "","",Table!D1996)</f>
        <v/>
      </c>
      <c r="E1996" s="32" t="str">
        <f>IF(Table!E1996 = "","",Table!E1996)</f>
        <v/>
      </c>
      <c r="F1996" s="32" t="str">
        <f>IF(Table!F1996 = "","",Table!F1996)</f>
        <v/>
      </c>
      <c r="G1996" s="91"/>
      <c r="K1996" s="31" t="str">
        <f>IFERROR(VLOOKUP(A1996,Table!$I$4:$O$3000,1,TRUE),"")</f>
        <v/>
      </c>
      <c r="L1996" s="31" t="str">
        <f>IFERROR(INDEX(Table!I:O,MATCH(K1996,Table!I:I,0),2),"")</f>
        <v/>
      </c>
      <c r="M1996" s="31" t="str">
        <f>IFERROR(INDEX(Table!I:O,MATCH(K1996,Table!I:I,0),3),"")</f>
        <v/>
      </c>
      <c r="N1996" s="32" t="str">
        <f>IFERROR(INDEX(Table!I:O,MATCH(K1996,Table!I:I,0),4),"")</f>
        <v/>
      </c>
      <c r="O1996" s="32" t="str">
        <f>IFERROR(INDEX(Table!I:O,MATCH(K1996,Table!I:I,0),5),"")</f>
        <v/>
      </c>
      <c r="P1996" s="32" t="str">
        <f>IFERROR(INDEX(Table!I:O,MATCH(K1996,Table!I:I,0),6),"")</f>
        <v/>
      </c>
      <c r="Q1996" s="89" t="str">
        <f t="shared" si="93"/>
        <v/>
      </c>
      <c r="R1996" s="89" t="str">
        <f t="shared" si="94"/>
        <v/>
      </c>
      <c r="S1996" s="82"/>
      <c r="U1996" s="37" t="e">
        <f t="shared" si="95"/>
        <v>#VALUE!</v>
      </c>
    </row>
    <row r="1997" spans="1:21" x14ac:dyDescent="0.25">
      <c r="A1997" s="31" t="str">
        <f>IF(Table!A1997 = "","",Table!A1997)</f>
        <v/>
      </c>
      <c r="B1997" s="31" t="str">
        <f>IF(Table!B1997 = "","",Table!B1997)</f>
        <v/>
      </c>
      <c r="C1997" s="31" t="str">
        <f>IF(Table!C1997 = "","",Table!C1997)</f>
        <v/>
      </c>
      <c r="D1997" s="32" t="str">
        <f>IF(Table!D1997 = "","",Table!D1997)</f>
        <v/>
      </c>
      <c r="E1997" s="32" t="str">
        <f>IF(Table!E1997 = "","",Table!E1997)</f>
        <v/>
      </c>
      <c r="F1997" s="32" t="str">
        <f>IF(Table!F1997 = "","",Table!F1997)</f>
        <v/>
      </c>
      <c r="G1997" s="91"/>
      <c r="K1997" s="31" t="str">
        <f>IFERROR(VLOOKUP(A1997,Table!$I$4:$O$3000,1,TRUE),"")</f>
        <v/>
      </c>
      <c r="L1997" s="31" t="str">
        <f>IFERROR(INDEX(Table!I:O,MATCH(K1997,Table!I:I,0),2),"")</f>
        <v/>
      </c>
      <c r="M1997" s="31" t="str">
        <f>IFERROR(INDEX(Table!I:O,MATCH(K1997,Table!I:I,0),3),"")</f>
        <v/>
      </c>
      <c r="N1997" s="32" t="str">
        <f>IFERROR(INDEX(Table!I:O,MATCH(K1997,Table!I:I,0),4),"")</f>
        <v/>
      </c>
      <c r="O1997" s="32" t="str">
        <f>IFERROR(INDEX(Table!I:O,MATCH(K1997,Table!I:I,0),5),"")</f>
        <v/>
      </c>
      <c r="P1997" s="32" t="str">
        <f>IFERROR(INDEX(Table!I:O,MATCH(K1997,Table!I:I,0),6),"")</f>
        <v/>
      </c>
      <c r="Q1997" s="89" t="str">
        <f t="shared" si="93"/>
        <v/>
      </c>
      <c r="R1997" s="89" t="str">
        <f t="shared" si="94"/>
        <v/>
      </c>
      <c r="S1997" s="82"/>
      <c r="U1997" s="37" t="e">
        <f t="shared" si="95"/>
        <v>#VALUE!</v>
      </c>
    </row>
    <row r="1998" spans="1:21" x14ac:dyDescent="0.25">
      <c r="A1998" s="31" t="str">
        <f>IF(Table!A1998 = "","",Table!A1998)</f>
        <v/>
      </c>
      <c r="B1998" s="31" t="str">
        <f>IF(Table!B1998 = "","",Table!B1998)</f>
        <v/>
      </c>
      <c r="C1998" s="31" t="str">
        <f>IF(Table!C1998 = "","",Table!C1998)</f>
        <v/>
      </c>
      <c r="D1998" s="32" t="str">
        <f>IF(Table!D1998 = "","",Table!D1998)</f>
        <v/>
      </c>
      <c r="E1998" s="32" t="str">
        <f>IF(Table!E1998 = "","",Table!E1998)</f>
        <v/>
      </c>
      <c r="F1998" s="32" t="str">
        <f>IF(Table!F1998 = "","",Table!F1998)</f>
        <v/>
      </c>
      <c r="G1998" s="91"/>
      <c r="K1998" s="31" t="str">
        <f>IFERROR(VLOOKUP(A1998,Table!$I$4:$O$3000,1,TRUE),"")</f>
        <v/>
      </c>
      <c r="L1998" s="31" t="str">
        <f>IFERROR(INDEX(Table!I:O,MATCH(K1998,Table!I:I,0),2),"")</f>
        <v/>
      </c>
      <c r="M1998" s="31" t="str">
        <f>IFERROR(INDEX(Table!I:O,MATCH(K1998,Table!I:I,0),3),"")</f>
        <v/>
      </c>
      <c r="N1998" s="32" t="str">
        <f>IFERROR(INDEX(Table!I:O,MATCH(K1998,Table!I:I,0),4),"")</f>
        <v/>
      </c>
      <c r="O1998" s="32" t="str">
        <f>IFERROR(INDEX(Table!I:O,MATCH(K1998,Table!I:I,0),5),"")</f>
        <v/>
      </c>
      <c r="P1998" s="32" t="str">
        <f>IFERROR(INDEX(Table!I:O,MATCH(K1998,Table!I:I,0),6),"")</f>
        <v/>
      </c>
      <c r="Q1998" s="89" t="str">
        <f t="shared" si="93"/>
        <v/>
      </c>
      <c r="R1998" s="89" t="str">
        <f t="shared" si="94"/>
        <v/>
      </c>
      <c r="S1998" s="82"/>
      <c r="U1998" s="37" t="e">
        <f t="shared" si="95"/>
        <v>#VALUE!</v>
      </c>
    </row>
    <row r="1999" spans="1:21" x14ac:dyDescent="0.25">
      <c r="A1999" s="31" t="str">
        <f>IF(Table!A1999 = "","",Table!A1999)</f>
        <v/>
      </c>
      <c r="B1999" s="31" t="str">
        <f>IF(Table!B1999 = "","",Table!B1999)</f>
        <v/>
      </c>
      <c r="C1999" s="31" t="str">
        <f>IF(Table!C1999 = "","",Table!C1999)</f>
        <v/>
      </c>
      <c r="D1999" s="32" t="str">
        <f>IF(Table!D1999 = "","",Table!D1999)</f>
        <v/>
      </c>
      <c r="E1999" s="32" t="str">
        <f>IF(Table!E1999 = "","",Table!E1999)</f>
        <v/>
      </c>
      <c r="F1999" s="32" t="str">
        <f>IF(Table!F1999 = "","",Table!F1999)</f>
        <v/>
      </c>
      <c r="G1999" s="91"/>
      <c r="K1999" s="31" t="str">
        <f>IFERROR(VLOOKUP(A1999,Table!$I$4:$O$3000,1,TRUE),"")</f>
        <v/>
      </c>
      <c r="L1999" s="31" t="str">
        <f>IFERROR(INDEX(Table!I:O,MATCH(K1999,Table!I:I,0),2),"")</f>
        <v/>
      </c>
      <c r="M1999" s="31" t="str">
        <f>IFERROR(INDEX(Table!I:O,MATCH(K1999,Table!I:I,0),3),"")</f>
        <v/>
      </c>
      <c r="N1999" s="32" t="str">
        <f>IFERROR(INDEX(Table!I:O,MATCH(K1999,Table!I:I,0),4),"")</f>
        <v/>
      </c>
      <c r="O1999" s="32" t="str">
        <f>IFERROR(INDEX(Table!I:O,MATCH(K1999,Table!I:I,0),5),"")</f>
        <v/>
      </c>
      <c r="P1999" s="32" t="str">
        <f>IFERROR(INDEX(Table!I:O,MATCH(K1999,Table!I:I,0),6),"")</f>
        <v/>
      </c>
      <c r="Q1999" s="89" t="str">
        <f t="shared" si="93"/>
        <v/>
      </c>
      <c r="R1999" s="89" t="str">
        <f t="shared" si="94"/>
        <v/>
      </c>
      <c r="S1999" s="82"/>
      <c r="U1999" s="37" t="e">
        <f t="shared" si="95"/>
        <v>#VALUE!</v>
      </c>
    </row>
    <row r="2000" spans="1:21" x14ac:dyDescent="0.25">
      <c r="A2000" s="31" t="str">
        <f>IF(Table!A2000 = "","",Table!A2000)</f>
        <v/>
      </c>
      <c r="B2000" s="31" t="str">
        <f>IF(Table!B2000 = "","",Table!B2000)</f>
        <v/>
      </c>
      <c r="C2000" s="31" t="str">
        <f>IF(Table!C2000 = "","",Table!C2000)</f>
        <v/>
      </c>
      <c r="D2000" s="32" t="str">
        <f>IF(Table!D2000 = "","",Table!D2000)</f>
        <v/>
      </c>
      <c r="E2000" s="32" t="str">
        <f>IF(Table!E2000 = "","",Table!E2000)</f>
        <v/>
      </c>
      <c r="F2000" s="32" t="str">
        <f>IF(Table!F2000 = "","",Table!F2000)</f>
        <v/>
      </c>
      <c r="G2000" s="91"/>
      <c r="K2000" s="31" t="str">
        <f>IFERROR(VLOOKUP(A2000,Table!$I$4:$O$3000,1,TRUE),"")</f>
        <v/>
      </c>
      <c r="L2000" s="31" t="str">
        <f>IFERROR(INDEX(Table!I:O,MATCH(K2000,Table!I:I,0),2),"")</f>
        <v/>
      </c>
      <c r="M2000" s="31" t="str">
        <f>IFERROR(INDEX(Table!I:O,MATCH(K2000,Table!I:I,0),3),"")</f>
        <v/>
      </c>
      <c r="N2000" s="32" t="str">
        <f>IFERROR(INDEX(Table!I:O,MATCH(K2000,Table!I:I,0),4),"")</f>
        <v/>
      </c>
      <c r="O2000" s="32" t="str">
        <f>IFERROR(INDEX(Table!I:O,MATCH(K2000,Table!I:I,0),5),"")</f>
        <v/>
      </c>
      <c r="P2000" s="32" t="str">
        <f>IFERROR(INDEX(Table!I:O,MATCH(K2000,Table!I:I,0),6),"")</f>
        <v/>
      </c>
      <c r="Q2000" s="89" t="str">
        <f t="shared" si="93"/>
        <v/>
      </c>
      <c r="R2000" s="89" t="str">
        <f t="shared" si="94"/>
        <v/>
      </c>
      <c r="S2000" s="82"/>
      <c r="U2000" s="37" t="e">
        <f t="shared" si="95"/>
        <v>#VALUE!</v>
      </c>
    </row>
    <row r="2001" spans="1:21" x14ac:dyDescent="0.25">
      <c r="A2001" s="31" t="str">
        <f>IF(Table!A2001 = "","",Table!A2001)</f>
        <v/>
      </c>
      <c r="B2001" s="31" t="str">
        <f>IF(Table!B2001 = "","",Table!B2001)</f>
        <v/>
      </c>
      <c r="C2001" s="31" t="str">
        <f>IF(Table!C2001 = "","",Table!C2001)</f>
        <v/>
      </c>
      <c r="D2001" s="32" t="str">
        <f>IF(Table!D2001 = "","",Table!D2001)</f>
        <v/>
      </c>
      <c r="E2001" s="32" t="str">
        <f>IF(Table!E2001 = "","",Table!E2001)</f>
        <v/>
      </c>
      <c r="F2001" s="32" t="str">
        <f>IF(Table!F2001 = "","",Table!F2001)</f>
        <v/>
      </c>
      <c r="G2001" s="91"/>
      <c r="K2001" s="31" t="str">
        <f>IFERROR(VLOOKUP(A2001,Table!$I$4:$O$3000,1,TRUE),"")</f>
        <v/>
      </c>
      <c r="L2001" s="31" t="str">
        <f>IFERROR(INDEX(Table!I:O,MATCH(K2001,Table!I:I,0),2),"")</f>
        <v/>
      </c>
      <c r="M2001" s="31" t="str">
        <f>IFERROR(INDEX(Table!I:O,MATCH(K2001,Table!I:I,0),3),"")</f>
        <v/>
      </c>
      <c r="N2001" s="32" t="str">
        <f>IFERROR(INDEX(Table!I:O,MATCH(K2001,Table!I:I,0),4),"")</f>
        <v/>
      </c>
      <c r="O2001" s="32" t="str">
        <f>IFERROR(INDEX(Table!I:O,MATCH(K2001,Table!I:I,0),5),"")</f>
        <v/>
      </c>
      <c r="P2001" s="32" t="str">
        <f>IFERROR(INDEX(Table!I:O,MATCH(K2001,Table!I:I,0),6),"")</f>
        <v/>
      </c>
      <c r="Q2001" s="89" t="str">
        <f t="shared" si="93"/>
        <v/>
      </c>
      <c r="R2001" s="89" t="str">
        <f t="shared" si="94"/>
        <v/>
      </c>
      <c r="S2001" s="82"/>
      <c r="U2001" s="37" t="e">
        <f t="shared" si="95"/>
        <v>#VALUE!</v>
      </c>
    </row>
    <row r="2002" spans="1:21" x14ac:dyDescent="0.25">
      <c r="A2002" s="31" t="str">
        <f>IF(Table!A2002 = "","",Table!A2002)</f>
        <v/>
      </c>
      <c r="B2002" s="31" t="str">
        <f>IF(Table!B2002 = "","",Table!B2002)</f>
        <v/>
      </c>
      <c r="C2002" s="31" t="str">
        <f>IF(Table!C2002 = "","",Table!C2002)</f>
        <v/>
      </c>
      <c r="D2002" s="32" t="str">
        <f>IF(Table!D2002 = "","",Table!D2002)</f>
        <v/>
      </c>
      <c r="E2002" s="32" t="str">
        <f>IF(Table!E2002 = "","",Table!E2002)</f>
        <v/>
      </c>
      <c r="F2002" s="32" t="str">
        <f>IF(Table!F2002 = "","",Table!F2002)</f>
        <v/>
      </c>
      <c r="G2002" s="91"/>
      <c r="K2002" s="31" t="str">
        <f>IFERROR(VLOOKUP(A2002,Table!$I$4:$O$3000,1,TRUE),"")</f>
        <v/>
      </c>
      <c r="L2002" s="31" t="str">
        <f>IFERROR(INDEX(Table!I:O,MATCH(K2002,Table!I:I,0),2),"")</f>
        <v/>
      </c>
      <c r="M2002" s="31" t="str">
        <f>IFERROR(INDEX(Table!I:O,MATCH(K2002,Table!I:I,0),3),"")</f>
        <v/>
      </c>
      <c r="N2002" s="32" t="str">
        <f>IFERROR(INDEX(Table!I:O,MATCH(K2002,Table!I:I,0),4),"")</f>
        <v/>
      </c>
      <c r="O2002" s="32" t="str">
        <f>IFERROR(INDEX(Table!I:O,MATCH(K2002,Table!I:I,0),5),"")</f>
        <v/>
      </c>
      <c r="P2002" s="32" t="str">
        <f>IFERROR(INDEX(Table!I:O,MATCH(K2002,Table!I:I,0),6),"")</f>
        <v/>
      </c>
      <c r="Q2002" s="89" t="str">
        <f t="shared" si="93"/>
        <v/>
      </c>
      <c r="R2002" s="89" t="str">
        <f t="shared" si="94"/>
        <v/>
      </c>
      <c r="S2002" s="82"/>
      <c r="U2002" s="37" t="e">
        <f t="shared" si="95"/>
        <v>#VALUE!</v>
      </c>
    </row>
    <row r="2003" spans="1:21" x14ac:dyDescent="0.25">
      <c r="A2003" s="31" t="str">
        <f>IF(Table!A2003 = "","",Table!A2003)</f>
        <v/>
      </c>
      <c r="B2003" s="31" t="str">
        <f>IF(Table!B2003 = "","",Table!B2003)</f>
        <v/>
      </c>
      <c r="C2003" s="31" t="str">
        <f>IF(Table!C2003 = "","",Table!C2003)</f>
        <v/>
      </c>
      <c r="D2003" s="32" t="str">
        <f>IF(Table!D2003 = "","",Table!D2003)</f>
        <v/>
      </c>
      <c r="E2003" s="32" t="str">
        <f>IF(Table!E2003 = "","",Table!E2003)</f>
        <v/>
      </c>
      <c r="F2003" s="32" t="str">
        <f>IF(Table!F2003 = "","",Table!F2003)</f>
        <v/>
      </c>
      <c r="G2003" s="91"/>
      <c r="K2003" s="31" t="str">
        <f>IFERROR(VLOOKUP(A2003,Table!$I$4:$O$3000,1,TRUE),"")</f>
        <v/>
      </c>
      <c r="L2003" s="31" t="str">
        <f>IFERROR(INDEX(Table!I:O,MATCH(K2003,Table!I:I,0),2),"")</f>
        <v/>
      </c>
      <c r="M2003" s="31" t="str">
        <f>IFERROR(INDEX(Table!I:O,MATCH(K2003,Table!I:I,0),3),"")</f>
        <v/>
      </c>
      <c r="N2003" s="32" t="str">
        <f>IFERROR(INDEX(Table!I:O,MATCH(K2003,Table!I:I,0),4),"")</f>
        <v/>
      </c>
      <c r="O2003" s="32" t="str">
        <f>IFERROR(INDEX(Table!I:O,MATCH(K2003,Table!I:I,0),5),"")</f>
        <v/>
      </c>
      <c r="P2003" s="32" t="str">
        <f>IFERROR(INDEX(Table!I:O,MATCH(K2003,Table!I:I,0),6),"")</f>
        <v/>
      </c>
      <c r="Q2003" s="89" t="str">
        <f t="shared" si="93"/>
        <v/>
      </c>
      <c r="R2003" s="89" t="str">
        <f t="shared" si="94"/>
        <v/>
      </c>
      <c r="S2003" s="82"/>
      <c r="U2003" s="37" t="e">
        <f t="shared" si="95"/>
        <v>#VALUE!</v>
      </c>
    </row>
    <row r="2004" spans="1:21" x14ac:dyDescent="0.25">
      <c r="A2004" s="31" t="str">
        <f>IF(Table!A2004 = "","",Table!A2004)</f>
        <v/>
      </c>
      <c r="B2004" s="31" t="str">
        <f>IF(Table!B2004 = "","",Table!B2004)</f>
        <v/>
      </c>
      <c r="C2004" s="31" t="str">
        <f>IF(Table!C2004 = "","",Table!C2004)</f>
        <v/>
      </c>
      <c r="D2004" s="32" t="str">
        <f>IF(Table!D2004 = "","",Table!D2004)</f>
        <v/>
      </c>
      <c r="E2004" s="32" t="str">
        <f>IF(Table!E2004 = "","",Table!E2004)</f>
        <v/>
      </c>
      <c r="F2004" s="32" t="str">
        <f>IF(Table!F2004 = "","",Table!F2004)</f>
        <v/>
      </c>
      <c r="G2004" s="91"/>
      <c r="K2004" s="31" t="str">
        <f>IFERROR(VLOOKUP(A2004,Table!$I$4:$O$3000,1,TRUE),"")</f>
        <v/>
      </c>
      <c r="L2004" s="31" t="str">
        <f>IFERROR(INDEX(Table!I:O,MATCH(K2004,Table!I:I,0),2),"")</f>
        <v/>
      </c>
      <c r="M2004" s="31" t="str">
        <f>IFERROR(INDEX(Table!I:O,MATCH(K2004,Table!I:I,0),3),"")</f>
        <v/>
      </c>
      <c r="N2004" s="32" t="str">
        <f>IFERROR(INDEX(Table!I:O,MATCH(K2004,Table!I:I,0),4),"")</f>
        <v/>
      </c>
      <c r="O2004" s="32" t="str">
        <f>IFERROR(INDEX(Table!I:O,MATCH(K2004,Table!I:I,0),5),"")</f>
        <v/>
      </c>
      <c r="P2004" s="32" t="str">
        <f>IFERROR(INDEX(Table!I:O,MATCH(K2004,Table!I:I,0),6),"")</f>
        <v/>
      </c>
      <c r="Q2004" s="89" t="str">
        <f t="shared" si="93"/>
        <v/>
      </c>
      <c r="R2004" s="89" t="str">
        <f t="shared" si="94"/>
        <v/>
      </c>
      <c r="S2004" s="82"/>
      <c r="U2004" s="37" t="e">
        <f t="shared" si="95"/>
        <v>#VALUE!</v>
      </c>
    </row>
    <row r="2005" spans="1:21" x14ac:dyDescent="0.25">
      <c r="A2005" s="31" t="str">
        <f>IF(Table!A2005 = "","",Table!A2005)</f>
        <v/>
      </c>
      <c r="B2005" s="31" t="str">
        <f>IF(Table!B2005 = "","",Table!B2005)</f>
        <v/>
      </c>
      <c r="C2005" s="31" t="str">
        <f>IF(Table!C2005 = "","",Table!C2005)</f>
        <v/>
      </c>
      <c r="D2005" s="32" t="str">
        <f>IF(Table!D2005 = "","",Table!D2005)</f>
        <v/>
      </c>
      <c r="E2005" s="32" t="str">
        <f>IF(Table!E2005 = "","",Table!E2005)</f>
        <v/>
      </c>
      <c r="F2005" s="32" t="str">
        <f>IF(Table!F2005 = "","",Table!F2005)</f>
        <v/>
      </c>
      <c r="G2005" s="91"/>
      <c r="K2005" s="31" t="str">
        <f>IFERROR(VLOOKUP(A2005,Table!$I$4:$O$3000,1,TRUE),"")</f>
        <v/>
      </c>
      <c r="L2005" s="31" t="str">
        <f>IFERROR(INDEX(Table!I:O,MATCH(K2005,Table!I:I,0),2),"")</f>
        <v/>
      </c>
      <c r="M2005" s="31" t="str">
        <f>IFERROR(INDEX(Table!I:O,MATCH(K2005,Table!I:I,0),3),"")</f>
        <v/>
      </c>
      <c r="N2005" s="32" t="str">
        <f>IFERROR(INDEX(Table!I:O,MATCH(K2005,Table!I:I,0),4),"")</f>
        <v/>
      </c>
      <c r="O2005" s="32" t="str">
        <f>IFERROR(INDEX(Table!I:O,MATCH(K2005,Table!I:I,0),5),"")</f>
        <v/>
      </c>
      <c r="P2005" s="32" t="str">
        <f>IFERROR(INDEX(Table!I:O,MATCH(K2005,Table!I:I,0),6),"")</f>
        <v/>
      </c>
      <c r="Q2005" s="89" t="str">
        <f t="shared" si="93"/>
        <v/>
      </c>
      <c r="R2005" s="89" t="str">
        <f t="shared" si="94"/>
        <v/>
      </c>
      <c r="S2005" s="82"/>
      <c r="U2005" s="37" t="e">
        <f t="shared" si="95"/>
        <v>#VALUE!</v>
      </c>
    </row>
    <row r="2006" spans="1:21" x14ac:dyDescent="0.25">
      <c r="A2006" s="31" t="str">
        <f>IF(Table!A2006 = "","",Table!A2006)</f>
        <v/>
      </c>
      <c r="B2006" s="31" t="str">
        <f>IF(Table!B2006 = "","",Table!B2006)</f>
        <v/>
      </c>
      <c r="C2006" s="31" t="str">
        <f>IF(Table!C2006 = "","",Table!C2006)</f>
        <v/>
      </c>
      <c r="D2006" s="32" t="str">
        <f>IF(Table!D2006 = "","",Table!D2006)</f>
        <v/>
      </c>
      <c r="E2006" s="32" t="str">
        <f>IF(Table!E2006 = "","",Table!E2006)</f>
        <v/>
      </c>
      <c r="F2006" s="32" t="str">
        <f>IF(Table!F2006 = "","",Table!F2006)</f>
        <v/>
      </c>
      <c r="G2006" s="91"/>
      <c r="K2006" s="31" t="str">
        <f>IFERROR(VLOOKUP(A2006,Table!$I$4:$O$3000,1,TRUE),"")</f>
        <v/>
      </c>
      <c r="L2006" s="31" t="str">
        <f>IFERROR(INDEX(Table!I:O,MATCH(K2006,Table!I:I,0),2),"")</f>
        <v/>
      </c>
      <c r="M2006" s="31" t="str">
        <f>IFERROR(INDEX(Table!I:O,MATCH(K2006,Table!I:I,0),3),"")</f>
        <v/>
      </c>
      <c r="N2006" s="32" t="str">
        <f>IFERROR(INDEX(Table!I:O,MATCH(K2006,Table!I:I,0),4),"")</f>
        <v/>
      </c>
      <c r="O2006" s="32" t="str">
        <f>IFERROR(INDEX(Table!I:O,MATCH(K2006,Table!I:I,0),5),"")</f>
        <v/>
      </c>
      <c r="P2006" s="32" t="str">
        <f>IFERROR(INDEX(Table!I:O,MATCH(K2006,Table!I:I,0),6),"")</f>
        <v/>
      </c>
      <c r="Q2006" s="89" t="str">
        <f t="shared" si="93"/>
        <v/>
      </c>
      <c r="R2006" s="89" t="str">
        <f t="shared" si="94"/>
        <v/>
      </c>
      <c r="S2006" s="82"/>
      <c r="U2006" s="37" t="e">
        <f t="shared" si="95"/>
        <v>#VALUE!</v>
      </c>
    </row>
    <row r="2007" spans="1:21" x14ac:dyDescent="0.25">
      <c r="A2007" s="31" t="str">
        <f>IF(Table!A2007 = "","",Table!A2007)</f>
        <v/>
      </c>
      <c r="B2007" s="31" t="str">
        <f>IF(Table!B2007 = "","",Table!B2007)</f>
        <v/>
      </c>
      <c r="C2007" s="31" t="str">
        <f>IF(Table!C2007 = "","",Table!C2007)</f>
        <v/>
      </c>
      <c r="D2007" s="32" t="str">
        <f>IF(Table!D2007 = "","",Table!D2007)</f>
        <v/>
      </c>
      <c r="E2007" s="32" t="str">
        <f>IF(Table!E2007 = "","",Table!E2007)</f>
        <v/>
      </c>
      <c r="F2007" s="32" t="str">
        <f>IF(Table!F2007 = "","",Table!F2007)</f>
        <v/>
      </c>
      <c r="G2007" s="91"/>
      <c r="K2007" s="31" t="str">
        <f>IFERROR(VLOOKUP(A2007,Table!$I$4:$O$3000,1,TRUE),"")</f>
        <v/>
      </c>
      <c r="L2007" s="31" t="str">
        <f>IFERROR(INDEX(Table!I:O,MATCH(K2007,Table!I:I,0),2),"")</f>
        <v/>
      </c>
      <c r="M2007" s="31" t="str">
        <f>IFERROR(INDEX(Table!I:O,MATCH(K2007,Table!I:I,0),3),"")</f>
        <v/>
      </c>
      <c r="N2007" s="32" t="str">
        <f>IFERROR(INDEX(Table!I:O,MATCH(K2007,Table!I:I,0),4),"")</f>
        <v/>
      </c>
      <c r="O2007" s="32" t="str">
        <f>IFERROR(INDEX(Table!I:O,MATCH(K2007,Table!I:I,0),5),"")</f>
        <v/>
      </c>
      <c r="P2007" s="32" t="str">
        <f>IFERROR(INDEX(Table!I:O,MATCH(K2007,Table!I:I,0),6),"")</f>
        <v/>
      </c>
      <c r="Q2007" s="89" t="str">
        <f t="shared" si="93"/>
        <v/>
      </c>
      <c r="R2007" s="89" t="str">
        <f t="shared" si="94"/>
        <v/>
      </c>
      <c r="S2007" s="82"/>
      <c r="U2007" s="37" t="e">
        <f t="shared" si="95"/>
        <v>#VALUE!</v>
      </c>
    </row>
    <row r="2008" spans="1:21" x14ac:dyDescent="0.25">
      <c r="A2008" s="31" t="str">
        <f>IF(Table!A2008 = "","",Table!A2008)</f>
        <v/>
      </c>
      <c r="B2008" s="31" t="str">
        <f>IF(Table!B2008 = "","",Table!B2008)</f>
        <v/>
      </c>
      <c r="C2008" s="31" t="str">
        <f>IF(Table!C2008 = "","",Table!C2008)</f>
        <v/>
      </c>
      <c r="D2008" s="32" t="str">
        <f>IF(Table!D2008 = "","",Table!D2008)</f>
        <v/>
      </c>
      <c r="E2008" s="32" t="str">
        <f>IF(Table!E2008 = "","",Table!E2008)</f>
        <v/>
      </c>
      <c r="F2008" s="32" t="str">
        <f>IF(Table!F2008 = "","",Table!F2008)</f>
        <v/>
      </c>
      <c r="G2008" s="91"/>
      <c r="K2008" s="31" t="str">
        <f>IFERROR(VLOOKUP(A2008,Table!$I$4:$O$3000,1,TRUE),"")</f>
        <v/>
      </c>
      <c r="L2008" s="31" t="str">
        <f>IFERROR(INDEX(Table!I:O,MATCH(K2008,Table!I:I,0),2),"")</f>
        <v/>
      </c>
      <c r="M2008" s="31" t="str">
        <f>IFERROR(INDEX(Table!I:O,MATCH(K2008,Table!I:I,0),3),"")</f>
        <v/>
      </c>
      <c r="N2008" s="32" t="str">
        <f>IFERROR(INDEX(Table!I:O,MATCH(K2008,Table!I:I,0),4),"")</f>
        <v/>
      </c>
      <c r="O2008" s="32" t="str">
        <f>IFERROR(INDEX(Table!I:O,MATCH(K2008,Table!I:I,0),5),"")</f>
        <v/>
      </c>
      <c r="P2008" s="32" t="str">
        <f>IFERROR(INDEX(Table!I:O,MATCH(K2008,Table!I:I,0),6),"")</f>
        <v/>
      </c>
      <c r="Q2008" s="89" t="str">
        <f t="shared" si="93"/>
        <v/>
      </c>
      <c r="R2008" s="89" t="str">
        <f t="shared" si="94"/>
        <v/>
      </c>
      <c r="S2008" s="82"/>
      <c r="U2008" s="37" t="e">
        <f t="shared" si="95"/>
        <v>#VALUE!</v>
      </c>
    </row>
    <row r="2009" spans="1:21" x14ac:dyDescent="0.25">
      <c r="A2009" s="31" t="str">
        <f>IF(Table!A2009 = "","",Table!A2009)</f>
        <v/>
      </c>
      <c r="B2009" s="31" t="str">
        <f>IF(Table!B2009 = "","",Table!B2009)</f>
        <v/>
      </c>
      <c r="C2009" s="31" t="str">
        <f>IF(Table!C2009 = "","",Table!C2009)</f>
        <v/>
      </c>
      <c r="D2009" s="32" t="str">
        <f>IF(Table!D2009 = "","",Table!D2009)</f>
        <v/>
      </c>
      <c r="E2009" s="32" t="str">
        <f>IF(Table!E2009 = "","",Table!E2009)</f>
        <v/>
      </c>
      <c r="F2009" s="32" t="str">
        <f>IF(Table!F2009 = "","",Table!F2009)</f>
        <v/>
      </c>
      <c r="G2009" s="91"/>
      <c r="K2009" s="31" t="str">
        <f>IFERROR(VLOOKUP(A2009,Table!$I$4:$O$3000,1,TRUE),"")</f>
        <v/>
      </c>
      <c r="L2009" s="31" t="str">
        <f>IFERROR(INDEX(Table!I:O,MATCH(K2009,Table!I:I,0),2),"")</f>
        <v/>
      </c>
      <c r="M2009" s="31" t="str">
        <f>IFERROR(INDEX(Table!I:O,MATCH(K2009,Table!I:I,0),3),"")</f>
        <v/>
      </c>
      <c r="N2009" s="32" t="str">
        <f>IFERROR(INDEX(Table!I:O,MATCH(K2009,Table!I:I,0),4),"")</f>
        <v/>
      </c>
      <c r="O2009" s="32" t="str">
        <f>IFERROR(INDEX(Table!I:O,MATCH(K2009,Table!I:I,0),5),"")</f>
        <v/>
      </c>
      <c r="P2009" s="32" t="str">
        <f>IFERROR(INDEX(Table!I:O,MATCH(K2009,Table!I:I,0),6),"")</f>
        <v/>
      </c>
      <c r="Q2009" s="89" t="str">
        <f t="shared" si="93"/>
        <v/>
      </c>
      <c r="R2009" s="89" t="str">
        <f t="shared" si="94"/>
        <v/>
      </c>
      <c r="S2009" s="82"/>
      <c r="U2009" s="37" t="e">
        <f t="shared" si="95"/>
        <v>#VALUE!</v>
      </c>
    </row>
    <row r="2010" spans="1:21" x14ac:dyDescent="0.25">
      <c r="A2010" s="31" t="str">
        <f>IF(Table!A2010 = "","",Table!A2010)</f>
        <v/>
      </c>
      <c r="B2010" s="31" t="str">
        <f>IF(Table!B2010 = "","",Table!B2010)</f>
        <v/>
      </c>
      <c r="C2010" s="31" t="str">
        <f>IF(Table!C2010 = "","",Table!C2010)</f>
        <v/>
      </c>
      <c r="D2010" s="32" t="str">
        <f>IF(Table!D2010 = "","",Table!D2010)</f>
        <v/>
      </c>
      <c r="E2010" s="32" t="str">
        <f>IF(Table!E2010 = "","",Table!E2010)</f>
        <v/>
      </c>
      <c r="F2010" s="32" t="str">
        <f>IF(Table!F2010 = "","",Table!F2010)</f>
        <v/>
      </c>
      <c r="G2010" s="91"/>
      <c r="K2010" s="31" t="str">
        <f>IFERROR(VLOOKUP(A2010,Table!$I$4:$O$3000,1,TRUE),"")</f>
        <v/>
      </c>
      <c r="L2010" s="31" t="str">
        <f>IFERROR(INDEX(Table!I:O,MATCH(K2010,Table!I:I,0),2),"")</f>
        <v/>
      </c>
      <c r="M2010" s="31" t="str">
        <f>IFERROR(INDEX(Table!I:O,MATCH(K2010,Table!I:I,0),3),"")</f>
        <v/>
      </c>
      <c r="N2010" s="32" t="str">
        <f>IFERROR(INDEX(Table!I:O,MATCH(K2010,Table!I:I,0),4),"")</f>
        <v/>
      </c>
      <c r="O2010" s="32" t="str">
        <f>IFERROR(INDEX(Table!I:O,MATCH(K2010,Table!I:I,0),5),"")</f>
        <v/>
      </c>
      <c r="P2010" s="32" t="str">
        <f>IFERROR(INDEX(Table!I:O,MATCH(K2010,Table!I:I,0),6),"")</f>
        <v/>
      </c>
      <c r="Q2010" s="89" t="str">
        <f t="shared" si="93"/>
        <v/>
      </c>
      <c r="R2010" s="89" t="str">
        <f t="shared" si="94"/>
        <v/>
      </c>
      <c r="S2010" s="82"/>
      <c r="U2010" s="37" t="e">
        <f t="shared" si="95"/>
        <v>#VALUE!</v>
      </c>
    </row>
    <row r="2011" spans="1:21" x14ac:dyDescent="0.25">
      <c r="A2011" s="31" t="str">
        <f>IF(Table!A2011 = "","",Table!A2011)</f>
        <v/>
      </c>
      <c r="B2011" s="31" t="str">
        <f>IF(Table!B2011 = "","",Table!B2011)</f>
        <v/>
      </c>
      <c r="C2011" s="31" t="str">
        <f>IF(Table!C2011 = "","",Table!C2011)</f>
        <v/>
      </c>
      <c r="D2011" s="32" t="str">
        <f>IF(Table!D2011 = "","",Table!D2011)</f>
        <v/>
      </c>
      <c r="E2011" s="32" t="str">
        <f>IF(Table!E2011 = "","",Table!E2011)</f>
        <v/>
      </c>
      <c r="F2011" s="32" t="str">
        <f>IF(Table!F2011 = "","",Table!F2011)</f>
        <v/>
      </c>
      <c r="G2011" s="91"/>
      <c r="K2011" s="31" t="str">
        <f>IFERROR(VLOOKUP(A2011,Table!$I$4:$O$3000,1,TRUE),"")</f>
        <v/>
      </c>
      <c r="L2011" s="31" t="str">
        <f>IFERROR(INDEX(Table!I:O,MATCH(K2011,Table!I:I,0),2),"")</f>
        <v/>
      </c>
      <c r="M2011" s="31" t="str">
        <f>IFERROR(INDEX(Table!I:O,MATCH(K2011,Table!I:I,0),3),"")</f>
        <v/>
      </c>
      <c r="N2011" s="32" t="str">
        <f>IFERROR(INDEX(Table!I:O,MATCH(K2011,Table!I:I,0),4),"")</f>
        <v/>
      </c>
      <c r="O2011" s="32" t="str">
        <f>IFERROR(INDEX(Table!I:O,MATCH(K2011,Table!I:I,0),5),"")</f>
        <v/>
      </c>
      <c r="P2011" s="32" t="str">
        <f>IFERROR(INDEX(Table!I:O,MATCH(K2011,Table!I:I,0),6),"")</f>
        <v/>
      </c>
      <c r="Q2011" s="89" t="str">
        <f t="shared" si="93"/>
        <v/>
      </c>
      <c r="R2011" s="89" t="str">
        <f t="shared" si="94"/>
        <v/>
      </c>
      <c r="S2011" s="82"/>
      <c r="U2011" s="37" t="e">
        <f t="shared" si="95"/>
        <v>#VALUE!</v>
      </c>
    </row>
    <row r="2012" spans="1:21" x14ac:dyDescent="0.25">
      <c r="A2012" s="31" t="str">
        <f>IF(Table!A2012 = "","",Table!A2012)</f>
        <v/>
      </c>
      <c r="B2012" s="31" t="str">
        <f>IF(Table!B2012 = "","",Table!B2012)</f>
        <v/>
      </c>
      <c r="C2012" s="31" t="str">
        <f>IF(Table!C2012 = "","",Table!C2012)</f>
        <v/>
      </c>
      <c r="D2012" s="32" t="str">
        <f>IF(Table!D2012 = "","",Table!D2012)</f>
        <v/>
      </c>
      <c r="E2012" s="32" t="str">
        <f>IF(Table!E2012 = "","",Table!E2012)</f>
        <v/>
      </c>
      <c r="F2012" s="32" t="str">
        <f>IF(Table!F2012 = "","",Table!F2012)</f>
        <v/>
      </c>
      <c r="G2012" s="91"/>
      <c r="K2012" s="31" t="str">
        <f>IFERROR(VLOOKUP(A2012,Table!$I$4:$O$3000,1,TRUE),"")</f>
        <v/>
      </c>
      <c r="L2012" s="31" t="str">
        <f>IFERROR(INDEX(Table!I:O,MATCH(K2012,Table!I:I,0),2),"")</f>
        <v/>
      </c>
      <c r="M2012" s="31" t="str">
        <f>IFERROR(INDEX(Table!I:O,MATCH(K2012,Table!I:I,0),3),"")</f>
        <v/>
      </c>
      <c r="N2012" s="32" t="str">
        <f>IFERROR(INDEX(Table!I:O,MATCH(K2012,Table!I:I,0),4),"")</f>
        <v/>
      </c>
      <c r="O2012" s="32" t="str">
        <f>IFERROR(INDEX(Table!I:O,MATCH(K2012,Table!I:I,0),5),"")</f>
        <v/>
      </c>
      <c r="P2012" s="32" t="str">
        <f>IFERROR(INDEX(Table!I:O,MATCH(K2012,Table!I:I,0),6),"")</f>
        <v/>
      </c>
      <c r="Q2012" s="89" t="str">
        <f t="shared" si="93"/>
        <v/>
      </c>
      <c r="R2012" s="89" t="str">
        <f t="shared" si="94"/>
        <v/>
      </c>
      <c r="S2012" s="82"/>
      <c r="U2012" s="37" t="e">
        <f t="shared" si="95"/>
        <v>#VALUE!</v>
      </c>
    </row>
    <row r="2013" spans="1:21" x14ac:dyDescent="0.25">
      <c r="A2013" s="31" t="str">
        <f>IF(Table!A2013 = "","",Table!A2013)</f>
        <v/>
      </c>
      <c r="B2013" s="31" t="str">
        <f>IF(Table!B2013 = "","",Table!B2013)</f>
        <v/>
      </c>
      <c r="C2013" s="31" t="str">
        <f>IF(Table!C2013 = "","",Table!C2013)</f>
        <v/>
      </c>
      <c r="D2013" s="32" t="str">
        <f>IF(Table!D2013 = "","",Table!D2013)</f>
        <v/>
      </c>
      <c r="E2013" s="32" t="str">
        <f>IF(Table!E2013 = "","",Table!E2013)</f>
        <v/>
      </c>
      <c r="F2013" s="32" t="str">
        <f>IF(Table!F2013 = "","",Table!F2013)</f>
        <v/>
      </c>
      <c r="G2013" s="91"/>
      <c r="K2013" s="31" t="str">
        <f>IFERROR(VLOOKUP(A2013,Table!$I$4:$O$3000,1,TRUE),"")</f>
        <v/>
      </c>
      <c r="L2013" s="31" t="str">
        <f>IFERROR(INDEX(Table!I:O,MATCH(K2013,Table!I:I,0),2),"")</f>
        <v/>
      </c>
      <c r="M2013" s="31" t="str">
        <f>IFERROR(INDEX(Table!I:O,MATCH(K2013,Table!I:I,0),3),"")</f>
        <v/>
      </c>
      <c r="N2013" s="32" t="str">
        <f>IFERROR(INDEX(Table!I:O,MATCH(K2013,Table!I:I,0),4),"")</f>
        <v/>
      </c>
      <c r="O2013" s="32" t="str">
        <f>IFERROR(INDEX(Table!I:O,MATCH(K2013,Table!I:I,0),5),"")</f>
        <v/>
      </c>
      <c r="P2013" s="32" t="str">
        <f>IFERROR(INDEX(Table!I:O,MATCH(K2013,Table!I:I,0),6),"")</f>
        <v/>
      </c>
      <c r="Q2013" s="89" t="str">
        <f t="shared" si="93"/>
        <v/>
      </c>
      <c r="R2013" s="89" t="str">
        <f t="shared" si="94"/>
        <v/>
      </c>
      <c r="S2013" s="82"/>
      <c r="U2013" s="37" t="e">
        <f t="shared" si="95"/>
        <v>#VALUE!</v>
      </c>
    </row>
    <row r="2014" spans="1:21" x14ac:dyDescent="0.25">
      <c r="A2014" s="31" t="str">
        <f>IF(Table!A2014 = "","",Table!A2014)</f>
        <v/>
      </c>
      <c r="B2014" s="31" t="str">
        <f>IF(Table!B2014 = "","",Table!B2014)</f>
        <v/>
      </c>
      <c r="C2014" s="31" t="str">
        <f>IF(Table!C2014 = "","",Table!C2014)</f>
        <v/>
      </c>
      <c r="D2014" s="32" t="str">
        <f>IF(Table!D2014 = "","",Table!D2014)</f>
        <v/>
      </c>
      <c r="E2014" s="32" t="str">
        <f>IF(Table!E2014 = "","",Table!E2014)</f>
        <v/>
      </c>
      <c r="F2014" s="32" t="str">
        <f>IF(Table!F2014 = "","",Table!F2014)</f>
        <v/>
      </c>
      <c r="G2014" s="91"/>
      <c r="K2014" s="31" t="str">
        <f>IFERROR(VLOOKUP(A2014,Table!$I$4:$O$3000,1,TRUE),"")</f>
        <v/>
      </c>
      <c r="L2014" s="31" t="str">
        <f>IFERROR(INDEX(Table!I:O,MATCH(K2014,Table!I:I,0),2),"")</f>
        <v/>
      </c>
      <c r="M2014" s="31" t="str">
        <f>IFERROR(INDEX(Table!I:O,MATCH(K2014,Table!I:I,0),3),"")</f>
        <v/>
      </c>
      <c r="N2014" s="32" t="str">
        <f>IFERROR(INDEX(Table!I:O,MATCH(K2014,Table!I:I,0),4),"")</f>
        <v/>
      </c>
      <c r="O2014" s="32" t="str">
        <f>IFERROR(INDEX(Table!I:O,MATCH(K2014,Table!I:I,0),5),"")</f>
        <v/>
      </c>
      <c r="P2014" s="32" t="str">
        <f>IFERROR(INDEX(Table!I:O,MATCH(K2014,Table!I:I,0),6),"")</f>
        <v/>
      </c>
      <c r="Q2014" s="89" t="str">
        <f t="shared" si="93"/>
        <v/>
      </c>
      <c r="R2014" s="89" t="str">
        <f t="shared" si="94"/>
        <v/>
      </c>
      <c r="S2014" s="82"/>
      <c r="U2014" s="37" t="e">
        <f t="shared" si="95"/>
        <v>#VALUE!</v>
      </c>
    </row>
    <row r="2015" spans="1:21" x14ac:dyDescent="0.25">
      <c r="A2015" s="31" t="str">
        <f>IF(Table!A2015 = "","",Table!A2015)</f>
        <v/>
      </c>
      <c r="B2015" s="31" t="str">
        <f>IF(Table!B2015 = "","",Table!B2015)</f>
        <v/>
      </c>
      <c r="C2015" s="31" t="str">
        <f>IF(Table!C2015 = "","",Table!C2015)</f>
        <v/>
      </c>
      <c r="D2015" s="32" t="str">
        <f>IF(Table!D2015 = "","",Table!D2015)</f>
        <v/>
      </c>
      <c r="E2015" s="32" t="str">
        <f>IF(Table!E2015 = "","",Table!E2015)</f>
        <v/>
      </c>
      <c r="F2015" s="32" t="str">
        <f>IF(Table!F2015 = "","",Table!F2015)</f>
        <v/>
      </c>
      <c r="G2015" s="91"/>
      <c r="K2015" s="31" t="str">
        <f>IFERROR(VLOOKUP(A2015,Table!$I$4:$O$3000,1,TRUE),"")</f>
        <v/>
      </c>
      <c r="L2015" s="31" t="str">
        <f>IFERROR(INDEX(Table!I:O,MATCH(K2015,Table!I:I,0),2),"")</f>
        <v/>
      </c>
      <c r="M2015" s="31" t="str">
        <f>IFERROR(INDEX(Table!I:O,MATCH(K2015,Table!I:I,0),3),"")</f>
        <v/>
      </c>
      <c r="N2015" s="32" t="str">
        <f>IFERROR(INDEX(Table!I:O,MATCH(K2015,Table!I:I,0),4),"")</f>
        <v/>
      </c>
      <c r="O2015" s="32" t="str">
        <f>IFERROR(INDEX(Table!I:O,MATCH(K2015,Table!I:I,0),5),"")</f>
        <v/>
      </c>
      <c r="P2015" s="32" t="str">
        <f>IFERROR(INDEX(Table!I:O,MATCH(K2015,Table!I:I,0),6),"")</f>
        <v/>
      </c>
      <c r="Q2015" s="89" t="str">
        <f t="shared" si="93"/>
        <v/>
      </c>
      <c r="R2015" s="89" t="str">
        <f t="shared" si="94"/>
        <v/>
      </c>
      <c r="S2015" s="82"/>
      <c r="U2015" s="37" t="e">
        <f t="shared" si="95"/>
        <v>#VALUE!</v>
      </c>
    </row>
    <row r="2016" spans="1:21" x14ac:dyDescent="0.25">
      <c r="A2016" s="31" t="str">
        <f>IF(Table!A2016 = "","",Table!A2016)</f>
        <v/>
      </c>
      <c r="B2016" s="31" t="str">
        <f>IF(Table!B2016 = "","",Table!B2016)</f>
        <v/>
      </c>
      <c r="C2016" s="31" t="str">
        <f>IF(Table!C2016 = "","",Table!C2016)</f>
        <v/>
      </c>
      <c r="D2016" s="32" t="str">
        <f>IF(Table!D2016 = "","",Table!D2016)</f>
        <v/>
      </c>
      <c r="E2016" s="32" t="str">
        <f>IF(Table!E2016 = "","",Table!E2016)</f>
        <v/>
      </c>
      <c r="F2016" s="32" t="str">
        <f>IF(Table!F2016 = "","",Table!F2016)</f>
        <v/>
      </c>
      <c r="G2016" s="91"/>
      <c r="K2016" s="31" t="str">
        <f>IFERROR(VLOOKUP(A2016,Table!$I$4:$O$3000,1,TRUE),"")</f>
        <v/>
      </c>
      <c r="L2016" s="31" t="str">
        <f>IFERROR(INDEX(Table!I:O,MATCH(K2016,Table!I:I,0),2),"")</f>
        <v/>
      </c>
      <c r="M2016" s="31" t="str">
        <f>IFERROR(INDEX(Table!I:O,MATCH(K2016,Table!I:I,0),3),"")</f>
        <v/>
      </c>
      <c r="N2016" s="32" t="str">
        <f>IFERROR(INDEX(Table!I:O,MATCH(K2016,Table!I:I,0),4),"")</f>
        <v/>
      </c>
      <c r="O2016" s="32" t="str">
        <f>IFERROR(INDEX(Table!I:O,MATCH(K2016,Table!I:I,0),5),"")</f>
        <v/>
      </c>
      <c r="P2016" s="32" t="str">
        <f>IFERROR(INDEX(Table!I:O,MATCH(K2016,Table!I:I,0),6),"")</f>
        <v/>
      </c>
      <c r="Q2016" s="89" t="str">
        <f t="shared" si="93"/>
        <v/>
      </c>
      <c r="R2016" s="89" t="str">
        <f t="shared" si="94"/>
        <v/>
      </c>
      <c r="S2016" s="82"/>
      <c r="U2016" s="37" t="e">
        <f t="shared" si="95"/>
        <v>#VALUE!</v>
      </c>
    </row>
    <row r="2017" spans="1:21" x14ac:dyDescent="0.25">
      <c r="A2017" s="31" t="str">
        <f>IF(Table!A2017 = "","",Table!A2017)</f>
        <v/>
      </c>
      <c r="B2017" s="31" t="str">
        <f>IF(Table!B2017 = "","",Table!B2017)</f>
        <v/>
      </c>
      <c r="C2017" s="31" t="str">
        <f>IF(Table!C2017 = "","",Table!C2017)</f>
        <v/>
      </c>
      <c r="D2017" s="32" t="str">
        <f>IF(Table!D2017 = "","",Table!D2017)</f>
        <v/>
      </c>
      <c r="E2017" s="32" t="str">
        <f>IF(Table!E2017 = "","",Table!E2017)</f>
        <v/>
      </c>
      <c r="F2017" s="32" t="str">
        <f>IF(Table!F2017 = "","",Table!F2017)</f>
        <v/>
      </c>
      <c r="G2017" s="91"/>
      <c r="K2017" s="31" t="str">
        <f>IFERROR(VLOOKUP(A2017,Table!$I$4:$O$3000,1,TRUE),"")</f>
        <v/>
      </c>
      <c r="L2017" s="31" t="str">
        <f>IFERROR(INDEX(Table!I:O,MATCH(K2017,Table!I:I,0),2),"")</f>
        <v/>
      </c>
      <c r="M2017" s="31" t="str">
        <f>IFERROR(INDEX(Table!I:O,MATCH(K2017,Table!I:I,0),3),"")</f>
        <v/>
      </c>
      <c r="N2017" s="32" t="str">
        <f>IFERROR(INDEX(Table!I:O,MATCH(K2017,Table!I:I,0),4),"")</f>
        <v/>
      </c>
      <c r="O2017" s="32" t="str">
        <f>IFERROR(INDEX(Table!I:O,MATCH(K2017,Table!I:I,0),5),"")</f>
        <v/>
      </c>
      <c r="P2017" s="32" t="str">
        <f>IFERROR(INDEX(Table!I:O,MATCH(K2017,Table!I:I,0),6),"")</f>
        <v/>
      </c>
      <c r="Q2017" s="89" t="str">
        <f t="shared" si="93"/>
        <v/>
      </c>
      <c r="R2017" s="89" t="str">
        <f t="shared" si="94"/>
        <v/>
      </c>
      <c r="S2017" s="82"/>
      <c r="U2017" s="37" t="e">
        <f t="shared" si="95"/>
        <v>#VALUE!</v>
      </c>
    </row>
    <row r="2018" spans="1:21" x14ac:dyDescent="0.25">
      <c r="A2018" s="31" t="str">
        <f>IF(Table!A2018 = "","",Table!A2018)</f>
        <v/>
      </c>
      <c r="B2018" s="31" t="str">
        <f>IF(Table!B2018 = "","",Table!B2018)</f>
        <v/>
      </c>
      <c r="C2018" s="31" t="str">
        <f>IF(Table!C2018 = "","",Table!C2018)</f>
        <v/>
      </c>
      <c r="D2018" s="32" t="str">
        <f>IF(Table!D2018 = "","",Table!D2018)</f>
        <v/>
      </c>
      <c r="E2018" s="32" t="str">
        <f>IF(Table!E2018 = "","",Table!E2018)</f>
        <v/>
      </c>
      <c r="F2018" s="32" t="str">
        <f>IF(Table!F2018 = "","",Table!F2018)</f>
        <v/>
      </c>
      <c r="G2018" s="91"/>
      <c r="K2018" s="31" t="str">
        <f>IFERROR(VLOOKUP(A2018,Table!$I$4:$O$3000,1,TRUE),"")</f>
        <v/>
      </c>
      <c r="L2018" s="31" t="str">
        <f>IFERROR(INDEX(Table!I:O,MATCH(K2018,Table!I:I,0),2),"")</f>
        <v/>
      </c>
      <c r="M2018" s="31" t="str">
        <f>IFERROR(INDEX(Table!I:O,MATCH(K2018,Table!I:I,0),3),"")</f>
        <v/>
      </c>
      <c r="N2018" s="32" t="str">
        <f>IFERROR(INDEX(Table!I:O,MATCH(K2018,Table!I:I,0),4),"")</f>
        <v/>
      </c>
      <c r="O2018" s="32" t="str">
        <f>IFERROR(INDEX(Table!I:O,MATCH(K2018,Table!I:I,0),5),"")</f>
        <v/>
      </c>
      <c r="P2018" s="32" t="str">
        <f>IFERROR(INDEX(Table!I:O,MATCH(K2018,Table!I:I,0),6),"")</f>
        <v/>
      </c>
      <c r="Q2018" s="89" t="str">
        <f t="shared" si="93"/>
        <v/>
      </c>
      <c r="R2018" s="89" t="str">
        <f t="shared" si="94"/>
        <v/>
      </c>
      <c r="S2018" s="82"/>
      <c r="U2018" s="37" t="e">
        <f t="shared" si="95"/>
        <v>#VALUE!</v>
      </c>
    </row>
    <row r="2019" spans="1:21" x14ac:dyDescent="0.25">
      <c r="A2019" s="31" t="str">
        <f>IF(Table!A2019 = "","",Table!A2019)</f>
        <v/>
      </c>
      <c r="B2019" s="31" t="str">
        <f>IF(Table!B2019 = "","",Table!B2019)</f>
        <v/>
      </c>
      <c r="C2019" s="31" t="str">
        <f>IF(Table!C2019 = "","",Table!C2019)</f>
        <v/>
      </c>
      <c r="D2019" s="32" t="str">
        <f>IF(Table!D2019 = "","",Table!D2019)</f>
        <v/>
      </c>
      <c r="E2019" s="32" t="str">
        <f>IF(Table!E2019 = "","",Table!E2019)</f>
        <v/>
      </c>
      <c r="F2019" s="32" t="str">
        <f>IF(Table!F2019 = "","",Table!F2019)</f>
        <v/>
      </c>
      <c r="G2019" s="91"/>
      <c r="K2019" s="31" t="str">
        <f>IFERROR(VLOOKUP(A2019,Table!$I$4:$O$3000,1,TRUE),"")</f>
        <v/>
      </c>
      <c r="L2019" s="31" t="str">
        <f>IFERROR(INDEX(Table!I:O,MATCH(K2019,Table!I:I,0),2),"")</f>
        <v/>
      </c>
      <c r="M2019" s="31" t="str">
        <f>IFERROR(INDEX(Table!I:O,MATCH(K2019,Table!I:I,0),3),"")</f>
        <v/>
      </c>
      <c r="N2019" s="32" t="str">
        <f>IFERROR(INDEX(Table!I:O,MATCH(K2019,Table!I:I,0),4),"")</f>
        <v/>
      </c>
      <c r="O2019" s="32" t="str">
        <f>IFERROR(INDEX(Table!I:O,MATCH(K2019,Table!I:I,0),5),"")</f>
        <v/>
      </c>
      <c r="P2019" s="32" t="str">
        <f>IFERROR(INDEX(Table!I:O,MATCH(K2019,Table!I:I,0),6),"")</f>
        <v/>
      </c>
      <c r="Q2019" s="89" t="str">
        <f t="shared" si="93"/>
        <v/>
      </c>
      <c r="R2019" s="89" t="str">
        <f t="shared" si="94"/>
        <v/>
      </c>
      <c r="S2019" s="82"/>
      <c r="U2019" s="37" t="e">
        <f t="shared" si="95"/>
        <v>#VALUE!</v>
      </c>
    </row>
    <row r="2020" spans="1:21" x14ac:dyDescent="0.25">
      <c r="A2020" s="31" t="str">
        <f>IF(Table!A2020 = "","",Table!A2020)</f>
        <v/>
      </c>
      <c r="B2020" s="31" t="str">
        <f>IF(Table!B2020 = "","",Table!B2020)</f>
        <v/>
      </c>
      <c r="C2020" s="31" t="str">
        <f>IF(Table!C2020 = "","",Table!C2020)</f>
        <v/>
      </c>
      <c r="D2020" s="32" t="str">
        <f>IF(Table!D2020 = "","",Table!D2020)</f>
        <v/>
      </c>
      <c r="E2020" s="32" t="str">
        <f>IF(Table!E2020 = "","",Table!E2020)</f>
        <v/>
      </c>
      <c r="F2020" s="32" t="str">
        <f>IF(Table!F2020 = "","",Table!F2020)</f>
        <v/>
      </c>
      <c r="G2020" s="91"/>
      <c r="K2020" s="31" t="str">
        <f>IFERROR(VLOOKUP(A2020,Table!$I$4:$O$3000,1,TRUE),"")</f>
        <v/>
      </c>
      <c r="L2020" s="31" t="str">
        <f>IFERROR(INDEX(Table!I:O,MATCH(K2020,Table!I:I,0),2),"")</f>
        <v/>
      </c>
      <c r="M2020" s="31" t="str">
        <f>IFERROR(INDEX(Table!I:O,MATCH(K2020,Table!I:I,0),3),"")</f>
        <v/>
      </c>
      <c r="N2020" s="32" t="str">
        <f>IFERROR(INDEX(Table!I:O,MATCH(K2020,Table!I:I,0),4),"")</f>
        <v/>
      </c>
      <c r="O2020" s="32" t="str">
        <f>IFERROR(INDEX(Table!I:O,MATCH(K2020,Table!I:I,0),5),"")</f>
        <v/>
      </c>
      <c r="P2020" s="32" t="str">
        <f>IFERROR(INDEX(Table!I:O,MATCH(K2020,Table!I:I,0),6),"")</f>
        <v/>
      </c>
      <c r="Q2020" s="89" t="str">
        <f t="shared" si="93"/>
        <v/>
      </c>
      <c r="R2020" s="89" t="str">
        <f t="shared" si="94"/>
        <v/>
      </c>
      <c r="S2020" s="82"/>
      <c r="U2020" s="37" t="e">
        <f t="shared" si="95"/>
        <v>#VALUE!</v>
      </c>
    </row>
    <row r="2021" spans="1:21" x14ac:dyDescent="0.25">
      <c r="A2021" s="31" t="str">
        <f>IF(Table!A2021 = "","",Table!A2021)</f>
        <v/>
      </c>
      <c r="B2021" s="31" t="str">
        <f>IF(Table!B2021 = "","",Table!B2021)</f>
        <v/>
      </c>
      <c r="C2021" s="31" t="str">
        <f>IF(Table!C2021 = "","",Table!C2021)</f>
        <v/>
      </c>
      <c r="D2021" s="32" t="str">
        <f>IF(Table!D2021 = "","",Table!D2021)</f>
        <v/>
      </c>
      <c r="E2021" s="32" t="str">
        <f>IF(Table!E2021 = "","",Table!E2021)</f>
        <v/>
      </c>
      <c r="F2021" s="32" t="str">
        <f>IF(Table!F2021 = "","",Table!F2021)</f>
        <v/>
      </c>
      <c r="G2021" s="91"/>
      <c r="K2021" s="31" t="str">
        <f>IFERROR(VLOOKUP(A2021,Table!$I$4:$O$3000,1,TRUE),"")</f>
        <v/>
      </c>
      <c r="L2021" s="31" t="str">
        <f>IFERROR(INDEX(Table!I:O,MATCH(K2021,Table!I:I,0),2),"")</f>
        <v/>
      </c>
      <c r="M2021" s="31" t="str">
        <f>IFERROR(INDEX(Table!I:O,MATCH(K2021,Table!I:I,0),3),"")</f>
        <v/>
      </c>
      <c r="N2021" s="32" t="str">
        <f>IFERROR(INDEX(Table!I:O,MATCH(K2021,Table!I:I,0),4),"")</f>
        <v/>
      </c>
      <c r="O2021" s="32" t="str">
        <f>IFERROR(INDEX(Table!I:O,MATCH(K2021,Table!I:I,0),5),"")</f>
        <v/>
      </c>
      <c r="P2021" s="32" t="str">
        <f>IFERROR(INDEX(Table!I:O,MATCH(K2021,Table!I:I,0),6),"")</f>
        <v/>
      </c>
      <c r="Q2021" s="89" t="str">
        <f t="shared" si="93"/>
        <v/>
      </c>
      <c r="R2021" s="89" t="str">
        <f t="shared" si="94"/>
        <v/>
      </c>
      <c r="S2021" s="82"/>
      <c r="U2021" s="37" t="e">
        <f t="shared" si="95"/>
        <v>#VALUE!</v>
      </c>
    </row>
    <row r="2022" spans="1:21" x14ac:dyDescent="0.25">
      <c r="A2022" s="31" t="str">
        <f>IF(Table!A2022 = "","",Table!A2022)</f>
        <v/>
      </c>
      <c r="B2022" s="31" t="str">
        <f>IF(Table!B2022 = "","",Table!B2022)</f>
        <v/>
      </c>
      <c r="C2022" s="31" t="str">
        <f>IF(Table!C2022 = "","",Table!C2022)</f>
        <v/>
      </c>
      <c r="D2022" s="32" t="str">
        <f>IF(Table!D2022 = "","",Table!D2022)</f>
        <v/>
      </c>
      <c r="E2022" s="32" t="str">
        <f>IF(Table!E2022 = "","",Table!E2022)</f>
        <v/>
      </c>
      <c r="F2022" s="32" t="str">
        <f>IF(Table!F2022 = "","",Table!F2022)</f>
        <v/>
      </c>
      <c r="G2022" s="91"/>
      <c r="K2022" s="31" t="str">
        <f>IFERROR(VLOOKUP(A2022,Table!$I$4:$O$3000,1,TRUE),"")</f>
        <v/>
      </c>
      <c r="L2022" s="31" t="str">
        <f>IFERROR(INDEX(Table!I:O,MATCH(K2022,Table!I:I,0),2),"")</f>
        <v/>
      </c>
      <c r="M2022" s="31" t="str">
        <f>IFERROR(INDEX(Table!I:O,MATCH(K2022,Table!I:I,0),3),"")</f>
        <v/>
      </c>
      <c r="N2022" s="32" t="str">
        <f>IFERROR(INDEX(Table!I:O,MATCH(K2022,Table!I:I,0),4),"")</f>
        <v/>
      </c>
      <c r="O2022" s="32" t="str">
        <f>IFERROR(INDEX(Table!I:O,MATCH(K2022,Table!I:I,0),5),"")</f>
        <v/>
      </c>
      <c r="P2022" s="32" t="str">
        <f>IFERROR(INDEX(Table!I:O,MATCH(K2022,Table!I:I,0),6),"")</f>
        <v/>
      </c>
      <c r="Q2022" s="89" t="str">
        <f t="shared" si="93"/>
        <v/>
      </c>
      <c r="R2022" s="89" t="str">
        <f t="shared" si="94"/>
        <v/>
      </c>
      <c r="S2022" s="82"/>
      <c r="U2022" s="37" t="e">
        <f t="shared" si="95"/>
        <v>#VALUE!</v>
      </c>
    </row>
    <row r="2023" spans="1:21" x14ac:dyDescent="0.25">
      <c r="A2023" s="31" t="str">
        <f>IF(Table!A2023 = "","",Table!A2023)</f>
        <v/>
      </c>
      <c r="B2023" s="31" t="str">
        <f>IF(Table!B2023 = "","",Table!B2023)</f>
        <v/>
      </c>
      <c r="C2023" s="31" t="str">
        <f>IF(Table!C2023 = "","",Table!C2023)</f>
        <v/>
      </c>
      <c r="D2023" s="32" t="str">
        <f>IF(Table!D2023 = "","",Table!D2023)</f>
        <v/>
      </c>
      <c r="E2023" s="32" t="str">
        <f>IF(Table!E2023 = "","",Table!E2023)</f>
        <v/>
      </c>
      <c r="F2023" s="32" t="str">
        <f>IF(Table!F2023 = "","",Table!F2023)</f>
        <v/>
      </c>
      <c r="G2023" s="91"/>
      <c r="K2023" s="31" t="str">
        <f>IFERROR(VLOOKUP(A2023,Table!$I$4:$O$3000,1,TRUE),"")</f>
        <v/>
      </c>
      <c r="L2023" s="31" t="str">
        <f>IFERROR(INDEX(Table!I:O,MATCH(K2023,Table!I:I,0),2),"")</f>
        <v/>
      </c>
      <c r="M2023" s="31" t="str">
        <f>IFERROR(INDEX(Table!I:O,MATCH(K2023,Table!I:I,0),3),"")</f>
        <v/>
      </c>
      <c r="N2023" s="32" t="str">
        <f>IFERROR(INDEX(Table!I:O,MATCH(K2023,Table!I:I,0),4),"")</f>
        <v/>
      </c>
      <c r="O2023" s="32" t="str">
        <f>IFERROR(INDEX(Table!I:O,MATCH(K2023,Table!I:I,0),5),"")</f>
        <v/>
      </c>
      <c r="P2023" s="32" t="str">
        <f>IFERROR(INDEX(Table!I:O,MATCH(K2023,Table!I:I,0),6),"")</f>
        <v/>
      </c>
      <c r="Q2023" s="89" t="str">
        <f t="shared" si="93"/>
        <v/>
      </c>
      <c r="R2023" s="89" t="str">
        <f t="shared" si="94"/>
        <v/>
      </c>
      <c r="S2023" s="82"/>
      <c r="U2023" s="37" t="e">
        <f t="shared" si="95"/>
        <v>#VALUE!</v>
      </c>
    </row>
    <row r="2024" spans="1:21" x14ac:dyDescent="0.25">
      <c r="A2024" s="31" t="str">
        <f>IF(Table!A2024 = "","",Table!A2024)</f>
        <v/>
      </c>
      <c r="B2024" s="31" t="str">
        <f>IF(Table!B2024 = "","",Table!B2024)</f>
        <v/>
      </c>
      <c r="C2024" s="31" t="str">
        <f>IF(Table!C2024 = "","",Table!C2024)</f>
        <v/>
      </c>
      <c r="D2024" s="32" t="str">
        <f>IF(Table!D2024 = "","",Table!D2024)</f>
        <v/>
      </c>
      <c r="E2024" s="32" t="str">
        <f>IF(Table!E2024 = "","",Table!E2024)</f>
        <v/>
      </c>
      <c r="F2024" s="32" t="str">
        <f>IF(Table!F2024 = "","",Table!F2024)</f>
        <v/>
      </c>
      <c r="G2024" s="91"/>
      <c r="K2024" s="31" t="str">
        <f>IFERROR(VLOOKUP(A2024,Table!$I$4:$O$3000,1,TRUE),"")</f>
        <v/>
      </c>
      <c r="L2024" s="31" t="str">
        <f>IFERROR(INDEX(Table!I:O,MATCH(K2024,Table!I:I,0),2),"")</f>
        <v/>
      </c>
      <c r="M2024" s="31" t="str">
        <f>IFERROR(INDEX(Table!I:O,MATCH(K2024,Table!I:I,0),3),"")</f>
        <v/>
      </c>
      <c r="N2024" s="32" t="str">
        <f>IFERROR(INDEX(Table!I:O,MATCH(K2024,Table!I:I,0),4),"")</f>
        <v/>
      </c>
      <c r="O2024" s="32" t="str">
        <f>IFERROR(INDEX(Table!I:O,MATCH(K2024,Table!I:I,0),5),"")</f>
        <v/>
      </c>
      <c r="P2024" s="32" t="str">
        <f>IFERROR(INDEX(Table!I:O,MATCH(K2024,Table!I:I,0),6),"")</f>
        <v/>
      </c>
      <c r="Q2024" s="89" t="str">
        <f t="shared" si="93"/>
        <v/>
      </c>
      <c r="R2024" s="89" t="str">
        <f t="shared" si="94"/>
        <v/>
      </c>
      <c r="S2024" s="82"/>
      <c r="U2024" s="37" t="e">
        <f t="shared" si="95"/>
        <v>#VALUE!</v>
      </c>
    </row>
    <row r="2025" spans="1:21" x14ac:dyDescent="0.25">
      <c r="A2025" s="31" t="str">
        <f>IF(Table!A2025 = "","",Table!A2025)</f>
        <v/>
      </c>
      <c r="B2025" s="31" t="str">
        <f>IF(Table!B2025 = "","",Table!B2025)</f>
        <v/>
      </c>
      <c r="C2025" s="31" t="str">
        <f>IF(Table!C2025 = "","",Table!C2025)</f>
        <v/>
      </c>
      <c r="D2025" s="32" t="str">
        <f>IF(Table!D2025 = "","",Table!D2025)</f>
        <v/>
      </c>
      <c r="E2025" s="32" t="str">
        <f>IF(Table!E2025 = "","",Table!E2025)</f>
        <v/>
      </c>
      <c r="F2025" s="32" t="str">
        <f>IF(Table!F2025 = "","",Table!F2025)</f>
        <v/>
      </c>
      <c r="G2025" s="91"/>
      <c r="K2025" s="31" t="str">
        <f>IFERROR(VLOOKUP(A2025,Table!$I$4:$O$3000,1,TRUE),"")</f>
        <v/>
      </c>
      <c r="L2025" s="31" t="str">
        <f>IFERROR(INDEX(Table!I:O,MATCH(K2025,Table!I:I,0),2),"")</f>
        <v/>
      </c>
      <c r="M2025" s="31" t="str">
        <f>IFERROR(INDEX(Table!I:O,MATCH(K2025,Table!I:I,0),3),"")</f>
        <v/>
      </c>
      <c r="N2025" s="32" t="str">
        <f>IFERROR(INDEX(Table!I:O,MATCH(K2025,Table!I:I,0),4),"")</f>
        <v/>
      </c>
      <c r="O2025" s="32" t="str">
        <f>IFERROR(INDEX(Table!I:O,MATCH(K2025,Table!I:I,0),5),"")</f>
        <v/>
      </c>
      <c r="P2025" s="32" t="str">
        <f>IFERROR(INDEX(Table!I:O,MATCH(K2025,Table!I:I,0),6),"")</f>
        <v/>
      </c>
      <c r="Q2025" s="89" t="str">
        <f t="shared" si="93"/>
        <v/>
      </c>
      <c r="R2025" s="89" t="str">
        <f t="shared" si="94"/>
        <v/>
      </c>
      <c r="S2025" s="82"/>
      <c r="U2025" s="37" t="e">
        <f t="shared" si="95"/>
        <v>#VALUE!</v>
      </c>
    </row>
    <row r="2026" spans="1:21" x14ac:dyDescent="0.25">
      <c r="A2026" s="31" t="str">
        <f>IF(Table!A2026 = "","",Table!A2026)</f>
        <v/>
      </c>
      <c r="B2026" s="31" t="str">
        <f>IF(Table!B2026 = "","",Table!B2026)</f>
        <v/>
      </c>
      <c r="C2026" s="31" t="str">
        <f>IF(Table!C2026 = "","",Table!C2026)</f>
        <v/>
      </c>
      <c r="D2026" s="32" t="str">
        <f>IF(Table!D2026 = "","",Table!D2026)</f>
        <v/>
      </c>
      <c r="E2026" s="32" t="str">
        <f>IF(Table!E2026 = "","",Table!E2026)</f>
        <v/>
      </c>
      <c r="F2026" s="32" t="str">
        <f>IF(Table!F2026 = "","",Table!F2026)</f>
        <v/>
      </c>
      <c r="G2026" s="91"/>
      <c r="K2026" s="31" t="str">
        <f>IFERROR(VLOOKUP(A2026,Table!$I$4:$O$3000,1,TRUE),"")</f>
        <v/>
      </c>
      <c r="L2026" s="31" t="str">
        <f>IFERROR(INDEX(Table!I:O,MATCH(K2026,Table!I:I,0),2),"")</f>
        <v/>
      </c>
      <c r="M2026" s="31" t="str">
        <f>IFERROR(INDEX(Table!I:O,MATCH(K2026,Table!I:I,0),3),"")</f>
        <v/>
      </c>
      <c r="N2026" s="32" t="str">
        <f>IFERROR(INDEX(Table!I:O,MATCH(K2026,Table!I:I,0),4),"")</f>
        <v/>
      </c>
      <c r="O2026" s="32" t="str">
        <f>IFERROR(INDEX(Table!I:O,MATCH(K2026,Table!I:I,0),5),"")</f>
        <v/>
      </c>
      <c r="P2026" s="32" t="str">
        <f>IFERROR(INDEX(Table!I:O,MATCH(K2026,Table!I:I,0),6),"")</f>
        <v/>
      </c>
      <c r="Q2026" s="89" t="str">
        <f t="shared" si="93"/>
        <v/>
      </c>
      <c r="R2026" s="89" t="str">
        <f t="shared" si="94"/>
        <v/>
      </c>
      <c r="S2026" s="82"/>
      <c r="U2026" s="37" t="e">
        <f t="shared" si="95"/>
        <v>#VALUE!</v>
      </c>
    </row>
    <row r="2027" spans="1:21" x14ac:dyDescent="0.25">
      <c r="A2027" s="31" t="str">
        <f>IF(Table!A2027 = "","",Table!A2027)</f>
        <v/>
      </c>
      <c r="B2027" s="31" t="str">
        <f>IF(Table!B2027 = "","",Table!B2027)</f>
        <v/>
      </c>
      <c r="C2027" s="31" t="str">
        <f>IF(Table!C2027 = "","",Table!C2027)</f>
        <v/>
      </c>
      <c r="D2027" s="32" t="str">
        <f>IF(Table!D2027 = "","",Table!D2027)</f>
        <v/>
      </c>
      <c r="E2027" s="32" t="str">
        <f>IF(Table!E2027 = "","",Table!E2027)</f>
        <v/>
      </c>
      <c r="F2027" s="32" t="str">
        <f>IF(Table!F2027 = "","",Table!F2027)</f>
        <v/>
      </c>
      <c r="G2027" s="91"/>
      <c r="K2027" s="31" t="str">
        <f>IFERROR(VLOOKUP(A2027,Table!$I$4:$O$3000,1,TRUE),"")</f>
        <v/>
      </c>
      <c r="L2027" s="31" t="str">
        <f>IFERROR(INDEX(Table!I:O,MATCH(K2027,Table!I:I,0),2),"")</f>
        <v/>
      </c>
      <c r="M2027" s="31" t="str">
        <f>IFERROR(INDEX(Table!I:O,MATCH(K2027,Table!I:I,0),3),"")</f>
        <v/>
      </c>
      <c r="N2027" s="32" t="str">
        <f>IFERROR(INDEX(Table!I:O,MATCH(K2027,Table!I:I,0),4),"")</f>
        <v/>
      </c>
      <c r="O2027" s="32" t="str">
        <f>IFERROR(INDEX(Table!I:O,MATCH(K2027,Table!I:I,0),5),"")</f>
        <v/>
      </c>
      <c r="P2027" s="32" t="str">
        <f>IFERROR(INDEX(Table!I:O,MATCH(K2027,Table!I:I,0),6),"")</f>
        <v/>
      </c>
      <c r="Q2027" s="89" t="str">
        <f t="shared" si="93"/>
        <v/>
      </c>
      <c r="R2027" s="89" t="str">
        <f t="shared" si="94"/>
        <v/>
      </c>
      <c r="S2027" s="82"/>
      <c r="U2027" s="37" t="e">
        <f t="shared" si="95"/>
        <v>#VALUE!</v>
      </c>
    </row>
    <row r="2028" spans="1:21" x14ac:dyDescent="0.25">
      <c r="A2028" s="31" t="str">
        <f>IF(Table!A2028 = "","",Table!A2028)</f>
        <v/>
      </c>
      <c r="B2028" s="31" t="str">
        <f>IF(Table!B2028 = "","",Table!B2028)</f>
        <v/>
      </c>
      <c r="C2028" s="31" t="str">
        <f>IF(Table!C2028 = "","",Table!C2028)</f>
        <v/>
      </c>
      <c r="D2028" s="32" t="str">
        <f>IF(Table!D2028 = "","",Table!D2028)</f>
        <v/>
      </c>
      <c r="E2028" s="32" t="str">
        <f>IF(Table!E2028 = "","",Table!E2028)</f>
        <v/>
      </c>
      <c r="F2028" s="32" t="str">
        <f>IF(Table!F2028 = "","",Table!F2028)</f>
        <v/>
      </c>
      <c r="G2028" s="91"/>
      <c r="K2028" s="31" t="str">
        <f>IFERROR(VLOOKUP(A2028,Table!$I$4:$O$3000,1,TRUE),"")</f>
        <v/>
      </c>
      <c r="L2028" s="31" t="str">
        <f>IFERROR(INDEX(Table!I:O,MATCH(K2028,Table!I:I,0),2),"")</f>
        <v/>
      </c>
      <c r="M2028" s="31" t="str">
        <f>IFERROR(INDEX(Table!I:O,MATCH(K2028,Table!I:I,0),3),"")</f>
        <v/>
      </c>
      <c r="N2028" s="32" t="str">
        <f>IFERROR(INDEX(Table!I:O,MATCH(K2028,Table!I:I,0),4),"")</f>
        <v/>
      </c>
      <c r="O2028" s="32" t="str">
        <f>IFERROR(INDEX(Table!I:O,MATCH(K2028,Table!I:I,0),5),"")</f>
        <v/>
      </c>
      <c r="P2028" s="32" t="str">
        <f>IFERROR(INDEX(Table!I:O,MATCH(K2028,Table!I:I,0),6),"")</f>
        <v/>
      </c>
      <c r="Q2028" s="89" t="str">
        <f t="shared" si="93"/>
        <v/>
      </c>
      <c r="R2028" s="89" t="str">
        <f t="shared" si="94"/>
        <v/>
      </c>
      <c r="S2028" s="82"/>
      <c r="U2028" s="37" t="e">
        <f t="shared" si="95"/>
        <v>#VALUE!</v>
      </c>
    </row>
    <row r="2029" spans="1:21" x14ac:dyDescent="0.25">
      <c r="A2029" s="31" t="str">
        <f>IF(Table!A2029 = "","",Table!A2029)</f>
        <v/>
      </c>
      <c r="B2029" s="31" t="str">
        <f>IF(Table!B2029 = "","",Table!B2029)</f>
        <v/>
      </c>
      <c r="C2029" s="31" t="str">
        <f>IF(Table!C2029 = "","",Table!C2029)</f>
        <v/>
      </c>
      <c r="D2029" s="32" t="str">
        <f>IF(Table!D2029 = "","",Table!D2029)</f>
        <v/>
      </c>
      <c r="E2029" s="32" t="str">
        <f>IF(Table!E2029 = "","",Table!E2029)</f>
        <v/>
      </c>
      <c r="F2029" s="32" t="str">
        <f>IF(Table!F2029 = "","",Table!F2029)</f>
        <v/>
      </c>
      <c r="G2029" s="91"/>
      <c r="K2029" s="31" t="str">
        <f>IFERROR(VLOOKUP(A2029,Table!$I$4:$O$3000,1,TRUE),"")</f>
        <v/>
      </c>
      <c r="L2029" s="31" t="str">
        <f>IFERROR(INDEX(Table!I:O,MATCH(K2029,Table!I:I,0),2),"")</f>
        <v/>
      </c>
      <c r="M2029" s="31" t="str">
        <f>IFERROR(INDEX(Table!I:O,MATCH(K2029,Table!I:I,0),3),"")</f>
        <v/>
      </c>
      <c r="N2029" s="32" t="str">
        <f>IFERROR(INDEX(Table!I:O,MATCH(K2029,Table!I:I,0),4),"")</f>
        <v/>
      </c>
      <c r="O2029" s="32" t="str">
        <f>IFERROR(INDEX(Table!I:O,MATCH(K2029,Table!I:I,0),5),"")</f>
        <v/>
      </c>
      <c r="P2029" s="32" t="str">
        <f>IFERROR(INDEX(Table!I:O,MATCH(K2029,Table!I:I,0),6),"")</f>
        <v/>
      </c>
      <c r="Q2029" s="89" t="str">
        <f t="shared" si="93"/>
        <v/>
      </c>
      <c r="R2029" s="89" t="str">
        <f t="shared" si="94"/>
        <v/>
      </c>
      <c r="S2029" s="82"/>
      <c r="U2029" s="37" t="e">
        <f t="shared" si="95"/>
        <v>#VALUE!</v>
      </c>
    </row>
    <row r="2030" spans="1:21" x14ac:dyDescent="0.25">
      <c r="A2030" s="31" t="str">
        <f>IF(Table!A2030 = "","",Table!A2030)</f>
        <v/>
      </c>
      <c r="B2030" s="31" t="str">
        <f>IF(Table!B2030 = "","",Table!B2030)</f>
        <v/>
      </c>
      <c r="C2030" s="31" t="str">
        <f>IF(Table!C2030 = "","",Table!C2030)</f>
        <v/>
      </c>
      <c r="D2030" s="32" t="str">
        <f>IF(Table!D2030 = "","",Table!D2030)</f>
        <v/>
      </c>
      <c r="E2030" s="32" t="str">
        <f>IF(Table!E2030 = "","",Table!E2030)</f>
        <v/>
      </c>
      <c r="F2030" s="32" t="str">
        <f>IF(Table!F2030 = "","",Table!F2030)</f>
        <v/>
      </c>
      <c r="G2030" s="91"/>
      <c r="K2030" s="31" t="str">
        <f>IFERROR(VLOOKUP(A2030,Table!$I$4:$O$3000,1,TRUE),"")</f>
        <v/>
      </c>
      <c r="L2030" s="31" t="str">
        <f>IFERROR(INDEX(Table!I:O,MATCH(K2030,Table!I:I,0),2),"")</f>
        <v/>
      </c>
      <c r="M2030" s="31" t="str">
        <f>IFERROR(INDEX(Table!I:O,MATCH(K2030,Table!I:I,0),3),"")</f>
        <v/>
      </c>
      <c r="N2030" s="32" t="str">
        <f>IFERROR(INDEX(Table!I:O,MATCH(K2030,Table!I:I,0),4),"")</f>
        <v/>
      </c>
      <c r="O2030" s="32" t="str">
        <f>IFERROR(INDEX(Table!I:O,MATCH(K2030,Table!I:I,0),5),"")</f>
        <v/>
      </c>
      <c r="P2030" s="32" t="str">
        <f>IFERROR(INDEX(Table!I:O,MATCH(K2030,Table!I:I,0),6),"")</f>
        <v/>
      </c>
      <c r="Q2030" s="89" t="str">
        <f t="shared" si="93"/>
        <v/>
      </c>
      <c r="R2030" s="89" t="str">
        <f t="shared" si="94"/>
        <v/>
      </c>
      <c r="S2030" s="82"/>
      <c r="U2030" s="37" t="e">
        <f t="shared" si="95"/>
        <v>#VALUE!</v>
      </c>
    </row>
    <row r="2031" spans="1:21" x14ac:dyDescent="0.25">
      <c r="A2031" s="31" t="str">
        <f>IF(Table!A2031 = "","",Table!A2031)</f>
        <v/>
      </c>
      <c r="B2031" s="31" t="str">
        <f>IF(Table!B2031 = "","",Table!B2031)</f>
        <v/>
      </c>
      <c r="C2031" s="31" t="str">
        <f>IF(Table!C2031 = "","",Table!C2031)</f>
        <v/>
      </c>
      <c r="D2031" s="32" t="str">
        <f>IF(Table!D2031 = "","",Table!D2031)</f>
        <v/>
      </c>
      <c r="E2031" s="32" t="str">
        <f>IF(Table!E2031 = "","",Table!E2031)</f>
        <v/>
      </c>
      <c r="F2031" s="32" t="str">
        <f>IF(Table!F2031 = "","",Table!F2031)</f>
        <v/>
      </c>
      <c r="G2031" s="91"/>
      <c r="K2031" s="31" t="str">
        <f>IFERROR(VLOOKUP(A2031,Table!$I$4:$O$3000,1,TRUE),"")</f>
        <v/>
      </c>
      <c r="L2031" s="31" t="str">
        <f>IFERROR(INDEX(Table!I:O,MATCH(K2031,Table!I:I,0),2),"")</f>
        <v/>
      </c>
      <c r="M2031" s="31" t="str">
        <f>IFERROR(INDEX(Table!I:O,MATCH(K2031,Table!I:I,0),3),"")</f>
        <v/>
      </c>
      <c r="N2031" s="32" t="str">
        <f>IFERROR(INDEX(Table!I:O,MATCH(K2031,Table!I:I,0),4),"")</f>
        <v/>
      </c>
      <c r="O2031" s="32" t="str">
        <f>IFERROR(INDEX(Table!I:O,MATCH(K2031,Table!I:I,0),5),"")</f>
        <v/>
      </c>
      <c r="P2031" s="32" t="str">
        <f>IFERROR(INDEX(Table!I:O,MATCH(K2031,Table!I:I,0),6),"")</f>
        <v/>
      </c>
      <c r="Q2031" s="89" t="str">
        <f t="shared" si="93"/>
        <v/>
      </c>
      <c r="R2031" s="89" t="str">
        <f t="shared" si="94"/>
        <v/>
      </c>
      <c r="S2031" s="82"/>
      <c r="U2031" s="37" t="e">
        <f t="shared" si="95"/>
        <v>#VALUE!</v>
      </c>
    </row>
    <row r="2032" spans="1:21" x14ac:dyDescent="0.25">
      <c r="A2032" s="31" t="str">
        <f>IF(Table!A2032 = "","",Table!A2032)</f>
        <v/>
      </c>
      <c r="B2032" s="31" t="str">
        <f>IF(Table!B2032 = "","",Table!B2032)</f>
        <v/>
      </c>
      <c r="C2032" s="31" t="str">
        <f>IF(Table!C2032 = "","",Table!C2032)</f>
        <v/>
      </c>
      <c r="D2032" s="32" t="str">
        <f>IF(Table!D2032 = "","",Table!D2032)</f>
        <v/>
      </c>
      <c r="E2032" s="32" t="str">
        <f>IF(Table!E2032 = "","",Table!E2032)</f>
        <v/>
      </c>
      <c r="F2032" s="32" t="str">
        <f>IF(Table!F2032 = "","",Table!F2032)</f>
        <v/>
      </c>
      <c r="G2032" s="91"/>
      <c r="K2032" s="31" t="str">
        <f>IFERROR(VLOOKUP(A2032,Table!$I$4:$O$3000,1,TRUE),"")</f>
        <v/>
      </c>
      <c r="L2032" s="31" t="str">
        <f>IFERROR(INDEX(Table!I:O,MATCH(K2032,Table!I:I,0),2),"")</f>
        <v/>
      </c>
      <c r="M2032" s="31" t="str">
        <f>IFERROR(INDEX(Table!I:O,MATCH(K2032,Table!I:I,0),3),"")</f>
        <v/>
      </c>
      <c r="N2032" s="32" t="str">
        <f>IFERROR(INDEX(Table!I:O,MATCH(K2032,Table!I:I,0),4),"")</f>
        <v/>
      </c>
      <c r="O2032" s="32" t="str">
        <f>IFERROR(INDEX(Table!I:O,MATCH(K2032,Table!I:I,0),5),"")</f>
        <v/>
      </c>
      <c r="P2032" s="32" t="str">
        <f>IFERROR(INDEX(Table!I:O,MATCH(K2032,Table!I:I,0),6),"")</f>
        <v/>
      </c>
      <c r="Q2032" s="89" t="str">
        <f t="shared" si="93"/>
        <v/>
      </c>
      <c r="R2032" s="89" t="str">
        <f t="shared" si="94"/>
        <v/>
      </c>
      <c r="S2032" s="82"/>
      <c r="U2032" s="37" t="e">
        <f t="shared" si="95"/>
        <v>#VALUE!</v>
      </c>
    </row>
    <row r="2033" spans="1:21" x14ac:dyDescent="0.25">
      <c r="A2033" s="31" t="str">
        <f>IF(Table!A2033 = "","",Table!A2033)</f>
        <v/>
      </c>
      <c r="B2033" s="31" t="str">
        <f>IF(Table!B2033 = "","",Table!B2033)</f>
        <v/>
      </c>
      <c r="C2033" s="31" t="str">
        <f>IF(Table!C2033 = "","",Table!C2033)</f>
        <v/>
      </c>
      <c r="D2033" s="32" t="str">
        <f>IF(Table!D2033 = "","",Table!D2033)</f>
        <v/>
      </c>
      <c r="E2033" s="32" t="str">
        <f>IF(Table!E2033 = "","",Table!E2033)</f>
        <v/>
      </c>
      <c r="F2033" s="32" t="str">
        <f>IF(Table!F2033 = "","",Table!F2033)</f>
        <v/>
      </c>
      <c r="G2033" s="91"/>
      <c r="K2033" s="31" t="str">
        <f>IFERROR(VLOOKUP(A2033,Table!$I$4:$O$3000,1,TRUE),"")</f>
        <v/>
      </c>
      <c r="L2033" s="31" t="str">
        <f>IFERROR(INDEX(Table!I:O,MATCH(K2033,Table!I:I,0),2),"")</f>
        <v/>
      </c>
      <c r="M2033" s="31" t="str">
        <f>IFERROR(INDEX(Table!I:O,MATCH(K2033,Table!I:I,0),3),"")</f>
        <v/>
      </c>
      <c r="N2033" s="32" t="str">
        <f>IFERROR(INDEX(Table!I:O,MATCH(K2033,Table!I:I,0),4),"")</f>
        <v/>
      </c>
      <c r="O2033" s="32" t="str">
        <f>IFERROR(INDEX(Table!I:O,MATCH(K2033,Table!I:I,0),5),"")</f>
        <v/>
      </c>
      <c r="P2033" s="32" t="str">
        <f>IFERROR(INDEX(Table!I:O,MATCH(K2033,Table!I:I,0),6),"")</f>
        <v/>
      </c>
      <c r="Q2033" s="89" t="str">
        <f t="shared" si="93"/>
        <v/>
      </c>
      <c r="R2033" s="89" t="str">
        <f t="shared" si="94"/>
        <v/>
      </c>
      <c r="S2033" s="82"/>
      <c r="U2033" s="37" t="e">
        <f t="shared" si="95"/>
        <v>#VALUE!</v>
      </c>
    </row>
    <row r="2034" spans="1:21" x14ac:dyDescent="0.25">
      <c r="A2034" s="31" t="str">
        <f>IF(Table!A2034 = "","",Table!A2034)</f>
        <v/>
      </c>
      <c r="B2034" s="31" t="str">
        <f>IF(Table!B2034 = "","",Table!B2034)</f>
        <v/>
      </c>
      <c r="C2034" s="31" t="str">
        <f>IF(Table!C2034 = "","",Table!C2034)</f>
        <v/>
      </c>
      <c r="D2034" s="32" t="str">
        <f>IF(Table!D2034 = "","",Table!D2034)</f>
        <v/>
      </c>
      <c r="E2034" s="32" t="str">
        <f>IF(Table!E2034 = "","",Table!E2034)</f>
        <v/>
      </c>
      <c r="F2034" s="32" t="str">
        <f>IF(Table!F2034 = "","",Table!F2034)</f>
        <v/>
      </c>
      <c r="G2034" s="91"/>
      <c r="K2034" s="31" t="str">
        <f>IFERROR(VLOOKUP(A2034,Table!$I$4:$O$3000,1,TRUE),"")</f>
        <v/>
      </c>
      <c r="L2034" s="31" t="str">
        <f>IFERROR(INDEX(Table!I:O,MATCH(K2034,Table!I:I,0),2),"")</f>
        <v/>
      </c>
      <c r="M2034" s="31" t="str">
        <f>IFERROR(INDEX(Table!I:O,MATCH(K2034,Table!I:I,0),3),"")</f>
        <v/>
      </c>
      <c r="N2034" s="32" t="str">
        <f>IFERROR(INDEX(Table!I:O,MATCH(K2034,Table!I:I,0),4),"")</f>
        <v/>
      </c>
      <c r="O2034" s="32" t="str">
        <f>IFERROR(INDEX(Table!I:O,MATCH(K2034,Table!I:I,0),5),"")</f>
        <v/>
      </c>
      <c r="P2034" s="32" t="str">
        <f>IFERROR(INDEX(Table!I:O,MATCH(K2034,Table!I:I,0),6),"")</f>
        <v/>
      </c>
      <c r="Q2034" s="89" t="str">
        <f t="shared" si="93"/>
        <v/>
      </c>
      <c r="R2034" s="89" t="str">
        <f t="shared" si="94"/>
        <v/>
      </c>
      <c r="S2034" s="82"/>
      <c r="U2034" s="37" t="e">
        <f t="shared" si="95"/>
        <v>#VALUE!</v>
      </c>
    </row>
    <row r="2035" spans="1:21" x14ac:dyDescent="0.25">
      <c r="A2035" s="31" t="str">
        <f>IF(Table!A2035 = "","",Table!A2035)</f>
        <v/>
      </c>
      <c r="B2035" s="31" t="str">
        <f>IF(Table!B2035 = "","",Table!B2035)</f>
        <v/>
      </c>
      <c r="C2035" s="31" t="str">
        <f>IF(Table!C2035 = "","",Table!C2035)</f>
        <v/>
      </c>
      <c r="D2035" s="32" t="str">
        <f>IF(Table!D2035 = "","",Table!D2035)</f>
        <v/>
      </c>
      <c r="E2035" s="32" t="str">
        <f>IF(Table!E2035 = "","",Table!E2035)</f>
        <v/>
      </c>
      <c r="F2035" s="32" t="str">
        <f>IF(Table!F2035 = "","",Table!F2035)</f>
        <v/>
      </c>
      <c r="G2035" s="91"/>
      <c r="K2035" s="31" t="str">
        <f>IFERROR(VLOOKUP(A2035,Table!$I$4:$O$3000,1,TRUE),"")</f>
        <v/>
      </c>
      <c r="L2035" s="31" t="str">
        <f>IFERROR(INDEX(Table!I:O,MATCH(K2035,Table!I:I,0),2),"")</f>
        <v/>
      </c>
      <c r="M2035" s="31" t="str">
        <f>IFERROR(INDEX(Table!I:O,MATCH(K2035,Table!I:I,0),3),"")</f>
        <v/>
      </c>
      <c r="N2035" s="32" t="str">
        <f>IFERROR(INDEX(Table!I:O,MATCH(K2035,Table!I:I,0),4),"")</f>
        <v/>
      </c>
      <c r="O2035" s="32" t="str">
        <f>IFERROR(INDEX(Table!I:O,MATCH(K2035,Table!I:I,0),5),"")</f>
        <v/>
      </c>
      <c r="P2035" s="32" t="str">
        <f>IFERROR(INDEX(Table!I:O,MATCH(K2035,Table!I:I,0),6),"")</f>
        <v/>
      </c>
      <c r="Q2035" s="89" t="str">
        <f t="shared" si="93"/>
        <v/>
      </c>
      <c r="R2035" s="89" t="str">
        <f t="shared" si="94"/>
        <v/>
      </c>
      <c r="S2035" s="82"/>
      <c r="U2035" s="37" t="e">
        <f t="shared" si="95"/>
        <v>#VALUE!</v>
      </c>
    </row>
    <row r="2036" spans="1:21" x14ac:dyDescent="0.25">
      <c r="A2036" s="31" t="str">
        <f>IF(Table!A2036 = "","",Table!A2036)</f>
        <v/>
      </c>
      <c r="B2036" s="31" t="str">
        <f>IF(Table!B2036 = "","",Table!B2036)</f>
        <v/>
      </c>
      <c r="C2036" s="31" t="str">
        <f>IF(Table!C2036 = "","",Table!C2036)</f>
        <v/>
      </c>
      <c r="D2036" s="32" t="str">
        <f>IF(Table!D2036 = "","",Table!D2036)</f>
        <v/>
      </c>
      <c r="E2036" s="32" t="str">
        <f>IF(Table!E2036 = "","",Table!E2036)</f>
        <v/>
      </c>
      <c r="F2036" s="32" t="str">
        <f>IF(Table!F2036 = "","",Table!F2036)</f>
        <v/>
      </c>
      <c r="G2036" s="91"/>
      <c r="K2036" s="31" t="str">
        <f>IFERROR(VLOOKUP(A2036,Table!$I$4:$O$3000,1,TRUE),"")</f>
        <v/>
      </c>
      <c r="L2036" s="31" t="str">
        <f>IFERROR(INDEX(Table!I:O,MATCH(K2036,Table!I:I,0),2),"")</f>
        <v/>
      </c>
      <c r="M2036" s="31" t="str">
        <f>IFERROR(INDEX(Table!I:O,MATCH(K2036,Table!I:I,0),3),"")</f>
        <v/>
      </c>
      <c r="N2036" s="32" t="str">
        <f>IFERROR(INDEX(Table!I:O,MATCH(K2036,Table!I:I,0),4),"")</f>
        <v/>
      </c>
      <c r="O2036" s="32" t="str">
        <f>IFERROR(INDEX(Table!I:O,MATCH(K2036,Table!I:I,0),5),"")</f>
        <v/>
      </c>
      <c r="P2036" s="32" t="str">
        <f>IFERROR(INDEX(Table!I:O,MATCH(K2036,Table!I:I,0),6),"")</f>
        <v/>
      </c>
      <c r="Q2036" s="89" t="str">
        <f t="shared" si="93"/>
        <v/>
      </c>
      <c r="R2036" s="89" t="str">
        <f t="shared" si="94"/>
        <v/>
      </c>
      <c r="S2036" s="82"/>
      <c r="U2036" s="37" t="e">
        <f t="shared" si="95"/>
        <v>#VALUE!</v>
      </c>
    </row>
    <row r="2037" spans="1:21" x14ac:dyDescent="0.25">
      <c r="A2037" s="31" t="str">
        <f>IF(Table!A2037 = "","",Table!A2037)</f>
        <v/>
      </c>
      <c r="B2037" s="31" t="str">
        <f>IF(Table!B2037 = "","",Table!B2037)</f>
        <v/>
      </c>
      <c r="C2037" s="31" t="str">
        <f>IF(Table!C2037 = "","",Table!C2037)</f>
        <v/>
      </c>
      <c r="D2037" s="32" t="str">
        <f>IF(Table!D2037 = "","",Table!D2037)</f>
        <v/>
      </c>
      <c r="E2037" s="32" t="str">
        <f>IF(Table!E2037 = "","",Table!E2037)</f>
        <v/>
      </c>
      <c r="F2037" s="32" t="str">
        <f>IF(Table!F2037 = "","",Table!F2037)</f>
        <v/>
      </c>
      <c r="G2037" s="91"/>
      <c r="K2037" s="31" t="str">
        <f>IFERROR(VLOOKUP(A2037,Table!$I$4:$O$3000,1,TRUE),"")</f>
        <v/>
      </c>
      <c r="L2037" s="31" t="str">
        <f>IFERROR(INDEX(Table!I:O,MATCH(K2037,Table!I:I,0),2),"")</f>
        <v/>
      </c>
      <c r="M2037" s="31" t="str">
        <f>IFERROR(INDEX(Table!I:O,MATCH(K2037,Table!I:I,0),3),"")</f>
        <v/>
      </c>
      <c r="N2037" s="32" t="str">
        <f>IFERROR(INDEX(Table!I:O,MATCH(K2037,Table!I:I,0),4),"")</f>
        <v/>
      </c>
      <c r="O2037" s="32" t="str">
        <f>IFERROR(INDEX(Table!I:O,MATCH(K2037,Table!I:I,0),5),"")</f>
        <v/>
      </c>
      <c r="P2037" s="32" t="str">
        <f>IFERROR(INDEX(Table!I:O,MATCH(K2037,Table!I:I,0),6),"")</f>
        <v/>
      </c>
      <c r="Q2037" s="89" t="str">
        <f t="shared" si="93"/>
        <v/>
      </c>
      <c r="R2037" s="89" t="str">
        <f t="shared" si="94"/>
        <v/>
      </c>
      <c r="S2037" s="82"/>
      <c r="U2037" s="37" t="e">
        <f t="shared" si="95"/>
        <v>#VALUE!</v>
      </c>
    </row>
    <row r="2038" spans="1:21" x14ac:dyDescent="0.25">
      <c r="A2038" s="31" t="str">
        <f>IF(Table!A2038 = "","",Table!A2038)</f>
        <v/>
      </c>
      <c r="B2038" s="31" t="str">
        <f>IF(Table!B2038 = "","",Table!B2038)</f>
        <v/>
      </c>
      <c r="C2038" s="31" t="str">
        <f>IF(Table!C2038 = "","",Table!C2038)</f>
        <v/>
      </c>
      <c r="D2038" s="32" t="str">
        <f>IF(Table!D2038 = "","",Table!D2038)</f>
        <v/>
      </c>
      <c r="E2038" s="32" t="str">
        <f>IF(Table!E2038 = "","",Table!E2038)</f>
        <v/>
      </c>
      <c r="F2038" s="32" t="str">
        <f>IF(Table!F2038 = "","",Table!F2038)</f>
        <v/>
      </c>
      <c r="G2038" s="91"/>
      <c r="K2038" s="31" t="str">
        <f>IFERROR(VLOOKUP(A2038,Table!$I$4:$O$3000,1,TRUE),"")</f>
        <v/>
      </c>
      <c r="L2038" s="31" t="str">
        <f>IFERROR(INDEX(Table!I:O,MATCH(K2038,Table!I:I,0),2),"")</f>
        <v/>
      </c>
      <c r="M2038" s="31" t="str">
        <f>IFERROR(INDEX(Table!I:O,MATCH(K2038,Table!I:I,0),3),"")</f>
        <v/>
      </c>
      <c r="N2038" s="32" t="str">
        <f>IFERROR(INDEX(Table!I:O,MATCH(K2038,Table!I:I,0),4),"")</f>
        <v/>
      </c>
      <c r="O2038" s="32" t="str">
        <f>IFERROR(INDEX(Table!I:O,MATCH(K2038,Table!I:I,0),5),"")</f>
        <v/>
      </c>
      <c r="P2038" s="32" t="str">
        <f>IFERROR(INDEX(Table!I:O,MATCH(K2038,Table!I:I,0),6),"")</f>
        <v/>
      </c>
      <c r="Q2038" s="89" t="str">
        <f t="shared" si="93"/>
        <v/>
      </c>
      <c r="R2038" s="89" t="str">
        <f t="shared" si="94"/>
        <v/>
      </c>
      <c r="S2038" s="82"/>
      <c r="U2038" s="37" t="e">
        <f t="shared" si="95"/>
        <v>#VALUE!</v>
      </c>
    </row>
    <row r="2039" spans="1:21" x14ac:dyDescent="0.25">
      <c r="A2039" s="31" t="str">
        <f>IF(Table!A2039 = "","",Table!A2039)</f>
        <v/>
      </c>
      <c r="B2039" s="31" t="str">
        <f>IF(Table!B2039 = "","",Table!B2039)</f>
        <v/>
      </c>
      <c r="C2039" s="31" t="str">
        <f>IF(Table!C2039 = "","",Table!C2039)</f>
        <v/>
      </c>
      <c r="D2039" s="32" t="str">
        <f>IF(Table!D2039 = "","",Table!D2039)</f>
        <v/>
      </c>
      <c r="E2039" s="32" t="str">
        <f>IF(Table!E2039 = "","",Table!E2039)</f>
        <v/>
      </c>
      <c r="F2039" s="32" t="str">
        <f>IF(Table!F2039 = "","",Table!F2039)</f>
        <v/>
      </c>
      <c r="G2039" s="91"/>
      <c r="K2039" s="31" t="str">
        <f>IFERROR(VLOOKUP(A2039,Table!$I$4:$O$3000,1,TRUE),"")</f>
        <v/>
      </c>
      <c r="L2039" s="31" t="str">
        <f>IFERROR(INDEX(Table!I:O,MATCH(K2039,Table!I:I,0),2),"")</f>
        <v/>
      </c>
      <c r="M2039" s="31" t="str">
        <f>IFERROR(INDEX(Table!I:O,MATCH(K2039,Table!I:I,0),3),"")</f>
        <v/>
      </c>
      <c r="N2039" s="32" t="str">
        <f>IFERROR(INDEX(Table!I:O,MATCH(K2039,Table!I:I,0),4),"")</f>
        <v/>
      </c>
      <c r="O2039" s="32" t="str">
        <f>IFERROR(INDEX(Table!I:O,MATCH(K2039,Table!I:I,0),5),"")</f>
        <v/>
      </c>
      <c r="P2039" s="32" t="str">
        <f>IFERROR(INDEX(Table!I:O,MATCH(K2039,Table!I:I,0),6),"")</f>
        <v/>
      </c>
      <c r="Q2039" s="89" t="str">
        <f t="shared" si="93"/>
        <v/>
      </c>
      <c r="R2039" s="89" t="str">
        <f t="shared" si="94"/>
        <v/>
      </c>
      <c r="S2039" s="82"/>
      <c r="U2039" s="37" t="e">
        <f t="shared" si="95"/>
        <v>#VALUE!</v>
      </c>
    </row>
    <row r="2040" spans="1:21" x14ac:dyDescent="0.25">
      <c r="A2040" s="31" t="str">
        <f>IF(Table!A2040 = "","",Table!A2040)</f>
        <v/>
      </c>
      <c r="B2040" s="31" t="str">
        <f>IF(Table!B2040 = "","",Table!B2040)</f>
        <v/>
      </c>
      <c r="C2040" s="31" t="str">
        <f>IF(Table!C2040 = "","",Table!C2040)</f>
        <v/>
      </c>
      <c r="D2040" s="32" t="str">
        <f>IF(Table!D2040 = "","",Table!D2040)</f>
        <v/>
      </c>
      <c r="E2040" s="32" t="str">
        <f>IF(Table!E2040 = "","",Table!E2040)</f>
        <v/>
      </c>
      <c r="F2040" s="32" t="str">
        <f>IF(Table!F2040 = "","",Table!F2040)</f>
        <v/>
      </c>
      <c r="G2040" s="91"/>
      <c r="K2040" s="31" t="str">
        <f>IFERROR(VLOOKUP(A2040,Table!$I$4:$O$3000,1,TRUE),"")</f>
        <v/>
      </c>
      <c r="L2040" s="31" t="str">
        <f>IFERROR(INDEX(Table!I:O,MATCH(K2040,Table!I:I,0),2),"")</f>
        <v/>
      </c>
      <c r="M2040" s="31" t="str">
        <f>IFERROR(INDEX(Table!I:O,MATCH(K2040,Table!I:I,0),3),"")</f>
        <v/>
      </c>
      <c r="N2040" s="32" t="str">
        <f>IFERROR(INDEX(Table!I:O,MATCH(K2040,Table!I:I,0),4),"")</f>
        <v/>
      </c>
      <c r="O2040" s="32" t="str">
        <f>IFERROR(INDEX(Table!I:O,MATCH(K2040,Table!I:I,0),5),"")</f>
        <v/>
      </c>
      <c r="P2040" s="32" t="str">
        <f>IFERROR(INDEX(Table!I:O,MATCH(K2040,Table!I:I,0),6),"")</f>
        <v/>
      </c>
      <c r="Q2040" s="89" t="str">
        <f t="shared" si="93"/>
        <v/>
      </c>
      <c r="R2040" s="89" t="str">
        <f t="shared" si="94"/>
        <v/>
      </c>
      <c r="S2040" s="82"/>
      <c r="U2040" s="37" t="e">
        <f t="shared" si="95"/>
        <v>#VALUE!</v>
      </c>
    </row>
    <row r="2041" spans="1:21" x14ac:dyDescent="0.25">
      <c r="A2041" s="31" t="str">
        <f>IF(Table!A2041 = "","",Table!A2041)</f>
        <v/>
      </c>
      <c r="B2041" s="31" t="str">
        <f>IF(Table!B2041 = "","",Table!B2041)</f>
        <v/>
      </c>
      <c r="C2041" s="31" t="str">
        <f>IF(Table!C2041 = "","",Table!C2041)</f>
        <v/>
      </c>
      <c r="D2041" s="32" t="str">
        <f>IF(Table!D2041 = "","",Table!D2041)</f>
        <v/>
      </c>
      <c r="E2041" s="32" t="str">
        <f>IF(Table!E2041 = "","",Table!E2041)</f>
        <v/>
      </c>
      <c r="F2041" s="32" t="str">
        <f>IF(Table!F2041 = "","",Table!F2041)</f>
        <v/>
      </c>
      <c r="G2041" s="91"/>
      <c r="K2041" s="31" t="str">
        <f>IFERROR(VLOOKUP(A2041,Table!$I$4:$O$3000,1,TRUE),"")</f>
        <v/>
      </c>
      <c r="L2041" s="31" t="str">
        <f>IFERROR(INDEX(Table!I:O,MATCH(K2041,Table!I:I,0),2),"")</f>
        <v/>
      </c>
      <c r="M2041" s="31" t="str">
        <f>IFERROR(INDEX(Table!I:O,MATCH(K2041,Table!I:I,0),3),"")</f>
        <v/>
      </c>
      <c r="N2041" s="32" t="str">
        <f>IFERROR(INDEX(Table!I:O,MATCH(K2041,Table!I:I,0),4),"")</f>
        <v/>
      </c>
      <c r="O2041" s="32" t="str">
        <f>IFERROR(INDEX(Table!I:O,MATCH(K2041,Table!I:I,0),5),"")</f>
        <v/>
      </c>
      <c r="P2041" s="32" t="str">
        <f>IFERROR(INDEX(Table!I:O,MATCH(K2041,Table!I:I,0),6),"")</f>
        <v/>
      </c>
      <c r="Q2041" s="89" t="str">
        <f t="shared" si="93"/>
        <v/>
      </c>
      <c r="R2041" s="89" t="str">
        <f t="shared" si="94"/>
        <v/>
      </c>
      <c r="S2041" s="82"/>
      <c r="U2041" s="37" t="e">
        <f t="shared" si="95"/>
        <v>#VALUE!</v>
      </c>
    </row>
    <row r="2042" spans="1:21" x14ac:dyDescent="0.25">
      <c r="A2042" s="31" t="str">
        <f>IF(Table!A2042 = "","",Table!A2042)</f>
        <v/>
      </c>
      <c r="B2042" s="31" t="str">
        <f>IF(Table!B2042 = "","",Table!B2042)</f>
        <v/>
      </c>
      <c r="C2042" s="31" t="str">
        <f>IF(Table!C2042 = "","",Table!C2042)</f>
        <v/>
      </c>
      <c r="D2042" s="32" t="str">
        <f>IF(Table!D2042 = "","",Table!D2042)</f>
        <v/>
      </c>
      <c r="E2042" s="32" t="str">
        <f>IF(Table!E2042 = "","",Table!E2042)</f>
        <v/>
      </c>
      <c r="F2042" s="32" t="str">
        <f>IF(Table!F2042 = "","",Table!F2042)</f>
        <v/>
      </c>
      <c r="G2042" s="91"/>
      <c r="K2042" s="31" t="str">
        <f>IFERROR(VLOOKUP(A2042,Table!$I$4:$O$3000,1,TRUE),"")</f>
        <v/>
      </c>
      <c r="L2042" s="31" t="str">
        <f>IFERROR(INDEX(Table!I:O,MATCH(K2042,Table!I:I,0),2),"")</f>
        <v/>
      </c>
      <c r="M2042" s="31" t="str">
        <f>IFERROR(INDEX(Table!I:O,MATCH(K2042,Table!I:I,0),3),"")</f>
        <v/>
      </c>
      <c r="N2042" s="32" t="str">
        <f>IFERROR(INDEX(Table!I:O,MATCH(K2042,Table!I:I,0),4),"")</f>
        <v/>
      </c>
      <c r="O2042" s="32" t="str">
        <f>IFERROR(INDEX(Table!I:O,MATCH(K2042,Table!I:I,0),5),"")</f>
        <v/>
      </c>
      <c r="P2042" s="32" t="str">
        <f>IFERROR(INDEX(Table!I:O,MATCH(K2042,Table!I:I,0),6),"")</f>
        <v/>
      </c>
      <c r="Q2042" s="89" t="str">
        <f t="shared" si="93"/>
        <v/>
      </c>
      <c r="R2042" s="89" t="str">
        <f t="shared" si="94"/>
        <v/>
      </c>
      <c r="S2042" s="82"/>
      <c r="U2042" s="37" t="e">
        <f t="shared" si="95"/>
        <v>#VALUE!</v>
      </c>
    </row>
    <row r="2043" spans="1:21" x14ac:dyDescent="0.25">
      <c r="A2043" s="31" t="str">
        <f>IF(Table!A2043 = "","",Table!A2043)</f>
        <v/>
      </c>
      <c r="B2043" s="31" t="str">
        <f>IF(Table!B2043 = "","",Table!B2043)</f>
        <v/>
      </c>
      <c r="C2043" s="31" t="str">
        <f>IF(Table!C2043 = "","",Table!C2043)</f>
        <v/>
      </c>
      <c r="D2043" s="32" t="str">
        <f>IF(Table!D2043 = "","",Table!D2043)</f>
        <v/>
      </c>
      <c r="E2043" s="32" t="str">
        <f>IF(Table!E2043 = "","",Table!E2043)</f>
        <v/>
      </c>
      <c r="F2043" s="32" t="str">
        <f>IF(Table!F2043 = "","",Table!F2043)</f>
        <v/>
      </c>
      <c r="G2043" s="91"/>
      <c r="K2043" s="31" t="str">
        <f>IFERROR(VLOOKUP(A2043,Table!$I$4:$O$3000,1,TRUE),"")</f>
        <v/>
      </c>
      <c r="L2043" s="31" t="str">
        <f>IFERROR(INDEX(Table!I:O,MATCH(K2043,Table!I:I,0),2),"")</f>
        <v/>
      </c>
      <c r="M2043" s="31" t="str">
        <f>IFERROR(INDEX(Table!I:O,MATCH(K2043,Table!I:I,0),3),"")</f>
        <v/>
      </c>
      <c r="N2043" s="32" t="str">
        <f>IFERROR(INDEX(Table!I:O,MATCH(K2043,Table!I:I,0),4),"")</f>
        <v/>
      </c>
      <c r="O2043" s="32" t="str">
        <f>IFERROR(INDEX(Table!I:O,MATCH(K2043,Table!I:I,0),5),"")</f>
        <v/>
      </c>
      <c r="P2043" s="32" t="str">
        <f>IFERROR(INDEX(Table!I:O,MATCH(K2043,Table!I:I,0),6),"")</f>
        <v/>
      </c>
      <c r="Q2043" s="89" t="str">
        <f t="shared" si="93"/>
        <v/>
      </c>
      <c r="R2043" s="89" t="str">
        <f t="shared" si="94"/>
        <v/>
      </c>
      <c r="S2043" s="82"/>
      <c r="U2043" s="37" t="e">
        <f t="shared" si="95"/>
        <v>#VALUE!</v>
      </c>
    </row>
    <row r="2044" spans="1:21" x14ac:dyDescent="0.25">
      <c r="A2044" s="31" t="str">
        <f>IF(Table!A2044 = "","",Table!A2044)</f>
        <v/>
      </c>
      <c r="B2044" s="31" t="str">
        <f>IF(Table!B2044 = "","",Table!B2044)</f>
        <v/>
      </c>
      <c r="C2044" s="31" t="str">
        <f>IF(Table!C2044 = "","",Table!C2044)</f>
        <v/>
      </c>
      <c r="D2044" s="32" t="str">
        <f>IF(Table!D2044 = "","",Table!D2044)</f>
        <v/>
      </c>
      <c r="E2044" s="32" t="str">
        <f>IF(Table!E2044 = "","",Table!E2044)</f>
        <v/>
      </c>
      <c r="F2044" s="32" t="str">
        <f>IF(Table!F2044 = "","",Table!F2044)</f>
        <v/>
      </c>
      <c r="G2044" s="91"/>
      <c r="K2044" s="31" t="str">
        <f>IFERROR(VLOOKUP(A2044,Table!$I$4:$O$3000,1,TRUE),"")</f>
        <v/>
      </c>
      <c r="L2044" s="31" t="str">
        <f>IFERROR(INDEX(Table!I:O,MATCH(K2044,Table!I:I,0),2),"")</f>
        <v/>
      </c>
      <c r="M2044" s="31" t="str">
        <f>IFERROR(INDEX(Table!I:O,MATCH(K2044,Table!I:I,0),3),"")</f>
        <v/>
      </c>
      <c r="N2044" s="32" t="str">
        <f>IFERROR(INDEX(Table!I:O,MATCH(K2044,Table!I:I,0),4),"")</f>
        <v/>
      </c>
      <c r="O2044" s="32" t="str">
        <f>IFERROR(INDEX(Table!I:O,MATCH(K2044,Table!I:I,0),5),"")</f>
        <v/>
      </c>
      <c r="P2044" s="32" t="str">
        <f>IFERROR(INDEX(Table!I:O,MATCH(K2044,Table!I:I,0),6),"")</f>
        <v/>
      </c>
      <c r="Q2044" s="89" t="str">
        <f t="shared" si="93"/>
        <v/>
      </c>
      <c r="R2044" s="89" t="str">
        <f t="shared" si="94"/>
        <v/>
      </c>
      <c r="S2044" s="82"/>
      <c r="U2044" s="37" t="e">
        <f t="shared" si="95"/>
        <v>#VALUE!</v>
      </c>
    </row>
    <row r="2045" spans="1:21" x14ac:dyDescent="0.25">
      <c r="A2045" s="31" t="str">
        <f>IF(Table!A2045 = "","",Table!A2045)</f>
        <v/>
      </c>
      <c r="B2045" s="31" t="str">
        <f>IF(Table!B2045 = "","",Table!B2045)</f>
        <v/>
      </c>
      <c r="C2045" s="31" t="str">
        <f>IF(Table!C2045 = "","",Table!C2045)</f>
        <v/>
      </c>
      <c r="D2045" s="32" t="str">
        <f>IF(Table!D2045 = "","",Table!D2045)</f>
        <v/>
      </c>
      <c r="E2045" s="32" t="str">
        <f>IF(Table!E2045 = "","",Table!E2045)</f>
        <v/>
      </c>
      <c r="F2045" s="32" t="str">
        <f>IF(Table!F2045 = "","",Table!F2045)</f>
        <v/>
      </c>
      <c r="G2045" s="91"/>
      <c r="K2045" s="31" t="str">
        <f>IFERROR(VLOOKUP(A2045,Table!$I$4:$O$3000,1,TRUE),"")</f>
        <v/>
      </c>
      <c r="L2045" s="31" t="str">
        <f>IFERROR(INDEX(Table!I:O,MATCH(K2045,Table!I:I,0),2),"")</f>
        <v/>
      </c>
      <c r="M2045" s="31" t="str">
        <f>IFERROR(INDEX(Table!I:O,MATCH(K2045,Table!I:I,0),3),"")</f>
        <v/>
      </c>
      <c r="N2045" s="32" t="str">
        <f>IFERROR(INDEX(Table!I:O,MATCH(K2045,Table!I:I,0),4),"")</f>
        <v/>
      </c>
      <c r="O2045" s="32" t="str">
        <f>IFERROR(INDEX(Table!I:O,MATCH(K2045,Table!I:I,0),5),"")</f>
        <v/>
      </c>
      <c r="P2045" s="32" t="str">
        <f>IFERROR(INDEX(Table!I:O,MATCH(K2045,Table!I:I,0),6),"")</f>
        <v/>
      </c>
      <c r="Q2045" s="89" t="str">
        <f t="shared" si="93"/>
        <v/>
      </c>
      <c r="R2045" s="89" t="str">
        <f t="shared" si="94"/>
        <v/>
      </c>
      <c r="S2045" s="82"/>
      <c r="U2045" s="37" t="e">
        <f t="shared" si="95"/>
        <v>#VALUE!</v>
      </c>
    </row>
    <row r="2046" spans="1:21" x14ac:dyDescent="0.25">
      <c r="A2046" s="31" t="str">
        <f>IF(Table!A2046 = "","",Table!A2046)</f>
        <v/>
      </c>
      <c r="B2046" s="31" t="str">
        <f>IF(Table!B2046 = "","",Table!B2046)</f>
        <v/>
      </c>
      <c r="C2046" s="31" t="str">
        <f>IF(Table!C2046 = "","",Table!C2046)</f>
        <v/>
      </c>
      <c r="D2046" s="32" t="str">
        <f>IF(Table!D2046 = "","",Table!D2046)</f>
        <v/>
      </c>
      <c r="E2046" s="32" t="str">
        <f>IF(Table!E2046 = "","",Table!E2046)</f>
        <v/>
      </c>
      <c r="F2046" s="32" t="str">
        <f>IF(Table!F2046 = "","",Table!F2046)</f>
        <v/>
      </c>
      <c r="G2046" s="91"/>
      <c r="K2046" s="31" t="str">
        <f>IFERROR(VLOOKUP(A2046,Table!$I$4:$O$3000,1,TRUE),"")</f>
        <v/>
      </c>
      <c r="L2046" s="31" t="str">
        <f>IFERROR(INDEX(Table!I:O,MATCH(K2046,Table!I:I,0),2),"")</f>
        <v/>
      </c>
      <c r="M2046" s="31" t="str">
        <f>IFERROR(INDEX(Table!I:O,MATCH(K2046,Table!I:I,0),3),"")</f>
        <v/>
      </c>
      <c r="N2046" s="32" t="str">
        <f>IFERROR(INDEX(Table!I:O,MATCH(K2046,Table!I:I,0),4),"")</f>
        <v/>
      </c>
      <c r="O2046" s="32" t="str">
        <f>IFERROR(INDEX(Table!I:O,MATCH(K2046,Table!I:I,0),5),"")</f>
        <v/>
      </c>
      <c r="P2046" s="32" t="str">
        <f>IFERROR(INDEX(Table!I:O,MATCH(K2046,Table!I:I,0),6),"")</f>
        <v/>
      </c>
      <c r="Q2046" s="89" t="str">
        <f t="shared" si="93"/>
        <v/>
      </c>
      <c r="R2046" s="89" t="str">
        <f t="shared" si="94"/>
        <v/>
      </c>
      <c r="S2046" s="82"/>
      <c r="U2046" s="37" t="e">
        <f t="shared" si="95"/>
        <v>#VALUE!</v>
      </c>
    </row>
    <row r="2047" spans="1:21" x14ac:dyDescent="0.25">
      <c r="A2047" s="31" t="str">
        <f>IF(Table!A2047 = "","",Table!A2047)</f>
        <v/>
      </c>
      <c r="B2047" s="31" t="str">
        <f>IF(Table!B2047 = "","",Table!B2047)</f>
        <v/>
      </c>
      <c r="C2047" s="31" t="str">
        <f>IF(Table!C2047 = "","",Table!C2047)</f>
        <v/>
      </c>
      <c r="D2047" s="32" t="str">
        <f>IF(Table!D2047 = "","",Table!D2047)</f>
        <v/>
      </c>
      <c r="E2047" s="32" t="str">
        <f>IF(Table!E2047 = "","",Table!E2047)</f>
        <v/>
      </c>
      <c r="F2047" s="32" t="str">
        <f>IF(Table!F2047 = "","",Table!F2047)</f>
        <v/>
      </c>
      <c r="G2047" s="91"/>
      <c r="K2047" s="31" t="str">
        <f>IFERROR(VLOOKUP(A2047,Table!$I$4:$O$3000,1,TRUE),"")</f>
        <v/>
      </c>
      <c r="L2047" s="31" t="str">
        <f>IFERROR(INDEX(Table!I:O,MATCH(K2047,Table!I:I,0),2),"")</f>
        <v/>
      </c>
      <c r="M2047" s="31" t="str">
        <f>IFERROR(INDEX(Table!I:O,MATCH(K2047,Table!I:I,0),3),"")</f>
        <v/>
      </c>
      <c r="N2047" s="32" t="str">
        <f>IFERROR(INDEX(Table!I:O,MATCH(K2047,Table!I:I,0),4),"")</f>
        <v/>
      </c>
      <c r="O2047" s="32" t="str">
        <f>IFERROR(INDEX(Table!I:O,MATCH(K2047,Table!I:I,0),5),"")</f>
        <v/>
      </c>
      <c r="P2047" s="32" t="str">
        <f>IFERROR(INDEX(Table!I:O,MATCH(K2047,Table!I:I,0),6),"")</f>
        <v/>
      </c>
      <c r="Q2047" s="89" t="str">
        <f t="shared" si="93"/>
        <v/>
      </c>
      <c r="R2047" s="89" t="str">
        <f t="shared" si="94"/>
        <v/>
      </c>
      <c r="S2047" s="82"/>
      <c r="U2047" s="37" t="e">
        <f t="shared" si="95"/>
        <v>#VALUE!</v>
      </c>
    </row>
    <row r="2048" spans="1:21" x14ac:dyDescent="0.25">
      <c r="A2048" s="31" t="str">
        <f>IF(Table!A2048 = "","",Table!A2048)</f>
        <v/>
      </c>
      <c r="B2048" s="31" t="str">
        <f>IF(Table!B2048 = "","",Table!B2048)</f>
        <v/>
      </c>
      <c r="C2048" s="31" t="str">
        <f>IF(Table!C2048 = "","",Table!C2048)</f>
        <v/>
      </c>
      <c r="D2048" s="32" t="str">
        <f>IF(Table!D2048 = "","",Table!D2048)</f>
        <v/>
      </c>
      <c r="E2048" s="32" t="str">
        <f>IF(Table!E2048 = "","",Table!E2048)</f>
        <v/>
      </c>
      <c r="F2048" s="32" t="str">
        <f>IF(Table!F2048 = "","",Table!F2048)</f>
        <v/>
      </c>
      <c r="G2048" s="91"/>
      <c r="K2048" s="31" t="str">
        <f>IFERROR(VLOOKUP(A2048,Table!$I$4:$O$3000,1,TRUE),"")</f>
        <v/>
      </c>
      <c r="L2048" s="31" t="str">
        <f>IFERROR(INDEX(Table!I:O,MATCH(K2048,Table!I:I,0),2),"")</f>
        <v/>
      </c>
      <c r="M2048" s="31" t="str">
        <f>IFERROR(INDEX(Table!I:O,MATCH(K2048,Table!I:I,0),3),"")</f>
        <v/>
      </c>
      <c r="N2048" s="32" t="str">
        <f>IFERROR(INDEX(Table!I:O,MATCH(K2048,Table!I:I,0),4),"")</f>
        <v/>
      </c>
      <c r="O2048" s="32" t="str">
        <f>IFERROR(INDEX(Table!I:O,MATCH(K2048,Table!I:I,0),5),"")</f>
        <v/>
      </c>
      <c r="P2048" s="32" t="str">
        <f>IFERROR(INDEX(Table!I:O,MATCH(K2048,Table!I:I,0),6),"")</f>
        <v/>
      </c>
      <c r="Q2048" s="89" t="str">
        <f t="shared" si="93"/>
        <v/>
      </c>
      <c r="R2048" s="89" t="str">
        <f t="shared" si="94"/>
        <v/>
      </c>
      <c r="S2048" s="82"/>
      <c r="U2048" s="37" t="e">
        <f t="shared" si="95"/>
        <v>#VALUE!</v>
      </c>
    </row>
    <row r="2049" spans="1:21" x14ac:dyDescent="0.25">
      <c r="A2049" s="31" t="str">
        <f>IF(Table!A2049 = "","",Table!A2049)</f>
        <v/>
      </c>
      <c r="B2049" s="31" t="str">
        <f>IF(Table!B2049 = "","",Table!B2049)</f>
        <v/>
      </c>
      <c r="C2049" s="31" t="str">
        <f>IF(Table!C2049 = "","",Table!C2049)</f>
        <v/>
      </c>
      <c r="D2049" s="32" t="str">
        <f>IF(Table!D2049 = "","",Table!D2049)</f>
        <v/>
      </c>
      <c r="E2049" s="32" t="str">
        <f>IF(Table!E2049 = "","",Table!E2049)</f>
        <v/>
      </c>
      <c r="F2049" s="32" t="str">
        <f>IF(Table!F2049 = "","",Table!F2049)</f>
        <v/>
      </c>
      <c r="G2049" s="91"/>
      <c r="K2049" s="31" t="str">
        <f>IFERROR(VLOOKUP(A2049,Table!$I$4:$O$3000,1,TRUE),"")</f>
        <v/>
      </c>
      <c r="L2049" s="31" t="str">
        <f>IFERROR(INDEX(Table!I:O,MATCH(K2049,Table!I:I,0),2),"")</f>
        <v/>
      </c>
      <c r="M2049" s="31" t="str">
        <f>IFERROR(INDEX(Table!I:O,MATCH(K2049,Table!I:I,0),3),"")</f>
        <v/>
      </c>
      <c r="N2049" s="32" t="str">
        <f>IFERROR(INDEX(Table!I:O,MATCH(K2049,Table!I:I,0),4),"")</f>
        <v/>
      </c>
      <c r="O2049" s="32" t="str">
        <f>IFERROR(INDEX(Table!I:O,MATCH(K2049,Table!I:I,0),5),"")</f>
        <v/>
      </c>
      <c r="P2049" s="32" t="str">
        <f>IFERROR(INDEX(Table!I:O,MATCH(K2049,Table!I:I,0),6),"")</f>
        <v/>
      </c>
      <c r="Q2049" s="89" t="str">
        <f t="shared" si="93"/>
        <v/>
      </c>
      <c r="R2049" s="89" t="str">
        <f t="shared" si="94"/>
        <v/>
      </c>
      <c r="S2049" s="82"/>
      <c r="U2049" s="37" t="e">
        <f t="shared" si="95"/>
        <v>#VALUE!</v>
      </c>
    </row>
    <row r="2050" spans="1:21" x14ac:dyDescent="0.25">
      <c r="A2050" s="31" t="str">
        <f>IF(Table!A2050 = "","",Table!A2050)</f>
        <v/>
      </c>
      <c r="B2050" s="31" t="str">
        <f>IF(Table!B2050 = "","",Table!B2050)</f>
        <v/>
      </c>
      <c r="C2050" s="31" t="str">
        <f>IF(Table!C2050 = "","",Table!C2050)</f>
        <v/>
      </c>
      <c r="D2050" s="32" t="str">
        <f>IF(Table!D2050 = "","",Table!D2050)</f>
        <v/>
      </c>
      <c r="E2050" s="32" t="str">
        <f>IF(Table!E2050 = "","",Table!E2050)</f>
        <v/>
      </c>
      <c r="F2050" s="32" t="str">
        <f>IF(Table!F2050 = "","",Table!F2050)</f>
        <v/>
      </c>
      <c r="G2050" s="91"/>
      <c r="K2050" s="31" t="str">
        <f>IFERROR(VLOOKUP(A2050,Table!$I$4:$O$3000,1,TRUE),"")</f>
        <v/>
      </c>
      <c r="L2050" s="31" t="str">
        <f>IFERROR(INDEX(Table!I:O,MATCH(K2050,Table!I:I,0),2),"")</f>
        <v/>
      </c>
      <c r="M2050" s="31" t="str">
        <f>IFERROR(INDEX(Table!I:O,MATCH(K2050,Table!I:I,0),3),"")</f>
        <v/>
      </c>
      <c r="N2050" s="32" t="str">
        <f>IFERROR(INDEX(Table!I:O,MATCH(K2050,Table!I:I,0),4),"")</f>
        <v/>
      </c>
      <c r="O2050" s="32" t="str">
        <f>IFERROR(INDEX(Table!I:O,MATCH(K2050,Table!I:I,0),5),"")</f>
        <v/>
      </c>
      <c r="P2050" s="32" t="str">
        <f>IFERROR(INDEX(Table!I:O,MATCH(K2050,Table!I:I,0),6),"")</f>
        <v/>
      </c>
      <c r="Q2050" s="89" t="str">
        <f t="shared" si="93"/>
        <v/>
      </c>
      <c r="R2050" s="89" t="str">
        <f t="shared" si="94"/>
        <v/>
      </c>
      <c r="S2050" s="82"/>
      <c r="U2050" s="37" t="e">
        <f t="shared" si="95"/>
        <v>#VALUE!</v>
      </c>
    </row>
    <row r="2051" spans="1:21" x14ac:dyDescent="0.25">
      <c r="A2051" s="31" t="str">
        <f>IF(Table!A2051 = "","",Table!A2051)</f>
        <v/>
      </c>
      <c r="B2051" s="31" t="str">
        <f>IF(Table!B2051 = "","",Table!B2051)</f>
        <v/>
      </c>
      <c r="C2051" s="31" t="str">
        <f>IF(Table!C2051 = "","",Table!C2051)</f>
        <v/>
      </c>
      <c r="D2051" s="32" t="str">
        <f>IF(Table!D2051 = "","",Table!D2051)</f>
        <v/>
      </c>
      <c r="E2051" s="32" t="str">
        <f>IF(Table!E2051 = "","",Table!E2051)</f>
        <v/>
      </c>
      <c r="F2051" s="32" t="str">
        <f>IF(Table!F2051 = "","",Table!F2051)</f>
        <v/>
      </c>
      <c r="G2051" s="91"/>
      <c r="K2051" s="31" t="str">
        <f>IFERROR(VLOOKUP(A2051,Table!$I$4:$O$3000,1,TRUE),"")</f>
        <v/>
      </c>
      <c r="L2051" s="31" t="str">
        <f>IFERROR(INDEX(Table!I:O,MATCH(K2051,Table!I:I,0),2),"")</f>
        <v/>
      </c>
      <c r="M2051" s="31" t="str">
        <f>IFERROR(INDEX(Table!I:O,MATCH(K2051,Table!I:I,0),3),"")</f>
        <v/>
      </c>
      <c r="N2051" s="32" t="str">
        <f>IFERROR(INDEX(Table!I:O,MATCH(K2051,Table!I:I,0),4),"")</f>
        <v/>
      </c>
      <c r="O2051" s="32" t="str">
        <f>IFERROR(INDEX(Table!I:O,MATCH(K2051,Table!I:I,0),5),"")</f>
        <v/>
      </c>
      <c r="P2051" s="32" t="str">
        <f>IFERROR(INDEX(Table!I:O,MATCH(K2051,Table!I:I,0),6),"")</f>
        <v/>
      </c>
      <c r="Q2051" s="89" t="str">
        <f t="shared" si="93"/>
        <v/>
      </c>
      <c r="R2051" s="89" t="str">
        <f t="shared" si="94"/>
        <v/>
      </c>
      <c r="S2051" s="82"/>
      <c r="U2051" s="37" t="e">
        <f t="shared" si="95"/>
        <v>#VALUE!</v>
      </c>
    </row>
    <row r="2052" spans="1:21" x14ac:dyDescent="0.25">
      <c r="A2052" s="31" t="str">
        <f>IF(Table!A2052 = "","",Table!A2052)</f>
        <v/>
      </c>
      <c r="B2052" s="31" t="str">
        <f>IF(Table!B2052 = "","",Table!B2052)</f>
        <v/>
      </c>
      <c r="C2052" s="31" t="str">
        <f>IF(Table!C2052 = "","",Table!C2052)</f>
        <v/>
      </c>
      <c r="D2052" s="32" t="str">
        <f>IF(Table!D2052 = "","",Table!D2052)</f>
        <v/>
      </c>
      <c r="E2052" s="32" t="str">
        <f>IF(Table!E2052 = "","",Table!E2052)</f>
        <v/>
      </c>
      <c r="F2052" s="32" t="str">
        <f>IF(Table!F2052 = "","",Table!F2052)</f>
        <v/>
      </c>
      <c r="G2052" s="91"/>
      <c r="K2052" s="31" t="str">
        <f>IFERROR(VLOOKUP(A2052,Table!$I$4:$O$3000,1,TRUE),"")</f>
        <v/>
      </c>
      <c r="L2052" s="31" t="str">
        <f>IFERROR(INDEX(Table!I:O,MATCH(K2052,Table!I:I,0),2),"")</f>
        <v/>
      </c>
      <c r="M2052" s="31" t="str">
        <f>IFERROR(INDEX(Table!I:O,MATCH(K2052,Table!I:I,0),3),"")</f>
        <v/>
      </c>
      <c r="N2052" s="32" t="str">
        <f>IFERROR(INDEX(Table!I:O,MATCH(K2052,Table!I:I,0),4),"")</f>
        <v/>
      </c>
      <c r="O2052" s="32" t="str">
        <f>IFERROR(INDEX(Table!I:O,MATCH(K2052,Table!I:I,0),5),"")</f>
        <v/>
      </c>
      <c r="P2052" s="32" t="str">
        <f>IFERROR(INDEX(Table!I:O,MATCH(K2052,Table!I:I,0),6),"")</f>
        <v/>
      </c>
      <c r="Q2052" s="89" t="str">
        <f t="shared" si="93"/>
        <v/>
      </c>
      <c r="R2052" s="89" t="str">
        <f t="shared" si="94"/>
        <v/>
      </c>
      <c r="S2052" s="82"/>
      <c r="U2052" s="37" t="e">
        <f t="shared" si="95"/>
        <v>#VALUE!</v>
      </c>
    </row>
    <row r="2053" spans="1:21" x14ac:dyDescent="0.25">
      <c r="A2053" s="31" t="str">
        <f>IF(Table!A2053 = "","",Table!A2053)</f>
        <v/>
      </c>
      <c r="B2053" s="31" t="str">
        <f>IF(Table!B2053 = "","",Table!B2053)</f>
        <v/>
      </c>
      <c r="C2053" s="31" t="str">
        <f>IF(Table!C2053 = "","",Table!C2053)</f>
        <v/>
      </c>
      <c r="D2053" s="32" t="str">
        <f>IF(Table!D2053 = "","",Table!D2053)</f>
        <v/>
      </c>
      <c r="E2053" s="32" t="str">
        <f>IF(Table!E2053 = "","",Table!E2053)</f>
        <v/>
      </c>
      <c r="F2053" s="32" t="str">
        <f>IF(Table!F2053 = "","",Table!F2053)</f>
        <v/>
      </c>
      <c r="G2053" s="91"/>
      <c r="K2053" s="31" t="str">
        <f>IFERROR(VLOOKUP(A2053,Table!$I$4:$O$3000,1,TRUE),"")</f>
        <v/>
      </c>
      <c r="L2053" s="31" t="str">
        <f>IFERROR(INDEX(Table!I:O,MATCH(K2053,Table!I:I,0),2),"")</f>
        <v/>
      </c>
      <c r="M2053" s="31" t="str">
        <f>IFERROR(INDEX(Table!I:O,MATCH(K2053,Table!I:I,0),3),"")</f>
        <v/>
      </c>
      <c r="N2053" s="32" t="str">
        <f>IFERROR(INDEX(Table!I:O,MATCH(K2053,Table!I:I,0),4),"")</f>
        <v/>
      </c>
      <c r="O2053" s="32" t="str">
        <f>IFERROR(INDEX(Table!I:O,MATCH(K2053,Table!I:I,0),5),"")</f>
        <v/>
      </c>
      <c r="P2053" s="32" t="str">
        <f>IFERROR(INDEX(Table!I:O,MATCH(K2053,Table!I:I,0),6),"")</f>
        <v/>
      </c>
      <c r="Q2053" s="89" t="str">
        <f t="shared" si="93"/>
        <v/>
      </c>
      <c r="R2053" s="89" t="str">
        <f t="shared" si="94"/>
        <v/>
      </c>
      <c r="S2053" s="82"/>
      <c r="U2053" s="37" t="e">
        <f t="shared" si="95"/>
        <v>#VALUE!</v>
      </c>
    </row>
    <row r="2054" spans="1:21" x14ac:dyDescent="0.25">
      <c r="A2054" s="31" t="str">
        <f>IF(Table!A2054 = "","",Table!A2054)</f>
        <v/>
      </c>
      <c r="B2054" s="31" t="str">
        <f>IF(Table!B2054 = "","",Table!B2054)</f>
        <v/>
      </c>
      <c r="C2054" s="31" t="str">
        <f>IF(Table!C2054 = "","",Table!C2054)</f>
        <v/>
      </c>
      <c r="D2054" s="32" t="str">
        <f>IF(Table!D2054 = "","",Table!D2054)</f>
        <v/>
      </c>
      <c r="E2054" s="32" t="str">
        <f>IF(Table!E2054 = "","",Table!E2054)</f>
        <v/>
      </c>
      <c r="F2054" s="32" t="str">
        <f>IF(Table!F2054 = "","",Table!F2054)</f>
        <v/>
      </c>
      <c r="G2054" s="91"/>
      <c r="K2054" s="31" t="str">
        <f>IFERROR(VLOOKUP(A2054,Table!$I$4:$O$3000,1,TRUE),"")</f>
        <v/>
      </c>
      <c r="L2054" s="31" t="str">
        <f>IFERROR(INDEX(Table!I:O,MATCH(K2054,Table!I:I,0),2),"")</f>
        <v/>
      </c>
      <c r="M2054" s="31" t="str">
        <f>IFERROR(INDEX(Table!I:O,MATCH(K2054,Table!I:I,0),3),"")</f>
        <v/>
      </c>
      <c r="N2054" s="32" t="str">
        <f>IFERROR(INDEX(Table!I:O,MATCH(K2054,Table!I:I,0),4),"")</f>
        <v/>
      </c>
      <c r="O2054" s="32" t="str">
        <f>IFERROR(INDEX(Table!I:O,MATCH(K2054,Table!I:I,0),5),"")</f>
        <v/>
      </c>
      <c r="P2054" s="32" t="str">
        <f>IFERROR(INDEX(Table!I:O,MATCH(K2054,Table!I:I,0),6),"")</f>
        <v/>
      </c>
      <c r="Q2054" s="89" t="str">
        <f t="shared" ref="Q2054:Q2117" si="96">IFERROR(L2054-B2054,"")</f>
        <v/>
      </c>
      <c r="R2054" s="89" t="str">
        <f t="shared" ref="R2054:R2117" si="97">IFERROR(M2054-C2054,"")</f>
        <v/>
      </c>
      <c r="S2054" s="82"/>
      <c r="U2054" s="37" t="e">
        <f t="shared" ref="U2054:U2117" si="98">K2054-K2053</f>
        <v>#VALUE!</v>
      </c>
    </row>
    <row r="2055" spans="1:21" x14ac:dyDescent="0.25">
      <c r="A2055" s="31" t="str">
        <f>IF(Table!A2055 = "","",Table!A2055)</f>
        <v/>
      </c>
      <c r="B2055" s="31" t="str">
        <f>IF(Table!B2055 = "","",Table!B2055)</f>
        <v/>
      </c>
      <c r="C2055" s="31" t="str">
        <f>IF(Table!C2055 = "","",Table!C2055)</f>
        <v/>
      </c>
      <c r="D2055" s="32" t="str">
        <f>IF(Table!D2055 = "","",Table!D2055)</f>
        <v/>
      </c>
      <c r="E2055" s="32" t="str">
        <f>IF(Table!E2055 = "","",Table!E2055)</f>
        <v/>
      </c>
      <c r="F2055" s="32" t="str">
        <f>IF(Table!F2055 = "","",Table!F2055)</f>
        <v/>
      </c>
      <c r="G2055" s="91"/>
      <c r="K2055" s="31" t="str">
        <f>IFERROR(VLOOKUP(A2055,Table!$I$4:$O$3000,1,TRUE),"")</f>
        <v/>
      </c>
      <c r="L2055" s="31" t="str">
        <f>IFERROR(INDEX(Table!I:O,MATCH(K2055,Table!I:I,0),2),"")</f>
        <v/>
      </c>
      <c r="M2055" s="31" t="str">
        <f>IFERROR(INDEX(Table!I:O,MATCH(K2055,Table!I:I,0),3),"")</f>
        <v/>
      </c>
      <c r="N2055" s="32" t="str">
        <f>IFERROR(INDEX(Table!I:O,MATCH(K2055,Table!I:I,0),4),"")</f>
        <v/>
      </c>
      <c r="O2055" s="32" t="str">
        <f>IFERROR(INDEX(Table!I:O,MATCH(K2055,Table!I:I,0),5),"")</f>
        <v/>
      </c>
      <c r="P2055" s="32" t="str">
        <f>IFERROR(INDEX(Table!I:O,MATCH(K2055,Table!I:I,0),6),"")</f>
        <v/>
      </c>
      <c r="Q2055" s="89" t="str">
        <f t="shared" si="96"/>
        <v/>
      </c>
      <c r="R2055" s="89" t="str">
        <f t="shared" si="97"/>
        <v/>
      </c>
      <c r="S2055" s="82"/>
      <c r="U2055" s="37" t="e">
        <f t="shared" si="98"/>
        <v>#VALUE!</v>
      </c>
    </row>
    <row r="2056" spans="1:21" x14ac:dyDescent="0.25">
      <c r="A2056" s="31" t="str">
        <f>IF(Table!A2056 = "","",Table!A2056)</f>
        <v/>
      </c>
      <c r="B2056" s="31" t="str">
        <f>IF(Table!B2056 = "","",Table!B2056)</f>
        <v/>
      </c>
      <c r="C2056" s="31" t="str">
        <f>IF(Table!C2056 = "","",Table!C2056)</f>
        <v/>
      </c>
      <c r="D2056" s="32" t="str">
        <f>IF(Table!D2056 = "","",Table!D2056)</f>
        <v/>
      </c>
      <c r="E2056" s="32" t="str">
        <f>IF(Table!E2056 = "","",Table!E2056)</f>
        <v/>
      </c>
      <c r="F2056" s="32" t="str">
        <f>IF(Table!F2056 = "","",Table!F2056)</f>
        <v/>
      </c>
      <c r="G2056" s="91"/>
      <c r="K2056" s="31" t="str">
        <f>IFERROR(VLOOKUP(A2056,Table!$I$4:$O$3000,1,TRUE),"")</f>
        <v/>
      </c>
      <c r="L2056" s="31" t="str">
        <f>IFERROR(INDEX(Table!I:O,MATCH(K2056,Table!I:I,0),2),"")</f>
        <v/>
      </c>
      <c r="M2056" s="31" t="str">
        <f>IFERROR(INDEX(Table!I:O,MATCH(K2056,Table!I:I,0),3),"")</f>
        <v/>
      </c>
      <c r="N2056" s="32" t="str">
        <f>IFERROR(INDEX(Table!I:O,MATCH(K2056,Table!I:I,0),4),"")</f>
        <v/>
      </c>
      <c r="O2056" s="32" t="str">
        <f>IFERROR(INDEX(Table!I:O,MATCH(K2056,Table!I:I,0),5),"")</f>
        <v/>
      </c>
      <c r="P2056" s="32" t="str">
        <f>IFERROR(INDEX(Table!I:O,MATCH(K2056,Table!I:I,0),6),"")</f>
        <v/>
      </c>
      <c r="Q2056" s="89" t="str">
        <f t="shared" si="96"/>
        <v/>
      </c>
      <c r="R2056" s="89" t="str">
        <f t="shared" si="97"/>
        <v/>
      </c>
      <c r="S2056" s="82"/>
      <c r="U2056" s="37" t="e">
        <f t="shared" si="98"/>
        <v>#VALUE!</v>
      </c>
    </row>
    <row r="2057" spans="1:21" x14ac:dyDescent="0.25">
      <c r="A2057" s="31" t="str">
        <f>IF(Table!A2057 = "","",Table!A2057)</f>
        <v/>
      </c>
      <c r="B2057" s="31" t="str">
        <f>IF(Table!B2057 = "","",Table!B2057)</f>
        <v/>
      </c>
      <c r="C2057" s="31" t="str">
        <f>IF(Table!C2057 = "","",Table!C2057)</f>
        <v/>
      </c>
      <c r="D2057" s="32" t="str">
        <f>IF(Table!D2057 = "","",Table!D2057)</f>
        <v/>
      </c>
      <c r="E2057" s="32" t="str">
        <f>IF(Table!E2057 = "","",Table!E2057)</f>
        <v/>
      </c>
      <c r="F2057" s="32" t="str">
        <f>IF(Table!F2057 = "","",Table!F2057)</f>
        <v/>
      </c>
      <c r="G2057" s="91"/>
      <c r="K2057" s="31" t="str">
        <f>IFERROR(VLOOKUP(A2057,Table!$I$4:$O$3000,1,TRUE),"")</f>
        <v/>
      </c>
      <c r="L2057" s="31" t="str">
        <f>IFERROR(INDEX(Table!I:O,MATCH(K2057,Table!I:I,0),2),"")</f>
        <v/>
      </c>
      <c r="M2057" s="31" t="str">
        <f>IFERROR(INDEX(Table!I:O,MATCH(K2057,Table!I:I,0),3),"")</f>
        <v/>
      </c>
      <c r="N2057" s="32" t="str">
        <f>IFERROR(INDEX(Table!I:O,MATCH(K2057,Table!I:I,0),4),"")</f>
        <v/>
      </c>
      <c r="O2057" s="32" t="str">
        <f>IFERROR(INDEX(Table!I:O,MATCH(K2057,Table!I:I,0),5),"")</f>
        <v/>
      </c>
      <c r="P2057" s="32" t="str">
        <f>IFERROR(INDEX(Table!I:O,MATCH(K2057,Table!I:I,0),6),"")</f>
        <v/>
      </c>
      <c r="Q2057" s="89" t="str">
        <f t="shared" si="96"/>
        <v/>
      </c>
      <c r="R2057" s="89" t="str">
        <f t="shared" si="97"/>
        <v/>
      </c>
      <c r="S2057" s="82"/>
      <c r="U2057" s="37" t="e">
        <f t="shared" si="98"/>
        <v>#VALUE!</v>
      </c>
    </row>
    <row r="2058" spans="1:21" x14ac:dyDescent="0.25">
      <c r="A2058" s="31" t="str">
        <f>IF(Table!A2058 = "","",Table!A2058)</f>
        <v/>
      </c>
      <c r="B2058" s="31" t="str">
        <f>IF(Table!B2058 = "","",Table!B2058)</f>
        <v/>
      </c>
      <c r="C2058" s="31" t="str">
        <f>IF(Table!C2058 = "","",Table!C2058)</f>
        <v/>
      </c>
      <c r="D2058" s="32" t="str">
        <f>IF(Table!D2058 = "","",Table!D2058)</f>
        <v/>
      </c>
      <c r="E2058" s="32" t="str">
        <f>IF(Table!E2058 = "","",Table!E2058)</f>
        <v/>
      </c>
      <c r="F2058" s="32" t="str">
        <f>IF(Table!F2058 = "","",Table!F2058)</f>
        <v/>
      </c>
      <c r="G2058" s="91"/>
      <c r="K2058" s="31" t="str">
        <f>IFERROR(VLOOKUP(A2058,Table!$I$4:$O$3000,1,TRUE),"")</f>
        <v/>
      </c>
      <c r="L2058" s="31" t="str">
        <f>IFERROR(INDEX(Table!I:O,MATCH(K2058,Table!I:I,0),2),"")</f>
        <v/>
      </c>
      <c r="M2058" s="31" t="str">
        <f>IFERROR(INDEX(Table!I:O,MATCH(K2058,Table!I:I,0),3),"")</f>
        <v/>
      </c>
      <c r="N2058" s="32" t="str">
        <f>IFERROR(INDEX(Table!I:O,MATCH(K2058,Table!I:I,0),4),"")</f>
        <v/>
      </c>
      <c r="O2058" s="32" t="str">
        <f>IFERROR(INDEX(Table!I:O,MATCH(K2058,Table!I:I,0),5),"")</f>
        <v/>
      </c>
      <c r="P2058" s="32" t="str">
        <f>IFERROR(INDEX(Table!I:O,MATCH(K2058,Table!I:I,0),6),"")</f>
        <v/>
      </c>
      <c r="Q2058" s="89" t="str">
        <f t="shared" si="96"/>
        <v/>
      </c>
      <c r="R2058" s="89" t="str">
        <f t="shared" si="97"/>
        <v/>
      </c>
      <c r="S2058" s="82"/>
      <c r="U2058" s="37" t="e">
        <f t="shared" si="98"/>
        <v>#VALUE!</v>
      </c>
    </row>
    <row r="2059" spans="1:21" x14ac:dyDescent="0.25">
      <c r="A2059" s="31" t="str">
        <f>IF(Table!A2059 = "","",Table!A2059)</f>
        <v/>
      </c>
      <c r="B2059" s="31" t="str">
        <f>IF(Table!B2059 = "","",Table!B2059)</f>
        <v/>
      </c>
      <c r="C2059" s="31" t="str">
        <f>IF(Table!C2059 = "","",Table!C2059)</f>
        <v/>
      </c>
      <c r="D2059" s="32" t="str">
        <f>IF(Table!D2059 = "","",Table!D2059)</f>
        <v/>
      </c>
      <c r="E2059" s="32" t="str">
        <f>IF(Table!E2059 = "","",Table!E2059)</f>
        <v/>
      </c>
      <c r="F2059" s="32" t="str">
        <f>IF(Table!F2059 = "","",Table!F2059)</f>
        <v/>
      </c>
      <c r="G2059" s="91"/>
      <c r="K2059" s="31" t="str">
        <f>IFERROR(VLOOKUP(A2059,Table!$I$4:$O$3000,1,TRUE),"")</f>
        <v/>
      </c>
      <c r="L2059" s="31" t="str">
        <f>IFERROR(INDEX(Table!I:O,MATCH(K2059,Table!I:I,0),2),"")</f>
        <v/>
      </c>
      <c r="M2059" s="31" t="str">
        <f>IFERROR(INDEX(Table!I:O,MATCH(K2059,Table!I:I,0),3),"")</f>
        <v/>
      </c>
      <c r="N2059" s="32" t="str">
        <f>IFERROR(INDEX(Table!I:O,MATCH(K2059,Table!I:I,0),4),"")</f>
        <v/>
      </c>
      <c r="O2059" s="32" t="str">
        <f>IFERROR(INDEX(Table!I:O,MATCH(K2059,Table!I:I,0),5),"")</f>
        <v/>
      </c>
      <c r="P2059" s="32" t="str">
        <f>IFERROR(INDEX(Table!I:O,MATCH(K2059,Table!I:I,0),6),"")</f>
        <v/>
      </c>
      <c r="Q2059" s="89" t="str">
        <f t="shared" si="96"/>
        <v/>
      </c>
      <c r="R2059" s="89" t="str">
        <f t="shared" si="97"/>
        <v/>
      </c>
      <c r="S2059" s="82"/>
      <c r="U2059" s="37" t="e">
        <f t="shared" si="98"/>
        <v>#VALUE!</v>
      </c>
    </row>
    <row r="2060" spans="1:21" x14ac:dyDescent="0.25">
      <c r="A2060" s="31" t="str">
        <f>IF(Table!A2060 = "","",Table!A2060)</f>
        <v/>
      </c>
      <c r="B2060" s="31" t="str">
        <f>IF(Table!B2060 = "","",Table!B2060)</f>
        <v/>
      </c>
      <c r="C2060" s="31" t="str">
        <f>IF(Table!C2060 = "","",Table!C2060)</f>
        <v/>
      </c>
      <c r="D2060" s="32" t="str">
        <f>IF(Table!D2060 = "","",Table!D2060)</f>
        <v/>
      </c>
      <c r="E2060" s="32" t="str">
        <f>IF(Table!E2060 = "","",Table!E2060)</f>
        <v/>
      </c>
      <c r="F2060" s="32" t="str">
        <f>IF(Table!F2060 = "","",Table!F2060)</f>
        <v/>
      </c>
      <c r="G2060" s="91"/>
      <c r="K2060" s="31" t="str">
        <f>IFERROR(VLOOKUP(A2060,Table!$I$4:$O$3000,1,TRUE),"")</f>
        <v/>
      </c>
      <c r="L2060" s="31" t="str">
        <f>IFERROR(INDEX(Table!I:O,MATCH(K2060,Table!I:I,0),2),"")</f>
        <v/>
      </c>
      <c r="M2060" s="31" t="str">
        <f>IFERROR(INDEX(Table!I:O,MATCH(K2060,Table!I:I,0),3),"")</f>
        <v/>
      </c>
      <c r="N2060" s="32" t="str">
        <f>IFERROR(INDEX(Table!I:O,MATCH(K2060,Table!I:I,0),4),"")</f>
        <v/>
      </c>
      <c r="O2060" s="32" t="str">
        <f>IFERROR(INDEX(Table!I:O,MATCH(K2060,Table!I:I,0),5),"")</f>
        <v/>
      </c>
      <c r="P2060" s="32" t="str">
        <f>IFERROR(INDEX(Table!I:O,MATCH(K2060,Table!I:I,0),6),"")</f>
        <v/>
      </c>
      <c r="Q2060" s="89" t="str">
        <f t="shared" si="96"/>
        <v/>
      </c>
      <c r="R2060" s="89" t="str">
        <f t="shared" si="97"/>
        <v/>
      </c>
      <c r="S2060" s="82"/>
      <c r="U2060" s="37" t="e">
        <f t="shared" si="98"/>
        <v>#VALUE!</v>
      </c>
    </row>
    <row r="2061" spans="1:21" x14ac:dyDescent="0.25">
      <c r="A2061" s="31" t="str">
        <f>IF(Table!A2061 = "","",Table!A2061)</f>
        <v/>
      </c>
      <c r="B2061" s="31" t="str">
        <f>IF(Table!B2061 = "","",Table!B2061)</f>
        <v/>
      </c>
      <c r="C2061" s="31" t="str">
        <f>IF(Table!C2061 = "","",Table!C2061)</f>
        <v/>
      </c>
      <c r="D2061" s="32" t="str">
        <f>IF(Table!D2061 = "","",Table!D2061)</f>
        <v/>
      </c>
      <c r="E2061" s="32" t="str">
        <f>IF(Table!E2061 = "","",Table!E2061)</f>
        <v/>
      </c>
      <c r="F2061" s="32" t="str">
        <f>IF(Table!F2061 = "","",Table!F2061)</f>
        <v/>
      </c>
      <c r="G2061" s="91"/>
      <c r="K2061" s="31" t="str">
        <f>IFERROR(VLOOKUP(A2061,Table!$I$4:$O$3000,1,TRUE),"")</f>
        <v/>
      </c>
      <c r="L2061" s="31" t="str">
        <f>IFERROR(INDEX(Table!I:O,MATCH(K2061,Table!I:I,0),2),"")</f>
        <v/>
      </c>
      <c r="M2061" s="31" t="str">
        <f>IFERROR(INDEX(Table!I:O,MATCH(K2061,Table!I:I,0),3),"")</f>
        <v/>
      </c>
      <c r="N2061" s="32" t="str">
        <f>IFERROR(INDEX(Table!I:O,MATCH(K2061,Table!I:I,0),4),"")</f>
        <v/>
      </c>
      <c r="O2061" s="32" t="str">
        <f>IFERROR(INDEX(Table!I:O,MATCH(K2061,Table!I:I,0),5),"")</f>
        <v/>
      </c>
      <c r="P2061" s="32" t="str">
        <f>IFERROR(INDEX(Table!I:O,MATCH(K2061,Table!I:I,0),6),"")</f>
        <v/>
      </c>
      <c r="Q2061" s="89" t="str">
        <f t="shared" si="96"/>
        <v/>
      </c>
      <c r="R2061" s="89" t="str">
        <f t="shared" si="97"/>
        <v/>
      </c>
      <c r="S2061" s="82"/>
      <c r="U2061" s="37" t="e">
        <f t="shared" si="98"/>
        <v>#VALUE!</v>
      </c>
    </row>
    <row r="2062" spans="1:21" x14ac:dyDescent="0.25">
      <c r="A2062" s="31" t="str">
        <f>IF(Table!A2062 = "","",Table!A2062)</f>
        <v/>
      </c>
      <c r="B2062" s="31" t="str">
        <f>IF(Table!B2062 = "","",Table!B2062)</f>
        <v/>
      </c>
      <c r="C2062" s="31" t="str">
        <f>IF(Table!C2062 = "","",Table!C2062)</f>
        <v/>
      </c>
      <c r="D2062" s="32" t="str">
        <f>IF(Table!D2062 = "","",Table!D2062)</f>
        <v/>
      </c>
      <c r="E2062" s="32" t="str">
        <f>IF(Table!E2062 = "","",Table!E2062)</f>
        <v/>
      </c>
      <c r="F2062" s="32" t="str">
        <f>IF(Table!F2062 = "","",Table!F2062)</f>
        <v/>
      </c>
      <c r="G2062" s="91"/>
      <c r="K2062" s="31" t="str">
        <f>IFERROR(VLOOKUP(A2062,Table!$I$4:$O$3000,1,TRUE),"")</f>
        <v/>
      </c>
      <c r="L2062" s="31" t="str">
        <f>IFERROR(INDEX(Table!I:O,MATCH(K2062,Table!I:I,0),2),"")</f>
        <v/>
      </c>
      <c r="M2062" s="31" t="str">
        <f>IFERROR(INDEX(Table!I:O,MATCH(K2062,Table!I:I,0),3),"")</f>
        <v/>
      </c>
      <c r="N2062" s="32" t="str">
        <f>IFERROR(INDEX(Table!I:O,MATCH(K2062,Table!I:I,0),4),"")</f>
        <v/>
      </c>
      <c r="O2062" s="32" t="str">
        <f>IFERROR(INDEX(Table!I:O,MATCH(K2062,Table!I:I,0),5),"")</f>
        <v/>
      </c>
      <c r="P2062" s="32" t="str">
        <f>IFERROR(INDEX(Table!I:O,MATCH(K2062,Table!I:I,0),6),"")</f>
        <v/>
      </c>
      <c r="Q2062" s="89" t="str">
        <f t="shared" si="96"/>
        <v/>
      </c>
      <c r="R2062" s="89" t="str">
        <f t="shared" si="97"/>
        <v/>
      </c>
      <c r="S2062" s="82"/>
      <c r="U2062" s="37" t="e">
        <f t="shared" si="98"/>
        <v>#VALUE!</v>
      </c>
    </row>
    <row r="2063" spans="1:21" x14ac:dyDescent="0.25">
      <c r="A2063" s="31" t="str">
        <f>IF(Table!A2063 = "","",Table!A2063)</f>
        <v/>
      </c>
      <c r="B2063" s="31" t="str">
        <f>IF(Table!B2063 = "","",Table!B2063)</f>
        <v/>
      </c>
      <c r="C2063" s="31" t="str">
        <f>IF(Table!C2063 = "","",Table!C2063)</f>
        <v/>
      </c>
      <c r="D2063" s="32" t="str">
        <f>IF(Table!D2063 = "","",Table!D2063)</f>
        <v/>
      </c>
      <c r="E2063" s="32" t="str">
        <f>IF(Table!E2063 = "","",Table!E2063)</f>
        <v/>
      </c>
      <c r="F2063" s="32" t="str">
        <f>IF(Table!F2063 = "","",Table!F2063)</f>
        <v/>
      </c>
      <c r="G2063" s="91"/>
      <c r="K2063" s="31" t="str">
        <f>IFERROR(VLOOKUP(A2063,Table!$I$4:$O$3000,1,TRUE),"")</f>
        <v/>
      </c>
      <c r="L2063" s="31" t="str">
        <f>IFERROR(INDEX(Table!I:O,MATCH(K2063,Table!I:I,0),2),"")</f>
        <v/>
      </c>
      <c r="M2063" s="31" t="str">
        <f>IFERROR(INDEX(Table!I:O,MATCH(K2063,Table!I:I,0),3),"")</f>
        <v/>
      </c>
      <c r="N2063" s="32" t="str">
        <f>IFERROR(INDEX(Table!I:O,MATCH(K2063,Table!I:I,0),4),"")</f>
        <v/>
      </c>
      <c r="O2063" s="32" t="str">
        <f>IFERROR(INDEX(Table!I:O,MATCH(K2063,Table!I:I,0),5),"")</f>
        <v/>
      </c>
      <c r="P2063" s="32" t="str">
        <f>IFERROR(INDEX(Table!I:O,MATCH(K2063,Table!I:I,0),6),"")</f>
        <v/>
      </c>
      <c r="Q2063" s="89" t="str">
        <f t="shared" si="96"/>
        <v/>
      </c>
      <c r="R2063" s="89" t="str">
        <f t="shared" si="97"/>
        <v/>
      </c>
      <c r="S2063" s="82"/>
      <c r="U2063" s="37" t="e">
        <f t="shared" si="98"/>
        <v>#VALUE!</v>
      </c>
    </row>
    <row r="2064" spans="1:21" x14ac:dyDescent="0.25">
      <c r="A2064" s="31" t="str">
        <f>IF(Table!A2064 = "","",Table!A2064)</f>
        <v/>
      </c>
      <c r="B2064" s="31" t="str">
        <f>IF(Table!B2064 = "","",Table!B2064)</f>
        <v/>
      </c>
      <c r="C2064" s="31" t="str">
        <f>IF(Table!C2064 = "","",Table!C2064)</f>
        <v/>
      </c>
      <c r="D2064" s="32" t="str">
        <f>IF(Table!D2064 = "","",Table!D2064)</f>
        <v/>
      </c>
      <c r="E2064" s="32" t="str">
        <f>IF(Table!E2064 = "","",Table!E2064)</f>
        <v/>
      </c>
      <c r="F2064" s="32" t="str">
        <f>IF(Table!F2064 = "","",Table!F2064)</f>
        <v/>
      </c>
      <c r="G2064" s="91"/>
      <c r="K2064" s="31" t="str">
        <f>IFERROR(VLOOKUP(A2064,Table!$I$4:$O$3000,1,TRUE),"")</f>
        <v/>
      </c>
      <c r="L2064" s="31" t="str">
        <f>IFERROR(INDEX(Table!I:O,MATCH(K2064,Table!I:I,0),2),"")</f>
        <v/>
      </c>
      <c r="M2064" s="31" t="str">
        <f>IFERROR(INDEX(Table!I:O,MATCH(K2064,Table!I:I,0),3),"")</f>
        <v/>
      </c>
      <c r="N2064" s="32" t="str">
        <f>IFERROR(INDEX(Table!I:O,MATCH(K2064,Table!I:I,0),4),"")</f>
        <v/>
      </c>
      <c r="O2064" s="32" t="str">
        <f>IFERROR(INDEX(Table!I:O,MATCH(K2064,Table!I:I,0),5),"")</f>
        <v/>
      </c>
      <c r="P2064" s="32" t="str">
        <f>IFERROR(INDEX(Table!I:O,MATCH(K2064,Table!I:I,0),6),"")</f>
        <v/>
      </c>
      <c r="Q2064" s="89" t="str">
        <f t="shared" si="96"/>
        <v/>
      </c>
      <c r="R2064" s="89" t="str">
        <f t="shared" si="97"/>
        <v/>
      </c>
      <c r="S2064" s="82"/>
      <c r="U2064" s="37" t="e">
        <f t="shared" si="98"/>
        <v>#VALUE!</v>
      </c>
    </row>
    <row r="2065" spans="1:21" x14ac:dyDescent="0.25">
      <c r="A2065" s="31" t="str">
        <f>IF(Table!A2065 = "","",Table!A2065)</f>
        <v/>
      </c>
      <c r="B2065" s="31" t="str">
        <f>IF(Table!B2065 = "","",Table!B2065)</f>
        <v/>
      </c>
      <c r="C2065" s="31" t="str">
        <f>IF(Table!C2065 = "","",Table!C2065)</f>
        <v/>
      </c>
      <c r="D2065" s="32" t="str">
        <f>IF(Table!D2065 = "","",Table!D2065)</f>
        <v/>
      </c>
      <c r="E2065" s="32" t="str">
        <f>IF(Table!E2065 = "","",Table!E2065)</f>
        <v/>
      </c>
      <c r="F2065" s="32" t="str">
        <f>IF(Table!F2065 = "","",Table!F2065)</f>
        <v/>
      </c>
      <c r="G2065" s="91"/>
      <c r="K2065" s="31" t="str">
        <f>IFERROR(VLOOKUP(A2065,Table!$I$4:$O$3000,1,TRUE),"")</f>
        <v/>
      </c>
      <c r="L2065" s="31" t="str">
        <f>IFERROR(INDEX(Table!I:O,MATCH(K2065,Table!I:I,0),2),"")</f>
        <v/>
      </c>
      <c r="M2065" s="31" t="str">
        <f>IFERROR(INDEX(Table!I:O,MATCH(K2065,Table!I:I,0),3),"")</f>
        <v/>
      </c>
      <c r="N2065" s="32" t="str">
        <f>IFERROR(INDEX(Table!I:O,MATCH(K2065,Table!I:I,0),4),"")</f>
        <v/>
      </c>
      <c r="O2065" s="32" t="str">
        <f>IFERROR(INDEX(Table!I:O,MATCH(K2065,Table!I:I,0),5),"")</f>
        <v/>
      </c>
      <c r="P2065" s="32" t="str">
        <f>IFERROR(INDEX(Table!I:O,MATCH(K2065,Table!I:I,0),6),"")</f>
        <v/>
      </c>
      <c r="Q2065" s="89" t="str">
        <f t="shared" si="96"/>
        <v/>
      </c>
      <c r="R2065" s="89" t="str">
        <f t="shared" si="97"/>
        <v/>
      </c>
      <c r="S2065" s="82"/>
      <c r="U2065" s="37" t="e">
        <f t="shared" si="98"/>
        <v>#VALUE!</v>
      </c>
    </row>
    <row r="2066" spans="1:21" x14ac:dyDescent="0.25">
      <c r="A2066" s="31" t="str">
        <f>IF(Table!A2066 = "","",Table!A2066)</f>
        <v/>
      </c>
      <c r="B2066" s="31" t="str">
        <f>IF(Table!B2066 = "","",Table!B2066)</f>
        <v/>
      </c>
      <c r="C2066" s="31" t="str">
        <f>IF(Table!C2066 = "","",Table!C2066)</f>
        <v/>
      </c>
      <c r="D2066" s="32" t="str">
        <f>IF(Table!D2066 = "","",Table!D2066)</f>
        <v/>
      </c>
      <c r="E2066" s="32" t="str">
        <f>IF(Table!E2066 = "","",Table!E2066)</f>
        <v/>
      </c>
      <c r="F2066" s="32" t="str">
        <f>IF(Table!F2066 = "","",Table!F2066)</f>
        <v/>
      </c>
      <c r="G2066" s="91"/>
      <c r="K2066" s="31" t="str">
        <f>IFERROR(VLOOKUP(A2066,Table!$I$4:$O$3000,1,TRUE),"")</f>
        <v/>
      </c>
      <c r="L2066" s="31" t="str">
        <f>IFERROR(INDEX(Table!I:O,MATCH(K2066,Table!I:I,0),2),"")</f>
        <v/>
      </c>
      <c r="M2066" s="31" t="str">
        <f>IFERROR(INDEX(Table!I:O,MATCH(K2066,Table!I:I,0),3),"")</f>
        <v/>
      </c>
      <c r="N2066" s="32" t="str">
        <f>IFERROR(INDEX(Table!I:O,MATCH(K2066,Table!I:I,0),4),"")</f>
        <v/>
      </c>
      <c r="O2066" s="32" t="str">
        <f>IFERROR(INDEX(Table!I:O,MATCH(K2066,Table!I:I,0),5),"")</f>
        <v/>
      </c>
      <c r="P2066" s="32" t="str">
        <f>IFERROR(INDEX(Table!I:O,MATCH(K2066,Table!I:I,0),6),"")</f>
        <v/>
      </c>
      <c r="Q2066" s="89" t="str">
        <f t="shared" si="96"/>
        <v/>
      </c>
      <c r="R2066" s="89" t="str">
        <f t="shared" si="97"/>
        <v/>
      </c>
      <c r="S2066" s="82"/>
      <c r="U2066" s="37" t="e">
        <f t="shared" si="98"/>
        <v>#VALUE!</v>
      </c>
    </row>
    <row r="2067" spans="1:21" x14ac:dyDescent="0.25">
      <c r="A2067" s="31" t="str">
        <f>IF(Table!A2067 = "","",Table!A2067)</f>
        <v/>
      </c>
      <c r="B2067" s="31" t="str">
        <f>IF(Table!B2067 = "","",Table!B2067)</f>
        <v/>
      </c>
      <c r="C2067" s="31" t="str">
        <f>IF(Table!C2067 = "","",Table!C2067)</f>
        <v/>
      </c>
      <c r="D2067" s="32" t="str">
        <f>IF(Table!D2067 = "","",Table!D2067)</f>
        <v/>
      </c>
      <c r="E2067" s="32" t="str">
        <f>IF(Table!E2067 = "","",Table!E2067)</f>
        <v/>
      </c>
      <c r="F2067" s="32" t="str">
        <f>IF(Table!F2067 = "","",Table!F2067)</f>
        <v/>
      </c>
      <c r="G2067" s="91"/>
      <c r="K2067" s="31" t="str">
        <f>IFERROR(VLOOKUP(A2067,Table!$I$4:$O$3000,1,TRUE),"")</f>
        <v/>
      </c>
      <c r="L2067" s="31" t="str">
        <f>IFERROR(INDEX(Table!I:O,MATCH(K2067,Table!I:I,0),2),"")</f>
        <v/>
      </c>
      <c r="M2067" s="31" t="str">
        <f>IFERROR(INDEX(Table!I:O,MATCH(K2067,Table!I:I,0),3),"")</f>
        <v/>
      </c>
      <c r="N2067" s="32" t="str">
        <f>IFERROR(INDEX(Table!I:O,MATCH(K2067,Table!I:I,0),4),"")</f>
        <v/>
      </c>
      <c r="O2067" s="32" t="str">
        <f>IFERROR(INDEX(Table!I:O,MATCH(K2067,Table!I:I,0),5),"")</f>
        <v/>
      </c>
      <c r="P2067" s="32" t="str">
        <f>IFERROR(INDEX(Table!I:O,MATCH(K2067,Table!I:I,0),6),"")</f>
        <v/>
      </c>
      <c r="Q2067" s="89" t="str">
        <f t="shared" si="96"/>
        <v/>
      </c>
      <c r="R2067" s="89" t="str">
        <f t="shared" si="97"/>
        <v/>
      </c>
      <c r="S2067" s="82"/>
      <c r="U2067" s="37" t="e">
        <f t="shared" si="98"/>
        <v>#VALUE!</v>
      </c>
    </row>
    <row r="2068" spans="1:21" x14ac:dyDescent="0.25">
      <c r="A2068" s="31" t="str">
        <f>IF(Table!A2068 = "","",Table!A2068)</f>
        <v/>
      </c>
      <c r="B2068" s="31" t="str">
        <f>IF(Table!B2068 = "","",Table!B2068)</f>
        <v/>
      </c>
      <c r="C2068" s="31" t="str">
        <f>IF(Table!C2068 = "","",Table!C2068)</f>
        <v/>
      </c>
      <c r="D2068" s="32" t="str">
        <f>IF(Table!D2068 = "","",Table!D2068)</f>
        <v/>
      </c>
      <c r="E2068" s="32" t="str">
        <f>IF(Table!E2068 = "","",Table!E2068)</f>
        <v/>
      </c>
      <c r="F2068" s="32" t="str">
        <f>IF(Table!F2068 = "","",Table!F2068)</f>
        <v/>
      </c>
      <c r="G2068" s="91"/>
      <c r="K2068" s="31" t="str">
        <f>IFERROR(VLOOKUP(A2068,Table!$I$4:$O$3000,1,TRUE),"")</f>
        <v/>
      </c>
      <c r="L2068" s="31" t="str">
        <f>IFERROR(INDEX(Table!I:O,MATCH(K2068,Table!I:I,0),2),"")</f>
        <v/>
      </c>
      <c r="M2068" s="31" t="str">
        <f>IFERROR(INDEX(Table!I:O,MATCH(K2068,Table!I:I,0),3),"")</f>
        <v/>
      </c>
      <c r="N2068" s="32" t="str">
        <f>IFERROR(INDEX(Table!I:O,MATCH(K2068,Table!I:I,0),4),"")</f>
        <v/>
      </c>
      <c r="O2068" s="32" t="str">
        <f>IFERROR(INDEX(Table!I:O,MATCH(K2068,Table!I:I,0),5),"")</f>
        <v/>
      </c>
      <c r="P2068" s="32" t="str">
        <f>IFERROR(INDEX(Table!I:O,MATCH(K2068,Table!I:I,0),6),"")</f>
        <v/>
      </c>
      <c r="Q2068" s="89" t="str">
        <f t="shared" si="96"/>
        <v/>
      </c>
      <c r="R2068" s="89" t="str">
        <f t="shared" si="97"/>
        <v/>
      </c>
      <c r="S2068" s="82"/>
      <c r="U2068" s="37" t="e">
        <f t="shared" si="98"/>
        <v>#VALUE!</v>
      </c>
    </row>
    <row r="2069" spans="1:21" x14ac:dyDescent="0.25">
      <c r="A2069" s="31" t="str">
        <f>IF(Table!A2069 = "","",Table!A2069)</f>
        <v/>
      </c>
      <c r="B2069" s="31" t="str">
        <f>IF(Table!B2069 = "","",Table!B2069)</f>
        <v/>
      </c>
      <c r="C2069" s="31" t="str">
        <f>IF(Table!C2069 = "","",Table!C2069)</f>
        <v/>
      </c>
      <c r="D2069" s="32" t="str">
        <f>IF(Table!D2069 = "","",Table!D2069)</f>
        <v/>
      </c>
      <c r="E2069" s="32" t="str">
        <f>IF(Table!E2069 = "","",Table!E2069)</f>
        <v/>
      </c>
      <c r="F2069" s="32" t="str">
        <f>IF(Table!F2069 = "","",Table!F2069)</f>
        <v/>
      </c>
      <c r="G2069" s="91"/>
      <c r="K2069" s="31" t="str">
        <f>IFERROR(VLOOKUP(A2069,Table!$I$4:$O$3000,1,TRUE),"")</f>
        <v/>
      </c>
      <c r="L2069" s="31" t="str">
        <f>IFERROR(INDEX(Table!I:O,MATCH(K2069,Table!I:I,0),2),"")</f>
        <v/>
      </c>
      <c r="M2069" s="31" t="str">
        <f>IFERROR(INDEX(Table!I:O,MATCH(K2069,Table!I:I,0),3),"")</f>
        <v/>
      </c>
      <c r="N2069" s="32" t="str">
        <f>IFERROR(INDEX(Table!I:O,MATCH(K2069,Table!I:I,0),4),"")</f>
        <v/>
      </c>
      <c r="O2069" s="32" t="str">
        <f>IFERROR(INDEX(Table!I:O,MATCH(K2069,Table!I:I,0),5),"")</f>
        <v/>
      </c>
      <c r="P2069" s="32" t="str">
        <f>IFERROR(INDEX(Table!I:O,MATCH(K2069,Table!I:I,0),6),"")</f>
        <v/>
      </c>
      <c r="Q2069" s="89" t="str">
        <f t="shared" si="96"/>
        <v/>
      </c>
      <c r="R2069" s="89" t="str">
        <f t="shared" si="97"/>
        <v/>
      </c>
      <c r="S2069" s="82"/>
      <c r="U2069" s="37" t="e">
        <f t="shared" si="98"/>
        <v>#VALUE!</v>
      </c>
    </row>
    <row r="2070" spans="1:21" x14ac:dyDescent="0.25">
      <c r="A2070" s="31" t="str">
        <f>IF(Table!A2070 = "","",Table!A2070)</f>
        <v/>
      </c>
      <c r="B2070" s="31" t="str">
        <f>IF(Table!B2070 = "","",Table!B2070)</f>
        <v/>
      </c>
      <c r="C2070" s="31" t="str">
        <f>IF(Table!C2070 = "","",Table!C2070)</f>
        <v/>
      </c>
      <c r="D2070" s="32" t="str">
        <f>IF(Table!D2070 = "","",Table!D2070)</f>
        <v/>
      </c>
      <c r="E2070" s="32" t="str">
        <f>IF(Table!E2070 = "","",Table!E2070)</f>
        <v/>
      </c>
      <c r="F2070" s="32" t="str">
        <f>IF(Table!F2070 = "","",Table!F2070)</f>
        <v/>
      </c>
      <c r="G2070" s="91"/>
      <c r="K2070" s="31" t="str">
        <f>IFERROR(VLOOKUP(A2070,Table!$I$4:$O$3000,1,TRUE),"")</f>
        <v/>
      </c>
      <c r="L2070" s="31" t="str">
        <f>IFERROR(INDEX(Table!I:O,MATCH(K2070,Table!I:I,0),2),"")</f>
        <v/>
      </c>
      <c r="M2070" s="31" t="str">
        <f>IFERROR(INDEX(Table!I:O,MATCH(K2070,Table!I:I,0),3),"")</f>
        <v/>
      </c>
      <c r="N2070" s="32" t="str">
        <f>IFERROR(INDEX(Table!I:O,MATCH(K2070,Table!I:I,0),4),"")</f>
        <v/>
      </c>
      <c r="O2070" s="32" t="str">
        <f>IFERROR(INDEX(Table!I:O,MATCH(K2070,Table!I:I,0),5),"")</f>
        <v/>
      </c>
      <c r="P2070" s="32" t="str">
        <f>IFERROR(INDEX(Table!I:O,MATCH(K2070,Table!I:I,0),6),"")</f>
        <v/>
      </c>
      <c r="Q2070" s="89" t="str">
        <f t="shared" si="96"/>
        <v/>
      </c>
      <c r="R2070" s="89" t="str">
        <f t="shared" si="97"/>
        <v/>
      </c>
      <c r="S2070" s="82"/>
      <c r="U2070" s="37" t="e">
        <f t="shared" si="98"/>
        <v>#VALUE!</v>
      </c>
    </row>
    <row r="2071" spans="1:21" x14ac:dyDescent="0.25">
      <c r="A2071" s="31" t="str">
        <f>IF(Table!A2071 = "","",Table!A2071)</f>
        <v/>
      </c>
      <c r="B2071" s="31" t="str">
        <f>IF(Table!B2071 = "","",Table!B2071)</f>
        <v/>
      </c>
      <c r="C2071" s="31" t="str">
        <f>IF(Table!C2071 = "","",Table!C2071)</f>
        <v/>
      </c>
      <c r="D2071" s="32" t="str">
        <f>IF(Table!D2071 = "","",Table!D2071)</f>
        <v/>
      </c>
      <c r="E2071" s="32" t="str">
        <f>IF(Table!E2071 = "","",Table!E2071)</f>
        <v/>
      </c>
      <c r="F2071" s="32" t="str">
        <f>IF(Table!F2071 = "","",Table!F2071)</f>
        <v/>
      </c>
      <c r="G2071" s="91"/>
      <c r="K2071" s="31" t="str">
        <f>IFERROR(VLOOKUP(A2071,Table!$I$4:$O$3000,1,TRUE),"")</f>
        <v/>
      </c>
      <c r="L2071" s="31" t="str">
        <f>IFERROR(INDEX(Table!I:O,MATCH(K2071,Table!I:I,0),2),"")</f>
        <v/>
      </c>
      <c r="M2071" s="31" t="str">
        <f>IFERROR(INDEX(Table!I:O,MATCH(K2071,Table!I:I,0),3),"")</f>
        <v/>
      </c>
      <c r="N2071" s="32" t="str">
        <f>IFERROR(INDEX(Table!I:O,MATCH(K2071,Table!I:I,0),4),"")</f>
        <v/>
      </c>
      <c r="O2071" s="32" t="str">
        <f>IFERROR(INDEX(Table!I:O,MATCH(K2071,Table!I:I,0),5),"")</f>
        <v/>
      </c>
      <c r="P2071" s="32" t="str">
        <f>IFERROR(INDEX(Table!I:O,MATCH(K2071,Table!I:I,0),6),"")</f>
        <v/>
      </c>
      <c r="Q2071" s="89" t="str">
        <f t="shared" si="96"/>
        <v/>
      </c>
      <c r="R2071" s="89" t="str">
        <f t="shared" si="97"/>
        <v/>
      </c>
      <c r="S2071" s="82"/>
      <c r="U2071" s="37" t="e">
        <f t="shared" si="98"/>
        <v>#VALUE!</v>
      </c>
    </row>
    <row r="2072" spans="1:21" x14ac:dyDescent="0.25">
      <c r="A2072" s="31" t="str">
        <f>IF(Table!A2072 = "","",Table!A2072)</f>
        <v/>
      </c>
      <c r="B2072" s="31" t="str">
        <f>IF(Table!B2072 = "","",Table!B2072)</f>
        <v/>
      </c>
      <c r="C2072" s="31" t="str">
        <f>IF(Table!C2072 = "","",Table!C2072)</f>
        <v/>
      </c>
      <c r="D2072" s="32" t="str">
        <f>IF(Table!D2072 = "","",Table!D2072)</f>
        <v/>
      </c>
      <c r="E2072" s="32" t="str">
        <f>IF(Table!E2072 = "","",Table!E2072)</f>
        <v/>
      </c>
      <c r="F2072" s="32" t="str">
        <f>IF(Table!F2072 = "","",Table!F2072)</f>
        <v/>
      </c>
      <c r="G2072" s="91"/>
      <c r="K2072" s="31" t="str">
        <f>IFERROR(VLOOKUP(A2072,Table!$I$4:$O$3000,1,TRUE),"")</f>
        <v/>
      </c>
      <c r="L2072" s="31" t="str">
        <f>IFERROR(INDEX(Table!I:O,MATCH(K2072,Table!I:I,0),2),"")</f>
        <v/>
      </c>
      <c r="M2072" s="31" t="str">
        <f>IFERROR(INDEX(Table!I:O,MATCH(K2072,Table!I:I,0),3),"")</f>
        <v/>
      </c>
      <c r="N2072" s="32" t="str">
        <f>IFERROR(INDEX(Table!I:O,MATCH(K2072,Table!I:I,0),4),"")</f>
        <v/>
      </c>
      <c r="O2072" s="32" t="str">
        <f>IFERROR(INDEX(Table!I:O,MATCH(K2072,Table!I:I,0),5),"")</f>
        <v/>
      </c>
      <c r="P2072" s="32" t="str">
        <f>IFERROR(INDEX(Table!I:O,MATCH(K2072,Table!I:I,0),6),"")</f>
        <v/>
      </c>
      <c r="Q2072" s="89" t="str">
        <f t="shared" si="96"/>
        <v/>
      </c>
      <c r="R2072" s="89" t="str">
        <f t="shared" si="97"/>
        <v/>
      </c>
      <c r="S2072" s="82"/>
      <c r="U2072" s="37" t="e">
        <f t="shared" si="98"/>
        <v>#VALUE!</v>
      </c>
    </row>
    <row r="2073" spans="1:21" x14ac:dyDescent="0.25">
      <c r="A2073" s="31" t="str">
        <f>IF(Table!A2073 = "","",Table!A2073)</f>
        <v/>
      </c>
      <c r="B2073" s="31" t="str">
        <f>IF(Table!B2073 = "","",Table!B2073)</f>
        <v/>
      </c>
      <c r="C2073" s="31" t="str">
        <f>IF(Table!C2073 = "","",Table!C2073)</f>
        <v/>
      </c>
      <c r="D2073" s="32" t="str">
        <f>IF(Table!D2073 = "","",Table!D2073)</f>
        <v/>
      </c>
      <c r="E2073" s="32" t="str">
        <f>IF(Table!E2073 = "","",Table!E2073)</f>
        <v/>
      </c>
      <c r="F2073" s="32" t="str">
        <f>IF(Table!F2073 = "","",Table!F2073)</f>
        <v/>
      </c>
      <c r="G2073" s="91"/>
      <c r="K2073" s="31" t="str">
        <f>IFERROR(VLOOKUP(A2073,Table!$I$4:$O$3000,1,TRUE),"")</f>
        <v/>
      </c>
      <c r="L2073" s="31" t="str">
        <f>IFERROR(INDEX(Table!I:O,MATCH(K2073,Table!I:I,0),2),"")</f>
        <v/>
      </c>
      <c r="M2073" s="31" t="str">
        <f>IFERROR(INDEX(Table!I:O,MATCH(K2073,Table!I:I,0),3),"")</f>
        <v/>
      </c>
      <c r="N2073" s="32" t="str">
        <f>IFERROR(INDEX(Table!I:O,MATCH(K2073,Table!I:I,0),4),"")</f>
        <v/>
      </c>
      <c r="O2073" s="32" t="str">
        <f>IFERROR(INDEX(Table!I:O,MATCH(K2073,Table!I:I,0),5),"")</f>
        <v/>
      </c>
      <c r="P2073" s="32" t="str">
        <f>IFERROR(INDEX(Table!I:O,MATCH(K2073,Table!I:I,0),6),"")</f>
        <v/>
      </c>
      <c r="Q2073" s="89" t="str">
        <f t="shared" si="96"/>
        <v/>
      </c>
      <c r="R2073" s="89" t="str">
        <f t="shared" si="97"/>
        <v/>
      </c>
      <c r="S2073" s="82"/>
      <c r="U2073" s="37" t="e">
        <f t="shared" si="98"/>
        <v>#VALUE!</v>
      </c>
    </row>
    <row r="2074" spans="1:21" x14ac:dyDescent="0.25">
      <c r="A2074" s="31" t="str">
        <f>IF(Table!A2074 = "","",Table!A2074)</f>
        <v/>
      </c>
      <c r="B2074" s="31" t="str">
        <f>IF(Table!B2074 = "","",Table!B2074)</f>
        <v/>
      </c>
      <c r="C2074" s="31" t="str">
        <f>IF(Table!C2074 = "","",Table!C2074)</f>
        <v/>
      </c>
      <c r="D2074" s="32" t="str">
        <f>IF(Table!D2074 = "","",Table!D2074)</f>
        <v/>
      </c>
      <c r="E2074" s="32" t="str">
        <f>IF(Table!E2074 = "","",Table!E2074)</f>
        <v/>
      </c>
      <c r="F2074" s="32" t="str">
        <f>IF(Table!F2074 = "","",Table!F2074)</f>
        <v/>
      </c>
      <c r="G2074" s="91"/>
      <c r="K2074" s="31" t="str">
        <f>IFERROR(VLOOKUP(A2074,Table!$I$4:$O$3000,1,TRUE),"")</f>
        <v/>
      </c>
      <c r="L2074" s="31" t="str">
        <f>IFERROR(INDEX(Table!I:O,MATCH(K2074,Table!I:I,0),2),"")</f>
        <v/>
      </c>
      <c r="M2074" s="31" t="str">
        <f>IFERROR(INDEX(Table!I:O,MATCH(K2074,Table!I:I,0),3),"")</f>
        <v/>
      </c>
      <c r="N2074" s="32" t="str">
        <f>IFERROR(INDEX(Table!I:O,MATCH(K2074,Table!I:I,0),4),"")</f>
        <v/>
      </c>
      <c r="O2074" s="32" t="str">
        <f>IFERROR(INDEX(Table!I:O,MATCH(K2074,Table!I:I,0),5),"")</f>
        <v/>
      </c>
      <c r="P2074" s="32" t="str">
        <f>IFERROR(INDEX(Table!I:O,MATCH(K2074,Table!I:I,0),6),"")</f>
        <v/>
      </c>
      <c r="Q2074" s="89" t="str">
        <f t="shared" si="96"/>
        <v/>
      </c>
      <c r="R2074" s="89" t="str">
        <f t="shared" si="97"/>
        <v/>
      </c>
      <c r="S2074" s="82"/>
      <c r="U2074" s="37" t="e">
        <f t="shared" si="98"/>
        <v>#VALUE!</v>
      </c>
    </row>
    <row r="2075" spans="1:21" x14ac:dyDescent="0.25">
      <c r="A2075" s="31" t="str">
        <f>IF(Table!A2075 = "","",Table!A2075)</f>
        <v/>
      </c>
      <c r="B2075" s="31" t="str">
        <f>IF(Table!B2075 = "","",Table!B2075)</f>
        <v/>
      </c>
      <c r="C2075" s="31" t="str">
        <f>IF(Table!C2075 = "","",Table!C2075)</f>
        <v/>
      </c>
      <c r="D2075" s="32" t="str">
        <f>IF(Table!D2075 = "","",Table!D2075)</f>
        <v/>
      </c>
      <c r="E2075" s="32" t="str">
        <f>IF(Table!E2075 = "","",Table!E2075)</f>
        <v/>
      </c>
      <c r="F2075" s="32" t="str">
        <f>IF(Table!F2075 = "","",Table!F2075)</f>
        <v/>
      </c>
      <c r="G2075" s="91"/>
      <c r="K2075" s="31" t="str">
        <f>IFERROR(VLOOKUP(A2075,Table!$I$4:$O$3000,1,TRUE),"")</f>
        <v/>
      </c>
      <c r="L2075" s="31" t="str">
        <f>IFERROR(INDEX(Table!I:O,MATCH(K2075,Table!I:I,0),2),"")</f>
        <v/>
      </c>
      <c r="M2075" s="31" t="str">
        <f>IFERROR(INDEX(Table!I:O,MATCH(K2075,Table!I:I,0),3),"")</f>
        <v/>
      </c>
      <c r="N2075" s="32" t="str">
        <f>IFERROR(INDEX(Table!I:O,MATCH(K2075,Table!I:I,0),4),"")</f>
        <v/>
      </c>
      <c r="O2075" s="32" t="str">
        <f>IFERROR(INDEX(Table!I:O,MATCH(K2075,Table!I:I,0),5),"")</f>
        <v/>
      </c>
      <c r="P2075" s="32" t="str">
        <f>IFERROR(INDEX(Table!I:O,MATCH(K2075,Table!I:I,0),6),"")</f>
        <v/>
      </c>
      <c r="Q2075" s="89" t="str">
        <f t="shared" si="96"/>
        <v/>
      </c>
      <c r="R2075" s="89" t="str">
        <f t="shared" si="97"/>
        <v/>
      </c>
      <c r="S2075" s="82"/>
      <c r="U2075" s="37" t="e">
        <f t="shared" si="98"/>
        <v>#VALUE!</v>
      </c>
    </row>
    <row r="2076" spans="1:21" x14ac:dyDescent="0.25">
      <c r="A2076" s="31" t="str">
        <f>IF(Table!A2076 = "","",Table!A2076)</f>
        <v/>
      </c>
      <c r="B2076" s="31" t="str">
        <f>IF(Table!B2076 = "","",Table!B2076)</f>
        <v/>
      </c>
      <c r="C2076" s="31" t="str">
        <f>IF(Table!C2076 = "","",Table!C2076)</f>
        <v/>
      </c>
      <c r="D2076" s="32" t="str">
        <f>IF(Table!D2076 = "","",Table!D2076)</f>
        <v/>
      </c>
      <c r="E2076" s="32" t="str">
        <f>IF(Table!E2076 = "","",Table!E2076)</f>
        <v/>
      </c>
      <c r="F2076" s="32" t="str">
        <f>IF(Table!F2076 = "","",Table!F2076)</f>
        <v/>
      </c>
      <c r="G2076" s="91"/>
      <c r="K2076" s="31" t="str">
        <f>IFERROR(VLOOKUP(A2076,Table!$I$4:$O$3000,1,TRUE),"")</f>
        <v/>
      </c>
      <c r="L2076" s="31" t="str">
        <f>IFERROR(INDEX(Table!I:O,MATCH(K2076,Table!I:I,0),2),"")</f>
        <v/>
      </c>
      <c r="M2076" s="31" t="str">
        <f>IFERROR(INDEX(Table!I:O,MATCH(K2076,Table!I:I,0),3),"")</f>
        <v/>
      </c>
      <c r="N2076" s="32" t="str">
        <f>IFERROR(INDEX(Table!I:O,MATCH(K2076,Table!I:I,0),4),"")</f>
        <v/>
      </c>
      <c r="O2076" s="32" t="str">
        <f>IFERROR(INDEX(Table!I:O,MATCH(K2076,Table!I:I,0),5),"")</f>
        <v/>
      </c>
      <c r="P2076" s="32" t="str">
        <f>IFERROR(INDEX(Table!I:O,MATCH(K2076,Table!I:I,0),6),"")</f>
        <v/>
      </c>
      <c r="Q2076" s="89" t="str">
        <f t="shared" si="96"/>
        <v/>
      </c>
      <c r="R2076" s="89" t="str">
        <f t="shared" si="97"/>
        <v/>
      </c>
      <c r="S2076" s="82"/>
      <c r="U2076" s="37" t="e">
        <f t="shared" si="98"/>
        <v>#VALUE!</v>
      </c>
    </row>
    <row r="2077" spans="1:21" x14ac:dyDescent="0.25">
      <c r="A2077" s="31" t="str">
        <f>IF(Table!A2077 = "","",Table!A2077)</f>
        <v/>
      </c>
      <c r="B2077" s="31" t="str">
        <f>IF(Table!B2077 = "","",Table!B2077)</f>
        <v/>
      </c>
      <c r="C2077" s="31" t="str">
        <f>IF(Table!C2077 = "","",Table!C2077)</f>
        <v/>
      </c>
      <c r="D2077" s="32" t="str">
        <f>IF(Table!D2077 = "","",Table!D2077)</f>
        <v/>
      </c>
      <c r="E2077" s="32" t="str">
        <f>IF(Table!E2077 = "","",Table!E2077)</f>
        <v/>
      </c>
      <c r="F2077" s="32" t="str">
        <f>IF(Table!F2077 = "","",Table!F2077)</f>
        <v/>
      </c>
      <c r="G2077" s="91"/>
      <c r="K2077" s="31" t="str">
        <f>IFERROR(VLOOKUP(A2077,Table!$I$4:$O$3000,1,TRUE),"")</f>
        <v/>
      </c>
      <c r="L2077" s="31" t="str">
        <f>IFERROR(INDEX(Table!I:O,MATCH(K2077,Table!I:I,0),2),"")</f>
        <v/>
      </c>
      <c r="M2077" s="31" t="str">
        <f>IFERROR(INDEX(Table!I:O,MATCH(K2077,Table!I:I,0),3),"")</f>
        <v/>
      </c>
      <c r="N2077" s="32" t="str">
        <f>IFERROR(INDEX(Table!I:O,MATCH(K2077,Table!I:I,0),4),"")</f>
        <v/>
      </c>
      <c r="O2077" s="32" t="str">
        <f>IFERROR(INDEX(Table!I:O,MATCH(K2077,Table!I:I,0),5),"")</f>
        <v/>
      </c>
      <c r="P2077" s="32" t="str">
        <f>IFERROR(INDEX(Table!I:O,MATCH(K2077,Table!I:I,0),6),"")</f>
        <v/>
      </c>
      <c r="Q2077" s="89" t="str">
        <f t="shared" si="96"/>
        <v/>
      </c>
      <c r="R2077" s="89" t="str">
        <f t="shared" si="97"/>
        <v/>
      </c>
      <c r="S2077" s="82"/>
      <c r="U2077" s="37" t="e">
        <f t="shared" si="98"/>
        <v>#VALUE!</v>
      </c>
    </row>
    <row r="2078" spans="1:21" x14ac:dyDescent="0.25">
      <c r="A2078" s="31" t="str">
        <f>IF(Table!A2078 = "","",Table!A2078)</f>
        <v/>
      </c>
      <c r="B2078" s="31" t="str">
        <f>IF(Table!B2078 = "","",Table!B2078)</f>
        <v/>
      </c>
      <c r="C2078" s="31" t="str">
        <f>IF(Table!C2078 = "","",Table!C2078)</f>
        <v/>
      </c>
      <c r="D2078" s="32" t="str">
        <f>IF(Table!D2078 = "","",Table!D2078)</f>
        <v/>
      </c>
      <c r="E2078" s="32" t="str">
        <f>IF(Table!E2078 = "","",Table!E2078)</f>
        <v/>
      </c>
      <c r="F2078" s="32" t="str">
        <f>IF(Table!F2078 = "","",Table!F2078)</f>
        <v/>
      </c>
      <c r="G2078" s="91"/>
      <c r="K2078" s="31" t="str">
        <f>IFERROR(VLOOKUP(A2078,Table!$I$4:$O$3000,1,TRUE),"")</f>
        <v/>
      </c>
      <c r="L2078" s="31" t="str">
        <f>IFERROR(INDEX(Table!I:O,MATCH(K2078,Table!I:I,0),2),"")</f>
        <v/>
      </c>
      <c r="M2078" s="31" t="str">
        <f>IFERROR(INDEX(Table!I:O,MATCH(K2078,Table!I:I,0),3),"")</f>
        <v/>
      </c>
      <c r="N2078" s="32" t="str">
        <f>IFERROR(INDEX(Table!I:O,MATCH(K2078,Table!I:I,0),4),"")</f>
        <v/>
      </c>
      <c r="O2078" s="32" t="str">
        <f>IFERROR(INDEX(Table!I:O,MATCH(K2078,Table!I:I,0),5),"")</f>
        <v/>
      </c>
      <c r="P2078" s="32" t="str">
        <f>IFERROR(INDEX(Table!I:O,MATCH(K2078,Table!I:I,0),6),"")</f>
        <v/>
      </c>
      <c r="Q2078" s="89" t="str">
        <f t="shared" si="96"/>
        <v/>
      </c>
      <c r="R2078" s="89" t="str">
        <f t="shared" si="97"/>
        <v/>
      </c>
      <c r="S2078" s="82"/>
      <c r="U2078" s="37" t="e">
        <f t="shared" si="98"/>
        <v>#VALUE!</v>
      </c>
    </row>
    <row r="2079" spans="1:21" x14ac:dyDescent="0.25">
      <c r="A2079" s="31" t="str">
        <f>IF(Table!A2079 = "","",Table!A2079)</f>
        <v/>
      </c>
      <c r="B2079" s="31" t="str">
        <f>IF(Table!B2079 = "","",Table!B2079)</f>
        <v/>
      </c>
      <c r="C2079" s="31" t="str">
        <f>IF(Table!C2079 = "","",Table!C2079)</f>
        <v/>
      </c>
      <c r="D2079" s="32" t="str">
        <f>IF(Table!D2079 = "","",Table!D2079)</f>
        <v/>
      </c>
      <c r="E2079" s="32" t="str">
        <f>IF(Table!E2079 = "","",Table!E2079)</f>
        <v/>
      </c>
      <c r="F2079" s="32" t="str">
        <f>IF(Table!F2079 = "","",Table!F2079)</f>
        <v/>
      </c>
      <c r="G2079" s="91"/>
      <c r="K2079" s="31" t="str">
        <f>IFERROR(VLOOKUP(A2079,Table!$I$4:$O$3000,1,TRUE),"")</f>
        <v/>
      </c>
      <c r="L2079" s="31" t="str">
        <f>IFERROR(INDEX(Table!I:O,MATCH(K2079,Table!I:I,0),2),"")</f>
        <v/>
      </c>
      <c r="M2079" s="31" t="str">
        <f>IFERROR(INDEX(Table!I:O,MATCH(K2079,Table!I:I,0),3),"")</f>
        <v/>
      </c>
      <c r="N2079" s="32" t="str">
        <f>IFERROR(INDEX(Table!I:O,MATCH(K2079,Table!I:I,0),4),"")</f>
        <v/>
      </c>
      <c r="O2079" s="32" t="str">
        <f>IFERROR(INDEX(Table!I:O,MATCH(K2079,Table!I:I,0),5),"")</f>
        <v/>
      </c>
      <c r="P2079" s="32" t="str">
        <f>IFERROR(INDEX(Table!I:O,MATCH(K2079,Table!I:I,0),6),"")</f>
        <v/>
      </c>
      <c r="Q2079" s="89" t="str">
        <f t="shared" si="96"/>
        <v/>
      </c>
      <c r="R2079" s="89" t="str">
        <f t="shared" si="97"/>
        <v/>
      </c>
      <c r="S2079" s="82"/>
      <c r="U2079" s="37" t="e">
        <f t="shared" si="98"/>
        <v>#VALUE!</v>
      </c>
    </row>
    <row r="2080" spans="1:21" x14ac:dyDescent="0.25">
      <c r="A2080" s="31" t="str">
        <f>IF(Table!A2080 = "","",Table!A2080)</f>
        <v/>
      </c>
      <c r="B2080" s="31" t="str">
        <f>IF(Table!B2080 = "","",Table!B2080)</f>
        <v/>
      </c>
      <c r="C2080" s="31" t="str">
        <f>IF(Table!C2080 = "","",Table!C2080)</f>
        <v/>
      </c>
      <c r="D2080" s="32" t="str">
        <f>IF(Table!D2080 = "","",Table!D2080)</f>
        <v/>
      </c>
      <c r="E2080" s="32" t="str">
        <f>IF(Table!E2080 = "","",Table!E2080)</f>
        <v/>
      </c>
      <c r="F2080" s="32" t="str">
        <f>IF(Table!F2080 = "","",Table!F2080)</f>
        <v/>
      </c>
      <c r="G2080" s="91"/>
      <c r="K2080" s="31" t="str">
        <f>IFERROR(VLOOKUP(A2080,Table!$I$4:$O$3000,1,TRUE),"")</f>
        <v/>
      </c>
      <c r="L2080" s="31" t="str">
        <f>IFERROR(INDEX(Table!I:O,MATCH(K2080,Table!I:I,0),2),"")</f>
        <v/>
      </c>
      <c r="M2080" s="31" t="str">
        <f>IFERROR(INDEX(Table!I:O,MATCH(K2080,Table!I:I,0),3),"")</f>
        <v/>
      </c>
      <c r="N2080" s="32" t="str">
        <f>IFERROR(INDEX(Table!I:O,MATCH(K2080,Table!I:I,0),4),"")</f>
        <v/>
      </c>
      <c r="O2080" s="32" t="str">
        <f>IFERROR(INDEX(Table!I:O,MATCH(K2080,Table!I:I,0),5),"")</f>
        <v/>
      </c>
      <c r="P2080" s="32" t="str">
        <f>IFERROR(INDEX(Table!I:O,MATCH(K2080,Table!I:I,0),6),"")</f>
        <v/>
      </c>
      <c r="Q2080" s="89" t="str">
        <f t="shared" si="96"/>
        <v/>
      </c>
      <c r="R2080" s="89" t="str">
        <f t="shared" si="97"/>
        <v/>
      </c>
      <c r="S2080" s="82"/>
      <c r="U2080" s="37" t="e">
        <f t="shared" si="98"/>
        <v>#VALUE!</v>
      </c>
    </row>
    <row r="2081" spans="1:21" x14ac:dyDescent="0.25">
      <c r="A2081" s="31" t="str">
        <f>IF(Table!A2081 = "","",Table!A2081)</f>
        <v/>
      </c>
      <c r="B2081" s="31" t="str">
        <f>IF(Table!B2081 = "","",Table!B2081)</f>
        <v/>
      </c>
      <c r="C2081" s="31" t="str">
        <f>IF(Table!C2081 = "","",Table!C2081)</f>
        <v/>
      </c>
      <c r="D2081" s="32" t="str">
        <f>IF(Table!D2081 = "","",Table!D2081)</f>
        <v/>
      </c>
      <c r="E2081" s="32" t="str">
        <f>IF(Table!E2081 = "","",Table!E2081)</f>
        <v/>
      </c>
      <c r="F2081" s="32" t="str">
        <f>IF(Table!F2081 = "","",Table!F2081)</f>
        <v/>
      </c>
      <c r="G2081" s="91"/>
      <c r="K2081" s="31" t="str">
        <f>IFERROR(VLOOKUP(A2081,Table!$I$4:$O$3000,1,TRUE),"")</f>
        <v/>
      </c>
      <c r="L2081" s="31" t="str">
        <f>IFERROR(INDEX(Table!I:O,MATCH(K2081,Table!I:I,0),2),"")</f>
        <v/>
      </c>
      <c r="M2081" s="31" t="str">
        <f>IFERROR(INDEX(Table!I:O,MATCH(K2081,Table!I:I,0),3),"")</f>
        <v/>
      </c>
      <c r="N2081" s="32" t="str">
        <f>IFERROR(INDEX(Table!I:O,MATCH(K2081,Table!I:I,0),4),"")</f>
        <v/>
      </c>
      <c r="O2081" s="32" t="str">
        <f>IFERROR(INDEX(Table!I:O,MATCH(K2081,Table!I:I,0),5),"")</f>
        <v/>
      </c>
      <c r="P2081" s="32" t="str">
        <f>IFERROR(INDEX(Table!I:O,MATCH(K2081,Table!I:I,0),6),"")</f>
        <v/>
      </c>
      <c r="Q2081" s="89" t="str">
        <f t="shared" si="96"/>
        <v/>
      </c>
      <c r="R2081" s="89" t="str">
        <f t="shared" si="97"/>
        <v/>
      </c>
      <c r="S2081" s="82"/>
      <c r="U2081" s="37" t="e">
        <f t="shared" si="98"/>
        <v>#VALUE!</v>
      </c>
    </row>
    <row r="2082" spans="1:21" x14ac:dyDescent="0.25">
      <c r="A2082" s="31" t="str">
        <f>IF(Table!A2082 = "","",Table!A2082)</f>
        <v/>
      </c>
      <c r="B2082" s="31" t="str">
        <f>IF(Table!B2082 = "","",Table!B2082)</f>
        <v/>
      </c>
      <c r="C2082" s="31" t="str">
        <f>IF(Table!C2082 = "","",Table!C2082)</f>
        <v/>
      </c>
      <c r="D2082" s="32" t="str">
        <f>IF(Table!D2082 = "","",Table!D2082)</f>
        <v/>
      </c>
      <c r="E2082" s="32" t="str">
        <f>IF(Table!E2082 = "","",Table!E2082)</f>
        <v/>
      </c>
      <c r="F2082" s="32" t="str">
        <f>IF(Table!F2082 = "","",Table!F2082)</f>
        <v/>
      </c>
      <c r="G2082" s="91"/>
      <c r="K2082" s="31" t="str">
        <f>IFERROR(VLOOKUP(A2082,Table!$I$4:$O$3000,1,TRUE),"")</f>
        <v/>
      </c>
      <c r="L2082" s="31" t="str">
        <f>IFERROR(INDEX(Table!I:O,MATCH(K2082,Table!I:I,0),2),"")</f>
        <v/>
      </c>
      <c r="M2082" s="31" t="str">
        <f>IFERROR(INDEX(Table!I:O,MATCH(K2082,Table!I:I,0),3),"")</f>
        <v/>
      </c>
      <c r="N2082" s="32" t="str">
        <f>IFERROR(INDEX(Table!I:O,MATCH(K2082,Table!I:I,0),4),"")</f>
        <v/>
      </c>
      <c r="O2082" s="32" t="str">
        <f>IFERROR(INDEX(Table!I:O,MATCH(K2082,Table!I:I,0),5),"")</f>
        <v/>
      </c>
      <c r="P2082" s="32" t="str">
        <f>IFERROR(INDEX(Table!I:O,MATCH(K2082,Table!I:I,0),6),"")</f>
        <v/>
      </c>
      <c r="Q2082" s="89" t="str">
        <f t="shared" si="96"/>
        <v/>
      </c>
      <c r="R2082" s="89" t="str">
        <f t="shared" si="97"/>
        <v/>
      </c>
      <c r="S2082" s="82"/>
      <c r="U2082" s="37" t="e">
        <f t="shared" si="98"/>
        <v>#VALUE!</v>
      </c>
    </row>
    <row r="2083" spans="1:21" x14ac:dyDescent="0.25">
      <c r="A2083" s="31" t="str">
        <f>IF(Table!A2083 = "","",Table!A2083)</f>
        <v/>
      </c>
      <c r="B2083" s="31" t="str">
        <f>IF(Table!B2083 = "","",Table!B2083)</f>
        <v/>
      </c>
      <c r="C2083" s="31" t="str">
        <f>IF(Table!C2083 = "","",Table!C2083)</f>
        <v/>
      </c>
      <c r="D2083" s="32" t="str">
        <f>IF(Table!D2083 = "","",Table!D2083)</f>
        <v/>
      </c>
      <c r="E2083" s="32" t="str">
        <f>IF(Table!E2083 = "","",Table!E2083)</f>
        <v/>
      </c>
      <c r="F2083" s="32" t="str">
        <f>IF(Table!F2083 = "","",Table!F2083)</f>
        <v/>
      </c>
      <c r="G2083" s="91"/>
      <c r="K2083" s="31" t="str">
        <f>IFERROR(VLOOKUP(A2083,Table!$I$4:$O$3000,1,TRUE),"")</f>
        <v/>
      </c>
      <c r="L2083" s="31" t="str">
        <f>IFERROR(INDEX(Table!I:O,MATCH(K2083,Table!I:I,0),2),"")</f>
        <v/>
      </c>
      <c r="M2083" s="31" t="str">
        <f>IFERROR(INDEX(Table!I:O,MATCH(K2083,Table!I:I,0),3),"")</f>
        <v/>
      </c>
      <c r="N2083" s="32" t="str">
        <f>IFERROR(INDEX(Table!I:O,MATCH(K2083,Table!I:I,0),4),"")</f>
        <v/>
      </c>
      <c r="O2083" s="32" t="str">
        <f>IFERROR(INDEX(Table!I:O,MATCH(K2083,Table!I:I,0),5),"")</f>
        <v/>
      </c>
      <c r="P2083" s="32" t="str">
        <f>IFERROR(INDEX(Table!I:O,MATCH(K2083,Table!I:I,0),6),"")</f>
        <v/>
      </c>
      <c r="Q2083" s="89" t="str">
        <f t="shared" si="96"/>
        <v/>
      </c>
      <c r="R2083" s="89" t="str">
        <f t="shared" si="97"/>
        <v/>
      </c>
      <c r="S2083" s="82"/>
      <c r="U2083" s="37" t="e">
        <f t="shared" si="98"/>
        <v>#VALUE!</v>
      </c>
    </row>
    <row r="2084" spans="1:21" x14ac:dyDescent="0.25">
      <c r="A2084" s="31" t="str">
        <f>IF(Table!A2084 = "","",Table!A2084)</f>
        <v/>
      </c>
      <c r="B2084" s="31" t="str">
        <f>IF(Table!B2084 = "","",Table!B2084)</f>
        <v/>
      </c>
      <c r="C2084" s="31" t="str">
        <f>IF(Table!C2084 = "","",Table!C2084)</f>
        <v/>
      </c>
      <c r="D2084" s="32" t="str">
        <f>IF(Table!D2084 = "","",Table!D2084)</f>
        <v/>
      </c>
      <c r="E2084" s="32" t="str">
        <f>IF(Table!E2084 = "","",Table!E2084)</f>
        <v/>
      </c>
      <c r="F2084" s="32" t="str">
        <f>IF(Table!F2084 = "","",Table!F2084)</f>
        <v/>
      </c>
      <c r="G2084" s="91"/>
      <c r="K2084" s="31" t="str">
        <f>IFERROR(VLOOKUP(A2084,Table!$I$4:$O$3000,1,TRUE),"")</f>
        <v/>
      </c>
      <c r="L2084" s="31" t="str">
        <f>IFERROR(INDEX(Table!I:O,MATCH(K2084,Table!I:I,0),2),"")</f>
        <v/>
      </c>
      <c r="M2084" s="31" t="str">
        <f>IFERROR(INDEX(Table!I:O,MATCH(K2084,Table!I:I,0),3),"")</f>
        <v/>
      </c>
      <c r="N2084" s="32" t="str">
        <f>IFERROR(INDEX(Table!I:O,MATCH(K2084,Table!I:I,0),4),"")</f>
        <v/>
      </c>
      <c r="O2084" s="32" t="str">
        <f>IFERROR(INDEX(Table!I:O,MATCH(K2084,Table!I:I,0),5),"")</f>
        <v/>
      </c>
      <c r="P2084" s="32" t="str">
        <f>IFERROR(INDEX(Table!I:O,MATCH(K2084,Table!I:I,0),6),"")</f>
        <v/>
      </c>
      <c r="Q2084" s="89" t="str">
        <f t="shared" si="96"/>
        <v/>
      </c>
      <c r="R2084" s="89" t="str">
        <f t="shared" si="97"/>
        <v/>
      </c>
      <c r="S2084" s="82"/>
      <c r="U2084" s="37" t="e">
        <f t="shared" si="98"/>
        <v>#VALUE!</v>
      </c>
    </row>
    <row r="2085" spans="1:21" x14ac:dyDescent="0.25">
      <c r="A2085" s="31" t="str">
        <f>IF(Table!A2085 = "","",Table!A2085)</f>
        <v/>
      </c>
      <c r="B2085" s="31" t="str">
        <f>IF(Table!B2085 = "","",Table!B2085)</f>
        <v/>
      </c>
      <c r="C2085" s="31" t="str">
        <f>IF(Table!C2085 = "","",Table!C2085)</f>
        <v/>
      </c>
      <c r="D2085" s="32" t="str">
        <f>IF(Table!D2085 = "","",Table!D2085)</f>
        <v/>
      </c>
      <c r="E2085" s="32" t="str">
        <f>IF(Table!E2085 = "","",Table!E2085)</f>
        <v/>
      </c>
      <c r="F2085" s="32" t="str">
        <f>IF(Table!F2085 = "","",Table!F2085)</f>
        <v/>
      </c>
      <c r="G2085" s="91"/>
      <c r="K2085" s="31" t="str">
        <f>IFERROR(VLOOKUP(A2085,Table!$I$4:$O$3000,1,TRUE),"")</f>
        <v/>
      </c>
      <c r="L2085" s="31" t="str">
        <f>IFERROR(INDEX(Table!I:O,MATCH(K2085,Table!I:I,0),2),"")</f>
        <v/>
      </c>
      <c r="M2085" s="31" t="str">
        <f>IFERROR(INDEX(Table!I:O,MATCH(K2085,Table!I:I,0),3),"")</f>
        <v/>
      </c>
      <c r="N2085" s="32" t="str">
        <f>IFERROR(INDEX(Table!I:O,MATCH(K2085,Table!I:I,0),4),"")</f>
        <v/>
      </c>
      <c r="O2085" s="32" t="str">
        <f>IFERROR(INDEX(Table!I:O,MATCH(K2085,Table!I:I,0),5),"")</f>
        <v/>
      </c>
      <c r="P2085" s="32" t="str">
        <f>IFERROR(INDEX(Table!I:O,MATCH(K2085,Table!I:I,0),6),"")</f>
        <v/>
      </c>
      <c r="Q2085" s="89" t="str">
        <f t="shared" si="96"/>
        <v/>
      </c>
      <c r="R2085" s="89" t="str">
        <f t="shared" si="97"/>
        <v/>
      </c>
      <c r="S2085" s="82"/>
      <c r="U2085" s="37" t="e">
        <f t="shared" si="98"/>
        <v>#VALUE!</v>
      </c>
    </row>
    <row r="2086" spans="1:21" x14ac:dyDescent="0.25">
      <c r="A2086" s="31" t="str">
        <f>IF(Table!A2086 = "","",Table!A2086)</f>
        <v/>
      </c>
      <c r="B2086" s="31" t="str">
        <f>IF(Table!B2086 = "","",Table!B2086)</f>
        <v/>
      </c>
      <c r="C2086" s="31" t="str">
        <f>IF(Table!C2086 = "","",Table!C2086)</f>
        <v/>
      </c>
      <c r="D2086" s="32" t="str">
        <f>IF(Table!D2086 = "","",Table!D2086)</f>
        <v/>
      </c>
      <c r="E2086" s="32" t="str">
        <f>IF(Table!E2086 = "","",Table!E2086)</f>
        <v/>
      </c>
      <c r="F2086" s="32" t="str">
        <f>IF(Table!F2086 = "","",Table!F2086)</f>
        <v/>
      </c>
      <c r="G2086" s="91"/>
      <c r="K2086" s="31" t="str">
        <f>IFERROR(VLOOKUP(A2086,Table!$I$4:$O$3000,1,TRUE),"")</f>
        <v/>
      </c>
      <c r="L2086" s="31" t="str">
        <f>IFERROR(INDEX(Table!I:O,MATCH(K2086,Table!I:I,0),2),"")</f>
        <v/>
      </c>
      <c r="M2086" s="31" t="str">
        <f>IFERROR(INDEX(Table!I:O,MATCH(K2086,Table!I:I,0),3),"")</f>
        <v/>
      </c>
      <c r="N2086" s="32" t="str">
        <f>IFERROR(INDEX(Table!I:O,MATCH(K2086,Table!I:I,0),4),"")</f>
        <v/>
      </c>
      <c r="O2086" s="32" t="str">
        <f>IFERROR(INDEX(Table!I:O,MATCH(K2086,Table!I:I,0),5),"")</f>
        <v/>
      </c>
      <c r="P2086" s="32" t="str">
        <f>IFERROR(INDEX(Table!I:O,MATCH(K2086,Table!I:I,0),6),"")</f>
        <v/>
      </c>
      <c r="Q2086" s="89" t="str">
        <f t="shared" si="96"/>
        <v/>
      </c>
      <c r="R2086" s="89" t="str">
        <f t="shared" si="97"/>
        <v/>
      </c>
      <c r="S2086" s="82"/>
      <c r="U2086" s="37" t="e">
        <f t="shared" si="98"/>
        <v>#VALUE!</v>
      </c>
    </row>
    <row r="2087" spans="1:21" x14ac:dyDescent="0.25">
      <c r="A2087" s="31" t="str">
        <f>IF(Table!A2087 = "","",Table!A2087)</f>
        <v/>
      </c>
      <c r="B2087" s="31" t="str">
        <f>IF(Table!B2087 = "","",Table!B2087)</f>
        <v/>
      </c>
      <c r="C2087" s="31" t="str">
        <f>IF(Table!C2087 = "","",Table!C2087)</f>
        <v/>
      </c>
      <c r="D2087" s="32" t="str">
        <f>IF(Table!D2087 = "","",Table!D2087)</f>
        <v/>
      </c>
      <c r="E2087" s="32" t="str">
        <f>IF(Table!E2087 = "","",Table!E2087)</f>
        <v/>
      </c>
      <c r="F2087" s="32" t="str">
        <f>IF(Table!F2087 = "","",Table!F2087)</f>
        <v/>
      </c>
      <c r="G2087" s="91"/>
      <c r="K2087" s="31" t="str">
        <f>IFERROR(VLOOKUP(A2087,Table!$I$4:$O$3000,1,TRUE),"")</f>
        <v/>
      </c>
      <c r="L2087" s="31" t="str">
        <f>IFERROR(INDEX(Table!I:O,MATCH(K2087,Table!I:I,0),2),"")</f>
        <v/>
      </c>
      <c r="M2087" s="31" t="str">
        <f>IFERROR(INDEX(Table!I:O,MATCH(K2087,Table!I:I,0),3),"")</f>
        <v/>
      </c>
      <c r="N2087" s="32" t="str">
        <f>IFERROR(INDEX(Table!I:O,MATCH(K2087,Table!I:I,0),4),"")</f>
        <v/>
      </c>
      <c r="O2087" s="32" t="str">
        <f>IFERROR(INDEX(Table!I:O,MATCH(K2087,Table!I:I,0),5),"")</f>
        <v/>
      </c>
      <c r="P2087" s="32" t="str">
        <f>IFERROR(INDEX(Table!I:O,MATCH(K2087,Table!I:I,0),6),"")</f>
        <v/>
      </c>
      <c r="Q2087" s="89" t="str">
        <f t="shared" si="96"/>
        <v/>
      </c>
      <c r="R2087" s="89" t="str">
        <f t="shared" si="97"/>
        <v/>
      </c>
      <c r="S2087" s="82"/>
      <c r="U2087" s="37" t="e">
        <f t="shared" si="98"/>
        <v>#VALUE!</v>
      </c>
    </row>
    <row r="2088" spans="1:21" x14ac:dyDescent="0.25">
      <c r="A2088" s="31" t="str">
        <f>IF(Table!A2088 = "","",Table!A2088)</f>
        <v/>
      </c>
      <c r="B2088" s="31" t="str">
        <f>IF(Table!B2088 = "","",Table!B2088)</f>
        <v/>
      </c>
      <c r="C2088" s="31" t="str">
        <f>IF(Table!C2088 = "","",Table!C2088)</f>
        <v/>
      </c>
      <c r="D2088" s="32" t="str">
        <f>IF(Table!D2088 = "","",Table!D2088)</f>
        <v/>
      </c>
      <c r="E2088" s="32" t="str">
        <f>IF(Table!E2088 = "","",Table!E2088)</f>
        <v/>
      </c>
      <c r="F2088" s="32" t="str">
        <f>IF(Table!F2088 = "","",Table!F2088)</f>
        <v/>
      </c>
      <c r="G2088" s="91"/>
      <c r="K2088" s="31" t="str">
        <f>IFERROR(VLOOKUP(A2088,Table!$I$4:$O$3000,1,TRUE),"")</f>
        <v/>
      </c>
      <c r="L2088" s="31" t="str">
        <f>IFERROR(INDEX(Table!I:O,MATCH(K2088,Table!I:I,0),2),"")</f>
        <v/>
      </c>
      <c r="M2088" s="31" t="str">
        <f>IFERROR(INDEX(Table!I:O,MATCH(K2088,Table!I:I,0),3),"")</f>
        <v/>
      </c>
      <c r="N2088" s="32" t="str">
        <f>IFERROR(INDEX(Table!I:O,MATCH(K2088,Table!I:I,0),4),"")</f>
        <v/>
      </c>
      <c r="O2088" s="32" t="str">
        <f>IFERROR(INDEX(Table!I:O,MATCH(K2088,Table!I:I,0),5),"")</f>
        <v/>
      </c>
      <c r="P2088" s="32" t="str">
        <f>IFERROR(INDEX(Table!I:O,MATCH(K2088,Table!I:I,0),6),"")</f>
        <v/>
      </c>
      <c r="Q2088" s="89" t="str">
        <f t="shared" si="96"/>
        <v/>
      </c>
      <c r="R2088" s="89" t="str">
        <f t="shared" si="97"/>
        <v/>
      </c>
      <c r="S2088" s="82"/>
      <c r="U2088" s="37" t="e">
        <f t="shared" si="98"/>
        <v>#VALUE!</v>
      </c>
    </row>
    <row r="2089" spans="1:21" x14ac:dyDescent="0.25">
      <c r="A2089" s="31" t="str">
        <f>IF(Table!A2089 = "","",Table!A2089)</f>
        <v/>
      </c>
      <c r="B2089" s="31" t="str">
        <f>IF(Table!B2089 = "","",Table!B2089)</f>
        <v/>
      </c>
      <c r="C2089" s="31" t="str">
        <f>IF(Table!C2089 = "","",Table!C2089)</f>
        <v/>
      </c>
      <c r="D2089" s="32" t="str">
        <f>IF(Table!D2089 = "","",Table!D2089)</f>
        <v/>
      </c>
      <c r="E2089" s="32" t="str">
        <f>IF(Table!E2089 = "","",Table!E2089)</f>
        <v/>
      </c>
      <c r="F2089" s="32" t="str">
        <f>IF(Table!F2089 = "","",Table!F2089)</f>
        <v/>
      </c>
      <c r="G2089" s="91"/>
      <c r="K2089" s="31" t="str">
        <f>IFERROR(VLOOKUP(A2089,Table!$I$4:$O$3000,1,TRUE),"")</f>
        <v/>
      </c>
      <c r="L2089" s="31" t="str">
        <f>IFERROR(INDEX(Table!I:O,MATCH(K2089,Table!I:I,0),2),"")</f>
        <v/>
      </c>
      <c r="M2089" s="31" t="str">
        <f>IFERROR(INDEX(Table!I:O,MATCH(K2089,Table!I:I,0),3),"")</f>
        <v/>
      </c>
      <c r="N2089" s="32" t="str">
        <f>IFERROR(INDEX(Table!I:O,MATCH(K2089,Table!I:I,0),4),"")</f>
        <v/>
      </c>
      <c r="O2089" s="32" t="str">
        <f>IFERROR(INDEX(Table!I:O,MATCH(K2089,Table!I:I,0),5),"")</f>
        <v/>
      </c>
      <c r="P2089" s="32" t="str">
        <f>IFERROR(INDEX(Table!I:O,MATCH(K2089,Table!I:I,0),6),"")</f>
        <v/>
      </c>
      <c r="Q2089" s="89" t="str">
        <f t="shared" si="96"/>
        <v/>
      </c>
      <c r="R2089" s="89" t="str">
        <f t="shared" si="97"/>
        <v/>
      </c>
      <c r="S2089" s="82"/>
      <c r="U2089" s="37" t="e">
        <f t="shared" si="98"/>
        <v>#VALUE!</v>
      </c>
    </row>
    <row r="2090" spans="1:21" x14ac:dyDescent="0.25">
      <c r="A2090" s="31" t="str">
        <f>IF(Table!A2090 = "","",Table!A2090)</f>
        <v/>
      </c>
      <c r="B2090" s="31" t="str">
        <f>IF(Table!B2090 = "","",Table!B2090)</f>
        <v/>
      </c>
      <c r="C2090" s="31" t="str">
        <f>IF(Table!C2090 = "","",Table!C2090)</f>
        <v/>
      </c>
      <c r="D2090" s="32" t="str">
        <f>IF(Table!D2090 = "","",Table!D2090)</f>
        <v/>
      </c>
      <c r="E2090" s="32" t="str">
        <f>IF(Table!E2090 = "","",Table!E2090)</f>
        <v/>
      </c>
      <c r="F2090" s="32" t="str">
        <f>IF(Table!F2090 = "","",Table!F2090)</f>
        <v/>
      </c>
      <c r="G2090" s="91"/>
      <c r="K2090" s="31" t="str">
        <f>IFERROR(VLOOKUP(A2090,Table!$I$4:$O$3000,1,TRUE),"")</f>
        <v/>
      </c>
      <c r="L2090" s="31" t="str">
        <f>IFERROR(INDEX(Table!I:O,MATCH(K2090,Table!I:I,0),2),"")</f>
        <v/>
      </c>
      <c r="M2090" s="31" t="str">
        <f>IFERROR(INDEX(Table!I:O,MATCH(K2090,Table!I:I,0),3),"")</f>
        <v/>
      </c>
      <c r="N2090" s="32" t="str">
        <f>IFERROR(INDEX(Table!I:O,MATCH(K2090,Table!I:I,0),4),"")</f>
        <v/>
      </c>
      <c r="O2090" s="32" t="str">
        <f>IFERROR(INDEX(Table!I:O,MATCH(K2090,Table!I:I,0),5),"")</f>
        <v/>
      </c>
      <c r="P2090" s="32" t="str">
        <f>IFERROR(INDEX(Table!I:O,MATCH(K2090,Table!I:I,0),6),"")</f>
        <v/>
      </c>
      <c r="Q2090" s="89" t="str">
        <f t="shared" si="96"/>
        <v/>
      </c>
      <c r="R2090" s="89" t="str">
        <f t="shared" si="97"/>
        <v/>
      </c>
      <c r="S2090" s="82"/>
      <c r="U2090" s="37" t="e">
        <f t="shared" si="98"/>
        <v>#VALUE!</v>
      </c>
    </row>
    <row r="2091" spans="1:21" x14ac:dyDescent="0.25">
      <c r="A2091" s="31" t="str">
        <f>IF(Table!A2091 = "","",Table!A2091)</f>
        <v/>
      </c>
      <c r="B2091" s="31" t="str">
        <f>IF(Table!B2091 = "","",Table!B2091)</f>
        <v/>
      </c>
      <c r="C2091" s="31" t="str">
        <f>IF(Table!C2091 = "","",Table!C2091)</f>
        <v/>
      </c>
      <c r="D2091" s="32" t="str">
        <f>IF(Table!D2091 = "","",Table!D2091)</f>
        <v/>
      </c>
      <c r="E2091" s="32" t="str">
        <f>IF(Table!E2091 = "","",Table!E2091)</f>
        <v/>
      </c>
      <c r="F2091" s="32" t="str">
        <f>IF(Table!F2091 = "","",Table!F2091)</f>
        <v/>
      </c>
      <c r="G2091" s="91"/>
      <c r="K2091" s="31" t="str">
        <f>IFERROR(VLOOKUP(A2091,Table!$I$4:$O$3000,1,TRUE),"")</f>
        <v/>
      </c>
      <c r="L2091" s="31" t="str">
        <f>IFERROR(INDEX(Table!I:O,MATCH(K2091,Table!I:I,0),2),"")</f>
        <v/>
      </c>
      <c r="M2091" s="31" t="str">
        <f>IFERROR(INDEX(Table!I:O,MATCH(K2091,Table!I:I,0),3),"")</f>
        <v/>
      </c>
      <c r="N2091" s="32" t="str">
        <f>IFERROR(INDEX(Table!I:O,MATCH(K2091,Table!I:I,0),4),"")</f>
        <v/>
      </c>
      <c r="O2091" s="32" t="str">
        <f>IFERROR(INDEX(Table!I:O,MATCH(K2091,Table!I:I,0),5),"")</f>
        <v/>
      </c>
      <c r="P2091" s="32" t="str">
        <f>IFERROR(INDEX(Table!I:O,MATCH(K2091,Table!I:I,0),6),"")</f>
        <v/>
      </c>
      <c r="Q2091" s="89" t="str">
        <f t="shared" si="96"/>
        <v/>
      </c>
      <c r="R2091" s="89" t="str">
        <f t="shared" si="97"/>
        <v/>
      </c>
      <c r="S2091" s="82"/>
      <c r="U2091" s="37" t="e">
        <f t="shared" si="98"/>
        <v>#VALUE!</v>
      </c>
    </row>
    <row r="2092" spans="1:21" x14ac:dyDescent="0.25">
      <c r="A2092" s="31" t="str">
        <f>IF(Table!A2092 = "","",Table!A2092)</f>
        <v/>
      </c>
      <c r="B2092" s="31" t="str">
        <f>IF(Table!B2092 = "","",Table!B2092)</f>
        <v/>
      </c>
      <c r="C2092" s="31" t="str">
        <f>IF(Table!C2092 = "","",Table!C2092)</f>
        <v/>
      </c>
      <c r="D2092" s="32" t="str">
        <f>IF(Table!D2092 = "","",Table!D2092)</f>
        <v/>
      </c>
      <c r="E2092" s="32" t="str">
        <f>IF(Table!E2092 = "","",Table!E2092)</f>
        <v/>
      </c>
      <c r="F2092" s="32" t="str">
        <f>IF(Table!F2092 = "","",Table!F2092)</f>
        <v/>
      </c>
      <c r="G2092" s="91"/>
      <c r="K2092" s="31" t="str">
        <f>IFERROR(VLOOKUP(A2092,Table!$I$4:$O$3000,1,TRUE),"")</f>
        <v/>
      </c>
      <c r="L2092" s="31" t="str">
        <f>IFERROR(INDEX(Table!I:O,MATCH(K2092,Table!I:I,0),2),"")</f>
        <v/>
      </c>
      <c r="M2092" s="31" t="str">
        <f>IFERROR(INDEX(Table!I:O,MATCH(K2092,Table!I:I,0),3),"")</f>
        <v/>
      </c>
      <c r="N2092" s="32" t="str">
        <f>IFERROR(INDEX(Table!I:O,MATCH(K2092,Table!I:I,0),4),"")</f>
        <v/>
      </c>
      <c r="O2092" s="32" t="str">
        <f>IFERROR(INDEX(Table!I:O,MATCH(K2092,Table!I:I,0),5),"")</f>
        <v/>
      </c>
      <c r="P2092" s="32" t="str">
        <f>IFERROR(INDEX(Table!I:O,MATCH(K2092,Table!I:I,0),6),"")</f>
        <v/>
      </c>
      <c r="Q2092" s="89" t="str">
        <f t="shared" si="96"/>
        <v/>
      </c>
      <c r="R2092" s="89" t="str">
        <f t="shared" si="97"/>
        <v/>
      </c>
      <c r="S2092" s="82"/>
      <c r="U2092" s="37" t="e">
        <f t="shared" si="98"/>
        <v>#VALUE!</v>
      </c>
    </row>
    <row r="2093" spans="1:21" x14ac:dyDescent="0.25">
      <c r="A2093" s="31" t="str">
        <f>IF(Table!A2093 = "","",Table!A2093)</f>
        <v/>
      </c>
      <c r="B2093" s="31" t="str">
        <f>IF(Table!B2093 = "","",Table!B2093)</f>
        <v/>
      </c>
      <c r="C2093" s="31" t="str">
        <f>IF(Table!C2093 = "","",Table!C2093)</f>
        <v/>
      </c>
      <c r="D2093" s="32" t="str">
        <f>IF(Table!D2093 = "","",Table!D2093)</f>
        <v/>
      </c>
      <c r="E2093" s="32" t="str">
        <f>IF(Table!E2093 = "","",Table!E2093)</f>
        <v/>
      </c>
      <c r="F2093" s="32" t="str">
        <f>IF(Table!F2093 = "","",Table!F2093)</f>
        <v/>
      </c>
      <c r="G2093" s="91"/>
      <c r="K2093" s="31" t="str">
        <f>IFERROR(VLOOKUP(A2093,Table!$I$4:$O$3000,1,TRUE),"")</f>
        <v/>
      </c>
      <c r="L2093" s="31" t="str">
        <f>IFERROR(INDEX(Table!I:O,MATCH(K2093,Table!I:I,0),2),"")</f>
        <v/>
      </c>
      <c r="M2093" s="31" t="str">
        <f>IFERROR(INDEX(Table!I:O,MATCH(K2093,Table!I:I,0),3),"")</f>
        <v/>
      </c>
      <c r="N2093" s="32" t="str">
        <f>IFERROR(INDEX(Table!I:O,MATCH(K2093,Table!I:I,0),4),"")</f>
        <v/>
      </c>
      <c r="O2093" s="32" t="str">
        <f>IFERROR(INDEX(Table!I:O,MATCH(K2093,Table!I:I,0),5),"")</f>
        <v/>
      </c>
      <c r="P2093" s="32" t="str">
        <f>IFERROR(INDEX(Table!I:O,MATCH(K2093,Table!I:I,0),6),"")</f>
        <v/>
      </c>
      <c r="Q2093" s="89" t="str">
        <f t="shared" si="96"/>
        <v/>
      </c>
      <c r="R2093" s="89" t="str">
        <f t="shared" si="97"/>
        <v/>
      </c>
      <c r="S2093" s="82"/>
      <c r="U2093" s="37" t="e">
        <f t="shared" si="98"/>
        <v>#VALUE!</v>
      </c>
    </row>
    <row r="2094" spans="1:21" x14ac:dyDescent="0.25">
      <c r="A2094" s="31" t="str">
        <f>IF(Table!A2094 = "","",Table!A2094)</f>
        <v/>
      </c>
      <c r="B2094" s="31" t="str">
        <f>IF(Table!B2094 = "","",Table!B2094)</f>
        <v/>
      </c>
      <c r="C2094" s="31" t="str">
        <f>IF(Table!C2094 = "","",Table!C2094)</f>
        <v/>
      </c>
      <c r="D2094" s="32" t="str">
        <f>IF(Table!D2094 = "","",Table!D2094)</f>
        <v/>
      </c>
      <c r="E2094" s="32" t="str">
        <f>IF(Table!E2094 = "","",Table!E2094)</f>
        <v/>
      </c>
      <c r="F2094" s="32" t="str">
        <f>IF(Table!F2094 = "","",Table!F2094)</f>
        <v/>
      </c>
      <c r="G2094" s="91"/>
      <c r="K2094" s="31" t="str">
        <f>IFERROR(VLOOKUP(A2094,Table!$I$4:$O$3000,1,TRUE),"")</f>
        <v/>
      </c>
      <c r="L2094" s="31" t="str">
        <f>IFERROR(INDEX(Table!I:O,MATCH(K2094,Table!I:I,0),2),"")</f>
        <v/>
      </c>
      <c r="M2094" s="31" t="str">
        <f>IFERROR(INDEX(Table!I:O,MATCH(K2094,Table!I:I,0),3),"")</f>
        <v/>
      </c>
      <c r="N2094" s="32" t="str">
        <f>IFERROR(INDEX(Table!I:O,MATCH(K2094,Table!I:I,0),4),"")</f>
        <v/>
      </c>
      <c r="O2094" s="32" t="str">
        <f>IFERROR(INDEX(Table!I:O,MATCH(K2094,Table!I:I,0),5),"")</f>
        <v/>
      </c>
      <c r="P2094" s="32" t="str">
        <f>IFERROR(INDEX(Table!I:O,MATCH(K2094,Table!I:I,0),6),"")</f>
        <v/>
      </c>
      <c r="Q2094" s="89" t="str">
        <f t="shared" si="96"/>
        <v/>
      </c>
      <c r="R2094" s="89" t="str">
        <f t="shared" si="97"/>
        <v/>
      </c>
      <c r="S2094" s="82"/>
      <c r="U2094" s="37" t="e">
        <f t="shared" si="98"/>
        <v>#VALUE!</v>
      </c>
    </row>
    <row r="2095" spans="1:21" x14ac:dyDescent="0.25">
      <c r="A2095" s="31" t="str">
        <f>IF(Table!A2095 = "","",Table!A2095)</f>
        <v/>
      </c>
      <c r="B2095" s="31" t="str">
        <f>IF(Table!B2095 = "","",Table!B2095)</f>
        <v/>
      </c>
      <c r="C2095" s="31" t="str">
        <f>IF(Table!C2095 = "","",Table!C2095)</f>
        <v/>
      </c>
      <c r="D2095" s="32" t="str">
        <f>IF(Table!D2095 = "","",Table!D2095)</f>
        <v/>
      </c>
      <c r="E2095" s="32" t="str">
        <f>IF(Table!E2095 = "","",Table!E2095)</f>
        <v/>
      </c>
      <c r="F2095" s="32" t="str">
        <f>IF(Table!F2095 = "","",Table!F2095)</f>
        <v/>
      </c>
      <c r="G2095" s="91"/>
      <c r="K2095" s="31" t="str">
        <f>IFERROR(VLOOKUP(A2095,Table!$I$4:$O$3000,1,TRUE),"")</f>
        <v/>
      </c>
      <c r="L2095" s="31" t="str">
        <f>IFERROR(INDEX(Table!I:O,MATCH(K2095,Table!I:I,0),2),"")</f>
        <v/>
      </c>
      <c r="M2095" s="31" t="str">
        <f>IFERROR(INDEX(Table!I:O,MATCH(K2095,Table!I:I,0),3),"")</f>
        <v/>
      </c>
      <c r="N2095" s="32" t="str">
        <f>IFERROR(INDEX(Table!I:O,MATCH(K2095,Table!I:I,0),4),"")</f>
        <v/>
      </c>
      <c r="O2095" s="32" t="str">
        <f>IFERROR(INDEX(Table!I:O,MATCH(K2095,Table!I:I,0),5),"")</f>
        <v/>
      </c>
      <c r="P2095" s="32" t="str">
        <f>IFERROR(INDEX(Table!I:O,MATCH(K2095,Table!I:I,0),6),"")</f>
        <v/>
      </c>
      <c r="Q2095" s="89" t="str">
        <f t="shared" si="96"/>
        <v/>
      </c>
      <c r="R2095" s="89" t="str">
        <f t="shared" si="97"/>
        <v/>
      </c>
      <c r="S2095" s="82"/>
      <c r="U2095" s="37" t="e">
        <f t="shared" si="98"/>
        <v>#VALUE!</v>
      </c>
    </row>
    <row r="2096" spans="1:21" x14ac:dyDescent="0.25">
      <c r="A2096" s="31" t="str">
        <f>IF(Table!A2096 = "","",Table!A2096)</f>
        <v/>
      </c>
      <c r="B2096" s="31" t="str">
        <f>IF(Table!B2096 = "","",Table!B2096)</f>
        <v/>
      </c>
      <c r="C2096" s="31" t="str">
        <f>IF(Table!C2096 = "","",Table!C2096)</f>
        <v/>
      </c>
      <c r="D2096" s="32" t="str">
        <f>IF(Table!D2096 = "","",Table!D2096)</f>
        <v/>
      </c>
      <c r="E2096" s="32" t="str">
        <f>IF(Table!E2096 = "","",Table!E2096)</f>
        <v/>
      </c>
      <c r="F2096" s="32" t="str">
        <f>IF(Table!F2096 = "","",Table!F2096)</f>
        <v/>
      </c>
      <c r="G2096" s="91"/>
      <c r="K2096" s="31" t="str">
        <f>IFERROR(VLOOKUP(A2096,Table!$I$4:$O$3000,1,TRUE),"")</f>
        <v/>
      </c>
      <c r="L2096" s="31" t="str">
        <f>IFERROR(INDEX(Table!I:O,MATCH(K2096,Table!I:I,0),2),"")</f>
        <v/>
      </c>
      <c r="M2096" s="31" t="str">
        <f>IFERROR(INDEX(Table!I:O,MATCH(K2096,Table!I:I,0),3),"")</f>
        <v/>
      </c>
      <c r="N2096" s="32" t="str">
        <f>IFERROR(INDEX(Table!I:O,MATCH(K2096,Table!I:I,0),4),"")</f>
        <v/>
      </c>
      <c r="O2096" s="32" t="str">
        <f>IFERROR(INDEX(Table!I:O,MATCH(K2096,Table!I:I,0),5),"")</f>
        <v/>
      </c>
      <c r="P2096" s="32" t="str">
        <f>IFERROR(INDEX(Table!I:O,MATCH(K2096,Table!I:I,0),6),"")</f>
        <v/>
      </c>
      <c r="Q2096" s="89" t="str">
        <f t="shared" si="96"/>
        <v/>
      </c>
      <c r="R2096" s="89" t="str">
        <f t="shared" si="97"/>
        <v/>
      </c>
      <c r="S2096" s="82"/>
      <c r="U2096" s="37" t="e">
        <f t="shared" si="98"/>
        <v>#VALUE!</v>
      </c>
    </row>
    <row r="2097" spans="1:21" x14ac:dyDescent="0.25">
      <c r="A2097" s="31" t="str">
        <f>IF(Table!A2097 = "","",Table!A2097)</f>
        <v/>
      </c>
      <c r="B2097" s="31" t="str">
        <f>IF(Table!B2097 = "","",Table!B2097)</f>
        <v/>
      </c>
      <c r="C2097" s="31" t="str">
        <f>IF(Table!C2097 = "","",Table!C2097)</f>
        <v/>
      </c>
      <c r="D2097" s="32" t="str">
        <f>IF(Table!D2097 = "","",Table!D2097)</f>
        <v/>
      </c>
      <c r="E2097" s="32" t="str">
        <f>IF(Table!E2097 = "","",Table!E2097)</f>
        <v/>
      </c>
      <c r="F2097" s="32" t="str">
        <f>IF(Table!F2097 = "","",Table!F2097)</f>
        <v/>
      </c>
      <c r="G2097" s="91"/>
      <c r="K2097" s="31" t="str">
        <f>IFERROR(VLOOKUP(A2097,Table!$I$4:$O$3000,1,TRUE),"")</f>
        <v/>
      </c>
      <c r="L2097" s="31" t="str">
        <f>IFERROR(INDEX(Table!I:O,MATCH(K2097,Table!I:I,0),2),"")</f>
        <v/>
      </c>
      <c r="M2097" s="31" t="str">
        <f>IFERROR(INDEX(Table!I:O,MATCH(K2097,Table!I:I,0),3),"")</f>
        <v/>
      </c>
      <c r="N2097" s="32" t="str">
        <f>IFERROR(INDEX(Table!I:O,MATCH(K2097,Table!I:I,0),4),"")</f>
        <v/>
      </c>
      <c r="O2097" s="32" t="str">
        <f>IFERROR(INDEX(Table!I:O,MATCH(K2097,Table!I:I,0),5),"")</f>
        <v/>
      </c>
      <c r="P2097" s="32" t="str">
        <f>IFERROR(INDEX(Table!I:O,MATCH(K2097,Table!I:I,0),6),"")</f>
        <v/>
      </c>
      <c r="Q2097" s="89" t="str">
        <f t="shared" si="96"/>
        <v/>
      </c>
      <c r="R2097" s="89" t="str">
        <f t="shared" si="97"/>
        <v/>
      </c>
      <c r="S2097" s="82"/>
      <c r="U2097" s="37" t="e">
        <f t="shared" si="98"/>
        <v>#VALUE!</v>
      </c>
    </row>
    <row r="2098" spans="1:21" x14ac:dyDescent="0.25">
      <c r="A2098" s="31" t="str">
        <f>IF(Table!A2098 = "","",Table!A2098)</f>
        <v/>
      </c>
      <c r="B2098" s="31" t="str">
        <f>IF(Table!B2098 = "","",Table!B2098)</f>
        <v/>
      </c>
      <c r="C2098" s="31" t="str">
        <f>IF(Table!C2098 = "","",Table!C2098)</f>
        <v/>
      </c>
      <c r="D2098" s="32" t="str">
        <f>IF(Table!D2098 = "","",Table!D2098)</f>
        <v/>
      </c>
      <c r="E2098" s="32" t="str">
        <f>IF(Table!E2098 = "","",Table!E2098)</f>
        <v/>
      </c>
      <c r="F2098" s="32" t="str">
        <f>IF(Table!F2098 = "","",Table!F2098)</f>
        <v/>
      </c>
      <c r="G2098" s="91"/>
      <c r="K2098" s="31" t="str">
        <f>IFERROR(VLOOKUP(A2098,Table!$I$4:$O$3000,1,TRUE),"")</f>
        <v/>
      </c>
      <c r="L2098" s="31" t="str">
        <f>IFERROR(INDEX(Table!I:O,MATCH(K2098,Table!I:I,0),2),"")</f>
        <v/>
      </c>
      <c r="M2098" s="31" t="str">
        <f>IFERROR(INDEX(Table!I:O,MATCH(K2098,Table!I:I,0),3),"")</f>
        <v/>
      </c>
      <c r="N2098" s="32" t="str">
        <f>IFERROR(INDEX(Table!I:O,MATCH(K2098,Table!I:I,0),4),"")</f>
        <v/>
      </c>
      <c r="O2098" s="32" t="str">
        <f>IFERROR(INDEX(Table!I:O,MATCH(K2098,Table!I:I,0),5),"")</f>
        <v/>
      </c>
      <c r="P2098" s="32" t="str">
        <f>IFERROR(INDEX(Table!I:O,MATCH(K2098,Table!I:I,0),6),"")</f>
        <v/>
      </c>
      <c r="Q2098" s="89" t="str">
        <f t="shared" si="96"/>
        <v/>
      </c>
      <c r="R2098" s="89" t="str">
        <f t="shared" si="97"/>
        <v/>
      </c>
      <c r="S2098" s="82"/>
      <c r="U2098" s="37" t="e">
        <f t="shared" si="98"/>
        <v>#VALUE!</v>
      </c>
    </row>
    <row r="2099" spans="1:21" x14ac:dyDescent="0.25">
      <c r="A2099" s="31" t="str">
        <f>IF(Table!A2099 = "","",Table!A2099)</f>
        <v/>
      </c>
      <c r="B2099" s="31" t="str">
        <f>IF(Table!B2099 = "","",Table!B2099)</f>
        <v/>
      </c>
      <c r="C2099" s="31" t="str">
        <f>IF(Table!C2099 = "","",Table!C2099)</f>
        <v/>
      </c>
      <c r="D2099" s="32" t="str">
        <f>IF(Table!D2099 = "","",Table!D2099)</f>
        <v/>
      </c>
      <c r="E2099" s="32" t="str">
        <f>IF(Table!E2099 = "","",Table!E2099)</f>
        <v/>
      </c>
      <c r="F2099" s="32" t="str">
        <f>IF(Table!F2099 = "","",Table!F2099)</f>
        <v/>
      </c>
      <c r="G2099" s="91"/>
      <c r="K2099" s="31" t="str">
        <f>IFERROR(VLOOKUP(A2099,Table!$I$4:$O$3000,1,TRUE),"")</f>
        <v/>
      </c>
      <c r="L2099" s="31" t="str">
        <f>IFERROR(INDEX(Table!I:O,MATCH(K2099,Table!I:I,0),2),"")</f>
        <v/>
      </c>
      <c r="M2099" s="31" t="str">
        <f>IFERROR(INDEX(Table!I:O,MATCH(K2099,Table!I:I,0),3),"")</f>
        <v/>
      </c>
      <c r="N2099" s="32" t="str">
        <f>IFERROR(INDEX(Table!I:O,MATCH(K2099,Table!I:I,0),4),"")</f>
        <v/>
      </c>
      <c r="O2099" s="32" t="str">
        <f>IFERROR(INDEX(Table!I:O,MATCH(K2099,Table!I:I,0),5),"")</f>
        <v/>
      </c>
      <c r="P2099" s="32" t="str">
        <f>IFERROR(INDEX(Table!I:O,MATCH(K2099,Table!I:I,0),6),"")</f>
        <v/>
      </c>
      <c r="Q2099" s="89" t="str">
        <f t="shared" si="96"/>
        <v/>
      </c>
      <c r="R2099" s="89" t="str">
        <f t="shared" si="97"/>
        <v/>
      </c>
      <c r="S2099" s="82"/>
      <c r="U2099" s="37" t="e">
        <f t="shared" si="98"/>
        <v>#VALUE!</v>
      </c>
    </row>
    <row r="2100" spans="1:21" x14ac:dyDescent="0.25">
      <c r="A2100" s="31" t="str">
        <f>IF(Table!A2100 = "","",Table!A2100)</f>
        <v/>
      </c>
      <c r="B2100" s="31" t="str">
        <f>IF(Table!B2100 = "","",Table!B2100)</f>
        <v/>
      </c>
      <c r="C2100" s="31" t="str">
        <f>IF(Table!C2100 = "","",Table!C2100)</f>
        <v/>
      </c>
      <c r="D2100" s="32" t="str">
        <f>IF(Table!D2100 = "","",Table!D2100)</f>
        <v/>
      </c>
      <c r="E2100" s="32" t="str">
        <f>IF(Table!E2100 = "","",Table!E2100)</f>
        <v/>
      </c>
      <c r="F2100" s="32" t="str">
        <f>IF(Table!F2100 = "","",Table!F2100)</f>
        <v/>
      </c>
      <c r="G2100" s="91"/>
      <c r="K2100" s="31" t="str">
        <f>IFERROR(VLOOKUP(A2100,Table!$I$4:$O$3000,1,TRUE),"")</f>
        <v/>
      </c>
      <c r="L2100" s="31" t="str">
        <f>IFERROR(INDEX(Table!I:O,MATCH(K2100,Table!I:I,0),2),"")</f>
        <v/>
      </c>
      <c r="M2100" s="31" t="str">
        <f>IFERROR(INDEX(Table!I:O,MATCH(K2100,Table!I:I,0),3),"")</f>
        <v/>
      </c>
      <c r="N2100" s="32" t="str">
        <f>IFERROR(INDEX(Table!I:O,MATCH(K2100,Table!I:I,0),4),"")</f>
        <v/>
      </c>
      <c r="O2100" s="32" t="str">
        <f>IFERROR(INDEX(Table!I:O,MATCH(K2100,Table!I:I,0),5),"")</f>
        <v/>
      </c>
      <c r="P2100" s="32" t="str">
        <f>IFERROR(INDEX(Table!I:O,MATCH(K2100,Table!I:I,0),6),"")</f>
        <v/>
      </c>
      <c r="Q2100" s="89" t="str">
        <f t="shared" si="96"/>
        <v/>
      </c>
      <c r="R2100" s="89" t="str">
        <f t="shared" si="97"/>
        <v/>
      </c>
      <c r="S2100" s="82"/>
      <c r="U2100" s="37" t="e">
        <f t="shared" si="98"/>
        <v>#VALUE!</v>
      </c>
    </row>
    <row r="2101" spans="1:21" x14ac:dyDescent="0.25">
      <c r="A2101" s="31" t="str">
        <f>IF(Table!A2101 = "","",Table!A2101)</f>
        <v/>
      </c>
      <c r="B2101" s="31" t="str">
        <f>IF(Table!B2101 = "","",Table!B2101)</f>
        <v/>
      </c>
      <c r="C2101" s="31" t="str">
        <f>IF(Table!C2101 = "","",Table!C2101)</f>
        <v/>
      </c>
      <c r="D2101" s="32" t="str">
        <f>IF(Table!D2101 = "","",Table!D2101)</f>
        <v/>
      </c>
      <c r="E2101" s="32" t="str">
        <f>IF(Table!E2101 = "","",Table!E2101)</f>
        <v/>
      </c>
      <c r="F2101" s="32" t="str">
        <f>IF(Table!F2101 = "","",Table!F2101)</f>
        <v/>
      </c>
      <c r="G2101" s="91"/>
      <c r="K2101" s="31" t="str">
        <f>IFERROR(VLOOKUP(A2101,Table!$I$4:$O$3000,1,TRUE),"")</f>
        <v/>
      </c>
      <c r="L2101" s="31" t="str">
        <f>IFERROR(INDEX(Table!I:O,MATCH(K2101,Table!I:I,0),2),"")</f>
        <v/>
      </c>
      <c r="M2101" s="31" t="str">
        <f>IFERROR(INDEX(Table!I:O,MATCH(K2101,Table!I:I,0),3),"")</f>
        <v/>
      </c>
      <c r="N2101" s="32" t="str">
        <f>IFERROR(INDEX(Table!I:O,MATCH(K2101,Table!I:I,0),4),"")</f>
        <v/>
      </c>
      <c r="O2101" s="32" t="str">
        <f>IFERROR(INDEX(Table!I:O,MATCH(K2101,Table!I:I,0),5),"")</f>
        <v/>
      </c>
      <c r="P2101" s="32" t="str">
        <f>IFERROR(INDEX(Table!I:O,MATCH(K2101,Table!I:I,0),6),"")</f>
        <v/>
      </c>
      <c r="Q2101" s="89" t="str">
        <f t="shared" si="96"/>
        <v/>
      </c>
      <c r="R2101" s="89" t="str">
        <f t="shared" si="97"/>
        <v/>
      </c>
      <c r="S2101" s="82"/>
      <c r="U2101" s="37" t="e">
        <f t="shared" si="98"/>
        <v>#VALUE!</v>
      </c>
    </row>
    <row r="2102" spans="1:21" x14ac:dyDescent="0.25">
      <c r="A2102" s="31" t="str">
        <f>IF(Table!A2102 = "","",Table!A2102)</f>
        <v/>
      </c>
      <c r="B2102" s="31" t="str">
        <f>IF(Table!B2102 = "","",Table!B2102)</f>
        <v/>
      </c>
      <c r="C2102" s="31" t="str">
        <f>IF(Table!C2102 = "","",Table!C2102)</f>
        <v/>
      </c>
      <c r="D2102" s="32" t="str">
        <f>IF(Table!D2102 = "","",Table!D2102)</f>
        <v/>
      </c>
      <c r="E2102" s="32" t="str">
        <f>IF(Table!E2102 = "","",Table!E2102)</f>
        <v/>
      </c>
      <c r="F2102" s="32" t="str">
        <f>IF(Table!F2102 = "","",Table!F2102)</f>
        <v/>
      </c>
      <c r="G2102" s="91"/>
      <c r="K2102" s="31" t="str">
        <f>IFERROR(VLOOKUP(A2102,Table!$I$4:$O$3000,1,TRUE),"")</f>
        <v/>
      </c>
      <c r="L2102" s="31" t="str">
        <f>IFERROR(INDEX(Table!I:O,MATCH(K2102,Table!I:I,0),2),"")</f>
        <v/>
      </c>
      <c r="M2102" s="31" t="str">
        <f>IFERROR(INDEX(Table!I:O,MATCH(K2102,Table!I:I,0),3),"")</f>
        <v/>
      </c>
      <c r="N2102" s="32" t="str">
        <f>IFERROR(INDEX(Table!I:O,MATCH(K2102,Table!I:I,0),4),"")</f>
        <v/>
      </c>
      <c r="O2102" s="32" t="str">
        <f>IFERROR(INDEX(Table!I:O,MATCH(K2102,Table!I:I,0),5),"")</f>
        <v/>
      </c>
      <c r="P2102" s="32" t="str">
        <f>IFERROR(INDEX(Table!I:O,MATCH(K2102,Table!I:I,0),6),"")</f>
        <v/>
      </c>
      <c r="Q2102" s="89" t="str">
        <f t="shared" si="96"/>
        <v/>
      </c>
      <c r="R2102" s="89" t="str">
        <f t="shared" si="97"/>
        <v/>
      </c>
      <c r="S2102" s="82"/>
      <c r="U2102" s="37" t="e">
        <f t="shared" si="98"/>
        <v>#VALUE!</v>
      </c>
    </row>
    <row r="2103" spans="1:21" x14ac:dyDescent="0.25">
      <c r="A2103" s="31" t="str">
        <f>IF(Table!A2103 = "","",Table!A2103)</f>
        <v/>
      </c>
      <c r="B2103" s="31" t="str">
        <f>IF(Table!B2103 = "","",Table!B2103)</f>
        <v/>
      </c>
      <c r="C2103" s="31" t="str">
        <f>IF(Table!C2103 = "","",Table!C2103)</f>
        <v/>
      </c>
      <c r="D2103" s="32" t="str">
        <f>IF(Table!D2103 = "","",Table!D2103)</f>
        <v/>
      </c>
      <c r="E2103" s="32" t="str">
        <f>IF(Table!E2103 = "","",Table!E2103)</f>
        <v/>
      </c>
      <c r="F2103" s="32" t="str">
        <f>IF(Table!F2103 = "","",Table!F2103)</f>
        <v/>
      </c>
      <c r="G2103" s="91"/>
      <c r="K2103" s="31" t="str">
        <f>IFERROR(VLOOKUP(A2103,Table!$I$4:$O$3000,1,TRUE),"")</f>
        <v/>
      </c>
      <c r="L2103" s="31" t="str">
        <f>IFERROR(INDEX(Table!I:O,MATCH(K2103,Table!I:I,0),2),"")</f>
        <v/>
      </c>
      <c r="M2103" s="31" t="str">
        <f>IFERROR(INDEX(Table!I:O,MATCH(K2103,Table!I:I,0),3),"")</f>
        <v/>
      </c>
      <c r="N2103" s="32" t="str">
        <f>IFERROR(INDEX(Table!I:O,MATCH(K2103,Table!I:I,0),4),"")</f>
        <v/>
      </c>
      <c r="O2103" s="32" t="str">
        <f>IFERROR(INDEX(Table!I:O,MATCH(K2103,Table!I:I,0),5),"")</f>
        <v/>
      </c>
      <c r="P2103" s="32" t="str">
        <f>IFERROR(INDEX(Table!I:O,MATCH(K2103,Table!I:I,0),6),"")</f>
        <v/>
      </c>
      <c r="Q2103" s="89" t="str">
        <f t="shared" si="96"/>
        <v/>
      </c>
      <c r="R2103" s="89" t="str">
        <f t="shared" si="97"/>
        <v/>
      </c>
      <c r="S2103" s="82"/>
      <c r="U2103" s="37" t="e">
        <f t="shared" si="98"/>
        <v>#VALUE!</v>
      </c>
    </row>
    <row r="2104" spans="1:21" x14ac:dyDescent="0.25">
      <c r="A2104" s="31" t="str">
        <f>IF(Table!A2104 = "","",Table!A2104)</f>
        <v/>
      </c>
      <c r="B2104" s="31" t="str">
        <f>IF(Table!B2104 = "","",Table!B2104)</f>
        <v/>
      </c>
      <c r="C2104" s="31" t="str">
        <f>IF(Table!C2104 = "","",Table!C2104)</f>
        <v/>
      </c>
      <c r="D2104" s="32" t="str">
        <f>IF(Table!D2104 = "","",Table!D2104)</f>
        <v/>
      </c>
      <c r="E2104" s="32" t="str">
        <f>IF(Table!E2104 = "","",Table!E2104)</f>
        <v/>
      </c>
      <c r="F2104" s="32" t="str">
        <f>IF(Table!F2104 = "","",Table!F2104)</f>
        <v/>
      </c>
      <c r="G2104" s="91"/>
      <c r="K2104" s="31" t="str">
        <f>IFERROR(VLOOKUP(A2104,Table!$I$4:$O$3000,1,TRUE),"")</f>
        <v/>
      </c>
      <c r="L2104" s="31" t="str">
        <f>IFERROR(INDEX(Table!I:O,MATCH(K2104,Table!I:I,0),2),"")</f>
        <v/>
      </c>
      <c r="M2104" s="31" t="str">
        <f>IFERROR(INDEX(Table!I:O,MATCH(K2104,Table!I:I,0),3),"")</f>
        <v/>
      </c>
      <c r="N2104" s="32" t="str">
        <f>IFERROR(INDEX(Table!I:O,MATCH(K2104,Table!I:I,0),4),"")</f>
        <v/>
      </c>
      <c r="O2104" s="32" t="str">
        <f>IFERROR(INDEX(Table!I:O,MATCH(K2104,Table!I:I,0),5),"")</f>
        <v/>
      </c>
      <c r="P2104" s="32" t="str">
        <f>IFERROR(INDEX(Table!I:O,MATCH(K2104,Table!I:I,0),6),"")</f>
        <v/>
      </c>
      <c r="Q2104" s="89" t="str">
        <f t="shared" si="96"/>
        <v/>
      </c>
      <c r="R2104" s="89" t="str">
        <f t="shared" si="97"/>
        <v/>
      </c>
      <c r="S2104" s="82"/>
      <c r="U2104" s="37" t="e">
        <f t="shared" si="98"/>
        <v>#VALUE!</v>
      </c>
    </row>
    <row r="2105" spans="1:21" x14ac:dyDescent="0.25">
      <c r="A2105" s="31" t="str">
        <f>IF(Table!A2105 = "","",Table!A2105)</f>
        <v/>
      </c>
      <c r="B2105" s="31" t="str">
        <f>IF(Table!B2105 = "","",Table!B2105)</f>
        <v/>
      </c>
      <c r="C2105" s="31" t="str">
        <f>IF(Table!C2105 = "","",Table!C2105)</f>
        <v/>
      </c>
      <c r="D2105" s="32" t="str">
        <f>IF(Table!D2105 = "","",Table!D2105)</f>
        <v/>
      </c>
      <c r="E2105" s="32" t="str">
        <f>IF(Table!E2105 = "","",Table!E2105)</f>
        <v/>
      </c>
      <c r="F2105" s="32" t="str">
        <f>IF(Table!F2105 = "","",Table!F2105)</f>
        <v/>
      </c>
      <c r="G2105" s="91"/>
      <c r="K2105" s="31" t="str">
        <f>IFERROR(VLOOKUP(A2105,Table!$I$4:$O$3000,1,TRUE),"")</f>
        <v/>
      </c>
      <c r="L2105" s="31" t="str">
        <f>IFERROR(INDEX(Table!I:O,MATCH(K2105,Table!I:I,0),2),"")</f>
        <v/>
      </c>
      <c r="M2105" s="31" t="str">
        <f>IFERROR(INDEX(Table!I:O,MATCH(K2105,Table!I:I,0),3),"")</f>
        <v/>
      </c>
      <c r="N2105" s="32" t="str">
        <f>IFERROR(INDEX(Table!I:O,MATCH(K2105,Table!I:I,0),4),"")</f>
        <v/>
      </c>
      <c r="O2105" s="32" t="str">
        <f>IFERROR(INDEX(Table!I:O,MATCH(K2105,Table!I:I,0),5),"")</f>
        <v/>
      </c>
      <c r="P2105" s="32" t="str">
        <f>IFERROR(INDEX(Table!I:O,MATCH(K2105,Table!I:I,0),6),"")</f>
        <v/>
      </c>
      <c r="Q2105" s="89" t="str">
        <f t="shared" si="96"/>
        <v/>
      </c>
      <c r="R2105" s="89" t="str">
        <f t="shared" si="97"/>
        <v/>
      </c>
      <c r="S2105" s="82"/>
      <c r="U2105" s="37" t="e">
        <f t="shared" si="98"/>
        <v>#VALUE!</v>
      </c>
    </row>
    <row r="2106" spans="1:21" x14ac:dyDescent="0.25">
      <c r="A2106" s="31" t="str">
        <f>IF(Table!A2106 = "","",Table!A2106)</f>
        <v/>
      </c>
      <c r="B2106" s="31" t="str">
        <f>IF(Table!B2106 = "","",Table!B2106)</f>
        <v/>
      </c>
      <c r="C2106" s="31" t="str">
        <f>IF(Table!C2106 = "","",Table!C2106)</f>
        <v/>
      </c>
      <c r="D2106" s="32" t="str">
        <f>IF(Table!D2106 = "","",Table!D2106)</f>
        <v/>
      </c>
      <c r="E2106" s="32" t="str">
        <f>IF(Table!E2106 = "","",Table!E2106)</f>
        <v/>
      </c>
      <c r="F2106" s="32" t="str">
        <f>IF(Table!F2106 = "","",Table!F2106)</f>
        <v/>
      </c>
      <c r="G2106" s="91"/>
      <c r="K2106" s="31" t="str">
        <f>IFERROR(VLOOKUP(A2106,Table!$I$4:$O$3000,1,TRUE),"")</f>
        <v/>
      </c>
      <c r="L2106" s="31" t="str">
        <f>IFERROR(INDEX(Table!I:O,MATCH(K2106,Table!I:I,0),2),"")</f>
        <v/>
      </c>
      <c r="M2106" s="31" t="str">
        <f>IFERROR(INDEX(Table!I:O,MATCH(K2106,Table!I:I,0),3),"")</f>
        <v/>
      </c>
      <c r="N2106" s="32" t="str">
        <f>IFERROR(INDEX(Table!I:O,MATCH(K2106,Table!I:I,0),4),"")</f>
        <v/>
      </c>
      <c r="O2106" s="32" t="str">
        <f>IFERROR(INDEX(Table!I:O,MATCH(K2106,Table!I:I,0),5),"")</f>
        <v/>
      </c>
      <c r="P2106" s="32" t="str">
        <f>IFERROR(INDEX(Table!I:O,MATCH(K2106,Table!I:I,0),6),"")</f>
        <v/>
      </c>
      <c r="Q2106" s="89" t="str">
        <f t="shared" si="96"/>
        <v/>
      </c>
      <c r="R2106" s="89" t="str">
        <f t="shared" si="97"/>
        <v/>
      </c>
      <c r="S2106" s="82"/>
      <c r="U2106" s="37" t="e">
        <f t="shared" si="98"/>
        <v>#VALUE!</v>
      </c>
    </row>
    <row r="2107" spans="1:21" x14ac:dyDescent="0.25">
      <c r="A2107" s="31" t="str">
        <f>IF(Table!A2107 = "","",Table!A2107)</f>
        <v/>
      </c>
      <c r="B2107" s="31" t="str">
        <f>IF(Table!B2107 = "","",Table!B2107)</f>
        <v/>
      </c>
      <c r="C2107" s="31" t="str">
        <f>IF(Table!C2107 = "","",Table!C2107)</f>
        <v/>
      </c>
      <c r="D2107" s="32" t="str">
        <f>IF(Table!D2107 = "","",Table!D2107)</f>
        <v/>
      </c>
      <c r="E2107" s="32" t="str">
        <f>IF(Table!E2107 = "","",Table!E2107)</f>
        <v/>
      </c>
      <c r="F2107" s="32" t="str">
        <f>IF(Table!F2107 = "","",Table!F2107)</f>
        <v/>
      </c>
      <c r="G2107" s="91"/>
      <c r="K2107" s="31" t="str">
        <f>IFERROR(VLOOKUP(A2107,Table!$I$4:$O$3000,1,TRUE),"")</f>
        <v/>
      </c>
      <c r="L2107" s="31" t="str">
        <f>IFERROR(INDEX(Table!I:O,MATCH(K2107,Table!I:I,0),2),"")</f>
        <v/>
      </c>
      <c r="M2107" s="31" t="str">
        <f>IFERROR(INDEX(Table!I:O,MATCH(K2107,Table!I:I,0),3),"")</f>
        <v/>
      </c>
      <c r="N2107" s="32" t="str">
        <f>IFERROR(INDEX(Table!I:O,MATCH(K2107,Table!I:I,0),4),"")</f>
        <v/>
      </c>
      <c r="O2107" s="32" t="str">
        <f>IFERROR(INDEX(Table!I:O,MATCH(K2107,Table!I:I,0),5),"")</f>
        <v/>
      </c>
      <c r="P2107" s="32" t="str">
        <f>IFERROR(INDEX(Table!I:O,MATCH(K2107,Table!I:I,0),6),"")</f>
        <v/>
      </c>
      <c r="Q2107" s="89" t="str">
        <f t="shared" si="96"/>
        <v/>
      </c>
      <c r="R2107" s="89" t="str">
        <f t="shared" si="97"/>
        <v/>
      </c>
      <c r="S2107" s="82"/>
      <c r="U2107" s="37" t="e">
        <f t="shared" si="98"/>
        <v>#VALUE!</v>
      </c>
    </row>
    <row r="2108" spans="1:21" x14ac:dyDescent="0.25">
      <c r="A2108" s="31" t="str">
        <f>IF(Table!A2108 = "","",Table!A2108)</f>
        <v/>
      </c>
      <c r="B2108" s="31" t="str">
        <f>IF(Table!B2108 = "","",Table!B2108)</f>
        <v/>
      </c>
      <c r="C2108" s="31" t="str">
        <f>IF(Table!C2108 = "","",Table!C2108)</f>
        <v/>
      </c>
      <c r="D2108" s="32" t="str">
        <f>IF(Table!D2108 = "","",Table!D2108)</f>
        <v/>
      </c>
      <c r="E2108" s="32" t="str">
        <f>IF(Table!E2108 = "","",Table!E2108)</f>
        <v/>
      </c>
      <c r="F2108" s="32" t="str">
        <f>IF(Table!F2108 = "","",Table!F2108)</f>
        <v/>
      </c>
      <c r="G2108" s="91"/>
      <c r="K2108" s="31" t="str">
        <f>IFERROR(VLOOKUP(A2108,Table!$I$4:$O$3000,1,TRUE),"")</f>
        <v/>
      </c>
      <c r="L2108" s="31" t="str">
        <f>IFERROR(INDEX(Table!I:O,MATCH(K2108,Table!I:I,0),2),"")</f>
        <v/>
      </c>
      <c r="M2108" s="31" t="str">
        <f>IFERROR(INDEX(Table!I:O,MATCH(K2108,Table!I:I,0),3),"")</f>
        <v/>
      </c>
      <c r="N2108" s="32" t="str">
        <f>IFERROR(INDEX(Table!I:O,MATCH(K2108,Table!I:I,0),4),"")</f>
        <v/>
      </c>
      <c r="O2108" s="32" t="str">
        <f>IFERROR(INDEX(Table!I:O,MATCH(K2108,Table!I:I,0),5),"")</f>
        <v/>
      </c>
      <c r="P2108" s="32" t="str">
        <f>IFERROR(INDEX(Table!I:O,MATCH(K2108,Table!I:I,0),6),"")</f>
        <v/>
      </c>
      <c r="Q2108" s="89" t="str">
        <f t="shared" si="96"/>
        <v/>
      </c>
      <c r="R2108" s="89" t="str">
        <f t="shared" si="97"/>
        <v/>
      </c>
      <c r="S2108" s="82"/>
      <c r="U2108" s="37" t="e">
        <f t="shared" si="98"/>
        <v>#VALUE!</v>
      </c>
    </row>
    <row r="2109" spans="1:21" x14ac:dyDescent="0.25">
      <c r="A2109" s="31" t="str">
        <f>IF(Table!A2109 = "","",Table!A2109)</f>
        <v/>
      </c>
      <c r="B2109" s="31" t="str">
        <f>IF(Table!B2109 = "","",Table!B2109)</f>
        <v/>
      </c>
      <c r="C2109" s="31" t="str">
        <f>IF(Table!C2109 = "","",Table!C2109)</f>
        <v/>
      </c>
      <c r="D2109" s="32" t="str">
        <f>IF(Table!D2109 = "","",Table!D2109)</f>
        <v/>
      </c>
      <c r="E2109" s="32" t="str">
        <f>IF(Table!E2109 = "","",Table!E2109)</f>
        <v/>
      </c>
      <c r="F2109" s="32" t="str">
        <f>IF(Table!F2109 = "","",Table!F2109)</f>
        <v/>
      </c>
      <c r="G2109" s="91"/>
      <c r="K2109" s="31" t="str">
        <f>IFERROR(VLOOKUP(A2109,Table!$I$4:$O$3000,1,TRUE),"")</f>
        <v/>
      </c>
      <c r="L2109" s="31" t="str">
        <f>IFERROR(INDEX(Table!I:O,MATCH(K2109,Table!I:I,0),2),"")</f>
        <v/>
      </c>
      <c r="M2109" s="31" t="str">
        <f>IFERROR(INDEX(Table!I:O,MATCH(K2109,Table!I:I,0),3),"")</f>
        <v/>
      </c>
      <c r="N2109" s="32" t="str">
        <f>IFERROR(INDEX(Table!I:O,MATCH(K2109,Table!I:I,0),4),"")</f>
        <v/>
      </c>
      <c r="O2109" s="32" t="str">
        <f>IFERROR(INDEX(Table!I:O,MATCH(K2109,Table!I:I,0),5),"")</f>
        <v/>
      </c>
      <c r="P2109" s="32" t="str">
        <f>IFERROR(INDEX(Table!I:O,MATCH(K2109,Table!I:I,0),6),"")</f>
        <v/>
      </c>
      <c r="Q2109" s="89" t="str">
        <f t="shared" si="96"/>
        <v/>
      </c>
      <c r="R2109" s="89" t="str">
        <f t="shared" si="97"/>
        <v/>
      </c>
      <c r="S2109" s="82"/>
      <c r="U2109" s="37" t="e">
        <f t="shared" si="98"/>
        <v>#VALUE!</v>
      </c>
    </row>
    <row r="2110" spans="1:21" x14ac:dyDescent="0.25">
      <c r="A2110" s="31" t="str">
        <f>IF(Table!A2110 = "","",Table!A2110)</f>
        <v/>
      </c>
      <c r="B2110" s="31" t="str">
        <f>IF(Table!B2110 = "","",Table!B2110)</f>
        <v/>
      </c>
      <c r="C2110" s="31" t="str">
        <f>IF(Table!C2110 = "","",Table!C2110)</f>
        <v/>
      </c>
      <c r="D2110" s="32" t="str">
        <f>IF(Table!D2110 = "","",Table!D2110)</f>
        <v/>
      </c>
      <c r="E2110" s="32" t="str">
        <f>IF(Table!E2110 = "","",Table!E2110)</f>
        <v/>
      </c>
      <c r="F2110" s="32" t="str">
        <f>IF(Table!F2110 = "","",Table!F2110)</f>
        <v/>
      </c>
      <c r="G2110" s="91"/>
      <c r="K2110" s="31" t="str">
        <f>IFERROR(VLOOKUP(A2110,Table!$I$4:$O$3000,1,TRUE),"")</f>
        <v/>
      </c>
      <c r="L2110" s="31" t="str">
        <f>IFERROR(INDEX(Table!I:O,MATCH(K2110,Table!I:I,0),2),"")</f>
        <v/>
      </c>
      <c r="M2110" s="31" t="str">
        <f>IFERROR(INDEX(Table!I:O,MATCH(K2110,Table!I:I,0),3),"")</f>
        <v/>
      </c>
      <c r="N2110" s="32" t="str">
        <f>IFERROR(INDEX(Table!I:O,MATCH(K2110,Table!I:I,0),4),"")</f>
        <v/>
      </c>
      <c r="O2110" s="32" t="str">
        <f>IFERROR(INDEX(Table!I:O,MATCH(K2110,Table!I:I,0),5),"")</f>
        <v/>
      </c>
      <c r="P2110" s="32" t="str">
        <f>IFERROR(INDEX(Table!I:O,MATCH(K2110,Table!I:I,0),6),"")</f>
        <v/>
      </c>
      <c r="Q2110" s="89" t="str">
        <f t="shared" si="96"/>
        <v/>
      </c>
      <c r="R2110" s="89" t="str">
        <f t="shared" si="97"/>
        <v/>
      </c>
      <c r="S2110" s="82"/>
      <c r="U2110" s="37" t="e">
        <f t="shared" si="98"/>
        <v>#VALUE!</v>
      </c>
    </row>
    <row r="2111" spans="1:21" x14ac:dyDescent="0.25">
      <c r="A2111" s="31" t="str">
        <f>IF(Table!A2111 = "","",Table!A2111)</f>
        <v/>
      </c>
      <c r="B2111" s="31" t="str">
        <f>IF(Table!B2111 = "","",Table!B2111)</f>
        <v/>
      </c>
      <c r="C2111" s="31" t="str">
        <f>IF(Table!C2111 = "","",Table!C2111)</f>
        <v/>
      </c>
      <c r="D2111" s="32" t="str">
        <f>IF(Table!D2111 = "","",Table!D2111)</f>
        <v/>
      </c>
      <c r="E2111" s="32" t="str">
        <f>IF(Table!E2111 = "","",Table!E2111)</f>
        <v/>
      </c>
      <c r="F2111" s="32" t="str">
        <f>IF(Table!F2111 = "","",Table!F2111)</f>
        <v/>
      </c>
      <c r="G2111" s="91"/>
      <c r="K2111" s="31" t="str">
        <f>IFERROR(VLOOKUP(A2111,Table!$I$4:$O$3000,1,TRUE),"")</f>
        <v/>
      </c>
      <c r="L2111" s="31" t="str">
        <f>IFERROR(INDEX(Table!I:O,MATCH(K2111,Table!I:I,0),2),"")</f>
        <v/>
      </c>
      <c r="M2111" s="31" t="str">
        <f>IFERROR(INDEX(Table!I:O,MATCH(K2111,Table!I:I,0),3),"")</f>
        <v/>
      </c>
      <c r="N2111" s="32" t="str">
        <f>IFERROR(INDEX(Table!I:O,MATCH(K2111,Table!I:I,0),4),"")</f>
        <v/>
      </c>
      <c r="O2111" s="32" t="str">
        <f>IFERROR(INDEX(Table!I:O,MATCH(K2111,Table!I:I,0),5),"")</f>
        <v/>
      </c>
      <c r="P2111" s="32" t="str">
        <f>IFERROR(INDEX(Table!I:O,MATCH(K2111,Table!I:I,0),6),"")</f>
        <v/>
      </c>
      <c r="Q2111" s="89" t="str">
        <f t="shared" si="96"/>
        <v/>
      </c>
      <c r="R2111" s="89" t="str">
        <f t="shared" si="97"/>
        <v/>
      </c>
      <c r="S2111" s="82"/>
      <c r="U2111" s="37" t="e">
        <f t="shared" si="98"/>
        <v>#VALUE!</v>
      </c>
    </row>
    <row r="2112" spans="1:21" x14ac:dyDescent="0.25">
      <c r="A2112" s="31" t="str">
        <f>IF(Table!A2112 = "","",Table!A2112)</f>
        <v/>
      </c>
      <c r="B2112" s="31" t="str">
        <f>IF(Table!B2112 = "","",Table!B2112)</f>
        <v/>
      </c>
      <c r="C2112" s="31" t="str">
        <f>IF(Table!C2112 = "","",Table!C2112)</f>
        <v/>
      </c>
      <c r="D2112" s="32" t="str">
        <f>IF(Table!D2112 = "","",Table!D2112)</f>
        <v/>
      </c>
      <c r="E2112" s="32" t="str">
        <f>IF(Table!E2112 = "","",Table!E2112)</f>
        <v/>
      </c>
      <c r="F2112" s="32" t="str">
        <f>IF(Table!F2112 = "","",Table!F2112)</f>
        <v/>
      </c>
      <c r="G2112" s="91"/>
      <c r="K2112" s="31" t="str">
        <f>IFERROR(VLOOKUP(A2112,Table!$I$4:$O$3000,1,TRUE),"")</f>
        <v/>
      </c>
      <c r="L2112" s="31" t="str">
        <f>IFERROR(INDEX(Table!I:O,MATCH(K2112,Table!I:I,0),2),"")</f>
        <v/>
      </c>
      <c r="M2112" s="31" t="str">
        <f>IFERROR(INDEX(Table!I:O,MATCH(K2112,Table!I:I,0),3),"")</f>
        <v/>
      </c>
      <c r="N2112" s="32" t="str">
        <f>IFERROR(INDEX(Table!I:O,MATCH(K2112,Table!I:I,0),4),"")</f>
        <v/>
      </c>
      <c r="O2112" s="32" t="str">
        <f>IFERROR(INDEX(Table!I:O,MATCH(K2112,Table!I:I,0),5),"")</f>
        <v/>
      </c>
      <c r="P2112" s="32" t="str">
        <f>IFERROR(INDEX(Table!I:O,MATCH(K2112,Table!I:I,0),6),"")</f>
        <v/>
      </c>
      <c r="Q2112" s="89" t="str">
        <f t="shared" si="96"/>
        <v/>
      </c>
      <c r="R2112" s="89" t="str">
        <f t="shared" si="97"/>
        <v/>
      </c>
      <c r="S2112" s="82"/>
      <c r="U2112" s="37" t="e">
        <f t="shared" si="98"/>
        <v>#VALUE!</v>
      </c>
    </row>
    <row r="2113" spans="1:21" x14ac:dyDescent="0.25">
      <c r="A2113" s="31" t="str">
        <f>IF(Table!A2113 = "","",Table!A2113)</f>
        <v/>
      </c>
      <c r="B2113" s="31" t="str">
        <f>IF(Table!B2113 = "","",Table!B2113)</f>
        <v/>
      </c>
      <c r="C2113" s="31" t="str">
        <f>IF(Table!C2113 = "","",Table!C2113)</f>
        <v/>
      </c>
      <c r="D2113" s="32" t="str">
        <f>IF(Table!D2113 = "","",Table!D2113)</f>
        <v/>
      </c>
      <c r="E2113" s="32" t="str">
        <f>IF(Table!E2113 = "","",Table!E2113)</f>
        <v/>
      </c>
      <c r="F2113" s="32" t="str">
        <f>IF(Table!F2113 = "","",Table!F2113)</f>
        <v/>
      </c>
      <c r="G2113" s="91"/>
      <c r="K2113" s="31" t="str">
        <f>IFERROR(VLOOKUP(A2113,Table!$I$4:$O$3000,1,TRUE),"")</f>
        <v/>
      </c>
      <c r="L2113" s="31" t="str">
        <f>IFERROR(INDEX(Table!I:O,MATCH(K2113,Table!I:I,0),2),"")</f>
        <v/>
      </c>
      <c r="M2113" s="31" t="str">
        <f>IFERROR(INDEX(Table!I:O,MATCH(K2113,Table!I:I,0),3),"")</f>
        <v/>
      </c>
      <c r="N2113" s="32" t="str">
        <f>IFERROR(INDEX(Table!I:O,MATCH(K2113,Table!I:I,0),4),"")</f>
        <v/>
      </c>
      <c r="O2113" s="32" t="str">
        <f>IFERROR(INDEX(Table!I:O,MATCH(K2113,Table!I:I,0),5),"")</f>
        <v/>
      </c>
      <c r="P2113" s="32" t="str">
        <f>IFERROR(INDEX(Table!I:O,MATCH(K2113,Table!I:I,0),6),"")</f>
        <v/>
      </c>
      <c r="Q2113" s="89" t="str">
        <f t="shared" si="96"/>
        <v/>
      </c>
      <c r="R2113" s="89" t="str">
        <f t="shared" si="97"/>
        <v/>
      </c>
      <c r="S2113" s="82"/>
      <c r="U2113" s="37" t="e">
        <f t="shared" si="98"/>
        <v>#VALUE!</v>
      </c>
    </row>
    <row r="2114" spans="1:21" x14ac:dyDescent="0.25">
      <c r="A2114" s="31" t="str">
        <f>IF(Table!A2114 = "","",Table!A2114)</f>
        <v/>
      </c>
      <c r="B2114" s="31" t="str">
        <f>IF(Table!B2114 = "","",Table!B2114)</f>
        <v/>
      </c>
      <c r="C2114" s="31" t="str">
        <f>IF(Table!C2114 = "","",Table!C2114)</f>
        <v/>
      </c>
      <c r="D2114" s="32" t="str">
        <f>IF(Table!D2114 = "","",Table!D2114)</f>
        <v/>
      </c>
      <c r="E2114" s="32" t="str">
        <f>IF(Table!E2114 = "","",Table!E2114)</f>
        <v/>
      </c>
      <c r="F2114" s="32" t="str">
        <f>IF(Table!F2114 = "","",Table!F2114)</f>
        <v/>
      </c>
      <c r="G2114" s="91"/>
      <c r="K2114" s="31" t="str">
        <f>IFERROR(VLOOKUP(A2114,Table!$I$4:$O$3000,1,TRUE),"")</f>
        <v/>
      </c>
      <c r="L2114" s="31" t="str">
        <f>IFERROR(INDEX(Table!I:O,MATCH(K2114,Table!I:I,0),2),"")</f>
        <v/>
      </c>
      <c r="M2114" s="31" t="str">
        <f>IFERROR(INDEX(Table!I:O,MATCH(K2114,Table!I:I,0),3),"")</f>
        <v/>
      </c>
      <c r="N2114" s="32" t="str">
        <f>IFERROR(INDEX(Table!I:O,MATCH(K2114,Table!I:I,0),4),"")</f>
        <v/>
      </c>
      <c r="O2114" s="32" t="str">
        <f>IFERROR(INDEX(Table!I:O,MATCH(K2114,Table!I:I,0),5),"")</f>
        <v/>
      </c>
      <c r="P2114" s="32" t="str">
        <f>IFERROR(INDEX(Table!I:O,MATCH(K2114,Table!I:I,0),6),"")</f>
        <v/>
      </c>
      <c r="Q2114" s="89" t="str">
        <f t="shared" si="96"/>
        <v/>
      </c>
      <c r="R2114" s="89" t="str">
        <f t="shared" si="97"/>
        <v/>
      </c>
      <c r="S2114" s="82"/>
      <c r="U2114" s="37" t="e">
        <f t="shared" si="98"/>
        <v>#VALUE!</v>
      </c>
    </row>
    <row r="2115" spans="1:21" x14ac:dyDescent="0.25">
      <c r="A2115" s="31" t="str">
        <f>IF(Table!A2115 = "","",Table!A2115)</f>
        <v/>
      </c>
      <c r="B2115" s="31" t="str">
        <f>IF(Table!B2115 = "","",Table!B2115)</f>
        <v/>
      </c>
      <c r="C2115" s="31" t="str">
        <f>IF(Table!C2115 = "","",Table!C2115)</f>
        <v/>
      </c>
      <c r="D2115" s="32" t="str">
        <f>IF(Table!D2115 = "","",Table!D2115)</f>
        <v/>
      </c>
      <c r="E2115" s="32" t="str">
        <f>IF(Table!E2115 = "","",Table!E2115)</f>
        <v/>
      </c>
      <c r="F2115" s="32" t="str">
        <f>IF(Table!F2115 = "","",Table!F2115)</f>
        <v/>
      </c>
      <c r="G2115" s="91"/>
      <c r="K2115" s="31" t="str">
        <f>IFERROR(VLOOKUP(A2115,Table!$I$4:$O$3000,1,TRUE),"")</f>
        <v/>
      </c>
      <c r="L2115" s="31" t="str">
        <f>IFERROR(INDEX(Table!I:O,MATCH(K2115,Table!I:I,0),2),"")</f>
        <v/>
      </c>
      <c r="M2115" s="31" t="str">
        <f>IFERROR(INDEX(Table!I:O,MATCH(K2115,Table!I:I,0),3),"")</f>
        <v/>
      </c>
      <c r="N2115" s="32" t="str">
        <f>IFERROR(INDEX(Table!I:O,MATCH(K2115,Table!I:I,0),4),"")</f>
        <v/>
      </c>
      <c r="O2115" s="32" t="str">
        <f>IFERROR(INDEX(Table!I:O,MATCH(K2115,Table!I:I,0),5),"")</f>
        <v/>
      </c>
      <c r="P2115" s="32" t="str">
        <f>IFERROR(INDEX(Table!I:O,MATCH(K2115,Table!I:I,0),6),"")</f>
        <v/>
      </c>
      <c r="Q2115" s="89" t="str">
        <f t="shared" si="96"/>
        <v/>
      </c>
      <c r="R2115" s="89" t="str">
        <f t="shared" si="97"/>
        <v/>
      </c>
      <c r="S2115" s="82"/>
      <c r="U2115" s="37" t="e">
        <f t="shared" si="98"/>
        <v>#VALUE!</v>
      </c>
    </row>
    <row r="2116" spans="1:21" x14ac:dyDescent="0.25">
      <c r="A2116" s="31" t="str">
        <f>IF(Table!A2116 = "","",Table!A2116)</f>
        <v/>
      </c>
      <c r="B2116" s="31" t="str">
        <f>IF(Table!B2116 = "","",Table!B2116)</f>
        <v/>
      </c>
      <c r="C2116" s="31" t="str">
        <f>IF(Table!C2116 = "","",Table!C2116)</f>
        <v/>
      </c>
      <c r="D2116" s="32" t="str">
        <f>IF(Table!D2116 = "","",Table!D2116)</f>
        <v/>
      </c>
      <c r="E2116" s="32" t="str">
        <f>IF(Table!E2116 = "","",Table!E2116)</f>
        <v/>
      </c>
      <c r="F2116" s="32" t="str">
        <f>IF(Table!F2116 = "","",Table!F2116)</f>
        <v/>
      </c>
      <c r="G2116" s="91"/>
      <c r="K2116" s="31" t="str">
        <f>IFERROR(VLOOKUP(A2116,Table!$I$4:$O$3000,1,TRUE),"")</f>
        <v/>
      </c>
      <c r="L2116" s="31" t="str">
        <f>IFERROR(INDEX(Table!I:O,MATCH(K2116,Table!I:I,0),2),"")</f>
        <v/>
      </c>
      <c r="M2116" s="31" t="str">
        <f>IFERROR(INDEX(Table!I:O,MATCH(K2116,Table!I:I,0),3),"")</f>
        <v/>
      </c>
      <c r="N2116" s="32" t="str">
        <f>IFERROR(INDEX(Table!I:O,MATCH(K2116,Table!I:I,0),4),"")</f>
        <v/>
      </c>
      <c r="O2116" s="32" t="str">
        <f>IFERROR(INDEX(Table!I:O,MATCH(K2116,Table!I:I,0),5),"")</f>
        <v/>
      </c>
      <c r="P2116" s="32" t="str">
        <f>IFERROR(INDEX(Table!I:O,MATCH(K2116,Table!I:I,0),6),"")</f>
        <v/>
      </c>
      <c r="Q2116" s="89" t="str">
        <f t="shared" si="96"/>
        <v/>
      </c>
      <c r="R2116" s="89" t="str">
        <f t="shared" si="97"/>
        <v/>
      </c>
      <c r="S2116" s="82"/>
      <c r="U2116" s="37" t="e">
        <f t="shared" si="98"/>
        <v>#VALUE!</v>
      </c>
    </row>
    <row r="2117" spans="1:21" x14ac:dyDescent="0.25">
      <c r="A2117" s="31" t="str">
        <f>IF(Table!A2117 = "","",Table!A2117)</f>
        <v/>
      </c>
      <c r="B2117" s="31" t="str">
        <f>IF(Table!B2117 = "","",Table!B2117)</f>
        <v/>
      </c>
      <c r="C2117" s="31" t="str">
        <f>IF(Table!C2117 = "","",Table!C2117)</f>
        <v/>
      </c>
      <c r="D2117" s="32" t="str">
        <f>IF(Table!D2117 = "","",Table!D2117)</f>
        <v/>
      </c>
      <c r="E2117" s="32" t="str">
        <f>IF(Table!E2117 = "","",Table!E2117)</f>
        <v/>
      </c>
      <c r="F2117" s="32" t="str">
        <f>IF(Table!F2117 = "","",Table!F2117)</f>
        <v/>
      </c>
      <c r="G2117" s="91"/>
      <c r="K2117" s="31" t="str">
        <f>IFERROR(VLOOKUP(A2117,Table!$I$4:$O$3000,1,TRUE),"")</f>
        <v/>
      </c>
      <c r="L2117" s="31" t="str">
        <f>IFERROR(INDEX(Table!I:O,MATCH(K2117,Table!I:I,0),2),"")</f>
        <v/>
      </c>
      <c r="M2117" s="31" t="str">
        <f>IFERROR(INDEX(Table!I:O,MATCH(K2117,Table!I:I,0),3),"")</f>
        <v/>
      </c>
      <c r="N2117" s="32" t="str">
        <f>IFERROR(INDEX(Table!I:O,MATCH(K2117,Table!I:I,0),4),"")</f>
        <v/>
      </c>
      <c r="O2117" s="32" t="str">
        <f>IFERROR(INDEX(Table!I:O,MATCH(K2117,Table!I:I,0),5),"")</f>
        <v/>
      </c>
      <c r="P2117" s="32" t="str">
        <f>IFERROR(INDEX(Table!I:O,MATCH(K2117,Table!I:I,0),6),"")</f>
        <v/>
      </c>
      <c r="Q2117" s="89" t="str">
        <f t="shared" si="96"/>
        <v/>
      </c>
      <c r="R2117" s="89" t="str">
        <f t="shared" si="97"/>
        <v/>
      </c>
      <c r="S2117" s="82"/>
      <c r="U2117" s="37" t="e">
        <f t="shared" si="98"/>
        <v>#VALUE!</v>
      </c>
    </row>
    <row r="2118" spans="1:21" x14ac:dyDescent="0.25">
      <c r="A2118" s="31" t="str">
        <f>IF(Table!A2118 = "","",Table!A2118)</f>
        <v/>
      </c>
      <c r="B2118" s="31" t="str">
        <f>IF(Table!B2118 = "","",Table!B2118)</f>
        <v/>
      </c>
      <c r="C2118" s="31" t="str">
        <f>IF(Table!C2118 = "","",Table!C2118)</f>
        <v/>
      </c>
      <c r="D2118" s="32" t="str">
        <f>IF(Table!D2118 = "","",Table!D2118)</f>
        <v/>
      </c>
      <c r="E2118" s="32" t="str">
        <f>IF(Table!E2118 = "","",Table!E2118)</f>
        <v/>
      </c>
      <c r="F2118" s="32" t="str">
        <f>IF(Table!F2118 = "","",Table!F2118)</f>
        <v/>
      </c>
      <c r="G2118" s="91"/>
      <c r="K2118" s="31" t="str">
        <f>IFERROR(VLOOKUP(A2118,Table!$I$4:$O$3000,1,TRUE),"")</f>
        <v/>
      </c>
      <c r="L2118" s="31" t="str">
        <f>IFERROR(INDEX(Table!I:O,MATCH(K2118,Table!I:I,0),2),"")</f>
        <v/>
      </c>
      <c r="M2118" s="31" t="str">
        <f>IFERROR(INDEX(Table!I:O,MATCH(K2118,Table!I:I,0),3),"")</f>
        <v/>
      </c>
      <c r="N2118" s="32" t="str">
        <f>IFERROR(INDEX(Table!I:O,MATCH(K2118,Table!I:I,0),4),"")</f>
        <v/>
      </c>
      <c r="O2118" s="32" t="str">
        <f>IFERROR(INDEX(Table!I:O,MATCH(K2118,Table!I:I,0),5),"")</f>
        <v/>
      </c>
      <c r="P2118" s="32" t="str">
        <f>IFERROR(INDEX(Table!I:O,MATCH(K2118,Table!I:I,0),6),"")</f>
        <v/>
      </c>
      <c r="Q2118" s="89" t="str">
        <f t="shared" ref="Q2118:Q2181" si="99">IFERROR(L2118-B2118,"")</f>
        <v/>
      </c>
      <c r="R2118" s="89" t="str">
        <f t="shared" ref="R2118:R2181" si="100">IFERROR(M2118-C2118,"")</f>
        <v/>
      </c>
      <c r="S2118" s="82"/>
      <c r="U2118" s="37" t="e">
        <f t="shared" ref="U2118:U2119" si="101">K2118-K2117</f>
        <v>#VALUE!</v>
      </c>
    </row>
    <row r="2119" spans="1:21" x14ac:dyDescent="0.25">
      <c r="A2119" s="31" t="str">
        <f>IF(Table!A2119 = "","",Table!A2119)</f>
        <v/>
      </c>
      <c r="B2119" s="31" t="str">
        <f>IF(Table!B2119 = "","",Table!B2119)</f>
        <v/>
      </c>
      <c r="C2119" s="31" t="str">
        <f>IF(Table!C2119 = "","",Table!C2119)</f>
        <v/>
      </c>
      <c r="D2119" s="32" t="str">
        <f>IF(Table!D2119 = "","",Table!D2119)</f>
        <v/>
      </c>
      <c r="E2119" s="32" t="str">
        <f>IF(Table!E2119 = "","",Table!E2119)</f>
        <v/>
      </c>
      <c r="F2119" s="32" t="str">
        <f>IF(Table!F2119 = "","",Table!F2119)</f>
        <v/>
      </c>
      <c r="G2119" s="91"/>
      <c r="K2119" s="31" t="str">
        <f>IFERROR(VLOOKUP(A2119,Table!$I$4:$O$3000,1,TRUE),"")</f>
        <v/>
      </c>
      <c r="L2119" s="31" t="str">
        <f>IFERROR(INDEX(Table!I:O,MATCH(K2119,Table!I:I,0),2),"")</f>
        <v/>
      </c>
      <c r="M2119" s="31" t="str">
        <f>IFERROR(INDEX(Table!I:O,MATCH(K2119,Table!I:I,0),3),"")</f>
        <v/>
      </c>
      <c r="N2119" s="32" t="str">
        <f>IFERROR(INDEX(Table!I:O,MATCH(K2119,Table!I:I,0),4),"")</f>
        <v/>
      </c>
      <c r="O2119" s="32" t="str">
        <f>IFERROR(INDEX(Table!I:O,MATCH(K2119,Table!I:I,0),5),"")</f>
        <v/>
      </c>
      <c r="P2119" s="32" t="str">
        <f>IFERROR(INDEX(Table!I:O,MATCH(K2119,Table!I:I,0),6),"")</f>
        <v/>
      </c>
      <c r="Q2119" s="89" t="str">
        <f t="shared" si="99"/>
        <v/>
      </c>
      <c r="R2119" s="89" t="str">
        <f t="shared" si="100"/>
        <v/>
      </c>
      <c r="S2119" s="82"/>
      <c r="U2119" s="37" t="e">
        <f t="shared" si="101"/>
        <v>#VALUE!</v>
      </c>
    </row>
    <row r="2120" spans="1:21" x14ac:dyDescent="0.25">
      <c r="A2120" s="31" t="str">
        <f>IF(Table!A2120 = "","",Table!A2120)</f>
        <v/>
      </c>
      <c r="B2120" s="31" t="str">
        <f>IF(Table!B2120 = "","",Table!B2120)</f>
        <v/>
      </c>
      <c r="C2120" s="31" t="str">
        <f>IF(Table!C2120 = "","",Table!C2120)</f>
        <v/>
      </c>
      <c r="D2120" s="32" t="str">
        <f>IF(Table!D2120 = "","",Table!D2120)</f>
        <v/>
      </c>
      <c r="E2120" s="32" t="str">
        <f>IF(Table!E2120 = "","",Table!E2120)</f>
        <v/>
      </c>
      <c r="F2120" s="32" t="str">
        <f>IF(Table!F2120 = "","",Table!F2120)</f>
        <v/>
      </c>
      <c r="G2120" s="91"/>
      <c r="K2120" s="31" t="str">
        <f>IFERROR(VLOOKUP(A2120,Table!$I$4:$O$3000,1,TRUE),"")</f>
        <v/>
      </c>
      <c r="L2120" s="31" t="str">
        <f>IFERROR(INDEX(Table!I:O,MATCH(K2120,Table!I:I,0),2),"")</f>
        <v/>
      </c>
      <c r="M2120" s="31" t="str">
        <f>IFERROR(INDEX(Table!I:O,MATCH(K2120,Table!I:I,0),3),"")</f>
        <v/>
      </c>
      <c r="N2120" s="32" t="str">
        <f>IFERROR(INDEX(Table!I:O,MATCH(K2120,Table!I:I,0),4),"")</f>
        <v/>
      </c>
      <c r="O2120" s="32" t="str">
        <f>IFERROR(INDEX(Table!I:O,MATCH(K2120,Table!I:I,0),5),"")</f>
        <v/>
      </c>
      <c r="P2120" s="32" t="str">
        <f>IFERROR(INDEX(Table!I:O,MATCH(K2120,Table!I:I,0),6),"")</f>
        <v/>
      </c>
      <c r="Q2120" s="89" t="str">
        <f t="shared" si="99"/>
        <v/>
      </c>
      <c r="R2120" s="89" t="str">
        <f t="shared" si="100"/>
        <v/>
      </c>
      <c r="S2120" s="82"/>
      <c r="U2120" s="37"/>
    </row>
    <row r="2121" spans="1:21" x14ac:dyDescent="0.25">
      <c r="A2121" s="31" t="str">
        <f>IF(Table!A2121 = "","",Table!A2121)</f>
        <v/>
      </c>
      <c r="B2121" s="31" t="str">
        <f>IF(Table!B2121 = "","",Table!B2121)</f>
        <v/>
      </c>
      <c r="C2121" s="31" t="str">
        <f>IF(Table!C2121 = "","",Table!C2121)</f>
        <v/>
      </c>
      <c r="D2121" s="32" t="str">
        <f>IF(Table!D2121 = "","",Table!D2121)</f>
        <v/>
      </c>
      <c r="E2121" s="32" t="str">
        <f>IF(Table!E2121 = "","",Table!E2121)</f>
        <v/>
      </c>
      <c r="F2121" s="32" t="str">
        <f>IF(Table!F2121 = "","",Table!F2121)</f>
        <v/>
      </c>
      <c r="G2121" s="91"/>
      <c r="K2121" s="31" t="str">
        <f>IFERROR(VLOOKUP(A2121,Table!$I$4:$O$3000,1,TRUE),"")</f>
        <v/>
      </c>
      <c r="L2121" s="31" t="str">
        <f>IFERROR(INDEX(Table!I:O,MATCH(K2121,Table!I:I,0),2),"")</f>
        <v/>
      </c>
      <c r="M2121" s="31" t="str">
        <f>IFERROR(INDEX(Table!I:O,MATCH(K2121,Table!I:I,0),3),"")</f>
        <v/>
      </c>
      <c r="N2121" s="32" t="str">
        <f>IFERROR(INDEX(Table!I:O,MATCH(K2121,Table!I:I,0),4),"")</f>
        <v/>
      </c>
      <c r="O2121" s="32" t="str">
        <f>IFERROR(INDEX(Table!I:O,MATCH(K2121,Table!I:I,0),5),"")</f>
        <v/>
      </c>
      <c r="P2121" s="32" t="str">
        <f>IFERROR(INDEX(Table!I:O,MATCH(K2121,Table!I:I,0),6),"")</f>
        <v/>
      </c>
      <c r="Q2121" s="89" t="str">
        <f t="shared" si="99"/>
        <v/>
      </c>
      <c r="R2121" s="89" t="str">
        <f t="shared" si="100"/>
        <v/>
      </c>
      <c r="S2121" s="82"/>
      <c r="U2121" s="37"/>
    </row>
    <row r="2122" spans="1:21" x14ac:dyDescent="0.25">
      <c r="A2122" s="31" t="str">
        <f>IF(Table!A2122 = "","",Table!A2122)</f>
        <v/>
      </c>
      <c r="B2122" s="31" t="str">
        <f>IF(Table!B2122 = "","",Table!B2122)</f>
        <v/>
      </c>
      <c r="C2122" s="31" t="str">
        <f>IF(Table!C2122 = "","",Table!C2122)</f>
        <v/>
      </c>
      <c r="D2122" s="32" t="str">
        <f>IF(Table!D2122 = "","",Table!D2122)</f>
        <v/>
      </c>
      <c r="E2122" s="32" t="str">
        <f>IF(Table!E2122 = "","",Table!E2122)</f>
        <v/>
      </c>
      <c r="F2122" s="32" t="str">
        <f>IF(Table!F2122 = "","",Table!F2122)</f>
        <v/>
      </c>
      <c r="G2122" s="91"/>
      <c r="K2122" s="31" t="str">
        <f>IFERROR(VLOOKUP(A2122,Table!$I$4:$O$3000,1,TRUE),"")</f>
        <v/>
      </c>
      <c r="L2122" s="31" t="str">
        <f>IFERROR(INDEX(Table!I:O,MATCH(K2122,Table!I:I,0),2),"")</f>
        <v/>
      </c>
      <c r="M2122" s="31" t="str">
        <f>IFERROR(INDEX(Table!I:O,MATCH(K2122,Table!I:I,0),3),"")</f>
        <v/>
      </c>
      <c r="N2122" s="32" t="str">
        <f>IFERROR(INDEX(Table!I:O,MATCH(K2122,Table!I:I,0),4),"")</f>
        <v/>
      </c>
      <c r="O2122" s="32" t="str">
        <f>IFERROR(INDEX(Table!I:O,MATCH(K2122,Table!I:I,0),5),"")</f>
        <v/>
      </c>
      <c r="P2122" s="32" t="str">
        <f>IFERROR(INDEX(Table!I:O,MATCH(K2122,Table!I:I,0),6),"")</f>
        <v/>
      </c>
      <c r="Q2122" s="89" t="str">
        <f t="shared" si="99"/>
        <v/>
      </c>
      <c r="R2122" s="89" t="str">
        <f t="shared" si="100"/>
        <v/>
      </c>
      <c r="S2122" s="82"/>
      <c r="U2122" s="37"/>
    </row>
    <row r="2123" spans="1:21" x14ac:dyDescent="0.25">
      <c r="A2123" s="31" t="str">
        <f>IF(Table!A2123 = "","",Table!A2123)</f>
        <v/>
      </c>
      <c r="B2123" s="31" t="str">
        <f>IF(Table!B2123 = "","",Table!B2123)</f>
        <v/>
      </c>
      <c r="C2123" s="31" t="str">
        <f>IF(Table!C2123 = "","",Table!C2123)</f>
        <v/>
      </c>
      <c r="D2123" s="32" t="str">
        <f>IF(Table!D2123 = "","",Table!D2123)</f>
        <v/>
      </c>
      <c r="E2123" s="32" t="str">
        <f>IF(Table!E2123 = "","",Table!E2123)</f>
        <v/>
      </c>
      <c r="F2123" s="32" t="str">
        <f>IF(Table!F2123 = "","",Table!F2123)</f>
        <v/>
      </c>
      <c r="G2123" s="91"/>
      <c r="K2123" s="31" t="str">
        <f>IFERROR(VLOOKUP(A2123,Table!$I$4:$O$3000,1,TRUE),"")</f>
        <v/>
      </c>
      <c r="L2123" s="31" t="str">
        <f>IFERROR(INDEX(Table!I:O,MATCH(K2123,Table!I:I,0),2),"")</f>
        <v/>
      </c>
      <c r="M2123" s="31" t="str">
        <f>IFERROR(INDEX(Table!I:O,MATCH(K2123,Table!I:I,0),3),"")</f>
        <v/>
      </c>
      <c r="N2123" s="32" t="str">
        <f>IFERROR(INDEX(Table!I:O,MATCH(K2123,Table!I:I,0),4),"")</f>
        <v/>
      </c>
      <c r="O2123" s="32" t="str">
        <f>IFERROR(INDEX(Table!I:O,MATCH(K2123,Table!I:I,0),5),"")</f>
        <v/>
      </c>
      <c r="P2123" s="32" t="str">
        <f>IFERROR(INDEX(Table!I:O,MATCH(K2123,Table!I:I,0),6),"")</f>
        <v/>
      </c>
      <c r="Q2123" s="89" t="str">
        <f t="shared" si="99"/>
        <v/>
      </c>
      <c r="R2123" s="89" t="str">
        <f t="shared" si="100"/>
        <v/>
      </c>
      <c r="S2123" s="82"/>
      <c r="U2123" s="37"/>
    </row>
    <row r="2124" spans="1:21" x14ac:dyDescent="0.25">
      <c r="A2124" s="31" t="str">
        <f>IF(Table!A2124 = "","",Table!A2124)</f>
        <v/>
      </c>
      <c r="B2124" s="31" t="str">
        <f>IF(Table!B2124 = "","",Table!B2124)</f>
        <v/>
      </c>
      <c r="C2124" s="31" t="str">
        <f>IF(Table!C2124 = "","",Table!C2124)</f>
        <v/>
      </c>
      <c r="D2124" s="32" t="str">
        <f>IF(Table!D2124 = "","",Table!D2124)</f>
        <v/>
      </c>
      <c r="E2124" s="32" t="str">
        <f>IF(Table!E2124 = "","",Table!E2124)</f>
        <v/>
      </c>
      <c r="F2124" s="32" t="str">
        <f>IF(Table!F2124 = "","",Table!F2124)</f>
        <v/>
      </c>
      <c r="G2124" s="91"/>
      <c r="K2124" s="31" t="str">
        <f>IFERROR(VLOOKUP(A2124,Table!$I$4:$O$3000,1,TRUE),"")</f>
        <v/>
      </c>
      <c r="L2124" s="31" t="str">
        <f>IFERROR(INDEX(Table!I:O,MATCH(K2124,Table!I:I,0),2),"")</f>
        <v/>
      </c>
      <c r="M2124" s="31" t="str">
        <f>IFERROR(INDEX(Table!I:O,MATCH(K2124,Table!I:I,0),3),"")</f>
        <v/>
      </c>
      <c r="N2124" s="32" t="str">
        <f>IFERROR(INDEX(Table!I:O,MATCH(K2124,Table!I:I,0),4),"")</f>
        <v/>
      </c>
      <c r="O2124" s="32" t="str">
        <f>IFERROR(INDEX(Table!I:O,MATCH(K2124,Table!I:I,0),5),"")</f>
        <v/>
      </c>
      <c r="P2124" s="32" t="str">
        <f>IFERROR(INDEX(Table!I:O,MATCH(K2124,Table!I:I,0),6),"")</f>
        <v/>
      </c>
      <c r="Q2124" s="89" t="str">
        <f t="shared" si="99"/>
        <v/>
      </c>
      <c r="R2124" s="89" t="str">
        <f t="shared" si="100"/>
        <v/>
      </c>
      <c r="S2124" s="82"/>
      <c r="U2124" s="37"/>
    </row>
    <row r="2125" spans="1:21" x14ac:dyDescent="0.25">
      <c r="A2125" s="31" t="str">
        <f>IF(Table!A2125 = "","",Table!A2125)</f>
        <v/>
      </c>
      <c r="B2125" s="31" t="str">
        <f>IF(Table!B2125 = "","",Table!B2125)</f>
        <v/>
      </c>
      <c r="C2125" s="31" t="str">
        <f>IF(Table!C2125 = "","",Table!C2125)</f>
        <v/>
      </c>
      <c r="D2125" s="32" t="str">
        <f>IF(Table!D2125 = "","",Table!D2125)</f>
        <v/>
      </c>
      <c r="E2125" s="32" t="str">
        <f>IF(Table!E2125 = "","",Table!E2125)</f>
        <v/>
      </c>
      <c r="F2125" s="32" t="str">
        <f>IF(Table!F2125 = "","",Table!F2125)</f>
        <v/>
      </c>
      <c r="G2125" s="91"/>
      <c r="K2125" s="31" t="str">
        <f>IFERROR(VLOOKUP(A2125,Table!$I$4:$O$3000,1,TRUE),"")</f>
        <v/>
      </c>
      <c r="L2125" s="31" t="str">
        <f>IFERROR(INDEX(Table!I:O,MATCH(K2125,Table!I:I,0),2),"")</f>
        <v/>
      </c>
      <c r="M2125" s="31" t="str">
        <f>IFERROR(INDEX(Table!I:O,MATCH(K2125,Table!I:I,0),3),"")</f>
        <v/>
      </c>
      <c r="N2125" s="32" t="str">
        <f>IFERROR(INDEX(Table!I:O,MATCH(K2125,Table!I:I,0),4),"")</f>
        <v/>
      </c>
      <c r="O2125" s="32" t="str">
        <f>IFERROR(INDEX(Table!I:O,MATCH(K2125,Table!I:I,0),5),"")</f>
        <v/>
      </c>
      <c r="P2125" s="32" t="str">
        <f>IFERROR(INDEX(Table!I:O,MATCH(K2125,Table!I:I,0),6),"")</f>
        <v/>
      </c>
      <c r="Q2125" s="89" t="str">
        <f t="shared" si="99"/>
        <v/>
      </c>
      <c r="R2125" s="89" t="str">
        <f t="shared" si="100"/>
        <v/>
      </c>
      <c r="S2125" s="82"/>
      <c r="U2125" s="37"/>
    </row>
    <row r="2126" spans="1:21" x14ac:dyDescent="0.25">
      <c r="A2126" s="31" t="str">
        <f>IF(Table!A2126 = "","",Table!A2126)</f>
        <v/>
      </c>
      <c r="B2126" s="31" t="str">
        <f>IF(Table!B2126 = "","",Table!B2126)</f>
        <v/>
      </c>
      <c r="C2126" s="31" t="str">
        <f>IF(Table!C2126 = "","",Table!C2126)</f>
        <v/>
      </c>
      <c r="D2126" s="32" t="str">
        <f>IF(Table!D2126 = "","",Table!D2126)</f>
        <v/>
      </c>
      <c r="E2126" s="32" t="str">
        <f>IF(Table!E2126 = "","",Table!E2126)</f>
        <v/>
      </c>
      <c r="F2126" s="32" t="str">
        <f>IF(Table!F2126 = "","",Table!F2126)</f>
        <v/>
      </c>
      <c r="G2126" s="91"/>
      <c r="K2126" s="31" t="str">
        <f>IFERROR(VLOOKUP(A2126,Table!$I$4:$O$3000,1,TRUE),"")</f>
        <v/>
      </c>
      <c r="L2126" s="31" t="str">
        <f>IFERROR(INDEX(Table!I:O,MATCH(K2126,Table!I:I,0),2),"")</f>
        <v/>
      </c>
      <c r="M2126" s="31" t="str">
        <f>IFERROR(INDEX(Table!I:O,MATCH(K2126,Table!I:I,0),3),"")</f>
        <v/>
      </c>
      <c r="N2126" s="32" t="str">
        <f>IFERROR(INDEX(Table!I:O,MATCH(K2126,Table!I:I,0),4),"")</f>
        <v/>
      </c>
      <c r="O2126" s="32" t="str">
        <f>IFERROR(INDEX(Table!I:O,MATCH(K2126,Table!I:I,0),5),"")</f>
        <v/>
      </c>
      <c r="P2126" s="32" t="str">
        <f>IFERROR(INDEX(Table!I:O,MATCH(K2126,Table!I:I,0),6),"")</f>
        <v/>
      </c>
      <c r="Q2126" s="89" t="str">
        <f t="shared" si="99"/>
        <v/>
      </c>
      <c r="R2126" s="89" t="str">
        <f t="shared" si="100"/>
        <v/>
      </c>
      <c r="S2126" s="82"/>
      <c r="U2126" s="37"/>
    </row>
    <row r="2127" spans="1:21" x14ac:dyDescent="0.25">
      <c r="A2127" s="31" t="str">
        <f>IF(Table!A2127 = "","",Table!A2127)</f>
        <v/>
      </c>
      <c r="B2127" s="31" t="str">
        <f>IF(Table!B2127 = "","",Table!B2127)</f>
        <v/>
      </c>
      <c r="C2127" s="31" t="str">
        <f>IF(Table!C2127 = "","",Table!C2127)</f>
        <v/>
      </c>
      <c r="D2127" s="32" t="str">
        <f>IF(Table!D2127 = "","",Table!D2127)</f>
        <v/>
      </c>
      <c r="E2127" s="32" t="str">
        <f>IF(Table!E2127 = "","",Table!E2127)</f>
        <v/>
      </c>
      <c r="F2127" s="32" t="str">
        <f>IF(Table!F2127 = "","",Table!F2127)</f>
        <v/>
      </c>
      <c r="G2127" s="91"/>
      <c r="K2127" s="31" t="str">
        <f>IFERROR(VLOOKUP(A2127,Table!$I$4:$O$3000,1,TRUE),"")</f>
        <v/>
      </c>
      <c r="L2127" s="31" t="str">
        <f>IFERROR(INDEX(Table!I:O,MATCH(K2127,Table!I:I,0),2),"")</f>
        <v/>
      </c>
      <c r="M2127" s="31" t="str">
        <f>IFERROR(INDEX(Table!I:O,MATCH(K2127,Table!I:I,0),3),"")</f>
        <v/>
      </c>
      <c r="N2127" s="32" t="str">
        <f>IFERROR(INDEX(Table!I:O,MATCH(K2127,Table!I:I,0),4),"")</f>
        <v/>
      </c>
      <c r="O2127" s="32" t="str">
        <f>IFERROR(INDEX(Table!I:O,MATCH(K2127,Table!I:I,0),5),"")</f>
        <v/>
      </c>
      <c r="P2127" s="32" t="str">
        <f>IFERROR(INDEX(Table!I:O,MATCH(K2127,Table!I:I,0),6),"")</f>
        <v/>
      </c>
      <c r="Q2127" s="89" t="str">
        <f t="shared" si="99"/>
        <v/>
      </c>
      <c r="R2127" s="89" t="str">
        <f t="shared" si="100"/>
        <v/>
      </c>
      <c r="S2127" s="82"/>
      <c r="U2127" s="37"/>
    </row>
    <row r="2128" spans="1:21" x14ac:dyDescent="0.25">
      <c r="A2128" s="31" t="str">
        <f>IF(Table!A2128 = "","",Table!A2128)</f>
        <v/>
      </c>
      <c r="B2128" s="31" t="str">
        <f>IF(Table!B2128 = "","",Table!B2128)</f>
        <v/>
      </c>
      <c r="C2128" s="31" t="str">
        <f>IF(Table!C2128 = "","",Table!C2128)</f>
        <v/>
      </c>
      <c r="D2128" s="32" t="str">
        <f>IF(Table!D2128 = "","",Table!D2128)</f>
        <v/>
      </c>
      <c r="E2128" s="32" t="str">
        <f>IF(Table!E2128 = "","",Table!E2128)</f>
        <v/>
      </c>
      <c r="F2128" s="32" t="str">
        <f>IF(Table!F2128 = "","",Table!F2128)</f>
        <v/>
      </c>
      <c r="G2128" s="91"/>
      <c r="K2128" s="31" t="str">
        <f>IFERROR(VLOOKUP(A2128,Table!$I$4:$O$3000,1,TRUE),"")</f>
        <v/>
      </c>
      <c r="L2128" s="31" t="str">
        <f>IFERROR(INDEX(Table!I:O,MATCH(K2128,Table!I:I,0),2),"")</f>
        <v/>
      </c>
      <c r="M2128" s="31" t="str">
        <f>IFERROR(INDEX(Table!I:O,MATCH(K2128,Table!I:I,0),3),"")</f>
        <v/>
      </c>
      <c r="N2128" s="32" t="str">
        <f>IFERROR(INDEX(Table!I:O,MATCH(K2128,Table!I:I,0),4),"")</f>
        <v/>
      </c>
      <c r="O2128" s="32" t="str">
        <f>IFERROR(INDEX(Table!I:O,MATCH(K2128,Table!I:I,0),5),"")</f>
        <v/>
      </c>
      <c r="P2128" s="32" t="str">
        <f>IFERROR(INDEX(Table!I:O,MATCH(K2128,Table!I:I,0),6),"")</f>
        <v/>
      </c>
      <c r="Q2128" s="89" t="str">
        <f t="shared" si="99"/>
        <v/>
      </c>
      <c r="R2128" s="89" t="str">
        <f t="shared" si="100"/>
        <v/>
      </c>
      <c r="S2128" s="82"/>
      <c r="U2128" s="37"/>
    </row>
    <row r="2129" spans="1:21" x14ac:dyDescent="0.25">
      <c r="A2129" s="31" t="str">
        <f>IF(Table!A2129 = "","",Table!A2129)</f>
        <v/>
      </c>
      <c r="B2129" s="31" t="str">
        <f>IF(Table!B2129 = "","",Table!B2129)</f>
        <v/>
      </c>
      <c r="C2129" s="31" t="str">
        <f>IF(Table!C2129 = "","",Table!C2129)</f>
        <v/>
      </c>
      <c r="D2129" s="32" t="str">
        <f>IF(Table!D2129 = "","",Table!D2129)</f>
        <v/>
      </c>
      <c r="E2129" s="32" t="str">
        <f>IF(Table!E2129 = "","",Table!E2129)</f>
        <v/>
      </c>
      <c r="F2129" s="32" t="str">
        <f>IF(Table!F2129 = "","",Table!F2129)</f>
        <v/>
      </c>
      <c r="G2129" s="91"/>
      <c r="K2129" s="31" t="str">
        <f>IFERROR(VLOOKUP(A2129,Table!$I$4:$O$3000,1,TRUE),"")</f>
        <v/>
      </c>
      <c r="L2129" s="31" t="str">
        <f>IFERROR(INDEX(Table!I:O,MATCH(K2129,Table!I:I,0),2),"")</f>
        <v/>
      </c>
      <c r="M2129" s="31" t="str">
        <f>IFERROR(INDEX(Table!I:O,MATCH(K2129,Table!I:I,0),3),"")</f>
        <v/>
      </c>
      <c r="N2129" s="32" t="str">
        <f>IFERROR(INDEX(Table!I:O,MATCH(K2129,Table!I:I,0),4),"")</f>
        <v/>
      </c>
      <c r="O2129" s="32" t="str">
        <f>IFERROR(INDEX(Table!I:O,MATCH(K2129,Table!I:I,0),5),"")</f>
        <v/>
      </c>
      <c r="P2129" s="32" t="str">
        <f>IFERROR(INDEX(Table!I:O,MATCH(K2129,Table!I:I,0),6),"")</f>
        <v/>
      </c>
      <c r="Q2129" s="89" t="str">
        <f t="shared" si="99"/>
        <v/>
      </c>
      <c r="R2129" s="89" t="str">
        <f t="shared" si="100"/>
        <v/>
      </c>
      <c r="S2129" s="82"/>
      <c r="U2129" s="37"/>
    </row>
    <row r="2130" spans="1:21" x14ac:dyDescent="0.25">
      <c r="A2130" s="31" t="str">
        <f>IF(Table!A2130 = "","",Table!A2130)</f>
        <v/>
      </c>
      <c r="B2130" s="31" t="str">
        <f>IF(Table!B2130 = "","",Table!B2130)</f>
        <v/>
      </c>
      <c r="C2130" s="31" t="str">
        <f>IF(Table!C2130 = "","",Table!C2130)</f>
        <v/>
      </c>
      <c r="D2130" s="32" t="str">
        <f>IF(Table!D2130 = "","",Table!D2130)</f>
        <v/>
      </c>
      <c r="E2130" s="32" t="str">
        <f>IF(Table!E2130 = "","",Table!E2130)</f>
        <v/>
      </c>
      <c r="F2130" s="32" t="str">
        <f>IF(Table!F2130 = "","",Table!F2130)</f>
        <v/>
      </c>
      <c r="G2130" s="91"/>
      <c r="K2130" s="31" t="str">
        <f>IFERROR(VLOOKUP(A2130,Table!$I$4:$O$3000,1,TRUE),"")</f>
        <v/>
      </c>
      <c r="L2130" s="31" t="str">
        <f>IFERROR(INDEX(Table!I:O,MATCH(K2130,Table!I:I,0),2),"")</f>
        <v/>
      </c>
      <c r="M2130" s="31" t="str">
        <f>IFERROR(INDEX(Table!I:O,MATCH(K2130,Table!I:I,0),3),"")</f>
        <v/>
      </c>
      <c r="N2130" s="32" t="str">
        <f>IFERROR(INDEX(Table!I:O,MATCH(K2130,Table!I:I,0),4),"")</f>
        <v/>
      </c>
      <c r="O2130" s="32" t="str">
        <f>IFERROR(INDEX(Table!I:O,MATCH(K2130,Table!I:I,0),5),"")</f>
        <v/>
      </c>
      <c r="P2130" s="32" t="str">
        <f>IFERROR(INDEX(Table!I:O,MATCH(K2130,Table!I:I,0),6),"")</f>
        <v/>
      </c>
      <c r="Q2130" s="89" t="str">
        <f t="shared" si="99"/>
        <v/>
      </c>
      <c r="R2130" s="89" t="str">
        <f t="shared" si="100"/>
        <v/>
      </c>
      <c r="S2130" s="82"/>
      <c r="U2130" s="37"/>
    </row>
    <row r="2131" spans="1:21" x14ac:dyDescent="0.25">
      <c r="A2131" s="31" t="str">
        <f>IF(Table!A2131 = "","",Table!A2131)</f>
        <v/>
      </c>
      <c r="B2131" s="31" t="str">
        <f>IF(Table!B2131 = "","",Table!B2131)</f>
        <v/>
      </c>
      <c r="C2131" s="31" t="str">
        <f>IF(Table!C2131 = "","",Table!C2131)</f>
        <v/>
      </c>
      <c r="D2131" s="32" t="str">
        <f>IF(Table!D2131 = "","",Table!D2131)</f>
        <v/>
      </c>
      <c r="E2131" s="32" t="str">
        <f>IF(Table!E2131 = "","",Table!E2131)</f>
        <v/>
      </c>
      <c r="F2131" s="32" t="str">
        <f>IF(Table!F2131 = "","",Table!F2131)</f>
        <v/>
      </c>
      <c r="G2131" s="91"/>
      <c r="K2131" s="31" t="str">
        <f>IFERROR(VLOOKUP(A2131,Table!$I$4:$O$3000,1,TRUE),"")</f>
        <v/>
      </c>
      <c r="L2131" s="31" t="str">
        <f>IFERROR(INDEX(Table!I:O,MATCH(K2131,Table!I:I,0),2),"")</f>
        <v/>
      </c>
      <c r="M2131" s="31" t="str">
        <f>IFERROR(INDEX(Table!I:O,MATCH(K2131,Table!I:I,0),3),"")</f>
        <v/>
      </c>
      <c r="N2131" s="32" t="str">
        <f>IFERROR(INDEX(Table!I:O,MATCH(K2131,Table!I:I,0),4),"")</f>
        <v/>
      </c>
      <c r="O2131" s="32" t="str">
        <f>IFERROR(INDEX(Table!I:O,MATCH(K2131,Table!I:I,0),5),"")</f>
        <v/>
      </c>
      <c r="P2131" s="32" t="str">
        <f>IFERROR(INDEX(Table!I:O,MATCH(K2131,Table!I:I,0),6),"")</f>
        <v/>
      </c>
      <c r="Q2131" s="89" t="str">
        <f t="shared" si="99"/>
        <v/>
      </c>
      <c r="R2131" s="89" t="str">
        <f t="shared" si="100"/>
        <v/>
      </c>
      <c r="S2131" s="82"/>
      <c r="U2131" s="37"/>
    </row>
    <row r="2132" spans="1:21" x14ac:dyDescent="0.25">
      <c r="A2132" s="31" t="str">
        <f>IF(Table!A2132 = "","",Table!A2132)</f>
        <v/>
      </c>
      <c r="B2132" s="31" t="str">
        <f>IF(Table!B2132 = "","",Table!B2132)</f>
        <v/>
      </c>
      <c r="C2132" s="31" t="str">
        <f>IF(Table!C2132 = "","",Table!C2132)</f>
        <v/>
      </c>
      <c r="D2132" s="32" t="str">
        <f>IF(Table!D2132 = "","",Table!D2132)</f>
        <v/>
      </c>
      <c r="E2132" s="32" t="str">
        <f>IF(Table!E2132 = "","",Table!E2132)</f>
        <v/>
      </c>
      <c r="F2132" s="32" t="str">
        <f>IF(Table!F2132 = "","",Table!F2132)</f>
        <v/>
      </c>
      <c r="G2132" s="91"/>
      <c r="K2132" s="31" t="str">
        <f>IFERROR(VLOOKUP(A2132,Table!$I$4:$O$3000,1,TRUE),"")</f>
        <v/>
      </c>
      <c r="L2132" s="31" t="str">
        <f>IFERROR(INDEX(Table!I:O,MATCH(K2132,Table!I:I,0),2),"")</f>
        <v/>
      </c>
      <c r="M2132" s="31" t="str">
        <f>IFERROR(INDEX(Table!I:O,MATCH(K2132,Table!I:I,0),3),"")</f>
        <v/>
      </c>
      <c r="N2132" s="32" t="str">
        <f>IFERROR(INDEX(Table!I:O,MATCH(K2132,Table!I:I,0),4),"")</f>
        <v/>
      </c>
      <c r="O2132" s="32" t="str">
        <f>IFERROR(INDEX(Table!I:O,MATCH(K2132,Table!I:I,0),5),"")</f>
        <v/>
      </c>
      <c r="P2132" s="32" t="str">
        <f>IFERROR(INDEX(Table!I:O,MATCH(K2132,Table!I:I,0),6),"")</f>
        <v/>
      </c>
      <c r="Q2132" s="89" t="str">
        <f t="shared" si="99"/>
        <v/>
      </c>
      <c r="R2132" s="89" t="str">
        <f t="shared" si="100"/>
        <v/>
      </c>
      <c r="S2132" s="82"/>
      <c r="U2132" s="37"/>
    </row>
    <row r="2133" spans="1:21" x14ac:dyDescent="0.25">
      <c r="A2133" s="31" t="str">
        <f>IF(Table!A2133 = "","",Table!A2133)</f>
        <v/>
      </c>
      <c r="B2133" s="31" t="str">
        <f>IF(Table!B2133 = "","",Table!B2133)</f>
        <v/>
      </c>
      <c r="C2133" s="31" t="str">
        <f>IF(Table!C2133 = "","",Table!C2133)</f>
        <v/>
      </c>
      <c r="D2133" s="32" t="str">
        <f>IF(Table!D2133 = "","",Table!D2133)</f>
        <v/>
      </c>
      <c r="E2133" s="32" t="str">
        <f>IF(Table!E2133 = "","",Table!E2133)</f>
        <v/>
      </c>
      <c r="F2133" s="32" t="str">
        <f>IF(Table!F2133 = "","",Table!F2133)</f>
        <v/>
      </c>
      <c r="G2133" s="91"/>
      <c r="K2133" s="31" t="str">
        <f>IFERROR(VLOOKUP(A2133,Table!$I$4:$O$3000,1,TRUE),"")</f>
        <v/>
      </c>
      <c r="L2133" s="31" t="str">
        <f>IFERROR(INDEX(Table!I:O,MATCH(K2133,Table!I:I,0),2),"")</f>
        <v/>
      </c>
      <c r="M2133" s="31" t="str">
        <f>IFERROR(INDEX(Table!I:O,MATCH(K2133,Table!I:I,0),3),"")</f>
        <v/>
      </c>
      <c r="N2133" s="32" t="str">
        <f>IFERROR(INDEX(Table!I:O,MATCH(K2133,Table!I:I,0),4),"")</f>
        <v/>
      </c>
      <c r="O2133" s="32" t="str">
        <f>IFERROR(INDEX(Table!I:O,MATCH(K2133,Table!I:I,0),5),"")</f>
        <v/>
      </c>
      <c r="P2133" s="32" t="str">
        <f>IFERROR(INDEX(Table!I:O,MATCH(K2133,Table!I:I,0),6),"")</f>
        <v/>
      </c>
      <c r="Q2133" s="89" t="str">
        <f t="shared" si="99"/>
        <v/>
      </c>
      <c r="R2133" s="89" t="str">
        <f t="shared" si="100"/>
        <v/>
      </c>
      <c r="S2133" s="82"/>
      <c r="U2133" s="37"/>
    </row>
    <row r="2134" spans="1:21" x14ac:dyDescent="0.25">
      <c r="A2134" s="31" t="str">
        <f>IF(Table!A2134 = "","",Table!A2134)</f>
        <v/>
      </c>
      <c r="B2134" s="31" t="str">
        <f>IF(Table!B2134 = "","",Table!B2134)</f>
        <v/>
      </c>
      <c r="C2134" s="31" t="str">
        <f>IF(Table!C2134 = "","",Table!C2134)</f>
        <v/>
      </c>
      <c r="D2134" s="32" t="str">
        <f>IF(Table!D2134 = "","",Table!D2134)</f>
        <v/>
      </c>
      <c r="E2134" s="32" t="str">
        <f>IF(Table!E2134 = "","",Table!E2134)</f>
        <v/>
      </c>
      <c r="F2134" s="32" t="str">
        <f>IF(Table!F2134 = "","",Table!F2134)</f>
        <v/>
      </c>
      <c r="G2134" s="91"/>
      <c r="K2134" s="31" t="str">
        <f>IFERROR(VLOOKUP(A2134,Table!$I$4:$O$3000,1,TRUE),"")</f>
        <v/>
      </c>
      <c r="L2134" s="31" t="str">
        <f>IFERROR(INDEX(Table!I:O,MATCH(K2134,Table!I:I,0),2),"")</f>
        <v/>
      </c>
      <c r="M2134" s="31" t="str">
        <f>IFERROR(INDEX(Table!I:O,MATCH(K2134,Table!I:I,0),3),"")</f>
        <v/>
      </c>
      <c r="N2134" s="32" t="str">
        <f>IFERROR(INDEX(Table!I:O,MATCH(K2134,Table!I:I,0),4),"")</f>
        <v/>
      </c>
      <c r="O2134" s="32" t="str">
        <f>IFERROR(INDEX(Table!I:O,MATCH(K2134,Table!I:I,0),5),"")</f>
        <v/>
      </c>
      <c r="P2134" s="32" t="str">
        <f>IFERROR(INDEX(Table!I:O,MATCH(K2134,Table!I:I,0),6),"")</f>
        <v/>
      </c>
      <c r="Q2134" s="89" t="str">
        <f t="shared" si="99"/>
        <v/>
      </c>
      <c r="R2134" s="89" t="str">
        <f t="shared" si="100"/>
        <v/>
      </c>
      <c r="S2134" s="82"/>
      <c r="U2134" s="37"/>
    </row>
    <row r="2135" spans="1:21" x14ac:dyDescent="0.25">
      <c r="A2135" s="31" t="str">
        <f>IF(Table!A2135 = "","",Table!A2135)</f>
        <v/>
      </c>
      <c r="B2135" s="31" t="str">
        <f>IF(Table!B2135 = "","",Table!B2135)</f>
        <v/>
      </c>
      <c r="C2135" s="31" t="str">
        <f>IF(Table!C2135 = "","",Table!C2135)</f>
        <v/>
      </c>
      <c r="D2135" s="32" t="str">
        <f>IF(Table!D2135 = "","",Table!D2135)</f>
        <v/>
      </c>
      <c r="E2135" s="32" t="str">
        <f>IF(Table!E2135 = "","",Table!E2135)</f>
        <v/>
      </c>
      <c r="F2135" s="32" t="str">
        <f>IF(Table!F2135 = "","",Table!F2135)</f>
        <v/>
      </c>
      <c r="G2135" s="91"/>
      <c r="K2135" s="31" t="str">
        <f>IFERROR(VLOOKUP(A2135,Table!$I$4:$O$3000,1,TRUE),"")</f>
        <v/>
      </c>
      <c r="L2135" s="31" t="str">
        <f>IFERROR(INDEX(Table!I:O,MATCH(K2135,Table!I:I,0),2),"")</f>
        <v/>
      </c>
      <c r="M2135" s="31" t="str">
        <f>IFERROR(INDEX(Table!I:O,MATCH(K2135,Table!I:I,0),3),"")</f>
        <v/>
      </c>
      <c r="N2135" s="32" t="str">
        <f>IFERROR(INDEX(Table!I:O,MATCH(K2135,Table!I:I,0),4),"")</f>
        <v/>
      </c>
      <c r="O2135" s="32" t="str">
        <f>IFERROR(INDEX(Table!I:O,MATCH(K2135,Table!I:I,0),5),"")</f>
        <v/>
      </c>
      <c r="P2135" s="32" t="str">
        <f>IFERROR(INDEX(Table!I:O,MATCH(K2135,Table!I:I,0),6),"")</f>
        <v/>
      </c>
      <c r="Q2135" s="89" t="str">
        <f t="shared" si="99"/>
        <v/>
      </c>
      <c r="R2135" s="89" t="str">
        <f t="shared" si="100"/>
        <v/>
      </c>
      <c r="S2135" s="82"/>
      <c r="U2135" s="37"/>
    </row>
    <row r="2136" spans="1:21" x14ac:dyDescent="0.25">
      <c r="A2136" s="31" t="str">
        <f>IF(Table!A2136 = "","",Table!A2136)</f>
        <v/>
      </c>
      <c r="B2136" s="31" t="str">
        <f>IF(Table!B2136 = "","",Table!B2136)</f>
        <v/>
      </c>
      <c r="C2136" s="31" t="str">
        <f>IF(Table!C2136 = "","",Table!C2136)</f>
        <v/>
      </c>
      <c r="D2136" s="32" t="str">
        <f>IF(Table!D2136 = "","",Table!D2136)</f>
        <v/>
      </c>
      <c r="E2136" s="32" t="str">
        <f>IF(Table!E2136 = "","",Table!E2136)</f>
        <v/>
      </c>
      <c r="F2136" s="32" t="str">
        <f>IF(Table!F2136 = "","",Table!F2136)</f>
        <v/>
      </c>
      <c r="G2136" s="91"/>
      <c r="K2136" s="31" t="str">
        <f>IFERROR(VLOOKUP(A2136,Table!$I$4:$O$3000,1,TRUE),"")</f>
        <v/>
      </c>
      <c r="L2136" s="31" t="str">
        <f>IFERROR(INDEX(Table!I:O,MATCH(K2136,Table!I:I,0),2),"")</f>
        <v/>
      </c>
      <c r="M2136" s="31" t="str">
        <f>IFERROR(INDEX(Table!I:O,MATCH(K2136,Table!I:I,0),3),"")</f>
        <v/>
      </c>
      <c r="N2136" s="32" t="str">
        <f>IFERROR(INDEX(Table!I:O,MATCH(K2136,Table!I:I,0),4),"")</f>
        <v/>
      </c>
      <c r="O2136" s="32" t="str">
        <f>IFERROR(INDEX(Table!I:O,MATCH(K2136,Table!I:I,0),5),"")</f>
        <v/>
      </c>
      <c r="P2136" s="32" t="str">
        <f>IFERROR(INDEX(Table!I:O,MATCH(K2136,Table!I:I,0),6),"")</f>
        <v/>
      </c>
      <c r="Q2136" s="89" t="str">
        <f t="shared" si="99"/>
        <v/>
      </c>
      <c r="R2136" s="89" t="str">
        <f t="shared" si="100"/>
        <v/>
      </c>
      <c r="S2136" s="82"/>
      <c r="U2136" s="37"/>
    </row>
    <row r="2137" spans="1:21" x14ac:dyDescent="0.25">
      <c r="A2137" s="31" t="str">
        <f>IF(Table!A2137 = "","",Table!A2137)</f>
        <v/>
      </c>
      <c r="B2137" s="31" t="str">
        <f>IF(Table!B2137 = "","",Table!B2137)</f>
        <v/>
      </c>
      <c r="C2137" s="31" t="str">
        <f>IF(Table!C2137 = "","",Table!C2137)</f>
        <v/>
      </c>
      <c r="D2137" s="32" t="str">
        <f>IF(Table!D2137 = "","",Table!D2137)</f>
        <v/>
      </c>
      <c r="E2137" s="32" t="str">
        <f>IF(Table!E2137 = "","",Table!E2137)</f>
        <v/>
      </c>
      <c r="F2137" s="32" t="str">
        <f>IF(Table!F2137 = "","",Table!F2137)</f>
        <v/>
      </c>
      <c r="G2137" s="91"/>
      <c r="K2137" s="31" t="str">
        <f>IFERROR(VLOOKUP(A2137,Table!$I$4:$O$3000,1,TRUE),"")</f>
        <v/>
      </c>
      <c r="L2137" s="31" t="str">
        <f>IFERROR(INDEX(Table!I:O,MATCH(K2137,Table!I:I,0),2),"")</f>
        <v/>
      </c>
      <c r="M2137" s="31" t="str">
        <f>IFERROR(INDEX(Table!I:O,MATCH(K2137,Table!I:I,0),3),"")</f>
        <v/>
      </c>
      <c r="N2137" s="32" t="str">
        <f>IFERROR(INDEX(Table!I:O,MATCH(K2137,Table!I:I,0),4),"")</f>
        <v/>
      </c>
      <c r="O2137" s="32" t="str">
        <f>IFERROR(INDEX(Table!I:O,MATCH(K2137,Table!I:I,0),5),"")</f>
        <v/>
      </c>
      <c r="P2137" s="32" t="str">
        <f>IFERROR(INDEX(Table!I:O,MATCH(K2137,Table!I:I,0),6),"")</f>
        <v/>
      </c>
      <c r="Q2137" s="89" t="str">
        <f t="shared" si="99"/>
        <v/>
      </c>
      <c r="R2137" s="89" t="str">
        <f t="shared" si="100"/>
        <v/>
      </c>
      <c r="S2137" s="82"/>
      <c r="U2137" s="37"/>
    </row>
    <row r="2138" spans="1:21" x14ac:dyDescent="0.25">
      <c r="A2138" s="31" t="str">
        <f>IF(Table!A2138 = "","",Table!A2138)</f>
        <v/>
      </c>
      <c r="B2138" s="31" t="str">
        <f>IF(Table!B2138 = "","",Table!B2138)</f>
        <v/>
      </c>
      <c r="C2138" s="31" t="str">
        <f>IF(Table!C2138 = "","",Table!C2138)</f>
        <v/>
      </c>
      <c r="D2138" s="32" t="str">
        <f>IF(Table!D2138 = "","",Table!D2138)</f>
        <v/>
      </c>
      <c r="E2138" s="32" t="str">
        <f>IF(Table!E2138 = "","",Table!E2138)</f>
        <v/>
      </c>
      <c r="F2138" s="32" t="str">
        <f>IF(Table!F2138 = "","",Table!F2138)</f>
        <v/>
      </c>
      <c r="G2138" s="91"/>
      <c r="K2138" s="31" t="str">
        <f>IFERROR(VLOOKUP(A2138,Table!$I$4:$O$3000,1,TRUE),"")</f>
        <v/>
      </c>
      <c r="L2138" s="31" t="str">
        <f>IFERROR(INDEX(Table!I:O,MATCH(K2138,Table!I:I,0),2),"")</f>
        <v/>
      </c>
      <c r="M2138" s="31" t="str">
        <f>IFERROR(INDEX(Table!I:O,MATCH(K2138,Table!I:I,0),3),"")</f>
        <v/>
      </c>
      <c r="N2138" s="32" t="str">
        <f>IFERROR(INDEX(Table!I:O,MATCH(K2138,Table!I:I,0),4),"")</f>
        <v/>
      </c>
      <c r="O2138" s="32" t="str">
        <f>IFERROR(INDEX(Table!I:O,MATCH(K2138,Table!I:I,0),5),"")</f>
        <v/>
      </c>
      <c r="P2138" s="32" t="str">
        <f>IFERROR(INDEX(Table!I:O,MATCH(K2138,Table!I:I,0),6),"")</f>
        <v/>
      </c>
      <c r="Q2138" s="89" t="str">
        <f t="shared" si="99"/>
        <v/>
      </c>
      <c r="R2138" s="89" t="str">
        <f t="shared" si="100"/>
        <v/>
      </c>
      <c r="S2138" s="82"/>
      <c r="U2138" s="37"/>
    </row>
    <row r="2139" spans="1:21" x14ac:dyDescent="0.25">
      <c r="A2139" s="31" t="str">
        <f>IF(Table!A2139 = "","",Table!A2139)</f>
        <v/>
      </c>
      <c r="B2139" s="31" t="str">
        <f>IF(Table!B2139 = "","",Table!B2139)</f>
        <v/>
      </c>
      <c r="C2139" s="31" t="str">
        <f>IF(Table!C2139 = "","",Table!C2139)</f>
        <v/>
      </c>
      <c r="D2139" s="32" t="str">
        <f>IF(Table!D2139 = "","",Table!D2139)</f>
        <v/>
      </c>
      <c r="E2139" s="32" t="str">
        <f>IF(Table!E2139 = "","",Table!E2139)</f>
        <v/>
      </c>
      <c r="F2139" s="32" t="str">
        <f>IF(Table!F2139 = "","",Table!F2139)</f>
        <v/>
      </c>
      <c r="G2139" s="91"/>
      <c r="K2139" s="31" t="str">
        <f>IFERROR(VLOOKUP(A2139,Table!$I$4:$O$3000,1,TRUE),"")</f>
        <v/>
      </c>
      <c r="L2139" s="31" t="str">
        <f>IFERROR(INDEX(Table!I:O,MATCH(K2139,Table!I:I,0),2),"")</f>
        <v/>
      </c>
      <c r="M2139" s="31" t="str">
        <f>IFERROR(INDEX(Table!I:O,MATCH(K2139,Table!I:I,0),3),"")</f>
        <v/>
      </c>
      <c r="N2139" s="32" t="str">
        <f>IFERROR(INDEX(Table!I:O,MATCH(K2139,Table!I:I,0),4),"")</f>
        <v/>
      </c>
      <c r="O2139" s="32" t="str">
        <f>IFERROR(INDEX(Table!I:O,MATCH(K2139,Table!I:I,0),5),"")</f>
        <v/>
      </c>
      <c r="P2139" s="32" t="str">
        <f>IFERROR(INDEX(Table!I:O,MATCH(K2139,Table!I:I,0),6),"")</f>
        <v/>
      </c>
      <c r="Q2139" s="89" t="str">
        <f t="shared" si="99"/>
        <v/>
      </c>
      <c r="R2139" s="89" t="str">
        <f t="shared" si="100"/>
        <v/>
      </c>
      <c r="S2139" s="82"/>
      <c r="U2139" s="37"/>
    </row>
    <row r="2140" spans="1:21" x14ac:dyDescent="0.25">
      <c r="A2140" s="31" t="str">
        <f>IF(Table!A2140 = "","",Table!A2140)</f>
        <v/>
      </c>
      <c r="B2140" s="31" t="str">
        <f>IF(Table!B2140 = "","",Table!B2140)</f>
        <v/>
      </c>
      <c r="C2140" s="31" t="str">
        <f>IF(Table!C2140 = "","",Table!C2140)</f>
        <v/>
      </c>
      <c r="D2140" s="32" t="str">
        <f>IF(Table!D2140 = "","",Table!D2140)</f>
        <v/>
      </c>
      <c r="E2140" s="32" t="str">
        <f>IF(Table!E2140 = "","",Table!E2140)</f>
        <v/>
      </c>
      <c r="F2140" s="32" t="str">
        <f>IF(Table!F2140 = "","",Table!F2140)</f>
        <v/>
      </c>
      <c r="G2140" s="91"/>
      <c r="K2140" s="31" t="str">
        <f>IFERROR(VLOOKUP(A2140,Table!$I$4:$O$3000,1,TRUE),"")</f>
        <v/>
      </c>
      <c r="L2140" s="31" t="str">
        <f>IFERROR(INDEX(Table!I:O,MATCH(K2140,Table!I:I,0),2),"")</f>
        <v/>
      </c>
      <c r="M2140" s="31" t="str">
        <f>IFERROR(INDEX(Table!I:O,MATCH(K2140,Table!I:I,0),3),"")</f>
        <v/>
      </c>
      <c r="N2140" s="32" t="str">
        <f>IFERROR(INDEX(Table!I:O,MATCH(K2140,Table!I:I,0),4),"")</f>
        <v/>
      </c>
      <c r="O2140" s="32" t="str">
        <f>IFERROR(INDEX(Table!I:O,MATCH(K2140,Table!I:I,0),5),"")</f>
        <v/>
      </c>
      <c r="P2140" s="32" t="str">
        <f>IFERROR(INDEX(Table!I:O,MATCH(K2140,Table!I:I,0),6),"")</f>
        <v/>
      </c>
      <c r="Q2140" s="89" t="str">
        <f t="shared" si="99"/>
        <v/>
      </c>
      <c r="R2140" s="89" t="str">
        <f t="shared" si="100"/>
        <v/>
      </c>
      <c r="S2140" s="82"/>
      <c r="U2140" s="37"/>
    </row>
    <row r="2141" spans="1:21" x14ac:dyDescent="0.25">
      <c r="A2141" s="31" t="str">
        <f>IF(Table!A2141 = "","",Table!A2141)</f>
        <v/>
      </c>
      <c r="B2141" s="31" t="str">
        <f>IF(Table!B2141 = "","",Table!B2141)</f>
        <v/>
      </c>
      <c r="C2141" s="31" t="str">
        <f>IF(Table!C2141 = "","",Table!C2141)</f>
        <v/>
      </c>
      <c r="D2141" s="32" t="str">
        <f>IF(Table!D2141 = "","",Table!D2141)</f>
        <v/>
      </c>
      <c r="E2141" s="32" t="str">
        <f>IF(Table!E2141 = "","",Table!E2141)</f>
        <v/>
      </c>
      <c r="F2141" s="32" t="str">
        <f>IF(Table!F2141 = "","",Table!F2141)</f>
        <v/>
      </c>
      <c r="G2141" s="91"/>
      <c r="K2141" s="31" t="str">
        <f>IFERROR(VLOOKUP(A2141,Table!$I$4:$O$3000,1,TRUE),"")</f>
        <v/>
      </c>
      <c r="L2141" s="31" t="str">
        <f>IFERROR(INDEX(Table!I:O,MATCH(K2141,Table!I:I,0),2),"")</f>
        <v/>
      </c>
      <c r="M2141" s="31" t="str">
        <f>IFERROR(INDEX(Table!I:O,MATCH(K2141,Table!I:I,0),3),"")</f>
        <v/>
      </c>
      <c r="N2141" s="32" t="str">
        <f>IFERROR(INDEX(Table!I:O,MATCH(K2141,Table!I:I,0),4),"")</f>
        <v/>
      </c>
      <c r="O2141" s="32" t="str">
        <f>IFERROR(INDEX(Table!I:O,MATCH(K2141,Table!I:I,0),5),"")</f>
        <v/>
      </c>
      <c r="P2141" s="32" t="str">
        <f>IFERROR(INDEX(Table!I:O,MATCH(K2141,Table!I:I,0),6),"")</f>
        <v/>
      </c>
      <c r="Q2141" s="89" t="str">
        <f t="shared" si="99"/>
        <v/>
      </c>
      <c r="R2141" s="89" t="str">
        <f t="shared" si="100"/>
        <v/>
      </c>
      <c r="S2141" s="82"/>
      <c r="U2141" s="37"/>
    </row>
    <row r="2142" spans="1:21" x14ac:dyDescent="0.25">
      <c r="A2142" s="31" t="str">
        <f>IF(Table!A2142 = "","",Table!A2142)</f>
        <v/>
      </c>
      <c r="B2142" s="31" t="str">
        <f>IF(Table!B2142 = "","",Table!B2142)</f>
        <v/>
      </c>
      <c r="C2142" s="31" t="str">
        <f>IF(Table!C2142 = "","",Table!C2142)</f>
        <v/>
      </c>
      <c r="D2142" s="32" t="str">
        <f>IF(Table!D2142 = "","",Table!D2142)</f>
        <v/>
      </c>
      <c r="E2142" s="32" t="str">
        <f>IF(Table!E2142 = "","",Table!E2142)</f>
        <v/>
      </c>
      <c r="F2142" s="32" t="str">
        <f>IF(Table!F2142 = "","",Table!F2142)</f>
        <v/>
      </c>
      <c r="G2142" s="91"/>
      <c r="K2142" s="31" t="str">
        <f>IFERROR(VLOOKUP(A2142,Table!$I$4:$O$3000,1,TRUE),"")</f>
        <v/>
      </c>
      <c r="L2142" s="31" t="str">
        <f>IFERROR(INDEX(Table!I:O,MATCH(K2142,Table!I:I,0),2),"")</f>
        <v/>
      </c>
      <c r="M2142" s="31" t="str">
        <f>IFERROR(INDEX(Table!I:O,MATCH(K2142,Table!I:I,0),3),"")</f>
        <v/>
      </c>
      <c r="N2142" s="32" t="str">
        <f>IFERROR(INDEX(Table!I:O,MATCH(K2142,Table!I:I,0),4),"")</f>
        <v/>
      </c>
      <c r="O2142" s="32" t="str">
        <f>IFERROR(INDEX(Table!I:O,MATCH(K2142,Table!I:I,0),5),"")</f>
        <v/>
      </c>
      <c r="P2142" s="32" t="str">
        <f>IFERROR(INDEX(Table!I:O,MATCH(K2142,Table!I:I,0),6),"")</f>
        <v/>
      </c>
      <c r="Q2142" s="89" t="str">
        <f t="shared" si="99"/>
        <v/>
      </c>
      <c r="R2142" s="89" t="str">
        <f t="shared" si="100"/>
        <v/>
      </c>
      <c r="S2142" s="82"/>
      <c r="U2142" s="37"/>
    </row>
    <row r="2143" spans="1:21" x14ac:dyDescent="0.25">
      <c r="A2143" s="31" t="str">
        <f>IF(Table!A2143 = "","",Table!A2143)</f>
        <v/>
      </c>
      <c r="B2143" s="31" t="str">
        <f>IF(Table!B2143 = "","",Table!B2143)</f>
        <v/>
      </c>
      <c r="C2143" s="31" t="str">
        <f>IF(Table!C2143 = "","",Table!C2143)</f>
        <v/>
      </c>
      <c r="D2143" s="32" t="str">
        <f>IF(Table!D2143 = "","",Table!D2143)</f>
        <v/>
      </c>
      <c r="E2143" s="32" t="str">
        <f>IF(Table!E2143 = "","",Table!E2143)</f>
        <v/>
      </c>
      <c r="F2143" s="32" t="str">
        <f>IF(Table!F2143 = "","",Table!F2143)</f>
        <v/>
      </c>
      <c r="G2143" s="91"/>
      <c r="K2143" s="31" t="str">
        <f>IFERROR(VLOOKUP(A2143,Table!$I$4:$O$3000,1,TRUE),"")</f>
        <v/>
      </c>
      <c r="L2143" s="31" t="str">
        <f>IFERROR(INDEX(Table!I:O,MATCH(K2143,Table!I:I,0),2),"")</f>
        <v/>
      </c>
      <c r="M2143" s="31" t="str">
        <f>IFERROR(INDEX(Table!I:O,MATCH(K2143,Table!I:I,0),3),"")</f>
        <v/>
      </c>
      <c r="N2143" s="32" t="str">
        <f>IFERROR(INDEX(Table!I:O,MATCH(K2143,Table!I:I,0),4),"")</f>
        <v/>
      </c>
      <c r="O2143" s="32" t="str">
        <f>IFERROR(INDEX(Table!I:O,MATCH(K2143,Table!I:I,0),5),"")</f>
        <v/>
      </c>
      <c r="P2143" s="32" t="str">
        <f>IFERROR(INDEX(Table!I:O,MATCH(K2143,Table!I:I,0),6),"")</f>
        <v/>
      </c>
      <c r="Q2143" s="89" t="str">
        <f t="shared" si="99"/>
        <v/>
      </c>
      <c r="R2143" s="89" t="str">
        <f t="shared" si="100"/>
        <v/>
      </c>
      <c r="S2143" s="82"/>
      <c r="U2143" s="37"/>
    </row>
    <row r="2144" spans="1:21" x14ac:dyDescent="0.25">
      <c r="A2144" s="31" t="str">
        <f>IF(Table!A2144 = "","",Table!A2144)</f>
        <v/>
      </c>
      <c r="B2144" s="31" t="str">
        <f>IF(Table!B2144 = "","",Table!B2144)</f>
        <v/>
      </c>
      <c r="C2144" s="31" t="str">
        <f>IF(Table!C2144 = "","",Table!C2144)</f>
        <v/>
      </c>
      <c r="D2144" s="32" t="str">
        <f>IF(Table!D2144 = "","",Table!D2144)</f>
        <v/>
      </c>
      <c r="E2144" s="32" t="str">
        <f>IF(Table!E2144 = "","",Table!E2144)</f>
        <v/>
      </c>
      <c r="F2144" s="32" t="str">
        <f>IF(Table!F2144 = "","",Table!F2144)</f>
        <v/>
      </c>
      <c r="G2144" s="91"/>
      <c r="K2144" s="31" t="str">
        <f>IFERROR(VLOOKUP(A2144,Table!$I$4:$O$3000,1,TRUE),"")</f>
        <v/>
      </c>
      <c r="L2144" s="31" t="str">
        <f>IFERROR(INDEX(Table!I:O,MATCH(K2144,Table!I:I,0),2),"")</f>
        <v/>
      </c>
      <c r="M2144" s="31" t="str">
        <f>IFERROR(INDEX(Table!I:O,MATCH(K2144,Table!I:I,0),3),"")</f>
        <v/>
      </c>
      <c r="N2144" s="32" t="str">
        <f>IFERROR(INDEX(Table!I:O,MATCH(K2144,Table!I:I,0),4),"")</f>
        <v/>
      </c>
      <c r="O2144" s="32" t="str">
        <f>IFERROR(INDEX(Table!I:O,MATCH(K2144,Table!I:I,0),5),"")</f>
        <v/>
      </c>
      <c r="P2144" s="32" t="str">
        <f>IFERROR(INDEX(Table!I:O,MATCH(K2144,Table!I:I,0),6),"")</f>
        <v/>
      </c>
      <c r="Q2144" s="89" t="str">
        <f t="shared" si="99"/>
        <v/>
      </c>
      <c r="R2144" s="89" t="str">
        <f t="shared" si="100"/>
        <v/>
      </c>
      <c r="S2144" s="82"/>
      <c r="U2144" s="37"/>
    </row>
    <row r="2145" spans="1:21" x14ac:dyDescent="0.25">
      <c r="A2145" s="31" t="str">
        <f>IF(Table!A2145 = "","",Table!A2145)</f>
        <v/>
      </c>
      <c r="B2145" s="31" t="str">
        <f>IF(Table!B2145 = "","",Table!B2145)</f>
        <v/>
      </c>
      <c r="C2145" s="31" t="str">
        <f>IF(Table!C2145 = "","",Table!C2145)</f>
        <v/>
      </c>
      <c r="D2145" s="32" t="str">
        <f>IF(Table!D2145 = "","",Table!D2145)</f>
        <v/>
      </c>
      <c r="E2145" s="32" t="str">
        <f>IF(Table!E2145 = "","",Table!E2145)</f>
        <v/>
      </c>
      <c r="F2145" s="32" t="str">
        <f>IF(Table!F2145 = "","",Table!F2145)</f>
        <v/>
      </c>
      <c r="G2145" s="91"/>
      <c r="K2145" s="31" t="str">
        <f>IFERROR(VLOOKUP(A2145,Table!$I$4:$O$3000,1,TRUE),"")</f>
        <v/>
      </c>
      <c r="L2145" s="31" t="str">
        <f>IFERROR(INDEX(Table!I:O,MATCH(K2145,Table!I:I,0),2),"")</f>
        <v/>
      </c>
      <c r="M2145" s="31" t="str">
        <f>IFERROR(INDEX(Table!I:O,MATCH(K2145,Table!I:I,0),3),"")</f>
        <v/>
      </c>
      <c r="N2145" s="32" t="str">
        <f>IFERROR(INDEX(Table!I:O,MATCH(K2145,Table!I:I,0),4),"")</f>
        <v/>
      </c>
      <c r="O2145" s="32" t="str">
        <f>IFERROR(INDEX(Table!I:O,MATCH(K2145,Table!I:I,0),5),"")</f>
        <v/>
      </c>
      <c r="P2145" s="32" t="str">
        <f>IFERROR(INDEX(Table!I:O,MATCH(K2145,Table!I:I,0),6),"")</f>
        <v/>
      </c>
      <c r="Q2145" s="89" t="str">
        <f t="shared" si="99"/>
        <v/>
      </c>
      <c r="R2145" s="89" t="str">
        <f t="shared" si="100"/>
        <v/>
      </c>
      <c r="S2145" s="82"/>
      <c r="U2145" s="37"/>
    </row>
    <row r="2146" spans="1:21" x14ac:dyDescent="0.25">
      <c r="A2146" s="31" t="str">
        <f>IF(Table!A2146 = "","",Table!A2146)</f>
        <v/>
      </c>
      <c r="B2146" s="31" t="str">
        <f>IF(Table!B2146 = "","",Table!B2146)</f>
        <v/>
      </c>
      <c r="C2146" s="31" t="str">
        <f>IF(Table!C2146 = "","",Table!C2146)</f>
        <v/>
      </c>
      <c r="D2146" s="32" t="str">
        <f>IF(Table!D2146 = "","",Table!D2146)</f>
        <v/>
      </c>
      <c r="E2146" s="32" t="str">
        <f>IF(Table!E2146 = "","",Table!E2146)</f>
        <v/>
      </c>
      <c r="F2146" s="32" t="str">
        <f>IF(Table!F2146 = "","",Table!F2146)</f>
        <v/>
      </c>
      <c r="G2146" s="91"/>
      <c r="K2146" s="31" t="str">
        <f>IFERROR(VLOOKUP(A2146,Table!$I$4:$O$3000,1,TRUE),"")</f>
        <v/>
      </c>
      <c r="L2146" s="31" t="str">
        <f>IFERROR(INDEX(Table!I:O,MATCH(K2146,Table!I:I,0),2),"")</f>
        <v/>
      </c>
      <c r="M2146" s="31" t="str">
        <f>IFERROR(INDEX(Table!I:O,MATCH(K2146,Table!I:I,0),3),"")</f>
        <v/>
      </c>
      <c r="N2146" s="32" t="str">
        <f>IFERROR(INDEX(Table!I:O,MATCH(K2146,Table!I:I,0),4),"")</f>
        <v/>
      </c>
      <c r="O2146" s="32" t="str">
        <f>IFERROR(INDEX(Table!I:O,MATCH(K2146,Table!I:I,0),5),"")</f>
        <v/>
      </c>
      <c r="P2146" s="32" t="str">
        <f>IFERROR(INDEX(Table!I:O,MATCH(K2146,Table!I:I,0),6),"")</f>
        <v/>
      </c>
      <c r="Q2146" s="89" t="str">
        <f t="shared" si="99"/>
        <v/>
      </c>
      <c r="R2146" s="89" t="str">
        <f t="shared" si="100"/>
        <v/>
      </c>
      <c r="S2146" s="82"/>
      <c r="U2146" s="37"/>
    </row>
    <row r="2147" spans="1:21" x14ac:dyDescent="0.25">
      <c r="A2147" s="31" t="str">
        <f>IF(Table!A2147 = "","",Table!A2147)</f>
        <v/>
      </c>
      <c r="B2147" s="31" t="str">
        <f>IF(Table!B2147 = "","",Table!B2147)</f>
        <v/>
      </c>
      <c r="C2147" s="31" t="str">
        <f>IF(Table!C2147 = "","",Table!C2147)</f>
        <v/>
      </c>
      <c r="D2147" s="32" t="str">
        <f>IF(Table!D2147 = "","",Table!D2147)</f>
        <v/>
      </c>
      <c r="E2147" s="32" t="str">
        <f>IF(Table!E2147 = "","",Table!E2147)</f>
        <v/>
      </c>
      <c r="F2147" s="32" t="str">
        <f>IF(Table!F2147 = "","",Table!F2147)</f>
        <v/>
      </c>
      <c r="G2147" s="91"/>
      <c r="K2147" s="31" t="str">
        <f>IFERROR(VLOOKUP(A2147,Table!$I$4:$O$3000,1,TRUE),"")</f>
        <v/>
      </c>
      <c r="L2147" s="31" t="str">
        <f>IFERROR(INDEX(Table!I:O,MATCH(K2147,Table!I:I,0),2),"")</f>
        <v/>
      </c>
      <c r="M2147" s="31" t="str">
        <f>IFERROR(INDEX(Table!I:O,MATCH(K2147,Table!I:I,0),3),"")</f>
        <v/>
      </c>
      <c r="N2147" s="32" t="str">
        <f>IFERROR(INDEX(Table!I:O,MATCH(K2147,Table!I:I,0),4),"")</f>
        <v/>
      </c>
      <c r="O2147" s="32" t="str">
        <f>IFERROR(INDEX(Table!I:O,MATCH(K2147,Table!I:I,0),5),"")</f>
        <v/>
      </c>
      <c r="P2147" s="32" t="str">
        <f>IFERROR(INDEX(Table!I:O,MATCH(K2147,Table!I:I,0),6),"")</f>
        <v/>
      </c>
      <c r="Q2147" s="89" t="str">
        <f t="shared" si="99"/>
        <v/>
      </c>
      <c r="R2147" s="89" t="str">
        <f t="shared" si="100"/>
        <v/>
      </c>
      <c r="S2147" s="82"/>
      <c r="U2147" s="37"/>
    </row>
    <row r="2148" spans="1:21" x14ac:dyDescent="0.25">
      <c r="A2148" s="31" t="str">
        <f>IF(Table!A2148 = "","",Table!A2148)</f>
        <v/>
      </c>
      <c r="B2148" s="31" t="str">
        <f>IF(Table!B2148 = "","",Table!B2148)</f>
        <v/>
      </c>
      <c r="C2148" s="31" t="str">
        <f>IF(Table!C2148 = "","",Table!C2148)</f>
        <v/>
      </c>
      <c r="D2148" s="32" t="str">
        <f>IF(Table!D2148 = "","",Table!D2148)</f>
        <v/>
      </c>
      <c r="E2148" s="32" t="str">
        <f>IF(Table!E2148 = "","",Table!E2148)</f>
        <v/>
      </c>
      <c r="F2148" s="32" t="str">
        <f>IF(Table!F2148 = "","",Table!F2148)</f>
        <v/>
      </c>
      <c r="G2148" s="91"/>
      <c r="K2148" s="31" t="str">
        <f>IFERROR(VLOOKUP(A2148,Table!$I$4:$O$3000,1,TRUE),"")</f>
        <v/>
      </c>
      <c r="L2148" s="31" t="str">
        <f>IFERROR(INDEX(Table!I:O,MATCH(K2148,Table!I:I,0),2),"")</f>
        <v/>
      </c>
      <c r="M2148" s="31" t="str">
        <f>IFERROR(INDEX(Table!I:O,MATCH(K2148,Table!I:I,0),3),"")</f>
        <v/>
      </c>
      <c r="N2148" s="32" t="str">
        <f>IFERROR(INDEX(Table!I:O,MATCH(K2148,Table!I:I,0),4),"")</f>
        <v/>
      </c>
      <c r="O2148" s="32" t="str">
        <f>IFERROR(INDEX(Table!I:O,MATCH(K2148,Table!I:I,0),5),"")</f>
        <v/>
      </c>
      <c r="P2148" s="32" t="str">
        <f>IFERROR(INDEX(Table!I:O,MATCH(K2148,Table!I:I,0),6),"")</f>
        <v/>
      </c>
      <c r="Q2148" s="89" t="str">
        <f t="shared" si="99"/>
        <v/>
      </c>
      <c r="R2148" s="89" t="str">
        <f t="shared" si="100"/>
        <v/>
      </c>
      <c r="S2148" s="82"/>
      <c r="U2148" s="37"/>
    </row>
    <row r="2149" spans="1:21" x14ac:dyDescent="0.25">
      <c r="A2149" s="31" t="str">
        <f>IF(Table!A2149 = "","",Table!A2149)</f>
        <v/>
      </c>
      <c r="B2149" s="31" t="str">
        <f>IF(Table!B2149 = "","",Table!B2149)</f>
        <v/>
      </c>
      <c r="C2149" s="31" t="str">
        <f>IF(Table!C2149 = "","",Table!C2149)</f>
        <v/>
      </c>
      <c r="D2149" s="32" t="str">
        <f>IF(Table!D2149 = "","",Table!D2149)</f>
        <v/>
      </c>
      <c r="E2149" s="32" t="str">
        <f>IF(Table!E2149 = "","",Table!E2149)</f>
        <v/>
      </c>
      <c r="F2149" s="32" t="str">
        <f>IF(Table!F2149 = "","",Table!F2149)</f>
        <v/>
      </c>
      <c r="G2149" s="91"/>
      <c r="K2149" s="31" t="str">
        <f>IFERROR(VLOOKUP(A2149,Table!$I$4:$O$3000,1,TRUE),"")</f>
        <v/>
      </c>
      <c r="L2149" s="31" t="str">
        <f>IFERROR(INDEX(Table!I:O,MATCH(K2149,Table!I:I,0),2),"")</f>
        <v/>
      </c>
      <c r="M2149" s="31" t="str">
        <f>IFERROR(INDEX(Table!I:O,MATCH(K2149,Table!I:I,0),3),"")</f>
        <v/>
      </c>
      <c r="N2149" s="32" t="str">
        <f>IFERROR(INDEX(Table!I:O,MATCH(K2149,Table!I:I,0),4),"")</f>
        <v/>
      </c>
      <c r="O2149" s="32" t="str">
        <f>IFERROR(INDEX(Table!I:O,MATCH(K2149,Table!I:I,0),5),"")</f>
        <v/>
      </c>
      <c r="P2149" s="32" t="str">
        <f>IFERROR(INDEX(Table!I:O,MATCH(K2149,Table!I:I,0),6),"")</f>
        <v/>
      </c>
      <c r="Q2149" s="89" t="str">
        <f t="shared" si="99"/>
        <v/>
      </c>
      <c r="R2149" s="89" t="str">
        <f t="shared" si="100"/>
        <v/>
      </c>
      <c r="S2149" s="82"/>
      <c r="U2149" s="37"/>
    </row>
    <row r="2150" spans="1:21" x14ac:dyDescent="0.25">
      <c r="A2150" s="31" t="str">
        <f>IF(Table!A2150 = "","",Table!A2150)</f>
        <v/>
      </c>
      <c r="B2150" s="31" t="str">
        <f>IF(Table!B2150 = "","",Table!B2150)</f>
        <v/>
      </c>
      <c r="C2150" s="31" t="str">
        <f>IF(Table!C2150 = "","",Table!C2150)</f>
        <v/>
      </c>
      <c r="D2150" s="32" t="str">
        <f>IF(Table!D2150 = "","",Table!D2150)</f>
        <v/>
      </c>
      <c r="E2150" s="32" t="str">
        <f>IF(Table!E2150 = "","",Table!E2150)</f>
        <v/>
      </c>
      <c r="F2150" s="32" t="str">
        <f>IF(Table!F2150 = "","",Table!F2150)</f>
        <v/>
      </c>
      <c r="G2150" s="91"/>
      <c r="K2150" s="31" t="str">
        <f>IFERROR(VLOOKUP(A2150,Table!$I$4:$O$3000,1,TRUE),"")</f>
        <v/>
      </c>
      <c r="L2150" s="31" t="str">
        <f>IFERROR(INDEX(Table!I:O,MATCH(K2150,Table!I:I,0),2),"")</f>
        <v/>
      </c>
      <c r="M2150" s="31" t="str">
        <f>IFERROR(INDEX(Table!I:O,MATCH(K2150,Table!I:I,0),3),"")</f>
        <v/>
      </c>
      <c r="N2150" s="32" t="str">
        <f>IFERROR(INDEX(Table!I:O,MATCH(K2150,Table!I:I,0),4),"")</f>
        <v/>
      </c>
      <c r="O2150" s="32" t="str">
        <f>IFERROR(INDEX(Table!I:O,MATCH(K2150,Table!I:I,0),5),"")</f>
        <v/>
      </c>
      <c r="P2150" s="32" t="str">
        <f>IFERROR(INDEX(Table!I:O,MATCH(K2150,Table!I:I,0),6),"")</f>
        <v/>
      </c>
      <c r="Q2150" s="89" t="str">
        <f t="shared" si="99"/>
        <v/>
      </c>
      <c r="R2150" s="89" t="str">
        <f t="shared" si="100"/>
        <v/>
      </c>
      <c r="S2150" s="82"/>
      <c r="U2150" s="37"/>
    </row>
    <row r="2151" spans="1:21" x14ac:dyDescent="0.25">
      <c r="A2151" s="31" t="str">
        <f>IF(Table!A2151 = "","",Table!A2151)</f>
        <v/>
      </c>
      <c r="B2151" s="31" t="str">
        <f>IF(Table!B2151 = "","",Table!B2151)</f>
        <v/>
      </c>
      <c r="C2151" s="31" t="str">
        <f>IF(Table!C2151 = "","",Table!C2151)</f>
        <v/>
      </c>
      <c r="D2151" s="32" t="str">
        <f>IF(Table!D2151 = "","",Table!D2151)</f>
        <v/>
      </c>
      <c r="E2151" s="32" t="str">
        <f>IF(Table!E2151 = "","",Table!E2151)</f>
        <v/>
      </c>
      <c r="F2151" s="32" t="str">
        <f>IF(Table!F2151 = "","",Table!F2151)</f>
        <v/>
      </c>
      <c r="G2151" s="91"/>
      <c r="K2151" s="31" t="str">
        <f>IFERROR(VLOOKUP(A2151,Table!$I$4:$O$3000,1,TRUE),"")</f>
        <v/>
      </c>
      <c r="L2151" s="31" t="str">
        <f>IFERROR(INDEX(Table!I:O,MATCH(K2151,Table!I:I,0),2),"")</f>
        <v/>
      </c>
      <c r="M2151" s="31" t="str">
        <f>IFERROR(INDEX(Table!I:O,MATCH(K2151,Table!I:I,0),3),"")</f>
        <v/>
      </c>
      <c r="N2151" s="32" t="str">
        <f>IFERROR(INDEX(Table!I:O,MATCH(K2151,Table!I:I,0),4),"")</f>
        <v/>
      </c>
      <c r="O2151" s="32" t="str">
        <f>IFERROR(INDEX(Table!I:O,MATCH(K2151,Table!I:I,0),5),"")</f>
        <v/>
      </c>
      <c r="P2151" s="32" t="str">
        <f>IFERROR(INDEX(Table!I:O,MATCH(K2151,Table!I:I,0),6),"")</f>
        <v/>
      </c>
      <c r="Q2151" s="89" t="str">
        <f t="shared" si="99"/>
        <v/>
      </c>
      <c r="R2151" s="89" t="str">
        <f t="shared" si="100"/>
        <v/>
      </c>
      <c r="S2151" s="82"/>
      <c r="U2151" s="37"/>
    </row>
    <row r="2152" spans="1:21" x14ac:dyDescent="0.25">
      <c r="A2152" s="31" t="str">
        <f>IF(Table!A2152 = "","",Table!A2152)</f>
        <v/>
      </c>
      <c r="B2152" s="31" t="str">
        <f>IF(Table!B2152 = "","",Table!B2152)</f>
        <v/>
      </c>
      <c r="C2152" s="31" t="str">
        <f>IF(Table!C2152 = "","",Table!C2152)</f>
        <v/>
      </c>
      <c r="D2152" s="32" t="str">
        <f>IF(Table!D2152 = "","",Table!D2152)</f>
        <v/>
      </c>
      <c r="E2152" s="32" t="str">
        <f>IF(Table!E2152 = "","",Table!E2152)</f>
        <v/>
      </c>
      <c r="F2152" s="32" t="str">
        <f>IF(Table!F2152 = "","",Table!F2152)</f>
        <v/>
      </c>
      <c r="G2152" s="91"/>
      <c r="K2152" s="31" t="str">
        <f>IFERROR(VLOOKUP(A2152,Table!$I$4:$O$3000,1,TRUE),"")</f>
        <v/>
      </c>
      <c r="L2152" s="31" t="str">
        <f>IFERROR(INDEX(Table!I:O,MATCH(K2152,Table!I:I,0),2),"")</f>
        <v/>
      </c>
      <c r="M2152" s="31" t="str">
        <f>IFERROR(INDEX(Table!I:O,MATCH(K2152,Table!I:I,0),3),"")</f>
        <v/>
      </c>
      <c r="N2152" s="32" t="str">
        <f>IFERROR(INDEX(Table!I:O,MATCH(K2152,Table!I:I,0),4),"")</f>
        <v/>
      </c>
      <c r="O2152" s="32" t="str">
        <f>IFERROR(INDEX(Table!I:O,MATCH(K2152,Table!I:I,0),5),"")</f>
        <v/>
      </c>
      <c r="P2152" s="32" t="str">
        <f>IFERROR(INDEX(Table!I:O,MATCH(K2152,Table!I:I,0),6),"")</f>
        <v/>
      </c>
      <c r="Q2152" s="89" t="str">
        <f t="shared" si="99"/>
        <v/>
      </c>
      <c r="R2152" s="89" t="str">
        <f t="shared" si="100"/>
        <v/>
      </c>
      <c r="S2152" s="82"/>
      <c r="U2152" s="37"/>
    </row>
    <row r="2153" spans="1:21" x14ac:dyDescent="0.25">
      <c r="A2153" s="31" t="str">
        <f>IF(Table!A2153 = "","",Table!A2153)</f>
        <v/>
      </c>
      <c r="B2153" s="31" t="str">
        <f>IF(Table!B2153 = "","",Table!B2153)</f>
        <v/>
      </c>
      <c r="C2153" s="31" t="str">
        <f>IF(Table!C2153 = "","",Table!C2153)</f>
        <v/>
      </c>
      <c r="D2153" s="32" t="str">
        <f>IF(Table!D2153 = "","",Table!D2153)</f>
        <v/>
      </c>
      <c r="E2153" s="32" t="str">
        <f>IF(Table!E2153 = "","",Table!E2153)</f>
        <v/>
      </c>
      <c r="F2153" s="32" t="str">
        <f>IF(Table!F2153 = "","",Table!F2153)</f>
        <v/>
      </c>
      <c r="G2153" s="91"/>
      <c r="K2153" s="31" t="str">
        <f>IFERROR(VLOOKUP(A2153,Table!$I$4:$O$3000,1,TRUE),"")</f>
        <v/>
      </c>
      <c r="L2153" s="31" t="str">
        <f>IFERROR(INDEX(Table!I:O,MATCH(K2153,Table!I:I,0),2),"")</f>
        <v/>
      </c>
      <c r="M2153" s="31" t="str">
        <f>IFERROR(INDEX(Table!I:O,MATCH(K2153,Table!I:I,0),3),"")</f>
        <v/>
      </c>
      <c r="N2153" s="32" t="str">
        <f>IFERROR(INDEX(Table!I:O,MATCH(K2153,Table!I:I,0),4),"")</f>
        <v/>
      </c>
      <c r="O2153" s="32" t="str">
        <f>IFERROR(INDEX(Table!I:O,MATCH(K2153,Table!I:I,0),5),"")</f>
        <v/>
      </c>
      <c r="P2153" s="32" t="str">
        <f>IFERROR(INDEX(Table!I:O,MATCH(K2153,Table!I:I,0),6),"")</f>
        <v/>
      </c>
      <c r="Q2153" s="89" t="str">
        <f t="shared" si="99"/>
        <v/>
      </c>
      <c r="R2153" s="89" t="str">
        <f t="shared" si="100"/>
        <v/>
      </c>
      <c r="S2153" s="82"/>
      <c r="U2153" s="37"/>
    </row>
    <row r="2154" spans="1:21" x14ac:dyDescent="0.25">
      <c r="A2154" s="31" t="str">
        <f>IF(Table!A2154 = "","",Table!A2154)</f>
        <v/>
      </c>
      <c r="B2154" s="31" t="str">
        <f>IF(Table!B2154 = "","",Table!B2154)</f>
        <v/>
      </c>
      <c r="C2154" s="31" t="str">
        <f>IF(Table!C2154 = "","",Table!C2154)</f>
        <v/>
      </c>
      <c r="D2154" s="32" t="str">
        <f>IF(Table!D2154 = "","",Table!D2154)</f>
        <v/>
      </c>
      <c r="E2154" s="32" t="str">
        <f>IF(Table!E2154 = "","",Table!E2154)</f>
        <v/>
      </c>
      <c r="F2154" s="32" t="str">
        <f>IF(Table!F2154 = "","",Table!F2154)</f>
        <v/>
      </c>
      <c r="G2154" s="91"/>
      <c r="K2154" s="31" t="str">
        <f>IFERROR(VLOOKUP(A2154,Table!$I$4:$O$3000,1,TRUE),"")</f>
        <v/>
      </c>
      <c r="L2154" s="31" t="str">
        <f>IFERROR(INDEX(Table!I:O,MATCH(K2154,Table!I:I,0),2),"")</f>
        <v/>
      </c>
      <c r="M2154" s="31" t="str">
        <f>IFERROR(INDEX(Table!I:O,MATCH(K2154,Table!I:I,0),3),"")</f>
        <v/>
      </c>
      <c r="N2154" s="32" t="str">
        <f>IFERROR(INDEX(Table!I:O,MATCH(K2154,Table!I:I,0),4),"")</f>
        <v/>
      </c>
      <c r="O2154" s="32" t="str">
        <f>IFERROR(INDEX(Table!I:O,MATCH(K2154,Table!I:I,0),5),"")</f>
        <v/>
      </c>
      <c r="P2154" s="32" t="str">
        <f>IFERROR(INDEX(Table!I:O,MATCH(K2154,Table!I:I,0),6),"")</f>
        <v/>
      </c>
      <c r="Q2154" s="89" t="str">
        <f t="shared" si="99"/>
        <v/>
      </c>
      <c r="R2154" s="89" t="str">
        <f t="shared" si="100"/>
        <v/>
      </c>
      <c r="S2154" s="82"/>
      <c r="U2154" s="37"/>
    </row>
    <row r="2155" spans="1:21" x14ac:dyDescent="0.25">
      <c r="A2155" s="31" t="str">
        <f>IF(Table!A2155 = "","",Table!A2155)</f>
        <v/>
      </c>
      <c r="B2155" s="31" t="str">
        <f>IF(Table!B2155 = "","",Table!B2155)</f>
        <v/>
      </c>
      <c r="C2155" s="31" t="str">
        <f>IF(Table!C2155 = "","",Table!C2155)</f>
        <v/>
      </c>
      <c r="D2155" s="32" t="str">
        <f>IF(Table!D2155 = "","",Table!D2155)</f>
        <v/>
      </c>
      <c r="E2155" s="32" t="str">
        <f>IF(Table!E2155 = "","",Table!E2155)</f>
        <v/>
      </c>
      <c r="F2155" s="32" t="str">
        <f>IF(Table!F2155 = "","",Table!F2155)</f>
        <v/>
      </c>
      <c r="G2155" s="91"/>
      <c r="K2155" s="31" t="str">
        <f>IFERROR(VLOOKUP(A2155,Table!$I$4:$O$3000,1,TRUE),"")</f>
        <v/>
      </c>
      <c r="L2155" s="31" t="str">
        <f>IFERROR(INDEX(Table!I:O,MATCH(K2155,Table!I:I,0),2),"")</f>
        <v/>
      </c>
      <c r="M2155" s="31" t="str">
        <f>IFERROR(INDEX(Table!I:O,MATCH(K2155,Table!I:I,0),3),"")</f>
        <v/>
      </c>
      <c r="N2155" s="32" t="str">
        <f>IFERROR(INDEX(Table!I:O,MATCH(K2155,Table!I:I,0),4),"")</f>
        <v/>
      </c>
      <c r="O2155" s="32" t="str">
        <f>IFERROR(INDEX(Table!I:O,MATCH(K2155,Table!I:I,0),5),"")</f>
        <v/>
      </c>
      <c r="P2155" s="32" t="str">
        <f>IFERROR(INDEX(Table!I:O,MATCH(K2155,Table!I:I,0),6),"")</f>
        <v/>
      </c>
      <c r="Q2155" s="89" t="str">
        <f t="shared" si="99"/>
        <v/>
      </c>
      <c r="R2155" s="89" t="str">
        <f t="shared" si="100"/>
        <v/>
      </c>
      <c r="S2155" s="82"/>
      <c r="U2155" s="37"/>
    </row>
    <row r="2156" spans="1:21" x14ac:dyDescent="0.25">
      <c r="A2156" s="31" t="str">
        <f>IF(Table!A2156 = "","",Table!A2156)</f>
        <v/>
      </c>
      <c r="B2156" s="31" t="str">
        <f>IF(Table!B2156 = "","",Table!B2156)</f>
        <v/>
      </c>
      <c r="C2156" s="31" t="str">
        <f>IF(Table!C2156 = "","",Table!C2156)</f>
        <v/>
      </c>
      <c r="D2156" s="32" t="str">
        <f>IF(Table!D2156 = "","",Table!D2156)</f>
        <v/>
      </c>
      <c r="E2156" s="32" t="str">
        <f>IF(Table!E2156 = "","",Table!E2156)</f>
        <v/>
      </c>
      <c r="F2156" s="32" t="str">
        <f>IF(Table!F2156 = "","",Table!F2156)</f>
        <v/>
      </c>
      <c r="G2156" s="91"/>
      <c r="K2156" s="31" t="str">
        <f>IFERROR(VLOOKUP(A2156,Table!$I$4:$O$3000,1,TRUE),"")</f>
        <v/>
      </c>
      <c r="L2156" s="31" t="str">
        <f>IFERROR(INDEX(Table!I:O,MATCH(K2156,Table!I:I,0),2),"")</f>
        <v/>
      </c>
      <c r="M2156" s="31" t="str">
        <f>IFERROR(INDEX(Table!I:O,MATCH(K2156,Table!I:I,0),3),"")</f>
        <v/>
      </c>
      <c r="N2156" s="32" t="str">
        <f>IFERROR(INDEX(Table!I:O,MATCH(K2156,Table!I:I,0),4),"")</f>
        <v/>
      </c>
      <c r="O2156" s="32" t="str">
        <f>IFERROR(INDEX(Table!I:O,MATCH(K2156,Table!I:I,0),5),"")</f>
        <v/>
      </c>
      <c r="P2156" s="32" t="str">
        <f>IFERROR(INDEX(Table!I:O,MATCH(K2156,Table!I:I,0),6),"")</f>
        <v/>
      </c>
      <c r="Q2156" s="89" t="str">
        <f t="shared" si="99"/>
        <v/>
      </c>
      <c r="R2156" s="89" t="str">
        <f t="shared" si="100"/>
        <v/>
      </c>
      <c r="S2156" s="82"/>
      <c r="U2156" s="37"/>
    </row>
    <row r="2157" spans="1:21" x14ac:dyDescent="0.25">
      <c r="A2157" s="31" t="str">
        <f>IF(Table!A2157 = "","",Table!A2157)</f>
        <v/>
      </c>
      <c r="B2157" s="31" t="str">
        <f>IF(Table!B2157 = "","",Table!B2157)</f>
        <v/>
      </c>
      <c r="C2157" s="31" t="str">
        <f>IF(Table!C2157 = "","",Table!C2157)</f>
        <v/>
      </c>
      <c r="D2157" s="32" t="str">
        <f>IF(Table!D2157 = "","",Table!D2157)</f>
        <v/>
      </c>
      <c r="E2157" s="32" t="str">
        <f>IF(Table!E2157 = "","",Table!E2157)</f>
        <v/>
      </c>
      <c r="F2157" s="32" t="str">
        <f>IF(Table!F2157 = "","",Table!F2157)</f>
        <v/>
      </c>
      <c r="G2157" s="91"/>
      <c r="K2157" s="31" t="str">
        <f>IFERROR(VLOOKUP(A2157,Table!$I$4:$O$3000,1,TRUE),"")</f>
        <v/>
      </c>
      <c r="L2157" s="31" t="str">
        <f>IFERROR(INDEX(Table!I:O,MATCH(K2157,Table!I:I,0),2),"")</f>
        <v/>
      </c>
      <c r="M2157" s="31" t="str">
        <f>IFERROR(INDEX(Table!I:O,MATCH(K2157,Table!I:I,0),3),"")</f>
        <v/>
      </c>
      <c r="N2157" s="32" t="str">
        <f>IFERROR(INDEX(Table!I:O,MATCH(K2157,Table!I:I,0),4),"")</f>
        <v/>
      </c>
      <c r="O2157" s="32" t="str">
        <f>IFERROR(INDEX(Table!I:O,MATCH(K2157,Table!I:I,0),5),"")</f>
        <v/>
      </c>
      <c r="P2157" s="32" t="str">
        <f>IFERROR(INDEX(Table!I:O,MATCH(K2157,Table!I:I,0),6),"")</f>
        <v/>
      </c>
      <c r="Q2157" s="89" t="str">
        <f t="shared" si="99"/>
        <v/>
      </c>
      <c r="R2157" s="89" t="str">
        <f t="shared" si="100"/>
        <v/>
      </c>
      <c r="S2157" s="82"/>
      <c r="U2157" s="37"/>
    </row>
    <row r="2158" spans="1:21" x14ac:dyDescent="0.25">
      <c r="A2158" s="31" t="str">
        <f>IF(Table!A2158 = "","",Table!A2158)</f>
        <v/>
      </c>
      <c r="B2158" s="31" t="str">
        <f>IF(Table!B2158 = "","",Table!B2158)</f>
        <v/>
      </c>
      <c r="C2158" s="31" t="str">
        <f>IF(Table!C2158 = "","",Table!C2158)</f>
        <v/>
      </c>
      <c r="D2158" s="32" t="str">
        <f>IF(Table!D2158 = "","",Table!D2158)</f>
        <v/>
      </c>
      <c r="E2158" s="32" t="str">
        <f>IF(Table!E2158 = "","",Table!E2158)</f>
        <v/>
      </c>
      <c r="F2158" s="32" t="str">
        <f>IF(Table!F2158 = "","",Table!F2158)</f>
        <v/>
      </c>
      <c r="G2158" s="91"/>
      <c r="K2158" s="31" t="str">
        <f>IFERROR(VLOOKUP(A2158,Table!$I$4:$O$3000,1,TRUE),"")</f>
        <v/>
      </c>
      <c r="L2158" s="31" t="str">
        <f>IFERROR(INDEX(Table!I:O,MATCH(K2158,Table!I:I,0),2),"")</f>
        <v/>
      </c>
      <c r="M2158" s="31" t="str">
        <f>IFERROR(INDEX(Table!I:O,MATCH(K2158,Table!I:I,0),3),"")</f>
        <v/>
      </c>
      <c r="N2158" s="32" t="str">
        <f>IFERROR(INDEX(Table!I:O,MATCH(K2158,Table!I:I,0),4),"")</f>
        <v/>
      </c>
      <c r="O2158" s="32" t="str">
        <f>IFERROR(INDEX(Table!I:O,MATCH(K2158,Table!I:I,0),5),"")</f>
        <v/>
      </c>
      <c r="P2158" s="32" t="str">
        <f>IFERROR(INDEX(Table!I:O,MATCH(K2158,Table!I:I,0),6),"")</f>
        <v/>
      </c>
      <c r="Q2158" s="89" t="str">
        <f t="shared" si="99"/>
        <v/>
      </c>
      <c r="R2158" s="89" t="str">
        <f t="shared" si="100"/>
        <v/>
      </c>
      <c r="S2158" s="82"/>
      <c r="U2158" s="37"/>
    </row>
    <row r="2159" spans="1:21" x14ac:dyDescent="0.25">
      <c r="A2159" s="31" t="str">
        <f>IF(Table!A2159 = "","",Table!A2159)</f>
        <v/>
      </c>
      <c r="B2159" s="31" t="str">
        <f>IF(Table!B2159 = "","",Table!B2159)</f>
        <v/>
      </c>
      <c r="C2159" s="31" t="str">
        <f>IF(Table!C2159 = "","",Table!C2159)</f>
        <v/>
      </c>
      <c r="D2159" s="32" t="str">
        <f>IF(Table!D2159 = "","",Table!D2159)</f>
        <v/>
      </c>
      <c r="E2159" s="32" t="str">
        <f>IF(Table!E2159 = "","",Table!E2159)</f>
        <v/>
      </c>
      <c r="F2159" s="32" t="str">
        <f>IF(Table!F2159 = "","",Table!F2159)</f>
        <v/>
      </c>
      <c r="G2159" s="91"/>
      <c r="K2159" s="31" t="str">
        <f>IFERROR(VLOOKUP(A2159,Table!$I$4:$O$3000,1,TRUE),"")</f>
        <v/>
      </c>
      <c r="L2159" s="31" t="str">
        <f>IFERROR(INDEX(Table!I:O,MATCH(K2159,Table!I:I,0),2),"")</f>
        <v/>
      </c>
      <c r="M2159" s="31" t="str">
        <f>IFERROR(INDEX(Table!I:O,MATCH(K2159,Table!I:I,0),3),"")</f>
        <v/>
      </c>
      <c r="N2159" s="32" t="str">
        <f>IFERROR(INDEX(Table!I:O,MATCH(K2159,Table!I:I,0),4),"")</f>
        <v/>
      </c>
      <c r="O2159" s="32" t="str">
        <f>IFERROR(INDEX(Table!I:O,MATCH(K2159,Table!I:I,0),5),"")</f>
        <v/>
      </c>
      <c r="P2159" s="32" t="str">
        <f>IFERROR(INDEX(Table!I:O,MATCH(K2159,Table!I:I,0),6),"")</f>
        <v/>
      </c>
      <c r="Q2159" s="89" t="str">
        <f t="shared" si="99"/>
        <v/>
      </c>
      <c r="R2159" s="89" t="str">
        <f t="shared" si="100"/>
        <v/>
      </c>
      <c r="S2159" s="82"/>
      <c r="U2159" s="37"/>
    </row>
    <row r="2160" spans="1:21" x14ac:dyDescent="0.25">
      <c r="A2160" s="31" t="str">
        <f>IF(Table!A2160 = "","",Table!A2160)</f>
        <v/>
      </c>
      <c r="B2160" s="31" t="str">
        <f>IF(Table!B2160 = "","",Table!B2160)</f>
        <v/>
      </c>
      <c r="C2160" s="31" t="str">
        <f>IF(Table!C2160 = "","",Table!C2160)</f>
        <v/>
      </c>
      <c r="D2160" s="32" t="str">
        <f>IF(Table!D2160 = "","",Table!D2160)</f>
        <v/>
      </c>
      <c r="E2160" s="32" t="str">
        <f>IF(Table!E2160 = "","",Table!E2160)</f>
        <v/>
      </c>
      <c r="F2160" s="32" t="str">
        <f>IF(Table!F2160 = "","",Table!F2160)</f>
        <v/>
      </c>
      <c r="G2160" s="91"/>
      <c r="K2160" s="31" t="str">
        <f>IFERROR(VLOOKUP(A2160,Table!$I$4:$O$3000,1,TRUE),"")</f>
        <v/>
      </c>
      <c r="L2160" s="31" t="str">
        <f>IFERROR(INDEX(Table!I:O,MATCH(K2160,Table!I:I,0),2),"")</f>
        <v/>
      </c>
      <c r="M2160" s="31" t="str">
        <f>IFERROR(INDEX(Table!I:O,MATCH(K2160,Table!I:I,0),3),"")</f>
        <v/>
      </c>
      <c r="N2160" s="32" t="str">
        <f>IFERROR(INDEX(Table!I:O,MATCH(K2160,Table!I:I,0),4),"")</f>
        <v/>
      </c>
      <c r="O2160" s="32" t="str">
        <f>IFERROR(INDEX(Table!I:O,MATCH(K2160,Table!I:I,0),5),"")</f>
        <v/>
      </c>
      <c r="P2160" s="32" t="str">
        <f>IFERROR(INDEX(Table!I:O,MATCH(K2160,Table!I:I,0),6),"")</f>
        <v/>
      </c>
      <c r="Q2160" s="89" t="str">
        <f t="shared" si="99"/>
        <v/>
      </c>
      <c r="R2160" s="89" t="str">
        <f t="shared" si="100"/>
        <v/>
      </c>
      <c r="S2160" s="82"/>
      <c r="U2160" s="37"/>
    </row>
    <row r="2161" spans="1:21" x14ac:dyDescent="0.25">
      <c r="A2161" s="31" t="str">
        <f>IF(Table!A2161 = "","",Table!A2161)</f>
        <v/>
      </c>
      <c r="B2161" s="31" t="str">
        <f>IF(Table!B2161 = "","",Table!B2161)</f>
        <v/>
      </c>
      <c r="C2161" s="31" t="str">
        <f>IF(Table!C2161 = "","",Table!C2161)</f>
        <v/>
      </c>
      <c r="D2161" s="32" t="str">
        <f>IF(Table!D2161 = "","",Table!D2161)</f>
        <v/>
      </c>
      <c r="E2161" s="32" t="str">
        <f>IF(Table!E2161 = "","",Table!E2161)</f>
        <v/>
      </c>
      <c r="F2161" s="32" t="str">
        <f>IF(Table!F2161 = "","",Table!F2161)</f>
        <v/>
      </c>
      <c r="G2161" s="91"/>
      <c r="K2161" s="31" t="str">
        <f>IFERROR(VLOOKUP(A2161,Table!$I$4:$O$3000,1,TRUE),"")</f>
        <v/>
      </c>
      <c r="L2161" s="31" t="str">
        <f>IFERROR(INDEX(Table!I:O,MATCH(K2161,Table!I:I,0),2),"")</f>
        <v/>
      </c>
      <c r="M2161" s="31" t="str">
        <f>IFERROR(INDEX(Table!I:O,MATCH(K2161,Table!I:I,0),3),"")</f>
        <v/>
      </c>
      <c r="N2161" s="32" t="str">
        <f>IFERROR(INDEX(Table!I:O,MATCH(K2161,Table!I:I,0),4),"")</f>
        <v/>
      </c>
      <c r="O2161" s="32" t="str">
        <f>IFERROR(INDEX(Table!I:O,MATCH(K2161,Table!I:I,0),5),"")</f>
        <v/>
      </c>
      <c r="P2161" s="32" t="str">
        <f>IFERROR(INDEX(Table!I:O,MATCH(K2161,Table!I:I,0),6),"")</f>
        <v/>
      </c>
      <c r="Q2161" s="89" t="str">
        <f t="shared" si="99"/>
        <v/>
      </c>
      <c r="R2161" s="89" t="str">
        <f t="shared" si="100"/>
        <v/>
      </c>
      <c r="S2161" s="82"/>
      <c r="U2161" s="37"/>
    </row>
    <row r="2162" spans="1:21" x14ac:dyDescent="0.25">
      <c r="A2162" s="31" t="str">
        <f>IF(Table!A2162 = "","",Table!A2162)</f>
        <v/>
      </c>
      <c r="B2162" s="31" t="str">
        <f>IF(Table!B2162 = "","",Table!B2162)</f>
        <v/>
      </c>
      <c r="C2162" s="31" t="str">
        <f>IF(Table!C2162 = "","",Table!C2162)</f>
        <v/>
      </c>
      <c r="D2162" s="32" t="str">
        <f>IF(Table!D2162 = "","",Table!D2162)</f>
        <v/>
      </c>
      <c r="E2162" s="32" t="str">
        <f>IF(Table!E2162 = "","",Table!E2162)</f>
        <v/>
      </c>
      <c r="F2162" s="32" t="str">
        <f>IF(Table!F2162 = "","",Table!F2162)</f>
        <v/>
      </c>
      <c r="G2162" s="91"/>
      <c r="K2162" s="31" t="str">
        <f>IFERROR(VLOOKUP(A2162,Table!$I$4:$O$3000,1,TRUE),"")</f>
        <v/>
      </c>
      <c r="L2162" s="31" t="str">
        <f>IFERROR(INDEX(Table!I:O,MATCH(K2162,Table!I:I,0),2),"")</f>
        <v/>
      </c>
      <c r="M2162" s="31" t="str">
        <f>IFERROR(INDEX(Table!I:O,MATCH(K2162,Table!I:I,0),3),"")</f>
        <v/>
      </c>
      <c r="N2162" s="32" t="str">
        <f>IFERROR(INDEX(Table!I:O,MATCH(K2162,Table!I:I,0),4),"")</f>
        <v/>
      </c>
      <c r="O2162" s="32" t="str">
        <f>IFERROR(INDEX(Table!I:O,MATCH(K2162,Table!I:I,0),5),"")</f>
        <v/>
      </c>
      <c r="P2162" s="32" t="str">
        <f>IFERROR(INDEX(Table!I:O,MATCH(K2162,Table!I:I,0),6),"")</f>
        <v/>
      </c>
      <c r="Q2162" s="89" t="str">
        <f t="shared" si="99"/>
        <v/>
      </c>
      <c r="R2162" s="89" t="str">
        <f t="shared" si="100"/>
        <v/>
      </c>
      <c r="S2162" s="82"/>
      <c r="U2162" s="37"/>
    </row>
    <row r="2163" spans="1:21" x14ac:dyDescent="0.25">
      <c r="A2163" s="31" t="str">
        <f>IF(Table!A2163 = "","",Table!A2163)</f>
        <v/>
      </c>
      <c r="B2163" s="31" t="str">
        <f>IF(Table!B2163 = "","",Table!B2163)</f>
        <v/>
      </c>
      <c r="C2163" s="31" t="str">
        <f>IF(Table!C2163 = "","",Table!C2163)</f>
        <v/>
      </c>
      <c r="D2163" s="32" t="str">
        <f>IF(Table!D2163 = "","",Table!D2163)</f>
        <v/>
      </c>
      <c r="E2163" s="32" t="str">
        <f>IF(Table!E2163 = "","",Table!E2163)</f>
        <v/>
      </c>
      <c r="F2163" s="32" t="str">
        <f>IF(Table!F2163 = "","",Table!F2163)</f>
        <v/>
      </c>
      <c r="G2163" s="91"/>
      <c r="K2163" s="31" t="str">
        <f>IFERROR(VLOOKUP(A2163,Table!$I$4:$O$3000,1,TRUE),"")</f>
        <v/>
      </c>
      <c r="L2163" s="31" t="str">
        <f>IFERROR(INDEX(Table!I:O,MATCH(K2163,Table!I:I,0),2),"")</f>
        <v/>
      </c>
      <c r="M2163" s="31" t="str">
        <f>IFERROR(INDEX(Table!I:O,MATCH(K2163,Table!I:I,0),3),"")</f>
        <v/>
      </c>
      <c r="N2163" s="32" t="str">
        <f>IFERROR(INDEX(Table!I:O,MATCH(K2163,Table!I:I,0),4),"")</f>
        <v/>
      </c>
      <c r="O2163" s="32" t="str">
        <f>IFERROR(INDEX(Table!I:O,MATCH(K2163,Table!I:I,0),5),"")</f>
        <v/>
      </c>
      <c r="P2163" s="32" t="str">
        <f>IFERROR(INDEX(Table!I:O,MATCH(K2163,Table!I:I,0),6),"")</f>
        <v/>
      </c>
      <c r="Q2163" s="89" t="str">
        <f t="shared" si="99"/>
        <v/>
      </c>
      <c r="R2163" s="89" t="str">
        <f t="shared" si="100"/>
        <v/>
      </c>
      <c r="S2163" s="82"/>
      <c r="U2163" s="37"/>
    </row>
    <row r="2164" spans="1:21" x14ac:dyDescent="0.25">
      <c r="A2164" s="31" t="str">
        <f>IF(Table!A2164 = "","",Table!A2164)</f>
        <v/>
      </c>
      <c r="B2164" s="31" t="str">
        <f>IF(Table!B2164 = "","",Table!B2164)</f>
        <v/>
      </c>
      <c r="C2164" s="31" t="str">
        <f>IF(Table!C2164 = "","",Table!C2164)</f>
        <v/>
      </c>
      <c r="D2164" s="32" t="str">
        <f>IF(Table!D2164 = "","",Table!D2164)</f>
        <v/>
      </c>
      <c r="E2164" s="32" t="str">
        <f>IF(Table!E2164 = "","",Table!E2164)</f>
        <v/>
      </c>
      <c r="F2164" s="32" t="str">
        <f>IF(Table!F2164 = "","",Table!F2164)</f>
        <v/>
      </c>
      <c r="G2164" s="91"/>
      <c r="K2164" s="31" t="str">
        <f>IFERROR(VLOOKUP(A2164,Table!$I$4:$O$3000,1,TRUE),"")</f>
        <v/>
      </c>
      <c r="L2164" s="31" t="str">
        <f>IFERROR(INDEX(Table!I:O,MATCH(K2164,Table!I:I,0),2),"")</f>
        <v/>
      </c>
      <c r="M2164" s="31" t="str">
        <f>IFERROR(INDEX(Table!I:O,MATCH(K2164,Table!I:I,0),3),"")</f>
        <v/>
      </c>
      <c r="N2164" s="32" t="str">
        <f>IFERROR(INDEX(Table!I:O,MATCH(K2164,Table!I:I,0),4),"")</f>
        <v/>
      </c>
      <c r="O2164" s="32" t="str">
        <f>IFERROR(INDEX(Table!I:O,MATCH(K2164,Table!I:I,0),5),"")</f>
        <v/>
      </c>
      <c r="P2164" s="32" t="str">
        <f>IFERROR(INDEX(Table!I:O,MATCH(K2164,Table!I:I,0),6),"")</f>
        <v/>
      </c>
      <c r="Q2164" s="89" t="str">
        <f t="shared" si="99"/>
        <v/>
      </c>
      <c r="R2164" s="89" t="str">
        <f t="shared" si="100"/>
        <v/>
      </c>
      <c r="S2164" s="82"/>
      <c r="U2164" s="37"/>
    </row>
    <row r="2165" spans="1:21" x14ac:dyDescent="0.25">
      <c r="A2165" s="31" t="str">
        <f>IF(Table!A2165 = "","",Table!A2165)</f>
        <v/>
      </c>
      <c r="B2165" s="31" t="str">
        <f>IF(Table!B2165 = "","",Table!B2165)</f>
        <v/>
      </c>
      <c r="C2165" s="31" t="str">
        <f>IF(Table!C2165 = "","",Table!C2165)</f>
        <v/>
      </c>
      <c r="D2165" s="32" t="str">
        <f>IF(Table!D2165 = "","",Table!D2165)</f>
        <v/>
      </c>
      <c r="E2165" s="32" t="str">
        <f>IF(Table!E2165 = "","",Table!E2165)</f>
        <v/>
      </c>
      <c r="F2165" s="32" t="str">
        <f>IF(Table!F2165 = "","",Table!F2165)</f>
        <v/>
      </c>
      <c r="G2165" s="91"/>
      <c r="K2165" s="31" t="str">
        <f>IFERROR(VLOOKUP(A2165,Table!$I$4:$O$3000,1,TRUE),"")</f>
        <v/>
      </c>
      <c r="L2165" s="31" t="str">
        <f>IFERROR(INDEX(Table!I:O,MATCH(K2165,Table!I:I,0),2),"")</f>
        <v/>
      </c>
      <c r="M2165" s="31" t="str">
        <f>IFERROR(INDEX(Table!I:O,MATCH(K2165,Table!I:I,0),3),"")</f>
        <v/>
      </c>
      <c r="N2165" s="32" t="str">
        <f>IFERROR(INDEX(Table!I:O,MATCH(K2165,Table!I:I,0),4),"")</f>
        <v/>
      </c>
      <c r="O2165" s="32" t="str">
        <f>IFERROR(INDEX(Table!I:O,MATCH(K2165,Table!I:I,0),5),"")</f>
        <v/>
      </c>
      <c r="P2165" s="32" t="str">
        <f>IFERROR(INDEX(Table!I:O,MATCH(K2165,Table!I:I,0),6),"")</f>
        <v/>
      </c>
      <c r="Q2165" s="89" t="str">
        <f t="shared" si="99"/>
        <v/>
      </c>
      <c r="R2165" s="89" t="str">
        <f t="shared" si="100"/>
        <v/>
      </c>
      <c r="S2165" s="82"/>
      <c r="U2165" s="37"/>
    </row>
    <row r="2166" spans="1:21" x14ac:dyDescent="0.25">
      <c r="A2166" s="31" t="str">
        <f>IF(Table!A2166 = "","",Table!A2166)</f>
        <v/>
      </c>
      <c r="B2166" s="31" t="str">
        <f>IF(Table!B2166 = "","",Table!B2166)</f>
        <v/>
      </c>
      <c r="C2166" s="31" t="str">
        <f>IF(Table!C2166 = "","",Table!C2166)</f>
        <v/>
      </c>
      <c r="D2166" s="32" t="str">
        <f>IF(Table!D2166 = "","",Table!D2166)</f>
        <v/>
      </c>
      <c r="E2166" s="32" t="str">
        <f>IF(Table!E2166 = "","",Table!E2166)</f>
        <v/>
      </c>
      <c r="F2166" s="32" t="str">
        <f>IF(Table!F2166 = "","",Table!F2166)</f>
        <v/>
      </c>
      <c r="G2166" s="91"/>
      <c r="K2166" s="31" t="str">
        <f>IFERROR(VLOOKUP(A2166,Table!$I$4:$O$3000,1,TRUE),"")</f>
        <v/>
      </c>
      <c r="L2166" s="31" t="str">
        <f>IFERROR(INDEX(Table!I:O,MATCH(K2166,Table!I:I,0),2),"")</f>
        <v/>
      </c>
      <c r="M2166" s="31" t="str">
        <f>IFERROR(INDEX(Table!I:O,MATCH(K2166,Table!I:I,0),3),"")</f>
        <v/>
      </c>
      <c r="N2166" s="32" t="str">
        <f>IFERROR(INDEX(Table!I:O,MATCH(K2166,Table!I:I,0),4),"")</f>
        <v/>
      </c>
      <c r="O2166" s="32" t="str">
        <f>IFERROR(INDEX(Table!I:O,MATCH(K2166,Table!I:I,0),5),"")</f>
        <v/>
      </c>
      <c r="P2166" s="32" t="str">
        <f>IFERROR(INDEX(Table!I:O,MATCH(K2166,Table!I:I,0),6),"")</f>
        <v/>
      </c>
      <c r="Q2166" s="89" t="str">
        <f t="shared" si="99"/>
        <v/>
      </c>
      <c r="R2166" s="89" t="str">
        <f t="shared" si="100"/>
        <v/>
      </c>
      <c r="S2166" s="82"/>
      <c r="U2166" s="37"/>
    </row>
    <row r="2167" spans="1:21" x14ac:dyDescent="0.25">
      <c r="A2167" s="31" t="str">
        <f>IF(Table!A2167 = "","",Table!A2167)</f>
        <v/>
      </c>
      <c r="B2167" s="31" t="str">
        <f>IF(Table!B2167 = "","",Table!B2167)</f>
        <v/>
      </c>
      <c r="C2167" s="31" t="str">
        <f>IF(Table!C2167 = "","",Table!C2167)</f>
        <v/>
      </c>
      <c r="D2167" s="32" t="str">
        <f>IF(Table!D2167 = "","",Table!D2167)</f>
        <v/>
      </c>
      <c r="E2167" s="32" t="str">
        <f>IF(Table!E2167 = "","",Table!E2167)</f>
        <v/>
      </c>
      <c r="F2167" s="32" t="str">
        <f>IF(Table!F2167 = "","",Table!F2167)</f>
        <v/>
      </c>
      <c r="G2167" s="91"/>
      <c r="K2167" s="31" t="str">
        <f>IFERROR(VLOOKUP(A2167,Table!$I$4:$O$3000,1,TRUE),"")</f>
        <v/>
      </c>
      <c r="L2167" s="31" t="str">
        <f>IFERROR(INDEX(Table!I:O,MATCH(K2167,Table!I:I,0),2),"")</f>
        <v/>
      </c>
      <c r="M2167" s="31" t="str">
        <f>IFERROR(INDEX(Table!I:O,MATCH(K2167,Table!I:I,0),3),"")</f>
        <v/>
      </c>
      <c r="N2167" s="32" t="str">
        <f>IFERROR(INDEX(Table!I:O,MATCH(K2167,Table!I:I,0),4),"")</f>
        <v/>
      </c>
      <c r="O2167" s="32" t="str">
        <f>IFERROR(INDEX(Table!I:O,MATCH(K2167,Table!I:I,0),5),"")</f>
        <v/>
      </c>
      <c r="P2167" s="32" t="str">
        <f>IFERROR(INDEX(Table!I:O,MATCH(K2167,Table!I:I,0),6),"")</f>
        <v/>
      </c>
      <c r="Q2167" s="89" t="str">
        <f t="shared" si="99"/>
        <v/>
      </c>
      <c r="R2167" s="89" t="str">
        <f t="shared" si="100"/>
        <v/>
      </c>
      <c r="S2167" s="82"/>
      <c r="U2167" s="37"/>
    </row>
    <row r="2168" spans="1:21" x14ac:dyDescent="0.25">
      <c r="A2168" s="31" t="str">
        <f>IF(Table!A2168 = "","",Table!A2168)</f>
        <v/>
      </c>
      <c r="B2168" s="31" t="str">
        <f>IF(Table!B2168 = "","",Table!B2168)</f>
        <v/>
      </c>
      <c r="C2168" s="31" t="str">
        <f>IF(Table!C2168 = "","",Table!C2168)</f>
        <v/>
      </c>
      <c r="D2168" s="32" t="str">
        <f>IF(Table!D2168 = "","",Table!D2168)</f>
        <v/>
      </c>
      <c r="E2168" s="32" t="str">
        <f>IF(Table!E2168 = "","",Table!E2168)</f>
        <v/>
      </c>
      <c r="F2168" s="32" t="str">
        <f>IF(Table!F2168 = "","",Table!F2168)</f>
        <v/>
      </c>
      <c r="G2168" s="91"/>
      <c r="K2168" s="31" t="str">
        <f>IFERROR(VLOOKUP(A2168,Table!$I$4:$O$3000,1,TRUE),"")</f>
        <v/>
      </c>
      <c r="L2168" s="31" t="str">
        <f>IFERROR(INDEX(Table!I:O,MATCH(K2168,Table!I:I,0),2),"")</f>
        <v/>
      </c>
      <c r="M2168" s="31" t="str">
        <f>IFERROR(INDEX(Table!I:O,MATCH(K2168,Table!I:I,0),3),"")</f>
        <v/>
      </c>
      <c r="N2168" s="32" t="str">
        <f>IFERROR(INDEX(Table!I:O,MATCH(K2168,Table!I:I,0),4),"")</f>
        <v/>
      </c>
      <c r="O2168" s="32" t="str">
        <f>IFERROR(INDEX(Table!I:O,MATCH(K2168,Table!I:I,0),5),"")</f>
        <v/>
      </c>
      <c r="P2168" s="32" t="str">
        <f>IFERROR(INDEX(Table!I:O,MATCH(K2168,Table!I:I,0),6),"")</f>
        <v/>
      </c>
      <c r="Q2168" s="89" t="str">
        <f t="shared" si="99"/>
        <v/>
      </c>
      <c r="R2168" s="89" t="str">
        <f t="shared" si="100"/>
        <v/>
      </c>
      <c r="S2168" s="82"/>
      <c r="U2168" s="37"/>
    </row>
    <row r="2169" spans="1:21" x14ac:dyDescent="0.25">
      <c r="A2169" s="31" t="str">
        <f>IF(Table!A2169 = "","",Table!A2169)</f>
        <v/>
      </c>
      <c r="B2169" s="31" t="str">
        <f>IF(Table!B2169 = "","",Table!B2169)</f>
        <v/>
      </c>
      <c r="C2169" s="31" t="str">
        <f>IF(Table!C2169 = "","",Table!C2169)</f>
        <v/>
      </c>
      <c r="D2169" s="32" t="str">
        <f>IF(Table!D2169 = "","",Table!D2169)</f>
        <v/>
      </c>
      <c r="E2169" s="32" t="str">
        <f>IF(Table!E2169 = "","",Table!E2169)</f>
        <v/>
      </c>
      <c r="F2169" s="32" t="str">
        <f>IF(Table!F2169 = "","",Table!F2169)</f>
        <v/>
      </c>
      <c r="G2169" s="91"/>
      <c r="K2169" s="31" t="str">
        <f>IFERROR(VLOOKUP(A2169,Table!$I$4:$O$3000,1,TRUE),"")</f>
        <v/>
      </c>
      <c r="L2169" s="31" t="str">
        <f>IFERROR(INDEX(Table!I:O,MATCH(K2169,Table!I:I,0),2),"")</f>
        <v/>
      </c>
      <c r="M2169" s="31" t="str">
        <f>IFERROR(INDEX(Table!I:O,MATCH(K2169,Table!I:I,0),3),"")</f>
        <v/>
      </c>
      <c r="N2169" s="32" t="str">
        <f>IFERROR(INDEX(Table!I:O,MATCH(K2169,Table!I:I,0),4),"")</f>
        <v/>
      </c>
      <c r="O2169" s="32" t="str">
        <f>IFERROR(INDEX(Table!I:O,MATCH(K2169,Table!I:I,0),5),"")</f>
        <v/>
      </c>
      <c r="P2169" s="32" t="str">
        <f>IFERROR(INDEX(Table!I:O,MATCH(K2169,Table!I:I,0),6),"")</f>
        <v/>
      </c>
      <c r="Q2169" s="89" t="str">
        <f t="shared" si="99"/>
        <v/>
      </c>
      <c r="R2169" s="89" t="str">
        <f t="shared" si="100"/>
        <v/>
      </c>
      <c r="S2169" s="82"/>
      <c r="U2169" s="37"/>
    </row>
    <row r="2170" spans="1:21" x14ac:dyDescent="0.25">
      <c r="A2170" s="31" t="str">
        <f>IF(Table!A2170 = "","",Table!A2170)</f>
        <v/>
      </c>
      <c r="B2170" s="31" t="str">
        <f>IF(Table!B2170 = "","",Table!B2170)</f>
        <v/>
      </c>
      <c r="C2170" s="31" t="str">
        <f>IF(Table!C2170 = "","",Table!C2170)</f>
        <v/>
      </c>
      <c r="D2170" s="32" t="str">
        <f>IF(Table!D2170 = "","",Table!D2170)</f>
        <v/>
      </c>
      <c r="E2170" s="32" t="str">
        <f>IF(Table!E2170 = "","",Table!E2170)</f>
        <v/>
      </c>
      <c r="F2170" s="32" t="str">
        <f>IF(Table!F2170 = "","",Table!F2170)</f>
        <v/>
      </c>
      <c r="G2170" s="91"/>
      <c r="K2170" s="31" t="str">
        <f>IFERROR(VLOOKUP(A2170,Table!$I$4:$O$3000,1,TRUE),"")</f>
        <v/>
      </c>
      <c r="L2170" s="31" t="str">
        <f>IFERROR(INDEX(Table!I:O,MATCH(K2170,Table!I:I,0),2),"")</f>
        <v/>
      </c>
      <c r="M2170" s="31" t="str">
        <f>IFERROR(INDEX(Table!I:O,MATCH(K2170,Table!I:I,0),3),"")</f>
        <v/>
      </c>
      <c r="N2170" s="32" t="str">
        <f>IFERROR(INDEX(Table!I:O,MATCH(K2170,Table!I:I,0),4),"")</f>
        <v/>
      </c>
      <c r="O2170" s="32" t="str">
        <f>IFERROR(INDEX(Table!I:O,MATCH(K2170,Table!I:I,0),5),"")</f>
        <v/>
      </c>
      <c r="P2170" s="32" t="str">
        <f>IFERROR(INDEX(Table!I:O,MATCH(K2170,Table!I:I,0),6),"")</f>
        <v/>
      </c>
      <c r="Q2170" s="89" t="str">
        <f t="shared" si="99"/>
        <v/>
      </c>
      <c r="R2170" s="89" t="str">
        <f t="shared" si="100"/>
        <v/>
      </c>
      <c r="S2170" s="82"/>
      <c r="U2170" s="37"/>
    </row>
    <row r="2171" spans="1:21" x14ac:dyDescent="0.25">
      <c r="A2171" s="31" t="str">
        <f>IF(Table!A2171 = "","",Table!A2171)</f>
        <v/>
      </c>
      <c r="B2171" s="31" t="str">
        <f>IF(Table!B2171 = "","",Table!B2171)</f>
        <v/>
      </c>
      <c r="C2171" s="31" t="str">
        <f>IF(Table!C2171 = "","",Table!C2171)</f>
        <v/>
      </c>
      <c r="D2171" s="32" t="str">
        <f>IF(Table!D2171 = "","",Table!D2171)</f>
        <v/>
      </c>
      <c r="E2171" s="32" t="str">
        <f>IF(Table!E2171 = "","",Table!E2171)</f>
        <v/>
      </c>
      <c r="F2171" s="32" t="str">
        <f>IF(Table!F2171 = "","",Table!F2171)</f>
        <v/>
      </c>
      <c r="G2171" s="91"/>
      <c r="K2171" s="31" t="str">
        <f>IFERROR(VLOOKUP(A2171,Table!$I$4:$O$3000,1,TRUE),"")</f>
        <v/>
      </c>
      <c r="L2171" s="31" t="str">
        <f>IFERROR(INDEX(Table!I:O,MATCH(K2171,Table!I:I,0),2),"")</f>
        <v/>
      </c>
      <c r="M2171" s="31" t="str">
        <f>IFERROR(INDEX(Table!I:O,MATCH(K2171,Table!I:I,0),3),"")</f>
        <v/>
      </c>
      <c r="N2171" s="32" t="str">
        <f>IFERROR(INDEX(Table!I:O,MATCH(K2171,Table!I:I,0),4),"")</f>
        <v/>
      </c>
      <c r="O2171" s="32" t="str">
        <f>IFERROR(INDEX(Table!I:O,MATCH(K2171,Table!I:I,0),5),"")</f>
        <v/>
      </c>
      <c r="P2171" s="32" t="str">
        <f>IFERROR(INDEX(Table!I:O,MATCH(K2171,Table!I:I,0),6),"")</f>
        <v/>
      </c>
      <c r="Q2171" s="89" t="str">
        <f t="shared" si="99"/>
        <v/>
      </c>
      <c r="R2171" s="89" t="str">
        <f t="shared" si="100"/>
        <v/>
      </c>
      <c r="S2171" s="82"/>
      <c r="U2171" s="37"/>
    </row>
    <row r="2172" spans="1:21" x14ac:dyDescent="0.25">
      <c r="A2172" s="31" t="str">
        <f>IF(Table!A2172 = "","",Table!A2172)</f>
        <v/>
      </c>
      <c r="B2172" s="31" t="str">
        <f>IF(Table!B2172 = "","",Table!B2172)</f>
        <v/>
      </c>
      <c r="C2172" s="31" t="str">
        <f>IF(Table!C2172 = "","",Table!C2172)</f>
        <v/>
      </c>
      <c r="D2172" s="32" t="str">
        <f>IF(Table!D2172 = "","",Table!D2172)</f>
        <v/>
      </c>
      <c r="E2172" s="32" t="str">
        <f>IF(Table!E2172 = "","",Table!E2172)</f>
        <v/>
      </c>
      <c r="F2172" s="32" t="str">
        <f>IF(Table!F2172 = "","",Table!F2172)</f>
        <v/>
      </c>
      <c r="G2172" s="91"/>
      <c r="K2172" s="31" t="str">
        <f>IFERROR(VLOOKUP(A2172,Table!$I$4:$O$3000,1,TRUE),"")</f>
        <v/>
      </c>
      <c r="L2172" s="31" t="str">
        <f>IFERROR(INDEX(Table!I:O,MATCH(K2172,Table!I:I,0),2),"")</f>
        <v/>
      </c>
      <c r="M2172" s="31" t="str">
        <f>IFERROR(INDEX(Table!I:O,MATCH(K2172,Table!I:I,0),3),"")</f>
        <v/>
      </c>
      <c r="N2172" s="32" t="str">
        <f>IFERROR(INDEX(Table!I:O,MATCH(K2172,Table!I:I,0),4),"")</f>
        <v/>
      </c>
      <c r="O2172" s="32" t="str">
        <f>IFERROR(INDEX(Table!I:O,MATCH(K2172,Table!I:I,0),5),"")</f>
        <v/>
      </c>
      <c r="P2172" s="32" t="str">
        <f>IFERROR(INDEX(Table!I:O,MATCH(K2172,Table!I:I,0),6),"")</f>
        <v/>
      </c>
      <c r="Q2172" s="89" t="str">
        <f t="shared" si="99"/>
        <v/>
      </c>
      <c r="R2172" s="89" t="str">
        <f t="shared" si="100"/>
        <v/>
      </c>
      <c r="S2172" s="82"/>
      <c r="U2172" s="37"/>
    </row>
    <row r="2173" spans="1:21" x14ac:dyDescent="0.25">
      <c r="A2173" s="31" t="str">
        <f>IF(Table!A2173 = "","",Table!A2173)</f>
        <v/>
      </c>
      <c r="B2173" s="31" t="str">
        <f>IF(Table!B2173 = "","",Table!B2173)</f>
        <v/>
      </c>
      <c r="C2173" s="31" t="str">
        <f>IF(Table!C2173 = "","",Table!C2173)</f>
        <v/>
      </c>
      <c r="D2173" s="32" t="str">
        <f>IF(Table!D2173 = "","",Table!D2173)</f>
        <v/>
      </c>
      <c r="E2173" s="32" t="str">
        <f>IF(Table!E2173 = "","",Table!E2173)</f>
        <v/>
      </c>
      <c r="F2173" s="32" t="str">
        <f>IF(Table!F2173 = "","",Table!F2173)</f>
        <v/>
      </c>
      <c r="G2173" s="91"/>
      <c r="K2173" s="31" t="str">
        <f>IFERROR(VLOOKUP(A2173,Table!$I$4:$O$3000,1,TRUE),"")</f>
        <v/>
      </c>
      <c r="L2173" s="31" t="str">
        <f>IFERROR(INDEX(Table!I:O,MATCH(K2173,Table!I:I,0),2),"")</f>
        <v/>
      </c>
      <c r="M2173" s="31" t="str">
        <f>IFERROR(INDEX(Table!I:O,MATCH(K2173,Table!I:I,0),3),"")</f>
        <v/>
      </c>
      <c r="N2173" s="32" t="str">
        <f>IFERROR(INDEX(Table!I:O,MATCH(K2173,Table!I:I,0),4),"")</f>
        <v/>
      </c>
      <c r="O2173" s="32" t="str">
        <f>IFERROR(INDEX(Table!I:O,MATCH(K2173,Table!I:I,0),5),"")</f>
        <v/>
      </c>
      <c r="P2173" s="32" t="str">
        <f>IFERROR(INDEX(Table!I:O,MATCH(K2173,Table!I:I,0),6),"")</f>
        <v/>
      </c>
      <c r="Q2173" s="89" t="str">
        <f t="shared" si="99"/>
        <v/>
      </c>
      <c r="R2173" s="89" t="str">
        <f t="shared" si="100"/>
        <v/>
      </c>
      <c r="S2173" s="82"/>
      <c r="U2173" s="37"/>
    </row>
    <row r="2174" spans="1:21" x14ac:dyDescent="0.25">
      <c r="A2174" s="31" t="str">
        <f>IF(Table!A2174 = "","",Table!A2174)</f>
        <v/>
      </c>
      <c r="B2174" s="31" t="str">
        <f>IF(Table!B2174 = "","",Table!B2174)</f>
        <v/>
      </c>
      <c r="C2174" s="31" t="str">
        <f>IF(Table!C2174 = "","",Table!C2174)</f>
        <v/>
      </c>
      <c r="D2174" s="32" t="str">
        <f>IF(Table!D2174 = "","",Table!D2174)</f>
        <v/>
      </c>
      <c r="E2174" s="32" t="str">
        <f>IF(Table!E2174 = "","",Table!E2174)</f>
        <v/>
      </c>
      <c r="F2174" s="32" t="str">
        <f>IF(Table!F2174 = "","",Table!F2174)</f>
        <v/>
      </c>
      <c r="G2174" s="91"/>
      <c r="K2174" s="31" t="str">
        <f>IFERROR(VLOOKUP(A2174,Table!$I$4:$O$3000,1,TRUE),"")</f>
        <v/>
      </c>
      <c r="L2174" s="31" t="str">
        <f>IFERROR(INDEX(Table!I:O,MATCH(K2174,Table!I:I,0),2),"")</f>
        <v/>
      </c>
      <c r="M2174" s="31" t="str">
        <f>IFERROR(INDEX(Table!I:O,MATCH(K2174,Table!I:I,0),3),"")</f>
        <v/>
      </c>
      <c r="N2174" s="32" t="str">
        <f>IFERROR(INDEX(Table!I:O,MATCH(K2174,Table!I:I,0),4),"")</f>
        <v/>
      </c>
      <c r="O2174" s="32" t="str">
        <f>IFERROR(INDEX(Table!I:O,MATCH(K2174,Table!I:I,0),5),"")</f>
        <v/>
      </c>
      <c r="P2174" s="32" t="str">
        <f>IFERROR(INDEX(Table!I:O,MATCH(K2174,Table!I:I,0),6),"")</f>
        <v/>
      </c>
      <c r="Q2174" s="89" t="str">
        <f t="shared" si="99"/>
        <v/>
      </c>
      <c r="R2174" s="89" t="str">
        <f t="shared" si="100"/>
        <v/>
      </c>
      <c r="S2174" s="82"/>
      <c r="U2174" s="37"/>
    </row>
    <row r="2175" spans="1:21" x14ac:dyDescent="0.25">
      <c r="A2175" s="31" t="str">
        <f>IF(Table!A2175 = "","",Table!A2175)</f>
        <v/>
      </c>
      <c r="B2175" s="31" t="str">
        <f>IF(Table!B2175 = "","",Table!B2175)</f>
        <v/>
      </c>
      <c r="C2175" s="31" t="str">
        <f>IF(Table!C2175 = "","",Table!C2175)</f>
        <v/>
      </c>
      <c r="D2175" s="32" t="str">
        <f>IF(Table!D2175 = "","",Table!D2175)</f>
        <v/>
      </c>
      <c r="E2175" s="32" t="str">
        <f>IF(Table!E2175 = "","",Table!E2175)</f>
        <v/>
      </c>
      <c r="F2175" s="32" t="str">
        <f>IF(Table!F2175 = "","",Table!F2175)</f>
        <v/>
      </c>
      <c r="G2175" s="91"/>
      <c r="K2175" s="31" t="str">
        <f>IFERROR(VLOOKUP(A2175,Table!$I$4:$O$3000,1,TRUE),"")</f>
        <v/>
      </c>
      <c r="L2175" s="31" t="str">
        <f>IFERROR(INDEX(Table!I:O,MATCH(K2175,Table!I:I,0),2),"")</f>
        <v/>
      </c>
      <c r="M2175" s="31" t="str">
        <f>IFERROR(INDEX(Table!I:O,MATCH(K2175,Table!I:I,0),3),"")</f>
        <v/>
      </c>
      <c r="N2175" s="32" t="str">
        <f>IFERROR(INDEX(Table!I:O,MATCH(K2175,Table!I:I,0),4),"")</f>
        <v/>
      </c>
      <c r="O2175" s="32" t="str">
        <f>IFERROR(INDEX(Table!I:O,MATCH(K2175,Table!I:I,0),5),"")</f>
        <v/>
      </c>
      <c r="P2175" s="32" t="str">
        <f>IFERROR(INDEX(Table!I:O,MATCH(K2175,Table!I:I,0),6),"")</f>
        <v/>
      </c>
      <c r="Q2175" s="89" t="str">
        <f t="shared" si="99"/>
        <v/>
      </c>
      <c r="R2175" s="89" t="str">
        <f t="shared" si="100"/>
        <v/>
      </c>
      <c r="S2175" s="82"/>
      <c r="U2175" s="37"/>
    </row>
    <row r="2176" spans="1:21" x14ac:dyDescent="0.25">
      <c r="A2176" s="31" t="str">
        <f>IF(Table!A2176 = "","",Table!A2176)</f>
        <v/>
      </c>
      <c r="B2176" s="31" t="str">
        <f>IF(Table!B2176 = "","",Table!B2176)</f>
        <v/>
      </c>
      <c r="C2176" s="31" t="str">
        <f>IF(Table!C2176 = "","",Table!C2176)</f>
        <v/>
      </c>
      <c r="D2176" s="32" t="str">
        <f>IF(Table!D2176 = "","",Table!D2176)</f>
        <v/>
      </c>
      <c r="E2176" s="32" t="str">
        <f>IF(Table!E2176 = "","",Table!E2176)</f>
        <v/>
      </c>
      <c r="F2176" s="32" t="str">
        <f>IF(Table!F2176 = "","",Table!F2176)</f>
        <v/>
      </c>
      <c r="G2176" s="91"/>
      <c r="K2176" s="31" t="str">
        <f>IFERROR(VLOOKUP(A2176,Table!$I$4:$O$3000,1,TRUE),"")</f>
        <v/>
      </c>
      <c r="L2176" s="31" t="str">
        <f>IFERROR(INDEX(Table!I:O,MATCH(K2176,Table!I:I,0),2),"")</f>
        <v/>
      </c>
      <c r="M2176" s="31" t="str">
        <f>IFERROR(INDEX(Table!I:O,MATCH(K2176,Table!I:I,0),3),"")</f>
        <v/>
      </c>
      <c r="N2176" s="32" t="str">
        <f>IFERROR(INDEX(Table!I:O,MATCH(K2176,Table!I:I,0),4),"")</f>
        <v/>
      </c>
      <c r="O2176" s="32" t="str">
        <f>IFERROR(INDEX(Table!I:O,MATCH(K2176,Table!I:I,0),5),"")</f>
        <v/>
      </c>
      <c r="P2176" s="32" t="str">
        <f>IFERROR(INDEX(Table!I:O,MATCH(K2176,Table!I:I,0),6),"")</f>
        <v/>
      </c>
      <c r="Q2176" s="89" t="str">
        <f t="shared" si="99"/>
        <v/>
      </c>
      <c r="R2176" s="89" t="str">
        <f t="shared" si="100"/>
        <v/>
      </c>
      <c r="S2176" s="82"/>
      <c r="U2176" s="37"/>
    </row>
    <row r="2177" spans="1:21" x14ac:dyDescent="0.25">
      <c r="A2177" s="31" t="str">
        <f>IF(Table!A2177 = "","",Table!A2177)</f>
        <v/>
      </c>
      <c r="B2177" s="31" t="str">
        <f>IF(Table!B2177 = "","",Table!B2177)</f>
        <v/>
      </c>
      <c r="C2177" s="31" t="str">
        <f>IF(Table!C2177 = "","",Table!C2177)</f>
        <v/>
      </c>
      <c r="D2177" s="32" t="str">
        <f>IF(Table!D2177 = "","",Table!D2177)</f>
        <v/>
      </c>
      <c r="E2177" s="32" t="str">
        <f>IF(Table!E2177 = "","",Table!E2177)</f>
        <v/>
      </c>
      <c r="F2177" s="32" t="str">
        <f>IF(Table!F2177 = "","",Table!F2177)</f>
        <v/>
      </c>
      <c r="G2177" s="91"/>
      <c r="K2177" s="31" t="str">
        <f>IFERROR(VLOOKUP(A2177,Table!$I$4:$O$3000,1,TRUE),"")</f>
        <v/>
      </c>
      <c r="L2177" s="31" t="str">
        <f>IFERROR(INDEX(Table!I:O,MATCH(K2177,Table!I:I,0),2),"")</f>
        <v/>
      </c>
      <c r="M2177" s="31" t="str">
        <f>IFERROR(INDEX(Table!I:O,MATCH(K2177,Table!I:I,0),3),"")</f>
        <v/>
      </c>
      <c r="N2177" s="32" t="str">
        <f>IFERROR(INDEX(Table!I:O,MATCH(K2177,Table!I:I,0),4),"")</f>
        <v/>
      </c>
      <c r="O2177" s="32" t="str">
        <f>IFERROR(INDEX(Table!I:O,MATCH(K2177,Table!I:I,0),5),"")</f>
        <v/>
      </c>
      <c r="P2177" s="32" t="str">
        <f>IFERROR(INDEX(Table!I:O,MATCH(K2177,Table!I:I,0),6),"")</f>
        <v/>
      </c>
      <c r="Q2177" s="89" t="str">
        <f t="shared" si="99"/>
        <v/>
      </c>
      <c r="R2177" s="89" t="str">
        <f t="shared" si="100"/>
        <v/>
      </c>
      <c r="S2177" s="82"/>
      <c r="U2177" s="37"/>
    </row>
    <row r="2178" spans="1:21" x14ac:dyDescent="0.25">
      <c r="A2178" s="31" t="str">
        <f>IF(Table!A2178 = "","",Table!A2178)</f>
        <v/>
      </c>
      <c r="B2178" s="31" t="str">
        <f>IF(Table!B2178 = "","",Table!B2178)</f>
        <v/>
      </c>
      <c r="C2178" s="31" t="str">
        <f>IF(Table!C2178 = "","",Table!C2178)</f>
        <v/>
      </c>
      <c r="D2178" s="32" t="str">
        <f>IF(Table!D2178 = "","",Table!D2178)</f>
        <v/>
      </c>
      <c r="E2178" s="32" t="str">
        <f>IF(Table!E2178 = "","",Table!E2178)</f>
        <v/>
      </c>
      <c r="F2178" s="32" t="str">
        <f>IF(Table!F2178 = "","",Table!F2178)</f>
        <v/>
      </c>
      <c r="G2178" s="91"/>
      <c r="K2178" s="31" t="str">
        <f>IFERROR(VLOOKUP(A2178,Table!$I$4:$O$3000,1,TRUE),"")</f>
        <v/>
      </c>
      <c r="L2178" s="31" t="str">
        <f>IFERROR(INDEX(Table!I:O,MATCH(K2178,Table!I:I,0),2),"")</f>
        <v/>
      </c>
      <c r="M2178" s="31" t="str">
        <f>IFERROR(INDEX(Table!I:O,MATCH(K2178,Table!I:I,0),3),"")</f>
        <v/>
      </c>
      <c r="N2178" s="32" t="str">
        <f>IFERROR(INDEX(Table!I:O,MATCH(K2178,Table!I:I,0),4),"")</f>
        <v/>
      </c>
      <c r="O2178" s="32" t="str">
        <f>IFERROR(INDEX(Table!I:O,MATCH(K2178,Table!I:I,0),5),"")</f>
        <v/>
      </c>
      <c r="P2178" s="32" t="str">
        <f>IFERROR(INDEX(Table!I:O,MATCH(K2178,Table!I:I,0),6),"")</f>
        <v/>
      </c>
      <c r="Q2178" s="89" t="str">
        <f t="shared" si="99"/>
        <v/>
      </c>
      <c r="R2178" s="89" t="str">
        <f t="shared" si="100"/>
        <v/>
      </c>
      <c r="S2178" s="82"/>
      <c r="U2178" s="37"/>
    </row>
    <row r="2179" spans="1:21" x14ac:dyDescent="0.25">
      <c r="A2179" s="31" t="str">
        <f>IF(Table!A2179 = "","",Table!A2179)</f>
        <v/>
      </c>
      <c r="B2179" s="31" t="str">
        <f>IF(Table!B2179 = "","",Table!B2179)</f>
        <v/>
      </c>
      <c r="C2179" s="31" t="str">
        <f>IF(Table!C2179 = "","",Table!C2179)</f>
        <v/>
      </c>
      <c r="D2179" s="32" t="str">
        <f>IF(Table!D2179 = "","",Table!D2179)</f>
        <v/>
      </c>
      <c r="E2179" s="32" t="str">
        <f>IF(Table!E2179 = "","",Table!E2179)</f>
        <v/>
      </c>
      <c r="F2179" s="32" t="str">
        <f>IF(Table!F2179 = "","",Table!F2179)</f>
        <v/>
      </c>
      <c r="G2179" s="91"/>
      <c r="K2179" s="31" t="str">
        <f>IFERROR(VLOOKUP(A2179,Table!$I$4:$O$3000,1,TRUE),"")</f>
        <v/>
      </c>
      <c r="L2179" s="31" t="str">
        <f>IFERROR(INDEX(Table!I:O,MATCH(K2179,Table!I:I,0),2),"")</f>
        <v/>
      </c>
      <c r="M2179" s="31" t="str">
        <f>IFERROR(INDEX(Table!I:O,MATCH(K2179,Table!I:I,0),3),"")</f>
        <v/>
      </c>
      <c r="N2179" s="32" t="str">
        <f>IFERROR(INDEX(Table!I:O,MATCH(K2179,Table!I:I,0),4),"")</f>
        <v/>
      </c>
      <c r="O2179" s="32" t="str">
        <f>IFERROR(INDEX(Table!I:O,MATCH(K2179,Table!I:I,0),5),"")</f>
        <v/>
      </c>
      <c r="P2179" s="32" t="str">
        <f>IFERROR(INDEX(Table!I:O,MATCH(K2179,Table!I:I,0),6),"")</f>
        <v/>
      </c>
      <c r="Q2179" s="89" t="str">
        <f t="shared" si="99"/>
        <v/>
      </c>
      <c r="R2179" s="89" t="str">
        <f t="shared" si="100"/>
        <v/>
      </c>
      <c r="S2179" s="82"/>
      <c r="U2179" s="37"/>
    </row>
    <row r="2180" spans="1:21" x14ac:dyDescent="0.25">
      <c r="A2180" s="31" t="str">
        <f>IF(Table!A2180 = "","",Table!A2180)</f>
        <v/>
      </c>
      <c r="B2180" s="31" t="str">
        <f>IF(Table!B2180 = "","",Table!B2180)</f>
        <v/>
      </c>
      <c r="C2180" s="31" t="str">
        <f>IF(Table!C2180 = "","",Table!C2180)</f>
        <v/>
      </c>
      <c r="D2180" s="32" t="str">
        <f>IF(Table!D2180 = "","",Table!D2180)</f>
        <v/>
      </c>
      <c r="E2180" s="32" t="str">
        <f>IF(Table!E2180 = "","",Table!E2180)</f>
        <v/>
      </c>
      <c r="F2180" s="32" t="str">
        <f>IF(Table!F2180 = "","",Table!F2180)</f>
        <v/>
      </c>
      <c r="G2180" s="91"/>
      <c r="K2180" s="31" t="str">
        <f>IFERROR(VLOOKUP(A2180,Table!$I$4:$O$3000,1,TRUE),"")</f>
        <v/>
      </c>
      <c r="L2180" s="31" t="str">
        <f>IFERROR(INDEX(Table!I:O,MATCH(K2180,Table!I:I,0),2),"")</f>
        <v/>
      </c>
      <c r="M2180" s="31" t="str">
        <f>IFERROR(INDEX(Table!I:O,MATCH(K2180,Table!I:I,0),3),"")</f>
        <v/>
      </c>
      <c r="N2180" s="32" t="str">
        <f>IFERROR(INDEX(Table!I:O,MATCH(K2180,Table!I:I,0),4),"")</f>
        <v/>
      </c>
      <c r="O2180" s="32" t="str">
        <f>IFERROR(INDEX(Table!I:O,MATCH(K2180,Table!I:I,0),5),"")</f>
        <v/>
      </c>
      <c r="P2180" s="32" t="str">
        <f>IFERROR(INDEX(Table!I:O,MATCH(K2180,Table!I:I,0),6),"")</f>
        <v/>
      </c>
      <c r="Q2180" s="89" t="str">
        <f t="shared" si="99"/>
        <v/>
      </c>
      <c r="R2180" s="89" t="str">
        <f t="shared" si="100"/>
        <v/>
      </c>
      <c r="S2180" s="82"/>
      <c r="U2180" s="37"/>
    </row>
    <row r="2181" spans="1:21" x14ac:dyDescent="0.25">
      <c r="A2181" s="31" t="str">
        <f>IF(Table!A2181 = "","",Table!A2181)</f>
        <v/>
      </c>
      <c r="B2181" s="31" t="str">
        <f>IF(Table!B2181 = "","",Table!B2181)</f>
        <v/>
      </c>
      <c r="C2181" s="31" t="str">
        <f>IF(Table!C2181 = "","",Table!C2181)</f>
        <v/>
      </c>
      <c r="D2181" s="32" t="str">
        <f>IF(Table!D2181 = "","",Table!D2181)</f>
        <v/>
      </c>
      <c r="E2181" s="32" t="str">
        <f>IF(Table!E2181 = "","",Table!E2181)</f>
        <v/>
      </c>
      <c r="F2181" s="32" t="str">
        <f>IF(Table!F2181 = "","",Table!F2181)</f>
        <v/>
      </c>
      <c r="G2181" s="91"/>
      <c r="K2181" s="31" t="str">
        <f>IFERROR(VLOOKUP(A2181,Table!$I$4:$O$3000,1,TRUE),"")</f>
        <v/>
      </c>
      <c r="L2181" s="31" t="str">
        <f>IFERROR(INDEX(Table!I:O,MATCH(K2181,Table!I:I,0),2),"")</f>
        <v/>
      </c>
      <c r="M2181" s="31" t="str">
        <f>IFERROR(INDEX(Table!I:O,MATCH(K2181,Table!I:I,0),3),"")</f>
        <v/>
      </c>
      <c r="N2181" s="32" t="str">
        <f>IFERROR(INDEX(Table!I:O,MATCH(K2181,Table!I:I,0),4),"")</f>
        <v/>
      </c>
      <c r="O2181" s="32" t="str">
        <f>IFERROR(INDEX(Table!I:O,MATCH(K2181,Table!I:I,0),5),"")</f>
        <v/>
      </c>
      <c r="P2181" s="32" t="str">
        <f>IFERROR(INDEX(Table!I:O,MATCH(K2181,Table!I:I,0),6),"")</f>
        <v/>
      </c>
      <c r="Q2181" s="89" t="str">
        <f t="shared" si="99"/>
        <v/>
      </c>
      <c r="R2181" s="89" t="str">
        <f t="shared" si="100"/>
        <v/>
      </c>
      <c r="S2181" s="82"/>
      <c r="U2181" s="37"/>
    </row>
    <row r="2182" spans="1:21" x14ac:dyDescent="0.25">
      <c r="A2182" s="31" t="str">
        <f>IF(Table!A2182 = "","",Table!A2182)</f>
        <v/>
      </c>
      <c r="B2182" s="31" t="str">
        <f>IF(Table!B2182 = "","",Table!B2182)</f>
        <v/>
      </c>
      <c r="C2182" s="31" t="str">
        <f>IF(Table!C2182 = "","",Table!C2182)</f>
        <v/>
      </c>
      <c r="D2182" s="32" t="str">
        <f>IF(Table!D2182 = "","",Table!D2182)</f>
        <v/>
      </c>
      <c r="E2182" s="32" t="str">
        <f>IF(Table!E2182 = "","",Table!E2182)</f>
        <v/>
      </c>
      <c r="F2182" s="32" t="str">
        <f>IF(Table!F2182 = "","",Table!F2182)</f>
        <v/>
      </c>
      <c r="G2182" s="91"/>
      <c r="K2182" s="31" t="str">
        <f>IFERROR(VLOOKUP(A2182,Table!$I$4:$O$3000,1,TRUE),"")</f>
        <v/>
      </c>
      <c r="L2182" s="31" t="str">
        <f>IFERROR(INDEX(Table!I:O,MATCH(K2182,Table!I:I,0),2),"")</f>
        <v/>
      </c>
      <c r="M2182" s="31" t="str">
        <f>IFERROR(INDEX(Table!I:O,MATCH(K2182,Table!I:I,0),3),"")</f>
        <v/>
      </c>
      <c r="N2182" s="32" t="str">
        <f>IFERROR(INDEX(Table!I:O,MATCH(K2182,Table!I:I,0),4),"")</f>
        <v/>
      </c>
      <c r="O2182" s="32" t="str">
        <f>IFERROR(INDEX(Table!I:O,MATCH(K2182,Table!I:I,0),5),"")</f>
        <v/>
      </c>
      <c r="P2182" s="32" t="str">
        <f>IFERROR(INDEX(Table!I:O,MATCH(K2182,Table!I:I,0),6),"")</f>
        <v/>
      </c>
      <c r="Q2182" s="89" t="str">
        <f t="shared" ref="Q2182:Q2245" si="102">IFERROR(L2182-B2182,"")</f>
        <v/>
      </c>
      <c r="R2182" s="89" t="str">
        <f t="shared" ref="R2182:R2245" si="103">IFERROR(M2182-C2182,"")</f>
        <v/>
      </c>
      <c r="S2182" s="82"/>
      <c r="U2182" s="37"/>
    </row>
    <row r="2183" spans="1:21" x14ac:dyDescent="0.25">
      <c r="A2183" s="31" t="str">
        <f>IF(Table!A2183 = "","",Table!A2183)</f>
        <v/>
      </c>
      <c r="B2183" s="31" t="str">
        <f>IF(Table!B2183 = "","",Table!B2183)</f>
        <v/>
      </c>
      <c r="C2183" s="31" t="str">
        <f>IF(Table!C2183 = "","",Table!C2183)</f>
        <v/>
      </c>
      <c r="D2183" s="32" t="str">
        <f>IF(Table!D2183 = "","",Table!D2183)</f>
        <v/>
      </c>
      <c r="E2183" s="32" t="str">
        <f>IF(Table!E2183 = "","",Table!E2183)</f>
        <v/>
      </c>
      <c r="F2183" s="32" t="str">
        <f>IF(Table!F2183 = "","",Table!F2183)</f>
        <v/>
      </c>
      <c r="G2183" s="91"/>
      <c r="K2183" s="31" t="str">
        <f>IFERROR(VLOOKUP(A2183,Table!$I$4:$O$3000,1,TRUE),"")</f>
        <v/>
      </c>
      <c r="L2183" s="31" t="str">
        <f>IFERROR(INDEX(Table!I:O,MATCH(K2183,Table!I:I,0),2),"")</f>
        <v/>
      </c>
      <c r="M2183" s="31" t="str">
        <f>IFERROR(INDEX(Table!I:O,MATCH(K2183,Table!I:I,0),3),"")</f>
        <v/>
      </c>
      <c r="N2183" s="32" t="str">
        <f>IFERROR(INDEX(Table!I:O,MATCH(K2183,Table!I:I,0),4),"")</f>
        <v/>
      </c>
      <c r="O2183" s="32" t="str">
        <f>IFERROR(INDEX(Table!I:O,MATCH(K2183,Table!I:I,0),5),"")</f>
        <v/>
      </c>
      <c r="P2183" s="32" t="str">
        <f>IFERROR(INDEX(Table!I:O,MATCH(K2183,Table!I:I,0),6),"")</f>
        <v/>
      </c>
      <c r="Q2183" s="89" t="str">
        <f t="shared" si="102"/>
        <v/>
      </c>
      <c r="R2183" s="89" t="str">
        <f t="shared" si="103"/>
        <v/>
      </c>
      <c r="S2183" s="82"/>
      <c r="U2183" s="37"/>
    </row>
    <row r="2184" spans="1:21" x14ac:dyDescent="0.25">
      <c r="A2184" s="31" t="str">
        <f>IF(Table!A2184 = "","",Table!A2184)</f>
        <v/>
      </c>
      <c r="B2184" s="31" t="str">
        <f>IF(Table!B2184 = "","",Table!B2184)</f>
        <v/>
      </c>
      <c r="C2184" s="31" t="str">
        <f>IF(Table!C2184 = "","",Table!C2184)</f>
        <v/>
      </c>
      <c r="D2184" s="32" t="str">
        <f>IF(Table!D2184 = "","",Table!D2184)</f>
        <v/>
      </c>
      <c r="E2184" s="32" t="str">
        <f>IF(Table!E2184 = "","",Table!E2184)</f>
        <v/>
      </c>
      <c r="F2184" s="32" t="str">
        <f>IF(Table!F2184 = "","",Table!F2184)</f>
        <v/>
      </c>
      <c r="G2184" s="91"/>
      <c r="K2184" s="31" t="str">
        <f>IFERROR(VLOOKUP(A2184,Table!$I$4:$O$3000,1,TRUE),"")</f>
        <v/>
      </c>
      <c r="L2184" s="31" t="str">
        <f>IFERROR(INDEX(Table!I:O,MATCH(K2184,Table!I:I,0),2),"")</f>
        <v/>
      </c>
      <c r="M2184" s="31" t="str">
        <f>IFERROR(INDEX(Table!I:O,MATCH(K2184,Table!I:I,0),3),"")</f>
        <v/>
      </c>
      <c r="N2184" s="32" t="str">
        <f>IFERROR(INDEX(Table!I:O,MATCH(K2184,Table!I:I,0),4),"")</f>
        <v/>
      </c>
      <c r="O2184" s="32" t="str">
        <f>IFERROR(INDEX(Table!I:O,MATCH(K2184,Table!I:I,0),5),"")</f>
        <v/>
      </c>
      <c r="P2184" s="32" t="str">
        <f>IFERROR(INDEX(Table!I:O,MATCH(K2184,Table!I:I,0),6),"")</f>
        <v/>
      </c>
      <c r="Q2184" s="89" t="str">
        <f t="shared" si="102"/>
        <v/>
      </c>
      <c r="R2184" s="89" t="str">
        <f t="shared" si="103"/>
        <v/>
      </c>
      <c r="S2184" s="82"/>
      <c r="U2184" s="37"/>
    </row>
    <row r="2185" spans="1:21" x14ac:dyDescent="0.25">
      <c r="A2185" s="31" t="str">
        <f>IF(Table!A2185 = "","",Table!A2185)</f>
        <v/>
      </c>
      <c r="B2185" s="31" t="str">
        <f>IF(Table!B2185 = "","",Table!B2185)</f>
        <v/>
      </c>
      <c r="C2185" s="31" t="str">
        <f>IF(Table!C2185 = "","",Table!C2185)</f>
        <v/>
      </c>
      <c r="D2185" s="32" t="str">
        <f>IF(Table!D2185 = "","",Table!D2185)</f>
        <v/>
      </c>
      <c r="E2185" s="32" t="str">
        <f>IF(Table!E2185 = "","",Table!E2185)</f>
        <v/>
      </c>
      <c r="F2185" s="32" t="str">
        <f>IF(Table!F2185 = "","",Table!F2185)</f>
        <v/>
      </c>
      <c r="G2185" s="91"/>
      <c r="K2185" s="31" t="str">
        <f>IFERROR(VLOOKUP(A2185,Table!$I$4:$O$3000,1,TRUE),"")</f>
        <v/>
      </c>
      <c r="L2185" s="31" t="str">
        <f>IFERROR(INDEX(Table!I:O,MATCH(K2185,Table!I:I,0),2),"")</f>
        <v/>
      </c>
      <c r="M2185" s="31" t="str">
        <f>IFERROR(INDEX(Table!I:O,MATCH(K2185,Table!I:I,0),3),"")</f>
        <v/>
      </c>
      <c r="N2185" s="32" t="str">
        <f>IFERROR(INDEX(Table!I:O,MATCH(K2185,Table!I:I,0),4),"")</f>
        <v/>
      </c>
      <c r="O2185" s="32" t="str">
        <f>IFERROR(INDEX(Table!I:O,MATCH(K2185,Table!I:I,0),5),"")</f>
        <v/>
      </c>
      <c r="P2185" s="32" t="str">
        <f>IFERROR(INDEX(Table!I:O,MATCH(K2185,Table!I:I,0),6),"")</f>
        <v/>
      </c>
      <c r="Q2185" s="89" t="str">
        <f t="shared" si="102"/>
        <v/>
      </c>
      <c r="R2185" s="89" t="str">
        <f t="shared" si="103"/>
        <v/>
      </c>
      <c r="S2185" s="82"/>
      <c r="U2185" s="37"/>
    </row>
    <row r="2186" spans="1:21" x14ac:dyDescent="0.25">
      <c r="A2186" s="31" t="str">
        <f>IF(Table!A2186 = "","",Table!A2186)</f>
        <v/>
      </c>
      <c r="B2186" s="31" t="str">
        <f>IF(Table!B2186 = "","",Table!B2186)</f>
        <v/>
      </c>
      <c r="C2186" s="31" t="str">
        <f>IF(Table!C2186 = "","",Table!C2186)</f>
        <v/>
      </c>
      <c r="D2186" s="32" t="str">
        <f>IF(Table!D2186 = "","",Table!D2186)</f>
        <v/>
      </c>
      <c r="E2186" s="32" t="str">
        <f>IF(Table!E2186 = "","",Table!E2186)</f>
        <v/>
      </c>
      <c r="F2186" s="32" t="str">
        <f>IF(Table!F2186 = "","",Table!F2186)</f>
        <v/>
      </c>
      <c r="G2186" s="91"/>
      <c r="K2186" s="31" t="str">
        <f>IFERROR(VLOOKUP(A2186,Table!$I$4:$O$3000,1,TRUE),"")</f>
        <v/>
      </c>
      <c r="L2186" s="31" t="str">
        <f>IFERROR(INDEX(Table!I:O,MATCH(K2186,Table!I:I,0),2),"")</f>
        <v/>
      </c>
      <c r="M2186" s="31" t="str">
        <f>IFERROR(INDEX(Table!I:O,MATCH(K2186,Table!I:I,0),3),"")</f>
        <v/>
      </c>
      <c r="N2186" s="32" t="str">
        <f>IFERROR(INDEX(Table!I:O,MATCH(K2186,Table!I:I,0),4),"")</f>
        <v/>
      </c>
      <c r="O2186" s="32" t="str">
        <f>IFERROR(INDEX(Table!I:O,MATCH(K2186,Table!I:I,0),5),"")</f>
        <v/>
      </c>
      <c r="P2186" s="32" t="str">
        <f>IFERROR(INDEX(Table!I:O,MATCH(K2186,Table!I:I,0),6),"")</f>
        <v/>
      </c>
      <c r="Q2186" s="89" t="str">
        <f t="shared" si="102"/>
        <v/>
      </c>
      <c r="R2186" s="89" t="str">
        <f t="shared" si="103"/>
        <v/>
      </c>
      <c r="S2186" s="82"/>
      <c r="U2186" s="37"/>
    </row>
    <row r="2187" spans="1:21" x14ac:dyDescent="0.25">
      <c r="A2187" s="31" t="str">
        <f>IF(Table!A2187 = "","",Table!A2187)</f>
        <v/>
      </c>
      <c r="B2187" s="31" t="str">
        <f>IF(Table!B2187 = "","",Table!B2187)</f>
        <v/>
      </c>
      <c r="C2187" s="31" t="str">
        <f>IF(Table!C2187 = "","",Table!C2187)</f>
        <v/>
      </c>
      <c r="D2187" s="32" t="str">
        <f>IF(Table!D2187 = "","",Table!D2187)</f>
        <v/>
      </c>
      <c r="E2187" s="32" t="str">
        <f>IF(Table!E2187 = "","",Table!E2187)</f>
        <v/>
      </c>
      <c r="F2187" s="32" t="str">
        <f>IF(Table!F2187 = "","",Table!F2187)</f>
        <v/>
      </c>
      <c r="G2187" s="91"/>
      <c r="K2187" s="31" t="str">
        <f>IFERROR(VLOOKUP(A2187,Table!$I$4:$O$3000,1,TRUE),"")</f>
        <v/>
      </c>
      <c r="L2187" s="31" t="str">
        <f>IFERROR(INDEX(Table!I:O,MATCH(K2187,Table!I:I,0),2),"")</f>
        <v/>
      </c>
      <c r="M2187" s="31" t="str">
        <f>IFERROR(INDEX(Table!I:O,MATCH(K2187,Table!I:I,0),3),"")</f>
        <v/>
      </c>
      <c r="N2187" s="32" t="str">
        <f>IFERROR(INDEX(Table!I:O,MATCH(K2187,Table!I:I,0),4),"")</f>
        <v/>
      </c>
      <c r="O2187" s="32" t="str">
        <f>IFERROR(INDEX(Table!I:O,MATCH(K2187,Table!I:I,0),5),"")</f>
        <v/>
      </c>
      <c r="P2187" s="32" t="str">
        <f>IFERROR(INDEX(Table!I:O,MATCH(K2187,Table!I:I,0),6),"")</f>
        <v/>
      </c>
      <c r="Q2187" s="89" t="str">
        <f t="shared" si="102"/>
        <v/>
      </c>
      <c r="R2187" s="89" t="str">
        <f t="shared" si="103"/>
        <v/>
      </c>
      <c r="S2187" s="82"/>
      <c r="U2187" s="37"/>
    </row>
    <row r="2188" spans="1:21" x14ac:dyDescent="0.25">
      <c r="A2188" s="31" t="str">
        <f>IF(Table!A2188 = "","",Table!A2188)</f>
        <v/>
      </c>
      <c r="B2188" s="31" t="str">
        <f>IF(Table!B2188 = "","",Table!B2188)</f>
        <v/>
      </c>
      <c r="C2188" s="31" t="str">
        <f>IF(Table!C2188 = "","",Table!C2188)</f>
        <v/>
      </c>
      <c r="D2188" s="32" t="str">
        <f>IF(Table!D2188 = "","",Table!D2188)</f>
        <v/>
      </c>
      <c r="E2188" s="32" t="str">
        <f>IF(Table!E2188 = "","",Table!E2188)</f>
        <v/>
      </c>
      <c r="F2188" s="32" t="str">
        <f>IF(Table!F2188 = "","",Table!F2188)</f>
        <v/>
      </c>
      <c r="G2188" s="91"/>
      <c r="K2188" s="31" t="str">
        <f>IFERROR(VLOOKUP(A2188,Table!$I$4:$O$3000,1,TRUE),"")</f>
        <v/>
      </c>
      <c r="L2188" s="31" t="str">
        <f>IFERROR(INDEX(Table!I:O,MATCH(K2188,Table!I:I,0),2),"")</f>
        <v/>
      </c>
      <c r="M2188" s="31" t="str">
        <f>IFERROR(INDEX(Table!I:O,MATCH(K2188,Table!I:I,0),3),"")</f>
        <v/>
      </c>
      <c r="N2188" s="32" t="str">
        <f>IFERROR(INDEX(Table!I:O,MATCH(K2188,Table!I:I,0),4),"")</f>
        <v/>
      </c>
      <c r="O2188" s="32" t="str">
        <f>IFERROR(INDEX(Table!I:O,MATCH(K2188,Table!I:I,0),5),"")</f>
        <v/>
      </c>
      <c r="P2188" s="32" t="str">
        <f>IFERROR(INDEX(Table!I:O,MATCH(K2188,Table!I:I,0),6),"")</f>
        <v/>
      </c>
      <c r="Q2188" s="89" t="str">
        <f t="shared" si="102"/>
        <v/>
      </c>
      <c r="R2188" s="89" t="str">
        <f t="shared" si="103"/>
        <v/>
      </c>
      <c r="S2188" s="82"/>
      <c r="U2188" s="37"/>
    </row>
    <row r="2189" spans="1:21" x14ac:dyDescent="0.25">
      <c r="A2189" s="31" t="str">
        <f>IF(Table!A2189 = "","",Table!A2189)</f>
        <v/>
      </c>
      <c r="B2189" s="31" t="str">
        <f>IF(Table!B2189 = "","",Table!B2189)</f>
        <v/>
      </c>
      <c r="C2189" s="31" t="str">
        <f>IF(Table!C2189 = "","",Table!C2189)</f>
        <v/>
      </c>
      <c r="D2189" s="32" t="str">
        <f>IF(Table!D2189 = "","",Table!D2189)</f>
        <v/>
      </c>
      <c r="E2189" s="32" t="str">
        <f>IF(Table!E2189 = "","",Table!E2189)</f>
        <v/>
      </c>
      <c r="F2189" s="32" t="str">
        <f>IF(Table!F2189 = "","",Table!F2189)</f>
        <v/>
      </c>
      <c r="G2189" s="91"/>
      <c r="K2189" s="31" t="str">
        <f>IFERROR(VLOOKUP(A2189,Table!$I$4:$O$3000,1,TRUE),"")</f>
        <v/>
      </c>
      <c r="L2189" s="31" t="str">
        <f>IFERROR(INDEX(Table!I:O,MATCH(K2189,Table!I:I,0),2),"")</f>
        <v/>
      </c>
      <c r="M2189" s="31" t="str">
        <f>IFERROR(INDEX(Table!I:O,MATCH(K2189,Table!I:I,0),3),"")</f>
        <v/>
      </c>
      <c r="N2189" s="32" t="str">
        <f>IFERROR(INDEX(Table!I:O,MATCH(K2189,Table!I:I,0),4),"")</f>
        <v/>
      </c>
      <c r="O2189" s="32" t="str">
        <f>IFERROR(INDEX(Table!I:O,MATCH(K2189,Table!I:I,0),5),"")</f>
        <v/>
      </c>
      <c r="P2189" s="32" t="str">
        <f>IFERROR(INDEX(Table!I:O,MATCH(K2189,Table!I:I,0),6),"")</f>
        <v/>
      </c>
      <c r="Q2189" s="89" t="str">
        <f t="shared" si="102"/>
        <v/>
      </c>
      <c r="R2189" s="89" t="str">
        <f t="shared" si="103"/>
        <v/>
      </c>
      <c r="S2189" s="82"/>
      <c r="U2189" s="37"/>
    </row>
    <row r="2190" spans="1:21" x14ac:dyDescent="0.25">
      <c r="A2190" s="31" t="str">
        <f>IF(Table!A2190 = "","",Table!A2190)</f>
        <v/>
      </c>
      <c r="B2190" s="31" t="str">
        <f>IF(Table!B2190 = "","",Table!B2190)</f>
        <v/>
      </c>
      <c r="C2190" s="31" t="str">
        <f>IF(Table!C2190 = "","",Table!C2190)</f>
        <v/>
      </c>
      <c r="D2190" s="32" t="str">
        <f>IF(Table!D2190 = "","",Table!D2190)</f>
        <v/>
      </c>
      <c r="E2190" s="32" t="str">
        <f>IF(Table!E2190 = "","",Table!E2190)</f>
        <v/>
      </c>
      <c r="F2190" s="32" t="str">
        <f>IF(Table!F2190 = "","",Table!F2190)</f>
        <v/>
      </c>
      <c r="G2190" s="91"/>
      <c r="K2190" s="31" t="str">
        <f>IFERROR(VLOOKUP(A2190,Table!$I$4:$O$3000,1,TRUE),"")</f>
        <v/>
      </c>
      <c r="L2190" s="31" t="str">
        <f>IFERROR(INDEX(Table!I:O,MATCH(K2190,Table!I:I,0),2),"")</f>
        <v/>
      </c>
      <c r="M2190" s="31" t="str">
        <f>IFERROR(INDEX(Table!I:O,MATCH(K2190,Table!I:I,0),3),"")</f>
        <v/>
      </c>
      <c r="N2190" s="32" t="str">
        <f>IFERROR(INDEX(Table!I:O,MATCH(K2190,Table!I:I,0),4),"")</f>
        <v/>
      </c>
      <c r="O2190" s="32" t="str">
        <f>IFERROR(INDEX(Table!I:O,MATCH(K2190,Table!I:I,0),5),"")</f>
        <v/>
      </c>
      <c r="P2190" s="32" t="str">
        <f>IFERROR(INDEX(Table!I:O,MATCH(K2190,Table!I:I,0),6),"")</f>
        <v/>
      </c>
      <c r="Q2190" s="89" t="str">
        <f t="shared" si="102"/>
        <v/>
      </c>
      <c r="R2190" s="89" t="str">
        <f t="shared" si="103"/>
        <v/>
      </c>
      <c r="S2190" s="82"/>
      <c r="U2190" s="37"/>
    </row>
    <row r="2191" spans="1:21" x14ac:dyDescent="0.25">
      <c r="A2191" s="31" t="str">
        <f>IF(Table!A2191 = "","",Table!A2191)</f>
        <v/>
      </c>
      <c r="B2191" s="31" t="str">
        <f>IF(Table!B2191 = "","",Table!B2191)</f>
        <v/>
      </c>
      <c r="C2191" s="31" t="str">
        <f>IF(Table!C2191 = "","",Table!C2191)</f>
        <v/>
      </c>
      <c r="D2191" s="32" t="str">
        <f>IF(Table!D2191 = "","",Table!D2191)</f>
        <v/>
      </c>
      <c r="E2191" s="32" t="str">
        <f>IF(Table!E2191 = "","",Table!E2191)</f>
        <v/>
      </c>
      <c r="F2191" s="32" t="str">
        <f>IF(Table!F2191 = "","",Table!F2191)</f>
        <v/>
      </c>
      <c r="G2191" s="91"/>
      <c r="K2191" s="31" t="str">
        <f>IFERROR(VLOOKUP(A2191,Table!$I$4:$O$3000,1,TRUE),"")</f>
        <v/>
      </c>
      <c r="L2191" s="31" t="str">
        <f>IFERROR(INDEX(Table!I:O,MATCH(K2191,Table!I:I,0),2),"")</f>
        <v/>
      </c>
      <c r="M2191" s="31" t="str">
        <f>IFERROR(INDEX(Table!I:O,MATCH(K2191,Table!I:I,0),3),"")</f>
        <v/>
      </c>
      <c r="N2191" s="32" t="str">
        <f>IFERROR(INDEX(Table!I:O,MATCH(K2191,Table!I:I,0),4),"")</f>
        <v/>
      </c>
      <c r="O2191" s="32" t="str">
        <f>IFERROR(INDEX(Table!I:O,MATCH(K2191,Table!I:I,0),5),"")</f>
        <v/>
      </c>
      <c r="P2191" s="32" t="str">
        <f>IFERROR(INDEX(Table!I:O,MATCH(K2191,Table!I:I,0),6),"")</f>
        <v/>
      </c>
      <c r="Q2191" s="89" t="str">
        <f t="shared" si="102"/>
        <v/>
      </c>
      <c r="R2191" s="89" t="str">
        <f t="shared" si="103"/>
        <v/>
      </c>
      <c r="S2191" s="82"/>
      <c r="U2191" s="37"/>
    </row>
    <row r="2192" spans="1:21" x14ac:dyDescent="0.25">
      <c r="A2192" s="31" t="str">
        <f>IF(Table!A2192 = "","",Table!A2192)</f>
        <v/>
      </c>
      <c r="B2192" s="31" t="str">
        <f>IF(Table!B2192 = "","",Table!B2192)</f>
        <v/>
      </c>
      <c r="C2192" s="31" t="str">
        <f>IF(Table!C2192 = "","",Table!C2192)</f>
        <v/>
      </c>
      <c r="D2192" s="32" t="str">
        <f>IF(Table!D2192 = "","",Table!D2192)</f>
        <v/>
      </c>
      <c r="E2192" s="32" t="str">
        <f>IF(Table!E2192 = "","",Table!E2192)</f>
        <v/>
      </c>
      <c r="F2192" s="32" t="str">
        <f>IF(Table!F2192 = "","",Table!F2192)</f>
        <v/>
      </c>
      <c r="G2192" s="91"/>
      <c r="K2192" s="31" t="str">
        <f>IFERROR(VLOOKUP(A2192,Table!$I$4:$O$3000,1,TRUE),"")</f>
        <v/>
      </c>
      <c r="L2192" s="31" t="str">
        <f>IFERROR(INDEX(Table!I:O,MATCH(K2192,Table!I:I,0),2),"")</f>
        <v/>
      </c>
      <c r="M2192" s="31" t="str">
        <f>IFERROR(INDEX(Table!I:O,MATCH(K2192,Table!I:I,0),3),"")</f>
        <v/>
      </c>
      <c r="N2192" s="32" t="str">
        <f>IFERROR(INDEX(Table!I:O,MATCH(K2192,Table!I:I,0),4),"")</f>
        <v/>
      </c>
      <c r="O2192" s="32" t="str">
        <f>IFERROR(INDEX(Table!I:O,MATCH(K2192,Table!I:I,0),5),"")</f>
        <v/>
      </c>
      <c r="P2192" s="32" t="str">
        <f>IFERROR(INDEX(Table!I:O,MATCH(K2192,Table!I:I,0),6),"")</f>
        <v/>
      </c>
      <c r="Q2192" s="89" t="str">
        <f t="shared" si="102"/>
        <v/>
      </c>
      <c r="R2192" s="89" t="str">
        <f t="shared" si="103"/>
        <v/>
      </c>
      <c r="S2192" s="82"/>
      <c r="U2192" s="37"/>
    </row>
    <row r="2193" spans="1:21" x14ac:dyDescent="0.25">
      <c r="A2193" s="31" t="str">
        <f>IF(Table!A2193 = "","",Table!A2193)</f>
        <v/>
      </c>
      <c r="B2193" s="31" t="str">
        <f>IF(Table!B2193 = "","",Table!B2193)</f>
        <v/>
      </c>
      <c r="C2193" s="31" t="str">
        <f>IF(Table!C2193 = "","",Table!C2193)</f>
        <v/>
      </c>
      <c r="D2193" s="32" t="str">
        <f>IF(Table!D2193 = "","",Table!D2193)</f>
        <v/>
      </c>
      <c r="E2193" s="32" t="str">
        <f>IF(Table!E2193 = "","",Table!E2193)</f>
        <v/>
      </c>
      <c r="F2193" s="32" t="str">
        <f>IF(Table!F2193 = "","",Table!F2193)</f>
        <v/>
      </c>
      <c r="G2193" s="91"/>
      <c r="K2193" s="31" t="str">
        <f>IFERROR(VLOOKUP(A2193,Table!$I$4:$O$3000,1,TRUE),"")</f>
        <v/>
      </c>
      <c r="L2193" s="31" t="str">
        <f>IFERROR(INDEX(Table!I:O,MATCH(K2193,Table!I:I,0),2),"")</f>
        <v/>
      </c>
      <c r="M2193" s="31" t="str">
        <f>IFERROR(INDEX(Table!I:O,MATCH(K2193,Table!I:I,0),3),"")</f>
        <v/>
      </c>
      <c r="N2193" s="32" t="str">
        <f>IFERROR(INDEX(Table!I:O,MATCH(K2193,Table!I:I,0),4),"")</f>
        <v/>
      </c>
      <c r="O2193" s="32" t="str">
        <f>IFERROR(INDEX(Table!I:O,MATCH(K2193,Table!I:I,0),5),"")</f>
        <v/>
      </c>
      <c r="P2193" s="32" t="str">
        <f>IFERROR(INDEX(Table!I:O,MATCH(K2193,Table!I:I,0),6),"")</f>
        <v/>
      </c>
      <c r="Q2193" s="89" t="str">
        <f t="shared" si="102"/>
        <v/>
      </c>
      <c r="R2193" s="89" t="str">
        <f t="shared" si="103"/>
        <v/>
      </c>
      <c r="S2193" s="82"/>
      <c r="U2193" s="37"/>
    </row>
    <row r="2194" spans="1:21" x14ac:dyDescent="0.25">
      <c r="A2194" s="31" t="str">
        <f>IF(Table!A2194 = "","",Table!A2194)</f>
        <v/>
      </c>
      <c r="B2194" s="31" t="str">
        <f>IF(Table!B2194 = "","",Table!B2194)</f>
        <v/>
      </c>
      <c r="C2194" s="31" t="str">
        <f>IF(Table!C2194 = "","",Table!C2194)</f>
        <v/>
      </c>
      <c r="D2194" s="32" t="str">
        <f>IF(Table!D2194 = "","",Table!D2194)</f>
        <v/>
      </c>
      <c r="E2194" s="32" t="str">
        <f>IF(Table!E2194 = "","",Table!E2194)</f>
        <v/>
      </c>
      <c r="F2194" s="32" t="str">
        <f>IF(Table!F2194 = "","",Table!F2194)</f>
        <v/>
      </c>
      <c r="G2194" s="91"/>
      <c r="K2194" s="31" t="str">
        <f>IFERROR(VLOOKUP(A2194,Table!$I$4:$O$3000,1,TRUE),"")</f>
        <v/>
      </c>
      <c r="L2194" s="31" t="str">
        <f>IFERROR(INDEX(Table!I:O,MATCH(K2194,Table!I:I,0),2),"")</f>
        <v/>
      </c>
      <c r="M2194" s="31" t="str">
        <f>IFERROR(INDEX(Table!I:O,MATCH(K2194,Table!I:I,0),3),"")</f>
        <v/>
      </c>
      <c r="N2194" s="32" t="str">
        <f>IFERROR(INDEX(Table!I:O,MATCH(K2194,Table!I:I,0),4),"")</f>
        <v/>
      </c>
      <c r="O2194" s="32" t="str">
        <f>IFERROR(INDEX(Table!I:O,MATCH(K2194,Table!I:I,0),5),"")</f>
        <v/>
      </c>
      <c r="P2194" s="32" t="str">
        <f>IFERROR(INDEX(Table!I:O,MATCH(K2194,Table!I:I,0),6),"")</f>
        <v/>
      </c>
      <c r="Q2194" s="89" t="str">
        <f t="shared" si="102"/>
        <v/>
      </c>
      <c r="R2194" s="89" t="str">
        <f t="shared" si="103"/>
        <v/>
      </c>
      <c r="S2194" s="82"/>
      <c r="U2194" s="37"/>
    </row>
    <row r="2195" spans="1:21" x14ac:dyDescent="0.25">
      <c r="A2195" s="31" t="str">
        <f>IF(Table!A2195 = "","",Table!A2195)</f>
        <v/>
      </c>
      <c r="B2195" s="31" t="str">
        <f>IF(Table!B2195 = "","",Table!B2195)</f>
        <v/>
      </c>
      <c r="C2195" s="31" t="str">
        <f>IF(Table!C2195 = "","",Table!C2195)</f>
        <v/>
      </c>
      <c r="D2195" s="32" t="str">
        <f>IF(Table!D2195 = "","",Table!D2195)</f>
        <v/>
      </c>
      <c r="E2195" s="32" t="str">
        <f>IF(Table!E2195 = "","",Table!E2195)</f>
        <v/>
      </c>
      <c r="F2195" s="32" t="str">
        <f>IF(Table!F2195 = "","",Table!F2195)</f>
        <v/>
      </c>
      <c r="G2195" s="91"/>
      <c r="K2195" s="31" t="str">
        <f>IFERROR(VLOOKUP(A2195,Table!$I$4:$O$3000,1,TRUE),"")</f>
        <v/>
      </c>
      <c r="L2195" s="31" t="str">
        <f>IFERROR(INDEX(Table!I:O,MATCH(K2195,Table!I:I,0),2),"")</f>
        <v/>
      </c>
      <c r="M2195" s="31" t="str">
        <f>IFERROR(INDEX(Table!I:O,MATCH(K2195,Table!I:I,0),3),"")</f>
        <v/>
      </c>
      <c r="N2195" s="32" t="str">
        <f>IFERROR(INDEX(Table!I:O,MATCH(K2195,Table!I:I,0),4),"")</f>
        <v/>
      </c>
      <c r="O2195" s="32" t="str">
        <f>IFERROR(INDEX(Table!I:O,MATCH(K2195,Table!I:I,0),5),"")</f>
        <v/>
      </c>
      <c r="P2195" s="32" t="str">
        <f>IFERROR(INDEX(Table!I:O,MATCH(K2195,Table!I:I,0),6),"")</f>
        <v/>
      </c>
      <c r="Q2195" s="89" t="str">
        <f t="shared" si="102"/>
        <v/>
      </c>
      <c r="R2195" s="89" t="str">
        <f t="shared" si="103"/>
        <v/>
      </c>
      <c r="S2195" s="82"/>
      <c r="U2195" s="37"/>
    </row>
    <row r="2196" spans="1:21" x14ac:dyDescent="0.25">
      <c r="A2196" s="31" t="str">
        <f>IF(Table!A2196 = "","",Table!A2196)</f>
        <v/>
      </c>
      <c r="B2196" s="31" t="str">
        <f>IF(Table!B2196 = "","",Table!B2196)</f>
        <v/>
      </c>
      <c r="C2196" s="31" t="str">
        <f>IF(Table!C2196 = "","",Table!C2196)</f>
        <v/>
      </c>
      <c r="D2196" s="32" t="str">
        <f>IF(Table!D2196 = "","",Table!D2196)</f>
        <v/>
      </c>
      <c r="E2196" s="32" t="str">
        <f>IF(Table!E2196 = "","",Table!E2196)</f>
        <v/>
      </c>
      <c r="F2196" s="32" t="str">
        <f>IF(Table!F2196 = "","",Table!F2196)</f>
        <v/>
      </c>
      <c r="G2196" s="91"/>
      <c r="K2196" s="31" t="str">
        <f>IFERROR(VLOOKUP(A2196,Table!$I$4:$O$3000,1,TRUE),"")</f>
        <v/>
      </c>
      <c r="L2196" s="31" t="str">
        <f>IFERROR(INDEX(Table!I:O,MATCH(K2196,Table!I:I,0),2),"")</f>
        <v/>
      </c>
      <c r="M2196" s="31" t="str">
        <f>IFERROR(INDEX(Table!I:O,MATCH(K2196,Table!I:I,0),3),"")</f>
        <v/>
      </c>
      <c r="N2196" s="32" t="str">
        <f>IFERROR(INDEX(Table!I:O,MATCH(K2196,Table!I:I,0),4),"")</f>
        <v/>
      </c>
      <c r="O2196" s="32" t="str">
        <f>IFERROR(INDEX(Table!I:O,MATCH(K2196,Table!I:I,0),5),"")</f>
        <v/>
      </c>
      <c r="P2196" s="32" t="str">
        <f>IFERROR(INDEX(Table!I:O,MATCH(K2196,Table!I:I,0),6),"")</f>
        <v/>
      </c>
      <c r="Q2196" s="89" t="str">
        <f t="shared" si="102"/>
        <v/>
      </c>
      <c r="R2196" s="89" t="str">
        <f t="shared" si="103"/>
        <v/>
      </c>
      <c r="S2196" s="82"/>
      <c r="U2196" s="37"/>
    </row>
    <row r="2197" spans="1:21" x14ac:dyDescent="0.25">
      <c r="A2197" s="31" t="str">
        <f>IF(Table!A2197 = "","",Table!A2197)</f>
        <v/>
      </c>
      <c r="B2197" s="31" t="str">
        <f>IF(Table!B2197 = "","",Table!B2197)</f>
        <v/>
      </c>
      <c r="C2197" s="31" t="str">
        <f>IF(Table!C2197 = "","",Table!C2197)</f>
        <v/>
      </c>
      <c r="D2197" s="32" t="str">
        <f>IF(Table!D2197 = "","",Table!D2197)</f>
        <v/>
      </c>
      <c r="E2197" s="32" t="str">
        <f>IF(Table!E2197 = "","",Table!E2197)</f>
        <v/>
      </c>
      <c r="F2197" s="32" t="str">
        <f>IF(Table!F2197 = "","",Table!F2197)</f>
        <v/>
      </c>
      <c r="G2197" s="91"/>
      <c r="K2197" s="31" t="str">
        <f>IFERROR(VLOOKUP(A2197,Table!$I$4:$O$3000,1,TRUE),"")</f>
        <v/>
      </c>
      <c r="L2197" s="31" t="str">
        <f>IFERROR(INDEX(Table!I:O,MATCH(K2197,Table!I:I,0),2),"")</f>
        <v/>
      </c>
      <c r="M2197" s="31" t="str">
        <f>IFERROR(INDEX(Table!I:O,MATCH(K2197,Table!I:I,0),3),"")</f>
        <v/>
      </c>
      <c r="N2197" s="32" t="str">
        <f>IFERROR(INDEX(Table!I:O,MATCH(K2197,Table!I:I,0),4),"")</f>
        <v/>
      </c>
      <c r="O2197" s="32" t="str">
        <f>IFERROR(INDEX(Table!I:O,MATCH(K2197,Table!I:I,0),5),"")</f>
        <v/>
      </c>
      <c r="P2197" s="32" t="str">
        <f>IFERROR(INDEX(Table!I:O,MATCH(K2197,Table!I:I,0),6),"")</f>
        <v/>
      </c>
      <c r="Q2197" s="89" t="str">
        <f t="shared" si="102"/>
        <v/>
      </c>
      <c r="R2197" s="89" t="str">
        <f t="shared" si="103"/>
        <v/>
      </c>
      <c r="S2197" s="82"/>
      <c r="U2197" s="37"/>
    </row>
    <row r="2198" spans="1:21" x14ac:dyDescent="0.25">
      <c r="A2198" s="31" t="str">
        <f>IF(Table!A2198 = "","",Table!A2198)</f>
        <v/>
      </c>
      <c r="B2198" s="31" t="str">
        <f>IF(Table!B2198 = "","",Table!B2198)</f>
        <v/>
      </c>
      <c r="C2198" s="31" t="str">
        <f>IF(Table!C2198 = "","",Table!C2198)</f>
        <v/>
      </c>
      <c r="D2198" s="32" t="str">
        <f>IF(Table!D2198 = "","",Table!D2198)</f>
        <v/>
      </c>
      <c r="E2198" s="32" t="str">
        <f>IF(Table!E2198 = "","",Table!E2198)</f>
        <v/>
      </c>
      <c r="F2198" s="32" t="str">
        <f>IF(Table!F2198 = "","",Table!F2198)</f>
        <v/>
      </c>
      <c r="G2198" s="91"/>
      <c r="K2198" s="31" t="str">
        <f>IFERROR(VLOOKUP(A2198,Table!$I$4:$O$3000,1,TRUE),"")</f>
        <v/>
      </c>
      <c r="L2198" s="31" t="str">
        <f>IFERROR(INDEX(Table!I:O,MATCH(K2198,Table!I:I,0),2),"")</f>
        <v/>
      </c>
      <c r="M2198" s="31" t="str">
        <f>IFERROR(INDEX(Table!I:O,MATCH(K2198,Table!I:I,0),3),"")</f>
        <v/>
      </c>
      <c r="N2198" s="32" t="str">
        <f>IFERROR(INDEX(Table!I:O,MATCH(K2198,Table!I:I,0),4),"")</f>
        <v/>
      </c>
      <c r="O2198" s="32" t="str">
        <f>IFERROR(INDEX(Table!I:O,MATCH(K2198,Table!I:I,0),5),"")</f>
        <v/>
      </c>
      <c r="P2198" s="32" t="str">
        <f>IFERROR(INDEX(Table!I:O,MATCH(K2198,Table!I:I,0),6),"")</f>
        <v/>
      </c>
      <c r="Q2198" s="89" t="str">
        <f t="shared" si="102"/>
        <v/>
      </c>
      <c r="R2198" s="89" t="str">
        <f t="shared" si="103"/>
        <v/>
      </c>
      <c r="S2198" s="82"/>
      <c r="U2198" s="37"/>
    </row>
    <row r="2199" spans="1:21" x14ac:dyDescent="0.25">
      <c r="A2199" s="31" t="str">
        <f>IF(Table!A2199 = "","",Table!A2199)</f>
        <v/>
      </c>
      <c r="B2199" s="31" t="str">
        <f>IF(Table!B2199 = "","",Table!B2199)</f>
        <v/>
      </c>
      <c r="C2199" s="31" t="str">
        <f>IF(Table!C2199 = "","",Table!C2199)</f>
        <v/>
      </c>
      <c r="D2199" s="32" t="str">
        <f>IF(Table!D2199 = "","",Table!D2199)</f>
        <v/>
      </c>
      <c r="E2199" s="32" t="str">
        <f>IF(Table!E2199 = "","",Table!E2199)</f>
        <v/>
      </c>
      <c r="F2199" s="32" t="str">
        <f>IF(Table!F2199 = "","",Table!F2199)</f>
        <v/>
      </c>
      <c r="G2199" s="91"/>
      <c r="K2199" s="31" t="str">
        <f>IFERROR(VLOOKUP(A2199,Table!$I$4:$O$3000,1,TRUE),"")</f>
        <v/>
      </c>
      <c r="L2199" s="31" t="str">
        <f>IFERROR(INDEX(Table!I:O,MATCH(K2199,Table!I:I,0),2),"")</f>
        <v/>
      </c>
      <c r="M2199" s="31" t="str">
        <f>IFERROR(INDEX(Table!I:O,MATCH(K2199,Table!I:I,0),3),"")</f>
        <v/>
      </c>
      <c r="N2199" s="32" t="str">
        <f>IFERROR(INDEX(Table!I:O,MATCH(K2199,Table!I:I,0),4),"")</f>
        <v/>
      </c>
      <c r="O2199" s="32" t="str">
        <f>IFERROR(INDEX(Table!I:O,MATCH(K2199,Table!I:I,0),5),"")</f>
        <v/>
      </c>
      <c r="P2199" s="32" t="str">
        <f>IFERROR(INDEX(Table!I:O,MATCH(K2199,Table!I:I,0),6),"")</f>
        <v/>
      </c>
      <c r="Q2199" s="89" t="str">
        <f t="shared" si="102"/>
        <v/>
      </c>
      <c r="R2199" s="89" t="str">
        <f t="shared" si="103"/>
        <v/>
      </c>
      <c r="S2199" s="82"/>
      <c r="U2199" s="37"/>
    </row>
    <row r="2200" spans="1:21" x14ac:dyDescent="0.25">
      <c r="A2200" s="31" t="str">
        <f>IF(Table!A2200 = "","",Table!A2200)</f>
        <v/>
      </c>
      <c r="B2200" s="31" t="str">
        <f>IF(Table!B2200 = "","",Table!B2200)</f>
        <v/>
      </c>
      <c r="C2200" s="31" t="str">
        <f>IF(Table!C2200 = "","",Table!C2200)</f>
        <v/>
      </c>
      <c r="D2200" s="32" t="str">
        <f>IF(Table!D2200 = "","",Table!D2200)</f>
        <v/>
      </c>
      <c r="E2200" s="32" t="str">
        <f>IF(Table!E2200 = "","",Table!E2200)</f>
        <v/>
      </c>
      <c r="F2200" s="32" t="str">
        <f>IF(Table!F2200 = "","",Table!F2200)</f>
        <v/>
      </c>
      <c r="G2200" s="91"/>
      <c r="K2200" s="31" t="str">
        <f>IFERROR(VLOOKUP(A2200,Table!$I$4:$O$3000,1,TRUE),"")</f>
        <v/>
      </c>
      <c r="L2200" s="31" t="str">
        <f>IFERROR(INDEX(Table!I:O,MATCH(K2200,Table!I:I,0),2),"")</f>
        <v/>
      </c>
      <c r="M2200" s="31" t="str">
        <f>IFERROR(INDEX(Table!I:O,MATCH(K2200,Table!I:I,0),3),"")</f>
        <v/>
      </c>
      <c r="N2200" s="32" t="str">
        <f>IFERROR(INDEX(Table!I:O,MATCH(K2200,Table!I:I,0),4),"")</f>
        <v/>
      </c>
      <c r="O2200" s="32" t="str">
        <f>IFERROR(INDEX(Table!I:O,MATCH(K2200,Table!I:I,0),5),"")</f>
        <v/>
      </c>
      <c r="P2200" s="32" t="str">
        <f>IFERROR(INDEX(Table!I:O,MATCH(K2200,Table!I:I,0),6),"")</f>
        <v/>
      </c>
      <c r="Q2200" s="89" t="str">
        <f t="shared" si="102"/>
        <v/>
      </c>
      <c r="R2200" s="89" t="str">
        <f t="shared" si="103"/>
        <v/>
      </c>
      <c r="S2200" s="82"/>
      <c r="U2200" s="37"/>
    </row>
    <row r="2201" spans="1:21" x14ac:dyDescent="0.25">
      <c r="A2201" s="31" t="str">
        <f>IF(Table!A2201 = "","",Table!A2201)</f>
        <v/>
      </c>
      <c r="B2201" s="31" t="str">
        <f>IF(Table!B2201 = "","",Table!B2201)</f>
        <v/>
      </c>
      <c r="C2201" s="31" t="str">
        <f>IF(Table!C2201 = "","",Table!C2201)</f>
        <v/>
      </c>
      <c r="D2201" s="32" t="str">
        <f>IF(Table!D2201 = "","",Table!D2201)</f>
        <v/>
      </c>
      <c r="E2201" s="32" t="str">
        <f>IF(Table!E2201 = "","",Table!E2201)</f>
        <v/>
      </c>
      <c r="F2201" s="32" t="str">
        <f>IF(Table!F2201 = "","",Table!F2201)</f>
        <v/>
      </c>
      <c r="G2201" s="91"/>
      <c r="K2201" s="31" t="str">
        <f>IFERROR(VLOOKUP(A2201,Table!$I$4:$O$3000,1,TRUE),"")</f>
        <v/>
      </c>
      <c r="L2201" s="31" t="str">
        <f>IFERROR(INDEX(Table!I:O,MATCH(K2201,Table!I:I,0),2),"")</f>
        <v/>
      </c>
      <c r="M2201" s="31" t="str">
        <f>IFERROR(INDEX(Table!I:O,MATCH(K2201,Table!I:I,0),3),"")</f>
        <v/>
      </c>
      <c r="N2201" s="32" t="str">
        <f>IFERROR(INDEX(Table!I:O,MATCH(K2201,Table!I:I,0),4),"")</f>
        <v/>
      </c>
      <c r="O2201" s="32" t="str">
        <f>IFERROR(INDEX(Table!I:O,MATCH(K2201,Table!I:I,0),5),"")</f>
        <v/>
      </c>
      <c r="P2201" s="32" t="str">
        <f>IFERROR(INDEX(Table!I:O,MATCH(K2201,Table!I:I,0),6),"")</f>
        <v/>
      </c>
      <c r="Q2201" s="89" t="str">
        <f t="shared" si="102"/>
        <v/>
      </c>
      <c r="R2201" s="89" t="str">
        <f t="shared" si="103"/>
        <v/>
      </c>
      <c r="S2201" s="82"/>
      <c r="U2201" s="37"/>
    </row>
    <row r="2202" spans="1:21" x14ac:dyDescent="0.25">
      <c r="A2202" s="31" t="str">
        <f>IF(Table!A2202 = "","",Table!A2202)</f>
        <v/>
      </c>
      <c r="B2202" s="31" t="str">
        <f>IF(Table!B2202 = "","",Table!B2202)</f>
        <v/>
      </c>
      <c r="C2202" s="31" t="str">
        <f>IF(Table!C2202 = "","",Table!C2202)</f>
        <v/>
      </c>
      <c r="D2202" s="32" t="str">
        <f>IF(Table!D2202 = "","",Table!D2202)</f>
        <v/>
      </c>
      <c r="E2202" s="32" t="str">
        <f>IF(Table!E2202 = "","",Table!E2202)</f>
        <v/>
      </c>
      <c r="F2202" s="32" t="str">
        <f>IF(Table!F2202 = "","",Table!F2202)</f>
        <v/>
      </c>
      <c r="G2202" s="91"/>
      <c r="K2202" s="31" t="str">
        <f>IFERROR(VLOOKUP(A2202,Table!$I$4:$O$3000,1,TRUE),"")</f>
        <v/>
      </c>
      <c r="L2202" s="31" t="str">
        <f>IFERROR(INDEX(Table!I:O,MATCH(K2202,Table!I:I,0),2),"")</f>
        <v/>
      </c>
      <c r="M2202" s="31" t="str">
        <f>IFERROR(INDEX(Table!I:O,MATCH(K2202,Table!I:I,0),3),"")</f>
        <v/>
      </c>
      <c r="N2202" s="32" t="str">
        <f>IFERROR(INDEX(Table!I:O,MATCH(K2202,Table!I:I,0),4),"")</f>
        <v/>
      </c>
      <c r="O2202" s="32" t="str">
        <f>IFERROR(INDEX(Table!I:O,MATCH(K2202,Table!I:I,0),5),"")</f>
        <v/>
      </c>
      <c r="P2202" s="32" t="str">
        <f>IFERROR(INDEX(Table!I:O,MATCH(K2202,Table!I:I,0),6),"")</f>
        <v/>
      </c>
      <c r="Q2202" s="89" t="str">
        <f t="shared" si="102"/>
        <v/>
      </c>
      <c r="R2202" s="89" t="str">
        <f t="shared" si="103"/>
        <v/>
      </c>
      <c r="S2202" s="82"/>
      <c r="U2202" s="37"/>
    </row>
    <row r="2203" spans="1:21" x14ac:dyDescent="0.25">
      <c r="A2203" s="31" t="str">
        <f>IF(Table!A2203 = "","",Table!A2203)</f>
        <v/>
      </c>
      <c r="B2203" s="31" t="str">
        <f>IF(Table!B2203 = "","",Table!B2203)</f>
        <v/>
      </c>
      <c r="C2203" s="31" t="str">
        <f>IF(Table!C2203 = "","",Table!C2203)</f>
        <v/>
      </c>
      <c r="D2203" s="32" t="str">
        <f>IF(Table!D2203 = "","",Table!D2203)</f>
        <v/>
      </c>
      <c r="E2203" s="32" t="str">
        <f>IF(Table!E2203 = "","",Table!E2203)</f>
        <v/>
      </c>
      <c r="F2203" s="32" t="str">
        <f>IF(Table!F2203 = "","",Table!F2203)</f>
        <v/>
      </c>
      <c r="G2203" s="91"/>
      <c r="K2203" s="31" t="str">
        <f>IFERROR(VLOOKUP(A2203,Table!$I$4:$O$3000,1,TRUE),"")</f>
        <v/>
      </c>
      <c r="L2203" s="31" t="str">
        <f>IFERROR(INDEX(Table!I:O,MATCH(K2203,Table!I:I,0),2),"")</f>
        <v/>
      </c>
      <c r="M2203" s="31" t="str">
        <f>IFERROR(INDEX(Table!I:O,MATCH(K2203,Table!I:I,0),3),"")</f>
        <v/>
      </c>
      <c r="N2203" s="32" t="str">
        <f>IFERROR(INDEX(Table!I:O,MATCH(K2203,Table!I:I,0),4),"")</f>
        <v/>
      </c>
      <c r="O2203" s="32" t="str">
        <f>IFERROR(INDEX(Table!I:O,MATCH(K2203,Table!I:I,0),5),"")</f>
        <v/>
      </c>
      <c r="P2203" s="32" t="str">
        <f>IFERROR(INDEX(Table!I:O,MATCH(K2203,Table!I:I,0),6),"")</f>
        <v/>
      </c>
      <c r="Q2203" s="89" t="str">
        <f t="shared" si="102"/>
        <v/>
      </c>
      <c r="R2203" s="89" t="str">
        <f t="shared" si="103"/>
        <v/>
      </c>
      <c r="S2203" s="82"/>
      <c r="U2203" s="37"/>
    </row>
    <row r="2204" spans="1:21" x14ac:dyDescent="0.25">
      <c r="A2204" s="31" t="str">
        <f>IF(Table!A2204 = "","",Table!A2204)</f>
        <v/>
      </c>
      <c r="B2204" s="31" t="str">
        <f>IF(Table!B2204 = "","",Table!B2204)</f>
        <v/>
      </c>
      <c r="C2204" s="31" t="str">
        <f>IF(Table!C2204 = "","",Table!C2204)</f>
        <v/>
      </c>
      <c r="D2204" s="32" t="str">
        <f>IF(Table!D2204 = "","",Table!D2204)</f>
        <v/>
      </c>
      <c r="E2204" s="32" t="str">
        <f>IF(Table!E2204 = "","",Table!E2204)</f>
        <v/>
      </c>
      <c r="F2204" s="32" t="str">
        <f>IF(Table!F2204 = "","",Table!F2204)</f>
        <v/>
      </c>
      <c r="G2204" s="91"/>
      <c r="K2204" s="31" t="str">
        <f>IFERROR(VLOOKUP(A2204,Table!$I$4:$O$3000,1,TRUE),"")</f>
        <v/>
      </c>
      <c r="L2204" s="31" t="str">
        <f>IFERROR(INDEX(Table!I:O,MATCH(K2204,Table!I:I,0),2),"")</f>
        <v/>
      </c>
      <c r="M2204" s="31" t="str">
        <f>IFERROR(INDEX(Table!I:O,MATCH(K2204,Table!I:I,0),3),"")</f>
        <v/>
      </c>
      <c r="N2204" s="32" t="str">
        <f>IFERROR(INDEX(Table!I:O,MATCH(K2204,Table!I:I,0),4),"")</f>
        <v/>
      </c>
      <c r="O2204" s="32" t="str">
        <f>IFERROR(INDEX(Table!I:O,MATCH(K2204,Table!I:I,0),5),"")</f>
        <v/>
      </c>
      <c r="P2204" s="32" t="str">
        <f>IFERROR(INDEX(Table!I:O,MATCH(K2204,Table!I:I,0),6),"")</f>
        <v/>
      </c>
      <c r="Q2204" s="89" t="str">
        <f t="shared" si="102"/>
        <v/>
      </c>
      <c r="R2204" s="89" t="str">
        <f t="shared" si="103"/>
        <v/>
      </c>
      <c r="S2204" s="82"/>
      <c r="U2204" s="37"/>
    </row>
    <row r="2205" spans="1:21" x14ac:dyDescent="0.25">
      <c r="A2205" s="31" t="str">
        <f>IF(Table!A2205 = "","",Table!A2205)</f>
        <v/>
      </c>
      <c r="B2205" s="31" t="str">
        <f>IF(Table!B2205 = "","",Table!B2205)</f>
        <v/>
      </c>
      <c r="C2205" s="31" t="str">
        <f>IF(Table!C2205 = "","",Table!C2205)</f>
        <v/>
      </c>
      <c r="D2205" s="32" t="str">
        <f>IF(Table!D2205 = "","",Table!D2205)</f>
        <v/>
      </c>
      <c r="E2205" s="32" t="str">
        <f>IF(Table!E2205 = "","",Table!E2205)</f>
        <v/>
      </c>
      <c r="F2205" s="32" t="str">
        <f>IF(Table!F2205 = "","",Table!F2205)</f>
        <v/>
      </c>
      <c r="G2205" s="91"/>
      <c r="K2205" s="31" t="str">
        <f>IFERROR(VLOOKUP(A2205,Table!$I$4:$O$3000,1,TRUE),"")</f>
        <v/>
      </c>
      <c r="L2205" s="31" t="str">
        <f>IFERROR(INDEX(Table!I:O,MATCH(K2205,Table!I:I,0),2),"")</f>
        <v/>
      </c>
      <c r="M2205" s="31" t="str">
        <f>IFERROR(INDEX(Table!I:O,MATCH(K2205,Table!I:I,0),3),"")</f>
        <v/>
      </c>
      <c r="N2205" s="32" t="str">
        <f>IFERROR(INDEX(Table!I:O,MATCH(K2205,Table!I:I,0),4),"")</f>
        <v/>
      </c>
      <c r="O2205" s="32" t="str">
        <f>IFERROR(INDEX(Table!I:O,MATCH(K2205,Table!I:I,0),5),"")</f>
        <v/>
      </c>
      <c r="P2205" s="32" t="str">
        <f>IFERROR(INDEX(Table!I:O,MATCH(K2205,Table!I:I,0),6),"")</f>
        <v/>
      </c>
      <c r="Q2205" s="89" t="str">
        <f t="shared" si="102"/>
        <v/>
      </c>
      <c r="R2205" s="89" t="str">
        <f t="shared" si="103"/>
        <v/>
      </c>
      <c r="S2205" s="82"/>
      <c r="U2205" s="37"/>
    </row>
    <row r="2206" spans="1:21" x14ac:dyDescent="0.25">
      <c r="A2206" s="31" t="str">
        <f>IF(Table!A2206 = "","",Table!A2206)</f>
        <v/>
      </c>
      <c r="B2206" s="31" t="str">
        <f>IF(Table!B2206 = "","",Table!B2206)</f>
        <v/>
      </c>
      <c r="C2206" s="31" t="str">
        <f>IF(Table!C2206 = "","",Table!C2206)</f>
        <v/>
      </c>
      <c r="D2206" s="32" t="str">
        <f>IF(Table!D2206 = "","",Table!D2206)</f>
        <v/>
      </c>
      <c r="E2206" s="32" t="str">
        <f>IF(Table!E2206 = "","",Table!E2206)</f>
        <v/>
      </c>
      <c r="F2206" s="32" t="str">
        <f>IF(Table!F2206 = "","",Table!F2206)</f>
        <v/>
      </c>
      <c r="G2206" s="91"/>
      <c r="K2206" s="31" t="str">
        <f>IFERROR(VLOOKUP(A2206,Table!$I$4:$O$3000,1,TRUE),"")</f>
        <v/>
      </c>
      <c r="L2206" s="31" t="str">
        <f>IFERROR(INDEX(Table!I:O,MATCH(K2206,Table!I:I,0),2),"")</f>
        <v/>
      </c>
      <c r="M2206" s="31" t="str">
        <f>IFERROR(INDEX(Table!I:O,MATCH(K2206,Table!I:I,0),3),"")</f>
        <v/>
      </c>
      <c r="N2206" s="32" t="str">
        <f>IFERROR(INDEX(Table!I:O,MATCH(K2206,Table!I:I,0),4),"")</f>
        <v/>
      </c>
      <c r="O2206" s="32" t="str">
        <f>IFERROR(INDEX(Table!I:O,MATCH(K2206,Table!I:I,0),5),"")</f>
        <v/>
      </c>
      <c r="P2206" s="32" t="str">
        <f>IFERROR(INDEX(Table!I:O,MATCH(K2206,Table!I:I,0),6),"")</f>
        <v/>
      </c>
      <c r="Q2206" s="89" t="str">
        <f t="shared" si="102"/>
        <v/>
      </c>
      <c r="R2206" s="89" t="str">
        <f t="shared" si="103"/>
        <v/>
      </c>
      <c r="S2206" s="82"/>
      <c r="U2206" s="37"/>
    </row>
    <row r="2207" spans="1:21" x14ac:dyDescent="0.25">
      <c r="A2207" s="31" t="str">
        <f>IF(Table!A2207 = "","",Table!A2207)</f>
        <v/>
      </c>
      <c r="B2207" s="31" t="str">
        <f>IF(Table!B2207 = "","",Table!B2207)</f>
        <v/>
      </c>
      <c r="C2207" s="31" t="str">
        <f>IF(Table!C2207 = "","",Table!C2207)</f>
        <v/>
      </c>
      <c r="D2207" s="32" t="str">
        <f>IF(Table!D2207 = "","",Table!D2207)</f>
        <v/>
      </c>
      <c r="E2207" s="32" t="str">
        <f>IF(Table!E2207 = "","",Table!E2207)</f>
        <v/>
      </c>
      <c r="F2207" s="32" t="str">
        <f>IF(Table!F2207 = "","",Table!F2207)</f>
        <v/>
      </c>
      <c r="G2207" s="91"/>
      <c r="K2207" s="31" t="str">
        <f>IFERROR(VLOOKUP(A2207,Table!$I$4:$O$3000,1,TRUE),"")</f>
        <v/>
      </c>
      <c r="L2207" s="31" t="str">
        <f>IFERROR(INDEX(Table!I:O,MATCH(K2207,Table!I:I,0),2),"")</f>
        <v/>
      </c>
      <c r="M2207" s="31" t="str">
        <f>IFERROR(INDEX(Table!I:O,MATCH(K2207,Table!I:I,0),3),"")</f>
        <v/>
      </c>
      <c r="N2207" s="32" t="str">
        <f>IFERROR(INDEX(Table!I:O,MATCH(K2207,Table!I:I,0),4),"")</f>
        <v/>
      </c>
      <c r="O2207" s="32" t="str">
        <f>IFERROR(INDEX(Table!I:O,MATCH(K2207,Table!I:I,0),5),"")</f>
        <v/>
      </c>
      <c r="P2207" s="32" t="str">
        <f>IFERROR(INDEX(Table!I:O,MATCH(K2207,Table!I:I,0),6),"")</f>
        <v/>
      </c>
      <c r="Q2207" s="89" t="str">
        <f t="shared" si="102"/>
        <v/>
      </c>
      <c r="R2207" s="89" t="str">
        <f t="shared" si="103"/>
        <v/>
      </c>
      <c r="S2207" s="82"/>
      <c r="U2207" s="37"/>
    </row>
    <row r="2208" spans="1:21" x14ac:dyDescent="0.25">
      <c r="A2208" s="31" t="str">
        <f>IF(Table!A2208 = "","",Table!A2208)</f>
        <v/>
      </c>
      <c r="B2208" s="31" t="str">
        <f>IF(Table!B2208 = "","",Table!B2208)</f>
        <v/>
      </c>
      <c r="C2208" s="31" t="str">
        <f>IF(Table!C2208 = "","",Table!C2208)</f>
        <v/>
      </c>
      <c r="D2208" s="32" t="str">
        <f>IF(Table!D2208 = "","",Table!D2208)</f>
        <v/>
      </c>
      <c r="E2208" s="32" t="str">
        <f>IF(Table!E2208 = "","",Table!E2208)</f>
        <v/>
      </c>
      <c r="F2208" s="32" t="str">
        <f>IF(Table!F2208 = "","",Table!F2208)</f>
        <v/>
      </c>
      <c r="G2208" s="91"/>
      <c r="K2208" s="31" t="str">
        <f>IFERROR(VLOOKUP(A2208,Table!$I$4:$O$3000,1,TRUE),"")</f>
        <v/>
      </c>
      <c r="L2208" s="31" t="str">
        <f>IFERROR(INDEX(Table!I:O,MATCH(K2208,Table!I:I,0),2),"")</f>
        <v/>
      </c>
      <c r="M2208" s="31" t="str">
        <f>IFERROR(INDEX(Table!I:O,MATCH(K2208,Table!I:I,0),3),"")</f>
        <v/>
      </c>
      <c r="N2208" s="32" t="str">
        <f>IFERROR(INDEX(Table!I:O,MATCH(K2208,Table!I:I,0),4),"")</f>
        <v/>
      </c>
      <c r="O2208" s="32" t="str">
        <f>IFERROR(INDEX(Table!I:O,MATCH(K2208,Table!I:I,0),5),"")</f>
        <v/>
      </c>
      <c r="P2208" s="32" t="str">
        <f>IFERROR(INDEX(Table!I:O,MATCH(K2208,Table!I:I,0),6),"")</f>
        <v/>
      </c>
      <c r="Q2208" s="89" t="str">
        <f t="shared" si="102"/>
        <v/>
      </c>
      <c r="R2208" s="89" t="str">
        <f t="shared" si="103"/>
        <v/>
      </c>
      <c r="S2208" s="82"/>
      <c r="U2208" s="37"/>
    </row>
    <row r="2209" spans="1:21" x14ac:dyDescent="0.25">
      <c r="A2209" s="31" t="str">
        <f>IF(Table!A2209 = "","",Table!A2209)</f>
        <v/>
      </c>
      <c r="B2209" s="31" t="str">
        <f>IF(Table!B2209 = "","",Table!B2209)</f>
        <v/>
      </c>
      <c r="C2209" s="31" t="str">
        <f>IF(Table!C2209 = "","",Table!C2209)</f>
        <v/>
      </c>
      <c r="D2209" s="32" t="str">
        <f>IF(Table!D2209 = "","",Table!D2209)</f>
        <v/>
      </c>
      <c r="E2209" s="32" t="str">
        <f>IF(Table!E2209 = "","",Table!E2209)</f>
        <v/>
      </c>
      <c r="F2209" s="32" t="str">
        <f>IF(Table!F2209 = "","",Table!F2209)</f>
        <v/>
      </c>
      <c r="G2209" s="91"/>
      <c r="K2209" s="31" t="str">
        <f>IFERROR(VLOOKUP(A2209,Table!$I$4:$O$3000,1,TRUE),"")</f>
        <v/>
      </c>
      <c r="L2209" s="31" t="str">
        <f>IFERROR(INDEX(Table!I:O,MATCH(K2209,Table!I:I,0),2),"")</f>
        <v/>
      </c>
      <c r="M2209" s="31" t="str">
        <f>IFERROR(INDEX(Table!I:O,MATCH(K2209,Table!I:I,0),3),"")</f>
        <v/>
      </c>
      <c r="N2209" s="32" t="str">
        <f>IFERROR(INDEX(Table!I:O,MATCH(K2209,Table!I:I,0),4),"")</f>
        <v/>
      </c>
      <c r="O2209" s="32" t="str">
        <f>IFERROR(INDEX(Table!I:O,MATCH(K2209,Table!I:I,0),5),"")</f>
        <v/>
      </c>
      <c r="P2209" s="32" t="str">
        <f>IFERROR(INDEX(Table!I:O,MATCH(K2209,Table!I:I,0),6),"")</f>
        <v/>
      </c>
      <c r="Q2209" s="89" t="str">
        <f t="shared" si="102"/>
        <v/>
      </c>
      <c r="R2209" s="89" t="str">
        <f t="shared" si="103"/>
        <v/>
      </c>
      <c r="S2209" s="82"/>
      <c r="U2209" s="37"/>
    </row>
    <row r="2210" spans="1:21" x14ac:dyDescent="0.25">
      <c r="A2210" s="31" t="str">
        <f>IF(Table!A2210 = "","",Table!A2210)</f>
        <v/>
      </c>
      <c r="B2210" s="31" t="str">
        <f>IF(Table!B2210 = "","",Table!B2210)</f>
        <v/>
      </c>
      <c r="C2210" s="31" t="str">
        <f>IF(Table!C2210 = "","",Table!C2210)</f>
        <v/>
      </c>
      <c r="D2210" s="32" t="str">
        <f>IF(Table!D2210 = "","",Table!D2210)</f>
        <v/>
      </c>
      <c r="E2210" s="32" t="str">
        <f>IF(Table!E2210 = "","",Table!E2210)</f>
        <v/>
      </c>
      <c r="F2210" s="32" t="str">
        <f>IF(Table!F2210 = "","",Table!F2210)</f>
        <v/>
      </c>
      <c r="G2210" s="91"/>
      <c r="K2210" s="31" t="str">
        <f>IFERROR(VLOOKUP(A2210,Table!$I$4:$O$3000,1,TRUE),"")</f>
        <v/>
      </c>
      <c r="L2210" s="31" t="str">
        <f>IFERROR(INDEX(Table!I:O,MATCH(K2210,Table!I:I,0),2),"")</f>
        <v/>
      </c>
      <c r="M2210" s="31" t="str">
        <f>IFERROR(INDEX(Table!I:O,MATCH(K2210,Table!I:I,0),3),"")</f>
        <v/>
      </c>
      <c r="N2210" s="32" t="str">
        <f>IFERROR(INDEX(Table!I:O,MATCH(K2210,Table!I:I,0),4),"")</f>
        <v/>
      </c>
      <c r="O2210" s="32" t="str">
        <f>IFERROR(INDEX(Table!I:O,MATCH(K2210,Table!I:I,0),5),"")</f>
        <v/>
      </c>
      <c r="P2210" s="32" t="str">
        <f>IFERROR(INDEX(Table!I:O,MATCH(K2210,Table!I:I,0),6),"")</f>
        <v/>
      </c>
      <c r="Q2210" s="89" t="str">
        <f t="shared" si="102"/>
        <v/>
      </c>
      <c r="R2210" s="89" t="str">
        <f t="shared" si="103"/>
        <v/>
      </c>
      <c r="S2210" s="82"/>
      <c r="U2210" s="37"/>
    </row>
    <row r="2211" spans="1:21" x14ac:dyDescent="0.25">
      <c r="A2211" s="31" t="str">
        <f>IF(Table!A2211 = "","",Table!A2211)</f>
        <v/>
      </c>
      <c r="B2211" s="31" t="str">
        <f>IF(Table!B2211 = "","",Table!B2211)</f>
        <v/>
      </c>
      <c r="C2211" s="31" t="str">
        <f>IF(Table!C2211 = "","",Table!C2211)</f>
        <v/>
      </c>
      <c r="D2211" s="32" t="str">
        <f>IF(Table!D2211 = "","",Table!D2211)</f>
        <v/>
      </c>
      <c r="E2211" s="32" t="str">
        <f>IF(Table!E2211 = "","",Table!E2211)</f>
        <v/>
      </c>
      <c r="F2211" s="32" t="str">
        <f>IF(Table!F2211 = "","",Table!F2211)</f>
        <v/>
      </c>
      <c r="G2211" s="91"/>
      <c r="K2211" s="31" t="str">
        <f>IFERROR(VLOOKUP(A2211,Table!$I$4:$O$3000,1,TRUE),"")</f>
        <v/>
      </c>
      <c r="L2211" s="31" t="str">
        <f>IFERROR(INDEX(Table!I:O,MATCH(K2211,Table!I:I,0),2),"")</f>
        <v/>
      </c>
      <c r="M2211" s="31" t="str">
        <f>IFERROR(INDEX(Table!I:O,MATCH(K2211,Table!I:I,0),3),"")</f>
        <v/>
      </c>
      <c r="N2211" s="32" t="str">
        <f>IFERROR(INDEX(Table!I:O,MATCH(K2211,Table!I:I,0),4),"")</f>
        <v/>
      </c>
      <c r="O2211" s="32" t="str">
        <f>IFERROR(INDEX(Table!I:O,MATCH(K2211,Table!I:I,0),5),"")</f>
        <v/>
      </c>
      <c r="P2211" s="32" t="str">
        <f>IFERROR(INDEX(Table!I:O,MATCH(K2211,Table!I:I,0),6),"")</f>
        <v/>
      </c>
      <c r="Q2211" s="89" t="str">
        <f t="shared" si="102"/>
        <v/>
      </c>
      <c r="R2211" s="89" t="str">
        <f t="shared" si="103"/>
        <v/>
      </c>
      <c r="S2211" s="82"/>
      <c r="U2211" s="37"/>
    </row>
    <row r="2212" spans="1:21" x14ac:dyDescent="0.25">
      <c r="A2212" s="31" t="str">
        <f>IF(Table!A2212 = "","",Table!A2212)</f>
        <v/>
      </c>
      <c r="B2212" s="31" t="str">
        <f>IF(Table!B2212 = "","",Table!B2212)</f>
        <v/>
      </c>
      <c r="C2212" s="31" t="str">
        <f>IF(Table!C2212 = "","",Table!C2212)</f>
        <v/>
      </c>
      <c r="D2212" s="32" t="str">
        <f>IF(Table!D2212 = "","",Table!D2212)</f>
        <v/>
      </c>
      <c r="E2212" s="32" t="str">
        <f>IF(Table!E2212 = "","",Table!E2212)</f>
        <v/>
      </c>
      <c r="F2212" s="32" t="str">
        <f>IF(Table!F2212 = "","",Table!F2212)</f>
        <v/>
      </c>
      <c r="G2212" s="91"/>
      <c r="K2212" s="31" t="str">
        <f>IFERROR(VLOOKUP(A2212,Table!$I$4:$O$3000,1,TRUE),"")</f>
        <v/>
      </c>
      <c r="L2212" s="31" t="str">
        <f>IFERROR(INDEX(Table!I:O,MATCH(K2212,Table!I:I,0),2),"")</f>
        <v/>
      </c>
      <c r="M2212" s="31" t="str">
        <f>IFERROR(INDEX(Table!I:O,MATCH(K2212,Table!I:I,0),3),"")</f>
        <v/>
      </c>
      <c r="N2212" s="32" t="str">
        <f>IFERROR(INDEX(Table!I:O,MATCH(K2212,Table!I:I,0),4),"")</f>
        <v/>
      </c>
      <c r="O2212" s="32" t="str">
        <f>IFERROR(INDEX(Table!I:O,MATCH(K2212,Table!I:I,0),5),"")</f>
        <v/>
      </c>
      <c r="P2212" s="32" t="str">
        <f>IFERROR(INDEX(Table!I:O,MATCH(K2212,Table!I:I,0),6),"")</f>
        <v/>
      </c>
      <c r="Q2212" s="89" t="str">
        <f t="shared" si="102"/>
        <v/>
      </c>
      <c r="R2212" s="89" t="str">
        <f t="shared" si="103"/>
        <v/>
      </c>
      <c r="S2212" s="82"/>
      <c r="U2212" s="37"/>
    </row>
    <row r="2213" spans="1:21" x14ac:dyDescent="0.25">
      <c r="A2213" s="31" t="str">
        <f>IF(Table!A2213 = "","",Table!A2213)</f>
        <v/>
      </c>
      <c r="B2213" s="31" t="str">
        <f>IF(Table!B2213 = "","",Table!B2213)</f>
        <v/>
      </c>
      <c r="C2213" s="31" t="str">
        <f>IF(Table!C2213 = "","",Table!C2213)</f>
        <v/>
      </c>
      <c r="D2213" s="32" t="str">
        <f>IF(Table!D2213 = "","",Table!D2213)</f>
        <v/>
      </c>
      <c r="E2213" s="32" t="str">
        <f>IF(Table!E2213 = "","",Table!E2213)</f>
        <v/>
      </c>
      <c r="F2213" s="32" t="str">
        <f>IF(Table!F2213 = "","",Table!F2213)</f>
        <v/>
      </c>
      <c r="G2213" s="91"/>
      <c r="K2213" s="31" t="str">
        <f>IFERROR(VLOOKUP(A2213,Table!$I$4:$O$3000,1,TRUE),"")</f>
        <v/>
      </c>
      <c r="L2213" s="31" t="str">
        <f>IFERROR(INDEX(Table!I:O,MATCH(K2213,Table!I:I,0),2),"")</f>
        <v/>
      </c>
      <c r="M2213" s="31" t="str">
        <f>IFERROR(INDEX(Table!I:O,MATCH(K2213,Table!I:I,0),3),"")</f>
        <v/>
      </c>
      <c r="N2213" s="32" t="str">
        <f>IFERROR(INDEX(Table!I:O,MATCH(K2213,Table!I:I,0),4),"")</f>
        <v/>
      </c>
      <c r="O2213" s="32" t="str">
        <f>IFERROR(INDEX(Table!I:O,MATCH(K2213,Table!I:I,0),5),"")</f>
        <v/>
      </c>
      <c r="P2213" s="32" t="str">
        <f>IFERROR(INDEX(Table!I:O,MATCH(K2213,Table!I:I,0),6),"")</f>
        <v/>
      </c>
      <c r="Q2213" s="89" t="str">
        <f t="shared" si="102"/>
        <v/>
      </c>
      <c r="R2213" s="89" t="str">
        <f t="shared" si="103"/>
        <v/>
      </c>
      <c r="S2213" s="82"/>
      <c r="U2213" s="37"/>
    </row>
    <row r="2214" spans="1:21" x14ac:dyDescent="0.25">
      <c r="A2214" s="31" t="str">
        <f>IF(Table!A2214 = "","",Table!A2214)</f>
        <v/>
      </c>
      <c r="B2214" s="31" t="str">
        <f>IF(Table!B2214 = "","",Table!B2214)</f>
        <v/>
      </c>
      <c r="C2214" s="31" t="str">
        <f>IF(Table!C2214 = "","",Table!C2214)</f>
        <v/>
      </c>
      <c r="D2214" s="32" t="str">
        <f>IF(Table!D2214 = "","",Table!D2214)</f>
        <v/>
      </c>
      <c r="E2214" s="32" t="str">
        <f>IF(Table!E2214 = "","",Table!E2214)</f>
        <v/>
      </c>
      <c r="F2214" s="32" t="str">
        <f>IF(Table!F2214 = "","",Table!F2214)</f>
        <v/>
      </c>
      <c r="G2214" s="91"/>
      <c r="K2214" s="31" t="str">
        <f>IFERROR(VLOOKUP(A2214,Table!$I$4:$O$3000,1,TRUE),"")</f>
        <v/>
      </c>
      <c r="L2214" s="31" t="str">
        <f>IFERROR(INDEX(Table!I:O,MATCH(K2214,Table!I:I,0),2),"")</f>
        <v/>
      </c>
      <c r="M2214" s="31" t="str">
        <f>IFERROR(INDEX(Table!I:O,MATCH(K2214,Table!I:I,0),3),"")</f>
        <v/>
      </c>
      <c r="N2214" s="32" t="str">
        <f>IFERROR(INDEX(Table!I:O,MATCH(K2214,Table!I:I,0),4),"")</f>
        <v/>
      </c>
      <c r="O2214" s="32" t="str">
        <f>IFERROR(INDEX(Table!I:O,MATCH(K2214,Table!I:I,0),5),"")</f>
        <v/>
      </c>
      <c r="P2214" s="32" t="str">
        <f>IFERROR(INDEX(Table!I:O,MATCH(K2214,Table!I:I,0),6),"")</f>
        <v/>
      </c>
      <c r="Q2214" s="89" t="str">
        <f t="shared" si="102"/>
        <v/>
      </c>
      <c r="R2214" s="89" t="str">
        <f t="shared" si="103"/>
        <v/>
      </c>
      <c r="S2214" s="82"/>
      <c r="U2214" s="37"/>
    </row>
    <row r="2215" spans="1:21" x14ac:dyDescent="0.25">
      <c r="A2215" s="31" t="str">
        <f>IF(Table!A2215 = "","",Table!A2215)</f>
        <v/>
      </c>
      <c r="B2215" s="31" t="str">
        <f>IF(Table!B2215 = "","",Table!B2215)</f>
        <v/>
      </c>
      <c r="C2215" s="31" t="str">
        <f>IF(Table!C2215 = "","",Table!C2215)</f>
        <v/>
      </c>
      <c r="D2215" s="32" t="str">
        <f>IF(Table!D2215 = "","",Table!D2215)</f>
        <v/>
      </c>
      <c r="E2215" s="32" t="str">
        <f>IF(Table!E2215 = "","",Table!E2215)</f>
        <v/>
      </c>
      <c r="F2215" s="32" t="str">
        <f>IF(Table!F2215 = "","",Table!F2215)</f>
        <v/>
      </c>
      <c r="G2215" s="91"/>
      <c r="K2215" s="31" t="str">
        <f>IFERROR(VLOOKUP(A2215,Table!$I$4:$O$3000,1,TRUE),"")</f>
        <v/>
      </c>
      <c r="L2215" s="31" t="str">
        <f>IFERROR(INDEX(Table!I:O,MATCH(K2215,Table!I:I,0),2),"")</f>
        <v/>
      </c>
      <c r="M2215" s="31" t="str">
        <f>IFERROR(INDEX(Table!I:O,MATCH(K2215,Table!I:I,0),3),"")</f>
        <v/>
      </c>
      <c r="N2215" s="32" t="str">
        <f>IFERROR(INDEX(Table!I:O,MATCH(K2215,Table!I:I,0),4),"")</f>
        <v/>
      </c>
      <c r="O2215" s="32" t="str">
        <f>IFERROR(INDEX(Table!I:O,MATCH(K2215,Table!I:I,0),5),"")</f>
        <v/>
      </c>
      <c r="P2215" s="32" t="str">
        <f>IFERROR(INDEX(Table!I:O,MATCH(K2215,Table!I:I,0),6),"")</f>
        <v/>
      </c>
      <c r="Q2215" s="89" t="str">
        <f t="shared" si="102"/>
        <v/>
      </c>
      <c r="R2215" s="89" t="str">
        <f t="shared" si="103"/>
        <v/>
      </c>
      <c r="S2215" s="82"/>
      <c r="U2215" s="37"/>
    </row>
    <row r="2216" spans="1:21" x14ac:dyDescent="0.25">
      <c r="A2216" s="31" t="str">
        <f>IF(Table!A2216 = "","",Table!A2216)</f>
        <v/>
      </c>
      <c r="B2216" s="31" t="str">
        <f>IF(Table!B2216 = "","",Table!B2216)</f>
        <v/>
      </c>
      <c r="C2216" s="31" t="str">
        <f>IF(Table!C2216 = "","",Table!C2216)</f>
        <v/>
      </c>
      <c r="D2216" s="32" t="str">
        <f>IF(Table!D2216 = "","",Table!D2216)</f>
        <v/>
      </c>
      <c r="E2216" s="32" t="str">
        <f>IF(Table!E2216 = "","",Table!E2216)</f>
        <v/>
      </c>
      <c r="F2216" s="32" t="str">
        <f>IF(Table!F2216 = "","",Table!F2216)</f>
        <v/>
      </c>
      <c r="G2216" s="91"/>
      <c r="K2216" s="31" t="str">
        <f>IFERROR(VLOOKUP(A2216,Table!$I$4:$O$3000,1,TRUE),"")</f>
        <v/>
      </c>
      <c r="L2216" s="31" t="str">
        <f>IFERROR(INDEX(Table!I:O,MATCH(K2216,Table!I:I,0),2),"")</f>
        <v/>
      </c>
      <c r="M2216" s="31" t="str">
        <f>IFERROR(INDEX(Table!I:O,MATCH(K2216,Table!I:I,0),3),"")</f>
        <v/>
      </c>
      <c r="N2216" s="32" t="str">
        <f>IFERROR(INDEX(Table!I:O,MATCH(K2216,Table!I:I,0),4),"")</f>
        <v/>
      </c>
      <c r="O2216" s="32" t="str">
        <f>IFERROR(INDEX(Table!I:O,MATCH(K2216,Table!I:I,0),5),"")</f>
        <v/>
      </c>
      <c r="P2216" s="32" t="str">
        <f>IFERROR(INDEX(Table!I:O,MATCH(K2216,Table!I:I,0),6),"")</f>
        <v/>
      </c>
      <c r="Q2216" s="89" t="str">
        <f t="shared" si="102"/>
        <v/>
      </c>
      <c r="R2216" s="89" t="str">
        <f t="shared" si="103"/>
        <v/>
      </c>
      <c r="S2216" s="82"/>
      <c r="U2216" s="37"/>
    </row>
    <row r="2217" spans="1:21" x14ac:dyDescent="0.25">
      <c r="A2217" s="31" t="str">
        <f>IF(Table!A2217 = "","",Table!A2217)</f>
        <v/>
      </c>
      <c r="B2217" s="31" t="str">
        <f>IF(Table!B2217 = "","",Table!B2217)</f>
        <v/>
      </c>
      <c r="C2217" s="31" t="str">
        <f>IF(Table!C2217 = "","",Table!C2217)</f>
        <v/>
      </c>
      <c r="D2217" s="32" t="str">
        <f>IF(Table!D2217 = "","",Table!D2217)</f>
        <v/>
      </c>
      <c r="E2217" s="32" t="str">
        <f>IF(Table!E2217 = "","",Table!E2217)</f>
        <v/>
      </c>
      <c r="F2217" s="32" t="str">
        <f>IF(Table!F2217 = "","",Table!F2217)</f>
        <v/>
      </c>
      <c r="G2217" s="91"/>
      <c r="K2217" s="31" t="str">
        <f>IFERROR(VLOOKUP(A2217,Table!$I$4:$O$3000,1,TRUE),"")</f>
        <v/>
      </c>
      <c r="L2217" s="31" t="str">
        <f>IFERROR(INDEX(Table!I:O,MATCH(K2217,Table!I:I,0),2),"")</f>
        <v/>
      </c>
      <c r="M2217" s="31" t="str">
        <f>IFERROR(INDEX(Table!I:O,MATCH(K2217,Table!I:I,0),3),"")</f>
        <v/>
      </c>
      <c r="N2217" s="32" t="str">
        <f>IFERROR(INDEX(Table!I:O,MATCH(K2217,Table!I:I,0),4),"")</f>
        <v/>
      </c>
      <c r="O2217" s="32" t="str">
        <f>IFERROR(INDEX(Table!I:O,MATCH(K2217,Table!I:I,0),5),"")</f>
        <v/>
      </c>
      <c r="P2217" s="32" t="str">
        <f>IFERROR(INDEX(Table!I:O,MATCH(K2217,Table!I:I,0),6),"")</f>
        <v/>
      </c>
      <c r="Q2217" s="89" t="str">
        <f t="shared" si="102"/>
        <v/>
      </c>
      <c r="R2217" s="89" t="str">
        <f t="shared" si="103"/>
        <v/>
      </c>
      <c r="S2217" s="82"/>
      <c r="U2217" s="37"/>
    </row>
    <row r="2218" spans="1:21" x14ac:dyDescent="0.25">
      <c r="A2218" s="31" t="str">
        <f>IF(Table!A2218 = "","",Table!A2218)</f>
        <v/>
      </c>
      <c r="B2218" s="31" t="str">
        <f>IF(Table!B2218 = "","",Table!B2218)</f>
        <v/>
      </c>
      <c r="C2218" s="31" t="str">
        <f>IF(Table!C2218 = "","",Table!C2218)</f>
        <v/>
      </c>
      <c r="D2218" s="32" t="str">
        <f>IF(Table!D2218 = "","",Table!D2218)</f>
        <v/>
      </c>
      <c r="E2218" s="32" t="str">
        <f>IF(Table!E2218 = "","",Table!E2218)</f>
        <v/>
      </c>
      <c r="F2218" s="32" t="str">
        <f>IF(Table!F2218 = "","",Table!F2218)</f>
        <v/>
      </c>
      <c r="G2218" s="91"/>
      <c r="K2218" s="31" t="str">
        <f>IFERROR(VLOOKUP(A2218,Table!$I$4:$O$3000,1,TRUE),"")</f>
        <v/>
      </c>
      <c r="L2218" s="31" t="str">
        <f>IFERROR(INDEX(Table!I:O,MATCH(K2218,Table!I:I,0),2),"")</f>
        <v/>
      </c>
      <c r="M2218" s="31" t="str">
        <f>IFERROR(INDEX(Table!I:O,MATCH(K2218,Table!I:I,0),3),"")</f>
        <v/>
      </c>
      <c r="N2218" s="32" t="str">
        <f>IFERROR(INDEX(Table!I:O,MATCH(K2218,Table!I:I,0),4),"")</f>
        <v/>
      </c>
      <c r="O2218" s="32" t="str">
        <f>IFERROR(INDEX(Table!I:O,MATCH(K2218,Table!I:I,0),5),"")</f>
        <v/>
      </c>
      <c r="P2218" s="32" t="str">
        <f>IFERROR(INDEX(Table!I:O,MATCH(K2218,Table!I:I,0),6),"")</f>
        <v/>
      </c>
      <c r="Q2218" s="89" t="str">
        <f t="shared" si="102"/>
        <v/>
      </c>
      <c r="R2218" s="89" t="str">
        <f t="shared" si="103"/>
        <v/>
      </c>
      <c r="S2218" s="82"/>
      <c r="U2218" s="37"/>
    </row>
    <row r="2219" spans="1:21" x14ac:dyDescent="0.25">
      <c r="A2219" s="31" t="str">
        <f>IF(Table!A2219 = "","",Table!A2219)</f>
        <v/>
      </c>
      <c r="B2219" s="31" t="str">
        <f>IF(Table!B2219 = "","",Table!B2219)</f>
        <v/>
      </c>
      <c r="C2219" s="31" t="str">
        <f>IF(Table!C2219 = "","",Table!C2219)</f>
        <v/>
      </c>
      <c r="D2219" s="32" t="str">
        <f>IF(Table!D2219 = "","",Table!D2219)</f>
        <v/>
      </c>
      <c r="E2219" s="32" t="str">
        <f>IF(Table!E2219 = "","",Table!E2219)</f>
        <v/>
      </c>
      <c r="F2219" s="32" t="str">
        <f>IF(Table!F2219 = "","",Table!F2219)</f>
        <v/>
      </c>
      <c r="G2219" s="91"/>
      <c r="K2219" s="31" t="str">
        <f>IFERROR(VLOOKUP(A2219,Table!$I$4:$O$3000,1,TRUE),"")</f>
        <v/>
      </c>
      <c r="L2219" s="31" t="str">
        <f>IFERROR(INDEX(Table!I:O,MATCH(K2219,Table!I:I,0),2),"")</f>
        <v/>
      </c>
      <c r="M2219" s="31" t="str">
        <f>IFERROR(INDEX(Table!I:O,MATCH(K2219,Table!I:I,0),3),"")</f>
        <v/>
      </c>
      <c r="N2219" s="32" t="str">
        <f>IFERROR(INDEX(Table!I:O,MATCH(K2219,Table!I:I,0),4),"")</f>
        <v/>
      </c>
      <c r="O2219" s="32" t="str">
        <f>IFERROR(INDEX(Table!I:O,MATCH(K2219,Table!I:I,0),5),"")</f>
        <v/>
      </c>
      <c r="P2219" s="32" t="str">
        <f>IFERROR(INDEX(Table!I:O,MATCH(K2219,Table!I:I,0),6),"")</f>
        <v/>
      </c>
      <c r="Q2219" s="89" t="str">
        <f t="shared" si="102"/>
        <v/>
      </c>
      <c r="R2219" s="89" t="str">
        <f t="shared" si="103"/>
        <v/>
      </c>
      <c r="S2219" s="82"/>
      <c r="U2219" s="37"/>
    </row>
    <row r="2220" spans="1:21" x14ac:dyDescent="0.25">
      <c r="A2220" s="31" t="str">
        <f>IF(Table!A2220 = "","",Table!A2220)</f>
        <v/>
      </c>
      <c r="B2220" s="31" t="str">
        <f>IF(Table!B2220 = "","",Table!B2220)</f>
        <v/>
      </c>
      <c r="C2220" s="31" t="str">
        <f>IF(Table!C2220 = "","",Table!C2220)</f>
        <v/>
      </c>
      <c r="D2220" s="32" t="str">
        <f>IF(Table!D2220 = "","",Table!D2220)</f>
        <v/>
      </c>
      <c r="E2220" s="32" t="str">
        <f>IF(Table!E2220 = "","",Table!E2220)</f>
        <v/>
      </c>
      <c r="F2220" s="32" t="str">
        <f>IF(Table!F2220 = "","",Table!F2220)</f>
        <v/>
      </c>
      <c r="G2220" s="91"/>
      <c r="K2220" s="31" t="str">
        <f>IFERROR(VLOOKUP(A2220,Table!$I$4:$O$3000,1,TRUE),"")</f>
        <v/>
      </c>
      <c r="L2220" s="31" t="str">
        <f>IFERROR(INDEX(Table!I:O,MATCH(K2220,Table!I:I,0),2),"")</f>
        <v/>
      </c>
      <c r="M2220" s="31" t="str">
        <f>IFERROR(INDEX(Table!I:O,MATCH(K2220,Table!I:I,0),3),"")</f>
        <v/>
      </c>
      <c r="N2220" s="32" t="str">
        <f>IFERROR(INDEX(Table!I:O,MATCH(K2220,Table!I:I,0),4),"")</f>
        <v/>
      </c>
      <c r="O2220" s="32" t="str">
        <f>IFERROR(INDEX(Table!I:O,MATCH(K2220,Table!I:I,0),5),"")</f>
        <v/>
      </c>
      <c r="P2220" s="32" t="str">
        <f>IFERROR(INDEX(Table!I:O,MATCH(K2220,Table!I:I,0),6),"")</f>
        <v/>
      </c>
      <c r="Q2220" s="89" t="str">
        <f t="shared" si="102"/>
        <v/>
      </c>
      <c r="R2220" s="89" t="str">
        <f t="shared" si="103"/>
        <v/>
      </c>
      <c r="S2220" s="82"/>
      <c r="U2220" s="37"/>
    </row>
    <row r="2221" spans="1:21" x14ac:dyDescent="0.25">
      <c r="A2221" s="31" t="str">
        <f>IF(Table!A2221 = "","",Table!A2221)</f>
        <v/>
      </c>
      <c r="B2221" s="31" t="str">
        <f>IF(Table!B2221 = "","",Table!B2221)</f>
        <v/>
      </c>
      <c r="C2221" s="31" t="str">
        <f>IF(Table!C2221 = "","",Table!C2221)</f>
        <v/>
      </c>
      <c r="D2221" s="32" t="str">
        <f>IF(Table!D2221 = "","",Table!D2221)</f>
        <v/>
      </c>
      <c r="E2221" s="32" t="str">
        <f>IF(Table!E2221 = "","",Table!E2221)</f>
        <v/>
      </c>
      <c r="F2221" s="32" t="str">
        <f>IF(Table!F2221 = "","",Table!F2221)</f>
        <v/>
      </c>
      <c r="G2221" s="91"/>
      <c r="K2221" s="31" t="str">
        <f>IFERROR(VLOOKUP(A2221,Table!$I$4:$O$3000,1,TRUE),"")</f>
        <v/>
      </c>
      <c r="L2221" s="31" t="str">
        <f>IFERROR(INDEX(Table!I:O,MATCH(K2221,Table!I:I,0),2),"")</f>
        <v/>
      </c>
      <c r="M2221" s="31" t="str">
        <f>IFERROR(INDEX(Table!I:O,MATCH(K2221,Table!I:I,0),3),"")</f>
        <v/>
      </c>
      <c r="N2221" s="32" t="str">
        <f>IFERROR(INDEX(Table!I:O,MATCH(K2221,Table!I:I,0),4),"")</f>
        <v/>
      </c>
      <c r="O2221" s="32" t="str">
        <f>IFERROR(INDEX(Table!I:O,MATCH(K2221,Table!I:I,0),5),"")</f>
        <v/>
      </c>
      <c r="P2221" s="32" t="str">
        <f>IFERROR(INDEX(Table!I:O,MATCH(K2221,Table!I:I,0),6),"")</f>
        <v/>
      </c>
      <c r="Q2221" s="89" t="str">
        <f t="shared" si="102"/>
        <v/>
      </c>
      <c r="R2221" s="89" t="str">
        <f t="shared" si="103"/>
        <v/>
      </c>
      <c r="S2221" s="82"/>
      <c r="U2221" s="37"/>
    </row>
    <row r="2222" spans="1:21" x14ac:dyDescent="0.25">
      <c r="A2222" s="31" t="str">
        <f>IF(Table!A2222 = "","",Table!A2222)</f>
        <v/>
      </c>
      <c r="B2222" s="31" t="str">
        <f>IF(Table!B2222 = "","",Table!B2222)</f>
        <v/>
      </c>
      <c r="C2222" s="31" t="str">
        <f>IF(Table!C2222 = "","",Table!C2222)</f>
        <v/>
      </c>
      <c r="D2222" s="32" t="str">
        <f>IF(Table!D2222 = "","",Table!D2222)</f>
        <v/>
      </c>
      <c r="E2222" s="32" t="str">
        <f>IF(Table!E2222 = "","",Table!E2222)</f>
        <v/>
      </c>
      <c r="F2222" s="32" t="str">
        <f>IF(Table!F2222 = "","",Table!F2222)</f>
        <v/>
      </c>
      <c r="G2222" s="91"/>
      <c r="K2222" s="31" t="str">
        <f>IFERROR(VLOOKUP(A2222,Table!$I$4:$O$3000,1,TRUE),"")</f>
        <v/>
      </c>
      <c r="L2222" s="31" t="str">
        <f>IFERROR(INDEX(Table!I:O,MATCH(K2222,Table!I:I,0),2),"")</f>
        <v/>
      </c>
      <c r="M2222" s="31" t="str">
        <f>IFERROR(INDEX(Table!I:O,MATCH(K2222,Table!I:I,0),3),"")</f>
        <v/>
      </c>
      <c r="N2222" s="32" t="str">
        <f>IFERROR(INDEX(Table!I:O,MATCH(K2222,Table!I:I,0),4),"")</f>
        <v/>
      </c>
      <c r="O2222" s="32" t="str">
        <f>IFERROR(INDEX(Table!I:O,MATCH(K2222,Table!I:I,0),5),"")</f>
        <v/>
      </c>
      <c r="P2222" s="32" t="str">
        <f>IFERROR(INDEX(Table!I:O,MATCH(K2222,Table!I:I,0),6),"")</f>
        <v/>
      </c>
      <c r="Q2222" s="89" t="str">
        <f t="shared" si="102"/>
        <v/>
      </c>
      <c r="R2222" s="89" t="str">
        <f t="shared" si="103"/>
        <v/>
      </c>
      <c r="S2222" s="82"/>
      <c r="U2222" s="37"/>
    </row>
    <row r="2223" spans="1:21" x14ac:dyDescent="0.25">
      <c r="A2223" s="31" t="str">
        <f>IF(Table!A2223 = "","",Table!A2223)</f>
        <v/>
      </c>
      <c r="B2223" s="31" t="str">
        <f>IF(Table!B2223 = "","",Table!B2223)</f>
        <v/>
      </c>
      <c r="C2223" s="31" t="str">
        <f>IF(Table!C2223 = "","",Table!C2223)</f>
        <v/>
      </c>
      <c r="D2223" s="32" t="str">
        <f>IF(Table!D2223 = "","",Table!D2223)</f>
        <v/>
      </c>
      <c r="E2223" s="32" t="str">
        <f>IF(Table!E2223 = "","",Table!E2223)</f>
        <v/>
      </c>
      <c r="F2223" s="32" t="str">
        <f>IF(Table!F2223 = "","",Table!F2223)</f>
        <v/>
      </c>
      <c r="G2223" s="91"/>
      <c r="K2223" s="31" t="str">
        <f>IFERROR(VLOOKUP(A2223,Table!$I$4:$O$3000,1,TRUE),"")</f>
        <v/>
      </c>
      <c r="L2223" s="31" t="str">
        <f>IFERROR(INDEX(Table!I:O,MATCH(K2223,Table!I:I,0),2),"")</f>
        <v/>
      </c>
      <c r="M2223" s="31" t="str">
        <f>IFERROR(INDEX(Table!I:O,MATCH(K2223,Table!I:I,0),3),"")</f>
        <v/>
      </c>
      <c r="N2223" s="32" t="str">
        <f>IFERROR(INDEX(Table!I:O,MATCH(K2223,Table!I:I,0),4),"")</f>
        <v/>
      </c>
      <c r="O2223" s="32" t="str">
        <f>IFERROR(INDEX(Table!I:O,MATCH(K2223,Table!I:I,0),5),"")</f>
        <v/>
      </c>
      <c r="P2223" s="32" t="str">
        <f>IFERROR(INDEX(Table!I:O,MATCH(K2223,Table!I:I,0),6),"")</f>
        <v/>
      </c>
      <c r="Q2223" s="89" t="str">
        <f t="shared" si="102"/>
        <v/>
      </c>
      <c r="R2223" s="89" t="str">
        <f t="shared" si="103"/>
        <v/>
      </c>
      <c r="S2223" s="82"/>
      <c r="U2223" s="37"/>
    </row>
    <row r="2224" spans="1:21" x14ac:dyDescent="0.25">
      <c r="A2224" s="31" t="str">
        <f>IF(Table!A2224 = "","",Table!A2224)</f>
        <v/>
      </c>
      <c r="B2224" s="31" t="str">
        <f>IF(Table!B2224 = "","",Table!B2224)</f>
        <v/>
      </c>
      <c r="C2224" s="31" t="str">
        <f>IF(Table!C2224 = "","",Table!C2224)</f>
        <v/>
      </c>
      <c r="D2224" s="32" t="str">
        <f>IF(Table!D2224 = "","",Table!D2224)</f>
        <v/>
      </c>
      <c r="E2224" s="32" t="str">
        <f>IF(Table!E2224 = "","",Table!E2224)</f>
        <v/>
      </c>
      <c r="F2224" s="32" t="str">
        <f>IF(Table!F2224 = "","",Table!F2224)</f>
        <v/>
      </c>
      <c r="G2224" s="91"/>
      <c r="K2224" s="31" t="str">
        <f>IFERROR(VLOOKUP(A2224,Table!$I$4:$O$3000,1,TRUE),"")</f>
        <v/>
      </c>
      <c r="L2224" s="31" t="str">
        <f>IFERROR(INDEX(Table!I:O,MATCH(K2224,Table!I:I,0),2),"")</f>
        <v/>
      </c>
      <c r="M2224" s="31" t="str">
        <f>IFERROR(INDEX(Table!I:O,MATCH(K2224,Table!I:I,0),3),"")</f>
        <v/>
      </c>
      <c r="N2224" s="32" t="str">
        <f>IFERROR(INDEX(Table!I:O,MATCH(K2224,Table!I:I,0),4),"")</f>
        <v/>
      </c>
      <c r="O2224" s="32" t="str">
        <f>IFERROR(INDEX(Table!I:O,MATCH(K2224,Table!I:I,0),5),"")</f>
        <v/>
      </c>
      <c r="P2224" s="32" t="str">
        <f>IFERROR(INDEX(Table!I:O,MATCH(K2224,Table!I:I,0),6),"")</f>
        <v/>
      </c>
      <c r="Q2224" s="89" t="str">
        <f t="shared" si="102"/>
        <v/>
      </c>
      <c r="R2224" s="89" t="str">
        <f t="shared" si="103"/>
        <v/>
      </c>
      <c r="S2224" s="82"/>
      <c r="U2224" s="37"/>
    </row>
    <row r="2225" spans="1:21" x14ac:dyDescent="0.25">
      <c r="A2225" s="31" t="str">
        <f>IF(Table!A2225 = "","",Table!A2225)</f>
        <v/>
      </c>
      <c r="B2225" s="31" t="str">
        <f>IF(Table!B2225 = "","",Table!B2225)</f>
        <v/>
      </c>
      <c r="C2225" s="31" t="str">
        <f>IF(Table!C2225 = "","",Table!C2225)</f>
        <v/>
      </c>
      <c r="D2225" s="32" t="str">
        <f>IF(Table!D2225 = "","",Table!D2225)</f>
        <v/>
      </c>
      <c r="E2225" s="32" t="str">
        <f>IF(Table!E2225 = "","",Table!E2225)</f>
        <v/>
      </c>
      <c r="F2225" s="32" t="str">
        <f>IF(Table!F2225 = "","",Table!F2225)</f>
        <v/>
      </c>
      <c r="G2225" s="91"/>
      <c r="K2225" s="31" t="str">
        <f>IFERROR(VLOOKUP(A2225,Table!$I$4:$O$3000,1,TRUE),"")</f>
        <v/>
      </c>
      <c r="L2225" s="31" t="str">
        <f>IFERROR(INDEX(Table!I:O,MATCH(K2225,Table!I:I,0),2),"")</f>
        <v/>
      </c>
      <c r="M2225" s="31" t="str">
        <f>IFERROR(INDEX(Table!I:O,MATCH(K2225,Table!I:I,0),3),"")</f>
        <v/>
      </c>
      <c r="N2225" s="32" t="str">
        <f>IFERROR(INDEX(Table!I:O,MATCH(K2225,Table!I:I,0),4),"")</f>
        <v/>
      </c>
      <c r="O2225" s="32" t="str">
        <f>IFERROR(INDEX(Table!I:O,MATCH(K2225,Table!I:I,0),5),"")</f>
        <v/>
      </c>
      <c r="P2225" s="32" t="str">
        <f>IFERROR(INDEX(Table!I:O,MATCH(K2225,Table!I:I,0),6),"")</f>
        <v/>
      </c>
      <c r="Q2225" s="89" t="str">
        <f t="shared" si="102"/>
        <v/>
      </c>
      <c r="R2225" s="89" t="str">
        <f t="shared" si="103"/>
        <v/>
      </c>
      <c r="S2225" s="82"/>
      <c r="U2225" s="37"/>
    </row>
    <row r="2226" spans="1:21" x14ac:dyDescent="0.25">
      <c r="A2226" s="31" t="str">
        <f>IF(Table!A2226 = "","",Table!A2226)</f>
        <v/>
      </c>
      <c r="B2226" s="31" t="str">
        <f>IF(Table!B2226 = "","",Table!B2226)</f>
        <v/>
      </c>
      <c r="C2226" s="31" t="str">
        <f>IF(Table!C2226 = "","",Table!C2226)</f>
        <v/>
      </c>
      <c r="D2226" s="32" t="str">
        <f>IF(Table!D2226 = "","",Table!D2226)</f>
        <v/>
      </c>
      <c r="E2226" s="32" t="str">
        <f>IF(Table!E2226 = "","",Table!E2226)</f>
        <v/>
      </c>
      <c r="F2226" s="32" t="str">
        <f>IF(Table!F2226 = "","",Table!F2226)</f>
        <v/>
      </c>
      <c r="G2226" s="91"/>
      <c r="K2226" s="31" t="str">
        <f>IFERROR(VLOOKUP(A2226,Table!$I$4:$O$3000,1,TRUE),"")</f>
        <v/>
      </c>
      <c r="L2226" s="31" t="str">
        <f>IFERROR(INDEX(Table!I:O,MATCH(K2226,Table!I:I,0),2),"")</f>
        <v/>
      </c>
      <c r="M2226" s="31" t="str">
        <f>IFERROR(INDEX(Table!I:O,MATCH(K2226,Table!I:I,0),3),"")</f>
        <v/>
      </c>
      <c r="N2226" s="32" t="str">
        <f>IFERROR(INDEX(Table!I:O,MATCH(K2226,Table!I:I,0),4),"")</f>
        <v/>
      </c>
      <c r="O2226" s="32" t="str">
        <f>IFERROR(INDEX(Table!I:O,MATCH(K2226,Table!I:I,0),5),"")</f>
        <v/>
      </c>
      <c r="P2226" s="32" t="str">
        <f>IFERROR(INDEX(Table!I:O,MATCH(K2226,Table!I:I,0),6),"")</f>
        <v/>
      </c>
      <c r="Q2226" s="89" t="str">
        <f t="shared" si="102"/>
        <v/>
      </c>
      <c r="R2226" s="89" t="str">
        <f t="shared" si="103"/>
        <v/>
      </c>
      <c r="S2226" s="82"/>
      <c r="U2226" s="37"/>
    </row>
    <row r="2227" spans="1:21" x14ac:dyDescent="0.25">
      <c r="A2227" s="31" t="str">
        <f>IF(Table!A2227 = "","",Table!A2227)</f>
        <v/>
      </c>
      <c r="B2227" s="31" t="str">
        <f>IF(Table!B2227 = "","",Table!B2227)</f>
        <v/>
      </c>
      <c r="C2227" s="31" t="str">
        <f>IF(Table!C2227 = "","",Table!C2227)</f>
        <v/>
      </c>
      <c r="D2227" s="32" t="str">
        <f>IF(Table!D2227 = "","",Table!D2227)</f>
        <v/>
      </c>
      <c r="E2227" s="32" t="str">
        <f>IF(Table!E2227 = "","",Table!E2227)</f>
        <v/>
      </c>
      <c r="F2227" s="32" t="str">
        <f>IF(Table!F2227 = "","",Table!F2227)</f>
        <v/>
      </c>
      <c r="G2227" s="91"/>
      <c r="K2227" s="31" t="str">
        <f>IFERROR(VLOOKUP(A2227,Table!$I$4:$O$3000,1,TRUE),"")</f>
        <v/>
      </c>
      <c r="L2227" s="31" t="str">
        <f>IFERROR(INDEX(Table!I:O,MATCH(K2227,Table!I:I,0),2),"")</f>
        <v/>
      </c>
      <c r="M2227" s="31" t="str">
        <f>IFERROR(INDEX(Table!I:O,MATCH(K2227,Table!I:I,0),3),"")</f>
        <v/>
      </c>
      <c r="N2227" s="32" t="str">
        <f>IFERROR(INDEX(Table!I:O,MATCH(K2227,Table!I:I,0),4),"")</f>
        <v/>
      </c>
      <c r="O2227" s="32" t="str">
        <f>IFERROR(INDEX(Table!I:O,MATCH(K2227,Table!I:I,0),5),"")</f>
        <v/>
      </c>
      <c r="P2227" s="32" t="str">
        <f>IFERROR(INDEX(Table!I:O,MATCH(K2227,Table!I:I,0),6),"")</f>
        <v/>
      </c>
      <c r="Q2227" s="89" t="str">
        <f t="shared" si="102"/>
        <v/>
      </c>
      <c r="R2227" s="89" t="str">
        <f t="shared" si="103"/>
        <v/>
      </c>
      <c r="S2227" s="82"/>
      <c r="U2227" s="37"/>
    </row>
    <row r="2228" spans="1:21" x14ac:dyDescent="0.25">
      <c r="A2228" s="31" t="str">
        <f>IF(Table!A2228 = "","",Table!A2228)</f>
        <v/>
      </c>
      <c r="B2228" s="31" t="str">
        <f>IF(Table!B2228 = "","",Table!B2228)</f>
        <v/>
      </c>
      <c r="C2228" s="31" t="str">
        <f>IF(Table!C2228 = "","",Table!C2228)</f>
        <v/>
      </c>
      <c r="D2228" s="32" t="str">
        <f>IF(Table!D2228 = "","",Table!D2228)</f>
        <v/>
      </c>
      <c r="E2228" s="32" t="str">
        <f>IF(Table!E2228 = "","",Table!E2228)</f>
        <v/>
      </c>
      <c r="F2228" s="32" t="str">
        <f>IF(Table!F2228 = "","",Table!F2228)</f>
        <v/>
      </c>
      <c r="G2228" s="91"/>
      <c r="K2228" s="31" t="str">
        <f>IFERROR(VLOOKUP(A2228,Table!$I$4:$O$3000,1,TRUE),"")</f>
        <v/>
      </c>
      <c r="L2228" s="31" t="str">
        <f>IFERROR(INDEX(Table!I:O,MATCH(K2228,Table!I:I,0),2),"")</f>
        <v/>
      </c>
      <c r="M2228" s="31" t="str">
        <f>IFERROR(INDEX(Table!I:O,MATCH(K2228,Table!I:I,0),3),"")</f>
        <v/>
      </c>
      <c r="N2228" s="32" t="str">
        <f>IFERROR(INDEX(Table!I:O,MATCH(K2228,Table!I:I,0),4),"")</f>
        <v/>
      </c>
      <c r="O2228" s="32" t="str">
        <f>IFERROR(INDEX(Table!I:O,MATCH(K2228,Table!I:I,0),5),"")</f>
        <v/>
      </c>
      <c r="P2228" s="32" t="str">
        <f>IFERROR(INDEX(Table!I:O,MATCH(K2228,Table!I:I,0),6),"")</f>
        <v/>
      </c>
      <c r="Q2228" s="89" t="str">
        <f t="shared" si="102"/>
        <v/>
      </c>
      <c r="R2228" s="89" t="str">
        <f t="shared" si="103"/>
        <v/>
      </c>
      <c r="S2228" s="82"/>
      <c r="U2228" s="37"/>
    </row>
    <row r="2229" spans="1:21" x14ac:dyDescent="0.25">
      <c r="A2229" s="31" t="str">
        <f>IF(Table!A2229 = "","",Table!A2229)</f>
        <v/>
      </c>
      <c r="B2229" s="31" t="str">
        <f>IF(Table!B2229 = "","",Table!B2229)</f>
        <v/>
      </c>
      <c r="C2229" s="31" t="str">
        <f>IF(Table!C2229 = "","",Table!C2229)</f>
        <v/>
      </c>
      <c r="D2229" s="32" t="str">
        <f>IF(Table!D2229 = "","",Table!D2229)</f>
        <v/>
      </c>
      <c r="E2229" s="32" t="str">
        <f>IF(Table!E2229 = "","",Table!E2229)</f>
        <v/>
      </c>
      <c r="F2229" s="32" t="str">
        <f>IF(Table!F2229 = "","",Table!F2229)</f>
        <v/>
      </c>
      <c r="G2229" s="91"/>
      <c r="K2229" s="31" t="str">
        <f>IFERROR(VLOOKUP(A2229,Table!$I$4:$O$3000,1,TRUE),"")</f>
        <v/>
      </c>
      <c r="L2229" s="31" t="str">
        <f>IFERROR(INDEX(Table!I:O,MATCH(K2229,Table!I:I,0),2),"")</f>
        <v/>
      </c>
      <c r="M2229" s="31" t="str">
        <f>IFERROR(INDEX(Table!I:O,MATCH(K2229,Table!I:I,0),3),"")</f>
        <v/>
      </c>
      <c r="N2229" s="32" t="str">
        <f>IFERROR(INDEX(Table!I:O,MATCH(K2229,Table!I:I,0),4),"")</f>
        <v/>
      </c>
      <c r="O2229" s="32" t="str">
        <f>IFERROR(INDEX(Table!I:O,MATCH(K2229,Table!I:I,0),5),"")</f>
        <v/>
      </c>
      <c r="P2229" s="32" t="str">
        <f>IFERROR(INDEX(Table!I:O,MATCH(K2229,Table!I:I,0),6),"")</f>
        <v/>
      </c>
      <c r="Q2229" s="89" t="str">
        <f t="shared" si="102"/>
        <v/>
      </c>
      <c r="R2229" s="89" t="str">
        <f t="shared" si="103"/>
        <v/>
      </c>
      <c r="S2229" s="82"/>
      <c r="U2229" s="37"/>
    </row>
    <row r="2230" spans="1:21" x14ac:dyDescent="0.25">
      <c r="A2230" s="31" t="str">
        <f>IF(Table!A2230 = "","",Table!A2230)</f>
        <v/>
      </c>
      <c r="B2230" s="31" t="str">
        <f>IF(Table!B2230 = "","",Table!B2230)</f>
        <v/>
      </c>
      <c r="C2230" s="31" t="str">
        <f>IF(Table!C2230 = "","",Table!C2230)</f>
        <v/>
      </c>
      <c r="D2230" s="32" t="str">
        <f>IF(Table!D2230 = "","",Table!D2230)</f>
        <v/>
      </c>
      <c r="E2230" s="32" t="str">
        <f>IF(Table!E2230 = "","",Table!E2230)</f>
        <v/>
      </c>
      <c r="F2230" s="32" t="str">
        <f>IF(Table!F2230 = "","",Table!F2230)</f>
        <v/>
      </c>
      <c r="G2230" s="91"/>
      <c r="K2230" s="31" t="str">
        <f>IFERROR(VLOOKUP(A2230,Table!$I$4:$O$3000,1,TRUE),"")</f>
        <v/>
      </c>
      <c r="L2230" s="31" t="str">
        <f>IFERROR(INDEX(Table!I:O,MATCH(K2230,Table!I:I,0),2),"")</f>
        <v/>
      </c>
      <c r="M2230" s="31" t="str">
        <f>IFERROR(INDEX(Table!I:O,MATCH(K2230,Table!I:I,0),3),"")</f>
        <v/>
      </c>
      <c r="N2230" s="32" t="str">
        <f>IFERROR(INDEX(Table!I:O,MATCH(K2230,Table!I:I,0),4),"")</f>
        <v/>
      </c>
      <c r="O2230" s="32" t="str">
        <f>IFERROR(INDEX(Table!I:O,MATCH(K2230,Table!I:I,0),5),"")</f>
        <v/>
      </c>
      <c r="P2230" s="32" t="str">
        <f>IFERROR(INDEX(Table!I:O,MATCH(K2230,Table!I:I,0),6),"")</f>
        <v/>
      </c>
      <c r="Q2230" s="89" t="str">
        <f t="shared" si="102"/>
        <v/>
      </c>
      <c r="R2230" s="89" t="str">
        <f t="shared" si="103"/>
        <v/>
      </c>
      <c r="S2230" s="82"/>
      <c r="U2230" s="37"/>
    </row>
    <row r="2231" spans="1:21" x14ac:dyDescent="0.25">
      <c r="A2231" s="31" t="str">
        <f>IF(Table!A2231 = "","",Table!A2231)</f>
        <v/>
      </c>
      <c r="B2231" s="31" t="str">
        <f>IF(Table!B2231 = "","",Table!B2231)</f>
        <v/>
      </c>
      <c r="C2231" s="31" t="str">
        <f>IF(Table!C2231 = "","",Table!C2231)</f>
        <v/>
      </c>
      <c r="D2231" s="32" t="str">
        <f>IF(Table!D2231 = "","",Table!D2231)</f>
        <v/>
      </c>
      <c r="E2231" s="32" t="str">
        <f>IF(Table!E2231 = "","",Table!E2231)</f>
        <v/>
      </c>
      <c r="F2231" s="32" t="str">
        <f>IF(Table!F2231 = "","",Table!F2231)</f>
        <v/>
      </c>
      <c r="G2231" s="91"/>
      <c r="K2231" s="31" t="str">
        <f>IFERROR(VLOOKUP(A2231,Table!$I$4:$O$3000,1,TRUE),"")</f>
        <v/>
      </c>
      <c r="L2231" s="31" t="str">
        <f>IFERROR(INDEX(Table!I:O,MATCH(K2231,Table!I:I,0),2),"")</f>
        <v/>
      </c>
      <c r="M2231" s="31" t="str">
        <f>IFERROR(INDEX(Table!I:O,MATCH(K2231,Table!I:I,0),3),"")</f>
        <v/>
      </c>
      <c r="N2231" s="32" t="str">
        <f>IFERROR(INDEX(Table!I:O,MATCH(K2231,Table!I:I,0),4),"")</f>
        <v/>
      </c>
      <c r="O2231" s="32" t="str">
        <f>IFERROR(INDEX(Table!I:O,MATCH(K2231,Table!I:I,0),5),"")</f>
        <v/>
      </c>
      <c r="P2231" s="32" t="str">
        <f>IFERROR(INDEX(Table!I:O,MATCH(K2231,Table!I:I,0),6),"")</f>
        <v/>
      </c>
      <c r="Q2231" s="89" t="str">
        <f t="shared" si="102"/>
        <v/>
      </c>
      <c r="R2231" s="89" t="str">
        <f t="shared" si="103"/>
        <v/>
      </c>
      <c r="S2231" s="82"/>
      <c r="U2231" s="37"/>
    </row>
    <row r="2232" spans="1:21" x14ac:dyDescent="0.25">
      <c r="A2232" s="31" t="str">
        <f>IF(Table!A2232 = "","",Table!A2232)</f>
        <v/>
      </c>
      <c r="B2232" s="31" t="str">
        <f>IF(Table!B2232 = "","",Table!B2232)</f>
        <v/>
      </c>
      <c r="C2232" s="31" t="str">
        <f>IF(Table!C2232 = "","",Table!C2232)</f>
        <v/>
      </c>
      <c r="D2232" s="32" t="str">
        <f>IF(Table!D2232 = "","",Table!D2232)</f>
        <v/>
      </c>
      <c r="E2232" s="32" t="str">
        <f>IF(Table!E2232 = "","",Table!E2232)</f>
        <v/>
      </c>
      <c r="F2232" s="32" t="str">
        <f>IF(Table!F2232 = "","",Table!F2232)</f>
        <v/>
      </c>
      <c r="G2232" s="91"/>
      <c r="K2232" s="31" t="str">
        <f>IFERROR(VLOOKUP(A2232,Table!$I$4:$O$3000,1,TRUE),"")</f>
        <v/>
      </c>
      <c r="L2232" s="31" t="str">
        <f>IFERROR(INDEX(Table!I:O,MATCH(K2232,Table!I:I,0),2),"")</f>
        <v/>
      </c>
      <c r="M2232" s="31" t="str">
        <f>IFERROR(INDEX(Table!I:O,MATCH(K2232,Table!I:I,0),3),"")</f>
        <v/>
      </c>
      <c r="N2232" s="32" t="str">
        <f>IFERROR(INDEX(Table!I:O,MATCH(K2232,Table!I:I,0),4),"")</f>
        <v/>
      </c>
      <c r="O2232" s="32" t="str">
        <f>IFERROR(INDEX(Table!I:O,MATCH(K2232,Table!I:I,0),5),"")</f>
        <v/>
      </c>
      <c r="P2232" s="32" t="str">
        <f>IFERROR(INDEX(Table!I:O,MATCH(K2232,Table!I:I,0),6),"")</f>
        <v/>
      </c>
      <c r="Q2232" s="89" t="str">
        <f t="shared" si="102"/>
        <v/>
      </c>
      <c r="R2232" s="89" t="str">
        <f t="shared" si="103"/>
        <v/>
      </c>
      <c r="S2232" s="82"/>
      <c r="U2232" s="37"/>
    </row>
    <row r="2233" spans="1:21" x14ac:dyDescent="0.25">
      <c r="A2233" s="31" t="str">
        <f>IF(Table!A2233 = "","",Table!A2233)</f>
        <v/>
      </c>
      <c r="B2233" s="31" t="str">
        <f>IF(Table!B2233 = "","",Table!B2233)</f>
        <v/>
      </c>
      <c r="C2233" s="31" t="str">
        <f>IF(Table!C2233 = "","",Table!C2233)</f>
        <v/>
      </c>
      <c r="D2233" s="32" t="str">
        <f>IF(Table!D2233 = "","",Table!D2233)</f>
        <v/>
      </c>
      <c r="E2233" s="32" t="str">
        <f>IF(Table!E2233 = "","",Table!E2233)</f>
        <v/>
      </c>
      <c r="F2233" s="32" t="str">
        <f>IF(Table!F2233 = "","",Table!F2233)</f>
        <v/>
      </c>
      <c r="G2233" s="91"/>
      <c r="K2233" s="31" t="str">
        <f>IFERROR(VLOOKUP(A2233,Table!$I$4:$O$3000,1,TRUE),"")</f>
        <v/>
      </c>
      <c r="L2233" s="31" t="str">
        <f>IFERROR(INDEX(Table!I:O,MATCH(K2233,Table!I:I,0),2),"")</f>
        <v/>
      </c>
      <c r="M2233" s="31" t="str">
        <f>IFERROR(INDEX(Table!I:O,MATCH(K2233,Table!I:I,0),3),"")</f>
        <v/>
      </c>
      <c r="N2233" s="32" t="str">
        <f>IFERROR(INDEX(Table!I:O,MATCH(K2233,Table!I:I,0),4),"")</f>
        <v/>
      </c>
      <c r="O2233" s="32" t="str">
        <f>IFERROR(INDEX(Table!I:O,MATCH(K2233,Table!I:I,0),5),"")</f>
        <v/>
      </c>
      <c r="P2233" s="32" t="str">
        <f>IFERROR(INDEX(Table!I:O,MATCH(K2233,Table!I:I,0),6),"")</f>
        <v/>
      </c>
      <c r="Q2233" s="89" t="str">
        <f t="shared" si="102"/>
        <v/>
      </c>
      <c r="R2233" s="89" t="str">
        <f t="shared" si="103"/>
        <v/>
      </c>
      <c r="S2233" s="82"/>
      <c r="U2233" s="37"/>
    </row>
    <row r="2234" spans="1:21" x14ac:dyDescent="0.25">
      <c r="A2234" s="31" t="str">
        <f>IF(Table!A2234 = "","",Table!A2234)</f>
        <v/>
      </c>
      <c r="B2234" s="31" t="str">
        <f>IF(Table!B2234 = "","",Table!B2234)</f>
        <v/>
      </c>
      <c r="C2234" s="31" t="str">
        <f>IF(Table!C2234 = "","",Table!C2234)</f>
        <v/>
      </c>
      <c r="D2234" s="32" t="str">
        <f>IF(Table!D2234 = "","",Table!D2234)</f>
        <v/>
      </c>
      <c r="E2234" s="32" t="str">
        <f>IF(Table!E2234 = "","",Table!E2234)</f>
        <v/>
      </c>
      <c r="F2234" s="32" t="str">
        <f>IF(Table!F2234 = "","",Table!F2234)</f>
        <v/>
      </c>
      <c r="G2234" s="91"/>
      <c r="K2234" s="31" t="str">
        <f>IFERROR(VLOOKUP(A2234,Table!$I$4:$O$3000,1,TRUE),"")</f>
        <v/>
      </c>
      <c r="L2234" s="31" t="str">
        <f>IFERROR(INDEX(Table!I:O,MATCH(K2234,Table!I:I,0),2),"")</f>
        <v/>
      </c>
      <c r="M2234" s="31" t="str">
        <f>IFERROR(INDEX(Table!I:O,MATCH(K2234,Table!I:I,0),3),"")</f>
        <v/>
      </c>
      <c r="N2234" s="32" t="str">
        <f>IFERROR(INDEX(Table!I:O,MATCH(K2234,Table!I:I,0),4),"")</f>
        <v/>
      </c>
      <c r="O2234" s="32" t="str">
        <f>IFERROR(INDEX(Table!I:O,MATCH(K2234,Table!I:I,0),5),"")</f>
        <v/>
      </c>
      <c r="P2234" s="32" t="str">
        <f>IFERROR(INDEX(Table!I:O,MATCH(K2234,Table!I:I,0),6),"")</f>
        <v/>
      </c>
      <c r="Q2234" s="89" t="str">
        <f t="shared" si="102"/>
        <v/>
      </c>
      <c r="R2234" s="89" t="str">
        <f t="shared" si="103"/>
        <v/>
      </c>
      <c r="S2234" s="82"/>
      <c r="U2234" s="37"/>
    </row>
    <row r="2235" spans="1:21" x14ac:dyDescent="0.25">
      <c r="A2235" s="31" t="str">
        <f>IF(Table!A2235 = "","",Table!A2235)</f>
        <v/>
      </c>
      <c r="B2235" s="31" t="str">
        <f>IF(Table!B2235 = "","",Table!B2235)</f>
        <v/>
      </c>
      <c r="C2235" s="31" t="str">
        <f>IF(Table!C2235 = "","",Table!C2235)</f>
        <v/>
      </c>
      <c r="D2235" s="32" t="str">
        <f>IF(Table!D2235 = "","",Table!D2235)</f>
        <v/>
      </c>
      <c r="E2235" s="32" t="str">
        <f>IF(Table!E2235 = "","",Table!E2235)</f>
        <v/>
      </c>
      <c r="F2235" s="32" t="str">
        <f>IF(Table!F2235 = "","",Table!F2235)</f>
        <v/>
      </c>
      <c r="G2235" s="91"/>
      <c r="K2235" s="31" t="str">
        <f>IFERROR(VLOOKUP(A2235,Table!$I$4:$O$3000,1,TRUE),"")</f>
        <v/>
      </c>
      <c r="L2235" s="31" t="str">
        <f>IFERROR(INDEX(Table!I:O,MATCH(K2235,Table!I:I,0),2),"")</f>
        <v/>
      </c>
      <c r="M2235" s="31" t="str">
        <f>IFERROR(INDEX(Table!I:O,MATCH(K2235,Table!I:I,0),3),"")</f>
        <v/>
      </c>
      <c r="N2235" s="32" t="str">
        <f>IFERROR(INDEX(Table!I:O,MATCH(K2235,Table!I:I,0),4),"")</f>
        <v/>
      </c>
      <c r="O2235" s="32" t="str">
        <f>IFERROR(INDEX(Table!I:O,MATCH(K2235,Table!I:I,0),5),"")</f>
        <v/>
      </c>
      <c r="P2235" s="32" t="str">
        <f>IFERROR(INDEX(Table!I:O,MATCH(K2235,Table!I:I,0),6),"")</f>
        <v/>
      </c>
      <c r="Q2235" s="89" t="str">
        <f t="shared" si="102"/>
        <v/>
      </c>
      <c r="R2235" s="89" t="str">
        <f t="shared" si="103"/>
        <v/>
      </c>
      <c r="S2235" s="82"/>
      <c r="U2235" s="37"/>
    </row>
    <row r="2236" spans="1:21" x14ac:dyDescent="0.25">
      <c r="A2236" s="31" t="str">
        <f>IF(Table!A2236 = "","",Table!A2236)</f>
        <v/>
      </c>
      <c r="B2236" s="31" t="str">
        <f>IF(Table!B2236 = "","",Table!B2236)</f>
        <v/>
      </c>
      <c r="C2236" s="31" t="str">
        <f>IF(Table!C2236 = "","",Table!C2236)</f>
        <v/>
      </c>
      <c r="D2236" s="32" t="str">
        <f>IF(Table!D2236 = "","",Table!D2236)</f>
        <v/>
      </c>
      <c r="E2236" s="32" t="str">
        <f>IF(Table!E2236 = "","",Table!E2236)</f>
        <v/>
      </c>
      <c r="F2236" s="32" t="str">
        <f>IF(Table!F2236 = "","",Table!F2236)</f>
        <v/>
      </c>
      <c r="G2236" s="91"/>
      <c r="K2236" s="31" t="str">
        <f>IFERROR(VLOOKUP(A2236,Table!$I$4:$O$3000,1,TRUE),"")</f>
        <v/>
      </c>
      <c r="L2236" s="31" t="str">
        <f>IFERROR(INDEX(Table!I:O,MATCH(K2236,Table!I:I,0),2),"")</f>
        <v/>
      </c>
      <c r="M2236" s="31" t="str">
        <f>IFERROR(INDEX(Table!I:O,MATCH(K2236,Table!I:I,0),3),"")</f>
        <v/>
      </c>
      <c r="N2236" s="32" t="str">
        <f>IFERROR(INDEX(Table!I:O,MATCH(K2236,Table!I:I,0),4),"")</f>
        <v/>
      </c>
      <c r="O2236" s="32" t="str">
        <f>IFERROR(INDEX(Table!I:O,MATCH(K2236,Table!I:I,0),5),"")</f>
        <v/>
      </c>
      <c r="P2236" s="32" t="str">
        <f>IFERROR(INDEX(Table!I:O,MATCH(K2236,Table!I:I,0),6),"")</f>
        <v/>
      </c>
      <c r="Q2236" s="89" t="str">
        <f t="shared" si="102"/>
        <v/>
      </c>
      <c r="R2236" s="89" t="str">
        <f t="shared" si="103"/>
        <v/>
      </c>
      <c r="S2236" s="82"/>
      <c r="U2236" s="37"/>
    </row>
    <row r="2237" spans="1:21" x14ac:dyDescent="0.25">
      <c r="A2237" s="31" t="str">
        <f>IF(Table!A2237 = "","",Table!A2237)</f>
        <v/>
      </c>
      <c r="B2237" s="31" t="str">
        <f>IF(Table!B2237 = "","",Table!B2237)</f>
        <v/>
      </c>
      <c r="C2237" s="31" t="str">
        <f>IF(Table!C2237 = "","",Table!C2237)</f>
        <v/>
      </c>
      <c r="D2237" s="32" t="str">
        <f>IF(Table!D2237 = "","",Table!D2237)</f>
        <v/>
      </c>
      <c r="E2237" s="32" t="str">
        <f>IF(Table!E2237 = "","",Table!E2237)</f>
        <v/>
      </c>
      <c r="F2237" s="32" t="str">
        <f>IF(Table!F2237 = "","",Table!F2237)</f>
        <v/>
      </c>
      <c r="G2237" s="91"/>
      <c r="K2237" s="31" t="str">
        <f>IFERROR(VLOOKUP(A2237,Table!$I$4:$O$3000,1,TRUE),"")</f>
        <v/>
      </c>
      <c r="L2237" s="31" t="str">
        <f>IFERROR(INDEX(Table!I:O,MATCH(K2237,Table!I:I,0),2),"")</f>
        <v/>
      </c>
      <c r="M2237" s="31" t="str">
        <f>IFERROR(INDEX(Table!I:O,MATCH(K2237,Table!I:I,0),3),"")</f>
        <v/>
      </c>
      <c r="N2237" s="32" t="str">
        <f>IFERROR(INDEX(Table!I:O,MATCH(K2237,Table!I:I,0),4),"")</f>
        <v/>
      </c>
      <c r="O2237" s="32" t="str">
        <f>IFERROR(INDEX(Table!I:O,MATCH(K2237,Table!I:I,0),5),"")</f>
        <v/>
      </c>
      <c r="P2237" s="32" t="str">
        <f>IFERROR(INDEX(Table!I:O,MATCH(K2237,Table!I:I,0),6),"")</f>
        <v/>
      </c>
      <c r="Q2237" s="89" t="str">
        <f t="shared" si="102"/>
        <v/>
      </c>
      <c r="R2237" s="89" t="str">
        <f t="shared" si="103"/>
        <v/>
      </c>
      <c r="S2237" s="82"/>
      <c r="U2237" s="37"/>
    </row>
    <row r="2238" spans="1:21" x14ac:dyDescent="0.25">
      <c r="A2238" s="31" t="str">
        <f>IF(Table!A2238 = "","",Table!A2238)</f>
        <v/>
      </c>
      <c r="B2238" s="31" t="str">
        <f>IF(Table!B2238 = "","",Table!B2238)</f>
        <v/>
      </c>
      <c r="C2238" s="31" t="str">
        <f>IF(Table!C2238 = "","",Table!C2238)</f>
        <v/>
      </c>
      <c r="D2238" s="32" t="str">
        <f>IF(Table!D2238 = "","",Table!D2238)</f>
        <v/>
      </c>
      <c r="E2238" s="32" t="str">
        <f>IF(Table!E2238 = "","",Table!E2238)</f>
        <v/>
      </c>
      <c r="F2238" s="32" t="str">
        <f>IF(Table!F2238 = "","",Table!F2238)</f>
        <v/>
      </c>
      <c r="G2238" s="91"/>
      <c r="K2238" s="31" t="str">
        <f>IFERROR(VLOOKUP(A2238,Table!$I$4:$O$3000,1,TRUE),"")</f>
        <v/>
      </c>
      <c r="L2238" s="31" t="str">
        <f>IFERROR(INDEX(Table!I:O,MATCH(K2238,Table!I:I,0),2),"")</f>
        <v/>
      </c>
      <c r="M2238" s="31" t="str">
        <f>IFERROR(INDEX(Table!I:O,MATCH(K2238,Table!I:I,0),3),"")</f>
        <v/>
      </c>
      <c r="N2238" s="32" t="str">
        <f>IFERROR(INDEX(Table!I:O,MATCH(K2238,Table!I:I,0),4),"")</f>
        <v/>
      </c>
      <c r="O2238" s="32" t="str">
        <f>IFERROR(INDEX(Table!I:O,MATCH(K2238,Table!I:I,0),5),"")</f>
        <v/>
      </c>
      <c r="P2238" s="32" t="str">
        <f>IFERROR(INDEX(Table!I:O,MATCH(K2238,Table!I:I,0),6),"")</f>
        <v/>
      </c>
      <c r="Q2238" s="89" t="str">
        <f t="shared" si="102"/>
        <v/>
      </c>
      <c r="R2238" s="89" t="str">
        <f t="shared" si="103"/>
        <v/>
      </c>
      <c r="S2238" s="82"/>
      <c r="U2238" s="37"/>
    </row>
    <row r="2239" spans="1:21" x14ac:dyDescent="0.25">
      <c r="A2239" s="31" t="str">
        <f>IF(Table!A2239 = "","",Table!A2239)</f>
        <v/>
      </c>
      <c r="B2239" s="31" t="str">
        <f>IF(Table!B2239 = "","",Table!B2239)</f>
        <v/>
      </c>
      <c r="C2239" s="31" t="str">
        <f>IF(Table!C2239 = "","",Table!C2239)</f>
        <v/>
      </c>
      <c r="D2239" s="32" t="str">
        <f>IF(Table!D2239 = "","",Table!D2239)</f>
        <v/>
      </c>
      <c r="E2239" s="32" t="str">
        <f>IF(Table!E2239 = "","",Table!E2239)</f>
        <v/>
      </c>
      <c r="F2239" s="32" t="str">
        <f>IF(Table!F2239 = "","",Table!F2239)</f>
        <v/>
      </c>
      <c r="G2239" s="91"/>
      <c r="K2239" s="31" t="str">
        <f>IFERROR(VLOOKUP(A2239,Table!$I$4:$O$3000,1,TRUE),"")</f>
        <v/>
      </c>
      <c r="L2239" s="31" t="str">
        <f>IFERROR(INDEX(Table!I:O,MATCH(K2239,Table!I:I,0),2),"")</f>
        <v/>
      </c>
      <c r="M2239" s="31" t="str">
        <f>IFERROR(INDEX(Table!I:O,MATCH(K2239,Table!I:I,0),3),"")</f>
        <v/>
      </c>
      <c r="N2239" s="32" t="str">
        <f>IFERROR(INDEX(Table!I:O,MATCH(K2239,Table!I:I,0),4),"")</f>
        <v/>
      </c>
      <c r="O2239" s="32" t="str">
        <f>IFERROR(INDEX(Table!I:O,MATCH(K2239,Table!I:I,0),5),"")</f>
        <v/>
      </c>
      <c r="P2239" s="32" t="str">
        <f>IFERROR(INDEX(Table!I:O,MATCH(K2239,Table!I:I,0),6),"")</f>
        <v/>
      </c>
      <c r="Q2239" s="89" t="str">
        <f t="shared" si="102"/>
        <v/>
      </c>
      <c r="R2239" s="89" t="str">
        <f t="shared" si="103"/>
        <v/>
      </c>
      <c r="S2239" s="82"/>
      <c r="U2239" s="37"/>
    </row>
    <row r="2240" spans="1:21" x14ac:dyDescent="0.25">
      <c r="A2240" s="31" t="str">
        <f>IF(Table!A2240 = "","",Table!A2240)</f>
        <v/>
      </c>
      <c r="B2240" s="31" t="str">
        <f>IF(Table!B2240 = "","",Table!B2240)</f>
        <v/>
      </c>
      <c r="C2240" s="31" t="str">
        <f>IF(Table!C2240 = "","",Table!C2240)</f>
        <v/>
      </c>
      <c r="D2240" s="32" t="str">
        <f>IF(Table!D2240 = "","",Table!D2240)</f>
        <v/>
      </c>
      <c r="E2240" s="32" t="str">
        <f>IF(Table!E2240 = "","",Table!E2240)</f>
        <v/>
      </c>
      <c r="F2240" s="32" t="str">
        <f>IF(Table!F2240 = "","",Table!F2240)</f>
        <v/>
      </c>
      <c r="G2240" s="91"/>
      <c r="K2240" s="31" t="str">
        <f>IFERROR(VLOOKUP(A2240,Table!$I$4:$O$3000,1,TRUE),"")</f>
        <v/>
      </c>
      <c r="L2240" s="31" t="str">
        <f>IFERROR(INDEX(Table!I:O,MATCH(K2240,Table!I:I,0),2),"")</f>
        <v/>
      </c>
      <c r="M2240" s="31" t="str">
        <f>IFERROR(INDEX(Table!I:O,MATCH(K2240,Table!I:I,0),3),"")</f>
        <v/>
      </c>
      <c r="N2240" s="32" t="str">
        <f>IFERROR(INDEX(Table!I:O,MATCH(K2240,Table!I:I,0),4),"")</f>
        <v/>
      </c>
      <c r="O2240" s="32" t="str">
        <f>IFERROR(INDEX(Table!I:O,MATCH(K2240,Table!I:I,0),5),"")</f>
        <v/>
      </c>
      <c r="P2240" s="32" t="str">
        <f>IFERROR(INDEX(Table!I:O,MATCH(K2240,Table!I:I,0),6),"")</f>
        <v/>
      </c>
      <c r="Q2240" s="89" t="str">
        <f t="shared" si="102"/>
        <v/>
      </c>
      <c r="R2240" s="89" t="str">
        <f t="shared" si="103"/>
        <v/>
      </c>
      <c r="S2240" s="82"/>
      <c r="U2240" s="37"/>
    </row>
    <row r="2241" spans="1:21" x14ac:dyDescent="0.25">
      <c r="A2241" s="31" t="str">
        <f>IF(Table!A2241 = "","",Table!A2241)</f>
        <v/>
      </c>
      <c r="B2241" s="31" t="str">
        <f>IF(Table!B2241 = "","",Table!B2241)</f>
        <v/>
      </c>
      <c r="C2241" s="31" t="str">
        <f>IF(Table!C2241 = "","",Table!C2241)</f>
        <v/>
      </c>
      <c r="D2241" s="32" t="str">
        <f>IF(Table!D2241 = "","",Table!D2241)</f>
        <v/>
      </c>
      <c r="E2241" s="32" t="str">
        <f>IF(Table!E2241 = "","",Table!E2241)</f>
        <v/>
      </c>
      <c r="F2241" s="32" t="str">
        <f>IF(Table!F2241 = "","",Table!F2241)</f>
        <v/>
      </c>
      <c r="G2241" s="91"/>
      <c r="K2241" s="31" t="str">
        <f>IFERROR(VLOOKUP(A2241,Table!$I$4:$O$3000,1,TRUE),"")</f>
        <v/>
      </c>
      <c r="L2241" s="31" t="str">
        <f>IFERROR(INDEX(Table!I:O,MATCH(K2241,Table!I:I,0),2),"")</f>
        <v/>
      </c>
      <c r="M2241" s="31" t="str">
        <f>IFERROR(INDEX(Table!I:O,MATCH(K2241,Table!I:I,0),3),"")</f>
        <v/>
      </c>
      <c r="N2241" s="32" t="str">
        <f>IFERROR(INDEX(Table!I:O,MATCH(K2241,Table!I:I,0),4),"")</f>
        <v/>
      </c>
      <c r="O2241" s="32" t="str">
        <f>IFERROR(INDEX(Table!I:O,MATCH(K2241,Table!I:I,0),5),"")</f>
        <v/>
      </c>
      <c r="P2241" s="32" t="str">
        <f>IFERROR(INDEX(Table!I:O,MATCH(K2241,Table!I:I,0),6),"")</f>
        <v/>
      </c>
      <c r="Q2241" s="89" t="str">
        <f t="shared" si="102"/>
        <v/>
      </c>
      <c r="R2241" s="89" t="str">
        <f t="shared" si="103"/>
        <v/>
      </c>
      <c r="S2241" s="82"/>
      <c r="U2241" s="37"/>
    </row>
    <row r="2242" spans="1:21" x14ac:dyDescent="0.25">
      <c r="A2242" s="31" t="str">
        <f>IF(Table!A2242 = "","",Table!A2242)</f>
        <v/>
      </c>
      <c r="B2242" s="31" t="str">
        <f>IF(Table!B2242 = "","",Table!B2242)</f>
        <v/>
      </c>
      <c r="C2242" s="31" t="str">
        <f>IF(Table!C2242 = "","",Table!C2242)</f>
        <v/>
      </c>
      <c r="D2242" s="32" t="str">
        <f>IF(Table!D2242 = "","",Table!D2242)</f>
        <v/>
      </c>
      <c r="E2242" s="32" t="str">
        <f>IF(Table!E2242 = "","",Table!E2242)</f>
        <v/>
      </c>
      <c r="F2242" s="32" t="str">
        <f>IF(Table!F2242 = "","",Table!F2242)</f>
        <v/>
      </c>
      <c r="G2242" s="91"/>
      <c r="K2242" s="31" t="str">
        <f>IFERROR(VLOOKUP(A2242,Table!$I$4:$O$3000,1,TRUE),"")</f>
        <v/>
      </c>
      <c r="L2242" s="31" t="str">
        <f>IFERROR(INDEX(Table!I:O,MATCH(K2242,Table!I:I,0),2),"")</f>
        <v/>
      </c>
      <c r="M2242" s="31" t="str">
        <f>IFERROR(INDEX(Table!I:O,MATCH(K2242,Table!I:I,0),3),"")</f>
        <v/>
      </c>
      <c r="N2242" s="32" t="str">
        <f>IFERROR(INDEX(Table!I:O,MATCH(K2242,Table!I:I,0),4),"")</f>
        <v/>
      </c>
      <c r="O2242" s="32" t="str">
        <f>IFERROR(INDEX(Table!I:O,MATCH(K2242,Table!I:I,0),5),"")</f>
        <v/>
      </c>
      <c r="P2242" s="32" t="str">
        <f>IFERROR(INDEX(Table!I:O,MATCH(K2242,Table!I:I,0),6),"")</f>
        <v/>
      </c>
      <c r="Q2242" s="89" t="str">
        <f t="shared" si="102"/>
        <v/>
      </c>
      <c r="R2242" s="89" t="str">
        <f t="shared" si="103"/>
        <v/>
      </c>
      <c r="S2242" s="82"/>
      <c r="U2242" s="37"/>
    </row>
    <row r="2243" spans="1:21" x14ac:dyDescent="0.25">
      <c r="A2243" s="31" t="str">
        <f>IF(Table!A2243 = "","",Table!A2243)</f>
        <v/>
      </c>
      <c r="B2243" s="31" t="str">
        <f>IF(Table!B2243 = "","",Table!B2243)</f>
        <v/>
      </c>
      <c r="C2243" s="31" t="str">
        <f>IF(Table!C2243 = "","",Table!C2243)</f>
        <v/>
      </c>
      <c r="D2243" s="32" t="str">
        <f>IF(Table!D2243 = "","",Table!D2243)</f>
        <v/>
      </c>
      <c r="E2243" s="32" t="str">
        <f>IF(Table!E2243 = "","",Table!E2243)</f>
        <v/>
      </c>
      <c r="F2243" s="32" t="str">
        <f>IF(Table!F2243 = "","",Table!F2243)</f>
        <v/>
      </c>
      <c r="G2243" s="91"/>
      <c r="K2243" s="31" t="str">
        <f>IFERROR(VLOOKUP(A2243,Table!$I$4:$O$3000,1,TRUE),"")</f>
        <v/>
      </c>
      <c r="L2243" s="31" t="str">
        <f>IFERROR(INDEX(Table!I:O,MATCH(K2243,Table!I:I,0),2),"")</f>
        <v/>
      </c>
      <c r="M2243" s="31" t="str">
        <f>IFERROR(INDEX(Table!I:O,MATCH(K2243,Table!I:I,0),3),"")</f>
        <v/>
      </c>
      <c r="N2243" s="32" t="str">
        <f>IFERROR(INDEX(Table!I:O,MATCH(K2243,Table!I:I,0),4),"")</f>
        <v/>
      </c>
      <c r="O2243" s="32" t="str">
        <f>IFERROR(INDEX(Table!I:O,MATCH(K2243,Table!I:I,0),5),"")</f>
        <v/>
      </c>
      <c r="P2243" s="32" t="str">
        <f>IFERROR(INDEX(Table!I:O,MATCH(K2243,Table!I:I,0),6),"")</f>
        <v/>
      </c>
      <c r="Q2243" s="89" t="str">
        <f t="shared" si="102"/>
        <v/>
      </c>
      <c r="R2243" s="89" t="str">
        <f t="shared" si="103"/>
        <v/>
      </c>
      <c r="S2243" s="82"/>
      <c r="U2243" s="37"/>
    </row>
    <row r="2244" spans="1:21" x14ac:dyDescent="0.25">
      <c r="A2244" s="31" t="str">
        <f>IF(Table!A2244 = "","",Table!A2244)</f>
        <v/>
      </c>
      <c r="B2244" s="31" t="str">
        <f>IF(Table!B2244 = "","",Table!B2244)</f>
        <v/>
      </c>
      <c r="C2244" s="31" t="str">
        <f>IF(Table!C2244 = "","",Table!C2244)</f>
        <v/>
      </c>
      <c r="D2244" s="32" t="str">
        <f>IF(Table!D2244 = "","",Table!D2244)</f>
        <v/>
      </c>
      <c r="E2244" s="32" t="str">
        <f>IF(Table!E2244 = "","",Table!E2244)</f>
        <v/>
      </c>
      <c r="F2244" s="32" t="str">
        <f>IF(Table!F2244 = "","",Table!F2244)</f>
        <v/>
      </c>
      <c r="G2244" s="91"/>
      <c r="K2244" s="31" t="str">
        <f>IFERROR(VLOOKUP(A2244,Table!$I$4:$O$3000,1,TRUE),"")</f>
        <v/>
      </c>
      <c r="L2244" s="31" t="str">
        <f>IFERROR(INDEX(Table!I:O,MATCH(K2244,Table!I:I,0),2),"")</f>
        <v/>
      </c>
      <c r="M2244" s="31" t="str">
        <f>IFERROR(INDEX(Table!I:O,MATCH(K2244,Table!I:I,0),3),"")</f>
        <v/>
      </c>
      <c r="N2244" s="32" t="str">
        <f>IFERROR(INDEX(Table!I:O,MATCH(K2244,Table!I:I,0),4),"")</f>
        <v/>
      </c>
      <c r="O2244" s="32" t="str">
        <f>IFERROR(INDEX(Table!I:O,MATCH(K2244,Table!I:I,0),5),"")</f>
        <v/>
      </c>
      <c r="P2244" s="32" t="str">
        <f>IFERROR(INDEX(Table!I:O,MATCH(K2244,Table!I:I,0),6),"")</f>
        <v/>
      </c>
      <c r="Q2244" s="89" t="str">
        <f t="shared" si="102"/>
        <v/>
      </c>
      <c r="R2244" s="89" t="str">
        <f t="shared" si="103"/>
        <v/>
      </c>
      <c r="S2244" s="82"/>
      <c r="U2244" s="37"/>
    </row>
    <row r="2245" spans="1:21" x14ac:dyDescent="0.25">
      <c r="A2245" s="31" t="str">
        <f>IF(Table!A2245 = "","",Table!A2245)</f>
        <v/>
      </c>
      <c r="B2245" s="31" t="str">
        <f>IF(Table!B2245 = "","",Table!B2245)</f>
        <v/>
      </c>
      <c r="C2245" s="31" t="str">
        <f>IF(Table!C2245 = "","",Table!C2245)</f>
        <v/>
      </c>
      <c r="D2245" s="32" t="str">
        <f>IF(Table!D2245 = "","",Table!D2245)</f>
        <v/>
      </c>
      <c r="E2245" s="32" t="str">
        <f>IF(Table!E2245 = "","",Table!E2245)</f>
        <v/>
      </c>
      <c r="F2245" s="32" t="str">
        <f>IF(Table!F2245 = "","",Table!F2245)</f>
        <v/>
      </c>
      <c r="G2245" s="91"/>
      <c r="K2245" s="31" t="str">
        <f>IFERROR(VLOOKUP(A2245,Table!$I$4:$O$3000,1,TRUE),"")</f>
        <v/>
      </c>
      <c r="L2245" s="31" t="str">
        <f>IFERROR(INDEX(Table!I:O,MATCH(K2245,Table!I:I,0),2),"")</f>
        <v/>
      </c>
      <c r="M2245" s="31" t="str">
        <f>IFERROR(INDEX(Table!I:O,MATCH(K2245,Table!I:I,0),3),"")</f>
        <v/>
      </c>
      <c r="N2245" s="32" t="str">
        <f>IFERROR(INDEX(Table!I:O,MATCH(K2245,Table!I:I,0),4),"")</f>
        <v/>
      </c>
      <c r="O2245" s="32" t="str">
        <f>IFERROR(INDEX(Table!I:O,MATCH(K2245,Table!I:I,0),5),"")</f>
        <v/>
      </c>
      <c r="P2245" s="32" t="str">
        <f>IFERROR(INDEX(Table!I:O,MATCH(K2245,Table!I:I,0),6),"")</f>
        <v/>
      </c>
      <c r="Q2245" s="89" t="str">
        <f t="shared" si="102"/>
        <v/>
      </c>
      <c r="R2245" s="89" t="str">
        <f t="shared" si="103"/>
        <v/>
      </c>
      <c r="S2245" s="82"/>
      <c r="U2245" s="37"/>
    </row>
    <row r="2246" spans="1:21" x14ac:dyDescent="0.25">
      <c r="A2246" s="31" t="str">
        <f>IF(Table!A2246 = "","",Table!A2246)</f>
        <v/>
      </c>
      <c r="B2246" s="31" t="str">
        <f>IF(Table!B2246 = "","",Table!B2246)</f>
        <v/>
      </c>
      <c r="C2246" s="31" t="str">
        <f>IF(Table!C2246 = "","",Table!C2246)</f>
        <v/>
      </c>
      <c r="D2246" s="32" t="str">
        <f>IF(Table!D2246 = "","",Table!D2246)</f>
        <v/>
      </c>
      <c r="E2246" s="32" t="str">
        <f>IF(Table!E2246 = "","",Table!E2246)</f>
        <v/>
      </c>
      <c r="F2246" s="32" t="str">
        <f>IF(Table!F2246 = "","",Table!F2246)</f>
        <v/>
      </c>
      <c r="G2246" s="91"/>
      <c r="K2246" s="31" t="str">
        <f>IFERROR(VLOOKUP(A2246,Table!$I$4:$O$3000,1,TRUE),"")</f>
        <v/>
      </c>
      <c r="L2246" s="31" t="str">
        <f>IFERROR(INDEX(Table!I:O,MATCH(K2246,Table!I:I,0),2),"")</f>
        <v/>
      </c>
      <c r="M2246" s="31" t="str">
        <f>IFERROR(INDEX(Table!I:O,MATCH(K2246,Table!I:I,0),3),"")</f>
        <v/>
      </c>
      <c r="N2246" s="32" t="str">
        <f>IFERROR(INDEX(Table!I:O,MATCH(K2246,Table!I:I,0),4),"")</f>
        <v/>
      </c>
      <c r="O2246" s="32" t="str">
        <f>IFERROR(INDEX(Table!I:O,MATCH(K2246,Table!I:I,0),5),"")</f>
        <v/>
      </c>
      <c r="P2246" s="32" t="str">
        <f>IFERROR(INDEX(Table!I:O,MATCH(K2246,Table!I:I,0),6),"")</f>
        <v/>
      </c>
      <c r="Q2246" s="89" t="str">
        <f t="shared" ref="Q2246:Q2309" si="104">IFERROR(L2246-B2246,"")</f>
        <v/>
      </c>
      <c r="R2246" s="89" t="str">
        <f t="shared" ref="R2246:R2309" si="105">IFERROR(M2246-C2246,"")</f>
        <v/>
      </c>
      <c r="S2246" s="82"/>
      <c r="U2246" s="37"/>
    </row>
    <row r="2247" spans="1:21" x14ac:dyDescent="0.25">
      <c r="A2247" s="31" t="str">
        <f>IF(Table!A2247 = "","",Table!A2247)</f>
        <v/>
      </c>
      <c r="B2247" s="31" t="str">
        <f>IF(Table!B2247 = "","",Table!B2247)</f>
        <v/>
      </c>
      <c r="C2247" s="31" t="str">
        <f>IF(Table!C2247 = "","",Table!C2247)</f>
        <v/>
      </c>
      <c r="D2247" s="32" t="str">
        <f>IF(Table!D2247 = "","",Table!D2247)</f>
        <v/>
      </c>
      <c r="E2247" s="32" t="str">
        <f>IF(Table!E2247 = "","",Table!E2247)</f>
        <v/>
      </c>
      <c r="F2247" s="32" t="str">
        <f>IF(Table!F2247 = "","",Table!F2247)</f>
        <v/>
      </c>
      <c r="G2247" s="91"/>
      <c r="K2247" s="31" t="str">
        <f>IFERROR(VLOOKUP(A2247,Table!$I$4:$O$3000,1,TRUE),"")</f>
        <v/>
      </c>
      <c r="L2247" s="31" t="str">
        <f>IFERROR(INDEX(Table!I:O,MATCH(K2247,Table!I:I,0),2),"")</f>
        <v/>
      </c>
      <c r="M2247" s="31" t="str">
        <f>IFERROR(INDEX(Table!I:O,MATCH(K2247,Table!I:I,0),3),"")</f>
        <v/>
      </c>
      <c r="N2247" s="32" t="str">
        <f>IFERROR(INDEX(Table!I:O,MATCH(K2247,Table!I:I,0),4),"")</f>
        <v/>
      </c>
      <c r="O2247" s="32" t="str">
        <f>IFERROR(INDEX(Table!I:O,MATCH(K2247,Table!I:I,0),5),"")</f>
        <v/>
      </c>
      <c r="P2247" s="32" t="str">
        <f>IFERROR(INDEX(Table!I:O,MATCH(K2247,Table!I:I,0),6),"")</f>
        <v/>
      </c>
      <c r="Q2247" s="89" t="str">
        <f t="shared" si="104"/>
        <v/>
      </c>
      <c r="R2247" s="89" t="str">
        <f t="shared" si="105"/>
        <v/>
      </c>
      <c r="S2247" s="82"/>
      <c r="U2247" s="37"/>
    </row>
    <row r="2248" spans="1:21" x14ac:dyDescent="0.25">
      <c r="A2248" s="31" t="str">
        <f>IF(Table!A2248 = "","",Table!A2248)</f>
        <v/>
      </c>
      <c r="B2248" s="31" t="str">
        <f>IF(Table!B2248 = "","",Table!B2248)</f>
        <v/>
      </c>
      <c r="C2248" s="31" t="str">
        <f>IF(Table!C2248 = "","",Table!C2248)</f>
        <v/>
      </c>
      <c r="D2248" s="32" t="str">
        <f>IF(Table!D2248 = "","",Table!D2248)</f>
        <v/>
      </c>
      <c r="E2248" s="32" t="str">
        <f>IF(Table!E2248 = "","",Table!E2248)</f>
        <v/>
      </c>
      <c r="F2248" s="32" t="str">
        <f>IF(Table!F2248 = "","",Table!F2248)</f>
        <v/>
      </c>
      <c r="G2248" s="91"/>
      <c r="K2248" s="31" t="str">
        <f>IFERROR(VLOOKUP(A2248,Table!$I$4:$O$3000,1,TRUE),"")</f>
        <v/>
      </c>
      <c r="L2248" s="31" t="str">
        <f>IFERROR(INDEX(Table!I:O,MATCH(K2248,Table!I:I,0),2),"")</f>
        <v/>
      </c>
      <c r="M2248" s="31" t="str">
        <f>IFERROR(INDEX(Table!I:O,MATCH(K2248,Table!I:I,0),3),"")</f>
        <v/>
      </c>
      <c r="N2248" s="32" t="str">
        <f>IFERROR(INDEX(Table!I:O,MATCH(K2248,Table!I:I,0),4),"")</f>
        <v/>
      </c>
      <c r="O2248" s="32" t="str">
        <f>IFERROR(INDEX(Table!I:O,MATCH(K2248,Table!I:I,0),5),"")</f>
        <v/>
      </c>
      <c r="P2248" s="32" t="str">
        <f>IFERROR(INDEX(Table!I:O,MATCH(K2248,Table!I:I,0),6),"")</f>
        <v/>
      </c>
      <c r="Q2248" s="89" t="str">
        <f t="shared" si="104"/>
        <v/>
      </c>
      <c r="R2248" s="89" t="str">
        <f t="shared" si="105"/>
        <v/>
      </c>
      <c r="S2248" s="82"/>
      <c r="U2248" s="37"/>
    </row>
    <row r="2249" spans="1:21" x14ac:dyDescent="0.25">
      <c r="A2249" s="31" t="str">
        <f>IF(Table!A2249 = "","",Table!A2249)</f>
        <v/>
      </c>
      <c r="B2249" s="31" t="str">
        <f>IF(Table!B2249 = "","",Table!B2249)</f>
        <v/>
      </c>
      <c r="C2249" s="31" t="str">
        <f>IF(Table!C2249 = "","",Table!C2249)</f>
        <v/>
      </c>
      <c r="D2249" s="32" t="str">
        <f>IF(Table!D2249 = "","",Table!D2249)</f>
        <v/>
      </c>
      <c r="E2249" s="32" t="str">
        <f>IF(Table!E2249 = "","",Table!E2249)</f>
        <v/>
      </c>
      <c r="F2249" s="32" t="str">
        <f>IF(Table!F2249 = "","",Table!F2249)</f>
        <v/>
      </c>
      <c r="G2249" s="91"/>
      <c r="K2249" s="31" t="str">
        <f>IFERROR(VLOOKUP(A2249,Table!$I$4:$O$3000,1,TRUE),"")</f>
        <v/>
      </c>
      <c r="L2249" s="31" t="str">
        <f>IFERROR(INDEX(Table!I:O,MATCH(K2249,Table!I:I,0),2),"")</f>
        <v/>
      </c>
      <c r="M2249" s="31" t="str">
        <f>IFERROR(INDEX(Table!I:O,MATCH(K2249,Table!I:I,0),3),"")</f>
        <v/>
      </c>
      <c r="N2249" s="32" t="str">
        <f>IFERROR(INDEX(Table!I:O,MATCH(K2249,Table!I:I,0),4),"")</f>
        <v/>
      </c>
      <c r="O2249" s="32" t="str">
        <f>IFERROR(INDEX(Table!I:O,MATCH(K2249,Table!I:I,0),5),"")</f>
        <v/>
      </c>
      <c r="P2249" s="32" t="str">
        <f>IFERROR(INDEX(Table!I:O,MATCH(K2249,Table!I:I,0),6),"")</f>
        <v/>
      </c>
      <c r="Q2249" s="89" t="str">
        <f t="shared" si="104"/>
        <v/>
      </c>
      <c r="R2249" s="89" t="str">
        <f t="shared" si="105"/>
        <v/>
      </c>
      <c r="S2249" s="82"/>
      <c r="U2249" s="37"/>
    </row>
    <row r="2250" spans="1:21" x14ac:dyDescent="0.25">
      <c r="A2250" s="31" t="str">
        <f>IF(Table!A2250 = "","",Table!A2250)</f>
        <v/>
      </c>
      <c r="B2250" s="31" t="str">
        <f>IF(Table!B2250 = "","",Table!B2250)</f>
        <v/>
      </c>
      <c r="C2250" s="31" t="str">
        <f>IF(Table!C2250 = "","",Table!C2250)</f>
        <v/>
      </c>
      <c r="D2250" s="32" t="str">
        <f>IF(Table!D2250 = "","",Table!D2250)</f>
        <v/>
      </c>
      <c r="E2250" s="32" t="str">
        <f>IF(Table!E2250 = "","",Table!E2250)</f>
        <v/>
      </c>
      <c r="F2250" s="32" t="str">
        <f>IF(Table!F2250 = "","",Table!F2250)</f>
        <v/>
      </c>
      <c r="G2250" s="91"/>
      <c r="K2250" s="31" t="str">
        <f>IFERROR(VLOOKUP(A2250,Table!$I$4:$O$3000,1,TRUE),"")</f>
        <v/>
      </c>
      <c r="L2250" s="31" t="str">
        <f>IFERROR(INDEX(Table!I:O,MATCH(K2250,Table!I:I,0),2),"")</f>
        <v/>
      </c>
      <c r="M2250" s="31" t="str">
        <f>IFERROR(INDEX(Table!I:O,MATCH(K2250,Table!I:I,0),3),"")</f>
        <v/>
      </c>
      <c r="N2250" s="32" t="str">
        <f>IFERROR(INDEX(Table!I:O,MATCH(K2250,Table!I:I,0),4),"")</f>
        <v/>
      </c>
      <c r="O2250" s="32" t="str">
        <f>IFERROR(INDEX(Table!I:O,MATCH(K2250,Table!I:I,0),5),"")</f>
        <v/>
      </c>
      <c r="P2250" s="32" t="str">
        <f>IFERROR(INDEX(Table!I:O,MATCH(K2250,Table!I:I,0),6),"")</f>
        <v/>
      </c>
      <c r="Q2250" s="89" t="str">
        <f t="shared" si="104"/>
        <v/>
      </c>
      <c r="R2250" s="89" t="str">
        <f t="shared" si="105"/>
        <v/>
      </c>
      <c r="S2250" s="82"/>
      <c r="U2250" s="37"/>
    </row>
    <row r="2251" spans="1:21" x14ac:dyDescent="0.25">
      <c r="A2251" s="31" t="str">
        <f>IF(Table!A2251 = "","",Table!A2251)</f>
        <v/>
      </c>
      <c r="B2251" s="31" t="str">
        <f>IF(Table!B2251 = "","",Table!B2251)</f>
        <v/>
      </c>
      <c r="C2251" s="31" t="str">
        <f>IF(Table!C2251 = "","",Table!C2251)</f>
        <v/>
      </c>
      <c r="D2251" s="32" t="str">
        <f>IF(Table!D2251 = "","",Table!D2251)</f>
        <v/>
      </c>
      <c r="E2251" s="32" t="str">
        <f>IF(Table!E2251 = "","",Table!E2251)</f>
        <v/>
      </c>
      <c r="F2251" s="32" t="str">
        <f>IF(Table!F2251 = "","",Table!F2251)</f>
        <v/>
      </c>
      <c r="G2251" s="91"/>
      <c r="K2251" s="31" t="str">
        <f>IFERROR(VLOOKUP(A2251,Table!$I$4:$O$3000,1,TRUE),"")</f>
        <v/>
      </c>
      <c r="L2251" s="31" t="str">
        <f>IFERROR(INDEX(Table!I:O,MATCH(K2251,Table!I:I,0),2),"")</f>
        <v/>
      </c>
      <c r="M2251" s="31" t="str">
        <f>IFERROR(INDEX(Table!I:O,MATCH(K2251,Table!I:I,0),3),"")</f>
        <v/>
      </c>
      <c r="N2251" s="32" t="str">
        <f>IFERROR(INDEX(Table!I:O,MATCH(K2251,Table!I:I,0),4),"")</f>
        <v/>
      </c>
      <c r="O2251" s="32" t="str">
        <f>IFERROR(INDEX(Table!I:O,MATCH(K2251,Table!I:I,0),5),"")</f>
        <v/>
      </c>
      <c r="P2251" s="32" t="str">
        <f>IFERROR(INDEX(Table!I:O,MATCH(K2251,Table!I:I,0),6),"")</f>
        <v/>
      </c>
      <c r="Q2251" s="89" t="str">
        <f t="shared" si="104"/>
        <v/>
      </c>
      <c r="R2251" s="89" t="str">
        <f t="shared" si="105"/>
        <v/>
      </c>
      <c r="S2251" s="82"/>
      <c r="U2251" s="37"/>
    </row>
    <row r="2252" spans="1:21" x14ac:dyDescent="0.25">
      <c r="A2252" s="31" t="str">
        <f>IF(Table!A2252 = "","",Table!A2252)</f>
        <v/>
      </c>
      <c r="B2252" s="31" t="str">
        <f>IF(Table!B2252 = "","",Table!B2252)</f>
        <v/>
      </c>
      <c r="C2252" s="31" t="str">
        <f>IF(Table!C2252 = "","",Table!C2252)</f>
        <v/>
      </c>
      <c r="D2252" s="32" t="str">
        <f>IF(Table!D2252 = "","",Table!D2252)</f>
        <v/>
      </c>
      <c r="E2252" s="32" t="str">
        <f>IF(Table!E2252 = "","",Table!E2252)</f>
        <v/>
      </c>
      <c r="F2252" s="32" t="str">
        <f>IF(Table!F2252 = "","",Table!F2252)</f>
        <v/>
      </c>
      <c r="G2252" s="91"/>
      <c r="K2252" s="31" t="str">
        <f>IFERROR(VLOOKUP(A2252,Table!$I$4:$O$3000,1,TRUE),"")</f>
        <v/>
      </c>
      <c r="L2252" s="31" t="str">
        <f>IFERROR(INDEX(Table!I:O,MATCH(K2252,Table!I:I,0),2),"")</f>
        <v/>
      </c>
      <c r="M2252" s="31" t="str">
        <f>IFERROR(INDEX(Table!I:O,MATCH(K2252,Table!I:I,0),3),"")</f>
        <v/>
      </c>
      <c r="N2252" s="32" t="str">
        <f>IFERROR(INDEX(Table!I:O,MATCH(K2252,Table!I:I,0),4),"")</f>
        <v/>
      </c>
      <c r="O2252" s="32" t="str">
        <f>IFERROR(INDEX(Table!I:O,MATCH(K2252,Table!I:I,0),5),"")</f>
        <v/>
      </c>
      <c r="P2252" s="32" t="str">
        <f>IFERROR(INDEX(Table!I:O,MATCH(K2252,Table!I:I,0),6),"")</f>
        <v/>
      </c>
      <c r="Q2252" s="89" t="str">
        <f t="shared" si="104"/>
        <v/>
      </c>
      <c r="R2252" s="89" t="str">
        <f t="shared" si="105"/>
        <v/>
      </c>
      <c r="S2252" s="82"/>
      <c r="U2252" s="37"/>
    </row>
    <row r="2253" spans="1:21" x14ac:dyDescent="0.25">
      <c r="A2253" s="31" t="str">
        <f>IF(Table!A2253 = "","",Table!A2253)</f>
        <v/>
      </c>
      <c r="B2253" s="31" t="str">
        <f>IF(Table!B2253 = "","",Table!B2253)</f>
        <v/>
      </c>
      <c r="C2253" s="31" t="str">
        <f>IF(Table!C2253 = "","",Table!C2253)</f>
        <v/>
      </c>
      <c r="D2253" s="32" t="str">
        <f>IF(Table!D2253 = "","",Table!D2253)</f>
        <v/>
      </c>
      <c r="E2253" s="32" t="str">
        <f>IF(Table!E2253 = "","",Table!E2253)</f>
        <v/>
      </c>
      <c r="F2253" s="32" t="str">
        <f>IF(Table!F2253 = "","",Table!F2253)</f>
        <v/>
      </c>
      <c r="G2253" s="91"/>
      <c r="K2253" s="31" t="str">
        <f>IFERROR(VLOOKUP(A2253,Table!$I$4:$O$3000,1,TRUE),"")</f>
        <v/>
      </c>
      <c r="L2253" s="31" t="str">
        <f>IFERROR(INDEX(Table!I:O,MATCH(K2253,Table!I:I,0),2),"")</f>
        <v/>
      </c>
      <c r="M2253" s="31" t="str">
        <f>IFERROR(INDEX(Table!I:O,MATCH(K2253,Table!I:I,0),3),"")</f>
        <v/>
      </c>
      <c r="N2253" s="32" t="str">
        <f>IFERROR(INDEX(Table!I:O,MATCH(K2253,Table!I:I,0),4),"")</f>
        <v/>
      </c>
      <c r="O2253" s="32" t="str">
        <f>IFERROR(INDEX(Table!I:O,MATCH(K2253,Table!I:I,0),5),"")</f>
        <v/>
      </c>
      <c r="P2253" s="32" t="str">
        <f>IFERROR(INDEX(Table!I:O,MATCH(K2253,Table!I:I,0),6),"")</f>
        <v/>
      </c>
      <c r="Q2253" s="89" t="str">
        <f t="shared" si="104"/>
        <v/>
      </c>
      <c r="R2253" s="89" t="str">
        <f t="shared" si="105"/>
        <v/>
      </c>
      <c r="S2253" s="82"/>
      <c r="U2253" s="37"/>
    </row>
    <row r="2254" spans="1:21" x14ac:dyDescent="0.25">
      <c r="A2254" s="31" t="str">
        <f>IF(Table!A2254 = "","",Table!A2254)</f>
        <v/>
      </c>
      <c r="B2254" s="31" t="str">
        <f>IF(Table!B2254 = "","",Table!B2254)</f>
        <v/>
      </c>
      <c r="C2254" s="31" t="str">
        <f>IF(Table!C2254 = "","",Table!C2254)</f>
        <v/>
      </c>
      <c r="D2254" s="32" t="str">
        <f>IF(Table!D2254 = "","",Table!D2254)</f>
        <v/>
      </c>
      <c r="E2254" s="32" t="str">
        <f>IF(Table!E2254 = "","",Table!E2254)</f>
        <v/>
      </c>
      <c r="F2254" s="32" t="str">
        <f>IF(Table!F2254 = "","",Table!F2254)</f>
        <v/>
      </c>
      <c r="G2254" s="91"/>
      <c r="K2254" s="31" t="str">
        <f>IFERROR(VLOOKUP(A2254,Table!$I$4:$O$3000,1,TRUE),"")</f>
        <v/>
      </c>
      <c r="L2254" s="31" t="str">
        <f>IFERROR(INDEX(Table!I:O,MATCH(K2254,Table!I:I,0),2),"")</f>
        <v/>
      </c>
      <c r="M2254" s="31" t="str">
        <f>IFERROR(INDEX(Table!I:O,MATCH(K2254,Table!I:I,0),3),"")</f>
        <v/>
      </c>
      <c r="N2254" s="32" t="str">
        <f>IFERROR(INDEX(Table!I:O,MATCH(K2254,Table!I:I,0),4),"")</f>
        <v/>
      </c>
      <c r="O2254" s="32" t="str">
        <f>IFERROR(INDEX(Table!I:O,MATCH(K2254,Table!I:I,0),5),"")</f>
        <v/>
      </c>
      <c r="P2254" s="32" t="str">
        <f>IFERROR(INDEX(Table!I:O,MATCH(K2254,Table!I:I,0),6),"")</f>
        <v/>
      </c>
      <c r="Q2254" s="89" t="str">
        <f t="shared" si="104"/>
        <v/>
      </c>
      <c r="R2254" s="89" t="str">
        <f t="shared" si="105"/>
        <v/>
      </c>
      <c r="S2254" s="82"/>
      <c r="U2254" s="37"/>
    </row>
    <row r="2255" spans="1:21" x14ac:dyDescent="0.25">
      <c r="A2255" s="31" t="str">
        <f>IF(Table!A2255 = "","",Table!A2255)</f>
        <v/>
      </c>
      <c r="B2255" s="31" t="str">
        <f>IF(Table!B2255 = "","",Table!B2255)</f>
        <v/>
      </c>
      <c r="C2255" s="31" t="str">
        <f>IF(Table!C2255 = "","",Table!C2255)</f>
        <v/>
      </c>
      <c r="D2255" s="32" t="str">
        <f>IF(Table!D2255 = "","",Table!D2255)</f>
        <v/>
      </c>
      <c r="E2255" s="32" t="str">
        <f>IF(Table!E2255 = "","",Table!E2255)</f>
        <v/>
      </c>
      <c r="F2255" s="32" t="str">
        <f>IF(Table!F2255 = "","",Table!F2255)</f>
        <v/>
      </c>
      <c r="G2255" s="91"/>
      <c r="K2255" s="31" t="str">
        <f>IFERROR(VLOOKUP(A2255,Table!$I$4:$O$3000,1,TRUE),"")</f>
        <v/>
      </c>
      <c r="L2255" s="31" t="str">
        <f>IFERROR(INDEX(Table!I:O,MATCH(K2255,Table!I:I,0),2),"")</f>
        <v/>
      </c>
      <c r="M2255" s="31" t="str">
        <f>IFERROR(INDEX(Table!I:O,MATCH(K2255,Table!I:I,0),3),"")</f>
        <v/>
      </c>
      <c r="N2255" s="32" t="str">
        <f>IFERROR(INDEX(Table!I:O,MATCH(K2255,Table!I:I,0),4),"")</f>
        <v/>
      </c>
      <c r="O2255" s="32" t="str">
        <f>IFERROR(INDEX(Table!I:O,MATCH(K2255,Table!I:I,0),5),"")</f>
        <v/>
      </c>
      <c r="P2255" s="32" t="str">
        <f>IFERROR(INDEX(Table!I:O,MATCH(K2255,Table!I:I,0),6),"")</f>
        <v/>
      </c>
      <c r="Q2255" s="89" t="str">
        <f t="shared" si="104"/>
        <v/>
      </c>
      <c r="R2255" s="89" t="str">
        <f t="shared" si="105"/>
        <v/>
      </c>
      <c r="S2255" s="82"/>
      <c r="U2255" s="37"/>
    </row>
    <row r="2256" spans="1:21" x14ac:dyDescent="0.25">
      <c r="A2256" s="31" t="str">
        <f>IF(Table!A2256 = "","",Table!A2256)</f>
        <v/>
      </c>
      <c r="B2256" s="31" t="str">
        <f>IF(Table!B2256 = "","",Table!B2256)</f>
        <v/>
      </c>
      <c r="C2256" s="31" t="str">
        <f>IF(Table!C2256 = "","",Table!C2256)</f>
        <v/>
      </c>
      <c r="D2256" s="32" t="str">
        <f>IF(Table!D2256 = "","",Table!D2256)</f>
        <v/>
      </c>
      <c r="E2256" s="32" t="str">
        <f>IF(Table!E2256 = "","",Table!E2256)</f>
        <v/>
      </c>
      <c r="F2256" s="32" t="str">
        <f>IF(Table!F2256 = "","",Table!F2256)</f>
        <v/>
      </c>
      <c r="G2256" s="91"/>
      <c r="K2256" s="31" t="str">
        <f>IFERROR(VLOOKUP(A2256,Table!$I$4:$O$3000,1,TRUE),"")</f>
        <v/>
      </c>
      <c r="L2256" s="31" t="str">
        <f>IFERROR(INDEX(Table!I:O,MATCH(K2256,Table!I:I,0),2),"")</f>
        <v/>
      </c>
      <c r="M2256" s="31" t="str">
        <f>IFERROR(INDEX(Table!I:O,MATCH(K2256,Table!I:I,0),3),"")</f>
        <v/>
      </c>
      <c r="N2256" s="32" t="str">
        <f>IFERROR(INDEX(Table!I:O,MATCH(K2256,Table!I:I,0),4),"")</f>
        <v/>
      </c>
      <c r="O2256" s="32" t="str">
        <f>IFERROR(INDEX(Table!I:O,MATCH(K2256,Table!I:I,0),5),"")</f>
        <v/>
      </c>
      <c r="P2256" s="32" t="str">
        <f>IFERROR(INDEX(Table!I:O,MATCH(K2256,Table!I:I,0),6),"")</f>
        <v/>
      </c>
      <c r="Q2256" s="89" t="str">
        <f t="shared" si="104"/>
        <v/>
      </c>
      <c r="R2256" s="89" t="str">
        <f t="shared" si="105"/>
        <v/>
      </c>
      <c r="S2256" s="82"/>
      <c r="U2256" s="37"/>
    </row>
    <row r="2257" spans="1:21" x14ac:dyDescent="0.25">
      <c r="A2257" s="31" t="str">
        <f>IF(Table!A2257 = "","",Table!A2257)</f>
        <v/>
      </c>
      <c r="B2257" s="31" t="str">
        <f>IF(Table!B2257 = "","",Table!B2257)</f>
        <v/>
      </c>
      <c r="C2257" s="31" t="str">
        <f>IF(Table!C2257 = "","",Table!C2257)</f>
        <v/>
      </c>
      <c r="D2257" s="32" t="str">
        <f>IF(Table!D2257 = "","",Table!D2257)</f>
        <v/>
      </c>
      <c r="E2257" s="32" t="str">
        <f>IF(Table!E2257 = "","",Table!E2257)</f>
        <v/>
      </c>
      <c r="F2257" s="32" t="str">
        <f>IF(Table!F2257 = "","",Table!F2257)</f>
        <v/>
      </c>
      <c r="G2257" s="91"/>
      <c r="K2257" s="31" t="str">
        <f>IFERROR(VLOOKUP(A2257,Table!$I$4:$O$3000,1,TRUE),"")</f>
        <v/>
      </c>
      <c r="L2257" s="31" t="str">
        <f>IFERROR(INDEX(Table!I:O,MATCH(K2257,Table!I:I,0),2),"")</f>
        <v/>
      </c>
      <c r="M2257" s="31" t="str">
        <f>IFERROR(INDEX(Table!I:O,MATCH(K2257,Table!I:I,0),3),"")</f>
        <v/>
      </c>
      <c r="N2257" s="32" t="str">
        <f>IFERROR(INDEX(Table!I:O,MATCH(K2257,Table!I:I,0),4),"")</f>
        <v/>
      </c>
      <c r="O2257" s="32" t="str">
        <f>IFERROR(INDEX(Table!I:O,MATCH(K2257,Table!I:I,0),5),"")</f>
        <v/>
      </c>
      <c r="P2257" s="32" t="str">
        <f>IFERROR(INDEX(Table!I:O,MATCH(K2257,Table!I:I,0),6),"")</f>
        <v/>
      </c>
      <c r="Q2257" s="89" t="str">
        <f t="shared" si="104"/>
        <v/>
      </c>
      <c r="R2257" s="89" t="str">
        <f t="shared" si="105"/>
        <v/>
      </c>
      <c r="S2257" s="82"/>
      <c r="U2257" s="37"/>
    </row>
    <row r="2258" spans="1:21" x14ac:dyDescent="0.25">
      <c r="A2258" s="31" t="str">
        <f>IF(Table!A2258 = "","",Table!A2258)</f>
        <v/>
      </c>
      <c r="B2258" s="31" t="str">
        <f>IF(Table!B2258 = "","",Table!B2258)</f>
        <v/>
      </c>
      <c r="C2258" s="31" t="str">
        <f>IF(Table!C2258 = "","",Table!C2258)</f>
        <v/>
      </c>
      <c r="D2258" s="32" t="str">
        <f>IF(Table!D2258 = "","",Table!D2258)</f>
        <v/>
      </c>
      <c r="E2258" s="32" t="str">
        <f>IF(Table!E2258 = "","",Table!E2258)</f>
        <v/>
      </c>
      <c r="F2258" s="32" t="str">
        <f>IF(Table!F2258 = "","",Table!F2258)</f>
        <v/>
      </c>
      <c r="G2258" s="91"/>
      <c r="K2258" s="31" t="str">
        <f>IFERROR(VLOOKUP(A2258,Table!$I$4:$O$3000,1,TRUE),"")</f>
        <v/>
      </c>
      <c r="L2258" s="31" t="str">
        <f>IFERROR(INDEX(Table!I:O,MATCH(K2258,Table!I:I,0),2),"")</f>
        <v/>
      </c>
      <c r="M2258" s="31" t="str">
        <f>IFERROR(INDEX(Table!I:O,MATCH(K2258,Table!I:I,0),3),"")</f>
        <v/>
      </c>
      <c r="N2258" s="32" t="str">
        <f>IFERROR(INDEX(Table!I:O,MATCH(K2258,Table!I:I,0),4),"")</f>
        <v/>
      </c>
      <c r="O2258" s="32" t="str">
        <f>IFERROR(INDEX(Table!I:O,MATCH(K2258,Table!I:I,0),5),"")</f>
        <v/>
      </c>
      <c r="P2258" s="32" t="str">
        <f>IFERROR(INDEX(Table!I:O,MATCH(K2258,Table!I:I,0),6),"")</f>
        <v/>
      </c>
      <c r="Q2258" s="89" t="str">
        <f t="shared" si="104"/>
        <v/>
      </c>
      <c r="R2258" s="89" t="str">
        <f t="shared" si="105"/>
        <v/>
      </c>
      <c r="S2258" s="82"/>
      <c r="U2258" s="37"/>
    </row>
    <row r="2259" spans="1:21" x14ac:dyDescent="0.25">
      <c r="A2259" s="31" t="str">
        <f>IF(Table!A2259 = "","",Table!A2259)</f>
        <v/>
      </c>
      <c r="B2259" s="31" t="str">
        <f>IF(Table!B2259 = "","",Table!B2259)</f>
        <v/>
      </c>
      <c r="C2259" s="31" t="str">
        <f>IF(Table!C2259 = "","",Table!C2259)</f>
        <v/>
      </c>
      <c r="D2259" s="32" t="str">
        <f>IF(Table!D2259 = "","",Table!D2259)</f>
        <v/>
      </c>
      <c r="E2259" s="32" t="str">
        <f>IF(Table!E2259 = "","",Table!E2259)</f>
        <v/>
      </c>
      <c r="F2259" s="32" t="str">
        <f>IF(Table!F2259 = "","",Table!F2259)</f>
        <v/>
      </c>
      <c r="G2259" s="91"/>
      <c r="K2259" s="31" t="str">
        <f>IFERROR(VLOOKUP(A2259,Table!$I$4:$O$3000,1,TRUE),"")</f>
        <v/>
      </c>
      <c r="L2259" s="31" t="str">
        <f>IFERROR(INDEX(Table!I:O,MATCH(K2259,Table!I:I,0),2),"")</f>
        <v/>
      </c>
      <c r="M2259" s="31" t="str">
        <f>IFERROR(INDEX(Table!I:O,MATCH(K2259,Table!I:I,0),3),"")</f>
        <v/>
      </c>
      <c r="N2259" s="32" t="str">
        <f>IFERROR(INDEX(Table!I:O,MATCH(K2259,Table!I:I,0),4),"")</f>
        <v/>
      </c>
      <c r="O2259" s="32" t="str">
        <f>IFERROR(INDEX(Table!I:O,MATCH(K2259,Table!I:I,0),5),"")</f>
        <v/>
      </c>
      <c r="P2259" s="32" t="str">
        <f>IFERROR(INDEX(Table!I:O,MATCH(K2259,Table!I:I,0),6),"")</f>
        <v/>
      </c>
      <c r="Q2259" s="89" t="str">
        <f t="shared" si="104"/>
        <v/>
      </c>
      <c r="R2259" s="89" t="str">
        <f t="shared" si="105"/>
        <v/>
      </c>
      <c r="S2259" s="82"/>
      <c r="U2259" s="37"/>
    </row>
    <row r="2260" spans="1:21" x14ac:dyDescent="0.25">
      <c r="A2260" s="31" t="str">
        <f>IF(Table!A2260 = "","",Table!A2260)</f>
        <v/>
      </c>
      <c r="B2260" s="31" t="str">
        <f>IF(Table!B2260 = "","",Table!B2260)</f>
        <v/>
      </c>
      <c r="C2260" s="31" t="str">
        <f>IF(Table!C2260 = "","",Table!C2260)</f>
        <v/>
      </c>
      <c r="D2260" s="32" t="str">
        <f>IF(Table!D2260 = "","",Table!D2260)</f>
        <v/>
      </c>
      <c r="E2260" s="32" t="str">
        <f>IF(Table!E2260 = "","",Table!E2260)</f>
        <v/>
      </c>
      <c r="F2260" s="32" t="str">
        <f>IF(Table!F2260 = "","",Table!F2260)</f>
        <v/>
      </c>
      <c r="G2260" s="91"/>
      <c r="K2260" s="31" t="str">
        <f>IFERROR(VLOOKUP(A2260,Table!$I$4:$O$3000,1,TRUE),"")</f>
        <v/>
      </c>
      <c r="L2260" s="31" t="str">
        <f>IFERROR(INDEX(Table!I:O,MATCH(K2260,Table!I:I,0),2),"")</f>
        <v/>
      </c>
      <c r="M2260" s="31" t="str">
        <f>IFERROR(INDEX(Table!I:O,MATCH(K2260,Table!I:I,0),3),"")</f>
        <v/>
      </c>
      <c r="N2260" s="32" t="str">
        <f>IFERROR(INDEX(Table!I:O,MATCH(K2260,Table!I:I,0),4),"")</f>
        <v/>
      </c>
      <c r="O2260" s="32" t="str">
        <f>IFERROR(INDEX(Table!I:O,MATCH(K2260,Table!I:I,0),5),"")</f>
        <v/>
      </c>
      <c r="P2260" s="32" t="str">
        <f>IFERROR(INDEX(Table!I:O,MATCH(K2260,Table!I:I,0),6),"")</f>
        <v/>
      </c>
      <c r="Q2260" s="89" t="str">
        <f t="shared" si="104"/>
        <v/>
      </c>
      <c r="R2260" s="89" t="str">
        <f t="shared" si="105"/>
        <v/>
      </c>
      <c r="S2260" s="82"/>
      <c r="U2260" s="37"/>
    </row>
    <row r="2261" spans="1:21" x14ac:dyDescent="0.25">
      <c r="A2261" s="31" t="str">
        <f>IF(Table!A2261 = "","",Table!A2261)</f>
        <v/>
      </c>
      <c r="B2261" s="31" t="str">
        <f>IF(Table!B2261 = "","",Table!B2261)</f>
        <v/>
      </c>
      <c r="C2261" s="31" t="str">
        <f>IF(Table!C2261 = "","",Table!C2261)</f>
        <v/>
      </c>
      <c r="D2261" s="32" t="str">
        <f>IF(Table!D2261 = "","",Table!D2261)</f>
        <v/>
      </c>
      <c r="E2261" s="32" t="str">
        <f>IF(Table!E2261 = "","",Table!E2261)</f>
        <v/>
      </c>
      <c r="F2261" s="32" t="str">
        <f>IF(Table!F2261 = "","",Table!F2261)</f>
        <v/>
      </c>
      <c r="G2261" s="91"/>
      <c r="K2261" s="31" t="str">
        <f>IFERROR(VLOOKUP(A2261,Table!$I$4:$O$3000,1,TRUE),"")</f>
        <v/>
      </c>
      <c r="L2261" s="31" t="str">
        <f>IFERROR(INDEX(Table!I:O,MATCH(K2261,Table!I:I,0),2),"")</f>
        <v/>
      </c>
      <c r="M2261" s="31" t="str">
        <f>IFERROR(INDEX(Table!I:O,MATCH(K2261,Table!I:I,0),3),"")</f>
        <v/>
      </c>
      <c r="N2261" s="32" t="str">
        <f>IFERROR(INDEX(Table!I:O,MATCH(K2261,Table!I:I,0),4),"")</f>
        <v/>
      </c>
      <c r="O2261" s="32" t="str">
        <f>IFERROR(INDEX(Table!I:O,MATCH(K2261,Table!I:I,0),5),"")</f>
        <v/>
      </c>
      <c r="P2261" s="32" t="str">
        <f>IFERROR(INDEX(Table!I:O,MATCH(K2261,Table!I:I,0),6),"")</f>
        <v/>
      </c>
      <c r="Q2261" s="89" t="str">
        <f t="shared" si="104"/>
        <v/>
      </c>
      <c r="R2261" s="89" t="str">
        <f t="shared" si="105"/>
        <v/>
      </c>
      <c r="S2261" s="82"/>
      <c r="U2261" s="37"/>
    </row>
    <row r="2262" spans="1:21" x14ac:dyDescent="0.25">
      <c r="A2262" s="31" t="str">
        <f>IF(Table!A2262 = "","",Table!A2262)</f>
        <v/>
      </c>
      <c r="B2262" s="31" t="str">
        <f>IF(Table!B2262 = "","",Table!B2262)</f>
        <v/>
      </c>
      <c r="C2262" s="31" t="str">
        <f>IF(Table!C2262 = "","",Table!C2262)</f>
        <v/>
      </c>
      <c r="D2262" s="32" t="str">
        <f>IF(Table!D2262 = "","",Table!D2262)</f>
        <v/>
      </c>
      <c r="E2262" s="32" t="str">
        <f>IF(Table!E2262 = "","",Table!E2262)</f>
        <v/>
      </c>
      <c r="F2262" s="32" t="str">
        <f>IF(Table!F2262 = "","",Table!F2262)</f>
        <v/>
      </c>
      <c r="G2262" s="91"/>
      <c r="K2262" s="31" t="str">
        <f>IFERROR(VLOOKUP(A2262,Table!$I$4:$O$3000,1,TRUE),"")</f>
        <v/>
      </c>
      <c r="L2262" s="31" t="str">
        <f>IFERROR(INDEX(Table!I:O,MATCH(K2262,Table!I:I,0),2),"")</f>
        <v/>
      </c>
      <c r="M2262" s="31" t="str">
        <f>IFERROR(INDEX(Table!I:O,MATCH(K2262,Table!I:I,0),3),"")</f>
        <v/>
      </c>
      <c r="N2262" s="32" t="str">
        <f>IFERROR(INDEX(Table!I:O,MATCH(K2262,Table!I:I,0),4),"")</f>
        <v/>
      </c>
      <c r="O2262" s="32" t="str">
        <f>IFERROR(INDEX(Table!I:O,MATCH(K2262,Table!I:I,0),5),"")</f>
        <v/>
      </c>
      <c r="P2262" s="32" t="str">
        <f>IFERROR(INDEX(Table!I:O,MATCH(K2262,Table!I:I,0),6),"")</f>
        <v/>
      </c>
      <c r="Q2262" s="89" t="str">
        <f t="shared" si="104"/>
        <v/>
      </c>
      <c r="R2262" s="89" t="str">
        <f t="shared" si="105"/>
        <v/>
      </c>
      <c r="S2262" s="82"/>
      <c r="U2262" s="37"/>
    </row>
    <row r="2263" spans="1:21" x14ac:dyDescent="0.25">
      <c r="A2263" s="31" t="str">
        <f>IF(Table!A2263 = "","",Table!A2263)</f>
        <v/>
      </c>
      <c r="B2263" s="31" t="str">
        <f>IF(Table!B2263 = "","",Table!B2263)</f>
        <v/>
      </c>
      <c r="C2263" s="31" t="str">
        <f>IF(Table!C2263 = "","",Table!C2263)</f>
        <v/>
      </c>
      <c r="D2263" s="32" t="str">
        <f>IF(Table!D2263 = "","",Table!D2263)</f>
        <v/>
      </c>
      <c r="E2263" s="32" t="str">
        <f>IF(Table!E2263 = "","",Table!E2263)</f>
        <v/>
      </c>
      <c r="F2263" s="32" t="str">
        <f>IF(Table!F2263 = "","",Table!F2263)</f>
        <v/>
      </c>
      <c r="G2263" s="91"/>
      <c r="K2263" s="31" t="str">
        <f>IFERROR(VLOOKUP(A2263,Table!$I$4:$O$3000,1,TRUE),"")</f>
        <v/>
      </c>
      <c r="L2263" s="31" t="str">
        <f>IFERROR(INDEX(Table!I:O,MATCH(K2263,Table!I:I,0),2),"")</f>
        <v/>
      </c>
      <c r="M2263" s="31" t="str">
        <f>IFERROR(INDEX(Table!I:O,MATCH(K2263,Table!I:I,0),3),"")</f>
        <v/>
      </c>
      <c r="N2263" s="32" t="str">
        <f>IFERROR(INDEX(Table!I:O,MATCH(K2263,Table!I:I,0),4),"")</f>
        <v/>
      </c>
      <c r="O2263" s="32" t="str">
        <f>IFERROR(INDEX(Table!I:O,MATCH(K2263,Table!I:I,0),5),"")</f>
        <v/>
      </c>
      <c r="P2263" s="32" t="str">
        <f>IFERROR(INDEX(Table!I:O,MATCH(K2263,Table!I:I,0),6),"")</f>
        <v/>
      </c>
      <c r="Q2263" s="89" t="str">
        <f t="shared" si="104"/>
        <v/>
      </c>
      <c r="R2263" s="89" t="str">
        <f t="shared" si="105"/>
        <v/>
      </c>
      <c r="S2263" s="82"/>
      <c r="U2263" s="37"/>
    </row>
    <row r="2264" spans="1:21" x14ac:dyDescent="0.25">
      <c r="A2264" s="31" t="str">
        <f>IF(Table!A2264 = "","",Table!A2264)</f>
        <v/>
      </c>
      <c r="B2264" s="31" t="str">
        <f>IF(Table!B2264 = "","",Table!B2264)</f>
        <v/>
      </c>
      <c r="C2264" s="31" t="str">
        <f>IF(Table!C2264 = "","",Table!C2264)</f>
        <v/>
      </c>
      <c r="D2264" s="32" t="str">
        <f>IF(Table!D2264 = "","",Table!D2264)</f>
        <v/>
      </c>
      <c r="E2264" s="32" t="str">
        <f>IF(Table!E2264 = "","",Table!E2264)</f>
        <v/>
      </c>
      <c r="F2264" s="32" t="str">
        <f>IF(Table!F2264 = "","",Table!F2264)</f>
        <v/>
      </c>
      <c r="G2264" s="91"/>
      <c r="K2264" s="31" t="str">
        <f>IFERROR(VLOOKUP(A2264,Table!$I$4:$O$3000,1,TRUE),"")</f>
        <v/>
      </c>
      <c r="L2264" s="31" t="str">
        <f>IFERROR(INDEX(Table!I:O,MATCH(K2264,Table!I:I,0),2),"")</f>
        <v/>
      </c>
      <c r="M2264" s="31" t="str">
        <f>IFERROR(INDEX(Table!I:O,MATCH(K2264,Table!I:I,0),3),"")</f>
        <v/>
      </c>
      <c r="N2264" s="32" t="str">
        <f>IFERROR(INDEX(Table!I:O,MATCH(K2264,Table!I:I,0),4),"")</f>
        <v/>
      </c>
      <c r="O2264" s="32" t="str">
        <f>IFERROR(INDEX(Table!I:O,MATCH(K2264,Table!I:I,0),5),"")</f>
        <v/>
      </c>
      <c r="P2264" s="32" t="str">
        <f>IFERROR(INDEX(Table!I:O,MATCH(K2264,Table!I:I,0),6),"")</f>
        <v/>
      </c>
      <c r="Q2264" s="89" t="str">
        <f t="shared" si="104"/>
        <v/>
      </c>
      <c r="R2264" s="89" t="str">
        <f t="shared" si="105"/>
        <v/>
      </c>
      <c r="S2264" s="82"/>
      <c r="U2264" s="37"/>
    </row>
    <row r="2265" spans="1:21" x14ac:dyDescent="0.25">
      <c r="A2265" s="31" t="str">
        <f>IF(Table!A2265 = "","",Table!A2265)</f>
        <v/>
      </c>
      <c r="B2265" s="31" t="str">
        <f>IF(Table!B2265 = "","",Table!B2265)</f>
        <v/>
      </c>
      <c r="C2265" s="31" t="str">
        <f>IF(Table!C2265 = "","",Table!C2265)</f>
        <v/>
      </c>
      <c r="D2265" s="32" t="str">
        <f>IF(Table!D2265 = "","",Table!D2265)</f>
        <v/>
      </c>
      <c r="E2265" s="32" t="str">
        <f>IF(Table!E2265 = "","",Table!E2265)</f>
        <v/>
      </c>
      <c r="F2265" s="32" t="str">
        <f>IF(Table!F2265 = "","",Table!F2265)</f>
        <v/>
      </c>
      <c r="G2265" s="91"/>
      <c r="K2265" s="31" t="str">
        <f>IFERROR(VLOOKUP(A2265,Table!$I$4:$O$3000,1,TRUE),"")</f>
        <v/>
      </c>
      <c r="L2265" s="31" t="str">
        <f>IFERROR(INDEX(Table!I:O,MATCH(K2265,Table!I:I,0),2),"")</f>
        <v/>
      </c>
      <c r="M2265" s="31" t="str">
        <f>IFERROR(INDEX(Table!I:O,MATCH(K2265,Table!I:I,0),3),"")</f>
        <v/>
      </c>
      <c r="N2265" s="32" t="str">
        <f>IFERROR(INDEX(Table!I:O,MATCH(K2265,Table!I:I,0),4),"")</f>
        <v/>
      </c>
      <c r="O2265" s="32" t="str">
        <f>IFERROR(INDEX(Table!I:O,MATCH(K2265,Table!I:I,0),5),"")</f>
        <v/>
      </c>
      <c r="P2265" s="32" t="str">
        <f>IFERROR(INDEX(Table!I:O,MATCH(K2265,Table!I:I,0),6),"")</f>
        <v/>
      </c>
      <c r="Q2265" s="89" t="str">
        <f t="shared" si="104"/>
        <v/>
      </c>
      <c r="R2265" s="89" t="str">
        <f t="shared" si="105"/>
        <v/>
      </c>
      <c r="S2265" s="82"/>
      <c r="U2265" s="37"/>
    </row>
    <row r="2266" spans="1:21" x14ac:dyDescent="0.25">
      <c r="A2266" s="31" t="str">
        <f>IF(Table!A2266 = "","",Table!A2266)</f>
        <v/>
      </c>
      <c r="B2266" s="31" t="str">
        <f>IF(Table!B2266 = "","",Table!B2266)</f>
        <v/>
      </c>
      <c r="C2266" s="31" t="str">
        <f>IF(Table!C2266 = "","",Table!C2266)</f>
        <v/>
      </c>
      <c r="D2266" s="32" t="str">
        <f>IF(Table!D2266 = "","",Table!D2266)</f>
        <v/>
      </c>
      <c r="E2266" s="32" t="str">
        <f>IF(Table!E2266 = "","",Table!E2266)</f>
        <v/>
      </c>
      <c r="F2266" s="32" t="str">
        <f>IF(Table!F2266 = "","",Table!F2266)</f>
        <v/>
      </c>
      <c r="G2266" s="91"/>
      <c r="K2266" s="31" t="str">
        <f>IFERROR(VLOOKUP(A2266,Table!$I$4:$O$3000,1,TRUE),"")</f>
        <v/>
      </c>
      <c r="L2266" s="31" t="str">
        <f>IFERROR(INDEX(Table!I:O,MATCH(K2266,Table!I:I,0),2),"")</f>
        <v/>
      </c>
      <c r="M2266" s="31" t="str">
        <f>IFERROR(INDEX(Table!I:O,MATCH(K2266,Table!I:I,0),3),"")</f>
        <v/>
      </c>
      <c r="N2266" s="32" t="str">
        <f>IFERROR(INDEX(Table!I:O,MATCH(K2266,Table!I:I,0),4),"")</f>
        <v/>
      </c>
      <c r="O2266" s="32" t="str">
        <f>IFERROR(INDEX(Table!I:O,MATCH(K2266,Table!I:I,0),5),"")</f>
        <v/>
      </c>
      <c r="P2266" s="32" t="str">
        <f>IFERROR(INDEX(Table!I:O,MATCH(K2266,Table!I:I,0),6),"")</f>
        <v/>
      </c>
      <c r="Q2266" s="89" t="str">
        <f t="shared" si="104"/>
        <v/>
      </c>
      <c r="R2266" s="89" t="str">
        <f t="shared" si="105"/>
        <v/>
      </c>
      <c r="S2266" s="82"/>
      <c r="U2266" s="37"/>
    </row>
    <row r="2267" spans="1:21" x14ac:dyDescent="0.25">
      <c r="A2267" s="31" t="str">
        <f>IF(Table!A2267 = "","",Table!A2267)</f>
        <v/>
      </c>
      <c r="B2267" s="31" t="str">
        <f>IF(Table!B2267 = "","",Table!B2267)</f>
        <v/>
      </c>
      <c r="C2267" s="31" t="str">
        <f>IF(Table!C2267 = "","",Table!C2267)</f>
        <v/>
      </c>
      <c r="D2267" s="32" t="str">
        <f>IF(Table!D2267 = "","",Table!D2267)</f>
        <v/>
      </c>
      <c r="E2267" s="32" t="str">
        <f>IF(Table!E2267 = "","",Table!E2267)</f>
        <v/>
      </c>
      <c r="F2267" s="32" t="str">
        <f>IF(Table!F2267 = "","",Table!F2267)</f>
        <v/>
      </c>
      <c r="G2267" s="91"/>
      <c r="K2267" s="31" t="str">
        <f>IFERROR(VLOOKUP(A2267,Table!$I$4:$O$3000,1,TRUE),"")</f>
        <v/>
      </c>
      <c r="L2267" s="31" t="str">
        <f>IFERROR(INDEX(Table!I:O,MATCH(K2267,Table!I:I,0),2),"")</f>
        <v/>
      </c>
      <c r="M2267" s="31" t="str">
        <f>IFERROR(INDEX(Table!I:O,MATCH(K2267,Table!I:I,0),3),"")</f>
        <v/>
      </c>
      <c r="N2267" s="32" t="str">
        <f>IFERROR(INDEX(Table!I:O,MATCH(K2267,Table!I:I,0),4),"")</f>
        <v/>
      </c>
      <c r="O2267" s="32" t="str">
        <f>IFERROR(INDEX(Table!I:O,MATCH(K2267,Table!I:I,0),5),"")</f>
        <v/>
      </c>
      <c r="P2267" s="32" t="str">
        <f>IFERROR(INDEX(Table!I:O,MATCH(K2267,Table!I:I,0),6),"")</f>
        <v/>
      </c>
      <c r="Q2267" s="89" t="str">
        <f t="shared" si="104"/>
        <v/>
      </c>
      <c r="R2267" s="89" t="str">
        <f t="shared" si="105"/>
        <v/>
      </c>
      <c r="S2267" s="82"/>
      <c r="U2267" s="37"/>
    </row>
    <row r="2268" spans="1:21" x14ac:dyDescent="0.25">
      <c r="A2268" s="31" t="str">
        <f>IF(Table!A2268 = "","",Table!A2268)</f>
        <v/>
      </c>
      <c r="B2268" s="31" t="str">
        <f>IF(Table!B2268 = "","",Table!B2268)</f>
        <v/>
      </c>
      <c r="C2268" s="31" t="str">
        <f>IF(Table!C2268 = "","",Table!C2268)</f>
        <v/>
      </c>
      <c r="D2268" s="32" t="str">
        <f>IF(Table!D2268 = "","",Table!D2268)</f>
        <v/>
      </c>
      <c r="E2268" s="32" t="str">
        <f>IF(Table!E2268 = "","",Table!E2268)</f>
        <v/>
      </c>
      <c r="F2268" s="32" t="str">
        <f>IF(Table!F2268 = "","",Table!F2268)</f>
        <v/>
      </c>
      <c r="G2268" s="91"/>
      <c r="K2268" s="31" t="str">
        <f>IFERROR(VLOOKUP(A2268,Table!$I$4:$O$3000,1,TRUE),"")</f>
        <v/>
      </c>
      <c r="L2268" s="31" t="str">
        <f>IFERROR(INDEX(Table!I:O,MATCH(K2268,Table!I:I,0),2),"")</f>
        <v/>
      </c>
      <c r="M2268" s="31" t="str">
        <f>IFERROR(INDEX(Table!I:O,MATCH(K2268,Table!I:I,0),3),"")</f>
        <v/>
      </c>
      <c r="N2268" s="32" t="str">
        <f>IFERROR(INDEX(Table!I:O,MATCH(K2268,Table!I:I,0),4),"")</f>
        <v/>
      </c>
      <c r="O2268" s="32" t="str">
        <f>IFERROR(INDEX(Table!I:O,MATCH(K2268,Table!I:I,0),5),"")</f>
        <v/>
      </c>
      <c r="P2268" s="32" t="str">
        <f>IFERROR(INDEX(Table!I:O,MATCH(K2268,Table!I:I,0),6),"")</f>
        <v/>
      </c>
      <c r="Q2268" s="89" t="str">
        <f t="shared" si="104"/>
        <v/>
      </c>
      <c r="R2268" s="89" t="str">
        <f t="shared" si="105"/>
        <v/>
      </c>
      <c r="S2268" s="82"/>
      <c r="U2268" s="37"/>
    </row>
    <row r="2269" spans="1:21" x14ac:dyDescent="0.25">
      <c r="A2269" s="31" t="str">
        <f>IF(Table!A2269 = "","",Table!A2269)</f>
        <v/>
      </c>
      <c r="B2269" s="31" t="str">
        <f>IF(Table!B2269 = "","",Table!B2269)</f>
        <v/>
      </c>
      <c r="C2269" s="31" t="str">
        <f>IF(Table!C2269 = "","",Table!C2269)</f>
        <v/>
      </c>
      <c r="D2269" s="32" t="str">
        <f>IF(Table!D2269 = "","",Table!D2269)</f>
        <v/>
      </c>
      <c r="E2269" s="32" t="str">
        <f>IF(Table!E2269 = "","",Table!E2269)</f>
        <v/>
      </c>
      <c r="F2269" s="32" t="str">
        <f>IF(Table!F2269 = "","",Table!F2269)</f>
        <v/>
      </c>
      <c r="G2269" s="91"/>
      <c r="K2269" s="31" t="str">
        <f>IFERROR(VLOOKUP(A2269,Table!$I$4:$O$3000,1,TRUE),"")</f>
        <v/>
      </c>
      <c r="L2269" s="31" t="str">
        <f>IFERROR(INDEX(Table!I:O,MATCH(K2269,Table!I:I,0),2),"")</f>
        <v/>
      </c>
      <c r="M2269" s="31" t="str">
        <f>IFERROR(INDEX(Table!I:O,MATCH(K2269,Table!I:I,0),3),"")</f>
        <v/>
      </c>
      <c r="N2269" s="32" t="str">
        <f>IFERROR(INDEX(Table!I:O,MATCH(K2269,Table!I:I,0),4),"")</f>
        <v/>
      </c>
      <c r="O2269" s="32" t="str">
        <f>IFERROR(INDEX(Table!I:O,MATCH(K2269,Table!I:I,0),5),"")</f>
        <v/>
      </c>
      <c r="P2269" s="32" t="str">
        <f>IFERROR(INDEX(Table!I:O,MATCH(K2269,Table!I:I,0),6),"")</f>
        <v/>
      </c>
      <c r="Q2269" s="89" t="str">
        <f t="shared" si="104"/>
        <v/>
      </c>
      <c r="R2269" s="89" t="str">
        <f t="shared" si="105"/>
        <v/>
      </c>
      <c r="S2269" s="82"/>
      <c r="U2269" s="37"/>
    </row>
    <row r="2270" spans="1:21" x14ac:dyDescent="0.25">
      <c r="A2270" s="31" t="str">
        <f>IF(Table!A2270 = "","",Table!A2270)</f>
        <v/>
      </c>
      <c r="B2270" s="31" t="str">
        <f>IF(Table!B2270 = "","",Table!B2270)</f>
        <v/>
      </c>
      <c r="C2270" s="31" t="str">
        <f>IF(Table!C2270 = "","",Table!C2270)</f>
        <v/>
      </c>
      <c r="D2270" s="32" t="str">
        <f>IF(Table!D2270 = "","",Table!D2270)</f>
        <v/>
      </c>
      <c r="E2270" s="32" t="str">
        <f>IF(Table!E2270 = "","",Table!E2270)</f>
        <v/>
      </c>
      <c r="F2270" s="32" t="str">
        <f>IF(Table!F2270 = "","",Table!F2270)</f>
        <v/>
      </c>
      <c r="G2270" s="91"/>
      <c r="K2270" s="31" t="str">
        <f>IFERROR(VLOOKUP(A2270,Table!$I$4:$O$3000,1,TRUE),"")</f>
        <v/>
      </c>
      <c r="L2270" s="31" t="str">
        <f>IFERROR(INDEX(Table!I:O,MATCH(K2270,Table!I:I,0),2),"")</f>
        <v/>
      </c>
      <c r="M2270" s="31" t="str">
        <f>IFERROR(INDEX(Table!I:O,MATCH(K2270,Table!I:I,0),3),"")</f>
        <v/>
      </c>
      <c r="N2270" s="32" t="str">
        <f>IFERROR(INDEX(Table!I:O,MATCH(K2270,Table!I:I,0),4),"")</f>
        <v/>
      </c>
      <c r="O2270" s="32" t="str">
        <f>IFERROR(INDEX(Table!I:O,MATCH(K2270,Table!I:I,0),5),"")</f>
        <v/>
      </c>
      <c r="P2270" s="32" t="str">
        <f>IFERROR(INDEX(Table!I:O,MATCH(K2270,Table!I:I,0),6),"")</f>
        <v/>
      </c>
      <c r="Q2270" s="89" t="str">
        <f t="shared" si="104"/>
        <v/>
      </c>
      <c r="R2270" s="89" t="str">
        <f t="shared" si="105"/>
        <v/>
      </c>
      <c r="S2270" s="82"/>
      <c r="U2270" s="37"/>
    </row>
    <row r="2271" spans="1:21" x14ac:dyDescent="0.25">
      <c r="A2271" s="31" t="str">
        <f>IF(Table!A2271 = "","",Table!A2271)</f>
        <v/>
      </c>
      <c r="B2271" s="31" t="str">
        <f>IF(Table!B2271 = "","",Table!B2271)</f>
        <v/>
      </c>
      <c r="C2271" s="31" t="str">
        <f>IF(Table!C2271 = "","",Table!C2271)</f>
        <v/>
      </c>
      <c r="D2271" s="32" t="str">
        <f>IF(Table!D2271 = "","",Table!D2271)</f>
        <v/>
      </c>
      <c r="E2271" s="32" t="str">
        <f>IF(Table!E2271 = "","",Table!E2271)</f>
        <v/>
      </c>
      <c r="F2271" s="32" t="str">
        <f>IF(Table!F2271 = "","",Table!F2271)</f>
        <v/>
      </c>
      <c r="G2271" s="91"/>
      <c r="K2271" s="31" t="str">
        <f>IFERROR(VLOOKUP(A2271,Table!$I$4:$O$3000,1,TRUE),"")</f>
        <v/>
      </c>
      <c r="L2271" s="31" t="str">
        <f>IFERROR(INDEX(Table!I:O,MATCH(K2271,Table!I:I,0),2),"")</f>
        <v/>
      </c>
      <c r="M2271" s="31" t="str">
        <f>IFERROR(INDEX(Table!I:O,MATCH(K2271,Table!I:I,0),3),"")</f>
        <v/>
      </c>
      <c r="N2271" s="32" t="str">
        <f>IFERROR(INDEX(Table!I:O,MATCH(K2271,Table!I:I,0),4),"")</f>
        <v/>
      </c>
      <c r="O2271" s="32" t="str">
        <f>IFERROR(INDEX(Table!I:O,MATCH(K2271,Table!I:I,0),5),"")</f>
        <v/>
      </c>
      <c r="P2271" s="32" t="str">
        <f>IFERROR(INDEX(Table!I:O,MATCH(K2271,Table!I:I,0),6),"")</f>
        <v/>
      </c>
      <c r="Q2271" s="89" t="str">
        <f t="shared" si="104"/>
        <v/>
      </c>
      <c r="R2271" s="89" t="str">
        <f t="shared" si="105"/>
        <v/>
      </c>
      <c r="S2271" s="82"/>
      <c r="U2271" s="37"/>
    </row>
    <row r="2272" spans="1:21" x14ac:dyDescent="0.25">
      <c r="A2272" s="31" t="str">
        <f>IF(Table!A2272 = "","",Table!A2272)</f>
        <v/>
      </c>
      <c r="B2272" s="31" t="str">
        <f>IF(Table!B2272 = "","",Table!B2272)</f>
        <v/>
      </c>
      <c r="C2272" s="31" t="str">
        <f>IF(Table!C2272 = "","",Table!C2272)</f>
        <v/>
      </c>
      <c r="D2272" s="32" t="str">
        <f>IF(Table!D2272 = "","",Table!D2272)</f>
        <v/>
      </c>
      <c r="E2272" s="32" t="str">
        <f>IF(Table!E2272 = "","",Table!E2272)</f>
        <v/>
      </c>
      <c r="F2272" s="32" t="str">
        <f>IF(Table!F2272 = "","",Table!F2272)</f>
        <v/>
      </c>
      <c r="G2272" s="91"/>
      <c r="K2272" s="31" t="str">
        <f>IFERROR(VLOOKUP(A2272,Table!$I$4:$O$3000,1,TRUE),"")</f>
        <v/>
      </c>
      <c r="L2272" s="31" t="str">
        <f>IFERROR(INDEX(Table!I:O,MATCH(K2272,Table!I:I,0),2),"")</f>
        <v/>
      </c>
      <c r="M2272" s="31" t="str">
        <f>IFERROR(INDEX(Table!I:O,MATCH(K2272,Table!I:I,0),3),"")</f>
        <v/>
      </c>
      <c r="N2272" s="32" t="str">
        <f>IFERROR(INDEX(Table!I:O,MATCH(K2272,Table!I:I,0),4),"")</f>
        <v/>
      </c>
      <c r="O2272" s="32" t="str">
        <f>IFERROR(INDEX(Table!I:O,MATCH(K2272,Table!I:I,0),5),"")</f>
        <v/>
      </c>
      <c r="P2272" s="32" t="str">
        <f>IFERROR(INDEX(Table!I:O,MATCH(K2272,Table!I:I,0),6),"")</f>
        <v/>
      </c>
      <c r="Q2272" s="89" t="str">
        <f t="shared" si="104"/>
        <v/>
      </c>
      <c r="R2272" s="89" t="str">
        <f t="shared" si="105"/>
        <v/>
      </c>
      <c r="S2272" s="82"/>
      <c r="U2272" s="37"/>
    </row>
    <row r="2273" spans="1:21" x14ac:dyDescent="0.25">
      <c r="A2273" s="31" t="str">
        <f>IF(Table!A2273 = "","",Table!A2273)</f>
        <v/>
      </c>
      <c r="B2273" s="31" t="str">
        <f>IF(Table!B2273 = "","",Table!B2273)</f>
        <v/>
      </c>
      <c r="C2273" s="31" t="str">
        <f>IF(Table!C2273 = "","",Table!C2273)</f>
        <v/>
      </c>
      <c r="D2273" s="32" t="str">
        <f>IF(Table!D2273 = "","",Table!D2273)</f>
        <v/>
      </c>
      <c r="E2273" s="32" t="str">
        <f>IF(Table!E2273 = "","",Table!E2273)</f>
        <v/>
      </c>
      <c r="F2273" s="32" t="str">
        <f>IF(Table!F2273 = "","",Table!F2273)</f>
        <v/>
      </c>
      <c r="G2273" s="91"/>
      <c r="K2273" s="31" t="str">
        <f>IFERROR(VLOOKUP(A2273,Table!$I$4:$O$3000,1,TRUE),"")</f>
        <v/>
      </c>
      <c r="L2273" s="31" t="str">
        <f>IFERROR(INDEX(Table!I:O,MATCH(K2273,Table!I:I,0),2),"")</f>
        <v/>
      </c>
      <c r="M2273" s="31" t="str">
        <f>IFERROR(INDEX(Table!I:O,MATCH(K2273,Table!I:I,0),3),"")</f>
        <v/>
      </c>
      <c r="N2273" s="32" t="str">
        <f>IFERROR(INDEX(Table!I:O,MATCH(K2273,Table!I:I,0),4),"")</f>
        <v/>
      </c>
      <c r="O2273" s="32" t="str">
        <f>IFERROR(INDEX(Table!I:O,MATCH(K2273,Table!I:I,0),5),"")</f>
        <v/>
      </c>
      <c r="P2273" s="32" t="str">
        <f>IFERROR(INDEX(Table!I:O,MATCH(K2273,Table!I:I,0),6),"")</f>
        <v/>
      </c>
      <c r="Q2273" s="89" t="str">
        <f t="shared" si="104"/>
        <v/>
      </c>
      <c r="R2273" s="89" t="str">
        <f t="shared" si="105"/>
        <v/>
      </c>
      <c r="S2273" s="82"/>
      <c r="U2273" s="37"/>
    </row>
    <row r="2274" spans="1:21" x14ac:dyDescent="0.25">
      <c r="A2274" s="31" t="str">
        <f>IF(Table!A2274 = "","",Table!A2274)</f>
        <v/>
      </c>
      <c r="B2274" s="31" t="str">
        <f>IF(Table!B2274 = "","",Table!B2274)</f>
        <v/>
      </c>
      <c r="C2274" s="31" t="str">
        <f>IF(Table!C2274 = "","",Table!C2274)</f>
        <v/>
      </c>
      <c r="D2274" s="32" t="str">
        <f>IF(Table!D2274 = "","",Table!D2274)</f>
        <v/>
      </c>
      <c r="E2274" s="32" t="str">
        <f>IF(Table!E2274 = "","",Table!E2274)</f>
        <v/>
      </c>
      <c r="F2274" s="32" t="str">
        <f>IF(Table!F2274 = "","",Table!F2274)</f>
        <v/>
      </c>
      <c r="G2274" s="91"/>
      <c r="K2274" s="31" t="str">
        <f>IFERROR(VLOOKUP(A2274,Table!$I$4:$O$3000,1,TRUE),"")</f>
        <v/>
      </c>
      <c r="L2274" s="31" t="str">
        <f>IFERROR(INDEX(Table!I:O,MATCH(K2274,Table!I:I,0),2),"")</f>
        <v/>
      </c>
      <c r="M2274" s="31" t="str">
        <f>IFERROR(INDEX(Table!I:O,MATCH(K2274,Table!I:I,0),3),"")</f>
        <v/>
      </c>
      <c r="N2274" s="32" t="str">
        <f>IFERROR(INDEX(Table!I:O,MATCH(K2274,Table!I:I,0),4),"")</f>
        <v/>
      </c>
      <c r="O2274" s="32" t="str">
        <f>IFERROR(INDEX(Table!I:O,MATCH(K2274,Table!I:I,0),5),"")</f>
        <v/>
      </c>
      <c r="P2274" s="32" t="str">
        <f>IFERROR(INDEX(Table!I:O,MATCH(K2274,Table!I:I,0),6),"")</f>
        <v/>
      </c>
      <c r="Q2274" s="89" t="str">
        <f t="shared" si="104"/>
        <v/>
      </c>
      <c r="R2274" s="89" t="str">
        <f t="shared" si="105"/>
        <v/>
      </c>
      <c r="S2274" s="82"/>
      <c r="U2274" s="37"/>
    </row>
    <row r="2275" spans="1:21" x14ac:dyDescent="0.25">
      <c r="A2275" s="31" t="str">
        <f>IF(Table!A2275 = "","",Table!A2275)</f>
        <v/>
      </c>
      <c r="B2275" s="31" t="str">
        <f>IF(Table!B2275 = "","",Table!B2275)</f>
        <v/>
      </c>
      <c r="C2275" s="31" t="str">
        <f>IF(Table!C2275 = "","",Table!C2275)</f>
        <v/>
      </c>
      <c r="D2275" s="32" t="str">
        <f>IF(Table!D2275 = "","",Table!D2275)</f>
        <v/>
      </c>
      <c r="E2275" s="32" t="str">
        <f>IF(Table!E2275 = "","",Table!E2275)</f>
        <v/>
      </c>
      <c r="F2275" s="32" t="str">
        <f>IF(Table!F2275 = "","",Table!F2275)</f>
        <v/>
      </c>
      <c r="G2275" s="91"/>
      <c r="K2275" s="31" t="str">
        <f>IFERROR(VLOOKUP(A2275,Table!$I$4:$O$3000,1,TRUE),"")</f>
        <v/>
      </c>
      <c r="L2275" s="31" t="str">
        <f>IFERROR(INDEX(Table!I:O,MATCH(K2275,Table!I:I,0),2),"")</f>
        <v/>
      </c>
      <c r="M2275" s="31" t="str">
        <f>IFERROR(INDEX(Table!I:O,MATCH(K2275,Table!I:I,0),3),"")</f>
        <v/>
      </c>
      <c r="N2275" s="32" t="str">
        <f>IFERROR(INDEX(Table!I:O,MATCH(K2275,Table!I:I,0),4),"")</f>
        <v/>
      </c>
      <c r="O2275" s="32" t="str">
        <f>IFERROR(INDEX(Table!I:O,MATCH(K2275,Table!I:I,0),5),"")</f>
        <v/>
      </c>
      <c r="P2275" s="32" t="str">
        <f>IFERROR(INDEX(Table!I:O,MATCH(K2275,Table!I:I,0),6),"")</f>
        <v/>
      </c>
      <c r="Q2275" s="89" t="str">
        <f t="shared" si="104"/>
        <v/>
      </c>
      <c r="R2275" s="89" t="str">
        <f t="shared" si="105"/>
        <v/>
      </c>
      <c r="S2275" s="82"/>
      <c r="U2275" s="37"/>
    </row>
    <row r="2276" spans="1:21" x14ac:dyDescent="0.25">
      <c r="A2276" s="31" t="str">
        <f>IF(Table!A2276 = "","",Table!A2276)</f>
        <v/>
      </c>
      <c r="B2276" s="31" t="str">
        <f>IF(Table!B2276 = "","",Table!B2276)</f>
        <v/>
      </c>
      <c r="C2276" s="31" t="str">
        <f>IF(Table!C2276 = "","",Table!C2276)</f>
        <v/>
      </c>
      <c r="D2276" s="32" t="str">
        <f>IF(Table!D2276 = "","",Table!D2276)</f>
        <v/>
      </c>
      <c r="E2276" s="32" t="str">
        <f>IF(Table!E2276 = "","",Table!E2276)</f>
        <v/>
      </c>
      <c r="F2276" s="32" t="str">
        <f>IF(Table!F2276 = "","",Table!F2276)</f>
        <v/>
      </c>
      <c r="G2276" s="91"/>
      <c r="K2276" s="31" t="str">
        <f>IFERROR(VLOOKUP(A2276,Table!$I$4:$O$3000,1,TRUE),"")</f>
        <v/>
      </c>
      <c r="L2276" s="31" t="str">
        <f>IFERROR(INDEX(Table!I:O,MATCH(K2276,Table!I:I,0),2),"")</f>
        <v/>
      </c>
      <c r="M2276" s="31" t="str">
        <f>IFERROR(INDEX(Table!I:O,MATCH(K2276,Table!I:I,0),3),"")</f>
        <v/>
      </c>
      <c r="N2276" s="32" t="str">
        <f>IFERROR(INDEX(Table!I:O,MATCH(K2276,Table!I:I,0),4),"")</f>
        <v/>
      </c>
      <c r="O2276" s="32" t="str">
        <f>IFERROR(INDEX(Table!I:O,MATCH(K2276,Table!I:I,0),5),"")</f>
        <v/>
      </c>
      <c r="P2276" s="32" t="str">
        <f>IFERROR(INDEX(Table!I:O,MATCH(K2276,Table!I:I,0),6),"")</f>
        <v/>
      </c>
      <c r="Q2276" s="89" t="str">
        <f t="shared" si="104"/>
        <v/>
      </c>
      <c r="R2276" s="89" t="str">
        <f t="shared" si="105"/>
        <v/>
      </c>
      <c r="S2276" s="82"/>
      <c r="U2276" s="37"/>
    </row>
    <row r="2277" spans="1:21" x14ac:dyDescent="0.25">
      <c r="A2277" s="31" t="str">
        <f>IF(Table!A2277 = "","",Table!A2277)</f>
        <v/>
      </c>
      <c r="B2277" s="31" t="str">
        <f>IF(Table!B2277 = "","",Table!B2277)</f>
        <v/>
      </c>
      <c r="C2277" s="31" t="str">
        <f>IF(Table!C2277 = "","",Table!C2277)</f>
        <v/>
      </c>
      <c r="D2277" s="32" t="str">
        <f>IF(Table!D2277 = "","",Table!D2277)</f>
        <v/>
      </c>
      <c r="E2277" s="32" t="str">
        <f>IF(Table!E2277 = "","",Table!E2277)</f>
        <v/>
      </c>
      <c r="F2277" s="32" t="str">
        <f>IF(Table!F2277 = "","",Table!F2277)</f>
        <v/>
      </c>
      <c r="G2277" s="91"/>
      <c r="K2277" s="31" t="str">
        <f>IFERROR(VLOOKUP(A2277,Table!$I$4:$O$3000,1,TRUE),"")</f>
        <v/>
      </c>
      <c r="L2277" s="31" t="str">
        <f>IFERROR(INDEX(Table!I:O,MATCH(K2277,Table!I:I,0),2),"")</f>
        <v/>
      </c>
      <c r="M2277" s="31" t="str">
        <f>IFERROR(INDEX(Table!I:O,MATCH(K2277,Table!I:I,0),3),"")</f>
        <v/>
      </c>
      <c r="N2277" s="32" t="str">
        <f>IFERROR(INDEX(Table!I:O,MATCH(K2277,Table!I:I,0),4),"")</f>
        <v/>
      </c>
      <c r="O2277" s="32" t="str">
        <f>IFERROR(INDEX(Table!I:O,MATCH(K2277,Table!I:I,0),5),"")</f>
        <v/>
      </c>
      <c r="P2277" s="32" t="str">
        <f>IFERROR(INDEX(Table!I:O,MATCH(K2277,Table!I:I,0),6),"")</f>
        <v/>
      </c>
      <c r="Q2277" s="89" t="str">
        <f t="shared" si="104"/>
        <v/>
      </c>
      <c r="R2277" s="89" t="str">
        <f t="shared" si="105"/>
        <v/>
      </c>
      <c r="S2277" s="82"/>
      <c r="U2277" s="37"/>
    </row>
    <row r="2278" spans="1:21" x14ac:dyDescent="0.25">
      <c r="A2278" s="31" t="str">
        <f>IF(Table!A2278 = "","",Table!A2278)</f>
        <v/>
      </c>
      <c r="B2278" s="31" t="str">
        <f>IF(Table!B2278 = "","",Table!B2278)</f>
        <v/>
      </c>
      <c r="C2278" s="31" t="str">
        <f>IF(Table!C2278 = "","",Table!C2278)</f>
        <v/>
      </c>
      <c r="D2278" s="32" t="str">
        <f>IF(Table!D2278 = "","",Table!D2278)</f>
        <v/>
      </c>
      <c r="E2278" s="32" t="str">
        <f>IF(Table!E2278 = "","",Table!E2278)</f>
        <v/>
      </c>
      <c r="F2278" s="32" t="str">
        <f>IF(Table!F2278 = "","",Table!F2278)</f>
        <v/>
      </c>
      <c r="G2278" s="91"/>
      <c r="K2278" s="31" t="str">
        <f>IFERROR(VLOOKUP(A2278,Table!$I$4:$O$3000,1,TRUE),"")</f>
        <v/>
      </c>
      <c r="L2278" s="31" t="str">
        <f>IFERROR(INDEX(Table!I:O,MATCH(K2278,Table!I:I,0),2),"")</f>
        <v/>
      </c>
      <c r="M2278" s="31" t="str">
        <f>IFERROR(INDEX(Table!I:O,MATCH(K2278,Table!I:I,0),3),"")</f>
        <v/>
      </c>
      <c r="N2278" s="32" t="str">
        <f>IFERROR(INDEX(Table!I:O,MATCH(K2278,Table!I:I,0),4),"")</f>
        <v/>
      </c>
      <c r="O2278" s="32" t="str">
        <f>IFERROR(INDEX(Table!I:O,MATCH(K2278,Table!I:I,0),5),"")</f>
        <v/>
      </c>
      <c r="P2278" s="32" t="str">
        <f>IFERROR(INDEX(Table!I:O,MATCH(K2278,Table!I:I,0),6),"")</f>
        <v/>
      </c>
      <c r="Q2278" s="89" t="str">
        <f t="shared" si="104"/>
        <v/>
      </c>
      <c r="R2278" s="89" t="str">
        <f t="shared" si="105"/>
        <v/>
      </c>
      <c r="S2278" s="82"/>
      <c r="U2278" s="37"/>
    </row>
    <row r="2279" spans="1:21" x14ac:dyDescent="0.25">
      <c r="A2279" s="31" t="str">
        <f>IF(Table!A2279 = "","",Table!A2279)</f>
        <v/>
      </c>
      <c r="B2279" s="31" t="str">
        <f>IF(Table!B2279 = "","",Table!B2279)</f>
        <v/>
      </c>
      <c r="C2279" s="31" t="str">
        <f>IF(Table!C2279 = "","",Table!C2279)</f>
        <v/>
      </c>
      <c r="D2279" s="32" t="str">
        <f>IF(Table!D2279 = "","",Table!D2279)</f>
        <v/>
      </c>
      <c r="E2279" s="32" t="str">
        <f>IF(Table!E2279 = "","",Table!E2279)</f>
        <v/>
      </c>
      <c r="F2279" s="32" t="str">
        <f>IF(Table!F2279 = "","",Table!F2279)</f>
        <v/>
      </c>
      <c r="G2279" s="91"/>
      <c r="K2279" s="31" t="str">
        <f>IFERROR(VLOOKUP(A2279,Table!$I$4:$O$3000,1,TRUE),"")</f>
        <v/>
      </c>
      <c r="L2279" s="31" t="str">
        <f>IFERROR(INDEX(Table!I:O,MATCH(K2279,Table!I:I,0),2),"")</f>
        <v/>
      </c>
      <c r="M2279" s="31" t="str">
        <f>IFERROR(INDEX(Table!I:O,MATCH(K2279,Table!I:I,0),3),"")</f>
        <v/>
      </c>
      <c r="N2279" s="32" t="str">
        <f>IFERROR(INDEX(Table!I:O,MATCH(K2279,Table!I:I,0),4),"")</f>
        <v/>
      </c>
      <c r="O2279" s="32" t="str">
        <f>IFERROR(INDEX(Table!I:O,MATCH(K2279,Table!I:I,0),5),"")</f>
        <v/>
      </c>
      <c r="P2279" s="32" t="str">
        <f>IFERROR(INDEX(Table!I:O,MATCH(K2279,Table!I:I,0),6),"")</f>
        <v/>
      </c>
      <c r="Q2279" s="89" t="str">
        <f t="shared" si="104"/>
        <v/>
      </c>
      <c r="R2279" s="89" t="str">
        <f t="shared" si="105"/>
        <v/>
      </c>
      <c r="S2279" s="82"/>
      <c r="U2279" s="37"/>
    </row>
    <row r="2280" spans="1:21" x14ac:dyDescent="0.25">
      <c r="A2280" s="31" t="str">
        <f>IF(Table!A2280 = "","",Table!A2280)</f>
        <v/>
      </c>
      <c r="B2280" s="31" t="str">
        <f>IF(Table!B2280 = "","",Table!B2280)</f>
        <v/>
      </c>
      <c r="C2280" s="31" t="str">
        <f>IF(Table!C2280 = "","",Table!C2280)</f>
        <v/>
      </c>
      <c r="D2280" s="32" t="str">
        <f>IF(Table!D2280 = "","",Table!D2280)</f>
        <v/>
      </c>
      <c r="E2280" s="32" t="str">
        <f>IF(Table!E2280 = "","",Table!E2280)</f>
        <v/>
      </c>
      <c r="F2280" s="32" t="str">
        <f>IF(Table!F2280 = "","",Table!F2280)</f>
        <v/>
      </c>
      <c r="G2280" s="91"/>
      <c r="K2280" s="31" t="str">
        <f>IFERROR(VLOOKUP(A2280,Table!$I$4:$O$3000,1,TRUE),"")</f>
        <v/>
      </c>
      <c r="L2280" s="31" t="str">
        <f>IFERROR(INDEX(Table!I:O,MATCH(K2280,Table!I:I,0),2),"")</f>
        <v/>
      </c>
      <c r="M2280" s="31" t="str">
        <f>IFERROR(INDEX(Table!I:O,MATCH(K2280,Table!I:I,0),3),"")</f>
        <v/>
      </c>
      <c r="N2280" s="32" t="str">
        <f>IFERROR(INDEX(Table!I:O,MATCH(K2280,Table!I:I,0),4),"")</f>
        <v/>
      </c>
      <c r="O2280" s="32" t="str">
        <f>IFERROR(INDEX(Table!I:O,MATCH(K2280,Table!I:I,0),5),"")</f>
        <v/>
      </c>
      <c r="P2280" s="32" t="str">
        <f>IFERROR(INDEX(Table!I:O,MATCH(K2280,Table!I:I,0),6),"")</f>
        <v/>
      </c>
      <c r="Q2280" s="89" t="str">
        <f t="shared" si="104"/>
        <v/>
      </c>
      <c r="R2280" s="89" t="str">
        <f t="shared" si="105"/>
        <v/>
      </c>
      <c r="S2280" s="82"/>
      <c r="U2280" s="37"/>
    </row>
    <row r="2281" spans="1:21" x14ac:dyDescent="0.25">
      <c r="A2281" s="31" t="str">
        <f>IF(Table!A2281 = "","",Table!A2281)</f>
        <v/>
      </c>
      <c r="B2281" s="31" t="str">
        <f>IF(Table!B2281 = "","",Table!B2281)</f>
        <v/>
      </c>
      <c r="C2281" s="31" t="str">
        <f>IF(Table!C2281 = "","",Table!C2281)</f>
        <v/>
      </c>
      <c r="D2281" s="32" t="str">
        <f>IF(Table!D2281 = "","",Table!D2281)</f>
        <v/>
      </c>
      <c r="E2281" s="32" t="str">
        <f>IF(Table!E2281 = "","",Table!E2281)</f>
        <v/>
      </c>
      <c r="F2281" s="32" t="str">
        <f>IF(Table!F2281 = "","",Table!F2281)</f>
        <v/>
      </c>
      <c r="G2281" s="91"/>
      <c r="K2281" s="31" t="str">
        <f>IFERROR(VLOOKUP(A2281,Table!$I$4:$O$3000,1,TRUE),"")</f>
        <v/>
      </c>
      <c r="L2281" s="31" t="str">
        <f>IFERROR(INDEX(Table!I:O,MATCH(K2281,Table!I:I,0),2),"")</f>
        <v/>
      </c>
      <c r="M2281" s="31" t="str">
        <f>IFERROR(INDEX(Table!I:O,MATCH(K2281,Table!I:I,0),3),"")</f>
        <v/>
      </c>
      <c r="N2281" s="32" t="str">
        <f>IFERROR(INDEX(Table!I:O,MATCH(K2281,Table!I:I,0),4),"")</f>
        <v/>
      </c>
      <c r="O2281" s="32" t="str">
        <f>IFERROR(INDEX(Table!I:O,MATCH(K2281,Table!I:I,0),5),"")</f>
        <v/>
      </c>
      <c r="P2281" s="32" t="str">
        <f>IFERROR(INDEX(Table!I:O,MATCH(K2281,Table!I:I,0),6),"")</f>
        <v/>
      </c>
      <c r="Q2281" s="89" t="str">
        <f t="shared" si="104"/>
        <v/>
      </c>
      <c r="R2281" s="89" t="str">
        <f t="shared" si="105"/>
        <v/>
      </c>
      <c r="S2281" s="82"/>
      <c r="U2281" s="37"/>
    </row>
    <row r="2282" spans="1:21" x14ac:dyDescent="0.25">
      <c r="A2282" s="31" t="str">
        <f>IF(Table!A2282 = "","",Table!A2282)</f>
        <v/>
      </c>
      <c r="B2282" s="31" t="str">
        <f>IF(Table!B2282 = "","",Table!B2282)</f>
        <v/>
      </c>
      <c r="C2282" s="31" t="str">
        <f>IF(Table!C2282 = "","",Table!C2282)</f>
        <v/>
      </c>
      <c r="D2282" s="32" t="str">
        <f>IF(Table!D2282 = "","",Table!D2282)</f>
        <v/>
      </c>
      <c r="E2282" s="32" t="str">
        <f>IF(Table!E2282 = "","",Table!E2282)</f>
        <v/>
      </c>
      <c r="F2282" s="32" t="str">
        <f>IF(Table!F2282 = "","",Table!F2282)</f>
        <v/>
      </c>
      <c r="G2282" s="91"/>
      <c r="K2282" s="31" t="str">
        <f>IFERROR(VLOOKUP(A2282,Table!$I$4:$O$3000,1,TRUE),"")</f>
        <v/>
      </c>
      <c r="L2282" s="31" t="str">
        <f>IFERROR(INDEX(Table!I:O,MATCH(K2282,Table!I:I,0),2),"")</f>
        <v/>
      </c>
      <c r="M2282" s="31" t="str">
        <f>IFERROR(INDEX(Table!I:O,MATCH(K2282,Table!I:I,0),3),"")</f>
        <v/>
      </c>
      <c r="N2282" s="32" t="str">
        <f>IFERROR(INDEX(Table!I:O,MATCH(K2282,Table!I:I,0),4),"")</f>
        <v/>
      </c>
      <c r="O2282" s="32" t="str">
        <f>IFERROR(INDEX(Table!I:O,MATCH(K2282,Table!I:I,0),5),"")</f>
        <v/>
      </c>
      <c r="P2282" s="32" t="str">
        <f>IFERROR(INDEX(Table!I:O,MATCH(K2282,Table!I:I,0),6),"")</f>
        <v/>
      </c>
      <c r="Q2282" s="89" t="str">
        <f t="shared" si="104"/>
        <v/>
      </c>
      <c r="R2282" s="89" t="str">
        <f t="shared" si="105"/>
        <v/>
      </c>
      <c r="S2282" s="82"/>
      <c r="U2282" s="37"/>
    </row>
    <row r="2283" spans="1:21" x14ac:dyDescent="0.25">
      <c r="A2283" s="31" t="str">
        <f>IF(Table!A2283 = "","",Table!A2283)</f>
        <v/>
      </c>
      <c r="B2283" s="31" t="str">
        <f>IF(Table!B2283 = "","",Table!B2283)</f>
        <v/>
      </c>
      <c r="C2283" s="31" t="str">
        <f>IF(Table!C2283 = "","",Table!C2283)</f>
        <v/>
      </c>
      <c r="D2283" s="32" t="str">
        <f>IF(Table!D2283 = "","",Table!D2283)</f>
        <v/>
      </c>
      <c r="E2283" s="32" t="str">
        <f>IF(Table!E2283 = "","",Table!E2283)</f>
        <v/>
      </c>
      <c r="F2283" s="32" t="str">
        <f>IF(Table!F2283 = "","",Table!F2283)</f>
        <v/>
      </c>
      <c r="G2283" s="91"/>
      <c r="K2283" s="31" t="str">
        <f>IFERROR(VLOOKUP(A2283,Table!$I$4:$O$3000,1,TRUE),"")</f>
        <v/>
      </c>
      <c r="L2283" s="31" t="str">
        <f>IFERROR(INDEX(Table!I:O,MATCH(K2283,Table!I:I,0),2),"")</f>
        <v/>
      </c>
      <c r="M2283" s="31" t="str">
        <f>IFERROR(INDEX(Table!I:O,MATCH(K2283,Table!I:I,0),3),"")</f>
        <v/>
      </c>
      <c r="N2283" s="32" t="str">
        <f>IFERROR(INDEX(Table!I:O,MATCH(K2283,Table!I:I,0),4),"")</f>
        <v/>
      </c>
      <c r="O2283" s="32" t="str">
        <f>IFERROR(INDEX(Table!I:O,MATCH(K2283,Table!I:I,0),5),"")</f>
        <v/>
      </c>
      <c r="P2283" s="32" t="str">
        <f>IFERROR(INDEX(Table!I:O,MATCH(K2283,Table!I:I,0),6),"")</f>
        <v/>
      </c>
      <c r="Q2283" s="89" t="str">
        <f t="shared" si="104"/>
        <v/>
      </c>
      <c r="R2283" s="89" t="str">
        <f t="shared" si="105"/>
        <v/>
      </c>
      <c r="S2283" s="82"/>
      <c r="U2283" s="37"/>
    </row>
    <row r="2284" spans="1:21" x14ac:dyDescent="0.25">
      <c r="A2284" s="31" t="str">
        <f>IF(Table!A2284 = "","",Table!A2284)</f>
        <v/>
      </c>
      <c r="B2284" s="31" t="str">
        <f>IF(Table!B2284 = "","",Table!B2284)</f>
        <v/>
      </c>
      <c r="C2284" s="31" t="str">
        <f>IF(Table!C2284 = "","",Table!C2284)</f>
        <v/>
      </c>
      <c r="D2284" s="32" t="str">
        <f>IF(Table!D2284 = "","",Table!D2284)</f>
        <v/>
      </c>
      <c r="E2284" s="32" t="str">
        <f>IF(Table!E2284 = "","",Table!E2284)</f>
        <v/>
      </c>
      <c r="F2284" s="32" t="str">
        <f>IF(Table!F2284 = "","",Table!F2284)</f>
        <v/>
      </c>
      <c r="G2284" s="91"/>
      <c r="K2284" s="31" t="str">
        <f>IFERROR(VLOOKUP(A2284,Table!$I$4:$O$3000,1,TRUE),"")</f>
        <v/>
      </c>
      <c r="L2284" s="31" t="str">
        <f>IFERROR(INDEX(Table!I:O,MATCH(K2284,Table!I:I,0),2),"")</f>
        <v/>
      </c>
      <c r="M2284" s="31" t="str">
        <f>IFERROR(INDEX(Table!I:O,MATCH(K2284,Table!I:I,0),3),"")</f>
        <v/>
      </c>
      <c r="N2284" s="32" t="str">
        <f>IFERROR(INDEX(Table!I:O,MATCH(K2284,Table!I:I,0),4),"")</f>
        <v/>
      </c>
      <c r="O2284" s="32" t="str">
        <f>IFERROR(INDEX(Table!I:O,MATCH(K2284,Table!I:I,0),5),"")</f>
        <v/>
      </c>
      <c r="P2284" s="32" t="str">
        <f>IFERROR(INDEX(Table!I:O,MATCH(K2284,Table!I:I,0),6),"")</f>
        <v/>
      </c>
      <c r="Q2284" s="89" t="str">
        <f t="shared" si="104"/>
        <v/>
      </c>
      <c r="R2284" s="89" t="str">
        <f t="shared" si="105"/>
        <v/>
      </c>
      <c r="S2284" s="82"/>
      <c r="U2284" s="37"/>
    </row>
    <row r="2285" spans="1:21" x14ac:dyDescent="0.25">
      <c r="A2285" s="31" t="str">
        <f>IF(Table!A2285 = "","",Table!A2285)</f>
        <v/>
      </c>
      <c r="B2285" s="31" t="str">
        <f>IF(Table!B2285 = "","",Table!B2285)</f>
        <v/>
      </c>
      <c r="C2285" s="31" t="str">
        <f>IF(Table!C2285 = "","",Table!C2285)</f>
        <v/>
      </c>
      <c r="D2285" s="32" t="str">
        <f>IF(Table!D2285 = "","",Table!D2285)</f>
        <v/>
      </c>
      <c r="E2285" s="32" t="str">
        <f>IF(Table!E2285 = "","",Table!E2285)</f>
        <v/>
      </c>
      <c r="F2285" s="32" t="str">
        <f>IF(Table!F2285 = "","",Table!F2285)</f>
        <v/>
      </c>
      <c r="G2285" s="91"/>
      <c r="K2285" s="31" t="str">
        <f>IFERROR(VLOOKUP(A2285,Table!$I$4:$O$3000,1,TRUE),"")</f>
        <v/>
      </c>
      <c r="L2285" s="31" t="str">
        <f>IFERROR(INDEX(Table!I:O,MATCH(K2285,Table!I:I,0),2),"")</f>
        <v/>
      </c>
      <c r="M2285" s="31" t="str">
        <f>IFERROR(INDEX(Table!I:O,MATCH(K2285,Table!I:I,0),3),"")</f>
        <v/>
      </c>
      <c r="N2285" s="32" t="str">
        <f>IFERROR(INDEX(Table!I:O,MATCH(K2285,Table!I:I,0),4),"")</f>
        <v/>
      </c>
      <c r="O2285" s="32" t="str">
        <f>IFERROR(INDEX(Table!I:O,MATCH(K2285,Table!I:I,0),5),"")</f>
        <v/>
      </c>
      <c r="P2285" s="32" t="str">
        <f>IFERROR(INDEX(Table!I:O,MATCH(K2285,Table!I:I,0),6),"")</f>
        <v/>
      </c>
      <c r="Q2285" s="89" t="str">
        <f t="shared" si="104"/>
        <v/>
      </c>
      <c r="R2285" s="89" t="str">
        <f t="shared" si="105"/>
        <v/>
      </c>
      <c r="S2285" s="82"/>
      <c r="U2285" s="37"/>
    </row>
    <row r="2286" spans="1:21" x14ac:dyDescent="0.25">
      <c r="A2286" s="31" t="str">
        <f>IF(Table!A2286 = "","",Table!A2286)</f>
        <v/>
      </c>
      <c r="B2286" s="31" t="str">
        <f>IF(Table!B2286 = "","",Table!B2286)</f>
        <v/>
      </c>
      <c r="C2286" s="31" t="str">
        <f>IF(Table!C2286 = "","",Table!C2286)</f>
        <v/>
      </c>
      <c r="D2286" s="32" t="str">
        <f>IF(Table!D2286 = "","",Table!D2286)</f>
        <v/>
      </c>
      <c r="E2286" s="32" t="str">
        <f>IF(Table!E2286 = "","",Table!E2286)</f>
        <v/>
      </c>
      <c r="F2286" s="32" t="str">
        <f>IF(Table!F2286 = "","",Table!F2286)</f>
        <v/>
      </c>
      <c r="G2286" s="91"/>
      <c r="K2286" s="31" t="str">
        <f>IFERROR(VLOOKUP(A2286,Table!$I$4:$O$3000,1,TRUE),"")</f>
        <v/>
      </c>
      <c r="L2286" s="31" t="str">
        <f>IFERROR(INDEX(Table!I:O,MATCH(K2286,Table!I:I,0),2),"")</f>
        <v/>
      </c>
      <c r="M2286" s="31" t="str">
        <f>IFERROR(INDEX(Table!I:O,MATCH(K2286,Table!I:I,0),3),"")</f>
        <v/>
      </c>
      <c r="N2286" s="32" t="str">
        <f>IFERROR(INDEX(Table!I:O,MATCH(K2286,Table!I:I,0),4),"")</f>
        <v/>
      </c>
      <c r="O2286" s="32" t="str">
        <f>IFERROR(INDEX(Table!I:O,MATCH(K2286,Table!I:I,0),5),"")</f>
        <v/>
      </c>
      <c r="P2286" s="32" t="str">
        <f>IFERROR(INDEX(Table!I:O,MATCH(K2286,Table!I:I,0),6),"")</f>
        <v/>
      </c>
      <c r="Q2286" s="89" t="str">
        <f t="shared" si="104"/>
        <v/>
      </c>
      <c r="R2286" s="89" t="str">
        <f t="shared" si="105"/>
        <v/>
      </c>
      <c r="S2286" s="82"/>
      <c r="U2286" s="37"/>
    </row>
    <row r="2287" spans="1:21" x14ac:dyDescent="0.25">
      <c r="A2287" s="31" t="str">
        <f>IF(Table!A2287 = "","",Table!A2287)</f>
        <v/>
      </c>
      <c r="B2287" s="31" t="str">
        <f>IF(Table!B2287 = "","",Table!B2287)</f>
        <v/>
      </c>
      <c r="C2287" s="31" t="str">
        <f>IF(Table!C2287 = "","",Table!C2287)</f>
        <v/>
      </c>
      <c r="D2287" s="32" t="str">
        <f>IF(Table!D2287 = "","",Table!D2287)</f>
        <v/>
      </c>
      <c r="E2287" s="32" t="str">
        <f>IF(Table!E2287 = "","",Table!E2287)</f>
        <v/>
      </c>
      <c r="F2287" s="32" t="str">
        <f>IF(Table!F2287 = "","",Table!F2287)</f>
        <v/>
      </c>
      <c r="G2287" s="91"/>
      <c r="K2287" s="31" t="str">
        <f>IFERROR(VLOOKUP(A2287,Table!$I$4:$O$3000,1,TRUE),"")</f>
        <v/>
      </c>
      <c r="L2287" s="31" t="str">
        <f>IFERROR(INDEX(Table!I:O,MATCH(K2287,Table!I:I,0),2),"")</f>
        <v/>
      </c>
      <c r="M2287" s="31" t="str">
        <f>IFERROR(INDEX(Table!I:O,MATCH(K2287,Table!I:I,0),3),"")</f>
        <v/>
      </c>
      <c r="N2287" s="32" t="str">
        <f>IFERROR(INDEX(Table!I:O,MATCH(K2287,Table!I:I,0),4),"")</f>
        <v/>
      </c>
      <c r="O2287" s="32" t="str">
        <f>IFERROR(INDEX(Table!I:O,MATCH(K2287,Table!I:I,0),5),"")</f>
        <v/>
      </c>
      <c r="P2287" s="32" t="str">
        <f>IFERROR(INDEX(Table!I:O,MATCH(K2287,Table!I:I,0),6),"")</f>
        <v/>
      </c>
      <c r="Q2287" s="89" t="str">
        <f t="shared" si="104"/>
        <v/>
      </c>
      <c r="R2287" s="89" t="str">
        <f t="shared" si="105"/>
        <v/>
      </c>
      <c r="S2287" s="82"/>
      <c r="U2287" s="37"/>
    </row>
    <row r="2288" spans="1:21" x14ac:dyDescent="0.25">
      <c r="A2288" s="31" t="str">
        <f>IF(Table!A2288 = "","",Table!A2288)</f>
        <v/>
      </c>
      <c r="B2288" s="31" t="str">
        <f>IF(Table!B2288 = "","",Table!B2288)</f>
        <v/>
      </c>
      <c r="C2288" s="31" t="str">
        <f>IF(Table!C2288 = "","",Table!C2288)</f>
        <v/>
      </c>
      <c r="D2288" s="32" t="str">
        <f>IF(Table!D2288 = "","",Table!D2288)</f>
        <v/>
      </c>
      <c r="E2288" s="32" t="str">
        <f>IF(Table!E2288 = "","",Table!E2288)</f>
        <v/>
      </c>
      <c r="F2288" s="32" t="str">
        <f>IF(Table!F2288 = "","",Table!F2288)</f>
        <v/>
      </c>
      <c r="G2288" s="91"/>
      <c r="K2288" s="31" t="str">
        <f>IFERROR(VLOOKUP(A2288,Table!$I$4:$O$3000,1,TRUE),"")</f>
        <v/>
      </c>
      <c r="L2288" s="31" t="str">
        <f>IFERROR(INDEX(Table!I:O,MATCH(K2288,Table!I:I,0),2),"")</f>
        <v/>
      </c>
      <c r="M2288" s="31" t="str">
        <f>IFERROR(INDEX(Table!I:O,MATCH(K2288,Table!I:I,0),3),"")</f>
        <v/>
      </c>
      <c r="N2288" s="32" t="str">
        <f>IFERROR(INDEX(Table!I:O,MATCH(K2288,Table!I:I,0),4),"")</f>
        <v/>
      </c>
      <c r="O2288" s="32" t="str">
        <f>IFERROR(INDEX(Table!I:O,MATCH(K2288,Table!I:I,0),5),"")</f>
        <v/>
      </c>
      <c r="P2288" s="32" t="str">
        <f>IFERROR(INDEX(Table!I:O,MATCH(K2288,Table!I:I,0),6),"")</f>
        <v/>
      </c>
      <c r="Q2288" s="89" t="str">
        <f t="shared" si="104"/>
        <v/>
      </c>
      <c r="R2288" s="89" t="str">
        <f t="shared" si="105"/>
        <v/>
      </c>
      <c r="S2288" s="82"/>
      <c r="U2288" s="37"/>
    </row>
    <row r="2289" spans="1:21" x14ac:dyDescent="0.25">
      <c r="A2289" s="31" t="str">
        <f>IF(Table!A2289 = "","",Table!A2289)</f>
        <v/>
      </c>
      <c r="B2289" s="31" t="str">
        <f>IF(Table!B2289 = "","",Table!B2289)</f>
        <v/>
      </c>
      <c r="C2289" s="31" t="str">
        <f>IF(Table!C2289 = "","",Table!C2289)</f>
        <v/>
      </c>
      <c r="D2289" s="32" t="str">
        <f>IF(Table!D2289 = "","",Table!D2289)</f>
        <v/>
      </c>
      <c r="E2289" s="32" t="str">
        <f>IF(Table!E2289 = "","",Table!E2289)</f>
        <v/>
      </c>
      <c r="F2289" s="32" t="str">
        <f>IF(Table!F2289 = "","",Table!F2289)</f>
        <v/>
      </c>
      <c r="G2289" s="91"/>
      <c r="K2289" s="31" t="str">
        <f>IFERROR(VLOOKUP(A2289,Table!$I$4:$O$3000,1,TRUE),"")</f>
        <v/>
      </c>
      <c r="L2289" s="31" t="str">
        <f>IFERROR(INDEX(Table!I:O,MATCH(K2289,Table!I:I,0),2),"")</f>
        <v/>
      </c>
      <c r="M2289" s="31" t="str">
        <f>IFERROR(INDEX(Table!I:O,MATCH(K2289,Table!I:I,0),3),"")</f>
        <v/>
      </c>
      <c r="N2289" s="32" t="str">
        <f>IFERROR(INDEX(Table!I:O,MATCH(K2289,Table!I:I,0),4),"")</f>
        <v/>
      </c>
      <c r="O2289" s="32" t="str">
        <f>IFERROR(INDEX(Table!I:O,MATCH(K2289,Table!I:I,0),5),"")</f>
        <v/>
      </c>
      <c r="P2289" s="32" t="str">
        <f>IFERROR(INDEX(Table!I:O,MATCH(K2289,Table!I:I,0),6),"")</f>
        <v/>
      </c>
      <c r="Q2289" s="89" t="str">
        <f t="shared" si="104"/>
        <v/>
      </c>
      <c r="R2289" s="89" t="str">
        <f t="shared" si="105"/>
        <v/>
      </c>
      <c r="S2289" s="82"/>
      <c r="U2289" s="37"/>
    </row>
    <row r="2290" spans="1:21" x14ac:dyDescent="0.25">
      <c r="A2290" s="31" t="str">
        <f>IF(Table!A2290 = "","",Table!A2290)</f>
        <v/>
      </c>
      <c r="B2290" s="31" t="str">
        <f>IF(Table!B2290 = "","",Table!B2290)</f>
        <v/>
      </c>
      <c r="C2290" s="31" t="str">
        <f>IF(Table!C2290 = "","",Table!C2290)</f>
        <v/>
      </c>
      <c r="D2290" s="32" t="str">
        <f>IF(Table!D2290 = "","",Table!D2290)</f>
        <v/>
      </c>
      <c r="E2290" s="32" t="str">
        <f>IF(Table!E2290 = "","",Table!E2290)</f>
        <v/>
      </c>
      <c r="F2290" s="32" t="str">
        <f>IF(Table!F2290 = "","",Table!F2290)</f>
        <v/>
      </c>
      <c r="G2290" s="91"/>
      <c r="K2290" s="31" t="str">
        <f>IFERROR(VLOOKUP(A2290,Table!$I$4:$O$3000,1,TRUE),"")</f>
        <v/>
      </c>
      <c r="L2290" s="31" t="str">
        <f>IFERROR(INDEX(Table!I:O,MATCH(K2290,Table!I:I,0),2),"")</f>
        <v/>
      </c>
      <c r="M2290" s="31" t="str">
        <f>IFERROR(INDEX(Table!I:O,MATCH(K2290,Table!I:I,0),3),"")</f>
        <v/>
      </c>
      <c r="N2290" s="32" t="str">
        <f>IFERROR(INDEX(Table!I:O,MATCH(K2290,Table!I:I,0),4),"")</f>
        <v/>
      </c>
      <c r="O2290" s="32" t="str">
        <f>IFERROR(INDEX(Table!I:O,MATCH(K2290,Table!I:I,0),5),"")</f>
        <v/>
      </c>
      <c r="P2290" s="32" t="str">
        <f>IFERROR(INDEX(Table!I:O,MATCH(K2290,Table!I:I,0),6),"")</f>
        <v/>
      </c>
      <c r="Q2290" s="89" t="str">
        <f t="shared" si="104"/>
        <v/>
      </c>
      <c r="R2290" s="89" t="str">
        <f t="shared" si="105"/>
        <v/>
      </c>
      <c r="S2290" s="82"/>
      <c r="U2290" s="37"/>
    </row>
    <row r="2291" spans="1:21" x14ac:dyDescent="0.25">
      <c r="A2291" s="31" t="str">
        <f>IF(Table!A2291 = "","",Table!A2291)</f>
        <v/>
      </c>
      <c r="B2291" s="31" t="str">
        <f>IF(Table!B2291 = "","",Table!B2291)</f>
        <v/>
      </c>
      <c r="C2291" s="31" t="str">
        <f>IF(Table!C2291 = "","",Table!C2291)</f>
        <v/>
      </c>
      <c r="D2291" s="32" t="str">
        <f>IF(Table!D2291 = "","",Table!D2291)</f>
        <v/>
      </c>
      <c r="E2291" s="32" t="str">
        <f>IF(Table!E2291 = "","",Table!E2291)</f>
        <v/>
      </c>
      <c r="F2291" s="32" t="str">
        <f>IF(Table!F2291 = "","",Table!F2291)</f>
        <v/>
      </c>
      <c r="G2291" s="91"/>
      <c r="K2291" s="31" t="str">
        <f>IFERROR(VLOOKUP(A2291,Table!$I$4:$O$3000,1,TRUE),"")</f>
        <v/>
      </c>
      <c r="L2291" s="31" t="str">
        <f>IFERROR(INDEX(Table!I:O,MATCH(K2291,Table!I:I,0),2),"")</f>
        <v/>
      </c>
      <c r="M2291" s="31" t="str">
        <f>IFERROR(INDEX(Table!I:O,MATCH(K2291,Table!I:I,0),3),"")</f>
        <v/>
      </c>
      <c r="N2291" s="32" t="str">
        <f>IFERROR(INDEX(Table!I:O,MATCH(K2291,Table!I:I,0),4),"")</f>
        <v/>
      </c>
      <c r="O2291" s="32" t="str">
        <f>IFERROR(INDEX(Table!I:O,MATCH(K2291,Table!I:I,0),5),"")</f>
        <v/>
      </c>
      <c r="P2291" s="32" t="str">
        <f>IFERROR(INDEX(Table!I:O,MATCH(K2291,Table!I:I,0),6),"")</f>
        <v/>
      </c>
      <c r="Q2291" s="89" t="str">
        <f t="shared" si="104"/>
        <v/>
      </c>
      <c r="R2291" s="89" t="str">
        <f t="shared" si="105"/>
        <v/>
      </c>
      <c r="S2291" s="82"/>
      <c r="U2291" s="37"/>
    </row>
    <row r="2292" spans="1:21" x14ac:dyDescent="0.25">
      <c r="A2292" s="31" t="str">
        <f>IF(Table!A2292 = "","",Table!A2292)</f>
        <v/>
      </c>
      <c r="B2292" s="31" t="str">
        <f>IF(Table!B2292 = "","",Table!B2292)</f>
        <v/>
      </c>
      <c r="C2292" s="31" t="str">
        <f>IF(Table!C2292 = "","",Table!C2292)</f>
        <v/>
      </c>
      <c r="D2292" s="32" t="str">
        <f>IF(Table!D2292 = "","",Table!D2292)</f>
        <v/>
      </c>
      <c r="E2292" s="32" t="str">
        <f>IF(Table!E2292 = "","",Table!E2292)</f>
        <v/>
      </c>
      <c r="F2292" s="32" t="str">
        <f>IF(Table!F2292 = "","",Table!F2292)</f>
        <v/>
      </c>
      <c r="G2292" s="91"/>
      <c r="K2292" s="31" t="str">
        <f>IFERROR(VLOOKUP(A2292,Table!$I$4:$O$3000,1,TRUE),"")</f>
        <v/>
      </c>
      <c r="L2292" s="31" t="str">
        <f>IFERROR(INDEX(Table!I:O,MATCH(K2292,Table!I:I,0),2),"")</f>
        <v/>
      </c>
      <c r="M2292" s="31" t="str">
        <f>IFERROR(INDEX(Table!I:O,MATCH(K2292,Table!I:I,0),3),"")</f>
        <v/>
      </c>
      <c r="N2292" s="32" t="str">
        <f>IFERROR(INDEX(Table!I:O,MATCH(K2292,Table!I:I,0),4),"")</f>
        <v/>
      </c>
      <c r="O2292" s="32" t="str">
        <f>IFERROR(INDEX(Table!I:O,MATCH(K2292,Table!I:I,0),5),"")</f>
        <v/>
      </c>
      <c r="P2292" s="32" t="str">
        <f>IFERROR(INDEX(Table!I:O,MATCH(K2292,Table!I:I,0),6),"")</f>
        <v/>
      </c>
      <c r="Q2292" s="89" t="str">
        <f t="shared" si="104"/>
        <v/>
      </c>
      <c r="R2292" s="89" t="str">
        <f t="shared" si="105"/>
        <v/>
      </c>
      <c r="S2292" s="82"/>
      <c r="U2292" s="37"/>
    </row>
    <row r="2293" spans="1:21" x14ac:dyDescent="0.25">
      <c r="A2293" s="31" t="str">
        <f>IF(Table!A2293 = "","",Table!A2293)</f>
        <v/>
      </c>
      <c r="B2293" s="31" t="str">
        <f>IF(Table!B2293 = "","",Table!B2293)</f>
        <v/>
      </c>
      <c r="C2293" s="31" t="str">
        <f>IF(Table!C2293 = "","",Table!C2293)</f>
        <v/>
      </c>
      <c r="D2293" s="32" t="str">
        <f>IF(Table!D2293 = "","",Table!D2293)</f>
        <v/>
      </c>
      <c r="E2293" s="32" t="str">
        <f>IF(Table!E2293 = "","",Table!E2293)</f>
        <v/>
      </c>
      <c r="F2293" s="32" t="str">
        <f>IF(Table!F2293 = "","",Table!F2293)</f>
        <v/>
      </c>
      <c r="G2293" s="91"/>
      <c r="K2293" s="31" t="str">
        <f>IFERROR(VLOOKUP(A2293,Table!$I$4:$O$3000,1,TRUE),"")</f>
        <v/>
      </c>
      <c r="L2293" s="31" t="str">
        <f>IFERROR(INDEX(Table!I:O,MATCH(K2293,Table!I:I,0),2),"")</f>
        <v/>
      </c>
      <c r="M2293" s="31" t="str">
        <f>IFERROR(INDEX(Table!I:O,MATCH(K2293,Table!I:I,0),3),"")</f>
        <v/>
      </c>
      <c r="N2293" s="32" t="str">
        <f>IFERROR(INDEX(Table!I:O,MATCH(K2293,Table!I:I,0),4),"")</f>
        <v/>
      </c>
      <c r="O2293" s="32" t="str">
        <f>IFERROR(INDEX(Table!I:O,MATCH(K2293,Table!I:I,0),5),"")</f>
        <v/>
      </c>
      <c r="P2293" s="32" t="str">
        <f>IFERROR(INDEX(Table!I:O,MATCH(K2293,Table!I:I,0),6),"")</f>
        <v/>
      </c>
      <c r="Q2293" s="89" t="str">
        <f t="shared" si="104"/>
        <v/>
      </c>
      <c r="R2293" s="89" t="str">
        <f t="shared" si="105"/>
        <v/>
      </c>
      <c r="S2293" s="82"/>
      <c r="U2293" s="37"/>
    </row>
    <row r="2294" spans="1:21" x14ac:dyDescent="0.25">
      <c r="A2294" s="31" t="str">
        <f>IF(Table!A2294 = "","",Table!A2294)</f>
        <v/>
      </c>
      <c r="B2294" s="31" t="str">
        <f>IF(Table!B2294 = "","",Table!B2294)</f>
        <v/>
      </c>
      <c r="C2294" s="31" t="str">
        <f>IF(Table!C2294 = "","",Table!C2294)</f>
        <v/>
      </c>
      <c r="D2294" s="32" t="str">
        <f>IF(Table!D2294 = "","",Table!D2294)</f>
        <v/>
      </c>
      <c r="E2294" s="32" t="str">
        <f>IF(Table!E2294 = "","",Table!E2294)</f>
        <v/>
      </c>
      <c r="F2294" s="32" t="str">
        <f>IF(Table!F2294 = "","",Table!F2294)</f>
        <v/>
      </c>
      <c r="G2294" s="91"/>
      <c r="K2294" s="31" t="str">
        <f>IFERROR(VLOOKUP(A2294,Table!$I$4:$O$3000,1,TRUE),"")</f>
        <v/>
      </c>
      <c r="L2294" s="31" t="str">
        <f>IFERROR(INDEX(Table!I:O,MATCH(K2294,Table!I:I,0),2),"")</f>
        <v/>
      </c>
      <c r="M2294" s="31" t="str">
        <f>IFERROR(INDEX(Table!I:O,MATCH(K2294,Table!I:I,0),3),"")</f>
        <v/>
      </c>
      <c r="N2294" s="32" t="str">
        <f>IFERROR(INDEX(Table!I:O,MATCH(K2294,Table!I:I,0),4),"")</f>
        <v/>
      </c>
      <c r="O2294" s="32" t="str">
        <f>IFERROR(INDEX(Table!I:O,MATCH(K2294,Table!I:I,0),5),"")</f>
        <v/>
      </c>
      <c r="P2294" s="32" t="str">
        <f>IFERROR(INDEX(Table!I:O,MATCH(K2294,Table!I:I,0),6),"")</f>
        <v/>
      </c>
      <c r="Q2294" s="89" t="str">
        <f t="shared" si="104"/>
        <v/>
      </c>
      <c r="R2294" s="89" t="str">
        <f t="shared" si="105"/>
        <v/>
      </c>
      <c r="S2294" s="82"/>
      <c r="U2294" s="37"/>
    </row>
    <row r="2295" spans="1:21" x14ac:dyDescent="0.25">
      <c r="A2295" s="31" t="str">
        <f>IF(Table!A2295 = "","",Table!A2295)</f>
        <v/>
      </c>
      <c r="B2295" s="31" t="str">
        <f>IF(Table!B2295 = "","",Table!B2295)</f>
        <v/>
      </c>
      <c r="C2295" s="31" t="str">
        <f>IF(Table!C2295 = "","",Table!C2295)</f>
        <v/>
      </c>
      <c r="D2295" s="32" t="str">
        <f>IF(Table!D2295 = "","",Table!D2295)</f>
        <v/>
      </c>
      <c r="E2295" s="32" t="str">
        <f>IF(Table!E2295 = "","",Table!E2295)</f>
        <v/>
      </c>
      <c r="F2295" s="32" t="str">
        <f>IF(Table!F2295 = "","",Table!F2295)</f>
        <v/>
      </c>
      <c r="G2295" s="91"/>
      <c r="K2295" s="31" t="str">
        <f>IFERROR(VLOOKUP(A2295,Table!$I$4:$O$3000,1,TRUE),"")</f>
        <v/>
      </c>
      <c r="L2295" s="31" t="str">
        <f>IFERROR(INDEX(Table!I:O,MATCH(K2295,Table!I:I,0),2),"")</f>
        <v/>
      </c>
      <c r="M2295" s="31" t="str">
        <f>IFERROR(INDEX(Table!I:O,MATCH(K2295,Table!I:I,0),3),"")</f>
        <v/>
      </c>
      <c r="N2295" s="32" t="str">
        <f>IFERROR(INDEX(Table!I:O,MATCH(K2295,Table!I:I,0),4),"")</f>
        <v/>
      </c>
      <c r="O2295" s="32" t="str">
        <f>IFERROR(INDEX(Table!I:O,MATCH(K2295,Table!I:I,0),5),"")</f>
        <v/>
      </c>
      <c r="P2295" s="32" t="str">
        <f>IFERROR(INDEX(Table!I:O,MATCH(K2295,Table!I:I,0),6),"")</f>
        <v/>
      </c>
      <c r="Q2295" s="89" t="str">
        <f t="shared" si="104"/>
        <v/>
      </c>
      <c r="R2295" s="89" t="str">
        <f t="shared" si="105"/>
        <v/>
      </c>
      <c r="S2295" s="82"/>
      <c r="U2295" s="37"/>
    </row>
    <row r="2296" spans="1:21" x14ac:dyDescent="0.25">
      <c r="A2296" s="31" t="str">
        <f>IF(Table!A2296 = "","",Table!A2296)</f>
        <v/>
      </c>
      <c r="B2296" s="31" t="str">
        <f>IF(Table!B2296 = "","",Table!B2296)</f>
        <v/>
      </c>
      <c r="C2296" s="31" t="str">
        <f>IF(Table!C2296 = "","",Table!C2296)</f>
        <v/>
      </c>
      <c r="D2296" s="32" t="str">
        <f>IF(Table!D2296 = "","",Table!D2296)</f>
        <v/>
      </c>
      <c r="E2296" s="32" t="str">
        <f>IF(Table!E2296 = "","",Table!E2296)</f>
        <v/>
      </c>
      <c r="F2296" s="32" t="str">
        <f>IF(Table!F2296 = "","",Table!F2296)</f>
        <v/>
      </c>
      <c r="G2296" s="91"/>
      <c r="K2296" s="31" t="str">
        <f>IFERROR(VLOOKUP(A2296,Table!$I$4:$O$3000,1,TRUE),"")</f>
        <v/>
      </c>
      <c r="L2296" s="31" t="str">
        <f>IFERROR(INDEX(Table!I:O,MATCH(K2296,Table!I:I,0),2),"")</f>
        <v/>
      </c>
      <c r="M2296" s="31" t="str">
        <f>IFERROR(INDEX(Table!I:O,MATCH(K2296,Table!I:I,0),3),"")</f>
        <v/>
      </c>
      <c r="N2296" s="32" t="str">
        <f>IFERROR(INDEX(Table!I:O,MATCH(K2296,Table!I:I,0),4),"")</f>
        <v/>
      </c>
      <c r="O2296" s="32" t="str">
        <f>IFERROR(INDEX(Table!I:O,MATCH(K2296,Table!I:I,0),5),"")</f>
        <v/>
      </c>
      <c r="P2296" s="32" t="str">
        <f>IFERROR(INDEX(Table!I:O,MATCH(K2296,Table!I:I,0),6),"")</f>
        <v/>
      </c>
      <c r="Q2296" s="89" t="str">
        <f t="shared" si="104"/>
        <v/>
      </c>
      <c r="R2296" s="89" t="str">
        <f t="shared" si="105"/>
        <v/>
      </c>
      <c r="S2296" s="82"/>
      <c r="U2296" s="37"/>
    </row>
    <row r="2297" spans="1:21" x14ac:dyDescent="0.25">
      <c r="A2297" s="31" t="str">
        <f>IF(Table!A2297 = "","",Table!A2297)</f>
        <v/>
      </c>
      <c r="B2297" s="31" t="str">
        <f>IF(Table!B2297 = "","",Table!B2297)</f>
        <v/>
      </c>
      <c r="C2297" s="31" t="str">
        <f>IF(Table!C2297 = "","",Table!C2297)</f>
        <v/>
      </c>
      <c r="D2297" s="32" t="str">
        <f>IF(Table!D2297 = "","",Table!D2297)</f>
        <v/>
      </c>
      <c r="E2297" s="32" t="str">
        <f>IF(Table!E2297 = "","",Table!E2297)</f>
        <v/>
      </c>
      <c r="F2297" s="32" t="str">
        <f>IF(Table!F2297 = "","",Table!F2297)</f>
        <v/>
      </c>
      <c r="G2297" s="91"/>
      <c r="K2297" s="31" t="str">
        <f>IFERROR(VLOOKUP(A2297,Table!$I$4:$O$3000,1,TRUE),"")</f>
        <v/>
      </c>
      <c r="L2297" s="31" t="str">
        <f>IFERROR(INDEX(Table!I:O,MATCH(K2297,Table!I:I,0),2),"")</f>
        <v/>
      </c>
      <c r="M2297" s="31" t="str">
        <f>IFERROR(INDEX(Table!I:O,MATCH(K2297,Table!I:I,0),3),"")</f>
        <v/>
      </c>
      <c r="N2297" s="32" t="str">
        <f>IFERROR(INDEX(Table!I:O,MATCH(K2297,Table!I:I,0),4),"")</f>
        <v/>
      </c>
      <c r="O2297" s="32" t="str">
        <f>IFERROR(INDEX(Table!I:O,MATCH(K2297,Table!I:I,0),5),"")</f>
        <v/>
      </c>
      <c r="P2297" s="32" t="str">
        <f>IFERROR(INDEX(Table!I:O,MATCH(K2297,Table!I:I,0),6),"")</f>
        <v/>
      </c>
      <c r="Q2297" s="89" t="str">
        <f t="shared" si="104"/>
        <v/>
      </c>
      <c r="R2297" s="89" t="str">
        <f t="shared" si="105"/>
        <v/>
      </c>
      <c r="S2297" s="82"/>
      <c r="U2297" s="37"/>
    </row>
    <row r="2298" spans="1:21" x14ac:dyDescent="0.25">
      <c r="A2298" s="31" t="str">
        <f>IF(Table!A2298 = "","",Table!A2298)</f>
        <v/>
      </c>
      <c r="B2298" s="31" t="str">
        <f>IF(Table!B2298 = "","",Table!B2298)</f>
        <v/>
      </c>
      <c r="C2298" s="31" t="str">
        <f>IF(Table!C2298 = "","",Table!C2298)</f>
        <v/>
      </c>
      <c r="D2298" s="32" t="str">
        <f>IF(Table!D2298 = "","",Table!D2298)</f>
        <v/>
      </c>
      <c r="E2298" s="32" t="str">
        <f>IF(Table!E2298 = "","",Table!E2298)</f>
        <v/>
      </c>
      <c r="F2298" s="32" t="str">
        <f>IF(Table!F2298 = "","",Table!F2298)</f>
        <v/>
      </c>
      <c r="G2298" s="91"/>
      <c r="K2298" s="31" t="str">
        <f>IFERROR(VLOOKUP(A2298,Table!$I$4:$O$3000,1,TRUE),"")</f>
        <v/>
      </c>
      <c r="L2298" s="31" t="str">
        <f>IFERROR(INDEX(Table!I:O,MATCH(K2298,Table!I:I,0),2),"")</f>
        <v/>
      </c>
      <c r="M2298" s="31" t="str">
        <f>IFERROR(INDEX(Table!I:O,MATCH(K2298,Table!I:I,0),3),"")</f>
        <v/>
      </c>
      <c r="N2298" s="32" t="str">
        <f>IFERROR(INDEX(Table!I:O,MATCH(K2298,Table!I:I,0),4),"")</f>
        <v/>
      </c>
      <c r="O2298" s="32" t="str">
        <f>IFERROR(INDEX(Table!I:O,MATCH(K2298,Table!I:I,0),5),"")</f>
        <v/>
      </c>
      <c r="P2298" s="32" t="str">
        <f>IFERROR(INDEX(Table!I:O,MATCH(K2298,Table!I:I,0),6),"")</f>
        <v/>
      </c>
      <c r="Q2298" s="89" t="str">
        <f t="shared" si="104"/>
        <v/>
      </c>
      <c r="R2298" s="89" t="str">
        <f t="shared" si="105"/>
        <v/>
      </c>
      <c r="S2298" s="82"/>
      <c r="U2298" s="37"/>
    </row>
    <row r="2299" spans="1:21" x14ac:dyDescent="0.25">
      <c r="A2299" s="31" t="str">
        <f>IF(Table!A2299 = "","",Table!A2299)</f>
        <v/>
      </c>
      <c r="B2299" s="31" t="str">
        <f>IF(Table!B2299 = "","",Table!B2299)</f>
        <v/>
      </c>
      <c r="C2299" s="31" t="str">
        <f>IF(Table!C2299 = "","",Table!C2299)</f>
        <v/>
      </c>
      <c r="D2299" s="32" t="str">
        <f>IF(Table!D2299 = "","",Table!D2299)</f>
        <v/>
      </c>
      <c r="E2299" s="32" t="str">
        <f>IF(Table!E2299 = "","",Table!E2299)</f>
        <v/>
      </c>
      <c r="F2299" s="32" t="str">
        <f>IF(Table!F2299 = "","",Table!F2299)</f>
        <v/>
      </c>
      <c r="G2299" s="91"/>
      <c r="K2299" s="31" t="str">
        <f>IFERROR(VLOOKUP(A2299,Table!$I$4:$O$3000,1,TRUE),"")</f>
        <v/>
      </c>
      <c r="L2299" s="31" t="str">
        <f>IFERROR(INDEX(Table!I:O,MATCH(K2299,Table!I:I,0),2),"")</f>
        <v/>
      </c>
      <c r="M2299" s="31" t="str">
        <f>IFERROR(INDEX(Table!I:O,MATCH(K2299,Table!I:I,0),3),"")</f>
        <v/>
      </c>
      <c r="N2299" s="32" t="str">
        <f>IFERROR(INDEX(Table!I:O,MATCH(K2299,Table!I:I,0),4),"")</f>
        <v/>
      </c>
      <c r="O2299" s="32" t="str">
        <f>IFERROR(INDEX(Table!I:O,MATCH(K2299,Table!I:I,0),5),"")</f>
        <v/>
      </c>
      <c r="P2299" s="32" t="str">
        <f>IFERROR(INDEX(Table!I:O,MATCH(K2299,Table!I:I,0),6),"")</f>
        <v/>
      </c>
      <c r="Q2299" s="89" t="str">
        <f t="shared" si="104"/>
        <v/>
      </c>
      <c r="R2299" s="89" t="str">
        <f t="shared" si="105"/>
        <v/>
      </c>
      <c r="S2299" s="82"/>
      <c r="U2299" s="37"/>
    </row>
    <row r="2300" spans="1:21" x14ac:dyDescent="0.25">
      <c r="A2300" s="31" t="str">
        <f>IF(Table!A2300 = "","",Table!A2300)</f>
        <v/>
      </c>
      <c r="B2300" s="31" t="str">
        <f>IF(Table!B2300 = "","",Table!B2300)</f>
        <v/>
      </c>
      <c r="C2300" s="31" t="str">
        <f>IF(Table!C2300 = "","",Table!C2300)</f>
        <v/>
      </c>
      <c r="D2300" s="32" t="str">
        <f>IF(Table!D2300 = "","",Table!D2300)</f>
        <v/>
      </c>
      <c r="E2300" s="32" t="str">
        <f>IF(Table!E2300 = "","",Table!E2300)</f>
        <v/>
      </c>
      <c r="F2300" s="32" t="str">
        <f>IF(Table!F2300 = "","",Table!F2300)</f>
        <v/>
      </c>
      <c r="G2300" s="91"/>
      <c r="K2300" s="31" t="str">
        <f>IFERROR(VLOOKUP(A2300,Table!$I$4:$O$3000,1,TRUE),"")</f>
        <v/>
      </c>
      <c r="L2300" s="31" t="str">
        <f>IFERROR(INDEX(Table!I:O,MATCH(K2300,Table!I:I,0),2),"")</f>
        <v/>
      </c>
      <c r="M2300" s="31" t="str">
        <f>IFERROR(INDEX(Table!I:O,MATCH(K2300,Table!I:I,0),3),"")</f>
        <v/>
      </c>
      <c r="N2300" s="32" t="str">
        <f>IFERROR(INDEX(Table!I:O,MATCH(K2300,Table!I:I,0),4),"")</f>
        <v/>
      </c>
      <c r="O2300" s="32" t="str">
        <f>IFERROR(INDEX(Table!I:O,MATCH(K2300,Table!I:I,0),5),"")</f>
        <v/>
      </c>
      <c r="P2300" s="32" t="str">
        <f>IFERROR(INDEX(Table!I:O,MATCH(K2300,Table!I:I,0),6),"")</f>
        <v/>
      </c>
      <c r="Q2300" s="89" t="str">
        <f t="shared" si="104"/>
        <v/>
      </c>
      <c r="R2300" s="89" t="str">
        <f t="shared" si="105"/>
        <v/>
      </c>
      <c r="S2300" s="82"/>
      <c r="U2300" s="37"/>
    </row>
    <row r="2301" spans="1:21" x14ac:dyDescent="0.25">
      <c r="A2301" s="31" t="str">
        <f>IF(Table!A2301 = "","",Table!A2301)</f>
        <v/>
      </c>
      <c r="B2301" s="31" t="str">
        <f>IF(Table!B2301 = "","",Table!B2301)</f>
        <v/>
      </c>
      <c r="C2301" s="31" t="str">
        <f>IF(Table!C2301 = "","",Table!C2301)</f>
        <v/>
      </c>
      <c r="D2301" s="32" t="str">
        <f>IF(Table!D2301 = "","",Table!D2301)</f>
        <v/>
      </c>
      <c r="E2301" s="32" t="str">
        <f>IF(Table!E2301 = "","",Table!E2301)</f>
        <v/>
      </c>
      <c r="F2301" s="32" t="str">
        <f>IF(Table!F2301 = "","",Table!F2301)</f>
        <v/>
      </c>
      <c r="G2301" s="91"/>
      <c r="K2301" s="31" t="str">
        <f>IFERROR(VLOOKUP(A2301,Table!$I$4:$O$3000,1,TRUE),"")</f>
        <v/>
      </c>
      <c r="L2301" s="31" t="str">
        <f>IFERROR(INDEX(Table!I:O,MATCH(K2301,Table!I:I,0),2),"")</f>
        <v/>
      </c>
      <c r="M2301" s="31" t="str">
        <f>IFERROR(INDEX(Table!I:O,MATCH(K2301,Table!I:I,0),3),"")</f>
        <v/>
      </c>
      <c r="N2301" s="32" t="str">
        <f>IFERROR(INDEX(Table!I:O,MATCH(K2301,Table!I:I,0),4),"")</f>
        <v/>
      </c>
      <c r="O2301" s="32" t="str">
        <f>IFERROR(INDEX(Table!I:O,MATCH(K2301,Table!I:I,0),5),"")</f>
        <v/>
      </c>
      <c r="P2301" s="32" t="str">
        <f>IFERROR(INDEX(Table!I:O,MATCH(K2301,Table!I:I,0),6),"")</f>
        <v/>
      </c>
      <c r="Q2301" s="89" t="str">
        <f t="shared" si="104"/>
        <v/>
      </c>
      <c r="R2301" s="89" t="str">
        <f t="shared" si="105"/>
        <v/>
      </c>
      <c r="S2301" s="82"/>
      <c r="U2301" s="37"/>
    </row>
    <row r="2302" spans="1:21" x14ac:dyDescent="0.25">
      <c r="A2302" s="31" t="str">
        <f>IF(Table!A2302 = "","",Table!A2302)</f>
        <v/>
      </c>
      <c r="B2302" s="31" t="str">
        <f>IF(Table!B2302 = "","",Table!B2302)</f>
        <v/>
      </c>
      <c r="C2302" s="31" t="str">
        <f>IF(Table!C2302 = "","",Table!C2302)</f>
        <v/>
      </c>
      <c r="D2302" s="32" t="str">
        <f>IF(Table!D2302 = "","",Table!D2302)</f>
        <v/>
      </c>
      <c r="E2302" s="32" t="str">
        <f>IF(Table!E2302 = "","",Table!E2302)</f>
        <v/>
      </c>
      <c r="F2302" s="32" t="str">
        <f>IF(Table!F2302 = "","",Table!F2302)</f>
        <v/>
      </c>
      <c r="G2302" s="91"/>
      <c r="K2302" s="31" t="str">
        <f>IFERROR(VLOOKUP(A2302,Table!$I$4:$O$3000,1,TRUE),"")</f>
        <v/>
      </c>
      <c r="L2302" s="31" t="str">
        <f>IFERROR(INDEX(Table!I:O,MATCH(K2302,Table!I:I,0),2),"")</f>
        <v/>
      </c>
      <c r="M2302" s="31" t="str">
        <f>IFERROR(INDEX(Table!I:O,MATCH(K2302,Table!I:I,0),3),"")</f>
        <v/>
      </c>
      <c r="N2302" s="32" t="str">
        <f>IFERROR(INDEX(Table!I:O,MATCH(K2302,Table!I:I,0),4),"")</f>
        <v/>
      </c>
      <c r="O2302" s="32" t="str">
        <f>IFERROR(INDEX(Table!I:O,MATCH(K2302,Table!I:I,0),5),"")</f>
        <v/>
      </c>
      <c r="P2302" s="32" t="str">
        <f>IFERROR(INDEX(Table!I:O,MATCH(K2302,Table!I:I,0),6),"")</f>
        <v/>
      </c>
      <c r="Q2302" s="89" t="str">
        <f t="shared" si="104"/>
        <v/>
      </c>
      <c r="R2302" s="89" t="str">
        <f t="shared" si="105"/>
        <v/>
      </c>
      <c r="S2302" s="82"/>
      <c r="U2302" s="37"/>
    </row>
    <row r="2303" spans="1:21" x14ac:dyDescent="0.25">
      <c r="A2303" s="31" t="str">
        <f>IF(Table!A2303 = "","",Table!A2303)</f>
        <v/>
      </c>
      <c r="B2303" s="31" t="str">
        <f>IF(Table!B2303 = "","",Table!B2303)</f>
        <v/>
      </c>
      <c r="C2303" s="31" t="str">
        <f>IF(Table!C2303 = "","",Table!C2303)</f>
        <v/>
      </c>
      <c r="D2303" s="32" t="str">
        <f>IF(Table!D2303 = "","",Table!D2303)</f>
        <v/>
      </c>
      <c r="E2303" s="32" t="str">
        <f>IF(Table!E2303 = "","",Table!E2303)</f>
        <v/>
      </c>
      <c r="F2303" s="32" t="str">
        <f>IF(Table!F2303 = "","",Table!F2303)</f>
        <v/>
      </c>
      <c r="G2303" s="91"/>
      <c r="K2303" s="31" t="str">
        <f>IFERROR(VLOOKUP(A2303,Table!$I$4:$O$3000,1,TRUE),"")</f>
        <v/>
      </c>
      <c r="L2303" s="31" t="str">
        <f>IFERROR(INDEX(Table!I:O,MATCH(K2303,Table!I:I,0),2),"")</f>
        <v/>
      </c>
      <c r="M2303" s="31" t="str">
        <f>IFERROR(INDEX(Table!I:O,MATCH(K2303,Table!I:I,0),3),"")</f>
        <v/>
      </c>
      <c r="N2303" s="32" t="str">
        <f>IFERROR(INDEX(Table!I:O,MATCH(K2303,Table!I:I,0),4),"")</f>
        <v/>
      </c>
      <c r="O2303" s="32" t="str">
        <f>IFERROR(INDEX(Table!I:O,MATCH(K2303,Table!I:I,0),5),"")</f>
        <v/>
      </c>
      <c r="P2303" s="32" t="str">
        <f>IFERROR(INDEX(Table!I:O,MATCH(K2303,Table!I:I,0),6),"")</f>
        <v/>
      </c>
      <c r="Q2303" s="89" t="str">
        <f t="shared" si="104"/>
        <v/>
      </c>
      <c r="R2303" s="89" t="str">
        <f t="shared" si="105"/>
        <v/>
      </c>
      <c r="S2303" s="82"/>
      <c r="U2303" s="37"/>
    </row>
    <row r="2304" spans="1:21" x14ac:dyDescent="0.25">
      <c r="A2304" s="31" t="str">
        <f>IF(Table!A2304 = "","",Table!A2304)</f>
        <v/>
      </c>
      <c r="B2304" s="31" t="str">
        <f>IF(Table!B2304 = "","",Table!B2304)</f>
        <v/>
      </c>
      <c r="C2304" s="31" t="str">
        <f>IF(Table!C2304 = "","",Table!C2304)</f>
        <v/>
      </c>
      <c r="D2304" s="32" t="str">
        <f>IF(Table!D2304 = "","",Table!D2304)</f>
        <v/>
      </c>
      <c r="E2304" s="32" t="str">
        <f>IF(Table!E2304 = "","",Table!E2304)</f>
        <v/>
      </c>
      <c r="F2304" s="32" t="str">
        <f>IF(Table!F2304 = "","",Table!F2304)</f>
        <v/>
      </c>
      <c r="G2304" s="91"/>
      <c r="K2304" s="31" t="str">
        <f>IFERROR(VLOOKUP(A2304,Table!$I$4:$O$3000,1,TRUE),"")</f>
        <v/>
      </c>
      <c r="L2304" s="31" t="str">
        <f>IFERROR(INDEX(Table!I:O,MATCH(K2304,Table!I:I,0),2),"")</f>
        <v/>
      </c>
      <c r="M2304" s="31" t="str">
        <f>IFERROR(INDEX(Table!I:O,MATCH(K2304,Table!I:I,0),3),"")</f>
        <v/>
      </c>
      <c r="N2304" s="32" t="str">
        <f>IFERROR(INDEX(Table!I:O,MATCH(K2304,Table!I:I,0),4),"")</f>
        <v/>
      </c>
      <c r="O2304" s="32" t="str">
        <f>IFERROR(INDEX(Table!I:O,MATCH(K2304,Table!I:I,0),5),"")</f>
        <v/>
      </c>
      <c r="P2304" s="32" t="str">
        <f>IFERROR(INDEX(Table!I:O,MATCH(K2304,Table!I:I,0),6),"")</f>
        <v/>
      </c>
      <c r="Q2304" s="89" t="str">
        <f t="shared" si="104"/>
        <v/>
      </c>
      <c r="R2304" s="89" t="str">
        <f t="shared" si="105"/>
        <v/>
      </c>
      <c r="S2304" s="82"/>
      <c r="U2304" s="37"/>
    </row>
    <row r="2305" spans="1:21" x14ac:dyDescent="0.25">
      <c r="A2305" s="31" t="str">
        <f>IF(Table!A2305 = "","",Table!A2305)</f>
        <v/>
      </c>
      <c r="B2305" s="31" t="str">
        <f>IF(Table!B2305 = "","",Table!B2305)</f>
        <v/>
      </c>
      <c r="C2305" s="31" t="str">
        <f>IF(Table!C2305 = "","",Table!C2305)</f>
        <v/>
      </c>
      <c r="D2305" s="32" t="str">
        <f>IF(Table!D2305 = "","",Table!D2305)</f>
        <v/>
      </c>
      <c r="E2305" s="32" t="str">
        <f>IF(Table!E2305 = "","",Table!E2305)</f>
        <v/>
      </c>
      <c r="F2305" s="32" t="str">
        <f>IF(Table!F2305 = "","",Table!F2305)</f>
        <v/>
      </c>
      <c r="G2305" s="91"/>
      <c r="K2305" s="31" t="str">
        <f>IFERROR(VLOOKUP(A2305,Table!$I$4:$O$3000,1,TRUE),"")</f>
        <v/>
      </c>
      <c r="L2305" s="31" t="str">
        <f>IFERROR(INDEX(Table!I:O,MATCH(K2305,Table!I:I,0),2),"")</f>
        <v/>
      </c>
      <c r="M2305" s="31" t="str">
        <f>IFERROR(INDEX(Table!I:O,MATCH(K2305,Table!I:I,0),3),"")</f>
        <v/>
      </c>
      <c r="N2305" s="32" t="str">
        <f>IFERROR(INDEX(Table!I:O,MATCH(K2305,Table!I:I,0),4),"")</f>
        <v/>
      </c>
      <c r="O2305" s="32" t="str">
        <f>IFERROR(INDEX(Table!I:O,MATCH(K2305,Table!I:I,0),5),"")</f>
        <v/>
      </c>
      <c r="P2305" s="32" t="str">
        <f>IFERROR(INDEX(Table!I:O,MATCH(K2305,Table!I:I,0),6),"")</f>
        <v/>
      </c>
      <c r="Q2305" s="89" t="str">
        <f t="shared" si="104"/>
        <v/>
      </c>
      <c r="R2305" s="89" t="str">
        <f t="shared" si="105"/>
        <v/>
      </c>
      <c r="S2305" s="82"/>
      <c r="U2305" s="37"/>
    </row>
    <row r="2306" spans="1:21" x14ac:dyDescent="0.25">
      <c r="A2306" s="31" t="str">
        <f>IF(Table!A2306 = "","",Table!A2306)</f>
        <v/>
      </c>
      <c r="B2306" s="31" t="str">
        <f>IF(Table!B2306 = "","",Table!B2306)</f>
        <v/>
      </c>
      <c r="C2306" s="31" t="str">
        <f>IF(Table!C2306 = "","",Table!C2306)</f>
        <v/>
      </c>
      <c r="D2306" s="32" t="str">
        <f>IF(Table!D2306 = "","",Table!D2306)</f>
        <v/>
      </c>
      <c r="E2306" s="32" t="str">
        <f>IF(Table!E2306 = "","",Table!E2306)</f>
        <v/>
      </c>
      <c r="F2306" s="32" t="str">
        <f>IF(Table!F2306 = "","",Table!F2306)</f>
        <v/>
      </c>
      <c r="G2306" s="91"/>
      <c r="K2306" s="31" t="str">
        <f>IFERROR(VLOOKUP(A2306,Table!$I$4:$O$3000,1,TRUE),"")</f>
        <v/>
      </c>
      <c r="L2306" s="31" t="str">
        <f>IFERROR(INDEX(Table!I:O,MATCH(K2306,Table!I:I,0),2),"")</f>
        <v/>
      </c>
      <c r="M2306" s="31" t="str">
        <f>IFERROR(INDEX(Table!I:O,MATCH(K2306,Table!I:I,0),3),"")</f>
        <v/>
      </c>
      <c r="N2306" s="32" t="str">
        <f>IFERROR(INDEX(Table!I:O,MATCH(K2306,Table!I:I,0),4),"")</f>
        <v/>
      </c>
      <c r="O2306" s="32" t="str">
        <f>IFERROR(INDEX(Table!I:O,MATCH(K2306,Table!I:I,0),5),"")</f>
        <v/>
      </c>
      <c r="P2306" s="32" t="str">
        <f>IFERROR(INDEX(Table!I:O,MATCH(K2306,Table!I:I,0),6),"")</f>
        <v/>
      </c>
      <c r="Q2306" s="89" t="str">
        <f t="shared" si="104"/>
        <v/>
      </c>
      <c r="R2306" s="89" t="str">
        <f t="shared" si="105"/>
        <v/>
      </c>
      <c r="S2306" s="82"/>
      <c r="U2306" s="37"/>
    </row>
    <row r="2307" spans="1:21" x14ac:dyDescent="0.25">
      <c r="A2307" s="31" t="str">
        <f>IF(Table!A2307 = "","",Table!A2307)</f>
        <v/>
      </c>
      <c r="B2307" s="31" t="str">
        <f>IF(Table!B2307 = "","",Table!B2307)</f>
        <v/>
      </c>
      <c r="C2307" s="31" t="str">
        <f>IF(Table!C2307 = "","",Table!C2307)</f>
        <v/>
      </c>
      <c r="D2307" s="32" t="str">
        <f>IF(Table!D2307 = "","",Table!D2307)</f>
        <v/>
      </c>
      <c r="E2307" s="32" t="str">
        <f>IF(Table!E2307 = "","",Table!E2307)</f>
        <v/>
      </c>
      <c r="F2307" s="32" t="str">
        <f>IF(Table!F2307 = "","",Table!F2307)</f>
        <v/>
      </c>
      <c r="G2307" s="91"/>
      <c r="K2307" s="31" t="str">
        <f>IFERROR(VLOOKUP(A2307,Table!$I$4:$O$3000,1,TRUE),"")</f>
        <v/>
      </c>
      <c r="L2307" s="31" t="str">
        <f>IFERROR(INDEX(Table!I:O,MATCH(K2307,Table!I:I,0),2),"")</f>
        <v/>
      </c>
      <c r="M2307" s="31" t="str">
        <f>IFERROR(INDEX(Table!I:O,MATCH(K2307,Table!I:I,0),3),"")</f>
        <v/>
      </c>
      <c r="N2307" s="32" t="str">
        <f>IFERROR(INDEX(Table!I:O,MATCH(K2307,Table!I:I,0),4),"")</f>
        <v/>
      </c>
      <c r="O2307" s="32" t="str">
        <f>IFERROR(INDEX(Table!I:O,MATCH(K2307,Table!I:I,0),5),"")</f>
        <v/>
      </c>
      <c r="P2307" s="32" t="str">
        <f>IFERROR(INDEX(Table!I:O,MATCH(K2307,Table!I:I,0),6),"")</f>
        <v/>
      </c>
      <c r="Q2307" s="89" t="str">
        <f t="shared" si="104"/>
        <v/>
      </c>
      <c r="R2307" s="89" t="str">
        <f t="shared" si="105"/>
        <v/>
      </c>
      <c r="S2307" s="82"/>
      <c r="U2307" s="37"/>
    </row>
    <row r="2308" spans="1:21" x14ac:dyDescent="0.25">
      <c r="A2308" s="31" t="str">
        <f>IF(Table!A2308 = "","",Table!A2308)</f>
        <v/>
      </c>
      <c r="B2308" s="31" t="str">
        <f>IF(Table!B2308 = "","",Table!B2308)</f>
        <v/>
      </c>
      <c r="C2308" s="31" t="str">
        <f>IF(Table!C2308 = "","",Table!C2308)</f>
        <v/>
      </c>
      <c r="D2308" s="32" t="str">
        <f>IF(Table!D2308 = "","",Table!D2308)</f>
        <v/>
      </c>
      <c r="E2308" s="32" t="str">
        <f>IF(Table!E2308 = "","",Table!E2308)</f>
        <v/>
      </c>
      <c r="F2308" s="32" t="str">
        <f>IF(Table!F2308 = "","",Table!F2308)</f>
        <v/>
      </c>
      <c r="G2308" s="91"/>
      <c r="K2308" s="31" t="str">
        <f>IFERROR(VLOOKUP(A2308,Table!$I$4:$O$3000,1,TRUE),"")</f>
        <v/>
      </c>
      <c r="L2308" s="31" t="str">
        <f>IFERROR(INDEX(Table!I:O,MATCH(K2308,Table!I:I,0),2),"")</f>
        <v/>
      </c>
      <c r="M2308" s="31" t="str">
        <f>IFERROR(INDEX(Table!I:O,MATCH(K2308,Table!I:I,0),3),"")</f>
        <v/>
      </c>
      <c r="N2308" s="32" t="str">
        <f>IFERROR(INDEX(Table!I:O,MATCH(K2308,Table!I:I,0),4),"")</f>
        <v/>
      </c>
      <c r="O2308" s="32" t="str">
        <f>IFERROR(INDEX(Table!I:O,MATCH(K2308,Table!I:I,0),5),"")</f>
        <v/>
      </c>
      <c r="P2308" s="32" t="str">
        <f>IFERROR(INDEX(Table!I:O,MATCH(K2308,Table!I:I,0),6),"")</f>
        <v/>
      </c>
      <c r="Q2308" s="89" t="str">
        <f t="shared" si="104"/>
        <v/>
      </c>
      <c r="R2308" s="89" t="str">
        <f t="shared" si="105"/>
        <v/>
      </c>
      <c r="S2308" s="82"/>
      <c r="U2308" s="37"/>
    </row>
    <row r="2309" spans="1:21" x14ac:dyDescent="0.25">
      <c r="A2309" s="31" t="str">
        <f>IF(Table!A2309 = "","",Table!A2309)</f>
        <v/>
      </c>
      <c r="B2309" s="31" t="str">
        <f>IF(Table!B2309 = "","",Table!B2309)</f>
        <v/>
      </c>
      <c r="C2309" s="31" t="str">
        <f>IF(Table!C2309 = "","",Table!C2309)</f>
        <v/>
      </c>
      <c r="D2309" s="32" t="str">
        <f>IF(Table!D2309 = "","",Table!D2309)</f>
        <v/>
      </c>
      <c r="E2309" s="32" t="str">
        <f>IF(Table!E2309 = "","",Table!E2309)</f>
        <v/>
      </c>
      <c r="F2309" s="32" t="str">
        <f>IF(Table!F2309 = "","",Table!F2309)</f>
        <v/>
      </c>
      <c r="G2309" s="91"/>
      <c r="K2309" s="31" t="str">
        <f>IFERROR(VLOOKUP(A2309,Table!$I$4:$O$3000,1,TRUE),"")</f>
        <v/>
      </c>
      <c r="L2309" s="31" t="str">
        <f>IFERROR(INDEX(Table!I:O,MATCH(K2309,Table!I:I,0),2),"")</f>
        <v/>
      </c>
      <c r="M2309" s="31" t="str">
        <f>IFERROR(INDEX(Table!I:O,MATCH(K2309,Table!I:I,0),3),"")</f>
        <v/>
      </c>
      <c r="N2309" s="32" t="str">
        <f>IFERROR(INDEX(Table!I:O,MATCH(K2309,Table!I:I,0),4),"")</f>
        <v/>
      </c>
      <c r="O2309" s="32" t="str">
        <f>IFERROR(INDEX(Table!I:O,MATCH(K2309,Table!I:I,0),5),"")</f>
        <v/>
      </c>
      <c r="P2309" s="32" t="str">
        <f>IFERROR(INDEX(Table!I:O,MATCH(K2309,Table!I:I,0),6),"")</f>
        <v/>
      </c>
      <c r="Q2309" s="89" t="str">
        <f t="shared" si="104"/>
        <v/>
      </c>
      <c r="R2309" s="89" t="str">
        <f t="shared" si="105"/>
        <v/>
      </c>
      <c r="S2309" s="82"/>
      <c r="U2309" s="37"/>
    </row>
    <row r="2310" spans="1:21" x14ac:dyDescent="0.25">
      <c r="A2310" s="31" t="str">
        <f>IF(Table!A2310 = "","",Table!A2310)</f>
        <v/>
      </c>
      <c r="B2310" s="31" t="str">
        <f>IF(Table!B2310 = "","",Table!B2310)</f>
        <v/>
      </c>
      <c r="C2310" s="31" t="str">
        <f>IF(Table!C2310 = "","",Table!C2310)</f>
        <v/>
      </c>
      <c r="D2310" s="32" t="str">
        <f>IF(Table!D2310 = "","",Table!D2310)</f>
        <v/>
      </c>
      <c r="E2310" s="32" t="str">
        <f>IF(Table!E2310 = "","",Table!E2310)</f>
        <v/>
      </c>
      <c r="F2310" s="32" t="str">
        <f>IF(Table!F2310 = "","",Table!F2310)</f>
        <v/>
      </c>
      <c r="G2310" s="91"/>
      <c r="K2310" s="31" t="str">
        <f>IFERROR(VLOOKUP(A2310,Table!$I$4:$O$3000,1,TRUE),"")</f>
        <v/>
      </c>
      <c r="L2310" s="31" t="str">
        <f>IFERROR(INDEX(Table!I:O,MATCH(K2310,Table!I:I,0),2),"")</f>
        <v/>
      </c>
      <c r="M2310" s="31" t="str">
        <f>IFERROR(INDEX(Table!I:O,MATCH(K2310,Table!I:I,0),3),"")</f>
        <v/>
      </c>
      <c r="N2310" s="32" t="str">
        <f>IFERROR(INDEX(Table!I:O,MATCH(K2310,Table!I:I,0),4),"")</f>
        <v/>
      </c>
      <c r="O2310" s="32" t="str">
        <f>IFERROR(INDEX(Table!I:O,MATCH(K2310,Table!I:I,0),5),"")</f>
        <v/>
      </c>
      <c r="P2310" s="32" t="str">
        <f>IFERROR(INDEX(Table!I:O,MATCH(K2310,Table!I:I,0),6),"")</f>
        <v/>
      </c>
      <c r="Q2310" s="89" t="str">
        <f t="shared" ref="Q2310:Q2373" si="106">IFERROR(L2310-B2310,"")</f>
        <v/>
      </c>
      <c r="R2310" s="89" t="str">
        <f t="shared" ref="R2310:R2373" si="107">IFERROR(M2310-C2310,"")</f>
        <v/>
      </c>
      <c r="S2310" s="82"/>
      <c r="U2310" s="37"/>
    </row>
    <row r="2311" spans="1:21" x14ac:dyDescent="0.25">
      <c r="A2311" s="31" t="str">
        <f>IF(Table!A2311 = "","",Table!A2311)</f>
        <v/>
      </c>
      <c r="B2311" s="31" t="str">
        <f>IF(Table!B2311 = "","",Table!B2311)</f>
        <v/>
      </c>
      <c r="C2311" s="31" t="str">
        <f>IF(Table!C2311 = "","",Table!C2311)</f>
        <v/>
      </c>
      <c r="D2311" s="32" t="str">
        <f>IF(Table!D2311 = "","",Table!D2311)</f>
        <v/>
      </c>
      <c r="E2311" s="32" t="str">
        <f>IF(Table!E2311 = "","",Table!E2311)</f>
        <v/>
      </c>
      <c r="F2311" s="32" t="str">
        <f>IF(Table!F2311 = "","",Table!F2311)</f>
        <v/>
      </c>
      <c r="G2311" s="91"/>
      <c r="K2311" s="31" t="str">
        <f>IFERROR(VLOOKUP(A2311,Table!$I$4:$O$3000,1,TRUE),"")</f>
        <v/>
      </c>
      <c r="L2311" s="31" t="str">
        <f>IFERROR(INDEX(Table!I:O,MATCH(K2311,Table!I:I,0),2),"")</f>
        <v/>
      </c>
      <c r="M2311" s="31" t="str">
        <f>IFERROR(INDEX(Table!I:O,MATCH(K2311,Table!I:I,0),3),"")</f>
        <v/>
      </c>
      <c r="N2311" s="32" t="str">
        <f>IFERROR(INDEX(Table!I:O,MATCH(K2311,Table!I:I,0),4),"")</f>
        <v/>
      </c>
      <c r="O2311" s="32" t="str">
        <f>IFERROR(INDEX(Table!I:O,MATCH(K2311,Table!I:I,0),5),"")</f>
        <v/>
      </c>
      <c r="P2311" s="32" t="str">
        <f>IFERROR(INDEX(Table!I:O,MATCH(K2311,Table!I:I,0),6),"")</f>
        <v/>
      </c>
      <c r="Q2311" s="89" t="str">
        <f t="shared" si="106"/>
        <v/>
      </c>
      <c r="R2311" s="89" t="str">
        <f t="shared" si="107"/>
        <v/>
      </c>
      <c r="S2311" s="82"/>
      <c r="U2311" s="37"/>
    </row>
    <row r="2312" spans="1:21" x14ac:dyDescent="0.25">
      <c r="A2312" s="31" t="str">
        <f>IF(Table!A2312 = "","",Table!A2312)</f>
        <v/>
      </c>
      <c r="B2312" s="31" t="str">
        <f>IF(Table!B2312 = "","",Table!B2312)</f>
        <v/>
      </c>
      <c r="C2312" s="31" t="str">
        <f>IF(Table!C2312 = "","",Table!C2312)</f>
        <v/>
      </c>
      <c r="D2312" s="32" t="str">
        <f>IF(Table!D2312 = "","",Table!D2312)</f>
        <v/>
      </c>
      <c r="E2312" s="32" t="str">
        <f>IF(Table!E2312 = "","",Table!E2312)</f>
        <v/>
      </c>
      <c r="F2312" s="32" t="str">
        <f>IF(Table!F2312 = "","",Table!F2312)</f>
        <v/>
      </c>
      <c r="G2312" s="91"/>
      <c r="K2312" s="31" t="str">
        <f>IFERROR(VLOOKUP(A2312,Table!$I$4:$O$3000,1,TRUE),"")</f>
        <v/>
      </c>
      <c r="L2312" s="31" t="str">
        <f>IFERROR(INDEX(Table!I:O,MATCH(K2312,Table!I:I,0),2),"")</f>
        <v/>
      </c>
      <c r="M2312" s="31" t="str">
        <f>IFERROR(INDEX(Table!I:O,MATCH(K2312,Table!I:I,0),3),"")</f>
        <v/>
      </c>
      <c r="N2312" s="32" t="str">
        <f>IFERROR(INDEX(Table!I:O,MATCH(K2312,Table!I:I,0),4),"")</f>
        <v/>
      </c>
      <c r="O2312" s="32" t="str">
        <f>IFERROR(INDEX(Table!I:O,MATCH(K2312,Table!I:I,0),5),"")</f>
        <v/>
      </c>
      <c r="P2312" s="32" t="str">
        <f>IFERROR(INDEX(Table!I:O,MATCH(K2312,Table!I:I,0),6),"")</f>
        <v/>
      </c>
      <c r="Q2312" s="89" t="str">
        <f t="shared" si="106"/>
        <v/>
      </c>
      <c r="R2312" s="89" t="str">
        <f t="shared" si="107"/>
        <v/>
      </c>
      <c r="S2312" s="82"/>
      <c r="U2312" s="37"/>
    </row>
    <row r="2313" spans="1:21" x14ac:dyDescent="0.25">
      <c r="A2313" s="31" t="str">
        <f>IF(Table!A2313 = "","",Table!A2313)</f>
        <v/>
      </c>
      <c r="B2313" s="31" t="str">
        <f>IF(Table!B2313 = "","",Table!B2313)</f>
        <v/>
      </c>
      <c r="C2313" s="31" t="str">
        <f>IF(Table!C2313 = "","",Table!C2313)</f>
        <v/>
      </c>
      <c r="D2313" s="32" t="str">
        <f>IF(Table!D2313 = "","",Table!D2313)</f>
        <v/>
      </c>
      <c r="E2313" s="32" t="str">
        <f>IF(Table!E2313 = "","",Table!E2313)</f>
        <v/>
      </c>
      <c r="F2313" s="32" t="str">
        <f>IF(Table!F2313 = "","",Table!F2313)</f>
        <v/>
      </c>
      <c r="G2313" s="91"/>
      <c r="K2313" s="31" t="str">
        <f>IFERROR(VLOOKUP(A2313,Table!$I$4:$O$3000,1,TRUE),"")</f>
        <v/>
      </c>
      <c r="L2313" s="31" t="str">
        <f>IFERROR(INDEX(Table!I:O,MATCH(K2313,Table!I:I,0),2),"")</f>
        <v/>
      </c>
      <c r="M2313" s="31" t="str">
        <f>IFERROR(INDEX(Table!I:O,MATCH(K2313,Table!I:I,0),3),"")</f>
        <v/>
      </c>
      <c r="N2313" s="32" t="str">
        <f>IFERROR(INDEX(Table!I:O,MATCH(K2313,Table!I:I,0),4),"")</f>
        <v/>
      </c>
      <c r="O2313" s="32" t="str">
        <f>IFERROR(INDEX(Table!I:O,MATCH(K2313,Table!I:I,0),5),"")</f>
        <v/>
      </c>
      <c r="P2313" s="32" t="str">
        <f>IFERROR(INDEX(Table!I:O,MATCH(K2313,Table!I:I,0),6),"")</f>
        <v/>
      </c>
      <c r="Q2313" s="89" t="str">
        <f t="shared" si="106"/>
        <v/>
      </c>
      <c r="R2313" s="89" t="str">
        <f t="shared" si="107"/>
        <v/>
      </c>
      <c r="S2313" s="82"/>
      <c r="U2313" s="37"/>
    </row>
    <row r="2314" spans="1:21" x14ac:dyDescent="0.25">
      <c r="A2314" s="31" t="str">
        <f>IF(Table!A2314 = "","",Table!A2314)</f>
        <v/>
      </c>
      <c r="B2314" s="31" t="str">
        <f>IF(Table!B2314 = "","",Table!B2314)</f>
        <v/>
      </c>
      <c r="C2314" s="31" t="str">
        <f>IF(Table!C2314 = "","",Table!C2314)</f>
        <v/>
      </c>
      <c r="D2314" s="32" t="str">
        <f>IF(Table!D2314 = "","",Table!D2314)</f>
        <v/>
      </c>
      <c r="E2314" s="32" t="str">
        <f>IF(Table!E2314 = "","",Table!E2314)</f>
        <v/>
      </c>
      <c r="F2314" s="32" t="str">
        <f>IF(Table!F2314 = "","",Table!F2314)</f>
        <v/>
      </c>
      <c r="G2314" s="91"/>
      <c r="K2314" s="31" t="str">
        <f>IFERROR(VLOOKUP(A2314,Table!$I$4:$O$3000,1,TRUE),"")</f>
        <v/>
      </c>
      <c r="L2314" s="31" t="str">
        <f>IFERROR(INDEX(Table!I:O,MATCH(K2314,Table!I:I,0),2),"")</f>
        <v/>
      </c>
      <c r="M2314" s="31" t="str">
        <f>IFERROR(INDEX(Table!I:O,MATCH(K2314,Table!I:I,0),3),"")</f>
        <v/>
      </c>
      <c r="N2314" s="32" t="str">
        <f>IFERROR(INDEX(Table!I:O,MATCH(K2314,Table!I:I,0),4),"")</f>
        <v/>
      </c>
      <c r="O2314" s="32" t="str">
        <f>IFERROR(INDEX(Table!I:O,MATCH(K2314,Table!I:I,0),5),"")</f>
        <v/>
      </c>
      <c r="P2314" s="32" t="str">
        <f>IFERROR(INDEX(Table!I:O,MATCH(K2314,Table!I:I,0),6),"")</f>
        <v/>
      </c>
      <c r="Q2314" s="89" t="str">
        <f t="shared" si="106"/>
        <v/>
      </c>
      <c r="R2314" s="89" t="str">
        <f t="shared" si="107"/>
        <v/>
      </c>
      <c r="S2314" s="82"/>
      <c r="U2314" s="37"/>
    </row>
    <row r="2315" spans="1:21" x14ac:dyDescent="0.25">
      <c r="A2315" s="31" t="str">
        <f>IF(Table!A2315 = "","",Table!A2315)</f>
        <v/>
      </c>
      <c r="B2315" s="31" t="str">
        <f>IF(Table!B2315 = "","",Table!B2315)</f>
        <v/>
      </c>
      <c r="C2315" s="31" t="str">
        <f>IF(Table!C2315 = "","",Table!C2315)</f>
        <v/>
      </c>
      <c r="D2315" s="32" t="str">
        <f>IF(Table!D2315 = "","",Table!D2315)</f>
        <v/>
      </c>
      <c r="E2315" s="32" t="str">
        <f>IF(Table!E2315 = "","",Table!E2315)</f>
        <v/>
      </c>
      <c r="F2315" s="32" t="str">
        <f>IF(Table!F2315 = "","",Table!F2315)</f>
        <v/>
      </c>
      <c r="G2315" s="91"/>
      <c r="K2315" s="31" t="str">
        <f>IFERROR(VLOOKUP(A2315,Table!$I$4:$O$3000,1,TRUE),"")</f>
        <v/>
      </c>
      <c r="L2315" s="31" t="str">
        <f>IFERROR(INDEX(Table!I:O,MATCH(K2315,Table!I:I,0),2),"")</f>
        <v/>
      </c>
      <c r="M2315" s="31" t="str">
        <f>IFERROR(INDEX(Table!I:O,MATCH(K2315,Table!I:I,0),3),"")</f>
        <v/>
      </c>
      <c r="N2315" s="32" t="str">
        <f>IFERROR(INDEX(Table!I:O,MATCH(K2315,Table!I:I,0),4),"")</f>
        <v/>
      </c>
      <c r="O2315" s="32" t="str">
        <f>IFERROR(INDEX(Table!I:O,MATCH(K2315,Table!I:I,0),5),"")</f>
        <v/>
      </c>
      <c r="P2315" s="32" t="str">
        <f>IFERROR(INDEX(Table!I:O,MATCH(K2315,Table!I:I,0),6),"")</f>
        <v/>
      </c>
      <c r="Q2315" s="89" t="str">
        <f t="shared" si="106"/>
        <v/>
      </c>
      <c r="R2315" s="89" t="str">
        <f t="shared" si="107"/>
        <v/>
      </c>
      <c r="S2315" s="82"/>
      <c r="U2315" s="37"/>
    </row>
    <row r="2316" spans="1:21" x14ac:dyDescent="0.25">
      <c r="A2316" s="31" t="str">
        <f>IF(Table!A2316 = "","",Table!A2316)</f>
        <v/>
      </c>
      <c r="B2316" s="31" t="str">
        <f>IF(Table!B2316 = "","",Table!B2316)</f>
        <v/>
      </c>
      <c r="C2316" s="31" t="str">
        <f>IF(Table!C2316 = "","",Table!C2316)</f>
        <v/>
      </c>
      <c r="D2316" s="32" t="str">
        <f>IF(Table!D2316 = "","",Table!D2316)</f>
        <v/>
      </c>
      <c r="E2316" s="32" t="str">
        <f>IF(Table!E2316 = "","",Table!E2316)</f>
        <v/>
      </c>
      <c r="F2316" s="32" t="str">
        <f>IF(Table!F2316 = "","",Table!F2316)</f>
        <v/>
      </c>
      <c r="G2316" s="91"/>
      <c r="K2316" s="31" t="str">
        <f>IFERROR(VLOOKUP(A2316,Table!$I$4:$O$3000,1,TRUE),"")</f>
        <v/>
      </c>
      <c r="L2316" s="31" t="str">
        <f>IFERROR(INDEX(Table!I:O,MATCH(K2316,Table!I:I,0),2),"")</f>
        <v/>
      </c>
      <c r="M2316" s="31" t="str">
        <f>IFERROR(INDEX(Table!I:O,MATCH(K2316,Table!I:I,0),3),"")</f>
        <v/>
      </c>
      <c r="N2316" s="32" t="str">
        <f>IFERROR(INDEX(Table!I:O,MATCH(K2316,Table!I:I,0),4),"")</f>
        <v/>
      </c>
      <c r="O2316" s="32" t="str">
        <f>IFERROR(INDEX(Table!I:O,MATCH(K2316,Table!I:I,0),5),"")</f>
        <v/>
      </c>
      <c r="P2316" s="32" t="str">
        <f>IFERROR(INDEX(Table!I:O,MATCH(K2316,Table!I:I,0),6),"")</f>
        <v/>
      </c>
      <c r="Q2316" s="89" t="str">
        <f t="shared" si="106"/>
        <v/>
      </c>
      <c r="R2316" s="89" t="str">
        <f t="shared" si="107"/>
        <v/>
      </c>
      <c r="S2316" s="82"/>
      <c r="U2316" s="37"/>
    </row>
    <row r="2317" spans="1:21" x14ac:dyDescent="0.25">
      <c r="A2317" s="31" t="str">
        <f>IF(Table!A2317 = "","",Table!A2317)</f>
        <v/>
      </c>
      <c r="B2317" s="31" t="str">
        <f>IF(Table!B2317 = "","",Table!B2317)</f>
        <v/>
      </c>
      <c r="C2317" s="31" t="str">
        <f>IF(Table!C2317 = "","",Table!C2317)</f>
        <v/>
      </c>
      <c r="D2317" s="32" t="str">
        <f>IF(Table!D2317 = "","",Table!D2317)</f>
        <v/>
      </c>
      <c r="E2317" s="32" t="str">
        <f>IF(Table!E2317 = "","",Table!E2317)</f>
        <v/>
      </c>
      <c r="F2317" s="32" t="str">
        <f>IF(Table!F2317 = "","",Table!F2317)</f>
        <v/>
      </c>
      <c r="G2317" s="91"/>
      <c r="K2317" s="31" t="str">
        <f>IFERROR(VLOOKUP(A2317,Table!$I$4:$O$3000,1,TRUE),"")</f>
        <v/>
      </c>
      <c r="L2317" s="31" t="str">
        <f>IFERROR(INDEX(Table!I:O,MATCH(K2317,Table!I:I,0),2),"")</f>
        <v/>
      </c>
      <c r="M2317" s="31" t="str">
        <f>IFERROR(INDEX(Table!I:O,MATCH(K2317,Table!I:I,0),3),"")</f>
        <v/>
      </c>
      <c r="N2317" s="32" t="str">
        <f>IFERROR(INDEX(Table!I:O,MATCH(K2317,Table!I:I,0),4),"")</f>
        <v/>
      </c>
      <c r="O2317" s="32" t="str">
        <f>IFERROR(INDEX(Table!I:O,MATCH(K2317,Table!I:I,0),5),"")</f>
        <v/>
      </c>
      <c r="P2317" s="32" t="str">
        <f>IFERROR(INDEX(Table!I:O,MATCH(K2317,Table!I:I,0),6),"")</f>
        <v/>
      </c>
      <c r="Q2317" s="89" t="str">
        <f t="shared" si="106"/>
        <v/>
      </c>
      <c r="R2317" s="89" t="str">
        <f t="shared" si="107"/>
        <v/>
      </c>
      <c r="S2317" s="82"/>
      <c r="U2317" s="37"/>
    </row>
    <row r="2318" spans="1:21" x14ac:dyDescent="0.25">
      <c r="A2318" s="31" t="str">
        <f>IF(Table!A2318 = "","",Table!A2318)</f>
        <v/>
      </c>
      <c r="B2318" s="31" t="str">
        <f>IF(Table!B2318 = "","",Table!B2318)</f>
        <v/>
      </c>
      <c r="C2318" s="31" t="str">
        <f>IF(Table!C2318 = "","",Table!C2318)</f>
        <v/>
      </c>
      <c r="D2318" s="32" t="str">
        <f>IF(Table!D2318 = "","",Table!D2318)</f>
        <v/>
      </c>
      <c r="E2318" s="32" t="str">
        <f>IF(Table!E2318 = "","",Table!E2318)</f>
        <v/>
      </c>
      <c r="F2318" s="32" t="str">
        <f>IF(Table!F2318 = "","",Table!F2318)</f>
        <v/>
      </c>
      <c r="G2318" s="91"/>
      <c r="K2318" s="31" t="str">
        <f>IFERROR(VLOOKUP(A2318,Table!$I$4:$O$3000,1,TRUE),"")</f>
        <v/>
      </c>
      <c r="L2318" s="31" t="str">
        <f>IFERROR(INDEX(Table!I:O,MATCH(K2318,Table!I:I,0),2),"")</f>
        <v/>
      </c>
      <c r="M2318" s="31" t="str">
        <f>IFERROR(INDEX(Table!I:O,MATCH(K2318,Table!I:I,0),3),"")</f>
        <v/>
      </c>
      <c r="N2318" s="32" t="str">
        <f>IFERROR(INDEX(Table!I:O,MATCH(K2318,Table!I:I,0),4),"")</f>
        <v/>
      </c>
      <c r="O2318" s="32" t="str">
        <f>IFERROR(INDEX(Table!I:O,MATCH(K2318,Table!I:I,0),5),"")</f>
        <v/>
      </c>
      <c r="P2318" s="32" t="str">
        <f>IFERROR(INDEX(Table!I:O,MATCH(K2318,Table!I:I,0),6),"")</f>
        <v/>
      </c>
      <c r="Q2318" s="89" t="str">
        <f t="shared" si="106"/>
        <v/>
      </c>
      <c r="R2318" s="89" t="str">
        <f t="shared" si="107"/>
        <v/>
      </c>
      <c r="S2318" s="82"/>
      <c r="U2318" s="37"/>
    </row>
    <row r="2319" spans="1:21" x14ac:dyDescent="0.25">
      <c r="A2319" s="31" t="str">
        <f>IF(Table!A2319 = "","",Table!A2319)</f>
        <v/>
      </c>
      <c r="B2319" s="31" t="str">
        <f>IF(Table!B2319 = "","",Table!B2319)</f>
        <v/>
      </c>
      <c r="C2319" s="31" t="str">
        <f>IF(Table!C2319 = "","",Table!C2319)</f>
        <v/>
      </c>
      <c r="D2319" s="32" t="str">
        <f>IF(Table!D2319 = "","",Table!D2319)</f>
        <v/>
      </c>
      <c r="E2319" s="32" t="str">
        <f>IF(Table!E2319 = "","",Table!E2319)</f>
        <v/>
      </c>
      <c r="F2319" s="32" t="str">
        <f>IF(Table!F2319 = "","",Table!F2319)</f>
        <v/>
      </c>
      <c r="G2319" s="91"/>
      <c r="K2319" s="31" t="str">
        <f>IFERROR(VLOOKUP(A2319,Table!$I$4:$O$3000,1,TRUE),"")</f>
        <v/>
      </c>
      <c r="L2319" s="31" t="str">
        <f>IFERROR(INDEX(Table!I:O,MATCH(K2319,Table!I:I,0),2),"")</f>
        <v/>
      </c>
      <c r="M2319" s="31" t="str">
        <f>IFERROR(INDEX(Table!I:O,MATCH(K2319,Table!I:I,0),3),"")</f>
        <v/>
      </c>
      <c r="N2319" s="32" t="str">
        <f>IFERROR(INDEX(Table!I:O,MATCH(K2319,Table!I:I,0),4),"")</f>
        <v/>
      </c>
      <c r="O2319" s="32" t="str">
        <f>IFERROR(INDEX(Table!I:O,MATCH(K2319,Table!I:I,0),5),"")</f>
        <v/>
      </c>
      <c r="P2319" s="32" t="str">
        <f>IFERROR(INDEX(Table!I:O,MATCH(K2319,Table!I:I,0),6),"")</f>
        <v/>
      </c>
      <c r="Q2319" s="89" t="str">
        <f t="shared" si="106"/>
        <v/>
      </c>
      <c r="R2319" s="89" t="str">
        <f t="shared" si="107"/>
        <v/>
      </c>
      <c r="S2319" s="82"/>
      <c r="U2319" s="37"/>
    </row>
    <row r="2320" spans="1:21" x14ac:dyDescent="0.25">
      <c r="A2320" s="31" t="str">
        <f>IF(Table!A2320 = "","",Table!A2320)</f>
        <v/>
      </c>
      <c r="B2320" s="31" t="str">
        <f>IF(Table!B2320 = "","",Table!B2320)</f>
        <v/>
      </c>
      <c r="C2320" s="31" t="str">
        <f>IF(Table!C2320 = "","",Table!C2320)</f>
        <v/>
      </c>
      <c r="D2320" s="32" t="str">
        <f>IF(Table!D2320 = "","",Table!D2320)</f>
        <v/>
      </c>
      <c r="E2320" s="32" t="str">
        <f>IF(Table!E2320 = "","",Table!E2320)</f>
        <v/>
      </c>
      <c r="F2320" s="32" t="str">
        <f>IF(Table!F2320 = "","",Table!F2320)</f>
        <v/>
      </c>
      <c r="G2320" s="91"/>
      <c r="K2320" s="31" t="str">
        <f>IFERROR(VLOOKUP(A2320,Table!$I$4:$O$3000,1,TRUE),"")</f>
        <v/>
      </c>
      <c r="L2320" s="31" t="str">
        <f>IFERROR(INDEX(Table!I:O,MATCH(K2320,Table!I:I,0),2),"")</f>
        <v/>
      </c>
      <c r="M2320" s="31" t="str">
        <f>IFERROR(INDEX(Table!I:O,MATCH(K2320,Table!I:I,0),3),"")</f>
        <v/>
      </c>
      <c r="N2320" s="32" t="str">
        <f>IFERROR(INDEX(Table!I:O,MATCH(K2320,Table!I:I,0),4),"")</f>
        <v/>
      </c>
      <c r="O2320" s="32" t="str">
        <f>IFERROR(INDEX(Table!I:O,MATCH(K2320,Table!I:I,0),5),"")</f>
        <v/>
      </c>
      <c r="P2320" s="32" t="str">
        <f>IFERROR(INDEX(Table!I:O,MATCH(K2320,Table!I:I,0),6),"")</f>
        <v/>
      </c>
      <c r="Q2320" s="89" t="str">
        <f t="shared" si="106"/>
        <v/>
      </c>
      <c r="R2320" s="89" t="str">
        <f t="shared" si="107"/>
        <v/>
      </c>
      <c r="S2320" s="82"/>
      <c r="U2320" s="37"/>
    </row>
    <row r="2321" spans="1:21" x14ac:dyDescent="0.25">
      <c r="A2321" s="31" t="str">
        <f>IF(Table!A2321 = "","",Table!A2321)</f>
        <v/>
      </c>
      <c r="B2321" s="31" t="str">
        <f>IF(Table!B2321 = "","",Table!B2321)</f>
        <v/>
      </c>
      <c r="C2321" s="31" t="str">
        <f>IF(Table!C2321 = "","",Table!C2321)</f>
        <v/>
      </c>
      <c r="D2321" s="32" t="str">
        <f>IF(Table!D2321 = "","",Table!D2321)</f>
        <v/>
      </c>
      <c r="E2321" s="32" t="str">
        <f>IF(Table!E2321 = "","",Table!E2321)</f>
        <v/>
      </c>
      <c r="F2321" s="32" t="str">
        <f>IF(Table!F2321 = "","",Table!F2321)</f>
        <v/>
      </c>
      <c r="G2321" s="91"/>
      <c r="K2321" s="31" t="str">
        <f>IFERROR(VLOOKUP(A2321,Table!$I$4:$O$3000,1,TRUE),"")</f>
        <v/>
      </c>
      <c r="L2321" s="31" t="str">
        <f>IFERROR(INDEX(Table!I:O,MATCH(K2321,Table!I:I,0),2),"")</f>
        <v/>
      </c>
      <c r="M2321" s="31" t="str">
        <f>IFERROR(INDEX(Table!I:O,MATCH(K2321,Table!I:I,0),3),"")</f>
        <v/>
      </c>
      <c r="N2321" s="32" t="str">
        <f>IFERROR(INDEX(Table!I:O,MATCH(K2321,Table!I:I,0),4),"")</f>
        <v/>
      </c>
      <c r="O2321" s="32" t="str">
        <f>IFERROR(INDEX(Table!I:O,MATCH(K2321,Table!I:I,0),5),"")</f>
        <v/>
      </c>
      <c r="P2321" s="32" t="str">
        <f>IFERROR(INDEX(Table!I:O,MATCH(K2321,Table!I:I,0),6),"")</f>
        <v/>
      </c>
      <c r="Q2321" s="89" t="str">
        <f t="shared" si="106"/>
        <v/>
      </c>
      <c r="R2321" s="89" t="str">
        <f t="shared" si="107"/>
        <v/>
      </c>
      <c r="S2321" s="82"/>
      <c r="U2321" s="37"/>
    </row>
    <row r="2322" spans="1:21" x14ac:dyDescent="0.25">
      <c r="A2322" s="31" t="str">
        <f>IF(Table!A2322 = "","",Table!A2322)</f>
        <v/>
      </c>
      <c r="B2322" s="31" t="str">
        <f>IF(Table!B2322 = "","",Table!B2322)</f>
        <v/>
      </c>
      <c r="C2322" s="31" t="str">
        <f>IF(Table!C2322 = "","",Table!C2322)</f>
        <v/>
      </c>
      <c r="D2322" s="32" t="str">
        <f>IF(Table!D2322 = "","",Table!D2322)</f>
        <v/>
      </c>
      <c r="E2322" s="32" t="str">
        <f>IF(Table!E2322 = "","",Table!E2322)</f>
        <v/>
      </c>
      <c r="F2322" s="32" t="str">
        <f>IF(Table!F2322 = "","",Table!F2322)</f>
        <v/>
      </c>
      <c r="G2322" s="91"/>
      <c r="K2322" s="31" t="str">
        <f>IFERROR(VLOOKUP(A2322,Table!$I$4:$O$3000,1,TRUE),"")</f>
        <v/>
      </c>
      <c r="L2322" s="31" t="str">
        <f>IFERROR(INDEX(Table!I:O,MATCH(K2322,Table!I:I,0),2),"")</f>
        <v/>
      </c>
      <c r="M2322" s="31" t="str">
        <f>IFERROR(INDEX(Table!I:O,MATCH(K2322,Table!I:I,0),3),"")</f>
        <v/>
      </c>
      <c r="N2322" s="32" t="str">
        <f>IFERROR(INDEX(Table!I:O,MATCH(K2322,Table!I:I,0),4),"")</f>
        <v/>
      </c>
      <c r="O2322" s="32" t="str">
        <f>IFERROR(INDEX(Table!I:O,MATCH(K2322,Table!I:I,0),5),"")</f>
        <v/>
      </c>
      <c r="P2322" s="32" t="str">
        <f>IFERROR(INDEX(Table!I:O,MATCH(K2322,Table!I:I,0),6),"")</f>
        <v/>
      </c>
      <c r="Q2322" s="89" t="str">
        <f t="shared" si="106"/>
        <v/>
      </c>
      <c r="R2322" s="89" t="str">
        <f t="shared" si="107"/>
        <v/>
      </c>
      <c r="S2322" s="82"/>
      <c r="U2322" s="37"/>
    </row>
    <row r="2323" spans="1:21" x14ac:dyDescent="0.25">
      <c r="A2323" s="31" t="str">
        <f>IF(Table!A2323 = "","",Table!A2323)</f>
        <v/>
      </c>
      <c r="B2323" s="31" t="str">
        <f>IF(Table!B2323 = "","",Table!B2323)</f>
        <v/>
      </c>
      <c r="C2323" s="31" t="str">
        <f>IF(Table!C2323 = "","",Table!C2323)</f>
        <v/>
      </c>
      <c r="D2323" s="32" t="str">
        <f>IF(Table!D2323 = "","",Table!D2323)</f>
        <v/>
      </c>
      <c r="E2323" s="32" t="str">
        <f>IF(Table!E2323 = "","",Table!E2323)</f>
        <v/>
      </c>
      <c r="F2323" s="32" t="str">
        <f>IF(Table!F2323 = "","",Table!F2323)</f>
        <v/>
      </c>
      <c r="G2323" s="91"/>
      <c r="K2323" s="31" t="str">
        <f>IFERROR(VLOOKUP(A2323,Table!$I$4:$O$3000,1,TRUE),"")</f>
        <v/>
      </c>
      <c r="L2323" s="31" t="str">
        <f>IFERROR(INDEX(Table!I:O,MATCH(K2323,Table!I:I,0),2),"")</f>
        <v/>
      </c>
      <c r="M2323" s="31" t="str">
        <f>IFERROR(INDEX(Table!I:O,MATCH(K2323,Table!I:I,0),3),"")</f>
        <v/>
      </c>
      <c r="N2323" s="32" t="str">
        <f>IFERROR(INDEX(Table!I:O,MATCH(K2323,Table!I:I,0),4),"")</f>
        <v/>
      </c>
      <c r="O2323" s="32" t="str">
        <f>IFERROR(INDEX(Table!I:O,MATCH(K2323,Table!I:I,0),5),"")</f>
        <v/>
      </c>
      <c r="P2323" s="32" t="str">
        <f>IFERROR(INDEX(Table!I:O,MATCH(K2323,Table!I:I,0),6),"")</f>
        <v/>
      </c>
      <c r="Q2323" s="89" t="str">
        <f t="shared" si="106"/>
        <v/>
      </c>
      <c r="R2323" s="89" t="str">
        <f t="shared" si="107"/>
        <v/>
      </c>
      <c r="S2323" s="82"/>
      <c r="U2323" s="37"/>
    </row>
    <row r="2324" spans="1:21" x14ac:dyDescent="0.25">
      <c r="A2324" s="31" t="str">
        <f>IF(Table!A2324 = "","",Table!A2324)</f>
        <v/>
      </c>
      <c r="B2324" s="31" t="str">
        <f>IF(Table!B2324 = "","",Table!B2324)</f>
        <v/>
      </c>
      <c r="C2324" s="31" t="str">
        <f>IF(Table!C2324 = "","",Table!C2324)</f>
        <v/>
      </c>
      <c r="D2324" s="32" t="str">
        <f>IF(Table!D2324 = "","",Table!D2324)</f>
        <v/>
      </c>
      <c r="E2324" s="32" t="str">
        <f>IF(Table!E2324 = "","",Table!E2324)</f>
        <v/>
      </c>
      <c r="F2324" s="32" t="str">
        <f>IF(Table!F2324 = "","",Table!F2324)</f>
        <v/>
      </c>
      <c r="G2324" s="91"/>
      <c r="K2324" s="31" t="str">
        <f>IFERROR(VLOOKUP(A2324,Table!$I$4:$O$3000,1,TRUE),"")</f>
        <v/>
      </c>
      <c r="L2324" s="31" t="str">
        <f>IFERROR(INDEX(Table!I:O,MATCH(K2324,Table!I:I,0),2),"")</f>
        <v/>
      </c>
      <c r="M2324" s="31" t="str">
        <f>IFERROR(INDEX(Table!I:O,MATCH(K2324,Table!I:I,0),3),"")</f>
        <v/>
      </c>
      <c r="N2324" s="32" t="str">
        <f>IFERROR(INDEX(Table!I:O,MATCH(K2324,Table!I:I,0),4),"")</f>
        <v/>
      </c>
      <c r="O2324" s="32" t="str">
        <f>IFERROR(INDEX(Table!I:O,MATCH(K2324,Table!I:I,0),5),"")</f>
        <v/>
      </c>
      <c r="P2324" s="32" t="str">
        <f>IFERROR(INDEX(Table!I:O,MATCH(K2324,Table!I:I,0),6),"")</f>
        <v/>
      </c>
      <c r="Q2324" s="89" t="str">
        <f t="shared" si="106"/>
        <v/>
      </c>
      <c r="R2324" s="89" t="str">
        <f t="shared" si="107"/>
        <v/>
      </c>
      <c r="S2324" s="82"/>
      <c r="U2324" s="37"/>
    </row>
    <row r="2325" spans="1:21" x14ac:dyDescent="0.25">
      <c r="A2325" s="31" t="str">
        <f>IF(Table!A2325 = "","",Table!A2325)</f>
        <v/>
      </c>
      <c r="B2325" s="31" t="str">
        <f>IF(Table!B2325 = "","",Table!B2325)</f>
        <v/>
      </c>
      <c r="C2325" s="31" t="str">
        <f>IF(Table!C2325 = "","",Table!C2325)</f>
        <v/>
      </c>
      <c r="D2325" s="32" t="str">
        <f>IF(Table!D2325 = "","",Table!D2325)</f>
        <v/>
      </c>
      <c r="E2325" s="32" t="str">
        <f>IF(Table!E2325 = "","",Table!E2325)</f>
        <v/>
      </c>
      <c r="F2325" s="32" t="str">
        <f>IF(Table!F2325 = "","",Table!F2325)</f>
        <v/>
      </c>
      <c r="G2325" s="91"/>
      <c r="K2325" s="31" t="str">
        <f>IFERROR(VLOOKUP(A2325,Table!$I$4:$O$3000,1,TRUE),"")</f>
        <v/>
      </c>
      <c r="L2325" s="31" t="str">
        <f>IFERROR(INDEX(Table!I:O,MATCH(K2325,Table!I:I,0),2),"")</f>
        <v/>
      </c>
      <c r="M2325" s="31" t="str">
        <f>IFERROR(INDEX(Table!I:O,MATCH(K2325,Table!I:I,0),3),"")</f>
        <v/>
      </c>
      <c r="N2325" s="32" t="str">
        <f>IFERROR(INDEX(Table!I:O,MATCH(K2325,Table!I:I,0),4),"")</f>
        <v/>
      </c>
      <c r="O2325" s="32" t="str">
        <f>IFERROR(INDEX(Table!I:O,MATCH(K2325,Table!I:I,0),5),"")</f>
        <v/>
      </c>
      <c r="P2325" s="32" t="str">
        <f>IFERROR(INDEX(Table!I:O,MATCH(K2325,Table!I:I,0),6),"")</f>
        <v/>
      </c>
      <c r="Q2325" s="89" t="str">
        <f t="shared" si="106"/>
        <v/>
      </c>
      <c r="R2325" s="89" t="str">
        <f t="shared" si="107"/>
        <v/>
      </c>
      <c r="S2325" s="82"/>
      <c r="U2325" s="37"/>
    </row>
    <row r="2326" spans="1:21" x14ac:dyDescent="0.25">
      <c r="A2326" s="31" t="str">
        <f>IF(Table!A2326 = "","",Table!A2326)</f>
        <v/>
      </c>
      <c r="B2326" s="31" t="str">
        <f>IF(Table!B2326 = "","",Table!B2326)</f>
        <v/>
      </c>
      <c r="C2326" s="31" t="str">
        <f>IF(Table!C2326 = "","",Table!C2326)</f>
        <v/>
      </c>
      <c r="D2326" s="32" t="str">
        <f>IF(Table!D2326 = "","",Table!D2326)</f>
        <v/>
      </c>
      <c r="E2326" s="32" t="str">
        <f>IF(Table!E2326 = "","",Table!E2326)</f>
        <v/>
      </c>
      <c r="F2326" s="32" t="str">
        <f>IF(Table!F2326 = "","",Table!F2326)</f>
        <v/>
      </c>
      <c r="G2326" s="91"/>
      <c r="K2326" s="31" t="str">
        <f>IFERROR(VLOOKUP(A2326,Table!$I$4:$O$3000,1,TRUE),"")</f>
        <v/>
      </c>
      <c r="L2326" s="31" t="str">
        <f>IFERROR(INDEX(Table!I:O,MATCH(K2326,Table!I:I,0),2),"")</f>
        <v/>
      </c>
      <c r="M2326" s="31" t="str">
        <f>IFERROR(INDEX(Table!I:O,MATCH(K2326,Table!I:I,0),3),"")</f>
        <v/>
      </c>
      <c r="N2326" s="32" t="str">
        <f>IFERROR(INDEX(Table!I:O,MATCH(K2326,Table!I:I,0),4),"")</f>
        <v/>
      </c>
      <c r="O2326" s="32" t="str">
        <f>IFERROR(INDEX(Table!I:O,MATCH(K2326,Table!I:I,0),5),"")</f>
        <v/>
      </c>
      <c r="P2326" s="32" t="str">
        <f>IFERROR(INDEX(Table!I:O,MATCH(K2326,Table!I:I,0),6),"")</f>
        <v/>
      </c>
      <c r="Q2326" s="89" t="str">
        <f t="shared" si="106"/>
        <v/>
      </c>
      <c r="R2326" s="89" t="str">
        <f t="shared" si="107"/>
        <v/>
      </c>
      <c r="S2326" s="82"/>
      <c r="U2326" s="37"/>
    </row>
    <row r="2327" spans="1:21" x14ac:dyDescent="0.25">
      <c r="A2327" s="31" t="str">
        <f>IF(Table!A2327 = "","",Table!A2327)</f>
        <v/>
      </c>
      <c r="B2327" s="31" t="str">
        <f>IF(Table!B2327 = "","",Table!B2327)</f>
        <v/>
      </c>
      <c r="C2327" s="31" t="str">
        <f>IF(Table!C2327 = "","",Table!C2327)</f>
        <v/>
      </c>
      <c r="D2327" s="32" t="str">
        <f>IF(Table!D2327 = "","",Table!D2327)</f>
        <v/>
      </c>
      <c r="E2327" s="32" t="str">
        <f>IF(Table!E2327 = "","",Table!E2327)</f>
        <v/>
      </c>
      <c r="F2327" s="32" t="str">
        <f>IF(Table!F2327 = "","",Table!F2327)</f>
        <v/>
      </c>
      <c r="G2327" s="91"/>
      <c r="K2327" s="31" t="str">
        <f>IFERROR(VLOOKUP(A2327,Table!$I$4:$O$3000,1,TRUE),"")</f>
        <v/>
      </c>
      <c r="L2327" s="31" t="str">
        <f>IFERROR(INDEX(Table!I:O,MATCH(K2327,Table!I:I,0),2),"")</f>
        <v/>
      </c>
      <c r="M2327" s="31" t="str">
        <f>IFERROR(INDEX(Table!I:O,MATCH(K2327,Table!I:I,0),3),"")</f>
        <v/>
      </c>
      <c r="N2327" s="32" t="str">
        <f>IFERROR(INDEX(Table!I:O,MATCH(K2327,Table!I:I,0),4),"")</f>
        <v/>
      </c>
      <c r="O2327" s="32" t="str">
        <f>IFERROR(INDEX(Table!I:O,MATCH(K2327,Table!I:I,0),5),"")</f>
        <v/>
      </c>
      <c r="P2327" s="32" t="str">
        <f>IFERROR(INDEX(Table!I:O,MATCH(K2327,Table!I:I,0),6),"")</f>
        <v/>
      </c>
      <c r="Q2327" s="89" t="str">
        <f t="shared" si="106"/>
        <v/>
      </c>
      <c r="R2327" s="89" t="str">
        <f t="shared" si="107"/>
        <v/>
      </c>
      <c r="S2327" s="82"/>
      <c r="U2327" s="37"/>
    </row>
    <row r="2328" spans="1:21" x14ac:dyDescent="0.25">
      <c r="A2328" s="31" t="str">
        <f>IF(Table!A2328 = "","",Table!A2328)</f>
        <v/>
      </c>
      <c r="B2328" s="31" t="str">
        <f>IF(Table!B2328 = "","",Table!B2328)</f>
        <v/>
      </c>
      <c r="C2328" s="31" t="str">
        <f>IF(Table!C2328 = "","",Table!C2328)</f>
        <v/>
      </c>
      <c r="D2328" s="32" t="str">
        <f>IF(Table!D2328 = "","",Table!D2328)</f>
        <v/>
      </c>
      <c r="E2328" s="32" t="str">
        <f>IF(Table!E2328 = "","",Table!E2328)</f>
        <v/>
      </c>
      <c r="F2328" s="32" t="str">
        <f>IF(Table!F2328 = "","",Table!F2328)</f>
        <v/>
      </c>
      <c r="G2328" s="91"/>
      <c r="K2328" s="31" t="str">
        <f>IFERROR(VLOOKUP(A2328,Table!$I$4:$O$3000,1,TRUE),"")</f>
        <v/>
      </c>
      <c r="L2328" s="31" t="str">
        <f>IFERROR(INDEX(Table!I:O,MATCH(K2328,Table!I:I,0),2),"")</f>
        <v/>
      </c>
      <c r="M2328" s="31" t="str">
        <f>IFERROR(INDEX(Table!I:O,MATCH(K2328,Table!I:I,0),3),"")</f>
        <v/>
      </c>
      <c r="N2328" s="32" t="str">
        <f>IFERROR(INDEX(Table!I:O,MATCH(K2328,Table!I:I,0),4),"")</f>
        <v/>
      </c>
      <c r="O2328" s="32" t="str">
        <f>IFERROR(INDEX(Table!I:O,MATCH(K2328,Table!I:I,0),5),"")</f>
        <v/>
      </c>
      <c r="P2328" s="32" t="str">
        <f>IFERROR(INDEX(Table!I:O,MATCH(K2328,Table!I:I,0),6),"")</f>
        <v/>
      </c>
      <c r="Q2328" s="89" t="str">
        <f t="shared" si="106"/>
        <v/>
      </c>
      <c r="R2328" s="89" t="str">
        <f t="shared" si="107"/>
        <v/>
      </c>
      <c r="S2328" s="82"/>
      <c r="U2328" s="37"/>
    </row>
    <row r="2329" spans="1:21" x14ac:dyDescent="0.25">
      <c r="A2329" s="31" t="str">
        <f>IF(Table!A2329 = "","",Table!A2329)</f>
        <v/>
      </c>
      <c r="B2329" s="31" t="str">
        <f>IF(Table!B2329 = "","",Table!B2329)</f>
        <v/>
      </c>
      <c r="C2329" s="31" t="str">
        <f>IF(Table!C2329 = "","",Table!C2329)</f>
        <v/>
      </c>
      <c r="D2329" s="32" t="str">
        <f>IF(Table!D2329 = "","",Table!D2329)</f>
        <v/>
      </c>
      <c r="E2329" s="32" t="str">
        <f>IF(Table!E2329 = "","",Table!E2329)</f>
        <v/>
      </c>
      <c r="F2329" s="32" t="str">
        <f>IF(Table!F2329 = "","",Table!F2329)</f>
        <v/>
      </c>
      <c r="G2329" s="91"/>
      <c r="K2329" s="31" t="str">
        <f>IFERROR(VLOOKUP(A2329,Table!$I$4:$O$3000,1,TRUE),"")</f>
        <v/>
      </c>
      <c r="L2329" s="31" t="str">
        <f>IFERROR(INDEX(Table!I:O,MATCH(K2329,Table!I:I,0),2),"")</f>
        <v/>
      </c>
      <c r="M2329" s="31" t="str">
        <f>IFERROR(INDEX(Table!I:O,MATCH(K2329,Table!I:I,0),3),"")</f>
        <v/>
      </c>
      <c r="N2329" s="32" t="str">
        <f>IFERROR(INDEX(Table!I:O,MATCH(K2329,Table!I:I,0),4),"")</f>
        <v/>
      </c>
      <c r="O2329" s="32" t="str">
        <f>IFERROR(INDEX(Table!I:O,MATCH(K2329,Table!I:I,0),5),"")</f>
        <v/>
      </c>
      <c r="P2329" s="32" t="str">
        <f>IFERROR(INDEX(Table!I:O,MATCH(K2329,Table!I:I,0),6),"")</f>
        <v/>
      </c>
      <c r="Q2329" s="89" t="str">
        <f t="shared" si="106"/>
        <v/>
      </c>
      <c r="R2329" s="89" t="str">
        <f t="shared" si="107"/>
        <v/>
      </c>
      <c r="S2329" s="82"/>
      <c r="U2329" s="37"/>
    </row>
    <row r="2330" spans="1:21" x14ac:dyDescent="0.25">
      <c r="A2330" s="31" t="str">
        <f>IF(Table!A2330 = "","",Table!A2330)</f>
        <v/>
      </c>
      <c r="B2330" s="31" t="str">
        <f>IF(Table!B2330 = "","",Table!B2330)</f>
        <v/>
      </c>
      <c r="C2330" s="31" t="str">
        <f>IF(Table!C2330 = "","",Table!C2330)</f>
        <v/>
      </c>
      <c r="D2330" s="32" t="str">
        <f>IF(Table!D2330 = "","",Table!D2330)</f>
        <v/>
      </c>
      <c r="E2330" s="32" t="str">
        <f>IF(Table!E2330 = "","",Table!E2330)</f>
        <v/>
      </c>
      <c r="F2330" s="32" t="str">
        <f>IF(Table!F2330 = "","",Table!F2330)</f>
        <v/>
      </c>
      <c r="G2330" s="91"/>
      <c r="K2330" s="31" t="str">
        <f>IFERROR(VLOOKUP(A2330,Table!$I$4:$O$3000,1,TRUE),"")</f>
        <v/>
      </c>
      <c r="L2330" s="31" t="str">
        <f>IFERROR(INDEX(Table!I:O,MATCH(K2330,Table!I:I,0),2),"")</f>
        <v/>
      </c>
      <c r="M2330" s="31" t="str">
        <f>IFERROR(INDEX(Table!I:O,MATCH(K2330,Table!I:I,0),3),"")</f>
        <v/>
      </c>
      <c r="N2330" s="32" t="str">
        <f>IFERROR(INDEX(Table!I:O,MATCH(K2330,Table!I:I,0),4),"")</f>
        <v/>
      </c>
      <c r="O2330" s="32" t="str">
        <f>IFERROR(INDEX(Table!I:O,MATCH(K2330,Table!I:I,0),5),"")</f>
        <v/>
      </c>
      <c r="P2330" s="32" t="str">
        <f>IFERROR(INDEX(Table!I:O,MATCH(K2330,Table!I:I,0),6),"")</f>
        <v/>
      </c>
      <c r="Q2330" s="89" t="str">
        <f t="shared" si="106"/>
        <v/>
      </c>
      <c r="R2330" s="89" t="str">
        <f t="shared" si="107"/>
        <v/>
      </c>
      <c r="S2330" s="82"/>
      <c r="U2330" s="37"/>
    </row>
    <row r="2331" spans="1:21" x14ac:dyDescent="0.25">
      <c r="A2331" s="31" t="str">
        <f>IF(Table!A2331 = "","",Table!A2331)</f>
        <v/>
      </c>
      <c r="B2331" s="31" t="str">
        <f>IF(Table!B2331 = "","",Table!B2331)</f>
        <v/>
      </c>
      <c r="C2331" s="31" t="str">
        <f>IF(Table!C2331 = "","",Table!C2331)</f>
        <v/>
      </c>
      <c r="D2331" s="32" t="str">
        <f>IF(Table!D2331 = "","",Table!D2331)</f>
        <v/>
      </c>
      <c r="E2331" s="32" t="str">
        <f>IF(Table!E2331 = "","",Table!E2331)</f>
        <v/>
      </c>
      <c r="F2331" s="32" t="str">
        <f>IF(Table!F2331 = "","",Table!F2331)</f>
        <v/>
      </c>
      <c r="G2331" s="91"/>
      <c r="K2331" s="31" t="str">
        <f>IFERROR(VLOOKUP(A2331,Table!$I$4:$O$3000,1,TRUE),"")</f>
        <v/>
      </c>
      <c r="L2331" s="31" t="str">
        <f>IFERROR(INDEX(Table!I:O,MATCH(K2331,Table!I:I,0),2),"")</f>
        <v/>
      </c>
      <c r="M2331" s="31" t="str">
        <f>IFERROR(INDEX(Table!I:O,MATCH(K2331,Table!I:I,0),3),"")</f>
        <v/>
      </c>
      <c r="N2331" s="32" t="str">
        <f>IFERROR(INDEX(Table!I:O,MATCH(K2331,Table!I:I,0),4),"")</f>
        <v/>
      </c>
      <c r="O2331" s="32" t="str">
        <f>IFERROR(INDEX(Table!I:O,MATCH(K2331,Table!I:I,0),5),"")</f>
        <v/>
      </c>
      <c r="P2331" s="32" t="str">
        <f>IFERROR(INDEX(Table!I:O,MATCH(K2331,Table!I:I,0),6),"")</f>
        <v/>
      </c>
      <c r="Q2331" s="89" t="str">
        <f t="shared" si="106"/>
        <v/>
      </c>
      <c r="R2331" s="89" t="str">
        <f t="shared" si="107"/>
        <v/>
      </c>
      <c r="S2331" s="82"/>
      <c r="U2331" s="37"/>
    </row>
    <row r="2332" spans="1:21" x14ac:dyDescent="0.25">
      <c r="A2332" s="31" t="str">
        <f>IF(Table!A2332 = "","",Table!A2332)</f>
        <v/>
      </c>
      <c r="B2332" s="31" t="str">
        <f>IF(Table!B2332 = "","",Table!B2332)</f>
        <v/>
      </c>
      <c r="C2332" s="31" t="str">
        <f>IF(Table!C2332 = "","",Table!C2332)</f>
        <v/>
      </c>
      <c r="D2332" s="32" t="str">
        <f>IF(Table!D2332 = "","",Table!D2332)</f>
        <v/>
      </c>
      <c r="E2332" s="32" t="str">
        <f>IF(Table!E2332 = "","",Table!E2332)</f>
        <v/>
      </c>
      <c r="F2332" s="32" t="str">
        <f>IF(Table!F2332 = "","",Table!F2332)</f>
        <v/>
      </c>
      <c r="G2332" s="91"/>
      <c r="K2332" s="31" t="str">
        <f>IFERROR(VLOOKUP(A2332,Table!$I$4:$O$3000,1,TRUE),"")</f>
        <v/>
      </c>
      <c r="L2332" s="31" t="str">
        <f>IFERROR(INDEX(Table!I:O,MATCH(K2332,Table!I:I,0),2),"")</f>
        <v/>
      </c>
      <c r="M2332" s="31" t="str">
        <f>IFERROR(INDEX(Table!I:O,MATCH(K2332,Table!I:I,0),3),"")</f>
        <v/>
      </c>
      <c r="N2332" s="32" t="str">
        <f>IFERROR(INDEX(Table!I:O,MATCH(K2332,Table!I:I,0),4),"")</f>
        <v/>
      </c>
      <c r="O2332" s="32" t="str">
        <f>IFERROR(INDEX(Table!I:O,MATCH(K2332,Table!I:I,0),5),"")</f>
        <v/>
      </c>
      <c r="P2332" s="32" t="str">
        <f>IFERROR(INDEX(Table!I:O,MATCH(K2332,Table!I:I,0),6),"")</f>
        <v/>
      </c>
      <c r="Q2332" s="89" t="str">
        <f t="shared" si="106"/>
        <v/>
      </c>
      <c r="R2332" s="89" t="str">
        <f t="shared" si="107"/>
        <v/>
      </c>
      <c r="S2332" s="82"/>
      <c r="U2332" s="37"/>
    </row>
    <row r="2333" spans="1:21" x14ac:dyDescent="0.25">
      <c r="A2333" s="31" t="str">
        <f>IF(Table!A2333 = "","",Table!A2333)</f>
        <v/>
      </c>
      <c r="B2333" s="31" t="str">
        <f>IF(Table!B2333 = "","",Table!B2333)</f>
        <v/>
      </c>
      <c r="C2333" s="31" t="str">
        <f>IF(Table!C2333 = "","",Table!C2333)</f>
        <v/>
      </c>
      <c r="D2333" s="32" t="str">
        <f>IF(Table!D2333 = "","",Table!D2333)</f>
        <v/>
      </c>
      <c r="E2333" s="32" t="str">
        <f>IF(Table!E2333 = "","",Table!E2333)</f>
        <v/>
      </c>
      <c r="F2333" s="32" t="str">
        <f>IF(Table!F2333 = "","",Table!F2333)</f>
        <v/>
      </c>
      <c r="G2333" s="91"/>
      <c r="K2333" s="31" t="str">
        <f>IFERROR(VLOOKUP(A2333,Table!$I$4:$O$3000,1,TRUE),"")</f>
        <v/>
      </c>
      <c r="L2333" s="31" t="str">
        <f>IFERROR(INDEX(Table!I:O,MATCH(K2333,Table!I:I,0),2),"")</f>
        <v/>
      </c>
      <c r="M2333" s="31" t="str">
        <f>IFERROR(INDEX(Table!I:O,MATCH(K2333,Table!I:I,0),3),"")</f>
        <v/>
      </c>
      <c r="N2333" s="32" t="str">
        <f>IFERROR(INDEX(Table!I:O,MATCH(K2333,Table!I:I,0),4),"")</f>
        <v/>
      </c>
      <c r="O2333" s="32" t="str">
        <f>IFERROR(INDEX(Table!I:O,MATCH(K2333,Table!I:I,0),5),"")</f>
        <v/>
      </c>
      <c r="P2333" s="32" t="str">
        <f>IFERROR(INDEX(Table!I:O,MATCH(K2333,Table!I:I,0),6),"")</f>
        <v/>
      </c>
      <c r="Q2333" s="89" t="str">
        <f t="shared" si="106"/>
        <v/>
      </c>
      <c r="R2333" s="89" t="str">
        <f t="shared" si="107"/>
        <v/>
      </c>
      <c r="S2333" s="82"/>
      <c r="U2333" s="37"/>
    </row>
    <row r="2334" spans="1:21" x14ac:dyDescent="0.25">
      <c r="A2334" s="31" t="str">
        <f>IF(Table!A2334 = "","",Table!A2334)</f>
        <v/>
      </c>
      <c r="B2334" s="31" t="str">
        <f>IF(Table!B2334 = "","",Table!B2334)</f>
        <v/>
      </c>
      <c r="C2334" s="31" t="str">
        <f>IF(Table!C2334 = "","",Table!C2334)</f>
        <v/>
      </c>
      <c r="D2334" s="32" t="str">
        <f>IF(Table!D2334 = "","",Table!D2334)</f>
        <v/>
      </c>
      <c r="E2334" s="32" t="str">
        <f>IF(Table!E2334 = "","",Table!E2334)</f>
        <v/>
      </c>
      <c r="F2334" s="32" t="str">
        <f>IF(Table!F2334 = "","",Table!F2334)</f>
        <v/>
      </c>
      <c r="G2334" s="91"/>
      <c r="K2334" s="31" t="str">
        <f>IFERROR(VLOOKUP(A2334,Table!$I$4:$O$3000,1,TRUE),"")</f>
        <v/>
      </c>
      <c r="L2334" s="31" t="str">
        <f>IFERROR(INDEX(Table!I:O,MATCH(K2334,Table!I:I,0),2),"")</f>
        <v/>
      </c>
      <c r="M2334" s="31" t="str">
        <f>IFERROR(INDEX(Table!I:O,MATCH(K2334,Table!I:I,0),3),"")</f>
        <v/>
      </c>
      <c r="N2334" s="32" t="str">
        <f>IFERROR(INDEX(Table!I:O,MATCH(K2334,Table!I:I,0),4),"")</f>
        <v/>
      </c>
      <c r="O2334" s="32" t="str">
        <f>IFERROR(INDEX(Table!I:O,MATCH(K2334,Table!I:I,0),5),"")</f>
        <v/>
      </c>
      <c r="P2334" s="32" t="str">
        <f>IFERROR(INDEX(Table!I:O,MATCH(K2334,Table!I:I,0),6),"")</f>
        <v/>
      </c>
      <c r="Q2334" s="89" t="str">
        <f t="shared" si="106"/>
        <v/>
      </c>
      <c r="R2334" s="89" t="str">
        <f t="shared" si="107"/>
        <v/>
      </c>
      <c r="S2334" s="82"/>
      <c r="U2334" s="37"/>
    </row>
    <row r="2335" spans="1:21" x14ac:dyDescent="0.25">
      <c r="A2335" s="31" t="str">
        <f>IF(Table!A2335 = "","",Table!A2335)</f>
        <v/>
      </c>
      <c r="B2335" s="31" t="str">
        <f>IF(Table!B2335 = "","",Table!B2335)</f>
        <v/>
      </c>
      <c r="C2335" s="31" t="str">
        <f>IF(Table!C2335 = "","",Table!C2335)</f>
        <v/>
      </c>
      <c r="D2335" s="32" t="str">
        <f>IF(Table!D2335 = "","",Table!D2335)</f>
        <v/>
      </c>
      <c r="E2335" s="32" t="str">
        <f>IF(Table!E2335 = "","",Table!E2335)</f>
        <v/>
      </c>
      <c r="F2335" s="32" t="str">
        <f>IF(Table!F2335 = "","",Table!F2335)</f>
        <v/>
      </c>
      <c r="G2335" s="91"/>
      <c r="K2335" s="31" t="str">
        <f>IFERROR(VLOOKUP(A2335,Table!$I$4:$O$3000,1,TRUE),"")</f>
        <v/>
      </c>
      <c r="L2335" s="31" t="str">
        <f>IFERROR(INDEX(Table!I:O,MATCH(K2335,Table!I:I,0),2),"")</f>
        <v/>
      </c>
      <c r="M2335" s="31" t="str">
        <f>IFERROR(INDEX(Table!I:O,MATCH(K2335,Table!I:I,0),3),"")</f>
        <v/>
      </c>
      <c r="N2335" s="32" t="str">
        <f>IFERROR(INDEX(Table!I:O,MATCH(K2335,Table!I:I,0),4),"")</f>
        <v/>
      </c>
      <c r="O2335" s="32" t="str">
        <f>IFERROR(INDEX(Table!I:O,MATCH(K2335,Table!I:I,0),5),"")</f>
        <v/>
      </c>
      <c r="P2335" s="32" t="str">
        <f>IFERROR(INDEX(Table!I:O,MATCH(K2335,Table!I:I,0),6),"")</f>
        <v/>
      </c>
      <c r="Q2335" s="89" t="str">
        <f t="shared" si="106"/>
        <v/>
      </c>
      <c r="R2335" s="89" t="str">
        <f t="shared" si="107"/>
        <v/>
      </c>
      <c r="S2335" s="82"/>
      <c r="U2335" s="37"/>
    </row>
    <row r="2336" spans="1:21" x14ac:dyDescent="0.25">
      <c r="A2336" s="31" t="str">
        <f>IF(Table!A2336 = "","",Table!A2336)</f>
        <v/>
      </c>
      <c r="B2336" s="31" t="str">
        <f>IF(Table!B2336 = "","",Table!B2336)</f>
        <v/>
      </c>
      <c r="C2336" s="31" t="str">
        <f>IF(Table!C2336 = "","",Table!C2336)</f>
        <v/>
      </c>
      <c r="D2336" s="32" t="str">
        <f>IF(Table!D2336 = "","",Table!D2336)</f>
        <v/>
      </c>
      <c r="E2336" s="32" t="str">
        <f>IF(Table!E2336 = "","",Table!E2336)</f>
        <v/>
      </c>
      <c r="F2336" s="32" t="str">
        <f>IF(Table!F2336 = "","",Table!F2336)</f>
        <v/>
      </c>
      <c r="G2336" s="91"/>
      <c r="K2336" s="31" t="str">
        <f>IFERROR(VLOOKUP(A2336,Table!$I$4:$O$3000,1,TRUE),"")</f>
        <v/>
      </c>
      <c r="L2336" s="31" t="str">
        <f>IFERROR(INDEX(Table!I:O,MATCH(K2336,Table!I:I,0),2),"")</f>
        <v/>
      </c>
      <c r="M2336" s="31" t="str">
        <f>IFERROR(INDEX(Table!I:O,MATCH(K2336,Table!I:I,0),3),"")</f>
        <v/>
      </c>
      <c r="N2336" s="32" t="str">
        <f>IFERROR(INDEX(Table!I:O,MATCH(K2336,Table!I:I,0),4),"")</f>
        <v/>
      </c>
      <c r="O2336" s="32" t="str">
        <f>IFERROR(INDEX(Table!I:O,MATCH(K2336,Table!I:I,0),5),"")</f>
        <v/>
      </c>
      <c r="P2336" s="32" t="str">
        <f>IFERROR(INDEX(Table!I:O,MATCH(K2336,Table!I:I,0),6),"")</f>
        <v/>
      </c>
      <c r="Q2336" s="89" t="str">
        <f t="shared" si="106"/>
        <v/>
      </c>
      <c r="R2336" s="89" t="str">
        <f t="shared" si="107"/>
        <v/>
      </c>
      <c r="S2336" s="82"/>
      <c r="U2336" s="37"/>
    </row>
    <row r="2337" spans="1:21" x14ac:dyDescent="0.25">
      <c r="A2337" s="31" t="str">
        <f>IF(Table!A2337 = "","",Table!A2337)</f>
        <v/>
      </c>
      <c r="B2337" s="31" t="str">
        <f>IF(Table!B2337 = "","",Table!B2337)</f>
        <v/>
      </c>
      <c r="C2337" s="31" t="str">
        <f>IF(Table!C2337 = "","",Table!C2337)</f>
        <v/>
      </c>
      <c r="D2337" s="32" t="str">
        <f>IF(Table!D2337 = "","",Table!D2337)</f>
        <v/>
      </c>
      <c r="E2337" s="32" t="str">
        <f>IF(Table!E2337 = "","",Table!E2337)</f>
        <v/>
      </c>
      <c r="F2337" s="32" t="str">
        <f>IF(Table!F2337 = "","",Table!F2337)</f>
        <v/>
      </c>
      <c r="G2337" s="91"/>
      <c r="K2337" s="31" t="str">
        <f>IFERROR(VLOOKUP(A2337,Table!$I$4:$O$3000,1,TRUE),"")</f>
        <v/>
      </c>
      <c r="L2337" s="31" t="str">
        <f>IFERROR(INDEX(Table!I:O,MATCH(K2337,Table!I:I,0),2),"")</f>
        <v/>
      </c>
      <c r="M2337" s="31" t="str">
        <f>IFERROR(INDEX(Table!I:O,MATCH(K2337,Table!I:I,0),3),"")</f>
        <v/>
      </c>
      <c r="N2337" s="32" t="str">
        <f>IFERROR(INDEX(Table!I:O,MATCH(K2337,Table!I:I,0),4),"")</f>
        <v/>
      </c>
      <c r="O2337" s="32" t="str">
        <f>IFERROR(INDEX(Table!I:O,MATCH(K2337,Table!I:I,0),5),"")</f>
        <v/>
      </c>
      <c r="P2337" s="32" t="str">
        <f>IFERROR(INDEX(Table!I:O,MATCH(K2337,Table!I:I,0),6),"")</f>
        <v/>
      </c>
      <c r="Q2337" s="89" t="str">
        <f t="shared" si="106"/>
        <v/>
      </c>
      <c r="R2337" s="89" t="str">
        <f t="shared" si="107"/>
        <v/>
      </c>
      <c r="S2337" s="82"/>
      <c r="U2337" s="37"/>
    </row>
    <row r="2338" spans="1:21" x14ac:dyDescent="0.25">
      <c r="A2338" s="31" t="str">
        <f>IF(Table!A2338 = "","",Table!A2338)</f>
        <v/>
      </c>
      <c r="B2338" s="31" t="str">
        <f>IF(Table!B2338 = "","",Table!B2338)</f>
        <v/>
      </c>
      <c r="C2338" s="31" t="str">
        <f>IF(Table!C2338 = "","",Table!C2338)</f>
        <v/>
      </c>
      <c r="D2338" s="32" t="str">
        <f>IF(Table!D2338 = "","",Table!D2338)</f>
        <v/>
      </c>
      <c r="E2338" s="32" t="str">
        <f>IF(Table!E2338 = "","",Table!E2338)</f>
        <v/>
      </c>
      <c r="F2338" s="32" t="str">
        <f>IF(Table!F2338 = "","",Table!F2338)</f>
        <v/>
      </c>
      <c r="G2338" s="91"/>
      <c r="K2338" s="31" t="str">
        <f>IFERROR(VLOOKUP(A2338,Table!$I$4:$O$3000,1,TRUE),"")</f>
        <v/>
      </c>
      <c r="L2338" s="31" t="str">
        <f>IFERROR(INDEX(Table!I:O,MATCH(K2338,Table!I:I,0),2),"")</f>
        <v/>
      </c>
      <c r="M2338" s="31" t="str">
        <f>IFERROR(INDEX(Table!I:O,MATCH(K2338,Table!I:I,0),3),"")</f>
        <v/>
      </c>
      <c r="N2338" s="32" t="str">
        <f>IFERROR(INDEX(Table!I:O,MATCH(K2338,Table!I:I,0),4),"")</f>
        <v/>
      </c>
      <c r="O2338" s="32" t="str">
        <f>IFERROR(INDEX(Table!I:O,MATCH(K2338,Table!I:I,0),5),"")</f>
        <v/>
      </c>
      <c r="P2338" s="32" t="str">
        <f>IFERROR(INDEX(Table!I:O,MATCH(K2338,Table!I:I,0),6),"")</f>
        <v/>
      </c>
      <c r="Q2338" s="89" t="str">
        <f t="shared" si="106"/>
        <v/>
      </c>
      <c r="R2338" s="89" t="str">
        <f t="shared" si="107"/>
        <v/>
      </c>
      <c r="S2338" s="82"/>
      <c r="U2338" s="37"/>
    </row>
    <row r="2339" spans="1:21" x14ac:dyDescent="0.25">
      <c r="A2339" s="31" t="str">
        <f>IF(Table!A2339 = "","",Table!A2339)</f>
        <v/>
      </c>
      <c r="B2339" s="31" t="str">
        <f>IF(Table!B2339 = "","",Table!B2339)</f>
        <v/>
      </c>
      <c r="C2339" s="31" t="str">
        <f>IF(Table!C2339 = "","",Table!C2339)</f>
        <v/>
      </c>
      <c r="D2339" s="32" t="str">
        <f>IF(Table!D2339 = "","",Table!D2339)</f>
        <v/>
      </c>
      <c r="E2339" s="32" t="str">
        <f>IF(Table!E2339 = "","",Table!E2339)</f>
        <v/>
      </c>
      <c r="F2339" s="32" t="str">
        <f>IF(Table!F2339 = "","",Table!F2339)</f>
        <v/>
      </c>
      <c r="G2339" s="91"/>
      <c r="K2339" s="31" t="str">
        <f>IFERROR(VLOOKUP(A2339,Table!$I$4:$O$3000,1,TRUE),"")</f>
        <v/>
      </c>
      <c r="L2339" s="31" t="str">
        <f>IFERROR(INDEX(Table!I:O,MATCH(K2339,Table!I:I,0),2),"")</f>
        <v/>
      </c>
      <c r="M2339" s="31" t="str">
        <f>IFERROR(INDEX(Table!I:O,MATCH(K2339,Table!I:I,0),3),"")</f>
        <v/>
      </c>
      <c r="N2339" s="32" t="str">
        <f>IFERROR(INDEX(Table!I:O,MATCH(K2339,Table!I:I,0),4),"")</f>
        <v/>
      </c>
      <c r="O2339" s="32" t="str">
        <f>IFERROR(INDEX(Table!I:O,MATCH(K2339,Table!I:I,0),5),"")</f>
        <v/>
      </c>
      <c r="P2339" s="32" t="str">
        <f>IFERROR(INDEX(Table!I:O,MATCH(K2339,Table!I:I,0),6),"")</f>
        <v/>
      </c>
      <c r="Q2339" s="89" t="str">
        <f t="shared" si="106"/>
        <v/>
      </c>
      <c r="R2339" s="89" t="str">
        <f t="shared" si="107"/>
        <v/>
      </c>
      <c r="S2339" s="82"/>
      <c r="U2339" s="37"/>
    </row>
    <row r="2340" spans="1:21" x14ac:dyDescent="0.25">
      <c r="A2340" s="31" t="str">
        <f>IF(Table!A2340 = "","",Table!A2340)</f>
        <v/>
      </c>
      <c r="B2340" s="31" t="str">
        <f>IF(Table!B2340 = "","",Table!B2340)</f>
        <v/>
      </c>
      <c r="C2340" s="31" t="str">
        <f>IF(Table!C2340 = "","",Table!C2340)</f>
        <v/>
      </c>
      <c r="D2340" s="32" t="str">
        <f>IF(Table!D2340 = "","",Table!D2340)</f>
        <v/>
      </c>
      <c r="E2340" s="32" t="str">
        <f>IF(Table!E2340 = "","",Table!E2340)</f>
        <v/>
      </c>
      <c r="F2340" s="32" t="str">
        <f>IF(Table!F2340 = "","",Table!F2340)</f>
        <v/>
      </c>
      <c r="G2340" s="91"/>
      <c r="K2340" s="31" t="str">
        <f>IFERROR(VLOOKUP(A2340,Table!$I$4:$O$3000,1,TRUE),"")</f>
        <v/>
      </c>
      <c r="L2340" s="31" t="str">
        <f>IFERROR(INDEX(Table!I:O,MATCH(K2340,Table!I:I,0),2),"")</f>
        <v/>
      </c>
      <c r="M2340" s="31" t="str">
        <f>IFERROR(INDEX(Table!I:O,MATCH(K2340,Table!I:I,0),3),"")</f>
        <v/>
      </c>
      <c r="N2340" s="32" t="str">
        <f>IFERROR(INDEX(Table!I:O,MATCH(K2340,Table!I:I,0),4),"")</f>
        <v/>
      </c>
      <c r="O2340" s="32" t="str">
        <f>IFERROR(INDEX(Table!I:O,MATCH(K2340,Table!I:I,0),5),"")</f>
        <v/>
      </c>
      <c r="P2340" s="32" t="str">
        <f>IFERROR(INDEX(Table!I:O,MATCH(K2340,Table!I:I,0),6),"")</f>
        <v/>
      </c>
      <c r="Q2340" s="89" t="str">
        <f t="shared" si="106"/>
        <v/>
      </c>
      <c r="R2340" s="89" t="str">
        <f t="shared" si="107"/>
        <v/>
      </c>
      <c r="S2340" s="82"/>
      <c r="U2340" s="37"/>
    </row>
    <row r="2341" spans="1:21" x14ac:dyDescent="0.25">
      <c r="A2341" s="31" t="str">
        <f>IF(Table!A2341 = "","",Table!A2341)</f>
        <v/>
      </c>
      <c r="B2341" s="31" t="str">
        <f>IF(Table!B2341 = "","",Table!B2341)</f>
        <v/>
      </c>
      <c r="C2341" s="31" t="str">
        <f>IF(Table!C2341 = "","",Table!C2341)</f>
        <v/>
      </c>
      <c r="D2341" s="32" t="str">
        <f>IF(Table!D2341 = "","",Table!D2341)</f>
        <v/>
      </c>
      <c r="E2341" s="32" t="str">
        <f>IF(Table!E2341 = "","",Table!E2341)</f>
        <v/>
      </c>
      <c r="F2341" s="32" t="str">
        <f>IF(Table!F2341 = "","",Table!F2341)</f>
        <v/>
      </c>
      <c r="G2341" s="91"/>
      <c r="K2341" s="31" t="str">
        <f>IFERROR(VLOOKUP(A2341,Table!$I$4:$O$3000,1,TRUE),"")</f>
        <v/>
      </c>
      <c r="L2341" s="31" t="str">
        <f>IFERROR(INDEX(Table!I:O,MATCH(K2341,Table!I:I,0),2),"")</f>
        <v/>
      </c>
      <c r="M2341" s="31" t="str">
        <f>IFERROR(INDEX(Table!I:O,MATCH(K2341,Table!I:I,0),3),"")</f>
        <v/>
      </c>
      <c r="N2341" s="32" t="str">
        <f>IFERROR(INDEX(Table!I:O,MATCH(K2341,Table!I:I,0),4),"")</f>
        <v/>
      </c>
      <c r="O2341" s="32" t="str">
        <f>IFERROR(INDEX(Table!I:O,MATCH(K2341,Table!I:I,0),5),"")</f>
        <v/>
      </c>
      <c r="P2341" s="32" t="str">
        <f>IFERROR(INDEX(Table!I:O,MATCH(K2341,Table!I:I,0),6),"")</f>
        <v/>
      </c>
      <c r="Q2341" s="89" t="str">
        <f t="shared" si="106"/>
        <v/>
      </c>
      <c r="R2341" s="89" t="str">
        <f t="shared" si="107"/>
        <v/>
      </c>
      <c r="S2341" s="82"/>
      <c r="U2341" s="37"/>
    </row>
    <row r="2342" spans="1:21" x14ac:dyDescent="0.25">
      <c r="A2342" s="31" t="str">
        <f>IF(Table!A2342 = "","",Table!A2342)</f>
        <v/>
      </c>
      <c r="B2342" s="31" t="str">
        <f>IF(Table!B2342 = "","",Table!B2342)</f>
        <v/>
      </c>
      <c r="C2342" s="31" t="str">
        <f>IF(Table!C2342 = "","",Table!C2342)</f>
        <v/>
      </c>
      <c r="D2342" s="32" t="str">
        <f>IF(Table!D2342 = "","",Table!D2342)</f>
        <v/>
      </c>
      <c r="E2342" s="32" t="str">
        <f>IF(Table!E2342 = "","",Table!E2342)</f>
        <v/>
      </c>
      <c r="F2342" s="32" t="str">
        <f>IF(Table!F2342 = "","",Table!F2342)</f>
        <v/>
      </c>
      <c r="G2342" s="91"/>
      <c r="K2342" s="31" t="str">
        <f>IFERROR(VLOOKUP(A2342,Table!$I$4:$O$3000,1,TRUE),"")</f>
        <v/>
      </c>
      <c r="L2342" s="31" t="str">
        <f>IFERROR(INDEX(Table!I:O,MATCH(K2342,Table!I:I,0),2),"")</f>
        <v/>
      </c>
      <c r="M2342" s="31" t="str">
        <f>IFERROR(INDEX(Table!I:O,MATCH(K2342,Table!I:I,0),3),"")</f>
        <v/>
      </c>
      <c r="N2342" s="32" t="str">
        <f>IFERROR(INDEX(Table!I:O,MATCH(K2342,Table!I:I,0),4),"")</f>
        <v/>
      </c>
      <c r="O2342" s="32" t="str">
        <f>IFERROR(INDEX(Table!I:O,MATCH(K2342,Table!I:I,0),5),"")</f>
        <v/>
      </c>
      <c r="P2342" s="32" t="str">
        <f>IFERROR(INDEX(Table!I:O,MATCH(K2342,Table!I:I,0),6),"")</f>
        <v/>
      </c>
      <c r="Q2342" s="89" t="str">
        <f t="shared" si="106"/>
        <v/>
      </c>
      <c r="R2342" s="89" t="str">
        <f t="shared" si="107"/>
        <v/>
      </c>
      <c r="S2342" s="82"/>
      <c r="U2342" s="37"/>
    </row>
    <row r="2343" spans="1:21" x14ac:dyDescent="0.25">
      <c r="A2343" s="31" t="str">
        <f>IF(Table!A2343 = "","",Table!A2343)</f>
        <v/>
      </c>
      <c r="B2343" s="31" t="str">
        <f>IF(Table!B2343 = "","",Table!B2343)</f>
        <v/>
      </c>
      <c r="C2343" s="31" t="str">
        <f>IF(Table!C2343 = "","",Table!C2343)</f>
        <v/>
      </c>
      <c r="D2343" s="32" t="str">
        <f>IF(Table!D2343 = "","",Table!D2343)</f>
        <v/>
      </c>
      <c r="E2343" s="32" t="str">
        <f>IF(Table!E2343 = "","",Table!E2343)</f>
        <v/>
      </c>
      <c r="F2343" s="32" t="str">
        <f>IF(Table!F2343 = "","",Table!F2343)</f>
        <v/>
      </c>
      <c r="G2343" s="91"/>
      <c r="K2343" s="31" t="str">
        <f>IFERROR(VLOOKUP(A2343,Table!$I$4:$O$3000,1,TRUE),"")</f>
        <v/>
      </c>
      <c r="L2343" s="31" t="str">
        <f>IFERROR(INDEX(Table!I:O,MATCH(K2343,Table!I:I,0),2),"")</f>
        <v/>
      </c>
      <c r="M2343" s="31" t="str">
        <f>IFERROR(INDEX(Table!I:O,MATCH(K2343,Table!I:I,0),3),"")</f>
        <v/>
      </c>
      <c r="N2343" s="32" t="str">
        <f>IFERROR(INDEX(Table!I:O,MATCH(K2343,Table!I:I,0),4),"")</f>
        <v/>
      </c>
      <c r="O2343" s="32" t="str">
        <f>IFERROR(INDEX(Table!I:O,MATCH(K2343,Table!I:I,0),5),"")</f>
        <v/>
      </c>
      <c r="P2343" s="32" t="str">
        <f>IFERROR(INDEX(Table!I:O,MATCH(K2343,Table!I:I,0),6),"")</f>
        <v/>
      </c>
      <c r="Q2343" s="89" t="str">
        <f t="shared" si="106"/>
        <v/>
      </c>
      <c r="R2343" s="89" t="str">
        <f t="shared" si="107"/>
        <v/>
      </c>
      <c r="S2343" s="82"/>
      <c r="U2343" s="37"/>
    </row>
    <row r="2344" spans="1:21" x14ac:dyDescent="0.25">
      <c r="A2344" s="31" t="str">
        <f>IF(Table!A2344 = "","",Table!A2344)</f>
        <v/>
      </c>
      <c r="B2344" s="31" t="str">
        <f>IF(Table!B2344 = "","",Table!B2344)</f>
        <v/>
      </c>
      <c r="C2344" s="31" t="str">
        <f>IF(Table!C2344 = "","",Table!C2344)</f>
        <v/>
      </c>
      <c r="D2344" s="32" t="str">
        <f>IF(Table!D2344 = "","",Table!D2344)</f>
        <v/>
      </c>
      <c r="E2344" s="32" t="str">
        <f>IF(Table!E2344 = "","",Table!E2344)</f>
        <v/>
      </c>
      <c r="F2344" s="32" t="str">
        <f>IF(Table!F2344 = "","",Table!F2344)</f>
        <v/>
      </c>
      <c r="G2344" s="91"/>
      <c r="K2344" s="31" t="str">
        <f>IFERROR(VLOOKUP(A2344,Table!$I$4:$O$3000,1,TRUE),"")</f>
        <v/>
      </c>
      <c r="L2344" s="31" t="str">
        <f>IFERROR(INDEX(Table!I:O,MATCH(K2344,Table!I:I,0),2),"")</f>
        <v/>
      </c>
      <c r="M2344" s="31" t="str">
        <f>IFERROR(INDEX(Table!I:O,MATCH(K2344,Table!I:I,0),3),"")</f>
        <v/>
      </c>
      <c r="N2344" s="32" t="str">
        <f>IFERROR(INDEX(Table!I:O,MATCH(K2344,Table!I:I,0),4),"")</f>
        <v/>
      </c>
      <c r="O2344" s="32" t="str">
        <f>IFERROR(INDEX(Table!I:O,MATCH(K2344,Table!I:I,0),5),"")</f>
        <v/>
      </c>
      <c r="P2344" s="32" t="str">
        <f>IFERROR(INDEX(Table!I:O,MATCH(K2344,Table!I:I,0),6),"")</f>
        <v/>
      </c>
      <c r="Q2344" s="89" t="str">
        <f t="shared" si="106"/>
        <v/>
      </c>
      <c r="R2344" s="89" t="str">
        <f t="shared" si="107"/>
        <v/>
      </c>
      <c r="S2344" s="82"/>
      <c r="U2344" s="37"/>
    </row>
    <row r="2345" spans="1:21" x14ac:dyDescent="0.25">
      <c r="A2345" s="31" t="str">
        <f>IF(Table!A2345 = "","",Table!A2345)</f>
        <v/>
      </c>
      <c r="B2345" s="31" t="str">
        <f>IF(Table!B2345 = "","",Table!B2345)</f>
        <v/>
      </c>
      <c r="C2345" s="31" t="str">
        <f>IF(Table!C2345 = "","",Table!C2345)</f>
        <v/>
      </c>
      <c r="D2345" s="32" t="str">
        <f>IF(Table!D2345 = "","",Table!D2345)</f>
        <v/>
      </c>
      <c r="E2345" s="32" t="str">
        <f>IF(Table!E2345 = "","",Table!E2345)</f>
        <v/>
      </c>
      <c r="F2345" s="32" t="str">
        <f>IF(Table!F2345 = "","",Table!F2345)</f>
        <v/>
      </c>
      <c r="G2345" s="91"/>
      <c r="K2345" s="31" t="str">
        <f>IFERROR(VLOOKUP(A2345,Table!$I$4:$O$3000,1,TRUE),"")</f>
        <v/>
      </c>
      <c r="L2345" s="31" t="str">
        <f>IFERROR(INDEX(Table!I:O,MATCH(K2345,Table!I:I,0),2),"")</f>
        <v/>
      </c>
      <c r="M2345" s="31" t="str">
        <f>IFERROR(INDEX(Table!I:O,MATCH(K2345,Table!I:I,0),3),"")</f>
        <v/>
      </c>
      <c r="N2345" s="32" t="str">
        <f>IFERROR(INDEX(Table!I:O,MATCH(K2345,Table!I:I,0),4),"")</f>
        <v/>
      </c>
      <c r="O2345" s="32" t="str">
        <f>IFERROR(INDEX(Table!I:O,MATCH(K2345,Table!I:I,0),5),"")</f>
        <v/>
      </c>
      <c r="P2345" s="32" t="str">
        <f>IFERROR(INDEX(Table!I:O,MATCH(K2345,Table!I:I,0),6),"")</f>
        <v/>
      </c>
      <c r="Q2345" s="89" t="str">
        <f t="shared" si="106"/>
        <v/>
      </c>
      <c r="R2345" s="89" t="str">
        <f t="shared" si="107"/>
        <v/>
      </c>
      <c r="S2345" s="82"/>
      <c r="U2345" s="37"/>
    </row>
    <row r="2346" spans="1:21" x14ac:dyDescent="0.25">
      <c r="A2346" s="31" t="str">
        <f>IF(Table!A2346 = "","",Table!A2346)</f>
        <v/>
      </c>
      <c r="B2346" s="31" t="str">
        <f>IF(Table!B2346 = "","",Table!B2346)</f>
        <v/>
      </c>
      <c r="C2346" s="31" t="str">
        <f>IF(Table!C2346 = "","",Table!C2346)</f>
        <v/>
      </c>
      <c r="D2346" s="32" t="str">
        <f>IF(Table!D2346 = "","",Table!D2346)</f>
        <v/>
      </c>
      <c r="E2346" s="32" t="str">
        <f>IF(Table!E2346 = "","",Table!E2346)</f>
        <v/>
      </c>
      <c r="F2346" s="32" t="str">
        <f>IF(Table!F2346 = "","",Table!F2346)</f>
        <v/>
      </c>
      <c r="G2346" s="91"/>
      <c r="K2346" s="31" t="str">
        <f>IFERROR(VLOOKUP(A2346,Table!$I$4:$O$3000,1,TRUE),"")</f>
        <v/>
      </c>
      <c r="L2346" s="31" t="str">
        <f>IFERROR(INDEX(Table!I:O,MATCH(K2346,Table!I:I,0),2),"")</f>
        <v/>
      </c>
      <c r="M2346" s="31" t="str">
        <f>IFERROR(INDEX(Table!I:O,MATCH(K2346,Table!I:I,0),3),"")</f>
        <v/>
      </c>
      <c r="N2346" s="32" t="str">
        <f>IFERROR(INDEX(Table!I:O,MATCH(K2346,Table!I:I,0),4),"")</f>
        <v/>
      </c>
      <c r="O2346" s="32" t="str">
        <f>IFERROR(INDEX(Table!I:O,MATCH(K2346,Table!I:I,0),5),"")</f>
        <v/>
      </c>
      <c r="P2346" s="32" t="str">
        <f>IFERROR(INDEX(Table!I:O,MATCH(K2346,Table!I:I,0),6),"")</f>
        <v/>
      </c>
      <c r="Q2346" s="89" t="str">
        <f t="shared" si="106"/>
        <v/>
      </c>
      <c r="R2346" s="89" t="str">
        <f t="shared" si="107"/>
        <v/>
      </c>
      <c r="S2346" s="82"/>
      <c r="U2346" s="37"/>
    </row>
    <row r="2347" spans="1:21" x14ac:dyDescent="0.25">
      <c r="A2347" s="31" t="str">
        <f>IF(Table!A2347 = "","",Table!A2347)</f>
        <v/>
      </c>
      <c r="B2347" s="31" t="str">
        <f>IF(Table!B2347 = "","",Table!B2347)</f>
        <v/>
      </c>
      <c r="C2347" s="31" t="str">
        <f>IF(Table!C2347 = "","",Table!C2347)</f>
        <v/>
      </c>
      <c r="D2347" s="32" t="str">
        <f>IF(Table!D2347 = "","",Table!D2347)</f>
        <v/>
      </c>
      <c r="E2347" s="32" t="str">
        <f>IF(Table!E2347 = "","",Table!E2347)</f>
        <v/>
      </c>
      <c r="F2347" s="32" t="str">
        <f>IF(Table!F2347 = "","",Table!F2347)</f>
        <v/>
      </c>
      <c r="G2347" s="91"/>
      <c r="K2347" s="31" t="str">
        <f>IFERROR(VLOOKUP(A2347,Table!$I$4:$O$3000,1,TRUE),"")</f>
        <v/>
      </c>
      <c r="L2347" s="31" t="str">
        <f>IFERROR(INDEX(Table!I:O,MATCH(K2347,Table!I:I,0),2),"")</f>
        <v/>
      </c>
      <c r="M2347" s="31" t="str">
        <f>IFERROR(INDEX(Table!I:O,MATCH(K2347,Table!I:I,0),3),"")</f>
        <v/>
      </c>
      <c r="N2347" s="32" t="str">
        <f>IFERROR(INDEX(Table!I:O,MATCH(K2347,Table!I:I,0),4),"")</f>
        <v/>
      </c>
      <c r="O2347" s="32" t="str">
        <f>IFERROR(INDEX(Table!I:O,MATCH(K2347,Table!I:I,0),5),"")</f>
        <v/>
      </c>
      <c r="P2347" s="32" t="str">
        <f>IFERROR(INDEX(Table!I:O,MATCH(K2347,Table!I:I,0),6),"")</f>
        <v/>
      </c>
      <c r="Q2347" s="89" t="str">
        <f t="shared" si="106"/>
        <v/>
      </c>
      <c r="R2347" s="89" t="str">
        <f t="shared" si="107"/>
        <v/>
      </c>
      <c r="S2347" s="82"/>
      <c r="U2347" s="37"/>
    </row>
    <row r="2348" spans="1:21" x14ac:dyDescent="0.25">
      <c r="A2348" s="31" t="str">
        <f>IF(Table!A2348 = "","",Table!A2348)</f>
        <v/>
      </c>
      <c r="B2348" s="31" t="str">
        <f>IF(Table!B2348 = "","",Table!B2348)</f>
        <v/>
      </c>
      <c r="C2348" s="31" t="str">
        <f>IF(Table!C2348 = "","",Table!C2348)</f>
        <v/>
      </c>
      <c r="D2348" s="32" t="str">
        <f>IF(Table!D2348 = "","",Table!D2348)</f>
        <v/>
      </c>
      <c r="E2348" s="32" t="str">
        <f>IF(Table!E2348 = "","",Table!E2348)</f>
        <v/>
      </c>
      <c r="F2348" s="32" t="str">
        <f>IF(Table!F2348 = "","",Table!F2348)</f>
        <v/>
      </c>
      <c r="G2348" s="91"/>
      <c r="K2348" s="31" t="str">
        <f>IFERROR(VLOOKUP(A2348,Table!$I$4:$O$3000,1,TRUE),"")</f>
        <v/>
      </c>
      <c r="L2348" s="31" t="str">
        <f>IFERROR(INDEX(Table!I:O,MATCH(K2348,Table!I:I,0),2),"")</f>
        <v/>
      </c>
      <c r="M2348" s="31" t="str">
        <f>IFERROR(INDEX(Table!I:O,MATCH(K2348,Table!I:I,0),3),"")</f>
        <v/>
      </c>
      <c r="N2348" s="32" t="str">
        <f>IFERROR(INDEX(Table!I:O,MATCH(K2348,Table!I:I,0),4),"")</f>
        <v/>
      </c>
      <c r="O2348" s="32" t="str">
        <f>IFERROR(INDEX(Table!I:O,MATCH(K2348,Table!I:I,0),5),"")</f>
        <v/>
      </c>
      <c r="P2348" s="32" t="str">
        <f>IFERROR(INDEX(Table!I:O,MATCH(K2348,Table!I:I,0),6),"")</f>
        <v/>
      </c>
      <c r="Q2348" s="89" t="str">
        <f t="shared" si="106"/>
        <v/>
      </c>
      <c r="R2348" s="89" t="str">
        <f t="shared" si="107"/>
        <v/>
      </c>
      <c r="S2348" s="82"/>
      <c r="U2348" s="37"/>
    </row>
    <row r="2349" spans="1:21" x14ac:dyDescent="0.25">
      <c r="A2349" s="31" t="str">
        <f>IF(Table!A2349 = "","",Table!A2349)</f>
        <v/>
      </c>
      <c r="B2349" s="31" t="str">
        <f>IF(Table!B2349 = "","",Table!B2349)</f>
        <v/>
      </c>
      <c r="C2349" s="31" t="str">
        <f>IF(Table!C2349 = "","",Table!C2349)</f>
        <v/>
      </c>
      <c r="D2349" s="32" t="str">
        <f>IF(Table!D2349 = "","",Table!D2349)</f>
        <v/>
      </c>
      <c r="E2349" s="32" t="str">
        <f>IF(Table!E2349 = "","",Table!E2349)</f>
        <v/>
      </c>
      <c r="F2349" s="32" t="str">
        <f>IF(Table!F2349 = "","",Table!F2349)</f>
        <v/>
      </c>
      <c r="G2349" s="91"/>
      <c r="K2349" s="31" t="str">
        <f>IFERROR(VLOOKUP(A2349,Table!$I$4:$O$3000,1,TRUE),"")</f>
        <v/>
      </c>
      <c r="L2349" s="31" t="str">
        <f>IFERROR(INDEX(Table!I:O,MATCH(K2349,Table!I:I,0),2),"")</f>
        <v/>
      </c>
      <c r="M2349" s="31" t="str">
        <f>IFERROR(INDEX(Table!I:O,MATCH(K2349,Table!I:I,0),3),"")</f>
        <v/>
      </c>
      <c r="N2349" s="32" t="str">
        <f>IFERROR(INDEX(Table!I:O,MATCH(K2349,Table!I:I,0),4),"")</f>
        <v/>
      </c>
      <c r="O2349" s="32" t="str">
        <f>IFERROR(INDEX(Table!I:O,MATCH(K2349,Table!I:I,0),5),"")</f>
        <v/>
      </c>
      <c r="P2349" s="32" t="str">
        <f>IFERROR(INDEX(Table!I:O,MATCH(K2349,Table!I:I,0),6),"")</f>
        <v/>
      </c>
      <c r="Q2349" s="89" t="str">
        <f t="shared" si="106"/>
        <v/>
      </c>
      <c r="R2349" s="89" t="str">
        <f t="shared" si="107"/>
        <v/>
      </c>
      <c r="S2349" s="82"/>
      <c r="U2349" s="37"/>
    </row>
    <row r="2350" spans="1:21" x14ac:dyDescent="0.25">
      <c r="A2350" s="31" t="str">
        <f>IF(Table!A2350 = "","",Table!A2350)</f>
        <v/>
      </c>
      <c r="B2350" s="31" t="str">
        <f>IF(Table!B2350 = "","",Table!B2350)</f>
        <v/>
      </c>
      <c r="C2350" s="31" t="str">
        <f>IF(Table!C2350 = "","",Table!C2350)</f>
        <v/>
      </c>
      <c r="D2350" s="32" t="str">
        <f>IF(Table!D2350 = "","",Table!D2350)</f>
        <v/>
      </c>
      <c r="E2350" s="32" t="str">
        <f>IF(Table!E2350 = "","",Table!E2350)</f>
        <v/>
      </c>
      <c r="F2350" s="32" t="str">
        <f>IF(Table!F2350 = "","",Table!F2350)</f>
        <v/>
      </c>
      <c r="G2350" s="91"/>
      <c r="K2350" s="31" t="str">
        <f>IFERROR(VLOOKUP(A2350,Table!$I$4:$O$3000,1,TRUE),"")</f>
        <v/>
      </c>
      <c r="L2350" s="31" t="str">
        <f>IFERROR(INDEX(Table!I:O,MATCH(K2350,Table!I:I,0),2),"")</f>
        <v/>
      </c>
      <c r="M2350" s="31" t="str">
        <f>IFERROR(INDEX(Table!I:O,MATCH(K2350,Table!I:I,0),3),"")</f>
        <v/>
      </c>
      <c r="N2350" s="32" t="str">
        <f>IFERROR(INDEX(Table!I:O,MATCH(K2350,Table!I:I,0),4),"")</f>
        <v/>
      </c>
      <c r="O2350" s="32" t="str">
        <f>IFERROR(INDEX(Table!I:O,MATCH(K2350,Table!I:I,0),5),"")</f>
        <v/>
      </c>
      <c r="P2350" s="32" t="str">
        <f>IFERROR(INDEX(Table!I:O,MATCH(K2350,Table!I:I,0),6),"")</f>
        <v/>
      </c>
      <c r="Q2350" s="89" t="str">
        <f t="shared" si="106"/>
        <v/>
      </c>
      <c r="R2350" s="89" t="str">
        <f t="shared" si="107"/>
        <v/>
      </c>
      <c r="S2350" s="82"/>
      <c r="U2350" s="37"/>
    </row>
    <row r="2351" spans="1:21" x14ac:dyDescent="0.25">
      <c r="A2351" s="31" t="str">
        <f>IF(Table!A2351 = "","",Table!A2351)</f>
        <v/>
      </c>
      <c r="B2351" s="31" t="str">
        <f>IF(Table!B2351 = "","",Table!B2351)</f>
        <v/>
      </c>
      <c r="C2351" s="31" t="str">
        <f>IF(Table!C2351 = "","",Table!C2351)</f>
        <v/>
      </c>
      <c r="D2351" s="32" t="str">
        <f>IF(Table!D2351 = "","",Table!D2351)</f>
        <v/>
      </c>
      <c r="E2351" s="32" t="str">
        <f>IF(Table!E2351 = "","",Table!E2351)</f>
        <v/>
      </c>
      <c r="F2351" s="32" t="str">
        <f>IF(Table!F2351 = "","",Table!F2351)</f>
        <v/>
      </c>
      <c r="G2351" s="91"/>
      <c r="K2351" s="31" t="str">
        <f>IFERROR(VLOOKUP(A2351,Table!$I$4:$O$3000,1,TRUE),"")</f>
        <v/>
      </c>
      <c r="L2351" s="31" t="str">
        <f>IFERROR(INDEX(Table!I:O,MATCH(K2351,Table!I:I,0),2),"")</f>
        <v/>
      </c>
      <c r="M2351" s="31" t="str">
        <f>IFERROR(INDEX(Table!I:O,MATCH(K2351,Table!I:I,0),3),"")</f>
        <v/>
      </c>
      <c r="N2351" s="32" t="str">
        <f>IFERROR(INDEX(Table!I:O,MATCH(K2351,Table!I:I,0),4),"")</f>
        <v/>
      </c>
      <c r="O2351" s="32" t="str">
        <f>IFERROR(INDEX(Table!I:O,MATCH(K2351,Table!I:I,0),5),"")</f>
        <v/>
      </c>
      <c r="P2351" s="32" t="str">
        <f>IFERROR(INDEX(Table!I:O,MATCH(K2351,Table!I:I,0),6),"")</f>
        <v/>
      </c>
      <c r="Q2351" s="89" t="str">
        <f t="shared" si="106"/>
        <v/>
      </c>
      <c r="R2351" s="89" t="str">
        <f t="shared" si="107"/>
        <v/>
      </c>
      <c r="S2351" s="82"/>
      <c r="U2351" s="37"/>
    </row>
    <row r="2352" spans="1:21" x14ac:dyDescent="0.25">
      <c r="A2352" s="31" t="str">
        <f>IF(Table!A2352 = "","",Table!A2352)</f>
        <v/>
      </c>
      <c r="B2352" s="31" t="str">
        <f>IF(Table!B2352 = "","",Table!B2352)</f>
        <v/>
      </c>
      <c r="C2352" s="31" t="str">
        <f>IF(Table!C2352 = "","",Table!C2352)</f>
        <v/>
      </c>
      <c r="D2352" s="32" t="str">
        <f>IF(Table!D2352 = "","",Table!D2352)</f>
        <v/>
      </c>
      <c r="E2352" s="32" t="str">
        <f>IF(Table!E2352 = "","",Table!E2352)</f>
        <v/>
      </c>
      <c r="F2352" s="32" t="str">
        <f>IF(Table!F2352 = "","",Table!F2352)</f>
        <v/>
      </c>
      <c r="G2352" s="91"/>
      <c r="K2352" s="31" t="str">
        <f>IFERROR(VLOOKUP(A2352,Table!$I$4:$O$3000,1,TRUE),"")</f>
        <v/>
      </c>
      <c r="L2352" s="31" t="str">
        <f>IFERROR(INDEX(Table!I:O,MATCH(K2352,Table!I:I,0),2),"")</f>
        <v/>
      </c>
      <c r="M2352" s="31" t="str">
        <f>IFERROR(INDEX(Table!I:O,MATCH(K2352,Table!I:I,0),3),"")</f>
        <v/>
      </c>
      <c r="N2352" s="32" t="str">
        <f>IFERROR(INDEX(Table!I:O,MATCH(K2352,Table!I:I,0),4),"")</f>
        <v/>
      </c>
      <c r="O2352" s="32" t="str">
        <f>IFERROR(INDEX(Table!I:O,MATCH(K2352,Table!I:I,0),5),"")</f>
        <v/>
      </c>
      <c r="P2352" s="32" t="str">
        <f>IFERROR(INDEX(Table!I:O,MATCH(K2352,Table!I:I,0),6),"")</f>
        <v/>
      </c>
      <c r="Q2352" s="89" t="str">
        <f t="shared" si="106"/>
        <v/>
      </c>
      <c r="R2352" s="89" t="str">
        <f t="shared" si="107"/>
        <v/>
      </c>
      <c r="S2352" s="82"/>
      <c r="U2352" s="37"/>
    </row>
    <row r="2353" spans="1:21" x14ac:dyDescent="0.25">
      <c r="A2353" s="31" t="str">
        <f>IF(Table!A2353 = "","",Table!A2353)</f>
        <v/>
      </c>
      <c r="B2353" s="31" t="str">
        <f>IF(Table!B2353 = "","",Table!B2353)</f>
        <v/>
      </c>
      <c r="C2353" s="31" t="str">
        <f>IF(Table!C2353 = "","",Table!C2353)</f>
        <v/>
      </c>
      <c r="D2353" s="32" t="str">
        <f>IF(Table!D2353 = "","",Table!D2353)</f>
        <v/>
      </c>
      <c r="E2353" s="32" t="str">
        <f>IF(Table!E2353 = "","",Table!E2353)</f>
        <v/>
      </c>
      <c r="F2353" s="32" t="str">
        <f>IF(Table!F2353 = "","",Table!F2353)</f>
        <v/>
      </c>
      <c r="G2353" s="91"/>
      <c r="K2353" s="31" t="str">
        <f>IFERROR(VLOOKUP(A2353,Table!$I$4:$O$3000,1,TRUE),"")</f>
        <v/>
      </c>
      <c r="L2353" s="31" t="str">
        <f>IFERROR(INDEX(Table!I:O,MATCH(K2353,Table!I:I,0),2),"")</f>
        <v/>
      </c>
      <c r="M2353" s="31" t="str">
        <f>IFERROR(INDEX(Table!I:O,MATCH(K2353,Table!I:I,0),3),"")</f>
        <v/>
      </c>
      <c r="N2353" s="32" t="str">
        <f>IFERROR(INDEX(Table!I:O,MATCH(K2353,Table!I:I,0),4),"")</f>
        <v/>
      </c>
      <c r="O2353" s="32" t="str">
        <f>IFERROR(INDEX(Table!I:O,MATCH(K2353,Table!I:I,0),5),"")</f>
        <v/>
      </c>
      <c r="P2353" s="32" t="str">
        <f>IFERROR(INDEX(Table!I:O,MATCH(K2353,Table!I:I,0),6),"")</f>
        <v/>
      </c>
      <c r="Q2353" s="89" t="str">
        <f t="shared" si="106"/>
        <v/>
      </c>
      <c r="R2353" s="89" t="str">
        <f t="shared" si="107"/>
        <v/>
      </c>
      <c r="S2353" s="82"/>
      <c r="U2353" s="37"/>
    </row>
    <row r="2354" spans="1:21" x14ac:dyDescent="0.25">
      <c r="A2354" s="31" t="str">
        <f>IF(Table!A2354 = "","",Table!A2354)</f>
        <v/>
      </c>
      <c r="B2354" s="31" t="str">
        <f>IF(Table!B2354 = "","",Table!B2354)</f>
        <v/>
      </c>
      <c r="C2354" s="31" t="str">
        <f>IF(Table!C2354 = "","",Table!C2354)</f>
        <v/>
      </c>
      <c r="D2354" s="32" t="str">
        <f>IF(Table!D2354 = "","",Table!D2354)</f>
        <v/>
      </c>
      <c r="E2354" s="32" t="str">
        <f>IF(Table!E2354 = "","",Table!E2354)</f>
        <v/>
      </c>
      <c r="F2354" s="32" t="str">
        <f>IF(Table!F2354 = "","",Table!F2354)</f>
        <v/>
      </c>
      <c r="G2354" s="91"/>
      <c r="K2354" s="31" t="str">
        <f>IFERROR(VLOOKUP(A2354,Table!$I$4:$O$3000,1,TRUE),"")</f>
        <v/>
      </c>
      <c r="L2354" s="31" t="str">
        <f>IFERROR(INDEX(Table!I:O,MATCH(K2354,Table!I:I,0),2),"")</f>
        <v/>
      </c>
      <c r="M2354" s="31" t="str">
        <f>IFERROR(INDEX(Table!I:O,MATCH(K2354,Table!I:I,0),3),"")</f>
        <v/>
      </c>
      <c r="N2354" s="32" t="str">
        <f>IFERROR(INDEX(Table!I:O,MATCH(K2354,Table!I:I,0),4),"")</f>
        <v/>
      </c>
      <c r="O2354" s="32" t="str">
        <f>IFERROR(INDEX(Table!I:O,MATCH(K2354,Table!I:I,0),5),"")</f>
        <v/>
      </c>
      <c r="P2354" s="32" t="str">
        <f>IFERROR(INDEX(Table!I:O,MATCH(K2354,Table!I:I,0),6),"")</f>
        <v/>
      </c>
      <c r="Q2354" s="89" t="str">
        <f t="shared" si="106"/>
        <v/>
      </c>
      <c r="R2354" s="89" t="str">
        <f t="shared" si="107"/>
        <v/>
      </c>
      <c r="S2354" s="82"/>
      <c r="U2354" s="37"/>
    </row>
    <row r="2355" spans="1:21" x14ac:dyDescent="0.25">
      <c r="A2355" s="31" t="str">
        <f>IF(Table!A2355 = "","",Table!A2355)</f>
        <v/>
      </c>
      <c r="B2355" s="31" t="str">
        <f>IF(Table!B2355 = "","",Table!B2355)</f>
        <v/>
      </c>
      <c r="C2355" s="31" t="str">
        <f>IF(Table!C2355 = "","",Table!C2355)</f>
        <v/>
      </c>
      <c r="D2355" s="32" t="str">
        <f>IF(Table!D2355 = "","",Table!D2355)</f>
        <v/>
      </c>
      <c r="E2355" s="32" t="str">
        <f>IF(Table!E2355 = "","",Table!E2355)</f>
        <v/>
      </c>
      <c r="F2355" s="32" t="str">
        <f>IF(Table!F2355 = "","",Table!F2355)</f>
        <v/>
      </c>
      <c r="G2355" s="91"/>
      <c r="K2355" s="31" t="str">
        <f>IFERROR(VLOOKUP(A2355,Table!$I$4:$O$3000,1,TRUE),"")</f>
        <v/>
      </c>
      <c r="L2355" s="31" t="str">
        <f>IFERROR(INDEX(Table!I:O,MATCH(K2355,Table!I:I,0),2),"")</f>
        <v/>
      </c>
      <c r="M2355" s="31" t="str">
        <f>IFERROR(INDEX(Table!I:O,MATCH(K2355,Table!I:I,0),3),"")</f>
        <v/>
      </c>
      <c r="N2355" s="32" t="str">
        <f>IFERROR(INDEX(Table!I:O,MATCH(K2355,Table!I:I,0),4),"")</f>
        <v/>
      </c>
      <c r="O2355" s="32" t="str">
        <f>IFERROR(INDEX(Table!I:O,MATCH(K2355,Table!I:I,0),5),"")</f>
        <v/>
      </c>
      <c r="P2355" s="32" t="str">
        <f>IFERROR(INDEX(Table!I:O,MATCH(K2355,Table!I:I,0),6),"")</f>
        <v/>
      </c>
      <c r="Q2355" s="89" t="str">
        <f t="shared" si="106"/>
        <v/>
      </c>
      <c r="R2355" s="89" t="str">
        <f t="shared" si="107"/>
        <v/>
      </c>
      <c r="S2355" s="82"/>
      <c r="U2355" s="37"/>
    </row>
    <row r="2356" spans="1:21" x14ac:dyDescent="0.25">
      <c r="A2356" s="31" t="str">
        <f>IF(Table!A2356 = "","",Table!A2356)</f>
        <v/>
      </c>
      <c r="B2356" s="31" t="str">
        <f>IF(Table!B2356 = "","",Table!B2356)</f>
        <v/>
      </c>
      <c r="C2356" s="31" t="str">
        <f>IF(Table!C2356 = "","",Table!C2356)</f>
        <v/>
      </c>
      <c r="D2356" s="32" t="str">
        <f>IF(Table!D2356 = "","",Table!D2356)</f>
        <v/>
      </c>
      <c r="E2356" s="32" t="str">
        <f>IF(Table!E2356 = "","",Table!E2356)</f>
        <v/>
      </c>
      <c r="F2356" s="32" t="str">
        <f>IF(Table!F2356 = "","",Table!F2356)</f>
        <v/>
      </c>
      <c r="G2356" s="91"/>
      <c r="K2356" s="31" t="str">
        <f>IFERROR(VLOOKUP(A2356,Table!$I$4:$O$3000,1,TRUE),"")</f>
        <v/>
      </c>
      <c r="L2356" s="31" t="str">
        <f>IFERROR(INDEX(Table!I:O,MATCH(K2356,Table!I:I,0),2),"")</f>
        <v/>
      </c>
      <c r="M2356" s="31" t="str">
        <f>IFERROR(INDEX(Table!I:O,MATCH(K2356,Table!I:I,0),3),"")</f>
        <v/>
      </c>
      <c r="N2356" s="32" t="str">
        <f>IFERROR(INDEX(Table!I:O,MATCH(K2356,Table!I:I,0),4),"")</f>
        <v/>
      </c>
      <c r="O2356" s="32" t="str">
        <f>IFERROR(INDEX(Table!I:O,MATCH(K2356,Table!I:I,0),5),"")</f>
        <v/>
      </c>
      <c r="P2356" s="32" t="str">
        <f>IFERROR(INDEX(Table!I:O,MATCH(K2356,Table!I:I,0),6),"")</f>
        <v/>
      </c>
      <c r="Q2356" s="89" t="str">
        <f t="shared" si="106"/>
        <v/>
      </c>
      <c r="R2356" s="89" t="str">
        <f t="shared" si="107"/>
        <v/>
      </c>
      <c r="S2356" s="82"/>
      <c r="U2356" s="37"/>
    </row>
    <row r="2357" spans="1:21" x14ac:dyDescent="0.25">
      <c r="A2357" s="31" t="str">
        <f>IF(Table!A2357 = "","",Table!A2357)</f>
        <v/>
      </c>
      <c r="B2357" s="31" t="str">
        <f>IF(Table!B2357 = "","",Table!B2357)</f>
        <v/>
      </c>
      <c r="C2357" s="31" t="str">
        <f>IF(Table!C2357 = "","",Table!C2357)</f>
        <v/>
      </c>
      <c r="D2357" s="32" t="str">
        <f>IF(Table!D2357 = "","",Table!D2357)</f>
        <v/>
      </c>
      <c r="E2357" s="32" t="str">
        <f>IF(Table!E2357 = "","",Table!E2357)</f>
        <v/>
      </c>
      <c r="F2357" s="32" t="str">
        <f>IF(Table!F2357 = "","",Table!F2357)</f>
        <v/>
      </c>
      <c r="G2357" s="91"/>
      <c r="K2357" s="31" t="str">
        <f>IFERROR(VLOOKUP(A2357,Table!$I$4:$O$3000,1,TRUE),"")</f>
        <v/>
      </c>
      <c r="L2357" s="31" t="str">
        <f>IFERROR(INDEX(Table!I:O,MATCH(K2357,Table!I:I,0),2),"")</f>
        <v/>
      </c>
      <c r="M2357" s="31" t="str">
        <f>IFERROR(INDEX(Table!I:O,MATCH(K2357,Table!I:I,0),3),"")</f>
        <v/>
      </c>
      <c r="N2357" s="32" t="str">
        <f>IFERROR(INDEX(Table!I:O,MATCH(K2357,Table!I:I,0),4),"")</f>
        <v/>
      </c>
      <c r="O2357" s="32" t="str">
        <f>IFERROR(INDEX(Table!I:O,MATCH(K2357,Table!I:I,0),5),"")</f>
        <v/>
      </c>
      <c r="P2357" s="32" t="str">
        <f>IFERROR(INDEX(Table!I:O,MATCH(K2357,Table!I:I,0),6),"")</f>
        <v/>
      </c>
      <c r="Q2357" s="89" t="str">
        <f t="shared" si="106"/>
        <v/>
      </c>
      <c r="R2357" s="89" t="str">
        <f t="shared" si="107"/>
        <v/>
      </c>
      <c r="S2357" s="82"/>
      <c r="U2357" s="37"/>
    </row>
    <row r="2358" spans="1:21" x14ac:dyDescent="0.25">
      <c r="A2358" s="31" t="str">
        <f>IF(Table!A2358 = "","",Table!A2358)</f>
        <v/>
      </c>
      <c r="B2358" s="31" t="str">
        <f>IF(Table!B2358 = "","",Table!B2358)</f>
        <v/>
      </c>
      <c r="C2358" s="31" t="str">
        <f>IF(Table!C2358 = "","",Table!C2358)</f>
        <v/>
      </c>
      <c r="D2358" s="32" t="str">
        <f>IF(Table!D2358 = "","",Table!D2358)</f>
        <v/>
      </c>
      <c r="E2358" s="32" t="str">
        <f>IF(Table!E2358 = "","",Table!E2358)</f>
        <v/>
      </c>
      <c r="F2358" s="32" t="str">
        <f>IF(Table!F2358 = "","",Table!F2358)</f>
        <v/>
      </c>
      <c r="G2358" s="91"/>
      <c r="K2358" s="31" t="str">
        <f>IFERROR(VLOOKUP(A2358,Table!$I$4:$O$3000,1,TRUE),"")</f>
        <v/>
      </c>
      <c r="L2358" s="31" t="str">
        <f>IFERROR(INDEX(Table!I:O,MATCH(K2358,Table!I:I,0),2),"")</f>
        <v/>
      </c>
      <c r="M2358" s="31" t="str">
        <f>IFERROR(INDEX(Table!I:O,MATCH(K2358,Table!I:I,0),3),"")</f>
        <v/>
      </c>
      <c r="N2358" s="32" t="str">
        <f>IFERROR(INDEX(Table!I:O,MATCH(K2358,Table!I:I,0),4),"")</f>
        <v/>
      </c>
      <c r="O2358" s="32" t="str">
        <f>IFERROR(INDEX(Table!I:O,MATCH(K2358,Table!I:I,0),5),"")</f>
        <v/>
      </c>
      <c r="P2358" s="32" t="str">
        <f>IFERROR(INDEX(Table!I:O,MATCH(K2358,Table!I:I,0),6),"")</f>
        <v/>
      </c>
      <c r="Q2358" s="89" t="str">
        <f t="shared" si="106"/>
        <v/>
      </c>
      <c r="R2358" s="89" t="str">
        <f t="shared" si="107"/>
        <v/>
      </c>
      <c r="S2358" s="82"/>
      <c r="U2358" s="37"/>
    </row>
    <row r="2359" spans="1:21" x14ac:dyDescent="0.25">
      <c r="A2359" s="31" t="str">
        <f>IF(Table!A2359 = "","",Table!A2359)</f>
        <v/>
      </c>
      <c r="B2359" s="31" t="str">
        <f>IF(Table!B2359 = "","",Table!B2359)</f>
        <v/>
      </c>
      <c r="C2359" s="31" t="str">
        <f>IF(Table!C2359 = "","",Table!C2359)</f>
        <v/>
      </c>
      <c r="D2359" s="32" t="str">
        <f>IF(Table!D2359 = "","",Table!D2359)</f>
        <v/>
      </c>
      <c r="E2359" s="32" t="str">
        <f>IF(Table!E2359 = "","",Table!E2359)</f>
        <v/>
      </c>
      <c r="F2359" s="32" t="str">
        <f>IF(Table!F2359 = "","",Table!F2359)</f>
        <v/>
      </c>
      <c r="G2359" s="91"/>
      <c r="K2359" s="31" t="str">
        <f>IFERROR(VLOOKUP(A2359,Table!$I$4:$O$3000,1,TRUE),"")</f>
        <v/>
      </c>
      <c r="L2359" s="31" t="str">
        <f>IFERROR(INDEX(Table!I:O,MATCH(K2359,Table!I:I,0),2),"")</f>
        <v/>
      </c>
      <c r="M2359" s="31" t="str">
        <f>IFERROR(INDEX(Table!I:O,MATCH(K2359,Table!I:I,0),3),"")</f>
        <v/>
      </c>
      <c r="N2359" s="32" t="str">
        <f>IFERROR(INDEX(Table!I:O,MATCH(K2359,Table!I:I,0),4),"")</f>
        <v/>
      </c>
      <c r="O2359" s="32" t="str">
        <f>IFERROR(INDEX(Table!I:O,MATCH(K2359,Table!I:I,0),5),"")</f>
        <v/>
      </c>
      <c r="P2359" s="32" t="str">
        <f>IFERROR(INDEX(Table!I:O,MATCH(K2359,Table!I:I,0),6),"")</f>
        <v/>
      </c>
      <c r="Q2359" s="89" t="str">
        <f t="shared" si="106"/>
        <v/>
      </c>
      <c r="R2359" s="89" t="str">
        <f t="shared" si="107"/>
        <v/>
      </c>
      <c r="S2359" s="82"/>
      <c r="U2359" s="37"/>
    </row>
    <row r="2360" spans="1:21" x14ac:dyDescent="0.25">
      <c r="A2360" s="31" t="str">
        <f>IF(Table!A2360 = "","",Table!A2360)</f>
        <v/>
      </c>
      <c r="B2360" s="31" t="str">
        <f>IF(Table!B2360 = "","",Table!B2360)</f>
        <v/>
      </c>
      <c r="C2360" s="31" t="str">
        <f>IF(Table!C2360 = "","",Table!C2360)</f>
        <v/>
      </c>
      <c r="D2360" s="32" t="str">
        <f>IF(Table!D2360 = "","",Table!D2360)</f>
        <v/>
      </c>
      <c r="E2360" s="32" t="str">
        <f>IF(Table!E2360 = "","",Table!E2360)</f>
        <v/>
      </c>
      <c r="F2360" s="32" t="str">
        <f>IF(Table!F2360 = "","",Table!F2360)</f>
        <v/>
      </c>
      <c r="G2360" s="91"/>
      <c r="K2360" s="31" t="str">
        <f>IFERROR(VLOOKUP(A2360,Table!$I$4:$O$3000,1,TRUE),"")</f>
        <v/>
      </c>
      <c r="L2360" s="31" t="str">
        <f>IFERROR(INDEX(Table!I:O,MATCH(K2360,Table!I:I,0),2),"")</f>
        <v/>
      </c>
      <c r="M2360" s="31" t="str">
        <f>IFERROR(INDEX(Table!I:O,MATCH(K2360,Table!I:I,0),3),"")</f>
        <v/>
      </c>
      <c r="N2360" s="32" t="str">
        <f>IFERROR(INDEX(Table!I:O,MATCH(K2360,Table!I:I,0),4),"")</f>
        <v/>
      </c>
      <c r="O2360" s="32" t="str">
        <f>IFERROR(INDEX(Table!I:O,MATCH(K2360,Table!I:I,0),5),"")</f>
        <v/>
      </c>
      <c r="P2360" s="32" t="str">
        <f>IFERROR(INDEX(Table!I:O,MATCH(K2360,Table!I:I,0),6),"")</f>
        <v/>
      </c>
      <c r="Q2360" s="89" t="str">
        <f t="shared" si="106"/>
        <v/>
      </c>
      <c r="R2360" s="89" t="str">
        <f t="shared" si="107"/>
        <v/>
      </c>
      <c r="S2360" s="82"/>
      <c r="U2360" s="37"/>
    </row>
    <row r="2361" spans="1:21" x14ac:dyDescent="0.25">
      <c r="A2361" s="31" t="str">
        <f>IF(Table!A2361 = "","",Table!A2361)</f>
        <v/>
      </c>
      <c r="B2361" s="31" t="str">
        <f>IF(Table!B2361 = "","",Table!B2361)</f>
        <v/>
      </c>
      <c r="C2361" s="31" t="str">
        <f>IF(Table!C2361 = "","",Table!C2361)</f>
        <v/>
      </c>
      <c r="D2361" s="32" t="str">
        <f>IF(Table!D2361 = "","",Table!D2361)</f>
        <v/>
      </c>
      <c r="E2361" s="32" t="str">
        <f>IF(Table!E2361 = "","",Table!E2361)</f>
        <v/>
      </c>
      <c r="F2361" s="32" t="str">
        <f>IF(Table!F2361 = "","",Table!F2361)</f>
        <v/>
      </c>
      <c r="G2361" s="91"/>
      <c r="K2361" s="31" t="str">
        <f>IFERROR(VLOOKUP(A2361,Table!$I$4:$O$3000,1,TRUE),"")</f>
        <v/>
      </c>
      <c r="L2361" s="31" t="str">
        <f>IFERROR(INDEX(Table!I:O,MATCH(K2361,Table!I:I,0),2),"")</f>
        <v/>
      </c>
      <c r="M2361" s="31" t="str">
        <f>IFERROR(INDEX(Table!I:O,MATCH(K2361,Table!I:I,0),3),"")</f>
        <v/>
      </c>
      <c r="N2361" s="32" t="str">
        <f>IFERROR(INDEX(Table!I:O,MATCH(K2361,Table!I:I,0),4),"")</f>
        <v/>
      </c>
      <c r="O2361" s="32" t="str">
        <f>IFERROR(INDEX(Table!I:O,MATCH(K2361,Table!I:I,0),5),"")</f>
        <v/>
      </c>
      <c r="P2361" s="32" t="str">
        <f>IFERROR(INDEX(Table!I:O,MATCH(K2361,Table!I:I,0),6),"")</f>
        <v/>
      </c>
      <c r="Q2361" s="89" t="str">
        <f t="shared" si="106"/>
        <v/>
      </c>
      <c r="R2361" s="89" t="str">
        <f t="shared" si="107"/>
        <v/>
      </c>
      <c r="S2361" s="82"/>
      <c r="U2361" s="37"/>
    </row>
    <row r="2362" spans="1:21" x14ac:dyDescent="0.25">
      <c r="A2362" s="31" t="str">
        <f>IF(Table!A2362 = "","",Table!A2362)</f>
        <v/>
      </c>
      <c r="B2362" s="31" t="str">
        <f>IF(Table!B2362 = "","",Table!B2362)</f>
        <v/>
      </c>
      <c r="C2362" s="31" t="str">
        <f>IF(Table!C2362 = "","",Table!C2362)</f>
        <v/>
      </c>
      <c r="D2362" s="32" t="str">
        <f>IF(Table!D2362 = "","",Table!D2362)</f>
        <v/>
      </c>
      <c r="E2362" s="32" t="str">
        <f>IF(Table!E2362 = "","",Table!E2362)</f>
        <v/>
      </c>
      <c r="F2362" s="32" t="str">
        <f>IF(Table!F2362 = "","",Table!F2362)</f>
        <v/>
      </c>
      <c r="G2362" s="91"/>
      <c r="K2362" s="31" t="str">
        <f>IFERROR(VLOOKUP(A2362,Table!$I$4:$O$3000,1,TRUE),"")</f>
        <v/>
      </c>
      <c r="L2362" s="31" t="str">
        <f>IFERROR(INDEX(Table!I:O,MATCH(K2362,Table!I:I,0),2),"")</f>
        <v/>
      </c>
      <c r="M2362" s="31" t="str">
        <f>IFERROR(INDEX(Table!I:O,MATCH(K2362,Table!I:I,0),3),"")</f>
        <v/>
      </c>
      <c r="N2362" s="32" t="str">
        <f>IFERROR(INDEX(Table!I:O,MATCH(K2362,Table!I:I,0),4),"")</f>
        <v/>
      </c>
      <c r="O2362" s="32" t="str">
        <f>IFERROR(INDEX(Table!I:O,MATCH(K2362,Table!I:I,0),5),"")</f>
        <v/>
      </c>
      <c r="P2362" s="32" t="str">
        <f>IFERROR(INDEX(Table!I:O,MATCH(K2362,Table!I:I,0),6),"")</f>
        <v/>
      </c>
      <c r="Q2362" s="89" t="str">
        <f t="shared" si="106"/>
        <v/>
      </c>
      <c r="R2362" s="89" t="str">
        <f t="shared" si="107"/>
        <v/>
      </c>
      <c r="S2362" s="82"/>
      <c r="U2362" s="37"/>
    </row>
    <row r="2363" spans="1:21" x14ac:dyDescent="0.25">
      <c r="A2363" s="31" t="str">
        <f>IF(Table!A2363 = "","",Table!A2363)</f>
        <v/>
      </c>
      <c r="B2363" s="31" t="str">
        <f>IF(Table!B2363 = "","",Table!B2363)</f>
        <v/>
      </c>
      <c r="C2363" s="31" t="str">
        <f>IF(Table!C2363 = "","",Table!C2363)</f>
        <v/>
      </c>
      <c r="D2363" s="32" t="str">
        <f>IF(Table!D2363 = "","",Table!D2363)</f>
        <v/>
      </c>
      <c r="E2363" s="32" t="str">
        <f>IF(Table!E2363 = "","",Table!E2363)</f>
        <v/>
      </c>
      <c r="F2363" s="32" t="str">
        <f>IF(Table!F2363 = "","",Table!F2363)</f>
        <v/>
      </c>
      <c r="G2363" s="91"/>
      <c r="K2363" s="31" t="str">
        <f>IFERROR(VLOOKUP(A2363,Table!$I$4:$O$3000,1,TRUE),"")</f>
        <v/>
      </c>
      <c r="L2363" s="31" t="str">
        <f>IFERROR(INDEX(Table!I:O,MATCH(K2363,Table!I:I,0),2),"")</f>
        <v/>
      </c>
      <c r="M2363" s="31" t="str">
        <f>IFERROR(INDEX(Table!I:O,MATCH(K2363,Table!I:I,0),3),"")</f>
        <v/>
      </c>
      <c r="N2363" s="32" t="str">
        <f>IFERROR(INDEX(Table!I:O,MATCH(K2363,Table!I:I,0),4),"")</f>
        <v/>
      </c>
      <c r="O2363" s="32" t="str">
        <f>IFERROR(INDEX(Table!I:O,MATCH(K2363,Table!I:I,0),5),"")</f>
        <v/>
      </c>
      <c r="P2363" s="32" t="str">
        <f>IFERROR(INDEX(Table!I:O,MATCH(K2363,Table!I:I,0),6),"")</f>
        <v/>
      </c>
      <c r="Q2363" s="89" t="str">
        <f t="shared" si="106"/>
        <v/>
      </c>
      <c r="R2363" s="89" t="str">
        <f t="shared" si="107"/>
        <v/>
      </c>
      <c r="S2363" s="82"/>
      <c r="U2363" s="37"/>
    </row>
    <row r="2364" spans="1:21" x14ac:dyDescent="0.25">
      <c r="A2364" s="31" t="str">
        <f>IF(Table!A2364 = "","",Table!A2364)</f>
        <v/>
      </c>
      <c r="B2364" s="31" t="str">
        <f>IF(Table!B2364 = "","",Table!B2364)</f>
        <v/>
      </c>
      <c r="C2364" s="31" t="str">
        <f>IF(Table!C2364 = "","",Table!C2364)</f>
        <v/>
      </c>
      <c r="D2364" s="32" t="str">
        <f>IF(Table!D2364 = "","",Table!D2364)</f>
        <v/>
      </c>
      <c r="E2364" s="32" t="str">
        <f>IF(Table!E2364 = "","",Table!E2364)</f>
        <v/>
      </c>
      <c r="F2364" s="32" t="str">
        <f>IF(Table!F2364 = "","",Table!F2364)</f>
        <v/>
      </c>
      <c r="G2364" s="91"/>
      <c r="K2364" s="31" t="str">
        <f>IFERROR(VLOOKUP(A2364,Table!$I$4:$O$3000,1,TRUE),"")</f>
        <v/>
      </c>
      <c r="L2364" s="31" t="str">
        <f>IFERROR(INDEX(Table!I:O,MATCH(K2364,Table!I:I,0),2),"")</f>
        <v/>
      </c>
      <c r="M2364" s="31" t="str">
        <f>IFERROR(INDEX(Table!I:O,MATCH(K2364,Table!I:I,0),3),"")</f>
        <v/>
      </c>
      <c r="N2364" s="32" t="str">
        <f>IFERROR(INDEX(Table!I:O,MATCH(K2364,Table!I:I,0),4),"")</f>
        <v/>
      </c>
      <c r="O2364" s="32" t="str">
        <f>IFERROR(INDEX(Table!I:O,MATCH(K2364,Table!I:I,0),5),"")</f>
        <v/>
      </c>
      <c r="P2364" s="32" t="str">
        <f>IFERROR(INDEX(Table!I:O,MATCH(K2364,Table!I:I,0),6),"")</f>
        <v/>
      </c>
      <c r="Q2364" s="89" t="str">
        <f t="shared" si="106"/>
        <v/>
      </c>
      <c r="R2364" s="89" t="str">
        <f t="shared" si="107"/>
        <v/>
      </c>
      <c r="S2364" s="82"/>
      <c r="U2364" s="37"/>
    </row>
    <row r="2365" spans="1:21" x14ac:dyDescent="0.25">
      <c r="A2365" s="31" t="str">
        <f>IF(Table!A2365 = "","",Table!A2365)</f>
        <v/>
      </c>
      <c r="B2365" s="31" t="str">
        <f>IF(Table!B2365 = "","",Table!B2365)</f>
        <v/>
      </c>
      <c r="C2365" s="31" t="str">
        <f>IF(Table!C2365 = "","",Table!C2365)</f>
        <v/>
      </c>
      <c r="D2365" s="32" t="str">
        <f>IF(Table!D2365 = "","",Table!D2365)</f>
        <v/>
      </c>
      <c r="E2365" s="32" t="str">
        <f>IF(Table!E2365 = "","",Table!E2365)</f>
        <v/>
      </c>
      <c r="F2365" s="32" t="str">
        <f>IF(Table!F2365 = "","",Table!F2365)</f>
        <v/>
      </c>
      <c r="G2365" s="91"/>
      <c r="K2365" s="31" t="str">
        <f>IFERROR(VLOOKUP(A2365,Table!$I$4:$O$3000,1,TRUE),"")</f>
        <v/>
      </c>
      <c r="L2365" s="31" t="str">
        <f>IFERROR(INDEX(Table!I:O,MATCH(K2365,Table!I:I,0),2),"")</f>
        <v/>
      </c>
      <c r="M2365" s="31" t="str">
        <f>IFERROR(INDEX(Table!I:O,MATCH(K2365,Table!I:I,0),3),"")</f>
        <v/>
      </c>
      <c r="N2365" s="32" t="str">
        <f>IFERROR(INDEX(Table!I:O,MATCH(K2365,Table!I:I,0),4),"")</f>
        <v/>
      </c>
      <c r="O2365" s="32" t="str">
        <f>IFERROR(INDEX(Table!I:O,MATCH(K2365,Table!I:I,0),5),"")</f>
        <v/>
      </c>
      <c r="P2365" s="32" t="str">
        <f>IFERROR(INDEX(Table!I:O,MATCH(K2365,Table!I:I,0),6),"")</f>
        <v/>
      </c>
      <c r="Q2365" s="89" t="str">
        <f t="shared" si="106"/>
        <v/>
      </c>
      <c r="R2365" s="89" t="str">
        <f t="shared" si="107"/>
        <v/>
      </c>
      <c r="S2365" s="82"/>
      <c r="U2365" s="37"/>
    </row>
    <row r="2366" spans="1:21" x14ac:dyDescent="0.25">
      <c r="A2366" s="31" t="str">
        <f>IF(Table!A2366 = "","",Table!A2366)</f>
        <v/>
      </c>
      <c r="B2366" s="31" t="str">
        <f>IF(Table!B2366 = "","",Table!B2366)</f>
        <v/>
      </c>
      <c r="C2366" s="31" t="str">
        <f>IF(Table!C2366 = "","",Table!C2366)</f>
        <v/>
      </c>
      <c r="D2366" s="32" t="str">
        <f>IF(Table!D2366 = "","",Table!D2366)</f>
        <v/>
      </c>
      <c r="E2366" s="32" t="str">
        <f>IF(Table!E2366 = "","",Table!E2366)</f>
        <v/>
      </c>
      <c r="F2366" s="32" t="str">
        <f>IF(Table!F2366 = "","",Table!F2366)</f>
        <v/>
      </c>
      <c r="G2366" s="91"/>
      <c r="K2366" s="31" t="str">
        <f>IFERROR(VLOOKUP(A2366,Table!$I$4:$O$3000,1,TRUE),"")</f>
        <v/>
      </c>
      <c r="L2366" s="31" t="str">
        <f>IFERROR(INDEX(Table!I:O,MATCH(K2366,Table!I:I,0),2),"")</f>
        <v/>
      </c>
      <c r="M2366" s="31" t="str">
        <f>IFERROR(INDEX(Table!I:O,MATCH(K2366,Table!I:I,0),3),"")</f>
        <v/>
      </c>
      <c r="N2366" s="32" t="str">
        <f>IFERROR(INDEX(Table!I:O,MATCH(K2366,Table!I:I,0),4),"")</f>
        <v/>
      </c>
      <c r="O2366" s="32" t="str">
        <f>IFERROR(INDEX(Table!I:O,MATCH(K2366,Table!I:I,0),5),"")</f>
        <v/>
      </c>
      <c r="P2366" s="32" t="str">
        <f>IFERROR(INDEX(Table!I:O,MATCH(K2366,Table!I:I,0),6),"")</f>
        <v/>
      </c>
      <c r="Q2366" s="89" t="str">
        <f t="shared" si="106"/>
        <v/>
      </c>
      <c r="R2366" s="89" t="str">
        <f t="shared" si="107"/>
        <v/>
      </c>
      <c r="S2366" s="82"/>
      <c r="U2366" s="37"/>
    </row>
    <row r="2367" spans="1:21" x14ac:dyDescent="0.25">
      <c r="A2367" s="31" t="str">
        <f>IF(Table!A2367 = "","",Table!A2367)</f>
        <v/>
      </c>
      <c r="B2367" s="31" t="str">
        <f>IF(Table!B2367 = "","",Table!B2367)</f>
        <v/>
      </c>
      <c r="C2367" s="31" t="str">
        <f>IF(Table!C2367 = "","",Table!C2367)</f>
        <v/>
      </c>
      <c r="D2367" s="32" t="str">
        <f>IF(Table!D2367 = "","",Table!D2367)</f>
        <v/>
      </c>
      <c r="E2367" s="32" t="str">
        <f>IF(Table!E2367 = "","",Table!E2367)</f>
        <v/>
      </c>
      <c r="F2367" s="32" t="str">
        <f>IF(Table!F2367 = "","",Table!F2367)</f>
        <v/>
      </c>
      <c r="G2367" s="91"/>
      <c r="K2367" s="31" t="str">
        <f>IFERROR(VLOOKUP(A2367,Table!$I$4:$O$3000,1,TRUE),"")</f>
        <v/>
      </c>
      <c r="L2367" s="31" t="str">
        <f>IFERROR(INDEX(Table!I:O,MATCH(K2367,Table!I:I,0),2),"")</f>
        <v/>
      </c>
      <c r="M2367" s="31" t="str">
        <f>IFERROR(INDEX(Table!I:O,MATCH(K2367,Table!I:I,0),3),"")</f>
        <v/>
      </c>
      <c r="N2367" s="32" t="str">
        <f>IFERROR(INDEX(Table!I:O,MATCH(K2367,Table!I:I,0),4),"")</f>
        <v/>
      </c>
      <c r="O2367" s="32" t="str">
        <f>IFERROR(INDEX(Table!I:O,MATCH(K2367,Table!I:I,0),5),"")</f>
        <v/>
      </c>
      <c r="P2367" s="32" t="str">
        <f>IFERROR(INDEX(Table!I:O,MATCH(K2367,Table!I:I,0),6),"")</f>
        <v/>
      </c>
      <c r="Q2367" s="89" t="str">
        <f t="shared" si="106"/>
        <v/>
      </c>
      <c r="R2367" s="89" t="str">
        <f t="shared" si="107"/>
        <v/>
      </c>
      <c r="S2367" s="82"/>
      <c r="U2367" s="37"/>
    </row>
    <row r="2368" spans="1:21" x14ac:dyDescent="0.25">
      <c r="A2368" s="31" t="str">
        <f>IF(Table!A2368 = "","",Table!A2368)</f>
        <v/>
      </c>
      <c r="B2368" s="31" t="str">
        <f>IF(Table!B2368 = "","",Table!B2368)</f>
        <v/>
      </c>
      <c r="C2368" s="31" t="str">
        <f>IF(Table!C2368 = "","",Table!C2368)</f>
        <v/>
      </c>
      <c r="D2368" s="32" t="str">
        <f>IF(Table!D2368 = "","",Table!D2368)</f>
        <v/>
      </c>
      <c r="E2368" s="32" t="str">
        <f>IF(Table!E2368 = "","",Table!E2368)</f>
        <v/>
      </c>
      <c r="F2368" s="32" t="str">
        <f>IF(Table!F2368 = "","",Table!F2368)</f>
        <v/>
      </c>
      <c r="G2368" s="91"/>
      <c r="K2368" s="31" t="str">
        <f>IFERROR(VLOOKUP(A2368,Table!$I$4:$O$3000,1,TRUE),"")</f>
        <v/>
      </c>
      <c r="L2368" s="31" t="str">
        <f>IFERROR(INDEX(Table!I:O,MATCH(K2368,Table!I:I,0),2),"")</f>
        <v/>
      </c>
      <c r="M2368" s="31" t="str">
        <f>IFERROR(INDEX(Table!I:O,MATCH(K2368,Table!I:I,0),3),"")</f>
        <v/>
      </c>
      <c r="N2368" s="32" t="str">
        <f>IFERROR(INDEX(Table!I:O,MATCH(K2368,Table!I:I,0),4),"")</f>
        <v/>
      </c>
      <c r="O2368" s="32" t="str">
        <f>IFERROR(INDEX(Table!I:O,MATCH(K2368,Table!I:I,0),5),"")</f>
        <v/>
      </c>
      <c r="P2368" s="32" t="str">
        <f>IFERROR(INDEX(Table!I:O,MATCH(K2368,Table!I:I,0),6),"")</f>
        <v/>
      </c>
      <c r="Q2368" s="89" t="str">
        <f t="shared" si="106"/>
        <v/>
      </c>
      <c r="R2368" s="89" t="str">
        <f t="shared" si="107"/>
        <v/>
      </c>
      <c r="S2368" s="82"/>
      <c r="U2368" s="37"/>
    </row>
    <row r="2369" spans="1:21" x14ac:dyDescent="0.25">
      <c r="A2369" s="31" t="str">
        <f>IF(Table!A2369 = "","",Table!A2369)</f>
        <v/>
      </c>
      <c r="B2369" s="31" t="str">
        <f>IF(Table!B2369 = "","",Table!B2369)</f>
        <v/>
      </c>
      <c r="C2369" s="31" t="str">
        <f>IF(Table!C2369 = "","",Table!C2369)</f>
        <v/>
      </c>
      <c r="D2369" s="32" t="str">
        <f>IF(Table!D2369 = "","",Table!D2369)</f>
        <v/>
      </c>
      <c r="E2369" s="32" t="str">
        <f>IF(Table!E2369 = "","",Table!E2369)</f>
        <v/>
      </c>
      <c r="F2369" s="32" t="str">
        <f>IF(Table!F2369 = "","",Table!F2369)</f>
        <v/>
      </c>
      <c r="G2369" s="91"/>
      <c r="K2369" s="31" t="str">
        <f>IFERROR(VLOOKUP(A2369,Table!$I$4:$O$3000,1,TRUE),"")</f>
        <v/>
      </c>
      <c r="L2369" s="31" t="str">
        <f>IFERROR(INDEX(Table!I:O,MATCH(K2369,Table!I:I,0),2),"")</f>
        <v/>
      </c>
      <c r="M2369" s="31" t="str">
        <f>IFERROR(INDEX(Table!I:O,MATCH(K2369,Table!I:I,0),3),"")</f>
        <v/>
      </c>
      <c r="N2369" s="32" t="str">
        <f>IFERROR(INDEX(Table!I:O,MATCH(K2369,Table!I:I,0),4),"")</f>
        <v/>
      </c>
      <c r="O2369" s="32" t="str">
        <f>IFERROR(INDEX(Table!I:O,MATCH(K2369,Table!I:I,0),5),"")</f>
        <v/>
      </c>
      <c r="P2369" s="32" t="str">
        <f>IFERROR(INDEX(Table!I:O,MATCH(K2369,Table!I:I,0),6),"")</f>
        <v/>
      </c>
      <c r="Q2369" s="89" t="str">
        <f t="shared" si="106"/>
        <v/>
      </c>
      <c r="R2369" s="89" t="str">
        <f t="shared" si="107"/>
        <v/>
      </c>
      <c r="S2369" s="82"/>
      <c r="U2369" s="37"/>
    </row>
    <row r="2370" spans="1:21" x14ac:dyDescent="0.25">
      <c r="A2370" s="31" t="str">
        <f>IF(Table!A2370 = "","",Table!A2370)</f>
        <v/>
      </c>
      <c r="B2370" s="31" t="str">
        <f>IF(Table!B2370 = "","",Table!B2370)</f>
        <v/>
      </c>
      <c r="C2370" s="31" t="str">
        <f>IF(Table!C2370 = "","",Table!C2370)</f>
        <v/>
      </c>
      <c r="D2370" s="32" t="str">
        <f>IF(Table!D2370 = "","",Table!D2370)</f>
        <v/>
      </c>
      <c r="E2370" s="32" t="str">
        <f>IF(Table!E2370 = "","",Table!E2370)</f>
        <v/>
      </c>
      <c r="F2370" s="32" t="str">
        <f>IF(Table!F2370 = "","",Table!F2370)</f>
        <v/>
      </c>
      <c r="G2370" s="91"/>
      <c r="K2370" s="31" t="str">
        <f>IFERROR(VLOOKUP(A2370,Table!$I$4:$O$3000,1,TRUE),"")</f>
        <v/>
      </c>
      <c r="L2370" s="31" t="str">
        <f>IFERROR(INDEX(Table!I:O,MATCH(K2370,Table!I:I,0),2),"")</f>
        <v/>
      </c>
      <c r="M2370" s="31" t="str">
        <f>IFERROR(INDEX(Table!I:O,MATCH(K2370,Table!I:I,0),3),"")</f>
        <v/>
      </c>
      <c r="N2370" s="32" t="str">
        <f>IFERROR(INDEX(Table!I:O,MATCH(K2370,Table!I:I,0),4),"")</f>
        <v/>
      </c>
      <c r="O2370" s="32" t="str">
        <f>IFERROR(INDEX(Table!I:O,MATCH(K2370,Table!I:I,0),5),"")</f>
        <v/>
      </c>
      <c r="P2370" s="32" t="str">
        <f>IFERROR(INDEX(Table!I:O,MATCH(K2370,Table!I:I,0),6),"")</f>
        <v/>
      </c>
      <c r="Q2370" s="89" t="str">
        <f t="shared" si="106"/>
        <v/>
      </c>
      <c r="R2370" s="89" t="str">
        <f t="shared" si="107"/>
        <v/>
      </c>
      <c r="S2370" s="82"/>
      <c r="U2370" s="37"/>
    </row>
    <row r="2371" spans="1:21" x14ac:dyDescent="0.25">
      <c r="A2371" s="31" t="str">
        <f>IF(Table!A2371 = "","",Table!A2371)</f>
        <v/>
      </c>
      <c r="B2371" s="31" t="str">
        <f>IF(Table!B2371 = "","",Table!B2371)</f>
        <v/>
      </c>
      <c r="C2371" s="31" t="str">
        <f>IF(Table!C2371 = "","",Table!C2371)</f>
        <v/>
      </c>
      <c r="D2371" s="32" t="str">
        <f>IF(Table!D2371 = "","",Table!D2371)</f>
        <v/>
      </c>
      <c r="E2371" s="32" t="str">
        <f>IF(Table!E2371 = "","",Table!E2371)</f>
        <v/>
      </c>
      <c r="F2371" s="32" t="str">
        <f>IF(Table!F2371 = "","",Table!F2371)</f>
        <v/>
      </c>
      <c r="G2371" s="91"/>
      <c r="K2371" s="31" t="str">
        <f>IFERROR(VLOOKUP(A2371,Table!$I$4:$O$3000,1,TRUE),"")</f>
        <v/>
      </c>
      <c r="L2371" s="31" t="str">
        <f>IFERROR(INDEX(Table!I:O,MATCH(K2371,Table!I:I,0),2),"")</f>
        <v/>
      </c>
      <c r="M2371" s="31" t="str">
        <f>IFERROR(INDEX(Table!I:O,MATCH(K2371,Table!I:I,0),3),"")</f>
        <v/>
      </c>
      <c r="N2371" s="32" t="str">
        <f>IFERROR(INDEX(Table!I:O,MATCH(K2371,Table!I:I,0),4),"")</f>
        <v/>
      </c>
      <c r="O2371" s="32" t="str">
        <f>IFERROR(INDEX(Table!I:O,MATCH(K2371,Table!I:I,0),5),"")</f>
        <v/>
      </c>
      <c r="P2371" s="32" t="str">
        <f>IFERROR(INDEX(Table!I:O,MATCH(K2371,Table!I:I,0),6),"")</f>
        <v/>
      </c>
      <c r="Q2371" s="89" t="str">
        <f t="shared" si="106"/>
        <v/>
      </c>
      <c r="R2371" s="89" t="str">
        <f t="shared" si="107"/>
        <v/>
      </c>
      <c r="S2371" s="82"/>
      <c r="U2371" s="37"/>
    </row>
    <row r="2372" spans="1:21" x14ac:dyDescent="0.25">
      <c r="A2372" s="31" t="str">
        <f>IF(Table!A2372 = "","",Table!A2372)</f>
        <v/>
      </c>
      <c r="B2372" s="31" t="str">
        <f>IF(Table!B2372 = "","",Table!B2372)</f>
        <v/>
      </c>
      <c r="C2372" s="31" t="str">
        <f>IF(Table!C2372 = "","",Table!C2372)</f>
        <v/>
      </c>
      <c r="D2372" s="32" t="str">
        <f>IF(Table!D2372 = "","",Table!D2372)</f>
        <v/>
      </c>
      <c r="E2372" s="32" t="str">
        <f>IF(Table!E2372 = "","",Table!E2372)</f>
        <v/>
      </c>
      <c r="F2372" s="32" t="str">
        <f>IF(Table!F2372 = "","",Table!F2372)</f>
        <v/>
      </c>
      <c r="G2372" s="91"/>
      <c r="K2372" s="31" t="str">
        <f>IFERROR(VLOOKUP(A2372,Table!$I$4:$O$3000,1,TRUE),"")</f>
        <v/>
      </c>
      <c r="L2372" s="31" t="str">
        <f>IFERROR(INDEX(Table!I:O,MATCH(K2372,Table!I:I,0),2),"")</f>
        <v/>
      </c>
      <c r="M2372" s="31" t="str">
        <f>IFERROR(INDEX(Table!I:O,MATCH(K2372,Table!I:I,0),3),"")</f>
        <v/>
      </c>
      <c r="N2372" s="32" t="str">
        <f>IFERROR(INDEX(Table!I:O,MATCH(K2372,Table!I:I,0),4),"")</f>
        <v/>
      </c>
      <c r="O2372" s="32" t="str">
        <f>IFERROR(INDEX(Table!I:O,MATCH(K2372,Table!I:I,0),5),"")</f>
        <v/>
      </c>
      <c r="P2372" s="32" t="str">
        <f>IFERROR(INDEX(Table!I:O,MATCH(K2372,Table!I:I,0),6),"")</f>
        <v/>
      </c>
      <c r="Q2372" s="89" t="str">
        <f t="shared" si="106"/>
        <v/>
      </c>
      <c r="R2372" s="89" t="str">
        <f t="shared" si="107"/>
        <v/>
      </c>
      <c r="S2372" s="82"/>
      <c r="U2372" s="37"/>
    </row>
    <row r="2373" spans="1:21" x14ac:dyDescent="0.25">
      <c r="A2373" s="31" t="str">
        <f>IF(Table!A2373 = "","",Table!A2373)</f>
        <v/>
      </c>
      <c r="B2373" s="31" t="str">
        <f>IF(Table!B2373 = "","",Table!B2373)</f>
        <v/>
      </c>
      <c r="C2373" s="31" t="str">
        <f>IF(Table!C2373 = "","",Table!C2373)</f>
        <v/>
      </c>
      <c r="D2373" s="32" t="str">
        <f>IF(Table!D2373 = "","",Table!D2373)</f>
        <v/>
      </c>
      <c r="E2373" s="32" t="str">
        <f>IF(Table!E2373 = "","",Table!E2373)</f>
        <v/>
      </c>
      <c r="F2373" s="32" t="str">
        <f>IF(Table!F2373 = "","",Table!F2373)</f>
        <v/>
      </c>
      <c r="G2373" s="91"/>
      <c r="K2373" s="31" t="str">
        <f>IFERROR(VLOOKUP(A2373,Table!$I$4:$O$3000,1,TRUE),"")</f>
        <v/>
      </c>
      <c r="L2373" s="31" t="str">
        <f>IFERROR(INDEX(Table!I:O,MATCH(K2373,Table!I:I,0),2),"")</f>
        <v/>
      </c>
      <c r="M2373" s="31" t="str">
        <f>IFERROR(INDEX(Table!I:O,MATCH(K2373,Table!I:I,0),3),"")</f>
        <v/>
      </c>
      <c r="N2373" s="32" t="str">
        <f>IFERROR(INDEX(Table!I:O,MATCH(K2373,Table!I:I,0),4),"")</f>
        <v/>
      </c>
      <c r="O2373" s="32" t="str">
        <f>IFERROR(INDEX(Table!I:O,MATCH(K2373,Table!I:I,0),5),"")</f>
        <v/>
      </c>
      <c r="P2373" s="32" t="str">
        <f>IFERROR(INDEX(Table!I:O,MATCH(K2373,Table!I:I,0),6),"")</f>
        <v/>
      </c>
      <c r="Q2373" s="89" t="str">
        <f t="shared" si="106"/>
        <v/>
      </c>
      <c r="R2373" s="89" t="str">
        <f t="shared" si="107"/>
        <v/>
      </c>
      <c r="S2373" s="82"/>
      <c r="U2373" s="37"/>
    </row>
    <row r="2374" spans="1:21" x14ac:dyDescent="0.25">
      <c r="A2374" s="31" t="str">
        <f>IF(Table!A2374 = "","",Table!A2374)</f>
        <v/>
      </c>
      <c r="B2374" s="31" t="str">
        <f>IF(Table!B2374 = "","",Table!B2374)</f>
        <v/>
      </c>
      <c r="C2374" s="31" t="str">
        <f>IF(Table!C2374 = "","",Table!C2374)</f>
        <v/>
      </c>
      <c r="D2374" s="32" t="str">
        <f>IF(Table!D2374 = "","",Table!D2374)</f>
        <v/>
      </c>
      <c r="E2374" s="32" t="str">
        <f>IF(Table!E2374 = "","",Table!E2374)</f>
        <v/>
      </c>
      <c r="F2374" s="32" t="str">
        <f>IF(Table!F2374 = "","",Table!F2374)</f>
        <v/>
      </c>
      <c r="G2374" s="91"/>
      <c r="K2374" s="31" t="str">
        <f>IFERROR(VLOOKUP(A2374,Table!$I$4:$O$3000,1,TRUE),"")</f>
        <v/>
      </c>
      <c r="L2374" s="31" t="str">
        <f>IFERROR(INDEX(Table!I:O,MATCH(K2374,Table!I:I,0),2),"")</f>
        <v/>
      </c>
      <c r="M2374" s="31" t="str">
        <f>IFERROR(INDEX(Table!I:O,MATCH(K2374,Table!I:I,0),3),"")</f>
        <v/>
      </c>
      <c r="N2374" s="32" t="str">
        <f>IFERROR(INDEX(Table!I:O,MATCH(K2374,Table!I:I,0),4),"")</f>
        <v/>
      </c>
      <c r="O2374" s="32" t="str">
        <f>IFERROR(INDEX(Table!I:O,MATCH(K2374,Table!I:I,0),5),"")</f>
        <v/>
      </c>
      <c r="P2374" s="32" t="str">
        <f>IFERROR(INDEX(Table!I:O,MATCH(K2374,Table!I:I,0),6),"")</f>
        <v/>
      </c>
      <c r="Q2374" s="89" t="str">
        <f t="shared" ref="Q2374:Q2437" si="108">IFERROR(L2374-B2374,"")</f>
        <v/>
      </c>
      <c r="R2374" s="89" t="str">
        <f t="shared" ref="R2374:R2437" si="109">IFERROR(M2374-C2374,"")</f>
        <v/>
      </c>
      <c r="S2374" s="82"/>
      <c r="U2374" s="37"/>
    </row>
    <row r="2375" spans="1:21" x14ac:dyDescent="0.25">
      <c r="A2375" s="31" t="str">
        <f>IF(Table!A2375 = "","",Table!A2375)</f>
        <v/>
      </c>
      <c r="B2375" s="31" t="str">
        <f>IF(Table!B2375 = "","",Table!B2375)</f>
        <v/>
      </c>
      <c r="C2375" s="31" t="str">
        <f>IF(Table!C2375 = "","",Table!C2375)</f>
        <v/>
      </c>
      <c r="D2375" s="32" t="str">
        <f>IF(Table!D2375 = "","",Table!D2375)</f>
        <v/>
      </c>
      <c r="E2375" s="32" t="str">
        <f>IF(Table!E2375 = "","",Table!E2375)</f>
        <v/>
      </c>
      <c r="F2375" s="32" t="str">
        <f>IF(Table!F2375 = "","",Table!F2375)</f>
        <v/>
      </c>
      <c r="G2375" s="91"/>
      <c r="K2375" s="31" t="str">
        <f>IFERROR(VLOOKUP(A2375,Table!$I$4:$O$3000,1,TRUE),"")</f>
        <v/>
      </c>
      <c r="L2375" s="31" t="str">
        <f>IFERROR(INDEX(Table!I:O,MATCH(K2375,Table!I:I,0),2),"")</f>
        <v/>
      </c>
      <c r="M2375" s="31" t="str">
        <f>IFERROR(INDEX(Table!I:O,MATCH(K2375,Table!I:I,0),3),"")</f>
        <v/>
      </c>
      <c r="N2375" s="32" t="str">
        <f>IFERROR(INDEX(Table!I:O,MATCH(K2375,Table!I:I,0),4),"")</f>
        <v/>
      </c>
      <c r="O2375" s="32" t="str">
        <f>IFERROR(INDEX(Table!I:O,MATCH(K2375,Table!I:I,0),5),"")</f>
        <v/>
      </c>
      <c r="P2375" s="32" t="str">
        <f>IFERROR(INDEX(Table!I:O,MATCH(K2375,Table!I:I,0),6),"")</f>
        <v/>
      </c>
      <c r="Q2375" s="89" t="str">
        <f t="shared" si="108"/>
        <v/>
      </c>
      <c r="R2375" s="89" t="str">
        <f t="shared" si="109"/>
        <v/>
      </c>
      <c r="S2375" s="82"/>
      <c r="U2375" s="37"/>
    </row>
    <row r="2376" spans="1:21" x14ac:dyDescent="0.25">
      <c r="A2376" s="31" t="str">
        <f>IF(Table!A2376 = "","",Table!A2376)</f>
        <v/>
      </c>
      <c r="B2376" s="31" t="str">
        <f>IF(Table!B2376 = "","",Table!B2376)</f>
        <v/>
      </c>
      <c r="C2376" s="31" t="str">
        <f>IF(Table!C2376 = "","",Table!C2376)</f>
        <v/>
      </c>
      <c r="D2376" s="32" t="str">
        <f>IF(Table!D2376 = "","",Table!D2376)</f>
        <v/>
      </c>
      <c r="E2376" s="32" t="str">
        <f>IF(Table!E2376 = "","",Table!E2376)</f>
        <v/>
      </c>
      <c r="F2376" s="32" t="str">
        <f>IF(Table!F2376 = "","",Table!F2376)</f>
        <v/>
      </c>
      <c r="G2376" s="91"/>
      <c r="K2376" s="31" t="str">
        <f>IFERROR(VLOOKUP(A2376,Table!$I$4:$O$3000,1,TRUE),"")</f>
        <v/>
      </c>
      <c r="L2376" s="31" t="str">
        <f>IFERROR(INDEX(Table!I:O,MATCH(K2376,Table!I:I,0),2),"")</f>
        <v/>
      </c>
      <c r="M2376" s="31" t="str">
        <f>IFERROR(INDEX(Table!I:O,MATCH(K2376,Table!I:I,0),3),"")</f>
        <v/>
      </c>
      <c r="N2376" s="32" t="str">
        <f>IFERROR(INDEX(Table!I:O,MATCH(K2376,Table!I:I,0),4),"")</f>
        <v/>
      </c>
      <c r="O2376" s="32" t="str">
        <f>IFERROR(INDEX(Table!I:O,MATCH(K2376,Table!I:I,0),5),"")</f>
        <v/>
      </c>
      <c r="P2376" s="32" t="str">
        <f>IFERROR(INDEX(Table!I:O,MATCH(K2376,Table!I:I,0),6),"")</f>
        <v/>
      </c>
      <c r="Q2376" s="89" t="str">
        <f t="shared" si="108"/>
        <v/>
      </c>
      <c r="R2376" s="89" t="str">
        <f t="shared" si="109"/>
        <v/>
      </c>
      <c r="S2376" s="82"/>
      <c r="U2376" s="37"/>
    </row>
    <row r="2377" spans="1:21" x14ac:dyDescent="0.25">
      <c r="A2377" s="31" t="str">
        <f>IF(Table!A2377 = "","",Table!A2377)</f>
        <v/>
      </c>
      <c r="B2377" s="31" t="str">
        <f>IF(Table!B2377 = "","",Table!B2377)</f>
        <v/>
      </c>
      <c r="C2377" s="31" t="str">
        <f>IF(Table!C2377 = "","",Table!C2377)</f>
        <v/>
      </c>
      <c r="D2377" s="32" t="str">
        <f>IF(Table!D2377 = "","",Table!D2377)</f>
        <v/>
      </c>
      <c r="E2377" s="32" t="str">
        <f>IF(Table!E2377 = "","",Table!E2377)</f>
        <v/>
      </c>
      <c r="F2377" s="32" t="str">
        <f>IF(Table!F2377 = "","",Table!F2377)</f>
        <v/>
      </c>
      <c r="G2377" s="91"/>
      <c r="K2377" s="31" t="str">
        <f>IFERROR(VLOOKUP(A2377,Table!$I$4:$O$3000,1,TRUE),"")</f>
        <v/>
      </c>
      <c r="L2377" s="31" t="str">
        <f>IFERROR(INDEX(Table!I:O,MATCH(K2377,Table!I:I,0),2),"")</f>
        <v/>
      </c>
      <c r="M2377" s="31" t="str">
        <f>IFERROR(INDEX(Table!I:O,MATCH(K2377,Table!I:I,0),3),"")</f>
        <v/>
      </c>
      <c r="N2377" s="32" t="str">
        <f>IFERROR(INDEX(Table!I:O,MATCH(K2377,Table!I:I,0),4),"")</f>
        <v/>
      </c>
      <c r="O2377" s="32" t="str">
        <f>IFERROR(INDEX(Table!I:O,MATCH(K2377,Table!I:I,0),5),"")</f>
        <v/>
      </c>
      <c r="P2377" s="32" t="str">
        <f>IFERROR(INDEX(Table!I:O,MATCH(K2377,Table!I:I,0),6),"")</f>
        <v/>
      </c>
      <c r="Q2377" s="89" t="str">
        <f t="shared" si="108"/>
        <v/>
      </c>
      <c r="R2377" s="89" t="str">
        <f t="shared" si="109"/>
        <v/>
      </c>
      <c r="S2377" s="82"/>
      <c r="U2377" s="37"/>
    </row>
    <row r="2378" spans="1:21" x14ac:dyDescent="0.25">
      <c r="A2378" s="31" t="str">
        <f>IF(Table!A2378 = "","",Table!A2378)</f>
        <v/>
      </c>
      <c r="B2378" s="31" t="str">
        <f>IF(Table!B2378 = "","",Table!B2378)</f>
        <v/>
      </c>
      <c r="C2378" s="31" t="str">
        <f>IF(Table!C2378 = "","",Table!C2378)</f>
        <v/>
      </c>
      <c r="D2378" s="32" t="str">
        <f>IF(Table!D2378 = "","",Table!D2378)</f>
        <v/>
      </c>
      <c r="E2378" s="32" t="str">
        <f>IF(Table!E2378 = "","",Table!E2378)</f>
        <v/>
      </c>
      <c r="F2378" s="32" t="str">
        <f>IF(Table!F2378 = "","",Table!F2378)</f>
        <v/>
      </c>
      <c r="G2378" s="91"/>
      <c r="K2378" s="31" t="str">
        <f>IFERROR(VLOOKUP(A2378,Table!$I$4:$O$3000,1,TRUE),"")</f>
        <v/>
      </c>
      <c r="L2378" s="31" t="str">
        <f>IFERROR(INDEX(Table!I:O,MATCH(K2378,Table!I:I,0),2),"")</f>
        <v/>
      </c>
      <c r="M2378" s="31" t="str">
        <f>IFERROR(INDEX(Table!I:O,MATCH(K2378,Table!I:I,0),3),"")</f>
        <v/>
      </c>
      <c r="N2378" s="32" t="str">
        <f>IFERROR(INDEX(Table!I:O,MATCH(K2378,Table!I:I,0),4),"")</f>
        <v/>
      </c>
      <c r="O2378" s="32" t="str">
        <f>IFERROR(INDEX(Table!I:O,MATCH(K2378,Table!I:I,0),5),"")</f>
        <v/>
      </c>
      <c r="P2378" s="32" t="str">
        <f>IFERROR(INDEX(Table!I:O,MATCH(K2378,Table!I:I,0),6),"")</f>
        <v/>
      </c>
      <c r="Q2378" s="89" t="str">
        <f t="shared" si="108"/>
        <v/>
      </c>
      <c r="R2378" s="89" t="str">
        <f t="shared" si="109"/>
        <v/>
      </c>
      <c r="S2378" s="82"/>
      <c r="U2378" s="37"/>
    </row>
    <row r="2379" spans="1:21" x14ac:dyDescent="0.25">
      <c r="A2379" s="31" t="str">
        <f>IF(Table!A2379 = "","",Table!A2379)</f>
        <v/>
      </c>
      <c r="B2379" s="31" t="str">
        <f>IF(Table!B2379 = "","",Table!B2379)</f>
        <v/>
      </c>
      <c r="C2379" s="31" t="str">
        <f>IF(Table!C2379 = "","",Table!C2379)</f>
        <v/>
      </c>
      <c r="D2379" s="32" t="str">
        <f>IF(Table!D2379 = "","",Table!D2379)</f>
        <v/>
      </c>
      <c r="E2379" s="32" t="str">
        <f>IF(Table!E2379 = "","",Table!E2379)</f>
        <v/>
      </c>
      <c r="F2379" s="32" t="str">
        <f>IF(Table!F2379 = "","",Table!F2379)</f>
        <v/>
      </c>
      <c r="G2379" s="91"/>
      <c r="K2379" s="31" t="str">
        <f>IFERROR(VLOOKUP(A2379,Table!$I$4:$O$3000,1,TRUE),"")</f>
        <v/>
      </c>
      <c r="L2379" s="31" t="str">
        <f>IFERROR(INDEX(Table!I:O,MATCH(K2379,Table!I:I,0),2),"")</f>
        <v/>
      </c>
      <c r="M2379" s="31" t="str">
        <f>IFERROR(INDEX(Table!I:O,MATCH(K2379,Table!I:I,0),3),"")</f>
        <v/>
      </c>
      <c r="N2379" s="32" t="str">
        <f>IFERROR(INDEX(Table!I:O,MATCH(K2379,Table!I:I,0),4),"")</f>
        <v/>
      </c>
      <c r="O2379" s="32" t="str">
        <f>IFERROR(INDEX(Table!I:O,MATCH(K2379,Table!I:I,0),5),"")</f>
        <v/>
      </c>
      <c r="P2379" s="32" t="str">
        <f>IFERROR(INDEX(Table!I:O,MATCH(K2379,Table!I:I,0),6),"")</f>
        <v/>
      </c>
      <c r="Q2379" s="89" t="str">
        <f t="shared" si="108"/>
        <v/>
      </c>
      <c r="R2379" s="89" t="str">
        <f t="shared" si="109"/>
        <v/>
      </c>
      <c r="S2379" s="82"/>
      <c r="U2379" s="37"/>
    </row>
    <row r="2380" spans="1:21" x14ac:dyDescent="0.25">
      <c r="A2380" s="31" t="str">
        <f>IF(Table!A2380 = "","",Table!A2380)</f>
        <v/>
      </c>
      <c r="B2380" s="31" t="str">
        <f>IF(Table!B2380 = "","",Table!B2380)</f>
        <v/>
      </c>
      <c r="C2380" s="31" t="str">
        <f>IF(Table!C2380 = "","",Table!C2380)</f>
        <v/>
      </c>
      <c r="D2380" s="32" t="str">
        <f>IF(Table!D2380 = "","",Table!D2380)</f>
        <v/>
      </c>
      <c r="E2380" s="32" t="str">
        <f>IF(Table!E2380 = "","",Table!E2380)</f>
        <v/>
      </c>
      <c r="F2380" s="32" t="str">
        <f>IF(Table!F2380 = "","",Table!F2380)</f>
        <v/>
      </c>
      <c r="G2380" s="91"/>
      <c r="K2380" s="31" t="str">
        <f>IFERROR(VLOOKUP(A2380,Table!$I$4:$O$3000,1,TRUE),"")</f>
        <v/>
      </c>
      <c r="L2380" s="31" t="str">
        <f>IFERROR(INDEX(Table!I:O,MATCH(K2380,Table!I:I,0),2),"")</f>
        <v/>
      </c>
      <c r="M2380" s="31" t="str">
        <f>IFERROR(INDEX(Table!I:O,MATCH(K2380,Table!I:I,0),3),"")</f>
        <v/>
      </c>
      <c r="N2380" s="32" t="str">
        <f>IFERROR(INDEX(Table!I:O,MATCH(K2380,Table!I:I,0),4),"")</f>
        <v/>
      </c>
      <c r="O2380" s="32" t="str">
        <f>IFERROR(INDEX(Table!I:O,MATCH(K2380,Table!I:I,0),5),"")</f>
        <v/>
      </c>
      <c r="P2380" s="32" t="str">
        <f>IFERROR(INDEX(Table!I:O,MATCH(K2380,Table!I:I,0),6),"")</f>
        <v/>
      </c>
      <c r="Q2380" s="89" t="str">
        <f t="shared" si="108"/>
        <v/>
      </c>
      <c r="R2380" s="89" t="str">
        <f t="shared" si="109"/>
        <v/>
      </c>
      <c r="S2380" s="82"/>
      <c r="U2380" s="37"/>
    </row>
    <row r="2381" spans="1:21" x14ac:dyDescent="0.25">
      <c r="A2381" s="31" t="str">
        <f>IF(Table!A2381 = "","",Table!A2381)</f>
        <v/>
      </c>
      <c r="B2381" s="31" t="str">
        <f>IF(Table!B2381 = "","",Table!B2381)</f>
        <v/>
      </c>
      <c r="C2381" s="31" t="str">
        <f>IF(Table!C2381 = "","",Table!C2381)</f>
        <v/>
      </c>
      <c r="D2381" s="32" t="str">
        <f>IF(Table!D2381 = "","",Table!D2381)</f>
        <v/>
      </c>
      <c r="E2381" s="32" t="str">
        <f>IF(Table!E2381 = "","",Table!E2381)</f>
        <v/>
      </c>
      <c r="F2381" s="32" t="str">
        <f>IF(Table!F2381 = "","",Table!F2381)</f>
        <v/>
      </c>
      <c r="G2381" s="91"/>
      <c r="K2381" s="31" t="str">
        <f>IFERROR(VLOOKUP(A2381,Table!$I$4:$O$3000,1,TRUE),"")</f>
        <v/>
      </c>
      <c r="L2381" s="31" t="str">
        <f>IFERROR(INDEX(Table!I:O,MATCH(K2381,Table!I:I,0),2),"")</f>
        <v/>
      </c>
      <c r="M2381" s="31" t="str">
        <f>IFERROR(INDEX(Table!I:O,MATCH(K2381,Table!I:I,0),3),"")</f>
        <v/>
      </c>
      <c r="N2381" s="32" t="str">
        <f>IFERROR(INDEX(Table!I:O,MATCH(K2381,Table!I:I,0),4),"")</f>
        <v/>
      </c>
      <c r="O2381" s="32" t="str">
        <f>IFERROR(INDEX(Table!I:O,MATCH(K2381,Table!I:I,0),5),"")</f>
        <v/>
      </c>
      <c r="P2381" s="32" t="str">
        <f>IFERROR(INDEX(Table!I:O,MATCH(K2381,Table!I:I,0),6),"")</f>
        <v/>
      </c>
      <c r="Q2381" s="89" t="str">
        <f t="shared" si="108"/>
        <v/>
      </c>
      <c r="R2381" s="89" t="str">
        <f t="shared" si="109"/>
        <v/>
      </c>
      <c r="S2381" s="82"/>
      <c r="U2381" s="37"/>
    </row>
    <row r="2382" spans="1:21" x14ac:dyDescent="0.25">
      <c r="A2382" s="31" t="str">
        <f>IF(Table!A2382 = "","",Table!A2382)</f>
        <v/>
      </c>
      <c r="B2382" s="31" t="str">
        <f>IF(Table!B2382 = "","",Table!B2382)</f>
        <v/>
      </c>
      <c r="C2382" s="31" t="str">
        <f>IF(Table!C2382 = "","",Table!C2382)</f>
        <v/>
      </c>
      <c r="D2382" s="32" t="str">
        <f>IF(Table!D2382 = "","",Table!D2382)</f>
        <v/>
      </c>
      <c r="E2382" s="32" t="str">
        <f>IF(Table!E2382 = "","",Table!E2382)</f>
        <v/>
      </c>
      <c r="F2382" s="32" t="str">
        <f>IF(Table!F2382 = "","",Table!F2382)</f>
        <v/>
      </c>
      <c r="G2382" s="91"/>
      <c r="K2382" s="31" t="str">
        <f>IFERROR(VLOOKUP(A2382,Table!$I$4:$O$3000,1,TRUE),"")</f>
        <v/>
      </c>
      <c r="L2382" s="31" t="str">
        <f>IFERROR(INDEX(Table!I:O,MATCH(K2382,Table!I:I,0),2),"")</f>
        <v/>
      </c>
      <c r="M2382" s="31" t="str">
        <f>IFERROR(INDEX(Table!I:O,MATCH(K2382,Table!I:I,0),3),"")</f>
        <v/>
      </c>
      <c r="N2382" s="32" t="str">
        <f>IFERROR(INDEX(Table!I:O,MATCH(K2382,Table!I:I,0),4),"")</f>
        <v/>
      </c>
      <c r="O2382" s="32" t="str">
        <f>IFERROR(INDEX(Table!I:O,MATCH(K2382,Table!I:I,0),5),"")</f>
        <v/>
      </c>
      <c r="P2382" s="32" t="str">
        <f>IFERROR(INDEX(Table!I:O,MATCH(K2382,Table!I:I,0),6),"")</f>
        <v/>
      </c>
      <c r="Q2382" s="89" t="str">
        <f t="shared" si="108"/>
        <v/>
      </c>
      <c r="R2382" s="89" t="str">
        <f t="shared" si="109"/>
        <v/>
      </c>
      <c r="S2382" s="82"/>
      <c r="U2382" s="37"/>
    </row>
    <row r="2383" spans="1:21" x14ac:dyDescent="0.25">
      <c r="A2383" s="31" t="str">
        <f>IF(Table!A2383 = "","",Table!A2383)</f>
        <v/>
      </c>
      <c r="B2383" s="31" t="str">
        <f>IF(Table!B2383 = "","",Table!B2383)</f>
        <v/>
      </c>
      <c r="C2383" s="31" t="str">
        <f>IF(Table!C2383 = "","",Table!C2383)</f>
        <v/>
      </c>
      <c r="D2383" s="32" t="str">
        <f>IF(Table!D2383 = "","",Table!D2383)</f>
        <v/>
      </c>
      <c r="E2383" s="32" t="str">
        <f>IF(Table!E2383 = "","",Table!E2383)</f>
        <v/>
      </c>
      <c r="F2383" s="32" t="str">
        <f>IF(Table!F2383 = "","",Table!F2383)</f>
        <v/>
      </c>
      <c r="G2383" s="91"/>
      <c r="K2383" s="31" t="str">
        <f>IFERROR(VLOOKUP(A2383,Table!$I$4:$O$3000,1,TRUE),"")</f>
        <v/>
      </c>
      <c r="L2383" s="31" t="str">
        <f>IFERROR(INDEX(Table!I:O,MATCH(K2383,Table!I:I,0),2),"")</f>
        <v/>
      </c>
      <c r="M2383" s="31" t="str">
        <f>IFERROR(INDEX(Table!I:O,MATCH(K2383,Table!I:I,0),3),"")</f>
        <v/>
      </c>
      <c r="N2383" s="32" t="str">
        <f>IFERROR(INDEX(Table!I:O,MATCH(K2383,Table!I:I,0),4),"")</f>
        <v/>
      </c>
      <c r="O2383" s="32" t="str">
        <f>IFERROR(INDEX(Table!I:O,MATCH(K2383,Table!I:I,0),5),"")</f>
        <v/>
      </c>
      <c r="P2383" s="32" t="str">
        <f>IFERROR(INDEX(Table!I:O,MATCH(K2383,Table!I:I,0),6),"")</f>
        <v/>
      </c>
      <c r="Q2383" s="89" t="str">
        <f t="shared" si="108"/>
        <v/>
      </c>
      <c r="R2383" s="89" t="str">
        <f t="shared" si="109"/>
        <v/>
      </c>
      <c r="S2383" s="82"/>
      <c r="U2383" s="37"/>
    </row>
    <row r="2384" spans="1:21" x14ac:dyDescent="0.25">
      <c r="A2384" s="31" t="str">
        <f>IF(Table!A2384 = "","",Table!A2384)</f>
        <v/>
      </c>
      <c r="B2384" s="31" t="str">
        <f>IF(Table!B2384 = "","",Table!B2384)</f>
        <v/>
      </c>
      <c r="C2384" s="31" t="str">
        <f>IF(Table!C2384 = "","",Table!C2384)</f>
        <v/>
      </c>
      <c r="D2384" s="32" t="str">
        <f>IF(Table!D2384 = "","",Table!D2384)</f>
        <v/>
      </c>
      <c r="E2384" s="32" t="str">
        <f>IF(Table!E2384 = "","",Table!E2384)</f>
        <v/>
      </c>
      <c r="F2384" s="32" t="str">
        <f>IF(Table!F2384 = "","",Table!F2384)</f>
        <v/>
      </c>
      <c r="G2384" s="91"/>
      <c r="K2384" s="31" t="str">
        <f>IFERROR(VLOOKUP(A2384,Table!$I$4:$O$3000,1,TRUE),"")</f>
        <v/>
      </c>
      <c r="L2384" s="31" t="str">
        <f>IFERROR(INDEX(Table!I:O,MATCH(K2384,Table!I:I,0),2),"")</f>
        <v/>
      </c>
      <c r="M2384" s="31" t="str">
        <f>IFERROR(INDEX(Table!I:O,MATCH(K2384,Table!I:I,0),3),"")</f>
        <v/>
      </c>
      <c r="N2384" s="32" t="str">
        <f>IFERROR(INDEX(Table!I:O,MATCH(K2384,Table!I:I,0),4),"")</f>
        <v/>
      </c>
      <c r="O2384" s="32" t="str">
        <f>IFERROR(INDEX(Table!I:O,MATCH(K2384,Table!I:I,0),5),"")</f>
        <v/>
      </c>
      <c r="P2384" s="32" t="str">
        <f>IFERROR(INDEX(Table!I:O,MATCH(K2384,Table!I:I,0),6),"")</f>
        <v/>
      </c>
      <c r="Q2384" s="89" t="str">
        <f t="shared" si="108"/>
        <v/>
      </c>
      <c r="R2384" s="89" t="str">
        <f t="shared" si="109"/>
        <v/>
      </c>
      <c r="S2384" s="82"/>
      <c r="U2384" s="37"/>
    </row>
    <row r="2385" spans="1:21" x14ac:dyDescent="0.25">
      <c r="A2385" s="31" t="str">
        <f>IF(Table!A2385 = "","",Table!A2385)</f>
        <v/>
      </c>
      <c r="B2385" s="31" t="str">
        <f>IF(Table!B2385 = "","",Table!B2385)</f>
        <v/>
      </c>
      <c r="C2385" s="31" t="str">
        <f>IF(Table!C2385 = "","",Table!C2385)</f>
        <v/>
      </c>
      <c r="D2385" s="32" t="str">
        <f>IF(Table!D2385 = "","",Table!D2385)</f>
        <v/>
      </c>
      <c r="E2385" s="32" t="str">
        <f>IF(Table!E2385 = "","",Table!E2385)</f>
        <v/>
      </c>
      <c r="F2385" s="32" t="str">
        <f>IF(Table!F2385 = "","",Table!F2385)</f>
        <v/>
      </c>
      <c r="G2385" s="91"/>
      <c r="K2385" s="31" t="str">
        <f>IFERROR(VLOOKUP(A2385,Table!$I$4:$O$3000,1,TRUE),"")</f>
        <v/>
      </c>
      <c r="L2385" s="31" t="str">
        <f>IFERROR(INDEX(Table!I:O,MATCH(K2385,Table!I:I,0),2),"")</f>
        <v/>
      </c>
      <c r="M2385" s="31" t="str">
        <f>IFERROR(INDEX(Table!I:O,MATCH(K2385,Table!I:I,0),3),"")</f>
        <v/>
      </c>
      <c r="N2385" s="32" t="str">
        <f>IFERROR(INDEX(Table!I:O,MATCH(K2385,Table!I:I,0),4),"")</f>
        <v/>
      </c>
      <c r="O2385" s="32" t="str">
        <f>IFERROR(INDEX(Table!I:O,MATCH(K2385,Table!I:I,0),5),"")</f>
        <v/>
      </c>
      <c r="P2385" s="32" t="str">
        <f>IFERROR(INDEX(Table!I:O,MATCH(K2385,Table!I:I,0),6),"")</f>
        <v/>
      </c>
      <c r="Q2385" s="89" t="str">
        <f t="shared" si="108"/>
        <v/>
      </c>
      <c r="R2385" s="89" t="str">
        <f t="shared" si="109"/>
        <v/>
      </c>
      <c r="S2385" s="82"/>
      <c r="U2385" s="37"/>
    </row>
    <row r="2386" spans="1:21" x14ac:dyDescent="0.25">
      <c r="A2386" s="31" t="str">
        <f>IF(Table!A2386 = "","",Table!A2386)</f>
        <v/>
      </c>
      <c r="B2386" s="31" t="str">
        <f>IF(Table!B2386 = "","",Table!B2386)</f>
        <v/>
      </c>
      <c r="C2386" s="31" t="str">
        <f>IF(Table!C2386 = "","",Table!C2386)</f>
        <v/>
      </c>
      <c r="D2386" s="32" t="str">
        <f>IF(Table!D2386 = "","",Table!D2386)</f>
        <v/>
      </c>
      <c r="E2386" s="32" t="str">
        <f>IF(Table!E2386 = "","",Table!E2386)</f>
        <v/>
      </c>
      <c r="F2386" s="32" t="str">
        <f>IF(Table!F2386 = "","",Table!F2386)</f>
        <v/>
      </c>
      <c r="G2386" s="91"/>
      <c r="K2386" s="31" t="str">
        <f>IFERROR(VLOOKUP(A2386,Table!$I$4:$O$3000,1,TRUE),"")</f>
        <v/>
      </c>
      <c r="L2386" s="31" t="str">
        <f>IFERROR(INDEX(Table!I:O,MATCH(K2386,Table!I:I,0),2),"")</f>
        <v/>
      </c>
      <c r="M2386" s="31" t="str">
        <f>IFERROR(INDEX(Table!I:O,MATCH(K2386,Table!I:I,0),3),"")</f>
        <v/>
      </c>
      <c r="N2386" s="32" t="str">
        <f>IFERROR(INDEX(Table!I:O,MATCH(K2386,Table!I:I,0),4),"")</f>
        <v/>
      </c>
      <c r="O2386" s="32" t="str">
        <f>IFERROR(INDEX(Table!I:O,MATCH(K2386,Table!I:I,0),5),"")</f>
        <v/>
      </c>
      <c r="P2386" s="32" t="str">
        <f>IFERROR(INDEX(Table!I:O,MATCH(K2386,Table!I:I,0),6),"")</f>
        <v/>
      </c>
      <c r="Q2386" s="89" t="str">
        <f t="shared" si="108"/>
        <v/>
      </c>
      <c r="R2386" s="89" t="str">
        <f t="shared" si="109"/>
        <v/>
      </c>
      <c r="S2386" s="82"/>
      <c r="U2386" s="37"/>
    </row>
    <row r="2387" spans="1:21" x14ac:dyDescent="0.25">
      <c r="A2387" s="31" t="str">
        <f>IF(Table!A2387 = "","",Table!A2387)</f>
        <v/>
      </c>
      <c r="B2387" s="31" t="str">
        <f>IF(Table!B2387 = "","",Table!B2387)</f>
        <v/>
      </c>
      <c r="C2387" s="31" t="str">
        <f>IF(Table!C2387 = "","",Table!C2387)</f>
        <v/>
      </c>
      <c r="D2387" s="32" t="str">
        <f>IF(Table!D2387 = "","",Table!D2387)</f>
        <v/>
      </c>
      <c r="E2387" s="32" t="str">
        <f>IF(Table!E2387 = "","",Table!E2387)</f>
        <v/>
      </c>
      <c r="F2387" s="32" t="str">
        <f>IF(Table!F2387 = "","",Table!F2387)</f>
        <v/>
      </c>
      <c r="G2387" s="91"/>
      <c r="K2387" s="31" t="str">
        <f>IFERROR(VLOOKUP(A2387,Table!$I$4:$O$3000,1,TRUE),"")</f>
        <v/>
      </c>
      <c r="L2387" s="31" t="str">
        <f>IFERROR(INDEX(Table!I:O,MATCH(K2387,Table!I:I,0),2),"")</f>
        <v/>
      </c>
      <c r="M2387" s="31" t="str">
        <f>IFERROR(INDEX(Table!I:O,MATCH(K2387,Table!I:I,0),3),"")</f>
        <v/>
      </c>
      <c r="N2387" s="32" t="str">
        <f>IFERROR(INDEX(Table!I:O,MATCH(K2387,Table!I:I,0),4),"")</f>
        <v/>
      </c>
      <c r="O2387" s="32" t="str">
        <f>IFERROR(INDEX(Table!I:O,MATCH(K2387,Table!I:I,0),5),"")</f>
        <v/>
      </c>
      <c r="P2387" s="32" t="str">
        <f>IFERROR(INDEX(Table!I:O,MATCH(K2387,Table!I:I,0),6),"")</f>
        <v/>
      </c>
      <c r="Q2387" s="89" t="str">
        <f t="shared" si="108"/>
        <v/>
      </c>
      <c r="R2387" s="89" t="str">
        <f t="shared" si="109"/>
        <v/>
      </c>
      <c r="S2387" s="82"/>
      <c r="U2387" s="37"/>
    </row>
    <row r="2388" spans="1:21" x14ac:dyDescent="0.25">
      <c r="A2388" s="31" t="str">
        <f>IF(Table!A2388 = "","",Table!A2388)</f>
        <v/>
      </c>
      <c r="B2388" s="31" t="str">
        <f>IF(Table!B2388 = "","",Table!B2388)</f>
        <v/>
      </c>
      <c r="C2388" s="31" t="str">
        <f>IF(Table!C2388 = "","",Table!C2388)</f>
        <v/>
      </c>
      <c r="D2388" s="32" t="str">
        <f>IF(Table!D2388 = "","",Table!D2388)</f>
        <v/>
      </c>
      <c r="E2388" s="32" t="str">
        <f>IF(Table!E2388 = "","",Table!E2388)</f>
        <v/>
      </c>
      <c r="F2388" s="32" t="str">
        <f>IF(Table!F2388 = "","",Table!F2388)</f>
        <v/>
      </c>
      <c r="G2388" s="91"/>
      <c r="K2388" s="31" t="str">
        <f>IFERROR(VLOOKUP(A2388,Table!$I$4:$O$3000,1,TRUE),"")</f>
        <v/>
      </c>
      <c r="L2388" s="31" t="str">
        <f>IFERROR(INDEX(Table!I:O,MATCH(K2388,Table!I:I,0),2),"")</f>
        <v/>
      </c>
      <c r="M2388" s="31" t="str">
        <f>IFERROR(INDEX(Table!I:O,MATCH(K2388,Table!I:I,0),3),"")</f>
        <v/>
      </c>
      <c r="N2388" s="32" t="str">
        <f>IFERROR(INDEX(Table!I:O,MATCH(K2388,Table!I:I,0),4),"")</f>
        <v/>
      </c>
      <c r="O2388" s="32" t="str">
        <f>IFERROR(INDEX(Table!I:O,MATCH(K2388,Table!I:I,0),5),"")</f>
        <v/>
      </c>
      <c r="P2388" s="32" t="str">
        <f>IFERROR(INDEX(Table!I:O,MATCH(K2388,Table!I:I,0),6),"")</f>
        <v/>
      </c>
      <c r="Q2388" s="89" t="str">
        <f t="shared" si="108"/>
        <v/>
      </c>
      <c r="R2388" s="89" t="str">
        <f t="shared" si="109"/>
        <v/>
      </c>
      <c r="S2388" s="82"/>
      <c r="U2388" s="37"/>
    </row>
    <row r="2389" spans="1:21" x14ac:dyDescent="0.25">
      <c r="A2389" s="31" t="str">
        <f>IF(Table!A2389 = "","",Table!A2389)</f>
        <v/>
      </c>
      <c r="B2389" s="31" t="str">
        <f>IF(Table!B2389 = "","",Table!B2389)</f>
        <v/>
      </c>
      <c r="C2389" s="31" t="str">
        <f>IF(Table!C2389 = "","",Table!C2389)</f>
        <v/>
      </c>
      <c r="D2389" s="32" t="str">
        <f>IF(Table!D2389 = "","",Table!D2389)</f>
        <v/>
      </c>
      <c r="E2389" s="32" t="str">
        <f>IF(Table!E2389 = "","",Table!E2389)</f>
        <v/>
      </c>
      <c r="F2389" s="32" t="str">
        <f>IF(Table!F2389 = "","",Table!F2389)</f>
        <v/>
      </c>
      <c r="G2389" s="91"/>
      <c r="K2389" s="31" t="str">
        <f>IFERROR(VLOOKUP(A2389,Table!$I$4:$O$3000,1,TRUE),"")</f>
        <v/>
      </c>
      <c r="L2389" s="31" t="str">
        <f>IFERROR(INDEX(Table!I:O,MATCH(K2389,Table!I:I,0),2),"")</f>
        <v/>
      </c>
      <c r="M2389" s="31" t="str">
        <f>IFERROR(INDEX(Table!I:O,MATCH(K2389,Table!I:I,0),3),"")</f>
        <v/>
      </c>
      <c r="N2389" s="32" t="str">
        <f>IFERROR(INDEX(Table!I:O,MATCH(K2389,Table!I:I,0),4),"")</f>
        <v/>
      </c>
      <c r="O2389" s="32" t="str">
        <f>IFERROR(INDEX(Table!I:O,MATCH(K2389,Table!I:I,0),5),"")</f>
        <v/>
      </c>
      <c r="P2389" s="32" t="str">
        <f>IFERROR(INDEX(Table!I:O,MATCH(K2389,Table!I:I,0),6),"")</f>
        <v/>
      </c>
      <c r="Q2389" s="89" t="str">
        <f t="shared" si="108"/>
        <v/>
      </c>
      <c r="R2389" s="89" t="str">
        <f t="shared" si="109"/>
        <v/>
      </c>
      <c r="S2389" s="82"/>
      <c r="U2389" s="37"/>
    </row>
    <row r="2390" spans="1:21" x14ac:dyDescent="0.25">
      <c r="A2390" s="31" t="str">
        <f>IF(Table!A2390 = "","",Table!A2390)</f>
        <v/>
      </c>
      <c r="B2390" s="31" t="str">
        <f>IF(Table!B2390 = "","",Table!B2390)</f>
        <v/>
      </c>
      <c r="C2390" s="31" t="str">
        <f>IF(Table!C2390 = "","",Table!C2390)</f>
        <v/>
      </c>
      <c r="D2390" s="32" t="str">
        <f>IF(Table!D2390 = "","",Table!D2390)</f>
        <v/>
      </c>
      <c r="E2390" s="32" t="str">
        <f>IF(Table!E2390 = "","",Table!E2390)</f>
        <v/>
      </c>
      <c r="F2390" s="32" t="str">
        <f>IF(Table!F2390 = "","",Table!F2390)</f>
        <v/>
      </c>
      <c r="G2390" s="91"/>
      <c r="K2390" s="31" t="str">
        <f>IFERROR(VLOOKUP(A2390,Table!$I$4:$O$3000,1,TRUE),"")</f>
        <v/>
      </c>
      <c r="L2390" s="31" t="str">
        <f>IFERROR(INDEX(Table!I:O,MATCH(K2390,Table!I:I,0),2),"")</f>
        <v/>
      </c>
      <c r="M2390" s="31" t="str">
        <f>IFERROR(INDEX(Table!I:O,MATCH(K2390,Table!I:I,0),3),"")</f>
        <v/>
      </c>
      <c r="N2390" s="32" t="str">
        <f>IFERROR(INDEX(Table!I:O,MATCH(K2390,Table!I:I,0),4),"")</f>
        <v/>
      </c>
      <c r="O2390" s="32" t="str">
        <f>IFERROR(INDEX(Table!I:O,MATCH(K2390,Table!I:I,0),5),"")</f>
        <v/>
      </c>
      <c r="P2390" s="32" t="str">
        <f>IFERROR(INDEX(Table!I:O,MATCH(K2390,Table!I:I,0),6),"")</f>
        <v/>
      </c>
      <c r="Q2390" s="89" t="str">
        <f t="shared" si="108"/>
        <v/>
      </c>
      <c r="R2390" s="89" t="str">
        <f t="shared" si="109"/>
        <v/>
      </c>
      <c r="S2390" s="82"/>
      <c r="U2390" s="37"/>
    </row>
    <row r="2391" spans="1:21" x14ac:dyDescent="0.25">
      <c r="A2391" s="31" t="str">
        <f>IF(Table!A2391 = "","",Table!A2391)</f>
        <v/>
      </c>
      <c r="B2391" s="31" t="str">
        <f>IF(Table!B2391 = "","",Table!B2391)</f>
        <v/>
      </c>
      <c r="C2391" s="31" t="str">
        <f>IF(Table!C2391 = "","",Table!C2391)</f>
        <v/>
      </c>
      <c r="D2391" s="32" t="str">
        <f>IF(Table!D2391 = "","",Table!D2391)</f>
        <v/>
      </c>
      <c r="E2391" s="32" t="str">
        <f>IF(Table!E2391 = "","",Table!E2391)</f>
        <v/>
      </c>
      <c r="F2391" s="32" t="str">
        <f>IF(Table!F2391 = "","",Table!F2391)</f>
        <v/>
      </c>
      <c r="G2391" s="91"/>
      <c r="K2391" s="31" t="str">
        <f>IFERROR(VLOOKUP(A2391,Table!$I$4:$O$3000,1,TRUE),"")</f>
        <v/>
      </c>
      <c r="L2391" s="31" t="str">
        <f>IFERROR(INDEX(Table!I:O,MATCH(K2391,Table!I:I,0),2),"")</f>
        <v/>
      </c>
      <c r="M2391" s="31" t="str">
        <f>IFERROR(INDEX(Table!I:O,MATCH(K2391,Table!I:I,0),3),"")</f>
        <v/>
      </c>
      <c r="N2391" s="32" t="str">
        <f>IFERROR(INDEX(Table!I:O,MATCH(K2391,Table!I:I,0),4),"")</f>
        <v/>
      </c>
      <c r="O2391" s="32" t="str">
        <f>IFERROR(INDEX(Table!I:O,MATCH(K2391,Table!I:I,0),5),"")</f>
        <v/>
      </c>
      <c r="P2391" s="32" t="str">
        <f>IFERROR(INDEX(Table!I:O,MATCH(K2391,Table!I:I,0),6),"")</f>
        <v/>
      </c>
      <c r="Q2391" s="89" t="str">
        <f t="shared" si="108"/>
        <v/>
      </c>
      <c r="R2391" s="89" t="str">
        <f t="shared" si="109"/>
        <v/>
      </c>
      <c r="S2391" s="82"/>
      <c r="U2391" s="37"/>
    </row>
    <row r="2392" spans="1:21" x14ac:dyDescent="0.25">
      <c r="A2392" s="31" t="str">
        <f>IF(Table!A2392 = "","",Table!A2392)</f>
        <v/>
      </c>
      <c r="B2392" s="31" t="str">
        <f>IF(Table!B2392 = "","",Table!B2392)</f>
        <v/>
      </c>
      <c r="C2392" s="31" t="str">
        <f>IF(Table!C2392 = "","",Table!C2392)</f>
        <v/>
      </c>
      <c r="D2392" s="32" t="str">
        <f>IF(Table!D2392 = "","",Table!D2392)</f>
        <v/>
      </c>
      <c r="E2392" s="32" t="str">
        <f>IF(Table!E2392 = "","",Table!E2392)</f>
        <v/>
      </c>
      <c r="F2392" s="32" t="str">
        <f>IF(Table!F2392 = "","",Table!F2392)</f>
        <v/>
      </c>
      <c r="G2392" s="91"/>
      <c r="K2392" s="31" t="str">
        <f>IFERROR(VLOOKUP(A2392,Table!$I$4:$O$3000,1,TRUE),"")</f>
        <v/>
      </c>
      <c r="L2392" s="31" t="str">
        <f>IFERROR(INDEX(Table!I:O,MATCH(K2392,Table!I:I,0),2),"")</f>
        <v/>
      </c>
      <c r="M2392" s="31" t="str">
        <f>IFERROR(INDEX(Table!I:O,MATCH(K2392,Table!I:I,0),3),"")</f>
        <v/>
      </c>
      <c r="N2392" s="32" t="str">
        <f>IFERROR(INDEX(Table!I:O,MATCH(K2392,Table!I:I,0),4),"")</f>
        <v/>
      </c>
      <c r="O2392" s="32" t="str">
        <f>IFERROR(INDEX(Table!I:O,MATCH(K2392,Table!I:I,0),5),"")</f>
        <v/>
      </c>
      <c r="P2392" s="32" t="str">
        <f>IFERROR(INDEX(Table!I:O,MATCH(K2392,Table!I:I,0),6),"")</f>
        <v/>
      </c>
      <c r="Q2392" s="89" t="str">
        <f t="shared" si="108"/>
        <v/>
      </c>
      <c r="R2392" s="89" t="str">
        <f t="shared" si="109"/>
        <v/>
      </c>
      <c r="S2392" s="82"/>
      <c r="U2392" s="37"/>
    </row>
    <row r="2393" spans="1:21" x14ac:dyDescent="0.25">
      <c r="A2393" s="31" t="str">
        <f>IF(Table!A2393 = "","",Table!A2393)</f>
        <v/>
      </c>
      <c r="B2393" s="31" t="str">
        <f>IF(Table!B2393 = "","",Table!B2393)</f>
        <v/>
      </c>
      <c r="C2393" s="31" t="str">
        <f>IF(Table!C2393 = "","",Table!C2393)</f>
        <v/>
      </c>
      <c r="D2393" s="32" t="str">
        <f>IF(Table!D2393 = "","",Table!D2393)</f>
        <v/>
      </c>
      <c r="E2393" s="32" t="str">
        <f>IF(Table!E2393 = "","",Table!E2393)</f>
        <v/>
      </c>
      <c r="F2393" s="32" t="str">
        <f>IF(Table!F2393 = "","",Table!F2393)</f>
        <v/>
      </c>
      <c r="G2393" s="91"/>
      <c r="K2393" s="31" t="str">
        <f>IFERROR(VLOOKUP(A2393,Table!$I$4:$O$3000,1,TRUE),"")</f>
        <v/>
      </c>
      <c r="L2393" s="31" t="str">
        <f>IFERROR(INDEX(Table!I:O,MATCH(K2393,Table!I:I,0),2),"")</f>
        <v/>
      </c>
      <c r="M2393" s="31" t="str">
        <f>IFERROR(INDEX(Table!I:O,MATCH(K2393,Table!I:I,0),3),"")</f>
        <v/>
      </c>
      <c r="N2393" s="32" t="str">
        <f>IFERROR(INDEX(Table!I:O,MATCH(K2393,Table!I:I,0),4),"")</f>
        <v/>
      </c>
      <c r="O2393" s="32" t="str">
        <f>IFERROR(INDEX(Table!I:O,MATCH(K2393,Table!I:I,0),5),"")</f>
        <v/>
      </c>
      <c r="P2393" s="32" t="str">
        <f>IFERROR(INDEX(Table!I:O,MATCH(K2393,Table!I:I,0),6),"")</f>
        <v/>
      </c>
      <c r="Q2393" s="89" t="str">
        <f t="shared" si="108"/>
        <v/>
      </c>
      <c r="R2393" s="89" t="str">
        <f t="shared" si="109"/>
        <v/>
      </c>
      <c r="S2393" s="82"/>
      <c r="U2393" s="37"/>
    </row>
    <row r="2394" spans="1:21" x14ac:dyDescent="0.25">
      <c r="A2394" s="31" t="str">
        <f>IF(Table!A2394 = "","",Table!A2394)</f>
        <v/>
      </c>
      <c r="B2394" s="31" t="str">
        <f>IF(Table!B2394 = "","",Table!B2394)</f>
        <v/>
      </c>
      <c r="C2394" s="31" t="str">
        <f>IF(Table!C2394 = "","",Table!C2394)</f>
        <v/>
      </c>
      <c r="D2394" s="32" t="str">
        <f>IF(Table!D2394 = "","",Table!D2394)</f>
        <v/>
      </c>
      <c r="E2394" s="32" t="str">
        <f>IF(Table!E2394 = "","",Table!E2394)</f>
        <v/>
      </c>
      <c r="F2394" s="32" t="str">
        <f>IF(Table!F2394 = "","",Table!F2394)</f>
        <v/>
      </c>
      <c r="G2394" s="91"/>
      <c r="K2394" s="31" t="str">
        <f>IFERROR(VLOOKUP(A2394,Table!$I$4:$O$3000,1,TRUE),"")</f>
        <v/>
      </c>
      <c r="L2394" s="31" t="str">
        <f>IFERROR(INDEX(Table!I:O,MATCH(K2394,Table!I:I,0),2),"")</f>
        <v/>
      </c>
      <c r="M2394" s="31" t="str">
        <f>IFERROR(INDEX(Table!I:O,MATCH(K2394,Table!I:I,0),3),"")</f>
        <v/>
      </c>
      <c r="N2394" s="32" t="str">
        <f>IFERROR(INDEX(Table!I:O,MATCH(K2394,Table!I:I,0),4),"")</f>
        <v/>
      </c>
      <c r="O2394" s="32" t="str">
        <f>IFERROR(INDEX(Table!I:O,MATCH(K2394,Table!I:I,0),5),"")</f>
        <v/>
      </c>
      <c r="P2394" s="32" t="str">
        <f>IFERROR(INDEX(Table!I:O,MATCH(K2394,Table!I:I,0),6),"")</f>
        <v/>
      </c>
      <c r="Q2394" s="89" t="str">
        <f t="shared" si="108"/>
        <v/>
      </c>
      <c r="R2394" s="89" t="str">
        <f t="shared" si="109"/>
        <v/>
      </c>
      <c r="S2394" s="82"/>
      <c r="U2394" s="37"/>
    </row>
    <row r="2395" spans="1:21" x14ac:dyDescent="0.25">
      <c r="A2395" s="31" t="str">
        <f>IF(Table!A2395 = "","",Table!A2395)</f>
        <v/>
      </c>
      <c r="B2395" s="31" t="str">
        <f>IF(Table!B2395 = "","",Table!B2395)</f>
        <v/>
      </c>
      <c r="C2395" s="31" t="str">
        <f>IF(Table!C2395 = "","",Table!C2395)</f>
        <v/>
      </c>
      <c r="D2395" s="32" t="str">
        <f>IF(Table!D2395 = "","",Table!D2395)</f>
        <v/>
      </c>
      <c r="E2395" s="32" t="str">
        <f>IF(Table!E2395 = "","",Table!E2395)</f>
        <v/>
      </c>
      <c r="F2395" s="32" t="str">
        <f>IF(Table!F2395 = "","",Table!F2395)</f>
        <v/>
      </c>
      <c r="G2395" s="91"/>
      <c r="K2395" s="31" t="str">
        <f>IFERROR(VLOOKUP(A2395,Table!$I$4:$O$3000,1,TRUE),"")</f>
        <v/>
      </c>
      <c r="L2395" s="31" t="str">
        <f>IFERROR(INDEX(Table!I:O,MATCH(K2395,Table!I:I,0),2),"")</f>
        <v/>
      </c>
      <c r="M2395" s="31" t="str">
        <f>IFERROR(INDEX(Table!I:O,MATCH(K2395,Table!I:I,0),3),"")</f>
        <v/>
      </c>
      <c r="N2395" s="32" t="str">
        <f>IFERROR(INDEX(Table!I:O,MATCH(K2395,Table!I:I,0),4),"")</f>
        <v/>
      </c>
      <c r="O2395" s="32" t="str">
        <f>IFERROR(INDEX(Table!I:O,MATCH(K2395,Table!I:I,0),5),"")</f>
        <v/>
      </c>
      <c r="P2395" s="32" t="str">
        <f>IFERROR(INDEX(Table!I:O,MATCH(K2395,Table!I:I,0),6),"")</f>
        <v/>
      </c>
      <c r="Q2395" s="89" t="str">
        <f t="shared" si="108"/>
        <v/>
      </c>
      <c r="R2395" s="89" t="str">
        <f t="shared" si="109"/>
        <v/>
      </c>
      <c r="S2395" s="82"/>
      <c r="U2395" s="37"/>
    </row>
    <row r="2396" spans="1:21" x14ac:dyDescent="0.25">
      <c r="A2396" s="31" t="str">
        <f>IF(Table!A2396 = "","",Table!A2396)</f>
        <v/>
      </c>
      <c r="B2396" s="31" t="str">
        <f>IF(Table!B2396 = "","",Table!B2396)</f>
        <v/>
      </c>
      <c r="C2396" s="31" t="str">
        <f>IF(Table!C2396 = "","",Table!C2396)</f>
        <v/>
      </c>
      <c r="D2396" s="32" t="str">
        <f>IF(Table!D2396 = "","",Table!D2396)</f>
        <v/>
      </c>
      <c r="E2396" s="32" t="str">
        <f>IF(Table!E2396 = "","",Table!E2396)</f>
        <v/>
      </c>
      <c r="F2396" s="32" t="str">
        <f>IF(Table!F2396 = "","",Table!F2396)</f>
        <v/>
      </c>
      <c r="G2396" s="91"/>
      <c r="K2396" s="31" t="str">
        <f>IFERROR(VLOOKUP(A2396,Table!$I$4:$O$3000,1,TRUE),"")</f>
        <v/>
      </c>
      <c r="L2396" s="31" t="str">
        <f>IFERROR(INDEX(Table!I:O,MATCH(K2396,Table!I:I,0),2),"")</f>
        <v/>
      </c>
      <c r="M2396" s="31" t="str">
        <f>IFERROR(INDEX(Table!I:O,MATCH(K2396,Table!I:I,0),3),"")</f>
        <v/>
      </c>
      <c r="N2396" s="32" t="str">
        <f>IFERROR(INDEX(Table!I:O,MATCH(K2396,Table!I:I,0),4),"")</f>
        <v/>
      </c>
      <c r="O2396" s="32" t="str">
        <f>IFERROR(INDEX(Table!I:O,MATCH(K2396,Table!I:I,0),5),"")</f>
        <v/>
      </c>
      <c r="P2396" s="32" t="str">
        <f>IFERROR(INDEX(Table!I:O,MATCH(K2396,Table!I:I,0),6),"")</f>
        <v/>
      </c>
      <c r="Q2396" s="89" t="str">
        <f t="shared" si="108"/>
        <v/>
      </c>
      <c r="R2396" s="89" t="str">
        <f t="shared" si="109"/>
        <v/>
      </c>
      <c r="S2396" s="82"/>
      <c r="U2396" s="37"/>
    </row>
    <row r="2397" spans="1:21" x14ac:dyDescent="0.25">
      <c r="A2397" s="31" t="str">
        <f>IF(Table!A2397 = "","",Table!A2397)</f>
        <v/>
      </c>
      <c r="B2397" s="31" t="str">
        <f>IF(Table!B2397 = "","",Table!B2397)</f>
        <v/>
      </c>
      <c r="C2397" s="31" t="str">
        <f>IF(Table!C2397 = "","",Table!C2397)</f>
        <v/>
      </c>
      <c r="D2397" s="32" t="str">
        <f>IF(Table!D2397 = "","",Table!D2397)</f>
        <v/>
      </c>
      <c r="E2397" s="32" t="str">
        <f>IF(Table!E2397 = "","",Table!E2397)</f>
        <v/>
      </c>
      <c r="F2397" s="32" t="str">
        <f>IF(Table!F2397 = "","",Table!F2397)</f>
        <v/>
      </c>
      <c r="G2397" s="91"/>
      <c r="K2397" s="31" t="str">
        <f>IFERROR(VLOOKUP(A2397,Table!$I$4:$O$3000,1,TRUE),"")</f>
        <v/>
      </c>
      <c r="L2397" s="31" t="str">
        <f>IFERROR(INDEX(Table!I:O,MATCH(K2397,Table!I:I,0),2),"")</f>
        <v/>
      </c>
      <c r="M2397" s="31" t="str">
        <f>IFERROR(INDEX(Table!I:O,MATCH(K2397,Table!I:I,0),3),"")</f>
        <v/>
      </c>
      <c r="N2397" s="32" t="str">
        <f>IFERROR(INDEX(Table!I:O,MATCH(K2397,Table!I:I,0),4),"")</f>
        <v/>
      </c>
      <c r="O2397" s="32" t="str">
        <f>IFERROR(INDEX(Table!I:O,MATCH(K2397,Table!I:I,0),5),"")</f>
        <v/>
      </c>
      <c r="P2397" s="32" t="str">
        <f>IFERROR(INDEX(Table!I:O,MATCH(K2397,Table!I:I,0),6),"")</f>
        <v/>
      </c>
      <c r="Q2397" s="89" t="str">
        <f t="shared" si="108"/>
        <v/>
      </c>
      <c r="R2397" s="89" t="str">
        <f t="shared" si="109"/>
        <v/>
      </c>
      <c r="S2397" s="82"/>
      <c r="U2397" s="37"/>
    </row>
    <row r="2398" spans="1:21" x14ac:dyDescent="0.25">
      <c r="A2398" s="31" t="str">
        <f>IF(Table!A2398 = "","",Table!A2398)</f>
        <v/>
      </c>
      <c r="B2398" s="31" t="str">
        <f>IF(Table!B2398 = "","",Table!B2398)</f>
        <v/>
      </c>
      <c r="C2398" s="31" t="str">
        <f>IF(Table!C2398 = "","",Table!C2398)</f>
        <v/>
      </c>
      <c r="D2398" s="32" t="str">
        <f>IF(Table!D2398 = "","",Table!D2398)</f>
        <v/>
      </c>
      <c r="E2398" s="32" t="str">
        <f>IF(Table!E2398 = "","",Table!E2398)</f>
        <v/>
      </c>
      <c r="F2398" s="32" t="str">
        <f>IF(Table!F2398 = "","",Table!F2398)</f>
        <v/>
      </c>
      <c r="G2398" s="91"/>
      <c r="K2398" s="31" t="str">
        <f>IFERROR(VLOOKUP(A2398,Table!$I$4:$O$3000,1,TRUE),"")</f>
        <v/>
      </c>
      <c r="L2398" s="31" t="str">
        <f>IFERROR(INDEX(Table!I:O,MATCH(K2398,Table!I:I,0),2),"")</f>
        <v/>
      </c>
      <c r="M2398" s="31" t="str">
        <f>IFERROR(INDEX(Table!I:O,MATCH(K2398,Table!I:I,0),3),"")</f>
        <v/>
      </c>
      <c r="N2398" s="32" t="str">
        <f>IFERROR(INDEX(Table!I:O,MATCH(K2398,Table!I:I,0),4),"")</f>
        <v/>
      </c>
      <c r="O2398" s="32" t="str">
        <f>IFERROR(INDEX(Table!I:O,MATCH(K2398,Table!I:I,0),5),"")</f>
        <v/>
      </c>
      <c r="P2398" s="32" t="str">
        <f>IFERROR(INDEX(Table!I:O,MATCH(K2398,Table!I:I,0),6),"")</f>
        <v/>
      </c>
      <c r="Q2398" s="89" t="str">
        <f t="shared" si="108"/>
        <v/>
      </c>
      <c r="R2398" s="89" t="str">
        <f t="shared" si="109"/>
        <v/>
      </c>
      <c r="S2398" s="82"/>
      <c r="U2398" s="37"/>
    </row>
    <row r="2399" spans="1:21" x14ac:dyDescent="0.25">
      <c r="A2399" s="31" t="str">
        <f>IF(Table!A2399 = "","",Table!A2399)</f>
        <v/>
      </c>
      <c r="B2399" s="31" t="str">
        <f>IF(Table!B2399 = "","",Table!B2399)</f>
        <v/>
      </c>
      <c r="C2399" s="31" t="str">
        <f>IF(Table!C2399 = "","",Table!C2399)</f>
        <v/>
      </c>
      <c r="D2399" s="32" t="str">
        <f>IF(Table!D2399 = "","",Table!D2399)</f>
        <v/>
      </c>
      <c r="E2399" s="32" t="str">
        <f>IF(Table!E2399 = "","",Table!E2399)</f>
        <v/>
      </c>
      <c r="F2399" s="32" t="str">
        <f>IF(Table!F2399 = "","",Table!F2399)</f>
        <v/>
      </c>
      <c r="G2399" s="91"/>
      <c r="K2399" s="31" t="str">
        <f>IFERROR(VLOOKUP(A2399,Table!$I$4:$O$3000,1,TRUE),"")</f>
        <v/>
      </c>
      <c r="L2399" s="31" t="str">
        <f>IFERROR(INDEX(Table!I:O,MATCH(K2399,Table!I:I,0),2),"")</f>
        <v/>
      </c>
      <c r="M2399" s="31" t="str">
        <f>IFERROR(INDEX(Table!I:O,MATCH(K2399,Table!I:I,0),3),"")</f>
        <v/>
      </c>
      <c r="N2399" s="32" t="str">
        <f>IFERROR(INDEX(Table!I:O,MATCH(K2399,Table!I:I,0),4),"")</f>
        <v/>
      </c>
      <c r="O2399" s="32" t="str">
        <f>IFERROR(INDEX(Table!I:O,MATCH(K2399,Table!I:I,0),5),"")</f>
        <v/>
      </c>
      <c r="P2399" s="32" t="str">
        <f>IFERROR(INDEX(Table!I:O,MATCH(K2399,Table!I:I,0),6),"")</f>
        <v/>
      </c>
      <c r="Q2399" s="89" t="str">
        <f t="shared" si="108"/>
        <v/>
      </c>
      <c r="R2399" s="89" t="str">
        <f t="shared" si="109"/>
        <v/>
      </c>
      <c r="S2399" s="82"/>
      <c r="U2399" s="37"/>
    </row>
    <row r="2400" spans="1:21" x14ac:dyDescent="0.25">
      <c r="A2400" s="31" t="str">
        <f>IF(Table!A2400 = "","",Table!A2400)</f>
        <v/>
      </c>
      <c r="B2400" s="31" t="str">
        <f>IF(Table!B2400 = "","",Table!B2400)</f>
        <v/>
      </c>
      <c r="C2400" s="31" t="str">
        <f>IF(Table!C2400 = "","",Table!C2400)</f>
        <v/>
      </c>
      <c r="D2400" s="32" t="str">
        <f>IF(Table!D2400 = "","",Table!D2400)</f>
        <v/>
      </c>
      <c r="E2400" s="32" t="str">
        <f>IF(Table!E2400 = "","",Table!E2400)</f>
        <v/>
      </c>
      <c r="F2400" s="32" t="str">
        <f>IF(Table!F2400 = "","",Table!F2400)</f>
        <v/>
      </c>
      <c r="G2400" s="91"/>
      <c r="K2400" s="31" t="str">
        <f>IFERROR(VLOOKUP(A2400,Table!$I$4:$O$3000,1,TRUE),"")</f>
        <v/>
      </c>
      <c r="L2400" s="31" t="str">
        <f>IFERROR(INDEX(Table!I:O,MATCH(K2400,Table!I:I,0),2),"")</f>
        <v/>
      </c>
      <c r="M2400" s="31" t="str">
        <f>IFERROR(INDEX(Table!I:O,MATCH(K2400,Table!I:I,0),3),"")</f>
        <v/>
      </c>
      <c r="N2400" s="32" t="str">
        <f>IFERROR(INDEX(Table!I:O,MATCH(K2400,Table!I:I,0),4),"")</f>
        <v/>
      </c>
      <c r="O2400" s="32" t="str">
        <f>IFERROR(INDEX(Table!I:O,MATCH(K2400,Table!I:I,0),5),"")</f>
        <v/>
      </c>
      <c r="P2400" s="32" t="str">
        <f>IFERROR(INDEX(Table!I:O,MATCH(K2400,Table!I:I,0),6),"")</f>
        <v/>
      </c>
      <c r="Q2400" s="89" t="str">
        <f t="shared" si="108"/>
        <v/>
      </c>
      <c r="R2400" s="89" t="str">
        <f t="shared" si="109"/>
        <v/>
      </c>
      <c r="S2400" s="82"/>
      <c r="U2400" s="37"/>
    </row>
    <row r="2401" spans="1:21" x14ac:dyDescent="0.25">
      <c r="A2401" s="31" t="str">
        <f>IF(Table!A2401 = "","",Table!A2401)</f>
        <v/>
      </c>
      <c r="B2401" s="31" t="str">
        <f>IF(Table!B2401 = "","",Table!B2401)</f>
        <v/>
      </c>
      <c r="C2401" s="31" t="str">
        <f>IF(Table!C2401 = "","",Table!C2401)</f>
        <v/>
      </c>
      <c r="D2401" s="32" t="str">
        <f>IF(Table!D2401 = "","",Table!D2401)</f>
        <v/>
      </c>
      <c r="E2401" s="32" t="str">
        <f>IF(Table!E2401 = "","",Table!E2401)</f>
        <v/>
      </c>
      <c r="F2401" s="32" t="str">
        <f>IF(Table!F2401 = "","",Table!F2401)</f>
        <v/>
      </c>
      <c r="G2401" s="91"/>
      <c r="K2401" s="31" t="str">
        <f>IFERROR(VLOOKUP(A2401,Table!$I$4:$O$3000,1,TRUE),"")</f>
        <v/>
      </c>
      <c r="L2401" s="31" t="str">
        <f>IFERROR(INDEX(Table!I:O,MATCH(K2401,Table!I:I,0),2),"")</f>
        <v/>
      </c>
      <c r="M2401" s="31" t="str">
        <f>IFERROR(INDEX(Table!I:O,MATCH(K2401,Table!I:I,0),3),"")</f>
        <v/>
      </c>
      <c r="N2401" s="32" t="str">
        <f>IFERROR(INDEX(Table!I:O,MATCH(K2401,Table!I:I,0),4),"")</f>
        <v/>
      </c>
      <c r="O2401" s="32" t="str">
        <f>IFERROR(INDEX(Table!I:O,MATCH(K2401,Table!I:I,0),5),"")</f>
        <v/>
      </c>
      <c r="P2401" s="32" t="str">
        <f>IFERROR(INDEX(Table!I:O,MATCH(K2401,Table!I:I,0),6),"")</f>
        <v/>
      </c>
      <c r="Q2401" s="89" t="str">
        <f t="shared" si="108"/>
        <v/>
      </c>
      <c r="R2401" s="89" t="str">
        <f t="shared" si="109"/>
        <v/>
      </c>
      <c r="S2401" s="82"/>
      <c r="U2401" s="37"/>
    </row>
    <row r="2402" spans="1:21" x14ac:dyDescent="0.25">
      <c r="A2402" s="31" t="str">
        <f>IF(Table!A2402 = "","",Table!A2402)</f>
        <v/>
      </c>
      <c r="B2402" s="31" t="str">
        <f>IF(Table!B2402 = "","",Table!B2402)</f>
        <v/>
      </c>
      <c r="C2402" s="31" t="str">
        <f>IF(Table!C2402 = "","",Table!C2402)</f>
        <v/>
      </c>
      <c r="D2402" s="32" t="str">
        <f>IF(Table!D2402 = "","",Table!D2402)</f>
        <v/>
      </c>
      <c r="E2402" s="32" t="str">
        <f>IF(Table!E2402 = "","",Table!E2402)</f>
        <v/>
      </c>
      <c r="F2402" s="32" t="str">
        <f>IF(Table!F2402 = "","",Table!F2402)</f>
        <v/>
      </c>
      <c r="G2402" s="91"/>
      <c r="K2402" s="31" t="str">
        <f>IFERROR(VLOOKUP(A2402,Table!$I$4:$O$3000,1,TRUE),"")</f>
        <v/>
      </c>
      <c r="L2402" s="31" t="str">
        <f>IFERROR(INDEX(Table!I:O,MATCH(K2402,Table!I:I,0),2),"")</f>
        <v/>
      </c>
      <c r="M2402" s="31" t="str">
        <f>IFERROR(INDEX(Table!I:O,MATCH(K2402,Table!I:I,0),3),"")</f>
        <v/>
      </c>
      <c r="N2402" s="32" t="str">
        <f>IFERROR(INDEX(Table!I:O,MATCH(K2402,Table!I:I,0),4),"")</f>
        <v/>
      </c>
      <c r="O2402" s="32" t="str">
        <f>IFERROR(INDEX(Table!I:O,MATCH(K2402,Table!I:I,0),5),"")</f>
        <v/>
      </c>
      <c r="P2402" s="32" t="str">
        <f>IFERROR(INDEX(Table!I:O,MATCH(K2402,Table!I:I,0),6),"")</f>
        <v/>
      </c>
      <c r="Q2402" s="89" t="str">
        <f t="shared" si="108"/>
        <v/>
      </c>
      <c r="R2402" s="89" t="str">
        <f t="shared" si="109"/>
        <v/>
      </c>
      <c r="S2402" s="82"/>
      <c r="U2402" s="37"/>
    </row>
    <row r="2403" spans="1:21" x14ac:dyDescent="0.25">
      <c r="A2403" s="31" t="str">
        <f>IF(Table!A2403 = "","",Table!A2403)</f>
        <v/>
      </c>
      <c r="B2403" s="31" t="str">
        <f>IF(Table!B2403 = "","",Table!B2403)</f>
        <v/>
      </c>
      <c r="C2403" s="31" t="str">
        <f>IF(Table!C2403 = "","",Table!C2403)</f>
        <v/>
      </c>
      <c r="D2403" s="32" t="str">
        <f>IF(Table!D2403 = "","",Table!D2403)</f>
        <v/>
      </c>
      <c r="E2403" s="32" t="str">
        <f>IF(Table!E2403 = "","",Table!E2403)</f>
        <v/>
      </c>
      <c r="F2403" s="32" t="str">
        <f>IF(Table!F2403 = "","",Table!F2403)</f>
        <v/>
      </c>
      <c r="G2403" s="91"/>
      <c r="K2403" s="31" t="str">
        <f>IFERROR(VLOOKUP(A2403,Table!$I$4:$O$3000,1,TRUE),"")</f>
        <v/>
      </c>
      <c r="L2403" s="31" t="str">
        <f>IFERROR(INDEX(Table!I:O,MATCH(K2403,Table!I:I,0),2),"")</f>
        <v/>
      </c>
      <c r="M2403" s="31" t="str">
        <f>IFERROR(INDEX(Table!I:O,MATCH(K2403,Table!I:I,0),3),"")</f>
        <v/>
      </c>
      <c r="N2403" s="32" t="str">
        <f>IFERROR(INDEX(Table!I:O,MATCH(K2403,Table!I:I,0),4),"")</f>
        <v/>
      </c>
      <c r="O2403" s="32" t="str">
        <f>IFERROR(INDEX(Table!I:O,MATCH(K2403,Table!I:I,0),5),"")</f>
        <v/>
      </c>
      <c r="P2403" s="32" t="str">
        <f>IFERROR(INDEX(Table!I:O,MATCH(K2403,Table!I:I,0),6),"")</f>
        <v/>
      </c>
      <c r="Q2403" s="89" t="str">
        <f t="shared" si="108"/>
        <v/>
      </c>
      <c r="R2403" s="89" t="str">
        <f t="shared" si="109"/>
        <v/>
      </c>
      <c r="S2403" s="82"/>
      <c r="U2403" s="37"/>
    </row>
    <row r="2404" spans="1:21" x14ac:dyDescent="0.25">
      <c r="A2404" s="31" t="str">
        <f>IF(Table!A2404 = "","",Table!A2404)</f>
        <v/>
      </c>
      <c r="B2404" s="31" t="str">
        <f>IF(Table!B2404 = "","",Table!B2404)</f>
        <v/>
      </c>
      <c r="C2404" s="31" t="str">
        <f>IF(Table!C2404 = "","",Table!C2404)</f>
        <v/>
      </c>
      <c r="D2404" s="32" t="str">
        <f>IF(Table!D2404 = "","",Table!D2404)</f>
        <v/>
      </c>
      <c r="E2404" s="32" t="str">
        <f>IF(Table!E2404 = "","",Table!E2404)</f>
        <v/>
      </c>
      <c r="F2404" s="32" t="str">
        <f>IF(Table!F2404 = "","",Table!F2404)</f>
        <v/>
      </c>
      <c r="G2404" s="91"/>
      <c r="K2404" s="31" t="str">
        <f>IFERROR(VLOOKUP(A2404,Table!$I$4:$O$3000,1,TRUE),"")</f>
        <v/>
      </c>
      <c r="L2404" s="31" t="str">
        <f>IFERROR(INDEX(Table!I:O,MATCH(K2404,Table!I:I,0),2),"")</f>
        <v/>
      </c>
      <c r="M2404" s="31" t="str">
        <f>IFERROR(INDEX(Table!I:O,MATCH(K2404,Table!I:I,0),3),"")</f>
        <v/>
      </c>
      <c r="N2404" s="32" t="str">
        <f>IFERROR(INDEX(Table!I:O,MATCH(K2404,Table!I:I,0),4),"")</f>
        <v/>
      </c>
      <c r="O2404" s="32" t="str">
        <f>IFERROR(INDEX(Table!I:O,MATCH(K2404,Table!I:I,0),5),"")</f>
        <v/>
      </c>
      <c r="P2404" s="32" t="str">
        <f>IFERROR(INDEX(Table!I:O,MATCH(K2404,Table!I:I,0),6),"")</f>
        <v/>
      </c>
      <c r="Q2404" s="89" t="str">
        <f t="shared" si="108"/>
        <v/>
      </c>
      <c r="R2404" s="89" t="str">
        <f t="shared" si="109"/>
        <v/>
      </c>
      <c r="S2404" s="82"/>
      <c r="U2404" s="37"/>
    </row>
    <row r="2405" spans="1:21" x14ac:dyDescent="0.25">
      <c r="A2405" s="31" t="str">
        <f>IF(Table!A2405 = "","",Table!A2405)</f>
        <v/>
      </c>
      <c r="B2405" s="31" t="str">
        <f>IF(Table!B2405 = "","",Table!B2405)</f>
        <v/>
      </c>
      <c r="C2405" s="31" t="str">
        <f>IF(Table!C2405 = "","",Table!C2405)</f>
        <v/>
      </c>
      <c r="D2405" s="32" t="str">
        <f>IF(Table!D2405 = "","",Table!D2405)</f>
        <v/>
      </c>
      <c r="E2405" s="32" t="str">
        <f>IF(Table!E2405 = "","",Table!E2405)</f>
        <v/>
      </c>
      <c r="F2405" s="32" t="str">
        <f>IF(Table!F2405 = "","",Table!F2405)</f>
        <v/>
      </c>
      <c r="G2405" s="91"/>
      <c r="K2405" s="31" t="str">
        <f>IFERROR(VLOOKUP(A2405,Table!$I$4:$O$3000,1,TRUE),"")</f>
        <v/>
      </c>
      <c r="L2405" s="31" t="str">
        <f>IFERROR(INDEX(Table!I:O,MATCH(K2405,Table!I:I,0),2),"")</f>
        <v/>
      </c>
      <c r="M2405" s="31" t="str">
        <f>IFERROR(INDEX(Table!I:O,MATCH(K2405,Table!I:I,0),3),"")</f>
        <v/>
      </c>
      <c r="N2405" s="32" t="str">
        <f>IFERROR(INDEX(Table!I:O,MATCH(K2405,Table!I:I,0),4),"")</f>
        <v/>
      </c>
      <c r="O2405" s="32" t="str">
        <f>IFERROR(INDEX(Table!I:O,MATCH(K2405,Table!I:I,0),5),"")</f>
        <v/>
      </c>
      <c r="P2405" s="32" t="str">
        <f>IFERROR(INDEX(Table!I:O,MATCH(K2405,Table!I:I,0),6),"")</f>
        <v/>
      </c>
      <c r="Q2405" s="89" t="str">
        <f t="shared" si="108"/>
        <v/>
      </c>
      <c r="R2405" s="89" t="str">
        <f t="shared" si="109"/>
        <v/>
      </c>
      <c r="S2405" s="82"/>
      <c r="U2405" s="37"/>
    </row>
    <row r="2406" spans="1:21" x14ac:dyDescent="0.25">
      <c r="A2406" s="31" t="str">
        <f>IF(Table!A2406 = "","",Table!A2406)</f>
        <v/>
      </c>
      <c r="B2406" s="31" t="str">
        <f>IF(Table!B2406 = "","",Table!B2406)</f>
        <v/>
      </c>
      <c r="C2406" s="31" t="str">
        <f>IF(Table!C2406 = "","",Table!C2406)</f>
        <v/>
      </c>
      <c r="D2406" s="32" t="str">
        <f>IF(Table!D2406 = "","",Table!D2406)</f>
        <v/>
      </c>
      <c r="E2406" s="32" t="str">
        <f>IF(Table!E2406 = "","",Table!E2406)</f>
        <v/>
      </c>
      <c r="F2406" s="32" t="str">
        <f>IF(Table!F2406 = "","",Table!F2406)</f>
        <v/>
      </c>
      <c r="G2406" s="91"/>
      <c r="K2406" s="31" t="str">
        <f>IFERROR(VLOOKUP(A2406,Table!$I$4:$O$3000,1,TRUE),"")</f>
        <v/>
      </c>
      <c r="L2406" s="31" t="str">
        <f>IFERROR(INDEX(Table!I:O,MATCH(K2406,Table!I:I,0),2),"")</f>
        <v/>
      </c>
      <c r="M2406" s="31" t="str">
        <f>IFERROR(INDEX(Table!I:O,MATCH(K2406,Table!I:I,0),3),"")</f>
        <v/>
      </c>
      <c r="N2406" s="32" t="str">
        <f>IFERROR(INDEX(Table!I:O,MATCH(K2406,Table!I:I,0),4),"")</f>
        <v/>
      </c>
      <c r="O2406" s="32" t="str">
        <f>IFERROR(INDEX(Table!I:O,MATCH(K2406,Table!I:I,0),5),"")</f>
        <v/>
      </c>
      <c r="P2406" s="32" t="str">
        <f>IFERROR(INDEX(Table!I:O,MATCH(K2406,Table!I:I,0),6),"")</f>
        <v/>
      </c>
      <c r="Q2406" s="89" t="str">
        <f t="shared" si="108"/>
        <v/>
      </c>
      <c r="R2406" s="89" t="str">
        <f t="shared" si="109"/>
        <v/>
      </c>
      <c r="S2406" s="82"/>
      <c r="U2406" s="37"/>
    </row>
    <row r="2407" spans="1:21" x14ac:dyDescent="0.25">
      <c r="A2407" s="31" t="str">
        <f>IF(Table!A2407 = "","",Table!A2407)</f>
        <v/>
      </c>
      <c r="B2407" s="31" t="str">
        <f>IF(Table!B2407 = "","",Table!B2407)</f>
        <v/>
      </c>
      <c r="C2407" s="31" t="str">
        <f>IF(Table!C2407 = "","",Table!C2407)</f>
        <v/>
      </c>
      <c r="D2407" s="32" t="str">
        <f>IF(Table!D2407 = "","",Table!D2407)</f>
        <v/>
      </c>
      <c r="E2407" s="32" t="str">
        <f>IF(Table!E2407 = "","",Table!E2407)</f>
        <v/>
      </c>
      <c r="F2407" s="32" t="str">
        <f>IF(Table!F2407 = "","",Table!F2407)</f>
        <v/>
      </c>
      <c r="G2407" s="91"/>
      <c r="K2407" s="31" t="str">
        <f>IFERROR(VLOOKUP(A2407,Table!$I$4:$O$3000,1,TRUE),"")</f>
        <v/>
      </c>
      <c r="L2407" s="31" t="str">
        <f>IFERROR(INDEX(Table!I:O,MATCH(K2407,Table!I:I,0),2),"")</f>
        <v/>
      </c>
      <c r="M2407" s="31" t="str">
        <f>IFERROR(INDEX(Table!I:O,MATCH(K2407,Table!I:I,0),3),"")</f>
        <v/>
      </c>
      <c r="N2407" s="32" t="str">
        <f>IFERROR(INDEX(Table!I:O,MATCH(K2407,Table!I:I,0),4),"")</f>
        <v/>
      </c>
      <c r="O2407" s="32" t="str">
        <f>IFERROR(INDEX(Table!I:O,MATCH(K2407,Table!I:I,0),5),"")</f>
        <v/>
      </c>
      <c r="P2407" s="32" t="str">
        <f>IFERROR(INDEX(Table!I:O,MATCH(K2407,Table!I:I,0),6),"")</f>
        <v/>
      </c>
      <c r="Q2407" s="89" t="str">
        <f t="shared" si="108"/>
        <v/>
      </c>
      <c r="R2407" s="89" t="str">
        <f t="shared" si="109"/>
        <v/>
      </c>
      <c r="S2407" s="82"/>
      <c r="U2407" s="37"/>
    </row>
    <row r="2408" spans="1:21" x14ac:dyDescent="0.25">
      <c r="A2408" s="31" t="str">
        <f>IF(Table!A2408 = "","",Table!A2408)</f>
        <v/>
      </c>
      <c r="B2408" s="31" t="str">
        <f>IF(Table!B2408 = "","",Table!B2408)</f>
        <v/>
      </c>
      <c r="C2408" s="31" t="str">
        <f>IF(Table!C2408 = "","",Table!C2408)</f>
        <v/>
      </c>
      <c r="D2408" s="32" t="str">
        <f>IF(Table!D2408 = "","",Table!D2408)</f>
        <v/>
      </c>
      <c r="E2408" s="32" t="str">
        <f>IF(Table!E2408 = "","",Table!E2408)</f>
        <v/>
      </c>
      <c r="F2408" s="32" t="str">
        <f>IF(Table!F2408 = "","",Table!F2408)</f>
        <v/>
      </c>
      <c r="G2408" s="91"/>
      <c r="K2408" s="31" t="str">
        <f>IFERROR(VLOOKUP(A2408,Table!$I$4:$O$3000,1,TRUE),"")</f>
        <v/>
      </c>
      <c r="L2408" s="31" t="str">
        <f>IFERROR(INDEX(Table!I:O,MATCH(K2408,Table!I:I,0),2),"")</f>
        <v/>
      </c>
      <c r="M2408" s="31" t="str">
        <f>IFERROR(INDEX(Table!I:O,MATCH(K2408,Table!I:I,0),3),"")</f>
        <v/>
      </c>
      <c r="N2408" s="32" t="str">
        <f>IFERROR(INDEX(Table!I:O,MATCH(K2408,Table!I:I,0),4),"")</f>
        <v/>
      </c>
      <c r="O2408" s="32" t="str">
        <f>IFERROR(INDEX(Table!I:O,MATCH(K2408,Table!I:I,0),5),"")</f>
        <v/>
      </c>
      <c r="P2408" s="32" t="str">
        <f>IFERROR(INDEX(Table!I:O,MATCH(K2408,Table!I:I,0),6),"")</f>
        <v/>
      </c>
      <c r="Q2408" s="89" t="str">
        <f t="shared" si="108"/>
        <v/>
      </c>
      <c r="R2408" s="89" t="str">
        <f t="shared" si="109"/>
        <v/>
      </c>
      <c r="S2408" s="82"/>
      <c r="U2408" s="37"/>
    </row>
    <row r="2409" spans="1:21" x14ac:dyDescent="0.25">
      <c r="A2409" s="31" t="str">
        <f>IF(Table!A2409 = "","",Table!A2409)</f>
        <v/>
      </c>
      <c r="B2409" s="31" t="str">
        <f>IF(Table!B2409 = "","",Table!B2409)</f>
        <v/>
      </c>
      <c r="C2409" s="31" t="str">
        <f>IF(Table!C2409 = "","",Table!C2409)</f>
        <v/>
      </c>
      <c r="D2409" s="32" t="str">
        <f>IF(Table!D2409 = "","",Table!D2409)</f>
        <v/>
      </c>
      <c r="E2409" s="32" t="str">
        <f>IF(Table!E2409 = "","",Table!E2409)</f>
        <v/>
      </c>
      <c r="F2409" s="32" t="str">
        <f>IF(Table!F2409 = "","",Table!F2409)</f>
        <v/>
      </c>
      <c r="G2409" s="91"/>
      <c r="K2409" s="31" t="str">
        <f>IFERROR(VLOOKUP(A2409,Table!$I$4:$O$3000,1,TRUE),"")</f>
        <v/>
      </c>
      <c r="L2409" s="31" t="str">
        <f>IFERROR(INDEX(Table!I:O,MATCH(K2409,Table!I:I,0),2),"")</f>
        <v/>
      </c>
      <c r="M2409" s="31" t="str">
        <f>IFERROR(INDEX(Table!I:O,MATCH(K2409,Table!I:I,0),3),"")</f>
        <v/>
      </c>
      <c r="N2409" s="32" t="str">
        <f>IFERROR(INDEX(Table!I:O,MATCH(K2409,Table!I:I,0),4),"")</f>
        <v/>
      </c>
      <c r="O2409" s="32" t="str">
        <f>IFERROR(INDEX(Table!I:O,MATCH(K2409,Table!I:I,0),5),"")</f>
        <v/>
      </c>
      <c r="P2409" s="32" t="str">
        <f>IFERROR(INDEX(Table!I:O,MATCH(K2409,Table!I:I,0),6),"")</f>
        <v/>
      </c>
      <c r="Q2409" s="89" t="str">
        <f t="shared" si="108"/>
        <v/>
      </c>
      <c r="R2409" s="89" t="str">
        <f t="shared" si="109"/>
        <v/>
      </c>
      <c r="S2409" s="82"/>
      <c r="U2409" s="37"/>
    </row>
    <row r="2410" spans="1:21" x14ac:dyDescent="0.25">
      <c r="A2410" s="31" t="str">
        <f>IF(Table!A2410 = "","",Table!A2410)</f>
        <v/>
      </c>
      <c r="B2410" s="31" t="str">
        <f>IF(Table!B2410 = "","",Table!B2410)</f>
        <v/>
      </c>
      <c r="C2410" s="31" t="str">
        <f>IF(Table!C2410 = "","",Table!C2410)</f>
        <v/>
      </c>
      <c r="D2410" s="32" t="str">
        <f>IF(Table!D2410 = "","",Table!D2410)</f>
        <v/>
      </c>
      <c r="E2410" s="32" t="str">
        <f>IF(Table!E2410 = "","",Table!E2410)</f>
        <v/>
      </c>
      <c r="F2410" s="32" t="str">
        <f>IF(Table!F2410 = "","",Table!F2410)</f>
        <v/>
      </c>
      <c r="G2410" s="91"/>
      <c r="K2410" s="31" t="str">
        <f>IFERROR(VLOOKUP(A2410,Table!$I$4:$O$3000,1,TRUE),"")</f>
        <v/>
      </c>
      <c r="L2410" s="31" t="str">
        <f>IFERROR(INDEX(Table!I:O,MATCH(K2410,Table!I:I,0),2),"")</f>
        <v/>
      </c>
      <c r="M2410" s="31" t="str">
        <f>IFERROR(INDEX(Table!I:O,MATCH(K2410,Table!I:I,0),3),"")</f>
        <v/>
      </c>
      <c r="N2410" s="32" t="str">
        <f>IFERROR(INDEX(Table!I:O,MATCH(K2410,Table!I:I,0),4),"")</f>
        <v/>
      </c>
      <c r="O2410" s="32" t="str">
        <f>IFERROR(INDEX(Table!I:O,MATCH(K2410,Table!I:I,0),5),"")</f>
        <v/>
      </c>
      <c r="P2410" s="32" t="str">
        <f>IFERROR(INDEX(Table!I:O,MATCH(K2410,Table!I:I,0),6),"")</f>
        <v/>
      </c>
      <c r="Q2410" s="89" t="str">
        <f t="shared" si="108"/>
        <v/>
      </c>
      <c r="R2410" s="89" t="str">
        <f t="shared" si="109"/>
        <v/>
      </c>
      <c r="S2410" s="82"/>
      <c r="U2410" s="37"/>
    </row>
    <row r="2411" spans="1:21" x14ac:dyDescent="0.25">
      <c r="A2411" s="31" t="str">
        <f>IF(Table!A2411 = "","",Table!A2411)</f>
        <v/>
      </c>
      <c r="B2411" s="31" t="str">
        <f>IF(Table!B2411 = "","",Table!B2411)</f>
        <v/>
      </c>
      <c r="C2411" s="31" t="str">
        <f>IF(Table!C2411 = "","",Table!C2411)</f>
        <v/>
      </c>
      <c r="D2411" s="32" t="str">
        <f>IF(Table!D2411 = "","",Table!D2411)</f>
        <v/>
      </c>
      <c r="E2411" s="32" t="str">
        <f>IF(Table!E2411 = "","",Table!E2411)</f>
        <v/>
      </c>
      <c r="F2411" s="32" t="str">
        <f>IF(Table!F2411 = "","",Table!F2411)</f>
        <v/>
      </c>
      <c r="G2411" s="91"/>
      <c r="K2411" s="31" t="str">
        <f>IFERROR(VLOOKUP(A2411,Table!$I$4:$O$3000,1,TRUE),"")</f>
        <v/>
      </c>
      <c r="L2411" s="31" t="str">
        <f>IFERROR(INDEX(Table!I:O,MATCH(K2411,Table!I:I,0),2),"")</f>
        <v/>
      </c>
      <c r="M2411" s="31" t="str">
        <f>IFERROR(INDEX(Table!I:O,MATCH(K2411,Table!I:I,0),3),"")</f>
        <v/>
      </c>
      <c r="N2411" s="32" t="str">
        <f>IFERROR(INDEX(Table!I:O,MATCH(K2411,Table!I:I,0),4),"")</f>
        <v/>
      </c>
      <c r="O2411" s="32" t="str">
        <f>IFERROR(INDEX(Table!I:O,MATCH(K2411,Table!I:I,0),5),"")</f>
        <v/>
      </c>
      <c r="P2411" s="32" t="str">
        <f>IFERROR(INDEX(Table!I:O,MATCH(K2411,Table!I:I,0),6),"")</f>
        <v/>
      </c>
      <c r="Q2411" s="89" t="str">
        <f t="shared" si="108"/>
        <v/>
      </c>
      <c r="R2411" s="89" t="str">
        <f t="shared" si="109"/>
        <v/>
      </c>
      <c r="S2411" s="82"/>
      <c r="U2411" s="37"/>
    </row>
    <row r="2412" spans="1:21" x14ac:dyDescent="0.25">
      <c r="A2412" s="31" t="str">
        <f>IF(Table!A2412 = "","",Table!A2412)</f>
        <v/>
      </c>
      <c r="B2412" s="31" t="str">
        <f>IF(Table!B2412 = "","",Table!B2412)</f>
        <v/>
      </c>
      <c r="C2412" s="31" t="str">
        <f>IF(Table!C2412 = "","",Table!C2412)</f>
        <v/>
      </c>
      <c r="D2412" s="32" t="str">
        <f>IF(Table!D2412 = "","",Table!D2412)</f>
        <v/>
      </c>
      <c r="E2412" s="32" t="str">
        <f>IF(Table!E2412 = "","",Table!E2412)</f>
        <v/>
      </c>
      <c r="F2412" s="32" t="str">
        <f>IF(Table!F2412 = "","",Table!F2412)</f>
        <v/>
      </c>
      <c r="G2412" s="91"/>
      <c r="K2412" s="31" t="str">
        <f>IFERROR(VLOOKUP(A2412,Table!$I$4:$O$3000,1,TRUE),"")</f>
        <v/>
      </c>
      <c r="L2412" s="31" t="str">
        <f>IFERROR(INDEX(Table!I:O,MATCH(K2412,Table!I:I,0),2),"")</f>
        <v/>
      </c>
      <c r="M2412" s="31" t="str">
        <f>IFERROR(INDEX(Table!I:O,MATCH(K2412,Table!I:I,0),3),"")</f>
        <v/>
      </c>
      <c r="N2412" s="32" t="str">
        <f>IFERROR(INDEX(Table!I:O,MATCH(K2412,Table!I:I,0),4),"")</f>
        <v/>
      </c>
      <c r="O2412" s="32" t="str">
        <f>IFERROR(INDEX(Table!I:O,MATCH(K2412,Table!I:I,0),5),"")</f>
        <v/>
      </c>
      <c r="P2412" s="32" t="str">
        <f>IFERROR(INDEX(Table!I:O,MATCH(K2412,Table!I:I,0),6),"")</f>
        <v/>
      </c>
      <c r="Q2412" s="89" t="str">
        <f t="shared" si="108"/>
        <v/>
      </c>
      <c r="R2412" s="89" t="str">
        <f t="shared" si="109"/>
        <v/>
      </c>
      <c r="S2412" s="82"/>
      <c r="U2412" s="37"/>
    </row>
    <row r="2413" spans="1:21" x14ac:dyDescent="0.25">
      <c r="A2413" s="31" t="str">
        <f>IF(Table!A2413 = "","",Table!A2413)</f>
        <v/>
      </c>
      <c r="B2413" s="31" t="str">
        <f>IF(Table!B2413 = "","",Table!B2413)</f>
        <v/>
      </c>
      <c r="C2413" s="31" t="str">
        <f>IF(Table!C2413 = "","",Table!C2413)</f>
        <v/>
      </c>
      <c r="D2413" s="32" t="str">
        <f>IF(Table!D2413 = "","",Table!D2413)</f>
        <v/>
      </c>
      <c r="E2413" s="32" t="str">
        <f>IF(Table!E2413 = "","",Table!E2413)</f>
        <v/>
      </c>
      <c r="F2413" s="32" t="str">
        <f>IF(Table!F2413 = "","",Table!F2413)</f>
        <v/>
      </c>
      <c r="G2413" s="91"/>
      <c r="K2413" s="31" t="str">
        <f>IFERROR(VLOOKUP(A2413,Table!$I$4:$O$3000,1,TRUE),"")</f>
        <v/>
      </c>
      <c r="L2413" s="31" t="str">
        <f>IFERROR(INDEX(Table!I:O,MATCH(K2413,Table!I:I,0),2),"")</f>
        <v/>
      </c>
      <c r="M2413" s="31" t="str">
        <f>IFERROR(INDEX(Table!I:O,MATCH(K2413,Table!I:I,0),3),"")</f>
        <v/>
      </c>
      <c r="N2413" s="32" t="str">
        <f>IFERROR(INDEX(Table!I:O,MATCH(K2413,Table!I:I,0),4),"")</f>
        <v/>
      </c>
      <c r="O2413" s="32" t="str">
        <f>IFERROR(INDEX(Table!I:O,MATCH(K2413,Table!I:I,0),5),"")</f>
        <v/>
      </c>
      <c r="P2413" s="32" t="str">
        <f>IFERROR(INDEX(Table!I:O,MATCH(K2413,Table!I:I,0),6),"")</f>
        <v/>
      </c>
      <c r="Q2413" s="89" t="str">
        <f t="shared" si="108"/>
        <v/>
      </c>
      <c r="R2413" s="89" t="str">
        <f t="shared" si="109"/>
        <v/>
      </c>
      <c r="S2413" s="82"/>
      <c r="U2413" s="37"/>
    </row>
    <row r="2414" spans="1:21" x14ac:dyDescent="0.25">
      <c r="A2414" s="31" t="str">
        <f>IF(Table!A2414 = "","",Table!A2414)</f>
        <v/>
      </c>
      <c r="B2414" s="31" t="str">
        <f>IF(Table!B2414 = "","",Table!B2414)</f>
        <v/>
      </c>
      <c r="C2414" s="31" t="str">
        <f>IF(Table!C2414 = "","",Table!C2414)</f>
        <v/>
      </c>
      <c r="D2414" s="32" t="str">
        <f>IF(Table!D2414 = "","",Table!D2414)</f>
        <v/>
      </c>
      <c r="E2414" s="32" t="str">
        <f>IF(Table!E2414 = "","",Table!E2414)</f>
        <v/>
      </c>
      <c r="F2414" s="32" t="str">
        <f>IF(Table!F2414 = "","",Table!F2414)</f>
        <v/>
      </c>
      <c r="G2414" s="91"/>
      <c r="K2414" s="31" t="str">
        <f>IFERROR(VLOOKUP(A2414,Table!$I$4:$O$3000,1,TRUE),"")</f>
        <v/>
      </c>
      <c r="L2414" s="31" t="str">
        <f>IFERROR(INDEX(Table!I:O,MATCH(K2414,Table!I:I,0),2),"")</f>
        <v/>
      </c>
      <c r="M2414" s="31" t="str">
        <f>IFERROR(INDEX(Table!I:O,MATCH(K2414,Table!I:I,0),3),"")</f>
        <v/>
      </c>
      <c r="N2414" s="32" t="str">
        <f>IFERROR(INDEX(Table!I:O,MATCH(K2414,Table!I:I,0),4),"")</f>
        <v/>
      </c>
      <c r="O2414" s="32" t="str">
        <f>IFERROR(INDEX(Table!I:O,MATCH(K2414,Table!I:I,0),5),"")</f>
        <v/>
      </c>
      <c r="P2414" s="32" t="str">
        <f>IFERROR(INDEX(Table!I:O,MATCH(K2414,Table!I:I,0),6),"")</f>
        <v/>
      </c>
      <c r="Q2414" s="89" t="str">
        <f t="shared" si="108"/>
        <v/>
      </c>
      <c r="R2414" s="89" t="str">
        <f t="shared" si="109"/>
        <v/>
      </c>
      <c r="S2414" s="82"/>
      <c r="U2414" s="37"/>
    </row>
    <row r="2415" spans="1:21" x14ac:dyDescent="0.25">
      <c r="A2415" s="31" t="str">
        <f>IF(Table!A2415 = "","",Table!A2415)</f>
        <v/>
      </c>
      <c r="B2415" s="31" t="str">
        <f>IF(Table!B2415 = "","",Table!B2415)</f>
        <v/>
      </c>
      <c r="C2415" s="31" t="str">
        <f>IF(Table!C2415 = "","",Table!C2415)</f>
        <v/>
      </c>
      <c r="D2415" s="32" t="str">
        <f>IF(Table!D2415 = "","",Table!D2415)</f>
        <v/>
      </c>
      <c r="E2415" s="32" t="str">
        <f>IF(Table!E2415 = "","",Table!E2415)</f>
        <v/>
      </c>
      <c r="F2415" s="32" t="str">
        <f>IF(Table!F2415 = "","",Table!F2415)</f>
        <v/>
      </c>
      <c r="G2415" s="91"/>
      <c r="K2415" s="31" t="str">
        <f>IFERROR(VLOOKUP(A2415,Table!$I$4:$O$3000,1,TRUE),"")</f>
        <v/>
      </c>
      <c r="L2415" s="31" t="str">
        <f>IFERROR(INDEX(Table!I:O,MATCH(K2415,Table!I:I,0),2),"")</f>
        <v/>
      </c>
      <c r="M2415" s="31" t="str">
        <f>IFERROR(INDEX(Table!I:O,MATCH(K2415,Table!I:I,0),3),"")</f>
        <v/>
      </c>
      <c r="N2415" s="32" t="str">
        <f>IFERROR(INDEX(Table!I:O,MATCH(K2415,Table!I:I,0),4),"")</f>
        <v/>
      </c>
      <c r="O2415" s="32" t="str">
        <f>IFERROR(INDEX(Table!I:O,MATCH(K2415,Table!I:I,0),5),"")</f>
        <v/>
      </c>
      <c r="P2415" s="32" t="str">
        <f>IFERROR(INDEX(Table!I:O,MATCH(K2415,Table!I:I,0),6),"")</f>
        <v/>
      </c>
      <c r="Q2415" s="89" t="str">
        <f t="shared" si="108"/>
        <v/>
      </c>
      <c r="R2415" s="89" t="str">
        <f t="shared" si="109"/>
        <v/>
      </c>
      <c r="S2415" s="82"/>
      <c r="U2415" s="37"/>
    </row>
    <row r="2416" spans="1:21" x14ac:dyDescent="0.25">
      <c r="A2416" s="31" t="str">
        <f>IF(Table!A2416 = "","",Table!A2416)</f>
        <v/>
      </c>
      <c r="B2416" s="31" t="str">
        <f>IF(Table!B2416 = "","",Table!B2416)</f>
        <v/>
      </c>
      <c r="C2416" s="31" t="str">
        <f>IF(Table!C2416 = "","",Table!C2416)</f>
        <v/>
      </c>
      <c r="D2416" s="32" t="str">
        <f>IF(Table!D2416 = "","",Table!D2416)</f>
        <v/>
      </c>
      <c r="E2416" s="32" t="str">
        <f>IF(Table!E2416 = "","",Table!E2416)</f>
        <v/>
      </c>
      <c r="F2416" s="32" t="str">
        <f>IF(Table!F2416 = "","",Table!F2416)</f>
        <v/>
      </c>
      <c r="G2416" s="91"/>
      <c r="K2416" s="31" t="str">
        <f>IFERROR(VLOOKUP(A2416,Table!$I$4:$O$3000,1,TRUE),"")</f>
        <v/>
      </c>
      <c r="L2416" s="31" t="str">
        <f>IFERROR(INDEX(Table!I:O,MATCH(K2416,Table!I:I,0),2),"")</f>
        <v/>
      </c>
      <c r="M2416" s="31" t="str">
        <f>IFERROR(INDEX(Table!I:O,MATCH(K2416,Table!I:I,0),3),"")</f>
        <v/>
      </c>
      <c r="N2416" s="32" t="str">
        <f>IFERROR(INDEX(Table!I:O,MATCH(K2416,Table!I:I,0),4),"")</f>
        <v/>
      </c>
      <c r="O2416" s="32" t="str">
        <f>IFERROR(INDEX(Table!I:O,MATCH(K2416,Table!I:I,0),5),"")</f>
        <v/>
      </c>
      <c r="P2416" s="32" t="str">
        <f>IFERROR(INDEX(Table!I:O,MATCH(K2416,Table!I:I,0),6),"")</f>
        <v/>
      </c>
      <c r="Q2416" s="89" t="str">
        <f t="shared" si="108"/>
        <v/>
      </c>
      <c r="R2416" s="89" t="str">
        <f t="shared" si="109"/>
        <v/>
      </c>
      <c r="S2416" s="82"/>
      <c r="U2416" s="37"/>
    </row>
    <row r="2417" spans="1:21" x14ac:dyDescent="0.25">
      <c r="A2417" s="31" t="str">
        <f>IF(Table!A2417 = "","",Table!A2417)</f>
        <v/>
      </c>
      <c r="B2417" s="31" t="str">
        <f>IF(Table!B2417 = "","",Table!B2417)</f>
        <v/>
      </c>
      <c r="C2417" s="31" t="str">
        <f>IF(Table!C2417 = "","",Table!C2417)</f>
        <v/>
      </c>
      <c r="D2417" s="32" t="str">
        <f>IF(Table!D2417 = "","",Table!D2417)</f>
        <v/>
      </c>
      <c r="E2417" s="32" t="str">
        <f>IF(Table!E2417 = "","",Table!E2417)</f>
        <v/>
      </c>
      <c r="F2417" s="32" t="str">
        <f>IF(Table!F2417 = "","",Table!F2417)</f>
        <v/>
      </c>
      <c r="G2417" s="91"/>
      <c r="K2417" s="31" t="str">
        <f>IFERROR(VLOOKUP(A2417,Table!$I$4:$O$3000,1,TRUE),"")</f>
        <v/>
      </c>
      <c r="L2417" s="31" t="str">
        <f>IFERROR(INDEX(Table!I:O,MATCH(K2417,Table!I:I,0),2),"")</f>
        <v/>
      </c>
      <c r="M2417" s="31" t="str">
        <f>IFERROR(INDEX(Table!I:O,MATCH(K2417,Table!I:I,0),3),"")</f>
        <v/>
      </c>
      <c r="N2417" s="32" t="str">
        <f>IFERROR(INDEX(Table!I:O,MATCH(K2417,Table!I:I,0),4),"")</f>
        <v/>
      </c>
      <c r="O2417" s="32" t="str">
        <f>IFERROR(INDEX(Table!I:O,MATCH(K2417,Table!I:I,0),5),"")</f>
        <v/>
      </c>
      <c r="P2417" s="32" t="str">
        <f>IFERROR(INDEX(Table!I:O,MATCH(K2417,Table!I:I,0),6),"")</f>
        <v/>
      </c>
      <c r="Q2417" s="89" t="str">
        <f t="shared" si="108"/>
        <v/>
      </c>
      <c r="R2417" s="89" t="str">
        <f t="shared" si="109"/>
        <v/>
      </c>
      <c r="S2417" s="82"/>
      <c r="U2417" s="37"/>
    </row>
    <row r="2418" spans="1:21" x14ac:dyDescent="0.25">
      <c r="A2418" s="31" t="str">
        <f>IF(Table!A2418 = "","",Table!A2418)</f>
        <v/>
      </c>
      <c r="B2418" s="31" t="str">
        <f>IF(Table!B2418 = "","",Table!B2418)</f>
        <v/>
      </c>
      <c r="C2418" s="31" t="str">
        <f>IF(Table!C2418 = "","",Table!C2418)</f>
        <v/>
      </c>
      <c r="D2418" s="32" t="str">
        <f>IF(Table!D2418 = "","",Table!D2418)</f>
        <v/>
      </c>
      <c r="E2418" s="32" t="str">
        <f>IF(Table!E2418 = "","",Table!E2418)</f>
        <v/>
      </c>
      <c r="F2418" s="32" t="str">
        <f>IF(Table!F2418 = "","",Table!F2418)</f>
        <v/>
      </c>
      <c r="G2418" s="91"/>
      <c r="K2418" s="31" t="str">
        <f>IFERROR(VLOOKUP(A2418,Table!$I$4:$O$3000,1,TRUE),"")</f>
        <v/>
      </c>
      <c r="L2418" s="31" t="str">
        <f>IFERROR(INDEX(Table!I:O,MATCH(K2418,Table!I:I,0),2),"")</f>
        <v/>
      </c>
      <c r="M2418" s="31" t="str">
        <f>IFERROR(INDEX(Table!I:O,MATCH(K2418,Table!I:I,0),3),"")</f>
        <v/>
      </c>
      <c r="N2418" s="32" t="str">
        <f>IFERROR(INDEX(Table!I:O,MATCH(K2418,Table!I:I,0),4),"")</f>
        <v/>
      </c>
      <c r="O2418" s="32" t="str">
        <f>IFERROR(INDEX(Table!I:O,MATCH(K2418,Table!I:I,0),5),"")</f>
        <v/>
      </c>
      <c r="P2418" s="32" t="str">
        <f>IFERROR(INDEX(Table!I:O,MATCH(K2418,Table!I:I,0),6),"")</f>
        <v/>
      </c>
      <c r="Q2418" s="89" t="str">
        <f t="shared" si="108"/>
        <v/>
      </c>
      <c r="R2418" s="89" t="str">
        <f t="shared" si="109"/>
        <v/>
      </c>
      <c r="S2418" s="82"/>
      <c r="U2418" s="37"/>
    </row>
    <row r="2419" spans="1:21" x14ac:dyDescent="0.25">
      <c r="A2419" s="31" t="str">
        <f>IF(Table!A2419 = "","",Table!A2419)</f>
        <v/>
      </c>
      <c r="B2419" s="31" t="str">
        <f>IF(Table!B2419 = "","",Table!B2419)</f>
        <v/>
      </c>
      <c r="C2419" s="31" t="str">
        <f>IF(Table!C2419 = "","",Table!C2419)</f>
        <v/>
      </c>
      <c r="D2419" s="32" t="str">
        <f>IF(Table!D2419 = "","",Table!D2419)</f>
        <v/>
      </c>
      <c r="E2419" s="32" t="str">
        <f>IF(Table!E2419 = "","",Table!E2419)</f>
        <v/>
      </c>
      <c r="F2419" s="32" t="str">
        <f>IF(Table!F2419 = "","",Table!F2419)</f>
        <v/>
      </c>
      <c r="G2419" s="91"/>
      <c r="K2419" s="31" t="str">
        <f>IFERROR(VLOOKUP(A2419,Table!$I$4:$O$3000,1,TRUE),"")</f>
        <v/>
      </c>
      <c r="L2419" s="31" t="str">
        <f>IFERROR(INDEX(Table!I:O,MATCH(K2419,Table!I:I,0),2),"")</f>
        <v/>
      </c>
      <c r="M2419" s="31" t="str">
        <f>IFERROR(INDEX(Table!I:O,MATCH(K2419,Table!I:I,0),3),"")</f>
        <v/>
      </c>
      <c r="N2419" s="32" t="str">
        <f>IFERROR(INDEX(Table!I:O,MATCH(K2419,Table!I:I,0),4),"")</f>
        <v/>
      </c>
      <c r="O2419" s="32" t="str">
        <f>IFERROR(INDEX(Table!I:O,MATCH(K2419,Table!I:I,0),5),"")</f>
        <v/>
      </c>
      <c r="P2419" s="32" t="str">
        <f>IFERROR(INDEX(Table!I:O,MATCH(K2419,Table!I:I,0),6),"")</f>
        <v/>
      </c>
      <c r="Q2419" s="89" t="str">
        <f t="shared" si="108"/>
        <v/>
      </c>
      <c r="R2419" s="89" t="str">
        <f t="shared" si="109"/>
        <v/>
      </c>
      <c r="S2419" s="82"/>
      <c r="U2419" s="37"/>
    </row>
    <row r="2420" spans="1:21" x14ac:dyDescent="0.25">
      <c r="A2420" s="31" t="str">
        <f>IF(Table!A2420 = "","",Table!A2420)</f>
        <v/>
      </c>
      <c r="B2420" s="31" t="str">
        <f>IF(Table!B2420 = "","",Table!B2420)</f>
        <v/>
      </c>
      <c r="C2420" s="31" t="str">
        <f>IF(Table!C2420 = "","",Table!C2420)</f>
        <v/>
      </c>
      <c r="D2420" s="32" t="str">
        <f>IF(Table!D2420 = "","",Table!D2420)</f>
        <v/>
      </c>
      <c r="E2420" s="32" t="str">
        <f>IF(Table!E2420 = "","",Table!E2420)</f>
        <v/>
      </c>
      <c r="F2420" s="32" t="str">
        <f>IF(Table!F2420 = "","",Table!F2420)</f>
        <v/>
      </c>
      <c r="G2420" s="91"/>
      <c r="K2420" s="31" t="str">
        <f>IFERROR(VLOOKUP(A2420,Table!$I$4:$O$3000,1,TRUE),"")</f>
        <v/>
      </c>
      <c r="L2420" s="31" t="str">
        <f>IFERROR(INDEX(Table!I:O,MATCH(K2420,Table!I:I,0),2),"")</f>
        <v/>
      </c>
      <c r="M2420" s="31" t="str">
        <f>IFERROR(INDEX(Table!I:O,MATCH(K2420,Table!I:I,0),3),"")</f>
        <v/>
      </c>
      <c r="N2420" s="32" t="str">
        <f>IFERROR(INDEX(Table!I:O,MATCH(K2420,Table!I:I,0),4),"")</f>
        <v/>
      </c>
      <c r="O2420" s="32" t="str">
        <f>IFERROR(INDEX(Table!I:O,MATCH(K2420,Table!I:I,0),5),"")</f>
        <v/>
      </c>
      <c r="P2420" s="32" t="str">
        <f>IFERROR(INDEX(Table!I:O,MATCH(K2420,Table!I:I,0),6),"")</f>
        <v/>
      </c>
      <c r="Q2420" s="89" t="str">
        <f t="shared" si="108"/>
        <v/>
      </c>
      <c r="R2420" s="89" t="str">
        <f t="shared" si="109"/>
        <v/>
      </c>
      <c r="S2420" s="82"/>
      <c r="U2420" s="37"/>
    </row>
    <row r="2421" spans="1:21" x14ac:dyDescent="0.25">
      <c r="A2421" s="31" t="str">
        <f>IF(Table!A2421 = "","",Table!A2421)</f>
        <v/>
      </c>
      <c r="B2421" s="31" t="str">
        <f>IF(Table!B2421 = "","",Table!B2421)</f>
        <v/>
      </c>
      <c r="C2421" s="31" t="str">
        <f>IF(Table!C2421 = "","",Table!C2421)</f>
        <v/>
      </c>
      <c r="D2421" s="32" t="str">
        <f>IF(Table!D2421 = "","",Table!D2421)</f>
        <v/>
      </c>
      <c r="E2421" s="32" t="str">
        <f>IF(Table!E2421 = "","",Table!E2421)</f>
        <v/>
      </c>
      <c r="F2421" s="32" t="str">
        <f>IF(Table!F2421 = "","",Table!F2421)</f>
        <v/>
      </c>
      <c r="G2421" s="91"/>
      <c r="K2421" s="31" t="str">
        <f>IFERROR(VLOOKUP(A2421,Table!$I$4:$O$3000,1,TRUE),"")</f>
        <v/>
      </c>
      <c r="L2421" s="31" t="str">
        <f>IFERROR(INDEX(Table!I:O,MATCH(K2421,Table!I:I,0),2),"")</f>
        <v/>
      </c>
      <c r="M2421" s="31" t="str">
        <f>IFERROR(INDEX(Table!I:O,MATCH(K2421,Table!I:I,0),3),"")</f>
        <v/>
      </c>
      <c r="N2421" s="32" t="str">
        <f>IFERROR(INDEX(Table!I:O,MATCH(K2421,Table!I:I,0),4),"")</f>
        <v/>
      </c>
      <c r="O2421" s="32" t="str">
        <f>IFERROR(INDEX(Table!I:O,MATCH(K2421,Table!I:I,0),5),"")</f>
        <v/>
      </c>
      <c r="P2421" s="32" t="str">
        <f>IFERROR(INDEX(Table!I:O,MATCH(K2421,Table!I:I,0),6),"")</f>
        <v/>
      </c>
      <c r="Q2421" s="89" t="str">
        <f t="shared" si="108"/>
        <v/>
      </c>
      <c r="R2421" s="89" t="str">
        <f t="shared" si="109"/>
        <v/>
      </c>
      <c r="S2421" s="82"/>
      <c r="U2421" s="37"/>
    </row>
    <row r="2422" spans="1:21" x14ac:dyDescent="0.25">
      <c r="A2422" s="31" t="str">
        <f>IF(Table!A2422 = "","",Table!A2422)</f>
        <v/>
      </c>
      <c r="B2422" s="31" t="str">
        <f>IF(Table!B2422 = "","",Table!B2422)</f>
        <v/>
      </c>
      <c r="C2422" s="31" t="str">
        <f>IF(Table!C2422 = "","",Table!C2422)</f>
        <v/>
      </c>
      <c r="D2422" s="32" t="str">
        <f>IF(Table!D2422 = "","",Table!D2422)</f>
        <v/>
      </c>
      <c r="E2422" s="32" t="str">
        <f>IF(Table!E2422 = "","",Table!E2422)</f>
        <v/>
      </c>
      <c r="F2422" s="32" t="str">
        <f>IF(Table!F2422 = "","",Table!F2422)</f>
        <v/>
      </c>
      <c r="G2422" s="91"/>
      <c r="K2422" s="31" t="str">
        <f>IFERROR(VLOOKUP(A2422,Table!$I$4:$O$3000,1,TRUE),"")</f>
        <v/>
      </c>
      <c r="L2422" s="31" t="str">
        <f>IFERROR(INDEX(Table!I:O,MATCH(K2422,Table!I:I,0),2),"")</f>
        <v/>
      </c>
      <c r="M2422" s="31" t="str">
        <f>IFERROR(INDEX(Table!I:O,MATCH(K2422,Table!I:I,0),3),"")</f>
        <v/>
      </c>
      <c r="N2422" s="32" t="str">
        <f>IFERROR(INDEX(Table!I:O,MATCH(K2422,Table!I:I,0),4),"")</f>
        <v/>
      </c>
      <c r="O2422" s="32" t="str">
        <f>IFERROR(INDEX(Table!I:O,MATCH(K2422,Table!I:I,0),5),"")</f>
        <v/>
      </c>
      <c r="P2422" s="32" t="str">
        <f>IFERROR(INDEX(Table!I:O,MATCH(K2422,Table!I:I,0),6),"")</f>
        <v/>
      </c>
      <c r="Q2422" s="89" t="str">
        <f t="shared" si="108"/>
        <v/>
      </c>
      <c r="R2422" s="89" t="str">
        <f t="shared" si="109"/>
        <v/>
      </c>
      <c r="S2422" s="82"/>
      <c r="U2422" s="37"/>
    </row>
    <row r="2423" spans="1:21" x14ac:dyDescent="0.25">
      <c r="A2423" s="31" t="str">
        <f>IF(Table!A2423 = "","",Table!A2423)</f>
        <v/>
      </c>
      <c r="B2423" s="31" t="str">
        <f>IF(Table!B2423 = "","",Table!B2423)</f>
        <v/>
      </c>
      <c r="C2423" s="31" t="str">
        <f>IF(Table!C2423 = "","",Table!C2423)</f>
        <v/>
      </c>
      <c r="D2423" s="32" t="str">
        <f>IF(Table!D2423 = "","",Table!D2423)</f>
        <v/>
      </c>
      <c r="E2423" s="32" t="str">
        <f>IF(Table!E2423 = "","",Table!E2423)</f>
        <v/>
      </c>
      <c r="F2423" s="32" t="str">
        <f>IF(Table!F2423 = "","",Table!F2423)</f>
        <v/>
      </c>
      <c r="G2423" s="91"/>
      <c r="K2423" s="31" t="str">
        <f>IFERROR(VLOOKUP(A2423,Table!$I$4:$O$3000,1,TRUE),"")</f>
        <v/>
      </c>
      <c r="L2423" s="31" t="str">
        <f>IFERROR(INDEX(Table!I:O,MATCH(K2423,Table!I:I,0),2),"")</f>
        <v/>
      </c>
      <c r="M2423" s="31" t="str">
        <f>IFERROR(INDEX(Table!I:O,MATCH(K2423,Table!I:I,0),3),"")</f>
        <v/>
      </c>
      <c r="N2423" s="32" t="str">
        <f>IFERROR(INDEX(Table!I:O,MATCH(K2423,Table!I:I,0),4),"")</f>
        <v/>
      </c>
      <c r="O2423" s="32" t="str">
        <f>IFERROR(INDEX(Table!I:O,MATCH(K2423,Table!I:I,0),5),"")</f>
        <v/>
      </c>
      <c r="P2423" s="32" t="str">
        <f>IFERROR(INDEX(Table!I:O,MATCH(K2423,Table!I:I,0),6),"")</f>
        <v/>
      </c>
      <c r="Q2423" s="89" t="str">
        <f t="shared" si="108"/>
        <v/>
      </c>
      <c r="R2423" s="89" t="str">
        <f t="shared" si="109"/>
        <v/>
      </c>
      <c r="S2423" s="82"/>
      <c r="U2423" s="37"/>
    </row>
    <row r="2424" spans="1:21" x14ac:dyDescent="0.25">
      <c r="A2424" s="31" t="str">
        <f>IF(Table!A2424 = "","",Table!A2424)</f>
        <v/>
      </c>
      <c r="B2424" s="31" t="str">
        <f>IF(Table!B2424 = "","",Table!B2424)</f>
        <v/>
      </c>
      <c r="C2424" s="31" t="str">
        <f>IF(Table!C2424 = "","",Table!C2424)</f>
        <v/>
      </c>
      <c r="D2424" s="32" t="str">
        <f>IF(Table!D2424 = "","",Table!D2424)</f>
        <v/>
      </c>
      <c r="E2424" s="32" t="str">
        <f>IF(Table!E2424 = "","",Table!E2424)</f>
        <v/>
      </c>
      <c r="F2424" s="32" t="str">
        <f>IF(Table!F2424 = "","",Table!F2424)</f>
        <v/>
      </c>
      <c r="G2424" s="91"/>
      <c r="K2424" s="31" t="str">
        <f>IFERROR(VLOOKUP(A2424,Table!$I$4:$O$3000,1,TRUE),"")</f>
        <v/>
      </c>
      <c r="L2424" s="31" t="str">
        <f>IFERROR(INDEX(Table!I:O,MATCH(K2424,Table!I:I,0),2),"")</f>
        <v/>
      </c>
      <c r="M2424" s="31" t="str">
        <f>IFERROR(INDEX(Table!I:O,MATCH(K2424,Table!I:I,0),3),"")</f>
        <v/>
      </c>
      <c r="N2424" s="32" t="str">
        <f>IFERROR(INDEX(Table!I:O,MATCH(K2424,Table!I:I,0),4),"")</f>
        <v/>
      </c>
      <c r="O2424" s="32" t="str">
        <f>IFERROR(INDEX(Table!I:O,MATCH(K2424,Table!I:I,0),5),"")</f>
        <v/>
      </c>
      <c r="P2424" s="32" t="str">
        <f>IFERROR(INDEX(Table!I:O,MATCH(K2424,Table!I:I,0),6),"")</f>
        <v/>
      </c>
      <c r="Q2424" s="89" t="str">
        <f t="shared" si="108"/>
        <v/>
      </c>
      <c r="R2424" s="89" t="str">
        <f t="shared" si="109"/>
        <v/>
      </c>
      <c r="S2424" s="82"/>
      <c r="U2424" s="37"/>
    </row>
    <row r="2425" spans="1:21" x14ac:dyDescent="0.25">
      <c r="A2425" s="31" t="str">
        <f>IF(Table!A2425 = "","",Table!A2425)</f>
        <v/>
      </c>
      <c r="B2425" s="31" t="str">
        <f>IF(Table!B2425 = "","",Table!B2425)</f>
        <v/>
      </c>
      <c r="C2425" s="31" t="str">
        <f>IF(Table!C2425 = "","",Table!C2425)</f>
        <v/>
      </c>
      <c r="D2425" s="32" t="str">
        <f>IF(Table!D2425 = "","",Table!D2425)</f>
        <v/>
      </c>
      <c r="E2425" s="32" t="str">
        <f>IF(Table!E2425 = "","",Table!E2425)</f>
        <v/>
      </c>
      <c r="F2425" s="32" t="str">
        <f>IF(Table!F2425 = "","",Table!F2425)</f>
        <v/>
      </c>
      <c r="G2425" s="91"/>
      <c r="K2425" s="31" t="str">
        <f>IFERROR(VLOOKUP(A2425,Table!$I$4:$O$3000,1,TRUE),"")</f>
        <v/>
      </c>
      <c r="L2425" s="31" t="str">
        <f>IFERROR(INDEX(Table!I:O,MATCH(K2425,Table!I:I,0),2),"")</f>
        <v/>
      </c>
      <c r="M2425" s="31" t="str">
        <f>IFERROR(INDEX(Table!I:O,MATCH(K2425,Table!I:I,0),3),"")</f>
        <v/>
      </c>
      <c r="N2425" s="32" t="str">
        <f>IFERROR(INDEX(Table!I:O,MATCH(K2425,Table!I:I,0),4),"")</f>
        <v/>
      </c>
      <c r="O2425" s="32" t="str">
        <f>IFERROR(INDEX(Table!I:O,MATCH(K2425,Table!I:I,0),5),"")</f>
        <v/>
      </c>
      <c r="P2425" s="32" t="str">
        <f>IFERROR(INDEX(Table!I:O,MATCH(K2425,Table!I:I,0),6),"")</f>
        <v/>
      </c>
      <c r="Q2425" s="89" t="str">
        <f t="shared" si="108"/>
        <v/>
      </c>
      <c r="R2425" s="89" t="str">
        <f t="shared" si="109"/>
        <v/>
      </c>
      <c r="S2425" s="82"/>
      <c r="U2425" s="37"/>
    </row>
    <row r="2426" spans="1:21" x14ac:dyDescent="0.25">
      <c r="A2426" s="31" t="str">
        <f>IF(Table!A2426 = "","",Table!A2426)</f>
        <v/>
      </c>
      <c r="B2426" s="31" t="str">
        <f>IF(Table!B2426 = "","",Table!B2426)</f>
        <v/>
      </c>
      <c r="C2426" s="31" t="str">
        <f>IF(Table!C2426 = "","",Table!C2426)</f>
        <v/>
      </c>
      <c r="D2426" s="32" t="str">
        <f>IF(Table!D2426 = "","",Table!D2426)</f>
        <v/>
      </c>
      <c r="E2426" s="32" t="str">
        <f>IF(Table!E2426 = "","",Table!E2426)</f>
        <v/>
      </c>
      <c r="F2426" s="32" t="str">
        <f>IF(Table!F2426 = "","",Table!F2426)</f>
        <v/>
      </c>
      <c r="G2426" s="91"/>
      <c r="K2426" s="31" t="str">
        <f>IFERROR(VLOOKUP(A2426,Table!$I$4:$O$3000,1,TRUE),"")</f>
        <v/>
      </c>
      <c r="L2426" s="31" t="str">
        <f>IFERROR(INDEX(Table!I:O,MATCH(K2426,Table!I:I,0),2),"")</f>
        <v/>
      </c>
      <c r="M2426" s="31" t="str">
        <f>IFERROR(INDEX(Table!I:O,MATCH(K2426,Table!I:I,0),3),"")</f>
        <v/>
      </c>
      <c r="N2426" s="32" t="str">
        <f>IFERROR(INDEX(Table!I:O,MATCH(K2426,Table!I:I,0),4),"")</f>
        <v/>
      </c>
      <c r="O2426" s="32" t="str">
        <f>IFERROR(INDEX(Table!I:O,MATCH(K2426,Table!I:I,0),5),"")</f>
        <v/>
      </c>
      <c r="P2426" s="32" t="str">
        <f>IFERROR(INDEX(Table!I:O,MATCH(K2426,Table!I:I,0),6),"")</f>
        <v/>
      </c>
      <c r="Q2426" s="89" t="str">
        <f t="shared" si="108"/>
        <v/>
      </c>
      <c r="R2426" s="89" t="str">
        <f t="shared" si="109"/>
        <v/>
      </c>
      <c r="S2426" s="82"/>
      <c r="U2426" s="37"/>
    </row>
    <row r="2427" spans="1:21" x14ac:dyDescent="0.25">
      <c r="A2427" s="31" t="str">
        <f>IF(Table!A2427 = "","",Table!A2427)</f>
        <v/>
      </c>
      <c r="B2427" s="31" t="str">
        <f>IF(Table!B2427 = "","",Table!B2427)</f>
        <v/>
      </c>
      <c r="C2427" s="31" t="str">
        <f>IF(Table!C2427 = "","",Table!C2427)</f>
        <v/>
      </c>
      <c r="D2427" s="32" t="str">
        <f>IF(Table!D2427 = "","",Table!D2427)</f>
        <v/>
      </c>
      <c r="E2427" s="32" t="str">
        <f>IF(Table!E2427 = "","",Table!E2427)</f>
        <v/>
      </c>
      <c r="F2427" s="32" t="str">
        <f>IF(Table!F2427 = "","",Table!F2427)</f>
        <v/>
      </c>
      <c r="G2427" s="91"/>
      <c r="K2427" s="31" t="str">
        <f>IFERROR(VLOOKUP(A2427,Table!$I$4:$O$3000,1,TRUE),"")</f>
        <v/>
      </c>
      <c r="L2427" s="31" t="str">
        <f>IFERROR(INDEX(Table!I:O,MATCH(K2427,Table!I:I,0),2),"")</f>
        <v/>
      </c>
      <c r="M2427" s="31" t="str">
        <f>IFERROR(INDEX(Table!I:O,MATCH(K2427,Table!I:I,0),3),"")</f>
        <v/>
      </c>
      <c r="N2427" s="32" t="str">
        <f>IFERROR(INDEX(Table!I:O,MATCH(K2427,Table!I:I,0),4),"")</f>
        <v/>
      </c>
      <c r="O2427" s="32" t="str">
        <f>IFERROR(INDEX(Table!I:O,MATCH(K2427,Table!I:I,0),5),"")</f>
        <v/>
      </c>
      <c r="P2427" s="32" t="str">
        <f>IFERROR(INDEX(Table!I:O,MATCH(K2427,Table!I:I,0),6),"")</f>
        <v/>
      </c>
      <c r="Q2427" s="89" t="str">
        <f t="shared" si="108"/>
        <v/>
      </c>
      <c r="R2427" s="89" t="str">
        <f t="shared" si="109"/>
        <v/>
      </c>
      <c r="S2427" s="82"/>
      <c r="U2427" s="37"/>
    </row>
    <row r="2428" spans="1:21" x14ac:dyDescent="0.25">
      <c r="A2428" s="31" t="str">
        <f>IF(Table!A2428 = "","",Table!A2428)</f>
        <v/>
      </c>
      <c r="B2428" s="31" t="str">
        <f>IF(Table!B2428 = "","",Table!B2428)</f>
        <v/>
      </c>
      <c r="C2428" s="31" t="str">
        <f>IF(Table!C2428 = "","",Table!C2428)</f>
        <v/>
      </c>
      <c r="D2428" s="32" t="str">
        <f>IF(Table!D2428 = "","",Table!D2428)</f>
        <v/>
      </c>
      <c r="E2428" s="32" t="str">
        <f>IF(Table!E2428 = "","",Table!E2428)</f>
        <v/>
      </c>
      <c r="F2428" s="32" t="str">
        <f>IF(Table!F2428 = "","",Table!F2428)</f>
        <v/>
      </c>
      <c r="G2428" s="91"/>
      <c r="K2428" s="31" t="str">
        <f>IFERROR(VLOOKUP(A2428,Table!$I$4:$O$3000,1,TRUE),"")</f>
        <v/>
      </c>
      <c r="L2428" s="31" t="str">
        <f>IFERROR(INDEX(Table!I:O,MATCH(K2428,Table!I:I,0),2),"")</f>
        <v/>
      </c>
      <c r="M2428" s="31" t="str">
        <f>IFERROR(INDEX(Table!I:O,MATCH(K2428,Table!I:I,0),3),"")</f>
        <v/>
      </c>
      <c r="N2428" s="32" t="str">
        <f>IFERROR(INDEX(Table!I:O,MATCH(K2428,Table!I:I,0),4),"")</f>
        <v/>
      </c>
      <c r="O2428" s="32" t="str">
        <f>IFERROR(INDEX(Table!I:O,MATCH(K2428,Table!I:I,0),5),"")</f>
        <v/>
      </c>
      <c r="P2428" s="32" t="str">
        <f>IFERROR(INDEX(Table!I:O,MATCH(K2428,Table!I:I,0),6),"")</f>
        <v/>
      </c>
      <c r="Q2428" s="89" t="str">
        <f t="shared" si="108"/>
        <v/>
      </c>
      <c r="R2428" s="89" t="str">
        <f t="shared" si="109"/>
        <v/>
      </c>
      <c r="S2428" s="82"/>
      <c r="U2428" s="37"/>
    </row>
    <row r="2429" spans="1:21" x14ac:dyDescent="0.25">
      <c r="A2429" s="31" t="str">
        <f>IF(Table!A2429 = "","",Table!A2429)</f>
        <v/>
      </c>
      <c r="B2429" s="31" t="str">
        <f>IF(Table!B2429 = "","",Table!B2429)</f>
        <v/>
      </c>
      <c r="C2429" s="31" t="str">
        <f>IF(Table!C2429 = "","",Table!C2429)</f>
        <v/>
      </c>
      <c r="D2429" s="32" t="str">
        <f>IF(Table!D2429 = "","",Table!D2429)</f>
        <v/>
      </c>
      <c r="E2429" s="32" t="str">
        <f>IF(Table!E2429 = "","",Table!E2429)</f>
        <v/>
      </c>
      <c r="F2429" s="32" t="str">
        <f>IF(Table!F2429 = "","",Table!F2429)</f>
        <v/>
      </c>
      <c r="G2429" s="91"/>
      <c r="K2429" s="31" t="str">
        <f>IFERROR(VLOOKUP(A2429,Table!$I$4:$O$3000,1,TRUE),"")</f>
        <v/>
      </c>
      <c r="L2429" s="31" t="str">
        <f>IFERROR(INDEX(Table!I:O,MATCH(K2429,Table!I:I,0),2),"")</f>
        <v/>
      </c>
      <c r="M2429" s="31" t="str">
        <f>IFERROR(INDEX(Table!I:O,MATCH(K2429,Table!I:I,0),3),"")</f>
        <v/>
      </c>
      <c r="N2429" s="32" t="str">
        <f>IFERROR(INDEX(Table!I:O,MATCH(K2429,Table!I:I,0),4),"")</f>
        <v/>
      </c>
      <c r="O2429" s="32" t="str">
        <f>IFERROR(INDEX(Table!I:O,MATCH(K2429,Table!I:I,0),5),"")</f>
        <v/>
      </c>
      <c r="P2429" s="32" t="str">
        <f>IFERROR(INDEX(Table!I:O,MATCH(K2429,Table!I:I,0),6),"")</f>
        <v/>
      </c>
      <c r="Q2429" s="89" t="str">
        <f t="shared" si="108"/>
        <v/>
      </c>
      <c r="R2429" s="89" t="str">
        <f t="shared" si="109"/>
        <v/>
      </c>
      <c r="S2429" s="82"/>
      <c r="U2429" s="37"/>
    </row>
    <row r="2430" spans="1:21" x14ac:dyDescent="0.25">
      <c r="A2430" s="31" t="str">
        <f>IF(Table!A2430 = "","",Table!A2430)</f>
        <v/>
      </c>
      <c r="B2430" s="31" t="str">
        <f>IF(Table!B2430 = "","",Table!B2430)</f>
        <v/>
      </c>
      <c r="C2430" s="31" t="str">
        <f>IF(Table!C2430 = "","",Table!C2430)</f>
        <v/>
      </c>
      <c r="D2430" s="32" t="str">
        <f>IF(Table!D2430 = "","",Table!D2430)</f>
        <v/>
      </c>
      <c r="E2430" s="32" t="str">
        <f>IF(Table!E2430 = "","",Table!E2430)</f>
        <v/>
      </c>
      <c r="F2430" s="32" t="str">
        <f>IF(Table!F2430 = "","",Table!F2430)</f>
        <v/>
      </c>
      <c r="G2430" s="91"/>
      <c r="K2430" s="31" t="str">
        <f>IFERROR(VLOOKUP(A2430,Table!$I$4:$O$3000,1,TRUE),"")</f>
        <v/>
      </c>
      <c r="L2430" s="31" t="str">
        <f>IFERROR(INDEX(Table!I:O,MATCH(K2430,Table!I:I,0),2),"")</f>
        <v/>
      </c>
      <c r="M2430" s="31" t="str">
        <f>IFERROR(INDEX(Table!I:O,MATCH(K2430,Table!I:I,0),3),"")</f>
        <v/>
      </c>
      <c r="N2430" s="32" t="str">
        <f>IFERROR(INDEX(Table!I:O,MATCH(K2430,Table!I:I,0),4),"")</f>
        <v/>
      </c>
      <c r="O2430" s="32" t="str">
        <f>IFERROR(INDEX(Table!I:O,MATCH(K2430,Table!I:I,0),5),"")</f>
        <v/>
      </c>
      <c r="P2430" s="32" t="str">
        <f>IFERROR(INDEX(Table!I:O,MATCH(K2430,Table!I:I,0),6),"")</f>
        <v/>
      </c>
      <c r="Q2430" s="89" t="str">
        <f t="shared" si="108"/>
        <v/>
      </c>
      <c r="R2430" s="89" t="str">
        <f t="shared" si="109"/>
        <v/>
      </c>
      <c r="S2430" s="82"/>
      <c r="U2430" s="37"/>
    </row>
    <row r="2431" spans="1:21" x14ac:dyDescent="0.25">
      <c r="A2431" s="31" t="str">
        <f>IF(Table!A2431 = "","",Table!A2431)</f>
        <v/>
      </c>
      <c r="B2431" s="31" t="str">
        <f>IF(Table!B2431 = "","",Table!B2431)</f>
        <v/>
      </c>
      <c r="C2431" s="31" t="str">
        <f>IF(Table!C2431 = "","",Table!C2431)</f>
        <v/>
      </c>
      <c r="D2431" s="32" t="str">
        <f>IF(Table!D2431 = "","",Table!D2431)</f>
        <v/>
      </c>
      <c r="E2431" s="32" t="str">
        <f>IF(Table!E2431 = "","",Table!E2431)</f>
        <v/>
      </c>
      <c r="F2431" s="32" t="str">
        <f>IF(Table!F2431 = "","",Table!F2431)</f>
        <v/>
      </c>
      <c r="G2431" s="91"/>
      <c r="K2431" s="31" t="str">
        <f>IFERROR(VLOOKUP(A2431,Table!$I$4:$O$3000,1,TRUE),"")</f>
        <v/>
      </c>
      <c r="L2431" s="31" t="str">
        <f>IFERROR(INDEX(Table!I:O,MATCH(K2431,Table!I:I,0),2),"")</f>
        <v/>
      </c>
      <c r="M2431" s="31" t="str">
        <f>IFERROR(INDEX(Table!I:O,MATCH(K2431,Table!I:I,0),3),"")</f>
        <v/>
      </c>
      <c r="N2431" s="32" t="str">
        <f>IFERROR(INDEX(Table!I:O,MATCH(K2431,Table!I:I,0),4),"")</f>
        <v/>
      </c>
      <c r="O2431" s="32" t="str">
        <f>IFERROR(INDEX(Table!I:O,MATCH(K2431,Table!I:I,0),5),"")</f>
        <v/>
      </c>
      <c r="P2431" s="32" t="str">
        <f>IFERROR(INDEX(Table!I:O,MATCH(K2431,Table!I:I,0),6),"")</f>
        <v/>
      </c>
      <c r="Q2431" s="89" t="str">
        <f t="shared" si="108"/>
        <v/>
      </c>
      <c r="R2431" s="89" t="str">
        <f t="shared" si="109"/>
        <v/>
      </c>
      <c r="S2431" s="82"/>
      <c r="U2431" s="37"/>
    </row>
    <row r="2432" spans="1:21" x14ac:dyDescent="0.25">
      <c r="A2432" s="31" t="str">
        <f>IF(Table!A2432 = "","",Table!A2432)</f>
        <v/>
      </c>
      <c r="B2432" s="31" t="str">
        <f>IF(Table!B2432 = "","",Table!B2432)</f>
        <v/>
      </c>
      <c r="C2432" s="31" t="str">
        <f>IF(Table!C2432 = "","",Table!C2432)</f>
        <v/>
      </c>
      <c r="D2432" s="32" t="str">
        <f>IF(Table!D2432 = "","",Table!D2432)</f>
        <v/>
      </c>
      <c r="E2432" s="32" t="str">
        <f>IF(Table!E2432 = "","",Table!E2432)</f>
        <v/>
      </c>
      <c r="F2432" s="32" t="str">
        <f>IF(Table!F2432 = "","",Table!F2432)</f>
        <v/>
      </c>
      <c r="G2432" s="91"/>
      <c r="K2432" s="31" t="str">
        <f>IFERROR(VLOOKUP(A2432,Table!$I$4:$O$3000,1,TRUE),"")</f>
        <v/>
      </c>
      <c r="L2432" s="31" t="str">
        <f>IFERROR(INDEX(Table!I:O,MATCH(K2432,Table!I:I,0),2),"")</f>
        <v/>
      </c>
      <c r="M2432" s="31" t="str">
        <f>IFERROR(INDEX(Table!I:O,MATCH(K2432,Table!I:I,0),3),"")</f>
        <v/>
      </c>
      <c r="N2432" s="32" t="str">
        <f>IFERROR(INDEX(Table!I:O,MATCH(K2432,Table!I:I,0),4),"")</f>
        <v/>
      </c>
      <c r="O2432" s="32" t="str">
        <f>IFERROR(INDEX(Table!I:O,MATCH(K2432,Table!I:I,0),5),"")</f>
        <v/>
      </c>
      <c r="P2432" s="32" t="str">
        <f>IFERROR(INDEX(Table!I:O,MATCH(K2432,Table!I:I,0),6),"")</f>
        <v/>
      </c>
      <c r="Q2432" s="89" t="str">
        <f t="shared" si="108"/>
        <v/>
      </c>
      <c r="R2432" s="89" t="str">
        <f t="shared" si="109"/>
        <v/>
      </c>
      <c r="S2432" s="82"/>
      <c r="U2432" s="37"/>
    </row>
    <row r="2433" spans="1:21" x14ac:dyDescent="0.25">
      <c r="A2433" s="31" t="str">
        <f>IF(Table!A2433 = "","",Table!A2433)</f>
        <v/>
      </c>
      <c r="B2433" s="31" t="str">
        <f>IF(Table!B2433 = "","",Table!B2433)</f>
        <v/>
      </c>
      <c r="C2433" s="31" t="str">
        <f>IF(Table!C2433 = "","",Table!C2433)</f>
        <v/>
      </c>
      <c r="D2433" s="32" t="str">
        <f>IF(Table!D2433 = "","",Table!D2433)</f>
        <v/>
      </c>
      <c r="E2433" s="32" t="str">
        <f>IF(Table!E2433 = "","",Table!E2433)</f>
        <v/>
      </c>
      <c r="F2433" s="32" t="str">
        <f>IF(Table!F2433 = "","",Table!F2433)</f>
        <v/>
      </c>
      <c r="G2433" s="91"/>
      <c r="K2433" s="31" t="str">
        <f>IFERROR(VLOOKUP(A2433,Table!$I$4:$O$3000,1,TRUE),"")</f>
        <v/>
      </c>
      <c r="L2433" s="31" t="str">
        <f>IFERROR(INDEX(Table!I:O,MATCH(K2433,Table!I:I,0),2),"")</f>
        <v/>
      </c>
      <c r="M2433" s="31" t="str">
        <f>IFERROR(INDEX(Table!I:O,MATCH(K2433,Table!I:I,0),3),"")</f>
        <v/>
      </c>
      <c r="N2433" s="32" t="str">
        <f>IFERROR(INDEX(Table!I:O,MATCH(K2433,Table!I:I,0),4),"")</f>
        <v/>
      </c>
      <c r="O2433" s="32" t="str">
        <f>IFERROR(INDEX(Table!I:O,MATCH(K2433,Table!I:I,0),5),"")</f>
        <v/>
      </c>
      <c r="P2433" s="32" t="str">
        <f>IFERROR(INDEX(Table!I:O,MATCH(K2433,Table!I:I,0),6),"")</f>
        <v/>
      </c>
      <c r="Q2433" s="89" t="str">
        <f t="shared" si="108"/>
        <v/>
      </c>
      <c r="R2433" s="89" t="str">
        <f t="shared" si="109"/>
        <v/>
      </c>
      <c r="S2433" s="82"/>
      <c r="U2433" s="37"/>
    </row>
    <row r="2434" spans="1:21" x14ac:dyDescent="0.25">
      <c r="A2434" s="31" t="str">
        <f>IF(Table!A2434 = "","",Table!A2434)</f>
        <v/>
      </c>
      <c r="B2434" s="31" t="str">
        <f>IF(Table!B2434 = "","",Table!B2434)</f>
        <v/>
      </c>
      <c r="C2434" s="31" t="str">
        <f>IF(Table!C2434 = "","",Table!C2434)</f>
        <v/>
      </c>
      <c r="D2434" s="32" t="str">
        <f>IF(Table!D2434 = "","",Table!D2434)</f>
        <v/>
      </c>
      <c r="E2434" s="32" t="str">
        <f>IF(Table!E2434 = "","",Table!E2434)</f>
        <v/>
      </c>
      <c r="F2434" s="32" t="str">
        <f>IF(Table!F2434 = "","",Table!F2434)</f>
        <v/>
      </c>
      <c r="G2434" s="91"/>
      <c r="K2434" s="31" t="str">
        <f>IFERROR(VLOOKUP(A2434,Table!$I$4:$O$3000,1,TRUE),"")</f>
        <v/>
      </c>
      <c r="L2434" s="31" t="str">
        <f>IFERROR(INDEX(Table!I:O,MATCH(K2434,Table!I:I,0),2),"")</f>
        <v/>
      </c>
      <c r="M2434" s="31" t="str">
        <f>IFERROR(INDEX(Table!I:O,MATCH(K2434,Table!I:I,0),3),"")</f>
        <v/>
      </c>
      <c r="N2434" s="32" t="str">
        <f>IFERROR(INDEX(Table!I:O,MATCH(K2434,Table!I:I,0),4),"")</f>
        <v/>
      </c>
      <c r="O2434" s="32" t="str">
        <f>IFERROR(INDEX(Table!I:O,MATCH(K2434,Table!I:I,0),5),"")</f>
        <v/>
      </c>
      <c r="P2434" s="32" t="str">
        <f>IFERROR(INDEX(Table!I:O,MATCH(K2434,Table!I:I,0),6),"")</f>
        <v/>
      </c>
      <c r="Q2434" s="89" t="str">
        <f t="shared" si="108"/>
        <v/>
      </c>
      <c r="R2434" s="89" t="str">
        <f t="shared" si="109"/>
        <v/>
      </c>
      <c r="S2434" s="82"/>
      <c r="U2434" s="37"/>
    </row>
    <row r="2435" spans="1:21" x14ac:dyDescent="0.25">
      <c r="A2435" s="31" t="str">
        <f>IF(Table!A2435 = "","",Table!A2435)</f>
        <v/>
      </c>
      <c r="B2435" s="31" t="str">
        <f>IF(Table!B2435 = "","",Table!B2435)</f>
        <v/>
      </c>
      <c r="C2435" s="31" t="str">
        <f>IF(Table!C2435 = "","",Table!C2435)</f>
        <v/>
      </c>
      <c r="D2435" s="32" t="str">
        <f>IF(Table!D2435 = "","",Table!D2435)</f>
        <v/>
      </c>
      <c r="E2435" s="32" t="str">
        <f>IF(Table!E2435 = "","",Table!E2435)</f>
        <v/>
      </c>
      <c r="F2435" s="32" t="str">
        <f>IF(Table!F2435 = "","",Table!F2435)</f>
        <v/>
      </c>
      <c r="G2435" s="91"/>
      <c r="K2435" s="31" t="str">
        <f>IFERROR(VLOOKUP(A2435,Table!$I$4:$O$3000,1,TRUE),"")</f>
        <v/>
      </c>
      <c r="L2435" s="31" t="str">
        <f>IFERROR(INDEX(Table!I:O,MATCH(K2435,Table!I:I,0),2),"")</f>
        <v/>
      </c>
      <c r="M2435" s="31" t="str">
        <f>IFERROR(INDEX(Table!I:O,MATCH(K2435,Table!I:I,0),3),"")</f>
        <v/>
      </c>
      <c r="N2435" s="32" t="str">
        <f>IFERROR(INDEX(Table!I:O,MATCH(K2435,Table!I:I,0),4),"")</f>
        <v/>
      </c>
      <c r="O2435" s="32" t="str">
        <f>IFERROR(INDEX(Table!I:O,MATCH(K2435,Table!I:I,0),5),"")</f>
        <v/>
      </c>
      <c r="P2435" s="32" t="str">
        <f>IFERROR(INDEX(Table!I:O,MATCH(K2435,Table!I:I,0),6),"")</f>
        <v/>
      </c>
      <c r="Q2435" s="89" t="str">
        <f t="shared" si="108"/>
        <v/>
      </c>
      <c r="R2435" s="89" t="str">
        <f t="shared" si="109"/>
        <v/>
      </c>
      <c r="S2435" s="82"/>
      <c r="U2435" s="37"/>
    </row>
    <row r="2436" spans="1:21" x14ac:dyDescent="0.25">
      <c r="A2436" s="31" t="str">
        <f>IF(Table!A2436 = "","",Table!A2436)</f>
        <v/>
      </c>
      <c r="B2436" s="31" t="str">
        <f>IF(Table!B2436 = "","",Table!B2436)</f>
        <v/>
      </c>
      <c r="C2436" s="31" t="str">
        <f>IF(Table!C2436 = "","",Table!C2436)</f>
        <v/>
      </c>
      <c r="D2436" s="32" t="str">
        <f>IF(Table!D2436 = "","",Table!D2436)</f>
        <v/>
      </c>
      <c r="E2436" s="32" t="str">
        <f>IF(Table!E2436 = "","",Table!E2436)</f>
        <v/>
      </c>
      <c r="F2436" s="32" t="str">
        <f>IF(Table!F2436 = "","",Table!F2436)</f>
        <v/>
      </c>
      <c r="G2436" s="91"/>
      <c r="K2436" s="31" t="str">
        <f>IFERROR(VLOOKUP(A2436,Table!$I$4:$O$3000,1,TRUE),"")</f>
        <v/>
      </c>
      <c r="L2436" s="31" t="str">
        <f>IFERROR(INDEX(Table!I:O,MATCH(K2436,Table!I:I,0),2),"")</f>
        <v/>
      </c>
      <c r="M2436" s="31" t="str">
        <f>IFERROR(INDEX(Table!I:O,MATCH(K2436,Table!I:I,0),3),"")</f>
        <v/>
      </c>
      <c r="N2436" s="32" t="str">
        <f>IFERROR(INDEX(Table!I:O,MATCH(K2436,Table!I:I,0),4),"")</f>
        <v/>
      </c>
      <c r="O2436" s="32" t="str">
        <f>IFERROR(INDEX(Table!I:O,MATCH(K2436,Table!I:I,0),5),"")</f>
        <v/>
      </c>
      <c r="P2436" s="32" t="str">
        <f>IFERROR(INDEX(Table!I:O,MATCH(K2436,Table!I:I,0),6),"")</f>
        <v/>
      </c>
      <c r="Q2436" s="89" t="str">
        <f t="shared" si="108"/>
        <v/>
      </c>
      <c r="R2436" s="89" t="str">
        <f t="shared" si="109"/>
        <v/>
      </c>
      <c r="S2436" s="82"/>
      <c r="U2436" s="37"/>
    </row>
    <row r="2437" spans="1:21" x14ac:dyDescent="0.25">
      <c r="A2437" s="31" t="str">
        <f>IF(Table!A2437 = "","",Table!A2437)</f>
        <v/>
      </c>
      <c r="B2437" s="31" t="str">
        <f>IF(Table!B2437 = "","",Table!B2437)</f>
        <v/>
      </c>
      <c r="C2437" s="31" t="str">
        <f>IF(Table!C2437 = "","",Table!C2437)</f>
        <v/>
      </c>
      <c r="D2437" s="32" t="str">
        <f>IF(Table!D2437 = "","",Table!D2437)</f>
        <v/>
      </c>
      <c r="E2437" s="32" t="str">
        <f>IF(Table!E2437 = "","",Table!E2437)</f>
        <v/>
      </c>
      <c r="F2437" s="32" t="str">
        <f>IF(Table!F2437 = "","",Table!F2437)</f>
        <v/>
      </c>
      <c r="G2437" s="91"/>
      <c r="K2437" s="31" t="str">
        <f>IFERROR(VLOOKUP(A2437,Table!$I$4:$O$3000,1,TRUE),"")</f>
        <v/>
      </c>
      <c r="L2437" s="31" t="str">
        <f>IFERROR(INDEX(Table!I:O,MATCH(K2437,Table!I:I,0),2),"")</f>
        <v/>
      </c>
      <c r="M2437" s="31" t="str">
        <f>IFERROR(INDEX(Table!I:O,MATCH(K2437,Table!I:I,0),3),"")</f>
        <v/>
      </c>
      <c r="N2437" s="32" t="str">
        <f>IFERROR(INDEX(Table!I:O,MATCH(K2437,Table!I:I,0),4),"")</f>
        <v/>
      </c>
      <c r="O2437" s="32" t="str">
        <f>IFERROR(INDEX(Table!I:O,MATCH(K2437,Table!I:I,0),5),"")</f>
        <v/>
      </c>
      <c r="P2437" s="32" t="str">
        <f>IFERROR(INDEX(Table!I:O,MATCH(K2437,Table!I:I,0),6),"")</f>
        <v/>
      </c>
      <c r="Q2437" s="89" t="str">
        <f t="shared" si="108"/>
        <v/>
      </c>
      <c r="R2437" s="89" t="str">
        <f t="shared" si="109"/>
        <v/>
      </c>
      <c r="S2437" s="82"/>
      <c r="U2437" s="37"/>
    </row>
    <row r="2438" spans="1:21" x14ac:dyDescent="0.25">
      <c r="A2438" s="31" t="str">
        <f>IF(Table!A2438 = "","",Table!A2438)</f>
        <v/>
      </c>
      <c r="B2438" s="31" t="str">
        <f>IF(Table!B2438 = "","",Table!B2438)</f>
        <v/>
      </c>
      <c r="C2438" s="31" t="str">
        <f>IF(Table!C2438 = "","",Table!C2438)</f>
        <v/>
      </c>
      <c r="D2438" s="32" t="str">
        <f>IF(Table!D2438 = "","",Table!D2438)</f>
        <v/>
      </c>
      <c r="E2438" s="32" t="str">
        <f>IF(Table!E2438 = "","",Table!E2438)</f>
        <v/>
      </c>
      <c r="F2438" s="32" t="str">
        <f>IF(Table!F2438 = "","",Table!F2438)</f>
        <v/>
      </c>
      <c r="G2438" s="91"/>
      <c r="K2438" s="31" t="str">
        <f>IFERROR(VLOOKUP(A2438,Table!$I$4:$O$3000,1,TRUE),"")</f>
        <v/>
      </c>
      <c r="L2438" s="31" t="str">
        <f>IFERROR(INDEX(Table!I:O,MATCH(K2438,Table!I:I,0),2),"")</f>
        <v/>
      </c>
      <c r="M2438" s="31" t="str">
        <f>IFERROR(INDEX(Table!I:O,MATCH(K2438,Table!I:I,0),3),"")</f>
        <v/>
      </c>
      <c r="N2438" s="32" t="str">
        <f>IFERROR(INDEX(Table!I:O,MATCH(K2438,Table!I:I,0),4),"")</f>
        <v/>
      </c>
      <c r="O2438" s="32" t="str">
        <f>IFERROR(INDEX(Table!I:O,MATCH(K2438,Table!I:I,0),5),"")</f>
        <v/>
      </c>
      <c r="P2438" s="32" t="str">
        <f>IFERROR(INDEX(Table!I:O,MATCH(K2438,Table!I:I,0),6),"")</f>
        <v/>
      </c>
      <c r="Q2438" s="89" t="str">
        <f t="shared" ref="Q2438:Q2501" si="110">IFERROR(L2438-B2438,"")</f>
        <v/>
      </c>
      <c r="R2438" s="89" t="str">
        <f t="shared" ref="R2438:R2501" si="111">IFERROR(M2438-C2438,"")</f>
        <v/>
      </c>
      <c r="S2438" s="82"/>
      <c r="U2438" s="37"/>
    </row>
    <row r="2439" spans="1:21" x14ac:dyDescent="0.25">
      <c r="A2439" s="31" t="str">
        <f>IF(Table!A2439 = "","",Table!A2439)</f>
        <v/>
      </c>
      <c r="B2439" s="31" t="str">
        <f>IF(Table!B2439 = "","",Table!B2439)</f>
        <v/>
      </c>
      <c r="C2439" s="31" t="str">
        <f>IF(Table!C2439 = "","",Table!C2439)</f>
        <v/>
      </c>
      <c r="D2439" s="32" t="str">
        <f>IF(Table!D2439 = "","",Table!D2439)</f>
        <v/>
      </c>
      <c r="E2439" s="32" t="str">
        <f>IF(Table!E2439 = "","",Table!E2439)</f>
        <v/>
      </c>
      <c r="F2439" s="32" t="str">
        <f>IF(Table!F2439 = "","",Table!F2439)</f>
        <v/>
      </c>
      <c r="G2439" s="91"/>
      <c r="K2439" s="31" t="str">
        <f>IFERROR(VLOOKUP(A2439,Table!$I$4:$O$3000,1,TRUE),"")</f>
        <v/>
      </c>
      <c r="L2439" s="31" t="str">
        <f>IFERROR(INDEX(Table!I:O,MATCH(K2439,Table!I:I,0),2),"")</f>
        <v/>
      </c>
      <c r="M2439" s="31" t="str">
        <f>IFERROR(INDEX(Table!I:O,MATCH(K2439,Table!I:I,0),3),"")</f>
        <v/>
      </c>
      <c r="N2439" s="32" t="str">
        <f>IFERROR(INDEX(Table!I:O,MATCH(K2439,Table!I:I,0),4),"")</f>
        <v/>
      </c>
      <c r="O2439" s="32" t="str">
        <f>IFERROR(INDEX(Table!I:O,MATCH(K2439,Table!I:I,0),5),"")</f>
        <v/>
      </c>
      <c r="P2439" s="32" t="str">
        <f>IFERROR(INDEX(Table!I:O,MATCH(K2439,Table!I:I,0),6),"")</f>
        <v/>
      </c>
      <c r="Q2439" s="89" t="str">
        <f t="shared" si="110"/>
        <v/>
      </c>
      <c r="R2439" s="89" t="str">
        <f t="shared" si="111"/>
        <v/>
      </c>
      <c r="S2439" s="82"/>
      <c r="U2439" s="37"/>
    </row>
    <row r="2440" spans="1:21" x14ac:dyDescent="0.25">
      <c r="A2440" s="31" t="str">
        <f>IF(Table!A2440 = "","",Table!A2440)</f>
        <v/>
      </c>
      <c r="B2440" s="31" t="str">
        <f>IF(Table!B2440 = "","",Table!B2440)</f>
        <v/>
      </c>
      <c r="C2440" s="31" t="str">
        <f>IF(Table!C2440 = "","",Table!C2440)</f>
        <v/>
      </c>
      <c r="D2440" s="32" t="str">
        <f>IF(Table!D2440 = "","",Table!D2440)</f>
        <v/>
      </c>
      <c r="E2440" s="32" t="str">
        <f>IF(Table!E2440 = "","",Table!E2440)</f>
        <v/>
      </c>
      <c r="F2440" s="32" t="str">
        <f>IF(Table!F2440 = "","",Table!F2440)</f>
        <v/>
      </c>
      <c r="G2440" s="91"/>
      <c r="K2440" s="31" t="str">
        <f>IFERROR(VLOOKUP(A2440,Table!$I$4:$O$3000,1,TRUE),"")</f>
        <v/>
      </c>
      <c r="L2440" s="31" t="str">
        <f>IFERROR(INDEX(Table!I:O,MATCH(K2440,Table!I:I,0),2),"")</f>
        <v/>
      </c>
      <c r="M2440" s="31" t="str">
        <f>IFERROR(INDEX(Table!I:O,MATCH(K2440,Table!I:I,0),3),"")</f>
        <v/>
      </c>
      <c r="N2440" s="32" t="str">
        <f>IFERROR(INDEX(Table!I:O,MATCH(K2440,Table!I:I,0),4),"")</f>
        <v/>
      </c>
      <c r="O2440" s="32" t="str">
        <f>IFERROR(INDEX(Table!I:O,MATCH(K2440,Table!I:I,0),5),"")</f>
        <v/>
      </c>
      <c r="P2440" s="32" t="str">
        <f>IFERROR(INDEX(Table!I:O,MATCH(K2440,Table!I:I,0),6),"")</f>
        <v/>
      </c>
      <c r="Q2440" s="89" t="str">
        <f t="shared" si="110"/>
        <v/>
      </c>
      <c r="R2440" s="89" t="str">
        <f t="shared" si="111"/>
        <v/>
      </c>
      <c r="S2440" s="82"/>
      <c r="U2440" s="37"/>
    </row>
    <row r="2441" spans="1:21" x14ac:dyDescent="0.25">
      <c r="A2441" s="31" t="str">
        <f>IF(Table!A2441 = "","",Table!A2441)</f>
        <v/>
      </c>
      <c r="B2441" s="31" t="str">
        <f>IF(Table!B2441 = "","",Table!B2441)</f>
        <v/>
      </c>
      <c r="C2441" s="31" t="str">
        <f>IF(Table!C2441 = "","",Table!C2441)</f>
        <v/>
      </c>
      <c r="D2441" s="32" t="str">
        <f>IF(Table!D2441 = "","",Table!D2441)</f>
        <v/>
      </c>
      <c r="E2441" s="32" t="str">
        <f>IF(Table!E2441 = "","",Table!E2441)</f>
        <v/>
      </c>
      <c r="F2441" s="32" t="str">
        <f>IF(Table!F2441 = "","",Table!F2441)</f>
        <v/>
      </c>
      <c r="G2441" s="91"/>
      <c r="K2441" s="31" t="str">
        <f>IFERROR(VLOOKUP(A2441,Table!$I$4:$O$3000,1,TRUE),"")</f>
        <v/>
      </c>
      <c r="L2441" s="31" t="str">
        <f>IFERROR(INDEX(Table!I:O,MATCH(K2441,Table!I:I,0),2),"")</f>
        <v/>
      </c>
      <c r="M2441" s="31" t="str">
        <f>IFERROR(INDEX(Table!I:O,MATCH(K2441,Table!I:I,0),3),"")</f>
        <v/>
      </c>
      <c r="N2441" s="32" t="str">
        <f>IFERROR(INDEX(Table!I:O,MATCH(K2441,Table!I:I,0),4),"")</f>
        <v/>
      </c>
      <c r="O2441" s="32" t="str">
        <f>IFERROR(INDEX(Table!I:O,MATCH(K2441,Table!I:I,0),5),"")</f>
        <v/>
      </c>
      <c r="P2441" s="32" t="str">
        <f>IFERROR(INDEX(Table!I:O,MATCH(K2441,Table!I:I,0),6),"")</f>
        <v/>
      </c>
      <c r="Q2441" s="89" t="str">
        <f t="shared" si="110"/>
        <v/>
      </c>
      <c r="R2441" s="89" t="str">
        <f t="shared" si="111"/>
        <v/>
      </c>
      <c r="S2441" s="82"/>
      <c r="U2441" s="37"/>
    </row>
    <row r="2442" spans="1:21" x14ac:dyDescent="0.25">
      <c r="A2442" s="31" t="str">
        <f>IF(Table!A2442 = "","",Table!A2442)</f>
        <v/>
      </c>
      <c r="B2442" s="31" t="str">
        <f>IF(Table!B2442 = "","",Table!B2442)</f>
        <v/>
      </c>
      <c r="C2442" s="31" t="str">
        <f>IF(Table!C2442 = "","",Table!C2442)</f>
        <v/>
      </c>
      <c r="D2442" s="32" t="str">
        <f>IF(Table!D2442 = "","",Table!D2442)</f>
        <v/>
      </c>
      <c r="E2442" s="32" t="str">
        <f>IF(Table!E2442 = "","",Table!E2442)</f>
        <v/>
      </c>
      <c r="F2442" s="32" t="str">
        <f>IF(Table!F2442 = "","",Table!F2442)</f>
        <v/>
      </c>
      <c r="G2442" s="91"/>
      <c r="K2442" s="31" t="str">
        <f>IFERROR(VLOOKUP(A2442,Table!$I$4:$O$3000,1,TRUE),"")</f>
        <v/>
      </c>
      <c r="L2442" s="31" t="str">
        <f>IFERROR(INDEX(Table!I:O,MATCH(K2442,Table!I:I,0),2),"")</f>
        <v/>
      </c>
      <c r="M2442" s="31" t="str">
        <f>IFERROR(INDEX(Table!I:O,MATCH(K2442,Table!I:I,0),3),"")</f>
        <v/>
      </c>
      <c r="N2442" s="32" t="str">
        <f>IFERROR(INDEX(Table!I:O,MATCH(K2442,Table!I:I,0),4),"")</f>
        <v/>
      </c>
      <c r="O2442" s="32" t="str">
        <f>IFERROR(INDEX(Table!I:O,MATCH(K2442,Table!I:I,0),5),"")</f>
        <v/>
      </c>
      <c r="P2442" s="32" t="str">
        <f>IFERROR(INDEX(Table!I:O,MATCH(K2442,Table!I:I,0),6),"")</f>
        <v/>
      </c>
      <c r="Q2442" s="89" t="str">
        <f t="shared" si="110"/>
        <v/>
      </c>
      <c r="R2442" s="89" t="str">
        <f t="shared" si="111"/>
        <v/>
      </c>
      <c r="S2442" s="82"/>
      <c r="U2442" s="37"/>
    </row>
    <row r="2443" spans="1:21" x14ac:dyDescent="0.25">
      <c r="A2443" s="31" t="str">
        <f>IF(Table!A2443 = "","",Table!A2443)</f>
        <v/>
      </c>
      <c r="B2443" s="31" t="str">
        <f>IF(Table!B2443 = "","",Table!B2443)</f>
        <v/>
      </c>
      <c r="C2443" s="31" t="str">
        <f>IF(Table!C2443 = "","",Table!C2443)</f>
        <v/>
      </c>
      <c r="D2443" s="32" t="str">
        <f>IF(Table!D2443 = "","",Table!D2443)</f>
        <v/>
      </c>
      <c r="E2443" s="32" t="str">
        <f>IF(Table!E2443 = "","",Table!E2443)</f>
        <v/>
      </c>
      <c r="F2443" s="32" t="str">
        <f>IF(Table!F2443 = "","",Table!F2443)</f>
        <v/>
      </c>
      <c r="G2443" s="91"/>
      <c r="K2443" s="31" t="str">
        <f>IFERROR(VLOOKUP(A2443,Table!$I$4:$O$3000,1,TRUE),"")</f>
        <v/>
      </c>
      <c r="L2443" s="31" t="str">
        <f>IFERROR(INDEX(Table!I:O,MATCH(K2443,Table!I:I,0),2),"")</f>
        <v/>
      </c>
      <c r="M2443" s="31" t="str">
        <f>IFERROR(INDEX(Table!I:O,MATCH(K2443,Table!I:I,0),3),"")</f>
        <v/>
      </c>
      <c r="N2443" s="32" t="str">
        <f>IFERROR(INDEX(Table!I:O,MATCH(K2443,Table!I:I,0),4),"")</f>
        <v/>
      </c>
      <c r="O2443" s="32" t="str">
        <f>IFERROR(INDEX(Table!I:O,MATCH(K2443,Table!I:I,0),5),"")</f>
        <v/>
      </c>
      <c r="P2443" s="32" t="str">
        <f>IFERROR(INDEX(Table!I:O,MATCH(K2443,Table!I:I,0),6),"")</f>
        <v/>
      </c>
      <c r="Q2443" s="89" t="str">
        <f t="shared" si="110"/>
        <v/>
      </c>
      <c r="R2443" s="89" t="str">
        <f t="shared" si="111"/>
        <v/>
      </c>
      <c r="S2443" s="82"/>
      <c r="U2443" s="37"/>
    </row>
    <row r="2444" spans="1:21" x14ac:dyDescent="0.25">
      <c r="A2444" s="31" t="str">
        <f>IF(Table!A2444 = "","",Table!A2444)</f>
        <v/>
      </c>
      <c r="B2444" s="31" t="str">
        <f>IF(Table!B2444 = "","",Table!B2444)</f>
        <v/>
      </c>
      <c r="C2444" s="31" t="str">
        <f>IF(Table!C2444 = "","",Table!C2444)</f>
        <v/>
      </c>
      <c r="D2444" s="32" t="str">
        <f>IF(Table!D2444 = "","",Table!D2444)</f>
        <v/>
      </c>
      <c r="E2444" s="32" t="str">
        <f>IF(Table!E2444 = "","",Table!E2444)</f>
        <v/>
      </c>
      <c r="F2444" s="32" t="str">
        <f>IF(Table!F2444 = "","",Table!F2444)</f>
        <v/>
      </c>
      <c r="G2444" s="91"/>
      <c r="K2444" s="31" t="str">
        <f>IFERROR(VLOOKUP(A2444,Table!$I$4:$O$3000,1,TRUE),"")</f>
        <v/>
      </c>
      <c r="L2444" s="31" t="str">
        <f>IFERROR(INDEX(Table!I:O,MATCH(K2444,Table!I:I,0),2),"")</f>
        <v/>
      </c>
      <c r="M2444" s="31" t="str">
        <f>IFERROR(INDEX(Table!I:O,MATCH(K2444,Table!I:I,0),3),"")</f>
        <v/>
      </c>
      <c r="N2444" s="32" t="str">
        <f>IFERROR(INDEX(Table!I:O,MATCH(K2444,Table!I:I,0),4),"")</f>
        <v/>
      </c>
      <c r="O2444" s="32" t="str">
        <f>IFERROR(INDEX(Table!I:O,MATCH(K2444,Table!I:I,0),5),"")</f>
        <v/>
      </c>
      <c r="P2444" s="32" t="str">
        <f>IFERROR(INDEX(Table!I:O,MATCH(K2444,Table!I:I,0),6),"")</f>
        <v/>
      </c>
      <c r="Q2444" s="89" t="str">
        <f t="shared" si="110"/>
        <v/>
      </c>
      <c r="R2444" s="89" t="str">
        <f t="shared" si="111"/>
        <v/>
      </c>
      <c r="S2444" s="82"/>
      <c r="U2444" s="37"/>
    </row>
    <row r="2445" spans="1:21" x14ac:dyDescent="0.25">
      <c r="A2445" s="31" t="str">
        <f>IF(Table!A2445 = "","",Table!A2445)</f>
        <v/>
      </c>
      <c r="B2445" s="31" t="str">
        <f>IF(Table!B2445 = "","",Table!B2445)</f>
        <v/>
      </c>
      <c r="C2445" s="31" t="str">
        <f>IF(Table!C2445 = "","",Table!C2445)</f>
        <v/>
      </c>
      <c r="D2445" s="32" t="str">
        <f>IF(Table!D2445 = "","",Table!D2445)</f>
        <v/>
      </c>
      <c r="E2445" s="32" t="str">
        <f>IF(Table!E2445 = "","",Table!E2445)</f>
        <v/>
      </c>
      <c r="F2445" s="32" t="str">
        <f>IF(Table!F2445 = "","",Table!F2445)</f>
        <v/>
      </c>
      <c r="G2445" s="91"/>
      <c r="K2445" s="31" t="str">
        <f>IFERROR(VLOOKUP(A2445,Table!$I$4:$O$3000,1,TRUE),"")</f>
        <v/>
      </c>
      <c r="L2445" s="31" t="str">
        <f>IFERROR(INDEX(Table!I:O,MATCH(K2445,Table!I:I,0),2),"")</f>
        <v/>
      </c>
      <c r="M2445" s="31" t="str">
        <f>IFERROR(INDEX(Table!I:O,MATCH(K2445,Table!I:I,0),3),"")</f>
        <v/>
      </c>
      <c r="N2445" s="32" t="str">
        <f>IFERROR(INDEX(Table!I:O,MATCH(K2445,Table!I:I,0),4),"")</f>
        <v/>
      </c>
      <c r="O2445" s="32" t="str">
        <f>IFERROR(INDEX(Table!I:O,MATCH(K2445,Table!I:I,0),5),"")</f>
        <v/>
      </c>
      <c r="P2445" s="32" t="str">
        <f>IFERROR(INDEX(Table!I:O,MATCH(K2445,Table!I:I,0),6),"")</f>
        <v/>
      </c>
      <c r="Q2445" s="89" t="str">
        <f t="shared" si="110"/>
        <v/>
      </c>
      <c r="R2445" s="89" t="str">
        <f t="shared" si="111"/>
        <v/>
      </c>
      <c r="S2445" s="82"/>
      <c r="U2445" s="37"/>
    </row>
    <row r="2446" spans="1:21" x14ac:dyDescent="0.25">
      <c r="A2446" s="31" t="str">
        <f>IF(Table!A2446 = "","",Table!A2446)</f>
        <v/>
      </c>
      <c r="B2446" s="31" t="str">
        <f>IF(Table!B2446 = "","",Table!B2446)</f>
        <v/>
      </c>
      <c r="C2446" s="31" t="str">
        <f>IF(Table!C2446 = "","",Table!C2446)</f>
        <v/>
      </c>
      <c r="D2446" s="32" t="str">
        <f>IF(Table!D2446 = "","",Table!D2446)</f>
        <v/>
      </c>
      <c r="E2446" s="32" t="str">
        <f>IF(Table!E2446 = "","",Table!E2446)</f>
        <v/>
      </c>
      <c r="F2446" s="32" t="str">
        <f>IF(Table!F2446 = "","",Table!F2446)</f>
        <v/>
      </c>
      <c r="G2446" s="91"/>
      <c r="K2446" s="31" t="str">
        <f>IFERROR(VLOOKUP(A2446,Table!$I$4:$O$3000,1,TRUE),"")</f>
        <v/>
      </c>
      <c r="L2446" s="31" t="str">
        <f>IFERROR(INDEX(Table!I:O,MATCH(K2446,Table!I:I,0),2),"")</f>
        <v/>
      </c>
      <c r="M2446" s="31" t="str">
        <f>IFERROR(INDEX(Table!I:O,MATCH(K2446,Table!I:I,0),3),"")</f>
        <v/>
      </c>
      <c r="N2446" s="32" t="str">
        <f>IFERROR(INDEX(Table!I:O,MATCH(K2446,Table!I:I,0),4),"")</f>
        <v/>
      </c>
      <c r="O2446" s="32" t="str">
        <f>IFERROR(INDEX(Table!I:O,MATCH(K2446,Table!I:I,0),5),"")</f>
        <v/>
      </c>
      <c r="P2446" s="32" t="str">
        <f>IFERROR(INDEX(Table!I:O,MATCH(K2446,Table!I:I,0),6),"")</f>
        <v/>
      </c>
      <c r="Q2446" s="89" t="str">
        <f t="shared" si="110"/>
        <v/>
      </c>
      <c r="R2446" s="89" t="str">
        <f t="shared" si="111"/>
        <v/>
      </c>
      <c r="S2446" s="82"/>
      <c r="U2446" s="37"/>
    </row>
    <row r="2447" spans="1:21" x14ac:dyDescent="0.25">
      <c r="A2447" s="31" t="str">
        <f>IF(Table!A2447 = "","",Table!A2447)</f>
        <v/>
      </c>
      <c r="B2447" s="31" t="str">
        <f>IF(Table!B2447 = "","",Table!B2447)</f>
        <v/>
      </c>
      <c r="C2447" s="31" t="str">
        <f>IF(Table!C2447 = "","",Table!C2447)</f>
        <v/>
      </c>
      <c r="D2447" s="32" t="str">
        <f>IF(Table!D2447 = "","",Table!D2447)</f>
        <v/>
      </c>
      <c r="E2447" s="32" t="str">
        <f>IF(Table!E2447 = "","",Table!E2447)</f>
        <v/>
      </c>
      <c r="F2447" s="32" t="str">
        <f>IF(Table!F2447 = "","",Table!F2447)</f>
        <v/>
      </c>
      <c r="G2447" s="91"/>
      <c r="K2447" s="31" t="str">
        <f>IFERROR(VLOOKUP(A2447,Table!$I$4:$O$3000,1,TRUE),"")</f>
        <v/>
      </c>
      <c r="L2447" s="31" t="str">
        <f>IFERROR(INDEX(Table!I:O,MATCH(K2447,Table!I:I,0),2),"")</f>
        <v/>
      </c>
      <c r="M2447" s="31" t="str">
        <f>IFERROR(INDEX(Table!I:O,MATCH(K2447,Table!I:I,0),3),"")</f>
        <v/>
      </c>
      <c r="N2447" s="32" t="str">
        <f>IFERROR(INDEX(Table!I:O,MATCH(K2447,Table!I:I,0),4),"")</f>
        <v/>
      </c>
      <c r="O2447" s="32" t="str">
        <f>IFERROR(INDEX(Table!I:O,MATCH(K2447,Table!I:I,0),5),"")</f>
        <v/>
      </c>
      <c r="P2447" s="32" t="str">
        <f>IFERROR(INDEX(Table!I:O,MATCH(K2447,Table!I:I,0),6),"")</f>
        <v/>
      </c>
      <c r="Q2447" s="89" t="str">
        <f t="shared" si="110"/>
        <v/>
      </c>
      <c r="R2447" s="89" t="str">
        <f t="shared" si="111"/>
        <v/>
      </c>
      <c r="S2447" s="82"/>
      <c r="U2447" s="37"/>
    </row>
    <row r="2448" spans="1:21" x14ac:dyDescent="0.25">
      <c r="A2448" s="31" t="str">
        <f>IF(Table!A2448 = "","",Table!A2448)</f>
        <v/>
      </c>
      <c r="B2448" s="31" t="str">
        <f>IF(Table!B2448 = "","",Table!B2448)</f>
        <v/>
      </c>
      <c r="C2448" s="31" t="str">
        <f>IF(Table!C2448 = "","",Table!C2448)</f>
        <v/>
      </c>
      <c r="D2448" s="32" t="str">
        <f>IF(Table!D2448 = "","",Table!D2448)</f>
        <v/>
      </c>
      <c r="E2448" s="32" t="str">
        <f>IF(Table!E2448 = "","",Table!E2448)</f>
        <v/>
      </c>
      <c r="F2448" s="32" t="str">
        <f>IF(Table!F2448 = "","",Table!F2448)</f>
        <v/>
      </c>
      <c r="G2448" s="91"/>
      <c r="K2448" s="31" t="str">
        <f>IFERROR(VLOOKUP(A2448,Table!$I$4:$O$3000,1,TRUE),"")</f>
        <v/>
      </c>
      <c r="L2448" s="31" t="str">
        <f>IFERROR(INDEX(Table!I:O,MATCH(K2448,Table!I:I,0),2),"")</f>
        <v/>
      </c>
      <c r="M2448" s="31" t="str">
        <f>IFERROR(INDEX(Table!I:O,MATCH(K2448,Table!I:I,0),3),"")</f>
        <v/>
      </c>
      <c r="N2448" s="32" t="str">
        <f>IFERROR(INDEX(Table!I:O,MATCH(K2448,Table!I:I,0),4),"")</f>
        <v/>
      </c>
      <c r="O2448" s="32" t="str">
        <f>IFERROR(INDEX(Table!I:O,MATCH(K2448,Table!I:I,0),5),"")</f>
        <v/>
      </c>
      <c r="P2448" s="32" t="str">
        <f>IFERROR(INDEX(Table!I:O,MATCH(K2448,Table!I:I,0),6),"")</f>
        <v/>
      </c>
      <c r="Q2448" s="89" t="str">
        <f t="shared" si="110"/>
        <v/>
      </c>
      <c r="R2448" s="89" t="str">
        <f t="shared" si="111"/>
        <v/>
      </c>
      <c r="S2448" s="82"/>
      <c r="U2448" s="37"/>
    </row>
    <row r="2449" spans="1:21" x14ac:dyDescent="0.25">
      <c r="A2449" s="31" t="str">
        <f>IF(Table!A2449 = "","",Table!A2449)</f>
        <v/>
      </c>
      <c r="B2449" s="31" t="str">
        <f>IF(Table!B2449 = "","",Table!B2449)</f>
        <v/>
      </c>
      <c r="C2449" s="31" t="str">
        <f>IF(Table!C2449 = "","",Table!C2449)</f>
        <v/>
      </c>
      <c r="D2449" s="32" t="str">
        <f>IF(Table!D2449 = "","",Table!D2449)</f>
        <v/>
      </c>
      <c r="E2449" s="32" t="str">
        <f>IF(Table!E2449 = "","",Table!E2449)</f>
        <v/>
      </c>
      <c r="F2449" s="32" t="str">
        <f>IF(Table!F2449 = "","",Table!F2449)</f>
        <v/>
      </c>
      <c r="G2449" s="91"/>
      <c r="K2449" s="31" t="str">
        <f>IFERROR(VLOOKUP(A2449,Table!$I$4:$O$3000,1,TRUE),"")</f>
        <v/>
      </c>
      <c r="L2449" s="31" t="str">
        <f>IFERROR(INDEX(Table!I:O,MATCH(K2449,Table!I:I,0),2),"")</f>
        <v/>
      </c>
      <c r="M2449" s="31" t="str">
        <f>IFERROR(INDEX(Table!I:O,MATCH(K2449,Table!I:I,0),3),"")</f>
        <v/>
      </c>
      <c r="N2449" s="32" t="str">
        <f>IFERROR(INDEX(Table!I:O,MATCH(K2449,Table!I:I,0),4),"")</f>
        <v/>
      </c>
      <c r="O2449" s="32" t="str">
        <f>IFERROR(INDEX(Table!I:O,MATCH(K2449,Table!I:I,0),5),"")</f>
        <v/>
      </c>
      <c r="P2449" s="32" t="str">
        <f>IFERROR(INDEX(Table!I:O,MATCH(K2449,Table!I:I,0),6),"")</f>
        <v/>
      </c>
      <c r="Q2449" s="89" t="str">
        <f t="shared" si="110"/>
        <v/>
      </c>
      <c r="R2449" s="89" t="str">
        <f t="shared" si="111"/>
        <v/>
      </c>
      <c r="S2449" s="82"/>
      <c r="U2449" s="37"/>
    </row>
    <row r="2450" spans="1:21" x14ac:dyDescent="0.25">
      <c r="A2450" s="31" t="str">
        <f>IF(Table!A2450 = "","",Table!A2450)</f>
        <v/>
      </c>
      <c r="B2450" s="31" t="str">
        <f>IF(Table!B2450 = "","",Table!B2450)</f>
        <v/>
      </c>
      <c r="C2450" s="31" t="str">
        <f>IF(Table!C2450 = "","",Table!C2450)</f>
        <v/>
      </c>
      <c r="D2450" s="32" t="str">
        <f>IF(Table!D2450 = "","",Table!D2450)</f>
        <v/>
      </c>
      <c r="E2450" s="32" t="str">
        <f>IF(Table!E2450 = "","",Table!E2450)</f>
        <v/>
      </c>
      <c r="F2450" s="32" t="str">
        <f>IF(Table!F2450 = "","",Table!F2450)</f>
        <v/>
      </c>
      <c r="G2450" s="91"/>
      <c r="K2450" s="31" t="str">
        <f>IFERROR(VLOOKUP(A2450,Table!$I$4:$O$3000,1,TRUE),"")</f>
        <v/>
      </c>
      <c r="L2450" s="31" t="str">
        <f>IFERROR(INDEX(Table!I:O,MATCH(K2450,Table!I:I,0),2),"")</f>
        <v/>
      </c>
      <c r="M2450" s="31" t="str">
        <f>IFERROR(INDEX(Table!I:O,MATCH(K2450,Table!I:I,0),3),"")</f>
        <v/>
      </c>
      <c r="N2450" s="32" t="str">
        <f>IFERROR(INDEX(Table!I:O,MATCH(K2450,Table!I:I,0),4),"")</f>
        <v/>
      </c>
      <c r="O2450" s="32" t="str">
        <f>IFERROR(INDEX(Table!I:O,MATCH(K2450,Table!I:I,0),5),"")</f>
        <v/>
      </c>
      <c r="P2450" s="32" t="str">
        <f>IFERROR(INDEX(Table!I:O,MATCH(K2450,Table!I:I,0),6),"")</f>
        <v/>
      </c>
      <c r="Q2450" s="89" t="str">
        <f t="shared" si="110"/>
        <v/>
      </c>
      <c r="R2450" s="89" t="str">
        <f t="shared" si="111"/>
        <v/>
      </c>
      <c r="S2450" s="82"/>
      <c r="U2450" s="37"/>
    </row>
    <row r="2451" spans="1:21" x14ac:dyDescent="0.25">
      <c r="A2451" s="31" t="str">
        <f>IF(Table!A2451 = "","",Table!A2451)</f>
        <v/>
      </c>
      <c r="B2451" s="31" t="str">
        <f>IF(Table!B2451 = "","",Table!B2451)</f>
        <v/>
      </c>
      <c r="C2451" s="31" t="str">
        <f>IF(Table!C2451 = "","",Table!C2451)</f>
        <v/>
      </c>
      <c r="D2451" s="32" t="str">
        <f>IF(Table!D2451 = "","",Table!D2451)</f>
        <v/>
      </c>
      <c r="E2451" s="32" t="str">
        <f>IF(Table!E2451 = "","",Table!E2451)</f>
        <v/>
      </c>
      <c r="F2451" s="32" t="str">
        <f>IF(Table!F2451 = "","",Table!F2451)</f>
        <v/>
      </c>
      <c r="G2451" s="91"/>
      <c r="K2451" s="31" t="str">
        <f>IFERROR(VLOOKUP(A2451,Table!$I$4:$O$3000,1,TRUE),"")</f>
        <v/>
      </c>
      <c r="L2451" s="31" t="str">
        <f>IFERROR(INDEX(Table!I:O,MATCH(K2451,Table!I:I,0),2),"")</f>
        <v/>
      </c>
      <c r="M2451" s="31" t="str">
        <f>IFERROR(INDEX(Table!I:O,MATCH(K2451,Table!I:I,0),3),"")</f>
        <v/>
      </c>
      <c r="N2451" s="32" t="str">
        <f>IFERROR(INDEX(Table!I:O,MATCH(K2451,Table!I:I,0),4),"")</f>
        <v/>
      </c>
      <c r="O2451" s="32" t="str">
        <f>IFERROR(INDEX(Table!I:O,MATCH(K2451,Table!I:I,0),5),"")</f>
        <v/>
      </c>
      <c r="P2451" s="32" t="str">
        <f>IFERROR(INDEX(Table!I:O,MATCH(K2451,Table!I:I,0),6),"")</f>
        <v/>
      </c>
      <c r="Q2451" s="89" t="str">
        <f t="shared" si="110"/>
        <v/>
      </c>
      <c r="R2451" s="89" t="str">
        <f t="shared" si="111"/>
        <v/>
      </c>
      <c r="S2451" s="82"/>
      <c r="U2451" s="37"/>
    </row>
    <row r="2452" spans="1:21" x14ac:dyDescent="0.25">
      <c r="A2452" s="31" t="str">
        <f>IF(Table!A2452 = "","",Table!A2452)</f>
        <v/>
      </c>
      <c r="B2452" s="31" t="str">
        <f>IF(Table!B2452 = "","",Table!B2452)</f>
        <v/>
      </c>
      <c r="C2452" s="31" t="str">
        <f>IF(Table!C2452 = "","",Table!C2452)</f>
        <v/>
      </c>
      <c r="D2452" s="32" t="str">
        <f>IF(Table!D2452 = "","",Table!D2452)</f>
        <v/>
      </c>
      <c r="E2452" s="32" t="str">
        <f>IF(Table!E2452 = "","",Table!E2452)</f>
        <v/>
      </c>
      <c r="F2452" s="32" t="str">
        <f>IF(Table!F2452 = "","",Table!F2452)</f>
        <v/>
      </c>
      <c r="G2452" s="91"/>
      <c r="K2452" s="31" t="str">
        <f>IFERROR(VLOOKUP(A2452,Table!$I$4:$O$3000,1,TRUE),"")</f>
        <v/>
      </c>
      <c r="L2452" s="31" t="str">
        <f>IFERROR(INDEX(Table!I:O,MATCH(K2452,Table!I:I,0),2),"")</f>
        <v/>
      </c>
      <c r="M2452" s="31" t="str">
        <f>IFERROR(INDEX(Table!I:O,MATCH(K2452,Table!I:I,0),3),"")</f>
        <v/>
      </c>
      <c r="N2452" s="32" t="str">
        <f>IFERROR(INDEX(Table!I:O,MATCH(K2452,Table!I:I,0),4),"")</f>
        <v/>
      </c>
      <c r="O2452" s="32" t="str">
        <f>IFERROR(INDEX(Table!I:O,MATCH(K2452,Table!I:I,0),5),"")</f>
        <v/>
      </c>
      <c r="P2452" s="32" t="str">
        <f>IFERROR(INDEX(Table!I:O,MATCH(K2452,Table!I:I,0),6),"")</f>
        <v/>
      </c>
      <c r="Q2452" s="89" t="str">
        <f t="shared" si="110"/>
        <v/>
      </c>
      <c r="R2452" s="89" t="str">
        <f t="shared" si="111"/>
        <v/>
      </c>
      <c r="S2452" s="82"/>
      <c r="U2452" s="37"/>
    </row>
    <row r="2453" spans="1:21" x14ac:dyDescent="0.25">
      <c r="A2453" s="31" t="str">
        <f>IF(Table!A2453 = "","",Table!A2453)</f>
        <v/>
      </c>
      <c r="B2453" s="31" t="str">
        <f>IF(Table!B2453 = "","",Table!B2453)</f>
        <v/>
      </c>
      <c r="C2453" s="31" t="str">
        <f>IF(Table!C2453 = "","",Table!C2453)</f>
        <v/>
      </c>
      <c r="D2453" s="32" t="str">
        <f>IF(Table!D2453 = "","",Table!D2453)</f>
        <v/>
      </c>
      <c r="E2453" s="32" t="str">
        <f>IF(Table!E2453 = "","",Table!E2453)</f>
        <v/>
      </c>
      <c r="F2453" s="32" t="str">
        <f>IF(Table!F2453 = "","",Table!F2453)</f>
        <v/>
      </c>
      <c r="G2453" s="91"/>
      <c r="K2453" s="31" t="str">
        <f>IFERROR(VLOOKUP(A2453,Table!$I$4:$O$3000,1,TRUE),"")</f>
        <v/>
      </c>
      <c r="L2453" s="31" t="str">
        <f>IFERROR(INDEX(Table!I:O,MATCH(K2453,Table!I:I,0),2),"")</f>
        <v/>
      </c>
      <c r="M2453" s="31" t="str">
        <f>IFERROR(INDEX(Table!I:O,MATCH(K2453,Table!I:I,0),3),"")</f>
        <v/>
      </c>
      <c r="N2453" s="32" t="str">
        <f>IFERROR(INDEX(Table!I:O,MATCH(K2453,Table!I:I,0),4),"")</f>
        <v/>
      </c>
      <c r="O2453" s="32" t="str">
        <f>IFERROR(INDEX(Table!I:O,MATCH(K2453,Table!I:I,0),5),"")</f>
        <v/>
      </c>
      <c r="P2453" s="32" t="str">
        <f>IFERROR(INDEX(Table!I:O,MATCH(K2453,Table!I:I,0),6),"")</f>
        <v/>
      </c>
      <c r="Q2453" s="89" t="str">
        <f t="shared" si="110"/>
        <v/>
      </c>
      <c r="R2453" s="89" t="str">
        <f t="shared" si="111"/>
        <v/>
      </c>
      <c r="S2453" s="82"/>
      <c r="U2453" s="37"/>
    </row>
    <row r="2454" spans="1:21" x14ac:dyDescent="0.25">
      <c r="A2454" s="31" t="str">
        <f>IF(Table!A2454 = "","",Table!A2454)</f>
        <v/>
      </c>
      <c r="B2454" s="31" t="str">
        <f>IF(Table!B2454 = "","",Table!B2454)</f>
        <v/>
      </c>
      <c r="C2454" s="31" t="str">
        <f>IF(Table!C2454 = "","",Table!C2454)</f>
        <v/>
      </c>
      <c r="D2454" s="32" t="str">
        <f>IF(Table!D2454 = "","",Table!D2454)</f>
        <v/>
      </c>
      <c r="E2454" s="32" t="str">
        <f>IF(Table!E2454 = "","",Table!E2454)</f>
        <v/>
      </c>
      <c r="F2454" s="32" t="str">
        <f>IF(Table!F2454 = "","",Table!F2454)</f>
        <v/>
      </c>
      <c r="G2454" s="91"/>
      <c r="K2454" s="31" t="str">
        <f>IFERROR(VLOOKUP(A2454,Table!$I$4:$O$3000,1,TRUE),"")</f>
        <v/>
      </c>
      <c r="L2454" s="31" t="str">
        <f>IFERROR(INDEX(Table!I:O,MATCH(K2454,Table!I:I,0),2),"")</f>
        <v/>
      </c>
      <c r="M2454" s="31" t="str">
        <f>IFERROR(INDEX(Table!I:O,MATCH(K2454,Table!I:I,0),3),"")</f>
        <v/>
      </c>
      <c r="N2454" s="32" t="str">
        <f>IFERROR(INDEX(Table!I:O,MATCH(K2454,Table!I:I,0),4),"")</f>
        <v/>
      </c>
      <c r="O2454" s="32" t="str">
        <f>IFERROR(INDEX(Table!I:O,MATCH(K2454,Table!I:I,0),5),"")</f>
        <v/>
      </c>
      <c r="P2454" s="32" t="str">
        <f>IFERROR(INDEX(Table!I:O,MATCH(K2454,Table!I:I,0),6),"")</f>
        <v/>
      </c>
      <c r="Q2454" s="89" t="str">
        <f t="shared" si="110"/>
        <v/>
      </c>
      <c r="R2454" s="89" t="str">
        <f t="shared" si="111"/>
        <v/>
      </c>
      <c r="S2454" s="82"/>
      <c r="U2454" s="37"/>
    </row>
    <row r="2455" spans="1:21" x14ac:dyDescent="0.25">
      <c r="A2455" s="31" t="str">
        <f>IF(Table!A2455 = "","",Table!A2455)</f>
        <v/>
      </c>
      <c r="B2455" s="31" t="str">
        <f>IF(Table!B2455 = "","",Table!B2455)</f>
        <v/>
      </c>
      <c r="C2455" s="31" t="str">
        <f>IF(Table!C2455 = "","",Table!C2455)</f>
        <v/>
      </c>
      <c r="D2455" s="32" t="str">
        <f>IF(Table!D2455 = "","",Table!D2455)</f>
        <v/>
      </c>
      <c r="E2455" s="32" t="str">
        <f>IF(Table!E2455 = "","",Table!E2455)</f>
        <v/>
      </c>
      <c r="F2455" s="32" t="str">
        <f>IF(Table!F2455 = "","",Table!F2455)</f>
        <v/>
      </c>
      <c r="G2455" s="91"/>
      <c r="K2455" s="31" t="str">
        <f>IFERROR(VLOOKUP(A2455,Table!$I$4:$O$3000,1,TRUE),"")</f>
        <v/>
      </c>
      <c r="L2455" s="31" t="str">
        <f>IFERROR(INDEX(Table!I:O,MATCH(K2455,Table!I:I,0),2),"")</f>
        <v/>
      </c>
      <c r="M2455" s="31" t="str">
        <f>IFERROR(INDEX(Table!I:O,MATCH(K2455,Table!I:I,0),3),"")</f>
        <v/>
      </c>
      <c r="N2455" s="32" t="str">
        <f>IFERROR(INDEX(Table!I:O,MATCH(K2455,Table!I:I,0),4),"")</f>
        <v/>
      </c>
      <c r="O2455" s="32" t="str">
        <f>IFERROR(INDEX(Table!I:O,MATCH(K2455,Table!I:I,0),5),"")</f>
        <v/>
      </c>
      <c r="P2455" s="32" t="str">
        <f>IFERROR(INDEX(Table!I:O,MATCH(K2455,Table!I:I,0),6),"")</f>
        <v/>
      </c>
      <c r="Q2455" s="89" t="str">
        <f t="shared" si="110"/>
        <v/>
      </c>
      <c r="R2455" s="89" t="str">
        <f t="shared" si="111"/>
        <v/>
      </c>
      <c r="S2455" s="82"/>
      <c r="U2455" s="37"/>
    </row>
    <row r="2456" spans="1:21" x14ac:dyDescent="0.25">
      <c r="A2456" s="31" t="str">
        <f>IF(Table!A2456 = "","",Table!A2456)</f>
        <v/>
      </c>
      <c r="B2456" s="31" t="str">
        <f>IF(Table!B2456 = "","",Table!B2456)</f>
        <v/>
      </c>
      <c r="C2456" s="31" t="str">
        <f>IF(Table!C2456 = "","",Table!C2456)</f>
        <v/>
      </c>
      <c r="D2456" s="32" t="str">
        <f>IF(Table!D2456 = "","",Table!D2456)</f>
        <v/>
      </c>
      <c r="E2456" s="32" t="str">
        <f>IF(Table!E2456 = "","",Table!E2456)</f>
        <v/>
      </c>
      <c r="F2456" s="32" t="str">
        <f>IF(Table!F2456 = "","",Table!F2456)</f>
        <v/>
      </c>
      <c r="G2456" s="91"/>
      <c r="K2456" s="31" t="str">
        <f>IFERROR(VLOOKUP(A2456,Table!$I$4:$O$3000,1,TRUE),"")</f>
        <v/>
      </c>
      <c r="L2456" s="31" t="str">
        <f>IFERROR(INDEX(Table!I:O,MATCH(K2456,Table!I:I,0),2),"")</f>
        <v/>
      </c>
      <c r="M2456" s="31" t="str">
        <f>IFERROR(INDEX(Table!I:O,MATCH(K2456,Table!I:I,0),3),"")</f>
        <v/>
      </c>
      <c r="N2456" s="32" t="str">
        <f>IFERROR(INDEX(Table!I:O,MATCH(K2456,Table!I:I,0),4),"")</f>
        <v/>
      </c>
      <c r="O2456" s="32" t="str">
        <f>IFERROR(INDEX(Table!I:O,MATCH(K2456,Table!I:I,0),5),"")</f>
        <v/>
      </c>
      <c r="P2456" s="32" t="str">
        <f>IFERROR(INDEX(Table!I:O,MATCH(K2456,Table!I:I,0),6),"")</f>
        <v/>
      </c>
      <c r="Q2456" s="89" t="str">
        <f t="shared" si="110"/>
        <v/>
      </c>
      <c r="R2456" s="89" t="str">
        <f t="shared" si="111"/>
        <v/>
      </c>
      <c r="S2456" s="82"/>
      <c r="U2456" s="37"/>
    </row>
    <row r="2457" spans="1:21" x14ac:dyDescent="0.25">
      <c r="A2457" s="31" t="str">
        <f>IF(Table!A2457 = "","",Table!A2457)</f>
        <v/>
      </c>
      <c r="B2457" s="31" t="str">
        <f>IF(Table!B2457 = "","",Table!B2457)</f>
        <v/>
      </c>
      <c r="C2457" s="31" t="str">
        <f>IF(Table!C2457 = "","",Table!C2457)</f>
        <v/>
      </c>
      <c r="D2457" s="32" t="str">
        <f>IF(Table!D2457 = "","",Table!D2457)</f>
        <v/>
      </c>
      <c r="E2457" s="32" t="str">
        <f>IF(Table!E2457 = "","",Table!E2457)</f>
        <v/>
      </c>
      <c r="F2457" s="32" t="str">
        <f>IF(Table!F2457 = "","",Table!F2457)</f>
        <v/>
      </c>
      <c r="G2457" s="91"/>
      <c r="K2457" s="31" t="str">
        <f>IFERROR(VLOOKUP(A2457,Table!$I$4:$O$3000,1,TRUE),"")</f>
        <v/>
      </c>
      <c r="L2457" s="31" t="str">
        <f>IFERROR(INDEX(Table!I:O,MATCH(K2457,Table!I:I,0),2),"")</f>
        <v/>
      </c>
      <c r="M2457" s="31" t="str">
        <f>IFERROR(INDEX(Table!I:O,MATCH(K2457,Table!I:I,0),3),"")</f>
        <v/>
      </c>
      <c r="N2457" s="32" t="str">
        <f>IFERROR(INDEX(Table!I:O,MATCH(K2457,Table!I:I,0),4),"")</f>
        <v/>
      </c>
      <c r="O2457" s="32" t="str">
        <f>IFERROR(INDEX(Table!I:O,MATCH(K2457,Table!I:I,0),5),"")</f>
        <v/>
      </c>
      <c r="P2457" s="32" t="str">
        <f>IFERROR(INDEX(Table!I:O,MATCH(K2457,Table!I:I,0),6),"")</f>
        <v/>
      </c>
      <c r="Q2457" s="89" t="str">
        <f t="shared" si="110"/>
        <v/>
      </c>
      <c r="R2457" s="89" t="str">
        <f t="shared" si="111"/>
        <v/>
      </c>
      <c r="S2457" s="82"/>
      <c r="U2457" s="37"/>
    </row>
    <row r="2458" spans="1:21" x14ac:dyDescent="0.25">
      <c r="A2458" s="31" t="str">
        <f>IF(Table!A2458 = "","",Table!A2458)</f>
        <v/>
      </c>
      <c r="B2458" s="31" t="str">
        <f>IF(Table!B2458 = "","",Table!B2458)</f>
        <v/>
      </c>
      <c r="C2458" s="31" t="str">
        <f>IF(Table!C2458 = "","",Table!C2458)</f>
        <v/>
      </c>
      <c r="D2458" s="32" t="str">
        <f>IF(Table!D2458 = "","",Table!D2458)</f>
        <v/>
      </c>
      <c r="E2458" s="32" t="str">
        <f>IF(Table!E2458 = "","",Table!E2458)</f>
        <v/>
      </c>
      <c r="F2458" s="32" t="str">
        <f>IF(Table!F2458 = "","",Table!F2458)</f>
        <v/>
      </c>
      <c r="G2458" s="91"/>
      <c r="K2458" s="31" t="str">
        <f>IFERROR(VLOOKUP(A2458,Table!$I$4:$O$3000,1,TRUE),"")</f>
        <v/>
      </c>
      <c r="L2458" s="31" t="str">
        <f>IFERROR(INDEX(Table!I:O,MATCH(K2458,Table!I:I,0),2),"")</f>
        <v/>
      </c>
      <c r="M2458" s="31" t="str">
        <f>IFERROR(INDEX(Table!I:O,MATCH(K2458,Table!I:I,0),3),"")</f>
        <v/>
      </c>
      <c r="N2458" s="32" t="str">
        <f>IFERROR(INDEX(Table!I:O,MATCH(K2458,Table!I:I,0),4),"")</f>
        <v/>
      </c>
      <c r="O2458" s="32" t="str">
        <f>IFERROR(INDEX(Table!I:O,MATCH(K2458,Table!I:I,0),5),"")</f>
        <v/>
      </c>
      <c r="P2458" s="32" t="str">
        <f>IFERROR(INDEX(Table!I:O,MATCH(K2458,Table!I:I,0),6),"")</f>
        <v/>
      </c>
      <c r="Q2458" s="89" t="str">
        <f t="shared" si="110"/>
        <v/>
      </c>
      <c r="R2458" s="89" t="str">
        <f t="shared" si="111"/>
        <v/>
      </c>
      <c r="S2458" s="82"/>
      <c r="U2458" s="37"/>
    </row>
    <row r="2459" spans="1:21" x14ac:dyDescent="0.25">
      <c r="A2459" s="31" t="str">
        <f>IF(Table!A2459 = "","",Table!A2459)</f>
        <v/>
      </c>
      <c r="B2459" s="31" t="str">
        <f>IF(Table!B2459 = "","",Table!B2459)</f>
        <v/>
      </c>
      <c r="C2459" s="31" t="str">
        <f>IF(Table!C2459 = "","",Table!C2459)</f>
        <v/>
      </c>
      <c r="D2459" s="32" t="str">
        <f>IF(Table!D2459 = "","",Table!D2459)</f>
        <v/>
      </c>
      <c r="E2459" s="32" t="str">
        <f>IF(Table!E2459 = "","",Table!E2459)</f>
        <v/>
      </c>
      <c r="F2459" s="32" t="str">
        <f>IF(Table!F2459 = "","",Table!F2459)</f>
        <v/>
      </c>
      <c r="G2459" s="91"/>
      <c r="K2459" s="31" t="str">
        <f>IFERROR(VLOOKUP(A2459,Table!$I$4:$O$3000,1,TRUE),"")</f>
        <v/>
      </c>
      <c r="L2459" s="31" t="str">
        <f>IFERROR(INDEX(Table!I:O,MATCH(K2459,Table!I:I,0),2),"")</f>
        <v/>
      </c>
      <c r="M2459" s="31" t="str">
        <f>IFERROR(INDEX(Table!I:O,MATCH(K2459,Table!I:I,0),3),"")</f>
        <v/>
      </c>
      <c r="N2459" s="32" t="str">
        <f>IFERROR(INDEX(Table!I:O,MATCH(K2459,Table!I:I,0),4),"")</f>
        <v/>
      </c>
      <c r="O2459" s="32" t="str">
        <f>IFERROR(INDEX(Table!I:O,MATCH(K2459,Table!I:I,0),5),"")</f>
        <v/>
      </c>
      <c r="P2459" s="32" t="str">
        <f>IFERROR(INDEX(Table!I:O,MATCH(K2459,Table!I:I,0),6),"")</f>
        <v/>
      </c>
      <c r="Q2459" s="89" t="str">
        <f t="shared" si="110"/>
        <v/>
      </c>
      <c r="R2459" s="89" t="str">
        <f t="shared" si="111"/>
        <v/>
      </c>
      <c r="S2459" s="82"/>
      <c r="U2459" s="37"/>
    </row>
    <row r="2460" spans="1:21" x14ac:dyDescent="0.25">
      <c r="A2460" s="31" t="str">
        <f>IF(Table!A2460 = "","",Table!A2460)</f>
        <v/>
      </c>
      <c r="B2460" s="31" t="str">
        <f>IF(Table!B2460 = "","",Table!B2460)</f>
        <v/>
      </c>
      <c r="C2460" s="31" t="str">
        <f>IF(Table!C2460 = "","",Table!C2460)</f>
        <v/>
      </c>
      <c r="D2460" s="32" t="str">
        <f>IF(Table!D2460 = "","",Table!D2460)</f>
        <v/>
      </c>
      <c r="E2460" s="32" t="str">
        <f>IF(Table!E2460 = "","",Table!E2460)</f>
        <v/>
      </c>
      <c r="F2460" s="32" t="str">
        <f>IF(Table!F2460 = "","",Table!F2460)</f>
        <v/>
      </c>
      <c r="G2460" s="91"/>
      <c r="K2460" s="31" t="str">
        <f>IFERROR(VLOOKUP(A2460,Table!$I$4:$O$3000,1,TRUE),"")</f>
        <v/>
      </c>
      <c r="L2460" s="31" t="str">
        <f>IFERROR(INDEX(Table!I:O,MATCH(K2460,Table!I:I,0),2),"")</f>
        <v/>
      </c>
      <c r="M2460" s="31" t="str">
        <f>IFERROR(INDEX(Table!I:O,MATCH(K2460,Table!I:I,0),3),"")</f>
        <v/>
      </c>
      <c r="N2460" s="32" t="str">
        <f>IFERROR(INDEX(Table!I:O,MATCH(K2460,Table!I:I,0),4),"")</f>
        <v/>
      </c>
      <c r="O2460" s="32" t="str">
        <f>IFERROR(INDEX(Table!I:O,MATCH(K2460,Table!I:I,0),5),"")</f>
        <v/>
      </c>
      <c r="P2460" s="32" t="str">
        <f>IFERROR(INDEX(Table!I:O,MATCH(K2460,Table!I:I,0),6),"")</f>
        <v/>
      </c>
      <c r="Q2460" s="89" t="str">
        <f t="shared" si="110"/>
        <v/>
      </c>
      <c r="R2460" s="89" t="str">
        <f t="shared" si="111"/>
        <v/>
      </c>
      <c r="S2460" s="82"/>
      <c r="U2460" s="37"/>
    </row>
    <row r="2461" spans="1:21" x14ac:dyDescent="0.25">
      <c r="A2461" s="31" t="str">
        <f>IF(Table!A2461 = "","",Table!A2461)</f>
        <v/>
      </c>
      <c r="B2461" s="31" t="str">
        <f>IF(Table!B2461 = "","",Table!B2461)</f>
        <v/>
      </c>
      <c r="C2461" s="31" t="str">
        <f>IF(Table!C2461 = "","",Table!C2461)</f>
        <v/>
      </c>
      <c r="D2461" s="32" t="str">
        <f>IF(Table!D2461 = "","",Table!D2461)</f>
        <v/>
      </c>
      <c r="E2461" s="32" t="str">
        <f>IF(Table!E2461 = "","",Table!E2461)</f>
        <v/>
      </c>
      <c r="F2461" s="32" t="str">
        <f>IF(Table!F2461 = "","",Table!F2461)</f>
        <v/>
      </c>
      <c r="G2461" s="91"/>
      <c r="K2461" s="31" t="str">
        <f>IFERROR(VLOOKUP(A2461,Table!$I$4:$O$3000,1,TRUE),"")</f>
        <v/>
      </c>
      <c r="L2461" s="31" t="str">
        <f>IFERROR(INDEX(Table!I:O,MATCH(K2461,Table!I:I,0),2),"")</f>
        <v/>
      </c>
      <c r="M2461" s="31" t="str">
        <f>IFERROR(INDEX(Table!I:O,MATCH(K2461,Table!I:I,0),3),"")</f>
        <v/>
      </c>
      <c r="N2461" s="32" t="str">
        <f>IFERROR(INDEX(Table!I:O,MATCH(K2461,Table!I:I,0),4),"")</f>
        <v/>
      </c>
      <c r="O2461" s="32" t="str">
        <f>IFERROR(INDEX(Table!I:O,MATCH(K2461,Table!I:I,0),5),"")</f>
        <v/>
      </c>
      <c r="P2461" s="32" t="str">
        <f>IFERROR(INDEX(Table!I:O,MATCH(K2461,Table!I:I,0),6),"")</f>
        <v/>
      </c>
      <c r="Q2461" s="89" t="str">
        <f t="shared" si="110"/>
        <v/>
      </c>
      <c r="R2461" s="89" t="str">
        <f t="shared" si="111"/>
        <v/>
      </c>
      <c r="S2461" s="82"/>
      <c r="U2461" s="37"/>
    </row>
    <row r="2462" spans="1:21" x14ac:dyDescent="0.25">
      <c r="A2462" s="31" t="str">
        <f>IF(Table!A2462 = "","",Table!A2462)</f>
        <v/>
      </c>
      <c r="B2462" s="31" t="str">
        <f>IF(Table!B2462 = "","",Table!B2462)</f>
        <v/>
      </c>
      <c r="C2462" s="31" t="str">
        <f>IF(Table!C2462 = "","",Table!C2462)</f>
        <v/>
      </c>
      <c r="D2462" s="32" t="str">
        <f>IF(Table!D2462 = "","",Table!D2462)</f>
        <v/>
      </c>
      <c r="E2462" s="32" t="str">
        <f>IF(Table!E2462 = "","",Table!E2462)</f>
        <v/>
      </c>
      <c r="F2462" s="32" t="str">
        <f>IF(Table!F2462 = "","",Table!F2462)</f>
        <v/>
      </c>
      <c r="G2462" s="91"/>
      <c r="K2462" s="31" t="str">
        <f>IFERROR(VLOOKUP(A2462,Table!$I$4:$O$3000,1,TRUE),"")</f>
        <v/>
      </c>
      <c r="L2462" s="31" t="str">
        <f>IFERROR(INDEX(Table!I:O,MATCH(K2462,Table!I:I,0),2),"")</f>
        <v/>
      </c>
      <c r="M2462" s="31" t="str">
        <f>IFERROR(INDEX(Table!I:O,MATCH(K2462,Table!I:I,0),3),"")</f>
        <v/>
      </c>
      <c r="N2462" s="32" t="str">
        <f>IFERROR(INDEX(Table!I:O,MATCH(K2462,Table!I:I,0),4),"")</f>
        <v/>
      </c>
      <c r="O2462" s="32" t="str">
        <f>IFERROR(INDEX(Table!I:O,MATCH(K2462,Table!I:I,0),5),"")</f>
        <v/>
      </c>
      <c r="P2462" s="32" t="str">
        <f>IFERROR(INDEX(Table!I:O,MATCH(K2462,Table!I:I,0),6),"")</f>
        <v/>
      </c>
      <c r="Q2462" s="89" t="str">
        <f t="shared" si="110"/>
        <v/>
      </c>
      <c r="R2462" s="89" t="str">
        <f t="shared" si="111"/>
        <v/>
      </c>
      <c r="S2462" s="82"/>
      <c r="U2462" s="37"/>
    </row>
    <row r="2463" spans="1:21" x14ac:dyDescent="0.25">
      <c r="A2463" s="31" t="str">
        <f>IF(Table!A2463 = "","",Table!A2463)</f>
        <v/>
      </c>
      <c r="B2463" s="31" t="str">
        <f>IF(Table!B2463 = "","",Table!B2463)</f>
        <v/>
      </c>
      <c r="C2463" s="31" t="str">
        <f>IF(Table!C2463 = "","",Table!C2463)</f>
        <v/>
      </c>
      <c r="D2463" s="32" t="str">
        <f>IF(Table!D2463 = "","",Table!D2463)</f>
        <v/>
      </c>
      <c r="E2463" s="32" t="str">
        <f>IF(Table!E2463 = "","",Table!E2463)</f>
        <v/>
      </c>
      <c r="F2463" s="32" t="str">
        <f>IF(Table!F2463 = "","",Table!F2463)</f>
        <v/>
      </c>
      <c r="G2463" s="91"/>
      <c r="K2463" s="31" t="str">
        <f>IFERROR(VLOOKUP(A2463,Table!$I$4:$O$3000,1,TRUE),"")</f>
        <v/>
      </c>
      <c r="L2463" s="31" t="str">
        <f>IFERROR(INDEX(Table!I:O,MATCH(K2463,Table!I:I,0),2),"")</f>
        <v/>
      </c>
      <c r="M2463" s="31" t="str">
        <f>IFERROR(INDEX(Table!I:O,MATCH(K2463,Table!I:I,0),3),"")</f>
        <v/>
      </c>
      <c r="N2463" s="32" t="str">
        <f>IFERROR(INDEX(Table!I:O,MATCH(K2463,Table!I:I,0),4),"")</f>
        <v/>
      </c>
      <c r="O2463" s="32" t="str">
        <f>IFERROR(INDEX(Table!I:O,MATCH(K2463,Table!I:I,0),5),"")</f>
        <v/>
      </c>
      <c r="P2463" s="32" t="str">
        <f>IFERROR(INDEX(Table!I:O,MATCH(K2463,Table!I:I,0),6),"")</f>
        <v/>
      </c>
      <c r="Q2463" s="89" t="str">
        <f t="shared" si="110"/>
        <v/>
      </c>
      <c r="R2463" s="89" t="str">
        <f t="shared" si="111"/>
        <v/>
      </c>
      <c r="S2463" s="82"/>
      <c r="U2463" s="37"/>
    </row>
    <row r="2464" spans="1:21" x14ac:dyDescent="0.25">
      <c r="A2464" s="31" t="str">
        <f>IF(Table!A2464 = "","",Table!A2464)</f>
        <v/>
      </c>
      <c r="B2464" s="31" t="str">
        <f>IF(Table!B2464 = "","",Table!B2464)</f>
        <v/>
      </c>
      <c r="C2464" s="31" t="str">
        <f>IF(Table!C2464 = "","",Table!C2464)</f>
        <v/>
      </c>
      <c r="D2464" s="32" t="str">
        <f>IF(Table!D2464 = "","",Table!D2464)</f>
        <v/>
      </c>
      <c r="E2464" s="32" t="str">
        <f>IF(Table!E2464 = "","",Table!E2464)</f>
        <v/>
      </c>
      <c r="F2464" s="32" t="str">
        <f>IF(Table!F2464 = "","",Table!F2464)</f>
        <v/>
      </c>
      <c r="G2464" s="91"/>
      <c r="K2464" s="31" t="str">
        <f>IFERROR(VLOOKUP(A2464,Table!$I$4:$O$3000,1,TRUE),"")</f>
        <v/>
      </c>
      <c r="L2464" s="31" t="str">
        <f>IFERROR(INDEX(Table!I:O,MATCH(K2464,Table!I:I,0),2),"")</f>
        <v/>
      </c>
      <c r="M2464" s="31" t="str">
        <f>IFERROR(INDEX(Table!I:O,MATCH(K2464,Table!I:I,0),3),"")</f>
        <v/>
      </c>
      <c r="N2464" s="32" t="str">
        <f>IFERROR(INDEX(Table!I:O,MATCH(K2464,Table!I:I,0),4),"")</f>
        <v/>
      </c>
      <c r="O2464" s="32" t="str">
        <f>IFERROR(INDEX(Table!I:O,MATCH(K2464,Table!I:I,0),5),"")</f>
        <v/>
      </c>
      <c r="P2464" s="32" t="str">
        <f>IFERROR(INDEX(Table!I:O,MATCH(K2464,Table!I:I,0),6),"")</f>
        <v/>
      </c>
      <c r="Q2464" s="89" t="str">
        <f t="shared" si="110"/>
        <v/>
      </c>
      <c r="R2464" s="89" t="str">
        <f t="shared" si="111"/>
        <v/>
      </c>
      <c r="S2464" s="82"/>
      <c r="U2464" s="37"/>
    </row>
    <row r="2465" spans="1:21" x14ac:dyDescent="0.25">
      <c r="A2465" s="31" t="str">
        <f>IF(Table!A2465 = "","",Table!A2465)</f>
        <v/>
      </c>
      <c r="B2465" s="31" t="str">
        <f>IF(Table!B2465 = "","",Table!B2465)</f>
        <v/>
      </c>
      <c r="C2465" s="31" t="str">
        <f>IF(Table!C2465 = "","",Table!C2465)</f>
        <v/>
      </c>
      <c r="D2465" s="32" t="str">
        <f>IF(Table!D2465 = "","",Table!D2465)</f>
        <v/>
      </c>
      <c r="E2465" s="32" t="str">
        <f>IF(Table!E2465 = "","",Table!E2465)</f>
        <v/>
      </c>
      <c r="F2465" s="32" t="str">
        <f>IF(Table!F2465 = "","",Table!F2465)</f>
        <v/>
      </c>
      <c r="G2465" s="91"/>
      <c r="K2465" s="31" t="str">
        <f>IFERROR(VLOOKUP(A2465,Table!$I$4:$O$3000,1,TRUE),"")</f>
        <v/>
      </c>
      <c r="L2465" s="31" t="str">
        <f>IFERROR(INDEX(Table!I:O,MATCH(K2465,Table!I:I,0),2),"")</f>
        <v/>
      </c>
      <c r="M2465" s="31" t="str">
        <f>IFERROR(INDEX(Table!I:O,MATCH(K2465,Table!I:I,0),3),"")</f>
        <v/>
      </c>
      <c r="N2465" s="32" t="str">
        <f>IFERROR(INDEX(Table!I:O,MATCH(K2465,Table!I:I,0),4),"")</f>
        <v/>
      </c>
      <c r="O2465" s="32" t="str">
        <f>IFERROR(INDEX(Table!I:O,MATCH(K2465,Table!I:I,0),5),"")</f>
        <v/>
      </c>
      <c r="P2465" s="32" t="str">
        <f>IFERROR(INDEX(Table!I:O,MATCH(K2465,Table!I:I,0),6),"")</f>
        <v/>
      </c>
      <c r="Q2465" s="89" t="str">
        <f t="shared" si="110"/>
        <v/>
      </c>
      <c r="R2465" s="89" t="str">
        <f t="shared" si="111"/>
        <v/>
      </c>
      <c r="S2465" s="82"/>
      <c r="U2465" s="37"/>
    </row>
    <row r="2466" spans="1:21" x14ac:dyDescent="0.25">
      <c r="A2466" s="31" t="str">
        <f>IF(Table!A2466 = "","",Table!A2466)</f>
        <v/>
      </c>
      <c r="B2466" s="31" t="str">
        <f>IF(Table!B2466 = "","",Table!B2466)</f>
        <v/>
      </c>
      <c r="C2466" s="31" t="str">
        <f>IF(Table!C2466 = "","",Table!C2466)</f>
        <v/>
      </c>
      <c r="D2466" s="32" t="str">
        <f>IF(Table!D2466 = "","",Table!D2466)</f>
        <v/>
      </c>
      <c r="E2466" s="32" t="str">
        <f>IF(Table!E2466 = "","",Table!E2466)</f>
        <v/>
      </c>
      <c r="F2466" s="32" t="str">
        <f>IF(Table!F2466 = "","",Table!F2466)</f>
        <v/>
      </c>
      <c r="G2466" s="91"/>
      <c r="K2466" s="31" t="str">
        <f>IFERROR(VLOOKUP(A2466,Table!$I$4:$O$3000,1,TRUE),"")</f>
        <v/>
      </c>
      <c r="L2466" s="31" t="str">
        <f>IFERROR(INDEX(Table!I:O,MATCH(K2466,Table!I:I,0),2),"")</f>
        <v/>
      </c>
      <c r="M2466" s="31" t="str">
        <f>IFERROR(INDEX(Table!I:O,MATCH(K2466,Table!I:I,0),3),"")</f>
        <v/>
      </c>
      <c r="N2466" s="32" t="str">
        <f>IFERROR(INDEX(Table!I:O,MATCH(K2466,Table!I:I,0),4),"")</f>
        <v/>
      </c>
      <c r="O2466" s="32" t="str">
        <f>IFERROR(INDEX(Table!I:O,MATCH(K2466,Table!I:I,0),5),"")</f>
        <v/>
      </c>
      <c r="P2466" s="32" t="str">
        <f>IFERROR(INDEX(Table!I:O,MATCH(K2466,Table!I:I,0),6),"")</f>
        <v/>
      </c>
      <c r="Q2466" s="89" t="str">
        <f t="shared" si="110"/>
        <v/>
      </c>
      <c r="R2466" s="89" t="str">
        <f t="shared" si="111"/>
        <v/>
      </c>
      <c r="S2466" s="82"/>
      <c r="U2466" s="37"/>
    </row>
    <row r="2467" spans="1:21" x14ac:dyDescent="0.25">
      <c r="A2467" s="31" t="str">
        <f>IF(Table!A2467 = "","",Table!A2467)</f>
        <v/>
      </c>
      <c r="B2467" s="31" t="str">
        <f>IF(Table!B2467 = "","",Table!B2467)</f>
        <v/>
      </c>
      <c r="C2467" s="31" t="str">
        <f>IF(Table!C2467 = "","",Table!C2467)</f>
        <v/>
      </c>
      <c r="D2467" s="32" t="str">
        <f>IF(Table!D2467 = "","",Table!D2467)</f>
        <v/>
      </c>
      <c r="E2467" s="32" t="str">
        <f>IF(Table!E2467 = "","",Table!E2467)</f>
        <v/>
      </c>
      <c r="F2467" s="32" t="str">
        <f>IF(Table!F2467 = "","",Table!F2467)</f>
        <v/>
      </c>
      <c r="G2467" s="91"/>
      <c r="K2467" s="31" t="str">
        <f>IFERROR(VLOOKUP(A2467,Table!$I$4:$O$3000,1,TRUE),"")</f>
        <v/>
      </c>
      <c r="L2467" s="31" t="str">
        <f>IFERROR(INDEX(Table!I:O,MATCH(K2467,Table!I:I,0),2),"")</f>
        <v/>
      </c>
      <c r="M2467" s="31" t="str">
        <f>IFERROR(INDEX(Table!I:O,MATCH(K2467,Table!I:I,0),3),"")</f>
        <v/>
      </c>
      <c r="N2467" s="32" t="str">
        <f>IFERROR(INDEX(Table!I:O,MATCH(K2467,Table!I:I,0),4),"")</f>
        <v/>
      </c>
      <c r="O2467" s="32" t="str">
        <f>IFERROR(INDEX(Table!I:O,MATCH(K2467,Table!I:I,0),5),"")</f>
        <v/>
      </c>
      <c r="P2467" s="32" t="str">
        <f>IFERROR(INDEX(Table!I:O,MATCH(K2467,Table!I:I,0),6),"")</f>
        <v/>
      </c>
      <c r="Q2467" s="89" t="str">
        <f t="shared" si="110"/>
        <v/>
      </c>
      <c r="R2467" s="89" t="str">
        <f t="shared" si="111"/>
        <v/>
      </c>
      <c r="S2467" s="82"/>
      <c r="U2467" s="37"/>
    </row>
    <row r="2468" spans="1:21" x14ac:dyDescent="0.25">
      <c r="A2468" s="31" t="str">
        <f>IF(Table!A2468 = "","",Table!A2468)</f>
        <v/>
      </c>
      <c r="B2468" s="31" t="str">
        <f>IF(Table!B2468 = "","",Table!B2468)</f>
        <v/>
      </c>
      <c r="C2468" s="31" t="str">
        <f>IF(Table!C2468 = "","",Table!C2468)</f>
        <v/>
      </c>
      <c r="D2468" s="32" t="str">
        <f>IF(Table!D2468 = "","",Table!D2468)</f>
        <v/>
      </c>
      <c r="E2468" s="32" t="str">
        <f>IF(Table!E2468 = "","",Table!E2468)</f>
        <v/>
      </c>
      <c r="F2468" s="32" t="str">
        <f>IF(Table!F2468 = "","",Table!F2468)</f>
        <v/>
      </c>
      <c r="G2468" s="91"/>
      <c r="K2468" s="31" t="str">
        <f>IFERROR(VLOOKUP(A2468,Table!$I$4:$O$3000,1,TRUE),"")</f>
        <v/>
      </c>
      <c r="L2468" s="31" t="str">
        <f>IFERROR(INDEX(Table!I:O,MATCH(K2468,Table!I:I,0),2),"")</f>
        <v/>
      </c>
      <c r="M2468" s="31" t="str">
        <f>IFERROR(INDEX(Table!I:O,MATCH(K2468,Table!I:I,0),3),"")</f>
        <v/>
      </c>
      <c r="N2468" s="32" t="str">
        <f>IFERROR(INDEX(Table!I:O,MATCH(K2468,Table!I:I,0),4),"")</f>
        <v/>
      </c>
      <c r="O2468" s="32" t="str">
        <f>IFERROR(INDEX(Table!I:O,MATCH(K2468,Table!I:I,0),5),"")</f>
        <v/>
      </c>
      <c r="P2468" s="32" t="str">
        <f>IFERROR(INDEX(Table!I:O,MATCH(K2468,Table!I:I,0),6),"")</f>
        <v/>
      </c>
      <c r="Q2468" s="89" t="str">
        <f t="shared" si="110"/>
        <v/>
      </c>
      <c r="R2468" s="89" t="str">
        <f t="shared" si="111"/>
        <v/>
      </c>
      <c r="S2468" s="82"/>
      <c r="U2468" s="37"/>
    </row>
    <row r="2469" spans="1:21" x14ac:dyDescent="0.25">
      <c r="A2469" s="31" t="str">
        <f>IF(Table!A2469 = "","",Table!A2469)</f>
        <v/>
      </c>
      <c r="B2469" s="31" t="str">
        <f>IF(Table!B2469 = "","",Table!B2469)</f>
        <v/>
      </c>
      <c r="C2469" s="31" t="str">
        <f>IF(Table!C2469 = "","",Table!C2469)</f>
        <v/>
      </c>
      <c r="D2469" s="32" t="str">
        <f>IF(Table!D2469 = "","",Table!D2469)</f>
        <v/>
      </c>
      <c r="E2469" s="32" t="str">
        <f>IF(Table!E2469 = "","",Table!E2469)</f>
        <v/>
      </c>
      <c r="F2469" s="32" t="str">
        <f>IF(Table!F2469 = "","",Table!F2469)</f>
        <v/>
      </c>
      <c r="G2469" s="91"/>
      <c r="K2469" s="31" t="str">
        <f>IFERROR(VLOOKUP(A2469,Table!$I$4:$O$3000,1,TRUE),"")</f>
        <v/>
      </c>
      <c r="L2469" s="31" t="str">
        <f>IFERROR(INDEX(Table!I:O,MATCH(K2469,Table!I:I,0),2),"")</f>
        <v/>
      </c>
      <c r="M2469" s="31" t="str">
        <f>IFERROR(INDEX(Table!I:O,MATCH(K2469,Table!I:I,0),3),"")</f>
        <v/>
      </c>
      <c r="N2469" s="32" t="str">
        <f>IFERROR(INDEX(Table!I:O,MATCH(K2469,Table!I:I,0),4),"")</f>
        <v/>
      </c>
      <c r="O2469" s="32" t="str">
        <f>IFERROR(INDEX(Table!I:O,MATCH(K2469,Table!I:I,0),5),"")</f>
        <v/>
      </c>
      <c r="P2469" s="32" t="str">
        <f>IFERROR(INDEX(Table!I:O,MATCH(K2469,Table!I:I,0),6),"")</f>
        <v/>
      </c>
      <c r="Q2469" s="89" t="str">
        <f t="shared" si="110"/>
        <v/>
      </c>
      <c r="R2469" s="89" t="str">
        <f t="shared" si="111"/>
        <v/>
      </c>
      <c r="S2469" s="82"/>
      <c r="U2469" s="37"/>
    </row>
    <row r="2470" spans="1:21" x14ac:dyDescent="0.25">
      <c r="A2470" s="31" t="str">
        <f>IF(Table!A2470 = "","",Table!A2470)</f>
        <v/>
      </c>
      <c r="B2470" s="31" t="str">
        <f>IF(Table!B2470 = "","",Table!B2470)</f>
        <v/>
      </c>
      <c r="C2470" s="31" t="str">
        <f>IF(Table!C2470 = "","",Table!C2470)</f>
        <v/>
      </c>
      <c r="D2470" s="32" t="str">
        <f>IF(Table!D2470 = "","",Table!D2470)</f>
        <v/>
      </c>
      <c r="E2470" s="32" t="str">
        <f>IF(Table!E2470 = "","",Table!E2470)</f>
        <v/>
      </c>
      <c r="F2470" s="32" t="str">
        <f>IF(Table!F2470 = "","",Table!F2470)</f>
        <v/>
      </c>
      <c r="G2470" s="91"/>
      <c r="K2470" s="31" t="str">
        <f>IFERROR(VLOOKUP(A2470,Table!$I$4:$O$3000,1,TRUE),"")</f>
        <v/>
      </c>
      <c r="L2470" s="31" t="str">
        <f>IFERROR(INDEX(Table!I:O,MATCH(K2470,Table!I:I,0),2),"")</f>
        <v/>
      </c>
      <c r="M2470" s="31" t="str">
        <f>IFERROR(INDEX(Table!I:O,MATCH(K2470,Table!I:I,0),3),"")</f>
        <v/>
      </c>
      <c r="N2470" s="32" t="str">
        <f>IFERROR(INDEX(Table!I:O,MATCH(K2470,Table!I:I,0),4),"")</f>
        <v/>
      </c>
      <c r="O2470" s="32" t="str">
        <f>IFERROR(INDEX(Table!I:O,MATCH(K2470,Table!I:I,0),5),"")</f>
        <v/>
      </c>
      <c r="P2470" s="32" t="str">
        <f>IFERROR(INDEX(Table!I:O,MATCH(K2470,Table!I:I,0),6),"")</f>
        <v/>
      </c>
      <c r="Q2470" s="89" t="str">
        <f t="shared" si="110"/>
        <v/>
      </c>
      <c r="R2470" s="89" t="str">
        <f t="shared" si="111"/>
        <v/>
      </c>
      <c r="S2470" s="82"/>
      <c r="U2470" s="37"/>
    </row>
    <row r="2471" spans="1:21" x14ac:dyDescent="0.25">
      <c r="A2471" s="31" t="str">
        <f>IF(Table!A2471 = "","",Table!A2471)</f>
        <v/>
      </c>
      <c r="B2471" s="31" t="str">
        <f>IF(Table!B2471 = "","",Table!B2471)</f>
        <v/>
      </c>
      <c r="C2471" s="31" t="str">
        <f>IF(Table!C2471 = "","",Table!C2471)</f>
        <v/>
      </c>
      <c r="D2471" s="32" t="str">
        <f>IF(Table!D2471 = "","",Table!D2471)</f>
        <v/>
      </c>
      <c r="E2471" s="32" t="str">
        <f>IF(Table!E2471 = "","",Table!E2471)</f>
        <v/>
      </c>
      <c r="F2471" s="32" t="str">
        <f>IF(Table!F2471 = "","",Table!F2471)</f>
        <v/>
      </c>
      <c r="G2471" s="91"/>
      <c r="K2471" s="31" t="str">
        <f>IFERROR(VLOOKUP(A2471,Table!$I$4:$O$3000,1,TRUE),"")</f>
        <v/>
      </c>
      <c r="L2471" s="31" t="str">
        <f>IFERROR(INDEX(Table!I:O,MATCH(K2471,Table!I:I,0),2),"")</f>
        <v/>
      </c>
      <c r="M2471" s="31" t="str">
        <f>IFERROR(INDEX(Table!I:O,MATCH(K2471,Table!I:I,0),3),"")</f>
        <v/>
      </c>
      <c r="N2471" s="32" t="str">
        <f>IFERROR(INDEX(Table!I:O,MATCH(K2471,Table!I:I,0),4),"")</f>
        <v/>
      </c>
      <c r="O2471" s="32" t="str">
        <f>IFERROR(INDEX(Table!I:O,MATCH(K2471,Table!I:I,0),5),"")</f>
        <v/>
      </c>
      <c r="P2471" s="32" t="str">
        <f>IFERROR(INDEX(Table!I:O,MATCH(K2471,Table!I:I,0),6),"")</f>
        <v/>
      </c>
      <c r="Q2471" s="89" t="str">
        <f t="shared" si="110"/>
        <v/>
      </c>
      <c r="R2471" s="89" t="str">
        <f t="shared" si="111"/>
        <v/>
      </c>
      <c r="S2471" s="82"/>
      <c r="U2471" s="37"/>
    </row>
    <row r="2472" spans="1:21" x14ac:dyDescent="0.25">
      <c r="A2472" s="31" t="str">
        <f>IF(Table!A2472 = "","",Table!A2472)</f>
        <v/>
      </c>
      <c r="B2472" s="31" t="str">
        <f>IF(Table!B2472 = "","",Table!B2472)</f>
        <v/>
      </c>
      <c r="C2472" s="31" t="str">
        <f>IF(Table!C2472 = "","",Table!C2472)</f>
        <v/>
      </c>
      <c r="D2472" s="32" t="str">
        <f>IF(Table!D2472 = "","",Table!D2472)</f>
        <v/>
      </c>
      <c r="E2472" s="32" t="str">
        <f>IF(Table!E2472 = "","",Table!E2472)</f>
        <v/>
      </c>
      <c r="F2472" s="32" t="str">
        <f>IF(Table!F2472 = "","",Table!F2472)</f>
        <v/>
      </c>
      <c r="G2472" s="91"/>
      <c r="K2472" s="31" t="str">
        <f>IFERROR(VLOOKUP(A2472,Table!$I$4:$O$3000,1,TRUE),"")</f>
        <v/>
      </c>
      <c r="L2472" s="31" t="str">
        <f>IFERROR(INDEX(Table!I:O,MATCH(K2472,Table!I:I,0),2),"")</f>
        <v/>
      </c>
      <c r="M2472" s="31" t="str">
        <f>IFERROR(INDEX(Table!I:O,MATCH(K2472,Table!I:I,0),3),"")</f>
        <v/>
      </c>
      <c r="N2472" s="32" t="str">
        <f>IFERROR(INDEX(Table!I:O,MATCH(K2472,Table!I:I,0),4),"")</f>
        <v/>
      </c>
      <c r="O2472" s="32" t="str">
        <f>IFERROR(INDEX(Table!I:O,MATCH(K2472,Table!I:I,0),5),"")</f>
        <v/>
      </c>
      <c r="P2472" s="32" t="str">
        <f>IFERROR(INDEX(Table!I:O,MATCH(K2472,Table!I:I,0),6),"")</f>
        <v/>
      </c>
      <c r="Q2472" s="89" t="str">
        <f t="shared" si="110"/>
        <v/>
      </c>
      <c r="R2472" s="89" t="str">
        <f t="shared" si="111"/>
        <v/>
      </c>
      <c r="S2472" s="82"/>
      <c r="U2472" s="37"/>
    </row>
    <row r="2473" spans="1:21" x14ac:dyDescent="0.25">
      <c r="A2473" s="31" t="str">
        <f>IF(Table!A2473 = "","",Table!A2473)</f>
        <v/>
      </c>
      <c r="B2473" s="31" t="str">
        <f>IF(Table!B2473 = "","",Table!B2473)</f>
        <v/>
      </c>
      <c r="C2473" s="31" t="str">
        <f>IF(Table!C2473 = "","",Table!C2473)</f>
        <v/>
      </c>
      <c r="D2473" s="32" t="str">
        <f>IF(Table!D2473 = "","",Table!D2473)</f>
        <v/>
      </c>
      <c r="E2473" s="32" t="str">
        <f>IF(Table!E2473 = "","",Table!E2473)</f>
        <v/>
      </c>
      <c r="F2473" s="32" t="str">
        <f>IF(Table!F2473 = "","",Table!F2473)</f>
        <v/>
      </c>
      <c r="G2473" s="91"/>
      <c r="K2473" s="31" t="str">
        <f>IFERROR(VLOOKUP(A2473,Table!$I$4:$O$3000,1,TRUE),"")</f>
        <v/>
      </c>
      <c r="L2473" s="31" t="str">
        <f>IFERROR(INDEX(Table!I:O,MATCH(K2473,Table!I:I,0),2),"")</f>
        <v/>
      </c>
      <c r="M2473" s="31" t="str">
        <f>IFERROR(INDEX(Table!I:O,MATCH(K2473,Table!I:I,0),3),"")</f>
        <v/>
      </c>
      <c r="N2473" s="32" t="str">
        <f>IFERROR(INDEX(Table!I:O,MATCH(K2473,Table!I:I,0),4),"")</f>
        <v/>
      </c>
      <c r="O2473" s="32" t="str">
        <f>IFERROR(INDEX(Table!I:O,MATCH(K2473,Table!I:I,0),5),"")</f>
        <v/>
      </c>
      <c r="P2473" s="32" t="str">
        <f>IFERROR(INDEX(Table!I:O,MATCH(K2473,Table!I:I,0),6),"")</f>
        <v/>
      </c>
      <c r="Q2473" s="89" t="str">
        <f t="shared" si="110"/>
        <v/>
      </c>
      <c r="R2473" s="89" t="str">
        <f t="shared" si="111"/>
        <v/>
      </c>
      <c r="S2473" s="82"/>
      <c r="U2473" s="37"/>
    </row>
    <row r="2474" spans="1:21" x14ac:dyDescent="0.25">
      <c r="A2474" s="31" t="str">
        <f>IF(Table!A2474 = "","",Table!A2474)</f>
        <v/>
      </c>
      <c r="B2474" s="31" t="str">
        <f>IF(Table!B2474 = "","",Table!B2474)</f>
        <v/>
      </c>
      <c r="C2474" s="31" t="str">
        <f>IF(Table!C2474 = "","",Table!C2474)</f>
        <v/>
      </c>
      <c r="D2474" s="32" t="str">
        <f>IF(Table!D2474 = "","",Table!D2474)</f>
        <v/>
      </c>
      <c r="E2474" s="32" t="str">
        <f>IF(Table!E2474 = "","",Table!E2474)</f>
        <v/>
      </c>
      <c r="F2474" s="32" t="str">
        <f>IF(Table!F2474 = "","",Table!F2474)</f>
        <v/>
      </c>
      <c r="G2474" s="91"/>
      <c r="K2474" s="31" t="str">
        <f>IFERROR(VLOOKUP(A2474,Table!$I$4:$O$3000,1,TRUE),"")</f>
        <v/>
      </c>
      <c r="L2474" s="31" t="str">
        <f>IFERROR(INDEX(Table!I:O,MATCH(K2474,Table!I:I,0),2),"")</f>
        <v/>
      </c>
      <c r="M2474" s="31" t="str">
        <f>IFERROR(INDEX(Table!I:O,MATCH(K2474,Table!I:I,0),3),"")</f>
        <v/>
      </c>
      <c r="N2474" s="32" t="str">
        <f>IFERROR(INDEX(Table!I:O,MATCH(K2474,Table!I:I,0),4),"")</f>
        <v/>
      </c>
      <c r="O2474" s="32" t="str">
        <f>IFERROR(INDEX(Table!I:O,MATCH(K2474,Table!I:I,0),5),"")</f>
        <v/>
      </c>
      <c r="P2474" s="32" t="str">
        <f>IFERROR(INDEX(Table!I:O,MATCH(K2474,Table!I:I,0),6),"")</f>
        <v/>
      </c>
      <c r="Q2474" s="89" t="str">
        <f t="shared" si="110"/>
        <v/>
      </c>
      <c r="R2474" s="89" t="str">
        <f t="shared" si="111"/>
        <v/>
      </c>
      <c r="S2474" s="82"/>
      <c r="U2474" s="37"/>
    </row>
    <row r="2475" spans="1:21" x14ac:dyDescent="0.25">
      <c r="A2475" s="31" t="str">
        <f>IF(Table!A2475 = "","",Table!A2475)</f>
        <v/>
      </c>
      <c r="B2475" s="31" t="str">
        <f>IF(Table!B2475 = "","",Table!B2475)</f>
        <v/>
      </c>
      <c r="C2475" s="31" t="str">
        <f>IF(Table!C2475 = "","",Table!C2475)</f>
        <v/>
      </c>
      <c r="D2475" s="32" t="str">
        <f>IF(Table!D2475 = "","",Table!D2475)</f>
        <v/>
      </c>
      <c r="E2475" s="32" t="str">
        <f>IF(Table!E2475 = "","",Table!E2475)</f>
        <v/>
      </c>
      <c r="F2475" s="32" t="str">
        <f>IF(Table!F2475 = "","",Table!F2475)</f>
        <v/>
      </c>
      <c r="G2475" s="91"/>
      <c r="K2475" s="31" t="str">
        <f>IFERROR(VLOOKUP(A2475,Table!$I$4:$O$3000,1,TRUE),"")</f>
        <v/>
      </c>
      <c r="L2475" s="31" t="str">
        <f>IFERROR(INDEX(Table!I:O,MATCH(K2475,Table!I:I,0),2),"")</f>
        <v/>
      </c>
      <c r="M2475" s="31" t="str">
        <f>IFERROR(INDEX(Table!I:O,MATCH(K2475,Table!I:I,0),3),"")</f>
        <v/>
      </c>
      <c r="N2475" s="32" t="str">
        <f>IFERROR(INDEX(Table!I:O,MATCH(K2475,Table!I:I,0),4),"")</f>
        <v/>
      </c>
      <c r="O2475" s="32" t="str">
        <f>IFERROR(INDEX(Table!I:O,MATCH(K2475,Table!I:I,0),5),"")</f>
        <v/>
      </c>
      <c r="P2475" s="32" t="str">
        <f>IFERROR(INDEX(Table!I:O,MATCH(K2475,Table!I:I,0),6),"")</f>
        <v/>
      </c>
      <c r="Q2475" s="89" t="str">
        <f t="shared" si="110"/>
        <v/>
      </c>
      <c r="R2475" s="89" t="str">
        <f t="shared" si="111"/>
        <v/>
      </c>
      <c r="S2475" s="82"/>
      <c r="U2475" s="37"/>
    </row>
    <row r="2476" spans="1:21" x14ac:dyDescent="0.25">
      <c r="A2476" s="31" t="str">
        <f>IF(Table!A2476 = "","",Table!A2476)</f>
        <v/>
      </c>
      <c r="B2476" s="31" t="str">
        <f>IF(Table!B2476 = "","",Table!B2476)</f>
        <v/>
      </c>
      <c r="C2476" s="31" t="str">
        <f>IF(Table!C2476 = "","",Table!C2476)</f>
        <v/>
      </c>
      <c r="D2476" s="32" t="str">
        <f>IF(Table!D2476 = "","",Table!D2476)</f>
        <v/>
      </c>
      <c r="E2476" s="32" t="str">
        <f>IF(Table!E2476 = "","",Table!E2476)</f>
        <v/>
      </c>
      <c r="F2476" s="32" t="str">
        <f>IF(Table!F2476 = "","",Table!F2476)</f>
        <v/>
      </c>
      <c r="G2476" s="91"/>
      <c r="K2476" s="31" t="str">
        <f>IFERROR(VLOOKUP(A2476,Table!$I$4:$O$3000,1,TRUE),"")</f>
        <v/>
      </c>
      <c r="L2476" s="31" t="str">
        <f>IFERROR(INDEX(Table!I:O,MATCH(K2476,Table!I:I,0),2),"")</f>
        <v/>
      </c>
      <c r="M2476" s="31" t="str">
        <f>IFERROR(INDEX(Table!I:O,MATCH(K2476,Table!I:I,0),3),"")</f>
        <v/>
      </c>
      <c r="N2476" s="32" t="str">
        <f>IFERROR(INDEX(Table!I:O,MATCH(K2476,Table!I:I,0),4),"")</f>
        <v/>
      </c>
      <c r="O2476" s="32" t="str">
        <f>IFERROR(INDEX(Table!I:O,MATCH(K2476,Table!I:I,0),5),"")</f>
        <v/>
      </c>
      <c r="P2476" s="32" t="str">
        <f>IFERROR(INDEX(Table!I:O,MATCH(K2476,Table!I:I,0),6),"")</f>
        <v/>
      </c>
      <c r="Q2476" s="89" t="str">
        <f t="shared" si="110"/>
        <v/>
      </c>
      <c r="R2476" s="89" t="str">
        <f t="shared" si="111"/>
        <v/>
      </c>
      <c r="S2476" s="82"/>
      <c r="U2476" s="37"/>
    </row>
    <row r="2477" spans="1:21" x14ac:dyDescent="0.25">
      <c r="A2477" s="31" t="str">
        <f>IF(Table!A2477 = "","",Table!A2477)</f>
        <v/>
      </c>
      <c r="B2477" s="31" t="str">
        <f>IF(Table!B2477 = "","",Table!B2477)</f>
        <v/>
      </c>
      <c r="C2477" s="31" t="str">
        <f>IF(Table!C2477 = "","",Table!C2477)</f>
        <v/>
      </c>
      <c r="D2477" s="32" t="str">
        <f>IF(Table!D2477 = "","",Table!D2477)</f>
        <v/>
      </c>
      <c r="E2477" s="32" t="str">
        <f>IF(Table!E2477 = "","",Table!E2477)</f>
        <v/>
      </c>
      <c r="F2477" s="32" t="str">
        <f>IF(Table!F2477 = "","",Table!F2477)</f>
        <v/>
      </c>
      <c r="G2477" s="91"/>
      <c r="K2477" s="31" t="str">
        <f>IFERROR(VLOOKUP(A2477,Table!$I$4:$O$3000,1,TRUE),"")</f>
        <v/>
      </c>
      <c r="L2477" s="31" t="str">
        <f>IFERROR(INDEX(Table!I:O,MATCH(K2477,Table!I:I,0),2),"")</f>
        <v/>
      </c>
      <c r="M2477" s="31" t="str">
        <f>IFERROR(INDEX(Table!I:O,MATCH(K2477,Table!I:I,0),3),"")</f>
        <v/>
      </c>
      <c r="N2477" s="32" t="str">
        <f>IFERROR(INDEX(Table!I:O,MATCH(K2477,Table!I:I,0),4),"")</f>
        <v/>
      </c>
      <c r="O2477" s="32" t="str">
        <f>IFERROR(INDEX(Table!I:O,MATCH(K2477,Table!I:I,0),5),"")</f>
        <v/>
      </c>
      <c r="P2477" s="32" t="str">
        <f>IFERROR(INDEX(Table!I:O,MATCH(K2477,Table!I:I,0),6),"")</f>
        <v/>
      </c>
      <c r="Q2477" s="89" t="str">
        <f t="shared" si="110"/>
        <v/>
      </c>
      <c r="R2477" s="89" t="str">
        <f t="shared" si="111"/>
        <v/>
      </c>
      <c r="S2477" s="82"/>
      <c r="U2477" s="37"/>
    </row>
    <row r="2478" spans="1:21" x14ac:dyDescent="0.25">
      <c r="A2478" s="31" t="str">
        <f>IF(Table!A2478 = "","",Table!A2478)</f>
        <v/>
      </c>
      <c r="B2478" s="31" t="str">
        <f>IF(Table!B2478 = "","",Table!B2478)</f>
        <v/>
      </c>
      <c r="C2478" s="31" t="str">
        <f>IF(Table!C2478 = "","",Table!C2478)</f>
        <v/>
      </c>
      <c r="D2478" s="32" t="str">
        <f>IF(Table!D2478 = "","",Table!D2478)</f>
        <v/>
      </c>
      <c r="E2478" s="32" t="str">
        <f>IF(Table!E2478 = "","",Table!E2478)</f>
        <v/>
      </c>
      <c r="F2478" s="32" t="str">
        <f>IF(Table!F2478 = "","",Table!F2478)</f>
        <v/>
      </c>
      <c r="G2478" s="91"/>
      <c r="K2478" s="31" t="str">
        <f>IFERROR(VLOOKUP(A2478,Table!$I$4:$O$3000,1,TRUE),"")</f>
        <v/>
      </c>
      <c r="L2478" s="31" t="str">
        <f>IFERROR(INDEX(Table!I:O,MATCH(K2478,Table!I:I,0),2),"")</f>
        <v/>
      </c>
      <c r="M2478" s="31" t="str">
        <f>IFERROR(INDEX(Table!I:O,MATCH(K2478,Table!I:I,0),3),"")</f>
        <v/>
      </c>
      <c r="N2478" s="32" t="str">
        <f>IFERROR(INDEX(Table!I:O,MATCH(K2478,Table!I:I,0),4),"")</f>
        <v/>
      </c>
      <c r="O2478" s="32" t="str">
        <f>IFERROR(INDEX(Table!I:O,MATCH(K2478,Table!I:I,0),5),"")</f>
        <v/>
      </c>
      <c r="P2478" s="32" t="str">
        <f>IFERROR(INDEX(Table!I:O,MATCH(K2478,Table!I:I,0),6),"")</f>
        <v/>
      </c>
      <c r="Q2478" s="89" t="str">
        <f t="shared" si="110"/>
        <v/>
      </c>
      <c r="R2478" s="89" t="str">
        <f t="shared" si="111"/>
        <v/>
      </c>
      <c r="S2478" s="82"/>
      <c r="U2478" s="37"/>
    </row>
    <row r="2479" spans="1:21" x14ac:dyDescent="0.25">
      <c r="A2479" s="31" t="str">
        <f>IF(Table!A2479 = "","",Table!A2479)</f>
        <v/>
      </c>
      <c r="B2479" s="31" t="str">
        <f>IF(Table!B2479 = "","",Table!B2479)</f>
        <v/>
      </c>
      <c r="C2479" s="31" t="str">
        <f>IF(Table!C2479 = "","",Table!C2479)</f>
        <v/>
      </c>
      <c r="D2479" s="32" t="str">
        <f>IF(Table!D2479 = "","",Table!D2479)</f>
        <v/>
      </c>
      <c r="E2479" s="32" t="str">
        <f>IF(Table!E2479 = "","",Table!E2479)</f>
        <v/>
      </c>
      <c r="F2479" s="32" t="str">
        <f>IF(Table!F2479 = "","",Table!F2479)</f>
        <v/>
      </c>
      <c r="G2479" s="91"/>
      <c r="K2479" s="31" t="str">
        <f>IFERROR(VLOOKUP(A2479,Table!$I$4:$O$3000,1,TRUE),"")</f>
        <v/>
      </c>
      <c r="L2479" s="31" t="str">
        <f>IFERROR(INDEX(Table!I:O,MATCH(K2479,Table!I:I,0),2),"")</f>
        <v/>
      </c>
      <c r="M2479" s="31" t="str">
        <f>IFERROR(INDEX(Table!I:O,MATCH(K2479,Table!I:I,0),3),"")</f>
        <v/>
      </c>
      <c r="N2479" s="32" t="str">
        <f>IFERROR(INDEX(Table!I:O,MATCH(K2479,Table!I:I,0),4),"")</f>
        <v/>
      </c>
      <c r="O2479" s="32" t="str">
        <f>IFERROR(INDEX(Table!I:O,MATCH(K2479,Table!I:I,0),5),"")</f>
        <v/>
      </c>
      <c r="P2479" s="32" t="str">
        <f>IFERROR(INDEX(Table!I:O,MATCH(K2479,Table!I:I,0),6),"")</f>
        <v/>
      </c>
      <c r="Q2479" s="89" t="str">
        <f t="shared" si="110"/>
        <v/>
      </c>
      <c r="R2479" s="89" t="str">
        <f t="shared" si="111"/>
        <v/>
      </c>
      <c r="S2479" s="82"/>
      <c r="U2479" s="37"/>
    </row>
    <row r="2480" spans="1:21" x14ac:dyDescent="0.25">
      <c r="A2480" s="31" t="str">
        <f>IF(Table!A2480 = "","",Table!A2480)</f>
        <v/>
      </c>
      <c r="B2480" s="31" t="str">
        <f>IF(Table!B2480 = "","",Table!B2480)</f>
        <v/>
      </c>
      <c r="C2480" s="31" t="str">
        <f>IF(Table!C2480 = "","",Table!C2480)</f>
        <v/>
      </c>
      <c r="D2480" s="32" t="str">
        <f>IF(Table!D2480 = "","",Table!D2480)</f>
        <v/>
      </c>
      <c r="E2480" s="32" t="str">
        <f>IF(Table!E2480 = "","",Table!E2480)</f>
        <v/>
      </c>
      <c r="F2480" s="32" t="str">
        <f>IF(Table!F2480 = "","",Table!F2480)</f>
        <v/>
      </c>
      <c r="G2480" s="91"/>
      <c r="K2480" s="31" t="str">
        <f>IFERROR(VLOOKUP(A2480,Table!$I$4:$O$3000,1,TRUE),"")</f>
        <v/>
      </c>
      <c r="L2480" s="31" t="str">
        <f>IFERROR(INDEX(Table!I:O,MATCH(K2480,Table!I:I,0),2),"")</f>
        <v/>
      </c>
      <c r="M2480" s="31" t="str">
        <f>IFERROR(INDEX(Table!I:O,MATCH(K2480,Table!I:I,0),3),"")</f>
        <v/>
      </c>
      <c r="N2480" s="32" t="str">
        <f>IFERROR(INDEX(Table!I:O,MATCH(K2480,Table!I:I,0),4),"")</f>
        <v/>
      </c>
      <c r="O2480" s="32" t="str">
        <f>IFERROR(INDEX(Table!I:O,MATCH(K2480,Table!I:I,0),5),"")</f>
        <v/>
      </c>
      <c r="P2480" s="32" t="str">
        <f>IFERROR(INDEX(Table!I:O,MATCH(K2480,Table!I:I,0),6),"")</f>
        <v/>
      </c>
      <c r="Q2480" s="89" t="str">
        <f t="shared" si="110"/>
        <v/>
      </c>
      <c r="R2480" s="89" t="str">
        <f t="shared" si="111"/>
        <v/>
      </c>
      <c r="S2480" s="82"/>
      <c r="U2480" s="37"/>
    </row>
    <row r="2481" spans="1:21" x14ac:dyDescent="0.25">
      <c r="A2481" s="31" t="str">
        <f>IF(Table!A2481 = "","",Table!A2481)</f>
        <v/>
      </c>
      <c r="B2481" s="31" t="str">
        <f>IF(Table!B2481 = "","",Table!B2481)</f>
        <v/>
      </c>
      <c r="C2481" s="31" t="str">
        <f>IF(Table!C2481 = "","",Table!C2481)</f>
        <v/>
      </c>
      <c r="D2481" s="32" t="str">
        <f>IF(Table!D2481 = "","",Table!D2481)</f>
        <v/>
      </c>
      <c r="E2481" s="32" t="str">
        <f>IF(Table!E2481 = "","",Table!E2481)</f>
        <v/>
      </c>
      <c r="F2481" s="32" t="str">
        <f>IF(Table!F2481 = "","",Table!F2481)</f>
        <v/>
      </c>
      <c r="G2481" s="91"/>
      <c r="K2481" s="31" t="str">
        <f>IFERROR(VLOOKUP(A2481,Table!$I$4:$O$3000,1,TRUE),"")</f>
        <v/>
      </c>
      <c r="L2481" s="31" t="str">
        <f>IFERROR(INDEX(Table!I:O,MATCH(K2481,Table!I:I,0),2),"")</f>
        <v/>
      </c>
      <c r="M2481" s="31" t="str">
        <f>IFERROR(INDEX(Table!I:O,MATCH(K2481,Table!I:I,0),3),"")</f>
        <v/>
      </c>
      <c r="N2481" s="32" t="str">
        <f>IFERROR(INDEX(Table!I:O,MATCH(K2481,Table!I:I,0),4),"")</f>
        <v/>
      </c>
      <c r="O2481" s="32" t="str">
        <f>IFERROR(INDEX(Table!I:O,MATCH(K2481,Table!I:I,0),5),"")</f>
        <v/>
      </c>
      <c r="P2481" s="32" t="str">
        <f>IFERROR(INDEX(Table!I:O,MATCH(K2481,Table!I:I,0),6),"")</f>
        <v/>
      </c>
      <c r="Q2481" s="89" t="str">
        <f t="shared" si="110"/>
        <v/>
      </c>
      <c r="R2481" s="89" t="str">
        <f t="shared" si="111"/>
        <v/>
      </c>
      <c r="S2481" s="82"/>
      <c r="U2481" s="37"/>
    </row>
    <row r="2482" spans="1:21" x14ac:dyDescent="0.25">
      <c r="A2482" s="31" t="str">
        <f>IF(Table!A2482 = "","",Table!A2482)</f>
        <v/>
      </c>
      <c r="B2482" s="31" t="str">
        <f>IF(Table!B2482 = "","",Table!B2482)</f>
        <v/>
      </c>
      <c r="C2482" s="31" t="str">
        <f>IF(Table!C2482 = "","",Table!C2482)</f>
        <v/>
      </c>
      <c r="D2482" s="32" t="str">
        <f>IF(Table!D2482 = "","",Table!D2482)</f>
        <v/>
      </c>
      <c r="E2482" s="32" t="str">
        <f>IF(Table!E2482 = "","",Table!E2482)</f>
        <v/>
      </c>
      <c r="F2482" s="32" t="str">
        <f>IF(Table!F2482 = "","",Table!F2482)</f>
        <v/>
      </c>
      <c r="G2482" s="91"/>
      <c r="K2482" s="31" t="str">
        <f>IFERROR(VLOOKUP(A2482,Table!$I$4:$O$3000,1,TRUE),"")</f>
        <v/>
      </c>
      <c r="L2482" s="31" t="str">
        <f>IFERROR(INDEX(Table!I:O,MATCH(K2482,Table!I:I,0),2),"")</f>
        <v/>
      </c>
      <c r="M2482" s="31" t="str">
        <f>IFERROR(INDEX(Table!I:O,MATCH(K2482,Table!I:I,0),3),"")</f>
        <v/>
      </c>
      <c r="N2482" s="32" t="str">
        <f>IFERROR(INDEX(Table!I:O,MATCH(K2482,Table!I:I,0),4),"")</f>
        <v/>
      </c>
      <c r="O2482" s="32" t="str">
        <f>IFERROR(INDEX(Table!I:O,MATCH(K2482,Table!I:I,0),5),"")</f>
        <v/>
      </c>
      <c r="P2482" s="32" t="str">
        <f>IFERROR(INDEX(Table!I:O,MATCH(K2482,Table!I:I,0),6),"")</f>
        <v/>
      </c>
      <c r="Q2482" s="89" t="str">
        <f t="shared" si="110"/>
        <v/>
      </c>
      <c r="R2482" s="89" t="str">
        <f t="shared" si="111"/>
        <v/>
      </c>
      <c r="S2482" s="82"/>
      <c r="U2482" s="37"/>
    </row>
    <row r="2483" spans="1:21" x14ac:dyDescent="0.25">
      <c r="A2483" s="31" t="str">
        <f>IF(Table!A2483 = "","",Table!A2483)</f>
        <v/>
      </c>
      <c r="B2483" s="31" t="str">
        <f>IF(Table!B2483 = "","",Table!B2483)</f>
        <v/>
      </c>
      <c r="C2483" s="31" t="str">
        <f>IF(Table!C2483 = "","",Table!C2483)</f>
        <v/>
      </c>
      <c r="D2483" s="32" t="str">
        <f>IF(Table!D2483 = "","",Table!D2483)</f>
        <v/>
      </c>
      <c r="E2483" s="32" t="str">
        <f>IF(Table!E2483 = "","",Table!E2483)</f>
        <v/>
      </c>
      <c r="F2483" s="32" t="str">
        <f>IF(Table!F2483 = "","",Table!F2483)</f>
        <v/>
      </c>
      <c r="G2483" s="91"/>
      <c r="K2483" s="31" t="str">
        <f>IFERROR(VLOOKUP(A2483,Table!$I$4:$O$3000,1,TRUE),"")</f>
        <v/>
      </c>
      <c r="L2483" s="31" t="str">
        <f>IFERROR(INDEX(Table!I:O,MATCH(K2483,Table!I:I,0),2),"")</f>
        <v/>
      </c>
      <c r="M2483" s="31" t="str">
        <f>IFERROR(INDEX(Table!I:O,MATCH(K2483,Table!I:I,0),3),"")</f>
        <v/>
      </c>
      <c r="N2483" s="32" t="str">
        <f>IFERROR(INDEX(Table!I:O,MATCH(K2483,Table!I:I,0),4),"")</f>
        <v/>
      </c>
      <c r="O2483" s="32" t="str">
        <f>IFERROR(INDEX(Table!I:O,MATCH(K2483,Table!I:I,0),5),"")</f>
        <v/>
      </c>
      <c r="P2483" s="32" t="str">
        <f>IFERROR(INDEX(Table!I:O,MATCH(K2483,Table!I:I,0),6),"")</f>
        <v/>
      </c>
      <c r="Q2483" s="89" t="str">
        <f t="shared" si="110"/>
        <v/>
      </c>
      <c r="R2483" s="89" t="str">
        <f t="shared" si="111"/>
        <v/>
      </c>
      <c r="S2483" s="82"/>
      <c r="U2483" s="37"/>
    </row>
    <row r="2484" spans="1:21" x14ac:dyDescent="0.25">
      <c r="A2484" s="31" t="str">
        <f>IF(Table!A2484 = "","",Table!A2484)</f>
        <v/>
      </c>
      <c r="B2484" s="31" t="str">
        <f>IF(Table!B2484 = "","",Table!B2484)</f>
        <v/>
      </c>
      <c r="C2484" s="31" t="str">
        <f>IF(Table!C2484 = "","",Table!C2484)</f>
        <v/>
      </c>
      <c r="D2484" s="32" t="str">
        <f>IF(Table!D2484 = "","",Table!D2484)</f>
        <v/>
      </c>
      <c r="E2484" s="32" t="str">
        <f>IF(Table!E2484 = "","",Table!E2484)</f>
        <v/>
      </c>
      <c r="F2484" s="32" t="str">
        <f>IF(Table!F2484 = "","",Table!F2484)</f>
        <v/>
      </c>
      <c r="G2484" s="91"/>
      <c r="K2484" s="31" t="str">
        <f>IFERROR(VLOOKUP(A2484,Table!$I$4:$O$3000,1,TRUE),"")</f>
        <v/>
      </c>
      <c r="L2484" s="31" t="str">
        <f>IFERROR(INDEX(Table!I:O,MATCH(K2484,Table!I:I,0),2),"")</f>
        <v/>
      </c>
      <c r="M2484" s="31" t="str">
        <f>IFERROR(INDEX(Table!I:O,MATCH(K2484,Table!I:I,0),3),"")</f>
        <v/>
      </c>
      <c r="N2484" s="32" t="str">
        <f>IFERROR(INDEX(Table!I:O,MATCH(K2484,Table!I:I,0),4),"")</f>
        <v/>
      </c>
      <c r="O2484" s="32" t="str">
        <f>IFERROR(INDEX(Table!I:O,MATCH(K2484,Table!I:I,0),5),"")</f>
        <v/>
      </c>
      <c r="P2484" s="32" t="str">
        <f>IFERROR(INDEX(Table!I:O,MATCH(K2484,Table!I:I,0),6),"")</f>
        <v/>
      </c>
      <c r="Q2484" s="89" t="str">
        <f t="shared" si="110"/>
        <v/>
      </c>
      <c r="R2484" s="89" t="str">
        <f t="shared" si="111"/>
        <v/>
      </c>
      <c r="S2484" s="82"/>
      <c r="U2484" s="37"/>
    </row>
    <row r="2485" spans="1:21" x14ac:dyDescent="0.25">
      <c r="A2485" s="31" t="str">
        <f>IF(Table!A2485 = "","",Table!A2485)</f>
        <v/>
      </c>
      <c r="B2485" s="31" t="str">
        <f>IF(Table!B2485 = "","",Table!B2485)</f>
        <v/>
      </c>
      <c r="C2485" s="31" t="str">
        <f>IF(Table!C2485 = "","",Table!C2485)</f>
        <v/>
      </c>
      <c r="D2485" s="32" t="str">
        <f>IF(Table!D2485 = "","",Table!D2485)</f>
        <v/>
      </c>
      <c r="E2485" s="32" t="str">
        <f>IF(Table!E2485 = "","",Table!E2485)</f>
        <v/>
      </c>
      <c r="F2485" s="32" t="str">
        <f>IF(Table!F2485 = "","",Table!F2485)</f>
        <v/>
      </c>
      <c r="G2485" s="91"/>
      <c r="K2485" s="31" t="str">
        <f>IFERROR(VLOOKUP(A2485,Table!$I$4:$O$3000,1,TRUE),"")</f>
        <v/>
      </c>
      <c r="L2485" s="31" t="str">
        <f>IFERROR(INDEX(Table!I:O,MATCH(K2485,Table!I:I,0),2),"")</f>
        <v/>
      </c>
      <c r="M2485" s="31" t="str">
        <f>IFERROR(INDEX(Table!I:O,MATCH(K2485,Table!I:I,0),3),"")</f>
        <v/>
      </c>
      <c r="N2485" s="32" t="str">
        <f>IFERROR(INDEX(Table!I:O,MATCH(K2485,Table!I:I,0),4),"")</f>
        <v/>
      </c>
      <c r="O2485" s="32" t="str">
        <f>IFERROR(INDEX(Table!I:O,MATCH(K2485,Table!I:I,0),5),"")</f>
        <v/>
      </c>
      <c r="P2485" s="32" t="str">
        <f>IFERROR(INDEX(Table!I:O,MATCH(K2485,Table!I:I,0),6),"")</f>
        <v/>
      </c>
      <c r="Q2485" s="89" t="str">
        <f t="shared" si="110"/>
        <v/>
      </c>
      <c r="R2485" s="89" t="str">
        <f t="shared" si="111"/>
        <v/>
      </c>
      <c r="S2485" s="82"/>
      <c r="U2485" s="37"/>
    </row>
    <row r="2486" spans="1:21" x14ac:dyDescent="0.25">
      <c r="A2486" s="31" t="str">
        <f>IF(Table!A2486 = "","",Table!A2486)</f>
        <v/>
      </c>
      <c r="B2486" s="31" t="str">
        <f>IF(Table!B2486 = "","",Table!B2486)</f>
        <v/>
      </c>
      <c r="C2486" s="31" t="str">
        <f>IF(Table!C2486 = "","",Table!C2486)</f>
        <v/>
      </c>
      <c r="D2486" s="32" t="str">
        <f>IF(Table!D2486 = "","",Table!D2486)</f>
        <v/>
      </c>
      <c r="E2486" s="32" t="str">
        <f>IF(Table!E2486 = "","",Table!E2486)</f>
        <v/>
      </c>
      <c r="F2486" s="32" t="str">
        <f>IF(Table!F2486 = "","",Table!F2486)</f>
        <v/>
      </c>
      <c r="G2486" s="91"/>
      <c r="K2486" s="31" t="str">
        <f>IFERROR(VLOOKUP(A2486,Table!$I$4:$O$3000,1,TRUE),"")</f>
        <v/>
      </c>
      <c r="L2486" s="31" t="str">
        <f>IFERROR(INDEX(Table!I:O,MATCH(K2486,Table!I:I,0),2),"")</f>
        <v/>
      </c>
      <c r="M2486" s="31" t="str">
        <f>IFERROR(INDEX(Table!I:O,MATCH(K2486,Table!I:I,0),3),"")</f>
        <v/>
      </c>
      <c r="N2486" s="32" t="str">
        <f>IFERROR(INDEX(Table!I:O,MATCH(K2486,Table!I:I,0),4),"")</f>
        <v/>
      </c>
      <c r="O2486" s="32" t="str">
        <f>IFERROR(INDEX(Table!I:O,MATCH(K2486,Table!I:I,0),5),"")</f>
        <v/>
      </c>
      <c r="P2486" s="32" t="str">
        <f>IFERROR(INDEX(Table!I:O,MATCH(K2486,Table!I:I,0),6),"")</f>
        <v/>
      </c>
      <c r="Q2486" s="89" t="str">
        <f t="shared" si="110"/>
        <v/>
      </c>
      <c r="R2486" s="89" t="str">
        <f t="shared" si="111"/>
        <v/>
      </c>
      <c r="S2486" s="82"/>
      <c r="U2486" s="37"/>
    </row>
    <row r="2487" spans="1:21" x14ac:dyDescent="0.25">
      <c r="A2487" s="31" t="str">
        <f>IF(Table!A2487 = "","",Table!A2487)</f>
        <v/>
      </c>
      <c r="B2487" s="31" t="str">
        <f>IF(Table!B2487 = "","",Table!B2487)</f>
        <v/>
      </c>
      <c r="C2487" s="31" t="str">
        <f>IF(Table!C2487 = "","",Table!C2487)</f>
        <v/>
      </c>
      <c r="D2487" s="32" t="str">
        <f>IF(Table!D2487 = "","",Table!D2487)</f>
        <v/>
      </c>
      <c r="E2487" s="32" t="str">
        <f>IF(Table!E2487 = "","",Table!E2487)</f>
        <v/>
      </c>
      <c r="F2487" s="32" t="str">
        <f>IF(Table!F2487 = "","",Table!F2487)</f>
        <v/>
      </c>
      <c r="G2487" s="91"/>
      <c r="K2487" s="31" t="str">
        <f>IFERROR(VLOOKUP(A2487,Table!$I$4:$O$3000,1,TRUE),"")</f>
        <v/>
      </c>
      <c r="L2487" s="31" t="str">
        <f>IFERROR(INDEX(Table!I:O,MATCH(K2487,Table!I:I,0),2),"")</f>
        <v/>
      </c>
      <c r="M2487" s="31" t="str">
        <f>IFERROR(INDEX(Table!I:O,MATCH(K2487,Table!I:I,0),3),"")</f>
        <v/>
      </c>
      <c r="N2487" s="32" t="str">
        <f>IFERROR(INDEX(Table!I:O,MATCH(K2487,Table!I:I,0),4),"")</f>
        <v/>
      </c>
      <c r="O2487" s="32" t="str">
        <f>IFERROR(INDEX(Table!I:O,MATCH(K2487,Table!I:I,0),5),"")</f>
        <v/>
      </c>
      <c r="P2487" s="32" t="str">
        <f>IFERROR(INDEX(Table!I:O,MATCH(K2487,Table!I:I,0),6),"")</f>
        <v/>
      </c>
      <c r="Q2487" s="89" t="str">
        <f t="shared" si="110"/>
        <v/>
      </c>
      <c r="R2487" s="89" t="str">
        <f t="shared" si="111"/>
        <v/>
      </c>
      <c r="S2487" s="82"/>
      <c r="U2487" s="37"/>
    </row>
    <row r="2488" spans="1:21" x14ac:dyDescent="0.25">
      <c r="A2488" s="31" t="str">
        <f>IF(Table!A2488 = "","",Table!A2488)</f>
        <v/>
      </c>
      <c r="B2488" s="31" t="str">
        <f>IF(Table!B2488 = "","",Table!B2488)</f>
        <v/>
      </c>
      <c r="C2488" s="31" t="str">
        <f>IF(Table!C2488 = "","",Table!C2488)</f>
        <v/>
      </c>
      <c r="D2488" s="32" t="str">
        <f>IF(Table!D2488 = "","",Table!D2488)</f>
        <v/>
      </c>
      <c r="E2488" s="32" t="str">
        <f>IF(Table!E2488 = "","",Table!E2488)</f>
        <v/>
      </c>
      <c r="F2488" s="32" t="str">
        <f>IF(Table!F2488 = "","",Table!F2488)</f>
        <v/>
      </c>
      <c r="G2488" s="91"/>
      <c r="K2488" s="31" t="str">
        <f>IFERROR(VLOOKUP(A2488,Table!$I$4:$O$3000,1,TRUE),"")</f>
        <v/>
      </c>
      <c r="L2488" s="31" t="str">
        <f>IFERROR(INDEX(Table!I:O,MATCH(K2488,Table!I:I,0),2),"")</f>
        <v/>
      </c>
      <c r="M2488" s="31" t="str">
        <f>IFERROR(INDEX(Table!I:O,MATCH(K2488,Table!I:I,0),3),"")</f>
        <v/>
      </c>
      <c r="N2488" s="32" t="str">
        <f>IFERROR(INDEX(Table!I:O,MATCH(K2488,Table!I:I,0),4),"")</f>
        <v/>
      </c>
      <c r="O2488" s="32" t="str">
        <f>IFERROR(INDEX(Table!I:O,MATCH(K2488,Table!I:I,0),5),"")</f>
        <v/>
      </c>
      <c r="P2488" s="32" t="str">
        <f>IFERROR(INDEX(Table!I:O,MATCH(K2488,Table!I:I,0),6),"")</f>
        <v/>
      </c>
      <c r="Q2488" s="89" t="str">
        <f t="shared" si="110"/>
        <v/>
      </c>
      <c r="R2488" s="89" t="str">
        <f t="shared" si="111"/>
        <v/>
      </c>
      <c r="S2488" s="82"/>
      <c r="U2488" s="37"/>
    </row>
    <row r="2489" spans="1:21" x14ac:dyDescent="0.25">
      <c r="A2489" s="31" t="str">
        <f>IF(Table!A2489 = "","",Table!A2489)</f>
        <v/>
      </c>
      <c r="B2489" s="31" t="str">
        <f>IF(Table!B2489 = "","",Table!B2489)</f>
        <v/>
      </c>
      <c r="C2489" s="31" t="str">
        <f>IF(Table!C2489 = "","",Table!C2489)</f>
        <v/>
      </c>
      <c r="D2489" s="32" t="str">
        <f>IF(Table!D2489 = "","",Table!D2489)</f>
        <v/>
      </c>
      <c r="E2489" s="32" t="str">
        <f>IF(Table!E2489 = "","",Table!E2489)</f>
        <v/>
      </c>
      <c r="F2489" s="32" t="str">
        <f>IF(Table!F2489 = "","",Table!F2489)</f>
        <v/>
      </c>
      <c r="G2489" s="91"/>
      <c r="K2489" s="31" t="str">
        <f>IFERROR(VLOOKUP(A2489,Table!$I$4:$O$3000,1,TRUE),"")</f>
        <v/>
      </c>
      <c r="L2489" s="31" t="str">
        <f>IFERROR(INDEX(Table!I:O,MATCH(K2489,Table!I:I,0),2),"")</f>
        <v/>
      </c>
      <c r="M2489" s="31" t="str">
        <f>IFERROR(INDEX(Table!I:O,MATCH(K2489,Table!I:I,0),3),"")</f>
        <v/>
      </c>
      <c r="N2489" s="32" t="str">
        <f>IFERROR(INDEX(Table!I:O,MATCH(K2489,Table!I:I,0),4),"")</f>
        <v/>
      </c>
      <c r="O2489" s="32" t="str">
        <f>IFERROR(INDEX(Table!I:O,MATCH(K2489,Table!I:I,0),5),"")</f>
        <v/>
      </c>
      <c r="P2489" s="32" t="str">
        <f>IFERROR(INDEX(Table!I:O,MATCH(K2489,Table!I:I,0),6),"")</f>
        <v/>
      </c>
      <c r="Q2489" s="89" t="str">
        <f t="shared" si="110"/>
        <v/>
      </c>
      <c r="R2489" s="89" t="str">
        <f t="shared" si="111"/>
        <v/>
      </c>
      <c r="S2489" s="82"/>
      <c r="U2489" s="37"/>
    </row>
    <row r="2490" spans="1:21" x14ac:dyDescent="0.25">
      <c r="A2490" s="31" t="str">
        <f>IF(Table!A2490 = "","",Table!A2490)</f>
        <v/>
      </c>
      <c r="B2490" s="31" t="str">
        <f>IF(Table!B2490 = "","",Table!B2490)</f>
        <v/>
      </c>
      <c r="C2490" s="31" t="str">
        <f>IF(Table!C2490 = "","",Table!C2490)</f>
        <v/>
      </c>
      <c r="D2490" s="32" t="str">
        <f>IF(Table!D2490 = "","",Table!D2490)</f>
        <v/>
      </c>
      <c r="E2490" s="32" t="str">
        <f>IF(Table!E2490 = "","",Table!E2490)</f>
        <v/>
      </c>
      <c r="F2490" s="32" t="str">
        <f>IF(Table!F2490 = "","",Table!F2490)</f>
        <v/>
      </c>
      <c r="G2490" s="91"/>
      <c r="K2490" s="31" t="str">
        <f>IFERROR(VLOOKUP(A2490,Table!$I$4:$O$3000,1,TRUE),"")</f>
        <v/>
      </c>
      <c r="L2490" s="31" t="str">
        <f>IFERROR(INDEX(Table!I:O,MATCH(K2490,Table!I:I,0),2),"")</f>
        <v/>
      </c>
      <c r="M2490" s="31" t="str">
        <f>IFERROR(INDEX(Table!I:O,MATCH(K2490,Table!I:I,0),3),"")</f>
        <v/>
      </c>
      <c r="N2490" s="32" t="str">
        <f>IFERROR(INDEX(Table!I:O,MATCH(K2490,Table!I:I,0),4),"")</f>
        <v/>
      </c>
      <c r="O2490" s="32" t="str">
        <f>IFERROR(INDEX(Table!I:O,MATCH(K2490,Table!I:I,0),5),"")</f>
        <v/>
      </c>
      <c r="P2490" s="32" t="str">
        <f>IFERROR(INDEX(Table!I:O,MATCH(K2490,Table!I:I,0),6),"")</f>
        <v/>
      </c>
      <c r="Q2490" s="89" t="str">
        <f t="shared" si="110"/>
        <v/>
      </c>
      <c r="R2490" s="89" t="str">
        <f t="shared" si="111"/>
        <v/>
      </c>
      <c r="S2490" s="82"/>
      <c r="U2490" s="37"/>
    </row>
    <row r="2491" spans="1:21" x14ac:dyDescent="0.25">
      <c r="A2491" s="31" t="str">
        <f>IF(Table!A2491 = "","",Table!A2491)</f>
        <v/>
      </c>
      <c r="B2491" s="31" t="str">
        <f>IF(Table!B2491 = "","",Table!B2491)</f>
        <v/>
      </c>
      <c r="C2491" s="31" t="str">
        <f>IF(Table!C2491 = "","",Table!C2491)</f>
        <v/>
      </c>
      <c r="D2491" s="32" t="str">
        <f>IF(Table!D2491 = "","",Table!D2491)</f>
        <v/>
      </c>
      <c r="E2491" s="32" t="str">
        <f>IF(Table!E2491 = "","",Table!E2491)</f>
        <v/>
      </c>
      <c r="F2491" s="32" t="str">
        <f>IF(Table!F2491 = "","",Table!F2491)</f>
        <v/>
      </c>
      <c r="G2491" s="91"/>
      <c r="K2491" s="31" t="str">
        <f>IFERROR(VLOOKUP(A2491,Table!$I$4:$O$3000,1,TRUE),"")</f>
        <v/>
      </c>
      <c r="L2491" s="31" t="str">
        <f>IFERROR(INDEX(Table!I:O,MATCH(K2491,Table!I:I,0),2),"")</f>
        <v/>
      </c>
      <c r="M2491" s="31" t="str">
        <f>IFERROR(INDEX(Table!I:O,MATCH(K2491,Table!I:I,0),3),"")</f>
        <v/>
      </c>
      <c r="N2491" s="32" t="str">
        <f>IFERROR(INDEX(Table!I:O,MATCH(K2491,Table!I:I,0),4),"")</f>
        <v/>
      </c>
      <c r="O2491" s="32" t="str">
        <f>IFERROR(INDEX(Table!I:O,MATCH(K2491,Table!I:I,0),5),"")</f>
        <v/>
      </c>
      <c r="P2491" s="32" t="str">
        <f>IFERROR(INDEX(Table!I:O,MATCH(K2491,Table!I:I,0),6),"")</f>
        <v/>
      </c>
      <c r="Q2491" s="89" t="str">
        <f t="shared" si="110"/>
        <v/>
      </c>
      <c r="R2491" s="89" t="str">
        <f t="shared" si="111"/>
        <v/>
      </c>
      <c r="S2491" s="82"/>
      <c r="U2491" s="37"/>
    </row>
    <row r="2492" spans="1:21" x14ac:dyDescent="0.25">
      <c r="A2492" s="31" t="str">
        <f>IF(Table!A2492 = "","",Table!A2492)</f>
        <v/>
      </c>
      <c r="B2492" s="31" t="str">
        <f>IF(Table!B2492 = "","",Table!B2492)</f>
        <v/>
      </c>
      <c r="C2492" s="31" t="str">
        <f>IF(Table!C2492 = "","",Table!C2492)</f>
        <v/>
      </c>
      <c r="D2492" s="32" t="str">
        <f>IF(Table!D2492 = "","",Table!D2492)</f>
        <v/>
      </c>
      <c r="E2492" s="32" t="str">
        <f>IF(Table!E2492 = "","",Table!E2492)</f>
        <v/>
      </c>
      <c r="F2492" s="32" t="str">
        <f>IF(Table!F2492 = "","",Table!F2492)</f>
        <v/>
      </c>
      <c r="G2492" s="91"/>
      <c r="K2492" s="31" t="str">
        <f>IFERROR(VLOOKUP(A2492,Table!$I$4:$O$3000,1,TRUE),"")</f>
        <v/>
      </c>
      <c r="L2492" s="31" t="str">
        <f>IFERROR(INDEX(Table!I:O,MATCH(K2492,Table!I:I,0),2),"")</f>
        <v/>
      </c>
      <c r="M2492" s="31" t="str">
        <f>IFERROR(INDEX(Table!I:O,MATCH(K2492,Table!I:I,0),3),"")</f>
        <v/>
      </c>
      <c r="N2492" s="32" t="str">
        <f>IFERROR(INDEX(Table!I:O,MATCH(K2492,Table!I:I,0),4),"")</f>
        <v/>
      </c>
      <c r="O2492" s="32" t="str">
        <f>IFERROR(INDEX(Table!I:O,MATCH(K2492,Table!I:I,0),5),"")</f>
        <v/>
      </c>
      <c r="P2492" s="32" t="str">
        <f>IFERROR(INDEX(Table!I:O,MATCH(K2492,Table!I:I,0),6),"")</f>
        <v/>
      </c>
      <c r="Q2492" s="89" t="str">
        <f t="shared" si="110"/>
        <v/>
      </c>
      <c r="R2492" s="89" t="str">
        <f t="shared" si="111"/>
        <v/>
      </c>
      <c r="S2492" s="82"/>
      <c r="U2492" s="37"/>
    </row>
    <row r="2493" spans="1:21" x14ac:dyDescent="0.25">
      <c r="A2493" s="31" t="str">
        <f>IF(Table!A2493 = "","",Table!A2493)</f>
        <v/>
      </c>
      <c r="B2493" s="31" t="str">
        <f>IF(Table!B2493 = "","",Table!B2493)</f>
        <v/>
      </c>
      <c r="C2493" s="31" t="str">
        <f>IF(Table!C2493 = "","",Table!C2493)</f>
        <v/>
      </c>
      <c r="D2493" s="32" t="str">
        <f>IF(Table!D2493 = "","",Table!D2493)</f>
        <v/>
      </c>
      <c r="E2493" s="32" t="str">
        <f>IF(Table!E2493 = "","",Table!E2493)</f>
        <v/>
      </c>
      <c r="F2493" s="32" t="str">
        <f>IF(Table!F2493 = "","",Table!F2493)</f>
        <v/>
      </c>
      <c r="G2493" s="91"/>
      <c r="K2493" s="31" t="str">
        <f>IFERROR(VLOOKUP(A2493,Table!$I$4:$O$3000,1,TRUE),"")</f>
        <v/>
      </c>
      <c r="L2493" s="31" t="str">
        <f>IFERROR(INDEX(Table!I:O,MATCH(K2493,Table!I:I,0),2),"")</f>
        <v/>
      </c>
      <c r="M2493" s="31" t="str">
        <f>IFERROR(INDEX(Table!I:O,MATCH(K2493,Table!I:I,0),3),"")</f>
        <v/>
      </c>
      <c r="N2493" s="32" t="str">
        <f>IFERROR(INDEX(Table!I:O,MATCH(K2493,Table!I:I,0),4),"")</f>
        <v/>
      </c>
      <c r="O2493" s="32" t="str">
        <f>IFERROR(INDEX(Table!I:O,MATCH(K2493,Table!I:I,0),5),"")</f>
        <v/>
      </c>
      <c r="P2493" s="32" t="str">
        <f>IFERROR(INDEX(Table!I:O,MATCH(K2493,Table!I:I,0),6),"")</f>
        <v/>
      </c>
      <c r="Q2493" s="89" t="str">
        <f t="shared" si="110"/>
        <v/>
      </c>
      <c r="R2493" s="89" t="str">
        <f t="shared" si="111"/>
        <v/>
      </c>
      <c r="S2493" s="82"/>
      <c r="U2493" s="37"/>
    </row>
    <row r="2494" spans="1:21" x14ac:dyDescent="0.25">
      <c r="A2494" s="31" t="str">
        <f>IF(Table!A2494 = "","",Table!A2494)</f>
        <v/>
      </c>
      <c r="B2494" s="31" t="str">
        <f>IF(Table!B2494 = "","",Table!B2494)</f>
        <v/>
      </c>
      <c r="C2494" s="31" t="str">
        <f>IF(Table!C2494 = "","",Table!C2494)</f>
        <v/>
      </c>
      <c r="D2494" s="32" t="str">
        <f>IF(Table!D2494 = "","",Table!D2494)</f>
        <v/>
      </c>
      <c r="E2494" s="32" t="str">
        <f>IF(Table!E2494 = "","",Table!E2494)</f>
        <v/>
      </c>
      <c r="F2494" s="32" t="str">
        <f>IF(Table!F2494 = "","",Table!F2494)</f>
        <v/>
      </c>
      <c r="G2494" s="91"/>
      <c r="K2494" s="31" t="str">
        <f>IFERROR(VLOOKUP(A2494,Table!$I$4:$O$3000,1,TRUE),"")</f>
        <v/>
      </c>
      <c r="L2494" s="31" t="str">
        <f>IFERROR(INDEX(Table!I:O,MATCH(K2494,Table!I:I,0),2),"")</f>
        <v/>
      </c>
      <c r="M2494" s="31" t="str">
        <f>IFERROR(INDEX(Table!I:O,MATCH(K2494,Table!I:I,0),3),"")</f>
        <v/>
      </c>
      <c r="N2494" s="32" t="str">
        <f>IFERROR(INDEX(Table!I:O,MATCH(K2494,Table!I:I,0),4),"")</f>
        <v/>
      </c>
      <c r="O2494" s="32" t="str">
        <f>IFERROR(INDEX(Table!I:O,MATCH(K2494,Table!I:I,0),5),"")</f>
        <v/>
      </c>
      <c r="P2494" s="32" t="str">
        <f>IFERROR(INDEX(Table!I:O,MATCH(K2494,Table!I:I,0),6),"")</f>
        <v/>
      </c>
      <c r="Q2494" s="89" t="str">
        <f t="shared" si="110"/>
        <v/>
      </c>
      <c r="R2494" s="89" t="str">
        <f t="shared" si="111"/>
        <v/>
      </c>
      <c r="S2494" s="82"/>
      <c r="U2494" s="37"/>
    </row>
    <row r="2495" spans="1:21" x14ac:dyDescent="0.25">
      <c r="A2495" s="31" t="str">
        <f>IF(Table!A2495 = "","",Table!A2495)</f>
        <v/>
      </c>
      <c r="B2495" s="31" t="str">
        <f>IF(Table!B2495 = "","",Table!B2495)</f>
        <v/>
      </c>
      <c r="C2495" s="31" t="str">
        <f>IF(Table!C2495 = "","",Table!C2495)</f>
        <v/>
      </c>
      <c r="D2495" s="32" t="str">
        <f>IF(Table!D2495 = "","",Table!D2495)</f>
        <v/>
      </c>
      <c r="E2495" s="32" t="str">
        <f>IF(Table!E2495 = "","",Table!E2495)</f>
        <v/>
      </c>
      <c r="F2495" s="32" t="str">
        <f>IF(Table!F2495 = "","",Table!F2495)</f>
        <v/>
      </c>
      <c r="G2495" s="91"/>
      <c r="K2495" s="31" t="str">
        <f>IFERROR(VLOOKUP(A2495,Table!$I$4:$O$3000,1,TRUE),"")</f>
        <v/>
      </c>
      <c r="L2495" s="31" t="str">
        <f>IFERROR(INDEX(Table!I:O,MATCH(K2495,Table!I:I,0),2),"")</f>
        <v/>
      </c>
      <c r="M2495" s="31" t="str">
        <f>IFERROR(INDEX(Table!I:O,MATCH(K2495,Table!I:I,0),3),"")</f>
        <v/>
      </c>
      <c r="N2495" s="32" t="str">
        <f>IFERROR(INDEX(Table!I:O,MATCH(K2495,Table!I:I,0),4),"")</f>
        <v/>
      </c>
      <c r="O2495" s="32" t="str">
        <f>IFERROR(INDEX(Table!I:O,MATCH(K2495,Table!I:I,0),5),"")</f>
        <v/>
      </c>
      <c r="P2495" s="32" t="str">
        <f>IFERROR(INDEX(Table!I:O,MATCH(K2495,Table!I:I,0),6),"")</f>
        <v/>
      </c>
      <c r="Q2495" s="89" t="str">
        <f t="shared" si="110"/>
        <v/>
      </c>
      <c r="R2495" s="89" t="str">
        <f t="shared" si="111"/>
        <v/>
      </c>
      <c r="S2495" s="82"/>
      <c r="U2495" s="37"/>
    </row>
    <row r="2496" spans="1:21" x14ac:dyDescent="0.25">
      <c r="A2496" s="31" t="str">
        <f>IF(Table!A2496 = "","",Table!A2496)</f>
        <v/>
      </c>
      <c r="B2496" s="31" t="str">
        <f>IF(Table!B2496 = "","",Table!B2496)</f>
        <v/>
      </c>
      <c r="C2496" s="31" t="str">
        <f>IF(Table!C2496 = "","",Table!C2496)</f>
        <v/>
      </c>
      <c r="D2496" s="32" t="str">
        <f>IF(Table!D2496 = "","",Table!D2496)</f>
        <v/>
      </c>
      <c r="E2496" s="32" t="str">
        <f>IF(Table!E2496 = "","",Table!E2496)</f>
        <v/>
      </c>
      <c r="F2496" s="32" t="str">
        <f>IF(Table!F2496 = "","",Table!F2496)</f>
        <v/>
      </c>
      <c r="G2496" s="91"/>
      <c r="K2496" s="31" t="str">
        <f>IFERROR(VLOOKUP(A2496,Table!$I$4:$O$3000,1,TRUE),"")</f>
        <v/>
      </c>
      <c r="L2496" s="31" t="str">
        <f>IFERROR(INDEX(Table!I:O,MATCH(K2496,Table!I:I,0),2),"")</f>
        <v/>
      </c>
      <c r="M2496" s="31" t="str">
        <f>IFERROR(INDEX(Table!I:O,MATCH(K2496,Table!I:I,0),3),"")</f>
        <v/>
      </c>
      <c r="N2496" s="32" t="str">
        <f>IFERROR(INDEX(Table!I:O,MATCH(K2496,Table!I:I,0),4),"")</f>
        <v/>
      </c>
      <c r="O2496" s="32" t="str">
        <f>IFERROR(INDEX(Table!I:O,MATCH(K2496,Table!I:I,0),5),"")</f>
        <v/>
      </c>
      <c r="P2496" s="32" t="str">
        <f>IFERROR(INDEX(Table!I:O,MATCH(K2496,Table!I:I,0),6),"")</f>
        <v/>
      </c>
      <c r="Q2496" s="89" t="str">
        <f t="shared" si="110"/>
        <v/>
      </c>
      <c r="R2496" s="89" t="str">
        <f t="shared" si="111"/>
        <v/>
      </c>
      <c r="S2496" s="82"/>
      <c r="U2496" s="37"/>
    </row>
    <row r="2497" spans="1:21" x14ac:dyDescent="0.25">
      <c r="A2497" s="31" t="str">
        <f>IF(Table!A2497 = "","",Table!A2497)</f>
        <v/>
      </c>
      <c r="B2497" s="31" t="str">
        <f>IF(Table!B2497 = "","",Table!B2497)</f>
        <v/>
      </c>
      <c r="C2497" s="31" t="str">
        <f>IF(Table!C2497 = "","",Table!C2497)</f>
        <v/>
      </c>
      <c r="D2497" s="32" t="str">
        <f>IF(Table!D2497 = "","",Table!D2497)</f>
        <v/>
      </c>
      <c r="E2497" s="32" t="str">
        <f>IF(Table!E2497 = "","",Table!E2497)</f>
        <v/>
      </c>
      <c r="F2497" s="32" t="str">
        <f>IF(Table!F2497 = "","",Table!F2497)</f>
        <v/>
      </c>
      <c r="G2497" s="91"/>
      <c r="K2497" s="31" t="str">
        <f>IFERROR(VLOOKUP(A2497,Table!$I$4:$O$3000,1,TRUE),"")</f>
        <v/>
      </c>
      <c r="L2497" s="31" t="str">
        <f>IFERROR(INDEX(Table!I:O,MATCH(K2497,Table!I:I,0),2),"")</f>
        <v/>
      </c>
      <c r="M2497" s="31" t="str">
        <f>IFERROR(INDEX(Table!I:O,MATCH(K2497,Table!I:I,0),3),"")</f>
        <v/>
      </c>
      <c r="N2497" s="32" t="str">
        <f>IFERROR(INDEX(Table!I:O,MATCH(K2497,Table!I:I,0),4),"")</f>
        <v/>
      </c>
      <c r="O2497" s="32" t="str">
        <f>IFERROR(INDEX(Table!I:O,MATCH(K2497,Table!I:I,0),5),"")</f>
        <v/>
      </c>
      <c r="P2497" s="32" t="str">
        <f>IFERROR(INDEX(Table!I:O,MATCH(K2497,Table!I:I,0),6),"")</f>
        <v/>
      </c>
      <c r="Q2497" s="89" t="str">
        <f t="shared" si="110"/>
        <v/>
      </c>
      <c r="R2497" s="89" t="str">
        <f t="shared" si="111"/>
        <v/>
      </c>
      <c r="S2497" s="82"/>
      <c r="U2497" s="37"/>
    </row>
    <row r="2498" spans="1:21" x14ac:dyDescent="0.25">
      <c r="A2498" s="31" t="str">
        <f>IF(Table!A2498 = "","",Table!A2498)</f>
        <v/>
      </c>
      <c r="B2498" s="31" t="str">
        <f>IF(Table!B2498 = "","",Table!B2498)</f>
        <v/>
      </c>
      <c r="C2498" s="31" t="str">
        <f>IF(Table!C2498 = "","",Table!C2498)</f>
        <v/>
      </c>
      <c r="D2498" s="32" t="str">
        <f>IF(Table!D2498 = "","",Table!D2498)</f>
        <v/>
      </c>
      <c r="E2498" s="32" t="str">
        <f>IF(Table!E2498 = "","",Table!E2498)</f>
        <v/>
      </c>
      <c r="F2498" s="32" t="str">
        <f>IF(Table!F2498 = "","",Table!F2498)</f>
        <v/>
      </c>
      <c r="G2498" s="91"/>
      <c r="K2498" s="31" t="str">
        <f>IFERROR(VLOOKUP(A2498,Table!$I$4:$O$3000,1,TRUE),"")</f>
        <v/>
      </c>
      <c r="L2498" s="31" t="str">
        <f>IFERROR(INDEX(Table!I:O,MATCH(K2498,Table!I:I,0),2),"")</f>
        <v/>
      </c>
      <c r="M2498" s="31" t="str">
        <f>IFERROR(INDEX(Table!I:O,MATCH(K2498,Table!I:I,0),3),"")</f>
        <v/>
      </c>
      <c r="N2498" s="32" t="str">
        <f>IFERROR(INDEX(Table!I:O,MATCH(K2498,Table!I:I,0),4),"")</f>
        <v/>
      </c>
      <c r="O2498" s="32" t="str">
        <f>IFERROR(INDEX(Table!I:O,MATCH(K2498,Table!I:I,0),5),"")</f>
        <v/>
      </c>
      <c r="P2498" s="32" t="str">
        <f>IFERROR(INDEX(Table!I:O,MATCH(K2498,Table!I:I,0),6),"")</f>
        <v/>
      </c>
      <c r="Q2498" s="89" t="str">
        <f t="shared" si="110"/>
        <v/>
      </c>
      <c r="R2498" s="89" t="str">
        <f t="shared" si="111"/>
        <v/>
      </c>
      <c r="S2498" s="82"/>
      <c r="U2498" s="37"/>
    </row>
    <row r="2499" spans="1:21" x14ac:dyDescent="0.25">
      <c r="A2499" s="31" t="str">
        <f>IF(Table!A2499 = "","",Table!A2499)</f>
        <v/>
      </c>
      <c r="B2499" s="31" t="str">
        <f>IF(Table!B2499 = "","",Table!B2499)</f>
        <v/>
      </c>
      <c r="C2499" s="31" t="str">
        <f>IF(Table!C2499 = "","",Table!C2499)</f>
        <v/>
      </c>
      <c r="D2499" s="32" t="str">
        <f>IF(Table!D2499 = "","",Table!D2499)</f>
        <v/>
      </c>
      <c r="E2499" s="32" t="str">
        <f>IF(Table!E2499 = "","",Table!E2499)</f>
        <v/>
      </c>
      <c r="F2499" s="32" t="str">
        <f>IF(Table!F2499 = "","",Table!F2499)</f>
        <v/>
      </c>
      <c r="G2499" s="91"/>
      <c r="K2499" s="31" t="str">
        <f>IFERROR(VLOOKUP(A2499,Table!$I$4:$O$3000,1,TRUE),"")</f>
        <v/>
      </c>
      <c r="L2499" s="31" t="str">
        <f>IFERROR(INDEX(Table!I:O,MATCH(K2499,Table!I:I,0),2),"")</f>
        <v/>
      </c>
      <c r="M2499" s="31" t="str">
        <f>IFERROR(INDEX(Table!I:O,MATCH(K2499,Table!I:I,0),3),"")</f>
        <v/>
      </c>
      <c r="N2499" s="32" t="str">
        <f>IFERROR(INDEX(Table!I:O,MATCH(K2499,Table!I:I,0),4),"")</f>
        <v/>
      </c>
      <c r="O2499" s="32" t="str">
        <f>IFERROR(INDEX(Table!I:O,MATCH(K2499,Table!I:I,0),5),"")</f>
        <v/>
      </c>
      <c r="P2499" s="32" t="str">
        <f>IFERROR(INDEX(Table!I:O,MATCH(K2499,Table!I:I,0),6),"")</f>
        <v/>
      </c>
      <c r="Q2499" s="89" t="str">
        <f t="shared" si="110"/>
        <v/>
      </c>
      <c r="R2499" s="89" t="str">
        <f t="shared" si="111"/>
        <v/>
      </c>
      <c r="S2499" s="82"/>
      <c r="U2499" s="37"/>
    </row>
    <row r="2500" spans="1:21" x14ac:dyDescent="0.25">
      <c r="A2500" s="31" t="str">
        <f>IF(Table!A2500 = "","",Table!A2500)</f>
        <v/>
      </c>
      <c r="B2500" s="31" t="str">
        <f>IF(Table!B2500 = "","",Table!B2500)</f>
        <v/>
      </c>
      <c r="C2500" s="31" t="str">
        <f>IF(Table!C2500 = "","",Table!C2500)</f>
        <v/>
      </c>
      <c r="D2500" s="32" t="str">
        <f>IF(Table!D2500 = "","",Table!D2500)</f>
        <v/>
      </c>
      <c r="E2500" s="32" t="str">
        <f>IF(Table!E2500 = "","",Table!E2500)</f>
        <v/>
      </c>
      <c r="F2500" s="32" t="str">
        <f>IF(Table!F2500 = "","",Table!F2500)</f>
        <v/>
      </c>
      <c r="G2500" s="91"/>
      <c r="K2500" s="31" t="str">
        <f>IFERROR(VLOOKUP(A2500,Table!$I$4:$O$3000,1,TRUE),"")</f>
        <v/>
      </c>
      <c r="L2500" s="31" t="str">
        <f>IFERROR(INDEX(Table!I:O,MATCH(K2500,Table!I:I,0),2),"")</f>
        <v/>
      </c>
      <c r="M2500" s="31" t="str">
        <f>IFERROR(INDEX(Table!I:O,MATCH(K2500,Table!I:I,0),3),"")</f>
        <v/>
      </c>
      <c r="N2500" s="32" t="str">
        <f>IFERROR(INDEX(Table!I:O,MATCH(K2500,Table!I:I,0),4),"")</f>
        <v/>
      </c>
      <c r="O2500" s="32" t="str">
        <f>IFERROR(INDEX(Table!I:O,MATCH(K2500,Table!I:I,0),5),"")</f>
        <v/>
      </c>
      <c r="P2500" s="32" t="str">
        <f>IFERROR(INDEX(Table!I:O,MATCH(K2500,Table!I:I,0),6),"")</f>
        <v/>
      </c>
      <c r="Q2500" s="89" t="str">
        <f t="shared" si="110"/>
        <v/>
      </c>
      <c r="R2500" s="89" t="str">
        <f t="shared" si="111"/>
        <v/>
      </c>
      <c r="S2500" s="82"/>
      <c r="U2500" s="37"/>
    </row>
    <row r="2501" spans="1:21" x14ac:dyDescent="0.25">
      <c r="A2501" s="31" t="str">
        <f>IF(Table!A2501 = "","",Table!A2501)</f>
        <v/>
      </c>
      <c r="B2501" s="31" t="str">
        <f>IF(Table!B2501 = "","",Table!B2501)</f>
        <v/>
      </c>
      <c r="C2501" s="31" t="str">
        <f>IF(Table!C2501 = "","",Table!C2501)</f>
        <v/>
      </c>
      <c r="D2501" s="32" t="str">
        <f>IF(Table!D2501 = "","",Table!D2501)</f>
        <v/>
      </c>
      <c r="E2501" s="32" t="str">
        <f>IF(Table!E2501 = "","",Table!E2501)</f>
        <v/>
      </c>
      <c r="F2501" s="32" t="str">
        <f>IF(Table!F2501 = "","",Table!F2501)</f>
        <v/>
      </c>
      <c r="G2501" s="91"/>
      <c r="K2501" s="31" t="str">
        <f>IFERROR(VLOOKUP(A2501,Table!$I$4:$O$3000,1,TRUE),"")</f>
        <v/>
      </c>
      <c r="L2501" s="31" t="str">
        <f>IFERROR(INDEX(Table!I:O,MATCH(K2501,Table!I:I,0),2),"")</f>
        <v/>
      </c>
      <c r="M2501" s="31" t="str">
        <f>IFERROR(INDEX(Table!I:O,MATCH(K2501,Table!I:I,0),3),"")</f>
        <v/>
      </c>
      <c r="N2501" s="32" t="str">
        <f>IFERROR(INDEX(Table!I:O,MATCH(K2501,Table!I:I,0),4),"")</f>
        <v/>
      </c>
      <c r="O2501" s="32" t="str">
        <f>IFERROR(INDEX(Table!I:O,MATCH(K2501,Table!I:I,0),5),"")</f>
        <v/>
      </c>
      <c r="P2501" s="32" t="str">
        <f>IFERROR(INDEX(Table!I:O,MATCH(K2501,Table!I:I,0),6),"")</f>
        <v/>
      </c>
      <c r="Q2501" s="89" t="str">
        <f t="shared" si="110"/>
        <v/>
      </c>
      <c r="R2501" s="89" t="str">
        <f t="shared" si="111"/>
        <v/>
      </c>
      <c r="S2501" s="82"/>
      <c r="U2501" s="37"/>
    </row>
    <row r="2502" spans="1:21" x14ac:dyDescent="0.25">
      <c r="A2502" s="31" t="str">
        <f>IF(Table!A2502 = "","",Table!A2502)</f>
        <v/>
      </c>
      <c r="B2502" s="31" t="str">
        <f>IF(Table!B2502 = "","",Table!B2502)</f>
        <v/>
      </c>
      <c r="C2502" s="31" t="str">
        <f>IF(Table!C2502 = "","",Table!C2502)</f>
        <v/>
      </c>
      <c r="D2502" s="32" t="str">
        <f>IF(Table!D2502 = "","",Table!D2502)</f>
        <v/>
      </c>
      <c r="E2502" s="32" t="str">
        <f>IF(Table!E2502 = "","",Table!E2502)</f>
        <v/>
      </c>
      <c r="F2502" s="32" t="str">
        <f>IF(Table!F2502 = "","",Table!F2502)</f>
        <v/>
      </c>
      <c r="G2502" s="91"/>
      <c r="K2502" s="31" t="str">
        <f>IFERROR(VLOOKUP(A2502,Table!$I$4:$O$3000,1,TRUE),"")</f>
        <v/>
      </c>
      <c r="L2502" s="31" t="str">
        <f>IFERROR(INDEX(Table!I:O,MATCH(K2502,Table!I:I,0),2),"")</f>
        <v/>
      </c>
      <c r="M2502" s="31" t="str">
        <f>IFERROR(INDEX(Table!I:O,MATCH(K2502,Table!I:I,0),3),"")</f>
        <v/>
      </c>
      <c r="N2502" s="32" t="str">
        <f>IFERROR(INDEX(Table!I:O,MATCH(K2502,Table!I:I,0),4),"")</f>
        <v/>
      </c>
      <c r="O2502" s="32" t="str">
        <f>IFERROR(INDEX(Table!I:O,MATCH(K2502,Table!I:I,0),5),"")</f>
        <v/>
      </c>
      <c r="P2502" s="32" t="str">
        <f>IFERROR(INDEX(Table!I:O,MATCH(K2502,Table!I:I,0),6),"")</f>
        <v/>
      </c>
      <c r="Q2502" s="89" t="str">
        <f t="shared" ref="Q2502:Q2565" si="112">IFERROR(L2502-B2502,"")</f>
        <v/>
      </c>
      <c r="R2502" s="89" t="str">
        <f t="shared" ref="R2502:R2565" si="113">IFERROR(M2502-C2502,"")</f>
        <v/>
      </c>
      <c r="S2502" s="82"/>
      <c r="U2502" s="37"/>
    </row>
    <row r="2503" spans="1:21" x14ac:dyDescent="0.25">
      <c r="A2503" s="31" t="str">
        <f>IF(Table!A2503 = "","",Table!A2503)</f>
        <v/>
      </c>
      <c r="B2503" s="31" t="str">
        <f>IF(Table!B2503 = "","",Table!B2503)</f>
        <v/>
      </c>
      <c r="C2503" s="31" t="str">
        <f>IF(Table!C2503 = "","",Table!C2503)</f>
        <v/>
      </c>
      <c r="D2503" s="32" t="str">
        <f>IF(Table!D2503 = "","",Table!D2503)</f>
        <v/>
      </c>
      <c r="E2503" s="32" t="str">
        <f>IF(Table!E2503 = "","",Table!E2503)</f>
        <v/>
      </c>
      <c r="F2503" s="32" t="str">
        <f>IF(Table!F2503 = "","",Table!F2503)</f>
        <v/>
      </c>
      <c r="G2503" s="91"/>
      <c r="K2503" s="31" t="str">
        <f>IFERROR(VLOOKUP(A2503,Table!$I$4:$O$3000,1,TRUE),"")</f>
        <v/>
      </c>
      <c r="L2503" s="31" t="str">
        <f>IFERROR(INDEX(Table!I:O,MATCH(K2503,Table!I:I,0),2),"")</f>
        <v/>
      </c>
      <c r="M2503" s="31" t="str">
        <f>IFERROR(INDEX(Table!I:O,MATCH(K2503,Table!I:I,0),3),"")</f>
        <v/>
      </c>
      <c r="N2503" s="32" t="str">
        <f>IFERROR(INDEX(Table!I:O,MATCH(K2503,Table!I:I,0),4),"")</f>
        <v/>
      </c>
      <c r="O2503" s="32" t="str">
        <f>IFERROR(INDEX(Table!I:O,MATCH(K2503,Table!I:I,0),5),"")</f>
        <v/>
      </c>
      <c r="P2503" s="32" t="str">
        <f>IFERROR(INDEX(Table!I:O,MATCH(K2503,Table!I:I,0),6),"")</f>
        <v/>
      </c>
      <c r="Q2503" s="89" t="str">
        <f t="shared" si="112"/>
        <v/>
      </c>
      <c r="R2503" s="89" t="str">
        <f t="shared" si="113"/>
        <v/>
      </c>
      <c r="S2503" s="82"/>
      <c r="U2503" s="37"/>
    </row>
    <row r="2504" spans="1:21" x14ac:dyDescent="0.25">
      <c r="A2504" s="31" t="str">
        <f>IF(Table!A2504 = "","",Table!A2504)</f>
        <v/>
      </c>
      <c r="B2504" s="31" t="str">
        <f>IF(Table!B2504 = "","",Table!B2504)</f>
        <v/>
      </c>
      <c r="C2504" s="31" t="str">
        <f>IF(Table!C2504 = "","",Table!C2504)</f>
        <v/>
      </c>
      <c r="D2504" s="32" t="str">
        <f>IF(Table!D2504 = "","",Table!D2504)</f>
        <v/>
      </c>
      <c r="E2504" s="32" t="str">
        <f>IF(Table!E2504 = "","",Table!E2504)</f>
        <v/>
      </c>
      <c r="F2504" s="32" t="str">
        <f>IF(Table!F2504 = "","",Table!F2504)</f>
        <v/>
      </c>
      <c r="G2504" s="91"/>
      <c r="K2504" s="31" t="str">
        <f>IFERROR(VLOOKUP(A2504,Table!$I$4:$O$3000,1,TRUE),"")</f>
        <v/>
      </c>
      <c r="L2504" s="31" t="str">
        <f>IFERROR(INDEX(Table!I:O,MATCH(K2504,Table!I:I,0),2),"")</f>
        <v/>
      </c>
      <c r="M2504" s="31" t="str">
        <f>IFERROR(INDEX(Table!I:O,MATCH(K2504,Table!I:I,0),3),"")</f>
        <v/>
      </c>
      <c r="N2504" s="32" t="str">
        <f>IFERROR(INDEX(Table!I:O,MATCH(K2504,Table!I:I,0),4),"")</f>
        <v/>
      </c>
      <c r="O2504" s="32" t="str">
        <f>IFERROR(INDEX(Table!I:O,MATCH(K2504,Table!I:I,0),5),"")</f>
        <v/>
      </c>
      <c r="P2504" s="32" t="str">
        <f>IFERROR(INDEX(Table!I:O,MATCH(K2504,Table!I:I,0),6),"")</f>
        <v/>
      </c>
      <c r="Q2504" s="89" t="str">
        <f t="shared" si="112"/>
        <v/>
      </c>
      <c r="R2504" s="89" t="str">
        <f t="shared" si="113"/>
        <v/>
      </c>
      <c r="S2504" s="82"/>
      <c r="U2504" s="37"/>
    </row>
    <row r="2505" spans="1:21" x14ac:dyDescent="0.25">
      <c r="A2505" s="31" t="str">
        <f>IF(Table!A2505 = "","",Table!A2505)</f>
        <v/>
      </c>
      <c r="B2505" s="31" t="str">
        <f>IF(Table!B2505 = "","",Table!B2505)</f>
        <v/>
      </c>
      <c r="C2505" s="31" t="str">
        <f>IF(Table!C2505 = "","",Table!C2505)</f>
        <v/>
      </c>
      <c r="D2505" s="32" t="str">
        <f>IF(Table!D2505 = "","",Table!D2505)</f>
        <v/>
      </c>
      <c r="E2505" s="32" t="str">
        <f>IF(Table!E2505 = "","",Table!E2505)</f>
        <v/>
      </c>
      <c r="F2505" s="32" t="str">
        <f>IF(Table!F2505 = "","",Table!F2505)</f>
        <v/>
      </c>
      <c r="G2505" s="91"/>
      <c r="K2505" s="31" t="str">
        <f>IFERROR(VLOOKUP(A2505,Table!$I$4:$O$3000,1,TRUE),"")</f>
        <v/>
      </c>
      <c r="L2505" s="31" t="str">
        <f>IFERROR(INDEX(Table!I:O,MATCH(K2505,Table!I:I,0),2),"")</f>
        <v/>
      </c>
      <c r="M2505" s="31" t="str">
        <f>IFERROR(INDEX(Table!I:O,MATCH(K2505,Table!I:I,0),3),"")</f>
        <v/>
      </c>
      <c r="N2505" s="32" t="str">
        <f>IFERROR(INDEX(Table!I:O,MATCH(K2505,Table!I:I,0),4),"")</f>
        <v/>
      </c>
      <c r="O2505" s="32" t="str">
        <f>IFERROR(INDEX(Table!I:O,MATCH(K2505,Table!I:I,0),5),"")</f>
        <v/>
      </c>
      <c r="P2505" s="32" t="str">
        <f>IFERROR(INDEX(Table!I:O,MATCH(K2505,Table!I:I,0),6),"")</f>
        <v/>
      </c>
      <c r="Q2505" s="89" t="str">
        <f t="shared" si="112"/>
        <v/>
      </c>
      <c r="R2505" s="89" t="str">
        <f t="shared" si="113"/>
        <v/>
      </c>
      <c r="S2505" s="82"/>
      <c r="U2505" s="37"/>
    </row>
    <row r="2506" spans="1:21" x14ac:dyDescent="0.25">
      <c r="A2506" s="31" t="str">
        <f>IF(Table!A2506 = "","",Table!A2506)</f>
        <v/>
      </c>
      <c r="B2506" s="31" t="str">
        <f>IF(Table!B2506 = "","",Table!B2506)</f>
        <v/>
      </c>
      <c r="C2506" s="31" t="str">
        <f>IF(Table!C2506 = "","",Table!C2506)</f>
        <v/>
      </c>
      <c r="D2506" s="32" t="str">
        <f>IF(Table!D2506 = "","",Table!D2506)</f>
        <v/>
      </c>
      <c r="E2506" s="32" t="str">
        <f>IF(Table!E2506 = "","",Table!E2506)</f>
        <v/>
      </c>
      <c r="F2506" s="32" t="str">
        <f>IF(Table!F2506 = "","",Table!F2506)</f>
        <v/>
      </c>
      <c r="G2506" s="91"/>
      <c r="K2506" s="31" t="str">
        <f>IFERROR(VLOOKUP(A2506,Table!$I$4:$O$3000,1,TRUE),"")</f>
        <v/>
      </c>
      <c r="L2506" s="31" t="str">
        <f>IFERROR(INDEX(Table!I:O,MATCH(K2506,Table!I:I,0),2),"")</f>
        <v/>
      </c>
      <c r="M2506" s="31" t="str">
        <f>IFERROR(INDEX(Table!I:O,MATCH(K2506,Table!I:I,0),3),"")</f>
        <v/>
      </c>
      <c r="N2506" s="32" t="str">
        <f>IFERROR(INDEX(Table!I:O,MATCH(K2506,Table!I:I,0),4),"")</f>
        <v/>
      </c>
      <c r="O2506" s="32" t="str">
        <f>IFERROR(INDEX(Table!I:O,MATCH(K2506,Table!I:I,0),5),"")</f>
        <v/>
      </c>
      <c r="P2506" s="32" t="str">
        <f>IFERROR(INDEX(Table!I:O,MATCH(K2506,Table!I:I,0),6),"")</f>
        <v/>
      </c>
      <c r="Q2506" s="89" t="str">
        <f t="shared" si="112"/>
        <v/>
      </c>
      <c r="R2506" s="89" t="str">
        <f t="shared" si="113"/>
        <v/>
      </c>
      <c r="S2506" s="82"/>
      <c r="U2506" s="37"/>
    </row>
    <row r="2507" spans="1:21" x14ac:dyDescent="0.25">
      <c r="A2507" s="31" t="str">
        <f>IF(Table!A2507 = "","",Table!A2507)</f>
        <v/>
      </c>
      <c r="B2507" s="31" t="str">
        <f>IF(Table!B2507 = "","",Table!B2507)</f>
        <v/>
      </c>
      <c r="C2507" s="31" t="str">
        <f>IF(Table!C2507 = "","",Table!C2507)</f>
        <v/>
      </c>
      <c r="D2507" s="32" t="str">
        <f>IF(Table!D2507 = "","",Table!D2507)</f>
        <v/>
      </c>
      <c r="E2507" s="32" t="str">
        <f>IF(Table!E2507 = "","",Table!E2507)</f>
        <v/>
      </c>
      <c r="F2507" s="32" t="str">
        <f>IF(Table!F2507 = "","",Table!F2507)</f>
        <v/>
      </c>
      <c r="G2507" s="91"/>
      <c r="K2507" s="31" t="str">
        <f>IFERROR(VLOOKUP(A2507,Table!$I$4:$O$3000,1,TRUE),"")</f>
        <v/>
      </c>
      <c r="L2507" s="31" t="str">
        <f>IFERROR(INDEX(Table!I:O,MATCH(K2507,Table!I:I,0),2),"")</f>
        <v/>
      </c>
      <c r="M2507" s="31" t="str">
        <f>IFERROR(INDEX(Table!I:O,MATCH(K2507,Table!I:I,0),3),"")</f>
        <v/>
      </c>
      <c r="N2507" s="32" t="str">
        <f>IFERROR(INDEX(Table!I:O,MATCH(K2507,Table!I:I,0),4),"")</f>
        <v/>
      </c>
      <c r="O2507" s="32" t="str">
        <f>IFERROR(INDEX(Table!I:O,MATCH(K2507,Table!I:I,0),5),"")</f>
        <v/>
      </c>
      <c r="P2507" s="32" t="str">
        <f>IFERROR(INDEX(Table!I:O,MATCH(K2507,Table!I:I,0),6),"")</f>
        <v/>
      </c>
      <c r="Q2507" s="89" t="str">
        <f t="shared" si="112"/>
        <v/>
      </c>
      <c r="R2507" s="89" t="str">
        <f t="shared" si="113"/>
        <v/>
      </c>
      <c r="S2507" s="82"/>
      <c r="U2507" s="37"/>
    </row>
    <row r="2508" spans="1:21" x14ac:dyDescent="0.25">
      <c r="A2508" s="31" t="str">
        <f>IF(Table!A2508 = "","",Table!A2508)</f>
        <v/>
      </c>
      <c r="B2508" s="31" t="str">
        <f>IF(Table!B2508 = "","",Table!B2508)</f>
        <v/>
      </c>
      <c r="C2508" s="31" t="str">
        <f>IF(Table!C2508 = "","",Table!C2508)</f>
        <v/>
      </c>
      <c r="D2508" s="32" t="str">
        <f>IF(Table!D2508 = "","",Table!D2508)</f>
        <v/>
      </c>
      <c r="E2508" s="32" t="str">
        <f>IF(Table!E2508 = "","",Table!E2508)</f>
        <v/>
      </c>
      <c r="F2508" s="32" t="str">
        <f>IF(Table!F2508 = "","",Table!F2508)</f>
        <v/>
      </c>
      <c r="G2508" s="91"/>
      <c r="K2508" s="31" t="str">
        <f>IFERROR(VLOOKUP(A2508,Table!$I$4:$O$3000,1,TRUE),"")</f>
        <v/>
      </c>
      <c r="L2508" s="31" t="str">
        <f>IFERROR(INDEX(Table!I:O,MATCH(K2508,Table!I:I,0),2),"")</f>
        <v/>
      </c>
      <c r="M2508" s="31" t="str">
        <f>IFERROR(INDEX(Table!I:O,MATCH(K2508,Table!I:I,0),3),"")</f>
        <v/>
      </c>
      <c r="N2508" s="32" t="str">
        <f>IFERROR(INDEX(Table!I:O,MATCH(K2508,Table!I:I,0),4),"")</f>
        <v/>
      </c>
      <c r="O2508" s="32" t="str">
        <f>IFERROR(INDEX(Table!I:O,MATCH(K2508,Table!I:I,0),5),"")</f>
        <v/>
      </c>
      <c r="P2508" s="32" t="str">
        <f>IFERROR(INDEX(Table!I:O,MATCH(K2508,Table!I:I,0),6),"")</f>
        <v/>
      </c>
      <c r="Q2508" s="89" t="str">
        <f t="shared" si="112"/>
        <v/>
      </c>
      <c r="R2508" s="89" t="str">
        <f t="shared" si="113"/>
        <v/>
      </c>
      <c r="S2508" s="82"/>
      <c r="U2508" s="37"/>
    </row>
    <row r="2509" spans="1:21" x14ac:dyDescent="0.25">
      <c r="A2509" s="31" t="str">
        <f>IF(Table!A2509 = "","",Table!A2509)</f>
        <v/>
      </c>
      <c r="B2509" s="31" t="str">
        <f>IF(Table!B2509 = "","",Table!B2509)</f>
        <v/>
      </c>
      <c r="C2509" s="31" t="str">
        <f>IF(Table!C2509 = "","",Table!C2509)</f>
        <v/>
      </c>
      <c r="D2509" s="32" t="str">
        <f>IF(Table!D2509 = "","",Table!D2509)</f>
        <v/>
      </c>
      <c r="E2509" s="32" t="str">
        <f>IF(Table!E2509 = "","",Table!E2509)</f>
        <v/>
      </c>
      <c r="F2509" s="32" t="str">
        <f>IF(Table!F2509 = "","",Table!F2509)</f>
        <v/>
      </c>
      <c r="G2509" s="91"/>
      <c r="K2509" s="31" t="str">
        <f>IFERROR(VLOOKUP(A2509,Table!$I$4:$O$3000,1,TRUE),"")</f>
        <v/>
      </c>
      <c r="L2509" s="31" t="str">
        <f>IFERROR(INDEX(Table!I:O,MATCH(K2509,Table!I:I,0),2),"")</f>
        <v/>
      </c>
      <c r="M2509" s="31" t="str">
        <f>IFERROR(INDEX(Table!I:O,MATCH(K2509,Table!I:I,0),3),"")</f>
        <v/>
      </c>
      <c r="N2509" s="32" t="str">
        <f>IFERROR(INDEX(Table!I:O,MATCH(K2509,Table!I:I,0),4),"")</f>
        <v/>
      </c>
      <c r="O2509" s="32" t="str">
        <f>IFERROR(INDEX(Table!I:O,MATCH(K2509,Table!I:I,0),5),"")</f>
        <v/>
      </c>
      <c r="P2509" s="32" t="str">
        <f>IFERROR(INDEX(Table!I:O,MATCH(K2509,Table!I:I,0),6),"")</f>
        <v/>
      </c>
      <c r="Q2509" s="89" t="str">
        <f t="shared" si="112"/>
        <v/>
      </c>
      <c r="R2509" s="89" t="str">
        <f t="shared" si="113"/>
        <v/>
      </c>
      <c r="S2509" s="82"/>
      <c r="U2509" s="37"/>
    </row>
    <row r="2510" spans="1:21" x14ac:dyDescent="0.25">
      <c r="A2510" s="31" t="str">
        <f>IF(Table!A2510 = "","",Table!A2510)</f>
        <v/>
      </c>
      <c r="B2510" s="31" t="str">
        <f>IF(Table!B2510 = "","",Table!B2510)</f>
        <v/>
      </c>
      <c r="C2510" s="31" t="str">
        <f>IF(Table!C2510 = "","",Table!C2510)</f>
        <v/>
      </c>
      <c r="D2510" s="32" t="str">
        <f>IF(Table!D2510 = "","",Table!D2510)</f>
        <v/>
      </c>
      <c r="E2510" s="32" t="str">
        <f>IF(Table!E2510 = "","",Table!E2510)</f>
        <v/>
      </c>
      <c r="F2510" s="32" t="str">
        <f>IF(Table!F2510 = "","",Table!F2510)</f>
        <v/>
      </c>
      <c r="G2510" s="91"/>
      <c r="K2510" s="31" t="str">
        <f>IFERROR(VLOOKUP(A2510,Table!$I$4:$O$3000,1,TRUE),"")</f>
        <v/>
      </c>
      <c r="L2510" s="31" t="str">
        <f>IFERROR(INDEX(Table!I:O,MATCH(K2510,Table!I:I,0),2),"")</f>
        <v/>
      </c>
      <c r="M2510" s="31" t="str">
        <f>IFERROR(INDEX(Table!I:O,MATCH(K2510,Table!I:I,0),3),"")</f>
        <v/>
      </c>
      <c r="N2510" s="32" t="str">
        <f>IFERROR(INDEX(Table!I:O,MATCH(K2510,Table!I:I,0),4),"")</f>
        <v/>
      </c>
      <c r="O2510" s="32" t="str">
        <f>IFERROR(INDEX(Table!I:O,MATCH(K2510,Table!I:I,0),5),"")</f>
        <v/>
      </c>
      <c r="P2510" s="32" t="str">
        <f>IFERROR(INDEX(Table!I:O,MATCH(K2510,Table!I:I,0),6),"")</f>
        <v/>
      </c>
      <c r="Q2510" s="89" t="str">
        <f t="shared" si="112"/>
        <v/>
      </c>
      <c r="R2510" s="89" t="str">
        <f t="shared" si="113"/>
        <v/>
      </c>
      <c r="S2510" s="82"/>
      <c r="U2510" s="37"/>
    </row>
    <row r="2511" spans="1:21" x14ac:dyDescent="0.25">
      <c r="A2511" s="31" t="str">
        <f>IF(Table!A2511 = "","",Table!A2511)</f>
        <v/>
      </c>
      <c r="B2511" s="31" t="str">
        <f>IF(Table!B2511 = "","",Table!B2511)</f>
        <v/>
      </c>
      <c r="C2511" s="31" t="str">
        <f>IF(Table!C2511 = "","",Table!C2511)</f>
        <v/>
      </c>
      <c r="D2511" s="32" t="str">
        <f>IF(Table!D2511 = "","",Table!D2511)</f>
        <v/>
      </c>
      <c r="E2511" s="32" t="str">
        <f>IF(Table!E2511 = "","",Table!E2511)</f>
        <v/>
      </c>
      <c r="F2511" s="32" t="str">
        <f>IF(Table!F2511 = "","",Table!F2511)</f>
        <v/>
      </c>
      <c r="G2511" s="91"/>
      <c r="K2511" s="31" t="str">
        <f>IFERROR(VLOOKUP(A2511,Table!$I$4:$O$3000,1,TRUE),"")</f>
        <v/>
      </c>
      <c r="L2511" s="31" t="str">
        <f>IFERROR(INDEX(Table!I:O,MATCH(K2511,Table!I:I,0),2),"")</f>
        <v/>
      </c>
      <c r="M2511" s="31" t="str">
        <f>IFERROR(INDEX(Table!I:O,MATCH(K2511,Table!I:I,0),3),"")</f>
        <v/>
      </c>
      <c r="N2511" s="32" t="str">
        <f>IFERROR(INDEX(Table!I:O,MATCH(K2511,Table!I:I,0),4),"")</f>
        <v/>
      </c>
      <c r="O2511" s="32" t="str">
        <f>IFERROR(INDEX(Table!I:O,MATCH(K2511,Table!I:I,0),5),"")</f>
        <v/>
      </c>
      <c r="P2511" s="32" t="str">
        <f>IFERROR(INDEX(Table!I:O,MATCH(K2511,Table!I:I,0),6),"")</f>
        <v/>
      </c>
      <c r="Q2511" s="89" t="str">
        <f t="shared" si="112"/>
        <v/>
      </c>
      <c r="R2511" s="89" t="str">
        <f t="shared" si="113"/>
        <v/>
      </c>
      <c r="S2511" s="82"/>
      <c r="U2511" s="37"/>
    </row>
    <row r="2512" spans="1:21" x14ac:dyDescent="0.25">
      <c r="A2512" s="31" t="str">
        <f>IF(Table!A2512 = "","",Table!A2512)</f>
        <v/>
      </c>
      <c r="B2512" s="31" t="str">
        <f>IF(Table!B2512 = "","",Table!B2512)</f>
        <v/>
      </c>
      <c r="C2512" s="31" t="str">
        <f>IF(Table!C2512 = "","",Table!C2512)</f>
        <v/>
      </c>
      <c r="D2512" s="32" t="str">
        <f>IF(Table!D2512 = "","",Table!D2512)</f>
        <v/>
      </c>
      <c r="E2512" s="32" t="str">
        <f>IF(Table!E2512 = "","",Table!E2512)</f>
        <v/>
      </c>
      <c r="F2512" s="32" t="str">
        <f>IF(Table!F2512 = "","",Table!F2512)</f>
        <v/>
      </c>
      <c r="G2512" s="91"/>
      <c r="K2512" s="31" t="str">
        <f>IFERROR(VLOOKUP(A2512,Table!$I$4:$O$3000,1,TRUE),"")</f>
        <v/>
      </c>
      <c r="L2512" s="31" t="str">
        <f>IFERROR(INDEX(Table!I:O,MATCH(K2512,Table!I:I,0),2),"")</f>
        <v/>
      </c>
      <c r="M2512" s="31" t="str">
        <f>IFERROR(INDEX(Table!I:O,MATCH(K2512,Table!I:I,0),3),"")</f>
        <v/>
      </c>
      <c r="N2512" s="32" t="str">
        <f>IFERROR(INDEX(Table!I:O,MATCH(K2512,Table!I:I,0),4),"")</f>
        <v/>
      </c>
      <c r="O2512" s="32" t="str">
        <f>IFERROR(INDEX(Table!I:O,MATCH(K2512,Table!I:I,0),5),"")</f>
        <v/>
      </c>
      <c r="P2512" s="32" t="str">
        <f>IFERROR(INDEX(Table!I:O,MATCH(K2512,Table!I:I,0),6),"")</f>
        <v/>
      </c>
      <c r="Q2512" s="89" t="str">
        <f t="shared" si="112"/>
        <v/>
      </c>
      <c r="R2512" s="89" t="str">
        <f t="shared" si="113"/>
        <v/>
      </c>
      <c r="S2512" s="82"/>
      <c r="U2512" s="37"/>
    </row>
    <row r="2513" spans="1:21" x14ac:dyDescent="0.25">
      <c r="A2513" s="31" t="str">
        <f>IF(Table!A2513 = "","",Table!A2513)</f>
        <v/>
      </c>
      <c r="B2513" s="31" t="str">
        <f>IF(Table!B2513 = "","",Table!B2513)</f>
        <v/>
      </c>
      <c r="C2513" s="31" t="str">
        <f>IF(Table!C2513 = "","",Table!C2513)</f>
        <v/>
      </c>
      <c r="D2513" s="32" t="str">
        <f>IF(Table!D2513 = "","",Table!D2513)</f>
        <v/>
      </c>
      <c r="E2513" s="32" t="str">
        <f>IF(Table!E2513 = "","",Table!E2513)</f>
        <v/>
      </c>
      <c r="F2513" s="32" t="str">
        <f>IF(Table!F2513 = "","",Table!F2513)</f>
        <v/>
      </c>
      <c r="G2513" s="91"/>
      <c r="K2513" s="31" t="str">
        <f>IFERROR(VLOOKUP(A2513,Table!$I$4:$O$3000,1,TRUE),"")</f>
        <v/>
      </c>
      <c r="L2513" s="31" t="str">
        <f>IFERROR(INDEX(Table!I:O,MATCH(K2513,Table!I:I,0),2),"")</f>
        <v/>
      </c>
      <c r="M2513" s="31" t="str">
        <f>IFERROR(INDEX(Table!I:O,MATCH(K2513,Table!I:I,0),3),"")</f>
        <v/>
      </c>
      <c r="N2513" s="32" t="str">
        <f>IFERROR(INDEX(Table!I:O,MATCH(K2513,Table!I:I,0),4),"")</f>
        <v/>
      </c>
      <c r="O2513" s="32" t="str">
        <f>IFERROR(INDEX(Table!I:O,MATCH(K2513,Table!I:I,0),5),"")</f>
        <v/>
      </c>
      <c r="P2513" s="32" t="str">
        <f>IFERROR(INDEX(Table!I:O,MATCH(K2513,Table!I:I,0),6),"")</f>
        <v/>
      </c>
      <c r="Q2513" s="89" t="str">
        <f t="shared" si="112"/>
        <v/>
      </c>
      <c r="R2513" s="89" t="str">
        <f t="shared" si="113"/>
        <v/>
      </c>
      <c r="S2513" s="82"/>
      <c r="U2513" s="37"/>
    </row>
    <row r="2514" spans="1:21" x14ac:dyDescent="0.25">
      <c r="A2514" s="31" t="str">
        <f>IF(Table!A2514 = "","",Table!A2514)</f>
        <v/>
      </c>
      <c r="B2514" s="31" t="str">
        <f>IF(Table!B2514 = "","",Table!B2514)</f>
        <v/>
      </c>
      <c r="C2514" s="31" t="str">
        <f>IF(Table!C2514 = "","",Table!C2514)</f>
        <v/>
      </c>
      <c r="D2514" s="32" t="str">
        <f>IF(Table!D2514 = "","",Table!D2514)</f>
        <v/>
      </c>
      <c r="E2514" s="32" t="str">
        <f>IF(Table!E2514 = "","",Table!E2514)</f>
        <v/>
      </c>
      <c r="F2514" s="32" t="str">
        <f>IF(Table!F2514 = "","",Table!F2514)</f>
        <v/>
      </c>
      <c r="G2514" s="91"/>
      <c r="K2514" s="31" t="str">
        <f>IFERROR(VLOOKUP(A2514,Table!$I$4:$O$3000,1,TRUE),"")</f>
        <v/>
      </c>
      <c r="L2514" s="31" t="str">
        <f>IFERROR(INDEX(Table!I:O,MATCH(K2514,Table!I:I,0),2),"")</f>
        <v/>
      </c>
      <c r="M2514" s="31" t="str">
        <f>IFERROR(INDEX(Table!I:O,MATCH(K2514,Table!I:I,0),3),"")</f>
        <v/>
      </c>
      <c r="N2514" s="32" t="str">
        <f>IFERROR(INDEX(Table!I:O,MATCH(K2514,Table!I:I,0),4),"")</f>
        <v/>
      </c>
      <c r="O2514" s="32" t="str">
        <f>IFERROR(INDEX(Table!I:O,MATCH(K2514,Table!I:I,0),5),"")</f>
        <v/>
      </c>
      <c r="P2514" s="32" t="str">
        <f>IFERROR(INDEX(Table!I:O,MATCH(K2514,Table!I:I,0),6),"")</f>
        <v/>
      </c>
      <c r="Q2514" s="89" t="str">
        <f t="shared" si="112"/>
        <v/>
      </c>
      <c r="R2514" s="89" t="str">
        <f t="shared" si="113"/>
        <v/>
      </c>
      <c r="S2514" s="82"/>
      <c r="U2514" s="37"/>
    </row>
    <row r="2515" spans="1:21" x14ac:dyDescent="0.25">
      <c r="A2515" s="31" t="str">
        <f>IF(Table!A2515 = "","",Table!A2515)</f>
        <v/>
      </c>
      <c r="B2515" s="31" t="str">
        <f>IF(Table!B2515 = "","",Table!B2515)</f>
        <v/>
      </c>
      <c r="C2515" s="31" t="str">
        <f>IF(Table!C2515 = "","",Table!C2515)</f>
        <v/>
      </c>
      <c r="D2515" s="32" t="str">
        <f>IF(Table!D2515 = "","",Table!D2515)</f>
        <v/>
      </c>
      <c r="E2515" s="32" t="str">
        <f>IF(Table!E2515 = "","",Table!E2515)</f>
        <v/>
      </c>
      <c r="F2515" s="32" t="str">
        <f>IF(Table!F2515 = "","",Table!F2515)</f>
        <v/>
      </c>
      <c r="G2515" s="91"/>
      <c r="K2515" s="31" t="str">
        <f>IFERROR(VLOOKUP(A2515,Table!$I$4:$O$3000,1,TRUE),"")</f>
        <v/>
      </c>
      <c r="L2515" s="31" t="str">
        <f>IFERROR(INDEX(Table!I:O,MATCH(K2515,Table!I:I,0),2),"")</f>
        <v/>
      </c>
      <c r="M2515" s="31" t="str">
        <f>IFERROR(INDEX(Table!I:O,MATCH(K2515,Table!I:I,0),3),"")</f>
        <v/>
      </c>
      <c r="N2515" s="32" t="str">
        <f>IFERROR(INDEX(Table!I:O,MATCH(K2515,Table!I:I,0),4),"")</f>
        <v/>
      </c>
      <c r="O2515" s="32" t="str">
        <f>IFERROR(INDEX(Table!I:O,MATCH(K2515,Table!I:I,0),5),"")</f>
        <v/>
      </c>
      <c r="P2515" s="32" t="str">
        <f>IFERROR(INDEX(Table!I:O,MATCH(K2515,Table!I:I,0),6),"")</f>
        <v/>
      </c>
      <c r="Q2515" s="89" t="str">
        <f t="shared" si="112"/>
        <v/>
      </c>
      <c r="R2515" s="89" t="str">
        <f t="shared" si="113"/>
        <v/>
      </c>
      <c r="S2515" s="82"/>
      <c r="U2515" s="37"/>
    </row>
    <row r="2516" spans="1:21" x14ac:dyDescent="0.25">
      <c r="A2516" s="31" t="str">
        <f>IF(Table!A2516 = "","",Table!A2516)</f>
        <v/>
      </c>
      <c r="B2516" s="31" t="str">
        <f>IF(Table!B2516 = "","",Table!B2516)</f>
        <v/>
      </c>
      <c r="C2516" s="31" t="str">
        <f>IF(Table!C2516 = "","",Table!C2516)</f>
        <v/>
      </c>
      <c r="D2516" s="32" t="str">
        <f>IF(Table!D2516 = "","",Table!D2516)</f>
        <v/>
      </c>
      <c r="E2516" s="32" t="str">
        <f>IF(Table!E2516 = "","",Table!E2516)</f>
        <v/>
      </c>
      <c r="F2516" s="32" t="str">
        <f>IF(Table!F2516 = "","",Table!F2516)</f>
        <v/>
      </c>
      <c r="G2516" s="91"/>
      <c r="K2516" s="31" t="str">
        <f>IFERROR(VLOOKUP(A2516,Table!$I$4:$O$3000,1,TRUE),"")</f>
        <v/>
      </c>
      <c r="L2516" s="31" t="str">
        <f>IFERROR(INDEX(Table!I:O,MATCH(K2516,Table!I:I,0),2),"")</f>
        <v/>
      </c>
      <c r="M2516" s="31" t="str">
        <f>IFERROR(INDEX(Table!I:O,MATCH(K2516,Table!I:I,0),3),"")</f>
        <v/>
      </c>
      <c r="N2516" s="32" t="str">
        <f>IFERROR(INDEX(Table!I:O,MATCH(K2516,Table!I:I,0),4),"")</f>
        <v/>
      </c>
      <c r="O2516" s="32" t="str">
        <f>IFERROR(INDEX(Table!I:O,MATCH(K2516,Table!I:I,0),5),"")</f>
        <v/>
      </c>
      <c r="P2516" s="32" t="str">
        <f>IFERROR(INDEX(Table!I:O,MATCH(K2516,Table!I:I,0),6),"")</f>
        <v/>
      </c>
      <c r="Q2516" s="89" t="str">
        <f t="shared" si="112"/>
        <v/>
      </c>
      <c r="R2516" s="89" t="str">
        <f t="shared" si="113"/>
        <v/>
      </c>
      <c r="S2516" s="82"/>
      <c r="U2516" s="37"/>
    </row>
    <row r="2517" spans="1:21" x14ac:dyDescent="0.25">
      <c r="A2517" s="31" t="str">
        <f>IF(Table!A2517 = "","",Table!A2517)</f>
        <v/>
      </c>
      <c r="B2517" s="31" t="str">
        <f>IF(Table!B2517 = "","",Table!B2517)</f>
        <v/>
      </c>
      <c r="C2517" s="31" t="str">
        <f>IF(Table!C2517 = "","",Table!C2517)</f>
        <v/>
      </c>
      <c r="D2517" s="32" t="str">
        <f>IF(Table!D2517 = "","",Table!D2517)</f>
        <v/>
      </c>
      <c r="E2517" s="32" t="str">
        <f>IF(Table!E2517 = "","",Table!E2517)</f>
        <v/>
      </c>
      <c r="F2517" s="32" t="str">
        <f>IF(Table!F2517 = "","",Table!F2517)</f>
        <v/>
      </c>
      <c r="G2517" s="91"/>
      <c r="K2517" s="31" t="str">
        <f>IFERROR(VLOOKUP(A2517,Table!$I$4:$O$3000,1,TRUE),"")</f>
        <v/>
      </c>
      <c r="L2517" s="31" t="str">
        <f>IFERROR(INDEX(Table!I:O,MATCH(K2517,Table!I:I,0),2),"")</f>
        <v/>
      </c>
      <c r="M2517" s="31" t="str">
        <f>IFERROR(INDEX(Table!I:O,MATCH(K2517,Table!I:I,0),3),"")</f>
        <v/>
      </c>
      <c r="N2517" s="32" t="str">
        <f>IFERROR(INDEX(Table!I:O,MATCH(K2517,Table!I:I,0),4),"")</f>
        <v/>
      </c>
      <c r="O2517" s="32" t="str">
        <f>IFERROR(INDEX(Table!I:O,MATCH(K2517,Table!I:I,0),5),"")</f>
        <v/>
      </c>
      <c r="P2517" s="32" t="str">
        <f>IFERROR(INDEX(Table!I:O,MATCH(K2517,Table!I:I,0),6),"")</f>
        <v/>
      </c>
      <c r="Q2517" s="89" t="str">
        <f t="shared" si="112"/>
        <v/>
      </c>
      <c r="R2517" s="89" t="str">
        <f t="shared" si="113"/>
        <v/>
      </c>
      <c r="S2517" s="82"/>
      <c r="U2517" s="37"/>
    </row>
    <row r="2518" spans="1:21" x14ac:dyDescent="0.25">
      <c r="A2518" s="31" t="str">
        <f>IF(Table!A2518 = "","",Table!A2518)</f>
        <v/>
      </c>
      <c r="B2518" s="31" t="str">
        <f>IF(Table!B2518 = "","",Table!B2518)</f>
        <v/>
      </c>
      <c r="C2518" s="31" t="str">
        <f>IF(Table!C2518 = "","",Table!C2518)</f>
        <v/>
      </c>
      <c r="D2518" s="32" t="str">
        <f>IF(Table!D2518 = "","",Table!D2518)</f>
        <v/>
      </c>
      <c r="E2518" s="32" t="str">
        <f>IF(Table!E2518 = "","",Table!E2518)</f>
        <v/>
      </c>
      <c r="F2518" s="32" t="str">
        <f>IF(Table!F2518 = "","",Table!F2518)</f>
        <v/>
      </c>
      <c r="G2518" s="91"/>
      <c r="K2518" s="31" t="str">
        <f>IFERROR(VLOOKUP(A2518,Table!$I$4:$O$3000,1,TRUE),"")</f>
        <v/>
      </c>
      <c r="L2518" s="31" t="str">
        <f>IFERROR(INDEX(Table!I:O,MATCH(K2518,Table!I:I,0),2),"")</f>
        <v/>
      </c>
      <c r="M2518" s="31" t="str">
        <f>IFERROR(INDEX(Table!I:O,MATCH(K2518,Table!I:I,0),3),"")</f>
        <v/>
      </c>
      <c r="N2518" s="32" t="str">
        <f>IFERROR(INDEX(Table!I:O,MATCH(K2518,Table!I:I,0),4),"")</f>
        <v/>
      </c>
      <c r="O2518" s="32" t="str">
        <f>IFERROR(INDEX(Table!I:O,MATCH(K2518,Table!I:I,0),5),"")</f>
        <v/>
      </c>
      <c r="P2518" s="32" t="str">
        <f>IFERROR(INDEX(Table!I:O,MATCH(K2518,Table!I:I,0),6),"")</f>
        <v/>
      </c>
      <c r="Q2518" s="89" t="str">
        <f t="shared" si="112"/>
        <v/>
      </c>
      <c r="R2518" s="89" t="str">
        <f t="shared" si="113"/>
        <v/>
      </c>
      <c r="S2518" s="82"/>
      <c r="U2518" s="37"/>
    </row>
    <row r="2519" spans="1:21" x14ac:dyDescent="0.25">
      <c r="A2519" s="31" t="str">
        <f>IF(Table!A2519 = "","",Table!A2519)</f>
        <v/>
      </c>
      <c r="B2519" s="31" t="str">
        <f>IF(Table!B2519 = "","",Table!B2519)</f>
        <v/>
      </c>
      <c r="C2519" s="31" t="str">
        <f>IF(Table!C2519 = "","",Table!C2519)</f>
        <v/>
      </c>
      <c r="D2519" s="32" t="str">
        <f>IF(Table!D2519 = "","",Table!D2519)</f>
        <v/>
      </c>
      <c r="E2519" s="32" t="str">
        <f>IF(Table!E2519 = "","",Table!E2519)</f>
        <v/>
      </c>
      <c r="F2519" s="32" t="str">
        <f>IF(Table!F2519 = "","",Table!F2519)</f>
        <v/>
      </c>
      <c r="G2519" s="91"/>
      <c r="K2519" s="31" t="str">
        <f>IFERROR(VLOOKUP(A2519,Table!$I$4:$O$3000,1,TRUE),"")</f>
        <v/>
      </c>
      <c r="L2519" s="31" t="str">
        <f>IFERROR(INDEX(Table!I:O,MATCH(K2519,Table!I:I,0),2),"")</f>
        <v/>
      </c>
      <c r="M2519" s="31" t="str">
        <f>IFERROR(INDEX(Table!I:O,MATCH(K2519,Table!I:I,0),3),"")</f>
        <v/>
      </c>
      <c r="N2519" s="32" t="str">
        <f>IFERROR(INDEX(Table!I:O,MATCH(K2519,Table!I:I,0),4),"")</f>
        <v/>
      </c>
      <c r="O2519" s="32" t="str">
        <f>IFERROR(INDEX(Table!I:O,MATCH(K2519,Table!I:I,0),5),"")</f>
        <v/>
      </c>
      <c r="P2519" s="32" t="str">
        <f>IFERROR(INDEX(Table!I:O,MATCH(K2519,Table!I:I,0),6),"")</f>
        <v/>
      </c>
      <c r="Q2519" s="89" t="str">
        <f t="shared" si="112"/>
        <v/>
      </c>
      <c r="R2519" s="89" t="str">
        <f t="shared" si="113"/>
        <v/>
      </c>
      <c r="S2519" s="82"/>
      <c r="U2519" s="37"/>
    </row>
    <row r="2520" spans="1:21" x14ac:dyDescent="0.25">
      <c r="A2520" s="31" t="str">
        <f>IF(Table!A2520 = "","",Table!A2520)</f>
        <v/>
      </c>
      <c r="B2520" s="31" t="str">
        <f>IF(Table!B2520 = "","",Table!B2520)</f>
        <v/>
      </c>
      <c r="C2520" s="31" t="str">
        <f>IF(Table!C2520 = "","",Table!C2520)</f>
        <v/>
      </c>
      <c r="D2520" s="32" t="str">
        <f>IF(Table!D2520 = "","",Table!D2520)</f>
        <v/>
      </c>
      <c r="E2520" s="32" t="str">
        <f>IF(Table!E2520 = "","",Table!E2520)</f>
        <v/>
      </c>
      <c r="F2520" s="32" t="str">
        <f>IF(Table!F2520 = "","",Table!F2520)</f>
        <v/>
      </c>
      <c r="G2520" s="91"/>
      <c r="K2520" s="31" t="str">
        <f>IFERROR(VLOOKUP(A2520,Table!$I$4:$O$3000,1,TRUE),"")</f>
        <v/>
      </c>
      <c r="L2520" s="31" t="str">
        <f>IFERROR(INDEX(Table!I:O,MATCH(K2520,Table!I:I,0),2),"")</f>
        <v/>
      </c>
      <c r="M2520" s="31" t="str">
        <f>IFERROR(INDEX(Table!I:O,MATCH(K2520,Table!I:I,0),3),"")</f>
        <v/>
      </c>
      <c r="N2520" s="32" t="str">
        <f>IFERROR(INDEX(Table!I:O,MATCH(K2520,Table!I:I,0),4),"")</f>
        <v/>
      </c>
      <c r="O2520" s="32" t="str">
        <f>IFERROR(INDEX(Table!I:O,MATCH(K2520,Table!I:I,0),5),"")</f>
        <v/>
      </c>
      <c r="P2520" s="32" t="str">
        <f>IFERROR(INDEX(Table!I:O,MATCH(K2520,Table!I:I,0),6),"")</f>
        <v/>
      </c>
      <c r="Q2520" s="89" t="str">
        <f t="shared" si="112"/>
        <v/>
      </c>
      <c r="R2520" s="89" t="str">
        <f t="shared" si="113"/>
        <v/>
      </c>
      <c r="S2520" s="82"/>
      <c r="U2520" s="37"/>
    </row>
    <row r="2521" spans="1:21" x14ac:dyDescent="0.25">
      <c r="A2521" s="31" t="str">
        <f>IF(Table!A2521 = "","",Table!A2521)</f>
        <v/>
      </c>
      <c r="B2521" s="31" t="str">
        <f>IF(Table!B2521 = "","",Table!B2521)</f>
        <v/>
      </c>
      <c r="C2521" s="31" t="str">
        <f>IF(Table!C2521 = "","",Table!C2521)</f>
        <v/>
      </c>
      <c r="D2521" s="32" t="str">
        <f>IF(Table!D2521 = "","",Table!D2521)</f>
        <v/>
      </c>
      <c r="E2521" s="32" t="str">
        <f>IF(Table!E2521 = "","",Table!E2521)</f>
        <v/>
      </c>
      <c r="F2521" s="32" t="str">
        <f>IF(Table!F2521 = "","",Table!F2521)</f>
        <v/>
      </c>
      <c r="G2521" s="91"/>
      <c r="K2521" s="31" t="str">
        <f>IFERROR(VLOOKUP(A2521,Table!$I$4:$O$3000,1,TRUE),"")</f>
        <v/>
      </c>
      <c r="L2521" s="31" t="str">
        <f>IFERROR(INDEX(Table!I:O,MATCH(K2521,Table!I:I,0),2),"")</f>
        <v/>
      </c>
      <c r="M2521" s="31" t="str">
        <f>IFERROR(INDEX(Table!I:O,MATCH(K2521,Table!I:I,0),3),"")</f>
        <v/>
      </c>
      <c r="N2521" s="32" t="str">
        <f>IFERROR(INDEX(Table!I:O,MATCH(K2521,Table!I:I,0),4),"")</f>
        <v/>
      </c>
      <c r="O2521" s="32" t="str">
        <f>IFERROR(INDEX(Table!I:O,MATCH(K2521,Table!I:I,0),5),"")</f>
        <v/>
      </c>
      <c r="P2521" s="32" t="str">
        <f>IFERROR(INDEX(Table!I:O,MATCH(K2521,Table!I:I,0),6),"")</f>
        <v/>
      </c>
      <c r="Q2521" s="89" t="str">
        <f t="shared" si="112"/>
        <v/>
      </c>
      <c r="R2521" s="89" t="str">
        <f t="shared" si="113"/>
        <v/>
      </c>
      <c r="S2521" s="82"/>
      <c r="U2521" s="37"/>
    </row>
    <row r="2522" spans="1:21" x14ac:dyDescent="0.25">
      <c r="A2522" s="31" t="str">
        <f>IF(Table!A2522 = "","",Table!A2522)</f>
        <v/>
      </c>
      <c r="B2522" s="31" t="str">
        <f>IF(Table!B2522 = "","",Table!B2522)</f>
        <v/>
      </c>
      <c r="C2522" s="31" t="str">
        <f>IF(Table!C2522 = "","",Table!C2522)</f>
        <v/>
      </c>
      <c r="D2522" s="32" t="str">
        <f>IF(Table!D2522 = "","",Table!D2522)</f>
        <v/>
      </c>
      <c r="E2522" s="32" t="str">
        <f>IF(Table!E2522 = "","",Table!E2522)</f>
        <v/>
      </c>
      <c r="F2522" s="32" t="str">
        <f>IF(Table!F2522 = "","",Table!F2522)</f>
        <v/>
      </c>
      <c r="G2522" s="91"/>
      <c r="K2522" s="31" t="str">
        <f>IFERROR(VLOOKUP(A2522,Table!$I$4:$O$3000,1,TRUE),"")</f>
        <v/>
      </c>
      <c r="L2522" s="31" t="str">
        <f>IFERROR(INDEX(Table!I:O,MATCH(K2522,Table!I:I,0),2),"")</f>
        <v/>
      </c>
      <c r="M2522" s="31" t="str">
        <f>IFERROR(INDEX(Table!I:O,MATCH(K2522,Table!I:I,0),3),"")</f>
        <v/>
      </c>
      <c r="N2522" s="32" t="str">
        <f>IFERROR(INDEX(Table!I:O,MATCH(K2522,Table!I:I,0),4),"")</f>
        <v/>
      </c>
      <c r="O2522" s="32" t="str">
        <f>IFERROR(INDEX(Table!I:O,MATCH(K2522,Table!I:I,0),5),"")</f>
        <v/>
      </c>
      <c r="P2522" s="32" t="str">
        <f>IFERROR(INDEX(Table!I:O,MATCH(K2522,Table!I:I,0),6),"")</f>
        <v/>
      </c>
      <c r="Q2522" s="89" t="str">
        <f t="shared" si="112"/>
        <v/>
      </c>
      <c r="R2522" s="89" t="str">
        <f t="shared" si="113"/>
        <v/>
      </c>
      <c r="S2522" s="82"/>
      <c r="U2522" s="37"/>
    </row>
    <row r="2523" spans="1:21" x14ac:dyDescent="0.25">
      <c r="A2523" s="31" t="str">
        <f>IF(Table!A2523 = "","",Table!A2523)</f>
        <v/>
      </c>
      <c r="B2523" s="31" t="str">
        <f>IF(Table!B2523 = "","",Table!B2523)</f>
        <v/>
      </c>
      <c r="C2523" s="31" t="str">
        <f>IF(Table!C2523 = "","",Table!C2523)</f>
        <v/>
      </c>
      <c r="D2523" s="32" t="str">
        <f>IF(Table!D2523 = "","",Table!D2523)</f>
        <v/>
      </c>
      <c r="E2523" s="32" t="str">
        <f>IF(Table!E2523 = "","",Table!E2523)</f>
        <v/>
      </c>
      <c r="F2523" s="32" t="str">
        <f>IF(Table!F2523 = "","",Table!F2523)</f>
        <v/>
      </c>
      <c r="G2523" s="91"/>
      <c r="K2523" s="31" t="str">
        <f>IFERROR(VLOOKUP(A2523,Table!$I$4:$O$3000,1,TRUE),"")</f>
        <v/>
      </c>
      <c r="L2523" s="31" t="str">
        <f>IFERROR(INDEX(Table!I:O,MATCH(K2523,Table!I:I,0),2),"")</f>
        <v/>
      </c>
      <c r="M2523" s="31" t="str">
        <f>IFERROR(INDEX(Table!I:O,MATCH(K2523,Table!I:I,0),3),"")</f>
        <v/>
      </c>
      <c r="N2523" s="32" t="str">
        <f>IFERROR(INDEX(Table!I:O,MATCH(K2523,Table!I:I,0),4),"")</f>
        <v/>
      </c>
      <c r="O2523" s="32" t="str">
        <f>IFERROR(INDEX(Table!I:O,MATCH(K2523,Table!I:I,0),5),"")</f>
        <v/>
      </c>
      <c r="P2523" s="32" t="str">
        <f>IFERROR(INDEX(Table!I:O,MATCH(K2523,Table!I:I,0),6),"")</f>
        <v/>
      </c>
      <c r="Q2523" s="89" t="str">
        <f t="shared" si="112"/>
        <v/>
      </c>
      <c r="R2523" s="89" t="str">
        <f t="shared" si="113"/>
        <v/>
      </c>
      <c r="S2523" s="82"/>
      <c r="U2523" s="37"/>
    </row>
    <row r="2524" spans="1:21" x14ac:dyDescent="0.25">
      <c r="A2524" s="31" t="str">
        <f>IF(Table!A2524 = "","",Table!A2524)</f>
        <v/>
      </c>
      <c r="B2524" s="31" t="str">
        <f>IF(Table!B2524 = "","",Table!B2524)</f>
        <v/>
      </c>
      <c r="C2524" s="31" t="str">
        <f>IF(Table!C2524 = "","",Table!C2524)</f>
        <v/>
      </c>
      <c r="D2524" s="32" t="str">
        <f>IF(Table!D2524 = "","",Table!D2524)</f>
        <v/>
      </c>
      <c r="E2524" s="32" t="str">
        <f>IF(Table!E2524 = "","",Table!E2524)</f>
        <v/>
      </c>
      <c r="F2524" s="32" t="str">
        <f>IF(Table!F2524 = "","",Table!F2524)</f>
        <v/>
      </c>
      <c r="G2524" s="91"/>
      <c r="K2524" s="31" t="str">
        <f>IFERROR(VLOOKUP(A2524,Table!$I$4:$O$3000,1,TRUE),"")</f>
        <v/>
      </c>
      <c r="L2524" s="31" t="str">
        <f>IFERROR(INDEX(Table!I:O,MATCH(K2524,Table!I:I,0),2),"")</f>
        <v/>
      </c>
      <c r="M2524" s="31" t="str">
        <f>IFERROR(INDEX(Table!I:O,MATCH(K2524,Table!I:I,0),3),"")</f>
        <v/>
      </c>
      <c r="N2524" s="32" t="str">
        <f>IFERROR(INDEX(Table!I:O,MATCH(K2524,Table!I:I,0),4),"")</f>
        <v/>
      </c>
      <c r="O2524" s="32" t="str">
        <f>IFERROR(INDEX(Table!I:O,MATCH(K2524,Table!I:I,0),5),"")</f>
        <v/>
      </c>
      <c r="P2524" s="32" t="str">
        <f>IFERROR(INDEX(Table!I:O,MATCH(K2524,Table!I:I,0),6),"")</f>
        <v/>
      </c>
      <c r="Q2524" s="89" t="str">
        <f t="shared" si="112"/>
        <v/>
      </c>
      <c r="R2524" s="89" t="str">
        <f t="shared" si="113"/>
        <v/>
      </c>
      <c r="S2524" s="82"/>
      <c r="U2524" s="37"/>
    </row>
    <row r="2525" spans="1:21" x14ac:dyDescent="0.25">
      <c r="A2525" s="31" t="str">
        <f>IF(Table!A2525 = "","",Table!A2525)</f>
        <v/>
      </c>
      <c r="B2525" s="31" t="str">
        <f>IF(Table!B2525 = "","",Table!B2525)</f>
        <v/>
      </c>
      <c r="C2525" s="31" t="str">
        <f>IF(Table!C2525 = "","",Table!C2525)</f>
        <v/>
      </c>
      <c r="D2525" s="32" t="str">
        <f>IF(Table!D2525 = "","",Table!D2525)</f>
        <v/>
      </c>
      <c r="E2525" s="32" t="str">
        <f>IF(Table!E2525 = "","",Table!E2525)</f>
        <v/>
      </c>
      <c r="F2525" s="32" t="str">
        <f>IF(Table!F2525 = "","",Table!F2525)</f>
        <v/>
      </c>
      <c r="G2525" s="91"/>
      <c r="K2525" s="31" t="str">
        <f>IFERROR(VLOOKUP(A2525,Table!$I$4:$O$3000,1,TRUE),"")</f>
        <v/>
      </c>
      <c r="L2525" s="31" t="str">
        <f>IFERROR(INDEX(Table!I:O,MATCH(K2525,Table!I:I,0),2),"")</f>
        <v/>
      </c>
      <c r="M2525" s="31" t="str">
        <f>IFERROR(INDEX(Table!I:O,MATCH(K2525,Table!I:I,0),3),"")</f>
        <v/>
      </c>
      <c r="N2525" s="32" t="str">
        <f>IFERROR(INDEX(Table!I:O,MATCH(K2525,Table!I:I,0),4),"")</f>
        <v/>
      </c>
      <c r="O2525" s="32" t="str">
        <f>IFERROR(INDEX(Table!I:O,MATCH(K2525,Table!I:I,0),5),"")</f>
        <v/>
      </c>
      <c r="P2525" s="32" t="str">
        <f>IFERROR(INDEX(Table!I:O,MATCH(K2525,Table!I:I,0),6),"")</f>
        <v/>
      </c>
      <c r="Q2525" s="89" t="str">
        <f t="shared" si="112"/>
        <v/>
      </c>
      <c r="R2525" s="89" t="str">
        <f t="shared" si="113"/>
        <v/>
      </c>
      <c r="S2525" s="82"/>
      <c r="U2525" s="37"/>
    </row>
    <row r="2526" spans="1:21" x14ac:dyDescent="0.25">
      <c r="A2526" s="31" t="str">
        <f>IF(Table!A2526 = "","",Table!A2526)</f>
        <v/>
      </c>
      <c r="B2526" s="31" t="str">
        <f>IF(Table!B2526 = "","",Table!B2526)</f>
        <v/>
      </c>
      <c r="C2526" s="31" t="str">
        <f>IF(Table!C2526 = "","",Table!C2526)</f>
        <v/>
      </c>
      <c r="D2526" s="32" t="str">
        <f>IF(Table!D2526 = "","",Table!D2526)</f>
        <v/>
      </c>
      <c r="E2526" s="32" t="str">
        <f>IF(Table!E2526 = "","",Table!E2526)</f>
        <v/>
      </c>
      <c r="F2526" s="32" t="str">
        <f>IF(Table!F2526 = "","",Table!F2526)</f>
        <v/>
      </c>
      <c r="G2526" s="91"/>
      <c r="K2526" s="31" t="str">
        <f>IFERROR(VLOOKUP(A2526,Table!$I$4:$O$3000,1,TRUE),"")</f>
        <v/>
      </c>
      <c r="L2526" s="31" t="str">
        <f>IFERROR(INDEX(Table!I:O,MATCH(K2526,Table!I:I,0),2),"")</f>
        <v/>
      </c>
      <c r="M2526" s="31" t="str">
        <f>IFERROR(INDEX(Table!I:O,MATCH(K2526,Table!I:I,0),3),"")</f>
        <v/>
      </c>
      <c r="N2526" s="32" t="str">
        <f>IFERROR(INDEX(Table!I:O,MATCH(K2526,Table!I:I,0),4),"")</f>
        <v/>
      </c>
      <c r="O2526" s="32" t="str">
        <f>IFERROR(INDEX(Table!I:O,MATCH(K2526,Table!I:I,0),5),"")</f>
        <v/>
      </c>
      <c r="P2526" s="32" t="str">
        <f>IFERROR(INDEX(Table!I:O,MATCH(K2526,Table!I:I,0),6),"")</f>
        <v/>
      </c>
      <c r="Q2526" s="89" t="str">
        <f t="shared" si="112"/>
        <v/>
      </c>
      <c r="R2526" s="89" t="str">
        <f t="shared" si="113"/>
        <v/>
      </c>
      <c r="S2526" s="82"/>
      <c r="U2526" s="37"/>
    </row>
    <row r="2527" spans="1:21" x14ac:dyDescent="0.25">
      <c r="A2527" s="31" t="str">
        <f>IF(Table!A2527 = "","",Table!A2527)</f>
        <v/>
      </c>
      <c r="B2527" s="31" t="str">
        <f>IF(Table!B2527 = "","",Table!B2527)</f>
        <v/>
      </c>
      <c r="C2527" s="31" t="str">
        <f>IF(Table!C2527 = "","",Table!C2527)</f>
        <v/>
      </c>
      <c r="D2527" s="32" t="str">
        <f>IF(Table!D2527 = "","",Table!D2527)</f>
        <v/>
      </c>
      <c r="E2527" s="32" t="str">
        <f>IF(Table!E2527 = "","",Table!E2527)</f>
        <v/>
      </c>
      <c r="F2527" s="32" t="str">
        <f>IF(Table!F2527 = "","",Table!F2527)</f>
        <v/>
      </c>
      <c r="G2527" s="91"/>
      <c r="K2527" s="31" t="str">
        <f>IFERROR(VLOOKUP(A2527,Table!$I$4:$O$3000,1,TRUE),"")</f>
        <v/>
      </c>
      <c r="L2527" s="31" t="str">
        <f>IFERROR(INDEX(Table!I:O,MATCH(K2527,Table!I:I,0),2),"")</f>
        <v/>
      </c>
      <c r="M2527" s="31" t="str">
        <f>IFERROR(INDEX(Table!I:O,MATCH(K2527,Table!I:I,0),3),"")</f>
        <v/>
      </c>
      <c r="N2527" s="32" t="str">
        <f>IFERROR(INDEX(Table!I:O,MATCH(K2527,Table!I:I,0),4),"")</f>
        <v/>
      </c>
      <c r="O2527" s="32" t="str">
        <f>IFERROR(INDEX(Table!I:O,MATCH(K2527,Table!I:I,0),5),"")</f>
        <v/>
      </c>
      <c r="P2527" s="32" t="str">
        <f>IFERROR(INDEX(Table!I:O,MATCH(K2527,Table!I:I,0),6),"")</f>
        <v/>
      </c>
      <c r="Q2527" s="89" t="str">
        <f t="shared" si="112"/>
        <v/>
      </c>
      <c r="R2527" s="89" t="str">
        <f t="shared" si="113"/>
        <v/>
      </c>
      <c r="S2527" s="82"/>
      <c r="U2527" s="37"/>
    </row>
    <row r="2528" spans="1:21" x14ac:dyDescent="0.25">
      <c r="A2528" s="31" t="str">
        <f>IF(Table!A2528 = "","",Table!A2528)</f>
        <v/>
      </c>
      <c r="B2528" s="31" t="str">
        <f>IF(Table!B2528 = "","",Table!B2528)</f>
        <v/>
      </c>
      <c r="C2528" s="31" t="str">
        <f>IF(Table!C2528 = "","",Table!C2528)</f>
        <v/>
      </c>
      <c r="D2528" s="32" t="str">
        <f>IF(Table!D2528 = "","",Table!D2528)</f>
        <v/>
      </c>
      <c r="E2528" s="32" t="str">
        <f>IF(Table!E2528 = "","",Table!E2528)</f>
        <v/>
      </c>
      <c r="F2528" s="32" t="str">
        <f>IF(Table!F2528 = "","",Table!F2528)</f>
        <v/>
      </c>
      <c r="G2528" s="91"/>
      <c r="K2528" s="31" t="str">
        <f>IFERROR(VLOOKUP(A2528,Table!$I$4:$O$3000,1,TRUE),"")</f>
        <v/>
      </c>
      <c r="L2528" s="31" t="str">
        <f>IFERROR(INDEX(Table!I:O,MATCH(K2528,Table!I:I,0),2),"")</f>
        <v/>
      </c>
      <c r="M2528" s="31" t="str">
        <f>IFERROR(INDEX(Table!I:O,MATCH(K2528,Table!I:I,0),3),"")</f>
        <v/>
      </c>
      <c r="N2528" s="32" t="str">
        <f>IFERROR(INDEX(Table!I:O,MATCH(K2528,Table!I:I,0),4),"")</f>
        <v/>
      </c>
      <c r="O2528" s="32" t="str">
        <f>IFERROR(INDEX(Table!I:O,MATCH(K2528,Table!I:I,0),5),"")</f>
        <v/>
      </c>
      <c r="P2528" s="32" t="str">
        <f>IFERROR(INDEX(Table!I:O,MATCH(K2528,Table!I:I,0),6),"")</f>
        <v/>
      </c>
      <c r="Q2528" s="89" t="str">
        <f t="shared" si="112"/>
        <v/>
      </c>
      <c r="R2528" s="89" t="str">
        <f t="shared" si="113"/>
        <v/>
      </c>
      <c r="S2528" s="82"/>
      <c r="U2528" s="37"/>
    </row>
    <row r="2529" spans="1:21" x14ac:dyDescent="0.25">
      <c r="A2529" s="31" t="str">
        <f>IF(Table!A2529 = "","",Table!A2529)</f>
        <v/>
      </c>
      <c r="B2529" s="31" t="str">
        <f>IF(Table!B2529 = "","",Table!B2529)</f>
        <v/>
      </c>
      <c r="C2529" s="31" t="str">
        <f>IF(Table!C2529 = "","",Table!C2529)</f>
        <v/>
      </c>
      <c r="D2529" s="32" t="str">
        <f>IF(Table!D2529 = "","",Table!D2529)</f>
        <v/>
      </c>
      <c r="E2529" s="32" t="str">
        <f>IF(Table!E2529 = "","",Table!E2529)</f>
        <v/>
      </c>
      <c r="F2529" s="32" t="str">
        <f>IF(Table!F2529 = "","",Table!F2529)</f>
        <v/>
      </c>
      <c r="G2529" s="91"/>
      <c r="K2529" s="31" t="str">
        <f>IFERROR(VLOOKUP(A2529,Table!$I$4:$O$3000,1,TRUE),"")</f>
        <v/>
      </c>
      <c r="L2529" s="31" t="str">
        <f>IFERROR(INDEX(Table!I:O,MATCH(K2529,Table!I:I,0),2),"")</f>
        <v/>
      </c>
      <c r="M2529" s="31" t="str">
        <f>IFERROR(INDEX(Table!I:O,MATCH(K2529,Table!I:I,0),3),"")</f>
        <v/>
      </c>
      <c r="N2529" s="32" t="str">
        <f>IFERROR(INDEX(Table!I:O,MATCH(K2529,Table!I:I,0),4),"")</f>
        <v/>
      </c>
      <c r="O2529" s="32" t="str">
        <f>IFERROR(INDEX(Table!I:O,MATCH(K2529,Table!I:I,0),5),"")</f>
        <v/>
      </c>
      <c r="P2529" s="32" t="str">
        <f>IFERROR(INDEX(Table!I:O,MATCH(K2529,Table!I:I,0),6),"")</f>
        <v/>
      </c>
      <c r="Q2529" s="89" t="str">
        <f t="shared" si="112"/>
        <v/>
      </c>
      <c r="R2529" s="89" t="str">
        <f t="shared" si="113"/>
        <v/>
      </c>
      <c r="S2529" s="82"/>
      <c r="U2529" s="37"/>
    </row>
    <row r="2530" spans="1:21" x14ac:dyDescent="0.25">
      <c r="A2530" s="31" t="str">
        <f>IF(Table!A2530 = "","",Table!A2530)</f>
        <v/>
      </c>
      <c r="B2530" s="31" t="str">
        <f>IF(Table!B2530 = "","",Table!B2530)</f>
        <v/>
      </c>
      <c r="C2530" s="31" t="str">
        <f>IF(Table!C2530 = "","",Table!C2530)</f>
        <v/>
      </c>
      <c r="D2530" s="32" t="str">
        <f>IF(Table!D2530 = "","",Table!D2530)</f>
        <v/>
      </c>
      <c r="E2530" s="32" t="str">
        <f>IF(Table!E2530 = "","",Table!E2530)</f>
        <v/>
      </c>
      <c r="F2530" s="32" t="str">
        <f>IF(Table!F2530 = "","",Table!F2530)</f>
        <v/>
      </c>
      <c r="G2530" s="91"/>
      <c r="K2530" s="31" t="str">
        <f>IFERROR(VLOOKUP(A2530,Table!$I$4:$O$3000,1,TRUE),"")</f>
        <v/>
      </c>
      <c r="L2530" s="31" t="str">
        <f>IFERROR(INDEX(Table!I:O,MATCH(K2530,Table!I:I,0),2),"")</f>
        <v/>
      </c>
      <c r="M2530" s="31" t="str">
        <f>IFERROR(INDEX(Table!I:O,MATCH(K2530,Table!I:I,0),3),"")</f>
        <v/>
      </c>
      <c r="N2530" s="32" t="str">
        <f>IFERROR(INDEX(Table!I:O,MATCH(K2530,Table!I:I,0),4),"")</f>
        <v/>
      </c>
      <c r="O2530" s="32" t="str">
        <f>IFERROR(INDEX(Table!I:O,MATCH(K2530,Table!I:I,0),5),"")</f>
        <v/>
      </c>
      <c r="P2530" s="32" t="str">
        <f>IFERROR(INDEX(Table!I:O,MATCH(K2530,Table!I:I,0),6),"")</f>
        <v/>
      </c>
      <c r="Q2530" s="89" t="str">
        <f t="shared" si="112"/>
        <v/>
      </c>
      <c r="R2530" s="89" t="str">
        <f t="shared" si="113"/>
        <v/>
      </c>
      <c r="S2530" s="82"/>
      <c r="U2530" s="37"/>
    </row>
    <row r="2531" spans="1:21" x14ac:dyDescent="0.25">
      <c r="A2531" s="31" t="str">
        <f>IF(Table!A2531 = "","",Table!A2531)</f>
        <v/>
      </c>
      <c r="B2531" s="31" t="str">
        <f>IF(Table!B2531 = "","",Table!B2531)</f>
        <v/>
      </c>
      <c r="C2531" s="31" t="str">
        <f>IF(Table!C2531 = "","",Table!C2531)</f>
        <v/>
      </c>
      <c r="D2531" s="32" t="str">
        <f>IF(Table!D2531 = "","",Table!D2531)</f>
        <v/>
      </c>
      <c r="E2531" s="32" t="str">
        <f>IF(Table!E2531 = "","",Table!E2531)</f>
        <v/>
      </c>
      <c r="F2531" s="32" t="str">
        <f>IF(Table!F2531 = "","",Table!F2531)</f>
        <v/>
      </c>
      <c r="G2531" s="91"/>
      <c r="K2531" s="31" t="str">
        <f>IFERROR(VLOOKUP(A2531,Table!$I$4:$O$3000,1,TRUE),"")</f>
        <v/>
      </c>
      <c r="L2531" s="31" t="str">
        <f>IFERROR(INDEX(Table!I:O,MATCH(K2531,Table!I:I,0),2),"")</f>
        <v/>
      </c>
      <c r="M2531" s="31" t="str">
        <f>IFERROR(INDEX(Table!I:O,MATCH(K2531,Table!I:I,0),3),"")</f>
        <v/>
      </c>
      <c r="N2531" s="32" t="str">
        <f>IFERROR(INDEX(Table!I:O,MATCH(K2531,Table!I:I,0),4),"")</f>
        <v/>
      </c>
      <c r="O2531" s="32" t="str">
        <f>IFERROR(INDEX(Table!I:O,MATCH(K2531,Table!I:I,0),5),"")</f>
        <v/>
      </c>
      <c r="P2531" s="32" t="str">
        <f>IFERROR(INDEX(Table!I:O,MATCH(K2531,Table!I:I,0),6),"")</f>
        <v/>
      </c>
      <c r="Q2531" s="89" t="str">
        <f t="shared" si="112"/>
        <v/>
      </c>
      <c r="R2531" s="89" t="str">
        <f t="shared" si="113"/>
        <v/>
      </c>
      <c r="S2531" s="82"/>
      <c r="U2531" s="37"/>
    </row>
    <row r="2532" spans="1:21" x14ac:dyDescent="0.25">
      <c r="A2532" s="31" t="str">
        <f>IF(Table!A2532 = "","",Table!A2532)</f>
        <v/>
      </c>
      <c r="B2532" s="31" t="str">
        <f>IF(Table!B2532 = "","",Table!B2532)</f>
        <v/>
      </c>
      <c r="C2532" s="31" t="str">
        <f>IF(Table!C2532 = "","",Table!C2532)</f>
        <v/>
      </c>
      <c r="D2532" s="32" t="str">
        <f>IF(Table!D2532 = "","",Table!D2532)</f>
        <v/>
      </c>
      <c r="E2532" s="32" t="str">
        <f>IF(Table!E2532 = "","",Table!E2532)</f>
        <v/>
      </c>
      <c r="F2532" s="32" t="str">
        <f>IF(Table!F2532 = "","",Table!F2532)</f>
        <v/>
      </c>
      <c r="G2532" s="91"/>
      <c r="K2532" s="31" t="str">
        <f>IFERROR(VLOOKUP(A2532,Table!$I$4:$O$3000,1,TRUE),"")</f>
        <v/>
      </c>
      <c r="L2532" s="31" t="str">
        <f>IFERROR(INDEX(Table!I:O,MATCH(K2532,Table!I:I,0),2),"")</f>
        <v/>
      </c>
      <c r="M2532" s="31" t="str">
        <f>IFERROR(INDEX(Table!I:O,MATCH(K2532,Table!I:I,0),3),"")</f>
        <v/>
      </c>
      <c r="N2532" s="32" t="str">
        <f>IFERROR(INDEX(Table!I:O,MATCH(K2532,Table!I:I,0),4),"")</f>
        <v/>
      </c>
      <c r="O2532" s="32" t="str">
        <f>IFERROR(INDEX(Table!I:O,MATCH(K2532,Table!I:I,0),5),"")</f>
        <v/>
      </c>
      <c r="P2532" s="32" t="str">
        <f>IFERROR(INDEX(Table!I:O,MATCH(K2532,Table!I:I,0),6),"")</f>
        <v/>
      </c>
      <c r="Q2532" s="89" t="str">
        <f t="shared" si="112"/>
        <v/>
      </c>
      <c r="R2532" s="89" t="str">
        <f t="shared" si="113"/>
        <v/>
      </c>
      <c r="S2532" s="82"/>
      <c r="U2532" s="37"/>
    </row>
    <row r="2533" spans="1:21" x14ac:dyDescent="0.25">
      <c r="A2533" s="31" t="str">
        <f>IF(Table!A2533 = "","",Table!A2533)</f>
        <v/>
      </c>
      <c r="B2533" s="31" t="str">
        <f>IF(Table!B2533 = "","",Table!B2533)</f>
        <v/>
      </c>
      <c r="C2533" s="31" t="str">
        <f>IF(Table!C2533 = "","",Table!C2533)</f>
        <v/>
      </c>
      <c r="D2533" s="32" t="str">
        <f>IF(Table!D2533 = "","",Table!D2533)</f>
        <v/>
      </c>
      <c r="E2533" s="32" t="str">
        <f>IF(Table!E2533 = "","",Table!E2533)</f>
        <v/>
      </c>
      <c r="F2533" s="32" t="str">
        <f>IF(Table!F2533 = "","",Table!F2533)</f>
        <v/>
      </c>
      <c r="G2533" s="91"/>
      <c r="K2533" s="31" t="str">
        <f>IFERROR(VLOOKUP(A2533,Table!$I$4:$O$3000,1,TRUE),"")</f>
        <v/>
      </c>
      <c r="L2533" s="31" t="str">
        <f>IFERROR(INDEX(Table!I:O,MATCH(K2533,Table!I:I,0),2),"")</f>
        <v/>
      </c>
      <c r="M2533" s="31" t="str">
        <f>IFERROR(INDEX(Table!I:O,MATCH(K2533,Table!I:I,0),3),"")</f>
        <v/>
      </c>
      <c r="N2533" s="32" t="str">
        <f>IFERROR(INDEX(Table!I:O,MATCH(K2533,Table!I:I,0),4),"")</f>
        <v/>
      </c>
      <c r="O2533" s="32" t="str">
        <f>IFERROR(INDEX(Table!I:O,MATCH(K2533,Table!I:I,0),5),"")</f>
        <v/>
      </c>
      <c r="P2533" s="32" t="str">
        <f>IFERROR(INDEX(Table!I:O,MATCH(K2533,Table!I:I,0),6),"")</f>
        <v/>
      </c>
      <c r="Q2533" s="89" t="str">
        <f t="shared" si="112"/>
        <v/>
      </c>
      <c r="R2533" s="89" t="str">
        <f t="shared" si="113"/>
        <v/>
      </c>
      <c r="S2533" s="82"/>
      <c r="U2533" s="37"/>
    </row>
    <row r="2534" spans="1:21" x14ac:dyDescent="0.25">
      <c r="A2534" s="31" t="str">
        <f>IF(Table!A2534 = "","",Table!A2534)</f>
        <v/>
      </c>
      <c r="B2534" s="31" t="str">
        <f>IF(Table!B2534 = "","",Table!B2534)</f>
        <v/>
      </c>
      <c r="C2534" s="31" t="str">
        <f>IF(Table!C2534 = "","",Table!C2534)</f>
        <v/>
      </c>
      <c r="D2534" s="32" t="str">
        <f>IF(Table!D2534 = "","",Table!D2534)</f>
        <v/>
      </c>
      <c r="E2534" s="32" t="str">
        <f>IF(Table!E2534 = "","",Table!E2534)</f>
        <v/>
      </c>
      <c r="F2534" s="32" t="str">
        <f>IF(Table!F2534 = "","",Table!F2534)</f>
        <v/>
      </c>
      <c r="G2534" s="91"/>
      <c r="K2534" s="31" t="str">
        <f>IFERROR(VLOOKUP(A2534,Table!$I$4:$O$3000,1,TRUE),"")</f>
        <v/>
      </c>
      <c r="L2534" s="31" t="str">
        <f>IFERROR(INDEX(Table!I:O,MATCH(K2534,Table!I:I,0),2),"")</f>
        <v/>
      </c>
      <c r="M2534" s="31" t="str">
        <f>IFERROR(INDEX(Table!I:O,MATCH(K2534,Table!I:I,0),3),"")</f>
        <v/>
      </c>
      <c r="N2534" s="32" t="str">
        <f>IFERROR(INDEX(Table!I:O,MATCH(K2534,Table!I:I,0),4),"")</f>
        <v/>
      </c>
      <c r="O2534" s="32" t="str">
        <f>IFERROR(INDEX(Table!I:O,MATCH(K2534,Table!I:I,0),5),"")</f>
        <v/>
      </c>
      <c r="P2534" s="32" t="str">
        <f>IFERROR(INDEX(Table!I:O,MATCH(K2534,Table!I:I,0),6),"")</f>
        <v/>
      </c>
      <c r="Q2534" s="89" t="str">
        <f t="shared" si="112"/>
        <v/>
      </c>
      <c r="R2534" s="89" t="str">
        <f t="shared" si="113"/>
        <v/>
      </c>
      <c r="S2534" s="82"/>
      <c r="U2534" s="37"/>
    </row>
    <row r="2535" spans="1:21" x14ac:dyDescent="0.25">
      <c r="A2535" s="31" t="str">
        <f>IF(Table!A2535 = "","",Table!A2535)</f>
        <v/>
      </c>
      <c r="B2535" s="31" t="str">
        <f>IF(Table!B2535 = "","",Table!B2535)</f>
        <v/>
      </c>
      <c r="C2535" s="31" t="str">
        <f>IF(Table!C2535 = "","",Table!C2535)</f>
        <v/>
      </c>
      <c r="D2535" s="32" t="str">
        <f>IF(Table!D2535 = "","",Table!D2535)</f>
        <v/>
      </c>
      <c r="E2535" s="32" t="str">
        <f>IF(Table!E2535 = "","",Table!E2535)</f>
        <v/>
      </c>
      <c r="F2535" s="32" t="str">
        <f>IF(Table!F2535 = "","",Table!F2535)</f>
        <v/>
      </c>
      <c r="G2535" s="91"/>
      <c r="K2535" s="31" t="str">
        <f>IFERROR(VLOOKUP(A2535,Table!$I$4:$O$3000,1,TRUE),"")</f>
        <v/>
      </c>
      <c r="L2535" s="31" t="str">
        <f>IFERROR(INDEX(Table!I:O,MATCH(K2535,Table!I:I,0),2),"")</f>
        <v/>
      </c>
      <c r="M2535" s="31" t="str">
        <f>IFERROR(INDEX(Table!I:O,MATCH(K2535,Table!I:I,0),3),"")</f>
        <v/>
      </c>
      <c r="N2535" s="32" t="str">
        <f>IFERROR(INDEX(Table!I:O,MATCH(K2535,Table!I:I,0),4),"")</f>
        <v/>
      </c>
      <c r="O2535" s="32" t="str">
        <f>IFERROR(INDEX(Table!I:O,MATCH(K2535,Table!I:I,0),5),"")</f>
        <v/>
      </c>
      <c r="P2535" s="32" t="str">
        <f>IFERROR(INDEX(Table!I:O,MATCH(K2535,Table!I:I,0),6),"")</f>
        <v/>
      </c>
      <c r="Q2535" s="89" t="str">
        <f t="shared" si="112"/>
        <v/>
      </c>
      <c r="R2535" s="89" t="str">
        <f t="shared" si="113"/>
        <v/>
      </c>
      <c r="S2535" s="82"/>
      <c r="U2535" s="37"/>
    </row>
    <row r="2536" spans="1:21" x14ac:dyDescent="0.25">
      <c r="A2536" s="31" t="str">
        <f>IF(Table!A2536 = "","",Table!A2536)</f>
        <v/>
      </c>
      <c r="B2536" s="31" t="str">
        <f>IF(Table!B2536 = "","",Table!B2536)</f>
        <v/>
      </c>
      <c r="C2536" s="31" t="str">
        <f>IF(Table!C2536 = "","",Table!C2536)</f>
        <v/>
      </c>
      <c r="D2536" s="32" t="str">
        <f>IF(Table!D2536 = "","",Table!D2536)</f>
        <v/>
      </c>
      <c r="E2536" s="32" t="str">
        <f>IF(Table!E2536 = "","",Table!E2536)</f>
        <v/>
      </c>
      <c r="F2536" s="32" t="str">
        <f>IF(Table!F2536 = "","",Table!F2536)</f>
        <v/>
      </c>
      <c r="G2536" s="91"/>
      <c r="K2536" s="31" t="str">
        <f>IFERROR(VLOOKUP(A2536,Table!$I$4:$O$3000,1,TRUE),"")</f>
        <v/>
      </c>
      <c r="L2536" s="31" t="str">
        <f>IFERROR(INDEX(Table!I:O,MATCH(K2536,Table!I:I,0),2),"")</f>
        <v/>
      </c>
      <c r="M2536" s="31" t="str">
        <f>IFERROR(INDEX(Table!I:O,MATCH(K2536,Table!I:I,0),3),"")</f>
        <v/>
      </c>
      <c r="N2536" s="32" t="str">
        <f>IFERROR(INDEX(Table!I:O,MATCH(K2536,Table!I:I,0),4),"")</f>
        <v/>
      </c>
      <c r="O2536" s="32" t="str">
        <f>IFERROR(INDEX(Table!I:O,MATCH(K2536,Table!I:I,0),5),"")</f>
        <v/>
      </c>
      <c r="P2536" s="32" t="str">
        <f>IFERROR(INDEX(Table!I:O,MATCH(K2536,Table!I:I,0),6),"")</f>
        <v/>
      </c>
      <c r="Q2536" s="89" t="str">
        <f t="shared" si="112"/>
        <v/>
      </c>
      <c r="R2536" s="89" t="str">
        <f t="shared" si="113"/>
        <v/>
      </c>
      <c r="S2536" s="82"/>
      <c r="U2536" s="37"/>
    </row>
    <row r="2537" spans="1:21" x14ac:dyDescent="0.25">
      <c r="A2537" s="31" t="str">
        <f>IF(Table!A2537 = "","",Table!A2537)</f>
        <v/>
      </c>
      <c r="B2537" s="31" t="str">
        <f>IF(Table!B2537 = "","",Table!B2537)</f>
        <v/>
      </c>
      <c r="C2537" s="31" t="str">
        <f>IF(Table!C2537 = "","",Table!C2537)</f>
        <v/>
      </c>
      <c r="D2537" s="32" t="str">
        <f>IF(Table!D2537 = "","",Table!D2537)</f>
        <v/>
      </c>
      <c r="E2537" s="32" t="str">
        <f>IF(Table!E2537 = "","",Table!E2537)</f>
        <v/>
      </c>
      <c r="F2537" s="32" t="str">
        <f>IF(Table!F2537 = "","",Table!F2537)</f>
        <v/>
      </c>
      <c r="G2537" s="91"/>
      <c r="K2537" s="31" t="str">
        <f>IFERROR(VLOOKUP(A2537,Table!$I$4:$O$3000,1,TRUE),"")</f>
        <v/>
      </c>
      <c r="L2537" s="31" t="str">
        <f>IFERROR(INDEX(Table!I:O,MATCH(K2537,Table!I:I,0),2),"")</f>
        <v/>
      </c>
      <c r="M2537" s="31" t="str">
        <f>IFERROR(INDEX(Table!I:O,MATCH(K2537,Table!I:I,0),3),"")</f>
        <v/>
      </c>
      <c r="N2537" s="32" t="str">
        <f>IFERROR(INDEX(Table!I:O,MATCH(K2537,Table!I:I,0),4),"")</f>
        <v/>
      </c>
      <c r="O2537" s="32" t="str">
        <f>IFERROR(INDEX(Table!I:O,MATCH(K2537,Table!I:I,0),5),"")</f>
        <v/>
      </c>
      <c r="P2537" s="32" t="str">
        <f>IFERROR(INDEX(Table!I:O,MATCH(K2537,Table!I:I,0),6),"")</f>
        <v/>
      </c>
      <c r="Q2537" s="89" t="str">
        <f t="shared" si="112"/>
        <v/>
      </c>
      <c r="R2537" s="89" t="str">
        <f t="shared" si="113"/>
        <v/>
      </c>
      <c r="S2537" s="82"/>
      <c r="U2537" s="37"/>
    </row>
    <row r="2538" spans="1:21" x14ac:dyDescent="0.25">
      <c r="A2538" s="31" t="str">
        <f>IF(Table!A2538 = "","",Table!A2538)</f>
        <v/>
      </c>
      <c r="B2538" s="31" t="str">
        <f>IF(Table!B2538 = "","",Table!B2538)</f>
        <v/>
      </c>
      <c r="C2538" s="31" t="str">
        <f>IF(Table!C2538 = "","",Table!C2538)</f>
        <v/>
      </c>
      <c r="D2538" s="32" t="str">
        <f>IF(Table!D2538 = "","",Table!D2538)</f>
        <v/>
      </c>
      <c r="E2538" s="32" t="str">
        <f>IF(Table!E2538 = "","",Table!E2538)</f>
        <v/>
      </c>
      <c r="F2538" s="32" t="str">
        <f>IF(Table!F2538 = "","",Table!F2538)</f>
        <v/>
      </c>
      <c r="G2538" s="91"/>
      <c r="K2538" s="31" t="str">
        <f>IFERROR(VLOOKUP(A2538,Table!$I$4:$O$3000,1,TRUE),"")</f>
        <v/>
      </c>
      <c r="L2538" s="31" t="str">
        <f>IFERROR(INDEX(Table!I:O,MATCH(K2538,Table!I:I,0),2),"")</f>
        <v/>
      </c>
      <c r="M2538" s="31" t="str">
        <f>IFERROR(INDEX(Table!I:O,MATCH(K2538,Table!I:I,0),3),"")</f>
        <v/>
      </c>
      <c r="N2538" s="32" t="str">
        <f>IFERROR(INDEX(Table!I:O,MATCH(K2538,Table!I:I,0),4),"")</f>
        <v/>
      </c>
      <c r="O2538" s="32" t="str">
        <f>IFERROR(INDEX(Table!I:O,MATCH(K2538,Table!I:I,0),5),"")</f>
        <v/>
      </c>
      <c r="P2538" s="32" t="str">
        <f>IFERROR(INDEX(Table!I:O,MATCH(K2538,Table!I:I,0),6),"")</f>
        <v/>
      </c>
      <c r="Q2538" s="89" t="str">
        <f t="shared" si="112"/>
        <v/>
      </c>
      <c r="R2538" s="89" t="str">
        <f t="shared" si="113"/>
        <v/>
      </c>
      <c r="S2538" s="82"/>
      <c r="U2538" s="37"/>
    </row>
    <row r="2539" spans="1:21" x14ac:dyDescent="0.25">
      <c r="A2539" s="31" t="str">
        <f>IF(Table!A2539 = "","",Table!A2539)</f>
        <v/>
      </c>
      <c r="B2539" s="31" t="str">
        <f>IF(Table!B2539 = "","",Table!B2539)</f>
        <v/>
      </c>
      <c r="C2539" s="31" t="str">
        <f>IF(Table!C2539 = "","",Table!C2539)</f>
        <v/>
      </c>
      <c r="D2539" s="32" t="str">
        <f>IF(Table!D2539 = "","",Table!D2539)</f>
        <v/>
      </c>
      <c r="E2539" s="32" t="str">
        <f>IF(Table!E2539 = "","",Table!E2539)</f>
        <v/>
      </c>
      <c r="F2539" s="32" t="str">
        <f>IF(Table!F2539 = "","",Table!F2539)</f>
        <v/>
      </c>
      <c r="G2539" s="91"/>
      <c r="K2539" s="31" t="str">
        <f>IFERROR(VLOOKUP(A2539,Table!$I$4:$O$3000,1,TRUE),"")</f>
        <v/>
      </c>
      <c r="L2539" s="31" t="str">
        <f>IFERROR(INDEX(Table!I:O,MATCH(K2539,Table!I:I,0),2),"")</f>
        <v/>
      </c>
      <c r="M2539" s="31" t="str">
        <f>IFERROR(INDEX(Table!I:O,MATCH(K2539,Table!I:I,0),3),"")</f>
        <v/>
      </c>
      <c r="N2539" s="32" t="str">
        <f>IFERROR(INDEX(Table!I:O,MATCH(K2539,Table!I:I,0),4),"")</f>
        <v/>
      </c>
      <c r="O2539" s="32" t="str">
        <f>IFERROR(INDEX(Table!I:O,MATCH(K2539,Table!I:I,0),5),"")</f>
        <v/>
      </c>
      <c r="P2539" s="32" t="str">
        <f>IFERROR(INDEX(Table!I:O,MATCH(K2539,Table!I:I,0),6),"")</f>
        <v/>
      </c>
      <c r="Q2539" s="89" t="str">
        <f t="shared" si="112"/>
        <v/>
      </c>
      <c r="R2539" s="89" t="str">
        <f t="shared" si="113"/>
        <v/>
      </c>
      <c r="S2539" s="82"/>
      <c r="U2539" s="37"/>
    </row>
    <row r="2540" spans="1:21" x14ac:dyDescent="0.25">
      <c r="A2540" s="31" t="str">
        <f>IF(Table!A2540 = "","",Table!A2540)</f>
        <v/>
      </c>
      <c r="B2540" s="31" t="str">
        <f>IF(Table!B2540 = "","",Table!B2540)</f>
        <v/>
      </c>
      <c r="C2540" s="31" t="str">
        <f>IF(Table!C2540 = "","",Table!C2540)</f>
        <v/>
      </c>
      <c r="D2540" s="32" t="str">
        <f>IF(Table!D2540 = "","",Table!D2540)</f>
        <v/>
      </c>
      <c r="E2540" s="32" t="str">
        <f>IF(Table!E2540 = "","",Table!E2540)</f>
        <v/>
      </c>
      <c r="F2540" s="32" t="str">
        <f>IF(Table!F2540 = "","",Table!F2540)</f>
        <v/>
      </c>
      <c r="G2540" s="91"/>
      <c r="K2540" s="31" t="str">
        <f>IFERROR(VLOOKUP(A2540,Table!$I$4:$O$3000,1,TRUE),"")</f>
        <v/>
      </c>
      <c r="L2540" s="31" t="str">
        <f>IFERROR(INDEX(Table!I:O,MATCH(K2540,Table!I:I,0),2),"")</f>
        <v/>
      </c>
      <c r="M2540" s="31" t="str">
        <f>IFERROR(INDEX(Table!I:O,MATCH(K2540,Table!I:I,0),3),"")</f>
        <v/>
      </c>
      <c r="N2540" s="32" t="str">
        <f>IFERROR(INDEX(Table!I:O,MATCH(K2540,Table!I:I,0),4),"")</f>
        <v/>
      </c>
      <c r="O2540" s="32" t="str">
        <f>IFERROR(INDEX(Table!I:O,MATCH(K2540,Table!I:I,0),5),"")</f>
        <v/>
      </c>
      <c r="P2540" s="32" t="str">
        <f>IFERROR(INDEX(Table!I:O,MATCH(K2540,Table!I:I,0),6),"")</f>
        <v/>
      </c>
      <c r="Q2540" s="89" t="str">
        <f t="shared" si="112"/>
        <v/>
      </c>
      <c r="R2540" s="89" t="str">
        <f t="shared" si="113"/>
        <v/>
      </c>
      <c r="S2540" s="82"/>
      <c r="U2540" s="37"/>
    </row>
    <row r="2541" spans="1:21" x14ac:dyDescent="0.25">
      <c r="A2541" s="31" t="str">
        <f>IF(Table!A2541 = "","",Table!A2541)</f>
        <v/>
      </c>
      <c r="B2541" s="31" t="str">
        <f>IF(Table!B2541 = "","",Table!B2541)</f>
        <v/>
      </c>
      <c r="C2541" s="31" t="str">
        <f>IF(Table!C2541 = "","",Table!C2541)</f>
        <v/>
      </c>
      <c r="D2541" s="32" t="str">
        <f>IF(Table!D2541 = "","",Table!D2541)</f>
        <v/>
      </c>
      <c r="E2541" s="32" t="str">
        <f>IF(Table!E2541 = "","",Table!E2541)</f>
        <v/>
      </c>
      <c r="F2541" s="32" t="str">
        <f>IF(Table!F2541 = "","",Table!F2541)</f>
        <v/>
      </c>
      <c r="G2541" s="91"/>
      <c r="K2541" s="31" t="str">
        <f>IFERROR(VLOOKUP(A2541,Table!$I$4:$O$3000,1,TRUE),"")</f>
        <v/>
      </c>
      <c r="L2541" s="31" t="str">
        <f>IFERROR(INDEX(Table!I:O,MATCH(K2541,Table!I:I,0),2),"")</f>
        <v/>
      </c>
      <c r="M2541" s="31" t="str">
        <f>IFERROR(INDEX(Table!I:O,MATCH(K2541,Table!I:I,0),3),"")</f>
        <v/>
      </c>
      <c r="N2541" s="32" t="str">
        <f>IFERROR(INDEX(Table!I:O,MATCH(K2541,Table!I:I,0),4),"")</f>
        <v/>
      </c>
      <c r="O2541" s="32" t="str">
        <f>IFERROR(INDEX(Table!I:O,MATCH(K2541,Table!I:I,0),5),"")</f>
        <v/>
      </c>
      <c r="P2541" s="32" t="str">
        <f>IFERROR(INDEX(Table!I:O,MATCH(K2541,Table!I:I,0),6),"")</f>
        <v/>
      </c>
      <c r="Q2541" s="89" t="str">
        <f t="shared" si="112"/>
        <v/>
      </c>
      <c r="R2541" s="89" t="str">
        <f t="shared" si="113"/>
        <v/>
      </c>
      <c r="S2541" s="82"/>
      <c r="U2541" s="37"/>
    </row>
    <row r="2542" spans="1:21" x14ac:dyDescent="0.25">
      <c r="A2542" s="31" t="str">
        <f>IF(Table!A2542 = "","",Table!A2542)</f>
        <v/>
      </c>
      <c r="B2542" s="31" t="str">
        <f>IF(Table!B2542 = "","",Table!B2542)</f>
        <v/>
      </c>
      <c r="C2542" s="31" t="str">
        <f>IF(Table!C2542 = "","",Table!C2542)</f>
        <v/>
      </c>
      <c r="D2542" s="32" t="str">
        <f>IF(Table!D2542 = "","",Table!D2542)</f>
        <v/>
      </c>
      <c r="E2542" s="32" t="str">
        <f>IF(Table!E2542 = "","",Table!E2542)</f>
        <v/>
      </c>
      <c r="F2542" s="32" t="str">
        <f>IF(Table!F2542 = "","",Table!F2542)</f>
        <v/>
      </c>
      <c r="G2542" s="91"/>
      <c r="K2542" s="31" t="str">
        <f>IFERROR(VLOOKUP(A2542,Table!$I$4:$O$3000,1,TRUE),"")</f>
        <v/>
      </c>
      <c r="L2542" s="31" t="str">
        <f>IFERROR(INDEX(Table!I:O,MATCH(K2542,Table!I:I,0),2),"")</f>
        <v/>
      </c>
      <c r="M2542" s="31" t="str">
        <f>IFERROR(INDEX(Table!I:O,MATCH(K2542,Table!I:I,0),3),"")</f>
        <v/>
      </c>
      <c r="N2542" s="32" t="str">
        <f>IFERROR(INDEX(Table!I:O,MATCH(K2542,Table!I:I,0),4),"")</f>
        <v/>
      </c>
      <c r="O2542" s="32" t="str">
        <f>IFERROR(INDEX(Table!I:O,MATCH(K2542,Table!I:I,0),5),"")</f>
        <v/>
      </c>
      <c r="P2542" s="32" t="str">
        <f>IFERROR(INDEX(Table!I:O,MATCH(K2542,Table!I:I,0),6),"")</f>
        <v/>
      </c>
      <c r="Q2542" s="89" t="str">
        <f t="shared" si="112"/>
        <v/>
      </c>
      <c r="R2542" s="89" t="str">
        <f t="shared" si="113"/>
        <v/>
      </c>
      <c r="S2542" s="82"/>
      <c r="U2542" s="37"/>
    </row>
    <row r="2543" spans="1:21" x14ac:dyDescent="0.25">
      <c r="A2543" s="31" t="str">
        <f>IF(Table!A2543 = "","",Table!A2543)</f>
        <v/>
      </c>
      <c r="B2543" s="31" t="str">
        <f>IF(Table!B2543 = "","",Table!B2543)</f>
        <v/>
      </c>
      <c r="C2543" s="31" t="str">
        <f>IF(Table!C2543 = "","",Table!C2543)</f>
        <v/>
      </c>
      <c r="D2543" s="32" t="str">
        <f>IF(Table!D2543 = "","",Table!D2543)</f>
        <v/>
      </c>
      <c r="E2543" s="32" t="str">
        <f>IF(Table!E2543 = "","",Table!E2543)</f>
        <v/>
      </c>
      <c r="F2543" s="32" t="str">
        <f>IF(Table!F2543 = "","",Table!F2543)</f>
        <v/>
      </c>
      <c r="G2543" s="91"/>
      <c r="K2543" s="31" t="str">
        <f>IFERROR(VLOOKUP(A2543,Table!$I$4:$O$3000,1,TRUE),"")</f>
        <v/>
      </c>
      <c r="L2543" s="31" t="str">
        <f>IFERROR(INDEX(Table!I:O,MATCH(K2543,Table!I:I,0),2),"")</f>
        <v/>
      </c>
      <c r="M2543" s="31" t="str">
        <f>IFERROR(INDEX(Table!I:O,MATCH(K2543,Table!I:I,0),3),"")</f>
        <v/>
      </c>
      <c r="N2543" s="32" t="str">
        <f>IFERROR(INDEX(Table!I:O,MATCH(K2543,Table!I:I,0),4),"")</f>
        <v/>
      </c>
      <c r="O2543" s="32" t="str">
        <f>IFERROR(INDEX(Table!I:O,MATCH(K2543,Table!I:I,0),5),"")</f>
        <v/>
      </c>
      <c r="P2543" s="32" t="str">
        <f>IFERROR(INDEX(Table!I:O,MATCH(K2543,Table!I:I,0),6),"")</f>
        <v/>
      </c>
      <c r="Q2543" s="89" t="str">
        <f t="shared" si="112"/>
        <v/>
      </c>
      <c r="R2543" s="89" t="str">
        <f t="shared" si="113"/>
        <v/>
      </c>
      <c r="S2543" s="82"/>
      <c r="U2543" s="37"/>
    </row>
    <row r="2544" spans="1:21" x14ac:dyDescent="0.25">
      <c r="A2544" s="31" t="str">
        <f>IF(Table!A2544 = "","",Table!A2544)</f>
        <v/>
      </c>
      <c r="B2544" s="31" t="str">
        <f>IF(Table!B2544 = "","",Table!B2544)</f>
        <v/>
      </c>
      <c r="C2544" s="31" t="str">
        <f>IF(Table!C2544 = "","",Table!C2544)</f>
        <v/>
      </c>
      <c r="D2544" s="32" t="str">
        <f>IF(Table!D2544 = "","",Table!D2544)</f>
        <v/>
      </c>
      <c r="E2544" s="32" t="str">
        <f>IF(Table!E2544 = "","",Table!E2544)</f>
        <v/>
      </c>
      <c r="F2544" s="32" t="str">
        <f>IF(Table!F2544 = "","",Table!F2544)</f>
        <v/>
      </c>
      <c r="G2544" s="91"/>
      <c r="K2544" s="31" t="str">
        <f>IFERROR(VLOOKUP(A2544,Table!$I$4:$O$3000,1,TRUE),"")</f>
        <v/>
      </c>
      <c r="L2544" s="31" t="str">
        <f>IFERROR(INDEX(Table!I:O,MATCH(K2544,Table!I:I,0),2),"")</f>
        <v/>
      </c>
      <c r="M2544" s="31" t="str">
        <f>IFERROR(INDEX(Table!I:O,MATCH(K2544,Table!I:I,0),3),"")</f>
        <v/>
      </c>
      <c r="N2544" s="32" t="str">
        <f>IFERROR(INDEX(Table!I:O,MATCH(K2544,Table!I:I,0),4),"")</f>
        <v/>
      </c>
      <c r="O2544" s="32" t="str">
        <f>IFERROR(INDEX(Table!I:O,MATCH(K2544,Table!I:I,0),5),"")</f>
        <v/>
      </c>
      <c r="P2544" s="32" t="str">
        <f>IFERROR(INDEX(Table!I:O,MATCH(K2544,Table!I:I,0),6),"")</f>
        <v/>
      </c>
      <c r="Q2544" s="89" t="str">
        <f t="shared" si="112"/>
        <v/>
      </c>
      <c r="R2544" s="89" t="str">
        <f t="shared" si="113"/>
        <v/>
      </c>
      <c r="S2544" s="82"/>
      <c r="U2544" s="37"/>
    </row>
    <row r="2545" spans="1:21" x14ac:dyDescent="0.25">
      <c r="A2545" s="31" t="str">
        <f>IF(Table!A2545 = "","",Table!A2545)</f>
        <v/>
      </c>
      <c r="B2545" s="31" t="str">
        <f>IF(Table!B2545 = "","",Table!B2545)</f>
        <v/>
      </c>
      <c r="C2545" s="31" t="str">
        <f>IF(Table!C2545 = "","",Table!C2545)</f>
        <v/>
      </c>
      <c r="D2545" s="32" t="str">
        <f>IF(Table!D2545 = "","",Table!D2545)</f>
        <v/>
      </c>
      <c r="E2545" s="32" t="str">
        <f>IF(Table!E2545 = "","",Table!E2545)</f>
        <v/>
      </c>
      <c r="F2545" s="32" t="str">
        <f>IF(Table!F2545 = "","",Table!F2545)</f>
        <v/>
      </c>
      <c r="G2545" s="91"/>
      <c r="K2545" s="31" t="str">
        <f>IFERROR(VLOOKUP(A2545,Table!$I$4:$O$3000,1,TRUE),"")</f>
        <v/>
      </c>
      <c r="L2545" s="31" t="str">
        <f>IFERROR(INDEX(Table!I:O,MATCH(K2545,Table!I:I,0),2),"")</f>
        <v/>
      </c>
      <c r="M2545" s="31" t="str">
        <f>IFERROR(INDEX(Table!I:O,MATCH(K2545,Table!I:I,0),3),"")</f>
        <v/>
      </c>
      <c r="N2545" s="32" t="str">
        <f>IFERROR(INDEX(Table!I:O,MATCH(K2545,Table!I:I,0),4),"")</f>
        <v/>
      </c>
      <c r="O2545" s="32" t="str">
        <f>IFERROR(INDEX(Table!I:O,MATCH(K2545,Table!I:I,0),5),"")</f>
        <v/>
      </c>
      <c r="P2545" s="32" t="str">
        <f>IFERROR(INDEX(Table!I:O,MATCH(K2545,Table!I:I,0),6),"")</f>
        <v/>
      </c>
      <c r="Q2545" s="89" t="str">
        <f t="shared" si="112"/>
        <v/>
      </c>
      <c r="R2545" s="89" t="str">
        <f t="shared" si="113"/>
        <v/>
      </c>
      <c r="S2545" s="82"/>
      <c r="U2545" s="37"/>
    </row>
    <row r="2546" spans="1:21" x14ac:dyDescent="0.25">
      <c r="A2546" s="31" t="str">
        <f>IF(Table!A2546 = "","",Table!A2546)</f>
        <v/>
      </c>
      <c r="B2546" s="31" t="str">
        <f>IF(Table!B2546 = "","",Table!B2546)</f>
        <v/>
      </c>
      <c r="C2546" s="31" t="str">
        <f>IF(Table!C2546 = "","",Table!C2546)</f>
        <v/>
      </c>
      <c r="D2546" s="32" t="str">
        <f>IF(Table!D2546 = "","",Table!D2546)</f>
        <v/>
      </c>
      <c r="E2546" s="32" t="str">
        <f>IF(Table!E2546 = "","",Table!E2546)</f>
        <v/>
      </c>
      <c r="F2546" s="32" t="str">
        <f>IF(Table!F2546 = "","",Table!F2546)</f>
        <v/>
      </c>
      <c r="G2546" s="91"/>
      <c r="K2546" s="31" t="str">
        <f>IFERROR(VLOOKUP(A2546,Table!$I$4:$O$3000,1,TRUE),"")</f>
        <v/>
      </c>
      <c r="L2546" s="31" t="str">
        <f>IFERROR(INDEX(Table!I:O,MATCH(K2546,Table!I:I,0),2),"")</f>
        <v/>
      </c>
      <c r="M2546" s="31" t="str">
        <f>IFERROR(INDEX(Table!I:O,MATCH(K2546,Table!I:I,0),3),"")</f>
        <v/>
      </c>
      <c r="N2546" s="32" t="str">
        <f>IFERROR(INDEX(Table!I:O,MATCH(K2546,Table!I:I,0),4),"")</f>
        <v/>
      </c>
      <c r="O2546" s="32" t="str">
        <f>IFERROR(INDEX(Table!I:O,MATCH(K2546,Table!I:I,0),5),"")</f>
        <v/>
      </c>
      <c r="P2546" s="32" t="str">
        <f>IFERROR(INDEX(Table!I:O,MATCH(K2546,Table!I:I,0),6),"")</f>
        <v/>
      </c>
      <c r="Q2546" s="89" t="str">
        <f t="shared" si="112"/>
        <v/>
      </c>
      <c r="R2546" s="89" t="str">
        <f t="shared" si="113"/>
        <v/>
      </c>
      <c r="S2546" s="82"/>
      <c r="U2546" s="37"/>
    </row>
    <row r="2547" spans="1:21" x14ac:dyDescent="0.25">
      <c r="A2547" s="31" t="str">
        <f>IF(Table!A2547 = "","",Table!A2547)</f>
        <v/>
      </c>
      <c r="B2547" s="31" t="str">
        <f>IF(Table!B2547 = "","",Table!B2547)</f>
        <v/>
      </c>
      <c r="C2547" s="31" t="str">
        <f>IF(Table!C2547 = "","",Table!C2547)</f>
        <v/>
      </c>
      <c r="D2547" s="32" t="str">
        <f>IF(Table!D2547 = "","",Table!D2547)</f>
        <v/>
      </c>
      <c r="E2547" s="32" t="str">
        <f>IF(Table!E2547 = "","",Table!E2547)</f>
        <v/>
      </c>
      <c r="F2547" s="32" t="str">
        <f>IF(Table!F2547 = "","",Table!F2547)</f>
        <v/>
      </c>
      <c r="G2547" s="91"/>
      <c r="K2547" s="31" t="str">
        <f>IFERROR(VLOOKUP(A2547,Table!$I$4:$O$3000,1,TRUE),"")</f>
        <v/>
      </c>
      <c r="L2547" s="31" t="str">
        <f>IFERROR(INDEX(Table!I:O,MATCH(K2547,Table!I:I,0),2),"")</f>
        <v/>
      </c>
      <c r="M2547" s="31" t="str">
        <f>IFERROR(INDEX(Table!I:O,MATCH(K2547,Table!I:I,0),3),"")</f>
        <v/>
      </c>
      <c r="N2547" s="32" t="str">
        <f>IFERROR(INDEX(Table!I:O,MATCH(K2547,Table!I:I,0),4),"")</f>
        <v/>
      </c>
      <c r="O2547" s="32" t="str">
        <f>IFERROR(INDEX(Table!I:O,MATCH(K2547,Table!I:I,0),5),"")</f>
        <v/>
      </c>
      <c r="P2547" s="32" t="str">
        <f>IFERROR(INDEX(Table!I:O,MATCH(K2547,Table!I:I,0),6),"")</f>
        <v/>
      </c>
      <c r="Q2547" s="89" t="str">
        <f t="shared" si="112"/>
        <v/>
      </c>
      <c r="R2547" s="89" t="str">
        <f t="shared" si="113"/>
        <v/>
      </c>
      <c r="S2547" s="82"/>
      <c r="U2547" s="37"/>
    </row>
    <row r="2548" spans="1:21" x14ac:dyDescent="0.25">
      <c r="A2548" s="31" t="str">
        <f>IF(Table!A2548 = "","",Table!A2548)</f>
        <v/>
      </c>
      <c r="B2548" s="31" t="str">
        <f>IF(Table!B2548 = "","",Table!B2548)</f>
        <v/>
      </c>
      <c r="C2548" s="31" t="str">
        <f>IF(Table!C2548 = "","",Table!C2548)</f>
        <v/>
      </c>
      <c r="D2548" s="32" t="str">
        <f>IF(Table!D2548 = "","",Table!D2548)</f>
        <v/>
      </c>
      <c r="E2548" s="32" t="str">
        <f>IF(Table!E2548 = "","",Table!E2548)</f>
        <v/>
      </c>
      <c r="F2548" s="32" t="str">
        <f>IF(Table!F2548 = "","",Table!F2548)</f>
        <v/>
      </c>
      <c r="G2548" s="91"/>
      <c r="K2548" s="31" t="str">
        <f>IFERROR(VLOOKUP(A2548,Table!$I$4:$O$3000,1,TRUE),"")</f>
        <v/>
      </c>
      <c r="L2548" s="31" t="str">
        <f>IFERROR(INDEX(Table!I:O,MATCH(K2548,Table!I:I,0),2),"")</f>
        <v/>
      </c>
      <c r="M2548" s="31" t="str">
        <f>IFERROR(INDEX(Table!I:O,MATCH(K2548,Table!I:I,0),3),"")</f>
        <v/>
      </c>
      <c r="N2548" s="32" t="str">
        <f>IFERROR(INDEX(Table!I:O,MATCH(K2548,Table!I:I,0),4),"")</f>
        <v/>
      </c>
      <c r="O2548" s="32" t="str">
        <f>IFERROR(INDEX(Table!I:O,MATCH(K2548,Table!I:I,0),5),"")</f>
        <v/>
      </c>
      <c r="P2548" s="32" t="str">
        <f>IFERROR(INDEX(Table!I:O,MATCH(K2548,Table!I:I,0),6),"")</f>
        <v/>
      </c>
      <c r="Q2548" s="89" t="str">
        <f t="shared" si="112"/>
        <v/>
      </c>
      <c r="R2548" s="89" t="str">
        <f t="shared" si="113"/>
        <v/>
      </c>
      <c r="S2548" s="82"/>
      <c r="U2548" s="37"/>
    </row>
    <row r="2549" spans="1:21" x14ac:dyDescent="0.25">
      <c r="A2549" s="31" t="str">
        <f>IF(Table!A2549 = "","",Table!A2549)</f>
        <v/>
      </c>
      <c r="B2549" s="31" t="str">
        <f>IF(Table!B2549 = "","",Table!B2549)</f>
        <v/>
      </c>
      <c r="C2549" s="31" t="str">
        <f>IF(Table!C2549 = "","",Table!C2549)</f>
        <v/>
      </c>
      <c r="D2549" s="32" t="str">
        <f>IF(Table!D2549 = "","",Table!D2549)</f>
        <v/>
      </c>
      <c r="E2549" s="32" t="str">
        <f>IF(Table!E2549 = "","",Table!E2549)</f>
        <v/>
      </c>
      <c r="F2549" s="32" t="str">
        <f>IF(Table!F2549 = "","",Table!F2549)</f>
        <v/>
      </c>
      <c r="G2549" s="91"/>
      <c r="K2549" s="31" t="str">
        <f>IFERROR(VLOOKUP(A2549,Table!$I$4:$O$3000,1,TRUE),"")</f>
        <v/>
      </c>
      <c r="L2549" s="31" t="str">
        <f>IFERROR(INDEX(Table!I:O,MATCH(K2549,Table!I:I,0),2),"")</f>
        <v/>
      </c>
      <c r="M2549" s="31" t="str">
        <f>IFERROR(INDEX(Table!I:O,MATCH(K2549,Table!I:I,0),3),"")</f>
        <v/>
      </c>
      <c r="N2549" s="32" t="str">
        <f>IFERROR(INDEX(Table!I:O,MATCH(K2549,Table!I:I,0),4),"")</f>
        <v/>
      </c>
      <c r="O2549" s="32" t="str">
        <f>IFERROR(INDEX(Table!I:O,MATCH(K2549,Table!I:I,0),5),"")</f>
        <v/>
      </c>
      <c r="P2549" s="32" t="str">
        <f>IFERROR(INDEX(Table!I:O,MATCH(K2549,Table!I:I,0),6),"")</f>
        <v/>
      </c>
      <c r="Q2549" s="89" t="str">
        <f t="shared" si="112"/>
        <v/>
      </c>
      <c r="R2549" s="89" t="str">
        <f t="shared" si="113"/>
        <v/>
      </c>
      <c r="S2549" s="82"/>
      <c r="U2549" s="37"/>
    </row>
    <row r="2550" spans="1:21" x14ac:dyDescent="0.25">
      <c r="A2550" s="31" t="str">
        <f>IF(Table!A2550 = "","",Table!A2550)</f>
        <v/>
      </c>
      <c r="B2550" s="31" t="str">
        <f>IF(Table!B2550 = "","",Table!B2550)</f>
        <v/>
      </c>
      <c r="C2550" s="31" t="str">
        <f>IF(Table!C2550 = "","",Table!C2550)</f>
        <v/>
      </c>
      <c r="D2550" s="32" t="str">
        <f>IF(Table!D2550 = "","",Table!D2550)</f>
        <v/>
      </c>
      <c r="E2550" s="32" t="str">
        <f>IF(Table!E2550 = "","",Table!E2550)</f>
        <v/>
      </c>
      <c r="F2550" s="32" t="str">
        <f>IF(Table!F2550 = "","",Table!F2550)</f>
        <v/>
      </c>
      <c r="G2550" s="91"/>
      <c r="K2550" s="31" t="str">
        <f>IFERROR(VLOOKUP(A2550,Table!$I$4:$O$3000,1,TRUE),"")</f>
        <v/>
      </c>
      <c r="L2550" s="31" t="str">
        <f>IFERROR(INDEX(Table!I:O,MATCH(K2550,Table!I:I,0),2),"")</f>
        <v/>
      </c>
      <c r="M2550" s="31" t="str">
        <f>IFERROR(INDEX(Table!I:O,MATCH(K2550,Table!I:I,0),3),"")</f>
        <v/>
      </c>
      <c r="N2550" s="32" t="str">
        <f>IFERROR(INDEX(Table!I:O,MATCH(K2550,Table!I:I,0),4),"")</f>
        <v/>
      </c>
      <c r="O2550" s="32" t="str">
        <f>IFERROR(INDEX(Table!I:O,MATCH(K2550,Table!I:I,0),5),"")</f>
        <v/>
      </c>
      <c r="P2550" s="32" t="str">
        <f>IFERROR(INDEX(Table!I:O,MATCH(K2550,Table!I:I,0),6),"")</f>
        <v/>
      </c>
      <c r="Q2550" s="89" t="str">
        <f t="shared" si="112"/>
        <v/>
      </c>
      <c r="R2550" s="89" t="str">
        <f t="shared" si="113"/>
        <v/>
      </c>
      <c r="S2550" s="82"/>
      <c r="U2550" s="37"/>
    </row>
    <row r="2551" spans="1:21" x14ac:dyDescent="0.25">
      <c r="A2551" s="31" t="str">
        <f>IF(Table!A2551 = "","",Table!A2551)</f>
        <v/>
      </c>
      <c r="B2551" s="31" t="str">
        <f>IF(Table!B2551 = "","",Table!B2551)</f>
        <v/>
      </c>
      <c r="C2551" s="31" t="str">
        <f>IF(Table!C2551 = "","",Table!C2551)</f>
        <v/>
      </c>
      <c r="D2551" s="32" t="str">
        <f>IF(Table!D2551 = "","",Table!D2551)</f>
        <v/>
      </c>
      <c r="E2551" s="32" t="str">
        <f>IF(Table!E2551 = "","",Table!E2551)</f>
        <v/>
      </c>
      <c r="F2551" s="32" t="str">
        <f>IF(Table!F2551 = "","",Table!F2551)</f>
        <v/>
      </c>
      <c r="G2551" s="91"/>
      <c r="K2551" s="31" t="str">
        <f>IFERROR(VLOOKUP(A2551,Table!$I$4:$O$3000,1,TRUE),"")</f>
        <v/>
      </c>
      <c r="L2551" s="31" t="str">
        <f>IFERROR(INDEX(Table!I:O,MATCH(K2551,Table!I:I,0),2),"")</f>
        <v/>
      </c>
      <c r="M2551" s="31" t="str">
        <f>IFERROR(INDEX(Table!I:O,MATCH(K2551,Table!I:I,0),3),"")</f>
        <v/>
      </c>
      <c r="N2551" s="32" t="str">
        <f>IFERROR(INDEX(Table!I:O,MATCH(K2551,Table!I:I,0),4),"")</f>
        <v/>
      </c>
      <c r="O2551" s="32" t="str">
        <f>IFERROR(INDEX(Table!I:O,MATCH(K2551,Table!I:I,0),5),"")</f>
        <v/>
      </c>
      <c r="P2551" s="32" t="str">
        <f>IFERROR(INDEX(Table!I:O,MATCH(K2551,Table!I:I,0),6),"")</f>
        <v/>
      </c>
      <c r="Q2551" s="89" t="str">
        <f t="shared" si="112"/>
        <v/>
      </c>
      <c r="R2551" s="89" t="str">
        <f t="shared" si="113"/>
        <v/>
      </c>
      <c r="S2551" s="82"/>
      <c r="U2551" s="37"/>
    </row>
    <row r="2552" spans="1:21" x14ac:dyDescent="0.25">
      <c r="A2552" s="31" t="str">
        <f>IF(Table!A2552 = "","",Table!A2552)</f>
        <v/>
      </c>
      <c r="B2552" s="31" t="str">
        <f>IF(Table!B2552 = "","",Table!B2552)</f>
        <v/>
      </c>
      <c r="C2552" s="31" t="str">
        <f>IF(Table!C2552 = "","",Table!C2552)</f>
        <v/>
      </c>
      <c r="D2552" s="32" t="str">
        <f>IF(Table!D2552 = "","",Table!D2552)</f>
        <v/>
      </c>
      <c r="E2552" s="32" t="str">
        <f>IF(Table!E2552 = "","",Table!E2552)</f>
        <v/>
      </c>
      <c r="F2552" s="32" t="str">
        <f>IF(Table!F2552 = "","",Table!F2552)</f>
        <v/>
      </c>
      <c r="G2552" s="91"/>
      <c r="K2552" s="31" t="str">
        <f>IFERROR(VLOOKUP(A2552,Table!$I$4:$O$3000,1,TRUE),"")</f>
        <v/>
      </c>
      <c r="L2552" s="31" t="str">
        <f>IFERROR(INDEX(Table!I:O,MATCH(K2552,Table!I:I,0),2),"")</f>
        <v/>
      </c>
      <c r="M2552" s="31" t="str">
        <f>IFERROR(INDEX(Table!I:O,MATCH(K2552,Table!I:I,0),3),"")</f>
        <v/>
      </c>
      <c r="N2552" s="32" t="str">
        <f>IFERROR(INDEX(Table!I:O,MATCH(K2552,Table!I:I,0),4),"")</f>
        <v/>
      </c>
      <c r="O2552" s="32" t="str">
        <f>IFERROR(INDEX(Table!I:O,MATCH(K2552,Table!I:I,0),5),"")</f>
        <v/>
      </c>
      <c r="P2552" s="32" t="str">
        <f>IFERROR(INDEX(Table!I:O,MATCH(K2552,Table!I:I,0),6),"")</f>
        <v/>
      </c>
      <c r="Q2552" s="89" t="str">
        <f t="shared" si="112"/>
        <v/>
      </c>
      <c r="R2552" s="89" t="str">
        <f t="shared" si="113"/>
        <v/>
      </c>
      <c r="S2552" s="82"/>
      <c r="U2552" s="37"/>
    </row>
    <row r="2553" spans="1:21" x14ac:dyDescent="0.25">
      <c r="A2553" s="31" t="str">
        <f>IF(Table!A2553 = "","",Table!A2553)</f>
        <v/>
      </c>
      <c r="B2553" s="31" t="str">
        <f>IF(Table!B2553 = "","",Table!B2553)</f>
        <v/>
      </c>
      <c r="C2553" s="31" t="str">
        <f>IF(Table!C2553 = "","",Table!C2553)</f>
        <v/>
      </c>
      <c r="D2553" s="32" t="str">
        <f>IF(Table!D2553 = "","",Table!D2553)</f>
        <v/>
      </c>
      <c r="E2553" s="32" t="str">
        <f>IF(Table!E2553 = "","",Table!E2553)</f>
        <v/>
      </c>
      <c r="F2553" s="32" t="str">
        <f>IF(Table!F2553 = "","",Table!F2553)</f>
        <v/>
      </c>
      <c r="G2553" s="91"/>
      <c r="K2553" s="31" t="str">
        <f>IFERROR(VLOOKUP(A2553,Table!$I$4:$O$3000,1,TRUE),"")</f>
        <v/>
      </c>
      <c r="L2553" s="31" t="str">
        <f>IFERROR(INDEX(Table!I:O,MATCH(K2553,Table!I:I,0),2),"")</f>
        <v/>
      </c>
      <c r="M2553" s="31" t="str">
        <f>IFERROR(INDEX(Table!I:O,MATCH(K2553,Table!I:I,0),3),"")</f>
        <v/>
      </c>
      <c r="N2553" s="32" t="str">
        <f>IFERROR(INDEX(Table!I:O,MATCH(K2553,Table!I:I,0),4),"")</f>
        <v/>
      </c>
      <c r="O2553" s="32" t="str">
        <f>IFERROR(INDEX(Table!I:O,MATCH(K2553,Table!I:I,0),5),"")</f>
        <v/>
      </c>
      <c r="P2553" s="32" t="str">
        <f>IFERROR(INDEX(Table!I:O,MATCH(K2553,Table!I:I,0),6),"")</f>
        <v/>
      </c>
      <c r="Q2553" s="89" t="str">
        <f t="shared" si="112"/>
        <v/>
      </c>
      <c r="R2553" s="89" t="str">
        <f t="shared" si="113"/>
        <v/>
      </c>
      <c r="S2553" s="82"/>
      <c r="U2553" s="37"/>
    </row>
    <row r="2554" spans="1:21" x14ac:dyDescent="0.25">
      <c r="A2554" s="31" t="str">
        <f>IF(Table!A2554 = "","",Table!A2554)</f>
        <v/>
      </c>
      <c r="B2554" s="31" t="str">
        <f>IF(Table!B2554 = "","",Table!B2554)</f>
        <v/>
      </c>
      <c r="C2554" s="31" t="str">
        <f>IF(Table!C2554 = "","",Table!C2554)</f>
        <v/>
      </c>
      <c r="D2554" s="32" t="str">
        <f>IF(Table!D2554 = "","",Table!D2554)</f>
        <v/>
      </c>
      <c r="E2554" s="32" t="str">
        <f>IF(Table!E2554 = "","",Table!E2554)</f>
        <v/>
      </c>
      <c r="F2554" s="32" t="str">
        <f>IF(Table!F2554 = "","",Table!F2554)</f>
        <v/>
      </c>
      <c r="G2554" s="91"/>
      <c r="K2554" s="31" t="str">
        <f>IFERROR(VLOOKUP(A2554,Table!$I$4:$O$3000,1,TRUE),"")</f>
        <v/>
      </c>
      <c r="L2554" s="31" t="str">
        <f>IFERROR(INDEX(Table!I:O,MATCH(K2554,Table!I:I,0),2),"")</f>
        <v/>
      </c>
      <c r="M2554" s="31" t="str">
        <f>IFERROR(INDEX(Table!I:O,MATCH(K2554,Table!I:I,0),3),"")</f>
        <v/>
      </c>
      <c r="N2554" s="32" t="str">
        <f>IFERROR(INDEX(Table!I:O,MATCH(K2554,Table!I:I,0),4),"")</f>
        <v/>
      </c>
      <c r="O2554" s="32" t="str">
        <f>IFERROR(INDEX(Table!I:O,MATCH(K2554,Table!I:I,0),5),"")</f>
        <v/>
      </c>
      <c r="P2554" s="32" t="str">
        <f>IFERROR(INDEX(Table!I:O,MATCH(K2554,Table!I:I,0),6),"")</f>
        <v/>
      </c>
      <c r="Q2554" s="89" t="str">
        <f t="shared" si="112"/>
        <v/>
      </c>
      <c r="R2554" s="89" t="str">
        <f t="shared" si="113"/>
        <v/>
      </c>
      <c r="S2554" s="82"/>
      <c r="U2554" s="37"/>
    </row>
    <row r="2555" spans="1:21" x14ac:dyDescent="0.25">
      <c r="A2555" s="31" t="str">
        <f>IF(Table!A2555 = "","",Table!A2555)</f>
        <v/>
      </c>
      <c r="B2555" s="31" t="str">
        <f>IF(Table!B2555 = "","",Table!B2555)</f>
        <v/>
      </c>
      <c r="C2555" s="31" t="str">
        <f>IF(Table!C2555 = "","",Table!C2555)</f>
        <v/>
      </c>
      <c r="D2555" s="32" t="str">
        <f>IF(Table!D2555 = "","",Table!D2555)</f>
        <v/>
      </c>
      <c r="E2555" s="32" t="str">
        <f>IF(Table!E2555 = "","",Table!E2555)</f>
        <v/>
      </c>
      <c r="F2555" s="32" t="str">
        <f>IF(Table!F2555 = "","",Table!F2555)</f>
        <v/>
      </c>
      <c r="G2555" s="91"/>
      <c r="K2555" s="31" t="str">
        <f>IFERROR(VLOOKUP(A2555,Table!$I$4:$O$3000,1,TRUE),"")</f>
        <v/>
      </c>
      <c r="L2555" s="31" t="str">
        <f>IFERROR(INDEX(Table!I:O,MATCH(K2555,Table!I:I,0),2),"")</f>
        <v/>
      </c>
      <c r="M2555" s="31" t="str">
        <f>IFERROR(INDEX(Table!I:O,MATCH(K2555,Table!I:I,0),3),"")</f>
        <v/>
      </c>
      <c r="N2555" s="32" t="str">
        <f>IFERROR(INDEX(Table!I:O,MATCH(K2555,Table!I:I,0),4),"")</f>
        <v/>
      </c>
      <c r="O2555" s="32" t="str">
        <f>IFERROR(INDEX(Table!I:O,MATCH(K2555,Table!I:I,0),5),"")</f>
        <v/>
      </c>
      <c r="P2555" s="32" t="str">
        <f>IFERROR(INDEX(Table!I:O,MATCH(K2555,Table!I:I,0),6),"")</f>
        <v/>
      </c>
      <c r="Q2555" s="89" t="str">
        <f t="shared" si="112"/>
        <v/>
      </c>
      <c r="R2555" s="89" t="str">
        <f t="shared" si="113"/>
        <v/>
      </c>
      <c r="S2555" s="82"/>
      <c r="U2555" s="37"/>
    </row>
    <row r="2556" spans="1:21" x14ac:dyDescent="0.25">
      <c r="A2556" s="31" t="str">
        <f>IF(Table!A2556 = "","",Table!A2556)</f>
        <v/>
      </c>
      <c r="B2556" s="31" t="str">
        <f>IF(Table!B2556 = "","",Table!B2556)</f>
        <v/>
      </c>
      <c r="C2556" s="31" t="str">
        <f>IF(Table!C2556 = "","",Table!C2556)</f>
        <v/>
      </c>
      <c r="D2556" s="32" t="str">
        <f>IF(Table!D2556 = "","",Table!D2556)</f>
        <v/>
      </c>
      <c r="E2556" s="32" t="str">
        <f>IF(Table!E2556 = "","",Table!E2556)</f>
        <v/>
      </c>
      <c r="F2556" s="32" t="str">
        <f>IF(Table!F2556 = "","",Table!F2556)</f>
        <v/>
      </c>
      <c r="G2556" s="91"/>
      <c r="K2556" s="31" t="str">
        <f>IFERROR(VLOOKUP(A2556,Table!$I$4:$O$3000,1,TRUE),"")</f>
        <v/>
      </c>
      <c r="L2556" s="31" t="str">
        <f>IFERROR(INDEX(Table!I:O,MATCH(K2556,Table!I:I,0),2),"")</f>
        <v/>
      </c>
      <c r="M2556" s="31" t="str">
        <f>IFERROR(INDEX(Table!I:O,MATCH(K2556,Table!I:I,0),3),"")</f>
        <v/>
      </c>
      <c r="N2556" s="32" t="str">
        <f>IFERROR(INDEX(Table!I:O,MATCH(K2556,Table!I:I,0),4),"")</f>
        <v/>
      </c>
      <c r="O2556" s="32" t="str">
        <f>IFERROR(INDEX(Table!I:O,MATCH(K2556,Table!I:I,0),5),"")</f>
        <v/>
      </c>
      <c r="P2556" s="32" t="str">
        <f>IFERROR(INDEX(Table!I:O,MATCH(K2556,Table!I:I,0),6),"")</f>
        <v/>
      </c>
      <c r="Q2556" s="89" t="str">
        <f t="shared" si="112"/>
        <v/>
      </c>
      <c r="R2556" s="89" t="str">
        <f t="shared" si="113"/>
        <v/>
      </c>
      <c r="S2556" s="82"/>
      <c r="U2556" s="37"/>
    </row>
    <row r="2557" spans="1:21" x14ac:dyDescent="0.25">
      <c r="A2557" s="31" t="str">
        <f>IF(Table!A2557 = "","",Table!A2557)</f>
        <v/>
      </c>
      <c r="B2557" s="31" t="str">
        <f>IF(Table!B2557 = "","",Table!B2557)</f>
        <v/>
      </c>
      <c r="C2557" s="31" t="str">
        <f>IF(Table!C2557 = "","",Table!C2557)</f>
        <v/>
      </c>
      <c r="D2557" s="32" t="str">
        <f>IF(Table!D2557 = "","",Table!D2557)</f>
        <v/>
      </c>
      <c r="E2557" s="32" t="str">
        <f>IF(Table!E2557 = "","",Table!E2557)</f>
        <v/>
      </c>
      <c r="F2557" s="32" t="str">
        <f>IF(Table!F2557 = "","",Table!F2557)</f>
        <v/>
      </c>
      <c r="G2557" s="91"/>
      <c r="K2557" s="31" t="str">
        <f>IFERROR(VLOOKUP(A2557,Table!$I$4:$O$3000,1,TRUE),"")</f>
        <v/>
      </c>
      <c r="L2557" s="31" t="str">
        <f>IFERROR(INDEX(Table!I:O,MATCH(K2557,Table!I:I,0),2),"")</f>
        <v/>
      </c>
      <c r="M2557" s="31" t="str">
        <f>IFERROR(INDEX(Table!I:O,MATCH(K2557,Table!I:I,0),3),"")</f>
        <v/>
      </c>
      <c r="N2557" s="32" t="str">
        <f>IFERROR(INDEX(Table!I:O,MATCH(K2557,Table!I:I,0),4),"")</f>
        <v/>
      </c>
      <c r="O2557" s="32" t="str">
        <f>IFERROR(INDEX(Table!I:O,MATCH(K2557,Table!I:I,0),5),"")</f>
        <v/>
      </c>
      <c r="P2557" s="32" t="str">
        <f>IFERROR(INDEX(Table!I:O,MATCH(K2557,Table!I:I,0),6),"")</f>
        <v/>
      </c>
      <c r="Q2557" s="89" t="str">
        <f t="shared" si="112"/>
        <v/>
      </c>
      <c r="R2557" s="89" t="str">
        <f t="shared" si="113"/>
        <v/>
      </c>
      <c r="S2557" s="82"/>
      <c r="U2557" s="37"/>
    </row>
    <row r="2558" spans="1:21" x14ac:dyDescent="0.25">
      <c r="A2558" s="31" t="str">
        <f>IF(Table!A2558 = "","",Table!A2558)</f>
        <v/>
      </c>
      <c r="B2558" s="31" t="str">
        <f>IF(Table!B2558 = "","",Table!B2558)</f>
        <v/>
      </c>
      <c r="C2558" s="31" t="str">
        <f>IF(Table!C2558 = "","",Table!C2558)</f>
        <v/>
      </c>
      <c r="D2558" s="32" t="str">
        <f>IF(Table!D2558 = "","",Table!D2558)</f>
        <v/>
      </c>
      <c r="E2558" s="32" t="str">
        <f>IF(Table!E2558 = "","",Table!E2558)</f>
        <v/>
      </c>
      <c r="F2558" s="32" t="str">
        <f>IF(Table!F2558 = "","",Table!F2558)</f>
        <v/>
      </c>
      <c r="G2558" s="91"/>
      <c r="K2558" s="31" t="str">
        <f>IFERROR(VLOOKUP(A2558,Table!$I$4:$O$3000,1,TRUE),"")</f>
        <v/>
      </c>
      <c r="L2558" s="31" t="str">
        <f>IFERROR(INDEX(Table!I:O,MATCH(K2558,Table!I:I,0),2),"")</f>
        <v/>
      </c>
      <c r="M2558" s="31" t="str">
        <f>IFERROR(INDEX(Table!I:O,MATCH(K2558,Table!I:I,0),3),"")</f>
        <v/>
      </c>
      <c r="N2558" s="32" t="str">
        <f>IFERROR(INDEX(Table!I:O,MATCH(K2558,Table!I:I,0),4),"")</f>
        <v/>
      </c>
      <c r="O2558" s="32" t="str">
        <f>IFERROR(INDEX(Table!I:O,MATCH(K2558,Table!I:I,0),5),"")</f>
        <v/>
      </c>
      <c r="P2558" s="32" t="str">
        <f>IFERROR(INDEX(Table!I:O,MATCH(K2558,Table!I:I,0),6),"")</f>
        <v/>
      </c>
      <c r="Q2558" s="89" t="str">
        <f t="shared" si="112"/>
        <v/>
      </c>
      <c r="R2558" s="89" t="str">
        <f t="shared" si="113"/>
        <v/>
      </c>
      <c r="S2558" s="82"/>
      <c r="U2558" s="37"/>
    </row>
    <row r="2559" spans="1:21" x14ac:dyDescent="0.25">
      <c r="A2559" s="31" t="str">
        <f>IF(Table!A2559 = "","",Table!A2559)</f>
        <v/>
      </c>
      <c r="B2559" s="31" t="str">
        <f>IF(Table!B2559 = "","",Table!B2559)</f>
        <v/>
      </c>
      <c r="C2559" s="31" t="str">
        <f>IF(Table!C2559 = "","",Table!C2559)</f>
        <v/>
      </c>
      <c r="D2559" s="32" t="str">
        <f>IF(Table!D2559 = "","",Table!D2559)</f>
        <v/>
      </c>
      <c r="E2559" s="32" t="str">
        <f>IF(Table!E2559 = "","",Table!E2559)</f>
        <v/>
      </c>
      <c r="F2559" s="32" t="str">
        <f>IF(Table!F2559 = "","",Table!F2559)</f>
        <v/>
      </c>
      <c r="G2559" s="91"/>
      <c r="K2559" s="31" t="str">
        <f>IFERROR(VLOOKUP(A2559,Table!$I$4:$O$3000,1,TRUE),"")</f>
        <v/>
      </c>
      <c r="L2559" s="31" t="str">
        <f>IFERROR(INDEX(Table!I:O,MATCH(K2559,Table!I:I,0),2),"")</f>
        <v/>
      </c>
      <c r="M2559" s="31" t="str">
        <f>IFERROR(INDEX(Table!I:O,MATCH(K2559,Table!I:I,0),3),"")</f>
        <v/>
      </c>
      <c r="N2559" s="32" t="str">
        <f>IFERROR(INDEX(Table!I:O,MATCH(K2559,Table!I:I,0),4),"")</f>
        <v/>
      </c>
      <c r="O2559" s="32" t="str">
        <f>IFERROR(INDEX(Table!I:O,MATCH(K2559,Table!I:I,0),5),"")</f>
        <v/>
      </c>
      <c r="P2559" s="32" t="str">
        <f>IFERROR(INDEX(Table!I:O,MATCH(K2559,Table!I:I,0),6),"")</f>
        <v/>
      </c>
      <c r="Q2559" s="89" t="str">
        <f t="shared" si="112"/>
        <v/>
      </c>
      <c r="R2559" s="89" t="str">
        <f t="shared" si="113"/>
        <v/>
      </c>
      <c r="S2559" s="82"/>
      <c r="U2559" s="37"/>
    </row>
    <row r="2560" spans="1:21" x14ac:dyDescent="0.25">
      <c r="A2560" s="31" t="str">
        <f>IF(Table!A2560 = "","",Table!A2560)</f>
        <v/>
      </c>
      <c r="B2560" s="31" t="str">
        <f>IF(Table!B2560 = "","",Table!B2560)</f>
        <v/>
      </c>
      <c r="C2560" s="31" t="str">
        <f>IF(Table!C2560 = "","",Table!C2560)</f>
        <v/>
      </c>
      <c r="D2560" s="32" t="str">
        <f>IF(Table!D2560 = "","",Table!D2560)</f>
        <v/>
      </c>
      <c r="E2560" s="32" t="str">
        <f>IF(Table!E2560 = "","",Table!E2560)</f>
        <v/>
      </c>
      <c r="F2560" s="32" t="str">
        <f>IF(Table!F2560 = "","",Table!F2560)</f>
        <v/>
      </c>
      <c r="G2560" s="91"/>
      <c r="K2560" s="31" t="str">
        <f>IFERROR(VLOOKUP(A2560,Table!$I$4:$O$3000,1,TRUE),"")</f>
        <v/>
      </c>
      <c r="L2560" s="31" t="str">
        <f>IFERROR(INDEX(Table!I:O,MATCH(K2560,Table!I:I,0),2),"")</f>
        <v/>
      </c>
      <c r="M2560" s="31" t="str">
        <f>IFERROR(INDEX(Table!I:O,MATCH(K2560,Table!I:I,0),3),"")</f>
        <v/>
      </c>
      <c r="N2560" s="32" t="str">
        <f>IFERROR(INDEX(Table!I:O,MATCH(K2560,Table!I:I,0),4),"")</f>
        <v/>
      </c>
      <c r="O2560" s="32" t="str">
        <f>IFERROR(INDEX(Table!I:O,MATCH(K2560,Table!I:I,0),5),"")</f>
        <v/>
      </c>
      <c r="P2560" s="32" t="str">
        <f>IFERROR(INDEX(Table!I:O,MATCH(K2560,Table!I:I,0),6),"")</f>
        <v/>
      </c>
      <c r="Q2560" s="89" t="str">
        <f t="shared" si="112"/>
        <v/>
      </c>
      <c r="R2560" s="89" t="str">
        <f t="shared" si="113"/>
        <v/>
      </c>
      <c r="S2560" s="82"/>
      <c r="U2560" s="37"/>
    </row>
    <row r="2561" spans="1:21" x14ac:dyDescent="0.25">
      <c r="A2561" s="31" t="str">
        <f>IF(Table!A2561 = "","",Table!A2561)</f>
        <v/>
      </c>
      <c r="B2561" s="31" t="str">
        <f>IF(Table!B2561 = "","",Table!B2561)</f>
        <v/>
      </c>
      <c r="C2561" s="31" t="str">
        <f>IF(Table!C2561 = "","",Table!C2561)</f>
        <v/>
      </c>
      <c r="D2561" s="32" t="str">
        <f>IF(Table!D2561 = "","",Table!D2561)</f>
        <v/>
      </c>
      <c r="E2561" s="32" t="str">
        <f>IF(Table!E2561 = "","",Table!E2561)</f>
        <v/>
      </c>
      <c r="F2561" s="32" t="str">
        <f>IF(Table!F2561 = "","",Table!F2561)</f>
        <v/>
      </c>
      <c r="G2561" s="91"/>
      <c r="K2561" s="31" t="str">
        <f>IFERROR(VLOOKUP(A2561,Table!$I$4:$O$3000,1,TRUE),"")</f>
        <v/>
      </c>
      <c r="L2561" s="31" t="str">
        <f>IFERROR(INDEX(Table!I:O,MATCH(K2561,Table!I:I,0),2),"")</f>
        <v/>
      </c>
      <c r="M2561" s="31" t="str">
        <f>IFERROR(INDEX(Table!I:O,MATCH(K2561,Table!I:I,0),3),"")</f>
        <v/>
      </c>
      <c r="N2561" s="32" t="str">
        <f>IFERROR(INDEX(Table!I:O,MATCH(K2561,Table!I:I,0),4),"")</f>
        <v/>
      </c>
      <c r="O2561" s="32" t="str">
        <f>IFERROR(INDEX(Table!I:O,MATCH(K2561,Table!I:I,0),5),"")</f>
        <v/>
      </c>
      <c r="P2561" s="32" t="str">
        <f>IFERROR(INDEX(Table!I:O,MATCH(K2561,Table!I:I,0),6),"")</f>
        <v/>
      </c>
      <c r="Q2561" s="89" t="str">
        <f t="shared" si="112"/>
        <v/>
      </c>
      <c r="R2561" s="89" t="str">
        <f t="shared" si="113"/>
        <v/>
      </c>
      <c r="S2561" s="82"/>
      <c r="U2561" s="37"/>
    </row>
    <row r="2562" spans="1:21" x14ac:dyDescent="0.25">
      <c r="A2562" s="31" t="str">
        <f>IF(Table!A2562 = "","",Table!A2562)</f>
        <v/>
      </c>
      <c r="B2562" s="31" t="str">
        <f>IF(Table!B2562 = "","",Table!B2562)</f>
        <v/>
      </c>
      <c r="C2562" s="31" t="str">
        <f>IF(Table!C2562 = "","",Table!C2562)</f>
        <v/>
      </c>
      <c r="D2562" s="32" t="str">
        <f>IF(Table!D2562 = "","",Table!D2562)</f>
        <v/>
      </c>
      <c r="E2562" s="32" t="str">
        <f>IF(Table!E2562 = "","",Table!E2562)</f>
        <v/>
      </c>
      <c r="F2562" s="32" t="str">
        <f>IF(Table!F2562 = "","",Table!F2562)</f>
        <v/>
      </c>
      <c r="G2562" s="91"/>
      <c r="K2562" s="31" t="str">
        <f>IFERROR(VLOOKUP(A2562,Table!$I$4:$O$3000,1,TRUE),"")</f>
        <v/>
      </c>
      <c r="L2562" s="31" t="str">
        <f>IFERROR(INDEX(Table!I:O,MATCH(K2562,Table!I:I,0),2),"")</f>
        <v/>
      </c>
      <c r="M2562" s="31" t="str">
        <f>IFERROR(INDEX(Table!I:O,MATCH(K2562,Table!I:I,0),3),"")</f>
        <v/>
      </c>
      <c r="N2562" s="32" t="str">
        <f>IFERROR(INDEX(Table!I:O,MATCH(K2562,Table!I:I,0),4),"")</f>
        <v/>
      </c>
      <c r="O2562" s="32" t="str">
        <f>IFERROR(INDEX(Table!I:O,MATCH(K2562,Table!I:I,0),5),"")</f>
        <v/>
      </c>
      <c r="P2562" s="32" t="str">
        <f>IFERROR(INDEX(Table!I:O,MATCH(K2562,Table!I:I,0),6),"")</f>
        <v/>
      </c>
      <c r="Q2562" s="89" t="str">
        <f t="shared" si="112"/>
        <v/>
      </c>
      <c r="R2562" s="89" t="str">
        <f t="shared" si="113"/>
        <v/>
      </c>
      <c r="S2562" s="82"/>
      <c r="U2562" s="37"/>
    </row>
    <row r="2563" spans="1:21" x14ac:dyDescent="0.25">
      <c r="A2563" s="31" t="str">
        <f>IF(Table!A2563 = "","",Table!A2563)</f>
        <v/>
      </c>
      <c r="B2563" s="31" t="str">
        <f>IF(Table!B2563 = "","",Table!B2563)</f>
        <v/>
      </c>
      <c r="C2563" s="31" t="str">
        <f>IF(Table!C2563 = "","",Table!C2563)</f>
        <v/>
      </c>
      <c r="D2563" s="32" t="str">
        <f>IF(Table!D2563 = "","",Table!D2563)</f>
        <v/>
      </c>
      <c r="E2563" s="32" t="str">
        <f>IF(Table!E2563 = "","",Table!E2563)</f>
        <v/>
      </c>
      <c r="F2563" s="32" t="str">
        <f>IF(Table!F2563 = "","",Table!F2563)</f>
        <v/>
      </c>
      <c r="G2563" s="91"/>
      <c r="K2563" s="31" t="str">
        <f>IFERROR(VLOOKUP(A2563,Table!$I$4:$O$3000,1,TRUE),"")</f>
        <v/>
      </c>
      <c r="L2563" s="31" t="str">
        <f>IFERROR(INDEX(Table!I:O,MATCH(K2563,Table!I:I,0),2),"")</f>
        <v/>
      </c>
      <c r="M2563" s="31" t="str">
        <f>IFERROR(INDEX(Table!I:O,MATCH(K2563,Table!I:I,0),3),"")</f>
        <v/>
      </c>
      <c r="N2563" s="32" t="str">
        <f>IFERROR(INDEX(Table!I:O,MATCH(K2563,Table!I:I,0),4),"")</f>
        <v/>
      </c>
      <c r="O2563" s="32" t="str">
        <f>IFERROR(INDEX(Table!I:O,MATCH(K2563,Table!I:I,0),5),"")</f>
        <v/>
      </c>
      <c r="P2563" s="32" t="str">
        <f>IFERROR(INDEX(Table!I:O,MATCH(K2563,Table!I:I,0),6),"")</f>
        <v/>
      </c>
      <c r="Q2563" s="89" t="str">
        <f t="shared" si="112"/>
        <v/>
      </c>
      <c r="R2563" s="89" t="str">
        <f t="shared" si="113"/>
        <v/>
      </c>
      <c r="S2563" s="82"/>
      <c r="U2563" s="37"/>
    </row>
    <row r="2564" spans="1:21" x14ac:dyDescent="0.25">
      <c r="A2564" s="31" t="str">
        <f>IF(Table!A2564 = "","",Table!A2564)</f>
        <v/>
      </c>
      <c r="B2564" s="31" t="str">
        <f>IF(Table!B2564 = "","",Table!B2564)</f>
        <v/>
      </c>
      <c r="C2564" s="31" t="str">
        <f>IF(Table!C2564 = "","",Table!C2564)</f>
        <v/>
      </c>
      <c r="D2564" s="32" t="str">
        <f>IF(Table!D2564 = "","",Table!D2564)</f>
        <v/>
      </c>
      <c r="E2564" s="32" t="str">
        <f>IF(Table!E2564 = "","",Table!E2564)</f>
        <v/>
      </c>
      <c r="F2564" s="32" t="str">
        <f>IF(Table!F2564 = "","",Table!F2564)</f>
        <v/>
      </c>
      <c r="G2564" s="91"/>
      <c r="K2564" s="31" t="str">
        <f>IFERROR(VLOOKUP(A2564,Table!$I$4:$O$3000,1,TRUE),"")</f>
        <v/>
      </c>
      <c r="L2564" s="31" t="str">
        <f>IFERROR(INDEX(Table!I:O,MATCH(K2564,Table!I:I,0),2),"")</f>
        <v/>
      </c>
      <c r="M2564" s="31" t="str">
        <f>IFERROR(INDEX(Table!I:O,MATCH(K2564,Table!I:I,0),3),"")</f>
        <v/>
      </c>
      <c r="N2564" s="32" t="str">
        <f>IFERROR(INDEX(Table!I:O,MATCH(K2564,Table!I:I,0),4),"")</f>
        <v/>
      </c>
      <c r="O2564" s="32" t="str">
        <f>IFERROR(INDEX(Table!I:O,MATCH(K2564,Table!I:I,0),5),"")</f>
        <v/>
      </c>
      <c r="P2564" s="32" t="str">
        <f>IFERROR(INDEX(Table!I:O,MATCH(K2564,Table!I:I,0),6),"")</f>
        <v/>
      </c>
      <c r="Q2564" s="89" t="str">
        <f t="shared" si="112"/>
        <v/>
      </c>
      <c r="R2564" s="89" t="str">
        <f t="shared" si="113"/>
        <v/>
      </c>
      <c r="S2564" s="82"/>
      <c r="U2564" s="37"/>
    </row>
    <row r="2565" spans="1:21" x14ac:dyDescent="0.25">
      <c r="A2565" s="31" t="str">
        <f>IF(Table!A2565 = "","",Table!A2565)</f>
        <v/>
      </c>
      <c r="B2565" s="31" t="str">
        <f>IF(Table!B2565 = "","",Table!B2565)</f>
        <v/>
      </c>
      <c r="C2565" s="31" t="str">
        <f>IF(Table!C2565 = "","",Table!C2565)</f>
        <v/>
      </c>
      <c r="D2565" s="32" t="str">
        <f>IF(Table!D2565 = "","",Table!D2565)</f>
        <v/>
      </c>
      <c r="E2565" s="32" t="str">
        <f>IF(Table!E2565 = "","",Table!E2565)</f>
        <v/>
      </c>
      <c r="F2565" s="32" t="str">
        <f>IF(Table!F2565 = "","",Table!F2565)</f>
        <v/>
      </c>
      <c r="G2565" s="91"/>
      <c r="K2565" s="31" t="str">
        <f>IFERROR(VLOOKUP(A2565,Table!$I$4:$O$3000,1,TRUE),"")</f>
        <v/>
      </c>
      <c r="L2565" s="31" t="str">
        <f>IFERROR(INDEX(Table!I:O,MATCH(K2565,Table!I:I,0),2),"")</f>
        <v/>
      </c>
      <c r="M2565" s="31" t="str">
        <f>IFERROR(INDEX(Table!I:O,MATCH(K2565,Table!I:I,0),3),"")</f>
        <v/>
      </c>
      <c r="N2565" s="32" t="str">
        <f>IFERROR(INDEX(Table!I:O,MATCH(K2565,Table!I:I,0),4),"")</f>
        <v/>
      </c>
      <c r="O2565" s="32" t="str">
        <f>IFERROR(INDEX(Table!I:O,MATCH(K2565,Table!I:I,0),5),"")</f>
        <v/>
      </c>
      <c r="P2565" s="32" t="str">
        <f>IFERROR(INDEX(Table!I:O,MATCH(K2565,Table!I:I,0),6),"")</f>
        <v/>
      </c>
      <c r="Q2565" s="89" t="str">
        <f t="shared" si="112"/>
        <v/>
      </c>
      <c r="R2565" s="89" t="str">
        <f t="shared" si="113"/>
        <v/>
      </c>
      <c r="S2565" s="82"/>
      <c r="U2565" s="37"/>
    </row>
    <row r="2566" spans="1:21" x14ac:dyDescent="0.25">
      <c r="A2566" s="31" t="str">
        <f>IF(Table!A2566 = "","",Table!A2566)</f>
        <v/>
      </c>
      <c r="B2566" s="31" t="str">
        <f>IF(Table!B2566 = "","",Table!B2566)</f>
        <v/>
      </c>
      <c r="C2566" s="31" t="str">
        <f>IF(Table!C2566 = "","",Table!C2566)</f>
        <v/>
      </c>
      <c r="D2566" s="32" t="str">
        <f>IF(Table!D2566 = "","",Table!D2566)</f>
        <v/>
      </c>
      <c r="E2566" s="32" t="str">
        <f>IF(Table!E2566 = "","",Table!E2566)</f>
        <v/>
      </c>
      <c r="F2566" s="32" t="str">
        <f>IF(Table!F2566 = "","",Table!F2566)</f>
        <v/>
      </c>
      <c r="G2566" s="91"/>
      <c r="K2566" s="31" t="str">
        <f>IFERROR(VLOOKUP(A2566,Table!$I$4:$O$3000,1,TRUE),"")</f>
        <v/>
      </c>
      <c r="L2566" s="31" t="str">
        <f>IFERROR(INDEX(Table!I:O,MATCH(K2566,Table!I:I,0),2),"")</f>
        <v/>
      </c>
      <c r="M2566" s="31" t="str">
        <f>IFERROR(INDEX(Table!I:O,MATCH(K2566,Table!I:I,0),3),"")</f>
        <v/>
      </c>
      <c r="N2566" s="32" t="str">
        <f>IFERROR(INDEX(Table!I:O,MATCH(K2566,Table!I:I,0),4),"")</f>
        <v/>
      </c>
      <c r="O2566" s="32" t="str">
        <f>IFERROR(INDEX(Table!I:O,MATCH(K2566,Table!I:I,0),5),"")</f>
        <v/>
      </c>
      <c r="P2566" s="32" t="str">
        <f>IFERROR(INDEX(Table!I:O,MATCH(K2566,Table!I:I,0),6),"")</f>
        <v/>
      </c>
      <c r="Q2566" s="89" t="str">
        <f t="shared" ref="Q2566:Q2629" si="114">IFERROR(L2566-B2566,"")</f>
        <v/>
      </c>
      <c r="R2566" s="89" t="str">
        <f t="shared" ref="R2566:R2629" si="115">IFERROR(M2566-C2566,"")</f>
        <v/>
      </c>
      <c r="S2566" s="82"/>
      <c r="U2566" s="37"/>
    </row>
    <row r="2567" spans="1:21" x14ac:dyDescent="0.25">
      <c r="A2567" s="31" t="str">
        <f>IF(Table!A2567 = "","",Table!A2567)</f>
        <v/>
      </c>
      <c r="B2567" s="31" t="str">
        <f>IF(Table!B2567 = "","",Table!B2567)</f>
        <v/>
      </c>
      <c r="C2567" s="31" t="str">
        <f>IF(Table!C2567 = "","",Table!C2567)</f>
        <v/>
      </c>
      <c r="D2567" s="32" t="str">
        <f>IF(Table!D2567 = "","",Table!D2567)</f>
        <v/>
      </c>
      <c r="E2567" s="32" t="str">
        <f>IF(Table!E2567 = "","",Table!E2567)</f>
        <v/>
      </c>
      <c r="F2567" s="32" t="str">
        <f>IF(Table!F2567 = "","",Table!F2567)</f>
        <v/>
      </c>
      <c r="G2567" s="91"/>
      <c r="K2567" s="31" t="str">
        <f>IFERROR(VLOOKUP(A2567,Table!$I$4:$O$3000,1,TRUE),"")</f>
        <v/>
      </c>
      <c r="L2567" s="31" t="str">
        <f>IFERROR(INDEX(Table!I:O,MATCH(K2567,Table!I:I,0),2),"")</f>
        <v/>
      </c>
      <c r="M2567" s="31" t="str">
        <f>IFERROR(INDEX(Table!I:O,MATCH(K2567,Table!I:I,0),3),"")</f>
        <v/>
      </c>
      <c r="N2567" s="32" t="str">
        <f>IFERROR(INDEX(Table!I:O,MATCH(K2567,Table!I:I,0),4),"")</f>
        <v/>
      </c>
      <c r="O2567" s="32" t="str">
        <f>IFERROR(INDEX(Table!I:O,MATCH(K2567,Table!I:I,0),5),"")</f>
        <v/>
      </c>
      <c r="P2567" s="32" t="str">
        <f>IFERROR(INDEX(Table!I:O,MATCH(K2567,Table!I:I,0),6),"")</f>
        <v/>
      </c>
      <c r="Q2567" s="89" t="str">
        <f t="shared" si="114"/>
        <v/>
      </c>
      <c r="R2567" s="89" t="str">
        <f t="shared" si="115"/>
        <v/>
      </c>
      <c r="S2567" s="82"/>
      <c r="U2567" s="37"/>
    </row>
    <row r="2568" spans="1:21" x14ac:dyDescent="0.25">
      <c r="A2568" s="31" t="str">
        <f>IF(Table!A2568 = "","",Table!A2568)</f>
        <v/>
      </c>
      <c r="B2568" s="31" t="str">
        <f>IF(Table!B2568 = "","",Table!B2568)</f>
        <v/>
      </c>
      <c r="C2568" s="31" t="str">
        <f>IF(Table!C2568 = "","",Table!C2568)</f>
        <v/>
      </c>
      <c r="D2568" s="32" t="str">
        <f>IF(Table!D2568 = "","",Table!D2568)</f>
        <v/>
      </c>
      <c r="E2568" s="32" t="str">
        <f>IF(Table!E2568 = "","",Table!E2568)</f>
        <v/>
      </c>
      <c r="F2568" s="32" t="str">
        <f>IF(Table!F2568 = "","",Table!F2568)</f>
        <v/>
      </c>
      <c r="G2568" s="91"/>
      <c r="K2568" s="31" t="str">
        <f>IFERROR(VLOOKUP(A2568,Table!$I$4:$O$3000,1,TRUE),"")</f>
        <v/>
      </c>
      <c r="L2568" s="31" t="str">
        <f>IFERROR(INDEX(Table!I:O,MATCH(K2568,Table!I:I,0),2),"")</f>
        <v/>
      </c>
      <c r="M2568" s="31" t="str">
        <f>IFERROR(INDEX(Table!I:O,MATCH(K2568,Table!I:I,0),3),"")</f>
        <v/>
      </c>
      <c r="N2568" s="32" t="str">
        <f>IFERROR(INDEX(Table!I:O,MATCH(K2568,Table!I:I,0),4),"")</f>
        <v/>
      </c>
      <c r="O2568" s="32" t="str">
        <f>IFERROR(INDEX(Table!I:O,MATCH(K2568,Table!I:I,0),5),"")</f>
        <v/>
      </c>
      <c r="P2568" s="32" t="str">
        <f>IFERROR(INDEX(Table!I:O,MATCH(K2568,Table!I:I,0),6),"")</f>
        <v/>
      </c>
      <c r="Q2568" s="89" t="str">
        <f t="shared" si="114"/>
        <v/>
      </c>
      <c r="R2568" s="89" t="str">
        <f t="shared" si="115"/>
        <v/>
      </c>
      <c r="S2568" s="82"/>
      <c r="U2568" s="37"/>
    </row>
    <row r="2569" spans="1:21" x14ac:dyDescent="0.25">
      <c r="A2569" s="31" t="str">
        <f>IF(Table!A2569 = "","",Table!A2569)</f>
        <v/>
      </c>
      <c r="B2569" s="31" t="str">
        <f>IF(Table!B2569 = "","",Table!B2569)</f>
        <v/>
      </c>
      <c r="C2569" s="31" t="str">
        <f>IF(Table!C2569 = "","",Table!C2569)</f>
        <v/>
      </c>
      <c r="D2569" s="32" t="str">
        <f>IF(Table!D2569 = "","",Table!D2569)</f>
        <v/>
      </c>
      <c r="E2569" s="32" t="str">
        <f>IF(Table!E2569 = "","",Table!E2569)</f>
        <v/>
      </c>
      <c r="F2569" s="32" t="str">
        <f>IF(Table!F2569 = "","",Table!F2569)</f>
        <v/>
      </c>
      <c r="G2569" s="91"/>
      <c r="K2569" s="31" t="str">
        <f>IFERROR(VLOOKUP(A2569,Table!$I$4:$O$3000,1,TRUE),"")</f>
        <v/>
      </c>
      <c r="L2569" s="31" t="str">
        <f>IFERROR(INDEX(Table!I:O,MATCH(K2569,Table!I:I,0),2),"")</f>
        <v/>
      </c>
      <c r="M2569" s="31" t="str">
        <f>IFERROR(INDEX(Table!I:O,MATCH(K2569,Table!I:I,0),3),"")</f>
        <v/>
      </c>
      <c r="N2569" s="32" t="str">
        <f>IFERROR(INDEX(Table!I:O,MATCH(K2569,Table!I:I,0),4),"")</f>
        <v/>
      </c>
      <c r="O2569" s="32" t="str">
        <f>IFERROR(INDEX(Table!I:O,MATCH(K2569,Table!I:I,0),5),"")</f>
        <v/>
      </c>
      <c r="P2569" s="32" t="str">
        <f>IFERROR(INDEX(Table!I:O,MATCH(K2569,Table!I:I,0),6),"")</f>
        <v/>
      </c>
      <c r="Q2569" s="89" t="str">
        <f t="shared" si="114"/>
        <v/>
      </c>
      <c r="R2569" s="89" t="str">
        <f t="shared" si="115"/>
        <v/>
      </c>
      <c r="S2569" s="82"/>
      <c r="U2569" s="37"/>
    </row>
    <row r="2570" spans="1:21" x14ac:dyDescent="0.25">
      <c r="A2570" s="31" t="str">
        <f>IF(Table!A2570 = "","",Table!A2570)</f>
        <v/>
      </c>
      <c r="B2570" s="31" t="str">
        <f>IF(Table!B2570 = "","",Table!B2570)</f>
        <v/>
      </c>
      <c r="C2570" s="31" t="str">
        <f>IF(Table!C2570 = "","",Table!C2570)</f>
        <v/>
      </c>
      <c r="D2570" s="32" t="str">
        <f>IF(Table!D2570 = "","",Table!D2570)</f>
        <v/>
      </c>
      <c r="E2570" s="32" t="str">
        <f>IF(Table!E2570 = "","",Table!E2570)</f>
        <v/>
      </c>
      <c r="F2570" s="32" t="str">
        <f>IF(Table!F2570 = "","",Table!F2570)</f>
        <v/>
      </c>
      <c r="G2570" s="91"/>
      <c r="K2570" s="31" t="str">
        <f>IFERROR(VLOOKUP(A2570,Table!$I$4:$O$3000,1,TRUE),"")</f>
        <v/>
      </c>
      <c r="L2570" s="31" t="str">
        <f>IFERROR(INDEX(Table!I:O,MATCH(K2570,Table!I:I,0),2),"")</f>
        <v/>
      </c>
      <c r="M2570" s="31" t="str">
        <f>IFERROR(INDEX(Table!I:O,MATCH(K2570,Table!I:I,0),3),"")</f>
        <v/>
      </c>
      <c r="N2570" s="32" t="str">
        <f>IFERROR(INDEX(Table!I:O,MATCH(K2570,Table!I:I,0),4),"")</f>
        <v/>
      </c>
      <c r="O2570" s="32" t="str">
        <f>IFERROR(INDEX(Table!I:O,MATCH(K2570,Table!I:I,0),5),"")</f>
        <v/>
      </c>
      <c r="P2570" s="32" t="str">
        <f>IFERROR(INDEX(Table!I:O,MATCH(K2570,Table!I:I,0),6),"")</f>
        <v/>
      </c>
      <c r="Q2570" s="89" t="str">
        <f t="shared" si="114"/>
        <v/>
      </c>
      <c r="R2570" s="89" t="str">
        <f t="shared" si="115"/>
        <v/>
      </c>
      <c r="S2570" s="82"/>
      <c r="U2570" s="37"/>
    </row>
    <row r="2571" spans="1:21" x14ac:dyDescent="0.25">
      <c r="A2571" s="31" t="str">
        <f>IF(Table!A2571 = "","",Table!A2571)</f>
        <v/>
      </c>
      <c r="B2571" s="31" t="str">
        <f>IF(Table!B2571 = "","",Table!B2571)</f>
        <v/>
      </c>
      <c r="C2571" s="31" t="str">
        <f>IF(Table!C2571 = "","",Table!C2571)</f>
        <v/>
      </c>
      <c r="D2571" s="32" t="str">
        <f>IF(Table!D2571 = "","",Table!D2571)</f>
        <v/>
      </c>
      <c r="E2571" s="32" t="str">
        <f>IF(Table!E2571 = "","",Table!E2571)</f>
        <v/>
      </c>
      <c r="F2571" s="32" t="str">
        <f>IF(Table!F2571 = "","",Table!F2571)</f>
        <v/>
      </c>
      <c r="G2571" s="91"/>
      <c r="K2571" s="31" t="str">
        <f>IFERROR(VLOOKUP(A2571,Table!$I$4:$O$3000,1,TRUE),"")</f>
        <v/>
      </c>
      <c r="L2571" s="31" t="str">
        <f>IFERROR(INDEX(Table!I:O,MATCH(K2571,Table!I:I,0),2),"")</f>
        <v/>
      </c>
      <c r="M2571" s="31" t="str">
        <f>IFERROR(INDEX(Table!I:O,MATCH(K2571,Table!I:I,0),3),"")</f>
        <v/>
      </c>
      <c r="N2571" s="32" t="str">
        <f>IFERROR(INDEX(Table!I:O,MATCH(K2571,Table!I:I,0),4),"")</f>
        <v/>
      </c>
      <c r="O2571" s="32" t="str">
        <f>IFERROR(INDEX(Table!I:O,MATCH(K2571,Table!I:I,0),5),"")</f>
        <v/>
      </c>
      <c r="P2571" s="32" t="str">
        <f>IFERROR(INDEX(Table!I:O,MATCH(K2571,Table!I:I,0),6),"")</f>
        <v/>
      </c>
      <c r="Q2571" s="89" t="str">
        <f t="shared" si="114"/>
        <v/>
      </c>
      <c r="R2571" s="89" t="str">
        <f t="shared" si="115"/>
        <v/>
      </c>
      <c r="S2571" s="82"/>
      <c r="U2571" s="37"/>
    </row>
    <row r="2572" spans="1:21" x14ac:dyDescent="0.25">
      <c r="A2572" s="31" t="str">
        <f>IF(Table!A2572 = "","",Table!A2572)</f>
        <v/>
      </c>
      <c r="B2572" s="31" t="str">
        <f>IF(Table!B2572 = "","",Table!B2572)</f>
        <v/>
      </c>
      <c r="C2572" s="31" t="str">
        <f>IF(Table!C2572 = "","",Table!C2572)</f>
        <v/>
      </c>
      <c r="D2572" s="32" t="str">
        <f>IF(Table!D2572 = "","",Table!D2572)</f>
        <v/>
      </c>
      <c r="E2572" s="32" t="str">
        <f>IF(Table!E2572 = "","",Table!E2572)</f>
        <v/>
      </c>
      <c r="F2572" s="32" t="str">
        <f>IF(Table!F2572 = "","",Table!F2572)</f>
        <v/>
      </c>
      <c r="G2572" s="91"/>
      <c r="K2572" s="31" t="str">
        <f>IFERROR(VLOOKUP(A2572,Table!$I$4:$O$3000,1,TRUE),"")</f>
        <v/>
      </c>
      <c r="L2572" s="31" t="str">
        <f>IFERROR(INDEX(Table!I:O,MATCH(K2572,Table!I:I,0),2),"")</f>
        <v/>
      </c>
      <c r="M2572" s="31" t="str">
        <f>IFERROR(INDEX(Table!I:O,MATCH(K2572,Table!I:I,0),3),"")</f>
        <v/>
      </c>
      <c r="N2572" s="32" t="str">
        <f>IFERROR(INDEX(Table!I:O,MATCH(K2572,Table!I:I,0),4),"")</f>
        <v/>
      </c>
      <c r="O2572" s="32" t="str">
        <f>IFERROR(INDEX(Table!I:O,MATCH(K2572,Table!I:I,0),5),"")</f>
        <v/>
      </c>
      <c r="P2572" s="32" t="str">
        <f>IFERROR(INDEX(Table!I:O,MATCH(K2572,Table!I:I,0),6),"")</f>
        <v/>
      </c>
      <c r="Q2572" s="89" t="str">
        <f t="shared" si="114"/>
        <v/>
      </c>
      <c r="R2572" s="89" t="str">
        <f t="shared" si="115"/>
        <v/>
      </c>
      <c r="S2572" s="82"/>
      <c r="U2572" s="37"/>
    </row>
    <row r="2573" spans="1:21" x14ac:dyDescent="0.25">
      <c r="A2573" s="31" t="str">
        <f>IF(Table!A2573 = "","",Table!A2573)</f>
        <v/>
      </c>
      <c r="B2573" s="31" t="str">
        <f>IF(Table!B2573 = "","",Table!B2573)</f>
        <v/>
      </c>
      <c r="C2573" s="31" t="str">
        <f>IF(Table!C2573 = "","",Table!C2573)</f>
        <v/>
      </c>
      <c r="D2573" s="32" t="str">
        <f>IF(Table!D2573 = "","",Table!D2573)</f>
        <v/>
      </c>
      <c r="E2573" s="32" t="str">
        <f>IF(Table!E2573 = "","",Table!E2573)</f>
        <v/>
      </c>
      <c r="F2573" s="32" t="str">
        <f>IF(Table!F2573 = "","",Table!F2573)</f>
        <v/>
      </c>
      <c r="G2573" s="91"/>
      <c r="K2573" s="31" t="str">
        <f>IFERROR(VLOOKUP(A2573,Table!$I$4:$O$3000,1,TRUE),"")</f>
        <v/>
      </c>
      <c r="L2573" s="31" t="str">
        <f>IFERROR(INDEX(Table!I:O,MATCH(K2573,Table!I:I,0),2),"")</f>
        <v/>
      </c>
      <c r="M2573" s="31" t="str">
        <f>IFERROR(INDEX(Table!I:O,MATCH(K2573,Table!I:I,0),3),"")</f>
        <v/>
      </c>
      <c r="N2573" s="32" t="str">
        <f>IFERROR(INDEX(Table!I:O,MATCH(K2573,Table!I:I,0),4),"")</f>
        <v/>
      </c>
      <c r="O2573" s="32" t="str">
        <f>IFERROR(INDEX(Table!I:O,MATCH(K2573,Table!I:I,0),5),"")</f>
        <v/>
      </c>
      <c r="P2573" s="32" t="str">
        <f>IFERROR(INDEX(Table!I:O,MATCH(K2573,Table!I:I,0),6),"")</f>
        <v/>
      </c>
      <c r="Q2573" s="89" t="str">
        <f t="shared" si="114"/>
        <v/>
      </c>
      <c r="R2573" s="89" t="str">
        <f t="shared" si="115"/>
        <v/>
      </c>
      <c r="S2573" s="82"/>
      <c r="U2573" s="37"/>
    </row>
    <row r="2574" spans="1:21" x14ac:dyDescent="0.25">
      <c r="A2574" s="31" t="str">
        <f>IF(Table!A2574 = "","",Table!A2574)</f>
        <v/>
      </c>
      <c r="B2574" s="31" t="str">
        <f>IF(Table!B2574 = "","",Table!B2574)</f>
        <v/>
      </c>
      <c r="C2574" s="31" t="str">
        <f>IF(Table!C2574 = "","",Table!C2574)</f>
        <v/>
      </c>
      <c r="D2574" s="32" t="str">
        <f>IF(Table!D2574 = "","",Table!D2574)</f>
        <v/>
      </c>
      <c r="E2574" s="32" t="str">
        <f>IF(Table!E2574 = "","",Table!E2574)</f>
        <v/>
      </c>
      <c r="F2574" s="32" t="str">
        <f>IF(Table!F2574 = "","",Table!F2574)</f>
        <v/>
      </c>
      <c r="G2574" s="91"/>
      <c r="K2574" s="31" t="str">
        <f>IFERROR(VLOOKUP(A2574,Table!$I$4:$O$3000,1,TRUE),"")</f>
        <v/>
      </c>
      <c r="L2574" s="31" t="str">
        <f>IFERROR(INDEX(Table!I:O,MATCH(K2574,Table!I:I,0),2),"")</f>
        <v/>
      </c>
      <c r="M2574" s="31" t="str">
        <f>IFERROR(INDEX(Table!I:O,MATCH(K2574,Table!I:I,0),3),"")</f>
        <v/>
      </c>
      <c r="N2574" s="32" t="str">
        <f>IFERROR(INDEX(Table!I:O,MATCH(K2574,Table!I:I,0),4),"")</f>
        <v/>
      </c>
      <c r="O2574" s="32" t="str">
        <f>IFERROR(INDEX(Table!I:O,MATCH(K2574,Table!I:I,0),5),"")</f>
        <v/>
      </c>
      <c r="P2574" s="32" t="str">
        <f>IFERROR(INDEX(Table!I:O,MATCH(K2574,Table!I:I,0),6),"")</f>
        <v/>
      </c>
      <c r="Q2574" s="89" t="str">
        <f t="shared" si="114"/>
        <v/>
      </c>
      <c r="R2574" s="89" t="str">
        <f t="shared" si="115"/>
        <v/>
      </c>
      <c r="S2574" s="82"/>
      <c r="U2574" s="37"/>
    </row>
    <row r="2575" spans="1:21" x14ac:dyDescent="0.25">
      <c r="A2575" s="31" t="str">
        <f>IF(Table!A2575 = "","",Table!A2575)</f>
        <v/>
      </c>
      <c r="B2575" s="31" t="str">
        <f>IF(Table!B2575 = "","",Table!B2575)</f>
        <v/>
      </c>
      <c r="C2575" s="31" t="str">
        <f>IF(Table!C2575 = "","",Table!C2575)</f>
        <v/>
      </c>
      <c r="D2575" s="32" t="str">
        <f>IF(Table!D2575 = "","",Table!D2575)</f>
        <v/>
      </c>
      <c r="E2575" s="32" t="str">
        <f>IF(Table!E2575 = "","",Table!E2575)</f>
        <v/>
      </c>
      <c r="F2575" s="32" t="str">
        <f>IF(Table!F2575 = "","",Table!F2575)</f>
        <v/>
      </c>
      <c r="G2575" s="91"/>
      <c r="K2575" s="31" t="str">
        <f>IFERROR(VLOOKUP(A2575,Table!$I$4:$O$3000,1,TRUE),"")</f>
        <v/>
      </c>
      <c r="L2575" s="31" t="str">
        <f>IFERROR(INDEX(Table!I:O,MATCH(K2575,Table!I:I,0),2),"")</f>
        <v/>
      </c>
      <c r="M2575" s="31" t="str">
        <f>IFERROR(INDEX(Table!I:O,MATCH(K2575,Table!I:I,0),3),"")</f>
        <v/>
      </c>
      <c r="N2575" s="32" t="str">
        <f>IFERROR(INDEX(Table!I:O,MATCH(K2575,Table!I:I,0),4),"")</f>
        <v/>
      </c>
      <c r="O2575" s="32" t="str">
        <f>IFERROR(INDEX(Table!I:O,MATCH(K2575,Table!I:I,0),5),"")</f>
        <v/>
      </c>
      <c r="P2575" s="32" t="str">
        <f>IFERROR(INDEX(Table!I:O,MATCH(K2575,Table!I:I,0),6),"")</f>
        <v/>
      </c>
      <c r="Q2575" s="89" t="str">
        <f t="shared" si="114"/>
        <v/>
      </c>
      <c r="R2575" s="89" t="str">
        <f t="shared" si="115"/>
        <v/>
      </c>
      <c r="S2575" s="82"/>
      <c r="U2575" s="37"/>
    </row>
    <row r="2576" spans="1:21" x14ac:dyDescent="0.25">
      <c r="A2576" s="31" t="str">
        <f>IF(Table!A2576 = "","",Table!A2576)</f>
        <v/>
      </c>
      <c r="B2576" s="31" t="str">
        <f>IF(Table!B2576 = "","",Table!B2576)</f>
        <v/>
      </c>
      <c r="C2576" s="31" t="str">
        <f>IF(Table!C2576 = "","",Table!C2576)</f>
        <v/>
      </c>
      <c r="D2576" s="32" t="str">
        <f>IF(Table!D2576 = "","",Table!D2576)</f>
        <v/>
      </c>
      <c r="E2576" s="32" t="str">
        <f>IF(Table!E2576 = "","",Table!E2576)</f>
        <v/>
      </c>
      <c r="F2576" s="32" t="str">
        <f>IF(Table!F2576 = "","",Table!F2576)</f>
        <v/>
      </c>
      <c r="G2576" s="91"/>
      <c r="K2576" s="31" t="str">
        <f>IFERROR(VLOOKUP(A2576,Table!$I$4:$O$3000,1,TRUE),"")</f>
        <v/>
      </c>
      <c r="L2576" s="31" t="str">
        <f>IFERROR(INDEX(Table!I:O,MATCH(K2576,Table!I:I,0),2),"")</f>
        <v/>
      </c>
      <c r="M2576" s="31" t="str">
        <f>IFERROR(INDEX(Table!I:O,MATCH(K2576,Table!I:I,0),3),"")</f>
        <v/>
      </c>
      <c r="N2576" s="32" t="str">
        <f>IFERROR(INDEX(Table!I:O,MATCH(K2576,Table!I:I,0),4),"")</f>
        <v/>
      </c>
      <c r="O2576" s="32" t="str">
        <f>IFERROR(INDEX(Table!I:O,MATCH(K2576,Table!I:I,0),5),"")</f>
        <v/>
      </c>
      <c r="P2576" s="32" t="str">
        <f>IFERROR(INDEX(Table!I:O,MATCH(K2576,Table!I:I,0),6),"")</f>
        <v/>
      </c>
      <c r="Q2576" s="89" t="str">
        <f t="shared" si="114"/>
        <v/>
      </c>
      <c r="R2576" s="89" t="str">
        <f t="shared" si="115"/>
        <v/>
      </c>
      <c r="S2576" s="82"/>
      <c r="U2576" s="37"/>
    </row>
    <row r="2577" spans="1:21" x14ac:dyDescent="0.25">
      <c r="A2577" s="31" t="str">
        <f>IF(Table!A2577 = "","",Table!A2577)</f>
        <v/>
      </c>
      <c r="B2577" s="31" t="str">
        <f>IF(Table!B2577 = "","",Table!B2577)</f>
        <v/>
      </c>
      <c r="C2577" s="31" t="str">
        <f>IF(Table!C2577 = "","",Table!C2577)</f>
        <v/>
      </c>
      <c r="D2577" s="32" t="str">
        <f>IF(Table!D2577 = "","",Table!D2577)</f>
        <v/>
      </c>
      <c r="E2577" s="32" t="str">
        <f>IF(Table!E2577 = "","",Table!E2577)</f>
        <v/>
      </c>
      <c r="F2577" s="32" t="str">
        <f>IF(Table!F2577 = "","",Table!F2577)</f>
        <v/>
      </c>
      <c r="G2577" s="91"/>
      <c r="K2577" s="31" t="str">
        <f>IFERROR(VLOOKUP(A2577,Table!$I$4:$O$3000,1,TRUE),"")</f>
        <v/>
      </c>
      <c r="L2577" s="31" t="str">
        <f>IFERROR(INDEX(Table!I:O,MATCH(K2577,Table!I:I,0),2),"")</f>
        <v/>
      </c>
      <c r="M2577" s="31" t="str">
        <f>IFERROR(INDEX(Table!I:O,MATCH(K2577,Table!I:I,0),3),"")</f>
        <v/>
      </c>
      <c r="N2577" s="32" t="str">
        <f>IFERROR(INDEX(Table!I:O,MATCH(K2577,Table!I:I,0),4),"")</f>
        <v/>
      </c>
      <c r="O2577" s="32" t="str">
        <f>IFERROR(INDEX(Table!I:O,MATCH(K2577,Table!I:I,0),5),"")</f>
        <v/>
      </c>
      <c r="P2577" s="32" t="str">
        <f>IFERROR(INDEX(Table!I:O,MATCH(K2577,Table!I:I,0),6),"")</f>
        <v/>
      </c>
      <c r="Q2577" s="89" t="str">
        <f t="shared" si="114"/>
        <v/>
      </c>
      <c r="R2577" s="89" t="str">
        <f t="shared" si="115"/>
        <v/>
      </c>
      <c r="S2577" s="82"/>
      <c r="U2577" s="37"/>
    </row>
    <row r="2578" spans="1:21" x14ac:dyDescent="0.25">
      <c r="A2578" s="31" t="str">
        <f>IF(Table!A2578 = "","",Table!A2578)</f>
        <v/>
      </c>
      <c r="B2578" s="31" t="str">
        <f>IF(Table!B2578 = "","",Table!B2578)</f>
        <v/>
      </c>
      <c r="C2578" s="31" t="str">
        <f>IF(Table!C2578 = "","",Table!C2578)</f>
        <v/>
      </c>
      <c r="D2578" s="32" t="str">
        <f>IF(Table!D2578 = "","",Table!D2578)</f>
        <v/>
      </c>
      <c r="E2578" s="32" t="str">
        <f>IF(Table!E2578 = "","",Table!E2578)</f>
        <v/>
      </c>
      <c r="F2578" s="32" t="str">
        <f>IF(Table!F2578 = "","",Table!F2578)</f>
        <v/>
      </c>
      <c r="G2578" s="91"/>
      <c r="K2578" s="31" t="str">
        <f>IFERROR(VLOOKUP(A2578,Table!$I$4:$O$3000,1,TRUE),"")</f>
        <v/>
      </c>
      <c r="L2578" s="31" t="str">
        <f>IFERROR(INDEX(Table!I:O,MATCH(K2578,Table!I:I,0),2),"")</f>
        <v/>
      </c>
      <c r="M2578" s="31" t="str">
        <f>IFERROR(INDEX(Table!I:O,MATCH(K2578,Table!I:I,0),3),"")</f>
        <v/>
      </c>
      <c r="N2578" s="32" t="str">
        <f>IFERROR(INDEX(Table!I:O,MATCH(K2578,Table!I:I,0),4),"")</f>
        <v/>
      </c>
      <c r="O2578" s="32" t="str">
        <f>IFERROR(INDEX(Table!I:O,MATCH(K2578,Table!I:I,0),5),"")</f>
        <v/>
      </c>
      <c r="P2578" s="32" t="str">
        <f>IFERROR(INDEX(Table!I:O,MATCH(K2578,Table!I:I,0),6),"")</f>
        <v/>
      </c>
      <c r="Q2578" s="89" t="str">
        <f t="shared" si="114"/>
        <v/>
      </c>
      <c r="R2578" s="89" t="str">
        <f t="shared" si="115"/>
        <v/>
      </c>
      <c r="S2578" s="82"/>
      <c r="U2578" s="37"/>
    </row>
    <row r="2579" spans="1:21" x14ac:dyDescent="0.25">
      <c r="A2579" s="31" t="str">
        <f>IF(Table!A2579 = "","",Table!A2579)</f>
        <v/>
      </c>
      <c r="B2579" s="31" t="str">
        <f>IF(Table!B2579 = "","",Table!B2579)</f>
        <v/>
      </c>
      <c r="C2579" s="31" t="str">
        <f>IF(Table!C2579 = "","",Table!C2579)</f>
        <v/>
      </c>
      <c r="D2579" s="32" t="str">
        <f>IF(Table!D2579 = "","",Table!D2579)</f>
        <v/>
      </c>
      <c r="E2579" s="32" t="str">
        <f>IF(Table!E2579 = "","",Table!E2579)</f>
        <v/>
      </c>
      <c r="F2579" s="32" t="str">
        <f>IF(Table!F2579 = "","",Table!F2579)</f>
        <v/>
      </c>
      <c r="G2579" s="91"/>
      <c r="K2579" s="31" t="str">
        <f>IFERROR(VLOOKUP(A2579,Table!$I$4:$O$3000,1,TRUE),"")</f>
        <v/>
      </c>
      <c r="L2579" s="31" t="str">
        <f>IFERROR(INDEX(Table!I:O,MATCH(K2579,Table!I:I,0),2),"")</f>
        <v/>
      </c>
      <c r="M2579" s="31" t="str">
        <f>IFERROR(INDEX(Table!I:O,MATCH(K2579,Table!I:I,0),3),"")</f>
        <v/>
      </c>
      <c r="N2579" s="32" t="str">
        <f>IFERROR(INDEX(Table!I:O,MATCH(K2579,Table!I:I,0),4),"")</f>
        <v/>
      </c>
      <c r="O2579" s="32" t="str">
        <f>IFERROR(INDEX(Table!I:O,MATCH(K2579,Table!I:I,0),5),"")</f>
        <v/>
      </c>
      <c r="P2579" s="32" t="str">
        <f>IFERROR(INDEX(Table!I:O,MATCH(K2579,Table!I:I,0),6),"")</f>
        <v/>
      </c>
      <c r="Q2579" s="89" t="str">
        <f t="shared" si="114"/>
        <v/>
      </c>
      <c r="R2579" s="89" t="str">
        <f t="shared" si="115"/>
        <v/>
      </c>
      <c r="S2579" s="82"/>
      <c r="U2579" s="37"/>
    </row>
    <row r="2580" spans="1:21" x14ac:dyDescent="0.25">
      <c r="A2580" s="31" t="str">
        <f>IF(Table!A2580 = "","",Table!A2580)</f>
        <v/>
      </c>
      <c r="B2580" s="31" t="str">
        <f>IF(Table!B2580 = "","",Table!B2580)</f>
        <v/>
      </c>
      <c r="C2580" s="31" t="str">
        <f>IF(Table!C2580 = "","",Table!C2580)</f>
        <v/>
      </c>
      <c r="D2580" s="32" t="str">
        <f>IF(Table!D2580 = "","",Table!D2580)</f>
        <v/>
      </c>
      <c r="E2580" s="32" t="str">
        <f>IF(Table!E2580 = "","",Table!E2580)</f>
        <v/>
      </c>
      <c r="F2580" s="32" t="str">
        <f>IF(Table!F2580 = "","",Table!F2580)</f>
        <v/>
      </c>
      <c r="G2580" s="91"/>
      <c r="K2580" s="31" t="str">
        <f>IFERROR(VLOOKUP(A2580,Table!$I$4:$O$3000,1,TRUE),"")</f>
        <v/>
      </c>
      <c r="L2580" s="31" t="str">
        <f>IFERROR(INDEX(Table!I:O,MATCH(K2580,Table!I:I,0),2),"")</f>
        <v/>
      </c>
      <c r="M2580" s="31" t="str">
        <f>IFERROR(INDEX(Table!I:O,MATCH(K2580,Table!I:I,0),3),"")</f>
        <v/>
      </c>
      <c r="N2580" s="32" t="str">
        <f>IFERROR(INDEX(Table!I:O,MATCH(K2580,Table!I:I,0),4),"")</f>
        <v/>
      </c>
      <c r="O2580" s="32" t="str">
        <f>IFERROR(INDEX(Table!I:O,MATCH(K2580,Table!I:I,0),5),"")</f>
        <v/>
      </c>
      <c r="P2580" s="32" t="str">
        <f>IFERROR(INDEX(Table!I:O,MATCH(K2580,Table!I:I,0),6),"")</f>
        <v/>
      </c>
      <c r="Q2580" s="89" t="str">
        <f t="shared" si="114"/>
        <v/>
      </c>
      <c r="R2580" s="89" t="str">
        <f t="shared" si="115"/>
        <v/>
      </c>
      <c r="S2580" s="82"/>
      <c r="U2580" s="37"/>
    </row>
    <row r="2581" spans="1:21" x14ac:dyDescent="0.25">
      <c r="A2581" s="31" t="str">
        <f>IF(Table!A2581 = "","",Table!A2581)</f>
        <v/>
      </c>
      <c r="B2581" s="31" t="str">
        <f>IF(Table!B2581 = "","",Table!B2581)</f>
        <v/>
      </c>
      <c r="C2581" s="31" t="str">
        <f>IF(Table!C2581 = "","",Table!C2581)</f>
        <v/>
      </c>
      <c r="D2581" s="32" t="str">
        <f>IF(Table!D2581 = "","",Table!D2581)</f>
        <v/>
      </c>
      <c r="E2581" s="32" t="str">
        <f>IF(Table!E2581 = "","",Table!E2581)</f>
        <v/>
      </c>
      <c r="F2581" s="32" t="str">
        <f>IF(Table!F2581 = "","",Table!F2581)</f>
        <v/>
      </c>
      <c r="G2581" s="91"/>
      <c r="K2581" s="31" t="str">
        <f>IFERROR(VLOOKUP(A2581,Table!$I$4:$O$3000,1,TRUE),"")</f>
        <v/>
      </c>
      <c r="L2581" s="31" t="str">
        <f>IFERROR(INDEX(Table!I:O,MATCH(K2581,Table!I:I,0),2),"")</f>
        <v/>
      </c>
      <c r="M2581" s="31" t="str">
        <f>IFERROR(INDEX(Table!I:O,MATCH(K2581,Table!I:I,0),3),"")</f>
        <v/>
      </c>
      <c r="N2581" s="32" t="str">
        <f>IFERROR(INDEX(Table!I:O,MATCH(K2581,Table!I:I,0),4),"")</f>
        <v/>
      </c>
      <c r="O2581" s="32" t="str">
        <f>IFERROR(INDEX(Table!I:O,MATCH(K2581,Table!I:I,0),5),"")</f>
        <v/>
      </c>
      <c r="P2581" s="32" t="str">
        <f>IFERROR(INDEX(Table!I:O,MATCH(K2581,Table!I:I,0),6),"")</f>
        <v/>
      </c>
      <c r="Q2581" s="89" t="str">
        <f t="shared" si="114"/>
        <v/>
      </c>
      <c r="R2581" s="89" t="str">
        <f t="shared" si="115"/>
        <v/>
      </c>
      <c r="S2581" s="82"/>
      <c r="U2581" s="37"/>
    </row>
    <row r="2582" spans="1:21" x14ac:dyDescent="0.25">
      <c r="A2582" s="31" t="str">
        <f>IF(Table!A2582 = "","",Table!A2582)</f>
        <v/>
      </c>
      <c r="B2582" s="31" t="str">
        <f>IF(Table!B2582 = "","",Table!B2582)</f>
        <v/>
      </c>
      <c r="C2582" s="31" t="str">
        <f>IF(Table!C2582 = "","",Table!C2582)</f>
        <v/>
      </c>
      <c r="D2582" s="32" t="str">
        <f>IF(Table!D2582 = "","",Table!D2582)</f>
        <v/>
      </c>
      <c r="E2582" s="32" t="str">
        <f>IF(Table!E2582 = "","",Table!E2582)</f>
        <v/>
      </c>
      <c r="F2582" s="32" t="str">
        <f>IF(Table!F2582 = "","",Table!F2582)</f>
        <v/>
      </c>
      <c r="G2582" s="91"/>
      <c r="K2582" s="31" t="str">
        <f>IFERROR(VLOOKUP(A2582,Table!$I$4:$O$3000,1,TRUE),"")</f>
        <v/>
      </c>
      <c r="L2582" s="31" t="str">
        <f>IFERROR(INDEX(Table!I:O,MATCH(K2582,Table!I:I,0),2),"")</f>
        <v/>
      </c>
      <c r="M2582" s="31" t="str">
        <f>IFERROR(INDEX(Table!I:O,MATCH(K2582,Table!I:I,0),3),"")</f>
        <v/>
      </c>
      <c r="N2582" s="32" t="str">
        <f>IFERROR(INDEX(Table!I:O,MATCH(K2582,Table!I:I,0),4),"")</f>
        <v/>
      </c>
      <c r="O2582" s="32" t="str">
        <f>IFERROR(INDEX(Table!I:O,MATCH(K2582,Table!I:I,0),5),"")</f>
        <v/>
      </c>
      <c r="P2582" s="32" t="str">
        <f>IFERROR(INDEX(Table!I:O,MATCH(K2582,Table!I:I,0),6),"")</f>
        <v/>
      </c>
      <c r="Q2582" s="89" t="str">
        <f t="shared" si="114"/>
        <v/>
      </c>
      <c r="R2582" s="89" t="str">
        <f t="shared" si="115"/>
        <v/>
      </c>
      <c r="S2582" s="82"/>
      <c r="U2582" s="37"/>
    </row>
    <row r="2583" spans="1:21" x14ac:dyDescent="0.25">
      <c r="A2583" s="31" t="str">
        <f>IF(Table!A2583 = "","",Table!A2583)</f>
        <v/>
      </c>
      <c r="B2583" s="31" t="str">
        <f>IF(Table!B2583 = "","",Table!B2583)</f>
        <v/>
      </c>
      <c r="C2583" s="31" t="str">
        <f>IF(Table!C2583 = "","",Table!C2583)</f>
        <v/>
      </c>
      <c r="D2583" s="32" t="str">
        <f>IF(Table!D2583 = "","",Table!D2583)</f>
        <v/>
      </c>
      <c r="E2583" s="32" t="str">
        <f>IF(Table!E2583 = "","",Table!E2583)</f>
        <v/>
      </c>
      <c r="F2583" s="32" t="str">
        <f>IF(Table!F2583 = "","",Table!F2583)</f>
        <v/>
      </c>
      <c r="G2583" s="91"/>
      <c r="K2583" s="31" t="str">
        <f>IFERROR(VLOOKUP(A2583,Table!$I$4:$O$3000,1,TRUE),"")</f>
        <v/>
      </c>
      <c r="L2583" s="31" t="str">
        <f>IFERROR(INDEX(Table!I:O,MATCH(K2583,Table!I:I,0),2),"")</f>
        <v/>
      </c>
      <c r="M2583" s="31" t="str">
        <f>IFERROR(INDEX(Table!I:O,MATCH(K2583,Table!I:I,0),3),"")</f>
        <v/>
      </c>
      <c r="N2583" s="32" t="str">
        <f>IFERROR(INDEX(Table!I:O,MATCH(K2583,Table!I:I,0),4),"")</f>
        <v/>
      </c>
      <c r="O2583" s="32" t="str">
        <f>IFERROR(INDEX(Table!I:O,MATCH(K2583,Table!I:I,0),5),"")</f>
        <v/>
      </c>
      <c r="P2583" s="32" t="str">
        <f>IFERROR(INDEX(Table!I:O,MATCH(K2583,Table!I:I,0),6),"")</f>
        <v/>
      </c>
      <c r="Q2583" s="89" t="str">
        <f t="shared" si="114"/>
        <v/>
      </c>
      <c r="R2583" s="89" t="str">
        <f t="shared" si="115"/>
        <v/>
      </c>
      <c r="S2583" s="82"/>
      <c r="U2583" s="37"/>
    </row>
    <row r="2584" spans="1:21" x14ac:dyDescent="0.25">
      <c r="A2584" s="31" t="str">
        <f>IF(Table!A2584 = "","",Table!A2584)</f>
        <v/>
      </c>
      <c r="B2584" s="31" t="str">
        <f>IF(Table!B2584 = "","",Table!B2584)</f>
        <v/>
      </c>
      <c r="C2584" s="31" t="str">
        <f>IF(Table!C2584 = "","",Table!C2584)</f>
        <v/>
      </c>
      <c r="D2584" s="32" t="str">
        <f>IF(Table!D2584 = "","",Table!D2584)</f>
        <v/>
      </c>
      <c r="E2584" s="32" t="str">
        <f>IF(Table!E2584 = "","",Table!E2584)</f>
        <v/>
      </c>
      <c r="F2584" s="32" t="str">
        <f>IF(Table!F2584 = "","",Table!F2584)</f>
        <v/>
      </c>
      <c r="G2584" s="91"/>
      <c r="K2584" s="31" t="str">
        <f>IFERROR(VLOOKUP(A2584,Table!$I$4:$O$3000,1,TRUE),"")</f>
        <v/>
      </c>
      <c r="L2584" s="31" t="str">
        <f>IFERROR(INDEX(Table!I:O,MATCH(K2584,Table!I:I,0),2),"")</f>
        <v/>
      </c>
      <c r="M2584" s="31" t="str">
        <f>IFERROR(INDEX(Table!I:O,MATCH(K2584,Table!I:I,0),3),"")</f>
        <v/>
      </c>
      <c r="N2584" s="32" t="str">
        <f>IFERROR(INDEX(Table!I:O,MATCH(K2584,Table!I:I,0),4),"")</f>
        <v/>
      </c>
      <c r="O2584" s="32" t="str">
        <f>IFERROR(INDEX(Table!I:O,MATCH(K2584,Table!I:I,0),5),"")</f>
        <v/>
      </c>
      <c r="P2584" s="32" t="str">
        <f>IFERROR(INDEX(Table!I:O,MATCH(K2584,Table!I:I,0),6),"")</f>
        <v/>
      </c>
      <c r="Q2584" s="89" t="str">
        <f t="shared" si="114"/>
        <v/>
      </c>
      <c r="R2584" s="89" t="str">
        <f t="shared" si="115"/>
        <v/>
      </c>
      <c r="S2584" s="82"/>
      <c r="U2584" s="37"/>
    </row>
    <row r="2585" spans="1:21" x14ac:dyDescent="0.25">
      <c r="A2585" s="31" t="str">
        <f>IF(Table!A2585 = "","",Table!A2585)</f>
        <v/>
      </c>
      <c r="B2585" s="31" t="str">
        <f>IF(Table!B2585 = "","",Table!B2585)</f>
        <v/>
      </c>
      <c r="C2585" s="31" t="str">
        <f>IF(Table!C2585 = "","",Table!C2585)</f>
        <v/>
      </c>
      <c r="D2585" s="32" t="str">
        <f>IF(Table!D2585 = "","",Table!D2585)</f>
        <v/>
      </c>
      <c r="E2585" s="32" t="str">
        <f>IF(Table!E2585 = "","",Table!E2585)</f>
        <v/>
      </c>
      <c r="F2585" s="32" t="str">
        <f>IF(Table!F2585 = "","",Table!F2585)</f>
        <v/>
      </c>
      <c r="G2585" s="91"/>
      <c r="K2585" s="31" t="str">
        <f>IFERROR(VLOOKUP(A2585,Table!$I$4:$O$3000,1,TRUE),"")</f>
        <v/>
      </c>
      <c r="L2585" s="31" t="str">
        <f>IFERROR(INDEX(Table!I:O,MATCH(K2585,Table!I:I,0),2),"")</f>
        <v/>
      </c>
      <c r="M2585" s="31" t="str">
        <f>IFERROR(INDEX(Table!I:O,MATCH(K2585,Table!I:I,0),3),"")</f>
        <v/>
      </c>
      <c r="N2585" s="32" t="str">
        <f>IFERROR(INDEX(Table!I:O,MATCH(K2585,Table!I:I,0),4),"")</f>
        <v/>
      </c>
      <c r="O2585" s="32" t="str">
        <f>IFERROR(INDEX(Table!I:O,MATCH(K2585,Table!I:I,0),5),"")</f>
        <v/>
      </c>
      <c r="P2585" s="32" t="str">
        <f>IFERROR(INDEX(Table!I:O,MATCH(K2585,Table!I:I,0),6),"")</f>
        <v/>
      </c>
      <c r="Q2585" s="89" t="str">
        <f t="shared" si="114"/>
        <v/>
      </c>
      <c r="R2585" s="89" t="str">
        <f t="shared" si="115"/>
        <v/>
      </c>
      <c r="S2585" s="82"/>
      <c r="U2585" s="37"/>
    </row>
    <row r="2586" spans="1:21" x14ac:dyDescent="0.25">
      <c r="A2586" s="31" t="str">
        <f>IF(Table!A2586 = "","",Table!A2586)</f>
        <v/>
      </c>
      <c r="B2586" s="31" t="str">
        <f>IF(Table!B2586 = "","",Table!B2586)</f>
        <v/>
      </c>
      <c r="C2586" s="31" t="str">
        <f>IF(Table!C2586 = "","",Table!C2586)</f>
        <v/>
      </c>
      <c r="D2586" s="32" t="str">
        <f>IF(Table!D2586 = "","",Table!D2586)</f>
        <v/>
      </c>
      <c r="E2586" s="32" t="str">
        <f>IF(Table!E2586 = "","",Table!E2586)</f>
        <v/>
      </c>
      <c r="F2586" s="32" t="str">
        <f>IF(Table!F2586 = "","",Table!F2586)</f>
        <v/>
      </c>
      <c r="G2586" s="91"/>
      <c r="K2586" s="31" t="str">
        <f>IFERROR(VLOOKUP(A2586,Table!$I$4:$O$3000,1,TRUE),"")</f>
        <v/>
      </c>
      <c r="L2586" s="31" t="str">
        <f>IFERROR(INDEX(Table!I:O,MATCH(K2586,Table!I:I,0),2),"")</f>
        <v/>
      </c>
      <c r="M2586" s="31" t="str">
        <f>IFERROR(INDEX(Table!I:O,MATCH(K2586,Table!I:I,0),3),"")</f>
        <v/>
      </c>
      <c r="N2586" s="32" t="str">
        <f>IFERROR(INDEX(Table!I:O,MATCH(K2586,Table!I:I,0),4),"")</f>
        <v/>
      </c>
      <c r="O2586" s="32" t="str">
        <f>IFERROR(INDEX(Table!I:O,MATCH(K2586,Table!I:I,0),5),"")</f>
        <v/>
      </c>
      <c r="P2586" s="32" t="str">
        <f>IFERROR(INDEX(Table!I:O,MATCH(K2586,Table!I:I,0),6),"")</f>
        <v/>
      </c>
      <c r="Q2586" s="89" t="str">
        <f t="shared" si="114"/>
        <v/>
      </c>
      <c r="R2586" s="89" t="str">
        <f t="shared" si="115"/>
        <v/>
      </c>
      <c r="S2586" s="82"/>
      <c r="U2586" s="37"/>
    </row>
    <row r="2587" spans="1:21" x14ac:dyDescent="0.25">
      <c r="A2587" s="31" t="str">
        <f>IF(Table!A2587 = "","",Table!A2587)</f>
        <v/>
      </c>
      <c r="B2587" s="31" t="str">
        <f>IF(Table!B2587 = "","",Table!B2587)</f>
        <v/>
      </c>
      <c r="C2587" s="31" t="str">
        <f>IF(Table!C2587 = "","",Table!C2587)</f>
        <v/>
      </c>
      <c r="D2587" s="32" t="str">
        <f>IF(Table!D2587 = "","",Table!D2587)</f>
        <v/>
      </c>
      <c r="E2587" s="32" t="str">
        <f>IF(Table!E2587 = "","",Table!E2587)</f>
        <v/>
      </c>
      <c r="F2587" s="32" t="str">
        <f>IF(Table!F2587 = "","",Table!F2587)</f>
        <v/>
      </c>
      <c r="G2587" s="91"/>
      <c r="K2587" s="31" t="str">
        <f>IFERROR(VLOOKUP(A2587,Table!$I$4:$O$3000,1,TRUE),"")</f>
        <v/>
      </c>
      <c r="L2587" s="31" t="str">
        <f>IFERROR(INDEX(Table!I:O,MATCH(K2587,Table!I:I,0),2),"")</f>
        <v/>
      </c>
      <c r="M2587" s="31" t="str">
        <f>IFERROR(INDEX(Table!I:O,MATCH(K2587,Table!I:I,0),3),"")</f>
        <v/>
      </c>
      <c r="N2587" s="32" t="str">
        <f>IFERROR(INDEX(Table!I:O,MATCH(K2587,Table!I:I,0),4),"")</f>
        <v/>
      </c>
      <c r="O2587" s="32" t="str">
        <f>IFERROR(INDEX(Table!I:O,MATCH(K2587,Table!I:I,0),5),"")</f>
        <v/>
      </c>
      <c r="P2587" s="32" t="str">
        <f>IFERROR(INDEX(Table!I:O,MATCH(K2587,Table!I:I,0),6),"")</f>
        <v/>
      </c>
      <c r="Q2587" s="89" t="str">
        <f t="shared" si="114"/>
        <v/>
      </c>
      <c r="R2587" s="89" t="str">
        <f t="shared" si="115"/>
        <v/>
      </c>
      <c r="S2587" s="82"/>
      <c r="U2587" s="37"/>
    </row>
    <row r="2588" spans="1:21" x14ac:dyDescent="0.25">
      <c r="A2588" s="31" t="str">
        <f>IF(Table!A2588 = "","",Table!A2588)</f>
        <v/>
      </c>
      <c r="B2588" s="31" t="str">
        <f>IF(Table!B2588 = "","",Table!B2588)</f>
        <v/>
      </c>
      <c r="C2588" s="31" t="str">
        <f>IF(Table!C2588 = "","",Table!C2588)</f>
        <v/>
      </c>
      <c r="D2588" s="32" t="str">
        <f>IF(Table!D2588 = "","",Table!D2588)</f>
        <v/>
      </c>
      <c r="E2588" s="32" t="str">
        <f>IF(Table!E2588 = "","",Table!E2588)</f>
        <v/>
      </c>
      <c r="F2588" s="32" t="str">
        <f>IF(Table!F2588 = "","",Table!F2588)</f>
        <v/>
      </c>
      <c r="G2588" s="91"/>
      <c r="K2588" s="31" t="str">
        <f>IFERROR(VLOOKUP(A2588,Table!$I$4:$O$3000,1,TRUE),"")</f>
        <v/>
      </c>
      <c r="L2588" s="31" t="str">
        <f>IFERROR(INDEX(Table!I:O,MATCH(K2588,Table!I:I,0),2),"")</f>
        <v/>
      </c>
      <c r="M2588" s="31" t="str">
        <f>IFERROR(INDEX(Table!I:O,MATCH(K2588,Table!I:I,0),3),"")</f>
        <v/>
      </c>
      <c r="N2588" s="32" t="str">
        <f>IFERROR(INDEX(Table!I:O,MATCH(K2588,Table!I:I,0),4),"")</f>
        <v/>
      </c>
      <c r="O2588" s="32" t="str">
        <f>IFERROR(INDEX(Table!I:O,MATCH(K2588,Table!I:I,0),5),"")</f>
        <v/>
      </c>
      <c r="P2588" s="32" t="str">
        <f>IFERROR(INDEX(Table!I:O,MATCH(K2588,Table!I:I,0),6),"")</f>
        <v/>
      </c>
      <c r="Q2588" s="89" t="str">
        <f t="shared" si="114"/>
        <v/>
      </c>
      <c r="R2588" s="89" t="str">
        <f t="shared" si="115"/>
        <v/>
      </c>
      <c r="S2588" s="82"/>
      <c r="U2588" s="37"/>
    </row>
    <row r="2589" spans="1:21" x14ac:dyDescent="0.25">
      <c r="A2589" s="31" t="str">
        <f>IF(Table!A2589 = "","",Table!A2589)</f>
        <v/>
      </c>
      <c r="B2589" s="31" t="str">
        <f>IF(Table!B2589 = "","",Table!B2589)</f>
        <v/>
      </c>
      <c r="C2589" s="31" t="str">
        <f>IF(Table!C2589 = "","",Table!C2589)</f>
        <v/>
      </c>
      <c r="D2589" s="32" t="str">
        <f>IF(Table!D2589 = "","",Table!D2589)</f>
        <v/>
      </c>
      <c r="E2589" s="32" t="str">
        <f>IF(Table!E2589 = "","",Table!E2589)</f>
        <v/>
      </c>
      <c r="F2589" s="32" t="str">
        <f>IF(Table!F2589 = "","",Table!F2589)</f>
        <v/>
      </c>
      <c r="G2589" s="91"/>
      <c r="K2589" s="31" t="str">
        <f>IFERROR(VLOOKUP(A2589,Table!$I$4:$O$3000,1,TRUE),"")</f>
        <v/>
      </c>
      <c r="L2589" s="31" t="str">
        <f>IFERROR(INDEX(Table!I:O,MATCH(K2589,Table!I:I,0),2),"")</f>
        <v/>
      </c>
      <c r="M2589" s="31" t="str">
        <f>IFERROR(INDEX(Table!I:O,MATCH(K2589,Table!I:I,0),3),"")</f>
        <v/>
      </c>
      <c r="N2589" s="32" t="str">
        <f>IFERROR(INDEX(Table!I:O,MATCH(K2589,Table!I:I,0),4),"")</f>
        <v/>
      </c>
      <c r="O2589" s="32" t="str">
        <f>IFERROR(INDEX(Table!I:O,MATCH(K2589,Table!I:I,0),5),"")</f>
        <v/>
      </c>
      <c r="P2589" s="32" t="str">
        <f>IFERROR(INDEX(Table!I:O,MATCH(K2589,Table!I:I,0),6),"")</f>
        <v/>
      </c>
      <c r="Q2589" s="89" t="str">
        <f t="shared" si="114"/>
        <v/>
      </c>
      <c r="R2589" s="89" t="str">
        <f t="shared" si="115"/>
        <v/>
      </c>
      <c r="S2589" s="82"/>
      <c r="U2589" s="37"/>
    </row>
    <row r="2590" spans="1:21" x14ac:dyDescent="0.25">
      <c r="A2590" s="31" t="str">
        <f>IF(Table!A2590 = "","",Table!A2590)</f>
        <v/>
      </c>
      <c r="B2590" s="31" t="str">
        <f>IF(Table!B2590 = "","",Table!B2590)</f>
        <v/>
      </c>
      <c r="C2590" s="31" t="str">
        <f>IF(Table!C2590 = "","",Table!C2590)</f>
        <v/>
      </c>
      <c r="D2590" s="32" t="str">
        <f>IF(Table!D2590 = "","",Table!D2590)</f>
        <v/>
      </c>
      <c r="E2590" s="32" t="str">
        <f>IF(Table!E2590 = "","",Table!E2590)</f>
        <v/>
      </c>
      <c r="F2590" s="32" t="str">
        <f>IF(Table!F2590 = "","",Table!F2590)</f>
        <v/>
      </c>
      <c r="G2590" s="91"/>
      <c r="K2590" s="31" t="str">
        <f>IFERROR(VLOOKUP(A2590,Table!$I$4:$O$3000,1,TRUE),"")</f>
        <v/>
      </c>
      <c r="L2590" s="31" t="str">
        <f>IFERROR(INDEX(Table!I:O,MATCH(K2590,Table!I:I,0),2),"")</f>
        <v/>
      </c>
      <c r="M2590" s="31" t="str">
        <f>IFERROR(INDEX(Table!I:O,MATCH(K2590,Table!I:I,0),3),"")</f>
        <v/>
      </c>
      <c r="N2590" s="32" t="str">
        <f>IFERROR(INDEX(Table!I:O,MATCH(K2590,Table!I:I,0),4),"")</f>
        <v/>
      </c>
      <c r="O2590" s="32" t="str">
        <f>IFERROR(INDEX(Table!I:O,MATCH(K2590,Table!I:I,0),5),"")</f>
        <v/>
      </c>
      <c r="P2590" s="32" t="str">
        <f>IFERROR(INDEX(Table!I:O,MATCH(K2590,Table!I:I,0),6),"")</f>
        <v/>
      </c>
      <c r="Q2590" s="89" t="str">
        <f t="shared" si="114"/>
        <v/>
      </c>
      <c r="R2590" s="89" t="str">
        <f t="shared" si="115"/>
        <v/>
      </c>
      <c r="S2590" s="82"/>
      <c r="U2590" s="37"/>
    </row>
    <row r="2591" spans="1:21" x14ac:dyDescent="0.25">
      <c r="A2591" s="31" t="str">
        <f>IF(Table!A2591 = "","",Table!A2591)</f>
        <v/>
      </c>
      <c r="B2591" s="31" t="str">
        <f>IF(Table!B2591 = "","",Table!B2591)</f>
        <v/>
      </c>
      <c r="C2591" s="31" t="str">
        <f>IF(Table!C2591 = "","",Table!C2591)</f>
        <v/>
      </c>
      <c r="D2591" s="32" t="str">
        <f>IF(Table!D2591 = "","",Table!D2591)</f>
        <v/>
      </c>
      <c r="E2591" s="32" t="str">
        <f>IF(Table!E2591 = "","",Table!E2591)</f>
        <v/>
      </c>
      <c r="F2591" s="32" t="str">
        <f>IF(Table!F2591 = "","",Table!F2591)</f>
        <v/>
      </c>
      <c r="G2591" s="91"/>
      <c r="K2591" s="31" t="str">
        <f>IFERROR(VLOOKUP(A2591,Table!$I$4:$O$3000,1,TRUE),"")</f>
        <v/>
      </c>
      <c r="L2591" s="31" t="str">
        <f>IFERROR(INDEX(Table!I:O,MATCH(K2591,Table!I:I,0),2),"")</f>
        <v/>
      </c>
      <c r="M2591" s="31" t="str">
        <f>IFERROR(INDEX(Table!I:O,MATCH(K2591,Table!I:I,0),3),"")</f>
        <v/>
      </c>
      <c r="N2591" s="32" t="str">
        <f>IFERROR(INDEX(Table!I:O,MATCH(K2591,Table!I:I,0),4),"")</f>
        <v/>
      </c>
      <c r="O2591" s="32" t="str">
        <f>IFERROR(INDEX(Table!I:O,MATCH(K2591,Table!I:I,0),5),"")</f>
        <v/>
      </c>
      <c r="P2591" s="32" t="str">
        <f>IFERROR(INDEX(Table!I:O,MATCH(K2591,Table!I:I,0),6),"")</f>
        <v/>
      </c>
      <c r="Q2591" s="89" t="str">
        <f t="shared" si="114"/>
        <v/>
      </c>
      <c r="R2591" s="89" t="str">
        <f t="shared" si="115"/>
        <v/>
      </c>
      <c r="S2591" s="82"/>
      <c r="U2591" s="37"/>
    </row>
    <row r="2592" spans="1:21" x14ac:dyDescent="0.25">
      <c r="A2592" s="31" t="str">
        <f>IF(Table!A2592 = "","",Table!A2592)</f>
        <v/>
      </c>
      <c r="B2592" s="31" t="str">
        <f>IF(Table!B2592 = "","",Table!B2592)</f>
        <v/>
      </c>
      <c r="C2592" s="31" t="str">
        <f>IF(Table!C2592 = "","",Table!C2592)</f>
        <v/>
      </c>
      <c r="D2592" s="32" t="str">
        <f>IF(Table!D2592 = "","",Table!D2592)</f>
        <v/>
      </c>
      <c r="E2592" s="32" t="str">
        <f>IF(Table!E2592 = "","",Table!E2592)</f>
        <v/>
      </c>
      <c r="F2592" s="32" t="str">
        <f>IF(Table!F2592 = "","",Table!F2592)</f>
        <v/>
      </c>
      <c r="G2592" s="91"/>
      <c r="K2592" s="31" t="str">
        <f>IFERROR(VLOOKUP(A2592,Table!$I$4:$O$3000,1,TRUE),"")</f>
        <v/>
      </c>
      <c r="L2592" s="31" t="str">
        <f>IFERROR(INDEX(Table!I:O,MATCH(K2592,Table!I:I,0),2),"")</f>
        <v/>
      </c>
      <c r="M2592" s="31" t="str">
        <f>IFERROR(INDEX(Table!I:O,MATCH(K2592,Table!I:I,0),3),"")</f>
        <v/>
      </c>
      <c r="N2592" s="32" t="str">
        <f>IFERROR(INDEX(Table!I:O,MATCH(K2592,Table!I:I,0),4),"")</f>
        <v/>
      </c>
      <c r="O2592" s="32" t="str">
        <f>IFERROR(INDEX(Table!I:O,MATCH(K2592,Table!I:I,0),5),"")</f>
        <v/>
      </c>
      <c r="P2592" s="32" t="str">
        <f>IFERROR(INDEX(Table!I:O,MATCH(K2592,Table!I:I,0),6),"")</f>
        <v/>
      </c>
      <c r="Q2592" s="89" t="str">
        <f t="shared" si="114"/>
        <v/>
      </c>
      <c r="R2592" s="89" t="str">
        <f t="shared" si="115"/>
        <v/>
      </c>
      <c r="S2592" s="82"/>
      <c r="U2592" s="37"/>
    </row>
    <row r="2593" spans="1:21" x14ac:dyDescent="0.25">
      <c r="A2593" s="31" t="str">
        <f>IF(Table!A2593 = "","",Table!A2593)</f>
        <v/>
      </c>
      <c r="B2593" s="31" t="str">
        <f>IF(Table!B2593 = "","",Table!B2593)</f>
        <v/>
      </c>
      <c r="C2593" s="31" t="str">
        <f>IF(Table!C2593 = "","",Table!C2593)</f>
        <v/>
      </c>
      <c r="D2593" s="32" t="str">
        <f>IF(Table!D2593 = "","",Table!D2593)</f>
        <v/>
      </c>
      <c r="E2593" s="32" t="str">
        <f>IF(Table!E2593 = "","",Table!E2593)</f>
        <v/>
      </c>
      <c r="F2593" s="32" t="str">
        <f>IF(Table!F2593 = "","",Table!F2593)</f>
        <v/>
      </c>
      <c r="G2593" s="91"/>
      <c r="K2593" s="31" t="str">
        <f>IFERROR(VLOOKUP(A2593,Table!$I$4:$O$3000,1,TRUE),"")</f>
        <v/>
      </c>
      <c r="L2593" s="31" t="str">
        <f>IFERROR(INDEX(Table!I:O,MATCH(K2593,Table!I:I,0),2),"")</f>
        <v/>
      </c>
      <c r="M2593" s="31" t="str">
        <f>IFERROR(INDEX(Table!I:O,MATCH(K2593,Table!I:I,0),3),"")</f>
        <v/>
      </c>
      <c r="N2593" s="32" t="str">
        <f>IFERROR(INDEX(Table!I:O,MATCH(K2593,Table!I:I,0),4),"")</f>
        <v/>
      </c>
      <c r="O2593" s="32" t="str">
        <f>IFERROR(INDEX(Table!I:O,MATCH(K2593,Table!I:I,0),5),"")</f>
        <v/>
      </c>
      <c r="P2593" s="32" t="str">
        <f>IFERROR(INDEX(Table!I:O,MATCH(K2593,Table!I:I,0),6),"")</f>
        <v/>
      </c>
      <c r="Q2593" s="89" t="str">
        <f t="shared" si="114"/>
        <v/>
      </c>
      <c r="R2593" s="89" t="str">
        <f t="shared" si="115"/>
        <v/>
      </c>
      <c r="S2593" s="82"/>
      <c r="U2593" s="37"/>
    </row>
    <row r="2594" spans="1:21" x14ac:dyDescent="0.25">
      <c r="A2594" s="31" t="str">
        <f>IF(Table!A2594 = "","",Table!A2594)</f>
        <v/>
      </c>
      <c r="B2594" s="31" t="str">
        <f>IF(Table!B2594 = "","",Table!B2594)</f>
        <v/>
      </c>
      <c r="C2594" s="31" t="str">
        <f>IF(Table!C2594 = "","",Table!C2594)</f>
        <v/>
      </c>
      <c r="D2594" s="32" t="str">
        <f>IF(Table!D2594 = "","",Table!D2594)</f>
        <v/>
      </c>
      <c r="E2594" s="32" t="str">
        <f>IF(Table!E2594 = "","",Table!E2594)</f>
        <v/>
      </c>
      <c r="F2594" s="32" t="str">
        <f>IF(Table!F2594 = "","",Table!F2594)</f>
        <v/>
      </c>
      <c r="G2594" s="91"/>
      <c r="K2594" s="31" t="str">
        <f>IFERROR(VLOOKUP(A2594,Table!$I$4:$O$3000,1,TRUE),"")</f>
        <v/>
      </c>
      <c r="L2594" s="31" t="str">
        <f>IFERROR(INDEX(Table!I:O,MATCH(K2594,Table!I:I,0),2),"")</f>
        <v/>
      </c>
      <c r="M2594" s="31" t="str">
        <f>IFERROR(INDEX(Table!I:O,MATCH(K2594,Table!I:I,0),3),"")</f>
        <v/>
      </c>
      <c r="N2594" s="32" t="str">
        <f>IFERROR(INDEX(Table!I:O,MATCH(K2594,Table!I:I,0),4),"")</f>
        <v/>
      </c>
      <c r="O2594" s="32" t="str">
        <f>IFERROR(INDEX(Table!I:O,MATCH(K2594,Table!I:I,0),5),"")</f>
        <v/>
      </c>
      <c r="P2594" s="32" t="str">
        <f>IFERROR(INDEX(Table!I:O,MATCH(K2594,Table!I:I,0),6),"")</f>
        <v/>
      </c>
      <c r="Q2594" s="89" t="str">
        <f t="shared" si="114"/>
        <v/>
      </c>
      <c r="R2594" s="89" t="str">
        <f t="shared" si="115"/>
        <v/>
      </c>
      <c r="S2594" s="82"/>
      <c r="U2594" s="37"/>
    </row>
    <row r="2595" spans="1:21" x14ac:dyDescent="0.25">
      <c r="A2595" s="31" t="str">
        <f>IF(Table!A2595 = "","",Table!A2595)</f>
        <v/>
      </c>
      <c r="B2595" s="31" t="str">
        <f>IF(Table!B2595 = "","",Table!B2595)</f>
        <v/>
      </c>
      <c r="C2595" s="31" t="str">
        <f>IF(Table!C2595 = "","",Table!C2595)</f>
        <v/>
      </c>
      <c r="D2595" s="32" t="str">
        <f>IF(Table!D2595 = "","",Table!D2595)</f>
        <v/>
      </c>
      <c r="E2595" s="32" t="str">
        <f>IF(Table!E2595 = "","",Table!E2595)</f>
        <v/>
      </c>
      <c r="F2595" s="32" t="str">
        <f>IF(Table!F2595 = "","",Table!F2595)</f>
        <v/>
      </c>
      <c r="G2595" s="91"/>
      <c r="K2595" s="31" t="str">
        <f>IFERROR(VLOOKUP(A2595,Table!$I$4:$O$3000,1,TRUE),"")</f>
        <v/>
      </c>
      <c r="L2595" s="31" t="str">
        <f>IFERROR(INDEX(Table!I:O,MATCH(K2595,Table!I:I,0),2),"")</f>
        <v/>
      </c>
      <c r="M2595" s="31" t="str">
        <f>IFERROR(INDEX(Table!I:O,MATCH(K2595,Table!I:I,0),3),"")</f>
        <v/>
      </c>
      <c r="N2595" s="32" t="str">
        <f>IFERROR(INDEX(Table!I:O,MATCH(K2595,Table!I:I,0),4),"")</f>
        <v/>
      </c>
      <c r="O2595" s="32" t="str">
        <f>IFERROR(INDEX(Table!I:O,MATCH(K2595,Table!I:I,0),5),"")</f>
        <v/>
      </c>
      <c r="P2595" s="32" t="str">
        <f>IFERROR(INDEX(Table!I:O,MATCH(K2595,Table!I:I,0),6),"")</f>
        <v/>
      </c>
      <c r="Q2595" s="89" t="str">
        <f t="shared" si="114"/>
        <v/>
      </c>
      <c r="R2595" s="89" t="str">
        <f t="shared" si="115"/>
        <v/>
      </c>
      <c r="S2595" s="82"/>
      <c r="U2595" s="37"/>
    </row>
    <row r="2596" spans="1:21" x14ac:dyDescent="0.25">
      <c r="A2596" s="31" t="str">
        <f>IF(Table!A2596 = "","",Table!A2596)</f>
        <v/>
      </c>
      <c r="B2596" s="31" t="str">
        <f>IF(Table!B2596 = "","",Table!B2596)</f>
        <v/>
      </c>
      <c r="C2596" s="31" t="str">
        <f>IF(Table!C2596 = "","",Table!C2596)</f>
        <v/>
      </c>
      <c r="D2596" s="32" t="str">
        <f>IF(Table!D2596 = "","",Table!D2596)</f>
        <v/>
      </c>
      <c r="E2596" s="32" t="str">
        <f>IF(Table!E2596 = "","",Table!E2596)</f>
        <v/>
      </c>
      <c r="F2596" s="32" t="str">
        <f>IF(Table!F2596 = "","",Table!F2596)</f>
        <v/>
      </c>
      <c r="G2596" s="91"/>
      <c r="K2596" s="31" t="str">
        <f>IFERROR(VLOOKUP(A2596,Table!$I$4:$O$3000,1,TRUE),"")</f>
        <v/>
      </c>
      <c r="L2596" s="31" t="str">
        <f>IFERROR(INDEX(Table!I:O,MATCH(K2596,Table!I:I,0),2),"")</f>
        <v/>
      </c>
      <c r="M2596" s="31" t="str">
        <f>IFERROR(INDEX(Table!I:O,MATCH(K2596,Table!I:I,0),3),"")</f>
        <v/>
      </c>
      <c r="N2596" s="32" t="str">
        <f>IFERROR(INDEX(Table!I:O,MATCH(K2596,Table!I:I,0),4),"")</f>
        <v/>
      </c>
      <c r="O2596" s="32" t="str">
        <f>IFERROR(INDEX(Table!I:O,MATCH(K2596,Table!I:I,0),5),"")</f>
        <v/>
      </c>
      <c r="P2596" s="32" t="str">
        <f>IFERROR(INDEX(Table!I:O,MATCH(K2596,Table!I:I,0),6),"")</f>
        <v/>
      </c>
      <c r="Q2596" s="89" t="str">
        <f t="shared" si="114"/>
        <v/>
      </c>
      <c r="R2596" s="89" t="str">
        <f t="shared" si="115"/>
        <v/>
      </c>
      <c r="S2596" s="82"/>
      <c r="U2596" s="37"/>
    </row>
    <row r="2597" spans="1:21" x14ac:dyDescent="0.25">
      <c r="A2597" s="31" t="str">
        <f>IF(Table!A2597 = "","",Table!A2597)</f>
        <v/>
      </c>
      <c r="B2597" s="31" t="str">
        <f>IF(Table!B2597 = "","",Table!B2597)</f>
        <v/>
      </c>
      <c r="C2597" s="31" t="str">
        <f>IF(Table!C2597 = "","",Table!C2597)</f>
        <v/>
      </c>
      <c r="D2597" s="32" t="str">
        <f>IF(Table!D2597 = "","",Table!D2597)</f>
        <v/>
      </c>
      <c r="E2597" s="32" t="str">
        <f>IF(Table!E2597 = "","",Table!E2597)</f>
        <v/>
      </c>
      <c r="F2597" s="32" t="str">
        <f>IF(Table!F2597 = "","",Table!F2597)</f>
        <v/>
      </c>
      <c r="G2597" s="91"/>
      <c r="K2597" s="31" t="str">
        <f>IFERROR(VLOOKUP(A2597,Table!$I$4:$O$3000,1,TRUE),"")</f>
        <v/>
      </c>
      <c r="L2597" s="31" t="str">
        <f>IFERROR(INDEX(Table!I:O,MATCH(K2597,Table!I:I,0),2),"")</f>
        <v/>
      </c>
      <c r="M2597" s="31" t="str">
        <f>IFERROR(INDEX(Table!I:O,MATCH(K2597,Table!I:I,0),3),"")</f>
        <v/>
      </c>
      <c r="N2597" s="32" t="str">
        <f>IFERROR(INDEX(Table!I:O,MATCH(K2597,Table!I:I,0),4),"")</f>
        <v/>
      </c>
      <c r="O2597" s="32" t="str">
        <f>IFERROR(INDEX(Table!I:O,MATCH(K2597,Table!I:I,0),5),"")</f>
        <v/>
      </c>
      <c r="P2597" s="32" t="str">
        <f>IFERROR(INDEX(Table!I:O,MATCH(K2597,Table!I:I,0),6),"")</f>
        <v/>
      </c>
      <c r="Q2597" s="89" t="str">
        <f t="shared" si="114"/>
        <v/>
      </c>
      <c r="R2597" s="89" t="str">
        <f t="shared" si="115"/>
        <v/>
      </c>
      <c r="S2597" s="82"/>
      <c r="U2597" s="37"/>
    </row>
    <row r="2598" spans="1:21" x14ac:dyDescent="0.25">
      <c r="A2598" s="31" t="str">
        <f>IF(Table!A2598 = "","",Table!A2598)</f>
        <v/>
      </c>
      <c r="B2598" s="31" t="str">
        <f>IF(Table!B2598 = "","",Table!B2598)</f>
        <v/>
      </c>
      <c r="C2598" s="31" t="str">
        <f>IF(Table!C2598 = "","",Table!C2598)</f>
        <v/>
      </c>
      <c r="D2598" s="32" t="str">
        <f>IF(Table!D2598 = "","",Table!D2598)</f>
        <v/>
      </c>
      <c r="E2598" s="32" t="str">
        <f>IF(Table!E2598 = "","",Table!E2598)</f>
        <v/>
      </c>
      <c r="F2598" s="32" t="str">
        <f>IF(Table!F2598 = "","",Table!F2598)</f>
        <v/>
      </c>
      <c r="G2598" s="91"/>
      <c r="K2598" s="31" t="str">
        <f>IFERROR(VLOOKUP(A2598,Table!$I$4:$O$3000,1,TRUE),"")</f>
        <v/>
      </c>
      <c r="L2598" s="31" t="str">
        <f>IFERROR(INDEX(Table!I:O,MATCH(K2598,Table!I:I,0),2),"")</f>
        <v/>
      </c>
      <c r="M2598" s="31" t="str">
        <f>IFERROR(INDEX(Table!I:O,MATCH(K2598,Table!I:I,0),3),"")</f>
        <v/>
      </c>
      <c r="N2598" s="32" t="str">
        <f>IFERROR(INDEX(Table!I:O,MATCH(K2598,Table!I:I,0),4),"")</f>
        <v/>
      </c>
      <c r="O2598" s="32" t="str">
        <f>IFERROR(INDEX(Table!I:O,MATCH(K2598,Table!I:I,0),5),"")</f>
        <v/>
      </c>
      <c r="P2598" s="32" t="str">
        <f>IFERROR(INDEX(Table!I:O,MATCH(K2598,Table!I:I,0),6),"")</f>
        <v/>
      </c>
      <c r="Q2598" s="89" t="str">
        <f t="shared" si="114"/>
        <v/>
      </c>
      <c r="R2598" s="89" t="str">
        <f t="shared" si="115"/>
        <v/>
      </c>
      <c r="S2598" s="82"/>
      <c r="U2598" s="37"/>
    </row>
    <row r="2599" spans="1:21" x14ac:dyDescent="0.25">
      <c r="A2599" s="31" t="str">
        <f>IF(Table!A2599 = "","",Table!A2599)</f>
        <v/>
      </c>
      <c r="B2599" s="31" t="str">
        <f>IF(Table!B2599 = "","",Table!B2599)</f>
        <v/>
      </c>
      <c r="C2599" s="31" t="str">
        <f>IF(Table!C2599 = "","",Table!C2599)</f>
        <v/>
      </c>
      <c r="D2599" s="32" t="str">
        <f>IF(Table!D2599 = "","",Table!D2599)</f>
        <v/>
      </c>
      <c r="E2599" s="32" t="str">
        <f>IF(Table!E2599 = "","",Table!E2599)</f>
        <v/>
      </c>
      <c r="F2599" s="32" t="str">
        <f>IF(Table!F2599 = "","",Table!F2599)</f>
        <v/>
      </c>
      <c r="G2599" s="91"/>
      <c r="K2599" s="31" t="str">
        <f>IFERROR(VLOOKUP(A2599,Table!$I$4:$O$3000,1,TRUE),"")</f>
        <v/>
      </c>
      <c r="L2599" s="31" t="str">
        <f>IFERROR(INDEX(Table!I:O,MATCH(K2599,Table!I:I,0),2),"")</f>
        <v/>
      </c>
      <c r="M2599" s="31" t="str">
        <f>IFERROR(INDEX(Table!I:O,MATCH(K2599,Table!I:I,0),3),"")</f>
        <v/>
      </c>
      <c r="N2599" s="32" t="str">
        <f>IFERROR(INDEX(Table!I:O,MATCH(K2599,Table!I:I,0),4),"")</f>
        <v/>
      </c>
      <c r="O2599" s="32" t="str">
        <f>IFERROR(INDEX(Table!I:O,MATCH(K2599,Table!I:I,0),5),"")</f>
        <v/>
      </c>
      <c r="P2599" s="32" t="str">
        <f>IFERROR(INDEX(Table!I:O,MATCH(K2599,Table!I:I,0),6),"")</f>
        <v/>
      </c>
      <c r="Q2599" s="89" t="str">
        <f t="shared" si="114"/>
        <v/>
      </c>
      <c r="R2599" s="89" t="str">
        <f t="shared" si="115"/>
        <v/>
      </c>
      <c r="S2599" s="82"/>
      <c r="U2599" s="37"/>
    </row>
    <row r="2600" spans="1:21" x14ac:dyDescent="0.25">
      <c r="A2600" s="31" t="str">
        <f>IF(Table!A2600 = "","",Table!A2600)</f>
        <v/>
      </c>
      <c r="B2600" s="31" t="str">
        <f>IF(Table!B2600 = "","",Table!B2600)</f>
        <v/>
      </c>
      <c r="C2600" s="31" t="str">
        <f>IF(Table!C2600 = "","",Table!C2600)</f>
        <v/>
      </c>
      <c r="D2600" s="32" t="str">
        <f>IF(Table!D2600 = "","",Table!D2600)</f>
        <v/>
      </c>
      <c r="E2600" s="32" t="str">
        <f>IF(Table!E2600 = "","",Table!E2600)</f>
        <v/>
      </c>
      <c r="F2600" s="32" t="str">
        <f>IF(Table!F2600 = "","",Table!F2600)</f>
        <v/>
      </c>
      <c r="G2600" s="91"/>
      <c r="K2600" s="31" t="str">
        <f>IFERROR(VLOOKUP(A2600,Table!$I$4:$O$3000,1,TRUE),"")</f>
        <v/>
      </c>
      <c r="L2600" s="31" t="str">
        <f>IFERROR(INDEX(Table!I:O,MATCH(K2600,Table!I:I,0),2),"")</f>
        <v/>
      </c>
      <c r="M2600" s="31" t="str">
        <f>IFERROR(INDEX(Table!I:O,MATCH(K2600,Table!I:I,0),3),"")</f>
        <v/>
      </c>
      <c r="N2600" s="32" t="str">
        <f>IFERROR(INDEX(Table!I:O,MATCH(K2600,Table!I:I,0),4),"")</f>
        <v/>
      </c>
      <c r="O2600" s="32" t="str">
        <f>IFERROR(INDEX(Table!I:O,MATCH(K2600,Table!I:I,0),5),"")</f>
        <v/>
      </c>
      <c r="P2600" s="32" t="str">
        <f>IFERROR(INDEX(Table!I:O,MATCH(K2600,Table!I:I,0),6),"")</f>
        <v/>
      </c>
      <c r="Q2600" s="89" t="str">
        <f t="shared" si="114"/>
        <v/>
      </c>
      <c r="R2600" s="89" t="str">
        <f t="shared" si="115"/>
        <v/>
      </c>
      <c r="S2600" s="82"/>
      <c r="U2600" s="37"/>
    </row>
    <row r="2601" spans="1:21" x14ac:dyDescent="0.25">
      <c r="A2601" s="31" t="str">
        <f>IF(Table!A2601 = "","",Table!A2601)</f>
        <v/>
      </c>
      <c r="B2601" s="31" t="str">
        <f>IF(Table!B2601 = "","",Table!B2601)</f>
        <v/>
      </c>
      <c r="C2601" s="31" t="str">
        <f>IF(Table!C2601 = "","",Table!C2601)</f>
        <v/>
      </c>
      <c r="D2601" s="32" t="str">
        <f>IF(Table!D2601 = "","",Table!D2601)</f>
        <v/>
      </c>
      <c r="E2601" s="32" t="str">
        <f>IF(Table!E2601 = "","",Table!E2601)</f>
        <v/>
      </c>
      <c r="F2601" s="32" t="str">
        <f>IF(Table!F2601 = "","",Table!F2601)</f>
        <v/>
      </c>
      <c r="G2601" s="91"/>
      <c r="K2601" s="31" t="str">
        <f>IFERROR(VLOOKUP(A2601,Table!$I$4:$O$3000,1,TRUE),"")</f>
        <v/>
      </c>
      <c r="L2601" s="31" t="str">
        <f>IFERROR(INDEX(Table!I:O,MATCH(K2601,Table!I:I,0),2),"")</f>
        <v/>
      </c>
      <c r="M2601" s="31" t="str">
        <f>IFERROR(INDEX(Table!I:O,MATCH(K2601,Table!I:I,0),3),"")</f>
        <v/>
      </c>
      <c r="N2601" s="32" t="str">
        <f>IFERROR(INDEX(Table!I:O,MATCH(K2601,Table!I:I,0),4),"")</f>
        <v/>
      </c>
      <c r="O2601" s="32" t="str">
        <f>IFERROR(INDEX(Table!I:O,MATCH(K2601,Table!I:I,0),5),"")</f>
        <v/>
      </c>
      <c r="P2601" s="32" t="str">
        <f>IFERROR(INDEX(Table!I:O,MATCH(K2601,Table!I:I,0),6),"")</f>
        <v/>
      </c>
      <c r="Q2601" s="89" t="str">
        <f t="shared" si="114"/>
        <v/>
      </c>
      <c r="R2601" s="89" t="str">
        <f t="shared" si="115"/>
        <v/>
      </c>
      <c r="S2601" s="82"/>
      <c r="U2601" s="37"/>
    </row>
    <row r="2602" spans="1:21" x14ac:dyDescent="0.25">
      <c r="A2602" s="31" t="str">
        <f>IF(Table!A2602 = "","",Table!A2602)</f>
        <v/>
      </c>
      <c r="B2602" s="31" t="str">
        <f>IF(Table!B2602 = "","",Table!B2602)</f>
        <v/>
      </c>
      <c r="C2602" s="31" t="str">
        <f>IF(Table!C2602 = "","",Table!C2602)</f>
        <v/>
      </c>
      <c r="D2602" s="32" t="str">
        <f>IF(Table!D2602 = "","",Table!D2602)</f>
        <v/>
      </c>
      <c r="E2602" s="32" t="str">
        <f>IF(Table!E2602 = "","",Table!E2602)</f>
        <v/>
      </c>
      <c r="F2602" s="32" t="str">
        <f>IF(Table!F2602 = "","",Table!F2602)</f>
        <v/>
      </c>
      <c r="G2602" s="91"/>
      <c r="K2602" s="31" t="str">
        <f>IFERROR(VLOOKUP(A2602,Table!$I$4:$O$3000,1,TRUE),"")</f>
        <v/>
      </c>
      <c r="L2602" s="31" t="str">
        <f>IFERROR(INDEX(Table!I:O,MATCH(K2602,Table!I:I,0),2),"")</f>
        <v/>
      </c>
      <c r="M2602" s="31" t="str">
        <f>IFERROR(INDEX(Table!I:O,MATCH(K2602,Table!I:I,0),3),"")</f>
        <v/>
      </c>
      <c r="N2602" s="32" t="str">
        <f>IFERROR(INDEX(Table!I:O,MATCH(K2602,Table!I:I,0),4),"")</f>
        <v/>
      </c>
      <c r="O2602" s="32" t="str">
        <f>IFERROR(INDEX(Table!I:O,MATCH(K2602,Table!I:I,0),5),"")</f>
        <v/>
      </c>
      <c r="P2602" s="32" t="str">
        <f>IFERROR(INDEX(Table!I:O,MATCH(K2602,Table!I:I,0),6),"")</f>
        <v/>
      </c>
      <c r="Q2602" s="89" t="str">
        <f t="shared" si="114"/>
        <v/>
      </c>
      <c r="R2602" s="89" t="str">
        <f t="shared" si="115"/>
        <v/>
      </c>
      <c r="S2602" s="82"/>
      <c r="U2602" s="37"/>
    </row>
    <row r="2603" spans="1:21" x14ac:dyDescent="0.25">
      <c r="A2603" s="31" t="str">
        <f>IF(Table!A2603 = "","",Table!A2603)</f>
        <v/>
      </c>
      <c r="B2603" s="31" t="str">
        <f>IF(Table!B2603 = "","",Table!B2603)</f>
        <v/>
      </c>
      <c r="C2603" s="31" t="str">
        <f>IF(Table!C2603 = "","",Table!C2603)</f>
        <v/>
      </c>
      <c r="D2603" s="32" t="str">
        <f>IF(Table!D2603 = "","",Table!D2603)</f>
        <v/>
      </c>
      <c r="E2603" s="32" t="str">
        <f>IF(Table!E2603 = "","",Table!E2603)</f>
        <v/>
      </c>
      <c r="F2603" s="32" t="str">
        <f>IF(Table!F2603 = "","",Table!F2603)</f>
        <v/>
      </c>
      <c r="G2603" s="91"/>
      <c r="K2603" s="31" t="str">
        <f>IFERROR(VLOOKUP(A2603,Table!$I$4:$O$3000,1,TRUE),"")</f>
        <v/>
      </c>
      <c r="L2603" s="31" t="str">
        <f>IFERROR(INDEX(Table!I:O,MATCH(K2603,Table!I:I,0),2),"")</f>
        <v/>
      </c>
      <c r="M2603" s="31" t="str">
        <f>IFERROR(INDEX(Table!I:O,MATCH(K2603,Table!I:I,0),3),"")</f>
        <v/>
      </c>
      <c r="N2603" s="32" t="str">
        <f>IFERROR(INDEX(Table!I:O,MATCH(K2603,Table!I:I,0),4),"")</f>
        <v/>
      </c>
      <c r="O2603" s="32" t="str">
        <f>IFERROR(INDEX(Table!I:O,MATCH(K2603,Table!I:I,0),5),"")</f>
        <v/>
      </c>
      <c r="P2603" s="32" t="str">
        <f>IFERROR(INDEX(Table!I:O,MATCH(K2603,Table!I:I,0),6),"")</f>
        <v/>
      </c>
      <c r="Q2603" s="89" t="str">
        <f t="shared" si="114"/>
        <v/>
      </c>
      <c r="R2603" s="89" t="str">
        <f t="shared" si="115"/>
        <v/>
      </c>
      <c r="S2603" s="82"/>
      <c r="U2603" s="37"/>
    </row>
    <row r="2604" spans="1:21" x14ac:dyDescent="0.25">
      <c r="A2604" s="31" t="str">
        <f>IF(Table!A2604 = "","",Table!A2604)</f>
        <v/>
      </c>
      <c r="B2604" s="31" t="str">
        <f>IF(Table!B2604 = "","",Table!B2604)</f>
        <v/>
      </c>
      <c r="C2604" s="31" t="str">
        <f>IF(Table!C2604 = "","",Table!C2604)</f>
        <v/>
      </c>
      <c r="D2604" s="32" t="str">
        <f>IF(Table!D2604 = "","",Table!D2604)</f>
        <v/>
      </c>
      <c r="E2604" s="32" t="str">
        <f>IF(Table!E2604 = "","",Table!E2604)</f>
        <v/>
      </c>
      <c r="F2604" s="32" t="str">
        <f>IF(Table!F2604 = "","",Table!F2604)</f>
        <v/>
      </c>
      <c r="G2604" s="91"/>
      <c r="K2604" s="31" t="str">
        <f>IFERROR(VLOOKUP(A2604,Table!$I$4:$O$3000,1,TRUE),"")</f>
        <v/>
      </c>
      <c r="L2604" s="31" t="str">
        <f>IFERROR(INDEX(Table!I:O,MATCH(K2604,Table!I:I,0),2),"")</f>
        <v/>
      </c>
      <c r="M2604" s="31" t="str">
        <f>IFERROR(INDEX(Table!I:O,MATCH(K2604,Table!I:I,0),3),"")</f>
        <v/>
      </c>
      <c r="N2604" s="32" t="str">
        <f>IFERROR(INDEX(Table!I:O,MATCH(K2604,Table!I:I,0),4),"")</f>
        <v/>
      </c>
      <c r="O2604" s="32" t="str">
        <f>IFERROR(INDEX(Table!I:O,MATCH(K2604,Table!I:I,0),5),"")</f>
        <v/>
      </c>
      <c r="P2604" s="32" t="str">
        <f>IFERROR(INDEX(Table!I:O,MATCH(K2604,Table!I:I,0),6),"")</f>
        <v/>
      </c>
      <c r="Q2604" s="89" t="str">
        <f t="shared" si="114"/>
        <v/>
      </c>
      <c r="R2604" s="89" t="str">
        <f t="shared" si="115"/>
        <v/>
      </c>
      <c r="S2604" s="82"/>
      <c r="U2604" s="37"/>
    </row>
    <row r="2605" spans="1:21" x14ac:dyDescent="0.25">
      <c r="A2605" s="31" t="str">
        <f>IF(Table!A2605 = "","",Table!A2605)</f>
        <v/>
      </c>
      <c r="B2605" s="31" t="str">
        <f>IF(Table!B2605 = "","",Table!B2605)</f>
        <v/>
      </c>
      <c r="C2605" s="31" t="str">
        <f>IF(Table!C2605 = "","",Table!C2605)</f>
        <v/>
      </c>
      <c r="D2605" s="32" t="str">
        <f>IF(Table!D2605 = "","",Table!D2605)</f>
        <v/>
      </c>
      <c r="E2605" s="32" t="str">
        <f>IF(Table!E2605 = "","",Table!E2605)</f>
        <v/>
      </c>
      <c r="F2605" s="32" t="str">
        <f>IF(Table!F2605 = "","",Table!F2605)</f>
        <v/>
      </c>
      <c r="G2605" s="91"/>
      <c r="K2605" s="31" t="str">
        <f>IFERROR(VLOOKUP(A2605,Table!$I$4:$O$3000,1,TRUE),"")</f>
        <v/>
      </c>
      <c r="L2605" s="31" t="str">
        <f>IFERROR(INDEX(Table!I:O,MATCH(K2605,Table!I:I,0),2),"")</f>
        <v/>
      </c>
      <c r="M2605" s="31" t="str">
        <f>IFERROR(INDEX(Table!I:O,MATCH(K2605,Table!I:I,0),3),"")</f>
        <v/>
      </c>
      <c r="N2605" s="32" t="str">
        <f>IFERROR(INDEX(Table!I:O,MATCH(K2605,Table!I:I,0),4),"")</f>
        <v/>
      </c>
      <c r="O2605" s="32" t="str">
        <f>IFERROR(INDEX(Table!I:O,MATCH(K2605,Table!I:I,0),5),"")</f>
        <v/>
      </c>
      <c r="P2605" s="32" t="str">
        <f>IFERROR(INDEX(Table!I:O,MATCH(K2605,Table!I:I,0),6),"")</f>
        <v/>
      </c>
      <c r="Q2605" s="89" t="str">
        <f t="shared" si="114"/>
        <v/>
      </c>
      <c r="R2605" s="89" t="str">
        <f t="shared" si="115"/>
        <v/>
      </c>
      <c r="S2605" s="82"/>
      <c r="U2605" s="37"/>
    </row>
    <row r="2606" spans="1:21" x14ac:dyDescent="0.25">
      <c r="A2606" s="31" t="str">
        <f>IF(Table!A2606 = "","",Table!A2606)</f>
        <v/>
      </c>
      <c r="B2606" s="31" t="str">
        <f>IF(Table!B2606 = "","",Table!B2606)</f>
        <v/>
      </c>
      <c r="C2606" s="31" t="str">
        <f>IF(Table!C2606 = "","",Table!C2606)</f>
        <v/>
      </c>
      <c r="D2606" s="32" t="str">
        <f>IF(Table!D2606 = "","",Table!D2606)</f>
        <v/>
      </c>
      <c r="E2606" s="32" t="str">
        <f>IF(Table!E2606 = "","",Table!E2606)</f>
        <v/>
      </c>
      <c r="F2606" s="32" t="str">
        <f>IF(Table!F2606 = "","",Table!F2606)</f>
        <v/>
      </c>
      <c r="G2606" s="91"/>
      <c r="K2606" s="31" t="str">
        <f>IFERROR(VLOOKUP(A2606,Table!$I$4:$O$3000,1,TRUE),"")</f>
        <v/>
      </c>
      <c r="L2606" s="31" t="str">
        <f>IFERROR(INDEX(Table!I:O,MATCH(K2606,Table!I:I,0),2),"")</f>
        <v/>
      </c>
      <c r="M2606" s="31" t="str">
        <f>IFERROR(INDEX(Table!I:O,MATCH(K2606,Table!I:I,0),3),"")</f>
        <v/>
      </c>
      <c r="N2606" s="32" t="str">
        <f>IFERROR(INDEX(Table!I:O,MATCH(K2606,Table!I:I,0),4),"")</f>
        <v/>
      </c>
      <c r="O2606" s="32" t="str">
        <f>IFERROR(INDEX(Table!I:O,MATCH(K2606,Table!I:I,0),5),"")</f>
        <v/>
      </c>
      <c r="P2606" s="32" t="str">
        <f>IFERROR(INDEX(Table!I:O,MATCH(K2606,Table!I:I,0),6),"")</f>
        <v/>
      </c>
      <c r="Q2606" s="89" t="str">
        <f t="shared" si="114"/>
        <v/>
      </c>
      <c r="R2606" s="89" t="str">
        <f t="shared" si="115"/>
        <v/>
      </c>
      <c r="S2606" s="82"/>
      <c r="U2606" s="37"/>
    </row>
    <row r="2607" spans="1:21" x14ac:dyDescent="0.25">
      <c r="A2607" s="31" t="str">
        <f>IF(Table!A2607 = "","",Table!A2607)</f>
        <v/>
      </c>
      <c r="B2607" s="31" t="str">
        <f>IF(Table!B2607 = "","",Table!B2607)</f>
        <v/>
      </c>
      <c r="C2607" s="31" t="str">
        <f>IF(Table!C2607 = "","",Table!C2607)</f>
        <v/>
      </c>
      <c r="D2607" s="32" t="str">
        <f>IF(Table!D2607 = "","",Table!D2607)</f>
        <v/>
      </c>
      <c r="E2607" s="32" t="str">
        <f>IF(Table!E2607 = "","",Table!E2607)</f>
        <v/>
      </c>
      <c r="F2607" s="32" t="str">
        <f>IF(Table!F2607 = "","",Table!F2607)</f>
        <v/>
      </c>
      <c r="G2607" s="91"/>
      <c r="K2607" s="31" t="str">
        <f>IFERROR(VLOOKUP(A2607,Table!$I$4:$O$3000,1,TRUE),"")</f>
        <v/>
      </c>
      <c r="L2607" s="31" t="str">
        <f>IFERROR(INDEX(Table!I:O,MATCH(K2607,Table!I:I,0),2),"")</f>
        <v/>
      </c>
      <c r="M2607" s="31" t="str">
        <f>IFERROR(INDEX(Table!I:O,MATCH(K2607,Table!I:I,0),3),"")</f>
        <v/>
      </c>
      <c r="N2607" s="32" t="str">
        <f>IFERROR(INDEX(Table!I:O,MATCH(K2607,Table!I:I,0),4),"")</f>
        <v/>
      </c>
      <c r="O2607" s="32" t="str">
        <f>IFERROR(INDEX(Table!I:O,MATCH(K2607,Table!I:I,0),5),"")</f>
        <v/>
      </c>
      <c r="P2607" s="32" t="str">
        <f>IFERROR(INDEX(Table!I:O,MATCH(K2607,Table!I:I,0),6),"")</f>
        <v/>
      </c>
      <c r="Q2607" s="89" t="str">
        <f t="shared" si="114"/>
        <v/>
      </c>
      <c r="R2607" s="89" t="str">
        <f t="shared" si="115"/>
        <v/>
      </c>
      <c r="S2607" s="82"/>
      <c r="U2607" s="37"/>
    </row>
    <row r="2608" spans="1:21" x14ac:dyDescent="0.25">
      <c r="A2608" s="31" t="str">
        <f>IF(Table!A2608 = "","",Table!A2608)</f>
        <v/>
      </c>
      <c r="B2608" s="31" t="str">
        <f>IF(Table!B2608 = "","",Table!B2608)</f>
        <v/>
      </c>
      <c r="C2608" s="31" t="str">
        <f>IF(Table!C2608 = "","",Table!C2608)</f>
        <v/>
      </c>
      <c r="D2608" s="32" t="str">
        <f>IF(Table!D2608 = "","",Table!D2608)</f>
        <v/>
      </c>
      <c r="E2608" s="32" t="str">
        <f>IF(Table!E2608 = "","",Table!E2608)</f>
        <v/>
      </c>
      <c r="F2608" s="32" t="str">
        <f>IF(Table!F2608 = "","",Table!F2608)</f>
        <v/>
      </c>
      <c r="G2608" s="91"/>
      <c r="K2608" s="31" t="str">
        <f>IFERROR(VLOOKUP(A2608,Table!$I$4:$O$3000,1,TRUE),"")</f>
        <v/>
      </c>
      <c r="L2608" s="31" t="str">
        <f>IFERROR(INDEX(Table!I:O,MATCH(K2608,Table!I:I,0),2),"")</f>
        <v/>
      </c>
      <c r="M2608" s="31" t="str">
        <f>IFERROR(INDEX(Table!I:O,MATCH(K2608,Table!I:I,0),3),"")</f>
        <v/>
      </c>
      <c r="N2608" s="32" t="str">
        <f>IFERROR(INDEX(Table!I:O,MATCH(K2608,Table!I:I,0),4),"")</f>
        <v/>
      </c>
      <c r="O2608" s="32" t="str">
        <f>IFERROR(INDEX(Table!I:O,MATCH(K2608,Table!I:I,0),5),"")</f>
        <v/>
      </c>
      <c r="P2608" s="32" t="str">
        <f>IFERROR(INDEX(Table!I:O,MATCH(K2608,Table!I:I,0),6),"")</f>
        <v/>
      </c>
      <c r="Q2608" s="89" t="str">
        <f t="shared" si="114"/>
        <v/>
      </c>
      <c r="R2608" s="89" t="str">
        <f t="shared" si="115"/>
        <v/>
      </c>
      <c r="S2608" s="82"/>
      <c r="U2608" s="37"/>
    </row>
    <row r="2609" spans="1:21" x14ac:dyDescent="0.25">
      <c r="A2609" s="31" t="str">
        <f>IF(Table!A2609 = "","",Table!A2609)</f>
        <v/>
      </c>
      <c r="B2609" s="31" t="str">
        <f>IF(Table!B2609 = "","",Table!B2609)</f>
        <v/>
      </c>
      <c r="C2609" s="31" t="str">
        <f>IF(Table!C2609 = "","",Table!C2609)</f>
        <v/>
      </c>
      <c r="D2609" s="32" t="str">
        <f>IF(Table!D2609 = "","",Table!D2609)</f>
        <v/>
      </c>
      <c r="E2609" s="32" t="str">
        <f>IF(Table!E2609 = "","",Table!E2609)</f>
        <v/>
      </c>
      <c r="F2609" s="32" t="str">
        <f>IF(Table!F2609 = "","",Table!F2609)</f>
        <v/>
      </c>
      <c r="G2609" s="91"/>
      <c r="K2609" s="31" t="str">
        <f>IFERROR(VLOOKUP(A2609,Table!$I$4:$O$3000,1,TRUE),"")</f>
        <v/>
      </c>
      <c r="L2609" s="31" t="str">
        <f>IFERROR(INDEX(Table!I:O,MATCH(K2609,Table!I:I,0),2),"")</f>
        <v/>
      </c>
      <c r="M2609" s="31" t="str">
        <f>IFERROR(INDEX(Table!I:O,MATCH(K2609,Table!I:I,0),3),"")</f>
        <v/>
      </c>
      <c r="N2609" s="32" t="str">
        <f>IFERROR(INDEX(Table!I:O,MATCH(K2609,Table!I:I,0),4),"")</f>
        <v/>
      </c>
      <c r="O2609" s="32" t="str">
        <f>IFERROR(INDEX(Table!I:O,MATCH(K2609,Table!I:I,0),5),"")</f>
        <v/>
      </c>
      <c r="P2609" s="32" t="str">
        <f>IFERROR(INDEX(Table!I:O,MATCH(K2609,Table!I:I,0),6),"")</f>
        <v/>
      </c>
      <c r="Q2609" s="89" t="str">
        <f t="shared" si="114"/>
        <v/>
      </c>
      <c r="R2609" s="89" t="str">
        <f t="shared" si="115"/>
        <v/>
      </c>
      <c r="S2609" s="82"/>
      <c r="U2609" s="37"/>
    </row>
    <row r="2610" spans="1:21" x14ac:dyDescent="0.25">
      <c r="A2610" s="31" t="str">
        <f>IF(Table!A2610 = "","",Table!A2610)</f>
        <v/>
      </c>
      <c r="B2610" s="31" t="str">
        <f>IF(Table!B2610 = "","",Table!B2610)</f>
        <v/>
      </c>
      <c r="C2610" s="31" t="str">
        <f>IF(Table!C2610 = "","",Table!C2610)</f>
        <v/>
      </c>
      <c r="D2610" s="32" t="str">
        <f>IF(Table!D2610 = "","",Table!D2610)</f>
        <v/>
      </c>
      <c r="E2610" s="32" t="str">
        <f>IF(Table!E2610 = "","",Table!E2610)</f>
        <v/>
      </c>
      <c r="F2610" s="32" t="str">
        <f>IF(Table!F2610 = "","",Table!F2610)</f>
        <v/>
      </c>
      <c r="G2610" s="91"/>
      <c r="K2610" s="31" t="str">
        <f>IFERROR(VLOOKUP(A2610,Table!$I$4:$O$3000,1,TRUE),"")</f>
        <v/>
      </c>
      <c r="L2610" s="31" t="str">
        <f>IFERROR(INDEX(Table!I:O,MATCH(K2610,Table!I:I,0),2),"")</f>
        <v/>
      </c>
      <c r="M2610" s="31" t="str">
        <f>IFERROR(INDEX(Table!I:O,MATCH(K2610,Table!I:I,0),3),"")</f>
        <v/>
      </c>
      <c r="N2610" s="32" t="str">
        <f>IFERROR(INDEX(Table!I:O,MATCH(K2610,Table!I:I,0),4),"")</f>
        <v/>
      </c>
      <c r="O2610" s="32" t="str">
        <f>IFERROR(INDEX(Table!I:O,MATCH(K2610,Table!I:I,0),5),"")</f>
        <v/>
      </c>
      <c r="P2610" s="32" t="str">
        <f>IFERROR(INDEX(Table!I:O,MATCH(K2610,Table!I:I,0),6),"")</f>
        <v/>
      </c>
      <c r="Q2610" s="89" t="str">
        <f t="shared" si="114"/>
        <v/>
      </c>
      <c r="R2610" s="89" t="str">
        <f t="shared" si="115"/>
        <v/>
      </c>
      <c r="S2610" s="82"/>
      <c r="U2610" s="37"/>
    </row>
    <row r="2611" spans="1:21" x14ac:dyDescent="0.25">
      <c r="A2611" s="31" t="str">
        <f>IF(Table!A2611 = "","",Table!A2611)</f>
        <v/>
      </c>
      <c r="B2611" s="31" t="str">
        <f>IF(Table!B2611 = "","",Table!B2611)</f>
        <v/>
      </c>
      <c r="C2611" s="31" t="str">
        <f>IF(Table!C2611 = "","",Table!C2611)</f>
        <v/>
      </c>
      <c r="D2611" s="32" t="str">
        <f>IF(Table!D2611 = "","",Table!D2611)</f>
        <v/>
      </c>
      <c r="E2611" s="32" t="str">
        <f>IF(Table!E2611 = "","",Table!E2611)</f>
        <v/>
      </c>
      <c r="F2611" s="32" t="str">
        <f>IF(Table!F2611 = "","",Table!F2611)</f>
        <v/>
      </c>
      <c r="G2611" s="91"/>
      <c r="K2611" s="31" t="str">
        <f>IFERROR(VLOOKUP(A2611,Table!$I$4:$O$3000,1,TRUE),"")</f>
        <v/>
      </c>
      <c r="L2611" s="31" t="str">
        <f>IFERROR(INDEX(Table!I:O,MATCH(K2611,Table!I:I,0),2),"")</f>
        <v/>
      </c>
      <c r="M2611" s="31" t="str">
        <f>IFERROR(INDEX(Table!I:O,MATCH(K2611,Table!I:I,0),3),"")</f>
        <v/>
      </c>
      <c r="N2611" s="32" t="str">
        <f>IFERROR(INDEX(Table!I:O,MATCH(K2611,Table!I:I,0),4),"")</f>
        <v/>
      </c>
      <c r="O2611" s="32" t="str">
        <f>IFERROR(INDEX(Table!I:O,MATCH(K2611,Table!I:I,0),5),"")</f>
        <v/>
      </c>
      <c r="P2611" s="32" t="str">
        <f>IFERROR(INDEX(Table!I:O,MATCH(K2611,Table!I:I,0),6),"")</f>
        <v/>
      </c>
      <c r="Q2611" s="89" t="str">
        <f t="shared" si="114"/>
        <v/>
      </c>
      <c r="R2611" s="89" t="str">
        <f t="shared" si="115"/>
        <v/>
      </c>
      <c r="S2611" s="82"/>
      <c r="U2611" s="37"/>
    </row>
    <row r="2612" spans="1:21" x14ac:dyDescent="0.25">
      <c r="A2612" s="31" t="str">
        <f>IF(Table!A2612 = "","",Table!A2612)</f>
        <v/>
      </c>
      <c r="B2612" s="31" t="str">
        <f>IF(Table!B2612 = "","",Table!B2612)</f>
        <v/>
      </c>
      <c r="C2612" s="31" t="str">
        <f>IF(Table!C2612 = "","",Table!C2612)</f>
        <v/>
      </c>
      <c r="D2612" s="32" t="str">
        <f>IF(Table!D2612 = "","",Table!D2612)</f>
        <v/>
      </c>
      <c r="E2612" s="32" t="str">
        <f>IF(Table!E2612 = "","",Table!E2612)</f>
        <v/>
      </c>
      <c r="F2612" s="32" t="str">
        <f>IF(Table!F2612 = "","",Table!F2612)</f>
        <v/>
      </c>
      <c r="G2612" s="91"/>
      <c r="K2612" s="31" t="str">
        <f>IFERROR(VLOOKUP(A2612,Table!$I$4:$O$3000,1,TRUE),"")</f>
        <v/>
      </c>
      <c r="L2612" s="31" t="str">
        <f>IFERROR(INDEX(Table!I:O,MATCH(K2612,Table!I:I,0),2),"")</f>
        <v/>
      </c>
      <c r="M2612" s="31" t="str">
        <f>IFERROR(INDEX(Table!I:O,MATCH(K2612,Table!I:I,0),3),"")</f>
        <v/>
      </c>
      <c r="N2612" s="32" t="str">
        <f>IFERROR(INDEX(Table!I:O,MATCH(K2612,Table!I:I,0),4),"")</f>
        <v/>
      </c>
      <c r="O2612" s="32" t="str">
        <f>IFERROR(INDEX(Table!I:O,MATCH(K2612,Table!I:I,0),5),"")</f>
        <v/>
      </c>
      <c r="P2612" s="32" t="str">
        <f>IFERROR(INDEX(Table!I:O,MATCH(K2612,Table!I:I,0),6),"")</f>
        <v/>
      </c>
      <c r="Q2612" s="89" t="str">
        <f t="shared" si="114"/>
        <v/>
      </c>
      <c r="R2612" s="89" t="str">
        <f t="shared" si="115"/>
        <v/>
      </c>
      <c r="S2612" s="82"/>
      <c r="U2612" s="37"/>
    </row>
    <row r="2613" spans="1:21" x14ac:dyDescent="0.25">
      <c r="A2613" s="31" t="str">
        <f>IF(Table!A2613 = "","",Table!A2613)</f>
        <v/>
      </c>
      <c r="B2613" s="31" t="str">
        <f>IF(Table!B2613 = "","",Table!B2613)</f>
        <v/>
      </c>
      <c r="C2613" s="31" t="str">
        <f>IF(Table!C2613 = "","",Table!C2613)</f>
        <v/>
      </c>
      <c r="D2613" s="32" t="str">
        <f>IF(Table!D2613 = "","",Table!D2613)</f>
        <v/>
      </c>
      <c r="E2613" s="32" t="str">
        <f>IF(Table!E2613 = "","",Table!E2613)</f>
        <v/>
      </c>
      <c r="F2613" s="32" t="str">
        <f>IF(Table!F2613 = "","",Table!F2613)</f>
        <v/>
      </c>
      <c r="G2613" s="91"/>
      <c r="K2613" s="31" t="str">
        <f>IFERROR(VLOOKUP(A2613,Table!$I$4:$O$3000,1,TRUE),"")</f>
        <v/>
      </c>
      <c r="L2613" s="31" t="str">
        <f>IFERROR(INDEX(Table!I:O,MATCH(K2613,Table!I:I,0),2),"")</f>
        <v/>
      </c>
      <c r="M2613" s="31" t="str">
        <f>IFERROR(INDEX(Table!I:O,MATCH(K2613,Table!I:I,0),3),"")</f>
        <v/>
      </c>
      <c r="N2613" s="32" t="str">
        <f>IFERROR(INDEX(Table!I:O,MATCH(K2613,Table!I:I,0),4),"")</f>
        <v/>
      </c>
      <c r="O2613" s="32" t="str">
        <f>IFERROR(INDEX(Table!I:O,MATCH(K2613,Table!I:I,0),5),"")</f>
        <v/>
      </c>
      <c r="P2613" s="32" t="str">
        <f>IFERROR(INDEX(Table!I:O,MATCH(K2613,Table!I:I,0),6),"")</f>
        <v/>
      </c>
      <c r="Q2613" s="89" t="str">
        <f t="shared" si="114"/>
        <v/>
      </c>
      <c r="R2613" s="89" t="str">
        <f t="shared" si="115"/>
        <v/>
      </c>
      <c r="S2613" s="82"/>
      <c r="U2613" s="37"/>
    </row>
    <row r="2614" spans="1:21" x14ac:dyDescent="0.25">
      <c r="A2614" s="31" t="str">
        <f>IF(Table!A2614 = "","",Table!A2614)</f>
        <v/>
      </c>
      <c r="B2614" s="31" t="str">
        <f>IF(Table!B2614 = "","",Table!B2614)</f>
        <v/>
      </c>
      <c r="C2614" s="31" t="str">
        <f>IF(Table!C2614 = "","",Table!C2614)</f>
        <v/>
      </c>
      <c r="D2614" s="32" t="str">
        <f>IF(Table!D2614 = "","",Table!D2614)</f>
        <v/>
      </c>
      <c r="E2614" s="32" t="str">
        <f>IF(Table!E2614 = "","",Table!E2614)</f>
        <v/>
      </c>
      <c r="F2614" s="32" t="str">
        <f>IF(Table!F2614 = "","",Table!F2614)</f>
        <v/>
      </c>
      <c r="G2614" s="91"/>
      <c r="K2614" s="31" t="str">
        <f>IFERROR(VLOOKUP(A2614,Table!$I$4:$O$3000,1,TRUE),"")</f>
        <v/>
      </c>
      <c r="L2614" s="31" t="str">
        <f>IFERROR(INDEX(Table!I:O,MATCH(K2614,Table!I:I,0),2),"")</f>
        <v/>
      </c>
      <c r="M2614" s="31" t="str">
        <f>IFERROR(INDEX(Table!I:O,MATCH(K2614,Table!I:I,0),3),"")</f>
        <v/>
      </c>
      <c r="N2614" s="32" t="str">
        <f>IFERROR(INDEX(Table!I:O,MATCH(K2614,Table!I:I,0),4),"")</f>
        <v/>
      </c>
      <c r="O2614" s="32" t="str">
        <f>IFERROR(INDEX(Table!I:O,MATCH(K2614,Table!I:I,0),5),"")</f>
        <v/>
      </c>
      <c r="P2614" s="32" t="str">
        <f>IFERROR(INDEX(Table!I:O,MATCH(K2614,Table!I:I,0),6),"")</f>
        <v/>
      </c>
      <c r="Q2614" s="89" t="str">
        <f t="shared" si="114"/>
        <v/>
      </c>
      <c r="R2614" s="89" t="str">
        <f t="shared" si="115"/>
        <v/>
      </c>
      <c r="S2614" s="82"/>
      <c r="U2614" s="37"/>
    </row>
    <row r="2615" spans="1:21" x14ac:dyDescent="0.25">
      <c r="A2615" s="31" t="str">
        <f>IF(Table!A2615 = "","",Table!A2615)</f>
        <v/>
      </c>
      <c r="B2615" s="31" t="str">
        <f>IF(Table!B2615 = "","",Table!B2615)</f>
        <v/>
      </c>
      <c r="C2615" s="31" t="str">
        <f>IF(Table!C2615 = "","",Table!C2615)</f>
        <v/>
      </c>
      <c r="D2615" s="32" t="str">
        <f>IF(Table!D2615 = "","",Table!D2615)</f>
        <v/>
      </c>
      <c r="E2615" s="32" t="str">
        <f>IF(Table!E2615 = "","",Table!E2615)</f>
        <v/>
      </c>
      <c r="F2615" s="32" t="str">
        <f>IF(Table!F2615 = "","",Table!F2615)</f>
        <v/>
      </c>
      <c r="G2615" s="91"/>
      <c r="K2615" s="31" t="str">
        <f>IFERROR(VLOOKUP(A2615,Table!$I$4:$O$3000,1,TRUE),"")</f>
        <v/>
      </c>
      <c r="L2615" s="31" t="str">
        <f>IFERROR(INDEX(Table!I:O,MATCH(K2615,Table!I:I,0),2),"")</f>
        <v/>
      </c>
      <c r="M2615" s="31" t="str">
        <f>IFERROR(INDEX(Table!I:O,MATCH(K2615,Table!I:I,0),3),"")</f>
        <v/>
      </c>
      <c r="N2615" s="32" t="str">
        <f>IFERROR(INDEX(Table!I:O,MATCH(K2615,Table!I:I,0),4),"")</f>
        <v/>
      </c>
      <c r="O2615" s="32" t="str">
        <f>IFERROR(INDEX(Table!I:O,MATCH(K2615,Table!I:I,0),5),"")</f>
        <v/>
      </c>
      <c r="P2615" s="32" t="str">
        <f>IFERROR(INDEX(Table!I:O,MATCH(K2615,Table!I:I,0),6),"")</f>
        <v/>
      </c>
      <c r="Q2615" s="89" t="str">
        <f t="shared" si="114"/>
        <v/>
      </c>
      <c r="R2615" s="89" t="str">
        <f t="shared" si="115"/>
        <v/>
      </c>
      <c r="S2615" s="82"/>
      <c r="U2615" s="37"/>
    </row>
    <row r="2616" spans="1:21" x14ac:dyDescent="0.25">
      <c r="A2616" s="31" t="str">
        <f>IF(Table!A2616 = "","",Table!A2616)</f>
        <v/>
      </c>
      <c r="B2616" s="31" t="str">
        <f>IF(Table!B2616 = "","",Table!B2616)</f>
        <v/>
      </c>
      <c r="C2616" s="31" t="str">
        <f>IF(Table!C2616 = "","",Table!C2616)</f>
        <v/>
      </c>
      <c r="D2616" s="32" t="str">
        <f>IF(Table!D2616 = "","",Table!D2616)</f>
        <v/>
      </c>
      <c r="E2616" s="32" t="str">
        <f>IF(Table!E2616 = "","",Table!E2616)</f>
        <v/>
      </c>
      <c r="F2616" s="32" t="str">
        <f>IF(Table!F2616 = "","",Table!F2616)</f>
        <v/>
      </c>
      <c r="G2616" s="91"/>
      <c r="K2616" s="31" t="str">
        <f>IFERROR(VLOOKUP(A2616,Table!$I$4:$O$3000,1,TRUE),"")</f>
        <v/>
      </c>
      <c r="L2616" s="31" t="str">
        <f>IFERROR(INDEX(Table!I:O,MATCH(K2616,Table!I:I,0),2),"")</f>
        <v/>
      </c>
      <c r="M2616" s="31" t="str">
        <f>IFERROR(INDEX(Table!I:O,MATCH(K2616,Table!I:I,0),3),"")</f>
        <v/>
      </c>
      <c r="N2616" s="32" t="str">
        <f>IFERROR(INDEX(Table!I:O,MATCH(K2616,Table!I:I,0),4),"")</f>
        <v/>
      </c>
      <c r="O2616" s="32" t="str">
        <f>IFERROR(INDEX(Table!I:O,MATCH(K2616,Table!I:I,0),5),"")</f>
        <v/>
      </c>
      <c r="P2616" s="32" t="str">
        <f>IFERROR(INDEX(Table!I:O,MATCH(K2616,Table!I:I,0),6),"")</f>
        <v/>
      </c>
      <c r="Q2616" s="89" t="str">
        <f t="shared" si="114"/>
        <v/>
      </c>
      <c r="R2616" s="89" t="str">
        <f t="shared" si="115"/>
        <v/>
      </c>
      <c r="S2616" s="82"/>
      <c r="U2616" s="37"/>
    </row>
    <row r="2617" spans="1:21" x14ac:dyDescent="0.25">
      <c r="A2617" s="31" t="str">
        <f>IF(Table!A2617 = "","",Table!A2617)</f>
        <v/>
      </c>
      <c r="B2617" s="31" t="str">
        <f>IF(Table!B2617 = "","",Table!B2617)</f>
        <v/>
      </c>
      <c r="C2617" s="31" t="str">
        <f>IF(Table!C2617 = "","",Table!C2617)</f>
        <v/>
      </c>
      <c r="D2617" s="32" t="str">
        <f>IF(Table!D2617 = "","",Table!D2617)</f>
        <v/>
      </c>
      <c r="E2617" s="32" t="str">
        <f>IF(Table!E2617 = "","",Table!E2617)</f>
        <v/>
      </c>
      <c r="F2617" s="32" t="str">
        <f>IF(Table!F2617 = "","",Table!F2617)</f>
        <v/>
      </c>
      <c r="G2617" s="91"/>
      <c r="K2617" s="31" t="str">
        <f>IFERROR(VLOOKUP(A2617,Table!$I$4:$O$3000,1,TRUE),"")</f>
        <v/>
      </c>
      <c r="L2617" s="31" t="str">
        <f>IFERROR(INDEX(Table!I:O,MATCH(K2617,Table!I:I,0),2),"")</f>
        <v/>
      </c>
      <c r="M2617" s="31" t="str">
        <f>IFERROR(INDEX(Table!I:O,MATCH(K2617,Table!I:I,0),3),"")</f>
        <v/>
      </c>
      <c r="N2617" s="32" t="str">
        <f>IFERROR(INDEX(Table!I:O,MATCH(K2617,Table!I:I,0),4),"")</f>
        <v/>
      </c>
      <c r="O2617" s="32" t="str">
        <f>IFERROR(INDEX(Table!I:O,MATCH(K2617,Table!I:I,0),5),"")</f>
        <v/>
      </c>
      <c r="P2617" s="32" t="str">
        <f>IFERROR(INDEX(Table!I:O,MATCH(K2617,Table!I:I,0),6),"")</f>
        <v/>
      </c>
      <c r="Q2617" s="89" t="str">
        <f t="shared" si="114"/>
        <v/>
      </c>
      <c r="R2617" s="89" t="str">
        <f t="shared" si="115"/>
        <v/>
      </c>
      <c r="S2617" s="82"/>
      <c r="U2617" s="37"/>
    </row>
    <row r="2618" spans="1:21" x14ac:dyDescent="0.25">
      <c r="A2618" s="31" t="str">
        <f>IF(Table!A2618 = "","",Table!A2618)</f>
        <v/>
      </c>
      <c r="B2618" s="31" t="str">
        <f>IF(Table!B2618 = "","",Table!B2618)</f>
        <v/>
      </c>
      <c r="C2618" s="31" t="str">
        <f>IF(Table!C2618 = "","",Table!C2618)</f>
        <v/>
      </c>
      <c r="D2618" s="32" t="str">
        <f>IF(Table!D2618 = "","",Table!D2618)</f>
        <v/>
      </c>
      <c r="E2618" s="32" t="str">
        <f>IF(Table!E2618 = "","",Table!E2618)</f>
        <v/>
      </c>
      <c r="F2618" s="32" t="str">
        <f>IF(Table!F2618 = "","",Table!F2618)</f>
        <v/>
      </c>
      <c r="G2618" s="91"/>
      <c r="K2618" s="31" t="str">
        <f>IFERROR(VLOOKUP(A2618,Table!$I$4:$O$3000,1,TRUE),"")</f>
        <v/>
      </c>
      <c r="L2618" s="31" t="str">
        <f>IFERROR(INDEX(Table!I:O,MATCH(K2618,Table!I:I,0),2),"")</f>
        <v/>
      </c>
      <c r="M2618" s="31" t="str">
        <f>IFERROR(INDEX(Table!I:O,MATCH(K2618,Table!I:I,0),3),"")</f>
        <v/>
      </c>
      <c r="N2618" s="32" t="str">
        <f>IFERROR(INDEX(Table!I:O,MATCH(K2618,Table!I:I,0),4),"")</f>
        <v/>
      </c>
      <c r="O2618" s="32" t="str">
        <f>IFERROR(INDEX(Table!I:O,MATCH(K2618,Table!I:I,0),5),"")</f>
        <v/>
      </c>
      <c r="P2618" s="32" t="str">
        <f>IFERROR(INDEX(Table!I:O,MATCH(K2618,Table!I:I,0),6),"")</f>
        <v/>
      </c>
      <c r="Q2618" s="89" t="str">
        <f t="shared" si="114"/>
        <v/>
      </c>
      <c r="R2618" s="89" t="str">
        <f t="shared" si="115"/>
        <v/>
      </c>
      <c r="S2618" s="82"/>
      <c r="U2618" s="37"/>
    </row>
    <row r="2619" spans="1:21" x14ac:dyDescent="0.25">
      <c r="A2619" s="31" t="str">
        <f>IF(Table!A2619 = "","",Table!A2619)</f>
        <v/>
      </c>
      <c r="B2619" s="31" t="str">
        <f>IF(Table!B2619 = "","",Table!B2619)</f>
        <v/>
      </c>
      <c r="C2619" s="31" t="str">
        <f>IF(Table!C2619 = "","",Table!C2619)</f>
        <v/>
      </c>
      <c r="D2619" s="32" t="str">
        <f>IF(Table!D2619 = "","",Table!D2619)</f>
        <v/>
      </c>
      <c r="E2619" s="32" t="str">
        <f>IF(Table!E2619 = "","",Table!E2619)</f>
        <v/>
      </c>
      <c r="F2619" s="32" t="str">
        <f>IF(Table!F2619 = "","",Table!F2619)</f>
        <v/>
      </c>
      <c r="G2619" s="91"/>
      <c r="K2619" s="31" t="str">
        <f>IFERROR(VLOOKUP(A2619,Table!$I$4:$O$3000,1,TRUE),"")</f>
        <v/>
      </c>
      <c r="L2619" s="31" t="str">
        <f>IFERROR(INDEX(Table!I:O,MATCH(K2619,Table!I:I,0),2),"")</f>
        <v/>
      </c>
      <c r="M2619" s="31" t="str">
        <f>IFERROR(INDEX(Table!I:O,MATCH(K2619,Table!I:I,0),3),"")</f>
        <v/>
      </c>
      <c r="N2619" s="32" t="str">
        <f>IFERROR(INDEX(Table!I:O,MATCH(K2619,Table!I:I,0),4),"")</f>
        <v/>
      </c>
      <c r="O2619" s="32" t="str">
        <f>IFERROR(INDEX(Table!I:O,MATCH(K2619,Table!I:I,0),5),"")</f>
        <v/>
      </c>
      <c r="P2619" s="32" t="str">
        <f>IFERROR(INDEX(Table!I:O,MATCH(K2619,Table!I:I,0),6),"")</f>
        <v/>
      </c>
      <c r="Q2619" s="89" t="str">
        <f t="shared" si="114"/>
        <v/>
      </c>
      <c r="R2619" s="89" t="str">
        <f t="shared" si="115"/>
        <v/>
      </c>
      <c r="S2619" s="82"/>
      <c r="U2619" s="37"/>
    </row>
    <row r="2620" spans="1:21" x14ac:dyDescent="0.25">
      <c r="A2620" s="31" t="str">
        <f>IF(Table!A2620 = "","",Table!A2620)</f>
        <v/>
      </c>
      <c r="B2620" s="31" t="str">
        <f>IF(Table!B2620 = "","",Table!B2620)</f>
        <v/>
      </c>
      <c r="C2620" s="31" t="str">
        <f>IF(Table!C2620 = "","",Table!C2620)</f>
        <v/>
      </c>
      <c r="D2620" s="32" t="str">
        <f>IF(Table!D2620 = "","",Table!D2620)</f>
        <v/>
      </c>
      <c r="E2620" s="32" t="str">
        <f>IF(Table!E2620 = "","",Table!E2620)</f>
        <v/>
      </c>
      <c r="F2620" s="32" t="str">
        <f>IF(Table!F2620 = "","",Table!F2620)</f>
        <v/>
      </c>
      <c r="G2620" s="91"/>
      <c r="K2620" s="31" t="str">
        <f>IFERROR(VLOOKUP(A2620,Table!$I$4:$O$3000,1,TRUE),"")</f>
        <v/>
      </c>
      <c r="L2620" s="31" t="str">
        <f>IFERROR(INDEX(Table!I:O,MATCH(K2620,Table!I:I,0),2),"")</f>
        <v/>
      </c>
      <c r="M2620" s="31" t="str">
        <f>IFERROR(INDEX(Table!I:O,MATCH(K2620,Table!I:I,0),3),"")</f>
        <v/>
      </c>
      <c r="N2620" s="32" t="str">
        <f>IFERROR(INDEX(Table!I:O,MATCH(K2620,Table!I:I,0),4),"")</f>
        <v/>
      </c>
      <c r="O2620" s="32" t="str">
        <f>IFERROR(INDEX(Table!I:O,MATCH(K2620,Table!I:I,0),5),"")</f>
        <v/>
      </c>
      <c r="P2620" s="32" t="str">
        <f>IFERROR(INDEX(Table!I:O,MATCH(K2620,Table!I:I,0),6),"")</f>
        <v/>
      </c>
      <c r="Q2620" s="89" t="str">
        <f t="shared" si="114"/>
        <v/>
      </c>
      <c r="R2620" s="89" t="str">
        <f t="shared" si="115"/>
        <v/>
      </c>
      <c r="S2620" s="82"/>
      <c r="U2620" s="37"/>
    </row>
    <row r="2621" spans="1:21" x14ac:dyDescent="0.25">
      <c r="A2621" s="31" t="str">
        <f>IF(Table!A2621 = "","",Table!A2621)</f>
        <v/>
      </c>
      <c r="B2621" s="31" t="str">
        <f>IF(Table!B2621 = "","",Table!B2621)</f>
        <v/>
      </c>
      <c r="C2621" s="31" t="str">
        <f>IF(Table!C2621 = "","",Table!C2621)</f>
        <v/>
      </c>
      <c r="D2621" s="32" t="str">
        <f>IF(Table!D2621 = "","",Table!D2621)</f>
        <v/>
      </c>
      <c r="E2621" s="32" t="str">
        <f>IF(Table!E2621 = "","",Table!E2621)</f>
        <v/>
      </c>
      <c r="F2621" s="32" t="str">
        <f>IF(Table!F2621 = "","",Table!F2621)</f>
        <v/>
      </c>
      <c r="G2621" s="91"/>
      <c r="K2621" s="31" t="str">
        <f>IFERROR(VLOOKUP(A2621,Table!$I$4:$O$3000,1,TRUE),"")</f>
        <v/>
      </c>
      <c r="L2621" s="31" t="str">
        <f>IFERROR(INDEX(Table!I:O,MATCH(K2621,Table!I:I,0),2),"")</f>
        <v/>
      </c>
      <c r="M2621" s="31" t="str">
        <f>IFERROR(INDEX(Table!I:O,MATCH(K2621,Table!I:I,0),3),"")</f>
        <v/>
      </c>
      <c r="N2621" s="32" t="str">
        <f>IFERROR(INDEX(Table!I:O,MATCH(K2621,Table!I:I,0),4),"")</f>
        <v/>
      </c>
      <c r="O2621" s="32" t="str">
        <f>IFERROR(INDEX(Table!I:O,MATCH(K2621,Table!I:I,0),5),"")</f>
        <v/>
      </c>
      <c r="P2621" s="32" t="str">
        <f>IFERROR(INDEX(Table!I:O,MATCH(K2621,Table!I:I,0),6),"")</f>
        <v/>
      </c>
      <c r="Q2621" s="89" t="str">
        <f t="shared" si="114"/>
        <v/>
      </c>
      <c r="R2621" s="89" t="str">
        <f t="shared" si="115"/>
        <v/>
      </c>
      <c r="S2621" s="82"/>
      <c r="U2621" s="37"/>
    </row>
    <row r="2622" spans="1:21" x14ac:dyDescent="0.25">
      <c r="A2622" s="31" t="str">
        <f>IF(Table!A2622 = "","",Table!A2622)</f>
        <v/>
      </c>
      <c r="B2622" s="31" t="str">
        <f>IF(Table!B2622 = "","",Table!B2622)</f>
        <v/>
      </c>
      <c r="C2622" s="31" t="str">
        <f>IF(Table!C2622 = "","",Table!C2622)</f>
        <v/>
      </c>
      <c r="D2622" s="32" t="str">
        <f>IF(Table!D2622 = "","",Table!D2622)</f>
        <v/>
      </c>
      <c r="E2622" s="32" t="str">
        <f>IF(Table!E2622 = "","",Table!E2622)</f>
        <v/>
      </c>
      <c r="F2622" s="32" t="str">
        <f>IF(Table!F2622 = "","",Table!F2622)</f>
        <v/>
      </c>
      <c r="G2622" s="91"/>
      <c r="K2622" s="31" t="str">
        <f>IFERROR(VLOOKUP(A2622,Table!$I$4:$O$3000,1,TRUE),"")</f>
        <v/>
      </c>
      <c r="L2622" s="31" t="str">
        <f>IFERROR(INDEX(Table!I:O,MATCH(K2622,Table!I:I,0),2),"")</f>
        <v/>
      </c>
      <c r="M2622" s="31" t="str">
        <f>IFERROR(INDEX(Table!I:O,MATCH(K2622,Table!I:I,0),3),"")</f>
        <v/>
      </c>
      <c r="N2622" s="32" t="str">
        <f>IFERROR(INDEX(Table!I:O,MATCH(K2622,Table!I:I,0),4),"")</f>
        <v/>
      </c>
      <c r="O2622" s="32" t="str">
        <f>IFERROR(INDEX(Table!I:O,MATCH(K2622,Table!I:I,0),5),"")</f>
        <v/>
      </c>
      <c r="P2622" s="32" t="str">
        <f>IFERROR(INDEX(Table!I:O,MATCH(K2622,Table!I:I,0),6),"")</f>
        <v/>
      </c>
      <c r="Q2622" s="89" t="str">
        <f t="shared" si="114"/>
        <v/>
      </c>
      <c r="R2622" s="89" t="str">
        <f t="shared" si="115"/>
        <v/>
      </c>
      <c r="S2622" s="82"/>
      <c r="U2622" s="37"/>
    </row>
    <row r="2623" spans="1:21" x14ac:dyDescent="0.25">
      <c r="A2623" s="31" t="str">
        <f>IF(Table!A2623 = "","",Table!A2623)</f>
        <v/>
      </c>
      <c r="B2623" s="31" t="str">
        <f>IF(Table!B2623 = "","",Table!B2623)</f>
        <v/>
      </c>
      <c r="C2623" s="31" t="str">
        <f>IF(Table!C2623 = "","",Table!C2623)</f>
        <v/>
      </c>
      <c r="D2623" s="32" t="str">
        <f>IF(Table!D2623 = "","",Table!D2623)</f>
        <v/>
      </c>
      <c r="E2623" s="32" t="str">
        <f>IF(Table!E2623 = "","",Table!E2623)</f>
        <v/>
      </c>
      <c r="F2623" s="32" t="str">
        <f>IF(Table!F2623 = "","",Table!F2623)</f>
        <v/>
      </c>
      <c r="G2623" s="91"/>
      <c r="K2623" s="31" t="str">
        <f>IFERROR(VLOOKUP(A2623,Table!$I$4:$O$3000,1,TRUE),"")</f>
        <v/>
      </c>
      <c r="L2623" s="31" t="str">
        <f>IFERROR(INDEX(Table!I:O,MATCH(K2623,Table!I:I,0),2),"")</f>
        <v/>
      </c>
      <c r="M2623" s="31" t="str">
        <f>IFERROR(INDEX(Table!I:O,MATCH(K2623,Table!I:I,0),3),"")</f>
        <v/>
      </c>
      <c r="N2623" s="32" t="str">
        <f>IFERROR(INDEX(Table!I:O,MATCH(K2623,Table!I:I,0),4),"")</f>
        <v/>
      </c>
      <c r="O2623" s="32" t="str">
        <f>IFERROR(INDEX(Table!I:O,MATCH(K2623,Table!I:I,0),5),"")</f>
        <v/>
      </c>
      <c r="P2623" s="32" t="str">
        <f>IFERROR(INDEX(Table!I:O,MATCH(K2623,Table!I:I,0),6),"")</f>
        <v/>
      </c>
      <c r="Q2623" s="89" t="str">
        <f t="shared" si="114"/>
        <v/>
      </c>
      <c r="R2623" s="89" t="str">
        <f t="shared" si="115"/>
        <v/>
      </c>
      <c r="S2623" s="82"/>
      <c r="U2623" s="37"/>
    </row>
    <row r="2624" spans="1:21" x14ac:dyDescent="0.25">
      <c r="A2624" s="31" t="str">
        <f>IF(Table!A2624 = "","",Table!A2624)</f>
        <v/>
      </c>
      <c r="B2624" s="31" t="str">
        <f>IF(Table!B2624 = "","",Table!B2624)</f>
        <v/>
      </c>
      <c r="C2624" s="31" t="str">
        <f>IF(Table!C2624 = "","",Table!C2624)</f>
        <v/>
      </c>
      <c r="D2624" s="32" t="str">
        <f>IF(Table!D2624 = "","",Table!D2624)</f>
        <v/>
      </c>
      <c r="E2624" s="32" t="str">
        <f>IF(Table!E2624 = "","",Table!E2624)</f>
        <v/>
      </c>
      <c r="F2624" s="32" t="str">
        <f>IF(Table!F2624 = "","",Table!F2624)</f>
        <v/>
      </c>
      <c r="G2624" s="91"/>
      <c r="K2624" s="31" t="str">
        <f>IFERROR(VLOOKUP(A2624,Table!$I$4:$O$3000,1,TRUE),"")</f>
        <v/>
      </c>
      <c r="L2624" s="31" t="str">
        <f>IFERROR(INDEX(Table!I:O,MATCH(K2624,Table!I:I,0),2),"")</f>
        <v/>
      </c>
      <c r="M2624" s="31" t="str">
        <f>IFERROR(INDEX(Table!I:O,MATCH(K2624,Table!I:I,0),3),"")</f>
        <v/>
      </c>
      <c r="N2624" s="32" t="str">
        <f>IFERROR(INDEX(Table!I:O,MATCH(K2624,Table!I:I,0),4),"")</f>
        <v/>
      </c>
      <c r="O2624" s="32" t="str">
        <f>IFERROR(INDEX(Table!I:O,MATCH(K2624,Table!I:I,0),5),"")</f>
        <v/>
      </c>
      <c r="P2624" s="32" t="str">
        <f>IFERROR(INDEX(Table!I:O,MATCH(K2624,Table!I:I,0),6),"")</f>
        <v/>
      </c>
      <c r="Q2624" s="89" t="str">
        <f t="shared" si="114"/>
        <v/>
      </c>
      <c r="R2624" s="89" t="str">
        <f t="shared" si="115"/>
        <v/>
      </c>
      <c r="S2624" s="82"/>
      <c r="U2624" s="37"/>
    </row>
    <row r="2625" spans="1:21" x14ac:dyDescent="0.25">
      <c r="A2625" s="31" t="str">
        <f>IF(Table!A2625 = "","",Table!A2625)</f>
        <v/>
      </c>
      <c r="B2625" s="31" t="str">
        <f>IF(Table!B2625 = "","",Table!B2625)</f>
        <v/>
      </c>
      <c r="C2625" s="31" t="str">
        <f>IF(Table!C2625 = "","",Table!C2625)</f>
        <v/>
      </c>
      <c r="D2625" s="32" t="str">
        <f>IF(Table!D2625 = "","",Table!D2625)</f>
        <v/>
      </c>
      <c r="E2625" s="32" t="str">
        <f>IF(Table!E2625 = "","",Table!E2625)</f>
        <v/>
      </c>
      <c r="F2625" s="32" t="str">
        <f>IF(Table!F2625 = "","",Table!F2625)</f>
        <v/>
      </c>
      <c r="G2625" s="91"/>
      <c r="K2625" s="31" t="str">
        <f>IFERROR(VLOOKUP(A2625,Table!$I$4:$O$3000,1,TRUE),"")</f>
        <v/>
      </c>
      <c r="L2625" s="31" t="str">
        <f>IFERROR(INDEX(Table!I:O,MATCH(K2625,Table!I:I,0),2),"")</f>
        <v/>
      </c>
      <c r="M2625" s="31" t="str">
        <f>IFERROR(INDEX(Table!I:O,MATCH(K2625,Table!I:I,0),3),"")</f>
        <v/>
      </c>
      <c r="N2625" s="32" t="str">
        <f>IFERROR(INDEX(Table!I:O,MATCH(K2625,Table!I:I,0),4),"")</f>
        <v/>
      </c>
      <c r="O2625" s="32" t="str">
        <f>IFERROR(INDEX(Table!I:O,MATCH(K2625,Table!I:I,0),5),"")</f>
        <v/>
      </c>
      <c r="P2625" s="32" t="str">
        <f>IFERROR(INDEX(Table!I:O,MATCH(K2625,Table!I:I,0),6),"")</f>
        <v/>
      </c>
      <c r="Q2625" s="89" t="str">
        <f t="shared" si="114"/>
        <v/>
      </c>
      <c r="R2625" s="89" t="str">
        <f t="shared" si="115"/>
        <v/>
      </c>
      <c r="S2625" s="82"/>
      <c r="U2625" s="37"/>
    </row>
    <row r="2626" spans="1:21" x14ac:dyDescent="0.25">
      <c r="A2626" s="31" t="str">
        <f>IF(Table!A2626 = "","",Table!A2626)</f>
        <v/>
      </c>
      <c r="B2626" s="31" t="str">
        <f>IF(Table!B2626 = "","",Table!B2626)</f>
        <v/>
      </c>
      <c r="C2626" s="31" t="str">
        <f>IF(Table!C2626 = "","",Table!C2626)</f>
        <v/>
      </c>
      <c r="D2626" s="32" t="str">
        <f>IF(Table!D2626 = "","",Table!D2626)</f>
        <v/>
      </c>
      <c r="E2626" s="32" t="str">
        <f>IF(Table!E2626 = "","",Table!E2626)</f>
        <v/>
      </c>
      <c r="F2626" s="32" t="str">
        <f>IF(Table!F2626 = "","",Table!F2626)</f>
        <v/>
      </c>
      <c r="G2626" s="91"/>
      <c r="K2626" s="31" t="str">
        <f>IFERROR(VLOOKUP(A2626,Table!$I$4:$O$3000,1,TRUE),"")</f>
        <v/>
      </c>
      <c r="L2626" s="31" t="str">
        <f>IFERROR(INDEX(Table!I:O,MATCH(K2626,Table!I:I,0),2),"")</f>
        <v/>
      </c>
      <c r="M2626" s="31" t="str">
        <f>IFERROR(INDEX(Table!I:O,MATCH(K2626,Table!I:I,0),3),"")</f>
        <v/>
      </c>
      <c r="N2626" s="32" t="str">
        <f>IFERROR(INDEX(Table!I:O,MATCH(K2626,Table!I:I,0),4),"")</f>
        <v/>
      </c>
      <c r="O2626" s="32" t="str">
        <f>IFERROR(INDEX(Table!I:O,MATCH(K2626,Table!I:I,0),5),"")</f>
        <v/>
      </c>
      <c r="P2626" s="32" t="str">
        <f>IFERROR(INDEX(Table!I:O,MATCH(K2626,Table!I:I,0),6),"")</f>
        <v/>
      </c>
      <c r="Q2626" s="89" t="str">
        <f t="shared" si="114"/>
        <v/>
      </c>
      <c r="R2626" s="89" t="str">
        <f t="shared" si="115"/>
        <v/>
      </c>
      <c r="S2626" s="82"/>
      <c r="U2626" s="37"/>
    </row>
    <row r="2627" spans="1:21" x14ac:dyDescent="0.25">
      <c r="A2627" s="31" t="str">
        <f>IF(Table!A2627 = "","",Table!A2627)</f>
        <v/>
      </c>
      <c r="B2627" s="31" t="str">
        <f>IF(Table!B2627 = "","",Table!B2627)</f>
        <v/>
      </c>
      <c r="C2627" s="31" t="str">
        <f>IF(Table!C2627 = "","",Table!C2627)</f>
        <v/>
      </c>
      <c r="D2627" s="32" t="str">
        <f>IF(Table!D2627 = "","",Table!D2627)</f>
        <v/>
      </c>
      <c r="E2627" s="32" t="str">
        <f>IF(Table!E2627 = "","",Table!E2627)</f>
        <v/>
      </c>
      <c r="F2627" s="32" t="str">
        <f>IF(Table!F2627 = "","",Table!F2627)</f>
        <v/>
      </c>
      <c r="G2627" s="91"/>
      <c r="K2627" s="31" t="str">
        <f>IFERROR(VLOOKUP(A2627,Table!$I$4:$O$3000,1,TRUE),"")</f>
        <v/>
      </c>
      <c r="L2627" s="31" t="str">
        <f>IFERROR(INDEX(Table!I:O,MATCH(K2627,Table!I:I,0),2),"")</f>
        <v/>
      </c>
      <c r="M2627" s="31" t="str">
        <f>IFERROR(INDEX(Table!I:O,MATCH(K2627,Table!I:I,0),3),"")</f>
        <v/>
      </c>
      <c r="N2627" s="32" t="str">
        <f>IFERROR(INDEX(Table!I:O,MATCH(K2627,Table!I:I,0),4),"")</f>
        <v/>
      </c>
      <c r="O2627" s="32" t="str">
        <f>IFERROR(INDEX(Table!I:O,MATCH(K2627,Table!I:I,0),5),"")</f>
        <v/>
      </c>
      <c r="P2627" s="32" t="str">
        <f>IFERROR(INDEX(Table!I:O,MATCH(K2627,Table!I:I,0),6),"")</f>
        <v/>
      </c>
      <c r="Q2627" s="89" t="str">
        <f t="shared" si="114"/>
        <v/>
      </c>
      <c r="R2627" s="89" t="str">
        <f t="shared" si="115"/>
        <v/>
      </c>
      <c r="S2627" s="82"/>
      <c r="U2627" s="37"/>
    </row>
    <row r="2628" spans="1:21" x14ac:dyDescent="0.25">
      <c r="A2628" s="31" t="str">
        <f>IF(Table!A2628 = "","",Table!A2628)</f>
        <v/>
      </c>
      <c r="B2628" s="31" t="str">
        <f>IF(Table!B2628 = "","",Table!B2628)</f>
        <v/>
      </c>
      <c r="C2628" s="31" t="str">
        <f>IF(Table!C2628 = "","",Table!C2628)</f>
        <v/>
      </c>
      <c r="D2628" s="32" t="str">
        <f>IF(Table!D2628 = "","",Table!D2628)</f>
        <v/>
      </c>
      <c r="E2628" s="32" t="str">
        <f>IF(Table!E2628 = "","",Table!E2628)</f>
        <v/>
      </c>
      <c r="F2628" s="32" t="str">
        <f>IF(Table!F2628 = "","",Table!F2628)</f>
        <v/>
      </c>
      <c r="G2628" s="91"/>
      <c r="K2628" s="31" t="str">
        <f>IFERROR(VLOOKUP(A2628,Table!$I$4:$O$3000,1,TRUE),"")</f>
        <v/>
      </c>
      <c r="L2628" s="31" t="str">
        <f>IFERROR(INDEX(Table!I:O,MATCH(K2628,Table!I:I,0),2),"")</f>
        <v/>
      </c>
      <c r="M2628" s="31" t="str">
        <f>IFERROR(INDEX(Table!I:O,MATCH(K2628,Table!I:I,0),3),"")</f>
        <v/>
      </c>
      <c r="N2628" s="32" t="str">
        <f>IFERROR(INDEX(Table!I:O,MATCH(K2628,Table!I:I,0),4),"")</f>
        <v/>
      </c>
      <c r="O2628" s="32" t="str">
        <f>IFERROR(INDEX(Table!I:O,MATCH(K2628,Table!I:I,0),5),"")</f>
        <v/>
      </c>
      <c r="P2628" s="32" t="str">
        <f>IFERROR(INDEX(Table!I:O,MATCH(K2628,Table!I:I,0),6),"")</f>
        <v/>
      </c>
      <c r="Q2628" s="89" t="str">
        <f t="shared" si="114"/>
        <v/>
      </c>
      <c r="R2628" s="89" t="str">
        <f t="shared" si="115"/>
        <v/>
      </c>
      <c r="S2628" s="82"/>
      <c r="U2628" s="37"/>
    </row>
    <row r="2629" spans="1:21" x14ac:dyDescent="0.25">
      <c r="A2629" s="31" t="str">
        <f>IF(Table!A2629 = "","",Table!A2629)</f>
        <v/>
      </c>
      <c r="B2629" s="31" t="str">
        <f>IF(Table!B2629 = "","",Table!B2629)</f>
        <v/>
      </c>
      <c r="C2629" s="31" t="str">
        <f>IF(Table!C2629 = "","",Table!C2629)</f>
        <v/>
      </c>
      <c r="D2629" s="32" t="str">
        <f>IF(Table!D2629 = "","",Table!D2629)</f>
        <v/>
      </c>
      <c r="E2629" s="32" t="str">
        <f>IF(Table!E2629 = "","",Table!E2629)</f>
        <v/>
      </c>
      <c r="F2629" s="32" t="str">
        <f>IF(Table!F2629 = "","",Table!F2629)</f>
        <v/>
      </c>
      <c r="G2629" s="91"/>
      <c r="K2629" s="31" t="str">
        <f>IFERROR(VLOOKUP(A2629,Table!$I$4:$O$3000,1,TRUE),"")</f>
        <v/>
      </c>
      <c r="L2629" s="31" t="str">
        <f>IFERROR(INDEX(Table!I:O,MATCH(K2629,Table!I:I,0),2),"")</f>
        <v/>
      </c>
      <c r="M2629" s="31" t="str">
        <f>IFERROR(INDEX(Table!I:O,MATCH(K2629,Table!I:I,0),3),"")</f>
        <v/>
      </c>
      <c r="N2629" s="32" t="str">
        <f>IFERROR(INDEX(Table!I:O,MATCH(K2629,Table!I:I,0),4),"")</f>
        <v/>
      </c>
      <c r="O2629" s="32" t="str">
        <f>IFERROR(INDEX(Table!I:O,MATCH(K2629,Table!I:I,0),5),"")</f>
        <v/>
      </c>
      <c r="P2629" s="32" t="str">
        <f>IFERROR(INDEX(Table!I:O,MATCH(K2629,Table!I:I,0),6),"")</f>
        <v/>
      </c>
      <c r="Q2629" s="89" t="str">
        <f t="shared" si="114"/>
        <v/>
      </c>
      <c r="R2629" s="89" t="str">
        <f t="shared" si="115"/>
        <v/>
      </c>
      <c r="S2629" s="82"/>
      <c r="U2629" s="37"/>
    </row>
    <row r="2630" spans="1:21" x14ac:dyDescent="0.25">
      <c r="A2630" s="31" t="str">
        <f>IF(Table!A2630 = "","",Table!A2630)</f>
        <v/>
      </c>
      <c r="B2630" s="31" t="str">
        <f>IF(Table!B2630 = "","",Table!B2630)</f>
        <v/>
      </c>
      <c r="C2630" s="31" t="str">
        <f>IF(Table!C2630 = "","",Table!C2630)</f>
        <v/>
      </c>
      <c r="D2630" s="32" t="str">
        <f>IF(Table!D2630 = "","",Table!D2630)</f>
        <v/>
      </c>
      <c r="E2630" s="32" t="str">
        <f>IF(Table!E2630 = "","",Table!E2630)</f>
        <v/>
      </c>
      <c r="F2630" s="32" t="str">
        <f>IF(Table!F2630 = "","",Table!F2630)</f>
        <v/>
      </c>
      <c r="G2630" s="91"/>
      <c r="K2630" s="31" t="str">
        <f>IFERROR(VLOOKUP(A2630,Table!$I$4:$O$3000,1,TRUE),"")</f>
        <v/>
      </c>
      <c r="L2630" s="31" t="str">
        <f>IFERROR(INDEX(Table!I:O,MATCH(K2630,Table!I:I,0),2),"")</f>
        <v/>
      </c>
      <c r="M2630" s="31" t="str">
        <f>IFERROR(INDEX(Table!I:O,MATCH(K2630,Table!I:I,0),3),"")</f>
        <v/>
      </c>
      <c r="N2630" s="32" t="str">
        <f>IFERROR(INDEX(Table!I:O,MATCH(K2630,Table!I:I,0),4),"")</f>
        <v/>
      </c>
      <c r="O2630" s="32" t="str">
        <f>IFERROR(INDEX(Table!I:O,MATCH(K2630,Table!I:I,0),5),"")</f>
        <v/>
      </c>
      <c r="P2630" s="32" t="str">
        <f>IFERROR(INDEX(Table!I:O,MATCH(K2630,Table!I:I,0),6),"")</f>
        <v/>
      </c>
      <c r="Q2630" s="89" t="str">
        <f t="shared" ref="Q2630:Q2693" si="116">IFERROR(L2630-B2630,"")</f>
        <v/>
      </c>
      <c r="R2630" s="89" t="str">
        <f t="shared" ref="R2630:R2693" si="117">IFERROR(M2630-C2630,"")</f>
        <v/>
      </c>
      <c r="S2630" s="82"/>
      <c r="U2630" s="37"/>
    </row>
    <row r="2631" spans="1:21" x14ac:dyDescent="0.25">
      <c r="A2631" s="31" t="str">
        <f>IF(Table!A2631 = "","",Table!A2631)</f>
        <v/>
      </c>
      <c r="B2631" s="31" t="str">
        <f>IF(Table!B2631 = "","",Table!B2631)</f>
        <v/>
      </c>
      <c r="C2631" s="31" t="str">
        <f>IF(Table!C2631 = "","",Table!C2631)</f>
        <v/>
      </c>
      <c r="D2631" s="32" t="str">
        <f>IF(Table!D2631 = "","",Table!D2631)</f>
        <v/>
      </c>
      <c r="E2631" s="32" t="str">
        <f>IF(Table!E2631 = "","",Table!E2631)</f>
        <v/>
      </c>
      <c r="F2631" s="32" t="str">
        <f>IF(Table!F2631 = "","",Table!F2631)</f>
        <v/>
      </c>
      <c r="G2631" s="91"/>
      <c r="K2631" s="31" t="str">
        <f>IFERROR(VLOOKUP(A2631,Table!$I$4:$O$3000,1,TRUE),"")</f>
        <v/>
      </c>
      <c r="L2631" s="31" t="str">
        <f>IFERROR(INDEX(Table!I:O,MATCH(K2631,Table!I:I,0),2),"")</f>
        <v/>
      </c>
      <c r="M2631" s="31" t="str">
        <f>IFERROR(INDEX(Table!I:O,MATCH(K2631,Table!I:I,0),3),"")</f>
        <v/>
      </c>
      <c r="N2631" s="32" t="str">
        <f>IFERROR(INDEX(Table!I:O,MATCH(K2631,Table!I:I,0),4),"")</f>
        <v/>
      </c>
      <c r="O2631" s="32" t="str">
        <f>IFERROR(INDEX(Table!I:O,MATCH(K2631,Table!I:I,0),5),"")</f>
        <v/>
      </c>
      <c r="P2631" s="32" t="str">
        <f>IFERROR(INDEX(Table!I:O,MATCH(K2631,Table!I:I,0),6),"")</f>
        <v/>
      </c>
      <c r="Q2631" s="89" t="str">
        <f t="shared" si="116"/>
        <v/>
      </c>
      <c r="R2631" s="89" t="str">
        <f t="shared" si="117"/>
        <v/>
      </c>
      <c r="S2631" s="82"/>
      <c r="U2631" s="37"/>
    </row>
    <row r="2632" spans="1:21" x14ac:dyDescent="0.25">
      <c r="A2632" s="31" t="str">
        <f>IF(Table!A2632 = "","",Table!A2632)</f>
        <v/>
      </c>
      <c r="B2632" s="31" t="str">
        <f>IF(Table!B2632 = "","",Table!B2632)</f>
        <v/>
      </c>
      <c r="C2632" s="31" t="str">
        <f>IF(Table!C2632 = "","",Table!C2632)</f>
        <v/>
      </c>
      <c r="D2632" s="32" t="str">
        <f>IF(Table!D2632 = "","",Table!D2632)</f>
        <v/>
      </c>
      <c r="E2632" s="32" t="str">
        <f>IF(Table!E2632 = "","",Table!E2632)</f>
        <v/>
      </c>
      <c r="F2632" s="32" t="str">
        <f>IF(Table!F2632 = "","",Table!F2632)</f>
        <v/>
      </c>
      <c r="G2632" s="91"/>
      <c r="K2632" s="31" t="str">
        <f>IFERROR(VLOOKUP(A2632,Table!$I$4:$O$3000,1,TRUE),"")</f>
        <v/>
      </c>
      <c r="L2632" s="31" t="str">
        <f>IFERROR(INDEX(Table!I:O,MATCH(K2632,Table!I:I,0),2),"")</f>
        <v/>
      </c>
      <c r="M2632" s="31" t="str">
        <f>IFERROR(INDEX(Table!I:O,MATCH(K2632,Table!I:I,0),3),"")</f>
        <v/>
      </c>
      <c r="N2632" s="32" t="str">
        <f>IFERROR(INDEX(Table!I:O,MATCH(K2632,Table!I:I,0),4),"")</f>
        <v/>
      </c>
      <c r="O2632" s="32" t="str">
        <f>IFERROR(INDEX(Table!I:O,MATCH(K2632,Table!I:I,0),5),"")</f>
        <v/>
      </c>
      <c r="P2632" s="32" t="str">
        <f>IFERROR(INDEX(Table!I:O,MATCH(K2632,Table!I:I,0),6),"")</f>
        <v/>
      </c>
      <c r="Q2632" s="89" t="str">
        <f t="shared" si="116"/>
        <v/>
      </c>
      <c r="R2632" s="89" t="str">
        <f t="shared" si="117"/>
        <v/>
      </c>
      <c r="S2632" s="82"/>
      <c r="U2632" s="37"/>
    </row>
    <row r="2633" spans="1:21" x14ac:dyDescent="0.25">
      <c r="A2633" s="31" t="str">
        <f>IF(Table!A2633 = "","",Table!A2633)</f>
        <v/>
      </c>
      <c r="B2633" s="31" t="str">
        <f>IF(Table!B2633 = "","",Table!B2633)</f>
        <v/>
      </c>
      <c r="C2633" s="31" t="str">
        <f>IF(Table!C2633 = "","",Table!C2633)</f>
        <v/>
      </c>
      <c r="D2633" s="32" t="str">
        <f>IF(Table!D2633 = "","",Table!D2633)</f>
        <v/>
      </c>
      <c r="E2633" s="32" t="str">
        <f>IF(Table!E2633 = "","",Table!E2633)</f>
        <v/>
      </c>
      <c r="F2633" s="32" t="str">
        <f>IF(Table!F2633 = "","",Table!F2633)</f>
        <v/>
      </c>
      <c r="G2633" s="91"/>
      <c r="K2633" s="31" t="str">
        <f>IFERROR(VLOOKUP(A2633,Table!$I$4:$O$3000,1,TRUE),"")</f>
        <v/>
      </c>
      <c r="L2633" s="31" t="str">
        <f>IFERROR(INDEX(Table!I:O,MATCH(K2633,Table!I:I,0),2),"")</f>
        <v/>
      </c>
      <c r="M2633" s="31" t="str">
        <f>IFERROR(INDEX(Table!I:O,MATCH(K2633,Table!I:I,0),3),"")</f>
        <v/>
      </c>
      <c r="N2633" s="32" t="str">
        <f>IFERROR(INDEX(Table!I:O,MATCH(K2633,Table!I:I,0),4),"")</f>
        <v/>
      </c>
      <c r="O2633" s="32" t="str">
        <f>IFERROR(INDEX(Table!I:O,MATCH(K2633,Table!I:I,0),5),"")</f>
        <v/>
      </c>
      <c r="P2633" s="32" t="str">
        <f>IFERROR(INDEX(Table!I:O,MATCH(K2633,Table!I:I,0),6),"")</f>
        <v/>
      </c>
      <c r="Q2633" s="89" t="str">
        <f t="shared" si="116"/>
        <v/>
      </c>
      <c r="R2633" s="89" t="str">
        <f t="shared" si="117"/>
        <v/>
      </c>
      <c r="S2633" s="82"/>
      <c r="U2633" s="37"/>
    </row>
    <row r="2634" spans="1:21" x14ac:dyDescent="0.25">
      <c r="A2634" s="31" t="str">
        <f>IF(Table!A2634 = "","",Table!A2634)</f>
        <v/>
      </c>
      <c r="B2634" s="31" t="str">
        <f>IF(Table!B2634 = "","",Table!B2634)</f>
        <v/>
      </c>
      <c r="C2634" s="31" t="str">
        <f>IF(Table!C2634 = "","",Table!C2634)</f>
        <v/>
      </c>
      <c r="D2634" s="32" t="str">
        <f>IF(Table!D2634 = "","",Table!D2634)</f>
        <v/>
      </c>
      <c r="E2634" s="32" t="str">
        <f>IF(Table!E2634 = "","",Table!E2634)</f>
        <v/>
      </c>
      <c r="F2634" s="32" t="str">
        <f>IF(Table!F2634 = "","",Table!F2634)</f>
        <v/>
      </c>
      <c r="G2634" s="91"/>
      <c r="K2634" s="31" t="str">
        <f>IFERROR(VLOOKUP(A2634,Table!$I$4:$O$3000,1,TRUE),"")</f>
        <v/>
      </c>
      <c r="L2634" s="31" t="str">
        <f>IFERROR(INDEX(Table!I:O,MATCH(K2634,Table!I:I,0),2),"")</f>
        <v/>
      </c>
      <c r="M2634" s="31" t="str">
        <f>IFERROR(INDEX(Table!I:O,MATCH(K2634,Table!I:I,0),3),"")</f>
        <v/>
      </c>
      <c r="N2634" s="32" t="str">
        <f>IFERROR(INDEX(Table!I:O,MATCH(K2634,Table!I:I,0),4),"")</f>
        <v/>
      </c>
      <c r="O2634" s="32" t="str">
        <f>IFERROR(INDEX(Table!I:O,MATCH(K2634,Table!I:I,0),5),"")</f>
        <v/>
      </c>
      <c r="P2634" s="32" t="str">
        <f>IFERROR(INDEX(Table!I:O,MATCH(K2634,Table!I:I,0),6),"")</f>
        <v/>
      </c>
      <c r="Q2634" s="89" t="str">
        <f t="shared" si="116"/>
        <v/>
      </c>
      <c r="R2634" s="89" t="str">
        <f t="shared" si="117"/>
        <v/>
      </c>
      <c r="S2634" s="82"/>
      <c r="U2634" s="37"/>
    </row>
    <row r="2635" spans="1:21" x14ac:dyDescent="0.25">
      <c r="A2635" s="31" t="str">
        <f>IF(Table!A2635 = "","",Table!A2635)</f>
        <v/>
      </c>
      <c r="B2635" s="31" t="str">
        <f>IF(Table!B2635 = "","",Table!B2635)</f>
        <v/>
      </c>
      <c r="C2635" s="31" t="str">
        <f>IF(Table!C2635 = "","",Table!C2635)</f>
        <v/>
      </c>
      <c r="D2635" s="32" t="str">
        <f>IF(Table!D2635 = "","",Table!D2635)</f>
        <v/>
      </c>
      <c r="E2635" s="32" t="str">
        <f>IF(Table!E2635 = "","",Table!E2635)</f>
        <v/>
      </c>
      <c r="F2635" s="32" t="str">
        <f>IF(Table!F2635 = "","",Table!F2635)</f>
        <v/>
      </c>
      <c r="G2635" s="91"/>
      <c r="K2635" s="31" t="str">
        <f>IFERROR(VLOOKUP(A2635,Table!$I$4:$O$3000,1,TRUE),"")</f>
        <v/>
      </c>
      <c r="L2635" s="31" t="str">
        <f>IFERROR(INDEX(Table!I:O,MATCH(K2635,Table!I:I,0),2),"")</f>
        <v/>
      </c>
      <c r="M2635" s="31" t="str">
        <f>IFERROR(INDEX(Table!I:O,MATCH(K2635,Table!I:I,0),3),"")</f>
        <v/>
      </c>
      <c r="N2635" s="32" t="str">
        <f>IFERROR(INDEX(Table!I:O,MATCH(K2635,Table!I:I,0),4),"")</f>
        <v/>
      </c>
      <c r="O2635" s="32" t="str">
        <f>IFERROR(INDEX(Table!I:O,MATCH(K2635,Table!I:I,0),5),"")</f>
        <v/>
      </c>
      <c r="P2635" s="32" t="str">
        <f>IFERROR(INDEX(Table!I:O,MATCH(K2635,Table!I:I,0),6),"")</f>
        <v/>
      </c>
      <c r="Q2635" s="89" t="str">
        <f t="shared" si="116"/>
        <v/>
      </c>
      <c r="R2635" s="89" t="str">
        <f t="shared" si="117"/>
        <v/>
      </c>
      <c r="S2635" s="82"/>
      <c r="U2635" s="37"/>
    </row>
    <row r="2636" spans="1:21" x14ac:dyDescent="0.25">
      <c r="A2636" s="31" t="str">
        <f>IF(Table!A2636 = "","",Table!A2636)</f>
        <v/>
      </c>
      <c r="B2636" s="31" t="str">
        <f>IF(Table!B2636 = "","",Table!B2636)</f>
        <v/>
      </c>
      <c r="C2636" s="31" t="str">
        <f>IF(Table!C2636 = "","",Table!C2636)</f>
        <v/>
      </c>
      <c r="D2636" s="32" t="str">
        <f>IF(Table!D2636 = "","",Table!D2636)</f>
        <v/>
      </c>
      <c r="E2636" s="32" t="str">
        <f>IF(Table!E2636 = "","",Table!E2636)</f>
        <v/>
      </c>
      <c r="F2636" s="32" t="str">
        <f>IF(Table!F2636 = "","",Table!F2636)</f>
        <v/>
      </c>
      <c r="G2636" s="91"/>
      <c r="K2636" s="31" t="str">
        <f>IFERROR(VLOOKUP(A2636,Table!$I$4:$O$3000,1,TRUE),"")</f>
        <v/>
      </c>
      <c r="L2636" s="31" t="str">
        <f>IFERROR(INDEX(Table!I:O,MATCH(K2636,Table!I:I,0),2),"")</f>
        <v/>
      </c>
      <c r="M2636" s="31" t="str">
        <f>IFERROR(INDEX(Table!I:O,MATCH(K2636,Table!I:I,0),3),"")</f>
        <v/>
      </c>
      <c r="N2636" s="32" t="str">
        <f>IFERROR(INDEX(Table!I:O,MATCH(K2636,Table!I:I,0),4),"")</f>
        <v/>
      </c>
      <c r="O2636" s="32" t="str">
        <f>IFERROR(INDEX(Table!I:O,MATCH(K2636,Table!I:I,0),5),"")</f>
        <v/>
      </c>
      <c r="P2636" s="32" t="str">
        <f>IFERROR(INDEX(Table!I:O,MATCH(K2636,Table!I:I,0),6),"")</f>
        <v/>
      </c>
      <c r="Q2636" s="89" t="str">
        <f t="shared" si="116"/>
        <v/>
      </c>
      <c r="R2636" s="89" t="str">
        <f t="shared" si="117"/>
        <v/>
      </c>
      <c r="S2636" s="82"/>
      <c r="U2636" s="37"/>
    </row>
    <row r="2637" spans="1:21" x14ac:dyDescent="0.25">
      <c r="A2637" s="31" t="str">
        <f>IF(Table!A2637 = "","",Table!A2637)</f>
        <v/>
      </c>
      <c r="B2637" s="31" t="str">
        <f>IF(Table!B2637 = "","",Table!B2637)</f>
        <v/>
      </c>
      <c r="C2637" s="31" t="str">
        <f>IF(Table!C2637 = "","",Table!C2637)</f>
        <v/>
      </c>
      <c r="D2637" s="32" t="str">
        <f>IF(Table!D2637 = "","",Table!D2637)</f>
        <v/>
      </c>
      <c r="E2637" s="32" t="str">
        <f>IF(Table!E2637 = "","",Table!E2637)</f>
        <v/>
      </c>
      <c r="F2637" s="32" t="str">
        <f>IF(Table!F2637 = "","",Table!F2637)</f>
        <v/>
      </c>
      <c r="G2637" s="91"/>
      <c r="K2637" s="31" t="str">
        <f>IFERROR(VLOOKUP(A2637,Table!$I$4:$O$3000,1,TRUE),"")</f>
        <v/>
      </c>
      <c r="L2637" s="31" t="str">
        <f>IFERROR(INDEX(Table!I:O,MATCH(K2637,Table!I:I,0),2),"")</f>
        <v/>
      </c>
      <c r="M2637" s="31" t="str">
        <f>IFERROR(INDEX(Table!I:O,MATCH(K2637,Table!I:I,0),3),"")</f>
        <v/>
      </c>
      <c r="N2637" s="32" t="str">
        <f>IFERROR(INDEX(Table!I:O,MATCH(K2637,Table!I:I,0),4),"")</f>
        <v/>
      </c>
      <c r="O2637" s="32" t="str">
        <f>IFERROR(INDEX(Table!I:O,MATCH(K2637,Table!I:I,0),5),"")</f>
        <v/>
      </c>
      <c r="P2637" s="32" t="str">
        <f>IFERROR(INDEX(Table!I:O,MATCH(K2637,Table!I:I,0),6),"")</f>
        <v/>
      </c>
      <c r="Q2637" s="89" t="str">
        <f t="shared" si="116"/>
        <v/>
      </c>
      <c r="R2637" s="89" t="str">
        <f t="shared" si="117"/>
        <v/>
      </c>
      <c r="S2637" s="82"/>
      <c r="U2637" s="37"/>
    </row>
    <row r="2638" spans="1:21" x14ac:dyDescent="0.25">
      <c r="A2638" s="31" t="str">
        <f>IF(Table!A2638 = "","",Table!A2638)</f>
        <v/>
      </c>
      <c r="B2638" s="31" t="str">
        <f>IF(Table!B2638 = "","",Table!B2638)</f>
        <v/>
      </c>
      <c r="C2638" s="31" t="str">
        <f>IF(Table!C2638 = "","",Table!C2638)</f>
        <v/>
      </c>
      <c r="D2638" s="32" t="str">
        <f>IF(Table!D2638 = "","",Table!D2638)</f>
        <v/>
      </c>
      <c r="E2638" s="32" t="str">
        <f>IF(Table!E2638 = "","",Table!E2638)</f>
        <v/>
      </c>
      <c r="F2638" s="32" t="str">
        <f>IF(Table!F2638 = "","",Table!F2638)</f>
        <v/>
      </c>
      <c r="G2638" s="91"/>
      <c r="K2638" s="31" t="str">
        <f>IFERROR(VLOOKUP(A2638,Table!$I$4:$O$3000,1,TRUE),"")</f>
        <v/>
      </c>
      <c r="L2638" s="31" t="str">
        <f>IFERROR(INDEX(Table!I:O,MATCH(K2638,Table!I:I,0),2),"")</f>
        <v/>
      </c>
      <c r="M2638" s="31" t="str">
        <f>IFERROR(INDEX(Table!I:O,MATCH(K2638,Table!I:I,0),3),"")</f>
        <v/>
      </c>
      <c r="N2638" s="32" t="str">
        <f>IFERROR(INDEX(Table!I:O,MATCH(K2638,Table!I:I,0),4),"")</f>
        <v/>
      </c>
      <c r="O2638" s="32" t="str">
        <f>IFERROR(INDEX(Table!I:O,MATCH(K2638,Table!I:I,0),5),"")</f>
        <v/>
      </c>
      <c r="P2638" s="32" t="str">
        <f>IFERROR(INDEX(Table!I:O,MATCH(K2638,Table!I:I,0),6),"")</f>
        <v/>
      </c>
      <c r="Q2638" s="89" t="str">
        <f t="shared" si="116"/>
        <v/>
      </c>
      <c r="R2638" s="89" t="str">
        <f t="shared" si="117"/>
        <v/>
      </c>
      <c r="S2638" s="82"/>
      <c r="U2638" s="37"/>
    </row>
    <row r="2639" spans="1:21" x14ac:dyDescent="0.25">
      <c r="A2639" s="31" t="str">
        <f>IF(Table!A2639 = "","",Table!A2639)</f>
        <v/>
      </c>
      <c r="B2639" s="31" t="str">
        <f>IF(Table!B2639 = "","",Table!B2639)</f>
        <v/>
      </c>
      <c r="C2639" s="31" t="str">
        <f>IF(Table!C2639 = "","",Table!C2639)</f>
        <v/>
      </c>
      <c r="D2639" s="32" t="str">
        <f>IF(Table!D2639 = "","",Table!D2639)</f>
        <v/>
      </c>
      <c r="E2639" s="32" t="str">
        <f>IF(Table!E2639 = "","",Table!E2639)</f>
        <v/>
      </c>
      <c r="F2639" s="32" t="str">
        <f>IF(Table!F2639 = "","",Table!F2639)</f>
        <v/>
      </c>
      <c r="G2639" s="91"/>
      <c r="K2639" s="31" t="str">
        <f>IFERROR(VLOOKUP(A2639,Table!$I$4:$O$3000,1,TRUE),"")</f>
        <v/>
      </c>
      <c r="L2639" s="31" t="str">
        <f>IFERROR(INDEX(Table!I:O,MATCH(K2639,Table!I:I,0),2),"")</f>
        <v/>
      </c>
      <c r="M2639" s="31" t="str">
        <f>IFERROR(INDEX(Table!I:O,MATCH(K2639,Table!I:I,0),3),"")</f>
        <v/>
      </c>
      <c r="N2639" s="32" t="str">
        <f>IFERROR(INDEX(Table!I:O,MATCH(K2639,Table!I:I,0),4),"")</f>
        <v/>
      </c>
      <c r="O2639" s="32" t="str">
        <f>IFERROR(INDEX(Table!I:O,MATCH(K2639,Table!I:I,0),5),"")</f>
        <v/>
      </c>
      <c r="P2639" s="32" t="str">
        <f>IFERROR(INDEX(Table!I:O,MATCH(K2639,Table!I:I,0),6),"")</f>
        <v/>
      </c>
      <c r="Q2639" s="89" t="str">
        <f t="shared" si="116"/>
        <v/>
      </c>
      <c r="R2639" s="89" t="str">
        <f t="shared" si="117"/>
        <v/>
      </c>
      <c r="S2639" s="82"/>
      <c r="U2639" s="37"/>
    </row>
    <row r="2640" spans="1:21" x14ac:dyDescent="0.25">
      <c r="A2640" s="31" t="str">
        <f>IF(Table!A2640 = "","",Table!A2640)</f>
        <v/>
      </c>
      <c r="B2640" s="31" t="str">
        <f>IF(Table!B2640 = "","",Table!B2640)</f>
        <v/>
      </c>
      <c r="C2640" s="31" t="str">
        <f>IF(Table!C2640 = "","",Table!C2640)</f>
        <v/>
      </c>
      <c r="D2640" s="32" t="str">
        <f>IF(Table!D2640 = "","",Table!D2640)</f>
        <v/>
      </c>
      <c r="E2640" s="32" t="str">
        <f>IF(Table!E2640 = "","",Table!E2640)</f>
        <v/>
      </c>
      <c r="F2640" s="32" t="str">
        <f>IF(Table!F2640 = "","",Table!F2640)</f>
        <v/>
      </c>
      <c r="G2640" s="91"/>
      <c r="K2640" s="31" t="str">
        <f>IFERROR(VLOOKUP(A2640,Table!$I$4:$O$3000,1,TRUE),"")</f>
        <v/>
      </c>
      <c r="L2640" s="31" t="str">
        <f>IFERROR(INDEX(Table!I:O,MATCH(K2640,Table!I:I,0),2),"")</f>
        <v/>
      </c>
      <c r="M2640" s="31" t="str">
        <f>IFERROR(INDEX(Table!I:O,MATCH(K2640,Table!I:I,0),3),"")</f>
        <v/>
      </c>
      <c r="N2640" s="32" t="str">
        <f>IFERROR(INDEX(Table!I:O,MATCH(K2640,Table!I:I,0),4),"")</f>
        <v/>
      </c>
      <c r="O2640" s="32" t="str">
        <f>IFERROR(INDEX(Table!I:O,MATCH(K2640,Table!I:I,0),5),"")</f>
        <v/>
      </c>
      <c r="P2640" s="32" t="str">
        <f>IFERROR(INDEX(Table!I:O,MATCH(K2640,Table!I:I,0),6),"")</f>
        <v/>
      </c>
      <c r="Q2640" s="89" t="str">
        <f t="shared" si="116"/>
        <v/>
      </c>
      <c r="R2640" s="89" t="str">
        <f t="shared" si="117"/>
        <v/>
      </c>
      <c r="S2640" s="82"/>
      <c r="U2640" s="37"/>
    </row>
    <row r="2641" spans="1:21" x14ac:dyDescent="0.25">
      <c r="A2641" s="31" t="str">
        <f>IF(Table!A2641 = "","",Table!A2641)</f>
        <v/>
      </c>
      <c r="B2641" s="31" t="str">
        <f>IF(Table!B2641 = "","",Table!B2641)</f>
        <v/>
      </c>
      <c r="C2641" s="31" t="str">
        <f>IF(Table!C2641 = "","",Table!C2641)</f>
        <v/>
      </c>
      <c r="D2641" s="32" t="str">
        <f>IF(Table!D2641 = "","",Table!D2641)</f>
        <v/>
      </c>
      <c r="E2641" s="32" t="str">
        <f>IF(Table!E2641 = "","",Table!E2641)</f>
        <v/>
      </c>
      <c r="F2641" s="32" t="str">
        <f>IF(Table!F2641 = "","",Table!F2641)</f>
        <v/>
      </c>
      <c r="G2641" s="91"/>
      <c r="K2641" s="31" t="str">
        <f>IFERROR(VLOOKUP(A2641,Table!$I$4:$O$3000,1,TRUE),"")</f>
        <v/>
      </c>
      <c r="L2641" s="31" t="str">
        <f>IFERROR(INDEX(Table!I:O,MATCH(K2641,Table!I:I,0),2),"")</f>
        <v/>
      </c>
      <c r="M2641" s="31" t="str">
        <f>IFERROR(INDEX(Table!I:O,MATCH(K2641,Table!I:I,0),3),"")</f>
        <v/>
      </c>
      <c r="N2641" s="32" t="str">
        <f>IFERROR(INDEX(Table!I:O,MATCH(K2641,Table!I:I,0),4),"")</f>
        <v/>
      </c>
      <c r="O2641" s="32" t="str">
        <f>IFERROR(INDEX(Table!I:O,MATCH(K2641,Table!I:I,0),5),"")</f>
        <v/>
      </c>
      <c r="P2641" s="32" t="str">
        <f>IFERROR(INDEX(Table!I:O,MATCH(K2641,Table!I:I,0),6),"")</f>
        <v/>
      </c>
      <c r="Q2641" s="89" t="str">
        <f t="shared" si="116"/>
        <v/>
      </c>
      <c r="R2641" s="89" t="str">
        <f t="shared" si="117"/>
        <v/>
      </c>
      <c r="S2641" s="82"/>
      <c r="U2641" s="37"/>
    </row>
    <row r="2642" spans="1:21" x14ac:dyDescent="0.25">
      <c r="A2642" s="31" t="str">
        <f>IF(Table!A2642 = "","",Table!A2642)</f>
        <v/>
      </c>
      <c r="B2642" s="31" t="str">
        <f>IF(Table!B2642 = "","",Table!B2642)</f>
        <v/>
      </c>
      <c r="C2642" s="31" t="str">
        <f>IF(Table!C2642 = "","",Table!C2642)</f>
        <v/>
      </c>
      <c r="D2642" s="32" t="str">
        <f>IF(Table!D2642 = "","",Table!D2642)</f>
        <v/>
      </c>
      <c r="E2642" s="32" t="str">
        <f>IF(Table!E2642 = "","",Table!E2642)</f>
        <v/>
      </c>
      <c r="F2642" s="32" t="str">
        <f>IF(Table!F2642 = "","",Table!F2642)</f>
        <v/>
      </c>
      <c r="G2642" s="91"/>
      <c r="K2642" s="31" t="str">
        <f>IFERROR(VLOOKUP(A2642,Table!$I$4:$O$3000,1,TRUE),"")</f>
        <v/>
      </c>
      <c r="L2642" s="31" t="str">
        <f>IFERROR(INDEX(Table!I:O,MATCH(K2642,Table!I:I,0),2),"")</f>
        <v/>
      </c>
      <c r="M2642" s="31" t="str">
        <f>IFERROR(INDEX(Table!I:O,MATCH(K2642,Table!I:I,0),3),"")</f>
        <v/>
      </c>
      <c r="N2642" s="32" t="str">
        <f>IFERROR(INDEX(Table!I:O,MATCH(K2642,Table!I:I,0),4),"")</f>
        <v/>
      </c>
      <c r="O2642" s="32" t="str">
        <f>IFERROR(INDEX(Table!I:O,MATCH(K2642,Table!I:I,0),5),"")</f>
        <v/>
      </c>
      <c r="P2642" s="32" t="str">
        <f>IFERROR(INDEX(Table!I:O,MATCH(K2642,Table!I:I,0),6),"")</f>
        <v/>
      </c>
      <c r="Q2642" s="89" t="str">
        <f t="shared" si="116"/>
        <v/>
      </c>
      <c r="R2642" s="89" t="str">
        <f t="shared" si="117"/>
        <v/>
      </c>
      <c r="S2642" s="82"/>
      <c r="U2642" s="37"/>
    </row>
    <row r="2643" spans="1:21" x14ac:dyDescent="0.25">
      <c r="A2643" s="31" t="str">
        <f>IF(Table!A2643 = "","",Table!A2643)</f>
        <v/>
      </c>
      <c r="B2643" s="31" t="str">
        <f>IF(Table!B2643 = "","",Table!B2643)</f>
        <v/>
      </c>
      <c r="C2643" s="31" t="str">
        <f>IF(Table!C2643 = "","",Table!C2643)</f>
        <v/>
      </c>
      <c r="D2643" s="32" t="str">
        <f>IF(Table!D2643 = "","",Table!D2643)</f>
        <v/>
      </c>
      <c r="E2643" s="32" t="str">
        <f>IF(Table!E2643 = "","",Table!E2643)</f>
        <v/>
      </c>
      <c r="F2643" s="32" t="str">
        <f>IF(Table!F2643 = "","",Table!F2643)</f>
        <v/>
      </c>
      <c r="G2643" s="91"/>
      <c r="K2643" s="31" t="str">
        <f>IFERROR(VLOOKUP(A2643,Table!$I$4:$O$3000,1,TRUE),"")</f>
        <v/>
      </c>
      <c r="L2643" s="31" t="str">
        <f>IFERROR(INDEX(Table!I:O,MATCH(K2643,Table!I:I,0),2),"")</f>
        <v/>
      </c>
      <c r="M2643" s="31" t="str">
        <f>IFERROR(INDEX(Table!I:O,MATCH(K2643,Table!I:I,0),3),"")</f>
        <v/>
      </c>
      <c r="N2643" s="32" t="str">
        <f>IFERROR(INDEX(Table!I:O,MATCH(K2643,Table!I:I,0),4),"")</f>
        <v/>
      </c>
      <c r="O2643" s="32" t="str">
        <f>IFERROR(INDEX(Table!I:O,MATCH(K2643,Table!I:I,0),5),"")</f>
        <v/>
      </c>
      <c r="P2643" s="32" t="str">
        <f>IFERROR(INDEX(Table!I:O,MATCH(K2643,Table!I:I,0),6),"")</f>
        <v/>
      </c>
      <c r="Q2643" s="89" t="str">
        <f t="shared" si="116"/>
        <v/>
      </c>
      <c r="R2643" s="89" t="str">
        <f t="shared" si="117"/>
        <v/>
      </c>
      <c r="S2643" s="82"/>
      <c r="U2643" s="37"/>
    </row>
    <row r="2644" spans="1:21" x14ac:dyDescent="0.25">
      <c r="A2644" s="31" t="str">
        <f>IF(Table!A2644 = "","",Table!A2644)</f>
        <v/>
      </c>
      <c r="B2644" s="31" t="str">
        <f>IF(Table!B2644 = "","",Table!B2644)</f>
        <v/>
      </c>
      <c r="C2644" s="31" t="str">
        <f>IF(Table!C2644 = "","",Table!C2644)</f>
        <v/>
      </c>
      <c r="D2644" s="32" t="str">
        <f>IF(Table!D2644 = "","",Table!D2644)</f>
        <v/>
      </c>
      <c r="E2644" s="32" t="str">
        <f>IF(Table!E2644 = "","",Table!E2644)</f>
        <v/>
      </c>
      <c r="F2644" s="32" t="str">
        <f>IF(Table!F2644 = "","",Table!F2644)</f>
        <v/>
      </c>
      <c r="G2644" s="91"/>
      <c r="K2644" s="31" t="str">
        <f>IFERROR(VLOOKUP(A2644,Table!$I$4:$O$3000,1,TRUE),"")</f>
        <v/>
      </c>
      <c r="L2644" s="31" t="str">
        <f>IFERROR(INDEX(Table!I:O,MATCH(K2644,Table!I:I,0),2),"")</f>
        <v/>
      </c>
      <c r="M2644" s="31" t="str">
        <f>IFERROR(INDEX(Table!I:O,MATCH(K2644,Table!I:I,0),3),"")</f>
        <v/>
      </c>
      <c r="N2644" s="32" t="str">
        <f>IFERROR(INDEX(Table!I:O,MATCH(K2644,Table!I:I,0),4),"")</f>
        <v/>
      </c>
      <c r="O2644" s="32" t="str">
        <f>IFERROR(INDEX(Table!I:O,MATCH(K2644,Table!I:I,0),5),"")</f>
        <v/>
      </c>
      <c r="P2644" s="32" t="str">
        <f>IFERROR(INDEX(Table!I:O,MATCH(K2644,Table!I:I,0),6),"")</f>
        <v/>
      </c>
      <c r="Q2644" s="89" t="str">
        <f t="shared" si="116"/>
        <v/>
      </c>
      <c r="R2644" s="89" t="str">
        <f t="shared" si="117"/>
        <v/>
      </c>
      <c r="S2644" s="82"/>
      <c r="U2644" s="37"/>
    </row>
    <row r="2645" spans="1:21" x14ac:dyDescent="0.25">
      <c r="A2645" s="31" t="str">
        <f>IF(Table!A2645 = "","",Table!A2645)</f>
        <v/>
      </c>
      <c r="B2645" s="31" t="str">
        <f>IF(Table!B2645 = "","",Table!B2645)</f>
        <v/>
      </c>
      <c r="C2645" s="31" t="str">
        <f>IF(Table!C2645 = "","",Table!C2645)</f>
        <v/>
      </c>
      <c r="D2645" s="32" t="str">
        <f>IF(Table!D2645 = "","",Table!D2645)</f>
        <v/>
      </c>
      <c r="E2645" s="32" t="str">
        <f>IF(Table!E2645 = "","",Table!E2645)</f>
        <v/>
      </c>
      <c r="F2645" s="32" t="str">
        <f>IF(Table!F2645 = "","",Table!F2645)</f>
        <v/>
      </c>
      <c r="G2645" s="91"/>
      <c r="K2645" s="31" t="str">
        <f>IFERROR(VLOOKUP(A2645,Table!$I$4:$O$3000,1,TRUE),"")</f>
        <v/>
      </c>
      <c r="L2645" s="31" t="str">
        <f>IFERROR(INDEX(Table!I:O,MATCH(K2645,Table!I:I,0),2),"")</f>
        <v/>
      </c>
      <c r="M2645" s="31" t="str">
        <f>IFERROR(INDEX(Table!I:O,MATCH(K2645,Table!I:I,0),3),"")</f>
        <v/>
      </c>
      <c r="N2645" s="32" t="str">
        <f>IFERROR(INDEX(Table!I:O,MATCH(K2645,Table!I:I,0),4),"")</f>
        <v/>
      </c>
      <c r="O2645" s="32" t="str">
        <f>IFERROR(INDEX(Table!I:O,MATCH(K2645,Table!I:I,0),5),"")</f>
        <v/>
      </c>
      <c r="P2645" s="32" t="str">
        <f>IFERROR(INDEX(Table!I:O,MATCH(K2645,Table!I:I,0),6),"")</f>
        <v/>
      </c>
      <c r="Q2645" s="89" t="str">
        <f t="shared" si="116"/>
        <v/>
      </c>
      <c r="R2645" s="89" t="str">
        <f t="shared" si="117"/>
        <v/>
      </c>
      <c r="S2645" s="82"/>
      <c r="U2645" s="37"/>
    </row>
    <row r="2646" spans="1:21" x14ac:dyDescent="0.25">
      <c r="A2646" s="31" t="str">
        <f>IF(Table!A2646 = "","",Table!A2646)</f>
        <v/>
      </c>
      <c r="B2646" s="31" t="str">
        <f>IF(Table!B2646 = "","",Table!B2646)</f>
        <v/>
      </c>
      <c r="C2646" s="31" t="str">
        <f>IF(Table!C2646 = "","",Table!C2646)</f>
        <v/>
      </c>
      <c r="D2646" s="32" t="str">
        <f>IF(Table!D2646 = "","",Table!D2646)</f>
        <v/>
      </c>
      <c r="E2646" s="32" t="str">
        <f>IF(Table!E2646 = "","",Table!E2646)</f>
        <v/>
      </c>
      <c r="F2646" s="32" t="str">
        <f>IF(Table!F2646 = "","",Table!F2646)</f>
        <v/>
      </c>
      <c r="G2646" s="91"/>
      <c r="K2646" s="31" t="str">
        <f>IFERROR(VLOOKUP(A2646,Table!$I$4:$O$3000,1,TRUE),"")</f>
        <v/>
      </c>
      <c r="L2646" s="31" t="str">
        <f>IFERROR(INDEX(Table!I:O,MATCH(K2646,Table!I:I,0),2),"")</f>
        <v/>
      </c>
      <c r="M2646" s="31" t="str">
        <f>IFERROR(INDEX(Table!I:O,MATCH(K2646,Table!I:I,0),3),"")</f>
        <v/>
      </c>
      <c r="N2646" s="32" t="str">
        <f>IFERROR(INDEX(Table!I:O,MATCH(K2646,Table!I:I,0),4),"")</f>
        <v/>
      </c>
      <c r="O2646" s="32" t="str">
        <f>IFERROR(INDEX(Table!I:O,MATCH(K2646,Table!I:I,0),5),"")</f>
        <v/>
      </c>
      <c r="P2646" s="32" t="str">
        <f>IFERROR(INDEX(Table!I:O,MATCH(K2646,Table!I:I,0),6),"")</f>
        <v/>
      </c>
      <c r="Q2646" s="89" t="str">
        <f t="shared" si="116"/>
        <v/>
      </c>
      <c r="R2646" s="89" t="str">
        <f t="shared" si="117"/>
        <v/>
      </c>
      <c r="S2646" s="82"/>
      <c r="U2646" s="37"/>
    </row>
    <row r="2647" spans="1:21" x14ac:dyDescent="0.25">
      <c r="A2647" s="31" t="str">
        <f>IF(Table!A2647 = "","",Table!A2647)</f>
        <v/>
      </c>
      <c r="B2647" s="31" t="str">
        <f>IF(Table!B2647 = "","",Table!B2647)</f>
        <v/>
      </c>
      <c r="C2647" s="31" t="str">
        <f>IF(Table!C2647 = "","",Table!C2647)</f>
        <v/>
      </c>
      <c r="D2647" s="32" t="str">
        <f>IF(Table!D2647 = "","",Table!D2647)</f>
        <v/>
      </c>
      <c r="E2647" s="32" t="str">
        <f>IF(Table!E2647 = "","",Table!E2647)</f>
        <v/>
      </c>
      <c r="F2647" s="32" t="str">
        <f>IF(Table!F2647 = "","",Table!F2647)</f>
        <v/>
      </c>
      <c r="G2647" s="91"/>
      <c r="K2647" s="31" t="str">
        <f>IFERROR(VLOOKUP(A2647,Table!$I$4:$O$3000,1,TRUE),"")</f>
        <v/>
      </c>
      <c r="L2647" s="31" t="str">
        <f>IFERROR(INDEX(Table!I:O,MATCH(K2647,Table!I:I,0),2),"")</f>
        <v/>
      </c>
      <c r="M2647" s="31" t="str">
        <f>IFERROR(INDEX(Table!I:O,MATCH(K2647,Table!I:I,0),3),"")</f>
        <v/>
      </c>
      <c r="N2647" s="32" t="str">
        <f>IFERROR(INDEX(Table!I:O,MATCH(K2647,Table!I:I,0),4),"")</f>
        <v/>
      </c>
      <c r="O2647" s="32" t="str">
        <f>IFERROR(INDEX(Table!I:O,MATCH(K2647,Table!I:I,0),5),"")</f>
        <v/>
      </c>
      <c r="P2647" s="32" t="str">
        <f>IFERROR(INDEX(Table!I:O,MATCH(K2647,Table!I:I,0),6),"")</f>
        <v/>
      </c>
      <c r="Q2647" s="89" t="str">
        <f t="shared" si="116"/>
        <v/>
      </c>
      <c r="R2647" s="89" t="str">
        <f t="shared" si="117"/>
        <v/>
      </c>
      <c r="S2647" s="82"/>
      <c r="U2647" s="37"/>
    </row>
    <row r="2648" spans="1:21" x14ac:dyDescent="0.25">
      <c r="A2648" s="31" t="str">
        <f>IF(Table!A2648 = "","",Table!A2648)</f>
        <v/>
      </c>
      <c r="B2648" s="31" t="str">
        <f>IF(Table!B2648 = "","",Table!B2648)</f>
        <v/>
      </c>
      <c r="C2648" s="31" t="str">
        <f>IF(Table!C2648 = "","",Table!C2648)</f>
        <v/>
      </c>
      <c r="D2648" s="32" t="str">
        <f>IF(Table!D2648 = "","",Table!D2648)</f>
        <v/>
      </c>
      <c r="E2648" s="32" t="str">
        <f>IF(Table!E2648 = "","",Table!E2648)</f>
        <v/>
      </c>
      <c r="F2648" s="32" t="str">
        <f>IF(Table!F2648 = "","",Table!F2648)</f>
        <v/>
      </c>
      <c r="G2648" s="91"/>
      <c r="K2648" s="31" t="str">
        <f>IFERROR(VLOOKUP(A2648,Table!$I$4:$O$3000,1,TRUE),"")</f>
        <v/>
      </c>
      <c r="L2648" s="31" t="str">
        <f>IFERROR(INDEX(Table!I:O,MATCH(K2648,Table!I:I,0),2),"")</f>
        <v/>
      </c>
      <c r="M2648" s="31" t="str">
        <f>IFERROR(INDEX(Table!I:O,MATCH(K2648,Table!I:I,0),3),"")</f>
        <v/>
      </c>
      <c r="N2648" s="32" t="str">
        <f>IFERROR(INDEX(Table!I:O,MATCH(K2648,Table!I:I,0),4),"")</f>
        <v/>
      </c>
      <c r="O2648" s="32" t="str">
        <f>IFERROR(INDEX(Table!I:O,MATCH(K2648,Table!I:I,0),5),"")</f>
        <v/>
      </c>
      <c r="P2648" s="32" t="str">
        <f>IFERROR(INDEX(Table!I:O,MATCH(K2648,Table!I:I,0),6),"")</f>
        <v/>
      </c>
      <c r="Q2648" s="89" t="str">
        <f t="shared" si="116"/>
        <v/>
      </c>
      <c r="R2648" s="89" t="str">
        <f t="shared" si="117"/>
        <v/>
      </c>
      <c r="S2648" s="82"/>
      <c r="U2648" s="37"/>
    </row>
    <row r="2649" spans="1:21" x14ac:dyDescent="0.25">
      <c r="A2649" s="31" t="str">
        <f>IF(Table!A2649 = "","",Table!A2649)</f>
        <v/>
      </c>
      <c r="B2649" s="31" t="str">
        <f>IF(Table!B2649 = "","",Table!B2649)</f>
        <v/>
      </c>
      <c r="C2649" s="31" t="str">
        <f>IF(Table!C2649 = "","",Table!C2649)</f>
        <v/>
      </c>
      <c r="D2649" s="32" t="str">
        <f>IF(Table!D2649 = "","",Table!D2649)</f>
        <v/>
      </c>
      <c r="E2649" s="32" t="str">
        <f>IF(Table!E2649 = "","",Table!E2649)</f>
        <v/>
      </c>
      <c r="F2649" s="32" t="str">
        <f>IF(Table!F2649 = "","",Table!F2649)</f>
        <v/>
      </c>
      <c r="G2649" s="91"/>
      <c r="K2649" s="31" t="str">
        <f>IFERROR(VLOOKUP(A2649,Table!$I$4:$O$3000,1,TRUE),"")</f>
        <v/>
      </c>
      <c r="L2649" s="31" t="str">
        <f>IFERROR(INDEX(Table!I:O,MATCH(K2649,Table!I:I,0),2),"")</f>
        <v/>
      </c>
      <c r="M2649" s="31" t="str">
        <f>IFERROR(INDEX(Table!I:O,MATCH(K2649,Table!I:I,0),3),"")</f>
        <v/>
      </c>
      <c r="N2649" s="32" t="str">
        <f>IFERROR(INDEX(Table!I:O,MATCH(K2649,Table!I:I,0),4),"")</f>
        <v/>
      </c>
      <c r="O2649" s="32" t="str">
        <f>IFERROR(INDEX(Table!I:O,MATCH(K2649,Table!I:I,0),5),"")</f>
        <v/>
      </c>
      <c r="P2649" s="32" t="str">
        <f>IFERROR(INDEX(Table!I:O,MATCH(K2649,Table!I:I,0),6),"")</f>
        <v/>
      </c>
      <c r="Q2649" s="89" t="str">
        <f t="shared" si="116"/>
        <v/>
      </c>
      <c r="R2649" s="89" t="str">
        <f t="shared" si="117"/>
        <v/>
      </c>
      <c r="S2649" s="82"/>
      <c r="U2649" s="37"/>
    </row>
    <row r="2650" spans="1:21" x14ac:dyDescent="0.25">
      <c r="A2650" s="31" t="str">
        <f>IF(Table!A2650 = "","",Table!A2650)</f>
        <v/>
      </c>
      <c r="B2650" s="31" t="str">
        <f>IF(Table!B2650 = "","",Table!B2650)</f>
        <v/>
      </c>
      <c r="C2650" s="31" t="str">
        <f>IF(Table!C2650 = "","",Table!C2650)</f>
        <v/>
      </c>
      <c r="D2650" s="32" t="str">
        <f>IF(Table!D2650 = "","",Table!D2650)</f>
        <v/>
      </c>
      <c r="E2650" s="32" t="str">
        <f>IF(Table!E2650 = "","",Table!E2650)</f>
        <v/>
      </c>
      <c r="F2650" s="32" t="str">
        <f>IF(Table!F2650 = "","",Table!F2650)</f>
        <v/>
      </c>
      <c r="G2650" s="91"/>
      <c r="K2650" s="31" t="str">
        <f>IFERROR(VLOOKUP(A2650,Table!$I$4:$O$3000,1,TRUE),"")</f>
        <v/>
      </c>
      <c r="L2650" s="31" t="str">
        <f>IFERROR(INDEX(Table!I:O,MATCH(K2650,Table!I:I,0),2),"")</f>
        <v/>
      </c>
      <c r="M2650" s="31" t="str">
        <f>IFERROR(INDEX(Table!I:O,MATCH(K2650,Table!I:I,0),3),"")</f>
        <v/>
      </c>
      <c r="N2650" s="32" t="str">
        <f>IFERROR(INDEX(Table!I:O,MATCH(K2650,Table!I:I,0),4),"")</f>
        <v/>
      </c>
      <c r="O2650" s="32" t="str">
        <f>IFERROR(INDEX(Table!I:O,MATCH(K2650,Table!I:I,0),5),"")</f>
        <v/>
      </c>
      <c r="P2650" s="32" t="str">
        <f>IFERROR(INDEX(Table!I:O,MATCH(K2650,Table!I:I,0),6),"")</f>
        <v/>
      </c>
      <c r="Q2650" s="89" t="str">
        <f t="shared" si="116"/>
        <v/>
      </c>
      <c r="R2650" s="89" t="str">
        <f t="shared" si="117"/>
        <v/>
      </c>
      <c r="S2650" s="82"/>
      <c r="U2650" s="37"/>
    </row>
    <row r="2651" spans="1:21" x14ac:dyDescent="0.25">
      <c r="A2651" s="31" t="str">
        <f>IF(Table!A2651 = "","",Table!A2651)</f>
        <v/>
      </c>
      <c r="B2651" s="31" t="str">
        <f>IF(Table!B2651 = "","",Table!B2651)</f>
        <v/>
      </c>
      <c r="C2651" s="31" t="str">
        <f>IF(Table!C2651 = "","",Table!C2651)</f>
        <v/>
      </c>
      <c r="D2651" s="32" t="str">
        <f>IF(Table!D2651 = "","",Table!D2651)</f>
        <v/>
      </c>
      <c r="E2651" s="32" t="str">
        <f>IF(Table!E2651 = "","",Table!E2651)</f>
        <v/>
      </c>
      <c r="F2651" s="32" t="str">
        <f>IF(Table!F2651 = "","",Table!F2651)</f>
        <v/>
      </c>
      <c r="G2651" s="91"/>
      <c r="K2651" s="31" t="str">
        <f>IFERROR(VLOOKUP(A2651,Table!$I$4:$O$3000,1,TRUE),"")</f>
        <v/>
      </c>
      <c r="L2651" s="31" t="str">
        <f>IFERROR(INDEX(Table!I:O,MATCH(K2651,Table!I:I,0),2),"")</f>
        <v/>
      </c>
      <c r="M2651" s="31" t="str">
        <f>IFERROR(INDEX(Table!I:O,MATCH(K2651,Table!I:I,0),3),"")</f>
        <v/>
      </c>
      <c r="N2651" s="32" t="str">
        <f>IFERROR(INDEX(Table!I:O,MATCH(K2651,Table!I:I,0),4),"")</f>
        <v/>
      </c>
      <c r="O2651" s="32" t="str">
        <f>IFERROR(INDEX(Table!I:O,MATCH(K2651,Table!I:I,0),5),"")</f>
        <v/>
      </c>
      <c r="P2651" s="32" t="str">
        <f>IFERROR(INDEX(Table!I:O,MATCH(K2651,Table!I:I,0),6),"")</f>
        <v/>
      </c>
      <c r="Q2651" s="89" t="str">
        <f t="shared" si="116"/>
        <v/>
      </c>
      <c r="R2651" s="89" t="str">
        <f t="shared" si="117"/>
        <v/>
      </c>
      <c r="S2651" s="82"/>
      <c r="U2651" s="37"/>
    </row>
    <row r="2652" spans="1:21" x14ac:dyDescent="0.25">
      <c r="A2652" s="31" t="str">
        <f>IF(Table!A2652 = "","",Table!A2652)</f>
        <v/>
      </c>
      <c r="B2652" s="31" t="str">
        <f>IF(Table!B2652 = "","",Table!B2652)</f>
        <v/>
      </c>
      <c r="C2652" s="31" t="str">
        <f>IF(Table!C2652 = "","",Table!C2652)</f>
        <v/>
      </c>
      <c r="D2652" s="32" t="str">
        <f>IF(Table!D2652 = "","",Table!D2652)</f>
        <v/>
      </c>
      <c r="E2652" s="32" t="str">
        <f>IF(Table!E2652 = "","",Table!E2652)</f>
        <v/>
      </c>
      <c r="F2652" s="32" t="str">
        <f>IF(Table!F2652 = "","",Table!F2652)</f>
        <v/>
      </c>
      <c r="G2652" s="91"/>
      <c r="K2652" s="31" t="str">
        <f>IFERROR(VLOOKUP(A2652,Table!$I$4:$O$3000,1,TRUE),"")</f>
        <v/>
      </c>
      <c r="L2652" s="31" t="str">
        <f>IFERROR(INDEX(Table!I:O,MATCH(K2652,Table!I:I,0),2),"")</f>
        <v/>
      </c>
      <c r="M2652" s="31" t="str">
        <f>IFERROR(INDEX(Table!I:O,MATCH(K2652,Table!I:I,0),3),"")</f>
        <v/>
      </c>
      <c r="N2652" s="32" t="str">
        <f>IFERROR(INDEX(Table!I:O,MATCH(K2652,Table!I:I,0),4),"")</f>
        <v/>
      </c>
      <c r="O2652" s="32" t="str">
        <f>IFERROR(INDEX(Table!I:O,MATCH(K2652,Table!I:I,0),5),"")</f>
        <v/>
      </c>
      <c r="P2652" s="32" t="str">
        <f>IFERROR(INDEX(Table!I:O,MATCH(K2652,Table!I:I,0),6),"")</f>
        <v/>
      </c>
      <c r="Q2652" s="89" t="str">
        <f t="shared" si="116"/>
        <v/>
      </c>
      <c r="R2652" s="89" t="str">
        <f t="shared" si="117"/>
        <v/>
      </c>
      <c r="S2652" s="82"/>
      <c r="U2652" s="37"/>
    </row>
    <row r="2653" spans="1:21" x14ac:dyDescent="0.25">
      <c r="A2653" s="31" t="str">
        <f>IF(Table!A2653 = "","",Table!A2653)</f>
        <v/>
      </c>
      <c r="B2653" s="31" t="str">
        <f>IF(Table!B2653 = "","",Table!B2653)</f>
        <v/>
      </c>
      <c r="C2653" s="31" t="str">
        <f>IF(Table!C2653 = "","",Table!C2653)</f>
        <v/>
      </c>
      <c r="D2653" s="32" t="str">
        <f>IF(Table!D2653 = "","",Table!D2653)</f>
        <v/>
      </c>
      <c r="E2653" s="32" t="str">
        <f>IF(Table!E2653 = "","",Table!E2653)</f>
        <v/>
      </c>
      <c r="F2653" s="32" t="str">
        <f>IF(Table!F2653 = "","",Table!F2653)</f>
        <v/>
      </c>
      <c r="G2653" s="91"/>
      <c r="K2653" s="31" t="str">
        <f>IFERROR(VLOOKUP(A2653,Table!$I$4:$O$3000,1,TRUE),"")</f>
        <v/>
      </c>
      <c r="L2653" s="31" t="str">
        <f>IFERROR(INDEX(Table!I:O,MATCH(K2653,Table!I:I,0),2),"")</f>
        <v/>
      </c>
      <c r="M2653" s="31" t="str">
        <f>IFERROR(INDEX(Table!I:O,MATCH(K2653,Table!I:I,0),3),"")</f>
        <v/>
      </c>
      <c r="N2653" s="32" t="str">
        <f>IFERROR(INDEX(Table!I:O,MATCH(K2653,Table!I:I,0),4),"")</f>
        <v/>
      </c>
      <c r="O2653" s="32" t="str">
        <f>IFERROR(INDEX(Table!I:O,MATCH(K2653,Table!I:I,0),5),"")</f>
        <v/>
      </c>
      <c r="P2653" s="32" t="str">
        <f>IFERROR(INDEX(Table!I:O,MATCH(K2653,Table!I:I,0),6),"")</f>
        <v/>
      </c>
      <c r="Q2653" s="89" t="str">
        <f t="shared" si="116"/>
        <v/>
      </c>
      <c r="R2653" s="89" t="str">
        <f t="shared" si="117"/>
        <v/>
      </c>
      <c r="S2653" s="82"/>
      <c r="U2653" s="37"/>
    </row>
    <row r="2654" spans="1:21" x14ac:dyDescent="0.25">
      <c r="A2654" s="31" t="str">
        <f>IF(Table!A2654 = "","",Table!A2654)</f>
        <v/>
      </c>
      <c r="B2654" s="31" t="str">
        <f>IF(Table!B2654 = "","",Table!B2654)</f>
        <v/>
      </c>
      <c r="C2654" s="31" t="str">
        <f>IF(Table!C2654 = "","",Table!C2654)</f>
        <v/>
      </c>
      <c r="D2654" s="32" t="str">
        <f>IF(Table!D2654 = "","",Table!D2654)</f>
        <v/>
      </c>
      <c r="E2654" s="32" t="str">
        <f>IF(Table!E2654 = "","",Table!E2654)</f>
        <v/>
      </c>
      <c r="F2654" s="32" t="str">
        <f>IF(Table!F2654 = "","",Table!F2654)</f>
        <v/>
      </c>
      <c r="G2654" s="91"/>
      <c r="K2654" s="31" t="str">
        <f>IFERROR(VLOOKUP(A2654,Table!$I$4:$O$3000,1,TRUE),"")</f>
        <v/>
      </c>
      <c r="L2654" s="31" t="str">
        <f>IFERROR(INDEX(Table!I:O,MATCH(K2654,Table!I:I,0),2),"")</f>
        <v/>
      </c>
      <c r="M2654" s="31" t="str">
        <f>IFERROR(INDEX(Table!I:O,MATCH(K2654,Table!I:I,0),3),"")</f>
        <v/>
      </c>
      <c r="N2654" s="32" t="str">
        <f>IFERROR(INDEX(Table!I:O,MATCH(K2654,Table!I:I,0),4),"")</f>
        <v/>
      </c>
      <c r="O2654" s="32" t="str">
        <f>IFERROR(INDEX(Table!I:O,MATCH(K2654,Table!I:I,0),5),"")</f>
        <v/>
      </c>
      <c r="P2654" s="32" t="str">
        <f>IFERROR(INDEX(Table!I:O,MATCH(K2654,Table!I:I,0),6),"")</f>
        <v/>
      </c>
      <c r="Q2654" s="89" t="str">
        <f t="shared" si="116"/>
        <v/>
      </c>
      <c r="R2654" s="89" t="str">
        <f t="shared" si="117"/>
        <v/>
      </c>
      <c r="S2654" s="82"/>
      <c r="U2654" s="37"/>
    </row>
    <row r="2655" spans="1:21" x14ac:dyDescent="0.25">
      <c r="A2655" s="31" t="str">
        <f>IF(Table!A2655 = "","",Table!A2655)</f>
        <v/>
      </c>
      <c r="B2655" s="31" t="str">
        <f>IF(Table!B2655 = "","",Table!B2655)</f>
        <v/>
      </c>
      <c r="C2655" s="31" t="str">
        <f>IF(Table!C2655 = "","",Table!C2655)</f>
        <v/>
      </c>
      <c r="D2655" s="32" t="str">
        <f>IF(Table!D2655 = "","",Table!D2655)</f>
        <v/>
      </c>
      <c r="E2655" s="32" t="str">
        <f>IF(Table!E2655 = "","",Table!E2655)</f>
        <v/>
      </c>
      <c r="F2655" s="32" t="str">
        <f>IF(Table!F2655 = "","",Table!F2655)</f>
        <v/>
      </c>
      <c r="G2655" s="91"/>
      <c r="K2655" s="31" t="str">
        <f>IFERROR(VLOOKUP(A2655,Table!$I$4:$O$3000,1,TRUE),"")</f>
        <v/>
      </c>
      <c r="L2655" s="31" t="str">
        <f>IFERROR(INDEX(Table!I:O,MATCH(K2655,Table!I:I,0),2),"")</f>
        <v/>
      </c>
      <c r="M2655" s="31" t="str">
        <f>IFERROR(INDEX(Table!I:O,MATCH(K2655,Table!I:I,0),3),"")</f>
        <v/>
      </c>
      <c r="N2655" s="32" t="str">
        <f>IFERROR(INDEX(Table!I:O,MATCH(K2655,Table!I:I,0),4),"")</f>
        <v/>
      </c>
      <c r="O2655" s="32" t="str">
        <f>IFERROR(INDEX(Table!I:O,MATCH(K2655,Table!I:I,0),5),"")</f>
        <v/>
      </c>
      <c r="P2655" s="32" t="str">
        <f>IFERROR(INDEX(Table!I:O,MATCH(K2655,Table!I:I,0),6),"")</f>
        <v/>
      </c>
      <c r="Q2655" s="89" t="str">
        <f t="shared" si="116"/>
        <v/>
      </c>
      <c r="R2655" s="89" t="str">
        <f t="shared" si="117"/>
        <v/>
      </c>
      <c r="S2655" s="82"/>
      <c r="U2655" s="37"/>
    </row>
    <row r="2656" spans="1:21" x14ac:dyDescent="0.25">
      <c r="A2656" s="31" t="str">
        <f>IF(Table!A2656 = "","",Table!A2656)</f>
        <v/>
      </c>
      <c r="B2656" s="31" t="str">
        <f>IF(Table!B2656 = "","",Table!B2656)</f>
        <v/>
      </c>
      <c r="C2656" s="31" t="str">
        <f>IF(Table!C2656 = "","",Table!C2656)</f>
        <v/>
      </c>
      <c r="D2656" s="32" t="str">
        <f>IF(Table!D2656 = "","",Table!D2656)</f>
        <v/>
      </c>
      <c r="E2656" s="32" t="str">
        <f>IF(Table!E2656 = "","",Table!E2656)</f>
        <v/>
      </c>
      <c r="F2656" s="32" t="str">
        <f>IF(Table!F2656 = "","",Table!F2656)</f>
        <v/>
      </c>
      <c r="G2656" s="91"/>
      <c r="K2656" s="31" t="str">
        <f>IFERROR(VLOOKUP(A2656,Table!$I$4:$O$3000,1,TRUE),"")</f>
        <v/>
      </c>
      <c r="L2656" s="31" t="str">
        <f>IFERROR(INDEX(Table!I:O,MATCH(K2656,Table!I:I,0),2),"")</f>
        <v/>
      </c>
      <c r="M2656" s="31" t="str">
        <f>IFERROR(INDEX(Table!I:O,MATCH(K2656,Table!I:I,0),3),"")</f>
        <v/>
      </c>
      <c r="N2656" s="32" t="str">
        <f>IFERROR(INDEX(Table!I:O,MATCH(K2656,Table!I:I,0),4),"")</f>
        <v/>
      </c>
      <c r="O2656" s="32" t="str">
        <f>IFERROR(INDEX(Table!I:O,MATCH(K2656,Table!I:I,0),5),"")</f>
        <v/>
      </c>
      <c r="P2656" s="32" t="str">
        <f>IFERROR(INDEX(Table!I:O,MATCH(K2656,Table!I:I,0),6),"")</f>
        <v/>
      </c>
      <c r="Q2656" s="89" t="str">
        <f t="shared" si="116"/>
        <v/>
      </c>
      <c r="R2656" s="89" t="str">
        <f t="shared" si="117"/>
        <v/>
      </c>
      <c r="S2656" s="82"/>
      <c r="U2656" s="37"/>
    </row>
    <row r="2657" spans="1:21" x14ac:dyDescent="0.25">
      <c r="A2657" s="31" t="str">
        <f>IF(Table!A2657 = "","",Table!A2657)</f>
        <v/>
      </c>
      <c r="B2657" s="31" t="str">
        <f>IF(Table!B2657 = "","",Table!B2657)</f>
        <v/>
      </c>
      <c r="C2657" s="31" t="str">
        <f>IF(Table!C2657 = "","",Table!C2657)</f>
        <v/>
      </c>
      <c r="D2657" s="32" t="str">
        <f>IF(Table!D2657 = "","",Table!D2657)</f>
        <v/>
      </c>
      <c r="E2657" s="32" t="str">
        <f>IF(Table!E2657 = "","",Table!E2657)</f>
        <v/>
      </c>
      <c r="F2657" s="32" t="str">
        <f>IF(Table!F2657 = "","",Table!F2657)</f>
        <v/>
      </c>
      <c r="G2657" s="91"/>
      <c r="K2657" s="31" t="str">
        <f>IFERROR(VLOOKUP(A2657,Table!$I$4:$O$3000,1,TRUE),"")</f>
        <v/>
      </c>
      <c r="L2657" s="31" t="str">
        <f>IFERROR(INDEX(Table!I:O,MATCH(K2657,Table!I:I,0),2),"")</f>
        <v/>
      </c>
      <c r="M2657" s="31" t="str">
        <f>IFERROR(INDEX(Table!I:O,MATCH(K2657,Table!I:I,0),3),"")</f>
        <v/>
      </c>
      <c r="N2657" s="32" t="str">
        <f>IFERROR(INDEX(Table!I:O,MATCH(K2657,Table!I:I,0),4),"")</f>
        <v/>
      </c>
      <c r="O2657" s="32" t="str">
        <f>IFERROR(INDEX(Table!I:O,MATCH(K2657,Table!I:I,0),5),"")</f>
        <v/>
      </c>
      <c r="P2657" s="32" t="str">
        <f>IFERROR(INDEX(Table!I:O,MATCH(K2657,Table!I:I,0),6),"")</f>
        <v/>
      </c>
      <c r="Q2657" s="89" t="str">
        <f t="shared" si="116"/>
        <v/>
      </c>
      <c r="R2657" s="89" t="str">
        <f t="shared" si="117"/>
        <v/>
      </c>
      <c r="S2657" s="82"/>
      <c r="U2657" s="37"/>
    </row>
    <row r="2658" spans="1:21" x14ac:dyDescent="0.25">
      <c r="A2658" s="31" t="str">
        <f>IF(Table!A2658 = "","",Table!A2658)</f>
        <v/>
      </c>
      <c r="B2658" s="31" t="str">
        <f>IF(Table!B2658 = "","",Table!B2658)</f>
        <v/>
      </c>
      <c r="C2658" s="31" t="str">
        <f>IF(Table!C2658 = "","",Table!C2658)</f>
        <v/>
      </c>
      <c r="D2658" s="32" t="str">
        <f>IF(Table!D2658 = "","",Table!D2658)</f>
        <v/>
      </c>
      <c r="E2658" s="32" t="str">
        <f>IF(Table!E2658 = "","",Table!E2658)</f>
        <v/>
      </c>
      <c r="F2658" s="32" t="str">
        <f>IF(Table!F2658 = "","",Table!F2658)</f>
        <v/>
      </c>
      <c r="G2658" s="91"/>
      <c r="K2658" s="31" t="str">
        <f>IFERROR(VLOOKUP(A2658,Table!$I$4:$O$3000,1,TRUE),"")</f>
        <v/>
      </c>
      <c r="L2658" s="31" t="str">
        <f>IFERROR(INDEX(Table!I:O,MATCH(K2658,Table!I:I,0),2),"")</f>
        <v/>
      </c>
      <c r="M2658" s="31" t="str">
        <f>IFERROR(INDEX(Table!I:O,MATCH(K2658,Table!I:I,0),3),"")</f>
        <v/>
      </c>
      <c r="N2658" s="32" t="str">
        <f>IFERROR(INDEX(Table!I:O,MATCH(K2658,Table!I:I,0),4),"")</f>
        <v/>
      </c>
      <c r="O2658" s="32" t="str">
        <f>IFERROR(INDEX(Table!I:O,MATCH(K2658,Table!I:I,0),5),"")</f>
        <v/>
      </c>
      <c r="P2658" s="32" t="str">
        <f>IFERROR(INDEX(Table!I:O,MATCH(K2658,Table!I:I,0),6),"")</f>
        <v/>
      </c>
      <c r="Q2658" s="89" t="str">
        <f t="shared" si="116"/>
        <v/>
      </c>
      <c r="R2658" s="89" t="str">
        <f t="shared" si="117"/>
        <v/>
      </c>
      <c r="S2658" s="82"/>
      <c r="U2658" s="37"/>
    </row>
    <row r="2659" spans="1:21" x14ac:dyDescent="0.25">
      <c r="A2659" s="31" t="str">
        <f>IF(Table!A2659 = "","",Table!A2659)</f>
        <v/>
      </c>
      <c r="B2659" s="31" t="str">
        <f>IF(Table!B2659 = "","",Table!B2659)</f>
        <v/>
      </c>
      <c r="C2659" s="31" t="str">
        <f>IF(Table!C2659 = "","",Table!C2659)</f>
        <v/>
      </c>
      <c r="D2659" s="32" t="str">
        <f>IF(Table!D2659 = "","",Table!D2659)</f>
        <v/>
      </c>
      <c r="E2659" s="32" t="str">
        <f>IF(Table!E2659 = "","",Table!E2659)</f>
        <v/>
      </c>
      <c r="F2659" s="32" t="str">
        <f>IF(Table!F2659 = "","",Table!F2659)</f>
        <v/>
      </c>
      <c r="G2659" s="91"/>
      <c r="K2659" s="31" t="str">
        <f>IFERROR(VLOOKUP(A2659,Table!$I$4:$O$3000,1,TRUE),"")</f>
        <v/>
      </c>
      <c r="L2659" s="31" t="str">
        <f>IFERROR(INDEX(Table!I:O,MATCH(K2659,Table!I:I,0),2),"")</f>
        <v/>
      </c>
      <c r="M2659" s="31" t="str">
        <f>IFERROR(INDEX(Table!I:O,MATCH(K2659,Table!I:I,0),3),"")</f>
        <v/>
      </c>
      <c r="N2659" s="32" t="str">
        <f>IFERROR(INDEX(Table!I:O,MATCH(K2659,Table!I:I,0),4),"")</f>
        <v/>
      </c>
      <c r="O2659" s="32" t="str">
        <f>IFERROR(INDEX(Table!I:O,MATCH(K2659,Table!I:I,0),5),"")</f>
        <v/>
      </c>
      <c r="P2659" s="32" t="str">
        <f>IFERROR(INDEX(Table!I:O,MATCH(K2659,Table!I:I,0),6),"")</f>
        <v/>
      </c>
      <c r="Q2659" s="89" t="str">
        <f t="shared" si="116"/>
        <v/>
      </c>
      <c r="R2659" s="89" t="str">
        <f t="shared" si="117"/>
        <v/>
      </c>
      <c r="S2659" s="82"/>
      <c r="U2659" s="37"/>
    </row>
    <row r="2660" spans="1:21" x14ac:dyDescent="0.25">
      <c r="A2660" s="31" t="str">
        <f>IF(Table!A2660 = "","",Table!A2660)</f>
        <v/>
      </c>
      <c r="B2660" s="31" t="str">
        <f>IF(Table!B2660 = "","",Table!B2660)</f>
        <v/>
      </c>
      <c r="C2660" s="31" t="str">
        <f>IF(Table!C2660 = "","",Table!C2660)</f>
        <v/>
      </c>
      <c r="D2660" s="32" t="str">
        <f>IF(Table!D2660 = "","",Table!D2660)</f>
        <v/>
      </c>
      <c r="E2660" s="32" t="str">
        <f>IF(Table!E2660 = "","",Table!E2660)</f>
        <v/>
      </c>
      <c r="F2660" s="32" t="str">
        <f>IF(Table!F2660 = "","",Table!F2660)</f>
        <v/>
      </c>
      <c r="G2660" s="91"/>
      <c r="K2660" s="31" t="str">
        <f>IFERROR(VLOOKUP(A2660,Table!$I$4:$O$3000,1,TRUE),"")</f>
        <v/>
      </c>
      <c r="L2660" s="31" t="str">
        <f>IFERROR(INDEX(Table!I:O,MATCH(K2660,Table!I:I,0),2),"")</f>
        <v/>
      </c>
      <c r="M2660" s="31" t="str">
        <f>IFERROR(INDEX(Table!I:O,MATCH(K2660,Table!I:I,0),3),"")</f>
        <v/>
      </c>
      <c r="N2660" s="32" t="str">
        <f>IFERROR(INDEX(Table!I:O,MATCH(K2660,Table!I:I,0),4),"")</f>
        <v/>
      </c>
      <c r="O2660" s="32" t="str">
        <f>IFERROR(INDEX(Table!I:O,MATCH(K2660,Table!I:I,0),5),"")</f>
        <v/>
      </c>
      <c r="P2660" s="32" t="str">
        <f>IFERROR(INDEX(Table!I:O,MATCH(K2660,Table!I:I,0),6),"")</f>
        <v/>
      </c>
      <c r="Q2660" s="89" t="str">
        <f t="shared" si="116"/>
        <v/>
      </c>
      <c r="R2660" s="89" t="str">
        <f t="shared" si="117"/>
        <v/>
      </c>
      <c r="S2660" s="82"/>
      <c r="U2660" s="37"/>
    </row>
    <row r="2661" spans="1:21" x14ac:dyDescent="0.25">
      <c r="A2661" s="31" t="str">
        <f>IF(Table!A2661 = "","",Table!A2661)</f>
        <v/>
      </c>
      <c r="B2661" s="31" t="str">
        <f>IF(Table!B2661 = "","",Table!B2661)</f>
        <v/>
      </c>
      <c r="C2661" s="31" t="str">
        <f>IF(Table!C2661 = "","",Table!C2661)</f>
        <v/>
      </c>
      <c r="D2661" s="32" t="str">
        <f>IF(Table!D2661 = "","",Table!D2661)</f>
        <v/>
      </c>
      <c r="E2661" s="32" t="str">
        <f>IF(Table!E2661 = "","",Table!E2661)</f>
        <v/>
      </c>
      <c r="F2661" s="32" t="str">
        <f>IF(Table!F2661 = "","",Table!F2661)</f>
        <v/>
      </c>
      <c r="G2661" s="91"/>
      <c r="K2661" s="31" t="str">
        <f>IFERROR(VLOOKUP(A2661,Table!$I$4:$O$3000,1,TRUE),"")</f>
        <v/>
      </c>
      <c r="L2661" s="31" t="str">
        <f>IFERROR(INDEX(Table!I:O,MATCH(K2661,Table!I:I,0),2),"")</f>
        <v/>
      </c>
      <c r="M2661" s="31" t="str">
        <f>IFERROR(INDEX(Table!I:O,MATCH(K2661,Table!I:I,0),3),"")</f>
        <v/>
      </c>
      <c r="N2661" s="32" t="str">
        <f>IFERROR(INDEX(Table!I:O,MATCH(K2661,Table!I:I,0),4),"")</f>
        <v/>
      </c>
      <c r="O2661" s="32" t="str">
        <f>IFERROR(INDEX(Table!I:O,MATCH(K2661,Table!I:I,0),5),"")</f>
        <v/>
      </c>
      <c r="P2661" s="32" t="str">
        <f>IFERROR(INDEX(Table!I:O,MATCH(K2661,Table!I:I,0),6),"")</f>
        <v/>
      </c>
      <c r="Q2661" s="89" t="str">
        <f t="shared" si="116"/>
        <v/>
      </c>
      <c r="R2661" s="89" t="str">
        <f t="shared" si="117"/>
        <v/>
      </c>
      <c r="S2661" s="82"/>
      <c r="U2661" s="37"/>
    </row>
    <row r="2662" spans="1:21" x14ac:dyDescent="0.25">
      <c r="A2662" s="31" t="str">
        <f>IF(Table!A2662 = "","",Table!A2662)</f>
        <v/>
      </c>
      <c r="B2662" s="31" t="str">
        <f>IF(Table!B2662 = "","",Table!B2662)</f>
        <v/>
      </c>
      <c r="C2662" s="31" t="str">
        <f>IF(Table!C2662 = "","",Table!C2662)</f>
        <v/>
      </c>
      <c r="D2662" s="32" t="str">
        <f>IF(Table!D2662 = "","",Table!D2662)</f>
        <v/>
      </c>
      <c r="E2662" s="32" t="str">
        <f>IF(Table!E2662 = "","",Table!E2662)</f>
        <v/>
      </c>
      <c r="F2662" s="32" t="str">
        <f>IF(Table!F2662 = "","",Table!F2662)</f>
        <v/>
      </c>
      <c r="G2662" s="91"/>
      <c r="K2662" s="31" t="str">
        <f>IFERROR(VLOOKUP(A2662,Table!$I$4:$O$3000,1,TRUE),"")</f>
        <v/>
      </c>
      <c r="L2662" s="31" t="str">
        <f>IFERROR(INDEX(Table!I:O,MATCH(K2662,Table!I:I,0),2),"")</f>
        <v/>
      </c>
      <c r="M2662" s="31" t="str">
        <f>IFERROR(INDEX(Table!I:O,MATCH(K2662,Table!I:I,0),3),"")</f>
        <v/>
      </c>
      <c r="N2662" s="32" t="str">
        <f>IFERROR(INDEX(Table!I:O,MATCH(K2662,Table!I:I,0),4),"")</f>
        <v/>
      </c>
      <c r="O2662" s="32" t="str">
        <f>IFERROR(INDEX(Table!I:O,MATCH(K2662,Table!I:I,0),5),"")</f>
        <v/>
      </c>
      <c r="P2662" s="32" t="str">
        <f>IFERROR(INDEX(Table!I:O,MATCH(K2662,Table!I:I,0),6),"")</f>
        <v/>
      </c>
      <c r="Q2662" s="89" t="str">
        <f t="shared" si="116"/>
        <v/>
      </c>
      <c r="R2662" s="89" t="str">
        <f t="shared" si="117"/>
        <v/>
      </c>
      <c r="S2662" s="82"/>
      <c r="U2662" s="37"/>
    </row>
    <row r="2663" spans="1:21" x14ac:dyDescent="0.25">
      <c r="A2663" s="31" t="str">
        <f>IF(Table!A2663 = "","",Table!A2663)</f>
        <v/>
      </c>
      <c r="B2663" s="31" t="str">
        <f>IF(Table!B2663 = "","",Table!B2663)</f>
        <v/>
      </c>
      <c r="C2663" s="31" t="str">
        <f>IF(Table!C2663 = "","",Table!C2663)</f>
        <v/>
      </c>
      <c r="D2663" s="32" t="str">
        <f>IF(Table!D2663 = "","",Table!D2663)</f>
        <v/>
      </c>
      <c r="E2663" s="32" t="str">
        <f>IF(Table!E2663 = "","",Table!E2663)</f>
        <v/>
      </c>
      <c r="F2663" s="32" t="str">
        <f>IF(Table!F2663 = "","",Table!F2663)</f>
        <v/>
      </c>
      <c r="G2663" s="91"/>
      <c r="K2663" s="31" t="str">
        <f>IFERROR(VLOOKUP(A2663,Table!$I$4:$O$3000,1,TRUE),"")</f>
        <v/>
      </c>
      <c r="L2663" s="31" t="str">
        <f>IFERROR(INDEX(Table!I:O,MATCH(K2663,Table!I:I,0),2),"")</f>
        <v/>
      </c>
      <c r="M2663" s="31" t="str">
        <f>IFERROR(INDEX(Table!I:O,MATCH(K2663,Table!I:I,0),3),"")</f>
        <v/>
      </c>
      <c r="N2663" s="32" t="str">
        <f>IFERROR(INDEX(Table!I:O,MATCH(K2663,Table!I:I,0),4),"")</f>
        <v/>
      </c>
      <c r="O2663" s="32" t="str">
        <f>IFERROR(INDEX(Table!I:O,MATCH(K2663,Table!I:I,0),5),"")</f>
        <v/>
      </c>
      <c r="P2663" s="32" t="str">
        <f>IFERROR(INDEX(Table!I:O,MATCH(K2663,Table!I:I,0),6),"")</f>
        <v/>
      </c>
      <c r="Q2663" s="89" t="str">
        <f t="shared" si="116"/>
        <v/>
      </c>
      <c r="R2663" s="89" t="str">
        <f t="shared" si="117"/>
        <v/>
      </c>
      <c r="S2663" s="82"/>
      <c r="U2663" s="37"/>
    </row>
    <row r="2664" spans="1:21" x14ac:dyDescent="0.25">
      <c r="A2664" s="31" t="str">
        <f>IF(Table!A2664 = "","",Table!A2664)</f>
        <v/>
      </c>
      <c r="B2664" s="31" t="str">
        <f>IF(Table!B2664 = "","",Table!B2664)</f>
        <v/>
      </c>
      <c r="C2664" s="31" t="str">
        <f>IF(Table!C2664 = "","",Table!C2664)</f>
        <v/>
      </c>
      <c r="D2664" s="32" t="str">
        <f>IF(Table!D2664 = "","",Table!D2664)</f>
        <v/>
      </c>
      <c r="E2664" s="32" t="str">
        <f>IF(Table!E2664 = "","",Table!E2664)</f>
        <v/>
      </c>
      <c r="F2664" s="32" t="str">
        <f>IF(Table!F2664 = "","",Table!F2664)</f>
        <v/>
      </c>
      <c r="G2664" s="91"/>
      <c r="K2664" s="31" t="str">
        <f>IFERROR(VLOOKUP(A2664,Table!$I$4:$O$3000,1,TRUE),"")</f>
        <v/>
      </c>
      <c r="L2664" s="31" t="str">
        <f>IFERROR(INDEX(Table!I:O,MATCH(K2664,Table!I:I,0),2),"")</f>
        <v/>
      </c>
      <c r="M2664" s="31" t="str">
        <f>IFERROR(INDEX(Table!I:O,MATCH(K2664,Table!I:I,0),3),"")</f>
        <v/>
      </c>
      <c r="N2664" s="32" t="str">
        <f>IFERROR(INDEX(Table!I:O,MATCH(K2664,Table!I:I,0),4),"")</f>
        <v/>
      </c>
      <c r="O2664" s="32" t="str">
        <f>IFERROR(INDEX(Table!I:O,MATCH(K2664,Table!I:I,0),5),"")</f>
        <v/>
      </c>
      <c r="P2664" s="32" t="str">
        <f>IFERROR(INDEX(Table!I:O,MATCH(K2664,Table!I:I,0),6),"")</f>
        <v/>
      </c>
      <c r="Q2664" s="89" t="str">
        <f t="shared" si="116"/>
        <v/>
      </c>
      <c r="R2664" s="89" t="str">
        <f t="shared" si="117"/>
        <v/>
      </c>
      <c r="S2664" s="82"/>
      <c r="U2664" s="37"/>
    </row>
    <row r="2665" spans="1:21" x14ac:dyDescent="0.25">
      <c r="A2665" s="31" t="str">
        <f>IF(Table!A2665 = "","",Table!A2665)</f>
        <v/>
      </c>
      <c r="B2665" s="31" t="str">
        <f>IF(Table!B2665 = "","",Table!B2665)</f>
        <v/>
      </c>
      <c r="C2665" s="31" t="str">
        <f>IF(Table!C2665 = "","",Table!C2665)</f>
        <v/>
      </c>
      <c r="D2665" s="32" t="str">
        <f>IF(Table!D2665 = "","",Table!D2665)</f>
        <v/>
      </c>
      <c r="E2665" s="32" t="str">
        <f>IF(Table!E2665 = "","",Table!E2665)</f>
        <v/>
      </c>
      <c r="F2665" s="32" t="str">
        <f>IF(Table!F2665 = "","",Table!F2665)</f>
        <v/>
      </c>
      <c r="G2665" s="91"/>
      <c r="K2665" s="31" t="str">
        <f>IFERROR(VLOOKUP(A2665,Table!$I$4:$O$3000,1,TRUE),"")</f>
        <v/>
      </c>
      <c r="L2665" s="31" t="str">
        <f>IFERROR(INDEX(Table!I:O,MATCH(K2665,Table!I:I,0),2),"")</f>
        <v/>
      </c>
      <c r="M2665" s="31" t="str">
        <f>IFERROR(INDEX(Table!I:O,MATCH(K2665,Table!I:I,0),3),"")</f>
        <v/>
      </c>
      <c r="N2665" s="32" t="str">
        <f>IFERROR(INDEX(Table!I:O,MATCH(K2665,Table!I:I,0),4),"")</f>
        <v/>
      </c>
      <c r="O2665" s="32" t="str">
        <f>IFERROR(INDEX(Table!I:O,MATCH(K2665,Table!I:I,0),5),"")</f>
        <v/>
      </c>
      <c r="P2665" s="32" t="str">
        <f>IFERROR(INDEX(Table!I:O,MATCH(K2665,Table!I:I,0),6),"")</f>
        <v/>
      </c>
      <c r="Q2665" s="89" t="str">
        <f t="shared" si="116"/>
        <v/>
      </c>
      <c r="R2665" s="89" t="str">
        <f t="shared" si="117"/>
        <v/>
      </c>
      <c r="S2665" s="82"/>
      <c r="U2665" s="37"/>
    </row>
    <row r="2666" spans="1:21" x14ac:dyDescent="0.25">
      <c r="A2666" s="31" t="str">
        <f>IF(Table!A2666 = "","",Table!A2666)</f>
        <v/>
      </c>
      <c r="B2666" s="31" t="str">
        <f>IF(Table!B2666 = "","",Table!B2666)</f>
        <v/>
      </c>
      <c r="C2666" s="31" t="str">
        <f>IF(Table!C2666 = "","",Table!C2666)</f>
        <v/>
      </c>
      <c r="D2666" s="32" t="str">
        <f>IF(Table!D2666 = "","",Table!D2666)</f>
        <v/>
      </c>
      <c r="E2666" s="32" t="str">
        <f>IF(Table!E2666 = "","",Table!E2666)</f>
        <v/>
      </c>
      <c r="F2666" s="32" t="str">
        <f>IF(Table!F2666 = "","",Table!F2666)</f>
        <v/>
      </c>
      <c r="G2666" s="91"/>
      <c r="K2666" s="31" t="str">
        <f>IFERROR(VLOOKUP(A2666,Table!$I$4:$O$3000,1,TRUE),"")</f>
        <v/>
      </c>
      <c r="L2666" s="31" t="str">
        <f>IFERROR(INDEX(Table!I:O,MATCH(K2666,Table!I:I,0),2),"")</f>
        <v/>
      </c>
      <c r="M2666" s="31" t="str">
        <f>IFERROR(INDEX(Table!I:O,MATCH(K2666,Table!I:I,0),3),"")</f>
        <v/>
      </c>
      <c r="N2666" s="32" t="str">
        <f>IFERROR(INDEX(Table!I:O,MATCH(K2666,Table!I:I,0),4),"")</f>
        <v/>
      </c>
      <c r="O2666" s="32" t="str">
        <f>IFERROR(INDEX(Table!I:O,MATCH(K2666,Table!I:I,0),5),"")</f>
        <v/>
      </c>
      <c r="P2666" s="32" t="str">
        <f>IFERROR(INDEX(Table!I:O,MATCH(K2666,Table!I:I,0),6),"")</f>
        <v/>
      </c>
      <c r="Q2666" s="89" t="str">
        <f t="shared" si="116"/>
        <v/>
      </c>
      <c r="R2666" s="89" t="str">
        <f t="shared" si="117"/>
        <v/>
      </c>
      <c r="S2666" s="82"/>
      <c r="U2666" s="37"/>
    </row>
    <row r="2667" spans="1:21" x14ac:dyDescent="0.25">
      <c r="A2667" s="31" t="str">
        <f>IF(Table!A2667 = "","",Table!A2667)</f>
        <v/>
      </c>
      <c r="B2667" s="31" t="str">
        <f>IF(Table!B2667 = "","",Table!B2667)</f>
        <v/>
      </c>
      <c r="C2667" s="31" t="str">
        <f>IF(Table!C2667 = "","",Table!C2667)</f>
        <v/>
      </c>
      <c r="D2667" s="32" t="str">
        <f>IF(Table!D2667 = "","",Table!D2667)</f>
        <v/>
      </c>
      <c r="E2667" s="32" t="str">
        <f>IF(Table!E2667 = "","",Table!E2667)</f>
        <v/>
      </c>
      <c r="F2667" s="32" t="str">
        <f>IF(Table!F2667 = "","",Table!F2667)</f>
        <v/>
      </c>
      <c r="G2667" s="91"/>
      <c r="K2667" s="31" t="str">
        <f>IFERROR(VLOOKUP(A2667,Table!$I$4:$O$3000,1,TRUE),"")</f>
        <v/>
      </c>
      <c r="L2667" s="31" t="str">
        <f>IFERROR(INDEX(Table!I:O,MATCH(K2667,Table!I:I,0),2),"")</f>
        <v/>
      </c>
      <c r="M2667" s="31" t="str">
        <f>IFERROR(INDEX(Table!I:O,MATCH(K2667,Table!I:I,0),3),"")</f>
        <v/>
      </c>
      <c r="N2667" s="32" t="str">
        <f>IFERROR(INDEX(Table!I:O,MATCH(K2667,Table!I:I,0),4),"")</f>
        <v/>
      </c>
      <c r="O2667" s="32" t="str">
        <f>IFERROR(INDEX(Table!I:O,MATCH(K2667,Table!I:I,0),5),"")</f>
        <v/>
      </c>
      <c r="P2667" s="32" t="str">
        <f>IFERROR(INDEX(Table!I:O,MATCH(K2667,Table!I:I,0),6),"")</f>
        <v/>
      </c>
      <c r="Q2667" s="89" t="str">
        <f t="shared" si="116"/>
        <v/>
      </c>
      <c r="R2667" s="89" t="str">
        <f t="shared" si="117"/>
        <v/>
      </c>
      <c r="S2667" s="82"/>
      <c r="U2667" s="37"/>
    </row>
    <row r="2668" spans="1:21" x14ac:dyDescent="0.25">
      <c r="A2668" s="31" t="str">
        <f>IF(Table!A2668 = "","",Table!A2668)</f>
        <v/>
      </c>
      <c r="B2668" s="31" t="str">
        <f>IF(Table!B2668 = "","",Table!B2668)</f>
        <v/>
      </c>
      <c r="C2668" s="31" t="str">
        <f>IF(Table!C2668 = "","",Table!C2668)</f>
        <v/>
      </c>
      <c r="D2668" s="32" t="str">
        <f>IF(Table!D2668 = "","",Table!D2668)</f>
        <v/>
      </c>
      <c r="E2668" s="32" t="str">
        <f>IF(Table!E2668 = "","",Table!E2668)</f>
        <v/>
      </c>
      <c r="F2668" s="32" t="str">
        <f>IF(Table!F2668 = "","",Table!F2668)</f>
        <v/>
      </c>
      <c r="G2668" s="91"/>
      <c r="K2668" s="31" t="str">
        <f>IFERROR(VLOOKUP(A2668,Table!$I$4:$O$3000,1,TRUE),"")</f>
        <v/>
      </c>
      <c r="L2668" s="31" t="str">
        <f>IFERROR(INDEX(Table!I:O,MATCH(K2668,Table!I:I,0),2),"")</f>
        <v/>
      </c>
      <c r="M2668" s="31" t="str">
        <f>IFERROR(INDEX(Table!I:O,MATCH(K2668,Table!I:I,0),3),"")</f>
        <v/>
      </c>
      <c r="N2668" s="32" t="str">
        <f>IFERROR(INDEX(Table!I:O,MATCH(K2668,Table!I:I,0),4),"")</f>
        <v/>
      </c>
      <c r="O2668" s="32" t="str">
        <f>IFERROR(INDEX(Table!I:O,MATCH(K2668,Table!I:I,0),5),"")</f>
        <v/>
      </c>
      <c r="P2668" s="32" t="str">
        <f>IFERROR(INDEX(Table!I:O,MATCH(K2668,Table!I:I,0),6),"")</f>
        <v/>
      </c>
      <c r="Q2668" s="89" t="str">
        <f t="shared" si="116"/>
        <v/>
      </c>
      <c r="R2668" s="89" t="str">
        <f t="shared" si="117"/>
        <v/>
      </c>
      <c r="S2668" s="82"/>
      <c r="U2668" s="37"/>
    </row>
    <row r="2669" spans="1:21" x14ac:dyDescent="0.25">
      <c r="A2669" s="31" t="str">
        <f>IF(Table!A2669 = "","",Table!A2669)</f>
        <v/>
      </c>
      <c r="B2669" s="31" t="str">
        <f>IF(Table!B2669 = "","",Table!B2669)</f>
        <v/>
      </c>
      <c r="C2669" s="31" t="str">
        <f>IF(Table!C2669 = "","",Table!C2669)</f>
        <v/>
      </c>
      <c r="D2669" s="32" t="str">
        <f>IF(Table!D2669 = "","",Table!D2669)</f>
        <v/>
      </c>
      <c r="E2669" s="32" t="str">
        <f>IF(Table!E2669 = "","",Table!E2669)</f>
        <v/>
      </c>
      <c r="F2669" s="32" t="str">
        <f>IF(Table!F2669 = "","",Table!F2669)</f>
        <v/>
      </c>
      <c r="G2669" s="91"/>
      <c r="K2669" s="31" t="str">
        <f>IFERROR(VLOOKUP(A2669,Table!$I$4:$O$3000,1,TRUE),"")</f>
        <v/>
      </c>
      <c r="L2669" s="31" t="str">
        <f>IFERROR(INDEX(Table!I:O,MATCH(K2669,Table!I:I,0),2),"")</f>
        <v/>
      </c>
      <c r="M2669" s="31" t="str">
        <f>IFERROR(INDEX(Table!I:O,MATCH(K2669,Table!I:I,0),3),"")</f>
        <v/>
      </c>
      <c r="N2669" s="32" t="str">
        <f>IFERROR(INDEX(Table!I:O,MATCH(K2669,Table!I:I,0),4),"")</f>
        <v/>
      </c>
      <c r="O2669" s="32" t="str">
        <f>IFERROR(INDEX(Table!I:O,MATCH(K2669,Table!I:I,0),5),"")</f>
        <v/>
      </c>
      <c r="P2669" s="32" t="str">
        <f>IFERROR(INDEX(Table!I:O,MATCH(K2669,Table!I:I,0),6),"")</f>
        <v/>
      </c>
      <c r="Q2669" s="89" t="str">
        <f t="shared" si="116"/>
        <v/>
      </c>
      <c r="R2669" s="89" t="str">
        <f t="shared" si="117"/>
        <v/>
      </c>
      <c r="S2669" s="82"/>
      <c r="U2669" s="37"/>
    </row>
    <row r="2670" spans="1:21" x14ac:dyDescent="0.25">
      <c r="A2670" s="31" t="str">
        <f>IF(Table!A2670 = "","",Table!A2670)</f>
        <v/>
      </c>
      <c r="B2670" s="31" t="str">
        <f>IF(Table!B2670 = "","",Table!B2670)</f>
        <v/>
      </c>
      <c r="C2670" s="31" t="str">
        <f>IF(Table!C2670 = "","",Table!C2670)</f>
        <v/>
      </c>
      <c r="D2670" s="32" t="str">
        <f>IF(Table!D2670 = "","",Table!D2670)</f>
        <v/>
      </c>
      <c r="E2670" s="32" t="str">
        <f>IF(Table!E2670 = "","",Table!E2670)</f>
        <v/>
      </c>
      <c r="F2670" s="32" t="str">
        <f>IF(Table!F2670 = "","",Table!F2670)</f>
        <v/>
      </c>
      <c r="G2670" s="91"/>
      <c r="K2670" s="31" t="str">
        <f>IFERROR(VLOOKUP(A2670,Table!$I$4:$O$3000,1,TRUE),"")</f>
        <v/>
      </c>
      <c r="L2670" s="31" t="str">
        <f>IFERROR(INDEX(Table!I:O,MATCH(K2670,Table!I:I,0),2),"")</f>
        <v/>
      </c>
      <c r="M2670" s="31" t="str">
        <f>IFERROR(INDEX(Table!I:O,MATCH(K2670,Table!I:I,0),3),"")</f>
        <v/>
      </c>
      <c r="N2670" s="32" t="str">
        <f>IFERROR(INDEX(Table!I:O,MATCH(K2670,Table!I:I,0),4),"")</f>
        <v/>
      </c>
      <c r="O2670" s="32" t="str">
        <f>IFERROR(INDEX(Table!I:O,MATCH(K2670,Table!I:I,0),5),"")</f>
        <v/>
      </c>
      <c r="P2670" s="32" t="str">
        <f>IFERROR(INDEX(Table!I:O,MATCH(K2670,Table!I:I,0),6),"")</f>
        <v/>
      </c>
      <c r="Q2670" s="89" t="str">
        <f t="shared" si="116"/>
        <v/>
      </c>
      <c r="R2670" s="89" t="str">
        <f t="shared" si="117"/>
        <v/>
      </c>
      <c r="S2670" s="82"/>
      <c r="U2670" s="37"/>
    </row>
    <row r="2671" spans="1:21" x14ac:dyDescent="0.25">
      <c r="A2671" s="31" t="str">
        <f>IF(Table!A2671 = "","",Table!A2671)</f>
        <v/>
      </c>
      <c r="B2671" s="31" t="str">
        <f>IF(Table!B2671 = "","",Table!B2671)</f>
        <v/>
      </c>
      <c r="C2671" s="31" t="str">
        <f>IF(Table!C2671 = "","",Table!C2671)</f>
        <v/>
      </c>
      <c r="D2671" s="32" t="str">
        <f>IF(Table!D2671 = "","",Table!D2671)</f>
        <v/>
      </c>
      <c r="E2671" s="32" t="str">
        <f>IF(Table!E2671 = "","",Table!E2671)</f>
        <v/>
      </c>
      <c r="F2671" s="32" t="str">
        <f>IF(Table!F2671 = "","",Table!F2671)</f>
        <v/>
      </c>
      <c r="G2671" s="91"/>
      <c r="K2671" s="31" t="str">
        <f>IFERROR(VLOOKUP(A2671,Table!$I$4:$O$3000,1,TRUE),"")</f>
        <v/>
      </c>
      <c r="L2671" s="31" t="str">
        <f>IFERROR(INDEX(Table!I:O,MATCH(K2671,Table!I:I,0),2),"")</f>
        <v/>
      </c>
      <c r="M2671" s="31" t="str">
        <f>IFERROR(INDEX(Table!I:O,MATCH(K2671,Table!I:I,0),3),"")</f>
        <v/>
      </c>
      <c r="N2671" s="32" t="str">
        <f>IFERROR(INDEX(Table!I:O,MATCH(K2671,Table!I:I,0),4),"")</f>
        <v/>
      </c>
      <c r="O2671" s="32" t="str">
        <f>IFERROR(INDEX(Table!I:O,MATCH(K2671,Table!I:I,0),5),"")</f>
        <v/>
      </c>
      <c r="P2671" s="32" t="str">
        <f>IFERROR(INDEX(Table!I:O,MATCH(K2671,Table!I:I,0),6),"")</f>
        <v/>
      </c>
      <c r="Q2671" s="89" t="str">
        <f t="shared" si="116"/>
        <v/>
      </c>
      <c r="R2671" s="89" t="str">
        <f t="shared" si="117"/>
        <v/>
      </c>
      <c r="S2671" s="82"/>
      <c r="U2671" s="37"/>
    </row>
    <row r="2672" spans="1:21" x14ac:dyDescent="0.25">
      <c r="A2672" s="31" t="str">
        <f>IF(Table!A2672 = "","",Table!A2672)</f>
        <v/>
      </c>
      <c r="B2672" s="31" t="str">
        <f>IF(Table!B2672 = "","",Table!B2672)</f>
        <v/>
      </c>
      <c r="C2672" s="31" t="str">
        <f>IF(Table!C2672 = "","",Table!C2672)</f>
        <v/>
      </c>
      <c r="D2672" s="32" t="str">
        <f>IF(Table!D2672 = "","",Table!D2672)</f>
        <v/>
      </c>
      <c r="E2672" s="32" t="str">
        <f>IF(Table!E2672 = "","",Table!E2672)</f>
        <v/>
      </c>
      <c r="F2672" s="32" t="str">
        <f>IF(Table!F2672 = "","",Table!F2672)</f>
        <v/>
      </c>
      <c r="G2672" s="91"/>
      <c r="K2672" s="31" t="str">
        <f>IFERROR(VLOOKUP(A2672,Table!$I$4:$O$3000,1,TRUE),"")</f>
        <v/>
      </c>
      <c r="L2672" s="31" t="str">
        <f>IFERROR(INDEX(Table!I:O,MATCH(K2672,Table!I:I,0),2),"")</f>
        <v/>
      </c>
      <c r="M2672" s="31" t="str">
        <f>IFERROR(INDEX(Table!I:O,MATCH(K2672,Table!I:I,0),3),"")</f>
        <v/>
      </c>
      <c r="N2672" s="32" t="str">
        <f>IFERROR(INDEX(Table!I:O,MATCH(K2672,Table!I:I,0),4),"")</f>
        <v/>
      </c>
      <c r="O2672" s="32" t="str">
        <f>IFERROR(INDEX(Table!I:O,MATCH(K2672,Table!I:I,0),5),"")</f>
        <v/>
      </c>
      <c r="P2672" s="32" t="str">
        <f>IFERROR(INDEX(Table!I:O,MATCH(K2672,Table!I:I,0),6),"")</f>
        <v/>
      </c>
      <c r="Q2672" s="89" t="str">
        <f t="shared" si="116"/>
        <v/>
      </c>
      <c r="R2672" s="89" t="str">
        <f t="shared" si="117"/>
        <v/>
      </c>
      <c r="S2672" s="82"/>
      <c r="U2672" s="37"/>
    </row>
    <row r="2673" spans="1:21" x14ac:dyDescent="0.25">
      <c r="A2673" s="31" t="str">
        <f>IF(Table!A2673 = "","",Table!A2673)</f>
        <v/>
      </c>
      <c r="B2673" s="31" t="str">
        <f>IF(Table!B2673 = "","",Table!B2673)</f>
        <v/>
      </c>
      <c r="C2673" s="31" t="str">
        <f>IF(Table!C2673 = "","",Table!C2673)</f>
        <v/>
      </c>
      <c r="D2673" s="32" t="str">
        <f>IF(Table!D2673 = "","",Table!D2673)</f>
        <v/>
      </c>
      <c r="E2673" s="32" t="str">
        <f>IF(Table!E2673 = "","",Table!E2673)</f>
        <v/>
      </c>
      <c r="F2673" s="32" t="str">
        <f>IF(Table!F2673 = "","",Table!F2673)</f>
        <v/>
      </c>
      <c r="G2673" s="91"/>
      <c r="K2673" s="31" t="str">
        <f>IFERROR(VLOOKUP(A2673,Table!$I$4:$O$3000,1,TRUE),"")</f>
        <v/>
      </c>
      <c r="L2673" s="31" t="str">
        <f>IFERROR(INDEX(Table!I:O,MATCH(K2673,Table!I:I,0),2),"")</f>
        <v/>
      </c>
      <c r="M2673" s="31" t="str">
        <f>IFERROR(INDEX(Table!I:O,MATCH(K2673,Table!I:I,0),3),"")</f>
        <v/>
      </c>
      <c r="N2673" s="32" t="str">
        <f>IFERROR(INDEX(Table!I:O,MATCH(K2673,Table!I:I,0),4),"")</f>
        <v/>
      </c>
      <c r="O2673" s="32" t="str">
        <f>IFERROR(INDEX(Table!I:O,MATCH(K2673,Table!I:I,0),5),"")</f>
        <v/>
      </c>
      <c r="P2673" s="32" t="str">
        <f>IFERROR(INDEX(Table!I:O,MATCH(K2673,Table!I:I,0),6),"")</f>
        <v/>
      </c>
      <c r="Q2673" s="89" t="str">
        <f t="shared" si="116"/>
        <v/>
      </c>
      <c r="R2673" s="89" t="str">
        <f t="shared" si="117"/>
        <v/>
      </c>
      <c r="S2673" s="82"/>
      <c r="U2673" s="37"/>
    </row>
    <row r="2674" spans="1:21" x14ac:dyDescent="0.25">
      <c r="A2674" s="31" t="str">
        <f>IF(Table!A2674 = "","",Table!A2674)</f>
        <v/>
      </c>
      <c r="B2674" s="31" t="str">
        <f>IF(Table!B2674 = "","",Table!B2674)</f>
        <v/>
      </c>
      <c r="C2674" s="31" t="str">
        <f>IF(Table!C2674 = "","",Table!C2674)</f>
        <v/>
      </c>
      <c r="D2674" s="32" t="str">
        <f>IF(Table!D2674 = "","",Table!D2674)</f>
        <v/>
      </c>
      <c r="E2674" s="32" t="str">
        <f>IF(Table!E2674 = "","",Table!E2674)</f>
        <v/>
      </c>
      <c r="F2674" s="32" t="str">
        <f>IF(Table!F2674 = "","",Table!F2674)</f>
        <v/>
      </c>
      <c r="G2674" s="91"/>
      <c r="K2674" s="31" t="str">
        <f>IFERROR(VLOOKUP(A2674,Table!$I$4:$O$3000,1,TRUE),"")</f>
        <v/>
      </c>
      <c r="L2674" s="31" t="str">
        <f>IFERROR(INDEX(Table!I:O,MATCH(K2674,Table!I:I,0),2),"")</f>
        <v/>
      </c>
      <c r="M2674" s="31" t="str">
        <f>IFERROR(INDEX(Table!I:O,MATCH(K2674,Table!I:I,0),3),"")</f>
        <v/>
      </c>
      <c r="N2674" s="32" t="str">
        <f>IFERROR(INDEX(Table!I:O,MATCH(K2674,Table!I:I,0),4),"")</f>
        <v/>
      </c>
      <c r="O2674" s="32" t="str">
        <f>IFERROR(INDEX(Table!I:O,MATCH(K2674,Table!I:I,0),5),"")</f>
        <v/>
      </c>
      <c r="P2674" s="32" t="str">
        <f>IFERROR(INDEX(Table!I:O,MATCH(K2674,Table!I:I,0),6),"")</f>
        <v/>
      </c>
      <c r="Q2674" s="89" t="str">
        <f t="shared" si="116"/>
        <v/>
      </c>
      <c r="R2674" s="89" t="str">
        <f t="shared" si="117"/>
        <v/>
      </c>
      <c r="S2674" s="82"/>
      <c r="U2674" s="37"/>
    </row>
    <row r="2675" spans="1:21" x14ac:dyDescent="0.25">
      <c r="A2675" s="31" t="str">
        <f>IF(Table!A2675 = "","",Table!A2675)</f>
        <v/>
      </c>
      <c r="B2675" s="31" t="str">
        <f>IF(Table!B2675 = "","",Table!B2675)</f>
        <v/>
      </c>
      <c r="C2675" s="31" t="str">
        <f>IF(Table!C2675 = "","",Table!C2675)</f>
        <v/>
      </c>
      <c r="D2675" s="32" t="str">
        <f>IF(Table!D2675 = "","",Table!D2675)</f>
        <v/>
      </c>
      <c r="E2675" s="32" t="str">
        <f>IF(Table!E2675 = "","",Table!E2675)</f>
        <v/>
      </c>
      <c r="F2675" s="32" t="str">
        <f>IF(Table!F2675 = "","",Table!F2675)</f>
        <v/>
      </c>
      <c r="G2675" s="91"/>
      <c r="K2675" s="31" t="str">
        <f>IFERROR(VLOOKUP(A2675,Table!$I$4:$O$3000,1,TRUE),"")</f>
        <v/>
      </c>
      <c r="L2675" s="31" t="str">
        <f>IFERROR(INDEX(Table!I:O,MATCH(K2675,Table!I:I,0),2),"")</f>
        <v/>
      </c>
      <c r="M2675" s="31" t="str">
        <f>IFERROR(INDEX(Table!I:O,MATCH(K2675,Table!I:I,0),3),"")</f>
        <v/>
      </c>
      <c r="N2675" s="32" t="str">
        <f>IFERROR(INDEX(Table!I:O,MATCH(K2675,Table!I:I,0),4),"")</f>
        <v/>
      </c>
      <c r="O2675" s="32" t="str">
        <f>IFERROR(INDEX(Table!I:O,MATCH(K2675,Table!I:I,0),5),"")</f>
        <v/>
      </c>
      <c r="P2675" s="32" t="str">
        <f>IFERROR(INDEX(Table!I:O,MATCH(K2675,Table!I:I,0),6),"")</f>
        <v/>
      </c>
      <c r="Q2675" s="89" t="str">
        <f t="shared" si="116"/>
        <v/>
      </c>
      <c r="R2675" s="89" t="str">
        <f t="shared" si="117"/>
        <v/>
      </c>
      <c r="S2675" s="82"/>
      <c r="U2675" s="37"/>
    </row>
    <row r="2676" spans="1:21" x14ac:dyDescent="0.25">
      <c r="A2676" s="31" t="str">
        <f>IF(Table!A2676 = "","",Table!A2676)</f>
        <v/>
      </c>
      <c r="B2676" s="31" t="str">
        <f>IF(Table!B2676 = "","",Table!B2676)</f>
        <v/>
      </c>
      <c r="C2676" s="31" t="str">
        <f>IF(Table!C2676 = "","",Table!C2676)</f>
        <v/>
      </c>
      <c r="D2676" s="32" t="str">
        <f>IF(Table!D2676 = "","",Table!D2676)</f>
        <v/>
      </c>
      <c r="E2676" s="32" t="str">
        <f>IF(Table!E2676 = "","",Table!E2676)</f>
        <v/>
      </c>
      <c r="F2676" s="32" t="str">
        <f>IF(Table!F2676 = "","",Table!F2676)</f>
        <v/>
      </c>
      <c r="G2676" s="91"/>
      <c r="K2676" s="31" t="str">
        <f>IFERROR(VLOOKUP(A2676,Table!$I$4:$O$3000,1,TRUE),"")</f>
        <v/>
      </c>
      <c r="L2676" s="31" t="str">
        <f>IFERROR(INDEX(Table!I:O,MATCH(K2676,Table!I:I,0),2),"")</f>
        <v/>
      </c>
      <c r="M2676" s="31" t="str">
        <f>IFERROR(INDEX(Table!I:O,MATCH(K2676,Table!I:I,0),3),"")</f>
        <v/>
      </c>
      <c r="N2676" s="32" t="str">
        <f>IFERROR(INDEX(Table!I:O,MATCH(K2676,Table!I:I,0),4),"")</f>
        <v/>
      </c>
      <c r="O2676" s="32" t="str">
        <f>IFERROR(INDEX(Table!I:O,MATCH(K2676,Table!I:I,0),5),"")</f>
        <v/>
      </c>
      <c r="P2676" s="32" t="str">
        <f>IFERROR(INDEX(Table!I:O,MATCH(K2676,Table!I:I,0),6),"")</f>
        <v/>
      </c>
      <c r="Q2676" s="89" t="str">
        <f t="shared" si="116"/>
        <v/>
      </c>
      <c r="R2676" s="89" t="str">
        <f t="shared" si="117"/>
        <v/>
      </c>
      <c r="S2676" s="82"/>
      <c r="U2676" s="37"/>
    </row>
    <row r="2677" spans="1:21" x14ac:dyDescent="0.25">
      <c r="A2677" s="31" t="str">
        <f>IF(Table!A2677 = "","",Table!A2677)</f>
        <v/>
      </c>
      <c r="B2677" s="31" t="str">
        <f>IF(Table!B2677 = "","",Table!B2677)</f>
        <v/>
      </c>
      <c r="C2677" s="31" t="str">
        <f>IF(Table!C2677 = "","",Table!C2677)</f>
        <v/>
      </c>
      <c r="D2677" s="32" t="str">
        <f>IF(Table!D2677 = "","",Table!D2677)</f>
        <v/>
      </c>
      <c r="E2677" s="32" t="str">
        <f>IF(Table!E2677 = "","",Table!E2677)</f>
        <v/>
      </c>
      <c r="F2677" s="32" t="str">
        <f>IF(Table!F2677 = "","",Table!F2677)</f>
        <v/>
      </c>
      <c r="G2677" s="91"/>
      <c r="K2677" s="31" t="str">
        <f>IFERROR(VLOOKUP(A2677,Table!$I$4:$O$3000,1,TRUE),"")</f>
        <v/>
      </c>
      <c r="L2677" s="31" t="str">
        <f>IFERROR(INDEX(Table!I:O,MATCH(K2677,Table!I:I,0),2),"")</f>
        <v/>
      </c>
      <c r="M2677" s="31" t="str">
        <f>IFERROR(INDEX(Table!I:O,MATCH(K2677,Table!I:I,0),3),"")</f>
        <v/>
      </c>
      <c r="N2677" s="32" t="str">
        <f>IFERROR(INDEX(Table!I:O,MATCH(K2677,Table!I:I,0),4),"")</f>
        <v/>
      </c>
      <c r="O2677" s="32" t="str">
        <f>IFERROR(INDEX(Table!I:O,MATCH(K2677,Table!I:I,0),5),"")</f>
        <v/>
      </c>
      <c r="P2677" s="32" t="str">
        <f>IFERROR(INDEX(Table!I:O,MATCH(K2677,Table!I:I,0),6),"")</f>
        <v/>
      </c>
      <c r="Q2677" s="89" t="str">
        <f t="shared" si="116"/>
        <v/>
      </c>
      <c r="R2677" s="89" t="str">
        <f t="shared" si="117"/>
        <v/>
      </c>
      <c r="S2677" s="82"/>
      <c r="U2677" s="37"/>
    </row>
    <row r="2678" spans="1:21" x14ac:dyDescent="0.25">
      <c r="A2678" s="31" t="str">
        <f>IF(Table!A2678 = "","",Table!A2678)</f>
        <v/>
      </c>
      <c r="B2678" s="31" t="str">
        <f>IF(Table!B2678 = "","",Table!B2678)</f>
        <v/>
      </c>
      <c r="C2678" s="31" t="str">
        <f>IF(Table!C2678 = "","",Table!C2678)</f>
        <v/>
      </c>
      <c r="D2678" s="32" t="str">
        <f>IF(Table!D2678 = "","",Table!D2678)</f>
        <v/>
      </c>
      <c r="E2678" s="32" t="str">
        <f>IF(Table!E2678 = "","",Table!E2678)</f>
        <v/>
      </c>
      <c r="F2678" s="32" t="str">
        <f>IF(Table!F2678 = "","",Table!F2678)</f>
        <v/>
      </c>
      <c r="G2678" s="91"/>
      <c r="K2678" s="31" t="str">
        <f>IFERROR(VLOOKUP(A2678,Table!$I$4:$O$3000,1,TRUE),"")</f>
        <v/>
      </c>
      <c r="L2678" s="31" t="str">
        <f>IFERROR(INDEX(Table!I:O,MATCH(K2678,Table!I:I,0),2),"")</f>
        <v/>
      </c>
      <c r="M2678" s="31" t="str">
        <f>IFERROR(INDEX(Table!I:O,MATCH(K2678,Table!I:I,0),3),"")</f>
        <v/>
      </c>
      <c r="N2678" s="32" t="str">
        <f>IFERROR(INDEX(Table!I:O,MATCH(K2678,Table!I:I,0),4),"")</f>
        <v/>
      </c>
      <c r="O2678" s="32" t="str">
        <f>IFERROR(INDEX(Table!I:O,MATCH(K2678,Table!I:I,0),5),"")</f>
        <v/>
      </c>
      <c r="P2678" s="32" t="str">
        <f>IFERROR(INDEX(Table!I:O,MATCH(K2678,Table!I:I,0),6),"")</f>
        <v/>
      </c>
      <c r="Q2678" s="89" t="str">
        <f t="shared" si="116"/>
        <v/>
      </c>
      <c r="R2678" s="89" t="str">
        <f t="shared" si="117"/>
        <v/>
      </c>
      <c r="S2678" s="82"/>
      <c r="U2678" s="37"/>
    </row>
    <row r="2679" spans="1:21" x14ac:dyDescent="0.25">
      <c r="A2679" s="31" t="str">
        <f>IF(Table!A2679 = "","",Table!A2679)</f>
        <v/>
      </c>
      <c r="B2679" s="31" t="str">
        <f>IF(Table!B2679 = "","",Table!B2679)</f>
        <v/>
      </c>
      <c r="C2679" s="31" t="str">
        <f>IF(Table!C2679 = "","",Table!C2679)</f>
        <v/>
      </c>
      <c r="D2679" s="32" t="str">
        <f>IF(Table!D2679 = "","",Table!D2679)</f>
        <v/>
      </c>
      <c r="E2679" s="32" t="str">
        <f>IF(Table!E2679 = "","",Table!E2679)</f>
        <v/>
      </c>
      <c r="F2679" s="32" t="str">
        <f>IF(Table!F2679 = "","",Table!F2679)</f>
        <v/>
      </c>
      <c r="G2679" s="91"/>
      <c r="K2679" s="31" t="str">
        <f>IFERROR(VLOOKUP(A2679,Table!$I$4:$O$3000,1,TRUE),"")</f>
        <v/>
      </c>
      <c r="L2679" s="31" t="str">
        <f>IFERROR(INDEX(Table!I:O,MATCH(K2679,Table!I:I,0),2),"")</f>
        <v/>
      </c>
      <c r="M2679" s="31" t="str">
        <f>IFERROR(INDEX(Table!I:O,MATCH(K2679,Table!I:I,0),3),"")</f>
        <v/>
      </c>
      <c r="N2679" s="32" t="str">
        <f>IFERROR(INDEX(Table!I:O,MATCH(K2679,Table!I:I,0),4),"")</f>
        <v/>
      </c>
      <c r="O2679" s="32" t="str">
        <f>IFERROR(INDEX(Table!I:O,MATCH(K2679,Table!I:I,0),5),"")</f>
        <v/>
      </c>
      <c r="P2679" s="32" t="str">
        <f>IFERROR(INDEX(Table!I:O,MATCH(K2679,Table!I:I,0),6),"")</f>
        <v/>
      </c>
      <c r="Q2679" s="89" t="str">
        <f t="shared" si="116"/>
        <v/>
      </c>
      <c r="R2679" s="89" t="str">
        <f t="shared" si="117"/>
        <v/>
      </c>
      <c r="S2679" s="82"/>
      <c r="U2679" s="37"/>
    </row>
    <row r="2680" spans="1:21" x14ac:dyDescent="0.25">
      <c r="A2680" s="31" t="str">
        <f>IF(Table!A2680 = "","",Table!A2680)</f>
        <v/>
      </c>
      <c r="B2680" s="31" t="str">
        <f>IF(Table!B2680 = "","",Table!B2680)</f>
        <v/>
      </c>
      <c r="C2680" s="31" t="str">
        <f>IF(Table!C2680 = "","",Table!C2680)</f>
        <v/>
      </c>
      <c r="D2680" s="32" t="str">
        <f>IF(Table!D2680 = "","",Table!D2680)</f>
        <v/>
      </c>
      <c r="E2680" s="32" t="str">
        <f>IF(Table!E2680 = "","",Table!E2680)</f>
        <v/>
      </c>
      <c r="F2680" s="32" t="str">
        <f>IF(Table!F2680 = "","",Table!F2680)</f>
        <v/>
      </c>
      <c r="G2680" s="91"/>
      <c r="K2680" s="31" t="str">
        <f>IFERROR(VLOOKUP(A2680,Table!$I$4:$O$3000,1,TRUE),"")</f>
        <v/>
      </c>
      <c r="L2680" s="31" t="str">
        <f>IFERROR(INDEX(Table!I:O,MATCH(K2680,Table!I:I,0),2),"")</f>
        <v/>
      </c>
      <c r="M2680" s="31" t="str">
        <f>IFERROR(INDEX(Table!I:O,MATCH(K2680,Table!I:I,0),3),"")</f>
        <v/>
      </c>
      <c r="N2680" s="32" t="str">
        <f>IFERROR(INDEX(Table!I:O,MATCH(K2680,Table!I:I,0),4),"")</f>
        <v/>
      </c>
      <c r="O2680" s="32" t="str">
        <f>IFERROR(INDEX(Table!I:O,MATCH(K2680,Table!I:I,0),5),"")</f>
        <v/>
      </c>
      <c r="P2680" s="32" t="str">
        <f>IFERROR(INDEX(Table!I:O,MATCH(K2680,Table!I:I,0),6),"")</f>
        <v/>
      </c>
      <c r="Q2680" s="89" t="str">
        <f t="shared" si="116"/>
        <v/>
      </c>
      <c r="R2680" s="89" t="str">
        <f t="shared" si="117"/>
        <v/>
      </c>
      <c r="S2680" s="82"/>
      <c r="U2680" s="37"/>
    </row>
    <row r="2681" spans="1:21" x14ac:dyDescent="0.25">
      <c r="A2681" s="31" t="str">
        <f>IF(Table!A2681 = "","",Table!A2681)</f>
        <v/>
      </c>
      <c r="B2681" s="31" t="str">
        <f>IF(Table!B2681 = "","",Table!B2681)</f>
        <v/>
      </c>
      <c r="C2681" s="31" t="str">
        <f>IF(Table!C2681 = "","",Table!C2681)</f>
        <v/>
      </c>
      <c r="D2681" s="32" t="str">
        <f>IF(Table!D2681 = "","",Table!D2681)</f>
        <v/>
      </c>
      <c r="E2681" s="32" t="str">
        <f>IF(Table!E2681 = "","",Table!E2681)</f>
        <v/>
      </c>
      <c r="F2681" s="32" t="str">
        <f>IF(Table!F2681 = "","",Table!F2681)</f>
        <v/>
      </c>
      <c r="G2681" s="91"/>
      <c r="K2681" s="31" t="str">
        <f>IFERROR(VLOOKUP(A2681,Table!$I$4:$O$3000,1,TRUE),"")</f>
        <v/>
      </c>
      <c r="L2681" s="31" t="str">
        <f>IFERROR(INDEX(Table!I:O,MATCH(K2681,Table!I:I,0),2),"")</f>
        <v/>
      </c>
      <c r="M2681" s="31" t="str">
        <f>IFERROR(INDEX(Table!I:O,MATCH(K2681,Table!I:I,0),3),"")</f>
        <v/>
      </c>
      <c r="N2681" s="32" t="str">
        <f>IFERROR(INDEX(Table!I:O,MATCH(K2681,Table!I:I,0),4),"")</f>
        <v/>
      </c>
      <c r="O2681" s="32" t="str">
        <f>IFERROR(INDEX(Table!I:O,MATCH(K2681,Table!I:I,0),5),"")</f>
        <v/>
      </c>
      <c r="P2681" s="32" t="str">
        <f>IFERROR(INDEX(Table!I:O,MATCH(K2681,Table!I:I,0),6),"")</f>
        <v/>
      </c>
      <c r="Q2681" s="89" t="str">
        <f t="shared" si="116"/>
        <v/>
      </c>
      <c r="R2681" s="89" t="str">
        <f t="shared" si="117"/>
        <v/>
      </c>
      <c r="S2681" s="82"/>
      <c r="U2681" s="37"/>
    </row>
    <row r="2682" spans="1:21" x14ac:dyDescent="0.25">
      <c r="A2682" s="31" t="str">
        <f>IF(Table!A2682 = "","",Table!A2682)</f>
        <v/>
      </c>
      <c r="B2682" s="31" t="str">
        <f>IF(Table!B2682 = "","",Table!B2682)</f>
        <v/>
      </c>
      <c r="C2682" s="31" t="str">
        <f>IF(Table!C2682 = "","",Table!C2682)</f>
        <v/>
      </c>
      <c r="D2682" s="32" t="str">
        <f>IF(Table!D2682 = "","",Table!D2682)</f>
        <v/>
      </c>
      <c r="E2682" s="32" t="str">
        <f>IF(Table!E2682 = "","",Table!E2682)</f>
        <v/>
      </c>
      <c r="F2682" s="32" t="str">
        <f>IF(Table!F2682 = "","",Table!F2682)</f>
        <v/>
      </c>
      <c r="G2682" s="91"/>
      <c r="K2682" s="31" t="str">
        <f>IFERROR(VLOOKUP(A2682,Table!$I$4:$O$3000,1,TRUE),"")</f>
        <v/>
      </c>
      <c r="L2682" s="31" t="str">
        <f>IFERROR(INDEX(Table!I:O,MATCH(K2682,Table!I:I,0),2),"")</f>
        <v/>
      </c>
      <c r="M2682" s="31" t="str">
        <f>IFERROR(INDEX(Table!I:O,MATCH(K2682,Table!I:I,0),3),"")</f>
        <v/>
      </c>
      <c r="N2682" s="32" t="str">
        <f>IFERROR(INDEX(Table!I:O,MATCH(K2682,Table!I:I,0),4),"")</f>
        <v/>
      </c>
      <c r="O2682" s="32" t="str">
        <f>IFERROR(INDEX(Table!I:O,MATCH(K2682,Table!I:I,0),5),"")</f>
        <v/>
      </c>
      <c r="P2682" s="32" t="str">
        <f>IFERROR(INDEX(Table!I:O,MATCH(K2682,Table!I:I,0),6),"")</f>
        <v/>
      </c>
      <c r="Q2682" s="89" t="str">
        <f t="shared" si="116"/>
        <v/>
      </c>
      <c r="R2682" s="89" t="str">
        <f t="shared" si="117"/>
        <v/>
      </c>
      <c r="S2682" s="82"/>
      <c r="U2682" s="37"/>
    </row>
    <row r="2683" spans="1:21" x14ac:dyDescent="0.25">
      <c r="A2683" s="31" t="str">
        <f>IF(Table!A2683 = "","",Table!A2683)</f>
        <v/>
      </c>
      <c r="B2683" s="31" t="str">
        <f>IF(Table!B2683 = "","",Table!B2683)</f>
        <v/>
      </c>
      <c r="C2683" s="31" t="str">
        <f>IF(Table!C2683 = "","",Table!C2683)</f>
        <v/>
      </c>
      <c r="D2683" s="32" t="str">
        <f>IF(Table!D2683 = "","",Table!D2683)</f>
        <v/>
      </c>
      <c r="E2683" s="32" t="str">
        <f>IF(Table!E2683 = "","",Table!E2683)</f>
        <v/>
      </c>
      <c r="F2683" s="32" t="str">
        <f>IF(Table!F2683 = "","",Table!F2683)</f>
        <v/>
      </c>
      <c r="G2683" s="91"/>
      <c r="K2683" s="31" t="str">
        <f>IFERROR(VLOOKUP(A2683,Table!$I$4:$O$3000,1,TRUE),"")</f>
        <v/>
      </c>
      <c r="L2683" s="31" t="str">
        <f>IFERROR(INDEX(Table!I:O,MATCH(K2683,Table!I:I,0),2),"")</f>
        <v/>
      </c>
      <c r="M2683" s="31" t="str">
        <f>IFERROR(INDEX(Table!I:O,MATCH(K2683,Table!I:I,0),3),"")</f>
        <v/>
      </c>
      <c r="N2683" s="32" t="str">
        <f>IFERROR(INDEX(Table!I:O,MATCH(K2683,Table!I:I,0),4),"")</f>
        <v/>
      </c>
      <c r="O2683" s="32" t="str">
        <f>IFERROR(INDEX(Table!I:O,MATCH(K2683,Table!I:I,0),5),"")</f>
        <v/>
      </c>
      <c r="P2683" s="32" t="str">
        <f>IFERROR(INDEX(Table!I:O,MATCH(K2683,Table!I:I,0),6),"")</f>
        <v/>
      </c>
      <c r="Q2683" s="89" t="str">
        <f t="shared" si="116"/>
        <v/>
      </c>
      <c r="R2683" s="89" t="str">
        <f t="shared" si="117"/>
        <v/>
      </c>
      <c r="S2683" s="82"/>
      <c r="U2683" s="37"/>
    </row>
    <row r="2684" spans="1:21" x14ac:dyDescent="0.25">
      <c r="A2684" s="31" t="str">
        <f>IF(Table!A2684 = "","",Table!A2684)</f>
        <v/>
      </c>
      <c r="B2684" s="31" t="str">
        <f>IF(Table!B2684 = "","",Table!B2684)</f>
        <v/>
      </c>
      <c r="C2684" s="31" t="str">
        <f>IF(Table!C2684 = "","",Table!C2684)</f>
        <v/>
      </c>
      <c r="D2684" s="32" t="str">
        <f>IF(Table!D2684 = "","",Table!D2684)</f>
        <v/>
      </c>
      <c r="E2684" s="32" t="str">
        <f>IF(Table!E2684 = "","",Table!E2684)</f>
        <v/>
      </c>
      <c r="F2684" s="32" t="str">
        <f>IF(Table!F2684 = "","",Table!F2684)</f>
        <v/>
      </c>
      <c r="G2684" s="91"/>
      <c r="K2684" s="31" t="str">
        <f>IFERROR(VLOOKUP(A2684,Table!$I$4:$O$3000,1,TRUE),"")</f>
        <v/>
      </c>
      <c r="L2684" s="31" t="str">
        <f>IFERROR(INDEX(Table!I:O,MATCH(K2684,Table!I:I,0),2),"")</f>
        <v/>
      </c>
      <c r="M2684" s="31" t="str">
        <f>IFERROR(INDEX(Table!I:O,MATCH(K2684,Table!I:I,0),3),"")</f>
        <v/>
      </c>
      <c r="N2684" s="32" t="str">
        <f>IFERROR(INDEX(Table!I:O,MATCH(K2684,Table!I:I,0),4),"")</f>
        <v/>
      </c>
      <c r="O2684" s="32" t="str">
        <f>IFERROR(INDEX(Table!I:O,MATCH(K2684,Table!I:I,0),5),"")</f>
        <v/>
      </c>
      <c r="P2684" s="32" t="str">
        <f>IFERROR(INDEX(Table!I:O,MATCH(K2684,Table!I:I,0),6),"")</f>
        <v/>
      </c>
      <c r="Q2684" s="89" t="str">
        <f t="shared" si="116"/>
        <v/>
      </c>
      <c r="R2684" s="89" t="str">
        <f t="shared" si="117"/>
        <v/>
      </c>
      <c r="S2684" s="82"/>
      <c r="U2684" s="37"/>
    </row>
    <row r="2685" spans="1:21" x14ac:dyDescent="0.25">
      <c r="A2685" s="31" t="str">
        <f>IF(Table!A2685 = "","",Table!A2685)</f>
        <v/>
      </c>
      <c r="B2685" s="31" t="str">
        <f>IF(Table!B2685 = "","",Table!B2685)</f>
        <v/>
      </c>
      <c r="C2685" s="31" t="str">
        <f>IF(Table!C2685 = "","",Table!C2685)</f>
        <v/>
      </c>
      <c r="D2685" s="32" t="str">
        <f>IF(Table!D2685 = "","",Table!D2685)</f>
        <v/>
      </c>
      <c r="E2685" s="32" t="str">
        <f>IF(Table!E2685 = "","",Table!E2685)</f>
        <v/>
      </c>
      <c r="F2685" s="32" t="str">
        <f>IF(Table!F2685 = "","",Table!F2685)</f>
        <v/>
      </c>
      <c r="G2685" s="91"/>
      <c r="K2685" s="31" t="str">
        <f>IFERROR(VLOOKUP(A2685,Table!$I$4:$O$3000,1,TRUE),"")</f>
        <v/>
      </c>
      <c r="L2685" s="31" t="str">
        <f>IFERROR(INDEX(Table!I:O,MATCH(K2685,Table!I:I,0),2),"")</f>
        <v/>
      </c>
      <c r="M2685" s="31" t="str">
        <f>IFERROR(INDEX(Table!I:O,MATCH(K2685,Table!I:I,0),3),"")</f>
        <v/>
      </c>
      <c r="N2685" s="32" t="str">
        <f>IFERROR(INDEX(Table!I:O,MATCH(K2685,Table!I:I,0),4),"")</f>
        <v/>
      </c>
      <c r="O2685" s="32" t="str">
        <f>IFERROR(INDEX(Table!I:O,MATCH(K2685,Table!I:I,0),5),"")</f>
        <v/>
      </c>
      <c r="P2685" s="32" t="str">
        <f>IFERROR(INDEX(Table!I:O,MATCH(K2685,Table!I:I,0),6),"")</f>
        <v/>
      </c>
      <c r="Q2685" s="89" t="str">
        <f t="shared" si="116"/>
        <v/>
      </c>
      <c r="R2685" s="89" t="str">
        <f t="shared" si="117"/>
        <v/>
      </c>
      <c r="S2685" s="82"/>
      <c r="U2685" s="37"/>
    </row>
    <row r="2686" spans="1:21" x14ac:dyDescent="0.25">
      <c r="A2686" s="31" t="str">
        <f>IF(Table!A2686 = "","",Table!A2686)</f>
        <v/>
      </c>
      <c r="B2686" s="31" t="str">
        <f>IF(Table!B2686 = "","",Table!B2686)</f>
        <v/>
      </c>
      <c r="C2686" s="31" t="str">
        <f>IF(Table!C2686 = "","",Table!C2686)</f>
        <v/>
      </c>
      <c r="D2686" s="32" t="str">
        <f>IF(Table!D2686 = "","",Table!D2686)</f>
        <v/>
      </c>
      <c r="E2686" s="32" t="str">
        <f>IF(Table!E2686 = "","",Table!E2686)</f>
        <v/>
      </c>
      <c r="F2686" s="32" t="str">
        <f>IF(Table!F2686 = "","",Table!F2686)</f>
        <v/>
      </c>
      <c r="G2686" s="91"/>
      <c r="K2686" s="31" t="str">
        <f>IFERROR(VLOOKUP(A2686,Table!$I$4:$O$3000,1,TRUE),"")</f>
        <v/>
      </c>
      <c r="L2686" s="31" t="str">
        <f>IFERROR(INDEX(Table!I:O,MATCH(K2686,Table!I:I,0),2),"")</f>
        <v/>
      </c>
      <c r="M2686" s="31" t="str">
        <f>IFERROR(INDEX(Table!I:O,MATCH(K2686,Table!I:I,0),3),"")</f>
        <v/>
      </c>
      <c r="N2686" s="32" t="str">
        <f>IFERROR(INDEX(Table!I:O,MATCH(K2686,Table!I:I,0),4),"")</f>
        <v/>
      </c>
      <c r="O2686" s="32" t="str">
        <f>IFERROR(INDEX(Table!I:O,MATCH(K2686,Table!I:I,0),5),"")</f>
        <v/>
      </c>
      <c r="P2686" s="32" t="str">
        <f>IFERROR(INDEX(Table!I:O,MATCH(K2686,Table!I:I,0),6),"")</f>
        <v/>
      </c>
      <c r="Q2686" s="89" t="str">
        <f t="shared" si="116"/>
        <v/>
      </c>
      <c r="R2686" s="89" t="str">
        <f t="shared" si="117"/>
        <v/>
      </c>
      <c r="S2686" s="82"/>
      <c r="U2686" s="37"/>
    </row>
    <row r="2687" spans="1:21" x14ac:dyDescent="0.25">
      <c r="A2687" s="31" t="str">
        <f>IF(Table!A2687 = "","",Table!A2687)</f>
        <v/>
      </c>
      <c r="B2687" s="31" t="str">
        <f>IF(Table!B2687 = "","",Table!B2687)</f>
        <v/>
      </c>
      <c r="C2687" s="31" t="str">
        <f>IF(Table!C2687 = "","",Table!C2687)</f>
        <v/>
      </c>
      <c r="D2687" s="32" t="str">
        <f>IF(Table!D2687 = "","",Table!D2687)</f>
        <v/>
      </c>
      <c r="E2687" s="32" t="str">
        <f>IF(Table!E2687 = "","",Table!E2687)</f>
        <v/>
      </c>
      <c r="F2687" s="32" t="str">
        <f>IF(Table!F2687 = "","",Table!F2687)</f>
        <v/>
      </c>
      <c r="G2687" s="91"/>
      <c r="K2687" s="31" t="str">
        <f>IFERROR(VLOOKUP(A2687,Table!$I$4:$O$3000,1,TRUE),"")</f>
        <v/>
      </c>
      <c r="L2687" s="31" t="str">
        <f>IFERROR(INDEX(Table!I:O,MATCH(K2687,Table!I:I,0),2),"")</f>
        <v/>
      </c>
      <c r="M2687" s="31" t="str">
        <f>IFERROR(INDEX(Table!I:O,MATCH(K2687,Table!I:I,0),3),"")</f>
        <v/>
      </c>
      <c r="N2687" s="32" t="str">
        <f>IFERROR(INDEX(Table!I:O,MATCH(K2687,Table!I:I,0),4),"")</f>
        <v/>
      </c>
      <c r="O2687" s="32" t="str">
        <f>IFERROR(INDEX(Table!I:O,MATCH(K2687,Table!I:I,0),5),"")</f>
        <v/>
      </c>
      <c r="P2687" s="32" t="str">
        <f>IFERROR(INDEX(Table!I:O,MATCH(K2687,Table!I:I,0),6),"")</f>
        <v/>
      </c>
      <c r="Q2687" s="89" t="str">
        <f t="shared" si="116"/>
        <v/>
      </c>
      <c r="R2687" s="89" t="str">
        <f t="shared" si="117"/>
        <v/>
      </c>
      <c r="S2687" s="82"/>
      <c r="U2687" s="37"/>
    </row>
    <row r="2688" spans="1:21" x14ac:dyDescent="0.25">
      <c r="A2688" s="31" t="str">
        <f>IF(Table!A2688 = "","",Table!A2688)</f>
        <v/>
      </c>
      <c r="B2688" s="31" t="str">
        <f>IF(Table!B2688 = "","",Table!B2688)</f>
        <v/>
      </c>
      <c r="C2688" s="31" t="str">
        <f>IF(Table!C2688 = "","",Table!C2688)</f>
        <v/>
      </c>
      <c r="D2688" s="32" t="str">
        <f>IF(Table!D2688 = "","",Table!D2688)</f>
        <v/>
      </c>
      <c r="E2688" s="32" t="str">
        <f>IF(Table!E2688 = "","",Table!E2688)</f>
        <v/>
      </c>
      <c r="F2688" s="32" t="str">
        <f>IF(Table!F2688 = "","",Table!F2688)</f>
        <v/>
      </c>
      <c r="G2688" s="91"/>
      <c r="K2688" s="31" t="str">
        <f>IFERROR(VLOOKUP(A2688,Table!$I$4:$O$3000,1,TRUE),"")</f>
        <v/>
      </c>
      <c r="L2688" s="31" t="str">
        <f>IFERROR(INDEX(Table!I:O,MATCH(K2688,Table!I:I,0),2),"")</f>
        <v/>
      </c>
      <c r="M2688" s="31" t="str">
        <f>IFERROR(INDEX(Table!I:O,MATCH(K2688,Table!I:I,0),3),"")</f>
        <v/>
      </c>
      <c r="N2688" s="32" t="str">
        <f>IFERROR(INDEX(Table!I:O,MATCH(K2688,Table!I:I,0),4),"")</f>
        <v/>
      </c>
      <c r="O2688" s="32" t="str">
        <f>IFERROR(INDEX(Table!I:O,MATCH(K2688,Table!I:I,0),5),"")</f>
        <v/>
      </c>
      <c r="P2688" s="32" t="str">
        <f>IFERROR(INDEX(Table!I:O,MATCH(K2688,Table!I:I,0),6),"")</f>
        <v/>
      </c>
      <c r="Q2688" s="89" t="str">
        <f t="shared" si="116"/>
        <v/>
      </c>
      <c r="R2688" s="89" t="str">
        <f t="shared" si="117"/>
        <v/>
      </c>
      <c r="S2688" s="82"/>
      <c r="U2688" s="37"/>
    </row>
    <row r="2689" spans="1:21" x14ac:dyDescent="0.25">
      <c r="A2689" s="31" t="str">
        <f>IF(Table!A2689 = "","",Table!A2689)</f>
        <v/>
      </c>
      <c r="B2689" s="31" t="str">
        <f>IF(Table!B2689 = "","",Table!B2689)</f>
        <v/>
      </c>
      <c r="C2689" s="31" t="str">
        <f>IF(Table!C2689 = "","",Table!C2689)</f>
        <v/>
      </c>
      <c r="D2689" s="32" t="str">
        <f>IF(Table!D2689 = "","",Table!D2689)</f>
        <v/>
      </c>
      <c r="E2689" s="32" t="str">
        <f>IF(Table!E2689 = "","",Table!E2689)</f>
        <v/>
      </c>
      <c r="F2689" s="32" t="str">
        <f>IF(Table!F2689 = "","",Table!F2689)</f>
        <v/>
      </c>
      <c r="G2689" s="91"/>
      <c r="K2689" s="31" t="str">
        <f>IFERROR(VLOOKUP(A2689,Table!$I$4:$O$3000,1,TRUE),"")</f>
        <v/>
      </c>
      <c r="L2689" s="31" t="str">
        <f>IFERROR(INDEX(Table!I:O,MATCH(K2689,Table!I:I,0),2),"")</f>
        <v/>
      </c>
      <c r="M2689" s="31" t="str">
        <f>IFERROR(INDEX(Table!I:O,MATCH(K2689,Table!I:I,0),3),"")</f>
        <v/>
      </c>
      <c r="N2689" s="32" t="str">
        <f>IFERROR(INDEX(Table!I:O,MATCH(K2689,Table!I:I,0),4),"")</f>
        <v/>
      </c>
      <c r="O2689" s="32" t="str">
        <f>IFERROR(INDEX(Table!I:O,MATCH(K2689,Table!I:I,0),5),"")</f>
        <v/>
      </c>
      <c r="P2689" s="32" t="str">
        <f>IFERROR(INDEX(Table!I:O,MATCH(K2689,Table!I:I,0),6),"")</f>
        <v/>
      </c>
      <c r="Q2689" s="89" t="str">
        <f t="shared" si="116"/>
        <v/>
      </c>
      <c r="R2689" s="89" t="str">
        <f t="shared" si="117"/>
        <v/>
      </c>
      <c r="S2689" s="82"/>
      <c r="U2689" s="37"/>
    </row>
    <row r="2690" spans="1:21" x14ac:dyDescent="0.25">
      <c r="A2690" s="31" t="str">
        <f>IF(Table!A2690 = "","",Table!A2690)</f>
        <v/>
      </c>
      <c r="B2690" s="31" t="str">
        <f>IF(Table!B2690 = "","",Table!B2690)</f>
        <v/>
      </c>
      <c r="C2690" s="31" t="str">
        <f>IF(Table!C2690 = "","",Table!C2690)</f>
        <v/>
      </c>
      <c r="D2690" s="32" t="str">
        <f>IF(Table!D2690 = "","",Table!D2690)</f>
        <v/>
      </c>
      <c r="E2690" s="32" t="str">
        <f>IF(Table!E2690 = "","",Table!E2690)</f>
        <v/>
      </c>
      <c r="F2690" s="32" t="str">
        <f>IF(Table!F2690 = "","",Table!F2690)</f>
        <v/>
      </c>
      <c r="G2690" s="91"/>
      <c r="K2690" s="31" t="str">
        <f>IFERROR(VLOOKUP(A2690,Table!$I$4:$O$3000,1,TRUE),"")</f>
        <v/>
      </c>
      <c r="L2690" s="31" t="str">
        <f>IFERROR(INDEX(Table!I:O,MATCH(K2690,Table!I:I,0),2),"")</f>
        <v/>
      </c>
      <c r="M2690" s="31" t="str">
        <f>IFERROR(INDEX(Table!I:O,MATCH(K2690,Table!I:I,0),3),"")</f>
        <v/>
      </c>
      <c r="N2690" s="32" t="str">
        <f>IFERROR(INDEX(Table!I:O,MATCH(K2690,Table!I:I,0),4),"")</f>
        <v/>
      </c>
      <c r="O2690" s="32" t="str">
        <f>IFERROR(INDEX(Table!I:O,MATCH(K2690,Table!I:I,0),5),"")</f>
        <v/>
      </c>
      <c r="P2690" s="32" t="str">
        <f>IFERROR(INDEX(Table!I:O,MATCH(K2690,Table!I:I,0),6),"")</f>
        <v/>
      </c>
      <c r="Q2690" s="89" t="str">
        <f t="shared" si="116"/>
        <v/>
      </c>
      <c r="R2690" s="89" t="str">
        <f t="shared" si="117"/>
        <v/>
      </c>
      <c r="S2690" s="82"/>
      <c r="U2690" s="37"/>
    </row>
    <row r="2691" spans="1:21" x14ac:dyDescent="0.25">
      <c r="A2691" s="31" t="str">
        <f>IF(Table!A2691 = "","",Table!A2691)</f>
        <v/>
      </c>
      <c r="B2691" s="31" t="str">
        <f>IF(Table!B2691 = "","",Table!B2691)</f>
        <v/>
      </c>
      <c r="C2691" s="31" t="str">
        <f>IF(Table!C2691 = "","",Table!C2691)</f>
        <v/>
      </c>
      <c r="D2691" s="32" t="str">
        <f>IF(Table!D2691 = "","",Table!D2691)</f>
        <v/>
      </c>
      <c r="E2691" s="32" t="str">
        <f>IF(Table!E2691 = "","",Table!E2691)</f>
        <v/>
      </c>
      <c r="F2691" s="32" t="str">
        <f>IF(Table!F2691 = "","",Table!F2691)</f>
        <v/>
      </c>
      <c r="G2691" s="91"/>
      <c r="K2691" s="31" t="str">
        <f>IFERROR(VLOOKUP(A2691,Table!$I$4:$O$3000,1,TRUE),"")</f>
        <v/>
      </c>
      <c r="L2691" s="31" t="str">
        <f>IFERROR(INDEX(Table!I:O,MATCH(K2691,Table!I:I,0),2),"")</f>
        <v/>
      </c>
      <c r="M2691" s="31" t="str">
        <f>IFERROR(INDEX(Table!I:O,MATCH(K2691,Table!I:I,0),3),"")</f>
        <v/>
      </c>
      <c r="N2691" s="32" t="str">
        <f>IFERROR(INDEX(Table!I:O,MATCH(K2691,Table!I:I,0),4),"")</f>
        <v/>
      </c>
      <c r="O2691" s="32" t="str">
        <f>IFERROR(INDEX(Table!I:O,MATCH(K2691,Table!I:I,0),5),"")</f>
        <v/>
      </c>
      <c r="P2691" s="32" t="str">
        <f>IFERROR(INDEX(Table!I:O,MATCH(K2691,Table!I:I,0),6),"")</f>
        <v/>
      </c>
      <c r="Q2691" s="89" t="str">
        <f t="shared" si="116"/>
        <v/>
      </c>
      <c r="R2691" s="89" t="str">
        <f t="shared" si="117"/>
        <v/>
      </c>
      <c r="S2691" s="82"/>
      <c r="U2691" s="37"/>
    </row>
    <row r="2692" spans="1:21" x14ac:dyDescent="0.25">
      <c r="A2692" s="31" t="str">
        <f>IF(Table!A2692 = "","",Table!A2692)</f>
        <v/>
      </c>
      <c r="B2692" s="31" t="str">
        <f>IF(Table!B2692 = "","",Table!B2692)</f>
        <v/>
      </c>
      <c r="C2692" s="31" t="str">
        <f>IF(Table!C2692 = "","",Table!C2692)</f>
        <v/>
      </c>
      <c r="D2692" s="32" t="str">
        <f>IF(Table!D2692 = "","",Table!D2692)</f>
        <v/>
      </c>
      <c r="E2692" s="32" t="str">
        <f>IF(Table!E2692 = "","",Table!E2692)</f>
        <v/>
      </c>
      <c r="F2692" s="32" t="str">
        <f>IF(Table!F2692 = "","",Table!F2692)</f>
        <v/>
      </c>
      <c r="G2692" s="91"/>
      <c r="K2692" s="31" t="str">
        <f>IFERROR(VLOOKUP(A2692,Table!$I$4:$O$3000,1,TRUE),"")</f>
        <v/>
      </c>
      <c r="L2692" s="31" t="str">
        <f>IFERROR(INDEX(Table!I:O,MATCH(K2692,Table!I:I,0),2),"")</f>
        <v/>
      </c>
      <c r="M2692" s="31" t="str">
        <f>IFERROR(INDEX(Table!I:O,MATCH(K2692,Table!I:I,0),3),"")</f>
        <v/>
      </c>
      <c r="N2692" s="32" t="str">
        <f>IFERROR(INDEX(Table!I:O,MATCH(K2692,Table!I:I,0),4),"")</f>
        <v/>
      </c>
      <c r="O2692" s="32" t="str">
        <f>IFERROR(INDEX(Table!I:O,MATCH(K2692,Table!I:I,0),5),"")</f>
        <v/>
      </c>
      <c r="P2692" s="32" t="str">
        <f>IFERROR(INDEX(Table!I:O,MATCH(K2692,Table!I:I,0),6),"")</f>
        <v/>
      </c>
      <c r="Q2692" s="89" t="str">
        <f t="shared" si="116"/>
        <v/>
      </c>
      <c r="R2692" s="89" t="str">
        <f t="shared" si="117"/>
        <v/>
      </c>
      <c r="S2692" s="82"/>
      <c r="U2692" s="37"/>
    </row>
    <row r="2693" spans="1:21" x14ac:dyDescent="0.25">
      <c r="A2693" s="31" t="str">
        <f>IF(Table!A2693 = "","",Table!A2693)</f>
        <v/>
      </c>
      <c r="B2693" s="31" t="str">
        <f>IF(Table!B2693 = "","",Table!B2693)</f>
        <v/>
      </c>
      <c r="C2693" s="31" t="str">
        <f>IF(Table!C2693 = "","",Table!C2693)</f>
        <v/>
      </c>
      <c r="D2693" s="32" t="str">
        <f>IF(Table!D2693 = "","",Table!D2693)</f>
        <v/>
      </c>
      <c r="E2693" s="32" t="str">
        <f>IF(Table!E2693 = "","",Table!E2693)</f>
        <v/>
      </c>
      <c r="F2693" s="32" t="str">
        <f>IF(Table!F2693 = "","",Table!F2693)</f>
        <v/>
      </c>
      <c r="G2693" s="91"/>
      <c r="K2693" s="31" t="str">
        <f>IFERROR(VLOOKUP(A2693,Table!$I$4:$O$3000,1,TRUE),"")</f>
        <v/>
      </c>
      <c r="L2693" s="31" t="str">
        <f>IFERROR(INDEX(Table!I:O,MATCH(K2693,Table!I:I,0),2),"")</f>
        <v/>
      </c>
      <c r="M2693" s="31" t="str">
        <f>IFERROR(INDEX(Table!I:O,MATCH(K2693,Table!I:I,0),3),"")</f>
        <v/>
      </c>
      <c r="N2693" s="32" t="str">
        <f>IFERROR(INDEX(Table!I:O,MATCH(K2693,Table!I:I,0),4),"")</f>
        <v/>
      </c>
      <c r="O2693" s="32" t="str">
        <f>IFERROR(INDEX(Table!I:O,MATCH(K2693,Table!I:I,0),5),"")</f>
        <v/>
      </c>
      <c r="P2693" s="32" t="str">
        <f>IFERROR(INDEX(Table!I:O,MATCH(K2693,Table!I:I,0),6),"")</f>
        <v/>
      </c>
      <c r="Q2693" s="89" t="str">
        <f t="shared" si="116"/>
        <v/>
      </c>
      <c r="R2693" s="89" t="str">
        <f t="shared" si="117"/>
        <v/>
      </c>
      <c r="S2693" s="82"/>
      <c r="U2693" s="37"/>
    </row>
    <row r="2694" spans="1:21" x14ac:dyDescent="0.25">
      <c r="A2694" s="31" t="str">
        <f>IF(Table!A2694 = "","",Table!A2694)</f>
        <v/>
      </c>
      <c r="B2694" s="31" t="str">
        <f>IF(Table!B2694 = "","",Table!B2694)</f>
        <v/>
      </c>
      <c r="C2694" s="31" t="str">
        <f>IF(Table!C2694 = "","",Table!C2694)</f>
        <v/>
      </c>
      <c r="D2694" s="32" t="str">
        <f>IF(Table!D2694 = "","",Table!D2694)</f>
        <v/>
      </c>
      <c r="E2694" s="32" t="str">
        <f>IF(Table!E2694 = "","",Table!E2694)</f>
        <v/>
      </c>
      <c r="F2694" s="32" t="str">
        <f>IF(Table!F2694 = "","",Table!F2694)</f>
        <v/>
      </c>
      <c r="G2694" s="91"/>
      <c r="K2694" s="31" t="str">
        <f>IFERROR(VLOOKUP(A2694,Table!$I$4:$O$3000,1,TRUE),"")</f>
        <v/>
      </c>
      <c r="L2694" s="31" t="str">
        <f>IFERROR(INDEX(Table!I:O,MATCH(K2694,Table!I:I,0),2),"")</f>
        <v/>
      </c>
      <c r="M2694" s="31" t="str">
        <f>IFERROR(INDEX(Table!I:O,MATCH(K2694,Table!I:I,0),3),"")</f>
        <v/>
      </c>
      <c r="N2694" s="32" t="str">
        <f>IFERROR(INDEX(Table!I:O,MATCH(K2694,Table!I:I,0),4),"")</f>
        <v/>
      </c>
      <c r="O2694" s="32" t="str">
        <f>IFERROR(INDEX(Table!I:O,MATCH(K2694,Table!I:I,0),5),"")</f>
        <v/>
      </c>
      <c r="P2694" s="32" t="str">
        <f>IFERROR(INDEX(Table!I:O,MATCH(K2694,Table!I:I,0),6),"")</f>
        <v/>
      </c>
      <c r="Q2694" s="89" t="str">
        <f t="shared" ref="Q2694:Q2757" si="118">IFERROR(L2694-B2694,"")</f>
        <v/>
      </c>
      <c r="R2694" s="89" t="str">
        <f t="shared" ref="R2694:R2757" si="119">IFERROR(M2694-C2694,"")</f>
        <v/>
      </c>
      <c r="S2694" s="82"/>
      <c r="U2694" s="37"/>
    </row>
    <row r="2695" spans="1:21" x14ac:dyDescent="0.25">
      <c r="A2695" s="31" t="str">
        <f>IF(Table!A2695 = "","",Table!A2695)</f>
        <v/>
      </c>
      <c r="B2695" s="31" t="str">
        <f>IF(Table!B2695 = "","",Table!B2695)</f>
        <v/>
      </c>
      <c r="C2695" s="31" t="str">
        <f>IF(Table!C2695 = "","",Table!C2695)</f>
        <v/>
      </c>
      <c r="D2695" s="32" t="str">
        <f>IF(Table!D2695 = "","",Table!D2695)</f>
        <v/>
      </c>
      <c r="E2695" s="32" t="str">
        <f>IF(Table!E2695 = "","",Table!E2695)</f>
        <v/>
      </c>
      <c r="F2695" s="32" t="str">
        <f>IF(Table!F2695 = "","",Table!F2695)</f>
        <v/>
      </c>
      <c r="G2695" s="91"/>
      <c r="K2695" s="31" t="str">
        <f>IFERROR(VLOOKUP(A2695,Table!$I$4:$O$3000,1,TRUE),"")</f>
        <v/>
      </c>
      <c r="L2695" s="31" t="str">
        <f>IFERROR(INDEX(Table!I:O,MATCH(K2695,Table!I:I,0),2),"")</f>
        <v/>
      </c>
      <c r="M2695" s="31" t="str">
        <f>IFERROR(INDEX(Table!I:O,MATCH(K2695,Table!I:I,0),3),"")</f>
        <v/>
      </c>
      <c r="N2695" s="32" t="str">
        <f>IFERROR(INDEX(Table!I:O,MATCH(K2695,Table!I:I,0),4),"")</f>
        <v/>
      </c>
      <c r="O2695" s="32" t="str">
        <f>IFERROR(INDEX(Table!I:O,MATCH(K2695,Table!I:I,0),5),"")</f>
        <v/>
      </c>
      <c r="P2695" s="32" t="str">
        <f>IFERROR(INDEX(Table!I:O,MATCH(K2695,Table!I:I,0),6),"")</f>
        <v/>
      </c>
      <c r="Q2695" s="89" t="str">
        <f t="shared" si="118"/>
        <v/>
      </c>
      <c r="R2695" s="89" t="str">
        <f t="shared" si="119"/>
        <v/>
      </c>
      <c r="S2695" s="82"/>
      <c r="U2695" s="37"/>
    </row>
    <row r="2696" spans="1:21" x14ac:dyDescent="0.25">
      <c r="A2696" s="31" t="str">
        <f>IF(Table!A2696 = "","",Table!A2696)</f>
        <v/>
      </c>
      <c r="B2696" s="31" t="str">
        <f>IF(Table!B2696 = "","",Table!B2696)</f>
        <v/>
      </c>
      <c r="C2696" s="31" t="str">
        <f>IF(Table!C2696 = "","",Table!C2696)</f>
        <v/>
      </c>
      <c r="D2696" s="32" t="str">
        <f>IF(Table!D2696 = "","",Table!D2696)</f>
        <v/>
      </c>
      <c r="E2696" s="32" t="str">
        <f>IF(Table!E2696 = "","",Table!E2696)</f>
        <v/>
      </c>
      <c r="F2696" s="32" t="str">
        <f>IF(Table!F2696 = "","",Table!F2696)</f>
        <v/>
      </c>
      <c r="G2696" s="91"/>
      <c r="K2696" s="31" t="str">
        <f>IFERROR(VLOOKUP(A2696,Table!$I$4:$O$3000,1,TRUE),"")</f>
        <v/>
      </c>
      <c r="L2696" s="31" t="str">
        <f>IFERROR(INDEX(Table!I:O,MATCH(K2696,Table!I:I,0),2),"")</f>
        <v/>
      </c>
      <c r="M2696" s="31" t="str">
        <f>IFERROR(INDEX(Table!I:O,MATCH(K2696,Table!I:I,0),3),"")</f>
        <v/>
      </c>
      <c r="N2696" s="32" t="str">
        <f>IFERROR(INDEX(Table!I:O,MATCH(K2696,Table!I:I,0),4),"")</f>
        <v/>
      </c>
      <c r="O2696" s="32" t="str">
        <f>IFERROR(INDEX(Table!I:O,MATCH(K2696,Table!I:I,0),5),"")</f>
        <v/>
      </c>
      <c r="P2696" s="32" t="str">
        <f>IFERROR(INDEX(Table!I:O,MATCH(K2696,Table!I:I,0),6),"")</f>
        <v/>
      </c>
      <c r="Q2696" s="89" t="str">
        <f t="shared" si="118"/>
        <v/>
      </c>
      <c r="R2696" s="89" t="str">
        <f t="shared" si="119"/>
        <v/>
      </c>
      <c r="S2696" s="82"/>
      <c r="U2696" s="37"/>
    </row>
    <row r="2697" spans="1:21" x14ac:dyDescent="0.25">
      <c r="A2697" s="31" t="str">
        <f>IF(Table!A2697 = "","",Table!A2697)</f>
        <v/>
      </c>
      <c r="B2697" s="31" t="str">
        <f>IF(Table!B2697 = "","",Table!B2697)</f>
        <v/>
      </c>
      <c r="C2697" s="31" t="str">
        <f>IF(Table!C2697 = "","",Table!C2697)</f>
        <v/>
      </c>
      <c r="D2697" s="32" t="str">
        <f>IF(Table!D2697 = "","",Table!D2697)</f>
        <v/>
      </c>
      <c r="E2697" s="32" t="str">
        <f>IF(Table!E2697 = "","",Table!E2697)</f>
        <v/>
      </c>
      <c r="F2697" s="32" t="str">
        <f>IF(Table!F2697 = "","",Table!F2697)</f>
        <v/>
      </c>
      <c r="G2697" s="91"/>
      <c r="K2697" s="31" t="str">
        <f>IFERROR(VLOOKUP(A2697,Table!$I$4:$O$3000,1,TRUE),"")</f>
        <v/>
      </c>
      <c r="L2697" s="31" t="str">
        <f>IFERROR(INDEX(Table!I:O,MATCH(K2697,Table!I:I,0),2),"")</f>
        <v/>
      </c>
      <c r="M2697" s="31" t="str">
        <f>IFERROR(INDEX(Table!I:O,MATCH(K2697,Table!I:I,0),3),"")</f>
        <v/>
      </c>
      <c r="N2697" s="32" t="str">
        <f>IFERROR(INDEX(Table!I:O,MATCH(K2697,Table!I:I,0),4),"")</f>
        <v/>
      </c>
      <c r="O2697" s="32" t="str">
        <f>IFERROR(INDEX(Table!I:O,MATCH(K2697,Table!I:I,0),5),"")</f>
        <v/>
      </c>
      <c r="P2697" s="32" t="str">
        <f>IFERROR(INDEX(Table!I:O,MATCH(K2697,Table!I:I,0),6),"")</f>
        <v/>
      </c>
      <c r="Q2697" s="89" t="str">
        <f t="shared" si="118"/>
        <v/>
      </c>
      <c r="R2697" s="89" t="str">
        <f t="shared" si="119"/>
        <v/>
      </c>
      <c r="S2697" s="82"/>
    </row>
    <row r="2698" spans="1:21" x14ac:dyDescent="0.25">
      <c r="A2698" s="31" t="str">
        <f>IF(Table!A2698 = "","",Table!A2698)</f>
        <v/>
      </c>
      <c r="B2698" s="31" t="str">
        <f>IF(Table!B2698 = "","",Table!B2698)</f>
        <v/>
      </c>
      <c r="C2698" s="31" t="str">
        <f>IF(Table!C2698 = "","",Table!C2698)</f>
        <v/>
      </c>
      <c r="D2698" s="32" t="str">
        <f>IF(Table!D2698 = "","",Table!D2698)</f>
        <v/>
      </c>
      <c r="E2698" s="32" t="str">
        <f>IF(Table!E2698 = "","",Table!E2698)</f>
        <v/>
      </c>
      <c r="F2698" s="32" t="str">
        <f>IF(Table!F2698 = "","",Table!F2698)</f>
        <v/>
      </c>
      <c r="G2698" s="91"/>
      <c r="K2698" s="31" t="str">
        <f>IFERROR(VLOOKUP(A2698,Table!$I$4:$O$3000,1,TRUE),"")</f>
        <v/>
      </c>
      <c r="L2698" s="31" t="str">
        <f>IFERROR(INDEX(Table!I:O,MATCH(K2698,Table!I:I,0),2),"")</f>
        <v/>
      </c>
      <c r="M2698" s="31" t="str">
        <f>IFERROR(INDEX(Table!I:O,MATCH(K2698,Table!I:I,0),3),"")</f>
        <v/>
      </c>
      <c r="N2698" s="32" t="str">
        <f>IFERROR(INDEX(Table!I:O,MATCH(K2698,Table!I:I,0),4),"")</f>
        <v/>
      </c>
      <c r="O2698" s="32" t="str">
        <f>IFERROR(INDEX(Table!I:O,MATCH(K2698,Table!I:I,0),5),"")</f>
        <v/>
      </c>
      <c r="P2698" s="32" t="str">
        <f>IFERROR(INDEX(Table!I:O,MATCH(K2698,Table!I:I,0),6),"")</f>
        <v/>
      </c>
      <c r="Q2698" s="89" t="str">
        <f t="shared" si="118"/>
        <v/>
      </c>
      <c r="R2698" s="89" t="str">
        <f t="shared" si="119"/>
        <v/>
      </c>
      <c r="S2698" s="82"/>
    </row>
    <row r="2699" spans="1:21" x14ac:dyDescent="0.25">
      <c r="A2699" s="31" t="str">
        <f>IF(Table!A2699 = "","",Table!A2699)</f>
        <v/>
      </c>
      <c r="B2699" s="31" t="str">
        <f>IF(Table!B2699 = "","",Table!B2699)</f>
        <v/>
      </c>
      <c r="C2699" s="31" t="str">
        <f>IF(Table!C2699 = "","",Table!C2699)</f>
        <v/>
      </c>
      <c r="D2699" s="32" t="str">
        <f>IF(Table!D2699 = "","",Table!D2699)</f>
        <v/>
      </c>
      <c r="E2699" s="32" t="str">
        <f>IF(Table!E2699 = "","",Table!E2699)</f>
        <v/>
      </c>
      <c r="F2699" s="32" t="str">
        <f>IF(Table!F2699 = "","",Table!F2699)</f>
        <v/>
      </c>
      <c r="G2699" s="91"/>
      <c r="K2699" s="31" t="str">
        <f>IFERROR(VLOOKUP(A2699,Table!$I$4:$O$3000,1,TRUE),"")</f>
        <v/>
      </c>
      <c r="L2699" s="31" t="str">
        <f>IFERROR(INDEX(Table!I:O,MATCH(K2699,Table!I:I,0),2),"")</f>
        <v/>
      </c>
      <c r="M2699" s="31" t="str">
        <f>IFERROR(INDEX(Table!I:O,MATCH(K2699,Table!I:I,0),3),"")</f>
        <v/>
      </c>
      <c r="N2699" s="32" t="str">
        <f>IFERROR(INDEX(Table!I:O,MATCH(K2699,Table!I:I,0),4),"")</f>
        <v/>
      </c>
      <c r="O2699" s="32" t="str">
        <f>IFERROR(INDEX(Table!I:O,MATCH(K2699,Table!I:I,0),5),"")</f>
        <v/>
      </c>
      <c r="P2699" s="32" t="str">
        <f>IFERROR(INDEX(Table!I:O,MATCH(K2699,Table!I:I,0),6),"")</f>
        <v/>
      </c>
      <c r="Q2699" s="89" t="str">
        <f t="shared" si="118"/>
        <v/>
      </c>
      <c r="R2699" s="89" t="str">
        <f t="shared" si="119"/>
        <v/>
      </c>
      <c r="S2699" s="82"/>
    </row>
    <row r="2700" spans="1:21" x14ac:dyDescent="0.25">
      <c r="A2700" s="31" t="str">
        <f>IF(Table!A2700 = "","",Table!A2700)</f>
        <v/>
      </c>
      <c r="B2700" s="31" t="str">
        <f>IF(Table!B2700 = "","",Table!B2700)</f>
        <v/>
      </c>
      <c r="C2700" s="31" t="str">
        <f>IF(Table!C2700 = "","",Table!C2700)</f>
        <v/>
      </c>
      <c r="D2700" s="32" t="str">
        <f>IF(Table!D2700 = "","",Table!D2700)</f>
        <v/>
      </c>
      <c r="E2700" s="32" t="str">
        <f>IF(Table!E2700 = "","",Table!E2700)</f>
        <v/>
      </c>
      <c r="F2700" s="32" t="str">
        <f>IF(Table!F2700 = "","",Table!F2700)</f>
        <v/>
      </c>
      <c r="G2700" s="91"/>
      <c r="K2700" s="31" t="str">
        <f>IFERROR(VLOOKUP(A2700,Table!$I$4:$O$3000,1,TRUE),"")</f>
        <v/>
      </c>
      <c r="L2700" s="31" t="str">
        <f>IFERROR(INDEX(Table!I:O,MATCH(K2700,Table!I:I,0),2),"")</f>
        <v/>
      </c>
      <c r="M2700" s="31" t="str">
        <f>IFERROR(INDEX(Table!I:O,MATCH(K2700,Table!I:I,0),3),"")</f>
        <v/>
      </c>
      <c r="N2700" s="32" t="str">
        <f>IFERROR(INDEX(Table!I:O,MATCH(K2700,Table!I:I,0),4),"")</f>
        <v/>
      </c>
      <c r="O2700" s="32" t="str">
        <f>IFERROR(INDEX(Table!I:O,MATCH(K2700,Table!I:I,0),5),"")</f>
        <v/>
      </c>
      <c r="P2700" s="32" t="str">
        <f>IFERROR(INDEX(Table!I:O,MATCH(K2700,Table!I:I,0),6),"")</f>
        <v/>
      </c>
      <c r="Q2700" s="89" t="str">
        <f t="shared" si="118"/>
        <v/>
      </c>
      <c r="R2700" s="89" t="str">
        <f t="shared" si="119"/>
        <v/>
      </c>
      <c r="S2700" s="82"/>
    </row>
    <row r="2701" spans="1:21" x14ac:dyDescent="0.25">
      <c r="A2701" s="31" t="str">
        <f>IF(Table!A2701 = "","",Table!A2701)</f>
        <v/>
      </c>
      <c r="B2701" s="31" t="str">
        <f>IF(Table!B2701 = "","",Table!B2701)</f>
        <v/>
      </c>
      <c r="C2701" s="31" t="str">
        <f>IF(Table!C2701 = "","",Table!C2701)</f>
        <v/>
      </c>
      <c r="D2701" s="32" t="str">
        <f>IF(Table!D2701 = "","",Table!D2701)</f>
        <v/>
      </c>
      <c r="E2701" s="32" t="str">
        <f>IF(Table!E2701 = "","",Table!E2701)</f>
        <v/>
      </c>
      <c r="F2701" s="32" t="str">
        <f>IF(Table!F2701 = "","",Table!F2701)</f>
        <v/>
      </c>
      <c r="G2701" s="91"/>
      <c r="K2701" s="31" t="str">
        <f>IFERROR(VLOOKUP(A2701,Table!$I$4:$O$3000,1,TRUE),"")</f>
        <v/>
      </c>
      <c r="L2701" s="31" t="str">
        <f>IFERROR(INDEX(Table!I:O,MATCH(K2701,Table!I:I,0),2),"")</f>
        <v/>
      </c>
      <c r="M2701" s="31" t="str">
        <f>IFERROR(INDEX(Table!I:O,MATCH(K2701,Table!I:I,0),3),"")</f>
        <v/>
      </c>
      <c r="N2701" s="32" t="str">
        <f>IFERROR(INDEX(Table!I:O,MATCH(K2701,Table!I:I,0),4),"")</f>
        <v/>
      </c>
      <c r="O2701" s="32" t="str">
        <f>IFERROR(INDEX(Table!I:O,MATCH(K2701,Table!I:I,0),5),"")</f>
        <v/>
      </c>
      <c r="P2701" s="32" t="str">
        <f>IFERROR(INDEX(Table!I:O,MATCH(K2701,Table!I:I,0),6),"")</f>
        <v/>
      </c>
      <c r="Q2701" s="89" t="str">
        <f t="shared" si="118"/>
        <v/>
      </c>
      <c r="R2701" s="89" t="str">
        <f t="shared" si="119"/>
        <v/>
      </c>
      <c r="S2701" s="82"/>
    </row>
    <row r="2702" spans="1:21" x14ac:dyDescent="0.25">
      <c r="A2702" s="31" t="str">
        <f>IF(Table!A2702 = "","",Table!A2702)</f>
        <v/>
      </c>
      <c r="B2702" s="31" t="str">
        <f>IF(Table!B2702 = "","",Table!B2702)</f>
        <v/>
      </c>
      <c r="C2702" s="31" t="str">
        <f>IF(Table!C2702 = "","",Table!C2702)</f>
        <v/>
      </c>
      <c r="D2702" s="32" t="str">
        <f>IF(Table!D2702 = "","",Table!D2702)</f>
        <v/>
      </c>
      <c r="E2702" s="32" t="str">
        <f>IF(Table!E2702 = "","",Table!E2702)</f>
        <v/>
      </c>
      <c r="F2702" s="32" t="str">
        <f>IF(Table!F2702 = "","",Table!F2702)</f>
        <v/>
      </c>
      <c r="G2702" s="91"/>
      <c r="K2702" s="31" t="str">
        <f>IFERROR(VLOOKUP(A2702,Table!$I$4:$O$3000,1,TRUE),"")</f>
        <v/>
      </c>
      <c r="L2702" s="31" t="str">
        <f>IFERROR(INDEX(Table!I:O,MATCH(K2702,Table!I:I,0),2),"")</f>
        <v/>
      </c>
      <c r="M2702" s="31" t="str">
        <f>IFERROR(INDEX(Table!I:O,MATCH(K2702,Table!I:I,0),3),"")</f>
        <v/>
      </c>
      <c r="N2702" s="32" t="str">
        <f>IFERROR(INDEX(Table!I:O,MATCH(K2702,Table!I:I,0),4),"")</f>
        <v/>
      </c>
      <c r="O2702" s="32" t="str">
        <f>IFERROR(INDEX(Table!I:O,MATCH(K2702,Table!I:I,0),5),"")</f>
        <v/>
      </c>
      <c r="P2702" s="32" t="str">
        <f>IFERROR(INDEX(Table!I:O,MATCH(K2702,Table!I:I,0),6),"")</f>
        <v/>
      </c>
      <c r="Q2702" s="89" t="str">
        <f t="shared" si="118"/>
        <v/>
      </c>
      <c r="R2702" s="89" t="str">
        <f t="shared" si="119"/>
        <v/>
      </c>
      <c r="S2702" s="82"/>
    </row>
    <row r="2703" spans="1:21" x14ac:dyDescent="0.25">
      <c r="A2703" s="31" t="str">
        <f>IF(Table!A2703 = "","",Table!A2703)</f>
        <v/>
      </c>
      <c r="B2703" s="31" t="str">
        <f>IF(Table!B2703 = "","",Table!B2703)</f>
        <v/>
      </c>
      <c r="C2703" s="31" t="str">
        <f>IF(Table!C2703 = "","",Table!C2703)</f>
        <v/>
      </c>
      <c r="D2703" s="32" t="str">
        <f>IF(Table!D2703 = "","",Table!D2703)</f>
        <v/>
      </c>
      <c r="E2703" s="32" t="str">
        <f>IF(Table!E2703 = "","",Table!E2703)</f>
        <v/>
      </c>
      <c r="F2703" s="32" t="str">
        <f>IF(Table!F2703 = "","",Table!F2703)</f>
        <v/>
      </c>
      <c r="G2703" s="91"/>
      <c r="K2703" s="31" t="str">
        <f>IFERROR(VLOOKUP(A2703,Table!$I$4:$O$3000,1,TRUE),"")</f>
        <v/>
      </c>
      <c r="L2703" s="31" t="str">
        <f>IFERROR(INDEX(Table!I:O,MATCH(K2703,Table!I:I,0),2),"")</f>
        <v/>
      </c>
      <c r="M2703" s="31" t="str">
        <f>IFERROR(INDEX(Table!I:O,MATCH(K2703,Table!I:I,0),3),"")</f>
        <v/>
      </c>
      <c r="N2703" s="32" t="str">
        <f>IFERROR(INDEX(Table!I:O,MATCH(K2703,Table!I:I,0),4),"")</f>
        <v/>
      </c>
      <c r="O2703" s="32" t="str">
        <f>IFERROR(INDEX(Table!I:O,MATCH(K2703,Table!I:I,0),5),"")</f>
        <v/>
      </c>
      <c r="P2703" s="32" t="str">
        <f>IFERROR(INDEX(Table!I:O,MATCH(K2703,Table!I:I,0),6),"")</f>
        <v/>
      </c>
      <c r="Q2703" s="89" t="str">
        <f t="shared" si="118"/>
        <v/>
      </c>
      <c r="R2703" s="89" t="str">
        <f t="shared" si="119"/>
        <v/>
      </c>
      <c r="S2703" s="82"/>
    </row>
    <row r="2704" spans="1:21" x14ac:dyDescent="0.25">
      <c r="A2704" s="31" t="str">
        <f>IF(Table!A2704 = "","",Table!A2704)</f>
        <v/>
      </c>
      <c r="B2704" s="31" t="str">
        <f>IF(Table!B2704 = "","",Table!B2704)</f>
        <v/>
      </c>
      <c r="C2704" s="31" t="str">
        <f>IF(Table!C2704 = "","",Table!C2704)</f>
        <v/>
      </c>
      <c r="D2704" s="32" t="str">
        <f>IF(Table!D2704 = "","",Table!D2704)</f>
        <v/>
      </c>
      <c r="E2704" s="32" t="str">
        <f>IF(Table!E2704 = "","",Table!E2704)</f>
        <v/>
      </c>
      <c r="F2704" s="32" t="str">
        <f>IF(Table!F2704 = "","",Table!F2704)</f>
        <v/>
      </c>
      <c r="G2704" s="91"/>
      <c r="K2704" s="31" t="str">
        <f>IFERROR(VLOOKUP(A2704,Table!$I$4:$O$3000,1,TRUE),"")</f>
        <v/>
      </c>
      <c r="L2704" s="31" t="str">
        <f>IFERROR(INDEX(Table!I:O,MATCH(K2704,Table!I:I,0),2),"")</f>
        <v/>
      </c>
      <c r="M2704" s="31" t="str">
        <f>IFERROR(INDEX(Table!I:O,MATCH(K2704,Table!I:I,0),3),"")</f>
        <v/>
      </c>
      <c r="N2704" s="32" t="str">
        <f>IFERROR(INDEX(Table!I:O,MATCH(K2704,Table!I:I,0),4),"")</f>
        <v/>
      </c>
      <c r="O2704" s="32" t="str">
        <f>IFERROR(INDEX(Table!I:O,MATCH(K2704,Table!I:I,0),5),"")</f>
        <v/>
      </c>
      <c r="P2704" s="32" t="str">
        <f>IFERROR(INDEX(Table!I:O,MATCH(K2704,Table!I:I,0),6),"")</f>
        <v/>
      </c>
      <c r="Q2704" s="89" t="str">
        <f t="shared" si="118"/>
        <v/>
      </c>
      <c r="R2704" s="89" t="str">
        <f t="shared" si="119"/>
        <v/>
      </c>
      <c r="S2704" s="82"/>
    </row>
    <row r="2705" spans="1:19" x14ac:dyDescent="0.25">
      <c r="A2705" s="31" t="str">
        <f>IF(Table!A2705 = "","",Table!A2705)</f>
        <v/>
      </c>
      <c r="B2705" s="31" t="str">
        <f>IF(Table!B2705 = "","",Table!B2705)</f>
        <v/>
      </c>
      <c r="C2705" s="31" t="str">
        <f>IF(Table!C2705 = "","",Table!C2705)</f>
        <v/>
      </c>
      <c r="D2705" s="32" t="str">
        <f>IF(Table!D2705 = "","",Table!D2705)</f>
        <v/>
      </c>
      <c r="E2705" s="32" t="str">
        <f>IF(Table!E2705 = "","",Table!E2705)</f>
        <v/>
      </c>
      <c r="F2705" s="32" t="str">
        <f>IF(Table!F2705 = "","",Table!F2705)</f>
        <v/>
      </c>
      <c r="G2705" s="91"/>
      <c r="K2705" s="31" t="str">
        <f>IFERROR(VLOOKUP(A2705,Table!$I$4:$O$3000,1,TRUE),"")</f>
        <v/>
      </c>
      <c r="L2705" s="31" t="str">
        <f>IFERROR(INDEX(Table!I:O,MATCH(K2705,Table!I:I,0),2),"")</f>
        <v/>
      </c>
      <c r="M2705" s="31" t="str">
        <f>IFERROR(INDEX(Table!I:O,MATCH(K2705,Table!I:I,0),3),"")</f>
        <v/>
      </c>
      <c r="N2705" s="32" t="str">
        <f>IFERROR(INDEX(Table!I:O,MATCH(K2705,Table!I:I,0),4),"")</f>
        <v/>
      </c>
      <c r="O2705" s="32" t="str">
        <f>IFERROR(INDEX(Table!I:O,MATCH(K2705,Table!I:I,0),5),"")</f>
        <v/>
      </c>
      <c r="P2705" s="32" t="str">
        <f>IFERROR(INDEX(Table!I:O,MATCH(K2705,Table!I:I,0),6),"")</f>
        <v/>
      </c>
      <c r="Q2705" s="89" t="str">
        <f t="shared" si="118"/>
        <v/>
      </c>
      <c r="R2705" s="89" t="str">
        <f t="shared" si="119"/>
        <v/>
      </c>
      <c r="S2705" s="82"/>
    </row>
    <row r="2706" spans="1:19" x14ac:dyDescent="0.25">
      <c r="A2706" s="31" t="str">
        <f>IF(Table!A2706 = "","",Table!A2706)</f>
        <v/>
      </c>
      <c r="B2706" s="31" t="str">
        <f>IF(Table!B2706 = "","",Table!B2706)</f>
        <v/>
      </c>
      <c r="C2706" s="31" t="str">
        <f>IF(Table!C2706 = "","",Table!C2706)</f>
        <v/>
      </c>
      <c r="D2706" s="32" t="str">
        <f>IF(Table!D2706 = "","",Table!D2706)</f>
        <v/>
      </c>
      <c r="E2706" s="32" t="str">
        <f>IF(Table!E2706 = "","",Table!E2706)</f>
        <v/>
      </c>
      <c r="F2706" s="32" t="str">
        <f>IF(Table!F2706 = "","",Table!F2706)</f>
        <v/>
      </c>
      <c r="G2706" s="91"/>
      <c r="K2706" s="31" t="str">
        <f>IFERROR(VLOOKUP(A2706,Table!$I$4:$O$3000,1,TRUE),"")</f>
        <v/>
      </c>
      <c r="L2706" s="31" t="str">
        <f>IFERROR(INDEX(Table!I:O,MATCH(K2706,Table!I:I,0),2),"")</f>
        <v/>
      </c>
      <c r="M2706" s="31" t="str">
        <f>IFERROR(INDEX(Table!I:O,MATCH(K2706,Table!I:I,0),3),"")</f>
        <v/>
      </c>
      <c r="N2706" s="32" t="str">
        <f>IFERROR(INDEX(Table!I:O,MATCH(K2706,Table!I:I,0),4),"")</f>
        <v/>
      </c>
      <c r="O2706" s="32" t="str">
        <f>IFERROR(INDEX(Table!I:O,MATCH(K2706,Table!I:I,0),5),"")</f>
        <v/>
      </c>
      <c r="P2706" s="32" t="str">
        <f>IFERROR(INDEX(Table!I:O,MATCH(K2706,Table!I:I,0),6),"")</f>
        <v/>
      </c>
      <c r="Q2706" s="89" t="str">
        <f t="shared" si="118"/>
        <v/>
      </c>
      <c r="R2706" s="89" t="str">
        <f t="shared" si="119"/>
        <v/>
      </c>
      <c r="S2706" s="82"/>
    </row>
    <row r="2707" spans="1:19" x14ac:dyDescent="0.25">
      <c r="A2707" s="31" t="str">
        <f>IF(Table!A2707 = "","",Table!A2707)</f>
        <v/>
      </c>
      <c r="B2707" s="31" t="str">
        <f>IF(Table!B2707 = "","",Table!B2707)</f>
        <v/>
      </c>
      <c r="C2707" s="31" t="str">
        <f>IF(Table!C2707 = "","",Table!C2707)</f>
        <v/>
      </c>
      <c r="D2707" s="32" t="str">
        <f>IF(Table!D2707 = "","",Table!D2707)</f>
        <v/>
      </c>
      <c r="E2707" s="32" t="str">
        <f>IF(Table!E2707 = "","",Table!E2707)</f>
        <v/>
      </c>
      <c r="F2707" s="32" t="str">
        <f>IF(Table!F2707 = "","",Table!F2707)</f>
        <v/>
      </c>
      <c r="G2707" s="91"/>
      <c r="K2707" s="31" t="str">
        <f>IFERROR(VLOOKUP(A2707,Table!$I$4:$O$3000,1,TRUE),"")</f>
        <v/>
      </c>
      <c r="L2707" s="31" t="str">
        <f>IFERROR(INDEX(Table!I:O,MATCH(K2707,Table!I:I,0),2),"")</f>
        <v/>
      </c>
      <c r="M2707" s="31" t="str">
        <f>IFERROR(INDEX(Table!I:O,MATCH(K2707,Table!I:I,0),3),"")</f>
        <v/>
      </c>
      <c r="N2707" s="32" t="str">
        <f>IFERROR(INDEX(Table!I:O,MATCH(K2707,Table!I:I,0),4),"")</f>
        <v/>
      </c>
      <c r="O2707" s="32" t="str">
        <f>IFERROR(INDEX(Table!I:O,MATCH(K2707,Table!I:I,0),5),"")</f>
        <v/>
      </c>
      <c r="P2707" s="32" t="str">
        <f>IFERROR(INDEX(Table!I:O,MATCH(K2707,Table!I:I,0),6),"")</f>
        <v/>
      </c>
      <c r="Q2707" s="89" t="str">
        <f t="shared" si="118"/>
        <v/>
      </c>
      <c r="R2707" s="89" t="str">
        <f t="shared" si="119"/>
        <v/>
      </c>
      <c r="S2707" s="82"/>
    </row>
    <row r="2708" spans="1:19" x14ac:dyDescent="0.25">
      <c r="A2708" s="31" t="str">
        <f>IF(Table!A2708 = "","",Table!A2708)</f>
        <v/>
      </c>
      <c r="B2708" s="31" t="str">
        <f>IF(Table!B2708 = "","",Table!B2708)</f>
        <v/>
      </c>
      <c r="C2708" s="31" t="str">
        <f>IF(Table!C2708 = "","",Table!C2708)</f>
        <v/>
      </c>
      <c r="D2708" s="32" t="str">
        <f>IF(Table!D2708 = "","",Table!D2708)</f>
        <v/>
      </c>
      <c r="E2708" s="32" t="str">
        <f>IF(Table!E2708 = "","",Table!E2708)</f>
        <v/>
      </c>
      <c r="F2708" s="32" t="str">
        <f>IF(Table!F2708 = "","",Table!F2708)</f>
        <v/>
      </c>
      <c r="G2708" s="91"/>
      <c r="K2708" s="31" t="str">
        <f>IFERROR(VLOOKUP(A2708,Table!$I$4:$O$3000,1,TRUE),"")</f>
        <v/>
      </c>
      <c r="L2708" s="31" t="str">
        <f>IFERROR(INDEX(Table!I:O,MATCH(K2708,Table!I:I,0),2),"")</f>
        <v/>
      </c>
      <c r="M2708" s="31" t="str">
        <f>IFERROR(INDEX(Table!I:O,MATCH(K2708,Table!I:I,0),3),"")</f>
        <v/>
      </c>
      <c r="N2708" s="32" t="str">
        <f>IFERROR(INDEX(Table!I:O,MATCH(K2708,Table!I:I,0),4),"")</f>
        <v/>
      </c>
      <c r="O2708" s="32" t="str">
        <f>IFERROR(INDEX(Table!I:O,MATCH(K2708,Table!I:I,0),5),"")</f>
        <v/>
      </c>
      <c r="P2708" s="32" t="str">
        <f>IFERROR(INDEX(Table!I:O,MATCH(K2708,Table!I:I,0),6),"")</f>
        <v/>
      </c>
      <c r="Q2708" s="89" t="str">
        <f t="shared" si="118"/>
        <v/>
      </c>
      <c r="R2708" s="89" t="str">
        <f t="shared" si="119"/>
        <v/>
      </c>
      <c r="S2708" s="82"/>
    </row>
    <row r="2709" spans="1:19" x14ac:dyDescent="0.25">
      <c r="A2709" s="31" t="str">
        <f>IF(Table!A2709 = "","",Table!A2709)</f>
        <v/>
      </c>
      <c r="B2709" s="31" t="str">
        <f>IF(Table!B2709 = "","",Table!B2709)</f>
        <v/>
      </c>
      <c r="C2709" s="31" t="str">
        <f>IF(Table!C2709 = "","",Table!C2709)</f>
        <v/>
      </c>
      <c r="D2709" s="32" t="str">
        <f>IF(Table!D2709 = "","",Table!D2709)</f>
        <v/>
      </c>
      <c r="E2709" s="32" t="str">
        <f>IF(Table!E2709 = "","",Table!E2709)</f>
        <v/>
      </c>
      <c r="F2709" s="32" t="str">
        <f>IF(Table!F2709 = "","",Table!F2709)</f>
        <v/>
      </c>
      <c r="G2709" s="91"/>
      <c r="K2709" s="31" t="str">
        <f>IFERROR(VLOOKUP(A2709,Table!$I$4:$O$3000,1,TRUE),"")</f>
        <v/>
      </c>
      <c r="L2709" s="31" t="str">
        <f>IFERROR(INDEX(Table!I:O,MATCH(K2709,Table!I:I,0),2),"")</f>
        <v/>
      </c>
      <c r="M2709" s="31" t="str">
        <f>IFERROR(INDEX(Table!I:O,MATCH(K2709,Table!I:I,0),3),"")</f>
        <v/>
      </c>
      <c r="N2709" s="32" t="str">
        <f>IFERROR(INDEX(Table!I:O,MATCH(K2709,Table!I:I,0),4),"")</f>
        <v/>
      </c>
      <c r="O2709" s="32" t="str">
        <f>IFERROR(INDEX(Table!I:O,MATCH(K2709,Table!I:I,0),5),"")</f>
        <v/>
      </c>
      <c r="P2709" s="32" t="str">
        <f>IFERROR(INDEX(Table!I:O,MATCH(K2709,Table!I:I,0),6),"")</f>
        <v/>
      </c>
      <c r="Q2709" s="89" t="str">
        <f t="shared" si="118"/>
        <v/>
      </c>
      <c r="R2709" s="89" t="str">
        <f t="shared" si="119"/>
        <v/>
      </c>
      <c r="S2709" s="82"/>
    </row>
    <row r="2710" spans="1:19" x14ac:dyDescent="0.25">
      <c r="A2710" s="31" t="str">
        <f>IF(Table!A2710 = "","",Table!A2710)</f>
        <v/>
      </c>
      <c r="B2710" s="31" t="str">
        <f>IF(Table!B2710 = "","",Table!B2710)</f>
        <v/>
      </c>
      <c r="C2710" s="31" t="str">
        <f>IF(Table!C2710 = "","",Table!C2710)</f>
        <v/>
      </c>
      <c r="D2710" s="32" t="str">
        <f>IF(Table!D2710 = "","",Table!D2710)</f>
        <v/>
      </c>
      <c r="E2710" s="32" t="str">
        <f>IF(Table!E2710 = "","",Table!E2710)</f>
        <v/>
      </c>
      <c r="F2710" s="32" t="str">
        <f>IF(Table!F2710 = "","",Table!F2710)</f>
        <v/>
      </c>
      <c r="G2710" s="91"/>
      <c r="K2710" s="31" t="str">
        <f>IFERROR(VLOOKUP(A2710,Table!$I$4:$O$3000,1,TRUE),"")</f>
        <v/>
      </c>
      <c r="L2710" s="31" t="str">
        <f>IFERROR(INDEX(Table!I:O,MATCH(K2710,Table!I:I,0),2),"")</f>
        <v/>
      </c>
      <c r="M2710" s="31" t="str">
        <f>IFERROR(INDEX(Table!I:O,MATCH(K2710,Table!I:I,0),3),"")</f>
        <v/>
      </c>
      <c r="N2710" s="32" t="str">
        <f>IFERROR(INDEX(Table!I:O,MATCH(K2710,Table!I:I,0),4),"")</f>
        <v/>
      </c>
      <c r="O2710" s="32" t="str">
        <f>IFERROR(INDEX(Table!I:O,MATCH(K2710,Table!I:I,0),5),"")</f>
        <v/>
      </c>
      <c r="P2710" s="32" t="str">
        <f>IFERROR(INDEX(Table!I:O,MATCH(K2710,Table!I:I,0),6),"")</f>
        <v/>
      </c>
      <c r="Q2710" s="89" t="str">
        <f t="shared" si="118"/>
        <v/>
      </c>
      <c r="R2710" s="89" t="str">
        <f t="shared" si="119"/>
        <v/>
      </c>
      <c r="S2710" s="82"/>
    </row>
    <row r="2711" spans="1:19" x14ac:dyDescent="0.25">
      <c r="A2711" s="31" t="str">
        <f>IF(Table!A2711 = "","",Table!A2711)</f>
        <v/>
      </c>
      <c r="B2711" s="31" t="str">
        <f>IF(Table!B2711 = "","",Table!B2711)</f>
        <v/>
      </c>
      <c r="C2711" s="31" t="str">
        <f>IF(Table!C2711 = "","",Table!C2711)</f>
        <v/>
      </c>
      <c r="D2711" s="32" t="str">
        <f>IF(Table!D2711 = "","",Table!D2711)</f>
        <v/>
      </c>
      <c r="E2711" s="32" t="str">
        <f>IF(Table!E2711 = "","",Table!E2711)</f>
        <v/>
      </c>
      <c r="F2711" s="32" t="str">
        <f>IF(Table!F2711 = "","",Table!F2711)</f>
        <v/>
      </c>
      <c r="G2711" s="91"/>
      <c r="K2711" s="31" t="str">
        <f>IFERROR(VLOOKUP(A2711,Table!$I$4:$O$3000,1,TRUE),"")</f>
        <v/>
      </c>
      <c r="L2711" s="31" t="str">
        <f>IFERROR(INDEX(Table!I:O,MATCH(K2711,Table!I:I,0),2),"")</f>
        <v/>
      </c>
      <c r="M2711" s="31" t="str">
        <f>IFERROR(INDEX(Table!I:O,MATCH(K2711,Table!I:I,0),3),"")</f>
        <v/>
      </c>
      <c r="N2711" s="32" t="str">
        <f>IFERROR(INDEX(Table!I:O,MATCH(K2711,Table!I:I,0),4),"")</f>
        <v/>
      </c>
      <c r="O2711" s="32" t="str">
        <f>IFERROR(INDEX(Table!I:O,MATCH(K2711,Table!I:I,0),5),"")</f>
        <v/>
      </c>
      <c r="P2711" s="32" t="str">
        <f>IFERROR(INDEX(Table!I:O,MATCH(K2711,Table!I:I,0),6),"")</f>
        <v/>
      </c>
      <c r="Q2711" s="89" t="str">
        <f t="shared" si="118"/>
        <v/>
      </c>
      <c r="R2711" s="89" t="str">
        <f t="shared" si="119"/>
        <v/>
      </c>
      <c r="S2711" s="82"/>
    </row>
    <row r="2712" spans="1:19" x14ac:dyDescent="0.25">
      <c r="A2712" s="31" t="str">
        <f>IF(Table!A2712 = "","",Table!A2712)</f>
        <v/>
      </c>
      <c r="B2712" s="31" t="str">
        <f>IF(Table!B2712 = "","",Table!B2712)</f>
        <v/>
      </c>
      <c r="C2712" s="31" t="str">
        <f>IF(Table!C2712 = "","",Table!C2712)</f>
        <v/>
      </c>
      <c r="D2712" s="32" t="str">
        <f>IF(Table!D2712 = "","",Table!D2712)</f>
        <v/>
      </c>
      <c r="E2712" s="32" t="str">
        <f>IF(Table!E2712 = "","",Table!E2712)</f>
        <v/>
      </c>
      <c r="F2712" s="32" t="str">
        <f>IF(Table!F2712 = "","",Table!F2712)</f>
        <v/>
      </c>
      <c r="G2712" s="91"/>
      <c r="K2712" s="31" t="str">
        <f>IFERROR(VLOOKUP(A2712,Table!$I$4:$O$3000,1,TRUE),"")</f>
        <v/>
      </c>
      <c r="L2712" s="31" t="str">
        <f>IFERROR(INDEX(Table!I:O,MATCH(K2712,Table!I:I,0),2),"")</f>
        <v/>
      </c>
      <c r="M2712" s="31" t="str">
        <f>IFERROR(INDEX(Table!I:O,MATCH(K2712,Table!I:I,0),3),"")</f>
        <v/>
      </c>
      <c r="N2712" s="32" t="str">
        <f>IFERROR(INDEX(Table!I:O,MATCH(K2712,Table!I:I,0),4),"")</f>
        <v/>
      </c>
      <c r="O2712" s="32" t="str">
        <f>IFERROR(INDEX(Table!I:O,MATCH(K2712,Table!I:I,0),5),"")</f>
        <v/>
      </c>
      <c r="P2712" s="32" t="str">
        <f>IFERROR(INDEX(Table!I:O,MATCH(K2712,Table!I:I,0),6),"")</f>
        <v/>
      </c>
      <c r="Q2712" s="89" t="str">
        <f t="shared" si="118"/>
        <v/>
      </c>
      <c r="R2712" s="89" t="str">
        <f t="shared" si="119"/>
        <v/>
      </c>
      <c r="S2712" s="82"/>
    </row>
    <row r="2713" spans="1:19" x14ac:dyDescent="0.25">
      <c r="A2713" s="31" t="str">
        <f>IF(Table!A2713 = "","",Table!A2713)</f>
        <v/>
      </c>
      <c r="B2713" s="31" t="str">
        <f>IF(Table!B2713 = "","",Table!B2713)</f>
        <v/>
      </c>
      <c r="C2713" s="31" t="str">
        <f>IF(Table!C2713 = "","",Table!C2713)</f>
        <v/>
      </c>
      <c r="D2713" s="32" t="str">
        <f>IF(Table!D2713 = "","",Table!D2713)</f>
        <v/>
      </c>
      <c r="E2713" s="32" t="str">
        <f>IF(Table!E2713 = "","",Table!E2713)</f>
        <v/>
      </c>
      <c r="F2713" s="32" t="str">
        <f>IF(Table!F2713 = "","",Table!F2713)</f>
        <v/>
      </c>
      <c r="G2713" s="91"/>
      <c r="K2713" s="31" t="str">
        <f>IFERROR(VLOOKUP(A2713,Table!$I$4:$O$3000,1,TRUE),"")</f>
        <v/>
      </c>
      <c r="L2713" s="31" t="str">
        <f>IFERROR(INDEX(Table!I:O,MATCH(K2713,Table!I:I,0),2),"")</f>
        <v/>
      </c>
      <c r="M2713" s="31" t="str">
        <f>IFERROR(INDEX(Table!I:O,MATCH(K2713,Table!I:I,0),3),"")</f>
        <v/>
      </c>
      <c r="N2713" s="32" t="str">
        <f>IFERROR(INDEX(Table!I:O,MATCH(K2713,Table!I:I,0),4),"")</f>
        <v/>
      </c>
      <c r="O2713" s="32" t="str">
        <f>IFERROR(INDEX(Table!I:O,MATCH(K2713,Table!I:I,0),5),"")</f>
        <v/>
      </c>
      <c r="P2713" s="32" t="str">
        <f>IFERROR(INDEX(Table!I:O,MATCH(K2713,Table!I:I,0),6),"")</f>
        <v/>
      </c>
      <c r="Q2713" s="89" t="str">
        <f t="shared" si="118"/>
        <v/>
      </c>
      <c r="R2713" s="89" t="str">
        <f t="shared" si="119"/>
        <v/>
      </c>
      <c r="S2713" s="82"/>
    </row>
    <row r="2714" spans="1:19" x14ac:dyDescent="0.25">
      <c r="A2714" s="31" t="str">
        <f>IF(Table!A2714 = "","",Table!A2714)</f>
        <v/>
      </c>
      <c r="B2714" s="31" t="str">
        <f>IF(Table!B2714 = "","",Table!B2714)</f>
        <v/>
      </c>
      <c r="C2714" s="31" t="str">
        <f>IF(Table!C2714 = "","",Table!C2714)</f>
        <v/>
      </c>
      <c r="D2714" s="32" t="str">
        <f>IF(Table!D2714 = "","",Table!D2714)</f>
        <v/>
      </c>
      <c r="E2714" s="32" t="str">
        <f>IF(Table!E2714 = "","",Table!E2714)</f>
        <v/>
      </c>
      <c r="F2714" s="32" t="str">
        <f>IF(Table!F2714 = "","",Table!F2714)</f>
        <v/>
      </c>
      <c r="G2714" s="91"/>
      <c r="K2714" s="31" t="str">
        <f>IFERROR(VLOOKUP(A2714,Table!$I$4:$O$3000,1,TRUE),"")</f>
        <v/>
      </c>
      <c r="L2714" s="31" t="str">
        <f>IFERROR(INDEX(Table!I:O,MATCH(K2714,Table!I:I,0),2),"")</f>
        <v/>
      </c>
      <c r="M2714" s="31" t="str">
        <f>IFERROR(INDEX(Table!I:O,MATCH(K2714,Table!I:I,0),3),"")</f>
        <v/>
      </c>
      <c r="N2714" s="32" t="str">
        <f>IFERROR(INDEX(Table!I:O,MATCH(K2714,Table!I:I,0),4),"")</f>
        <v/>
      </c>
      <c r="O2714" s="32" t="str">
        <f>IFERROR(INDEX(Table!I:O,MATCH(K2714,Table!I:I,0),5),"")</f>
        <v/>
      </c>
      <c r="P2714" s="32" t="str">
        <f>IFERROR(INDEX(Table!I:O,MATCH(K2714,Table!I:I,0),6),"")</f>
        <v/>
      </c>
      <c r="Q2714" s="89" t="str">
        <f t="shared" si="118"/>
        <v/>
      </c>
      <c r="R2714" s="89" t="str">
        <f t="shared" si="119"/>
        <v/>
      </c>
      <c r="S2714" s="82"/>
    </row>
    <row r="2715" spans="1:19" x14ac:dyDescent="0.25">
      <c r="A2715" s="31" t="str">
        <f>IF(Table!A2715 = "","",Table!A2715)</f>
        <v/>
      </c>
      <c r="B2715" s="31" t="str">
        <f>IF(Table!B2715 = "","",Table!B2715)</f>
        <v/>
      </c>
      <c r="C2715" s="31" t="str">
        <f>IF(Table!C2715 = "","",Table!C2715)</f>
        <v/>
      </c>
      <c r="D2715" s="32" t="str">
        <f>IF(Table!D2715 = "","",Table!D2715)</f>
        <v/>
      </c>
      <c r="E2715" s="32" t="str">
        <f>IF(Table!E2715 = "","",Table!E2715)</f>
        <v/>
      </c>
      <c r="F2715" s="32" t="str">
        <f>IF(Table!F2715 = "","",Table!F2715)</f>
        <v/>
      </c>
      <c r="G2715" s="91"/>
      <c r="K2715" s="31" t="str">
        <f>IFERROR(VLOOKUP(A2715,Table!$I$4:$O$3000,1,TRUE),"")</f>
        <v/>
      </c>
      <c r="L2715" s="31" t="str">
        <f>IFERROR(INDEX(Table!I:O,MATCH(K2715,Table!I:I,0),2),"")</f>
        <v/>
      </c>
      <c r="M2715" s="31" t="str">
        <f>IFERROR(INDEX(Table!I:O,MATCH(K2715,Table!I:I,0),3),"")</f>
        <v/>
      </c>
      <c r="N2715" s="32" t="str">
        <f>IFERROR(INDEX(Table!I:O,MATCH(K2715,Table!I:I,0),4),"")</f>
        <v/>
      </c>
      <c r="O2715" s="32" t="str">
        <f>IFERROR(INDEX(Table!I:O,MATCH(K2715,Table!I:I,0),5),"")</f>
        <v/>
      </c>
      <c r="P2715" s="32" t="str">
        <f>IFERROR(INDEX(Table!I:O,MATCH(K2715,Table!I:I,0),6),"")</f>
        <v/>
      </c>
      <c r="Q2715" s="89" t="str">
        <f t="shared" si="118"/>
        <v/>
      </c>
      <c r="R2715" s="89" t="str">
        <f t="shared" si="119"/>
        <v/>
      </c>
      <c r="S2715" s="82"/>
    </row>
    <row r="2716" spans="1:19" x14ac:dyDescent="0.25">
      <c r="A2716" s="31" t="str">
        <f>IF(Table!A2716 = "","",Table!A2716)</f>
        <v/>
      </c>
      <c r="B2716" s="31" t="str">
        <f>IF(Table!B2716 = "","",Table!B2716)</f>
        <v/>
      </c>
      <c r="C2716" s="31" t="str">
        <f>IF(Table!C2716 = "","",Table!C2716)</f>
        <v/>
      </c>
      <c r="D2716" s="32" t="str">
        <f>IF(Table!D2716 = "","",Table!D2716)</f>
        <v/>
      </c>
      <c r="E2716" s="32" t="str">
        <f>IF(Table!E2716 = "","",Table!E2716)</f>
        <v/>
      </c>
      <c r="F2716" s="32" t="str">
        <f>IF(Table!F2716 = "","",Table!F2716)</f>
        <v/>
      </c>
      <c r="G2716" s="91"/>
      <c r="K2716" s="31" t="str">
        <f>IFERROR(VLOOKUP(A2716,Table!$I$4:$O$3000,1,TRUE),"")</f>
        <v/>
      </c>
      <c r="L2716" s="31" t="str">
        <f>IFERROR(INDEX(Table!I:O,MATCH(K2716,Table!I:I,0),2),"")</f>
        <v/>
      </c>
      <c r="M2716" s="31" t="str">
        <f>IFERROR(INDEX(Table!I:O,MATCH(K2716,Table!I:I,0),3),"")</f>
        <v/>
      </c>
      <c r="N2716" s="32" t="str">
        <f>IFERROR(INDEX(Table!I:O,MATCH(K2716,Table!I:I,0),4),"")</f>
        <v/>
      </c>
      <c r="O2716" s="32" t="str">
        <f>IFERROR(INDEX(Table!I:O,MATCH(K2716,Table!I:I,0),5),"")</f>
        <v/>
      </c>
      <c r="P2716" s="32" t="str">
        <f>IFERROR(INDEX(Table!I:O,MATCH(K2716,Table!I:I,0),6),"")</f>
        <v/>
      </c>
      <c r="Q2716" s="89" t="str">
        <f t="shared" si="118"/>
        <v/>
      </c>
      <c r="R2716" s="89" t="str">
        <f t="shared" si="119"/>
        <v/>
      </c>
      <c r="S2716" s="82"/>
    </row>
    <row r="2717" spans="1:19" x14ac:dyDescent="0.25">
      <c r="A2717" s="31" t="str">
        <f>IF(Table!A2717 = "","",Table!A2717)</f>
        <v/>
      </c>
      <c r="B2717" s="31" t="str">
        <f>IF(Table!B2717 = "","",Table!B2717)</f>
        <v/>
      </c>
      <c r="C2717" s="31" t="str">
        <f>IF(Table!C2717 = "","",Table!C2717)</f>
        <v/>
      </c>
      <c r="D2717" s="32" t="str">
        <f>IF(Table!D2717 = "","",Table!D2717)</f>
        <v/>
      </c>
      <c r="E2717" s="32" t="str">
        <f>IF(Table!E2717 = "","",Table!E2717)</f>
        <v/>
      </c>
      <c r="F2717" s="32" t="str">
        <f>IF(Table!F2717 = "","",Table!F2717)</f>
        <v/>
      </c>
      <c r="G2717" s="91"/>
      <c r="K2717" s="31" t="str">
        <f>IFERROR(VLOOKUP(A2717,Table!$I$4:$O$3000,1,TRUE),"")</f>
        <v/>
      </c>
      <c r="L2717" s="31" t="str">
        <f>IFERROR(INDEX(Table!I:O,MATCH(K2717,Table!I:I,0),2),"")</f>
        <v/>
      </c>
      <c r="M2717" s="31" t="str">
        <f>IFERROR(INDEX(Table!I:O,MATCH(K2717,Table!I:I,0),3),"")</f>
        <v/>
      </c>
      <c r="N2717" s="32" t="str">
        <f>IFERROR(INDEX(Table!I:O,MATCH(K2717,Table!I:I,0),4),"")</f>
        <v/>
      </c>
      <c r="O2717" s="32" t="str">
        <f>IFERROR(INDEX(Table!I:O,MATCH(K2717,Table!I:I,0),5),"")</f>
        <v/>
      </c>
      <c r="P2717" s="32" t="str">
        <f>IFERROR(INDEX(Table!I:O,MATCH(K2717,Table!I:I,0),6),"")</f>
        <v/>
      </c>
      <c r="Q2717" s="89" t="str">
        <f t="shared" si="118"/>
        <v/>
      </c>
      <c r="R2717" s="89" t="str">
        <f t="shared" si="119"/>
        <v/>
      </c>
      <c r="S2717" s="82"/>
    </row>
    <row r="2718" spans="1:19" x14ac:dyDescent="0.25">
      <c r="A2718" s="31" t="str">
        <f>IF(Table!A2718 = "","",Table!A2718)</f>
        <v/>
      </c>
      <c r="B2718" s="31" t="str">
        <f>IF(Table!B2718 = "","",Table!B2718)</f>
        <v/>
      </c>
      <c r="C2718" s="31" t="str">
        <f>IF(Table!C2718 = "","",Table!C2718)</f>
        <v/>
      </c>
      <c r="D2718" s="32" t="str">
        <f>IF(Table!D2718 = "","",Table!D2718)</f>
        <v/>
      </c>
      <c r="E2718" s="32" t="str">
        <f>IF(Table!E2718 = "","",Table!E2718)</f>
        <v/>
      </c>
      <c r="F2718" s="32" t="str">
        <f>IF(Table!F2718 = "","",Table!F2718)</f>
        <v/>
      </c>
      <c r="G2718" s="91"/>
      <c r="K2718" s="31" t="str">
        <f>IFERROR(VLOOKUP(A2718,Table!$I$4:$O$3000,1,TRUE),"")</f>
        <v/>
      </c>
      <c r="L2718" s="31" t="str">
        <f>IFERROR(INDEX(Table!I:O,MATCH(K2718,Table!I:I,0),2),"")</f>
        <v/>
      </c>
      <c r="M2718" s="31" t="str">
        <f>IFERROR(INDEX(Table!I:O,MATCH(K2718,Table!I:I,0),3),"")</f>
        <v/>
      </c>
      <c r="N2718" s="32" t="str">
        <f>IFERROR(INDEX(Table!I:O,MATCH(K2718,Table!I:I,0),4),"")</f>
        <v/>
      </c>
      <c r="O2718" s="32" t="str">
        <f>IFERROR(INDEX(Table!I:O,MATCH(K2718,Table!I:I,0),5),"")</f>
        <v/>
      </c>
      <c r="P2718" s="32" t="str">
        <f>IFERROR(INDEX(Table!I:O,MATCH(K2718,Table!I:I,0),6),"")</f>
        <v/>
      </c>
      <c r="Q2718" s="89" t="str">
        <f t="shared" si="118"/>
        <v/>
      </c>
      <c r="R2718" s="89" t="str">
        <f t="shared" si="119"/>
        <v/>
      </c>
      <c r="S2718" s="82"/>
    </row>
    <row r="2719" spans="1:19" x14ac:dyDescent="0.25">
      <c r="A2719" s="31" t="str">
        <f>IF(Table!A2719 = "","",Table!A2719)</f>
        <v/>
      </c>
      <c r="B2719" s="31" t="str">
        <f>IF(Table!B2719 = "","",Table!B2719)</f>
        <v/>
      </c>
      <c r="C2719" s="31" t="str">
        <f>IF(Table!C2719 = "","",Table!C2719)</f>
        <v/>
      </c>
      <c r="D2719" s="32" t="str">
        <f>IF(Table!D2719 = "","",Table!D2719)</f>
        <v/>
      </c>
      <c r="E2719" s="32" t="str">
        <f>IF(Table!E2719 = "","",Table!E2719)</f>
        <v/>
      </c>
      <c r="F2719" s="32" t="str">
        <f>IF(Table!F2719 = "","",Table!F2719)</f>
        <v/>
      </c>
      <c r="G2719" s="91"/>
      <c r="K2719" s="31" t="str">
        <f>IFERROR(VLOOKUP(A2719,Table!$I$4:$O$3000,1,TRUE),"")</f>
        <v/>
      </c>
      <c r="L2719" s="31" t="str">
        <f>IFERROR(INDEX(Table!I:O,MATCH(K2719,Table!I:I,0),2),"")</f>
        <v/>
      </c>
      <c r="M2719" s="31" t="str">
        <f>IFERROR(INDEX(Table!I:O,MATCH(K2719,Table!I:I,0),3),"")</f>
        <v/>
      </c>
      <c r="N2719" s="32" t="str">
        <f>IFERROR(INDEX(Table!I:O,MATCH(K2719,Table!I:I,0),4),"")</f>
        <v/>
      </c>
      <c r="O2719" s="32" t="str">
        <f>IFERROR(INDEX(Table!I:O,MATCH(K2719,Table!I:I,0),5),"")</f>
        <v/>
      </c>
      <c r="P2719" s="32" t="str">
        <f>IFERROR(INDEX(Table!I:O,MATCH(K2719,Table!I:I,0),6),"")</f>
        <v/>
      </c>
      <c r="Q2719" s="89" t="str">
        <f t="shared" si="118"/>
        <v/>
      </c>
      <c r="R2719" s="89" t="str">
        <f t="shared" si="119"/>
        <v/>
      </c>
      <c r="S2719" s="82"/>
    </row>
    <row r="2720" spans="1:19" x14ac:dyDescent="0.25">
      <c r="A2720" s="31" t="str">
        <f>IF(Table!A2720 = "","",Table!A2720)</f>
        <v/>
      </c>
      <c r="B2720" s="31" t="str">
        <f>IF(Table!B2720 = "","",Table!B2720)</f>
        <v/>
      </c>
      <c r="C2720" s="31" t="str">
        <f>IF(Table!C2720 = "","",Table!C2720)</f>
        <v/>
      </c>
      <c r="D2720" s="32" t="str">
        <f>IF(Table!D2720 = "","",Table!D2720)</f>
        <v/>
      </c>
      <c r="E2720" s="32" t="str">
        <f>IF(Table!E2720 = "","",Table!E2720)</f>
        <v/>
      </c>
      <c r="F2720" s="32" t="str">
        <f>IF(Table!F2720 = "","",Table!F2720)</f>
        <v/>
      </c>
      <c r="G2720" s="91"/>
      <c r="K2720" s="31" t="str">
        <f>IFERROR(VLOOKUP(A2720,Table!$I$4:$O$3000,1,TRUE),"")</f>
        <v/>
      </c>
      <c r="L2720" s="31" t="str">
        <f>IFERROR(INDEX(Table!I:O,MATCH(K2720,Table!I:I,0),2),"")</f>
        <v/>
      </c>
      <c r="M2720" s="31" t="str">
        <f>IFERROR(INDEX(Table!I:O,MATCH(K2720,Table!I:I,0),3),"")</f>
        <v/>
      </c>
      <c r="N2720" s="32" t="str">
        <f>IFERROR(INDEX(Table!I:O,MATCH(K2720,Table!I:I,0),4),"")</f>
        <v/>
      </c>
      <c r="O2720" s="32" t="str">
        <f>IFERROR(INDEX(Table!I:O,MATCH(K2720,Table!I:I,0),5),"")</f>
        <v/>
      </c>
      <c r="P2720" s="32" t="str">
        <f>IFERROR(INDEX(Table!I:O,MATCH(K2720,Table!I:I,0),6),"")</f>
        <v/>
      </c>
      <c r="Q2720" s="89" t="str">
        <f t="shared" si="118"/>
        <v/>
      </c>
      <c r="R2720" s="89" t="str">
        <f t="shared" si="119"/>
        <v/>
      </c>
      <c r="S2720" s="82"/>
    </row>
    <row r="2721" spans="1:19" x14ac:dyDescent="0.25">
      <c r="A2721" s="31" t="str">
        <f>IF(Table!A2721 = "","",Table!A2721)</f>
        <v/>
      </c>
      <c r="B2721" s="31" t="str">
        <f>IF(Table!B2721 = "","",Table!B2721)</f>
        <v/>
      </c>
      <c r="C2721" s="31" t="str">
        <f>IF(Table!C2721 = "","",Table!C2721)</f>
        <v/>
      </c>
      <c r="D2721" s="32" t="str">
        <f>IF(Table!D2721 = "","",Table!D2721)</f>
        <v/>
      </c>
      <c r="E2721" s="32" t="str">
        <f>IF(Table!E2721 = "","",Table!E2721)</f>
        <v/>
      </c>
      <c r="F2721" s="32" t="str">
        <f>IF(Table!F2721 = "","",Table!F2721)</f>
        <v/>
      </c>
      <c r="G2721" s="91"/>
      <c r="K2721" s="31" t="str">
        <f>IFERROR(VLOOKUP(A2721,Table!$I$4:$O$3000,1,TRUE),"")</f>
        <v/>
      </c>
      <c r="L2721" s="31" t="str">
        <f>IFERROR(INDEX(Table!I:O,MATCH(K2721,Table!I:I,0),2),"")</f>
        <v/>
      </c>
      <c r="M2721" s="31" t="str">
        <f>IFERROR(INDEX(Table!I:O,MATCH(K2721,Table!I:I,0),3),"")</f>
        <v/>
      </c>
      <c r="N2721" s="32" t="str">
        <f>IFERROR(INDEX(Table!I:O,MATCH(K2721,Table!I:I,0),4),"")</f>
        <v/>
      </c>
      <c r="O2721" s="32" t="str">
        <f>IFERROR(INDEX(Table!I:O,MATCH(K2721,Table!I:I,0),5),"")</f>
        <v/>
      </c>
      <c r="P2721" s="32" t="str">
        <f>IFERROR(INDEX(Table!I:O,MATCH(K2721,Table!I:I,0),6),"")</f>
        <v/>
      </c>
      <c r="Q2721" s="89" t="str">
        <f t="shared" si="118"/>
        <v/>
      </c>
      <c r="R2721" s="89" t="str">
        <f t="shared" si="119"/>
        <v/>
      </c>
      <c r="S2721" s="82"/>
    </row>
    <row r="2722" spans="1:19" x14ac:dyDescent="0.25">
      <c r="A2722" s="31" t="str">
        <f>IF(Table!A2722 = "","",Table!A2722)</f>
        <v/>
      </c>
      <c r="B2722" s="31" t="str">
        <f>IF(Table!B2722 = "","",Table!B2722)</f>
        <v/>
      </c>
      <c r="C2722" s="31" t="str">
        <f>IF(Table!C2722 = "","",Table!C2722)</f>
        <v/>
      </c>
      <c r="D2722" s="32" t="str">
        <f>IF(Table!D2722 = "","",Table!D2722)</f>
        <v/>
      </c>
      <c r="E2722" s="32" t="str">
        <f>IF(Table!E2722 = "","",Table!E2722)</f>
        <v/>
      </c>
      <c r="F2722" s="32" t="str">
        <f>IF(Table!F2722 = "","",Table!F2722)</f>
        <v/>
      </c>
      <c r="G2722" s="91"/>
      <c r="K2722" s="31" t="str">
        <f>IFERROR(VLOOKUP(A2722,Table!$I$4:$O$3000,1,TRUE),"")</f>
        <v/>
      </c>
      <c r="L2722" s="31" t="str">
        <f>IFERROR(INDEX(Table!I:O,MATCH(K2722,Table!I:I,0),2),"")</f>
        <v/>
      </c>
      <c r="M2722" s="31" t="str">
        <f>IFERROR(INDEX(Table!I:O,MATCH(K2722,Table!I:I,0),3),"")</f>
        <v/>
      </c>
      <c r="N2722" s="32" t="str">
        <f>IFERROR(INDEX(Table!I:O,MATCH(K2722,Table!I:I,0),4),"")</f>
        <v/>
      </c>
      <c r="O2722" s="32" t="str">
        <f>IFERROR(INDEX(Table!I:O,MATCH(K2722,Table!I:I,0),5),"")</f>
        <v/>
      </c>
      <c r="P2722" s="32" t="str">
        <f>IFERROR(INDEX(Table!I:O,MATCH(K2722,Table!I:I,0),6),"")</f>
        <v/>
      </c>
      <c r="Q2722" s="89" t="str">
        <f t="shared" si="118"/>
        <v/>
      </c>
      <c r="R2722" s="89" t="str">
        <f t="shared" si="119"/>
        <v/>
      </c>
      <c r="S2722" s="82"/>
    </row>
    <row r="2723" spans="1:19" x14ac:dyDescent="0.25">
      <c r="A2723" s="31" t="str">
        <f>IF(Table!A2723 = "","",Table!A2723)</f>
        <v/>
      </c>
      <c r="B2723" s="31" t="str">
        <f>IF(Table!B2723 = "","",Table!B2723)</f>
        <v/>
      </c>
      <c r="C2723" s="31" t="str">
        <f>IF(Table!C2723 = "","",Table!C2723)</f>
        <v/>
      </c>
      <c r="D2723" s="32" t="str">
        <f>IF(Table!D2723 = "","",Table!D2723)</f>
        <v/>
      </c>
      <c r="E2723" s="32" t="str">
        <f>IF(Table!E2723 = "","",Table!E2723)</f>
        <v/>
      </c>
      <c r="F2723" s="32" t="str">
        <f>IF(Table!F2723 = "","",Table!F2723)</f>
        <v/>
      </c>
      <c r="G2723" s="91"/>
      <c r="K2723" s="31" t="str">
        <f>IFERROR(VLOOKUP(A2723,Table!$I$4:$O$3000,1,TRUE),"")</f>
        <v/>
      </c>
      <c r="L2723" s="31" t="str">
        <f>IFERROR(INDEX(Table!I:O,MATCH(K2723,Table!I:I,0),2),"")</f>
        <v/>
      </c>
      <c r="M2723" s="31" t="str">
        <f>IFERROR(INDEX(Table!I:O,MATCH(K2723,Table!I:I,0),3),"")</f>
        <v/>
      </c>
      <c r="N2723" s="32" t="str">
        <f>IFERROR(INDEX(Table!I:O,MATCH(K2723,Table!I:I,0),4),"")</f>
        <v/>
      </c>
      <c r="O2723" s="32" t="str">
        <f>IFERROR(INDEX(Table!I:O,MATCH(K2723,Table!I:I,0),5),"")</f>
        <v/>
      </c>
      <c r="P2723" s="32" t="str">
        <f>IFERROR(INDEX(Table!I:O,MATCH(K2723,Table!I:I,0),6),"")</f>
        <v/>
      </c>
      <c r="Q2723" s="89" t="str">
        <f t="shared" si="118"/>
        <v/>
      </c>
      <c r="R2723" s="89" t="str">
        <f t="shared" si="119"/>
        <v/>
      </c>
      <c r="S2723" s="82"/>
    </row>
    <row r="2724" spans="1:19" x14ac:dyDescent="0.25">
      <c r="A2724" s="31" t="str">
        <f>IF(Table!A2724 = "","",Table!A2724)</f>
        <v/>
      </c>
      <c r="B2724" s="31" t="str">
        <f>IF(Table!B2724 = "","",Table!B2724)</f>
        <v/>
      </c>
      <c r="C2724" s="31" t="str">
        <f>IF(Table!C2724 = "","",Table!C2724)</f>
        <v/>
      </c>
      <c r="D2724" s="32" t="str">
        <f>IF(Table!D2724 = "","",Table!D2724)</f>
        <v/>
      </c>
      <c r="E2724" s="32" t="str">
        <f>IF(Table!E2724 = "","",Table!E2724)</f>
        <v/>
      </c>
      <c r="F2724" s="32" t="str">
        <f>IF(Table!F2724 = "","",Table!F2724)</f>
        <v/>
      </c>
      <c r="G2724" s="91"/>
      <c r="K2724" s="31" t="str">
        <f>IFERROR(VLOOKUP(A2724,Table!$I$4:$O$3000,1,TRUE),"")</f>
        <v/>
      </c>
      <c r="L2724" s="31" t="str">
        <f>IFERROR(INDEX(Table!I:O,MATCH(K2724,Table!I:I,0),2),"")</f>
        <v/>
      </c>
      <c r="M2724" s="31" t="str">
        <f>IFERROR(INDEX(Table!I:O,MATCH(K2724,Table!I:I,0),3),"")</f>
        <v/>
      </c>
      <c r="N2724" s="32" t="str">
        <f>IFERROR(INDEX(Table!I:O,MATCH(K2724,Table!I:I,0),4),"")</f>
        <v/>
      </c>
      <c r="O2724" s="32" t="str">
        <f>IFERROR(INDEX(Table!I:O,MATCH(K2724,Table!I:I,0),5),"")</f>
        <v/>
      </c>
      <c r="P2724" s="32" t="str">
        <f>IFERROR(INDEX(Table!I:O,MATCH(K2724,Table!I:I,0),6),"")</f>
        <v/>
      </c>
      <c r="Q2724" s="89" t="str">
        <f t="shared" si="118"/>
        <v/>
      </c>
      <c r="R2724" s="89" t="str">
        <f t="shared" si="119"/>
        <v/>
      </c>
      <c r="S2724" s="82"/>
    </row>
    <row r="2725" spans="1:19" x14ac:dyDescent="0.25">
      <c r="A2725" s="31" t="str">
        <f>IF(Table!A2725 = "","",Table!A2725)</f>
        <v/>
      </c>
      <c r="B2725" s="31" t="str">
        <f>IF(Table!B2725 = "","",Table!B2725)</f>
        <v/>
      </c>
      <c r="C2725" s="31" t="str">
        <f>IF(Table!C2725 = "","",Table!C2725)</f>
        <v/>
      </c>
      <c r="D2725" s="32" t="str">
        <f>IF(Table!D2725 = "","",Table!D2725)</f>
        <v/>
      </c>
      <c r="E2725" s="32" t="str">
        <f>IF(Table!E2725 = "","",Table!E2725)</f>
        <v/>
      </c>
      <c r="F2725" s="32" t="str">
        <f>IF(Table!F2725 = "","",Table!F2725)</f>
        <v/>
      </c>
      <c r="G2725" s="91"/>
      <c r="K2725" s="31" t="str">
        <f>IFERROR(VLOOKUP(A2725,Table!$I$4:$O$3000,1,TRUE),"")</f>
        <v/>
      </c>
      <c r="L2725" s="31" t="str">
        <f>IFERROR(INDEX(Table!I:O,MATCH(K2725,Table!I:I,0),2),"")</f>
        <v/>
      </c>
      <c r="M2725" s="31" t="str">
        <f>IFERROR(INDEX(Table!I:O,MATCH(K2725,Table!I:I,0),3),"")</f>
        <v/>
      </c>
      <c r="N2725" s="32" t="str">
        <f>IFERROR(INDEX(Table!I:O,MATCH(K2725,Table!I:I,0),4),"")</f>
        <v/>
      </c>
      <c r="O2725" s="32" t="str">
        <f>IFERROR(INDEX(Table!I:O,MATCH(K2725,Table!I:I,0),5),"")</f>
        <v/>
      </c>
      <c r="P2725" s="32" t="str">
        <f>IFERROR(INDEX(Table!I:O,MATCH(K2725,Table!I:I,0),6),"")</f>
        <v/>
      </c>
      <c r="Q2725" s="89" t="str">
        <f t="shared" si="118"/>
        <v/>
      </c>
      <c r="R2725" s="89" t="str">
        <f t="shared" si="119"/>
        <v/>
      </c>
      <c r="S2725" s="82"/>
    </row>
    <row r="2726" spans="1:19" x14ac:dyDescent="0.25">
      <c r="A2726" s="31" t="str">
        <f>IF(Table!A2726 = "","",Table!A2726)</f>
        <v/>
      </c>
      <c r="B2726" s="31" t="str">
        <f>IF(Table!B2726 = "","",Table!B2726)</f>
        <v/>
      </c>
      <c r="C2726" s="31" t="str">
        <f>IF(Table!C2726 = "","",Table!C2726)</f>
        <v/>
      </c>
      <c r="D2726" s="32" t="str">
        <f>IF(Table!D2726 = "","",Table!D2726)</f>
        <v/>
      </c>
      <c r="E2726" s="32" t="str">
        <f>IF(Table!E2726 = "","",Table!E2726)</f>
        <v/>
      </c>
      <c r="F2726" s="32" t="str">
        <f>IF(Table!F2726 = "","",Table!F2726)</f>
        <v/>
      </c>
      <c r="G2726" s="91"/>
      <c r="K2726" s="31" t="str">
        <f>IFERROR(VLOOKUP(A2726,Table!$I$4:$O$3000,1,TRUE),"")</f>
        <v/>
      </c>
      <c r="L2726" s="31" t="str">
        <f>IFERROR(INDEX(Table!I:O,MATCH(K2726,Table!I:I,0),2),"")</f>
        <v/>
      </c>
      <c r="M2726" s="31" t="str">
        <f>IFERROR(INDEX(Table!I:O,MATCH(K2726,Table!I:I,0),3),"")</f>
        <v/>
      </c>
      <c r="N2726" s="32" t="str">
        <f>IFERROR(INDEX(Table!I:O,MATCH(K2726,Table!I:I,0),4),"")</f>
        <v/>
      </c>
      <c r="O2726" s="32" t="str">
        <f>IFERROR(INDEX(Table!I:O,MATCH(K2726,Table!I:I,0),5),"")</f>
        <v/>
      </c>
      <c r="P2726" s="32" t="str">
        <f>IFERROR(INDEX(Table!I:O,MATCH(K2726,Table!I:I,0),6),"")</f>
        <v/>
      </c>
      <c r="Q2726" s="89" t="str">
        <f t="shared" si="118"/>
        <v/>
      </c>
      <c r="R2726" s="89" t="str">
        <f t="shared" si="119"/>
        <v/>
      </c>
      <c r="S2726" s="82"/>
    </row>
    <row r="2727" spans="1:19" x14ac:dyDescent="0.25">
      <c r="A2727" s="31" t="str">
        <f>IF(Table!A2727 = "","",Table!A2727)</f>
        <v/>
      </c>
      <c r="B2727" s="31" t="str">
        <f>IF(Table!B2727 = "","",Table!B2727)</f>
        <v/>
      </c>
      <c r="C2727" s="31" t="str">
        <f>IF(Table!C2727 = "","",Table!C2727)</f>
        <v/>
      </c>
      <c r="D2727" s="32" t="str">
        <f>IF(Table!D2727 = "","",Table!D2727)</f>
        <v/>
      </c>
      <c r="E2727" s="32" t="str">
        <f>IF(Table!E2727 = "","",Table!E2727)</f>
        <v/>
      </c>
      <c r="F2727" s="32" t="str">
        <f>IF(Table!F2727 = "","",Table!F2727)</f>
        <v/>
      </c>
      <c r="G2727" s="91"/>
      <c r="K2727" s="31" t="str">
        <f>IFERROR(VLOOKUP(A2727,Table!$I$4:$O$3000,1,TRUE),"")</f>
        <v/>
      </c>
      <c r="L2727" s="31" t="str">
        <f>IFERROR(INDEX(Table!I:O,MATCH(K2727,Table!I:I,0),2),"")</f>
        <v/>
      </c>
      <c r="M2727" s="31" t="str">
        <f>IFERROR(INDEX(Table!I:O,MATCH(K2727,Table!I:I,0),3),"")</f>
        <v/>
      </c>
      <c r="N2727" s="32" t="str">
        <f>IFERROR(INDEX(Table!I:O,MATCH(K2727,Table!I:I,0),4),"")</f>
        <v/>
      </c>
      <c r="O2727" s="32" t="str">
        <f>IFERROR(INDEX(Table!I:O,MATCH(K2727,Table!I:I,0),5),"")</f>
        <v/>
      </c>
      <c r="P2727" s="32" t="str">
        <f>IFERROR(INDEX(Table!I:O,MATCH(K2727,Table!I:I,0),6),"")</f>
        <v/>
      </c>
      <c r="Q2727" s="89" t="str">
        <f t="shared" si="118"/>
        <v/>
      </c>
      <c r="R2727" s="89" t="str">
        <f t="shared" si="119"/>
        <v/>
      </c>
      <c r="S2727" s="82"/>
    </row>
    <row r="2728" spans="1:19" x14ac:dyDescent="0.25">
      <c r="A2728" s="31" t="str">
        <f>IF(Table!A2728 = "","",Table!A2728)</f>
        <v/>
      </c>
      <c r="B2728" s="31" t="str">
        <f>IF(Table!B2728 = "","",Table!B2728)</f>
        <v/>
      </c>
      <c r="C2728" s="31" t="str">
        <f>IF(Table!C2728 = "","",Table!C2728)</f>
        <v/>
      </c>
      <c r="D2728" s="32" t="str">
        <f>IF(Table!D2728 = "","",Table!D2728)</f>
        <v/>
      </c>
      <c r="E2728" s="32" t="str">
        <f>IF(Table!E2728 = "","",Table!E2728)</f>
        <v/>
      </c>
      <c r="F2728" s="32" t="str">
        <f>IF(Table!F2728 = "","",Table!F2728)</f>
        <v/>
      </c>
      <c r="G2728" s="91"/>
      <c r="K2728" s="31" t="str">
        <f>IFERROR(VLOOKUP(A2728,Table!$I$4:$O$3000,1,TRUE),"")</f>
        <v/>
      </c>
      <c r="L2728" s="31" t="str">
        <f>IFERROR(INDEX(Table!I:O,MATCH(K2728,Table!I:I,0),2),"")</f>
        <v/>
      </c>
      <c r="M2728" s="31" t="str">
        <f>IFERROR(INDEX(Table!I:O,MATCH(K2728,Table!I:I,0),3),"")</f>
        <v/>
      </c>
      <c r="N2728" s="32" t="str">
        <f>IFERROR(INDEX(Table!I:O,MATCH(K2728,Table!I:I,0),4),"")</f>
        <v/>
      </c>
      <c r="O2728" s="32" t="str">
        <f>IFERROR(INDEX(Table!I:O,MATCH(K2728,Table!I:I,0),5),"")</f>
        <v/>
      </c>
      <c r="P2728" s="32" t="str">
        <f>IFERROR(INDEX(Table!I:O,MATCH(K2728,Table!I:I,0),6),"")</f>
        <v/>
      </c>
      <c r="Q2728" s="89" t="str">
        <f t="shared" si="118"/>
        <v/>
      </c>
      <c r="R2728" s="89" t="str">
        <f t="shared" si="119"/>
        <v/>
      </c>
      <c r="S2728" s="82"/>
    </row>
    <row r="2729" spans="1:19" x14ac:dyDescent="0.25">
      <c r="A2729" s="31" t="str">
        <f>IF(Table!A2729 = "","",Table!A2729)</f>
        <v/>
      </c>
      <c r="B2729" s="31" t="str">
        <f>IF(Table!B2729 = "","",Table!B2729)</f>
        <v/>
      </c>
      <c r="C2729" s="31" t="str">
        <f>IF(Table!C2729 = "","",Table!C2729)</f>
        <v/>
      </c>
      <c r="D2729" s="32" t="str">
        <f>IF(Table!D2729 = "","",Table!D2729)</f>
        <v/>
      </c>
      <c r="E2729" s="32" t="str">
        <f>IF(Table!E2729 = "","",Table!E2729)</f>
        <v/>
      </c>
      <c r="F2729" s="32" t="str">
        <f>IF(Table!F2729 = "","",Table!F2729)</f>
        <v/>
      </c>
      <c r="G2729" s="91"/>
      <c r="K2729" s="31" t="str">
        <f>IFERROR(VLOOKUP(A2729,Table!$I$4:$O$3000,1,TRUE),"")</f>
        <v/>
      </c>
      <c r="L2729" s="31" t="str">
        <f>IFERROR(INDEX(Table!I:O,MATCH(K2729,Table!I:I,0),2),"")</f>
        <v/>
      </c>
      <c r="M2729" s="31" t="str">
        <f>IFERROR(INDEX(Table!I:O,MATCH(K2729,Table!I:I,0),3),"")</f>
        <v/>
      </c>
      <c r="N2729" s="32" t="str">
        <f>IFERROR(INDEX(Table!I:O,MATCH(K2729,Table!I:I,0),4),"")</f>
        <v/>
      </c>
      <c r="O2729" s="32" t="str">
        <f>IFERROR(INDEX(Table!I:O,MATCH(K2729,Table!I:I,0),5),"")</f>
        <v/>
      </c>
      <c r="P2729" s="32" t="str">
        <f>IFERROR(INDEX(Table!I:O,MATCH(K2729,Table!I:I,0),6),"")</f>
        <v/>
      </c>
      <c r="Q2729" s="89" t="str">
        <f t="shared" si="118"/>
        <v/>
      </c>
      <c r="R2729" s="89" t="str">
        <f t="shared" si="119"/>
        <v/>
      </c>
      <c r="S2729" s="82"/>
    </row>
    <row r="2730" spans="1:19" x14ac:dyDescent="0.25">
      <c r="A2730" s="31" t="str">
        <f>IF(Table!A2730 = "","",Table!A2730)</f>
        <v/>
      </c>
      <c r="B2730" s="31" t="str">
        <f>IF(Table!B2730 = "","",Table!B2730)</f>
        <v/>
      </c>
      <c r="C2730" s="31" t="str">
        <f>IF(Table!C2730 = "","",Table!C2730)</f>
        <v/>
      </c>
      <c r="D2730" s="32" t="str">
        <f>IF(Table!D2730 = "","",Table!D2730)</f>
        <v/>
      </c>
      <c r="E2730" s="32" t="str">
        <f>IF(Table!E2730 = "","",Table!E2730)</f>
        <v/>
      </c>
      <c r="F2730" s="32" t="str">
        <f>IF(Table!F2730 = "","",Table!F2730)</f>
        <v/>
      </c>
      <c r="G2730" s="91"/>
      <c r="K2730" s="31" t="str">
        <f>IFERROR(VLOOKUP(A2730,Table!$I$4:$O$3000,1,TRUE),"")</f>
        <v/>
      </c>
      <c r="L2730" s="31" t="str">
        <f>IFERROR(INDEX(Table!I:O,MATCH(K2730,Table!I:I,0),2),"")</f>
        <v/>
      </c>
      <c r="M2730" s="31" t="str">
        <f>IFERROR(INDEX(Table!I:O,MATCH(K2730,Table!I:I,0),3),"")</f>
        <v/>
      </c>
      <c r="N2730" s="32" t="str">
        <f>IFERROR(INDEX(Table!I:O,MATCH(K2730,Table!I:I,0),4),"")</f>
        <v/>
      </c>
      <c r="O2730" s="32" t="str">
        <f>IFERROR(INDEX(Table!I:O,MATCH(K2730,Table!I:I,0),5),"")</f>
        <v/>
      </c>
      <c r="P2730" s="32" t="str">
        <f>IFERROR(INDEX(Table!I:O,MATCH(K2730,Table!I:I,0),6),"")</f>
        <v/>
      </c>
      <c r="Q2730" s="89" t="str">
        <f t="shared" si="118"/>
        <v/>
      </c>
      <c r="R2730" s="89" t="str">
        <f t="shared" si="119"/>
        <v/>
      </c>
      <c r="S2730" s="82"/>
    </row>
    <row r="2731" spans="1:19" x14ac:dyDescent="0.25">
      <c r="A2731" s="31" t="str">
        <f>IF(Table!A2731 = "","",Table!A2731)</f>
        <v/>
      </c>
      <c r="B2731" s="31" t="str">
        <f>IF(Table!B2731 = "","",Table!B2731)</f>
        <v/>
      </c>
      <c r="C2731" s="31" t="str">
        <f>IF(Table!C2731 = "","",Table!C2731)</f>
        <v/>
      </c>
      <c r="D2731" s="32" t="str">
        <f>IF(Table!D2731 = "","",Table!D2731)</f>
        <v/>
      </c>
      <c r="E2731" s="32" t="str">
        <f>IF(Table!E2731 = "","",Table!E2731)</f>
        <v/>
      </c>
      <c r="F2731" s="32" t="str">
        <f>IF(Table!F2731 = "","",Table!F2731)</f>
        <v/>
      </c>
      <c r="G2731" s="91"/>
      <c r="K2731" s="31" t="str">
        <f>IFERROR(VLOOKUP(A2731,Table!$I$4:$O$3000,1,TRUE),"")</f>
        <v/>
      </c>
      <c r="L2731" s="31" t="str">
        <f>IFERROR(INDEX(Table!I:O,MATCH(K2731,Table!I:I,0),2),"")</f>
        <v/>
      </c>
      <c r="M2731" s="31" t="str">
        <f>IFERROR(INDEX(Table!I:O,MATCH(K2731,Table!I:I,0),3),"")</f>
        <v/>
      </c>
      <c r="N2731" s="32" t="str">
        <f>IFERROR(INDEX(Table!I:O,MATCH(K2731,Table!I:I,0),4),"")</f>
        <v/>
      </c>
      <c r="O2731" s="32" t="str">
        <f>IFERROR(INDEX(Table!I:O,MATCH(K2731,Table!I:I,0),5),"")</f>
        <v/>
      </c>
      <c r="P2731" s="32" t="str">
        <f>IFERROR(INDEX(Table!I:O,MATCH(K2731,Table!I:I,0),6),"")</f>
        <v/>
      </c>
      <c r="Q2731" s="89" t="str">
        <f t="shared" si="118"/>
        <v/>
      </c>
      <c r="R2731" s="89" t="str">
        <f t="shared" si="119"/>
        <v/>
      </c>
      <c r="S2731" s="82"/>
    </row>
    <row r="2732" spans="1:19" x14ac:dyDescent="0.25">
      <c r="A2732" s="31" t="str">
        <f>IF(Table!A2732 = "","",Table!A2732)</f>
        <v/>
      </c>
      <c r="B2732" s="31" t="str">
        <f>IF(Table!B2732 = "","",Table!B2732)</f>
        <v/>
      </c>
      <c r="C2732" s="31" t="str">
        <f>IF(Table!C2732 = "","",Table!C2732)</f>
        <v/>
      </c>
      <c r="D2732" s="32" t="str">
        <f>IF(Table!D2732 = "","",Table!D2732)</f>
        <v/>
      </c>
      <c r="E2732" s="32" t="str">
        <f>IF(Table!E2732 = "","",Table!E2732)</f>
        <v/>
      </c>
      <c r="F2732" s="32" t="str">
        <f>IF(Table!F2732 = "","",Table!F2732)</f>
        <v/>
      </c>
      <c r="G2732" s="91"/>
      <c r="K2732" s="31" t="str">
        <f>IFERROR(VLOOKUP(A2732,Table!$I$4:$O$3000,1,TRUE),"")</f>
        <v/>
      </c>
      <c r="L2732" s="31" t="str">
        <f>IFERROR(INDEX(Table!I:O,MATCH(K2732,Table!I:I,0),2),"")</f>
        <v/>
      </c>
      <c r="M2732" s="31" t="str">
        <f>IFERROR(INDEX(Table!I:O,MATCH(K2732,Table!I:I,0),3),"")</f>
        <v/>
      </c>
      <c r="N2732" s="32" t="str">
        <f>IFERROR(INDEX(Table!I:O,MATCH(K2732,Table!I:I,0),4),"")</f>
        <v/>
      </c>
      <c r="O2732" s="32" t="str">
        <f>IFERROR(INDEX(Table!I:O,MATCH(K2732,Table!I:I,0),5),"")</f>
        <v/>
      </c>
      <c r="P2732" s="32" t="str">
        <f>IFERROR(INDEX(Table!I:O,MATCH(K2732,Table!I:I,0),6),"")</f>
        <v/>
      </c>
      <c r="Q2732" s="89" t="str">
        <f t="shared" si="118"/>
        <v/>
      </c>
      <c r="R2732" s="89" t="str">
        <f t="shared" si="119"/>
        <v/>
      </c>
      <c r="S2732" s="82"/>
    </row>
    <row r="2733" spans="1:19" x14ac:dyDescent="0.25">
      <c r="A2733" s="31" t="str">
        <f>IF(Table!A2733 = "","",Table!A2733)</f>
        <v/>
      </c>
      <c r="B2733" s="31" t="str">
        <f>IF(Table!B2733 = "","",Table!B2733)</f>
        <v/>
      </c>
      <c r="C2733" s="31" t="str">
        <f>IF(Table!C2733 = "","",Table!C2733)</f>
        <v/>
      </c>
      <c r="D2733" s="32" t="str">
        <f>IF(Table!D2733 = "","",Table!D2733)</f>
        <v/>
      </c>
      <c r="E2733" s="32" t="str">
        <f>IF(Table!E2733 = "","",Table!E2733)</f>
        <v/>
      </c>
      <c r="F2733" s="32" t="str">
        <f>IF(Table!F2733 = "","",Table!F2733)</f>
        <v/>
      </c>
      <c r="G2733" s="91"/>
      <c r="K2733" s="31" t="str">
        <f>IFERROR(VLOOKUP(A2733,Table!$I$4:$O$3000,1,TRUE),"")</f>
        <v/>
      </c>
      <c r="L2733" s="31" t="str">
        <f>IFERROR(INDEX(Table!I:O,MATCH(K2733,Table!I:I,0),2),"")</f>
        <v/>
      </c>
      <c r="M2733" s="31" t="str">
        <f>IFERROR(INDEX(Table!I:O,MATCH(K2733,Table!I:I,0),3),"")</f>
        <v/>
      </c>
      <c r="N2733" s="32" t="str">
        <f>IFERROR(INDEX(Table!I:O,MATCH(K2733,Table!I:I,0),4),"")</f>
        <v/>
      </c>
      <c r="O2733" s="32" t="str">
        <f>IFERROR(INDEX(Table!I:O,MATCH(K2733,Table!I:I,0),5),"")</f>
        <v/>
      </c>
      <c r="P2733" s="32" t="str">
        <f>IFERROR(INDEX(Table!I:O,MATCH(K2733,Table!I:I,0),6),"")</f>
        <v/>
      </c>
      <c r="Q2733" s="89" t="str">
        <f t="shared" si="118"/>
        <v/>
      </c>
      <c r="R2733" s="89" t="str">
        <f t="shared" si="119"/>
        <v/>
      </c>
      <c r="S2733" s="82"/>
    </row>
    <row r="2734" spans="1:19" x14ac:dyDescent="0.25">
      <c r="A2734" s="31" t="str">
        <f>IF(Table!A2734 = "","",Table!A2734)</f>
        <v/>
      </c>
      <c r="B2734" s="31" t="str">
        <f>IF(Table!B2734 = "","",Table!B2734)</f>
        <v/>
      </c>
      <c r="C2734" s="31" t="str">
        <f>IF(Table!C2734 = "","",Table!C2734)</f>
        <v/>
      </c>
      <c r="D2734" s="32" t="str">
        <f>IF(Table!D2734 = "","",Table!D2734)</f>
        <v/>
      </c>
      <c r="E2734" s="32" t="str">
        <f>IF(Table!E2734 = "","",Table!E2734)</f>
        <v/>
      </c>
      <c r="F2734" s="32" t="str">
        <f>IF(Table!F2734 = "","",Table!F2734)</f>
        <v/>
      </c>
      <c r="G2734" s="91"/>
      <c r="K2734" s="31" t="str">
        <f>IFERROR(VLOOKUP(A2734,Table!$I$4:$O$3000,1,TRUE),"")</f>
        <v/>
      </c>
      <c r="L2734" s="31" t="str">
        <f>IFERROR(INDEX(Table!I:O,MATCH(K2734,Table!I:I,0),2),"")</f>
        <v/>
      </c>
      <c r="M2734" s="31" t="str">
        <f>IFERROR(INDEX(Table!I:O,MATCH(K2734,Table!I:I,0),3),"")</f>
        <v/>
      </c>
      <c r="N2734" s="32" t="str">
        <f>IFERROR(INDEX(Table!I:O,MATCH(K2734,Table!I:I,0),4),"")</f>
        <v/>
      </c>
      <c r="O2734" s="32" t="str">
        <f>IFERROR(INDEX(Table!I:O,MATCH(K2734,Table!I:I,0),5),"")</f>
        <v/>
      </c>
      <c r="P2734" s="32" t="str">
        <f>IFERROR(INDEX(Table!I:O,MATCH(K2734,Table!I:I,0),6),"")</f>
        <v/>
      </c>
      <c r="Q2734" s="89" t="str">
        <f t="shared" si="118"/>
        <v/>
      </c>
      <c r="R2734" s="89" t="str">
        <f t="shared" si="119"/>
        <v/>
      </c>
      <c r="S2734" s="82"/>
    </row>
    <row r="2735" spans="1:19" x14ac:dyDescent="0.25">
      <c r="A2735" s="31" t="str">
        <f>IF(Table!A2735 = "","",Table!A2735)</f>
        <v/>
      </c>
      <c r="B2735" s="31" t="str">
        <f>IF(Table!B2735 = "","",Table!B2735)</f>
        <v/>
      </c>
      <c r="C2735" s="31" t="str">
        <f>IF(Table!C2735 = "","",Table!C2735)</f>
        <v/>
      </c>
      <c r="D2735" s="32" t="str">
        <f>IF(Table!D2735 = "","",Table!D2735)</f>
        <v/>
      </c>
      <c r="E2735" s="32" t="str">
        <f>IF(Table!E2735 = "","",Table!E2735)</f>
        <v/>
      </c>
      <c r="F2735" s="32" t="str">
        <f>IF(Table!F2735 = "","",Table!F2735)</f>
        <v/>
      </c>
      <c r="G2735" s="91"/>
      <c r="K2735" s="31" t="str">
        <f>IFERROR(VLOOKUP(A2735,Table!$I$4:$O$3000,1,TRUE),"")</f>
        <v/>
      </c>
      <c r="L2735" s="31" t="str">
        <f>IFERROR(INDEX(Table!I:O,MATCH(K2735,Table!I:I,0),2),"")</f>
        <v/>
      </c>
      <c r="M2735" s="31" t="str">
        <f>IFERROR(INDEX(Table!I:O,MATCH(K2735,Table!I:I,0),3),"")</f>
        <v/>
      </c>
      <c r="N2735" s="32" t="str">
        <f>IFERROR(INDEX(Table!I:O,MATCH(K2735,Table!I:I,0),4),"")</f>
        <v/>
      </c>
      <c r="O2735" s="32" t="str">
        <f>IFERROR(INDEX(Table!I:O,MATCH(K2735,Table!I:I,0),5),"")</f>
        <v/>
      </c>
      <c r="P2735" s="32" t="str">
        <f>IFERROR(INDEX(Table!I:O,MATCH(K2735,Table!I:I,0),6),"")</f>
        <v/>
      </c>
      <c r="Q2735" s="89" t="str">
        <f t="shared" si="118"/>
        <v/>
      </c>
      <c r="R2735" s="89" t="str">
        <f t="shared" si="119"/>
        <v/>
      </c>
      <c r="S2735" s="82"/>
    </row>
    <row r="2736" spans="1:19" x14ac:dyDescent="0.25">
      <c r="A2736" s="31" t="str">
        <f>IF(Table!A2736 = "","",Table!A2736)</f>
        <v/>
      </c>
      <c r="B2736" s="31" t="str">
        <f>IF(Table!B2736 = "","",Table!B2736)</f>
        <v/>
      </c>
      <c r="C2736" s="31" t="str">
        <f>IF(Table!C2736 = "","",Table!C2736)</f>
        <v/>
      </c>
      <c r="D2736" s="32" t="str">
        <f>IF(Table!D2736 = "","",Table!D2736)</f>
        <v/>
      </c>
      <c r="E2736" s="32" t="str">
        <f>IF(Table!E2736 = "","",Table!E2736)</f>
        <v/>
      </c>
      <c r="F2736" s="32" t="str">
        <f>IF(Table!F2736 = "","",Table!F2736)</f>
        <v/>
      </c>
      <c r="G2736" s="91"/>
      <c r="K2736" s="31" t="str">
        <f>IFERROR(VLOOKUP(A2736,Table!$I$4:$O$3000,1,TRUE),"")</f>
        <v/>
      </c>
      <c r="L2736" s="31" t="str">
        <f>IFERROR(INDEX(Table!I:O,MATCH(K2736,Table!I:I,0),2),"")</f>
        <v/>
      </c>
      <c r="M2736" s="31" t="str">
        <f>IFERROR(INDEX(Table!I:O,MATCH(K2736,Table!I:I,0),3),"")</f>
        <v/>
      </c>
      <c r="N2736" s="32" t="str">
        <f>IFERROR(INDEX(Table!I:O,MATCH(K2736,Table!I:I,0),4),"")</f>
        <v/>
      </c>
      <c r="O2736" s="32" t="str">
        <f>IFERROR(INDEX(Table!I:O,MATCH(K2736,Table!I:I,0),5),"")</f>
        <v/>
      </c>
      <c r="P2736" s="32" t="str">
        <f>IFERROR(INDEX(Table!I:O,MATCH(K2736,Table!I:I,0),6),"")</f>
        <v/>
      </c>
      <c r="Q2736" s="89" t="str">
        <f t="shared" si="118"/>
        <v/>
      </c>
      <c r="R2736" s="89" t="str">
        <f t="shared" si="119"/>
        <v/>
      </c>
      <c r="S2736" s="82"/>
    </row>
    <row r="2737" spans="1:19" x14ac:dyDescent="0.25">
      <c r="A2737" s="31" t="str">
        <f>IF(Table!A2737 = "","",Table!A2737)</f>
        <v/>
      </c>
      <c r="B2737" s="31" t="str">
        <f>IF(Table!B2737 = "","",Table!B2737)</f>
        <v/>
      </c>
      <c r="C2737" s="31" t="str">
        <f>IF(Table!C2737 = "","",Table!C2737)</f>
        <v/>
      </c>
      <c r="D2737" s="32" t="str">
        <f>IF(Table!D2737 = "","",Table!D2737)</f>
        <v/>
      </c>
      <c r="E2737" s="32" t="str">
        <f>IF(Table!E2737 = "","",Table!E2737)</f>
        <v/>
      </c>
      <c r="F2737" s="32" t="str">
        <f>IF(Table!F2737 = "","",Table!F2737)</f>
        <v/>
      </c>
      <c r="G2737" s="91"/>
      <c r="K2737" s="31" t="str">
        <f>IFERROR(VLOOKUP(A2737,Table!$I$4:$O$3000,1,TRUE),"")</f>
        <v/>
      </c>
      <c r="L2737" s="31" t="str">
        <f>IFERROR(INDEX(Table!I:O,MATCH(K2737,Table!I:I,0),2),"")</f>
        <v/>
      </c>
      <c r="M2737" s="31" t="str">
        <f>IFERROR(INDEX(Table!I:O,MATCH(K2737,Table!I:I,0),3),"")</f>
        <v/>
      </c>
      <c r="N2737" s="32" t="str">
        <f>IFERROR(INDEX(Table!I:O,MATCH(K2737,Table!I:I,0),4),"")</f>
        <v/>
      </c>
      <c r="O2737" s="32" t="str">
        <f>IFERROR(INDEX(Table!I:O,MATCH(K2737,Table!I:I,0),5),"")</f>
        <v/>
      </c>
      <c r="P2737" s="32" t="str">
        <f>IFERROR(INDEX(Table!I:O,MATCH(K2737,Table!I:I,0),6),"")</f>
        <v/>
      </c>
      <c r="Q2737" s="89" t="str">
        <f t="shared" si="118"/>
        <v/>
      </c>
      <c r="R2737" s="89" t="str">
        <f t="shared" si="119"/>
        <v/>
      </c>
      <c r="S2737" s="82"/>
    </row>
    <row r="2738" spans="1:19" x14ac:dyDescent="0.25">
      <c r="A2738" s="31" t="str">
        <f>IF(Table!A2738 = "","",Table!A2738)</f>
        <v/>
      </c>
      <c r="B2738" s="31" t="str">
        <f>IF(Table!B2738 = "","",Table!B2738)</f>
        <v/>
      </c>
      <c r="C2738" s="31" t="str">
        <f>IF(Table!C2738 = "","",Table!C2738)</f>
        <v/>
      </c>
      <c r="D2738" s="32" t="str">
        <f>IF(Table!D2738 = "","",Table!D2738)</f>
        <v/>
      </c>
      <c r="E2738" s="32" t="str">
        <f>IF(Table!E2738 = "","",Table!E2738)</f>
        <v/>
      </c>
      <c r="F2738" s="32" t="str">
        <f>IF(Table!F2738 = "","",Table!F2738)</f>
        <v/>
      </c>
      <c r="G2738" s="91"/>
      <c r="K2738" s="31" t="str">
        <f>IFERROR(VLOOKUP(A2738,Table!$I$4:$O$3000,1,TRUE),"")</f>
        <v/>
      </c>
      <c r="L2738" s="31" t="str">
        <f>IFERROR(INDEX(Table!I:O,MATCH(K2738,Table!I:I,0),2),"")</f>
        <v/>
      </c>
      <c r="M2738" s="31" t="str">
        <f>IFERROR(INDEX(Table!I:O,MATCH(K2738,Table!I:I,0),3),"")</f>
        <v/>
      </c>
      <c r="N2738" s="32" t="str">
        <f>IFERROR(INDEX(Table!I:O,MATCH(K2738,Table!I:I,0),4),"")</f>
        <v/>
      </c>
      <c r="O2738" s="32" t="str">
        <f>IFERROR(INDEX(Table!I:O,MATCH(K2738,Table!I:I,0),5),"")</f>
        <v/>
      </c>
      <c r="P2738" s="32" t="str">
        <f>IFERROR(INDEX(Table!I:O,MATCH(K2738,Table!I:I,0),6),"")</f>
        <v/>
      </c>
      <c r="Q2738" s="89" t="str">
        <f t="shared" si="118"/>
        <v/>
      </c>
      <c r="R2738" s="89" t="str">
        <f t="shared" si="119"/>
        <v/>
      </c>
      <c r="S2738" s="82"/>
    </row>
    <row r="2739" spans="1:19" x14ac:dyDescent="0.25">
      <c r="A2739" s="31" t="str">
        <f>IF(Table!A2739 = "","",Table!A2739)</f>
        <v/>
      </c>
      <c r="B2739" s="31" t="str">
        <f>IF(Table!B2739 = "","",Table!B2739)</f>
        <v/>
      </c>
      <c r="C2739" s="31" t="str">
        <f>IF(Table!C2739 = "","",Table!C2739)</f>
        <v/>
      </c>
      <c r="D2739" s="32" t="str">
        <f>IF(Table!D2739 = "","",Table!D2739)</f>
        <v/>
      </c>
      <c r="E2739" s="32" t="str">
        <f>IF(Table!E2739 = "","",Table!E2739)</f>
        <v/>
      </c>
      <c r="F2739" s="32" t="str">
        <f>IF(Table!F2739 = "","",Table!F2739)</f>
        <v/>
      </c>
      <c r="G2739" s="91"/>
      <c r="K2739" s="31" t="str">
        <f>IFERROR(VLOOKUP(A2739,Table!$I$4:$O$3000,1,TRUE),"")</f>
        <v/>
      </c>
      <c r="L2739" s="31" t="str">
        <f>IFERROR(INDEX(Table!I:O,MATCH(K2739,Table!I:I,0),2),"")</f>
        <v/>
      </c>
      <c r="M2739" s="31" t="str">
        <f>IFERROR(INDEX(Table!I:O,MATCH(K2739,Table!I:I,0),3),"")</f>
        <v/>
      </c>
      <c r="N2739" s="32" t="str">
        <f>IFERROR(INDEX(Table!I:O,MATCH(K2739,Table!I:I,0),4),"")</f>
        <v/>
      </c>
      <c r="O2739" s="32" t="str">
        <f>IFERROR(INDEX(Table!I:O,MATCH(K2739,Table!I:I,0),5),"")</f>
        <v/>
      </c>
      <c r="P2739" s="32" t="str">
        <f>IFERROR(INDEX(Table!I:O,MATCH(K2739,Table!I:I,0),6),"")</f>
        <v/>
      </c>
      <c r="Q2739" s="89" t="str">
        <f t="shared" si="118"/>
        <v/>
      </c>
      <c r="R2739" s="89" t="str">
        <f t="shared" si="119"/>
        <v/>
      </c>
      <c r="S2739" s="82"/>
    </row>
    <row r="2740" spans="1:19" x14ac:dyDescent="0.25">
      <c r="A2740" s="31" t="str">
        <f>IF(Table!A2740 = "","",Table!A2740)</f>
        <v/>
      </c>
      <c r="B2740" s="31" t="str">
        <f>IF(Table!B2740 = "","",Table!B2740)</f>
        <v/>
      </c>
      <c r="C2740" s="31" t="str">
        <f>IF(Table!C2740 = "","",Table!C2740)</f>
        <v/>
      </c>
      <c r="D2740" s="32" t="str">
        <f>IF(Table!D2740 = "","",Table!D2740)</f>
        <v/>
      </c>
      <c r="E2740" s="32" t="str">
        <f>IF(Table!E2740 = "","",Table!E2740)</f>
        <v/>
      </c>
      <c r="F2740" s="32" t="str">
        <f>IF(Table!F2740 = "","",Table!F2740)</f>
        <v/>
      </c>
      <c r="G2740" s="91"/>
      <c r="K2740" s="31" t="str">
        <f>IFERROR(VLOOKUP(A2740,Table!$I$4:$O$3000,1,TRUE),"")</f>
        <v/>
      </c>
      <c r="L2740" s="31" t="str">
        <f>IFERROR(INDEX(Table!I:O,MATCH(K2740,Table!I:I,0),2),"")</f>
        <v/>
      </c>
      <c r="M2740" s="31" t="str">
        <f>IFERROR(INDEX(Table!I:O,MATCH(K2740,Table!I:I,0),3),"")</f>
        <v/>
      </c>
      <c r="N2740" s="32" t="str">
        <f>IFERROR(INDEX(Table!I:O,MATCH(K2740,Table!I:I,0),4),"")</f>
        <v/>
      </c>
      <c r="O2740" s="32" t="str">
        <f>IFERROR(INDEX(Table!I:O,MATCH(K2740,Table!I:I,0),5),"")</f>
        <v/>
      </c>
      <c r="P2740" s="32" t="str">
        <f>IFERROR(INDEX(Table!I:O,MATCH(K2740,Table!I:I,0),6),"")</f>
        <v/>
      </c>
      <c r="Q2740" s="89" t="str">
        <f t="shared" si="118"/>
        <v/>
      </c>
      <c r="R2740" s="89" t="str">
        <f t="shared" si="119"/>
        <v/>
      </c>
      <c r="S2740" s="82"/>
    </row>
    <row r="2741" spans="1:19" x14ac:dyDescent="0.25">
      <c r="A2741" s="31" t="str">
        <f>IF(Table!A2741 = "","",Table!A2741)</f>
        <v/>
      </c>
      <c r="B2741" s="31" t="str">
        <f>IF(Table!B2741 = "","",Table!B2741)</f>
        <v/>
      </c>
      <c r="C2741" s="31" t="str">
        <f>IF(Table!C2741 = "","",Table!C2741)</f>
        <v/>
      </c>
      <c r="D2741" s="32" t="str">
        <f>IF(Table!D2741 = "","",Table!D2741)</f>
        <v/>
      </c>
      <c r="E2741" s="32" t="str">
        <f>IF(Table!E2741 = "","",Table!E2741)</f>
        <v/>
      </c>
      <c r="F2741" s="32" t="str">
        <f>IF(Table!F2741 = "","",Table!F2741)</f>
        <v/>
      </c>
      <c r="G2741" s="91"/>
      <c r="K2741" s="31" t="str">
        <f>IFERROR(VLOOKUP(A2741,Table!$I$4:$O$3000,1,TRUE),"")</f>
        <v/>
      </c>
      <c r="L2741" s="31" t="str">
        <f>IFERROR(INDEX(Table!I:O,MATCH(K2741,Table!I:I,0),2),"")</f>
        <v/>
      </c>
      <c r="M2741" s="31" t="str">
        <f>IFERROR(INDEX(Table!I:O,MATCH(K2741,Table!I:I,0),3),"")</f>
        <v/>
      </c>
      <c r="N2741" s="32" t="str">
        <f>IFERROR(INDEX(Table!I:O,MATCH(K2741,Table!I:I,0),4),"")</f>
        <v/>
      </c>
      <c r="O2741" s="32" t="str">
        <f>IFERROR(INDEX(Table!I:O,MATCH(K2741,Table!I:I,0),5),"")</f>
        <v/>
      </c>
      <c r="P2741" s="32" t="str">
        <f>IFERROR(INDEX(Table!I:O,MATCH(K2741,Table!I:I,0),6),"")</f>
        <v/>
      </c>
      <c r="Q2741" s="89" t="str">
        <f t="shared" si="118"/>
        <v/>
      </c>
      <c r="R2741" s="89" t="str">
        <f t="shared" si="119"/>
        <v/>
      </c>
      <c r="S2741" s="82"/>
    </row>
    <row r="2742" spans="1:19" x14ac:dyDescent="0.25">
      <c r="A2742" s="31" t="str">
        <f>IF(Table!A2742 = "","",Table!A2742)</f>
        <v/>
      </c>
      <c r="B2742" s="31" t="str">
        <f>IF(Table!B2742 = "","",Table!B2742)</f>
        <v/>
      </c>
      <c r="C2742" s="31" t="str">
        <f>IF(Table!C2742 = "","",Table!C2742)</f>
        <v/>
      </c>
      <c r="D2742" s="32" t="str">
        <f>IF(Table!D2742 = "","",Table!D2742)</f>
        <v/>
      </c>
      <c r="E2742" s="32" t="str">
        <f>IF(Table!E2742 = "","",Table!E2742)</f>
        <v/>
      </c>
      <c r="F2742" s="32" t="str">
        <f>IF(Table!F2742 = "","",Table!F2742)</f>
        <v/>
      </c>
      <c r="G2742" s="91"/>
      <c r="K2742" s="31" t="str">
        <f>IFERROR(VLOOKUP(A2742,Table!$I$4:$O$3000,1,TRUE),"")</f>
        <v/>
      </c>
      <c r="L2742" s="31" t="str">
        <f>IFERROR(INDEX(Table!I:O,MATCH(K2742,Table!I:I,0),2),"")</f>
        <v/>
      </c>
      <c r="M2742" s="31" t="str">
        <f>IFERROR(INDEX(Table!I:O,MATCH(K2742,Table!I:I,0),3),"")</f>
        <v/>
      </c>
      <c r="N2742" s="32" t="str">
        <f>IFERROR(INDEX(Table!I:O,MATCH(K2742,Table!I:I,0),4),"")</f>
        <v/>
      </c>
      <c r="O2742" s="32" t="str">
        <f>IFERROR(INDEX(Table!I:O,MATCH(K2742,Table!I:I,0),5),"")</f>
        <v/>
      </c>
      <c r="P2742" s="32" t="str">
        <f>IFERROR(INDEX(Table!I:O,MATCH(K2742,Table!I:I,0),6),"")</f>
        <v/>
      </c>
      <c r="Q2742" s="89" t="str">
        <f t="shared" si="118"/>
        <v/>
      </c>
      <c r="R2742" s="89" t="str">
        <f t="shared" si="119"/>
        <v/>
      </c>
      <c r="S2742" s="82"/>
    </row>
    <row r="2743" spans="1:19" x14ac:dyDescent="0.25">
      <c r="A2743" s="31" t="str">
        <f>IF(Table!A2743 = "","",Table!A2743)</f>
        <v/>
      </c>
      <c r="B2743" s="31" t="str">
        <f>IF(Table!B2743 = "","",Table!B2743)</f>
        <v/>
      </c>
      <c r="C2743" s="31" t="str">
        <f>IF(Table!C2743 = "","",Table!C2743)</f>
        <v/>
      </c>
      <c r="D2743" s="32" t="str">
        <f>IF(Table!D2743 = "","",Table!D2743)</f>
        <v/>
      </c>
      <c r="E2743" s="32" t="str">
        <f>IF(Table!E2743 = "","",Table!E2743)</f>
        <v/>
      </c>
      <c r="F2743" s="32" t="str">
        <f>IF(Table!F2743 = "","",Table!F2743)</f>
        <v/>
      </c>
      <c r="G2743" s="91"/>
      <c r="K2743" s="31" t="str">
        <f>IFERROR(VLOOKUP(A2743,Table!$I$4:$O$3000,1,TRUE),"")</f>
        <v/>
      </c>
      <c r="L2743" s="31" t="str">
        <f>IFERROR(INDEX(Table!I:O,MATCH(K2743,Table!I:I,0),2),"")</f>
        <v/>
      </c>
      <c r="M2743" s="31" t="str">
        <f>IFERROR(INDEX(Table!I:O,MATCH(K2743,Table!I:I,0),3),"")</f>
        <v/>
      </c>
      <c r="N2743" s="32" t="str">
        <f>IFERROR(INDEX(Table!I:O,MATCH(K2743,Table!I:I,0),4),"")</f>
        <v/>
      </c>
      <c r="O2743" s="32" t="str">
        <f>IFERROR(INDEX(Table!I:O,MATCH(K2743,Table!I:I,0),5),"")</f>
        <v/>
      </c>
      <c r="P2743" s="32" t="str">
        <f>IFERROR(INDEX(Table!I:O,MATCH(K2743,Table!I:I,0),6),"")</f>
        <v/>
      </c>
      <c r="Q2743" s="89" t="str">
        <f t="shared" si="118"/>
        <v/>
      </c>
      <c r="R2743" s="89" t="str">
        <f t="shared" si="119"/>
        <v/>
      </c>
      <c r="S2743" s="82"/>
    </row>
    <row r="2744" spans="1:19" x14ac:dyDescent="0.25">
      <c r="A2744" s="31" t="str">
        <f>IF(Table!A2744 = "","",Table!A2744)</f>
        <v/>
      </c>
      <c r="B2744" s="31" t="str">
        <f>IF(Table!B2744 = "","",Table!B2744)</f>
        <v/>
      </c>
      <c r="C2744" s="31" t="str">
        <f>IF(Table!C2744 = "","",Table!C2744)</f>
        <v/>
      </c>
      <c r="D2744" s="32" t="str">
        <f>IF(Table!D2744 = "","",Table!D2744)</f>
        <v/>
      </c>
      <c r="E2744" s="32" t="str">
        <f>IF(Table!E2744 = "","",Table!E2744)</f>
        <v/>
      </c>
      <c r="F2744" s="32" t="str">
        <f>IF(Table!F2744 = "","",Table!F2744)</f>
        <v/>
      </c>
      <c r="G2744" s="91"/>
      <c r="K2744" s="31" t="str">
        <f>IFERROR(VLOOKUP(A2744,Table!$I$4:$O$3000,1,TRUE),"")</f>
        <v/>
      </c>
      <c r="L2744" s="31" t="str">
        <f>IFERROR(INDEX(Table!I:O,MATCH(K2744,Table!I:I,0),2),"")</f>
        <v/>
      </c>
      <c r="M2744" s="31" t="str">
        <f>IFERROR(INDEX(Table!I:O,MATCH(K2744,Table!I:I,0),3),"")</f>
        <v/>
      </c>
      <c r="N2744" s="32" t="str">
        <f>IFERROR(INDEX(Table!I:O,MATCH(K2744,Table!I:I,0),4),"")</f>
        <v/>
      </c>
      <c r="O2744" s="32" t="str">
        <f>IFERROR(INDEX(Table!I:O,MATCH(K2744,Table!I:I,0),5),"")</f>
        <v/>
      </c>
      <c r="P2744" s="32" t="str">
        <f>IFERROR(INDEX(Table!I:O,MATCH(K2744,Table!I:I,0),6),"")</f>
        <v/>
      </c>
      <c r="Q2744" s="89" t="str">
        <f t="shared" si="118"/>
        <v/>
      </c>
      <c r="R2744" s="89" t="str">
        <f t="shared" si="119"/>
        <v/>
      </c>
      <c r="S2744" s="82"/>
    </row>
    <row r="2745" spans="1:19" x14ac:dyDescent="0.25">
      <c r="A2745" s="31" t="str">
        <f>IF(Table!A2745 = "","",Table!A2745)</f>
        <v/>
      </c>
      <c r="B2745" s="31" t="str">
        <f>IF(Table!B2745 = "","",Table!B2745)</f>
        <v/>
      </c>
      <c r="C2745" s="31" t="str">
        <f>IF(Table!C2745 = "","",Table!C2745)</f>
        <v/>
      </c>
      <c r="D2745" s="32" t="str">
        <f>IF(Table!D2745 = "","",Table!D2745)</f>
        <v/>
      </c>
      <c r="E2745" s="32" t="str">
        <f>IF(Table!E2745 = "","",Table!E2745)</f>
        <v/>
      </c>
      <c r="F2745" s="32" t="str">
        <f>IF(Table!F2745 = "","",Table!F2745)</f>
        <v/>
      </c>
      <c r="G2745" s="91"/>
      <c r="K2745" s="31" t="str">
        <f>IFERROR(VLOOKUP(A2745,Table!$I$4:$O$3000,1,TRUE),"")</f>
        <v/>
      </c>
      <c r="L2745" s="31" t="str">
        <f>IFERROR(INDEX(Table!I:O,MATCH(K2745,Table!I:I,0),2),"")</f>
        <v/>
      </c>
      <c r="M2745" s="31" t="str">
        <f>IFERROR(INDEX(Table!I:O,MATCH(K2745,Table!I:I,0),3),"")</f>
        <v/>
      </c>
      <c r="N2745" s="32" t="str">
        <f>IFERROR(INDEX(Table!I:O,MATCH(K2745,Table!I:I,0),4),"")</f>
        <v/>
      </c>
      <c r="O2745" s="32" t="str">
        <f>IFERROR(INDEX(Table!I:O,MATCH(K2745,Table!I:I,0),5),"")</f>
        <v/>
      </c>
      <c r="P2745" s="32" t="str">
        <f>IFERROR(INDEX(Table!I:O,MATCH(K2745,Table!I:I,0),6),"")</f>
        <v/>
      </c>
      <c r="Q2745" s="89" t="str">
        <f t="shared" si="118"/>
        <v/>
      </c>
      <c r="R2745" s="89" t="str">
        <f t="shared" si="119"/>
        <v/>
      </c>
      <c r="S2745" s="82"/>
    </row>
    <row r="2746" spans="1:19" x14ac:dyDescent="0.25">
      <c r="A2746" s="31" t="str">
        <f>IF(Table!A2746 = "","",Table!A2746)</f>
        <v/>
      </c>
      <c r="B2746" s="31" t="str">
        <f>IF(Table!B2746 = "","",Table!B2746)</f>
        <v/>
      </c>
      <c r="C2746" s="31" t="str">
        <f>IF(Table!C2746 = "","",Table!C2746)</f>
        <v/>
      </c>
      <c r="D2746" s="32" t="str">
        <f>IF(Table!D2746 = "","",Table!D2746)</f>
        <v/>
      </c>
      <c r="E2746" s="32" t="str">
        <f>IF(Table!E2746 = "","",Table!E2746)</f>
        <v/>
      </c>
      <c r="F2746" s="32" t="str">
        <f>IF(Table!F2746 = "","",Table!F2746)</f>
        <v/>
      </c>
      <c r="G2746" s="91"/>
      <c r="K2746" s="31" t="str">
        <f>IFERROR(VLOOKUP(A2746,Table!$I$4:$O$3000,1,TRUE),"")</f>
        <v/>
      </c>
      <c r="L2746" s="31" t="str">
        <f>IFERROR(INDEX(Table!I:O,MATCH(K2746,Table!I:I,0),2),"")</f>
        <v/>
      </c>
      <c r="M2746" s="31" t="str">
        <f>IFERROR(INDEX(Table!I:O,MATCH(K2746,Table!I:I,0),3),"")</f>
        <v/>
      </c>
      <c r="N2746" s="32" t="str">
        <f>IFERROR(INDEX(Table!I:O,MATCH(K2746,Table!I:I,0),4),"")</f>
        <v/>
      </c>
      <c r="O2746" s="32" t="str">
        <f>IFERROR(INDEX(Table!I:O,MATCH(K2746,Table!I:I,0),5),"")</f>
        <v/>
      </c>
      <c r="P2746" s="32" t="str">
        <f>IFERROR(INDEX(Table!I:O,MATCH(K2746,Table!I:I,0),6),"")</f>
        <v/>
      </c>
      <c r="Q2746" s="89" t="str">
        <f t="shared" si="118"/>
        <v/>
      </c>
      <c r="R2746" s="89" t="str">
        <f t="shared" si="119"/>
        <v/>
      </c>
      <c r="S2746" s="82"/>
    </row>
    <row r="2747" spans="1:19" x14ac:dyDescent="0.25">
      <c r="A2747" s="31" t="str">
        <f>IF(Table!A2747 = "","",Table!A2747)</f>
        <v/>
      </c>
      <c r="B2747" s="31" t="str">
        <f>IF(Table!B2747 = "","",Table!B2747)</f>
        <v/>
      </c>
      <c r="C2747" s="31" t="str">
        <f>IF(Table!C2747 = "","",Table!C2747)</f>
        <v/>
      </c>
      <c r="D2747" s="32" t="str">
        <f>IF(Table!D2747 = "","",Table!D2747)</f>
        <v/>
      </c>
      <c r="E2747" s="32" t="str">
        <f>IF(Table!E2747 = "","",Table!E2747)</f>
        <v/>
      </c>
      <c r="F2747" s="32" t="str">
        <f>IF(Table!F2747 = "","",Table!F2747)</f>
        <v/>
      </c>
      <c r="G2747" s="91"/>
      <c r="K2747" s="31" t="str">
        <f>IFERROR(VLOOKUP(A2747,Table!$I$4:$O$3000,1,TRUE),"")</f>
        <v/>
      </c>
      <c r="L2747" s="31" t="str">
        <f>IFERROR(INDEX(Table!I:O,MATCH(K2747,Table!I:I,0),2),"")</f>
        <v/>
      </c>
      <c r="M2747" s="31" t="str">
        <f>IFERROR(INDEX(Table!I:O,MATCH(K2747,Table!I:I,0),3),"")</f>
        <v/>
      </c>
      <c r="N2747" s="32" t="str">
        <f>IFERROR(INDEX(Table!I:O,MATCH(K2747,Table!I:I,0),4),"")</f>
        <v/>
      </c>
      <c r="O2747" s="32" t="str">
        <f>IFERROR(INDEX(Table!I:O,MATCH(K2747,Table!I:I,0),5),"")</f>
        <v/>
      </c>
      <c r="P2747" s="32" t="str">
        <f>IFERROR(INDEX(Table!I:O,MATCH(K2747,Table!I:I,0),6),"")</f>
        <v/>
      </c>
      <c r="Q2747" s="89" t="str">
        <f t="shared" si="118"/>
        <v/>
      </c>
      <c r="R2747" s="89" t="str">
        <f t="shared" si="119"/>
        <v/>
      </c>
      <c r="S2747" s="82"/>
    </row>
    <row r="2748" spans="1:19" x14ac:dyDescent="0.25">
      <c r="A2748" s="31" t="str">
        <f>IF(Table!A2748 = "","",Table!A2748)</f>
        <v/>
      </c>
      <c r="B2748" s="31" t="str">
        <f>IF(Table!B2748 = "","",Table!B2748)</f>
        <v/>
      </c>
      <c r="C2748" s="31" t="str">
        <f>IF(Table!C2748 = "","",Table!C2748)</f>
        <v/>
      </c>
      <c r="D2748" s="32" t="str">
        <f>IF(Table!D2748 = "","",Table!D2748)</f>
        <v/>
      </c>
      <c r="E2748" s="32" t="str">
        <f>IF(Table!E2748 = "","",Table!E2748)</f>
        <v/>
      </c>
      <c r="F2748" s="32" t="str">
        <f>IF(Table!F2748 = "","",Table!F2748)</f>
        <v/>
      </c>
      <c r="G2748" s="91"/>
      <c r="K2748" s="31" t="str">
        <f>IFERROR(VLOOKUP(A2748,Table!$I$4:$O$3000,1,TRUE),"")</f>
        <v/>
      </c>
      <c r="L2748" s="31" t="str">
        <f>IFERROR(INDEX(Table!I:O,MATCH(K2748,Table!I:I,0),2),"")</f>
        <v/>
      </c>
      <c r="M2748" s="31" t="str">
        <f>IFERROR(INDEX(Table!I:O,MATCH(K2748,Table!I:I,0),3),"")</f>
        <v/>
      </c>
      <c r="N2748" s="32" t="str">
        <f>IFERROR(INDEX(Table!I:O,MATCH(K2748,Table!I:I,0),4),"")</f>
        <v/>
      </c>
      <c r="O2748" s="32" t="str">
        <f>IFERROR(INDEX(Table!I:O,MATCH(K2748,Table!I:I,0),5),"")</f>
        <v/>
      </c>
      <c r="P2748" s="32" t="str">
        <f>IFERROR(INDEX(Table!I:O,MATCH(K2748,Table!I:I,0),6),"")</f>
        <v/>
      </c>
      <c r="Q2748" s="89" t="str">
        <f t="shared" si="118"/>
        <v/>
      </c>
      <c r="R2748" s="89" t="str">
        <f t="shared" si="119"/>
        <v/>
      </c>
      <c r="S2748" s="82"/>
    </row>
    <row r="2749" spans="1:19" x14ac:dyDescent="0.25">
      <c r="A2749" s="31" t="str">
        <f>IF(Table!A2749 = "","",Table!A2749)</f>
        <v/>
      </c>
      <c r="B2749" s="31" t="str">
        <f>IF(Table!B2749 = "","",Table!B2749)</f>
        <v/>
      </c>
      <c r="C2749" s="31" t="str">
        <f>IF(Table!C2749 = "","",Table!C2749)</f>
        <v/>
      </c>
      <c r="D2749" s="32" t="str">
        <f>IF(Table!D2749 = "","",Table!D2749)</f>
        <v/>
      </c>
      <c r="E2749" s="32" t="str">
        <f>IF(Table!E2749 = "","",Table!E2749)</f>
        <v/>
      </c>
      <c r="F2749" s="32" t="str">
        <f>IF(Table!F2749 = "","",Table!F2749)</f>
        <v/>
      </c>
      <c r="G2749" s="91"/>
      <c r="K2749" s="31" t="str">
        <f>IFERROR(VLOOKUP(A2749,Table!$I$4:$O$3000,1,TRUE),"")</f>
        <v/>
      </c>
      <c r="L2749" s="31" t="str">
        <f>IFERROR(INDEX(Table!I:O,MATCH(K2749,Table!I:I,0),2),"")</f>
        <v/>
      </c>
      <c r="M2749" s="31" t="str">
        <f>IFERROR(INDEX(Table!I:O,MATCH(K2749,Table!I:I,0),3),"")</f>
        <v/>
      </c>
      <c r="N2749" s="32" t="str">
        <f>IFERROR(INDEX(Table!I:O,MATCH(K2749,Table!I:I,0),4),"")</f>
        <v/>
      </c>
      <c r="O2749" s="32" t="str">
        <f>IFERROR(INDEX(Table!I:O,MATCH(K2749,Table!I:I,0),5),"")</f>
        <v/>
      </c>
      <c r="P2749" s="32" t="str">
        <f>IFERROR(INDEX(Table!I:O,MATCH(K2749,Table!I:I,0),6),"")</f>
        <v/>
      </c>
      <c r="Q2749" s="89" t="str">
        <f t="shared" si="118"/>
        <v/>
      </c>
      <c r="R2749" s="89" t="str">
        <f t="shared" si="119"/>
        <v/>
      </c>
      <c r="S2749" s="82"/>
    </row>
    <row r="2750" spans="1:19" x14ac:dyDescent="0.25">
      <c r="A2750" s="31" t="str">
        <f>IF(Table!A2750 = "","",Table!A2750)</f>
        <v/>
      </c>
      <c r="B2750" s="31" t="str">
        <f>IF(Table!B2750 = "","",Table!B2750)</f>
        <v/>
      </c>
      <c r="C2750" s="31" t="str">
        <f>IF(Table!C2750 = "","",Table!C2750)</f>
        <v/>
      </c>
      <c r="D2750" s="32" t="str">
        <f>IF(Table!D2750 = "","",Table!D2750)</f>
        <v/>
      </c>
      <c r="E2750" s="32" t="str">
        <f>IF(Table!E2750 = "","",Table!E2750)</f>
        <v/>
      </c>
      <c r="F2750" s="32" t="str">
        <f>IF(Table!F2750 = "","",Table!F2750)</f>
        <v/>
      </c>
      <c r="G2750" s="91"/>
      <c r="K2750" s="31" t="str">
        <f>IFERROR(VLOOKUP(A2750,Table!$I$4:$O$3000,1,TRUE),"")</f>
        <v/>
      </c>
      <c r="L2750" s="31" t="str">
        <f>IFERROR(INDEX(Table!I:O,MATCH(K2750,Table!I:I,0),2),"")</f>
        <v/>
      </c>
      <c r="M2750" s="31" t="str">
        <f>IFERROR(INDEX(Table!I:O,MATCH(K2750,Table!I:I,0),3),"")</f>
        <v/>
      </c>
      <c r="N2750" s="32" t="str">
        <f>IFERROR(INDEX(Table!I:O,MATCH(K2750,Table!I:I,0),4),"")</f>
        <v/>
      </c>
      <c r="O2750" s="32" t="str">
        <f>IFERROR(INDEX(Table!I:O,MATCH(K2750,Table!I:I,0),5),"")</f>
        <v/>
      </c>
      <c r="P2750" s="32" t="str">
        <f>IFERROR(INDEX(Table!I:O,MATCH(K2750,Table!I:I,0),6),"")</f>
        <v/>
      </c>
      <c r="Q2750" s="89" t="str">
        <f t="shared" si="118"/>
        <v/>
      </c>
      <c r="R2750" s="89" t="str">
        <f t="shared" si="119"/>
        <v/>
      </c>
      <c r="S2750" s="82"/>
    </row>
    <row r="2751" spans="1:19" x14ac:dyDescent="0.25">
      <c r="A2751" s="31" t="str">
        <f>IF(Table!A2751 = "","",Table!A2751)</f>
        <v/>
      </c>
      <c r="B2751" s="31" t="str">
        <f>IF(Table!B2751 = "","",Table!B2751)</f>
        <v/>
      </c>
      <c r="C2751" s="31" t="str">
        <f>IF(Table!C2751 = "","",Table!C2751)</f>
        <v/>
      </c>
      <c r="D2751" s="32" t="str">
        <f>IF(Table!D2751 = "","",Table!D2751)</f>
        <v/>
      </c>
      <c r="E2751" s="32" t="str">
        <f>IF(Table!E2751 = "","",Table!E2751)</f>
        <v/>
      </c>
      <c r="F2751" s="32" t="str">
        <f>IF(Table!F2751 = "","",Table!F2751)</f>
        <v/>
      </c>
      <c r="G2751" s="91"/>
      <c r="K2751" s="31" t="str">
        <f>IFERROR(VLOOKUP(A2751,Table!$I$4:$O$3000,1,TRUE),"")</f>
        <v/>
      </c>
      <c r="L2751" s="31" t="str">
        <f>IFERROR(INDEX(Table!I:O,MATCH(K2751,Table!I:I,0),2),"")</f>
        <v/>
      </c>
      <c r="M2751" s="31" t="str">
        <f>IFERROR(INDEX(Table!I:O,MATCH(K2751,Table!I:I,0),3),"")</f>
        <v/>
      </c>
      <c r="N2751" s="32" t="str">
        <f>IFERROR(INDEX(Table!I:O,MATCH(K2751,Table!I:I,0),4),"")</f>
        <v/>
      </c>
      <c r="O2751" s="32" t="str">
        <f>IFERROR(INDEX(Table!I:O,MATCH(K2751,Table!I:I,0),5),"")</f>
        <v/>
      </c>
      <c r="P2751" s="32" t="str">
        <f>IFERROR(INDEX(Table!I:O,MATCH(K2751,Table!I:I,0),6),"")</f>
        <v/>
      </c>
      <c r="Q2751" s="89" t="str">
        <f t="shared" si="118"/>
        <v/>
      </c>
      <c r="R2751" s="89" t="str">
        <f t="shared" si="119"/>
        <v/>
      </c>
      <c r="S2751" s="82"/>
    </row>
    <row r="2752" spans="1:19" x14ac:dyDescent="0.25">
      <c r="A2752" s="31" t="str">
        <f>IF(Table!A2752 = "","",Table!A2752)</f>
        <v/>
      </c>
      <c r="B2752" s="31" t="str">
        <f>IF(Table!B2752 = "","",Table!B2752)</f>
        <v/>
      </c>
      <c r="C2752" s="31" t="str">
        <f>IF(Table!C2752 = "","",Table!C2752)</f>
        <v/>
      </c>
      <c r="D2752" s="32" t="str">
        <f>IF(Table!D2752 = "","",Table!D2752)</f>
        <v/>
      </c>
      <c r="E2752" s="32" t="str">
        <f>IF(Table!E2752 = "","",Table!E2752)</f>
        <v/>
      </c>
      <c r="F2752" s="32" t="str">
        <f>IF(Table!F2752 = "","",Table!F2752)</f>
        <v/>
      </c>
      <c r="G2752" s="91"/>
      <c r="K2752" s="31" t="str">
        <f>IFERROR(VLOOKUP(A2752,Table!$I$4:$O$3000,1,TRUE),"")</f>
        <v/>
      </c>
      <c r="L2752" s="31" t="str">
        <f>IFERROR(INDEX(Table!I:O,MATCH(K2752,Table!I:I,0),2),"")</f>
        <v/>
      </c>
      <c r="M2752" s="31" t="str">
        <f>IFERROR(INDEX(Table!I:O,MATCH(K2752,Table!I:I,0),3),"")</f>
        <v/>
      </c>
      <c r="N2752" s="32" t="str">
        <f>IFERROR(INDEX(Table!I:O,MATCH(K2752,Table!I:I,0),4),"")</f>
        <v/>
      </c>
      <c r="O2752" s="32" t="str">
        <f>IFERROR(INDEX(Table!I:O,MATCH(K2752,Table!I:I,0),5),"")</f>
        <v/>
      </c>
      <c r="P2752" s="32" t="str">
        <f>IFERROR(INDEX(Table!I:O,MATCH(K2752,Table!I:I,0),6),"")</f>
        <v/>
      </c>
      <c r="Q2752" s="89" t="str">
        <f t="shared" si="118"/>
        <v/>
      </c>
      <c r="R2752" s="89" t="str">
        <f t="shared" si="119"/>
        <v/>
      </c>
      <c r="S2752" s="82"/>
    </row>
    <row r="2753" spans="1:19" x14ac:dyDescent="0.25">
      <c r="A2753" s="31" t="str">
        <f>IF(Table!A2753 = "","",Table!A2753)</f>
        <v/>
      </c>
      <c r="B2753" s="31" t="str">
        <f>IF(Table!B2753 = "","",Table!B2753)</f>
        <v/>
      </c>
      <c r="C2753" s="31" t="str">
        <f>IF(Table!C2753 = "","",Table!C2753)</f>
        <v/>
      </c>
      <c r="D2753" s="32" t="str">
        <f>IF(Table!D2753 = "","",Table!D2753)</f>
        <v/>
      </c>
      <c r="E2753" s="32" t="str">
        <f>IF(Table!E2753 = "","",Table!E2753)</f>
        <v/>
      </c>
      <c r="F2753" s="32" t="str">
        <f>IF(Table!F2753 = "","",Table!F2753)</f>
        <v/>
      </c>
      <c r="G2753" s="91"/>
      <c r="K2753" s="31" t="str">
        <f>IFERROR(VLOOKUP(A2753,Table!$I$4:$O$3000,1,TRUE),"")</f>
        <v/>
      </c>
      <c r="L2753" s="31" t="str">
        <f>IFERROR(INDEX(Table!I:O,MATCH(K2753,Table!I:I,0),2),"")</f>
        <v/>
      </c>
      <c r="M2753" s="31" t="str">
        <f>IFERROR(INDEX(Table!I:O,MATCH(K2753,Table!I:I,0),3),"")</f>
        <v/>
      </c>
      <c r="N2753" s="32" t="str">
        <f>IFERROR(INDEX(Table!I:O,MATCH(K2753,Table!I:I,0),4),"")</f>
        <v/>
      </c>
      <c r="O2753" s="32" t="str">
        <f>IFERROR(INDEX(Table!I:O,MATCH(K2753,Table!I:I,0),5),"")</f>
        <v/>
      </c>
      <c r="P2753" s="32" t="str">
        <f>IFERROR(INDEX(Table!I:O,MATCH(K2753,Table!I:I,0),6),"")</f>
        <v/>
      </c>
      <c r="Q2753" s="89" t="str">
        <f t="shared" si="118"/>
        <v/>
      </c>
      <c r="R2753" s="89" t="str">
        <f t="shared" si="119"/>
        <v/>
      </c>
      <c r="S2753" s="82"/>
    </row>
    <row r="2754" spans="1:19" x14ac:dyDescent="0.25">
      <c r="A2754" s="31" t="str">
        <f>IF(Table!A2754 = "","",Table!A2754)</f>
        <v/>
      </c>
      <c r="B2754" s="31" t="str">
        <f>IF(Table!B2754 = "","",Table!B2754)</f>
        <v/>
      </c>
      <c r="C2754" s="31" t="str">
        <f>IF(Table!C2754 = "","",Table!C2754)</f>
        <v/>
      </c>
      <c r="D2754" s="32" t="str">
        <f>IF(Table!D2754 = "","",Table!D2754)</f>
        <v/>
      </c>
      <c r="E2754" s="32" t="str">
        <f>IF(Table!E2754 = "","",Table!E2754)</f>
        <v/>
      </c>
      <c r="F2754" s="32" t="str">
        <f>IF(Table!F2754 = "","",Table!F2754)</f>
        <v/>
      </c>
      <c r="G2754" s="91"/>
      <c r="K2754" s="31" t="str">
        <f>IFERROR(VLOOKUP(A2754,Table!$I$4:$O$3000,1,TRUE),"")</f>
        <v/>
      </c>
      <c r="L2754" s="31" t="str">
        <f>IFERROR(INDEX(Table!I:O,MATCH(K2754,Table!I:I,0),2),"")</f>
        <v/>
      </c>
      <c r="M2754" s="31" t="str">
        <f>IFERROR(INDEX(Table!I:O,MATCH(K2754,Table!I:I,0),3),"")</f>
        <v/>
      </c>
      <c r="N2754" s="32" t="str">
        <f>IFERROR(INDEX(Table!I:O,MATCH(K2754,Table!I:I,0),4),"")</f>
        <v/>
      </c>
      <c r="O2754" s="32" t="str">
        <f>IFERROR(INDEX(Table!I:O,MATCH(K2754,Table!I:I,0),5),"")</f>
        <v/>
      </c>
      <c r="P2754" s="32" t="str">
        <f>IFERROR(INDEX(Table!I:O,MATCH(K2754,Table!I:I,0),6),"")</f>
        <v/>
      </c>
      <c r="Q2754" s="89" t="str">
        <f t="shared" si="118"/>
        <v/>
      </c>
      <c r="R2754" s="89" t="str">
        <f t="shared" si="119"/>
        <v/>
      </c>
      <c r="S2754" s="82"/>
    </row>
    <row r="2755" spans="1:19" x14ac:dyDescent="0.25">
      <c r="A2755" s="31" t="str">
        <f>IF(Table!A2755 = "","",Table!A2755)</f>
        <v/>
      </c>
      <c r="B2755" s="31" t="str">
        <f>IF(Table!B2755 = "","",Table!B2755)</f>
        <v/>
      </c>
      <c r="C2755" s="31" t="str">
        <f>IF(Table!C2755 = "","",Table!C2755)</f>
        <v/>
      </c>
      <c r="D2755" s="32" t="str">
        <f>IF(Table!D2755 = "","",Table!D2755)</f>
        <v/>
      </c>
      <c r="E2755" s="32" t="str">
        <f>IF(Table!E2755 = "","",Table!E2755)</f>
        <v/>
      </c>
      <c r="F2755" s="32" t="str">
        <f>IF(Table!F2755 = "","",Table!F2755)</f>
        <v/>
      </c>
      <c r="G2755" s="91"/>
      <c r="K2755" s="31" t="str">
        <f>IFERROR(VLOOKUP(A2755,Table!$I$4:$O$3000,1,TRUE),"")</f>
        <v/>
      </c>
      <c r="L2755" s="31" t="str">
        <f>IFERROR(INDEX(Table!I:O,MATCH(K2755,Table!I:I,0),2),"")</f>
        <v/>
      </c>
      <c r="M2755" s="31" t="str">
        <f>IFERROR(INDEX(Table!I:O,MATCH(K2755,Table!I:I,0),3),"")</f>
        <v/>
      </c>
      <c r="N2755" s="32" t="str">
        <f>IFERROR(INDEX(Table!I:O,MATCH(K2755,Table!I:I,0),4),"")</f>
        <v/>
      </c>
      <c r="O2755" s="32" t="str">
        <f>IFERROR(INDEX(Table!I:O,MATCH(K2755,Table!I:I,0),5),"")</f>
        <v/>
      </c>
      <c r="P2755" s="32" t="str">
        <f>IFERROR(INDEX(Table!I:O,MATCH(K2755,Table!I:I,0),6),"")</f>
        <v/>
      </c>
      <c r="Q2755" s="89" t="str">
        <f t="shared" si="118"/>
        <v/>
      </c>
      <c r="R2755" s="89" t="str">
        <f t="shared" si="119"/>
        <v/>
      </c>
      <c r="S2755" s="82"/>
    </row>
    <row r="2756" spans="1:19" x14ac:dyDescent="0.25">
      <c r="A2756" s="31" t="str">
        <f>IF(Table!A2756 = "","",Table!A2756)</f>
        <v/>
      </c>
      <c r="B2756" s="31" t="str">
        <f>IF(Table!B2756 = "","",Table!B2756)</f>
        <v/>
      </c>
      <c r="C2756" s="31" t="str">
        <f>IF(Table!C2756 = "","",Table!C2756)</f>
        <v/>
      </c>
      <c r="D2756" s="32" t="str">
        <f>IF(Table!D2756 = "","",Table!D2756)</f>
        <v/>
      </c>
      <c r="E2756" s="32" t="str">
        <f>IF(Table!E2756 = "","",Table!E2756)</f>
        <v/>
      </c>
      <c r="F2756" s="32" t="str">
        <f>IF(Table!F2756 = "","",Table!F2756)</f>
        <v/>
      </c>
      <c r="G2756" s="91"/>
      <c r="K2756" s="31" t="str">
        <f>IFERROR(VLOOKUP(A2756,Table!$I$4:$O$3000,1,TRUE),"")</f>
        <v/>
      </c>
      <c r="L2756" s="31" t="str">
        <f>IFERROR(INDEX(Table!I:O,MATCH(K2756,Table!I:I,0),2),"")</f>
        <v/>
      </c>
      <c r="M2756" s="31" t="str">
        <f>IFERROR(INDEX(Table!I:O,MATCH(K2756,Table!I:I,0),3),"")</f>
        <v/>
      </c>
      <c r="N2756" s="32" t="str">
        <f>IFERROR(INDEX(Table!I:O,MATCH(K2756,Table!I:I,0),4),"")</f>
        <v/>
      </c>
      <c r="O2756" s="32" t="str">
        <f>IFERROR(INDEX(Table!I:O,MATCH(K2756,Table!I:I,0),5),"")</f>
        <v/>
      </c>
      <c r="P2756" s="32" t="str">
        <f>IFERROR(INDEX(Table!I:O,MATCH(K2756,Table!I:I,0),6),"")</f>
        <v/>
      </c>
      <c r="Q2756" s="89" t="str">
        <f t="shared" si="118"/>
        <v/>
      </c>
      <c r="R2756" s="89" t="str">
        <f t="shared" si="119"/>
        <v/>
      </c>
      <c r="S2756" s="82"/>
    </row>
    <row r="2757" spans="1:19" x14ac:dyDescent="0.25">
      <c r="A2757" s="31" t="str">
        <f>IF(Table!A2757 = "","",Table!A2757)</f>
        <v/>
      </c>
      <c r="B2757" s="31" t="str">
        <f>IF(Table!B2757 = "","",Table!B2757)</f>
        <v/>
      </c>
      <c r="C2757" s="31" t="str">
        <f>IF(Table!C2757 = "","",Table!C2757)</f>
        <v/>
      </c>
      <c r="D2757" s="32" t="str">
        <f>IF(Table!D2757 = "","",Table!D2757)</f>
        <v/>
      </c>
      <c r="E2757" s="32" t="str">
        <f>IF(Table!E2757 = "","",Table!E2757)</f>
        <v/>
      </c>
      <c r="F2757" s="32" t="str">
        <f>IF(Table!F2757 = "","",Table!F2757)</f>
        <v/>
      </c>
      <c r="G2757" s="91"/>
      <c r="K2757" s="31" t="str">
        <f>IFERROR(VLOOKUP(A2757,Table!$I$4:$O$3000,1,TRUE),"")</f>
        <v/>
      </c>
      <c r="L2757" s="31" t="str">
        <f>IFERROR(INDEX(Table!I:O,MATCH(K2757,Table!I:I,0),2),"")</f>
        <v/>
      </c>
      <c r="M2757" s="31" t="str">
        <f>IFERROR(INDEX(Table!I:O,MATCH(K2757,Table!I:I,0),3),"")</f>
        <v/>
      </c>
      <c r="N2757" s="32" t="str">
        <f>IFERROR(INDEX(Table!I:O,MATCH(K2757,Table!I:I,0),4),"")</f>
        <v/>
      </c>
      <c r="O2757" s="32" t="str">
        <f>IFERROR(INDEX(Table!I:O,MATCH(K2757,Table!I:I,0),5),"")</f>
        <v/>
      </c>
      <c r="P2757" s="32" t="str">
        <f>IFERROR(INDEX(Table!I:O,MATCH(K2757,Table!I:I,0),6),"")</f>
        <v/>
      </c>
      <c r="Q2757" s="89" t="str">
        <f t="shared" si="118"/>
        <v/>
      </c>
      <c r="R2757" s="89" t="str">
        <f t="shared" si="119"/>
        <v/>
      </c>
      <c r="S2757" s="82"/>
    </row>
    <row r="2758" spans="1:19" x14ac:dyDescent="0.25">
      <c r="A2758" s="31" t="str">
        <f>IF(Table!A2758 = "","",Table!A2758)</f>
        <v/>
      </c>
      <c r="B2758" s="31" t="str">
        <f>IF(Table!B2758 = "","",Table!B2758)</f>
        <v/>
      </c>
      <c r="C2758" s="31" t="str">
        <f>IF(Table!C2758 = "","",Table!C2758)</f>
        <v/>
      </c>
      <c r="D2758" s="32" t="str">
        <f>IF(Table!D2758 = "","",Table!D2758)</f>
        <v/>
      </c>
      <c r="E2758" s="32" t="str">
        <f>IF(Table!E2758 = "","",Table!E2758)</f>
        <v/>
      </c>
      <c r="F2758" s="32" t="str">
        <f>IF(Table!F2758 = "","",Table!F2758)</f>
        <v/>
      </c>
      <c r="G2758" s="91"/>
      <c r="K2758" s="31" t="str">
        <f>IFERROR(VLOOKUP(A2758,Table!$I$4:$O$3000,1,TRUE),"")</f>
        <v/>
      </c>
      <c r="L2758" s="31" t="str">
        <f>IFERROR(INDEX(Table!I:O,MATCH(K2758,Table!I:I,0),2),"")</f>
        <v/>
      </c>
      <c r="M2758" s="31" t="str">
        <f>IFERROR(INDEX(Table!I:O,MATCH(K2758,Table!I:I,0),3),"")</f>
        <v/>
      </c>
      <c r="N2758" s="32" t="str">
        <f>IFERROR(INDEX(Table!I:O,MATCH(K2758,Table!I:I,0),4),"")</f>
        <v/>
      </c>
      <c r="O2758" s="32" t="str">
        <f>IFERROR(INDEX(Table!I:O,MATCH(K2758,Table!I:I,0),5),"")</f>
        <v/>
      </c>
      <c r="P2758" s="32" t="str">
        <f>IFERROR(INDEX(Table!I:O,MATCH(K2758,Table!I:I,0),6),"")</f>
        <v/>
      </c>
      <c r="Q2758" s="89" t="str">
        <f t="shared" ref="Q2758:Q2821" si="120">IFERROR(L2758-B2758,"")</f>
        <v/>
      </c>
      <c r="R2758" s="89" t="str">
        <f t="shared" ref="R2758:R2821" si="121">IFERROR(M2758-C2758,"")</f>
        <v/>
      </c>
      <c r="S2758" s="82"/>
    </row>
    <row r="2759" spans="1:19" x14ac:dyDescent="0.25">
      <c r="A2759" s="31" t="str">
        <f>IF(Table!A2759 = "","",Table!A2759)</f>
        <v/>
      </c>
      <c r="B2759" s="31" t="str">
        <f>IF(Table!B2759 = "","",Table!B2759)</f>
        <v/>
      </c>
      <c r="C2759" s="31" t="str">
        <f>IF(Table!C2759 = "","",Table!C2759)</f>
        <v/>
      </c>
      <c r="D2759" s="32" t="str">
        <f>IF(Table!D2759 = "","",Table!D2759)</f>
        <v/>
      </c>
      <c r="E2759" s="32" t="str">
        <f>IF(Table!E2759 = "","",Table!E2759)</f>
        <v/>
      </c>
      <c r="F2759" s="32" t="str">
        <f>IF(Table!F2759 = "","",Table!F2759)</f>
        <v/>
      </c>
      <c r="G2759" s="91"/>
      <c r="K2759" s="31" t="str">
        <f>IFERROR(VLOOKUP(A2759,Table!$I$4:$O$3000,1,TRUE),"")</f>
        <v/>
      </c>
      <c r="L2759" s="31" t="str">
        <f>IFERROR(INDEX(Table!I:O,MATCH(K2759,Table!I:I,0),2),"")</f>
        <v/>
      </c>
      <c r="M2759" s="31" t="str">
        <f>IFERROR(INDEX(Table!I:O,MATCH(K2759,Table!I:I,0),3),"")</f>
        <v/>
      </c>
      <c r="N2759" s="32" t="str">
        <f>IFERROR(INDEX(Table!I:O,MATCH(K2759,Table!I:I,0),4),"")</f>
        <v/>
      </c>
      <c r="O2759" s="32" t="str">
        <f>IFERROR(INDEX(Table!I:O,MATCH(K2759,Table!I:I,0),5),"")</f>
        <v/>
      </c>
      <c r="P2759" s="32" t="str">
        <f>IFERROR(INDEX(Table!I:O,MATCH(K2759,Table!I:I,0),6),"")</f>
        <v/>
      </c>
      <c r="Q2759" s="89" t="str">
        <f t="shared" si="120"/>
        <v/>
      </c>
      <c r="R2759" s="89" t="str">
        <f t="shared" si="121"/>
        <v/>
      </c>
      <c r="S2759" s="82"/>
    </row>
    <row r="2760" spans="1:19" x14ac:dyDescent="0.25">
      <c r="A2760" s="31" t="str">
        <f>IF(Table!A2760 = "","",Table!A2760)</f>
        <v/>
      </c>
      <c r="B2760" s="31" t="str">
        <f>IF(Table!B2760 = "","",Table!B2760)</f>
        <v/>
      </c>
      <c r="C2760" s="31" t="str">
        <f>IF(Table!C2760 = "","",Table!C2760)</f>
        <v/>
      </c>
      <c r="D2760" s="32" t="str">
        <f>IF(Table!D2760 = "","",Table!D2760)</f>
        <v/>
      </c>
      <c r="E2760" s="32" t="str">
        <f>IF(Table!E2760 = "","",Table!E2760)</f>
        <v/>
      </c>
      <c r="F2760" s="32" t="str">
        <f>IF(Table!F2760 = "","",Table!F2760)</f>
        <v/>
      </c>
      <c r="G2760" s="91"/>
      <c r="K2760" s="31" t="str">
        <f>IFERROR(VLOOKUP(A2760,Table!$I$4:$O$3000,1,TRUE),"")</f>
        <v/>
      </c>
      <c r="L2760" s="31" t="str">
        <f>IFERROR(INDEX(Table!I:O,MATCH(K2760,Table!I:I,0),2),"")</f>
        <v/>
      </c>
      <c r="M2760" s="31" t="str">
        <f>IFERROR(INDEX(Table!I:O,MATCH(K2760,Table!I:I,0),3),"")</f>
        <v/>
      </c>
      <c r="N2760" s="32" t="str">
        <f>IFERROR(INDEX(Table!I:O,MATCH(K2760,Table!I:I,0),4),"")</f>
        <v/>
      </c>
      <c r="O2760" s="32" t="str">
        <f>IFERROR(INDEX(Table!I:O,MATCH(K2760,Table!I:I,0),5),"")</f>
        <v/>
      </c>
      <c r="P2760" s="32" t="str">
        <f>IFERROR(INDEX(Table!I:O,MATCH(K2760,Table!I:I,0),6),"")</f>
        <v/>
      </c>
      <c r="Q2760" s="89" t="str">
        <f t="shared" si="120"/>
        <v/>
      </c>
      <c r="R2760" s="89" t="str">
        <f t="shared" si="121"/>
        <v/>
      </c>
      <c r="S2760" s="82"/>
    </row>
    <row r="2761" spans="1:19" x14ac:dyDescent="0.25">
      <c r="A2761" s="31" t="str">
        <f>IF(Table!A2761 = "","",Table!A2761)</f>
        <v/>
      </c>
      <c r="B2761" s="31" t="str">
        <f>IF(Table!B2761 = "","",Table!B2761)</f>
        <v/>
      </c>
      <c r="C2761" s="31" t="str">
        <f>IF(Table!C2761 = "","",Table!C2761)</f>
        <v/>
      </c>
      <c r="D2761" s="32" t="str">
        <f>IF(Table!D2761 = "","",Table!D2761)</f>
        <v/>
      </c>
      <c r="E2761" s="32" t="str">
        <f>IF(Table!E2761 = "","",Table!E2761)</f>
        <v/>
      </c>
      <c r="F2761" s="32" t="str">
        <f>IF(Table!F2761 = "","",Table!F2761)</f>
        <v/>
      </c>
      <c r="G2761" s="91"/>
      <c r="K2761" s="31" t="str">
        <f>IFERROR(VLOOKUP(A2761,Table!$I$4:$O$3000,1,TRUE),"")</f>
        <v/>
      </c>
      <c r="L2761" s="31" t="str">
        <f>IFERROR(INDEX(Table!I:O,MATCH(K2761,Table!I:I,0),2),"")</f>
        <v/>
      </c>
      <c r="M2761" s="31" t="str">
        <f>IFERROR(INDEX(Table!I:O,MATCH(K2761,Table!I:I,0),3),"")</f>
        <v/>
      </c>
      <c r="N2761" s="32" t="str">
        <f>IFERROR(INDEX(Table!I:O,MATCH(K2761,Table!I:I,0),4),"")</f>
        <v/>
      </c>
      <c r="O2761" s="32" t="str">
        <f>IFERROR(INDEX(Table!I:O,MATCH(K2761,Table!I:I,0),5),"")</f>
        <v/>
      </c>
      <c r="P2761" s="32" t="str">
        <f>IFERROR(INDEX(Table!I:O,MATCH(K2761,Table!I:I,0),6),"")</f>
        <v/>
      </c>
      <c r="Q2761" s="89" t="str">
        <f t="shared" si="120"/>
        <v/>
      </c>
      <c r="R2761" s="89" t="str">
        <f t="shared" si="121"/>
        <v/>
      </c>
      <c r="S2761" s="82"/>
    </row>
    <row r="2762" spans="1:19" x14ac:dyDescent="0.25">
      <c r="A2762" s="31" t="str">
        <f>IF(Table!A2762 = "","",Table!A2762)</f>
        <v/>
      </c>
      <c r="B2762" s="31" t="str">
        <f>IF(Table!B2762 = "","",Table!B2762)</f>
        <v/>
      </c>
      <c r="C2762" s="31" t="str">
        <f>IF(Table!C2762 = "","",Table!C2762)</f>
        <v/>
      </c>
      <c r="D2762" s="32" t="str">
        <f>IF(Table!D2762 = "","",Table!D2762)</f>
        <v/>
      </c>
      <c r="E2762" s="32" t="str">
        <f>IF(Table!E2762 = "","",Table!E2762)</f>
        <v/>
      </c>
      <c r="F2762" s="32" t="str">
        <f>IF(Table!F2762 = "","",Table!F2762)</f>
        <v/>
      </c>
      <c r="G2762" s="91"/>
      <c r="K2762" s="31" t="str">
        <f>IFERROR(VLOOKUP(A2762,Table!$I$4:$O$3000,1,TRUE),"")</f>
        <v/>
      </c>
      <c r="L2762" s="31" t="str">
        <f>IFERROR(INDEX(Table!I:O,MATCH(K2762,Table!I:I,0),2),"")</f>
        <v/>
      </c>
      <c r="M2762" s="31" t="str">
        <f>IFERROR(INDEX(Table!I:O,MATCH(K2762,Table!I:I,0),3),"")</f>
        <v/>
      </c>
      <c r="N2762" s="32" t="str">
        <f>IFERROR(INDEX(Table!I:O,MATCH(K2762,Table!I:I,0),4),"")</f>
        <v/>
      </c>
      <c r="O2762" s="32" t="str">
        <f>IFERROR(INDEX(Table!I:O,MATCH(K2762,Table!I:I,0),5),"")</f>
        <v/>
      </c>
      <c r="P2762" s="32" t="str">
        <f>IFERROR(INDEX(Table!I:O,MATCH(K2762,Table!I:I,0),6),"")</f>
        <v/>
      </c>
      <c r="Q2762" s="89" t="str">
        <f t="shared" si="120"/>
        <v/>
      </c>
      <c r="R2762" s="89" t="str">
        <f t="shared" si="121"/>
        <v/>
      </c>
      <c r="S2762" s="82"/>
    </row>
    <row r="2763" spans="1:19" x14ac:dyDescent="0.25">
      <c r="A2763" s="31" t="str">
        <f>IF(Table!A2763 = "","",Table!A2763)</f>
        <v/>
      </c>
      <c r="B2763" s="31" t="str">
        <f>IF(Table!B2763 = "","",Table!B2763)</f>
        <v/>
      </c>
      <c r="C2763" s="31" t="str">
        <f>IF(Table!C2763 = "","",Table!C2763)</f>
        <v/>
      </c>
      <c r="D2763" s="32" t="str">
        <f>IF(Table!D2763 = "","",Table!D2763)</f>
        <v/>
      </c>
      <c r="E2763" s="32" t="str">
        <f>IF(Table!E2763 = "","",Table!E2763)</f>
        <v/>
      </c>
      <c r="F2763" s="32" t="str">
        <f>IF(Table!F2763 = "","",Table!F2763)</f>
        <v/>
      </c>
      <c r="G2763" s="91"/>
      <c r="K2763" s="31" t="str">
        <f>IFERROR(VLOOKUP(A2763,Table!$I$4:$O$3000,1,TRUE),"")</f>
        <v/>
      </c>
      <c r="L2763" s="31" t="str">
        <f>IFERROR(INDEX(Table!I:O,MATCH(K2763,Table!I:I,0),2),"")</f>
        <v/>
      </c>
      <c r="M2763" s="31" t="str">
        <f>IFERROR(INDEX(Table!I:O,MATCH(K2763,Table!I:I,0),3),"")</f>
        <v/>
      </c>
      <c r="N2763" s="32" t="str">
        <f>IFERROR(INDEX(Table!I:O,MATCH(K2763,Table!I:I,0),4),"")</f>
        <v/>
      </c>
      <c r="O2763" s="32" t="str">
        <f>IFERROR(INDEX(Table!I:O,MATCH(K2763,Table!I:I,0),5),"")</f>
        <v/>
      </c>
      <c r="P2763" s="32" t="str">
        <f>IFERROR(INDEX(Table!I:O,MATCH(K2763,Table!I:I,0),6),"")</f>
        <v/>
      </c>
      <c r="Q2763" s="89" t="str">
        <f t="shared" si="120"/>
        <v/>
      </c>
      <c r="R2763" s="89" t="str">
        <f t="shared" si="121"/>
        <v/>
      </c>
      <c r="S2763" s="82"/>
    </row>
    <row r="2764" spans="1:19" x14ac:dyDescent="0.25">
      <c r="A2764" s="31" t="str">
        <f>IF(Table!A2764 = "","",Table!A2764)</f>
        <v/>
      </c>
      <c r="B2764" s="31" t="str">
        <f>IF(Table!B2764 = "","",Table!B2764)</f>
        <v/>
      </c>
      <c r="C2764" s="31" t="str">
        <f>IF(Table!C2764 = "","",Table!C2764)</f>
        <v/>
      </c>
      <c r="D2764" s="32" t="str">
        <f>IF(Table!D2764 = "","",Table!D2764)</f>
        <v/>
      </c>
      <c r="E2764" s="32" t="str">
        <f>IF(Table!E2764 = "","",Table!E2764)</f>
        <v/>
      </c>
      <c r="F2764" s="32" t="str">
        <f>IF(Table!F2764 = "","",Table!F2764)</f>
        <v/>
      </c>
      <c r="G2764" s="91"/>
      <c r="K2764" s="31" t="str">
        <f>IFERROR(VLOOKUP(A2764,Table!$I$4:$O$3000,1,TRUE),"")</f>
        <v/>
      </c>
      <c r="L2764" s="31" t="str">
        <f>IFERROR(INDEX(Table!I:O,MATCH(K2764,Table!I:I,0),2),"")</f>
        <v/>
      </c>
      <c r="M2764" s="31" t="str">
        <f>IFERROR(INDEX(Table!I:O,MATCH(K2764,Table!I:I,0),3),"")</f>
        <v/>
      </c>
      <c r="N2764" s="32" t="str">
        <f>IFERROR(INDEX(Table!I:O,MATCH(K2764,Table!I:I,0),4),"")</f>
        <v/>
      </c>
      <c r="O2764" s="32" t="str">
        <f>IFERROR(INDEX(Table!I:O,MATCH(K2764,Table!I:I,0),5),"")</f>
        <v/>
      </c>
      <c r="P2764" s="32" t="str">
        <f>IFERROR(INDEX(Table!I:O,MATCH(K2764,Table!I:I,0),6),"")</f>
        <v/>
      </c>
      <c r="Q2764" s="89" t="str">
        <f t="shared" si="120"/>
        <v/>
      </c>
      <c r="R2764" s="89" t="str">
        <f t="shared" si="121"/>
        <v/>
      </c>
      <c r="S2764" s="82"/>
    </row>
    <row r="2765" spans="1:19" x14ac:dyDescent="0.25">
      <c r="A2765" s="31" t="str">
        <f>IF(Table!A2765 = "","",Table!A2765)</f>
        <v/>
      </c>
      <c r="B2765" s="31" t="str">
        <f>IF(Table!B2765 = "","",Table!B2765)</f>
        <v/>
      </c>
      <c r="C2765" s="31" t="str">
        <f>IF(Table!C2765 = "","",Table!C2765)</f>
        <v/>
      </c>
      <c r="D2765" s="32" t="str">
        <f>IF(Table!D2765 = "","",Table!D2765)</f>
        <v/>
      </c>
      <c r="E2765" s="32" t="str">
        <f>IF(Table!E2765 = "","",Table!E2765)</f>
        <v/>
      </c>
      <c r="F2765" s="32" t="str">
        <f>IF(Table!F2765 = "","",Table!F2765)</f>
        <v/>
      </c>
      <c r="G2765" s="91"/>
      <c r="K2765" s="31" t="str">
        <f>IFERROR(VLOOKUP(A2765,Table!$I$4:$O$3000,1,TRUE),"")</f>
        <v/>
      </c>
      <c r="L2765" s="31" t="str">
        <f>IFERROR(INDEX(Table!I:O,MATCH(K2765,Table!I:I,0),2),"")</f>
        <v/>
      </c>
      <c r="M2765" s="31" t="str">
        <f>IFERROR(INDEX(Table!I:O,MATCH(K2765,Table!I:I,0),3),"")</f>
        <v/>
      </c>
      <c r="N2765" s="32" t="str">
        <f>IFERROR(INDEX(Table!I:O,MATCH(K2765,Table!I:I,0),4),"")</f>
        <v/>
      </c>
      <c r="O2765" s="32" t="str">
        <f>IFERROR(INDEX(Table!I:O,MATCH(K2765,Table!I:I,0),5),"")</f>
        <v/>
      </c>
      <c r="P2765" s="32" t="str">
        <f>IFERROR(INDEX(Table!I:O,MATCH(K2765,Table!I:I,0),6),"")</f>
        <v/>
      </c>
      <c r="Q2765" s="89" t="str">
        <f t="shared" si="120"/>
        <v/>
      </c>
      <c r="R2765" s="89" t="str">
        <f t="shared" si="121"/>
        <v/>
      </c>
      <c r="S2765" s="82"/>
    </row>
    <row r="2766" spans="1:19" x14ac:dyDescent="0.25">
      <c r="A2766" s="31" t="str">
        <f>IF(Table!A2766 = "","",Table!A2766)</f>
        <v/>
      </c>
      <c r="B2766" s="31" t="str">
        <f>IF(Table!B2766 = "","",Table!B2766)</f>
        <v/>
      </c>
      <c r="C2766" s="31" t="str">
        <f>IF(Table!C2766 = "","",Table!C2766)</f>
        <v/>
      </c>
      <c r="D2766" s="32" t="str">
        <f>IF(Table!D2766 = "","",Table!D2766)</f>
        <v/>
      </c>
      <c r="E2766" s="32" t="str">
        <f>IF(Table!E2766 = "","",Table!E2766)</f>
        <v/>
      </c>
      <c r="F2766" s="32" t="str">
        <f>IF(Table!F2766 = "","",Table!F2766)</f>
        <v/>
      </c>
      <c r="G2766" s="91"/>
      <c r="K2766" s="31" t="str">
        <f>IFERROR(VLOOKUP(A2766,Table!$I$4:$O$3000,1,TRUE),"")</f>
        <v/>
      </c>
      <c r="L2766" s="31" t="str">
        <f>IFERROR(INDEX(Table!I:O,MATCH(K2766,Table!I:I,0),2),"")</f>
        <v/>
      </c>
      <c r="M2766" s="31" t="str">
        <f>IFERROR(INDEX(Table!I:O,MATCH(K2766,Table!I:I,0),3),"")</f>
        <v/>
      </c>
      <c r="N2766" s="32" t="str">
        <f>IFERROR(INDEX(Table!I:O,MATCH(K2766,Table!I:I,0),4),"")</f>
        <v/>
      </c>
      <c r="O2766" s="32" t="str">
        <f>IFERROR(INDEX(Table!I:O,MATCH(K2766,Table!I:I,0),5),"")</f>
        <v/>
      </c>
      <c r="P2766" s="32" t="str">
        <f>IFERROR(INDEX(Table!I:O,MATCH(K2766,Table!I:I,0),6),"")</f>
        <v/>
      </c>
      <c r="Q2766" s="89" t="str">
        <f t="shared" si="120"/>
        <v/>
      </c>
      <c r="R2766" s="89" t="str">
        <f t="shared" si="121"/>
        <v/>
      </c>
      <c r="S2766" s="82"/>
    </row>
    <row r="2767" spans="1:19" x14ac:dyDescent="0.25">
      <c r="A2767" s="31" t="str">
        <f>IF(Table!A2767 = "","",Table!A2767)</f>
        <v/>
      </c>
      <c r="B2767" s="31" t="str">
        <f>IF(Table!B2767 = "","",Table!B2767)</f>
        <v/>
      </c>
      <c r="C2767" s="31" t="str">
        <f>IF(Table!C2767 = "","",Table!C2767)</f>
        <v/>
      </c>
      <c r="D2767" s="32" t="str">
        <f>IF(Table!D2767 = "","",Table!D2767)</f>
        <v/>
      </c>
      <c r="E2767" s="32" t="str">
        <f>IF(Table!E2767 = "","",Table!E2767)</f>
        <v/>
      </c>
      <c r="F2767" s="32" t="str">
        <f>IF(Table!F2767 = "","",Table!F2767)</f>
        <v/>
      </c>
      <c r="G2767" s="91"/>
      <c r="K2767" s="31" t="str">
        <f>IFERROR(VLOOKUP(A2767,Table!$I$4:$O$3000,1,TRUE),"")</f>
        <v/>
      </c>
      <c r="L2767" s="31" t="str">
        <f>IFERROR(INDEX(Table!I:O,MATCH(K2767,Table!I:I,0),2),"")</f>
        <v/>
      </c>
      <c r="M2767" s="31" t="str">
        <f>IFERROR(INDEX(Table!I:O,MATCH(K2767,Table!I:I,0),3),"")</f>
        <v/>
      </c>
      <c r="N2767" s="32" t="str">
        <f>IFERROR(INDEX(Table!I:O,MATCH(K2767,Table!I:I,0),4),"")</f>
        <v/>
      </c>
      <c r="O2767" s="32" t="str">
        <f>IFERROR(INDEX(Table!I:O,MATCH(K2767,Table!I:I,0),5),"")</f>
        <v/>
      </c>
      <c r="P2767" s="32" t="str">
        <f>IFERROR(INDEX(Table!I:O,MATCH(K2767,Table!I:I,0),6),"")</f>
        <v/>
      </c>
      <c r="Q2767" s="89" t="str">
        <f t="shared" si="120"/>
        <v/>
      </c>
      <c r="R2767" s="89" t="str">
        <f t="shared" si="121"/>
        <v/>
      </c>
      <c r="S2767" s="82"/>
    </row>
    <row r="2768" spans="1:19" x14ac:dyDescent="0.25">
      <c r="A2768" s="31" t="str">
        <f>IF(Table!A2768 = "","",Table!A2768)</f>
        <v/>
      </c>
      <c r="B2768" s="31" t="str">
        <f>IF(Table!B2768 = "","",Table!B2768)</f>
        <v/>
      </c>
      <c r="C2768" s="31" t="str">
        <f>IF(Table!C2768 = "","",Table!C2768)</f>
        <v/>
      </c>
      <c r="D2768" s="32" t="str">
        <f>IF(Table!D2768 = "","",Table!D2768)</f>
        <v/>
      </c>
      <c r="E2768" s="32" t="str">
        <f>IF(Table!E2768 = "","",Table!E2768)</f>
        <v/>
      </c>
      <c r="F2768" s="32" t="str">
        <f>IF(Table!F2768 = "","",Table!F2768)</f>
        <v/>
      </c>
      <c r="G2768" s="91"/>
      <c r="K2768" s="31" t="str">
        <f>IFERROR(VLOOKUP(A2768,Table!$I$4:$O$3000,1,TRUE),"")</f>
        <v/>
      </c>
      <c r="L2768" s="31" t="str">
        <f>IFERROR(INDEX(Table!I:O,MATCH(K2768,Table!I:I,0),2),"")</f>
        <v/>
      </c>
      <c r="M2768" s="31" t="str">
        <f>IFERROR(INDEX(Table!I:O,MATCH(K2768,Table!I:I,0),3),"")</f>
        <v/>
      </c>
      <c r="N2768" s="32" t="str">
        <f>IFERROR(INDEX(Table!I:O,MATCH(K2768,Table!I:I,0),4),"")</f>
        <v/>
      </c>
      <c r="O2768" s="32" t="str">
        <f>IFERROR(INDEX(Table!I:O,MATCH(K2768,Table!I:I,0),5),"")</f>
        <v/>
      </c>
      <c r="P2768" s="32" t="str">
        <f>IFERROR(INDEX(Table!I:O,MATCH(K2768,Table!I:I,0),6),"")</f>
        <v/>
      </c>
      <c r="Q2768" s="89" t="str">
        <f t="shared" si="120"/>
        <v/>
      </c>
      <c r="R2768" s="89" t="str">
        <f t="shared" si="121"/>
        <v/>
      </c>
      <c r="S2768" s="82"/>
    </row>
    <row r="2769" spans="1:19" x14ac:dyDescent="0.25">
      <c r="A2769" s="31" t="str">
        <f>IF(Table!A2769 = "","",Table!A2769)</f>
        <v/>
      </c>
      <c r="B2769" s="31" t="str">
        <f>IF(Table!B2769 = "","",Table!B2769)</f>
        <v/>
      </c>
      <c r="C2769" s="31" t="str">
        <f>IF(Table!C2769 = "","",Table!C2769)</f>
        <v/>
      </c>
      <c r="D2769" s="32" t="str">
        <f>IF(Table!D2769 = "","",Table!D2769)</f>
        <v/>
      </c>
      <c r="E2769" s="32" t="str">
        <f>IF(Table!E2769 = "","",Table!E2769)</f>
        <v/>
      </c>
      <c r="F2769" s="32" t="str">
        <f>IF(Table!F2769 = "","",Table!F2769)</f>
        <v/>
      </c>
      <c r="G2769" s="91"/>
      <c r="K2769" s="31" t="str">
        <f>IFERROR(VLOOKUP(A2769,Table!$I$4:$O$3000,1,TRUE),"")</f>
        <v/>
      </c>
      <c r="L2769" s="31" t="str">
        <f>IFERROR(INDEX(Table!I:O,MATCH(K2769,Table!I:I,0),2),"")</f>
        <v/>
      </c>
      <c r="M2769" s="31" t="str">
        <f>IFERROR(INDEX(Table!I:O,MATCH(K2769,Table!I:I,0),3),"")</f>
        <v/>
      </c>
      <c r="N2769" s="32" t="str">
        <f>IFERROR(INDEX(Table!I:O,MATCH(K2769,Table!I:I,0),4),"")</f>
        <v/>
      </c>
      <c r="O2769" s="32" t="str">
        <f>IFERROR(INDEX(Table!I:O,MATCH(K2769,Table!I:I,0),5),"")</f>
        <v/>
      </c>
      <c r="P2769" s="32" t="str">
        <f>IFERROR(INDEX(Table!I:O,MATCH(K2769,Table!I:I,0),6),"")</f>
        <v/>
      </c>
      <c r="Q2769" s="89" t="str">
        <f t="shared" si="120"/>
        <v/>
      </c>
      <c r="R2769" s="89" t="str">
        <f t="shared" si="121"/>
        <v/>
      </c>
      <c r="S2769" s="82"/>
    </row>
    <row r="2770" spans="1:19" x14ac:dyDescent="0.25">
      <c r="A2770" s="31" t="str">
        <f>IF(Table!A2770 = "","",Table!A2770)</f>
        <v/>
      </c>
      <c r="B2770" s="31" t="str">
        <f>IF(Table!B2770 = "","",Table!B2770)</f>
        <v/>
      </c>
      <c r="C2770" s="31" t="str">
        <f>IF(Table!C2770 = "","",Table!C2770)</f>
        <v/>
      </c>
      <c r="D2770" s="32" t="str">
        <f>IF(Table!D2770 = "","",Table!D2770)</f>
        <v/>
      </c>
      <c r="E2770" s="32" t="str">
        <f>IF(Table!E2770 = "","",Table!E2770)</f>
        <v/>
      </c>
      <c r="F2770" s="32" t="str">
        <f>IF(Table!F2770 = "","",Table!F2770)</f>
        <v/>
      </c>
      <c r="G2770" s="91"/>
      <c r="K2770" s="31" t="str">
        <f>IFERROR(VLOOKUP(A2770,Table!$I$4:$O$3000,1,TRUE),"")</f>
        <v/>
      </c>
      <c r="L2770" s="31" t="str">
        <f>IFERROR(INDEX(Table!I:O,MATCH(K2770,Table!I:I,0),2),"")</f>
        <v/>
      </c>
      <c r="M2770" s="31" t="str">
        <f>IFERROR(INDEX(Table!I:O,MATCH(K2770,Table!I:I,0),3),"")</f>
        <v/>
      </c>
      <c r="N2770" s="32" t="str">
        <f>IFERROR(INDEX(Table!I:O,MATCH(K2770,Table!I:I,0),4),"")</f>
        <v/>
      </c>
      <c r="O2770" s="32" t="str">
        <f>IFERROR(INDEX(Table!I:O,MATCH(K2770,Table!I:I,0),5),"")</f>
        <v/>
      </c>
      <c r="P2770" s="32" t="str">
        <f>IFERROR(INDEX(Table!I:O,MATCH(K2770,Table!I:I,0),6),"")</f>
        <v/>
      </c>
      <c r="Q2770" s="89" t="str">
        <f t="shared" si="120"/>
        <v/>
      </c>
      <c r="R2770" s="89" t="str">
        <f t="shared" si="121"/>
        <v/>
      </c>
      <c r="S2770" s="82"/>
    </row>
    <row r="2771" spans="1:19" x14ac:dyDescent="0.25">
      <c r="A2771" s="31" t="str">
        <f>IF(Table!A2771 = "","",Table!A2771)</f>
        <v/>
      </c>
      <c r="B2771" s="31" t="str">
        <f>IF(Table!B2771 = "","",Table!B2771)</f>
        <v/>
      </c>
      <c r="C2771" s="31" t="str">
        <f>IF(Table!C2771 = "","",Table!C2771)</f>
        <v/>
      </c>
      <c r="D2771" s="32" t="str">
        <f>IF(Table!D2771 = "","",Table!D2771)</f>
        <v/>
      </c>
      <c r="E2771" s="32" t="str">
        <f>IF(Table!E2771 = "","",Table!E2771)</f>
        <v/>
      </c>
      <c r="F2771" s="32" t="str">
        <f>IF(Table!F2771 = "","",Table!F2771)</f>
        <v/>
      </c>
      <c r="G2771" s="91"/>
      <c r="K2771" s="31" t="str">
        <f>IFERROR(VLOOKUP(A2771,Table!$I$4:$O$3000,1,TRUE),"")</f>
        <v/>
      </c>
      <c r="L2771" s="31" t="str">
        <f>IFERROR(INDEX(Table!I:O,MATCH(K2771,Table!I:I,0),2),"")</f>
        <v/>
      </c>
      <c r="M2771" s="31" t="str">
        <f>IFERROR(INDEX(Table!I:O,MATCH(K2771,Table!I:I,0),3),"")</f>
        <v/>
      </c>
      <c r="N2771" s="32" t="str">
        <f>IFERROR(INDEX(Table!I:O,MATCH(K2771,Table!I:I,0),4),"")</f>
        <v/>
      </c>
      <c r="O2771" s="32" t="str">
        <f>IFERROR(INDEX(Table!I:O,MATCH(K2771,Table!I:I,0),5),"")</f>
        <v/>
      </c>
      <c r="P2771" s="32" t="str">
        <f>IFERROR(INDEX(Table!I:O,MATCH(K2771,Table!I:I,0),6),"")</f>
        <v/>
      </c>
      <c r="Q2771" s="89" t="str">
        <f t="shared" si="120"/>
        <v/>
      </c>
      <c r="R2771" s="89" t="str">
        <f t="shared" si="121"/>
        <v/>
      </c>
      <c r="S2771" s="82"/>
    </row>
    <row r="2772" spans="1:19" x14ac:dyDescent="0.25">
      <c r="A2772" s="31" t="str">
        <f>IF(Table!A2772 = "","",Table!A2772)</f>
        <v/>
      </c>
      <c r="B2772" s="31" t="str">
        <f>IF(Table!B2772 = "","",Table!B2772)</f>
        <v/>
      </c>
      <c r="C2772" s="31" t="str">
        <f>IF(Table!C2772 = "","",Table!C2772)</f>
        <v/>
      </c>
      <c r="D2772" s="32" t="str">
        <f>IF(Table!D2772 = "","",Table!D2772)</f>
        <v/>
      </c>
      <c r="E2772" s="32" t="str">
        <f>IF(Table!E2772 = "","",Table!E2772)</f>
        <v/>
      </c>
      <c r="F2772" s="32" t="str">
        <f>IF(Table!F2772 = "","",Table!F2772)</f>
        <v/>
      </c>
      <c r="G2772" s="91"/>
      <c r="K2772" s="31" t="str">
        <f>IFERROR(VLOOKUP(A2772,Table!$I$4:$O$3000,1,TRUE),"")</f>
        <v/>
      </c>
      <c r="L2772" s="31" t="str">
        <f>IFERROR(INDEX(Table!I:O,MATCH(K2772,Table!I:I,0),2),"")</f>
        <v/>
      </c>
      <c r="M2772" s="31" t="str">
        <f>IFERROR(INDEX(Table!I:O,MATCH(K2772,Table!I:I,0),3),"")</f>
        <v/>
      </c>
      <c r="N2772" s="32" t="str">
        <f>IFERROR(INDEX(Table!I:O,MATCH(K2772,Table!I:I,0),4),"")</f>
        <v/>
      </c>
      <c r="O2772" s="32" t="str">
        <f>IFERROR(INDEX(Table!I:O,MATCH(K2772,Table!I:I,0),5),"")</f>
        <v/>
      </c>
      <c r="P2772" s="32" t="str">
        <f>IFERROR(INDEX(Table!I:O,MATCH(K2772,Table!I:I,0),6),"")</f>
        <v/>
      </c>
      <c r="Q2772" s="89" t="str">
        <f t="shared" si="120"/>
        <v/>
      </c>
      <c r="R2772" s="89" t="str">
        <f t="shared" si="121"/>
        <v/>
      </c>
      <c r="S2772" s="82"/>
    </row>
    <row r="2773" spans="1:19" x14ac:dyDescent="0.25">
      <c r="A2773" s="31" t="str">
        <f>IF(Table!A2773 = "","",Table!A2773)</f>
        <v/>
      </c>
      <c r="B2773" s="31" t="str">
        <f>IF(Table!B2773 = "","",Table!B2773)</f>
        <v/>
      </c>
      <c r="C2773" s="31" t="str">
        <f>IF(Table!C2773 = "","",Table!C2773)</f>
        <v/>
      </c>
      <c r="D2773" s="32" t="str">
        <f>IF(Table!D2773 = "","",Table!D2773)</f>
        <v/>
      </c>
      <c r="E2773" s="32" t="str">
        <f>IF(Table!E2773 = "","",Table!E2773)</f>
        <v/>
      </c>
      <c r="F2773" s="32" t="str">
        <f>IF(Table!F2773 = "","",Table!F2773)</f>
        <v/>
      </c>
      <c r="G2773" s="91"/>
      <c r="K2773" s="31" t="str">
        <f>IFERROR(VLOOKUP(A2773,Table!$I$4:$O$3000,1,TRUE),"")</f>
        <v/>
      </c>
      <c r="L2773" s="31" t="str">
        <f>IFERROR(INDEX(Table!I:O,MATCH(K2773,Table!I:I,0),2),"")</f>
        <v/>
      </c>
      <c r="M2773" s="31" t="str">
        <f>IFERROR(INDEX(Table!I:O,MATCH(K2773,Table!I:I,0),3),"")</f>
        <v/>
      </c>
      <c r="N2773" s="32" t="str">
        <f>IFERROR(INDEX(Table!I:O,MATCH(K2773,Table!I:I,0),4),"")</f>
        <v/>
      </c>
      <c r="O2773" s="32" t="str">
        <f>IFERROR(INDEX(Table!I:O,MATCH(K2773,Table!I:I,0),5),"")</f>
        <v/>
      </c>
      <c r="P2773" s="32" t="str">
        <f>IFERROR(INDEX(Table!I:O,MATCH(K2773,Table!I:I,0),6),"")</f>
        <v/>
      </c>
      <c r="Q2773" s="89" t="str">
        <f t="shared" si="120"/>
        <v/>
      </c>
      <c r="R2773" s="89" t="str">
        <f t="shared" si="121"/>
        <v/>
      </c>
      <c r="S2773" s="82"/>
    </row>
    <row r="2774" spans="1:19" x14ac:dyDescent="0.25">
      <c r="A2774" s="31" t="str">
        <f>IF(Table!A2774 = "","",Table!A2774)</f>
        <v/>
      </c>
      <c r="B2774" s="31" t="str">
        <f>IF(Table!B2774 = "","",Table!B2774)</f>
        <v/>
      </c>
      <c r="C2774" s="31" t="str">
        <f>IF(Table!C2774 = "","",Table!C2774)</f>
        <v/>
      </c>
      <c r="D2774" s="32" t="str">
        <f>IF(Table!D2774 = "","",Table!D2774)</f>
        <v/>
      </c>
      <c r="E2774" s="32" t="str">
        <f>IF(Table!E2774 = "","",Table!E2774)</f>
        <v/>
      </c>
      <c r="F2774" s="32" t="str">
        <f>IF(Table!F2774 = "","",Table!F2774)</f>
        <v/>
      </c>
      <c r="G2774" s="91"/>
      <c r="K2774" s="31" t="str">
        <f>IFERROR(VLOOKUP(A2774,Table!$I$4:$O$3000,1,TRUE),"")</f>
        <v/>
      </c>
      <c r="L2774" s="31" t="str">
        <f>IFERROR(INDEX(Table!I:O,MATCH(K2774,Table!I:I,0),2),"")</f>
        <v/>
      </c>
      <c r="M2774" s="31" t="str">
        <f>IFERROR(INDEX(Table!I:O,MATCH(K2774,Table!I:I,0),3),"")</f>
        <v/>
      </c>
      <c r="N2774" s="32" t="str">
        <f>IFERROR(INDEX(Table!I:O,MATCH(K2774,Table!I:I,0),4),"")</f>
        <v/>
      </c>
      <c r="O2774" s="32" t="str">
        <f>IFERROR(INDEX(Table!I:O,MATCH(K2774,Table!I:I,0),5),"")</f>
        <v/>
      </c>
      <c r="P2774" s="32" t="str">
        <f>IFERROR(INDEX(Table!I:O,MATCH(K2774,Table!I:I,0),6),"")</f>
        <v/>
      </c>
      <c r="Q2774" s="89" t="str">
        <f t="shared" si="120"/>
        <v/>
      </c>
      <c r="R2774" s="89" t="str">
        <f t="shared" si="121"/>
        <v/>
      </c>
      <c r="S2774" s="82"/>
    </row>
    <row r="2775" spans="1:19" x14ac:dyDescent="0.25">
      <c r="A2775" s="31" t="str">
        <f>IF(Table!A2775 = "","",Table!A2775)</f>
        <v/>
      </c>
      <c r="B2775" s="31" t="str">
        <f>IF(Table!B2775 = "","",Table!B2775)</f>
        <v/>
      </c>
      <c r="C2775" s="31" t="str">
        <f>IF(Table!C2775 = "","",Table!C2775)</f>
        <v/>
      </c>
      <c r="D2775" s="32" t="str">
        <f>IF(Table!D2775 = "","",Table!D2775)</f>
        <v/>
      </c>
      <c r="E2775" s="32" t="str">
        <f>IF(Table!E2775 = "","",Table!E2775)</f>
        <v/>
      </c>
      <c r="F2775" s="32" t="str">
        <f>IF(Table!F2775 = "","",Table!F2775)</f>
        <v/>
      </c>
      <c r="G2775" s="91"/>
      <c r="K2775" s="31" t="str">
        <f>IFERROR(VLOOKUP(A2775,Table!$I$4:$O$3000,1,TRUE),"")</f>
        <v/>
      </c>
      <c r="L2775" s="31" t="str">
        <f>IFERROR(INDEX(Table!I:O,MATCH(K2775,Table!I:I,0),2),"")</f>
        <v/>
      </c>
      <c r="M2775" s="31" t="str">
        <f>IFERROR(INDEX(Table!I:O,MATCH(K2775,Table!I:I,0),3),"")</f>
        <v/>
      </c>
      <c r="N2775" s="32" t="str">
        <f>IFERROR(INDEX(Table!I:O,MATCH(K2775,Table!I:I,0),4),"")</f>
        <v/>
      </c>
      <c r="O2775" s="32" t="str">
        <f>IFERROR(INDEX(Table!I:O,MATCH(K2775,Table!I:I,0),5),"")</f>
        <v/>
      </c>
      <c r="P2775" s="32" t="str">
        <f>IFERROR(INDEX(Table!I:O,MATCH(K2775,Table!I:I,0),6),"")</f>
        <v/>
      </c>
      <c r="Q2775" s="89" t="str">
        <f t="shared" si="120"/>
        <v/>
      </c>
      <c r="R2775" s="89" t="str">
        <f t="shared" si="121"/>
        <v/>
      </c>
      <c r="S2775" s="82"/>
    </row>
    <row r="2776" spans="1:19" x14ac:dyDescent="0.25">
      <c r="A2776" s="31" t="str">
        <f>IF(Table!A2776 = "","",Table!A2776)</f>
        <v/>
      </c>
      <c r="B2776" s="31" t="str">
        <f>IF(Table!B2776 = "","",Table!B2776)</f>
        <v/>
      </c>
      <c r="C2776" s="31" t="str">
        <f>IF(Table!C2776 = "","",Table!C2776)</f>
        <v/>
      </c>
      <c r="D2776" s="32" t="str">
        <f>IF(Table!D2776 = "","",Table!D2776)</f>
        <v/>
      </c>
      <c r="E2776" s="32" t="str">
        <f>IF(Table!E2776 = "","",Table!E2776)</f>
        <v/>
      </c>
      <c r="F2776" s="32" t="str">
        <f>IF(Table!F2776 = "","",Table!F2776)</f>
        <v/>
      </c>
      <c r="G2776" s="91"/>
      <c r="K2776" s="31" t="str">
        <f>IFERROR(VLOOKUP(A2776,Table!$I$4:$O$3000,1,TRUE),"")</f>
        <v/>
      </c>
      <c r="L2776" s="31" t="str">
        <f>IFERROR(INDEX(Table!I:O,MATCH(K2776,Table!I:I,0),2),"")</f>
        <v/>
      </c>
      <c r="M2776" s="31" t="str">
        <f>IFERROR(INDEX(Table!I:O,MATCH(K2776,Table!I:I,0),3),"")</f>
        <v/>
      </c>
      <c r="N2776" s="32" t="str">
        <f>IFERROR(INDEX(Table!I:O,MATCH(K2776,Table!I:I,0),4),"")</f>
        <v/>
      </c>
      <c r="O2776" s="32" t="str">
        <f>IFERROR(INDEX(Table!I:O,MATCH(K2776,Table!I:I,0),5),"")</f>
        <v/>
      </c>
      <c r="P2776" s="32" t="str">
        <f>IFERROR(INDEX(Table!I:O,MATCH(K2776,Table!I:I,0),6),"")</f>
        <v/>
      </c>
      <c r="Q2776" s="89" t="str">
        <f t="shared" si="120"/>
        <v/>
      </c>
      <c r="R2776" s="89" t="str">
        <f t="shared" si="121"/>
        <v/>
      </c>
      <c r="S2776" s="82"/>
    </row>
    <row r="2777" spans="1:19" x14ac:dyDescent="0.25">
      <c r="A2777" s="31" t="str">
        <f>IF(Table!A2777 = "","",Table!A2777)</f>
        <v/>
      </c>
      <c r="B2777" s="31" t="str">
        <f>IF(Table!B2777 = "","",Table!B2777)</f>
        <v/>
      </c>
      <c r="C2777" s="31" t="str">
        <f>IF(Table!C2777 = "","",Table!C2777)</f>
        <v/>
      </c>
      <c r="D2777" s="32" t="str">
        <f>IF(Table!D2777 = "","",Table!D2777)</f>
        <v/>
      </c>
      <c r="E2777" s="32" t="str">
        <f>IF(Table!E2777 = "","",Table!E2777)</f>
        <v/>
      </c>
      <c r="F2777" s="32" t="str">
        <f>IF(Table!F2777 = "","",Table!F2777)</f>
        <v/>
      </c>
      <c r="G2777" s="91"/>
      <c r="K2777" s="31" t="str">
        <f>IFERROR(VLOOKUP(A2777,Table!$I$4:$O$3000,1,TRUE),"")</f>
        <v/>
      </c>
      <c r="L2777" s="31" t="str">
        <f>IFERROR(INDEX(Table!I:O,MATCH(K2777,Table!I:I,0),2),"")</f>
        <v/>
      </c>
      <c r="M2777" s="31" t="str">
        <f>IFERROR(INDEX(Table!I:O,MATCH(K2777,Table!I:I,0),3),"")</f>
        <v/>
      </c>
      <c r="N2777" s="32" t="str">
        <f>IFERROR(INDEX(Table!I:O,MATCH(K2777,Table!I:I,0),4),"")</f>
        <v/>
      </c>
      <c r="O2777" s="32" t="str">
        <f>IFERROR(INDEX(Table!I:O,MATCH(K2777,Table!I:I,0),5),"")</f>
        <v/>
      </c>
      <c r="P2777" s="32" t="str">
        <f>IFERROR(INDEX(Table!I:O,MATCH(K2777,Table!I:I,0),6),"")</f>
        <v/>
      </c>
      <c r="Q2777" s="89" t="str">
        <f t="shared" si="120"/>
        <v/>
      </c>
      <c r="R2777" s="89" t="str">
        <f t="shared" si="121"/>
        <v/>
      </c>
      <c r="S2777" s="82"/>
    </row>
    <row r="2778" spans="1:19" x14ac:dyDescent="0.25">
      <c r="A2778" s="31" t="str">
        <f>IF(Table!A2778 = "","",Table!A2778)</f>
        <v/>
      </c>
      <c r="B2778" s="31" t="str">
        <f>IF(Table!B2778 = "","",Table!B2778)</f>
        <v/>
      </c>
      <c r="C2778" s="31" t="str">
        <f>IF(Table!C2778 = "","",Table!C2778)</f>
        <v/>
      </c>
      <c r="D2778" s="32" t="str">
        <f>IF(Table!D2778 = "","",Table!D2778)</f>
        <v/>
      </c>
      <c r="E2778" s="32" t="str">
        <f>IF(Table!E2778 = "","",Table!E2778)</f>
        <v/>
      </c>
      <c r="F2778" s="32" t="str">
        <f>IF(Table!F2778 = "","",Table!F2778)</f>
        <v/>
      </c>
      <c r="G2778" s="91"/>
      <c r="K2778" s="31" t="str">
        <f>IFERROR(VLOOKUP(A2778,Table!$I$4:$O$3000,1,TRUE),"")</f>
        <v/>
      </c>
      <c r="L2778" s="31" t="str">
        <f>IFERROR(INDEX(Table!I:O,MATCH(K2778,Table!I:I,0),2),"")</f>
        <v/>
      </c>
      <c r="M2778" s="31" t="str">
        <f>IFERROR(INDEX(Table!I:O,MATCH(K2778,Table!I:I,0),3),"")</f>
        <v/>
      </c>
      <c r="N2778" s="32" t="str">
        <f>IFERROR(INDEX(Table!I:O,MATCH(K2778,Table!I:I,0),4),"")</f>
        <v/>
      </c>
      <c r="O2778" s="32" t="str">
        <f>IFERROR(INDEX(Table!I:O,MATCH(K2778,Table!I:I,0),5),"")</f>
        <v/>
      </c>
      <c r="P2778" s="32" t="str">
        <f>IFERROR(INDEX(Table!I:O,MATCH(K2778,Table!I:I,0),6),"")</f>
        <v/>
      </c>
      <c r="Q2778" s="89" t="str">
        <f t="shared" si="120"/>
        <v/>
      </c>
      <c r="R2778" s="89" t="str">
        <f t="shared" si="121"/>
        <v/>
      </c>
      <c r="S2778" s="82"/>
    </row>
    <row r="2779" spans="1:19" x14ac:dyDescent="0.25">
      <c r="A2779" s="31" t="str">
        <f>IF(Table!A2779 = "","",Table!A2779)</f>
        <v/>
      </c>
      <c r="B2779" s="31" t="str">
        <f>IF(Table!B2779 = "","",Table!B2779)</f>
        <v/>
      </c>
      <c r="C2779" s="31" t="str">
        <f>IF(Table!C2779 = "","",Table!C2779)</f>
        <v/>
      </c>
      <c r="D2779" s="32" t="str">
        <f>IF(Table!D2779 = "","",Table!D2779)</f>
        <v/>
      </c>
      <c r="E2779" s="32" t="str">
        <f>IF(Table!E2779 = "","",Table!E2779)</f>
        <v/>
      </c>
      <c r="F2779" s="32" t="str">
        <f>IF(Table!F2779 = "","",Table!F2779)</f>
        <v/>
      </c>
      <c r="G2779" s="91"/>
      <c r="K2779" s="31" t="str">
        <f>IFERROR(VLOOKUP(A2779,Table!$I$4:$O$3000,1,TRUE),"")</f>
        <v/>
      </c>
      <c r="L2779" s="31" t="str">
        <f>IFERROR(INDEX(Table!I:O,MATCH(K2779,Table!I:I,0),2),"")</f>
        <v/>
      </c>
      <c r="M2779" s="31" t="str">
        <f>IFERROR(INDEX(Table!I:O,MATCH(K2779,Table!I:I,0),3),"")</f>
        <v/>
      </c>
      <c r="N2779" s="32" t="str">
        <f>IFERROR(INDEX(Table!I:O,MATCH(K2779,Table!I:I,0),4),"")</f>
        <v/>
      </c>
      <c r="O2779" s="32" t="str">
        <f>IFERROR(INDEX(Table!I:O,MATCH(K2779,Table!I:I,0),5),"")</f>
        <v/>
      </c>
      <c r="P2779" s="32" t="str">
        <f>IFERROR(INDEX(Table!I:O,MATCH(K2779,Table!I:I,0),6),"")</f>
        <v/>
      </c>
      <c r="Q2779" s="89" t="str">
        <f t="shared" si="120"/>
        <v/>
      </c>
      <c r="R2779" s="89" t="str">
        <f t="shared" si="121"/>
        <v/>
      </c>
      <c r="S2779" s="82"/>
    </row>
    <row r="2780" spans="1:19" x14ac:dyDescent="0.25">
      <c r="A2780" s="31" t="str">
        <f>IF(Table!A2780 = "","",Table!A2780)</f>
        <v/>
      </c>
      <c r="B2780" s="31" t="str">
        <f>IF(Table!B2780 = "","",Table!B2780)</f>
        <v/>
      </c>
      <c r="C2780" s="31" t="str">
        <f>IF(Table!C2780 = "","",Table!C2780)</f>
        <v/>
      </c>
      <c r="D2780" s="32" t="str">
        <f>IF(Table!D2780 = "","",Table!D2780)</f>
        <v/>
      </c>
      <c r="E2780" s="32" t="str">
        <f>IF(Table!E2780 = "","",Table!E2780)</f>
        <v/>
      </c>
      <c r="F2780" s="32" t="str">
        <f>IF(Table!F2780 = "","",Table!F2780)</f>
        <v/>
      </c>
      <c r="G2780" s="91"/>
      <c r="K2780" s="31" t="str">
        <f>IFERROR(VLOOKUP(A2780,Table!$I$4:$O$3000,1,TRUE),"")</f>
        <v/>
      </c>
      <c r="L2780" s="31" t="str">
        <f>IFERROR(INDEX(Table!I:O,MATCH(K2780,Table!I:I,0),2),"")</f>
        <v/>
      </c>
      <c r="M2780" s="31" t="str">
        <f>IFERROR(INDEX(Table!I:O,MATCH(K2780,Table!I:I,0),3),"")</f>
        <v/>
      </c>
      <c r="N2780" s="32" t="str">
        <f>IFERROR(INDEX(Table!I:O,MATCH(K2780,Table!I:I,0),4),"")</f>
        <v/>
      </c>
      <c r="O2780" s="32" t="str">
        <f>IFERROR(INDEX(Table!I:O,MATCH(K2780,Table!I:I,0),5),"")</f>
        <v/>
      </c>
      <c r="P2780" s="32" t="str">
        <f>IFERROR(INDEX(Table!I:O,MATCH(K2780,Table!I:I,0),6),"")</f>
        <v/>
      </c>
      <c r="Q2780" s="89" t="str">
        <f t="shared" si="120"/>
        <v/>
      </c>
      <c r="R2780" s="89" t="str">
        <f t="shared" si="121"/>
        <v/>
      </c>
      <c r="S2780" s="82"/>
    </row>
    <row r="2781" spans="1:19" x14ac:dyDescent="0.25">
      <c r="A2781" s="31" t="str">
        <f>IF(Table!A2781 = "","",Table!A2781)</f>
        <v/>
      </c>
      <c r="B2781" s="31" t="str">
        <f>IF(Table!B2781 = "","",Table!B2781)</f>
        <v/>
      </c>
      <c r="C2781" s="31" t="str">
        <f>IF(Table!C2781 = "","",Table!C2781)</f>
        <v/>
      </c>
      <c r="D2781" s="32" t="str">
        <f>IF(Table!D2781 = "","",Table!D2781)</f>
        <v/>
      </c>
      <c r="E2781" s="32" t="str">
        <f>IF(Table!E2781 = "","",Table!E2781)</f>
        <v/>
      </c>
      <c r="F2781" s="32" t="str">
        <f>IF(Table!F2781 = "","",Table!F2781)</f>
        <v/>
      </c>
      <c r="G2781" s="91"/>
      <c r="K2781" s="31" t="str">
        <f>IFERROR(VLOOKUP(A2781,Table!$I$4:$O$3000,1,TRUE),"")</f>
        <v/>
      </c>
      <c r="L2781" s="31" t="str">
        <f>IFERROR(INDEX(Table!I:O,MATCH(K2781,Table!I:I,0),2),"")</f>
        <v/>
      </c>
      <c r="M2781" s="31" t="str">
        <f>IFERROR(INDEX(Table!I:O,MATCH(K2781,Table!I:I,0),3),"")</f>
        <v/>
      </c>
      <c r="N2781" s="32" t="str">
        <f>IFERROR(INDEX(Table!I:O,MATCH(K2781,Table!I:I,0),4),"")</f>
        <v/>
      </c>
      <c r="O2781" s="32" t="str">
        <f>IFERROR(INDEX(Table!I:O,MATCH(K2781,Table!I:I,0),5),"")</f>
        <v/>
      </c>
      <c r="P2781" s="32" t="str">
        <f>IFERROR(INDEX(Table!I:O,MATCH(K2781,Table!I:I,0),6),"")</f>
        <v/>
      </c>
      <c r="Q2781" s="89" t="str">
        <f t="shared" si="120"/>
        <v/>
      </c>
      <c r="R2781" s="89" t="str">
        <f t="shared" si="121"/>
        <v/>
      </c>
      <c r="S2781" s="82"/>
    </row>
    <row r="2782" spans="1:19" x14ac:dyDescent="0.25">
      <c r="A2782" s="31" t="str">
        <f>IF(Table!A2782 = "","",Table!A2782)</f>
        <v/>
      </c>
      <c r="B2782" s="31" t="str">
        <f>IF(Table!B2782 = "","",Table!B2782)</f>
        <v/>
      </c>
      <c r="C2782" s="31" t="str">
        <f>IF(Table!C2782 = "","",Table!C2782)</f>
        <v/>
      </c>
      <c r="D2782" s="32" t="str">
        <f>IF(Table!D2782 = "","",Table!D2782)</f>
        <v/>
      </c>
      <c r="E2782" s="32" t="str">
        <f>IF(Table!E2782 = "","",Table!E2782)</f>
        <v/>
      </c>
      <c r="F2782" s="32" t="str">
        <f>IF(Table!F2782 = "","",Table!F2782)</f>
        <v/>
      </c>
      <c r="G2782" s="91"/>
      <c r="K2782" s="31" t="str">
        <f>IFERROR(VLOOKUP(A2782,Table!$I$4:$O$3000,1,TRUE),"")</f>
        <v/>
      </c>
      <c r="L2782" s="31" t="str">
        <f>IFERROR(INDEX(Table!I:O,MATCH(K2782,Table!I:I,0),2),"")</f>
        <v/>
      </c>
      <c r="M2782" s="31" t="str">
        <f>IFERROR(INDEX(Table!I:O,MATCH(K2782,Table!I:I,0),3),"")</f>
        <v/>
      </c>
      <c r="N2782" s="32" t="str">
        <f>IFERROR(INDEX(Table!I:O,MATCH(K2782,Table!I:I,0),4),"")</f>
        <v/>
      </c>
      <c r="O2782" s="32" t="str">
        <f>IFERROR(INDEX(Table!I:O,MATCH(K2782,Table!I:I,0),5),"")</f>
        <v/>
      </c>
      <c r="P2782" s="32" t="str">
        <f>IFERROR(INDEX(Table!I:O,MATCH(K2782,Table!I:I,0),6),"")</f>
        <v/>
      </c>
      <c r="Q2782" s="89" t="str">
        <f t="shared" si="120"/>
        <v/>
      </c>
      <c r="R2782" s="89" t="str">
        <f t="shared" si="121"/>
        <v/>
      </c>
      <c r="S2782" s="82"/>
    </row>
    <row r="2783" spans="1:19" x14ac:dyDescent="0.25">
      <c r="A2783" s="31" t="str">
        <f>IF(Table!A2783 = "","",Table!A2783)</f>
        <v/>
      </c>
      <c r="B2783" s="31" t="str">
        <f>IF(Table!B2783 = "","",Table!B2783)</f>
        <v/>
      </c>
      <c r="C2783" s="31" t="str">
        <f>IF(Table!C2783 = "","",Table!C2783)</f>
        <v/>
      </c>
      <c r="D2783" s="32" t="str">
        <f>IF(Table!D2783 = "","",Table!D2783)</f>
        <v/>
      </c>
      <c r="E2783" s="32" t="str">
        <f>IF(Table!E2783 = "","",Table!E2783)</f>
        <v/>
      </c>
      <c r="F2783" s="32" t="str">
        <f>IF(Table!F2783 = "","",Table!F2783)</f>
        <v/>
      </c>
      <c r="G2783" s="91"/>
      <c r="K2783" s="31" t="str">
        <f>IFERROR(VLOOKUP(A2783,Table!$I$4:$O$3000,1,TRUE),"")</f>
        <v/>
      </c>
      <c r="L2783" s="31" t="str">
        <f>IFERROR(INDEX(Table!I:O,MATCH(K2783,Table!I:I,0),2),"")</f>
        <v/>
      </c>
      <c r="M2783" s="31" t="str">
        <f>IFERROR(INDEX(Table!I:O,MATCH(K2783,Table!I:I,0),3),"")</f>
        <v/>
      </c>
      <c r="N2783" s="32" t="str">
        <f>IFERROR(INDEX(Table!I:O,MATCH(K2783,Table!I:I,0),4),"")</f>
        <v/>
      </c>
      <c r="O2783" s="32" t="str">
        <f>IFERROR(INDEX(Table!I:O,MATCH(K2783,Table!I:I,0),5),"")</f>
        <v/>
      </c>
      <c r="P2783" s="32" t="str">
        <f>IFERROR(INDEX(Table!I:O,MATCH(K2783,Table!I:I,0),6),"")</f>
        <v/>
      </c>
      <c r="Q2783" s="89" t="str">
        <f t="shared" si="120"/>
        <v/>
      </c>
      <c r="R2783" s="89" t="str">
        <f t="shared" si="121"/>
        <v/>
      </c>
      <c r="S2783" s="82"/>
    </row>
    <row r="2784" spans="1:19" x14ac:dyDescent="0.25">
      <c r="A2784" s="31" t="str">
        <f>IF(Table!A2784 = "","",Table!A2784)</f>
        <v/>
      </c>
      <c r="B2784" s="31" t="str">
        <f>IF(Table!B2784 = "","",Table!B2784)</f>
        <v/>
      </c>
      <c r="C2784" s="31" t="str">
        <f>IF(Table!C2784 = "","",Table!C2784)</f>
        <v/>
      </c>
      <c r="D2784" s="32" t="str">
        <f>IF(Table!D2784 = "","",Table!D2784)</f>
        <v/>
      </c>
      <c r="E2784" s="32" t="str">
        <f>IF(Table!E2784 = "","",Table!E2784)</f>
        <v/>
      </c>
      <c r="F2784" s="32" t="str">
        <f>IF(Table!F2784 = "","",Table!F2784)</f>
        <v/>
      </c>
      <c r="G2784" s="91"/>
      <c r="K2784" s="31" t="str">
        <f>IFERROR(VLOOKUP(A2784,Table!$I$4:$O$3000,1,TRUE),"")</f>
        <v/>
      </c>
      <c r="L2784" s="31" t="str">
        <f>IFERROR(INDEX(Table!I:O,MATCH(K2784,Table!I:I,0),2),"")</f>
        <v/>
      </c>
      <c r="M2784" s="31" t="str">
        <f>IFERROR(INDEX(Table!I:O,MATCH(K2784,Table!I:I,0),3),"")</f>
        <v/>
      </c>
      <c r="N2784" s="32" t="str">
        <f>IFERROR(INDEX(Table!I:O,MATCH(K2784,Table!I:I,0),4),"")</f>
        <v/>
      </c>
      <c r="O2784" s="32" t="str">
        <f>IFERROR(INDEX(Table!I:O,MATCH(K2784,Table!I:I,0),5),"")</f>
        <v/>
      </c>
      <c r="P2784" s="32" t="str">
        <f>IFERROR(INDEX(Table!I:O,MATCH(K2784,Table!I:I,0),6),"")</f>
        <v/>
      </c>
      <c r="Q2784" s="89" t="str">
        <f t="shared" si="120"/>
        <v/>
      </c>
      <c r="R2784" s="89" t="str">
        <f t="shared" si="121"/>
        <v/>
      </c>
      <c r="S2784" s="82"/>
    </row>
    <row r="2785" spans="1:19" x14ac:dyDescent="0.25">
      <c r="A2785" s="31" t="str">
        <f>IF(Table!A2785 = "","",Table!A2785)</f>
        <v/>
      </c>
      <c r="B2785" s="31" t="str">
        <f>IF(Table!B2785 = "","",Table!B2785)</f>
        <v/>
      </c>
      <c r="C2785" s="31" t="str">
        <f>IF(Table!C2785 = "","",Table!C2785)</f>
        <v/>
      </c>
      <c r="D2785" s="32" t="str">
        <f>IF(Table!D2785 = "","",Table!D2785)</f>
        <v/>
      </c>
      <c r="E2785" s="32" t="str">
        <f>IF(Table!E2785 = "","",Table!E2785)</f>
        <v/>
      </c>
      <c r="F2785" s="32" t="str">
        <f>IF(Table!F2785 = "","",Table!F2785)</f>
        <v/>
      </c>
      <c r="G2785" s="91"/>
      <c r="K2785" s="31" t="str">
        <f>IFERROR(VLOOKUP(A2785,Table!$I$4:$O$3000,1,TRUE),"")</f>
        <v/>
      </c>
      <c r="L2785" s="31" t="str">
        <f>IFERROR(INDEX(Table!I:O,MATCH(K2785,Table!I:I,0),2),"")</f>
        <v/>
      </c>
      <c r="M2785" s="31" t="str">
        <f>IFERROR(INDEX(Table!I:O,MATCH(K2785,Table!I:I,0),3),"")</f>
        <v/>
      </c>
      <c r="N2785" s="32" t="str">
        <f>IFERROR(INDEX(Table!I:O,MATCH(K2785,Table!I:I,0),4),"")</f>
        <v/>
      </c>
      <c r="O2785" s="32" t="str">
        <f>IFERROR(INDEX(Table!I:O,MATCH(K2785,Table!I:I,0),5),"")</f>
        <v/>
      </c>
      <c r="P2785" s="32" t="str">
        <f>IFERROR(INDEX(Table!I:O,MATCH(K2785,Table!I:I,0),6),"")</f>
        <v/>
      </c>
      <c r="Q2785" s="89" t="str">
        <f t="shared" si="120"/>
        <v/>
      </c>
      <c r="R2785" s="89" t="str">
        <f t="shared" si="121"/>
        <v/>
      </c>
      <c r="S2785" s="82"/>
    </row>
    <row r="2786" spans="1:19" x14ac:dyDescent="0.25">
      <c r="A2786" s="31" t="str">
        <f>IF(Table!A2786 = "","",Table!A2786)</f>
        <v/>
      </c>
      <c r="B2786" s="31" t="str">
        <f>IF(Table!B2786 = "","",Table!B2786)</f>
        <v/>
      </c>
      <c r="C2786" s="31" t="str">
        <f>IF(Table!C2786 = "","",Table!C2786)</f>
        <v/>
      </c>
      <c r="D2786" s="32" t="str">
        <f>IF(Table!D2786 = "","",Table!D2786)</f>
        <v/>
      </c>
      <c r="E2786" s="32" t="str">
        <f>IF(Table!E2786 = "","",Table!E2786)</f>
        <v/>
      </c>
      <c r="F2786" s="32" t="str">
        <f>IF(Table!F2786 = "","",Table!F2786)</f>
        <v/>
      </c>
      <c r="G2786" s="91"/>
      <c r="K2786" s="31" t="str">
        <f>IFERROR(VLOOKUP(A2786,Table!$I$4:$O$3000,1,TRUE),"")</f>
        <v/>
      </c>
      <c r="L2786" s="31" t="str">
        <f>IFERROR(INDEX(Table!I:O,MATCH(K2786,Table!I:I,0),2),"")</f>
        <v/>
      </c>
      <c r="M2786" s="31" t="str">
        <f>IFERROR(INDEX(Table!I:O,MATCH(K2786,Table!I:I,0),3),"")</f>
        <v/>
      </c>
      <c r="N2786" s="32" t="str">
        <f>IFERROR(INDEX(Table!I:O,MATCH(K2786,Table!I:I,0),4),"")</f>
        <v/>
      </c>
      <c r="O2786" s="32" t="str">
        <f>IFERROR(INDEX(Table!I:O,MATCH(K2786,Table!I:I,0),5),"")</f>
        <v/>
      </c>
      <c r="P2786" s="32" t="str">
        <f>IFERROR(INDEX(Table!I:O,MATCH(K2786,Table!I:I,0),6),"")</f>
        <v/>
      </c>
      <c r="Q2786" s="89" t="str">
        <f t="shared" si="120"/>
        <v/>
      </c>
      <c r="R2786" s="89" t="str">
        <f t="shared" si="121"/>
        <v/>
      </c>
      <c r="S2786" s="82"/>
    </row>
    <row r="2787" spans="1:19" x14ac:dyDescent="0.25">
      <c r="A2787" s="31" t="str">
        <f>IF(Table!A2787 = "","",Table!A2787)</f>
        <v/>
      </c>
      <c r="B2787" s="31" t="str">
        <f>IF(Table!B2787 = "","",Table!B2787)</f>
        <v/>
      </c>
      <c r="C2787" s="31" t="str">
        <f>IF(Table!C2787 = "","",Table!C2787)</f>
        <v/>
      </c>
      <c r="D2787" s="32" t="str">
        <f>IF(Table!D2787 = "","",Table!D2787)</f>
        <v/>
      </c>
      <c r="E2787" s="32" t="str">
        <f>IF(Table!E2787 = "","",Table!E2787)</f>
        <v/>
      </c>
      <c r="F2787" s="32" t="str">
        <f>IF(Table!F2787 = "","",Table!F2787)</f>
        <v/>
      </c>
      <c r="G2787" s="91"/>
      <c r="K2787" s="31" t="str">
        <f>IFERROR(VLOOKUP(A2787,Table!$I$4:$O$3000,1,TRUE),"")</f>
        <v/>
      </c>
      <c r="L2787" s="31" t="str">
        <f>IFERROR(INDEX(Table!I:O,MATCH(K2787,Table!I:I,0),2),"")</f>
        <v/>
      </c>
      <c r="M2787" s="31" t="str">
        <f>IFERROR(INDEX(Table!I:O,MATCH(K2787,Table!I:I,0),3),"")</f>
        <v/>
      </c>
      <c r="N2787" s="32" t="str">
        <f>IFERROR(INDEX(Table!I:O,MATCH(K2787,Table!I:I,0),4),"")</f>
        <v/>
      </c>
      <c r="O2787" s="32" t="str">
        <f>IFERROR(INDEX(Table!I:O,MATCH(K2787,Table!I:I,0),5),"")</f>
        <v/>
      </c>
      <c r="P2787" s="32" t="str">
        <f>IFERROR(INDEX(Table!I:O,MATCH(K2787,Table!I:I,0),6),"")</f>
        <v/>
      </c>
      <c r="Q2787" s="89" t="str">
        <f t="shared" si="120"/>
        <v/>
      </c>
      <c r="R2787" s="89" t="str">
        <f t="shared" si="121"/>
        <v/>
      </c>
      <c r="S2787" s="82"/>
    </row>
    <row r="2788" spans="1:19" x14ac:dyDescent="0.25">
      <c r="A2788" s="31" t="str">
        <f>IF(Table!A2788 = "","",Table!A2788)</f>
        <v/>
      </c>
      <c r="B2788" s="31" t="str">
        <f>IF(Table!B2788 = "","",Table!B2788)</f>
        <v/>
      </c>
      <c r="C2788" s="31" t="str">
        <f>IF(Table!C2788 = "","",Table!C2788)</f>
        <v/>
      </c>
      <c r="D2788" s="32" t="str">
        <f>IF(Table!D2788 = "","",Table!D2788)</f>
        <v/>
      </c>
      <c r="E2788" s="32" t="str">
        <f>IF(Table!E2788 = "","",Table!E2788)</f>
        <v/>
      </c>
      <c r="F2788" s="32" t="str">
        <f>IF(Table!F2788 = "","",Table!F2788)</f>
        <v/>
      </c>
      <c r="G2788" s="91"/>
      <c r="K2788" s="31" t="str">
        <f>IFERROR(VLOOKUP(A2788,Table!$I$4:$O$3000,1,TRUE),"")</f>
        <v/>
      </c>
      <c r="L2788" s="31" t="str">
        <f>IFERROR(INDEX(Table!I:O,MATCH(K2788,Table!I:I,0),2),"")</f>
        <v/>
      </c>
      <c r="M2788" s="31" t="str">
        <f>IFERROR(INDEX(Table!I:O,MATCH(K2788,Table!I:I,0),3),"")</f>
        <v/>
      </c>
      <c r="N2788" s="32" t="str">
        <f>IFERROR(INDEX(Table!I:O,MATCH(K2788,Table!I:I,0),4),"")</f>
        <v/>
      </c>
      <c r="O2788" s="32" t="str">
        <f>IFERROR(INDEX(Table!I:O,MATCH(K2788,Table!I:I,0),5),"")</f>
        <v/>
      </c>
      <c r="P2788" s="32" t="str">
        <f>IFERROR(INDEX(Table!I:O,MATCH(K2788,Table!I:I,0),6),"")</f>
        <v/>
      </c>
      <c r="Q2788" s="89" t="str">
        <f t="shared" si="120"/>
        <v/>
      </c>
      <c r="R2788" s="89" t="str">
        <f t="shared" si="121"/>
        <v/>
      </c>
      <c r="S2788" s="82"/>
    </row>
    <row r="2789" spans="1:19" x14ac:dyDescent="0.25">
      <c r="A2789" s="31" t="str">
        <f>IF(Table!A2789 = "","",Table!A2789)</f>
        <v/>
      </c>
      <c r="B2789" s="31" t="str">
        <f>IF(Table!B2789 = "","",Table!B2789)</f>
        <v/>
      </c>
      <c r="C2789" s="31" t="str">
        <f>IF(Table!C2789 = "","",Table!C2789)</f>
        <v/>
      </c>
      <c r="D2789" s="32" t="str">
        <f>IF(Table!D2789 = "","",Table!D2789)</f>
        <v/>
      </c>
      <c r="E2789" s="32" t="str">
        <f>IF(Table!E2789 = "","",Table!E2789)</f>
        <v/>
      </c>
      <c r="F2789" s="32" t="str">
        <f>IF(Table!F2789 = "","",Table!F2789)</f>
        <v/>
      </c>
      <c r="G2789" s="91"/>
      <c r="K2789" s="31" t="str">
        <f>IFERROR(VLOOKUP(A2789,Table!$I$4:$O$3000,1,TRUE),"")</f>
        <v/>
      </c>
      <c r="L2789" s="31" t="str">
        <f>IFERROR(INDEX(Table!I:O,MATCH(K2789,Table!I:I,0),2),"")</f>
        <v/>
      </c>
      <c r="M2789" s="31" t="str">
        <f>IFERROR(INDEX(Table!I:O,MATCH(K2789,Table!I:I,0),3),"")</f>
        <v/>
      </c>
      <c r="N2789" s="32" t="str">
        <f>IFERROR(INDEX(Table!I:O,MATCH(K2789,Table!I:I,0),4),"")</f>
        <v/>
      </c>
      <c r="O2789" s="32" t="str">
        <f>IFERROR(INDEX(Table!I:O,MATCH(K2789,Table!I:I,0),5),"")</f>
        <v/>
      </c>
      <c r="P2789" s="32" t="str">
        <f>IFERROR(INDEX(Table!I:O,MATCH(K2789,Table!I:I,0),6),"")</f>
        <v/>
      </c>
      <c r="Q2789" s="89" t="str">
        <f t="shared" si="120"/>
        <v/>
      </c>
      <c r="R2789" s="89" t="str">
        <f t="shared" si="121"/>
        <v/>
      </c>
      <c r="S2789" s="82"/>
    </row>
    <row r="2790" spans="1:19" x14ac:dyDescent="0.25">
      <c r="A2790" s="31" t="str">
        <f>IF(Table!A2790 = "","",Table!A2790)</f>
        <v/>
      </c>
      <c r="B2790" s="31" t="str">
        <f>IF(Table!B2790 = "","",Table!B2790)</f>
        <v/>
      </c>
      <c r="C2790" s="31" t="str">
        <f>IF(Table!C2790 = "","",Table!C2790)</f>
        <v/>
      </c>
      <c r="D2790" s="32" t="str">
        <f>IF(Table!D2790 = "","",Table!D2790)</f>
        <v/>
      </c>
      <c r="E2790" s="32" t="str">
        <f>IF(Table!E2790 = "","",Table!E2790)</f>
        <v/>
      </c>
      <c r="F2790" s="32" t="str">
        <f>IF(Table!F2790 = "","",Table!F2790)</f>
        <v/>
      </c>
      <c r="G2790" s="91"/>
      <c r="K2790" s="31" t="str">
        <f>IFERROR(VLOOKUP(A2790,Table!$I$4:$O$3000,1,TRUE),"")</f>
        <v/>
      </c>
      <c r="L2790" s="31" t="str">
        <f>IFERROR(INDEX(Table!I:O,MATCH(K2790,Table!I:I,0),2),"")</f>
        <v/>
      </c>
      <c r="M2790" s="31" t="str">
        <f>IFERROR(INDEX(Table!I:O,MATCH(K2790,Table!I:I,0),3),"")</f>
        <v/>
      </c>
      <c r="N2790" s="32" t="str">
        <f>IFERROR(INDEX(Table!I:O,MATCH(K2790,Table!I:I,0),4),"")</f>
        <v/>
      </c>
      <c r="O2790" s="32" t="str">
        <f>IFERROR(INDEX(Table!I:O,MATCH(K2790,Table!I:I,0),5),"")</f>
        <v/>
      </c>
      <c r="P2790" s="32" t="str">
        <f>IFERROR(INDEX(Table!I:O,MATCH(K2790,Table!I:I,0),6),"")</f>
        <v/>
      </c>
      <c r="Q2790" s="89" t="str">
        <f t="shared" si="120"/>
        <v/>
      </c>
      <c r="R2790" s="89" t="str">
        <f t="shared" si="121"/>
        <v/>
      </c>
      <c r="S2790" s="82"/>
    </row>
    <row r="2791" spans="1:19" x14ac:dyDescent="0.25">
      <c r="A2791" s="31" t="str">
        <f>IF(Table!A2791 = "","",Table!A2791)</f>
        <v/>
      </c>
      <c r="B2791" s="31" t="str">
        <f>IF(Table!B2791 = "","",Table!B2791)</f>
        <v/>
      </c>
      <c r="C2791" s="31" t="str">
        <f>IF(Table!C2791 = "","",Table!C2791)</f>
        <v/>
      </c>
      <c r="D2791" s="32" t="str">
        <f>IF(Table!D2791 = "","",Table!D2791)</f>
        <v/>
      </c>
      <c r="E2791" s="32" t="str">
        <f>IF(Table!E2791 = "","",Table!E2791)</f>
        <v/>
      </c>
      <c r="F2791" s="32" t="str">
        <f>IF(Table!F2791 = "","",Table!F2791)</f>
        <v/>
      </c>
      <c r="G2791" s="91"/>
      <c r="K2791" s="31" t="str">
        <f>IFERROR(VLOOKUP(A2791,Table!$I$4:$O$3000,1,TRUE),"")</f>
        <v/>
      </c>
      <c r="L2791" s="31" t="str">
        <f>IFERROR(INDEX(Table!I:O,MATCH(K2791,Table!I:I,0),2),"")</f>
        <v/>
      </c>
      <c r="M2791" s="31" t="str">
        <f>IFERROR(INDEX(Table!I:O,MATCH(K2791,Table!I:I,0),3),"")</f>
        <v/>
      </c>
      <c r="N2791" s="32" t="str">
        <f>IFERROR(INDEX(Table!I:O,MATCH(K2791,Table!I:I,0),4),"")</f>
        <v/>
      </c>
      <c r="O2791" s="32" t="str">
        <f>IFERROR(INDEX(Table!I:O,MATCH(K2791,Table!I:I,0),5),"")</f>
        <v/>
      </c>
      <c r="P2791" s="32" t="str">
        <f>IFERROR(INDEX(Table!I:O,MATCH(K2791,Table!I:I,0),6),"")</f>
        <v/>
      </c>
      <c r="Q2791" s="89" t="str">
        <f t="shared" si="120"/>
        <v/>
      </c>
      <c r="R2791" s="89" t="str">
        <f t="shared" si="121"/>
        <v/>
      </c>
      <c r="S2791" s="82"/>
    </row>
    <row r="2792" spans="1:19" x14ac:dyDescent="0.25">
      <c r="A2792" s="31" t="str">
        <f>IF(Table!A2792 = "","",Table!A2792)</f>
        <v/>
      </c>
      <c r="B2792" s="31" t="str">
        <f>IF(Table!B2792 = "","",Table!B2792)</f>
        <v/>
      </c>
      <c r="C2792" s="31" t="str">
        <f>IF(Table!C2792 = "","",Table!C2792)</f>
        <v/>
      </c>
      <c r="D2792" s="32" t="str">
        <f>IF(Table!D2792 = "","",Table!D2792)</f>
        <v/>
      </c>
      <c r="E2792" s="32" t="str">
        <f>IF(Table!E2792 = "","",Table!E2792)</f>
        <v/>
      </c>
      <c r="F2792" s="32" t="str">
        <f>IF(Table!F2792 = "","",Table!F2792)</f>
        <v/>
      </c>
      <c r="G2792" s="91"/>
      <c r="K2792" s="31" t="str">
        <f>IFERROR(VLOOKUP(A2792,Table!$I$4:$O$3000,1,TRUE),"")</f>
        <v/>
      </c>
      <c r="L2792" s="31" t="str">
        <f>IFERROR(INDEX(Table!I:O,MATCH(K2792,Table!I:I,0),2),"")</f>
        <v/>
      </c>
      <c r="M2792" s="31" t="str">
        <f>IFERROR(INDEX(Table!I:O,MATCH(K2792,Table!I:I,0),3),"")</f>
        <v/>
      </c>
      <c r="N2792" s="32" t="str">
        <f>IFERROR(INDEX(Table!I:O,MATCH(K2792,Table!I:I,0),4),"")</f>
        <v/>
      </c>
      <c r="O2792" s="32" t="str">
        <f>IFERROR(INDEX(Table!I:O,MATCH(K2792,Table!I:I,0),5),"")</f>
        <v/>
      </c>
      <c r="P2792" s="32" t="str">
        <f>IFERROR(INDEX(Table!I:O,MATCH(K2792,Table!I:I,0),6),"")</f>
        <v/>
      </c>
      <c r="Q2792" s="89" t="str">
        <f t="shared" si="120"/>
        <v/>
      </c>
      <c r="R2792" s="89" t="str">
        <f t="shared" si="121"/>
        <v/>
      </c>
      <c r="S2792" s="82"/>
    </row>
    <row r="2793" spans="1:19" x14ac:dyDescent="0.25">
      <c r="A2793" s="31" t="str">
        <f>IF(Table!A2793 = "","",Table!A2793)</f>
        <v/>
      </c>
      <c r="B2793" s="31" t="str">
        <f>IF(Table!B2793 = "","",Table!B2793)</f>
        <v/>
      </c>
      <c r="C2793" s="31" t="str">
        <f>IF(Table!C2793 = "","",Table!C2793)</f>
        <v/>
      </c>
      <c r="D2793" s="32" t="str">
        <f>IF(Table!D2793 = "","",Table!D2793)</f>
        <v/>
      </c>
      <c r="E2793" s="32" t="str">
        <f>IF(Table!E2793 = "","",Table!E2793)</f>
        <v/>
      </c>
      <c r="F2793" s="32" t="str">
        <f>IF(Table!F2793 = "","",Table!F2793)</f>
        <v/>
      </c>
      <c r="G2793" s="91"/>
      <c r="K2793" s="31" t="str">
        <f>IFERROR(VLOOKUP(A2793,Table!$I$4:$O$3000,1,TRUE),"")</f>
        <v/>
      </c>
      <c r="L2793" s="31" t="str">
        <f>IFERROR(INDEX(Table!I:O,MATCH(K2793,Table!I:I,0),2),"")</f>
        <v/>
      </c>
      <c r="M2793" s="31" t="str">
        <f>IFERROR(INDEX(Table!I:O,MATCH(K2793,Table!I:I,0),3),"")</f>
        <v/>
      </c>
      <c r="N2793" s="32" t="str">
        <f>IFERROR(INDEX(Table!I:O,MATCH(K2793,Table!I:I,0),4),"")</f>
        <v/>
      </c>
      <c r="O2793" s="32" t="str">
        <f>IFERROR(INDEX(Table!I:O,MATCH(K2793,Table!I:I,0),5),"")</f>
        <v/>
      </c>
      <c r="P2793" s="32" t="str">
        <f>IFERROR(INDEX(Table!I:O,MATCH(K2793,Table!I:I,0),6),"")</f>
        <v/>
      </c>
      <c r="Q2793" s="89" t="str">
        <f t="shared" si="120"/>
        <v/>
      </c>
      <c r="R2793" s="89" t="str">
        <f t="shared" si="121"/>
        <v/>
      </c>
      <c r="S2793" s="82"/>
    </row>
    <row r="2794" spans="1:19" x14ac:dyDescent="0.25">
      <c r="A2794" s="31" t="str">
        <f>IF(Table!A2794 = "","",Table!A2794)</f>
        <v/>
      </c>
      <c r="B2794" s="31" t="str">
        <f>IF(Table!B2794 = "","",Table!B2794)</f>
        <v/>
      </c>
      <c r="C2794" s="31" t="str">
        <f>IF(Table!C2794 = "","",Table!C2794)</f>
        <v/>
      </c>
      <c r="D2794" s="32" t="str">
        <f>IF(Table!D2794 = "","",Table!D2794)</f>
        <v/>
      </c>
      <c r="E2794" s="32" t="str">
        <f>IF(Table!E2794 = "","",Table!E2794)</f>
        <v/>
      </c>
      <c r="F2794" s="32" t="str">
        <f>IF(Table!F2794 = "","",Table!F2794)</f>
        <v/>
      </c>
      <c r="G2794" s="91"/>
      <c r="K2794" s="31" t="str">
        <f>IFERROR(VLOOKUP(A2794,Table!$I$4:$O$3000,1,TRUE),"")</f>
        <v/>
      </c>
      <c r="L2794" s="31" t="str">
        <f>IFERROR(INDEX(Table!I:O,MATCH(K2794,Table!I:I,0),2),"")</f>
        <v/>
      </c>
      <c r="M2794" s="31" t="str">
        <f>IFERROR(INDEX(Table!I:O,MATCH(K2794,Table!I:I,0),3),"")</f>
        <v/>
      </c>
      <c r="N2794" s="32" t="str">
        <f>IFERROR(INDEX(Table!I:O,MATCH(K2794,Table!I:I,0),4),"")</f>
        <v/>
      </c>
      <c r="O2794" s="32" t="str">
        <f>IFERROR(INDEX(Table!I:O,MATCH(K2794,Table!I:I,0),5),"")</f>
        <v/>
      </c>
      <c r="P2794" s="32" t="str">
        <f>IFERROR(INDEX(Table!I:O,MATCH(K2794,Table!I:I,0),6),"")</f>
        <v/>
      </c>
      <c r="Q2794" s="89" t="str">
        <f t="shared" si="120"/>
        <v/>
      </c>
      <c r="R2794" s="89" t="str">
        <f t="shared" si="121"/>
        <v/>
      </c>
      <c r="S2794" s="82"/>
    </row>
    <row r="2795" spans="1:19" x14ac:dyDescent="0.25">
      <c r="A2795" s="31" t="str">
        <f>IF(Table!A2795 = "","",Table!A2795)</f>
        <v/>
      </c>
      <c r="B2795" s="31" t="str">
        <f>IF(Table!B2795 = "","",Table!B2795)</f>
        <v/>
      </c>
      <c r="C2795" s="31" t="str">
        <f>IF(Table!C2795 = "","",Table!C2795)</f>
        <v/>
      </c>
      <c r="D2795" s="32" t="str">
        <f>IF(Table!D2795 = "","",Table!D2795)</f>
        <v/>
      </c>
      <c r="E2795" s="32" t="str">
        <f>IF(Table!E2795 = "","",Table!E2795)</f>
        <v/>
      </c>
      <c r="F2795" s="32" t="str">
        <f>IF(Table!F2795 = "","",Table!F2795)</f>
        <v/>
      </c>
      <c r="G2795" s="91"/>
      <c r="K2795" s="31" t="str">
        <f>IFERROR(VLOOKUP(A2795,Table!$I$4:$O$3000,1,TRUE),"")</f>
        <v/>
      </c>
      <c r="L2795" s="31" t="str">
        <f>IFERROR(INDEX(Table!I:O,MATCH(K2795,Table!I:I,0),2),"")</f>
        <v/>
      </c>
      <c r="M2795" s="31" t="str">
        <f>IFERROR(INDEX(Table!I:O,MATCH(K2795,Table!I:I,0),3),"")</f>
        <v/>
      </c>
      <c r="N2795" s="32" t="str">
        <f>IFERROR(INDEX(Table!I:O,MATCH(K2795,Table!I:I,0),4),"")</f>
        <v/>
      </c>
      <c r="O2795" s="32" t="str">
        <f>IFERROR(INDEX(Table!I:O,MATCH(K2795,Table!I:I,0),5),"")</f>
        <v/>
      </c>
      <c r="P2795" s="32" t="str">
        <f>IFERROR(INDEX(Table!I:O,MATCH(K2795,Table!I:I,0),6),"")</f>
        <v/>
      </c>
      <c r="Q2795" s="89" t="str">
        <f t="shared" si="120"/>
        <v/>
      </c>
      <c r="R2795" s="89" t="str">
        <f t="shared" si="121"/>
        <v/>
      </c>
      <c r="S2795" s="82"/>
    </row>
    <row r="2796" spans="1:19" x14ac:dyDescent="0.25">
      <c r="A2796" s="31" t="str">
        <f>IF(Table!A2796 = "","",Table!A2796)</f>
        <v/>
      </c>
      <c r="B2796" s="31" t="str">
        <f>IF(Table!B2796 = "","",Table!B2796)</f>
        <v/>
      </c>
      <c r="C2796" s="31" t="str">
        <f>IF(Table!C2796 = "","",Table!C2796)</f>
        <v/>
      </c>
      <c r="D2796" s="32" t="str">
        <f>IF(Table!D2796 = "","",Table!D2796)</f>
        <v/>
      </c>
      <c r="E2796" s="32" t="str">
        <f>IF(Table!E2796 = "","",Table!E2796)</f>
        <v/>
      </c>
      <c r="F2796" s="32" t="str">
        <f>IF(Table!F2796 = "","",Table!F2796)</f>
        <v/>
      </c>
      <c r="G2796" s="91"/>
      <c r="K2796" s="31" t="str">
        <f>IFERROR(VLOOKUP(A2796,Table!$I$4:$O$3000,1,TRUE),"")</f>
        <v/>
      </c>
      <c r="L2796" s="31" t="str">
        <f>IFERROR(INDEX(Table!I:O,MATCH(K2796,Table!I:I,0),2),"")</f>
        <v/>
      </c>
      <c r="M2796" s="31" t="str">
        <f>IFERROR(INDEX(Table!I:O,MATCH(K2796,Table!I:I,0),3),"")</f>
        <v/>
      </c>
      <c r="N2796" s="32" t="str">
        <f>IFERROR(INDEX(Table!I:O,MATCH(K2796,Table!I:I,0),4),"")</f>
        <v/>
      </c>
      <c r="O2796" s="32" t="str">
        <f>IFERROR(INDEX(Table!I:O,MATCH(K2796,Table!I:I,0),5),"")</f>
        <v/>
      </c>
      <c r="P2796" s="32" t="str">
        <f>IFERROR(INDEX(Table!I:O,MATCH(K2796,Table!I:I,0),6),"")</f>
        <v/>
      </c>
      <c r="Q2796" s="89" t="str">
        <f t="shared" si="120"/>
        <v/>
      </c>
      <c r="R2796" s="89" t="str">
        <f t="shared" si="121"/>
        <v/>
      </c>
      <c r="S2796" s="82"/>
    </row>
    <row r="2797" spans="1:19" x14ac:dyDescent="0.25">
      <c r="A2797" s="31" t="str">
        <f>IF(Table!A2797 = "","",Table!A2797)</f>
        <v/>
      </c>
      <c r="B2797" s="31" t="str">
        <f>IF(Table!B2797 = "","",Table!B2797)</f>
        <v/>
      </c>
      <c r="C2797" s="31" t="str">
        <f>IF(Table!C2797 = "","",Table!C2797)</f>
        <v/>
      </c>
      <c r="D2797" s="32" t="str">
        <f>IF(Table!D2797 = "","",Table!D2797)</f>
        <v/>
      </c>
      <c r="E2797" s="32" t="str">
        <f>IF(Table!E2797 = "","",Table!E2797)</f>
        <v/>
      </c>
      <c r="F2797" s="32" t="str">
        <f>IF(Table!F2797 = "","",Table!F2797)</f>
        <v/>
      </c>
      <c r="G2797" s="91"/>
      <c r="K2797" s="31" t="str">
        <f>IFERROR(VLOOKUP(A2797,Table!$I$4:$O$3000,1,TRUE),"")</f>
        <v/>
      </c>
      <c r="L2797" s="31" t="str">
        <f>IFERROR(INDEX(Table!I:O,MATCH(K2797,Table!I:I,0),2),"")</f>
        <v/>
      </c>
      <c r="M2797" s="31" t="str">
        <f>IFERROR(INDEX(Table!I:O,MATCH(K2797,Table!I:I,0),3),"")</f>
        <v/>
      </c>
      <c r="N2797" s="32" t="str">
        <f>IFERROR(INDEX(Table!I:O,MATCH(K2797,Table!I:I,0),4),"")</f>
        <v/>
      </c>
      <c r="O2797" s="32" t="str">
        <f>IFERROR(INDEX(Table!I:O,MATCH(K2797,Table!I:I,0),5),"")</f>
        <v/>
      </c>
      <c r="P2797" s="32" t="str">
        <f>IFERROR(INDEX(Table!I:O,MATCH(K2797,Table!I:I,0),6),"")</f>
        <v/>
      </c>
      <c r="Q2797" s="89" t="str">
        <f t="shared" si="120"/>
        <v/>
      </c>
      <c r="R2797" s="89" t="str">
        <f t="shared" si="121"/>
        <v/>
      </c>
      <c r="S2797" s="82"/>
    </row>
    <row r="2798" spans="1:19" x14ac:dyDescent="0.25">
      <c r="A2798" s="31" t="str">
        <f>IF(Table!A2798 = "","",Table!A2798)</f>
        <v/>
      </c>
      <c r="B2798" s="31" t="str">
        <f>IF(Table!B2798 = "","",Table!B2798)</f>
        <v/>
      </c>
      <c r="C2798" s="31" t="str">
        <f>IF(Table!C2798 = "","",Table!C2798)</f>
        <v/>
      </c>
      <c r="D2798" s="32" t="str">
        <f>IF(Table!D2798 = "","",Table!D2798)</f>
        <v/>
      </c>
      <c r="E2798" s="32" t="str">
        <f>IF(Table!E2798 = "","",Table!E2798)</f>
        <v/>
      </c>
      <c r="F2798" s="32" t="str">
        <f>IF(Table!F2798 = "","",Table!F2798)</f>
        <v/>
      </c>
      <c r="G2798" s="91"/>
      <c r="K2798" s="31" t="str">
        <f>IFERROR(VLOOKUP(A2798,Table!$I$4:$O$3000,1,TRUE),"")</f>
        <v/>
      </c>
      <c r="L2798" s="31" t="str">
        <f>IFERROR(INDEX(Table!I:O,MATCH(K2798,Table!I:I,0),2),"")</f>
        <v/>
      </c>
      <c r="M2798" s="31" t="str">
        <f>IFERROR(INDEX(Table!I:O,MATCH(K2798,Table!I:I,0),3),"")</f>
        <v/>
      </c>
      <c r="N2798" s="32" t="str">
        <f>IFERROR(INDEX(Table!I:O,MATCH(K2798,Table!I:I,0),4),"")</f>
        <v/>
      </c>
      <c r="O2798" s="32" t="str">
        <f>IFERROR(INDEX(Table!I:O,MATCH(K2798,Table!I:I,0),5),"")</f>
        <v/>
      </c>
      <c r="P2798" s="32" t="str">
        <f>IFERROR(INDEX(Table!I:O,MATCH(K2798,Table!I:I,0),6),"")</f>
        <v/>
      </c>
      <c r="Q2798" s="89" t="str">
        <f t="shared" si="120"/>
        <v/>
      </c>
      <c r="R2798" s="89" t="str">
        <f t="shared" si="121"/>
        <v/>
      </c>
      <c r="S2798" s="82"/>
    </row>
    <row r="2799" spans="1:19" x14ac:dyDescent="0.25">
      <c r="A2799" s="31" t="str">
        <f>IF(Table!A2799 = "","",Table!A2799)</f>
        <v/>
      </c>
      <c r="B2799" s="31" t="str">
        <f>IF(Table!B2799 = "","",Table!B2799)</f>
        <v/>
      </c>
      <c r="C2799" s="31" t="str">
        <f>IF(Table!C2799 = "","",Table!C2799)</f>
        <v/>
      </c>
      <c r="D2799" s="32" t="str">
        <f>IF(Table!D2799 = "","",Table!D2799)</f>
        <v/>
      </c>
      <c r="E2799" s="32" t="str">
        <f>IF(Table!E2799 = "","",Table!E2799)</f>
        <v/>
      </c>
      <c r="F2799" s="32" t="str">
        <f>IF(Table!F2799 = "","",Table!F2799)</f>
        <v/>
      </c>
      <c r="G2799" s="91"/>
      <c r="K2799" s="31" t="str">
        <f>IFERROR(VLOOKUP(A2799,Table!$I$4:$O$3000,1,TRUE),"")</f>
        <v/>
      </c>
      <c r="L2799" s="31" t="str">
        <f>IFERROR(INDEX(Table!I:O,MATCH(K2799,Table!I:I,0),2),"")</f>
        <v/>
      </c>
      <c r="M2799" s="31" t="str">
        <f>IFERROR(INDEX(Table!I:O,MATCH(K2799,Table!I:I,0),3),"")</f>
        <v/>
      </c>
      <c r="N2799" s="32" t="str">
        <f>IFERROR(INDEX(Table!I:O,MATCH(K2799,Table!I:I,0),4),"")</f>
        <v/>
      </c>
      <c r="O2799" s="32" t="str">
        <f>IFERROR(INDEX(Table!I:O,MATCH(K2799,Table!I:I,0),5),"")</f>
        <v/>
      </c>
      <c r="P2799" s="32" t="str">
        <f>IFERROR(INDEX(Table!I:O,MATCH(K2799,Table!I:I,0),6),"")</f>
        <v/>
      </c>
      <c r="Q2799" s="89" t="str">
        <f t="shared" si="120"/>
        <v/>
      </c>
      <c r="R2799" s="89" t="str">
        <f t="shared" si="121"/>
        <v/>
      </c>
      <c r="S2799" s="82"/>
    </row>
    <row r="2800" spans="1:19" x14ac:dyDescent="0.25">
      <c r="A2800" s="31" t="str">
        <f>IF(Table!A2800 = "","",Table!A2800)</f>
        <v/>
      </c>
      <c r="B2800" s="31" t="str">
        <f>IF(Table!B2800 = "","",Table!B2800)</f>
        <v/>
      </c>
      <c r="C2800" s="31" t="str">
        <f>IF(Table!C2800 = "","",Table!C2800)</f>
        <v/>
      </c>
      <c r="D2800" s="32" t="str">
        <f>IF(Table!D2800 = "","",Table!D2800)</f>
        <v/>
      </c>
      <c r="E2800" s="32" t="str">
        <f>IF(Table!E2800 = "","",Table!E2800)</f>
        <v/>
      </c>
      <c r="F2800" s="32" t="str">
        <f>IF(Table!F2800 = "","",Table!F2800)</f>
        <v/>
      </c>
      <c r="G2800" s="91"/>
      <c r="K2800" s="31" t="str">
        <f>IFERROR(VLOOKUP(A2800,Table!$I$4:$O$3000,1,TRUE),"")</f>
        <v/>
      </c>
      <c r="L2800" s="31" t="str">
        <f>IFERROR(INDEX(Table!I:O,MATCH(K2800,Table!I:I,0),2),"")</f>
        <v/>
      </c>
      <c r="M2800" s="31" t="str">
        <f>IFERROR(INDEX(Table!I:O,MATCH(K2800,Table!I:I,0),3),"")</f>
        <v/>
      </c>
      <c r="N2800" s="32" t="str">
        <f>IFERROR(INDEX(Table!I:O,MATCH(K2800,Table!I:I,0),4),"")</f>
        <v/>
      </c>
      <c r="O2800" s="32" t="str">
        <f>IFERROR(INDEX(Table!I:O,MATCH(K2800,Table!I:I,0),5),"")</f>
        <v/>
      </c>
      <c r="P2800" s="32" t="str">
        <f>IFERROR(INDEX(Table!I:O,MATCH(K2800,Table!I:I,0),6),"")</f>
        <v/>
      </c>
      <c r="Q2800" s="89" t="str">
        <f t="shared" si="120"/>
        <v/>
      </c>
      <c r="R2800" s="89" t="str">
        <f t="shared" si="121"/>
        <v/>
      </c>
      <c r="S2800" s="82"/>
    </row>
    <row r="2801" spans="1:19" x14ac:dyDescent="0.25">
      <c r="A2801" s="31" t="str">
        <f>IF(Table!A2801 = "","",Table!A2801)</f>
        <v/>
      </c>
      <c r="B2801" s="31" t="str">
        <f>IF(Table!B2801 = "","",Table!B2801)</f>
        <v/>
      </c>
      <c r="C2801" s="31" t="str">
        <f>IF(Table!C2801 = "","",Table!C2801)</f>
        <v/>
      </c>
      <c r="D2801" s="32" t="str">
        <f>IF(Table!D2801 = "","",Table!D2801)</f>
        <v/>
      </c>
      <c r="E2801" s="32" t="str">
        <f>IF(Table!E2801 = "","",Table!E2801)</f>
        <v/>
      </c>
      <c r="F2801" s="32" t="str">
        <f>IF(Table!F2801 = "","",Table!F2801)</f>
        <v/>
      </c>
      <c r="G2801" s="91"/>
      <c r="K2801" s="31" t="str">
        <f>IFERROR(VLOOKUP(A2801,Table!$I$4:$O$3000,1,TRUE),"")</f>
        <v/>
      </c>
      <c r="L2801" s="31" t="str">
        <f>IFERROR(INDEX(Table!I:O,MATCH(K2801,Table!I:I,0),2),"")</f>
        <v/>
      </c>
      <c r="M2801" s="31" t="str">
        <f>IFERROR(INDEX(Table!I:O,MATCH(K2801,Table!I:I,0),3),"")</f>
        <v/>
      </c>
      <c r="N2801" s="32" t="str">
        <f>IFERROR(INDEX(Table!I:O,MATCH(K2801,Table!I:I,0),4),"")</f>
        <v/>
      </c>
      <c r="O2801" s="32" t="str">
        <f>IFERROR(INDEX(Table!I:O,MATCH(K2801,Table!I:I,0),5),"")</f>
        <v/>
      </c>
      <c r="P2801" s="32" t="str">
        <f>IFERROR(INDEX(Table!I:O,MATCH(K2801,Table!I:I,0),6),"")</f>
        <v/>
      </c>
      <c r="Q2801" s="89" t="str">
        <f t="shared" si="120"/>
        <v/>
      </c>
      <c r="R2801" s="89" t="str">
        <f t="shared" si="121"/>
        <v/>
      </c>
      <c r="S2801" s="82"/>
    </row>
    <row r="2802" spans="1:19" x14ac:dyDescent="0.25">
      <c r="A2802" s="31" t="str">
        <f>IF(Table!A2802 = "","",Table!A2802)</f>
        <v/>
      </c>
      <c r="B2802" s="31" t="str">
        <f>IF(Table!B2802 = "","",Table!B2802)</f>
        <v/>
      </c>
      <c r="C2802" s="31" t="str">
        <f>IF(Table!C2802 = "","",Table!C2802)</f>
        <v/>
      </c>
      <c r="D2802" s="32" t="str">
        <f>IF(Table!D2802 = "","",Table!D2802)</f>
        <v/>
      </c>
      <c r="E2802" s="32" t="str">
        <f>IF(Table!E2802 = "","",Table!E2802)</f>
        <v/>
      </c>
      <c r="F2802" s="32" t="str">
        <f>IF(Table!F2802 = "","",Table!F2802)</f>
        <v/>
      </c>
      <c r="G2802" s="91"/>
      <c r="K2802" s="31" t="str">
        <f>IFERROR(VLOOKUP(A2802,Table!$I$4:$O$3000,1,TRUE),"")</f>
        <v/>
      </c>
      <c r="L2802" s="31" t="str">
        <f>IFERROR(INDEX(Table!I:O,MATCH(K2802,Table!I:I,0),2),"")</f>
        <v/>
      </c>
      <c r="M2802" s="31" t="str">
        <f>IFERROR(INDEX(Table!I:O,MATCH(K2802,Table!I:I,0),3),"")</f>
        <v/>
      </c>
      <c r="N2802" s="32" t="str">
        <f>IFERROR(INDEX(Table!I:O,MATCH(K2802,Table!I:I,0),4),"")</f>
        <v/>
      </c>
      <c r="O2802" s="32" t="str">
        <f>IFERROR(INDEX(Table!I:O,MATCH(K2802,Table!I:I,0),5),"")</f>
        <v/>
      </c>
      <c r="P2802" s="32" t="str">
        <f>IFERROR(INDEX(Table!I:O,MATCH(K2802,Table!I:I,0),6),"")</f>
        <v/>
      </c>
      <c r="Q2802" s="89" t="str">
        <f t="shared" si="120"/>
        <v/>
      </c>
      <c r="R2802" s="89" t="str">
        <f t="shared" si="121"/>
        <v/>
      </c>
      <c r="S2802" s="82"/>
    </row>
    <row r="2803" spans="1:19" x14ac:dyDescent="0.25">
      <c r="A2803" s="31" t="str">
        <f>IF(Table!A2803 = "","",Table!A2803)</f>
        <v/>
      </c>
      <c r="B2803" s="31" t="str">
        <f>IF(Table!B2803 = "","",Table!B2803)</f>
        <v/>
      </c>
      <c r="C2803" s="31" t="str">
        <f>IF(Table!C2803 = "","",Table!C2803)</f>
        <v/>
      </c>
      <c r="D2803" s="32" t="str">
        <f>IF(Table!D2803 = "","",Table!D2803)</f>
        <v/>
      </c>
      <c r="E2803" s="32" t="str">
        <f>IF(Table!E2803 = "","",Table!E2803)</f>
        <v/>
      </c>
      <c r="F2803" s="32" t="str">
        <f>IF(Table!F2803 = "","",Table!F2803)</f>
        <v/>
      </c>
      <c r="G2803" s="91"/>
      <c r="K2803" s="31" t="str">
        <f>IFERROR(VLOOKUP(A2803,Table!$I$4:$O$3000,1,TRUE),"")</f>
        <v/>
      </c>
      <c r="L2803" s="31" t="str">
        <f>IFERROR(INDEX(Table!I:O,MATCH(K2803,Table!I:I,0),2),"")</f>
        <v/>
      </c>
      <c r="M2803" s="31" t="str">
        <f>IFERROR(INDEX(Table!I:O,MATCH(K2803,Table!I:I,0),3),"")</f>
        <v/>
      </c>
      <c r="N2803" s="32" t="str">
        <f>IFERROR(INDEX(Table!I:O,MATCH(K2803,Table!I:I,0),4),"")</f>
        <v/>
      </c>
      <c r="O2803" s="32" t="str">
        <f>IFERROR(INDEX(Table!I:O,MATCH(K2803,Table!I:I,0),5),"")</f>
        <v/>
      </c>
      <c r="P2803" s="32" t="str">
        <f>IFERROR(INDEX(Table!I:O,MATCH(K2803,Table!I:I,0),6),"")</f>
        <v/>
      </c>
      <c r="Q2803" s="89" t="str">
        <f t="shared" si="120"/>
        <v/>
      </c>
      <c r="R2803" s="89" t="str">
        <f t="shared" si="121"/>
        <v/>
      </c>
      <c r="S2803" s="82"/>
    </row>
    <row r="2804" spans="1:19" x14ac:dyDescent="0.25">
      <c r="A2804" s="31" t="str">
        <f>IF(Table!A2804 = "","",Table!A2804)</f>
        <v/>
      </c>
      <c r="B2804" s="31" t="str">
        <f>IF(Table!B2804 = "","",Table!B2804)</f>
        <v/>
      </c>
      <c r="C2804" s="31" t="str">
        <f>IF(Table!C2804 = "","",Table!C2804)</f>
        <v/>
      </c>
      <c r="D2804" s="32" t="str">
        <f>IF(Table!D2804 = "","",Table!D2804)</f>
        <v/>
      </c>
      <c r="E2804" s="32" t="str">
        <f>IF(Table!E2804 = "","",Table!E2804)</f>
        <v/>
      </c>
      <c r="F2804" s="32" t="str">
        <f>IF(Table!F2804 = "","",Table!F2804)</f>
        <v/>
      </c>
      <c r="G2804" s="91"/>
      <c r="K2804" s="31" t="str">
        <f>IFERROR(VLOOKUP(A2804,Table!$I$4:$O$3000,1,TRUE),"")</f>
        <v/>
      </c>
      <c r="L2804" s="31" t="str">
        <f>IFERROR(INDEX(Table!I:O,MATCH(K2804,Table!I:I,0),2),"")</f>
        <v/>
      </c>
      <c r="M2804" s="31" t="str">
        <f>IFERROR(INDEX(Table!I:O,MATCH(K2804,Table!I:I,0),3),"")</f>
        <v/>
      </c>
      <c r="N2804" s="32" t="str">
        <f>IFERROR(INDEX(Table!I:O,MATCH(K2804,Table!I:I,0),4),"")</f>
        <v/>
      </c>
      <c r="O2804" s="32" t="str">
        <f>IFERROR(INDEX(Table!I:O,MATCH(K2804,Table!I:I,0),5),"")</f>
        <v/>
      </c>
      <c r="P2804" s="32" t="str">
        <f>IFERROR(INDEX(Table!I:O,MATCH(K2804,Table!I:I,0),6),"")</f>
        <v/>
      </c>
      <c r="Q2804" s="89" t="str">
        <f t="shared" si="120"/>
        <v/>
      </c>
      <c r="R2804" s="89" t="str">
        <f t="shared" si="121"/>
        <v/>
      </c>
      <c r="S2804" s="82"/>
    </row>
    <row r="2805" spans="1:19" x14ac:dyDescent="0.25">
      <c r="A2805" s="31" t="str">
        <f>IF(Table!A2805 = "","",Table!A2805)</f>
        <v/>
      </c>
      <c r="B2805" s="31" t="str">
        <f>IF(Table!B2805 = "","",Table!B2805)</f>
        <v/>
      </c>
      <c r="C2805" s="31" t="str">
        <f>IF(Table!C2805 = "","",Table!C2805)</f>
        <v/>
      </c>
      <c r="D2805" s="32" t="str">
        <f>IF(Table!D2805 = "","",Table!D2805)</f>
        <v/>
      </c>
      <c r="E2805" s="32" t="str">
        <f>IF(Table!E2805 = "","",Table!E2805)</f>
        <v/>
      </c>
      <c r="F2805" s="32" t="str">
        <f>IF(Table!F2805 = "","",Table!F2805)</f>
        <v/>
      </c>
      <c r="G2805" s="91"/>
      <c r="K2805" s="31" t="str">
        <f>IFERROR(VLOOKUP(A2805,Table!$I$4:$O$3000,1,TRUE),"")</f>
        <v/>
      </c>
      <c r="L2805" s="31" t="str">
        <f>IFERROR(INDEX(Table!I:O,MATCH(K2805,Table!I:I,0),2),"")</f>
        <v/>
      </c>
      <c r="M2805" s="31" t="str">
        <f>IFERROR(INDEX(Table!I:O,MATCH(K2805,Table!I:I,0),3),"")</f>
        <v/>
      </c>
      <c r="N2805" s="32" t="str">
        <f>IFERROR(INDEX(Table!I:O,MATCH(K2805,Table!I:I,0),4),"")</f>
        <v/>
      </c>
      <c r="O2805" s="32" t="str">
        <f>IFERROR(INDEX(Table!I:O,MATCH(K2805,Table!I:I,0),5),"")</f>
        <v/>
      </c>
      <c r="P2805" s="32" t="str">
        <f>IFERROR(INDEX(Table!I:O,MATCH(K2805,Table!I:I,0),6),"")</f>
        <v/>
      </c>
      <c r="Q2805" s="89" t="str">
        <f t="shared" si="120"/>
        <v/>
      </c>
      <c r="R2805" s="89" t="str">
        <f t="shared" si="121"/>
        <v/>
      </c>
      <c r="S2805" s="82"/>
    </row>
    <row r="2806" spans="1:19" x14ac:dyDescent="0.25">
      <c r="A2806" s="31" t="str">
        <f>IF(Table!A2806 = "","",Table!A2806)</f>
        <v/>
      </c>
      <c r="B2806" s="31" t="str">
        <f>IF(Table!B2806 = "","",Table!B2806)</f>
        <v/>
      </c>
      <c r="C2806" s="31" t="str">
        <f>IF(Table!C2806 = "","",Table!C2806)</f>
        <v/>
      </c>
      <c r="D2806" s="32" t="str">
        <f>IF(Table!D2806 = "","",Table!D2806)</f>
        <v/>
      </c>
      <c r="E2806" s="32" t="str">
        <f>IF(Table!E2806 = "","",Table!E2806)</f>
        <v/>
      </c>
      <c r="F2806" s="32" t="str">
        <f>IF(Table!F2806 = "","",Table!F2806)</f>
        <v/>
      </c>
      <c r="G2806" s="91"/>
      <c r="K2806" s="31" t="str">
        <f>IFERROR(VLOOKUP(A2806,Table!$I$4:$O$3000,1,TRUE),"")</f>
        <v/>
      </c>
      <c r="L2806" s="31" t="str">
        <f>IFERROR(INDEX(Table!I:O,MATCH(K2806,Table!I:I,0),2),"")</f>
        <v/>
      </c>
      <c r="M2806" s="31" t="str">
        <f>IFERROR(INDEX(Table!I:O,MATCH(K2806,Table!I:I,0),3),"")</f>
        <v/>
      </c>
      <c r="N2806" s="32" t="str">
        <f>IFERROR(INDEX(Table!I:O,MATCH(K2806,Table!I:I,0),4),"")</f>
        <v/>
      </c>
      <c r="O2806" s="32" t="str">
        <f>IFERROR(INDEX(Table!I:O,MATCH(K2806,Table!I:I,0),5),"")</f>
        <v/>
      </c>
      <c r="P2806" s="32" t="str">
        <f>IFERROR(INDEX(Table!I:O,MATCH(K2806,Table!I:I,0),6),"")</f>
        <v/>
      </c>
      <c r="Q2806" s="89" t="str">
        <f t="shared" si="120"/>
        <v/>
      </c>
      <c r="R2806" s="89" t="str">
        <f t="shared" si="121"/>
        <v/>
      </c>
      <c r="S2806" s="82"/>
    </row>
    <row r="2807" spans="1:19" x14ac:dyDescent="0.25">
      <c r="A2807" s="31" t="str">
        <f>IF(Table!A2807 = "","",Table!A2807)</f>
        <v/>
      </c>
      <c r="B2807" s="31" t="str">
        <f>IF(Table!B2807 = "","",Table!B2807)</f>
        <v/>
      </c>
      <c r="C2807" s="31" t="str">
        <f>IF(Table!C2807 = "","",Table!C2807)</f>
        <v/>
      </c>
      <c r="D2807" s="32" t="str">
        <f>IF(Table!D2807 = "","",Table!D2807)</f>
        <v/>
      </c>
      <c r="E2807" s="32" t="str">
        <f>IF(Table!E2807 = "","",Table!E2807)</f>
        <v/>
      </c>
      <c r="F2807" s="32" t="str">
        <f>IF(Table!F2807 = "","",Table!F2807)</f>
        <v/>
      </c>
      <c r="G2807" s="91"/>
      <c r="K2807" s="31" t="str">
        <f>IFERROR(VLOOKUP(A2807,Table!$I$4:$O$3000,1,TRUE),"")</f>
        <v/>
      </c>
      <c r="L2807" s="31" t="str">
        <f>IFERROR(INDEX(Table!I:O,MATCH(K2807,Table!I:I,0),2),"")</f>
        <v/>
      </c>
      <c r="M2807" s="31" t="str">
        <f>IFERROR(INDEX(Table!I:O,MATCH(K2807,Table!I:I,0),3),"")</f>
        <v/>
      </c>
      <c r="N2807" s="32" t="str">
        <f>IFERROR(INDEX(Table!I:O,MATCH(K2807,Table!I:I,0),4),"")</f>
        <v/>
      </c>
      <c r="O2807" s="32" t="str">
        <f>IFERROR(INDEX(Table!I:O,MATCH(K2807,Table!I:I,0),5),"")</f>
        <v/>
      </c>
      <c r="P2807" s="32" t="str">
        <f>IFERROR(INDEX(Table!I:O,MATCH(K2807,Table!I:I,0),6),"")</f>
        <v/>
      </c>
      <c r="Q2807" s="89" t="str">
        <f t="shared" si="120"/>
        <v/>
      </c>
      <c r="R2807" s="89" t="str">
        <f t="shared" si="121"/>
        <v/>
      </c>
      <c r="S2807" s="82"/>
    </row>
    <row r="2808" spans="1:19" x14ac:dyDescent="0.25">
      <c r="A2808" s="31" t="str">
        <f>IF(Table!A2808 = "","",Table!A2808)</f>
        <v/>
      </c>
      <c r="B2808" s="31" t="str">
        <f>IF(Table!B2808 = "","",Table!B2808)</f>
        <v/>
      </c>
      <c r="C2808" s="31" t="str">
        <f>IF(Table!C2808 = "","",Table!C2808)</f>
        <v/>
      </c>
      <c r="D2808" s="32" t="str">
        <f>IF(Table!D2808 = "","",Table!D2808)</f>
        <v/>
      </c>
      <c r="E2808" s="32" t="str">
        <f>IF(Table!E2808 = "","",Table!E2808)</f>
        <v/>
      </c>
      <c r="F2808" s="32" t="str">
        <f>IF(Table!F2808 = "","",Table!F2808)</f>
        <v/>
      </c>
      <c r="G2808" s="91"/>
      <c r="K2808" s="31" t="str">
        <f>IFERROR(VLOOKUP(A2808,Table!$I$4:$O$3000,1,TRUE),"")</f>
        <v/>
      </c>
      <c r="L2808" s="31" t="str">
        <f>IFERROR(INDEX(Table!I:O,MATCH(K2808,Table!I:I,0),2),"")</f>
        <v/>
      </c>
      <c r="M2808" s="31" t="str">
        <f>IFERROR(INDEX(Table!I:O,MATCH(K2808,Table!I:I,0),3),"")</f>
        <v/>
      </c>
      <c r="N2808" s="32" t="str">
        <f>IFERROR(INDEX(Table!I:O,MATCH(K2808,Table!I:I,0),4),"")</f>
        <v/>
      </c>
      <c r="O2808" s="32" t="str">
        <f>IFERROR(INDEX(Table!I:O,MATCH(K2808,Table!I:I,0),5),"")</f>
        <v/>
      </c>
      <c r="P2808" s="32" t="str">
        <f>IFERROR(INDEX(Table!I:O,MATCH(K2808,Table!I:I,0),6),"")</f>
        <v/>
      </c>
      <c r="Q2808" s="89" t="str">
        <f t="shared" si="120"/>
        <v/>
      </c>
      <c r="R2808" s="89" t="str">
        <f t="shared" si="121"/>
        <v/>
      </c>
      <c r="S2808" s="82"/>
    </row>
    <row r="2809" spans="1:19" x14ac:dyDescent="0.25">
      <c r="A2809" s="31" t="str">
        <f>IF(Table!A2809 = "","",Table!A2809)</f>
        <v/>
      </c>
      <c r="B2809" s="31" t="str">
        <f>IF(Table!B2809 = "","",Table!B2809)</f>
        <v/>
      </c>
      <c r="C2809" s="31" t="str">
        <f>IF(Table!C2809 = "","",Table!C2809)</f>
        <v/>
      </c>
      <c r="D2809" s="32" t="str">
        <f>IF(Table!D2809 = "","",Table!D2809)</f>
        <v/>
      </c>
      <c r="E2809" s="32" t="str">
        <f>IF(Table!E2809 = "","",Table!E2809)</f>
        <v/>
      </c>
      <c r="F2809" s="32" t="str">
        <f>IF(Table!F2809 = "","",Table!F2809)</f>
        <v/>
      </c>
      <c r="G2809" s="91"/>
      <c r="K2809" s="31" t="str">
        <f>IFERROR(VLOOKUP(A2809,Table!$I$4:$O$3000,1,TRUE),"")</f>
        <v/>
      </c>
      <c r="L2809" s="31" t="str">
        <f>IFERROR(INDEX(Table!I:O,MATCH(K2809,Table!I:I,0),2),"")</f>
        <v/>
      </c>
      <c r="M2809" s="31" t="str">
        <f>IFERROR(INDEX(Table!I:O,MATCH(K2809,Table!I:I,0),3),"")</f>
        <v/>
      </c>
      <c r="N2809" s="32" t="str">
        <f>IFERROR(INDEX(Table!I:O,MATCH(K2809,Table!I:I,0),4),"")</f>
        <v/>
      </c>
      <c r="O2809" s="32" t="str">
        <f>IFERROR(INDEX(Table!I:O,MATCH(K2809,Table!I:I,0),5),"")</f>
        <v/>
      </c>
      <c r="P2809" s="32" t="str">
        <f>IFERROR(INDEX(Table!I:O,MATCH(K2809,Table!I:I,0),6),"")</f>
        <v/>
      </c>
      <c r="Q2809" s="89" t="str">
        <f t="shared" si="120"/>
        <v/>
      </c>
      <c r="R2809" s="89" t="str">
        <f t="shared" si="121"/>
        <v/>
      </c>
      <c r="S2809" s="82"/>
    </row>
    <row r="2810" spans="1:19" x14ac:dyDescent="0.25">
      <c r="A2810" s="31" t="str">
        <f>IF(Table!A2810 = "","",Table!A2810)</f>
        <v/>
      </c>
      <c r="B2810" s="31" t="str">
        <f>IF(Table!B2810 = "","",Table!B2810)</f>
        <v/>
      </c>
      <c r="C2810" s="31" t="str">
        <f>IF(Table!C2810 = "","",Table!C2810)</f>
        <v/>
      </c>
      <c r="D2810" s="32" t="str">
        <f>IF(Table!D2810 = "","",Table!D2810)</f>
        <v/>
      </c>
      <c r="E2810" s="32" t="str">
        <f>IF(Table!E2810 = "","",Table!E2810)</f>
        <v/>
      </c>
      <c r="F2810" s="32" t="str">
        <f>IF(Table!F2810 = "","",Table!F2810)</f>
        <v/>
      </c>
      <c r="G2810" s="91"/>
      <c r="K2810" s="31" t="str">
        <f>IFERROR(VLOOKUP(A2810,Table!$I$4:$O$3000,1,TRUE),"")</f>
        <v/>
      </c>
      <c r="L2810" s="31" t="str">
        <f>IFERROR(INDEX(Table!I:O,MATCH(K2810,Table!I:I,0),2),"")</f>
        <v/>
      </c>
      <c r="M2810" s="31" t="str">
        <f>IFERROR(INDEX(Table!I:O,MATCH(K2810,Table!I:I,0),3),"")</f>
        <v/>
      </c>
      <c r="N2810" s="32" t="str">
        <f>IFERROR(INDEX(Table!I:O,MATCH(K2810,Table!I:I,0),4),"")</f>
        <v/>
      </c>
      <c r="O2810" s="32" t="str">
        <f>IFERROR(INDEX(Table!I:O,MATCH(K2810,Table!I:I,0),5),"")</f>
        <v/>
      </c>
      <c r="P2810" s="32" t="str">
        <f>IFERROR(INDEX(Table!I:O,MATCH(K2810,Table!I:I,0),6),"")</f>
        <v/>
      </c>
      <c r="Q2810" s="89" t="str">
        <f t="shared" si="120"/>
        <v/>
      </c>
      <c r="R2810" s="89" t="str">
        <f t="shared" si="121"/>
        <v/>
      </c>
      <c r="S2810" s="82"/>
    </row>
    <row r="2811" spans="1:19" x14ac:dyDescent="0.25">
      <c r="A2811" s="31" t="str">
        <f>IF(Table!A2811 = "","",Table!A2811)</f>
        <v/>
      </c>
      <c r="B2811" s="31" t="str">
        <f>IF(Table!B2811 = "","",Table!B2811)</f>
        <v/>
      </c>
      <c r="C2811" s="31" t="str">
        <f>IF(Table!C2811 = "","",Table!C2811)</f>
        <v/>
      </c>
      <c r="D2811" s="32" t="str">
        <f>IF(Table!D2811 = "","",Table!D2811)</f>
        <v/>
      </c>
      <c r="E2811" s="32" t="str">
        <f>IF(Table!E2811 = "","",Table!E2811)</f>
        <v/>
      </c>
      <c r="F2811" s="32" t="str">
        <f>IF(Table!F2811 = "","",Table!F2811)</f>
        <v/>
      </c>
      <c r="G2811" s="91"/>
      <c r="K2811" s="31" t="str">
        <f>IFERROR(VLOOKUP(A2811,Table!$I$4:$O$3000,1,TRUE),"")</f>
        <v/>
      </c>
      <c r="L2811" s="31" t="str">
        <f>IFERROR(INDEX(Table!I:O,MATCH(K2811,Table!I:I,0),2),"")</f>
        <v/>
      </c>
      <c r="M2811" s="31" t="str">
        <f>IFERROR(INDEX(Table!I:O,MATCH(K2811,Table!I:I,0),3),"")</f>
        <v/>
      </c>
      <c r="N2811" s="32" t="str">
        <f>IFERROR(INDEX(Table!I:O,MATCH(K2811,Table!I:I,0),4),"")</f>
        <v/>
      </c>
      <c r="O2811" s="32" t="str">
        <f>IFERROR(INDEX(Table!I:O,MATCH(K2811,Table!I:I,0),5),"")</f>
        <v/>
      </c>
      <c r="P2811" s="32" t="str">
        <f>IFERROR(INDEX(Table!I:O,MATCH(K2811,Table!I:I,0),6),"")</f>
        <v/>
      </c>
      <c r="Q2811" s="89" t="str">
        <f t="shared" si="120"/>
        <v/>
      </c>
      <c r="R2811" s="89" t="str">
        <f t="shared" si="121"/>
        <v/>
      </c>
      <c r="S2811" s="82"/>
    </row>
    <row r="2812" spans="1:19" x14ac:dyDescent="0.25">
      <c r="A2812" s="31" t="str">
        <f>IF(Table!A2812 = "","",Table!A2812)</f>
        <v/>
      </c>
      <c r="B2812" s="31" t="str">
        <f>IF(Table!B2812 = "","",Table!B2812)</f>
        <v/>
      </c>
      <c r="C2812" s="31" t="str">
        <f>IF(Table!C2812 = "","",Table!C2812)</f>
        <v/>
      </c>
      <c r="D2812" s="32" t="str">
        <f>IF(Table!D2812 = "","",Table!D2812)</f>
        <v/>
      </c>
      <c r="E2812" s="32" t="str">
        <f>IF(Table!E2812 = "","",Table!E2812)</f>
        <v/>
      </c>
      <c r="F2812" s="32" t="str">
        <f>IF(Table!F2812 = "","",Table!F2812)</f>
        <v/>
      </c>
      <c r="G2812" s="91"/>
      <c r="K2812" s="31" t="str">
        <f>IFERROR(VLOOKUP(A2812,Table!$I$4:$O$3000,1,TRUE),"")</f>
        <v/>
      </c>
      <c r="L2812" s="31" t="str">
        <f>IFERROR(INDEX(Table!I:O,MATCH(K2812,Table!I:I,0),2),"")</f>
        <v/>
      </c>
      <c r="M2812" s="31" t="str">
        <f>IFERROR(INDEX(Table!I:O,MATCH(K2812,Table!I:I,0),3),"")</f>
        <v/>
      </c>
      <c r="N2812" s="32" t="str">
        <f>IFERROR(INDEX(Table!I:O,MATCH(K2812,Table!I:I,0),4),"")</f>
        <v/>
      </c>
      <c r="O2812" s="32" t="str">
        <f>IFERROR(INDEX(Table!I:O,MATCH(K2812,Table!I:I,0),5),"")</f>
        <v/>
      </c>
      <c r="P2812" s="32" t="str">
        <f>IFERROR(INDEX(Table!I:O,MATCH(K2812,Table!I:I,0),6),"")</f>
        <v/>
      </c>
      <c r="Q2812" s="89" t="str">
        <f t="shared" si="120"/>
        <v/>
      </c>
      <c r="R2812" s="89" t="str">
        <f t="shared" si="121"/>
        <v/>
      </c>
      <c r="S2812" s="82"/>
    </row>
    <row r="2813" spans="1:19" x14ac:dyDescent="0.25">
      <c r="A2813" s="31" t="str">
        <f>IF(Table!A2813 = "","",Table!A2813)</f>
        <v/>
      </c>
      <c r="B2813" s="31" t="str">
        <f>IF(Table!B2813 = "","",Table!B2813)</f>
        <v/>
      </c>
      <c r="C2813" s="31" t="str">
        <f>IF(Table!C2813 = "","",Table!C2813)</f>
        <v/>
      </c>
      <c r="D2813" s="32" t="str">
        <f>IF(Table!D2813 = "","",Table!D2813)</f>
        <v/>
      </c>
      <c r="E2813" s="32" t="str">
        <f>IF(Table!E2813 = "","",Table!E2813)</f>
        <v/>
      </c>
      <c r="F2813" s="32" t="str">
        <f>IF(Table!F2813 = "","",Table!F2813)</f>
        <v/>
      </c>
      <c r="G2813" s="91"/>
      <c r="K2813" s="31" t="str">
        <f>IFERROR(VLOOKUP(A2813,Table!$I$4:$O$3000,1,TRUE),"")</f>
        <v/>
      </c>
      <c r="L2813" s="31" t="str">
        <f>IFERROR(INDEX(Table!I:O,MATCH(K2813,Table!I:I,0),2),"")</f>
        <v/>
      </c>
      <c r="M2813" s="31" t="str">
        <f>IFERROR(INDEX(Table!I:O,MATCH(K2813,Table!I:I,0),3),"")</f>
        <v/>
      </c>
      <c r="N2813" s="32" t="str">
        <f>IFERROR(INDEX(Table!I:O,MATCH(K2813,Table!I:I,0),4),"")</f>
        <v/>
      </c>
      <c r="O2813" s="32" t="str">
        <f>IFERROR(INDEX(Table!I:O,MATCH(K2813,Table!I:I,0),5),"")</f>
        <v/>
      </c>
      <c r="P2813" s="32" t="str">
        <f>IFERROR(INDEX(Table!I:O,MATCH(K2813,Table!I:I,0),6),"")</f>
        <v/>
      </c>
      <c r="Q2813" s="89" t="str">
        <f t="shared" si="120"/>
        <v/>
      </c>
      <c r="R2813" s="89" t="str">
        <f t="shared" si="121"/>
        <v/>
      </c>
      <c r="S2813" s="82"/>
    </row>
    <row r="2814" spans="1:19" x14ac:dyDescent="0.25">
      <c r="A2814" s="31" t="str">
        <f>IF(Table!A2814 = "","",Table!A2814)</f>
        <v/>
      </c>
      <c r="B2814" s="31" t="str">
        <f>IF(Table!B2814 = "","",Table!B2814)</f>
        <v/>
      </c>
      <c r="C2814" s="31" t="str">
        <f>IF(Table!C2814 = "","",Table!C2814)</f>
        <v/>
      </c>
      <c r="D2814" s="32" t="str">
        <f>IF(Table!D2814 = "","",Table!D2814)</f>
        <v/>
      </c>
      <c r="E2814" s="32" t="str">
        <f>IF(Table!E2814 = "","",Table!E2814)</f>
        <v/>
      </c>
      <c r="F2814" s="32" t="str">
        <f>IF(Table!F2814 = "","",Table!F2814)</f>
        <v/>
      </c>
      <c r="G2814" s="91"/>
      <c r="K2814" s="31" t="str">
        <f>IFERROR(VLOOKUP(A2814,Table!$I$4:$O$3000,1,TRUE),"")</f>
        <v/>
      </c>
      <c r="L2814" s="31" t="str">
        <f>IFERROR(INDEX(Table!I:O,MATCH(K2814,Table!I:I,0),2),"")</f>
        <v/>
      </c>
      <c r="M2814" s="31" t="str">
        <f>IFERROR(INDEX(Table!I:O,MATCH(K2814,Table!I:I,0),3),"")</f>
        <v/>
      </c>
      <c r="N2814" s="32" t="str">
        <f>IFERROR(INDEX(Table!I:O,MATCH(K2814,Table!I:I,0),4),"")</f>
        <v/>
      </c>
      <c r="O2814" s="32" t="str">
        <f>IFERROR(INDEX(Table!I:O,MATCH(K2814,Table!I:I,0),5),"")</f>
        <v/>
      </c>
      <c r="P2814" s="32" t="str">
        <f>IFERROR(INDEX(Table!I:O,MATCH(K2814,Table!I:I,0),6),"")</f>
        <v/>
      </c>
      <c r="Q2814" s="89" t="str">
        <f t="shared" si="120"/>
        <v/>
      </c>
      <c r="R2814" s="89" t="str">
        <f t="shared" si="121"/>
        <v/>
      </c>
      <c r="S2814" s="82"/>
    </row>
    <row r="2815" spans="1:19" x14ac:dyDescent="0.25">
      <c r="A2815" s="31" t="str">
        <f>IF(Table!A2815 = "","",Table!A2815)</f>
        <v/>
      </c>
      <c r="B2815" s="31" t="str">
        <f>IF(Table!B2815 = "","",Table!B2815)</f>
        <v/>
      </c>
      <c r="C2815" s="31" t="str">
        <f>IF(Table!C2815 = "","",Table!C2815)</f>
        <v/>
      </c>
      <c r="D2815" s="32" t="str">
        <f>IF(Table!D2815 = "","",Table!D2815)</f>
        <v/>
      </c>
      <c r="E2815" s="32" t="str">
        <f>IF(Table!E2815 = "","",Table!E2815)</f>
        <v/>
      </c>
      <c r="F2815" s="32" t="str">
        <f>IF(Table!F2815 = "","",Table!F2815)</f>
        <v/>
      </c>
      <c r="G2815" s="91"/>
      <c r="K2815" s="31" t="str">
        <f>IFERROR(VLOOKUP(A2815,Table!$I$4:$O$3000,1,TRUE),"")</f>
        <v/>
      </c>
      <c r="L2815" s="31" t="str">
        <f>IFERROR(INDEX(Table!I:O,MATCH(K2815,Table!I:I,0),2),"")</f>
        <v/>
      </c>
      <c r="M2815" s="31" t="str">
        <f>IFERROR(INDEX(Table!I:O,MATCH(K2815,Table!I:I,0),3),"")</f>
        <v/>
      </c>
      <c r="N2815" s="32" t="str">
        <f>IFERROR(INDEX(Table!I:O,MATCH(K2815,Table!I:I,0),4),"")</f>
        <v/>
      </c>
      <c r="O2815" s="32" t="str">
        <f>IFERROR(INDEX(Table!I:O,MATCH(K2815,Table!I:I,0),5),"")</f>
        <v/>
      </c>
      <c r="P2815" s="32" t="str">
        <f>IFERROR(INDEX(Table!I:O,MATCH(K2815,Table!I:I,0),6),"")</f>
        <v/>
      </c>
      <c r="Q2815" s="89" t="str">
        <f t="shared" si="120"/>
        <v/>
      </c>
      <c r="R2815" s="89" t="str">
        <f t="shared" si="121"/>
        <v/>
      </c>
      <c r="S2815" s="82"/>
    </row>
    <row r="2816" spans="1:19" x14ac:dyDescent="0.25">
      <c r="A2816" s="31" t="str">
        <f>IF(Table!A2816 = "","",Table!A2816)</f>
        <v/>
      </c>
      <c r="B2816" s="31" t="str">
        <f>IF(Table!B2816 = "","",Table!B2816)</f>
        <v/>
      </c>
      <c r="C2816" s="31" t="str">
        <f>IF(Table!C2816 = "","",Table!C2816)</f>
        <v/>
      </c>
      <c r="D2816" s="32" t="str">
        <f>IF(Table!D2816 = "","",Table!D2816)</f>
        <v/>
      </c>
      <c r="E2816" s="32" t="str">
        <f>IF(Table!E2816 = "","",Table!E2816)</f>
        <v/>
      </c>
      <c r="F2816" s="32" t="str">
        <f>IF(Table!F2816 = "","",Table!F2816)</f>
        <v/>
      </c>
      <c r="G2816" s="91"/>
      <c r="K2816" s="31" t="str">
        <f>IFERROR(VLOOKUP(A2816,Table!$I$4:$O$3000,1,TRUE),"")</f>
        <v/>
      </c>
      <c r="L2816" s="31" t="str">
        <f>IFERROR(INDEX(Table!I:O,MATCH(K2816,Table!I:I,0),2),"")</f>
        <v/>
      </c>
      <c r="M2816" s="31" t="str">
        <f>IFERROR(INDEX(Table!I:O,MATCH(K2816,Table!I:I,0),3),"")</f>
        <v/>
      </c>
      <c r="N2816" s="32" t="str">
        <f>IFERROR(INDEX(Table!I:O,MATCH(K2816,Table!I:I,0),4),"")</f>
        <v/>
      </c>
      <c r="O2816" s="32" t="str">
        <f>IFERROR(INDEX(Table!I:O,MATCH(K2816,Table!I:I,0),5),"")</f>
        <v/>
      </c>
      <c r="P2816" s="32" t="str">
        <f>IFERROR(INDEX(Table!I:O,MATCH(K2816,Table!I:I,0),6),"")</f>
        <v/>
      </c>
      <c r="Q2816" s="89" t="str">
        <f t="shared" si="120"/>
        <v/>
      </c>
      <c r="R2816" s="89" t="str">
        <f t="shared" si="121"/>
        <v/>
      </c>
      <c r="S2816" s="82"/>
    </row>
    <row r="2817" spans="1:19" x14ac:dyDescent="0.25">
      <c r="A2817" s="31" t="str">
        <f>IF(Table!A2817 = "","",Table!A2817)</f>
        <v/>
      </c>
      <c r="B2817" s="31" t="str">
        <f>IF(Table!B2817 = "","",Table!B2817)</f>
        <v/>
      </c>
      <c r="C2817" s="31" t="str">
        <f>IF(Table!C2817 = "","",Table!C2817)</f>
        <v/>
      </c>
      <c r="D2817" s="32" t="str">
        <f>IF(Table!D2817 = "","",Table!D2817)</f>
        <v/>
      </c>
      <c r="E2817" s="32" t="str">
        <f>IF(Table!E2817 = "","",Table!E2817)</f>
        <v/>
      </c>
      <c r="F2817" s="32" t="str">
        <f>IF(Table!F2817 = "","",Table!F2817)</f>
        <v/>
      </c>
      <c r="G2817" s="91"/>
      <c r="K2817" s="31" t="str">
        <f>IFERROR(VLOOKUP(A2817,Table!$I$4:$O$3000,1,TRUE),"")</f>
        <v/>
      </c>
      <c r="L2817" s="31" t="str">
        <f>IFERROR(INDEX(Table!I:O,MATCH(K2817,Table!I:I,0),2),"")</f>
        <v/>
      </c>
      <c r="M2817" s="31" t="str">
        <f>IFERROR(INDEX(Table!I:O,MATCH(K2817,Table!I:I,0),3),"")</f>
        <v/>
      </c>
      <c r="N2817" s="32" t="str">
        <f>IFERROR(INDEX(Table!I:O,MATCH(K2817,Table!I:I,0),4),"")</f>
        <v/>
      </c>
      <c r="O2817" s="32" t="str">
        <f>IFERROR(INDEX(Table!I:O,MATCH(K2817,Table!I:I,0),5),"")</f>
        <v/>
      </c>
      <c r="P2817" s="32" t="str">
        <f>IFERROR(INDEX(Table!I:O,MATCH(K2817,Table!I:I,0),6),"")</f>
        <v/>
      </c>
      <c r="Q2817" s="89" t="str">
        <f t="shared" si="120"/>
        <v/>
      </c>
      <c r="R2817" s="89" t="str">
        <f t="shared" si="121"/>
        <v/>
      </c>
      <c r="S2817" s="82"/>
    </row>
    <row r="2818" spans="1:19" x14ac:dyDescent="0.25">
      <c r="A2818" s="31" t="str">
        <f>IF(Table!A2818 = "","",Table!A2818)</f>
        <v/>
      </c>
      <c r="B2818" s="31" t="str">
        <f>IF(Table!B2818 = "","",Table!B2818)</f>
        <v/>
      </c>
      <c r="C2818" s="31" t="str">
        <f>IF(Table!C2818 = "","",Table!C2818)</f>
        <v/>
      </c>
      <c r="D2818" s="32" t="str">
        <f>IF(Table!D2818 = "","",Table!D2818)</f>
        <v/>
      </c>
      <c r="E2818" s="32" t="str">
        <f>IF(Table!E2818 = "","",Table!E2818)</f>
        <v/>
      </c>
      <c r="F2818" s="32" t="str">
        <f>IF(Table!F2818 = "","",Table!F2818)</f>
        <v/>
      </c>
      <c r="G2818" s="91"/>
      <c r="K2818" s="31" t="str">
        <f>IFERROR(VLOOKUP(A2818,Table!$I$4:$O$3000,1,TRUE),"")</f>
        <v/>
      </c>
      <c r="L2818" s="31" t="str">
        <f>IFERROR(INDEX(Table!I:O,MATCH(K2818,Table!I:I,0),2),"")</f>
        <v/>
      </c>
      <c r="M2818" s="31" t="str">
        <f>IFERROR(INDEX(Table!I:O,MATCH(K2818,Table!I:I,0),3),"")</f>
        <v/>
      </c>
      <c r="N2818" s="32" t="str">
        <f>IFERROR(INDEX(Table!I:O,MATCH(K2818,Table!I:I,0),4),"")</f>
        <v/>
      </c>
      <c r="O2818" s="32" t="str">
        <f>IFERROR(INDEX(Table!I:O,MATCH(K2818,Table!I:I,0),5),"")</f>
        <v/>
      </c>
      <c r="P2818" s="32" t="str">
        <f>IFERROR(INDEX(Table!I:O,MATCH(K2818,Table!I:I,0),6),"")</f>
        <v/>
      </c>
      <c r="Q2818" s="89" t="str">
        <f t="shared" si="120"/>
        <v/>
      </c>
      <c r="R2818" s="89" t="str">
        <f t="shared" si="121"/>
        <v/>
      </c>
      <c r="S2818" s="82"/>
    </row>
    <row r="2819" spans="1:19" x14ac:dyDescent="0.25">
      <c r="A2819" s="31" t="str">
        <f>IF(Table!A2819 = "","",Table!A2819)</f>
        <v/>
      </c>
      <c r="B2819" s="31" t="str">
        <f>IF(Table!B2819 = "","",Table!B2819)</f>
        <v/>
      </c>
      <c r="C2819" s="31" t="str">
        <f>IF(Table!C2819 = "","",Table!C2819)</f>
        <v/>
      </c>
      <c r="D2819" s="32" t="str">
        <f>IF(Table!D2819 = "","",Table!D2819)</f>
        <v/>
      </c>
      <c r="E2819" s="32" t="str">
        <f>IF(Table!E2819 = "","",Table!E2819)</f>
        <v/>
      </c>
      <c r="F2819" s="32" t="str">
        <f>IF(Table!F2819 = "","",Table!F2819)</f>
        <v/>
      </c>
      <c r="G2819" s="91"/>
      <c r="K2819" s="31" t="str">
        <f>IFERROR(VLOOKUP(A2819,Table!$I$4:$O$3000,1,TRUE),"")</f>
        <v/>
      </c>
      <c r="L2819" s="31" t="str">
        <f>IFERROR(INDEX(Table!I:O,MATCH(K2819,Table!I:I,0),2),"")</f>
        <v/>
      </c>
      <c r="M2819" s="31" t="str">
        <f>IFERROR(INDEX(Table!I:O,MATCH(K2819,Table!I:I,0),3),"")</f>
        <v/>
      </c>
      <c r="N2819" s="32" t="str">
        <f>IFERROR(INDEX(Table!I:O,MATCH(K2819,Table!I:I,0),4),"")</f>
        <v/>
      </c>
      <c r="O2819" s="32" t="str">
        <f>IFERROR(INDEX(Table!I:O,MATCH(K2819,Table!I:I,0),5),"")</f>
        <v/>
      </c>
      <c r="P2819" s="32" t="str">
        <f>IFERROR(INDEX(Table!I:O,MATCH(K2819,Table!I:I,0),6),"")</f>
        <v/>
      </c>
      <c r="Q2819" s="89" t="str">
        <f t="shared" si="120"/>
        <v/>
      </c>
      <c r="R2819" s="89" t="str">
        <f t="shared" si="121"/>
        <v/>
      </c>
      <c r="S2819" s="82"/>
    </row>
    <row r="2820" spans="1:19" x14ac:dyDescent="0.25">
      <c r="A2820" s="31" t="str">
        <f>IF(Table!A2820 = "","",Table!A2820)</f>
        <v/>
      </c>
      <c r="B2820" s="31" t="str">
        <f>IF(Table!B2820 = "","",Table!B2820)</f>
        <v/>
      </c>
      <c r="C2820" s="31" t="str">
        <f>IF(Table!C2820 = "","",Table!C2820)</f>
        <v/>
      </c>
      <c r="D2820" s="32" t="str">
        <f>IF(Table!D2820 = "","",Table!D2820)</f>
        <v/>
      </c>
      <c r="E2820" s="32" t="str">
        <f>IF(Table!E2820 = "","",Table!E2820)</f>
        <v/>
      </c>
      <c r="F2820" s="32" t="str">
        <f>IF(Table!F2820 = "","",Table!F2820)</f>
        <v/>
      </c>
      <c r="G2820" s="91"/>
      <c r="K2820" s="31" t="str">
        <f>IFERROR(VLOOKUP(A2820,Table!$I$4:$O$3000,1,TRUE),"")</f>
        <v/>
      </c>
      <c r="L2820" s="31" t="str">
        <f>IFERROR(INDEX(Table!I:O,MATCH(K2820,Table!I:I,0),2),"")</f>
        <v/>
      </c>
      <c r="M2820" s="31" t="str">
        <f>IFERROR(INDEX(Table!I:O,MATCH(K2820,Table!I:I,0),3),"")</f>
        <v/>
      </c>
      <c r="N2820" s="32" t="str">
        <f>IFERROR(INDEX(Table!I:O,MATCH(K2820,Table!I:I,0),4),"")</f>
        <v/>
      </c>
      <c r="O2820" s="32" t="str">
        <f>IFERROR(INDEX(Table!I:O,MATCH(K2820,Table!I:I,0),5),"")</f>
        <v/>
      </c>
      <c r="P2820" s="32" t="str">
        <f>IFERROR(INDEX(Table!I:O,MATCH(K2820,Table!I:I,0),6),"")</f>
        <v/>
      </c>
      <c r="Q2820" s="89" t="str">
        <f t="shared" si="120"/>
        <v/>
      </c>
      <c r="R2820" s="89" t="str">
        <f t="shared" si="121"/>
        <v/>
      </c>
      <c r="S2820" s="82"/>
    </row>
    <row r="2821" spans="1:19" x14ac:dyDescent="0.25">
      <c r="A2821" s="31" t="str">
        <f>IF(Table!A2821 = "","",Table!A2821)</f>
        <v/>
      </c>
      <c r="B2821" s="31" t="str">
        <f>IF(Table!B2821 = "","",Table!B2821)</f>
        <v/>
      </c>
      <c r="C2821" s="31" t="str">
        <f>IF(Table!C2821 = "","",Table!C2821)</f>
        <v/>
      </c>
      <c r="D2821" s="32" t="str">
        <f>IF(Table!D2821 = "","",Table!D2821)</f>
        <v/>
      </c>
      <c r="E2821" s="32" t="str">
        <f>IF(Table!E2821 = "","",Table!E2821)</f>
        <v/>
      </c>
      <c r="F2821" s="32" t="str">
        <f>IF(Table!F2821 = "","",Table!F2821)</f>
        <v/>
      </c>
      <c r="G2821" s="91"/>
      <c r="K2821" s="31" t="str">
        <f>IFERROR(VLOOKUP(A2821,Table!$I$4:$O$3000,1,TRUE),"")</f>
        <v/>
      </c>
      <c r="L2821" s="31" t="str">
        <f>IFERROR(INDEX(Table!I:O,MATCH(K2821,Table!I:I,0),2),"")</f>
        <v/>
      </c>
      <c r="M2821" s="31" t="str">
        <f>IFERROR(INDEX(Table!I:O,MATCH(K2821,Table!I:I,0),3),"")</f>
        <v/>
      </c>
      <c r="N2821" s="32" t="str">
        <f>IFERROR(INDEX(Table!I:O,MATCH(K2821,Table!I:I,0),4),"")</f>
        <v/>
      </c>
      <c r="O2821" s="32" t="str">
        <f>IFERROR(INDEX(Table!I:O,MATCH(K2821,Table!I:I,0),5),"")</f>
        <v/>
      </c>
      <c r="P2821" s="32" t="str">
        <f>IFERROR(INDEX(Table!I:O,MATCH(K2821,Table!I:I,0),6),"")</f>
        <v/>
      </c>
      <c r="Q2821" s="89" t="str">
        <f t="shared" si="120"/>
        <v/>
      </c>
      <c r="R2821" s="89" t="str">
        <f t="shared" si="121"/>
        <v/>
      </c>
      <c r="S2821" s="82"/>
    </row>
    <row r="2822" spans="1:19" x14ac:dyDescent="0.25">
      <c r="A2822" s="31" t="str">
        <f>IF(Table!A2822 = "","",Table!A2822)</f>
        <v/>
      </c>
      <c r="B2822" s="31" t="str">
        <f>IF(Table!B2822 = "","",Table!B2822)</f>
        <v/>
      </c>
      <c r="C2822" s="31" t="str">
        <f>IF(Table!C2822 = "","",Table!C2822)</f>
        <v/>
      </c>
      <c r="D2822" s="32" t="str">
        <f>IF(Table!D2822 = "","",Table!D2822)</f>
        <v/>
      </c>
      <c r="E2822" s="32" t="str">
        <f>IF(Table!E2822 = "","",Table!E2822)</f>
        <v/>
      </c>
      <c r="F2822" s="32" t="str">
        <f>IF(Table!F2822 = "","",Table!F2822)</f>
        <v/>
      </c>
      <c r="G2822" s="91"/>
      <c r="K2822" s="31" t="str">
        <f>IFERROR(VLOOKUP(A2822,Table!$I$4:$O$3000,1,TRUE),"")</f>
        <v/>
      </c>
      <c r="L2822" s="31" t="str">
        <f>IFERROR(INDEX(Table!I:O,MATCH(K2822,Table!I:I,0),2),"")</f>
        <v/>
      </c>
      <c r="M2822" s="31" t="str">
        <f>IFERROR(INDEX(Table!I:O,MATCH(K2822,Table!I:I,0),3),"")</f>
        <v/>
      </c>
      <c r="N2822" s="32" t="str">
        <f>IFERROR(INDEX(Table!I:O,MATCH(K2822,Table!I:I,0),4),"")</f>
        <v/>
      </c>
      <c r="O2822" s="32" t="str">
        <f>IFERROR(INDEX(Table!I:O,MATCH(K2822,Table!I:I,0),5),"")</f>
        <v/>
      </c>
      <c r="P2822" s="32" t="str">
        <f>IFERROR(INDEX(Table!I:O,MATCH(K2822,Table!I:I,0),6),"")</f>
        <v/>
      </c>
      <c r="Q2822" s="89" t="str">
        <f t="shared" ref="Q2822:Q2885" si="122">IFERROR(L2822-B2822,"")</f>
        <v/>
      </c>
      <c r="R2822" s="89" t="str">
        <f t="shared" ref="R2822:R2885" si="123">IFERROR(M2822-C2822,"")</f>
        <v/>
      </c>
      <c r="S2822" s="82"/>
    </row>
    <row r="2823" spans="1:19" x14ac:dyDescent="0.25">
      <c r="A2823" s="31" t="str">
        <f>IF(Table!A2823 = "","",Table!A2823)</f>
        <v/>
      </c>
      <c r="B2823" s="31" t="str">
        <f>IF(Table!B2823 = "","",Table!B2823)</f>
        <v/>
      </c>
      <c r="C2823" s="31" t="str">
        <f>IF(Table!C2823 = "","",Table!C2823)</f>
        <v/>
      </c>
      <c r="D2823" s="32" t="str">
        <f>IF(Table!D2823 = "","",Table!D2823)</f>
        <v/>
      </c>
      <c r="E2823" s="32" t="str">
        <f>IF(Table!E2823 = "","",Table!E2823)</f>
        <v/>
      </c>
      <c r="F2823" s="32" t="str">
        <f>IF(Table!F2823 = "","",Table!F2823)</f>
        <v/>
      </c>
      <c r="G2823" s="91"/>
      <c r="K2823" s="31" t="str">
        <f>IFERROR(VLOOKUP(A2823,Table!$I$4:$O$3000,1,TRUE),"")</f>
        <v/>
      </c>
      <c r="L2823" s="31" t="str">
        <f>IFERROR(INDEX(Table!I:O,MATCH(K2823,Table!I:I,0),2),"")</f>
        <v/>
      </c>
      <c r="M2823" s="31" t="str">
        <f>IFERROR(INDEX(Table!I:O,MATCH(K2823,Table!I:I,0),3),"")</f>
        <v/>
      </c>
      <c r="N2823" s="32" t="str">
        <f>IFERROR(INDEX(Table!I:O,MATCH(K2823,Table!I:I,0),4),"")</f>
        <v/>
      </c>
      <c r="O2823" s="32" t="str">
        <f>IFERROR(INDEX(Table!I:O,MATCH(K2823,Table!I:I,0),5),"")</f>
        <v/>
      </c>
      <c r="P2823" s="32" t="str">
        <f>IFERROR(INDEX(Table!I:O,MATCH(K2823,Table!I:I,0),6),"")</f>
        <v/>
      </c>
      <c r="Q2823" s="89" t="str">
        <f t="shared" si="122"/>
        <v/>
      </c>
      <c r="R2823" s="89" t="str">
        <f t="shared" si="123"/>
        <v/>
      </c>
      <c r="S2823" s="82"/>
    </row>
    <row r="2824" spans="1:19" x14ac:dyDescent="0.25">
      <c r="A2824" s="31" t="str">
        <f>IF(Table!A2824 = "","",Table!A2824)</f>
        <v/>
      </c>
      <c r="B2824" s="31" t="str">
        <f>IF(Table!B2824 = "","",Table!B2824)</f>
        <v/>
      </c>
      <c r="C2824" s="31" t="str">
        <f>IF(Table!C2824 = "","",Table!C2824)</f>
        <v/>
      </c>
      <c r="D2824" s="32" t="str">
        <f>IF(Table!D2824 = "","",Table!D2824)</f>
        <v/>
      </c>
      <c r="E2824" s="32" t="str">
        <f>IF(Table!E2824 = "","",Table!E2824)</f>
        <v/>
      </c>
      <c r="F2824" s="32" t="str">
        <f>IF(Table!F2824 = "","",Table!F2824)</f>
        <v/>
      </c>
      <c r="G2824" s="91"/>
      <c r="K2824" s="31" t="str">
        <f>IFERROR(VLOOKUP(A2824,Table!$I$4:$O$3000,1,TRUE),"")</f>
        <v/>
      </c>
      <c r="L2824" s="31" t="str">
        <f>IFERROR(INDEX(Table!I:O,MATCH(K2824,Table!I:I,0),2),"")</f>
        <v/>
      </c>
      <c r="M2824" s="31" t="str">
        <f>IFERROR(INDEX(Table!I:O,MATCH(K2824,Table!I:I,0),3),"")</f>
        <v/>
      </c>
      <c r="N2824" s="32" t="str">
        <f>IFERROR(INDEX(Table!I:O,MATCH(K2824,Table!I:I,0),4),"")</f>
        <v/>
      </c>
      <c r="O2824" s="32" t="str">
        <f>IFERROR(INDEX(Table!I:O,MATCH(K2824,Table!I:I,0),5),"")</f>
        <v/>
      </c>
      <c r="P2824" s="32" t="str">
        <f>IFERROR(INDEX(Table!I:O,MATCH(K2824,Table!I:I,0),6),"")</f>
        <v/>
      </c>
      <c r="Q2824" s="89" t="str">
        <f t="shared" si="122"/>
        <v/>
      </c>
      <c r="R2824" s="89" t="str">
        <f t="shared" si="123"/>
        <v/>
      </c>
      <c r="S2824" s="82"/>
    </row>
    <row r="2825" spans="1:19" x14ac:dyDescent="0.25">
      <c r="A2825" s="31" t="str">
        <f>IF(Table!A2825 = "","",Table!A2825)</f>
        <v/>
      </c>
      <c r="B2825" s="31" t="str">
        <f>IF(Table!B2825 = "","",Table!B2825)</f>
        <v/>
      </c>
      <c r="C2825" s="31" t="str">
        <f>IF(Table!C2825 = "","",Table!C2825)</f>
        <v/>
      </c>
      <c r="D2825" s="32" t="str">
        <f>IF(Table!D2825 = "","",Table!D2825)</f>
        <v/>
      </c>
      <c r="E2825" s="32" t="str">
        <f>IF(Table!E2825 = "","",Table!E2825)</f>
        <v/>
      </c>
      <c r="F2825" s="32" t="str">
        <f>IF(Table!F2825 = "","",Table!F2825)</f>
        <v/>
      </c>
      <c r="G2825" s="91"/>
      <c r="K2825" s="31" t="str">
        <f>IFERROR(VLOOKUP(A2825,Table!$I$4:$O$3000,1,TRUE),"")</f>
        <v/>
      </c>
      <c r="L2825" s="31" t="str">
        <f>IFERROR(INDEX(Table!I:O,MATCH(K2825,Table!I:I,0),2),"")</f>
        <v/>
      </c>
      <c r="M2825" s="31" t="str">
        <f>IFERROR(INDEX(Table!I:O,MATCH(K2825,Table!I:I,0),3),"")</f>
        <v/>
      </c>
      <c r="N2825" s="32" t="str">
        <f>IFERROR(INDEX(Table!I:O,MATCH(K2825,Table!I:I,0),4),"")</f>
        <v/>
      </c>
      <c r="O2825" s="32" t="str">
        <f>IFERROR(INDEX(Table!I:O,MATCH(K2825,Table!I:I,0),5),"")</f>
        <v/>
      </c>
      <c r="P2825" s="32" t="str">
        <f>IFERROR(INDEX(Table!I:O,MATCH(K2825,Table!I:I,0),6),"")</f>
        <v/>
      </c>
      <c r="Q2825" s="89" t="str">
        <f t="shared" si="122"/>
        <v/>
      </c>
      <c r="R2825" s="89" t="str">
        <f t="shared" si="123"/>
        <v/>
      </c>
      <c r="S2825" s="82"/>
    </row>
    <row r="2826" spans="1:19" x14ac:dyDescent="0.25">
      <c r="A2826" s="31" t="str">
        <f>IF(Table!A2826 = "","",Table!A2826)</f>
        <v/>
      </c>
      <c r="B2826" s="31" t="str">
        <f>IF(Table!B2826 = "","",Table!B2826)</f>
        <v/>
      </c>
      <c r="C2826" s="31" t="str">
        <f>IF(Table!C2826 = "","",Table!C2826)</f>
        <v/>
      </c>
      <c r="D2826" s="32" t="str">
        <f>IF(Table!D2826 = "","",Table!D2826)</f>
        <v/>
      </c>
      <c r="E2826" s="32" t="str">
        <f>IF(Table!E2826 = "","",Table!E2826)</f>
        <v/>
      </c>
      <c r="F2826" s="32" t="str">
        <f>IF(Table!F2826 = "","",Table!F2826)</f>
        <v/>
      </c>
      <c r="G2826" s="91"/>
      <c r="K2826" s="31" t="str">
        <f>IFERROR(VLOOKUP(A2826,Table!$I$4:$O$3000,1,TRUE),"")</f>
        <v/>
      </c>
      <c r="L2826" s="31" t="str">
        <f>IFERROR(INDEX(Table!I:O,MATCH(K2826,Table!I:I,0),2),"")</f>
        <v/>
      </c>
      <c r="M2826" s="31" t="str">
        <f>IFERROR(INDEX(Table!I:O,MATCH(K2826,Table!I:I,0),3),"")</f>
        <v/>
      </c>
      <c r="N2826" s="32" t="str">
        <f>IFERROR(INDEX(Table!I:O,MATCH(K2826,Table!I:I,0),4),"")</f>
        <v/>
      </c>
      <c r="O2826" s="32" t="str">
        <f>IFERROR(INDEX(Table!I:O,MATCH(K2826,Table!I:I,0),5),"")</f>
        <v/>
      </c>
      <c r="P2826" s="32" t="str">
        <f>IFERROR(INDEX(Table!I:O,MATCH(K2826,Table!I:I,0),6),"")</f>
        <v/>
      </c>
      <c r="Q2826" s="89" t="str">
        <f t="shared" si="122"/>
        <v/>
      </c>
      <c r="R2826" s="89" t="str">
        <f t="shared" si="123"/>
        <v/>
      </c>
      <c r="S2826" s="82"/>
    </row>
    <row r="2827" spans="1:19" x14ac:dyDescent="0.25">
      <c r="A2827" s="31" t="str">
        <f>IF(Table!A2827 = "","",Table!A2827)</f>
        <v/>
      </c>
      <c r="B2827" s="31" t="str">
        <f>IF(Table!B2827 = "","",Table!B2827)</f>
        <v/>
      </c>
      <c r="C2827" s="31" t="str">
        <f>IF(Table!C2827 = "","",Table!C2827)</f>
        <v/>
      </c>
      <c r="D2827" s="32" t="str">
        <f>IF(Table!D2827 = "","",Table!D2827)</f>
        <v/>
      </c>
      <c r="E2827" s="32" t="str">
        <f>IF(Table!E2827 = "","",Table!E2827)</f>
        <v/>
      </c>
      <c r="F2827" s="32" t="str">
        <f>IF(Table!F2827 = "","",Table!F2827)</f>
        <v/>
      </c>
      <c r="G2827" s="91"/>
      <c r="K2827" s="31" t="str">
        <f>IFERROR(VLOOKUP(A2827,Table!$I$4:$O$3000,1,TRUE),"")</f>
        <v/>
      </c>
      <c r="L2827" s="31" t="str">
        <f>IFERROR(INDEX(Table!I:O,MATCH(K2827,Table!I:I,0),2),"")</f>
        <v/>
      </c>
      <c r="M2827" s="31" t="str">
        <f>IFERROR(INDEX(Table!I:O,MATCH(K2827,Table!I:I,0),3),"")</f>
        <v/>
      </c>
      <c r="N2827" s="32" t="str">
        <f>IFERROR(INDEX(Table!I:O,MATCH(K2827,Table!I:I,0),4),"")</f>
        <v/>
      </c>
      <c r="O2827" s="32" t="str">
        <f>IFERROR(INDEX(Table!I:O,MATCH(K2827,Table!I:I,0),5),"")</f>
        <v/>
      </c>
      <c r="P2827" s="32" t="str">
        <f>IFERROR(INDEX(Table!I:O,MATCH(K2827,Table!I:I,0),6),"")</f>
        <v/>
      </c>
      <c r="Q2827" s="89" t="str">
        <f t="shared" si="122"/>
        <v/>
      </c>
      <c r="R2827" s="89" t="str">
        <f t="shared" si="123"/>
        <v/>
      </c>
      <c r="S2827" s="82"/>
    </row>
    <row r="2828" spans="1:19" x14ac:dyDescent="0.25">
      <c r="A2828" s="31" t="str">
        <f>IF(Table!A2828 = "","",Table!A2828)</f>
        <v/>
      </c>
      <c r="B2828" s="31" t="str">
        <f>IF(Table!B2828 = "","",Table!B2828)</f>
        <v/>
      </c>
      <c r="C2828" s="31" t="str">
        <f>IF(Table!C2828 = "","",Table!C2828)</f>
        <v/>
      </c>
      <c r="D2828" s="32" t="str">
        <f>IF(Table!D2828 = "","",Table!D2828)</f>
        <v/>
      </c>
      <c r="E2828" s="32" t="str">
        <f>IF(Table!E2828 = "","",Table!E2828)</f>
        <v/>
      </c>
      <c r="F2828" s="32" t="str">
        <f>IF(Table!F2828 = "","",Table!F2828)</f>
        <v/>
      </c>
      <c r="G2828" s="91"/>
      <c r="K2828" s="31" t="str">
        <f>IFERROR(VLOOKUP(A2828,Table!$I$4:$O$3000,1,TRUE),"")</f>
        <v/>
      </c>
      <c r="L2828" s="31" t="str">
        <f>IFERROR(INDEX(Table!I:O,MATCH(K2828,Table!I:I,0),2),"")</f>
        <v/>
      </c>
      <c r="M2828" s="31" t="str">
        <f>IFERROR(INDEX(Table!I:O,MATCH(K2828,Table!I:I,0),3),"")</f>
        <v/>
      </c>
      <c r="N2828" s="32" t="str">
        <f>IFERROR(INDEX(Table!I:O,MATCH(K2828,Table!I:I,0),4),"")</f>
        <v/>
      </c>
      <c r="O2828" s="32" t="str">
        <f>IFERROR(INDEX(Table!I:O,MATCH(K2828,Table!I:I,0),5),"")</f>
        <v/>
      </c>
      <c r="P2828" s="32" t="str">
        <f>IFERROR(INDEX(Table!I:O,MATCH(K2828,Table!I:I,0),6),"")</f>
        <v/>
      </c>
      <c r="Q2828" s="89" t="str">
        <f t="shared" si="122"/>
        <v/>
      </c>
      <c r="R2828" s="89" t="str">
        <f t="shared" si="123"/>
        <v/>
      </c>
      <c r="S2828" s="82"/>
    </row>
    <row r="2829" spans="1:19" x14ac:dyDescent="0.25">
      <c r="A2829" s="31" t="str">
        <f>IF(Table!A2829 = "","",Table!A2829)</f>
        <v/>
      </c>
      <c r="B2829" s="31" t="str">
        <f>IF(Table!B2829 = "","",Table!B2829)</f>
        <v/>
      </c>
      <c r="C2829" s="31" t="str">
        <f>IF(Table!C2829 = "","",Table!C2829)</f>
        <v/>
      </c>
      <c r="D2829" s="32" t="str">
        <f>IF(Table!D2829 = "","",Table!D2829)</f>
        <v/>
      </c>
      <c r="E2829" s="32" t="str">
        <f>IF(Table!E2829 = "","",Table!E2829)</f>
        <v/>
      </c>
      <c r="F2829" s="32" t="str">
        <f>IF(Table!F2829 = "","",Table!F2829)</f>
        <v/>
      </c>
      <c r="G2829" s="91"/>
      <c r="K2829" s="31" t="str">
        <f>IFERROR(VLOOKUP(A2829,Table!$I$4:$O$3000,1,TRUE),"")</f>
        <v/>
      </c>
      <c r="L2829" s="31" t="str">
        <f>IFERROR(INDEX(Table!I:O,MATCH(K2829,Table!I:I,0),2),"")</f>
        <v/>
      </c>
      <c r="M2829" s="31" t="str">
        <f>IFERROR(INDEX(Table!I:O,MATCH(K2829,Table!I:I,0),3),"")</f>
        <v/>
      </c>
      <c r="N2829" s="32" t="str">
        <f>IFERROR(INDEX(Table!I:O,MATCH(K2829,Table!I:I,0),4),"")</f>
        <v/>
      </c>
      <c r="O2829" s="32" t="str">
        <f>IFERROR(INDEX(Table!I:O,MATCH(K2829,Table!I:I,0),5),"")</f>
        <v/>
      </c>
      <c r="P2829" s="32" t="str">
        <f>IFERROR(INDEX(Table!I:O,MATCH(K2829,Table!I:I,0),6),"")</f>
        <v/>
      </c>
      <c r="Q2829" s="89" t="str">
        <f t="shared" si="122"/>
        <v/>
      </c>
      <c r="R2829" s="89" t="str">
        <f t="shared" si="123"/>
        <v/>
      </c>
      <c r="S2829" s="82"/>
    </row>
    <row r="2830" spans="1:19" x14ac:dyDescent="0.25">
      <c r="A2830" s="31" t="str">
        <f>IF(Table!A2830 = "","",Table!A2830)</f>
        <v/>
      </c>
      <c r="B2830" s="31" t="str">
        <f>IF(Table!B2830 = "","",Table!B2830)</f>
        <v/>
      </c>
      <c r="C2830" s="31" t="str">
        <f>IF(Table!C2830 = "","",Table!C2830)</f>
        <v/>
      </c>
      <c r="D2830" s="32" t="str">
        <f>IF(Table!D2830 = "","",Table!D2830)</f>
        <v/>
      </c>
      <c r="E2830" s="32" t="str">
        <f>IF(Table!E2830 = "","",Table!E2830)</f>
        <v/>
      </c>
      <c r="F2830" s="32" t="str">
        <f>IF(Table!F2830 = "","",Table!F2830)</f>
        <v/>
      </c>
      <c r="G2830" s="91"/>
      <c r="K2830" s="31" t="str">
        <f>IFERROR(VLOOKUP(A2830,Table!$I$4:$O$3000,1,TRUE),"")</f>
        <v/>
      </c>
      <c r="L2830" s="31" t="str">
        <f>IFERROR(INDEX(Table!I:O,MATCH(K2830,Table!I:I,0),2),"")</f>
        <v/>
      </c>
      <c r="M2830" s="31" t="str">
        <f>IFERROR(INDEX(Table!I:O,MATCH(K2830,Table!I:I,0),3),"")</f>
        <v/>
      </c>
      <c r="N2830" s="32" t="str">
        <f>IFERROR(INDEX(Table!I:O,MATCH(K2830,Table!I:I,0),4),"")</f>
        <v/>
      </c>
      <c r="O2830" s="32" t="str">
        <f>IFERROR(INDEX(Table!I:O,MATCH(K2830,Table!I:I,0),5),"")</f>
        <v/>
      </c>
      <c r="P2830" s="32" t="str">
        <f>IFERROR(INDEX(Table!I:O,MATCH(K2830,Table!I:I,0),6),"")</f>
        <v/>
      </c>
      <c r="Q2830" s="89" t="str">
        <f t="shared" si="122"/>
        <v/>
      </c>
      <c r="R2830" s="89" t="str">
        <f t="shared" si="123"/>
        <v/>
      </c>
      <c r="S2830" s="82"/>
    </row>
    <row r="2831" spans="1:19" x14ac:dyDescent="0.25">
      <c r="A2831" s="31" t="str">
        <f>IF(Table!A2831 = "","",Table!A2831)</f>
        <v/>
      </c>
      <c r="B2831" s="31" t="str">
        <f>IF(Table!B2831 = "","",Table!B2831)</f>
        <v/>
      </c>
      <c r="C2831" s="31" t="str">
        <f>IF(Table!C2831 = "","",Table!C2831)</f>
        <v/>
      </c>
      <c r="D2831" s="32" t="str">
        <f>IF(Table!D2831 = "","",Table!D2831)</f>
        <v/>
      </c>
      <c r="E2831" s="32" t="str">
        <f>IF(Table!E2831 = "","",Table!E2831)</f>
        <v/>
      </c>
      <c r="F2831" s="32" t="str">
        <f>IF(Table!F2831 = "","",Table!F2831)</f>
        <v/>
      </c>
      <c r="G2831" s="91"/>
      <c r="K2831" s="31" t="str">
        <f>IFERROR(VLOOKUP(A2831,Table!$I$4:$O$3000,1,TRUE),"")</f>
        <v/>
      </c>
      <c r="L2831" s="31" t="str">
        <f>IFERROR(INDEX(Table!I:O,MATCH(K2831,Table!I:I,0),2),"")</f>
        <v/>
      </c>
      <c r="M2831" s="31" t="str">
        <f>IFERROR(INDEX(Table!I:O,MATCH(K2831,Table!I:I,0),3),"")</f>
        <v/>
      </c>
      <c r="N2831" s="32" t="str">
        <f>IFERROR(INDEX(Table!I:O,MATCH(K2831,Table!I:I,0),4),"")</f>
        <v/>
      </c>
      <c r="O2831" s="32" t="str">
        <f>IFERROR(INDEX(Table!I:O,MATCH(K2831,Table!I:I,0),5),"")</f>
        <v/>
      </c>
      <c r="P2831" s="32" t="str">
        <f>IFERROR(INDEX(Table!I:O,MATCH(K2831,Table!I:I,0),6),"")</f>
        <v/>
      </c>
      <c r="Q2831" s="89" t="str">
        <f t="shared" si="122"/>
        <v/>
      </c>
      <c r="R2831" s="89" t="str">
        <f t="shared" si="123"/>
        <v/>
      </c>
      <c r="S2831" s="82"/>
    </row>
    <row r="2832" spans="1:19" x14ac:dyDescent="0.25">
      <c r="A2832" s="31" t="str">
        <f>IF(Table!A2832 = "","",Table!A2832)</f>
        <v/>
      </c>
      <c r="B2832" s="31" t="str">
        <f>IF(Table!B2832 = "","",Table!B2832)</f>
        <v/>
      </c>
      <c r="C2832" s="31" t="str">
        <f>IF(Table!C2832 = "","",Table!C2832)</f>
        <v/>
      </c>
      <c r="D2832" s="32" t="str">
        <f>IF(Table!D2832 = "","",Table!D2832)</f>
        <v/>
      </c>
      <c r="E2832" s="32" t="str">
        <f>IF(Table!E2832 = "","",Table!E2832)</f>
        <v/>
      </c>
      <c r="F2832" s="32" t="str">
        <f>IF(Table!F2832 = "","",Table!F2832)</f>
        <v/>
      </c>
      <c r="G2832" s="91"/>
      <c r="K2832" s="31" t="str">
        <f>IFERROR(VLOOKUP(A2832,Table!$I$4:$O$3000,1,TRUE),"")</f>
        <v/>
      </c>
      <c r="L2832" s="31" t="str">
        <f>IFERROR(INDEX(Table!I:O,MATCH(K2832,Table!I:I,0),2),"")</f>
        <v/>
      </c>
      <c r="M2832" s="31" t="str">
        <f>IFERROR(INDEX(Table!I:O,MATCH(K2832,Table!I:I,0),3),"")</f>
        <v/>
      </c>
      <c r="N2832" s="32" t="str">
        <f>IFERROR(INDEX(Table!I:O,MATCH(K2832,Table!I:I,0),4),"")</f>
        <v/>
      </c>
      <c r="O2832" s="32" t="str">
        <f>IFERROR(INDEX(Table!I:O,MATCH(K2832,Table!I:I,0),5),"")</f>
        <v/>
      </c>
      <c r="P2832" s="32" t="str">
        <f>IFERROR(INDEX(Table!I:O,MATCH(K2832,Table!I:I,0),6),"")</f>
        <v/>
      </c>
      <c r="Q2832" s="89" t="str">
        <f t="shared" si="122"/>
        <v/>
      </c>
      <c r="R2832" s="89" t="str">
        <f t="shared" si="123"/>
        <v/>
      </c>
      <c r="S2832" s="82"/>
    </row>
    <row r="2833" spans="1:19" x14ac:dyDescent="0.25">
      <c r="A2833" s="31" t="str">
        <f>IF(Table!A2833 = "","",Table!A2833)</f>
        <v/>
      </c>
      <c r="B2833" s="31" t="str">
        <f>IF(Table!B2833 = "","",Table!B2833)</f>
        <v/>
      </c>
      <c r="C2833" s="31" t="str">
        <f>IF(Table!C2833 = "","",Table!C2833)</f>
        <v/>
      </c>
      <c r="D2833" s="32" t="str">
        <f>IF(Table!D2833 = "","",Table!D2833)</f>
        <v/>
      </c>
      <c r="E2833" s="32" t="str">
        <f>IF(Table!E2833 = "","",Table!E2833)</f>
        <v/>
      </c>
      <c r="F2833" s="32" t="str">
        <f>IF(Table!F2833 = "","",Table!F2833)</f>
        <v/>
      </c>
      <c r="G2833" s="91"/>
      <c r="K2833" s="31" t="str">
        <f>IFERROR(VLOOKUP(A2833,Table!$I$4:$O$3000,1,TRUE),"")</f>
        <v/>
      </c>
      <c r="L2833" s="31" t="str">
        <f>IFERROR(INDEX(Table!I:O,MATCH(K2833,Table!I:I,0),2),"")</f>
        <v/>
      </c>
      <c r="M2833" s="31" t="str">
        <f>IFERROR(INDEX(Table!I:O,MATCH(K2833,Table!I:I,0),3),"")</f>
        <v/>
      </c>
      <c r="N2833" s="32" t="str">
        <f>IFERROR(INDEX(Table!I:O,MATCH(K2833,Table!I:I,0),4),"")</f>
        <v/>
      </c>
      <c r="O2833" s="32" t="str">
        <f>IFERROR(INDEX(Table!I:O,MATCH(K2833,Table!I:I,0),5),"")</f>
        <v/>
      </c>
      <c r="P2833" s="32" t="str">
        <f>IFERROR(INDEX(Table!I:O,MATCH(K2833,Table!I:I,0),6),"")</f>
        <v/>
      </c>
      <c r="Q2833" s="89" t="str">
        <f t="shared" si="122"/>
        <v/>
      </c>
      <c r="R2833" s="89" t="str">
        <f t="shared" si="123"/>
        <v/>
      </c>
      <c r="S2833" s="82"/>
    </row>
    <row r="2834" spans="1:19" x14ac:dyDescent="0.25">
      <c r="A2834" s="31" t="str">
        <f>IF(Table!A2834 = "","",Table!A2834)</f>
        <v/>
      </c>
      <c r="B2834" s="31" t="str">
        <f>IF(Table!B2834 = "","",Table!B2834)</f>
        <v/>
      </c>
      <c r="C2834" s="31" t="str">
        <f>IF(Table!C2834 = "","",Table!C2834)</f>
        <v/>
      </c>
      <c r="D2834" s="32" t="str">
        <f>IF(Table!D2834 = "","",Table!D2834)</f>
        <v/>
      </c>
      <c r="E2834" s="32" t="str">
        <f>IF(Table!E2834 = "","",Table!E2834)</f>
        <v/>
      </c>
      <c r="F2834" s="32" t="str">
        <f>IF(Table!F2834 = "","",Table!F2834)</f>
        <v/>
      </c>
      <c r="G2834" s="91"/>
      <c r="K2834" s="31" t="str">
        <f>IFERROR(VLOOKUP(A2834,Table!$I$4:$O$3000,1,TRUE),"")</f>
        <v/>
      </c>
      <c r="L2834" s="31" t="str">
        <f>IFERROR(INDEX(Table!I:O,MATCH(K2834,Table!I:I,0),2),"")</f>
        <v/>
      </c>
      <c r="M2834" s="31" t="str">
        <f>IFERROR(INDEX(Table!I:O,MATCH(K2834,Table!I:I,0),3),"")</f>
        <v/>
      </c>
      <c r="N2834" s="32" t="str">
        <f>IFERROR(INDEX(Table!I:O,MATCH(K2834,Table!I:I,0),4),"")</f>
        <v/>
      </c>
      <c r="O2834" s="32" t="str">
        <f>IFERROR(INDEX(Table!I:O,MATCH(K2834,Table!I:I,0),5),"")</f>
        <v/>
      </c>
      <c r="P2834" s="32" t="str">
        <f>IFERROR(INDEX(Table!I:O,MATCH(K2834,Table!I:I,0),6),"")</f>
        <v/>
      </c>
      <c r="Q2834" s="89" t="str">
        <f t="shared" si="122"/>
        <v/>
      </c>
      <c r="R2834" s="89" t="str">
        <f t="shared" si="123"/>
        <v/>
      </c>
      <c r="S2834" s="82"/>
    </row>
    <row r="2835" spans="1:19" x14ac:dyDescent="0.25">
      <c r="A2835" s="31" t="str">
        <f>IF(Table!A2835 = "","",Table!A2835)</f>
        <v/>
      </c>
      <c r="B2835" s="31" t="str">
        <f>IF(Table!B2835 = "","",Table!B2835)</f>
        <v/>
      </c>
      <c r="C2835" s="31" t="str">
        <f>IF(Table!C2835 = "","",Table!C2835)</f>
        <v/>
      </c>
      <c r="D2835" s="32" t="str">
        <f>IF(Table!D2835 = "","",Table!D2835)</f>
        <v/>
      </c>
      <c r="E2835" s="32" t="str">
        <f>IF(Table!E2835 = "","",Table!E2835)</f>
        <v/>
      </c>
      <c r="F2835" s="32" t="str">
        <f>IF(Table!F2835 = "","",Table!F2835)</f>
        <v/>
      </c>
      <c r="G2835" s="91"/>
      <c r="K2835" s="31" t="str">
        <f>IFERROR(VLOOKUP(A2835,Table!$I$4:$O$3000,1,TRUE),"")</f>
        <v/>
      </c>
      <c r="L2835" s="31" t="str">
        <f>IFERROR(INDEX(Table!I:O,MATCH(K2835,Table!I:I,0),2),"")</f>
        <v/>
      </c>
      <c r="M2835" s="31" t="str">
        <f>IFERROR(INDEX(Table!I:O,MATCH(K2835,Table!I:I,0),3),"")</f>
        <v/>
      </c>
      <c r="N2835" s="32" t="str">
        <f>IFERROR(INDEX(Table!I:O,MATCH(K2835,Table!I:I,0),4),"")</f>
        <v/>
      </c>
      <c r="O2835" s="32" t="str">
        <f>IFERROR(INDEX(Table!I:O,MATCH(K2835,Table!I:I,0),5),"")</f>
        <v/>
      </c>
      <c r="P2835" s="32" t="str">
        <f>IFERROR(INDEX(Table!I:O,MATCH(K2835,Table!I:I,0),6),"")</f>
        <v/>
      </c>
      <c r="Q2835" s="89" t="str">
        <f t="shared" si="122"/>
        <v/>
      </c>
      <c r="R2835" s="89" t="str">
        <f t="shared" si="123"/>
        <v/>
      </c>
      <c r="S2835" s="82"/>
    </row>
    <row r="2836" spans="1:19" x14ac:dyDescent="0.25">
      <c r="A2836" s="31" t="str">
        <f>IF(Table!A2836 = "","",Table!A2836)</f>
        <v/>
      </c>
      <c r="B2836" s="31" t="str">
        <f>IF(Table!B2836 = "","",Table!B2836)</f>
        <v/>
      </c>
      <c r="C2836" s="31" t="str">
        <f>IF(Table!C2836 = "","",Table!C2836)</f>
        <v/>
      </c>
      <c r="D2836" s="32" t="str">
        <f>IF(Table!D2836 = "","",Table!D2836)</f>
        <v/>
      </c>
      <c r="E2836" s="32" t="str">
        <f>IF(Table!E2836 = "","",Table!E2836)</f>
        <v/>
      </c>
      <c r="F2836" s="32" t="str">
        <f>IF(Table!F2836 = "","",Table!F2836)</f>
        <v/>
      </c>
      <c r="G2836" s="91"/>
      <c r="K2836" s="31" t="str">
        <f>IFERROR(VLOOKUP(A2836,Table!$I$4:$O$3000,1,TRUE),"")</f>
        <v/>
      </c>
      <c r="L2836" s="31" t="str">
        <f>IFERROR(INDEX(Table!I:O,MATCH(K2836,Table!I:I,0),2),"")</f>
        <v/>
      </c>
      <c r="M2836" s="31" t="str">
        <f>IFERROR(INDEX(Table!I:O,MATCH(K2836,Table!I:I,0),3),"")</f>
        <v/>
      </c>
      <c r="N2836" s="32" t="str">
        <f>IFERROR(INDEX(Table!I:O,MATCH(K2836,Table!I:I,0),4),"")</f>
        <v/>
      </c>
      <c r="O2836" s="32" t="str">
        <f>IFERROR(INDEX(Table!I:O,MATCH(K2836,Table!I:I,0),5),"")</f>
        <v/>
      </c>
      <c r="P2836" s="32" t="str">
        <f>IFERROR(INDEX(Table!I:O,MATCH(K2836,Table!I:I,0),6),"")</f>
        <v/>
      </c>
      <c r="Q2836" s="89" t="str">
        <f t="shared" si="122"/>
        <v/>
      </c>
      <c r="R2836" s="89" t="str">
        <f t="shared" si="123"/>
        <v/>
      </c>
      <c r="S2836" s="82"/>
    </row>
    <row r="2837" spans="1:19" x14ac:dyDescent="0.25">
      <c r="A2837" s="31" t="str">
        <f>IF(Table!A2837 = "","",Table!A2837)</f>
        <v/>
      </c>
      <c r="B2837" s="31" t="str">
        <f>IF(Table!B2837 = "","",Table!B2837)</f>
        <v/>
      </c>
      <c r="C2837" s="31" t="str">
        <f>IF(Table!C2837 = "","",Table!C2837)</f>
        <v/>
      </c>
      <c r="D2837" s="32" t="str">
        <f>IF(Table!D2837 = "","",Table!D2837)</f>
        <v/>
      </c>
      <c r="E2837" s="32" t="str">
        <f>IF(Table!E2837 = "","",Table!E2837)</f>
        <v/>
      </c>
      <c r="F2837" s="32" t="str">
        <f>IF(Table!F2837 = "","",Table!F2837)</f>
        <v/>
      </c>
      <c r="G2837" s="91"/>
      <c r="K2837" s="31" t="str">
        <f>IFERROR(VLOOKUP(A2837,Table!$I$4:$O$3000,1,TRUE),"")</f>
        <v/>
      </c>
      <c r="L2837" s="31" t="str">
        <f>IFERROR(INDEX(Table!I:O,MATCH(K2837,Table!I:I,0),2),"")</f>
        <v/>
      </c>
      <c r="M2837" s="31" t="str">
        <f>IFERROR(INDEX(Table!I:O,MATCH(K2837,Table!I:I,0),3),"")</f>
        <v/>
      </c>
      <c r="N2837" s="32" t="str">
        <f>IFERROR(INDEX(Table!I:O,MATCH(K2837,Table!I:I,0),4),"")</f>
        <v/>
      </c>
      <c r="O2837" s="32" t="str">
        <f>IFERROR(INDEX(Table!I:O,MATCH(K2837,Table!I:I,0),5),"")</f>
        <v/>
      </c>
      <c r="P2837" s="32" t="str">
        <f>IFERROR(INDEX(Table!I:O,MATCH(K2837,Table!I:I,0),6),"")</f>
        <v/>
      </c>
      <c r="Q2837" s="89" t="str">
        <f t="shared" si="122"/>
        <v/>
      </c>
      <c r="R2837" s="89" t="str">
        <f t="shared" si="123"/>
        <v/>
      </c>
      <c r="S2837" s="82"/>
    </row>
    <row r="2838" spans="1:19" x14ac:dyDescent="0.25">
      <c r="A2838" s="31" t="str">
        <f>IF(Table!A2838 = "","",Table!A2838)</f>
        <v/>
      </c>
      <c r="B2838" s="31" t="str">
        <f>IF(Table!B2838 = "","",Table!B2838)</f>
        <v/>
      </c>
      <c r="C2838" s="31" t="str">
        <f>IF(Table!C2838 = "","",Table!C2838)</f>
        <v/>
      </c>
      <c r="D2838" s="32" t="str">
        <f>IF(Table!D2838 = "","",Table!D2838)</f>
        <v/>
      </c>
      <c r="E2838" s="32" t="str">
        <f>IF(Table!E2838 = "","",Table!E2838)</f>
        <v/>
      </c>
      <c r="F2838" s="32" t="str">
        <f>IF(Table!F2838 = "","",Table!F2838)</f>
        <v/>
      </c>
      <c r="G2838" s="91"/>
      <c r="K2838" s="31" t="str">
        <f>IFERROR(VLOOKUP(A2838,Table!$I$4:$O$3000,1,TRUE),"")</f>
        <v/>
      </c>
      <c r="L2838" s="31" t="str">
        <f>IFERROR(INDEX(Table!I:O,MATCH(K2838,Table!I:I,0),2),"")</f>
        <v/>
      </c>
      <c r="M2838" s="31" t="str">
        <f>IFERROR(INDEX(Table!I:O,MATCH(K2838,Table!I:I,0),3),"")</f>
        <v/>
      </c>
      <c r="N2838" s="32" t="str">
        <f>IFERROR(INDEX(Table!I:O,MATCH(K2838,Table!I:I,0),4),"")</f>
        <v/>
      </c>
      <c r="O2838" s="32" t="str">
        <f>IFERROR(INDEX(Table!I:O,MATCH(K2838,Table!I:I,0),5),"")</f>
        <v/>
      </c>
      <c r="P2838" s="32" t="str">
        <f>IFERROR(INDEX(Table!I:O,MATCH(K2838,Table!I:I,0),6),"")</f>
        <v/>
      </c>
      <c r="Q2838" s="89" t="str">
        <f t="shared" si="122"/>
        <v/>
      </c>
      <c r="R2838" s="89" t="str">
        <f t="shared" si="123"/>
        <v/>
      </c>
      <c r="S2838" s="82"/>
    </row>
    <row r="2839" spans="1:19" x14ac:dyDescent="0.25">
      <c r="A2839" s="31" t="str">
        <f>IF(Table!A2839 = "","",Table!A2839)</f>
        <v/>
      </c>
      <c r="B2839" s="31" t="str">
        <f>IF(Table!B2839 = "","",Table!B2839)</f>
        <v/>
      </c>
      <c r="C2839" s="31" t="str">
        <f>IF(Table!C2839 = "","",Table!C2839)</f>
        <v/>
      </c>
      <c r="D2839" s="32" t="str">
        <f>IF(Table!D2839 = "","",Table!D2839)</f>
        <v/>
      </c>
      <c r="E2839" s="32" t="str">
        <f>IF(Table!E2839 = "","",Table!E2839)</f>
        <v/>
      </c>
      <c r="F2839" s="32" t="str">
        <f>IF(Table!F2839 = "","",Table!F2839)</f>
        <v/>
      </c>
      <c r="G2839" s="91"/>
      <c r="K2839" s="31" t="str">
        <f>IFERROR(VLOOKUP(A2839,Table!$I$4:$O$3000,1,TRUE),"")</f>
        <v/>
      </c>
      <c r="L2839" s="31" t="str">
        <f>IFERROR(INDEX(Table!I:O,MATCH(K2839,Table!I:I,0),2),"")</f>
        <v/>
      </c>
      <c r="M2839" s="31" t="str">
        <f>IFERROR(INDEX(Table!I:O,MATCH(K2839,Table!I:I,0),3),"")</f>
        <v/>
      </c>
      <c r="N2839" s="32" t="str">
        <f>IFERROR(INDEX(Table!I:O,MATCH(K2839,Table!I:I,0),4),"")</f>
        <v/>
      </c>
      <c r="O2839" s="32" t="str">
        <f>IFERROR(INDEX(Table!I:O,MATCH(K2839,Table!I:I,0),5),"")</f>
        <v/>
      </c>
      <c r="P2839" s="32" t="str">
        <f>IFERROR(INDEX(Table!I:O,MATCH(K2839,Table!I:I,0),6),"")</f>
        <v/>
      </c>
      <c r="Q2839" s="89" t="str">
        <f t="shared" si="122"/>
        <v/>
      </c>
      <c r="R2839" s="89" t="str">
        <f t="shared" si="123"/>
        <v/>
      </c>
      <c r="S2839" s="82"/>
    </row>
    <row r="2840" spans="1:19" x14ac:dyDescent="0.25">
      <c r="A2840" s="31" t="str">
        <f>IF(Table!A2840 = "","",Table!A2840)</f>
        <v/>
      </c>
      <c r="B2840" s="31" t="str">
        <f>IF(Table!B2840 = "","",Table!B2840)</f>
        <v/>
      </c>
      <c r="C2840" s="31" t="str">
        <f>IF(Table!C2840 = "","",Table!C2840)</f>
        <v/>
      </c>
      <c r="D2840" s="32" t="str">
        <f>IF(Table!D2840 = "","",Table!D2840)</f>
        <v/>
      </c>
      <c r="E2840" s="32" t="str">
        <f>IF(Table!E2840 = "","",Table!E2840)</f>
        <v/>
      </c>
      <c r="F2840" s="32" t="str">
        <f>IF(Table!F2840 = "","",Table!F2840)</f>
        <v/>
      </c>
      <c r="G2840" s="91"/>
      <c r="K2840" s="31" t="str">
        <f>IFERROR(VLOOKUP(A2840,Table!$I$4:$O$3000,1,TRUE),"")</f>
        <v/>
      </c>
      <c r="L2840" s="31" t="str">
        <f>IFERROR(INDEX(Table!I:O,MATCH(K2840,Table!I:I,0),2),"")</f>
        <v/>
      </c>
      <c r="M2840" s="31" t="str">
        <f>IFERROR(INDEX(Table!I:O,MATCH(K2840,Table!I:I,0),3),"")</f>
        <v/>
      </c>
      <c r="N2840" s="32" t="str">
        <f>IFERROR(INDEX(Table!I:O,MATCH(K2840,Table!I:I,0),4),"")</f>
        <v/>
      </c>
      <c r="O2840" s="32" t="str">
        <f>IFERROR(INDEX(Table!I:O,MATCH(K2840,Table!I:I,0),5),"")</f>
        <v/>
      </c>
      <c r="P2840" s="32" t="str">
        <f>IFERROR(INDEX(Table!I:O,MATCH(K2840,Table!I:I,0),6),"")</f>
        <v/>
      </c>
      <c r="Q2840" s="89" t="str">
        <f t="shared" si="122"/>
        <v/>
      </c>
      <c r="R2840" s="89" t="str">
        <f t="shared" si="123"/>
        <v/>
      </c>
      <c r="S2840" s="82"/>
    </row>
    <row r="2841" spans="1:19" x14ac:dyDescent="0.25">
      <c r="A2841" s="31" t="str">
        <f>IF(Table!A2841 = "","",Table!A2841)</f>
        <v/>
      </c>
      <c r="B2841" s="31" t="str">
        <f>IF(Table!B2841 = "","",Table!B2841)</f>
        <v/>
      </c>
      <c r="C2841" s="31" t="str">
        <f>IF(Table!C2841 = "","",Table!C2841)</f>
        <v/>
      </c>
      <c r="D2841" s="32" t="str">
        <f>IF(Table!D2841 = "","",Table!D2841)</f>
        <v/>
      </c>
      <c r="E2841" s="32" t="str">
        <f>IF(Table!E2841 = "","",Table!E2841)</f>
        <v/>
      </c>
      <c r="F2841" s="32" t="str">
        <f>IF(Table!F2841 = "","",Table!F2841)</f>
        <v/>
      </c>
      <c r="G2841" s="91"/>
      <c r="K2841" s="31" t="str">
        <f>IFERROR(VLOOKUP(A2841,Table!$I$4:$O$3000,1,TRUE),"")</f>
        <v/>
      </c>
      <c r="L2841" s="31" t="str">
        <f>IFERROR(INDEX(Table!I:O,MATCH(K2841,Table!I:I,0),2),"")</f>
        <v/>
      </c>
      <c r="M2841" s="31" t="str">
        <f>IFERROR(INDEX(Table!I:O,MATCH(K2841,Table!I:I,0),3),"")</f>
        <v/>
      </c>
      <c r="N2841" s="32" t="str">
        <f>IFERROR(INDEX(Table!I:O,MATCH(K2841,Table!I:I,0),4),"")</f>
        <v/>
      </c>
      <c r="O2841" s="32" t="str">
        <f>IFERROR(INDEX(Table!I:O,MATCH(K2841,Table!I:I,0),5),"")</f>
        <v/>
      </c>
      <c r="P2841" s="32" t="str">
        <f>IFERROR(INDEX(Table!I:O,MATCH(K2841,Table!I:I,0),6),"")</f>
        <v/>
      </c>
      <c r="Q2841" s="89" t="str">
        <f t="shared" si="122"/>
        <v/>
      </c>
      <c r="R2841" s="89" t="str">
        <f t="shared" si="123"/>
        <v/>
      </c>
      <c r="S2841" s="82"/>
    </row>
    <row r="2842" spans="1:19" x14ac:dyDescent="0.25">
      <c r="A2842" s="31" t="str">
        <f>IF(Table!A2842 = "","",Table!A2842)</f>
        <v/>
      </c>
      <c r="B2842" s="31" t="str">
        <f>IF(Table!B2842 = "","",Table!B2842)</f>
        <v/>
      </c>
      <c r="C2842" s="31" t="str">
        <f>IF(Table!C2842 = "","",Table!C2842)</f>
        <v/>
      </c>
      <c r="D2842" s="32" t="str">
        <f>IF(Table!D2842 = "","",Table!D2842)</f>
        <v/>
      </c>
      <c r="E2842" s="32" t="str">
        <f>IF(Table!E2842 = "","",Table!E2842)</f>
        <v/>
      </c>
      <c r="F2842" s="32" t="str">
        <f>IF(Table!F2842 = "","",Table!F2842)</f>
        <v/>
      </c>
      <c r="G2842" s="91"/>
      <c r="K2842" s="31" t="str">
        <f>IFERROR(VLOOKUP(A2842,Table!$I$4:$O$3000,1,TRUE),"")</f>
        <v/>
      </c>
      <c r="L2842" s="31" t="str">
        <f>IFERROR(INDEX(Table!I:O,MATCH(K2842,Table!I:I,0),2),"")</f>
        <v/>
      </c>
      <c r="M2842" s="31" t="str">
        <f>IFERROR(INDEX(Table!I:O,MATCH(K2842,Table!I:I,0),3),"")</f>
        <v/>
      </c>
      <c r="N2842" s="32" t="str">
        <f>IFERROR(INDEX(Table!I:O,MATCH(K2842,Table!I:I,0),4),"")</f>
        <v/>
      </c>
      <c r="O2842" s="32" t="str">
        <f>IFERROR(INDEX(Table!I:O,MATCH(K2842,Table!I:I,0),5),"")</f>
        <v/>
      </c>
      <c r="P2842" s="32" t="str">
        <f>IFERROR(INDEX(Table!I:O,MATCH(K2842,Table!I:I,0),6),"")</f>
        <v/>
      </c>
      <c r="Q2842" s="89" t="str">
        <f t="shared" si="122"/>
        <v/>
      </c>
      <c r="R2842" s="89" t="str">
        <f t="shared" si="123"/>
        <v/>
      </c>
      <c r="S2842" s="82"/>
    </row>
    <row r="2843" spans="1:19" x14ac:dyDescent="0.25">
      <c r="A2843" s="31" t="str">
        <f>IF(Table!A2843 = "","",Table!A2843)</f>
        <v/>
      </c>
      <c r="B2843" s="31" t="str">
        <f>IF(Table!B2843 = "","",Table!B2843)</f>
        <v/>
      </c>
      <c r="C2843" s="31" t="str">
        <f>IF(Table!C2843 = "","",Table!C2843)</f>
        <v/>
      </c>
      <c r="D2843" s="32" t="str">
        <f>IF(Table!D2843 = "","",Table!D2843)</f>
        <v/>
      </c>
      <c r="E2843" s="32" t="str">
        <f>IF(Table!E2843 = "","",Table!E2843)</f>
        <v/>
      </c>
      <c r="F2843" s="32" t="str">
        <f>IF(Table!F2843 = "","",Table!F2843)</f>
        <v/>
      </c>
      <c r="G2843" s="91"/>
      <c r="K2843" s="31" t="str">
        <f>IFERROR(VLOOKUP(A2843,Table!$I$4:$O$3000,1,TRUE),"")</f>
        <v/>
      </c>
      <c r="L2843" s="31" t="str">
        <f>IFERROR(INDEX(Table!I:O,MATCH(K2843,Table!I:I,0),2),"")</f>
        <v/>
      </c>
      <c r="M2843" s="31" t="str">
        <f>IFERROR(INDEX(Table!I:O,MATCH(K2843,Table!I:I,0),3),"")</f>
        <v/>
      </c>
      <c r="N2843" s="32" t="str">
        <f>IFERROR(INDEX(Table!I:O,MATCH(K2843,Table!I:I,0),4),"")</f>
        <v/>
      </c>
      <c r="O2843" s="32" t="str">
        <f>IFERROR(INDEX(Table!I:O,MATCH(K2843,Table!I:I,0),5),"")</f>
        <v/>
      </c>
      <c r="P2843" s="32" t="str">
        <f>IFERROR(INDEX(Table!I:O,MATCH(K2843,Table!I:I,0),6),"")</f>
        <v/>
      </c>
      <c r="Q2843" s="89" t="str">
        <f t="shared" si="122"/>
        <v/>
      </c>
      <c r="R2843" s="89" t="str">
        <f t="shared" si="123"/>
        <v/>
      </c>
      <c r="S2843" s="82"/>
    </row>
    <row r="2844" spans="1:19" x14ac:dyDescent="0.25">
      <c r="A2844" s="31" t="str">
        <f>IF(Table!A2844 = "","",Table!A2844)</f>
        <v/>
      </c>
      <c r="B2844" s="31" t="str">
        <f>IF(Table!B2844 = "","",Table!B2844)</f>
        <v/>
      </c>
      <c r="C2844" s="31" t="str">
        <f>IF(Table!C2844 = "","",Table!C2844)</f>
        <v/>
      </c>
      <c r="D2844" s="32" t="str">
        <f>IF(Table!D2844 = "","",Table!D2844)</f>
        <v/>
      </c>
      <c r="E2844" s="32" t="str">
        <f>IF(Table!E2844 = "","",Table!E2844)</f>
        <v/>
      </c>
      <c r="F2844" s="32" t="str">
        <f>IF(Table!F2844 = "","",Table!F2844)</f>
        <v/>
      </c>
      <c r="G2844" s="91"/>
      <c r="K2844" s="31" t="str">
        <f>IFERROR(VLOOKUP(A2844,Table!$I$4:$O$3000,1,TRUE),"")</f>
        <v/>
      </c>
      <c r="L2844" s="31" t="str">
        <f>IFERROR(INDEX(Table!I:O,MATCH(K2844,Table!I:I,0),2),"")</f>
        <v/>
      </c>
      <c r="M2844" s="31" t="str">
        <f>IFERROR(INDEX(Table!I:O,MATCH(K2844,Table!I:I,0),3),"")</f>
        <v/>
      </c>
      <c r="N2844" s="32" t="str">
        <f>IFERROR(INDEX(Table!I:O,MATCH(K2844,Table!I:I,0),4),"")</f>
        <v/>
      </c>
      <c r="O2844" s="32" t="str">
        <f>IFERROR(INDEX(Table!I:O,MATCH(K2844,Table!I:I,0),5),"")</f>
        <v/>
      </c>
      <c r="P2844" s="32" t="str">
        <f>IFERROR(INDEX(Table!I:O,MATCH(K2844,Table!I:I,0),6),"")</f>
        <v/>
      </c>
      <c r="Q2844" s="89" t="str">
        <f t="shared" si="122"/>
        <v/>
      </c>
      <c r="R2844" s="89" t="str">
        <f t="shared" si="123"/>
        <v/>
      </c>
      <c r="S2844" s="82"/>
    </row>
    <row r="2845" spans="1:19" x14ac:dyDescent="0.25">
      <c r="A2845" s="31" t="str">
        <f>IF(Table!A2845 = "","",Table!A2845)</f>
        <v/>
      </c>
      <c r="B2845" s="31" t="str">
        <f>IF(Table!B2845 = "","",Table!B2845)</f>
        <v/>
      </c>
      <c r="C2845" s="31" t="str">
        <f>IF(Table!C2845 = "","",Table!C2845)</f>
        <v/>
      </c>
      <c r="D2845" s="32" t="str">
        <f>IF(Table!D2845 = "","",Table!D2845)</f>
        <v/>
      </c>
      <c r="E2845" s="32" t="str">
        <f>IF(Table!E2845 = "","",Table!E2845)</f>
        <v/>
      </c>
      <c r="F2845" s="32" t="str">
        <f>IF(Table!F2845 = "","",Table!F2845)</f>
        <v/>
      </c>
      <c r="G2845" s="91"/>
      <c r="K2845" s="31" t="str">
        <f>IFERROR(VLOOKUP(A2845,Table!$I$4:$O$3000,1,TRUE),"")</f>
        <v/>
      </c>
      <c r="L2845" s="31" t="str">
        <f>IFERROR(INDEX(Table!I:O,MATCH(K2845,Table!I:I,0),2),"")</f>
        <v/>
      </c>
      <c r="M2845" s="31" t="str">
        <f>IFERROR(INDEX(Table!I:O,MATCH(K2845,Table!I:I,0),3),"")</f>
        <v/>
      </c>
      <c r="N2845" s="32" t="str">
        <f>IFERROR(INDEX(Table!I:O,MATCH(K2845,Table!I:I,0),4),"")</f>
        <v/>
      </c>
      <c r="O2845" s="32" t="str">
        <f>IFERROR(INDEX(Table!I:O,MATCH(K2845,Table!I:I,0),5),"")</f>
        <v/>
      </c>
      <c r="P2845" s="32" t="str">
        <f>IFERROR(INDEX(Table!I:O,MATCH(K2845,Table!I:I,0),6),"")</f>
        <v/>
      </c>
      <c r="Q2845" s="89" t="str">
        <f t="shared" si="122"/>
        <v/>
      </c>
      <c r="R2845" s="89" t="str">
        <f t="shared" si="123"/>
        <v/>
      </c>
      <c r="S2845" s="82"/>
    </row>
    <row r="2846" spans="1:19" x14ac:dyDescent="0.25">
      <c r="A2846" s="31" t="str">
        <f>IF(Table!A2846 = "","",Table!A2846)</f>
        <v/>
      </c>
      <c r="B2846" s="31" t="str">
        <f>IF(Table!B2846 = "","",Table!B2846)</f>
        <v/>
      </c>
      <c r="C2846" s="31" t="str">
        <f>IF(Table!C2846 = "","",Table!C2846)</f>
        <v/>
      </c>
      <c r="D2846" s="32" t="str">
        <f>IF(Table!D2846 = "","",Table!D2846)</f>
        <v/>
      </c>
      <c r="E2846" s="32" t="str">
        <f>IF(Table!E2846 = "","",Table!E2846)</f>
        <v/>
      </c>
      <c r="F2846" s="32" t="str">
        <f>IF(Table!F2846 = "","",Table!F2846)</f>
        <v/>
      </c>
      <c r="G2846" s="91"/>
      <c r="K2846" s="31" t="str">
        <f>IFERROR(VLOOKUP(A2846,Table!$I$4:$O$3000,1,TRUE),"")</f>
        <v/>
      </c>
      <c r="L2846" s="31" t="str">
        <f>IFERROR(INDEX(Table!I:O,MATCH(K2846,Table!I:I,0),2),"")</f>
        <v/>
      </c>
      <c r="M2846" s="31" t="str">
        <f>IFERROR(INDEX(Table!I:O,MATCH(K2846,Table!I:I,0),3),"")</f>
        <v/>
      </c>
      <c r="N2846" s="32" t="str">
        <f>IFERROR(INDEX(Table!I:O,MATCH(K2846,Table!I:I,0),4),"")</f>
        <v/>
      </c>
      <c r="O2846" s="32" t="str">
        <f>IFERROR(INDEX(Table!I:O,MATCH(K2846,Table!I:I,0),5),"")</f>
        <v/>
      </c>
      <c r="P2846" s="32" t="str">
        <f>IFERROR(INDEX(Table!I:O,MATCH(K2846,Table!I:I,0),6),"")</f>
        <v/>
      </c>
      <c r="Q2846" s="89" t="str">
        <f t="shared" si="122"/>
        <v/>
      </c>
      <c r="R2846" s="89" t="str">
        <f t="shared" si="123"/>
        <v/>
      </c>
      <c r="S2846" s="82"/>
    </row>
    <row r="2847" spans="1:19" x14ac:dyDescent="0.25">
      <c r="A2847" s="31" t="str">
        <f>IF(Table!A2847 = "","",Table!A2847)</f>
        <v/>
      </c>
      <c r="B2847" s="31" t="str">
        <f>IF(Table!B2847 = "","",Table!B2847)</f>
        <v/>
      </c>
      <c r="C2847" s="31" t="str">
        <f>IF(Table!C2847 = "","",Table!C2847)</f>
        <v/>
      </c>
      <c r="D2847" s="32" t="str">
        <f>IF(Table!D2847 = "","",Table!D2847)</f>
        <v/>
      </c>
      <c r="E2847" s="32" t="str">
        <f>IF(Table!E2847 = "","",Table!E2847)</f>
        <v/>
      </c>
      <c r="F2847" s="32" t="str">
        <f>IF(Table!F2847 = "","",Table!F2847)</f>
        <v/>
      </c>
      <c r="G2847" s="91"/>
      <c r="K2847" s="31" t="str">
        <f>IFERROR(VLOOKUP(A2847,Table!$I$4:$O$3000,1,TRUE),"")</f>
        <v/>
      </c>
      <c r="L2847" s="31" t="str">
        <f>IFERROR(INDEX(Table!I:O,MATCH(K2847,Table!I:I,0),2),"")</f>
        <v/>
      </c>
      <c r="M2847" s="31" t="str">
        <f>IFERROR(INDEX(Table!I:O,MATCH(K2847,Table!I:I,0),3),"")</f>
        <v/>
      </c>
      <c r="N2847" s="32" t="str">
        <f>IFERROR(INDEX(Table!I:O,MATCH(K2847,Table!I:I,0),4),"")</f>
        <v/>
      </c>
      <c r="O2847" s="32" t="str">
        <f>IFERROR(INDEX(Table!I:O,MATCH(K2847,Table!I:I,0),5),"")</f>
        <v/>
      </c>
      <c r="P2847" s="32" t="str">
        <f>IFERROR(INDEX(Table!I:O,MATCH(K2847,Table!I:I,0),6),"")</f>
        <v/>
      </c>
      <c r="Q2847" s="89" t="str">
        <f t="shared" si="122"/>
        <v/>
      </c>
      <c r="R2847" s="89" t="str">
        <f t="shared" si="123"/>
        <v/>
      </c>
      <c r="S2847" s="82"/>
    </row>
    <row r="2848" spans="1:19" x14ac:dyDescent="0.25">
      <c r="A2848" s="31" t="str">
        <f>IF(Table!A2848 = "","",Table!A2848)</f>
        <v/>
      </c>
      <c r="B2848" s="31" t="str">
        <f>IF(Table!B2848 = "","",Table!B2848)</f>
        <v/>
      </c>
      <c r="C2848" s="31" t="str">
        <f>IF(Table!C2848 = "","",Table!C2848)</f>
        <v/>
      </c>
      <c r="D2848" s="32" t="str">
        <f>IF(Table!D2848 = "","",Table!D2848)</f>
        <v/>
      </c>
      <c r="E2848" s="32" t="str">
        <f>IF(Table!E2848 = "","",Table!E2848)</f>
        <v/>
      </c>
      <c r="F2848" s="32" t="str">
        <f>IF(Table!F2848 = "","",Table!F2848)</f>
        <v/>
      </c>
      <c r="G2848" s="91"/>
      <c r="K2848" s="31" t="str">
        <f>IFERROR(VLOOKUP(A2848,Table!$I$4:$O$3000,1,TRUE),"")</f>
        <v/>
      </c>
      <c r="L2848" s="31" t="str">
        <f>IFERROR(INDEX(Table!I:O,MATCH(K2848,Table!I:I,0),2),"")</f>
        <v/>
      </c>
      <c r="M2848" s="31" t="str">
        <f>IFERROR(INDEX(Table!I:O,MATCH(K2848,Table!I:I,0),3),"")</f>
        <v/>
      </c>
      <c r="N2848" s="32" t="str">
        <f>IFERROR(INDEX(Table!I:O,MATCH(K2848,Table!I:I,0),4),"")</f>
        <v/>
      </c>
      <c r="O2848" s="32" t="str">
        <f>IFERROR(INDEX(Table!I:O,MATCH(K2848,Table!I:I,0),5),"")</f>
        <v/>
      </c>
      <c r="P2848" s="32" t="str">
        <f>IFERROR(INDEX(Table!I:O,MATCH(K2848,Table!I:I,0),6),"")</f>
        <v/>
      </c>
      <c r="Q2848" s="89" t="str">
        <f t="shared" si="122"/>
        <v/>
      </c>
      <c r="R2848" s="89" t="str">
        <f t="shared" si="123"/>
        <v/>
      </c>
      <c r="S2848" s="82"/>
    </row>
    <row r="2849" spans="1:19" x14ac:dyDescent="0.25">
      <c r="A2849" s="31" t="str">
        <f>IF(Table!A2849 = "","",Table!A2849)</f>
        <v/>
      </c>
      <c r="B2849" s="31" t="str">
        <f>IF(Table!B2849 = "","",Table!B2849)</f>
        <v/>
      </c>
      <c r="C2849" s="31" t="str">
        <f>IF(Table!C2849 = "","",Table!C2849)</f>
        <v/>
      </c>
      <c r="D2849" s="32" t="str">
        <f>IF(Table!D2849 = "","",Table!D2849)</f>
        <v/>
      </c>
      <c r="E2849" s="32" t="str">
        <f>IF(Table!E2849 = "","",Table!E2849)</f>
        <v/>
      </c>
      <c r="F2849" s="32" t="str">
        <f>IF(Table!F2849 = "","",Table!F2849)</f>
        <v/>
      </c>
      <c r="G2849" s="91"/>
      <c r="K2849" s="31" t="str">
        <f>IFERROR(VLOOKUP(A2849,Table!$I$4:$O$3000,1,TRUE),"")</f>
        <v/>
      </c>
      <c r="L2849" s="31" t="str">
        <f>IFERROR(INDEX(Table!I:O,MATCH(K2849,Table!I:I,0),2),"")</f>
        <v/>
      </c>
      <c r="M2849" s="31" t="str">
        <f>IFERROR(INDEX(Table!I:O,MATCH(K2849,Table!I:I,0),3),"")</f>
        <v/>
      </c>
      <c r="N2849" s="32" t="str">
        <f>IFERROR(INDEX(Table!I:O,MATCH(K2849,Table!I:I,0),4),"")</f>
        <v/>
      </c>
      <c r="O2849" s="32" t="str">
        <f>IFERROR(INDEX(Table!I:O,MATCH(K2849,Table!I:I,0),5),"")</f>
        <v/>
      </c>
      <c r="P2849" s="32" t="str">
        <f>IFERROR(INDEX(Table!I:O,MATCH(K2849,Table!I:I,0),6),"")</f>
        <v/>
      </c>
      <c r="Q2849" s="89" t="str">
        <f t="shared" si="122"/>
        <v/>
      </c>
      <c r="R2849" s="89" t="str">
        <f t="shared" si="123"/>
        <v/>
      </c>
      <c r="S2849" s="82"/>
    </row>
    <row r="2850" spans="1:19" x14ac:dyDescent="0.25">
      <c r="A2850" s="31" t="str">
        <f>IF(Table!A2850 = "","",Table!A2850)</f>
        <v/>
      </c>
      <c r="B2850" s="31" t="str">
        <f>IF(Table!B2850 = "","",Table!B2850)</f>
        <v/>
      </c>
      <c r="C2850" s="31" t="str">
        <f>IF(Table!C2850 = "","",Table!C2850)</f>
        <v/>
      </c>
      <c r="D2850" s="32" t="str">
        <f>IF(Table!D2850 = "","",Table!D2850)</f>
        <v/>
      </c>
      <c r="E2850" s="32" t="str">
        <f>IF(Table!E2850 = "","",Table!E2850)</f>
        <v/>
      </c>
      <c r="F2850" s="32" t="str">
        <f>IF(Table!F2850 = "","",Table!F2850)</f>
        <v/>
      </c>
      <c r="G2850" s="91"/>
      <c r="K2850" s="31" t="str">
        <f>IFERROR(VLOOKUP(A2850,Table!$I$4:$O$3000,1,TRUE),"")</f>
        <v/>
      </c>
      <c r="L2850" s="31" t="str">
        <f>IFERROR(INDEX(Table!I:O,MATCH(K2850,Table!I:I,0),2),"")</f>
        <v/>
      </c>
      <c r="M2850" s="31" t="str">
        <f>IFERROR(INDEX(Table!I:O,MATCH(K2850,Table!I:I,0),3),"")</f>
        <v/>
      </c>
      <c r="N2850" s="32" t="str">
        <f>IFERROR(INDEX(Table!I:O,MATCH(K2850,Table!I:I,0),4),"")</f>
        <v/>
      </c>
      <c r="O2850" s="32" t="str">
        <f>IFERROR(INDEX(Table!I:O,MATCH(K2850,Table!I:I,0),5),"")</f>
        <v/>
      </c>
      <c r="P2850" s="32" t="str">
        <f>IFERROR(INDEX(Table!I:O,MATCH(K2850,Table!I:I,0),6),"")</f>
        <v/>
      </c>
      <c r="Q2850" s="89" t="str">
        <f t="shared" si="122"/>
        <v/>
      </c>
      <c r="R2850" s="89" t="str">
        <f t="shared" si="123"/>
        <v/>
      </c>
      <c r="S2850" s="82"/>
    </row>
    <row r="2851" spans="1:19" x14ac:dyDescent="0.25">
      <c r="A2851" s="31" t="str">
        <f>IF(Table!A2851 = "","",Table!A2851)</f>
        <v/>
      </c>
      <c r="B2851" s="31" t="str">
        <f>IF(Table!B2851 = "","",Table!B2851)</f>
        <v/>
      </c>
      <c r="C2851" s="31" t="str">
        <f>IF(Table!C2851 = "","",Table!C2851)</f>
        <v/>
      </c>
      <c r="D2851" s="32" t="str">
        <f>IF(Table!D2851 = "","",Table!D2851)</f>
        <v/>
      </c>
      <c r="E2851" s="32" t="str">
        <f>IF(Table!E2851 = "","",Table!E2851)</f>
        <v/>
      </c>
      <c r="F2851" s="32" t="str">
        <f>IF(Table!F2851 = "","",Table!F2851)</f>
        <v/>
      </c>
      <c r="G2851" s="91"/>
      <c r="K2851" s="31" t="str">
        <f>IFERROR(VLOOKUP(A2851,Table!$I$4:$O$3000,1,TRUE),"")</f>
        <v/>
      </c>
      <c r="L2851" s="31" t="str">
        <f>IFERROR(INDEX(Table!I:O,MATCH(K2851,Table!I:I,0),2),"")</f>
        <v/>
      </c>
      <c r="M2851" s="31" t="str">
        <f>IFERROR(INDEX(Table!I:O,MATCH(K2851,Table!I:I,0),3),"")</f>
        <v/>
      </c>
      <c r="N2851" s="32" t="str">
        <f>IFERROR(INDEX(Table!I:O,MATCH(K2851,Table!I:I,0),4),"")</f>
        <v/>
      </c>
      <c r="O2851" s="32" t="str">
        <f>IFERROR(INDEX(Table!I:O,MATCH(K2851,Table!I:I,0),5),"")</f>
        <v/>
      </c>
      <c r="P2851" s="32" t="str">
        <f>IFERROR(INDEX(Table!I:O,MATCH(K2851,Table!I:I,0),6),"")</f>
        <v/>
      </c>
      <c r="Q2851" s="89" t="str">
        <f t="shared" si="122"/>
        <v/>
      </c>
      <c r="R2851" s="89" t="str">
        <f t="shared" si="123"/>
        <v/>
      </c>
      <c r="S2851" s="82"/>
    </row>
    <row r="2852" spans="1:19" x14ac:dyDescent="0.25">
      <c r="A2852" s="31" t="str">
        <f>IF(Table!A2852 = "","",Table!A2852)</f>
        <v/>
      </c>
      <c r="B2852" s="31" t="str">
        <f>IF(Table!B2852 = "","",Table!B2852)</f>
        <v/>
      </c>
      <c r="C2852" s="31" t="str">
        <f>IF(Table!C2852 = "","",Table!C2852)</f>
        <v/>
      </c>
      <c r="D2852" s="32" t="str">
        <f>IF(Table!D2852 = "","",Table!D2852)</f>
        <v/>
      </c>
      <c r="E2852" s="32" t="str">
        <f>IF(Table!E2852 = "","",Table!E2852)</f>
        <v/>
      </c>
      <c r="F2852" s="32" t="str">
        <f>IF(Table!F2852 = "","",Table!F2852)</f>
        <v/>
      </c>
      <c r="G2852" s="91"/>
      <c r="K2852" s="31" t="str">
        <f>IFERROR(VLOOKUP(A2852,Table!$I$4:$O$3000,1,TRUE),"")</f>
        <v/>
      </c>
      <c r="L2852" s="31" t="str">
        <f>IFERROR(INDEX(Table!I:O,MATCH(K2852,Table!I:I,0),2),"")</f>
        <v/>
      </c>
      <c r="M2852" s="31" t="str">
        <f>IFERROR(INDEX(Table!I:O,MATCH(K2852,Table!I:I,0),3),"")</f>
        <v/>
      </c>
      <c r="N2852" s="32" t="str">
        <f>IFERROR(INDEX(Table!I:O,MATCH(K2852,Table!I:I,0),4),"")</f>
        <v/>
      </c>
      <c r="O2852" s="32" t="str">
        <f>IFERROR(INDEX(Table!I:O,MATCH(K2852,Table!I:I,0),5),"")</f>
        <v/>
      </c>
      <c r="P2852" s="32" t="str">
        <f>IFERROR(INDEX(Table!I:O,MATCH(K2852,Table!I:I,0),6),"")</f>
        <v/>
      </c>
      <c r="Q2852" s="89" t="str">
        <f t="shared" si="122"/>
        <v/>
      </c>
      <c r="R2852" s="89" t="str">
        <f t="shared" si="123"/>
        <v/>
      </c>
      <c r="S2852" s="82"/>
    </row>
    <row r="2853" spans="1:19" x14ac:dyDescent="0.25">
      <c r="A2853" s="31" t="str">
        <f>IF(Table!A2853 = "","",Table!A2853)</f>
        <v/>
      </c>
      <c r="B2853" s="31" t="str">
        <f>IF(Table!B2853 = "","",Table!B2853)</f>
        <v/>
      </c>
      <c r="C2853" s="31" t="str">
        <f>IF(Table!C2853 = "","",Table!C2853)</f>
        <v/>
      </c>
      <c r="D2853" s="32" t="str">
        <f>IF(Table!D2853 = "","",Table!D2853)</f>
        <v/>
      </c>
      <c r="E2853" s="32" t="str">
        <f>IF(Table!E2853 = "","",Table!E2853)</f>
        <v/>
      </c>
      <c r="F2853" s="32" t="str">
        <f>IF(Table!F2853 = "","",Table!F2853)</f>
        <v/>
      </c>
      <c r="G2853" s="91"/>
      <c r="K2853" s="31" t="str">
        <f>IFERROR(VLOOKUP(A2853,Table!$I$4:$O$3000,1,TRUE),"")</f>
        <v/>
      </c>
      <c r="L2853" s="31" t="str">
        <f>IFERROR(INDEX(Table!I:O,MATCH(K2853,Table!I:I,0),2),"")</f>
        <v/>
      </c>
      <c r="M2853" s="31" t="str">
        <f>IFERROR(INDEX(Table!I:O,MATCH(K2853,Table!I:I,0),3),"")</f>
        <v/>
      </c>
      <c r="N2853" s="32" t="str">
        <f>IFERROR(INDEX(Table!I:O,MATCH(K2853,Table!I:I,0),4),"")</f>
        <v/>
      </c>
      <c r="O2853" s="32" t="str">
        <f>IFERROR(INDEX(Table!I:O,MATCH(K2853,Table!I:I,0),5),"")</f>
        <v/>
      </c>
      <c r="P2853" s="32" t="str">
        <f>IFERROR(INDEX(Table!I:O,MATCH(K2853,Table!I:I,0),6),"")</f>
        <v/>
      </c>
      <c r="Q2853" s="89" t="str">
        <f t="shared" si="122"/>
        <v/>
      </c>
      <c r="R2853" s="89" t="str">
        <f t="shared" si="123"/>
        <v/>
      </c>
      <c r="S2853" s="82"/>
    </row>
    <row r="2854" spans="1:19" x14ac:dyDescent="0.25">
      <c r="A2854" s="31" t="str">
        <f>IF(Table!A2854 = "","",Table!A2854)</f>
        <v/>
      </c>
      <c r="B2854" s="31" t="str">
        <f>IF(Table!B2854 = "","",Table!B2854)</f>
        <v/>
      </c>
      <c r="C2854" s="31" t="str">
        <f>IF(Table!C2854 = "","",Table!C2854)</f>
        <v/>
      </c>
      <c r="D2854" s="32" t="str">
        <f>IF(Table!D2854 = "","",Table!D2854)</f>
        <v/>
      </c>
      <c r="E2854" s="32" t="str">
        <f>IF(Table!E2854 = "","",Table!E2854)</f>
        <v/>
      </c>
      <c r="F2854" s="32" t="str">
        <f>IF(Table!F2854 = "","",Table!F2854)</f>
        <v/>
      </c>
      <c r="G2854" s="91"/>
      <c r="K2854" s="31" t="str">
        <f>IFERROR(VLOOKUP(A2854,Table!$I$4:$O$3000,1,TRUE),"")</f>
        <v/>
      </c>
      <c r="L2854" s="31" t="str">
        <f>IFERROR(INDEX(Table!I:O,MATCH(K2854,Table!I:I,0),2),"")</f>
        <v/>
      </c>
      <c r="M2854" s="31" t="str">
        <f>IFERROR(INDEX(Table!I:O,MATCH(K2854,Table!I:I,0),3),"")</f>
        <v/>
      </c>
      <c r="N2854" s="32" t="str">
        <f>IFERROR(INDEX(Table!I:O,MATCH(K2854,Table!I:I,0),4),"")</f>
        <v/>
      </c>
      <c r="O2854" s="32" t="str">
        <f>IFERROR(INDEX(Table!I:O,MATCH(K2854,Table!I:I,0),5),"")</f>
        <v/>
      </c>
      <c r="P2854" s="32" t="str">
        <f>IFERROR(INDEX(Table!I:O,MATCH(K2854,Table!I:I,0),6),"")</f>
        <v/>
      </c>
      <c r="Q2854" s="89" t="str">
        <f t="shared" si="122"/>
        <v/>
      </c>
      <c r="R2854" s="89" t="str">
        <f t="shared" si="123"/>
        <v/>
      </c>
      <c r="S2854" s="82"/>
    </row>
    <row r="2855" spans="1:19" x14ac:dyDescent="0.25">
      <c r="A2855" s="31" t="str">
        <f>IF(Table!A2855 = "","",Table!A2855)</f>
        <v/>
      </c>
      <c r="B2855" s="31" t="str">
        <f>IF(Table!B2855 = "","",Table!B2855)</f>
        <v/>
      </c>
      <c r="C2855" s="31" t="str">
        <f>IF(Table!C2855 = "","",Table!C2855)</f>
        <v/>
      </c>
      <c r="D2855" s="32" t="str">
        <f>IF(Table!D2855 = "","",Table!D2855)</f>
        <v/>
      </c>
      <c r="E2855" s="32" t="str">
        <f>IF(Table!E2855 = "","",Table!E2855)</f>
        <v/>
      </c>
      <c r="F2855" s="32" t="str">
        <f>IF(Table!F2855 = "","",Table!F2855)</f>
        <v/>
      </c>
      <c r="G2855" s="91"/>
      <c r="K2855" s="31" t="str">
        <f>IFERROR(VLOOKUP(A2855,Table!$I$4:$O$3000,1,TRUE),"")</f>
        <v/>
      </c>
      <c r="L2855" s="31" t="str">
        <f>IFERROR(INDEX(Table!I:O,MATCH(K2855,Table!I:I,0),2),"")</f>
        <v/>
      </c>
      <c r="M2855" s="31" t="str">
        <f>IFERROR(INDEX(Table!I:O,MATCH(K2855,Table!I:I,0),3),"")</f>
        <v/>
      </c>
      <c r="N2855" s="32" t="str">
        <f>IFERROR(INDEX(Table!I:O,MATCH(K2855,Table!I:I,0),4),"")</f>
        <v/>
      </c>
      <c r="O2855" s="32" t="str">
        <f>IFERROR(INDEX(Table!I:O,MATCH(K2855,Table!I:I,0),5),"")</f>
        <v/>
      </c>
      <c r="P2855" s="32" t="str">
        <f>IFERROR(INDEX(Table!I:O,MATCH(K2855,Table!I:I,0),6),"")</f>
        <v/>
      </c>
      <c r="Q2855" s="89" t="str">
        <f t="shared" si="122"/>
        <v/>
      </c>
      <c r="R2855" s="89" t="str">
        <f t="shared" si="123"/>
        <v/>
      </c>
      <c r="S2855" s="82"/>
    </row>
    <row r="2856" spans="1:19" x14ac:dyDescent="0.25">
      <c r="A2856" s="31" t="str">
        <f>IF(Table!A2856 = "","",Table!A2856)</f>
        <v/>
      </c>
      <c r="B2856" s="31" t="str">
        <f>IF(Table!B2856 = "","",Table!B2856)</f>
        <v/>
      </c>
      <c r="C2856" s="31" t="str">
        <f>IF(Table!C2856 = "","",Table!C2856)</f>
        <v/>
      </c>
      <c r="D2856" s="32" t="str">
        <f>IF(Table!D2856 = "","",Table!D2856)</f>
        <v/>
      </c>
      <c r="E2856" s="32" t="str">
        <f>IF(Table!E2856 = "","",Table!E2856)</f>
        <v/>
      </c>
      <c r="F2856" s="32" t="str">
        <f>IF(Table!F2856 = "","",Table!F2856)</f>
        <v/>
      </c>
      <c r="G2856" s="91"/>
      <c r="K2856" s="31" t="str">
        <f>IFERROR(VLOOKUP(A2856,Table!$I$4:$O$3000,1,TRUE),"")</f>
        <v/>
      </c>
      <c r="L2856" s="31" t="str">
        <f>IFERROR(INDEX(Table!I:O,MATCH(K2856,Table!I:I,0),2),"")</f>
        <v/>
      </c>
      <c r="M2856" s="31" t="str">
        <f>IFERROR(INDEX(Table!I:O,MATCH(K2856,Table!I:I,0),3),"")</f>
        <v/>
      </c>
      <c r="N2856" s="32" t="str">
        <f>IFERROR(INDEX(Table!I:O,MATCH(K2856,Table!I:I,0),4),"")</f>
        <v/>
      </c>
      <c r="O2856" s="32" t="str">
        <f>IFERROR(INDEX(Table!I:O,MATCH(K2856,Table!I:I,0),5),"")</f>
        <v/>
      </c>
      <c r="P2856" s="32" t="str">
        <f>IFERROR(INDEX(Table!I:O,MATCH(K2856,Table!I:I,0),6),"")</f>
        <v/>
      </c>
      <c r="Q2856" s="89" t="str">
        <f t="shared" si="122"/>
        <v/>
      </c>
      <c r="R2856" s="89" t="str">
        <f t="shared" si="123"/>
        <v/>
      </c>
      <c r="S2856" s="82"/>
    </row>
    <row r="2857" spans="1:19" x14ac:dyDescent="0.25">
      <c r="A2857" s="31" t="str">
        <f>IF(Table!A2857 = "","",Table!A2857)</f>
        <v/>
      </c>
      <c r="B2857" s="31" t="str">
        <f>IF(Table!B2857 = "","",Table!B2857)</f>
        <v/>
      </c>
      <c r="C2857" s="31" t="str">
        <f>IF(Table!C2857 = "","",Table!C2857)</f>
        <v/>
      </c>
      <c r="D2857" s="32" t="str">
        <f>IF(Table!D2857 = "","",Table!D2857)</f>
        <v/>
      </c>
      <c r="E2857" s="32" t="str">
        <f>IF(Table!E2857 = "","",Table!E2857)</f>
        <v/>
      </c>
      <c r="F2857" s="32" t="str">
        <f>IF(Table!F2857 = "","",Table!F2857)</f>
        <v/>
      </c>
      <c r="G2857" s="91"/>
      <c r="K2857" s="31" t="str">
        <f>IFERROR(VLOOKUP(A2857,Table!$I$4:$O$3000,1,TRUE),"")</f>
        <v/>
      </c>
      <c r="L2857" s="31" t="str">
        <f>IFERROR(INDEX(Table!I:O,MATCH(K2857,Table!I:I,0),2),"")</f>
        <v/>
      </c>
      <c r="M2857" s="31" t="str">
        <f>IFERROR(INDEX(Table!I:O,MATCH(K2857,Table!I:I,0),3),"")</f>
        <v/>
      </c>
      <c r="N2857" s="32" t="str">
        <f>IFERROR(INDEX(Table!I:O,MATCH(K2857,Table!I:I,0),4),"")</f>
        <v/>
      </c>
      <c r="O2857" s="32" t="str">
        <f>IFERROR(INDEX(Table!I:O,MATCH(K2857,Table!I:I,0),5),"")</f>
        <v/>
      </c>
      <c r="P2857" s="32" t="str">
        <f>IFERROR(INDEX(Table!I:O,MATCH(K2857,Table!I:I,0),6),"")</f>
        <v/>
      </c>
      <c r="Q2857" s="89" t="str">
        <f t="shared" si="122"/>
        <v/>
      </c>
      <c r="R2857" s="89" t="str">
        <f t="shared" si="123"/>
        <v/>
      </c>
      <c r="S2857" s="82"/>
    </row>
    <row r="2858" spans="1:19" x14ac:dyDescent="0.25">
      <c r="A2858" s="31" t="str">
        <f>IF(Table!A2858 = "","",Table!A2858)</f>
        <v/>
      </c>
      <c r="B2858" s="31" t="str">
        <f>IF(Table!B2858 = "","",Table!B2858)</f>
        <v/>
      </c>
      <c r="C2858" s="31" t="str">
        <f>IF(Table!C2858 = "","",Table!C2858)</f>
        <v/>
      </c>
      <c r="D2858" s="32" t="str">
        <f>IF(Table!D2858 = "","",Table!D2858)</f>
        <v/>
      </c>
      <c r="E2858" s="32" t="str">
        <f>IF(Table!E2858 = "","",Table!E2858)</f>
        <v/>
      </c>
      <c r="F2858" s="32" t="str">
        <f>IF(Table!F2858 = "","",Table!F2858)</f>
        <v/>
      </c>
      <c r="G2858" s="91"/>
      <c r="K2858" s="31" t="str">
        <f>IFERROR(VLOOKUP(A2858,Table!$I$4:$O$3000,1,TRUE),"")</f>
        <v/>
      </c>
      <c r="L2858" s="31" t="str">
        <f>IFERROR(INDEX(Table!I:O,MATCH(K2858,Table!I:I,0),2),"")</f>
        <v/>
      </c>
      <c r="M2858" s="31" t="str">
        <f>IFERROR(INDEX(Table!I:O,MATCH(K2858,Table!I:I,0),3),"")</f>
        <v/>
      </c>
      <c r="N2858" s="32" t="str">
        <f>IFERROR(INDEX(Table!I:O,MATCH(K2858,Table!I:I,0),4),"")</f>
        <v/>
      </c>
      <c r="O2858" s="32" t="str">
        <f>IFERROR(INDEX(Table!I:O,MATCH(K2858,Table!I:I,0),5),"")</f>
        <v/>
      </c>
      <c r="P2858" s="32" t="str">
        <f>IFERROR(INDEX(Table!I:O,MATCH(K2858,Table!I:I,0),6),"")</f>
        <v/>
      </c>
      <c r="Q2858" s="89" t="str">
        <f t="shared" si="122"/>
        <v/>
      </c>
      <c r="R2858" s="89" t="str">
        <f t="shared" si="123"/>
        <v/>
      </c>
      <c r="S2858" s="82"/>
    </row>
    <row r="2859" spans="1:19" x14ac:dyDescent="0.25">
      <c r="A2859" s="31" t="str">
        <f>IF(Table!A2859 = "","",Table!A2859)</f>
        <v/>
      </c>
      <c r="B2859" s="31" t="str">
        <f>IF(Table!B2859 = "","",Table!B2859)</f>
        <v/>
      </c>
      <c r="C2859" s="31" t="str">
        <f>IF(Table!C2859 = "","",Table!C2859)</f>
        <v/>
      </c>
      <c r="D2859" s="32" t="str">
        <f>IF(Table!D2859 = "","",Table!D2859)</f>
        <v/>
      </c>
      <c r="E2859" s="32" t="str">
        <f>IF(Table!E2859 = "","",Table!E2859)</f>
        <v/>
      </c>
      <c r="F2859" s="32" t="str">
        <f>IF(Table!F2859 = "","",Table!F2859)</f>
        <v/>
      </c>
      <c r="G2859" s="91"/>
      <c r="K2859" s="31" t="str">
        <f>IFERROR(VLOOKUP(A2859,Table!$I$4:$O$3000,1,TRUE),"")</f>
        <v/>
      </c>
      <c r="L2859" s="31" t="str">
        <f>IFERROR(INDEX(Table!I:O,MATCH(K2859,Table!I:I,0),2),"")</f>
        <v/>
      </c>
      <c r="M2859" s="31" t="str">
        <f>IFERROR(INDEX(Table!I:O,MATCH(K2859,Table!I:I,0),3),"")</f>
        <v/>
      </c>
      <c r="N2859" s="32" t="str">
        <f>IFERROR(INDEX(Table!I:O,MATCH(K2859,Table!I:I,0),4),"")</f>
        <v/>
      </c>
      <c r="O2859" s="32" t="str">
        <f>IFERROR(INDEX(Table!I:O,MATCH(K2859,Table!I:I,0),5),"")</f>
        <v/>
      </c>
      <c r="P2859" s="32" t="str">
        <f>IFERROR(INDEX(Table!I:O,MATCH(K2859,Table!I:I,0),6),"")</f>
        <v/>
      </c>
      <c r="Q2859" s="89" t="str">
        <f t="shared" si="122"/>
        <v/>
      </c>
      <c r="R2859" s="89" t="str">
        <f t="shared" si="123"/>
        <v/>
      </c>
      <c r="S2859" s="82"/>
    </row>
    <row r="2860" spans="1:19" x14ac:dyDescent="0.25">
      <c r="A2860" s="31" t="str">
        <f>IF(Table!A2860 = "","",Table!A2860)</f>
        <v/>
      </c>
      <c r="B2860" s="31" t="str">
        <f>IF(Table!B2860 = "","",Table!B2860)</f>
        <v/>
      </c>
      <c r="C2860" s="31" t="str">
        <f>IF(Table!C2860 = "","",Table!C2860)</f>
        <v/>
      </c>
      <c r="D2860" s="32" t="str">
        <f>IF(Table!D2860 = "","",Table!D2860)</f>
        <v/>
      </c>
      <c r="E2860" s="32" t="str">
        <f>IF(Table!E2860 = "","",Table!E2860)</f>
        <v/>
      </c>
      <c r="F2860" s="32" t="str">
        <f>IF(Table!F2860 = "","",Table!F2860)</f>
        <v/>
      </c>
      <c r="G2860" s="91"/>
      <c r="K2860" s="31" t="str">
        <f>IFERROR(VLOOKUP(A2860,Table!$I$4:$O$3000,1,TRUE),"")</f>
        <v/>
      </c>
      <c r="L2860" s="31" t="str">
        <f>IFERROR(INDEX(Table!I:O,MATCH(K2860,Table!I:I,0),2),"")</f>
        <v/>
      </c>
      <c r="M2860" s="31" t="str">
        <f>IFERROR(INDEX(Table!I:O,MATCH(K2860,Table!I:I,0),3),"")</f>
        <v/>
      </c>
      <c r="N2860" s="32" t="str">
        <f>IFERROR(INDEX(Table!I:O,MATCH(K2860,Table!I:I,0),4),"")</f>
        <v/>
      </c>
      <c r="O2860" s="32" t="str">
        <f>IFERROR(INDEX(Table!I:O,MATCH(K2860,Table!I:I,0),5),"")</f>
        <v/>
      </c>
      <c r="P2860" s="32" t="str">
        <f>IFERROR(INDEX(Table!I:O,MATCH(K2860,Table!I:I,0),6),"")</f>
        <v/>
      </c>
      <c r="Q2860" s="89" t="str">
        <f t="shared" si="122"/>
        <v/>
      </c>
      <c r="R2860" s="89" t="str">
        <f t="shared" si="123"/>
        <v/>
      </c>
      <c r="S2860" s="82"/>
    </row>
    <row r="2861" spans="1:19" x14ac:dyDescent="0.25">
      <c r="A2861" s="31" t="str">
        <f>IF(Table!A2861 = "","",Table!A2861)</f>
        <v/>
      </c>
      <c r="B2861" s="31" t="str">
        <f>IF(Table!B2861 = "","",Table!B2861)</f>
        <v/>
      </c>
      <c r="C2861" s="31" t="str">
        <f>IF(Table!C2861 = "","",Table!C2861)</f>
        <v/>
      </c>
      <c r="D2861" s="32" t="str">
        <f>IF(Table!D2861 = "","",Table!D2861)</f>
        <v/>
      </c>
      <c r="E2861" s="32" t="str">
        <f>IF(Table!E2861 = "","",Table!E2861)</f>
        <v/>
      </c>
      <c r="F2861" s="32" t="str">
        <f>IF(Table!F2861 = "","",Table!F2861)</f>
        <v/>
      </c>
      <c r="G2861" s="91"/>
      <c r="K2861" s="31" t="str">
        <f>IFERROR(VLOOKUP(A2861,Table!$I$4:$O$3000,1,TRUE),"")</f>
        <v/>
      </c>
      <c r="L2861" s="31" t="str">
        <f>IFERROR(INDEX(Table!I:O,MATCH(K2861,Table!I:I,0),2),"")</f>
        <v/>
      </c>
      <c r="M2861" s="31" t="str">
        <f>IFERROR(INDEX(Table!I:O,MATCH(K2861,Table!I:I,0),3),"")</f>
        <v/>
      </c>
      <c r="N2861" s="32" t="str">
        <f>IFERROR(INDEX(Table!I:O,MATCH(K2861,Table!I:I,0),4),"")</f>
        <v/>
      </c>
      <c r="O2861" s="32" t="str">
        <f>IFERROR(INDEX(Table!I:O,MATCH(K2861,Table!I:I,0),5),"")</f>
        <v/>
      </c>
      <c r="P2861" s="32" t="str">
        <f>IFERROR(INDEX(Table!I:O,MATCH(K2861,Table!I:I,0),6),"")</f>
        <v/>
      </c>
      <c r="Q2861" s="89" t="str">
        <f t="shared" si="122"/>
        <v/>
      </c>
      <c r="R2861" s="89" t="str">
        <f t="shared" si="123"/>
        <v/>
      </c>
      <c r="S2861" s="82"/>
    </row>
    <row r="2862" spans="1:19" x14ac:dyDescent="0.25">
      <c r="A2862" s="31" t="str">
        <f>IF(Table!A2862 = "","",Table!A2862)</f>
        <v/>
      </c>
      <c r="B2862" s="31" t="str">
        <f>IF(Table!B2862 = "","",Table!B2862)</f>
        <v/>
      </c>
      <c r="C2862" s="31" t="str">
        <f>IF(Table!C2862 = "","",Table!C2862)</f>
        <v/>
      </c>
      <c r="D2862" s="32" t="str">
        <f>IF(Table!D2862 = "","",Table!D2862)</f>
        <v/>
      </c>
      <c r="E2862" s="32" t="str">
        <f>IF(Table!E2862 = "","",Table!E2862)</f>
        <v/>
      </c>
      <c r="F2862" s="32" t="str">
        <f>IF(Table!F2862 = "","",Table!F2862)</f>
        <v/>
      </c>
      <c r="G2862" s="91"/>
      <c r="K2862" s="31" t="str">
        <f>IFERROR(VLOOKUP(A2862,Table!$I$4:$O$3000,1,TRUE),"")</f>
        <v/>
      </c>
      <c r="L2862" s="31" t="str">
        <f>IFERROR(INDEX(Table!I:O,MATCH(K2862,Table!I:I,0),2),"")</f>
        <v/>
      </c>
      <c r="M2862" s="31" t="str">
        <f>IFERROR(INDEX(Table!I:O,MATCH(K2862,Table!I:I,0),3),"")</f>
        <v/>
      </c>
      <c r="N2862" s="32" t="str">
        <f>IFERROR(INDEX(Table!I:O,MATCH(K2862,Table!I:I,0),4),"")</f>
        <v/>
      </c>
      <c r="O2862" s="32" t="str">
        <f>IFERROR(INDEX(Table!I:O,MATCH(K2862,Table!I:I,0),5),"")</f>
        <v/>
      </c>
      <c r="P2862" s="32" t="str">
        <f>IFERROR(INDEX(Table!I:O,MATCH(K2862,Table!I:I,0),6),"")</f>
        <v/>
      </c>
      <c r="Q2862" s="89" t="str">
        <f t="shared" si="122"/>
        <v/>
      </c>
      <c r="R2862" s="89" t="str">
        <f t="shared" si="123"/>
        <v/>
      </c>
      <c r="S2862" s="82"/>
    </row>
    <row r="2863" spans="1:19" x14ac:dyDescent="0.25">
      <c r="A2863" s="31" t="str">
        <f>IF(Table!A2863 = "","",Table!A2863)</f>
        <v/>
      </c>
      <c r="B2863" s="31" t="str">
        <f>IF(Table!B2863 = "","",Table!B2863)</f>
        <v/>
      </c>
      <c r="C2863" s="31" t="str">
        <f>IF(Table!C2863 = "","",Table!C2863)</f>
        <v/>
      </c>
      <c r="D2863" s="32" t="str">
        <f>IF(Table!D2863 = "","",Table!D2863)</f>
        <v/>
      </c>
      <c r="E2863" s="32" t="str">
        <f>IF(Table!E2863 = "","",Table!E2863)</f>
        <v/>
      </c>
      <c r="F2863" s="32" t="str">
        <f>IF(Table!F2863 = "","",Table!F2863)</f>
        <v/>
      </c>
      <c r="G2863" s="91"/>
      <c r="K2863" s="31" t="str">
        <f>IFERROR(VLOOKUP(A2863,Table!$I$4:$O$3000,1,TRUE),"")</f>
        <v/>
      </c>
      <c r="L2863" s="31" t="str">
        <f>IFERROR(INDEX(Table!I:O,MATCH(K2863,Table!I:I,0),2),"")</f>
        <v/>
      </c>
      <c r="M2863" s="31" t="str">
        <f>IFERROR(INDEX(Table!I:O,MATCH(K2863,Table!I:I,0),3),"")</f>
        <v/>
      </c>
      <c r="N2863" s="32" t="str">
        <f>IFERROR(INDEX(Table!I:O,MATCH(K2863,Table!I:I,0),4),"")</f>
        <v/>
      </c>
      <c r="O2863" s="32" t="str">
        <f>IFERROR(INDEX(Table!I:O,MATCH(K2863,Table!I:I,0),5),"")</f>
        <v/>
      </c>
      <c r="P2863" s="32" t="str">
        <f>IFERROR(INDEX(Table!I:O,MATCH(K2863,Table!I:I,0),6),"")</f>
        <v/>
      </c>
      <c r="Q2863" s="89" t="str">
        <f t="shared" si="122"/>
        <v/>
      </c>
      <c r="R2863" s="89" t="str">
        <f t="shared" si="123"/>
        <v/>
      </c>
      <c r="S2863" s="82"/>
    </row>
    <row r="2864" spans="1:19" x14ac:dyDescent="0.25">
      <c r="A2864" s="31" t="str">
        <f>IF(Table!A2864 = "","",Table!A2864)</f>
        <v/>
      </c>
      <c r="B2864" s="31" t="str">
        <f>IF(Table!B2864 = "","",Table!B2864)</f>
        <v/>
      </c>
      <c r="C2864" s="31" t="str">
        <f>IF(Table!C2864 = "","",Table!C2864)</f>
        <v/>
      </c>
      <c r="D2864" s="32" t="str">
        <f>IF(Table!D2864 = "","",Table!D2864)</f>
        <v/>
      </c>
      <c r="E2864" s="32" t="str">
        <f>IF(Table!E2864 = "","",Table!E2864)</f>
        <v/>
      </c>
      <c r="F2864" s="32" t="str">
        <f>IF(Table!F2864 = "","",Table!F2864)</f>
        <v/>
      </c>
      <c r="G2864" s="91"/>
      <c r="K2864" s="31" t="str">
        <f>IFERROR(VLOOKUP(A2864,Table!$I$4:$O$3000,1,TRUE),"")</f>
        <v/>
      </c>
      <c r="L2864" s="31" t="str">
        <f>IFERROR(INDEX(Table!I:O,MATCH(K2864,Table!I:I,0),2),"")</f>
        <v/>
      </c>
      <c r="M2864" s="31" t="str">
        <f>IFERROR(INDEX(Table!I:O,MATCH(K2864,Table!I:I,0),3),"")</f>
        <v/>
      </c>
      <c r="N2864" s="32" t="str">
        <f>IFERROR(INDEX(Table!I:O,MATCH(K2864,Table!I:I,0),4),"")</f>
        <v/>
      </c>
      <c r="O2864" s="32" t="str">
        <f>IFERROR(INDEX(Table!I:O,MATCH(K2864,Table!I:I,0),5),"")</f>
        <v/>
      </c>
      <c r="P2864" s="32" t="str">
        <f>IFERROR(INDEX(Table!I:O,MATCH(K2864,Table!I:I,0),6),"")</f>
        <v/>
      </c>
      <c r="Q2864" s="89" t="str">
        <f t="shared" si="122"/>
        <v/>
      </c>
      <c r="R2864" s="89" t="str">
        <f t="shared" si="123"/>
        <v/>
      </c>
      <c r="S2864" s="82"/>
    </row>
    <row r="2865" spans="1:19" x14ac:dyDescent="0.25">
      <c r="A2865" s="31" t="str">
        <f>IF(Table!A2865 = "","",Table!A2865)</f>
        <v/>
      </c>
      <c r="B2865" s="31" t="str">
        <f>IF(Table!B2865 = "","",Table!B2865)</f>
        <v/>
      </c>
      <c r="C2865" s="31" t="str">
        <f>IF(Table!C2865 = "","",Table!C2865)</f>
        <v/>
      </c>
      <c r="D2865" s="32" t="str">
        <f>IF(Table!D2865 = "","",Table!D2865)</f>
        <v/>
      </c>
      <c r="E2865" s="32" t="str">
        <f>IF(Table!E2865 = "","",Table!E2865)</f>
        <v/>
      </c>
      <c r="F2865" s="32" t="str">
        <f>IF(Table!F2865 = "","",Table!F2865)</f>
        <v/>
      </c>
      <c r="G2865" s="91"/>
      <c r="K2865" s="31" t="str">
        <f>IFERROR(VLOOKUP(A2865,Table!$I$4:$O$3000,1,TRUE),"")</f>
        <v/>
      </c>
      <c r="L2865" s="31" t="str">
        <f>IFERROR(INDEX(Table!I:O,MATCH(K2865,Table!I:I,0),2),"")</f>
        <v/>
      </c>
      <c r="M2865" s="31" t="str">
        <f>IFERROR(INDEX(Table!I:O,MATCH(K2865,Table!I:I,0),3),"")</f>
        <v/>
      </c>
      <c r="N2865" s="32" t="str">
        <f>IFERROR(INDEX(Table!I:O,MATCH(K2865,Table!I:I,0),4),"")</f>
        <v/>
      </c>
      <c r="O2865" s="32" t="str">
        <f>IFERROR(INDEX(Table!I:O,MATCH(K2865,Table!I:I,0),5),"")</f>
        <v/>
      </c>
      <c r="P2865" s="32" t="str">
        <f>IFERROR(INDEX(Table!I:O,MATCH(K2865,Table!I:I,0),6),"")</f>
        <v/>
      </c>
      <c r="Q2865" s="89" t="str">
        <f t="shared" si="122"/>
        <v/>
      </c>
      <c r="R2865" s="89" t="str">
        <f t="shared" si="123"/>
        <v/>
      </c>
      <c r="S2865" s="82"/>
    </row>
    <row r="2866" spans="1:19" x14ac:dyDescent="0.25">
      <c r="A2866" s="31" t="str">
        <f>IF(Table!A2866 = "","",Table!A2866)</f>
        <v/>
      </c>
      <c r="B2866" s="31" t="str">
        <f>IF(Table!B2866 = "","",Table!B2866)</f>
        <v/>
      </c>
      <c r="C2866" s="31" t="str">
        <f>IF(Table!C2866 = "","",Table!C2866)</f>
        <v/>
      </c>
      <c r="D2866" s="32" t="str">
        <f>IF(Table!D2866 = "","",Table!D2866)</f>
        <v/>
      </c>
      <c r="E2866" s="32" t="str">
        <f>IF(Table!E2866 = "","",Table!E2866)</f>
        <v/>
      </c>
      <c r="F2866" s="32" t="str">
        <f>IF(Table!F2866 = "","",Table!F2866)</f>
        <v/>
      </c>
      <c r="G2866" s="91"/>
      <c r="K2866" s="31" t="str">
        <f>IFERROR(VLOOKUP(A2866,Table!$I$4:$O$3000,1,TRUE),"")</f>
        <v/>
      </c>
      <c r="L2866" s="31" t="str">
        <f>IFERROR(INDEX(Table!I:O,MATCH(K2866,Table!I:I,0),2),"")</f>
        <v/>
      </c>
      <c r="M2866" s="31" t="str">
        <f>IFERROR(INDEX(Table!I:O,MATCH(K2866,Table!I:I,0),3),"")</f>
        <v/>
      </c>
      <c r="N2866" s="32" t="str">
        <f>IFERROR(INDEX(Table!I:O,MATCH(K2866,Table!I:I,0),4),"")</f>
        <v/>
      </c>
      <c r="O2866" s="32" t="str">
        <f>IFERROR(INDEX(Table!I:O,MATCH(K2866,Table!I:I,0),5),"")</f>
        <v/>
      </c>
      <c r="P2866" s="32" t="str">
        <f>IFERROR(INDEX(Table!I:O,MATCH(K2866,Table!I:I,0),6),"")</f>
        <v/>
      </c>
      <c r="Q2866" s="89" t="str">
        <f t="shared" si="122"/>
        <v/>
      </c>
      <c r="R2866" s="89" t="str">
        <f t="shared" si="123"/>
        <v/>
      </c>
      <c r="S2866" s="82"/>
    </row>
    <row r="2867" spans="1:19" x14ac:dyDescent="0.25">
      <c r="A2867" s="31" t="str">
        <f>IF(Table!A2867 = "","",Table!A2867)</f>
        <v/>
      </c>
      <c r="B2867" s="31" t="str">
        <f>IF(Table!B2867 = "","",Table!B2867)</f>
        <v/>
      </c>
      <c r="C2867" s="31" t="str">
        <f>IF(Table!C2867 = "","",Table!C2867)</f>
        <v/>
      </c>
      <c r="D2867" s="32" t="str">
        <f>IF(Table!D2867 = "","",Table!D2867)</f>
        <v/>
      </c>
      <c r="E2867" s="32" t="str">
        <f>IF(Table!E2867 = "","",Table!E2867)</f>
        <v/>
      </c>
      <c r="F2867" s="32" t="str">
        <f>IF(Table!F2867 = "","",Table!F2867)</f>
        <v/>
      </c>
      <c r="G2867" s="91"/>
      <c r="K2867" s="31" t="str">
        <f>IFERROR(VLOOKUP(A2867,Table!$I$4:$O$3000,1,TRUE),"")</f>
        <v/>
      </c>
      <c r="L2867" s="31" t="str">
        <f>IFERROR(INDEX(Table!I:O,MATCH(K2867,Table!I:I,0),2),"")</f>
        <v/>
      </c>
      <c r="M2867" s="31" t="str">
        <f>IFERROR(INDEX(Table!I:O,MATCH(K2867,Table!I:I,0),3),"")</f>
        <v/>
      </c>
      <c r="N2867" s="32" t="str">
        <f>IFERROR(INDEX(Table!I:O,MATCH(K2867,Table!I:I,0),4),"")</f>
        <v/>
      </c>
      <c r="O2867" s="32" t="str">
        <f>IFERROR(INDEX(Table!I:O,MATCH(K2867,Table!I:I,0),5),"")</f>
        <v/>
      </c>
      <c r="P2867" s="32" t="str">
        <f>IFERROR(INDEX(Table!I:O,MATCH(K2867,Table!I:I,0),6),"")</f>
        <v/>
      </c>
      <c r="Q2867" s="89" t="str">
        <f t="shared" si="122"/>
        <v/>
      </c>
      <c r="R2867" s="89" t="str">
        <f t="shared" si="123"/>
        <v/>
      </c>
      <c r="S2867" s="82"/>
    </row>
    <row r="2868" spans="1:19" x14ac:dyDescent="0.25">
      <c r="A2868" s="31" t="str">
        <f>IF(Table!A2868 = "","",Table!A2868)</f>
        <v/>
      </c>
      <c r="B2868" s="31" t="str">
        <f>IF(Table!B2868 = "","",Table!B2868)</f>
        <v/>
      </c>
      <c r="C2868" s="31" t="str">
        <f>IF(Table!C2868 = "","",Table!C2868)</f>
        <v/>
      </c>
      <c r="D2868" s="32" t="str">
        <f>IF(Table!D2868 = "","",Table!D2868)</f>
        <v/>
      </c>
      <c r="E2868" s="32" t="str">
        <f>IF(Table!E2868 = "","",Table!E2868)</f>
        <v/>
      </c>
      <c r="F2868" s="32" t="str">
        <f>IF(Table!F2868 = "","",Table!F2868)</f>
        <v/>
      </c>
      <c r="G2868" s="91"/>
      <c r="K2868" s="31" t="str">
        <f>IFERROR(VLOOKUP(A2868,Table!$I$4:$O$3000,1,TRUE),"")</f>
        <v/>
      </c>
      <c r="L2868" s="31" t="str">
        <f>IFERROR(INDEX(Table!I:O,MATCH(K2868,Table!I:I,0),2),"")</f>
        <v/>
      </c>
      <c r="M2868" s="31" t="str">
        <f>IFERROR(INDEX(Table!I:O,MATCH(K2868,Table!I:I,0),3),"")</f>
        <v/>
      </c>
      <c r="N2868" s="32" t="str">
        <f>IFERROR(INDEX(Table!I:O,MATCH(K2868,Table!I:I,0),4),"")</f>
        <v/>
      </c>
      <c r="O2868" s="32" t="str">
        <f>IFERROR(INDEX(Table!I:O,MATCH(K2868,Table!I:I,0),5),"")</f>
        <v/>
      </c>
      <c r="P2868" s="32" t="str">
        <f>IFERROR(INDEX(Table!I:O,MATCH(K2868,Table!I:I,0),6),"")</f>
        <v/>
      </c>
      <c r="Q2868" s="89" t="str">
        <f t="shared" si="122"/>
        <v/>
      </c>
      <c r="R2868" s="89" t="str">
        <f t="shared" si="123"/>
        <v/>
      </c>
      <c r="S2868" s="82"/>
    </row>
    <row r="2869" spans="1:19" x14ac:dyDescent="0.25">
      <c r="A2869" s="31" t="str">
        <f>IF(Table!A2869 = "","",Table!A2869)</f>
        <v/>
      </c>
      <c r="B2869" s="31" t="str">
        <f>IF(Table!B2869 = "","",Table!B2869)</f>
        <v/>
      </c>
      <c r="C2869" s="31" t="str">
        <f>IF(Table!C2869 = "","",Table!C2869)</f>
        <v/>
      </c>
      <c r="D2869" s="32" t="str">
        <f>IF(Table!D2869 = "","",Table!D2869)</f>
        <v/>
      </c>
      <c r="E2869" s="32" t="str">
        <f>IF(Table!E2869 = "","",Table!E2869)</f>
        <v/>
      </c>
      <c r="F2869" s="32" t="str">
        <f>IF(Table!F2869 = "","",Table!F2869)</f>
        <v/>
      </c>
      <c r="G2869" s="91"/>
      <c r="K2869" s="31" t="str">
        <f>IFERROR(VLOOKUP(A2869,Table!$I$4:$O$3000,1,TRUE),"")</f>
        <v/>
      </c>
      <c r="L2869" s="31" t="str">
        <f>IFERROR(INDEX(Table!I:O,MATCH(K2869,Table!I:I,0),2),"")</f>
        <v/>
      </c>
      <c r="M2869" s="31" t="str">
        <f>IFERROR(INDEX(Table!I:O,MATCH(K2869,Table!I:I,0),3),"")</f>
        <v/>
      </c>
      <c r="N2869" s="32" t="str">
        <f>IFERROR(INDEX(Table!I:O,MATCH(K2869,Table!I:I,0),4),"")</f>
        <v/>
      </c>
      <c r="O2869" s="32" t="str">
        <f>IFERROR(INDEX(Table!I:O,MATCH(K2869,Table!I:I,0),5),"")</f>
        <v/>
      </c>
      <c r="P2869" s="32" t="str">
        <f>IFERROR(INDEX(Table!I:O,MATCH(K2869,Table!I:I,0),6),"")</f>
        <v/>
      </c>
      <c r="Q2869" s="89" t="str">
        <f t="shared" si="122"/>
        <v/>
      </c>
      <c r="R2869" s="89" t="str">
        <f t="shared" si="123"/>
        <v/>
      </c>
      <c r="S2869" s="82"/>
    </row>
    <row r="2870" spans="1:19" x14ac:dyDescent="0.25">
      <c r="A2870" s="31" t="str">
        <f>IF(Table!A2870 = "","",Table!A2870)</f>
        <v/>
      </c>
      <c r="B2870" s="31" t="str">
        <f>IF(Table!B2870 = "","",Table!B2870)</f>
        <v/>
      </c>
      <c r="C2870" s="31" t="str">
        <f>IF(Table!C2870 = "","",Table!C2870)</f>
        <v/>
      </c>
      <c r="D2870" s="32" t="str">
        <f>IF(Table!D2870 = "","",Table!D2870)</f>
        <v/>
      </c>
      <c r="E2870" s="32" t="str">
        <f>IF(Table!E2870 = "","",Table!E2870)</f>
        <v/>
      </c>
      <c r="F2870" s="32" t="str">
        <f>IF(Table!F2870 = "","",Table!F2870)</f>
        <v/>
      </c>
      <c r="G2870" s="91"/>
      <c r="K2870" s="31" t="str">
        <f>IFERROR(VLOOKUP(A2870,Table!$I$4:$O$3000,1,TRUE),"")</f>
        <v/>
      </c>
      <c r="L2870" s="31" t="str">
        <f>IFERROR(INDEX(Table!I:O,MATCH(K2870,Table!I:I,0),2),"")</f>
        <v/>
      </c>
      <c r="M2870" s="31" t="str">
        <f>IFERROR(INDEX(Table!I:O,MATCH(K2870,Table!I:I,0),3),"")</f>
        <v/>
      </c>
      <c r="N2870" s="32" t="str">
        <f>IFERROR(INDEX(Table!I:O,MATCH(K2870,Table!I:I,0),4),"")</f>
        <v/>
      </c>
      <c r="O2870" s="32" t="str">
        <f>IFERROR(INDEX(Table!I:O,MATCH(K2870,Table!I:I,0),5),"")</f>
        <v/>
      </c>
      <c r="P2870" s="32" t="str">
        <f>IFERROR(INDEX(Table!I:O,MATCH(K2870,Table!I:I,0),6),"")</f>
        <v/>
      </c>
      <c r="Q2870" s="89" t="str">
        <f t="shared" si="122"/>
        <v/>
      </c>
      <c r="R2870" s="89" t="str">
        <f t="shared" si="123"/>
        <v/>
      </c>
      <c r="S2870" s="82"/>
    </row>
    <row r="2871" spans="1:19" x14ac:dyDescent="0.25">
      <c r="A2871" s="31" t="str">
        <f>IF(Table!A2871 = "","",Table!A2871)</f>
        <v/>
      </c>
      <c r="B2871" s="31" t="str">
        <f>IF(Table!B2871 = "","",Table!B2871)</f>
        <v/>
      </c>
      <c r="C2871" s="31" t="str">
        <f>IF(Table!C2871 = "","",Table!C2871)</f>
        <v/>
      </c>
      <c r="D2871" s="32" t="str">
        <f>IF(Table!D2871 = "","",Table!D2871)</f>
        <v/>
      </c>
      <c r="E2871" s="32" t="str">
        <f>IF(Table!E2871 = "","",Table!E2871)</f>
        <v/>
      </c>
      <c r="F2871" s="32" t="str">
        <f>IF(Table!F2871 = "","",Table!F2871)</f>
        <v/>
      </c>
      <c r="G2871" s="91"/>
      <c r="K2871" s="31" t="str">
        <f>IFERROR(VLOOKUP(A2871,Table!$I$4:$O$3000,1,TRUE),"")</f>
        <v/>
      </c>
      <c r="L2871" s="31" t="str">
        <f>IFERROR(INDEX(Table!I:O,MATCH(K2871,Table!I:I,0),2),"")</f>
        <v/>
      </c>
      <c r="M2871" s="31" t="str">
        <f>IFERROR(INDEX(Table!I:O,MATCH(K2871,Table!I:I,0),3),"")</f>
        <v/>
      </c>
      <c r="N2871" s="32" t="str">
        <f>IFERROR(INDEX(Table!I:O,MATCH(K2871,Table!I:I,0),4),"")</f>
        <v/>
      </c>
      <c r="O2871" s="32" t="str">
        <f>IFERROR(INDEX(Table!I:O,MATCH(K2871,Table!I:I,0),5),"")</f>
        <v/>
      </c>
      <c r="P2871" s="32" t="str">
        <f>IFERROR(INDEX(Table!I:O,MATCH(K2871,Table!I:I,0),6),"")</f>
        <v/>
      </c>
      <c r="Q2871" s="89" t="str">
        <f t="shared" si="122"/>
        <v/>
      </c>
      <c r="R2871" s="89" t="str">
        <f t="shared" si="123"/>
        <v/>
      </c>
      <c r="S2871" s="82"/>
    </row>
    <row r="2872" spans="1:19" x14ac:dyDescent="0.25">
      <c r="A2872" s="31" t="str">
        <f>IF(Table!A2872 = "","",Table!A2872)</f>
        <v/>
      </c>
      <c r="B2872" s="31" t="str">
        <f>IF(Table!B2872 = "","",Table!B2872)</f>
        <v/>
      </c>
      <c r="C2872" s="31" t="str">
        <f>IF(Table!C2872 = "","",Table!C2872)</f>
        <v/>
      </c>
      <c r="D2872" s="32" t="str">
        <f>IF(Table!D2872 = "","",Table!D2872)</f>
        <v/>
      </c>
      <c r="E2872" s="32" t="str">
        <f>IF(Table!E2872 = "","",Table!E2872)</f>
        <v/>
      </c>
      <c r="F2872" s="32" t="str">
        <f>IF(Table!F2872 = "","",Table!F2872)</f>
        <v/>
      </c>
      <c r="G2872" s="91"/>
      <c r="K2872" s="31" t="str">
        <f>IFERROR(VLOOKUP(A2872,Table!$I$4:$O$3000,1,TRUE),"")</f>
        <v/>
      </c>
      <c r="L2872" s="31" t="str">
        <f>IFERROR(INDEX(Table!I:O,MATCH(K2872,Table!I:I,0),2),"")</f>
        <v/>
      </c>
      <c r="M2872" s="31" t="str">
        <f>IFERROR(INDEX(Table!I:O,MATCH(K2872,Table!I:I,0),3),"")</f>
        <v/>
      </c>
      <c r="N2872" s="32" t="str">
        <f>IFERROR(INDEX(Table!I:O,MATCH(K2872,Table!I:I,0),4),"")</f>
        <v/>
      </c>
      <c r="O2872" s="32" t="str">
        <f>IFERROR(INDEX(Table!I:O,MATCH(K2872,Table!I:I,0),5),"")</f>
        <v/>
      </c>
      <c r="P2872" s="32" t="str">
        <f>IFERROR(INDEX(Table!I:O,MATCH(K2872,Table!I:I,0),6),"")</f>
        <v/>
      </c>
      <c r="Q2872" s="89" t="str">
        <f t="shared" si="122"/>
        <v/>
      </c>
      <c r="R2872" s="89" t="str">
        <f t="shared" si="123"/>
        <v/>
      </c>
      <c r="S2872" s="82"/>
    </row>
    <row r="2873" spans="1:19" x14ac:dyDescent="0.25">
      <c r="A2873" s="31" t="str">
        <f>IF(Table!A2873 = "","",Table!A2873)</f>
        <v/>
      </c>
      <c r="B2873" s="31" t="str">
        <f>IF(Table!B2873 = "","",Table!B2873)</f>
        <v/>
      </c>
      <c r="C2873" s="31" t="str">
        <f>IF(Table!C2873 = "","",Table!C2873)</f>
        <v/>
      </c>
      <c r="D2873" s="32" t="str">
        <f>IF(Table!D2873 = "","",Table!D2873)</f>
        <v/>
      </c>
      <c r="E2873" s="32" t="str">
        <f>IF(Table!E2873 = "","",Table!E2873)</f>
        <v/>
      </c>
      <c r="F2873" s="32" t="str">
        <f>IF(Table!F2873 = "","",Table!F2873)</f>
        <v/>
      </c>
      <c r="G2873" s="91"/>
      <c r="K2873" s="31" t="str">
        <f>IFERROR(VLOOKUP(A2873,Table!$I$4:$O$3000,1,TRUE),"")</f>
        <v/>
      </c>
      <c r="L2873" s="31" t="str">
        <f>IFERROR(INDEX(Table!I:O,MATCH(K2873,Table!I:I,0),2),"")</f>
        <v/>
      </c>
      <c r="M2873" s="31" t="str">
        <f>IFERROR(INDEX(Table!I:O,MATCH(K2873,Table!I:I,0),3),"")</f>
        <v/>
      </c>
      <c r="N2873" s="32" t="str">
        <f>IFERROR(INDEX(Table!I:O,MATCH(K2873,Table!I:I,0),4),"")</f>
        <v/>
      </c>
      <c r="O2873" s="32" t="str">
        <f>IFERROR(INDEX(Table!I:O,MATCH(K2873,Table!I:I,0),5),"")</f>
        <v/>
      </c>
      <c r="P2873" s="32" t="str">
        <f>IFERROR(INDEX(Table!I:O,MATCH(K2873,Table!I:I,0),6),"")</f>
        <v/>
      </c>
      <c r="Q2873" s="89" t="str">
        <f t="shared" si="122"/>
        <v/>
      </c>
      <c r="R2873" s="89" t="str">
        <f t="shared" si="123"/>
        <v/>
      </c>
      <c r="S2873" s="82"/>
    </row>
    <row r="2874" spans="1:19" x14ac:dyDescent="0.25">
      <c r="A2874" s="31" t="str">
        <f>IF(Table!A2874 = "","",Table!A2874)</f>
        <v/>
      </c>
      <c r="B2874" s="31" t="str">
        <f>IF(Table!B2874 = "","",Table!B2874)</f>
        <v/>
      </c>
      <c r="C2874" s="31" t="str">
        <f>IF(Table!C2874 = "","",Table!C2874)</f>
        <v/>
      </c>
      <c r="D2874" s="32" t="str">
        <f>IF(Table!D2874 = "","",Table!D2874)</f>
        <v/>
      </c>
      <c r="E2874" s="32" t="str">
        <f>IF(Table!E2874 = "","",Table!E2874)</f>
        <v/>
      </c>
      <c r="F2874" s="32" t="str">
        <f>IF(Table!F2874 = "","",Table!F2874)</f>
        <v/>
      </c>
      <c r="G2874" s="91"/>
      <c r="K2874" s="31" t="str">
        <f>IFERROR(VLOOKUP(A2874,Table!$I$4:$O$3000,1,TRUE),"")</f>
        <v/>
      </c>
      <c r="L2874" s="31" t="str">
        <f>IFERROR(INDEX(Table!I:O,MATCH(K2874,Table!I:I,0),2),"")</f>
        <v/>
      </c>
      <c r="M2874" s="31" t="str">
        <f>IFERROR(INDEX(Table!I:O,MATCH(K2874,Table!I:I,0),3),"")</f>
        <v/>
      </c>
      <c r="N2874" s="32" t="str">
        <f>IFERROR(INDEX(Table!I:O,MATCH(K2874,Table!I:I,0),4),"")</f>
        <v/>
      </c>
      <c r="O2874" s="32" t="str">
        <f>IFERROR(INDEX(Table!I:O,MATCH(K2874,Table!I:I,0),5),"")</f>
        <v/>
      </c>
      <c r="P2874" s="32" t="str">
        <f>IFERROR(INDEX(Table!I:O,MATCH(K2874,Table!I:I,0),6),"")</f>
        <v/>
      </c>
      <c r="Q2874" s="89" t="str">
        <f t="shared" si="122"/>
        <v/>
      </c>
      <c r="R2874" s="89" t="str">
        <f t="shared" si="123"/>
        <v/>
      </c>
      <c r="S2874" s="82"/>
    </row>
    <row r="2875" spans="1:19" x14ac:dyDescent="0.25">
      <c r="A2875" s="31" t="str">
        <f>IF(Table!A2875 = "","",Table!A2875)</f>
        <v/>
      </c>
      <c r="B2875" s="31" t="str">
        <f>IF(Table!B2875 = "","",Table!B2875)</f>
        <v/>
      </c>
      <c r="C2875" s="31" t="str">
        <f>IF(Table!C2875 = "","",Table!C2875)</f>
        <v/>
      </c>
      <c r="D2875" s="32" t="str">
        <f>IF(Table!D2875 = "","",Table!D2875)</f>
        <v/>
      </c>
      <c r="E2875" s="32" t="str">
        <f>IF(Table!E2875 = "","",Table!E2875)</f>
        <v/>
      </c>
      <c r="F2875" s="32" t="str">
        <f>IF(Table!F2875 = "","",Table!F2875)</f>
        <v/>
      </c>
      <c r="G2875" s="91"/>
      <c r="K2875" s="31" t="str">
        <f>IFERROR(VLOOKUP(A2875,Table!$I$4:$O$3000,1,TRUE),"")</f>
        <v/>
      </c>
      <c r="L2875" s="31" t="str">
        <f>IFERROR(INDEX(Table!I:O,MATCH(K2875,Table!I:I,0),2),"")</f>
        <v/>
      </c>
      <c r="M2875" s="31" t="str">
        <f>IFERROR(INDEX(Table!I:O,MATCH(K2875,Table!I:I,0),3),"")</f>
        <v/>
      </c>
      <c r="N2875" s="32" t="str">
        <f>IFERROR(INDEX(Table!I:O,MATCH(K2875,Table!I:I,0),4),"")</f>
        <v/>
      </c>
      <c r="O2875" s="32" t="str">
        <f>IFERROR(INDEX(Table!I:O,MATCH(K2875,Table!I:I,0),5),"")</f>
        <v/>
      </c>
      <c r="P2875" s="32" t="str">
        <f>IFERROR(INDEX(Table!I:O,MATCH(K2875,Table!I:I,0),6),"")</f>
        <v/>
      </c>
      <c r="Q2875" s="89" t="str">
        <f t="shared" si="122"/>
        <v/>
      </c>
      <c r="R2875" s="89" t="str">
        <f t="shared" si="123"/>
        <v/>
      </c>
      <c r="S2875" s="82"/>
    </row>
    <row r="2876" spans="1:19" x14ac:dyDescent="0.25">
      <c r="A2876" s="31" t="str">
        <f>IF(Table!A2876 = "","",Table!A2876)</f>
        <v/>
      </c>
      <c r="B2876" s="31" t="str">
        <f>IF(Table!B2876 = "","",Table!B2876)</f>
        <v/>
      </c>
      <c r="C2876" s="31" t="str">
        <f>IF(Table!C2876 = "","",Table!C2876)</f>
        <v/>
      </c>
      <c r="D2876" s="32" t="str">
        <f>IF(Table!D2876 = "","",Table!D2876)</f>
        <v/>
      </c>
      <c r="E2876" s="32" t="str">
        <f>IF(Table!E2876 = "","",Table!E2876)</f>
        <v/>
      </c>
      <c r="F2876" s="32" t="str">
        <f>IF(Table!F2876 = "","",Table!F2876)</f>
        <v/>
      </c>
      <c r="G2876" s="91"/>
      <c r="K2876" s="31" t="str">
        <f>IFERROR(VLOOKUP(A2876,Table!$I$4:$O$3000,1,TRUE),"")</f>
        <v/>
      </c>
      <c r="L2876" s="31" t="str">
        <f>IFERROR(INDEX(Table!I:O,MATCH(K2876,Table!I:I,0),2),"")</f>
        <v/>
      </c>
      <c r="M2876" s="31" t="str">
        <f>IFERROR(INDEX(Table!I:O,MATCH(K2876,Table!I:I,0),3),"")</f>
        <v/>
      </c>
      <c r="N2876" s="32" t="str">
        <f>IFERROR(INDEX(Table!I:O,MATCH(K2876,Table!I:I,0),4),"")</f>
        <v/>
      </c>
      <c r="O2876" s="32" t="str">
        <f>IFERROR(INDEX(Table!I:O,MATCH(K2876,Table!I:I,0),5),"")</f>
        <v/>
      </c>
      <c r="P2876" s="32" t="str">
        <f>IFERROR(INDEX(Table!I:O,MATCH(K2876,Table!I:I,0),6),"")</f>
        <v/>
      </c>
      <c r="Q2876" s="89" t="str">
        <f t="shared" si="122"/>
        <v/>
      </c>
      <c r="R2876" s="89" t="str">
        <f t="shared" si="123"/>
        <v/>
      </c>
      <c r="S2876" s="82"/>
    </row>
    <row r="2877" spans="1:19" x14ac:dyDescent="0.25">
      <c r="A2877" s="31" t="str">
        <f>IF(Table!A2877 = "","",Table!A2877)</f>
        <v/>
      </c>
      <c r="B2877" s="31" t="str">
        <f>IF(Table!B2877 = "","",Table!B2877)</f>
        <v/>
      </c>
      <c r="C2877" s="31" t="str">
        <f>IF(Table!C2877 = "","",Table!C2877)</f>
        <v/>
      </c>
      <c r="D2877" s="32" t="str">
        <f>IF(Table!D2877 = "","",Table!D2877)</f>
        <v/>
      </c>
      <c r="E2877" s="32" t="str">
        <f>IF(Table!E2877 = "","",Table!E2877)</f>
        <v/>
      </c>
      <c r="F2877" s="32" t="str">
        <f>IF(Table!F2877 = "","",Table!F2877)</f>
        <v/>
      </c>
      <c r="G2877" s="91"/>
      <c r="K2877" s="31" t="str">
        <f>IFERROR(VLOOKUP(A2877,Table!$I$4:$O$3000,1,TRUE),"")</f>
        <v/>
      </c>
      <c r="L2877" s="31" t="str">
        <f>IFERROR(INDEX(Table!I:O,MATCH(K2877,Table!I:I,0),2),"")</f>
        <v/>
      </c>
      <c r="M2877" s="31" t="str">
        <f>IFERROR(INDEX(Table!I:O,MATCH(K2877,Table!I:I,0),3),"")</f>
        <v/>
      </c>
      <c r="N2877" s="32" t="str">
        <f>IFERROR(INDEX(Table!I:O,MATCH(K2877,Table!I:I,0),4),"")</f>
        <v/>
      </c>
      <c r="O2877" s="32" t="str">
        <f>IFERROR(INDEX(Table!I:O,MATCH(K2877,Table!I:I,0),5),"")</f>
        <v/>
      </c>
      <c r="P2877" s="32" t="str">
        <f>IFERROR(INDEX(Table!I:O,MATCH(K2877,Table!I:I,0),6),"")</f>
        <v/>
      </c>
      <c r="Q2877" s="89" t="str">
        <f t="shared" si="122"/>
        <v/>
      </c>
      <c r="R2877" s="89" t="str">
        <f t="shared" si="123"/>
        <v/>
      </c>
      <c r="S2877" s="82"/>
    </row>
    <row r="2878" spans="1:19" x14ac:dyDescent="0.25">
      <c r="A2878" s="31" t="str">
        <f>IF(Table!A2878 = "","",Table!A2878)</f>
        <v/>
      </c>
      <c r="B2878" s="31" t="str">
        <f>IF(Table!B2878 = "","",Table!B2878)</f>
        <v/>
      </c>
      <c r="C2878" s="31" t="str">
        <f>IF(Table!C2878 = "","",Table!C2878)</f>
        <v/>
      </c>
      <c r="D2878" s="32" t="str">
        <f>IF(Table!D2878 = "","",Table!D2878)</f>
        <v/>
      </c>
      <c r="E2878" s="32" t="str">
        <f>IF(Table!E2878 = "","",Table!E2878)</f>
        <v/>
      </c>
      <c r="F2878" s="32" t="str">
        <f>IF(Table!F2878 = "","",Table!F2878)</f>
        <v/>
      </c>
      <c r="G2878" s="91"/>
      <c r="K2878" s="31" t="str">
        <f>IFERROR(VLOOKUP(A2878,Table!$I$4:$O$3000,1,TRUE),"")</f>
        <v/>
      </c>
      <c r="L2878" s="31" t="str">
        <f>IFERROR(INDEX(Table!I:O,MATCH(K2878,Table!I:I,0),2),"")</f>
        <v/>
      </c>
      <c r="M2878" s="31" t="str">
        <f>IFERROR(INDEX(Table!I:O,MATCH(K2878,Table!I:I,0),3),"")</f>
        <v/>
      </c>
      <c r="N2878" s="32" t="str">
        <f>IFERROR(INDEX(Table!I:O,MATCH(K2878,Table!I:I,0),4),"")</f>
        <v/>
      </c>
      <c r="O2878" s="32" t="str">
        <f>IFERROR(INDEX(Table!I:O,MATCH(K2878,Table!I:I,0),5),"")</f>
        <v/>
      </c>
      <c r="P2878" s="32" t="str">
        <f>IFERROR(INDEX(Table!I:O,MATCH(K2878,Table!I:I,0),6),"")</f>
        <v/>
      </c>
      <c r="Q2878" s="89" t="str">
        <f t="shared" si="122"/>
        <v/>
      </c>
      <c r="R2878" s="89" t="str">
        <f t="shared" si="123"/>
        <v/>
      </c>
      <c r="S2878" s="82"/>
    </row>
    <row r="2879" spans="1:19" x14ac:dyDescent="0.25">
      <c r="A2879" s="31" t="str">
        <f>IF(Table!A2879 = "","",Table!A2879)</f>
        <v/>
      </c>
      <c r="B2879" s="31" t="str">
        <f>IF(Table!B2879 = "","",Table!B2879)</f>
        <v/>
      </c>
      <c r="C2879" s="31" t="str">
        <f>IF(Table!C2879 = "","",Table!C2879)</f>
        <v/>
      </c>
      <c r="D2879" s="32" t="str">
        <f>IF(Table!D2879 = "","",Table!D2879)</f>
        <v/>
      </c>
      <c r="E2879" s="32" t="str">
        <f>IF(Table!E2879 = "","",Table!E2879)</f>
        <v/>
      </c>
      <c r="F2879" s="32" t="str">
        <f>IF(Table!F2879 = "","",Table!F2879)</f>
        <v/>
      </c>
      <c r="G2879" s="91"/>
      <c r="K2879" s="31" t="str">
        <f>IFERROR(VLOOKUP(A2879,Table!$I$4:$O$3000,1,TRUE),"")</f>
        <v/>
      </c>
      <c r="L2879" s="31" t="str">
        <f>IFERROR(INDEX(Table!I:O,MATCH(K2879,Table!I:I,0),2),"")</f>
        <v/>
      </c>
      <c r="M2879" s="31" t="str">
        <f>IFERROR(INDEX(Table!I:O,MATCH(K2879,Table!I:I,0),3),"")</f>
        <v/>
      </c>
      <c r="N2879" s="32" t="str">
        <f>IFERROR(INDEX(Table!I:O,MATCH(K2879,Table!I:I,0),4),"")</f>
        <v/>
      </c>
      <c r="O2879" s="32" t="str">
        <f>IFERROR(INDEX(Table!I:O,MATCH(K2879,Table!I:I,0),5),"")</f>
        <v/>
      </c>
      <c r="P2879" s="32" t="str">
        <f>IFERROR(INDEX(Table!I:O,MATCH(K2879,Table!I:I,0),6),"")</f>
        <v/>
      </c>
      <c r="Q2879" s="89" t="str">
        <f t="shared" si="122"/>
        <v/>
      </c>
      <c r="R2879" s="89" t="str">
        <f t="shared" si="123"/>
        <v/>
      </c>
      <c r="S2879" s="82"/>
    </row>
    <row r="2880" spans="1:19" x14ac:dyDescent="0.25">
      <c r="A2880" s="31" t="str">
        <f>IF(Table!A2880 = "","",Table!A2880)</f>
        <v/>
      </c>
      <c r="B2880" s="31" t="str">
        <f>IF(Table!B2880 = "","",Table!B2880)</f>
        <v/>
      </c>
      <c r="C2880" s="31" t="str">
        <f>IF(Table!C2880 = "","",Table!C2880)</f>
        <v/>
      </c>
      <c r="D2880" s="32" t="str">
        <f>IF(Table!D2880 = "","",Table!D2880)</f>
        <v/>
      </c>
      <c r="E2880" s="32" t="str">
        <f>IF(Table!E2880 = "","",Table!E2880)</f>
        <v/>
      </c>
      <c r="F2880" s="32" t="str">
        <f>IF(Table!F2880 = "","",Table!F2880)</f>
        <v/>
      </c>
      <c r="G2880" s="91"/>
      <c r="K2880" s="31" t="str">
        <f>IFERROR(VLOOKUP(A2880,Table!$I$4:$O$3000,1,TRUE),"")</f>
        <v/>
      </c>
      <c r="L2880" s="31" t="str">
        <f>IFERROR(INDEX(Table!I:O,MATCH(K2880,Table!I:I,0),2),"")</f>
        <v/>
      </c>
      <c r="M2880" s="31" t="str">
        <f>IFERROR(INDEX(Table!I:O,MATCH(K2880,Table!I:I,0),3),"")</f>
        <v/>
      </c>
      <c r="N2880" s="32" t="str">
        <f>IFERROR(INDEX(Table!I:O,MATCH(K2880,Table!I:I,0),4),"")</f>
        <v/>
      </c>
      <c r="O2880" s="32" t="str">
        <f>IFERROR(INDEX(Table!I:O,MATCH(K2880,Table!I:I,0),5),"")</f>
        <v/>
      </c>
      <c r="P2880" s="32" t="str">
        <f>IFERROR(INDEX(Table!I:O,MATCH(K2880,Table!I:I,0),6),"")</f>
        <v/>
      </c>
      <c r="Q2880" s="89" t="str">
        <f t="shared" si="122"/>
        <v/>
      </c>
      <c r="R2880" s="89" t="str">
        <f t="shared" si="123"/>
        <v/>
      </c>
      <c r="S2880" s="82"/>
    </row>
    <row r="2881" spans="1:19" x14ac:dyDescent="0.25">
      <c r="A2881" s="31" t="str">
        <f>IF(Table!A2881 = "","",Table!A2881)</f>
        <v/>
      </c>
      <c r="B2881" s="31" t="str">
        <f>IF(Table!B2881 = "","",Table!B2881)</f>
        <v/>
      </c>
      <c r="C2881" s="31" t="str">
        <f>IF(Table!C2881 = "","",Table!C2881)</f>
        <v/>
      </c>
      <c r="D2881" s="32" t="str">
        <f>IF(Table!D2881 = "","",Table!D2881)</f>
        <v/>
      </c>
      <c r="E2881" s="32" t="str">
        <f>IF(Table!E2881 = "","",Table!E2881)</f>
        <v/>
      </c>
      <c r="F2881" s="32" t="str">
        <f>IF(Table!F2881 = "","",Table!F2881)</f>
        <v/>
      </c>
      <c r="G2881" s="91"/>
      <c r="K2881" s="31" t="str">
        <f>IFERROR(VLOOKUP(A2881,Table!$I$4:$O$3000,1,TRUE),"")</f>
        <v/>
      </c>
      <c r="L2881" s="31" t="str">
        <f>IFERROR(INDEX(Table!I:O,MATCH(K2881,Table!I:I,0),2),"")</f>
        <v/>
      </c>
      <c r="M2881" s="31" t="str">
        <f>IFERROR(INDEX(Table!I:O,MATCH(K2881,Table!I:I,0),3),"")</f>
        <v/>
      </c>
      <c r="N2881" s="32" t="str">
        <f>IFERROR(INDEX(Table!I:O,MATCH(K2881,Table!I:I,0),4),"")</f>
        <v/>
      </c>
      <c r="O2881" s="32" t="str">
        <f>IFERROR(INDEX(Table!I:O,MATCH(K2881,Table!I:I,0),5),"")</f>
        <v/>
      </c>
      <c r="P2881" s="32" t="str">
        <f>IFERROR(INDEX(Table!I:O,MATCH(K2881,Table!I:I,0),6),"")</f>
        <v/>
      </c>
      <c r="Q2881" s="89" t="str">
        <f t="shared" si="122"/>
        <v/>
      </c>
      <c r="R2881" s="89" t="str">
        <f t="shared" si="123"/>
        <v/>
      </c>
      <c r="S2881" s="82"/>
    </row>
    <row r="2882" spans="1:19" x14ac:dyDescent="0.25">
      <c r="A2882" s="31" t="str">
        <f>IF(Table!A2882 = "","",Table!A2882)</f>
        <v/>
      </c>
      <c r="B2882" s="31" t="str">
        <f>IF(Table!B2882 = "","",Table!B2882)</f>
        <v/>
      </c>
      <c r="C2882" s="31" t="str">
        <f>IF(Table!C2882 = "","",Table!C2882)</f>
        <v/>
      </c>
      <c r="D2882" s="32" t="str">
        <f>IF(Table!D2882 = "","",Table!D2882)</f>
        <v/>
      </c>
      <c r="E2882" s="32" t="str">
        <f>IF(Table!E2882 = "","",Table!E2882)</f>
        <v/>
      </c>
      <c r="F2882" s="32" t="str">
        <f>IF(Table!F2882 = "","",Table!F2882)</f>
        <v/>
      </c>
      <c r="G2882" s="91"/>
      <c r="K2882" s="31" t="str">
        <f>IFERROR(VLOOKUP(A2882,Table!$I$4:$O$3000,1,TRUE),"")</f>
        <v/>
      </c>
      <c r="L2882" s="31" t="str">
        <f>IFERROR(INDEX(Table!I:O,MATCH(K2882,Table!I:I,0),2),"")</f>
        <v/>
      </c>
      <c r="M2882" s="31" t="str">
        <f>IFERROR(INDEX(Table!I:O,MATCH(K2882,Table!I:I,0),3),"")</f>
        <v/>
      </c>
      <c r="N2882" s="32" t="str">
        <f>IFERROR(INDEX(Table!I:O,MATCH(K2882,Table!I:I,0),4),"")</f>
        <v/>
      </c>
      <c r="O2882" s="32" t="str">
        <f>IFERROR(INDEX(Table!I:O,MATCH(K2882,Table!I:I,0),5),"")</f>
        <v/>
      </c>
      <c r="P2882" s="32" t="str">
        <f>IFERROR(INDEX(Table!I:O,MATCH(K2882,Table!I:I,0),6),"")</f>
        <v/>
      </c>
      <c r="Q2882" s="89" t="str">
        <f t="shared" si="122"/>
        <v/>
      </c>
      <c r="R2882" s="89" t="str">
        <f t="shared" si="123"/>
        <v/>
      </c>
      <c r="S2882" s="82"/>
    </row>
    <row r="2883" spans="1:19" x14ac:dyDescent="0.25">
      <c r="A2883" s="31" t="str">
        <f>IF(Table!A2883 = "","",Table!A2883)</f>
        <v/>
      </c>
      <c r="B2883" s="31" t="str">
        <f>IF(Table!B2883 = "","",Table!B2883)</f>
        <v/>
      </c>
      <c r="C2883" s="31" t="str">
        <f>IF(Table!C2883 = "","",Table!C2883)</f>
        <v/>
      </c>
      <c r="D2883" s="32" t="str">
        <f>IF(Table!D2883 = "","",Table!D2883)</f>
        <v/>
      </c>
      <c r="E2883" s="32" t="str">
        <f>IF(Table!E2883 = "","",Table!E2883)</f>
        <v/>
      </c>
      <c r="F2883" s="32" t="str">
        <f>IF(Table!F2883 = "","",Table!F2883)</f>
        <v/>
      </c>
      <c r="G2883" s="91"/>
      <c r="K2883" s="31" t="str">
        <f>IFERROR(VLOOKUP(A2883,Table!$I$4:$O$3000,1,TRUE),"")</f>
        <v/>
      </c>
      <c r="L2883" s="31" t="str">
        <f>IFERROR(INDEX(Table!I:O,MATCH(K2883,Table!I:I,0),2),"")</f>
        <v/>
      </c>
      <c r="M2883" s="31" t="str">
        <f>IFERROR(INDEX(Table!I:O,MATCH(K2883,Table!I:I,0),3),"")</f>
        <v/>
      </c>
      <c r="N2883" s="32" t="str">
        <f>IFERROR(INDEX(Table!I:O,MATCH(K2883,Table!I:I,0),4),"")</f>
        <v/>
      </c>
      <c r="O2883" s="32" t="str">
        <f>IFERROR(INDEX(Table!I:O,MATCH(K2883,Table!I:I,0),5),"")</f>
        <v/>
      </c>
      <c r="P2883" s="32" t="str">
        <f>IFERROR(INDEX(Table!I:O,MATCH(K2883,Table!I:I,0),6),"")</f>
        <v/>
      </c>
      <c r="Q2883" s="89" t="str">
        <f t="shared" si="122"/>
        <v/>
      </c>
      <c r="R2883" s="89" t="str">
        <f t="shared" si="123"/>
        <v/>
      </c>
      <c r="S2883" s="82"/>
    </row>
    <row r="2884" spans="1:19" x14ac:dyDescent="0.25">
      <c r="A2884" s="31" t="str">
        <f>IF(Table!A2884 = "","",Table!A2884)</f>
        <v/>
      </c>
      <c r="B2884" s="31" t="str">
        <f>IF(Table!B2884 = "","",Table!B2884)</f>
        <v/>
      </c>
      <c r="C2884" s="31" t="str">
        <f>IF(Table!C2884 = "","",Table!C2884)</f>
        <v/>
      </c>
      <c r="D2884" s="32" t="str">
        <f>IF(Table!D2884 = "","",Table!D2884)</f>
        <v/>
      </c>
      <c r="E2884" s="32" t="str">
        <f>IF(Table!E2884 = "","",Table!E2884)</f>
        <v/>
      </c>
      <c r="F2884" s="32" t="str">
        <f>IF(Table!F2884 = "","",Table!F2884)</f>
        <v/>
      </c>
      <c r="G2884" s="91"/>
      <c r="K2884" s="31" t="str">
        <f>IFERROR(VLOOKUP(A2884,Table!$I$4:$O$3000,1,TRUE),"")</f>
        <v/>
      </c>
      <c r="L2884" s="31" t="str">
        <f>IFERROR(INDEX(Table!I:O,MATCH(K2884,Table!I:I,0),2),"")</f>
        <v/>
      </c>
      <c r="M2884" s="31" t="str">
        <f>IFERROR(INDEX(Table!I:O,MATCH(K2884,Table!I:I,0),3),"")</f>
        <v/>
      </c>
      <c r="N2884" s="32" t="str">
        <f>IFERROR(INDEX(Table!I:O,MATCH(K2884,Table!I:I,0),4),"")</f>
        <v/>
      </c>
      <c r="O2884" s="32" t="str">
        <f>IFERROR(INDEX(Table!I:O,MATCH(K2884,Table!I:I,0),5),"")</f>
        <v/>
      </c>
      <c r="P2884" s="32" t="str">
        <f>IFERROR(INDEX(Table!I:O,MATCH(K2884,Table!I:I,0),6),"")</f>
        <v/>
      </c>
      <c r="Q2884" s="89" t="str">
        <f t="shared" si="122"/>
        <v/>
      </c>
      <c r="R2884" s="89" t="str">
        <f t="shared" si="123"/>
        <v/>
      </c>
      <c r="S2884" s="82"/>
    </row>
    <row r="2885" spans="1:19" x14ac:dyDescent="0.25">
      <c r="A2885" s="31" t="str">
        <f>IF(Table!A2885 = "","",Table!A2885)</f>
        <v/>
      </c>
      <c r="B2885" s="31" t="str">
        <f>IF(Table!B2885 = "","",Table!B2885)</f>
        <v/>
      </c>
      <c r="C2885" s="31" t="str">
        <f>IF(Table!C2885 = "","",Table!C2885)</f>
        <v/>
      </c>
      <c r="D2885" s="32" t="str">
        <f>IF(Table!D2885 = "","",Table!D2885)</f>
        <v/>
      </c>
      <c r="E2885" s="32" t="str">
        <f>IF(Table!E2885 = "","",Table!E2885)</f>
        <v/>
      </c>
      <c r="F2885" s="32" t="str">
        <f>IF(Table!F2885 = "","",Table!F2885)</f>
        <v/>
      </c>
      <c r="G2885" s="91"/>
      <c r="K2885" s="31" t="str">
        <f>IFERROR(VLOOKUP(A2885,Table!$I$4:$O$3000,1,TRUE),"")</f>
        <v/>
      </c>
      <c r="L2885" s="31" t="str">
        <f>IFERROR(INDEX(Table!I:O,MATCH(K2885,Table!I:I,0),2),"")</f>
        <v/>
      </c>
      <c r="M2885" s="31" t="str">
        <f>IFERROR(INDEX(Table!I:O,MATCH(K2885,Table!I:I,0),3),"")</f>
        <v/>
      </c>
      <c r="N2885" s="32" t="str">
        <f>IFERROR(INDEX(Table!I:O,MATCH(K2885,Table!I:I,0),4),"")</f>
        <v/>
      </c>
      <c r="O2885" s="32" t="str">
        <f>IFERROR(INDEX(Table!I:O,MATCH(K2885,Table!I:I,0),5),"")</f>
        <v/>
      </c>
      <c r="P2885" s="32" t="str">
        <f>IFERROR(INDEX(Table!I:O,MATCH(K2885,Table!I:I,0),6),"")</f>
        <v/>
      </c>
      <c r="Q2885" s="89" t="str">
        <f t="shared" si="122"/>
        <v/>
      </c>
      <c r="R2885" s="89" t="str">
        <f t="shared" si="123"/>
        <v/>
      </c>
      <c r="S2885" s="82"/>
    </row>
    <row r="2886" spans="1:19" x14ac:dyDescent="0.25">
      <c r="A2886" s="31" t="str">
        <f>IF(Table!A2886 = "","",Table!A2886)</f>
        <v/>
      </c>
      <c r="B2886" s="31" t="str">
        <f>IF(Table!B2886 = "","",Table!B2886)</f>
        <v/>
      </c>
      <c r="C2886" s="31" t="str">
        <f>IF(Table!C2886 = "","",Table!C2886)</f>
        <v/>
      </c>
      <c r="D2886" s="32" t="str">
        <f>IF(Table!D2886 = "","",Table!D2886)</f>
        <v/>
      </c>
      <c r="E2886" s="32" t="str">
        <f>IF(Table!E2886 = "","",Table!E2886)</f>
        <v/>
      </c>
      <c r="F2886" s="32" t="str">
        <f>IF(Table!F2886 = "","",Table!F2886)</f>
        <v/>
      </c>
      <c r="G2886" s="91"/>
      <c r="K2886" s="31" t="str">
        <f>IFERROR(VLOOKUP(A2886,Table!$I$4:$O$3000,1,TRUE),"")</f>
        <v/>
      </c>
      <c r="L2886" s="31" t="str">
        <f>IFERROR(INDEX(Table!I:O,MATCH(K2886,Table!I:I,0),2),"")</f>
        <v/>
      </c>
      <c r="M2886" s="31" t="str">
        <f>IFERROR(INDEX(Table!I:O,MATCH(K2886,Table!I:I,0),3),"")</f>
        <v/>
      </c>
      <c r="N2886" s="32" t="str">
        <f>IFERROR(INDEX(Table!I:O,MATCH(K2886,Table!I:I,0),4),"")</f>
        <v/>
      </c>
      <c r="O2886" s="32" t="str">
        <f>IFERROR(INDEX(Table!I:O,MATCH(K2886,Table!I:I,0),5),"")</f>
        <v/>
      </c>
      <c r="P2886" s="32" t="str">
        <f>IFERROR(INDEX(Table!I:O,MATCH(K2886,Table!I:I,0),6),"")</f>
        <v/>
      </c>
      <c r="Q2886" s="89" t="str">
        <f t="shared" ref="Q2886:Q2949" si="124">IFERROR(L2886-B2886,"")</f>
        <v/>
      </c>
      <c r="R2886" s="89" t="str">
        <f t="shared" ref="R2886:R2949" si="125">IFERROR(M2886-C2886,"")</f>
        <v/>
      </c>
      <c r="S2886" s="82"/>
    </row>
    <row r="2887" spans="1:19" x14ac:dyDescent="0.25">
      <c r="A2887" s="31" t="str">
        <f>IF(Table!A2887 = "","",Table!A2887)</f>
        <v/>
      </c>
      <c r="B2887" s="31" t="str">
        <f>IF(Table!B2887 = "","",Table!B2887)</f>
        <v/>
      </c>
      <c r="C2887" s="31" t="str">
        <f>IF(Table!C2887 = "","",Table!C2887)</f>
        <v/>
      </c>
      <c r="D2887" s="32" t="str">
        <f>IF(Table!D2887 = "","",Table!D2887)</f>
        <v/>
      </c>
      <c r="E2887" s="32" t="str">
        <f>IF(Table!E2887 = "","",Table!E2887)</f>
        <v/>
      </c>
      <c r="F2887" s="32" t="str">
        <f>IF(Table!F2887 = "","",Table!F2887)</f>
        <v/>
      </c>
      <c r="G2887" s="91"/>
      <c r="K2887" s="31" t="str">
        <f>IFERROR(VLOOKUP(A2887,Table!$I$4:$O$3000,1,TRUE),"")</f>
        <v/>
      </c>
      <c r="L2887" s="31" t="str">
        <f>IFERROR(INDEX(Table!I:O,MATCH(K2887,Table!I:I,0),2),"")</f>
        <v/>
      </c>
      <c r="M2887" s="31" t="str">
        <f>IFERROR(INDEX(Table!I:O,MATCH(K2887,Table!I:I,0),3),"")</f>
        <v/>
      </c>
      <c r="N2887" s="32" t="str">
        <f>IFERROR(INDEX(Table!I:O,MATCH(K2887,Table!I:I,0),4),"")</f>
        <v/>
      </c>
      <c r="O2887" s="32" t="str">
        <f>IFERROR(INDEX(Table!I:O,MATCH(K2887,Table!I:I,0),5),"")</f>
        <v/>
      </c>
      <c r="P2887" s="32" t="str">
        <f>IFERROR(INDEX(Table!I:O,MATCH(K2887,Table!I:I,0),6),"")</f>
        <v/>
      </c>
      <c r="Q2887" s="89" t="str">
        <f t="shared" si="124"/>
        <v/>
      </c>
      <c r="R2887" s="89" t="str">
        <f t="shared" si="125"/>
        <v/>
      </c>
      <c r="S2887" s="82"/>
    </row>
    <row r="2888" spans="1:19" x14ac:dyDescent="0.25">
      <c r="A2888" s="31" t="str">
        <f>IF(Table!A2888 = "","",Table!A2888)</f>
        <v/>
      </c>
      <c r="B2888" s="31" t="str">
        <f>IF(Table!B2888 = "","",Table!B2888)</f>
        <v/>
      </c>
      <c r="C2888" s="31" t="str">
        <f>IF(Table!C2888 = "","",Table!C2888)</f>
        <v/>
      </c>
      <c r="D2888" s="32" t="str">
        <f>IF(Table!D2888 = "","",Table!D2888)</f>
        <v/>
      </c>
      <c r="E2888" s="32" t="str">
        <f>IF(Table!E2888 = "","",Table!E2888)</f>
        <v/>
      </c>
      <c r="F2888" s="32" t="str">
        <f>IF(Table!F2888 = "","",Table!F2888)</f>
        <v/>
      </c>
      <c r="G2888" s="91"/>
      <c r="K2888" s="31" t="str">
        <f>IFERROR(VLOOKUP(A2888,Table!$I$4:$O$3000,1,TRUE),"")</f>
        <v/>
      </c>
      <c r="L2888" s="31" t="str">
        <f>IFERROR(INDEX(Table!I:O,MATCH(K2888,Table!I:I,0),2),"")</f>
        <v/>
      </c>
      <c r="M2888" s="31" t="str">
        <f>IFERROR(INDEX(Table!I:O,MATCH(K2888,Table!I:I,0),3),"")</f>
        <v/>
      </c>
      <c r="N2888" s="32" t="str">
        <f>IFERROR(INDEX(Table!I:O,MATCH(K2888,Table!I:I,0),4),"")</f>
        <v/>
      </c>
      <c r="O2888" s="32" t="str">
        <f>IFERROR(INDEX(Table!I:O,MATCH(K2888,Table!I:I,0),5),"")</f>
        <v/>
      </c>
      <c r="P2888" s="32" t="str">
        <f>IFERROR(INDEX(Table!I:O,MATCH(K2888,Table!I:I,0),6),"")</f>
        <v/>
      </c>
      <c r="Q2888" s="89" t="str">
        <f t="shared" si="124"/>
        <v/>
      </c>
      <c r="R2888" s="89" t="str">
        <f t="shared" si="125"/>
        <v/>
      </c>
      <c r="S2888" s="82"/>
    </row>
    <row r="2889" spans="1:19" x14ac:dyDescent="0.25">
      <c r="A2889" s="31" t="str">
        <f>IF(Table!A2889 = "","",Table!A2889)</f>
        <v/>
      </c>
      <c r="B2889" s="31" t="str">
        <f>IF(Table!B2889 = "","",Table!B2889)</f>
        <v/>
      </c>
      <c r="C2889" s="31" t="str">
        <f>IF(Table!C2889 = "","",Table!C2889)</f>
        <v/>
      </c>
      <c r="D2889" s="32" t="str">
        <f>IF(Table!D2889 = "","",Table!D2889)</f>
        <v/>
      </c>
      <c r="E2889" s="32" t="str">
        <f>IF(Table!E2889 = "","",Table!E2889)</f>
        <v/>
      </c>
      <c r="F2889" s="32" t="str">
        <f>IF(Table!F2889 = "","",Table!F2889)</f>
        <v/>
      </c>
      <c r="G2889" s="91"/>
      <c r="K2889" s="31" t="str">
        <f>IFERROR(VLOOKUP(A2889,Table!$I$4:$O$3000,1,TRUE),"")</f>
        <v/>
      </c>
      <c r="L2889" s="31" t="str">
        <f>IFERROR(INDEX(Table!I:O,MATCH(K2889,Table!I:I,0),2),"")</f>
        <v/>
      </c>
      <c r="M2889" s="31" t="str">
        <f>IFERROR(INDEX(Table!I:O,MATCH(K2889,Table!I:I,0),3),"")</f>
        <v/>
      </c>
      <c r="N2889" s="32" t="str">
        <f>IFERROR(INDEX(Table!I:O,MATCH(K2889,Table!I:I,0),4),"")</f>
        <v/>
      </c>
      <c r="O2889" s="32" t="str">
        <f>IFERROR(INDEX(Table!I:O,MATCH(K2889,Table!I:I,0),5),"")</f>
        <v/>
      </c>
      <c r="P2889" s="32" t="str">
        <f>IFERROR(INDEX(Table!I:O,MATCH(K2889,Table!I:I,0),6),"")</f>
        <v/>
      </c>
      <c r="Q2889" s="89" t="str">
        <f t="shared" si="124"/>
        <v/>
      </c>
      <c r="R2889" s="89" t="str">
        <f t="shared" si="125"/>
        <v/>
      </c>
      <c r="S2889" s="82"/>
    </row>
    <row r="2890" spans="1:19" x14ac:dyDescent="0.25">
      <c r="A2890" s="31" t="str">
        <f>IF(Table!A2890 = "","",Table!A2890)</f>
        <v/>
      </c>
      <c r="B2890" s="31" t="str">
        <f>IF(Table!B2890 = "","",Table!B2890)</f>
        <v/>
      </c>
      <c r="C2890" s="31" t="str">
        <f>IF(Table!C2890 = "","",Table!C2890)</f>
        <v/>
      </c>
      <c r="D2890" s="32" t="str">
        <f>IF(Table!D2890 = "","",Table!D2890)</f>
        <v/>
      </c>
      <c r="E2890" s="32" t="str">
        <f>IF(Table!E2890 = "","",Table!E2890)</f>
        <v/>
      </c>
      <c r="F2890" s="32" t="str">
        <f>IF(Table!F2890 = "","",Table!F2890)</f>
        <v/>
      </c>
      <c r="G2890" s="91"/>
      <c r="K2890" s="31" t="str">
        <f>IFERROR(VLOOKUP(A2890,Table!$I$4:$O$3000,1,TRUE),"")</f>
        <v/>
      </c>
      <c r="L2890" s="31" t="str">
        <f>IFERROR(INDEX(Table!I:O,MATCH(K2890,Table!I:I,0),2),"")</f>
        <v/>
      </c>
      <c r="M2890" s="31" t="str">
        <f>IFERROR(INDEX(Table!I:O,MATCH(K2890,Table!I:I,0),3),"")</f>
        <v/>
      </c>
      <c r="N2890" s="32" t="str">
        <f>IFERROR(INDEX(Table!I:O,MATCH(K2890,Table!I:I,0),4),"")</f>
        <v/>
      </c>
      <c r="O2890" s="32" t="str">
        <f>IFERROR(INDEX(Table!I:O,MATCH(K2890,Table!I:I,0),5),"")</f>
        <v/>
      </c>
      <c r="P2890" s="32" t="str">
        <f>IFERROR(INDEX(Table!I:O,MATCH(K2890,Table!I:I,0),6),"")</f>
        <v/>
      </c>
      <c r="Q2890" s="89" t="str">
        <f t="shared" si="124"/>
        <v/>
      </c>
      <c r="R2890" s="89" t="str">
        <f t="shared" si="125"/>
        <v/>
      </c>
      <c r="S2890" s="82"/>
    </row>
    <row r="2891" spans="1:19" x14ac:dyDescent="0.25">
      <c r="A2891" s="31" t="str">
        <f>IF(Table!A2891 = "","",Table!A2891)</f>
        <v/>
      </c>
      <c r="B2891" s="31" t="str">
        <f>IF(Table!B2891 = "","",Table!B2891)</f>
        <v/>
      </c>
      <c r="C2891" s="31" t="str">
        <f>IF(Table!C2891 = "","",Table!C2891)</f>
        <v/>
      </c>
      <c r="D2891" s="32" t="str">
        <f>IF(Table!D2891 = "","",Table!D2891)</f>
        <v/>
      </c>
      <c r="E2891" s="32" t="str">
        <f>IF(Table!E2891 = "","",Table!E2891)</f>
        <v/>
      </c>
      <c r="F2891" s="32" t="str">
        <f>IF(Table!F2891 = "","",Table!F2891)</f>
        <v/>
      </c>
      <c r="G2891" s="91"/>
      <c r="K2891" s="31" t="str">
        <f>IFERROR(VLOOKUP(A2891,Table!$I$4:$O$3000,1,TRUE),"")</f>
        <v/>
      </c>
      <c r="L2891" s="31" t="str">
        <f>IFERROR(INDEX(Table!I:O,MATCH(K2891,Table!I:I,0),2),"")</f>
        <v/>
      </c>
      <c r="M2891" s="31" t="str">
        <f>IFERROR(INDEX(Table!I:O,MATCH(K2891,Table!I:I,0),3),"")</f>
        <v/>
      </c>
      <c r="N2891" s="32" t="str">
        <f>IFERROR(INDEX(Table!I:O,MATCH(K2891,Table!I:I,0),4),"")</f>
        <v/>
      </c>
      <c r="O2891" s="32" t="str">
        <f>IFERROR(INDEX(Table!I:O,MATCH(K2891,Table!I:I,0),5),"")</f>
        <v/>
      </c>
      <c r="P2891" s="32" t="str">
        <f>IFERROR(INDEX(Table!I:O,MATCH(K2891,Table!I:I,0),6),"")</f>
        <v/>
      </c>
      <c r="Q2891" s="89" t="str">
        <f t="shared" si="124"/>
        <v/>
      </c>
      <c r="R2891" s="89" t="str">
        <f t="shared" si="125"/>
        <v/>
      </c>
      <c r="S2891" s="82"/>
    </row>
    <row r="2892" spans="1:19" x14ac:dyDescent="0.25">
      <c r="A2892" s="31" t="str">
        <f>IF(Table!A2892 = "","",Table!A2892)</f>
        <v/>
      </c>
      <c r="B2892" s="31" t="str">
        <f>IF(Table!B2892 = "","",Table!B2892)</f>
        <v/>
      </c>
      <c r="C2892" s="31" t="str">
        <f>IF(Table!C2892 = "","",Table!C2892)</f>
        <v/>
      </c>
      <c r="D2892" s="32" t="str">
        <f>IF(Table!D2892 = "","",Table!D2892)</f>
        <v/>
      </c>
      <c r="E2892" s="32" t="str">
        <f>IF(Table!E2892 = "","",Table!E2892)</f>
        <v/>
      </c>
      <c r="F2892" s="32" t="str">
        <f>IF(Table!F2892 = "","",Table!F2892)</f>
        <v/>
      </c>
      <c r="G2892" s="91"/>
      <c r="K2892" s="31" t="str">
        <f>IFERROR(VLOOKUP(A2892,Table!$I$4:$O$3000,1,TRUE),"")</f>
        <v/>
      </c>
      <c r="L2892" s="31" t="str">
        <f>IFERROR(INDEX(Table!I:O,MATCH(K2892,Table!I:I,0),2),"")</f>
        <v/>
      </c>
      <c r="M2892" s="31" t="str">
        <f>IFERROR(INDEX(Table!I:O,MATCH(K2892,Table!I:I,0),3),"")</f>
        <v/>
      </c>
      <c r="N2892" s="32" t="str">
        <f>IFERROR(INDEX(Table!I:O,MATCH(K2892,Table!I:I,0),4),"")</f>
        <v/>
      </c>
      <c r="O2892" s="32" t="str">
        <f>IFERROR(INDEX(Table!I:O,MATCH(K2892,Table!I:I,0),5),"")</f>
        <v/>
      </c>
      <c r="P2892" s="32" t="str">
        <f>IFERROR(INDEX(Table!I:O,MATCH(K2892,Table!I:I,0),6),"")</f>
        <v/>
      </c>
      <c r="Q2892" s="89" t="str">
        <f t="shared" si="124"/>
        <v/>
      </c>
      <c r="R2892" s="89" t="str">
        <f t="shared" si="125"/>
        <v/>
      </c>
      <c r="S2892" s="82"/>
    </row>
    <row r="2893" spans="1:19" x14ac:dyDescent="0.25">
      <c r="A2893" s="31" t="str">
        <f>IF(Table!A2893 = "","",Table!A2893)</f>
        <v/>
      </c>
      <c r="B2893" s="31" t="str">
        <f>IF(Table!B2893 = "","",Table!B2893)</f>
        <v/>
      </c>
      <c r="C2893" s="31" t="str">
        <f>IF(Table!C2893 = "","",Table!C2893)</f>
        <v/>
      </c>
      <c r="D2893" s="32" t="str">
        <f>IF(Table!D2893 = "","",Table!D2893)</f>
        <v/>
      </c>
      <c r="E2893" s="32" t="str">
        <f>IF(Table!E2893 = "","",Table!E2893)</f>
        <v/>
      </c>
      <c r="F2893" s="32" t="str">
        <f>IF(Table!F2893 = "","",Table!F2893)</f>
        <v/>
      </c>
      <c r="G2893" s="91"/>
      <c r="K2893" s="31" t="str">
        <f>IFERROR(VLOOKUP(A2893,Table!$I$4:$O$3000,1,TRUE),"")</f>
        <v/>
      </c>
      <c r="L2893" s="31" t="str">
        <f>IFERROR(INDEX(Table!I:O,MATCH(K2893,Table!I:I,0),2),"")</f>
        <v/>
      </c>
      <c r="M2893" s="31" t="str">
        <f>IFERROR(INDEX(Table!I:O,MATCH(K2893,Table!I:I,0),3),"")</f>
        <v/>
      </c>
      <c r="N2893" s="32" t="str">
        <f>IFERROR(INDEX(Table!I:O,MATCH(K2893,Table!I:I,0),4),"")</f>
        <v/>
      </c>
      <c r="O2893" s="32" t="str">
        <f>IFERROR(INDEX(Table!I:O,MATCH(K2893,Table!I:I,0),5),"")</f>
        <v/>
      </c>
      <c r="P2893" s="32" t="str">
        <f>IFERROR(INDEX(Table!I:O,MATCH(K2893,Table!I:I,0),6),"")</f>
        <v/>
      </c>
      <c r="Q2893" s="89" t="str">
        <f t="shared" si="124"/>
        <v/>
      </c>
      <c r="R2893" s="89" t="str">
        <f t="shared" si="125"/>
        <v/>
      </c>
      <c r="S2893" s="82"/>
    </row>
    <row r="2894" spans="1:19" x14ac:dyDescent="0.25">
      <c r="A2894" s="31" t="str">
        <f>IF(Table!A2894 = "","",Table!A2894)</f>
        <v/>
      </c>
      <c r="B2894" s="31" t="str">
        <f>IF(Table!B2894 = "","",Table!B2894)</f>
        <v/>
      </c>
      <c r="C2894" s="31" t="str">
        <f>IF(Table!C2894 = "","",Table!C2894)</f>
        <v/>
      </c>
      <c r="D2894" s="32" t="str">
        <f>IF(Table!D2894 = "","",Table!D2894)</f>
        <v/>
      </c>
      <c r="E2894" s="32" t="str">
        <f>IF(Table!E2894 = "","",Table!E2894)</f>
        <v/>
      </c>
      <c r="F2894" s="32" t="str">
        <f>IF(Table!F2894 = "","",Table!F2894)</f>
        <v/>
      </c>
      <c r="G2894" s="91"/>
      <c r="K2894" s="31" t="str">
        <f>IFERROR(VLOOKUP(A2894,Table!$I$4:$O$3000,1,TRUE),"")</f>
        <v/>
      </c>
      <c r="L2894" s="31" t="str">
        <f>IFERROR(INDEX(Table!I:O,MATCH(K2894,Table!I:I,0),2),"")</f>
        <v/>
      </c>
      <c r="M2894" s="31" t="str">
        <f>IFERROR(INDEX(Table!I:O,MATCH(K2894,Table!I:I,0),3),"")</f>
        <v/>
      </c>
      <c r="N2894" s="32" t="str">
        <f>IFERROR(INDEX(Table!I:O,MATCH(K2894,Table!I:I,0),4),"")</f>
        <v/>
      </c>
      <c r="O2894" s="32" t="str">
        <f>IFERROR(INDEX(Table!I:O,MATCH(K2894,Table!I:I,0),5),"")</f>
        <v/>
      </c>
      <c r="P2894" s="32" t="str">
        <f>IFERROR(INDEX(Table!I:O,MATCH(K2894,Table!I:I,0),6),"")</f>
        <v/>
      </c>
      <c r="Q2894" s="89" t="str">
        <f t="shared" si="124"/>
        <v/>
      </c>
      <c r="R2894" s="89" t="str">
        <f t="shared" si="125"/>
        <v/>
      </c>
      <c r="S2894" s="82"/>
    </row>
    <row r="2895" spans="1:19" x14ac:dyDescent="0.25">
      <c r="A2895" s="31" t="str">
        <f>IF(Table!A2895 = "","",Table!A2895)</f>
        <v/>
      </c>
      <c r="B2895" s="31" t="str">
        <f>IF(Table!B2895 = "","",Table!B2895)</f>
        <v/>
      </c>
      <c r="C2895" s="31" t="str">
        <f>IF(Table!C2895 = "","",Table!C2895)</f>
        <v/>
      </c>
      <c r="D2895" s="32" t="str">
        <f>IF(Table!D2895 = "","",Table!D2895)</f>
        <v/>
      </c>
      <c r="E2895" s="32" t="str">
        <f>IF(Table!E2895 = "","",Table!E2895)</f>
        <v/>
      </c>
      <c r="F2895" s="32" t="str">
        <f>IF(Table!F2895 = "","",Table!F2895)</f>
        <v/>
      </c>
      <c r="G2895" s="91"/>
      <c r="K2895" s="31" t="str">
        <f>IFERROR(VLOOKUP(A2895,Table!$I$4:$O$3000,1,TRUE),"")</f>
        <v/>
      </c>
      <c r="L2895" s="31" t="str">
        <f>IFERROR(INDEX(Table!I:O,MATCH(K2895,Table!I:I,0),2),"")</f>
        <v/>
      </c>
      <c r="M2895" s="31" t="str">
        <f>IFERROR(INDEX(Table!I:O,MATCH(K2895,Table!I:I,0),3),"")</f>
        <v/>
      </c>
      <c r="N2895" s="32" t="str">
        <f>IFERROR(INDEX(Table!I:O,MATCH(K2895,Table!I:I,0),4),"")</f>
        <v/>
      </c>
      <c r="O2895" s="32" t="str">
        <f>IFERROR(INDEX(Table!I:O,MATCH(K2895,Table!I:I,0),5),"")</f>
        <v/>
      </c>
      <c r="P2895" s="32" t="str">
        <f>IFERROR(INDEX(Table!I:O,MATCH(K2895,Table!I:I,0),6),"")</f>
        <v/>
      </c>
      <c r="Q2895" s="89" t="str">
        <f t="shared" si="124"/>
        <v/>
      </c>
      <c r="R2895" s="89" t="str">
        <f t="shared" si="125"/>
        <v/>
      </c>
      <c r="S2895" s="82"/>
    </row>
    <row r="2896" spans="1:19" x14ac:dyDescent="0.25">
      <c r="A2896" s="31" t="str">
        <f>IF(Table!A2896 = "","",Table!A2896)</f>
        <v/>
      </c>
      <c r="B2896" s="31" t="str">
        <f>IF(Table!B2896 = "","",Table!B2896)</f>
        <v/>
      </c>
      <c r="C2896" s="31" t="str">
        <f>IF(Table!C2896 = "","",Table!C2896)</f>
        <v/>
      </c>
      <c r="D2896" s="32" t="str">
        <f>IF(Table!D2896 = "","",Table!D2896)</f>
        <v/>
      </c>
      <c r="E2896" s="32" t="str">
        <f>IF(Table!E2896 = "","",Table!E2896)</f>
        <v/>
      </c>
      <c r="F2896" s="32" t="str">
        <f>IF(Table!F2896 = "","",Table!F2896)</f>
        <v/>
      </c>
      <c r="G2896" s="91"/>
      <c r="K2896" s="31" t="str">
        <f>IFERROR(VLOOKUP(A2896,Table!$I$4:$O$3000,1,TRUE),"")</f>
        <v/>
      </c>
      <c r="L2896" s="31" t="str">
        <f>IFERROR(INDEX(Table!I:O,MATCH(K2896,Table!I:I,0),2),"")</f>
        <v/>
      </c>
      <c r="M2896" s="31" t="str">
        <f>IFERROR(INDEX(Table!I:O,MATCH(K2896,Table!I:I,0),3),"")</f>
        <v/>
      </c>
      <c r="N2896" s="32" t="str">
        <f>IFERROR(INDEX(Table!I:O,MATCH(K2896,Table!I:I,0),4),"")</f>
        <v/>
      </c>
      <c r="O2896" s="32" t="str">
        <f>IFERROR(INDEX(Table!I:O,MATCH(K2896,Table!I:I,0),5),"")</f>
        <v/>
      </c>
      <c r="P2896" s="32" t="str">
        <f>IFERROR(INDEX(Table!I:O,MATCH(K2896,Table!I:I,0),6),"")</f>
        <v/>
      </c>
      <c r="Q2896" s="89" t="str">
        <f t="shared" si="124"/>
        <v/>
      </c>
      <c r="R2896" s="89" t="str">
        <f t="shared" si="125"/>
        <v/>
      </c>
      <c r="S2896" s="82"/>
    </row>
    <row r="2897" spans="1:19" x14ac:dyDescent="0.25">
      <c r="A2897" s="31" t="str">
        <f>IF(Table!A2897 = "","",Table!A2897)</f>
        <v/>
      </c>
      <c r="B2897" s="31" t="str">
        <f>IF(Table!B2897 = "","",Table!B2897)</f>
        <v/>
      </c>
      <c r="C2897" s="31" t="str">
        <f>IF(Table!C2897 = "","",Table!C2897)</f>
        <v/>
      </c>
      <c r="D2897" s="32" t="str">
        <f>IF(Table!D2897 = "","",Table!D2897)</f>
        <v/>
      </c>
      <c r="E2897" s="32" t="str">
        <f>IF(Table!E2897 = "","",Table!E2897)</f>
        <v/>
      </c>
      <c r="F2897" s="32" t="str">
        <f>IF(Table!F2897 = "","",Table!F2897)</f>
        <v/>
      </c>
      <c r="G2897" s="91"/>
      <c r="K2897" s="31" t="str">
        <f>IFERROR(VLOOKUP(A2897,Table!$I$4:$O$3000,1,TRUE),"")</f>
        <v/>
      </c>
      <c r="L2897" s="31" t="str">
        <f>IFERROR(INDEX(Table!I:O,MATCH(K2897,Table!I:I,0),2),"")</f>
        <v/>
      </c>
      <c r="M2897" s="31" t="str">
        <f>IFERROR(INDEX(Table!I:O,MATCH(K2897,Table!I:I,0),3),"")</f>
        <v/>
      </c>
      <c r="N2897" s="32" t="str">
        <f>IFERROR(INDEX(Table!I:O,MATCH(K2897,Table!I:I,0),4),"")</f>
        <v/>
      </c>
      <c r="O2897" s="32" t="str">
        <f>IFERROR(INDEX(Table!I:O,MATCH(K2897,Table!I:I,0),5),"")</f>
        <v/>
      </c>
      <c r="P2897" s="32" t="str">
        <f>IFERROR(INDEX(Table!I:O,MATCH(K2897,Table!I:I,0),6),"")</f>
        <v/>
      </c>
      <c r="Q2897" s="89" t="str">
        <f t="shared" si="124"/>
        <v/>
      </c>
      <c r="R2897" s="89" t="str">
        <f t="shared" si="125"/>
        <v/>
      </c>
      <c r="S2897" s="82"/>
    </row>
    <row r="2898" spans="1:19" x14ac:dyDescent="0.25">
      <c r="A2898" s="31" t="str">
        <f>IF(Table!A2898 = "","",Table!A2898)</f>
        <v/>
      </c>
      <c r="B2898" s="31" t="str">
        <f>IF(Table!B2898 = "","",Table!B2898)</f>
        <v/>
      </c>
      <c r="C2898" s="31" t="str">
        <f>IF(Table!C2898 = "","",Table!C2898)</f>
        <v/>
      </c>
      <c r="D2898" s="32" t="str">
        <f>IF(Table!D2898 = "","",Table!D2898)</f>
        <v/>
      </c>
      <c r="E2898" s="32" t="str">
        <f>IF(Table!E2898 = "","",Table!E2898)</f>
        <v/>
      </c>
      <c r="F2898" s="32" t="str">
        <f>IF(Table!F2898 = "","",Table!F2898)</f>
        <v/>
      </c>
      <c r="G2898" s="91"/>
      <c r="K2898" s="31" t="str">
        <f>IFERROR(VLOOKUP(A2898,Table!$I$4:$O$3000,1,TRUE),"")</f>
        <v/>
      </c>
      <c r="L2898" s="31" t="str">
        <f>IFERROR(INDEX(Table!I:O,MATCH(K2898,Table!I:I,0),2),"")</f>
        <v/>
      </c>
      <c r="M2898" s="31" t="str">
        <f>IFERROR(INDEX(Table!I:O,MATCH(K2898,Table!I:I,0),3),"")</f>
        <v/>
      </c>
      <c r="N2898" s="32" t="str">
        <f>IFERROR(INDEX(Table!I:O,MATCH(K2898,Table!I:I,0),4),"")</f>
        <v/>
      </c>
      <c r="O2898" s="32" t="str">
        <f>IFERROR(INDEX(Table!I:O,MATCH(K2898,Table!I:I,0),5),"")</f>
        <v/>
      </c>
      <c r="P2898" s="32" t="str">
        <f>IFERROR(INDEX(Table!I:O,MATCH(K2898,Table!I:I,0),6),"")</f>
        <v/>
      </c>
      <c r="Q2898" s="89" t="str">
        <f t="shared" si="124"/>
        <v/>
      </c>
      <c r="R2898" s="89" t="str">
        <f t="shared" si="125"/>
        <v/>
      </c>
      <c r="S2898" s="82"/>
    </row>
    <row r="2899" spans="1:19" x14ac:dyDescent="0.25">
      <c r="A2899" s="31" t="str">
        <f>IF(Table!A2899 = "","",Table!A2899)</f>
        <v/>
      </c>
      <c r="B2899" s="31" t="str">
        <f>IF(Table!B2899 = "","",Table!B2899)</f>
        <v/>
      </c>
      <c r="C2899" s="31" t="str">
        <f>IF(Table!C2899 = "","",Table!C2899)</f>
        <v/>
      </c>
      <c r="D2899" s="32" t="str">
        <f>IF(Table!D2899 = "","",Table!D2899)</f>
        <v/>
      </c>
      <c r="E2899" s="32" t="str">
        <f>IF(Table!E2899 = "","",Table!E2899)</f>
        <v/>
      </c>
      <c r="F2899" s="32" t="str">
        <f>IF(Table!F2899 = "","",Table!F2899)</f>
        <v/>
      </c>
      <c r="G2899" s="91"/>
      <c r="K2899" s="31" t="str">
        <f>IFERROR(VLOOKUP(A2899,Table!$I$4:$O$3000,1,TRUE),"")</f>
        <v/>
      </c>
      <c r="L2899" s="31" t="str">
        <f>IFERROR(INDEX(Table!I:O,MATCH(K2899,Table!I:I,0),2),"")</f>
        <v/>
      </c>
      <c r="M2899" s="31" t="str">
        <f>IFERROR(INDEX(Table!I:O,MATCH(K2899,Table!I:I,0),3),"")</f>
        <v/>
      </c>
      <c r="N2899" s="32" t="str">
        <f>IFERROR(INDEX(Table!I:O,MATCH(K2899,Table!I:I,0),4),"")</f>
        <v/>
      </c>
      <c r="O2899" s="32" t="str">
        <f>IFERROR(INDEX(Table!I:O,MATCH(K2899,Table!I:I,0),5),"")</f>
        <v/>
      </c>
      <c r="P2899" s="32" t="str">
        <f>IFERROR(INDEX(Table!I:O,MATCH(K2899,Table!I:I,0),6),"")</f>
        <v/>
      </c>
      <c r="Q2899" s="89" t="str">
        <f t="shared" si="124"/>
        <v/>
      </c>
      <c r="R2899" s="89" t="str">
        <f t="shared" si="125"/>
        <v/>
      </c>
      <c r="S2899" s="82"/>
    </row>
    <row r="2900" spans="1:19" x14ac:dyDescent="0.25">
      <c r="A2900" s="31" t="str">
        <f>IF(Table!A2900 = "","",Table!A2900)</f>
        <v/>
      </c>
      <c r="B2900" s="31" t="str">
        <f>IF(Table!B2900 = "","",Table!B2900)</f>
        <v/>
      </c>
      <c r="C2900" s="31" t="str">
        <f>IF(Table!C2900 = "","",Table!C2900)</f>
        <v/>
      </c>
      <c r="D2900" s="32" t="str">
        <f>IF(Table!D2900 = "","",Table!D2900)</f>
        <v/>
      </c>
      <c r="E2900" s="32" t="str">
        <f>IF(Table!E2900 = "","",Table!E2900)</f>
        <v/>
      </c>
      <c r="F2900" s="32" t="str">
        <f>IF(Table!F2900 = "","",Table!F2900)</f>
        <v/>
      </c>
      <c r="G2900" s="91"/>
      <c r="K2900" s="31" t="str">
        <f>IFERROR(VLOOKUP(A2900,Table!$I$4:$O$3000,1,TRUE),"")</f>
        <v/>
      </c>
      <c r="L2900" s="31" t="str">
        <f>IFERROR(INDEX(Table!I:O,MATCH(K2900,Table!I:I,0),2),"")</f>
        <v/>
      </c>
      <c r="M2900" s="31" t="str">
        <f>IFERROR(INDEX(Table!I:O,MATCH(K2900,Table!I:I,0),3),"")</f>
        <v/>
      </c>
      <c r="N2900" s="32" t="str">
        <f>IFERROR(INDEX(Table!I:O,MATCH(K2900,Table!I:I,0),4),"")</f>
        <v/>
      </c>
      <c r="O2900" s="32" t="str">
        <f>IFERROR(INDEX(Table!I:O,MATCH(K2900,Table!I:I,0),5),"")</f>
        <v/>
      </c>
      <c r="P2900" s="32" t="str">
        <f>IFERROR(INDEX(Table!I:O,MATCH(K2900,Table!I:I,0),6),"")</f>
        <v/>
      </c>
      <c r="Q2900" s="89" t="str">
        <f t="shared" si="124"/>
        <v/>
      </c>
      <c r="R2900" s="89" t="str">
        <f t="shared" si="125"/>
        <v/>
      </c>
      <c r="S2900" s="82"/>
    </row>
    <row r="2901" spans="1:19" x14ac:dyDescent="0.25">
      <c r="A2901" s="31" t="str">
        <f>IF(Table!A2901 = "","",Table!A2901)</f>
        <v/>
      </c>
      <c r="B2901" s="31" t="str">
        <f>IF(Table!B2901 = "","",Table!B2901)</f>
        <v/>
      </c>
      <c r="C2901" s="31" t="str">
        <f>IF(Table!C2901 = "","",Table!C2901)</f>
        <v/>
      </c>
      <c r="D2901" s="32" t="str">
        <f>IF(Table!D2901 = "","",Table!D2901)</f>
        <v/>
      </c>
      <c r="E2901" s="32" t="str">
        <f>IF(Table!E2901 = "","",Table!E2901)</f>
        <v/>
      </c>
      <c r="F2901" s="32" t="str">
        <f>IF(Table!F2901 = "","",Table!F2901)</f>
        <v/>
      </c>
      <c r="G2901" s="91"/>
      <c r="K2901" s="31" t="str">
        <f>IFERROR(VLOOKUP(A2901,Table!$I$4:$O$3000,1,TRUE),"")</f>
        <v/>
      </c>
      <c r="L2901" s="31" t="str">
        <f>IFERROR(INDEX(Table!I:O,MATCH(K2901,Table!I:I,0),2),"")</f>
        <v/>
      </c>
      <c r="M2901" s="31" t="str">
        <f>IFERROR(INDEX(Table!I:O,MATCH(K2901,Table!I:I,0),3),"")</f>
        <v/>
      </c>
      <c r="N2901" s="32" t="str">
        <f>IFERROR(INDEX(Table!I:O,MATCH(K2901,Table!I:I,0),4),"")</f>
        <v/>
      </c>
      <c r="O2901" s="32" t="str">
        <f>IFERROR(INDEX(Table!I:O,MATCH(K2901,Table!I:I,0),5),"")</f>
        <v/>
      </c>
      <c r="P2901" s="32" t="str">
        <f>IFERROR(INDEX(Table!I:O,MATCH(K2901,Table!I:I,0),6),"")</f>
        <v/>
      </c>
      <c r="Q2901" s="89" t="str">
        <f t="shared" si="124"/>
        <v/>
      </c>
      <c r="R2901" s="89" t="str">
        <f t="shared" si="125"/>
        <v/>
      </c>
      <c r="S2901" s="82"/>
    </row>
    <row r="2902" spans="1:19" x14ac:dyDescent="0.25">
      <c r="A2902" s="31" t="str">
        <f>IF(Table!A2902 = "","",Table!A2902)</f>
        <v/>
      </c>
      <c r="B2902" s="31" t="str">
        <f>IF(Table!B2902 = "","",Table!B2902)</f>
        <v/>
      </c>
      <c r="C2902" s="31" t="str">
        <f>IF(Table!C2902 = "","",Table!C2902)</f>
        <v/>
      </c>
      <c r="D2902" s="32" t="str">
        <f>IF(Table!D2902 = "","",Table!D2902)</f>
        <v/>
      </c>
      <c r="E2902" s="32" t="str">
        <f>IF(Table!E2902 = "","",Table!E2902)</f>
        <v/>
      </c>
      <c r="F2902" s="32" t="str">
        <f>IF(Table!F2902 = "","",Table!F2902)</f>
        <v/>
      </c>
      <c r="G2902" s="91"/>
      <c r="K2902" s="31" t="str">
        <f>IFERROR(VLOOKUP(A2902,Table!$I$4:$O$3000,1,TRUE),"")</f>
        <v/>
      </c>
      <c r="L2902" s="31" t="str">
        <f>IFERROR(INDEX(Table!I:O,MATCH(K2902,Table!I:I,0),2),"")</f>
        <v/>
      </c>
      <c r="M2902" s="31" t="str">
        <f>IFERROR(INDEX(Table!I:O,MATCH(K2902,Table!I:I,0),3),"")</f>
        <v/>
      </c>
      <c r="N2902" s="32" t="str">
        <f>IFERROR(INDEX(Table!I:O,MATCH(K2902,Table!I:I,0),4),"")</f>
        <v/>
      </c>
      <c r="O2902" s="32" t="str">
        <f>IFERROR(INDEX(Table!I:O,MATCH(K2902,Table!I:I,0),5),"")</f>
        <v/>
      </c>
      <c r="P2902" s="32" t="str">
        <f>IFERROR(INDEX(Table!I:O,MATCH(K2902,Table!I:I,0),6),"")</f>
        <v/>
      </c>
      <c r="Q2902" s="89" t="str">
        <f t="shared" si="124"/>
        <v/>
      </c>
      <c r="R2902" s="89" t="str">
        <f t="shared" si="125"/>
        <v/>
      </c>
      <c r="S2902" s="82"/>
    </row>
    <row r="2903" spans="1:19" x14ac:dyDescent="0.25">
      <c r="A2903" s="31" t="str">
        <f>IF(Table!A2903 = "","",Table!A2903)</f>
        <v/>
      </c>
      <c r="B2903" s="31" t="str">
        <f>IF(Table!B2903 = "","",Table!B2903)</f>
        <v/>
      </c>
      <c r="C2903" s="31" t="str">
        <f>IF(Table!C2903 = "","",Table!C2903)</f>
        <v/>
      </c>
      <c r="D2903" s="32" t="str">
        <f>IF(Table!D2903 = "","",Table!D2903)</f>
        <v/>
      </c>
      <c r="E2903" s="32" t="str">
        <f>IF(Table!E2903 = "","",Table!E2903)</f>
        <v/>
      </c>
      <c r="F2903" s="32" t="str">
        <f>IF(Table!F2903 = "","",Table!F2903)</f>
        <v/>
      </c>
      <c r="G2903" s="91"/>
      <c r="K2903" s="31" t="str">
        <f>IFERROR(VLOOKUP(A2903,Table!$I$4:$O$3000,1,TRUE),"")</f>
        <v/>
      </c>
      <c r="L2903" s="31" t="str">
        <f>IFERROR(INDEX(Table!I:O,MATCH(K2903,Table!I:I,0),2),"")</f>
        <v/>
      </c>
      <c r="M2903" s="31" t="str">
        <f>IFERROR(INDEX(Table!I:O,MATCH(K2903,Table!I:I,0),3),"")</f>
        <v/>
      </c>
      <c r="N2903" s="32" t="str">
        <f>IFERROR(INDEX(Table!I:O,MATCH(K2903,Table!I:I,0),4),"")</f>
        <v/>
      </c>
      <c r="O2903" s="32" t="str">
        <f>IFERROR(INDEX(Table!I:O,MATCH(K2903,Table!I:I,0),5),"")</f>
        <v/>
      </c>
      <c r="P2903" s="32" t="str">
        <f>IFERROR(INDEX(Table!I:O,MATCH(K2903,Table!I:I,0),6),"")</f>
        <v/>
      </c>
      <c r="Q2903" s="89" t="str">
        <f t="shared" si="124"/>
        <v/>
      </c>
      <c r="R2903" s="89" t="str">
        <f t="shared" si="125"/>
        <v/>
      </c>
      <c r="S2903" s="82"/>
    </row>
    <row r="2904" spans="1:19" x14ac:dyDescent="0.25">
      <c r="A2904" s="31" t="str">
        <f>IF(Table!A2904 = "","",Table!A2904)</f>
        <v/>
      </c>
      <c r="B2904" s="31" t="str">
        <f>IF(Table!B2904 = "","",Table!B2904)</f>
        <v/>
      </c>
      <c r="C2904" s="31" t="str">
        <f>IF(Table!C2904 = "","",Table!C2904)</f>
        <v/>
      </c>
      <c r="D2904" s="32" t="str">
        <f>IF(Table!D2904 = "","",Table!D2904)</f>
        <v/>
      </c>
      <c r="E2904" s="32" t="str">
        <f>IF(Table!E2904 = "","",Table!E2904)</f>
        <v/>
      </c>
      <c r="F2904" s="32" t="str">
        <f>IF(Table!F2904 = "","",Table!F2904)</f>
        <v/>
      </c>
      <c r="G2904" s="91"/>
      <c r="K2904" s="31" t="str">
        <f>IFERROR(VLOOKUP(A2904,Table!$I$4:$O$3000,1,TRUE),"")</f>
        <v/>
      </c>
      <c r="L2904" s="31" t="str">
        <f>IFERROR(INDEX(Table!I:O,MATCH(K2904,Table!I:I,0),2),"")</f>
        <v/>
      </c>
      <c r="M2904" s="31" t="str">
        <f>IFERROR(INDEX(Table!I:O,MATCH(K2904,Table!I:I,0),3),"")</f>
        <v/>
      </c>
      <c r="N2904" s="32" t="str">
        <f>IFERROR(INDEX(Table!I:O,MATCH(K2904,Table!I:I,0),4),"")</f>
        <v/>
      </c>
      <c r="O2904" s="32" t="str">
        <f>IFERROR(INDEX(Table!I:O,MATCH(K2904,Table!I:I,0),5),"")</f>
        <v/>
      </c>
      <c r="P2904" s="32" t="str">
        <f>IFERROR(INDEX(Table!I:O,MATCH(K2904,Table!I:I,0),6),"")</f>
        <v/>
      </c>
      <c r="Q2904" s="89" t="str">
        <f t="shared" si="124"/>
        <v/>
      </c>
      <c r="R2904" s="89" t="str">
        <f t="shared" si="125"/>
        <v/>
      </c>
      <c r="S2904" s="82"/>
    </row>
    <row r="2905" spans="1:19" x14ac:dyDescent="0.25">
      <c r="A2905" s="31" t="str">
        <f>IF(Table!A2905 = "","",Table!A2905)</f>
        <v/>
      </c>
      <c r="B2905" s="31" t="str">
        <f>IF(Table!B2905 = "","",Table!B2905)</f>
        <v/>
      </c>
      <c r="C2905" s="31" t="str">
        <f>IF(Table!C2905 = "","",Table!C2905)</f>
        <v/>
      </c>
      <c r="D2905" s="32" t="str">
        <f>IF(Table!D2905 = "","",Table!D2905)</f>
        <v/>
      </c>
      <c r="E2905" s="32" t="str">
        <f>IF(Table!E2905 = "","",Table!E2905)</f>
        <v/>
      </c>
      <c r="F2905" s="32" t="str">
        <f>IF(Table!F2905 = "","",Table!F2905)</f>
        <v/>
      </c>
      <c r="G2905" s="91"/>
      <c r="K2905" s="31" t="str">
        <f>IFERROR(VLOOKUP(A2905,Table!$I$4:$O$3000,1,TRUE),"")</f>
        <v/>
      </c>
      <c r="L2905" s="31" t="str">
        <f>IFERROR(INDEX(Table!I:O,MATCH(K2905,Table!I:I,0),2),"")</f>
        <v/>
      </c>
      <c r="M2905" s="31" t="str">
        <f>IFERROR(INDEX(Table!I:O,MATCH(K2905,Table!I:I,0),3),"")</f>
        <v/>
      </c>
      <c r="N2905" s="32" t="str">
        <f>IFERROR(INDEX(Table!I:O,MATCH(K2905,Table!I:I,0),4),"")</f>
        <v/>
      </c>
      <c r="O2905" s="32" t="str">
        <f>IFERROR(INDEX(Table!I:O,MATCH(K2905,Table!I:I,0),5),"")</f>
        <v/>
      </c>
      <c r="P2905" s="32" t="str">
        <f>IFERROR(INDEX(Table!I:O,MATCH(K2905,Table!I:I,0),6),"")</f>
        <v/>
      </c>
      <c r="Q2905" s="89" t="str">
        <f t="shared" si="124"/>
        <v/>
      </c>
      <c r="R2905" s="89" t="str">
        <f t="shared" si="125"/>
        <v/>
      </c>
      <c r="S2905" s="82"/>
    </row>
    <row r="2906" spans="1:19" x14ac:dyDescent="0.25">
      <c r="A2906" s="31" t="str">
        <f>IF(Table!A2906 = "","",Table!A2906)</f>
        <v/>
      </c>
      <c r="B2906" s="31" t="str">
        <f>IF(Table!B2906 = "","",Table!B2906)</f>
        <v/>
      </c>
      <c r="C2906" s="31" t="str">
        <f>IF(Table!C2906 = "","",Table!C2906)</f>
        <v/>
      </c>
      <c r="D2906" s="32" t="str">
        <f>IF(Table!D2906 = "","",Table!D2906)</f>
        <v/>
      </c>
      <c r="E2906" s="32" t="str">
        <f>IF(Table!E2906 = "","",Table!E2906)</f>
        <v/>
      </c>
      <c r="F2906" s="32" t="str">
        <f>IF(Table!F2906 = "","",Table!F2906)</f>
        <v/>
      </c>
      <c r="G2906" s="91"/>
      <c r="K2906" s="31" t="str">
        <f>IFERROR(VLOOKUP(A2906,Table!$I$4:$O$3000,1,TRUE),"")</f>
        <v/>
      </c>
      <c r="L2906" s="31" t="str">
        <f>IFERROR(INDEX(Table!I:O,MATCH(K2906,Table!I:I,0),2),"")</f>
        <v/>
      </c>
      <c r="M2906" s="31" t="str">
        <f>IFERROR(INDEX(Table!I:O,MATCH(K2906,Table!I:I,0),3),"")</f>
        <v/>
      </c>
      <c r="N2906" s="32" t="str">
        <f>IFERROR(INDEX(Table!I:O,MATCH(K2906,Table!I:I,0),4),"")</f>
        <v/>
      </c>
      <c r="O2906" s="32" t="str">
        <f>IFERROR(INDEX(Table!I:O,MATCH(K2906,Table!I:I,0),5),"")</f>
        <v/>
      </c>
      <c r="P2906" s="32" t="str">
        <f>IFERROR(INDEX(Table!I:O,MATCH(K2906,Table!I:I,0),6),"")</f>
        <v/>
      </c>
      <c r="Q2906" s="89" t="str">
        <f t="shared" si="124"/>
        <v/>
      </c>
      <c r="R2906" s="89" t="str">
        <f t="shared" si="125"/>
        <v/>
      </c>
      <c r="S2906" s="82"/>
    </row>
    <row r="2907" spans="1:19" x14ac:dyDescent="0.25">
      <c r="A2907" s="31" t="str">
        <f>IF(Table!A2907 = "","",Table!A2907)</f>
        <v/>
      </c>
      <c r="B2907" s="31" t="str">
        <f>IF(Table!B2907 = "","",Table!B2907)</f>
        <v/>
      </c>
      <c r="C2907" s="31" t="str">
        <f>IF(Table!C2907 = "","",Table!C2907)</f>
        <v/>
      </c>
      <c r="D2907" s="32" t="str">
        <f>IF(Table!D2907 = "","",Table!D2907)</f>
        <v/>
      </c>
      <c r="E2907" s="32" t="str">
        <f>IF(Table!E2907 = "","",Table!E2907)</f>
        <v/>
      </c>
      <c r="F2907" s="32" t="str">
        <f>IF(Table!F2907 = "","",Table!F2907)</f>
        <v/>
      </c>
      <c r="G2907" s="91"/>
      <c r="K2907" s="31" t="str">
        <f>IFERROR(VLOOKUP(A2907,Table!$I$4:$O$3000,1,TRUE),"")</f>
        <v/>
      </c>
      <c r="L2907" s="31" t="str">
        <f>IFERROR(INDEX(Table!I:O,MATCH(K2907,Table!I:I,0),2),"")</f>
        <v/>
      </c>
      <c r="M2907" s="31" t="str">
        <f>IFERROR(INDEX(Table!I:O,MATCH(K2907,Table!I:I,0),3),"")</f>
        <v/>
      </c>
      <c r="N2907" s="32" t="str">
        <f>IFERROR(INDEX(Table!I:O,MATCH(K2907,Table!I:I,0),4),"")</f>
        <v/>
      </c>
      <c r="O2907" s="32" t="str">
        <f>IFERROR(INDEX(Table!I:O,MATCH(K2907,Table!I:I,0),5),"")</f>
        <v/>
      </c>
      <c r="P2907" s="32" t="str">
        <f>IFERROR(INDEX(Table!I:O,MATCH(K2907,Table!I:I,0),6),"")</f>
        <v/>
      </c>
      <c r="Q2907" s="89" t="str">
        <f t="shared" si="124"/>
        <v/>
      </c>
      <c r="R2907" s="89" t="str">
        <f t="shared" si="125"/>
        <v/>
      </c>
      <c r="S2907" s="82"/>
    </row>
    <row r="2908" spans="1:19" x14ac:dyDescent="0.25">
      <c r="A2908" s="31" t="str">
        <f>IF(Table!A2908 = "","",Table!A2908)</f>
        <v/>
      </c>
      <c r="B2908" s="31" t="str">
        <f>IF(Table!B2908 = "","",Table!B2908)</f>
        <v/>
      </c>
      <c r="C2908" s="31" t="str">
        <f>IF(Table!C2908 = "","",Table!C2908)</f>
        <v/>
      </c>
      <c r="D2908" s="32" t="str">
        <f>IF(Table!D2908 = "","",Table!D2908)</f>
        <v/>
      </c>
      <c r="E2908" s="32" t="str">
        <f>IF(Table!E2908 = "","",Table!E2908)</f>
        <v/>
      </c>
      <c r="F2908" s="32" t="str">
        <f>IF(Table!F2908 = "","",Table!F2908)</f>
        <v/>
      </c>
      <c r="G2908" s="91"/>
      <c r="K2908" s="31" t="str">
        <f>IFERROR(VLOOKUP(A2908,Table!$I$4:$O$3000,1,TRUE),"")</f>
        <v/>
      </c>
      <c r="L2908" s="31" t="str">
        <f>IFERROR(INDEX(Table!I:O,MATCH(K2908,Table!I:I,0),2),"")</f>
        <v/>
      </c>
      <c r="M2908" s="31" t="str">
        <f>IFERROR(INDEX(Table!I:O,MATCH(K2908,Table!I:I,0),3),"")</f>
        <v/>
      </c>
      <c r="N2908" s="32" t="str">
        <f>IFERROR(INDEX(Table!I:O,MATCH(K2908,Table!I:I,0),4),"")</f>
        <v/>
      </c>
      <c r="O2908" s="32" t="str">
        <f>IFERROR(INDEX(Table!I:O,MATCH(K2908,Table!I:I,0),5),"")</f>
        <v/>
      </c>
      <c r="P2908" s="32" t="str">
        <f>IFERROR(INDEX(Table!I:O,MATCH(K2908,Table!I:I,0),6),"")</f>
        <v/>
      </c>
      <c r="Q2908" s="89" t="str">
        <f t="shared" si="124"/>
        <v/>
      </c>
      <c r="R2908" s="89" t="str">
        <f t="shared" si="125"/>
        <v/>
      </c>
      <c r="S2908" s="82"/>
    </row>
    <row r="2909" spans="1:19" x14ac:dyDescent="0.25">
      <c r="A2909" s="31" t="str">
        <f>IF(Table!A2909 = "","",Table!A2909)</f>
        <v/>
      </c>
      <c r="B2909" s="31" t="str">
        <f>IF(Table!B2909 = "","",Table!B2909)</f>
        <v/>
      </c>
      <c r="C2909" s="31" t="str">
        <f>IF(Table!C2909 = "","",Table!C2909)</f>
        <v/>
      </c>
      <c r="D2909" s="32" t="str">
        <f>IF(Table!D2909 = "","",Table!D2909)</f>
        <v/>
      </c>
      <c r="E2909" s="32" t="str">
        <f>IF(Table!E2909 = "","",Table!E2909)</f>
        <v/>
      </c>
      <c r="F2909" s="32" t="str">
        <f>IF(Table!F2909 = "","",Table!F2909)</f>
        <v/>
      </c>
      <c r="G2909" s="91"/>
      <c r="K2909" s="31" t="str">
        <f>IFERROR(VLOOKUP(A2909,Table!$I$4:$O$3000,1,TRUE),"")</f>
        <v/>
      </c>
      <c r="L2909" s="31" t="str">
        <f>IFERROR(INDEX(Table!I:O,MATCH(K2909,Table!I:I,0),2),"")</f>
        <v/>
      </c>
      <c r="M2909" s="31" t="str">
        <f>IFERROR(INDEX(Table!I:O,MATCH(K2909,Table!I:I,0),3),"")</f>
        <v/>
      </c>
      <c r="N2909" s="32" t="str">
        <f>IFERROR(INDEX(Table!I:O,MATCH(K2909,Table!I:I,0),4),"")</f>
        <v/>
      </c>
      <c r="O2909" s="32" t="str">
        <f>IFERROR(INDEX(Table!I:O,MATCH(K2909,Table!I:I,0),5),"")</f>
        <v/>
      </c>
      <c r="P2909" s="32" t="str">
        <f>IFERROR(INDEX(Table!I:O,MATCH(K2909,Table!I:I,0),6),"")</f>
        <v/>
      </c>
      <c r="Q2909" s="89" t="str">
        <f t="shared" si="124"/>
        <v/>
      </c>
      <c r="R2909" s="89" t="str">
        <f t="shared" si="125"/>
        <v/>
      </c>
      <c r="S2909" s="82"/>
    </row>
    <row r="2910" spans="1:19" x14ac:dyDescent="0.25">
      <c r="A2910" s="31" t="str">
        <f>IF(Table!A2910 = "","",Table!A2910)</f>
        <v/>
      </c>
      <c r="B2910" s="31" t="str">
        <f>IF(Table!B2910 = "","",Table!B2910)</f>
        <v/>
      </c>
      <c r="C2910" s="31" t="str">
        <f>IF(Table!C2910 = "","",Table!C2910)</f>
        <v/>
      </c>
      <c r="D2910" s="32" t="str">
        <f>IF(Table!D2910 = "","",Table!D2910)</f>
        <v/>
      </c>
      <c r="E2910" s="32" t="str">
        <f>IF(Table!E2910 = "","",Table!E2910)</f>
        <v/>
      </c>
      <c r="F2910" s="32" t="str">
        <f>IF(Table!F2910 = "","",Table!F2910)</f>
        <v/>
      </c>
      <c r="G2910" s="91"/>
      <c r="K2910" s="31" t="str">
        <f>IFERROR(VLOOKUP(A2910,Table!$I$4:$O$3000,1,TRUE),"")</f>
        <v/>
      </c>
      <c r="L2910" s="31" t="str">
        <f>IFERROR(INDEX(Table!I:O,MATCH(K2910,Table!I:I,0),2),"")</f>
        <v/>
      </c>
      <c r="M2910" s="31" t="str">
        <f>IFERROR(INDEX(Table!I:O,MATCH(K2910,Table!I:I,0),3),"")</f>
        <v/>
      </c>
      <c r="N2910" s="32" t="str">
        <f>IFERROR(INDEX(Table!I:O,MATCH(K2910,Table!I:I,0),4),"")</f>
        <v/>
      </c>
      <c r="O2910" s="32" t="str">
        <f>IFERROR(INDEX(Table!I:O,MATCH(K2910,Table!I:I,0),5),"")</f>
        <v/>
      </c>
      <c r="P2910" s="32" t="str">
        <f>IFERROR(INDEX(Table!I:O,MATCH(K2910,Table!I:I,0),6),"")</f>
        <v/>
      </c>
      <c r="Q2910" s="89" t="str">
        <f t="shared" si="124"/>
        <v/>
      </c>
      <c r="R2910" s="89" t="str">
        <f t="shared" si="125"/>
        <v/>
      </c>
      <c r="S2910" s="82"/>
    </row>
    <row r="2911" spans="1:19" x14ac:dyDescent="0.25">
      <c r="A2911" s="31" t="str">
        <f>IF(Table!A2911 = "","",Table!A2911)</f>
        <v/>
      </c>
      <c r="B2911" s="31" t="str">
        <f>IF(Table!B2911 = "","",Table!B2911)</f>
        <v/>
      </c>
      <c r="C2911" s="31" t="str">
        <f>IF(Table!C2911 = "","",Table!C2911)</f>
        <v/>
      </c>
      <c r="D2911" s="32" t="str">
        <f>IF(Table!D2911 = "","",Table!D2911)</f>
        <v/>
      </c>
      <c r="E2911" s="32" t="str">
        <f>IF(Table!E2911 = "","",Table!E2911)</f>
        <v/>
      </c>
      <c r="F2911" s="32" t="str">
        <f>IF(Table!F2911 = "","",Table!F2911)</f>
        <v/>
      </c>
      <c r="G2911" s="91"/>
      <c r="K2911" s="31" t="str">
        <f>IFERROR(VLOOKUP(A2911,Table!$I$4:$O$3000,1,TRUE),"")</f>
        <v/>
      </c>
      <c r="L2911" s="31" t="str">
        <f>IFERROR(INDEX(Table!I:O,MATCH(K2911,Table!I:I,0),2),"")</f>
        <v/>
      </c>
      <c r="M2911" s="31" t="str">
        <f>IFERROR(INDEX(Table!I:O,MATCH(K2911,Table!I:I,0),3),"")</f>
        <v/>
      </c>
      <c r="N2911" s="32" t="str">
        <f>IFERROR(INDEX(Table!I:O,MATCH(K2911,Table!I:I,0),4),"")</f>
        <v/>
      </c>
      <c r="O2911" s="32" t="str">
        <f>IFERROR(INDEX(Table!I:O,MATCH(K2911,Table!I:I,0),5),"")</f>
        <v/>
      </c>
      <c r="P2911" s="32" t="str">
        <f>IFERROR(INDEX(Table!I:O,MATCH(K2911,Table!I:I,0),6),"")</f>
        <v/>
      </c>
      <c r="Q2911" s="89" t="str">
        <f t="shared" si="124"/>
        <v/>
      </c>
      <c r="R2911" s="89" t="str">
        <f t="shared" si="125"/>
        <v/>
      </c>
      <c r="S2911" s="82"/>
    </row>
    <row r="2912" spans="1:19" x14ac:dyDescent="0.25">
      <c r="A2912" s="31" t="str">
        <f>IF(Table!A2912 = "","",Table!A2912)</f>
        <v/>
      </c>
      <c r="B2912" s="31" t="str">
        <f>IF(Table!B2912 = "","",Table!B2912)</f>
        <v/>
      </c>
      <c r="C2912" s="31" t="str">
        <f>IF(Table!C2912 = "","",Table!C2912)</f>
        <v/>
      </c>
      <c r="D2912" s="32" t="str">
        <f>IF(Table!D2912 = "","",Table!D2912)</f>
        <v/>
      </c>
      <c r="E2912" s="32" t="str">
        <f>IF(Table!E2912 = "","",Table!E2912)</f>
        <v/>
      </c>
      <c r="F2912" s="32" t="str">
        <f>IF(Table!F2912 = "","",Table!F2912)</f>
        <v/>
      </c>
      <c r="G2912" s="91"/>
      <c r="K2912" s="31" t="str">
        <f>IFERROR(VLOOKUP(A2912,Table!$I$4:$O$3000,1,TRUE),"")</f>
        <v/>
      </c>
      <c r="L2912" s="31" t="str">
        <f>IFERROR(INDEX(Table!I:O,MATCH(K2912,Table!I:I,0),2),"")</f>
        <v/>
      </c>
      <c r="M2912" s="31" t="str">
        <f>IFERROR(INDEX(Table!I:O,MATCH(K2912,Table!I:I,0),3),"")</f>
        <v/>
      </c>
      <c r="N2912" s="32" t="str">
        <f>IFERROR(INDEX(Table!I:O,MATCH(K2912,Table!I:I,0),4),"")</f>
        <v/>
      </c>
      <c r="O2912" s="32" t="str">
        <f>IFERROR(INDEX(Table!I:O,MATCH(K2912,Table!I:I,0),5),"")</f>
        <v/>
      </c>
      <c r="P2912" s="32" t="str">
        <f>IFERROR(INDEX(Table!I:O,MATCH(K2912,Table!I:I,0),6),"")</f>
        <v/>
      </c>
      <c r="Q2912" s="89" t="str">
        <f t="shared" si="124"/>
        <v/>
      </c>
      <c r="R2912" s="89" t="str">
        <f t="shared" si="125"/>
        <v/>
      </c>
      <c r="S2912" s="82"/>
    </row>
    <row r="2913" spans="1:19" x14ac:dyDescent="0.25">
      <c r="A2913" s="31" t="str">
        <f>IF(Table!A2913 = "","",Table!A2913)</f>
        <v/>
      </c>
      <c r="B2913" s="31" t="str">
        <f>IF(Table!B2913 = "","",Table!B2913)</f>
        <v/>
      </c>
      <c r="C2913" s="31" t="str">
        <f>IF(Table!C2913 = "","",Table!C2913)</f>
        <v/>
      </c>
      <c r="D2913" s="32" t="str">
        <f>IF(Table!D2913 = "","",Table!D2913)</f>
        <v/>
      </c>
      <c r="E2913" s="32" t="str">
        <f>IF(Table!E2913 = "","",Table!E2913)</f>
        <v/>
      </c>
      <c r="F2913" s="32" t="str">
        <f>IF(Table!F2913 = "","",Table!F2913)</f>
        <v/>
      </c>
      <c r="G2913" s="91"/>
      <c r="K2913" s="31" t="str">
        <f>IFERROR(VLOOKUP(A2913,Table!$I$4:$O$3000,1,TRUE),"")</f>
        <v/>
      </c>
      <c r="L2913" s="31" t="str">
        <f>IFERROR(INDEX(Table!I:O,MATCH(K2913,Table!I:I,0),2),"")</f>
        <v/>
      </c>
      <c r="M2913" s="31" t="str">
        <f>IFERROR(INDEX(Table!I:O,MATCH(K2913,Table!I:I,0),3),"")</f>
        <v/>
      </c>
      <c r="N2913" s="32" t="str">
        <f>IFERROR(INDEX(Table!I:O,MATCH(K2913,Table!I:I,0),4),"")</f>
        <v/>
      </c>
      <c r="O2913" s="32" t="str">
        <f>IFERROR(INDEX(Table!I:O,MATCH(K2913,Table!I:I,0),5),"")</f>
        <v/>
      </c>
      <c r="P2913" s="32" t="str">
        <f>IFERROR(INDEX(Table!I:O,MATCH(K2913,Table!I:I,0),6),"")</f>
        <v/>
      </c>
      <c r="Q2913" s="89" t="str">
        <f t="shared" si="124"/>
        <v/>
      </c>
      <c r="R2913" s="89" t="str">
        <f t="shared" si="125"/>
        <v/>
      </c>
      <c r="S2913" s="82"/>
    </row>
    <row r="2914" spans="1:19" x14ac:dyDescent="0.25">
      <c r="A2914" s="31" t="str">
        <f>IF(Table!A2914 = "","",Table!A2914)</f>
        <v/>
      </c>
      <c r="B2914" s="31" t="str">
        <f>IF(Table!B2914 = "","",Table!B2914)</f>
        <v/>
      </c>
      <c r="C2914" s="31" t="str">
        <f>IF(Table!C2914 = "","",Table!C2914)</f>
        <v/>
      </c>
      <c r="D2914" s="32" t="str">
        <f>IF(Table!D2914 = "","",Table!D2914)</f>
        <v/>
      </c>
      <c r="E2914" s="32" t="str">
        <f>IF(Table!E2914 = "","",Table!E2914)</f>
        <v/>
      </c>
      <c r="F2914" s="32" t="str">
        <f>IF(Table!F2914 = "","",Table!F2914)</f>
        <v/>
      </c>
      <c r="G2914" s="91"/>
      <c r="K2914" s="31" t="str">
        <f>IFERROR(VLOOKUP(A2914,Table!$I$4:$O$3000,1,TRUE),"")</f>
        <v/>
      </c>
      <c r="L2914" s="31" t="str">
        <f>IFERROR(INDEX(Table!I:O,MATCH(K2914,Table!I:I,0),2),"")</f>
        <v/>
      </c>
      <c r="M2914" s="31" t="str">
        <f>IFERROR(INDEX(Table!I:O,MATCH(K2914,Table!I:I,0),3),"")</f>
        <v/>
      </c>
      <c r="N2914" s="32" t="str">
        <f>IFERROR(INDEX(Table!I:O,MATCH(K2914,Table!I:I,0),4),"")</f>
        <v/>
      </c>
      <c r="O2914" s="32" t="str">
        <f>IFERROR(INDEX(Table!I:O,MATCH(K2914,Table!I:I,0),5),"")</f>
        <v/>
      </c>
      <c r="P2914" s="32" t="str">
        <f>IFERROR(INDEX(Table!I:O,MATCH(K2914,Table!I:I,0),6),"")</f>
        <v/>
      </c>
      <c r="Q2914" s="89" t="str">
        <f t="shared" si="124"/>
        <v/>
      </c>
      <c r="R2914" s="89" t="str">
        <f t="shared" si="125"/>
        <v/>
      </c>
      <c r="S2914" s="82"/>
    </row>
    <row r="2915" spans="1:19" x14ac:dyDescent="0.25">
      <c r="A2915" s="31" t="str">
        <f>IF(Table!A2915 = "","",Table!A2915)</f>
        <v/>
      </c>
      <c r="B2915" s="31" t="str">
        <f>IF(Table!B2915 = "","",Table!B2915)</f>
        <v/>
      </c>
      <c r="C2915" s="31" t="str">
        <f>IF(Table!C2915 = "","",Table!C2915)</f>
        <v/>
      </c>
      <c r="D2915" s="32" t="str">
        <f>IF(Table!D2915 = "","",Table!D2915)</f>
        <v/>
      </c>
      <c r="E2915" s="32" t="str">
        <f>IF(Table!E2915 = "","",Table!E2915)</f>
        <v/>
      </c>
      <c r="F2915" s="32" t="str">
        <f>IF(Table!F2915 = "","",Table!F2915)</f>
        <v/>
      </c>
      <c r="G2915" s="91"/>
      <c r="K2915" s="31" t="str">
        <f>IFERROR(VLOOKUP(A2915,Table!$I$4:$O$3000,1,TRUE),"")</f>
        <v/>
      </c>
      <c r="L2915" s="31" t="str">
        <f>IFERROR(INDEX(Table!I:O,MATCH(K2915,Table!I:I,0),2),"")</f>
        <v/>
      </c>
      <c r="M2915" s="31" t="str">
        <f>IFERROR(INDEX(Table!I:O,MATCH(K2915,Table!I:I,0),3),"")</f>
        <v/>
      </c>
      <c r="N2915" s="32" t="str">
        <f>IFERROR(INDEX(Table!I:O,MATCH(K2915,Table!I:I,0),4),"")</f>
        <v/>
      </c>
      <c r="O2915" s="32" t="str">
        <f>IFERROR(INDEX(Table!I:O,MATCH(K2915,Table!I:I,0),5),"")</f>
        <v/>
      </c>
      <c r="P2915" s="32" t="str">
        <f>IFERROR(INDEX(Table!I:O,MATCH(K2915,Table!I:I,0),6),"")</f>
        <v/>
      </c>
      <c r="Q2915" s="89" t="str">
        <f t="shared" si="124"/>
        <v/>
      </c>
      <c r="R2915" s="89" t="str">
        <f t="shared" si="125"/>
        <v/>
      </c>
      <c r="S2915" s="82"/>
    </row>
    <row r="2916" spans="1:19" x14ac:dyDescent="0.25">
      <c r="A2916" s="31" t="str">
        <f>IF(Table!A2916 = "","",Table!A2916)</f>
        <v/>
      </c>
      <c r="B2916" s="31" t="str">
        <f>IF(Table!B2916 = "","",Table!B2916)</f>
        <v/>
      </c>
      <c r="C2916" s="31" t="str">
        <f>IF(Table!C2916 = "","",Table!C2916)</f>
        <v/>
      </c>
      <c r="D2916" s="32" t="str">
        <f>IF(Table!D2916 = "","",Table!D2916)</f>
        <v/>
      </c>
      <c r="E2916" s="32" t="str">
        <f>IF(Table!E2916 = "","",Table!E2916)</f>
        <v/>
      </c>
      <c r="F2916" s="32" t="str">
        <f>IF(Table!F2916 = "","",Table!F2916)</f>
        <v/>
      </c>
      <c r="G2916" s="91"/>
      <c r="K2916" s="31" t="str">
        <f>IFERROR(VLOOKUP(A2916,Table!$I$4:$O$3000,1,TRUE),"")</f>
        <v/>
      </c>
      <c r="L2916" s="31" t="str">
        <f>IFERROR(INDEX(Table!I:O,MATCH(K2916,Table!I:I,0),2),"")</f>
        <v/>
      </c>
      <c r="M2916" s="31" t="str">
        <f>IFERROR(INDEX(Table!I:O,MATCH(K2916,Table!I:I,0),3),"")</f>
        <v/>
      </c>
      <c r="N2916" s="32" t="str">
        <f>IFERROR(INDEX(Table!I:O,MATCH(K2916,Table!I:I,0),4),"")</f>
        <v/>
      </c>
      <c r="O2916" s="32" t="str">
        <f>IFERROR(INDEX(Table!I:O,MATCH(K2916,Table!I:I,0),5),"")</f>
        <v/>
      </c>
      <c r="P2916" s="32" t="str">
        <f>IFERROR(INDEX(Table!I:O,MATCH(K2916,Table!I:I,0),6),"")</f>
        <v/>
      </c>
      <c r="Q2916" s="89" t="str">
        <f t="shared" si="124"/>
        <v/>
      </c>
      <c r="R2916" s="89" t="str">
        <f t="shared" si="125"/>
        <v/>
      </c>
      <c r="S2916" s="82"/>
    </row>
    <row r="2917" spans="1:19" x14ac:dyDescent="0.25">
      <c r="A2917" s="31" t="str">
        <f>IF(Table!A2917 = "","",Table!A2917)</f>
        <v/>
      </c>
      <c r="B2917" s="31" t="str">
        <f>IF(Table!B2917 = "","",Table!B2917)</f>
        <v/>
      </c>
      <c r="C2917" s="31" t="str">
        <f>IF(Table!C2917 = "","",Table!C2917)</f>
        <v/>
      </c>
      <c r="D2917" s="32" t="str">
        <f>IF(Table!D2917 = "","",Table!D2917)</f>
        <v/>
      </c>
      <c r="E2917" s="32" t="str">
        <f>IF(Table!E2917 = "","",Table!E2917)</f>
        <v/>
      </c>
      <c r="F2917" s="32" t="str">
        <f>IF(Table!F2917 = "","",Table!F2917)</f>
        <v/>
      </c>
      <c r="G2917" s="91"/>
      <c r="K2917" s="31" t="str">
        <f>IFERROR(VLOOKUP(A2917,Table!$I$4:$O$3000,1,TRUE),"")</f>
        <v/>
      </c>
      <c r="L2917" s="31" t="str">
        <f>IFERROR(INDEX(Table!I:O,MATCH(K2917,Table!I:I,0),2),"")</f>
        <v/>
      </c>
      <c r="M2917" s="31" t="str">
        <f>IFERROR(INDEX(Table!I:O,MATCH(K2917,Table!I:I,0),3),"")</f>
        <v/>
      </c>
      <c r="N2917" s="32" t="str">
        <f>IFERROR(INDEX(Table!I:O,MATCH(K2917,Table!I:I,0),4),"")</f>
        <v/>
      </c>
      <c r="O2917" s="32" t="str">
        <f>IFERROR(INDEX(Table!I:O,MATCH(K2917,Table!I:I,0),5),"")</f>
        <v/>
      </c>
      <c r="P2917" s="32" t="str">
        <f>IFERROR(INDEX(Table!I:O,MATCH(K2917,Table!I:I,0),6),"")</f>
        <v/>
      </c>
      <c r="Q2917" s="89" t="str">
        <f t="shared" si="124"/>
        <v/>
      </c>
      <c r="R2917" s="89" t="str">
        <f t="shared" si="125"/>
        <v/>
      </c>
      <c r="S2917" s="82"/>
    </row>
    <row r="2918" spans="1:19" x14ac:dyDescent="0.25">
      <c r="A2918" s="31" t="str">
        <f>IF(Table!A2918 = "","",Table!A2918)</f>
        <v/>
      </c>
      <c r="B2918" s="31" t="str">
        <f>IF(Table!B2918 = "","",Table!B2918)</f>
        <v/>
      </c>
      <c r="C2918" s="31" t="str">
        <f>IF(Table!C2918 = "","",Table!C2918)</f>
        <v/>
      </c>
      <c r="D2918" s="32" t="str">
        <f>IF(Table!D2918 = "","",Table!D2918)</f>
        <v/>
      </c>
      <c r="E2918" s="32" t="str">
        <f>IF(Table!E2918 = "","",Table!E2918)</f>
        <v/>
      </c>
      <c r="F2918" s="32" t="str">
        <f>IF(Table!F2918 = "","",Table!F2918)</f>
        <v/>
      </c>
      <c r="G2918" s="91"/>
      <c r="K2918" s="31" t="str">
        <f>IFERROR(VLOOKUP(A2918,Table!$I$4:$O$3000,1,TRUE),"")</f>
        <v/>
      </c>
      <c r="L2918" s="31" t="str">
        <f>IFERROR(INDEX(Table!I:O,MATCH(K2918,Table!I:I,0),2),"")</f>
        <v/>
      </c>
      <c r="M2918" s="31" t="str">
        <f>IFERROR(INDEX(Table!I:O,MATCH(K2918,Table!I:I,0),3),"")</f>
        <v/>
      </c>
      <c r="N2918" s="32" t="str">
        <f>IFERROR(INDEX(Table!I:O,MATCH(K2918,Table!I:I,0),4),"")</f>
        <v/>
      </c>
      <c r="O2918" s="32" t="str">
        <f>IFERROR(INDEX(Table!I:O,MATCH(K2918,Table!I:I,0),5),"")</f>
        <v/>
      </c>
      <c r="P2918" s="32" t="str">
        <f>IFERROR(INDEX(Table!I:O,MATCH(K2918,Table!I:I,0),6),"")</f>
        <v/>
      </c>
      <c r="Q2918" s="89" t="str">
        <f t="shared" si="124"/>
        <v/>
      </c>
      <c r="R2918" s="89" t="str">
        <f t="shared" si="125"/>
        <v/>
      </c>
      <c r="S2918" s="82"/>
    </row>
    <row r="2919" spans="1:19" x14ac:dyDescent="0.25">
      <c r="A2919" s="31" t="str">
        <f>IF(Table!A2919 = "","",Table!A2919)</f>
        <v/>
      </c>
      <c r="B2919" s="31" t="str">
        <f>IF(Table!B2919 = "","",Table!B2919)</f>
        <v/>
      </c>
      <c r="C2919" s="31" t="str">
        <f>IF(Table!C2919 = "","",Table!C2919)</f>
        <v/>
      </c>
      <c r="D2919" s="32" t="str">
        <f>IF(Table!D2919 = "","",Table!D2919)</f>
        <v/>
      </c>
      <c r="E2919" s="32" t="str">
        <f>IF(Table!E2919 = "","",Table!E2919)</f>
        <v/>
      </c>
      <c r="F2919" s="32" t="str">
        <f>IF(Table!F2919 = "","",Table!F2919)</f>
        <v/>
      </c>
      <c r="G2919" s="91"/>
      <c r="K2919" s="31" t="str">
        <f>IFERROR(VLOOKUP(A2919,Table!$I$4:$O$3000,1,TRUE),"")</f>
        <v/>
      </c>
      <c r="L2919" s="31" t="str">
        <f>IFERROR(INDEX(Table!I:O,MATCH(K2919,Table!I:I,0),2),"")</f>
        <v/>
      </c>
      <c r="M2919" s="31" t="str">
        <f>IFERROR(INDEX(Table!I:O,MATCH(K2919,Table!I:I,0),3),"")</f>
        <v/>
      </c>
      <c r="N2919" s="32" t="str">
        <f>IFERROR(INDEX(Table!I:O,MATCH(K2919,Table!I:I,0),4),"")</f>
        <v/>
      </c>
      <c r="O2919" s="32" t="str">
        <f>IFERROR(INDEX(Table!I:O,MATCH(K2919,Table!I:I,0),5),"")</f>
        <v/>
      </c>
      <c r="P2919" s="32" t="str">
        <f>IFERROR(INDEX(Table!I:O,MATCH(K2919,Table!I:I,0),6),"")</f>
        <v/>
      </c>
      <c r="Q2919" s="89" t="str">
        <f t="shared" si="124"/>
        <v/>
      </c>
      <c r="R2919" s="89" t="str">
        <f t="shared" si="125"/>
        <v/>
      </c>
      <c r="S2919" s="82"/>
    </row>
    <row r="2920" spans="1:19" x14ac:dyDescent="0.25">
      <c r="A2920" s="31" t="str">
        <f>IF(Table!A2920 = "","",Table!A2920)</f>
        <v/>
      </c>
      <c r="B2920" s="31" t="str">
        <f>IF(Table!B2920 = "","",Table!B2920)</f>
        <v/>
      </c>
      <c r="C2920" s="31" t="str">
        <f>IF(Table!C2920 = "","",Table!C2920)</f>
        <v/>
      </c>
      <c r="D2920" s="32" t="str">
        <f>IF(Table!D2920 = "","",Table!D2920)</f>
        <v/>
      </c>
      <c r="E2920" s="32" t="str">
        <f>IF(Table!E2920 = "","",Table!E2920)</f>
        <v/>
      </c>
      <c r="F2920" s="32" t="str">
        <f>IF(Table!F2920 = "","",Table!F2920)</f>
        <v/>
      </c>
      <c r="G2920" s="91"/>
      <c r="K2920" s="31" t="str">
        <f>IFERROR(VLOOKUP(A2920,Table!$I$4:$O$3000,1,TRUE),"")</f>
        <v/>
      </c>
      <c r="L2920" s="31" t="str">
        <f>IFERROR(INDEX(Table!I:O,MATCH(K2920,Table!I:I,0),2),"")</f>
        <v/>
      </c>
      <c r="M2920" s="31" t="str">
        <f>IFERROR(INDEX(Table!I:O,MATCH(K2920,Table!I:I,0),3),"")</f>
        <v/>
      </c>
      <c r="N2920" s="32" t="str">
        <f>IFERROR(INDEX(Table!I:O,MATCH(K2920,Table!I:I,0),4),"")</f>
        <v/>
      </c>
      <c r="O2920" s="32" t="str">
        <f>IFERROR(INDEX(Table!I:O,MATCH(K2920,Table!I:I,0),5),"")</f>
        <v/>
      </c>
      <c r="P2920" s="32" t="str">
        <f>IFERROR(INDEX(Table!I:O,MATCH(K2920,Table!I:I,0),6),"")</f>
        <v/>
      </c>
      <c r="Q2920" s="89" t="str">
        <f t="shared" si="124"/>
        <v/>
      </c>
      <c r="R2920" s="89" t="str">
        <f t="shared" si="125"/>
        <v/>
      </c>
      <c r="S2920" s="82"/>
    </row>
    <row r="2921" spans="1:19" x14ac:dyDescent="0.25">
      <c r="A2921" s="31" t="str">
        <f>IF(Table!A2921 = "","",Table!A2921)</f>
        <v/>
      </c>
      <c r="B2921" s="31" t="str">
        <f>IF(Table!B2921 = "","",Table!B2921)</f>
        <v/>
      </c>
      <c r="C2921" s="31" t="str">
        <f>IF(Table!C2921 = "","",Table!C2921)</f>
        <v/>
      </c>
      <c r="D2921" s="32" t="str">
        <f>IF(Table!D2921 = "","",Table!D2921)</f>
        <v/>
      </c>
      <c r="E2921" s="32" t="str">
        <f>IF(Table!E2921 = "","",Table!E2921)</f>
        <v/>
      </c>
      <c r="F2921" s="32" t="str">
        <f>IF(Table!F2921 = "","",Table!F2921)</f>
        <v/>
      </c>
      <c r="G2921" s="91"/>
      <c r="K2921" s="31" t="str">
        <f>IFERROR(VLOOKUP(A2921,Table!$I$4:$O$3000,1,TRUE),"")</f>
        <v/>
      </c>
      <c r="L2921" s="31" t="str">
        <f>IFERROR(INDEX(Table!I:O,MATCH(K2921,Table!I:I,0),2),"")</f>
        <v/>
      </c>
      <c r="M2921" s="31" t="str">
        <f>IFERROR(INDEX(Table!I:O,MATCH(K2921,Table!I:I,0),3),"")</f>
        <v/>
      </c>
      <c r="N2921" s="32" t="str">
        <f>IFERROR(INDEX(Table!I:O,MATCH(K2921,Table!I:I,0),4),"")</f>
        <v/>
      </c>
      <c r="O2921" s="32" t="str">
        <f>IFERROR(INDEX(Table!I:O,MATCH(K2921,Table!I:I,0),5),"")</f>
        <v/>
      </c>
      <c r="P2921" s="32" t="str">
        <f>IFERROR(INDEX(Table!I:O,MATCH(K2921,Table!I:I,0),6),"")</f>
        <v/>
      </c>
      <c r="Q2921" s="89" t="str">
        <f t="shared" si="124"/>
        <v/>
      </c>
      <c r="R2921" s="89" t="str">
        <f t="shared" si="125"/>
        <v/>
      </c>
      <c r="S2921" s="82"/>
    </row>
    <row r="2922" spans="1:19" x14ac:dyDescent="0.25">
      <c r="A2922" s="31" t="str">
        <f>IF(Table!A2922 = "","",Table!A2922)</f>
        <v/>
      </c>
      <c r="B2922" s="31" t="str">
        <f>IF(Table!B2922 = "","",Table!B2922)</f>
        <v/>
      </c>
      <c r="C2922" s="31" t="str">
        <f>IF(Table!C2922 = "","",Table!C2922)</f>
        <v/>
      </c>
      <c r="D2922" s="32" t="str">
        <f>IF(Table!D2922 = "","",Table!D2922)</f>
        <v/>
      </c>
      <c r="E2922" s="32" t="str">
        <f>IF(Table!E2922 = "","",Table!E2922)</f>
        <v/>
      </c>
      <c r="F2922" s="32" t="str">
        <f>IF(Table!F2922 = "","",Table!F2922)</f>
        <v/>
      </c>
      <c r="G2922" s="91"/>
      <c r="K2922" s="31" t="str">
        <f>IFERROR(VLOOKUP(A2922,Table!$I$4:$O$3000,1,TRUE),"")</f>
        <v/>
      </c>
      <c r="L2922" s="31" t="str">
        <f>IFERROR(INDEX(Table!I:O,MATCH(K2922,Table!I:I,0),2),"")</f>
        <v/>
      </c>
      <c r="M2922" s="31" t="str">
        <f>IFERROR(INDEX(Table!I:O,MATCH(K2922,Table!I:I,0),3),"")</f>
        <v/>
      </c>
      <c r="N2922" s="32" t="str">
        <f>IFERROR(INDEX(Table!I:O,MATCH(K2922,Table!I:I,0),4),"")</f>
        <v/>
      </c>
      <c r="O2922" s="32" t="str">
        <f>IFERROR(INDEX(Table!I:O,MATCH(K2922,Table!I:I,0),5),"")</f>
        <v/>
      </c>
      <c r="P2922" s="32" t="str">
        <f>IFERROR(INDEX(Table!I:O,MATCH(K2922,Table!I:I,0),6),"")</f>
        <v/>
      </c>
      <c r="Q2922" s="89" t="str">
        <f t="shared" si="124"/>
        <v/>
      </c>
      <c r="R2922" s="89" t="str">
        <f t="shared" si="125"/>
        <v/>
      </c>
      <c r="S2922" s="82"/>
    </row>
    <row r="2923" spans="1:19" x14ac:dyDescent="0.25">
      <c r="A2923" s="31" t="str">
        <f>IF(Table!A2923 = "","",Table!A2923)</f>
        <v/>
      </c>
      <c r="B2923" s="31" t="str">
        <f>IF(Table!B2923 = "","",Table!B2923)</f>
        <v/>
      </c>
      <c r="C2923" s="31" t="str">
        <f>IF(Table!C2923 = "","",Table!C2923)</f>
        <v/>
      </c>
      <c r="D2923" s="32" t="str">
        <f>IF(Table!D2923 = "","",Table!D2923)</f>
        <v/>
      </c>
      <c r="E2923" s="32" t="str">
        <f>IF(Table!E2923 = "","",Table!E2923)</f>
        <v/>
      </c>
      <c r="F2923" s="32" t="str">
        <f>IF(Table!F2923 = "","",Table!F2923)</f>
        <v/>
      </c>
      <c r="G2923" s="91"/>
      <c r="K2923" s="31" t="str">
        <f>IFERROR(VLOOKUP(A2923,Table!$I$4:$O$3000,1,TRUE),"")</f>
        <v/>
      </c>
      <c r="L2923" s="31" t="str">
        <f>IFERROR(INDEX(Table!I:O,MATCH(K2923,Table!I:I,0),2),"")</f>
        <v/>
      </c>
      <c r="M2923" s="31" t="str">
        <f>IFERROR(INDEX(Table!I:O,MATCH(K2923,Table!I:I,0),3),"")</f>
        <v/>
      </c>
      <c r="N2923" s="32" t="str">
        <f>IFERROR(INDEX(Table!I:O,MATCH(K2923,Table!I:I,0),4),"")</f>
        <v/>
      </c>
      <c r="O2923" s="32" t="str">
        <f>IFERROR(INDEX(Table!I:O,MATCH(K2923,Table!I:I,0),5),"")</f>
        <v/>
      </c>
      <c r="P2923" s="32" t="str">
        <f>IFERROR(INDEX(Table!I:O,MATCH(K2923,Table!I:I,0),6),"")</f>
        <v/>
      </c>
      <c r="Q2923" s="89" t="str">
        <f t="shared" si="124"/>
        <v/>
      </c>
      <c r="R2923" s="89" t="str">
        <f t="shared" si="125"/>
        <v/>
      </c>
      <c r="S2923" s="82"/>
    </row>
    <row r="2924" spans="1:19" x14ac:dyDescent="0.25">
      <c r="A2924" s="31" t="str">
        <f>IF(Table!A2924 = "","",Table!A2924)</f>
        <v/>
      </c>
      <c r="B2924" s="31" t="str">
        <f>IF(Table!B2924 = "","",Table!B2924)</f>
        <v/>
      </c>
      <c r="C2924" s="31" t="str">
        <f>IF(Table!C2924 = "","",Table!C2924)</f>
        <v/>
      </c>
      <c r="D2924" s="32" t="str">
        <f>IF(Table!D2924 = "","",Table!D2924)</f>
        <v/>
      </c>
      <c r="E2924" s="32" t="str">
        <f>IF(Table!E2924 = "","",Table!E2924)</f>
        <v/>
      </c>
      <c r="F2924" s="32" t="str">
        <f>IF(Table!F2924 = "","",Table!F2924)</f>
        <v/>
      </c>
      <c r="G2924" s="91"/>
      <c r="K2924" s="31" t="str">
        <f>IFERROR(VLOOKUP(A2924,Table!$I$4:$O$3000,1,TRUE),"")</f>
        <v/>
      </c>
      <c r="L2924" s="31" t="str">
        <f>IFERROR(INDEX(Table!I:O,MATCH(K2924,Table!I:I,0),2),"")</f>
        <v/>
      </c>
      <c r="M2924" s="31" t="str">
        <f>IFERROR(INDEX(Table!I:O,MATCH(K2924,Table!I:I,0),3),"")</f>
        <v/>
      </c>
      <c r="N2924" s="32" t="str">
        <f>IFERROR(INDEX(Table!I:O,MATCH(K2924,Table!I:I,0),4),"")</f>
        <v/>
      </c>
      <c r="O2924" s="32" t="str">
        <f>IFERROR(INDEX(Table!I:O,MATCH(K2924,Table!I:I,0),5),"")</f>
        <v/>
      </c>
      <c r="P2924" s="32" t="str">
        <f>IFERROR(INDEX(Table!I:O,MATCH(K2924,Table!I:I,0),6),"")</f>
        <v/>
      </c>
      <c r="Q2924" s="89" t="str">
        <f t="shared" si="124"/>
        <v/>
      </c>
      <c r="R2924" s="89" t="str">
        <f t="shared" si="125"/>
        <v/>
      </c>
      <c r="S2924" s="82"/>
    </row>
    <row r="2925" spans="1:19" x14ac:dyDescent="0.25">
      <c r="A2925" s="31" t="str">
        <f>IF(Table!A2925 = "","",Table!A2925)</f>
        <v/>
      </c>
      <c r="B2925" s="31" t="str">
        <f>IF(Table!B2925 = "","",Table!B2925)</f>
        <v/>
      </c>
      <c r="C2925" s="31" t="str">
        <f>IF(Table!C2925 = "","",Table!C2925)</f>
        <v/>
      </c>
      <c r="D2925" s="32" t="str">
        <f>IF(Table!D2925 = "","",Table!D2925)</f>
        <v/>
      </c>
      <c r="E2925" s="32" t="str">
        <f>IF(Table!E2925 = "","",Table!E2925)</f>
        <v/>
      </c>
      <c r="F2925" s="32" t="str">
        <f>IF(Table!F2925 = "","",Table!F2925)</f>
        <v/>
      </c>
      <c r="G2925" s="91"/>
      <c r="K2925" s="31" t="str">
        <f>IFERROR(VLOOKUP(A2925,Table!$I$4:$O$3000,1,TRUE),"")</f>
        <v/>
      </c>
      <c r="L2925" s="31" t="str">
        <f>IFERROR(INDEX(Table!I:O,MATCH(K2925,Table!I:I,0),2),"")</f>
        <v/>
      </c>
      <c r="M2925" s="31" t="str">
        <f>IFERROR(INDEX(Table!I:O,MATCH(K2925,Table!I:I,0),3),"")</f>
        <v/>
      </c>
      <c r="N2925" s="32" t="str">
        <f>IFERROR(INDEX(Table!I:O,MATCH(K2925,Table!I:I,0),4),"")</f>
        <v/>
      </c>
      <c r="O2925" s="32" t="str">
        <f>IFERROR(INDEX(Table!I:O,MATCH(K2925,Table!I:I,0),5),"")</f>
        <v/>
      </c>
      <c r="P2925" s="32" t="str">
        <f>IFERROR(INDEX(Table!I:O,MATCH(K2925,Table!I:I,0),6),"")</f>
        <v/>
      </c>
      <c r="Q2925" s="89" t="str">
        <f t="shared" si="124"/>
        <v/>
      </c>
      <c r="R2925" s="89" t="str">
        <f t="shared" si="125"/>
        <v/>
      </c>
      <c r="S2925" s="82"/>
    </row>
    <row r="2926" spans="1:19" x14ac:dyDescent="0.25">
      <c r="A2926" s="31" t="str">
        <f>IF(Table!A2926 = "","",Table!A2926)</f>
        <v/>
      </c>
      <c r="B2926" s="31" t="str">
        <f>IF(Table!B2926 = "","",Table!B2926)</f>
        <v/>
      </c>
      <c r="C2926" s="31" t="str">
        <f>IF(Table!C2926 = "","",Table!C2926)</f>
        <v/>
      </c>
      <c r="D2926" s="32" t="str">
        <f>IF(Table!D2926 = "","",Table!D2926)</f>
        <v/>
      </c>
      <c r="E2926" s="32" t="str">
        <f>IF(Table!E2926 = "","",Table!E2926)</f>
        <v/>
      </c>
      <c r="F2926" s="32" t="str">
        <f>IF(Table!F2926 = "","",Table!F2926)</f>
        <v/>
      </c>
      <c r="G2926" s="91"/>
      <c r="K2926" s="31" t="str">
        <f>IFERROR(VLOOKUP(A2926,Table!$I$4:$O$3000,1,TRUE),"")</f>
        <v/>
      </c>
      <c r="L2926" s="31" t="str">
        <f>IFERROR(INDEX(Table!I:O,MATCH(K2926,Table!I:I,0),2),"")</f>
        <v/>
      </c>
      <c r="M2926" s="31" t="str">
        <f>IFERROR(INDEX(Table!I:O,MATCH(K2926,Table!I:I,0),3),"")</f>
        <v/>
      </c>
      <c r="N2926" s="32" t="str">
        <f>IFERROR(INDEX(Table!I:O,MATCH(K2926,Table!I:I,0),4),"")</f>
        <v/>
      </c>
      <c r="O2926" s="32" t="str">
        <f>IFERROR(INDEX(Table!I:O,MATCH(K2926,Table!I:I,0),5),"")</f>
        <v/>
      </c>
      <c r="P2926" s="32" t="str">
        <f>IFERROR(INDEX(Table!I:O,MATCH(K2926,Table!I:I,0),6),"")</f>
        <v/>
      </c>
      <c r="Q2926" s="89" t="str">
        <f t="shared" si="124"/>
        <v/>
      </c>
      <c r="R2926" s="89" t="str">
        <f t="shared" si="125"/>
        <v/>
      </c>
      <c r="S2926" s="82"/>
    </row>
    <row r="2927" spans="1:19" x14ac:dyDescent="0.25">
      <c r="A2927" s="31" t="str">
        <f>IF(Table!A2927 = "","",Table!A2927)</f>
        <v/>
      </c>
      <c r="B2927" s="31" t="str">
        <f>IF(Table!B2927 = "","",Table!B2927)</f>
        <v/>
      </c>
      <c r="C2927" s="31" t="str">
        <f>IF(Table!C2927 = "","",Table!C2927)</f>
        <v/>
      </c>
      <c r="D2927" s="32" t="str">
        <f>IF(Table!D2927 = "","",Table!D2927)</f>
        <v/>
      </c>
      <c r="E2927" s="32" t="str">
        <f>IF(Table!E2927 = "","",Table!E2927)</f>
        <v/>
      </c>
      <c r="F2927" s="32" t="str">
        <f>IF(Table!F2927 = "","",Table!F2927)</f>
        <v/>
      </c>
      <c r="G2927" s="91"/>
      <c r="K2927" s="31" t="str">
        <f>IFERROR(VLOOKUP(A2927,Table!$I$4:$O$3000,1,TRUE),"")</f>
        <v/>
      </c>
      <c r="L2927" s="31" t="str">
        <f>IFERROR(INDEX(Table!I:O,MATCH(K2927,Table!I:I,0),2),"")</f>
        <v/>
      </c>
      <c r="M2927" s="31" t="str">
        <f>IFERROR(INDEX(Table!I:O,MATCH(K2927,Table!I:I,0),3),"")</f>
        <v/>
      </c>
      <c r="N2927" s="32" t="str">
        <f>IFERROR(INDEX(Table!I:O,MATCH(K2927,Table!I:I,0),4),"")</f>
        <v/>
      </c>
      <c r="O2927" s="32" t="str">
        <f>IFERROR(INDEX(Table!I:O,MATCH(K2927,Table!I:I,0),5),"")</f>
        <v/>
      </c>
      <c r="P2927" s="32" t="str">
        <f>IFERROR(INDEX(Table!I:O,MATCH(K2927,Table!I:I,0),6),"")</f>
        <v/>
      </c>
      <c r="Q2927" s="89" t="str">
        <f t="shared" si="124"/>
        <v/>
      </c>
      <c r="R2927" s="89" t="str">
        <f t="shared" si="125"/>
        <v/>
      </c>
      <c r="S2927" s="82"/>
    </row>
    <row r="2928" spans="1:19" x14ac:dyDescent="0.25">
      <c r="A2928" s="31" t="str">
        <f>IF(Table!A2928 = "","",Table!A2928)</f>
        <v/>
      </c>
      <c r="B2928" s="31" t="str">
        <f>IF(Table!B2928 = "","",Table!B2928)</f>
        <v/>
      </c>
      <c r="C2928" s="31" t="str">
        <f>IF(Table!C2928 = "","",Table!C2928)</f>
        <v/>
      </c>
      <c r="D2928" s="32" t="str">
        <f>IF(Table!D2928 = "","",Table!D2928)</f>
        <v/>
      </c>
      <c r="E2928" s="32" t="str">
        <f>IF(Table!E2928 = "","",Table!E2928)</f>
        <v/>
      </c>
      <c r="F2928" s="32" t="str">
        <f>IF(Table!F2928 = "","",Table!F2928)</f>
        <v/>
      </c>
      <c r="G2928" s="91"/>
      <c r="K2928" s="31" t="str">
        <f>IFERROR(VLOOKUP(A2928,Table!$I$4:$O$3000,1,TRUE),"")</f>
        <v/>
      </c>
      <c r="L2928" s="31" t="str">
        <f>IFERROR(INDEX(Table!I:O,MATCH(K2928,Table!I:I,0),2),"")</f>
        <v/>
      </c>
      <c r="M2928" s="31" t="str">
        <f>IFERROR(INDEX(Table!I:O,MATCH(K2928,Table!I:I,0),3),"")</f>
        <v/>
      </c>
      <c r="N2928" s="32" t="str">
        <f>IFERROR(INDEX(Table!I:O,MATCH(K2928,Table!I:I,0),4),"")</f>
        <v/>
      </c>
      <c r="O2928" s="32" t="str">
        <f>IFERROR(INDEX(Table!I:O,MATCH(K2928,Table!I:I,0),5),"")</f>
        <v/>
      </c>
      <c r="P2928" s="32" t="str">
        <f>IFERROR(INDEX(Table!I:O,MATCH(K2928,Table!I:I,0),6),"")</f>
        <v/>
      </c>
      <c r="Q2928" s="89" t="str">
        <f t="shared" si="124"/>
        <v/>
      </c>
      <c r="R2928" s="89" t="str">
        <f t="shared" si="125"/>
        <v/>
      </c>
      <c r="S2928" s="82"/>
    </row>
    <row r="2929" spans="1:19" x14ac:dyDescent="0.25">
      <c r="A2929" s="31" t="str">
        <f>IF(Table!A2929 = "","",Table!A2929)</f>
        <v/>
      </c>
      <c r="B2929" s="31" t="str">
        <f>IF(Table!B2929 = "","",Table!B2929)</f>
        <v/>
      </c>
      <c r="C2929" s="31" t="str">
        <f>IF(Table!C2929 = "","",Table!C2929)</f>
        <v/>
      </c>
      <c r="D2929" s="32" t="str">
        <f>IF(Table!D2929 = "","",Table!D2929)</f>
        <v/>
      </c>
      <c r="E2929" s="32" t="str">
        <f>IF(Table!E2929 = "","",Table!E2929)</f>
        <v/>
      </c>
      <c r="F2929" s="32" t="str">
        <f>IF(Table!F2929 = "","",Table!F2929)</f>
        <v/>
      </c>
      <c r="G2929" s="91"/>
      <c r="K2929" s="31" t="str">
        <f>IFERROR(VLOOKUP(A2929,Table!$I$4:$O$3000,1,TRUE),"")</f>
        <v/>
      </c>
      <c r="L2929" s="31" t="str">
        <f>IFERROR(INDEX(Table!I:O,MATCH(K2929,Table!I:I,0),2),"")</f>
        <v/>
      </c>
      <c r="M2929" s="31" t="str">
        <f>IFERROR(INDEX(Table!I:O,MATCH(K2929,Table!I:I,0),3),"")</f>
        <v/>
      </c>
      <c r="N2929" s="32" t="str">
        <f>IFERROR(INDEX(Table!I:O,MATCH(K2929,Table!I:I,0),4),"")</f>
        <v/>
      </c>
      <c r="O2929" s="32" t="str">
        <f>IFERROR(INDEX(Table!I:O,MATCH(K2929,Table!I:I,0),5),"")</f>
        <v/>
      </c>
      <c r="P2929" s="32" t="str">
        <f>IFERROR(INDEX(Table!I:O,MATCH(K2929,Table!I:I,0),6),"")</f>
        <v/>
      </c>
      <c r="Q2929" s="89" t="str">
        <f t="shared" si="124"/>
        <v/>
      </c>
      <c r="R2929" s="89" t="str">
        <f t="shared" si="125"/>
        <v/>
      </c>
      <c r="S2929" s="82"/>
    </row>
    <row r="2930" spans="1:19" x14ac:dyDescent="0.25">
      <c r="A2930" s="31" t="str">
        <f>IF(Table!A2930 = "","",Table!A2930)</f>
        <v/>
      </c>
      <c r="B2930" s="31" t="str">
        <f>IF(Table!B2930 = "","",Table!B2930)</f>
        <v/>
      </c>
      <c r="C2930" s="31" t="str">
        <f>IF(Table!C2930 = "","",Table!C2930)</f>
        <v/>
      </c>
      <c r="D2930" s="32" t="str">
        <f>IF(Table!D2930 = "","",Table!D2930)</f>
        <v/>
      </c>
      <c r="E2930" s="32" t="str">
        <f>IF(Table!E2930 = "","",Table!E2930)</f>
        <v/>
      </c>
      <c r="F2930" s="32" t="str">
        <f>IF(Table!F2930 = "","",Table!F2930)</f>
        <v/>
      </c>
      <c r="G2930" s="91"/>
      <c r="K2930" s="31" t="str">
        <f>IFERROR(VLOOKUP(A2930,Table!$I$4:$O$3000,1,TRUE),"")</f>
        <v/>
      </c>
      <c r="L2930" s="31" t="str">
        <f>IFERROR(INDEX(Table!I:O,MATCH(K2930,Table!I:I,0),2),"")</f>
        <v/>
      </c>
      <c r="M2930" s="31" t="str">
        <f>IFERROR(INDEX(Table!I:O,MATCH(K2930,Table!I:I,0),3),"")</f>
        <v/>
      </c>
      <c r="N2930" s="32" t="str">
        <f>IFERROR(INDEX(Table!I:O,MATCH(K2930,Table!I:I,0),4),"")</f>
        <v/>
      </c>
      <c r="O2930" s="32" t="str">
        <f>IFERROR(INDEX(Table!I:O,MATCH(K2930,Table!I:I,0),5),"")</f>
        <v/>
      </c>
      <c r="P2930" s="32" t="str">
        <f>IFERROR(INDEX(Table!I:O,MATCH(K2930,Table!I:I,0),6),"")</f>
        <v/>
      </c>
      <c r="Q2930" s="89" t="str">
        <f t="shared" si="124"/>
        <v/>
      </c>
      <c r="R2930" s="89" t="str">
        <f t="shared" si="125"/>
        <v/>
      </c>
      <c r="S2930" s="82"/>
    </row>
    <row r="2931" spans="1:19" x14ac:dyDescent="0.25">
      <c r="A2931" s="31" t="str">
        <f>IF(Table!A2931 = "","",Table!A2931)</f>
        <v/>
      </c>
      <c r="B2931" s="31" t="str">
        <f>IF(Table!B2931 = "","",Table!B2931)</f>
        <v/>
      </c>
      <c r="C2931" s="31" t="str">
        <f>IF(Table!C2931 = "","",Table!C2931)</f>
        <v/>
      </c>
      <c r="D2931" s="32" t="str">
        <f>IF(Table!D2931 = "","",Table!D2931)</f>
        <v/>
      </c>
      <c r="E2931" s="32" t="str">
        <f>IF(Table!E2931 = "","",Table!E2931)</f>
        <v/>
      </c>
      <c r="F2931" s="32" t="str">
        <f>IF(Table!F2931 = "","",Table!F2931)</f>
        <v/>
      </c>
      <c r="G2931" s="91"/>
      <c r="K2931" s="31" t="str">
        <f>IFERROR(VLOOKUP(A2931,Table!$I$4:$O$3000,1,TRUE),"")</f>
        <v/>
      </c>
      <c r="L2931" s="31" t="str">
        <f>IFERROR(INDEX(Table!I:O,MATCH(K2931,Table!I:I,0),2),"")</f>
        <v/>
      </c>
      <c r="M2931" s="31" t="str">
        <f>IFERROR(INDEX(Table!I:O,MATCH(K2931,Table!I:I,0),3),"")</f>
        <v/>
      </c>
      <c r="N2931" s="32" t="str">
        <f>IFERROR(INDEX(Table!I:O,MATCH(K2931,Table!I:I,0),4),"")</f>
        <v/>
      </c>
      <c r="O2931" s="32" t="str">
        <f>IFERROR(INDEX(Table!I:O,MATCH(K2931,Table!I:I,0),5),"")</f>
        <v/>
      </c>
      <c r="P2931" s="32" t="str">
        <f>IFERROR(INDEX(Table!I:O,MATCH(K2931,Table!I:I,0),6),"")</f>
        <v/>
      </c>
      <c r="Q2931" s="89" t="str">
        <f t="shared" si="124"/>
        <v/>
      </c>
      <c r="R2931" s="89" t="str">
        <f t="shared" si="125"/>
        <v/>
      </c>
      <c r="S2931" s="82"/>
    </row>
    <row r="2932" spans="1:19" x14ac:dyDescent="0.25">
      <c r="A2932" s="31" t="str">
        <f>IF(Table!A2932 = "","",Table!A2932)</f>
        <v/>
      </c>
      <c r="B2932" s="31" t="str">
        <f>IF(Table!B2932 = "","",Table!B2932)</f>
        <v/>
      </c>
      <c r="C2932" s="31" t="str">
        <f>IF(Table!C2932 = "","",Table!C2932)</f>
        <v/>
      </c>
      <c r="D2932" s="32" t="str">
        <f>IF(Table!D2932 = "","",Table!D2932)</f>
        <v/>
      </c>
      <c r="E2932" s="32" t="str">
        <f>IF(Table!E2932 = "","",Table!E2932)</f>
        <v/>
      </c>
      <c r="F2932" s="32" t="str">
        <f>IF(Table!F2932 = "","",Table!F2932)</f>
        <v/>
      </c>
      <c r="G2932" s="91"/>
      <c r="K2932" s="31" t="str">
        <f>IFERROR(VLOOKUP(A2932,Table!$I$4:$O$3000,1,TRUE),"")</f>
        <v/>
      </c>
      <c r="L2932" s="31" t="str">
        <f>IFERROR(INDEX(Table!I:O,MATCH(K2932,Table!I:I,0),2),"")</f>
        <v/>
      </c>
      <c r="M2932" s="31" t="str">
        <f>IFERROR(INDEX(Table!I:O,MATCH(K2932,Table!I:I,0),3),"")</f>
        <v/>
      </c>
      <c r="N2932" s="32" t="str">
        <f>IFERROR(INDEX(Table!I:O,MATCH(K2932,Table!I:I,0),4),"")</f>
        <v/>
      </c>
      <c r="O2932" s="32" t="str">
        <f>IFERROR(INDEX(Table!I:O,MATCH(K2932,Table!I:I,0),5),"")</f>
        <v/>
      </c>
      <c r="P2932" s="32" t="str">
        <f>IFERROR(INDEX(Table!I:O,MATCH(K2932,Table!I:I,0),6),"")</f>
        <v/>
      </c>
      <c r="Q2932" s="89" t="str">
        <f t="shared" si="124"/>
        <v/>
      </c>
      <c r="R2932" s="89" t="str">
        <f t="shared" si="125"/>
        <v/>
      </c>
      <c r="S2932" s="82"/>
    </row>
    <row r="2933" spans="1:19" x14ac:dyDescent="0.25">
      <c r="A2933" s="31" t="str">
        <f>IF(Table!A2933 = "","",Table!A2933)</f>
        <v/>
      </c>
      <c r="B2933" s="31" t="str">
        <f>IF(Table!B2933 = "","",Table!B2933)</f>
        <v/>
      </c>
      <c r="C2933" s="31" t="str">
        <f>IF(Table!C2933 = "","",Table!C2933)</f>
        <v/>
      </c>
      <c r="D2933" s="32" t="str">
        <f>IF(Table!D2933 = "","",Table!D2933)</f>
        <v/>
      </c>
      <c r="E2933" s="32" t="str">
        <f>IF(Table!E2933 = "","",Table!E2933)</f>
        <v/>
      </c>
      <c r="F2933" s="32" t="str">
        <f>IF(Table!F2933 = "","",Table!F2933)</f>
        <v/>
      </c>
      <c r="G2933" s="91"/>
      <c r="K2933" s="31" t="str">
        <f>IFERROR(VLOOKUP(A2933,Table!$I$4:$O$3000,1,TRUE),"")</f>
        <v/>
      </c>
      <c r="L2933" s="31" t="str">
        <f>IFERROR(INDEX(Table!I:O,MATCH(K2933,Table!I:I,0),2),"")</f>
        <v/>
      </c>
      <c r="M2933" s="31" t="str">
        <f>IFERROR(INDEX(Table!I:O,MATCH(K2933,Table!I:I,0),3),"")</f>
        <v/>
      </c>
      <c r="N2933" s="32" t="str">
        <f>IFERROR(INDEX(Table!I:O,MATCH(K2933,Table!I:I,0),4),"")</f>
        <v/>
      </c>
      <c r="O2933" s="32" t="str">
        <f>IFERROR(INDEX(Table!I:O,MATCH(K2933,Table!I:I,0),5),"")</f>
        <v/>
      </c>
      <c r="P2933" s="32" t="str">
        <f>IFERROR(INDEX(Table!I:O,MATCH(K2933,Table!I:I,0),6),"")</f>
        <v/>
      </c>
      <c r="Q2933" s="89" t="str">
        <f t="shared" si="124"/>
        <v/>
      </c>
      <c r="R2933" s="89" t="str">
        <f t="shared" si="125"/>
        <v/>
      </c>
      <c r="S2933" s="82"/>
    </row>
    <row r="2934" spans="1:19" x14ac:dyDescent="0.25">
      <c r="A2934" s="31" t="str">
        <f>IF(Table!A2934 = "","",Table!A2934)</f>
        <v/>
      </c>
      <c r="B2934" s="31" t="str">
        <f>IF(Table!B2934 = "","",Table!B2934)</f>
        <v/>
      </c>
      <c r="C2934" s="31" t="str">
        <f>IF(Table!C2934 = "","",Table!C2934)</f>
        <v/>
      </c>
      <c r="D2934" s="32" t="str">
        <f>IF(Table!D2934 = "","",Table!D2934)</f>
        <v/>
      </c>
      <c r="E2934" s="32" t="str">
        <f>IF(Table!E2934 = "","",Table!E2934)</f>
        <v/>
      </c>
      <c r="F2934" s="32" t="str">
        <f>IF(Table!F2934 = "","",Table!F2934)</f>
        <v/>
      </c>
      <c r="G2934" s="91"/>
      <c r="K2934" s="31" t="str">
        <f>IFERROR(VLOOKUP(A2934,Table!$I$4:$O$3000,1,TRUE),"")</f>
        <v/>
      </c>
      <c r="L2934" s="31" t="str">
        <f>IFERROR(INDEX(Table!I:O,MATCH(K2934,Table!I:I,0),2),"")</f>
        <v/>
      </c>
      <c r="M2934" s="31" t="str">
        <f>IFERROR(INDEX(Table!I:O,MATCH(K2934,Table!I:I,0),3),"")</f>
        <v/>
      </c>
      <c r="N2934" s="32" t="str">
        <f>IFERROR(INDEX(Table!I:O,MATCH(K2934,Table!I:I,0),4),"")</f>
        <v/>
      </c>
      <c r="O2934" s="32" t="str">
        <f>IFERROR(INDEX(Table!I:O,MATCH(K2934,Table!I:I,0),5),"")</f>
        <v/>
      </c>
      <c r="P2934" s="32" t="str">
        <f>IFERROR(INDEX(Table!I:O,MATCH(K2934,Table!I:I,0),6),"")</f>
        <v/>
      </c>
      <c r="Q2934" s="89" t="str">
        <f t="shared" si="124"/>
        <v/>
      </c>
      <c r="R2934" s="89" t="str">
        <f t="shared" si="125"/>
        <v/>
      </c>
      <c r="S2934" s="82"/>
    </row>
    <row r="2935" spans="1:19" x14ac:dyDescent="0.25">
      <c r="A2935" s="31" t="str">
        <f>IF(Table!A2935 = "","",Table!A2935)</f>
        <v/>
      </c>
      <c r="B2935" s="31" t="str">
        <f>IF(Table!B2935 = "","",Table!B2935)</f>
        <v/>
      </c>
      <c r="C2935" s="31" t="str">
        <f>IF(Table!C2935 = "","",Table!C2935)</f>
        <v/>
      </c>
      <c r="D2935" s="32" t="str">
        <f>IF(Table!D2935 = "","",Table!D2935)</f>
        <v/>
      </c>
      <c r="E2935" s="32" t="str">
        <f>IF(Table!E2935 = "","",Table!E2935)</f>
        <v/>
      </c>
      <c r="F2935" s="32" t="str">
        <f>IF(Table!F2935 = "","",Table!F2935)</f>
        <v/>
      </c>
      <c r="G2935" s="91"/>
      <c r="K2935" s="31" t="str">
        <f>IFERROR(VLOOKUP(A2935,Table!$I$4:$O$3000,1,TRUE),"")</f>
        <v/>
      </c>
      <c r="L2935" s="31" t="str">
        <f>IFERROR(INDEX(Table!I:O,MATCH(K2935,Table!I:I,0),2),"")</f>
        <v/>
      </c>
      <c r="M2935" s="31" t="str">
        <f>IFERROR(INDEX(Table!I:O,MATCH(K2935,Table!I:I,0),3),"")</f>
        <v/>
      </c>
      <c r="N2935" s="32" t="str">
        <f>IFERROR(INDEX(Table!I:O,MATCH(K2935,Table!I:I,0),4),"")</f>
        <v/>
      </c>
      <c r="O2935" s="32" t="str">
        <f>IFERROR(INDEX(Table!I:O,MATCH(K2935,Table!I:I,0),5),"")</f>
        <v/>
      </c>
      <c r="P2935" s="32" t="str">
        <f>IFERROR(INDEX(Table!I:O,MATCH(K2935,Table!I:I,0),6),"")</f>
        <v/>
      </c>
      <c r="Q2935" s="89" t="str">
        <f t="shared" si="124"/>
        <v/>
      </c>
      <c r="R2935" s="89" t="str">
        <f t="shared" si="125"/>
        <v/>
      </c>
      <c r="S2935" s="82"/>
    </row>
    <row r="2936" spans="1:19" x14ac:dyDescent="0.25">
      <c r="A2936" s="31" t="str">
        <f>IF(Table!A2936 = "","",Table!A2936)</f>
        <v/>
      </c>
      <c r="B2936" s="31" t="str">
        <f>IF(Table!B2936 = "","",Table!B2936)</f>
        <v/>
      </c>
      <c r="C2936" s="31" t="str">
        <f>IF(Table!C2936 = "","",Table!C2936)</f>
        <v/>
      </c>
      <c r="D2936" s="32" t="str">
        <f>IF(Table!D2936 = "","",Table!D2936)</f>
        <v/>
      </c>
      <c r="E2936" s="32" t="str">
        <f>IF(Table!E2936 = "","",Table!E2936)</f>
        <v/>
      </c>
      <c r="F2936" s="32" t="str">
        <f>IF(Table!F2936 = "","",Table!F2936)</f>
        <v/>
      </c>
      <c r="G2936" s="91"/>
      <c r="K2936" s="31" t="str">
        <f>IFERROR(VLOOKUP(A2936,Table!$I$4:$O$3000,1,TRUE),"")</f>
        <v/>
      </c>
      <c r="L2936" s="31" t="str">
        <f>IFERROR(INDEX(Table!I:O,MATCH(K2936,Table!I:I,0),2),"")</f>
        <v/>
      </c>
      <c r="M2936" s="31" t="str">
        <f>IFERROR(INDEX(Table!I:O,MATCH(K2936,Table!I:I,0),3),"")</f>
        <v/>
      </c>
      <c r="N2936" s="32" t="str">
        <f>IFERROR(INDEX(Table!I:O,MATCH(K2936,Table!I:I,0),4),"")</f>
        <v/>
      </c>
      <c r="O2936" s="32" t="str">
        <f>IFERROR(INDEX(Table!I:O,MATCH(K2936,Table!I:I,0),5),"")</f>
        <v/>
      </c>
      <c r="P2936" s="32" t="str">
        <f>IFERROR(INDEX(Table!I:O,MATCH(K2936,Table!I:I,0),6),"")</f>
        <v/>
      </c>
      <c r="Q2936" s="89" t="str">
        <f t="shared" si="124"/>
        <v/>
      </c>
      <c r="R2936" s="89" t="str">
        <f t="shared" si="125"/>
        <v/>
      </c>
      <c r="S2936" s="82"/>
    </row>
    <row r="2937" spans="1:19" x14ac:dyDescent="0.25">
      <c r="A2937" s="31" t="str">
        <f>IF(Table!A2937 = "","",Table!A2937)</f>
        <v/>
      </c>
      <c r="B2937" s="31" t="str">
        <f>IF(Table!B2937 = "","",Table!B2937)</f>
        <v/>
      </c>
      <c r="C2937" s="31" t="str">
        <f>IF(Table!C2937 = "","",Table!C2937)</f>
        <v/>
      </c>
      <c r="D2937" s="32" t="str">
        <f>IF(Table!D2937 = "","",Table!D2937)</f>
        <v/>
      </c>
      <c r="E2937" s="32" t="str">
        <f>IF(Table!E2937 = "","",Table!E2937)</f>
        <v/>
      </c>
      <c r="F2937" s="32" t="str">
        <f>IF(Table!F2937 = "","",Table!F2937)</f>
        <v/>
      </c>
      <c r="G2937" s="91"/>
      <c r="K2937" s="31" t="str">
        <f>IFERROR(VLOOKUP(A2937,Table!$I$4:$O$3000,1,TRUE),"")</f>
        <v/>
      </c>
      <c r="L2937" s="31" t="str">
        <f>IFERROR(INDEX(Table!I:O,MATCH(K2937,Table!I:I,0),2),"")</f>
        <v/>
      </c>
      <c r="M2937" s="31" t="str">
        <f>IFERROR(INDEX(Table!I:O,MATCH(K2937,Table!I:I,0),3),"")</f>
        <v/>
      </c>
      <c r="N2937" s="32" t="str">
        <f>IFERROR(INDEX(Table!I:O,MATCH(K2937,Table!I:I,0),4),"")</f>
        <v/>
      </c>
      <c r="O2937" s="32" t="str">
        <f>IFERROR(INDEX(Table!I:O,MATCH(K2937,Table!I:I,0),5),"")</f>
        <v/>
      </c>
      <c r="P2937" s="32" t="str">
        <f>IFERROR(INDEX(Table!I:O,MATCH(K2937,Table!I:I,0),6),"")</f>
        <v/>
      </c>
      <c r="Q2937" s="89" t="str">
        <f t="shared" si="124"/>
        <v/>
      </c>
      <c r="R2937" s="89" t="str">
        <f t="shared" si="125"/>
        <v/>
      </c>
      <c r="S2937" s="82"/>
    </row>
    <row r="2938" spans="1:19" x14ac:dyDescent="0.25">
      <c r="A2938" s="31" t="str">
        <f>IF(Table!A2938 = "","",Table!A2938)</f>
        <v/>
      </c>
      <c r="B2938" s="31" t="str">
        <f>IF(Table!B2938 = "","",Table!B2938)</f>
        <v/>
      </c>
      <c r="C2938" s="31" t="str">
        <f>IF(Table!C2938 = "","",Table!C2938)</f>
        <v/>
      </c>
      <c r="D2938" s="32" t="str">
        <f>IF(Table!D2938 = "","",Table!D2938)</f>
        <v/>
      </c>
      <c r="E2938" s="32" t="str">
        <f>IF(Table!E2938 = "","",Table!E2938)</f>
        <v/>
      </c>
      <c r="F2938" s="32" t="str">
        <f>IF(Table!F2938 = "","",Table!F2938)</f>
        <v/>
      </c>
      <c r="G2938" s="91"/>
      <c r="K2938" s="31" t="str">
        <f>IFERROR(VLOOKUP(A2938,Table!$I$4:$O$3000,1,TRUE),"")</f>
        <v/>
      </c>
      <c r="L2938" s="31" t="str">
        <f>IFERROR(INDEX(Table!I:O,MATCH(K2938,Table!I:I,0),2),"")</f>
        <v/>
      </c>
      <c r="M2938" s="31" t="str">
        <f>IFERROR(INDEX(Table!I:O,MATCH(K2938,Table!I:I,0),3),"")</f>
        <v/>
      </c>
      <c r="N2938" s="32" t="str">
        <f>IFERROR(INDEX(Table!I:O,MATCH(K2938,Table!I:I,0),4),"")</f>
        <v/>
      </c>
      <c r="O2938" s="32" t="str">
        <f>IFERROR(INDEX(Table!I:O,MATCH(K2938,Table!I:I,0),5),"")</f>
        <v/>
      </c>
      <c r="P2938" s="32" t="str">
        <f>IFERROR(INDEX(Table!I:O,MATCH(K2938,Table!I:I,0),6),"")</f>
        <v/>
      </c>
      <c r="Q2938" s="89" t="str">
        <f t="shared" si="124"/>
        <v/>
      </c>
      <c r="R2938" s="89" t="str">
        <f t="shared" si="125"/>
        <v/>
      </c>
      <c r="S2938" s="82"/>
    </row>
    <row r="2939" spans="1:19" x14ac:dyDescent="0.25">
      <c r="A2939" s="31" t="str">
        <f>IF(Table!A2939 = "","",Table!A2939)</f>
        <v/>
      </c>
      <c r="B2939" s="31" t="str">
        <f>IF(Table!B2939 = "","",Table!B2939)</f>
        <v/>
      </c>
      <c r="C2939" s="31" t="str">
        <f>IF(Table!C2939 = "","",Table!C2939)</f>
        <v/>
      </c>
      <c r="D2939" s="32" t="str">
        <f>IF(Table!D2939 = "","",Table!D2939)</f>
        <v/>
      </c>
      <c r="E2939" s="32" t="str">
        <f>IF(Table!E2939 = "","",Table!E2939)</f>
        <v/>
      </c>
      <c r="F2939" s="32" t="str">
        <f>IF(Table!F2939 = "","",Table!F2939)</f>
        <v/>
      </c>
      <c r="G2939" s="91"/>
      <c r="K2939" s="31" t="str">
        <f>IFERROR(VLOOKUP(A2939,Table!$I$4:$O$3000,1,TRUE),"")</f>
        <v/>
      </c>
      <c r="L2939" s="31" t="str">
        <f>IFERROR(INDEX(Table!I:O,MATCH(K2939,Table!I:I,0),2),"")</f>
        <v/>
      </c>
      <c r="M2939" s="31" t="str">
        <f>IFERROR(INDEX(Table!I:O,MATCH(K2939,Table!I:I,0),3),"")</f>
        <v/>
      </c>
      <c r="N2939" s="32" t="str">
        <f>IFERROR(INDEX(Table!I:O,MATCH(K2939,Table!I:I,0),4),"")</f>
        <v/>
      </c>
      <c r="O2939" s="32" t="str">
        <f>IFERROR(INDEX(Table!I:O,MATCH(K2939,Table!I:I,0),5),"")</f>
        <v/>
      </c>
      <c r="P2939" s="32" t="str">
        <f>IFERROR(INDEX(Table!I:O,MATCH(K2939,Table!I:I,0),6),"")</f>
        <v/>
      </c>
      <c r="Q2939" s="89" t="str">
        <f t="shared" si="124"/>
        <v/>
      </c>
      <c r="R2939" s="89" t="str">
        <f t="shared" si="125"/>
        <v/>
      </c>
      <c r="S2939" s="82"/>
    </row>
    <row r="2940" spans="1:19" x14ac:dyDescent="0.25">
      <c r="A2940" s="31" t="str">
        <f>IF(Table!A2940 = "","",Table!A2940)</f>
        <v/>
      </c>
      <c r="B2940" s="31" t="str">
        <f>IF(Table!B2940 = "","",Table!B2940)</f>
        <v/>
      </c>
      <c r="C2940" s="31" t="str">
        <f>IF(Table!C2940 = "","",Table!C2940)</f>
        <v/>
      </c>
      <c r="D2940" s="32" t="str">
        <f>IF(Table!D2940 = "","",Table!D2940)</f>
        <v/>
      </c>
      <c r="E2940" s="32" t="str">
        <f>IF(Table!E2940 = "","",Table!E2940)</f>
        <v/>
      </c>
      <c r="F2940" s="32" t="str">
        <f>IF(Table!F2940 = "","",Table!F2940)</f>
        <v/>
      </c>
      <c r="G2940" s="91"/>
      <c r="K2940" s="31" t="str">
        <f>IFERROR(VLOOKUP(A2940,Table!$I$4:$O$3000,1,TRUE),"")</f>
        <v/>
      </c>
      <c r="L2940" s="31" t="str">
        <f>IFERROR(INDEX(Table!I:O,MATCH(K2940,Table!I:I,0),2),"")</f>
        <v/>
      </c>
      <c r="M2940" s="31" t="str">
        <f>IFERROR(INDEX(Table!I:O,MATCH(K2940,Table!I:I,0),3),"")</f>
        <v/>
      </c>
      <c r="N2940" s="32" t="str">
        <f>IFERROR(INDEX(Table!I:O,MATCH(K2940,Table!I:I,0),4),"")</f>
        <v/>
      </c>
      <c r="O2940" s="32" t="str">
        <f>IFERROR(INDEX(Table!I:O,MATCH(K2940,Table!I:I,0),5),"")</f>
        <v/>
      </c>
      <c r="P2940" s="32" t="str">
        <f>IFERROR(INDEX(Table!I:O,MATCH(K2940,Table!I:I,0),6),"")</f>
        <v/>
      </c>
      <c r="Q2940" s="89" t="str">
        <f t="shared" si="124"/>
        <v/>
      </c>
      <c r="R2940" s="89" t="str">
        <f t="shared" si="125"/>
        <v/>
      </c>
      <c r="S2940" s="82"/>
    </row>
    <row r="2941" spans="1:19" x14ac:dyDescent="0.25">
      <c r="A2941" s="31" t="str">
        <f>IF(Table!A2941 = "","",Table!A2941)</f>
        <v/>
      </c>
      <c r="B2941" s="31" t="str">
        <f>IF(Table!B2941 = "","",Table!B2941)</f>
        <v/>
      </c>
      <c r="C2941" s="31" t="str">
        <f>IF(Table!C2941 = "","",Table!C2941)</f>
        <v/>
      </c>
      <c r="D2941" s="32" t="str">
        <f>IF(Table!D2941 = "","",Table!D2941)</f>
        <v/>
      </c>
      <c r="E2941" s="32" t="str">
        <f>IF(Table!E2941 = "","",Table!E2941)</f>
        <v/>
      </c>
      <c r="F2941" s="32" t="str">
        <f>IF(Table!F2941 = "","",Table!F2941)</f>
        <v/>
      </c>
      <c r="G2941" s="91"/>
      <c r="K2941" s="31" t="str">
        <f>IFERROR(VLOOKUP(A2941,Table!$I$4:$O$3000,1,TRUE),"")</f>
        <v/>
      </c>
      <c r="L2941" s="31" t="str">
        <f>IFERROR(INDEX(Table!I:O,MATCH(K2941,Table!I:I,0),2),"")</f>
        <v/>
      </c>
      <c r="M2941" s="31" t="str">
        <f>IFERROR(INDEX(Table!I:O,MATCH(K2941,Table!I:I,0),3),"")</f>
        <v/>
      </c>
      <c r="N2941" s="32" t="str">
        <f>IFERROR(INDEX(Table!I:O,MATCH(K2941,Table!I:I,0),4),"")</f>
        <v/>
      </c>
      <c r="O2941" s="32" t="str">
        <f>IFERROR(INDEX(Table!I:O,MATCH(K2941,Table!I:I,0),5),"")</f>
        <v/>
      </c>
      <c r="P2941" s="32" t="str">
        <f>IFERROR(INDEX(Table!I:O,MATCH(K2941,Table!I:I,0),6),"")</f>
        <v/>
      </c>
      <c r="Q2941" s="89" t="str">
        <f t="shared" si="124"/>
        <v/>
      </c>
      <c r="R2941" s="89" t="str">
        <f t="shared" si="125"/>
        <v/>
      </c>
      <c r="S2941" s="82"/>
    </row>
    <row r="2942" spans="1:19" x14ac:dyDescent="0.25">
      <c r="A2942" s="31" t="str">
        <f>IF(Table!A2942 = "","",Table!A2942)</f>
        <v/>
      </c>
      <c r="B2942" s="31" t="str">
        <f>IF(Table!B2942 = "","",Table!B2942)</f>
        <v/>
      </c>
      <c r="C2942" s="31" t="str">
        <f>IF(Table!C2942 = "","",Table!C2942)</f>
        <v/>
      </c>
      <c r="D2942" s="32" t="str">
        <f>IF(Table!D2942 = "","",Table!D2942)</f>
        <v/>
      </c>
      <c r="E2942" s="32" t="str">
        <f>IF(Table!E2942 = "","",Table!E2942)</f>
        <v/>
      </c>
      <c r="F2942" s="32" t="str">
        <f>IF(Table!F2942 = "","",Table!F2942)</f>
        <v/>
      </c>
      <c r="G2942" s="91"/>
      <c r="K2942" s="31" t="str">
        <f>IFERROR(VLOOKUP(A2942,Table!$I$4:$O$3000,1,TRUE),"")</f>
        <v/>
      </c>
      <c r="L2942" s="31" t="str">
        <f>IFERROR(INDEX(Table!I:O,MATCH(K2942,Table!I:I,0),2),"")</f>
        <v/>
      </c>
      <c r="M2942" s="31" t="str">
        <f>IFERROR(INDEX(Table!I:O,MATCH(K2942,Table!I:I,0),3),"")</f>
        <v/>
      </c>
      <c r="N2942" s="32" t="str">
        <f>IFERROR(INDEX(Table!I:O,MATCH(K2942,Table!I:I,0),4),"")</f>
        <v/>
      </c>
      <c r="O2942" s="32" t="str">
        <f>IFERROR(INDEX(Table!I:O,MATCH(K2942,Table!I:I,0),5),"")</f>
        <v/>
      </c>
      <c r="P2942" s="32" t="str">
        <f>IFERROR(INDEX(Table!I:O,MATCH(K2942,Table!I:I,0),6),"")</f>
        <v/>
      </c>
      <c r="Q2942" s="89" t="str">
        <f t="shared" si="124"/>
        <v/>
      </c>
      <c r="R2942" s="89" t="str">
        <f t="shared" si="125"/>
        <v/>
      </c>
      <c r="S2942" s="82"/>
    </row>
    <row r="2943" spans="1:19" x14ac:dyDescent="0.25">
      <c r="A2943" s="31" t="str">
        <f>IF(Table!A2943 = "","",Table!A2943)</f>
        <v/>
      </c>
      <c r="B2943" s="31" t="str">
        <f>IF(Table!B2943 = "","",Table!B2943)</f>
        <v/>
      </c>
      <c r="C2943" s="31" t="str">
        <f>IF(Table!C2943 = "","",Table!C2943)</f>
        <v/>
      </c>
      <c r="D2943" s="32" t="str">
        <f>IF(Table!D2943 = "","",Table!D2943)</f>
        <v/>
      </c>
      <c r="E2943" s="32" t="str">
        <f>IF(Table!E2943 = "","",Table!E2943)</f>
        <v/>
      </c>
      <c r="F2943" s="32" t="str">
        <f>IF(Table!F2943 = "","",Table!F2943)</f>
        <v/>
      </c>
      <c r="G2943" s="91"/>
      <c r="K2943" s="31" t="str">
        <f>IFERROR(VLOOKUP(A2943,Table!$I$4:$O$3000,1,TRUE),"")</f>
        <v/>
      </c>
      <c r="L2943" s="31" t="str">
        <f>IFERROR(INDEX(Table!I:O,MATCH(K2943,Table!I:I,0),2),"")</f>
        <v/>
      </c>
      <c r="M2943" s="31" t="str">
        <f>IFERROR(INDEX(Table!I:O,MATCH(K2943,Table!I:I,0),3),"")</f>
        <v/>
      </c>
      <c r="N2943" s="32" t="str">
        <f>IFERROR(INDEX(Table!I:O,MATCH(K2943,Table!I:I,0),4),"")</f>
        <v/>
      </c>
      <c r="O2943" s="32" t="str">
        <f>IFERROR(INDEX(Table!I:O,MATCH(K2943,Table!I:I,0),5),"")</f>
        <v/>
      </c>
      <c r="P2943" s="32" t="str">
        <f>IFERROR(INDEX(Table!I:O,MATCH(K2943,Table!I:I,0),6),"")</f>
        <v/>
      </c>
      <c r="Q2943" s="89" t="str">
        <f t="shared" si="124"/>
        <v/>
      </c>
      <c r="R2943" s="89" t="str">
        <f t="shared" si="125"/>
        <v/>
      </c>
      <c r="S2943" s="82"/>
    </row>
    <row r="2944" spans="1:19" x14ac:dyDescent="0.25">
      <c r="A2944" s="31" t="str">
        <f>IF(Table!A2944 = "","",Table!A2944)</f>
        <v/>
      </c>
      <c r="B2944" s="31" t="str">
        <f>IF(Table!B2944 = "","",Table!B2944)</f>
        <v/>
      </c>
      <c r="C2944" s="31" t="str">
        <f>IF(Table!C2944 = "","",Table!C2944)</f>
        <v/>
      </c>
      <c r="D2944" s="32" t="str">
        <f>IF(Table!D2944 = "","",Table!D2944)</f>
        <v/>
      </c>
      <c r="E2944" s="32" t="str">
        <f>IF(Table!E2944 = "","",Table!E2944)</f>
        <v/>
      </c>
      <c r="F2944" s="32" t="str">
        <f>IF(Table!F2944 = "","",Table!F2944)</f>
        <v/>
      </c>
      <c r="G2944" s="91"/>
      <c r="K2944" s="31" t="str">
        <f>IFERROR(VLOOKUP(A2944,Table!$I$4:$O$3000,1,TRUE),"")</f>
        <v/>
      </c>
      <c r="L2944" s="31" t="str">
        <f>IFERROR(INDEX(Table!I:O,MATCH(K2944,Table!I:I,0),2),"")</f>
        <v/>
      </c>
      <c r="M2944" s="31" t="str">
        <f>IFERROR(INDEX(Table!I:O,MATCH(K2944,Table!I:I,0),3),"")</f>
        <v/>
      </c>
      <c r="N2944" s="32" t="str">
        <f>IFERROR(INDEX(Table!I:O,MATCH(K2944,Table!I:I,0),4),"")</f>
        <v/>
      </c>
      <c r="O2944" s="32" t="str">
        <f>IFERROR(INDEX(Table!I:O,MATCH(K2944,Table!I:I,0),5),"")</f>
        <v/>
      </c>
      <c r="P2944" s="32" t="str">
        <f>IFERROR(INDEX(Table!I:O,MATCH(K2944,Table!I:I,0),6),"")</f>
        <v/>
      </c>
      <c r="Q2944" s="89" t="str">
        <f t="shared" si="124"/>
        <v/>
      </c>
      <c r="R2944" s="89" t="str">
        <f t="shared" si="125"/>
        <v/>
      </c>
      <c r="S2944" s="82"/>
    </row>
    <row r="2945" spans="1:19" x14ac:dyDescent="0.25">
      <c r="A2945" s="31" t="str">
        <f>IF(Table!A2945 = "","",Table!A2945)</f>
        <v/>
      </c>
      <c r="B2945" s="31" t="str">
        <f>IF(Table!B2945 = "","",Table!B2945)</f>
        <v/>
      </c>
      <c r="C2945" s="31" t="str">
        <f>IF(Table!C2945 = "","",Table!C2945)</f>
        <v/>
      </c>
      <c r="D2945" s="32" t="str">
        <f>IF(Table!D2945 = "","",Table!D2945)</f>
        <v/>
      </c>
      <c r="E2945" s="32" t="str">
        <f>IF(Table!E2945 = "","",Table!E2945)</f>
        <v/>
      </c>
      <c r="F2945" s="32" t="str">
        <f>IF(Table!F2945 = "","",Table!F2945)</f>
        <v/>
      </c>
      <c r="G2945" s="91"/>
      <c r="K2945" s="31" t="str">
        <f>IFERROR(VLOOKUP(A2945,Table!$I$4:$O$3000,1,TRUE),"")</f>
        <v/>
      </c>
      <c r="L2945" s="31" t="str">
        <f>IFERROR(INDEX(Table!I:O,MATCH(K2945,Table!I:I,0),2),"")</f>
        <v/>
      </c>
      <c r="M2945" s="31" t="str">
        <f>IFERROR(INDEX(Table!I:O,MATCH(K2945,Table!I:I,0),3),"")</f>
        <v/>
      </c>
      <c r="N2945" s="32" t="str">
        <f>IFERROR(INDEX(Table!I:O,MATCH(K2945,Table!I:I,0),4),"")</f>
        <v/>
      </c>
      <c r="O2945" s="32" t="str">
        <f>IFERROR(INDEX(Table!I:O,MATCH(K2945,Table!I:I,0),5),"")</f>
        <v/>
      </c>
      <c r="P2945" s="32" t="str">
        <f>IFERROR(INDEX(Table!I:O,MATCH(K2945,Table!I:I,0),6),"")</f>
        <v/>
      </c>
      <c r="Q2945" s="89" t="str">
        <f t="shared" si="124"/>
        <v/>
      </c>
      <c r="R2945" s="89" t="str">
        <f t="shared" si="125"/>
        <v/>
      </c>
      <c r="S2945" s="82"/>
    </row>
    <row r="2946" spans="1:19" x14ac:dyDescent="0.25">
      <c r="A2946" s="31" t="str">
        <f>IF(Table!A2946 = "","",Table!A2946)</f>
        <v/>
      </c>
      <c r="B2946" s="31" t="str">
        <f>IF(Table!B2946 = "","",Table!B2946)</f>
        <v/>
      </c>
      <c r="C2946" s="31" t="str">
        <f>IF(Table!C2946 = "","",Table!C2946)</f>
        <v/>
      </c>
      <c r="D2946" s="32" t="str">
        <f>IF(Table!D2946 = "","",Table!D2946)</f>
        <v/>
      </c>
      <c r="E2946" s="32" t="str">
        <f>IF(Table!E2946 = "","",Table!E2946)</f>
        <v/>
      </c>
      <c r="F2946" s="32" t="str">
        <f>IF(Table!F2946 = "","",Table!F2946)</f>
        <v/>
      </c>
      <c r="G2946" s="91"/>
      <c r="K2946" s="31" t="str">
        <f>IFERROR(VLOOKUP(A2946,Table!$I$4:$O$3000,1,TRUE),"")</f>
        <v/>
      </c>
      <c r="L2946" s="31" t="str">
        <f>IFERROR(INDEX(Table!I:O,MATCH(K2946,Table!I:I,0),2),"")</f>
        <v/>
      </c>
      <c r="M2946" s="31" t="str">
        <f>IFERROR(INDEX(Table!I:O,MATCH(K2946,Table!I:I,0),3),"")</f>
        <v/>
      </c>
      <c r="N2946" s="32" t="str">
        <f>IFERROR(INDEX(Table!I:O,MATCH(K2946,Table!I:I,0),4),"")</f>
        <v/>
      </c>
      <c r="O2946" s="32" t="str">
        <f>IFERROR(INDEX(Table!I:O,MATCH(K2946,Table!I:I,0),5),"")</f>
        <v/>
      </c>
      <c r="P2946" s="32" t="str">
        <f>IFERROR(INDEX(Table!I:O,MATCH(K2946,Table!I:I,0),6),"")</f>
        <v/>
      </c>
      <c r="Q2946" s="89" t="str">
        <f t="shared" si="124"/>
        <v/>
      </c>
      <c r="R2946" s="89" t="str">
        <f t="shared" si="125"/>
        <v/>
      </c>
      <c r="S2946" s="82"/>
    </row>
    <row r="2947" spans="1:19" x14ac:dyDescent="0.25">
      <c r="A2947" s="31" t="str">
        <f>IF(Table!A2947 = "","",Table!A2947)</f>
        <v/>
      </c>
      <c r="B2947" s="31" t="str">
        <f>IF(Table!B2947 = "","",Table!B2947)</f>
        <v/>
      </c>
      <c r="C2947" s="31" t="str">
        <f>IF(Table!C2947 = "","",Table!C2947)</f>
        <v/>
      </c>
      <c r="D2947" s="32" t="str">
        <f>IF(Table!D2947 = "","",Table!D2947)</f>
        <v/>
      </c>
      <c r="E2947" s="32" t="str">
        <f>IF(Table!E2947 = "","",Table!E2947)</f>
        <v/>
      </c>
      <c r="F2947" s="32" t="str">
        <f>IF(Table!F2947 = "","",Table!F2947)</f>
        <v/>
      </c>
      <c r="G2947" s="91"/>
      <c r="K2947" s="31" t="str">
        <f>IFERROR(VLOOKUP(A2947,Table!$I$4:$O$3000,1,TRUE),"")</f>
        <v/>
      </c>
      <c r="L2947" s="31" t="str">
        <f>IFERROR(INDEX(Table!I:O,MATCH(K2947,Table!I:I,0),2),"")</f>
        <v/>
      </c>
      <c r="M2947" s="31" t="str">
        <f>IFERROR(INDEX(Table!I:O,MATCH(K2947,Table!I:I,0),3),"")</f>
        <v/>
      </c>
      <c r="N2947" s="32" t="str">
        <f>IFERROR(INDEX(Table!I:O,MATCH(K2947,Table!I:I,0),4),"")</f>
        <v/>
      </c>
      <c r="O2947" s="32" t="str">
        <f>IFERROR(INDEX(Table!I:O,MATCH(K2947,Table!I:I,0),5),"")</f>
        <v/>
      </c>
      <c r="P2947" s="32" t="str">
        <f>IFERROR(INDEX(Table!I:O,MATCH(K2947,Table!I:I,0),6),"")</f>
        <v/>
      </c>
      <c r="Q2947" s="89" t="str">
        <f t="shared" si="124"/>
        <v/>
      </c>
      <c r="R2947" s="89" t="str">
        <f t="shared" si="125"/>
        <v/>
      </c>
      <c r="S2947" s="82"/>
    </row>
    <row r="2948" spans="1:19" x14ac:dyDescent="0.25">
      <c r="A2948" s="31" t="str">
        <f>IF(Table!A2948 = "","",Table!A2948)</f>
        <v/>
      </c>
      <c r="B2948" s="31" t="str">
        <f>IF(Table!B2948 = "","",Table!B2948)</f>
        <v/>
      </c>
      <c r="C2948" s="31" t="str">
        <f>IF(Table!C2948 = "","",Table!C2948)</f>
        <v/>
      </c>
      <c r="D2948" s="32" t="str">
        <f>IF(Table!D2948 = "","",Table!D2948)</f>
        <v/>
      </c>
      <c r="E2948" s="32" t="str">
        <f>IF(Table!E2948 = "","",Table!E2948)</f>
        <v/>
      </c>
      <c r="F2948" s="32" t="str">
        <f>IF(Table!F2948 = "","",Table!F2948)</f>
        <v/>
      </c>
      <c r="G2948" s="91"/>
      <c r="K2948" s="31" t="str">
        <f>IFERROR(VLOOKUP(A2948,Table!$I$4:$O$3000,1,TRUE),"")</f>
        <v/>
      </c>
      <c r="L2948" s="31" t="str">
        <f>IFERROR(INDEX(Table!I:O,MATCH(K2948,Table!I:I,0),2),"")</f>
        <v/>
      </c>
      <c r="M2948" s="31" t="str">
        <f>IFERROR(INDEX(Table!I:O,MATCH(K2948,Table!I:I,0),3),"")</f>
        <v/>
      </c>
      <c r="N2948" s="32" t="str">
        <f>IFERROR(INDEX(Table!I:O,MATCH(K2948,Table!I:I,0),4),"")</f>
        <v/>
      </c>
      <c r="O2948" s="32" t="str">
        <f>IFERROR(INDEX(Table!I:O,MATCH(K2948,Table!I:I,0),5),"")</f>
        <v/>
      </c>
      <c r="P2948" s="32" t="str">
        <f>IFERROR(INDEX(Table!I:O,MATCH(K2948,Table!I:I,0),6),"")</f>
        <v/>
      </c>
      <c r="Q2948" s="89" t="str">
        <f t="shared" si="124"/>
        <v/>
      </c>
      <c r="R2948" s="89" t="str">
        <f t="shared" si="125"/>
        <v/>
      </c>
      <c r="S2948" s="82"/>
    </row>
    <row r="2949" spans="1:19" x14ac:dyDescent="0.25">
      <c r="A2949" s="31" t="str">
        <f>IF(Table!A2949 = "","",Table!A2949)</f>
        <v/>
      </c>
      <c r="B2949" s="31" t="str">
        <f>IF(Table!B2949 = "","",Table!B2949)</f>
        <v/>
      </c>
      <c r="C2949" s="31" t="str">
        <f>IF(Table!C2949 = "","",Table!C2949)</f>
        <v/>
      </c>
      <c r="D2949" s="32" t="str">
        <f>IF(Table!D2949 = "","",Table!D2949)</f>
        <v/>
      </c>
      <c r="E2949" s="32" t="str">
        <f>IF(Table!E2949 = "","",Table!E2949)</f>
        <v/>
      </c>
      <c r="F2949" s="32" t="str">
        <f>IF(Table!F2949 = "","",Table!F2949)</f>
        <v/>
      </c>
      <c r="G2949" s="91"/>
      <c r="K2949" s="31" t="str">
        <f>IFERROR(VLOOKUP(A2949,Table!$I$4:$O$3000,1,TRUE),"")</f>
        <v/>
      </c>
      <c r="L2949" s="31" t="str">
        <f>IFERROR(INDEX(Table!I:O,MATCH(K2949,Table!I:I,0),2),"")</f>
        <v/>
      </c>
      <c r="M2949" s="31" t="str">
        <f>IFERROR(INDEX(Table!I:O,MATCH(K2949,Table!I:I,0),3),"")</f>
        <v/>
      </c>
      <c r="N2949" s="32" t="str">
        <f>IFERROR(INDEX(Table!I:O,MATCH(K2949,Table!I:I,0),4),"")</f>
        <v/>
      </c>
      <c r="O2949" s="32" t="str">
        <f>IFERROR(INDEX(Table!I:O,MATCH(K2949,Table!I:I,0),5),"")</f>
        <v/>
      </c>
      <c r="P2949" s="32" t="str">
        <f>IFERROR(INDEX(Table!I:O,MATCH(K2949,Table!I:I,0),6),"")</f>
        <v/>
      </c>
      <c r="Q2949" s="89" t="str">
        <f t="shared" si="124"/>
        <v/>
      </c>
      <c r="R2949" s="89" t="str">
        <f t="shared" si="125"/>
        <v/>
      </c>
      <c r="S2949" s="82"/>
    </row>
    <row r="2950" spans="1:19" x14ac:dyDescent="0.25">
      <c r="A2950" s="31" t="str">
        <f>IF(Table!A2950 = "","",Table!A2950)</f>
        <v/>
      </c>
      <c r="B2950" s="31" t="str">
        <f>IF(Table!B2950 = "","",Table!B2950)</f>
        <v/>
      </c>
      <c r="C2950" s="31" t="str">
        <f>IF(Table!C2950 = "","",Table!C2950)</f>
        <v/>
      </c>
      <c r="D2950" s="32" t="str">
        <f>IF(Table!D2950 = "","",Table!D2950)</f>
        <v/>
      </c>
      <c r="E2950" s="32" t="str">
        <f>IF(Table!E2950 = "","",Table!E2950)</f>
        <v/>
      </c>
      <c r="F2950" s="32" t="str">
        <f>IF(Table!F2950 = "","",Table!F2950)</f>
        <v/>
      </c>
      <c r="G2950" s="91"/>
      <c r="K2950" s="31" t="str">
        <f>IFERROR(VLOOKUP(A2950,Table!$I$4:$O$3000,1,TRUE),"")</f>
        <v/>
      </c>
      <c r="L2950" s="31" t="str">
        <f>IFERROR(INDEX(Table!I:O,MATCH(K2950,Table!I:I,0),2),"")</f>
        <v/>
      </c>
      <c r="M2950" s="31" t="str">
        <f>IFERROR(INDEX(Table!I:O,MATCH(K2950,Table!I:I,0),3),"")</f>
        <v/>
      </c>
      <c r="N2950" s="32" t="str">
        <f>IFERROR(INDEX(Table!I:O,MATCH(K2950,Table!I:I,0),4),"")</f>
        <v/>
      </c>
      <c r="O2950" s="32" t="str">
        <f>IFERROR(INDEX(Table!I:O,MATCH(K2950,Table!I:I,0),5),"")</f>
        <v/>
      </c>
      <c r="P2950" s="32" t="str">
        <f>IFERROR(INDEX(Table!I:O,MATCH(K2950,Table!I:I,0),6),"")</f>
        <v/>
      </c>
      <c r="Q2950" s="89" t="str">
        <f t="shared" ref="Q2950:Q3000" si="126">IFERROR(L2950-B2950,"")</f>
        <v/>
      </c>
      <c r="R2950" s="89" t="str">
        <f t="shared" ref="R2950:R3000" si="127">IFERROR(M2950-C2950,"")</f>
        <v/>
      </c>
      <c r="S2950" s="82"/>
    </row>
    <row r="2951" spans="1:19" x14ac:dyDescent="0.25">
      <c r="A2951" s="31" t="str">
        <f>IF(Table!A2951 = "","",Table!A2951)</f>
        <v/>
      </c>
      <c r="B2951" s="31" t="str">
        <f>IF(Table!B2951 = "","",Table!B2951)</f>
        <v/>
      </c>
      <c r="C2951" s="31" t="str">
        <f>IF(Table!C2951 = "","",Table!C2951)</f>
        <v/>
      </c>
      <c r="D2951" s="32" t="str">
        <f>IF(Table!D2951 = "","",Table!D2951)</f>
        <v/>
      </c>
      <c r="E2951" s="32" t="str">
        <f>IF(Table!E2951 = "","",Table!E2951)</f>
        <v/>
      </c>
      <c r="F2951" s="32" t="str">
        <f>IF(Table!F2951 = "","",Table!F2951)</f>
        <v/>
      </c>
      <c r="G2951" s="91"/>
      <c r="K2951" s="31" t="str">
        <f>IFERROR(VLOOKUP(A2951,Table!$I$4:$O$3000,1,TRUE),"")</f>
        <v/>
      </c>
      <c r="L2951" s="31" t="str">
        <f>IFERROR(INDEX(Table!I:O,MATCH(K2951,Table!I:I,0),2),"")</f>
        <v/>
      </c>
      <c r="M2951" s="31" t="str">
        <f>IFERROR(INDEX(Table!I:O,MATCH(K2951,Table!I:I,0),3),"")</f>
        <v/>
      </c>
      <c r="N2951" s="32" t="str">
        <f>IFERROR(INDEX(Table!I:O,MATCH(K2951,Table!I:I,0),4),"")</f>
        <v/>
      </c>
      <c r="O2951" s="32" t="str">
        <f>IFERROR(INDEX(Table!I:O,MATCH(K2951,Table!I:I,0),5),"")</f>
        <v/>
      </c>
      <c r="P2951" s="32" t="str">
        <f>IFERROR(INDEX(Table!I:O,MATCH(K2951,Table!I:I,0),6),"")</f>
        <v/>
      </c>
      <c r="Q2951" s="89" t="str">
        <f t="shared" si="126"/>
        <v/>
      </c>
      <c r="R2951" s="89" t="str">
        <f t="shared" si="127"/>
        <v/>
      </c>
      <c r="S2951" s="82"/>
    </row>
    <row r="2952" spans="1:19" x14ac:dyDescent="0.25">
      <c r="A2952" s="31" t="str">
        <f>IF(Table!A2952 = "","",Table!A2952)</f>
        <v/>
      </c>
      <c r="B2952" s="31" t="str">
        <f>IF(Table!B2952 = "","",Table!B2952)</f>
        <v/>
      </c>
      <c r="C2952" s="31" t="str">
        <f>IF(Table!C2952 = "","",Table!C2952)</f>
        <v/>
      </c>
      <c r="D2952" s="32" t="str">
        <f>IF(Table!D2952 = "","",Table!D2952)</f>
        <v/>
      </c>
      <c r="E2952" s="32" t="str">
        <f>IF(Table!E2952 = "","",Table!E2952)</f>
        <v/>
      </c>
      <c r="F2952" s="32" t="str">
        <f>IF(Table!F2952 = "","",Table!F2952)</f>
        <v/>
      </c>
      <c r="G2952" s="91"/>
      <c r="K2952" s="31" t="str">
        <f>IFERROR(VLOOKUP(A2952,Table!$I$4:$O$3000,1,TRUE),"")</f>
        <v/>
      </c>
      <c r="L2952" s="31" t="str">
        <f>IFERROR(INDEX(Table!I:O,MATCH(K2952,Table!I:I,0),2),"")</f>
        <v/>
      </c>
      <c r="M2952" s="31" t="str">
        <f>IFERROR(INDEX(Table!I:O,MATCH(K2952,Table!I:I,0),3),"")</f>
        <v/>
      </c>
      <c r="N2952" s="32" t="str">
        <f>IFERROR(INDEX(Table!I:O,MATCH(K2952,Table!I:I,0),4),"")</f>
        <v/>
      </c>
      <c r="O2952" s="32" t="str">
        <f>IFERROR(INDEX(Table!I:O,MATCH(K2952,Table!I:I,0),5),"")</f>
        <v/>
      </c>
      <c r="P2952" s="32" t="str">
        <f>IFERROR(INDEX(Table!I:O,MATCH(K2952,Table!I:I,0),6),"")</f>
        <v/>
      </c>
      <c r="Q2952" s="89" t="str">
        <f t="shared" si="126"/>
        <v/>
      </c>
      <c r="R2952" s="89" t="str">
        <f t="shared" si="127"/>
        <v/>
      </c>
      <c r="S2952" s="82"/>
    </row>
    <row r="2953" spans="1:19" x14ac:dyDescent="0.25">
      <c r="A2953" s="31" t="str">
        <f>IF(Table!A2953 = "","",Table!A2953)</f>
        <v/>
      </c>
      <c r="B2953" s="31" t="str">
        <f>IF(Table!B2953 = "","",Table!B2953)</f>
        <v/>
      </c>
      <c r="C2953" s="31" t="str">
        <f>IF(Table!C2953 = "","",Table!C2953)</f>
        <v/>
      </c>
      <c r="D2953" s="32" t="str">
        <f>IF(Table!D2953 = "","",Table!D2953)</f>
        <v/>
      </c>
      <c r="E2953" s="32" t="str">
        <f>IF(Table!E2953 = "","",Table!E2953)</f>
        <v/>
      </c>
      <c r="F2953" s="32" t="str">
        <f>IF(Table!F2953 = "","",Table!F2953)</f>
        <v/>
      </c>
      <c r="G2953" s="91"/>
      <c r="K2953" s="31" t="str">
        <f>IFERROR(VLOOKUP(A2953,Table!$I$4:$O$3000,1,TRUE),"")</f>
        <v/>
      </c>
      <c r="L2953" s="31" t="str">
        <f>IFERROR(INDEX(Table!I:O,MATCH(K2953,Table!I:I,0),2),"")</f>
        <v/>
      </c>
      <c r="M2953" s="31" t="str">
        <f>IFERROR(INDEX(Table!I:O,MATCH(K2953,Table!I:I,0),3),"")</f>
        <v/>
      </c>
      <c r="N2953" s="32" t="str">
        <f>IFERROR(INDEX(Table!I:O,MATCH(K2953,Table!I:I,0),4),"")</f>
        <v/>
      </c>
      <c r="O2953" s="32" t="str">
        <f>IFERROR(INDEX(Table!I:O,MATCH(K2953,Table!I:I,0),5),"")</f>
        <v/>
      </c>
      <c r="P2953" s="32" t="str">
        <f>IFERROR(INDEX(Table!I:O,MATCH(K2953,Table!I:I,0),6),"")</f>
        <v/>
      </c>
      <c r="Q2953" s="89" t="str">
        <f t="shared" si="126"/>
        <v/>
      </c>
      <c r="R2953" s="89" t="str">
        <f t="shared" si="127"/>
        <v/>
      </c>
      <c r="S2953" s="82"/>
    </row>
    <row r="2954" spans="1:19" x14ac:dyDescent="0.25">
      <c r="A2954" s="31" t="str">
        <f>IF(Table!A2954 = "","",Table!A2954)</f>
        <v/>
      </c>
      <c r="B2954" s="31" t="str">
        <f>IF(Table!B2954 = "","",Table!B2954)</f>
        <v/>
      </c>
      <c r="C2954" s="31" t="str">
        <f>IF(Table!C2954 = "","",Table!C2954)</f>
        <v/>
      </c>
      <c r="D2954" s="32" t="str">
        <f>IF(Table!D2954 = "","",Table!D2954)</f>
        <v/>
      </c>
      <c r="E2954" s="32" t="str">
        <f>IF(Table!E2954 = "","",Table!E2954)</f>
        <v/>
      </c>
      <c r="F2954" s="32" t="str">
        <f>IF(Table!F2954 = "","",Table!F2954)</f>
        <v/>
      </c>
      <c r="G2954" s="91"/>
      <c r="K2954" s="31" t="str">
        <f>IFERROR(VLOOKUP(A2954,Table!$I$4:$O$3000,1,TRUE),"")</f>
        <v/>
      </c>
      <c r="L2954" s="31" t="str">
        <f>IFERROR(INDEX(Table!I:O,MATCH(K2954,Table!I:I,0),2),"")</f>
        <v/>
      </c>
      <c r="M2954" s="31" t="str">
        <f>IFERROR(INDEX(Table!I:O,MATCH(K2954,Table!I:I,0),3),"")</f>
        <v/>
      </c>
      <c r="N2954" s="32" t="str">
        <f>IFERROR(INDEX(Table!I:O,MATCH(K2954,Table!I:I,0),4),"")</f>
        <v/>
      </c>
      <c r="O2954" s="32" t="str">
        <f>IFERROR(INDEX(Table!I:O,MATCH(K2954,Table!I:I,0),5),"")</f>
        <v/>
      </c>
      <c r="P2954" s="32" t="str">
        <f>IFERROR(INDEX(Table!I:O,MATCH(K2954,Table!I:I,0),6),"")</f>
        <v/>
      </c>
      <c r="Q2954" s="89" t="str">
        <f t="shared" si="126"/>
        <v/>
      </c>
      <c r="R2954" s="89" t="str">
        <f t="shared" si="127"/>
        <v/>
      </c>
      <c r="S2954" s="82"/>
    </row>
    <row r="2955" spans="1:19" x14ac:dyDescent="0.25">
      <c r="A2955" s="31" t="str">
        <f>IF(Table!A2955 = "","",Table!A2955)</f>
        <v/>
      </c>
      <c r="B2955" s="31" t="str">
        <f>IF(Table!B2955 = "","",Table!B2955)</f>
        <v/>
      </c>
      <c r="C2955" s="31" t="str">
        <f>IF(Table!C2955 = "","",Table!C2955)</f>
        <v/>
      </c>
      <c r="D2955" s="32" t="str">
        <f>IF(Table!D2955 = "","",Table!D2955)</f>
        <v/>
      </c>
      <c r="E2955" s="32" t="str">
        <f>IF(Table!E2955 = "","",Table!E2955)</f>
        <v/>
      </c>
      <c r="F2955" s="32" t="str">
        <f>IF(Table!F2955 = "","",Table!F2955)</f>
        <v/>
      </c>
      <c r="G2955" s="91"/>
      <c r="K2955" s="31" t="str">
        <f>IFERROR(VLOOKUP(A2955,Table!$I$4:$O$3000,1,TRUE),"")</f>
        <v/>
      </c>
      <c r="L2955" s="31" t="str">
        <f>IFERROR(INDEX(Table!I:O,MATCH(K2955,Table!I:I,0),2),"")</f>
        <v/>
      </c>
      <c r="M2955" s="31" t="str">
        <f>IFERROR(INDEX(Table!I:O,MATCH(K2955,Table!I:I,0),3),"")</f>
        <v/>
      </c>
      <c r="N2955" s="32" t="str">
        <f>IFERROR(INDEX(Table!I:O,MATCH(K2955,Table!I:I,0),4),"")</f>
        <v/>
      </c>
      <c r="O2955" s="32" t="str">
        <f>IFERROR(INDEX(Table!I:O,MATCH(K2955,Table!I:I,0),5),"")</f>
        <v/>
      </c>
      <c r="P2955" s="32" t="str">
        <f>IFERROR(INDEX(Table!I:O,MATCH(K2955,Table!I:I,0),6),"")</f>
        <v/>
      </c>
      <c r="Q2955" s="89" t="str">
        <f t="shared" si="126"/>
        <v/>
      </c>
      <c r="R2955" s="89" t="str">
        <f t="shared" si="127"/>
        <v/>
      </c>
      <c r="S2955" s="82"/>
    </row>
    <row r="2956" spans="1:19" x14ac:dyDescent="0.25">
      <c r="A2956" s="31" t="str">
        <f>IF(Table!A2956 = "","",Table!A2956)</f>
        <v/>
      </c>
      <c r="B2956" s="31" t="str">
        <f>IF(Table!B2956 = "","",Table!B2956)</f>
        <v/>
      </c>
      <c r="C2956" s="31" t="str">
        <f>IF(Table!C2956 = "","",Table!C2956)</f>
        <v/>
      </c>
      <c r="D2956" s="32" t="str">
        <f>IF(Table!D2956 = "","",Table!D2956)</f>
        <v/>
      </c>
      <c r="E2956" s="32" t="str">
        <f>IF(Table!E2956 = "","",Table!E2956)</f>
        <v/>
      </c>
      <c r="F2956" s="32" t="str">
        <f>IF(Table!F2956 = "","",Table!F2956)</f>
        <v/>
      </c>
      <c r="G2956" s="91"/>
      <c r="K2956" s="31" t="str">
        <f>IFERROR(VLOOKUP(A2956,Table!$I$4:$O$3000,1,TRUE),"")</f>
        <v/>
      </c>
      <c r="L2956" s="31" t="str">
        <f>IFERROR(INDEX(Table!I:O,MATCH(K2956,Table!I:I,0),2),"")</f>
        <v/>
      </c>
      <c r="M2956" s="31" t="str">
        <f>IFERROR(INDEX(Table!I:O,MATCH(K2956,Table!I:I,0),3),"")</f>
        <v/>
      </c>
      <c r="N2956" s="32" t="str">
        <f>IFERROR(INDEX(Table!I:O,MATCH(K2956,Table!I:I,0),4),"")</f>
        <v/>
      </c>
      <c r="O2956" s="32" t="str">
        <f>IFERROR(INDEX(Table!I:O,MATCH(K2956,Table!I:I,0),5),"")</f>
        <v/>
      </c>
      <c r="P2956" s="32" t="str">
        <f>IFERROR(INDEX(Table!I:O,MATCH(K2956,Table!I:I,0),6),"")</f>
        <v/>
      </c>
      <c r="Q2956" s="89" t="str">
        <f t="shared" si="126"/>
        <v/>
      </c>
      <c r="R2956" s="89" t="str">
        <f t="shared" si="127"/>
        <v/>
      </c>
      <c r="S2956" s="82"/>
    </row>
    <row r="2957" spans="1:19" x14ac:dyDescent="0.25">
      <c r="A2957" s="31" t="str">
        <f>IF(Table!A2957 = "","",Table!A2957)</f>
        <v/>
      </c>
      <c r="B2957" s="31" t="str">
        <f>IF(Table!B2957 = "","",Table!B2957)</f>
        <v/>
      </c>
      <c r="C2957" s="31" t="str">
        <f>IF(Table!C2957 = "","",Table!C2957)</f>
        <v/>
      </c>
      <c r="D2957" s="32" t="str">
        <f>IF(Table!D2957 = "","",Table!D2957)</f>
        <v/>
      </c>
      <c r="E2957" s="32" t="str">
        <f>IF(Table!E2957 = "","",Table!E2957)</f>
        <v/>
      </c>
      <c r="F2957" s="32" t="str">
        <f>IF(Table!F2957 = "","",Table!F2957)</f>
        <v/>
      </c>
      <c r="G2957" s="91"/>
      <c r="K2957" s="31" t="str">
        <f>IFERROR(VLOOKUP(A2957,Table!$I$4:$O$3000,1,TRUE),"")</f>
        <v/>
      </c>
      <c r="L2957" s="31" t="str">
        <f>IFERROR(INDEX(Table!I:O,MATCH(K2957,Table!I:I,0),2),"")</f>
        <v/>
      </c>
      <c r="M2957" s="31" t="str">
        <f>IFERROR(INDEX(Table!I:O,MATCH(K2957,Table!I:I,0),3),"")</f>
        <v/>
      </c>
      <c r="N2957" s="32" t="str">
        <f>IFERROR(INDEX(Table!I:O,MATCH(K2957,Table!I:I,0),4),"")</f>
        <v/>
      </c>
      <c r="O2957" s="32" t="str">
        <f>IFERROR(INDEX(Table!I:O,MATCH(K2957,Table!I:I,0),5),"")</f>
        <v/>
      </c>
      <c r="P2957" s="32" t="str">
        <f>IFERROR(INDEX(Table!I:O,MATCH(K2957,Table!I:I,0),6),"")</f>
        <v/>
      </c>
      <c r="Q2957" s="89" t="str">
        <f t="shared" si="126"/>
        <v/>
      </c>
      <c r="R2957" s="89" t="str">
        <f t="shared" si="127"/>
        <v/>
      </c>
      <c r="S2957" s="82"/>
    </row>
    <row r="2958" spans="1:19" x14ac:dyDescent="0.25">
      <c r="A2958" s="31" t="str">
        <f>IF(Table!A2958 = "","",Table!A2958)</f>
        <v/>
      </c>
      <c r="B2958" s="31" t="str">
        <f>IF(Table!B2958 = "","",Table!B2958)</f>
        <v/>
      </c>
      <c r="C2958" s="31" t="str">
        <f>IF(Table!C2958 = "","",Table!C2958)</f>
        <v/>
      </c>
      <c r="D2958" s="32" t="str">
        <f>IF(Table!D2958 = "","",Table!D2958)</f>
        <v/>
      </c>
      <c r="E2958" s="32" t="str">
        <f>IF(Table!E2958 = "","",Table!E2958)</f>
        <v/>
      </c>
      <c r="F2958" s="32" t="str">
        <f>IF(Table!F2958 = "","",Table!F2958)</f>
        <v/>
      </c>
      <c r="G2958" s="91"/>
      <c r="K2958" s="31" t="str">
        <f>IFERROR(VLOOKUP(A2958,Table!$I$4:$O$3000,1,TRUE),"")</f>
        <v/>
      </c>
      <c r="L2958" s="31" t="str">
        <f>IFERROR(INDEX(Table!I:O,MATCH(K2958,Table!I:I,0),2),"")</f>
        <v/>
      </c>
      <c r="M2958" s="31" t="str">
        <f>IFERROR(INDEX(Table!I:O,MATCH(K2958,Table!I:I,0),3),"")</f>
        <v/>
      </c>
      <c r="N2958" s="32" t="str">
        <f>IFERROR(INDEX(Table!I:O,MATCH(K2958,Table!I:I,0),4),"")</f>
        <v/>
      </c>
      <c r="O2958" s="32" t="str">
        <f>IFERROR(INDEX(Table!I:O,MATCH(K2958,Table!I:I,0),5),"")</f>
        <v/>
      </c>
      <c r="P2958" s="32" t="str">
        <f>IFERROR(INDEX(Table!I:O,MATCH(K2958,Table!I:I,0),6),"")</f>
        <v/>
      </c>
      <c r="Q2958" s="89" t="str">
        <f t="shared" si="126"/>
        <v/>
      </c>
      <c r="R2958" s="89" t="str">
        <f t="shared" si="127"/>
        <v/>
      </c>
      <c r="S2958" s="82"/>
    </row>
    <row r="2959" spans="1:19" x14ac:dyDescent="0.25">
      <c r="A2959" s="31" t="str">
        <f>IF(Table!A2959 = "","",Table!A2959)</f>
        <v/>
      </c>
      <c r="B2959" s="31" t="str">
        <f>IF(Table!B2959 = "","",Table!B2959)</f>
        <v/>
      </c>
      <c r="C2959" s="31" t="str">
        <f>IF(Table!C2959 = "","",Table!C2959)</f>
        <v/>
      </c>
      <c r="D2959" s="32" t="str">
        <f>IF(Table!D2959 = "","",Table!D2959)</f>
        <v/>
      </c>
      <c r="E2959" s="32" t="str">
        <f>IF(Table!E2959 = "","",Table!E2959)</f>
        <v/>
      </c>
      <c r="F2959" s="32" t="str">
        <f>IF(Table!F2959 = "","",Table!F2959)</f>
        <v/>
      </c>
      <c r="G2959" s="91"/>
      <c r="K2959" s="31" t="str">
        <f>IFERROR(VLOOKUP(A2959,Table!$I$4:$O$3000,1,TRUE),"")</f>
        <v/>
      </c>
      <c r="L2959" s="31" t="str">
        <f>IFERROR(INDEX(Table!I:O,MATCH(K2959,Table!I:I,0),2),"")</f>
        <v/>
      </c>
      <c r="M2959" s="31" t="str">
        <f>IFERROR(INDEX(Table!I:O,MATCH(K2959,Table!I:I,0),3),"")</f>
        <v/>
      </c>
      <c r="N2959" s="32" t="str">
        <f>IFERROR(INDEX(Table!I:O,MATCH(K2959,Table!I:I,0),4),"")</f>
        <v/>
      </c>
      <c r="O2959" s="32" t="str">
        <f>IFERROR(INDEX(Table!I:O,MATCH(K2959,Table!I:I,0),5),"")</f>
        <v/>
      </c>
      <c r="P2959" s="32" t="str">
        <f>IFERROR(INDEX(Table!I:O,MATCH(K2959,Table!I:I,0),6),"")</f>
        <v/>
      </c>
      <c r="Q2959" s="89" t="str">
        <f t="shared" si="126"/>
        <v/>
      </c>
      <c r="R2959" s="89" t="str">
        <f t="shared" si="127"/>
        <v/>
      </c>
      <c r="S2959" s="82"/>
    </row>
    <row r="2960" spans="1:19" x14ac:dyDescent="0.25">
      <c r="A2960" s="31" t="str">
        <f>IF(Table!A2960 = "","",Table!A2960)</f>
        <v/>
      </c>
      <c r="B2960" s="31" t="str">
        <f>IF(Table!B2960 = "","",Table!B2960)</f>
        <v/>
      </c>
      <c r="C2960" s="31" t="str">
        <f>IF(Table!C2960 = "","",Table!C2960)</f>
        <v/>
      </c>
      <c r="D2960" s="32" t="str">
        <f>IF(Table!D2960 = "","",Table!D2960)</f>
        <v/>
      </c>
      <c r="E2960" s="32" t="str">
        <f>IF(Table!E2960 = "","",Table!E2960)</f>
        <v/>
      </c>
      <c r="F2960" s="32" t="str">
        <f>IF(Table!F2960 = "","",Table!F2960)</f>
        <v/>
      </c>
      <c r="G2960" s="91"/>
      <c r="K2960" s="31" t="str">
        <f>IFERROR(VLOOKUP(A2960,Table!$I$4:$O$3000,1,TRUE),"")</f>
        <v/>
      </c>
      <c r="L2960" s="31" t="str">
        <f>IFERROR(INDEX(Table!I:O,MATCH(K2960,Table!I:I,0),2),"")</f>
        <v/>
      </c>
      <c r="M2960" s="31" t="str">
        <f>IFERROR(INDEX(Table!I:O,MATCH(K2960,Table!I:I,0),3),"")</f>
        <v/>
      </c>
      <c r="N2960" s="32" t="str">
        <f>IFERROR(INDEX(Table!I:O,MATCH(K2960,Table!I:I,0),4),"")</f>
        <v/>
      </c>
      <c r="O2960" s="32" t="str">
        <f>IFERROR(INDEX(Table!I:O,MATCH(K2960,Table!I:I,0),5),"")</f>
        <v/>
      </c>
      <c r="P2960" s="32" t="str">
        <f>IFERROR(INDEX(Table!I:O,MATCH(K2960,Table!I:I,0),6),"")</f>
        <v/>
      </c>
      <c r="Q2960" s="89" t="str">
        <f t="shared" si="126"/>
        <v/>
      </c>
      <c r="R2960" s="89" t="str">
        <f t="shared" si="127"/>
        <v/>
      </c>
      <c r="S2960" s="82"/>
    </row>
    <row r="2961" spans="1:19" x14ac:dyDescent="0.25">
      <c r="A2961" s="31" t="str">
        <f>IF(Table!A2961 = "","",Table!A2961)</f>
        <v/>
      </c>
      <c r="B2961" s="31" t="str">
        <f>IF(Table!B2961 = "","",Table!B2961)</f>
        <v/>
      </c>
      <c r="C2961" s="31" t="str">
        <f>IF(Table!C2961 = "","",Table!C2961)</f>
        <v/>
      </c>
      <c r="D2961" s="32" t="str">
        <f>IF(Table!D2961 = "","",Table!D2961)</f>
        <v/>
      </c>
      <c r="E2961" s="32" t="str">
        <f>IF(Table!E2961 = "","",Table!E2961)</f>
        <v/>
      </c>
      <c r="F2961" s="32" t="str">
        <f>IF(Table!F2961 = "","",Table!F2961)</f>
        <v/>
      </c>
      <c r="G2961" s="91"/>
      <c r="K2961" s="31" t="str">
        <f>IFERROR(VLOOKUP(A2961,Table!$I$4:$O$3000,1,TRUE),"")</f>
        <v/>
      </c>
      <c r="L2961" s="31" t="str">
        <f>IFERROR(INDEX(Table!I:O,MATCH(K2961,Table!I:I,0),2),"")</f>
        <v/>
      </c>
      <c r="M2961" s="31" t="str">
        <f>IFERROR(INDEX(Table!I:O,MATCH(K2961,Table!I:I,0),3),"")</f>
        <v/>
      </c>
      <c r="N2961" s="32" t="str">
        <f>IFERROR(INDEX(Table!I:O,MATCH(K2961,Table!I:I,0),4),"")</f>
        <v/>
      </c>
      <c r="O2961" s="32" t="str">
        <f>IFERROR(INDEX(Table!I:O,MATCH(K2961,Table!I:I,0),5),"")</f>
        <v/>
      </c>
      <c r="P2961" s="32" t="str">
        <f>IFERROR(INDEX(Table!I:O,MATCH(K2961,Table!I:I,0),6),"")</f>
        <v/>
      </c>
      <c r="Q2961" s="89" t="str">
        <f t="shared" si="126"/>
        <v/>
      </c>
      <c r="R2961" s="89" t="str">
        <f t="shared" si="127"/>
        <v/>
      </c>
      <c r="S2961" s="82"/>
    </row>
    <row r="2962" spans="1:19" x14ac:dyDescent="0.25">
      <c r="A2962" s="31" t="str">
        <f>IF(Table!A2962 = "","",Table!A2962)</f>
        <v/>
      </c>
      <c r="B2962" s="31" t="str">
        <f>IF(Table!B2962 = "","",Table!B2962)</f>
        <v/>
      </c>
      <c r="C2962" s="31" t="str">
        <f>IF(Table!C2962 = "","",Table!C2962)</f>
        <v/>
      </c>
      <c r="D2962" s="32" t="str">
        <f>IF(Table!D2962 = "","",Table!D2962)</f>
        <v/>
      </c>
      <c r="E2962" s="32" t="str">
        <f>IF(Table!E2962 = "","",Table!E2962)</f>
        <v/>
      </c>
      <c r="F2962" s="32" t="str">
        <f>IF(Table!F2962 = "","",Table!F2962)</f>
        <v/>
      </c>
      <c r="G2962" s="91"/>
      <c r="K2962" s="31" t="str">
        <f>IFERROR(VLOOKUP(A2962,Table!$I$4:$O$3000,1,TRUE),"")</f>
        <v/>
      </c>
      <c r="L2962" s="31" t="str">
        <f>IFERROR(INDEX(Table!I:O,MATCH(K2962,Table!I:I,0),2),"")</f>
        <v/>
      </c>
      <c r="M2962" s="31" t="str">
        <f>IFERROR(INDEX(Table!I:O,MATCH(K2962,Table!I:I,0),3),"")</f>
        <v/>
      </c>
      <c r="N2962" s="32" t="str">
        <f>IFERROR(INDEX(Table!I:O,MATCH(K2962,Table!I:I,0),4),"")</f>
        <v/>
      </c>
      <c r="O2962" s="32" t="str">
        <f>IFERROR(INDEX(Table!I:O,MATCH(K2962,Table!I:I,0),5),"")</f>
        <v/>
      </c>
      <c r="P2962" s="32" t="str">
        <f>IFERROR(INDEX(Table!I:O,MATCH(K2962,Table!I:I,0),6),"")</f>
        <v/>
      </c>
      <c r="Q2962" s="89" t="str">
        <f t="shared" si="126"/>
        <v/>
      </c>
      <c r="R2962" s="89" t="str">
        <f t="shared" si="127"/>
        <v/>
      </c>
      <c r="S2962" s="82"/>
    </row>
    <row r="2963" spans="1:19" x14ac:dyDescent="0.25">
      <c r="A2963" s="31" t="str">
        <f>IF(Table!A2963 = "","",Table!A2963)</f>
        <v/>
      </c>
      <c r="B2963" s="31" t="str">
        <f>IF(Table!B2963 = "","",Table!B2963)</f>
        <v/>
      </c>
      <c r="C2963" s="31" t="str">
        <f>IF(Table!C2963 = "","",Table!C2963)</f>
        <v/>
      </c>
      <c r="D2963" s="32" t="str">
        <f>IF(Table!D2963 = "","",Table!D2963)</f>
        <v/>
      </c>
      <c r="E2963" s="32" t="str">
        <f>IF(Table!E2963 = "","",Table!E2963)</f>
        <v/>
      </c>
      <c r="F2963" s="32" t="str">
        <f>IF(Table!F2963 = "","",Table!F2963)</f>
        <v/>
      </c>
      <c r="G2963" s="91"/>
      <c r="K2963" s="31" t="str">
        <f>IFERROR(VLOOKUP(A2963,Table!$I$4:$O$3000,1,TRUE),"")</f>
        <v/>
      </c>
      <c r="L2963" s="31" t="str">
        <f>IFERROR(INDEX(Table!I:O,MATCH(K2963,Table!I:I,0),2),"")</f>
        <v/>
      </c>
      <c r="M2963" s="31" t="str">
        <f>IFERROR(INDEX(Table!I:O,MATCH(K2963,Table!I:I,0),3),"")</f>
        <v/>
      </c>
      <c r="N2963" s="32" t="str">
        <f>IFERROR(INDEX(Table!I:O,MATCH(K2963,Table!I:I,0),4),"")</f>
        <v/>
      </c>
      <c r="O2963" s="32" t="str">
        <f>IFERROR(INDEX(Table!I:O,MATCH(K2963,Table!I:I,0),5),"")</f>
        <v/>
      </c>
      <c r="P2963" s="32" t="str">
        <f>IFERROR(INDEX(Table!I:O,MATCH(K2963,Table!I:I,0),6),"")</f>
        <v/>
      </c>
      <c r="Q2963" s="89" t="str">
        <f t="shared" si="126"/>
        <v/>
      </c>
      <c r="R2963" s="89" t="str">
        <f t="shared" si="127"/>
        <v/>
      </c>
      <c r="S2963" s="82"/>
    </row>
    <row r="2964" spans="1:19" x14ac:dyDescent="0.25">
      <c r="A2964" s="31" t="str">
        <f>IF(Table!A2964 = "","",Table!A2964)</f>
        <v/>
      </c>
      <c r="B2964" s="31" t="str">
        <f>IF(Table!B2964 = "","",Table!B2964)</f>
        <v/>
      </c>
      <c r="C2964" s="31" t="str">
        <f>IF(Table!C2964 = "","",Table!C2964)</f>
        <v/>
      </c>
      <c r="D2964" s="32" t="str">
        <f>IF(Table!D2964 = "","",Table!D2964)</f>
        <v/>
      </c>
      <c r="E2964" s="32" t="str">
        <f>IF(Table!E2964 = "","",Table!E2964)</f>
        <v/>
      </c>
      <c r="F2964" s="32" t="str">
        <f>IF(Table!F2964 = "","",Table!F2964)</f>
        <v/>
      </c>
      <c r="G2964" s="91"/>
      <c r="K2964" s="31" t="str">
        <f>IFERROR(VLOOKUP(A2964,Table!$I$4:$O$3000,1,TRUE),"")</f>
        <v/>
      </c>
      <c r="L2964" s="31" t="str">
        <f>IFERROR(INDEX(Table!I:O,MATCH(K2964,Table!I:I,0),2),"")</f>
        <v/>
      </c>
      <c r="M2964" s="31" t="str">
        <f>IFERROR(INDEX(Table!I:O,MATCH(K2964,Table!I:I,0),3),"")</f>
        <v/>
      </c>
      <c r="N2964" s="32" t="str">
        <f>IFERROR(INDEX(Table!I:O,MATCH(K2964,Table!I:I,0),4),"")</f>
        <v/>
      </c>
      <c r="O2964" s="32" t="str">
        <f>IFERROR(INDEX(Table!I:O,MATCH(K2964,Table!I:I,0),5),"")</f>
        <v/>
      </c>
      <c r="P2964" s="32" t="str">
        <f>IFERROR(INDEX(Table!I:O,MATCH(K2964,Table!I:I,0),6),"")</f>
        <v/>
      </c>
      <c r="Q2964" s="89" t="str">
        <f t="shared" si="126"/>
        <v/>
      </c>
      <c r="R2964" s="89" t="str">
        <f t="shared" si="127"/>
        <v/>
      </c>
      <c r="S2964" s="82"/>
    </row>
    <row r="2965" spans="1:19" x14ac:dyDescent="0.25">
      <c r="A2965" s="31" t="str">
        <f>IF(Table!A2965 = "","",Table!A2965)</f>
        <v/>
      </c>
      <c r="B2965" s="31" t="str">
        <f>IF(Table!B2965 = "","",Table!B2965)</f>
        <v/>
      </c>
      <c r="C2965" s="31" t="str">
        <f>IF(Table!C2965 = "","",Table!C2965)</f>
        <v/>
      </c>
      <c r="D2965" s="32" t="str">
        <f>IF(Table!D2965 = "","",Table!D2965)</f>
        <v/>
      </c>
      <c r="E2965" s="32" t="str">
        <f>IF(Table!E2965 = "","",Table!E2965)</f>
        <v/>
      </c>
      <c r="F2965" s="32" t="str">
        <f>IF(Table!F2965 = "","",Table!F2965)</f>
        <v/>
      </c>
      <c r="G2965" s="91"/>
      <c r="K2965" s="31" t="str">
        <f>IFERROR(VLOOKUP(A2965,Table!$I$4:$O$3000,1,TRUE),"")</f>
        <v/>
      </c>
      <c r="L2965" s="31" t="str">
        <f>IFERROR(INDEX(Table!I:O,MATCH(K2965,Table!I:I,0),2),"")</f>
        <v/>
      </c>
      <c r="M2965" s="31" t="str">
        <f>IFERROR(INDEX(Table!I:O,MATCH(K2965,Table!I:I,0),3),"")</f>
        <v/>
      </c>
      <c r="N2965" s="32" t="str">
        <f>IFERROR(INDEX(Table!I:O,MATCH(K2965,Table!I:I,0),4),"")</f>
        <v/>
      </c>
      <c r="O2965" s="32" t="str">
        <f>IFERROR(INDEX(Table!I:O,MATCH(K2965,Table!I:I,0),5),"")</f>
        <v/>
      </c>
      <c r="P2965" s="32" t="str">
        <f>IFERROR(INDEX(Table!I:O,MATCH(K2965,Table!I:I,0),6),"")</f>
        <v/>
      </c>
      <c r="Q2965" s="89" t="str">
        <f t="shared" si="126"/>
        <v/>
      </c>
      <c r="R2965" s="89" t="str">
        <f t="shared" si="127"/>
        <v/>
      </c>
      <c r="S2965" s="82"/>
    </row>
    <row r="2966" spans="1:19" x14ac:dyDescent="0.25">
      <c r="A2966" s="31" t="str">
        <f>IF(Table!A2966 = "","",Table!A2966)</f>
        <v/>
      </c>
      <c r="B2966" s="31" t="str">
        <f>IF(Table!B2966 = "","",Table!B2966)</f>
        <v/>
      </c>
      <c r="C2966" s="31" t="str">
        <f>IF(Table!C2966 = "","",Table!C2966)</f>
        <v/>
      </c>
      <c r="D2966" s="32" t="str">
        <f>IF(Table!D2966 = "","",Table!D2966)</f>
        <v/>
      </c>
      <c r="E2966" s="32" t="str">
        <f>IF(Table!E2966 = "","",Table!E2966)</f>
        <v/>
      </c>
      <c r="F2966" s="32" t="str">
        <f>IF(Table!F2966 = "","",Table!F2966)</f>
        <v/>
      </c>
      <c r="G2966" s="91"/>
      <c r="K2966" s="31" t="str">
        <f>IFERROR(VLOOKUP(A2966,Table!$I$4:$O$3000,1,TRUE),"")</f>
        <v/>
      </c>
      <c r="L2966" s="31" t="str">
        <f>IFERROR(INDEX(Table!I:O,MATCH(K2966,Table!I:I,0),2),"")</f>
        <v/>
      </c>
      <c r="M2966" s="31" t="str">
        <f>IFERROR(INDEX(Table!I:O,MATCH(K2966,Table!I:I,0),3),"")</f>
        <v/>
      </c>
      <c r="N2966" s="32" t="str">
        <f>IFERROR(INDEX(Table!I:O,MATCH(K2966,Table!I:I,0),4),"")</f>
        <v/>
      </c>
      <c r="O2966" s="32" t="str">
        <f>IFERROR(INDEX(Table!I:O,MATCH(K2966,Table!I:I,0),5),"")</f>
        <v/>
      </c>
      <c r="P2966" s="32" t="str">
        <f>IFERROR(INDEX(Table!I:O,MATCH(K2966,Table!I:I,0),6),"")</f>
        <v/>
      </c>
      <c r="Q2966" s="89" t="str">
        <f t="shared" si="126"/>
        <v/>
      </c>
      <c r="R2966" s="89" t="str">
        <f t="shared" si="127"/>
        <v/>
      </c>
      <c r="S2966" s="82"/>
    </row>
    <row r="2967" spans="1:19" x14ac:dyDescent="0.25">
      <c r="A2967" s="31" t="str">
        <f>IF(Table!A2967 = "","",Table!A2967)</f>
        <v/>
      </c>
      <c r="B2967" s="31" t="str">
        <f>IF(Table!B2967 = "","",Table!B2967)</f>
        <v/>
      </c>
      <c r="C2967" s="31" t="str">
        <f>IF(Table!C2967 = "","",Table!C2967)</f>
        <v/>
      </c>
      <c r="D2967" s="32" t="str">
        <f>IF(Table!D2967 = "","",Table!D2967)</f>
        <v/>
      </c>
      <c r="E2967" s="32" t="str">
        <f>IF(Table!E2967 = "","",Table!E2967)</f>
        <v/>
      </c>
      <c r="F2967" s="32" t="str">
        <f>IF(Table!F2967 = "","",Table!F2967)</f>
        <v/>
      </c>
      <c r="G2967" s="91"/>
      <c r="K2967" s="31" t="str">
        <f>IFERROR(VLOOKUP(A2967,Table!$I$4:$O$3000,1,TRUE),"")</f>
        <v/>
      </c>
      <c r="L2967" s="31" t="str">
        <f>IFERROR(INDEX(Table!I:O,MATCH(K2967,Table!I:I,0),2),"")</f>
        <v/>
      </c>
      <c r="M2967" s="31" t="str">
        <f>IFERROR(INDEX(Table!I:O,MATCH(K2967,Table!I:I,0),3),"")</f>
        <v/>
      </c>
      <c r="N2967" s="32" t="str">
        <f>IFERROR(INDEX(Table!I:O,MATCH(K2967,Table!I:I,0),4),"")</f>
        <v/>
      </c>
      <c r="O2967" s="32" t="str">
        <f>IFERROR(INDEX(Table!I:O,MATCH(K2967,Table!I:I,0),5),"")</f>
        <v/>
      </c>
      <c r="P2967" s="32" t="str">
        <f>IFERROR(INDEX(Table!I:O,MATCH(K2967,Table!I:I,0),6),"")</f>
        <v/>
      </c>
      <c r="Q2967" s="89" t="str">
        <f t="shared" si="126"/>
        <v/>
      </c>
      <c r="R2967" s="89" t="str">
        <f t="shared" si="127"/>
        <v/>
      </c>
      <c r="S2967" s="82"/>
    </row>
    <row r="2968" spans="1:19" x14ac:dyDescent="0.25">
      <c r="A2968" s="31" t="str">
        <f>IF(Table!A2968 = "","",Table!A2968)</f>
        <v/>
      </c>
      <c r="B2968" s="31" t="str">
        <f>IF(Table!B2968 = "","",Table!B2968)</f>
        <v/>
      </c>
      <c r="C2968" s="31" t="str">
        <f>IF(Table!C2968 = "","",Table!C2968)</f>
        <v/>
      </c>
      <c r="D2968" s="32" t="str">
        <f>IF(Table!D2968 = "","",Table!D2968)</f>
        <v/>
      </c>
      <c r="E2968" s="32" t="str">
        <f>IF(Table!E2968 = "","",Table!E2968)</f>
        <v/>
      </c>
      <c r="F2968" s="32" t="str">
        <f>IF(Table!F2968 = "","",Table!F2968)</f>
        <v/>
      </c>
      <c r="G2968" s="91"/>
      <c r="K2968" s="31" t="str">
        <f>IFERROR(VLOOKUP(A2968,Table!$I$4:$O$3000,1,TRUE),"")</f>
        <v/>
      </c>
      <c r="L2968" s="31" t="str">
        <f>IFERROR(INDEX(Table!I:O,MATCH(K2968,Table!I:I,0),2),"")</f>
        <v/>
      </c>
      <c r="M2968" s="31" t="str">
        <f>IFERROR(INDEX(Table!I:O,MATCH(K2968,Table!I:I,0),3),"")</f>
        <v/>
      </c>
      <c r="N2968" s="32" t="str">
        <f>IFERROR(INDEX(Table!I:O,MATCH(K2968,Table!I:I,0),4),"")</f>
        <v/>
      </c>
      <c r="O2968" s="32" t="str">
        <f>IFERROR(INDEX(Table!I:O,MATCH(K2968,Table!I:I,0),5),"")</f>
        <v/>
      </c>
      <c r="P2968" s="32" t="str">
        <f>IFERROR(INDEX(Table!I:O,MATCH(K2968,Table!I:I,0),6),"")</f>
        <v/>
      </c>
      <c r="Q2968" s="89" t="str">
        <f t="shared" si="126"/>
        <v/>
      </c>
      <c r="R2968" s="89" t="str">
        <f t="shared" si="127"/>
        <v/>
      </c>
      <c r="S2968" s="82"/>
    </row>
    <row r="2969" spans="1:19" x14ac:dyDescent="0.25">
      <c r="A2969" s="31" t="str">
        <f>IF(Table!A2969 = "","",Table!A2969)</f>
        <v/>
      </c>
      <c r="B2969" s="31" t="str">
        <f>IF(Table!B2969 = "","",Table!B2969)</f>
        <v/>
      </c>
      <c r="C2969" s="31" t="str">
        <f>IF(Table!C2969 = "","",Table!C2969)</f>
        <v/>
      </c>
      <c r="D2969" s="32" t="str">
        <f>IF(Table!D2969 = "","",Table!D2969)</f>
        <v/>
      </c>
      <c r="E2969" s="32" t="str">
        <f>IF(Table!E2969 = "","",Table!E2969)</f>
        <v/>
      </c>
      <c r="F2969" s="32" t="str">
        <f>IF(Table!F2969 = "","",Table!F2969)</f>
        <v/>
      </c>
      <c r="G2969" s="91"/>
      <c r="K2969" s="31" t="str">
        <f>IFERROR(VLOOKUP(A2969,Table!$I$4:$O$3000,1,TRUE),"")</f>
        <v/>
      </c>
      <c r="L2969" s="31" t="str">
        <f>IFERROR(INDEX(Table!I:O,MATCH(K2969,Table!I:I,0),2),"")</f>
        <v/>
      </c>
      <c r="M2969" s="31" t="str">
        <f>IFERROR(INDEX(Table!I:O,MATCH(K2969,Table!I:I,0),3),"")</f>
        <v/>
      </c>
      <c r="N2969" s="32" t="str">
        <f>IFERROR(INDEX(Table!I:O,MATCH(K2969,Table!I:I,0),4),"")</f>
        <v/>
      </c>
      <c r="O2969" s="32" t="str">
        <f>IFERROR(INDEX(Table!I:O,MATCH(K2969,Table!I:I,0),5),"")</f>
        <v/>
      </c>
      <c r="P2969" s="32" t="str">
        <f>IFERROR(INDEX(Table!I:O,MATCH(K2969,Table!I:I,0),6),"")</f>
        <v/>
      </c>
      <c r="Q2969" s="89" t="str">
        <f t="shared" si="126"/>
        <v/>
      </c>
      <c r="R2969" s="89" t="str">
        <f t="shared" si="127"/>
        <v/>
      </c>
      <c r="S2969" s="82"/>
    </row>
    <row r="2970" spans="1:19" x14ac:dyDescent="0.25">
      <c r="A2970" s="31" t="str">
        <f>IF(Table!A2970 = "","",Table!A2970)</f>
        <v/>
      </c>
      <c r="B2970" s="31" t="str">
        <f>IF(Table!B2970 = "","",Table!B2970)</f>
        <v/>
      </c>
      <c r="C2970" s="31" t="str">
        <f>IF(Table!C2970 = "","",Table!C2970)</f>
        <v/>
      </c>
      <c r="D2970" s="32" t="str">
        <f>IF(Table!D2970 = "","",Table!D2970)</f>
        <v/>
      </c>
      <c r="E2970" s="32" t="str">
        <f>IF(Table!E2970 = "","",Table!E2970)</f>
        <v/>
      </c>
      <c r="F2970" s="32" t="str">
        <f>IF(Table!F2970 = "","",Table!F2970)</f>
        <v/>
      </c>
      <c r="G2970" s="91"/>
      <c r="K2970" s="31" t="str">
        <f>IFERROR(VLOOKUP(A2970,Table!$I$4:$O$3000,1,TRUE),"")</f>
        <v/>
      </c>
      <c r="L2970" s="31" t="str">
        <f>IFERROR(INDEX(Table!I:O,MATCH(K2970,Table!I:I,0),2),"")</f>
        <v/>
      </c>
      <c r="M2970" s="31" t="str">
        <f>IFERROR(INDEX(Table!I:O,MATCH(K2970,Table!I:I,0),3),"")</f>
        <v/>
      </c>
      <c r="N2970" s="32" t="str">
        <f>IFERROR(INDEX(Table!I:O,MATCH(K2970,Table!I:I,0),4),"")</f>
        <v/>
      </c>
      <c r="O2970" s="32" t="str">
        <f>IFERROR(INDEX(Table!I:O,MATCH(K2970,Table!I:I,0),5),"")</f>
        <v/>
      </c>
      <c r="P2970" s="32" t="str">
        <f>IFERROR(INDEX(Table!I:O,MATCH(K2970,Table!I:I,0),6),"")</f>
        <v/>
      </c>
      <c r="Q2970" s="89" t="str">
        <f t="shared" si="126"/>
        <v/>
      </c>
      <c r="R2970" s="89" t="str">
        <f t="shared" si="127"/>
        <v/>
      </c>
      <c r="S2970" s="82"/>
    </row>
    <row r="2971" spans="1:19" x14ac:dyDescent="0.25">
      <c r="A2971" s="31" t="str">
        <f>IF(Table!A2971 = "","",Table!A2971)</f>
        <v/>
      </c>
      <c r="B2971" s="31" t="str">
        <f>IF(Table!B2971 = "","",Table!B2971)</f>
        <v/>
      </c>
      <c r="C2971" s="31" t="str">
        <f>IF(Table!C2971 = "","",Table!C2971)</f>
        <v/>
      </c>
      <c r="D2971" s="32" t="str">
        <f>IF(Table!D2971 = "","",Table!D2971)</f>
        <v/>
      </c>
      <c r="E2971" s="32" t="str">
        <f>IF(Table!E2971 = "","",Table!E2971)</f>
        <v/>
      </c>
      <c r="F2971" s="32" t="str">
        <f>IF(Table!F2971 = "","",Table!F2971)</f>
        <v/>
      </c>
      <c r="G2971" s="91"/>
      <c r="K2971" s="31" t="str">
        <f>IFERROR(VLOOKUP(A2971,Table!$I$4:$O$3000,1,TRUE),"")</f>
        <v/>
      </c>
      <c r="L2971" s="31" t="str">
        <f>IFERROR(INDEX(Table!I:O,MATCH(K2971,Table!I:I,0),2),"")</f>
        <v/>
      </c>
      <c r="M2971" s="31" t="str">
        <f>IFERROR(INDEX(Table!I:O,MATCH(K2971,Table!I:I,0),3),"")</f>
        <v/>
      </c>
      <c r="N2971" s="32" t="str">
        <f>IFERROR(INDEX(Table!I:O,MATCH(K2971,Table!I:I,0),4),"")</f>
        <v/>
      </c>
      <c r="O2971" s="32" t="str">
        <f>IFERROR(INDEX(Table!I:O,MATCH(K2971,Table!I:I,0),5),"")</f>
        <v/>
      </c>
      <c r="P2971" s="32" t="str">
        <f>IFERROR(INDEX(Table!I:O,MATCH(K2971,Table!I:I,0),6),"")</f>
        <v/>
      </c>
      <c r="Q2971" s="89" t="str">
        <f t="shared" si="126"/>
        <v/>
      </c>
      <c r="R2971" s="89" t="str">
        <f t="shared" si="127"/>
        <v/>
      </c>
      <c r="S2971" s="82"/>
    </row>
    <row r="2972" spans="1:19" x14ac:dyDescent="0.25">
      <c r="A2972" s="31" t="str">
        <f>IF(Table!A2972 = "","",Table!A2972)</f>
        <v/>
      </c>
      <c r="B2972" s="31" t="str">
        <f>IF(Table!B2972 = "","",Table!B2972)</f>
        <v/>
      </c>
      <c r="C2972" s="31" t="str">
        <f>IF(Table!C2972 = "","",Table!C2972)</f>
        <v/>
      </c>
      <c r="D2972" s="32" t="str">
        <f>IF(Table!D2972 = "","",Table!D2972)</f>
        <v/>
      </c>
      <c r="E2972" s="32" t="str">
        <f>IF(Table!E2972 = "","",Table!E2972)</f>
        <v/>
      </c>
      <c r="F2972" s="32" t="str">
        <f>IF(Table!F2972 = "","",Table!F2972)</f>
        <v/>
      </c>
      <c r="G2972" s="91"/>
      <c r="K2972" s="31" t="str">
        <f>IFERROR(VLOOKUP(A2972,Table!$I$4:$O$3000,1,TRUE),"")</f>
        <v/>
      </c>
      <c r="L2972" s="31" t="str">
        <f>IFERROR(INDEX(Table!I:O,MATCH(K2972,Table!I:I,0),2),"")</f>
        <v/>
      </c>
      <c r="M2972" s="31" t="str">
        <f>IFERROR(INDEX(Table!I:O,MATCH(K2972,Table!I:I,0),3),"")</f>
        <v/>
      </c>
      <c r="N2972" s="32" t="str">
        <f>IFERROR(INDEX(Table!I:O,MATCH(K2972,Table!I:I,0),4),"")</f>
        <v/>
      </c>
      <c r="O2972" s="32" t="str">
        <f>IFERROR(INDEX(Table!I:O,MATCH(K2972,Table!I:I,0),5),"")</f>
        <v/>
      </c>
      <c r="P2972" s="32" t="str">
        <f>IFERROR(INDEX(Table!I:O,MATCH(K2972,Table!I:I,0),6),"")</f>
        <v/>
      </c>
      <c r="Q2972" s="89" t="str">
        <f t="shared" si="126"/>
        <v/>
      </c>
      <c r="R2972" s="89" t="str">
        <f t="shared" si="127"/>
        <v/>
      </c>
      <c r="S2972" s="82"/>
    </row>
    <row r="2973" spans="1:19" x14ac:dyDescent="0.25">
      <c r="A2973" s="31" t="str">
        <f>IF(Table!A2973 = "","",Table!A2973)</f>
        <v/>
      </c>
      <c r="B2973" s="31" t="str">
        <f>IF(Table!B2973 = "","",Table!B2973)</f>
        <v/>
      </c>
      <c r="C2973" s="31" t="str">
        <f>IF(Table!C2973 = "","",Table!C2973)</f>
        <v/>
      </c>
      <c r="D2973" s="32" t="str">
        <f>IF(Table!D2973 = "","",Table!D2973)</f>
        <v/>
      </c>
      <c r="E2973" s="32" t="str">
        <f>IF(Table!E2973 = "","",Table!E2973)</f>
        <v/>
      </c>
      <c r="F2973" s="32" t="str">
        <f>IF(Table!F2973 = "","",Table!F2973)</f>
        <v/>
      </c>
      <c r="G2973" s="91"/>
      <c r="K2973" s="31" t="str">
        <f>IFERROR(VLOOKUP(A2973,Table!$I$4:$O$3000,1,TRUE),"")</f>
        <v/>
      </c>
      <c r="L2973" s="31" t="str">
        <f>IFERROR(INDEX(Table!I:O,MATCH(K2973,Table!I:I,0),2),"")</f>
        <v/>
      </c>
      <c r="M2973" s="31" t="str">
        <f>IFERROR(INDEX(Table!I:O,MATCH(K2973,Table!I:I,0),3),"")</f>
        <v/>
      </c>
      <c r="N2973" s="32" t="str">
        <f>IFERROR(INDEX(Table!I:O,MATCH(K2973,Table!I:I,0),4),"")</f>
        <v/>
      </c>
      <c r="O2973" s="32" t="str">
        <f>IFERROR(INDEX(Table!I:O,MATCH(K2973,Table!I:I,0),5),"")</f>
        <v/>
      </c>
      <c r="P2973" s="32" t="str">
        <f>IFERROR(INDEX(Table!I:O,MATCH(K2973,Table!I:I,0),6),"")</f>
        <v/>
      </c>
      <c r="Q2973" s="89" t="str">
        <f t="shared" si="126"/>
        <v/>
      </c>
      <c r="R2973" s="89" t="str">
        <f t="shared" si="127"/>
        <v/>
      </c>
      <c r="S2973" s="82"/>
    </row>
    <row r="2974" spans="1:19" x14ac:dyDescent="0.25">
      <c r="A2974" s="31" t="str">
        <f>IF(Table!A2974 = "","",Table!A2974)</f>
        <v/>
      </c>
      <c r="B2974" s="31" t="str">
        <f>IF(Table!B2974 = "","",Table!B2974)</f>
        <v/>
      </c>
      <c r="C2974" s="31" t="str">
        <f>IF(Table!C2974 = "","",Table!C2974)</f>
        <v/>
      </c>
      <c r="D2974" s="32" t="str">
        <f>IF(Table!D2974 = "","",Table!D2974)</f>
        <v/>
      </c>
      <c r="E2974" s="32" t="str">
        <f>IF(Table!E2974 = "","",Table!E2974)</f>
        <v/>
      </c>
      <c r="F2974" s="32" t="str">
        <f>IF(Table!F2974 = "","",Table!F2974)</f>
        <v/>
      </c>
      <c r="G2974" s="91"/>
      <c r="K2974" s="31" t="str">
        <f>IFERROR(VLOOKUP(A2974,Table!$I$4:$O$3000,1,TRUE),"")</f>
        <v/>
      </c>
      <c r="L2974" s="31" t="str">
        <f>IFERROR(INDEX(Table!I:O,MATCH(K2974,Table!I:I,0),2),"")</f>
        <v/>
      </c>
      <c r="M2974" s="31" t="str">
        <f>IFERROR(INDEX(Table!I:O,MATCH(K2974,Table!I:I,0),3),"")</f>
        <v/>
      </c>
      <c r="N2974" s="32" t="str">
        <f>IFERROR(INDEX(Table!I:O,MATCH(K2974,Table!I:I,0),4),"")</f>
        <v/>
      </c>
      <c r="O2974" s="32" t="str">
        <f>IFERROR(INDEX(Table!I:O,MATCH(K2974,Table!I:I,0),5),"")</f>
        <v/>
      </c>
      <c r="P2974" s="32" t="str">
        <f>IFERROR(INDEX(Table!I:O,MATCH(K2974,Table!I:I,0),6),"")</f>
        <v/>
      </c>
      <c r="Q2974" s="89" t="str">
        <f t="shared" si="126"/>
        <v/>
      </c>
      <c r="R2974" s="89" t="str">
        <f t="shared" si="127"/>
        <v/>
      </c>
      <c r="S2974" s="82"/>
    </row>
    <row r="2975" spans="1:19" x14ac:dyDescent="0.25">
      <c r="A2975" s="31" t="str">
        <f>IF(Table!A2975 = "","",Table!A2975)</f>
        <v/>
      </c>
      <c r="B2975" s="31" t="str">
        <f>IF(Table!B2975 = "","",Table!B2975)</f>
        <v/>
      </c>
      <c r="C2975" s="31" t="str">
        <f>IF(Table!C2975 = "","",Table!C2975)</f>
        <v/>
      </c>
      <c r="D2975" s="32" t="str">
        <f>IF(Table!D2975 = "","",Table!D2975)</f>
        <v/>
      </c>
      <c r="E2975" s="32" t="str">
        <f>IF(Table!E2975 = "","",Table!E2975)</f>
        <v/>
      </c>
      <c r="F2975" s="32" t="str">
        <f>IF(Table!F2975 = "","",Table!F2975)</f>
        <v/>
      </c>
      <c r="G2975" s="91"/>
      <c r="K2975" s="31" t="str">
        <f>IFERROR(VLOOKUP(A2975,Table!$I$4:$O$3000,1,TRUE),"")</f>
        <v/>
      </c>
      <c r="L2975" s="31" t="str">
        <f>IFERROR(INDEX(Table!I:O,MATCH(K2975,Table!I:I,0),2),"")</f>
        <v/>
      </c>
      <c r="M2975" s="31" t="str">
        <f>IFERROR(INDEX(Table!I:O,MATCH(K2975,Table!I:I,0),3),"")</f>
        <v/>
      </c>
      <c r="N2975" s="32" t="str">
        <f>IFERROR(INDEX(Table!I:O,MATCH(K2975,Table!I:I,0),4),"")</f>
        <v/>
      </c>
      <c r="O2975" s="32" t="str">
        <f>IFERROR(INDEX(Table!I:O,MATCH(K2975,Table!I:I,0),5),"")</f>
        <v/>
      </c>
      <c r="P2975" s="32" t="str">
        <f>IFERROR(INDEX(Table!I:O,MATCH(K2975,Table!I:I,0),6),"")</f>
        <v/>
      </c>
      <c r="Q2975" s="89" t="str">
        <f t="shared" si="126"/>
        <v/>
      </c>
      <c r="R2975" s="89" t="str">
        <f t="shared" si="127"/>
        <v/>
      </c>
      <c r="S2975" s="82"/>
    </row>
    <row r="2976" spans="1:19" x14ac:dyDescent="0.25">
      <c r="A2976" s="31" t="str">
        <f>IF(Table!A2976 = "","",Table!A2976)</f>
        <v/>
      </c>
      <c r="B2976" s="31" t="str">
        <f>IF(Table!B2976 = "","",Table!B2976)</f>
        <v/>
      </c>
      <c r="C2976" s="31" t="str">
        <f>IF(Table!C2976 = "","",Table!C2976)</f>
        <v/>
      </c>
      <c r="D2976" s="32" t="str">
        <f>IF(Table!D2976 = "","",Table!D2976)</f>
        <v/>
      </c>
      <c r="E2976" s="32" t="str">
        <f>IF(Table!E2976 = "","",Table!E2976)</f>
        <v/>
      </c>
      <c r="F2976" s="32" t="str">
        <f>IF(Table!F2976 = "","",Table!F2976)</f>
        <v/>
      </c>
      <c r="G2976" s="91"/>
      <c r="K2976" s="31" t="str">
        <f>IFERROR(VLOOKUP(A2976,Table!$I$4:$O$3000,1,TRUE),"")</f>
        <v/>
      </c>
      <c r="L2976" s="31" t="str">
        <f>IFERROR(INDEX(Table!I:O,MATCH(K2976,Table!I:I,0),2),"")</f>
        <v/>
      </c>
      <c r="M2976" s="31" t="str">
        <f>IFERROR(INDEX(Table!I:O,MATCH(K2976,Table!I:I,0),3),"")</f>
        <v/>
      </c>
      <c r="N2976" s="32" t="str">
        <f>IFERROR(INDEX(Table!I:O,MATCH(K2976,Table!I:I,0),4),"")</f>
        <v/>
      </c>
      <c r="O2976" s="32" t="str">
        <f>IFERROR(INDEX(Table!I:O,MATCH(K2976,Table!I:I,0),5),"")</f>
        <v/>
      </c>
      <c r="P2976" s="32" t="str">
        <f>IFERROR(INDEX(Table!I:O,MATCH(K2976,Table!I:I,0),6),"")</f>
        <v/>
      </c>
      <c r="Q2976" s="89" t="str">
        <f t="shared" si="126"/>
        <v/>
      </c>
      <c r="R2976" s="89" t="str">
        <f t="shared" si="127"/>
        <v/>
      </c>
      <c r="S2976" s="82"/>
    </row>
    <row r="2977" spans="1:19" x14ac:dyDescent="0.25">
      <c r="A2977" s="31" t="str">
        <f>IF(Table!A2977 = "","",Table!A2977)</f>
        <v/>
      </c>
      <c r="B2977" s="31" t="str">
        <f>IF(Table!B2977 = "","",Table!B2977)</f>
        <v/>
      </c>
      <c r="C2977" s="31" t="str">
        <f>IF(Table!C2977 = "","",Table!C2977)</f>
        <v/>
      </c>
      <c r="D2977" s="32" t="str">
        <f>IF(Table!D2977 = "","",Table!D2977)</f>
        <v/>
      </c>
      <c r="E2977" s="32" t="str">
        <f>IF(Table!E2977 = "","",Table!E2977)</f>
        <v/>
      </c>
      <c r="F2977" s="32" t="str">
        <f>IF(Table!F2977 = "","",Table!F2977)</f>
        <v/>
      </c>
      <c r="G2977" s="91"/>
      <c r="K2977" s="31" t="str">
        <f>IFERROR(VLOOKUP(A2977,Table!$I$4:$O$3000,1,TRUE),"")</f>
        <v/>
      </c>
      <c r="L2977" s="31" t="str">
        <f>IFERROR(INDEX(Table!I:O,MATCH(K2977,Table!I:I,0),2),"")</f>
        <v/>
      </c>
      <c r="M2977" s="31" t="str">
        <f>IFERROR(INDEX(Table!I:O,MATCH(K2977,Table!I:I,0),3),"")</f>
        <v/>
      </c>
      <c r="N2977" s="32" t="str">
        <f>IFERROR(INDEX(Table!I:O,MATCH(K2977,Table!I:I,0),4),"")</f>
        <v/>
      </c>
      <c r="O2977" s="32" t="str">
        <f>IFERROR(INDEX(Table!I:O,MATCH(K2977,Table!I:I,0),5),"")</f>
        <v/>
      </c>
      <c r="P2977" s="32" t="str">
        <f>IFERROR(INDEX(Table!I:O,MATCH(K2977,Table!I:I,0),6),"")</f>
        <v/>
      </c>
      <c r="Q2977" s="89" t="str">
        <f t="shared" si="126"/>
        <v/>
      </c>
      <c r="R2977" s="89" t="str">
        <f t="shared" si="127"/>
        <v/>
      </c>
      <c r="S2977" s="82"/>
    </row>
    <row r="2978" spans="1:19" x14ac:dyDescent="0.25">
      <c r="A2978" s="31" t="str">
        <f>IF(Table!A2978 = "","",Table!A2978)</f>
        <v/>
      </c>
      <c r="B2978" s="31" t="str">
        <f>IF(Table!B2978 = "","",Table!B2978)</f>
        <v/>
      </c>
      <c r="C2978" s="31" t="str">
        <f>IF(Table!C2978 = "","",Table!C2978)</f>
        <v/>
      </c>
      <c r="D2978" s="32" t="str">
        <f>IF(Table!D2978 = "","",Table!D2978)</f>
        <v/>
      </c>
      <c r="E2978" s="32" t="str">
        <f>IF(Table!E2978 = "","",Table!E2978)</f>
        <v/>
      </c>
      <c r="F2978" s="32" t="str">
        <f>IF(Table!F2978 = "","",Table!F2978)</f>
        <v/>
      </c>
      <c r="G2978" s="91"/>
      <c r="K2978" s="31" t="str">
        <f>IFERROR(VLOOKUP(A2978,Table!$I$4:$O$3000,1,TRUE),"")</f>
        <v/>
      </c>
      <c r="L2978" s="31" t="str">
        <f>IFERROR(INDEX(Table!I:O,MATCH(K2978,Table!I:I,0),2),"")</f>
        <v/>
      </c>
      <c r="M2978" s="31" t="str">
        <f>IFERROR(INDEX(Table!I:O,MATCH(K2978,Table!I:I,0),3),"")</f>
        <v/>
      </c>
      <c r="N2978" s="32" t="str">
        <f>IFERROR(INDEX(Table!I:O,MATCH(K2978,Table!I:I,0),4),"")</f>
        <v/>
      </c>
      <c r="O2978" s="32" t="str">
        <f>IFERROR(INDEX(Table!I:O,MATCH(K2978,Table!I:I,0),5),"")</f>
        <v/>
      </c>
      <c r="P2978" s="32" t="str">
        <f>IFERROR(INDEX(Table!I:O,MATCH(K2978,Table!I:I,0),6),"")</f>
        <v/>
      </c>
      <c r="Q2978" s="89" t="str">
        <f t="shared" si="126"/>
        <v/>
      </c>
      <c r="R2978" s="89" t="str">
        <f t="shared" si="127"/>
        <v/>
      </c>
      <c r="S2978" s="82"/>
    </row>
    <row r="2979" spans="1:19" x14ac:dyDescent="0.25">
      <c r="A2979" s="31" t="str">
        <f>IF(Table!A2979 = "","",Table!A2979)</f>
        <v/>
      </c>
      <c r="B2979" s="31" t="str">
        <f>IF(Table!B2979 = "","",Table!B2979)</f>
        <v/>
      </c>
      <c r="C2979" s="31" t="str">
        <f>IF(Table!C2979 = "","",Table!C2979)</f>
        <v/>
      </c>
      <c r="D2979" s="32" t="str">
        <f>IF(Table!D2979 = "","",Table!D2979)</f>
        <v/>
      </c>
      <c r="E2979" s="32" t="str">
        <f>IF(Table!E2979 = "","",Table!E2979)</f>
        <v/>
      </c>
      <c r="F2979" s="32" t="str">
        <f>IF(Table!F2979 = "","",Table!F2979)</f>
        <v/>
      </c>
      <c r="G2979" s="91"/>
      <c r="K2979" s="31" t="str">
        <f>IFERROR(VLOOKUP(A2979,Table!$I$4:$O$3000,1,TRUE),"")</f>
        <v/>
      </c>
      <c r="L2979" s="31" t="str">
        <f>IFERROR(INDEX(Table!I:O,MATCH(K2979,Table!I:I,0),2),"")</f>
        <v/>
      </c>
      <c r="M2979" s="31" t="str">
        <f>IFERROR(INDEX(Table!I:O,MATCH(K2979,Table!I:I,0),3),"")</f>
        <v/>
      </c>
      <c r="N2979" s="32" t="str">
        <f>IFERROR(INDEX(Table!I:O,MATCH(K2979,Table!I:I,0),4),"")</f>
        <v/>
      </c>
      <c r="O2979" s="32" t="str">
        <f>IFERROR(INDEX(Table!I:O,MATCH(K2979,Table!I:I,0),5),"")</f>
        <v/>
      </c>
      <c r="P2979" s="32" t="str">
        <f>IFERROR(INDEX(Table!I:O,MATCH(K2979,Table!I:I,0),6),"")</f>
        <v/>
      </c>
      <c r="Q2979" s="89" t="str">
        <f t="shared" si="126"/>
        <v/>
      </c>
      <c r="R2979" s="89" t="str">
        <f t="shared" si="127"/>
        <v/>
      </c>
      <c r="S2979" s="82"/>
    </row>
    <row r="2980" spans="1:19" x14ac:dyDescent="0.25">
      <c r="A2980" s="31" t="str">
        <f>IF(Table!A2980 = "","",Table!A2980)</f>
        <v/>
      </c>
      <c r="B2980" s="31" t="str">
        <f>IF(Table!B2980 = "","",Table!B2980)</f>
        <v/>
      </c>
      <c r="C2980" s="31" t="str">
        <f>IF(Table!C2980 = "","",Table!C2980)</f>
        <v/>
      </c>
      <c r="D2980" s="32" t="str">
        <f>IF(Table!D2980 = "","",Table!D2980)</f>
        <v/>
      </c>
      <c r="E2980" s="32" t="str">
        <f>IF(Table!E2980 = "","",Table!E2980)</f>
        <v/>
      </c>
      <c r="F2980" s="32" t="str">
        <f>IF(Table!F2980 = "","",Table!F2980)</f>
        <v/>
      </c>
      <c r="G2980" s="91"/>
      <c r="K2980" s="31" t="str">
        <f>IFERROR(VLOOKUP(A2980,Table!$I$4:$O$3000,1,TRUE),"")</f>
        <v/>
      </c>
      <c r="L2980" s="31" t="str">
        <f>IFERROR(INDEX(Table!I:O,MATCH(K2980,Table!I:I,0),2),"")</f>
        <v/>
      </c>
      <c r="M2980" s="31" t="str">
        <f>IFERROR(INDEX(Table!I:O,MATCH(K2980,Table!I:I,0),3),"")</f>
        <v/>
      </c>
      <c r="N2980" s="32" t="str">
        <f>IFERROR(INDEX(Table!I:O,MATCH(K2980,Table!I:I,0),4),"")</f>
        <v/>
      </c>
      <c r="O2980" s="32" t="str">
        <f>IFERROR(INDEX(Table!I:O,MATCH(K2980,Table!I:I,0),5),"")</f>
        <v/>
      </c>
      <c r="P2980" s="32" t="str">
        <f>IFERROR(INDEX(Table!I:O,MATCH(K2980,Table!I:I,0),6),"")</f>
        <v/>
      </c>
      <c r="Q2980" s="89" t="str">
        <f t="shared" si="126"/>
        <v/>
      </c>
      <c r="R2980" s="89" t="str">
        <f t="shared" si="127"/>
        <v/>
      </c>
      <c r="S2980" s="82"/>
    </row>
    <row r="2981" spans="1:19" x14ac:dyDescent="0.25">
      <c r="A2981" s="31" t="str">
        <f>IF(Table!A2981 = "","",Table!A2981)</f>
        <v/>
      </c>
      <c r="B2981" s="31" t="str">
        <f>IF(Table!B2981 = "","",Table!B2981)</f>
        <v/>
      </c>
      <c r="C2981" s="31" t="str">
        <f>IF(Table!C2981 = "","",Table!C2981)</f>
        <v/>
      </c>
      <c r="D2981" s="32" t="str">
        <f>IF(Table!D2981 = "","",Table!D2981)</f>
        <v/>
      </c>
      <c r="E2981" s="32" t="str">
        <f>IF(Table!E2981 = "","",Table!E2981)</f>
        <v/>
      </c>
      <c r="F2981" s="32" t="str">
        <f>IF(Table!F2981 = "","",Table!F2981)</f>
        <v/>
      </c>
      <c r="G2981" s="91"/>
      <c r="K2981" s="31" t="str">
        <f>IFERROR(VLOOKUP(A2981,Table!$I$4:$O$3000,1,TRUE),"")</f>
        <v/>
      </c>
      <c r="L2981" s="31" t="str">
        <f>IFERROR(INDEX(Table!I:O,MATCH(K2981,Table!I:I,0),2),"")</f>
        <v/>
      </c>
      <c r="M2981" s="31" t="str">
        <f>IFERROR(INDEX(Table!I:O,MATCH(K2981,Table!I:I,0),3),"")</f>
        <v/>
      </c>
      <c r="N2981" s="32" t="str">
        <f>IFERROR(INDEX(Table!I:O,MATCH(K2981,Table!I:I,0),4),"")</f>
        <v/>
      </c>
      <c r="O2981" s="32" t="str">
        <f>IFERROR(INDEX(Table!I:O,MATCH(K2981,Table!I:I,0),5),"")</f>
        <v/>
      </c>
      <c r="P2981" s="32" t="str">
        <f>IFERROR(INDEX(Table!I:O,MATCH(K2981,Table!I:I,0),6),"")</f>
        <v/>
      </c>
      <c r="Q2981" s="89" t="str">
        <f t="shared" si="126"/>
        <v/>
      </c>
      <c r="R2981" s="89" t="str">
        <f t="shared" si="127"/>
        <v/>
      </c>
      <c r="S2981" s="82"/>
    </row>
    <row r="2982" spans="1:19" x14ac:dyDescent="0.25">
      <c r="A2982" s="31" t="str">
        <f>IF(Table!A2982 = "","",Table!A2982)</f>
        <v/>
      </c>
      <c r="B2982" s="31" t="str">
        <f>IF(Table!B2982 = "","",Table!B2982)</f>
        <v/>
      </c>
      <c r="C2982" s="31" t="str">
        <f>IF(Table!C2982 = "","",Table!C2982)</f>
        <v/>
      </c>
      <c r="D2982" s="32" t="str">
        <f>IF(Table!D2982 = "","",Table!D2982)</f>
        <v/>
      </c>
      <c r="E2982" s="32" t="str">
        <f>IF(Table!E2982 = "","",Table!E2982)</f>
        <v/>
      </c>
      <c r="F2982" s="32" t="str">
        <f>IF(Table!F2982 = "","",Table!F2982)</f>
        <v/>
      </c>
      <c r="G2982" s="91"/>
      <c r="K2982" s="31" t="str">
        <f>IFERROR(VLOOKUP(A2982,Table!$I$4:$O$3000,1,TRUE),"")</f>
        <v/>
      </c>
      <c r="L2982" s="31" t="str">
        <f>IFERROR(INDEX(Table!I:O,MATCH(K2982,Table!I:I,0),2),"")</f>
        <v/>
      </c>
      <c r="M2982" s="31" t="str">
        <f>IFERROR(INDEX(Table!I:O,MATCH(K2982,Table!I:I,0),3),"")</f>
        <v/>
      </c>
      <c r="N2982" s="32" t="str">
        <f>IFERROR(INDEX(Table!I:O,MATCH(K2982,Table!I:I,0),4),"")</f>
        <v/>
      </c>
      <c r="O2982" s="32" t="str">
        <f>IFERROR(INDEX(Table!I:O,MATCH(K2982,Table!I:I,0),5),"")</f>
        <v/>
      </c>
      <c r="P2982" s="32" t="str">
        <f>IFERROR(INDEX(Table!I:O,MATCH(K2982,Table!I:I,0),6),"")</f>
        <v/>
      </c>
      <c r="Q2982" s="89" t="str">
        <f t="shared" si="126"/>
        <v/>
      </c>
      <c r="R2982" s="89" t="str">
        <f t="shared" si="127"/>
        <v/>
      </c>
      <c r="S2982" s="82"/>
    </row>
    <row r="2983" spans="1:19" x14ac:dyDescent="0.25">
      <c r="A2983" s="31" t="str">
        <f>IF(Table!A2983 = "","",Table!A2983)</f>
        <v/>
      </c>
      <c r="B2983" s="31" t="str">
        <f>IF(Table!B2983 = "","",Table!B2983)</f>
        <v/>
      </c>
      <c r="C2983" s="31" t="str">
        <f>IF(Table!C2983 = "","",Table!C2983)</f>
        <v/>
      </c>
      <c r="D2983" s="32" t="str">
        <f>IF(Table!D2983 = "","",Table!D2983)</f>
        <v/>
      </c>
      <c r="E2983" s="32" t="str">
        <f>IF(Table!E2983 = "","",Table!E2983)</f>
        <v/>
      </c>
      <c r="F2983" s="32" t="str">
        <f>IF(Table!F2983 = "","",Table!F2983)</f>
        <v/>
      </c>
      <c r="G2983" s="91"/>
      <c r="K2983" s="31" t="str">
        <f>IFERROR(VLOOKUP(A2983,Table!$I$4:$O$3000,1,TRUE),"")</f>
        <v/>
      </c>
      <c r="L2983" s="31" t="str">
        <f>IFERROR(INDEX(Table!I:O,MATCH(K2983,Table!I:I,0),2),"")</f>
        <v/>
      </c>
      <c r="M2983" s="31" t="str">
        <f>IFERROR(INDEX(Table!I:O,MATCH(K2983,Table!I:I,0),3),"")</f>
        <v/>
      </c>
      <c r="N2983" s="32" t="str">
        <f>IFERROR(INDEX(Table!I:O,MATCH(K2983,Table!I:I,0),4),"")</f>
        <v/>
      </c>
      <c r="O2983" s="32" t="str">
        <f>IFERROR(INDEX(Table!I:O,MATCH(K2983,Table!I:I,0),5),"")</f>
        <v/>
      </c>
      <c r="P2983" s="32" t="str">
        <f>IFERROR(INDEX(Table!I:O,MATCH(K2983,Table!I:I,0),6),"")</f>
        <v/>
      </c>
      <c r="Q2983" s="89" t="str">
        <f t="shared" si="126"/>
        <v/>
      </c>
      <c r="R2983" s="89" t="str">
        <f t="shared" si="127"/>
        <v/>
      </c>
      <c r="S2983" s="82"/>
    </row>
    <row r="2984" spans="1:19" x14ac:dyDescent="0.25">
      <c r="A2984" s="31" t="str">
        <f>IF(Table!A2984 = "","",Table!A2984)</f>
        <v/>
      </c>
      <c r="B2984" s="31" t="str">
        <f>IF(Table!B2984 = "","",Table!B2984)</f>
        <v/>
      </c>
      <c r="C2984" s="31" t="str">
        <f>IF(Table!C2984 = "","",Table!C2984)</f>
        <v/>
      </c>
      <c r="D2984" s="32" t="str">
        <f>IF(Table!D2984 = "","",Table!D2984)</f>
        <v/>
      </c>
      <c r="E2984" s="32" t="str">
        <f>IF(Table!E2984 = "","",Table!E2984)</f>
        <v/>
      </c>
      <c r="F2984" s="32" t="str">
        <f>IF(Table!F2984 = "","",Table!F2984)</f>
        <v/>
      </c>
      <c r="G2984" s="91"/>
      <c r="K2984" s="31" t="str">
        <f>IFERROR(VLOOKUP(A2984,Table!$I$4:$O$3000,1,TRUE),"")</f>
        <v/>
      </c>
      <c r="L2984" s="31" t="str">
        <f>IFERROR(INDEX(Table!I:O,MATCH(K2984,Table!I:I,0),2),"")</f>
        <v/>
      </c>
      <c r="M2984" s="31" t="str">
        <f>IFERROR(INDEX(Table!I:O,MATCH(K2984,Table!I:I,0),3),"")</f>
        <v/>
      </c>
      <c r="N2984" s="32" t="str">
        <f>IFERROR(INDEX(Table!I:O,MATCH(K2984,Table!I:I,0),4),"")</f>
        <v/>
      </c>
      <c r="O2984" s="32" t="str">
        <f>IFERROR(INDEX(Table!I:O,MATCH(K2984,Table!I:I,0),5),"")</f>
        <v/>
      </c>
      <c r="P2984" s="32" t="str">
        <f>IFERROR(INDEX(Table!I:O,MATCH(K2984,Table!I:I,0),6),"")</f>
        <v/>
      </c>
      <c r="Q2984" s="89" t="str">
        <f t="shared" si="126"/>
        <v/>
      </c>
      <c r="R2984" s="89" t="str">
        <f t="shared" si="127"/>
        <v/>
      </c>
      <c r="S2984" s="82"/>
    </row>
    <row r="2985" spans="1:19" x14ac:dyDescent="0.25">
      <c r="A2985" s="31" t="str">
        <f>IF(Table!A2985 = "","",Table!A2985)</f>
        <v/>
      </c>
      <c r="B2985" s="31" t="str">
        <f>IF(Table!B2985 = "","",Table!B2985)</f>
        <v/>
      </c>
      <c r="C2985" s="31" t="str">
        <f>IF(Table!C2985 = "","",Table!C2985)</f>
        <v/>
      </c>
      <c r="D2985" s="32" t="str">
        <f>IF(Table!D2985 = "","",Table!D2985)</f>
        <v/>
      </c>
      <c r="E2985" s="32" t="str">
        <f>IF(Table!E2985 = "","",Table!E2985)</f>
        <v/>
      </c>
      <c r="F2985" s="32" t="str">
        <f>IF(Table!F2985 = "","",Table!F2985)</f>
        <v/>
      </c>
      <c r="G2985" s="91"/>
      <c r="K2985" s="31" t="str">
        <f>IFERROR(VLOOKUP(A2985,Table!$I$4:$O$3000,1,TRUE),"")</f>
        <v/>
      </c>
      <c r="L2985" s="31" t="str">
        <f>IFERROR(INDEX(Table!I:O,MATCH(K2985,Table!I:I,0),2),"")</f>
        <v/>
      </c>
      <c r="M2985" s="31" t="str">
        <f>IFERROR(INDEX(Table!I:O,MATCH(K2985,Table!I:I,0),3),"")</f>
        <v/>
      </c>
      <c r="N2985" s="32" t="str">
        <f>IFERROR(INDEX(Table!I:O,MATCH(K2985,Table!I:I,0),4),"")</f>
        <v/>
      </c>
      <c r="O2985" s="32" t="str">
        <f>IFERROR(INDEX(Table!I:O,MATCH(K2985,Table!I:I,0),5),"")</f>
        <v/>
      </c>
      <c r="P2985" s="32" t="str">
        <f>IFERROR(INDEX(Table!I:O,MATCH(K2985,Table!I:I,0),6),"")</f>
        <v/>
      </c>
      <c r="Q2985" s="89" t="str">
        <f t="shared" si="126"/>
        <v/>
      </c>
      <c r="R2985" s="89" t="str">
        <f t="shared" si="127"/>
        <v/>
      </c>
      <c r="S2985" s="82"/>
    </row>
    <row r="2986" spans="1:19" x14ac:dyDescent="0.25">
      <c r="A2986" s="31" t="str">
        <f>IF(Table!A2986 = "","",Table!A2986)</f>
        <v/>
      </c>
      <c r="B2986" s="31" t="str">
        <f>IF(Table!B2986 = "","",Table!B2986)</f>
        <v/>
      </c>
      <c r="C2986" s="31" t="str">
        <f>IF(Table!C2986 = "","",Table!C2986)</f>
        <v/>
      </c>
      <c r="D2986" s="32" t="str">
        <f>IF(Table!D2986 = "","",Table!D2986)</f>
        <v/>
      </c>
      <c r="E2986" s="32" t="str">
        <f>IF(Table!E2986 = "","",Table!E2986)</f>
        <v/>
      </c>
      <c r="F2986" s="32" t="str">
        <f>IF(Table!F2986 = "","",Table!F2986)</f>
        <v/>
      </c>
      <c r="G2986" s="91"/>
      <c r="K2986" s="31" t="str">
        <f>IFERROR(VLOOKUP(A2986,Table!$I$4:$O$3000,1,TRUE),"")</f>
        <v/>
      </c>
      <c r="L2986" s="31" t="str">
        <f>IFERROR(INDEX(Table!I:O,MATCH(K2986,Table!I:I,0),2),"")</f>
        <v/>
      </c>
      <c r="M2986" s="31" t="str">
        <f>IFERROR(INDEX(Table!I:O,MATCH(K2986,Table!I:I,0),3),"")</f>
        <v/>
      </c>
      <c r="N2986" s="32" t="str">
        <f>IFERROR(INDEX(Table!I:O,MATCH(K2986,Table!I:I,0),4),"")</f>
        <v/>
      </c>
      <c r="O2986" s="32" t="str">
        <f>IFERROR(INDEX(Table!I:O,MATCH(K2986,Table!I:I,0),5),"")</f>
        <v/>
      </c>
      <c r="P2986" s="32" t="str">
        <f>IFERROR(INDEX(Table!I:O,MATCH(K2986,Table!I:I,0),6),"")</f>
        <v/>
      </c>
      <c r="Q2986" s="89" t="str">
        <f t="shared" si="126"/>
        <v/>
      </c>
      <c r="R2986" s="89" t="str">
        <f t="shared" si="127"/>
        <v/>
      </c>
      <c r="S2986" s="82"/>
    </row>
    <row r="2987" spans="1:19" x14ac:dyDescent="0.25">
      <c r="A2987" s="31" t="str">
        <f>IF(Table!A2987 = "","",Table!A2987)</f>
        <v/>
      </c>
      <c r="B2987" s="31" t="str">
        <f>IF(Table!B2987 = "","",Table!B2987)</f>
        <v/>
      </c>
      <c r="C2987" s="31" t="str">
        <f>IF(Table!C2987 = "","",Table!C2987)</f>
        <v/>
      </c>
      <c r="D2987" s="32" t="str">
        <f>IF(Table!D2987 = "","",Table!D2987)</f>
        <v/>
      </c>
      <c r="E2987" s="32" t="str">
        <f>IF(Table!E2987 = "","",Table!E2987)</f>
        <v/>
      </c>
      <c r="F2987" s="32" t="str">
        <f>IF(Table!F2987 = "","",Table!F2987)</f>
        <v/>
      </c>
      <c r="G2987" s="91"/>
      <c r="K2987" s="31" t="str">
        <f>IFERROR(VLOOKUP(A2987,Table!$I$4:$O$3000,1,TRUE),"")</f>
        <v/>
      </c>
      <c r="L2987" s="31" t="str">
        <f>IFERROR(INDEX(Table!I:O,MATCH(K2987,Table!I:I,0),2),"")</f>
        <v/>
      </c>
      <c r="M2987" s="31" t="str">
        <f>IFERROR(INDEX(Table!I:O,MATCH(K2987,Table!I:I,0),3),"")</f>
        <v/>
      </c>
      <c r="N2987" s="32" t="str">
        <f>IFERROR(INDEX(Table!I:O,MATCH(K2987,Table!I:I,0),4),"")</f>
        <v/>
      </c>
      <c r="O2987" s="32" t="str">
        <f>IFERROR(INDEX(Table!I:O,MATCH(K2987,Table!I:I,0),5),"")</f>
        <v/>
      </c>
      <c r="P2987" s="32" t="str">
        <f>IFERROR(INDEX(Table!I:O,MATCH(K2987,Table!I:I,0),6),"")</f>
        <v/>
      </c>
      <c r="Q2987" s="89" t="str">
        <f t="shared" si="126"/>
        <v/>
      </c>
      <c r="R2987" s="89" t="str">
        <f t="shared" si="127"/>
        <v/>
      </c>
      <c r="S2987" s="82"/>
    </row>
    <row r="2988" spans="1:19" x14ac:dyDescent="0.25">
      <c r="A2988" s="31" t="str">
        <f>IF(Table!A2988 = "","",Table!A2988)</f>
        <v/>
      </c>
      <c r="B2988" s="31" t="str">
        <f>IF(Table!B2988 = "","",Table!B2988)</f>
        <v/>
      </c>
      <c r="C2988" s="31" t="str">
        <f>IF(Table!C2988 = "","",Table!C2988)</f>
        <v/>
      </c>
      <c r="D2988" s="32" t="str">
        <f>IF(Table!D2988 = "","",Table!D2988)</f>
        <v/>
      </c>
      <c r="E2988" s="32" t="str">
        <f>IF(Table!E2988 = "","",Table!E2988)</f>
        <v/>
      </c>
      <c r="F2988" s="32" t="str">
        <f>IF(Table!F2988 = "","",Table!F2988)</f>
        <v/>
      </c>
      <c r="G2988" s="91"/>
      <c r="K2988" s="31" t="str">
        <f>IFERROR(VLOOKUP(A2988,Table!$I$4:$O$3000,1,TRUE),"")</f>
        <v/>
      </c>
      <c r="L2988" s="31" t="str">
        <f>IFERROR(INDEX(Table!I:O,MATCH(K2988,Table!I:I,0),2),"")</f>
        <v/>
      </c>
      <c r="M2988" s="31" t="str">
        <f>IFERROR(INDEX(Table!I:O,MATCH(K2988,Table!I:I,0),3),"")</f>
        <v/>
      </c>
      <c r="N2988" s="32" t="str">
        <f>IFERROR(INDEX(Table!I:O,MATCH(K2988,Table!I:I,0),4),"")</f>
        <v/>
      </c>
      <c r="O2988" s="32" t="str">
        <f>IFERROR(INDEX(Table!I:O,MATCH(K2988,Table!I:I,0),5),"")</f>
        <v/>
      </c>
      <c r="P2988" s="32" t="str">
        <f>IFERROR(INDEX(Table!I:O,MATCH(K2988,Table!I:I,0),6),"")</f>
        <v/>
      </c>
      <c r="Q2988" s="89" t="str">
        <f t="shared" si="126"/>
        <v/>
      </c>
      <c r="R2988" s="89" t="str">
        <f t="shared" si="127"/>
        <v/>
      </c>
      <c r="S2988" s="82"/>
    </row>
    <row r="2989" spans="1:19" x14ac:dyDescent="0.25">
      <c r="A2989" s="31" t="str">
        <f>IF(Table!A2989 = "","",Table!A2989)</f>
        <v/>
      </c>
      <c r="B2989" s="31" t="str">
        <f>IF(Table!B2989 = "","",Table!B2989)</f>
        <v/>
      </c>
      <c r="C2989" s="31" t="str">
        <f>IF(Table!C2989 = "","",Table!C2989)</f>
        <v/>
      </c>
      <c r="D2989" s="32" t="str">
        <f>IF(Table!D2989 = "","",Table!D2989)</f>
        <v/>
      </c>
      <c r="E2989" s="32" t="str">
        <f>IF(Table!E2989 = "","",Table!E2989)</f>
        <v/>
      </c>
      <c r="F2989" s="32" t="str">
        <f>IF(Table!F2989 = "","",Table!F2989)</f>
        <v/>
      </c>
      <c r="G2989" s="91"/>
      <c r="K2989" s="31" t="str">
        <f>IFERROR(VLOOKUP(A2989,Table!$I$4:$O$3000,1,TRUE),"")</f>
        <v/>
      </c>
      <c r="L2989" s="31" t="str">
        <f>IFERROR(INDEX(Table!I:O,MATCH(K2989,Table!I:I,0),2),"")</f>
        <v/>
      </c>
      <c r="M2989" s="31" t="str">
        <f>IFERROR(INDEX(Table!I:O,MATCH(K2989,Table!I:I,0),3),"")</f>
        <v/>
      </c>
      <c r="N2989" s="32" t="str">
        <f>IFERROR(INDEX(Table!I:O,MATCH(K2989,Table!I:I,0),4),"")</f>
        <v/>
      </c>
      <c r="O2989" s="32" t="str">
        <f>IFERROR(INDEX(Table!I:O,MATCH(K2989,Table!I:I,0),5),"")</f>
        <v/>
      </c>
      <c r="P2989" s="32" t="str">
        <f>IFERROR(INDEX(Table!I:O,MATCH(K2989,Table!I:I,0),6),"")</f>
        <v/>
      </c>
      <c r="Q2989" s="89" t="str">
        <f t="shared" si="126"/>
        <v/>
      </c>
      <c r="R2989" s="89" t="str">
        <f t="shared" si="127"/>
        <v/>
      </c>
      <c r="S2989" s="82"/>
    </row>
    <row r="2990" spans="1:19" x14ac:dyDescent="0.25">
      <c r="A2990" s="31" t="str">
        <f>IF(Table!A2990 = "","",Table!A2990)</f>
        <v/>
      </c>
      <c r="B2990" s="31" t="str">
        <f>IF(Table!B2990 = "","",Table!B2990)</f>
        <v/>
      </c>
      <c r="C2990" s="31" t="str">
        <f>IF(Table!C2990 = "","",Table!C2990)</f>
        <v/>
      </c>
      <c r="D2990" s="32" t="str">
        <f>IF(Table!D2990 = "","",Table!D2990)</f>
        <v/>
      </c>
      <c r="E2990" s="32" t="str">
        <f>IF(Table!E2990 = "","",Table!E2990)</f>
        <v/>
      </c>
      <c r="F2990" s="32" t="str">
        <f>IF(Table!F2990 = "","",Table!F2990)</f>
        <v/>
      </c>
      <c r="G2990" s="91"/>
      <c r="K2990" s="31" t="str">
        <f>IFERROR(VLOOKUP(A2990,Table!$I$4:$O$3000,1,TRUE),"")</f>
        <v/>
      </c>
      <c r="L2990" s="31" t="str">
        <f>IFERROR(INDEX(Table!I:O,MATCH(K2990,Table!I:I,0),2),"")</f>
        <v/>
      </c>
      <c r="M2990" s="31" t="str">
        <f>IFERROR(INDEX(Table!I:O,MATCH(K2990,Table!I:I,0),3),"")</f>
        <v/>
      </c>
      <c r="N2990" s="32" t="str">
        <f>IFERROR(INDEX(Table!I:O,MATCH(K2990,Table!I:I,0),4),"")</f>
        <v/>
      </c>
      <c r="O2990" s="32" t="str">
        <f>IFERROR(INDEX(Table!I:O,MATCH(K2990,Table!I:I,0),5),"")</f>
        <v/>
      </c>
      <c r="P2990" s="32" t="str">
        <f>IFERROR(INDEX(Table!I:O,MATCH(K2990,Table!I:I,0),6),"")</f>
        <v/>
      </c>
      <c r="Q2990" s="89" t="str">
        <f t="shared" si="126"/>
        <v/>
      </c>
      <c r="R2990" s="89" t="str">
        <f t="shared" si="127"/>
        <v/>
      </c>
      <c r="S2990" s="82"/>
    </row>
    <row r="2991" spans="1:19" x14ac:dyDescent="0.25">
      <c r="A2991" s="31" t="str">
        <f>IF(Table!A2991 = "","",Table!A2991)</f>
        <v/>
      </c>
      <c r="B2991" s="31" t="str">
        <f>IF(Table!B2991 = "","",Table!B2991)</f>
        <v/>
      </c>
      <c r="C2991" s="31" t="str">
        <f>IF(Table!C2991 = "","",Table!C2991)</f>
        <v/>
      </c>
      <c r="D2991" s="32" t="str">
        <f>IF(Table!D2991 = "","",Table!D2991)</f>
        <v/>
      </c>
      <c r="E2991" s="32" t="str">
        <f>IF(Table!E2991 = "","",Table!E2991)</f>
        <v/>
      </c>
      <c r="F2991" s="32" t="str">
        <f>IF(Table!F2991 = "","",Table!F2991)</f>
        <v/>
      </c>
      <c r="G2991" s="91"/>
      <c r="K2991" s="31" t="str">
        <f>IFERROR(VLOOKUP(A2991,Table!$I$4:$O$3000,1,TRUE),"")</f>
        <v/>
      </c>
      <c r="L2991" s="31" t="str">
        <f>IFERROR(INDEX(Table!I:O,MATCH(K2991,Table!I:I,0),2),"")</f>
        <v/>
      </c>
      <c r="M2991" s="31" t="str">
        <f>IFERROR(INDEX(Table!I:O,MATCH(K2991,Table!I:I,0),3),"")</f>
        <v/>
      </c>
      <c r="N2991" s="32" t="str">
        <f>IFERROR(INDEX(Table!I:O,MATCH(K2991,Table!I:I,0),4),"")</f>
        <v/>
      </c>
      <c r="O2991" s="32" t="str">
        <f>IFERROR(INDEX(Table!I:O,MATCH(K2991,Table!I:I,0),5),"")</f>
        <v/>
      </c>
      <c r="P2991" s="32" t="str">
        <f>IFERROR(INDEX(Table!I:O,MATCH(K2991,Table!I:I,0),6),"")</f>
        <v/>
      </c>
      <c r="Q2991" s="89" t="str">
        <f t="shared" si="126"/>
        <v/>
      </c>
      <c r="R2991" s="89" t="str">
        <f t="shared" si="127"/>
        <v/>
      </c>
      <c r="S2991" s="82"/>
    </row>
    <row r="2992" spans="1:19" x14ac:dyDescent="0.25">
      <c r="A2992" s="31" t="str">
        <f>IF(Table!A2992 = "","",Table!A2992)</f>
        <v/>
      </c>
      <c r="B2992" s="31" t="str">
        <f>IF(Table!B2992 = "","",Table!B2992)</f>
        <v/>
      </c>
      <c r="C2992" s="31" t="str">
        <f>IF(Table!C2992 = "","",Table!C2992)</f>
        <v/>
      </c>
      <c r="D2992" s="32" t="str">
        <f>IF(Table!D2992 = "","",Table!D2992)</f>
        <v/>
      </c>
      <c r="E2992" s="32" t="str">
        <f>IF(Table!E2992 = "","",Table!E2992)</f>
        <v/>
      </c>
      <c r="F2992" s="32" t="str">
        <f>IF(Table!F2992 = "","",Table!F2992)</f>
        <v/>
      </c>
      <c r="G2992" s="91"/>
      <c r="K2992" s="31" t="str">
        <f>IFERROR(VLOOKUP(A2992,Table!$I$4:$O$3000,1,TRUE),"")</f>
        <v/>
      </c>
      <c r="L2992" s="31" t="str">
        <f>IFERROR(INDEX(Table!I:O,MATCH(K2992,Table!I:I,0),2),"")</f>
        <v/>
      </c>
      <c r="M2992" s="31" t="str">
        <f>IFERROR(INDEX(Table!I:O,MATCH(K2992,Table!I:I,0),3),"")</f>
        <v/>
      </c>
      <c r="N2992" s="32" t="str">
        <f>IFERROR(INDEX(Table!I:O,MATCH(K2992,Table!I:I,0),4),"")</f>
        <v/>
      </c>
      <c r="O2992" s="32" t="str">
        <f>IFERROR(INDEX(Table!I:O,MATCH(K2992,Table!I:I,0),5),"")</f>
        <v/>
      </c>
      <c r="P2992" s="32" t="str">
        <f>IFERROR(INDEX(Table!I:O,MATCH(K2992,Table!I:I,0),6),"")</f>
        <v/>
      </c>
      <c r="Q2992" s="89" t="str">
        <f t="shared" si="126"/>
        <v/>
      </c>
      <c r="R2992" s="89" t="str">
        <f t="shared" si="127"/>
        <v/>
      </c>
      <c r="S2992" s="82"/>
    </row>
    <row r="2993" spans="1:19" x14ac:dyDescent="0.25">
      <c r="A2993" s="31" t="str">
        <f>IF(Table!A2993 = "","",Table!A2993)</f>
        <v/>
      </c>
      <c r="B2993" s="31" t="str">
        <f>IF(Table!B2993 = "","",Table!B2993)</f>
        <v/>
      </c>
      <c r="C2993" s="31" t="str">
        <f>IF(Table!C2993 = "","",Table!C2993)</f>
        <v/>
      </c>
      <c r="D2993" s="32" t="str">
        <f>IF(Table!D2993 = "","",Table!D2993)</f>
        <v/>
      </c>
      <c r="E2993" s="32" t="str">
        <f>IF(Table!E2993 = "","",Table!E2993)</f>
        <v/>
      </c>
      <c r="F2993" s="32" t="str">
        <f>IF(Table!F2993 = "","",Table!F2993)</f>
        <v/>
      </c>
      <c r="G2993" s="91"/>
      <c r="K2993" s="31" t="str">
        <f>IFERROR(VLOOKUP(A2993,Table!$I$4:$O$3000,1,TRUE),"")</f>
        <v/>
      </c>
      <c r="L2993" s="31" t="str">
        <f>IFERROR(INDEX(Table!I:O,MATCH(K2993,Table!I:I,0),2),"")</f>
        <v/>
      </c>
      <c r="M2993" s="31" t="str">
        <f>IFERROR(INDEX(Table!I:O,MATCH(K2993,Table!I:I,0),3),"")</f>
        <v/>
      </c>
      <c r="N2993" s="32" t="str">
        <f>IFERROR(INDEX(Table!I:O,MATCH(K2993,Table!I:I,0),4),"")</f>
        <v/>
      </c>
      <c r="O2993" s="32" t="str">
        <f>IFERROR(INDEX(Table!I:O,MATCH(K2993,Table!I:I,0),5),"")</f>
        <v/>
      </c>
      <c r="P2993" s="32" t="str">
        <f>IFERROR(INDEX(Table!I:O,MATCH(K2993,Table!I:I,0),6),"")</f>
        <v/>
      </c>
      <c r="Q2993" s="89" t="str">
        <f t="shared" si="126"/>
        <v/>
      </c>
      <c r="R2993" s="89" t="str">
        <f t="shared" si="127"/>
        <v/>
      </c>
      <c r="S2993" s="82"/>
    </row>
    <row r="2994" spans="1:19" x14ac:dyDescent="0.25">
      <c r="A2994" s="31" t="str">
        <f>IF(Table!A2994 = "","",Table!A2994)</f>
        <v/>
      </c>
      <c r="B2994" s="31" t="str">
        <f>IF(Table!B2994 = "","",Table!B2994)</f>
        <v/>
      </c>
      <c r="C2994" s="31" t="str">
        <f>IF(Table!C2994 = "","",Table!C2994)</f>
        <v/>
      </c>
      <c r="D2994" s="32" t="str">
        <f>IF(Table!D2994 = "","",Table!D2994)</f>
        <v/>
      </c>
      <c r="E2994" s="32" t="str">
        <f>IF(Table!E2994 = "","",Table!E2994)</f>
        <v/>
      </c>
      <c r="F2994" s="32" t="str">
        <f>IF(Table!F2994 = "","",Table!F2994)</f>
        <v/>
      </c>
      <c r="G2994" s="91"/>
      <c r="K2994" s="31" t="str">
        <f>IFERROR(VLOOKUP(A2994,Table!$I$4:$O$3000,1,TRUE),"")</f>
        <v/>
      </c>
      <c r="L2994" s="31" t="str">
        <f>IFERROR(INDEX(Table!I:O,MATCH(K2994,Table!I:I,0),2),"")</f>
        <v/>
      </c>
      <c r="M2994" s="31" t="str">
        <f>IFERROR(INDEX(Table!I:O,MATCH(K2994,Table!I:I,0),3),"")</f>
        <v/>
      </c>
      <c r="N2994" s="32" t="str">
        <f>IFERROR(INDEX(Table!I:O,MATCH(K2994,Table!I:I,0),4),"")</f>
        <v/>
      </c>
      <c r="O2994" s="32" t="str">
        <f>IFERROR(INDEX(Table!I:O,MATCH(K2994,Table!I:I,0),5),"")</f>
        <v/>
      </c>
      <c r="P2994" s="32" t="str">
        <f>IFERROR(INDEX(Table!I:O,MATCH(K2994,Table!I:I,0),6),"")</f>
        <v/>
      </c>
      <c r="Q2994" s="89" t="str">
        <f t="shared" si="126"/>
        <v/>
      </c>
      <c r="R2994" s="89" t="str">
        <f t="shared" si="127"/>
        <v/>
      </c>
      <c r="S2994" s="82"/>
    </row>
    <row r="2995" spans="1:19" x14ac:dyDescent="0.25">
      <c r="A2995" s="31" t="str">
        <f>IF(Table!A2995 = "","",Table!A2995)</f>
        <v/>
      </c>
      <c r="B2995" s="31" t="str">
        <f>IF(Table!B2995 = "","",Table!B2995)</f>
        <v/>
      </c>
      <c r="C2995" s="31" t="str">
        <f>IF(Table!C2995 = "","",Table!C2995)</f>
        <v/>
      </c>
      <c r="D2995" s="32" t="str">
        <f>IF(Table!D2995 = "","",Table!D2995)</f>
        <v/>
      </c>
      <c r="E2995" s="32" t="str">
        <f>IF(Table!E2995 = "","",Table!E2995)</f>
        <v/>
      </c>
      <c r="F2995" s="32" t="str">
        <f>IF(Table!F2995 = "","",Table!F2995)</f>
        <v/>
      </c>
      <c r="G2995" s="91"/>
      <c r="K2995" s="31" t="str">
        <f>IFERROR(VLOOKUP(A2995,Table!$I$4:$O$3000,1,TRUE),"")</f>
        <v/>
      </c>
      <c r="L2995" s="31" t="str">
        <f>IFERROR(INDEX(Table!I:O,MATCH(K2995,Table!I:I,0),2),"")</f>
        <v/>
      </c>
      <c r="M2995" s="31" t="str">
        <f>IFERROR(INDEX(Table!I:O,MATCH(K2995,Table!I:I,0),3),"")</f>
        <v/>
      </c>
      <c r="N2995" s="32" t="str">
        <f>IFERROR(INDEX(Table!I:O,MATCH(K2995,Table!I:I,0),4),"")</f>
        <v/>
      </c>
      <c r="O2995" s="32" t="str">
        <f>IFERROR(INDEX(Table!I:O,MATCH(K2995,Table!I:I,0),5),"")</f>
        <v/>
      </c>
      <c r="P2995" s="32" t="str">
        <f>IFERROR(INDEX(Table!I:O,MATCH(K2995,Table!I:I,0),6),"")</f>
        <v/>
      </c>
      <c r="Q2995" s="89" t="str">
        <f t="shared" si="126"/>
        <v/>
      </c>
      <c r="R2995" s="89" t="str">
        <f t="shared" si="127"/>
        <v/>
      </c>
      <c r="S2995" s="82"/>
    </row>
    <row r="2996" spans="1:19" x14ac:dyDescent="0.25">
      <c r="A2996" s="31" t="str">
        <f>IF(Table!A2996 = "","",Table!A2996)</f>
        <v/>
      </c>
      <c r="B2996" s="31" t="str">
        <f>IF(Table!B2996 = "","",Table!B2996)</f>
        <v/>
      </c>
      <c r="C2996" s="31" t="str">
        <f>IF(Table!C2996 = "","",Table!C2996)</f>
        <v/>
      </c>
      <c r="D2996" s="32" t="str">
        <f>IF(Table!D2996 = "","",Table!D2996)</f>
        <v/>
      </c>
      <c r="E2996" s="32" t="str">
        <f>IF(Table!E2996 = "","",Table!E2996)</f>
        <v/>
      </c>
      <c r="F2996" s="32" t="str">
        <f>IF(Table!F2996 = "","",Table!F2996)</f>
        <v/>
      </c>
      <c r="G2996" s="91"/>
      <c r="K2996" s="31" t="str">
        <f>IFERROR(VLOOKUP(A2996,Table!$I$4:$O$3000,1,TRUE),"")</f>
        <v/>
      </c>
      <c r="L2996" s="31" t="str">
        <f>IFERROR(INDEX(Table!I:O,MATCH(K2996,Table!I:I,0),2),"")</f>
        <v/>
      </c>
      <c r="M2996" s="31" t="str">
        <f>IFERROR(INDEX(Table!I:O,MATCH(K2996,Table!I:I,0),3),"")</f>
        <v/>
      </c>
      <c r="N2996" s="32" t="str">
        <f>IFERROR(INDEX(Table!I:O,MATCH(K2996,Table!I:I,0),4),"")</f>
        <v/>
      </c>
      <c r="O2996" s="32" t="str">
        <f>IFERROR(INDEX(Table!I:O,MATCH(K2996,Table!I:I,0),5),"")</f>
        <v/>
      </c>
      <c r="P2996" s="32" t="str">
        <f>IFERROR(INDEX(Table!I:O,MATCH(K2996,Table!I:I,0),6),"")</f>
        <v/>
      </c>
      <c r="Q2996" s="89" t="str">
        <f t="shared" si="126"/>
        <v/>
      </c>
      <c r="R2996" s="89" t="str">
        <f t="shared" si="127"/>
        <v/>
      </c>
      <c r="S2996" s="82"/>
    </row>
    <row r="2997" spans="1:19" x14ac:dyDescent="0.25">
      <c r="A2997" s="31" t="str">
        <f>IF(Table!A2997 = "","",Table!A2997)</f>
        <v/>
      </c>
      <c r="B2997" s="31" t="str">
        <f>IF(Table!B2997 = "","",Table!B2997)</f>
        <v/>
      </c>
      <c r="C2997" s="31" t="str">
        <f>IF(Table!C2997 = "","",Table!C2997)</f>
        <v/>
      </c>
      <c r="D2997" s="32" t="str">
        <f>IF(Table!D2997 = "","",Table!D2997)</f>
        <v/>
      </c>
      <c r="E2997" s="32" t="str">
        <f>IF(Table!E2997 = "","",Table!E2997)</f>
        <v/>
      </c>
      <c r="F2997" s="32" t="str">
        <f>IF(Table!F2997 = "","",Table!F2997)</f>
        <v/>
      </c>
      <c r="G2997" s="91"/>
      <c r="K2997" s="31" t="str">
        <f>IFERROR(VLOOKUP(A2997,Table!$I$4:$O$3000,1,TRUE),"")</f>
        <v/>
      </c>
      <c r="L2997" s="31" t="str">
        <f>IFERROR(INDEX(Table!I:O,MATCH(K2997,Table!I:I,0),2),"")</f>
        <v/>
      </c>
      <c r="M2997" s="31" t="str">
        <f>IFERROR(INDEX(Table!I:O,MATCH(K2997,Table!I:I,0),3),"")</f>
        <v/>
      </c>
      <c r="N2997" s="32" t="str">
        <f>IFERROR(INDEX(Table!I:O,MATCH(K2997,Table!I:I,0),4),"")</f>
        <v/>
      </c>
      <c r="O2997" s="32" t="str">
        <f>IFERROR(INDEX(Table!I:O,MATCH(K2997,Table!I:I,0),5),"")</f>
        <v/>
      </c>
      <c r="P2997" s="32" t="str">
        <f>IFERROR(INDEX(Table!I:O,MATCH(K2997,Table!I:I,0),6),"")</f>
        <v/>
      </c>
      <c r="Q2997" s="89" t="str">
        <f t="shared" si="126"/>
        <v/>
      </c>
      <c r="R2997" s="89" t="str">
        <f t="shared" si="127"/>
        <v/>
      </c>
      <c r="S2997" s="82"/>
    </row>
    <row r="2998" spans="1:19" x14ac:dyDescent="0.25">
      <c r="A2998" s="31" t="str">
        <f>IF(Table!A2998 = "","",Table!A2998)</f>
        <v/>
      </c>
      <c r="B2998" s="31" t="str">
        <f>IF(Table!B2998 = "","",Table!B2998)</f>
        <v/>
      </c>
      <c r="C2998" s="31" t="str">
        <f>IF(Table!C2998 = "","",Table!C2998)</f>
        <v/>
      </c>
      <c r="D2998" s="32" t="str">
        <f>IF(Table!D2998 = "","",Table!D2998)</f>
        <v/>
      </c>
      <c r="E2998" s="32" t="str">
        <f>IF(Table!E2998 = "","",Table!E2998)</f>
        <v/>
      </c>
      <c r="F2998" s="32" t="str">
        <f>IF(Table!F2998 = "","",Table!F2998)</f>
        <v/>
      </c>
      <c r="G2998" s="91"/>
      <c r="K2998" s="31" t="str">
        <f>IFERROR(VLOOKUP(A2998,Table!$I$4:$O$3000,1,TRUE),"")</f>
        <v/>
      </c>
      <c r="L2998" s="31" t="str">
        <f>IFERROR(INDEX(Table!I:O,MATCH(K2998,Table!I:I,0),2),"")</f>
        <v/>
      </c>
      <c r="M2998" s="31" t="str">
        <f>IFERROR(INDEX(Table!I:O,MATCH(K2998,Table!I:I,0),3),"")</f>
        <v/>
      </c>
      <c r="N2998" s="32" t="str">
        <f>IFERROR(INDEX(Table!I:O,MATCH(K2998,Table!I:I,0),4),"")</f>
        <v/>
      </c>
      <c r="O2998" s="32" t="str">
        <f>IFERROR(INDEX(Table!I:O,MATCH(K2998,Table!I:I,0),5),"")</f>
        <v/>
      </c>
      <c r="P2998" s="32" t="str">
        <f>IFERROR(INDEX(Table!I:O,MATCH(K2998,Table!I:I,0),6),"")</f>
        <v/>
      </c>
      <c r="Q2998" s="89" t="str">
        <f t="shared" si="126"/>
        <v/>
      </c>
      <c r="R2998" s="89" t="str">
        <f t="shared" si="127"/>
        <v/>
      </c>
      <c r="S2998" s="82"/>
    </row>
    <row r="2999" spans="1:19" x14ac:dyDescent="0.25">
      <c r="A2999" s="31" t="str">
        <f>IF(Table!A2999 = "","",Table!A2999)</f>
        <v/>
      </c>
      <c r="B2999" s="31" t="str">
        <f>IF(Table!B2999 = "","",Table!B2999)</f>
        <v/>
      </c>
      <c r="C2999" s="31" t="str">
        <f>IF(Table!C2999 = "","",Table!C2999)</f>
        <v/>
      </c>
      <c r="D2999" s="32" t="str">
        <f>IF(Table!D2999 = "","",Table!D2999)</f>
        <v/>
      </c>
      <c r="E2999" s="32" t="str">
        <f>IF(Table!E2999 = "","",Table!E2999)</f>
        <v/>
      </c>
      <c r="F2999" s="32" t="str">
        <f>IF(Table!F2999 = "","",Table!F2999)</f>
        <v/>
      </c>
      <c r="G2999" s="91"/>
      <c r="K2999" s="31" t="str">
        <f>IFERROR(VLOOKUP(A2999,Table!$I$4:$O$3000,1,TRUE),"")</f>
        <v/>
      </c>
      <c r="L2999" s="31" t="str">
        <f>IFERROR(INDEX(Table!I:O,MATCH(K2999,Table!I:I,0),2),"")</f>
        <v/>
      </c>
      <c r="M2999" s="31" t="str">
        <f>IFERROR(INDEX(Table!I:O,MATCH(K2999,Table!I:I,0),3),"")</f>
        <v/>
      </c>
      <c r="N2999" s="32" t="str">
        <f>IFERROR(INDEX(Table!I:O,MATCH(K2999,Table!I:I,0),4),"")</f>
        <v/>
      </c>
      <c r="O2999" s="32" t="str">
        <f>IFERROR(INDEX(Table!I:O,MATCH(K2999,Table!I:I,0),5),"")</f>
        <v/>
      </c>
      <c r="P2999" s="32" t="str">
        <f>IFERROR(INDEX(Table!I:O,MATCH(K2999,Table!I:I,0),6),"")</f>
        <v/>
      </c>
      <c r="Q2999" s="89" t="str">
        <f t="shared" si="126"/>
        <v/>
      </c>
      <c r="R2999" s="89" t="str">
        <f t="shared" si="127"/>
        <v/>
      </c>
      <c r="S2999" s="82"/>
    </row>
    <row r="3000" spans="1:19" x14ac:dyDescent="0.25">
      <c r="A3000" s="31" t="str">
        <f>IF(Table!A3000 = "","",Table!A3000)</f>
        <v/>
      </c>
      <c r="B3000" s="31" t="str">
        <f>IF(Table!B3000 = "","",Table!B3000)</f>
        <v/>
      </c>
      <c r="C3000" s="31" t="str">
        <f>IF(Table!C3000 = "","",Table!C3000)</f>
        <v/>
      </c>
      <c r="D3000" s="32" t="str">
        <f>IF(Table!D3000 = "","",Table!D3000)</f>
        <v/>
      </c>
      <c r="E3000" s="32" t="str">
        <f>IF(Table!E3000 = "","",Table!E3000)</f>
        <v/>
      </c>
      <c r="F3000" s="32" t="str">
        <f>IF(Table!F3000 = "","",Table!F3000)</f>
        <v/>
      </c>
      <c r="G3000" s="91"/>
      <c r="K3000" s="31" t="str">
        <f>IFERROR(VLOOKUP(A3000,Table!$I$4:$O$3000,1,TRUE),"")</f>
        <v/>
      </c>
      <c r="L3000" s="31" t="str">
        <f>IFERROR(INDEX(Table!I:O,MATCH(K3000,Table!I:I,0),2),"")</f>
        <v/>
      </c>
      <c r="M3000" s="31" t="str">
        <f>IFERROR(INDEX(Table!I:O,MATCH(K3000,Table!I:I,0),3),"")</f>
        <v/>
      </c>
      <c r="N3000" s="32" t="str">
        <f>IFERROR(INDEX(Table!I:O,MATCH(K3000,Table!I:I,0),4),"")</f>
        <v/>
      </c>
      <c r="O3000" s="32" t="str">
        <f>IFERROR(INDEX(Table!I:O,MATCH(K3000,Table!I:I,0),5),"")</f>
        <v/>
      </c>
      <c r="P3000" s="32" t="str">
        <f>IFERROR(INDEX(Table!I:O,MATCH(K3000,Table!I:I,0),6),"")</f>
        <v/>
      </c>
      <c r="Q3000" s="89" t="str">
        <f t="shared" si="126"/>
        <v/>
      </c>
      <c r="R3000" s="89" t="str">
        <f t="shared" si="127"/>
        <v/>
      </c>
      <c r="S3000" s="82"/>
    </row>
    <row r="3001" spans="1:19" x14ac:dyDescent="0.25">
      <c r="G3001" s="92"/>
      <c r="S3001" s="93"/>
    </row>
    <row r="3002" spans="1:19" x14ac:dyDescent="0.25">
      <c r="G3002" s="92"/>
      <c r="S3002" s="93"/>
    </row>
    <row r="3003" spans="1:19" x14ac:dyDescent="0.25">
      <c r="G3003" s="92"/>
      <c r="S3003" s="93"/>
    </row>
    <row r="3004" spans="1:19" x14ac:dyDescent="0.25">
      <c r="G3004" s="92"/>
      <c r="S3004" s="93"/>
    </row>
    <row r="3005" spans="1:19" x14ac:dyDescent="0.25">
      <c r="G3005" s="92"/>
      <c r="S3005" s="93"/>
    </row>
    <row r="3006" spans="1:19" x14ac:dyDescent="0.25">
      <c r="G3006" s="92"/>
      <c r="S3006" s="93"/>
    </row>
    <row r="3007" spans="1:19" x14ac:dyDescent="0.25">
      <c r="G3007" s="92"/>
      <c r="S3007" s="93"/>
    </row>
    <row r="3008" spans="1:19" x14ac:dyDescent="0.25">
      <c r="G3008" s="92"/>
      <c r="S3008" s="93"/>
    </row>
    <row r="3009" spans="7:19" x14ac:dyDescent="0.25">
      <c r="G3009" s="92"/>
      <c r="S3009" s="93"/>
    </row>
    <row r="3010" spans="7:19" x14ac:dyDescent="0.25">
      <c r="G3010" s="92"/>
      <c r="S3010" s="93"/>
    </row>
    <row r="3011" spans="7:19" x14ac:dyDescent="0.25">
      <c r="G3011" s="92"/>
      <c r="S3011" s="93"/>
    </row>
    <row r="3012" spans="7:19" x14ac:dyDescent="0.25">
      <c r="G3012" s="92"/>
      <c r="S3012" s="93"/>
    </row>
    <row r="3013" spans="7:19" x14ac:dyDescent="0.25">
      <c r="G3013" s="92"/>
      <c r="S3013" s="93"/>
    </row>
    <row r="3014" spans="7:19" x14ac:dyDescent="0.25">
      <c r="G3014" s="92"/>
      <c r="S3014" s="93"/>
    </row>
    <row r="3015" spans="7:19" x14ac:dyDescent="0.25">
      <c r="G3015" s="92"/>
      <c r="S3015" s="93"/>
    </row>
    <row r="3016" spans="7:19" x14ac:dyDescent="0.25">
      <c r="G3016" s="92"/>
      <c r="S3016" s="93"/>
    </row>
    <row r="3017" spans="7:19" x14ac:dyDescent="0.25">
      <c r="G3017" s="92"/>
      <c r="S3017" s="93"/>
    </row>
    <row r="3018" spans="7:19" x14ac:dyDescent="0.25">
      <c r="G3018" s="92"/>
      <c r="S3018" s="93"/>
    </row>
    <row r="3019" spans="7:19" x14ac:dyDescent="0.25">
      <c r="G3019" s="92"/>
      <c r="S3019" s="93"/>
    </row>
    <row r="3020" spans="7:19" x14ac:dyDescent="0.25">
      <c r="G3020" s="92"/>
      <c r="S3020" s="93"/>
    </row>
    <row r="3021" spans="7:19" x14ac:dyDescent="0.25">
      <c r="G3021" s="92"/>
      <c r="S3021" s="93"/>
    </row>
    <row r="3022" spans="7:19" x14ac:dyDescent="0.25">
      <c r="G3022" s="92"/>
      <c r="S3022" s="93"/>
    </row>
    <row r="3023" spans="7:19" x14ac:dyDescent="0.25">
      <c r="G3023" s="92"/>
      <c r="S3023" s="93"/>
    </row>
    <row r="3024" spans="7:19" x14ac:dyDescent="0.25">
      <c r="G3024" s="92"/>
      <c r="S3024" s="93"/>
    </row>
    <row r="3025" spans="7:19" x14ac:dyDescent="0.25">
      <c r="G3025" s="92"/>
      <c r="S3025" s="93"/>
    </row>
    <row r="3026" spans="7:19" x14ac:dyDescent="0.25">
      <c r="G3026" s="92"/>
      <c r="S3026" s="93"/>
    </row>
    <row r="3027" spans="7:19" x14ac:dyDescent="0.25">
      <c r="G3027" s="92"/>
      <c r="S3027" s="93"/>
    </row>
    <row r="3028" spans="7:19" x14ac:dyDescent="0.25">
      <c r="G3028" s="92"/>
      <c r="S3028" s="93"/>
    </row>
    <row r="3029" spans="7:19" x14ac:dyDescent="0.25">
      <c r="G3029" s="92"/>
      <c r="S3029" s="93"/>
    </row>
    <row r="3030" spans="7:19" x14ac:dyDescent="0.25">
      <c r="G3030" s="92"/>
      <c r="S3030" s="93"/>
    </row>
    <row r="3031" spans="7:19" x14ac:dyDescent="0.25">
      <c r="G3031" s="92"/>
      <c r="S3031" s="93"/>
    </row>
    <row r="3032" spans="7:19" x14ac:dyDescent="0.25">
      <c r="G3032" s="92"/>
      <c r="S3032" s="93"/>
    </row>
    <row r="3033" spans="7:19" x14ac:dyDescent="0.25">
      <c r="G3033" s="92"/>
      <c r="S3033" s="93"/>
    </row>
    <row r="3034" spans="7:19" x14ac:dyDescent="0.25">
      <c r="G3034" s="92"/>
      <c r="S3034" s="93"/>
    </row>
    <row r="3035" spans="7:19" x14ac:dyDescent="0.25">
      <c r="G3035" s="92"/>
      <c r="S3035" s="93"/>
    </row>
    <row r="3036" spans="7:19" x14ac:dyDescent="0.25">
      <c r="G3036" s="92"/>
      <c r="S3036" s="93"/>
    </row>
    <row r="3037" spans="7:19" x14ac:dyDescent="0.25">
      <c r="G3037" s="92"/>
      <c r="S3037" s="93"/>
    </row>
    <row r="3038" spans="7:19" x14ac:dyDescent="0.25">
      <c r="G3038" s="92"/>
      <c r="S3038" s="93"/>
    </row>
    <row r="3039" spans="7:19" x14ac:dyDescent="0.25">
      <c r="G3039" s="92"/>
      <c r="S3039" s="93"/>
    </row>
    <row r="3040" spans="7:19" x14ac:dyDescent="0.25">
      <c r="G3040" s="92"/>
      <c r="S3040" s="93"/>
    </row>
    <row r="3041" spans="7:19" x14ac:dyDescent="0.25">
      <c r="G3041" s="92"/>
      <c r="S3041" s="93"/>
    </row>
    <row r="3042" spans="7:19" x14ac:dyDescent="0.25">
      <c r="G3042" s="92"/>
      <c r="S3042" s="93"/>
    </row>
    <row r="3043" spans="7:19" x14ac:dyDescent="0.25">
      <c r="G3043" s="92"/>
      <c r="S3043" s="93"/>
    </row>
    <row r="3044" spans="7:19" x14ac:dyDescent="0.25">
      <c r="G3044" s="92"/>
      <c r="S3044" s="93"/>
    </row>
    <row r="3045" spans="7:19" x14ac:dyDescent="0.25">
      <c r="G3045" s="92"/>
      <c r="S3045" s="93"/>
    </row>
    <row r="3046" spans="7:19" x14ac:dyDescent="0.25">
      <c r="G3046" s="92"/>
      <c r="S3046" s="93"/>
    </row>
    <row r="3047" spans="7:19" x14ac:dyDescent="0.25">
      <c r="G3047" s="92"/>
      <c r="S3047" s="93"/>
    </row>
    <row r="3048" spans="7:19" x14ac:dyDescent="0.25">
      <c r="G3048" s="92"/>
      <c r="S3048" s="93"/>
    </row>
    <row r="3049" spans="7:19" x14ac:dyDescent="0.25">
      <c r="G3049" s="92"/>
      <c r="S3049" s="93"/>
    </row>
    <row r="3050" spans="7:19" x14ac:dyDescent="0.25">
      <c r="G3050" s="92"/>
      <c r="S3050" s="93"/>
    </row>
    <row r="3051" spans="7:19" x14ac:dyDescent="0.25">
      <c r="G3051" s="92"/>
      <c r="S3051" s="93"/>
    </row>
    <row r="3052" spans="7:19" x14ac:dyDescent="0.25">
      <c r="G3052" s="92"/>
      <c r="S3052" s="93"/>
    </row>
    <row r="3053" spans="7:19" x14ac:dyDescent="0.25">
      <c r="G3053" s="92"/>
      <c r="S3053" s="93"/>
    </row>
    <row r="3054" spans="7:19" x14ac:dyDescent="0.25">
      <c r="G3054" s="92"/>
      <c r="S3054" s="93"/>
    </row>
    <row r="3055" spans="7:19" x14ac:dyDescent="0.25">
      <c r="G3055" s="92"/>
      <c r="S3055" s="93"/>
    </row>
    <row r="3056" spans="7:19" x14ac:dyDescent="0.25">
      <c r="G3056" s="92"/>
      <c r="S3056" s="93"/>
    </row>
    <row r="3057" spans="7:19" x14ac:dyDescent="0.25">
      <c r="G3057" s="92"/>
      <c r="S3057" s="93"/>
    </row>
    <row r="3058" spans="7:19" x14ac:dyDescent="0.25">
      <c r="G3058" s="92"/>
      <c r="S3058" s="93"/>
    </row>
    <row r="3059" spans="7:19" x14ac:dyDescent="0.25">
      <c r="G3059" s="92"/>
      <c r="S3059" s="93"/>
    </row>
    <row r="3060" spans="7:19" x14ac:dyDescent="0.25">
      <c r="G3060" s="92"/>
      <c r="S3060" s="93"/>
    </row>
    <row r="3061" spans="7:19" x14ac:dyDescent="0.25">
      <c r="G3061" s="92"/>
      <c r="S3061" s="93"/>
    </row>
    <row r="3062" spans="7:19" x14ac:dyDescent="0.25">
      <c r="G3062" s="92"/>
      <c r="S3062" s="93"/>
    </row>
    <row r="3063" spans="7:19" x14ac:dyDescent="0.25">
      <c r="G3063" s="92"/>
      <c r="S3063" s="93"/>
    </row>
    <row r="3064" spans="7:19" x14ac:dyDescent="0.25">
      <c r="G3064" s="92"/>
      <c r="S3064" s="93"/>
    </row>
    <row r="3065" spans="7:19" x14ac:dyDescent="0.25">
      <c r="G3065" s="92"/>
      <c r="S3065" s="93"/>
    </row>
    <row r="3066" spans="7:19" x14ac:dyDescent="0.25">
      <c r="G3066" s="92"/>
      <c r="S3066" s="93"/>
    </row>
    <row r="3067" spans="7:19" x14ac:dyDescent="0.25">
      <c r="G3067" s="92"/>
      <c r="S3067" s="93"/>
    </row>
    <row r="3068" spans="7:19" x14ac:dyDescent="0.25">
      <c r="G3068" s="92"/>
      <c r="S3068" s="93"/>
    </row>
    <row r="3069" spans="7:19" x14ac:dyDescent="0.25">
      <c r="G3069" s="92"/>
      <c r="S3069" s="93"/>
    </row>
    <row r="3070" spans="7:19" x14ac:dyDescent="0.25">
      <c r="G3070" s="92"/>
      <c r="S3070" s="93"/>
    </row>
    <row r="3071" spans="7:19" x14ac:dyDescent="0.25">
      <c r="G3071" s="92"/>
      <c r="S3071" s="93"/>
    </row>
    <row r="3072" spans="7:19" x14ac:dyDescent="0.25">
      <c r="G3072" s="92"/>
      <c r="S3072" s="93"/>
    </row>
    <row r="3073" spans="7:19" x14ac:dyDescent="0.25">
      <c r="G3073" s="92"/>
      <c r="S3073" s="93"/>
    </row>
    <row r="3074" spans="7:19" x14ac:dyDescent="0.25">
      <c r="G3074" s="92"/>
      <c r="S3074" s="93"/>
    </row>
    <row r="3075" spans="7:19" x14ac:dyDescent="0.25">
      <c r="G3075" s="92"/>
      <c r="S3075" s="93"/>
    </row>
    <row r="3076" spans="7:19" x14ac:dyDescent="0.25">
      <c r="G3076" s="92"/>
      <c r="S3076" s="93"/>
    </row>
    <row r="3077" spans="7:19" x14ac:dyDescent="0.25">
      <c r="G3077" s="92"/>
      <c r="S3077" s="93"/>
    </row>
    <row r="3078" spans="7:19" x14ac:dyDescent="0.25">
      <c r="G3078" s="92"/>
      <c r="S3078" s="93"/>
    </row>
    <row r="3079" spans="7:19" x14ac:dyDescent="0.25">
      <c r="G3079" s="92"/>
      <c r="S3079" s="93"/>
    </row>
    <row r="3080" spans="7:19" x14ac:dyDescent="0.25">
      <c r="G3080" s="92"/>
      <c r="S3080" s="93"/>
    </row>
    <row r="3081" spans="7:19" x14ac:dyDescent="0.25">
      <c r="G3081" s="92"/>
      <c r="S3081" s="93"/>
    </row>
    <row r="3082" spans="7:19" x14ac:dyDescent="0.25">
      <c r="G3082" s="92"/>
      <c r="S3082" s="93"/>
    </row>
    <row r="3083" spans="7:19" x14ac:dyDescent="0.25">
      <c r="G3083" s="92"/>
      <c r="S3083" s="93"/>
    </row>
    <row r="3084" spans="7:19" x14ac:dyDescent="0.25">
      <c r="G3084" s="92"/>
      <c r="S3084" s="93"/>
    </row>
    <row r="3085" spans="7:19" x14ac:dyDescent="0.25">
      <c r="G3085" s="92"/>
      <c r="S3085" s="93"/>
    </row>
    <row r="3086" spans="7:19" x14ac:dyDescent="0.25">
      <c r="G3086" s="92"/>
      <c r="S3086" s="93"/>
    </row>
    <row r="3087" spans="7:19" x14ac:dyDescent="0.25">
      <c r="G3087" s="92"/>
      <c r="S3087" s="93"/>
    </row>
    <row r="3088" spans="7:19" x14ac:dyDescent="0.25">
      <c r="G3088" s="92"/>
      <c r="S3088" s="93"/>
    </row>
    <row r="3089" spans="7:19" x14ac:dyDescent="0.25">
      <c r="G3089" s="92"/>
      <c r="S3089" s="93"/>
    </row>
    <row r="3090" spans="7:19" x14ac:dyDescent="0.25">
      <c r="G3090" s="92"/>
      <c r="S3090" s="93"/>
    </row>
    <row r="3091" spans="7:19" x14ac:dyDescent="0.25">
      <c r="G3091" s="92"/>
      <c r="S3091" s="93"/>
    </row>
    <row r="3092" spans="7:19" x14ac:dyDescent="0.25">
      <c r="G3092" s="92"/>
      <c r="S3092" s="93"/>
    </row>
    <row r="3093" spans="7:19" x14ac:dyDescent="0.25">
      <c r="G3093" s="92"/>
      <c r="S3093" s="93"/>
    </row>
    <row r="3094" spans="7:19" x14ac:dyDescent="0.25">
      <c r="G3094" s="92"/>
      <c r="S3094" s="93"/>
    </row>
    <row r="3095" spans="7:19" x14ac:dyDescent="0.25">
      <c r="G3095" s="92"/>
      <c r="S3095" s="93"/>
    </row>
    <row r="3096" spans="7:19" x14ac:dyDescent="0.25">
      <c r="G3096" s="92"/>
      <c r="S3096" s="93"/>
    </row>
    <row r="3097" spans="7:19" x14ac:dyDescent="0.25">
      <c r="G3097" s="92"/>
      <c r="S3097" s="93"/>
    </row>
    <row r="3098" spans="7:19" x14ac:dyDescent="0.25">
      <c r="G3098" s="92"/>
      <c r="S3098" s="93"/>
    </row>
    <row r="3099" spans="7:19" x14ac:dyDescent="0.25">
      <c r="G3099" s="92"/>
      <c r="S3099" s="93"/>
    </row>
    <row r="3100" spans="7:19" x14ac:dyDescent="0.25">
      <c r="G3100" s="92"/>
      <c r="S3100" s="93"/>
    </row>
    <row r="3101" spans="7:19" x14ac:dyDescent="0.25">
      <c r="G3101" s="92"/>
      <c r="S3101" s="93"/>
    </row>
    <row r="3102" spans="7:19" x14ac:dyDescent="0.25">
      <c r="G3102" s="92"/>
      <c r="S3102" s="93"/>
    </row>
    <row r="3103" spans="7:19" x14ac:dyDescent="0.25">
      <c r="G3103" s="92"/>
      <c r="S3103" s="93"/>
    </row>
    <row r="3104" spans="7:19" x14ac:dyDescent="0.25">
      <c r="G3104" s="92"/>
      <c r="S3104" s="93"/>
    </row>
    <row r="3105" spans="7:19" x14ac:dyDescent="0.25">
      <c r="G3105" s="92"/>
      <c r="S3105" s="93"/>
    </row>
    <row r="3106" spans="7:19" x14ac:dyDescent="0.25">
      <c r="G3106" s="92"/>
      <c r="S3106" s="93"/>
    </row>
    <row r="3107" spans="7:19" x14ac:dyDescent="0.25">
      <c r="G3107" s="92"/>
      <c r="S3107" s="93"/>
    </row>
    <row r="3108" spans="7:19" x14ac:dyDescent="0.25">
      <c r="G3108" s="92"/>
      <c r="S3108" s="93"/>
    </row>
    <row r="3109" spans="7:19" x14ac:dyDescent="0.25">
      <c r="G3109" s="92"/>
      <c r="S3109" s="93"/>
    </row>
    <row r="3110" spans="7:19" x14ac:dyDescent="0.25">
      <c r="G3110" s="92"/>
      <c r="S3110" s="93"/>
    </row>
    <row r="3111" spans="7:19" x14ac:dyDescent="0.25">
      <c r="G3111" s="92"/>
      <c r="S3111" s="93"/>
    </row>
    <row r="3112" spans="7:19" x14ac:dyDescent="0.25">
      <c r="G3112" s="92"/>
      <c r="S3112" s="93"/>
    </row>
    <row r="3113" spans="7:19" x14ac:dyDescent="0.25">
      <c r="G3113" s="92"/>
      <c r="S3113" s="93"/>
    </row>
    <row r="3114" spans="7:19" x14ac:dyDescent="0.25">
      <c r="G3114" s="92"/>
      <c r="S3114" s="93"/>
    </row>
    <row r="3115" spans="7:19" x14ac:dyDescent="0.25">
      <c r="G3115" s="92"/>
      <c r="S3115" s="93"/>
    </row>
    <row r="3116" spans="7:19" x14ac:dyDescent="0.25">
      <c r="G3116" s="92"/>
      <c r="S3116" s="93"/>
    </row>
    <row r="3117" spans="7:19" x14ac:dyDescent="0.25">
      <c r="G3117" s="92"/>
      <c r="S3117" s="93"/>
    </row>
    <row r="3118" spans="7:19" x14ac:dyDescent="0.25">
      <c r="G3118" s="92"/>
      <c r="S3118" s="93"/>
    </row>
    <row r="3119" spans="7:19" x14ac:dyDescent="0.25">
      <c r="G3119" s="92"/>
      <c r="S3119" s="93"/>
    </row>
    <row r="3120" spans="7:19" x14ac:dyDescent="0.25">
      <c r="G3120" s="92"/>
      <c r="S3120" s="93"/>
    </row>
    <row r="3121" spans="7:19" x14ac:dyDescent="0.25">
      <c r="G3121" s="92"/>
      <c r="S3121" s="93"/>
    </row>
    <row r="3122" spans="7:19" x14ac:dyDescent="0.25">
      <c r="G3122" s="92"/>
      <c r="S3122" s="93"/>
    </row>
    <row r="3123" spans="7:19" x14ac:dyDescent="0.25">
      <c r="G3123" s="92"/>
      <c r="S3123" s="93"/>
    </row>
    <row r="3124" spans="7:19" x14ac:dyDescent="0.25">
      <c r="G3124" s="92"/>
      <c r="S3124" s="93"/>
    </row>
    <row r="3125" spans="7:19" x14ac:dyDescent="0.25">
      <c r="G3125" s="92"/>
      <c r="S3125" s="93"/>
    </row>
    <row r="3126" spans="7:19" x14ac:dyDescent="0.25">
      <c r="G3126" s="92"/>
      <c r="S3126" s="93"/>
    </row>
    <row r="3127" spans="7:19" x14ac:dyDescent="0.25">
      <c r="G3127" s="92"/>
      <c r="S3127" s="93"/>
    </row>
    <row r="3128" spans="7:19" x14ac:dyDescent="0.25">
      <c r="G3128" s="92"/>
      <c r="S3128" s="93"/>
    </row>
    <row r="3129" spans="7:19" x14ac:dyDescent="0.25">
      <c r="G3129" s="92"/>
      <c r="S3129" s="93"/>
    </row>
    <row r="3130" spans="7:19" x14ac:dyDescent="0.25">
      <c r="G3130" s="92"/>
      <c r="S3130" s="93"/>
    </row>
    <row r="3131" spans="7:19" x14ac:dyDescent="0.25">
      <c r="G3131" s="92"/>
      <c r="S3131" s="93"/>
    </row>
    <row r="3132" spans="7:19" x14ac:dyDescent="0.25">
      <c r="G3132" s="92"/>
      <c r="S3132" s="93"/>
    </row>
    <row r="3133" spans="7:19" x14ac:dyDescent="0.25">
      <c r="G3133" s="92"/>
      <c r="S3133" s="93"/>
    </row>
    <row r="3134" spans="7:19" x14ac:dyDescent="0.25">
      <c r="G3134" s="92"/>
      <c r="S3134" s="93"/>
    </row>
    <row r="3135" spans="7:19" x14ac:dyDescent="0.25">
      <c r="G3135" s="92"/>
      <c r="S3135" s="93"/>
    </row>
    <row r="3136" spans="7:19" x14ac:dyDescent="0.25">
      <c r="G3136" s="92"/>
      <c r="S3136" s="93"/>
    </row>
    <row r="3137" spans="7:19" x14ac:dyDescent="0.25">
      <c r="G3137" s="92"/>
      <c r="S3137" s="93"/>
    </row>
    <row r="3138" spans="7:19" x14ac:dyDescent="0.25">
      <c r="G3138" s="92"/>
      <c r="S3138" s="93"/>
    </row>
    <row r="3139" spans="7:19" x14ac:dyDescent="0.25">
      <c r="G3139" s="92"/>
      <c r="S3139" s="93"/>
    </row>
    <row r="3140" spans="7:19" x14ac:dyDescent="0.25">
      <c r="G3140" s="92"/>
      <c r="S3140" s="93"/>
    </row>
    <row r="3141" spans="7:19" x14ac:dyDescent="0.25">
      <c r="G3141" s="92"/>
      <c r="S3141" s="93"/>
    </row>
    <row r="3142" spans="7:19" x14ac:dyDescent="0.25">
      <c r="G3142" s="92"/>
      <c r="S3142" s="93"/>
    </row>
    <row r="3143" spans="7:19" x14ac:dyDescent="0.25">
      <c r="G3143" s="92"/>
      <c r="S3143" s="93"/>
    </row>
    <row r="3144" spans="7:19" x14ac:dyDescent="0.25">
      <c r="G3144" s="92"/>
      <c r="S3144" s="93"/>
    </row>
    <row r="3145" spans="7:19" x14ac:dyDescent="0.25">
      <c r="G3145" s="92"/>
      <c r="S3145" s="93"/>
    </row>
    <row r="3146" spans="7:19" x14ac:dyDescent="0.25">
      <c r="G3146" s="92"/>
      <c r="S3146" s="93"/>
    </row>
    <row r="3147" spans="7:19" x14ac:dyDescent="0.25">
      <c r="G3147" s="92"/>
      <c r="S3147" s="93"/>
    </row>
    <row r="3148" spans="7:19" x14ac:dyDescent="0.25">
      <c r="G3148" s="92"/>
      <c r="S3148" s="93"/>
    </row>
    <row r="3149" spans="7:19" x14ac:dyDescent="0.25">
      <c r="G3149" s="92"/>
      <c r="S3149" s="93"/>
    </row>
    <row r="3150" spans="7:19" x14ac:dyDescent="0.25">
      <c r="G3150" s="92"/>
      <c r="S3150" s="93"/>
    </row>
    <row r="3151" spans="7:19" x14ac:dyDescent="0.25">
      <c r="G3151" s="92"/>
      <c r="S3151" s="93"/>
    </row>
    <row r="3152" spans="7:19" x14ac:dyDescent="0.25">
      <c r="G3152" s="92"/>
      <c r="S3152" s="93"/>
    </row>
    <row r="3153" spans="7:19" x14ac:dyDescent="0.25">
      <c r="G3153" s="92"/>
      <c r="S3153" s="93"/>
    </row>
    <row r="3154" spans="7:19" x14ac:dyDescent="0.25">
      <c r="G3154" s="92"/>
      <c r="S3154" s="93"/>
    </row>
    <row r="3155" spans="7:19" x14ac:dyDescent="0.25">
      <c r="G3155" s="92"/>
      <c r="S3155" s="93"/>
    </row>
    <row r="3156" spans="7:19" x14ac:dyDescent="0.25">
      <c r="G3156" s="92"/>
      <c r="S3156" s="93"/>
    </row>
    <row r="3157" spans="7:19" x14ac:dyDescent="0.25">
      <c r="G3157" s="92"/>
      <c r="S3157" s="93"/>
    </row>
    <row r="3158" spans="7:19" x14ac:dyDescent="0.25">
      <c r="G3158" s="92"/>
      <c r="S3158" s="93"/>
    </row>
    <row r="3159" spans="7:19" x14ac:dyDescent="0.25">
      <c r="G3159" s="92"/>
      <c r="S3159" s="93"/>
    </row>
    <row r="3160" spans="7:19" x14ac:dyDescent="0.25">
      <c r="G3160" s="92"/>
      <c r="S3160" s="93"/>
    </row>
    <row r="3161" spans="7:19" x14ac:dyDescent="0.25">
      <c r="G3161" s="92"/>
      <c r="S3161" s="93"/>
    </row>
    <row r="3162" spans="7:19" x14ac:dyDescent="0.25">
      <c r="G3162" s="92"/>
      <c r="S3162" s="93"/>
    </row>
    <row r="3163" spans="7:19" x14ac:dyDescent="0.25">
      <c r="G3163" s="92"/>
      <c r="S3163" s="93"/>
    </row>
    <row r="3164" spans="7:19" x14ac:dyDescent="0.25">
      <c r="G3164" s="92"/>
      <c r="S3164" s="93"/>
    </row>
    <row r="3165" spans="7:19" x14ac:dyDescent="0.25">
      <c r="G3165" s="92"/>
      <c r="S3165" s="93"/>
    </row>
    <row r="3166" spans="7:19" x14ac:dyDescent="0.25">
      <c r="G3166" s="92"/>
      <c r="S3166" s="93"/>
    </row>
    <row r="3167" spans="7:19" x14ac:dyDescent="0.25">
      <c r="G3167" s="92"/>
      <c r="S3167" s="93"/>
    </row>
    <row r="3168" spans="7:19" x14ac:dyDescent="0.25">
      <c r="G3168" s="92"/>
      <c r="S3168" s="93"/>
    </row>
    <row r="3169" spans="7:19" x14ac:dyDescent="0.25">
      <c r="G3169" s="92"/>
      <c r="S3169" s="93"/>
    </row>
    <row r="3170" spans="7:19" x14ac:dyDescent="0.25">
      <c r="G3170" s="92"/>
      <c r="S3170" s="93"/>
    </row>
    <row r="3171" spans="7:19" x14ac:dyDescent="0.25">
      <c r="G3171" s="92"/>
      <c r="S3171" s="93"/>
    </row>
    <row r="3172" spans="7:19" x14ac:dyDescent="0.25">
      <c r="G3172" s="92"/>
      <c r="S3172" s="93"/>
    </row>
    <row r="3173" spans="7:19" x14ac:dyDescent="0.25">
      <c r="G3173" s="92"/>
      <c r="S3173" s="93"/>
    </row>
    <row r="3174" spans="7:19" x14ac:dyDescent="0.25">
      <c r="G3174" s="92"/>
      <c r="S3174" s="93"/>
    </row>
    <row r="3175" spans="7:19" x14ac:dyDescent="0.25">
      <c r="G3175" s="92"/>
      <c r="S3175" s="93"/>
    </row>
    <row r="3176" spans="7:19" x14ac:dyDescent="0.25">
      <c r="G3176" s="92"/>
      <c r="S3176" s="93"/>
    </row>
    <row r="3177" spans="7:19" x14ac:dyDescent="0.25">
      <c r="G3177" s="92"/>
      <c r="S3177" s="93"/>
    </row>
    <row r="3178" spans="7:19" x14ac:dyDescent="0.25">
      <c r="G3178" s="92"/>
      <c r="S3178" s="93"/>
    </row>
    <row r="3179" spans="7:19" x14ac:dyDescent="0.25">
      <c r="G3179" s="92"/>
      <c r="S3179" s="93"/>
    </row>
    <row r="3180" spans="7:19" x14ac:dyDescent="0.25">
      <c r="G3180" s="92"/>
      <c r="S3180" s="93"/>
    </row>
    <row r="3181" spans="7:19" x14ac:dyDescent="0.25">
      <c r="G3181" s="92"/>
      <c r="S3181" s="93"/>
    </row>
    <row r="3182" spans="7:19" x14ac:dyDescent="0.25">
      <c r="G3182" s="92"/>
      <c r="S3182" s="93"/>
    </row>
    <row r="3183" spans="7:19" x14ac:dyDescent="0.25">
      <c r="G3183" s="92"/>
      <c r="S3183" s="93"/>
    </row>
    <row r="3184" spans="7:19" x14ac:dyDescent="0.25">
      <c r="G3184" s="92"/>
      <c r="S3184" s="93"/>
    </row>
    <row r="3185" spans="7:19" x14ac:dyDescent="0.25">
      <c r="G3185" s="92"/>
      <c r="S3185" s="93"/>
    </row>
    <row r="3186" spans="7:19" x14ac:dyDescent="0.25">
      <c r="G3186" s="92"/>
      <c r="S3186" s="93"/>
    </row>
    <row r="3187" spans="7:19" x14ac:dyDescent="0.25">
      <c r="G3187" s="92"/>
      <c r="S3187" s="93"/>
    </row>
    <row r="3188" spans="7:19" x14ac:dyDescent="0.25">
      <c r="G3188" s="92"/>
      <c r="S3188" s="93"/>
    </row>
    <row r="3189" spans="7:19" x14ac:dyDescent="0.25">
      <c r="G3189" s="92"/>
      <c r="S3189" s="93"/>
    </row>
    <row r="3190" spans="7:19" x14ac:dyDescent="0.25">
      <c r="G3190" s="92"/>
      <c r="S3190" s="93"/>
    </row>
    <row r="3191" spans="7:19" x14ac:dyDescent="0.25">
      <c r="G3191" s="92"/>
      <c r="S3191" s="93"/>
    </row>
    <row r="3192" spans="7:19" x14ac:dyDescent="0.25">
      <c r="G3192" s="92"/>
      <c r="S3192" s="93"/>
    </row>
    <row r="3193" spans="7:19" x14ac:dyDescent="0.25">
      <c r="G3193" s="92"/>
      <c r="S3193" s="93"/>
    </row>
    <row r="3194" spans="7:19" x14ac:dyDescent="0.25">
      <c r="G3194" s="92"/>
      <c r="S3194" s="93"/>
    </row>
    <row r="3195" spans="7:19" x14ac:dyDescent="0.25">
      <c r="G3195" s="92"/>
      <c r="S3195" s="93"/>
    </row>
    <row r="3196" spans="7:19" x14ac:dyDescent="0.25">
      <c r="G3196" s="92"/>
      <c r="S3196" s="93"/>
    </row>
    <row r="3197" spans="7:19" x14ac:dyDescent="0.25">
      <c r="G3197" s="92"/>
      <c r="S3197" s="93"/>
    </row>
    <row r="3198" spans="7:19" x14ac:dyDescent="0.25">
      <c r="G3198" s="92"/>
      <c r="S3198" s="93"/>
    </row>
    <row r="3199" spans="7:19" x14ac:dyDescent="0.25">
      <c r="G3199" s="92"/>
      <c r="S3199" s="93"/>
    </row>
    <row r="3200" spans="7:19" x14ac:dyDescent="0.25">
      <c r="G3200" s="92"/>
      <c r="S3200" s="93"/>
    </row>
    <row r="3201" spans="7:19" x14ac:dyDescent="0.25">
      <c r="G3201" s="92"/>
      <c r="S3201" s="93"/>
    </row>
    <row r="3202" spans="7:19" x14ac:dyDescent="0.25">
      <c r="G3202" s="92"/>
      <c r="S3202" s="93"/>
    </row>
    <row r="3203" spans="7:19" x14ac:dyDescent="0.25">
      <c r="G3203" s="92"/>
      <c r="S3203" s="93"/>
    </row>
    <row r="3204" spans="7:19" x14ac:dyDescent="0.25">
      <c r="G3204" s="92"/>
      <c r="S3204" s="93"/>
    </row>
    <row r="3205" spans="7:19" x14ac:dyDescent="0.25">
      <c r="G3205" s="92"/>
      <c r="S3205" s="93"/>
    </row>
    <row r="3206" spans="7:19" x14ac:dyDescent="0.25">
      <c r="G3206" s="92"/>
      <c r="S3206" s="93"/>
    </row>
    <row r="3207" spans="7:19" x14ac:dyDescent="0.25">
      <c r="G3207" s="92"/>
      <c r="S3207" s="93"/>
    </row>
    <row r="3208" spans="7:19" x14ac:dyDescent="0.25">
      <c r="G3208" s="92"/>
      <c r="S3208" s="93"/>
    </row>
    <row r="3209" spans="7:19" x14ac:dyDescent="0.25">
      <c r="G3209" s="92"/>
      <c r="S3209" s="93"/>
    </row>
    <row r="3210" spans="7:19" x14ac:dyDescent="0.25">
      <c r="G3210" s="92"/>
      <c r="S3210" s="93"/>
    </row>
    <row r="3211" spans="7:19" x14ac:dyDescent="0.25">
      <c r="G3211" s="92"/>
      <c r="S3211" s="93"/>
    </row>
    <row r="3212" spans="7:19" x14ac:dyDescent="0.25">
      <c r="G3212" s="92"/>
      <c r="S3212" s="93"/>
    </row>
    <row r="3213" spans="7:19" x14ac:dyDescent="0.25">
      <c r="G3213" s="92"/>
      <c r="S3213" s="93"/>
    </row>
    <row r="3214" spans="7:19" x14ac:dyDescent="0.25">
      <c r="G3214" s="92"/>
      <c r="S3214" s="93"/>
    </row>
    <row r="3215" spans="7:19" x14ac:dyDescent="0.25">
      <c r="G3215" s="92"/>
      <c r="S3215" s="93"/>
    </row>
    <row r="3216" spans="7:19" x14ac:dyDescent="0.25">
      <c r="G3216" s="92"/>
      <c r="S3216" s="93"/>
    </row>
    <row r="3217" spans="7:19" x14ac:dyDescent="0.25">
      <c r="G3217" s="92"/>
      <c r="S3217" s="93"/>
    </row>
    <row r="3218" spans="7:19" x14ac:dyDescent="0.25">
      <c r="G3218" s="92"/>
      <c r="S3218" s="93"/>
    </row>
    <row r="3219" spans="7:19" x14ac:dyDescent="0.25">
      <c r="G3219" s="92"/>
      <c r="S3219" s="93"/>
    </row>
    <row r="3220" spans="7:19" x14ac:dyDescent="0.25">
      <c r="G3220" s="92"/>
      <c r="S3220" s="93"/>
    </row>
    <row r="3221" spans="7:19" x14ac:dyDescent="0.25">
      <c r="G3221" s="92"/>
      <c r="S3221" s="93"/>
    </row>
    <row r="3222" spans="7:19" x14ac:dyDescent="0.25">
      <c r="G3222" s="92"/>
      <c r="S3222" s="93"/>
    </row>
    <row r="3223" spans="7:19" x14ac:dyDescent="0.25">
      <c r="G3223" s="92"/>
      <c r="S3223" s="93"/>
    </row>
    <row r="3224" spans="7:19" x14ac:dyDescent="0.25">
      <c r="G3224" s="92"/>
      <c r="S3224" s="93"/>
    </row>
    <row r="3225" spans="7:19" x14ac:dyDescent="0.25">
      <c r="G3225" s="92"/>
      <c r="S3225" s="93"/>
    </row>
    <row r="3226" spans="7:19" x14ac:dyDescent="0.25">
      <c r="G3226" s="92"/>
      <c r="S3226" s="93"/>
    </row>
    <row r="3227" spans="7:19" x14ac:dyDescent="0.25">
      <c r="G3227" s="92"/>
      <c r="S3227" s="93"/>
    </row>
    <row r="3228" spans="7:19" x14ac:dyDescent="0.25">
      <c r="G3228" s="92"/>
      <c r="S3228" s="93"/>
    </row>
    <row r="3229" spans="7:19" x14ac:dyDescent="0.25">
      <c r="G3229" s="92"/>
      <c r="S3229" s="93"/>
    </row>
    <row r="3230" spans="7:19" x14ac:dyDescent="0.25">
      <c r="G3230" s="92"/>
      <c r="S3230" s="93"/>
    </row>
    <row r="3231" spans="7:19" x14ac:dyDescent="0.25">
      <c r="G3231" s="92"/>
      <c r="S3231" s="93"/>
    </row>
    <row r="3232" spans="7:19" x14ac:dyDescent="0.25">
      <c r="G3232" s="92"/>
      <c r="S3232" s="93"/>
    </row>
    <row r="3233" spans="7:19" x14ac:dyDescent="0.25">
      <c r="G3233" s="92"/>
      <c r="S3233" s="93"/>
    </row>
    <row r="3234" spans="7:19" x14ac:dyDescent="0.25">
      <c r="G3234" s="92"/>
      <c r="S3234" s="93"/>
    </row>
    <row r="3235" spans="7:19" x14ac:dyDescent="0.25">
      <c r="G3235" s="92"/>
      <c r="S3235" s="93"/>
    </row>
    <row r="3236" spans="7:19" x14ac:dyDescent="0.25">
      <c r="G3236" s="92"/>
      <c r="S3236" s="93"/>
    </row>
    <row r="3237" spans="7:19" x14ac:dyDescent="0.25">
      <c r="G3237" s="92"/>
      <c r="S3237" s="93"/>
    </row>
    <row r="3238" spans="7:19" x14ac:dyDescent="0.25">
      <c r="G3238" s="92"/>
      <c r="S3238" s="93"/>
    </row>
    <row r="3239" spans="7:19" x14ac:dyDescent="0.25">
      <c r="G3239" s="92"/>
      <c r="S3239" s="93"/>
    </row>
    <row r="3240" spans="7:19" x14ac:dyDescent="0.25">
      <c r="G3240" s="92"/>
      <c r="S3240" s="93"/>
    </row>
    <row r="3241" spans="7:19" x14ac:dyDescent="0.25">
      <c r="G3241" s="92"/>
      <c r="S3241" s="93"/>
    </row>
    <row r="3242" spans="7:19" x14ac:dyDescent="0.25">
      <c r="G3242" s="92"/>
      <c r="S3242" s="93"/>
    </row>
    <row r="3243" spans="7:19" x14ac:dyDescent="0.25">
      <c r="G3243" s="92"/>
      <c r="S3243" s="93"/>
    </row>
    <row r="3244" spans="7:19" x14ac:dyDescent="0.25">
      <c r="G3244" s="92"/>
      <c r="S3244" s="93"/>
    </row>
    <row r="3245" spans="7:19" x14ac:dyDescent="0.25">
      <c r="G3245" s="92"/>
      <c r="S3245" s="93"/>
    </row>
    <row r="3246" spans="7:19" x14ac:dyDescent="0.25">
      <c r="G3246" s="92"/>
      <c r="S3246" s="93"/>
    </row>
    <row r="3247" spans="7:19" x14ac:dyDescent="0.25">
      <c r="G3247" s="92"/>
      <c r="S3247" s="93"/>
    </row>
    <row r="3248" spans="7:19" x14ac:dyDescent="0.25">
      <c r="G3248" s="92"/>
      <c r="S3248" s="93"/>
    </row>
    <row r="3249" spans="7:19" x14ac:dyDescent="0.25">
      <c r="G3249" s="92"/>
      <c r="S3249" s="93"/>
    </row>
    <row r="3250" spans="7:19" x14ac:dyDescent="0.25">
      <c r="G3250" s="92"/>
      <c r="S3250" s="93"/>
    </row>
    <row r="3251" spans="7:19" x14ac:dyDescent="0.25">
      <c r="G3251" s="92"/>
      <c r="S3251" s="93"/>
    </row>
    <row r="3252" spans="7:19" x14ac:dyDescent="0.25">
      <c r="G3252" s="92"/>
      <c r="S3252" s="93"/>
    </row>
    <row r="3253" spans="7:19" x14ac:dyDescent="0.25">
      <c r="G3253" s="92"/>
      <c r="S3253" s="93"/>
    </row>
    <row r="3254" spans="7:19" x14ac:dyDescent="0.25">
      <c r="G3254" s="92"/>
      <c r="S3254" s="93"/>
    </row>
    <row r="3255" spans="7:19" x14ac:dyDescent="0.25">
      <c r="G3255" s="92"/>
      <c r="S3255" s="93"/>
    </row>
    <row r="3256" spans="7:19" x14ac:dyDescent="0.25">
      <c r="G3256" s="92"/>
      <c r="S3256" s="93"/>
    </row>
    <row r="3257" spans="7:19" x14ac:dyDescent="0.25">
      <c r="G3257" s="92"/>
      <c r="S3257" s="93"/>
    </row>
    <row r="3258" spans="7:19" x14ac:dyDescent="0.25">
      <c r="G3258" s="92"/>
      <c r="S3258" s="93"/>
    </row>
    <row r="3259" spans="7:19" x14ac:dyDescent="0.25">
      <c r="G3259" s="92"/>
      <c r="S3259" s="93"/>
    </row>
    <row r="3260" spans="7:19" x14ac:dyDescent="0.25">
      <c r="G3260" s="92"/>
      <c r="S3260" s="93"/>
    </row>
    <row r="3261" spans="7:19" x14ac:dyDescent="0.25">
      <c r="G3261" s="92"/>
      <c r="S3261" s="93"/>
    </row>
    <row r="3262" spans="7:19" x14ac:dyDescent="0.25">
      <c r="G3262" s="92"/>
      <c r="S3262" s="93"/>
    </row>
    <row r="3263" spans="7:19" x14ac:dyDescent="0.25">
      <c r="G3263" s="92"/>
      <c r="S3263" s="93"/>
    </row>
    <row r="3264" spans="7:19" x14ac:dyDescent="0.25">
      <c r="G3264" s="92"/>
      <c r="S3264" s="93"/>
    </row>
    <row r="3265" spans="7:19" x14ac:dyDescent="0.25">
      <c r="G3265" s="92"/>
      <c r="S3265" s="93"/>
    </row>
    <row r="3266" spans="7:19" x14ac:dyDescent="0.25">
      <c r="G3266" s="92"/>
      <c r="S3266" s="93"/>
    </row>
    <row r="3267" spans="7:19" x14ac:dyDescent="0.25">
      <c r="G3267" s="92"/>
      <c r="S3267" s="93"/>
    </row>
    <row r="3268" spans="7:19" x14ac:dyDescent="0.25">
      <c r="G3268" s="92"/>
      <c r="S3268" s="93"/>
    </row>
    <row r="3269" spans="7:19" x14ac:dyDescent="0.25">
      <c r="G3269" s="92"/>
      <c r="S3269" s="93"/>
    </row>
    <row r="3270" spans="7:19" x14ac:dyDescent="0.25">
      <c r="G3270" s="92"/>
      <c r="S3270" s="93"/>
    </row>
    <row r="3271" spans="7:19" x14ac:dyDescent="0.25">
      <c r="G3271" s="92"/>
      <c r="S3271" s="93"/>
    </row>
    <row r="3272" spans="7:19" x14ac:dyDescent="0.25">
      <c r="G3272" s="92"/>
      <c r="S3272" s="93"/>
    </row>
    <row r="3273" spans="7:19" x14ac:dyDescent="0.25">
      <c r="G3273" s="92"/>
      <c r="S3273" s="93"/>
    </row>
    <row r="3274" spans="7:19" x14ac:dyDescent="0.25">
      <c r="G3274" s="92"/>
      <c r="S3274" s="93"/>
    </row>
    <row r="3275" spans="7:19" x14ac:dyDescent="0.25">
      <c r="G3275" s="92"/>
      <c r="S3275" s="93"/>
    </row>
    <row r="3276" spans="7:19" x14ac:dyDescent="0.25">
      <c r="G3276" s="92"/>
      <c r="S3276" s="93"/>
    </row>
    <row r="3277" spans="7:19" x14ac:dyDescent="0.25">
      <c r="G3277" s="92"/>
      <c r="S3277" s="93"/>
    </row>
    <row r="3278" spans="7:19" x14ac:dyDescent="0.25">
      <c r="G3278" s="92"/>
      <c r="S3278" s="93"/>
    </row>
    <row r="3279" spans="7:19" x14ac:dyDescent="0.25">
      <c r="G3279" s="92"/>
      <c r="S3279" s="93"/>
    </row>
    <row r="3280" spans="7:19" x14ac:dyDescent="0.25">
      <c r="G3280" s="92"/>
      <c r="S3280" s="93"/>
    </row>
    <row r="3281" spans="7:19" x14ac:dyDescent="0.25">
      <c r="G3281" s="92"/>
      <c r="S3281" s="93"/>
    </row>
    <row r="3282" spans="7:19" x14ac:dyDescent="0.25">
      <c r="G3282" s="92"/>
      <c r="S3282" s="93"/>
    </row>
    <row r="3283" spans="7:19" x14ac:dyDescent="0.25">
      <c r="G3283" s="92"/>
      <c r="S3283" s="93"/>
    </row>
    <row r="3284" spans="7:19" x14ac:dyDescent="0.25">
      <c r="G3284" s="92"/>
      <c r="S3284" s="93"/>
    </row>
    <row r="3285" spans="7:19" x14ac:dyDescent="0.25">
      <c r="G3285" s="92"/>
      <c r="S3285" s="93"/>
    </row>
    <row r="3286" spans="7:19" x14ac:dyDescent="0.25">
      <c r="G3286" s="92"/>
      <c r="S3286" s="93"/>
    </row>
    <row r="3287" spans="7:19" x14ac:dyDescent="0.25">
      <c r="G3287" s="92"/>
      <c r="S3287" s="93"/>
    </row>
    <row r="3288" spans="7:19" x14ac:dyDescent="0.25">
      <c r="G3288" s="92"/>
      <c r="S3288" s="93"/>
    </row>
    <row r="3289" spans="7:19" x14ac:dyDescent="0.25">
      <c r="G3289" s="92"/>
      <c r="S3289" s="93"/>
    </row>
    <row r="3290" spans="7:19" x14ac:dyDescent="0.25">
      <c r="G3290" s="92"/>
      <c r="S3290" s="93"/>
    </row>
    <row r="3291" spans="7:19" x14ac:dyDescent="0.25">
      <c r="G3291" s="92"/>
      <c r="S3291" s="93"/>
    </row>
    <row r="3292" spans="7:19" x14ac:dyDescent="0.25">
      <c r="G3292" s="92"/>
      <c r="S3292" s="93"/>
    </row>
    <row r="3293" spans="7:19" x14ac:dyDescent="0.25">
      <c r="G3293" s="92"/>
      <c r="S3293" s="93"/>
    </row>
    <row r="3294" spans="7:19" x14ac:dyDescent="0.25">
      <c r="G3294" s="92"/>
      <c r="S3294" s="93"/>
    </row>
    <row r="3295" spans="7:19" x14ac:dyDescent="0.25">
      <c r="G3295" s="92"/>
      <c r="S3295" s="93"/>
    </row>
    <row r="3296" spans="7:19" x14ac:dyDescent="0.25">
      <c r="G3296" s="92"/>
      <c r="S3296" s="93"/>
    </row>
    <row r="3297" spans="7:19" x14ac:dyDescent="0.25">
      <c r="G3297" s="92"/>
      <c r="S3297" s="93"/>
    </row>
    <row r="3298" spans="7:19" x14ac:dyDescent="0.25">
      <c r="G3298" s="92"/>
      <c r="S3298" s="93"/>
    </row>
    <row r="3299" spans="7:19" x14ac:dyDescent="0.25">
      <c r="G3299" s="92"/>
      <c r="S3299" s="93"/>
    </row>
    <row r="3300" spans="7:19" x14ac:dyDescent="0.25">
      <c r="G3300" s="92"/>
      <c r="S3300" s="93"/>
    </row>
    <row r="3301" spans="7:19" x14ac:dyDescent="0.25">
      <c r="G3301" s="92"/>
      <c r="S3301" s="93"/>
    </row>
    <row r="3302" spans="7:19" x14ac:dyDescent="0.25">
      <c r="G3302" s="92"/>
      <c r="S3302" s="93"/>
    </row>
    <row r="3303" spans="7:19" x14ac:dyDescent="0.25">
      <c r="G3303" s="92"/>
      <c r="S3303" s="93"/>
    </row>
    <row r="3304" spans="7:19" x14ac:dyDescent="0.25">
      <c r="G3304" s="92"/>
      <c r="S3304" s="93"/>
    </row>
    <row r="3305" spans="7:19" x14ac:dyDescent="0.25">
      <c r="G3305" s="92"/>
      <c r="S3305" s="93"/>
    </row>
    <row r="3306" spans="7:19" x14ac:dyDescent="0.25">
      <c r="G3306" s="92"/>
      <c r="S3306" s="93"/>
    </row>
    <row r="3307" spans="7:19" x14ac:dyDescent="0.25">
      <c r="G3307" s="92"/>
      <c r="S3307" s="93"/>
    </row>
    <row r="3308" spans="7:19" x14ac:dyDescent="0.25">
      <c r="G3308" s="92"/>
      <c r="S3308" s="93"/>
    </row>
    <row r="3309" spans="7:19" x14ac:dyDescent="0.25">
      <c r="G3309" s="92"/>
      <c r="S3309" s="93"/>
    </row>
    <row r="3310" spans="7:19" x14ac:dyDescent="0.25">
      <c r="G3310" s="92"/>
      <c r="S3310" s="93"/>
    </row>
    <row r="3311" spans="7:19" x14ac:dyDescent="0.25">
      <c r="G3311" s="92"/>
      <c r="S3311" s="93"/>
    </row>
    <row r="3312" spans="7:19" x14ac:dyDescent="0.25">
      <c r="G3312" s="92"/>
      <c r="S3312" s="93"/>
    </row>
    <row r="3313" spans="7:19" x14ac:dyDescent="0.25">
      <c r="G3313" s="92"/>
      <c r="S3313" s="93"/>
    </row>
    <row r="3314" spans="7:19" x14ac:dyDescent="0.25">
      <c r="G3314" s="92"/>
      <c r="S3314" s="93"/>
    </row>
    <row r="3315" spans="7:19" x14ac:dyDescent="0.25">
      <c r="G3315" s="92"/>
      <c r="S3315" s="93"/>
    </row>
    <row r="3316" spans="7:19" x14ac:dyDescent="0.25">
      <c r="G3316" s="92"/>
      <c r="S3316" s="93"/>
    </row>
    <row r="3317" spans="7:19" x14ac:dyDescent="0.25">
      <c r="G3317" s="92"/>
      <c r="S3317" s="93"/>
    </row>
    <row r="3318" spans="7:19" x14ac:dyDescent="0.25">
      <c r="G3318" s="92"/>
      <c r="S3318" s="93"/>
    </row>
    <row r="3319" spans="7:19" x14ac:dyDescent="0.25">
      <c r="G3319" s="92"/>
      <c r="S3319" s="93"/>
    </row>
    <row r="3320" spans="7:19" x14ac:dyDescent="0.25">
      <c r="G3320" s="92"/>
      <c r="S3320" s="93"/>
    </row>
    <row r="3321" spans="7:19" x14ac:dyDescent="0.25">
      <c r="G3321" s="92"/>
      <c r="S3321" s="93"/>
    </row>
    <row r="3322" spans="7:19" x14ac:dyDescent="0.25">
      <c r="G3322" s="92"/>
      <c r="S3322" s="93"/>
    </row>
    <row r="3323" spans="7:19" x14ac:dyDescent="0.25">
      <c r="G3323" s="92"/>
      <c r="S3323" s="93"/>
    </row>
    <row r="3324" spans="7:19" x14ac:dyDescent="0.25">
      <c r="G3324" s="92"/>
      <c r="S3324" s="93"/>
    </row>
    <row r="3325" spans="7:19" x14ac:dyDescent="0.25">
      <c r="G3325" s="92"/>
      <c r="S3325" s="93"/>
    </row>
    <row r="3326" spans="7:19" x14ac:dyDescent="0.25">
      <c r="G3326" s="92"/>
      <c r="S3326" s="93"/>
    </row>
    <row r="3327" spans="7:19" x14ac:dyDescent="0.25">
      <c r="G3327" s="92"/>
      <c r="S3327" s="93"/>
    </row>
    <row r="3328" spans="7:19" x14ac:dyDescent="0.25">
      <c r="G3328" s="92"/>
      <c r="S3328" s="93"/>
    </row>
    <row r="3329" spans="7:19" x14ac:dyDescent="0.25">
      <c r="G3329" s="92"/>
      <c r="S3329" s="93"/>
    </row>
    <row r="3330" spans="7:19" x14ac:dyDescent="0.25">
      <c r="G3330" s="92"/>
      <c r="S3330" s="93"/>
    </row>
    <row r="3331" spans="7:19" x14ac:dyDescent="0.25">
      <c r="G3331" s="92"/>
      <c r="S3331" s="93"/>
    </row>
    <row r="3332" spans="7:19" x14ac:dyDescent="0.25">
      <c r="G3332" s="92"/>
      <c r="S3332" s="93"/>
    </row>
    <row r="3333" spans="7:19" x14ac:dyDescent="0.25">
      <c r="G3333" s="92"/>
      <c r="S3333" s="93"/>
    </row>
    <row r="3334" spans="7:19" x14ac:dyDescent="0.25">
      <c r="G3334" s="92"/>
      <c r="S3334" s="93"/>
    </row>
    <row r="3335" spans="7:19" x14ac:dyDescent="0.25">
      <c r="G3335" s="92"/>
      <c r="S3335" s="93"/>
    </row>
    <row r="3336" spans="7:19" x14ac:dyDescent="0.25">
      <c r="G3336" s="92"/>
      <c r="S3336" s="93"/>
    </row>
    <row r="3337" spans="7:19" x14ac:dyDescent="0.25">
      <c r="G3337" s="92"/>
      <c r="S3337" s="93"/>
    </row>
    <row r="3338" spans="7:19" x14ac:dyDescent="0.25">
      <c r="G3338" s="92"/>
      <c r="S3338" s="93"/>
    </row>
    <row r="3339" spans="7:19" x14ac:dyDescent="0.25">
      <c r="G3339" s="92"/>
      <c r="S3339" s="93"/>
    </row>
    <row r="3340" spans="7:19" x14ac:dyDescent="0.25">
      <c r="G3340" s="92"/>
      <c r="S3340" s="93"/>
    </row>
    <row r="3341" spans="7:19" x14ac:dyDescent="0.25">
      <c r="G3341" s="92"/>
      <c r="S3341" s="93"/>
    </row>
    <row r="3342" spans="7:19" x14ac:dyDescent="0.25">
      <c r="G3342" s="92"/>
      <c r="S3342" s="93"/>
    </row>
    <row r="3343" spans="7:19" x14ac:dyDescent="0.25">
      <c r="G3343" s="92"/>
      <c r="S3343" s="93"/>
    </row>
    <row r="3344" spans="7:19" x14ac:dyDescent="0.25">
      <c r="G3344" s="92"/>
      <c r="S3344" s="93"/>
    </row>
    <row r="3345" spans="7:19" x14ac:dyDescent="0.25">
      <c r="G3345" s="92"/>
      <c r="S3345" s="93"/>
    </row>
    <row r="3346" spans="7:19" x14ac:dyDescent="0.25">
      <c r="G3346" s="92"/>
      <c r="S3346" s="93"/>
    </row>
    <row r="3347" spans="7:19" x14ac:dyDescent="0.25">
      <c r="G3347" s="92"/>
      <c r="S3347" s="93"/>
    </row>
    <row r="3348" spans="7:19" x14ac:dyDescent="0.25">
      <c r="G3348" s="92"/>
      <c r="S3348" s="93"/>
    </row>
    <row r="3349" spans="7:19" x14ac:dyDescent="0.25">
      <c r="G3349" s="92"/>
      <c r="S3349" s="93"/>
    </row>
    <row r="3350" spans="7:19" x14ac:dyDescent="0.25">
      <c r="G3350" s="92"/>
      <c r="S3350" s="93"/>
    </row>
    <row r="3351" spans="7:19" x14ac:dyDescent="0.25">
      <c r="G3351" s="92"/>
      <c r="S3351" s="93"/>
    </row>
    <row r="3352" spans="7:19" x14ac:dyDescent="0.25">
      <c r="G3352" s="92"/>
      <c r="S3352" s="93"/>
    </row>
    <row r="3353" spans="7:19" x14ac:dyDescent="0.25">
      <c r="G3353" s="92"/>
      <c r="S3353" s="93"/>
    </row>
    <row r="3354" spans="7:19" x14ac:dyDescent="0.25">
      <c r="G3354" s="92"/>
      <c r="S3354" s="93"/>
    </row>
    <row r="3355" spans="7:19" x14ac:dyDescent="0.25">
      <c r="G3355" s="92"/>
      <c r="S3355" s="93"/>
    </row>
    <row r="3356" spans="7:19" x14ac:dyDescent="0.25">
      <c r="G3356" s="92"/>
      <c r="S3356" s="93"/>
    </row>
    <row r="3357" spans="7:19" x14ac:dyDescent="0.25">
      <c r="G3357" s="92"/>
      <c r="S3357" s="93"/>
    </row>
    <row r="3358" spans="7:19" x14ac:dyDescent="0.25">
      <c r="G3358" s="92"/>
      <c r="S3358" s="93"/>
    </row>
    <row r="3359" spans="7:19" x14ac:dyDescent="0.25">
      <c r="G3359" s="92"/>
      <c r="S3359" s="93"/>
    </row>
    <row r="3360" spans="7:19" x14ac:dyDescent="0.25">
      <c r="G3360" s="92"/>
      <c r="S3360" s="93"/>
    </row>
    <row r="3361" spans="7:19" x14ac:dyDescent="0.25">
      <c r="G3361" s="92"/>
      <c r="S3361" s="93"/>
    </row>
    <row r="3362" spans="7:19" x14ac:dyDescent="0.25">
      <c r="G3362" s="92"/>
      <c r="S3362" s="93"/>
    </row>
    <row r="3363" spans="7:19" x14ac:dyDescent="0.25">
      <c r="G3363" s="92"/>
      <c r="S3363" s="93"/>
    </row>
    <row r="3364" spans="7:19" x14ac:dyDescent="0.25">
      <c r="G3364" s="92"/>
      <c r="S3364" s="93"/>
    </row>
    <row r="3365" spans="7:19" x14ac:dyDescent="0.25">
      <c r="G3365" s="92"/>
      <c r="S3365" s="93"/>
    </row>
    <row r="3366" spans="7:19" x14ac:dyDescent="0.25">
      <c r="G3366" s="92"/>
      <c r="S3366" s="93"/>
    </row>
    <row r="3367" spans="7:19" x14ac:dyDescent="0.25">
      <c r="G3367" s="92"/>
      <c r="S3367" s="93"/>
    </row>
    <row r="3368" spans="7:19" x14ac:dyDescent="0.25">
      <c r="G3368" s="92"/>
      <c r="S3368" s="93"/>
    </row>
    <row r="3369" spans="7:19" x14ac:dyDescent="0.25">
      <c r="G3369" s="92"/>
      <c r="S3369" s="93"/>
    </row>
    <row r="3370" spans="7:19" x14ac:dyDescent="0.25">
      <c r="G3370" s="92"/>
      <c r="S3370" s="93"/>
    </row>
    <row r="3371" spans="7:19" x14ac:dyDescent="0.25">
      <c r="G3371" s="92"/>
      <c r="S3371" s="93"/>
    </row>
    <row r="3372" spans="7:19" x14ac:dyDescent="0.25">
      <c r="G3372" s="92"/>
      <c r="S3372" s="93"/>
    </row>
    <row r="3373" spans="7:19" x14ac:dyDescent="0.25">
      <c r="G3373" s="92"/>
      <c r="S3373" s="93"/>
    </row>
    <row r="3374" spans="7:19" x14ac:dyDescent="0.25">
      <c r="G3374" s="92"/>
      <c r="S3374" s="93"/>
    </row>
    <row r="3375" spans="7:19" x14ac:dyDescent="0.25">
      <c r="G3375" s="92"/>
      <c r="S3375" s="93"/>
    </row>
    <row r="3376" spans="7:19" x14ac:dyDescent="0.25">
      <c r="G3376" s="92"/>
      <c r="S3376" s="93"/>
    </row>
    <row r="3377" spans="7:19" x14ac:dyDescent="0.25">
      <c r="G3377" s="92"/>
      <c r="S3377" s="93"/>
    </row>
    <row r="3378" spans="7:19" x14ac:dyDescent="0.25">
      <c r="G3378" s="92"/>
      <c r="S3378" s="93"/>
    </row>
    <row r="3379" spans="7:19" x14ac:dyDescent="0.25">
      <c r="G3379" s="92"/>
      <c r="S3379" s="93"/>
    </row>
    <row r="3380" spans="7:19" x14ac:dyDescent="0.25">
      <c r="G3380" s="92"/>
      <c r="S3380" s="93"/>
    </row>
    <row r="3381" spans="7:19" x14ac:dyDescent="0.25">
      <c r="G3381" s="92"/>
      <c r="S3381" s="93"/>
    </row>
    <row r="3382" spans="7:19" x14ac:dyDescent="0.25">
      <c r="G3382" s="92"/>
      <c r="S3382" s="93"/>
    </row>
    <row r="3383" spans="7:19" x14ac:dyDescent="0.25">
      <c r="G3383" s="92"/>
      <c r="S3383" s="93"/>
    </row>
    <row r="3384" spans="7:19" x14ac:dyDescent="0.25">
      <c r="G3384" s="92"/>
      <c r="S3384" s="93"/>
    </row>
    <row r="3385" spans="7:19" x14ac:dyDescent="0.25">
      <c r="G3385" s="92"/>
      <c r="S3385" s="93"/>
    </row>
    <row r="3386" spans="7:19" x14ac:dyDescent="0.25">
      <c r="G3386" s="92"/>
      <c r="S3386" s="93"/>
    </row>
    <row r="3387" spans="7:19" x14ac:dyDescent="0.25">
      <c r="G3387" s="92"/>
      <c r="S3387" s="93"/>
    </row>
    <row r="3388" spans="7:19" x14ac:dyDescent="0.25">
      <c r="G3388" s="92"/>
      <c r="S3388" s="93"/>
    </row>
    <row r="3389" spans="7:19" x14ac:dyDescent="0.25">
      <c r="G3389" s="92"/>
      <c r="S3389" s="93"/>
    </row>
    <row r="3390" spans="7:19" x14ac:dyDescent="0.25">
      <c r="G3390" s="92"/>
      <c r="S3390" s="93"/>
    </row>
    <row r="3391" spans="7:19" x14ac:dyDescent="0.25">
      <c r="G3391" s="92"/>
      <c r="S3391" s="93"/>
    </row>
    <row r="3392" spans="7:19" x14ac:dyDescent="0.25">
      <c r="G3392" s="92"/>
      <c r="S3392" s="93"/>
    </row>
    <row r="3393" spans="7:19" x14ac:dyDescent="0.25">
      <c r="G3393" s="92"/>
      <c r="S3393" s="93"/>
    </row>
    <row r="3394" spans="7:19" x14ac:dyDescent="0.25">
      <c r="G3394" s="92"/>
      <c r="S3394" s="93"/>
    </row>
    <row r="3395" spans="7:19" x14ac:dyDescent="0.25">
      <c r="G3395" s="92"/>
      <c r="S3395" s="93"/>
    </row>
    <row r="3396" spans="7:19" x14ac:dyDescent="0.25">
      <c r="G3396" s="92"/>
      <c r="S3396" s="93"/>
    </row>
    <row r="3397" spans="7:19" x14ac:dyDescent="0.25">
      <c r="G3397" s="92"/>
      <c r="S3397" s="93"/>
    </row>
    <row r="3398" spans="7:19" x14ac:dyDescent="0.25">
      <c r="G3398" s="92"/>
      <c r="S3398" s="93"/>
    </row>
    <row r="3399" spans="7:19" x14ac:dyDescent="0.25">
      <c r="G3399" s="92"/>
      <c r="S3399" s="93"/>
    </row>
    <row r="3400" spans="7:19" x14ac:dyDescent="0.25">
      <c r="G3400" s="92"/>
      <c r="S3400" s="93"/>
    </row>
    <row r="3401" spans="7:19" x14ac:dyDescent="0.25">
      <c r="G3401" s="92"/>
      <c r="S3401" s="93"/>
    </row>
    <row r="3402" spans="7:19" x14ac:dyDescent="0.25">
      <c r="G3402" s="92"/>
      <c r="S3402" s="93"/>
    </row>
    <row r="3403" spans="7:19" x14ac:dyDescent="0.25">
      <c r="G3403" s="92"/>
      <c r="S3403" s="93"/>
    </row>
    <row r="3404" spans="7:19" x14ac:dyDescent="0.25">
      <c r="G3404" s="92"/>
      <c r="S3404" s="93"/>
    </row>
    <row r="3405" spans="7:19" x14ac:dyDescent="0.25">
      <c r="G3405" s="92"/>
      <c r="S3405" s="93"/>
    </row>
    <row r="3406" spans="7:19" x14ac:dyDescent="0.25">
      <c r="G3406" s="92"/>
      <c r="S3406" s="93"/>
    </row>
    <row r="3407" spans="7:19" x14ac:dyDescent="0.25">
      <c r="G3407" s="92"/>
      <c r="S3407" s="93"/>
    </row>
    <row r="3408" spans="7:19" x14ac:dyDescent="0.25">
      <c r="G3408" s="92"/>
      <c r="S3408" s="93"/>
    </row>
    <row r="3409" spans="7:19" x14ac:dyDescent="0.25">
      <c r="G3409" s="92"/>
      <c r="S3409" s="93"/>
    </row>
    <row r="3410" spans="7:19" x14ac:dyDescent="0.25">
      <c r="G3410" s="92"/>
      <c r="S3410" s="93"/>
    </row>
    <row r="3411" spans="7:19" x14ac:dyDescent="0.25">
      <c r="G3411" s="92"/>
      <c r="S3411" s="93"/>
    </row>
    <row r="3412" spans="7:19" x14ac:dyDescent="0.25">
      <c r="G3412" s="92"/>
      <c r="S3412" s="93"/>
    </row>
    <row r="3413" spans="7:19" x14ac:dyDescent="0.25">
      <c r="G3413" s="92"/>
      <c r="S3413" s="93"/>
    </row>
    <row r="3414" spans="7:19" x14ac:dyDescent="0.25">
      <c r="G3414" s="92"/>
      <c r="S3414" s="93"/>
    </row>
    <row r="3415" spans="7:19" x14ac:dyDescent="0.25">
      <c r="G3415" s="92"/>
      <c r="S3415" s="93"/>
    </row>
    <row r="3416" spans="7:19" x14ac:dyDescent="0.25">
      <c r="G3416" s="92"/>
      <c r="S3416" s="93"/>
    </row>
    <row r="3417" spans="7:19" x14ac:dyDescent="0.25">
      <c r="G3417" s="92"/>
      <c r="S3417" s="93"/>
    </row>
    <row r="3418" spans="7:19" x14ac:dyDescent="0.25">
      <c r="G3418" s="92"/>
      <c r="S3418" s="93"/>
    </row>
    <row r="3419" spans="7:19" x14ac:dyDescent="0.25">
      <c r="G3419" s="92"/>
      <c r="S3419" s="93"/>
    </row>
    <row r="3420" spans="7:19" x14ac:dyDescent="0.25">
      <c r="G3420" s="92"/>
      <c r="S3420" s="93"/>
    </row>
    <row r="3421" spans="7:19" x14ac:dyDescent="0.25">
      <c r="G3421" s="92"/>
      <c r="S3421" s="93"/>
    </row>
    <row r="3422" spans="7:19" x14ac:dyDescent="0.25">
      <c r="G3422" s="92"/>
      <c r="S3422" s="93"/>
    </row>
    <row r="3423" spans="7:19" x14ac:dyDescent="0.25">
      <c r="G3423" s="92"/>
      <c r="S3423" s="93"/>
    </row>
    <row r="3424" spans="7:19" x14ac:dyDescent="0.25">
      <c r="G3424" s="92"/>
      <c r="S3424" s="93"/>
    </row>
    <row r="3425" spans="7:19" x14ac:dyDescent="0.25">
      <c r="G3425" s="92"/>
      <c r="S3425" s="93"/>
    </row>
    <row r="3426" spans="7:19" x14ac:dyDescent="0.25">
      <c r="G3426" s="92"/>
      <c r="S3426" s="93"/>
    </row>
    <row r="3427" spans="7:19" x14ac:dyDescent="0.25">
      <c r="G3427" s="92"/>
      <c r="S3427" s="93"/>
    </row>
    <row r="3428" spans="7:19" x14ac:dyDescent="0.25">
      <c r="G3428" s="92"/>
      <c r="S3428" s="93"/>
    </row>
    <row r="3429" spans="7:19" x14ac:dyDescent="0.25">
      <c r="G3429" s="92"/>
      <c r="S3429" s="93"/>
    </row>
    <row r="3430" spans="7:19" x14ac:dyDescent="0.25">
      <c r="G3430" s="92"/>
      <c r="S3430" s="93"/>
    </row>
    <row r="3431" spans="7:19" x14ac:dyDescent="0.25">
      <c r="G3431" s="92"/>
      <c r="S3431" s="93"/>
    </row>
    <row r="3432" spans="7:19" x14ac:dyDescent="0.25">
      <c r="G3432" s="92"/>
      <c r="S3432" s="93"/>
    </row>
    <row r="3433" spans="7:19" x14ac:dyDescent="0.25">
      <c r="G3433" s="92"/>
      <c r="S3433" s="93"/>
    </row>
    <row r="3434" spans="7:19" x14ac:dyDescent="0.25">
      <c r="G3434" s="92"/>
      <c r="S3434" s="93"/>
    </row>
    <row r="3435" spans="7:19" x14ac:dyDescent="0.25">
      <c r="G3435" s="92"/>
      <c r="S3435" s="93"/>
    </row>
    <row r="3436" spans="7:19" x14ac:dyDescent="0.25">
      <c r="G3436" s="92"/>
      <c r="S3436" s="93"/>
    </row>
    <row r="3437" spans="7:19" x14ac:dyDescent="0.25">
      <c r="G3437" s="92"/>
      <c r="S3437" s="93"/>
    </row>
    <row r="3438" spans="7:19" x14ac:dyDescent="0.25">
      <c r="G3438" s="92"/>
      <c r="S3438" s="93"/>
    </row>
    <row r="3439" spans="7:19" x14ac:dyDescent="0.25">
      <c r="G3439" s="92"/>
      <c r="S3439" s="93"/>
    </row>
    <row r="3440" spans="7:19" x14ac:dyDescent="0.25">
      <c r="G3440" s="92"/>
      <c r="S3440" s="93"/>
    </row>
    <row r="3441" spans="7:19" x14ac:dyDescent="0.25">
      <c r="G3441" s="92"/>
      <c r="S3441" s="93"/>
    </row>
    <row r="3442" spans="7:19" x14ac:dyDescent="0.25">
      <c r="G3442" s="92"/>
      <c r="S3442" s="93"/>
    </row>
    <row r="3443" spans="7:19" x14ac:dyDescent="0.25">
      <c r="G3443" s="92"/>
      <c r="S3443" s="93"/>
    </row>
    <row r="3444" spans="7:19" x14ac:dyDescent="0.25">
      <c r="G3444" s="92"/>
      <c r="S3444" s="93"/>
    </row>
    <row r="3445" spans="7:19" x14ac:dyDescent="0.25">
      <c r="G3445" s="92"/>
      <c r="S3445" s="93"/>
    </row>
    <row r="3446" spans="7:19" x14ac:dyDescent="0.25">
      <c r="G3446" s="92"/>
      <c r="S3446" s="93"/>
    </row>
    <row r="3447" spans="7:19" x14ac:dyDescent="0.25">
      <c r="G3447" s="92"/>
      <c r="S3447" s="93"/>
    </row>
    <row r="3448" spans="7:19" x14ac:dyDescent="0.25">
      <c r="G3448" s="92"/>
      <c r="S3448" s="93"/>
    </row>
    <row r="3449" spans="7:19" x14ac:dyDescent="0.25">
      <c r="G3449" s="92"/>
      <c r="S3449" s="93"/>
    </row>
    <row r="3450" spans="7:19" x14ac:dyDescent="0.25">
      <c r="G3450" s="92"/>
      <c r="S3450" s="93"/>
    </row>
    <row r="3451" spans="7:19" x14ac:dyDescent="0.25">
      <c r="G3451" s="92"/>
      <c r="S3451" s="93"/>
    </row>
    <row r="3452" spans="7:19" x14ac:dyDescent="0.25">
      <c r="G3452" s="92"/>
      <c r="S3452" s="93"/>
    </row>
    <row r="3453" spans="7:19" x14ac:dyDescent="0.25">
      <c r="G3453" s="92"/>
      <c r="S3453" s="93"/>
    </row>
    <row r="3454" spans="7:19" x14ac:dyDescent="0.25">
      <c r="G3454" s="92"/>
      <c r="S3454" s="93"/>
    </row>
    <row r="3455" spans="7:19" x14ac:dyDescent="0.25">
      <c r="G3455" s="92"/>
      <c r="S3455" s="93"/>
    </row>
    <row r="3456" spans="7:19" x14ac:dyDescent="0.25">
      <c r="G3456" s="92"/>
      <c r="S3456" s="93"/>
    </row>
    <row r="3457" spans="7:19" x14ac:dyDescent="0.25">
      <c r="G3457" s="92"/>
      <c r="S3457" s="93"/>
    </row>
    <row r="3458" spans="7:19" x14ac:dyDescent="0.25">
      <c r="G3458" s="92"/>
      <c r="S3458" s="93"/>
    </row>
    <row r="3459" spans="7:19" x14ac:dyDescent="0.25">
      <c r="G3459" s="92"/>
      <c r="S3459" s="93"/>
    </row>
    <row r="3460" spans="7:19" x14ac:dyDescent="0.25">
      <c r="G3460" s="92"/>
      <c r="S3460" s="93"/>
    </row>
    <row r="3461" spans="7:19" x14ac:dyDescent="0.25">
      <c r="G3461" s="92"/>
      <c r="S3461" s="93"/>
    </row>
    <row r="3462" spans="7:19" x14ac:dyDescent="0.25">
      <c r="G3462" s="92"/>
      <c r="S3462" s="93"/>
    </row>
    <row r="3463" spans="7:19" x14ac:dyDescent="0.25">
      <c r="G3463" s="92"/>
      <c r="S3463" s="93"/>
    </row>
    <row r="3464" spans="7:19" x14ac:dyDescent="0.25">
      <c r="G3464" s="92"/>
      <c r="S3464" s="93"/>
    </row>
    <row r="3465" spans="7:19" x14ac:dyDescent="0.25">
      <c r="G3465" s="92"/>
      <c r="S3465" s="93"/>
    </row>
    <row r="3466" spans="7:19" x14ac:dyDescent="0.25">
      <c r="G3466" s="92"/>
      <c r="S3466" s="93"/>
    </row>
    <row r="3467" spans="7:19" x14ac:dyDescent="0.25">
      <c r="G3467" s="92"/>
      <c r="S3467" s="93"/>
    </row>
    <row r="3468" spans="7:19" x14ac:dyDescent="0.25">
      <c r="G3468" s="92"/>
      <c r="S3468" s="93"/>
    </row>
    <row r="3469" spans="7:19" x14ac:dyDescent="0.25">
      <c r="G3469" s="92"/>
      <c r="S3469" s="93"/>
    </row>
    <row r="3470" spans="7:19" x14ac:dyDescent="0.25">
      <c r="G3470" s="92"/>
      <c r="S3470" s="93"/>
    </row>
    <row r="3471" spans="7:19" x14ac:dyDescent="0.25">
      <c r="G3471" s="92"/>
      <c r="S3471" s="93"/>
    </row>
    <row r="3472" spans="7:19" x14ac:dyDescent="0.25">
      <c r="G3472" s="92"/>
      <c r="S3472" s="93"/>
    </row>
    <row r="3473" spans="7:19" x14ac:dyDescent="0.25">
      <c r="G3473" s="92"/>
      <c r="S3473" s="93"/>
    </row>
    <row r="3474" spans="7:19" x14ac:dyDescent="0.25">
      <c r="G3474" s="92"/>
      <c r="S3474" s="93"/>
    </row>
    <row r="3475" spans="7:19" x14ac:dyDescent="0.25">
      <c r="G3475" s="92"/>
      <c r="S3475" s="93"/>
    </row>
    <row r="3476" spans="7:19" x14ac:dyDescent="0.25">
      <c r="G3476" s="92"/>
      <c r="S3476" s="93"/>
    </row>
    <row r="3477" spans="7:19" x14ac:dyDescent="0.25">
      <c r="G3477" s="92"/>
      <c r="S3477" s="93"/>
    </row>
    <row r="3478" spans="7:19" x14ac:dyDescent="0.25">
      <c r="G3478" s="92"/>
      <c r="S3478" s="93"/>
    </row>
    <row r="3479" spans="7:19" x14ac:dyDescent="0.25">
      <c r="G3479" s="92"/>
      <c r="S3479" s="93"/>
    </row>
    <row r="3480" spans="7:19" x14ac:dyDescent="0.25">
      <c r="G3480" s="92"/>
      <c r="S3480" s="93"/>
    </row>
    <row r="3481" spans="7:19" x14ac:dyDescent="0.25">
      <c r="G3481" s="92"/>
      <c r="S3481" s="93"/>
    </row>
    <row r="3482" spans="7:19" x14ac:dyDescent="0.25">
      <c r="G3482" s="92"/>
      <c r="S3482" s="93"/>
    </row>
    <row r="3483" spans="7:19" x14ac:dyDescent="0.25">
      <c r="G3483" s="92"/>
      <c r="S3483" s="93"/>
    </row>
    <row r="3484" spans="7:19" x14ac:dyDescent="0.25">
      <c r="G3484" s="92"/>
      <c r="S3484" s="93"/>
    </row>
    <row r="3485" spans="7:19" x14ac:dyDescent="0.25">
      <c r="G3485" s="92"/>
      <c r="S3485" s="93"/>
    </row>
    <row r="3486" spans="7:19" x14ac:dyDescent="0.25">
      <c r="G3486" s="92"/>
      <c r="S3486" s="93"/>
    </row>
    <row r="3487" spans="7:19" x14ac:dyDescent="0.25">
      <c r="G3487" s="92"/>
      <c r="S3487" s="93"/>
    </row>
    <row r="3488" spans="7:19" x14ac:dyDescent="0.25">
      <c r="G3488" s="92"/>
      <c r="S3488" s="93"/>
    </row>
    <row r="3489" spans="7:19" x14ac:dyDescent="0.25">
      <c r="G3489" s="92"/>
      <c r="S3489" s="93"/>
    </row>
    <row r="3490" spans="7:19" x14ac:dyDescent="0.25">
      <c r="G3490" s="92"/>
      <c r="S3490" s="93"/>
    </row>
    <row r="3491" spans="7:19" x14ac:dyDescent="0.25">
      <c r="G3491" s="92"/>
      <c r="S3491" s="93"/>
    </row>
    <row r="3492" spans="7:19" x14ac:dyDescent="0.25">
      <c r="G3492" s="92"/>
      <c r="S3492" s="93"/>
    </row>
    <row r="3493" spans="7:19" x14ac:dyDescent="0.25">
      <c r="G3493" s="92"/>
      <c r="S3493" s="93"/>
    </row>
    <row r="3494" spans="7:19" x14ac:dyDescent="0.25">
      <c r="G3494" s="92"/>
      <c r="S3494" s="93"/>
    </row>
    <row r="3495" spans="7:19" x14ac:dyDescent="0.25">
      <c r="G3495" s="92"/>
      <c r="S3495" s="93"/>
    </row>
    <row r="3496" spans="7:19" x14ac:dyDescent="0.25">
      <c r="G3496" s="92"/>
      <c r="S3496" s="93"/>
    </row>
    <row r="3497" spans="7:19" x14ac:dyDescent="0.25">
      <c r="G3497" s="92"/>
      <c r="S3497" s="93"/>
    </row>
    <row r="3498" spans="7:19" x14ac:dyDescent="0.25">
      <c r="G3498" s="92"/>
      <c r="S3498" s="93"/>
    </row>
    <row r="3499" spans="7:19" x14ac:dyDescent="0.25">
      <c r="G3499" s="92"/>
      <c r="S3499" s="93"/>
    </row>
    <row r="3500" spans="7:19" x14ac:dyDescent="0.25">
      <c r="G3500" s="92"/>
      <c r="S3500" s="93"/>
    </row>
    <row r="3501" spans="7:19" x14ac:dyDescent="0.25">
      <c r="G3501" s="92"/>
      <c r="S3501" s="93"/>
    </row>
    <row r="3502" spans="7:19" x14ac:dyDescent="0.25">
      <c r="G3502" s="92"/>
      <c r="S3502" s="93"/>
    </row>
    <row r="3503" spans="7:19" x14ac:dyDescent="0.25">
      <c r="G3503" s="92"/>
      <c r="S3503" s="93"/>
    </row>
    <row r="3504" spans="7:19" x14ac:dyDescent="0.25">
      <c r="G3504" s="92"/>
      <c r="S3504" s="93"/>
    </row>
    <row r="3505" spans="7:19" x14ac:dyDescent="0.25">
      <c r="G3505" s="92"/>
      <c r="S3505" s="93"/>
    </row>
    <row r="3506" spans="7:19" x14ac:dyDescent="0.25">
      <c r="G3506" s="92"/>
      <c r="S3506" s="93"/>
    </row>
    <row r="3507" spans="7:19" x14ac:dyDescent="0.25">
      <c r="G3507" s="92"/>
      <c r="S3507" s="93"/>
    </row>
    <row r="3508" spans="7:19" x14ac:dyDescent="0.25">
      <c r="G3508" s="92"/>
      <c r="S3508" s="93"/>
    </row>
    <row r="3509" spans="7:19" x14ac:dyDescent="0.25">
      <c r="G3509" s="92"/>
      <c r="S3509" s="93"/>
    </row>
    <row r="3510" spans="7:19" x14ac:dyDescent="0.25">
      <c r="G3510" s="92"/>
      <c r="S3510" s="93"/>
    </row>
    <row r="3511" spans="7:19" x14ac:dyDescent="0.25">
      <c r="G3511" s="92"/>
      <c r="S3511" s="93"/>
    </row>
    <row r="3512" spans="7:19" x14ac:dyDescent="0.25">
      <c r="G3512" s="92"/>
      <c r="S3512" s="93"/>
    </row>
    <row r="3513" spans="7:19" x14ac:dyDescent="0.25">
      <c r="G3513" s="92"/>
      <c r="S3513" s="93"/>
    </row>
    <row r="3514" spans="7:19" x14ac:dyDescent="0.25">
      <c r="G3514" s="92"/>
      <c r="S3514" s="93"/>
    </row>
    <row r="3515" spans="7:19" x14ac:dyDescent="0.25">
      <c r="G3515" s="92"/>
      <c r="S3515" s="93"/>
    </row>
    <row r="3516" spans="7:19" x14ac:dyDescent="0.25">
      <c r="G3516" s="92"/>
      <c r="S3516" s="93"/>
    </row>
    <row r="3517" spans="7:19" x14ac:dyDescent="0.25">
      <c r="G3517" s="92"/>
      <c r="S3517" s="93"/>
    </row>
    <row r="3518" spans="7:19" x14ac:dyDescent="0.25">
      <c r="G3518" s="92"/>
      <c r="S3518" s="93"/>
    </row>
    <row r="3519" spans="7:19" x14ac:dyDescent="0.25">
      <c r="G3519" s="92"/>
      <c r="S3519" s="93"/>
    </row>
    <row r="3520" spans="7:19" x14ac:dyDescent="0.25">
      <c r="G3520" s="92"/>
      <c r="S3520" s="93"/>
    </row>
    <row r="3521" spans="7:19" x14ac:dyDescent="0.25">
      <c r="G3521" s="92"/>
      <c r="S3521" s="93"/>
    </row>
    <row r="3522" spans="7:19" x14ac:dyDescent="0.25">
      <c r="G3522" s="92"/>
      <c r="S3522" s="93"/>
    </row>
    <row r="3523" spans="7:19" x14ac:dyDescent="0.25">
      <c r="G3523" s="92"/>
      <c r="S3523" s="93"/>
    </row>
    <row r="3524" spans="7:19" x14ac:dyDescent="0.25">
      <c r="G3524" s="92"/>
      <c r="S3524" s="93"/>
    </row>
    <row r="3525" spans="7:19" x14ac:dyDescent="0.25">
      <c r="G3525" s="92"/>
      <c r="S3525" s="93"/>
    </row>
    <row r="3526" spans="7:19" x14ac:dyDescent="0.25">
      <c r="G3526" s="92"/>
      <c r="S3526" s="93"/>
    </row>
    <row r="3527" spans="7:19" x14ac:dyDescent="0.25">
      <c r="G3527" s="92"/>
      <c r="S3527" s="93"/>
    </row>
    <row r="3528" spans="7:19" x14ac:dyDescent="0.25">
      <c r="G3528" s="92"/>
      <c r="S3528" s="93"/>
    </row>
    <row r="3529" spans="7:19" x14ac:dyDescent="0.25">
      <c r="G3529" s="92"/>
      <c r="S3529" s="93"/>
    </row>
    <row r="3530" spans="7:19" x14ac:dyDescent="0.25">
      <c r="G3530" s="92"/>
      <c r="S3530" s="93"/>
    </row>
    <row r="3531" spans="7:19" x14ac:dyDescent="0.25">
      <c r="G3531" s="92"/>
      <c r="S3531" s="93"/>
    </row>
    <row r="3532" spans="7:19" x14ac:dyDescent="0.25">
      <c r="G3532" s="92"/>
      <c r="S3532" s="93"/>
    </row>
    <row r="3533" spans="7:19" x14ac:dyDescent="0.25">
      <c r="G3533" s="92"/>
      <c r="S3533" s="93"/>
    </row>
    <row r="3534" spans="7:19" x14ac:dyDescent="0.25">
      <c r="G3534" s="92"/>
      <c r="S3534" s="93"/>
    </row>
    <row r="3535" spans="7:19" x14ac:dyDescent="0.25">
      <c r="G3535" s="92"/>
      <c r="S3535" s="93"/>
    </row>
    <row r="3536" spans="7:19" x14ac:dyDescent="0.25">
      <c r="G3536" s="92"/>
      <c r="S3536" s="93"/>
    </row>
    <row r="3537" spans="7:19" x14ac:dyDescent="0.25">
      <c r="G3537" s="92"/>
      <c r="S3537" s="93"/>
    </row>
    <row r="3538" spans="7:19" x14ac:dyDescent="0.25">
      <c r="G3538" s="92"/>
      <c r="S3538" s="93"/>
    </row>
    <row r="3539" spans="7:19" x14ac:dyDescent="0.25">
      <c r="G3539" s="92"/>
      <c r="S3539" s="93"/>
    </row>
    <row r="3540" spans="7:19" x14ac:dyDescent="0.25">
      <c r="G3540" s="92"/>
      <c r="S3540" s="93"/>
    </row>
    <row r="3541" spans="7:19" x14ac:dyDescent="0.25">
      <c r="G3541" s="92"/>
      <c r="S3541" s="93"/>
    </row>
    <row r="3542" spans="7:19" x14ac:dyDescent="0.25">
      <c r="G3542" s="92"/>
      <c r="S3542" s="93"/>
    </row>
    <row r="3543" spans="7:19" x14ac:dyDescent="0.25">
      <c r="G3543" s="92"/>
      <c r="S3543" s="93"/>
    </row>
    <row r="3544" spans="7:19" x14ac:dyDescent="0.25">
      <c r="G3544" s="92"/>
      <c r="S3544" s="93"/>
    </row>
    <row r="3545" spans="7:19" x14ac:dyDescent="0.25">
      <c r="G3545" s="92"/>
      <c r="S3545" s="93"/>
    </row>
    <row r="3546" spans="7:19" x14ac:dyDescent="0.25">
      <c r="G3546" s="92"/>
      <c r="S3546" s="93"/>
    </row>
    <row r="3547" spans="7:19" x14ac:dyDescent="0.25">
      <c r="G3547" s="92"/>
      <c r="S3547" s="93"/>
    </row>
    <row r="3548" spans="7:19" x14ac:dyDescent="0.25">
      <c r="G3548" s="92"/>
      <c r="S3548" s="93"/>
    </row>
    <row r="3549" spans="7:19" x14ac:dyDescent="0.25">
      <c r="G3549" s="92"/>
      <c r="S3549" s="93"/>
    </row>
    <row r="3550" spans="7:19" x14ac:dyDescent="0.25">
      <c r="G3550" s="92"/>
      <c r="S3550" s="93"/>
    </row>
    <row r="3551" spans="7:19" x14ac:dyDescent="0.25">
      <c r="G3551" s="92"/>
      <c r="S3551" s="93"/>
    </row>
    <row r="3552" spans="7:19" x14ac:dyDescent="0.25">
      <c r="G3552" s="92"/>
      <c r="S3552" s="93"/>
    </row>
    <row r="3553" spans="7:19" x14ac:dyDescent="0.25">
      <c r="G3553" s="92"/>
      <c r="S3553" s="93"/>
    </row>
    <row r="3554" spans="7:19" x14ac:dyDescent="0.25">
      <c r="G3554" s="92"/>
      <c r="S3554" s="93"/>
    </row>
    <row r="3555" spans="7:19" x14ac:dyDescent="0.25">
      <c r="G3555" s="92"/>
      <c r="S3555" s="93"/>
    </row>
    <row r="3556" spans="7:19" x14ac:dyDescent="0.25">
      <c r="G3556" s="92"/>
      <c r="S3556" s="93"/>
    </row>
    <row r="3557" spans="7:19" x14ac:dyDescent="0.25">
      <c r="G3557" s="92"/>
      <c r="S3557" s="93"/>
    </row>
    <row r="3558" spans="7:19" x14ac:dyDescent="0.25">
      <c r="G3558" s="92"/>
      <c r="S3558" s="93"/>
    </row>
    <row r="3559" spans="7:19" x14ac:dyDescent="0.25">
      <c r="G3559" s="92"/>
      <c r="S3559" s="93"/>
    </row>
    <row r="3560" spans="7:19" x14ac:dyDescent="0.25">
      <c r="G3560" s="92"/>
      <c r="S3560" s="93"/>
    </row>
    <row r="3561" spans="7:19" x14ac:dyDescent="0.25">
      <c r="G3561" s="92"/>
      <c r="S3561" s="93"/>
    </row>
    <row r="3562" spans="7:19" x14ac:dyDescent="0.25">
      <c r="G3562" s="92"/>
      <c r="S3562" s="93"/>
    </row>
    <row r="3563" spans="7:19" x14ac:dyDescent="0.25">
      <c r="G3563" s="92"/>
      <c r="S3563" s="93"/>
    </row>
    <row r="3564" spans="7:19" x14ac:dyDescent="0.25">
      <c r="G3564" s="92"/>
      <c r="S3564" s="93"/>
    </row>
    <row r="3565" spans="7:19" x14ac:dyDescent="0.25">
      <c r="G3565" s="92"/>
      <c r="S3565" s="93"/>
    </row>
    <row r="3566" spans="7:19" x14ac:dyDescent="0.25">
      <c r="G3566" s="92"/>
      <c r="S3566" s="93"/>
    </row>
    <row r="3567" spans="7:19" x14ac:dyDescent="0.25">
      <c r="G3567" s="92"/>
      <c r="S3567" s="93"/>
    </row>
    <row r="3568" spans="7:19" x14ac:dyDescent="0.25">
      <c r="G3568" s="92"/>
      <c r="S3568" s="93"/>
    </row>
    <row r="3569" spans="7:19" x14ac:dyDescent="0.25">
      <c r="G3569" s="92"/>
      <c r="S3569" s="93"/>
    </row>
    <row r="3570" spans="7:19" x14ac:dyDescent="0.25">
      <c r="G3570" s="92"/>
      <c r="S3570" s="93"/>
    </row>
    <row r="3571" spans="7:19" x14ac:dyDescent="0.25">
      <c r="G3571" s="92"/>
      <c r="S3571" s="93"/>
    </row>
    <row r="3572" spans="7:19" x14ac:dyDescent="0.25">
      <c r="G3572" s="92"/>
      <c r="S3572" s="93"/>
    </row>
    <row r="3573" spans="7:19" x14ac:dyDescent="0.25">
      <c r="G3573" s="92"/>
      <c r="S3573" s="93"/>
    </row>
    <row r="3574" spans="7:19" x14ac:dyDescent="0.25">
      <c r="G3574" s="92"/>
      <c r="S3574" s="93"/>
    </row>
    <row r="3575" spans="7:19" x14ac:dyDescent="0.25">
      <c r="G3575" s="92"/>
      <c r="S3575" s="93"/>
    </row>
    <row r="3576" spans="7:19" x14ac:dyDescent="0.25">
      <c r="G3576" s="92"/>
      <c r="S3576" s="93"/>
    </row>
    <row r="3577" spans="7:19" x14ac:dyDescent="0.25">
      <c r="G3577" s="92"/>
      <c r="S3577" s="93"/>
    </row>
    <row r="3578" spans="7:19" x14ac:dyDescent="0.25">
      <c r="G3578" s="92"/>
      <c r="S3578" s="93"/>
    </row>
    <row r="3579" spans="7:19" x14ac:dyDescent="0.25">
      <c r="G3579" s="92"/>
      <c r="S3579" s="93"/>
    </row>
    <row r="3580" spans="7:19" x14ac:dyDescent="0.25">
      <c r="G3580" s="92"/>
      <c r="S3580" s="93"/>
    </row>
    <row r="3581" spans="7:19" x14ac:dyDescent="0.25">
      <c r="G3581" s="92"/>
      <c r="S3581" s="93"/>
    </row>
    <row r="3582" spans="7:19" x14ac:dyDescent="0.25">
      <c r="G3582" s="92"/>
      <c r="S3582" s="93"/>
    </row>
    <row r="3583" spans="7:19" x14ac:dyDescent="0.25">
      <c r="G3583" s="92"/>
      <c r="S3583" s="93"/>
    </row>
    <row r="3584" spans="7:19" x14ac:dyDescent="0.25">
      <c r="G3584" s="92"/>
      <c r="S3584" s="93"/>
    </row>
    <row r="3585" spans="7:19" x14ac:dyDescent="0.25">
      <c r="G3585" s="92"/>
      <c r="S3585" s="93"/>
    </row>
    <row r="3586" spans="7:19" x14ac:dyDescent="0.25">
      <c r="G3586" s="92"/>
      <c r="S3586" s="93"/>
    </row>
    <row r="3587" spans="7:19" x14ac:dyDescent="0.25">
      <c r="G3587" s="92"/>
      <c r="S3587" s="93"/>
    </row>
    <row r="3588" spans="7:19" x14ac:dyDescent="0.25">
      <c r="G3588" s="92"/>
      <c r="S3588" s="93"/>
    </row>
    <row r="3589" spans="7:19" x14ac:dyDescent="0.25">
      <c r="G3589" s="92"/>
      <c r="S3589" s="93"/>
    </row>
    <row r="3590" spans="7:19" x14ac:dyDescent="0.25">
      <c r="G3590" s="92"/>
      <c r="S3590" s="93"/>
    </row>
    <row r="3591" spans="7:19" x14ac:dyDescent="0.25">
      <c r="G3591" s="92"/>
      <c r="S3591" s="93"/>
    </row>
    <row r="3592" spans="7:19" x14ac:dyDescent="0.25">
      <c r="G3592" s="92"/>
      <c r="S3592" s="93"/>
    </row>
    <row r="3593" spans="7:19" x14ac:dyDescent="0.25">
      <c r="G3593" s="92"/>
      <c r="S3593" s="93"/>
    </row>
    <row r="3594" spans="7:19" x14ac:dyDescent="0.25">
      <c r="G3594" s="92"/>
      <c r="S3594" s="93"/>
    </row>
    <row r="3595" spans="7:19" x14ac:dyDescent="0.25">
      <c r="G3595" s="92"/>
      <c r="S3595" s="93"/>
    </row>
    <row r="3596" spans="7:19" x14ac:dyDescent="0.25">
      <c r="G3596" s="92"/>
      <c r="S3596" s="93"/>
    </row>
    <row r="3597" spans="7:19" x14ac:dyDescent="0.25">
      <c r="G3597" s="92"/>
      <c r="S3597" s="93"/>
    </row>
    <row r="3598" spans="7:19" x14ac:dyDescent="0.25">
      <c r="G3598" s="92"/>
      <c r="S3598" s="93"/>
    </row>
    <row r="3599" spans="7:19" x14ac:dyDescent="0.25">
      <c r="G3599" s="92"/>
      <c r="S3599" s="93"/>
    </row>
    <row r="3600" spans="7:19" x14ac:dyDescent="0.25">
      <c r="G3600" s="92"/>
      <c r="S3600" s="93"/>
    </row>
    <row r="3601" spans="7:19" x14ac:dyDescent="0.25">
      <c r="G3601" s="92"/>
      <c r="S3601" s="93"/>
    </row>
    <row r="3602" spans="7:19" x14ac:dyDescent="0.25">
      <c r="G3602" s="92"/>
      <c r="S3602" s="93"/>
    </row>
    <row r="3603" spans="7:19" x14ac:dyDescent="0.25">
      <c r="G3603" s="92"/>
      <c r="S3603" s="93"/>
    </row>
    <row r="3604" spans="7:19" x14ac:dyDescent="0.25">
      <c r="G3604" s="92"/>
      <c r="S3604" s="93"/>
    </row>
    <row r="3605" spans="7:19" x14ac:dyDescent="0.25">
      <c r="G3605" s="92"/>
      <c r="S3605" s="93"/>
    </row>
    <row r="3606" spans="7:19" x14ac:dyDescent="0.25">
      <c r="G3606" s="92"/>
      <c r="S3606" s="93"/>
    </row>
    <row r="3607" spans="7:19" x14ac:dyDescent="0.25">
      <c r="G3607" s="92"/>
      <c r="S3607" s="93"/>
    </row>
    <row r="3608" spans="7:19" x14ac:dyDescent="0.25">
      <c r="G3608" s="92"/>
      <c r="S3608" s="93"/>
    </row>
    <row r="3609" spans="7:19" x14ac:dyDescent="0.25">
      <c r="G3609" s="92"/>
      <c r="S3609" s="93"/>
    </row>
    <row r="3610" spans="7:19" x14ac:dyDescent="0.25">
      <c r="G3610" s="92"/>
      <c r="S3610" s="93"/>
    </row>
    <row r="3611" spans="7:19" x14ac:dyDescent="0.25">
      <c r="G3611" s="92"/>
      <c r="S3611" s="93"/>
    </row>
    <row r="3612" spans="7:19" x14ac:dyDescent="0.25">
      <c r="G3612" s="92"/>
      <c r="S3612" s="93"/>
    </row>
    <row r="3613" spans="7:19" x14ac:dyDescent="0.25">
      <c r="G3613" s="92"/>
      <c r="S3613" s="93"/>
    </row>
    <row r="3614" spans="7:19" x14ac:dyDescent="0.25">
      <c r="G3614" s="92"/>
      <c r="S3614" s="93"/>
    </row>
    <row r="3615" spans="7:19" x14ac:dyDescent="0.25">
      <c r="G3615" s="92"/>
      <c r="S3615" s="93"/>
    </row>
    <row r="3616" spans="7:19" x14ac:dyDescent="0.25">
      <c r="G3616" s="92"/>
      <c r="S3616" s="93"/>
    </row>
    <row r="3617" spans="7:19" x14ac:dyDescent="0.25">
      <c r="G3617" s="92"/>
      <c r="S3617" s="93"/>
    </row>
    <row r="3618" spans="7:19" x14ac:dyDescent="0.25">
      <c r="G3618" s="92"/>
      <c r="S3618" s="93"/>
    </row>
    <row r="3619" spans="7:19" x14ac:dyDescent="0.25">
      <c r="G3619" s="92"/>
      <c r="S3619" s="93"/>
    </row>
    <row r="3620" spans="7:19" x14ac:dyDescent="0.25">
      <c r="G3620" s="92"/>
      <c r="S3620" s="93"/>
    </row>
    <row r="3621" spans="7:19" x14ac:dyDescent="0.25">
      <c r="G3621" s="92"/>
      <c r="S3621" s="93"/>
    </row>
    <row r="3622" spans="7:19" x14ac:dyDescent="0.25">
      <c r="G3622" s="92"/>
      <c r="S3622" s="93"/>
    </row>
    <row r="3623" spans="7:19" x14ac:dyDescent="0.25">
      <c r="G3623" s="92"/>
      <c r="S3623" s="93"/>
    </row>
    <row r="3624" spans="7:19" x14ac:dyDescent="0.25">
      <c r="G3624" s="92"/>
      <c r="S3624" s="93"/>
    </row>
    <row r="3625" spans="7:19" x14ac:dyDescent="0.25">
      <c r="G3625" s="92"/>
      <c r="S3625" s="93"/>
    </row>
    <row r="3626" spans="7:19" x14ac:dyDescent="0.25">
      <c r="G3626" s="92"/>
      <c r="S3626" s="93"/>
    </row>
    <row r="3627" spans="7:19" x14ac:dyDescent="0.25">
      <c r="G3627" s="92"/>
      <c r="S3627" s="93"/>
    </row>
    <row r="3628" spans="7:19" x14ac:dyDescent="0.25">
      <c r="G3628" s="92"/>
      <c r="S3628" s="93"/>
    </row>
    <row r="3629" spans="7:19" x14ac:dyDescent="0.25">
      <c r="G3629" s="92"/>
      <c r="S3629" s="93"/>
    </row>
    <row r="3630" spans="7:19" x14ac:dyDescent="0.25">
      <c r="G3630" s="92"/>
      <c r="S3630" s="93"/>
    </row>
    <row r="3631" spans="7:19" x14ac:dyDescent="0.25">
      <c r="G3631" s="92"/>
      <c r="S3631" s="93"/>
    </row>
    <row r="3632" spans="7:19" x14ac:dyDescent="0.25">
      <c r="G3632" s="92"/>
      <c r="S3632" s="93"/>
    </row>
    <row r="3633" spans="7:19" x14ac:dyDescent="0.25">
      <c r="G3633" s="92"/>
      <c r="S3633" s="93"/>
    </row>
    <row r="3634" spans="7:19" x14ac:dyDescent="0.25">
      <c r="G3634" s="92"/>
      <c r="S3634" s="93"/>
    </row>
    <row r="3635" spans="7:19" x14ac:dyDescent="0.25">
      <c r="G3635" s="92"/>
      <c r="S3635" s="93"/>
    </row>
    <row r="3636" spans="7:19" x14ac:dyDescent="0.25">
      <c r="G3636" s="92"/>
      <c r="S3636" s="93"/>
    </row>
    <row r="3637" spans="7:19" x14ac:dyDescent="0.25">
      <c r="G3637" s="92"/>
      <c r="S3637" s="93"/>
    </row>
    <row r="3638" spans="7:19" x14ac:dyDescent="0.25">
      <c r="G3638" s="92"/>
      <c r="S3638" s="93"/>
    </row>
    <row r="3639" spans="7:19" x14ac:dyDescent="0.25">
      <c r="G3639" s="92"/>
      <c r="S3639" s="93"/>
    </row>
    <row r="3640" spans="7:19" x14ac:dyDescent="0.25">
      <c r="G3640" s="92"/>
      <c r="S3640" s="93"/>
    </row>
    <row r="3641" spans="7:19" x14ac:dyDescent="0.25">
      <c r="G3641" s="92"/>
      <c r="S3641" s="93"/>
    </row>
    <row r="3642" spans="7:19" x14ac:dyDescent="0.25">
      <c r="G3642" s="92"/>
      <c r="S3642" s="93"/>
    </row>
    <row r="3643" spans="7:19" x14ac:dyDescent="0.25">
      <c r="G3643" s="92"/>
      <c r="S3643" s="93"/>
    </row>
    <row r="3644" spans="7:19" x14ac:dyDescent="0.25">
      <c r="G3644" s="92"/>
      <c r="S3644" s="93"/>
    </row>
    <row r="3645" spans="7:19" x14ac:dyDescent="0.25">
      <c r="G3645" s="92"/>
      <c r="S3645" s="93"/>
    </row>
    <row r="3646" spans="7:19" x14ac:dyDescent="0.25">
      <c r="G3646" s="92"/>
      <c r="S3646" s="93"/>
    </row>
    <row r="3647" spans="7:19" x14ac:dyDescent="0.25">
      <c r="G3647" s="92"/>
      <c r="S3647" s="93"/>
    </row>
    <row r="3648" spans="7:19" x14ac:dyDescent="0.25">
      <c r="G3648" s="92"/>
      <c r="S3648" s="93"/>
    </row>
    <row r="3649" spans="7:19" x14ac:dyDescent="0.25">
      <c r="G3649" s="92"/>
      <c r="S3649" s="93"/>
    </row>
    <row r="3650" spans="7:19" x14ac:dyDescent="0.25">
      <c r="G3650" s="92"/>
      <c r="S3650" s="93"/>
    </row>
    <row r="3651" spans="7:19" x14ac:dyDescent="0.25">
      <c r="G3651" s="92"/>
      <c r="S3651" s="93"/>
    </row>
    <row r="3652" spans="7:19" x14ac:dyDescent="0.25">
      <c r="G3652" s="92"/>
      <c r="S3652" s="93"/>
    </row>
    <row r="3653" spans="7:19" x14ac:dyDescent="0.25">
      <c r="G3653" s="92"/>
      <c r="S3653" s="93"/>
    </row>
    <row r="3654" spans="7:19" x14ac:dyDescent="0.25">
      <c r="G3654" s="92"/>
      <c r="S3654" s="93"/>
    </row>
    <row r="3655" spans="7:19" x14ac:dyDescent="0.25">
      <c r="G3655" s="92"/>
      <c r="S3655" s="93"/>
    </row>
    <row r="3656" spans="7:19" x14ac:dyDescent="0.25">
      <c r="G3656" s="92"/>
      <c r="S3656" s="93"/>
    </row>
    <row r="3657" spans="7:19" x14ac:dyDescent="0.25">
      <c r="G3657" s="92"/>
      <c r="S3657" s="93"/>
    </row>
    <row r="3658" spans="7:19" x14ac:dyDescent="0.25">
      <c r="G3658" s="92"/>
      <c r="S3658" s="93"/>
    </row>
    <row r="3659" spans="7:19" x14ac:dyDescent="0.25">
      <c r="G3659" s="92"/>
      <c r="S3659" s="93"/>
    </row>
    <row r="3660" spans="7:19" x14ac:dyDescent="0.25">
      <c r="G3660" s="92"/>
      <c r="S3660" s="93"/>
    </row>
    <row r="3661" spans="7:19" x14ac:dyDescent="0.25">
      <c r="G3661" s="92"/>
      <c r="S3661" s="93"/>
    </row>
    <row r="3662" spans="7:19" x14ac:dyDescent="0.25">
      <c r="G3662" s="92"/>
      <c r="S3662" s="93"/>
    </row>
    <row r="3663" spans="7:19" x14ac:dyDescent="0.25">
      <c r="G3663" s="92"/>
      <c r="S3663" s="93"/>
    </row>
    <row r="3664" spans="7:19" x14ac:dyDescent="0.25">
      <c r="G3664" s="92"/>
      <c r="S3664" s="93"/>
    </row>
    <row r="3665" spans="7:19" x14ac:dyDescent="0.25">
      <c r="G3665" s="92"/>
      <c r="S3665" s="93"/>
    </row>
    <row r="3666" spans="7:19" x14ac:dyDescent="0.25">
      <c r="G3666" s="92"/>
      <c r="S3666" s="93"/>
    </row>
    <row r="3667" spans="7:19" x14ac:dyDescent="0.25">
      <c r="G3667" s="92"/>
      <c r="S3667" s="93"/>
    </row>
    <row r="3668" spans="7:19" x14ac:dyDescent="0.25">
      <c r="G3668" s="92"/>
      <c r="S3668" s="93"/>
    </row>
    <row r="3669" spans="7:19" x14ac:dyDescent="0.25">
      <c r="G3669" s="92"/>
      <c r="S3669" s="93"/>
    </row>
    <row r="3670" spans="7:19" x14ac:dyDescent="0.25">
      <c r="G3670" s="92"/>
      <c r="S3670" s="93"/>
    </row>
    <row r="3671" spans="7:19" x14ac:dyDescent="0.25">
      <c r="G3671" s="92"/>
      <c r="S3671" s="93"/>
    </row>
    <row r="3672" spans="7:19" x14ac:dyDescent="0.25">
      <c r="G3672" s="92"/>
      <c r="S3672" s="93"/>
    </row>
    <row r="3673" spans="7:19" x14ac:dyDescent="0.25">
      <c r="G3673" s="92"/>
      <c r="S3673" s="93"/>
    </row>
    <row r="3674" spans="7:19" x14ac:dyDescent="0.25">
      <c r="G3674" s="92"/>
      <c r="S3674" s="93"/>
    </row>
    <row r="3675" spans="7:19" x14ac:dyDescent="0.25">
      <c r="G3675" s="92"/>
      <c r="S3675" s="93"/>
    </row>
    <row r="3676" spans="7:19" x14ac:dyDescent="0.25">
      <c r="G3676" s="92"/>
      <c r="S3676" s="93"/>
    </row>
    <row r="3677" spans="7:19" x14ac:dyDescent="0.25">
      <c r="G3677" s="92"/>
      <c r="S3677" s="93"/>
    </row>
    <row r="3678" spans="7:19" x14ac:dyDescent="0.25">
      <c r="G3678" s="92"/>
      <c r="S3678" s="93"/>
    </row>
    <row r="3679" spans="7:19" x14ac:dyDescent="0.25">
      <c r="G3679" s="92"/>
      <c r="S3679" s="93"/>
    </row>
    <row r="3680" spans="7:19" x14ac:dyDescent="0.25">
      <c r="G3680" s="92"/>
      <c r="S3680" s="93"/>
    </row>
    <row r="3681" spans="7:19" x14ac:dyDescent="0.25">
      <c r="G3681" s="92"/>
      <c r="S3681" s="93"/>
    </row>
    <row r="3682" spans="7:19" x14ac:dyDescent="0.25">
      <c r="G3682" s="92"/>
      <c r="S3682" s="93"/>
    </row>
    <row r="3683" spans="7:19" x14ac:dyDescent="0.25">
      <c r="G3683" s="92"/>
      <c r="S3683" s="93"/>
    </row>
    <row r="3684" spans="7:19" x14ac:dyDescent="0.25">
      <c r="G3684" s="92"/>
      <c r="S3684" s="93"/>
    </row>
    <row r="3685" spans="7:19" x14ac:dyDescent="0.25">
      <c r="G3685" s="92"/>
      <c r="S3685" s="93"/>
    </row>
    <row r="3686" spans="7:19" x14ac:dyDescent="0.25">
      <c r="G3686" s="92"/>
      <c r="S3686" s="93"/>
    </row>
    <row r="3687" spans="7:19" x14ac:dyDescent="0.25">
      <c r="G3687" s="92"/>
      <c r="S3687" s="93"/>
    </row>
    <row r="3688" spans="7:19" x14ac:dyDescent="0.25">
      <c r="G3688" s="92"/>
      <c r="S3688" s="93"/>
    </row>
    <row r="3689" spans="7:19" x14ac:dyDescent="0.25">
      <c r="G3689" s="92"/>
      <c r="S3689" s="93"/>
    </row>
    <row r="3690" spans="7:19" x14ac:dyDescent="0.25">
      <c r="G3690" s="92"/>
      <c r="S3690" s="93"/>
    </row>
    <row r="3691" spans="7:19" x14ac:dyDescent="0.25">
      <c r="G3691" s="92"/>
      <c r="S3691" s="93"/>
    </row>
    <row r="3692" spans="7:19" x14ac:dyDescent="0.25">
      <c r="G3692" s="92"/>
      <c r="S3692" s="93"/>
    </row>
    <row r="3693" spans="7:19" x14ac:dyDescent="0.25">
      <c r="G3693" s="92"/>
      <c r="S3693" s="93"/>
    </row>
    <row r="3694" spans="7:19" x14ac:dyDescent="0.25">
      <c r="G3694" s="92"/>
      <c r="S3694" s="93"/>
    </row>
    <row r="3695" spans="7:19" x14ac:dyDescent="0.25">
      <c r="G3695" s="92"/>
      <c r="S3695" s="93"/>
    </row>
    <row r="3696" spans="7:19" x14ac:dyDescent="0.25">
      <c r="G3696" s="92"/>
      <c r="S3696" s="93"/>
    </row>
    <row r="3697" spans="7:19" x14ac:dyDescent="0.25">
      <c r="G3697" s="92"/>
      <c r="S3697" s="93"/>
    </row>
    <row r="3698" spans="7:19" x14ac:dyDescent="0.25">
      <c r="G3698" s="92"/>
      <c r="S3698" s="93"/>
    </row>
    <row r="3699" spans="7:19" x14ac:dyDescent="0.25">
      <c r="G3699" s="92"/>
      <c r="S3699" s="93"/>
    </row>
    <row r="3700" spans="7:19" x14ac:dyDescent="0.25">
      <c r="G3700" s="92"/>
      <c r="S3700" s="93"/>
    </row>
    <row r="3701" spans="7:19" x14ac:dyDescent="0.25">
      <c r="G3701" s="92"/>
      <c r="S3701" s="93"/>
    </row>
    <row r="3702" spans="7:19" x14ac:dyDescent="0.25">
      <c r="G3702" s="92"/>
      <c r="S3702" s="93"/>
    </row>
    <row r="3703" spans="7:19" x14ac:dyDescent="0.25">
      <c r="G3703" s="92"/>
      <c r="S3703" s="93"/>
    </row>
    <row r="3704" spans="7:19" x14ac:dyDescent="0.25">
      <c r="G3704" s="92"/>
      <c r="S3704" s="93"/>
    </row>
    <row r="3705" spans="7:19" x14ac:dyDescent="0.25">
      <c r="G3705" s="92"/>
      <c r="S3705" s="93"/>
    </row>
    <row r="3706" spans="7:19" x14ac:dyDescent="0.25">
      <c r="G3706" s="92"/>
      <c r="S3706" s="93"/>
    </row>
    <row r="3707" spans="7:19" x14ac:dyDescent="0.25">
      <c r="G3707" s="92"/>
      <c r="S3707" s="93"/>
    </row>
    <row r="3708" spans="7:19" x14ac:dyDescent="0.25">
      <c r="G3708" s="92"/>
      <c r="S3708" s="93"/>
    </row>
    <row r="3709" spans="7:19" x14ac:dyDescent="0.25">
      <c r="G3709" s="92"/>
      <c r="S3709" s="93"/>
    </row>
    <row r="3710" spans="7:19" x14ac:dyDescent="0.25">
      <c r="G3710" s="92"/>
      <c r="S3710" s="93"/>
    </row>
    <row r="3711" spans="7:19" x14ac:dyDescent="0.25">
      <c r="G3711" s="92"/>
      <c r="S3711" s="93"/>
    </row>
    <row r="3712" spans="7:19" x14ac:dyDescent="0.25">
      <c r="G3712" s="92"/>
      <c r="S3712" s="93"/>
    </row>
    <row r="3713" spans="7:19" x14ac:dyDescent="0.25">
      <c r="G3713" s="92"/>
      <c r="S3713" s="93"/>
    </row>
    <row r="3714" spans="7:19" x14ac:dyDescent="0.25">
      <c r="G3714" s="92"/>
      <c r="S3714" s="93"/>
    </row>
    <row r="3715" spans="7:19" x14ac:dyDescent="0.25">
      <c r="G3715" s="92"/>
      <c r="S3715" s="93"/>
    </row>
    <row r="3716" spans="7:19" x14ac:dyDescent="0.25">
      <c r="G3716" s="92"/>
      <c r="S3716" s="93"/>
    </row>
    <row r="3717" spans="7:19" x14ac:dyDescent="0.25">
      <c r="G3717" s="92"/>
      <c r="S3717" s="93"/>
    </row>
    <row r="3718" spans="7:19" x14ac:dyDescent="0.25">
      <c r="G3718" s="92"/>
      <c r="S3718" s="93"/>
    </row>
    <row r="3719" spans="7:19" x14ac:dyDescent="0.25">
      <c r="G3719" s="92"/>
      <c r="S3719" s="93"/>
    </row>
    <row r="3720" spans="7:19" x14ac:dyDescent="0.25">
      <c r="G3720" s="92"/>
      <c r="S3720" s="93"/>
    </row>
    <row r="3721" spans="7:19" x14ac:dyDescent="0.25">
      <c r="G3721" s="92"/>
      <c r="S3721" s="93"/>
    </row>
    <row r="3722" spans="7:19" x14ac:dyDescent="0.25">
      <c r="G3722" s="92"/>
      <c r="S3722" s="93"/>
    </row>
    <row r="3723" spans="7:19" x14ac:dyDescent="0.25">
      <c r="G3723" s="92"/>
      <c r="S3723" s="93"/>
    </row>
    <row r="3724" spans="7:19" x14ac:dyDescent="0.25">
      <c r="G3724" s="92"/>
      <c r="S3724" s="93"/>
    </row>
    <row r="3725" spans="7:19" x14ac:dyDescent="0.25">
      <c r="G3725" s="92"/>
      <c r="S3725" s="93"/>
    </row>
    <row r="3726" spans="7:19" x14ac:dyDescent="0.25">
      <c r="G3726" s="92"/>
      <c r="S3726" s="93"/>
    </row>
    <row r="3727" spans="7:19" x14ac:dyDescent="0.25">
      <c r="G3727" s="92"/>
      <c r="S3727" s="93"/>
    </row>
    <row r="3728" spans="7:19" x14ac:dyDescent="0.25">
      <c r="G3728" s="92"/>
      <c r="S3728" s="93"/>
    </row>
    <row r="3729" spans="7:19" x14ac:dyDescent="0.25">
      <c r="G3729" s="92"/>
      <c r="S3729" s="93"/>
    </row>
    <row r="3730" spans="7:19" x14ac:dyDescent="0.25">
      <c r="G3730" s="92"/>
      <c r="S3730" s="93"/>
    </row>
    <row r="3731" spans="7:19" x14ac:dyDescent="0.25">
      <c r="G3731" s="92"/>
      <c r="S3731" s="93"/>
    </row>
    <row r="3732" spans="7:19" x14ac:dyDescent="0.25">
      <c r="G3732" s="92"/>
      <c r="S3732" s="93"/>
    </row>
    <row r="3733" spans="7:19" x14ac:dyDescent="0.25">
      <c r="G3733" s="92"/>
      <c r="S3733" s="93"/>
    </row>
    <row r="3734" spans="7:19" x14ac:dyDescent="0.25">
      <c r="G3734" s="92"/>
      <c r="S3734" s="93"/>
    </row>
    <row r="3735" spans="7:19" x14ac:dyDescent="0.25">
      <c r="G3735" s="92"/>
      <c r="S3735" s="93"/>
    </row>
    <row r="3736" spans="7:19" x14ac:dyDescent="0.25">
      <c r="G3736" s="92"/>
      <c r="S3736" s="93"/>
    </row>
    <row r="3737" spans="7:19" x14ac:dyDescent="0.25">
      <c r="G3737" s="92"/>
      <c r="S3737" s="93"/>
    </row>
    <row r="3738" spans="7:19" x14ac:dyDescent="0.25">
      <c r="G3738" s="92"/>
      <c r="S3738" s="93"/>
    </row>
    <row r="3739" spans="7:19" x14ac:dyDescent="0.25">
      <c r="G3739" s="92"/>
      <c r="S3739" s="93"/>
    </row>
    <row r="3740" spans="7:19" x14ac:dyDescent="0.25">
      <c r="G3740" s="92"/>
      <c r="S3740" s="93"/>
    </row>
    <row r="3741" spans="7:19" x14ac:dyDescent="0.25">
      <c r="G3741" s="92"/>
      <c r="S3741" s="93"/>
    </row>
    <row r="3742" spans="7:19" x14ac:dyDescent="0.25">
      <c r="G3742" s="92"/>
      <c r="S3742" s="93"/>
    </row>
    <row r="3743" spans="7:19" x14ac:dyDescent="0.25">
      <c r="G3743" s="92"/>
      <c r="S3743" s="93"/>
    </row>
    <row r="3744" spans="7:19" x14ac:dyDescent="0.25">
      <c r="G3744" s="92"/>
      <c r="S3744" s="93"/>
    </row>
    <row r="3745" spans="7:19" x14ac:dyDescent="0.25">
      <c r="G3745" s="92"/>
      <c r="S3745" s="93"/>
    </row>
    <row r="3746" spans="7:19" x14ac:dyDescent="0.25">
      <c r="G3746" s="92"/>
      <c r="S3746" s="93"/>
    </row>
    <row r="3747" spans="7:19" x14ac:dyDescent="0.25">
      <c r="G3747" s="92"/>
      <c r="S3747" s="93"/>
    </row>
    <row r="3748" spans="7:19" x14ac:dyDescent="0.25">
      <c r="G3748" s="92"/>
      <c r="S3748" s="93"/>
    </row>
    <row r="3749" spans="7:19" x14ac:dyDescent="0.25">
      <c r="G3749" s="92"/>
      <c r="S3749" s="93"/>
    </row>
    <row r="3750" spans="7:19" x14ac:dyDescent="0.25">
      <c r="G3750" s="92"/>
      <c r="S3750" s="93"/>
    </row>
    <row r="3751" spans="7:19" x14ac:dyDescent="0.25">
      <c r="G3751" s="92"/>
      <c r="S3751" s="93"/>
    </row>
    <row r="3752" spans="7:19" x14ac:dyDescent="0.25">
      <c r="G3752" s="92"/>
      <c r="S3752" s="93"/>
    </row>
    <row r="3753" spans="7:19" x14ac:dyDescent="0.25">
      <c r="G3753" s="92"/>
      <c r="S3753" s="93"/>
    </row>
    <row r="3754" spans="7:19" x14ac:dyDescent="0.25">
      <c r="G3754" s="92"/>
      <c r="S3754" s="93"/>
    </row>
    <row r="3755" spans="7:19" x14ac:dyDescent="0.25">
      <c r="G3755" s="92"/>
      <c r="S3755" s="93"/>
    </row>
    <row r="3756" spans="7:19" x14ac:dyDescent="0.25">
      <c r="G3756" s="92"/>
      <c r="S3756" s="93"/>
    </row>
    <row r="3757" spans="7:19" x14ac:dyDescent="0.25">
      <c r="G3757" s="92"/>
      <c r="S3757" s="93"/>
    </row>
    <row r="3758" spans="7:19" x14ac:dyDescent="0.25">
      <c r="G3758" s="92"/>
      <c r="S3758" s="93"/>
    </row>
    <row r="3759" spans="7:19" x14ac:dyDescent="0.25">
      <c r="G3759" s="92"/>
      <c r="S3759" s="93"/>
    </row>
    <row r="3760" spans="7:19" x14ac:dyDescent="0.25">
      <c r="G3760" s="92"/>
      <c r="S3760" s="93"/>
    </row>
    <row r="3761" spans="7:19" x14ac:dyDescent="0.25">
      <c r="G3761" s="92"/>
      <c r="S3761" s="93"/>
    </row>
    <row r="3762" spans="7:19" x14ac:dyDescent="0.25">
      <c r="G3762" s="92"/>
      <c r="S3762" s="93"/>
    </row>
    <row r="3763" spans="7:19" x14ac:dyDescent="0.25">
      <c r="G3763" s="92"/>
      <c r="S3763" s="93"/>
    </row>
    <row r="3764" spans="7:19" x14ac:dyDescent="0.25">
      <c r="G3764" s="92"/>
      <c r="S3764" s="93"/>
    </row>
    <row r="3765" spans="7:19" x14ac:dyDescent="0.25">
      <c r="G3765" s="92"/>
      <c r="S3765" s="93"/>
    </row>
    <row r="3766" spans="7:19" x14ac:dyDescent="0.25">
      <c r="G3766" s="92"/>
      <c r="S3766" s="93"/>
    </row>
    <row r="3767" spans="7:19" x14ac:dyDescent="0.25">
      <c r="G3767" s="92"/>
      <c r="S3767" s="93"/>
    </row>
    <row r="3768" spans="7:19" x14ac:dyDescent="0.25">
      <c r="G3768" s="92"/>
      <c r="S3768" s="93"/>
    </row>
    <row r="3769" spans="7:19" x14ac:dyDescent="0.25">
      <c r="G3769" s="92"/>
      <c r="S3769" s="93"/>
    </row>
    <row r="3770" spans="7:19" x14ac:dyDescent="0.25">
      <c r="G3770" s="92"/>
      <c r="S3770" s="93"/>
    </row>
    <row r="3771" spans="7:19" x14ac:dyDescent="0.25">
      <c r="G3771" s="92"/>
      <c r="S3771" s="93"/>
    </row>
    <row r="3772" spans="7:19" x14ac:dyDescent="0.25">
      <c r="G3772" s="92"/>
      <c r="S3772" s="93"/>
    </row>
    <row r="3773" spans="7:19" x14ac:dyDescent="0.25">
      <c r="G3773" s="92"/>
      <c r="S3773" s="93"/>
    </row>
    <row r="3774" spans="7:19" x14ac:dyDescent="0.25">
      <c r="G3774" s="92"/>
      <c r="S3774" s="93"/>
    </row>
    <row r="3775" spans="7:19" x14ac:dyDescent="0.25">
      <c r="G3775" s="92"/>
      <c r="S3775" s="93"/>
    </row>
    <row r="3776" spans="7:19" x14ac:dyDescent="0.25">
      <c r="G3776" s="92"/>
      <c r="S3776" s="93"/>
    </row>
    <row r="3777" spans="7:19" x14ac:dyDescent="0.25">
      <c r="G3777" s="92"/>
      <c r="S3777" s="93"/>
    </row>
    <row r="3778" spans="7:19" x14ac:dyDescent="0.25">
      <c r="G3778" s="92"/>
      <c r="S3778" s="93"/>
    </row>
    <row r="3779" spans="7:19" x14ac:dyDescent="0.25">
      <c r="G3779" s="92"/>
      <c r="S3779" s="93"/>
    </row>
    <row r="3780" spans="7:19" x14ac:dyDescent="0.25">
      <c r="G3780" s="92"/>
      <c r="S3780" s="93"/>
    </row>
    <row r="3781" spans="7:19" x14ac:dyDescent="0.25">
      <c r="G3781" s="92"/>
      <c r="S3781" s="93"/>
    </row>
    <row r="3782" spans="7:19" x14ac:dyDescent="0.25">
      <c r="G3782" s="92"/>
      <c r="S3782" s="93"/>
    </row>
    <row r="3783" spans="7:19" x14ac:dyDescent="0.25">
      <c r="G3783" s="92"/>
      <c r="S3783" s="93"/>
    </row>
    <row r="3784" spans="7:19" x14ac:dyDescent="0.25">
      <c r="G3784" s="92"/>
      <c r="S3784" s="93"/>
    </row>
    <row r="3785" spans="7:19" x14ac:dyDescent="0.25">
      <c r="G3785" s="92"/>
      <c r="S3785" s="93"/>
    </row>
    <row r="3786" spans="7:19" x14ac:dyDescent="0.25">
      <c r="G3786" s="92"/>
      <c r="S3786" s="93"/>
    </row>
    <row r="3787" spans="7:19" x14ac:dyDescent="0.25">
      <c r="G3787" s="92"/>
      <c r="S3787" s="93"/>
    </row>
    <row r="3788" spans="7:19" x14ac:dyDescent="0.25">
      <c r="G3788" s="92"/>
      <c r="S3788" s="93"/>
    </row>
    <row r="3789" spans="7:19" x14ac:dyDescent="0.25">
      <c r="G3789" s="92"/>
      <c r="S3789" s="93"/>
    </row>
    <row r="3790" spans="7:19" x14ac:dyDescent="0.25">
      <c r="G3790" s="92"/>
      <c r="S3790" s="93"/>
    </row>
    <row r="3791" spans="7:19" x14ac:dyDescent="0.25">
      <c r="G3791" s="92"/>
      <c r="S3791" s="93"/>
    </row>
    <row r="3792" spans="7:19" x14ac:dyDescent="0.25">
      <c r="G3792" s="92"/>
      <c r="S3792" s="93"/>
    </row>
    <row r="3793" spans="7:19" x14ac:dyDescent="0.25">
      <c r="G3793" s="92"/>
      <c r="S3793" s="93"/>
    </row>
    <row r="3794" spans="7:19" x14ac:dyDescent="0.25">
      <c r="G3794" s="92"/>
      <c r="S3794" s="93"/>
    </row>
    <row r="3795" spans="7:19" x14ac:dyDescent="0.25">
      <c r="G3795" s="92"/>
      <c r="S3795" s="93"/>
    </row>
    <row r="3796" spans="7:19" x14ac:dyDescent="0.25">
      <c r="G3796" s="92"/>
      <c r="S3796" s="93"/>
    </row>
    <row r="3797" spans="7:19" x14ac:dyDescent="0.25">
      <c r="G3797" s="92"/>
      <c r="S3797" s="93"/>
    </row>
    <row r="3798" spans="7:19" x14ac:dyDescent="0.25">
      <c r="G3798" s="92"/>
      <c r="S3798" s="93"/>
    </row>
    <row r="3799" spans="7:19" x14ac:dyDescent="0.25">
      <c r="G3799" s="92"/>
      <c r="S3799" s="93"/>
    </row>
    <row r="3800" spans="7:19" x14ac:dyDescent="0.25">
      <c r="G3800" s="92"/>
      <c r="S3800" s="93"/>
    </row>
    <row r="3801" spans="7:19" x14ac:dyDescent="0.25">
      <c r="G3801" s="92"/>
      <c r="S3801" s="93"/>
    </row>
    <row r="3802" spans="7:19" x14ac:dyDescent="0.25">
      <c r="G3802" s="92"/>
      <c r="S3802" s="93"/>
    </row>
    <row r="3803" spans="7:19" x14ac:dyDescent="0.25">
      <c r="G3803" s="92"/>
      <c r="S3803" s="93"/>
    </row>
    <row r="3804" spans="7:19" x14ac:dyDescent="0.25">
      <c r="G3804" s="92"/>
      <c r="S3804" s="93"/>
    </row>
    <row r="3805" spans="7:19" x14ac:dyDescent="0.25">
      <c r="G3805" s="92"/>
      <c r="S3805" s="93"/>
    </row>
    <row r="3806" spans="7:19" x14ac:dyDescent="0.25">
      <c r="G3806" s="92"/>
      <c r="S3806" s="93"/>
    </row>
    <row r="3807" spans="7:19" x14ac:dyDescent="0.25">
      <c r="G3807" s="92"/>
      <c r="S3807" s="93"/>
    </row>
    <row r="3808" spans="7:19" x14ac:dyDescent="0.25">
      <c r="G3808" s="92"/>
      <c r="S3808" s="93"/>
    </row>
    <row r="3809" spans="7:19" x14ac:dyDescent="0.25">
      <c r="G3809" s="92"/>
      <c r="S3809" s="93"/>
    </row>
    <row r="3810" spans="7:19" x14ac:dyDescent="0.25">
      <c r="G3810" s="92"/>
      <c r="S3810" s="93"/>
    </row>
    <row r="3811" spans="7:19" x14ac:dyDescent="0.25">
      <c r="G3811" s="92"/>
      <c r="S3811" s="93"/>
    </row>
    <row r="3812" spans="7:19" x14ac:dyDescent="0.25">
      <c r="G3812" s="92"/>
      <c r="S3812" s="93"/>
    </row>
    <row r="3813" spans="7:19" x14ac:dyDescent="0.25">
      <c r="G3813" s="92"/>
      <c r="S3813" s="93"/>
    </row>
    <row r="3814" spans="7:19" x14ac:dyDescent="0.25">
      <c r="G3814" s="92"/>
      <c r="S3814" s="93"/>
    </row>
    <row r="3815" spans="7:19" x14ac:dyDescent="0.25">
      <c r="G3815" s="92"/>
      <c r="S3815" s="93"/>
    </row>
    <row r="3816" spans="7:19" x14ac:dyDescent="0.25">
      <c r="G3816" s="92"/>
      <c r="S3816" s="93"/>
    </row>
    <row r="3817" spans="7:19" x14ac:dyDescent="0.25">
      <c r="G3817" s="92"/>
      <c r="S3817" s="93"/>
    </row>
    <row r="3818" spans="7:19" x14ac:dyDescent="0.25">
      <c r="G3818" s="92"/>
      <c r="S3818" s="93"/>
    </row>
    <row r="3819" spans="7:19" x14ac:dyDescent="0.25">
      <c r="G3819" s="92"/>
      <c r="S3819" s="93"/>
    </row>
    <row r="3820" spans="7:19" x14ac:dyDescent="0.25">
      <c r="G3820" s="92"/>
      <c r="S3820" s="93"/>
    </row>
    <row r="3821" spans="7:19" x14ac:dyDescent="0.25">
      <c r="G3821" s="92"/>
      <c r="S3821" s="93"/>
    </row>
    <row r="3822" spans="7:19" x14ac:dyDescent="0.25">
      <c r="G3822" s="92"/>
      <c r="S3822" s="93"/>
    </row>
    <row r="3823" spans="7:19" x14ac:dyDescent="0.25">
      <c r="G3823" s="92"/>
      <c r="S3823" s="93"/>
    </row>
    <row r="3824" spans="7:19" x14ac:dyDescent="0.25">
      <c r="G3824" s="92"/>
      <c r="S3824" s="93"/>
    </row>
    <row r="3825" spans="7:19" x14ac:dyDescent="0.25">
      <c r="G3825" s="92"/>
      <c r="S3825" s="93"/>
    </row>
    <row r="3826" spans="7:19" x14ac:dyDescent="0.25">
      <c r="G3826" s="92"/>
      <c r="S3826" s="93"/>
    </row>
    <row r="3827" spans="7:19" x14ac:dyDescent="0.25">
      <c r="G3827" s="92"/>
      <c r="S3827" s="93"/>
    </row>
    <row r="3828" spans="7:19" x14ac:dyDescent="0.25">
      <c r="G3828" s="92"/>
      <c r="S3828" s="93"/>
    </row>
    <row r="3829" spans="7:19" x14ac:dyDescent="0.25">
      <c r="G3829" s="92"/>
      <c r="S3829" s="93"/>
    </row>
    <row r="3830" spans="7:19" x14ac:dyDescent="0.25">
      <c r="G3830" s="92"/>
      <c r="S3830" s="93"/>
    </row>
    <row r="3831" spans="7:19" x14ac:dyDescent="0.25">
      <c r="G3831" s="92"/>
      <c r="S3831" s="93"/>
    </row>
    <row r="3832" spans="7:19" x14ac:dyDescent="0.25">
      <c r="G3832" s="92"/>
      <c r="S3832" s="93"/>
    </row>
    <row r="3833" spans="7:19" x14ac:dyDescent="0.25">
      <c r="G3833" s="92"/>
      <c r="S3833" s="93"/>
    </row>
    <row r="3834" spans="7:19" x14ac:dyDescent="0.25">
      <c r="G3834" s="92"/>
      <c r="S3834" s="93"/>
    </row>
    <row r="3835" spans="7:19" x14ac:dyDescent="0.25">
      <c r="G3835" s="92"/>
      <c r="S3835" s="93"/>
    </row>
    <row r="3836" spans="7:19" x14ac:dyDescent="0.25">
      <c r="G3836" s="92"/>
      <c r="S3836" s="93"/>
    </row>
    <row r="3837" spans="7:19" x14ac:dyDescent="0.25">
      <c r="G3837" s="92"/>
      <c r="S3837" s="93"/>
    </row>
    <row r="3838" spans="7:19" x14ac:dyDescent="0.25">
      <c r="G3838" s="92"/>
      <c r="S3838" s="93"/>
    </row>
    <row r="3839" spans="7:19" x14ac:dyDescent="0.25">
      <c r="G3839" s="92"/>
      <c r="S3839" s="93"/>
    </row>
    <row r="3840" spans="7:19" x14ac:dyDescent="0.25">
      <c r="G3840" s="92"/>
      <c r="S3840" s="93"/>
    </row>
    <row r="3841" spans="7:19" x14ac:dyDescent="0.25">
      <c r="G3841" s="92"/>
      <c r="S3841" s="93"/>
    </row>
    <row r="3842" spans="7:19" x14ac:dyDescent="0.25">
      <c r="G3842" s="92"/>
      <c r="S3842" s="93"/>
    </row>
    <row r="3843" spans="7:19" x14ac:dyDescent="0.25">
      <c r="G3843" s="92"/>
      <c r="S3843" s="93"/>
    </row>
    <row r="3844" spans="7:19" x14ac:dyDescent="0.25">
      <c r="G3844" s="92"/>
      <c r="S3844" s="93"/>
    </row>
    <row r="3845" spans="7:19" x14ac:dyDescent="0.25">
      <c r="G3845" s="92"/>
      <c r="S3845" s="93"/>
    </row>
    <row r="3846" spans="7:19" x14ac:dyDescent="0.25">
      <c r="G3846" s="92"/>
      <c r="S3846" s="93"/>
    </row>
    <row r="3847" spans="7:19" x14ac:dyDescent="0.25">
      <c r="G3847" s="92"/>
      <c r="S3847" s="93"/>
    </row>
    <row r="3848" spans="7:19" x14ac:dyDescent="0.25">
      <c r="G3848" s="92"/>
      <c r="S3848" s="93"/>
    </row>
    <row r="3849" spans="7:19" x14ac:dyDescent="0.25">
      <c r="G3849" s="92"/>
      <c r="S3849" s="93"/>
    </row>
    <row r="3850" spans="7:19" x14ac:dyDescent="0.25">
      <c r="G3850" s="92"/>
      <c r="S3850" s="93"/>
    </row>
    <row r="3851" spans="7:19" x14ac:dyDescent="0.25">
      <c r="G3851" s="92"/>
      <c r="S3851" s="93"/>
    </row>
    <row r="3852" spans="7:19" x14ac:dyDescent="0.25">
      <c r="G3852" s="92"/>
      <c r="S3852" s="93"/>
    </row>
    <row r="3853" spans="7:19" x14ac:dyDescent="0.25">
      <c r="G3853" s="92"/>
      <c r="S3853" s="93"/>
    </row>
    <row r="3854" spans="7:19" x14ac:dyDescent="0.25">
      <c r="G3854" s="92"/>
      <c r="S3854" s="93"/>
    </row>
    <row r="3855" spans="7:19" x14ac:dyDescent="0.25">
      <c r="G3855" s="92"/>
      <c r="S3855" s="93"/>
    </row>
    <row r="3856" spans="7:19" x14ac:dyDescent="0.25">
      <c r="G3856" s="92"/>
      <c r="S3856" s="93"/>
    </row>
    <row r="3857" spans="7:19" x14ac:dyDescent="0.25">
      <c r="G3857" s="92"/>
      <c r="S3857" s="93"/>
    </row>
    <row r="3858" spans="7:19" x14ac:dyDescent="0.25">
      <c r="G3858" s="92"/>
      <c r="S3858" s="93"/>
    </row>
    <row r="3859" spans="7:19" x14ac:dyDescent="0.25">
      <c r="G3859" s="92"/>
      <c r="S3859" s="93"/>
    </row>
    <row r="3860" spans="7:19" x14ac:dyDescent="0.25">
      <c r="G3860" s="92"/>
      <c r="S3860" s="93"/>
    </row>
    <row r="3861" spans="7:19" x14ac:dyDescent="0.25">
      <c r="G3861" s="92"/>
      <c r="S3861" s="93"/>
    </row>
    <row r="3862" spans="7:19" x14ac:dyDescent="0.25">
      <c r="G3862" s="92"/>
      <c r="S3862" s="93"/>
    </row>
    <row r="3863" spans="7:19" x14ac:dyDescent="0.25">
      <c r="G3863" s="92"/>
      <c r="S3863" s="93"/>
    </row>
    <row r="3864" spans="7:19" x14ac:dyDescent="0.25">
      <c r="G3864" s="92"/>
      <c r="S3864" s="93"/>
    </row>
    <row r="3865" spans="7:19" x14ac:dyDescent="0.25">
      <c r="G3865" s="92"/>
      <c r="S3865" s="93"/>
    </row>
    <row r="3866" spans="7:19" x14ac:dyDescent="0.25">
      <c r="G3866" s="92"/>
      <c r="S3866" s="93"/>
    </row>
    <row r="3867" spans="7:19" x14ac:dyDescent="0.25">
      <c r="G3867" s="92"/>
      <c r="S3867" s="93"/>
    </row>
    <row r="3868" spans="7:19" x14ac:dyDescent="0.25">
      <c r="G3868" s="92"/>
      <c r="S3868" s="93"/>
    </row>
    <row r="3869" spans="7:19" x14ac:dyDescent="0.25">
      <c r="G3869" s="92"/>
      <c r="S3869" s="93"/>
    </row>
    <row r="3870" spans="7:19" x14ac:dyDescent="0.25">
      <c r="G3870" s="92"/>
      <c r="S3870" s="93"/>
    </row>
    <row r="3871" spans="7:19" x14ac:dyDescent="0.25">
      <c r="G3871" s="92"/>
      <c r="S3871" s="93"/>
    </row>
    <row r="3872" spans="7:19" x14ac:dyDescent="0.25">
      <c r="G3872" s="92"/>
      <c r="S3872" s="93"/>
    </row>
    <row r="3873" spans="7:19" x14ac:dyDescent="0.25">
      <c r="G3873" s="92"/>
      <c r="S3873" s="93"/>
    </row>
    <row r="3874" spans="7:19" x14ac:dyDescent="0.25">
      <c r="G3874" s="92"/>
      <c r="S3874" s="93"/>
    </row>
    <row r="3875" spans="7:19" x14ac:dyDescent="0.25">
      <c r="G3875" s="92"/>
      <c r="S3875" s="93"/>
    </row>
    <row r="3876" spans="7:19" x14ac:dyDescent="0.25">
      <c r="G3876" s="92"/>
      <c r="S3876" s="93"/>
    </row>
    <row r="3877" spans="7:19" x14ac:dyDescent="0.25">
      <c r="G3877" s="92"/>
      <c r="S3877" s="93"/>
    </row>
    <row r="3878" spans="7:19" x14ac:dyDescent="0.25">
      <c r="G3878" s="92"/>
      <c r="S3878" s="93"/>
    </row>
    <row r="3879" spans="7:19" x14ac:dyDescent="0.25">
      <c r="G3879" s="92"/>
      <c r="S3879" s="93"/>
    </row>
    <row r="3880" spans="7:19" x14ac:dyDescent="0.25">
      <c r="G3880" s="92"/>
      <c r="S3880" s="93"/>
    </row>
    <row r="3881" spans="7:19" x14ac:dyDescent="0.25">
      <c r="G3881" s="92"/>
      <c r="S3881" s="93"/>
    </row>
    <row r="3882" spans="7:19" x14ac:dyDescent="0.25">
      <c r="G3882" s="92"/>
      <c r="S3882" s="93"/>
    </row>
    <row r="3883" spans="7:19" x14ac:dyDescent="0.25">
      <c r="G3883" s="92"/>
      <c r="S3883" s="93"/>
    </row>
    <row r="3884" spans="7:19" x14ac:dyDescent="0.25">
      <c r="G3884" s="92"/>
      <c r="S3884" s="93"/>
    </row>
    <row r="3885" spans="7:19" x14ac:dyDescent="0.25">
      <c r="G3885" s="92"/>
      <c r="S3885" s="93"/>
    </row>
    <row r="3886" spans="7:19" x14ac:dyDescent="0.25">
      <c r="G3886" s="92"/>
      <c r="S3886" s="93"/>
    </row>
    <row r="3887" spans="7:19" x14ac:dyDescent="0.25">
      <c r="G3887" s="92"/>
      <c r="S3887" s="93"/>
    </row>
    <row r="3888" spans="7:19" x14ac:dyDescent="0.25">
      <c r="G3888" s="92"/>
      <c r="S3888" s="93"/>
    </row>
    <row r="3889" spans="7:19" x14ac:dyDescent="0.25">
      <c r="G3889" s="92"/>
      <c r="S3889" s="93"/>
    </row>
    <row r="3890" spans="7:19" x14ac:dyDescent="0.25">
      <c r="G3890" s="92"/>
      <c r="S3890" s="93"/>
    </row>
    <row r="3891" spans="7:19" x14ac:dyDescent="0.25">
      <c r="G3891" s="92"/>
      <c r="S3891" s="93"/>
    </row>
    <row r="3892" spans="7:19" x14ac:dyDescent="0.25">
      <c r="G3892" s="92"/>
      <c r="S3892" s="93"/>
    </row>
    <row r="3893" spans="7:19" x14ac:dyDescent="0.25">
      <c r="G3893" s="92"/>
      <c r="S3893" s="93"/>
    </row>
    <row r="3894" spans="7:19" x14ac:dyDescent="0.25">
      <c r="G3894" s="92"/>
      <c r="S3894" s="93"/>
    </row>
    <row r="3895" spans="7:19" x14ac:dyDescent="0.25">
      <c r="G3895" s="92"/>
      <c r="S3895" s="93"/>
    </row>
    <row r="3896" spans="7:19" x14ac:dyDescent="0.25">
      <c r="G3896" s="92"/>
      <c r="S3896" s="93"/>
    </row>
    <row r="3897" spans="7:19" x14ac:dyDescent="0.25">
      <c r="G3897" s="92"/>
      <c r="S3897" s="93"/>
    </row>
    <row r="3898" spans="7:19" x14ac:dyDescent="0.25">
      <c r="G3898" s="92"/>
      <c r="S3898" s="93"/>
    </row>
    <row r="3899" spans="7:19" x14ac:dyDescent="0.25">
      <c r="G3899" s="92"/>
      <c r="S3899" s="93"/>
    </row>
    <row r="3900" spans="7:19" x14ac:dyDescent="0.25">
      <c r="G3900" s="92"/>
      <c r="S3900" s="93"/>
    </row>
    <row r="3901" spans="7:19" x14ac:dyDescent="0.25">
      <c r="G3901" s="92"/>
      <c r="S3901" s="93"/>
    </row>
    <row r="3902" spans="7:19" x14ac:dyDescent="0.25">
      <c r="G3902" s="92"/>
      <c r="S3902" s="93"/>
    </row>
    <row r="3903" spans="7:19" x14ac:dyDescent="0.25">
      <c r="G3903" s="92"/>
      <c r="S3903" s="93"/>
    </row>
    <row r="3904" spans="7:19" x14ac:dyDescent="0.25">
      <c r="G3904" s="92"/>
      <c r="S3904" s="93"/>
    </row>
    <row r="3905" spans="7:19" x14ac:dyDescent="0.25">
      <c r="G3905" s="92"/>
      <c r="S3905" s="93"/>
    </row>
    <row r="3906" spans="7:19" x14ac:dyDescent="0.25">
      <c r="G3906" s="92"/>
      <c r="S3906" s="93"/>
    </row>
    <row r="3907" spans="7:19" x14ac:dyDescent="0.25">
      <c r="G3907" s="92"/>
      <c r="S3907" s="93"/>
    </row>
    <row r="3908" spans="7:19" x14ac:dyDescent="0.25">
      <c r="G3908" s="92"/>
      <c r="S3908" s="93"/>
    </row>
    <row r="3909" spans="7:19" x14ac:dyDescent="0.25">
      <c r="G3909" s="92"/>
      <c r="S3909" s="93"/>
    </row>
    <row r="3910" spans="7:19" x14ac:dyDescent="0.25">
      <c r="G3910" s="92"/>
      <c r="S3910" s="93"/>
    </row>
    <row r="3911" spans="7:19" x14ac:dyDescent="0.25">
      <c r="G3911" s="92"/>
      <c r="S3911" s="93"/>
    </row>
    <row r="3912" spans="7:19" x14ac:dyDescent="0.25">
      <c r="G3912" s="92"/>
      <c r="S3912" s="93"/>
    </row>
    <row r="3913" spans="7:19" x14ac:dyDescent="0.25">
      <c r="G3913" s="92"/>
      <c r="S3913" s="93"/>
    </row>
    <row r="3914" spans="7:19" x14ac:dyDescent="0.25">
      <c r="G3914" s="92"/>
      <c r="S3914" s="93"/>
    </row>
    <row r="3915" spans="7:19" x14ac:dyDescent="0.25">
      <c r="G3915" s="92"/>
      <c r="S3915" s="93"/>
    </row>
    <row r="3916" spans="7:19" x14ac:dyDescent="0.25">
      <c r="G3916" s="92"/>
      <c r="S3916" s="93"/>
    </row>
    <row r="3917" spans="7:19" x14ac:dyDescent="0.25">
      <c r="G3917" s="92"/>
      <c r="S3917" s="93"/>
    </row>
    <row r="3918" spans="7:19" x14ac:dyDescent="0.25">
      <c r="G3918" s="92"/>
      <c r="S3918" s="93"/>
    </row>
    <row r="3919" spans="7:19" x14ac:dyDescent="0.25">
      <c r="G3919" s="92"/>
      <c r="S3919" s="93"/>
    </row>
    <row r="3920" spans="7:19" x14ac:dyDescent="0.25">
      <c r="G3920" s="92"/>
      <c r="S3920" s="93"/>
    </row>
    <row r="3921" spans="7:19" x14ac:dyDescent="0.25">
      <c r="G3921" s="92"/>
      <c r="S3921" s="93"/>
    </row>
    <row r="3922" spans="7:19" x14ac:dyDescent="0.25">
      <c r="G3922" s="92"/>
      <c r="S3922" s="93"/>
    </row>
    <row r="3923" spans="7:19" x14ac:dyDescent="0.25">
      <c r="G3923" s="92"/>
      <c r="S3923" s="93"/>
    </row>
    <row r="3924" spans="7:19" x14ac:dyDescent="0.25">
      <c r="G3924" s="92"/>
      <c r="S3924" s="93"/>
    </row>
    <row r="3925" spans="7:19" x14ac:dyDescent="0.25">
      <c r="G3925" s="92"/>
      <c r="S3925" s="93"/>
    </row>
    <row r="3926" spans="7:19" x14ac:dyDescent="0.25">
      <c r="G3926" s="92"/>
      <c r="S3926" s="93"/>
    </row>
    <row r="3927" spans="7:19" x14ac:dyDescent="0.25">
      <c r="G3927" s="92"/>
      <c r="S3927" s="93"/>
    </row>
    <row r="3928" spans="7:19" x14ac:dyDescent="0.25">
      <c r="G3928" s="92"/>
      <c r="S3928" s="93"/>
    </row>
    <row r="3929" spans="7:19" x14ac:dyDescent="0.25">
      <c r="G3929" s="92"/>
      <c r="S3929" s="93"/>
    </row>
    <row r="3930" spans="7:19" x14ac:dyDescent="0.25">
      <c r="G3930" s="92"/>
      <c r="S3930" s="93"/>
    </row>
    <row r="3931" spans="7:19" x14ac:dyDescent="0.25">
      <c r="G3931" s="92"/>
      <c r="S3931" s="93"/>
    </row>
    <row r="3932" spans="7:19" x14ac:dyDescent="0.25">
      <c r="G3932" s="92"/>
      <c r="S3932" s="93"/>
    </row>
    <row r="3933" spans="7:19" x14ac:dyDescent="0.25">
      <c r="G3933" s="92"/>
      <c r="S3933" s="93"/>
    </row>
    <row r="3934" spans="7:19" x14ac:dyDescent="0.25">
      <c r="G3934" s="92"/>
      <c r="S3934" s="93"/>
    </row>
    <row r="3935" spans="7:19" x14ac:dyDescent="0.25">
      <c r="G3935" s="92"/>
      <c r="S3935" s="93"/>
    </row>
    <row r="3936" spans="7:19" x14ac:dyDescent="0.25">
      <c r="G3936" s="92"/>
      <c r="S3936" s="93"/>
    </row>
    <row r="3937" spans="7:19" x14ac:dyDescent="0.25">
      <c r="G3937" s="92"/>
      <c r="S3937" s="93"/>
    </row>
    <row r="3938" spans="7:19" x14ac:dyDescent="0.25">
      <c r="G3938" s="92"/>
      <c r="S3938" s="93"/>
    </row>
    <row r="3939" spans="7:19" x14ac:dyDescent="0.25">
      <c r="G3939" s="92"/>
      <c r="S3939" s="93"/>
    </row>
    <row r="3940" spans="7:19" x14ac:dyDescent="0.25">
      <c r="G3940" s="92"/>
      <c r="S3940" s="93"/>
    </row>
    <row r="3941" spans="7:19" x14ac:dyDescent="0.25">
      <c r="G3941" s="92"/>
      <c r="S3941" s="93"/>
    </row>
    <row r="3942" spans="7:19" x14ac:dyDescent="0.25">
      <c r="G3942" s="92"/>
      <c r="S3942" s="93"/>
    </row>
    <row r="3943" spans="7:19" x14ac:dyDescent="0.25">
      <c r="G3943" s="92"/>
      <c r="S3943" s="93"/>
    </row>
    <row r="3944" spans="7:19" x14ac:dyDescent="0.25">
      <c r="G3944" s="92"/>
      <c r="S3944" s="93"/>
    </row>
    <row r="3945" spans="7:19" x14ac:dyDescent="0.25">
      <c r="G3945" s="92"/>
      <c r="S3945" s="93"/>
    </row>
    <row r="3946" spans="7:19" x14ac:dyDescent="0.25">
      <c r="G3946" s="92"/>
      <c r="S3946" s="93"/>
    </row>
    <row r="3947" spans="7:19" x14ac:dyDescent="0.25">
      <c r="G3947" s="92"/>
      <c r="S3947" s="93"/>
    </row>
    <row r="3948" spans="7:19" x14ac:dyDescent="0.25">
      <c r="G3948" s="92"/>
      <c r="S3948" s="93"/>
    </row>
    <row r="3949" spans="7:19" x14ac:dyDescent="0.25">
      <c r="G3949" s="92"/>
      <c r="S3949" s="93"/>
    </row>
    <row r="3950" spans="7:19" x14ac:dyDescent="0.25">
      <c r="G3950" s="92"/>
      <c r="S3950" s="93"/>
    </row>
    <row r="3951" spans="7:19" x14ac:dyDescent="0.25">
      <c r="G3951" s="92"/>
      <c r="S3951" s="93"/>
    </row>
    <row r="3952" spans="7:19" x14ac:dyDescent="0.25">
      <c r="G3952" s="92"/>
      <c r="S3952" s="93"/>
    </row>
    <row r="3953" spans="7:19" x14ac:dyDescent="0.25">
      <c r="G3953" s="92"/>
      <c r="S3953" s="93"/>
    </row>
    <row r="3954" spans="7:19" x14ac:dyDescent="0.25">
      <c r="G3954" s="92"/>
      <c r="S3954" s="93"/>
    </row>
    <row r="3955" spans="7:19" x14ac:dyDescent="0.25">
      <c r="G3955" s="92"/>
      <c r="S3955" s="93"/>
    </row>
    <row r="3956" spans="7:19" x14ac:dyDescent="0.25">
      <c r="G3956" s="92"/>
      <c r="S3956" s="93"/>
    </row>
    <row r="3957" spans="7:19" x14ac:dyDescent="0.25">
      <c r="G3957" s="92"/>
      <c r="S3957" s="93"/>
    </row>
    <row r="3958" spans="7:19" x14ac:dyDescent="0.25">
      <c r="G3958" s="92"/>
      <c r="S3958" s="93"/>
    </row>
    <row r="3959" spans="7:19" x14ac:dyDescent="0.25">
      <c r="G3959" s="92"/>
      <c r="S3959" s="93"/>
    </row>
    <row r="3960" spans="7:19" x14ac:dyDescent="0.25">
      <c r="G3960" s="92"/>
      <c r="S3960" s="93"/>
    </row>
    <row r="3961" spans="7:19" x14ac:dyDescent="0.25">
      <c r="G3961" s="92"/>
      <c r="S3961" s="93"/>
    </row>
    <row r="3962" spans="7:19" x14ac:dyDescent="0.25">
      <c r="G3962" s="92"/>
      <c r="S3962" s="93"/>
    </row>
    <row r="3963" spans="7:19" x14ac:dyDescent="0.25">
      <c r="G3963" s="92"/>
      <c r="S3963" s="93"/>
    </row>
    <row r="3964" spans="7:19" x14ac:dyDescent="0.25">
      <c r="G3964" s="92"/>
      <c r="S3964" s="93"/>
    </row>
    <row r="3965" spans="7:19" x14ac:dyDescent="0.25">
      <c r="G3965" s="92"/>
      <c r="S3965" s="93"/>
    </row>
    <row r="3966" spans="7:19" x14ac:dyDescent="0.25">
      <c r="G3966" s="92"/>
      <c r="S3966" s="93"/>
    </row>
    <row r="3967" spans="7:19" x14ac:dyDescent="0.25">
      <c r="G3967" s="92"/>
      <c r="S3967" s="93"/>
    </row>
    <row r="3968" spans="7:19" x14ac:dyDescent="0.25">
      <c r="G3968" s="92"/>
      <c r="S3968" s="93"/>
    </row>
    <row r="3969" spans="7:19" x14ac:dyDescent="0.25">
      <c r="G3969" s="92"/>
      <c r="S3969" s="93"/>
    </row>
    <row r="3970" spans="7:19" x14ac:dyDescent="0.25">
      <c r="G3970" s="92"/>
      <c r="S3970" s="93"/>
    </row>
    <row r="3971" spans="7:19" x14ac:dyDescent="0.25">
      <c r="G3971" s="92"/>
      <c r="S3971" s="93"/>
    </row>
    <row r="3972" spans="7:19" x14ac:dyDescent="0.25">
      <c r="G3972" s="92"/>
      <c r="S3972" s="93"/>
    </row>
    <row r="3973" spans="7:19" x14ac:dyDescent="0.25">
      <c r="G3973" s="92"/>
      <c r="S3973" s="93"/>
    </row>
    <row r="3974" spans="7:19" x14ac:dyDescent="0.25">
      <c r="G3974" s="92"/>
      <c r="S3974" s="93"/>
    </row>
    <row r="3975" spans="7:19" x14ac:dyDescent="0.25">
      <c r="G3975" s="92"/>
      <c r="S3975" s="93"/>
    </row>
    <row r="3976" spans="7:19" x14ac:dyDescent="0.25">
      <c r="G3976" s="92"/>
      <c r="S3976" s="93"/>
    </row>
    <row r="3977" spans="7:19" x14ac:dyDescent="0.25">
      <c r="G3977" s="92"/>
      <c r="S3977" s="93"/>
    </row>
    <row r="3978" spans="7:19" x14ac:dyDescent="0.25">
      <c r="G3978" s="92"/>
      <c r="S3978" s="93"/>
    </row>
    <row r="3979" spans="7:19" x14ac:dyDescent="0.25">
      <c r="G3979" s="92"/>
      <c r="S3979" s="93"/>
    </row>
    <row r="3980" spans="7:19" x14ac:dyDescent="0.25">
      <c r="G3980" s="92"/>
      <c r="S3980" s="93"/>
    </row>
    <row r="3981" spans="7:19" x14ac:dyDescent="0.25">
      <c r="G3981" s="92"/>
      <c r="S3981" s="93"/>
    </row>
    <row r="3982" spans="7:19" x14ac:dyDescent="0.25">
      <c r="G3982" s="92"/>
      <c r="S3982" s="93"/>
    </row>
    <row r="3983" spans="7:19" x14ac:dyDescent="0.25">
      <c r="G3983" s="92"/>
      <c r="S3983" s="93"/>
    </row>
    <row r="3984" spans="7:19" x14ac:dyDescent="0.25">
      <c r="G3984" s="92"/>
      <c r="S3984" s="93"/>
    </row>
    <row r="3985" spans="7:19" x14ac:dyDescent="0.25">
      <c r="G3985" s="92"/>
      <c r="S3985" s="93"/>
    </row>
    <row r="3986" spans="7:19" x14ac:dyDescent="0.25">
      <c r="G3986" s="92"/>
      <c r="S3986" s="93"/>
    </row>
    <row r="3987" spans="7:19" x14ac:dyDescent="0.25">
      <c r="G3987" s="92"/>
      <c r="S3987" s="93"/>
    </row>
    <row r="3988" spans="7:19" x14ac:dyDescent="0.25">
      <c r="G3988" s="92"/>
      <c r="S3988" s="93"/>
    </row>
    <row r="3989" spans="7:19" x14ac:dyDescent="0.25">
      <c r="G3989" s="92"/>
      <c r="S3989" s="93"/>
    </row>
    <row r="3990" spans="7:19" x14ac:dyDescent="0.25">
      <c r="G3990" s="92"/>
      <c r="S3990" s="93"/>
    </row>
    <row r="3991" spans="7:19" x14ac:dyDescent="0.25">
      <c r="G3991" s="92"/>
      <c r="S3991" s="93"/>
    </row>
    <row r="3992" spans="7:19" x14ac:dyDescent="0.25">
      <c r="G3992" s="92"/>
      <c r="S3992" s="93"/>
    </row>
    <row r="3993" spans="7:19" x14ac:dyDescent="0.25">
      <c r="G3993" s="92"/>
      <c r="S3993" s="93"/>
    </row>
    <row r="3994" spans="7:19" x14ac:dyDescent="0.25">
      <c r="G3994" s="92"/>
      <c r="S3994" s="93"/>
    </row>
    <row r="3995" spans="7:19" x14ac:dyDescent="0.25">
      <c r="G3995" s="92"/>
      <c r="S3995" s="93"/>
    </row>
    <row r="3996" spans="7:19" x14ac:dyDescent="0.25">
      <c r="G3996" s="92"/>
      <c r="S3996" s="93"/>
    </row>
    <row r="3997" spans="7:19" x14ac:dyDescent="0.25">
      <c r="G3997" s="92"/>
      <c r="S3997" s="93"/>
    </row>
    <row r="3998" spans="7:19" x14ac:dyDescent="0.25">
      <c r="G3998" s="92"/>
      <c r="S3998" s="93"/>
    </row>
    <row r="3999" spans="7:19" x14ac:dyDescent="0.25">
      <c r="G3999" s="92"/>
      <c r="S3999" s="93"/>
    </row>
    <row r="4000" spans="7:19" x14ac:dyDescent="0.25">
      <c r="G4000" s="92"/>
      <c r="S4000" s="93"/>
    </row>
    <row r="4001" spans="7:19" x14ac:dyDescent="0.25">
      <c r="G4001" s="92"/>
      <c r="S4001" s="93"/>
    </row>
    <row r="4002" spans="7:19" x14ac:dyDescent="0.25">
      <c r="G4002" s="92"/>
      <c r="S4002" s="93"/>
    </row>
    <row r="4003" spans="7:19" x14ac:dyDescent="0.25">
      <c r="G4003" s="92"/>
      <c r="S4003" s="93"/>
    </row>
    <row r="4004" spans="7:19" x14ac:dyDescent="0.25">
      <c r="G4004" s="92"/>
      <c r="S4004" s="93"/>
    </row>
    <row r="4005" spans="7:19" x14ac:dyDescent="0.25">
      <c r="G4005" s="92"/>
      <c r="S4005" s="93"/>
    </row>
    <row r="4006" spans="7:19" x14ac:dyDescent="0.25">
      <c r="G4006" s="92"/>
      <c r="S4006" s="93"/>
    </row>
    <row r="4007" spans="7:19" x14ac:dyDescent="0.25">
      <c r="G4007" s="92"/>
      <c r="S4007" s="93"/>
    </row>
    <row r="4008" spans="7:19" x14ac:dyDescent="0.25">
      <c r="G4008" s="92"/>
      <c r="S4008" s="93"/>
    </row>
    <row r="4009" spans="7:19" x14ac:dyDescent="0.25">
      <c r="G4009" s="92"/>
      <c r="S4009" s="93"/>
    </row>
    <row r="4010" spans="7:19" x14ac:dyDescent="0.25">
      <c r="G4010" s="92"/>
      <c r="S4010" s="93"/>
    </row>
    <row r="4011" spans="7:19" x14ac:dyDescent="0.25">
      <c r="G4011" s="92"/>
      <c r="S4011" s="93"/>
    </row>
    <row r="4012" spans="7:19" x14ac:dyDescent="0.25">
      <c r="G4012" s="92"/>
      <c r="S4012" s="93"/>
    </row>
    <row r="4013" spans="7:19" x14ac:dyDescent="0.25">
      <c r="G4013" s="92"/>
      <c r="S4013" s="93"/>
    </row>
    <row r="4014" spans="7:19" x14ac:dyDescent="0.25">
      <c r="G4014" s="92"/>
      <c r="S4014" s="93"/>
    </row>
    <row r="4015" spans="7:19" x14ac:dyDescent="0.25">
      <c r="G4015" s="92"/>
      <c r="S4015" s="93"/>
    </row>
    <row r="4016" spans="7:19" x14ac:dyDescent="0.25">
      <c r="G4016" s="92"/>
      <c r="S4016" s="93"/>
    </row>
    <row r="4017" spans="7:19" x14ac:dyDescent="0.25">
      <c r="G4017" s="92"/>
      <c r="S4017" s="93"/>
    </row>
    <row r="4018" spans="7:19" x14ac:dyDescent="0.25">
      <c r="G4018" s="92"/>
      <c r="S4018" s="93"/>
    </row>
    <row r="4019" spans="7:19" x14ac:dyDescent="0.25">
      <c r="G4019" s="92"/>
      <c r="S4019" s="93"/>
    </row>
    <row r="4020" spans="7:19" x14ac:dyDescent="0.25">
      <c r="G4020" s="92"/>
      <c r="S4020" s="93"/>
    </row>
    <row r="4021" spans="7:19" x14ac:dyDescent="0.25">
      <c r="G4021" s="92"/>
      <c r="S4021" s="93"/>
    </row>
    <row r="4022" spans="7:19" x14ac:dyDescent="0.25">
      <c r="G4022" s="92"/>
      <c r="S4022" s="93"/>
    </row>
    <row r="4023" spans="7:19" x14ac:dyDescent="0.25">
      <c r="G4023" s="92"/>
      <c r="S4023" s="93"/>
    </row>
    <row r="4024" spans="7:19" x14ac:dyDescent="0.25">
      <c r="G4024" s="92"/>
      <c r="S4024" s="93"/>
    </row>
    <row r="4025" spans="7:19" x14ac:dyDescent="0.25">
      <c r="G4025" s="92"/>
      <c r="S4025" s="93"/>
    </row>
    <row r="4026" spans="7:19" x14ac:dyDescent="0.25">
      <c r="G4026" s="92"/>
      <c r="S4026" s="93"/>
    </row>
    <row r="4027" spans="7:19" x14ac:dyDescent="0.25">
      <c r="G4027" s="92"/>
      <c r="S4027" s="93"/>
    </row>
    <row r="4028" spans="7:19" x14ac:dyDescent="0.25">
      <c r="G4028" s="92"/>
      <c r="S4028" s="93"/>
    </row>
    <row r="4029" spans="7:19" x14ac:dyDescent="0.25">
      <c r="G4029" s="92"/>
      <c r="S4029" s="93"/>
    </row>
    <row r="4030" spans="7:19" x14ac:dyDescent="0.25">
      <c r="G4030" s="92"/>
      <c r="S4030" s="93"/>
    </row>
    <row r="4031" spans="7:19" x14ac:dyDescent="0.25">
      <c r="G4031" s="92"/>
      <c r="S4031" s="93"/>
    </row>
    <row r="4032" spans="7:19" x14ac:dyDescent="0.25">
      <c r="G4032" s="92"/>
      <c r="S4032" s="93"/>
    </row>
    <row r="4033" spans="7:19" x14ac:dyDescent="0.25">
      <c r="G4033" s="92"/>
      <c r="S4033" s="93"/>
    </row>
    <row r="4034" spans="7:19" x14ac:dyDescent="0.25">
      <c r="G4034" s="92"/>
      <c r="S4034" s="93"/>
    </row>
    <row r="4035" spans="7:19" x14ac:dyDescent="0.25">
      <c r="G4035" s="92"/>
      <c r="S4035" s="93"/>
    </row>
    <row r="4036" spans="7:19" x14ac:dyDescent="0.25">
      <c r="G4036" s="92"/>
      <c r="S4036" s="93"/>
    </row>
    <row r="4037" spans="7:19" x14ac:dyDescent="0.25">
      <c r="G4037" s="92"/>
      <c r="S4037" s="93"/>
    </row>
    <row r="4038" spans="7:19" x14ac:dyDescent="0.25">
      <c r="G4038" s="92"/>
      <c r="S4038" s="93"/>
    </row>
    <row r="4039" spans="7:19" x14ac:dyDescent="0.25">
      <c r="G4039" s="92"/>
      <c r="S4039" s="93"/>
    </row>
    <row r="4040" spans="7:19" x14ac:dyDescent="0.25">
      <c r="G4040" s="92"/>
      <c r="S4040" s="93"/>
    </row>
    <row r="4041" spans="7:19" x14ac:dyDescent="0.25">
      <c r="G4041" s="92"/>
      <c r="S4041" s="93"/>
    </row>
    <row r="4042" spans="7:19" x14ac:dyDescent="0.25">
      <c r="G4042" s="92"/>
      <c r="S4042" s="93"/>
    </row>
    <row r="4043" spans="7:19" x14ac:dyDescent="0.25">
      <c r="G4043" s="92"/>
      <c r="S4043" s="93"/>
    </row>
    <row r="4044" spans="7:19" x14ac:dyDescent="0.25">
      <c r="G4044" s="92"/>
      <c r="S4044" s="93"/>
    </row>
    <row r="4045" spans="7:19" x14ac:dyDescent="0.25">
      <c r="G4045" s="92"/>
      <c r="S4045" s="93"/>
    </row>
    <row r="4046" spans="7:19" x14ac:dyDescent="0.25">
      <c r="G4046" s="92"/>
      <c r="S4046" s="93"/>
    </row>
    <row r="4047" spans="7:19" x14ac:dyDescent="0.25">
      <c r="G4047" s="92"/>
      <c r="S4047" s="93"/>
    </row>
    <row r="4048" spans="7:19" x14ac:dyDescent="0.25">
      <c r="G4048" s="92"/>
      <c r="S4048" s="93"/>
    </row>
    <row r="4049" spans="7:19" x14ac:dyDescent="0.25">
      <c r="G4049" s="92"/>
      <c r="S4049" s="93"/>
    </row>
    <row r="4050" spans="7:19" x14ac:dyDescent="0.25">
      <c r="G4050" s="92"/>
      <c r="S4050" s="93"/>
    </row>
    <row r="4051" spans="7:19" x14ac:dyDescent="0.25">
      <c r="G4051" s="92"/>
      <c r="S4051" s="93"/>
    </row>
    <row r="4052" spans="7:19" x14ac:dyDescent="0.25">
      <c r="G4052" s="92"/>
      <c r="S4052" s="93"/>
    </row>
    <row r="4053" spans="7:19" x14ac:dyDescent="0.25">
      <c r="G4053" s="92"/>
      <c r="S4053" s="93"/>
    </row>
    <row r="4054" spans="7:19" x14ac:dyDescent="0.25">
      <c r="G4054" s="92"/>
      <c r="S4054" s="93"/>
    </row>
    <row r="4055" spans="7:19" x14ac:dyDescent="0.25">
      <c r="G4055" s="92"/>
      <c r="S4055" s="93"/>
    </row>
    <row r="4056" spans="7:19" x14ac:dyDescent="0.25">
      <c r="G4056" s="92"/>
      <c r="S4056" s="93"/>
    </row>
    <row r="4057" spans="7:19" x14ac:dyDescent="0.25">
      <c r="G4057" s="92"/>
      <c r="S4057" s="93"/>
    </row>
    <row r="4058" spans="7:19" x14ac:dyDescent="0.25">
      <c r="G4058" s="92"/>
      <c r="S4058" s="93"/>
    </row>
    <row r="4059" spans="7:19" x14ac:dyDescent="0.25">
      <c r="G4059" s="92"/>
      <c r="S4059" s="93"/>
    </row>
    <row r="4060" spans="7:19" x14ac:dyDescent="0.25">
      <c r="G4060" s="92"/>
      <c r="S4060" s="93"/>
    </row>
    <row r="4061" spans="7:19" x14ac:dyDescent="0.25">
      <c r="G4061" s="92"/>
      <c r="S4061" s="93"/>
    </row>
    <row r="4062" spans="7:19" x14ac:dyDescent="0.25">
      <c r="G4062" s="92"/>
      <c r="S4062" s="93"/>
    </row>
    <row r="4063" spans="7:19" x14ac:dyDescent="0.25">
      <c r="G4063" s="92"/>
      <c r="S4063" s="93"/>
    </row>
    <row r="4064" spans="7:19" x14ac:dyDescent="0.25">
      <c r="G4064" s="92"/>
      <c r="S4064" s="93"/>
    </row>
    <row r="4065" spans="7:19" x14ac:dyDescent="0.25">
      <c r="G4065" s="92"/>
      <c r="S4065" s="93"/>
    </row>
    <row r="4066" spans="7:19" x14ac:dyDescent="0.25">
      <c r="G4066" s="92"/>
      <c r="S4066" s="93"/>
    </row>
    <row r="4067" spans="7:19" x14ac:dyDescent="0.25">
      <c r="G4067" s="92"/>
      <c r="S4067" s="93"/>
    </row>
    <row r="4068" spans="7:19" x14ac:dyDescent="0.25">
      <c r="G4068" s="92"/>
      <c r="S4068" s="93"/>
    </row>
    <row r="4069" spans="7:19" x14ac:dyDescent="0.25">
      <c r="G4069" s="92"/>
      <c r="S4069" s="93"/>
    </row>
    <row r="4070" spans="7:19" x14ac:dyDescent="0.25">
      <c r="G4070" s="92"/>
      <c r="S4070" s="93"/>
    </row>
    <row r="4071" spans="7:19" x14ac:dyDescent="0.25">
      <c r="G4071" s="92"/>
      <c r="S4071" s="93"/>
    </row>
    <row r="4072" spans="7:19" x14ac:dyDescent="0.25">
      <c r="G4072" s="92"/>
      <c r="S4072" s="93"/>
    </row>
    <row r="4073" spans="7:19" x14ac:dyDescent="0.25">
      <c r="G4073" s="92"/>
      <c r="S4073" s="93"/>
    </row>
    <row r="4074" spans="7:19" x14ac:dyDescent="0.25">
      <c r="G4074" s="92"/>
      <c r="S4074" s="93"/>
    </row>
    <row r="4075" spans="7:19" x14ac:dyDescent="0.25">
      <c r="G4075" s="92"/>
      <c r="S4075" s="93"/>
    </row>
    <row r="4076" spans="7:19" x14ac:dyDescent="0.25">
      <c r="G4076" s="92"/>
      <c r="S4076" s="93"/>
    </row>
    <row r="4077" spans="7:19" x14ac:dyDescent="0.25">
      <c r="G4077" s="92"/>
      <c r="S4077" s="93"/>
    </row>
    <row r="4078" spans="7:19" x14ac:dyDescent="0.25">
      <c r="G4078" s="92"/>
      <c r="S4078" s="93"/>
    </row>
    <row r="4079" spans="7:19" x14ac:dyDescent="0.25">
      <c r="G4079" s="92"/>
      <c r="S4079" s="93"/>
    </row>
    <row r="4080" spans="7:19" x14ac:dyDescent="0.25">
      <c r="G4080" s="92"/>
      <c r="S4080" s="93"/>
    </row>
    <row r="4081" spans="7:19" x14ac:dyDescent="0.25">
      <c r="G4081" s="92"/>
      <c r="S4081" s="93"/>
    </row>
    <row r="4082" spans="7:19" x14ac:dyDescent="0.25">
      <c r="G4082" s="92"/>
      <c r="S4082" s="93"/>
    </row>
    <row r="4083" spans="7:19" x14ac:dyDescent="0.25">
      <c r="G4083" s="92"/>
      <c r="S4083" s="93"/>
    </row>
    <row r="4084" spans="7:19" x14ac:dyDescent="0.25">
      <c r="G4084" s="92"/>
      <c r="S4084" s="93"/>
    </row>
    <row r="4085" spans="7:19" x14ac:dyDescent="0.25">
      <c r="G4085" s="92"/>
      <c r="S4085" s="93"/>
    </row>
    <row r="4086" spans="7:19" x14ac:dyDescent="0.25">
      <c r="G4086" s="92"/>
      <c r="S4086" s="93"/>
    </row>
    <row r="4087" spans="7:19" x14ac:dyDescent="0.25">
      <c r="G4087" s="92"/>
      <c r="S4087" s="93"/>
    </row>
    <row r="4088" spans="7:19" x14ac:dyDescent="0.25">
      <c r="G4088" s="92"/>
      <c r="S4088" s="93"/>
    </row>
    <row r="4089" spans="7:19" x14ac:dyDescent="0.25">
      <c r="G4089" s="92"/>
      <c r="S4089" s="93"/>
    </row>
    <row r="4090" spans="7:19" x14ac:dyDescent="0.25">
      <c r="G4090" s="92"/>
      <c r="S4090" s="93"/>
    </row>
    <row r="4091" spans="7:19" x14ac:dyDescent="0.25">
      <c r="G4091" s="92"/>
      <c r="S4091" s="93"/>
    </row>
    <row r="4092" spans="7:19" x14ac:dyDescent="0.25">
      <c r="G4092" s="92"/>
      <c r="S4092" s="93"/>
    </row>
    <row r="4093" spans="7:19" x14ac:dyDescent="0.25">
      <c r="G4093" s="92"/>
      <c r="S4093" s="93"/>
    </row>
    <row r="4094" spans="7:19" x14ac:dyDescent="0.25">
      <c r="G4094" s="92"/>
      <c r="S4094" s="93"/>
    </row>
    <row r="4095" spans="7:19" x14ac:dyDescent="0.25">
      <c r="G4095" s="92"/>
      <c r="S4095" s="93"/>
    </row>
    <row r="4096" spans="7:19" x14ac:dyDescent="0.25">
      <c r="G4096" s="92"/>
      <c r="S4096" s="93"/>
    </row>
    <row r="4097" spans="7:19" x14ac:dyDescent="0.25">
      <c r="G4097" s="92"/>
      <c r="S4097" s="93"/>
    </row>
    <row r="4098" spans="7:19" x14ac:dyDescent="0.25">
      <c r="G4098" s="92"/>
      <c r="S4098" s="93"/>
    </row>
    <row r="4099" spans="7:19" x14ac:dyDescent="0.25">
      <c r="G4099" s="92"/>
      <c r="S4099" s="93"/>
    </row>
    <row r="4100" spans="7:19" x14ac:dyDescent="0.25">
      <c r="G4100" s="92"/>
      <c r="S4100" s="93"/>
    </row>
    <row r="4101" spans="7:19" x14ac:dyDescent="0.25">
      <c r="G4101" s="92"/>
      <c r="S4101" s="93"/>
    </row>
    <row r="4102" spans="7:19" x14ac:dyDescent="0.25">
      <c r="G4102" s="92"/>
      <c r="S4102" s="93"/>
    </row>
    <row r="4103" spans="7:19" x14ac:dyDescent="0.25">
      <c r="G4103" s="92"/>
      <c r="S4103" s="93"/>
    </row>
    <row r="4104" spans="7:19" x14ac:dyDescent="0.25">
      <c r="G4104" s="92"/>
      <c r="S4104" s="93"/>
    </row>
    <row r="4105" spans="7:19" x14ac:dyDescent="0.25">
      <c r="G4105" s="92"/>
      <c r="S4105" s="93"/>
    </row>
    <row r="4106" spans="7:19" x14ac:dyDescent="0.25">
      <c r="G4106" s="92"/>
      <c r="S4106" s="93"/>
    </row>
    <row r="4107" spans="7:19" x14ac:dyDescent="0.25">
      <c r="G4107" s="92"/>
      <c r="S4107" s="93"/>
    </row>
    <row r="4108" spans="7:19" x14ac:dyDescent="0.25">
      <c r="G4108" s="92"/>
      <c r="S4108" s="93"/>
    </row>
    <row r="4109" spans="7:19" x14ac:dyDescent="0.25">
      <c r="G4109" s="92"/>
      <c r="S4109" s="93"/>
    </row>
    <row r="4110" spans="7:19" x14ac:dyDescent="0.25">
      <c r="G4110" s="92"/>
      <c r="S4110" s="93"/>
    </row>
    <row r="4111" spans="7:19" x14ac:dyDescent="0.25">
      <c r="G4111" s="92"/>
      <c r="S4111" s="93"/>
    </row>
    <row r="4112" spans="7:19" x14ac:dyDescent="0.25">
      <c r="G4112" s="92"/>
      <c r="S4112" s="93"/>
    </row>
    <row r="4113" spans="7:19" x14ac:dyDescent="0.25">
      <c r="G4113" s="92"/>
      <c r="S4113" s="93"/>
    </row>
    <row r="4114" spans="7:19" x14ac:dyDescent="0.25">
      <c r="G4114" s="92"/>
      <c r="S4114" s="93"/>
    </row>
    <row r="4115" spans="7:19" x14ac:dyDescent="0.25">
      <c r="G4115" s="92"/>
      <c r="S4115" s="93"/>
    </row>
    <row r="4116" spans="7:19" x14ac:dyDescent="0.25">
      <c r="G4116" s="92"/>
      <c r="S4116" s="93"/>
    </row>
    <row r="4117" spans="7:19" x14ac:dyDescent="0.25">
      <c r="G4117" s="92"/>
      <c r="S4117" s="93"/>
    </row>
    <row r="4118" spans="7:19" x14ac:dyDescent="0.25">
      <c r="G4118" s="92"/>
      <c r="S4118" s="93"/>
    </row>
    <row r="4119" spans="7:19" x14ac:dyDescent="0.25">
      <c r="G4119" s="92"/>
      <c r="S4119" s="93"/>
    </row>
    <row r="4120" spans="7:19" x14ac:dyDescent="0.25">
      <c r="G4120" s="92"/>
      <c r="S4120" s="93"/>
    </row>
    <row r="4121" spans="7:19" x14ac:dyDescent="0.25">
      <c r="G4121" s="92"/>
      <c r="S4121" s="93"/>
    </row>
    <row r="4122" spans="7:19" x14ac:dyDescent="0.25">
      <c r="G4122" s="92"/>
      <c r="S4122" s="93"/>
    </row>
    <row r="4123" spans="7:19" x14ac:dyDescent="0.25">
      <c r="G4123" s="92"/>
      <c r="S4123" s="93"/>
    </row>
    <row r="4124" spans="7:19" x14ac:dyDescent="0.25">
      <c r="G4124" s="92"/>
      <c r="S4124" s="93"/>
    </row>
    <row r="4125" spans="7:19" x14ac:dyDescent="0.25">
      <c r="G4125" s="92"/>
      <c r="S4125" s="93"/>
    </row>
    <row r="4126" spans="7:19" x14ac:dyDescent="0.25">
      <c r="G4126" s="92"/>
      <c r="S4126" s="93"/>
    </row>
    <row r="4127" spans="7:19" x14ac:dyDescent="0.25">
      <c r="G4127" s="92"/>
      <c r="S4127" s="93"/>
    </row>
    <row r="4128" spans="7:19" x14ac:dyDescent="0.25">
      <c r="G4128" s="92"/>
      <c r="S4128" s="93"/>
    </row>
    <row r="4129" spans="7:19" x14ac:dyDescent="0.25">
      <c r="G4129" s="92"/>
      <c r="S4129" s="93"/>
    </row>
    <row r="4130" spans="7:19" x14ac:dyDescent="0.25">
      <c r="G4130" s="92"/>
      <c r="S4130" s="93"/>
    </row>
    <row r="4131" spans="7:19" x14ac:dyDescent="0.25">
      <c r="G4131" s="92"/>
      <c r="S4131" s="93"/>
    </row>
    <row r="4132" spans="7:19" x14ac:dyDescent="0.25">
      <c r="G4132" s="92"/>
      <c r="S4132" s="93"/>
    </row>
    <row r="4133" spans="7:19" x14ac:dyDescent="0.25">
      <c r="G4133" s="92"/>
      <c r="S4133" s="93"/>
    </row>
    <row r="4134" spans="7:19" x14ac:dyDescent="0.25">
      <c r="G4134" s="92"/>
      <c r="S4134" s="93"/>
    </row>
    <row r="4135" spans="7:19" x14ac:dyDescent="0.25">
      <c r="G4135" s="92"/>
      <c r="S4135" s="93"/>
    </row>
    <row r="4136" spans="7:19" x14ac:dyDescent="0.25">
      <c r="G4136" s="92"/>
      <c r="S4136" s="93"/>
    </row>
    <row r="4137" spans="7:19" x14ac:dyDescent="0.25">
      <c r="G4137" s="92"/>
      <c r="S4137" s="93"/>
    </row>
    <row r="4138" spans="7:19" x14ac:dyDescent="0.25">
      <c r="G4138" s="92"/>
      <c r="S4138" s="93"/>
    </row>
    <row r="4139" spans="7:19" x14ac:dyDescent="0.25">
      <c r="G4139" s="92"/>
      <c r="S4139" s="93"/>
    </row>
    <row r="4140" spans="7:19" x14ac:dyDescent="0.25">
      <c r="G4140" s="92"/>
      <c r="S4140" s="93"/>
    </row>
    <row r="4141" spans="7:19" x14ac:dyDescent="0.25">
      <c r="G4141" s="92"/>
      <c r="S4141" s="93"/>
    </row>
    <row r="4142" spans="7:19" x14ac:dyDescent="0.25">
      <c r="G4142" s="92"/>
      <c r="S4142" s="93"/>
    </row>
    <row r="4143" spans="7:19" x14ac:dyDescent="0.25">
      <c r="G4143" s="92"/>
      <c r="S4143" s="93"/>
    </row>
    <row r="4144" spans="7:19" x14ac:dyDescent="0.25">
      <c r="G4144" s="92"/>
      <c r="S4144" s="93"/>
    </row>
    <row r="4145" spans="7:19" x14ac:dyDescent="0.25">
      <c r="G4145" s="92"/>
      <c r="S4145" s="93"/>
    </row>
    <row r="4146" spans="7:19" x14ac:dyDescent="0.25">
      <c r="G4146" s="92"/>
      <c r="S4146" s="93"/>
    </row>
    <row r="4147" spans="7:19" x14ac:dyDescent="0.25">
      <c r="G4147" s="92"/>
      <c r="S4147" s="93"/>
    </row>
    <row r="4148" spans="7:19" x14ac:dyDescent="0.25">
      <c r="G4148" s="92"/>
      <c r="S4148" s="93"/>
    </row>
    <row r="4149" spans="7:19" x14ac:dyDescent="0.25">
      <c r="G4149" s="92"/>
      <c r="S4149" s="93"/>
    </row>
    <row r="4150" spans="7:19" x14ac:dyDescent="0.25">
      <c r="G4150" s="92"/>
      <c r="S4150" s="93"/>
    </row>
    <row r="4151" spans="7:19" x14ac:dyDescent="0.25">
      <c r="G4151" s="92"/>
      <c r="S4151" s="93"/>
    </row>
    <row r="4152" spans="7:19" x14ac:dyDescent="0.25">
      <c r="G4152" s="92"/>
      <c r="S4152" s="93"/>
    </row>
    <row r="4153" spans="7:19" x14ac:dyDescent="0.25">
      <c r="G4153" s="92"/>
      <c r="S4153" s="93"/>
    </row>
    <row r="4154" spans="7:19" x14ac:dyDescent="0.25">
      <c r="G4154" s="92"/>
      <c r="S4154" s="93"/>
    </row>
    <row r="4155" spans="7:19" x14ac:dyDescent="0.25">
      <c r="G4155" s="92"/>
      <c r="S4155" s="93"/>
    </row>
    <row r="4156" spans="7:19" x14ac:dyDescent="0.25">
      <c r="G4156" s="92"/>
      <c r="S4156" s="93"/>
    </row>
    <row r="4157" spans="7:19" x14ac:dyDescent="0.25">
      <c r="G4157" s="92"/>
      <c r="S4157" s="93"/>
    </row>
    <row r="4158" spans="7:19" x14ac:dyDescent="0.25">
      <c r="G4158" s="92"/>
      <c r="S4158" s="93"/>
    </row>
    <row r="4159" spans="7:19" x14ac:dyDescent="0.25">
      <c r="G4159" s="92"/>
      <c r="S4159" s="93"/>
    </row>
    <row r="4160" spans="7:19" x14ac:dyDescent="0.25">
      <c r="G4160" s="92"/>
      <c r="S4160" s="93"/>
    </row>
    <row r="4161" spans="7:19" x14ac:dyDescent="0.25">
      <c r="G4161" s="92"/>
      <c r="S4161" s="93"/>
    </row>
    <row r="4162" spans="7:19" x14ac:dyDescent="0.25">
      <c r="G4162" s="92"/>
      <c r="S4162" s="93"/>
    </row>
    <row r="4163" spans="7:19" x14ac:dyDescent="0.25">
      <c r="G4163" s="92"/>
      <c r="S4163" s="93"/>
    </row>
    <row r="4164" spans="7:19" x14ac:dyDescent="0.25">
      <c r="G4164" s="92"/>
      <c r="S4164" s="93"/>
    </row>
    <row r="4165" spans="7:19" x14ac:dyDescent="0.25">
      <c r="G4165" s="92"/>
      <c r="S4165" s="93"/>
    </row>
    <row r="4166" spans="7:19" x14ac:dyDescent="0.25">
      <c r="G4166" s="92"/>
      <c r="S4166" s="93"/>
    </row>
    <row r="4167" spans="7:19" x14ac:dyDescent="0.25">
      <c r="G4167" s="92"/>
      <c r="S4167" s="93"/>
    </row>
    <row r="4168" spans="7:19" x14ac:dyDescent="0.25">
      <c r="G4168" s="92"/>
      <c r="S4168" s="93"/>
    </row>
    <row r="4169" spans="7:19" x14ac:dyDescent="0.25">
      <c r="G4169" s="92"/>
      <c r="S4169" s="93"/>
    </row>
    <row r="4170" spans="7:19" x14ac:dyDescent="0.25">
      <c r="G4170" s="92"/>
      <c r="S4170" s="93"/>
    </row>
    <row r="4171" spans="7:19" x14ac:dyDescent="0.25">
      <c r="G4171" s="92"/>
      <c r="S4171" s="93"/>
    </row>
    <row r="4172" spans="7:19" x14ac:dyDescent="0.25">
      <c r="G4172" s="92"/>
      <c r="S4172" s="93"/>
    </row>
    <row r="4173" spans="7:19" x14ac:dyDescent="0.25">
      <c r="G4173" s="92"/>
      <c r="S4173" s="93"/>
    </row>
    <row r="4174" spans="7:19" x14ac:dyDescent="0.25">
      <c r="G4174" s="92"/>
      <c r="S4174" s="93"/>
    </row>
    <row r="4175" spans="7:19" x14ac:dyDescent="0.25">
      <c r="G4175" s="81"/>
      <c r="S4175" s="93"/>
    </row>
    <row r="4176" spans="7:19" x14ac:dyDescent="0.25">
      <c r="G4176" s="81"/>
      <c r="S4176" s="93"/>
    </row>
    <row r="4177" spans="7:19" x14ac:dyDescent="0.25">
      <c r="G4177" s="81"/>
      <c r="S4177" s="93"/>
    </row>
    <row r="4178" spans="7:19" x14ac:dyDescent="0.25">
      <c r="G4178" s="81"/>
      <c r="S4178" s="93"/>
    </row>
    <row r="4179" spans="7:19" x14ac:dyDescent="0.25">
      <c r="G4179" s="81"/>
      <c r="S4179" s="93"/>
    </row>
    <row r="4180" spans="7:19" x14ac:dyDescent="0.25">
      <c r="G4180" s="81"/>
      <c r="S4180" s="93"/>
    </row>
    <row r="4181" spans="7:19" x14ac:dyDescent="0.25">
      <c r="G4181" s="81"/>
      <c r="S4181" s="93"/>
    </row>
    <row r="4182" spans="7:19" x14ac:dyDescent="0.25">
      <c r="G4182" s="81"/>
      <c r="S4182" s="93"/>
    </row>
    <row r="4183" spans="7:19" x14ac:dyDescent="0.25">
      <c r="G4183" s="81"/>
      <c r="S4183" s="93"/>
    </row>
    <row r="4184" spans="7:19" x14ac:dyDescent="0.25">
      <c r="G4184" s="81"/>
      <c r="S4184" s="93"/>
    </row>
    <row r="4185" spans="7:19" x14ac:dyDescent="0.25">
      <c r="G4185" s="81"/>
      <c r="S4185" s="93"/>
    </row>
    <row r="4186" spans="7:19" x14ac:dyDescent="0.25">
      <c r="G4186" s="81"/>
      <c r="S4186" s="93"/>
    </row>
    <row r="4187" spans="7:19" x14ac:dyDescent="0.25">
      <c r="G4187" s="81"/>
      <c r="S4187" s="93"/>
    </row>
    <row r="4188" spans="7:19" x14ac:dyDescent="0.25">
      <c r="G4188" s="81"/>
      <c r="S4188" s="93"/>
    </row>
    <row r="4189" spans="7:19" x14ac:dyDescent="0.25">
      <c r="G4189" s="81"/>
      <c r="S4189" s="93"/>
    </row>
    <row r="4190" spans="7:19" x14ac:dyDescent="0.25">
      <c r="G4190" s="81"/>
      <c r="S4190" s="93"/>
    </row>
    <row r="4191" spans="7:19" x14ac:dyDescent="0.25">
      <c r="G4191" s="81"/>
      <c r="S4191" s="93"/>
    </row>
    <row r="4192" spans="7:19" x14ac:dyDescent="0.25">
      <c r="G4192" s="81"/>
      <c r="S4192" s="93"/>
    </row>
    <row r="4193" spans="7:19" x14ac:dyDescent="0.25">
      <c r="G4193" s="81"/>
      <c r="S4193" s="93"/>
    </row>
    <row r="4194" spans="7:19" x14ac:dyDescent="0.25">
      <c r="G4194" s="81"/>
      <c r="S4194" s="93"/>
    </row>
    <row r="4195" spans="7:19" x14ac:dyDescent="0.25">
      <c r="G4195" s="81"/>
      <c r="S4195" s="93"/>
    </row>
    <row r="4196" spans="7:19" x14ac:dyDescent="0.25">
      <c r="G4196" s="81"/>
      <c r="S4196" s="93"/>
    </row>
    <row r="4197" spans="7:19" x14ac:dyDescent="0.25">
      <c r="G4197" s="81"/>
      <c r="S4197" s="93"/>
    </row>
    <row r="4198" spans="7:19" x14ac:dyDescent="0.25">
      <c r="G4198" s="81"/>
      <c r="S4198" s="93"/>
    </row>
    <row r="4199" spans="7:19" x14ac:dyDescent="0.25">
      <c r="G4199" s="81"/>
      <c r="S4199" s="93"/>
    </row>
    <row r="4200" spans="7:19" x14ac:dyDescent="0.25">
      <c r="G4200" s="81"/>
      <c r="S4200" s="93"/>
    </row>
    <row r="4201" spans="7:19" x14ac:dyDescent="0.25">
      <c r="G4201" s="81"/>
      <c r="S4201" s="93"/>
    </row>
    <row r="4202" spans="7:19" x14ac:dyDescent="0.25">
      <c r="G4202" s="81"/>
      <c r="S4202" s="93"/>
    </row>
    <row r="4203" spans="7:19" x14ac:dyDescent="0.25">
      <c r="G4203" s="81"/>
      <c r="S4203" s="93"/>
    </row>
    <row r="4204" spans="7:19" x14ac:dyDescent="0.25">
      <c r="G4204" s="81"/>
      <c r="S4204" s="93"/>
    </row>
    <row r="4205" spans="7:19" x14ac:dyDescent="0.25">
      <c r="G4205" s="81"/>
      <c r="S4205" s="93"/>
    </row>
    <row r="4206" spans="7:19" x14ac:dyDescent="0.25">
      <c r="G4206" s="81"/>
      <c r="S4206" s="93"/>
    </row>
    <row r="4207" spans="7:19" x14ac:dyDescent="0.25">
      <c r="G4207" s="81"/>
      <c r="S4207" s="93"/>
    </row>
    <row r="4208" spans="7:19" x14ac:dyDescent="0.25">
      <c r="G4208" s="81"/>
      <c r="S4208" s="93"/>
    </row>
    <row r="4209" spans="7:19" x14ac:dyDescent="0.25">
      <c r="G4209" s="81"/>
      <c r="S4209" s="93"/>
    </row>
    <row r="4210" spans="7:19" x14ac:dyDescent="0.25">
      <c r="G4210" s="81"/>
      <c r="S4210" s="93"/>
    </row>
    <row r="4211" spans="7:19" x14ac:dyDescent="0.25">
      <c r="G4211" s="81"/>
      <c r="S4211" s="93"/>
    </row>
    <row r="4212" spans="7:19" x14ac:dyDescent="0.25">
      <c r="G4212" s="81"/>
      <c r="S4212" s="93"/>
    </row>
    <row r="4213" spans="7:19" x14ac:dyDescent="0.25">
      <c r="G4213" s="81"/>
      <c r="S4213" s="93"/>
    </row>
    <row r="4214" spans="7:19" x14ac:dyDescent="0.25">
      <c r="G4214" s="81"/>
      <c r="S4214" s="93"/>
    </row>
    <row r="4215" spans="7:19" x14ac:dyDescent="0.25">
      <c r="G4215" s="81"/>
      <c r="S4215" s="93"/>
    </row>
    <row r="4216" spans="7:19" x14ac:dyDescent="0.25">
      <c r="G4216" s="81"/>
      <c r="S4216" s="93"/>
    </row>
    <row r="4217" spans="7:19" x14ac:dyDescent="0.25">
      <c r="G4217" s="81"/>
      <c r="S4217" s="93"/>
    </row>
    <row r="4218" spans="7:19" x14ac:dyDescent="0.25">
      <c r="G4218" s="81"/>
      <c r="S4218" s="93"/>
    </row>
    <row r="4219" spans="7:19" x14ac:dyDescent="0.25">
      <c r="G4219" s="81"/>
      <c r="S4219" s="93"/>
    </row>
    <row r="4220" spans="7:19" x14ac:dyDescent="0.25">
      <c r="G4220" s="81"/>
      <c r="S4220" s="93"/>
    </row>
    <row r="4221" spans="7:19" x14ac:dyDescent="0.25">
      <c r="G4221" s="81"/>
      <c r="S4221" s="93"/>
    </row>
    <row r="4222" spans="7:19" x14ac:dyDescent="0.25">
      <c r="G4222" s="81"/>
      <c r="S4222" s="93"/>
    </row>
    <row r="4223" spans="7:19" x14ac:dyDescent="0.25">
      <c r="G4223" s="81"/>
      <c r="S4223" s="93"/>
    </row>
    <row r="4224" spans="7:19" x14ac:dyDescent="0.25">
      <c r="G4224" s="81"/>
      <c r="S4224" s="93"/>
    </row>
    <row r="4225" spans="7:19" x14ac:dyDescent="0.25">
      <c r="G4225" s="81"/>
      <c r="S4225" s="93"/>
    </row>
    <row r="4226" spans="7:19" x14ac:dyDescent="0.25">
      <c r="G4226" s="81"/>
      <c r="S4226" s="93"/>
    </row>
    <row r="4227" spans="7:19" x14ac:dyDescent="0.25">
      <c r="G4227" s="81"/>
      <c r="S4227" s="93"/>
    </row>
    <row r="4228" spans="7:19" x14ac:dyDescent="0.25">
      <c r="G4228" s="81"/>
      <c r="S4228" s="93"/>
    </row>
    <row r="4229" spans="7:19" x14ac:dyDescent="0.25">
      <c r="G4229" s="81"/>
      <c r="S4229" s="93"/>
    </row>
    <row r="4230" spans="7:19" x14ac:dyDescent="0.25">
      <c r="G4230" s="81"/>
      <c r="S4230" s="93"/>
    </row>
    <row r="4231" spans="7:19" x14ac:dyDescent="0.25">
      <c r="G4231" s="81"/>
      <c r="S4231" s="93"/>
    </row>
    <row r="4232" spans="7:19" x14ac:dyDescent="0.25">
      <c r="G4232" s="81"/>
      <c r="S4232" s="93"/>
    </row>
    <row r="4233" spans="7:19" x14ac:dyDescent="0.25">
      <c r="G4233" s="81"/>
      <c r="S4233" s="93"/>
    </row>
    <row r="4234" spans="7:19" x14ac:dyDescent="0.25">
      <c r="G4234" s="81"/>
      <c r="S4234" s="93"/>
    </row>
    <row r="4235" spans="7:19" x14ac:dyDescent="0.25">
      <c r="G4235" s="81"/>
      <c r="S4235" s="93"/>
    </row>
    <row r="4236" spans="7:19" x14ac:dyDescent="0.25">
      <c r="G4236" s="81"/>
      <c r="S4236" s="93"/>
    </row>
    <row r="4237" spans="7:19" x14ac:dyDescent="0.25">
      <c r="G4237" s="81"/>
      <c r="S4237" s="93"/>
    </row>
    <row r="4238" spans="7:19" x14ac:dyDescent="0.25">
      <c r="G4238" s="81"/>
      <c r="S4238" s="93"/>
    </row>
    <row r="4239" spans="7:19" x14ac:dyDescent="0.25">
      <c r="G4239" s="81"/>
      <c r="S4239" s="93"/>
    </row>
    <row r="4240" spans="7:19" x14ac:dyDescent="0.25">
      <c r="G4240" s="81"/>
      <c r="S4240" s="93"/>
    </row>
    <row r="4241" spans="7:19" x14ac:dyDescent="0.25">
      <c r="G4241" s="81"/>
      <c r="S4241" s="93"/>
    </row>
    <row r="4242" spans="7:19" x14ac:dyDescent="0.25">
      <c r="G4242" s="81"/>
      <c r="S4242" s="93"/>
    </row>
    <row r="4243" spans="7:19" x14ac:dyDescent="0.25">
      <c r="G4243" s="81"/>
      <c r="S4243" s="93"/>
    </row>
    <row r="4244" spans="7:19" x14ac:dyDescent="0.25">
      <c r="G4244" s="81"/>
      <c r="S4244" s="93"/>
    </row>
    <row r="4245" spans="7:19" x14ac:dyDescent="0.25">
      <c r="G4245" s="81"/>
      <c r="S4245" s="93"/>
    </row>
    <row r="4246" spans="7:19" x14ac:dyDescent="0.25">
      <c r="G4246" s="81"/>
      <c r="S4246" s="93"/>
    </row>
    <row r="4247" spans="7:19" x14ac:dyDescent="0.25">
      <c r="G4247" s="81"/>
      <c r="S4247" s="93"/>
    </row>
    <row r="4248" spans="7:19" x14ac:dyDescent="0.25">
      <c r="G4248" s="81"/>
      <c r="S4248" s="93"/>
    </row>
    <row r="4249" spans="7:19" x14ac:dyDescent="0.25">
      <c r="G4249" s="81"/>
      <c r="S4249" s="93"/>
    </row>
    <row r="4250" spans="7:19" x14ac:dyDescent="0.25">
      <c r="G4250" s="81"/>
      <c r="S4250" s="93"/>
    </row>
    <row r="4251" spans="7:19" x14ac:dyDescent="0.25">
      <c r="G4251" s="81"/>
      <c r="S4251" s="93"/>
    </row>
    <row r="4252" spans="7:19" x14ac:dyDescent="0.25">
      <c r="G4252" s="81"/>
      <c r="S4252" s="93"/>
    </row>
    <row r="4253" spans="7:19" x14ac:dyDescent="0.25">
      <c r="G4253" s="81"/>
      <c r="S4253" s="93"/>
    </row>
    <row r="4254" spans="7:19" x14ac:dyDescent="0.25">
      <c r="G4254" s="81"/>
      <c r="S4254" s="93"/>
    </row>
    <row r="4255" spans="7:19" x14ac:dyDescent="0.25">
      <c r="G4255" s="81"/>
      <c r="S4255" s="93"/>
    </row>
    <row r="4256" spans="7:19" x14ac:dyDescent="0.25">
      <c r="G4256" s="81"/>
      <c r="S4256" s="93"/>
    </row>
    <row r="4257" spans="7:19" x14ac:dyDescent="0.25">
      <c r="G4257" s="81"/>
      <c r="S4257" s="93"/>
    </row>
    <row r="4258" spans="7:19" x14ac:dyDescent="0.25">
      <c r="G4258" s="81"/>
      <c r="S4258" s="93"/>
    </row>
    <row r="4259" spans="7:19" x14ac:dyDescent="0.25">
      <c r="G4259" s="81"/>
      <c r="S4259" s="93"/>
    </row>
    <row r="4260" spans="7:19" x14ac:dyDescent="0.25">
      <c r="G4260" s="81"/>
      <c r="S4260" s="93"/>
    </row>
    <row r="4261" spans="7:19" x14ac:dyDescent="0.25">
      <c r="G4261" s="81"/>
      <c r="S4261" s="93"/>
    </row>
    <row r="4262" spans="7:19" x14ac:dyDescent="0.25">
      <c r="G4262" s="81"/>
      <c r="S4262" s="93"/>
    </row>
    <row r="4263" spans="7:19" x14ac:dyDescent="0.25">
      <c r="G4263" s="81"/>
      <c r="S4263" s="93"/>
    </row>
    <row r="4264" spans="7:19" x14ac:dyDescent="0.25">
      <c r="G4264" s="81"/>
      <c r="S4264" s="93"/>
    </row>
    <row r="4265" spans="7:19" x14ac:dyDescent="0.25">
      <c r="G4265" s="81"/>
      <c r="S4265" s="93"/>
    </row>
    <row r="4266" spans="7:19" x14ac:dyDescent="0.25">
      <c r="G4266" s="81"/>
      <c r="S4266" s="93"/>
    </row>
    <row r="4267" spans="7:19" x14ac:dyDescent="0.25">
      <c r="G4267" s="81"/>
      <c r="S4267" s="93"/>
    </row>
    <row r="4268" spans="7:19" x14ac:dyDescent="0.25">
      <c r="G4268" s="81"/>
      <c r="S4268" s="93"/>
    </row>
    <row r="4269" spans="7:19" x14ac:dyDescent="0.25">
      <c r="G4269" s="81"/>
      <c r="S4269" s="93"/>
    </row>
    <row r="4270" spans="7:19" x14ac:dyDescent="0.25">
      <c r="G4270" s="81"/>
      <c r="S4270" s="93"/>
    </row>
    <row r="4271" spans="7:19" x14ac:dyDescent="0.25">
      <c r="G4271" s="81"/>
      <c r="S4271" s="93"/>
    </row>
    <row r="4272" spans="7:19" x14ac:dyDescent="0.25">
      <c r="G4272" s="81"/>
      <c r="S4272" s="93"/>
    </row>
    <row r="4273" spans="7:19" x14ac:dyDescent="0.25">
      <c r="G4273" s="81"/>
      <c r="S4273" s="93"/>
    </row>
    <row r="4274" spans="7:19" x14ac:dyDescent="0.25">
      <c r="G4274" s="81"/>
      <c r="S4274" s="93"/>
    </row>
    <row r="4275" spans="7:19" x14ac:dyDescent="0.25">
      <c r="G4275" s="81"/>
      <c r="S4275" s="93"/>
    </row>
    <row r="4276" spans="7:19" x14ac:dyDescent="0.25">
      <c r="G4276" s="81"/>
      <c r="S4276" s="93"/>
    </row>
    <row r="4277" spans="7:19" x14ac:dyDescent="0.25">
      <c r="G4277" s="81"/>
      <c r="S4277" s="93"/>
    </row>
    <row r="4278" spans="7:19" x14ac:dyDescent="0.25">
      <c r="G4278" s="81"/>
      <c r="S4278" s="93"/>
    </row>
    <row r="4279" spans="7:19" x14ac:dyDescent="0.25">
      <c r="G4279" s="81"/>
      <c r="S4279" s="93"/>
    </row>
    <row r="4280" spans="7:19" x14ac:dyDescent="0.25">
      <c r="G4280" s="81"/>
      <c r="S4280" s="93"/>
    </row>
    <row r="4281" spans="7:19" x14ac:dyDescent="0.25">
      <c r="G4281" s="81"/>
      <c r="S4281" s="93"/>
    </row>
    <row r="4282" spans="7:19" x14ac:dyDescent="0.25">
      <c r="G4282" s="81"/>
      <c r="S4282" s="93"/>
    </row>
    <row r="4283" spans="7:19" x14ac:dyDescent="0.25">
      <c r="G4283" s="81"/>
      <c r="S4283" s="93"/>
    </row>
    <row r="4284" spans="7:19" x14ac:dyDescent="0.25">
      <c r="G4284" s="81"/>
      <c r="S4284" s="93"/>
    </row>
    <row r="4285" spans="7:19" x14ac:dyDescent="0.25">
      <c r="G4285" s="81"/>
      <c r="S4285" s="93"/>
    </row>
    <row r="4286" spans="7:19" x14ac:dyDescent="0.25">
      <c r="G4286" s="81"/>
      <c r="S4286" s="93"/>
    </row>
    <row r="4287" spans="7:19" x14ac:dyDescent="0.25">
      <c r="G4287" s="81"/>
      <c r="S4287" s="93"/>
    </row>
    <row r="4288" spans="7:19" x14ac:dyDescent="0.25">
      <c r="G4288" s="81"/>
      <c r="S4288" s="93"/>
    </row>
    <row r="4289" spans="7:19" x14ac:dyDescent="0.25">
      <c r="G4289" s="81"/>
      <c r="S4289" s="93"/>
    </row>
    <row r="4290" spans="7:19" x14ac:dyDescent="0.25">
      <c r="G4290" s="81"/>
      <c r="S4290" s="93"/>
    </row>
    <row r="4291" spans="7:19" x14ac:dyDescent="0.25">
      <c r="G4291" s="81"/>
      <c r="S4291" s="93"/>
    </row>
    <row r="4292" spans="7:19" x14ac:dyDescent="0.25">
      <c r="G4292" s="81"/>
      <c r="S4292" s="93"/>
    </row>
    <row r="4293" spans="7:19" x14ac:dyDescent="0.25">
      <c r="G4293" s="81"/>
      <c r="S4293" s="93"/>
    </row>
    <row r="4294" spans="7:19" x14ac:dyDescent="0.25">
      <c r="G4294" s="81"/>
      <c r="S4294" s="93"/>
    </row>
    <row r="4295" spans="7:19" x14ac:dyDescent="0.25">
      <c r="G4295" s="81"/>
      <c r="S4295" s="93"/>
    </row>
    <row r="4296" spans="7:19" x14ac:dyDescent="0.25">
      <c r="G4296" s="81"/>
      <c r="S4296" s="93"/>
    </row>
    <row r="4297" spans="7:19" x14ac:dyDescent="0.25">
      <c r="G4297" s="81"/>
      <c r="S4297" s="93"/>
    </row>
    <row r="4298" spans="7:19" x14ac:dyDescent="0.25">
      <c r="G4298" s="81"/>
      <c r="S4298" s="93"/>
    </row>
    <row r="4299" spans="7:19" x14ac:dyDescent="0.25">
      <c r="G4299" s="81"/>
      <c r="S4299" s="93"/>
    </row>
    <row r="4300" spans="7:19" x14ac:dyDescent="0.25">
      <c r="G4300" s="81"/>
      <c r="S4300" s="93"/>
    </row>
    <row r="4301" spans="7:19" x14ac:dyDescent="0.25">
      <c r="G4301" s="81"/>
      <c r="S4301" s="93"/>
    </row>
    <row r="4302" spans="7:19" x14ac:dyDescent="0.25">
      <c r="G4302" s="81"/>
      <c r="S4302" s="93"/>
    </row>
    <row r="4303" spans="7:19" x14ac:dyDescent="0.25">
      <c r="G4303" s="81"/>
      <c r="S4303" s="93"/>
    </row>
    <row r="4304" spans="7:19" x14ac:dyDescent="0.25">
      <c r="G4304" s="81"/>
      <c r="S4304" s="93"/>
    </row>
    <row r="4305" spans="7:19" x14ac:dyDescent="0.25">
      <c r="G4305" s="81"/>
      <c r="S4305" s="93"/>
    </row>
    <row r="4306" spans="7:19" x14ac:dyDescent="0.25">
      <c r="G4306" s="81"/>
      <c r="S4306" s="93"/>
    </row>
    <row r="4307" spans="7:19" x14ac:dyDescent="0.25">
      <c r="G4307" s="81"/>
      <c r="S4307" s="93"/>
    </row>
    <row r="4308" spans="7:19" x14ac:dyDescent="0.25">
      <c r="G4308" s="81"/>
      <c r="S4308" s="93"/>
    </row>
    <row r="4309" spans="7:19" x14ac:dyDescent="0.25">
      <c r="G4309" s="81"/>
      <c r="S4309" s="93"/>
    </row>
    <row r="4310" spans="7:19" x14ac:dyDescent="0.25">
      <c r="G4310" s="81"/>
      <c r="S4310" s="93"/>
    </row>
    <row r="4311" spans="7:19" x14ac:dyDescent="0.25">
      <c r="G4311" s="81"/>
      <c r="S4311" s="93"/>
    </row>
    <row r="4312" spans="7:19" x14ac:dyDescent="0.25">
      <c r="G4312" s="81"/>
      <c r="S4312" s="93"/>
    </row>
    <row r="4313" spans="7:19" x14ac:dyDescent="0.25">
      <c r="G4313" s="81"/>
      <c r="S4313" s="93"/>
    </row>
    <row r="4314" spans="7:19" x14ac:dyDescent="0.25">
      <c r="G4314" s="81"/>
      <c r="S4314" s="93"/>
    </row>
    <row r="4315" spans="7:19" x14ac:dyDescent="0.25">
      <c r="G4315" s="81"/>
      <c r="S4315" s="93"/>
    </row>
    <row r="4316" spans="7:19" x14ac:dyDescent="0.25">
      <c r="G4316" s="81"/>
      <c r="S4316" s="93"/>
    </row>
    <row r="4317" spans="7:19" x14ac:dyDescent="0.25">
      <c r="G4317" s="81"/>
      <c r="S4317" s="93"/>
    </row>
    <row r="4318" spans="7:19" x14ac:dyDescent="0.25">
      <c r="G4318" s="81"/>
      <c r="S4318" s="93"/>
    </row>
    <row r="4319" spans="7:19" x14ac:dyDescent="0.25">
      <c r="G4319" s="81"/>
      <c r="S4319" s="93"/>
    </row>
    <row r="4320" spans="7:19" x14ac:dyDescent="0.25">
      <c r="G4320" s="81"/>
      <c r="S4320" s="93"/>
    </row>
    <row r="4321" spans="7:19" x14ac:dyDescent="0.25">
      <c r="G4321" s="81"/>
      <c r="S4321" s="93"/>
    </row>
    <row r="4322" spans="7:19" x14ac:dyDescent="0.25">
      <c r="G4322" s="81"/>
      <c r="S4322" s="93"/>
    </row>
    <row r="4323" spans="7:19" x14ac:dyDescent="0.25">
      <c r="G4323" s="81"/>
      <c r="S4323" s="93"/>
    </row>
    <row r="4324" spans="7:19" x14ac:dyDescent="0.25">
      <c r="G4324" s="81"/>
      <c r="S4324" s="93"/>
    </row>
    <row r="4325" spans="7:19" x14ac:dyDescent="0.25">
      <c r="G4325" s="81"/>
      <c r="S4325" s="93"/>
    </row>
    <row r="4326" spans="7:19" x14ac:dyDescent="0.25">
      <c r="G4326" s="81"/>
      <c r="S4326" s="93"/>
    </row>
    <row r="4327" spans="7:19" x14ac:dyDescent="0.25">
      <c r="G4327" s="81"/>
      <c r="S4327" s="93"/>
    </row>
    <row r="4328" spans="7:19" x14ac:dyDescent="0.25">
      <c r="G4328" s="81"/>
      <c r="S4328" s="93"/>
    </row>
    <row r="4329" spans="7:19" x14ac:dyDescent="0.25">
      <c r="G4329" s="81"/>
      <c r="S4329" s="93"/>
    </row>
    <row r="4330" spans="7:19" x14ac:dyDescent="0.25">
      <c r="G4330" s="81"/>
      <c r="S4330" s="93"/>
    </row>
    <row r="4331" spans="7:19" x14ac:dyDescent="0.25">
      <c r="G4331" s="81"/>
      <c r="S4331" s="93"/>
    </row>
    <row r="4332" spans="7:19" x14ac:dyDescent="0.25">
      <c r="G4332" s="81"/>
      <c r="S4332" s="93"/>
    </row>
    <row r="4333" spans="7:19" x14ac:dyDescent="0.25">
      <c r="G4333" s="81"/>
      <c r="S4333" s="93"/>
    </row>
    <row r="4334" spans="7:19" x14ac:dyDescent="0.25">
      <c r="G4334" s="81"/>
      <c r="S4334" s="93"/>
    </row>
    <row r="4335" spans="7:19" x14ac:dyDescent="0.25">
      <c r="G4335" s="81"/>
      <c r="S4335" s="93"/>
    </row>
    <row r="4336" spans="7:19" x14ac:dyDescent="0.25">
      <c r="G4336" s="81"/>
      <c r="S4336" s="93"/>
    </row>
    <row r="4337" spans="7:19" x14ac:dyDescent="0.25">
      <c r="G4337" s="81"/>
      <c r="S4337" s="93"/>
    </row>
    <row r="4338" spans="7:19" x14ac:dyDescent="0.25">
      <c r="G4338" s="81"/>
      <c r="S4338" s="93"/>
    </row>
    <row r="4339" spans="7:19" x14ac:dyDescent="0.25">
      <c r="G4339" s="81"/>
      <c r="S4339" s="93"/>
    </row>
    <row r="4340" spans="7:19" x14ac:dyDescent="0.25">
      <c r="G4340" s="81"/>
      <c r="S4340" s="93"/>
    </row>
    <row r="4341" spans="7:19" x14ac:dyDescent="0.25">
      <c r="G4341" s="81"/>
      <c r="S4341" s="93"/>
    </row>
    <row r="4342" spans="7:19" x14ac:dyDescent="0.25">
      <c r="G4342" s="81"/>
      <c r="S4342" s="93"/>
    </row>
    <row r="4343" spans="7:19" x14ac:dyDescent="0.25">
      <c r="G4343" s="81"/>
      <c r="S4343" s="93"/>
    </row>
    <row r="4344" spans="7:19" x14ac:dyDescent="0.25">
      <c r="G4344" s="81"/>
      <c r="S4344" s="93"/>
    </row>
    <row r="4345" spans="7:19" x14ac:dyDescent="0.25">
      <c r="G4345" s="81"/>
      <c r="S4345" s="93"/>
    </row>
    <row r="4346" spans="7:19" x14ac:dyDescent="0.25">
      <c r="G4346" s="81"/>
      <c r="S4346" s="93"/>
    </row>
    <row r="4347" spans="7:19" x14ac:dyDescent="0.25">
      <c r="G4347" s="81"/>
      <c r="S4347" s="93"/>
    </row>
    <row r="4348" spans="7:19" x14ac:dyDescent="0.25">
      <c r="G4348" s="81"/>
      <c r="S4348" s="93"/>
    </row>
    <row r="4349" spans="7:19" x14ac:dyDescent="0.25">
      <c r="G4349" s="81"/>
      <c r="S4349" s="93"/>
    </row>
    <row r="4350" spans="7:19" x14ac:dyDescent="0.25">
      <c r="G4350" s="81"/>
      <c r="S4350" s="93"/>
    </row>
    <row r="4351" spans="7:19" x14ac:dyDescent="0.25">
      <c r="G4351" s="81"/>
      <c r="S4351" s="93"/>
    </row>
    <row r="4352" spans="7:19" x14ac:dyDescent="0.25">
      <c r="G4352" s="81"/>
      <c r="S4352" s="93"/>
    </row>
    <row r="4353" spans="7:19" x14ac:dyDescent="0.25">
      <c r="G4353" s="81"/>
      <c r="S4353" s="93"/>
    </row>
    <row r="4354" spans="7:19" x14ac:dyDescent="0.25">
      <c r="G4354" s="81"/>
      <c r="S4354" s="93"/>
    </row>
    <row r="4355" spans="7:19" x14ac:dyDescent="0.25">
      <c r="G4355" s="81"/>
      <c r="S4355" s="93"/>
    </row>
    <row r="4356" spans="7:19" x14ac:dyDescent="0.25">
      <c r="G4356" s="81"/>
      <c r="S4356" s="93"/>
    </row>
    <row r="4357" spans="7:19" x14ac:dyDescent="0.25">
      <c r="G4357" s="81"/>
      <c r="S4357" s="93"/>
    </row>
    <row r="4358" spans="7:19" x14ac:dyDescent="0.25">
      <c r="G4358" s="81"/>
      <c r="S4358" s="93"/>
    </row>
    <row r="4359" spans="7:19" x14ac:dyDescent="0.25">
      <c r="G4359" s="81"/>
      <c r="S4359" s="93"/>
    </row>
    <row r="4360" spans="7:19" x14ac:dyDescent="0.25">
      <c r="G4360" s="81"/>
      <c r="S4360" s="93"/>
    </row>
    <row r="4361" spans="7:19" x14ac:dyDescent="0.25">
      <c r="G4361" s="81"/>
      <c r="S4361" s="93"/>
    </row>
    <row r="4362" spans="7:19" x14ac:dyDescent="0.25">
      <c r="G4362" s="81"/>
      <c r="S4362" s="93"/>
    </row>
    <row r="4363" spans="7:19" x14ac:dyDescent="0.25">
      <c r="G4363" s="81"/>
      <c r="S4363" s="93"/>
    </row>
    <row r="4364" spans="7:19" x14ac:dyDescent="0.25">
      <c r="G4364" s="81"/>
      <c r="S4364" s="93"/>
    </row>
    <row r="4365" spans="7:19" x14ac:dyDescent="0.25">
      <c r="G4365" s="81"/>
      <c r="S4365" s="93"/>
    </row>
    <row r="4366" spans="7:19" x14ac:dyDescent="0.25">
      <c r="G4366" s="81"/>
      <c r="S4366" s="93"/>
    </row>
    <row r="4367" spans="7:19" x14ac:dyDescent="0.25">
      <c r="G4367" s="81"/>
      <c r="S4367" s="93"/>
    </row>
    <row r="4368" spans="7:19" x14ac:dyDescent="0.25">
      <c r="G4368" s="81"/>
      <c r="S4368" s="93"/>
    </row>
    <row r="4369" spans="7:19" x14ac:dyDescent="0.25">
      <c r="G4369" s="81"/>
      <c r="S4369" s="93"/>
    </row>
    <row r="4370" spans="7:19" x14ac:dyDescent="0.25">
      <c r="G4370" s="81"/>
      <c r="S4370" s="93"/>
    </row>
    <row r="4371" spans="7:19" x14ac:dyDescent="0.25">
      <c r="G4371" s="81"/>
      <c r="S4371" s="93"/>
    </row>
    <row r="4372" spans="7:19" x14ac:dyDescent="0.25">
      <c r="G4372" s="81"/>
      <c r="S4372" s="93"/>
    </row>
    <row r="4373" spans="7:19" x14ac:dyDescent="0.25">
      <c r="G4373" s="81"/>
      <c r="S4373" s="93"/>
    </row>
    <row r="4374" spans="7:19" x14ac:dyDescent="0.25">
      <c r="G4374" s="81"/>
      <c r="S4374" s="93"/>
    </row>
    <row r="4375" spans="7:19" x14ac:dyDescent="0.25">
      <c r="G4375" s="81"/>
      <c r="S4375" s="93"/>
    </row>
    <row r="4376" spans="7:19" x14ac:dyDescent="0.25">
      <c r="G4376" s="81"/>
      <c r="S4376" s="93"/>
    </row>
    <row r="4377" spans="7:19" x14ac:dyDescent="0.25">
      <c r="G4377" s="81"/>
      <c r="S4377" s="93"/>
    </row>
    <row r="4378" spans="7:19" x14ac:dyDescent="0.25">
      <c r="G4378" s="81"/>
      <c r="S4378" s="93"/>
    </row>
    <row r="4379" spans="7:19" x14ac:dyDescent="0.25">
      <c r="G4379" s="81"/>
      <c r="S4379" s="93"/>
    </row>
    <row r="4380" spans="7:19" x14ac:dyDescent="0.25">
      <c r="G4380" s="81"/>
      <c r="S4380" s="93"/>
    </row>
    <row r="4381" spans="7:19" x14ac:dyDescent="0.25">
      <c r="G4381" s="81"/>
      <c r="S4381" s="93"/>
    </row>
    <row r="4382" spans="7:19" x14ac:dyDescent="0.25">
      <c r="G4382" s="81"/>
      <c r="S4382" s="93"/>
    </row>
    <row r="4383" spans="7:19" x14ac:dyDescent="0.25">
      <c r="G4383" s="81"/>
      <c r="S4383" s="93"/>
    </row>
    <row r="4384" spans="7:19" x14ac:dyDescent="0.25">
      <c r="G4384" s="81"/>
      <c r="S4384" s="93"/>
    </row>
    <row r="4385" spans="7:19" x14ac:dyDescent="0.25">
      <c r="G4385" s="81"/>
      <c r="S4385" s="93"/>
    </row>
    <row r="4386" spans="7:19" x14ac:dyDescent="0.25">
      <c r="G4386" s="81"/>
      <c r="S4386" s="93"/>
    </row>
    <row r="4387" spans="7:19" x14ac:dyDescent="0.25">
      <c r="G4387" s="81"/>
      <c r="S4387" s="93"/>
    </row>
    <row r="4388" spans="7:19" x14ac:dyDescent="0.25">
      <c r="G4388" s="81"/>
      <c r="S4388" s="93"/>
    </row>
    <row r="4389" spans="7:19" x14ac:dyDescent="0.25">
      <c r="G4389" s="81"/>
      <c r="S4389" s="93"/>
    </row>
    <row r="4390" spans="7:19" x14ac:dyDescent="0.25">
      <c r="G4390" s="81"/>
      <c r="S4390" s="93"/>
    </row>
    <row r="4391" spans="7:19" x14ac:dyDescent="0.25">
      <c r="G4391" s="81"/>
      <c r="S4391" s="93"/>
    </row>
    <row r="4392" spans="7:19" x14ac:dyDescent="0.25">
      <c r="G4392" s="81"/>
      <c r="S4392" s="93"/>
    </row>
    <row r="4393" spans="7:19" x14ac:dyDescent="0.25">
      <c r="G4393" s="81"/>
      <c r="S4393" s="93"/>
    </row>
    <row r="4394" spans="7:19" x14ac:dyDescent="0.25">
      <c r="G4394" s="81"/>
      <c r="S4394" s="93"/>
    </row>
    <row r="4395" spans="7:19" x14ac:dyDescent="0.25">
      <c r="G4395" s="81"/>
      <c r="S4395" s="93"/>
    </row>
    <row r="4396" spans="7:19" x14ac:dyDescent="0.25">
      <c r="G4396" s="81"/>
      <c r="S4396" s="93"/>
    </row>
    <row r="4397" spans="7:19" x14ac:dyDescent="0.25">
      <c r="G4397" s="81"/>
      <c r="S4397" s="93"/>
    </row>
    <row r="4398" spans="7:19" x14ac:dyDescent="0.25">
      <c r="G4398" s="81"/>
      <c r="S4398" s="93"/>
    </row>
    <row r="4399" spans="7:19" x14ac:dyDescent="0.25">
      <c r="G4399" s="81"/>
      <c r="S4399" s="93"/>
    </row>
    <row r="4400" spans="7:19" x14ac:dyDescent="0.25">
      <c r="G4400" s="81"/>
      <c r="S4400" s="93"/>
    </row>
    <row r="4401" spans="7:19" x14ac:dyDescent="0.25">
      <c r="G4401" s="81"/>
      <c r="S4401" s="93"/>
    </row>
    <row r="4402" spans="7:19" x14ac:dyDescent="0.25">
      <c r="G4402" s="81"/>
      <c r="S4402" s="93"/>
    </row>
    <row r="4403" spans="7:19" x14ac:dyDescent="0.25">
      <c r="G4403" s="81"/>
      <c r="S4403" s="93"/>
    </row>
    <row r="4404" spans="7:19" x14ac:dyDescent="0.25">
      <c r="G4404" s="81"/>
      <c r="S4404" s="93"/>
    </row>
    <row r="4405" spans="7:19" x14ac:dyDescent="0.25">
      <c r="G4405" s="81"/>
      <c r="S4405" s="93"/>
    </row>
    <row r="4406" spans="7:19" x14ac:dyDescent="0.25">
      <c r="G4406" s="81"/>
      <c r="S4406" s="93"/>
    </row>
    <row r="4407" spans="7:19" x14ac:dyDescent="0.25">
      <c r="G4407" s="81"/>
      <c r="S4407" s="93"/>
    </row>
    <row r="4408" spans="7:19" x14ac:dyDescent="0.25">
      <c r="G4408" s="81"/>
      <c r="S4408" s="93"/>
    </row>
    <row r="4409" spans="7:19" x14ac:dyDescent="0.25">
      <c r="G4409" s="81"/>
      <c r="S4409" s="93"/>
    </row>
    <row r="4410" spans="7:19" x14ac:dyDescent="0.25">
      <c r="G4410" s="81"/>
      <c r="S4410" s="93"/>
    </row>
    <row r="4411" spans="7:19" x14ac:dyDescent="0.25">
      <c r="G4411" s="81"/>
      <c r="S4411" s="93"/>
    </row>
    <row r="4412" spans="7:19" x14ac:dyDescent="0.25">
      <c r="G4412" s="81"/>
      <c r="S4412" s="93"/>
    </row>
    <row r="4413" spans="7:19" x14ac:dyDescent="0.25">
      <c r="G4413" s="81"/>
      <c r="S4413" s="93"/>
    </row>
    <row r="4414" spans="7:19" x14ac:dyDescent="0.25">
      <c r="G4414" s="81"/>
      <c r="S4414" s="93"/>
    </row>
    <row r="4415" spans="7:19" x14ac:dyDescent="0.25">
      <c r="G4415" s="81"/>
      <c r="S4415" s="93"/>
    </row>
    <row r="4416" spans="7:19" x14ac:dyDescent="0.25">
      <c r="G4416" s="81"/>
      <c r="S4416" s="93"/>
    </row>
    <row r="4417" spans="7:19" x14ac:dyDescent="0.25">
      <c r="G4417" s="81"/>
      <c r="S4417" s="93"/>
    </row>
    <row r="4418" spans="7:19" x14ac:dyDescent="0.25">
      <c r="G4418" s="81"/>
      <c r="S4418" s="93"/>
    </row>
    <row r="4419" spans="7:19" x14ac:dyDescent="0.25">
      <c r="G4419" s="81"/>
      <c r="S4419" s="93"/>
    </row>
    <row r="4420" spans="7:19" x14ac:dyDescent="0.25">
      <c r="G4420" s="81"/>
      <c r="S4420" s="93"/>
    </row>
    <row r="4421" spans="7:19" x14ac:dyDescent="0.25">
      <c r="G4421" s="81"/>
      <c r="S4421" s="93"/>
    </row>
    <row r="4422" spans="7:19" x14ac:dyDescent="0.25">
      <c r="G4422" s="81"/>
      <c r="S4422" s="93"/>
    </row>
    <row r="4423" spans="7:19" x14ac:dyDescent="0.25">
      <c r="G4423" s="81"/>
      <c r="S4423" s="93"/>
    </row>
    <row r="4424" spans="7:19" x14ac:dyDescent="0.25">
      <c r="G4424" s="81"/>
      <c r="S4424" s="93"/>
    </row>
    <row r="4425" spans="7:19" x14ac:dyDescent="0.25">
      <c r="G4425" s="81"/>
      <c r="S4425" s="93"/>
    </row>
    <row r="4426" spans="7:19" x14ac:dyDescent="0.25">
      <c r="G4426" s="81"/>
      <c r="S4426" s="93"/>
    </row>
    <row r="4427" spans="7:19" x14ac:dyDescent="0.25">
      <c r="G4427" s="81"/>
      <c r="S4427" s="93"/>
    </row>
    <row r="4428" spans="7:19" x14ac:dyDescent="0.25">
      <c r="G4428" s="81"/>
      <c r="S4428" s="93"/>
    </row>
    <row r="4429" spans="7:19" x14ac:dyDescent="0.25">
      <c r="G4429" s="81"/>
      <c r="S4429" s="93"/>
    </row>
    <row r="4430" spans="7:19" x14ac:dyDescent="0.25">
      <c r="G4430" s="81"/>
      <c r="S4430" s="93"/>
    </row>
    <row r="4431" spans="7:19" x14ac:dyDescent="0.25">
      <c r="G4431" s="81"/>
      <c r="S4431" s="93"/>
    </row>
    <row r="4432" spans="7:19" x14ac:dyDescent="0.25">
      <c r="G4432" s="81"/>
      <c r="S4432" s="93"/>
    </row>
    <row r="4433" spans="7:19" x14ac:dyDescent="0.25">
      <c r="G4433" s="81"/>
      <c r="S4433" s="93"/>
    </row>
    <row r="4434" spans="7:19" x14ac:dyDescent="0.25">
      <c r="G4434" s="81"/>
      <c r="S4434" s="93"/>
    </row>
    <row r="4435" spans="7:19" x14ac:dyDescent="0.25">
      <c r="G4435" s="81"/>
      <c r="S4435" s="93"/>
    </row>
    <row r="4436" spans="7:19" x14ac:dyDescent="0.25">
      <c r="G4436" s="81"/>
      <c r="S4436" s="93"/>
    </row>
    <row r="4437" spans="7:19" x14ac:dyDescent="0.25">
      <c r="G4437" s="81"/>
      <c r="S4437" s="93"/>
    </row>
    <row r="4438" spans="7:19" x14ac:dyDescent="0.25">
      <c r="G4438" s="81"/>
      <c r="S4438" s="93"/>
    </row>
    <row r="4439" spans="7:19" x14ac:dyDescent="0.25">
      <c r="G4439" s="81"/>
      <c r="S4439" s="93"/>
    </row>
    <row r="4440" spans="7:19" x14ac:dyDescent="0.25">
      <c r="G4440" s="81"/>
      <c r="S4440" s="93"/>
    </row>
    <row r="4441" spans="7:19" x14ac:dyDescent="0.25">
      <c r="G4441" s="81"/>
      <c r="S4441" s="93"/>
    </row>
    <row r="4442" spans="7:19" x14ac:dyDescent="0.25">
      <c r="G4442" s="81"/>
      <c r="S4442" s="93"/>
    </row>
    <row r="4443" spans="7:19" x14ac:dyDescent="0.25">
      <c r="G4443" s="81"/>
      <c r="S4443" s="93"/>
    </row>
    <row r="4444" spans="7:19" x14ac:dyDescent="0.25">
      <c r="G4444" s="81"/>
      <c r="S4444" s="93"/>
    </row>
    <row r="4445" spans="7:19" x14ac:dyDescent="0.25">
      <c r="G4445" s="81"/>
      <c r="S4445" s="93"/>
    </row>
    <row r="4446" spans="7:19" x14ac:dyDescent="0.25">
      <c r="G4446" s="81"/>
      <c r="S4446" s="93"/>
    </row>
    <row r="4447" spans="7:19" x14ac:dyDescent="0.25">
      <c r="G4447" s="81"/>
      <c r="S4447" s="93"/>
    </row>
    <row r="4448" spans="7:19" x14ac:dyDescent="0.25">
      <c r="G4448" s="81"/>
      <c r="S4448" s="93"/>
    </row>
    <row r="4449" spans="7:19" x14ac:dyDescent="0.25">
      <c r="G4449" s="81"/>
      <c r="S4449" s="93"/>
    </row>
    <row r="4450" spans="7:19" x14ac:dyDescent="0.25">
      <c r="G4450" s="81"/>
      <c r="S4450" s="93"/>
    </row>
    <row r="4451" spans="7:19" x14ac:dyDescent="0.25">
      <c r="G4451" s="81"/>
      <c r="S4451" s="93"/>
    </row>
    <row r="4452" spans="7:19" x14ac:dyDescent="0.25">
      <c r="G4452" s="81"/>
      <c r="S4452" s="93"/>
    </row>
    <row r="4453" spans="7:19" x14ac:dyDescent="0.25">
      <c r="G4453" s="81"/>
      <c r="S4453" s="93"/>
    </row>
    <row r="4454" spans="7:19" x14ac:dyDescent="0.25">
      <c r="G4454" s="81"/>
      <c r="S4454" s="93"/>
    </row>
    <row r="4455" spans="7:19" x14ac:dyDescent="0.25">
      <c r="G4455" s="81"/>
      <c r="S4455" s="93"/>
    </row>
    <row r="4456" spans="7:19" x14ac:dyDescent="0.25">
      <c r="G4456" s="81"/>
      <c r="S4456" s="93"/>
    </row>
    <row r="4457" spans="7:19" x14ac:dyDescent="0.25">
      <c r="G4457" s="81"/>
      <c r="S4457" s="93"/>
    </row>
    <row r="4458" spans="7:19" x14ac:dyDescent="0.25">
      <c r="G4458" s="81"/>
      <c r="S4458" s="93"/>
    </row>
    <row r="4459" spans="7:19" x14ac:dyDescent="0.25">
      <c r="G4459" s="81"/>
      <c r="S4459" s="93"/>
    </row>
    <row r="4460" spans="7:19" x14ac:dyDescent="0.25">
      <c r="G4460" s="81"/>
      <c r="S4460" s="93"/>
    </row>
    <row r="4461" spans="7:19" x14ac:dyDescent="0.25">
      <c r="G4461" s="81"/>
      <c r="S4461" s="93"/>
    </row>
    <row r="4462" spans="7:19" x14ac:dyDescent="0.25">
      <c r="G4462" s="81"/>
      <c r="S4462" s="93"/>
    </row>
    <row r="4463" spans="7:19" x14ac:dyDescent="0.25">
      <c r="G4463" s="81"/>
      <c r="S4463" s="93"/>
    </row>
    <row r="4464" spans="7:19" x14ac:dyDescent="0.25">
      <c r="G4464" s="81"/>
      <c r="S4464" s="93"/>
    </row>
    <row r="4465" spans="7:19" x14ac:dyDescent="0.25">
      <c r="G4465" s="81"/>
      <c r="S4465" s="93"/>
    </row>
    <row r="4466" spans="7:19" x14ac:dyDescent="0.25">
      <c r="G4466" s="81"/>
      <c r="S4466" s="93"/>
    </row>
    <row r="4467" spans="7:19" x14ac:dyDescent="0.25">
      <c r="G4467" s="81"/>
      <c r="S4467" s="93"/>
    </row>
    <row r="4468" spans="7:19" x14ac:dyDescent="0.25">
      <c r="G4468" s="81"/>
      <c r="S4468" s="93"/>
    </row>
    <row r="4469" spans="7:19" x14ac:dyDescent="0.25">
      <c r="G4469" s="81"/>
      <c r="S4469" s="93"/>
    </row>
    <row r="4470" spans="7:19" x14ac:dyDescent="0.25">
      <c r="G4470" s="81"/>
      <c r="S4470" s="93"/>
    </row>
    <row r="4471" spans="7:19" x14ac:dyDescent="0.25">
      <c r="G4471" s="81"/>
      <c r="S4471" s="93"/>
    </row>
    <row r="4472" spans="7:19" x14ac:dyDescent="0.25">
      <c r="G4472" s="81"/>
      <c r="S4472" s="93"/>
    </row>
    <row r="4473" spans="7:19" x14ac:dyDescent="0.25">
      <c r="G4473" s="81"/>
      <c r="S4473" s="93"/>
    </row>
    <row r="4474" spans="7:19" x14ac:dyDescent="0.25">
      <c r="G4474" s="81"/>
      <c r="S4474" s="93"/>
    </row>
    <row r="4475" spans="7:19" x14ac:dyDescent="0.25">
      <c r="G4475" s="81"/>
      <c r="S4475" s="93"/>
    </row>
    <row r="4476" spans="7:19" x14ac:dyDescent="0.25">
      <c r="G4476" s="81"/>
      <c r="S4476" s="93"/>
    </row>
    <row r="4477" spans="7:19" x14ac:dyDescent="0.25">
      <c r="G4477" s="81"/>
      <c r="S4477" s="93"/>
    </row>
    <row r="4478" spans="7:19" x14ac:dyDescent="0.25">
      <c r="G4478" s="81"/>
      <c r="S4478" s="93"/>
    </row>
    <row r="4479" spans="7:19" x14ac:dyDescent="0.25">
      <c r="G4479" s="81"/>
      <c r="S4479" s="93"/>
    </row>
    <row r="4480" spans="7:19" x14ac:dyDescent="0.25">
      <c r="G4480" s="81"/>
      <c r="S4480" s="93"/>
    </row>
    <row r="4481" spans="7:19" x14ac:dyDescent="0.25">
      <c r="G4481" s="81"/>
      <c r="S4481" s="93"/>
    </row>
    <row r="4482" spans="7:19" x14ac:dyDescent="0.25">
      <c r="G4482" s="81"/>
      <c r="S4482" s="93"/>
    </row>
    <row r="4483" spans="7:19" x14ac:dyDescent="0.25">
      <c r="G4483" s="81"/>
      <c r="S4483" s="93"/>
    </row>
    <row r="4484" spans="7:19" x14ac:dyDescent="0.25">
      <c r="G4484" s="81"/>
      <c r="S4484" s="93"/>
    </row>
    <row r="4485" spans="7:19" x14ac:dyDescent="0.25">
      <c r="G4485" s="81"/>
      <c r="S4485" s="93"/>
    </row>
    <row r="4486" spans="7:19" x14ac:dyDescent="0.25">
      <c r="G4486" s="81"/>
      <c r="S4486" s="93"/>
    </row>
    <row r="4487" spans="7:19" x14ac:dyDescent="0.25">
      <c r="G4487" s="81"/>
      <c r="S4487" s="93"/>
    </row>
    <row r="4488" spans="7:19" x14ac:dyDescent="0.25">
      <c r="G4488" s="81"/>
      <c r="S4488" s="93"/>
    </row>
    <row r="4489" spans="7:19" x14ac:dyDescent="0.25">
      <c r="G4489" s="81"/>
      <c r="S4489" s="93"/>
    </row>
    <row r="4490" spans="7:19" x14ac:dyDescent="0.25">
      <c r="G4490" s="81"/>
      <c r="S4490" s="93"/>
    </row>
    <row r="4491" spans="7:19" x14ac:dyDescent="0.25">
      <c r="G4491" s="81"/>
      <c r="S4491" s="93"/>
    </row>
    <row r="4492" spans="7:19" x14ac:dyDescent="0.25">
      <c r="G4492" s="81"/>
      <c r="S4492" s="93"/>
    </row>
    <row r="4493" spans="7:19" x14ac:dyDescent="0.25">
      <c r="G4493" s="81"/>
      <c r="S4493" s="93"/>
    </row>
    <row r="4494" spans="7:19" x14ac:dyDescent="0.25">
      <c r="G4494" s="81"/>
      <c r="S4494" s="93"/>
    </row>
    <row r="4495" spans="7:19" x14ac:dyDescent="0.25">
      <c r="G4495" s="81"/>
      <c r="S4495" s="93"/>
    </row>
    <row r="4496" spans="7:19" x14ac:dyDescent="0.25">
      <c r="G4496" s="81"/>
      <c r="S4496" s="93"/>
    </row>
    <row r="4497" spans="7:19" x14ac:dyDescent="0.25">
      <c r="G4497" s="81"/>
      <c r="S4497" s="93"/>
    </row>
    <row r="4498" spans="7:19" x14ac:dyDescent="0.25">
      <c r="G4498" s="81"/>
      <c r="S4498" s="93"/>
    </row>
    <row r="4499" spans="7:19" x14ac:dyDescent="0.25">
      <c r="G4499" s="81"/>
      <c r="S4499" s="93"/>
    </row>
    <row r="4500" spans="7:19" x14ac:dyDescent="0.25">
      <c r="G4500" s="81"/>
      <c r="S4500" s="93"/>
    </row>
    <row r="4501" spans="7:19" x14ac:dyDescent="0.25">
      <c r="G4501" s="81"/>
      <c r="S4501" s="93"/>
    </row>
    <row r="4502" spans="7:19" x14ac:dyDescent="0.25">
      <c r="G4502" s="81"/>
      <c r="S4502" s="93"/>
    </row>
    <row r="4503" spans="7:19" x14ac:dyDescent="0.25">
      <c r="G4503" s="81"/>
      <c r="S4503" s="93"/>
    </row>
    <row r="4504" spans="7:19" x14ac:dyDescent="0.25">
      <c r="G4504" s="81"/>
      <c r="S4504" s="93"/>
    </row>
    <row r="4505" spans="7:19" x14ac:dyDescent="0.25">
      <c r="G4505" s="81"/>
      <c r="S4505" s="93"/>
    </row>
    <row r="4506" spans="7:19" x14ac:dyDescent="0.25">
      <c r="G4506" s="81"/>
      <c r="S4506" s="93"/>
    </row>
    <row r="4507" spans="7:19" x14ac:dyDescent="0.25">
      <c r="G4507" s="81"/>
      <c r="S4507" s="93"/>
    </row>
    <row r="4508" spans="7:19" x14ac:dyDescent="0.25">
      <c r="G4508" s="81"/>
      <c r="S4508" s="93"/>
    </row>
    <row r="4509" spans="7:19" x14ac:dyDescent="0.25">
      <c r="G4509" s="81"/>
      <c r="S4509" s="93"/>
    </row>
    <row r="4510" spans="7:19" x14ac:dyDescent="0.25">
      <c r="G4510" s="81"/>
      <c r="S4510" s="93"/>
    </row>
    <row r="4511" spans="7:19" x14ac:dyDescent="0.25">
      <c r="G4511" s="81"/>
      <c r="S4511" s="93"/>
    </row>
    <row r="4512" spans="7:19" x14ac:dyDescent="0.25">
      <c r="G4512" s="81"/>
      <c r="S4512" s="93"/>
    </row>
    <row r="4513" spans="7:19" x14ac:dyDescent="0.25">
      <c r="G4513" s="81"/>
      <c r="S4513" s="93"/>
    </row>
    <row r="4514" spans="7:19" x14ac:dyDescent="0.25">
      <c r="G4514" s="81"/>
      <c r="S4514" s="93"/>
    </row>
    <row r="4515" spans="7:19" x14ac:dyDescent="0.25">
      <c r="G4515" s="81"/>
      <c r="S4515" s="93"/>
    </row>
    <row r="4516" spans="7:19" x14ac:dyDescent="0.25">
      <c r="G4516" s="81"/>
      <c r="S4516" s="93"/>
    </row>
    <row r="4517" spans="7:19" x14ac:dyDescent="0.25">
      <c r="G4517" s="81"/>
      <c r="S4517" s="93"/>
    </row>
    <row r="4518" spans="7:19" x14ac:dyDescent="0.25">
      <c r="G4518" s="81"/>
      <c r="S4518" s="93"/>
    </row>
    <row r="4519" spans="7:19" x14ac:dyDescent="0.25">
      <c r="G4519" s="81"/>
      <c r="S4519" s="93"/>
    </row>
    <row r="4520" spans="7:19" x14ac:dyDescent="0.25">
      <c r="G4520" s="81"/>
      <c r="S4520" s="93"/>
    </row>
    <row r="4521" spans="7:19" x14ac:dyDescent="0.25">
      <c r="G4521" s="81"/>
      <c r="S4521" s="93"/>
    </row>
    <row r="4522" spans="7:19" x14ac:dyDescent="0.25">
      <c r="G4522" s="81"/>
      <c r="S4522" s="93"/>
    </row>
    <row r="4523" spans="7:19" x14ac:dyDescent="0.25">
      <c r="G4523" s="81"/>
      <c r="S4523" s="93"/>
    </row>
    <row r="4524" spans="7:19" x14ac:dyDescent="0.25">
      <c r="G4524" s="81"/>
      <c r="S4524" s="93"/>
    </row>
    <row r="4525" spans="7:19" x14ac:dyDescent="0.25">
      <c r="G4525" s="81"/>
      <c r="S4525" s="93"/>
    </row>
    <row r="4526" spans="7:19" x14ac:dyDescent="0.25">
      <c r="G4526" s="81"/>
      <c r="S4526" s="93"/>
    </row>
    <row r="4527" spans="7:19" x14ac:dyDescent="0.25">
      <c r="G4527" s="81"/>
      <c r="S4527" s="93"/>
    </row>
    <row r="4528" spans="7:19" x14ac:dyDescent="0.25">
      <c r="G4528" s="81"/>
      <c r="S4528" s="93"/>
    </row>
    <row r="4529" spans="7:19" x14ac:dyDescent="0.25">
      <c r="G4529" s="81"/>
      <c r="S4529" s="93"/>
    </row>
    <row r="4530" spans="7:19" x14ac:dyDescent="0.25">
      <c r="G4530" s="81"/>
      <c r="S4530" s="93"/>
    </row>
    <row r="4531" spans="7:19" x14ac:dyDescent="0.25">
      <c r="G4531" s="81"/>
      <c r="S4531" s="93"/>
    </row>
    <row r="4532" spans="7:19" x14ac:dyDescent="0.25">
      <c r="G4532" s="81"/>
      <c r="S4532" s="93"/>
    </row>
    <row r="4533" spans="7:19" x14ac:dyDescent="0.25">
      <c r="G4533" s="81"/>
      <c r="S4533" s="93"/>
    </row>
    <row r="4534" spans="7:19" x14ac:dyDescent="0.25">
      <c r="G4534" s="81"/>
      <c r="S4534" s="93"/>
    </row>
    <row r="4535" spans="7:19" x14ac:dyDescent="0.25">
      <c r="G4535" s="81"/>
      <c r="S4535" s="93"/>
    </row>
    <row r="4536" spans="7:19" x14ac:dyDescent="0.25">
      <c r="G4536" s="81"/>
      <c r="S4536" s="93"/>
    </row>
    <row r="4537" spans="7:19" x14ac:dyDescent="0.25">
      <c r="G4537" s="81"/>
      <c r="S4537" s="93"/>
    </row>
    <row r="4538" spans="7:19" x14ac:dyDescent="0.25">
      <c r="G4538" s="81"/>
      <c r="S4538" s="93"/>
    </row>
    <row r="4539" spans="7:19" x14ac:dyDescent="0.25">
      <c r="G4539" s="81"/>
      <c r="S4539" s="93"/>
    </row>
    <row r="4540" spans="7:19" x14ac:dyDescent="0.25">
      <c r="G4540" s="81"/>
      <c r="S4540" s="93"/>
    </row>
    <row r="4541" spans="7:19" x14ac:dyDescent="0.25">
      <c r="G4541" s="81"/>
      <c r="S4541" s="93"/>
    </row>
    <row r="4542" spans="7:19" x14ac:dyDescent="0.25">
      <c r="G4542" s="81"/>
      <c r="S4542" s="93"/>
    </row>
    <row r="4543" spans="7:19" x14ac:dyDescent="0.25">
      <c r="G4543" s="81"/>
      <c r="S4543" s="93"/>
    </row>
    <row r="4544" spans="7:19" x14ac:dyDescent="0.25">
      <c r="G4544" s="81"/>
      <c r="S4544" s="93"/>
    </row>
    <row r="4545" spans="7:19" x14ac:dyDescent="0.25">
      <c r="G4545" s="81"/>
      <c r="S4545" s="93"/>
    </row>
    <row r="4546" spans="7:19" x14ac:dyDescent="0.25">
      <c r="G4546" s="81"/>
      <c r="S4546" s="93"/>
    </row>
    <row r="4547" spans="7:19" x14ac:dyDescent="0.25">
      <c r="G4547" s="81"/>
      <c r="S4547" s="93"/>
    </row>
    <row r="4548" spans="7:19" x14ac:dyDescent="0.25">
      <c r="G4548" s="81"/>
      <c r="S4548" s="93"/>
    </row>
    <row r="4549" spans="7:19" x14ac:dyDescent="0.25">
      <c r="G4549" s="81"/>
      <c r="S4549" s="93"/>
    </row>
    <row r="4550" spans="7:19" x14ac:dyDescent="0.25">
      <c r="G4550" s="81"/>
      <c r="S4550" s="93"/>
    </row>
    <row r="4551" spans="7:19" x14ac:dyDescent="0.25">
      <c r="G4551" s="81"/>
      <c r="S4551" s="93"/>
    </row>
    <row r="4552" spans="7:19" x14ac:dyDescent="0.25">
      <c r="G4552" s="81"/>
      <c r="S4552" s="93"/>
    </row>
    <row r="4553" spans="7:19" x14ac:dyDescent="0.25">
      <c r="G4553" s="81"/>
      <c r="S4553" s="93"/>
    </row>
    <row r="4554" spans="7:19" x14ac:dyDescent="0.25">
      <c r="G4554" s="81"/>
      <c r="S4554" s="93"/>
    </row>
    <row r="4555" spans="7:19" x14ac:dyDescent="0.25">
      <c r="G4555" s="81"/>
      <c r="S4555" s="93"/>
    </row>
    <row r="4556" spans="7:19" x14ac:dyDescent="0.25">
      <c r="G4556" s="81"/>
      <c r="S4556" s="93"/>
    </row>
    <row r="4557" spans="7:19" x14ac:dyDescent="0.25">
      <c r="G4557" s="81"/>
      <c r="S4557" s="93"/>
    </row>
    <row r="4558" spans="7:19" x14ac:dyDescent="0.25">
      <c r="G4558" s="81"/>
      <c r="S4558" s="93"/>
    </row>
    <row r="4559" spans="7:19" x14ac:dyDescent="0.25">
      <c r="G4559" s="81"/>
      <c r="S4559" s="93"/>
    </row>
    <row r="4560" spans="7:19" x14ac:dyDescent="0.25">
      <c r="G4560" s="81"/>
      <c r="S4560" s="93"/>
    </row>
    <row r="4561" spans="7:19" x14ac:dyDescent="0.25">
      <c r="G4561" s="81"/>
      <c r="S4561" s="93"/>
    </row>
    <row r="4562" spans="7:19" x14ac:dyDescent="0.25">
      <c r="G4562" s="81"/>
      <c r="S4562" s="93"/>
    </row>
    <row r="4563" spans="7:19" x14ac:dyDescent="0.25">
      <c r="G4563" s="81"/>
      <c r="S4563" s="93"/>
    </row>
    <row r="4564" spans="7:19" x14ac:dyDescent="0.25">
      <c r="G4564" s="81"/>
      <c r="S4564" s="93"/>
    </row>
    <row r="4565" spans="7:19" x14ac:dyDescent="0.25">
      <c r="G4565" s="81"/>
      <c r="S4565" s="93"/>
    </row>
    <row r="4566" spans="7:19" x14ac:dyDescent="0.25">
      <c r="G4566" s="81"/>
      <c r="S4566" s="93"/>
    </row>
    <row r="4567" spans="7:19" x14ac:dyDescent="0.25">
      <c r="G4567" s="81"/>
      <c r="S4567" s="93"/>
    </row>
    <row r="4568" spans="7:19" x14ac:dyDescent="0.25">
      <c r="G4568" s="81"/>
      <c r="S4568" s="93"/>
    </row>
    <row r="4569" spans="7:19" x14ac:dyDescent="0.25">
      <c r="G4569" s="81"/>
      <c r="S4569" s="93"/>
    </row>
    <row r="4570" spans="7:19" x14ac:dyDescent="0.25">
      <c r="G4570" s="81"/>
      <c r="S4570" s="93"/>
    </row>
    <row r="4571" spans="7:19" x14ac:dyDescent="0.25">
      <c r="G4571" s="81"/>
      <c r="S4571" s="93"/>
    </row>
    <row r="4572" spans="7:19" x14ac:dyDescent="0.25">
      <c r="G4572" s="81"/>
      <c r="S4572" s="93"/>
    </row>
    <row r="4573" spans="7:19" x14ac:dyDescent="0.25">
      <c r="G4573" s="81"/>
      <c r="S4573" s="93"/>
    </row>
    <row r="4574" spans="7:19" x14ac:dyDescent="0.25">
      <c r="G4574" s="81"/>
      <c r="S4574" s="93"/>
    </row>
    <row r="4575" spans="7:19" x14ac:dyDescent="0.25">
      <c r="G4575" s="81"/>
      <c r="S4575" s="93"/>
    </row>
    <row r="4576" spans="7:19" x14ac:dyDescent="0.25">
      <c r="G4576" s="81"/>
      <c r="S4576" s="93"/>
    </row>
    <row r="4577" spans="7:19" x14ac:dyDescent="0.25">
      <c r="G4577" s="81"/>
      <c r="S4577" s="93"/>
    </row>
    <row r="4578" spans="7:19" x14ac:dyDescent="0.25">
      <c r="G4578" s="81"/>
      <c r="S4578" s="93"/>
    </row>
    <row r="4579" spans="7:19" x14ac:dyDescent="0.25">
      <c r="G4579" s="81"/>
      <c r="S4579" s="93"/>
    </row>
    <row r="4580" spans="7:19" x14ac:dyDescent="0.25">
      <c r="G4580" s="81"/>
      <c r="S4580" s="93"/>
    </row>
    <row r="4581" spans="7:19" x14ac:dyDescent="0.25">
      <c r="G4581" s="81"/>
      <c r="S4581" s="93"/>
    </row>
    <row r="4582" spans="7:19" x14ac:dyDescent="0.25">
      <c r="G4582" s="81"/>
      <c r="S4582" s="93"/>
    </row>
    <row r="4583" spans="7:19" x14ac:dyDescent="0.25">
      <c r="G4583" s="81"/>
      <c r="S4583" s="93"/>
    </row>
    <row r="4584" spans="7:19" x14ac:dyDescent="0.25">
      <c r="G4584" s="81"/>
      <c r="S4584" s="93"/>
    </row>
    <row r="4585" spans="7:19" x14ac:dyDescent="0.25">
      <c r="G4585" s="81"/>
      <c r="S4585" s="93"/>
    </row>
    <row r="4586" spans="7:19" x14ac:dyDescent="0.25">
      <c r="G4586" s="81"/>
      <c r="S4586" s="93"/>
    </row>
    <row r="4587" spans="7:19" x14ac:dyDescent="0.25">
      <c r="G4587" s="81"/>
      <c r="S4587" s="93"/>
    </row>
    <row r="4588" spans="7:19" x14ac:dyDescent="0.25">
      <c r="G4588" s="81"/>
      <c r="S4588" s="93"/>
    </row>
    <row r="4589" spans="7:19" x14ac:dyDescent="0.25">
      <c r="G4589" s="81"/>
      <c r="S4589" s="93"/>
    </row>
    <row r="4590" spans="7:19" x14ac:dyDescent="0.25">
      <c r="G4590" s="81"/>
      <c r="S4590" s="93"/>
    </row>
    <row r="4591" spans="7:19" x14ac:dyDescent="0.25">
      <c r="G4591" s="81"/>
      <c r="S4591" s="93"/>
    </row>
    <row r="4592" spans="7:19" x14ac:dyDescent="0.25">
      <c r="G4592" s="81"/>
      <c r="S4592" s="93"/>
    </row>
    <row r="4593" spans="7:19" x14ac:dyDescent="0.25">
      <c r="G4593" s="81"/>
      <c r="S4593" s="93"/>
    </row>
    <row r="4594" spans="7:19" x14ac:dyDescent="0.25">
      <c r="G4594" s="81"/>
      <c r="S4594" s="93"/>
    </row>
    <row r="4595" spans="7:19" x14ac:dyDescent="0.25">
      <c r="G4595" s="81"/>
      <c r="S4595" s="93"/>
    </row>
    <row r="4596" spans="7:19" x14ac:dyDescent="0.25">
      <c r="G4596" s="81"/>
      <c r="S4596" s="93"/>
    </row>
    <row r="4597" spans="7:19" x14ac:dyDescent="0.25">
      <c r="G4597" s="81"/>
      <c r="S4597" s="93"/>
    </row>
    <row r="4598" spans="7:19" x14ac:dyDescent="0.25">
      <c r="G4598" s="81"/>
      <c r="S4598" s="93"/>
    </row>
    <row r="4599" spans="7:19" x14ac:dyDescent="0.25">
      <c r="G4599" s="81"/>
      <c r="S4599" s="93"/>
    </row>
    <row r="4600" spans="7:19" x14ac:dyDescent="0.25">
      <c r="G4600" s="81"/>
      <c r="S4600" s="93"/>
    </row>
    <row r="4601" spans="7:19" x14ac:dyDescent="0.25">
      <c r="G4601" s="81"/>
      <c r="S4601" s="93"/>
    </row>
    <row r="4602" spans="7:19" x14ac:dyDescent="0.25">
      <c r="G4602" s="81"/>
      <c r="S4602" s="93"/>
    </row>
    <row r="4603" spans="7:19" x14ac:dyDescent="0.25">
      <c r="G4603" s="81"/>
      <c r="S4603" s="93"/>
    </row>
    <row r="4604" spans="7:19" x14ac:dyDescent="0.25">
      <c r="G4604" s="81"/>
      <c r="S4604" s="93"/>
    </row>
    <row r="4605" spans="7:19" x14ac:dyDescent="0.25">
      <c r="G4605" s="81"/>
      <c r="S4605" s="93"/>
    </row>
    <row r="4606" spans="7:19" x14ac:dyDescent="0.25">
      <c r="G4606" s="81"/>
      <c r="S4606" s="93"/>
    </row>
    <row r="4607" spans="7:19" x14ac:dyDescent="0.25">
      <c r="G4607" s="81"/>
      <c r="S4607" s="93"/>
    </row>
    <row r="4608" spans="7:19" x14ac:dyDescent="0.25">
      <c r="G4608" s="81"/>
      <c r="S4608" s="93"/>
    </row>
    <row r="4609" spans="7:19" x14ac:dyDescent="0.25">
      <c r="G4609" s="81"/>
      <c r="S4609" s="93"/>
    </row>
    <row r="4610" spans="7:19" x14ac:dyDescent="0.25">
      <c r="G4610" s="81"/>
      <c r="S4610" s="93"/>
    </row>
    <row r="4611" spans="7:19" x14ac:dyDescent="0.25">
      <c r="G4611" s="81"/>
      <c r="S4611" s="93"/>
    </row>
    <row r="4612" spans="7:19" x14ac:dyDescent="0.25">
      <c r="G4612" s="81"/>
      <c r="S4612" s="93"/>
    </row>
    <row r="4613" spans="7:19" x14ac:dyDescent="0.25">
      <c r="G4613" s="81"/>
      <c r="S4613" s="93"/>
    </row>
    <row r="4614" spans="7:19" x14ac:dyDescent="0.25">
      <c r="G4614" s="81"/>
      <c r="S4614" s="93"/>
    </row>
    <row r="4615" spans="7:19" x14ac:dyDescent="0.25">
      <c r="G4615" s="81"/>
      <c r="S4615" s="93"/>
    </row>
    <row r="4616" spans="7:19" x14ac:dyDescent="0.25">
      <c r="G4616" s="81"/>
      <c r="S4616" s="93"/>
    </row>
    <row r="4617" spans="7:19" x14ac:dyDescent="0.25">
      <c r="G4617" s="81"/>
      <c r="S4617" s="93"/>
    </row>
    <row r="4618" spans="7:19" x14ac:dyDescent="0.25">
      <c r="G4618" s="81"/>
      <c r="S4618" s="93"/>
    </row>
    <row r="4619" spans="7:19" x14ac:dyDescent="0.25">
      <c r="G4619" s="81"/>
      <c r="S4619" s="93"/>
    </row>
    <row r="4620" spans="7:19" x14ac:dyDescent="0.25">
      <c r="G4620" s="81"/>
      <c r="S4620" s="93"/>
    </row>
    <row r="4621" spans="7:19" x14ac:dyDescent="0.25">
      <c r="G4621" s="81"/>
      <c r="S4621" s="93"/>
    </row>
    <row r="4622" spans="7:19" x14ac:dyDescent="0.25">
      <c r="G4622" s="81"/>
      <c r="S4622" s="93"/>
    </row>
    <row r="4623" spans="7:19" x14ac:dyDescent="0.25">
      <c r="G4623" s="81"/>
      <c r="S4623" s="93"/>
    </row>
    <row r="4624" spans="7:19" x14ac:dyDescent="0.25">
      <c r="G4624" s="81"/>
      <c r="S4624" s="93"/>
    </row>
    <row r="4625" spans="7:19" x14ac:dyDescent="0.25">
      <c r="G4625" s="81"/>
      <c r="S4625" s="93"/>
    </row>
    <row r="4626" spans="7:19" x14ac:dyDescent="0.25">
      <c r="G4626" s="81"/>
      <c r="S4626" s="93"/>
    </row>
    <row r="4627" spans="7:19" x14ac:dyDescent="0.25">
      <c r="G4627" s="81"/>
      <c r="S4627" s="93"/>
    </row>
    <row r="4628" spans="7:19" x14ac:dyDescent="0.25">
      <c r="G4628" s="81"/>
      <c r="S4628" s="93"/>
    </row>
    <row r="4629" spans="7:19" x14ac:dyDescent="0.25">
      <c r="G4629" s="81"/>
      <c r="S4629" s="93"/>
    </row>
    <row r="4630" spans="7:19" x14ac:dyDescent="0.25">
      <c r="G4630" s="81"/>
      <c r="S4630" s="93"/>
    </row>
    <row r="4631" spans="7:19" x14ac:dyDescent="0.25">
      <c r="G4631" s="81"/>
      <c r="S4631" s="93"/>
    </row>
    <row r="4632" spans="7:19" x14ac:dyDescent="0.25">
      <c r="G4632" s="81"/>
      <c r="S4632" s="93"/>
    </row>
    <row r="4633" spans="7:19" x14ac:dyDescent="0.25">
      <c r="G4633" s="81"/>
      <c r="S4633" s="93"/>
    </row>
    <row r="4634" spans="7:19" x14ac:dyDescent="0.25">
      <c r="G4634" s="81"/>
      <c r="S4634" s="93"/>
    </row>
    <row r="4635" spans="7:19" x14ac:dyDescent="0.25">
      <c r="G4635" s="81"/>
      <c r="S4635" s="93"/>
    </row>
    <row r="4636" spans="7:19" x14ac:dyDescent="0.25">
      <c r="G4636" s="81"/>
      <c r="S4636" s="93"/>
    </row>
    <row r="4637" spans="7:19" x14ac:dyDescent="0.25">
      <c r="G4637" s="81"/>
      <c r="S4637" s="93"/>
    </row>
    <row r="4638" spans="7:19" x14ac:dyDescent="0.25">
      <c r="G4638" s="81"/>
      <c r="S4638" s="93"/>
    </row>
    <row r="4639" spans="7:19" x14ac:dyDescent="0.25">
      <c r="G4639" s="81"/>
      <c r="S4639" s="93"/>
    </row>
    <row r="4640" spans="7:19" x14ac:dyDescent="0.25">
      <c r="G4640" s="81"/>
      <c r="S4640" s="93"/>
    </row>
    <row r="4641" spans="7:19" x14ac:dyDescent="0.25">
      <c r="G4641" s="81"/>
      <c r="S4641" s="93"/>
    </row>
    <row r="4642" spans="7:19" x14ac:dyDescent="0.25">
      <c r="G4642" s="81"/>
      <c r="S4642" s="93"/>
    </row>
    <row r="4643" spans="7:19" x14ac:dyDescent="0.25">
      <c r="G4643" s="81"/>
      <c r="S4643" s="93"/>
    </row>
    <row r="4644" spans="7:19" x14ac:dyDescent="0.25">
      <c r="G4644" s="81"/>
      <c r="S4644" s="93"/>
    </row>
    <row r="4645" spans="7:19" x14ac:dyDescent="0.25">
      <c r="G4645" s="81"/>
      <c r="S4645" s="93"/>
    </row>
    <row r="4646" spans="7:19" x14ac:dyDescent="0.25">
      <c r="G4646" s="81"/>
      <c r="S4646" s="93"/>
    </row>
    <row r="4647" spans="7:19" x14ac:dyDescent="0.25">
      <c r="G4647" s="81"/>
      <c r="S4647" s="93"/>
    </row>
    <row r="4648" spans="7:19" x14ac:dyDescent="0.25">
      <c r="G4648" s="81"/>
      <c r="S4648" s="93"/>
    </row>
    <row r="4649" spans="7:19" x14ac:dyDescent="0.25">
      <c r="G4649" s="81"/>
      <c r="S4649" s="93"/>
    </row>
    <row r="4650" spans="7:19" x14ac:dyDescent="0.25">
      <c r="G4650" s="81"/>
      <c r="S4650" s="93"/>
    </row>
    <row r="4651" spans="7:19" x14ac:dyDescent="0.25">
      <c r="G4651" s="81"/>
      <c r="S4651" s="93"/>
    </row>
    <row r="4652" spans="7:19" x14ac:dyDescent="0.25">
      <c r="G4652" s="81"/>
      <c r="S4652" s="93"/>
    </row>
    <row r="4653" spans="7:19" x14ac:dyDescent="0.25">
      <c r="G4653" s="81"/>
      <c r="S4653" s="93"/>
    </row>
    <row r="4654" spans="7:19" x14ac:dyDescent="0.25">
      <c r="G4654" s="81"/>
      <c r="S4654" s="93"/>
    </row>
    <row r="4655" spans="7:19" x14ac:dyDescent="0.25">
      <c r="G4655" s="81"/>
      <c r="S4655" s="93"/>
    </row>
    <row r="4656" spans="7:19" x14ac:dyDescent="0.25">
      <c r="G4656" s="81"/>
      <c r="S4656" s="93"/>
    </row>
    <row r="4657" spans="7:19" x14ac:dyDescent="0.25">
      <c r="G4657" s="81"/>
      <c r="S4657" s="93"/>
    </row>
    <row r="4658" spans="7:19" x14ac:dyDescent="0.25">
      <c r="G4658" s="81"/>
      <c r="S4658" s="93"/>
    </row>
    <row r="4659" spans="7:19" x14ac:dyDescent="0.25">
      <c r="G4659" s="81"/>
      <c r="S4659" s="93"/>
    </row>
    <row r="4660" spans="7:19" x14ac:dyDescent="0.25">
      <c r="G4660" s="81"/>
      <c r="S4660" s="93"/>
    </row>
    <row r="4661" spans="7:19" x14ac:dyDescent="0.25">
      <c r="G4661" s="81"/>
      <c r="S4661" s="93"/>
    </row>
    <row r="4662" spans="7:19" x14ac:dyDescent="0.25">
      <c r="G4662" s="81"/>
      <c r="S4662" s="93"/>
    </row>
    <row r="4663" spans="7:19" x14ac:dyDescent="0.25">
      <c r="G4663" s="81"/>
      <c r="S4663" s="93"/>
    </row>
    <row r="4664" spans="7:19" x14ac:dyDescent="0.25">
      <c r="G4664" s="81"/>
      <c r="S4664" s="93"/>
    </row>
    <row r="4665" spans="7:19" x14ac:dyDescent="0.25">
      <c r="G4665" s="81"/>
      <c r="S4665" s="93"/>
    </row>
    <row r="4666" spans="7:19" x14ac:dyDescent="0.25">
      <c r="G4666" s="81"/>
      <c r="S4666" s="93"/>
    </row>
    <row r="4667" spans="7:19" x14ac:dyDescent="0.25">
      <c r="G4667" s="81"/>
      <c r="S4667" s="93"/>
    </row>
    <row r="4668" spans="7:19" x14ac:dyDescent="0.25">
      <c r="G4668" s="81"/>
      <c r="S4668" s="93"/>
    </row>
    <row r="4669" spans="7:19" x14ac:dyDescent="0.25">
      <c r="G4669" s="81"/>
      <c r="S4669" s="93"/>
    </row>
    <row r="4670" spans="7:19" x14ac:dyDescent="0.25">
      <c r="G4670" s="81"/>
      <c r="S4670" s="93"/>
    </row>
    <row r="4671" spans="7:19" x14ac:dyDescent="0.25">
      <c r="G4671" s="81"/>
      <c r="S4671" s="93"/>
    </row>
    <row r="4672" spans="7:19" x14ac:dyDescent="0.25">
      <c r="G4672" s="81"/>
      <c r="S4672" s="93"/>
    </row>
    <row r="4673" spans="7:19" x14ac:dyDescent="0.25">
      <c r="G4673" s="81"/>
      <c r="S4673" s="93"/>
    </row>
    <row r="4674" spans="7:19" x14ac:dyDescent="0.25">
      <c r="G4674" s="81"/>
      <c r="S4674" s="93"/>
    </row>
    <row r="4675" spans="7:19" x14ac:dyDescent="0.25">
      <c r="G4675" s="81"/>
      <c r="S4675" s="93"/>
    </row>
    <row r="4676" spans="7:19" x14ac:dyDescent="0.25">
      <c r="G4676" s="81"/>
      <c r="S4676" s="93"/>
    </row>
    <row r="4677" spans="7:19" x14ac:dyDescent="0.25">
      <c r="G4677" s="81"/>
      <c r="S4677" s="93"/>
    </row>
    <row r="4678" spans="7:19" x14ac:dyDescent="0.25">
      <c r="G4678" s="81"/>
      <c r="S4678" s="93"/>
    </row>
    <row r="4679" spans="7:19" x14ac:dyDescent="0.25">
      <c r="G4679" s="81"/>
      <c r="S4679" s="93"/>
    </row>
    <row r="4680" spans="7:19" x14ac:dyDescent="0.25">
      <c r="G4680" s="81"/>
      <c r="S4680" s="93"/>
    </row>
    <row r="4681" spans="7:19" x14ac:dyDescent="0.25">
      <c r="G4681" s="81"/>
      <c r="S4681" s="93"/>
    </row>
    <row r="4682" spans="7:19" x14ac:dyDescent="0.25">
      <c r="G4682" s="81"/>
      <c r="S4682" s="93"/>
    </row>
    <row r="4683" spans="7:19" x14ac:dyDescent="0.25">
      <c r="G4683" s="81"/>
      <c r="S4683" s="93"/>
    </row>
    <row r="4684" spans="7:19" x14ac:dyDescent="0.25">
      <c r="G4684" s="81"/>
      <c r="S4684" s="93"/>
    </row>
    <row r="4685" spans="7:19" x14ac:dyDescent="0.25">
      <c r="G4685" s="81"/>
      <c r="S4685" s="93"/>
    </row>
    <row r="4686" spans="7:19" x14ac:dyDescent="0.25">
      <c r="G4686" s="81"/>
      <c r="S4686" s="93"/>
    </row>
    <row r="4687" spans="7:19" x14ac:dyDescent="0.25">
      <c r="G4687" s="81"/>
      <c r="S4687" s="93"/>
    </row>
    <row r="4688" spans="7:19" x14ac:dyDescent="0.25">
      <c r="G4688" s="81"/>
      <c r="S4688" s="93"/>
    </row>
    <row r="4689" spans="7:19" x14ac:dyDescent="0.25">
      <c r="G4689" s="81"/>
      <c r="S4689" s="93"/>
    </row>
    <row r="4690" spans="7:19" x14ac:dyDescent="0.25">
      <c r="G4690" s="81"/>
      <c r="S4690" s="93"/>
    </row>
    <row r="4691" spans="7:19" x14ac:dyDescent="0.25">
      <c r="G4691" s="81"/>
      <c r="S4691" s="93"/>
    </row>
    <row r="4692" spans="7:19" x14ac:dyDescent="0.25">
      <c r="G4692" s="81"/>
      <c r="S4692" s="93"/>
    </row>
    <row r="4693" spans="7:19" x14ac:dyDescent="0.25">
      <c r="G4693" s="81"/>
      <c r="S4693" s="93"/>
    </row>
    <row r="4694" spans="7:19" x14ac:dyDescent="0.25">
      <c r="G4694" s="81"/>
      <c r="S4694" s="93"/>
    </row>
    <row r="4695" spans="7:19" x14ac:dyDescent="0.25">
      <c r="G4695" s="81"/>
      <c r="S4695" s="93"/>
    </row>
    <row r="4696" spans="7:19" x14ac:dyDescent="0.25">
      <c r="G4696" s="81"/>
      <c r="S4696" s="93"/>
    </row>
    <row r="4697" spans="7:19" x14ac:dyDescent="0.25">
      <c r="G4697" s="81"/>
      <c r="S4697" s="93"/>
    </row>
    <row r="4698" spans="7:19" x14ac:dyDescent="0.25">
      <c r="G4698" s="81"/>
      <c r="S4698" s="93"/>
    </row>
    <row r="4699" spans="7:19" x14ac:dyDescent="0.25">
      <c r="G4699" s="81"/>
      <c r="S4699" s="93"/>
    </row>
    <row r="4700" spans="7:19" x14ac:dyDescent="0.25">
      <c r="G4700" s="81"/>
      <c r="S4700" s="93"/>
    </row>
    <row r="4701" spans="7:19" x14ac:dyDescent="0.25">
      <c r="G4701" s="81"/>
      <c r="S4701" s="93"/>
    </row>
    <row r="4702" spans="7:19" x14ac:dyDescent="0.25">
      <c r="G4702" s="81"/>
      <c r="S4702" s="93"/>
    </row>
    <row r="4703" spans="7:19" x14ac:dyDescent="0.25">
      <c r="G4703" s="81"/>
      <c r="S4703" s="93"/>
    </row>
    <row r="4704" spans="7:19" x14ac:dyDescent="0.25">
      <c r="G4704" s="81"/>
      <c r="S4704" s="93"/>
    </row>
    <row r="4705" spans="7:19" x14ac:dyDescent="0.25">
      <c r="G4705" s="81"/>
      <c r="S4705" s="93"/>
    </row>
    <row r="4706" spans="7:19" x14ac:dyDescent="0.25">
      <c r="G4706" s="81"/>
      <c r="S4706" s="93"/>
    </row>
    <row r="4707" spans="7:19" x14ac:dyDescent="0.25">
      <c r="G4707" s="81"/>
      <c r="S4707" s="93"/>
    </row>
    <row r="4708" spans="7:19" x14ac:dyDescent="0.25">
      <c r="G4708" s="81"/>
      <c r="S4708" s="93"/>
    </row>
    <row r="4709" spans="7:19" x14ac:dyDescent="0.25">
      <c r="G4709" s="81"/>
      <c r="S4709" s="93"/>
    </row>
    <row r="4710" spans="7:19" x14ac:dyDescent="0.25">
      <c r="G4710" s="81"/>
      <c r="S4710" s="93"/>
    </row>
    <row r="4711" spans="7:19" x14ac:dyDescent="0.25">
      <c r="G4711" s="81"/>
      <c r="S4711" s="93"/>
    </row>
    <row r="4712" spans="7:19" x14ac:dyDescent="0.25">
      <c r="G4712" s="81"/>
      <c r="S4712" s="93"/>
    </row>
    <row r="4713" spans="7:19" x14ac:dyDescent="0.25">
      <c r="G4713" s="81"/>
      <c r="S4713" s="93"/>
    </row>
    <row r="4714" spans="7:19" x14ac:dyDescent="0.25">
      <c r="G4714" s="81"/>
      <c r="S4714" s="93"/>
    </row>
    <row r="4715" spans="7:19" x14ac:dyDescent="0.25">
      <c r="G4715" s="81"/>
      <c r="S4715" s="93"/>
    </row>
    <row r="4716" spans="7:19" x14ac:dyDescent="0.25">
      <c r="G4716" s="81"/>
      <c r="S4716" s="93"/>
    </row>
    <row r="4717" spans="7:19" x14ac:dyDescent="0.25">
      <c r="G4717" s="81"/>
      <c r="S4717" s="93"/>
    </row>
    <row r="4718" spans="7:19" x14ac:dyDescent="0.25">
      <c r="G4718" s="81"/>
      <c r="S4718" s="93"/>
    </row>
    <row r="4719" spans="7:19" x14ac:dyDescent="0.25">
      <c r="G4719" s="81"/>
      <c r="S4719" s="93"/>
    </row>
    <row r="4720" spans="7:19" x14ac:dyDescent="0.25">
      <c r="G4720" s="81"/>
      <c r="S4720" s="93"/>
    </row>
    <row r="4721" spans="7:19" x14ac:dyDescent="0.25">
      <c r="G4721" s="81"/>
      <c r="S4721" s="93"/>
    </row>
    <row r="4722" spans="7:19" x14ac:dyDescent="0.25">
      <c r="G4722" s="81"/>
      <c r="S4722" s="93"/>
    </row>
    <row r="4723" spans="7:19" x14ac:dyDescent="0.25">
      <c r="G4723" s="81"/>
      <c r="S4723" s="93"/>
    </row>
    <row r="4724" spans="7:19" x14ac:dyDescent="0.25">
      <c r="G4724" s="81"/>
      <c r="S4724" s="93"/>
    </row>
    <row r="4725" spans="7:19" x14ac:dyDescent="0.25">
      <c r="G4725" s="81"/>
      <c r="S4725" s="93"/>
    </row>
    <row r="4726" spans="7:19" x14ac:dyDescent="0.25">
      <c r="G4726" s="81"/>
      <c r="S4726" s="93"/>
    </row>
    <row r="4727" spans="7:19" x14ac:dyDescent="0.25">
      <c r="G4727" s="81"/>
      <c r="S4727" s="93"/>
    </row>
    <row r="4728" spans="7:19" x14ac:dyDescent="0.25">
      <c r="G4728" s="81"/>
      <c r="S4728" s="93"/>
    </row>
    <row r="4729" spans="7:19" x14ac:dyDescent="0.25">
      <c r="G4729" s="81"/>
      <c r="S4729" s="93"/>
    </row>
    <row r="4730" spans="7:19" x14ac:dyDescent="0.25">
      <c r="G4730" s="81"/>
      <c r="S4730" s="93"/>
    </row>
    <row r="4731" spans="7:19" x14ac:dyDescent="0.25">
      <c r="G4731" s="81"/>
      <c r="S4731" s="93"/>
    </row>
    <row r="4732" spans="7:19" x14ac:dyDescent="0.25">
      <c r="G4732" s="81"/>
      <c r="S4732" s="93"/>
    </row>
    <row r="4733" spans="7:19" x14ac:dyDescent="0.25">
      <c r="G4733" s="81"/>
      <c r="S4733" s="93"/>
    </row>
    <row r="4734" spans="7:19" x14ac:dyDescent="0.25">
      <c r="G4734" s="81"/>
      <c r="S4734" s="93"/>
    </row>
    <row r="4735" spans="7:19" x14ac:dyDescent="0.25">
      <c r="G4735" s="81"/>
      <c r="S4735" s="93"/>
    </row>
    <row r="4736" spans="7:19" x14ac:dyDescent="0.25">
      <c r="G4736" s="81"/>
      <c r="S4736" s="93"/>
    </row>
    <row r="4737" spans="7:19" x14ac:dyDescent="0.25">
      <c r="G4737" s="81"/>
      <c r="S4737" s="93"/>
    </row>
    <row r="4738" spans="7:19" x14ac:dyDescent="0.25">
      <c r="G4738" s="81"/>
      <c r="S4738" s="93"/>
    </row>
    <row r="4739" spans="7:19" x14ac:dyDescent="0.25">
      <c r="G4739" s="81"/>
      <c r="S4739" s="93"/>
    </row>
    <row r="4740" spans="7:19" x14ac:dyDescent="0.25">
      <c r="G4740" s="81"/>
      <c r="S4740" s="93"/>
    </row>
    <row r="4741" spans="7:19" x14ac:dyDescent="0.25">
      <c r="G4741" s="81"/>
      <c r="S4741" s="93"/>
    </row>
    <row r="4742" spans="7:19" x14ac:dyDescent="0.25">
      <c r="G4742" s="81"/>
      <c r="S4742" s="93"/>
    </row>
    <row r="4743" spans="7:19" x14ac:dyDescent="0.25">
      <c r="G4743" s="81"/>
      <c r="S4743" s="93"/>
    </row>
    <row r="4744" spans="7:19" x14ac:dyDescent="0.25">
      <c r="G4744" s="81"/>
      <c r="S4744" s="93"/>
    </row>
    <row r="4745" spans="7:19" x14ac:dyDescent="0.25">
      <c r="G4745" s="81"/>
      <c r="S4745" s="93"/>
    </row>
    <row r="4746" spans="7:19" x14ac:dyDescent="0.25">
      <c r="G4746" s="81"/>
      <c r="S4746" s="93"/>
    </row>
    <row r="4747" spans="7:19" x14ac:dyDescent="0.25">
      <c r="G4747" s="81"/>
      <c r="S4747" s="93"/>
    </row>
    <row r="4748" spans="7:19" x14ac:dyDescent="0.25">
      <c r="G4748" s="81"/>
      <c r="S4748" s="93"/>
    </row>
    <row r="4749" spans="7:19" x14ac:dyDescent="0.25">
      <c r="G4749" s="81"/>
      <c r="S4749" s="93"/>
    </row>
    <row r="4750" spans="7:19" x14ac:dyDescent="0.25">
      <c r="G4750" s="81"/>
      <c r="S4750" s="93"/>
    </row>
    <row r="4751" spans="7:19" x14ac:dyDescent="0.25">
      <c r="G4751" s="81"/>
      <c r="S4751" s="93"/>
    </row>
    <row r="4752" spans="7:19" x14ac:dyDescent="0.25">
      <c r="G4752" s="81"/>
      <c r="S4752" s="93"/>
    </row>
    <row r="4753" spans="7:19" x14ac:dyDescent="0.25">
      <c r="G4753" s="81"/>
      <c r="S4753" s="93"/>
    </row>
    <row r="4754" spans="7:19" x14ac:dyDescent="0.25">
      <c r="G4754" s="81"/>
      <c r="S4754" s="93"/>
    </row>
    <row r="4755" spans="7:19" x14ac:dyDescent="0.25">
      <c r="G4755" s="81"/>
      <c r="S4755" s="93"/>
    </row>
    <row r="4756" spans="7:19" x14ac:dyDescent="0.25">
      <c r="G4756" s="81"/>
      <c r="S4756" s="93"/>
    </row>
    <row r="4757" spans="7:19" x14ac:dyDescent="0.25">
      <c r="G4757" s="81"/>
      <c r="S4757" s="93"/>
    </row>
    <row r="4758" spans="7:19" x14ac:dyDescent="0.25">
      <c r="G4758" s="81"/>
      <c r="S4758" s="93"/>
    </row>
    <row r="4759" spans="7:19" x14ac:dyDescent="0.25">
      <c r="G4759" s="81"/>
      <c r="S4759" s="93"/>
    </row>
    <row r="4760" spans="7:19" x14ac:dyDescent="0.25">
      <c r="G4760" s="81"/>
      <c r="S4760" s="93"/>
    </row>
    <row r="4761" spans="7:19" x14ac:dyDescent="0.25">
      <c r="G4761" s="81"/>
      <c r="S4761" s="93"/>
    </row>
    <row r="4762" spans="7:19" x14ac:dyDescent="0.25">
      <c r="G4762" s="81"/>
      <c r="S4762" s="93"/>
    </row>
    <row r="4763" spans="7:19" x14ac:dyDescent="0.25">
      <c r="G4763" s="81"/>
      <c r="S4763" s="93"/>
    </row>
    <row r="4764" spans="7:19" x14ac:dyDescent="0.25">
      <c r="G4764" s="81"/>
      <c r="S4764" s="93"/>
    </row>
    <row r="4765" spans="7:19" x14ac:dyDescent="0.25">
      <c r="G4765" s="81"/>
      <c r="S4765" s="93"/>
    </row>
    <row r="4766" spans="7:19" x14ac:dyDescent="0.25">
      <c r="G4766" s="81"/>
      <c r="S4766" s="93"/>
    </row>
    <row r="4767" spans="7:19" x14ac:dyDescent="0.25">
      <c r="G4767" s="81"/>
      <c r="S4767" s="93"/>
    </row>
    <row r="4768" spans="7:19" x14ac:dyDescent="0.25">
      <c r="G4768" s="81"/>
      <c r="S4768" s="93"/>
    </row>
    <row r="4769" spans="7:19" x14ac:dyDescent="0.25">
      <c r="G4769" s="81"/>
      <c r="S4769" s="93"/>
    </row>
    <row r="4770" spans="7:19" x14ac:dyDescent="0.25">
      <c r="G4770" s="81"/>
      <c r="S4770" s="93"/>
    </row>
    <row r="4771" spans="7:19" x14ac:dyDescent="0.25">
      <c r="G4771" s="81"/>
      <c r="S4771" s="93"/>
    </row>
    <row r="4772" spans="7:19" x14ac:dyDescent="0.25">
      <c r="G4772" s="81"/>
      <c r="S4772" s="93"/>
    </row>
    <row r="4773" spans="7:19" x14ac:dyDescent="0.25">
      <c r="G4773" s="81"/>
      <c r="S4773" s="93"/>
    </row>
    <row r="4774" spans="7:19" x14ac:dyDescent="0.25">
      <c r="G4774" s="81"/>
      <c r="S4774" s="93"/>
    </row>
    <row r="4775" spans="7:19" x14ac:dyDescent="0.25">
      <c r="G4775" s="81"/>
      <c r="S4775" s="93"/>
    </row>
    <row r="4776" spans="7:19" x14ac:dyDescent="0.25">
      <c r="G4776" s="81"/>
      <c r="S4776" s="93"/>
    </row>
    <row r="4777" spans="7:19" x14ac:dyDescent="0.25">
      <c r="G4777" s="81"/>
      <c r="S4777" s="93"/>
    </row>
    <row r="4778" spans="7:19" x14ac:dyDescent="0.25">
      <c r="G4778" s="81"/>
      <c r="S4778" s="93"/>
    </row>
    <row r="4779" spans="7:19" x14ac:dyDescent="0.25">
      <c r="G4779" s="81"/>
      <c r="S4779" s="93"/>
    </row>
    <row r="4780" spans="7:19" x14ac:dyDescent="0.25">
      <c r="G4780" s="81"/>
      <c r="S4780" s="93"/>
    </row>
    <row r="4781" spans="7:19" x14ac:dyDescent="0.25">
      <c r="G4781" s="81"/>
      <c r="S4781" s="93"/>
    </row>
    <row r="4782" spans="7:19" x14ac:dyDescent="0.25">
      <c r="G4782" s="81"/>
      <c r="S4782" s="93"/>
    </row>
    <row r="4783" spans="7:19" x14ac:dyDescent="0.25">
      <c r="G4783" s="81"/>
      <c r="S4783" s="93"/>
    </row>
    <row r="4784" spans="7:19" x14ac:dyDescent="0.25">
      <c r="G4784" s="81"/>
      <c r="S4784" s="93"/>
    </row>
    <row r="4785" spans="7:19" x14ac:dyDescent="0.25">
      <c r="G4785" s="81"/>
      <c r="S4785" s="93"/>
    </row>
    <row r="4786" spans="7:19" x14ac:dyDescent="0.25">
      <c r="G4786" s="81"/>
      <c r="S4786" s="93"/>
    </row>
    <row r="4787" spans="7:19" x14ac:dyDescent="0.25">
      <c r="G4787" s="81"/>
      <c r="S4787" s="93"/>
    </row>
    <row r="4788" spans="7:19" x14ac:dyDescent="0.25">
      <c r="G4788" s="81"/>
      <c r="S4788" s="93"/>
    </row>
    <row r="4789" spans="7:19" x14ac:dyDescent="0.25">
      <c r="G4789" s="81"/>
      <c r="S4789" s="93"/>
    </row>
    <row r="4790" spans="7:19" x14ac:dyDescent="0.25">
      <c r="G4790" s="81"/>
      <c r="S4790" s="93"/>
    </row>
    <row r="4791" spans="7:19" x14ac:dyDescent="0.25">
      <c r="G4791" s="81"/>
      <c r="S4791" s="93"/>
    </row>
    <row r="4792" spans="7:19" x14ac:dyDescent="0.25">
      <c r="G4792" s="81"/>
      <c r="S4792" s="93"/>
    </row>
    <row r="4793" spans="7:19" x14ac:dyDescent="0.25">
      <c r="G4793" s="81"/>
      <c r="S4793" s="93"/>
    </row>
    <row r="4794" spans="7:19" x14ac:dyDescent="0.25">
      <c r="G4794" s="81"/>
      <c r="S4794" s="93"/>
    </row>
    <row r="4795" spans="7:19" x14ac:dyDescent="0.25">
      <c r="G4795" s="81"/>
      <c r="S4795" s="93"/>
    </row>
    <row r="4796" spans="7:19" x14ac:dyDescent="0.25">
      <c r="G4796" s="81"/>
      <c r="S4796" s="93"/>
    </row>
    <row r="4797" spans="7:19" x14ac:dyDescent="0.25">
      <c r="G4797" s="81"/>
      <c r="S4797" s="93"/>
    </row>
    <row r="4798" spans="7:19" x14ac:dyDescent="0.25">
      <c r="G4798" s="81"/>
      <c r="S4798" s="93"/>
    </row>
    <row r="4799" spans="7:19" x14ac:dyDescent="0.25">
      <c r="G4799" s="81"/>
      <c r="S4799" s="93"/>
    </row>
    <row r="4800" spans="7:19" x14ac:dyDescent="0.25">
      <c r="G4800" s="81"/>
      <c r="S4800" s="93"/>
    </row>
    <row r="4801" spans="7:19" x14ac:dyDescent="0.25">
      <c r="G4801" s="81"/>
      <c r="S4801" s="93"/>
    </row>
    <row r="4802" spans="7:19" x14ac:dyDescent="0.25">
      <c r="G4802" s="81"/>
      <c r="S4802" s="93"/>
    </row>
    <row r="4803" spans="7:19" x14ac:dyDescent="0.25">
      <c r="G4803" s="81"/>
      <c r="S4803" s="93"/>
    </row>
    <row r="4804" spans="7:19" x14ac:dyDescent="0.25">
      <c r="G4804" s="81"/>
      <c r="S4804" s="93"/>
    </row>
    <row r="4805" spans="7:19" x14ac:dyDescent="0.25">
      <c r="G4805" s="81"/>
      <c r="S4805" s="93"/>
    </row>
    <row r="4806" spans="7:19" x14ac:dyDescent="0.25">
      <c r="G4806" s="81"/>
      <c r="S4806" s="93"/>
    </row>
    <row r="4807" spans="7:19" x14ac:dyDescent="0.25">
      <c r="G4807" s="81"/>
      <c r="S4807" s="93"/>
    </row>
    <row r="4808" spans="7:19" x14ac:dyDescent="0.25">
      <c r="G4808" s="81"/>
      <c r="S4808" s="93"/>
    </row>
    <row r="4809" spans="7:19" x14ac:dyDescent="0.25">
      <c r="G4809" s="81"/>
      <c r="S4809" s="93"/>
    </row>
    <row r="4810" spans="7:19" x14ac:dyDescent="0.25">
      <c r="G4810" s="81"/>
      <c r="S4810" s="93"/>
    </row>
    <row r="4811" spans="7:19" x14ac:dyDescent="0.25">
      <c r="G4811" s="81"/>
      <c r="S4811" s="93"/>
    </row>
    <row r="4812" spans="7:19" x14ac:dyDescent="0.25">
      <c r="G4812" s="81"/>
      <c r="S4812" s="93"/>
    </row>
    <row r="4813" spans="7:19" x14ac:dyDescent="0.25">
      <c r="G4813" s="81"/>
      <c r="S4813" s="93"/>
    </row>
    <row r="4814" spans="7:19" x14ac:dyDescent="0.25">
      <c r="G4814" s="81"/>
      <c r="S4814" s="93"/>
    </row>
    <row r="4815" spans="7:19" x14ac:dyDescent="0.25">
      <c r="G4815" s="81"/>
      <c r="S4815" s="93"/>
    </row>
    <row r="4816" spans="7:19" x14ac:dyDescent="0.25">
      <c r="G4816" s="81"/>
      <c r="S4816" s="93"/>
    </row>
    <row r="4817" spans="7:19" x14ac:dyDescent="0.25">
      <c r="G4817" s="81"/>
      <c r="S4817" s="93"/>
    </row>
    <row r="4818" spans="7:19" x14ac:dyDescent="0.25">
      <c r="G4818" s="81"/>
      <c r="S4818" s="93"/>
    </row>
    <row r="4819" spans="7:19" x14ac:dyDescent="0.25">
      <c r="G4819" s="81"/>
      <c r="S4819" s="93"/>
    </row>
    <row r="4820" spans="7:19" x14ac:dyDescent="0.25">
      <c r="G4820" s="81"/>
      <c r="S4820" s="93"/>
    </row>
    <row r="4821" spans="7:19" x14ac:dyDescent="0.25">
      <c r="G4821" s="81"/>
      <c r="S4821" s="93"/>
    </row>
    <row r="4822" spans="7:19" x14ac:dyDescent="0.25">
      <c r="G4822" s="81"/>
      <c r="S4822" s="93"/>
    </row>
    <row r="4823" spans="7:19" x14ac:dyDescent="0.25">
      <c r="G4823" s="81"/>
      <c r="S4823" s="93"/>
    </row>
    <row r="4824" spans="7:19" x14ac:dyDescent="0.25">
      <c r="G4824" s="81"/>
      <c r="S4824" s="93"/>
    </row>
    <row r="4825" spans="7:19" x14ac:dyDescent="0.25">
      <c r="G4825" s="81"/>
      <c r="S4825" s="93"/>
    </row>
    <row r="4826" spans="7:19" x14ac:dyDescent="0.25">
      <c r="G4826" s="81"/>
      <c r="S4826" s="93"/>
    </row>
    <row r="4827" spans="7:19" x14ac:dyDescent="0.25">
      <c r="G4827" s="81"/>
      <c r="S4827" s="93"/>
    </row>
    <row r="4828" spans="7:19" x14ac:dyDescent="0.25">
      <c r="G4828" s="81"/>
      <c r="S4828" s="93"/>
    </row>
    <row r="4829" spans="7:19" x14ac:dyDescent="0.25">
      <c r="G4829" s="81"/>
      <c r="S4829" s="93"/>
    </row>
    <row r="4830" spans="7:19" x14ac:dyDescent="0.25">
      <c r="G4830" s="81"/>
      <c r="S4830" s="93"/>
    </row>
    <row r="4831" spans="7:19" x14ac:dyDescent="0.25">
      <c r="G4831" s="81"/>
      <c r="S4831" s="93"/>
    </row>
    <row r="4832" spans="7:19" x14ac:dyDescent="0.25">
      <c r="G4832" s="81"/>
      <c r="S4832" s="93"/>
    </row>
    <row r="4833" spans="7:19" x14ac:dyDescent="0.25">
      <c r="G4833" s="81"/>
      <c r="S4833" s="93"/>
    </row>
    <row r="4834" spans="7:19" x14ac:dyDescent="0.25">
      <c r="G4834" s="81"/>
      <c r="S4834" s="93"/>
    </row>
    <row r="4835" spans="7:19" x14ac:dyDescent="0.25">
      <c r="G4835" s="81"/>
      <c r="S4835" s="93"/>
    </row>
    <row r="4836" spans="7:19" x14ac:dyDescent="0.25">
      <c r="G4836" s="81"/>
      <c r="S4836" s="93"/>
    </row>
    <row r="4837" spans="7:19" x14ac:dyDescent="0.25">
      <c r="G4837" s="81"/>
      <c r="S4837" s="93"/>
    </row>
    <row r="4838" spans="7:19" x14ac:dyDescent="0.25">
      <c r="G4838" s="81"/>
      <c r="S4838" s="93"/>
    </row>
    <row r="4839" spans="7:19" x14ac:dyDescent="0.25">
      <c r="G4839" s="81"/>
      <c r="S4839" s="93"/>
    </row>
    <row r="4840" spans="7:19" x14ac:dyDescent="0.25">
      <c r="G4840" s="81"/>
      <c r="S4840" s="93"/>
    </row>
    <row r="4841" spans="7:19" x14ac:dyDescent="0.25">
      <c r="G4841" s="81"/>
      <c r="S4841" s="93"/>
    </row>
    <row r="4842" spans="7:19" x14ac:dyDescent="0.25">
      <c r="G4842" s="81"/>
      <c r="S4842" s="93"/>
    </row>
    <row r="4843" spans="7:19" x14ac:dyDescent="0.25">
      <c r="G4843" s="81"/>
      <c r="S4843" s="93"/>
    </row>
    <row r="4844" spans="7:19" x14ac:dyDescent="0.25">
      <c r="G4844" s="81"/>
      <c r="S4844" s="93"/>
    </row>
    <row r="4845" spans="7:19" x14ac:dyDescent="0.25">
      <c r="G4845" s="81"/>
      <c r="S4845" s="93"/>
    </row>
    <row r="4846" spans="7:19" x14ac:dyDescent="0.25">
      <c r="G4846" s="81"/>
      <c r="S4846" s="93"/>
    </row>
    <row r="4847" spans="7:19" x14ac:dyDescent="0.25">
      <c r="G4847" s="81"/>
      <c r="S4847" s="93"/>
    </row>
    <row r="4848" spans="7:19" x14ac:dyDescent="0.25">
      <c r="G4848" s="81"/>
      <c r="S4848" s="93"/>
    </row>
    <row r="4849" spans="7:19" x14ac:dyDescent="0.25">
      <c r="G4849" s="81"/>
      <c r="S4849" s="93"/>
    </row>
    <row r="4850" spans="7:19" x14ac:dyDescent="0.25">
      <c r="G4850" s="81"/>
      <c r="S4850" s="93"/>
    </row>
    <row r="4851" spans="7:19" x14ac:dyDescent="0.25">
      <c r="G4851" s="81"/>
      <c r="S4851" s="93"/>
    </row>
    <row r="4852" spans="7:19" x14ac:dyDescent="0.25">
      <c r="G4852" s="81"/>
      <c r="S4852" s="93"/>
    </row>
    <row r="4853" spans="7:19" x14ac:dyDescent="0.25">
      <c r="G4853" s="81"/>
      <c r="S4853" s="93"/>
    </row>
    <row r="4854" spans="7:19" x14ac:dyDescent="0.25">
      <c r="G4854" s="81"/>
      <c r="S4854" s="93"/>
    </row>
    <row r="4855" spans="7:19" x14ac:dyDescent="0.25">
      <c r="G4855" s="81"/>
      <c r="S4855" s="93"/>
    </row>
    <row r="4856" spans="7:19" x14ac:dyDescent="0.25">
      <c r="G4856" s="81"/>
      <c r="S4856" s="93"/>
    </row>
    <row r="4857" spans="7:19" x14ac:dyDescent="0.25">
      <c r="G4857" s="81"/>
      <c r="S4857" s="93"/>
    </row>
    <row r="4858" spans="7:19" x14ac:dyDescent="0.25">
      <c r="G4858" s="81"/>
      <c r="S4858" s="93"/>
    </row>
    <row r="4859" spans="7:19" x14ac:dyDescent="0.25">
      <c r="G4859" s="81"/>
      <c r="S4859" s="93"/>
    </row>
    <row r="4860" spans="7:19" x14ac:dyDescent="0.25">
      <c r="G4860" s="81"/>
      <c r="S4860" s="93"/>
    </row>
    <row r="4861" spans="7:19" x14ac:dyDescent="0.25">
      <c r="G4861" s="81"/>
      <c r="S4861" s="93"/>
    </row>
    <row r="4862" spans="7:19" x14ac:dyDescent="0.25">
      <c r="G4862" s="81"/>
      <c r="S4862" s="93"/>
    </row>
    <row r="4863" spans="7:19" x14ac:dyDescent="0.25">
      <c r="G4863" s="81"/>
      <c r="S4863" s="93"/>
    </row>
    <row r="4864" spans="7:19" x14ac:dyDescent="0.25">
      <c r="G4864" s="81"/>
      <c r="S4864" s="93"/>
    </row>
    <row r="4865" spans="7:19" x14ac:dyDescent="0.25">
      <c r="G4865" s="81"/>
      <c r="S4865" s="93"/>
    </row>
    <row r="4866" spans="7:19" x14ac:dyDescent="0.25">
      <c r="G4866" s="81"/>
      <c r="S4866" s="93"/>
    </row>
    <row r="4867" spans="7:19" x14ac:dyDescent="0.25">
      <c r="G4867" s="81"/>
      <c r="S4867" s="93"/>
    </row>
    <row r="4868" spans="7:19" x14ac:dyDescent="0.25">
      <c r="G4868" s="81"/>
      <c r="S4868" s="93"/>
    </row>
    <row r="4869" spans="7:19" x14ac:dyDescent="0.25">
      <c r="G4869" s="81"/>
      <c r="S4869" s="93"/>
    </row>
    <row r="4870" spans="7:19" x14ac:dyDescent="0.25">
      <c r="G4870" s="81"/>
      <c r="S4870" s="93"/>
    </row>
    <row r="4871" spans="7:19" x14ac:dyDescent="0.25">
      <c r="G4871" s="81"/>
      <c r="S4871" s="93"/>
    </row>
    <row r="4872" spans="7:19" x14ac:dyDescent="0.25">
      <c r="G4872" s="81"/>
      <c r="S4872" s="93"/>
    </row>
    <row r="4873" spans="7:19" x14ac:dyDescent="0.25">
      <c r="G4873" s="81"/>
      <c r="S4873" s="93"/>
    </row>
    <row r="4874" spans="7:19" x14ac:dyDescent="0.25">
      <c r="G4874" s="81"/>
      <c r="S4874" s="93"/>
    </row>
    <row r="4875" spans="7:19" x14ac:dyDescent="0.25">
      <c r="G4875" s="81"/>
      <c r="S4875" s="93"/>
    </row>
    <row r="4876" spans="7:19" x14ac:dyDescent="0.25">
      <c r="G4876" s="81"/>
      <c r="S4876" s="93"/>
    </row>
    <row r="4877" spans="7:19" x14ac:dyDescent="0.25">
      <c r="G4877" s="81"/>
      <c r="S4877" s="93"/>
    </row>
    <row r="4878" spans="7:19" x14ac:dyDescent="0.25">
      <c r="G4878" s="81"/>
      <c r="S4878" s="93"/>
    </row>
    <row r="4879" spans="7:19" x14ac:dyDescent="0.25">
      <c r="G4879" s="81"/>
      <c r="S4879" s="93"/>
    </row>
    <row r="4880" spans="7:19" x14ac:dyDescent="0.25">
      <c r="G4880" s="81"/>
      <c r="S4880" s="93"/>
    </row>
    <row r="4881" spans="7:19" x14ac:dyDescent="0.25">
      <c r="G4881" s="81"/>
      <c r="S4881" s="93"/>
    </row>
    <row r="4882" spans="7:19" x14ac:dyDescent="0.25">
      <c r="G4882" s="81"/>
      <c r="S4882" s="93"/>
    </row>
    <row r="4883" spans="7:19" x14ac:dyDescent="0.25">
      <c r="G4883" s="81"/>
      <c r="S4883" s="93"/>
    </row>
    <row r="4884" spans="7:19" x14ac:dyDescent="0.25">
      <c r="G4884" s="81"/>
      <c r="S4884" s="93"/>
    </row>
    <row r="4885" spans="7:19" x14ac:dyDescent="0.25">
      <c r="G4885" s="81"/>
      <c r="S4885" s="93"/>
    </row>
    <row r="4886" spans="7:19" x14ac:dyDescent="0.25">
      <c r="G4886" s="81"/>
      <c r="S4886" s="93"/>
    </row>
    <row r="4887" spans="7:19" x14ac:dyDescent="0.25">
      <c r="G4887" s="81"/>
      <c r="S4887" s="93"/>
    </row>
    <row r="4888" spans="7:19" x14ac:dyDescent="0.25">
      <c r="G4888" s="81"/>
      <c r="S4888" s="93"/>
    </row>
    <row r="4889" spans="7:19" x14ac:dyDescent="0.25">
      <c r="G4889" s="81"/>
      <c r="S4889" s="93"/>
    </row>
    <row r="4890" spans="7:19" x14ac:dyDescent="0.25">
      <c r="G4890" s="81"/>
      <c r="S4890" s="93"/>
    </row>
    <row r="4891" spans="7:19" x14ac:dyDescent="0.25">
      <c r="G4891" s="81"/>
      <c r="S4891" s="93"/>
    </row>
    <row r="4892" spans="7:19" x14ac:dyDescent="0.25">
      <c r="G4892" s="81"/>
      <c r="S4892" s="93"/>
    </row>
    <row r="4893" spans="7:19" x14ac:dyDescent="0.25">
      <c r="G4893" s="81"/>
      <c r="S4893" s="93"/>
    </row>
    <row r="4894" spans="7:19" x14ac:dyDescent="0.25">
      <c r="G4894" s="81"/>
      <c r="S4894" s="93"/>
    </row>
    <row r="4895" spans="7:19" x14ac:dyDescent="0.25">
      <c r="G4895" s="81"/>
      <c r="S4895" s="93"/>
    </row>
    <row r="4896" spans="7:19" x14ac:dyDescent="0.25">
      <c r="G4896" s="81"/>
      <c r="S4896" s="93"/>
    </row>
    <row r="4897" spans="7:19" x14ac:dyDescent="0.25">
      <c r="G4897" s="81"/>
      <c r="S4897" s="93"/>
    </row>
    <row r="4898" spans="7:19" x14ac:dyDescent="0.25">
      <c r="G4898" s="81"/>
      <c r="S4898" s="93"/>
    </row>
    <row r="4899" spans="7:19" x14ac:dyDescent="0.25">
      <c r="G4899" s="81"/>
      <c r="S4899" s="93"/>
    </row>
    <row r="4900" spans="7:19" x14ac:dyDescent="0.25">
      <c r="G4900" s="81"/>
      <c r="S4900" s="93"/>
    </row>
    <row r="4901" spans="7:19" x14ac:dyDescent="0.25">
      <c r="G4901" s="81"/>
      <c r="S4901" s="93"/>
    </row>
    <row r="4902" spans="7:19" x14ac:dyDescent="0.25">
      <c r="G4902" s="81"/>
      <c r="S4902" s="93"/>
    </row>
    <row r="4903" spans="7:19" x14ac:dyDescent="0.25">
      <c r="G4903" s="81"/>
      <c r="S4903" s="93"/>
    </row>
    <row r="4904" spans="7:19" x14ac:dyDescent="0.25">
      <c r="G4904" s="81"/>
      <c r="S4904" s="93"/>
    </row>
    <row r="4905" spans="7:19" x14ac:dyDescent="0.25">
      <c r="G4905" s="81"/>
      <c r="S4905" s="93"/>
    </row>
    <row r="4906" spans="7:19" x14ac:dyDescent="0.25">
      <c r="G4906" s="81"/>
      <c r="S4906" s="93"/>
    </row>
    <row r="4907" spans="7:19" x14ac:dyDescent="0.25">
      <c r="G4907" s="81"/>
      <c r="S4907" s="93"/>
    </row>
    <row r="4908" spans="7:19" x14ac:dyDescent="0.25">
      <c r="G4908" s="81"/>
      <c r="S4908" s="93"/>
    </row>
    <row r="4909" spans="7:19" x14ac:dyDescent="0.25">
      <c r="G4909" s="81"/>
      <c r="S4909" s="93"/>
    </row>
    <row r="4910" spans="7:19" x14ac:dyDescent="0.25">
      <c r="G4910" s="81"/>
      <c r="S4910" s="93"/>
    </row>
    <row r="4911" spans="7:19" x14ac:dyDescent="0.25">
      <c r="G4911" s="81"/>
      <c r="S4911" s="93"/>
    </row>
    <row r="4912" spans="7:19" x14ac:dyDescent="0.25">
      <c r="G4912" s="81"/>
      <c r="S4912" s="93"/>
    </row>
    <row r="4913" spans="7:19" x14ac:dyDescent="0.25">
      <c r="G4913" s="81"/>
      <c r="S4913" s="93"/>
    </row>
    <row r="4914" spans="7:19" x14ac:dyDescent="0.25">
      <c r="G4914" s="81"/>
      <c r="S4914" s="93"/>
    </row>
    <row r="4915" spans="7:19" x14ac:dyDescent="0.25">
      <c r="G4915" s="81"/>
      <c r="S4915" s="93"/>
    </row>
    <row r="4916" spans="7:19" x14ac:dyDescent="0.25">
      <c r="G4916" s="81"/>
      <c r="S4916" s="93"/>
    </row>
    <row r="4917" spans="7:19" x14ac:dyDescent="0.25">
      <c r="G4917" s="81"/>
      <c r="S4917" s="93"/>
    </row>
    <row r="4918" spans="7:19" x14ac:dyDescent="0.25">
      <c r="G4918" s="81"/>
      <c r="S4918" s="93"/>
    </row>
    <row r="4919" spans="7:19" x14ac:dyDescent="0.25">
      <c r="G4919" s="81"/>
      <c r="S4919" s="93"/>
    </row>
    <row r="4920" spans="7:19" x14ac:dyDescent="0.25">
      <c r="G4920" s="81"/>
      <c r="S4920" s="93"/>
    </row>
    <row r="4921" spans="7:19" x14ac:dyDescent="0.25">
      <c r="G4921" s="81"/>
      <c r="S4921" s="93"/>
    </row>
    <row r="4922" spans="7:19" x14ac:dyDescent="0.25">
      <c r="G4922" s="81"/>
      <c r="S4922" s="93"/>
    </row>
    <row r="4923" spans="7:19" x14ac:dyDescent="0.25">
      <c r="G4923" s="81"/>
      <c r="S4923" s="93"/>
    </row>
    <row r="4924" spans="7:19" x14ac:dyDescent="0.25">
      <c r="G4924" s="81"/>
      <c r="S4924" s="93"/>
    </row>
    <row r="4925" spans="7:19" x14ac:dyDescent="0.25">
      <c r="G4925" s="81"/>
      <c r="S4925" s="93"/>
    </row>
    <row r="4926" spans="7:19" x14ac:dyDescent="0.25">
      <c r="G4926" s="81"/>
      <c r="S4926" s="93"/>
    </row>
    <row r="4927" spans="7:19" x14ac:dyDescent="0.25">
      <c r="G4927" s="81"/>
      <c r="S4927" s="93"/>
    </row>
    <row r="4928" spans="7:19" x14ac:dyDescent="0.25">
      <c r="G4928" s="81"/>
      <c r="S4928" s="93"/>
    </row>
    <row r="4929" spans="7:19" x14ac:dyDescent="0.25">
      <c r="G4929" s="81"/>
      <c r="S4929" s="93"/>
    </row>
    <row r="4930" spans="7:19" x14ac:dyDescent="0.25">
      <c r="G4930" s="81"/>
      <c r="S4930" s="93"/>
    </row>
    <row r="4931" spans="7:19" x14ac:dyDescent="0.25">
      <c r="G4931" s="81"/>
      <c r="S4931" s="93"/>
    </row>
    <row r="4932" spans="7:19" x14ac:dyDescent="0.25">
      <c r="G4932" s="81"/>
      <c r="S4932" s="93"/>
    </row>
    <row r="4933" spans="7:19" x14ac:dyDescent="0.25">
      <c r="G4933" s="81"/>
      <c r="S4933" s="93"/>
    </row>
    <row r="4934" spans="7:19" x14ac:dyDescent="0.25">
      <c r="G4934" s="81"/>
      <c r="S4934" s="93"/>
    </row>
    <row r="4935" spans="7:19" x14ac:dyDescent="0.25">
      <c r="G4935" s="81"/>
      <c r="S4935" s="93"/>
    </row>
    <row r="4936" spans="7:19" x14ac:dyDescent="0.25">
      <c r="G4936" s="81"/>
      <c r="S4936" s="93"/>
    </row>
    <row r="4937" spans="7:19" x14ac:dyDescent="0.25">
      <c r="G4937" s="81"/>
      <c r="S4937" s="93"/>
    </row>
    <row r="4938" spans="7:19" x14ac:dyDescent="0.25">
      <c r="G4938" s="81"/>
      <c r="S4938" s="93"/>
    </row>
    <row r="4939" spans="7:19" x14ac:dyDescent="0.25">
      <c r="G4939" s="81"/>
      <c r="S4939" s="93"/>
    </row>
    <row r="4940" spans="7:19" x14ac:dyDescent="0.25">
      <c r="G4940" s="81"/>
      <c r="S4940" s="93"/>
    </row>
    <row r="4941" spans="7:19" x14ac:dyDescent="0.25">
      <c r="G4941" s="81"/>
      <c r="S4941" s="93"/>
    </row>
    <row r="4942" spans="7:19" x14ac:dyDescent="0.25">
      <c r="G4942" s="81"/>
      <c r="S4942" s="93"/>
    </row>
    <row r="4943" spans="7:19" x14ac:dyDescent="0.25">
      <c r="G4943" s="81"/>
      <c r="S4943" s="93"/>
    </row>
    <row r="4944" spans="7:19" x14ac:dyDescent="0.25">
      <c r="G4944" s="81"/>
      <c r="S4944" s="93"/>
    </row>
    <row r="4945" spans="7:19" x14ac:dyDescent="0.25">
      <c r="G4945" s="81"/>
      <c r="S4945" s="93"/>
    </row>
    <row r="4946" spans="7:19" x14ac:dyDescent="0.25">
      <c r="G4946" s="81"/>
      <c r="S4946" s="93"/>
    </row>
    <row r="4947" spans="7:19" x14ac:dyDescent="0.25">
      <c r="G4947" s="81"/>
      <c r="S4947" s="93"/>
    </row>
    <row r="4948" spans="7:19" x14ac:dyDescent="0.25">
      <c r="G4948" s="81"/>
      <c r="S4948" s="93"/>
    </row>
    <row r="4949" spans="7:19" x14ac:dyDescent="0.25">
      <c r="G4949" s="81"/>
      <c r="S4949" s="93"/>
    </row>
    <row r="4950" spans="7:19" x14ac:dyDescent="0.25">
      <c r="G4950" s="81"/>
      <c r="S4950" s="93"/>
    </row>
    <row r="4951" spans="7:19" x14ac:dyDescent="0.25">
      <c r="G4951" s="81"/>
      <c r="S4951" s="93"/>
    </row>
    <row r="4952" spans="7:19" x14ac:dyDescent="0.25">
      <c r="G4952" s="81"/>
      <c r="S4952" s="93"/>
    </row>
    <row r="4953" spans="7:19" x14ac:dyDescent="0.25">
      <c r="G4953" s="81"/>
      <c r="S4953" s="93"/>
    </row>
    <row r="4954" spans="7:19" x14ac:dyDescent="0.25">
      <c r="G4954" s="81"/>
      <c r="S4954" s="93"/>
    </row>
    <row r="4955" spans="7:19" x14ac:dyDescent="0.25">
      <c r="G4955" s="81"/>
      <c r="S4955" s="93"/>
    </row>
    <row r="4956" spans="7:19" x14ac:dyDescent="0.25">
      <c r="G4956" s="81"/>
      <c r="S4956" s="93"/>
    </row>
    <row r="4957" spans="7:19" x14ac:dyDescent="0.25">
      <c r="G4957" s="81"/>
      <c r="S4957" s="93"/>
    </row>
    <row r="4958" spans="7:19" x14ac:dyDescent="0.25">
      <c r="G4958" s="81"/>
      <c r="S4958" s="93"/>
    </row>
    <row r="4959" spans="7:19" x14ac:dyDescent="0.25">
      <c r="G4959" s="81"/>
      <c r="S4959" s="93"/>
    </row>
    <row r="4960" spans="7:19" x14ac:dyDescent="0.25">
      <c r="G4960" s="81"/>
      <c r="S4960" s="93"/>
    </row>
    <row r="4961" spans="7:19" x14ac:dyDescent="0.25">
      <c r="G4961" s="81"/>
      <c r="S4961" s="93"/>
    </row>
    <row r="4962" spans="7:19" x14ac:dyDescent="0.25">
      <c r="G4962" s="81"/>
      <c r="S4962" s="93"/>
    </row>
    <row r="4963" spans="7:19" x14ac:dyDescent="0.25">
      <c r="G4963" s="81"/>
      <c r="S4963" s="93"/>
    </row>
    <row r="4964" spans="7:19" x14ac:dyDescent="0.25">
      <c r="G4964" s="81"/>
      <c r="S4964" s="93"/>
    </row>
    <row r="4965" spans="7:19" x14ac:dyDescent="0.25">
      <c r="G4965" s="81"/>
      <c r="S4965" s="93"/>
    </row>
    <row r="4966" spans="7:19" x14ac:dyDescent="0.25">
      <c r="G4966" s="81"/>
      <c r="S4966" s="93"/>
    </row>
    <row r="4967" spans="7:19" x14ac:dyDescent="0.25">
      <c r="G4967" s="81"/>
      <c r="S4967" s="93"/>
    </row>
    <row r="4968" spans="7:19" x14ac:dyDescent="0.25">
      <c r="G4968" s="81"/>
      <c r="S4968" s="93"/>
    </row>
    <row r="4969" spans="7:19" x14ac:dyDescent="0.25">
      <c r="G4969" s="81"/>
      <c r="S4969" s="93"/>
    </row>
    <row r="4970" spans="7:19" x14ac:dyDescent="0.25">
      <c r="G4970" s="81"/>
      <c r="S4970" s="93"/>
    </row>
    <row r="4971" spans="7:19" x14ac:dyDescent="0.25">
      <c r="G4971" s="81"/>
      <c r="S4971" s="93"/>
    </row>
    <row r="4972" spans="7:19" x14ac:dyDescent="0.25">
      <c r="G4972" s="81"/>
      <c r="S4972" s="93"/>
    </row>
    <row r="4973" spans="7:19" x14ac:dyDescent="0.25">
      <c r="G4973" s="81"/>
      <c r="S4973" s="93"/>
    </row>
    <row r="4974" spans="7:19" x14ac:dyDescent="0.25">
      <c r="G4974" s="81"/>
      <c r="S4974" s="93"/>
    </row>
    <row r="4975" spans="7:19" x14ac:dyDescent="0.25">
      <c r="G4975" s="81"/>
      <c r="S4975" s="93"/>
    </row>
    <row r="4976" spans="7:19" x14ac:dyDescent="0.25">
      <c r="G4976" s="81"/>
      <c r="S4976" s="93"/>
    </row>
    <row r="4977" spans="7:19" x14ac:dyDescent="0.25">
      <c r="G4977" s="81"/>
      <c r="S4977" s="93"/>
    </row>
    <row r="4978" spans="7:19" x14ac:dyDescent="0.25">
      <c r="G4978" s="81"/>
      <c r="S4978" s="93"/>
    </row>
    <row r="4979" spans="7:19" x14ac:dyDescent="0.25">
      <c r="G4979" s="81"/>
      <c r="S4979" s="93"/>
    </row>
    <row r="4980" spans="7:19" x14ac:dyDescent="0.25">
      <c r="G4980" s="81"/>
      <c r="S4980" s="93"/>
    </row>
    <row r="4981" spans="7:19" x14ac:dyDescent="0.25">
      <c r="G4981" s="81"/>
      <c r="S4981" s="93"/>
    </row>
    <row r="4982" spans="7:19" x14ac:dyDescent="0.25">
      <c r="G4982" s="81"/>
      <c r="S4982" s="93"/>
    </row>
    <row r="4983" spans="7:19" x14ac:dyDescent="0.25">
      <c r="G4983" s="81"/>
      <c r="S4983" s="93"/>
    </row>
    <row r="4984" spans="7:19" x14ac:dyDescent="0.25">
      <c r="G4984" s="81"/>
      <c r="S4984" s="93"/>
    </row>
    <row r="4985" spans="7:19" x14ac:dyDescent="0.25">
      <c r="G4985" s="81"/>
      <c r="S4985" s="93"/>
    </row>
    <row r="4986" spans="7:19" x14ac:dyDescent="0.25">
      <c r="G4986" s="81"/>
      <c r="S4986" s="93"/>
    </row>
    <row r="4987" spans="7:19" x14ac:dyDescent="0.25">
      <c r="G4987" s="81"/>
      <c r="S4987" s="93"/>
    </row>
    <row r="4988" spans="7:19" x14ac:dyDescent="0.25">
      <c r="G4988" s="81"/>
      <c r="S4988" s="93"/>
    </row>
    <row r="4989" spans="7:19" x14ac:dyDescent="0.25">
      <c r="G4989" s="81"/>
      <c r="S4989" s="93"/>
    </row>
    <row r="4990" spans="7:19" x14ac:dyDescent="0.25">
      <c r="G4990" s="81"/>
      <c r="S4990" s="93"/>
    </row>
    <row r="4991" spans="7:19" x14ac:dyDescent="0.25">
      <c r="G4991" s="81"/>
      <c r="S4991" s="93"/>
    </row>
    <row r="4992" spans="7:19" x14ac:dyDescent="0.25">
      <c r="G4992" s="81"/>
      <c r="S4992" s="93"/>
    </row>
    <row r="4993" spans="7:19" x14ac:dyDescent="0.25">
      <c r="G4993" s="81"/>
      <c r="S4993" s="93"/>
    </row>
    <row r="4994" spans="7:19" x14ac:dyDescent="0.25">
      <c r="G4994" s="81"/>
      <c r="S4994" s="93"/>
    </row>
    <row r="4995" spans="7:19" x14ac:dyDescent="0.25">
      <c r="G4995" s="81"/>
      <c r="S4995" s="93"/>
    </row>
    <row r="4996" spans="7:19" x14ac:dyDescent="0.25">
      <c r="G4996" s="81"/>
      <c r="S4996" s="93"/>
    </row>
    <row r="4997" spans="7:19" x14ac:dyDescent="0.25">
      <c r="G4997" s="81"/>
      <c r="S4997" s="93"/>
    </row>
    <row r="4998" spans="7:19" x14ac:dyDescent="0.25">
      <c r="G4998" s="81"/>
      <c r="S4998" s="93"/>
    </row>
    <row r="4999" spans="7:19" x14ac:dyDescent="0.25">
      <c r="G4999" s="81"/>
      <c r="S4999" s="93"/>
    </row>
    <row r="5000" spans="7:19" x14ac:dyDescent="0.25">
      <c r="G5000" s="81"/>
      <c r="S5000" s="93"/>
    </row>
    <row r="5001" spans="7:19" x14ac:dyDescent="0.25">
      <c r="G5001" s="81"/>
      <c r="S5001" s="93"/>
    </row>
    <row r="5002" spans="7:19" x14ac:dyDescent="0.25">
      <c r="G5002" s="81"/>
      <c r="S5002" s="93"/>
    </row>
    <row r="5003" spans="7:19" x14ac:dyDescent="0.25">
      <c r="G5003" s="81"/>
      <c r="S5003" s="93"/>
    </row>
    <row r="5004" spans="7:19" x14ac:dyDescent="0.25">
      <c r="G5004" s="81"/>
      <c r="S5004" s="93"/>
    </row>
    <row r="5005" spans="7:19" x14ac:dyDescent="0.25">
      <c r="G5005" s="81"/>
      <c r="S5005" s="93"/>
    </row>
    <row r="5006" spans="7:19" x14ac:dyDescent="0.25">
      <c r="G5006" s="81"/>
      <c r="S5006" s="93"/>
    </row>
    <row r="5007" spans="7:19" x14ac:dyDescent="0.25">
      <c r="G5007" s="81"/>
      <c r="S5007" s="93"/>
    </row>
    <row r="5008" spans="7:19" x14ac:dyDescent="0.25">
      <c r="G5008" s="81"/>
      <c r="S5008" s="93"/>
    </row>
    <row r="5009" spans="7:19" x14ac:dyDescent="0.25">
      <c r="G5009" s="81"/>
      <c r="S5009" s="93"/>
    </row>
    <row r="5010" spans="7:19" x14ac:dyDescent="0.25">
      <c r="G5010" s="81"/>
      <c r="S5010" s="93"/>
    </row>
    <row r="5011" spans="7:19" x14ac:dyDescent="0.25">
      <c r="G5011" s="81"/>
      <c r="S5011" s="93"/>
    </row>
    <row r="5012" spans="7:19" x14ac:dyDescent="0.25">
      <c r="G5012" s="81"/>
      <c r="S5012" s="93"/>
    </row>
    <row r="5013" spans="7:19" x14ac:dyDescent="0.25">
      <c r="G5013" s="81"/>
      <c r="S5013" s="93"/>
    </row>
    <row r="5014" spans="7:19" x14ac:dyDescent="0.25">
      <c r="G5014" s="81"/>
      <c r="S5014" s="93"/>
    </row>
    <row r="5015" spans="7:19" x14ac:dyDescent="0.25">
      <c r="G5015" s="81"/>
      <c r="S5015" s="93"/>
    </row>
    <row r="5016" spans="7:19" x14ac:dyDescent="0.25">
      <c r="G5016" s="81"/>
      <c r="S5016" s="93"/>
    </row>
    <row r="5017" spans="7:19" x14ac:dyDescent="0.25">
      <c r="G5017" s="81"/>
      <c r="S5017" s="93"/>
    </row>
    <row r="5018" spans="7:19" x14ac:dyDescent="0.25">
      <c r="G5018" s="81"/>
      <c r="S5018" s="93"/>
    </row>
    <row r="5019" spans="7:19" x14ac:dyDescent="0.25">
      <c r="G5019" s="81"/>
      <c r="S5019" s="93"/>
    </row>
    <row r="5020" spans="7:19" x14ac:dyDescent="0.25">
      <c r="G5020" s="81"/>
      <c r="S5020" s="93"/>
    </row>
    <row r="5021" spans="7:19" x14ac:dyDescent="0.25">
      <c r="G5021" s="81"/>
      <c r="S5021" s="93"/>
    </row>
    <row r="5022" spans="7:19" x14ac:dyDescent="0.25">
      <c r="G5022" s="81"/>
      <c r="S5022" s="93"/>
    </row>
    <row r="5023" spans="7:19" x14ac:dyDescent="0.25">
      <c r="G5023" s="81"/>
      <c r="S5023" s="93"/>
    </row>
    <row r="5024" spans="7:19" x14ac:dyDescent="0.25">
      <c r="G5024" s="81"/>
      <c r="S5024" s="93"/>
    </row>
    <row r="5025" spans="7:19" x14ac:dyDescent="0.25">
      <c r="G5025" s="81"/>
      <c r="S5025" s="93"/>
    </row>
    <row r="5026" spans="7:19" x14ac:dyDescent="0.25">
      <c r="G5026" s="81"/>
      <c r="S5026" s="93"/>
    </row>
    <row r="5027" spans="7:19" x14ac:dyDescent="0.25">
      <c r="G5027" s="81"/>
      <c r="S5027" s="93"/>
    </row>
    <row r="5028" spans="7:19" x14ac:dyDescent="0.25">
      <c r="G5028" s="81"/>
      <c r="S5028" s="93"/>
    </row>
    <row r="5029" spans="7:19" x14ac:dyDescent="0.25">
      <c r="G5029" s="81"/>
      <c r="S5029" s="93"/>
    </row>
    <row r="5030" spans="7:19" x14ac:dyDescent="0.25">
      <c r="G5030" s="81"/>
      <c r="S5030" s="93"/>
    </row>
    <row r="5031" spans="7:19" x14ac:dyDescent="0.25">
      <c r="G5031" s="81"/>
      <c r="S5031" s="93"/>
    </row>
    <row r="5032" spans="7:19" x14ac:dyDescent="0.25">
      <c r="G5032" s="81"/>
      <c r="S5032" s="93"/>
    </row>
    <row r="5033" spans="7:19" x14ac:dyDescent="0.25">
      <c r="G5033" s="81"/>
      <c r="S5033" s="93"/>
    </row>
    <row r="5034" spans="7:19" x14ac:dyDescent="0.25">
      <c r="G5034" s="81"/>
      <c r="S5034" s="93"/>
    </row>
    <row r="5035" spans="7:19" x14ac:dyDescent="0.25">
      <c r="G5035" s="81"/>
      <c r="S5035" s="93"/>
    </row>
    <row r="5036" spans="7:19" x14ac:dyDescent="0.25">
      <c r="G5036" s="81"/>
      <c r="S5036" s="93"/>
    </row>
    <row r="5037" spans="7:19" x14ac:dyDescent="0.25">
      <c r="G5037" s="81"/>
      <c r="S5037" s="93"/>
    </row>
    <row r="5038" spans="7:19" x14ac:dyDescent="0.25">
      <c r="G5038" s="81"/>
      <c r="S5038" s="93"/>
    </row>
    <row r="5039" spans="7:19" x14ac:dyDescent="0.25">
      <c r="G5039" s="81"/>
      <c r="S5039" s="93"/>
    </row>
    <row r="5040" spans="7:19" x14ac:dyDescent="0.25">
      <c r="G5040" s="81"/>
      <c r="S5040" s="93"/>
    </row>
    <row r="5041" spans="7:19" x14ac:dyDescent="0.25">
      <c r="G5041" s="81"/>
      <c r="S5041" s="93"/>
    </row>
    <row r="5042" spans="7:19" x14ac:dyDescent="0.25">
      <c r="G5042" s="81"/>
      <c r="S5042" s="93"/>
    </row>
    <row r="5043" spans="7:19" x14ac:dyDescent="0.25">
      <c r="G5043" s="81"/>
      <c r="S5043" s="93"/>
    </row>
    <row r="5044" spans="7:19" x14ac:dyDescent="0.25">
      <c r="G5044" s="81"/>
      <c r="S5044" s="93"/>
    </row>
    <row r="5045" spans="7:19" x14ac:dyDescent="0.25">
      <c r="G5045" s="81"/>
      <c r="S5045" s="93"/>
    </row>
    <row r="5046" spans="7:19" x14ac:dyDescent="0.25">
      <c r="G5046" s="81"/>
      <c r="S5046" s="93"/>
    </row>
    <row r="5047" spans="7:19" x14ac:dyDescent="0.25">
      <c r="G5047" s="81"/>
      <c r="S5047" s="93"/>
    </row>
    <row r="5048" spans="7:19" x14ac:dyDescent="0.25">
      <c r="G5048" s="81"/>
      <c r="S5048" s="93"/>
    </row>
    <row r="5049" spans="7:19" x14ac:dyDescent="0.25">
      <c r="G5049" s="81"/>
      <c r="S5049" s="93"/>
    </row>
    <row r="5050" spans="7:19" x14ac:dyDescent="0.25">
      <c r="G5050" s="81"/>
      <c r="S5050" s="93"/>
    </row>
    <row r="5051" spans="7:19" x14ac:dyDescent="0.25">
      <c r="G5051" s="81"/>
      <c r="S5051" s="93"/>
    </row>
    <row r="5052" spans="7:19" x14ac:dyDescent="0.25">
      <c r="G5052" s="81"/>
      <c r="S5052" s="93"/>
    </row>
    <row r="5053" spans="7:19" x14ac:dyDescent="0.25">
      <c r="G5053" s="81"/>
      <c r="S5053" s="93"/>
    </row>
    <row r="5054" spans="7:19" x14ac:dyDescent="0.25">
      <c r="G5054" s="81"/>
      <c r="S5054" s="93"/>
    </row>
    <row r="5055" spans="7:19" x14ac:dyDescent="0.25">
      <c r="G5055" s="81"/>
      <c r="S5055" s="93"/>
    </row>
    <row r="5056" spans="7:19" x14ac:dyDescent="0.25">
      <c r="G5056" s="81"/>
      <c r="S5056" s="93"/>
    </row>
    <row r="5057" spans="7:19" x14ac:dyDescent="0.25">
      <c r="G5057" s="81"/>
      <c r="S5057" s="93"/>
    </row>
    <row r="5058" spans="7:19" x14ac:dyDescent="0.25">
      <c r="G5058" s="81"/>
      <c r="S5058" s="93"/>
    </row>
    <row r="5059" spans="7:19" x14ac:dyDescent="0.25">
      <c r="G5059" s="81"/>
      <c r="S5059" s="93"/>
    </row>
    <row r="5060" spans="7:19" x14ac:dyDescent="0.25">
      <c r="G5060" s="81"/>
      <c r="S5060" s="93"/>
    </row>
    <row r="5061" spans="7:19" x14ac:dyDescent="0.25">
      <c r="G5061" s="81"/>
      <c r="S5061" s="93"/>
    </row>
    <row r="5062" spans="7:19" x14ac:dyDescent="0.25">
      <c r="G5062" s="81"/>
      <c r="S5062" s="93"/>
    </row>
    <row r="5063" spans="7:19" x14ac:dyDescent="0.25">
      <c r="G5063" s="81"/>
      <c r="S5063" s="93"/>
    </row>
    <row r="5064" spans="7:19" x14ac:dyDescent="0.25">
      <c r="G5064" s="81"/>
      <c r="S5064" s="93"/>
    </row>
    <row r="5065" spans="7:19" x14ac:dyDescent="0.25">
      <c r="G5065" s="81"/>
      <c r="S5065" s="93"/>
    </row>
    <row r="5066" spans="7:19" x14ac:dyDescent="0.25">
      <c r="G5066" s="81"/>
      <c r="S5066" s="93"/>
    </row>
    <row r="5067" spans="7:19" x14ac:dyDescent="0.25">
      <c r="G5067" s="81"/>
      <c r="S5067" s="93"/>
    </row>
    <row r="5068" spans="7:19" x14ac:dyDescent="0.25">
      <c r="G5068" s="81"/>
      <c r="S5068" s="93"/>
    </row>
    <row r="5069" spans="7:19" x14ac:dyDescent="0.25">
      <c r="G5069" s="81"/>
      <c r="S5069" s="93"/>
    </row>
    <row r="5070" spans="7:19" x14ac:dyDescent="0.25">
      <c r="G5070" s="81"/>
      <c r="S5070" s="93"/>
    </row>
    <row r="5071" spans="7:19" x14ac:dyDescent="0.25">
      <c r="G5071" s="81"/>
      <c r="S5071" s="93"/>
    </row>
    <row r="5072" spans="7:19" x14ac:dyDescent="0.25">
      <c r="G5072" s="81"/>
      <c r="S5072" s="93"/>
    </row>
    <row r="5073" spans="7:19" x14ac:dyDescent="0.25">
      <c r="G5073" s="81"/>
      <c r="S5073" s="93"/>
    </row>
    <row r="5074" spans="7:19" x14ac:dyDescent="0.25">
      <c r="G5074" s="81"/>
      <c r="S5074" s="93"/>
    </row>
    <row r="5075" spans="7:19" x14ac:dyDescent="0.25">
      <c r="G5075" s="81"/>
      <c r="S5075" s="93"/>
    </row>
    <row r="5076" spans="7:19" x14ac:dyDescent="0.25">
      <c r="G5076" s="81"/>
      <c r="S5076" s="93"/>
    </row>
    <row r="5077" spans="7:19" x14ac:dyDescent="0.25">
      <c r="G5077" s="81"/>
      <c r="S5077" s="93"/>
    </row>
    <row r="5078" spans="7:19" x14ac:dyDescent="0.25">
      <c r="G5078" s="81"/>
      <c r="S5078" s="93"/>
    </row>
    <row r="5079" spans="7:19" x14ac:dyDescent="0.25">
      <c r="G5079" s="81"/>
      <c r="S5079" s="93"/>
    </row>
    <row r="5080" spans="7:19" x14ac:dyDescent="0.25">
      <c r="G5080" s="81"/>
      <c r="S5080" s="93"/>
    </row>
    <row r="5081" spans="7:19" x14ac:dyDescent="0.25">
      <c r="G5081" s="81"/>
      <c r="S5081" s="93"/>
    </row>
    <row r="5082" spans="7:19" x14ac:dyDescent="0.25">
      <c r="G5082" s="81"/>
      <c r="S5082" s="93"/>
    </row>
    <row r="5083" spans="7:19" x14ac:dyDescent="0.25">
      <c r="G5083" s="81"/>
      <c r="S5083" s="93"/>
    </row>
    <row r="5084" spans="7:19" x14ac:dyDescent="0.25">
      <c r="G5084" s="81"/>
      <c r="S5084" s="93"/>
    </row>
    <row r="5085" spans="7:19" x14ac:dyDescent="0.25">
      <c r="G5085" s="81"/>
      <c r="S5085" s="93"/>
    </row>
    <row r="5086" spans="7:19" x14ac:dyDescent="0.25">
      <c r="G5086" s="81"/>
      <c r="S5086" s="93"/>
    </row>
    <row r="5087" spans="7:19" x14ac:dyDescent="0.25">
      <c r="G5087" s="81"/>
      <c r="S5087" s="93"/>
    </row>
    <row r="5088" spans="7:19" x14ac:dyDescent="0.25">
      <c r="G5088" s="81"/>
      <c r="S5088" s="93"/>
    </row>
    <row r="5089" spans="7:19" x14ac:dyDescent="0.25">
      <c r="G5089" s="81"/>
      <c r="S5089" s="93"/>
    </row>
    <row r="5090" spans="7:19" x14ac:dyDescent="0.25">
      <c r="G5090" s="81"/>
      <c r="S5090" s="93"/>
    </row>
    <row r="5091" spans="7:19" x14ac:dyDescent="0.25">
      <c r="G5091" s="81"/>
      <c r="S5091" s="93"/>
    </row>
    <row r="5092" spans="7:19" x14ac:dyDescent="0.25">
      <c r="G5092" s="81"/>
      <c r="S5092" s="93"/>
    </row>
    <row r="5093" spans="7:19" x14ac:dyDescent="0.25">
      <c r="G5093" s="81"/>
      <c r="S5093" s="93"/>
    </row>
    <row r="5094" spans="7:19" x14ac:dyDescent="0.25">
      <c r="G5094" s="81"/>
      <c r="S5094" s="93"/>
    </row>
    <row r="5095" spans="7:19" x14ac:dyDescent="0.25">
      <c r="G5095" s="81"/>
      <c r="S5095" s="93"/>
    </row>
    <row r="5096" spans="7:19" x14ac:dyDescent="0.25">
      <c r="G5096" s="81"/>
      <c r="S5096" s="93"/>
    </row>
    <row r="5097" spans="7:19" x14ac:dyDescent="0.25">
      <c r="G5097" s="81"/>
      <c r="S5097" s="93"/>
    </row>
    <row r="5098" spans="7:19" x14ac:dyDescent="0.25">
      <c r="G5098" s="81"/>
      <c r="S5098" s="93"/>
    </row>
    <row r="5099" spans="7:19" x14ac:dyDescent="0.25">
      <c r="G5099" s="81"/>
      <c r="S5099" s="93"/>
    </row>
    <row r="5100" spans="7:19" x14ac:dyDescent="0.25">
      <c r="G5100" s="81"/>
      <c r="S5100" s="93"/>
    </row>
    <row r="5101" spans="7:19" x14ac:dyDescent="0.25">
      <c r="G5101" s="81"/>
      <c r="S5101" s="93"/>
    </row>
    <row r="5102" spans="7:19" x14ac:dyDescent="0.25">
      <c r="G5102" s="81"/>
      <c r="S5102" s="93"/>
    </row>
    <row r="5103" spans="7:19" x14ac:dyDescent="0.25">
      <c r="G5103" s="81"/>
      <c r="S5103" s="93"/>
    </row>
    <row r="5104" spans="7:19" x14ac:dyDescent="0.25">
      <c r="G5104" s="81"/>
      <c r="S5104" s="93"/>
    </row>
    <row r="5105" spans="7:19" x14ac:dyDescent="0.25">
      <c r="G5105" s="81"/>
      <c r="S5105" s="93"/>
    </row>
    <row r="5106" spans="7:19" x14ac:dyDescent="0.25">
      <c r="G5106" s="81"/>
      <c r="S5106" s="93"/>
    </row>
    <row r="5107" spans="7:19" x14ac:dyDescent="0.25">
      <c r="G5107" s="81"/>
      <c r="S5107" s="93"/>
    </row>
    <row r="5108" spans="7:19" x14ac:dyDescent="0.25">
      <c r="G5108" s="81"/>
      <c r="S5108" s="93"/>
    </row>
    <row r="5109" spans="7:19" x14ac:dyDescent="0.25">
      <c r="G5109" s="81"/>
      <c r="S5109" s="93"/>
    </row>
    <row r="5110" spans="7:19" x14ac:dyDescent="0.25">
      <c r="G5110" s="81"/>
      <c r="S5110" s="93"/>
    </row>
    <row r="5111" spans="7:19" x14ac:dyDescent="0.25">
      <c r="G5111" s="81"/>
      <c r="S5111" s="93"/>
    </row>
    <row r="5112" spans="7:19" x14ac:dyDescent="0.25">
      <c r="G5112" s="81"/>
      <c r="S5112" s="93"/>
    </row>
    <row r="5113" spans="7:19" x14ac:dyDescent="0.25">
      <c r="G5113" s="81"/>
      <c r="S5113" s="93"/>
    </row>
    <row r="5114" spans="7:19" x14ac:dyDescent="0.25">
      <c r="G5114" s="81"/>
      <c r="S5114" s="93"/>
    </row>
    <row r="5115" spans="7:19" x14ac:dyDescent="0.25">
      <c r="G5115" s="81"/>
      <c r="S5115" s="93"/>
    </row>
    <row r="5116" spans="7:19" x14ac:dyDescent="0.25">
      <c r="G5116" s="81"/>
      <c r="S5116" s="93"/>
    </row>
    <row r="5117" spans="7:19" x14ac:dyDescent="0.25">
      <c r="G5117" s="81"/>
      <c r="S5117" s="93"/>
    </row>
    <row r="5118" spans="7:19" x14ac:dyDescent="0.25">
      <c r="G5118" s="81"/>
      <c r="S5118" s="93"/>
    </row>
    <row r="5119" spans="7:19" x14ac:dyDescent="0.25">
      <c r="G5119" s="81"/>
      <c r="S5119" s="93"/>
    </row>
    <row r="5120" spans="7:19" x14ac:dyDescent="0.25">
      <c r="G5120" s="81"/>
      <c r="S5120" s="93"/>
    </row>
    <row r="5121" spans="7:19" x14ac:dyDescent="0.25">
      <c r="G5121" s="81"/>
      <c r="S5121" s="93"/>
    </row>
    <row r="5122" spans="7:19" x14ac:dyDescent="0.25">
      <c r="G5122" s="81"/>
      <c r="S5122" s="93"/>
    </row>
    <row r="5123" spans="7:19" x14ac:dyDescent="0.25">
      <c r="G5123" s="81"/>
      <c r="S5123" s="93"/>
    </row>
    <row r="5124" spans="7:19" x14ac:dyDescent="0.25">
      <c r="G5124" s="81"/>
      <c r="S5124" s="93"/>
    </row>
    <row r="5125" spans="7:19" x14ac:dyDescent="0.25">
      <c r="G5125" s="81"/>
      <c r="S5125" s="93"/>
    </row>
    <row r="5126" spans="7:19" x14ac:dyDescent="0.25">
      <c r="G5126" s="81"/>
      <c r="S5126" s="93"/>
    </row>
    <row r="5127" spans="7:19" x14ac:dyDescent="0.25">
      <c r="G5127" s="81"/>
      <c r="S5127" s="93"/>
    </row>
    <row r="5128" spans="7:19" x14ac:dyDescent="0.25">
      <c r="G5128" s="81"/>
      <c r="S5128" s="93"/>
    </row>
    <row r="5129" spans="7:19" x14ac:dyDescent="0.25">
      <c r="G5129" s="81"/>
      <c r="S5129" s="93"/>
    </row>
    <row r="5130" spans="7:19" x14ac:dyDescent="0.25">
      <c r="G5130" s="81"/>
      <c r="S5130" s="93"/>
    </row>
    <row r="5131" spans="7:19" x14ac:dyDescent="0.25">
      <c r="G5131" s="81"/>
      <c r="S5131" s="93"/>
    </row>
    <row r="5132" spans="7:19" x14ac:dyDescent="0.25">
      <c r="G5132" s="81"/>
      <c r="S5132" s="93"/>
    </row>
    <row r="5133" spans="7:19" x14ac:dyDescent="0.25">
      <c r="G5133" s="81"/>
      <c r="S5133" s="93"/>
    </row>
    <row r="5134" spans="7:19" x14ac:dyDescent="0.25">
      <c r="G5134" s="81"/>
      <c r="S5134" s="93"/>
    </row>
    <row r="5135" spans="7:19" x14ac:dyDescent="0.25">
      <c r="G5135" s="81"/>
      <c r="S5135" s="93"/>
    </row>
    <row r="5136" spans="7:19" x14ac:dyDescent="0.25">
      <c r="G5136" s="81"/>
      <c r="S5136" s="93"/>
    </row>
    <row r="5137" spans="7:19" x14ac:dyDescent="0.25">
      <c r="G5137" s="81"/>
      <c r="S5137" s="93"/>
    </row>
    <row r="5138" spans="7:19" x14ac:dyDescent="0.25">
      <c r="G5138" s="81"/>
      <c r="S5138" s="93"/>
    </row>
    <row r="5139" spans="7:19" x14ac:dyDescent="0.25">
      <c r="G5139" s="81"/>
      <c r="S5139" s="93"/>
    </row>
    <row r="5140" spans="7:19" x14ac:dyDescent="0.25">
      <c r="G5140" s="81"/>
      <c r="S5140" s="93"/>
    </row>
    <row r="5141" spans="7:19" x14ac:dyDescent="0.25">
      <c r="G5141" s="81"/>
      <c r="S5141" s="93"/>
    </row>
    <row r="5142" spans="7:19" x14ac:dyDescent="0.25">
      <c r="G5142" s="81"/>
      <c r="S5142" s="93"/>
    </row>
    <row r="5143" spans="7:19" x14ac:dyDescent="0.25">
      <c r="G5143" s="81"/>
      <c r="S5143" s="93"/>
    </row>
    <row r="5144" spans="7:19" x14ac:dyDescent="0.25">
      <c r="G5144" s="81"/>
      <c r="S5144" s="93"/>
    </row>
    <row r="5145" spans="7:19" x14ac:dyDescent="0.25">
      <c r="G5145" s="81"/>
      <c r="S5145" s="93"/>
    </row>
    <row r="5146" spans="7:19" x14ac:dyDescent="0.25">
      <c r="G5146" s="81"/>
      <c r="S5146" s="93"/>
    </row>
    <row r="5147" spans="7:19" x14ac:dyDescent="0.25">
      <c r="G5147" s="81"/>
      <c r="S5147" s="93"/>
    </row>
    <row r="5148" spans="7:19" x14ac:dyDescent="0.25">
      <c r="G5148" s="81"/>
      <c r="S5148" s="93"/>
    </row>
    <row r="5149" spans="7:19" x14ac:dyDescent="0.25">
      <c r="G5149" s="81"/>
      <c r="S5149" s="93"/>
    </row>
    <row r="5150" spans="7:19" x14ac:dyDescent="0.25">
      <c r="G5150" s="81"/>
      <c r="S5150" s="93"/>
    </row>
    <row r="5151" spans="7:19" x14ac:dyDescent="0.25">
      <c r="G5151" s="81"/>
      <c r="S5151" s="93"/>
    </row>
    <row r="5152" spans="7:19" x14ac:dyDescent="0.25">
      <c r="G5152" s="81"/>
      <c r="S5152" s="93"/>
    </row>
    <row r="5153" spans="7:19" x14ac:dyDescent="0.25">
      <c r="G5153" s="81"/>
      <c r="S5153" s="93"/>
    </row>
    <row r="5154" spans="7:19" x14ac:dyDescent="0.25">
      <c r="G5154" s="81"/>
      <c r="S5154" s="93"/>
    </row>
    <row r="5155" spans="7:19" x14ac:dyDescent="0.25">
      <c r="G5155" s="81"/>
      <c r="S5155" s="93"/>
    </row>
    <row r="5156" spans="7:19" x14ac:dyDescent="0.25">
      <c r="G5156" s="81"/>
      <c r="S5156" s="93"/>
    </row>
    <row r="5157" spans="7:19" x14ac:dyDescent="0.25">
      <c r="G5157" s="81"/>
      <c r="S5157" s="93"/>
    </row>
    <row r="5158" spans="7:19" x14ac:dyDescent="0.25">
      <c r="G5158" s="81"/>
      <c r="S5158" s="93"/>
    </row>
    <row r="5159" spans="7:19" x14ac:dyDescent="0.25">
      <c r="G5159" s="81"/>
      <c r="S5159" s="93"/>
    </row>
    <row r="5160" spans="7:19" x14ac:dyDescent="0.25">
      <c r="G5160" s="81"/>
      <c r="S5160" s="93"/>
    </row>
    <row r="5161" spans="7:19" x14ac:dyDescent="0.25">
      <c r="G5161" s="81"/>
      <c r="S5161" s="93"/>
    </row>
    <row r="5162" spans="7:19" x14ac:dyDescent="0.25">
      <c r="G5162" s="81"/>
      <c r="S5162" s="93"/>
    </row>
    <row r="5163" spans="7:19" x14ac:dyDescent="0.25">
      <c r="G5163" s="81"/>
      <c r="S5163" s="93"/>
    </row>
    <row r="5164" spans="7:19" x14ac:dyDescent="0.25">
      <c r="G5164" s="81"/>
      <c r="S5164" s="93"/>
    </row>
    <row r="5165" spans="7:19" x14ac:dyDescent="0.25">
      <c r="G5165" s="81"/>
      <c r="S5165" s="93"/>
    </row>
    <row r="5166" spans="7:19" x14ac:dyDescent="0.25">
      <c r="G5166" s="81"/>
      <c r="S5166" s="93"/>
    </row>
    <row r="5167" spans="7:19" x14ac:dyDescent="0.25">
      <c r="G5167" s="81"/>
      <c r="S5167" s="93"/>
    </row>
    <row r="5168" spans="7:19" x14ac:dyDescent="0.25">
      <c r="G5168" s="81"/>
      <c r="S5168" s="93"/>
    </row>
    <row r="5169" spans="7:19" x14ac:dyDescent="0.25">
      <c r="G5169" s="81"/>
      <c r="S5169" s="93"/>
    </row>
    <row r="5170" spans="7:19" x14ac:dyDescent="0.25">
      <c r="G5170" s="81"/>
      <c r="S5170" s="93"/>
    </row>
    <row r="5171" spans="7:19" x14ac:dyDescent="0.25">
      <c r="G5171" s="81"/>
      <c r="S5171" s="93"/>
    </row>
    <row r="5172" spans="7:19" x14ac:dyDescent="0.25">
      <c r="G5172" s="81"/>
      <c r="S5172" s="93"/>
    </row>
    <row r="5173" spans="7:19" x14ac:dyDescent="0.25">
      <c r="G5173" s="81"/>
      <c r="S5173" s="93"/>
    </row>
    <row r="5174" spans="7:19" x14ac:dyDescent="0.25">
      <c r="G5174" s="81"/>
      <c r="S5174" s="93"/>
    </row>
    <row r="5175" spans="7:19" x14ac:dyDescent="0.25">
      <c r="G5175" s="81"/>
      <c r="S5175" s="93"/>
    </row>
    <row r="5176" spans="7:19" x14ac:dyDescent="0.25">
      <c r="G5176" s="81"/>
      <c r="S5176" s="93"/>
    </row>
    <row r="5177" spans="7:19" x14ac:dyDescent="0.25">
      <c r="G5177" s="81"/>
      <c r="S5177" s="93"/>
    </row>
    <row r="5178" spans="7:19" x14ac:dyDescent="0.25">
      <c r="G5178" s="81"/>
      <c r="S5178" s="93"/>
    </row>
    <row r="5179" spans="7:19" x14ac:dyDescent="0.25">
      <c r="G5179" s="81"/>
      <c r="S5179" s="93"/>
    </row>
    <row r="5180" spans="7:19" x14ac:dyDescent="0.25">
      <c r="G5180" s="81"/>
      <c r="S5180" s="93"/>
    </row>
    <row r="5181" spans="7:19" x14ac:dyDescent="0.25">
      <c r="G5181" s="81"/>
      <c r="S5181" s="93"/>
    </row>
    <row r="5182" spans="7:19" x14ac:dyDescent="0.25">
      <c r="G5182" s="81"/>
      <c r="S5182" s="93"/>
    </row>
    <row r="5183" spans="7:19" x14ac:dyDescent="0.25">
      <c r="G5183" s="81"/>
      <c r="S5183" s="93"/>
    </row>
    <row r="5184" spans="7:19" x14ac:dyDescent="0.25">
      <c r="G5184" s="81"/>
      <c r="S5184" s="93"/>
    </row>
    <row r="5185" spans="7:19" x14ac:dyDescent="0.25">
      <c r="G5185" s="81"/>
      <c r="S5185" s="93"/>
    </row>
    <row r="5186" spans="7:19" x14ac:dyDescent="0.25">
      <c r="G5186" s="81"/>
      <c r="S5186" s="93"/>
    </row>
    <row r="5187" spans="7:19" x14ac:dyDescent="0.25">
      <c r="G5187" s="81"/>
      <c r="S5187" s="93"/>
    </row>
    <row r="5188" spans="7:19" x14ac:dyDescent="0.25">
      <c r="G5188" s="81"/>
      <c r="S5188" s="93"/>
    </row>
    <row r="5189" spans="7:19" x14ac:dyDescent="0.25">
      <c r="G5189" s="81"/>
      <c r="S5189" s="93"/>
    </row>
    <row r="5190" spans="7:19" x14ac:dyDescent="0.25">
      <c r="G5190" s="81"/>
      <c r="S5190" s="93"/>
    </row>
    <row r="5191" spans="7:19" x14ac:dyDescent="0.25">
      <c r="G5191" s="81"/>
      <c r="S5191" s="93"/>
    </row>
    <row r="5192" spans="7:19" x14ac:dyDescent="0.25">
      <c r="G5192" s="81"/>
      <c r="S5192" s="93"/>
    </row>
    <row r="5193" spans="7:19" x14ac:dyDescent="0.25">
      <c r="G5193" s="81"/>
      <c r="S5193" s="93"/>
    </row>
    <row r="5194" spans="7:19" x14ac:dyDescent="0.25">
      <c r="G5194" s="81"/>
      <c r="S5194" s="93"/>
    </row>
    <row r="5195" spans="7:19" x14ac:dyDescent="0.25">
      <c r="G5195" s="81"/>
      <c r="S5195" s="93"/>
    </row>
    <row r="5196" spans="7:19" x14ac:dyDescent="0.25">
      <c r="G5196" s="81"/>
      <c r="S5196" s="93"/>
    </row>
    <row r="5197" spans="7:19" x14ac:dyDescent="0.25">
      <c r="G5197" s="81"/>
      <c r="S5197" s="93"/>
    </row>
    <row r="5198" spans="7:19" x14ac:dyDescent="0.25">
      <c r="G5198" s="81"/>
      <c r="S5198" s="93"/>
    </row>
    <row r="5199" spans="7:19" x14ac:dyDescent="0.25">
      <c r="G5199" s="81"/>
      <c r="S5199" s="93"/>
    </row>
    <row r="5200" spans="7:19" x14ac:dyDescent="0.25">
      <c r="G5200" s="81"/>
      <c r="S5200" s="93"/>
    </row>
    <row r="5201" spans="7:19" x14ac:dyDescent="0.25">
      <c r="G5201" s="81"/>
      <c r="S5201" s="93"/>
    </row>
    <row r="5202" spans="7:19" x14ac:dyDescent="0.25">
      <c r="G5202" s="81"/>
      <c r="S5202" s="93"/>
    </row>
    <row r="5203" spans="7:19" x14ac:dyDescent="0.25">
      <c r="G5203" s="81"/>
      <c r="S5203" s="93"/>
    </row>
    <row r="5204" spans="7:19" x14ac:dyDescent="0.25">
      <c r="G5204" s="81"/>
      <c r="S5204" s="93"/>
    </row>
    <row r="5205" spans="7:19" x14ac:dyDescent="0.25">
      <c r="G5205" s="81"/>
      <c r="S5205" s="93"/>
    </row>
    <row r="5206" spans="7:19" x14ac:dyDescent="0.25">
      <c r="G5206" s="81"/>
      <c r="S5206" s="93"/>
    </row>
    <row r="5207" spans="7:19" x14ac:dyDescent="0.25">
      <c r="G5207" s="81"/>
      <c r="S5207" s="93"/>
    </row>
    <row r="5208" spans="7:19" x14ac:dyDescent="0.25">
      <c r="G5208" s="81"/>
      <c r="S5208" s="93"/>
    </row>
    <row r="5209" spans="7:19" x14ac:dyDescent="0.25">
      <c r="G5209" s="81"/>
      <c r="S5209" s="93"/>
    </row>
    <row r="5210" spans="7:19" x14ac:dyDescent="0.25">
      <c r="G5210" s="81"/>
      <c r="S5210" s="93"/>
    </row>
    <row r="5211" spans="7:19" x14ac:dyDescent="0.25">
      <c r="G5211" s="81"/>
      <c r="S5211" s="93"/>
    </row>
    <row r="5212" spans="7:19" x14ac:dyDescent="0.25">
      <c r="G5212" s="81"/>
      <c r="S5212" s="93"/>
    </row>
    <row r="5213" spans="7:19" x14ac:dyDescent="0.25">
      <c r="G5213" s="81"/>
      <c r="S5213" s="93"/>
    </row>
    <row r="5214" spans="7:19" x14ac:dyDescent="0.25">
      <c r="G5214" s="81"/>
      <c r="S5214" s="93"/>
    </row>
    <row r="5215" spans="7:19" x14ac:dyDescent="0.25">
      <c r="G5215" s="81"/>
      <c r="S5215" s="93"/>
    </row>
    <row r="5216" spans="7:19" x14ac:dyDescent="0.25">
      <c r="G5216" s="81"/>
      <c r="S5216" s="93"/>
    </row>
    <row r="5217" spans="7:19" x14ac:dyDescent="0.25">
      <c r="G5217" s="81"/>
      <c r="S5217" s="93"/>
    </row>
    <row r="5218" spans="7:19" x14ac:dyDescent="0.25">
      <c r="G5218" s="81"/>
      <c r="S5218" s="93"/>
    </row>
    <row r="5219" spans="7:19" x14ac:dyDescent="0.25">
      <c r="G5219" s="81"/>
      <c r="S5219" s="93"/>
    </row>
    <row r="5220" spans="7:19" x14ac:dyDescent="0.25">
      <c r="G5220" s="81"/>
      <c r="S5220" s="93"/>
    </row>
    <row r="5221" spans="7:19" x14ac:dyDescent="0.25">
      <c r="G5221" s="81"/>
      <c r="S5221" s="93"/>
    </row>
    <row r="5222" spans="7:19" x14ac:dyDescent="0.25">
      <c r="G5222" s="81"/>
      <c r="S5222" s="93"/>
    </row>
    <row r="5223" spans="7:19" x14ac:dyDescent="0.25">
      <c r="G5223" s="81"/>
      <c r="S5223" s="93"/>
    </row>
    <row r="5224" spans="7:19" x14ac:dyDescent="0.25">
      <c r="G5224" s="81"/>
      <c r="S5224" s="93"/>
    </row>
    <row r="5225" spans="7:19" x14ac:dyDescent="0.25">
      <c r="G5225" s="81"/>
      <c r="S5225" s="93"/>
    </row>
    <row r="5226" spans="7:19" x14ac:dyDescent="0.25">
      <c r="G5226" s="81"/>
      <c r="S5226" s="93"/>
    </row>
    <row r="5227" spans="7:19" x14ac:dyDescent="0.25">
      <c r="G5227" s="81"/>
      <c r="S5227" s="93"/>
    </row>
    <row r="5228" spans="7:19" x14ac:dyDescent="0.25">
      <c r="G5228" s="81"/>
      <c r="S5228" s="93"/>
    </row>
    <row r="5229" spans="7:19" x14ac:dyDescent="0.25">
      <c r="G5229" s="81"/>
      <c r="S5229" s="93"/>
    </row>
    <row r="5230" spans="7:19" x14ac:dyDescent="0.25">
      <c r="G5230" s="81"/>
      <c r="S5230" s="93"/>
    </row>
    <row r="5231" spans="7:19" x14ac:dyDescent="0.25">
      <c r="G5231" s="81"/>
      <c r="S5231" s="93"/>
    </row>
    <row r="5232" spans="7:19" x14ac:dyDescent="0.25">
      <c r="G5232" s="81"/>
      <c r="S5232" s="93"/>
    </row>
    <row r="5233" spans="7:19" x14ac:dyDescent="0.25">
      <c r="G5233" s="81"/>
      <c r="S5233" s="93"/>
    </row>
    <row r="5234" spans="7:19" x14ac:dyDescent="0.25">
      <c r="G5234" s="81"/>
      <c r="S5234" s="93"/>
    </row>
    <row r="5235" spans="7:19" x14ac:dyDescent="0.25">
      <c r="G5235" s="81"/>
      <c r="S5235" s="93"/>
    </row>
    <row r="5236" spans="7:19" x14ac:dyDescent="0.25">
      <c r="G5236" s="81"/>
      <c r="S5236" s="93"/>
    </row>
    <row r="5237" spans="7:19" x14ac:dyDescent="0.25">
      <c r="G5237" s="81"/>
      <c r="S5237" s="93"/>
    </row>
    <row r="5238" spans="7:19" x14ac:dyDescent="0.25">
      <c r="G5238" s="81"/>
      <c r="S5238" s="93"/>
    </row>
    <row r="5239" spans="7:19" x14ac:dyDescent="0.25">
      <c r="G5239" s="81"/>
      <c r="S5239" s="93"/>
    </row>
    <row r="5240" spans="7:19" x14ac:dyDescent="0.25">
      <c r="G5240" s="81"/>
      <c r="S5240" s="93"/>
    </row>
    <row r="5241" spans="7:19" x14ac:dyDescent="0.25">
      <c r="G5241" s="81"/>
      <c r="S5241" s="93"/>
    </row>
    <row r="5242" spans="7:19" x14ac:dyDescent="0.25">
      <c r="G5242" s="81"/>
      <c r="S5242" s="93"/>
    </row>
    <row r="5243" spans="7:19" x14ac:dyDescent="0.25">
      <c r="G5243" s="81"/>
      <c r="S5243" s="93"/>
    </row>
    <row r="5244" spans="7:19" x14ac:dyDescent="0.25">
      <c r="G5244" s="81"/>
      <c r="S5244" s="93"/>
    </row>
    <row r="5245" spans="7:19" x14ac:dyDescent="0.25">
      <c r="G5245" s="81"/>
      <c r="S5245" s="93"/>
    </row>
    <row r="5246" spans="7:19" x14ac:dyDescent="0.25">
      <c r="G5246" s="81"/>
      <c r="S5246" s="93"/>
    </row>
    <row r="5247" spans="7:19" x14ac:dyDescent="0.25">
      <c r="G5247" s="81"/>
      <c r="S5247" s="93"/>
    </row>
    <row r="5248" spans="7:19" x14ac:dyDescent="0.25">
      <c r="G5248" s="81"/>
      <c r="S5248" s="93"/>
    </row>
    <row r="5249" spans="7:19" x14ac:dyDescent="0.25">
      <c r="G5249" s="81"/>
      <c r="S5249" s="93"/>
    </row>
    <row r="5250" spans="7:19" x14ac:dyDescent="0.25">
      <c r="G5250" s="81"/>
      <c r="S5250" s="93"/>
    </row>
    <row r="5251" spans="7:19" x14ac:dyDescent="0.25">
      <c r="G5251" s="81"/>
      <c r="S5251" s="93"/>
    </row>
    <row r="5252" spans="7:19" x14ac:dyDescent="0.25">
      <c r="G5252" s="81"/>
      <c r="S5252" s="93"/>
    </row>
    <row r="5253" spans="7:19" x14ac:dyDescent="0.25">
      <c r="G5253" s="81"/>
      <c r="S5253" s="93"/>
    </row>
    <row r="5254" spans="7:19" x14ac:dyDescent="0.25">
      <c r="G5254" s="81"/>
      <c r="S5254" s="93"/>
    </row>
    <row r="5255" spans="7:19" x14ac:dyDescent="0.25">
      <c r="G5255" s="81"/>
      <c r="S5255" s="93"/>
    </row>
    <row r="5256" spans="7:19" x14ac:dyDescent="0.25">
      <c r="G5256" s="81"/>
      <c r="S5256" s="93"/>
    </row>
    <row r="5257" spans="7:19" x14ac:dyDescent="0.25">
      <c r="G5257" s="81"/>
      <c r="S5257" s="93"/>
    </row>
    <row r="5258" spans="7:19" x14ac:dyDescent="0.25">
      <c r="G5258" s="81"/>
      <c r="S5258" s="93"/>
    </row>
    <row r="5259" spans="7:19" x14ac:dyDescent="0.25">
      <c r="G5259" s="81"/>
      <c r="S5259" s="93"/>
    </row>
    <row r="5260" spans="7:19" x14ac:dyDescent="0.25">
      <c r="G5260" s="81"/>
      <c r="S5260" s="93"/>
    </row>
    <row r="5261" spans="7:19" x14ac:dyDescent="0.25">
      <c r="G5261" s="81"/>
      <c r="S5261" s="93"/>
    </row>
    <row r="5262" spans="7:19" x14ac:dyDescent="0.25">
      <c r="G5262" s="81"/>
      <c r="S5262" s="93"/>
    </row>
    <row r="5263" spans="7:19" x14ac:dyDescent="0.25">
      <c r="G5263" s="81"/>
      <c r="S5263" s="93"/>
    </row>
    <row r="5264" spans="7:19" x14ac:dyDescent="0.25">
      <c r="G5264" s="81"/>
      <c r="S5264" s="93"/>
    </row>
    <row r="5265" spans="7:19" x14ac:dyDescent="0.25">
      <c r="G5265" s="81"/>
      <c r="S5265" s="93"/>
    </row>
    <row r="5266" spans="7:19" x14ac:dyDescent="0.25">
      <c r="G5266" s="81"/>
      <c r="S5266" s="93"/>
    </row>
    <row r="5267" spans="7:19" x14ac:dyDescent="0.25">
      <c r="G5267" s="81"/>
      <c r="S5267" s="93"/>
    </row>
    <row r="5268" spans="7:19" x14ac:dyDescent="0.25">
      <c r="G5268" s="81"/>
      <c r="S5268" s="93"/>
    </row>
    <row r="5269" spans="7:19" x14ac:dyDescent="0.25">
      <c r="G5269" s="81"/>
      <c r="S5269" s="93"/>
    </row>
    <row r="5270" spans="7:19" x14ac:dyDescent="0.25">
      <c r="G5270" s="81"/>
      <c r="S5270" s="93"/>
    </row>
    <row r="5271" spans="7:19" x14ac:dyDescent="0.25">
      <c r="G5271" s="81"/>
      <c r="S5271" s="93"/>
    </row>
    <row r="5272" spans="7:19" x14ac:dyDescent="0.25">
      <c r="G5272" s="81"/>
      <c r="S5272" s="93"/>
    </row>
    <row r="5273" spans="7:19" x14ac:dyDescent="0.25">
      <c r="G5273" s="81"/>
      <c r="S5273" s="93"/>
    </row>
    <row r="5274" spans="7:19" x14ac:dyDescent="0.25">
      <c r="G5274" s="81"/>
      <c r="S5274" s="93"/>
    </row>
    <row r="5275" spans="7:19" x14ac:dyDescent="0.25">
      <c r="G5275" s="81"/>
      <c r="S5275" s="93"/>
    </row>
    <row r="5276" spans="7:19" x14ac:dyDescent="0.25">
      <c r="G5276" s="81"/>
      <c r="S5276" s="93"/>
    </row>
    <row r="5277" spans="7:19" x14ac:dyDescent="0.25">
      <c r="G5277" s="81"/>
      <c r="S5277" s="93"/>
    </row>
    <row r="5278" spans="7:19" x14ac:dyDescent="0.25">
      <c r="G5278" s="81"/>
      <c r="S5278" s="93"/>
    </row>
    <row r="5279" spans="7:19" x14ac:dyDescent="0.25">
      <c r="G5279" s="81"/>
      <c r="S5279" s="93"/>
    </row>
    <row r="5280" spans="7:19" x14ac:dyDescent="0.25">
      <c r="G5280" s="81"/>
      <c r="S5280" s="93"/>
    </row>
    <row r="5281" spans="7:19" x14ac:dyDescent="0.25">
      <c r="G5281" s="81"/>
      <c r="S5281" s="93"/>
    </row>
    <row r="5282" spans="7:19" x14ac:dyDescent="0.25">
      <c r="G5282" s="81"/>
      <c r="S5282" s="93"/>
    </row>
    <row r="5283" spans="7:19" x14ac:dyDescent="0.25">
      <c r="G5283" s="81"/>
      <c r="S5283" s="93"/>
    </row>
    <row r="5284" spans="7:19" x14ac:dyDescent="0.25">
      <c r="G5284" s="81"/>
      <c r="S5284" s="93"/>
    </row>
    <row r="5285" spans="7:19" x14ac:dyDescent="0.25">
      <c r="G5285" s="81"/>
      <c r="S5285" s="93"/>
    </row>
    <row r="5286" spans="7:19" x14ac:dyDescent="0.25">
      <c r="G5286" s="81"/>
      <c r="S5286" s="93"/>
    </row>
    <row r="5287" spans="7:19" x14ac:dyDescent="0.25">
      <c r="G5287" s="81"/>
      <c r="S5287" s="93"/>
    </row>
    <row r="5288" spans="7:19" x14ac:dyDescent="0.25">
      <c r="G5288" s="81"/>
      <c r="S5288" s="93"/>
    </row>
    <row r="5289" spans="7:19" x14ac:dyDescent="0.25">
      <c r="G5289" s="81"/>
      <c r="S5289" s="93"/>
    </row>
    <row r="5290" spans="7:19" x14ac:dyDescent="0.25">
      <c r="G5290" s="81"/>
      <c r="S5290" s="93"/>
    </row>
    <row r="5291" spans="7:19" x14ac:dyDescent="0.25">
      <c r="G5291" s="81"/>
      <c r="S5291" s="93"/>
    </row>
    <row r="5292" spans="7:19" x14ac:dyDescent="0.25">
      <c r="G5292" s="81"/>
      <c r="S5292" s="93"/>
    </row>
    <row r="5293" spans="7:19" x14ac:dyDescent="0.25">
      <c r="G5293" s="81"/>
      <c r="S5293" s="93"/>
    </row>
    <row r="5294" spans="7:19" x14ac:dyDescent="0.25">
      <c r="G5294" s="81"/>
      <c r="S5294" s="93"/>
    </row>
    <row r="5295" spans="7:19" x14ac:dyDescent="0.25">
      <c r="G5295" s="81"/>
      <c r="S5295" s="93"/>
    </row>
    <row r="5296" spans="7:19" x14ac:dyDescent="0.25">
      <c r="G5296" s="81"/>
      <c r="S5296" s="93"/>
    </row>
    <row r="5297" spans="7:19" x14ac:dyDescent="0.25">
      <c r="G5297" s="81"/>
      <c r="S5297" s="93"/>
    </row>
    <row r="5298" spans="7:19" x14ac:dyDescent="0.25">
      <c r="G5298" s="81"/>
      <c r="S5298" s="93"/>
    </row>
    <row r="5299" spans="7:19" x14ac:dyDescent="0.25">
      <c r="G5299" s="81"/>
      <c r="S5299" s="93"/>
    </row>
    <row r="5300" spans="7:19" x14ac:dyDescent="0.25">
      <c r="G5300" s="81"/>
      <c r="S5300" s="93"/>
    </row>
    <row r="5301" spans="7:19" x14ac:dyDescent="0.25">
      <c r="G5301" s="81"/>
      <c r="S5301" s="93"/>
    </row>
    <row r="5302" spans="7:19" x14ac:dyDescent="0.25">
      <c r="G5302" s="81"/>
      <c r="S5302" s="93"/>
    </row>
    <row r="5303" spans="7:19" x14ac:dyDescent="0.25">
      <c r="G5303" s="81"/>
      <c r="S5303" s="93"/>
    </row>
    <row r="5304" spans="7:19" x14ac:dyDescent="0.25">
      <c r="G5304" s="81"/>
      <c r="S5304" s="93"/>
    </row>
    <row r="5305" spans="7:19" x14ac:dyDescent="0.25">
      <c r="G5305" s="81"/>
      <c r="S5305" s="93"/>
    </row>
    <row r="5306" spans="7:19" x14ac:dyDescent="0.25">
      <c r="G5306" s="81"/>
      <c r="S5306" s="93"/>
    </row>
    <row r="5307" spans="7:19" x14ac:dyDescent="0.25">
      <c r="G5307" s="81"/>
      <c r="S5307" s="93"/>
    </row>
    <row r="5308" spans="7:19" x14ac:dyDescent="0.25">
      <c r="G5308" s="81"/>
      <c r="S5308" s="93"/>
    </row>
    <row r="5309" spans="7:19" x14ac:dyDescent="0.25">
      <c r="G5309" s="81"/>
      <c r="S5309" s="93"/>
    </row>
    <row r="5310" spans="7:19" x14ac:dyDescent="0.25">
      <c r="G5310" s="81"/>
      <c r="S5310" s="93"/>
    </row>
    <row r="5311" spans="7:19" x14ac:dyDescent="0.25">
      <c r="G5311" s="81"/>
      <c r="S5311" s="93"/>
    </row>
    <row r="5312" spans="7:19" x14ac:dyDescent="0.25">
      <c r="G5312" s="81"/>
      <c r="S5312" s="93"/>
    </row>
    <row r="5313" spans="7:19" x14ac:dyDescent="0.25">
      <c r="G5313" s="81"/>
      <c r="S5313" s="93"/>
    </row>
    <row r="5314" spans="7:19" x14ac:dyDescent="0.25">
      <c r="G5314" s="81"/>
      <c r="S5314" s="93"/>
    </row>
    <row r="5315" spans="7:19" x14ac:dyDescent="0.25">
      <c r="G5315" s="81"/>
      <c r="S5315" s="93"/>
    </row>
    <row r="5316" spans="7:19" x14ac:dyDescent="0.25">
      <c r="G5316" s="81"/>
      <c r="S5316" s="93"/>
    </row>
    <row r="5317" spans="7:19" x14ac:dyDescent="0.25">
      <c r="G5317" s="81"/>
      <c r="S5317" s="93"/>
    </row>
    <row r="5318" spans="7:19" x14ac:dyDescent="0.25">
      <c r="G5318" s="81"/>
      <c r="S5318" s="93"/>
    </row>
    <row r="5319" spans="7:19" x14ac:dyDescent="0.25">
      <c r="G5319" s="81"/>
      <c r="S5319" s="93"/>
    </row>
    <row r="5320" spans="7:19" x14ac:dyDescent="0.25">
      <c r="G5320" s="81"/>
      <c r="S5320" s="93"/>
    </row>
    <row r="5321" spans="7:19" x14ac:dyDescent="0.25">
      <c r="G5321" s="81"/>
      <c r="S5321" s="93"/>
    </row>
    <row r="5322" spans="7:19" x14ac:dyDescent="0.25">
      <c r="G5322" s="81"/>
      <c r="S5322" s="93"/>
    </row>
    <row r="5323" spans="7:19" x14ac:dyDescent="0.25">
      <c r="G5323" s="81"/>
      <c r="S5323" s="93"/>
    </row>
    <row r="5324" spans="7:19" x14ac:dyDescent="0.25">
      <c r="G5324" s="81"/>
      <c r="S5324" s="93"/>
    </row>
    <row r="5325" spans="7:19" x14ac:dyDescent="0.25">
      <c r="G5325" s="81"/>
      <c r="S5325" s="93"/>
    </row>
    <row r="5326" spans="7:19" x14ac:dyDescent="0.25">
      <c r="G5326" s="81"/>
      <c r="S5326" s="93"/>
    </row>
    <row r="5327" spans="7:19" x14ac:dyDescent="0.25">
      <c r="G5327" s="81"/>
      <c r="S5327" s="93"/>
    </row>
    <row r="5328" spans="7:19" x14ac:dyDescent="0.25">
      <c r="G5328" s="81"/>
      <c r="S5328" s="93"/>
    </row>
    <row r="5329" spans="7:19" x14ac:dyDescent="0.25">
      <c r="G5329" s="81"/>
      <c r="S5329" s="93"/>
    </row>
    <row r="5330" spans="7:19" x14ac:dyDescent="0.25">
      <c r="G5330" s="81"/>
      <c r="S5330" s="93"/>
    </row>
    <row r="5331" spans="7:19" x14ac:dyDescent="0.25">
      <c r="G5331" s="81"/>
      <c r="S5331" s="93"/>
    </row>
    <row r="5332" spans="7:19" x14ac:dyDescent="0.25">
      <c r="G5332" s="81"/>
      <c r="S5332" s="93"/>
    </row>
    <row r="5333" spans="7:19" x14ac:dyDescent="0.25">
      <c r="G5333" s="81"/>
      <c r="S5333" s="93"/>
    </row>
    <row r="5334" spans="7:19" x14ac:dyDescent="0.25">
      <c r="G5334" s="81"/>
      <c r="S5334" s="93"/>
    </row>
    <row r="5335" spans="7:19" x14ac:dyDescent="0.25">
      <c r="G5335" s="81"/>
      <c r="S5335" s="93"/>
    </row>
    <row r="5336" spans="7:19" x14ac:dyDescent="0.25">
      <c r="G5336" s="81"/>
      <c r="S5336" s="93"/>
    </row>
    <row r="5337" spans="7:19" x14ac:dyDescent="0.25">
      <c r="G5337" s="81"/>
      <c r="S5337" s="93"/>
    </row>
    <row r="5338" spans="7:19" x14ac:dyDescent="0.25">
      <c r="G5338" s="81"/>
      <c r="S5338" s="93"/>
    </row>
    <row r="5339" spans="7:19" x14ac:dyDescent="0.25">
      <c r="G5339" s="81"/>
      <c r="S5339" s="93"/>
    </row>
    <row r="5340" spans="7:19" x14ac:dyDescent="0.25">
      <c r="G5340" s="81"/>
      <c r="S5340" s="93"/>
    </row>
    <row r="5341" spans="7:19" x14ac:dyDescent="0.25">
      <c r="G5341" s="81"/>
      <c r="S5341" s="93"/>
    </row>
    <row r="5342" spans="7:19" x14ac:dyDescent="0.25">
      <c r="G5342" s="81"/>
      <c r="S5342" s="93"/>
    </row>
    <row r="5343" spans="7:19" x14ac:dyDescent="0.25">
      <c r="G5343" s="81"/>
      <c r="S5343" s="93"/>
    </row>
    <row r="5344" spans="7:19" x14ac:dyDescent="0.25">
      <c r="G5344" s="81"/>
      <c r="S5344" s="93"/>
    </row>
    <row r="5345" spans="7:19" x14ac:dyDescent="0.25">
      <c r="G5345" s="81"/>
      <c r="S5345" s="93"/>
    </row>
    <row r="5346" spans="7:19" x14ac:dyDescent="0.25">
      <c r="G5346" s="81"/>
      <c r="S5346" s="93"/>
    </row>
    <row r="5347" spans="7:19" x14ac:dyDescent="0.25">
      <c r="G5347" s="81"/>
      <c r="S5347" s="93"/>
    </row>
    <row r="5348" spans="7:19" x14ac:dyDescent="0.25">
      <c r="G5348" s="81"/>
      <c r="S5348" s="93"/>
    </row>
    <row r="5349" spans="7:19" x14ac:dyDescent="0.25">
      <c r="G5349" s="81"/>
      <c r="S5349" s="93"/>
    </row>
    <row r="5350" spans="7:19" x14ac:dyDescent="0.25">
      <c r="G5350" s="81"/>
      <c r="S5350" s="93"/>
    </row>
    <row r="5351" spans="7:19" x14ac:dyDescent="0.25">
      <c r="G5351" s="81"/>
      <c r="S5351" s="93"/>
    </row>
    <row r="5352" spans="7:19" x14ac:dyDescent="0.25">
      <c r="G5352" s="81"/>
      <c r="S5352" s="93"/>
    </row>
    <row r="5353" spans="7:19" x14ac:dyDescent="0.25">
      <c r="G5353" s="81"/>
      <c r="S5353" s="93"/>
    </row>
    <row r="5354" spans="7:19" x14ac:dyDescent="0.25">
      <c r="G5354" s="81"/>
      <c r="S5354" s="93"/>
    </row>
    <row r="5355" spans="7:19" x14ac:dyDescent="0.25">
      <c r="G5355" s="81"/>
      <c r="S5355" s="93"/>
    </row>
    <row r="5356" spans="7:19" x14ac:dyDescent="0.25">
      <c r="G5356" s="81"/>
      <c r="S5356" s="93"/>
    </row>
    <row r="5357" spans="7:19" x14ac:dyDescent="0.25">
      <c r="G5357" s="81"/>
      <c r="S5357" s="93"/>
    </row>
    <row r="5358" spans="7:19" x14ac:dyDescent="0.25">
      <c r="G5358" s="81"/>
      <c r="S5358" s="93"/>
    </row>
    <row r="5359" spans="7:19" x14ac:dyDescent="0.25">
      <c r="G5359" s="81"/>
      <c r="S5359" s="93"/>
    </row>
    <row r="5360" spans="7:19" x14ac:dyDescent="0.25">
      <c r="G5360" s="81"/>
      <c r="S5360" s="93"/>
    </row>
    <row r="5361" spans="7:19" x14ac:dyDescent="0.25">
      <c r="G5361" s="81"/>
      <c r="S5361" s="93"/>
    </row>
    <row r="5362" spans="7:19" x14ac:dyDescent="0.25">
      <c r="G5362" s="81"/>
      <c r="S5362" s="93"/>
    </row>
    <row r="5363" spans="7:19" x14ac:dyDescent="0.25">
      <c r="G5363" s="81"/>
      <c r="S5363" s="93"/>
    </row>
    <row r="5364" spans="7:19" x14ac:dyDescent="0.25">
      <c r="G5364" s="81"/>
      <c r="S5364" s="93"/>
    </row>
    <row r="5365" spans="7:19" x14ac:dyDescent="0.25">
      <c r="G5365" s="81"/>
      <c r="S5365" s="93"/>
    </row>
    <row r="5366" spans="7:19" x14ac:dyDescent="0.25">
      <c r="G5366" s="81"/>
      <c r="S5366" s="93"/>
    </row>
    <row r="5367" spans="7:19" x14ac:dyDescent="0.25">
      <c r="G5367" s="81"/>
      <c r="S5367" s="93"/>
    </row>
    <row r="5368" spans="7:19" x14ac:dyDescent="0.25">
      <c r="G5368" s="81"/>
      <c r="S5368" s="93"/>
    </row>
    <row r="5369" spans="7:19" x14ac:dyDescent="0.25">
      <c r="G5369" s="81"/>
      <c r="S5369" s="93"/>
    </row>
    <row r="5370" spans="7:19" x14ac:dyDescent="0.25">
      <c r="G5370" s="81"/>
      <c r="S5370" s="93"/>
    </row>
    <row r="5371" spans="7:19" x14ac:dyDescent="0.25">
      <c r="G5371" s="81"/>
      <c r="S5371" s="93"/>
    </row>
    <row r="5372" spans="7:19" x14ac:dyDescent="0.25">
      <c r="G5372" s="81"/>
      <c r="S5372" s="93"/>
    </row>
    <row r="5373" spans="7:19" x14ac:dyDescent="0.25">
      <c r="G5373" s="81"/>
      <c r="S5373" s="93"/>
    </row>
    <row r="5374" spans="7:19" x14ac:dyDescent="0.25">
      <c r="G5374" s="81"/>
      <c r="S5374" s="93"/>
    </row>
    <row r="5375" spans="7:19" x14ac:dyDescent="0.25">
      <c r="G5375" s="81"/>
      <c r="S5375" s="93"/>
    </row>
    <row r="5376" spans="7:19" x14ac:dyDescent="0.25">
      <c r="G5376" s="81"/>
      <c r="S5376" s="93"/>
    </row>
    <row r="5377" spans="7:19" x14ac:dyDescent="0.25">
      <c r="G5377" s="81"/>
      <c r="S5377" s="93"/>
    </row>
    <row r="5378" spans="7:19" x14ac:dyDescent="0.25">
      <c r="G5378" s="81"/>
      <c r="S5378" s="93"/>
    </row>
    <row r="5379" spans="7:19" x14ac:dyDescent="0.25">
      <c r="G5379" s="81"/>
      <c r="S5379" s="93"/>
    </row>
    <row r="5380" spans="7:19" x14ac:dyDescent="0.25">
      <c r="G5380" s="81"/>
      <c r="S5380" s="93"/>
    </row>
    <row r="5381" spans="7:19" x14ac:dyDescent="0.25">
      <c r="G5381" s="81"/>
      <c r="S5381" s="93"/>
    </row>
    <row r="5382" spans="7:19" x14ac:dyDescent="0.25">
      <c r="G5382" s="81"/>
      <c r="S5382" s="93"/>
    </row>
    <row r="5383" spans="7:19" x14ac:dyDescent="0.25">
      <c r="G5383" s="81"/>
      <c r="S5383" s="93"/>
    </row>
    <row r="5384" spans="7:19" x14ac:dyDescent="0.25">
      <c r="G5384" s="81"/>
      <c r="S5384" s="93"/>
    </row>
    <row r="5385" spans="7:19" x14ac:dyDescent="0.25">
      <c r="G5385" s="81"/>
      <c r="S5385" s="93"/>
    </row>
    <row r="5386" spans="7:19" x14ac:dyDescent="0.25">
      <c r="G5386" s="81"/>
      <c r="S5386" s="93"/>
    </row>
    <row r="5387" spans="7:19" x14ac:dyDescent="0.25">
      <c r="G5387" s="81"/>
      <c r="S5387" s="93"/>
    </row>
    <row r="5388" spans="7:19" x14ac:dyDescent="0.25">
      <c r="G5388" s="81"/>
      <c r="S5388" s="93"/>
    </row>
    <row r="5389" spans="7:19" x14ac:dyDescent="0.25">
      <c r="G5389" s="81"/>
      <c r="S5389" s="93"/>
    </row>
    <row r="5390" spans="7:19" x14ac:dyDescent="0.25">
      <c r="G5390" s="81"/>
      <c r="S5390" s="93"/>
    </row>
    <row r="5391" spans="7:19" x14ac:dyDescent="0.25">
      <c r="G5391" s="81"/>
      <c r="S5391" s="93"/>
    </row>
    <row r="5392" spans="7:19" x14ac:dyDescent="0.25">
      <c r="G5392" s="81"/>
      <c r="S5392" s="93"/>
    </row>
    <row r="5393" spans="7:19" x14ac:dyDescent="0.25">
      <c r="G5393" s="81"/>
      <c r="S5393" s="93"/>
    </row>
    <row r="5394" spans="7:19" x14ac:dyDescent="0.25">
      <c r="G5394" s="81"/>
      <c r="S5394" s="93"/>
    </row>
    <row r="5395" spans="7:19" x14ac:dyDescent="0.25">
      <c r="G5395" s="81"/>
      <c r="S5395" s="93"/>
    </row>
    <row r="5396" spans="7:19" x14ac:dyDescent="0.25">
      <c r="G5396" s="81"/>
      <c r="S5396" s="93"/>
    </row>
    <row r="5397" spans="7:19" x14ac:dyDescent="0.25">
      <c r="G5397" s="81"/>
      <c r="S5397" s="93"/>
    </row>
    <row r="5398" spans="7:19" x14ac:dyDescent="0.25">
      <c r="G5398" s="81"/>
      <c r="S5398" s="93"/>
    </row>
    <row r="5399" spans="7:19" x14ac:dyDescent="0.25">
      <c r="G5399" s="81"/>
      <c r="S5399" s="93"/>
    </row>
    <row r="5400" spans="7:19" x14ac:dyDescent="0.25">
      <c r="G5400" s="81"/>
      <c r="S5400" s="93"/>
    </row>
    <row r="5401" spans="7:19" x14ac:dyDescent="0.25">
      <c r="G5401" s="81"/>
      <c r="S5401" s="93"/>
    </row>
    <row r="5402" spans="7:19" x14ac:dyDescent="0.25">
      <c r="G5402" s="81"/>
      <c r="S5402" s="93"/>
    </row>
    <row r="5403" spans="7:19" x14ac:dyDescent="0.25">
      <c r="G5403" s="81"/>
      <c r="S5403" s="93"/>
    </row>
    <row r="5404" spans="7:19" x14ac:dyDescent="0.25">
      <c r="G5404" s="81"/>
      <c r="S5404" s="93"/>
    </row>
    <row r="5405" spans="7:19" x14ac:dyDescent="0.25">
      <c r="G5405" s="81"/>
      <c r="S5405" s="93"/>
    </row>
    <row r="5406" spans="7:19" x14ac:dyDescent="0.25">
      <c r="G5406" s="81"/>
      <c r="S5406" s="93"/>
    </row>
    <row r="5407" spans="7:19" x14ac:dyDescent="0.25">
      <c r="G5407" s="81"/>
      <c r="S5407" s="93"/>
    </row>
    <row r="5408" spans="7:19" x14ac:dyDescent="0.25">
      <c r="G5408" s="81"/>
      <c r="S5408" s="93"/>
    </row>
    <row r="5409" spans="7:19" x14ac:dyDescent="0.25">
      <c r="G5409" s="81"/>
      <c r="S5409" s="93"/>
    </row>
    <row r="5410" spans="7:19" x14ac:dyDescent="0.25">
      <c r="G5410" s="81"/>
      <c r="S5410" s="93"/>
    </row>
    <row r="5411" spans="7:19" x14ac:dyDescent="0.25">
      <c r="G5411" s="81"/>
      <c r="S5411" s="93"/>
    </row>
    <row r="5412" spans="7:19" x14ac:dyDescent="0.25">
      <c r="G5412" s="81"/>
      <c r="S5412" s="93"/>
    </row>
    <row r="5413" spans="7:19" x14ac:dyDescent="0.25">
      <c r="G5413" s="81"/>
      <c r="S5413" s="93"/>
    </row>
    <row r="5414" spans="7:19" x14ac:dyDescent="0.25">
      <c r="G5414" s="81"/>
      <c r="S5414" s="93"/>
    </row>
    <row r="5415" spans="7:19" x14ac:dyDescent="0.25">
      <c r="G5415" s="81"/>
      <c r="S5415" s="93"/>
    </row>
    <row r="5416" spans="7:19" x14ac:dyDescent="0.25">
      <c r="G5416" s="81"/>
      <c r="S5416" s="93"/>
    </row>
    <row r="5417" spans="7:19" x14ac:dyDescent="0.25">
      <c r="G5417" s="81"/>
      <c r="S5417" s="93"/>
    </row>
    <row r="5418" spans="7:19" x14ac:dyDescent="0.25">
      <c r="G5418" s="81"/>
      <c r="S5418" s="93"/>
    </row>
    <row r="5419" spans="7:19" x14ac:dyDescent="0.25">
      <c r="G5419" s="81"/>
      <c r="S5419" s="93"/>
    </row>
    <row r="5420" spans="7:19" x14ac:dyDescent="0.25">
      <c r="G5420" s="81"/>
      <c r="S5420" s="93"/>
    </row>
    <row r="5421" spans="7:19" x14ac:dyDescent="0.25">
      <c r="G5421" s="81"/>
      <c r="S5421" s="93"/>
    </row>
    <row r="5422" spans="7:19" x14ac:dyDescent="0.25">
      <c r="G5422" s="81"/>
      <c r="S5422" s="93"/>
    </row>
    <row r="5423" spans="7:19" x14ac:dyDescent="0.25">
      <c r="G5423" s="81"/>
      <c r="S5423" s="93"/>
    </row>
    <row r="5424" spans="7:19" x14ac:dyDescent="0.25">
      <c r="G5424" s="81"/>
      <c r="S5424" s="93"/>
    </row>
    <row r="5425" spans="7:19" x14ac:dyDescent="0.25">
      <c r="G5425" s="81"/>
      <c r="S5425" s="93"/>
    </row>
    <row r="5426" spans="7:19" x14ac:dyDescent="0.25">
      <c r="G5426" s="81"/>
      <c r="S5426" s="93"/>
    </row>
    <row r="5427" spans="7:19" x14ac:dyDescent="0.25">
      <c r="G5427" s="81"/>
      <c r="S5427" s="93"/>
    </row>
    <row r="5428" spans="7:19" x14ac:dyDescent="0.25">
      <c r="G5428" s="81"/>
      <c r="S5428" s="93"/>
    </row>
    <row r="5429" spans="7:19" x14ac:dyDescent="0.25">
      <c r="G5429" s="81"/>
      <c r="S5429" s="93"/>
    </row>
    <row r="5430" spans="7:19" x14ac:dyDescent="0.25">
      <c r="G5430" s="81"/>
      <c r="S5430" s="93"/>
    </row>
    <row r="5431" spans="7:19" x14ac:dyDescent="0.25">
      <c r="G5431" s="81"/>
      <c r="S5431" s="93"/>
    </row>
    <row r="5432" spans="7:19" x14ac:dyDescent="0.25">
      <c r="G5432" s="81"/>
      <c r="S5432" s="93"/>
    </row>
    <row r="5433" spans="7:19" x14ac:dyDescent="0.25">
      <c r="G5433" s="81"/>
      <c r="S5433" s="93"/>
    </row>
    <row r="5434" spans="7:19" x14ac:dyDescent="0.25">
      <c r="G5434" s="81"/>
      <c r="S5434" s="93"/>
    </row>
    <row r="5435" spans="7:19" x14ac:dyDescent="0.25">
      <c r="G5435" s="81"/>
      <c r="S5435" s="93"/>
    </row>
    <row r="5436" spans="7:19" x14ac:dyDescent="0.25">
      <c r="G5436" s="81"/>
      <c r="S5436" s="93"/>
    </row>
    <row r="5437" spans="7:19" x14ac:dyDescent="0.25">
      <c r="G5437" s="81"/>
      <c r="S5437" s="93"/>
    </row>
    <row r="5438" spans="7:19" x14ac:dyDescent="0.25">
      <c r="G5438" s="81"/>
      <c r="S5438" s="93"/>
    </row>
    <row r="5439" spans="7:19" x14ac:dyDescent="0.25">
      <c r="G5439" s="81"/>
      <c r="S5439" s="93"/>
    </row>
    <row r="5440" spans="7:19" x14ac:dyDescent="0.25">
      <c r="G5440" s="81"/>
      <c r="S5440" s="93"/>
    </row>
    <row r="5441" spans="7:19" x14ac:dyDescent="0.25">
      <c r="G5441" s="81"/>
      <c r="S5441" s="93"/>
    </row>
    <row r="5442" spans="7:19" x14ac:dyDescent="0.25">
      <c r="G5442" s="81"/>
      <c r="S5442" s="93"/>
    </row>
    <row r="5443" spans="7:19" x14ac:dyDescent="0.25">
      <c r="G5443" s="81"/>
      <c r="S5443" s="93"/>
    </row>
    <row r="5444" spans="7:19" x14ac:dyDescent="0.25">
      <c r="G5444" s="81"/>
      <c r="S5444" s="93"/>
    </row>
    <row r="5445" spans="7:19" x14ac:dyDescent="0.25">
      <c r="G5445" s="81"/>
      <c r="S5445" s="93"/>
    </row>
    <row r="5446" spans="7:19" x14ac:dyDescent="0.25">
      <c r="G5446" s="81"/>
      <c r="S5446" s="93"/>
    </row>
    <row r="5447" spans="7:19" x14ac:dyDescent="0.25">
      <c r="G5447" s="81"/>
      <c r="S5447" s="93"/>
    </row>
    <row r="5448" spans="7:19" x14ac:dyDescent="0.25">
      <c r="G5448" s="81"/>
      <c r="S5448" s="93"/>
    </row>
    <row r="5449" spans="7:19" x14ac:dyDescent="0.25">
      <c r="G5449" s="81"/>
      <c r="S5449" s="93"/>
    </row>
    <row r="5450" spans="7:19" x14ac:dyDescent="0.25">
      <c r="G5450" s="81"/>
      <c r="S5450" s="93"/>
    </row>
    <row r="5451" spans="7:19" x14ac:dyDescent="0.25">
      <c r="G5451" s="81"/>
      <c r="S5451" s="93"/>
    </row>
    <row r="5452" spans="7:19" x14ac:dyDescent="0.25">
      <c r="G5452" s="81"/>
      <c r="S5452" s="93"/>
    </row>
    <row r="5453" spans="7:19" x14ac:dyDescent="0.25">
      <c r="G5453" s="81"/>
      <c r="S5453" s="93"/>
    </row>
    <row r="5454" spans="7:19" x14ac:dyDescent="0.25">
      <c r="G5454" s="81"/>
      <c r="S5454" s="93"/>
    </row>
    <row r="5455" spans="7:19" x14ac:dyDescent="0.25">
      <c r="G5455" s="81"/>
      <c r="S5455" s="93"/>
    </row>
    <row r="5456" spans="7:19" x14ac:dyDescent="0.25">
      <c r="G5456" s="81"/>
      <c r="S5456" s="93"/>
    </row>
    <row r="5457" spans="7:19" x14ac:dyDescent="0.25">
      <c r="G5457" s="81"/>
      <c r="S5457" s="93"/>
    </row>
    <row r="5458" spans="7:19" x14ac:dyDescent="0.25">
      <c r="G5458" s="81"/>
      <c r="S5458" s="93"/>
    </row>
    <row r="5459" spans="7:19" x14ac:dyDescent="0.25">
      <c r="G5459" s="81"/>
      <c r="S5459" s="93"/>
    </row>
    <row r="5460" spans="7:19" x14ac:dyDescent="0.25">
      <c r="G5460" s="81"/>
      <c r="S5460" s="93"/>
    </row>
    <row r="5461" spans="7:19" x14ac:dyDescent="0.25">
      <c r="G5461" s="81"/>
      <c r="S5461" s="93"/>
    </row>
    <row r="5462" spans="7:19" x14ac:dyDescent="0.25">
      <c r="G5462" s="81"/>
      <c r="S5462" s="93"/>
    </row>
    <row r="5463" spans="7:19" x14ac:dyDescent="0.25">
      <c r="G5463" s="81"/>
      <c r="S5463" s="93"/>
    </row>
    <row r="5464" spans="7:19" x14ac:dyDescent="0.25">
      <c r="G5464" s="81"/>
      <c r="S5464" s="93"/>
    </row>
    <row r="5465" spans="7:19" x14ac:dyDescent="0.25">
      <c r="G5465" s="81"/>
      <c r="S5465" s="93"/>
    </row>
    <row r="5466" spans="7:19" x14ac:dyDescent="0.25">
      <c r="G5466" s="81"/>
      <c r="S5466" s="93"/>
    </row>
    <row r="5467" spans="7:19" x14ac:dyDescent="0.25">
      <c r="G5467" s="81"/>
      <c r="S5467" s="93"/>
    </row>
    <row r="5468" spans="7:19" x14ac:dyDescent="0.25">
      <c r="G5468" s="81"/>
      <c r="S5468" s="93"/>
    </row>
    <row r="5469" spans="7:19" x14ac:dyDescent="0.25">
      <c r="G5469" s="81"/>
      <c r="S5469" s="93"/>
    </row>
    <row r="5470" spans="7:19" x14ac:dyDescent="0.25">
      <c r="G5470" s="81"/>
      <c r="S5470" s="93"/>
    </row>
    <row r="5471" spans="7:19" x14ac:dyDescent="0.25">
      <c r="G5471" s="81"/>
      <c r="S5471" s="93"/>
    </row>
    <row r="5472" spans="7:19" x14ac:dyDescent="0.25">
      <c r="G5472" s="81"/>
      <c r="S5472" s="93"/>
    </row>
    <row r="5473" spans="7:19" x14ac:dyDescent="0.25">
      <c r="G5473" s="81"/>
      <c r="S5473" s="93"/>
    </row>
    <row r="5474" spans="7:19" x14ac:dyDescent="0.25">
      <c r="G5474" s="81"/>
      <c r="S5474" s="93"/>
    </row>
    <row r="5475" spans="7:19" x14ac:dyDescent="0.25">
      <c r="G5475" s="81"/>
      <c r="S5475" s="93"/>
    </row>
    <row r="5476" spans="7:19" x14ac:dyDescent="0.25">
      <c r="G5476" s="81"/>
      <c r="S5476" s="93"/>
    </row>
    <row r="5477" spans="7:19" x14ac:dyDescent="0.25">
      <c r="G5477" s="81"/>
      <c r="S5477" s="93"/>
    </row>
    <row r="5478" spans="7:19" x14ac:dyDescent="0.25">
      <c r="G5478" s="81"/>
      <c r="S5478" s="93"/>
    </row>
    <row r="5479" spans="7:19" x14ac:dyDescent="0.25">
      <c r="G5479" s="81"/>
      <c r="S5479" s="93"/>
    </row>
    <row r="5480" spans="7:19" x14ac:dyDescent="0.25">
      <c r="G5480" s="81"/>
      <c r="S5480" s="93"/>
    </row>
    <row r="5481" spans="7:19" x14ac:dyDescent="0.25">
      <c r="G5481" s="81"/>
      <c r="S5481" s="93"/>
    </row>
    <row r="5482" spans="7:19" x14ac:dyDescent="0.25">
      <c r="G5482" s="81"/>
      <c r="S5482" s="93"/>
    </row>
    <row r="5483" spans="7:19" x14ac:dyDescent="0.25">
      <c r="G5483" s="81"/>
      <c r="S5483" s="93"/>
    </row>
    <row r="5484" spans="7:19" x14ac:dyDescent="0.25">
      <c r="G5484" s="81"/>
      <c r="S5484" s="93"/>
    </row>
    <row r="5485" spans="7:19" x14ac:dyDescent="0.25">
      <c r="G5485" s="81"/>
      <c r="S5485" s="93"/>
    </row>
    <row r="5486" spans="7:19" x14ac:dyDescent="0.25">
      <c r="G5486" s="81"/>
      <c r="S5486" s="93"/>
    </row>
    <row r="5487" spans="7:19" x14ac:dyDescent="0.25">
      <c r="G5487" s="81"/>
      <c r="S5487" s="93"/>
    </row>
    <row r="5488" spans="7:19" x14ac:dyDescent="0.25">
      <c r="G5488" s="81"/>
      <c r="S5488" s="93"/>
    </row>
    <row r="5489" spans="7:19" x14ac:dyDescent="0.25">
      <c r="G5489" s="81"/>
      <c r="S5489" s="93"/>
    </row>
    <row r="5490" spans="7:19" x14ac:dyDescent="0.25">
      <c r="G5490" s="81"/>
      <c r="S5490" s="93"/>
    </row>
    <row r="5491" spans="7:19" x14ac:dyDescent="0.25">
      <c r="G5491" s="81"/>
      <c r="S5491" s="93"/>
    </row>
    <row r="5492" spans="7:19" x14ac:dyDescent="0.25">
      <c r="G5492" s="81"/>
      <c r="S5492" s="93"/>
    </row>
    <row r="5493" spans="7:19" x14ac:dyDescent="0.25">
      <c r="G5493" s="81"/>
      <c r="S5493" s="93"/>
    </row>
    <row r="5494" spans="7:19" x14ac:dyDescent="0.25">
      <c r="G5494" s="81"/>
      <c r="S5494" s="93"/>
    </row>
    <row r="5495" spans="7:19" x14ac:dyDescent="0.25">
      <c r="G5495" s="81"/>
      <c r="S5495" s="93"/>
    </row>
    <row r="5496" spans="7:19" x14ac:dyDescent="0.25">
      <c r="G5496" s="81"/>
      <c r="S5496" s="93"/>
    </row>
    <row r="5497" spans="7:19" x14ac:dyDescent="0.25">
      <c r="G5497" s="81"/>
      <c r="S5497" s="93"/>
    </row>
    <row r="5498" spans="7:19" x14ac:dyDescent="0.25">
      <c r="G5498" s="81"/>
      <c r="S5498" s="93"/>
    </row>
    <row r="5499" spans="7:19" x14ac:dyDescent="0.25">
      <c r="G5499" s="81"/>
      <c r="S5499" s="93"/>
    </row>
    <row r="5500" spans="7:19" x14ac:dyDescent="0.25">
      <c r="G5500" s="81"/>
      <c r="S5500" s="93"/>
    </row>
    <row r="5501" spans="7:19" x14ac:dyDescent="0.25">
      <c r="G5501" s="81"/>
      <c r="S5501" s="93"/>
    </row>
    <row r="5502" spans="7:19" x14ac:dyDescent="0.25">
      <c r="G5502" s="81"/>
      <c r="S5502" s="93"/>
    </row>
    <row r="5503" spans="7:19" x14ac:dyDescent="0.25">
      <c r="G5503" s="81"/>
      <c r="S5503" s="93"/>
    </row>
    <row r="5504" spans="7:19" x14ac:dyDescent="0.25">
      <c r="G5504" s="81"/>
      <c r="S5504" s="93"/>
    </row>
    <row r="5505" spans="7:19" x14ac:dyDescent="0.25">
      <c r="G5505" s="81"/>
      <c r="S5505" s="93"/>
    </row>
    <row r="5506" spans="7:19" x14ac:dyDescent="0.25">
      <c r="G5506" s="81"/>
      <c r="S5506" s="93"/>
    </row>
    <row r="5507" spans="7:19" x14ac:dyDescent="0.25">
      <c r="G5507" s="81"/>
      <c r="S5507" s="93"/>
    </row>
    <row r="5508" spans="7:19" x14ac:dyDescent="0.25">
      <c r="G5508" s="81"/>
      <c r="S5508" s="93"/>
    </row>
    <row r="5509" spans="7:19" x14ac:dyDescent="0.25">
      <c r="G5509" s="81"/>
      <c r="S5509" s="93"/>
    </row>
    <row r="5510" spans="7:19" x14ac:dyDescent="0.25">
      <c r="G5510" s="81"/>
      <c r="S5510" s="93"/>
    </row>
    <row r="5511" spans="7:19" x14ac:dyDescent="0.25">
      <c r="G5511" s="81"/>
      <c r="S5511" s="93"/>
    </row>
    <row r="5512" spans="7:19" x14ac:dyDescent="0.25">
      <c r="G5512" s="81"/>
      <c r="S5512" s="93"/>
    </row>
    <row r="5513" spans="7:19" x14ac:dyDescent="0.25">
      <c r="G5513" s="81"/>
      <c r="S5513" s="93"/>
    </row>
    <row r="5514" spans="7:19" x14ac:dyDescent="0.25">
      <c r="G5514" s="81"/>
      <c r="S5514" s="93"/>
    </row>
    <row r="5515" spans="7:19" x14ac:dyDescent="0.25">
      <c r="G5515" s="81"/>
      <c r="S5515" s="93"/>
    </row>
    <row r="5516" spans="7:19" x14ac:dyDescent="0.25">
      <c r="G5516" s="81"/>
      <c r="S5516" s="93"/>
    </row>
    <row r="5517" spans="7:19" x14ac:dyDescent="0.25">
      <c r="G5517" s="81"/>
      <c r="S5517" s="93"/>
    </row>
    <row r="5518" spans="7:19" x14ac:dyDescent="0.25">
      <c r="G5518" s="81"/>
      <c r="S5518" s="93"/>
    </row>
    <row r="5519" spans="7:19" x14ac:dyDescent="0.25">
      <c r="G5519" s="81"/>
      <c r="S5519" s="93"/>
    </row>
    <row r="5520" spans="7:19" x14ac:dyDescent="0.25">
      <c r="G5520" s="81"/>
      <c r="S5520" s="93"/>
    </row>
    <row r="5521" spans="7:19" x14ac:dyDescent="0.25">
      <c r="G5521" s="81"/>
      <c r="S5521" s="93"/>
    </row>
    <row r="5522" spans="7:19" x14ac:dyDescent="0.25">
      <c r="G5522" s="81"/>
      <c r="S5522" s="93"/>
    </row>
    <row r="5523" spans="7:19" x14ac:dyDescent="0.25">
      <c r="G5523" s="81"/>
      <c r="S5523" s="93"/>
    </row>
    <row r="5524" spans="7:19" x14ac:dyDescent="0.25">
      <c r="G5524" s="81"/>
      <c r="S5524" s="93"/>
    </row>
    <row r="5525" spans="7:19" x14ac:dyDescent="0.25">
      <c r="G5525" s="81"/>
      <c r="S5525" s="93"/>
    </row>
    <row r="5526" spans="7:19" x14ac:dyDescent="0.25">
      <c r="G5526" s="81"/>
      <c r="S5526" s="93"/>
    </row>
    <row r="5527" spans="7:19" x14ac:dyDescent="0.25">
      <c r="G5527" s="81"/>
      <c r="S5527" s="93"/>
    </row>
    <row r="5528" spans="7:19" x14ac:dyDescent="0.25">
      <c r="G5528" s="81"/>
      <c r="S5528" s="93"/>
    </row>
    <row r="5529" spans="7:19" x14ac:dyDescent="0.25">
      <c r="G5529" s="81"/>
      <c r="S5529" s="93"/>
    </row>
    <row r="5530" spans="7:19" x14ac:dyDescent="0.25">
      <c r="G5530" s="81"/>
      <c r="S5530" s="93"/>
    </row>
    <row r="5531" spans="7:19" x14ac:dyDescent="0.25">
      <c r="G5531" s="81"/>
      <c r="S5531" s="93"/>
    </row>
    <row r="5532" spans="7:19" x14ac:dyDescent="0.25">
      <c r="G5532" s="81"/>
      <c r="S5532" s="93"/>
    </row>
    <row r="5533" spans="7:19" x14ac:dyDescent="0.25">
      <c r="G5533" s="81"/>
      <c r="S5533" s="93"/>
    </row>
    <row r="5534" spans="7:19" x14ac:dyDescent="0.25">
      <c r="G5534" s="81"/>
      <c r="S5534" s="93"/>
    </row>
    <row r="5535" spans="7:19" x14ac:dyDescent="0.25">
      <c r="G5535" s="81"/>
      <c r="S5535" s="93"/>
    </row>
    <row r="5536" spans="7:19" x14ac:dyDescent="0.25">
      <c r="G5536" s="81"/>
      <c r="S5536" s="93"/>
    </row>
    <row r="5537" spans="7:19" x14ac:dyDescent="0.25">
      <c r="G5537" s="81"/>
      <c r="S5537" s="93"/>
    </row>
    <row r="5538" spans="7:19" x14ac:dyDescent="0.25">
      <c r="G5538" s="81"/>
      <c r="S5538" s="93"/>
    </row>
    <row r="5539" spans="7:19" x14ac:dyDescent="0.25">
      <c r="G5539" s="81"/>
      <c r="S5539" s="93"/>
    </row>
    <row r="5540" spans="7:19" x14ac:dyDescent="0.25">
      <c r="G5540" s="81"/>
      <c r="S5540" s="93"/>
    </row>
    <row r="5541" spans="7:19" x14ac:dyDescent="0.25">
      <c r="G5541" s="81"/>
      <c r="S5541" s="93"/>
    </row>
    <row r="5542" spans="7:19" x14ac:dyDescent="0.25">
      <c r="G5542" s="81"/>
      <c r="S5542" s="93"/>
    </row>
    <row r="5543" spans="7:19" x14ac:dyDescent="0.25">
      <c r="G5543" s="81"/>
      <c r="S5543" s="93"/>
    </row>
    <row r="5544" spans="7:19" x14ac:dyDescent="0.25">
      <c r="G5544" s="81"/>
      <c r="S5544" s="93"/>
    </row>
    <row r="5545" spans="7:19" x14ac:dyDescent="0.25">
      <c r="G5545" s="81"/>
      <c r="S5545" s="93"/>
    </row>
    <row r="5546" spans="7:19" x14ac:dyDescent="0.25">
      <c r="G5546" s="81"/>
      <c r="S5546" s="93"/>
    </row>
    <row r="5547" spans="7:19" x14ac:dyDescent="0.25">
      <c r="G5547" s="81"/>
      <c r="S5547" s="93"/>
    </row>
    <row r="5548" spans="7:19" x14ac:dyDescent="0.25">
      <c r="G5548" s="81"/>
      <c r="S5548" s="93"/>
    </row>
    <row r="5549" spans="7:19" x14ac:dyDescent="0.25">
      <c r="G5549" s="81"/>
      <c r="S5549" s="93"/>
    </row>
    <row r="5550" spans="7:19" x14ac:dyDescent="0.25">
      <c r="G5550" s="81"/>
      <c r="S5550" s="93"/>
    </row>
    <row r="5551" spans="7:19" x14ac:dyDescent="0.25">
      <c r="G5551" s="81"/>
      <c r="S5551" s="93"/>
    </row>
    <row r="5552" spans="7:19" x14ac:dyDescent="0.25">
      <c r="G5552" s="81"/>
      <c r="S5552" s="93"/>
    </row>
    <row r="5553" spans="7:19" x14ac:dyDescent="0.25">
      <c r="G5553" s="81"/>
      <c r="S5553" s="93"/>
    </row>
    <row r="5554" spans="7:19" x14ac:dyDescent="0.25">
      <c r="G5554" s="81"/>
      <c r="S5554" s="93"/>
    </row>
    <row r="5555" spans="7:19" x14ac:dyDescent="0.25">
      <c r="G5555" s="81"/>
      <c r="S5555" s="93"/>
    </row>
    <row r="5556" spans="7:19" x14ac:dyDescent="0.25">
      <c r="G5556" s="81"/>
      <c r="S5556" s="93"/>
    </row>
    <row r="5557" spans="7:19" x14ac:dyDescent="0.25">
      <c r="G5557" s="81"/>
      <c r="S5557" s="93"/>
    </row>
    <row r="5558" spans="7:19" x14ac:dyDescent="0.25">
      <c r="G5558" s="81"/>
      <c r="S5558" s="93"/>
    </row>
    <row r="5559" spans="7:19" x14ac:dyDescent="0.25">
      <c r="G5559" s="81"/>
      <c r="S5559" s="93"/>
    </row>
    <row r="5560" spans="7:19" x14ac:dyDescent="0.25">
      <c r="G5560" s="81"/>
      <c r="S5560" s="93"/>
    </row>
    <row r="5561" spans="7:19" x14ac:dyDescent="0.25">
      <c r="G5561" s="81"/>
      <c r="S5561" s="93"/>
    </row>
    <row r="5562" spans="7:19" x14ac:dyDescent="0.25">
      <c r="G5562" s="81"/>
      <c r="S5562" s="93"/>
    </row>
    <row r="5563" spans="7:19" x14ac:dyDescent="0.25">
      <c r="G5563" s="81"/>
      <c r="S5563" s="93"/>
    </row>
    <row r="5564" spans="7:19" x14ac:dyDescent="0.25">
      <c r="G5564" s="81"/>
      <c r="S5564" s="93"/>
    </row>
    <row r="5565" spans="7:19" x14ac:dyDescent="0.25">
      <c r="G5565" s="81"/>
      <c r="S5565" s="93"/>
    </row>
    <row r="5566" spans="7:19" x14ac:dyDescent="0.25">
      <c r="G5566" s="81"/>
      <c r="S5566" s="93"/>
    </row>
    <row r="5567" spans="7:19" x14ac:dyDescent="0.25">
      <c r="G5567" s="81"/>
      <c r="S5567" s="93"/>
    </row>
    <row r="5568" spans="7:19" x14ac:dyDescent="0.25">
      <c r="G5568" s="81"/>
      <c r="S5568" s="93"/>
    </row>
    <row r="5569" spans="7:19" x14ac:dyDescent="0.25">
      <c r="G5569" s="81"/>
      <c r="S5569" s="93"/>
    </row>
    <row r="5570" spans="7:19" x14ac:dyDescent="0.25">
      <c r="G5570" s="81"/>
      <c r="S5570" s="93"/>
    </row>
    <row r="5571" spans="7:19" x14ac:dyDescent="0.25">
      <c r="G5571" s="81"/>
      <c r="S5571" s="93"/>
    </row>
    <row r="5572" spans="7:19" x14ac:dyDescent="0.25">
      <c r="G5572" s="81"/>
      <c r="S5572" s="93"/>
    </row>
    <row r="5573" spans="7:19" x14ac:dyDescent="0.25">
      <c r="G5573" s="81"/>
      <c r="S5573" s="93"/>
    </row>
    <row r="5574" spans="7:19" x14ac:dyDescent="0.25">
      <c r="G5574" s="81"/>
      <c r="S5574" s="93"/>
    </row>
    <row r="5575" spans="7:19" x14ac:dyDescent="0.25">
      <c r="G5575" s="81"/>
      <c r="S5575" s="93"/>
    </row>
    <row r="5576" spans="7:19" x14ac:dyDescent="0.25">
      <c r="G5576" s="81"/>
      <c r="S5576" s="93"/>
    </row>
    <row r="5577" spans="7:19" x14ac:dyDescent="0.25">
      <c r="G5577" s="81"/>
      <c r="S5577" s="93"/>
    </row>
    <row r="5578" spans="7:19" x14ac:dyDescent="0.25">
      <c r="G5578" s="81"/>
      <c r="S5578" s="93"/>
    </row>
    <row r="5579" spans="7:19" x14ac:dyDescent="0.25">
      <c r="G5579" s="81"/>
      <c r="S5579" s="93"/>
    </row>
    <row r="5580" spans="7:19" x14ac:dyDescent="0.25">
      <c r="G5580" s="81"/>
      <c r="S5580" s="93"/>
    </row>
    <row r="5581" spans="7:19" x14ac:dyDescent="0.25">
      <c r="G5581" s="81"/>
      <c r="S5581" s="93"/>
    </row>
    <row r="5582" spans="7:19" x14ac:dyDescent="0.25">
      <c r="G5582" s="81"/>
      <c r="S5582" s="93"/>
    </row>
    <row r="5583" spans="7:19" x14ac:dyDescent="0.25">
      <c r="G5583" s="81"/>
      <c r="S5583" s="93"/>
    </row>
    <row r="5584" spans="7:19" x14ac:dyDescent="0.25">
      <c r="G5584" s="81"/>
      <c r="S5584" s="93"/>
    </row>
    <row r="5585" spans="7:19" x14ac:dyDescent="0.25">
      <c r="G5585" s="81"/>
      <c r="S5585" s="93"/>
    </row>
    <row r="5586" spans="7:19" x14ac:dyDescent="0.25">
      <c r="G5586" s="81"/>
      <c r="S5586" s="93"/>
    </row>
    <row r="5587" spans="7:19" x14ac:dyDescent="0.25">
      <c r="G5587" s="81"/>
      <c r="S5587" s="93"/>
    </row>
    <row r="5588" spans="7:19" x14ac:dyDescent="0.25">
      <c r="G5588" s="81"/>
      <c r="S5588" s="93"/>
    </row>
    <row r="5589" spans="7:19" x14ac:dyDescent="0.25">
      <c r="G5589" s="81"/>
      <c r="S5589" s="93"/>
    </row>
    <row r="5590" spans="7:19" x14ac:dyDescent="0.25">
      <c r="G5590" s="81"/>
      <c r="S5590" s="93"/>
    </row>
    <row r="5591" spans="7:19" x14ac:dyDescent="0.25">
      <c r="G5591" s="81"/>
      <c r="S5591" s="93"/>
    </row>
    <row r="5592" spans="7:19" x14ac:dyDescent="0.25">
      <c r="G5592" s="81"/>
      <c r="S5592" s="93"/>
    </row>
    <row r="5593" spans="7:19" x14ac:dyDescent="0.25">
      <c r="G5593" s="81"/>
      <c r="S5593" s="93"/>
    </row>
    <row r="5594" spans="7:19" x14ac:dyDescent="0.25">
      <c r="G5594" s="81"/>
      <c r="S5594" s="93"/>
    </row>
    <row r="5595" spans="7:19" x14ac:dyDescent="0.25">
      <c r="G5595" s="81"/>
      <c r="S5595" s="93"/>
    </row>
    <row r="5596" spans="7:19" x14ac:dyDescent="0.25">
      <c r="G5596" s="81"/>
      <c r="S5596" s="93"/>
    </row>
    <row r="5597" spans="7:19" x14ac:dyDescent="0.25">
      <c r="G5597" s="81"/>
      <c r="S5597" s="93"/>
    </row>
    <row r="5598" spans="7:19" x14ac:dyDescent="0.25">
      <c r="G5598" s="81"/>
      <c r="S5598" s="93"/>
    </row>
    <row r="5599" spans="7:19" x14ac:dyDescent="0.25">
      <c r="G5599" s="81"/>
      <c r="S5599" s="93"/>
    </row>
    <row r="5600" spans="7:19" x14ac:dyDescent="0.25">
      <c r="G5600" s="81"/>
      <c r="S5600" s="93"/>
    </row>
    <row r="5601" spans="7:19" x14ac:dyDescent="0.25">
      <c r="G5601" s="81"/>
      <c r="S5601" s="93"/>
    </row>
    <row r="5602" spans="7:19" x14ac:dyDescent="0.25">
      <c r="G5602" s="81"/>
      <c r="S5602" s="93"/>
    </row>
    <row r="5603" spans="7:19" x14ac:dyDescent="0.25">
      <c r="G5603" s="81"/>
      <c r="S5603" s="93"/>
    </row>
    <row r="5604" spans="7:19" x14ac:dyDescent="0.25">
      <c r="G5604" s="81"/>
      <c r="S5604" s="93"/>
    </row>
    <row r="5605" spans="7:19" x14ac:dyDescent="0.25">
      <c r="G5605" s="81"/>
      <c r="S5605" s="93"/>
    </row>
    <row r="5606" spans="7:19" x14ac:dyDescent="0.25">
      <c r="G5606" s="81"/>
      <c r="S5606" s="93"/>
    </row>
    <row r="5607" spans="7:19" x14ac:dyDescent="0.25">
      <c r="G5607" s="81"/>
      <c r="S5607" s="93"/>
    </row>
    <row r="5608" spans="7:19" x14ac:dyDescent="0.25">
      <c r="G5608" s="81"/>
      <c r="S5608" s="93"/>
    </row>
    <row r="5609" spans="7:19" x14ac:dyDescent="0.25">
      <c r="G5609" s="81"/>
      <c r="S5609" s="93"/>
    </row>
    <row r="5610" spans="7:19" x14ac:dyDescent="0.25">
      <c r="G5610" s="81"/>
      <c r="S5610" s="93"/>
    </row>
    <row r="5611" spans="7:19" x14ac:dyDescent="0.25">
      <c r="G5611" s="81"/>
      <c r="S5611" s="93"/>
    </row>
    <row r="5612" spans="7:19" x14ac:dyDescent="0.25">
      <c r="G5612" s="81"/>
      <c r="S5612" s="93"/>
    </row>
    <row r="5613" spans="7:19" x14ac:dyDescent="0.25">
      <c r="G5613" s="81"/>
      <c r="S5613" s="93"/>
    </row>
    <row r="5614" spans="7:19" x14ac:dyDescent="0.25">
      <c r="G5614" s="81"/>
      <c r="S5614" s="93"/>
    </row>
    <row r="5615" spans="7:19" x14ac:dyDescent="0.25">
      <c r="G5615" s="81"/>
      <c r="S5615" s="93"/>
    </row>
    <row r="5616" spans="7:19" x14ac:dyDescent="0.25">
      <c r="G5616" s="81"/>
      <c r="S5616" s="93"/>
    </row>
    <row r="5617" spans="7:19" x14ac:dyDescent="0.25">
      <c r="G5617" s="81"/>
      <c r="S5617" s="93"/>
    </row>
    <row r="5618" spans="7:19" x14ac:dyDescent="0.25">
      <c r="G5618" s="81"/>
      <c r="S5618" s="93"/>
    </row>
    <row r="5619" spans="7:19" x14ac:dyDescent="0.25">
      <c r="G5619" s="81"/>
      <c r="S5619" s="93"/>
    </row>
    <row r="5620" spans="7:19" x14ac:dyDescent="0.25">
      <c r="G5620" s="81"/>
      <c r="S5620" s="93"/>
    </row>
    <row r="5621" spans="7:19" x14ac:dyDescent="0.25">
      <c r="G5621" s="81"/>
      <c r="S5621" s="93"/>
    </row>
    <row r="5622" spans="7:19" x14ac:dyDescent="0.25">
      <c r="G5622" s="81"/>
      <c r="S5622" s="93"/>
    </row>
    <row r="5623" spans="7:19" x14ac:dyDescent="0.25">
      <c r="G5623" s="81"/>
      <c r="S5623" s="93"/>
    </row>
    <row r="5624" spans="7:19" x14ac:dyDescent="0.25">
      <c r="G5624" s="81"/>
      <c r="S5624" s="93"/>
    </row>
    <row r="5625" spans="7:19" x14ac:dyDescent="0.25">
      <c r="G5625" s="81"/>
      <c r="S5625" s="93"/>
    </row>
    <row r="5626" spans="7:19" x14ac:dyDescent="0.25">
      <c r="G5626" s="81"/>
      <c r="S5626" s="93"/>
    </row>
    <row r="5627" spans="7:19" x14ac:dyDescent="0.25">
      <c r="G5627" s="81"/>
      <c r="S5627" s="93"/>
    </row>
    <row r="5628" spans="7:19" x14ac:dyDescent="0.25">
      <c r="G5628" s="81"/>
      <c r="S5628" s="93"/>
    </row>
    <row r="5629" spans="7:19" x14ac:dyDescent="0.25">
      <c r="G5629" s="81"/>
      <c r="S5629" s="93"/>
    </row>
    <row r="5630" spans="7:19" x14ac:dyDescent="0.25">
      <c r="G5630" s="81"/>
      <c r="S5630" s="93"/>
    </row>
    <row r="5631" spans="7:19" x14ac:dyDescent="0.25">
      <c r="G5631" s="81"/>
      <c r="S5631" s="93"/>
    </row>
    <row r="5632" spans="7:19" x14ac:dyDescent="0.25">
      <c r="G5632" s="81"/>
      <c r="S5632" s="93"/>
    </row>
    <row r="5633" spans="7:19" x14ac:dyDescent="0.25">
      <c r="G5633" s="81"/>
      <c r="S5633" s="93"/>
    </row>
    <row r="5634" spans="7:19" x14ac:dyDescent="0.25">
      <c r="G5634" s="81"/>
      <c r="S5634" s="93"/>
    </row>
    <row r="5635" spans="7:19" x14ac:dyDescent="0.25">
      <c r="G5635" s="81"/>
      <c r="S5635" s="93"/>
    </row>
    <row r="5636" spans="7:19" x14ac:dyDescent="0.25">
      <c r="G5636" s="81"/>
      <c r="S5636" s="93"/>
    </row>
    <row r="5637" spans="7:19" x14ac:dyDescent="0.25">
      <c r="G5637" s="81"/>
      <c r="S5637" s="93"/>
    </row>
    <row r="5638" spans="7:19" x14ac:dyDescent="0.25">
      <c r="G5638" s="81"/>
      <c r="S5638" s="93"/>
    </row>
    <row r="5639" spans="7:19" x14ac:dyDescent="0.25">
      <c r="G5639" s="81"/>
      <c r="S5639" s="93"/>
    </row>
    <row r="5640" spans="7:19" x14ac:dyDescent="0.25">
      <c r="G5640" s="81"/>
      <c r="S5640" s="93"/>
    </row>
    <row r="5641" spans="7:19" x14ac:dyDescent="0.25">
      <c r="G5641" s="81"/>
      <c r="S5641" s="93"/>
    </row>
    <row r="5642" spans="7:19" x14ac:dyDescent="0.25">
      <c r="G5642" s="81"/>
      <c r="S5642" s="93"/>
    </row>
    <row r="5643" spans="7:19" x14ac:dyDescent="0.25">
      <c r="G5643" s="81"/>
      <c r="S5643" s="93"/>
    </row>
    <row r="5644" spans="7:19" x14ac:dyDescent="0.25">
      <c r="G5644" s="81"/>
      <c r="S5644" s="93"/>
    </row>
    <row r="5645" spans="7:19" x14ac:dyDescent="0.25">
      <c r="G5645" s="81"/>
      <c r="S5645" s="93"/>
    </row>
    <row r="5646" spans="7:19" x14ac:dyDescent="0.25">
      <c r="G5646" s="81"/>
      <c r="S5646" s="93"/>
    </row>
    <row r="5647" spans="7:19" x14ac:dyDescent="0.25">
      <c r="G5647" s="81"/>
      <c r="S5647" s="93"/>
    </row>
    <row r="5648" spans="7:19" x14ac:dyDescent="0.25">
      <c r="G5648" s="81"/>
      <c r="S5648" s="93"/>
    </row>
    <row r="5649" spans="7:19" x14ac:dyDescent="0.25">
      <c r="G5649" s="81"/>
      <c r="S5649" s="93"/>
    </row>
    <row r="5650" spans="7:19" x14ac:dyDescent="0.25">
      <c r="G5650" s="81"/>
      <c r="S5650" s="93"/>
    </row>
    <row r="5651" spans="7:19" x14ac:dyDescent="0.25">
      <c r="G5651" s="81"/>
      <c r="S5651" s="93"/>
    </row>
    <row r="5652" spans="7:19" x14ac:dyDescent="0.25">
      <c r="G5652" s="81"/>
      <c r="S5652" s="93"/>
    </row>
    <row r="5653" spans="7:19" x14ac:dyDescent="0.25">
      <c r="G5653" s="81"/>
      <c r="S5653" s="93"/>
    </row>
    <row r="5654" spans="7:19" x14ac:dyDescent="0.25">
      <c r="G5654" s="81"/>
      <c r="S5654" s="93"/>
    </row>
    <row r="5655" spans="7:19" x14ac:dyDescent="0.25">
      <c r="G5655" s="81"/>
      <c r="S5655" s="93"/>
    </row>
    <row r="5656" spans="7:19" x14ac:dyDescent="0.25">
      <c r="G5656" s="81"/>
      <c r="S5656" s="93"/>
    </row>
    <row r="5657" spans="7:19" x14ac:dyDescent="0.25">
      <c r="G5657" s="81"/>
      <c r="S5657" s="93"/>
    </row>
    <row r="5658" spans="7:19" x14ac:dyDescent="0.25">
      <c r="G5658" s="81"/>
      <c r="S5658" s="93"/>
    </row>
    <row r="5659" spans="7:19" x14ac:dyDescent="0.25">
      <c r="G5659" s="81"/>
      <c r="S5659" s="93"/>
    </row>
    <row r="5660" spans="7:19" x14ac:dyDescent="0.25">
      <c r="G5660" s="81"/>
      <c r="S5660" s="93"/>
    </row>
    <row r="5661" spans="7:19" x14ac:dyDescent="0.25">
      <c r="G5661" s="81"/>
      <c r="S5661" s="93"/>
    </row>
    <row r="5662" spans="7:19" x14ac:dyDescent="0.25">
      <c r="G5662" s="81"/>
      <c r="S5662" s="93"/>
    </row>
    <row r="5663" spans="7:19" x14ac:dyDescent="0.25">
      <c r="G5663" s="81"/>
      <c r="S5663" s="93"/>
    </row>
    <row r="5664" spans="7:19" x14ac:dyDescent="0.25">
      <c r="G5664" s="81"/>
      <c r="S5664" s="93"/>
    </row>
    <row r="5665" spans="7:19" x14ac:dyDescent="0.25">
      <c r="G5665" s="81"/>
      <c r="S5665" s="93"/>
    </row>
    <row r="5666" spans="7:19" x14ac:dyDescent="0.25">
      <c r="G5666" s="81"/>
      <c r="S5666" s="93"/>
    </row>
    <row r="5667" spans="7:19" x14ac:dyDescent="0.25">
      <c r="G5667" s="81"/>
      <c r="S5667" s="93"/>
    </row>
    <row r="5668" spans="7:19" x14ac:dyDescent="0.25">
      <c r="G5668" s="81"/>
      <c r="S5668" s="93"/>
    </row>
    <row r="5669" spans="7:19" x14ac:dyDescent="0.25">
      <c r="G5669" s="81"/>
      <c r="S5669" s="93"/>
    </row>
    <row r="5670" spans="7:19" x14ac:dyDescent="0.25">
      <c r="G5670" s="81"/>
      <c r="S5670" s="93"/>
    </row>
    <row r="5671" spans="7:19" x14ac:dyDescent="0.25">
      <c r="G5671" s="81"/>
      <c r="S5671" s="93"/>
    </row>
    <row r="5672" spans="7:19" x14ac:dyDescent="0.25">
      <c r="G5672" s="81"/>
      <c r="S5672" s="93"/>
    </row>
    <row r="5673" spans="7:19" x14ac:dyDescent="0.25">
      <c r="G5673" s="81"/>
      <c r="S5673" s="93"/>
    </row>
    <row r="5674" spans="7:19" x14ac:dyDescent="0.25">
      <c r="G5674" s="81"/>
      <c r="S5674" s="93"/>
    </row>
    <row r="5675" spans="7:19" x14ac:dyDescent="0.25">
      <c r="G5675" s="81"/>
      <c r="S5675" s="93"/>
    </row>
    <row r="5676" spans="7:19" x14ac:dyDescent="0.25">
      <c r="G5676" s="81"/>
      <c r="S5676" s="93"/>
    </row>
    <row r="5677" spans="7:19" x14ac:dyDescent="0.25">
      <c r="G5677" s="81"/>
      <c r="S5677" s="93"/>
    </row>
    <row r="5678" spans="7:19" x14ac:dyDescent="0.25">
      <c r="G5678" s="81"/>
      <c r="S5678" s="93"/>
    </row>
    <row r="5679" spans="7:19" x14ac:dyDescent="0.25">
      <c r="G5679" s="81"/>
      <c r="S5679" s="93"/>
    </row>
    <row r="5680" spans="7:19" x14ac:dyDescent="0.25">
      <c r="G5680" s="81"/>
      <c r="S5680" s="93"/>
    </row>
    <row r="5681" spans="7:19" x14ac:dyDescent="0.25">
      <c r="G5681" s="81"/>
      <c r="S5681" s="93"/>
    </row>
    <row r="5682" spans="7:19" x14ac:dyDescent="0.25">
      <c r="G5682" s="81"/>
      <c r="S5682" s="93"/>
    </row>
    <row r="5683" spans="7:19" x14ac:dyDescent="0.25">
      <c r="G5683" s="81"/>
      <c r="S5683" s="93"/>
    </row>
    <row r="5684" spans="7:19" x14ac:dyDescent="0.25">
      <c r="G5684" s="81"/>
      <c r="S5684" s="93"/>
    </row>
    <row r="5685" spans="7:19" x14ac:dyDescent="0.25">
      <c r="G5685" s="81"/>
      <c r="S5685" s="93"/>
    </row>
    <row r="5686" spans="7:19" x14ac:dyDescent="0.25">
      <c r="G5686" s="81"/>
      <c r="S5686" s="93"/>
    </row>
    <row r="5687" spans="7:19" x14ac:dyDescent="0.25">
      <c r="G5687" s="81"/>
      <c r="S5687" s="93"/>
    </row>
    <row r="5688" spans="7:19" x14ac:dyDescent="0.25">
      <c r="G5688" s="81"/>
      <c r="S5688" s="93"/>
    </row>
    <row r="5689" spans="7:19" x14ac:dyDescent="0.25">
      <c r="G5689" s="81"/>
      <c r="S5689" s="93"/>
    </row>
    <row r="5690" spans="7:19" x14ac:dyDescent="0.25">
      <c r="G5690" s="81"/>
      <c r="S5690" s="93"/>
    </row>
    <row r="5691" spans="7:19" x14ac:dyDescent="0.25">
      <c r="G5691" s="81"/>
      <c r="S5691" s="93"/>
    </row>
    <row r="5692" spans="7:19" x14ac:dyDescent="0.25">
      <c r="G5692" s="81"/>
      <c r="S5692" s="93"/>
    </row>
    <row r="5693" spans="7:19" x14ac:dyDescent="0.25">
      <c r="G5693" s="81"/>
      <c r="S5693" s="93"/>
    </row>
    <row r="5694" spans="7:19" x14ac:dyDescent="0.25">
      <c r="G5694" s="81"/>
      <c r="S5694" s="93"/>
    </row>
    <row r="5695" spans="7:19" x14ac:dyDescent="0.25">
      <c r="G5695" s="81"/>
      <c r="S5695" s="93"/>
    </row>
    <row r="5696" spans="7:19" x14ac:dyDescent="0.25">
      <c r="G5696" s="81"/>
      <c r="S5696" s="93"/>
    </row>
    <row r="5697" spans="7:19" x14ac:dyDescent="0.25">
      <c r="G5697" s="81"/>
      <c r="S5697" s="93"/>
    </row>
    <row r="5698" spans="7:19" x14ac:dyDescent="0.25">
      <c r="G5698" s="81"/>
      <c r="S5698" s="93"/>
    </row>
    <row r="5699" spans="7:19" x14ac:dyDescent="0.25">
      <c r="G5699" s="81"/>
      <c r="S5699" s="93"/>
    </row>
    <row r="5700" spans="7:19" x14ac:dyDescent="0.25">
      <c r="G5700" s="81"/>
      <c r="S5700" s="93"/>
    </row>
    <row r="5701" spans="7:19" x14ac:dyDescent="0.25">
      <c r="G5701" s="81"/>
      <c r="S5701" s="93"/>
    </row>
    <row r="5702" spans="7:19" x14ac:dyDescent="0.25">
      <c r="G5702" s="81"/>
      <c r="S5702" s="93"/>
    </row>
    <row r="5703" spans="7:19" x14ac:dyDescent="0.25">
      <c r="G5703" s="81"/>
      <c r="S5703" s="93"/>
    </row>
    <row r="5704" spans="7:19" x14ac:dyDescent="0.25">
      <c r="G5704" s="81"/>
      <c r="S5704" s="93"/>
    </row>
    <row r="5705" spans="7:19" x14ac:dyDescent="0.25">
      <c r="G5705" s="81"/>
      <c r="S5705" s="93"/>
    </row>
    <row r="5706" spans="7:19" x14ac:dyDescent="0.25">
      <c r="G5706" s="81"/>
      <c r="S5706" s="93"/>
    </row>
    <row r="5707" spans="7:19" x14ac:dyDescent="0.25">
      <c r="G5707" s="81"/>
      <c r="S5707" s="93"/>
    </row>
    <row r="5708" spans="7:19" x14ac:dyDescent="0.25">
      <c r="G5708" s="81"/>
      <c r="S5708" s="93"/>
    </row>
    <row r="5709" spans="7:19" x14ac:dyDescent="0.25">
      <c r="G5709" s="81"/>
      <c r="S5709" s="93"/>
    </row>
    <row r="5710" spans="7:19" x14ac:dyDescent="0.25">
      <c r="G5710" s="81"/>
      <c r="S5710" s="93"/>
    </row>
    <row r="5711" spans="7:19" x14ac:dyDescent="0.25">
      <c r="G5711" s="81"/>
      <c r="S5711" s="93"/>
    </row>
    <row r="5712" spans="7:19" x14ac:dyDescent="0.25">
      <c r="G5712" s="81"/>
      <c r="S5712" s="93"/>
    </row>
    <row r="5713" spans="7:19" x14ac:dyDescent="0.25">
      <c r="G5713" s="81"/>
      <c r="S5713" s="93"/>
    </row>
    <row r="5714" spans="7:19" x14ac:dyDescent="0.25">
      <c r="G5714" s="81"/>
      <c r="S5714" s="93"/>
    </row>
    <row r="5715" spans="7:19" x14ac:dyDescent="0.25">
      <c r="G5715" s="81"/>
      <c r="S5715" s="93"/>
    </row>
    <row r="5716" spans="7:19" x14ac:dyDescent="0.25">
      <c r="G5716" s="81"/>
      <c r="S5716" s="93"/>
    </row>
    <row r="5717" spans="7:19" x14ac:dyDescent="0.25">
      <c r="G5717" s="81"/>
      <c r="S5717" s="93"/>
    </row>
    <row r="5718" spans="7:19" x14ac:dyDescent="0.25">
      <c r="G5718" s="81"/>
      <c r="S5718" s="93"/>
    </row>
    <row r="5719" spans="7:19" x14ac:dyDescent="0.25">
      <c r="G5719" s="81"/>
      <c r="S5719" s="93"/>
    </row>
    <row r="5720" spans="7:19" x14ac:dyDescent="0.25">
      <c r="G5720" s="81"/>
      <c r="S5720" s="93"/>
    </row>
    <row r="5721" spans="7:19" x14ac:dyDescent="0.25">
      <c r="G5721" s="81"/>
      <c r="S5721" s="93"/>
    </row>
    <row r="5722" spans="7:19" x14ac:dyDescent="0.25">
      <c r="G5722" s="81"/>
      <c r="S5722" s="93"/>
    </row>
    <row r="5723" spans="7:19" x14ac:dyDescent="0.25">
      <c r="G5723" s="81"/>
      <c r="S5723" s="93"/>
    </row>
    <row r="5724" spans="7:19" x14ac:dyDescent="0.25">
      <c r="G5724" s="81"/>
      <c r="S5724" s="93"/>
    </row>
    <row r="5725" spans="7:19" x14ac:dyDescent="0.25">
      <c r="G5725" s="81"/>
      <c r="S5725" s="93"/>
    </row>
    <row r="5726" spans="7:19" x14ac:dyDescent="0.25">
      <c r="G5726" s="81"/>
      <c r="S5726" s="93"/>
    </row>
    <row r="5727" spans="7:19" x14ac:dyDescent="0.25">
      <c r="G5727" s="81"/>
      <c r="S5727" s="93"/>
    </row>
    <row r="5728" spans="7:19" x14ac:dyDescent="0.25">
      <c r="G5728" s="81"/>
      <c r="S5728" s="93"/>
    </row>
    <row r="5729" spans="7:19" x14ac:dyDescent="0.25">
      <c r="G5729" s="81"/>
      <c r="S5729" s="93"/>
    </row>
    <row r="5730" spans="7:19" x14ac:dyDescent="0.25">
      <c r="G5730" s="81"/>
      <c r="S5730" s="93"/>
    </row>
    <row r="5731" spans="7:19" x14ac:dyDescent="0.25">
      <c r="G5731" s="81"/>
      <c r="S5731" s="93"/>
    </row>
    <row r="5732" spans="7:19" x14ac:dyDescent="0.25">
      <c r="G5732" s="81"/>
      <c r="S5732" s="93"/>
    </row>
    <row r="5733" spans="7:19" x14ac:dyDescent="0.25">
      <c r="G5733" s="81"/>
      <c r="S5733" s="93"/>
    </row>
    <row r="5734" spans="7:19" x14ac:dyDescent="0.25">
      <c r="G5734" s="81"/>
      <c r="S5734" s="93"/>
    </row>
    <row r="5735" spans="7:19" x14ac:dyDescent="0.25">
      <c r="G5735" s="81"/>
      <c r="S5735" s="93"/>
    </row>
    <row r="5736" spans="7:19" x14ac:dyDescent="0.25">
      <c r="G5736" s="81"/>
      <c r="S5736" s="93"/>
    </row>
    <row r="5737" spans="7:19" x14ac:dyDescent="0.25">
      <c r="G5737" s="81"/>
      <c r="S5737" s="93"/>
    </row>
    <row r="5738" spans="7:19" x14ac:dyDescent="0.25">
      <c r="G5738" s="81"/>
      <c r="S5738" s="93"/>
    </row>
    <row r="5739" spans="7:19" x14ac:dyDescent="0.25">
      <c r="G5739" s="81"/>
      <c r="S5739" s="93"/>
    </row>
    <row r="5740" spans="7:19" x14ac:dyDescent="0.25">
      <c r="G5740" s="81"/>
      <c r="S5740" s="93"/>
    </row>
    <row r="5741" spans="7:19" x14ac:dyDescent="0.25">
      <c r="G5741" s="81"/>
      <c r="S5741" s="93"/>
    </row>
    <row r="5742" spans="7:19" x14ac:dyDescent="0.25">
      <c r="G5742" s="81"/>
      <c r="S5742" s="93"/>
    </row>
    <row r="5743" spans="7:19" x14ac:dyDescent="0.25">
      <c r="G5743" s="81"/>
      <c r="S5743" s="93"/>
    </row>
    <row r="5744" spans="7:19" x14ac:dyDescent="0.25">
      <c r="G5744" s="81"/>
      <c r="S5744" s="93"/>
    </row>
    <row r="5745" spans="7:19" x14ac:dyDescent="0.25">
      <c r="G5745" s="81"/>
      <c r="S5745" s="93"/>
    </row>
    <row r="5746" spans="7:19" x14ac:dyDescent="0.25">
      <c r="G5746" s="81"/>
      <c r="S5746" s="93"/>
    </row>
    <row r="5747" spans="7:19" x14ac:dyDescent="0.25">
      <c r="G5747" s="81"/>
      <c r="S5747" s="93"/>
    </row>
    <row r="5748" spans="7:19" x14ac:dyDescent="0.25">
      <c r="G5748" s="81"/>
      <c r="S5748" s="93"/>
    </row>
    <row r="5749" spans="7:19" x14ac:dyDescent="0.25">
      <c r="G5749" s="81"/>
      <c r="S5749" s="93"/>
    </row>
    <row r="5750" spans="7:19" x14ac:dyDescent="0.25">
      <c r="G5750" s="81"/>
      <c r="S5750" s="93"/>
    </row>
    <row r="5751" spans="7:19" x14ac:dyDescent="0.25">
      <c r="G5751" s="81"/>
      <c r="S5751" s="93"/>
    </row>
    <row r="5752" spans="7:19" x14ac:dyDescent="0.25">
      <c r="G5752" s="81"/>
      <c r="S5752" s="93"/>
    </row>
    <row r="5753" spans="7:19" x14ac:dyDescent="0.25">
      <c r="G5753" s="81"/>
      <c r="S5753" s="93"/>
    </row>
    <row r="5754" spans="7:19" x14ac:dyDescent="0.25">
      <c r="G5754" s="81"/>
      <c r="S5754" s="93"/>
    </row>
    <row r="5755" spans="7:19" x14ac:dyDescent="0.25">
      <c r="G5755" s="81"/>
      <c r="S5755" s="93"/>
    </row>
    <row r="5756" spans="7:19" x14ac:dyDescent="0.25">
      <c r="G5756" s="81"/>
      <c r="S5756" s="93"/>
    </row>
    <row r="5757" spans="7:19" x14ac:dyDescent="0.25">
      <c r="G5757" s="81"/>
      <c r="S5757" s="93"/>
    </row>
    <row r="5758" spans="7:19" x14ac:dyDescent="0.25">
      <c r="G5758" s="81"/>
      <c r="S5758" s="93"/>
    </row>
    <row r="5759" spans="7:19" x14ac:dyDescent="0.25">
      <c r="G5759" s="81"/>
      <c r="S5759" s="93"/>
    </row>
    <row r="5760" spans="7:19" x14ac:dyDescent="0.25">
      <c r="G5760" s="81"/>
      <c r="S5760" s="93"/>
    </row>
    <row r="5761" spans="7:19" x14ac:dyDescent="0.25">
      <c r="G5761" s="81"/>
      <c r="S5761" s="93"/>
    </row>
    <row r="5762" spans="7:19" x14ac:dyDescent="0.25">
      <c r="G5762" s="81"/>
      <c r="S5762" s="93"/>
    </row>
    <row r="5763" spans="7:19" x14ac:dyDescent="0.25">
      <c r="G5763" s="81"/>
      <c r="S5763" s="93"/>
    </row>
    <row r="5764" spans="7:19" x14ac:dyDescent="0.25">
      <c r="G5764" s="81"/>
      <c r="S5764" s="93"/>
    </row>
    <row r="5765" spans="7:19" x14ac:dyDescent="0.25">
      <c r="G5765" s="81"/>
      <c r="S5765" s="93"/>
    </row>
    <row r="5766" spans="7:19" x14ac:dyDescent="0.25">
      <c r="G5766" s="81"/>
      <c r="S5766" s="93"/>
    </row>
    <row r="5767" spans="7:19" x14ac:dyDescent="0.25">
      <c r="G5767" s="81"/>
      <c r="S5767" s="93"/>
    </row>
    <row r="5768" spans="7:19" x14ac:dyDescent="0.25">
      <c r="G5768" s="81"/>
      <c r="S5768" s="93"/>
    </row>
    <row r="5769" spans="7:19" x14ac:dyDescent="0.25">
      <c r="G5769" s="81"/>
      <c r="S5769" s="93"/>
    </row>
    <row r="5770" spans="7:19" x14ac:dyDescent="0.25">
      <c r="G5770" s="81"/>
      <c r="S5770" s="93"/>
    </row>
    <row r="5771" spans="7:19" x14ac:dyDescent="0.25">
      <c r="G5771" s="81"/>
      <c r="S5771" s="93"/>
    </row>
    <row r="5772" spans="7:19" x14ac:dyDescent="0.25">
      <c r="G5772" s="81"/>
      <c r="S5772" s="93"/>
    </row>
    <row r="5773" spans="7:19" x14ac:dyDescent="0.25">
      <c r="G5773" s="81"/>
      <c r="S5773" s="93"/>
    </row>
    <row r="5774" spans="7:19" x14ac:dyDescent="0.25">
      <c r="G5774" s="81"/>
      <c r="S5774" s="93"/>
    </row>
    <row r="5775" spans="7:19" x14ac:dyDescent="0.25">
      <c r="G5775" s="81"/>
      <c r="S5775" s="93"/>
    </row>
    <row r="5776" spans="7:19" x14ac:dyDescent="0.25">
      <c r="G5776" s="81"/>
      <c r="S5776" s="93"/>
    </row>
    <row r="5777" spans="7:19" x14ac:dyDescent="0.25">
      <c r="G5777" s="81"/>
      <c r="S5777" s="93"/>
    </row>
    <row r="5778" spans="7:19" x14ac:dyDescent="0.25">
      <c r="G5778" s="81"/>
      <c r="S5778" s="93"/>
    </row>
    <row r="5779" spans="7:19" x14ac:dyDescent="0.25">
      <c r="G5779" s="81"/>
      <c r="S5779" s="93"/>
    </row>
    <row r="5780" spans="7:19" x14ac:dyDescent="0.25">
      <c r="G5780" s="81"/>
      <c r="S5780" s="93"/>
    </row>
    <row r="5781" spans="7:19" x14ac:dyDescent="0.25">
      <c r="G5781" s="81"/>
      <c r="S5781" s="93"/>
    </row>
    <row r="5782" spans="7:19" x14ac:dyDescent="0.25">
      <c r="G5782" s="81"/>
      <c r="S5782" s="93"/>
    </row>
    <row r="5783" spans="7:19" x14ac:dyDescent="0.25">
      <c r="G5783" s="81"/>
      <c r="S5783" s="93"/>
    </row>
    <row r="5784" spans="7:19" x14ac:dyDescent="0.25">
      <c r="G5784" s="81"/>
      <c r="S5784" s="93"/>
    </row>
    <row r="5785" spans="7:19" x14ac:dyDescent="0.25">
      <c r="G5785" s="81"/>
      <c r="S5785" s="93"/>
    </row>
    <row r="5786" spans="7:19" x14ac:dyDescent="0.25">
      <c r="G5786" s="81"/>
      <c r="S5786" s="93"/>
    </row>
    <row r="5787" spans="7:19" x14ac:dyDescent="0.25">
      <c r="G5787" s="81"/>
      <c r="S5787" s="93"/>
    </row>
    <row r="5788" spans="7:19" x14ac:dyDescent="0.25">
      <c r="G5788" s="81"/>
      <c r="S5788" s="93"/>
    </row>
    <row r="5789" spans="7:19" x14ac:dyDescent="0.25">
      <c r="G5789" s="81"/>
      <c r="S5789" s="93"/>
    </row>
    <row r="5790" spans="7:19" x14ac:dyDescent="0.25">
      <c r="G5790" s="81"/>
      <c r="S5790" s="93"/>
    </row>
    <row r="5791" spans="7:19" x14ac:dyDescent="0.25">
      <c r="G5791" s="81"/>
      <c r="S5791" s="93"/>
    </row>
    <row r="5792" spans="7:19" x14ac:dyDescent="0.25">
      <c r="G5792" s="81"/>
      <c r="S5792" s="93"/>
    </row>
    <row r="5793" spans="7:19" x14ac:dyDescent="0.25">
      <c r="G5793" s="81"/>
      <c r="S5793" s="93"/>
    </row>
    <row r="5794" spans="7:19" x14ac:dyDescent="0.25">
      <c r="G5794" s="81"/>
      <c r="S5794" s="93"/>
    </row>
    <row r="5795" spans="7:19" x14ac:dyDescent="0.25">
      <c r="G5795" s="81"/>
      <c r="S5795" s="93"/>
    </row>
    <row r="5796" spans="7:19" x14ac:dyDescent="0.25">
      <c r="G5796" s="81"/>
      <c r="S5796" s="93"/>
    </row>
    <row r="5797" spans="7:19" x14ac:dyDescent="0.25">
      <c r="G5797" s="81"/>
      <c r="S5797" s="93"/>
    </row>
    <row r="5798" spans="7:19" x14ac:dyDescent="0.25">
      <c r="G5798" s="81"/>
      <c r="S5798" s="93"/>
    </row>
    <row r="5799" spans="7:19" x14ac:dyDescent="0.25">
      <c r="G5799" s="81"/>
      <c r="S5799" s="93"/>
    </row>
    <row r="5800" spans="7:19" x14ac:dyDescent="0.25">
      <c r="G5800" s="81"/>
      <c r="S5800" s="93"/>
    </row>
    <row r="5801" spans="7:19" x14ac:dyDescent="0.25">
      <c r="G5801" s="81"/>
      <c r="S5801" s="93"/>
    </row>
    <row r="5802" spans="7:19" x14ac:dyDescent="0.25">
      <c r="G5802" s="81"/>
      <c r="S5802" s="93"/>
    </row>
    <row r="5803" spans="7:19" x14ac:dyDescent="0.25">
      <c r="G5803" s="81"/>
      <c r="S5803" s="93"/>
    </row>
    <row r="5804" spans="7:19" x14ac:dyDescent="0.25">
      <c r="G5804" s="81"/>
      <c r="S5804" s="93"/>
    </row>
    <row r="5805" spans="7:19" x14ac:dyDescent="0.25">
      <c r="G5805" s="81"/>
      <c r="S5805" s="93"/>
    </row>
    <row r="5806" spans="7:19" x14ac:dyDescent="0.25">
      <c r="G5806" s="81"/>
      <c r="S5806" s="93"/>
    </row>
    <row r="5807" spans="7:19" x14ac:dyDescent="0.25">
      <c r="G5807" s="81"/>
      <c r="S5807" s="93"/>
    </row>
    <row r="5808" spans="7:19" x14ac:dyDescent="0.25">
      <c r="G5808" s="81"/>
      <c r="S5808" s="93"/>
    </row>
    <row r="5809" spans="7:19" x14ac:dyDescent="0.25">
      <c r="G5809" s="81"/>
      <c r="S5809" s="93"/>
    </row>
    <row r="5810" spans="7:19" x14ac:dyDescent="0.25">
      <c r="G5810" s="81"/>
      <c r="S5810" s="93"/>
    </row>
    <row r="5811" spans="7:19" x14ac:dyDescent="0.25">
      <c r="G5811" s="81"/>
      <c r="S5811" s="93"/>
    </row>
    <row r="5812" spans="7:19" x14ac:dyDescent="0.25">
      <c r="G5812" s="81"/>
      <c r="S5812" s="93"/>
    </row>
    <row r="5813" spans="7:19" x14ac:dyDescent="0.25">
      <c r="G5813" s="81"/>
      <c r="S5813" s="93"/>
    </row>
    <row r="5814" spans="7:19" x14ac:dyDescent="0.25">
      <c r="G5814" s="81"/>
      <c r="S5814" s="93"/>
    </row>
    <row r="5815" spans="7:19" x14ac:dyDescent="0.25">
      <c r="G5815" s="81"/>
      <c r="S5815" s="93"/>
    </row>
    <row r="5816" spans="7:19" x14ac:dyDescent="0.25">
      <c r="G5816" s="81"/>
      <c r="S5816" s="93"/>
    </row>
    <row r="5817" spans="7:19" x14ac:dyDescent="0.25">
      <c r="G5817" s="81"/>
      <c r="S5817" s="93"/>
    </row>
    <row r="5818" spans="7:19" x14ac:dyDescent="0.25">
      <c r="G5818" s="81"/>
      <c r="S5818" s="93"/>
    </row>
    <row r="5819" spans="7:19" x14ac:dyDescent="0.25">
      <c r="G5819" s="81"/>
      <c r="S5819" s="93"/>
    </row>
    <row r="5820" spans="7:19" x14ac:dyDescent="0.25">
      <c r="G5820" s="81"/>
      <c r="S5820" s="93"/>
    </row>
    <row r="5821" spans="7:19" x14ac:dyDescent="0.25">
      <c r="G5821" s="81"/>
      <c r="S5821" s="93"/>
    </row>
    <row r="5822" spans="7:19" x14ac:dyDescent="0.25">
      <c r="G5822" s="81"/>
      <c r="S5822" s="93"/>
    </row>
    <row r="5823" spans="7:19" x14ac:dyDescent="0.25">
      <c r="G5823" s="81"/>
      <c r="S5823" s="93"/>
    </row>
    <row r="5824" spans="7:19" x14ac:dyDescent="0.25">
      <c r="G5824" s="81"/>
      <c r="S5824" s="93"/>
    </row>
    <row r="5825" spans="7:19" x14ac:dyDescent="0.25">
      <c r="G5825" s="81"/>
      <c r="S5825" s="93"/>
    </row>
    <row r="5826" spans="7:19" x14ac:dyDescent="0.25">
      <c r="G5826" s="81"/>
      <c r="S5826" s="93"/>
    </row>
    <row r="5827" spans="7:19" x14ac:dyDescent="0.25">
      <c r="G5827" s="81"/>
      <c r="S5827" s="93"/>
    </row>
    <row r="5828" spans="7:19" x14ac:dyDescent="0.25">
      <c r="G5828" s="81"/>
      <c r="S5828" s="93"/>
    </row>
    <row r="5829" spans="7:19" x14ac:dyDescent="0.25">
      <c r="G5829" s="81"/>
      <c r="S5829" s="93"/>
    </row>
    <row r="5830" spans="7:19" x14ac:dyDescent="0.25">
      <c r="G5830" s="81"/>
      <c r="S5830" s="93"/>
    </row>
    <row r="5831" spans="7:19" x14ac:dyDescent="0.25">
      <c r="G5831" s="81"/>
      <c r="S5831" s="93"/>
    </row>
    <row r="5832" spans="7:19" x14ac:dyDescent="0.25">
      <c r="G5832" s="81"/>
      <c r="S5832" s="93"/>
    </row>
    <row r="5833" spans="7:19" x14ac:dyDescent="0.25">
      <c r="G5833" s="81"/>
      <c r="S5833" s="93"/>
    </row>
    <row r="5834" spans="7:19" x14ac:dyDescent="0.25">
      <c r="G5834" s="81"/>
      <c r="S5834" s="93"/>
    </row>
    <row r="5835" spans="7:19" x14ac:dyDescent="0.25">
      <c r="G5835" s="81"/>
      <c r="S5835" s="93"/>
    </row>
    <row r="5836" spans="7:19" x14ac:dyDescent="0.25">
      <c r="G5836" s="81"/>
      <c r="S5836" s="93"/>
    </row>
    <row r="5837" spans="7:19" x14ac:dyDescent="0.25">
      <c r="G5837" s="81"/>
      <c r="S5837" s="93"/>
    </row>
    <row r="5838" spans="7:19" x14ac:dyDescent="0.25">
      <c r="G5838" s="81"/>
      <c r="S5838" s="93"/>
    </row>
    <row r="5839" spans="7:19" x14ac:dyDescent="0.25">
      <c r="G5839" s="81"/>
      <c r="S5839" s="93"/>
    </row>
    <row r="5840" spans="7:19" x14ac:dyDescent="0.25">
      <c r="G5840" s="81"/>
      <c r="S5840" s="93"/>
    </row>
    <row r="5841" spans="7:19" x14ac:dyDescent="0.25">
      <c r="G5841" s="81"/>
      <c r="S5841" s="93"/>
    </row>
    <row r="5842" spans="7:19" x14ac:dyDescent="0.25">
      <c r="G5842" s="81"/>
      <c r="S5842" s="93"/>
    </row>
    <row r="5843" spans="7:19" x14ac:dyDescent="0.25">
      <c r="G5843" s="81"/>
      <c r="S5843" s="93"/>
    </row>
    <row r="5844" spans="7:19" x14ac:dyDescent="0.25">
      <c r="G5844" s="81"/>
      <c r="S5844" s="93"/>
    </row>
    <row r="5845" spans="7:19" x14ac:dyDescent="0.25">
      <c r="G5845" s="81"/>
      <c r="S5845" s="93"/>
    </row>
    <row r="5846" spans="7:19" x14ac:dyDescent="0.25">
      <c r="G5846" s="81"/>
      <c r="S5846" s="93"/>
    </row>
    <row r="5847" spans="7:19" x14ac:dyDescent="0.25">
      <c r="G5847" s="81"/>
      <c r="S5847" s="93"/>
    </row>
    <row r="5848" spans="7:19" x14ac:dyDescent="0.25">
      <c r="G5848" s="81"/>
      <c r="S5848" s="93"/>
    </row>
    <row r="5849" spans="7:19" x14ac:dyDescent="0.25">
      <c r="G5849" s="81"/>
      <c r="S5849" s="93"/>
    </row>
    <row r="5850" spans="7:19" x14ac:dyDescent="0.25">
      <c r="G5850" s="81"/>
      <c r="S5850" s="93"/>
    </row>
    <row r="5851" spans="7:19" x14ac:dyDescent="0.25">
      <c r="G5851" s="81"/>
      <c r="S5851" s="93"/>
    </row>
    <row r="5852" spans="7:19" x14ac:dyDescent="0.25">
      <c r="G5852" s="81"/>
      <c r="S5852" s="93"/>
    </row>
    <row r="5853" spans="7:19" x14ac:dyDescent="0.25">
      <c r="G5853" s="81"/>
      <c r="S5853" s="93"/>
    </row>
    <row r="5854" spans="7:19" x14ac:dyDescent="0.25">
      <c r="G5854" s="81"/>
      <c r="S5854" s="93"/>
    </row>
    <row r="5855" spans="7:19" x14ac:dyDescent="0.25">
      <c r="G5855" s="81"/>
      <c r="S5855" s="93"/>
    </row>
    <row r="5856" spans="7:19" x14ac:dyDescent="0.25">
      <c r="G5856" s="81"/>
      <c r="S5856" s="93"/>
    </row>
    <row r="5857" spans="7:19" x14ac:dyDescent="0.25">
      <c r="G5857" s="81"/>
      <c r="S5857" s="93"/>
    </row>
    <row r="5858" spans="7:19" x14ac:dyDescent="0.25">
      <c r="G5858" s="81"/>
      <c r="S5858" s="93"/>
    </row>
    <row r="5859" spans="7:19" x14ac:dyDescent="0.25">
      <c r="G5859" s="81"/>
      <c r="S5859" s="93"/>
    </row>
    <row r="5860" spans="7:19" x14ac:dyDescent="0.25">
      <c r="G5860" s="81"/>
      <c r="S5860" s="93"/>
    </row>
    <row r="5861" spans="7:19" x14ac:dyDescent="0.25">
      <c r="G5861" s="81"/>
      <c r="S5861" s="93"/>
    </row>
    <row r="5862" spans="7:19" x14ac:dyDescent="0.25">
      <c r="G5862" s="81"/>
      <c r="S5862" s="93"/>
    </row>
    <row r="5863" spans="7:19" x14ac:dyDescent="0.25">
      <c r="G5863" s="81"/>
      <c r="S5863" s="93"/>
    </row>
    <row r="5864" spans="7:19" x14ac:dyDescent="0.25">
      <c r="G5864" s="81"/>
      <c r="S5864" s="93"/>
    </row>
    <row r="5865" spans="7:19" x14ac:dyDescent="0.25">
      <c r="G5865" s="81"/>
      <c r="S5865" s="93"/>
    </row>
    <row r="5866" spans="7:19" x14ac:dyDescent="0.25">
      <c r="G5866" s="81"/>
      <c r="S5866" s="93"/>
    </row>
    <row r="5867" spans="7:19" x14ac:dyDescent="0.25">
      <c r="G5867" s="81"/>
      <c r="S5867" s="93"/>
    </row>
    <row r="5868" spans="7:19" x14ac:dyDescent="0.25">
      <c r="G5868" s="81"/>
      <c r="S5868" s="93"/>
    </row>
    <row r="5869" spans="7:19" x14ac:dyDescent="0.25">
      <c r="G5869" s="81"/>
      <c r="S5869" s="93"/>
    </row>
    <row r="5870" spans="7:19" x14ac:dyDescent="0.25">
      <c r="G5870" s="81"/>
      <c r="S5870" s="93"/>
    </row>
    <row r="5871" spans="7:19" x14ac:dyDescent="0.25">
      <c r="G5871" s="81"/>
      <c r="S5871" s="93"/>
    </row>
    <row r="5872" spans="7:19" x14ac:dyDescent="0.25">
      <c r="G5872" s="81"/>
      <c r="S5872" s="93"/>
    </row>
    <row r="5873" spans="7:19" x14ac:dyDescent="0.25">
      <c r="G5873" s="81"/>
      <c r="S5873" s="93"/>
    </row>
    <row r="5874" spans="7:19" x14ac:dyDescent="0.25">
      <c r="G5874" s="81"/>
      <c r="S5874" s="93"/>
    </row>
    <row r="5875" spans="7:19" x14ac:dyDescent="0.25">
      <c r="G5875" s="81"/>
      <c r="S5875" s="93"/>
    </row>
    <row r="5876" spans="7:19" x14ac:dyDescent="0.25">
      <c r="G5876" s="81"/>
      <c r="S5876" s="93"/>
    </row>
    <row r="5877" spans="7:19" x14ac:dyDescent="0.25">
      <c r="G5877" s="81"/>
      <c r="S5877" s="93"/>
    </row>
    <row r="5878" spans="7:19" x14ac:dyDescent="0.25">
      <c r="G5878" s="81"/>
      <c r="S5878" s="93"/>
    </row>
    <row r="5879" spans="7:19" x14ac:dyDescent="0.25">
      <c r="G5879" s="81"/>
      <c r="S5879" s="93"/>
    </row>
    <row r="5880" spans="7:19" x14ac:dyDescent="0.25">
      <c r="G5880" s="81"/>
      <c r="S5880" s="93"/>
    </row>
    <row r="5881" spans="7:19" x14ac:dyDescent="0.25">
      <c r="G5881" s="81"/>
      <c r="S5881" s="93"/>
    </row>
    <row r="5882" spans="7:19" x14ac:dyDescent="0.25">
      <c r="G5882" s="81"/>
      <c r="S5882" s="93"/>
    </row>
    <row r="5883" spans="7:19" x14ac:dyDescent="0.25">
      <c r="G5883" s="81"/>
      <c r="S5883" s="93"/>
    </row>
    <row r="5884" spans="7:19" x14ac:dyDescent="0.25">
      <c r="G5884" s="81"/>
      <c r="S5884" s="93"/>
    </row>
    <row r="5885" spans="7:19" x14ac:dyDescent="0.25">
      <c r="G5885" s="81"/>
      <c r="S5885" s="93"/>
    </row>
    <row r="5886" spans="7:19" x14ac:dyDescent="0.25">
      <c r="G5886" s="81"/>
      <c r="S5886" s="93"/>
    </row>
    <row r="5887" spans="7:19" x14ac:dyDescent="0.25">
      <c r="G5887" s="81"/>
      <c r="S5887" s="93"/>
    </row>
    <row r="5888" spans="7:19" x14ac:dyDescent="0.25">
      <c r="G5888" s="81"/>
      <c r="S5888" s="93"/>
    </row>
    <row r="5889" spans="7:19" x14ac:dyDescent="0.25">
      <c r="G5889" s="81"/>
      <c r="S5889" s="93"/>
    </row>
    <row r="5890" spans="7:19" x14ac:dyDescent="0.25">
      <c r="G5890" s="81"/>
      <c r="S5890" s="93"/>
    </row>
    <row r="5891" spans="7:19" x14ac:dyDescent="0.25">
      <c r="G5891" s="81"/>
      <c r="S5891" s="93"/>
    </row>
    <row r="5892" spans="7:19" x14ac:dyDescent="0.25">
      <c r="G5892" s="81"/>
      <c r="S5892" s="93"/>
    </row>
    <row r="5893" spans="7:19" x14ac:dyDescent="0.25">
      <c r="G5893" s="81"/>
      <c r="S5893" s="93"/>
    </row>
    <row r="5894" spans="7:19" x14ac:dyDescent="0.25">
      <c r="G5894" s="81"/>
      <c r="S5894" s="93"/>
    </row>
    <row r="5895" spans="7:19" x14ac:dyDescent="0.25">
      <c r="G5895" s="81"/>
      <c r="S5895" s="93"/>
    </row>
    <row r="5896" spans="7:19" x14ac:dyDescent="0.25">
      <c r="G5896" s="81"/>
      <c r="S5896" s="93"/>
    </row>
    <row r="5897" spans="7:19" x14ac:dyDescent="0.25">
      <c r="G5897" s="81"/>
      <c r="S5897" s="93"/>
    </row>
    <row r="5898" spans="7:19" x14ac:dyDescent="0.25">
      <c r="G5898" s="81"/>
      <c r="S5898" s="93"/>
    </row>
    <row r="5899" spans="7:19" x14ac:dyDescent="0.25">
      <c r="G5899" s="81"/>
      <c r="S5899" s="93"/>
    </row>
    <row r="5900" spans="7:19" x14ac:dyDescent="0.25">
      <c r="G5900" s="81"/>
      <c r="S5900" s="93"/>
    </row>
    <row r="5901" spans="7:19" x14ac:dyDescent="0.25">
      <c r="G5901" s="81"/>
      <c r="S5901" s="93"/>
    </row>
    <row r="5902" spans="7:19" x14ac:dyDescent="0.25">
      <c r="G5902" s="81"/>
      <c r="S5902" s="93"/>
    </row>
    <row r="5903" spans="7:19" x14ac:dyDescent="0.25">
      <c r="G5903" s="81"/>
      <c r="S5903" s="93"/>
    </row>
    <row r="5904" spans="7:19" x14ac:dyDescent="0.25">
      <c r="G5904" s="81"/>
      <c r="S5904" s="93"/>
    </row>
    <row r="5905" spans="7:19" x14ac:dyDescent="0.25">
      <c r="G5905" s="81"/>
      <c r="S5905" s="93"/>
    </row>
    <row r="5906" spans="7:19" x14ac:dyDescent="0.25">
      <c r="G5906" s="81"/>
      <c r="S5906" s="93"/>
    </row>
    <row r="5907" spans="7:19" x14ac:dyDescent="0.25">
      <c r="G5907" s="81"/>
      <c r="S5907" s="93"/>
    </row>
    <row r="5908" spans="7:19" x14ac:dyDescent="0.25">
      <c r="G5908" s="81"/>
      <c r="S5908" s="93"/>
    </row>
    <row r="5909" spans="7:19" x14ac:dyDescent="0.25">
      <c r="G5909" s="81"/>
      <c r="S5909" s="93"/>
    </row>
    <row r="5910" spans="7:19" x14ac:dyDescent="0.25">
      <c r="G5910" s="81"/>
      <c r="S5910" s="93"/>
    </row>
    <row r="5911" spans="7:19" x14ac:dyDescent="0.25">
      <c r="G5911" s="81"/>
      <c r="S5911" s="93"/>
    </row>
    <row r="5912" spans="7:19" x14ac:dyDescent="0.25">
      <c r="G5912" s="81"/>
      <c r="S5912" s="93"/>
    </row>
    <row r="5913" spans="7:19" x14ac:dyDescent="0.25">
      <c r="G5913" s="81"/>
      <c r="S5913" s="93"/>
    </row>
    <row r="5914" spans="7:19" x14ac:dyDescent="0.25">
      <c r="G5914" s="81"/>
      <c r="S5914" s="93"/>
    </row>
    <row r="5915" spans="7:19" x14ac:dyDescent="0.25">
      <c r="G5915" s="81"/>
      <c r="S5915" s="93"/>
    </row>
    <row r="5916" spans="7:19" x14ac:dyDescent="0.25">
      <c r="G5916" s="81"/>
      <c r="S5916" s="93"/>
    </row>
    <row r="5917" spans="7:19" x14ac:dyDescent="0.25">
      <c r="G5917" s="81"/>
      <c r="S5917" s="93"/>
    </row>
    <row r="5918" spans="7:19" x14ac:dyDescent="0.25">
      <c r="G5918" s="81"/>
      <c r="S5918" s="93"/>
    </row>
    <row r="5919" spans="7:19" x14ac:dyDescent="0.25">
      <c r="G5919" s="81"/>
      <c r="S5919" s="93"/>
    </row>
    <row r="5920" spans="7:19" x14ac:dyDescent="0.25">
      <c r="G5920" s="81"/>
      <c r="S5920" s="93"/>
    </row>
    <row r="5921" spans="7:19" x14ac:dyDescent="0.25">
      <c r="G5921" s="81"/>
      <c r="S5921" s="93"/>
    </row>
    <row r="5922" spans="7:19" x14ac:dyDescent="0.25">
      <c r="G5922" s="81"/>
      <c r="S5922" s="93"/>
    </row>
    <row r="5923" spans="7:19" x14ac:dyDescent="0.25">
      <c r="G5923" s="81"/>
      <c r="S5923" s="93"/>
    </row>
    <row r="5924" spans="7:19" x14ac:dyDescent="0.25">
      <c r="G5924" s="81"/>
      <c r="S5924" s="93"/>
    </row>
    <row r="5925" spans="7:19" x14ac:dyDescent="0.25">
      <c r="G5925" s="81"/>
      <c r="S5925" s="93"/>
    </row>
    <row r="5926" spans="7:19" x14ac:dyDescent="0.25">
      <c r="G5926" s="81"/>
      <c r="S5926" s="93"/>
    </row>
    <row r="5927" spans="7:19" x14ac:dyDescent="0.25">
      <c r="G5927" s="81"/>
      <c r="S5927" s="93"/>
    </row>
    <row r="5928" spans="7:19" x14ac:dyDescent="0.25">
      <c r="G5928" s="81"/>
      <c r="S5928" s="93"/>
    </row>
    <row r="5929" spans="7:19" x14ac:dyDescent="0.25">
      <c r="G5929" s="81"/>
      <c r="S5929" s="93"/>
    </row>
    <row r="5930" spans="7:19" x14ac:dyDescent="0.25">
      <c r="G5930" s="81"/>
      <c r="S5930" s="93"/>
    </row>
    <row r="5931" spans="7:19" x14ac:dyDescent="0.25">
      <c r="G5931" s="81"/>
      <c r="S5931" s="93"/>
    </row>
    <row r="5932" spans="7:19" x14ac:dyDescent="0.25">
      <c r="G5932" s="81"/>
      <c r="S5932" s="93"/>
    </row>
    <row r="5933" spans="7:19" x14ac:dyDescent="0.25">
      <c r="G5933" s="81"/>
      <c r="S5933" s="93"/>
    </row>
    <row r="5934" spans="7:19" x14ac:dyDescent="0.25">
      <c r="G5934" s="81"/>
      <c r="S5934" s="93"/>
    </row>
    <row r="5935" spans="7:19" x14ac:dyDescent="0.25">
      <c r="G5935" s="81"/>
      <c r="S5935" s="93"/>
    </row>
    <row r="5936" spans="7:19" x14ac:dyDescent="0.25">
      <c r="G5936" s="81"/>
      <c r="S5936" s="93"/>
    </row>
    <row r="5937" spans="7:19" x14ac:dyDescent="0.25">
      <c r="G5937" s="81"/>
      <c r="S5937" s="93"/>
    </row>
    <row r="5938" spans="7:19" x14ac:dyDescent="0.25">
      <c r="G5938" s="81"/>
      <c r="S5938" s="93"/>
    </row>
    <row r="5939" spans="7:19" x14ac:dyDescent="0.25">
      <c r="G5939" s="81"/>
      <c r="S5939" s="93"/>
    </row>
    <row r="5940" spans="7:19" x14ac:dyDescent="0.25">
      <c r="G5940" s="81"/>
      <c r="S5940" s="93"/>
    </row>
    <row r="5941" spans="7:19" x14ac:dyDescent="0.25">
      <c r="G5941" s="81"/>
      <c r="S5941" s="93"/>
    </row>
    <row r="5942" spans="7:19" x14ac:dyDescent="0.25">
      <c r="G5942" s="81"/>
      <c r="S5942" s="93"/>
    </row>
    <row r="5943" spans="7:19" x14ac:dyDescent="0.25">
      <c r="G5943" s="81"/>
      <c r="S5943" s="93"/>
    </row>
    <row r="5944" spans="7:19" x14ac:dyDescent="0.25">
      <c r="G5944" s="81"/>
      <c r="S5944" s="93"/>
    </row>
    <row r="5945" spans="7:19" x14ac:dyDescent="0.25">
      <c r="G5945" s="81"/>
      <c r="S5945" s="93"/>
    </row>
    <row r="5946" spans="7:19" x14ac:dyDescent="0.25">
      <c r="G5946" s="81"/>
      <c r="S5946" s="93"/>
    </row>
    <row r="5947" spans="7:19" x14ac:dyDescent="0.25">
      <c r="G5947" s="81"/>
      <c r="S5947" s="93"/>
    </row>
    <row r="5948" spans="7:19" x14ac:dyDescent="0.25">
      <c r="G5948" s="81"/>
      <c r="S5948" s="93"/>
    </row>
    <row r="5949" spans="7:19" x14ac:dyDescent="0.25">
      <c r="G5949" s="81"/>
      <c r="S5949" s="93"/>
    </row>
    <row r="5950" spans="7:19" x14ac:dyDescent="0.25">
      <c r="G5950" s="81"/>
      <c r="S5950" s="93"/>
    </row>
    <row r="5951" spans="7:19" x14ac:dyDescent="0.25">
      <c r="G5951" s="81"/>
      <c r="S5951" s="93"/>
    </row>
    <row r="5952" spans="7:19" x14ac:dyDescent="0.25">
      <c r="G5952" s="81"/>
      <c r="S5952" s="93"/>
    </row>
    <row r="5953" spans="7:19" x14ac:dyDescent="0.25">
      <c r="G5953" s="81"/>
      <c r="S5953" s="93"/>
    </row>
    <row r="5954" spans="7:19" x14ac:dyDescent="0.25">
      <c r="G5954" s="81"/>
      <c r="S5954" s="93"/>
    </row>
    <row r="5955" spans="7:19" x14ac:dyDescent="0.25">
      <c r="G5955" s="81"/>
      <c r="S5955" s="93"/>
    </row>
    <row r="5956" spans="7:19" x14ac:dyDescent="0.25">
      <c r="G5956" s="81"/>
      <c r="S5956" s="93"/>
    </row>
    <row r="5957" spans="7:19" x14ac:dyDescent="0.25">
      <c r="G5957" s="81"/>
      <c r="S5957" s="93"/>
    </row>
    <row r="5958" spans="7:19" x14ac:dyDescent="0.25">
      <c r="G5958" s="81"/>
      <c r="S5958" s="93"/>
    </row>
    <row r="5959" spans="7:19" x14ac:dyDescent="0.25">
      <c r="G5959" s="81"/>
      <c r="S5959" s="93"/>
    </row>
    <row r="5960" spans="7:19" x14ac:dyDescent="0.25">
      <c r="G5960" s="81"/>
      <c r="S5960" s="93"/>
    </row>
    <row r="5961" spans="7:19" x14ac:dyDescent="0.25">
      <c r="G5961" s="81"/>
      <c r="S5961" s="93"/>
    </row>
    <row r="5962" spans="7:19" x14ac:dyDescent="0.25">
      <c r="G5962" s="81"/>
      <c r="S5962" s="93"/>
    </row>
    <row r="5963" spans="7:19" x14ac:dyDescent="0.25">
      <c r="G5963" s="81"/>
      <c r="S5963" s="93"/>
    </row>
    <row r="5964" spans="7:19" x14ac:dyDescent="0.25">
      <c r="G5964" s="81"/>
      <c r="S5964" s="93"/>
    </row>
    <row r="5965" spans="7:19" x14ac:dyDescent="0.25">
      <c r="G5965" s="81"/>
      <c r="S5965" s="93"/>
    </row>
    <row r="5966" spans="7:19" x14ac:dyDescent="0.25">
      <c r="G5966" s="81"/>
      <c r="S5966" s="93"/>
    </row>
    <row r="5967" spans="7:19" x14ac:dyDescent="0.25">
      <c r="G5967" s="81"/>
      <c r="S5967" s="93"/>
    </row>
    <row r="5968" spans="7:19" x14ac:dyDescent="0.25">
      <c r="G5968" s="81"/>
      <c r="S5968" s="93"/>
    </row>
    <row r="5969" spans="7:19" x14ac:dyDescent="0.25">
      <c r="G5969" s="81"/>
      <c r="S5969" s="93"/>
    </row>
    <row r="5970" spans="7:19" x14ac:dyDescent="0.25">
      <c r="G5970" s="81"/>
      <c r="S5970" s="93"/>
    </row>
    <row r="5971" spans="7:19" x14ac:dyDescent="0.25">
      <c r="G5971" s="81"/>
      <c r="S5971" s="93"/>
    </row>
    <row r="5972" spans="7:19" x14ac:dyDescent="0.25">
      <c r="G5972" s="81"/>
      <c r="S5972" s="93"/>
    </row>
    <row r="5973" spans="7:19" x14ac:dyDescent="0.25">
      <c r="G5973" s="81"/>
      <c r="S5973" s="93"/>
    </row>
    <row r="5974" spans="7:19" x14ac:dyDescent="0.25">
      <c r="G5974" s="81"/>
      <c r="S5974" s="93"/>
    </row>
    <row r="5975" spans="7:19" x14ac:dyDescent="0.25">
      <c r="G5975" s="81"/>
      <c r="S5975" s="93"/>
    </row>
    <row r="5976" spans="7:19" x14ac:dyDescent="0.25">
      <c r="G5976" s="81"/>
      <c r="S5976" s="93"/>
    </row>
    <row r="5977" spans="7:19" x14ac:dyDescent="0.25">
      <c r="G5977" s="81"/>
      <c r="S5977" s="93"/>
    </row>
    <row r="5978" spans="7:19" x14ac:dyDescent="0.25">
      <c r="G5978" s="81"/>
      <c r="S5978" s="93"/>
    </row>
    <row r="5979" spans="7:19" x14ac:dyDescent="0.25">
      <c r="G5979" s="81"/>
      <c r="S5979" s="93"/>
    </row>
    <row r="5980" spans="7:19" x14ac:dyDescent="0.25">
      <c r="G5980" s="81"/>
      <c r="S5980" s="93"/>
    </row>
    <row r="5981" spans="7:19" x14ac:dyDescent="0.25">
      <c r="G5981" s="81"/>
      <c r="S5981" s="93"/>
    </row>
    <row r="5982" spans="7:19" x14ac:dyDescent="0.25">
      <c r="G5982" s="81"/>
      <c r="S5982" s="93"/>
    </row>
    <row r="5983" spans="7:19" x14ac:dyDescent="0.25">
      <c r="G5983" s="81"/>
      <c r="S5983" s="93"/>
    </row>
    <row r="5984" spans="7:19" x14ac:dyDescent="0.25">
      <c r="G5984" s="81"/>
      <c r="S5984" s="93"/>
    </row>
    <row r="5985" spans="7:19" x14ac:dyDescent="0.25">
      <c r="G5985" s="81"/>
      <c r="S5985" s="93"/>
    </row>
    <row r="5986" spans="7:19" x14ac:dyDescent="0.25">
      <c r="G5986" s="81"/>
      <c r="S5986" s="93"/>
    </row>
    <row r="5987" spans="7:19" x14ac:dyDescent="0.25">
      <c r="G5987" s="81"/>
      <c r="S5987" s="93"/>
    </row>
    <row r="5988" spans="7:19" x14ac:dyDescent="0.25">
      <c r="G5988" s="81"/>
      <c r="S5988" s="93"/>
    </row>
    <row r="5989" spans="7:19" x14ac:dyDescent="0.25">
      <c r="G5989" s="81"/>
      <c r="S5989" s="93"/>
    </row>
    <row r="5990" spans="7:19" x14ac:dyDescent="0.25">
      <c r="G5990" s="81"/>
      <c r="S5990" s="93"/>
    </row>
    <row r="5991" spans="7:19" x14ac:dyDescent="0.25">
      <c r="G5991" s="81"/>
      <c r="S5991" s="93"/>
    </row>
    <row r="5992" spans="7:19" x14ac:dyDescent="0.25">
      <c r="G5992" s="81"/>
      <c r="S5992" s="93"/>
    </row>
    <row r="5993" spans="7:19" x14ac:dyDescent="0.25">
      <c r="G5993" s="81"/>
      <c r="S5993" s="93"/>
    </row>
    <row r="5994" spans="7:19" x14ac:dyDescent="0.25">
      <c r="G5994" s="81"/>
      <c r="S5994" s="93"/>
    </row>
    <row r="5995" spans="7:19" x14ac:dyDescent="0.25">
      <c r="G5995" s="81"/>
      <c r="S5995" s="93"/>
    </row>
    <row r="5996" spans="7:19" x14ac:dyDescent="0.25">
      <c r="G5996" s="81"/>
      <c r="S5996" s="93"/>
    </row>
    <row r="5997" spans="7:19" x14ac:dyDescent="0.25">
      <c r="G5997" s="81"/>
      <c r="S5997" s="93"/>
    </row>
    <row r="5998" spans="7:19" x14ac:dyDescent="0.25">
      <c r="G5998" s="81"/>
      <c r="S5998" s="93"/>
    </row>
    <row r="5999" spans="7:19" x14ac:dyDescent="0.25">
      <c r="G5999" s="81"/>
      <c r="S5999" s="93"/>
    </row>
    <row r="6000" spans="7:19" x14ac:dyDescent="0.25">
      <c r="G6000" s="81"/>
      <c r="S6000" s="93"/>
    </row>
    <row r="6001" spans="7:19" x14ac:dyDescent="0.25">
      <c r="G6001" s="81"/>
      <c r="S6001" s="93"/>
    </row>
    <row r="6002" spans="7:19" x14ac:dyDescent="0.25">
      <c r="G6002" s="81"/>
      <c r="S6002" s="93"/>
    </row>
    <row r="6003" spans="7:19" x14ac:dyDescent="0.25">
      <c r="G6003" s="81"/>
      <c r="S6003" s="93"/>
    </row>
    <row r="6004" spans="7:19" x14ac:dyDescent="0.25">
      <c r="G6004" s="81"/>
      <c r="S6004" s="93"/>
    </row>
    <row r="6005" spans="7:19" x14ac:dyDescent="0.25">
      <c r="G6005" s="81"/>
      <c r="S6005" s="93"/>
    </row>
    <row r="6006" spans="7:19" x14ac:dyDescent="0.25">
      <c r="G6006" s="81"/>
      <c r="S6006" s="93"/>
    </row>
    <row r="6007" spans="7:19" x14ac:dyDescent="0.25">
      <c r="G6007" s="81"/>
      <c r="S6007" s="93"/>
    </row>
    <row r="6008" spans="7:19" x14ac:dyDescent="0.25">
      <c r="G6008" s="81"/>
      <c r="S6008" s="93"/>
    </row>
    <row r="6009" spans="7:19" x14ac:dyDescent="0.25">
      <c r="G6009" s="81"/>
      <c r="S6009" s="93"/>
    </row>
    <row r="6010" spans="7:19" x14ac:dyDescent="0.25">
      <c r="G6010" s="81"/>
      <c r="S6010" s="93"/>
    </row>
    <row r="6011" spans="7:19" x14ac:dyDescent="0.25">
      <c r="G6011" s="81"/>
      <c r="S6011" s="93"/>
    </row>
    <row r="6012" spans="7:19" x14ac:dyDescent="0.25">
      <c r="G6012" s="81"/>
      <c r="S6012" s="93"/>
    </row>
    <row r="6013" spans="7:19" x14ac:dyDescent="0.25">
      <c r="G6013" s="81"/>
      <c r="S6013" s="93"/>
    </row>
    <row r="6014" spans="7:19" x14ac:dyDescent="0.25">
      <c r="G6014" s="81"/>
      <c r="S6014" s="93"/>
    </row>
    <row r="6015" spans="7:19" x14ac:dyDescent="0.25">
      <c r="G6015" s="81"/>
      <c r="S6015" s="93"/>
    </row>
    <row r="6016" spans="7:19" x14ac:dyDescent="0.25">
      <c r="G6016" s="81"/>
      <c r="S6016" s="93"/>
    </row>
    <row r="6017" spans="7:19" x14ac:dyDescent="0.25">
      <c r="G6017" s="81"/>
      <c r="S6017" s="93"/>
    </row>
    <row r="6018" spans="7:19" x14ac:dyDescent="0.25">
      <c r="G6018" s="81"/>
      <c r="S6018" s="93"/>
    </row>
    <row r="6019" spans="7:19" x14ac:dyDescent="0.25">
      <c r="G6019" s="81"/>
      <c r="S6019" s="93"/>
    </row>
    <row r="6020" spans="7:19" x14ac:dyDescent="0.25">
      <c r="G6020" s="81"/>
      <c r="S6020" s="93"/>
    </row>
    <row r="6021" spans="7:19" x14ac:dyDescent="0.25">
      <c r="G6021" s="81"/>
      <c r="S6021" s="93"/>
    </row>
    <row r="6022" spans="7:19" x14ac:dyDescent="0.25">
      <c r="G6022" s="81"/>
      <c r="S6022" s="93"/>
    </row>
    <row r="6023" spans="7:19" x14ac:dyDescent="0.25">
      <c r="G6023" s="81"/>
      <c r="S6023" s="93"/>
    </row>
    <row r="6024" spans="7:19" x14ac:dyDescent="0.25">
      <c r="G6024" s="81"/>
      <c r="S6024" s="93"/>
    </row>
    <row r="6025" spans="7:19" x14ac:dyDescent="0.25">
      <c r="G6025" s="81"/>
      <c r="S6025" s="93"/>
    </row>
    <row r="6026" spans="7:19" x14ac:dyDescent="0.25">
      <c r="G6026" s="81"/>
      <c r="S6026" s="93"/>
    </row>
    <row r="6027" spans="7:19" x14ac:dyDescent="0.25">
      <c r="G6027" s="81"/>
      <c r="S6027" s="93"/>
    </row>
    <row r="6028" spans="7:19" x14ac:dyDescent="0.25">
      <c r="G6028" s="81"/>
      <c r="S6028" s="93"/>
    </row>
    <row r="6029" spans="7:19" x14ac:dyDescent="0.25">
      <c r="G6029" s="81"/>
      <c r="S6029" s="93"/>
    </row>
    <row r="6030" spans="7:19" x14ac:dyDescent="0.25">
      <c r="G6030" s="81"/>
      <c r="S6030" s="93"/>
    </row>
    <row r="6031" spans="7:19" x14ac:dyDescent="0.25">
      <c r="G6031" s="81"/>
      <c r="S6031" s="93"/>
    </row>
    <row r="6032" spans="7:19" x14ac:dyDescent="0.25">
      <c r="G6032" s="81"/>
      <c r="S6032" s="93"/>
    </row>
    <row r="6033" spans="7:19" x14ac:dyDescent="0.25">
      <c r="G6033" s="81"/>
      <c r="S6033" s="93"/>
    </row>
    <row r="6034" spans="7:19" x14ac:dyDescent="0.25">
      <c r="G6034" s="81"/>
      <c r="S6034" s="93"/>
    </row>
    <row r="6035" spans="7:19" x14ac:dyDescent="0.25">
      <c r="G6035" s="81"/>
      <c r="S6035" s="93"/>
    </row>
    <row r="6036" spans="7:19" x14ac:dyDescent="0.25">
      <c r="G6036" s="81"/>
      <c r="S6036" s="93"/>
    </row>
    <row r="6037" spans="7:19" x14ac:dyDescent="0.25">
      <c r="G6037" s="81"/>
      <c r="S6037" s="93"/>
    </row>
    <row r="6038" spans="7:19" x14ac:dyDescent="0.25">
      <c r="G6038" s="81"/>
      <c r="S6038" s="93"/>
    </row>
    <row r="6039" spans="7:19" x14ac:dyDescent="0.25">
      <c r="G6039" s="81"/>
      <c r="S6039" s="93"/>
    </row>
    <row r="6040" spans="7:19" x14ac:dyDescent="0.25">
      <c r="G6040" s="81"/>
      <c r="S6040" s="93"/>
    </row>
    <row r="6041" spans="7:19" x14ac:dyDescent="0.25">
      <c r="G6041" s="81"/>
      <c r="S6041" s="93"/>
    </row>
    <row r="6042" spans="7:19" x14ac:dyDescent="0.25">
      <c r="G6042" s="81"/>
      <c r="S6042" s="93"/>
    </row>
    <row r="6043" spans="7:19" x14ac:dyDescent="0.25">
      <c r="G6043" s="81"/>
      <c r="S6043" s="93"/>
    </row>
    <row r="6044" spans="7:19" x14ac:dyDescent="0.25">
      <c r="G6044" s="81"/>
      <c r="S6044" s="93"/>
    </row>
    <row r="6045" spans="7:19" x14ac:dyDescent="0.25">
      <c r="G6045" s="81"/>
      <c r="S6045" s="93"/>
    </row>
    <row r="6046" spans="7:19" x14ac:dyDescent="0.25">
      <c r="G6046" s="81"/>
      <c r="S6046" s="93"/>
    </row>
    <row r="6047" spans="7:19" x14ac:dyDescent="0.25">
      <c r="G6047" s="81"/>
      <c r="S6047" s="93"/>
    </row>
    <row r="6048" spans="7:19" x14ac:dyDescent="0.25">
      <c r="G6048" s="81"/>
      <c r="S6048" s="93"/>
    </row>
    <row r="6049" spans="7:19" x14ac:dyDescent="0.25">
      <c r="G6049" s="81"/>
      <c r="S6049" s="93"/>
    </row>
    <row r="6050" spans="7:19" x14ac:dyDescent="0.25">
      <c r="G6050" s="81"/>
      <c r="S6050" s="93"/>
    </row>
    <row r="6051" spans="7:19" x14ac:dyDescent="0.25">
      <c r="G6051" s="81"/>
      <c r="S6051" s="93"/>
    </row>
    <row r="6052" spans="7:19" x14ac:dyDescent="0.25">
      <c r="G6052" s="81"/>
      <c r="S6052" s="93"/>
    </row>
    <row r="6053" spans="7:19" x14ac:dyDescent="0.25">
      <c r="G6053" s="81"/>
      <c r="S6053" s="93"/>
    </row>
    <row r="6054" spans="7:19" x14ac:dyDescent="0.25">
      <c r="G6054" s="81"/>
      <c r="S6054" s="93"/>
    </row>
    <row r="6055" spans="7:19" x14ac:dyDescent="0.25">
      <c r="G6055" s="81"/>
      <c r="S6055" s="93"/>
    </row>
    <row r="6056" spans="7:19" x14ac:dyDescent="0.25">
      <c r="G6056" s="81"/>
      <c r="S6056" s="93"/>
    </row>
    <row r="6057" spans="7:19" x14ac:dyDescent="0.25">
      <c r="G6057" s="81"/>
      <c r="S6057" s="93"/>
    </row>
    <row r="6058" spans="7:19" x14ac:dyDescent="0.25">
      <c r="G6058" s="81"/>
      <c r="S6058" s="93"/>
    </row>
    <row r="6059" spans="7:19" x14ac:dyDescent="0.25">
      <c r="G6059" s="81"/>
      <c r="S6059" s="93"/>
    </row>
    <row r="6060" spans="7:19" x14ac:dyDescent="0.25">
      <c r="G6060" s="81"/>
      <c r="S6060" s="93"/>
    </row>
    <row r="6061" spans="7:19" x14ac:dyDescent="0.25">
      <c r="G6061" s="81"/>
      <c r="S6061" s="93"/>
    </row>
    <row r="6062" spans="7:19" x14ac:dyDescent="0.25">
      <c r="G6062" s="81"/>
      <c r="S6062" s="93"/>
    </row>
    <row r="6063" spans="7:19" x14ac:dyDescent="0.25">
      <c r="G6063" s="81"/>
      <c r="S6063" s="93"/>
    </row>
    <row r="6064" spans="7:19" x14ac:dyDescent="0.25">
      <c r="G6064" s="81"/>
      <c r="S6064" s="93"/>
    </row>
    <row r="6065" spans="7:19" x14ac:dyDescent="0.25">
      <c r="G6065" s="81"/>
      <c r="S6065" s="93"/>
    </row>
    <row r="6066" spans="7:19" x14ac:dyDescent="0.25">
      <c r="G6066" s="81"/>
      <c r="S6066" s="93"/>
    </row>
    <row r="6067" spans="7:19" x14ac:dyDescent="0.25">
      <c r="G6067" s="81"/>
      <c r="S6067" s="93"/>
    </row>
    <row r="6068" spans="7:19" x14ac:dyDescent="0.25">
      <c r="G6068" s="81"/>
      <c r="S6068" s="93"/>
    </row>
    <row r="6069" spans="7:19" x14ac:dyDescent="0.25">
      <c r="G6069" s="81"/>
      <c r="S6069" s="93"/>
    </row>
    <row r="6070" spans="7:19" x14ac:dyDescent="0.25">
      <c r="G6070" s="81"/>
      <c r="S6070" s="93"/>
    </row>
    <row r="6071" spans="7:19" x14ac:dyDescent="0.25">
      <c r="G6071" s="81"/>
      <c r="S6071" s="93"/>
    </row>
    <row r="6072" spans="7:19" x14ac:dyDescent="0.25">
      <c r="G6072" s="81"/>
      <c r="S6072" s="93"/>
    </row>
    <row r="6073" spans="7:19" x14ac:dyDescent="0.25">
      <c r="G6073" s="81"/>
      <c r="S6073" s="93"/>
    </row>
    <row r="6074" spans="7:19" x14ac:dyDescent="0.25">
      <c r="G6074" s="81"/>
      <c r="S6074" s="93"/>
    </row>
    <row r="6075" spans="7:19" x14ac:dyDescent="0.25">
      <c r="G6075" s="81"/>
      <c r="S6075" s="93"/>
    </row>
    <row r="6076" spans="7:19" x14ac:dyDescent="0.25">
      <c r="G6076" s="81"/>
      <c r="S6076" s="93"/>
    </row>
    <row r="6077" spans="7:19" x14ac:dyDescent="0.25">
      <c r="G6077" s="81"/>
      <c r="S6077" s="93"/>
    </row>
    <row r="6078" spans="7:19" x14ac:dyDescent="0.25">
      <c r="G6078" s="81"/>
      <c r="S6078" s="93"/>
    </row>
    <row r="6079" spans="7:19" x14ac:dyDescent="0.25">
      <c r="G6079" s="81"/>
      <c r="S6079" s="93"/>
    </row>
    <row r="6080" spans="7:19" x14ac:dyDescent="0.25">
      <c r="G6080" s="81"/>
      <c r="S6080" s="93"/>
    </row>
    <row r="6081" spans="7:19" x14ac:dyDescent="0.25">
      <c r="G6081" s="81"/>
      <c r="S6081" s="93"/>
    </row>
    <row r="6082" spans="7:19" x14ac:dyDescent="0.25">
      <c r="G6082" s="81"/>
      <c r="S6082" s="93"/>
    </row>
    <row r="6083" spans="7:19" x14ac:dyDescent="0.25">
      <c r="G6083" s="81"/>
      <c r="S6083" s="93"/>
    </row>
    <row r="6084" spans="7:19" x14ac:dyDescent="0.25">
      <c r="G6084" s="81"/>
      <c r="S6084" s="93"/>
    </row>
    <row r="6085" spans="7:19" x14ac:dyDescent="0.25">
      <c r="G6085" s="81"/>
      <c r="S6085" s="93"/>
    </row>
    <row r="6086" spans="7:19" x14ac:dyDescent="0.25">
      <c r="G6086" s="81"/>
      <c r="S6086" s="93"/>
    </row>
    <row r="6087" spans="7:19" x14ac:dyDescent="0.25">
      <c r="G6087" s="81"/>
      <c r="S6087" s="93"/>
    </row>
    <row r="6088" spans="7:19" x14ac:dyDescent="0.25">
      <c r="G6088" s="81"/>
      <c r="S6088" s="93"/>
    </row>
    <row r="6089" spans="7:19" x14ac:dyDescent="0.25">
      <c r="G6089" s="81"/>
      <c r="S6089" s="93"/>
    </row>
    <row r="6090" spans="7:19" x14ac:dyDescent="0.25">
      <c r="G6090" s="81"/>
      <c r="S6090" s="93"/>
    </row>
    <row r="6091" spans="7:19" x14ac:dyDescent="0.25">
      <c r="G6091" s="81"/>
      <c r="S6091" s="93"/>
    </row>
    <row r="6092" spans="7:19" x14ac:dyDescent="0.25">
      <c r="G6092" s="81"/>
      <c r="S6092" s="93"/>
    </row>
    <row r="6093" spans="7:19" x14ac:dyDescent="0.25">
      <c r="G6093" s="81"/>
      <c r="S6093" s="93"/>
    </row>
    <row r="6094" spans="7:19" x14ac:dyDescent="0.25">
      <c r="G6094" s="81"/>
      <c r="S6094" s="93"/>
    </row>
    <row r="6095" spans="7:19" x14ac:dyDescent="0.25">
      <c r="G6095" s="81"/>
      <c r="S6095" s="93"/>
    </row>
    <row r="6096" spans="7:19" x14ac:dyDescent="0.25">
      <c r="G6096" s="81"/>
      <c r="S6096" s="93"/>
    </row>
    <row r="6097" spans="7:19" x14ac:dyDescent="0.25">
      <c r="G6097" s="81"/>
      <c r="S6097" s="93"/>
    </row>
    <row r="6098" spans="7:19" x14ac:dyDescent="0.25">
      <c r="G6098" s="81"/>
      <c r="S6098" s="93"/>
    </row>
    <row r="6099" spans="7:19" x14ac:dyDescent="0.25">
      <c r="G6099" s="81"/>
      <c r="S6099" s="93"/>
    </row>
    <row r="6100" spans="7:19" x14ac:dyDescent="0.25">
      <c r="G6100" s="81"/>
      <c r="S6100" s="93"/>
    </row>
    <row r="6101" spans="7:19" x14ac:dyDescent="0.25">
      <c r="G6101" s="81"/>
      <c r="S6101" s="93"/>
    </row>
    <row r="6102" spans="7:19" x14ac:dyDescent="0.25">
      <c r="G6102" s="81"/>
      <c r="S6102" s="93"/>
    </row>
    <row r="6103" spans="7:19" x14ac:dyDescent="0.25">
      <c r="G6103" s="81"/>
      <c r="S6103" s="93"/>
    </row>
    <row r="6104" spans="7:19" x14ac:dyDescent="0.25">
      <c r="G6104" s="81"/>
      <c r="S6104" s="93"/>
    </row>
    <row r="6105" spans="7:19" x14ac:dyDescent="0.25">
      <c r="G6105" s="81"/>
      <c r="S6105" s="93"/>
    </row>
    <row r="6106" spans="7:19" x14ac:dyDescent="0.25">
      <c r="G6106" s="81"/>
      <c r="S6106" s="93"/>
    </row>
    <row r="6107" spans="7:19" x14ac:dyDescent="0.25">
      <c r="G6107" s="81"/>
      <c r="S6107" s="93"/>
    </row>
    <row r="6108" spans="7:19" x14ac:dyDescent="0.25">
      <c r="G6108" s="81"/>
      <c r="S6108" s="93"/>
    </row>
    <row r="6109" spans="7:19" x14ac:dyDescent="0.25">
      <c r="G6109" s="81"/>
      <c r="S6109" s="93"/>
    </row>
    <row r="6110" spans="7:19" x14ac:dyDescent="0.25">
      <c r="G6110" s="81"/>
      <c r="S6110" s="93"/>
    </row>
    <row r="6111" spans="7:19" x14ac:dyDescent="0.25">
      <c r="G6111" s="81"/>
      <c r="S6111" s="93"/>
    </row>
    <row r="6112" spans="7:19" x14ac:dyDescent="0.25">
      <c r="G6112" s="81"/>
      <c r="S6112" s="93"/>
    </row>
    <row r="6113" spans="7:19" x14ac:dyDescent="0.25">
      <c r="G6113" s="81"/>
      <c r="S6113" s="93"/>
    </row>
    <row r="6114" spans="7:19" x14ac:dyDescent="0.25">
      <c r="G6114" s="81"/>
      <c r="S6114" s="93"/>
    </row>
    <row r="6115" spans="7:19" x14ac:dyDescent="0.25">
      <c r="G6115" s="81"/>
      <c r="S6115" s="93"/>
    </row>
    <row r="6116" spans="7:19" x14ac:dyDescent="0.25">
      <c r="G6116" s="81"/>
      <c r="S6116" s="93"/>
    </row>
    <row r="6117" spans="7:19" x14ac:dyDescent="0.25">
      <c r="G6117" s="81"/>
      <c r="S6117" s="93"/>
    </row>
    <row r="6118" spans="7:19" x14ac:dyDescent="0.25">
      <c r="G6118" s="81"/>
      <c r="S6118" s="93"/>
    </row>
    <row r="6119" spans="7:19" x14ac:dyDescent="0.25">
      <c r="G6119" s="81"/>
      <c r="S6119" s="93"/>
    </row>
    <row r="6120" spans="7:19" x14ac:dyDescent="0.25">
      <c r="G6120" s="81"/>
      <c r="S6120" s="93"/>
    </row>
    <row r="6121" spans="7:19" x14ac:dyDescent="0.25">
      <c r="G6121" s="81"/>
      <c r="S6121" s="93"/>
    </row>
    <row r="6122" spans="7:19" x14ac:dyDescent="0.25">
      <c r="G6122" s="81"/>
      <c r="S6122" s="93"/>
    </row>
    <row r="6123" spans="7:19" x14ac:dyDescent="0.25">
      <c r="G6123" s="81"/>
      <c r="S6123" s="93"/>
    </row>
    <row r="6124" spans="7:19" x14ac:dyDescent="0.25">
      <c r="G6124" s="81"/>
      <c r="S6124" s="93"/>
    </row>
    <row r="6125" spans="7:19" x14ac:dyDescent="0.25">
      <c r="G6125" s="81"/>
      <c r="S6125" s="93"/>
    </row>
    <row r="6126" spans="7:19" x14ac:dyDescent="0.25">
      <c r="G6126" s="81"/>
      <c r="S6126" s="93"/>
    </row>
    <row r="6127" spans="7:19" x14ac:dyDescent="0.25">
      <c r="G6127" s="81"/>
      <c r="S6127" s="93"/>
    </row>
    <row r="6128" spans="7:19" x14ac:dyDescent="0.25">
      <c r="G6128" s="81"/>
      <c r="S6128" s="93"/>
    </row>
    <row r="6129" spans="7:19" x14ac:dyDescent="0.25">
      <c r="G6129" s="81"/>
      <c r="S6129" s="93"/>
    </row>
    <row r="6130" spans="7:19" x14ac:dyDescent="0.25">
      <c r="G6130" s="81"/>
      <c r="S6130" s="93"/>
    </row>
    <row r="6131" spans="7:19" x14ac:dyDescent="0.25">
      <c r="G6131" s="81"/>
      <c r="S6131" s="93"/>
    </row>
    <row r="6132" spans="7:19" x14ac:dyDescent="0.25">
      <c r="G6132" s="81"/>
      <c r="S6132" s="93"/>
    </row>
    <row r="6133" spans="7:19" x14ac:dyDescent="0.25">
      <c r="G6133" s="81"/>
      <c r="S6133" s="93"/>
    </row>
    <row r="6134" spans="7:19" x14ac:dyDescent="0.25">
      <c r="G6134" s="81"/>
      <c r="S6134" s="93"/>
    </row>
    <row r="6135" spans="7:19" x14ac:dyDescent="0.25">
      <c r="G6135" s="81"/>
      <c r="S6135" s="93"/>
    </row>
    <row r="6136" spans="7:19" x14ac:dyDescent="0.25">
      <c r="G6136" s="81"/>
      <c r="S6136" s="93"/>
    </row>
    <row r="6137" spans="7:19" x14ac:dyDescent="0.25">
      <c r="G6137" s="81"/>
      <c r="S6137" s="93"/>
    </row>
    <row r="6138" spans="7:19" x14ac:dyDescent="0.25">
      <c r="G6138" s="81"/>
      <c r="S6138" s="93"/>
    </row>
    <row r="6139" spans="7:19" x14ac:dyDescent="0.25">
      <c r="G6139" s="81"/>
      <c r="S6139" s="93"/>
    </row>
    <row r="6140" spans="7:19" x14ac:dyDescent="0.25">
      <c r="G6140" s="81"/>
      <c r="S6140" s="93"/>
    </row>
    <row r="6141" spans="7:19" x14ac:dyDescent="0.25">
      <c r="G6141" s="81"/>
      <c r="S6141" s="93"/>
    </row>
    <row r="6142" spans="7:19" x14ac:dyDescent="0.25">
      <c r="G6142" s="81"/>
      <c r="S6142" s="93"/>
    </row>
    <row r="6143" spans="7:19" x14ac:dyDescent="0.25">
      <c r="G6143" s="81"/>
      <c r="S6143" s="93"/>
    </row>
    <row r="6144" spans="7:19" x14ac:dyDescent="0.25">
      <c r="G6144" s="81"/>
      <c r="S6144" s="93"/>
    </row>
    <row r="6145" spans="7:19" x14ac:dyDescent="0.25">
      <c r="G6145" s="81"/>
      <c r="S6145" s="93"/>
    </row>
    <row r="6146" spans="7:19" x14ac:dyDescent="0.25">
      <c r="G6146" s="81"/>
      <c r="S6146" s="93"/>
    </row>
    <row r="6147" spans="7:19" x14ac:dyDescent="0.25">
      <c r="G6147" s="81"/>
      <c r="S6147" s="93"/>
    </row>
    <row r="6148" spans="7:19" x14ac:dyDescent="0.25">
      <c r="G6148" s="81"/>
      <c r="S6148" s="93"/>
    </row>
    <row r="6149" spans="7:19" x14ac:dyDescent="0.25">
      <c r="G6149" s="81"/>
      <c r="S6149" s="93"/>
    </row>
    <row r="6150" spans="7:19" x14ac:dyDescent="0.25">
      <c r="G6150" s="81"/>
      <c r="S6150" s="93"/>
    </row>
    <row r="6151" spans="7:19" x14ac:dyDescent="0.25">
      <c r="G6151" s="81"/>
      <c r="S6151" s="93"/>
    </row>
    <row r="6152" spans="7:19" x14ac:dyDescent="0.25">
      <c r="G6152" s="81"/>
      <c r="S6152" s="93"/>
    </row>
    <row r="6153" spans="7:19" x14ac:dyDescent="0.25">
      <c r="G6153" s="81"/>
      <c r="S6153" s="93"/>
    </row>
    <row r="6154" spans="7:19" x14ac:dyDescent="0.25">
      <c r="G6154" s="81"/>
      <c r="S6154" s="93"/>
    </row>
    <row r="6155" spans="7:19" x14ac:dyDescent="0.25">
      <c r="G6155" s="81"/>
      <c r="S6155" s="93"/>
    </row>
    <row r="6156" spans="7:19" x14ac:dyDescent="0.25">
      <c r="G6156" s="81"/>
      <c r="S6156" s="93"/>
    </row>
    <row r="6157" spans="7:19" x14ac:dyDescent="0.25">
      <c r="G6157" s="81"/>
      <c r="S6157" s="93"/>
    </row>
    <row r="6158" spans="7:19" x14ac:dyDescent="0.25">
      <c r="G6158" s="81"/>
      <c r="S6158" s="93"/>
    </row>
    <row r="6159" spans="7:19" x14ac:dyDescent="0.25">
      <c r="G6159" s="81"/>
      <c r="S6159" s="93"/>
    </row>
    <row r="6160" spans="7:19" x14ac:dyDescent="0.25">
      <c r="G6160" s="81"/>
      <c r="S6160" s="93"/>
    </row>
    <row r="6161" spans="7:19" x14ac:dyDescent="0.25">
      <c r="G6161" s="81"/>
      <c r="S6161" s="93"/>
    </row>
    <row r="6162" spans="7:19" x14ac:dyDescent="0.25">
      <c r="G6162" s="81"/>
      <c r="S6162" s="93"/>
    </row>
    <row r="6163" spans="7:19" x14ac:dyDescent="0.25">
      <c r="G6163" s="81"/>
      <c r="S6163" s="93"/>
    </row>
    <row r="6164" spans="7:19" x14ac:dyDescent="0.25">
      <c r="G6164" s="81"/>
      <c r="S6164" s="93"/>
    </row>
    <row r="6165" spans="7:19" x14ac:dyDescent="0.25">
      <c r="G6165" s="81"/>
      <c r="S6165" s="93"/>
    </row>
    <row r="6166" spans="7:19" x14ac:dyDescent="0.25">
      <c r="G6166" s="81"/>
      <c r="S6166" s="93"/>
    </row>
    <row r="6167" spans="7:19" x14ac:dyDescent="0.25">
      <c r="G6167" s="81"/>
      <c r="S6167" s="93"/>
    </row>
    <row r="6168" spans="7:19" x14ac:dyDescent="0.25">
      <c r="G6168" s="81"/>
      <c r="S6168" s="93"/>
    </row>
    <row r="6169" spans="7:19" x14ac:dyDescent="0.25">
      <c r="G6169" s="81"/>
      <c r="S6169" s="93"/>
    </row>
    <row r="6170" spans="7:19" x14ac:dyDescent="0.25">
      <c r="G6170" s="81"/>
      <c r="S6170" s="93"/>
    </row>
    <row r="6171" spans="7:19" x14ac:dyDescent="0.25">
      <c r="G6171" s="81"/>
      <c r="S6171" s="93"/>
    </row>
    <row r="6172" spans="7:19" x14ac:dyDescent="0.25">
      <c r="G6172" s="81"/>
      <c r="S6172" s="93"/>
    </row>
    <row r="6173" spans="7:19" x14ac:dyDescent="0.25">
      <c r="G6173" s="81"/>
      <c r="S6173" s="93"/>
    </row>
    <row r="6174" spans="7:19" x14ac:dyDescent="0.25">
      <c r="G6174" s="81"/>
      <c r="S6174" s="93"/>
    </row>
    <row r="6175" spans="7:19" x14ac:dyDescent="0.25">
      <c r="G6175" s="81"/>
      <c r="S6175" s="93"/>
    </row>
    <row r="6176" spans="7:19" x14ac:dyDescent="0.25">
      <c r="G6176" s="81"/>
      <c r="S6176" s="93"/>
    </row>
    <row r="6177" spans="7:19" x14ac:dyDescent="0.25">
      <c r="G6177" s="81"/>
      <c r="S6177" s="93"/>
    </row>
    <row r="6178" spans="7:19" x14ac:dyDescent="0.25">
      <c r="G6178" s="81"/>
      <c r="S6178" s="93"/>
    </row>
    <row r="6179" spans="7:19" x14ac:dyDescent="0.25">
      <c r="G6179" s="81"/>
      <c r="S6179" s="93"/>
    </row>
    <row r="6180" spans="7:19" x14ac:dyDescent="0.25">
      <c r="G6180" s="81"/>
      <c r="S6180" s="93"/>
    </row>
    <row r="6181" spans="7:19" x14ac:dyDescent="0.25">
      <c r="G6181" s="81"/>
      <c r="S6181" s="93"/>
    </row>
    <row r="6182" spans="7:19" x14ac:dyDescent="0.25">
      <c r="G6182" s="81"/>
      <c r="S6182" s="93"/>
    </row>
    <row r="6183" spans="7:19" x14ac:dyDescent="0.25">
      <c r="G6183" s="81"/>
      <c r="S6183" s="93"/>
    </row>
    <row r="6184" spans="7:19" x14ac:dyDescent="0.25">
      <c r="G6184" s="81"/>
      <c r="S6184" s="93"/>
    </row>
    <row r="6185" spans="7:19" x14ac:dyDescent="0.25">
      <c r="G6185" s="81"/>
      <c r="S6185" s="93"/>
    </row>
    <row r="6186" spans="7:19" x14ac:dyDescent="0.25">
      <c r="G6186" s="81"/>
      <c r="S6186" s="93"/>
    </row>
    <row r="6187" spans="7:19" x14ac:dyDescent="0.25">
      <c r="G6187" s="81"/>
      <c r="S6187" s="93"/>
    </row>
    <row r="6188" spans="7:19" x14ac:dyDescent="0.25">
      <c r="G6188" s="81"/>
      <c r="S6188" s="93"/>
    </row>
    <row r="6189" spans="7:19" x14ac:dyDescent="0.25">
      <c r="G6189" s="81"/>
      <c r="S6189" s="93"/>
    </row>
    <row r="6190" spans="7:19" x14ac:dyDescent="0.25">
      <c r="G6190" s="81"/>
      <c r="S6190" s="93"/>
    </row>
    <row r="6191" spans="7:19" x14ac:dyDescent="0.25">
      <c r="G6191" s="81"/>
      <c r="S6191" s="93"/>
    </row>
    <row r="6192" spans="7:19" x14ac:dyDescent="0.25">
      <c r="G6192" s="81"/>
      <c r="S6192" s="93"/>
    </row>
    <row r="6193" spans="7:19" x14ac:dyDescent="0.25">
      <c r="G6193" s="81"/>
      <c r="S6193" s="93"/>
    </row>
    <row r="6194" spans="7:19" x14ac:dyDescent="0.25">
      <c r="G6194" s="81"/>
      <c r="S6194" s="93"/>
    </row>
    <row r="6195" spans="7:19" x14ac:dyDescent="0.25">
      <c r="G6195" s="81"/>
      <c r="S6195" s="93"/>
    </row>
    <row r="6196" spans="7:19" x14ac:dyDescent="0.25">
      <c r="G6196" s="81"/>
      <c r="S6196" s="93"/>
    </row>
    <row r="6197" spans="7:19" x14ac:dyDescent="0.25">
      <c r="G6197" s="81"/>
      <c r="S6197" s="93"/>
    </row>
    <row r="6198" spans="7:19" x14ac:dyDescent="0.25">
      <c r="G6198" s="81"/>
      <c r="S6198" s="93"/>
    </row>
    <row r="6199" spans="7:19" x14ac:dyDescent="0.25">
      <c r="G6199" s="81"/>
      <c r="S6199" s="93"/>
    </row>
    <row r="6200" spans="7:19" x14ac:dyDescent="0.25">
      <c r="G6200" s="81"/>
      <c r="S6200" s="93"/>
    </row>
    <row r="6201" spans="7:19" x14ac:dyDescent="0.25">
      <c r="G6201" s="81"/>
      <c r="S6201" s="93"/>
    </row>
    <row r="6202" spans="7:19" x14ac:dyDescent="0.25">
      <c r="G6202" s="81"/>
      <c r="S6202" s="93"/>
    </row>
    <row r="6203" spans="7:19" x14ac:dyDescent="0.25">
      <c r="G6203" s="81"/>
      <c r="S6203" s="93"/>
    </row>
    <row r="6204" spans="7:19" x14ac:dyDescent="0.25">
      <c r="G6204" s="81"/>
      <c r="S6204" s="93"/>
    </row>
    <row r="6205" spans="7:19" x14ac:dyDescent="0.25">
      <c r="G6205" s="81"/>
      <c r="S6205" s="93"/>
    </row>
    <row r="6206" spans="7:19" x14ac:dyDescent="0.25">
      <c r="G6206" s="81"/>
      <c r="S6206" s="93"/>
    </row>
    <row r="6207" spans="7:19" x14ac:dyDescent="0.25">
      <c r="G6207" s="81"/>
      <c r="S6207" s="93"/>
    </row>
    <row r="6208" spans="7:19" x14ac:dyDescent="0.25">
      <c r="G6208" s="81"/>
      <c r="S6208" s="93"/>
    </row>
    <row r="6209" spans="7:19" x14ac:dyDescent="0.25">
      <c r="G6209" s="81"/>
      <c r="S6209" s="93"/>
    </row>
    <row r="6210" spans="7:19" x14ac:dyDescent="0.25">
      <c r="G6210" s="81"/>
      <c r="S6210" s="93"/>
    </row>
    <row r="6211" spans="7:19" x14ac:dyDescent="0.25">
      <c r="G6211" s="81"/>
      <c r="S6211" s="93"/>
    </row>
    <row r="6212" spans="7:19" x14ac:dyDescent="0.25">
      <c r="G6212" s="81"/>
      <c r="S6212" s="93"/>
    </row>
    <row r="6213" spans="7:19" x14ac:dyDescent="0.25">
      <c r="G6213" s="81"/>
      <c r="S6213" s="93"/>
    </row>
    <row r="6214" spans="7:19" x14ac:dyDescent="0.25">
      <c r="G6214" s="81"/>
      <c r="S6214" s="93"/>
    </row>
    <row r="6215" spans="7:19" x14ac:dyDescent="0.25">
      <c r="G6215" s="81"/>
      <c r="S6215" s="93"/>
    </row>
    <row r="6216" spans="7:19" x14ac:dyDescent="0.25">
      <c r="G6216" s="81"/>
      <c r="S6216" s="93"/>
    </row>
    <row r="6217" spans="7:19" x14ac:dyDescent="0.25">
      <c r="G6217" s="81"/>
      <c r="S6217" s="93"/>
    </row>
    <row r="6218" spans="7:19" x14ac:dyDescent="0.25">
      <c r="G6218" s="81"/>
      <c r="S6218" s="93"/>
    </row>
    <row r="6219" spans="7:19" x14ac:dyDescent="0.25">
      <c r="G6219" s="81"/>
      <c r="S6219" s="93"/>
    </row>
    <row r="6220" spans="7:19" x14ac:dyDescent="0.25">
      <c r="G6220" s="81"/>
      <c r="S6220" s="93"/>
    </row>
    <row r="6221" spans="7:19" x14ac:dyDescent="0.25">
      <c r="G6221" s="81"/>
      <c r="S6221" s="93"/>
    </row>
    <row r="6222" spans="7:19" x14ac:dyDescent="0.25">
      <c r="G6222" s="81"/>
      <c r="S6222" s="93"/>
    </row>
    <row r="6223" spans="7:19" x14ac:dyDescent="0.25">
      <c r="G6223" s="81"/>
      <c r="S6223" s="93"/>
    </row>
    <row r="6224" spans="7:19" x14ac:dyDescent="0.25">
      <c r="G6224" s="81"/>
      <c r="S6224" s="93"/>
    </row>
    <row r="6225" spans="7:19" x14ac:dyDescent="0.25">
      <c r="G6225" s="81"/>
      <c r="S6225" s="93"/>
    </row>
    <row r="6226" spans="7:19" x14ac:dyDescent="0.25">
      <c r="G6226" s="81"/>
      <c r="S6226" s="93"/>
    </row>
    <row r="6227" spans="7:19" x14ac:dyDescent="0.25">
      <c r="G6227" s="81"/>
      <c r="S6227" s="93"/>
    </row>
    <row r="6228" spans="7:19" x14ac:dyDescent="0.25">
      <c r="G6228" s="81"/>
      <c r="S6228" s="93"/>
    </row>
    <row r="6229" spans="7:19" x14ac:dyDescent="0.25">
      <c r="G6229" s="81"/>
      <c r="S6229" s="93"/>
    </row>
    <row r="6230" spans="7:19" x14ac:dyDescent="0.25">
      <c r="G6230" s="81"/>
      <c r="S6230" s="93"/>
    </row>
    <row r="6231" spans="7:19" x14ac:dyDescent="0.25">
      <c r="G6231" s="81"/>
      <c r="S6231" s="93"/>
    </row>
    <row r="6232" spans="7:19" x14ac:dyDescent="0.25">
      <c r="G6232" s="81"/>
      <c r="S6232" s="93"/>
    </row>
    <row r="6233" spans="7:19" x14ac:dyDescent="0.25">
      <c r="G6233" s="81"/>
      <c r="S6233" s="93"/>
    </row>
    <row r="6234" spans="7:19" x14ac:dyDescent="0.25">
      <c r="G6234" s="81"/>
      <c r="S6234" s="93"/>
    </row>
    <row r="6235" spans="7:19" x14ac:dyDescent="0.25">
      <c r="G6235" s="81"/>
      <c r="S6235" s="93"/>
    </row>
    <row r="6236" spans="7:19" x14ac:dyDescent="0.25">
      <c r="G6236" s="81"/>
      <c r="S6236" s="93"/>
    </row>
    <row r="6237" spans="7:19" x14ac:dyDescent="0.25">
      <c r="G6237" s="81"/>
      <c r="S6237" s="93"/>
    </row>
    <row r="6238" spans="7:19" x14ac:dyDescent="0.25">
      <c r="G6238" s="81"/>
      <c r="S6238" s="93"/>
    </row>
    <row r="6239" spans="7:19" x14ac:dyDescent="0.25">
      <c r="G6239" s="81"/>
      <c r="S6239" s="93"/>
    </row>
    <row r="6240" spans="7:19" x14ac:dyDescent="0.25">
      <c r="G6240" s="81"/>
      <c r="S6240" s="93"/>
    </row>
    <row r="6241" spans="7:19" x14ac:dyDescent="0.25">
      <c r="G6241" s="81"/>
      <c r="S6241" s="93"/>
    </row>
    <row r="6242" spans="7:19" x14ac:dyDescent="0.25">
      <c r="G6242" s="81"/>
      <c r="S6242" s="93"/>
    </row>
    <row r="6243" spans="7:19" x14ac:dyDescent="0.25">
      <c r="G6243" s="81"/>
      <c r="S6243" s="93"/>
    </row>
    <row r="6244" spans="7:19" x14ac:dyDescent="0.25">
      <c r="G6244" s="81"/>
      <c r="S6244" s="93"/>
    </row>
    <row r="6245" spans="7:19" x14ac:dyDescent="0.25">
      <c r="G6245" s="81"/>
      <c r="S6245" s="93"/>
    </row>
    <row r="6246" spans="7:19" x14ac:dyDescent="0.25">
      <c r="G6246" s="81"/>
      <c r="S6246" s="93"/>
    </row>
    <row r="6247" spans="7:19" x14ac:dyDescent="0.25">
      <c r="G6247" s="81"/>
      <c r="S6247" s="93"/>
    </row>
    <row r="6248" spans="7:19" x14ac:dyDescent="0.25">
      <c r="G6248" s="81"/>
      <c r="S6248" s="93"/>
    </row>
    <row r="6249" spans="7:19" x14ac:dyDescent="0.25">
      <c r="G6249" s="81"/>
      <c r="S6249" s="93"/>
    </row>
    <row r="6250" spans="7:19" x14ac:dyDescent="0.25">
      <c r="G6250" s="81"/>
      <c r="S6250" s="93"/>
    </row>
    <row r="6251" spans="7:19" x14ac:dyDescent="0.25">
      <c r="G6251" s="81"/>
      <c r="S6251" s="93"/>
    </row>
    <row r="6252" spans="7:19" x14ac:dyDescent="0.25">
      <c r="G6252" s="81"/>
      <c r="S6252" s="93"/>
    </row>
    <row r="6253" spans="7:19" x14ac:dyDescent="0.25">
      <c r="G6253" s="81"/>
      <c r="S6253" s="93"/>
    </row>
    <row r="6254" spans="7:19" x14ac:dyDescent="0.25">
      <c r="G6254" s="81"/>
      <c r="S6254" s="93"/>
    </row>
    <row r="6255" spans="7:19" x14ac:dyDescent="0.25">
      <c r="G6255" s="81"/>
      <c r="S6255" s="93"/>
    </row>
    <row r="6256" spans="7:19" x14ac:dyDescent="0.25">
      <c r="G6256" s="81"/>
      <c r="S6256" s="93"/>
    </row>
    <row r="6257" spans="7:19" x14ac:dyDescent="0.25">
      <c r="G6257" s="81"/>
      <c r="S6257" s="93"/>
    </row>
    <row r="6258" spans="7:19" x14ac:dyDescent="0.25">
      <c r="G6258" s="81"/>
      <c r="S6258" s="93"/>
    </row>
    <row r="6259" spans="7:19" x14ac:dyDescent="0.25">
      <c r="G6259" s="81"/>
      <c r="S6259" s="93"/>
    </row>
    <row r="6260" spans="7:19" x14ac:dyDescent="0.25">
      <c r="G6260" s="81"/>
      <c r="S6260" s="93"/>
    </row>
    <row r="6261" spans="7:19" x14ac:dyDescent="0.25">
      <c r="G6261" s="81"/>
      <c r="S6261" s="93"/>
    </row>
    <row r="6262" spans="7:19" x14ac:dyDescent="0.25">
      <c r="G6262" s="81"/>
      <c r="S6262" s="93"/>
    </row>
    <row r="6263" spans="7:19" x14ac:dyDescent="0.25">
      <c r="G6263" s="81"/>
      <c r="S6263" s="93"/>
    </row>
    <row r="6264" spans="7:19" x14ac:dyDescent="0.25">
      <c r="G6264" s="81"/>
      <c r="S6264" s="93"/>
    </row>
    <row r="6265" spans="7:19" x14ac:dyDescent="0.25">
      <c r="G6265" s="81"/>
      <c r="S6265" s="93"/>
    </row>
    <row r="6266" spans="7:19" x14ac:dyDescent="0.25">
      <c r="G6266" s="81"/>
      <c r="S6266" s="93"/>
    </row>
    <row r="6267" spans="7:19" x14ac:dyDescent="0.25">
      <c r="G6267" s="81"/>
      <c r="S6267" s="93"/>
    </row>
    <row r="6268" spans="7:19" x14ac:dyDescent="0.25">
      <c r="G6268" s="81"/>
      <c r="S6268" s="93"/>
    </row>
    <row r="6269" spans="7:19" x14ac:dyDescent="0.25">
      <c r="G6269" s="81"/>
      <c r="S6269" s="93"/>
    </row>
    <row r="6270" spans="7:19" x14ac:dyDescent="0.25">
      <c r="G6270" s="81"/>
      <c r="S6270" s="93"/>
    </row>
    <row r="6271" spans="7:19" x14ac:dyDescent="0.25">
      <c r="G6271" s="81"/>
      <c r="S6271" s="93"/>
    </row>
    <row r="6272" spans="7:19" x14ac:dyDescent="0.25">
      <c r="G6272" s="81"/>
      <c r="S6272" s="93"/>
    </row>
    <row r="6273" spans="7:19" x14ac:dyDescent="0.25">
      <c r="G6273" s="81"/>
      <c r="S6273" s="93"/>
    </row>
    <row r="6274" spans="7:19" x14ac:dyDescent="0.25">
      <c r="G6274" s="81"/>
      <c r="S6274" s="93"/>
    </row>
    <row r="6275" spans="7:19" x14ac:dyDescent="0.25">
      <c r="G6275" s="81"/>
      <c r="S6275" s="93"/>
    </row>
    <row r="6276" spans="7:19" x14ac:dyDescent="0.25">
      <c r="G6276" s="81"/>
      <c r="S6276" s="93"/>
    </row>
    <row r="6277" spans="7:19" x14ac:dyDescent="0.25">
      <c r="G6277" s="81"/>
      <c r="S6277" s="93"/>
    </row>
    <row r="6278" spans="7:19" x14ac:dyDescent="0.25">
      <c r="G6278" s="81"/>
      <c r="S6278" s="93"/>
    </row>
    <row r="6279" spans="7:19" x14ac:dyDescent="0.25">
      <c r="G6279" s="81"/>
      <c r="S6279" s="93"/>
    </row>
    <row r="6280" spans="7:19" x14ac:dyDescent="0.25">
      <c r="G6280" s="81"/>
      <c r="S6280" s="93"/>
    </row>
    <row r="6281" spans="7:19" x14ac:dyDescent="0.25">
      <c r="G6281" s="81"/>
      <c r="S6281" s="93"/>
    </row>
    <row r="6282" spans="7:19" x14ac:dyDescent="0.25">
      <c r="G6282" s="81"/>
      <c r="S6282" s="93"/>
    </row>
    <row r="6283" spans="7:19" x14ac:dyDescent="0.25">
      <c r="G6283" s="81"/>
      <c r="S6283" s="93"/>
    </row>
    <row r="6284" spans="7:19" x14ac:dyDescent="0.25">
      <c r="G6284" s="81"/>
      <c r="S6284" s="93"/>
    </row>
    <row r="6285" spans="7:19" x14ac:dyDescent="0.25">
      <c r="G6285" s="81"/>
      <c r="S6285" s="93"/>
    </row>
    <row r="6286" spans="7:19" x14ac:dyDescent="0.25">
      <c r="G6286" s="81"/>
      <c r="S6286" s="93"/>
    </row>
    <row r="6287" spans="7:19" x14ac:dyDescent="0.25">
      <c r="G6287" s="81"/>
      <c r="S6287" s="93"/>
    </row>
    <row r="6288" spans="7:19" x14ac:dyDescent="0.25">
      <c r="G6288" s="81"/>
      <c r="S6288" s="93"/>
    </row>
    <row r="6289" spans="7:19" x14ac:dyDescent="0.25">
      <c r="G6289" s="81"/>
      <c r="S6289" s="93"/>
    </row>
    <row r="6290" spans="7:19" x14ac:dyDescent="0.25">
      <c r="G6290" s="81"/>
      <c r="S6290" s="93"/>
    </row>
    <row r="6291" spans="7:19" x14ac:dyDescent="0.25">
      <c r="G6291" s="81"/>
      <c r="S6291" s="93"/>
    </row>
    <row r="6292" spans="7:19" x14ac:dyDescent="0.25">
      <c r="G6292" s="81"/>
      <c r="S6292" s="93"/>
    </row>
    <row r="6293" spans="7:19" x14ac:dyDescent="0.25">
      <c r="G6293" s="81"/>
      <c r="S6293" s="93"/>
    </row>
    <row r="6294" spans="7:19" x14ac:dyDescent="0.25">
      <c r="G6294" s="81"/>
      <c r="S6294" s="93"/>
    </row>
    <row r="6295" spans="7:19" x14ac:dyDescent="0.25">
      <c r="G6295" s="81"/>
      <c r="S6295" s="93"/>
    </row>
    <row r="6296" spans="7:19" x14ac:dyDescent="0.25">
      <c r="G6296" s="81"/>
      <c r="S6296" s="93"/>
    </row>
    <row r="6297" spans="7:19" x14ac:dyDescent="0.25">
      <c r="G6297" s="81"/>
      <c r="S6297" s="93"/>
    </row>
    <row r="6298" spans="7:19" x14ac:dyDescent="0.25">
      <c r="G6298" s="81"/>
      <c r="S6298" s="93"/>
    </row>
    <row r="6299" spans="7:19" x14ac:dyDescent="0.25">
      <c r="G6299" s="81"/>
      <c r="S6299" s="93"/>
    </row>
    <row r="6300" spans="7:19" x14ac:dyDescent="0.25">
      <c r="G6300" s="81"/>
      <c r="S6300" s="93"/>
    </row>
    <row r="6301" spans="7:19" x14ac:dyDescent="0.25">
      <c r="G6301" s="81"/>
      <c r="S6301" s="93"/>
    </row>
    <row r="6302" spans="7:19" x14ac:dyDescent="0.25">
      <c r="G6302" s="81"/>
      <c r="S6302" s="93"/>
    </row>
    <row r="6303" spans="7:19" x14ac:dyDescent="0.25">
      <c r="G6303" s="81"/>
      <c r="S6303" s="93"/>
    </row>
    <row r="6304" spans="7:19" x14ac:dyDescent="0.25">
      <c r="G6304" s="81"/>
      <c r="S6304" s="93"/>
    </row>
    <row r="6305" spans="7:19" x14ac:dyDescent="0.25">
      <c r="G6305" s="81"/>
      <c r="S6305" s="93"/>
    </row>
    <row r="6306" spans="7:19" x14ac:dyDescent="0.25">
      <c r="G6306" s="81"/>
      <c r="S6306" s="93"/>
    </row>
    <row r="6307" spans="7:19" x14ac:dyDescent="0.25">
      <c r="G6307" s="81"/>
      <c r="S6307" s="93"/>
    </row>
    <row r="6308" spans="7:19" x14ac:dyDescent="0.25">
      <c r="G6308" s="81"/>
      <c r="S6308" s="93"/>
    </row>
    <row r="6309" spans="7:19" x14ac:dyDescent="0.25">
      <c r="G6309" s="81"/>
      <c r="S6309" s="93"/>
    </row>
    <row r="6310" spans="7:19" x14ac:dyDescent="0.25">
      <c r="G6310" s="81"/>
      <c r="S6310" s="93"/>
    </row>
    <row r="6311" spans="7:19" x14ac:dyDescent="0.25">
      <c r="G6311" s="81"/>
      <c r="S6311" s="93"/>
    </row>
    <row r="6312" spans="7:19" x14ac:dyDescent="0.25">
      <c r="G6312" s="81"/>
      <c r="S6312" s="93"/>
    </row>
    <row r="6313" spans="7:19" x14ac:dyDescent="0.25">
      <c r="G6313" s="81"/>
      <c r="S6313" s="93"/>
    </row>
    <row r="6314" spans="7:19" x14ac:dyDescent="0.25">
      <c r="G6314" s="81"/>
      <c r="S6314" s="93"/>
    </row>
    <row r="6315" spans="7:19" x14ac:dyDescent="0.25">
      <c r="G6315" s="81"/>
      <c r="S6315" s="93"/>
    </row>
    <row r="6316" spans="7:19" x14ac:dyDescent="0.25">
      <c r="G6316" s="81"/>
      <c r="S6316" s="93"/>
    </row>
    <row r="6317" spans="7:19" x14ac:dyDescent="0.25">
      <c r="G6317" s="81"/>
      <c r="S6317" s="93"/>
    </row>
    <row r="6318" spans="7:19" x14ac:dyDescent="0.25">
      <c r="G6318" s="81"/>
      <c r="S6318" s="93"/>
    </row>
    <row r="6319" spans="7:19" x14ac:dyDescent="0.25">
      <c r="G6319" s="81"/>
      <c r="S6319" s="93"/>
    </row>
    <row r="6320" spans="7:19" x14ac:dyDescent="0.25">
      <c r="G6320" s="81"/>
      <c r="S6320" s="93"/>
    </row>
    <row r="6321" spans="7:19" x14ac:dyDescent="0.25">
      <c r="G6321" s="81"/>
      <c r="S6321" s="93"/>
    </row>
    <row r="6322" spans="7:19" x14ac:dyDescent="0.25">
      <c r="G6322" s="81"/>
      <c r="S6322" s="93"/>
    </row>
    <row r="6323" spans="7:19" x14ac:dyDescent="0.25">
      <c r="G6323" s="81"/>
      <c r="S6323" s="93"/>
    </row>
    <row r="6324" spans="7:19" x14ac:dyDescent="0.25">
      <c r="G6324" s="81"/>
      <c r="S6324" s="93"/>
    </row>
    <row r="6325" spans="7:19" x14ac:dyDescent="0.25">
      <c r="G6325" s="81"/>
      <c r="S6325" s="93"/>
    </row>
    <row r="6326" spans="7:19" x14ac:dyDescent="0.25">
      <c r="G6326" s="81"/>
      <c r="S6326" s="93"/>
    </row>
    <row r="6327" spans="7:19" x14ac:dyDescent="0.25">
      <c r="G6327" s="81"/>
      <c r="S6327" s="93"/>
    </row>
    <row r="6328" spans="7:19" x14ac:dyDescent="0.25">
      <c r="G6328" s="81"/>
      <c r="S6328" s="93"/>
    </row>
    <row r="6329" spans="7:19" x14ac:dyDescent="0.25">
      <c r="G6329" s="81"/>
      <c r="S6329" s="93"/>
    </row>
    <row r="6330" spans="7:19" x14ac:dyDescent="0.25">
      <c r="G6330" s="81"/>
      <c r="S6330" s="93"/>
    </row>
    <row r="6331" spans="7:19" x14ac:dyDescent="0.25">
      <c r="G6331" s="81"/>
      <c r="S6331" s="93"/>
    </row>
    <row r="6332" spans="7:19" x14ac:dyDescent="0.25">
      <c r="G6332" s="81"/>
      <c r="S6332" s="93"/>
    </row>
    <row r="6333" spans="7:19" x14ac:dyDescent="0.25">
      <c r="G6333" s="81"/>
      <c r="S6333" s="93"/>
    </row>
    <row r="6334" spans="7:19" x14ac:dyDescent="0.25">
      <c r="G6334" s="81"/>
      <c r="S6334" s="93"/>
    </row>
    <row r="6335" spans="7:19" x14ac:dyDescent="0.25">
      <c r="G6335" s="81"/>
      <c r="S6335" s="93"/>
    </row>
    <row r="6336" spans="7:19" x14ac:dyDescent="0.25">
      <c r="G6336" s="81"/>
      <c r="S6336" s="93"/>
    </row>
    <row r="6337" spans="7:19" x14ac:dyDescent="0.25">
      <c r="G6337" s="81"/>
      <c r="S6337" s="93"/>
    </row>
    <row r="6338" spans="7:19" x14ac:dyDescent="0.25">
      <c r="G6338" s="81"/>
      <c r="S6338" s="93"/>
    </row>
    <row r="6339" spans="7:19" x14ac:dyDescent="0.25">
      <c r="G6339" s="81"/>
      <c r="S6339" s="93"/>
    </row>
    <row r="6340" spans="7:19" x14ac:dyDescent="0.25">
      <c r="G6340" s="81"/>
      <c r="S6340" s="93"/>
    </row>
    <row r="6341" spans="7:19" x14ac:dyDescent="0.25">
      <c r="G6341" s="81"/>
      <c r="S6341" s="93"/>
    </row>
    <row r="6342" spans="7:19" x14ac:dyDescent="0.25">
      <c r="G6342" s="81"/>
      <c r="S6342" s="93"/>
    </row>
    <row r="6343" spans="7:19" x14ac:dyDescent="0.25">
      <c r="G6343" s="81"/>
      <c r="S6343" s="93"/>
    </row>
    <row r="6344" spans="7:19" x14ac:dyDescent="0.25">
      <c r="G6344" s="81"/>
      <c r="S6344" s="93"/>
    </row>
    <row r="6345" spans="7:19" x14ac:dyDescent="0.25">
      <c r="G6345" s="81"/>
      <c r="S6345" s="93"/>
    </row>
    <row r="6346" spans="7:19" x14ac:dyDescent="0.25">
      <c r="G6346" s="81"/>
      <c r="S6346" s="93"/>
    </row>
    <row r="6347" spans="7:19" x14ac:dyDescent="0.25">
      <c r="G6347" s="81"/>
      <c r="S6347" s="93"/>
    </row>
    <row r="6348" spans="7:19" x14ac:dyDescent="0.25">
      <c r="G6348" s="81"/>
      <c r="S6348" s="93"/>
    </row>
    <row r="6349" spans="7:19" x14ac:dyDescent="0.25">
      <c r="G6349" s="81"/>
      <c r="S6349" s="93"/>
    </row>
    <row r="6350" spans="7:19" x14ac:dyDescent="0.25">
      <c r="G6350" s="81"/>
      <c r="S6350" s="93"/>
    </row>
    <row r="6351" spans="7:19" x14ac:dyDescent="0.25">
      <c r="G6351" s="81"/>
      <c r="S6351" s="93"/>
    </row>
    <row r="6352" spans="7:19" x14ac:dyDescent="0.25">
      <c r="G6352" s="81"/>
      <c r="S6352" s="93"/>
    </row>
    <row r="6353" spans="7:19" x14ac:dyDescent="0.25">
      <c r="G6353" s="81"/>
      <c r="S6353" s="93"/>
    </row>
    <row r="6354" spans="7:19" x14ac:dyDescent="0.25">
      <c r="G6354" s="81"/>
      <c r="S6354" s="93"/>
    </row>
    <row r="6355" spans="7:19" x14ac:dyDescent="0.25">
      <c r="G6355" s="81"/>
      <c r="S6355" s="93"/>
    </row>
    <row r="6356" spans="7:19" x14ac:dyDescent="0.25">
      <c r="G6356" s="81"/>
      <c r="S6356" s="93"/>
    </row>
    <row r="6357" spans="7:19" x14ac:dyDescent="0.25">
      <c r="G6357" s="81"/>
      <c r="S6357" s="93"/>
    </row>
    <row r="6358" spans="7:19" x14ac:dyDescent="0.25">
      <c r="G6358" s="81"/>
      <c r="S6358" s="93"/>
    </row>
    <row r="6359" spans="7:19" x14ac:dyDescent="0.25">
      <c r="G6359" s="81"/>
      <c r="S6359" s="93"/>
    </row>
    <row r="6360" spans="7:19" x14ac:dyDescent="0.25">
      <c r="G6360" s="81"/>
      <c r="S6360" s="93"/>
    </row>
    <row r="6361" spans="7:19" x14ac:dyDescent="0.25">
      <c r="G6361" s="81"/>
      <c r="S6361" s="93"/>
    </row>
    <row r="6362" spans="7:19" x14ac:dyDescent="0.25">
      <c r="G6362" s="81"/>
      <c r="S6362" s="93"/>
    </row>
    <row r="6363" spans="7:19" x14ac:dyDescent="0.25">
      <c r="G6363" s="81"/>
      <c r="S6363" s="93"/>
    </row>
    <row r="6364" spans="7:19" x14ac:dyDescent="0.25">
      <c r="G6364" s="81"/>
      <c r="S6364" s="93"/>
    </row>
    <row r="6365" spans="7:19" x14ac:dyDescent="0.25">
      <c r="G6365" s="81"/>
      <c r="S6365" s="93"/>
    </row>
    <row r="6366" spans="7:19" x14ac:dyDescent="0.25">
      <c r="G6366" s="81"/>
      <c r="S6366" s="93"/>
    </row>
    <row r="6367" spans="7:19" x14ac:dyDescent="0.25">
      <c r="G6367" s="81"/>
      <c r="S6367" s="93"/>
    </row>
    <row r="6368" spans="7:19" x14ac:dyDescent="0.25">
      <c r="G6368" s="81"/>
      <c r="S6368" s="93"/>
    </row>
    <row r="6369" spans="7:19" x14ac:dyDescent="0.25">
      <c r="G6369" s="81"/>
      <c r="S6369" s="93"/>
    </row>
    <row r="6370" spans="7:19" x14ac:dyDescent="0.25">
      <c r="G6370" s="81"/>
      <c r="S6370" s="93"/>
    </row>
    <row r="6371" spans="7:19" x14ac:dyDescent="0.25">
      <c r="G6371" s="81"/>
      <c r="S6371" s="93"/>
    </row>
    <row r="6372" spans="7:19" x14ac:dyDescent="0.25">
      <c r="G6372" s="81"/>
      <c r="S6372" s="93"/>
    </row>
    <row r="6373" spans="7:19" x14ac:dyDescent="0.25">
      <c r="G6373" s="81"/>
      <c r="S6373" s="93"/>
    </row>
    <row r="6374" spans="7:19" x14ac:dyDescent="0.25">
      <c r="G6374" s="81"/>
      <c r="S6374" s="93"/>
    </row>
    <row r="6375" spans="7:19" x14ac:dyDescent="0.25">
      <c r="G6375" s="81"/>
      <c r="S6375" s="93"/>
    </row>
    <row r="6376" spans="7:19" x14ac:dyDescent="0.25">
      <c r="G6376" s="81"/>
      <c r="S6376" s="93"/>
    </row>
    <row r="6377" spans="7:19" x14ac:dyDescent="0.25">
      <c r="G6377" s="81"/>
      <c r="S6377" s="93"/>
    </row>
    <row r="6378" spans="7:19" x14ac:dyDescent="0.25">
      <c r="G6378" s="81"/>
      <c r="S6378" s="93"/>
    </row>
    <row r="6379" spans="7:19" x14ac:dyDescent="0.25">
      <c r="G6379" s="81"/>
      <c r="S6379" s="93"/>
    </row>
    <row r="6380" spans="7:19" x14ac:dyDescent="0.25">
      <c r="G6380" s="81"/>
      <c r="S6380" s="93"/>
    </row>
    <row r="6381" spans="7:19" x14ac:dyDescent="0.25">
      <c r="G6381" s="81"/>
      <c r="S6381" s="93"/>
    </row>
    <row r="6382" spans="7:19" x14ac:dyDescent="0.25">
      <c r="G6382" s="81"/>
      <c r="S6382" s="93"/>
    </row>
    <row r="6383" spans="7:19" x14ac:dyDescent="0.25">
      <c r="G6383" s="81"/>
      <c r="S6383" s="93"/>
    </row>
    <row r="6384" spans="7:19" x14ac:dyDescent="0.25">
      <c r="G6384" s="81"/>
      <c r="S6384" s="93"/>
    </row>
    <row r="6385" spans="7:19" x14ac:dyDescent="0.25">
      <c r="G6385" s="81"/>
      <c r="S6385" s="93"/>
    </row>
    <row r="6386" spans="7:19" x14ac:dyDescent="0.25">
      <c r="G6386" s="81"/>
      <c r="S6386" s="93"/>
    </row>
    <row r="6387" spans="7:19" x14ac:dyDescent="0.25">
      <c r="G6387" s="81"/>
      <c r="S6387" s="93"/>
    </row>
    <row r="6388" spans="7:19" x14ac:dyDescent="0.25">
      <c r="G6388" s="81"/>
      <c r="S6388" s="93"/>
    </row>
    <row r="6389" spans="7:19" x14ac:dyDescent="0.25">
      <c r="G6389" s="81"/>
      <c r="S6389" s="93"/>
    </row>
    <row r="6390" spans="7:19" x14ac:dyDescent="0.25">
      <c r="G6390" s="81"/>
      <c r="S6390" s="93"/>
    </row>
    <row r="6391" spans="7:19" x14ac:dyDescent="0.25">
      <c r="G6391" s="81"/>
      <c r="S6391" s="93"/>
    </row>
    <row r="6392" spans="7:19" x14ac:dyDescent="0.25">
      <c r="G6392" s="81"/>
      <c r="S6392" s="93"/>
    </row>
    <row r="6393" spans="7:19" x14ac:dyDescent="0.25">
      <c r="G6393" s="81"/>
      <c r="S6393" s="93"/>
    </row>
    <row r="6394" spans="7:19" x14ac:dyDescent="0.25">
      <c r="G6394" s="81"/>
      <c r="S6394" s="93"/>
    </row>
    <row r="6395" spans="7:19" x14ac:dyDescent="0.25">
      <c r="G6395" s="81"/>
      <c r="S6395" s="93"/>
    </row>
    <row r="6396" spans="7:19" x14ac:dyDescent="0.25">
      <c r="G6396" s="81"/>
      <c r="S6396" s="93"/>
    </row>
    <row r="6397" spans="7:19" x14ac:dyDescent="0.25">
      <c r="G6397" s="81"/>
      <c r="S6397" s="93"/>
    </row>
    <row r="6398" spans="7:19" x14ac:dyDescent="0.25">
      <c r="G6398" s="81"/>
      <c r="S6398" s="93"/>
    </row>
    <row r="6399" spans="7:19" x14ac:dyDescent="0.25">
      <c r="G6399" s="81"/>
      <c r="S6399" s="93"/>
    </row>
    <row r="6400" spans="7:19" x14ac:dyDescent="0.25">
      <c r="G6400" s="81"/>
      <c r="S6400" s="93"/>
    </row>
    <row r="6401" spans="7:19" x14ac:dyDescent="0.25">
      <c r="G6401" s="81"/>
      <c r="S6401" s="93"/>
    </row>
    <row r="6402" spans="7:19" x14ac:dyDescent="0.25">
      <c r="G6402" s="81"/>
      <c r="S6402" s="93"/>
    </row>
    <row r="6403" spans="7:19" x14ac:dyDescent="0.25">
      <c r="G6403" s="81"/>
      <c r="S6403" s="93"/>
    </row>
    <row r="6404" spans="7:19" x14ac:dyDescent="0.25">
      <c r="G6404" s="81"/>
      <c r="S6404" s="93"/>
    </row>
    <row r="6405" spans="7:19" x14ac:dyDescent="0.25">
      <c r="G6405" s="81"/>
      <c r="S6405" s="93"/>
    </row>
    <row r="6406" spans="7:19" x14ac:dyDescent="0.25">
      <c r="G6406" s="81"/>
      <c r="S6406" s="93"/>
    </row>
    <row r="6407" spans="7:19" x14ac:dyDescent="0.25">
      <c r="G6407" s="81"/>
      <c r="S6407" s="93"/>
    </row>
    <row r="6408" spans="7:19" x14ac:dyDescent="0.25">
      <c r="G6408" s="81"/>
      <c r="S6408" s="93"/>
    </row>
    <row r="6409" spans="7:19" x14ac:dyDescent="0.25">
      <c r="G6409" s="81"/>
      <c r="S6409" s="93"/>
    </row>
    <row r="6410" spans="7:19" x14ac:dyDescent="0.25">
      <c r="G6410" s="81"/>
      <c r="S6410" s="93"/>
    </row>
    <row r="6411" spans="7:19" x14ac:dyDescent="0.25">
      <c r="G6411" s="81"/>
      <c r="S6411" s="93"/>
    </row>
    <row r="6412" spans="7:19" x14ac:dyDescent="0.25">
      <c r="G6412" s="81"/>
      <c r="S6412" s="93"/>
    </row>
    <row r="6413" spans="7:19" x14ac:dyDescent="0.25">
      <c r="G6413" s="81"/>
      <c r="S6413" s="93"/>
    </row>
    <row r="6414" spans="7:19" x14ac:dyDescent="0.25">
      <c r="G6414" s="81"/>
      <c r="S6414" s="93"/>
    </row>
    <row r="6415" spans="7:19" x14ac:dyDescent="0.25">
      <c r="G6415" s="81"/>
      <c r="S6415" s="93"/>
    </row>
    <row r="6416" spans="7:19" x14ac:dyDescent="0.25">
      <c r="G6416" s="81"/>
      <c r="S6416" s="93"/>
    </row>
    <row r="6417" spans="7:19" x14ac:dyDescent="0.25">
      <c r="G6417" s="81"/>
      <c r="S6417" s="93"/>
    </row>
    <row r="6418" spans="7:19" x14ac:dyDescent="0.25">
      <c r="G6418" s="81"/>
      <c r="S6418" s="93"/>
    </row>
    <row r="6419" spans="7:19" x14ac:dyDescent="0.25">
      <c r="G6419" s="81"/>
      <c r="S6419" s="93"/>
    </row>
    <row r="6420" spans="7:19" x14ac:dyDescent="0.25">
      <c r="G6420" s="81"/>
      <c r="S6420" s="93"/>
    </row>
    <row r="6421" spans="7:19" x14ac:dyDescent="0.25">
      <c r="G6421" s="81"/>
      <c r="S6421" s="93"/>
    </row>
    <row r="6422" spans="7:19" x14ac:dyDescent="0.25">
      <c r="G6422" s="81"/>
      <c r="S6422" s="93"/>
    </row>
    <row r="6423" spans="7:19" x14ac:dyDescent="0.25">
      <c r="G6423" s="81"/>
      <c r="S6423" s="93"/>
    </row>
    <row r="6424" spans="7:19" x14ac:dyDescent="0.25">
      <c r="G6424" s="81"/>
      <c r="S6424" s="93"/>
    </row>
    <row r="6425" spans="7:19" x14ac:dyDescent="0.25">
      <c r="G6425" s="81"/>
      <c r="S6425" s="93"/>
    </row>
    <row r="6426" spans="7:19" x14ac:dyDescent="0.25">
      <c r="G6426" s="81"/>
      <c r="S6426" s="93"/>
    </row>
    <row r="6427" spans="7:19" x14ac:dyDescent="0.25">
      <c r="G6427" s="81"/>
      <c r="S6427" s="93"/>
    </row>
    <row r="6428" spans="7:19" x14ac:dyDescent="0.25">
      <c r="G6428" s="81"/>
      <c r="S6428" s="93"/>
    </row>
    <row r="6429" spans="7:19" x14ac:dyDescent="0.25">
      <c r="G6429" s="81"/>
      <c r="S6429" s="93"/>
    </row>
    <row r="6430" spans="7:19" x14ac:dyDescent="0.25">
      <c r="G6430" s="81"/>
      <c r="S6430" s="93"/>
    </row>
    <row r="6431" spans="7:19" x14ac:dyDescent="0.25">
      <c r="G6431" s="81"/>
      <c r="S6431" s="93"/>
    </row>
    <row r="6432" spans="7:19" x14ac:dyDescent="0.25">
      <c r="G6432" s="81"/>
      <c r="S6432" s="93"/>
    </row>
    <row r="6433" spans="7:19" x14ac:dyDescent="0.25">
      <c r="G6433" s="81"/>
      <c r="S6433" s="93"/>
    </row>
    <row r="6434" spans="7:19" x14ac:dyDescent="0.25">
      <c r="G6434" s="81"/>
      <c r="S6434" s="93"/>
    </row>
    <row r="6435" spans="7:19" x14ac:dyDescent="0.25">
      <c r="G6435" s="81"/>
      <c r="S6435" s="93"/>
    </row>
    <row r="6436" spans="7:19" x14ac:dyDescent="0.25">
      <c r="G6436" s="81"/>
      <c r="S6436" s="93"/>
    </row>
    <row r="6437" spans="7:19" x14ac:dyDescent="0.25">
      <c r="G6437" s="81"/>
      <c r="S6437" s="93"/>
    </row>
    <row r="6438" spans="7:19" x14ac:dyDescent="0.25">
      <c r="G6438" s="81"/>
      <c r="S6438" s="93"/>
    </row>
    <row r="6439" spans="7:19" x14ac:dyDescent="0.25">
      <c r="G6439" s="81"/>
      <c r="S6439" s="93"/>
    </row>
    <row r="6440" spans="7:19" x14ac:dyDescent="0.25">
      <c r="G6440" s="81"/>
      <c r="S6440" s="93"/>
    </row>
    <row r="6441" spans="7:19" x14ac:dyDescent="0.25">
      <c r="G6441" s="81"/>
      <c r="S6441" s="93"/>
    </row>
    <row r="6442" spans="7:19" x14ac:dyDescent="0.25">
      <c r="G6442" s="81"/>
      <c r="S6442" s="93"/>
    </row>
    <row r="6443" spans="7:19" x14ac:dyDescent="0.25">
      <c r="G6443" s="81"/>
      <c r="S6443" s="93"/>
    </row>
    <row r="6444" spans="7:19" x14ac:dyDescent="0.25">
      <c r="G6444" s="81"/>
      <c r="S6444" s="93"/>
    </row>
    <row r="6445" spans="7:19" x14ac:dyDescent="0.25">
      <c r="G6445" s="81"/>
      <c r="S6445" s="93"/>
    </row>
    <row r="6446" spans="7:19" x14ac:dyDescent="0.25">
      <c r="G6446" s="81"/>
      <c r="S6446" s="93"/>
    </row>
    <row r="6447" spans="7:19" x14ac:dyDescent="0.25">
      <c r="G6447" s="81"/>
      <c r="S6447" s="93"/>
    </row>
    <row r="6448" spans="7:19" x14ac:dyDescent="0.25">
      <c r="G6448" s="81"/>
      <c r="S6448" s="93"/>
    </row>
    <row r="6449" spans="7:19" x14ac:dyDescent="0.25">
      <c r="G6449" s="81"/>
      <c r="S6449" s="93"/>
    </row>
    <row r="6450" spans="7:19" x14ac:dyDescent="0.25">
      <c r="G6450" s="81"/>
      <c r="S6450" s="93"/>
    </row>
    <row r="6451" spans="7:19" x14ac:dyDescent="0.25">
      <c r="G6451" s="81"/>
      <c r="S6451" s="93"/>
    </row>
    <row r="6452" spans="7:19" x14ac:dyDescent="0.25">
      <c r="G6452" s="81"/>
      <c r="S6452" s="93"/>
    </row>
    <row r="6453" spans="7:19" x14ac:dyDescent="0.25">
      <c r="G6453" s="81"/>
      <c r="S6453" s="93"/>
    </row>
    <row r="6454" spans="7:19" x14ac:dyDescent="0.25">
      <c r="G6454" s="81"/>
      <c r="S6454" s="93"/>
    </row>
    <row r="6455" spans="7:19" x14ac:dyDescent="0.25">
      <c r="G6455" s="81"/>
      <c r="S6455" s="93"/>
    </row>
    <row r="6456" spans="7:19" x14ac:dyDescent="0.25">
      <c r="G6456" s="81"/>
      <c r="S6456" s="93"/>
    </row>
    <row r="6457" spans="7:19" x14ac:dyDescent="0.25">
      <c r="G6457" s="81"/>
      <c r="S6457" s="93"/>
    </row>
    <row r="6458" spans="7:19" x14ac:dyDescent="0.25">
      <c r="G6458" s="81"/>
      <c r="S6458" s="93"/>
    </row>
    <row r="6459" spans="7:19" x14ac:dyDescent="0.25">
      <c r="G6459" s="81"/>
      <c r="S6459" s="93"/>
    </row>
    <row r="6460" spans="7:19" x14ac:dyDescent="0.25">
      <c r="G6460" s="81"/>
      <c r="S6460" s="93"/>
    </row>
    <row r="6461" spans="7:19" x14ac:dyDescent="0.25">
      <c r="G6461" s="81"/>
      <c r="S6461" s="93"/>
    </row>
    <row r="6462" spans="7:19" x14ac:dyDescent="0.25">
      <c r="G6462" s="81"/>
      <c r="S6462" s="93"/>
    </row>
    <row r="6463" spans="7:19" x14ac:dyDescent="0.25">
      <c r="G6463" s="81"/>
      <c r="S6463" s="93"/>
    </row>
    <row r="6464" spans="7:19" x14ac:dyDescent="0.25">
      <c r="G6464" s="81"/>
      <c r="S6464" s="93"/>
    </row>
    <row r="6465" spans="7:19" x14ac:dyDescent="0.25">
      <c r="G6465" s="81"/>
      <c r="S6465" s="93"/>
    </row>
    <row r="6466" spans="7:19" x14ac:dyDescent="0.25">
      <c r="G6466" s="81"/>
      <c r="S6466" s="93"/>
    </row>
    <row r="6467" spans="7:19" x14ac:dyDescent="0.25">
      <c r="G6467" s="81"/>
      <c r="S6467" s="93"/>
    </row>
    <row r="6468" spans="7:19" x14ac:dyDescent="0.25">
      <c r="G6468" s="81"/>
      <c r="S6468" s="93"/>
    </row>
    <row r="6469" spans="7:19" x14ac:dyDescent="0.25">
      <c r="G6469" s="81"/>
      <c r="S6469" s="93"/>
    </row>
    <row r="6470" spans="7:19" x14ac:dyDescent="0.25">
      <c r="G6470" s="81"/>
      <c r="S6470" s="93"/>
    </row>
    <row r="6471" spans="7:19" x14ac:dyDescent="0.25">
      <c r="G6471" s="81"/>
      <c r="S6471" s="93"/>
    </row>
    <row r="6472" spans="7:19" x14ac:dyDescent="0.25">
      <c r="G6472" s="81"/>
      <c r="S6472" s="93"/>
    </row>
    <row r="6473" spans="7:19" x14ac:dyDescent="0.25">
      <c r="G6473" s="81"/>
      <c r="S6473" s="93"/>
    </row>
    <row r="6474" spans="7:19" x14ac:dyDescent="0.25">
      <c r="G6474" s="81"/>
      <c r="S6474" s="93"/>
    </row>
    <row r="6475" spans="7:19" x14ac:dyDescent="0.25">
      <c r="G6475" s="81"/>
      <c r="S6475" s="93"/>
    </row>
    <row r="6476" spans="7:19" x14ac:dyDescent="0.25">
      <c r="G6476" s="81"/>
      <c r="S6476" s="93"/>
    </row>
    <row r="6477" spans="7:19" x14ac:dyDescent="0.25">
      <c r="G6477" s="81"/>
      <c r="S6477" s="93"/>
    </row>
    <row r="6478" spans="7:19" x14ac:dyDescent="0.25">
      <c r="G6478" s="81"/>
      <c r="S6478" s="93"/>
    </row>
    <row r="6479" spans="7:19" x14ac:dyDescent="0.25">
      <c r="G6479" s="81"/>
      <c r="S6479" s="93"/>
    </row>
    <row r="6480" spans="7:19" x14ac:dyDescent="0.25">
      <c r="G6480" s="81"/>
      <c r="S6480" s="93"/>
    </row>
    <row r="6481" spans="7:19" x14ac:dyDescent="0.25">
      <c r="G6481" s="81"/>
      <c r="S6481" s="93"/>
    </row>
    <row r="6482" spans="7:19" x14ac:dyDescent="0.25">
      <c r="G6482" s="81"/>
      <c r="S6482" s="93"/>
    </row>
    <row r="6483" spans="7:19" x14ac:dyDescent="0.25">
      <c r="G6483" s="81"/>
      <c r="S6483" s="93"/>
    </row>
    <row r="6484" spans="7:19" x14ac:dyDescent="0.25">
      <c r="G6484" s="81"/>
      <c r="S6484" s="93"/>
    </row>
    <row r="6485" spans="7:19" x14ac:dyDescent="0.25">
      <c r="G6485" s="81"/>
      <c r="S6485" s="93"/>
    </row>
    <row r="6486" spans="7:19" x14ac:dyDescent="0.25">
      <c r="G6486" s="81"/>
      <c r="S6486" s="93"/>
    </row>
    <row r="6487" spans="7:19" x14ac:dyDescent="0.25">
      <c r="G6487" s="81"/>
      <c r="S6487" s="93"/>
    </row>
    <row r="6488" spans="7:19" x14ac:dyDescent="0.25">
      <c r="G6488" s="81"/>
      <c r="S6488" s="93"/>
    </row>
    <row r="6489" spans="7:19" x14ac:dyDescent="0.25">
      <c r="G6489" s="81"/>
      <c r="S6489" s="93"/>
    </row>
    <row r="6490" spans="7:19" x14ac:dyDescent="0.25">
      <c r="G6490" s="81"/>
      <c r="S6490" s="93"/>
    </row>
    <row r="6491" spans="7:19" x14ac:dyDescent="0.25">
      <c r="G6491" s="81"/>
      <c r="S6491" s="93"/>
    </row>
    <row r="6492" spans="7:19" x14ac:dyDescent="0.25">
      <c r="G6492" s="81"/>
      <c r="S6492" s="93"/>
    </row>
    <row r="6493" spans="7:19" x14ac:dyDescent="0.25">
      <c r="G6493" s="81"/>
      <c r="S6493" s="93"/>
    </row>
    <row r="6494" spans="7:19" x14ac:dyDescent="0.25">
      <c r="G6494" s="81"/>
      <c r="S6494" s="93"/>
    </row>
    <row r="6495" spans="7:19" x14ac:dyDescent="0.25">
      <c r="G6495" s="81"/>
      <c r="S6495" s="93"/>
    </row>
    <row r="6496" spans="7:19" x14ac:dyDescent="0.25">
      <c r="G6496" s="81"/>
      <c r="S6496" s="93"/>
    </row>
    <row r="6497" spans="7:19" x14ac:dyDescent="0.25">
      <c r="G6497" s="81"/>
      <c r="S6497" s="93"/>
    </row>
    <row r="6498" spans="7:19" x14ac:dyDescent="0.25">
      <c r="G6498" s="81"/>
      <c r="S6498" s="93"/>
    </row>
    <row r="6499" spans="7:19" x14ac:dyDescent="0.25">
      <c r="G6499" s="81"/>
      <c r="S6499" s="93"/>
    </row>
    <row r="6500" spans="7:19" x14ac:dyDescent="0.25">
      <c r="G6500" s="81"/>
      <c r="S6500" s="93"/>
    </row>
    <row r="6501" spans="7:19" x14ac:dyDescent="0.25">
      <c r="G6501" s="81"/>
      <c r="S6501" s="93"/>
    </row>
    <row r="6502" spans="7:19" x14ac:dyDescent="0.25">
      <c r="G6502" s="81"/>
      <c r="S6502" s="93"/>
    </row>
    <row r="6503" spans="7:19" x14ac:dyDescent="0.25">
      <c r="G6503" s="81"/>
      <c r="S6503" s="93"/>
    </row>
    <row r="6504" spans="7:19" x14ac:dyDescent="0.25">
      <c r="G6504" s="81"/>
      <c r="S6504" s="93"/>
    </row>
    <row r="6505" spans="7:19" x14ac:dyDescent="0.25">
      <c r="G6505" s="81"/>
      <c r="S6505" s="93"/>
    </row>
    <row r="6506" spans="7:19" x14ac:dyDescent="0.25">
      <c r="G6506" s="81"/>
      <c r="S6506" s="93"/>
    </row>
    <row r="6507" spans="7:19" x14ac:dyDescent="0.25">
      <c r="G6507" s="81"/>
      <c r="S6507" s="93"/>
    </row>
    <row r="6508" spans="7:19" x14ac:dyDescent="0.25">
      <c r="G6508" s="81"/>
      <c r="S6508" s="93"/>
    </row>
    <row r="6509" spans="7:19" x14ac:dyDescent="0.25">
      <c r="G6509" s="81"/>
      <c r="S6509" s="93"/>
    </row>
    <row r="6510" spans="7:19" x14ac:dyDescent="0.25">
      <c r="G6510" s="81"/>
      <c r="S6510" s="93"/>
    </row>
    <row r="6511" spans="7:19" x14ac:dyDescent="0.25">
      <c r="G6511" s="81"/>
      <c r="S6511" s="93"/>
    </row>
    <row r="6512" spans="7:19" x14ac:dyDescent="0.25">
      <c r="G6512" s="81"/>
      <c r="S6512" s="93"/>
    </row>
    <row r="6513" spans="7:19" x14ac:dyDescent="0.25">
      <c r="G6513" s="81"/>
      <c r="S6513" s="93"/>
    </row>
    <row r="6514" spans="7:19" x14ac:dyDescent="0.25">
      <c r="G6514" s="81"/>
      <c r="S6514" s="93"/>
    </row>
    <row r="6515" spans="7:19" x14ac:dyDescent="0.25">
      <c r="G6515" s="81"/>
      <c r="S6515" s="93"/>
    </row>
    <row r="6516" spans="7:19" x14ac:dyDescent="0.25">
      <c r="G6516" s="81"/>
      <c r="S6516" s="93"/>
    </row>
    <row r="6517" spans="7:19" x14ac:dyDescent="0.25">
      <c r="G6517" s="81"/>
      <c r="S6517" s="93"/>
    </row>
    <row r="6518" spans="7:19" x14ac:dyDescent="0.25">
      <c r="G6518" s="81"/>
      <c r="S6518" s="93"/>
    </row>
    <row r="6519" spans="7:19" x14ac:dyDescent="0.25">
      <c r="G6519" s="81"/>
      <c r="S6519" s="93"/>
    </row>
    <row r="6520" spans="7:19" x14ac:dyDescent="0.25">
      <c r="G6520" s="81"/>
      <c r="S6520" s="93"/>
    </row>
    <row r="6521" spans="7:19" x14ac:dyDescent="0.25">
      <c r="G6521" s="81"/>
      <c r="S6521" s="93"/>
    </row>
    <row r="6522" spans="7:19" x14ac:dyDescent="0.25">
      <c r="G6522" s="81"/>
      <c r="S6522" s="93"/>
    </row>
    <row r="6523" spans="7:19" x14ac:dyDescent="0.25">
      <c r="G6523" s="81"/>
      <c r="S6523" s="93"/>
    </row>
    <row r="6524" spans="7:19" x14ac:dyDescent="0.25">
      <c r="G6524" s="81"/>
      <c r="S6524" s="93"/>
    </row>
    <row r="6525" spans="7:19" x14ac:dyDescent="0.25">
      <c r="G6525" s="81"/>
      <c r="S6525" s="93"/>
    </row>
    <row r="6526" spans="7:19" x14ac:dyDescent="0.25">
      <c r="G6526" s="81"/>
      <c r="S6526" s="93"/>
    </row>
    <row r="6527" spans="7:19" x14ac:dyDescent="0.25">
      <c r="G6527" s="81"/>
      <c r="S6527" s="93"/>
    </row>
    <row r="6528" spans="7:19" x14ac:dyDescent="0.25">
      <c r="G6528" s="81"/>
      <c r="S6528" s="93"/>
    </row>
    <row r="6529" spans="7:19" x14ac:dyDescent="0.25">
      <c r="G6529" s="81"/>
      <c r="S6529" s="93"/>
    </row>
    <row r="6530" spans="7:19" x14ac:dyDescent="0.25">
      <c r="G6530" s="81"/>
      <c r="S6530" s="93"/>
    </row>
    <row r="6531" spans="7:19" x14ac:dyDescent="0.25">
      <c r="G6531" s="81"/>
      <c r="S6531" s="93"/>
    </row>
    <row r="6532" spans="7:19" x14ac:dyDescent="0.25">
      <c r="G6532" s="81"/>
      <c r="S6532" s="93"/>
    </row>
    <row r="6533" spans="7:19" x14ac:dyDescent="0.25">
      <c r="G6533" s="81"/>
      <c r="S6533" s="93"/>
    </row>
    <row r="6534" spans="7:19" x14ac:dyDescent="0.25">
      <c r="G6534" s="81"/>
      <c r="S6534" s="93"/>
    </row>
    <row r="6535" spans="7:19" x14ac:dyDescent="0.25">
      <c r="G6535" s="81"/>
      <c r="S6535" s="93"/>
    </row>
    <row r="6536" spans="7:19" x14ac:dyDescent="0.25">
      <c r="G6536" s="81"/>
      <c r="S6536" s="93"/>
    </row>
    <row r="6537" spans="7:19" x14ac:dyDescent="0.25">
      <c r="G6537" s="81"/>
      <c r="S6537" s="93"/>
    </row>
    <row r="6538" spans="7:19" x14ac:dyDescent="0.25">
      <c r="G6538" s="81"/>
      <c r="S6538" s="93"/>
    </row>
    <row r="6539" spans="7:19" x14ac:dyDescent="0.25">
      <c r="G6539" s="81"/>
      <c r="S6539" s="93"/>
    </row>
    <row r="6540" spans="7:19" x14ac:dyDescent="0.25">
      <c r="G6540" s="81"/>
      <c r="S6540" s="93"/>
    </row>
    <row r="6541" spans="7:19" x14ac:dyDescent="0.25">
      <c r="G6541" s="81"/>
      <c r="S6541" s="93"/>
    </row>
    <row r="6542" spans="7:19" x14ac:dyDescent="0.25">
      <c r="G6542" s="81"/>
      <c r="S6542" s="93"/>
    </row>
    <row r="6543" spans="7:19" x14ac:dyDescent="0.25">
      <c r="G6543" s="81"/>
      <c r="S6543" s="93"/>
    </row>
    <row r="6544" spans="7:19" x14ac:dyDescent="0.25">
      <c r="G6544" s="81"/>
      <c r="S6544" s="93"/>
    </row>
    <row r="6545" spans="7:19" x14ac:dyDescent="0.25">
      <c r="G6545" s="81"/>
      <c r="S6545" s="93"/>
    </row>
    <row r="6546" spans="7:19" x14ac:dyDescent="0.25">
      <c r="G6546" s="81"/>
      <c r="S6546" s="93"/>
    </row>
    <row r="6547" spans="7:19" x14ac:dyDescent="0.25">
      <c r="G6547" s="81"/>
      <c r="S6547" s="93"/>
    </row>
    <row r="6548" spans="7:19" x14ac:dyDescent="0.25">
      <c r="G6548" s="81"/>
      <c r="S6548" s="93"/>
    </row>
    <row r="6549" spans="7:19" x14ac:dyDescent="0.25">
      <c r="G6549" s="81"/>
      <c r="S6549" s="93"/>
    </row>
    <row r="6550" spans="7:19" x14ac:dyDescent="0.25">
      <c r="G6550" s="81"/>
      <c r="S6550" s="93"/>
    </row>
    <row r="6551" spans="7:19" x14ac:dyDescent="0.25">
      <c r="G6551" s="81"/>
      <c r="S6551" s="93"/>
    </row>
    <row r="6552" spans="7:19" x14ac:dyDescent="0.25">
      <c r="G6552" s="81"/>
      <c r="S6552" s="93"/>
    </row>
    <row r="6553" spans="7:19" x14ac:dyDescent="0.25">
      <c r="G6553" s="81"/>
      <c r="S6553" s="93"/>
    </row>
    <row r="6554" spans="7:19" x14ac:dyDescent="0.25">
      <c r="G6554" s="81"/>
      <c r="S6554" s="93"/>
    </row>
    <row r="6555" spans="7:19" x14ac:dyDescent="0.25">
      <c r="G6555" s="81"/>
      <c r="S6555" s="93"/>
    </row>
    <row r="6556" spans="7:19" x14ac:dyDescent="0.25">
      <c r="G6556" s="81"/>
      <c r="S6556" s="93"/>
    </row>
    <row r="6557" spans="7:19" x14ac:dyDescent="0.25">
      <c r="G6557" s="81"/>
      <c r="S6557" s="93"/>
    </row>
    <row r="6558" spans="7:19" x14ac:dyDescent="0.25">
      <c r="G6558" s="81"/>
      <c r="S6558" s="93"/>
    </row>
    <row r="6559" spans="7:19" x14ac:dyDescent="0.25">
      <c r="G6559" s="81"/>
      <c r="S6559" s="93"/>
    </row>
    <row r="6560" spans="7:19" x14ac:dyDescent="0.25">
      <c r="G6560" s="81"/>
      <c r="S6560" s="93"/>
    </row>
    <row r="6561" spans="7:19" x14ac:dyDescent="0.25">
      <c r="G6561" s="81"/>
      <c r="S6561" s="93"/>
    </row>
    <row r="6562" spans="7:19" x14ac:dyDescent="0.25">
      <c r="G6562" s="81"/>
      <c r="S6562" s="93"/>
    </row>
    <row r="6563" spans="7:19" x14ac:dyDescent="0.25">
      <c r="G6563" s="81"/>
      <c r="S6563" s="93"/>
    </row>
    <row r="6564" spans="7:19" x14ac:dyDescent="0.25">
      <c r="G6564" s="81"/>
      <c r="S6564" s="93"/>
    </row>
    <row r="6565" spans="7:19" x14ac:dyDescent="0.25">
      <c r="G6565" s="81"/>
      <c r="S6565" s="93"/>
    </row>
    <row r="6566" spans="7:19" x14ac:dyDescent="0.25">
      <c r="G6566" s="81"/>
      <c r="S6566" s="93"/>
    </row>
    <row r="6567" spans="7:19" x14ac:dyDescent="0.25">
      <c r="G6567" s="81"/>
      <c r="S6567" s="93"/>
    </row>
    <row r="6568" spans="7:19" x14ac:dyDescent="0.25">
      <c r="G6568" s="81"/>
      <c r="S6568" s="93"/>
    </row>
    <row r="6569" spans="7:19" x14ac:dyDescent="0.25">
      <c r="G6569" s="81"/>
      <c r="S6569" s="93"/>
    </row>
    <row r="6570" spans="7:19" x14ac:dyDescent="0.25">
      <c r="G6570" s="81"/>
      <c r="S6570" s="93"/>
    </row>
    <row r="6571" spans="7:19" x14ac:dyDescent="0.25">
      <c r="G6571" s="81"/>
      <c r="S6571" s="93"/>
    </row>
    <row r="6572" spans="7:19" x14ac:dyDescent="0.25">
      <c r="G6572" s="81"/>
      <c r="S6572" s="93"/>
    </row>
    <row r="6573" spans="7:19" x14ac:dyDescent="0.25">
      <c r="G6573" s="81"/>
      <c r="S6573" s="93"/>
    </row>
    <row r="6574" spans="7:19" x14ac:dyDescent="0.25">
      <c r="G6574" s="81"/>
      <c r="S6574" s="93"/>
    </row>
    <row r="6575" spans="7:19" x14ac:dyDescent="0.25">
      <c r="G6575" s="81"/>
      <c r="S6575" s="93"/>
    </row>
    <row r="6576" spans="7:19" x14ac:dyDescent="0.25">
      <c r="G6576" s="81"/>
      <c r="S6576" s="93"/>
    </row>
    <row r="6577" spans="7:19" x14ac:dyDescent="0.25">
      <c r="G6577" s="81"/>
      <c r="S6577" s="93"/>
    </row>
    <row r="6578" spans="7:19" x14ac:dyDescent="0.25">
      <c r="G6578" s="81"/>
      <c r="S6578" s="93"/>
    </row>
    <row r="6579" spans="7:19" x14ac:dyDescent="0.25">
      <c r="G6579" s="81"/>
      <c r="S6579" s="93"/>
    </row>
    <row r="6580" spans="7:19" x14ac:dyDescent="0.25">
      <c r="G6580" s="81"/>
      <c r="S6580" s="93"/>
    </row>
    <row r="6581" spans="7:19" x14ac:dyDescent="0.25">
      <c r="G6581" s="81"/>
      <c r="S6581" s="93"/>
    </row>
    <row r="6582" spans="7:19" x14ac:dyDescent="0.25">
      <c r="G6582" s="81"/>
      <c r="S6582" s="93"/>
    </row>
    <row r="6583" spans="7:19" x14ac:dyDescent="0.25">
      <c r="G6583" s="81"/>
      <c r="S6583" s="93"/>
    </row>
    <row r="6584" spans="7:19" x14ac:dyDescent="0.25">
      <c r="G6584" s="81"/>
      <c r="S6584" s="93"/>
    </row>
    <row r="6585" spans="7:19" x14ac:dyDescent="0.25">
      <c r="G6585" s="81"/>
      <c r="S6585" s="93"/>
    </row>
    <row r="6586" spans="7:19" x14ac:dyDescent="0.25">
      <c r="G6586" s="81"/>
      <c r="S6586" s="93"/>
    </row>
    <row r="6587" spans="7:19" x14ac:dyDescent="0.25">
      <c r="G6587" s="81"/>
      <c r="S6587" s="93"/>
    </row>
    <row r="6588" spans="7:19" x14ac:dyDescent="0.25">
      <c r="G6588" s="81"/>
      <c r="S6588" s="93"/>
    </row>
    <row r="6589" spans="7:19" x14ac:dyDescent="0.25">
      <c r="G6589" s="81"/>
      <c r="S6589" s="93"/>
    </row>
    <row r="6590" spans="7:19" x14ac:dyDescent="0.25">
      <c r="G6590" s="81"/>
      <c r="S6590" s="93"/>
    </row>
    <row r="6591" spans="7:19" x14ac:dyDescent="0.25">
      <c r="G6591" s="81"/>
      <c r="S6591" s="93"/>
    </row>
    <row r="6592" spans="7:19" x14ac:dyDescent="0.25">
      <c r="G6592" s="81"/>
      <c r="S6592" s="93"/>
    </row>
    <row r="6593" spans="7:19" x14ac:dyDescent="0.25">
      <c r="G6593" s="81"/>
      <c r="S6593" s="93"/>
    </row>
    <row r="6594" spans="7:19" x14ac:dyDescent="0.25">
      <c r="G6594" s="81"/>
      <c r="S6594" s="93"/>
    </row>
    <row r="6595" spans="7:19" x14ac:dyDescent="0.25">
      <c r="G6595" s="81"/>
      <c r="S6595" s="93"/>
    </row>
    <row r="6596" spans="7:19" x14ac:dyDescent="0.25">
      <c r="G6596" s="81"/>
      <c r="S6596" s="93"/>
    </row>
    <row r="6597" spans="7:19" x14ac:dyDescent="0.25">
      <c r="G6597" s="81"/>
      <c r="S6597" s="93"/>
    </row>
    <row r="6598" spans="7:19" x14ac:dyDescent="0.25">
      <c r="G6598" s="81"/>
      <c r="S6598" s="93"/>
    </row>
    <row r="6599" spans="7:19" x14ac:dyDescent="0.25">
      <c r="G6599" s="81"/>
      <c r="S6599" s="93"/>
    </row>
    <row r="6600" spans="7:19" x14ac:dyDescent="0.25">
      <c r="G6600" s="81"/>
      <c r="S6600" s="93"/>
    </row>
    <row r="6601" spans="7:19" x14ac:dyDescent="0.25">
      <c r="G6601" s="81"/>
      <c r="S6601" s="93"/>
    </row>
    <row r="6602" spans="7:19" x14ac:dyDescent="0.25">
      <c r="G6602" s="81"/>
      <c r="S6602" s="93"/>
    </row>
    <row r="6603" spans="7:19" x14ac:dyDescent="0.25">
      <c r="G6603" s="81"/>
      <c r="S6603" s="93"/>
    </row>
    <row r="6604" spans="7:19" x14ac:dyDescent="0.25">
      <c r="G6604" s="81"/>
      <c r="S6604" s="93"/>
    </row>
    <row r="6605" spans="7:19" x14ac:dyDescent="0.25">
      <c r="G6605" s="81"/>
      <c r="S6605" s="93"/>
    </row>
    <row r="6606" spans="7:19" x14ac:dyDescent="0.25">
      <c r="G6606" s="81"/>
      <c r="S6606" s="93"/>
    </row>
    <row r="6607" spans="7:19" x14ac:dyDescent="0.25">
      <c r="G6607" s="81"/>
      <c r="S6607" s="93"/>
    </row>
    <row r="6608" spans="7:19" x14ac:dyDescent="0.25">
      <c r="G6608" s="81"/>
      <c r="S6608" s="93"/>
    </row>
    <row r="6609" spans="7:19" x14ac:dyDescent="0.25">
      <c r="G6609" s="81"/>
      <c r="S6609" s="93"/>
    </row>
    <row r="6610" spans="7:19" x14ac:dyDescent="0.25">
      <c r="G6610" s="81"/>
      <c r="S6610" s="93"/>
    </row>
    <row r="6611" spans="7:19" x14ac:dyDescent="0.25">
      <c r="G6611" s="81"/>
      <c r="S6611" s="93"/>
    </row>
    <row r="6612" spans="7:19" x14ac:dyDescent="0.25">
      <c r="G6612" s="81"/>
      <c r="S6612" s="93"/>
    </row>
    <row r="6613" spans="7:19" x14ac:dyDescent="0.25">
      <c r="G6613" s="81"/>
      <c r="S6613" s="93"/>
    </row>
    <row r="6614" spans="7:19" x14ac:dyDescent="0.25">
      <c r="G6614" s="81"/>
      <c r="S6614" s="93"/>
    </row>
    <row r="6615" spans="7:19" x14ac:dyDescent="0.25">
      <c r="G6615" s="81"/>
      <c r="S6615" s="93"/>
    </row>
    <row r="6616" spans="7:19" x14ac:dyDescent="0.25">
      <c r="G6616" s="81"/>
      <c r="S6616" s="93"/>
    </row>
    <row r="6617" spans="7:19" x14ac:dyDescent="0.25">
      <c r="G6617" s="81"/>
      <c r="S6617" s="93"/>
    </row>
    <row r="6618" spans="7:19" x14ac:dyDescent="0.25">
      <c r="G6618" s="81"/>
      <c r="S6618" s="93"/>
    </row>
    <row r="6619" spans="7:19" x14ac:dyDescent="0.25">
      <c r="G6619" s="81"/>
      <c r="S6619" s="93"/>
    </row>
    <row r="6620" spans="7:19" x14ac:dyDescent="0.25">
      <c r="G6620" s="81"/>
      <c r="S6620" s="93"/>
    </row>
    <row r="6621" spans="7:19" x14ac:dyDescent="0.25">
      <c r="G6621" s="81"/>
      <c r="S6621" s="93"/>
    </row>
    <row r="6622" spans="7:19" x14ac:dyDescent="0.25">
      <c r="G6622" s="81"/>
      <c r="S6622" s="93"/>
    </row>
    <row r="6623" spans="7:19" x14ac:dyDescent="0.25">
      <c r="G6623" s="81"/>
      <c r="S6623" s="93"/>
    </row>
    <row r="6624" spans="7:19" x14ac:dyDescent="0.25">
      <c r="G6624" s="81"/>
      <c r="S6624" s="93"/>
    </row>
    <row r="6625" spans="7:19" x14ac:dyDescent="0.25">
      <c r="G6625" s="81"/>
      <c r="S6625" s="93"/>
    </row>
    <row r="6626" spans="7:19" x14ac:dyDescent="0.25">
      <c r="G6626" s="81"/>
      <c r="S6626" s="93"/>
    </row>
    <row r="6627" spans="7:19" x14ac:dyDescent="0.25">
      <c r="G6627" s="81"/>
      <c r="S6627" s="93"/>
    </row>
    <row r="6628" spans="7:19" x14ac:dyDescent="0.25">
      <c r="G6628" s="81"/>
      <c r="S6628" s="93"/>
    </row>
    <row r="6629" spans="7:19" x14ac:dyDescent="0.25">
      <c r="G6629" s="81"/>
      <c r="S6629" s="93"/>
    </row>
    <row r="6630" spans="7:19" x14ac:dyDescent="0.25">
      <c r="G6630" s="81"/>
      <c r="S6630" s="93"/>
    </row>
    <row r="6631" spans="7:19" x14ac:dyDescent="0.25">
      <c r="G6631" s="81"/>
      <c r="S6631" s="93"/>
    </row>
    <row r="6632" spans="7:19" x14ac:dyDescent="0.25">
      <c r="G6632" s="81"/>
      <c r="S6632" s="93"/>
    </row>
    <row r="6633" spans="7:19" x14ac:dyDescent="0.25">
      <c r="G6633" s="81"/>
      <c r="S6633" s="93"/>
    </row>
    <row r="6634" spans="7:19" x14ac:dyDescent="0.25">
      <c r="G6634" s="81"/>
      <c r="S6634" s="93"/>
    </row>
    <row r="6635" spans="7:19" x14ac:dyDescent="0.25">
      <c r="G6635" s="81"/>
      <c r="S6635" s="93"/>
    </row>
    <row r="6636" spans="7:19" x14ac:dyDescent="0.25">
      <c r="G6636" s="81"/>
      <c r="S6636" s="93"/>
    </row>
    <row r="6637" spans="7:19" x14ac:dyDescent="0.25">
      <c r="G6637" s="81"/>
      <c r="S6637" s="93"/>
    </row>
    <row r="6638" spans="7:19" x14ac:dyDescent="0.25">
      <c r="G6638" s="81"/>
      <c r="S6638" s="93"/>
    </row>
    <row r="6639" spans="7:19" x14ac:dyDescent="0.25">
      <c r="G6639" s="81"/>
      <c r="S6639" s="93"/>
    </row>
    <row r="6640" spans="7:19" x14ac:dyDescent="0.25">
      <c r="G6640" s="81"/>
      <c r="S6640" s="93"/>
    </row>
    <row r="6641" spans="7:19" x14ac:dyDescent="0.25">
      <c r="G6641" s="81"/>
      <c r="S6641" s="93"/>
    </row>
    <row r="6642" spans="7:19" x14ac:dyDescent="0.25">
      <c r="G6642" s="81"/>
      <c r="S6642" s="93"/>
    </row>
    <row r="6643" spans="7:19" x14ac:dyDescent="0.25">
      <c r="G6643" s="81"/>
      <c r="S6643" s="93"/>
    </row>
    <row r="6644" spans="7:19" x14ac:dyDescent="0.25">
      <c r="G6644" s="81"/>
      <c r="S6644" s="93"/>
    </row>
    <row r="6645" spans="7:19" x14ac:dyDescent="0.25">
      <c r="G6645" s="81"/>
      <c r="S6645" s="93"/>
    </row>
    <row r="6646" spans="7:19" x14ac:dyDescent="0.25">
      <c r="G6646" s="81"/>
      <c r="S6646" s="93"/>
    </row>
    <row r="6647" spans="7:19" x14ac:dyDescent="0.25">
      <c r="G6647" s="81"/>
      <c r="S6647" s="93"/>
    </row>
    <row r="6648" spans="7:19" x14ac:dyDescent="0.25">
      <c r="G6648" s="81"/>
      <c r="S6648" s="93"/>
    </row>
    <row r="6649" spans="7:19" x14ac:dyDescent="0.25">
      <c r="G6649" s="81"/>
      <c r="S6649" s="93"/>
    </row>
    <row r="6650" spans="7:19" x14ac:dyDescent="0.25">
      <c r="G6650" s="81"/>
      <c r="S6650" s="93"/>
    </row>
    <row r="6651" spans="7:19" x14ac:dyDescent="0.25">
      <c r="G6651" s="81"/>
      <c r="S6651" s="93"/>
    </row>
    <row r="6652" spans="7:19" x14ac:dyDescent="0.25">
      <c r="G6652" s="81"/>
      <c r="S6652" s="93"/>
    </row>
    <row r="6653" spans="7:19" x14ac:dyDescent="0.25">
      <c r="G6653" s="81"/>
      <c r="S6653" s="93"/>
    </row>
    <row r="6654" spans="7:19" x14ac:dyDescent="0.25">
      <c r="G6654" s="81"/>
      <c r="S6654" s="93"/>
    </row>
    <row r="6655" spans="7:19" x14ac:dyDescent="0.25">
      <c r="G6655" s="81"/>
      <c r="S6655" s="93"/>
    </row>
    <row r="6656" spans="7:19" x14ac:dyDescent="0.25">
      <c r="G6656" s="81"/>
      <c r="S6656" s="93"/>
    </row>
    <row r="6657" spans="7:19" x14ac:dyDescent="0.25">
      <c r="G6657" s="81"/>
      <c r="S6657" s="93"/>
    </row>
    <row r="6658" spans="7:19" x14ac:dyDescent="0.25">
      <c r="G6658" s="81"/>
      <c r="S6658" s="93"/>
    </row>
    <row r="6659" spans="7:19" x14ac:dyDescent="0.25">
      <c r="G6659" s="81"/>
      <c r="S6659" s="93"/>
    </row>
    <row r="6660" spans="7:19" x14ac:dyDescent="0.25">
      <c r="G6660" s="81"/>
      <c r="S6660" s="93"/>
    </row>
    <row r="6661" spans="7:19" x14ac:dyDescent="0.25">
      <c r="G6661" s="81"/>
      <c r="S6661" s="93"/>
    </row>
    <row r="6662" spans="7:19" x14ac:dyDescent="0.25">
      <c r="G6662" s="81"/>
      <c r="S6662" s="93"/>
    </row>
    <row r="6663" spans="7:19" x14ac:dyDescent="0.25">
      <c r="G6663" s="81"/>
      <c r="S6663" s="93"/>
    </row>
    <row r="6664" spans="7:19" x14ac:dyDescent="0.25">
      <c r="G6664" s="81"/>
      <c r="S6664" s="93"/>
    </row>
    <row r="6665" spans="7:19" x14ac:dyDescent="0.25">
      <c r="G6665" s="81"/>
      <c r="S6665" s="93"/>
    </row>
    <row r="6666" spans="7:19" x14ac:dyDescent="0.25">
      <c r="G6666" s="81"/>
      <c r="S6666" s="93"/>
    </row>
    <row r="6667" spans="7:19" x14ac:dyDescent="0.25">
      <c r="G6667" s="81"/>
      <c r="S6667" s="93"/>
    </row>
    <row r="6668" spans="7:19" x14ac:dyDescent="0.25">
      <c r="G6668" s="81"/>
      <c r="S6668" s="93"/>
    </row>
    <row r="6669" spans="7:19" x14ac:dyDescent="0.25">
      <c r="G6669" s="81"/>
      <c r="S6669" s="93"/>
    </row>
    <row r="6670" spans="7:19" x14ac:dyDescent="0.25">
      <c r="G6670" s="81"/>
      <c r="S6670" s="93"/>
    </row>
    <row r="6671" spans="7:19" x14ac:dyDescent="0.25">
      <c r="G6671" s="81"/>
      <c r="S6671" s="93"/>
    </row>
    <row r="6672" spans="7:19" x14ac:dyDescent="0.25">
      <c r="G6672" s="81"/>
      <c r="S6672" s="93"/>
    </row>
    <row r="6673" spans="7:19" x14ac:dyDescent="0.25">
      <c r="G6673" s="81"/>
      <c r="S6673" s="93"/>
    </row>
    <row r="6674" spans="7:19" x14ac:dyDescent="0.25">
      <c r="G6674" s="81"/>
      <c r="S6674" s="93"/>
    </row>
    <row r="6675" spans="7:19" x14ac:dyDescent="0.25">
      <c r="G6675" s="81"/>
      <c r="S6675" s="93"/>
    </row>
    <row r="6676" spans="7:19" x14ac:dyDescent="0.25">
      <c r="G6676" s="81"/>
      <c r="S6676" s="93"/>
    </row>
    <row r="6677" spans="7:19" x14ac:dyDescent="0.25">
      <c r="G6677" s="81"/>
      <c r="S6677" s="93"/>
    </row>
    <row r="6678" spans="7:19" x14ac:dyDescent="0.25">
      <c r="G6678" s="81"/>
      <c r="S6678" s="93"/>
    </row>
    <row r="6679" spans="7:19" x14ac:dyDescent="0.25">
      <c r="G6679" s="81"/>
      <c r="S6679" s="93"/>
    </row>
    <row r="6680" spans="7:19" x14ac:dyDescent="0.25">
      <c r="G6680" s="81"/>
      <c r="S6680" s="93"/>
    </row>
    <row r="6681" spans="7:19" x14ac:dyDescent="0.25">
      <c r="G6681" s="81"/>
      <c r="S6681" s="93"/>
    </row>
    <row r="6682" spans="7:19" x14ac:dyDescent="0.25">
      <c r="G6682" s="81"/>
      <c r="S6682" s="93"/>
    </row>
    <row r="6683" spans="7:19" x14ac:dyDescent="0.25">
      <c r="G6683" s="81"/>
      <c r="S6683" s="93"/>
    </row>
    <row r="6684" spans="7:19" x14ac:dyDescent="0.25">
      <c r="G6684" s="81"/>
      <c r="S6684" s="93"/>
    </row>
    <row r="6685" spans="7:19" x14ac:dyDescent="0.25">
      <c r="G6685" s="81"/>
      <c r="S6685" s="93"/>
    </row>
    <row r="6686" spans="7:19" x14ac:dyDescent="0.25">
      <c r="G6686" s="81"/>
      <c r="S6686" s="93"/>
    </row>
    <row r="6687" spans="7:19" x14ac:dyDescent="0.25">
      <c r="G6687" s="81"/>
      <c r="S6687" s="93"/>
    </row>
    <row r="6688" spans="7:19" x14ac:dyDescent="0.25">
      <c r="G6688" s="81"/>
      <c r="S6688" s="93"/>
    </row>
    <row r="6689" spans="7:19" x14ac:dyDescent="0.25">
      <c r="G6689" s="81"/>
      <c r="S6689" s="93"/>
    </row>
    <row r="6690" spans="7:19" x14ac:dyDescent="0.25">
      <c r="G6690" s="81"/>
      <c r="S6690" s="93"/>
    </row>
    <row r="6691" spans="7:19" x14ac:dyDescent="0.25">
      <c r="G6691" s="81"/>
      <c r="S6691" s="93"/>
    </row>
    <row r="6692" spans="7:19" x14ac:dyDescent="0.25">
      <c r="G6692" s="81"/>
      <c r="S6692" s="93"/>
    </row>
    <row r="6693" spans="7:19" x14ac:dyDescent="0.25">
      <c r="G6693" s="81"/>
      <c r="S6693" s="93"/>
    </row>
    <row r="6694" spans="7:19" x14ac:dyDescent="0.25">
      <c r="G6694" s="81"/>
      <c r="S6694" s="93"/>
    </row>
    <row r="6695" spans="7:19" x14ac:dyDescent="0.25">
      <c r="G6695" s="81"/>
      <c r="S6695" s="93"/>
    </row>
    <row r="6696" spans="7:19" x14ac:dyDescent="0.25">
      <c r="G6696" s="81"/>
      <c r="S6696" s="93"/>
    </row>
    <row r="6697" spans="7:19" x14ac:dyDescent="0.25">
      <c r="G6697" s="81"/>
      <c r="S6697" s="93"/>
    </row>
    <row r="6698" spans="7:19" x14ac:dyDescent="0.25">
      <c r="G6698" s="81"/>
      <c r="S6698" s="93"/>
    </row>
    <row r="6699" spans="7:19" x14ac:dyDescent="0.25">
      <c r="G6699" s="81"/>
      <c r="S6699" s="93"/>
    </row>
    <row r="6700" spans="7:19" x14ac:dyDescent="0.25">
      <c r="G6700" s="81"/>
      <c r="S6700" s="93"/>
    </row>
    <row r="6701" spans="7:19" x14ac:dyDescent="0.25">
      <c r="G6701" s="81"/>
      <c r="S6701" s="93"/>
    </row>
    <row r="6702" spans="7:19" x14ac:dyDescent="0.25">
      <c r="G6702" s="81"/>
      <c r="S6702" s="93"/>
    </row>
    <row r="6703" spans="7:19" x14ac:dyDescent="0.25">
      <c r="G6703" s="81"/>
      <c r="S6703" s="93"/>
    </row>
    <row r="6704" spans="7:19" x14ac:dyDescent="0.25">
      <c r="G6704" s="81"/>
      <c r="S6704" s="93"/>
    </row>
    <row r="6705" spans="7:19" x14ac:dyDescent="0.25">
      <c r="G6705" s="81"/>
      <c r="S6705" s="93"/>
    </row>
    <row r="6706" spans="7:19" x14ac:dyDescent="0.25">
      <c r="G6706" s="81"/>
      <c r="S6706" s="93"/>
    </row>
    <row r="6707" spans="7:19" x14ac:dyDescent="0.25">
      <c r="G6707" s="81"/>
      <c r="S6707" s="93"/>
    </row>
    <row r="6708" spans="7:19" x14ac:dyDescent="0.25">
      <c r="G6708" s="81"/>
      <c r="S6708" s="93"/>
    </row>
    <row r="6709" spans="7:19" x14ac:dyDescent="0.25">
      <c r="G6709" s="81"/>
      <c r="S6709" s="93"/>
    </row>
    <row r="6710" spans="7:19" x14ac:dyDescent="0.25">
      <c r="G6710" s="81"/>
      <c r="S6710" s="93"/>
    </row>
    <row r="6711" spans="7:19" x14ac:dyDescent="0.25">
      <c r="G6711" s="81"/>
      <c r="S6711" s="93"/>
    </row>
    <row r="6712" spans="7:19" x14ac:dyDescent="0.25">
      <c r="G6712" s="81"/>
      <c r="S6712" s="93"/>
    </row>
    <row r="6713" spans="7:19" x14ac:dyDescent="0.25">
      <c r="G6713" s="81"/>
      <c r="S6713" s="93"/>
    </row>
    <row r="6714" spans="7:19" x14ac:dyDescent="0.25">
      <c r="G6714" s="81"/>
      <c r="S6714" s="93"/>
    </row>
    <row r="6715" spans="7:19" x14ac:dyDescent="0.25">
      <c r="G6715" s="81"/>
      <c r="S6715" s="93"/>
    </row>
    <row r="6716" spans="7:19" x14ac:dyDescent="0.25">
      <c r="G6716" s="81"/>
      <c r="S6716" s="93"/>
    </row>
    <row r="6717" spans="7:19" x14ac:dyDescent="0.25">
      <c r="G6717" s="81"/>
      <c r="S6717" s="93"/>
    </row>
    <row r="6718" spans="7:19" x14ac:dyDescent="0.25">
      <c r="G6718" s="81"/>
      <c r="S6718" s="93"/>
    </row>
    <row r="6719" spans="7:19" x14ac:dyDescent="0.25">
      <c r="G6719" s="81"/>
      <c r="S6719" s="93"/>
    </row>
    <row r="6720" spans="7:19" x14ac:dyDescent="0.25">
      <c r="G6720" s="81"/>
      <c r="S6720" s="93"/>
    </row>
    <row r="6721" spans="7:19" x14ac:dyDescent="0.25">
      <c r="G6721" s="81"/>
      <c r="S6721" s="93"/>
    </row>
    <row r="6722" spans="7:19" x14ac:dyDescent="0.25">
      <c r="G6722" s="81"/>
      <c r="S6722" s="93"/>
    </row>
    <row r="6723" spans="7:19" x14ac:dyDescent="0.25">
      <c r="G6723" s="81"/>
      <c r="S6723" s="93"/>
    </row>
    <row r="6724" spans="7:19" x14ac:dyDescent="0.25">
      <c r="G6724" s="81"/>
      <c r="S6724" s="93"/>
    </row>
    <row r="6725" spans="7:19" x14ac:dyDescent="0.25">
      <c r="G6725" s="81"/>
      <c r="S6725" s="93"/>
    </row>
    <row r="6726" spans="7:19" x14ac:dyDescent="0.25">
      <c r="G6726" s="81"/>
      <c r="S6726" s="93"/>
    </row>
    <row r="6727" spans="7:19" x14ac:dyDescent="0.25">
      <c r="G6727" s="81"/>
      <c r="S6727" s="93"/>
    </row>
    <row r="6728" spans="7:19" x14ac:dyDescent="0.25">
      <c r="G6728" s="81"/>
      <c r="S6728" s="93"/>
    </row>
    <row r="6729" spans="7:19" x14ac:dyDescent="0.25">
      <c r="G6729" s="81"/>
      <c r="S6729" s="93"/>
    </row>
    <row r="6730" spans="7:19" x14ac:dyDescent="0.25">
      <c r="G6730" s="81"/>
      <c r="S6730" s="93"/>
    </row>
    <row r="6731" spans="7:19" x14ac:dyDescent="0.25">
      <c r="G6731" s="81"/>
      <c r="S6731" s="93"/>
    </row>
    <row r="6732" spans="7:19" x14ac:dyDescent="0.25">
      <c r="G6732" s="81"/>
      <c r="S6732" s="93"/>
    </row>
    <row r="6733" spans="7:19" x14ac:dyDescent="0.25">
      <c r="G6733" s="81"/>
      <c r="S6733" s="93"/>
    </row>
    <row r="6734" spans="7:19" x14ac:dyDescent="0.25">
      <c r="G6734" s="81"/>
      <c r="S6734" s="93"/>
    </row>
    <row r="6735" spans="7:19" x14ac:dyDescent="0.25">
      <c r="G6735" s="81"/>
      <c r="S6735" s="93"/>
    </row>
    <row r="6736" spans="7:19" x14ac:dyDescent="0.25">
      <c r="G6736" s="81"/>
      <c r="S6736" s="93"/>
    </row>
    <row r="6737" spans="7:19" x14ac:dyDescent="0.25">
      <c r="G6737" s="81"/>
      <c r="S6737" s="93"/>
    </row>
    <row r="6738" spans="7:19" x14ac:dyDescent="0.25">
      <c r="G6738" s="81"/>
      <c r="S6738" s="93"/>
    </row>
    <row r="6739" spans="7:19" x14ac:dyDescent="0.25">
      <c r="G6739" s="81"/>
      <c r="S6739" s="93"/>
    </row>
    <row r="6740" spans="7:19" x14ac:dyDescent="0.25">
      <c r="G6740" s="81"/>
      <c r="S6740" s="93"/>
    </row>
    <row r="6741" spans="7:19" x14ac:dyDescent="0.25">
      <c r="G6741" s="81"/>
      <c r="S6741" s="93"/>
    </row>
    <row r="6742" spans="7:19" x14ac:dyDescent="0.25">
      <c r="G6742" s="81"/>
      <c r="S6742" s="93"/>
    </row>
    <row r="6743" spans="7:19" x14ac:dyDescent="0.25">
      <c r="G6743" s="81"/>
      <c r="S6743" s="93"/>
    </row>
    <row r="6744" spans="7:19" x14ac:dyDescent="0.25">
      <c r="G6744" s="81"/>
      <c r="S6744" s="93"/>
    </row>
    <row r="6745" spans="7:19" x14ac:dyDescent="0.25">
      <c r="G6745" s="81"/>
      <c r="S6745" s="93"/>
    </row>
    <row r="6746" spans="7:19" x14ac:dyDescent="0.25">
      <c r="G6746" s="81"/>
      <c r="S6746" s="93"/>
    </row>
    <row r="6747" spans="7:19" x14ac:dyDescent="0.25">
      <c r="G6747" s="81"/>
      <c r="S6747" s="93"/>
    </row>
    <row r="6748" spans="7:19" x14ac:dyDescent="0.25">
      <c r="G6748" s="81"/>
      <c r="S6748" s="93"/>
    </row>
    <row r="6749" spans="7:19" x14ac:dyDescent="0.25">
      <c r="G6749" s="81"/>
      <c r="S6749" s="93"/>
    </row>
    <row r="6750" spans="7:19" x14ac:dyDescent="0.25">
      <c r="G6750" s="81"/>
      <c r="S6750" s="93"/>
    </row>
    <row r="6751" spans="7:19" x14ac:dyDescent="0.25">
      <c r="G6751" s="81"/>
      <c r="S6751" s="93"/>
    </row>
    <row r="6752" spans="7:19" x14ac:dyDescent="0.25">
      <c r="G6752" s="81"/>
      <c r="S6752" s="93"/>
    </row>
    <row r="6753" spans="7:19" x14ac:dyDescent="0.25">
      <c r="G6753" s="81"/>
      <c r="S6753" s="93"/>
    </row>
    <row r="6754" spans="7:19" x14ac:dyDescent="0.25">
      <c r="G6754" s="81"/>
      <c r="S6754" s="93"/>
    </row>
    <row r="6755" spans="7:19" x14ac:dyDescent="0.25">
      <c r="G6755" s="81"/>
      <c r="S6755" s="93"/>
    </row>
    <row r="6756" spans="7:19" x14ac:dyDescent="0.25">
      <c r="G6756" s="81"/>
      <c r="S6756" s="93"/>
    </row>
    <row r="6757" spans="7:19" x14ac:dyDescent="0.25">
      <c r="G6757" s="81"/>
      <c r="S6757" s="93"/>
    </row>
    <row r="6758" spans="7:19" x14ac:dyDescent="0.25">
      <c r="G6758" s="81"/>
      <c r="S6758" s="93"/>
    </row>
    <row r="6759" spans="7:19" x14ac:dyDescent="0.25">
      <c r="G6759" s="81"/>
      <c r="S6759" s="93"/>
    </row>
    <row r="6760" spans="7:19" x14ac:dyDescent="0.25">
      <c r="G6760" s="81"/>
      <c r="S6760" s="93"/>
    </row>
    <row r="6761" spans="7:19" x14ac:dyDescent="0.25">
      <c r="G6761" s="81"/>
      <c r="S6761" s="93"/>
    </row>
    <row r="6762" spans="7:19" x14ac:dyDescent="0.25">
      <c r="G6762" s="81"/>
      <c r="S6762" s="93"/>
    </row>
    <row r="6763" spans="7:19" x14ac:dyDescent="0.25">
      <c r="G6763" s="81"/>
      <c r="S6763" s="93"/>
    </row>
    <row r="6764" spans="7:19" x14ac:dyDescent="0.25">
      <c r="G6764" s="81"/>
      <c r="S6764" s="93"/>
    </row>
    <row r="6765" spans="7:19" x14ac:dyDescent="0.25">
      <c r="G6765" s="81"/>
      <c r="S6765" s="93"/>
    </row>
    <row r="6766" spans="7:19" x14ac:dyDescent="0.25">
      <c r="G6766" s="81"/>
      <c r="S6766" s="93"/>
    </row>
    <row r="6767" spans="7:19" x14ac:dyDescent="0.25">
      <c r="G6767" s="81"/>
      <c r="S6767" s="93"/>
    </row>
    <row r="6768" spans="7:19" x14ac:dyDescent="0.25">
      <c r="G6768" s="81"/>
      <c r="S6768" s="93"/>
    </row>
    <row r="6769" spans="7:19" x14ac:dyDescent="0.25">
      <c r="G6769" s="81"/>
      <c r="S6769" s="93"/>
    </row>
    <row r="6770" spans="7:19" x14ac:dyDescent="0.25">
      <c r="G6770" s="81"/>
      <c r="S6770" s="93"/>
    </row>
    <row r="6771" spans="7:19" x14ac:dyDescent="0.25">
      <c r="G6771" s="81"/>
      <c r="S6771" s="93"/>
    </row>
    <row r="6772" spans="7:19" x14ac:dyDescent="0.25">
      <c r="G6772" s="81"/>
      <c r="S6772" s="93"/>
    </row>
    <row r="6773" spans="7:19" x14ac:dyDescent="0.25">
      <c r="G6773" s="81"/>
      <c r="S6773" s="93"/>
    </row>
    <row r="6774" spans="7:19" x14ac:dyDescent="0.25">
      <c r="G6774" s="81"/>
      <c r="S6774" s="93"/>
    </row>
    <row r="6775" spans="7:19" x14ac:dyDescent="0.25">
      <c r="G6775" s="81"/>
      <c r="S6775" s="93"/>
    </row>
    <row r="6776" spans="7:19" x14ac:dyDescent="0.25">
      <c r="G6776" s="81"/>
      <c r="S6776" s="93"/>
    </row>
    <row r="6777" spans="7:19" x14ac:dyDescent="0.25">
      <c r="G6777" s="81"/>
      <c r="S6777" s="93"/>
    </row>
    <row r="6778" spans="7:19" x14ac:dyDescent="0.25">
      <c r="G6778" s="81"/>
      <c r="S6778" s="93"/>
    </row>
    <row r="6779" spans="7:19" x14ac:dyDescent="0.25">
      <c r="G6779" s="81"/>
      <c r="S6779" s="93"/>
    </row>
    <row r="6780" spans="7:19" x14ac:dyDescent="0.25">
      <c r="G6780" s="81"/>
      <c r="S6780" s="93"/>
    </row>
    <row r="6781" spans="7:19" x14ac:dyDescent="0.25">
      <c r="G6781" s="81"/>
      <c r="S6781" s="93"/>
    </row>
    <row r="6782" spans="7:19" x14ac:dyDescent="0.25">
      <c r="G6782" s="81"/>
      <c r="S6782" s="93"/>
    </row>
    <row r="6783" spans="7:19" x14ac:dyDescent="0.25">
      <c r="G6783" s="81"/>
      <c r="S6783" s="81"/>
    </row>
    <row r="6784" spans="7:19" x14ac:dyDescent="0.25">
      <c r="G6784" s="81"/>
      <c r="S6784" s="81"/>
    </row>
    <row r="6785" spans="7:19" x14ac:dyDescent="0.25">
      <c r="G6785" s="81"/>
      <c r="S6785" s="81"/>
    </row>
    <row r="6786" spans="7:19" x14ac:dyDescent="0.25">
      <c r="G6786" s="81"/>
      <c r="S6786" s="81"/>
    </row>
    <row r="6787" spans="7:19" x14ac:dyDescent="0.25">
      <c r="G6787" s="81"/>
      <c r="S6787" s="81"/>
    </row>
    <row r="6788" spans="7:19" x14ac:dyDescent="0.25">
      <c r="G6788" s="81"/>
      <c r="S6788" s="81"/>
    </row>
    <row r="6789" spans="7:19" x14ac:dyDescent="0.25">
      <c r="G6789" s="81"/>
      <c r="S6789" s="81"/>
    </row>
    <row r="6790" spans="7:19" x14ac:dyDescent="0.25">
      <c r="G6790" s="81"/>
      <c r="S6790" s="81"/>
    </row>
    <row r="6791" spans="7:19" x14ac:dyDescent="0.25">
      <c r="G6791" s="81"/>
      <c r="S6791" s="81"/>
    </row>
    <row r="6792" spans="7:19" x14ac:dyDescent="0.25">
      <c r="G6792" s="81"/>
      <c r="S6792" s="81"/>
    </row>
    <row r="6793" spans="7:19" x14ac:dyDescent="0.25">
      <c r="G6793" s="81"/>
      <c r="S6793" s="81"/>
    </row>
    <row r="6794" spans="7:19" x14ac:dyDescent="0.25">
      <c r="G6794" s="81"/>
      <c r="S6794" s="81"/>
    </row>
    <row r="6795" spans="7:19" x14ac:dyDescent="0.25">
      <c r="G6795" s="81"/>
      <c r="S6795" s="81"/>
    </row>
    <row r="6796" spans="7:19" x14ac:dyDescent="0.25">
      <c r="G6796" s="81"/>
      <c r="S6796" s="81"/>
    </row>
    <row r="6797" spans="7:19" x14ac:dyDescent="0.25">
      <c r="G6797" s="81"/>
      <c r="S6797" s="81"/>
    </row>
    <row r="6798" spans="7:19" x14ac:dyDescent="0.25">
      <c r="G6798" s="81"/>
      <c r="S6798" s="81"/>
    </row>
    <row r="6799" spans="7:19" x14ac:dyDescent="0.25">
      <c r="G6799" s="81"/>
      <c r="S6799" s="81"/>
    </row>
    <row r="6800" spans="7:19" x14ac:dyDescent="0.25">
      <c r="G6800" s="81"/>
      <c r="S6800" s="81"/>
    </row>
    <row r="6801" spans="7:19" x14ac:dyDescent="0.25">
      <c r="G6801" s="81"/>
      <c r="S6801" s="81"/>
    </row>
    <row r="6802" spans="7:19" x14ac:dyDescent="0.25">
      <c r="G6802" s="81"/>
      <c r="S6802" s="81"/>
    </row>
    <row r="6803" spans="7:19" x14ac:dyDescent="0.25">
      <c r="G6803" s="81"/>
      <c r="S6803" s="81"/>
    </row>
    <row r="6804" spans="7:19" x14ac:dyDescent="0.25">
      <c r="G6804" s="81"/>
      <c r="S6804" s="81"/>
    </row>
    <row r="6805" spans="7:19" x14ac:dyDescent="0.25">
      <c r="G6805" s="81"/>
      <c r="S6805" s="81"/>
    </row>
    <row r="6806" spans="7:19" x14ac:dyDescent="0.25">
      <c r="G6806" s="81"/>
      <c r="S6806" s="81"/>
    </row>
    <row r="6807" spans="7:19" x14ac:dyDescent="0.25">
      <c r="G6807" s="81"/>
      <c r="S6807" s="81"/>
    </row>
    <row r="6808" spans="7:19" x14ac:dyDescent="0.25">
      <c r="G6808" s="81"/>
      <c r="S6808" s="81"/>
    </row>
    <row r="6809" spans="7:19" x14ac:dyDescent="0.25">
      <c r="G6809" s="81"/>
      <c r="S6809" s="81"/>
    </row>
    <row r="6810" spans="7:19" x14ac:dyDescent="0.25">
      <c r="G6810" s="81"/>
      <c r="S6810" s="81"/>
    </row>
    <row r="6811" spans="7:19" x14ac:dyDescent="0.25">
      <c r="G6811" s="81"/>
      <c r="S6811" s="81"/>
    </row>
    <row r="6812" spans="7:19" x14ac:dyDescent="0.25">
      <c r="G6812" s="81"/>
      <c r="S6812" s="81"/>
    </row>
    <row r="6813" spans="7:19" x14ac:dyDescent="0.25">
      <c r="G6813" s="81"/>
      <c r="S6813" s="81"/>
    </row>
    <row r="6814" spans="7:19" x14ac:dyDescent="0.25">
      <c r="G6814" s="81"/>
      <c r="S6814" s="81"/>
    </row>
    <row r="6815" spans="7:19" x14ac:dyDescent="0.25">
      <c r="G6815" s="81"/>
      <c r="S6815" s="81"/>
    </row>
    <row r="6816" spans="7:19" x14ac:dyDescent="0.25">
      <c r="G6816" s="81"/>
      <c r="S6816" s="81"/>
    </row>
    <row r="6817" spans="7:19" x14ac:dyDescent="0.25">
      <c r="G6817" s="81"/>
      <c r="S6817" s="81"/>
    </row>
    <row r="6818" spans="7:19" x14ac:dyDescent="0.25">
      <c r="G6818" s="81"/>
      <c r="S6818" s="81"/>
    </row>
    <row r="6819" spans="7:19" x14ac:dyDescent="0.25">
      <c r="G6819" s="81"/>
      <c r="S6819" s="81"/>
    </row>
    <row r="6820" spans="7:19" x14ac:dyDescent="0.25">
      <c r="G6820" s="81"/>
      <c r="S6820" s="81"/>
    </row>
    <row r="6821" spans="7:19" x14ac:dyDescent="0.25">
      <c r="G6821" s="81"/>
      <c r="S6821" s="81"/>
    </row>
    <row r="6822" spans="7:19" x14ac:dyDescent="0.25">
      <c r="G6822" s="81"/>
      <c r="S6822" s="81"/>
    </row>
    <row r="6823" spans="7:19" x14ac:dyDescent="0.25">
      <c r="G6823" s="81"/>
      <c r="S6823" s="81"/>
    </row>
    <row r="6824" spans="7:19" x14ac:dyDescent="0.25">
      <c r="G6824" s="81"/>
      <c r="S6824" s="81"/>
    </row>
    <row r="6825" spans="7:19" x14ac:dyDescent="0.25">
      <c r="G6825" s="81"/>
      <c r="S6825" s="81"/>
    </row>
    <row r="6826" spans="7:19" x14ac:dyDescent="0.25">
      <c r="G6826" s="81"/>
      <c r="S6826" s="81"/>
    </row>
    <row r="6827" spans="7:19" x14ac:dyDescent="0.25">
      <c r="G6827" s="81"/>
      <c r="S6827" s="81"/>
    </row>
    <row r="6828" spans="7:19" x14ac:dyDescent="0.25">
      <c r="G6828" s="81"/>
      <c r="S6828" s="81"/>
    </row>
    <row r="6829" spans="7:19" x14ac:dyDescent="0.25">
      <c r="G6829" s="81"/>
      <c r="S6829" s="81"/>
    </row>
    <row r="6830" spans="7:19" x14ac:dyDescent="0.25">
      <c r="G6830" s="81"/>
      <c r="S6830" s="81"/>
    </row>
    <row r="6831" spans="7:19" x14ac:dyDescent="0.25">
      <c r="G6831" s="81"/>
      <c r="S6831" s="81"/>
    </row>
    <row r="6832" spans="7:19" x14ac:dyDescent="0.25">
      <c r="G6832" s="81"/>
      <c r="S6832" s="81"/>
    </row>
    <row r="6833" spans="7:19" x14ac:dyDescent="0.25">
      <c r="G6833" s="81"/>
      <c r="S6833" s="81"/>
    </row>
    <row r="6834" spans="7:19" x14ac:dyDescent="0.25">
      <c r="G6834" s="81"/>
      <c r="S6834" s="81"/>
    </row>
    <row r="6835" spans="7:19" x14ac:dyDescent="0.25">
      <c r="G6835" s="81"/>
      <c r="S6835" s="81"/>
    </row>
    <row r="6836" spans="7:19" x14ac:dyDescent="0.25">
      <c r="G6836" s="81"/>
      <c r="S6836" s="81"/>
    </row>
    <row r="6837" spans="7:19" x14ac:dyDescent="0.25">
      <c r="G6837" s="81"/>
      <c r="S6837" s="81"/>
    </row>
    <row r="6838" spans="7:19" x14ac:dyDescent="0.25">
      <c r="G6838" s="81"/>
      <c r="S6838" s="81"/>
    </row>
    <row r="6839" spans="7:19" x14ac:dyDescent="0.25">
      <c r="G6839" s="81"/>
      <c r="S6839" s="81"/>
    </row>
    <row r="6840" spans="7:19" x14ac:dyDescent="0.25">
      <c r="G6840" s="81"/>
      <c r="S6840" s="81"/>
    </row>
    <row r="6841" spans="7:19" x14ac:dyDescent="0.25">
      <c r="G6841" s="81"/>
      <c r="S6841" s="81"/>
    </row>
    <row r="6842" spans="7:19" x14ac:dyDescent="0.25">
      <c r="G6842" s="81"/>
      <c r="S6842" s="81"/>
    </row>
    <row r="6843" spans="7:19" x14ac:dyDescent="0.25">
      <c r="G6843" s="81"/>
      <c r="S6843" s="81"/>
    </row>
    <row r="6844" spans="7:19" x14ac:dyDescent="0.25">
      <c r="G6844" s="81"/>
      <c r="S6844" s="81"/>
    </row>
    <row r="6845" spans="7:19" x14ac:dyDescent="0.25">
      <c r="G6845" s="81"/>
      <c r="S6845" s="81"/>
    </row>
    <row r="6846" spans="7:19" x14ac:dyDescent="0.25">
      <c r="G6846" s="81"/>
      <c r="S6846" s="81"/>
    </row>
    <row r="6847" spans="7:19" x14ac:dyDescent="0.25">
      <c r="G6847" s="81"/>
      <c r="S6847" s="81"/>
    </row>
    <row r="6848" spans="7:19" x14ac:dyDescent="0.25">
      <c r="G6848" s="81"/>
      <c r="S6848" s="81"/>
    </row>
    <row r="6849" spans="7:19" x14ac:dyDescent="0.25">
      <c r="G6849" s="81"/>
      <c r="S6849" s="81"/>
    </row>
    <row r="6850" spans="7:19" x14ac:dyDescent="0.25">
      <c r="G6850" s="81"/>
      <c r="S6850" s="81"/>
    </row>
    <row r="6851" spans="7:19" x14ac:dyDescent="0.25">
      <c r="G6851" s="81"/>
      <c r="S6851" s="81"/>
    </row>
    <row r="6852" spans="7:19" x14ac:dyDescent="0.25">
      <c r="G6852" s="81"/>
      <c r="S6852" s="81"/>
    </row>
    <row r="6853" spans="7:19" x14ac:dyDescent="0.25">
      <c r="G6853" s="81"/>
      <c r="S6853" s="81"/>
    </row>
    <row r="6854" spans="7:19" x14ac:dyDescent="0.25">
      <c r="G6854" s="81"/>
      <c r="S6854" s="81"/>
    </row>
    <row r="6855" spans="7:19" x14ac:dyDescent="0.25">
      <c r="G6855" s="81"/>
      <c r="S6855" s="81"/>
    </row>
    <row r="6856" spans="7:19" x14ac:dyDescent="0.25">
      <c r="G6856" s="81"/>
      <c r="S6856" s="81"/>
    </row>
    <row r="6857" spans="7:19" x14ac:dyDescent="0.25">
      <c r="G6857" s="81"/>
      <c r="S6857" s="81"/>
    </row>
    <row r="6858" spans="7:19" x14ac:dyDescent="0.25">
      <c r="G6858" s="81"/>
      <c r="S6858" s="81"/>
    </row>
    <row r="6859" spans="7:19" x14ac:dyDescent="0.25">
      <c r="G6859" s="81"/>
      <c r="S6859" s="81"/>
    </row>
    <row r="6860" spans="7:19" x14ac:dyDescent="0.25">
      <c r="G6860" s="81"/>
      <c r="S6860" s="81"/>
    </row>
    <row r="6861" spans="7:19" x14ac:dyDescent="0.25">
      <c r="G6861" s="81"/>
      <c r="S6861" s="81"/>
    </row>
    <row r="6862" spans="7:19" x14ac:dyDescent="0.25">
      <c r="G6862" s="81"/>
      <c r="S6862" s="81"/>
    </row>
    <row r="6863" spans="7:19" x14ac:dyDescent="0.25">
      <c r="G6863" s="81"/>
      <c r="S6863" s="81"/>
    </row>
    <row r="6864" spans="7:19" x14ac:dyDescent="0.25">
      <c r="G6864" s="81"/>
      <c r="S6864" s="81"/>
    </row>
    <row r="6865" spans="7:19" x14ac:dyDescent="0.25">
      <c r="G6865" s="81"/>
      <c r="S6865" s="81"/>
    </row>
    <row r="6866" spans="7:19" x14ac:dyDescent="0.25">
      <c r="G6866" s="81"/>
      <c r="S6866" s="81"/>
    </row>
    <row r="6867" spans="7:19" x14ac:dyDescent="0.25">
      <c r="G6867" s="81"/>
      <c r="S6867" s="81"/>
    </row>
    <row r="6868" spans="7:19" x14ac:dyDescent="0.25">
      <c r="G6868" s="81"/>
      <c r="S6868" s="81"/>
    </row>
    <row r="6869" spans="7:19" x14ac:dyDescent="0.25">
      <c r="G6869" s="81"/>
      <c r="S6869" s="81"/>
    </row>
    <row r="6870" spans="7:19" x14ac:dyDescent="0.25">
      <c r="G6870" s="81"/>
      <c r="S6870" s="81"/>
    </row>
    <row r="6871" spans="7:19" x14ac:dyDescent="0.25">
      <c r="G6871" s="81"/>
      <c r="S6871" s="81"/>
    </row>
    <row r="6872" spans="7:19" x14ac:dyDescent="0.25">
      <c r="G6872" s="81"/>
      <c r="S6872" s="81"/>
    </row>
    <row r="6873" spans="7:19" x14ac:dyDescent="0.25">
      <c r="G6873" s="81"/>
      <c r="S6873" s="81"/>
    </row>
    <row r="6874" spans="7:19" x14ac:dyDescent="0.25">
      <c r="G6874" s="81"/>
      <c r="S6874" s="81"/>
    </row>
    <row r="6875" spans="7:19" x14ac:dyDescent="0.25">
      <c r="G6875" s="81"/>
      <c r="S6875" s="81"/>
    </row>
    <row r="6876" spans="7:19" x14ac:dyDescent="0.25">
      <c r="G6876" s="81"/>
      <c r="S6876" s="81"/>
    </row>
    <row r="6877" spans="7:19" x14ac:dyDescent="0.25">
      <c r="G6877" s="81"/>
      <c r="S6877" s="81"/>
    </row>
    <row r="6878" spans="7:19" x14ac:dyDescent="0.25">
      <c r="G6878" s="81"/>
      <c r="S6878" s="81"/>
    </row>
    <row r="6879" spans="7:19" x14ac:dyDescent="0.25">
      <c r="G6879" s="81"/>
      <c r="S6879" s="81"/>
    </row>
    <row r="6880" spans="7:19" x14ac:dyDescent="0.25">
      <c r="G6880" s="81"/>
      <c r="S6880" s="81"/>
    </row>
    <row r="6881" spans="7:19" x14ac:dyDescent="0.25">
      <c r="G6881" s="81"/>
      <c r="S6881" s="81"/>
    </row>
    <row r="6882" spans="7:19" x14ac:dyDescent="0.25">
      <c r="G6882" s="81"/>
      <c r="S6882" s="81"/>
    </row>
    <row r="6883" spans="7:19" x14ac:dyDescent="0.25">
      <c r="G6883" s="81"/>
      <c r="S6883" s="81"/>
    </row>
    <row r="6884" spans="7:19" x14ac:dyDescent="0.25">
      <c r="G6884" s="81"/>
      <c r="S6884" s="81"/>
    </row>
    <row r="6885" spans="7:19" x14ac:dyDescent="0.25">
      <c r="G6885" s="81"/>
      <c r="S6885" s="81"/>
    </row>
    <row r="6886" spans="7:19" x14ac:dyDescent="0.25">
      <c r="G6886" s="81"/>
      <c r="S6886" s="81"/>
    </row>
    <row r="6887" spans="7:19" x14ac:dyDescent="0.25">
      <c r="G6887" s="81"/>
      <c r="S6887" s="81"/>
    </row>
    <row r="6888" spans="7:19" x14ac:dyDescent="0.25">
      <c r="G6888" s="81"/>
      <c r="S6888" s="81"/>
    </row>
    <row r="6889" spans="7:19" x14ac:dyDescent="0.25">
      <c r="G6889" s="81"/>
      <c r="S6889" s="81"/>
    </row>
    <row r="6890" spans="7:19" x14ac:dyDescent="0.25">
      <c r="G6890" s="81"/>
      <c r="S6890" s="81"/>
    </row>
    <row r="6891" spans="7:19" x14ac:dyDescent="0.25">
      <c r="G6891" s="81"/>
      <c r="S6891" s="81"/>
    </row>
    <row r="6892" spans="7:19" x14ac:dyDescent="0.25">
      <c r="G6892" s="81"/>
      <c r="S6892" s="81"/>
    </row>
    <row r="6893" spans="7:19" x14ac:dyDescent="0.25">
      <c r="G6893" s="81"/>
      <c r="S6893" s="81"/>
    </row>
    <row r="6894" spans="7:19" x14ac:dyDescent="0.25">
      <c r="G6894" s="81"/>
      <c r="S6894" s="81"/>
    </row>
    <row r="6895" spans="7:19" x14ac:dyDescent="0.25">
      <c r="G6895" s="81"/>
      <c r="S6895" s="81"/>
    </row>
    <row r="6896" spans="7:19" x14ac:dyDescent="0.25">
      <c r="G6896" s="81"/>
      <c r="S6896" s="81"/>
    </row>
    <row r="6897" spans="7:19" x14ac:dyDescent="0.25">
      <c r="G6897" s="81"/>
      <c r="S6897" s="81"/>
    </row>
    <row r="6898" spans="7:19" x14ac:dyDescent="0.25">
      <c r="G6898" s="81"/>
      <c r="S6898" s="81"/>
    </row>
    <row r="6899" spans="7:19" x14ac:dyDescent="0.25">
      <c r="G6899" s="81"/>
      <c r="S6899" s="81"/>
    </row>
    <row r="6900" spans="7:19" x14ac:dyDescent="0.25">
      <c r="G6900" s="81"/>
      <c r="S6900" s="81"/>
    </row>
    <row r="6901" spans="7:19" x14ac:dyDescent="0.25">
      <c r="G6901" s="81"/>
      <c r="S6901" s="81"/>
    </row>
    <row r="6902" spans="7:19" x14ac:dyDescent="0.25">
      <c r="G6902" s="81"/>
      <c r="S6902" s="81"/>
    </row>
    <row r="6903" spans="7:19" x14ac:dyDescent="0.25">
      <c r="G6903" s="81"/>
      <c r="S6903" s="81"/>
    </row>
    <row r="6904" spans="7:19" x14ac:dyDescent="0.25">
      <c r="G6904" s="81"/>
      <c r="S6904" s="81"/>
    </row>
    <row r="6905" spans="7:19" x14ac:dyDescent="0.25">
      <c r="G6905" s="81"/>
      <c r="S6905" s="81"/>
    </row>
    <row r="6906" spans="7:19" x14ac:dyDescent="0.25">
      <c r="G6906" s="81"/>
      <c r="S6906" s="81"/>
    </row>
    <row r="6907" spans="7:19" x14ac:dyDescent="0.25">
      <c r="G6907" s="81"/>
      <c r="S6907" s="81"/>
    </row>
    <row r="6908" spans="7:19" x14ac:dyDescent="0.25">
      <c r="G6908" s="81"/>
      <c r="S6908" s="81"/>
    </row>
    <row r="6909" spans="7:19" x14ac:dyDescent="0.25">
      <c r="G6909" s="81"/>
      <c r="S6909" s="81"/>
    </row>
    <row r="6910" spans="7:19" x14ac:dyDescent="0.25">
      <c r="G6910" s="81"/>
      <c r="S6910" s="81"/>
    </row>
    <row r="6911" spans="7:19" x14ac:dyDescent="0.25">
      <c r="G6911" s="81"/>
      <c r="S6911" s="81"/>
    </row>
    <row r="6912" spans="7:19" x14ac:dyDescent="0.25">
      <c r="G6912" s="81"/>
      <c r="S6912" s="81"/>
    </row>
    <row r="6913" spans="7:19" x14ac:dyDescent="0.25">
      <c r="G6913" s="81"/>
      <c r="S6913" s="81"/>
    </row>
    <row r="6914" spans="7:19" x14ac:dyDescent="0.25">
      <c r="G6914" s="81"/>
      <c r="S6914" s="81"/>
    </row>
    <row r="6915" spans="7:19" x14ac:dyDescent="0.25">
      <c r="G6915" s="81"/>
      <c r="S6915" s="81"/>
    </row>
    <row r="6916" spans="7:19" x14ac:dyDescent="0.25">
      <c r="G6916" s="81"/>
      <c r="S6916" s="81"/>
    </row>
    <row r="6917" spans="7:19" x14ac:dyDescent="0.25">
      <c r="G6917" s="81"/>
      <c r="S6917" s="81"/>
    </row>
    <row r="6918" spans="7:19" x14ac:dyDescent="0.25">
      <c r="G6918" s="81"/>
      <c r="S6918" s="81"/>
    </row>
    <row r="6919" spans="7:19" x14ac:dyDescent="0.25">
      <c r="G6919" s="81"/>
      <c r="S6919" s="81"/>
    </row>
    <row r="6920" spans="7:19" x14ac:dyDescent="0.25">
      <c r="G6920" s="81"/>
      <c r="S6920" s="81"/>
    </row>
    <row r="6921" spans="7:19" x14ac:dyDescent="0.25">
      <c r="G6921" s="81"/>
      <c r="S6921" s="81"/>
    </row>
    <row r="6922" spans="7:19" x14ac:dyDescent="0.25">
      <c r="G6922" s="81"/>
      <c r="S6922" s="81"/>
    </row>
    <row r="6923" spans="7:19" x14ac:dyDescent="0.25">
      <c r="G6923" s="81"/>
      <c r="S6923" s="81"/>
    </row>
    <row r="6924" spans="7:19" x14ac:dyDescent="0.25">
      <c r="G6924" s="81"/>
      <c r="S6924" s="81"/>
    </row>
    <row r="6925" spans="7:19" x14ac:dyDescent="0.25">
      <c r="G6925" s="81"/>
      <c r="S6925" s="81"/>
    </row>
    <row r="6926" spans="7:19" x14ac:dyDescent="0.25">
      <c r="G6926" s="81"/>
      <c r="S6926" s="81"/>
    </row>
    <row r="6927" spans="7:19" x14ac:dyDescent="0.25">
      <c r="G6927" s="81"/>
      <c r="S6927" s="81"/>
    </row>
    <row r="6928" spans="7:19" x14ac:dyDescent="0.25">
      <c r="G6928" s="81"/>
      <c r="S6928" s="81"/>
    </row>
    <row r="6929" spans="7:19" x14ac:dyDescent="0.25">
      <c r="G6929" s="81"/>
      <c r="S6929" s="81"/>
    </row>
    <row r="6930" spans="7:19" x14ac:dyDescent="0.25">
      <c r="G6930" s="81"/>
      <c r="S6930" s="81"/>
    </row>
    <row r="6931" spans="7:19" x14ac:dyDescent="0.25">
      <c r="G6931" s="81"/>
      <c r="S6931" s="81"/>
    </row>
    <row r="6932" spans="7:19" x14ac:dyDescent="0.25">
      <c r="G6932" s="81"/>
      <c r="S6932" s="81"/>
    </row>
    <row r="6933" spans="7:19" x14ac:dyDescent="0.25">
      <c r="G6933" s="81"/>
      <c r="S6933" s="81"/>
    </row>
    <row r="6934" spans="7:19" x14ac:dyDescent="0.25">
      <c r="G6934" s="81"/>
      <c r="S6934" s="81"/>
    </row>
    <row r="6935" spans="7:19" x14ac:dyDescent="0.25">
      <c r="G6935" s="81"/>
      <c r="S6935" s="81"/>
    </row>
    <row r="6936" spans="7:19" x14ac:dyDescent="0.25">
      <c r="G6936" s="81"/>
      <c r="S6936" s="81"/>
    </row>
    <row r="6937" spans="7:19" x14ac:dyDescent="0.25">
      <c r="G6937" s="81"/>
      <c r="S6937" s="81"/>
    </row>
    <row r="6938" spans="7:19" x14ac:dyDescent="0.25">
      <c r="G6938" s="81"/>
      <c r="S6938" s="81"/>
    </row>
    <row r="6939" spans="7:19" x14ac:dyDescent="0.25">
      <c r="G6939" s="81"/>
      <c r="S6939" s="81"/>
    </row>
    <row r="6940" spans="7:19" x14ac:dyDescent="0.25">
      <c r="G6940" s="81"/>
      <c r="S6940" s="81"/>
    </row>
    <row r="6941" spans="7:19" x14ac:dyDescent="0.25">
      <c r="G6941" s="81"/>
      <c r="S6941" s="81"/>
    </row>
    <row r="6942" spans="7:19" x14ac:dyDescent="0.25">
      <c r="G6942" s="81"/>
      <c r="S6942" s="81"/>
    </row>
    <row r="6943" spans="7:19" x14ac:dyDescent="0.25">
      <c r="G6943" s="81"/>
      <c r="S6943" s="81"/>
    </row>
    <row r="6944" spans="7:19" x14ac:dyDescent="0.25">
      <c r="G6944" s="81"/>
      <c r="S6944" s="81"/>
    </row>
    <row r="6945" spans="7:19" x14ac:dyDescent="0.25">
      <c r="G6945" s="81"/>
      <c r="S6945" s="81"/>
    </row>
    <row r="6946" spans="7:19" x14ac:dyDescent="0.25">
      <c r="G6946" s="81"/>
      <c r="S6946" s="81"/>
    </row>
    <row r="6947" spans="7:19" x14ac:dyDescent="0.25">
      <c r="G6947" s="81"/>
      <c r="S6947" s="81"/>
    </row>
    <row r="6948" spans="7:19" x14ac:dyDescent="0.25">
      <c r="G6948" s="81"/>
      <c r="S6948" s="81"/>
    </row>
    <row r="6949" spans="7:19" x14ac:dyDescent="0.25">
      <c r="G6949" s="81"/>
      <c r="S6949" s="81"/>
    </row>
    <row r="6950" spans="7:19" x14ac:dyDescent="0.25">
      <c r="G6950" s="81"/>
      <c r="S6950" s="81"/>
    </row>
    <row r="6951" spans="7:19" x14ac:dyDescent="0.25">
      <c r="G6951" s="81"/>
      <c r="S6951" s="81"/>
    </row>
    <row r="6952" spans="7:19" x14ac:dyDescent="0.25">
      <c r="G6952" s="81"/>
      <c r="S6952" s="81"/>
    </row>
    <row r="6953" spans="7:19" x14ac:dyDescent="0.25">
      <c r="G6953" s="81"/>
      <c r="S6953" s="81"/>
    </row>
    <row r="6954" spans="7:19" x14ac:dyDescent="0.25">
      <c r="G6954" s="81"/>
      <c r="S6954" s="81"/>
    </row>
    <row r="6955" spans="7:19" x14ac:dyDescent="0.25">
      <c r="G6955" s="81"/>
      <c r="S6955" s="81"/>
    </row>
    <row r="6956" spans="7:19" x14ac:dyDescent="0.25">
      <c r="G6956" s="81"/>
      <c r="S6956" s="81"/>
    </row>
    <row r="6957" spans="7:19" x14ac:dyDescent="0.25">
      <c r="G6957" s="81"/>
      <c r="S6957" s="81"/>
    </row>
    <row r="6958" spans="7:19" x14ac:dyDescent="0.25">
      <c r="G6958" s="81"/>
      <c r="S6958" s="81"/>
    </row>
    <row r="6959" spans="7:19" x14ac:dyDescent="0.25">
      <c r="G6959" s="81"/>
      <c r="S6959" s="81"/>
    </row>
    <row r="6960" spans="7:19" x14ac:dyDescent="0.25">
      <c r="G6960" s="81"/>
      <c r="S6960" s="81"/>
    </row>
    <row r="6961" spans="7:19" x14ac:dyDescent="0.25">
      <c r="G6961" s="81"/>
      <c r="S6961" s="81"/>
    </row>
    <row r="6962" spans="7:19" x14ac:dyDescent="0.25">
      <c r="G6962" s="81"/>
      <c r="S6962" s="81"/>
    </row>
    <row r="6963" spans="7:19" x14ac:dyDescent="0.25">
      <c r="G6963" s="81"/>
      <c r="S6963" s="81"/>
    </row>
    <row r="6964" spans="7:19" x14ac:dyDescent="0.25">
      <c r="G6964" s="81"/>
      <c r="S6964" s="81"/>
    </row>
    <row r="6965" spans="7:19" x14ac:dyDescent="0.25">
      <c r="G6965" s="81"/>
      <c r="S6965" s="81"/>
    </row>
    <row r="6966" spans="7:19" x14ac:dyDescent="0.25">
      <c r="G6966" s="81"/>
      <c r="S6966" s="81"/>
    </row>
    <row r="6967" spans="7:19" x14ac:dyDescent="0.25">
      <c r="G6967" s="81"/>
      <c r="S6967" s="81"/>
    </row>
    <row r="6968" spans="7:19" x14ac:dyDescent="0.25">
      <c r="G6968" s="81"/>
      <c r="S6968" s="81"/>
    </row>
    <row r="6969" spans="7:19" x14ac:dyDescent="0.25">
      <c r="G6969" s="81"/>
      <c r="S6969" s="81"/>
    </row>
    <row r="6970" spans="7:19" x14ac:dyDescent="0.25">
      <c r="G6970" s="81"/>
      <c r="S6970" s="81"/>
    </row>
    <row r="6971" spans="7:19" x14ac:dyDescent="0.25">
      <c r="G6971" s="81"/>
      <c r="S6971" s="81"/>
    </row>
    <row r="6972" spans="7:19" x14ac:dyDescent="0.25">
      <c r="G6972" s="81"/>
      <c r="S6972" s="81"/>
    </row>
    <row r="6973" spans="7:19" x14ac:dyDescent="0.25">
      <c r="G6973" s="81"/>
      <c r="S6973" s="81"/>
    </row>
    <row r="6974" spans="7:19" x14ac:dyDescent="0.25">
      <c r="G6974" s="81"/>
      <c r="S6974" s="81"/>
    </row>
    <row r="6975" spans="7:19" x14ac:dyDescent="0.25">
      <c r="G6975" s="81"/>
      <c r="S6975" s="81"/>
    </row>
    <row r="6976" spans="7:19" x14ac:dyDescent="0.25">
      <c r="G6976" s="81"/>
      <c r="S6976" s="81"/>
    </row>
    <row r="6977" spans="7:19" x14ac:dyDescent="0.25">
      <c r="G6977" s="81"/>
      <c r="S6977" s="81"/>
    </row>
    <row r="6978" spans="7:19" x14ac:dyDescent="0.25">
      <c r="G6978" s="81"/>
      <c r="S6978" s="81"/>
    </row>
    <row r="6979" spans="7:19" x14ac:dyDescent="0.25">
      <c r="G6979" s="81"/>
      <c r="S6979" s="81"/>
    </row>
    <row r="6980" spans="7:19" x14ac:dyDescent="0.25">
      <c r="G6980" s="81"/>
      <c r="S6980" s="81"/>
    </row>
    <row r="6981" spans="7:19" x14ac:dyDescent="0.25">
      <c r="G6981" s="81"/>
      <c r="S6981" s="81"/>
    </row>
    <row r="6982" spans="7:19" x14ac:dyDescent="0.25">
      <c r="G6982" s="81"/>
      <c r="S6982" s="81"/>
    </row>
    <row r="6983" spans="7:19" x14ac:dyDescent="0.25">
      <c r="G6983" s="81"/>
      <c r="S6983" s="81"/>
    </row>
    <row r="6984" spans="7:19" x14ac:dyDescent="0.25">
      <c r="G6984" s="81"/>
      <c r="S6984" s="81"/>
    </row>
    <row r="6985" spans="7:19" x14ac:dyDescent="0.25">
      <c r="G6985" s="81"/>
      <c r="S6985" s="81"/>
    </row>
    <row r="6986" spans="7:19" x14ac:dyDescent="0.25">
      <c r="G6986" s="81"/>
      <c r="S6986" s="81"/>
    </row>
    <row r="6987" spans="7:19" x14ac:dyDescent="0.25">
      <c r="G6987" s="81"/>
      <c r="S6987" s="81"/>
    </row>
    <row r="6988" spans="7:19" x14ac:dyDescent="0.25">
      <c r="G6988" s="81"/>
      <c r="S6988" s="81"/>
    </row>
    <row r="6989" spans="7:19" x14ac:dyDescent="0.25">
      <c r="G6989" s="81"/>
      <c r="S6989" s="81"/>
    </row>
    <row r="6990" spans="7:19" x14ac:dyDescent="0.25">
      <c r="G6990" s="81"/>
      <c r="S6990" s="81"/>
    </row>
    <row r="6991" spans="7:19" x14ac:dyDescent="0.25">
      <c r="G6991" s="81"/>
      <c r="S6991" s="81"/>
    </row>
    <row r="6992" spans="7:19" x14ac:dyDescent="0.25">
      <c r="G6992" s="81"/>
      <c r="S6992" s="81"/>
    </row>
    <row r="6993" spans="7:19" x14ac:dyDescent="0.25">
      <c r="G6993" s="81"/>
      <c r="S6993" s="81"/>
    </row>
    <row r="6994" spans="7:19" x14ac:dyDescent="0.25">
      <c r="G6994" s="81"/>
      <c r="S6994" s="81"/>
    </row>
    <row r="6995" spans="7:19" x14ac:dyDescent="0.25">
      <c r="G6995" s="81"/>
      <c r="S6995" s="81"/>
    </row>
    <row r="6996" spans="7:19" x14ac:dyDescent="0.25">
      <c r="G6996" s="81"/>
      <c r="S6996" s="81"/>
    </row>
    <row r="6997" spans="7:19" x14ac:dyDescent="0.25">
      <c r="G6997" s="81"/>
      <c r="S6997" s="81"/>
    </row>
    <row r="6998" spans="7:19" x14ac:dyDescent="0.25">
      <c r="G6998" s="81"/>
      <c r="S6998" s="81"/>
    </row>
    <row r="6999" spans="7:19" x14ac:dyDescent="0.25">
      <c r="G6999" s="81"/>
      <c r="S6999" s="81"/>
    </row>
    <row r="7000" spans="7:19" x14ac:dyDescent="0.25">
      <c r="G7000" s="81"/>
      <c r="S7000" s="81"/>
    </row>
    <row r="7001" spans="7:19" x14ac:dyDescent="0.25">
      <c r="G7001" s="81"/>
      <c r="S7001" s="81"/>
    </row>
    <row r="7002" spans="7:19" x14ac:dyDescent="0.25">
      <c r="G7002" s="81"/>
      <c r="S7002" s="81"/>
    </row>
    <row r="7003" spans="7:19" x14ac:dyDescent="0.25">
      <c r="G7003" s="81"/>
      <c r="S7003" s="81"/>
    </row>
    <row r="7004" spans="7:19" x14ac:dyDescent="0.25">
      <c r="G7004" s="81"/>
      <c r="S7004" s="81"/>
    </row>
    <row r="7005" spans="7:19" x14ac:dyDescent="0.25">
      <c r="G7005" s="81"/>
      <c r="S7005" s="81"/>
    </row>
    <row r="7006" spans="7:19" x14ac:dyDescent="0.25">
      <c r="G7006" s="81"/>
      <c r="S7006" s="81"/>
    </row>
    <row r="7007" spans="7:19" x14ac:dyDescent="0.25">
      <c r="G7007" s="81"/>
      <c r="S7007" s="81"/>
    </row>
    <row r="7008" spans="7:19" x14ac:dyDescent="0.25">
      <c r="G7008" s="81"/>
      <c r="S7008" s="81"/>
    </row>
    <row r="7009" spans="7:19" x14ac:dyDescent="0.25">
      <c r="G7009" s="81"/>
      <c r="S7009" s="81"/>
    </row>
    <row r="7010" spans="7:19" x14ac:dyDescent="0.25">
      <c r="G7010" s="81"/>
      <c r="S7010" s="81"/>
    </row>
    <row r="7011" spans="7:19" x14ac:dyDescent="0.25">
      <c r="G7011" s="81"/>
      <c r="S7011" s="81"/>
    </row>
    <row r="7012" spans="7:19" x14ac:dyDescent="0.25">
      <c r="G7012" s="81"/>
      <c r="S7012" s="81"/>
    </row>
    <row r="7013" spans="7:19" x14ac:dyDescent="0.25">
      <c r="G7013" s="81"/>
      <c r="S7013" s="81"/>
    </row>
    <row r="7014" spans="7:19" x14ac:dyDescent="0.25">
      <c r="G7014" s="81"/>
      <c r="S7014" s="81"/>
    </row>
    <row r="7015" spans="7:19" x14ac:dyDescent="0.25">
      <c r="G7015" s="81"/>
      <c r="S7015" s="81"/>
    </row>
    <row r="7016" spans="7:19" x14ac:dyDescent="0.25">
      <c r="G7016" s="81"/>
      <c r="S7016" s="81"/>
    </row>
    <row r="7017" spans="7:19" x14ac:dyDescent="0.25">
      <c r="G7017" s="81"/>
      <c r="S7017" s="81"/>
    </row>
    <row r="7018" spans="7:19" x14ac:dyDescent="0.25">
      <c r="G7018" s="81"/>
      <c r="S7018" s="81"/>
    </row>
    <row r="7019" spans="7:19" x14ac:dyDescent="0.25">
      <c r="G7019" s="81"/>
      <c r="S7019" s="81"/>
    </row>
    <row r="7020" spans="7:19" x14ac:dyDescent="0.25">
      <c r="G7020" s="81"/>
      <c r="S7020" s="81"/>
    </row>
    <row r="7021" spans="7:19" x14ac:dyDescent="0.25">
      <c r="G7021" s="81"/>
      <c r="S7021" s="81"/>
    </row>
    <row r="7022" spans="7:19" x14ac:dyDescent="0.25">
      <c r="G7022" s="81"/>
      <c r="S7022" s="81"/>
    </row>
    <row r="7023" spans="7:19" x14ac:dyDescent="0.25">
      <c r="G7023" s="81"/>
      <c r="S7023" s="81"/>
    </row>
    <row r="7024" spans="7:19" x14ac:dyDescent="0.25">
      <c r="G7024" s="81"/>
      <c r="S7024" s="81"/>
    </row>
    <row r="7025" spans="7:19" x14ac:dyDescent="0.25">
      <c r="G7025" s="81"/>
      <c r="S7025" s="81"/>
    </row>
    <row r="7026" spans="7:19" x14ac:dyDescent="0.25">
      <c r="G7026" s="81"/>
      <c r="S7026" s="81"/>
    </row>
    <row r="7027" spans="7:19" x14ac:dyDescent="0.25">
      <c r="G7027" s="81"/>
      <c r="S7027" s="81"/>
    </row>
    <row r="7028" spans="7:19" x14ac:dyDescent="0.25">
      <c r="G7028" s="81"/>
      <c r="S7028" s="81"/>
    </row>
    <row r="7029" spans="7:19" x14ac:dyDescent="0.25">
      <c r="G7029" s="81"/>
      <c r="S7029" s="81"/>
    </row>
    <row r="7030" spans="7:19" x14ac:dyDescent="0.25">
      <c r="G7030" s="81"/>
      <c r="S7030" s="81"/>
    </row>
    <row r="7031" spans="7:19" x14ac:dyDescent="0.25">
      <c r="G7031" s="81"/>
      <c r="S7031" s="81"/>
    </row>
    <row r="7032" spans="7:19" x14ac:dyDescent="0.25">
      <c r="G7032" s="81"/>
      <c r="S7032" s="81"/>
    </row>
    <row r="7033" spans="7:19" x14ac:dyDescent="0.25">
      <c r="G7033" s="81"/>
      <c r="S7033" s="81"/>
    </row>
    <row r="7034" spans="7:19" x14ac:dyDescent="0.25">
      <c r="G7034" s="81"/>
      <c r="S7034" s="81"/>
    </row>
    <row r="7035" spans="7:19" x14ac:dyDescent="0.25">
      <c r="G7035" s="81"/>
      <c r="S7035" s="81"/>
    </row>
    <row r="7036" spans="7:19" x14ac:dyDescent="0.25">
      <c r="G7036" s="81"/>
      <c r="S7036" s="81"/>
    </row>
    <row r="7037" spans="7:19" x14ac:dyDescent="0.25">
      <c r="G7037" s="81"/>
      <c r="S7037" s="81"/>
    </row>
    <row r="7038" spans="7:19" x14ac:dyDescent="0.25">
      <c r="G7038" s="81"/>
      <c r="S7038" s="81"/>
    </row>
    <row r="7039" spans="7:19" x14ac:dyDescent="0.25">
      <c r="G7039" s="81"/>
      <c r="S7039" s="81"/>
    </row>
    <row r="7040" spans="7:19" x14ac:dyDescent="0.25">
      <c r="G7040" s="81"/>
      <c r="S7040" s="81"/>
    </row>
    <row r="7041" spans="7:19" x14ac:dyDescent="0.25">
      <c r="G7041" s="81"/>
      <c r="S7041" s="81"/>
    </row>
    <row r="7042" spans="7:19" x14ac:dyDescent="0.25">
      <c r="G7042" s="81"/>
      <c r="S7042" s="81"/>
    </row>
    <row r="7043" spans="7:19" x14ac:dyDescent="0.25">
      <c r="G7043" s="81"/>
      <c r="S7043" s="81"/>
    </row>
    <row r="7044" spans="7:19" x14ac:dyDescent="0.25">
      <c r="G7044" s="81"/>
      <c r="S7044" s="81"/>
    </row>
    <row r="7045" spans="7:19" x14ac:dyDescent="0.25">
      <c r="G7045" s="81"/>
      <c r="S7045" s="81"/>
    </row>
    <row r="7046" spans="7:19" x14ac:dyDescent="0.25">
      <c r="G7046" s="81"/>
      <c r="S7046" s="81"/>
    </row>
    <row r="7047" spans="7:19" x14ac:dyDescent="0.25">
      <c r="G7047" s="81"/>
      <c r="S7047" s="81"/>
    </row>
    <row r="7048" spans="7:19" x14ac:dyDescent="0.25">
      <c r="G7048" s="81"/>
      <c r="S7048" s="81"/>
    </row>
    <row r="7049" spans="7:19" x14ac:dyDescent="0.25">
      <c r="G7049" s="81"/>
      <c r="S7049" s="81"/>
    </row>
    <row r="7050" spans="7:19" x14ac:dyDescent="0.25">
      <c r="G7050" s="81"/>
      <c r="S7050" s="81"/>
    </row>
    <row r="7051" spans="7:19" x14ac:dyDescent="0.25">
      <c r="G7051" s="81"/>
      <c r="S7051" s="81"/>
    </row>
    <row r="7052" spans="7:19" x14ac:dyDescent="0.25">
      <c r="G7052" s="81"/>
      <c r="S7052" s="81"/>
    </row>
    <row r="7053" spans="7:19" x14ac:dyDescent="0.25">
      <c r="G7053" s="81"/>
      <c r="S7053" s="81"/>
    </row>
    <row r="7054" spans="7:19" x14ac:dyDescent="0.25">
      <c r="G7054" s="81"/>
      <c r="S7054" s="81"/>
    </row>
    <row r="7055" spans="7:19" x14ac:dyDescent="0.25">
      <c r="G7055" s="81"/>
      <c r="S7055" s="81"/>
    </row>
    <row r="7056" spans="7:19" x14ac:dyDescent="0.25">
      <c r="G7056" s="81"/>
      <c r="S7056" s="81"/>
    </row>
    <row r="7057" spans="7:19" x14ac:dyDescent="0.25">
      <c r="G7057" s="81"/>
      <c r="S7057" s="81"/>
    </row>
    <row r="7058" spans="7:19" x14ac:dyDescent="0.25">
      <c r="G7058" s="81"/>
      <c r="S7058" s="81"/>
    </row>
    <row r="7059" spans="7:19" x14ac:dyDescent="0.25">
      <c r="G7059" s="81"/>
      <c r="S7059" s="81"/>
    </row>
    <row r="7060" spans="7:19" x14ac:dyDescent="0.25">
      <c r="G7060" s="81"/>
      <c r="S7060" s="81"/>
    </row>
    <row r="7061" spans="7:19" x14ac:dyDescent="0.25">
      <c r="G7061" s="81"/>
      <c r="S7061" s="81"/>
    </row>
    <row r="7062" spans="7:19" x14ac:dyDescent="0.25">
      <c r="G7062" s="81"/>
      <c r="S7062" s="81"/>
    </row>
    <row r="7063" spans="7:19" x14ac:dyDescent="0.25">
      <c r="G7063" s="81"/>
      <c r="S7063" s="81"/>
    </row>
    <row r="7064" spans="7:19" x14ac:dyDescent="0.25">
      <c r="G7064" s="81"/>
      <c r="S7064" s="81"/>
    </row>
    <row r="7065" spans="7:19" x14ac:dyDescent="0.25">
      <c r="G7065" s="81"/>
      <c r="S7065" s="81"/>
    </row>
    <row r="7066" spans="7:19" x14ac:dyDescent="0.25">
      <c r="G7066" s="81"/>
      <c r="S7066" s="81"/>
    </row>
    <row r="7067" spans="7:19" x14ac:dyDescent="0.25">
      <c r="G7067" s="81"/>
      <c r="S7067" s="81"/>
    </row>
    <row r="7068" spans="7:19" x14ac:dyDescent="0.25">
      <c r="G7068" s="81"/>
      <c r="S7068" s="81"/>
    </row>
    <row r="7069" spans="7:19" x14ac:dyDescent="0.25">
      <c r="G7069" s="81"/>
      <c r="S7069" s="81"/>
    </row>
    <row r="7070" spans="7:19" x14ac:dyDescent="0.25">
      <c r="G7070" s="81"/>
      <c r="S7070" s="81"/>
    </row>
    <row r="7071" spans="7:19" x14ac:dyDescent="0.25">
      <c r="G7071" s="81"/>
      <c r="S7071" s="81"/>
    </row>
    <row r="7072" spans="7:19" x14ac:dyDescent="0.25">
      <c r="G7072" s="81"/>
      <c r="S7072" s="81"/>
    </row>
    <row r="7073" spans="7:19" x14ac:dyDescent="0.25">
      <c r="G7073" s="81"/>
      <c r="S7073" s="81"/>
    </row>
    <row r="7074" spans="7:19" x14ac:dyDescent="0.25">
      <c r="G7074" s="81"/>
      <c r="S7074" s="81"/>
    </row>
    <row r="7075" spans="7:19" x14ac:dyDescent="0.25">
      <c r="G7075" s="81"/>
      <c r="S7075" s="81"/>
    </row>
    <row r="7076" spans="7:19" x14ac:dyDescent="0.25">
      <c r="G7076" s="81"/>
      <c r="S7076" s="81"/>
    </row>
    <row r="7077" spans="7:19" x14ac:dyDescent="0.25">
      <c r="G7077" s="81"/>
      <c r="S7077" s="81"/>
    </row>
    <row r="7078" spans="7:19" x14ac:dyDescent="0.25">
      <c r="G7078" s="81"/>
      <c r="S7078" s="81"/>
    </row>
    <row r="7079" spans="7:19" x14ac:dyDescent="0.25">
      <c r="G7079" s="81"/>
      <c r="S7079" s="81"/>
    </row>
    <row r="7080" spans="7:19" x14ac:dyDescent="0.25">
      <c r="G7080" s="81"/>
      <c r="S7080" s="81"/>
    </row>
    <row r="7081" spans="7:19" x14ac:dyDescent="0.25">
      <c r="G7081" s="81"/>
      <c r="S7081" s="81"/>
    </row>
    <row r="7082" spans="7:19" x14ac:dyDescent="0.25">
      <c r="G7082" s="81"/>
      <c r="S7082" s="81"/>
    </row>
    <row r="7083" spans="7:19" x14ac:dyDescent="0.25">
      <c r="G7083" s="81"/>
      <c r="S7083" s="81"/>
    </row>
    <row r="7084" spans="7:19" x14ac:dyDescent="0.25">
      <c r="G7084" s="81"/>
      <c r="S7084" s="81"/>
    </row>
    <row r="7085" spans="7:19" x14ac:dyDescent="0.25">
      <c r="G7085" s="81"/>
      <c r="S7085" s="81"/>
    </row>
    <row r="7086" spans="7:19" x14ac:dyDescent="0.25">
      <c r="G7086" s="81"/>
      <c r="S7086" s="81"/>
    </row>
    <row r="7087" spans="7:19" x14ac:dyDescent="0.25">
      <c r="G7087" s="81"/>
      <c r="S7087" s="81"/>
    </row>
    <row r="7088" spans="7:19" x14ac:dyDescent="0.25">
      <c r="G7088" s="81"/>
      <c r="S7088" s="81"/>
    </row>
    <row r="7089" spans="7:19" x14ac:dyDescent="0.25">
      <c r="G7089" s="81"/>
      <c r="S7089" s="81"/>
    </row>
    <row r="7090" spans="7:19" x14ac:dyDescent="0.25">
      <c r="G7090" s="81"/>
      <c r="S7090" s="81"/>
    </row>
    <row r="7091" spans="7:19" x14ac:dyDescent="0.25">
      <c r="G7091" s="81"/>
      <c r="S7091" s="81"/>
    </row>
    <row r="7092" spans="7:19" x14ac:dyDescent="0.25">
      <c r="G7092" s="81"/>
      <c r="S7092" s="81"/>
    </row>
    <row r="7093" spans="7:19" x14ac:dyDescent="0.25">
      <c r="G7093" s="81"/>
      <c r="S7093" s="81"/>
    </row>
    <row r="7094" spans="7:19" x14ac:dyDescent="0.25">
      <c r="G7094" s="81"/>
      <c r="S7094" s="81"/>
    </row>
    <row r="7095" spans="7:19" x14ac:dyDescent="0.25">
      <c r="G7095" s="81"/>
      <c r="S7095" s="81"/>
    </row>
    <row r="7096" spans="7:19" x14ac:dyDescent="0.25">
      <c r="G7096" s="81"/>
      <c r="S7096" s="81"/>
    </row>
    <row r="7097" spans="7:19" x14ac:dyDescent="0.25">
      <c r="G7097" s="81"/>
      <c r="S7097" s="81"/>
    </row>
    <row r="7098" spans="7:19" x14ac:dyDescent="0.25">
      <c r="G7098" s="81"/>
      <c r="S7098" s="81"/>
    </row>
    <row r="7099" spans="7:19" x14ac:dyDescent="0.25">
      <c r="G7099" s="81"/>
      <c r="S7099" s="81"/>
    </row>
    <row r="7100" spans="7:19" x14ac:dyDescent="0.25">
      <c r="G7100" s="81"/>
      <c r="S7100" s="81"/>
    </row>
    <row r="7101" spans="7:19" x14ac:dyDescent="0.25">
      <c r="G7101" s="81"/>
      <c r="S7101" s="81"/>
    </row>
    <row r="7102" spans="7:19" x14ac:dyDescent="0.25">
      <c r="G7102" s="81"/>
      <c r="S7102" s="81"/>
    </row>
    <row r="7103" spans="7:19" x14ac:dyDescent="0.25">
      <c r="G7103" s="81"/>
      <c r="S7103" s="81"/>
    </row>
    <row r="7104" spans="7:19" x14ac:dyDescent="0.25">
      <c r="G7104" s="81"/>
      <c r="S7104" s="81"/>
    </row>
    <row r="7105" spans="7:19" x14ac:dyDescent="0.25">
      <c r="G7105" s="81"/>
      <c r="S7105" s="81"/>
    </row>
    <row r="7106" spans="7:19" x14ac:dyDescent="0.25">
      <c r="G7106" s="81"/>
      <c r="S7106" s="81"/>
    </row>
    <row r="7107" spans="7:19" x14ac:dyDescent="0.25">
      <c r="G7107" s="81"/>
      <c r="S7107" s="81"/>
    </row>
    <row r="7108" spans="7:19" x14ac:dyDescent="0.25">
      <c r="G7108" s="81"/>
      <c r="S7108" s="81"/>
    </row>
    <row r="7109" spans="7:19" x14ac:dyDescent="0.25">
      <c r="G7109" s="81"/>
      <c r="S7109" s="81"/>
    </row>
    <row r="7110" spans="7:19" x14ac:dyDescent="0.25">
      <c r="G7110" s="81"/>
      <c r="S7110" s="81"/>
    </row>
    <row r="7111" spans="7:19" x14ac:dyDescent="0.25">
      <c r="G7111" s="81"/>
      <c r="S7111" s="81"/>
    </row>
    <row r="7112" spans="7:19" x14ac:dyDescent="0.25">
      <c r="G7112" s="81"/>
      <c r="S7112" s="81"/>
    </row>
    <row r="7113" spans="7:19" x14ac:dyDescent="0.25">
      <c r="G7113" s="81"/>
      <c r="S7113" s="81"/>
    </row>
    <row r="7114" spans="7:19" x14ac:dyDescent="0.25">
      <c r="G7114" s="81"/>
      <c r="S7114" s="81"/>
    </row>
    <row r="7115" spans="7:19" x14ac:dyDescent="0.25">
      <c r="G7115" s="81"/>
      <c r="S7115" s="81"/>
    </row>
    <row r="7116" spans="7:19" x14ac:dyDescent="0.25">
      <c r="G7116" s="81"/>
      <c r="S7116" s="81"/>
    </row>
    <row r="7117" spans="7:19" x14ac:dyDescent="0.25">
      <c r="G7117" s="81"/>
      <c r="S7117" s="81"/>
    </row>
    <row r="7118" spans="7:19" x14ac:dyDescent="0.25">
      <c r="G7118" s="81"/>
      <c r="S7118" s="81"/>
    </row>
    <row r="7119" spans="7:19" x14ac:dyDescent="0.25">
      <c r="G7119" s="81"/>
      <c r="S7119" s="81"/>
    </row>
    <row r="7120" spans="7:19" x14ac:dyDescent="0.25">
      <c r="G7120" s="81"/>
      <c r="S7120" s="81"/>
    </row>
    <row r="7121" spans="7:19" x14ac:dyDescent="0.25">
      <c r="G7121" s="81"/>
      <c r="S7121" s="81"/>
    </row>
    <row r="7122" spans="7:19" x14ac:dyDescent="0.25">
      <c r="G7122" s="81"/>
      <c r="S7122" s="81"/>
    </row>
    <row r="7123" spans="7:19" x14ac:dyDescent="0.25">
      <c r="G7123" s="81"/>
      <c r="S7123" s="81"/>
    </row>
    <row r="7124" spans="7:19" x14ac:dyDescent="0.25">
      <c r="G7124" s="81"/>
      <c r="S7124" s="81"/>
    </row>
    <row r="7125" spans="7:19" x14ac:dyDescent="0.25">
      <c r="G7125" s="81"/>
      <c r="S7125" s="81"/>
    </row>
    <row r="7126" spans="7:19" x14ac:dyDescent="0.25">
      <c r="G7126" s="81"/>
      <c r="S7126" s="81"/>
    </row>
    <row r="7127" spans="7:19" x14ac:dyDescent="0.25">
      <c r="G7127" s="81"/>
      <c r="S7127" s="81"/>
    </row>
    <row r="7128" spans="7:19" x14ac:dyDescent="0.25">
      <c r="G7128" s="81"/>
      <c r="S7128" s="81"/>
    </row>
    <row r="7129" spans="7:19" x14ac:dyDescent="0.25">
      <c r="G7129" s="81"/>
      <c r="S7129" s="81"/>
    </row>
    <row r="7130" spans="7:19" x14ac:dyDescent="0.25">
      <c r="G7130" s="81"/>
      <c r="S7130" s="81"/>
    </row>
    <row r="7131" spans="7:19" x14ac:dyDescent="0.25">
      <c r="G7131" s="81"/>
      <c r="S7131" s="81"/>
    </row>
    <row r="7132" spans="7:19" x14ac:dyDescent="0.25">
      <c r="G7132" s="81"/>
      <c r="S7132" s="81"/>
    </row>
    <row r="7133" spans="7:19" x14ac:dyDescent="0.25">
      <c r="G7133" s="81"/>
      <c r="S7133" s="81"/>
    </row>
    <row r="7134" spans="7:19" x14ac:dyDescent="0.25">
      <c r="G7134" s="81"/>
      <c r="S7134" s="81"/>
    </row>
    <row r="7135" spans="7:19" x14ac:dyDescent="0.25">
      <c r="G7135" s="81"/>
      <c r="S7135" s="81"/>
    </row>
    <row r="7136" spans="7:19" x14ac:dyDescent="0.25">
      <c r="G7136" s="81"/>
      <c r="S7136" s="81"/>
    </row>
    <row r="7137" spans="7:19" x14ac:dyDescent="0.25">
      <c r="G7137" s="81"/>
      <c r="S7137" s="81"/>
    </row>
    <row r="7138" spans="7:19" x14ac:dyDescent="0.25">
      <c r="G7138" s="81"/>
      <c r="S7138" s="81"/>
    </row>
    <row r="7139" spans="7:19" x14ac:dyDescent="0.25">
      <c r="G7139" s="81"/>
      <c r="S7139" s="81"/>
    </row>
    <row r="7140" spans="7:19" x14ac:dyDescent="0.25">
      <c r="G7140" s="81"/>
      <c r="S7140" s="81"/>
    </row>
    <row r="7141" spans="7:19" x14ac:dyDescent="0.25">
      <c r="G7141" s="81"/>
      <c r="S7141" s="81"/>
    </row>
    <row r="7142" spans="7:19" x14ac:dyDescent="0.25">
      <c r="G7142" s="81"/>
      <c r="S7142" s="81"/>
    </row>
    <row r="7143" spans="7:19" x14ac:dyDescent="0.25">
      <c r="G7143" s="81"/>
      <c r="S7143" s="81"/>
    </row>
    <row r="7144" spans="7:19" x14ac:dyDescent="0.25">
      <c r="G7144" s="81"/>
      <c r="S7144" s="81"/>
    </row>
    <row r="7145" spans="7:19" x14ac:dyDescent="0.25">
      <c r="G7145" s="81"/>
      <c r="S7145" s="81"/>
    </row>
    <row r="7146" spans="7:19" x14ac:dyDescent="0.25">
      <c r="G7146" s="81"/>
      <c r="S7146" s="81"/>
    </row>
    <row r="7147" spans="7:19" x14ac:dyDescent="0.25">
      <c r="G7147" s="81"/>
      <c r="S7147" s="81"/>
    </row>
    <row r="7148" spans="7:19" x14ac:dyDescent="0.25">
      <c r="G7148" s="81"/>
      <c r="S7148" s="81"/>
    </row>
    <row r="7149" spans="7:19" x14ac:dyDescent="0.25">
      <c r="G7149" s="81"/>
      <c r="S7149" s="81"/>
    </row>
    <row r="7150" spans="7:19" x14ac:dyDescent="0.25">
      <c r="G7150" s="81"/>
      <c r="S7150" s="81"/>
    </row>
    <row r="7151" spans="7:19" x14ac:dyDescent="0.25">
      <c r="G7151" s="81"/>
      <c r="S7151" s="81"/>
    </row>
    <row r="7152" spans="7:19" x14ac:dyDescent="0.25">
      <c r="G7152" s="81"/>
      <c r="S7152" s="81"/>
    </row>
    <row r="7153" spans="7:19" x14ac:dyDescent="0.25">
      <c r="G7153" s="81"/>
      <c r="S7153" s="81"/>
    </row>
    <row r="7154" spans="7:19" x14ac:dyDescent="0.25">
      <c r="G7154" s="81"/>
      <c r="S7154" s="81"/>
    </row>
    <row r="7155" spans="7:19" x14ac:dyDescent="0.25">
      <c r="G7155" s="81"/>
      <c r="S7155" s="81"/>
    </row>
    <row r="7156" spans="7:19" x14ac:dyDescent="0.25">
      <c r="G7156" s="81"/>
      <c r="S7156" s="81"/>
    </row>
    <row r="7157" spans="7:19" x14ac:dyDescent="0.25">
      <c r="G7157" s="81"/>
      <c r="S7157" s="81"/>
    </row>
    <row r="7158" spans="7:19" x14ac:dyDescent="0.25">
      <c r="G7158" s="81"/>
      <c r="S7158" s="81"/>
    </row>
    <row r="7159" spans="7:19" x14ac:dyDescent="0.25">
      <c r="G7159" s="81"/>
      <c r="S7159" s="81"/>
    </row>
    <row r="7160" spans="7:19" x14ac:dyDescent="0.25">
      <c r="G7160" s="81"/>
      <c r="S7160" s="81"/>
    </row>
    <row r="7161" spans="7:19" x14ac:dyDescent="0.25">
      <c r="G7161" s="81"/>
      <c r="S7161" s="81"/>
    </row>
    <row r="7162" spans="7:19" x14ac:dyDescent="0.25">
      <c r="G7162" s="81"/>
      <c r="S7162" s="81"/>
    </row>
    <row r="7163" spans="7:19" x14ac:dyDescent="0.25">
      <c r="G7163" s="81"/>
      <c r="S7163" s="81"/>
    </row>
    <row r="7164" spans="7:19" x14ac:dyDescent="0.25">
      <c r="G7164" s="81"/>
      <c r="S7164" s="81"/>
    </row>
    <row r="7165" spans="7:19" x14ac:dyDescent="0.25">
      <c r="G7165" s="81"/>
      <c r="S7165" s="81"/>
    </row>
    <row r="7166" spans="7:19" x14ac:dyDescent="0.25">
      <c r="G7166" s="81"/>
      <c r="S7166" s="81"/>
    </row>
    <row r="7167" spans="7:19" x14ac:dyDescent="0.25">
      <c r="G7167" s="81"/>
      <c r="S7167" s="81"/>
    </row>
    <row r="7168" spans="7:19" x14ac:dyDescent="0.25">
      <c r="G7168" s="81"/>
      <c r="S7168" s="81"/>
    </row>
    <row r="7169" spans="7:19" x14ac:dyDescent="0.25">
      <c r="G7169" s="81"/>
      <c r="S7169" s="81"/>
    </row>
    <row r="7170" spans="7:19" x14ac:dyDescent="0.25">
      <c r="G7170" s="81"/>
      <c r="S7170" s="81"/>
    </row>
    <row r="7171" spans="7:19" x14ac:dyDescent="0.25">
      <c r="G7171" s="81"/>
      <c r="S7171" s="81"/>
    </row>
    <row r="7172" spans="7:19" x14ac:dyDescent="0.25">
      <c r="G7172" s="81"/>
      <c r="S7172" s="81"/>
    </row>
    <row r="7173" spans="7:19" x14ac:dyDescent="0.25">
      <c r="G7173" s="81"/>
      <c r="S7173" s="81"/>
    </row>
    <row r="7174" spans="7:19" x14ac:dyDescent="0.25">
      <c r="G7174" s="81"/>
      <c r="S7174" s="81"/>
    </row>
    <row r="7175" spans="7:19" x14ac:dyDescent="0.25">
      <c r="G7175" s="81"/>
      <c r="S7175" s="81"/>
    </row>
    <row r="7176" spans="7:19" x14ac:dyDescent="0.25">
      <c r="G7176" s="81"/>
      <c r="S7176" s="81"/>
    </row>
    <row r="7177" spans="7:19" x14ac:dyDescent="0.25">
      <c r="G7177" s="81"/>
      <c r="S7177" s="81"/>
    </row>
    <row r="7178" spans="7:19" x14ac:dyDescent="0.25">
      <c r="G7178" s="81"/>
      <c r="S7178" s="81"/>
    </row>
    <row r="7179" spans="7:19" x14ac:dyDescent="0.25">
      <c r="G7179" s="81"/>
      <c r="S7179" s="81"/>
    </row>
    <row r="7180" spans="7:19" x14ac:dyDescent="0.25">
      <c r="G7180" s="81"/>
      <c r="S7180" s="81"/>
    </row>
    <row r="7181" spans="7:19" x14ac:dyDescent="0.25">
      <c r="G7181" s="81"/>
      <c r="S7181" s="81"/>
    </row>
    <row r="7182" spans="7:19" x14ac:dyDescent="0.25">
      <c r="G7182" s="81"/>
      <c r="S7182" s="81"/>
    </row>
    <row r="7183" spans="7:19" x14ac:dyDescent="0.25">
      <c r="G7183" s="81"/>
      <c r="S7183" s="81"/>
    </row>
    <row r="7184" spans="7:19" x14ac:dyDescent="0.25">
      <c r="G7184" s="81"/>
      <c r="S7184" s="81"/>
    </row>
    <row r="7185" spans="7:19" x14ac:dyDescent="0.25">
      <c r="G7185" s="81"/>
      <c r="S7185" s="81"/>
    </row>
    <row r="7186" spans="7:19" x14ac:dyDescent="0.25">
      <c r="G7186" s="81"/>
      <c r="S7186" s="81"/>
    </row>
    <row r="7187" spans="7:19" x14ac:dyDescent="0.25">
      <c r="G7187" s="81"/>
      <c r="S7187" s="81"/>
    </row>
    <row r="7188" spans="7:19" x14ac:dyDescent="0.25">
      <c r="G7188" s="81"/>
      <c r="S7188" s="81"/>
    </row>
    <row r="7189" spans="7:19" x14ac:dyDescent="0.25">
      <c r="G7189" s="81"/>
      <c r="S7189" s="81"/>
    </row>
    <row r="7190" spans="7:19" x14ac:dyDescent="0.25">
      <c r="G7190" s="81"/>
      <c r="S7190" s="81"/>
    </row>
    <row r="7191" spans="7:19" x14ac:dyDescent="0.25">
      <c r="G7191" s="81"/>
      <c r="S7191" s="81"/>
    </row>
    <row r="7192" spans="7:19" x14ac:dyDescent="0.25">
      <c r="G7192" s="81"/>
      <c r="S7192" s="81"/>
    </row>
    <row r="7193" spans="7:19" x14ac:dyDescent="0.25">
      <c r="G7193" s="81"/>
      <c r="S7193" s="81"/>
    </row>
    <row r="7194" spans="7:19" x14ac:dyDescent="0.25">
      <c r="G7194" s="81"/>
      <c r="S7194" s="81"/>
    </row>
    <row r="7195" spans="7:19" x14ac:dyDescent="0.25">
      <c r="G7195" s="81"/>
      <c r="S7195" s="81"/>
    </row>
    <row r="7196" spans="7:19" x14ac:dyDescent="0.25">
      <c r="G7196" s="81"/>
      <c r="S7196" s="81"/>
    </row>
    <row r="7197" spans="7:19" x14ac:dyDescent="0.25">
      <c r="G7197" s="81"/>
      <c r="S7197" s="81"/>
    </row>
    <row r="7198" spans="7:19" x14ac:dyDescent="0.25">
      <c r="G7198" s="81"/>
      <c r="S7198" s="81"/>
    </row>
    <row r="7199" spans="7:19" x14ac:dyDescent="0.25">
      <c r="G7199" s="81"/>
      <c r="S7199" s="81"/>
    </row>
    <row r="7200" spans="7:19" x14ac:dyDescent="0.25">
      <c r="G7200" s="81"/>
      <c r="S7200" s="81"/>
    </row>
    <row r="7201" spans="7:19" x14ac:dyDescent="0.25">
      <c r="G7201" s="81"/>
      <c r="S7201" s="81"/>
    </row>
    <row r="7202" spans="7:19" x14ac:dyDescent="0.25">
      <c r="G7202" s="81"/>
      <c r="S7202" s="81"/>
    </row>
    <row r="7203" spans="7:19" x14ac:dyDescent="0.25">
      <c r="G7203" s="81"/>
      <c r="S7203" s="81"/>
    </row>
    <row r="7204" spans="7:19" x14ac:dyDescent="0.25">
      <c r="G7204" s="81"/>
      <c r="S7204" s="81"/>
    </row>
    <row r="7205" spans="7:19" x14ac:dyDescent="0.25">
      <c r="G7205" s="81"/>
      <c r="S7205" s="81"/>
    </row>
    <row r="7206" spans="7:19" x14ac:dyDescent="0.25">
      <c r="G7206" s="81"/>
      <c r="S7206" s="81"/>
    </row>
    <row r="7207" spans="7:19" x14ac:dyDescent="0.25">
      <c r="G7207" s="81"/>
      <c r="S7207" s="81"/>
    </row>
    <row r="7208" spans="7:19" x14ac:dyDescent="0.25">
      <c r="G7208" s="81"/>
      <c r="S7208" s="81"/>
    </row>
    <row r="7209" spans="7:19" x14ac:dyDescent="0.25">
      <c r="G7209" s="81"/>
      <c r="S7209" s="81"/>
    </row>
    <row r="7210" spans="7:19" x14ac:dyDescent="0.25">
      <c r="G7210" s="81"/>
      <c r="S7210" s="81"/>
    </row>
    <row r="7211" spans="7:19" x14ac:dyDescent="0.25">
      <c r="G7211" s="81"/>
      <c r="S7211" s="81"/>
    </row>
    <row r="7212" spans="7:19" x14ac:dyDescent="0.25">
      <c r="G7212" s="81"/>
      <c r="S7212" s="81"/>
    </row>
    <row r="7213" spans="7:19" x14ac:dyDescent="0.25">
      <c r="G7213" s="81"/>
      <c r="S7213" s="81"/>
    </row>
    <row r="7214" spans="7:19" x14ac:dyDescent="0.25">
      <c r="G7214" s="81"/>
      <c r="S7214" s="81"/>
    </row>
    <row r="7215" spans="7:19" x14ac:dyDescent="0.25">
      <c r="G7215" s="81"/>
      <c r="S7215" s="81"/>
    </row>
    <row r="7216" spans="7:19" x14ac:dyDescent="0.25">
      <c r="G7216" s="81"/>
      <c r="S7216" s="81"/>
    </row>
    <row r="7217" spans="7:19" x14ac:dyDescent="0.25">
      <c r="G7217" s="81"/>
      <c r="S7217" s="81"/>
    </row>
    <row r="7218" spans="7:19" x14ac:dyDescent="0.25">
      <c r="G7218" s="81"/>
      <c r="S7218" s="81"/>
    </row>
    <row r="7219" spans="7:19" x14ac:dyDescent="0.25">
      <c r="G7219" s="81"/>
      <c r="S7219" s="81"/>
    </row>
    <row r="7220" spans="7:19" x14ac:dyDescent="0.25">
      <c r="G7220" s="81"/>
      <c r="S7220" s="81"/>
    </row>
    <row r="7221" spans="7:19" x14ac:dyDescent="0.25">
      <c r="G7221" s="81"/>
      <c r="S7221" s="81"/>
    </row>
    <row r="7222" spans="7:19" x14ac:dyDescent="0.25">
      <c r="G7222" s="81"/>
      <c r="S7222" s="81"/>
    </row>
    <row r="7223" spans="7:19" x14ac:dyDescent="0.25">
      <c r="G7223" s="81"/>
      <c r="S7223" s="81"/>
    </row>
    <row r="7224" spans="7:19" x14ac:dyDescent="0.25">
      <c r="G7224" s="81"/>
      <c r="S7224" s="81"/>
    </row>
    <row r="7225" spans="7:19" x14ac:dyDescent="0.25">
      <c r="G7225" s="81"/>
      <c r="S7225" s="81"/>
    </row>
    <row r="7226" spans="7:19" x14ac:dyDescent="0.25">
      <c r="G7226" s="81"/>
      <c r="S7226" s="81"/>
    </row>
    <row r="7227" spans="7:19" x14ac:dyDescent="0.25">
      <c r="G7227" s="81"/>
      <c r="S7227" s="81"/>
    </row>
    <row r="7228" spans="7:19" x14ac:dyDescent="0.25">
      <c r="G7228" s="81"/>
      <c r="S7228" s="81"/>
    </row>
    <row r="7229" spans="7:19" x14ac:dyDescent="0.25">
      <c r="G7229" s="81"/>
      <c r="S7229" s="81"/>
    </row>
    <row r="7230" spans="7:19" x14ac:dyDescent="0.25">
      <c r="G7230" s="81"/>
      <c r="S7230" s="81"/>
    </row>
    <row r="7231" spans="7:19" x14ac:dyDescent="0.25">
      <c r="G7231" s="81"/>
      <c r="S7231" s="81"/>
    </row>
    <row r="7232" spans="7:19" x14ac:dyDescent="0.25">
      <c r="G7232" s="81"/>
      <c r="S7232" s="81"/>
    </row>
    <row r="7233" spans="7:19" x14ac:dyDescent="0.25">
      <c r="G7233" s="81"/>
      <c r="S7233" s="81"/>
    </row>
    <row r="7234" spans="7:19" x14ac:dyDescent="0.25">
      <c r="G7234" s="81"/>
      <c r="S7234" s="81"/>
    </row>
    <row r="7235" spans="7:19" x14ac:dyDescent="0.25">
      <c r="G7235" s="81"/>
      <c r="S7235" s="81"/>
    </row>
    <row r="7236" spans="7:19" x14ac:dyDescent="0.25">
      <c r="G7236" s="81"/>
      <c r="S7236" s="81"/>
    </row>
    <row r="7237" spans="7:19" x14ac:dyDescent="0.25">
      <c r="G7237" s="81"/>
      <c r="S7237" s="81"/>
    </row>
    <row r="7238" spans="7:19" x14ac:dyDescent="0.25">
      <c r="G7238" s="81"/>
      <c r="S7238" s="81"/>
    </row>
    <row r="7239" spans="7:19" x14ac:dyDescent="0.25">
      <c r="G7239" s="81"/>
      <c r="S7239" s="81"/>
    </row>
    <row r="7240" spans="7:19" x14ac:dyDescent="0.25">
      <c r="G7240" s="81"/>
      <c r="S7240" s="81"/>
    </row>
    <row r="7241" spans="7:19" x14ac:dyDescent="0.25">
      <c r="G7241" s="81"/>
      <c r="S7241" s="81"/>
    </row>
    <row r="7242" spans="7:19" x14ac:dyDescent="0.25">
      <c r="G7242" s="81"/>
      <c r="S7242" s="81"/>
    </row>
    <row r="7243" spans="7:19" x14ac:dyDescent="0.25">
      <c r="G7243" s="81"/>
      <c r="S7243" s="81"/>
    </row>
    <row r="7244" spans="7:19" x14ac:dyDescent="0.25">
      <c r="G7244" s="81"/>
      <c r="S7244" s="81"/>
    </row>
    <row r="7245" spans="7:19" x14ac:dyDescent="0.25">
      <c r="G7245" s="81"/>
      <c r="S7245" s="81"/>
    </row>
    <row r="7246" spans="7:19" x14ac:dyDescent="0.25">
      <c r="G7246" s="81"/>
      <c r="S7246" s="81"/>
    </row>
    <row r="7247" spans="7:19" x14ac:dyDescent="0.25">
      <c r="G7247" s="81"/>
      <c r="S7247" s="81"/>
    </row>
    <row r="7248" spans="7:19" x14ac:dyDescent="0.25">
      <c r="G7248" s="81"/>
      <c r="S7248" s="81"/>
    </row>
    <row r="7249" spans="7:19" x14ac:dyDescent="0.25">
      <c r="G7249" s="81"/>
      <c r="S7249" s="81"/>
    </row>
    <row r="7250" spans="7:19" x14ac:dyDescent="0.25">
      <c r="G7250" s="81"/>
      <c r="S7250" s="81"/>
    </row>
    <row r="7251" spans="7:19" x14ac:dyDescent="0.25">
      <c r="G7251" s="81"/>
      <c r="S7251" s="81"/>
    </row>
    <row r="7252" spans="7:19" x14ac:dyDescent="0.25">
      <c r="G7252" s="81"/>
      <c r="S7252" s="81"/>
    </row>
    <row r="7253" spans="7:19" x14ac:dyDescent="0.25">
      <c r="G7253" s="81"/>
      <c r="S7253" s="81"/>
    </row>
    <row r="7254" spans="7:19" x14ac:dyDescent="0.25">
      <c r="G7254" s="81"/>
      <c r="S7254" s="81"/>
    </row>
    <row r="7255" spans="7:19" x14ac:dyDescent="0.25">
      <c r="G7255" s="81"/>
      <c r="S7255" s="81"/>
    </row>
    <row r="7256" spans="7:19" x14ac:dyDescent="0.25">
      <c r="G7256" s="81"/>
      <c r="S7256" s="81"/>
    </row>
    <row r="7257" spans="7:19" x14ac:dyDescent="0.25">
      <c r="G7257" s="81"/>
      <c r="S7257" s="81"/>
    </row>
    <row r="7258" spans="7:19" x14ac:dyDescent="0.25">
      <c r="G7258" s="81"/>
      <c r="S7258" s="81"/>
    </row>
    <row r="7259" spans="7:19" x14ac:dyDescent="0.25">
      <c r="G7259" s="81"/>
      <c r="S7259" s="81"/>
    </row>
    <row r="7260" spans="7:19" x14ac:dyDescent="0.25">
      <c r="G7260" s="81"/>
      <c r="S7260" s="81"/>
    </row>
    <row r="7261" spans="7:19" x14ac:dyDescent="0.25">
      <c r="G7261" s="81"/>
      <c r="S7261" s="81"/>
    </row>
    <row r="7262" spans="7:19" x14ac:dyDescent="0.25">
      <c r="G7262" s="81"/>
      <c r="S7262" s="81"/>
    </row>
    <row r="7263" spans="7:19" x14ac:dyDescent="0.25">
      <c r="G7263" s="81"/>
      <c r="S7263" s="81"/>
    </row>
    <row r="7264" spans="7:19" x14ac:dyDescent="0.25">
      <c r="G7264" s="81"/>
      <c r="S7264" s="81"/>
    </row>
    <row r="7265" spans="7:19" x14ac:dyDescent="0.25">
      <c r="G7265" s="81"/>
      <c r="S7265" s="81"/>
    </row>
    <row r="7266" spans="7:19" x14ac:dyDescent="0.25">
      <c r="G7266" s="81"/>
      <c r="S7266" s="81"/>
    </row>
    <row r="7267" spans="7:19" x14ac:dyDescent="0.25">
      <c r="G7267" s="81"/>
      <c r="S7267" s="81"/>
    </row>
    <row r="7268" spans="7:19" x14ac:dyDescent="0.25">
      <c r="G7268" s="81"/>
      <c r="S7268" s="81"/>
    </row>
    <row r="7269" spans="7:19" x14ac:dyDescent="0.25">
      <c r="G7269" s="81"/>
      <c r="S7269" s="81"/>
    </row>
    <row r="7270" spans="7:19" x14ac:dyDescent="0.25">
      <c r="G7270" s="81"/>
      <c r="S7270" s="81"/>
    </row>
    <row r="7271" spans="7:19" x14ac:dyDescent="0.25">
      <c r="G7271" s="81"/>
      <c r="S7271" s="81"/>
    </row>
    <row r="7272" spans="7:19" x14ac:dyDescent="0.25">
      <c r="G7272" s="81"/>
      <c r="S7272" s="81"/>
    </row>
    <row r="7273" spans="7:19" x14ac:dyDescent="0.25">
      <c r="G7273" s="81"/>
      <c r="S7273" s="81"/>
    </row>
    <row r="7274" spans="7:19" x14ac:dyDescent="0.25">
      <c r="G7274" s="81"/>
      <c r="S7274" s="81"/>
    </row>
    <row r="7275" spans="7:19" x14ac:dyDescent="0.25">
      <c r="G7275" s="81"/>
      <c r="S7275" s="81"/>
    </row>
    <row r="7276" spans="7:19" x14ac:dyDescent="0.25">
      <c r="G7276" s="81"/>
      <c r="S7276" s="81"/>
    </row>
    <row r="7277" spans="7:19" x14ac:dyDescent="0.25">
      <c r="G7277" s="81"/>
      <c r="S7277" s="81"/>
    </row>
    <row r="7278" spans="7:19" x14ac:dyDescent="0.25">
      <c r="G7278" s="81"/>
      <c r="S7278" s="81"/>
    </row>
    <row r="7279" spans="7:19" x14ac:dyDescent="0.25">
      <c r="G7279" s="81"/>
      <c r="S7279" s="81"/>
    </row>
    <row r="7280" spans="7:19" x14ac:dyDescent="0.25">
      <c r="G7280" s="81"/>
      <c r="S7280" s="81"/>
    </row>
    <row r="7281" spans="7:19" x14ac:dyDescent="0.25">
      <c r="G7281" s="81"/>
      <c r="S7281" s="81"/>
    </row>
    <row r="7282" spans="7:19" x14ac:dyDescent="0.25">
      <c r="G7282" s="81"/>
      <c r="S7282" s="81"/>
    </row>
    <row r="7283" spans="7:19" x14ac:dyDescent="0.25">
      <c r="G7283" s="81"/>
      <c r="S7283" s="81"/>
    </row>
    <row r="7284" spans="7:19" x14ac:dyDescent="0.25">
      <c r="G7284" s="81"/>
      <c r="S7284" s="81"/>
    </row>
    <row r="7285" spans="7:19" x14ac:dyDescent="0.25">
      <c r="G7285" s="81"/>
      <c r="S7285" s="81"/>
    </row>
    <row r="7286" spans="7:19" x14ac:dyDescent="0.25">
      <c r="G7286" s="81"/>
      <c r="S7286" s="81"/>
    </row>
    <row r="7287" spans="7:19" x14ac:dyDescent="0.25">
      <c r="G7287" s="81"/>
      <c r="S7287" s="81"/>
    </row>
    <row r="7288" spans="7:19" x14ac:dyDescent="0.25">
      <c r="G7288" s="81"/>
      <c r="S7288" s="81"/>
    </row>
    <row r="7289" spans="7:19" x14ac:dyDescent="0.25">
      <c r="G7289" s="81"/>
      <c r="S7289" s="81"/>
    </row>
    <row r="7290" spans="7:19" x14ac:dyDescent="0.25">
      <c r="G7290" s="81"/>
      <c r="S7290" s="81"/>
    </row>
    <row r="7291" spans="7:19" x14ac:dyDescent="0.25">
      <c r="G7291" s="81"/>
      <c r="S7291" s="81"/>
    </row>
    <row r="7292" spans="7:19" x14ac:dyDescent="0.25">
      <c r="G7292" s="81"/>
      <c r="S7292" s="81"/>
    </row>
    <row r="7293" spans="7:19" x14ac:dyDescent="0.25">
      <c r="G7293" s="81"/>
      <c r="S7293" s="81"/>
    </row>
    <row r="7294" spans="7:19" x14ac:dyDescent="0.25">
      <c r="G7294" s="81"/>
      <c r="S7294" s="81"/>
    </row>
    <row r="7295" spans="7:19" x14ac:dyDescent="0.25">
      <c r="G7295" s="81"/>
      <c r="S7295" s="81"/>
    </row>
    <row r="7296" spans="7:19" x14ac:dyDescent="0.25">
      <c r="G7296" s="81"/>
      <c r="S7296" s="81"/>
    </row>
    <row r="7297" spans="7:19" x14ac:dyDescent="0.25">
      <c r="G7297" s="81"/>
      <c r="S7297" s="81"/>
    </row>
    <row r="7298" spans="7:19" x14ac:dyDescent="0.25">
      <c r="G7298" s="81"/>
      <c r="S7298" s="81"/>
    </row>
    <row r="7299" spans="7:19" x14ac:dyDescent="0.25">
      <c r="G7299" s="81"/>
      <c r="S7299" s="81"/>
    </row>
    <row r="7300" spans="7:19" x14ac:dyDescent="0.25">
      <c r="G7300" s="81"/>
      <c r="S7300" s="81"/>
    </row>
    <row r="7301" spans="7:19" x14ac:dyDescent="0.25">
      <c r="G7301" s="81"/>
      <c r="S7301" s="81"/>
    </row>
    <row r="7302" spans="7:19" x14ac:dyDescent="0.25">
      <c r="G7302" s="81"/>
      <c r="S7302" s="81"/>
    </row>
    <row r="7303" spans="7:19" x14ac:dyDescent="0.25">
      <c r="G7303" s="81"/>
      <c r="S7303" s="81"/>
    </row>
    <row r="7304" spans="7:19" x14ac:dyDescent="0.25">
      <c r="G7304" s="81"/>
      <c r="S7304" s="81"/>
    </row>
    <row r="7305" spans="7:19" x14ac:dyDescent="0.25">
      <c r="G7305" s="81"/>
      <c r="S7305" s="81"/>
    </row>
    <row r="7306" spans="7:19" x14ac:dyDescent="0.25">
      <c r="G7306" s="81"/>
      <c r="S7306" s="81"/>
    </row>
    <row r="7307" spans="7:19" x14ac:dyDescent="0.25">
      <c r="G7307" s="81"/>
      <c r="S7307" s="81"/>
    </row>
    <row r="7308" spans="7:19" x14ac:dyDescent="0.25">
      <c r="G7308" s="81"/>
      <c r="S7308" s="81"/>
    </row>
    <row r="7309" spans="7:19" x14ac:dyDescent="0.25">
      <c r="G7309" s="81"/>
      <c r="S7309" s="81"/>
    </row>
    <row r="7310" spans="7:19" x14ac:dyDescent="0.25">
      <c r="G7310" s="81"/>
      <c r="S7310" s="81"/>
    </row>
    <row r="7311" spans="7:19" x14ac:dyDescent="0.25">
      <c r="G7311" s="81"/>
      <c r="S7311" s="81"/>
    </row>
    <row r="7312" spans="7:19" x14ac:dyDescent="0.25">
      <c r="G7312" s="81"/>
      <c r="S7312" s="81"/>
    </row>
    <row r="7313" spans="7:19" x14ac:dyDescent="0.25">
      <c r="G7313" s="81"/>
      <c r="S7313" s="81"/>
    </row>
    <row r="7314" spans="7:19" x14ac:dyDescent="0.25">
      <c r="G7314" s="81"/>
      <c r="S7314" s="81"/>
    </row>
    <row r="7315" spans="7:19" x14ac:dyDescent="0.25">
      <c r="G7315" s="81"/>
      <c r="S7315" s="81"/>
    </row>
    <row r="7316" spans="7:19" x14ac:dyDescent="0.25">
      <c r="G7316" s="81"/>
      <c r="S7316" s="81"/>
    </row>
    <row r="7317" spans="7:19" x14ac:dyDescent="0.25">
      <c r="G7317" s="81"/>
      <c r="S7317" s="81"/>
    </row>
    <row r="7318" spans="7:19" x14ac:dyDescent="0.25">
      <c r="G7318" s="81"/>
      <c r="S7318" s="81"/>
    </row>
    <row r="7319" spans="7:19" x14ac:dyDescent="0.25">
      <c r="G7319" s="81"/>
      <c r="S7319" s="81"/>
    </row>
    <row r="7320" spans="7:19" x14ac:dyDescent="0.25">
      <c r="G7320" s="81"/>
      <c r="S7320" s="81"/>
    </row>
    <row r="7321" spans="7:19" x14ac:dyDescent="0.25">
      <c r="G7321" s="81"/>
      <c r="S7321" s="81"/>
    </row>
    <row r="7322" spans="7:19" x14ac:dyDescent="0.25">
      <c r="G7322" s="81"/>
      <c r="S7322" s="81"/>
    </row>
    <row r="7323" spans="7:19" x14ac:dyDescent="0.25">
      <c r="G7323" s="81"/>
      <c r="S7323" s="81"/>
    </row>
    <row r="7324" spans="7:19" x14ac:dyDescent="0.25">
      <c r="G7324" s="81"/>
      <c r="S7324" s="81"/>
    </row>
    <row r="7325" spans="7:19" x14ac:dyDescent="0.25">
      <c r="G7325" s="81"/>
      <c r="S7325" s="81"/>
    </row>
    <row r="7326" spans="7:19" x14ac:dyDescent="0.25">
      <c r="G7326" s="81"/>
      <c r="S7326" s="81"/>
    </row>
    <row r="7327" spans="7:19" x14ac:dyDescent="0.25">
      <c r="G7327" s="81"/>
      <c r="S7327" s="81"/>
    </row>
    <row r="7328" spans="7:19" x14ac:dyDescent="0.25">
      <c r="G7328" s="81"/>
      <c r="S7328" s="81"/>
    </row>
    <row r="7329" spans="7:19" x14ac:dyDescent="0.25">
      <c r="G7329" s="81"/>
      <c r="S7329" s="81"/>
    </row>
    <row r="7330" spans="7:19" x14ac:dyDescent="0.25">
      <c r="G7330" s="81"/>
      <c r="S7330" s="81"/>
    </row>
    <row r="7331" spans="7:19" x14ac:dyDescent="0.25">
      <c r="G7331" s="81"/>
      <c r="S7331" s="81"/>
    </row>
    <row r="7332" spans="7:19" x14ac:dyDescent="0.25">
      <c r="G7332" s="81"/>
      <c r="S7332" s="81"/>
    </row>
    <row r="7333" spans="7:19" x14ac:dyDescent="0.25">
      <c r="G7333" s="81"/>
      <c r="S7333" s="81"/>
    </row>
    <row r="7334" spans="7:19" x14ac:dyDescent="0.25">
      <c r="G7334" s="81"/>
      <c r="S7334" s="81"/>
    </row>
    <row r="7335" spans="7:19" x14ac:dyDescent="0.25">
      <c r="G7335" s="81"/>
      <c r="S7335" s="81"/>
    </row>
    <row r="7336" spans="7:19" x14ac:dyDescent="0.25">
      <c r="G7336" s="81"/>
      <c r="S7336" s="81"/>
    </row>
    <row r="7337" spans="7:19" x14ac:dyDescent="0.25">
      <c r="G7337" s="81"/>
      <c r="S7337" s="81"/>
    </row>
    <row r="7338" spans="7:19" x14ac:dyDescent="0.25">
      <c r="G7338" s="81"/>
      <c r="S7338" s="81"/>
    </row>
    <row r="7339" spans="7:19" x14ac:dyDescent="0.25">
      <c r="G7339" s="81"/>
      <c r="S7339" s="81"/>
    </row>
    <row r="7340" spans="7:19" x14ac:dyDescent="0.25">
      <c r="G7340" s="81"/>
      <c r="S7340" s="81"/>
    </row>
    <row r="7341" spans="7:19" x14ac:dyDescent="0.25">
      <c r="G7341" s="81"/>
      <c r="S7341" s="81"/>
    </row>
    <row r="7342" spans="7:19" x14ac:dyDescent="0.25">
      <c r="G7342" s="81"/>
      <c r="S7342" s="81"/>
    </row>
    <row r="7343" spans="7:19" x14ac:dyDescent="0.25">
      <c r="G7343" s="81"/>
      <c r="S7343" s="81"/>
    </row>
    <row r="7344" spans="7:19" x14ac:dyDescent="0.25">
      <c r="G7344" s="81"/>
      <c r="S7344" s="81"/>
    </row>
    <row r="7345" spans="7:19" x14ac:dyDescent="0.25">
      <c r="G7345" s="81"/>
      <c r="S7345" s="81"/>
    </row>
    <row r="7346" spans="7:19" x14ac:dyDescent="0.25">
      <c r="G7346" s="81"/>
      <c r="S7346" s="81"/>
    </row>
    <row r="7347" spans="7:19" x14ac:dyDescent="0.25">
      <c r="G7347" s="81"/>
      <c r="S7347" s="81"/>
    </row>
    <row r="7348" spans="7:19" x14ac:dyDescent="0.25">
      <c r="G7348" s="81"/>
      <c r="S7348" s="81"/>
    </row>
    <row r="7349" spans="7:19" x14ac:dyDescent="0.25">
      <c r="G7349" s="81"/>
      <c r="S7349" s="81"/>
    </row>
    <row r="7350" spans="7:19" x14ac:dyDescent="0.25">
      <c r="G7350" s="81"/>
      <c r="S7350" s="81"/>
    </row>
    <row r="7351" spans="7:19" x14ac:dyDescent="0.25">
      <c r="G7351" s="81"/>
      <c r="S7351" s="81"/>
    </row>
    <row r="7352" spans="7:19" x14ac:dyDescent="0.25">
      <c r="G7352" s="81"/>
      <c r="S7352" s="81"/>
    </row>
    <row r="7353" spans="7:19" x14ac:dyDescent="0.25">
      <c r="G7353" s="81"/>
      <c r="S7353" s="81"/>
    </row>
    <row r="7354" spans="7:19" x14ac:dyDescent="0.25">
      <c r="G7354" s="81"/>
      <c r="S7354" s="81"/>
    </row>
    <row r="7355" spans="7:19" x14ac:dyDescent="0.25">
      <c r="G7355" s="81"/>
      <c r="S7355" s="81"/>
    </row>
    <row r="7356" spans="7:19" x14ac:dyDescent="0.25">
      <c r="G7356" s="81"/>
      <c r="S7356" s="81"/>
    </row>
    <row r="7357" spans="7:19" x14ac:dyDescent="0.25">
      <c r="G7357" s="81"/>
      <c r="S7357" s="81"/>
    </row>
    <row r="7358" spans="7:19" x14ac:dyDescent="0.25">
      <c r="G7358" s="81"/>
      <c r="S7358" s="81"/>
    </row>
    <row r="7359" spans="7:19" x14ac:dyDescent="0.25">
      <c r="G7359" s="81"/>
      <c r="S7359" s="81"/>
    </row>
    <row r="7360" spans="7:19" x14ac:dyDescent="0.25">
      <c r="G7360" s="81"/>
      <c r="S7360" s="81"/>
    </row>
    <row r="7361" spans="7:19" x14ac:dyDescent="0.25">
      <c r="G7361" s="81"/>
      <c r="S7361" s="81"/>
    </row>
    <row r="7362" spans="7:19" x14ac:dyDescent="0.25">
      <c r="G7362" s="81"/>
      <c r="S7362" s="81"/>
    </row>
    <row r="7363" spans="7:19" x14ac:dyDescent="0.25">
      <c r="G7363" s="81"/>
      <c r="S7363" s="81"/>
    </row>
    <row r="7364" spans="7:19" x14ac:dyDescent="0.25">
      <c r="G7364" s="81"/>
      <c r="S7364" s="81"/>
    </row>
    <row r="7365" spans="7:19" x14ac:dyDescent="0.25">
      <c r="G7365" s="81"/>
      <c r="S7365" s="81"/>
    </row>
    <row r="7366" spans="7:19" x14ac:dyDescent="0.25">
      <c r="G7366" s="81"/>
      <c r="S7366" s="81"/>
    </row>
    <row r="7367" spans="7:19" x14ac:dyDescent="0.25">
      <c r="G7367" s="81"/>
      <c r="S7367" s="81"/>
    </row>
    <row r="7368" spans="7:19" x14ac:dyDescent="0.25">
      <c r="G7368" s="81"/>
      <c r="S7368" s="81"/>
    </row>
    <row r="7369" spans="7:19" x14ac:dyDescent="0.25">
      <c r="G7369" s="81"/>
      <c r="S7369" s="81"/>
    </row>
    <row r="7370" spans="7:19" x14ac:dyDescent="0.25">
      <c r="G7370" s="81"/>
      <c r="S7370" s="81"/>
    </row>
    <row r="7371" spans="7:19" x14ac:dyDescent="0.25">
      <c r="G7371" s="81"/>
      <c r="S7371" s="81"/>
    </row>
    <row r="7372" spans="7:19" x14ac:dyDescent="0.25">
      <c r="G7372" s="81"/>
      <c r="S7372" s="81"/>
    </row>
    <row r="7373" spans="7:19" x14ac:dyDescent="0.25">
      <c r="G7373" s="81"/>
      <c r="S7373" s="81"/>
    </row>
    <row r="7374" spans="7:19" x14ac:dyDescent="0.25">
      <c r="G7374" s="81"/>
      <c r="S7374" s="81"/>
    </row>
    <row r="7375" spans="7:19" x14ac:dyDescent="0.25">
      <c r="G7375" s="81"/>
      <c r="S7375" s="81"/>
    </row>
    <row r="7376" spans="7:19" x14ac:dyDescent="0.25">
      <c r="G7376" s="81"/>
      <c r="S7376" s="81"/>
    </row>
    <row r="7377" spans="7:19" x14ac:dyDescent="0.25">
      <c r="G7377" s="81"/>
      <c r="S7377" s="81"/>
    </row>
    <row r="7378" spans="7:19" x14ac:dyDescent="0.25">
      <c r="G7378" s="81"/>
      <c r="S7378" s="81"/>
    </row>
    <row r="7379" spans="7:19" x14ac:dyDescent="0.25">
      <c r="G7379" s="81"/>
      <c r="S7379" s="81"/>
    </row>
    <row r="7380" spans="7:19" x14ac:dyDescent="0.25">
      <c r="G7380" s="81"/>
      <c r="S7380" s="81"/>
    </row>
    <row r="7381" spans="7:19" x14ac:dyDescent="0.25">
      <c r="G7381" s="81"/>
      <c r="S7381" s="81"/>
    </row>
    <row r="7382" spans="7:19" x14ac:dyDescent="0.25">
      <c r="G7382" s="81"/>
      <c r="S7382" s="81"/>
    </row>
    <row r="7383" spans="7:19" x14ac:dyDescent="0.25">
      <c r="G7383" s="81"/>
      <c r="S7383" s="81"/>
    </row>
    <row r="7384" spans="7:19" x14ac:dyDescent="0.25">
      <c r="G7384" s="81"/>
      <c r="S7384" s="81"/>
    </row>
    <row r="7385" spans="7:19" x14ac:dyDescent="0.25">
      <c r="G7385" s="81"/>
      <c r="S7385" s="81"/>
    </row>
    <row r="7386" spans="7:19" x14ac:dyDescent="0.25">
      <c r="G7386" s="81"/>
      <c r="S7386" s="81"/>
    </row>
    <row r="7387" spans="7:19" x14ac:dyDescent="0.25">
      <c r="G7387" s="81"/>
      <c r="S7387" s="81"/>
    </row>
    <row r="7388" spans="7:19" x14ac:dyDescent="0.25">
      <c r="G7388" s="81"/>
      <c r="S7388" s="81"/>
    </row>
    <row r="7389" spans="7:19" x14ac:dyDescent="0.25">
      <c r="G7389" s="81"/>
      <c r="S7389" s="81"/>
    </row>
    <row r="7390" spans="7:19" x14ac:dyDescent="0.25">
      <c r="G7390" s="81"/>
      <c r="S7390" s="81"/>
    </row>
    <row r="7391" spans="7:19" x14ac:dyDescent="0.25">
      <c r="G7391" s="81"/>
      <c r="S7391" s="81"/>
    </row>
    <row r="7392" spans="7:19" x14ac:dyDescent="0.25">
      <c r="G7392" s="81"/>
      <c r="S7392" s="81"/>
    </row>
    <row r="7393" spans="7:19" x14ac:dyDescent="0.25">
      <c r="G7393" s="81"/>
      <c r="S7393" s="81"/>
    </row>
    <row r="7394" spans="7:19" x14ac:dyDescent="0.25">
      <c r="G7394" s="81"/>
      <c r="S7394" s="81"/>
    </row>
    <row r="7395" spans="7:19" x14ac:dyDescent="0.25">
      <c r="G7395" s="81"/>
      <c r="S7395" s="81"/>
    </row>
    <row r="7396" spans="7:19" x14ac:dyDescent="0.25">
      <c r="G7396" s="81"/>
      <c r="S7396" s="81"/>
    </row>
    <row r="7397" spans="7:19" x14ac:dyDescent="0.25">
      <c r="G7397" s="81"/>
      <c r="S7397" s="81"/>
    </row>
    <row r="7398" spans="7:19" x14ac:dyDescent="0.25">
      <c r="G7398" s="81"/>
      <c r="S7398" s="81"/>
    </row>
    <row r="7399" spans="7:19" x14ac:dyDescent="0.25">
      <c r="G7399" s="81"/>
      <c r="S7399" s="81"/>
    </row>
    <row r="7400" spans="7:19" x14ac:dyDescent="0.25">
      <c r="G7400" s="81"/>
      <c r="S7400" s="81"/>
    </row>
    <row r="7401" spans="7:19" x14ac:dyDescent="0.25">
      <c r="G7401" s="81"/>
      <c r="S7401" s="81"/>
    </row>
    <row r="7402" spans="7:19" x14ac:dyDescent="0.25">
      <c r="G7402" s="81"/>
      <c r="S7402" s="81"/>
    </row>
    <row r="7403" spans="7:19" x14ac:dyDescent="0.25">
      <c r="G7403" s="81"/>
      <c r="S7403" s="81"/>
    </row>
    <row r="7404" spans="7:19" x14ac:dyDescent="0.25">
      <c r="G7404" s="81"/>
      <c r="S7404" s="81"/>
    </row>
    <row r="7405" spans="7:19" x14ac:dyDescent="0.25">
      <c r="G7405" s="81"/>
      <c r="S7405" s="81"/>
    </row>
    <row r="7406" spans="7:19" x14ac:dyDescent="0.25">
      <c r="G7406" s="81"/>
      <c r="S7406" s="81"/>
    </row>
    <row r="7407" spans="7:19" x14ac:dyDescent="0.25">
      <c r="G7407" s="81"/>
      <c r="S7407" s="81"/>
    </row>
    <row r="7408" spans="7:19" x14ac:dyDescent="0.25">
      <c r="G7408" s="81"/>
      <c r="S7408" s="81"/>
    </row>
    <row r="7409" spans="7:19" x14ac:dyDescent="0.25">
      <c r="G7409" s="81"/>
      <c r="S7409" s="81"/>
    </row>
    <row r="7410" spans="7:19" x14ac:dyDescent="0.25">
      <c r="G7410" s="81"/>
      <c r="S7410" s="81"/>
    </row>
    <row r="7411" spans="7:19" x14ac:dyDescent="0.25">
      <c r="G7411" s="81"/>
      <c r="S7411" s="81"/>
    </row>
    <row r="7412" spans="7:19" x14ac:dyDescent="0.25">
      <c r="G7412" s="81"/>
      <c r="S7412" s="81"/>
    </row>
    <row r="7413" spans="7:19" x14ac:dyDescent="0.25">
      <c r="G7413" s="81"/>
      <c r="S7413" s="81"/>
    </row>
    <row r="7414" spans="7:19" x14ac:dyDescent="0.25">
      <c r="G7414" s="81"/>
      <c r="S7414" s="81"/>
    </row>
    <row r="7415" spans="7:19" x14ac:dyDescent="0.25">
      <c r="G7415" s="81"/>
      <c r="S7415" s="81"/>
    </row>
    <row r="7416" spans="7:19" x14ac:dyDescent="0.25">
      <c r="G7416" s="81"/>
      <c r="S7416" s="81"/>
    </row>
    <row r="7417" spans="7:19" x14ac:dyDescent="0.25">
      <c r="G7417" s="81"/>
      <c r="S7417" s="81"/>
    </row>
    <row r="7418" spans="7:19" x14ac:dyDescent="0.25">
      <c r="G7418" s="81"/>
      <c r="S7418" s="81"/>
    </row>
    <row r="7419" spans="7:19" x14ac:dyDescent="0.25">
      <c r="G7419" s="81"/>
      <c r="S7419" s="81"/>
    </row>
    <row r="7420" spans="7:19" x14ac:dyDescent="0.25">
      <c r="G7420" s="81"/>
      <c r="S7420" s="81"/>
    </row>
    <row r="7421" spans="7:19" x14ac:dyDescent="0.25">
      <c r="G7421" s="81"/>
      <c r="S7421" s="81"/>
    </row>
    <row r="7422" spans="7:19" x14ac:dyDescent="0.25">
      <c r="G7422" s="81"/>
      <c r="S7422" s="81"/>
    </row>
    <row r="7423" spans="7:19" x14ac:dyDescent="0.25">
      <c r="G7423" s="81"/>
      <c r="S7423" s="81"/>
    </row>
    <row r="7424" spans="7:19" x14ac:dyDescent="0.25">
      <c r="G7424" s="81"/>
      <c r="S7424" s="81"/>
    </row>
    <row r="7425" spans="7:19" x14ac:dyDescent="0.25">
      <c r="G7425" s="81"/>
      <c r="S7425" s="81"/>
    </row>
    <row r="7426" spans="7:19" x14ac:dyDescent="0.25">
      <c r="G7426" s="81"/>
      <c r="S7426" s="81"/>
    </row>
    <row r="7427" spans="7:19" x14ac:dyDescent="0.25">
      <c r="G7427" s="81"/>
      <c r="S7427" s="81"/>
    </row>
    <row r="7428" spans="7:19" x14ac:dyDescent="0.25">
      <c r="G7428" s="81"/>
      <c r="S7428" s="81"/>
    </row>
    <row r="7429" spans="7:19" x14ac:dyDescent="0.25">
      <c r="G7429" s="81"/>
      <c r="S7429" s="81"/>
    </row>
    <row r="7430" spans="7:19" x14ac:dyDescent="0.25">
      <c r="G7430" s="81"/>
      <c r="S7430" s="81"/>
    </row>
    <row r="7431" spans="7:19" x14ac:dyDescent="0.25">
      <c r="G7431" s="81"/>
      <c r="S7431" s="81"/>
    </row>
    <row r="7432" spans="7:19" x14ac:dyDescent="0.25">
      <c r="G7432" s="81"/>
      <c r="S7432" s="81"/>
    </row>
    <row r="7433" spans="7:19" x14ac:dyDescent="0.25">
      <c r="G7433" s="81"/>
      <c r="S7433" s="81"/>
    </row>
    <row r="7434" spans="7:19" x14ac:dyDescent="0.25">
      <c r="G7434" s="81"/>
      <c r="S7434" s="81"/>
    </row>
    <row r="7435" spans="7:19" x14ac:dyDescent="0.25">
      <c r="G7435" s="81"/>
      <c r="S7435" s="81"/>
    </row>
    <row r="7436" spans="7:19" x14ac:dyDescent="0.25">
      <c r="G7436" s="81"/>
      <c r="S7436" s="81"/>
    </row>
    <row r="7437" spans="7:19" x14ac:dyDescent="0.25">
      <c r="G7437" s="81"/>
      <c r="S7437" s="81"/>
    </row>
    <row r="7438" spans="7:19" x14ac:dyDescent="0.25">
      <c r="G7438" s="81"/>
      <c r="S7438" s="81"/>
    </row>
    <row r="7439" spans="7:19" x14ac:dyDescent="0.25">
      <c r="G7439" s="81"/>
      <c r="S7439" s="81"/>
    </row>
    <row r="7440" spans="7:19" x14ac:dyDescent="0.25">
      <c r="G7440" s="81"/>
      <c r="S7440" s="81"/>
    </row>
    <row r="7441" spans="7:19" x14ac:dyDescent="0.25">
      <c r="G7441" s="81"/>
      <c r="S7441" s="81"/>
    </row>
    <row r="7442" spans="7:19" x14ac:dyDescent="0.25">
      <c r="G7442" s="81"/>
      <c r="S7442" s="81"/>
    </row>
    <row r="7443" spans="7:19" x14ac:dyDescent="0.25">
      <c r="G7443" s="81"/>
      <c r="S7443" s="81"/>
    </row>
    <row r="7444" spans="7:19" x14ac:dyDescent="0.25">
      <c r="G7444" s="81"/>
      <c r="S7444" s="81"/>
    </row>
    <row r="7445" spans="7:19" x14ac:dyDescent="0.25">
      <c r="G7445" s="81"/>
      <c r="S7445" s="81"/>
    </row>
    <row r="7446" spans="7:19" x14ac:dyDescent="0.25">
      <c r="G7446" s="81"/>
      <c r="S7446" s="81"/>
    </row>
    <row r="7447" spans="7:19" x14ac:dyDescent="0.25">
      <c r="G7447" s="81"/>
      <c r="S7447" s="81"/>
    </row>
    <row r="7448" spans="7:19" x14ac:dyDescent="0.25">
      <c r="G7448" s="81"/>
      <c r="S7448" s="81"/>
    </row>
    <row r="7449" spans="7:19" x14ac:dyDescent="0.25">
      <c r="G7449" s="81"/>
      <c r="S7449" s="81"/>
    </row>
    <row r="7450" spans="7:19" x14ac:dyDescent="0.25">
      <c r="G7450" s="81"/>
      <c r="S7450" s="81"/>
    </row>
    <row r="7451" spans="7:19" x14ac:dyDescent="0.25">
      <c r="G7451" s="81"/>
      <c r="S7451" s="81"/>
    </row>
    <row r="7452" spans="7:19" x14ac:dyDescent="0.25">
      <c r="G7452" s="81"/>
      <c r="S7452" s="81"/>
    </row>
    <row r="7453" spans="7:19" x14ac:dyDescent="0.25">
      <c r="G7453" s="81"/>
      <c r="S7453" s="81"/>
    </row>
    <row r="7454" spans="7:19" x14ac:dyDescent="0.25">
      <c r="G7454" s="81"/>
      <c r="S7454" s="81"/>
    </row>
    <row r="7455" spans="7:19" x14ac:dyDescent="0.25">
      <c r="G7455" s="81"/>
      <c r="S7455" s="81"/>
    </row>
    <row r="7456" spans="7:19" x14ac:dyDescent="0.25">
      <c r="G7456" s="81"/>
      <c r="S7456" s="81"/>
    </row>
    <row r="7457" spans="7:19" x14ac:dyDescent="0.25">
      <c r="G7457" s="81"/>
      <c r="S7457" s="81"/>
    </row>
    <row r="7458" spans="7:19" x14ac:dyDescent="0.25">
      <c r="G7458" s="81"/>
      <c r="S7458" s="81"/>
    </row>
    <row r="7459" spans="7:19" x14ac:dyDescent="0.25">
      <c r="G7459" s="81"/>
      <c r="S7459" s="81"/>
    </row>
    <row r="7460" spans="7:19" x14ac:dyDescent="0.25">
      <c r="G7460" s="81"/>
      <c r="S7460" s="81"/>
    </row>
    <row r="7461" spans="7:19" x14ac:dyDescent="0.25">
      <c r="G7461" s="81"/>
      <c r="S7461" s="81"/>
    </row>
    <row r="7462" spans="7:19" x14ac:dyDescent="0.25">
      <c r="G7462" s="81"/>
      <c r="S7462" s="81"/>
    </row>
    <row r="7463" spans="7:19" x14ac:dyDescent="0.25">
      <c r="G7463" s="81"/>
      <c r="S7463" s="81"/>
    </row>
    <row r="7464" spans="7:19" x14ac:dyDescent="0.25">
      <c r="G7464" s="81"/>
      <c r="S7464" s="81"/>
    </row>
    <row r="7465" spans="7:19" x14ac:dyDescent="0.25">
      <c r="G7465" s="81"/>
      <c r="S7465" s="81"/>
    </row>
    <row r="7466" spans="7:19" x14ac:dyDescent="0.25">
      <c r="G7466" s="81"/>
      <c r="S7466" s="81"/>
    </row>
    <row r="7467" spans="7:19" x14ac:dyDescent="0.25">
      <c r="G7467" s="81"/>
      <c r="S7467" s="81"/>
    </row>
    <row r="7468" spans="7:19" x14ac:dyDescent="0.25">
      <c r="G7468" s="81"/>
      <c r="S7468" s="81"/>
    </row>
    <row r="7469" spans="7:19" x14ac:dyDescent="0.25">
      <c r="G7469" s="81"/>
      <c r="S7469" s="81"/>
    </row>
    <row r="7470" spans="7:19" x14ac:dyDescent="0.25">
      <c r="G7470" s="81"/>
      <c r="S7470" s="81"/>
    </row>
    <row r="7471" spans="7:19" x14ac:dyDescent="0.25">
      <c r="G7471" s="81"/>
      <c r="S7471" s="81"/>
    </row>
    <row r="7472" spans="7:19" x14ac:dyDescent="0.25">
      <c r="G7472" s="81"/>
      <c r="S7472" s="81"/>
    </row>
    <row r="7473" spans="7:19" x14ac:dyDescent="0.25">
      <c r="G7473" s="81"/>
      <c r="S7473" s="81"/>
    </row>
    <row r="7474" spans="7:19" x14ac:dyDescent="0.25">
      <c r="G7474" s="81"/>
      <c r="S7474" s="81"/>
    </row>
    <row r="7475" spans="7:19" x14ac:dyDescent="0.25">
      <c r="G7475" s="81"/>
      <c r="S7475" s="81"/>
    </row>
    <row r="7476" spans="7:19" x14ac:dyDescent="0.25">
      <c r="G7476" s="81"/>
      <c r="S7476" s="81"/>
    </row>
    <row r="7477" spans="7:19" x14ac:dyDescent="0.25">
      <c r="G7477" s="81"/>
      <c r="S7477" s="81"/>
    </row>
    <row r="7478" spans="7:19" x14ac:dyDescent="0.25">
      <c r="G7478" s="81"/>
      <c r="S7478" s="81"/>
    </row>
    <row r="7479" spans="7:19" x14ac:dyDescent="0.25">
      <c r="G7479" s="81"/>
      <c r="S7479" s="81"/>
    </row>
    <row r="7480" spans="7:19" x14ac:dyDescent="0.25">
      <c r="G7480" s="81"/>
      <c r="S7480" s="81"/>
    </row>
    <row r="7481" spans="7:19" x14ac:dyDescent="0.25">
      <c r="G7481" s="81"/>
      <c r="S7481" s="81"/>
    </row>
    <row r="7482" spans="7:19" x14ac:dyDescent="0.25">
      <c r="G7482" s="81"/>
      <c r="S7482" s="81"/>
    </row>
    <row r="7483" spans="7:19" x14ac:dyDescent="0.25">
      <c r="G7483" s="81"/>
      <c r="S7483" s="81"/>
    </row>
    <row r="7484" spans="7:19" x14ac:dyDescent="0.25">
      <c r="G7484" s="81"/>
      <c r="S7484" s="81"/>
    </row>
    <row r="7485" spans="7:19" x14ac:dyDescent="0.25">
      <c r="G7485" s="81"/>
      <c r="S7485" s="81"/>
    </row>
    <row r="7486" spans="7:19" x14ac:dyDescent="0.25">
      <c r="G7486" s="81"/>
      <c r="S7486" s="81"/>
    </row>
    <row r="7487" spans="7:19" x14ac:dyDescent="0.25">
      <c r="G7487" s="81"/>
      <c r="S7487" s="81"/>
    </row>
    <row r="7488" spans="7:19" x14ac:dyDescent="0.25">
      <c r="G7488" s="81"/>
      <c r="S7488" s="81"/>
    </row>
    <row r="7489" spans="7:19" x14ac:dyDescent="0.25">
      <c r="G7489" s="81"/>
      <c r="S7489" s="81"/>
    </row>
    <row r="7490" spans="7:19" x14ac:dyDescent="0.25">
      <c r="G7490" s="81"/>
      <c r="S7490" s="81"/>
    </row>
    <row r="7491" spans="7:19" x14ac:dyDescent="0.25">
      <c r="G7491" s="81"/>
      <c r="S7491" s="81"/>
    </row>
    <row r="7492" spans="7:19" x14ac:dyDescent="0.25">
      <c r="G7492" s="81"/>
      <c r="S7492" s="81"/>
    </row>
    <row r="7493" spans="7:19" x14ac:dyDescent="0.25">
      <c r="G7493" s="81"/>
      <c r="S7493" s="81"/>
    </row>
    <row r="7494" spans="7:19" x14ac:dyDescent="0.25">
      <c r="G7494" s="81"/>
      <c r="S7494" s="81"/>
    </row>
    <row r="7495" spans="7:19" x14ac:dyDescent="0.25">
      <c r="G7495" s="81"/>
      <c r="S7495" s="81"/>
    </row>
    <row r="7496" spans="7:19" x14ac:dyDescent="0.25">
      <c r="G7496" s="81"/>
      <c r="S7496" s="81"/>
    </row>
    <row r="7497" spans="7:19" x14ac:dyDescent="0.25">
      <c r="G7497" s="81"/>
      <c r="S7497" s="81"/>
    </row>
    <row r="7498" spans="7:19" x14ac:dyDescent="0.25">
      <c r="G7498" s="81"/>
      <c r="S7498" s="81"/>
    </row>
    <row r="7499" spans="7:19" x14ac:dyDescent="0.25">
      <c r="G7499" s="81"/>
      <c r="S7499" s="81"/>
    </row>
    <row r="7500" spans="7:19" x14ac:dyDescent="0.25">
      <c r="G7500" s="81"/>
      <c r="S7500" s="81"/>
    </row>
    <row r="7501" spans="7:19" x14ac:dyDescent="0.25">
      <c r="G7501" s="81"/>
      <c r="S7501" s="81"/>
    </row>
    <row r="7502" spans="7:19" x14ac:dyDescent="0.25">
      <c r="G7502" s="81"/>
      <c r="S7502" s="81"/>
    </row>
    <row r="7503" spans="7:19" x14ac:dyDescent="0.25">
      <c r="G7503" s="81"/>
      <c r="S7503" s="81"/>
    </row>
    <row r="7504" spans="7:19" x14ac:dyDescent="0.25">
      <c r="G7504" s="81"/>
      <c r="S7504" s="81"/>
    </row>
    <row r="7505" spans="7:19" x14ac:dyDescent="0.25">
      <c r="G7505" s="81"/>
      <c r="S7505" s="81"/>
    </row>
    <row r="7506" spans="7:19" x14ac:dyDescent="0.25">
      <c r="G7506" s="81"/>
      <c r="S7506" s="81"/>
    </row>
    <row r="7507" spans="7:19" x14ac:dyDescent="0.25">
      <c r="G7507" s="81"/>
      <c r="S7507" s="81"/>
    </row>
    <row r="7508" spans="7:19" x14ac:dyDescent="0.25">
      <c r="G7508" s="81"/>
      <c r="S7508" s="81"/>
    </row>
    <row r="7509" spans="7:19" x14ac:dyDescent="0.25">
      <c r="G7509" s="81"/>
      <c r="S7509" s="81"/>
    </row>
    <row r="7510" spans="7:19" x14ac:dyDescent="0.25">
      <c r="G7510" s="81"/>
      <c r="S7510" s="81"/>
    </row>
    <row r="7511" spans="7:19" x14ac:dyDescent="0.25">
      <c r="G7511" s="81"/>
      <c r="S7511" s="81"/>
    </row>
    <row r="7512" spans="7:19" x14ac:dyDescent="0.25">
      <c r="G7512" s="81"/>
      <c r="S7512" s="81"/>
    </row>
    <row r="7513" spans="7:19" x14ac:dyDescent="0.25">
      <c r="G7513" s="81"/>
      <c r="S7513" s="81"/>
    </row>
    <row r="7514" spans="7:19" x14ac:dyDescent="0.25">
      <c r="G7514" s="81"/>
      <c r="S7514" s="81"/>
    </row>
    <row r="7515" spans="7:19" x14ac:dyDescent="0.25">
      <c r="G7515" s="81"/>
      <c r="S7515" s="81"/>
    </row>
    <row r="7516" spans="7:19" x14ac:dyDescent="0.25">
      <c r="G7516" s="81"/>
      <c r="S7516" s="81"/>
    </row>
    <row r="7517" spans="7:19" x14ac:dyDescent="0.25">
      <c r="G7517" s="81"/>
      <c r="S7517" s="81"/>
    </row>
    <row r="7518" spans="7:19" x14ac:dyDescent="0.25">
      <c r="G7518" s="81"/>
      <c r="S7518" s="81"/>
    </row>
    <row r="7519" spans="7:19" x14ac:dyDescent="0.25">
      <c r="G7519" s="81"/>
      <c r="S7519" s="81"/>
    </row>
    <row r="7520" spans="7:19" x14ac:dyDescent="0.25">
      <c r="G7520" s="81"/>
      <c r="S7520" s="81"/>
    </row>
    <row r="7521" spans="7:19" x14ac:dyDescent="0.25">
      <c r="G7521" s="81"/>
      <c r="S7521" s="81"/>
    </row>
    <row r="7522" spans="7:19" x14ac:dyDescent="0.25">
      <c r="G7522" s="81"/>
      <c r="S7522" s="81"/>
    </row>
    <row r="7523" spans="7:19" x14ac:dyDescent="0.25">
      <c r="G7523" s="81"/>
      <c r="S7523" s="81"/>
    </row>
    <row r="7524" spans="7:19" x14ac:dyDescent="0.25">
      <c r="G7524" s="81"/>
      <c r="S7524" s="81"/>
    </row>
    <row r="7525" spans="7:19" x14ac:dyDescent="0.25">
      <c r="G7525" s="81"/>
      <c r="S7525" s="81"/>
    </row>
    <row r="7526" spans="7:19" x14ac:dyDescent="0.25">
      <c r="G7526" s="81"/>
      <c r="S7526" s="81"/>
    </row>
    <row r="7527" spans="7:19" x14ac:dyDescent="0.25">
      <c r="G7527" s="81"/>
      <c r="S7527" s="81"/>
    </row>
    <row r="7528" spans="7:19" x14ac:dyDescent="0.25">
      <c r="G7528" s="81"/>
      <c r="S7528" s="81"/>
    </row>
    <row r="7529" spans="7:19" x14ac:dyDescent="0.25">
      <c r="G7529" s="81"/>
      <c r="S7529" s="81"/>
    </row>
    <row r="7530" spans="7:19" x14ac:dyDescent="0.25">
      <c r="G7530" s="81"/>
      <c r="S7530" s="81"/>
    </row>
    <row r="7531" spans="7:19" x14ac:dyDescent="0.25">
      <c r="G7531" s="81"/>
      <c r="S7531" s="81"/>
    </row>
    <row r="7532" spans="7:19" x14ac:dyDescent="0.25">
      <c r="G7532" s="81"/>
      <c r="S7532" s="81"/>
    </row>
    <row r="7533" spans="7:19" x14ac:dyDescent="0.25">
      <c r="G7533" s="81"/>
      <c r="S7533" s="81"/>
    </row>
    <row r="7534" spans="7:19" x14ac:dyDescent="0.25">
      <c r="G7534" s="81"/>
      <c r="S7534" s="81"/>
    </row>
    <row r="7535" spans="7:19" x14ac:dyDescent="0.25">
      <c r="G7535" s="81"/>
      <c r="S7535" s="81"/>
    </row>
    <row r="7536" spans="7:19" x14ac:dyDescent="0.25">
      <c r="G7536" s="81"/>
      <c r="S7536" s="81"/>
    </row>
    <row r="7537" spans="7:19" x14ac:dyDescent="0.25">
      <c r="G7537" s="81"/>
      <c r="S7537" s="81"/>
    </row>
    <row r="7538" spans="7:19" x14ac:dyDescent="0.25">
      <c r="G7538" s="81"/>
      <c r="S7538" s="81"/>
    </row>
    <row r="7539" spans="7:19" x14ac:dyDescent="0.25">
      <c r="G7539" s="81"/>
      <c r="S7539" s="81"/>
    </row>
    <row r="7540" spans="7:19" x14ac:dyDescent="0.25">
      <c r="G7540" s="81"/>
      <c r="S7540" s="81"/>
    </row>
    <row r="7541" spans="7:19" x14ac:dyDescent="0.25">
      <c r="G7541" s="81"/>
      <c r="S7541" s="81"/>
    </row>
    <row r="7542" spans="7:19" x14ac:dyDescent="0.25">
      <c r="G7542" s="81"/>
      <c r="S7542" s="81"/>
    </row>
    <row r="7543" spans="7:19" x14ac:dyDescent="0.25">
      <c r="G7543" s="81"/>
      <c r="S7543" s="81"/>
    </row>
    <row r="7544" spans="7:19" x14ac:dyDescent="0.25">
      <c r="G7544" s="81"/>
      <c r="S7544" s="81"/>
    </row>
    <row r="7545" spans="7:19" x14ac:dyDescent="0.25">
      <c r="G7545" s="81"/>
      <c r="S7545" s="81"/>
    </row>
    <row r="7546" spans="7:19" x14ac:dyDescent="0.25">
      <c r="G7546" s="81"/>
      <c r="S7546" s="81"/>
    </row>
    <row r="7547" spans="7:19" x14ac:dyDescent="0.25">
      <c r="G7547" s="81"/>
      <c r="S7547" s="81"/>
    </row>
    <row r="7548" spans="7:19" x14ac:dyDescent="0.25">
      <c r="G7548" s="81"/>
      <c r="S7548" s="81"/>
    </row>
    <row r="7549" spans="7:19" x14ac:dyDescent="0.25">
      <c r="G7549" s="81"/>
      <c r="S7549" s="81"/>
    </row>
    <row r="7550" spans="7:19" x14ac:dyDescent="0.25">
      <c r="G7550" s="81"/>
      <c r="S7550" s="81"/>
    </row>
    <row r="7551" spans="7:19" x14ac:dyDescent="0.25">
      <c r="G7551" s="81"/>
      <c r="S7551" s="81"/>
    </row>
    <row r="7552" spans="7:19" x14ac:dyDescent="0.25">
      <c r="G7552" s="81"/>
      <c r="S7552" s="81"/>
    </row>
    <row r="7553" spans="7:19" x14ac:dyDescent="0.25">
      <c r="G7553" s="81"/>
      <c r="S7553" s="81"/>
    </row>
    <row r="7554" spans="7:19" x14ac:dyDescent="0.25">
      <c r="G7554" s="81"/>
      <c r="S7554" s="81"/>
    </row>
    <row r="7555" spans="7:19" x14ac:dyDescent="0.25">
      <c r="G7555" s="81"/>
      <c r="S7555" s="81"/>
    </row>
    <row r="7556" spans="7:19" x14ac:dyDescent="0.25">
      <c r="G7556" s="81"/>
      <c r="S7556" s="81"/>
    </row>
    <row r="7557" spans="7:19" x14ac:dyDescent="0.25">
      <c r="G7557" s="81"/>
      <c r="S7557" s="81"/>
    </row>
    <row r="7558" spans="7:19" x14ac:dyDescent="0.25">
      <c r="G7558" s="81"/>
      <c r="S7558" s="81"/>
    </row>
    <row r="7559" spans="7:19" x14ac:dyDescent="0.25">
      <c r="G7559" s="81"/>
      <c r="S7559" s="81"/>
    </row>
    <row r="7560" spans="7:19" x14ac:dyDescent="0.25">
      <c r="G7560" s="81"/>
      <c r="S7560" s="81"/>
    </row>
    <row r="7561" spans="7:19" x14ac:dyDescent="0.25">
      <c r="G7561" s="81"/>
      <c r="S7561" s="81"/>
    </row>
    <row r="7562" spans="7:19" x14ac:dyDescent="0.25">
      <c r="G7562" s="81"/>
      <c r="S7562" s="81"/>
    </row>
    <row r="7563" spans="7:19" x14ac:dyDescent="0.25">
      <c r="G7563" s="81"/>
      <c r="S7563" s="81"/>
    </row>
    <row r="7564" spans="7:19" x14ac:dyDescent="0.25">
      <c r="G7564" s="81"/>
      <c r="S7564" s="81"/>
    </row>
    <row r="7565" spans="7:19" x14ac:dyDescent="0.25">
      <c r="G7565" s="81"/>
      <c r="S7565" s="81"/>
    </row>
    <row r="7566" spans="7:19" x14ac:dyDescent="0.25">
      <c r="G7566" s="81"/>
      <c r="S7566" s="81"/>
    </row>
    <row r="7567" spans="7:19" x14ac:dyDescent="0.25">
      <c r="G7567" s="81"/>
      <c r="S7567" s="81"/>
    </row>
    <row r="7568" spans="7:19" x14ac:dyDescent="0.25">
      <c r="G7568" s="81"/>
      <c r="S7568" s="81"/>
    </row>
    <row r="7569" spans="7:19" x14ac:dyDescent="0.25">
      <c r="G7569" s="81"/>
      <c r="S7569" s="81"/>
    </row>
    <row r="7570" spans="7:19" x14ac:dyDescent="0.25">
      <c r="G7570" s="81"/>
      <c r="S7570" s="81"/>
    </row>
    <row r="7571" spans="7:19" x14ac:dyDescent="0.25">
      <c r="G7571" s="81"/>
      <c r="S7571" s="81"/>
    </row>
    <row r="7572" spans="7:19" x14ac:dyDescent="0.25">
      <c r="G7572" s="81"/>
      <c r="S7572" s="81"/>
    </row>
    <row r="7573" spans="7:19" x14ac:dyDescent="0.25">
      <c r="G7573" s="81"/>
      <c r="S7573" s="81"/>
    </row>
    <row r="7574" spans="7:19" x14ac:dyDescent="0.25">
      <c r="G7574" s="81"/>
      <c r="S7574" s="81"/>
    </row>
    <row r="7575" spans="7:19" x14ac:dyDescent="0.25">
      <c r="G7575" s="81"/>
      <c r="S7575" s="81"/>
    </row>
    <row r="7576" spans="7:19" x14ac:dyDescent="0.25">
      <c r="G7576" s="81"/>
      <c r="S7576" s="81"/>
    </row>
    <row r="7577" spans="7:19" x14ac:dyDescent="0.25">
      <c r="G7577" s="81"/>
      <c r="S7577" s="81"/>
    </row>
    <row r="7578" spans="7:19" x14ac:dyDescent="0.25">
      <c r="G7578" s="81"/>
      <c r="S7578" s="81"/>
    </row>
    <row r="7579" spans="7:19" x14ac:dyDescent="0.25">
      <c r="G7579" s="81"/>
      <c r="S7579" s="81"/>
    </row>
    <row r="7580" spans="7:19" x14ac:dyDescent="0.25">
      <c r="G7580" s="81"/>
      <c r="S7580" s="81"/>
    </row>
    <row r="7581" spans="7:19" x14ac:dyDescent="0.25">
      <c r="G7581" s="81"/>
      <c r="S7581" s="81"/>
    </row>
    <row r="7582" spans="7:19" x14ac:dyDescent="0.25">
      <c r="G7582" s="81"/>
      <c r="S7582" s="81"/>
    </row>
    <row r="7583" spans="7:19" x14ac:dyDescent="0.25">
      <c r="G7583" s="81"/>
      <c r="S7583" s="81"/>
    </row>
    <row r="7584" spans="7:19" x14ac:dyDescent="0.25">
      <c r="G7584" s="81"/>
      <c r="S7584" s="81"/>
    </row>
    <row r="7585" spans="7:19" x14ac:dyDescent="0.25">
      <c r="G7585" s="81"/>
      <c r="S7585" s="81"/>
    </row>
    <row r="7586" spans="7:19" x14ac:dyDescent="0.25">
      <c r="G7586" s="81"/>
      <c r="S7586" s="81"/>
    </row>
    <row r="7587" spans="7:19" x14ac:dyDescent="0.25">
      <c r="G7587" s="81"/>
      <c r="S7587" s="81"/>
    </row>
    <row r="7588" spans="7:19" x14ac:dyDescent="0.25">
      <c r="G7588" s="81"/>
      <c r="S7588" s="81"/>
    </row>
    <row r="7589" spans="7:19" x14ac:dyDescent="0.25">
      <c r="G7589" s="81"/>
      <c r="S7589" s="81"/>
    </row>
    <row r="7590" spans="7:19" x14ac:dyDescent="0.25">
      <c r="G7590" s="81"/>
      <c r="S7590" s="81"/>
    </row>
    <row r="7591" spans="7:19" x14ac:dyDescent="0.25">
      <c r="G7591" s="81"/>
      <c r="S7591" s="81"/>
    </row>
    <row r="7592" spans="7:19" x14ac:dyDescent="0.25">
      <c r="G7592" s="81"/>
      <c r="S7592" s="81"/>
    </row>
    <row r="7593" spans="7:19" x14ac:dyDescent="0.25">
      <c r="G7593" s="81"/>
      <c r="S7593" s="81"/>
    </row>
    <row r="7594" spans="7:19" x14ac:dyDescent="0.25">
      <c r="G7594" s="81"/>
      <c r="S7594" s="81"/>
    </row>
    <row r="7595" spans="7:19" x14ac:dyDescent="0.25">
      <c r="G7595" s="81"/>
      <c r="S7595" s="81"/>
    </row>
    <row r="7596" spans="7:19" x14ac:dyDescent="0.25">
      <c r="G7596" s="81"/>
      <c r="S7596" s="81"/>
    </row>
    <row r="7597" spans="7:19" x14ac:dyDescent="0.25">
      <c r="G7597" s="81"/>
      <c r="S7597" s="81"/>
    </row>
    <row r="7598" spans="7:19" x14ac:dyDescent="0.25">
      <c r="G7598" s="81"/>
      <c r="S7598" s="81"/>
    </row>
    <row r="7599" spans="7:19" x14ac:dyDescent="0.25">
      <c r="G7599" s="81"/>
      <c r="S7599" s="81"/>
    </row>
    <row r="7600" spans="7:19" x14ac:dyDescent="0.25">
      <c r="G7600" s="81"/>
      <c r="S7600" s="81"/>
    </row>
    <row r="7601" spans="7:19" x14ac:dyDescent="0.25">
      <c r="G7601" s="81"/>
      <c r="S7601" s="81"/>
    </row>
    <row r="7602" spans="7:19" x14ac:dyDescent="0.25">
      <c r="G7602" s="81"/>
      <c r="S7602" s="81"/>
    </row>
    <row r="7603" spans="7:19" x14ac:dyDescent="0.25">
      <c r="G7603" s="81"/>
      <c r="S7603" s="81"/>
    </row>
    <row r="7604" spans="7:19" x14ac:dyDescent="0.25">
      <c r="G7604" s="81"/>
      <c r="S7604" s="81"/>
    </row>
    <row r="7605" spans="7:19" x14ac:dyDescent="0.25">
      <c r="G7605" s="81"/>
      <c r="S7605" s="81"/>
    </row>
    <row r="7606" spans="7:19" x14ac:dyDescent="0.25">
      <c r="G7606" s="81"/>
      <c r="S7606" s="81"/>
    </row>
    <row r="7607" spans="7:19" x14ac:dyDescent="0.25">
      <c r="G7607" s="81"/>
      <c r="S7607" s="81"/>
    </row>
    <row r="7608" spans="7:19" x14ac:dyDescent="0.25">
      <c r="G7608" s="81"/>
      <c r="S7608" s="81"/>
    </row>
    <row r="7609" spans="7:19" x14ac:dyDescent="0.25">
      <c r="G7609" s="81"/>
      <c r="S7609" s="81"/>
    </row>
    <row r="7610" spans="7:19" x14ac:dyDescent="0.25">
      <c r="G7610" s="81"/>
      <c r="S7610" s="81"/>
    </row>
    <row r="7611" spans="7:19" x14ac:dyDescent="0.25">
      <c r="G7611" s="81"/>
      <c r="S7611" s="81"/>
    </row>
    <row r="7612" spans="7:19" x14ac:dyDescent="0.25">
      <c r="G7612" s="81"/>
      <c r="S7612" s="81"/>
    </row>
    <row r="7613" spans="7:19" x14ac:dyDescent="0.25">
      <c r="G7613" s="81"/>
      <c r="S7613" s="81"/>
    </row>
    <row r="7614" spans="7:19" x14ac:dyDescent="0.25">
      <c r="G7614" s="81"/>
      <c r="S7614" s="81"/>
    </row>
    <row r="7615" spans="7:19" x14ac:dyDescent="0.25">
      <c r="G7615" s="81"/>
      <c r="S7615" s="81"/>
    </row>
    <row r="7616" spans="7:19" x14ac:dyDescent="0.25">
      <c r="G7616" s="81"/>
      <c r="S7616" s="81"/>
    </row>
    <row r="7617" spans="7:19" x14ac:dyDescent="0.25">
      <c r="G7617" s="81"/>
      <c r="S7617" s="81"/>
    </row>
    <row r="7618" spans="7:19" x14ac:dyDescent="0.25">
      <c r="G7618" s="81"/>
      <c r="S7618" s="81"/>
    </row>
    <row r="7619" spans="7:19" x14ac:dyDescent="0.25">
      <c r="G7619" s="81"/>
      <c r="S7619" s="81"/>
    </row>
    <row r="7620" spans="7:19" x14ac:dyDescent="0.25">
      <c r="G7620" s="81"/>
      <c r="S7620" s="81"/>
    </row>
    <row r="7621" spans="7:19" x14ac:dyDescent="0.25">
      <c r="G7621" s="81"/>
      <c r="S7621" s="81"/>
    </row>
    <row r="7622" spans="7:19" x14ac:dyDescent="0.25">
      <c r="G7622" s="81"/>
      <c r="S7622" s="81"/>
    </row>
    <row r="7623" spans="7:19" x14ac:dyDescent="0.25">
      <c r="G7623" s="81"/>
      <c r="S7623" s="81"/>
    </row>
    <row r="7624" spans="7:19" x14ac:dyDescent="0.25">
      <c r="G7624" s="81"/>
      <c r="S7624" s="81"/>
    </row>
    <row r="7625" spans="7:19" x14ac:dyDescent="0.25">
      <c r="G7625" s="81"/>
      <c r="S7625" s="81"/>
    </row>
    <row r="7626" spans="7:19" x14ac:dyDescent="0.25">
      <c r="G7626" s="81"/>
      <c r="S7626" s="81"/>
    </row>
    <row r="7627" spans="7:19" x14ac:dyDescent="0.25">
      <c r="G7627" s="81"/>
      <c r="S7627" s="81"/>
    </row>
    <row r="7628" spans="7:19" x14ac:dyDescent="0.25">
      <c r="G7628" s="81"/>
      <c r="S7628" s="81"/>
    </row>
    <row r="7629" spans="7:19" x14ac:dyDescent="0.25">
      <c r="G7629" s="81"/>
      <c r="S7629" s="81"/>
    </row>
    <row r="7630" spans="7:19" x14ac:dyDescent="0.25">
      <c r="G7630" s="81"/>
      <c r="S7630" s="81"/>
    </row>
    <row r="7631" spans="7:19" x14ac:dyDescent="0.25">
      <c r="G7631" s="81"/>
      <c r="S7631" s="81"/>
    </row>
    <row r="7632" spans="7:19" x14ac:dyDescent="0.25">
      <c r="G7632" s="81"/>
      <c r="S7632" s="81"/>
    </row>
    <row r="7633" spans="7:19" x14ac:dyDescent="0.25">
      <c r="G7633" s="81"/>
      <c r="S7633" s="81"/>
    </row>
    <row r="7634" spans="7:19" x14ac:dyDescent="0.25">
      <c r="G7634" s="81"/>
      <c r="S7634" s="81"/>
    </row>
    <row r="7635" spans="7:19" x14ac:dyDescent="0.25">
      <c r="G7635" s="81"/>
      <c r="S7635" s="81"/>
    </row>
    <row r="7636" spans="7:19" x14ac:dyDescent="0.25">
      <c r="G7636" s="81"/>
      <c r="S7636" s="81"/>
    </row>
    <row r="7637" spans="7:19" x14ac:dyDescent="0.25">
      <c r="G7637" s="81"/>
      <c r="S7637" s="81"/>
    </row>
    <row r="7638" spans="7:19" x14ac:dyDescent="0.25">
      <c r="G7638" s="81"/>
      <c r="S7638" s="81"/>
    </row>
    <row r="7639" spans="7:19" x14ac:dyDescent="0.25">
      <c r="G7639" s="81"/>
      <c r="S7639" s="81"/>
    </row>
    <row r="7640" spans="7:19" x14ac:dyDescent="0.25">
      <c r="G7640" s="81"/>
      <c r="S7640" s="81"/>
    </row>
    <row r="7641" spans="7:19" x14ac:dyDescent="0.25">
      <c r="G7641" s="81"/>
      <c r="S7641" s="81"/>
    </row>
    <row r="7642" spans="7:19" x14ac:dyDescent="0.25">
      <c r="G7642" s="81"/>
      <c r="S7642" s="81"/>
    </row>
    <row r="7643" spans="7:19" x14ac:dyDescent="0.25">
      <c r="G7643" s="81"/>
      <c r="S7643" s="81"/>
    </row>
    <row r="7644" spans="7:19" x14ac:dyDescent="0.25">
      <c r="G7644" s="81"/>
      <c r="S7644" s="81"/>
    </row>
    <row r="7645" spans="7:19" x14ac:dyDescent="0.25">
      <c r="G7645" s="81"/>
      <c r="S7645" s="81"/>
    </row>
    <row r="7646" spans="7:19" x14ac:dyDescent="0.25">
      <c r="G7646" s="81"/>
      <c r="S7646" s="81"/>
    </row>
    <row r="7647" spans="7:19" x14ac:dyDescent="0.25">
      <c r="G7647" s="81"/>
      <c r="S7647" s="81"/>
    </row>
    <row r="7648" spans="7:19" x14ac:dyDescent="0.25">
      <c r="G7648" s="81"/>
      <c r="S7648" s="81"/>
    </row>
    <row r="7649" spans="7:19" x14ac:dyDescent="0.25">
      <c r="G7649" s="81"/>
      <c r="S7649" s="81"/>
    </row>
    <row r="7650" spans="7:19" x14ac:dyDescent="0.25">
      <c r="G7650" s="81"/>
      <c r="S7650" s="81"/>
    </row>
    <row r="7651" spans="7:19" x14ac:dyDescent="0.25">
      <c r="G7651" s="81"/>
      <c r="S7651" s="81"/>
    </row>
    <row r="7652" spans="7:19" x14ac:dyDescent="0.25">
      <c r="G7652" s="81"/>
      <c r="S7652" s="81"/>
    </row>
    <row r="7653" spans="7:19" x14ac:dyDescent="0.25">
      <c r="G7653" s="81"/>
      <c r="S7653" s="81"/>
    </row>
    <row r="7654" spans="7:19" x14ac:dyDescent="0.25">
      <c r="G7654" s="81"/>
      <c r="S7654" s="81"/>
    </row>
    <row r="7655" spans="7:19" x14ac:dyDescent="0.25">
      <c r="G7655" s="81"/>
      <c r="S7655" s="81"/>
    </row>
    <row r="7656" spans="7:19" x14ac:dyDescent="0.25">
      <c r="G7656" s="81"/>
      <c r="S7656" s="81"/>
    </row>
    <row r="7657" spans="7:19" x14ac:dyDescent="0.25">
      <c r="G7657" s="81"/>
      <c r="S7657" s="81"/>
    </row>
    <row r="7658" spans="7:19" x14ac:dyDescent="0.25">
      <c r="G7658" s="81"/>
      <c r="S7658" s="81"/>
    </row>
    <row r="7659" spans="7:19" x14ac:dyDescent="0.25">
      <c r="G7659" s="81"/>
      <c r="S7659" s="81"/>
    </row>
    <row r="7660" spans="7:19" x14ac:dyDescent="0.25">
      <c r="G7660" s="81"/>
      <c r="S7660" s="81"/>
    </row>
    <row r="7661" spans="7:19" x14ac:dyDescent="0.25">
      <c r="G7661" s="81"/>
      <c r="S7661" s="81"/>
    </row>
    <row r="7662" spans="7:19" x14ac:dyDescent="0.25">
      <c r="G7662" s="81"/>
      <c r="S7662" s="81"/>
    </row>
    <row r="7663" spans="7:19" x14ac:dyDescent="0.25">
      <c r="G7663" s="81"/>
      <c r="S7663" s="81"/>
    </row>
    <row r="7664" spans="7:19" x14ac:dyDescent="0.25">
      <c r="G7664" s="81"/>
      <c r="S7664" s="81"/>
    </row>
    <row r="7665" spans="7:19" x14ac:dyDescent="0.25">
      <c r="G7665" s="81"/>
      <c r="S7665" s="81"/>
    </row>
    <row r="7666" spans="7:19" x14ac:dyDescent="0.25">
      <c r="G7666" s="81"/>
      <c r="S7666" s="81"/>
    </row>
    <row r="7667" spans="7:19" x14ac:dyDescent="0.25">
      <c r="G7667" s="81"/>
      <c r="S7667" s="81"/>
    </row>
    <row r="7668" spans="7:19" x14ac:dyDescent="0.25">
      <c r="G7668" s="81"/>
      <c r="S7668" s="81"/>
    </row>
    <row r="7669" spans="7:19" x14ac:dyDescent="0.25">
      <c r="G7669" s="81"/>
      <c r="S7669" s="81"/>
    </row>
    <row r="7670" spans="7:19" x14ac:dyDescent="0.25">
      <c r="G7670" s="81"/>
      <c r="S7670" s="81"/>
    </row>
    <row r="7671" spans="7:19" x14ac:dyDescent="0.25">
      <c r="G7671" s="81"/>
      <c r="S7671" s="81"/>
    </row>
    <row r="7672" spans="7:19" x14ac:dyDescent="0.25">
      <c r="G7672" s="81"/>
      <c r="S7672" s="81"/>
    </row>
    <row r="7673" spans="7:19" x14ac:dyDescent="0.25">
      <c r="G7673" s="81"/>
      <c r="S7673" s="81"/>
    </row>
    <row r="7674" spans="7:19" x14ac:dyDescent="0.25">
      <c r="G7674" s="81"/>
      <c r="S7674" s="81"/>
    </row>
    <row r="7675" spans="7:19" x14ac:dyDescent="0.25">
      <c r="G7675" s="81"/>
      <c r="S7675" s="81"/>
    </row>
    <row r="7676" spans="7:19" x14ac:dyDescent="0.25">
      <c r="G7676" s="81"/>
      <c r="S7676" s="81"/>
    </row>
    <row r="7677" spans="7:19" x14ac:dyDescent="0.25">
      <c r="G7677" s="81"/>
      <c r="S7677" s="81"/>
    </row>
    <row r="7678" spans="7:19" x14ac:dyDescent="0.25">
      <c r="G7678" s="81"/>
      <c r="S7678" s="81"/>
    </row>
    <row r="7679" spans="7:19" x14ac:dyDescent="0.25">
      <c r="G7679" s="81"/>
      <c r="S7679" s="81"/>
    </row>
    <row r="7680" spans="7:19" x14ac:dyDescent="0.25">
      <c r="G7680" s="81"/>
      <c r="S7680" s="81"/>
    </row>
    <row r="7681" spans="7:19" x14ac:dyDescent="0.25">
      <c r="G7681" s="81"/>
      <c r="S7681" s="81"/>
    </row>
    <row r="7682" spans="7:19" x14ac:dyDescent="0.25">
      <c r="G7682" s="81"/>
      <c r="S7682" s="81"/>
    </row>
    <row r="7683" spans="7:19" x14ac:dyDescent="0.25">
      <c r="G7683" s="81"/>
      <c r="S7683" s="81"/>
    </row>
    <row r="7684" spans="7:19" x14ac:dyDescent="0.25">
      <c r="G7684" s="81"/>
      <c r="S7684" s="81"/>
    </row>
    <row r="7685" spans="7:19" x14ac:dyDescent="0.25">
      <c r="G7685" s="81"/>
      <c r="S7685" s="81"/>
    </row>
    <row r="7686" spans="7:19" x14ac:dyDescent="0.25">
      <c r="G7686" s="81"/>
      <c r="S7686" s="81"/>
    </row>
    <row r="7687" spans="7:19" x14ac:dyDescent="0.25">
      <c r="G7687" s="81"/>
      <c r="S7687" s="81"/>
    </row>
    <row r="7688" spans="7:19" x14ac:dyDescent="0.25">
      <c r="G7688" s="81"/>
      <c r="S7688" s="81"/>
    </row>
    <row r="7689" spans="7:19" x14ac:dyDescent="0.25">
      <c r="G7689" s="81"/>
      <c r="S7689" s="81"/>
    </row>
    <row r="7690" spans="7:19" x14ac:dyDescent="0.25">
      <c r="G7690" s="81"/>
      <c r="S7690" s="81"/>
    </row>
    <row r="7691" spans="7:19" x14ac:dyDescent="0.25">
      <c r="G7691" s="81"/>
      <c r="S7691" s="81"/>
    </row>
    <row r="7692" spans="7:19" x14ac:dyDescent="0.25">
      <c r="G7692" s="81"/>
      <c r="S7692" s="81"/>
    </row>
    <row r="7693" spans="7:19" x14ac:dyDescent="0.25">
      <c r="G7693" s="81"/>
      <c r="S7693" s="81"/>
    </row>
    <row r="7694" spans="7:19" x14ac:dyDescent="0.25">
      <c r="G7694" s="81"/>
      <c r="S7694" s="81"/>
    </row>
    <row r="7695" spans="7:19" x14ac:dyDescent="0.25">
      <c r="G7695" s="81"/>
      <c r="S7695" s="81"/>
    </row>
    <row r="7696" spans="7:19" x14ac:dyDescent="0.25">
      <c r="G7696" s="81"/>
      <c r="S7696" s="81"/>
    </row>
    <row r="7697" spans="7:19" x14ac:dyDescent="0.25">
      <c r="G7697" s="81"/>
      <c r="S7697" s="81"/>
    </row>
    <row r="7698" spans="7:19" x14ac:dyDescent="0.25">
      <c r="G7698" s="81"/>
      <c r="S7698" s="81"/>
    </row>
    <row r="7699" spans="7:19" x14ac:dyDescent="0.25">
      <c r="G7699" s="81"/>
      <c r="S7699" s="81"/>
    </row>
    <row r="7700" spans="7:19" x14ac:dyDescent="0.25">
      <c r="G7700" s="81"/>
      <c r="S7700" s="81"/>
    </row>
    <row r="7701" spans="7:19" x14ac:dyDescent="0.25">
      <c r="G7701" s="81"/>
      <c r="S7701" s="81"/>
    </row>
    <row r="7702" spans="7:19" x14ac:dyDescent="0.25">
      <c r="G7702" s="81"/>
      <c r="S7702" s="81"/>
    </row>
    <row r="7703" spans="7:19" x14ac:dyDescent="0.25">
      <c r="G7703" s="81"/>
      <c r="S7703" s="81"/>
    </row>
    <row r="7704" spans="7:19" x14ac:dyDescent="0.25">
      <c r="G7704" s="81"/>
      <c r="S7704" s="81"/>
    </row>
    <row r="7705" spans="7:19" x14ac:dyDescent="0.25">
      <c r="G7705" s="81"/>
      <c r="S7705" s="81"/>
    </row>
    <row r="7706" spans="7:19" x14ac:dyDescent="0.25">
      <c r="G7706" s="81"/>
      <c r="S7706" s="81"/>
    </row>
    <row r="7707" spans="7:19" x14ac:dyDescent="0.25">
      <c r="G7707" s="81"/>
      <c r="S7707" s="81"/>
    </row>
    <row r="7708" spans="7:19" x14ac:dyDescent="0.25">
      <c r="G7708" s="81"/>
      <c r="S7708" s="81"/>
    </row>
    <row r="7709" spans="7:19" x14ac:dyDescent="0.25">
      <c r="G7709" s="81"/>
      <c r="S7709" s="81"/>
    </row>
    <row r="7710" spans="7:19" x14ac:dyDescent="0.25">
      <c r="G7710" s="81"/>
      <c r="S7710" s="81"/>
    </row>
    <row r="7711" spans="7:19" x14ac:dyDescent="0.25">
      <c r="G7711" s="81"/>
      <c r="S7711" s="81"/>
    </row>
    <row r="7712" spans="7:19" x14ac:dyDescent="0.25">
      <c r="G7712" s="81"/>
      <c r="S7712" s="81"/>
    </row>
    <row r="7713" spans="7:19" x14ac:dyDescent="0.25">
      <c r="G7713" s="81"/>
      <c r="S7713" s="81"/>
    </row>
    <row r="7714" spans="7:19" x14ac:dyDescent="0.25">
      <c r="G7714" s="81"/>
      <c r="S7714" s="81"/>
    </row>
    <row r="7715" spans="7:19" x14ac:dyDescent="0.25">
      <c r="G7715" s="81"/>
      <c r="S7715" s="81"/>
    </row>
    <row r="7716" spans="7:19" x14ac:dyDescent="0.25">
      <c r="G7716" s="81"/>
      <c r="S7716" s="81"/>
    </row>
    <row r="7717" spans="7:19" x14ac:dyDescent="0.25">
      <c r="G7717" s="81"/>
      <c r="S7717" s="81"/>
    </row>
    <row r="7718" spans="7:19" x14ac:dyDescent="0.25">
      <c r="G7718" s="81"/>
      <c r="S7718" s="81"/>
    </row>
    <row r="7719" spans="7:19" x14ac:dyDescent="0.25">
      <c r="G7719" s="81"/>
      <c r="S7719" s="81"/>
    </row>
    <row r="7720" spans="7:19" x14ac:dyDescent="0.25">
      <c r="G7720" s="81"/>
      <c r="S7720" s="81"/>
    </row>
    <row r="7721" spans="7:19" x14ac:dyDescent="0.25">
      <c r="G7721" s="81"/>
      <c r="S7721" s="81"/>
    </row>
    <row r="7722" spans="7:19" x14ac:dyDescent="0.25">
      <c r="G7722" s="81"/>
      <c r="S7722" s="81"/>
    </row>
    <row r="7723" spans="7:19" x14ac:dyDescent="0.25">
      <c r="G7723" s="81"/>
      <c r="S7723" s="81"/>
    </row>
    <row r="7724" spans="7:19" x14ac:dyDescent="0.25">
      <c r="G7724" s="81"/>
      <c r="S7724" s="81"/>
    </row>
    <row r="7725" spans="7:19" x14ac:dyDescent="0.25">
      <c r="G7725" s="81"/>
      <c r="S7725" s="81"/>
    </row>
    <row r="7726" spans="7:19" x14ac:dyDescent="0.25">
      <c r="G7726" s="81"/>
      <c r="S7726" s="81"/>
    </row>
    <row r="7727" spans="7:19" x14ac:dyDescent="0.25">
      <c r="G7727" s="81"/>
      <c r="S7727" s="81"/>
    </row>
    <row r="7728" spans="7:19" x14ac:dyDescent="0.25">
      <c r="G7728" s="81"/>
      <c r="S7728" s="81"/>
    </row>
    <row r="7729" spans="7:19" x14ac:dyDescent="0.25">
      <c r="G7729" s="81"/>
      <c r="S7729" s="81"/>
    </row>
    <row r="7730" spans="7:19" x14ac:dyDescent="0.25">
      <c r="G7730" s="81"/>
      <c r="S7730" s="81"/>
    </row>
    <row r="7731" spans="7:19" x14ac:dyDescent="0.25">
      <c r="G7731" s="81"/>
      <c r="S7731" s="81"/>
    </row>
    <row r="7732" spans="7:19" x14ac:dyDescent="0.25">
      <c r="G7732" s="81"/>
      <c r="S7732" s="81"/>
    </row>
    <row r="7733" spans="7:19" x14ac:dyDescent="0.25">
      <c r="G7733" s="81"/>
      <c r="S7733" s="81"/>
    </row>
    <row r="7734" spans="7:19" x14ac:dyDescent="0.25">
      <c r="G7734" s="81"/>
      <c r="S7734" s="81"/>
    </row>
    <row r="7735" spans="7:19" x14ac:dyDescent="0.25">
      <c r="G7735" s="81"/>
      <c r="S7735" s="81"/>
    </row>
    <row r="7736" spans="7:19" x14ac:dyDescent="0.25">
      <c r="G7736" s="81"/>
      <c r="S7736" s="81"/>
    </row>
    <row r="7737" spans="7:19" x14ac:dyDescent="0.25">
      <c r="G7737" s="81"/>
      <c r="S7737" s="81"/>
    </row>
    <row r="7738" spans="7:19" x14ac:dyDescent="0.25">
      <c r="G7738" s="81"/>
      <c r="S7738" s="81"/>
    </row>
    <row r="7739" spans="7:19" x14ac:dyDescent="0.25">
      <c r="G7739" s="81"/>
      <c r="S7739" s="81"/>
    </row>
    <row r="7740" spans="7:19" x14ac:dyDescent="0.25">
      <c r="G7740" s="81"/>
      <c r="S7740" s="81"/>
    </row>
    <row r="7741" spans="7:19" x14ac:dyDescent="0.25">
      <c r="G7741" s="81"/>
      <c r="S7741" s="81"/>
    </row>
    <row r="7742" spans="7:19" x14ac:dyDescent="0.25">
      <c r="G7742" s="81"/>
      <c r="S7742" s="81"/>
    </row>
    <row r="7743" spans="7:19" x14ac:dyDescent="0.25">
      <c r="G7743" s="81"/>
      <c r="S7743" s="81"/>
    </row>
    <row r="7744" spans="7:19" x14ac:dyDescent="0.25">
      <c r="G7744" s="81"/>
      <c r="S7744" s="81"/>
    </row>
    <row r="7745" spans="7:19" x14ac:dyDescent="0.25">
      <c r="G7745" s="81"/>
      <c r="S7745" s="81"/>
    </row>
    <row r="7746" spans="7:19" x14ac:dyDescent="0.25">
      <c r="G7746" s="81"/>
      <c r="S7746" s="81"/>
    </row>
    <row r="7747" spans="7:19" x14ac:dyDescent="0.25">
      <c r="G7747" s="81"/>
      <c r="S7747" s="81"/>
    </row>
    <row r="7748" spans="7:19" x14ac:dyDescent="0.25">
      <c r="G7748" s="81"/>
      <c r="S7748" s="81"/>
    </row>
    <row r="7749" spans="7:19" x14ac:dyDescent="0.25">
      <c r="G7749" s="81"/>
      <c r="S7749" s="81"/>
    </row>
    <row r="7750" spans="7:19" x14ac:dyDescent="0.25">
      <c r="G7750" s="81"/>
      <c r="S7750" s="81"/>
    </row>
    <row r="7751" spans="7:19" x14ac:dyDescent="0.25">
      <c r="G7751" s="81"/>
      <c r="S7751" s="81"/>
    </row>
    <row r="7752" spans="7:19" x14ac:dyDescent="0.25">
      <c r="G7752" s="81"/>
      <c r="S7752" s="81"/>
    </row>
    <row r="7753" spans="7:19" x14ac:dyDescent="0.25">
      <c r="G7753" s="81"/>
      <c r="S7753" s="81"/>
    </row>
    <row r="7754" spans="7:19" x14ac:dyDescent="0.25">
      <c r="G7754" s="81"/>
      <c r="S7754" s="81"/>
    </row>
    <row r="7755" spans="7:19" x14ac:dyDescent="0.25">
      <c r="G7755" s="81"/>
      <c r="S7755" s="81"/>
    </row>
    <row r="7756" spans="7:19" x14ac:dyDescent="0.25">
      <c r="G7756" s="81"/>
      <c r="S7756" s="81"/>
    </row>
    <row r="7757" spans="7:19" x14ac:dyDescent="0.25">
      <c r="G7757" s="81"/>
      <c r="S7757" s="81"/>
    </row>
    <row r="7758" spans="7:19" x14ac:dyDescent="0.25">
      <c r="G7758" s="81"/>
      <c r="S7758" s="81"/>
    </row>
    <row r="7759" spans="7:19" x14ac:dyDescent="0.25">
      <c r="G7759" s="81"/>
      <c r="S7759" s="81"/>
    </row>
    <row r="7760" spans="7:19" x14ac:dyDescent="0.25">
      <c r="G7760" s="81"/>
      <c r="S7760" s="81"/>
    </row>
    <row r="7761" spans="7:19" x14ac:dyDescent="0.25">
      <c r="G7761" s="81"/>
      <c r="S7761" s="81"/>
    </row>
    <row r="7762" spans="7:19" x14ac:dyDescent="0.25">
      <c r="G7762" s="81"/>
      <c r="S7762" s="81"/>
    </row>
    <row r="7763" spans="7:19" x14ac:dyDescent="0.25">
      <c r="G7763" s="81"/>
      <c r="S7763" s="81"/>
    </row>
    <row r="7764" spans="7:19" x14ac:dyDescent="0.25">
      <c r="G7764" s="81"/>
      <c r="S7764" s="81"/>
    </row>
    <row r="7765" spans="7:19" x14ac:dyDescent="0.25">
      <c r="G7765" s="81"/>
      <c r="S7765" s="81"/>
    </row>
    <row r="7766" spans="7:19" x14ac:dyDescent="0.25">
      <c r="G7766" s="81"/>
      <c r="S7766" s="81"/>
    </row>
    <row r="7767" spans="7:19" x14ac:dyDescent="0.25">
      <c r="G7767" s="81"/>
      <c r="S7767" s="81"/>
    </row>
    <row r="7768" spans="7:19" x14ac:dyDescent="0.25">
      <c r="G7768" s="81"/>
      <c r="S7768" s="81"/>
    </row>
    <row r="7769" spans="7:19" x14ac:dyDescent="0.25">
      <c r="G7769" s="81"/>
      <c r="S7769" s="81"/>
    </row>
    <row r="7770" spans="7:19" x14ac:dyDescent="0.25">
      <c r="G7770" s="81"/>
      <c r="S7770" s="81"/>
    </row>
    <row r="7771" spans="7:19" x14ac:dyDescent="0.25">
      <c r="G7771" s="81"/>
      <c r="S7771" s="81"/>
    </row>
    <row r="7772" spans="7:19" x14ac:dyDescent="0.25">
      <c r="G7772" s="81"/>
      <c r="S7772" s="81"/>
    </row>
    <row r="7773" spans="7:19" x14ac:dyDescent="0.25">
      <c r="G7773" s="81"/>
      <c r="S7773" s="81"/>
    </row>
    <row r="7774" spans="7:19" x14ac:dyDescent="0.25">
      <c r="G7774" s="81"/>
      <c r="S7774" s="81"/>
    </row>
    <row r="7775" spans="7:19" x14ac:dyDescent="0.25">
      <c r="G7775" s="81"/>
      <c r="S7775" s="81"/>
    </row>
    <row r="7776" spans="7:19" x14ac:dyDescent="0.25">
      <c r="G7776" s="81"/>
      <c r="S7776" s="81"/>
    </row>
    <row r="7777" spans="7:19" x14ac:dyDescent="0.25">
      <c r="G7777" s="81"/>
      <c r="S7777" s="81"/>
    </row>
    <row r="7778" spans="7:19" x14ac:dyDescent="0.25">
      <c r="G7778" s="81"/>
      <c r="S7778" s="81"/>
    </row>
    <row r="7779" spans="7:19" x14ac:dyDescent="0.25">
      <c r="G7779" s="81"/>
      <c r="S7779" s="81"/>
    </row>
    <row r="7780" spans="7:19" x14ac:dyDescent="0.25">
      <c r="G7780" s="81"/>
      <c r="S7780" s="81"/>
    </row>
    <row r="7781" spans="7:19" x14ac:dyDescent="0.25">
      <c r="G7781" s="81"/>
      <c r="S7781" s="81"/>
    </row>
    <row r="7782" spans="7:19" x14ac:dyDescent="0.25">
      <c r="G7782" s="81"/>
      <c r="S7782" s="81"/>
    </row>
    <row r="7783" spans="7:19" x14ac:dyDescent="0.25">
      <c r="G7783" s="81"/>
      <c r="S7783" s="81"/>
    </row>
    <row r="7784" spans="7:19" x14ac:dyDescent="0.25">
      <c r="G7784" s="81"/>
      <c r="S7784" s="81"/>
    </row>
    <row r="7785" spans="7:19" x14ac:dyDescent="0.25">
      <c r="G7785" s="81"/>
      <c r="S7785" s="81"/>
    </row>
    <row r="7786" spans="7:19" x14ac:dyDescent="0.25">
      <c r="G7786" s="81"/>
      <c r="S7786" s="81"/>
    </row>
    <row r="7787" spans="7:19" x14ac:dyDescent="0.25">
      <c r="G7787" s="81"/>
      <c r="S7787" s="81"/>
    </row>
    <row r="7788" spans="7:19" x14ac:dyDescent="0.25">
      <c r="G7788" s="81"/>
      <c r="S7788" s="81"/>
    </row>
    <row r="7789" spans="7:19" x14ac:dyDescent="0.25">
      <c r="G7789" s="81"/>
      <c r="S7789" s="81"/>
    </row>
    <row r="7790" spans="7:19" x14ac:dyDescent="0.25">
      <c r="G7790" s="81"/>
      <c r="S7790" s="81"/>
    </row>
    <row r="7791" spans="7:19" x14ac:dyDescent="0.25">
      <c r="G7791" s="81"/>
      <c r="S7791" s="81"/>
    </row>
    <row r="7792" spans="7:19" x14ac:dyDescent="0.25">
      <c r="G7792" s="81"/>
      <c r="S7792" s="81"/>
    </row>
    <row r="7793" spans="7:19" x14ac:dyDescent="0.25">
      <c r="G7793" s="81"/>
      <c r="S7793" s="81"/>
    </row>
    <row r="7794" spans="7:19" x14ac:dyDescent="0.25">
      <c r="G7794" s="81"/>
      <c r="S7794" s="81"/>
    </row>
    <row r="7795" spans="7:19" x14ac:dyDescent="0.25">
      <c r="G7795" s="81"/>
      <c r="S7795" s="81"/>
    </row>
    <row r="7796" spans="7:19" x14ac:dyDescent="0.25">
      <c r="G7796" s="81"/>
      <c r="S7796" s="81"/>
    </row>
    <row r="7797" spans="7:19" x14ac:dyDescent="0.25">
      <c r="G7797" s="81"/>
      <c r="S7797" s="81"/>
    </row>
    <row r="7798" spans="7:19" x14ac:dyDescent="0.25">
      <c r="G7798" s="81"/>
      <c r="S7798" s="81"/>
    </row>
    <row r="7799" spans="7:19" x14ac:dyDescent="0.25">
      <c r="G7799" s="81"/>
      <c r="S7799" s="81"/>
    </row>
    <row r="7800" spans="7:19" x14ac:dyDescent="0.25">
      <c r="G7800" s="81"/>
      <c r="S7800" s="81"/>
    </row>
    <row r="7801" spans="7:19" x14ac:dyDescent="0.25">
      <c r="G7801" s="81"/>
      <c r="S7801" s="81"/>
    </row>
    <row r="7802" spans="7:19" x14ac:dyDescent="0.25">
      <c r="G7802" s="81"/>
      <c r="S7802" s="81"/>
    </row>
    <row r="7803" spans="7:19" x14ac:dyDescent="0.25">
      <c r="G7803" s="81"/>
      <c r="S7803" s="81"/>
    </row>
    <row r="7804" spans="7:19" x14ac:dyDescent="0.25">
      <c r="G7804" s="81"/>
      <c r="S7804" s="81"/>
    </row>
    <row r="7805" spans="7:19" x14ac:dyDescent="0.25">
      <c r="G7805" s="81"/>
      <c r="S7805" s="81"/>
    </row>
    <row r="7806" spans="7:19" x14ac:dyDescent="0.25">
      <c r="G7806" s="81"/>
      <c r="S7806" s="81"/>
    </row>
    <row r="7807" spans="7:19" x14ac:dyDescent="0.25">
      <c r="G7807" s="81"/>
      <c r="S7807" s="81"/>
    </row>
    <row r="7808" spans="7:19" x14ac:dyDescent="0.25">
      <c r="G7808" s="81"/>
      <c r="S7808" s="81"/>
    </row>
    <row r="7809" spans="7:19" x14ac:dyDescent="0.25">
      <c r="G7809" s="81"/>
      <c r="S7809" s="81"/>
    </row>
    <row r="7810" spans="7:19" x14ac:dyDescent="0.25">
      <c r="G7810" s="81"/>
      <c r="S7810" s="81"/>
    </row>
    <row r="7811" spans="7:19" x14ac:dyDescent="0.25">
      <c r="G7811" s="81"/>
      <c r="S7811" s="81"/>
    </row>
    <row r="7812" spans="7:19" x14ac:dyDescent="0.25">
      <c r="G7812" s="81"/>
      <c r="S7812" s="81"/>
    </row>
    <row r="7813" spans="7:19" x14ac:dyDescent="0.25">
      <c r="G7813" s="81"/>
      <c r="S7813" s="81"/>
    </row>
    <row r="7814" spans="7:19" x14ac:dyDescent="0.25">
      <c r="G7814" s="81"/>
      <c r="S7814" s="81"/>
    </row>
    <row r="7815" spans="7:19" x14ac:dyDescent="0.25">
      <c r="G7815" s="81"/>
      <c r="S7815" s="81"/>
    </row>
    <row r="7816" spans="7:19" x14ac:dyDescent="0.25">
      <c r="G7816" s="81"/>
      <c r="S7816" s="81"/>
    </row>
    <row r="7817" spans="7:19" x14ac:dyDescent="0.25">
      <c r="G7817" s="81"/>
      <c r="S7817" s="81"/>
    </row>
    <row r="7818" spans="7:19" x14ac:dyDescent="0.25">
      <c r="G7818" s="81"/>
      <c r="S7818" s="81"/>
    </row>
    <row r="7819" spans="7:19" x14ac:dyDescent="0.25">
      <c r="G7819" s="81"/>
      <c r="S7819" s="81"/>
    </row>
    <row r="7820" spans="7:19" x14ac:dyDescent="0.25">
      <c r="G7820" s="81"/>
      <c r="S7820" s="81"/>
    </row>
    <row r="7821" spans="7:19" x14ac:dyDescent="0.25">
      <c r="G7821" s="81"/>
      <c r="S7821" s="81"/>
    </row>
    <row r="7822" spans="7:19" x14ac:dyDescent="0.25">
      <c r="G7822" s="81"/>
      <c r="S7822" s="81"/>
    </row>
    <row r="7823" spans="7:19" x14ac:dyDescent="0.25">
      <c r="G7823" s="81"/>
      <c r="S7823" s="81"/>
    </row>
    <row r="7824" spans="7:19" x14ac:dyDescent="0.25">
      <c r="G7824" s="81"/>
      <c r="S7824" s="81"/>
    </row>
    <row r="7825" spans="7:19" x14ac:dyDescent="0.25">
      <c r="G7825" s="81"/>
      <c r="S7825" s="81"/>
    </row>
    <row r="7826" spans="7:19" x14ac:dyDescent="0.25">
      <c r="G7826" s="81"/>
      <c r="S7826" s="81"/>
    </row>
    <row r="7827" spans="7:19" x14ac:dyDescent="0.25">
      <c r="G7827" s="81"/>
      <c r="S7827" s="81"/>
    </row>
    <row r="7828" spans="7:19" x14ac:dyDescent="0.25">
      <c r="G7828" s="81"/>
      <c r="S7828" s="81"/>
    </row>
    <row r="7829" spans="7:19" x14ac:dyDescent="0.25">
      <c r="G7829" s="81"/>
      <c r="S7829" s="81"/>
    </row>
    <row r="7830" spans="7:19" x14ac:dyDescent="0.25">
      <c r="G7830" s="81"/>
      <c r="S7830" s="81"/>
    </row>
    <row r="7831" spans="7:19" x14ac:dyDescent="0.25">
      <c r="G7831" s="81"/>
      <c r="S7831" s="81"/>
    </row>
    <row r="7832" spans="7:19" x14ac:dyDescent="0.25">
      <c r="G7832" s="81"/>
      <c r="S7832" s="81"/>
    </row>
    <row r="7833" spans="7:19" x14ac:dyDescent="0.25">
      <c r="G7833" s="81"/>
      <c r="S7833" s="81"/>
    </row>
    <row r="7834" spans="7:19" x14ac:dyDescent="0.25">
      <c r="G7834" s="81"/>
      <c r="S7834" s="81"/>
    </row>
    <row r="7835" spans="7:19" x14ac:dyDescent="0.25">
      <c r="G7835" s="81"/>
      <c r="S7835" s="81"/>
    </row>
    <row r="7836" spans="7:19" x14ac:dyDescent="0.25">
      <c r="G7836" s="81"/>
      <c r="S7836" s="81"/>
    </row>
    <row r="7837" spans="7:19" x14ac:dyDescent="0.25">
      <c r="G7837" s="81"/>
      <c r="S7837" s="81"/>
    </row>
    <row r="7838" spans="7:19" x14ac:dyDescent="0.25">
      <c r="G7838" s="81"/>
      <c r="S7838" s="81"/>
    </row>
    <row r="7839" spans="7:19" x14ac:dyDescent="0.25">
      <c r="G7839" s="81"/>
      <c r="S7839" s="81"/>
    </row>
    <row r="7840" spans="7:19" x14ac:dyDescent="0.25">
      <c r="G7840" s="81"/>
      <c r="S7840" s="81"/>
    </row>
    <row r="7841" spans="7:19" x14ac:dyDescent="0.25">
      <c r="G7841" s="81"/>
      <c r="S7841" s="81"/>
    </row>
    <row r="7842" spans="7:19" x14ac:dyDescent="0.25">
      <c r="G7842" s="81"/>
      <c r="S7842" s="81"/>
    </row>
    <row r="7843" spans="7:19" x14ac:dyDescent="0.25">
      <c r="G7843" s="81"/>
      <c r="S7843" s="81"/>
    </row>
    <row r="7844" spans="7:19" x14ac:dyDescent="0.25">
      <c r="G7844" s="81"/>
      <c r="S7844" s="81"/>
    </row>
    <row r="7845" spans="7:19" x14ac:dyDescent="0.25">
      <c r="G7845" s="81"/>
      <c r="S7845" s="81"/>
    </row>
    <row r="7846" spans="7:19" x14ac:dyDescent="0.25">
      <c r="G7846" s="81"/>
      <c r="S7846" s="81"/>
    </row>
    <row r="7847" spans="7:19" x14ac:dyDescent="0.25">
      <c r="G7847" s="81"/>
      <c r="S7847" s="81"/>
    </row>
    <row r="7848" spans="7:19" x14ac:dyDescent="0.25">
      <c r="G7848" s="81"/>
      <c r="S7848" s="81"/>
    </row>
    <row r="7849" spans="7:19" x14ac:dyDescent="0.25">
      <c r="G7849" s="81"/>
      <c r="S7849" s="81"/>
    </row>
    <row r="7850" spans="7:19" x14ac:dyDescent="0.25">
      <c r="G7850" s="81"/>
      <c r="S7850" s="81"/>
    </row>
    <row r="7851" spans="7:19" x14ac:dyDescent="0.25">
      <c r="G7851" s="81"/>
      <c r="S7851" s="81"/>
    </row>
    <row r="7852" spans="7:19" x14ac:dyDescent="0.25">
      <c r="G7852" s="81"/>
      <c r="S7852" s="81"/>
    </row>
    <row r="7853" spans="7:19" x14ac:dyDescent="0.25">
      <c r="G7853" s="81"/>
      <c r="S7853" s="81"/>
    </row>
    <row r="7854" spans="7:19" x14ac:dyDescent="0.25">
      <c r="G7854" s="81"/>
      <c r="S7854" s="81"/>
    </row>
    <row r="7855" spans="7:19" x14ac:dyDescent="0.25">
      <c r="G7855" s="81"/>
      <c r="S7855" s="81"/>
    </row>
    <row r="7856" spans="7:19" x14ac:dyDescent="0.25">
      <c r="G7856" s="81"/>
      <c r="S7856" s="81"/>
    </row>
    <row r="7857" spans="7:19" x14ac:dyDescent="0.25">
      <c r="G7857" s="81"/>
      <c r="S7857" s="81"/>
    </row>
    <row r="7858" spans="7:19" x14ac:dyDescent="0.25">
      <c r="G7858" s="81"/>
      <c r="S7858" s="81"/>
    </row>
    <row r="7859" spans="7:19" x14ac:dyDescent="0.25">
      <c r="G7859" s="81"/>
      <c r="S7859" s="81"/>
    </row>
    <row r="7860" spans="7:19" x14ac:dyDescent="0.25">
      <c r="G7860" s="81"/>
      <c r="S7860" s="81"/>
    </row>
    <row r="7861" spans="7:19" x14ac:dyDescent="0.25">
      <c r="G7861" s="81"/>
      <c r="S7861" s="81"/>
    </row>
    <row r="7862" spans="7:19" x14ac:dyDescent="0.25">
      <c r="G7862" s="81"/>
      <c r="S7862" s="81"/>
    </row>
    <row r="7863" spans="7:19" x14ac:dyDescent="0.25">
      <c r="G7863" s="81"/>
      <c r="S7863" s="81"/>
    </row>
    <row r="7864" spans="7:19" x14ac:dyDescent="0.25">
      <c r="G7864" s="81"/>
      <c r="S7864" s="81"/>
    </row>
    <row r="7865" spans="7:19" x14ac:dyDescent="0.25">
      <c r="G7865" s="81"/>
      <c r="S7865" s="81"/>
    </row>
    <row r="7866" spans="7:19" x14ac:dyDescent="0.25">
      <c r="G7866" s="81"/>
      <c r="S7866" s="81"/>
    </row>
    <row r="7867" spans="7:19" x14ac:dyDescent="0.25">
      <c r="G7867" s="81"/>
      <c r="S7867" s="81"/>
    </row>
    <row r="7868" spans="7:19" x14ac:dyDescent="0.25">
      <c r="G7868" s="81"/>
      <c r="S7868" s="81"/>
    </row>
    <row r="7869" spans="7:19" x14ac:dyDescent="0.25">
      <c r="G7869" s="81"/>
      <c r="S7869" s="81"/>
    </row>
    <row r="7870" spans="7:19" x14ac:dyDescent="0.25">
      <c r="G7870" s="81"/>
      <c r="S7870" s="81"/>
    </row>
    <row r="7871" spans="7:19" x14ac:dyDescent="0.25">
      <c r="G7871" s="81"/>
      <c r="S7871" s="81"/>
    </row>
    <row r="7872" spans="7:19" x14ac:dyDescent="0.25">
      <c r="G7872" s="81"/>
      <c r="S7872" s="81"/>
    </row>
    <row r="7873" spans="7:19" x14ac:dyDescent="0.25">
      <c r="G7873" s="81"/>
      <c r="S7873" s="81"/>
    </row>
    <row r="7874" spans="7:19" x14ac:dyDescent="0.25">
      <c r="G7874" s="81"/>
      <c r="S7874" s="81"/>
    </row>
    <row r="7875" spans="7:19" x14ac:dyDescent="0.25">
      <c r="G7875" s="81"/>
      <c r="S7875" s="81"/>
    </row>
    <row r="7876" spans="7:19" x14ac:dyDescent="0.25">
      <c r="G7876" s="81"/>
      <c r="S7876" s="81"/>
    </row>
    <row r="7877" spans="7:19" x14ac:dyDescent="0.25">
      <c r="G7877" s="81"/>
      <c r="S7877" s="81"/>
    </row>
    <row r="7878" spans="7:19" x14ac:dyDescent="0.25">
      <c r="G7878" s="81"/>
      <c r="S7878" s="81"/>
    </row>
    <row r="7879" spans="7:19" x14ac:dyDescent="0.25">
      <c r="G7879" s="81"/>
      <c r="S7879" s="81"/>
    </row>
    <row r="7880" spans="7:19" x14ac:dyDescent="0.25">
      <c r="G7880" s="81"/>
      <c r="S7880" s="81"/>
    </row>
    <row r="7881" spans="7:19" x14ac:dyDescent="0.25">
      <c r="G7881" s="81"/>
      <c r="S7881" s="81"/>
    </row>
    <row r="7882" spans="7:19" x14ac:dyDescent="0.25">
      <c r="G7882" s="81"/>
      <c r="S7882" s="81"/>
    </row>
    <row r="7883" spans="7:19" x14ac:dyDescent="0.25">
      <c r="G7883" s="81"/>
      <c r="S7883" s="81"/>
    </row>
    <row r="7884" spans="7:19" x14ac:dyDescent="0.25">
      <c r="G7884" s="81"/>
      <c r="S7884" s="81"/>
    </row>
    <row r="7885" spans="7:19" x14ac:dyDescent="0.25">
      <c r="G7885" s="81"/>
      <c r="S7885" s="81"/>
    </row>
    <row r="7886" spans="7:19" x14ac:dyDescent="0.25">
      <c r="G7886" s="81"/>
      <c r="S7886" s="81"/>
    </row>
    <row r="7887" spans="7:19" x14ac:dyDescent="0.25">
      <c r="G7887" s="81"/>
      <c r="S7887" s="81"/>
    </row>
    <row r="7888" spans="7:19" x14ac:dyDescent="0.25">
      <c r="G7888" s="81"/>
      <c r="S7888" s="81"/>
    </row>
    <row r="7889" spans="7:19" x14ac:dyDescent="0.25">
      <c r="G7889" s="81"/>
      <c r="S7889" s="81"/>
    </row>
    <row r="7890" spans="7:19" x14ac:dyDescent="0.25">
      <c r="G7890" s="81"/>
      <c r="S7890" s="81"/>
    </row>
    <row r="7891" spans="7:19" x14ac:dyDescent="0.25">
      <c r="G7891" s="81"/>
      <c r="S7891" s="81"/>
    </row>
    <row r="7892" spans="7:19" x14ac:dyDescent="0.25">
      <c r="G7892" s="81"/>
      <c r="S7892" s="81"/>
    </row>
    <row r="7893" spans="7:19" x14ac:dyDescent="0.25">
      <c r="G7893" s="81"/>
      <c r="S7893" s="81"/>
    </row>
    <row r="7894" spans="7:19" x14ac:dyDescent="0.25">
      <c r="G7894" s="81"/>
      <c r="S7894" s="81"/>
    </row>
    <row r="7895" spans="7:19" x14ac:dyDescent="0.25">
      <c r="G7895" s="81"/>
      <c r="S7895" s="81"/>
    </row>
    <row r="7896" spans="7:19" x14ac:dyDescent="0.25">
      <c r="G7896" s="81"/>
      <c r="S7896" s="81"/>
    </row>
    <row r="7897" spans="7:19" x14ac:dyDescent="0.25">
      <c r="G7897" s="81"/>
      <c r="S7897" s="81"/>
    </row>
    <row r="7898" spans="7:19" x14ac:dyDescent="0.25">
      <c r="G7898" s="81"/>
      <c r="S7898" s="81"/>
    </row>
    <row r="7899" spans="7:19" x14ac:dyDescent="0.25">
      <c r="G7899" s="81"/>
      <c r="S7899" s="81"/>
    </row>
    <row r="7900" spans="7:19" x14ac:dyDescent="0.25">
      <c r="G7900" s="81"/>
      <c r="S7900" s="81"/>
    </row>
    <row r="7901" spans="7:19" x14ac:dyDescent="0.25">
      <c r="G7901" s="81"/>
      <c r="S7901" s="81"/>
    </row>
    <row r="7902" spans="7:19" x14ac:dyDescent="0.25">
      <c r="G7902" s="81"/>
      <c r="S7902" s="81"/>
    </row>
    <row r="7903" spans="7:19" x14ac:dyDescent="0.25">
      <c r="G7903" s="81"/>
      <c r="S7903" s="81"/>
    </row>
    <row r="7904" spans="7:19" x14ac:dyDescent="0.25">
      <c r="G7904" s="81"/>
      <c r="S7904" s="81"/>
    </row>
    <row r="7905" spans="7:19" x14ac:dyDescent="0.25">
      <c r="G7905" s="81"/>
      <c r="S7905" s="81"/>
    </row>
    <row r="7906" spans="7:19" x14ac:dyDescent="0.25">
      <c r="G7906" s="81"/>
      <c r="S7906" s="81"/>
    </row>
    <row r="7907" spans="7:19" x14ac:dyDescent="0.25">
      <c r="G7907" s="81"/>
      <c r="S7907" s="81"/>
    </row>
    <row r="7908" spans="7:19" x14ac:dyDescent="0.25">
      <c r="G7908" s="81"/>
      <c r="S7908" s="81"/>
    </row>
    <row r="7909" spans="7:19" x14ac:dyDescent="0.25">
      <c r="G7909" s="81"/>
      <c r="S7909" s="81"/>
    </row>
    <row r="7910" spans="7:19" x14ac:dyDescent="0.25">
      <c r="G7910" s="81"/>
      <c r="S7910" s="81"/>
    </row>
    <row r="7911" spans="7:19" x14ac:dyDescent="0.25">
      <c r="G7911" s="81"/>
      <c r="S7911" s="81"/>
    </row>
    <row r="7912" spans="7:19" x14ac:dyDescent="0.25">
      <c r="G7912" s="81"/>
      <c r="S7912" s="81"/>
    </row>
    <row r="7913" spans="7:19" x14ac:dyDescent="0.25">
      <c r="G7913" s="81"/>
      <c r="S7913" s="81"/>
    </row>
    <row r="7914" spans="7:19" x14ac:dyDescent="0.25">
      <c r="G7914" s="81"/>
      <c r="S7914" s="81"/>
    </row>
    <row r="7915" spans="7:19" x14ac:dyDescent="0.25">
      <c r="G7915" s="81"/>
      <c r="S7915" s="81"/>
    </row>
    <row r="7916" spans="7:19" x14ac:dyDescent="0.25">
      <c r="G7916" s="81"/>
      <c r="S7916" s="81"/>
    </row>
    <row r="7917" spans="7:19" x14ac:dyDescent="0.25">
      <c r="G7917" s="81"/>
      <c r="S7917" s="81"/>
    </row>
    <row r="7918" spans="7:19" x14ac:dyDescent="0.25">
      <c r="G7918" s="81"/>
      <c r="S7918" s="81"/>
    </row>
    <row r="7919" spans="7:19" x14ac:dyDescent="0.25">
      <c r="G7919" s="81"/>
      <c r="S7919" s="81"/>
    </row>
    <row r="7920" spans="7:19" x14ac:dyDescent="0.25">
      <c r="G7920" s="81"/>
      <c r="S7920" s="81"/>
    </row>
    <row r="7921" spans="7:19" x14ac:dyDescent="0.25">
      <c r="G7921" s="81"/>
      <c r="S7921" s="81"/>
    </row>
    <row r="7922" spans="7:19" x14ac:dyDescent="0.25">
      <c r="G7922" s="81"/>
      <c r="S7922" s="81"/>
    </row>
    <row r="7923" spans="7:19" x14ac:dyDescent="0.25">
      <c r="G7923" s="81"/>
      <c r="S7923" s="81"/>
    </row>
    <row r="7924" spans="7:19" x14ac:dyDescent="0.25">
      <c r="G7924" s="81"/>
      <c r="S7924" s="81"/>
    </row>
    <row r="7925" spans="7:19" x14ac:dyDescent="0.25">
      <c r="G7925" s="81"/>
      <c r="S7925" s="81"/>
    </row>
    <row r="7926" spans="7:19" x14ac:dyDescent="0.25">
      <c r="G7926" s="81"/>
      <c r="S7926" s="81"/>
    </row>
    <row r="7927" spans="7:19" x14ac:dyDescent="0.25">
      <c r="G7927" s="81"/>
      <c r="S7927" s="81"/>
    </row>
    <row r="7928" spans="7:19" x14ac:dyDescent="0.25">
      <c r="G7928" s="81"/>
      <c r="S7928" s="81"/>
    </row>
    <row r="7929" spans="7:19" x14ac:dyDescent="0.25">
      <c r="G7929" s="81"/>
      <c r="S7929" s="81"/>
    </row>
    <row r="7930" spans="7:19" x14ac:dyDescent="0.25">
      <c r="G7930" s="81"/>
      <c r="S7930" s="81"/>
    </row>
    <row r="7931" spans="7:19" x14ac:dyDescent="0.25">
      <c r="G7931" s="81"/>
      <c r="S7931" s="81"/>
    </row>
    <row r="7932" spans="7:19" x14ac:dyDescent="0.25">
      <c r="G7932" s="81"/>
      <c r="S7932" s="81"/>
    </row>
    <row r="7933" spans="7:19" x14ac:dyDescent="0.25">
      <c r="G7933" s="81"/>
      <c r="S7933" s="81"/>
    </row>
    <row r="7934" spans="7:19" x14ac:dyDescent="0.25">
      <c r="G7934" s="81"/>
      <c r="S7934" s="81"/>
    </row>
    <row r="7935" spans="7:19" x14ac:dyDescent="0.25">
      <c r="G7935" s="81"/>
      <c r="S7935" s="81"/>
    </row>
    <row r="7936" spans="7:19" x14ac:dyDescent="0.25">
      <c r="G7936" s="81"/>
      <c r="S7936" s="81"/>
    </row>
    <row r="7937" spans="7:19" x14ac:dyDescent="0.25">
      <c r="G7937" s="81"/>
      <c r="S7937" s="81"/>
    </row>
    <row r="7938" spans="7:19" x14ac:dyDescent="0.25">
      <c r="G7938" s="81"/>
      <c r="S7938" s="81"/>
    </row>
    <row r="7939" spans="7:19" x14ac:dyDescent="0.25">
      <c r="G7939" s="81"/>
      <c r="S7939" s="81"/>
    </row>
    <row r="7940" spans="7:19" x14ac:dyDescent="0.25">
      <c r="G7940" s="81"/>
      <c r="S7940" s="81"/>
    </row>
    <row r="7941" spans="7:19" x14ac:dyDescent="0.25">
      <c r="G7941" s="81"/>
      <c r="S7941" s="81"/>
    </row>
    <row r="7942" spans="7:19" x14ac:dyDescent="0.25">
      <c r="G7942" s="81"/>
      <c r="S7942" s="81"/>
    </row>
    <row r="7943" spans="7:19" x14ac:dyDescent="0.25">
      <c r="G7943" s="81"/>
      <c r="S7943" s="81"/>
    </row>
    <row r="7944" spans="7:19" x14ac:dyDescent="0.25">
      <c r="G7944" s="81"/>
      <c r="S7944" s="81"/>
    </row>
    <row r="7945" spans="7:19" x14ac:dyDescent="0.25">
      <c r="G7945" s="81"/>
      <c r="S7945" s="81"/>
    </row>
    <row r="7946" spans="7:19" x14ac:dyDescent="0.25">
      <c r="G7946" s="81"/>
      <c r="S7946" s="81"/>
    </row>
    <row r="7947" spans="7:19" x14ac:dyDescent="0.25">
      <c r="G7947" s="81"/>
      <c r="S7947" s="81"/>
    </row>
    <row r="7948" spans="7:19" x14ac:dyDescent="0.25">
      <c r="G7948" s="81"/>
      <c r="S7948" s="81"/>
    </row>
    <row r="7949" spans="7:19" x14ac:dyDescent="0.25">
      <c r="G7949" s="81"/>
      <c r="S7949" s="81"/>
    </row>
    <row r="7950" spans="7:19" x14ac:dyDescent="0.25">
      <c r="G7950" s="81"/>
      <c r="S7950" s="81"/>
    </row>
    <row r="7951" spans="7:19" x14ac:dyDescent="0.25">
      <c r="G7951" s="81"/>
      <c r="S7951" s="81"/>
    </row>
    <row r="7952" spans="7:19" x14ac:dyDescent="0.25">
      <c r="G7952" s="81"/>
      <c r="S7952" s="81"/>
    </row>
    <row r="7953" spans="7:19" x14ac:dyDescent="0.25">
      <c r="G7953" s="81"/>
      <c r="S7953" s="81"/>
    </row>
    <row r="7954" spans="7:19" x14ac:dyDescent="0.25">
      <c r="G7954" s="81"/>
      <c r="S7954" s="81"/>
    </row>
    <row r="7955" spans="7:19" x14ac:dyDescent="0.25">
      <c r="G7955" s="81"/>
      <c r="S7955" s="81"/>
    </row>
    <row r="7956" spans="7:19" x14ac:dyDescent="0.25">
      <c r="G7956" s="81"/>
      <c r="S7956" s="81"/>
    </row>
    <row r="7957" spans="7:19" x14ac:dyDescent="0.25">
      <c r="G7957" s="81"/>
      <c r="S7957" s="81"/>
    </row>
    <row r="7958" spans="7:19" x14ac:dyDescent="0.25">
      <c r="G7958" s="81"/>
      <c r="S7958" s="81"/>
    </row>
    <row r="7959" spans="7:19" x14ac:dyDescent="0.25">
      <c r="G7959" s="81"/>
      <c r="S7959" s="81"/>
    </row>
    <row r="7960" spans="7:19" x14ac:dyDescent="0.25">
      <c r="G7960" s="81"/>
      <c r="S7960" s="81"/>
    </row>
    <row r="7961" spans="7:19" x14ac:dyDescent="0.25">
      <c r="G7961" s="81"/>
      <c r="S7961" s="81"/>
    </row>
    <row r="7962" spans="7:19" x14ac:dyDescent="0.25">
      <c r="G7962" s="81"/>
      <c r="S7962" s="81"/>
    </row>
    <row r="7963" spans="7:19" x14ac:dyDescent="0.25">
      <c r="G7963" s="81"/>
      <c r="S7963" s="81"/>
    </row>
    <row r="7964" spans="7:19" x14ac:dyDescent="0.25">
      <c r="G7964" s="81"/>
      <c r="S7964" s="81"/>
    </row>
    <row r="7965" spans="7:19" x14ac:dyDescent="0.25">
      <c r="G7965" s="81"/>
      <c r="S7965" s="81"/>
    </row>
    <row r="7966" spans="7:19" x14ac:dyDescent="0.25">
      <c r="G7966" s="81"/>
      <c r="S7966" s="81"/>
    </row>
    <row r="7967" spans="7:19" x14ac:dyDescent="0.25">
      <c r="G7967" s="81"/>
      <c r="S7967" s="81"/>
    </row>
    <row r="7968" spans="7:19" x14ac:dyDescent="0.25">
      <c r="G7968" s="81"/>
      <c r="S7968" s="81"/>
    </row>
    <row r="7969" spans="7:19" x14ac:dyDescent="0.25">
      <c r="G7969" s="81"/>
      <c r="S7969" s="81"/>
    </row>
    <row r="7970" spans="7:19" x14ac:dyDescent="0.25">
      <c r="G7970" s="81"/>
      <c r="S7970" s="81"/>
    </row>
    <row r="7971" spans="7:19" x14ac:dyDescent="0.25">
      <c r="G7971" s="81"/>
      <c r="S7971" s="81"/>
    </row>
    <row r="7972" spans="7:19" x14ac:dyDescent="0.25">
      <c r="G7972" s="81"/>
      <c r="S7972" s="81"/>
    </row>
    <row r="7973" spans="7:19" x14ac:dyDescent="0.25">
      <c r="G7973" s="81"/>
      <c r="S7973" s="81"/>
    </row>
    <row r="7974" spans="7:19" x14ac:dyDescent="0.25">
      <c r="G7974" s="81"/>
      <c r="S7974" s="81"/>
    </row>
    <row r="7975" spans="7:19" x14ac:dyDescent="0.25">
      <c r="G7975" s="81"/>
      <c r="S7975" s="81"/>
    </row>
    <row r="7976" spans="7:19" x14ac:dyDescent="0.25">
      <c r="G7976" s="81"/>
      <c r="S7976" s="81"/>
    </row>
    <row r="7977" spans="7:19" x14ac:dyDescent="0.25">
      <c r="G7977" s="81"/>
      <c r="S7977" s="81"/>
    </row>
    <row r="7978" spans="7:19" x14ac:dyDescent="0.25">
      <c r="G7978" s="81"/>
      <c r="S7978" s="81"/>
    </row>
    <row r="7979" spans="7:19" x14ac:dyDescent="0.25">
      <c r="G7979" s="81"/>
      <c r="S7979" s="81"/>
    </row>
    <row r="7980" spans="7:19" x14ac:dyDescent="0.25">
      <c r="G7980" s="81"/>
      <c r="S7980" s="81"/>
    </row>
    <row r="7981" spans="7:19" x14ac:dyDescent="0.25">
      <c r="G7981" s="81"/>
      <c r="S7981" s="81"/>
    </row>
    <row r="7982" spans="7:19" x14ac:dyDescent="0.25">
      <c r="G7982" s="81"/>
      <c r="S7982" s="81"/>
    </row>
    <row r="7983" spans="7:19" x14ac:dyDescent="0.25">
      <c r="G7983" s="81"/>
      <c r="S7983" s="81"/>
    </row>
    <row r="7984" spans="7:19" x14ac:dyDescent="0.25">
      <c r="G7984" s="81"/>
      <c r="S7984" s="81"/>
    </row>
    <row r="7985" spans="7:19" x14ac:dyDescent="0.25">
      <c r="G7985" s="81"/>
      <c r="S7985" s="81"/>
    </row>
    <row r="7986" spans="7:19" x14ac:dyDescent="0.25">
      <c r="G7986" s="81"/>
      <c r="S7986" s="81"/>
    </row>
    <row r="7987" spans="7:19" x14ac:dyDescent="0.25">
      <c r="G7987" s="81"/>
      <c r="S7987" s="81"/>
    </row>
    <row r="7988" spans="7:19" x14ac:dyDescent="0.25">
      <c r="G7988" s="81"/>
      <c r="S7988" s="81"/>
    </row>
    <row r="7989" spans="7:19" x14ac:dyDescent="0.25">
      <c r="G7989" s="81"/>
      <c r="S7989" s="81"/>
    </row>
    <row r="7990" spans="7:19" x14ac:dyDescent="0.25">
      <c r="G7990" s="81"/>
      <c r="S7990" s="81"/>
    </row>
    <row r="7991" spans="7:19" x14ac:dyDescent="0.25">
      <c r="G7991" s="81"/>
      <c r="S7991" s="81"/>
    </row>
    <row r="7992" spans="7:19" x14ac:dyDescent="0.25">
      <c r="G7992" s="81"/>
      <c r="S7992" s="81"/>
    </row>
    <row r="7993" spans="7:19" x14ac:dyDescent="0.25">
      <c r="G7993" s="81"/>
      <c r="S7993" s="81"/>
    </row>
    <row r="7994" spans="7:19" x14ac:dyDescent="0.25">
      <c r="G7994" s="81"/>
      <c r="S7994" s="81"/>
    </row>
    <row r="7995" spans="7:19" x14ac:dyDescent="0.25">
      <c r="G7995" s="81"/>
      <c r="S7995" s="81"/>
    </row>
    <row r="7996" spans="7:19" x14ac:dyDescent="0.25">
      <c r="G7996" s="81"/>
      <c r="S7996" s="81"/>
    </row>
    <row r="7997" spans="7:19" x14ac:dyDescent="0.25">
      <c r="G7997" s="81"/>
      <c r="S7997" s="81"/>
    </row>
    <row r="7998" spans="7:19" x14ac:dyDescent="0.25">
      <c r="G7998" s="81"/>
      <c r="S7998" s="81"/>
    </row>
    <row r="7999" spans="7:19" x14ac:dyDescent="0.25">
      <c r="G7999" s="81"/>
      <c r="S7999" s="81"/>
    </row>
    <row r="8000" spans="7:19" x14ac:dyDescent="0.25">
      <c r="G8000" s="81"/>
      <c r="S8000" s="81"/>
    </row>
    <row r="8001" spans="7:19" x14ac:dyDescent="0.25">
      <c r="G8001" s="81"/>
      <c r="S8001" s="81"/>
    </row>
    <row r="8002" spans="7:19" x14ac:dyDescent="0.25">
      <c r="G8002" s="81"/>
      <c r="S8002" s="81"/>
    </row>
    <row r="8003" spans="7:19" x14ac:dyDescent="0.25">
      <c r="G8003" s="81"/>
      <c r="S8003" s="81"/>
    </row>
    <row r="8004" spans="7:19" x14ac:dyDescent="0.25">
      <c r="G8004" s="81"/>
      <c r="S8004" s="81"/>
    </row>
    <row r="8005" spans="7:19" x14ac:dyDescent="0.25">
      <c r="G8005" s="81"/>
      <c r="S8005" s="81"/>
    </row>
    <row r="8006" spans="7:19" x14ac:dyDescent="0.25">
      <c r="G8006" s="81"/>
      <c r="S8006" s="81"/>
    </row>
    <row r="8007" spans="7:19" x14ac:dyDescent="0.25">
      <c r="G8007" s="81"/>
      <c r="S8007" s="81"/>
    </row>
    <row r="8008" spans="7:19" x14ac:dyDescent="0.25">
      <c r="G8008" s="81"/>
      <c r="S8008" s="81"/>
    </row>
    <row r="8009" spans="7:19" x14ac:dyDescent="0.25">
      <c r="G8009" s="81"/>
      <c r="S8009" s="81"/>
    </row>
    <row r="8010" spans="7:19" x14ac:dyDescent="0.25">
      <c r="G8010" s="81"/>
      <c r="S8010" s="81"/>
    </row>
    <row r="8011" spans="7:19" x14ac:dyDescent="0.25">
      <c r="G8011" s="81"/>
      <c r="S8011" s="81"/>
    </row>
    <row r="8012" spans="7:19" x14ac:dyDescent="0.25">
      <c r="G8012" s="81"/>
      <c r="S8012" s="81"/>
    </row>
    <row r="8013" spans="7:19" x14ac:dyDescent="0.25">
      <c r="G8013" s="81"/>
      <c r="S8013" s="81"/>
    </row>
    <row r="8014" spans="7:19" x14ac:dyDescent="0.25">
      <c r="G8014" s="81"/>
      <c r="S8014" s="81"/>
    </row>
    <row r="8015" spans="7:19" x14ac:dyDescent="0.25">
      <c r="G8015" s="81"/>
      <c r="S8015" s="81"/>
    </row>
    <row r="8016" spans="7:19" x14ac:dyDescent="0.25">
      <c r="G8016" s="81"/>
      <c r="S8016" s="81"/>
    </row>
    <row r="8017" spans="7:19" x14ac:dyDescent="0.25">
      <c r="G8017" s="81"/>
      <c r="S8017" s="81"/>
    </row>
    <row r="8018" spans="7:19" x14ac:dyDescent="0.25">
      <c r="G8018" s="81"/>
      <c r="S8018" s="81"/>
    </row>
    <row r="8019" spans="7:19" x14ac:dyDescent="0.25">
      <c r="G8019" s="81"/>
      <c r="S8019" s="81"/>
    </row>
    <row r="8020" spans="7:19" x14ac:dyDescent="0.25">
      <c r="G8020" s="81"/>
      <c r="S8020" s="81"/>
    </row>
    <row r="8021" spans="7:19" x14ac:dyDescent="0.25">
      <c r="G8021" s="81"/>
      <c r="S8021" s="81"/>
    </row>
    <row r="8022" spans="7:19" x14ac:dyDescent="0.25">
      <c r="G8022" s="81"/>
      <c r="S8022" s="81"/>
    </row>
    <row r="8023" spans="7:19" x14ac:dyDescent="0.25">
      <c r="G8023" s="81"/>
      <c r="S8023" s="81"/>
    </row>
    <row r="8024" spans="7:19" x14ac:dyDescent="0.25">
      <c r="G8024" s="81"/>
      <c r="S8024" s="81"/>
    </row>
    <row r="8025" spans="7:19" x14ac:dyDescent="0.25">
      <c r="G8025" s="81"/>
      <c r="S8025" s="81"/>
    </row>
    <row r="8026" spans="7:19" x14ac:dyDescent="0.25">
      <c r="G8026" s="81"/>
      <c r="S8026" s="81"/>
    </row>
    <row r="8027" spans="7:19" x14ac:dyDescent="0.25">
      <c r="G8027" s="81"/>
      <c r="S8027" s="81"/>
    </row>
    <row r="8028" spans="7:19" x14ac:dyDescent="0.25">
      <c r="G8028" s="81"/>
      <c r="S8028" s="81"/>
    </row>
    <row r="8029" spans="7:19" x14ac:dyDescent="0.25">
      <c r="G8029" s="81"/>
      <c r="S8029" s="81"/>
    </row>
    <row r="8030" spans="7:19" x14ac:dyDescent="0.25">
      <c r="G8030" s="81"/>
      <c r="S8030" s="81"/>
    </row>
    <row r="8031" spans="7:19" x14ac:dyDescent="0.25">
      <c r="G8031" s="81"/>
      <c r="S8031" s="81"/>
    </row>
    <row r="8032" spans="7:19" x14ac:dyDescent="0.25">
      <c r="G8032" s="81"/>
      <c r="S8032" s="81"/>
    </row>
    <row r="8033" spans="7:19" x14ac:dyDescent="0.25">
      <c r="G8033" s="81"/>
      <c r="S8033" s="81"/>
    </row>
    <row r="8034" spans="7:19" x14ac:dyDescent="0.25">
      <c r="G8034" s="81"/>
      <c r="S8034" s="81"/>
    </row>
    <row r="8035" spans="7:19" x14ac:dyDescent="0.25">
      <c r="G8035" s="81"/>
      <c r="S8035" s="81"/>
    </row>
    <row r="8036" spans="7:19" x14ac:dyDescent="0.25">
      <c r="G8036" s="81"/>
      <c r="S8036" s="81"/>
    </row>
    <row r="8037" spans="7:19" x14ac:dyDescent="0.25">
      <c r="G8037" s="81"/>
      <c r="S8037" s="81"/>
    </row>
    <row r="8038" spans="7:19" x14ac:dyDescent="0.25">
      <c r="G8038" s="81"/>
      <c r="S8038" s="81"/>
    </row>
    <row r="8039" spans="7:19" x14ac:dyDescent="0.25">
      <c r="G8039" s="81"/>
      <c r="S8039" s="81"/>
    </row>
    <row r="8040" spans="7:19" x14ac:dyDescent="0.25">
      <c r="G8040" s="81"/>
      <c r="S8040" s="81"/>
    </row>
    <row r="8041" spans="7:19" x14ac:dyDescent="0.25">
      <c r="G8041" s="81"/>
      <c r="S8041" s="81"/>
    </row>
    <row r="8042" spans="7:19" x14ac:dyDescent="0.25">
      <c r="G8042" s="81"/>
      <c r="S8042" s="81"/>
    </row>
    <row r="8043" spans="7:19" x14ac:dyDescent="0.25">
      <c r="G8043" s="81"/>
      <c r="S8043" s="81"/>
    </row>
    <row r="8044" spans="7:19" x14ac:dyDescent="0.25">
      <c r="G8044" s="81"/>
      <c r="S8044" s="81"/>
    </row>
    <row r="8045" spans="7:19" x14ac:dyDescent="0.25">
      <c r="G8045" s="81"/>
      <c r="S8045" s="81"/>
    </row>
    <row r="8046" spans="7:19" x14ac:dyDescent="0.25">
      <c r="G8046" s="81"/>
      <c r="S8046" s="81"/>
    </row>
    <row r="8047" spans="7:19" x14ac:dyDescent="0.25">
      <c r="G8047" s="81"/>
      <c r="S8047" s="81"/>
    </row>
    <row r="8048" spans="7:19" x14ac:dyDescent="0.25">
      <c r="G8048" s="81"/>
      <c r="S8048" s="81"/>
    </row>
    <row r="8049" spans="7:19" x14ac:dyDescent="0.25">
      <c r="G8049" s="81"/>
      <c r="S8049" s="81"/>
    </row>
    <row r="8050" spans="7:19" x14ac:dyDescent="0.25">
      <c r="G8050" s="81"/>
      <c r="S8050" s="81"/>
    </row>
    <row r="8051" spans="7:19" x14ac:dyDescent="0.25">
      <c r="G8051" s="81"/>
      <c r="S8051" s="81"/>
    </row>
    <row r="8052" spans="7:19" x14ac:dyDescent="0.25">
      <c r="G8052" s="81"/>
      <c r="S8052" s="81"/>
    </row>
    <row r="8053" spans="7:19" x14ac:dyDescent="0.25">
      <c r="G8053" s="81"/>
      <c r="S8053" s="81"/>
    </row>
    <row r="8054" spans="7:19" x14ac:dyDescent="0.25">
      <c r="G8054" s="81"/>
      <c r="S8054" s="81"/>
    </row>
    <row r="8055" spans="7:19" x14ac:dyDescent="0.25">
      <c r="G8055" s="81"/>
      <c r="S8055" s="81"/>
    </row>
    <row r="8056" spans="7:19" x14ac:dyDescent="0.25">
      <c r="G8056" s="81"/>
      <c r="S8056" s="81"/>
    </row>
    <row r="8057" spans="7:19" x14ac:dyDescent="0.25">
      <c r="G8057" s="81"/>
      <c r="S8057" s="81"/>
    </row>
    <row r="8058" spans="7:19" x14ac:dyDescent="0.25">
      <c r="G8058" s="81"/>
      <c r="S8058" s="81"/>
    </row>
    <row r="8059" spans="7:19" x14ac:dyDescent="0.25">
      <c r="G8059" s="81"/>
      <c r="S8059" s="81"/>
    </row>
    <row r="8060" spans="7:19" x14ac:dyDescent="0.25">
      <c r="G8060" s="81"/>
      <c r="S8060" s="81"/>
    </row>
    <row r="8061" spans="7:19" x14ac:dyDescent="0.25">
      <c r="G8061" s="81"/>
      <c r="S8061" s="81"/>
    </row>
    <row r="8062" spans="7:19" x14ac:dyDescent="0.25">
      <c r="G8062" s="81"/>
      <c r="S8062" s="81"/>
    </row>
    <row r="8063" spans="7:19" x14ac:dyDescent="0.25">
      <c r="G8063" s="81"/>
      <c r="S8063" s="81"/>
    </row>
    <row r="8064" spans="7:19" x14ac:dyDescent="0.25">
      <c r="G8064" s="81"/>
      <c r="S8064" s="81"/>
    </row>
    <row r="8065" spans="7:19" x14ac:dyDescent="0.25">
      <c r="G8065" s="81"/>
      <c r="S8065" s="81"/>
    </row>
    <row r="8066" spans="7:19" x14ac:dyDescent="0.25">
      <c r="G8066" s="81"/>
      <c r="S8066" s="81"/>
    </row>
    <row r="8067" spans="7:19" x14ac:dyDescent="0.25">
      <c r="G8067" s="81"/>
      <c r="S8067" s="81"/>
    </row>
    <row r="8068" spans="7:19" x14ac:dyDescent="0.25">
      <c r="G8068" s="81"/>
      <c r="S8068" s="81"/>
    </row>
    <row r="8069" spans="7:19" x14ac:dyDescent="0.25">
      <c r="G8069" s="81"/>
      <c r="S8069" s="81"/>
    </row>
    <row r="8070" spans="7:19" x14ac:dyDescent="0.25">
      <c r="G8070" s="81"/>
      <c r="S8070" s="81"/>
    </row>
    <row r="8071" spans="7:19" x14ac:dyDescent="0.25">
      <c r="G8071" s="81"/>
      <c r="S8071" s="81"/>
    </row>
    <row r="8072" spans="7:19" x14ac:dyDescent="0.25">
      <c r="G8072" s="81"/>
      <c r="S8072" s="81"/>
    </row>
    <row r="8073" spans="7:19" x14ac:dyDescent="0.25">
      <c r="G8073" s="81"/>
      <c r="S8073" s="81"/>
    </row>
    <row r="8074" spans="7:19" x14ac:dyDescent="0.25">
      <c r="G8074" s="81"/>
      <c r="S8074" s="81"/>
    </row>
    <row r="8075" spans="7:19" x14ac:dyDescent="0.25">
      <c r="G8075" s="81"/>
      <c r="S8075" s="81"/>
    </row>
    <row r="8076" spans="7:19" x14ac:dyDescent="0.25">
      <c r="G8076" s="81"/>
      <c r="S8076" s="81"/>
    </row>
    <row r="8077" spans="7:19" x14ac:dyDescent="0.25">
      <c r="G8077" s="81"/>
      <c r="S8077" s="81"/>
    </row>
    <row r="8078" spans="7:19" x14ac:dyDescent="0.25">
      <c r="G8078" s="81"/>
      <c r="S8078" s="81"/>
    </row>
    <row r="8079" spans="7:19" x14ac:dyDescent="0.25">
      <c r="G8079" s="81"/>
      <c r="S8079" s="81"/>
    </row>
    <row r="8080" spans="7:19" x14ac:dyDescent="0.25">
      <c r="G8080" s="81"/>
      <c r="S8080" s="81"/>
    </row>
    <row r="8081" spans="7:19" x14ac:dyDescent="0.25">
      <c r="G8081" s="81"/>
      <c r="S8081" s="81"/>
    </row>
    <row r="8082" spans="7:19" x14ac:dyDescent="0.25">
      <c r="G8082" s="81"/>
      <c r="S8082" s="81"/>
    </row>
    <row r="8083" spans="7:19" x14ac:dyDescent="0.25">
      <c r="G8083" s="81"/>
      <c r="S8083" s="81"/>
    </row>
    <row r="8084" spans="7:19" x14ac:dyDescent="0.25">
      <c r="G8084" s="81"/>
      <c r="S8084" s="81"/>
    </row>
    <row r="8085" spans="7:19" x14ac:dyDescent="0.25">
      <c r="G8085" s="81"/>
      <c r="S8085" s="81"/>
    </row>
    <row r="8086" spans="7:19" x14ac:dyDescent="0.25">
      <c r="G8086" s="81"/>
      <c r="S8086" s="81"/>
    </row>
    <row r="8087" spans="7:19" x14ac:dyDescent="0.25">
      <c r="G8087" s="81"/>
      <c r="S8087" s="81"/>
    </row>
    <row r="8088" spans="7:19" x14ac:dyDescent="0.25">
      <c r="G8088" s="81"/>
      <c r="S8088" s="81"/>
    </row>
    <row r="8089" spans="7:19" x14ac:dyDescent="0.25">
      <c r="G8089" s="81"/>
      <c r="S8089" s="81"/>
    </row>
    <row r="8090" spans="7:19" x14ac:dyDescent="0.25">
      <c r="G8090" s="81"/>
      <c r="S8090" s="81"/>
    </row>
    <row r="8091" spans="7:19" x14ac:dyDescent="0.25">
      <c r="G8091" s="81"/>
      <c r="S8091" s="81"/>
    </row>
    <row r="8092" spans="7:19" x14ac:dyDescent="0.25">
      <c r="G8092" s="81"/>
      <c r="S8092" s="81"/>
    </row>
    <row r="8093" spans="7:19" x14ac:dyDescent="0.25">
      <c r="G8093" s="81"/>
      <c r="S8093" s="81"/>
    </row>
    <row r="8094" spans="7:19" x14ac:dyDescent="0.25">
      <c r="G8094" s="81"/>
      <c r="S8094" s="81"/>
    </row>
    <row r="8095" spans="7:19" x14ac:dyDescent="0.25">
      <c r="G8095" s="81"/>
      <c r="S8095" s="81"/>
    </row>
    <row r="8096" spans="7:19" x14ac:dyDescent="0.25">
      <c r="G8096" s="81"/>
      <c r="S8096" s="81"/>
    </row>
    <row r="8097" spans="7:19" x14ac:dyDescent="0.25">
      <c r="G8097" s="81"/>
      <c r="S8097" s="81"/>
    </row>
    <row r="8098" spans="7:19" x14ac:dyDescent="0.25">
      <c r="G8098" s="81"/>
      <c r="S8098" s="81"/>
    </row>
    <row r="8099" spans="7:19" x14ac:dyDescent="0.25">
      <c r="G8099" s="81"/>
      <c r="S8099" s="81"/>
    </row>
    <row r="8100" spans="7:19" x14ac:dyDescent="0.25">
      <c r="G8100" s="81"/>
      <c r="S8100" s="81"/>
    </row>
    <row r="8101" spans="7:19" x14ac:dyDescent="0.25">
      <c r="G8101" s="81"/>
      <c r="S8101" s="81"/>
    </row>
    <row r="8102" spans="7:19" x14ac:dyDescent="0.25">
      <c r="G8102" s="81"/>
      <c r="S8102" s="81"/>
    </row>
    <row r="8103" spans="7:19" x14ac:dyDescent="0.25">
      <c r="G8103" s="81"/>
      <c r="S8103" s="81"/>
    </row>
    <row r="8104" spans="7:19" x14ac:dyDescent="0.25">
      <c r="G8104" s="81"/>
      <c r="S8104" s="81"/>
    </row>
    <row r="8105" spans="7:19" x14ac:dyDescent="0.25">
      <c r="G8105" s="81"/>
      <c r="S8105" s="81"/>
    </row>
    <row r="8106" spans="7:19" x14ac:dyDescent="0.25">
      <c r="G8106" s="81"/>
      <c r="S8106" s="81"/>
    </row>
    <row r="8107" spans="7:19" x14ac:dyDescent="0.25">
      <c r="G8107" s="81"/>
      <c r="S8107" s="81"/>
    </row>
    <row r="8108" spans="7:19" x14ac:dyDescent="0.25">
      <c r="S8108" s="81"/>
    </row>
    <row r="8109" spans="7:19" x14ac:dyDescent="0.25">
      <c r="S8109" s="81"/>
    </row>
    <row r="8110" spans="7:19" x14ac:dyDescent="0.25">
      <c r="S8110" s="81"/>
    </row>
    <row r="8111" spans="7:19" x14ac:dyDescent="0.25">
      <c r="S8111" s="81"/>
    </row>
    <row r="8112" spans="7:19" x14ac:dyDescent="0.25">
      <c r="S8112" s="81"/>
    </row>
    <row r="8113" spans="19:19" x14ac:dyDescent="0.25">
      <c r="S8113" s="81"/>
    </row>
    <row r="8114" spans="19:19" x14ac:dyDescent="0.25">
      <c r="S8114" s="81"/>
    </row>
    <row r="8115" spans="19:19" x14ac:dyDescent="0.25">
      <c r="S8115" s="81"/>
    </row>
  </sheetData>
  <sheetProtection algorithmName="SHA-512" hashValue="oonEuJ+6qjJ2KxCU1rrmG64bTe746HBA6GlcQZNMz0I2Yv3HjKt3P0+0RRcFlDLnXQGBMAfxa5jhWrm3CBfiBw==" saltValue="3tGfoTZ8mpTUfy05xHC39w==" spinCount="100000" sheet="1" objects="1" scenarios="1"/>
  <mergeCells count="3">
    <mergeCell ref="A1:G1"/>
    <mergeCell ref="K1:S1"/>
    <mergeCell ref="I1:I2"/>
  </mergeCells>
  <conditionalFormatting sqref="K5:K3000">
    <cfRule type="expression" dxfId="57" priority="14">
      <formula>U5=0</formula>
    </cfRule>
  </conditionalFormatting>
  <conditionalFormatting sqref="L5:L3000">
    <cfRule type="expression" dxfId="56" priority="13">
      <formula>U5=0</formula>
    </cfRule>
  </conditionalFormatting>
  <conditionalFormatting sqref="M5:M3000">
    <cfRule type="expression" dxfId="55" priority="12">
      <formula>U5=0</formula>
    </cfRule>
  </conditionalFormatting>
  <conditionalFormatting sqref="N5:N3000">
    <cfRule type="expression" dxfId="54" priority="11">
      <formula>U5=0</formula>
    </cfRule>
  </conditionalFormatting>
  <conditionalFormatting sqref="O5:O3000">
    <cfRule type="expression" dxfId="53" priority="10">
      <formula>U5=0</formula>
    </cfRule>
  </conditionalFormatting>
  <conditionalFormatting sqref="P5:P3000">
    <cfRule type="expression" dxfId="52" priority="8">
      <formula>U5=0</formula>
    </cfRule>
  </conditionalFormatting>
  <conditionalFormatting sqref="I907:I3000">
    <cfRule type="expression" dxfId="51" priority="7">
      <formula>I907=I906</formula>
    </cfRule>
  </conditionalFormatting>
  <conditionalFormatting sqref="I4:I906">
    <cfRule type="expression" dxfId="50" priority="3">
      <formula>I3=I4</formula>
    </cfRule>
  </conditionalFormatting>
  <conditionalFormatting sqref="Q5:Q3000">
    <cfRule type="expression" dxfId="49" priority="2">
      <formula>$U5=0</formula>
    </cfRule>
  </conditionalFormatting>
  <conditionalFormatting sqref="R5:R3000">
    <cfRule type="expression" dxfId="48" priority="1">
      <formula>$U5=0</formula>
    </cfRule>
  </conditionalFormatting>
  <pageMargins left="0.7" right="0.7" top="0.75" bottom="0.75" header="0.3" footer="0.3"/>
  <pageSetup orientation="portrait" r:id="rId1"/>
  <headerFooter>
    <oddFooter>&amp;C&amp;1#&amp;"Calibri"&amp;10&amp;K000000Schlumberger-Private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09FF55-3BD7-4BA5-9936-DE7268C701A0}">
  <sheetPr codeName="Sheet4">
    <tabColor theme="6" tint="0.59999389629810485"/>
  </sheetPr>
  <dimension ref="A1:M500"/>
  <sheetViews>
    <sheetView zoomScaleNormal="100" workbookViewId="0">
      <selection activeCell="D4" sqref="D4"/>
    </sheetView>
  </sheetViews>
  <sheetFormatPr defaultRowHeight="15" x14ac:dyDescent="0.25"/>
  <cols>
    <col min="1" max="1" width="13.5703125" style="99" customWidth="1"/>
    <col min="2" max="2" width="10" style="83" bestFit="1" customWidth="1"/>
    <col min="3" max="3" width="9.7109375" style="87" bestFit="1" customWidth="1"/>
    <col min="4" max="4" width="9.7109375" style="87" customWidth="1"/>
    <col min="5" max="5" width="10.42578125" style="87" bestFit="1" customWidth="1"/>
    <col min="6" max="6" width="11.7109375" style="88" customWidth="1"/>
    <col min="7" max="7" width="13" style="88" customWidth="1"/>
    <col min="8" max="8" width="10.140625" style="87" customWidth="1"/>
    <col min="9" max="10" width="8" style="88" customWidth="1"/>
    <col min="11" max="11" width="9.140625" style="87"/>
    <col min="12" max="12" width="32.85546875" hidden="1" customWidth="1"/>
    <col min="13" max="13" width="9.140625" hidden="1" customWidth="1"/>
    <col min="16" max="16" width="33.85546875" customWidth="1"/>
  </cols>
  <sheetData>
    <row r="1" spans="1:13" ht="30" x14ac:dyDescent="0.25">
      <c r="A1" s="98" t="s">
        <v>42</v>
      </c>
      <c r="B1" s="86" t="s">
        <v>40</v>
      </c>
      <c r="C1" s="85" t="s">
        <v>41</v>
      </c>
      <c r="D1" s="85" t="s">
        <v>53</v>
      </c>
      <c r="E1" s="85" t="s">
        <v>43</v>
      </c>
      <c r="F1" s="85" t="s">
        <v>51</v>
      </c>
      <c r="G1" s="85" t="s">
        <v>52</v>
      </c>
      <c r="H1" s="85" t="s">
        <v>44</v>
      </c>
      <c r="I1" s="85" t="s">
        <v>10</v>
      </c>
      <c r="J1" s="85" t="s">
        <v>8</v>
      </c>
      <c r="K1" s="85" t="s">
        <v>45</v>
      </c>
      <c r="L1" s="96" t="s">
        <v>48</v>
      </c>
      <c r="M1" s="97" t="s">
        <v>115</v>
      </c>
    </row>
    <row r="2" spans="1:13" x14ac:dyDescent="0.25">
      <c r="A2" s="11"/>
      <c r="B2" s="94"/>
      <c r="C2" s="1"/>
      <c r="D2" s="1"/>
      <c r="E2" s="1"/>
      <c r="F2" s="95"/>
      <c r="G2" s="95"/>
      <c r="H2" s="1"/>
      <c r="I2" s="95"/>
      <c r="J2" s="95"/>
      <c r="K2" s="1"/>
      <c r="L2" t="str">
        <f>IF(K2="Pass",CONCATENATE(A2," - ",IF(E2="ABS",CONCATENATE("ABS : TF ",F2," deg / ",G2," %"),IF(E2="IH",CONCATENATE("IH: INC ",F2," deg / ",G2," %"),IF(E2="HIA",CONCATENATE("HIA: INC ",F2," deg / AZI ",G2," deg"),"")))),"")</f>
        <v/>
      </c>
      <c r="M2" t="s">
        <v>76</v>
      </c>
    </row>
    <row r="3" spans="1:13" x14ac:dyDescent="0.25">
      <c r="A3" s="11"/>
      <c r="B3" s="94"/>
      <c r="C3" s="1"/>
      <c r="D3" s="1"/>
      <c r="E3" s="1"/>
      <c r="F3" s="95"/>
      <c r="G3" s="95"/>
      <c r="H3" s="1"/>
      <c r="I3" s="95"/>
      <c r="J3" s="95"/>
      <c r="K3" s="1"/>
      <c r="L3" t="str">
        <f t="shared" ref="L3:L66" si="0">IF(K3="Pass",CONCATENATE(A3," - ",IF(E3="ABS",CONCATENATE("ABS : TF ",F3," deg / ",G3," %"),IF(E3="IH",CONCATENATE("IH: INC ",F3," deg / ",G3," %"),IF(E3="HIA",CONCATENATE("HIA: INC ",F3," deg / AZI ",G3," deg"),"")))),"")</f>
        <v/>
      </c>
      <c r="M3" t="s">
        <v>46</v>
      </c>
    </row>
    <row r="4" spans="1:13" x14ac:dyDescent="0.25">
      <c r="A4" s="11"/>
      <c r="B4" s="94"/>
      <c r="C4" s="1"/>
      <c r="D4" s="1"/>
      <c r="E4" s="1"/>
      <c r="F4" s="95"/>
      <c r="G4" s="95"/>
      <c r="H4" s="1"/>
      <c r="I4" s="95"/>
      <c r="J4" s="95"/>
      <c r="K4" s="1"/>
      <c r="L4" t="str">
        <f t="shared" si="0"/>
        <v/>
      </c>
      <c r="M4" t="s">
        <v>54</v>
      </c>
    </row>
    <row r="5" spans="1:13" x14ac:dyDescent="0.25">
      <c r="A5" s="11"/>
      <c r="B5" s="94"/>
      <c r="C5" s="1"/>
      <c r="D5" s="1"/>
      <c r="E5" s="1"/>
      <c r="F5" s="95"/>
      <c r="G5" s="95"/>
      <c r="H5" s="1"/>
      <c r="I5" s="95"/>
      <c r="J5" s="95"/>
      <c r="K5" s="1"/>
      <c r="L5" t="str">
        <f t="shared" si="0"/>
        <v/>
      </c>
      <c r="M5" t="s">
        <v>55</v>
      </c>
    </row>
    <row r="6" spans="1:13" x14ac:dyDescent="0.25">
      <c r="A6" s="11"/>
      <c r="B6" s="94"/>
      <c r="C6" s="1"/>
      <c r="D6" s="1"/>
      <c r="E6" s="1"/>
      <c r="F6" s="95"/>
      <c r="G6" s="95"/>
      <c r="H6" s="1"/>
      <c r="I6" s="95"/>
      <c r="J6" s="95"/>
      <c r="K6" s="1"/>
      <c r="L6" t="str">
        <f t="shared" si="0"/>
        <v/>
      </c>
      <c r="M6" t="s">
        <v>56</v>
      </c>
    </row>
    <row r="7" spans="1:13" x14ac:dyDescent="0.25">
      <c r="A7" s="11"/>
      <c r="B7" s="94"/>
      <c r="C7" s="1"/>
      <c r="D7" s="1"/>
      <c r="E7" s="1"/>
      <c r="F7" s="95"/>
      <c r="G7" s="95"/>
      <c r="H7" s="1"/>
      <c r="I7" s="95"/>
      <c r="J7" s="95"/>
      <c r="K7" s="1"/>
      <c r="L7" t="str">
        <f t="shared" si="0"/>
        <v/>
      </c>
      <c r="M7" t="s">
        <v>57</v>
      </c>
    </row>
    <row r="8" spans="1:13" x14ac:dyDescent="0.25">
      <c r="A8" s="11"/>
      <c r="B8" s="94"/>
      <c r="C8" s="1"/>
      <c r="D8" s="1"/>
      <c r="E8" s="1"/>
      <c r="F8" s="95"/>
      <c r="G8" s="95"/>
      <c r="H8" s="1"/>
      <c r="I8" s="95"/>
      <c r="J8" s="95"/>
      <c r="K8" s="1"/>
      <c r="L8" t="str">
        <f t="shared" si="0"/>
        <v/>
      </c>
      <c r="M8" t="s">
        <v>58</v>
      </c>
    </row>
    <row r="9" spans="1:13" x14ac:dyDescent="0.25">
      <c r="A9" s="11"/>
      <c r="B9" s="94"/>
      <c r="C9" s="1"/>
      <c r="D9" s="1"/>
      <c r="E9" s="1"/>
      <c r="F9" s="95"/>
      <c r="G9" s="95"/>
      <c r="H9" s="1"/>
      <c r="I9" s="95"/>
      <c r="J9" s="95"/>
      <c r="K9" s="1"/>
      <c r="L9" t="str">
        <f t="shared" si="0"/>
        <v/>
      </c>
      <c r="M9" t="s">
        <v>59</v>
      </c>
    </row>
    <row r="10" spans="1:13" x14ac:dyDescent="0.25">
      <c r="A10" s="11"/>
      <c r="B10" s="94"/>
      <c r="C10" s="1"/>
      <c r="D10" s="1"/>
      <c r="E10" s="1"/>
      <c r="F10" s="95"/>
      <c r="G10" s="95"/>
      <c r="H10" s="1"/>
      <c r="I10" s="95"/>
      <c r="J10" s="95"/>
      <c r="K10" s="1"/>
      <c r="L10" t="str">
        <f t="shared" si="0"/>
        <v/>
      </c>
      <c r="M10" t="s">
        <v>60</v>
      </c>
    </row>
    <row r="11" spans="1:13" x14ac:dyDescent="0.25">
      <c r="A11" s="11"/>
      <c r="B11" s="94"/>
      <c r="C11" s="1"/>
      <c r="D11" s="1"/>
      <c r="E11" s="1"/>
      <c r="F11" s="95"/>
      <c r="G11" s="95"/>
      <c r="H11" s="1"/>
      <c r="I11" s="95"/>
      <c r="J11" s="95"/>
      <c r="K11" s="1"/>
      <c r="L11" t="str">
        <f t="shared" si="0"/>
        <v/>
      </c>
      <c r="M11" t="s">
        <v>61</v>
      </c>
    </row>
    <row r="12" spans="1:13" x14ac:dyDescent="0.25">
      <c r="A12" s="11"/>
      <c r="B12" s="94"/>
      <c r="C12" s="1"/>
      <c r="D12" s="1"/>
      <c r="E12" s="1"/>
      <c r="F12" s="95"/>
      <c r="G12" s="95"/>
      <c r="H12" s="1"/>
      <c r="I12" s="95"/>
      <c r="J12" s="95"/>
      <c r="K12" s="1"/>
      <c r="L12" t="str">
        <f t="shared" si="0"/>
        <v/>
      </c>
      <c r="M12" t="s">
        <v>62</v>
      </c>
    </row>
    <row r="13" spans="1:13" x14ac:dyDescent="0.25">
      <c r="A13" s="11"/>
      <c r="B13" s="94"/>
      <c r="C13" s="1"/>
      <c r="D13" s="1"/>
      <c r="E13" s="1"/>
      <c r="F13" s="95"/>
      <c r="G13" s="95"/>
      <c r="H13" s="1"/>
      <c r="I13" s="95"/>
      <c r="J13" s="95"/>
      <c r="K13" s="1"/>
      <c r="L13" t="str">
        <f t="shared" si="0"/>
        <v/>
      </c>
      <c r="M13" t="s">
        <v>63</v>
      </c>
    </row>
    <row r="14" spans="1:13" x14ac:dyDescent="0.25">
      <c r="A14" s="11"/>
      <c r="B14" s="94"/>
      <c r="C14" s="1"/>
      <c r="D14" s="1"/>
      <c r="E14" s="1"/>
      <c r="F14" s="95"/>
      <c r="G14" s="95"/>
      <c r="H14" s="1"/>
      <c r="I14" s="95"/>
      <c r="J14" s="95"/>
      <c r="K14" s="1"/>
      <c r="L14" t="str">
        <f t="shared" si="0"/>
        <v/>
      </c>
      <c r="M14" t="s">
        <v>64</v>
      </c>
    </row>
    <row r="15" spans="1:13" x14ac:dyDescent="0.25">
      <c r="A15" s="11"/>
      <c r="B15" s="94"/>
      <c r="C15" s="1"/>
      <c r="D15" s="1"/>
      <c r="E15" s="1"/>
      <c r="F15" s="95"/>
      <c r="G15" s="95"/>
      <c r="H15" s="1"/>
      <c r="I15" s="95"/>
      <c r="J15" s="95"/>
      <c r="K15" s="1"/>
      <c r="L15" t="str">
        <f t="shared" si="0"/>
        <v/>
      </c>
      <c r="M15" t="s">
        <v>65</v>
      </c>
    </row>
    <row r="16" spans="1:13" x14ac:dyDescent="0.25">
      <c r="A16" s="11"/>
      <c r="B16" s="94"/>
      <c r="C16" s="1"/>
      <c r="D16" s="1"/>
      <c r="E16" s="1"/>
      <c r="F16" s="95"/>
      <c r="G16" s="95"/>
      <c r="H16" s="1"/>
      <c r="I16" s="95"/>
      <c r="J16" s="95"/>
      <c r="K16" s="1"/>
      <c r="L16" t="str">
        <f t="shared" si="0"/>
        <v/>
      </c>
      <c r="M16" t="s">
        <v>66</v>
      </c>
    </row>
    <row r="17" spans="1:13" x14ac:dyDescent="0.25">
      <c r="A17" s="11"/>
      <c r="B17" s="94"/>
      <c r="C17" s="1"/>
      <c r="D17" s="1"/>
      <c r="E17" s="1"/>
      <c r="F17" s="95"/>
      <c r="G17" s="95"/>
      <c r="H17" s="1"/>
      <c r="I17" s="95"/>
      <c r="J17" s="95"/>
      <c r="K17" s="1"/>
      <c r="L17" t="str">
        <f t="shared" si="0"/>
        <v/>
      </c>
      <c r="M17" t="s">
        <v>67</v>
      </c>
    </row>
    <row r="18" spans="1:13" x14ac:dyDescent="0.25">
      <c r="A18" s="11"/>
      <c r="B18" s="94"/>
      <c r="C18" s="1"/>
      <c r="D18" s="1"/>
      <c r="E18" s="1"/>
      <c r="F18" s="95"/>
      <c r="G18" s="95"/>
      <c r="H18" s="1"/>
      <c r="I18" s="95"/>
      <c r="J18" s="95"/>
      <c r="K18" s="1"/>
      <c r="L18" t="str">
        <f t="shared" si="0"/>
        <v/>
      </c>
      <c r="M18" t="s">
        <v>68</v>
      </c>
    </row>
    <row r="19" spans="1:13" x14ac:dyDescent="0.25">
      <c r="A19" s="11"/>
      <c r="B19" s="94"/>
      <c r="C19" s="1"/>
      <c r="D19" s="1"/>
      <c r="E19" s="1"/>
      <c r="F19" s="95"/>
      <c r="G19" s="95"/>
      <c r="H19" s="1"/>
      <c r="I19" s="95"/>
      <c r="J19" s="95"/>
      <c r="K19" s="1"/>
      <c r="L19" t="str">
        <f t="shared" si="0"/>
        <v/>
      </c>
      <c r="M19" t="s">
        <v>69</v>
      </c>
    </row>
    <row r="20" spans="1:13" x14ac:dyDescent="0.25">
      <c r="A20" s="11"/>
      <c r="B20" s="94"/>
      <c r="C20" s="1"/>
      <c r="D20" s="1"/>
      <c r="E20" s="1"/>
      <c r="F20" s="95"/>
      <c r="G20" s="95"/>
      <c r="H20" s="1"/>
      <c r="I20" s="95"/>
      <c r="J20" s="95"/>
      <c r="K20" s="1"/>
      <c r="L20" t="str">
        <f t="shared" si="0"/>
        <v/>
      </c>
      <c r="M20" t="s">
        <v>70</v>
      </c>
    </row>
    <row r="21" spans="1:13" x14ac:dyDescent="0.25">
      <c r="A21" s="11"/>
      <c r="B21" s="94"/>
      <c r="C21" s="1"/>
      <c r="D21" s="1"/>
      <c r="E21" s="1"/>
      <c r="F21" s="95"/>
      <c r="G21" s="95"/>
      <c r="H21" s="1"/>
      <c r="I21" s="95"/>
      <c r="J21" s="95"/>
      <c r="K21" s="1"/>
      <c r="L21" t="str">
        <f t="shared" si="0"/>
        <v/>
      </c>
      <c r="M21" t="s">
        <v>71</v>
      </c>
    </row>
    <row r="22" spans="1:13" x14ac:dyDescent="0.25">
      <c r="A22" s="11"/>
      <c r="B22" s="94"/>
      <c r="C22" s="1"/>
      <c r="D22" s="1"/>
      <c r="E22" s="1"/>
      <c r="F22" s="95"/>
      <c r="G22" s="95"/>
      <c r="H22" s="1"/>
      <c r="I22" s="95"/>
      <c r="J22" s="95"/>
      <c r="K22" s="1"/>
      <c r="L22" t="str">
        <f t="shared" si="0"/>
        <v/>
      </c>
      <c r="M22" t="s">
        <v>72</v>
      </c>
    </row>
    <row r="23" spans="1:13" x14ac:dyDescent="0.25">
      <c r="A23" s="11"/>
      <c r="B23" s="94"/>
      <c r="C23" s="1"/>
      <c r="D23" s="1"/>
      <c r="E23" s="1"/>
      <c r="F23" s="95"/>
      <c r="G23" s="95"/>
      <c r="H23" s="1"/>
      <c r="I23" s="95"/>
      <c r="J23" s="95"/>
      <c r="K23" s="1"/>
      <c r="L23" t="str">
        <f t="shared" si="0"/>
        <v/>
      </c>
      <c r="M23" t="s">
        <v>73</v>
      </c>
    </row>
    <row r="24" spans="1:13" x14ac:dyDescent="0.25">
      <c r="A24" s="11"/>
      <c r="B24" s="94"/>
      <c r="C24" s="1"/>
      <c r="D24" s="1"/>
      <c r="E24" s="1"/>
      <c r="F24" s="95"/>
      <c r="G24" s="95"/>
      <c r="H24" s="1"/>
      <c r="I24" s="95"/>
      <c r="J24" s="95"/>
      <c r="K24" s="1"/>
      <c r="L24" t="str">
        <f t="shared" si="0"/>
        <v/>
      </c>
      <c r="M24" t="s">
        <v>74</v>
      </c>
    </row>
    <row r="25" spans="1:13" x14ac:dyDescent="0.25">
      <c r="A25" s="11"/>
      <c r="B25" s="94"/>
      <c r="C25" s="1"/>
      <c r="D25" s="1"/>
      <c r="E25" s="1"/>
      <c r="F25" s="95"/>
      <c r="G25" s="95"/>
      <c r="H25" s="1"/>
      <c r="I25" s="95"/>
      <c r="J25" s="95"/>
      <c r="K25" s="1"/>
      <c r="L25" t="str">
        <f t="shared" si="0"/>
        <v/>
      </c>
      <c r="M25" t="s">
        <v>75</v>
      </c>
    </row>
    <row r="26" spans="1:13" x14ac:dyDescent="0.25">
      <c r="A26" s="11"/>
      <c r="B26" s="94"/>
      <c r="C26" s="1"/>
      <c r="D26" s="1"/>
      <c r="E26" s="1"/>
      <c r="F26" s="95"/>
      <c r="G26" s="95"/>
      <c r="H26" s="1"/>
      <c r="I26" s="95"/>
      <c r="J26" s="95"/>
      <c r="K26" s="1"/>
      <c r="L26" t="str">
        <f t="shared" si="0"/>
        <v/>
      </c>
      <c r="M26" t="s">
        <v>77</v>
      </c>
    </row>
    <row r="27" spans="1:13" x14ac:dyDescent="0.25">
      <c r="A27" s="11"/>
      <c r="B27" s="94"/>
      <c r="C27" s="1"/>
      <c r="D27" s="1"/>
      <c r="E27" s="1"/>
      <c r="F27" s="95"/>
      <c r="G27" s="95"/>
      <c r="H27" s="1"/>
      <c r="I27" s="95"/>
      <c r="J27" s="95"/>
      <c r="K27" s="1"/>
      <c r="L27" t="str">
        <f t="shared" si="0"/>
        <v/>
      </c>
      <c r="M27" t="s">
        <v>78</v>
      </c>
    </row>
    <row r="28" spans="1:13" x14ac:dyDescent="0.25">
      <c r="A28" s="11"/>
      <c r="B28" s="94"/>
      <c r="C28" s="1"/>
      <c r="D28" s="1"/>
      <c r="E28" s="1"/>
      <c r="F28" s="95"/>
      <c r="G28" s="95"/>
      <c r="H28" s="1"/>
      <c r="I28" s="95"/>
      <c r="J28" s="95"/>
      <c r="K28" s="1"/>
      <c r="L28" t="str">
        <f t="shared" si="0"/>
        <v/>
      </c>
      <c r="M28" t="s">
        <v>79</v>
      </c>
    </row>
    <row r="29" spans="1:13" x14ac:dyDescent="0.25">
      <c r="A29" s="11"/>
      <c r="B29" s="94"/>
      <c r="C29" s="1"/>
      <c r="D29" s="1"/>
      <c r="E29" s="1"/>
      <c r="F29" s="95"/>
      <c r="G29" s="95"/>
      <c r="H29" s="1"/>
      <c r="I29" s="95"/>
      <c r="J29" s="95"/>
      <c r="K29" s="1"/>
      <c r="L29" t="str">
        <f t="shared" si="0"/>
        <v/>
      </c>
      <c r="M29" t="s">
        <v>80</v>
      </c>
    </row>
    <row r="30" spans="1:13" x14ac:dyDescent="0.25">
      <c r="A30" s="11"/>
      <c r="B30" s="94"/>
      <c r="C30" s="1"/>
      <c r="D30" s="1"/>
      <c r="E30" s="1"/>
      <c r="F30" s="95"/>
      <c r="G30" s="95"/>
      <c r="H30" s="1"/>
      <c r="I30" s="95"/>
      <c r="J30" s="95"/>
      <c r="K30" s="1"/>
      <c r="L30" t="str">
        <f t="shared" si="0"/>
        <v/>
      </c>
      <c r="M30" t="s">
        <v>81</v>
      </c>
    </row>
    <row r="31" spans="1:13" x14ac:dyDescent="0.25">
      <c r="A31" s="11"/>
      <c r="B31" s="94"/>
      <c r="C31" s="1"/>
      <c r="D31" s="1"/>
      <c r="E31" s="1"/>
      <c r="F31" s="95"/>
      <c r="G31" s="95"/>
      <c r="H31" s="1"/>
      <c r="I31" s="95"/>
      <c r="J31" s="95"/>
      <c r="K31" s="1"/>
      <c r="L31" t="str">
        <f t="shared" si="0"/>
        <v/>
      </c>
      <c r="M31" t="s">
        <v>82</v>
      </c>
    </row>
    <row r="32" spans="1:13" x14ac:dyDescent="0.25">
      <c r="A32" s="11"/>
      <c r="B32" s="94"/>
      <c r="C32" s="1"/>
      <c r="D32" s="1"/>
      <c r="E32" s="1"/>
      <c r="F32" s="95"/>
      <c r="G32" s="95"/>
      <c r="H32" s="1"/>
      <c r="I32" s="95"/>
      <c r="J32" s="95"/>
      <c r="K32" s="1"/>
      <c r="L32" t="str">
        <f t="shared" si="0"/>
        <v/>
      </c>
      <c r="M32" t="s">
        <v>83</v>
      </c>
    </row>
    <row r="33" spans="1:13" x14ac:dyDescent="0.25">
      <c r="A33" s="11"/>
      <c r="B33" s="94"/>
      <c r="C33" s="1"/>
      <c r="D33" s="1"/>
      <c r="E33" s="1"/>
      <c r="F33" s="95"/>
      <c r="G33" s="95"/>
      <c r="H33" s="1"/>
      <c r="I33" s="95"/>
      <c r="J33" s="95"/>
      <c r="K33" s="1"/>
      <c r="L33" t="str">
        <f t="shared" si="0"/>
        <v/>
      </c>
      <c r="M33" t="s">
        <v>84</v>
      </c>
    </row>
    <row r="34" spans="1:13" x14ac:dyDescent="0.25">
      <c r="A34" s="11"/>
      <c r="B34" s="94"/>
      <c r="C34" s="1"/>
      <c r="D34" s="1"/>
      <c r="E34" s="1"/>
      <c r="F34" s="95"/>
      <c r="G34" s="95"/>
      <c r="H34" s="1"/>
      <c r="I34" s="95"/>
      <c r="J34" s="95"/>
      <c r="K34" s="1"/>
      <c r="L34" t="str">
        <f t="shared" si="0"/>
        <v/>
      </c>
      <c r="M34" t="s">
        <v>85</v>
      </c>
    </row>
    <row r="35" spans="1:13" x14ac:dyDescent="0.25">
      <c r="A35" s="11"/>
      <c r="B35" s="94"/>
      <c r="C35" s="1"/>
      <c r="D35" s="1"/>
      <c r="E35" s="1"/>
      <c r="F35" s="95"/>
      <c r="G35" s="95"/>
      <c r="H35" s="1"/>
      <c r="I35" s="95"/>
      <c r="J35" s="95"/>
      <c r="K35" s="1"/>
      <c r="L35" t="str">
        <f t="shared" si="0"/>
        <v/>
      </c>
      <c r="M35" t="s">
        <v>47</v>
      </c>
    </row>
    <row r="36" spans="1:13" x14ac:dyDescent="0.25">
      <c r="A36" s="11"/>
      <c r="B36" s="94"/>
      <c r="C36" s="1"/>
      <c r="D36" s="1"/>
      <c r="E36" s="1"/>
      <c r="F36" s="95"/>
      <c r="G36" s="95"/>
      <c r="H36" s="1"/>
      <c r="I36" s="95"/>
      <c r="J36" s="95"/>
      <c r="K36" s="1"/>
      <c r="L36" t="str">
        <f t="shared" si="0"/>
        <v/>
      </c>
      <c r="M36" t="s">
        <v>86</v>
      </c>
    </row>
    <row r="37" spans="1:13" x14ac:dyDescent="0.25">
      <c r="A37" s="11"/>
      <c r="B37" s="94"/>
      <c r="C37" s="1"/>
      <c r="D37" s="1"/>
      <c r="E37" s="1"/>
      <c r="F37" s="95"/>
      <c r="G37" s="95"/>
      <c r="H37" s="1"/>
      <c r="I37" s="95"/>
      <c r="J37" s="95"/>
      <c r="K37" s="1"/>
      <c r="L37" t="str">
        <f t="shared" si="0"/>
        <v/>
      </c>
      <c r="M37" t="s">
        <v>87</v>
      </c>
    </row>
    <row r="38" spans="1:13" x14ac:dyDescent="0.25">
      <c r="A38" s="11"/>
      <c r="B38" s="94"/>
      <c r="C38" s="1"/>
      <c r="D38" s="1"/>
      <c r="E38" s="1"/>
      <c r="F38" s="95"/>
      <c r="G38" s="95"/>
      <c r="H38" s="1"/>
      <c r="I38" s="95"/>
      <c r="J38" s="95"/>
      <c r="K38" s="1"/>
      <c r="L38" t="str">
        <f t="shared" si="0"/>
        <v/>
      </c>
      <c r="M38" t="s">
        <v>88</v>
      </c>
    </row>
    <row r="39" spans="1:13" x14ac:dyDescent="0.25">
      <c r="A39" s="11"/>
      <c r="B39" s="94"/>
      <c r="C39" s="1"/>
      <c r="D39" s="1"/>
      <c r="E39" s="1"/>
      <c r="F39" s="95"/>
      <c r="G39" s="95"/>
      <c r="H39" s="1"/>
      <c r="I39" s="95"/>
      <c r="J39" s="95"/>
      <c r="K39" s="1"/>
      <c r="L39" t="str">
        <f t="shared" si="0"/>
        <v/>
      </c>
      <c r="M39" t="s">
        <v>89</v>
      </c>
    </row>
    <row r="40" spans="1:13" x14ac:dyDescent="0.25">
      <c r="A40" s="11"/>
      <c r="B40" s="94"/>
      <c r="C40" s="1"/>
      <c r="D40" s="1"/>
      <c r="E40" s="1"/>
      <c r="F40" s="95"/>
      <c r="G40" s="95"/>
      <c r="H40" s="1"/>
      <c r="I40" s="95"/>
      <c r="J40" s="95"/>
      <c r="K40" s="1"/>
      <c r="L40" t="str">
        <f t="shared" si="0"/>
        <v/>
      </c>
      <c r="M40" t="s">
        <v>90</v>
      </c>
    </row>
    <row r="41" spans="1:13" x14ac:dyDescent="0.25">
      <c r="A41" s="11"/>
      <c r="B41" s="94"/>
      <c r="C41" s="1"/>
      <c r="D41" s="1"/>
      <c r="E41" s="1"/>
      <c r="F41" s="95"/>
      <c r="G41" s="95"/>
      <c r="H41" s="1"/>
      <c r="I41" s="95"/>
      <c r="J41" s="95"/>
      <c r="K41" s="1"/>
      <c r="L41" t="str">
        <f t="shared" si="0"/>
        <v/>
      </c>
      <c r="M41" t="s">
        <v>91</v>
      </c>
    </row>
    <row r="42" spans="1:13" x14ac:dyDescent="0.25">
      <c r="A42" s="11"/>
      <c r="B42" s="94"/>
      <c r="C42" s="1"/>
      <c r="D42" s="1"/>
      <c r="E42" s="1"/>
      <c r="F42" s="95"/>
      <c r="G42" s="95"/>
      <c r="H42" s="1"/>
      <c r="I42" s="95"/>
      <c r="J42" s="95"/>
      <c r="K42" s="1"/>
      <c r="L42" t="str">
        <f t="shared" si="0"/>
        <v/>
      </c>
      <c r="M42" t="s">
        <v>92</v>
      </c>
    </row>
    <row r="43" spans="1:13" x14ac:dyDescent="0.25">
      <c r="A43" s="11"/>
      <c r="B43" s="94"/>
      <c r="C43" s="1"/>
      <c r="D43" s="1"/>
      <c r="E43" s="1"/>
      <c r="F43" s="95"/>
      <c r="G43" s="95"/>
      <c r="H43" s="1"/>
      <c r="I43" s="95"/>
      <c r="J43" s="95"/>
      <c r="K43" s="1"/>
      <c r="L43" t="str">
        <f t="shared" si="0"/>
        <v/>
      </c>
      <c r="M43" t="s">
        <v>93</v>
      </c>
    </row>
    <row r="44" spans="1:13" x14ac:dyDescent="0.25">
      <c r="A44" s="11"/>
      <c r="B44" s="94"/>
      <c r="C44" s="1"/>
      <c r="D44" s="1"/>
      <c r="E44" s="1"/>
      <c r="F44" s="95"/>
      <c r="G44" s="95"/>
      <c r="H44" s="1"/>
      <c r="I44" s="95"/>
      <c r="J44" s="95"/>
      <c r="K44" s="1"/>
      <c r="L44" t="str">
        <f t="shared" si="0"/>
        <v/>
      </c>
      <c r="M44" t="s">
        <v>94</v>
      </c>
    </row>
    <row r="45" spans="1:13" x14ac:dyDescent="0.25">
      <c r="A45" s="11"/>
      <c r="B45" s="94"/>
      <c r="C45" s="1"/>
      <c r="D45" s="1"/>
      <c r="E45" s="1"/>
      <c r="F45" s="95"/>
      <c r="G45" s="95"/>
      <c r="H45" s="1"/>
      <c r="I45" s="95"/>
      <c r="J45" s="95"/>
      <c r="K45" s="1"/>
      <c r="L45" t="str">
        <f t="shared" si="0"/>
        <v/>
      </c>
      <c r="M45" t="s">
        <v>95</v>
      </c>
    </row>
    <row r="46" spans="1:13" x14ac:dyDescent="0.25">
      <c r="A46" s="11"/>
      <c r="B46" s="94"/>
      <c r="C46" s="1"/>
      <c r="D46" s="1"/>
      <c r="E46" s="1"/>
      <c r="F46" s="95"/>
      <c r="G46" s="95"/>
      <c r="H46" s="1"/>
      <c r="I46" s="95"/>
      <c r="J46" s="95"/>
      <c r="K46" s="1"/>
      <c r="L46" t="str">
        <f t="shared" si="0"/>
        <v/>
      </c>
      <c r="M46" t="s">
        <v>96</v>
      </c>
    </row>
    <row r="47" spans="1:13" x14ac:dyDescent="0.25">
      <c r="A47" s="11"/>
      <c r="B47" s="94"/>
      <c r="C47" s="1"/>
      <c r="D47" s="1"/>
      <c r="E47" s="1"/>
      <c r="F47" s="95"/>
      <c r="G47" s="95"/>
      <c r="H47" s="1"/>
      <c r="I47" s="95"/>
      <c r="J47" s="95"/>
      <c r="K47" s="1"/>
      <c r="L47" t="str">
        <f t="shared" si="0"/>
        <v/>
      </c>
      <c r="M47" t="s">
        <v>97</v>
      </c>
    </row>
    <row r="48" spans="1:13" x14ac:dyDescent="0.25">
      <c r="A48" s="11"/>
      <c r="B48" s="94"/>
      <c r="C48" s="1"/>
      <c r="D48" s="1"/>
      <c r="E48" s="1"/>
      <c r="F48" s="95"/>
      <c r="G48" s="95"/>
      <c r="H48" s="1"/>
      <c r="I48" s="95"/>
      <c r="J48" s="95"/>
      <c r="K48" s="1"/>
      <c r="L48" t="str">
        <f t="shared" si="0"/>
        <v/>
      </c>
      <c r="M48" t="s">
        <v>98</v>
      </c>
    </row>
    <row r="49" spans="1:13" x14ac:dyDescent="0.25">
      <c r="A49" s="11"/>
      <c r="B49" s="94"/>
      <c r="C49" s="1"/>
      <c r="D49" s="1"/>
      <c r="E49" s="1"/>
      <c r="F49" s="95"/>
      <c r="G49" s="95"/>
      <c r="H49" s="1"/>
      <c r="I49" s="95"/>
      <c r="J49" s="95"/>
      <c r="K49" s="1"/>
      <c r="L49" t="str">
        <f t="shared" si="0"/>
        <v/>
      </c>
      <c r="M49" t="s">
        <v>99</v>
      </c>
    </row>
    <row r="50" spans="1:13" x14ac:dyDescent="0.25">
      <c r="A50" s="11"/>
      <c r="B50" s="94"/>
      <c r="C50" s="1"/>
      <c r="D50" s="1"/>
      <c r="E50" s="1"/>
      <c r="F50" s="95"/>
      <c r="G50" s="95"/>
      <c r="H50" s="1"/>
      <c r="I50" s="95"/>
      <c r="J50" s="95"/>
      <c r="K50" s="1"/>
      <c r="L50" t="str">
        <f t="shared" si="0"/>
        <v/>
      </c>
      <c r="M50" t="s">
        <v>100</v>
      </c>
    </row>
    <row r="51" spans="1:13" x14ac:dyDescent="0.25">
      <c r="A51" s="11"/>
      <c r="B51" s="94"/>
      <c r="C51" s="1"/>
      <c r="D51" s="1"/>
      <c r="E51" s="1"/>
      <c r="F51" s="95"/>
      <c r="G51" s="95"/>
      <c r="H51" s="1"/>
      <c r="I51" s="95"/>
      <c r="J51" s="95"/>
      <c r="K51" s="1"/>
      <c r="L51" t="str">
        <f t="shared" si="0"/>
        <v/>
      </c>
      <c r="M51" t="s">
        <v>101</v>
      </c>
    </row>
    <row r="52" spans="1:13" x14ac:dyDescent="0.25">
      <c r="A52" s="11"/>
      <c r="B52" s="94"/>
      <c r="C52" s="1"/>
      <c r="D52" s="1"/>
      <c r="E52" s="1"/>
      <c r="F52" s="95"/>
      <c r="G52" s="95"/>
      <c r="H52" s="1"/>
      <c r="I52" s="95"/>
      <c r="J52" s="95"/>
      <c r="K52" s="1"/>
      <c r="L52" t="str">
        <f t="shared" si="0"/>
        <v/>
      </c>
      <c r="M52" t="s">
        <v>102</v>
      </c>
    </row>
    <row r="53" spans="1:13" x14ac:dyDescent="0.25">
      <c r="A53" s="11"/>
      <c r="B53" s="94"/>
      <c r="C53" s="1"/>
      <c r="D53" s="1"/>
      <c r="E53" s="1"/>
      <c r="F53" s="95"/>
      <c r="G53" s="95"/>
      <c r="H53" s="1"/>
      <c r="I53" s="95"/>
      <c r="J53" s="95"/>
      <c r="K53" s="1"/>
      <c r="L53" t="str">
        <f t="shared" si="0"/>
        <v/>
      </c>
      <c r="M53" t="s">
        <v>103</v>
      </c>
    </row>
    <row r="54" spans="1:13" x14ac:dyDescent="0.25">
      <c r="A54" s="11"/>
      <c r="B54" s="94"/>
      <c r="C54" s="1"/>
      <c r="D54" s="1"/>
      <c r="E54" s="1"/>
      <c r="F54" s="95"/>
      <c r="G54" s="95"/>
      <c r="H54" s="1"/>
      <c r="I54" s="95"/>
      <c r="J54" s="95"/>
      <c r="K54" s="1"/>
      <c r="L54" t="str">
        <f t="shared" si="0"/>
        <v/>
      </c>
      <c r="M54" t="s">
        <v>104</v>
      </c>
    </row>
    <row r="55" spans="1:13" x14ac:dyDescent="0.25">
      <c r="A55" s="11"/>
      <c r="B55" s="94"/>
      <c r="C55" s="1"/>
      <c r="D55" s="1"/>
      <c r="E55" s="1"/>
      <c r="F55" s="95"/>
      <c r="G55" s="95"/>
      <c r="H55" s="1"/>
      <c r="I55" s="95"/>
      <c r="J55" s="95"/>
      <c r="K55" s="1"/>
      <c r="L55" t="str">
        <f t="shared" si="0"/>
        <v/>
      </c>
      <c r="M55" t="s">
        <v>105</v>
      </c>
    </row>
    <row r="56" spans="1:13" x14ac:dyDescent="0.25">
      <c r="A56" s="11"/>
      <c r="B56" s="94"/>
      <c r="C56" s="1"/>
      <c r="D56" s="1"/>
      <c r="E56" s="1"/>
      <c r="F56" s="95"/>
      <c r="G56" s="95"/>
      <c r="H56" s="1"/>
      <c r="I56" s="95"/>
      <c r="J56" s="95"/>
      <c r="K56" s="1"/>
      <c r="L56" t="str">
        <f t="shared" si="0"/>
        <v/>
      </c>
      <c r="M56" t="s">
        <v>106</v>
      </c>
    </row>
    <row r="57" spans="1:13" x14ac:dyDescent="0.25">
      <c r="A57" s="11"/>
      <c r="B57" s="94"/>
      <c r="C57" s="1"/>
      <c r="D57" s="1"/>
      <c r="E57" s="1"/>
      <c r="F57" s="95"/>
      <c r="G57" s="95"/>
      <c r="H57" s="1"/>
      <c r="I57" s="95"/>
      <c r="J57" s="95"/>
      <c r="K57" s="1"/>
      <c r="L57" t="str">
        <f t="shared" si="0"/>
        <v/>
      </c>
      <c r="M57" t="s">
        <v>107</v>
      </c>
    </row>
    <row r="58" spans="1:13" x14ac:dyDescent="0.25">
      <c r="A58" s="11"/>
      <c r="B58" s="94"/>
      <c r="C58" s="1"/>
      <c r="D58" s="1"/>
      <c r="E58" s="1"/>
      <c r="F58" s="95"/>
      <c r="G58" s="95"/>
      <c r="H58" s="1"/>
      <c r="I58" s="95"/>
      <c r="J58" s="95"/>
      <c r="K58" s="1"/>
      <c r="L58" t="str">
        <f t="shared" si="0"/>
        <v/>
      </c>
      <c r="M58" t="s">
        <v>108</v>
      </c>
    </row>
    <row r="59" spans="1:13" x14ac:dyDescent="0.25">
      <c r="A59" s="11"/>
      <c r="B59" s="94"/>
      <c r="C59" s="1"/>
      <c r="D59" s="1"/>
      <c r="E59" s="1"/>
      <c r="F59" s="95"/>
      <c r="G59" s="95"/>
      <c r="H59" s="1"/>
      <c r="I59" s="95"/>
      <c r="J59" s="95"/>
      <c r="K59" s="1"/>
      <c r="L59" t="str">
        <f t="shared" si="0"/>
        <v/>
      </c>
      <c r="M59" t="s">
        <v>109</v>
      </c>
    </row>
    <row r="60" spans="1:13" x14ac:dyDescent="0.25">
      <c r="A60" s="11"/>
      <c r="B60" s="94"/>
      <c r="C60" s="1"/>
      <c r="D60" s="1"/>
      <c r="E60" s="1"/>
      <c r="F60" s="95"/>
      <c r="G60" s="95"/>
      <c r="H60" s="1"/>
      <c r="I60" s="95"/>
      <c r="J60" s="95"/>
      <c r="K60" s="1"/>
      <c r="L60" t="str">
        <f t="shared" si="0"/>
        <v/>
      </c>
      <c r="M60" t="s">
        <v>110</v>
      </c>
    </row>
    <row r="61" spans="1:13" x14ac:dyDescent="0.25">
      <c r="A61" s="11"/>
      <c r="B61" s="94"/>
      <c r="C61" s="1"/>
      <c r="D61" s="1"/>
      <c r="E61" s="1"/>
      <c r="F61" s="95"/>
      <c r="G61" s="95"/>
      <c r="H61" s="1"/>
      <c r="I61" s="95"/>
      <c r="J61" s="95"/>
      <c r="K61" s="1"/>
      <c r="L61" t="str">
        <f t="shared" si="0"/>
        <v/>
      </c>
      <c r="M61" t="s">
        <v>111</v>
      </c>
    </row>
    <row r="62" spans="1:13" x14ac:dyDescent="0.25">
      <c r="A62" s="11"/>
      <c r="B62" s="94"/>
      <c r="C62" s="1"/>
      <c r="D62" s="1"/>
      <c r="E62" s="1"/>
      <c r="F62" s="95"/>
      <c r="G62" s="95"/>
      <c r="H62" s="1"/>
      <c r="I62" s="95"/>
      <c r="J62" s="95"/>
      <c r="K62" s="1"/>
      <c r="L62" t="str">
        <f t="shared" si="0"/>
        <v/>
      </c>
      <c r="M62" t="s">
        <v>112</v>
      </c>
    </row>
    <row r="63" spans="1:13" x14ac:dyDescent="0.25">
      <c r="A63" s="11"/>
      <c r="B63" s="94"/>
      <c r="C63" s="1"/>
      <c r="D63" s="1"/>
      <c r="E63" s="1"/>
      <c r="F63" s="95"/>
      <c r="G63" s="95"/>
      <c r="H63" s="1"/>
      <c r="I63" s="95"/>
      <c r="J63" s="95"/>
      <c r="K63" s="1"/>
      <c r="L63" t="str">
        <f t="shared" si="0"/>
        <v/>
      </c>
      <c r="M63" t="s">
        <v>113</v>
      </c>
    </row>
    <row r="64" spans="1:13" x14ac:dyDescent="0.25">
      <c r="A64" s="11"/>
      <c r="B64" s="94"/>
      <c r="C64" s="1"/>
      <c r="D64" s="1"/>
      <c r="E64" s="1"/>
      <c r="F64" s="95"/>
      <c r="G64" s="95"/>
      <c r="H64" s="1"/>
      <c r="I64" s="95"/>
      <c r="J64" s="95"/>
      <c r="K64" s="1"/>
      <c r="L64" t="str">
        <f t="shared" si="0"/>
        <v/>
      </c>
      <c r="M64" t="s">
        <v>49</v>
      </c>
    </row>
    <row r="65" spans="1:13" x14ac:dyDescent="0.25">
      <c r="A65" s="11"/>
      <c r="B65" s="94"/>
      <c r="C65" s="1"/>
      <c r="D65" s="1"/>
      <c r="E65" s="1"/>
      <c r="F65" s="95"/>
      <c r="G65" s="95"/>
      <c r="H65" s="1"/>
      <c r="I65" s="95"/>
      <c r="J65" s="95"/>
      <c r="K65" s="1"/>
      <c r="L65" t="str">
        <f t="shared" si="0"/>
        <v/>
      </c>
      <c r="M65" t="s">
        <v>114</v>
      </c>
    </row>
    <row r="66" spans="1:13" x14ac:dyDescent="0.25">
      <c r="A66" s="11"/>
      <c r="B66" s="94"/>
      <c r="C66" s="1"/>
      <c r="D66" s="1"/>
      <c r="E66" s="1"/>
      <c r="F66" s="95"/>
      <c r="G66" s="95"/>
      <c r="H66" s="1"/>
      <c r="I66" s="95"/>
      <c r="J66" s="95"/>
      <c r="K66" s="1"/>
      <c r="L66" t="str">
        <f t="shared" si="0"/>
        <v/>
      </c>
    </row>
    <row r="67" spans="1:13" x14ac:dyDescent="0.25">
      <c r="A67" s="11"/>
      <c r="B67" s="94"/>
      <c r="C67" s="1"/>
      <c r="D67" s="1"/>
      <c r="E67" s="1"/>
      <c r="F67" s="95"/>
      <c r="G67" s="95"/>
      <c r="H67" s="1"/>
      <c r="I67" s="95"/>
      <c r="J67" s="95"/>
      <c r="K67" s="1"/>
      <c r="L67" t="str">
        <f t="shared" ref="L67:L130" si="1">IF(K67="Pass",CONCATENATE(A67," - ",IF(E67="ABS",CONCATENATE("ABS : TF ",F67," deg / ",G67," %"),IF(E67="IH",CONCATENATE("IH: INC ",F67," deg / ",G67," %"),IF(E67="HIA",CONCATENATE("HIA: INC ",F67," deg / AZI ",G67," deg"),"")))),"")</f>
        <v/>
      </c>
    </row>
    <row r="68" spans="1:13" x14ac:dyDescent="0.25">
      <c r="A68" s="11"/>
      <c r="B68" s="94"/>
      <c r="C68" s="1"/>
      <c r="D68" s="1"/>
      <c r="E68" s="1"/>
      <c r="F68" s="95"/>
      <c r="G68" s="95"/>
      <c r="H68" s="1"/>
      <c r="I68" s="95"/>
      <c r="J68" s="95"/>
      <c r="K68" s="1"/>
      <c r="L68" t="str">
        <f t="shared" si="1"/>
        <v/>
      </c>
    </row>
    <row r="69" spans="1:13" x14ac:dyDescent="0.25">
      <c r="A69" s="11"/>
      <c r="B69" s="94"/>
      <c r="C69" s="1"/>
      <c r="D69" s="1"/>
      <c r="E69" s="1"/>
      <c r="F69" s="95"/>
      <c r="G69" s="95"/>
      <c r="H69" s="1"/>
      <c r="I69" s="95"/>
      <c r="J69" s="95"/>
      <c r="K69" s="1"/>
      <c r="L69" t="str">
        <f t="shared" si="1"/>
        <v/>
      </c>
    </row>
    <row r="70" spans="1:13" x14ac:dyDescent="0.25">
      <c r="A70" s="11"/>
      <c r="B70" s="94"/>
      <c r="C70" s="1"/>
      <c r="D70" s="1"/>
      <c r="E70" s="1"/>
      <c r="F70" s="95"/>
      <c r="G70" s="95"/>
      <c r="H70" s="1"/>
      <c r="I70" s="95"/>
      <c r="J70" s="95"/>
      <c r="K70" s="1"/>
      <c r="L70" t="str">
        <f t="shared" si="1"/>
        <v/>
      </c>
    </row>
    <row r="71" spans="1:13" x14ac:dyDescent="0.25">
      <c r="A71" s="11"/>
      <c r="B71" s="94"/>
      <c r="C71" s="1"/>
      <c r="D71" s="1"/>
      <c r="E71" s="1"/>
      <c r="F71" s="95"/>
      <c r="G71" s="95"/>
      <c r="H71" s="1"/>
      <c r="I71" s="95"/>
      <c r="J71" s="95"/>
      <c r="K71" s="1"/>
      <c r="L71" t="str">
        <f t="shared" si="1"/>
        <v/>
      </c>
    </row>
    <row r="72" spans="1:13" x14ac:dyDescent="0.25">
      <c r="A72" s="11"/>
      <c r="B72" s="94"/>
      <c r="C72" s="1"/>
      <c r="D72" s="1"/>
      <c r="E72" s="1"/>
      <c r="F72" s="95"/>
      <c r="G72" s="95"/>
      <c r="H72" s="1"/>
      <c r="I72" s="95"/>
      <c r="J72" s="95"/>
      <c r="K72" s="1"/>
      <c r="L72" t="str">
        <f t="shared" si="1"/>
        <v/>
      </c>
    </row>
    <row r="73" spans="1:13" x14ac:dyDescent="0.25">
      <c r="A73" s="11"/>
      <c r="B73" s="94"/>
      <c r="C73" s="1"/>
      <c r="D73" s="1"/>
      <c r="E73" s="1"/>
      <c r="F73" s="95"/>
      <c r="G73" s="95"/>
      <c r="H73" s="1"/>
      <c r="I73" s="95"/>
      <c r="J73" s="95"/>
      <c r="K73" s="1"/>
      <c r="L73" t="str">
        <f t="shared" si="1"/>
        <v/>
      </c>
    </row>
    <row r="74" spans="1:13" x14ac:dyDescent="0.25">
      <c r="A74" s="11"/>
      <c r="B74" s="94"/>
      <c r="C74" s="1"/>
      <c r="D74" s="1"/>
      <c r="E74" s="1"/>
      <c r="F74" s="95"/>
      <c r="G74" s="95"/>
      <c r="H74" s="1"/>
      <c r="I74" s="95"/>
      <c r="J74" s="95"/>
      <c r="K74" s="1"/>
      <c r="L74" t="str">
        <f t="shared" si="1"/>
        <v/>
      </c>
    </row>
    <row r="75" spans="1:13" x14ac:dyDescent="0.25">
      <c r="A75" s="11"/>
      <c r="B75" s="94"/>
      <c r="C75" s="1"/>
      <c r="D75" s="1"/>
      <c r="E75" s="1"/>
      <c r="F75" s="95"/>
      <c r="G75" s="95"/>
      <c r="H75" s="1"/>
      <c r="I75" s="95"/>
      <c r="J75" s="95"/>
      <c r="K75" s="1"/>
      <c r="L75" t="str">
        <f t="shared" si="1"/>
        <v/>
      </c>
    </row>
    <row r="76" spans="1:13" x14ac:dyDescent="0.25">
      <c r="A76" s="11"/>
      <c r="B76" s="94"/>
      <c r="C76" s="1"/>
      <c r="D76" s="1"/>
      <c r="E76" s="1"/>
      <c r="F76" s="95"/>
      <c r="G76" s="95"/>
      <c r="H76" s="1"/>
      <c r="I76" s="95"/>
      <c r="J76" s="95"/>
      <c r="K76" s="1"/>
      <c r="L76" t="str">
        <f t="shared" si="1"/>
        <v/>
      </c>
    </row>
    <row r="77" spans="1:13" x14ac:dyDescent="0.25">
      <c r="A77" s="11"/>
      <c r="B77" s="94"/>
      <c r="C77" s="1"/>
      <c r="D77" s="1"/>
      <c r="E77" s="1"/>
      <c r="F77" s="95"/>
      <c r="G77" s="95"/>
      <c r="H77" s="1"/>
      <c r="I77" s="95"/>
      <c r="J77" s="95"/>
      <c r="K77" s="1"/>
      <c r="L77" t="str">
        <f t="shared" si="1"/>
        <v/>
      </c>
    </row>
    <row r="78" spans="1:13" x14ac:dyDescent="0.25">
      <c r="A78" s="11"/>
      <c r="B78" s="94"/>
      <c r="C78" s="1"/>
      <c r="D78" s="1"/>
      <c r="E78" s="1"/>
      <c r="F78" s="95"/>
      <c r="G78" s="95"/>
      <c r="H78" s="1"/>
      <c r="I78" s="95"/>
      <c r="J78" s="95"/>
      <c r="K78" s="1"/>
      <c r="L78" t="str">
        <f t="shared" si="1"/>
        <v/>
      </c>
    </row>
    <row r="79" spans="1:13" x14ac:dyDescent="0.25">
      <c r="A79" s="11"/>
      <c r="B79" s="94"/>
      <c r="C79" s="1"/>
      <c r="D79" s="1"/>
      <c r="E79" s="1"/>
      <c r="F79" s="95"/>
      <c r="G79" s="95"/>
      <c r="H79" s="1"/>
      <c r="I79" s="95"/>
      <c r="J79" s="95"/>
      <c r="K79" s="1"/>
      <c r="L79" t="str">
        <f t="shared" si="1"/>
        <v/>
      </c>
    </row>
    <row r="80" spans="1:13" x14ac:dyDescent="0.25">
      <c r="A80" s="11"/>
      <c r="B80" s="94"/>
      <c r="C80" s="1"/>
      <c r="D80" s="1"/>
      <c r="E80" s="1"/>
      <c r="F80" s="95"/>
      <c r="G80" s="95"/>
      <c r="H80" s="1"/>
      <c r="I80" s="95"/>
      <c r="J80" s="95"/>
      <c r="K80" s="1"/>
      <c r="L80" t="str">
        <f t="shared" si="1"/>
        <v/>
      </c>
    </row>
    <row r="81" spans="1:12" x14ac:dyDescent="0.25">
      <c r="A81" s="11"/>
      <c r="B81" s="94"/>
      <c r="C81" s="1"/>
      <c r="D81" s="1"/>
      <c r="E81" s="1"/>
      <c r="F81" s="95"/>
      <c r="G81" s="95"/>
      <c r="H81" s="1"/>
      <c r="I81" s="95"/>
      <c r="J81" s="95"/>
      <c r="K81" s="1"/>
      <c r="L81" t="str">
        <f t="shared" si="1"/>
        <v/>
      </c>
    </row>
    <row r="82" spans="1:12" x14ac:dyDescent="0.25">
      <c r="A82" s="11"/>
      <c r="B82" s="94"/>
      <c r="C82" s="1"/>
      <c r="D82" s="1"/>
      <c r="E82" s="1"/>
      <c r="F82" s="95"/>
      <c r="G82" s="95"/>
      <c r="H82" s="1"/>
      <c r="I82" s="95"/>
      <c r="J82" s="95"/>
      <c r="K82" s="1"/>
      <c r="L82" t="str">
        <f t="shared" si="1"/>
        <v/>
      </c>
    </row>
    <row r="83" spans="1:12" x14ac:dyDescent="0.25">
      <c r="A83" s="11"/>
      <c r="B83" s="94"/>
      <c r="C83" s="1"/>
      <c r="D83" s="1"/>
      <c r="E83" s="1"/>
      <c r="F83" s="95"/>
      <c r="G83" s="95"/>
      <c r="H83" s="1"/>
      <c r="I83" s="95"/>
      <c r="J83" s="95"/>
      <c r="K83" s="1"/>
      <c r="L83" t="str">
        <f t="shared" si="1"/>
        <v/>
      </c>
    </row>
    <row r="84" spans="1:12" x14ac:dyDescent="0.25">
      <c r="A84" s="11"/>
      <c r="B84" s="94"/>
      <c r="C84" s="1"/>
      <c r="D84" s="1"/>
      <c r="E84" s="1"/>
      <c r="F84" s="95"/>
      <c r="G84" s="95"/>
      <c r="H84" s="1"/>
      <c r="I84" s="95"/>
      <c r="J84" s="95"/>
      <c r="K84" s="1"/>
      <c r="L84" t="str">
        <f t="shared" si="1"/>
        <v/>
      </c>
    </row>
    <row r="85" spans="1:12" x14ac:dyDescent="0.25">
      <c r="A85" s="11"/>
      <c r="B85" s="94"/>
      <c r="C85" s="1"/>
      <c r="D85" s="1"/>
      <c r="E85" s="1"/>
      <c r="F85" s="95"/>
      <c r="G85" s="95"/>
      <c r="H85" s="1"/>
      <c r="I85" s="95"/>
      <c r="J85" s="95"/>
      <c r="K85" s="1"/>
      <c r="L85" t="str">
        <f t="shared" si="1"/>
        <v/>
      </c>
    </row>
    <row r="86" spans="1:12" x14ac:dyDescent="0.25">
      <c r="A86" s="11"/>
      <c r="B86" s="94"/>
      <c r="C86" s="1"/>
      <c r="D86" s="1"/>
      <c r="E86" s="1"/>
      <c r="F86" s="95"/>
      <c r="G86" s="95"/>
      <c r="H86" s="1"/>
      <c r="I86" s="95"/>
      <c r="J86" s="95"/>
      <c r="K86" s="1"/>
      <c r="L86" t="str">
        <f t="shared" si="1"/>
        <v/>
      </c>
    </row>
    <row r="87" spans="1:12" x14ac:dyDescent="0.25">
      <c r="A87" s="11"/>
      <c r="B87" s="94"/>
      <c r="C87" s="1"/>
      <c r="D87" s="1"/>
      <c r="E87" s="1"/>
      <c r="F87" s="95"/>
      <c r="G87" s="95"/>
      <c r="H87" s="1"/>
      <c r="I87" s="95"/>
      <c r="J87" s="95"/>
      <c r="K87" s="1"/>
      <c r="L87" t="str">
        <f t="shared" si="1"/>
        <v/>
      </c>
    </row>
    <row r="88" spans="1:12" x14ac:dyDescent="0.25">
      <c r="A88" s="11"/>
      <c r="B88" s="94"/>
      <c r="C88" s="1"/>
      <c r="D88" s="1"/>
      <c r="E88" s="1"/>
      <c r="F88" s="95"/>
      <c r="G88" s="95"/>
      <c r="H88" s="1"/>
      <c r="I88" s="95"/>
      <c r="J88" s="95"/>
      <c r="K88" s="1"/>
      <c r="L88" t="str">
        <f t="shared" si="1"/>
        <v/>
      </c>
    </row>
    <row r="89" spans="1:12" x14ac:dyDescent="0.25">
      <c r="A89" s="11"/>
      <c r="B89" s="94"/>
      <c r="C89" s="1"/>
      <c r="D89" s="1"/>
      <c r="E89" s="1"/>
      <c r="F89" s="95"/>
      <c r="G89" s="95"/>
      <c r="H89" s="1"/>
      <c r="I89" s="95"/>
      <c r="J89" s="95"/>
      <c r="K89" s="1"/>
      <c r="L89" t="str">
        <f t="shared" si="1"/>
        <v/>
      </c>
    </row>
    <row r="90" spans="1:12" x14ac:dyDescent="0.25">
      <c r="A90" s="11"/>
      <c r="B90" s="94"/>
      <c r="C90" s="1"/>
      <c r="D90" s="1"/>
      <c r="E90" s="1"/>
      <c r="F90" s="95"/>
      <c r="G90" s="95"/>
      <c r="H90" s="1"/>
      <c r="I90" s="95"/>
      <c r="J90" s="95"/>
      <c r="K90" s="1"/>
      <c r="L90" t="str">
        <f t="shared" si="1"/>
        <v/>
      </c>
    </row>
    <row r="91" spans="1:12" x14ac:dyDescent="0.25">
      <c r="A91" s="11"/>
      <c r="B91" s="94"/>
      <c r="C91" s="1"/>
      <c r="D91" s="1"/>
      <c r="E91" s="1"/>
      <c r="F91" s="95"/>
      <c r="G91" s="95"/>
      <c r="H91" s="1"/>
      <c r="I91" s="95"/>
      <c r="J91" s="95"/>
      <c r="K91" s="1"/>
      <c r="L91" t="str">
        <f t="shared" si="1"/>
        <v/>
      </c>
    </row>
    <row r="92" spans="1:12" x14ac:dyDescent="0.25">
      <c r="A92" s="11"/>
      <c r="B92" s="94"/>
      <c r="C92" s="1"/>
      <c r="D92" s="1"/>
      <c r="E92" s="1"/>
      <c r="F92" s="95"/>
      <c r="G92" s="95"/>
      <c r="H92" s="1"/>
      <c r="I92" s="95"/>
      <c r="J92" s="95"/>
      <c r="K92" s="1"/>
      <c r="L92" t="str">
        <f t="shared" si="1"/>
        <v/>
      </c>
    </row>
    <row r="93" spans="1:12" x14ac:dyDescent="0.25">
      <c r="A93" s="11"/>
      <c r="B93" s="94"/>
      <c r="C93" s="1"/>
      <c r="D93" s="1"/>
      <c r="E93" s="1"/>
      <c r="F93" s="95"/>
      <c r="G93" s="95"/>
      <c r="H93" s="1"/>
      <c r="I93" s="95"/>
      <c r="J93" s="95"/>
      <c r="K93" s="1"/>
      <c r="L93" t="str">
        <f t="shared" si="1"/>
        <v/>
      </c>
    </row>
    <row r="94" spans="1:12" x14ac:dyDescent="0.25">
      <c r="A94" s="11"/>
      <c r="B94" s="94"/>
      <c r="C94" s="1"/>
      <c r="D94" s="1"/>
      <c r="E94" s="1"/>
      <c r="F94" s="95"/>
      <c r="G94" s="95"/>
      <c r="H94" s="1"/>
      <c r="I94" s="95"/>
      <c r="J94" s="95"/>
      <c r="K94" s="1"/>
      <c r="L94" t="str">
        <f t="shared" si="1"/>
        <v/>
      </c>
    </row>
    <row r="95" spans="1:12" x14ac:dyDescent="0.25">
      <c r="A95" s="11"/>
      <c r="B95" s="94"/>
      <c r="C95" s="1"/>
      <c r="D95" s="1"/>
      <c r="E95" s="1"/>
      <c r="F95" s="95"/>
      <c r="G95" s="95"/>
      <c r="H95" s="1"/>
      <c r="I95" s="95"/>
      <c r="J95" s="95"/>
      <c r="K95" s="1"/>
      <c r="L95" t="str">
        <f t="shared" si="1"/>
        <v/>
      </c>
    </row>
    <row r="96" spans="1:12" x14ac:dyDescent="0.25">
      <c r="A96" s="11"/>
      <c r="B96" s="94"/>
      <c r="C96" s="1"/>
      <c r="D96" s="1"/>
      <c r="E96" s="1"/>
      <c r="F96" s="95"/>
      <c r="G96" s="95"/>
      <c r="H96" s="1"/>
      <c r="I96" s="95"/>
      <c r="J96" s="95"/>
      <c r="K96" s="1"/>
      <c r="L96" t="str">
        <f t="shared" si="1"/>
        <v/>
      </c>
    </row>
    <row r="97" spans="1:12" x14ac:dyDescent="0.25">
      <c r="A97" s="11"/>
      <c r="B97" s="94"/>
      <c r="C97" s="1"/>
      <c r="D97" s="1"/>
      <c r="E97" s="1"/>
      <c r="F97" s="95"/>
      <c r="G97" s="95"/>
      <c r="H97" s="1"/>
      <c r="I97" s="95"/>
      <c r="J97" s="95"/>
      <c r="K97" s="1"/>
      <c r="L97" t="str">
        <f t="shared" si="1"/>
        <v/>
      </c>
    </row>
    <row r="98" spans="1:12" x14ac:dyDescent="0.25">
      <c r="A98" s="11"/>
      <c r="B98" s="94"/>
      <c r="C98" s="1"/>
      <c r="D98" s="1"/>
      <c r="E98" s="1"/>
      <c r="F98" s="95"/>
      <c r="G98" s="95"/>
      <c r="H98" s="1"/>
      <c r="I98" s="95"/>
      <c r="J98" s="95"/>
      <c r="K98" s="1"/>
      <c r="L98" t="str">
        <f t="shared" si="1"/>
        <v/>
      </c>
    </row>
    <row r="99" spans="1:12" x14ac:dyDescent="0.25">
      <c r="A99" s="11"/>
      <c r="B99" s="94"/>
      <c r="C99" s="1"/>
      <c r="D99" s="1"/>
      <c r="E99" s="1"/>
      <c r="F99" s="95"/>
      <c r="G99" s="95"/>
      <c r="H99" s="1"/>
      <c r="I99" s="95"/>
      <c r="J99" s="95"/>
      <c r="K99" s="1"/>
      <c r="L99" t="str">
        <f t="shared" si="1"/>
        <v/>
      </c>
    </row>
    <row r="100" spans="1:12" x14ac:dyDescent="0.25">
      <c r="A100" s="11"/>
      <c r="B100" s="94"/>
      <c r="C100" s="1"/>
      <c r="D100" s="1"/>
      <c r="E100" s="1"/>
      <c r="F100" s="95"/>
      <c r="G100" s="95"/>
      <c r="H100" s="1"/>
      <c r="I100" s="95"/>
      <c r="J100" s="95"/>
      <c r="K100" s="1"/>
      <c r="L100" t="str">
        <f t="shared" si="1"/>
        <v/>
      </c>
    </row>
    <row r="101" spans="1:12" x14ac:dyDescent="0.25">
      <c r="A101" s="11"/>
      <c r="B101" s="94"/>
      <c r="C101" s="1"/>
      <c r="D101" s="1"/>
      <c r="E101" s="1"/>
      <c r="F101" s="95"/>
      <c r="G101" s="95"/>
      <c r="H101" s="1"/>
      <c r="I101" s="95"/>
      <c r="J101" s="95"/>
      <c r="K101" s="1"/>
      <c r="L101" t="str">
        <f t="shared" si="1"/>
        <v/>
      </c>
    </row>
    <row r="102" spans="1:12" x14ac:dyDescent="0.25">
      <c r="A102" s="11"/>
      <c r="B102" s="94"/>
      <c r="C102" s="1"/>
      <c r="D102" s="1"/>
      <c r="E102" s="1"/>
      <c r="F102" s="95"/>
      <c r="G102" s="95"/>
      <c r="H102" s="1"/>
      <c r="I102" s="95"/>
      <c r="J102" s="95"/>
      <c r="K102" s="1"/>
      <c r="L102" t="str">
        <f t="shared" si="1"/>
        <v/>
      </c>
    </row>
    <row r="103" spans="1:12" x14ac:dyDescent="0.25">
      <c r="A103" s="11"/>
      <c r="B103" s="94"/>
      <c r="C103" s="1"/>
      <c r="D103" s="1"/>
      <c r="E103" s="1"/>
      <c r="F103" s="95"/>
      <c r="G103" s="95"/>
      <c r="H103" s="1"/>
      <c r="I103" s="95"/>
      <c r="J103" s="95"/>
      <c r="K103" s="1"/>
      <c r="L103" t="str">
        <f t="shared" si="1"/>
        <v/>
      </c>
    </row>
    <row r="104" spans="1:12" x14ac:dyDescent="0.25">
      <c r="A104" s="11"/>
      <c r="B104" s="94"/>
      <c r="C104" s="1"/>
      <c r="D104" s="1"/>
      <c r="E104" s="1"/>
      <c r="F104" s="95"/>
      <c r="G104" s="95"/>
      <c r="H104" s="1"/>
      <c r="I104" s="95"/>
      <c r="J104" s="95"/>
      <c r="K104" s="1"/>
      <c r="L104" t="str">
        <f t="shared" si="1"/>
        <v/>
      </c>
    </row>
    <row r="105" spans="1:12" x14ac:dyDescent="0.25">
      <c r="A105" s="11"/>
      <c r="B105" s="94"/>
      <c r="C105" s="1"/>
      <c r="D105" s="1"/>
      <c r="E105" s="1"/>
      <c r="F105" s="95"/>
      <c r="G105" s="95"/>
      <c r="H105" s="1"/>
      <c r="I105" s="95"/>
      <c r="J105" s="95"/>
      <c r="K105" s="1"/>
      <c r="L105" t="str">
        <f t="shared" si="1"/>
        <v/>
      </c>
    </row>
    <row r="106" spans="1:12" x14ac:dyDescent="0.25">
      <c r="A106" s="11"/>
      <c r="B106" s="94"/>
      <c r="C106" s="1"/>
      <c r="D106" s="1"/>
      <c r="E106" s="1"/>
      <c r="F106" s="95"/>
      <c r="G106" s="95"/>
      <c r="H106" s="1"/>
      <c r="I106" s="95"/>
      <c r="J106" s="95"/>
      <c r="K106" s="1"/>
      <c r="L106" t="str">
        <f t="shared" si="1"/>
        <v/>
      </c>
    </row>
    <row r="107" spans="1:12" x14ac:dyDescent="0.25">
      <c r="A107" s="11"/>
      <c r="B107" s="94"/>
      <c r="C107" s="1"/>
      <c r="D107" s="1"/>
      <c r="E107" s="1"/>
      <c r="F107" s="95"/>
      <c r="G107" s="95"/>
      <c r="H107" s="1"/>
      <c r="I107" s="95"/>
      <c r="J107" s="95"/>
      <c r="K107" s="1"/>
      <c r="L107" t="str">
        <f t="shared" si="1"/>
        <v/>
      </c>
    </row>
    <row r="108" spans="1:12" x14ac:dyDescent="0.25">
      <c r="A108" s="11"/>
      <c r="B108" s="94"/>
      <c r="C108" s="1"/>
      <c r="D108" s="1"/>
      <c r="E108" s="1"/>
      <c r="F108" s="95"/>
      <c r="G108" s="95"/>
      <c r="H108" s="1"/>
      <c r="I108" s="95"/>
      <c r="J108" s="95"/>
      <c r="K108" s="1"/>
      <c r="L108" t="str">
        <f t="shared" si="1"/>
        <v/>
      </c>
    </row>
    <row r="109" spans="1:12" x14ac:dyDescent="0.25">
      <c r="A109" s="11"/>
      <c r="B109" s="94"/>
      <c r="C109" s="1"/>
      <c r="D109" s="1"/>
      <c r="E109" s="1"/>
      <c r="F109" s="95"/>
      <c r="G109" s="95"/>
      <c r="H109" s="1"/>
      <c r="I109" s="95"/>
      <c r="J109" s="95"/>
      <c r="K109" s="1"/>
      <c r="L109" t="str">
        <f t="shared" si="1"/>
        <v/>
      </c>
    </row>
    <row r="110" spans="1:12" x14ac:dyDescent="0.25">
      <c r="A110" s="11"/>
      <c r="B110" s="94"/>
      <c r="C110" s="1"/>
      <c r="D110" s="1"/>
      <c r="E110" s="1"/>
      <c r="F110" s="95"/>
      <c r="G110" s="95"/>
      <c r="H110" s="1"/>
      <c r="I110" s="95"/>
      <c r="J110" s="95"/>
      <c r="K110" s="1"/>
      <c r="L110" t="str">
        <f t="shared" si="1"/>
        <v/>
      </c>
    </row>
    <row r="111" spans="1:12" x14ac:dyDescent="0.25">
      <c r="A111" s="11"/>
      <c r="B111" s="94"/>
      <c r="C111" s="1"/>
      <c r="D111" s="1"/>
      <c r="E111" s="1"/>
      <c r="F111" s="95"/>
      <c r="G111" s="95"/>
      <c r="H111" s="1"/>
      <c r="I111" s="95"/>
      <c r="J111" s="95"/>
      <c r="K111" s="1"/>
      <c r="L111" t="str">
        <f t="shared" si="1"/>
        <v/>
      </c>
    </row>
    <row r="112" spans="1:12" x14ac:dyDescent="0.25">
      <c r="A112" s="11"/>
      <c r="B112" s="94"/>
      <c r="C112" s="1"/>
      <c r="D112" s="1"/>
      <c r="E112" s="1"/>
      <c r="F112" s="95"/>
      <c r="G112" s="95"/>
      <c r="H112" s="1"/>
      <c r="I112" s="95"/>
      <c r="J112" s="95"/>
      <c r="K112" s="1"/>
      <c r="L112" t="str">
        <f t="shared" si="1"/>
        <v/>
      </c>
    </row>
    <row r="113" spans="1:12" x14ac:dyDescent="0.25">
      <c r="A113" s="11"/>
      <c r="B113" s="94"/>
      <c r="C113" s="1"/>
      <c r="D113" s="1"/>
      <c r="E113" s="1"/>
      <c r="F113" s="95"/>
      <c r="G113" s="95"/>
      <c r="H113" s="1"/>
      <c r="I113" s="95"/>
      <c r="J113" s="95"/>
      <c r="K113" s="1"/>
      <c r="L113" t="str">
        <f t="shared" si="1"/>
        <v/>
      </c>
    </row>
    <row r="114" spans="1:12" x14ac:dyDescent="0.25">
      <c r="A114" s="11"/>
      <c r="B114" s="94"/>
      <c r="C114" s="1"/>
      <c r="D114" s="1"/>
      <c r="E114" s="1"/>
      <c r="F114" s="95"/>
      <c r="G114" s="95"/>
      <c r="H114" s="1"/>
      <c r="I114" s="95"/>
      <c r="J114" s="95"/>
      <c r="K114" s="1"/>
      <c r="L114" t="str">
        <f t="shared" si="1"/>
        <v/>
      </c>
    </row>
    <row r="115" spans="1:12" x14ac:dyDescent="0.25">
      <c r="A115" s="11"/>
      <c r="B115" s="94"/>
      <c r="C115" s="1"/>
      <c r="D115" s="1"/>
      <c r="E115" s="1"/>
      <c r="F115" s="95"/>
      <c r="G115" s="95"/>
      <c r="H115" s="1"/>
      <c r="I115" s="95"/>
      <c r="J115" s="95"/>
      <c r="K115" s="1"/>
      <c r="L115" t="str">
        <f t="shared" si="1"/>
        <v/>
      </c>
    </row>
    <row r="116" spans="1:12" x14ac:dyDescent="0.25">
      <c r="A116" s="11"/>
      <c r="B116" s="94"/>
      <c r="C116" s="1"/>
      <c r="D116" s="1"/>
      <c r="E116" s="1"/>
      <c r="F116" s="95"/>
      <c r="G116" s="95"/>
      <c r="H116" s="1"/>
      <c r="I116" s="95"/>
      <c r="J116" s="95"/>
      <c r="K116" s="1"/>
      <c r="L116" t="str">
        <f t="shared" si="1"/>
        <v/>
      </c>
    </row>
    <row r="117" spans="1:12" x14ac:dyDescent="0.25">
      <c r="A117" s="11"/>
      <c r="B117" s="94"/>
      <c r="C117" s="1"/>
      <c r="D117" s="1"/>
      <c r="E117" s="1"/>
      <c r="F117" s="95"/>
      <c r="G117" s="95"/>
      <c r="H117" s="1"/>
      <c r="I117" s="95"/>
      <c r="J117" s="95"/>
      <c r="K117" s="1"/>
      <c r="L117" t="str">
        <f t="shared" si="1"/>
        <v/>
      </c>
    </row>
    <row r="118" spans="1:12" x14ac:dyDescent="0.25">
      <c r="A118" s="11"/>
      <c r="B118" s="94"/>
      <c r="C118" s="1"/>
      <c r="D118" s="1"/>
      <c r="E118" s="1"/>
      <c r="F118" s="95"/>
      <c r="G118" s="95"/>
      <c r="H118" s="1"/>
      <c r="I118" s="95"/>
      <c r="J118" s="95"/>
      <c r="K118" s="1"/>
      <c r="L118" t="str">
        <f t="shared" si="1"/>
        <v/>
      </c>
    </row>
    <row r="119" spans="1:12" x14ac:dyDescent="0.25">
      <c r="A119" s="11"/>
      <c r="B119" s="94"/>
      <c r="C119" s="1"/>
      <c r="D119" s="1"/>
      <c r="E119" s="1"/>
      <c r="F119" s="95"/>
      <c r="G119" s="95"/>
      <c r="H119" s="1"/>
      <c r="I119" s="95"/>
      <c r="J119" s="95"/>
      <c r="K119" s="1"/>
      <c r="L119" t="str">
        <f t="shared" si="1"/>
        <v/>
      </c>
    </row>
    <row r="120" spans="1:12" x14ac:dyDescent="0.25">
      <c r="A120" s="11"/>
      <c r="B120" s="94"/>
      <c r="C120" s="1"/>
      <c r="D120" s="1"/>
      <c r="E120" s="1"/>
      <c r="F120" s="95"/>
      <c r="G120" s="95"/>
      <c r="H120" s="1"/>
      <c r="I120" s="95"/>
      <c r="J120" s="95"/>
      <c r="K120" s="1"/>
      <c r="L120" t="str">
        <f t="shared" si="1"/>
        <v/>
      </c>
    </row>
    <row r="121" spans="1:12" x14ac:dyDescent="0.25">
      <c r="A121" s="11"/>
      <c r="B121" s="94"/>
      <c r="C121" s="1"/>
      <c r="D121" s="1"/>
      <c r="E121" s="1"/>
      <c r="F121" s="95"/>
      <c r="G121" s="95"/>
      <c r="H121" s="1"/>
      <c r="I121" s="95"/>
      <c r="J121" s="95"/>
      <c r="K121" s="1"/>
      <c r="L121" t="str">
        <f t="shared" si="1"/>
        <v/>
      </c>
    </row>
    <row r="122" spans="1:12" x14ac:dyDescent="0.25">
      <c r="A122" s="11"/>
      <c r="B122" s="94"/>
      <c r="C122" s="1"/>
      <c r="D122" s="1"/>
      <c r="E122" s="1"/>
      <c r="F122" s="95"/>
      <c r="G122" s="95"/>
      <c r="H122" s="1"/>
      <c r="I122" s="95"/>
      <c r="J122" s="95"/>
      <c r="K122" s="1"/>
      <c r="L122" t="str">
        <f t="shared" si="1"/>
        <v/>
      </c>
    </row>
    <row r="123" spans="1:12" x14ac:dyDescent="0.25">
      <c r="A123" s="11"/>
      <c r="B123" s="94"/>
      <c r="C123" s="1"/>
      <c r="D123" s="1"/>
      <c r="E123" s="1"/>
      <c r="F123" s="95"/>
      <c r="G123" s="95"/>
      <c r="H123" s="1"/>
      <c r="I123" s="95"/>
      <c r="J123" s="95"/>
      <c r="K123" s="1"/>
      <c r="L123" t="str">
        <f t="shared" si="1"/>
        <v/>
      </c>
    </row>
    <row r="124" spans="1:12" x14ac:dyDescent="0.25">
      <c r="A124" s="11"/>
      <c r="B124" s="94"/>
      <c r="C124" s="1"/>
      <c r="D124" s="1"/>
      <c r="E124" s="1"/>
      <c r="F124" s="95"/>
      <c r="G124" s="95"/>
      <c r="H124" s="1"/>
      <c r="I124" s="95"/>
      <c r="J124" s="95"/>
      <c r="K124" s="1"/>
      <c r="L124" t="str">
        <f t="shared" si="1"/>
        <v/>
      </c>
    </row>
    <row r="125" spans="1:12" x14ac:dyDescent="0.25">
      <c r="A125" s="11"/>
      <c r="B125" s="94"/>
      <c r="C125" s="1"/>
      <c r="D125" s="1"/>
      <c r="E125" s="1"/>
      <c r="F125" s="95"/>
      <c r="G125" s="95"/>
      <c r="H125" s="1"/>
      <c r="I125" s="95"/>
      <c r="J125" s="95"/>
      <c r="K125" s="1"/>
      <c r="L125" t="str">
        <f t="shared" si="1"/>
        <v/>
      </c>
    </row>
    <row r="126" spans="1:12" x14ac:dyDescent="0.25">
      <c r="A126" s="11"/>
      <c r="B126" s="94"/>
      <c r="C126" s="1"/>
      <c r="D126" s="1"/>
      <c r="E126" s="1"/>
      <c r="F126" s="95"/>
      <c r="G126" s="95"/>
      <c r="H126" s="1"/>
      <c r="I126" s="95"/>
      <c r="J126" s="95"/>
      <c r="K126" s="1"/>
      <c r="L126" t="str">
        <f t="shared" si="1"/>
        <v/>
      </c>
    </row>
    <row r="127" spans="1:12" x14ac:dyDescent="0.25">
      <c r="A127" s="11"/>
      <c r="B127" s="94"/>
      <c r="C127" s="1"/>
      <c r="D127" s="1"/>
      <c r="E127" s="1"/>
      <c r="F127" s="95"/>
      <c r="G127" s="95"/>
      <c r="H127" s="1"/>
      <c r="I127" s="95"/>
      <c r="J127" s="95"/>
      <c r="K127" s="1"/>
      <c r="L127" t="str">
        <f t="shared" si="1"/>
        <v/>
      </c>
    </row>
    <row r="128" spans="1:12" x14ac:dyDescent="0.25">
      <c r="A128" s="11"/>
      <c r="B128" s="94"/>
      <c r="C128" s="1"/>
      <c r="D128" s="1"/>
      <c r="E128" s="1"/>
      <c r="F128" s="95"/>
      <c r="G128" s="95"/>
      <c r="H128" s="1"/>
      <c r="I128" s="95"/>
      <c r="J128" s="95"/>
      <c r="K128" s="1"/>
      <c r="L128" t="str">
        <f t="shared" si="1"/>
        <v/>
      </c>
    </row>
    <row r="129" spans="1:12" x14ac:dyDescent="0.25">
      <c r="A129" s="11"/>
      <c r="B129" s="94"/>
      <c r="C129" s="1"/>
      <c r="D129" s="1"/>
      <c r="E129" s="1"/>
      <c r="F129" s="95"/>
      <c r="G129" s="95"/>
      <c r="H129" s="1"/>
      <c r="I129" s="95"/>
      <c r="J129" s="95"/>
      <c r="K129" s="1"/>
      <c r="L129" t="str">
        <f t="shared" si="1"/>
        <v/>
      </c>
    </row>
    <row r="130" spans="1:12" x14ac:dyDescent="0.25">
      <c r="A130" s="11"/>
      <c r="B130" s="94"/>
      <c r="C130" s="1"/>
      <c r="D130" s="1"/>
      <c r="E130" s="1"/>
      <c r="F130" s="95"/>
      <c r="G130" s="95"/>
      <c r="H130" s="1"/>
      <c r="I130" s="95"/>
      <c r="J130" s="95"/>
      <c r="K130" s="1"/>
      <c r="L130" t="str">
        <f t="shared" si="1"/>
        <v/>
      </c>
    </row>
    <row r="131" spans="1:12" x14ac:dyDescent="0.25">
      <c r="A131" s="11"/>
      <c r="B131" s="94"/>
      <c r="C131" s="1"/>
      <c r="D131" s="1"/>
      <c r="E131" s="1"/>
      <c r="F131" s="95"/>
      <c r="G131" s="95"/>
      <c r="H131" s="1"/>
      <c r="I131" s="95"/>
      <c r="J131" s="95"/>
      <c r="K131" s="1"/>
      <c r="L131" t="str">
        <f t="shared" ref="L131:L194" si="2">IF(K131="Pass",CONCATENATE(A131," - ",IF(E131="ABS",CONCATENATE("ABS : TF ",F131," deg / ",G131," %"),IF(E131="IH",CONCATENATE("IH: INC ",F131," deg / ",G131," %"),IF(E131="HIA",CONCATENATE("HIA: INC ",F131," deg / AZI ",G131," deg"),"")))),"")</f>
        <v/>
      </c>
    </row>
    <row r="132" spans="1:12" x14ac:dyDescent="0.25">
      <c r="A132" s="11"/>
      <c r="B132" s="94"/>
      <c r="C132" s="1"/>
      <c r="D132" s="1"/>
      <c r="E132" s="1"/>
      <c r="F132" s="95"/>
      <c r="G132" s="95"/>
      <c r="H132" s="1"/>
      <c r="I132" s="95"/>
      <c r="J132" s="95"/>
      <c r="K132" s="1"/>
      <c r="L132" t="str">
        <f t="shared" si="2"/>
        <v/>
      </c>
    </row>
    <row r="133" spans="1:12" x14ac:dyDescent="0.25">
      <c r="A133" s="11"/>
      <c r="B133" s="94"/>
      <c r="C133" s="1"/>
      <c r="D133" s="1"/>
      <c r="E133" s="1"/>
      <c r="F133" s="95"/>
      <c r="G133" s="95"/>
      <c r="H133" s="1"/>
      <c r="I133" s="95"/>
      <c r="J133" s="95"/>
      <c r="K133" s="1"/>
      <c r="L133" t="str">
        <f t="shared" si="2"/>
        <v/>
      </c>
    </row>
    <row r="134" spans="1:12" x14ac:dyDescent="0.25">
      <c r="A134" s="11"/>
      <c r="B134" s="94"/>
      <c r="C134" s="1"/>
      <c r="D134" s="1"/>
      <c r="E134" s="1"/>
      <c r="F134" s="95"/>
      <c r="G134" s="95"/>
      <c r="H134" s="1"/>
      <c r="I134" s="95"/>
      <c r="J134" s="95"/>
      <c r="K134" s="1"/>
      <c r="L134" t="str">
        <f t="shared" si="2"/>
        <v/>
      </c>
    </row>
    <row r="135" spans="1:12" x14ac:dyDescent="0.25">
      <c r="A135" s="11"/>
      <c r="B135" s="94"/>
      <c r="C135" s="1"/>
      <c r="D135" s="1"/>
      <c r="E135" s="1"/>
      <c r="F135" s="95"/>
      <c r="G135" s="95"/>
      <c r="H135" s="1"/>
      <c r="I135" s="95"/>
      <c r="J135" s="95"/>
      <c r="K135" s="1"/>
      <c r="L135" t="str">
        <f t="shared" si="2"/>
        <v/>
      </c>
    </row>
    <row r="136" spans="1:12" x14ac:dyDescent="0.25">
      <c r="A136" s="11"/>
      <c r="B136" s="94"/>
      <c r="C136" s="1"/>
      <c r="D136" s="1"/>
      <c r="E136" s="1"/>
      <c r="F136" s="95"/>
      <c r="G136" s="95"/>
      <c r="H136" s="1"/>
      <c r="I136" s="95"/>
      <c r="J136" s="95"/>
      <c r="K136" s="1"/>
      <c r="L136" t="str">
        <f t="shared" si="2"/>
        <v/>
      </c>
    </row>
    <row r="137" spans="1:12" x14ac:dyDescent="0.25">
      <c r="A137" s="11"/>
      <c r="B137" s="94"/>
      <c r="C137" s="1"/>
      <c r="D137" s="1"/>
      <c r="E137" s="1"/>
      <c r="F137" s="95"/>
      <c r="G137" s="95"/>
      <c r="H137" s="1"/>
      <c r="I137" s="95"/>
      <c r="J137" s="95"/>
      <c r="K137" s="1"/>
      <c r="L137" t="str">
        <f t="shared" si="2"/>
        <v/>
      </c>
    </row>
    <row r="138" spans="1:12" x14ac:dyDescent="0.25">
      <c r="A138" s="11"/>
      <c r="B138" s="94"/>
      <c r="C138" s="1"/>
      <c r="D138" s="1"/>
      <c r="E138" s="1"/>
      <c r="F138" s="95"/>
      <c r="G138" s="95"/>
      <c r="H138" s="1"/>
      <c r="I138" s="95"/>
      <c r="J138" s="95"/>
      <c r="K138" s="1"/>
      <c r="L138" t="str">
        <f t="shared" si="2"/>
        <v/>
      </c>
    </row>
    <row r="139" spans="1:12" x14ac:dyDescent="0.25">
      <c r="A139" s="11"/>
      <c r="B139" s="94"/>
      <c r="C139" s="1"/>
      <c r="D139" s="1"/>
      <c r="E139" s="1"/>
      <c r="F139" s="95"/>
      <c r="G139" s="95"/>
      <c r="H139" s="1"/>
      <c r="I139" s="95"/>
      <c r="J139" s="95"/>
      <c r="K139" s="1"/>
      <c r="L139" t="str">
        <f t="shared" si="2"/>
        <v/>
      </c>
    </row>
    <row r="140" spans="1:12" x14ac:dyDescent="0.25">
      <c r="A140" s="11"/>
      <c r="B140" s="94"/>
      <c r="C140" s="1"/>
      <c r="D140" s="1"/>
      <c r="E140" s="1"/>
      <c r="F140" s="95"/>
      <c r="G140" s="95"/>
      <c r="H140" s="1"/>
      <c r="I140" s="95"/>
      <c r="J140" s="95"/>
      <c r="K140" s="1"/>
      <c r="L140" t="str">
        <f t="shared" si="2"/>
        <v/>
      </c>
    </row>
    <row r="141" spans="1:12" x14ac:dyDescent="0.25">
      <c r="A141" s="11"/>
      <c r="B141" s="94"/>
      <c r="C141" s="1"/>
      <c r="D141" s="1"/>
      <c r="E141" s="1"/>
      <c r="F141" s="95"/>
      <c r="G141" s="95"/>
      <c r="H141" s="1"/>
      <c r="I141" s="95"/>
      <c r="J141" s="95"/>
      <c r="K141" s="1"/>
      <c r="L141" t="str">
        <f t="shared" si="2"/>
        <v/>
      </c>
    </row>
    <row r="142" spans="1:12" x14ac:dyDescent="0.25">
      <c r="A142" s="11"/>
      <c r="B142" s="94"/>
      <c r="C142" s="1"/>
      <c r="D142" s="1"/>
      <c r="E142" s="1"/>
      <c r="F142" s="95"/>
      <c r="G142" s="95"/>
      <c r="H142" s="1"/>
      <c r="I142" s="95"/>
      <c r="J142" s="95"/>
      <c r="K142" s="1"/>
      <c r="L142" t="str">
        <f t="shared" si="2"/>
        <v/>
      </c>
    </row>
    <row r="143" spans="1:12" x14ac:dyDescent="0.25">
      <c r="A143" s="11"/>
      <c r="B143" s="94"/>
      <c r="C143" s="1"/>
      <c r="D143" s="1"/>
      <c r="E143" s="1"/>
      <c r="F143" s="95"/>
      <c r="G143" s="95"/>
      <c r="H143" s="1"/>
      <c r="I143" s="95"/>
      <c r="J143" s="95"/>
      <c r="K143" s="1"/>
      <c r="L143" t="str">
        <f t="shared" si="2"/>
        <v/>
      </c>
    </row>
    <row r="144" spans="1:12" x14ac:dyDescent="0.25">
      <c r="A144" s="11"/>
      <c r="B144" s="94"/>
      <c r="C144" s="1"/>
      <c r="D144" s="1"/>
      <c r="E144" s="1"/>
      <c r="F144" s="95"/>
      <c r="G144" s="95"/>
      <c r="H144" s="1"/>
      <c r="I144" s="95"/>
      <c r="J144" s="95"/>
      <c r="K144" s="1"/>
      <c r="L144" t="str">
        <f t="shared" si="2"/>
        <v/>
      </c>
    </row>
    <row r="145" spans="1:12" x14ac:dyDescent="0.25">
      <c r="A145" s="11"/>
      <c r="B145" s="94"/>
      <c r="C145" s="1"/>
      <c r="D145" s="1"/>
      <c r="E145" s="1"/>
      <c r="F145" s="95"/>
      <c r="G145" s="95"/>
      <c r="H145" s="1"/>
      <c r="I145" s="95"/>
      <c r="J145" s="95"/>
      <c r="K145" s="1"/>
      <c r="L145" t="str">
        <f t="shared" si="2"/>
        <v/>
      </c>
    </row>
    <row r="146" spans="1:12" x14ac:dyDescent="0.25">
      <c r="A146" s="11"/>
      <c r="B146" s="94"/>
      <c r="C146" s="1"/>
      <c r="D146" s="1"/>
      <c r="E146" s="1"/>
      <c r="F146" s="95"/>
      <c r="G146" s="95"/>
      <c r="H146" s="1"/>
      <c r="I146" s="95"/>
      <c r="J146" s="95"/>
      <c r="K146" s="1"/>
      <c r="L146" t="str">
        <f t="shared" si="2"/>
        <v/>
      </c>
    </row>
    <row r="147" spans="1:12" x14ac:dyDescent="0.25">
      <c r="A147" s="11"/>
      <c r="B147" s="94"/>
      <c r="C147" s="1"/>
      <c r="D147" s="1"/>
      <c r="E147" s="1"/>
      <c r="F147" s="95"/>
      <c r="G147" s="95"/>
      <c r="H147" s="1"/>
      <c r="I147" s="95"/>
      <c r="J147" s="95"/>
      <c r="K147" s="1"/>
      <c r="L147" t="str">
        <f t="shared" si="2"/>
        <v/>
      </c>
    </row>
    <row r="148" spans="1:12" x14ac:dyDescent="0.25">
      <c r="A148" s="11"/>
      <c r="B148" s="94"/>
      <c r="C148" s="1"/>
      <c r="D148" s="1"/>
      <c r="E148" s="1"/>
      <c r="F148" s="95"/>
      <c r="G148" s="95"/>
      <c r="H148" s="1"/>
      <c r="I148" s="95"/>
      <c r="J148" s="95"/>
      <c r="K148" s="1"/>
      <c r="L148" t="str">
        <f t="shared" si="2"/>
        <v/>
      </c>
    </row>
    <row r="149" spans="1:12" x14ac:dyDescent="0.25">
      <c r="A149" s="11"/>
      <c r="B149" s="94"/>
      <c r="C149" s="1"/>
      <c r="D149" s="1"/>
      <c r="E149" s="1"/>
      <c r="F149" s="95"/>
      <c r="G149" s="95"/>
      <c r="H149" s="1"/>
      <c r="I149" s="95"/>
      <c r="J149" s="95"/>
      <c r="K149" s="1"/>
      <c r="L149" t="str">
        <f t="shared" si="2"/>
        <v/>
      </c>
    </row>
    <row r="150" spans="1:12" x14ac:dyDescent="0.25">
      <c r="A150" s="11"/>
      <c r="B150" s="94"/>
      <c r="C150" s="1"/>
      <c r="D150" s="1"/>
      <c r="E150" s="1"/>
      <c r="F150" s="95"/>
      <c r="G150" s="95"/>
      <c r="H150" s="1"/>
      <c r="I150" s="95"/>
      <c r="J150" s="95"/>
      <c r="K150" s="1"/>
      <c r="L150" t="str">
        <f t="shared" si="2"/>
        <v/>
      </c>
    </row>
    <row r="151" spans="1:12" x14ac:dyDescent="0.25">
      <c r="A151" s="11"/>
      <c r="B151" s="94"/>
      <c r="C151" s="1"/>
      <c r="D151" s="1"/>
      <c r="E151" s="1"/>
      <c r="F151" s="95"/>
      <c r="G151" s="95"/>
      <c r="H151" s="1"/>
      <c r="I151" s="95"/>
      <c r="J151" s="95"/>
      <c r="K151" s="1"/>
      <c r="L151" t="str">
        <f t="shared" si="2"/>
        <v/>
      </c>
    </row>
    <row r="152" spans="1:12" x14ac:dyDescent="0.25">
      <c r="A152" s="11"/>
      <c r="B152" s="94"/>
      <c r="C152" s="1"/>
      <c r="D152" s="1"/>
      <c r="E152" s="1"/>
      <c r="F152" s="95"/>
      <c r="G152" s="95"/>
      <c r="H152" s="1"/>
      <c r="I152" s="95"/>
      <c r="J152" s="95"/>
      <c r="K152" s="1"/>
      <c r="L152" t="str">
        <f t="shared" si="2"/>
        <v/>
      </c>
    </row>
    <row r="153" spans="1:12" x14ac:dyDescent="0.25">
      <c r="A153" s="11"/>
      <c r="B153" s="94"/>
      <c r="C153" s="1"/>
      <c r="D153" s="1"/>
      <c r="E153" s="1"/>
      <c r="F153" s="95"/>
      <c r="G153" s="95"/>
      <c r="H153" s="1"/>
      <c r="I153" s="95"/>
      <c r="J153" s="95"/>
      <c r="K153" s="1"/>
      <c r="L153" t="str">
        <f t="shared" si="2"/>
        <v/>
      </c>
    </row>
    <row r="154" spans="1:12" x14ac:dyDescent="0.25">
      <c r="A154" s="11"/>
      <c r="B154" s="94"/>
      <c r="C154" s="1"/>
      <c r="D154" s="1"/>
      <c r="E154" s="1"/>
      <c r="F154" s="95"/>
      <c r="G154" s="95"/>
      <c r="H154" s="1"/>
      <c r="I154" s="95"/>
      <c r="J154" s="95"/>
      <c r="K154" s="1"/>
      <c r="L154" t="str">
        <f t="shared" si="2"/>
        <v/>
      </c>
    </row>
    <row r="155" spans="1:12" x14ac:dyDescent="0.25">
      <c r="A155" s="11"/>
      <c r="B155" s="94"/>
      <c r="C155" s="1"/>
      <c r="D155" s="1"/>
      <c r="E155" s="1"/>
      <c r="F155" s="95"/>
      <c r="G155" s="95"/>
      <c r="H155" s="1"/>
      <c r="I155" s="95"/>
      <c r="J155" s="95"/>
      <c r="K155" s="1"/>
      <c r="L155" t="str">
        <f t="shared" si="2"/>
        <v/>
      </c>
    </row>
    <row r="156" spans="1:12" x14ac:dyDescent="0.25">
      <c r="A156" s="11"/>
      <c r="B156" s="94"/>
      <c r="C156" s="1"/>
      <c r="D156" s="1"/>
      <c r="E156" s="1"/>
      <c r="F156" s="95"/>
      <c r="G156" s="95"/>
      <c r="H156" s="1"/>
      <c r="I156" s="95"/>
      <c r="J156" s="95"/>
      <c r="K156" s="1"/>
      <c r="L156" t="str">
        <f t="shared" si="2"/>
        <v/>
      </c>
    </row>
    <row r="157" spans="1:12" x14ac:dyDescent="0.25">
      <c r="A157" s="11"/>
      <c r="B157" s="94"/>
      <c r="C157" s="1"/>
      <c r="D157" s="1"/>
      <c r="E157" s="1"/>
      <c r="F157" s="95"/>
      <c r="G157" s="95"/>
      <c r="H157" s="1"/>
      <c r="I157" s="95"/>
      <c r="J157" s="95"/>
      <c r="K157" s="1"/>
      <c r="L157" t="str">
        <f t="shared" si="2"/>
        <v/>
      </c>
    </row>
    <row r="158" spans="1:12" x14ac:dyDescent="0.25">
      <c r="A158" s="11"/>
      <c r="B158" s="94"/>
      <c r="C158" s="1"/>
      <c r="D158" s="1"/>
      <c r="E158" s="1"/>
      <c r="F158" s="95"/>
      <c r="G158" s="95"/>
      <c r="H158" s="1"/>
      <c r="I158" s="95"/>
      <c r="J158" s="95"/>
      <c r="K158" s="1"/>
      <c r="L158" t="str">
        <f t="shared" si="2"/>
        <v/>
      </c>
    </row>
    <row r="159" spans="1:12" x14ac:dyDescent="0.25">
      <c r="A159" s="11"/>
      <c r="B159" s="94"/>
      <c r="C159" s="1"/>
      <c r="D159" s="1"/>
      <c r="E159" s="1"/>
      <c r="F159" s="95"/>
      <c r="G159" s="95"/>
      <c r="H159" s="1"/>
      <c r="I159" s="95"/>
      <c r="J159" s="95"/>
      <c r="K159" s="1"/>
      <c r="L159" t="str">
        <f t="shared" si="2"/>
        <v/>
      </c>
    </row>
    <row r="160" spans="1:12" x14ac:dyDescent="0.25">
      <c r="A160" s="11"/>
      <c r="B160" s="94"/>
      <c r="C160" s="1"/>
      <c r="D160" s="1"/>
      <c r="E160" s="1"/>
      <c r="F160" s="95"/>
      <c r="G160" s="95"/>
      <c r="H160" s="1"/>
      <c r="I160" s="95"/>
      <c r="J160" s="95"/>
      <c r="K160" s="1"/>
      <c r="L160" t="str">
        <f t="shared" si="2"/>
        <v/>
      </c>
    </row>
    <row r="161" spans="1:12" x14ac:dyDescent="0.25">
      <c r="A161" s="11"/>
      <c r="B161" s="94"/>
      <c r="C161" s="1"/>
      <c r="D161" s="1"/>
      <c r="E161" s="1"/>
      <c r="F161" s="95"/>
      <c r="G161" s="95"/>
      <c r="H161" s="1"/>
      <c r="I161" s="95"/>
      <c r="J161" s="95"/>
      <c r="K161" s="1"/>
      <c r="L161" t="str">
        <f t="shared" si="2"/>
        <v/>
      </c>
    </row>
    <row r="162" spans="1:12" x14ac:dyDescent="0.25">
      <c r="A162" s="11"/>
      <c r="B162" s="94"/>
      <c r="C162" s="1"/>
      <c r="D162" s="1"/>
      <c r="E162" s="1"/>
      <c r="F162" s="95"/>
      <c r="G162" s="95"/>
      <c r="H162" s="1"/>
      <c r="I162" s="95"/>
      <c r="J162" s="95"/>
      <c r="K162" s="1"/>
      <c r="L162" t="str">
        <f t="shared" si="2"/>
        <v/>
      </c>
    </row>
    <row r="163" spans="1:12" x14ac:dyDescent="0.25">
      <c r="A163" s="11"/>
      <c r="B163" s="94"/>
      <c r="C163" s="1"/>
      <c r="D163" s="1"/>
      <c r="E163" s="1"/>
      <c r="F163" s="95"/>
      <c r="G163" s="95"/>
      <c r="H163" s="1"/>
      <c r="I163" s="95"/>
      <c r="J163" s="95"/>
      <c r="K163" s="1"/>
      <c r="L163" t="str">
        <f t="shared" si="2"/>
        <v/>
      </c>
    </row>
    <row r="164" spans="1:12" x14ac:dyDescent="0.25">
      <c r="A164" s="11"/>
      <c r="B164" s="94"/>
      <c r="C164" s="1"/>
      <c r="D164" s="1"/>
      <c r="E164" s="1"/>
      <c r="F164" s="95"/>
      <c r="G164" s="95"/>
      <c r="H164" s="1"/>
      <c r="I164" s="95"/>
      <c r="J164" s="95"/>
      <c r="K164" s="1"/>
      <c r="L164" t="str">
        <f t="shared" si="2"/>
        <v/>
      </c>
    </row>
    <row r="165" spans="1:12" x14ac:dyDescent="0.25">
      <c r="A165" s="11"/>
      <c r="B165" s="94"/>
      <c r="C165" s="1"/>
      <c r="D165" s="1"/>
      <c r="E165" s="1"/>
      <c r="F165" s="95"/>
      <c r="G165" s="95"/>
      <c r="H165" s="1"/>
      <c r="I165" s="95"/>
      <c r="J165" s="95"/>
      <c r="K165" s="1"/>
      <c r="L165" t="str">
        <f t="shared" si="2"/>
        <v/>
      </c>
    </row>
    <row r="166" spans="1:12" x14ac:dyDescent="0.25">
      <c r="A166" s="11"/>
      <c r="B166" s="94"/>
      <c r="C166" s="1"/>
      <c r="D166" s="1"/>
      <c r="E166" s="1"/>
      <c r="F166" s="95"/>
      <c r="G166" s="95"/>
      <c r="H166" s="1"/>
      <c r="I166" s="95"/>
      <c r="J166" s="95"/>
      <c r="K166" s="1"/>
      <c r="L166" t="str">
        <f t="shared" si="2"/>
        <v/>
      </c>
    </row>
    <row r="167" spans="1:12" x14ac:dyDescent="0.25">
      <c r="A167" s="11"/>
      <c r="B167" s="94"/>
      <c r="C167" s="1"/>
      <c r="D167" s="1"/>
      <c r="E167" s="1"/>
      <c r="F167" s="95"/>
      <c r="G167" s="95"/>
      <c r="H167" s="1"/>
      <c r="I167" s="95"/>
      <c r="J167" s="95"/>
      <c r="K167" s="1"/>
      <c r="L167" t="str">
        <f t="shared" si="2"/>
        <v/>
      </c>
    </row>
    <row r="168" spans="1:12" x14ac:dyDescent="0.25">
      <c r="A168" s="11"/>
      <c r="B168" s="94"/>
      <c r="C168" s="1"/>
      <c r="D168" s="1"/>
      <c r="E168" s="1"/>
      <c r="F168" s="95"/>
      <c r="G168" s="95"/>
      <c r="H168" s="1"/>
      <c r="I168" s="95"/>
      <c r="J168" s="95"/>
      <c r="K168" s="1"/>
      <c r="L168" t="str">
        <f t="shared" si="2"/>
        <v/>
      </c>
    </row>
    <row r="169" spans="1:12" x14ac:dyDescent="0.25">
      <c r="A169" s="11"/>
      <c r="B169" s="94"/>
      <c r="C169" s="1"/>
      <c r="D169" s="1"/>
      <c r="E169" s="1"/>
      <c r="F169" s="95"/>
      <c r="G169" s="95"/>
      <c r="H169" s="1"/>
      <c r="I169" s="95"/>
      <c r="J169" s="95"/>
      <c r="K169" s="1"/>
      <c r="L169" t="str">
        <f t="shared" si="2"/>
        <v/>
      </c>
    </row>
    <row r="170" spans="1:12" x14ac:dyDescent="0.25">
      <c r="A170" s="11"/>
      <c r="B170" s="94"/>
      <c r="C170" s="1"/>
      <c r="D170" s="1"/>
      <c r="E170" s="1"/>
      <c r="F170" s="95"/>
      <c r="G170" s="95"/>
      <c r="H170" s="1"/>
      <c r="I170" s="95"/>
      <c r="J170" s="95"/>
      <c r="K170" s="1"/>
      <c r="L170" t="str">
        <f t="shared" si="2"/>
        <v/>
      </c>
    </row>
    <row r="171" spans="1:12" x14ac:dyDescent="0.25">
      <c r="A171" s="11"/>
      <c r="B171" s="94"/>
      <c r="C171" s="1"/>
      <c r="D171" s="1"/>
      <c r="E171" s="1"/>
      <c r="F171" s="95"/>
      <c r="G171" s="95"/>
      <c r="H171" s="1"/>
      <c r="I171" s="95"/>
      <c r="J171" s="95"/>
      <c r="K171" s="1"/>
      <c r="L171" t="str">
        <f t="shared" si="2"/>
        <v/>
      </c>
    </row>
    <row r="172" spans="1:12" x14ac:dyDescent="0.25">
      <c r="A172" s="11"/>
      <c r="B172" s="94"/>
      <c r="C172" s="1"/>
      <c r="D172" s="1"/>
      <c r="E172" s="1"/>
      <c r="F172" s="95"/>
      <c r="G172" s="95"/>
      <c r="H172" s="1"/>
      <c r="I172" s="95"/>
      <c r="J172" s="95"/>
      <c r="K172" s="1"/>
      <c r="L172" t="str">
        <f t="shared" si="2"/>
        <v/>
      </c>
    </row>
    <row r="173" spans="1:12" x14ac:dyDescent="0.25">
      <c r="A173" s="11"/>
      <c r="B173" s="94"/>
      <c r="C173" s="1"/>
      <c r="D173" s="1"/>
      <c r="E173" s="1"/>
      <c r="F173" s="95"/>
      <c r="G173" s="95"/>
      <c r="H173" s="1"/>
      <c r="I173" s="95"/>
      <c r="J173" s="95"/>
      <c r="K173" s="1"/>
      <c r="L173" t="str">
        <f t="shared" si="2"/>
        <v/>
      </c>
    </row>
    <row r="174" spans="1:12" x14ac:dyDescent="0.25">
      <c r="A174" s="11"/>
      <c r="B174" s="94"/>
      <c r="C174" s="1"/>
      <c r="D174" s="1"/>
      <c r="E174" s="1"/>
      <c r="F174" s="95"/>
      <c r="G174" s="95"/>
      <c r="H174" s="1"/>
      <c r="I174" s="95"/>
      <c r="J174" s="95"/>
      <c r="K174" s="1"/>
      <c r="L174" t="str">
        <f t="shared" si="2"/>
        <v/>
      </c>
    </row>
    <row r="175" spans="1:12" x14ac:dyDescent="0.25">
      <c r="A175" s="11"/>
      <c r="B175" s="94"/>
      <c r="C175" s="1"/>
      <c r="D175" s="1"/>
      <c r="E175" s="1"/>
      <c r="F175" s="95"/>
      <c r="G175" s="95"/>
      <c r="H175" s="1"/>
      <c r="I175" s="95"/>
      <c r="J175" s="95"/>
      <c r="K175" s="1"/>
      <c r="L175" t="str">
        <f t="shared" si="2"/>
        <v/>
      </c>
    </row>
    <row r="176" spans="1:12" x14ac:dyDescent="0.25">
      <c r="A176" s="11"/>
      <c r="B176" s="94"/>
      <c r="C176" s="1"/>
      <c r="D176" s="1"/>
      <c r="E176" s="1"/>
      <c r="F176" s="95"/>
      <c r="G176" s="95"/>
      <c r="H176" s="1"/>
      <c r="I176" s="95"/>
      <c r="J176" s="95"/>
      <c r="K176" s="1"/>
      <c r="L176" t="str">
        <f t="shared" si="2"/>
        <v/>
      </c>
    </row>
    <row r="177" spans="1:12" x14ac:dyDescent="0.25">
      <c r="A177" s="11"/>
      <c r="B177" s="94"/>
      <c r="C177" s="1"/>
      <c r="D177" s="1"/>
      <c r="E177" s="1"/>
      <c r="F177" s="95"/>
      <c r="G177" s="95"/>
      <c r="H177" s="1"/>
      <c r="I177" s="95"/>
      <c r="J177" s="95"/>
      <c r="K177" s="1"/>
      <c r="L177" t="str">
        <f t="shared" si="2"/>
        <v/>
      </c>
    </row>
    <row r="178" spans="1:12" x14ac:dyDescent="0.25">
      <c r="A178" s="11"/>
      <c r="B178" s="94"/>
      <c r="C178" s="1"/>
      <c r="D178" s="1"/>
      <c r="E178" s="1"/>
      <c r="F178" s="95"/>
      <c r="G178" s="95"/>
      <c r="H178" s="1"/>
      <c r="I178" s="95"/>
      <c r="J178" s="95"/>
      <c r="K178" s="1"/>
      <c r="L178" t="str">
        <f t="shared" si="2"/>
        <v/>
      </c>
    </row>
    <row r="179" spans="1:12" x14ac:dyDescent="0.25">
      <c r="A179" s="11"/>
      <c r="B179" s="94"/>
      <c r="C179" s="1"/>
      <c r="D179" s="1"/>
      <c r="E179" s="1"/>
      <c r="F179" s="95"/>
      <c r="G179" s="95"/>
      <c r="H179" s="1"/>
      <c r="I179" s="95"/>
      <c r="J179" s="95"/>
      <c r="K179" s="1"/>
      <c r="L179" t="str">
        <f t="shared" si="2"/>
        <v/>
      </c>
    </row>
    <row r="180" spans="1:12" x14ac:dyDescent="0.25">
      <c r="A180" s="11"/>
      <c r="B180" s="94"/>
      <c r="C180" s="1"/>
      <c r="D180" s="1"/>
      <c r="E180" s="1"/>
      <c r="F180" s="95"/>
      <c r="G180" s="95"/>
      <c r="H180" s="1"/>
      <c r="I180" s="95"/>
      <c r="J180" s="95"/>
      <c r="K180" s="1"/>
      <c r="L180" t="str">
        <f t="shared" si="2"/>
        <v/>
      </c>
    </row>
    <row r="181" spans="1:12" x14ac:dyDescent="0.25">
      <c r="A181" s="11"/>
      <c r="B181" s="94"/>
      <c r="C181" s="1"/>
      <c r="D181" s="1"/>
      <c r="E181" s="1"/>
      <c r="F181" s="95"/>
      <c r="G181" s="95"/>
      <c r="H181" s="1"/>
      <c r="I181" s="95"/>
      <c r="J181" s="95"/>
      <c r="K181" s="1"/>
      <c r="L181" t="str">
        <f t="shared" si="2"/>
        <v/>
      </c>
    </row>
    <row r="182" spans="1:12" x14ac:dyDescent="0.25">
      <c r="A182" s="11"/>
      <c r="B182" s="94"/>
      <c r="C182" s="1"/>
      <c r="D182" s="1"/>
      <c r="E182" s="1"/>
      <c r="F182" s="95"/>
      <c r="G182" s="95"/>
      <c r="H182" s="1"/>
      <c r="I182" s="95"/>
      <c r="J182" s="95"/>
      <c r="K182" s="1"/>
      <c r="L182" t="str">
        <f t="shared" si="2"/>
        <v/>
      </c>
    </row>
    <row r="183" spans="1:12" x14ac:dyDescent="0.25">
      <c r="A183" s="11"/>
      <c r="B183" s="94"/>
      <c r="C183" s="1"/>
      <c r="D183" s="1"/>
      <c r="E183" s="1"/>
      <c r="F183" s="95"/>
      <c r="G183" s="95"/>
      <c r="H183" s="1"/>
      <c r="I183" s="95"/>
      <c r="J183" s="95"/>
      <c r="K183" s="1"/>
      <c r="L183" t="str">
        <f t="shared" si="2"/>
        <v/>
      </c>
    </row>
    <row r="184" spans="1:12" x14ac:dyDescent="0.25">
      <c r="A184" s="11"/>
      <c r="B184" s="94"/>
      <c r="C184" s="1"/>
      <c r="D184" s="1"/>
      <c r="E184" s="1"/>
      <c r="F184" s="95"/>
      <c r="G184" s="95"/>
      <c r="H184" s="1"/>
      <c r="I184" s="95"/>
      <c r="J184" s="95"/>
      <c r="K184" s="1"/>
      <c r="L184" t="str">
        <f t="shared" si="2"/>
        <v/>
      </c>
    </row>
    <row r="185" spans="1:12" x14ac:dyDescent="0.25">
      <c r="A185" s="11"/>
      <c r="B185" s="94"/>
      <c r="C185" s="1"/>
      <c r="D185" s="1"/>
      <c r="E185" s="1"/>
      <c r="F185" s="95"/>
      <c r="G185" s="95"/>
      <c r="H185" s="1"/>
      <c r="I185" s="95"/>
      <c r="J185" s="95"/>
      <c r="K185" s="1"/>
      <c r="L185" t="str">
        <f t="shared" si="2"/>
        <v/>
      </c>
    </row>
    <row r="186" spans="1:12" x14ac:dyDescent="0.25">
      <c r="A186" s="11"/>
      <c r="B186" s="94"/>
      <c r="C186" s="1"/>
      <c r="D186" s="1"/>
      <c r="E186" s="1"/>
      <c r="F186" s="95"/>
      <c r="G186" s="95"/>
      <c r="H186" s="1"/>
      <c r="I186" s="95"/>
      <c r="J186" s="95"/>
      <c r="K186" s="1"/>
      <c r="L186" t="str">
        <f t="shared" si="2"/>
        <v/>
      </c>
    </row>
    <row r="187" spans="1:12" x14ac:dyDescent="0.25">
      <c r="A187" s="11"/>
      <c r="B187" s="94"/>
      <c r="C187" s="1"/>
      <c r="D187" s="1"/>
      <c r="E187" s="1"/>
      <c r="F187" s="95"/>
      <c r="G187" s="95"/>
      <c r="H187" s="1"/>
      <c r="I187" s="95"/>
      <c r="J187" s="95"/>
      <c r="K187" s="1"/>
      <c r="L187" t="str">
        <f t="shared" si="2"/>
        <v/>
      </c>
    </row>
    <row r="188" spans="1:12" x14ac:dyDescent="0.25">
      <c r="A188" s="11"/>
      <c r="B188" s="94"/>
      <c r="C188" s="1"/>
      <c r="D188" s="1"/>
      <c r="E188" s="1"/>
      <c r="F188" s="95"/>
      <c r="G188" s="95"/>
      <c r="H188" s="1"/>
      <c r="I188" s="95"/>
      <c r="J188" s="95"/>
      <c r="K188" s="1"/>
      <c r="L188" t="str">
        <f t="shared" si="2"/>
        <v/>
      </c>
    </row>
    <row r="189" spans="1:12" x14ac:dyDescent="0.25">
      <c r="A189" s="11"/>
      <c r="B189" s="94"/>
      <c r="C189" s="1"/>
      <c r="D189" s="1"/>
      <c r="E189" s="1"/>
      <c r="F189" s="95"/>
      <c r="G189" s="95"/>
      <c r="H189" s="1"/>
      <c r="I189" s="95"/>
      <c r="J189" s="95"/>
      <c r="K189" s="1"/>
      <c r="L189" t="str">
        <f t="shared" si="2"/>
        <v/>
      </c>
    </row>
    <row r="190" spans="1:12" x14ac:dyDescent="0.25">
      <c r="A190" s="11"/>
      <c r="B190" s="94"/>
      <c r="C190" s="1"/>
      <c r="D190" s="1"/>
      <c r="E190" s="1"/>
      <c r="F190" s="95"/>
      <c r="G190" s="95"/>
      <c r="H190" s="1"/>
      <c r="I190" s="95"/>
      <c r="J190" s="95"/>
      <c r="K190" s="1"/>
      <c r="L190" t="str">
        <f t="shared" si="2"/>
        <v/>
      </c>
    </row>
    <row r="191" spans="1:12" x14ac:dyDescent="0.25">
      <c r="A191" s="11"/>
      <c r="B191" s="94"/>
      <c r="C191" s="1"/>
      <c r="D191" s="1"/>
      <c r="E191" s="1"/>
      <c r="F191" s="95"/>
      <c r="G191" s="95"/>
      <c r="H191" s="1"/>
      <c r="I191" s="95"/>
      <c r="J191" s="95"/>
      <c r="K191" s="1"/>
      <c r="L191" t="str">
        <f t="shared" si="2"/>
        <v/>
      </c>
    </row>
    <row r="192" spans="1:12" x14ac:dyDescent="0.25">
      <c r="A192" s="11"/>
      <c r="B192" s="94"/>
      <c r="C192" s="1"/>
      <c r="D192" s="1"/>
      <c r="E192" s="1"/>
      <c r="F192" s="95"/>
      <c r="G192" s="95"/>
      <c r="H192" s="1"/>
      <c r="I192" s="95"/>
      <c r="J192" s="95"/>
      <c r="K192" s="1"/>
      <c r="L192" t="str">
        <f t="shared" si="2"/>
        <v/>
      </c>
    </row>
    <row r="193" spans="1:12" x14ac:dyDescent="0.25">
      <c r="A193" s="11"/>
      <c r="B193" s="94"/>
      <c r="C193" s="1"/>
      <c r="D193" s="1"/>
      <c r="E193" s="1"/>
      <c r="F193" s="95"/>
      <c r="G193" s="95"/>
      <c r="H193" s="1"/>
      <c r="I193" s="95"/>
      <c r="J193" s="95"/>
      <c r="K193" s="1"/>
      <c r="L193" t="str">
        <f t="shared" si="2"/>
        <v/>
      </c>
    </row>
    <row r="194" spans="1:12" x14ac:dyDescent="0.25">
      <c r="A194" s="11"/>
      <c r="B194" s="94"/>
      <c r="C194" s="1"/>
      <c r="D194" s="1"/>
      <c r="E194" s="1"/>
      <c r="F194" s="95"/>
      <c r="G194" s="95"/>
      <c r="H194" s="1"/>
      <c r="I194" s="95"/>
      <c r="J194" s="95"/>
      <c r="K194" s="1"/>
      <c r="L194" t="str">
        <f t="shared" si="2"/>
        <v/>
      </c>
    </row>
    <row r="195" spans="1:12" x14ac:dyDescent="0.25">
      <c r="A195" s="11"/>
      <c r="B195" s="94"/>
      <c r="C195" s="1"/>
      <c r="D195" s="1"/>
      <c r="E195" s="1"/>
      <c r="F195" s="95"/>
      <c r="G195" s="95"/>
      <c r="H195" s="1"/>
      <c r="I195" s="95"/>
      <c r="J195" s="95"/>
      <c r="K195" s="1"/>
      <c r="L195" t="str">
        <f t="shared" ref="L195:L258" si="3">IF(K195="Pass",CONCATENATE(A195," - ",IF(E195="ABS",CONCATENATE("ABS : TF ",F195," deg / ",G195," %"),IF(E195="IH",CONCATENATE("IH: INC ",F195," deg / ",G195," %"),IF(E195="HIA",CONCATENATE("HIA: INC ",F195," deg / AZI ",G195," deg"),"")))),"")</f>
        <v/>
      </c>
    </row>
    <row r="196" spans="1:12" x14ac:dyDescent="0.25">
      <c r="A196" s="11"/>
      <c r="B196" s="94"/>
      <c r="C196" s="1"/>
      <c r="D196" s="1"/>
      <c r="E196" s="1"/>
      <c r="F196" s="95"/>
      <c r="G196" s="95"/>
      <c r="H196" s="1"/>
      <c r="I196" s="95"/>
      <c r="J196" s="95"/>
      <c r="K196" s="1"/>
      <c r="L196" t="str">
        <f t="shared" si="3"/>
        <v/>
      </c>
    </row>
    <row r="197" spans="1:12" x14ac:dyDescent="0.25">
      <c r="A197" s="11"/>
      <c r="B197" s="94"/>
      <c r="C197" s="1"/>
      <c r="D197" s="1"/>
      <c r="E197" s="1"/>
      <c r="F197" s="95"/>
      <c r="G197" s="95"/>
      <c r="H197" s="1"/>
      <c r="I197" s="95"/>
      <c r="J197" s="95"/>
      <c r="K197" s="1"/>
      <c r="L197" t="str">
        <f t="shared" si="3"/>
        <v/>
      </c>
    </row>
    <row r="198" spans="1:12" x14ac:dyDescent="0.25">
      <c r="A198" s="11"/>
      <c r="B198" s="94"/>
      <c r="C198" s="1"/>
      <c r="D198" s="1"/>
      <c r="E198" s="1"/>
      <c r="F198" s="95"/>
      <c r="G198" s="95"/>
      <c r="H198" s="1"/>
      <c r="I198" s="95"/>
      <c r="J198" s="95"/>
      <c r="K198" s="1"/>
      <c r="L198" t="str">
        <f t="shared" si="3"/>
        <v/>
      </c>
    </row>
    <row r="199" spans="1:12" x14ac:dyDescent="0.25">
      <c r="A199" s="11"/>
      <c r="B199" s="94"/>
      <c r="C199" s="1"/>
      <c r="D199" s="1"/>
      <c r="E199" s="1"/>
      <c r="F199" s="95"/>
      <c r="G199" s="95"/>
      <c r="H199" s="1"/>
      <c r="I199" s="95"/>
      <c r="J199" s="95"/>
      <c r="K199" s="1"/>
      <c r="L199" t="str">
        <f t="shared" si="3"/>
        <v/>
      </c>
    </row>
    <row r="200" spans="1:12" x14ac:dyDescent="0.25">
      <c r="A200" s="11"/>
      <c r="B200" s="94"/>
      <c r="C200" s="1"/>
      <c r="D200" s="1"/>
      <c r="E200" s="1"/>
      <c r="F200" s="95"/>
      <c r="G200" s="95"/>
      <c r="H200" s="1"/>
      <c r="I200" s="95"/>
      <c r="J200" s="95"/>
      <c r="K200" s="1"/>
      <c r="L200" t="str">
        <f t="shared" si="3"/>
        <v/>
      </c>
    </row>
    <row r="201" spans="1:12" x14ac:dyDescent="0.25">
      <c r="A201" s="11"/>
      <c r="B201" s="94"/>
      <c r="C201" s="1"/>
      <c r="D201" s="1"/>
      <c r="E201" s="1"/>
      <c r="F201" s="95"/>
      <c r="G201" s="95"/>
      <c r="H201" s="1"/>
      <c r="I201" s="95"/>
      <c r="J201" s="95"/>
      <c r="K201" s="1"/>
      <c r="L201" t="str">
        <f t="shared" si="3"/>
        <v/>
      </c>
    </row>
    <row r="202" spans="1:12" x14ac:dyDescent="0.25">
      <c r="A202" s="11"/>
      <c r="B202" s="94"/>
      <c r="C202" s="1"/>
      <c r="D202" s="1"/>
      <c r="E202" s="1"/>
      <c r="F202" s="95"/>
      <c r="G202" s="95"/>
      <c r="H202" s="1"/>
      <c r="I202" s="95"/>
      <c r="J202" s="95"/>
      <c r="K202" s="1"/>
      <c r="L202" t="str">
        <f t="shared" si="3"/>
        <v/>
      </c>
    </row>
    <row r="203" spans="1:12" x14ac:dyDescent="0.25">
      <c r="A203" s="11"/>
      <c r="B203" s="94"/>
      <c r="C203" s="1"/>
      <c r="D203" s="1"/>
      <c r="E203" s="1"/>
      <c r="F203" s="95"/>
      <c r="G203" s="95"/>
      <c r="H203" s="1"/>
      <c r="I203" s="95"/>
      <c r="J203" s="95"/>
      <c r="K203" s="1"/>
      <c r="L203" t="str">
        <f t="shared" si="3"/>
        <v/>
      </c>
    </row>
    <row r="204" spans="1:12" x14ac:dyDescent="0.25">
      <c r="A204" s="11"/>
      <c r="B204" s="94"/>
      <c r="C204" s="1"/>
      <c r="D204" s="1"/>
      <c r="E204" s="1"/>
      <c r="F204" s="95"/>
      <c r="G204" s="95"/>
      <c r="H204" s="1"/>
      <c r="I204" s="95"/>
      <c r="J204" s="95"/>
      <c r="K204" s="1"/>
      <c r="L204" t="str">
        <f t="shared" si="3"/>
        <v/>
      </c>
    </row>
    <row r="205" spans="1:12" x14ac:dyDescent="0.25">
      <c r="A205" s="11"/>
      <c r="B205" s="94"/>
      <c r="C205" s="1"/>
      <c r="D205" s="1"/>
      <c r="E205" s="1"/>
      <c r="F205" s="95"/>
      <c r="G205" s="95"/>
      <c r="H205" s="1"/>
      <c r="I205" s="95"/>
      <c r="J205" s="95"/>
      <c r="K205" s="1"/>
      <c r="L205" t="str">
        <f t="shared" si="3"/>
        <v/>
      </c>
    </row>
    <row r="206" spans="1:12" x14ac:dyDescent="0.25">
      <c r="A206" s="11"/>
      <c r="B206" s="94"/>
      <c r="C206" s="1"/>
      <c r="D206" s="1"/>
      <c r="E206" s="1"/>
      <c r="F206" s="95"/>
      <c r="G206" s="95"/>
      <c r="H206" s="1"/>
      <c r="I206" s="95"/>
      <c r="J206" s="95"/>
      <c r="K206" s="1"/>
      <c r="L206" t="str">
        <f t="shared" si="3"/>
        <v/>
      </c>
    </row>
    <row r="207" spans="1:12" x14ac:dyDescent="0.25">
      <c r="A207" s="11"/>
      <c r="B207" s="94"/>
      <c r="C207" s="1"/>
      <c r="D207" s="1"/>
      <c r="E207" s="1"/>
      <c r="F207" s="95"/>
      <c r="G207" s="95"/>
      <c r="H207" s="1"/>
      <c r="I207" s="95"/>
      <c r="J207" s="95"/>
      <c r="K207" s="1"/>
      <c r="L207" t="str">
        <f t="shared" si="3"/>
        <v/>
      </c>
    </row>
    <row r="208" spans="1:12" x14ac:dyDescent="0.25">
      <c r="A208" s="11"/>
      <c r="B208" s="94"/>
      <c r="C208" s="1"/>
      <c r="D208" s="1"/>
      <c r="E208" s="1"/>
      <c r="F208" s="95"/>
      <c r="G208" s="95"/>
      <c r="H208" s="1"/>
      <c r="I208" s="95"/>
      <c r="J208" s="95"/>
      <c r="K208" s="1"/>
      <c r="L208" t="str">
        <f t="shared" si="3"/>
        <v/>
      </c>
    </row>
    <row r="209" spans="1:12" x14ac:dyDescent="0.25">
      <c r="A209" s="11"/>
      <c r="B209" s="94"/>
      <c r="C209" s="1"/>
      <c r="D209" s="1"/>
      <c r="E209" s="1"/>
      <c r="F209" s="95"/>
      <c r="G209" s="95"/>
      <c r="H209" s="1"/>
      <c r="I209" s="95"/>
      <c r="J209" s="95"/>
      <c r="K209" s="1"/>
      <c r="L209" t="str">
        <f t="shared" si="3"/>
        <v/>
      </c>
    </row>
    <row r="210" spans="1:12" x14ac:dyDescent="0.25">
      <c r="A210" s="11"/>
      <c r="B210" s="94"/>
      <c r="C210" s="1"/>
      <c r="D210" s="1"/>
      <c r="E210" s="1"/>
      <c r="F210" s="95"/>
      <c r="G210" s="95"/>
      <c r="H210" s="1"/>
      <c r="I210" s="95"/>
      <c r="J210" s="95"/>
      <c r="K210" s="1"/>
      <c r="L210" t="str">
        <f t="shared" si="3"/>
        <v/>
      </c>
    </row>
    <row r="211" spans="1:12" x14ac:dyDescent="0.25">
      <c r="A211" s="11"/>
      <c r="B211" s="94"/>
      <c r="C211" s="1"/>
      <c r="D211" s="1"/>
      <c r="E211" s="1"/>
      <c r="F211" s="95"/>
      <c r="G211" s="95"/>
      <c r="H211" s="1"/>
      <c r="I211" s="95"/>
      <c r="J211" s="95"/>
      <c r="K211" s="1"/>
      <c r="L211" t="str">
        <f t="shared" si="3"/>
        <v/>
      </c>
    </row>
    <row r="212" spans="1:12" x14ac:dyDescent="0.25">
      <c r="A212" s="11"/>
      <c r="B212" s="94"/>
      <c r="C212" s="1"/>
      <c r="D212" s="1"/>
      <c r="E212" s="1"/>
      <c r="F212" s="95"/>
      <c r="G212" s="95"/>
      <c r="H212" s="1"/>
      <c r="I212" s="95"/>
      <c r="J212" s="95"/>
      <c r="K212" s="1"/>
      <c r="L212" t="str">
        <f t="shared" si="3"/>
        <v/>
      </c>
    </row>
    <row r="213" spans="1:12" x14ac:dyDescent="0.25">
      <c r="A213" s="11"/>
      <c r="B213" s="94"/>
      <c r="C213" s="1"/>
      <c r="D213" s="1"/>
      <c r="E213" s="1"/>
      <c r="F213" s="95"/>
      <c r="G213" s="95"/>
      <c r="H213" s="1"/>
      <c r="I213" s="95"/>
      <c r="J213" s="95"/>
      <c r="K213" s="1"/>
      <c r="L213" t="str">
        <f t="shared" si="3"/>
        <v/>
      </c>
    </row>
    <row r="214" spans="1:12" x14ac:dyDescent="0.25">
      <c r="A214" s="11"/>
      <c r="B214" s="94"/>
      <c r="C214" s="1"/>
      <c r="D214" s="1"/>
      <c r="E214" s="1"/>
      <c r="F214" s="95"/>
      <c r="G214" s="95"/>
      <c r="H214" s="1"/>
      <c r="I214" s="95"/>
      <c r="J214" s="95"/>
      <c r="K214" s="1"/>
      <c r="L214" t="str">
        <f t="shared" si="3"/>
        <v/>
      </c>
    </row>
    <row r="215" spans="1:12" x14ac:dyDescent="0.25">
      <c r="A215" s="11"/>
      <c r="B215" s="94"/>
      <c r="C215" s="1"/>
      <c r="D215" s="1"/>
      <c r="E215" s="1"/>
      <c r="F215" s="95"/>
      <c r="G215" s="95"/>
      <c r="H215" s="1"/>
      <c r="I215" s="95"/>
      <c r="J215" s="95"/>
      <c r="K215" s="1"/>
      <c r="L215" t="str">
        <f t="shared" si="3"/>
        <v/>
      </c>
    </row>
    <row r="216" spans="1:12" x14ac:dyDescent="0.25">
      <c r="A216" s="11"/>
      <c r="B216" s="94"/>
      <c r="C216" s="1"/>
      <c r="D216" s="1"/>
      <c r="E216" s="1"/>
      <c r="F216" s="95"/>
      <c r="G216" s="95"/>
      <c r="H216" s="1"/>
      <c r="I216" s="95"/>
      <c r="J216" s="95"/>
      <c r="K216" s="1"/>
      <c r="L216" t="str">
        <f t="shared" si="3"/>
        <v/>
      </c>
    </row>
    <row r="217" spans="1:12" x14ac:dyDescent="0.25">
      <c r="A217" s="11"/>
      <c r="B217" s="94"/>
      <c r="C217" s="1"/>
      <c r="D217" s="1"/>
      <c r="E217" s="1"/>
      <c r="F217" s="95"/>
      <c r="G217" s="95"/>
      <c r="H217" s="1"/>
      <c r="I217" s="95"/>
      <c r="J217" s="95"/>
      <c r="K217" s="1"/>
      <c r="L217" t="str">
        <f t="shared" si="3"/>
        <v/>
      </c>
    </row>
    <row r="218" spans="1:12" x14ac:dyDescent="0.25">
      <c r="A218" s="11"/>
      <c r="B218" s="94"/>
      <c r="C218" s="1"/>
      <c r="D218" s="1"/>
      <c r="E218" s="1"/>
      <c r="F218" s="95"/>
      <c r="G218" s="95"/>
      <c r="H218" s="1"/>
      <c r="I218" s="95"/>
      <c r="J218" s="95"/>
      <c r="K218" s="1"/>
      <c r="L218" t="str">
        <f t="shared" si="3"/>
        <v/>
      </c>
    </row>
    <row r="219" spans="1:12" x14ac:dyDescent="0.25">
      <c r="A219" s="11"/>
      <c r="B219" s="94"/>
      <c r="C219" s="1"/>
      <c r="D219" s="1"/>
      <c r="E219" s="1"/>
      <c r="F219" s="95"/>
      <c r="G219" s="95"/>
      <c r="H219" s="1"/>
      <c r="I219" s="95"/>
      <c r="J219" s="95"/>
      <c r="K219" s="1"/>
      <c r="L219" t="str">
        <f t="shared" si="3"/>
        <v/>
      </c>
    </row>
    <row r="220" spans="1:12" x14ac:dyDescent="0.25">
      <c r="A220" s="11"/>
      <c r="B220" s="94"/>
      <c r="C220" s="1"/>
      <c r="D220" s="1"/>
      <c r="E220" s="1"/>
      <c r="F220" s="95"/>
      <c r="G220" s="95"/>
      <c r="H220" s="1"/>
      <c r="I220" s="95"/>
      <c r="J220" s="95"/>
      <c r="K220" s="1"/>
      <c r="L220" t="str">
        <f t="shared" si="3"/>
        <v/>
      </c>
    </row>
    <row r="221" spans="1:12" x14ac:dyDescent="0.25">
      <c r="A221" s="11"/>
      <c r="B221" s="94"/>
      <c r="C221" s="1"/>
      <c r="D221" s="1"/>
      <c r="E221" s="1"/>
      <c r="F221" s="95"/>
      <c r="G221" s="95"/>
      <c r="H221" s="1"/>
      <c r="I221" s="95"/>
      <c r="J221" s="95"/>
      <c r="K221" s="1"/>
      <c r="L221" t="str">
        <f t="shared" si="3"/>
        <v/>
      </c>
    </row>
    <row r="222" spans="1:12" x14ac:dyDescent="0.25">
      <c r="A222" s="11"/>
      <c r="B222" s="94"/>
      <c r="C222" s="1"/>
      <c r="D222" s="1"/>
      <c r="E222" s="1"/>
      <c r="F222" s="95"/>
      <c r="G222" s="95"/>
      <c r="H222" s="1"/>
      <c r="I222" s="95"/>
      <c r="J222" s="95"/>
      <c r="K222" s="1"/>
      <c r="L222" t="str">
        <f t="shared" si="3"/>
        <v/>
      </c>
    </row>
    <row r="223" spans="1:12" x14ac:dyDescent="0.25">
      <c r="A223" s="11"/>
      <c r="B223" s="94"/>
      <c r="C223" s="1"/>
      <c r="D223" s="1"/>
      <c r="E223" s="1"/>
      <c r="F223" s="95"/>
      <c r="G223" s="95"/>
      <c r="H223" s="1"/>
      <c r="I223" s="95"/>
      <c r="J223" s="95"/>
      <c r="K223" s="1"/>
      <c r="L223" t="str">
        <f t="shared" si="3"/>
        <v/>
      </c>
    </row>
    <row r="224" spans="1:12" x14ac:dyDescent="0.25">
      <c r="A224" s="11"/>
      <c r="B224" s="94"/>
      <c r="C224" s="1"/>
      <c r="D224" s="1"/>
      <c r="E224" s="1"/>
      <c r="F224" s="95"/>
      <c r="G224" s="95"/>
      <c r="H224" s="1"/>
      <c r="I224" s="95"/>
      <c r="J224" s="95"/>
      <c r="K224" s="1"/>
      <c r="L224" t="str">
        <f t="shared" si="3"/>
        <v/>
      </c>
    </row>
    <row r="225" spans="1:12" x14ac:dyDescent="0.25">
      <c r="A225" s="11"/>
      <c r="B225" s="94"/>
      <c r="C225" s="1"/>
      <c r="D225" s="1"/>
      <c r="E225" s="1"/>
      <c r="F225" s="95"/>
      <c r="G225" s="95"/>
      <c r="H225" s="1"/>
      <c r="I225" s="95"/>
      <c r="J225" s="95"/>
      <c r="K225" s="1"/>
      <c r="L225" t="str">
        <f t="shared" si="3"/>
        <v/>
      </c>
    </row>
    <row r="226" spans="1:12" x14ac:dyDescent="0.25">
      <c r="A226" s="11"/>
      <c r="B226" s="94"/>
      <c r="C226" s="1"/>
      <c r="D226" s="1"/>
      <c r="E226" s="1"/>
      <c r="F226" s="95"/>
      <c r="G226" s="95"/>
      <c r="H226" s="1"/>
      <c r="I226" s="95"/>
      <c r="J226" s="95"/>
      <c r="K226" s="1"/>
      <c r="L226" t="str">
        <f t="shared" si="3"/>
        <v/>
      </c>
    </row>
    <row r="227" spans="1:12" x14ac:dyDescent="0.25">
      <c r="A227" s="11"/>
      <c r="B227" s="94"/>
      <c r="C227" s="1"/>
      <c r="D227" s="1"/>
      <c r="E227" s="1"/>
      <c r="F227" s="95"/>
      <c r="G227" s="95"/>
      <c r="H227" s="1"/>
      <c r="I227" s="95"/>
      <c r="J227" s="95"/>
      <c r="K227" s="1"/>
      <c r="L227" t="str">
        <f t="shared" si="3"/>
        <v/>
      </c>
    </row>
    <row r="228" spans="1:12" x14ac:dyDescent="0.25">
      <c r="A228" s="11"/>
      <c r="B228" s="94"/>
      <c r="C228" s="1"/>
      <c r="D228" s="1"/>
      <c r="E228" s="1"/>
      <c r="F228" s="95"/>
      <c r="G228" s="95"/>
      <c r="H228" s="1"/>
      <c r="I228" s="95"/>
      <c r="J228" s="95"/>
      <c r="K228" s="1"/>
      <c r="L228" t="str">
        <f t="shared" si="3"/>
        <v/>
      </c>
    </row>
    <row r="229" spans="1:12" x14ac:dyDescent="0.25">
      <c r="A229" s="11"/>
      <c r="B229" s="94"/>
      <c r="C229" s="1"/>
      <c r="D229" s="1"/>
      <c r="E229" s="1"/>
      <c r="F229" s="95"/>
      <c r="G229" s="95"/>
      <c r="H229" s="1"/>
      <c r="I229" s="95"/>
      <c r="J229" s="95"/>
      <c r="K229" s="1"/>
      <c r="L229" t="str">
        <f t="shared" si="3"/>
        <v/>
      </c>
    </row>
    <row r="230" spans="1:12" x14ac:dyDescent="0.25">
      <c r="A230" s="11"/>
      <c r="B230" s="94"/>
      <c r="C230" s="1"/>
      <c r="D230" s="1"/>
      <c r="E230" s="1"/>
      <c r="F230" s="95"/>
      <c r="G230" s="95"/>
      <c r="H230" s="1"/>
      <c r="I230" s="95"/>
      <c r="J230" s="95"/>
      <c r="K230" s="1"/>
      <c r="L230" t="str">
        <f t="shared" si="3"/>
        <v/>
      </c>
    </row>
    <row r="231" spans="1:12" x14ac:dyDescent="0.25">
      <c r="A231" s="11"/>
      <c r="B231" s="94"/>
      <c r="C231" s="1"/>
      <c r="D231" s="1"/>
      <c r="E231" s="1"/>
      <c r="F231" s="95"/>
      <c r="G231" s="95"/>
      <c r="H231" s="1"/>
      <c r="I231" s="95"/>
      <c r="J231" s="95"/>
      <c r="K231" s="1"/>
      <c r="L231" t="str">
        <f t="shared" si="3"/>
        <v/>
      </c>
    </row>
    <row r="232" spans="1:12" x14ac:dyDescent="0.25">
      <c r="A232" s="11"/>
      <c r="B232" s="94"/>
      <c r="C232" s="1"/>
      <c r="D232" s="1"/>
      <c r="E232" s="1"/>
      <c r="F232" s="95"/>
      <c r="G232" s="95"/>
      <c r="H232" s="1"/>
      <c r="I232" s="95"/>
      <c r="J232" s="95"/>
      <c r="K232" s="1"/>
      <c r="L232" t="str">
        <f t="shared" si="3"/>
        <v/>
      </c>
    </row>
    <row r="233" spans="1:12" x14ac:dyDescent="0.25">
      <c r="A233" s="11"/>
      <c r="B233" s="94"/>
      <c r="C233" s="1"/>
      <c r="D233" s="1"/>
      <c r="E233" s="1"/>
      <c r="F233" s="95"/>
      <c r="G233" s="95"/>
      <c r="H233" s="1"/>
      <c r="I233" s="95"/>
      <c r="J233" s="95"/>
      <c r="K233" s="1"/>
      <c r="L233" t="str">
        <f t="shared" si="3"/>
        <v/>
      </c>
    </row>
    <row r="234" spans="1:12" x14ac:dyDescent="0.25">
      <c r="A234" s="11"/>
      <c r="B234" s="94"/>
      <c r="C234" s="1"/>
      <c r="D234" s="1"/>
      <c r="E234" s="1"/>
      <c r="F234" s="95"/>
      <c r="G234" s="95"/>
      <c r="H234" s="1"/>
      <c r="I234" s="95"/>
      <c r="J234" s="95"/>
      <c r="K234" s="1"/>
      <c r="L234" t="str">
        <f t="shared" si="3"/>
        <v/>
      </c>
    </row>
    <row r="235" spans="1:12" x14ac:dyDescent="0.25">
      <c r="A235" s="11"/>
      <c r="B235" s="94"/>
      <c r="C235" s="1"/>
      <c r="D235" s="1"/>
      <c r="E235" s="1"/>
      <c r="F235" s="95"/>
      <c r="G235" s="95"/>
      <c r="H235" s="1"/>
      <c r="I235" s="95"/>
      <c r="J235" s="95"/>
      <c r="K235" s="1"/>
      <c r="L235" t="str">
        <f t="shared" si="3"/>
        <v/>
      </c>
    </row>
    <row r="236" spans="1:12" x14ac:dyDescent="0.25">
      <c r="A236" s="11"/>
      <c r="B236" s="94"/>
      <c r="C236" s="1"/>
      <c r="D236" s="1"/>
      <c r="E236" s="1"/>
      <c r="F236" s="95"/>
      <c r="G236" s="95"/>
      <c r="H236" s="1"/>
      <c r="I236" s="95"/>
      <c r="J236" s="95"/>
      <c r="K236" s="1"/>
      <c r="L236" t="str">
        <f t="shared" si="3"/>
        <v/>
      </c>
    </row>
    <row r="237" spans="1:12" x14ac:dyDescent="0.25">
      <c r="A237" s="11"/>
      <c r="B237" s="94"/>
      <c r="C237" s="1"/>
      <c r="D237" s="1"/>
      <c r="E237" s="1"/>
      <c r="F237" s="95"/>
      <c r="G237" s="95"/>
      <c r="H237" s="1"/>
      <c r="I237" s="95"/>
      <c r="J237" s="95"/>
      <c r="K237" s="1"/>
      <c r="L237" t="str">
        <f t="shared" si="3"/>
        <v/>
      </c>
    </row>
    <row r="238" spans="1:12" x14ac:dyDescent="0.25">
      <c r="A238" s="11"/>
      <c r="B238" s="94"/>
      <c r="C238" s="1"/>
      <c r="D238" s="1"/>
      <c r="E238" s="1"/>
      <c r="F238" s="95"/>
      <c r="G238" s="95"/>
      <c r="H238" s="1"/>
      <c r="I238" s="95"/>
      <c r="J238" s="95"/>
      <c r="K238" s="1"/>
      <c r="L238" t="str">
        <f t="shared" si="3"/>
        <v/>
      </c>
    </row>
    <row r="239" spans="1:12" x14ac:dyDescent="0.25">
      <c r="A239" s="11"/>
      <c r="B239" s="94"/>
      <c r="C239" s="1"/>
      <c r="D239" s="1"/>
      <c r="E239" s="1"/>
      <c r="F239" s="95"/>
      <c r="G239" s="95"/>
      <c r="H239" s="1"/>
      <c r="I239" s="95"/>
      <c r="J239" s="95"/>
      <c r="K239" s="1"/>
      <c r="L239" t="str">
        <f t="shared" si="3"/>
        <v/>
      </c>
    </row>
    <row r="240" spans="1:12" x14ac:dyDescent="0.25">
      <c r="A240" s="11"/>
      <c r="B240" s="94"/>
      <c r="C240" s="1"/>
      <c r="D240" s="1"/>
      <c r="E240" s="1"/>
      <c r="F240" s="95"/>
      <c r="G240" s="95"/>
      <c r="H240" s="1"/>
      <c r="I240" s="95"/>
      <c r="J240" s="95"/>
      <c r="K240" s="1"/>
      <c r="L240" t="str">
        <f t="shared" si="3"/>
        <v/>
      </c>
    </row>
    <row r="241" spans="1:12" x14ac:dyDescent="0.25">
      <c r="A241" s="11"/>
      <c r="B241" s="94"/>
      <c r="C241" s="1"/>
      <c r="D241" s="1"/>
      <c r="E241" s="1"/>
      <c r="F241" s="95"/>
      <c r="G241" s="95"/>
      <c r="H241" s="1"/>
      <c r="I241" s="95"/>
      <c r="J241" s="95"/>
      <c r="K241" s="1"/>
      <c r="L241" t="str">
        <f t="shared" si="3"/>
        <v/>
      </c>
    </row>
    <row r="242" spans="1:12" x14ac:dyDescent="0.25">
      <c r="A242" s="11"/>
      <c r="B242" s="94"/>
      <c r="C242" s="1"/>
      <c r="D242" s="1"/>
      <c r="E242" s="1"/>
      <c r="F242" s="95"/>
      <c r="G242" s="95"/>
      <c r="H242" s="1"/>
      <c r="I242" s="95"/>
      <c r="J242" s="95"/>
      <c r="K242" s="1"/>
      <c r="L242" t="str">
        <f t="shared" si="3"/>
        <v/>
      </c>
    </row>
    <row r="243" spans="1:12" x14ac:dyDescent="0.25">
      <c r="A243" s="11"/>
      <c r="B243" s="94"/>
      <c r="C243" s="1"/>
      <c r="D243" s="1"/>
      <c r="E243" s="1"/>
      <c r="F243" s="95"/>
      <c r="G243" s="95"/>
      <c r="H243" s="1"/>
      <c r="I243" s="95"/>
      <c r="J243" s="95"/>
      <c r="K243" s="1"/>
      <c r="L243" t="str">
        <f t="shared" si="3"/>
        <v/>
      </c>
    </row>
    <row r="244" spans="1:12" x14ac:dyDescent="0.25">
      <c r="A244" s="11"/>
      <c r="B244" s="94"/>
      <c r="C244" s="1"/>
      <c r="D244" s="1"/>
      <c r="E244" s="1"/>
      <c r="F244" s="95"/>
      <c r="G244" s="95"/>
      <c r="H244" s="1"/>
      <c r="I244" s="95"/>
      <c r="J244" s="95"/>
      <c r="K244" s="1"/>
      <c r="L244" t="str">
        <f t="shared" si="3"/>
        <v/>
      </c>
    </row>
    <row r="245" spans="1:12" x14ac:dyDescent="0.25">
      <c r="A245" s="11"/>
      <c r="B245" s="94"/>
      <c r="C245" s="1"/>
      <c r="D245" s="1"/>
      <c r="E245" s="1"/>
      <c r="F245" s="95"/>
      <c r="G245" s="95"/>
      <c r="H245" s="1"/>
      <c r="I245" s="95"/>
      <c r="J245" s="95"/>
      <c r="K245" s="1"/>
      <c r="L245" t="str">
        <f t="shared" si="3"/>
        <v/>
      </c>
    </row>
    <row r="246" spans="1:12" x14ac:dyDescent="0.25">
      <c r="A246" s="11"/>
      <c r="B246" s="94"/>
      <c r="C246" s="1"/>
      <c r="D246" s="1"/>
      <c r="E246" s="1"/>
      <c r="F246" s="95"/>
      <c r="G246" s="95"/>
      <c r="H246" s="1"/>
      <c r="I246" s="95"/>
      <c r="J246" s="95"/>
      <c r="K246" s="1"/>
      <c r="L246" t="str">
        <f t="shared" si="3"/>
        <v/>
      </c>
    </row>
    <row r="247" spans="1:12" x14ac:dyDescent="0.25">
      <c r="A247" s="11"/>
      <c r="B247" s="94"/>
      <c r="C247" s="1"/>
      <c r="D247" s="1"/>
      <c r="E247" s="1"/>
      <c r="F247" s="95"/>
      <c r="G247" s="95"/>
      <c r="H247" s="1"/>
      <c r="I247" s="95"/>
      <c r="J247" s="95"/>
      <c r="K247" s="1"/>
      <c r="L247" t="str">
        <f t="shared" si="3"/>
        <v/>
      </c>
    </row>
    <row r="248" spans="1:12" x14ac:dyDescent="0.25">
      <c r="A248" s="11"/>
      <c r="B248" s="94"/>
      <c r="C248" s="1"/>
      <c r="D248" s="1"/>
      <c r="E248" s="1"/>
      <c r="F248" s="95"/>
      <c r="G248" s="95"/>
      <c r="H248" s="1"/>
      <c r="I248" s="95"/>
      <c r="J248" s="95"/>
      <c r="K248" s="1"/>
      <c r="L248" t="str">
        <f t="shared" si="3"/>
        <v/>
      </c>
    </row>
    <row r="249" spans="1:12" x14ac:dyDescent="0.25">
      <c r="A249" s="11"/>
      <c r="B249" s="94"/>
      <c r="C249" s="1"/>
      <c r="D249" s="1"/>
      <c r="E249" s="1"/>
      <c r="F249" s="95"/>
      <c r="G249" s="95"/>
      <c r="H249" s="1"/>
      <c r="I249" s="95"/>
      <c r="J249" s="95"/>
      <c r="K249" s="1"/>
      <c r="L249" t="str">
        <f t="shared" si="3"/>
        <v/>
      </c>
    </row>
    <row r="250" spans="1:12" x14ac:dyDescent="0.25">
      <c r="A250" s="11"/>
      <c r="B250" s="94"/>
      <c r="C250" s="1"/>
      <c r="D250" s="1"/>
      <c r="E250" s="1"/>
      <c r="F250" s="95"/>
      <c r="G250" s="95"/>
      <c r="H250" s="1"/>
      <c r="I250" s="95"/>
      <c r="J250" s="95"/>
      <c r="K250" s="1"/>
      <c r="L250" t="str">
        <f t="shared" si="3"/>
        <v/>
      </c>
    </row>
    <row r="251" spans="1:12" x14ac:dyDescent="0.25">
      <c r="A251" s="11"/>
      <c r="B251" s="94"/>
      <c r="C251" s="1"/>
      <c r="D251" s="1"/>
      <c r="E251" s="1"/>
      <c r="F251" s="95"/>
      <c r="G251" s="95"/>
      <c r="H251" s="1"/>
      <c r="I251" s="95"/>
      <c r="J251" s="95"/>
      <c r="K251" s="1"/>
      <c r="L251" t="str">
        <f t="shared" si="3"/>
        <v/>
      </c>
    </row>
    <row r="252" spans="1:12" x14ac:dyDescent="0.25">
      <c r="A252" s="11"/>
      <c r="B252" s="94"/>
      <c r="C252" s="1"/>
      <c r="D252" s="1"/>
      <c r="E252" s="1"/>
      <c r="F252" s="95"/>
      <c r="G252" s="95"/>
      <c r="H252" s="1"/>
      <c r="I252" s="95"/>
      <c r="J252" s="95"/>
      <c r="K252" s="1"/>
      <c r="L252" t="str">
        <f t="shared" si="3"/>
        <v/>
      </c>
    </row>
    <row r="253" spans="1:12" x14ac:dyDescent="0.25">
      <c r="A253" s="11"/>
      <c r="B253" s="94"/>
      <c r="C253" s="1"/>
      <c r="D253" s="1"/>
      <c r="E253" s="1"/>
      <c r="F253" s="95"/>
      <c r="G253" s="95"/>
      <c r="H253" s="1"/>
      <c r="I253" s="95"/>
      <c r="J253" s="95"/>
      <c r="K253" s="1"/>
      <c r="L253" t="str">
        <f t="shared" si="3"/>
        <v/>
      </c>
    </row>
    <row r="254" spans="1:12" x14ac:dyDescent="0.25">
      <c r="A254" s="11"/>
      <c r="B254" s="94"/>
      <c r="C254" s="1"/>
      <c r="D254" s="1"/>
      <c r="E254" s="1"/>
      <c r="F254" s="95"/>
      <c r="G254" s="95"/>
      <c r="H254" s="1"/>
      <c r="I254" s="95"/>
      <c r="J254" s="95"/>
      <c r="K254" s="1"/>
      <c r="L254" t="str">
        <f t="shared" si="3"/>
        <v/>
      </c>
    </row>
    <row r="255" spans="1:12" x14ac:dyDescent="0.25">
      <c r="A255" s="11"/>
      <c r="B255" s="94"/>
      <c r="C255" s="1"/>
      <c r="D255" s="1"/>
      <c r="E255" s="1"/>
      <c r="F255" s="95"/>
      <c r="G255" s="95"/>
      <c r="H255" s="1"/>
      <c r="I255" s="95"/>
      <c r="J255" s="95"/>
      <c r="K255" s="1"/>
      <c r="L255" t="str">
        <f t="shared" si="3"/>
        <v/>
      </c>
    </row>
    <row r="256" spans="1:12" x14ac:dyDescent="0.25">
      <c r="A256" s="11"/>
      <c r="B256" s="94"/>
      <c r="C256" s="1"/>
      <c r="D256" s="1"/>
      <c r="E256" s="1"/>
      <c r="F256" s="95"/>
      <c r="G256" s="95"/>
      <c r="H256" s="1"/>
      <c r="I256" s="95"/>
      <c r="J256" s="95"/>
      <c r="K256" s="1"/>
      <c r="L256" t="str">
        <f t="shared" si="3"/>
        <v/>
      </c>
    </row>
    <row r="257" spans="1:12" x14ac:dyDescent="0.25">
      <c r="A257" s="11"/>
      <c r="B257" s="94"/>
      <c r="C257" s="1"/>
      <c r="D257" s="1"/>
      <c r="E257" s="1"/>
      <c r="F257" s="95"/>
      <c r="G257" s="95"/>
      <c r="H257" s="1"/>
      <c r="I257" s="95"/>
      <c r="J257" s="95"/>
      <c r="K257" s="1"/>
      <c r="L257" t="str">
        <f t="shared" si="3"/>
        <v/>
      </c>
    </row>
    <row r="258" spans="1:12" x14ac:dyDescent="0.25">
      <c r="A258" s="11"/>
      <c r="B258" s="94"/>
      <c r="C258" s="1"/>
      <c r="D258" s="1"/>
      <c r="E258" s="1"/>
      <c r="F258" s="95"/>
      <c r="G258" s="95"/>
      <c r="H258" s="1"/>
      <c r="I258" s="95"/>
      <c r="J258" s="95"/>
      <c r="K258" s="1"/>
      <c r="L258" t="str">
        <f t="shared" si="3"/>
        <v/>
      </c>
    </row>
    <row r="259" spans="1:12" x14ac:dyDescent="0.25">
      <c r="A259" s="11"/>
      <c r="B259" s="94"/>
      <c r="C259" s="1"/>
      <c r="D259" s="1"/>
      <c r="E259" s="1"/>
      <c r="F259" s="95"/>
      <c r="G259" s="95"/>
      <c r="H259" s="1"/>
      <c r="I259" s="95"/>
      <c r="J259" s="95"/>
      <c r="K259" s="1"/>
      <c r="L259" t="str">
        <f t="shared" ref="L259:L322" si="4">IF(K259="Pass",CONCATENATE(A259," - ",IF(E259="ABS",CONCATENATE("ABS : TF ",F259," deg / ",G259," %"),IF(E259="IH",CONCATENATE("IH: INC ",F259," deg / ",G259," %"),IF(E259="HIA",CONCATENATE("HIA: INC ",F259," deg / AZI ",G259," deg"),"")))),"")</f>
        <v/>
      </c>
    </row>
    <row r="260" spans="1:12" x14ac:dyDescent="0.25">
      <c r="A260" s="11"/>
      <c r="B260" s="94"/>
      <c r="C260" s="1"/>
      <c r="D260" s="1"/>
      <c r="E260" s="1"/>
      <c r="F260" s="95"/>
      <c r="G260" s="95"/>
      <c r="H260" s="1"/>
      <c r="I260" s="95"/>
      <c r="J260" s="95"/>
      <c r="K260" s="1"/>
      <c r="L260" t="str">
        <f t="shared" si="4"/>
        <v/>
      </c>
    </row>
    <row r="261" spans="1:12" x14ac:dyDescent="0.25">
      <c r="A261" s="11"/>
      <c r="B261" s="94"/>
      <c r="C261" s="1"/>
      <c r="D261" s="1"/>
      <c r="E261" s="1"/>
      <c r="F261" s="95"/>
      <c r="G261" s="95"/>
      <c r="H261" s="1"/>
      <c r="I261" s="95"/>
      <c r="J261" s="95"/>
      <c r="K261" s="1"/>
      <c r="L261" t="str">
        <f t="shared" si="4"/>
        <v/>
      </c>
    </row>
    <row r="262" spans="1:12" x14ac:dyDescent="0.25">
      <c r="A262" s="11"/>
      <c r="B262" s="94"/>
      <c r="C262" s="1"/>
      <c r="D262" s="1"/>
      <c r="E262" s="1"/>
      <c r="F262" s="95"/>
      <c r="G262" s="95"/>
      <c r="H262" s="1"/>
      <c r="I262" s="95"/>
      <c r="J262" s="95"/>
      <c r="K262" s="1"/>
      <c r="L262" t="str">
        <f t="shared" si="4"/>
        <v/>
      </c>
    </row>
    <row r="263" spans="1:12" x14ac:dyDescent="0.25">
      <c r="A263" s="11"/>
      <c r="B263" s="94"/>
      <c r="C263" s="1"/>
      <c r="D263" s="1"/>
      <c r="E263" s="1"/>
      <c r="F263" s="95"/>
      <c r="G263" s="95"/>
      <c r="H263" s="1"/>
      <c r="I263" s="95"/>
      <c r="J263" s="95"/>
      <c r="K263" s="1"/>
      <c r="L263" t="str">
        <f t="shared" si="4"/>
        <v/>
      </c>
    </row>
    <row r="264" spans="1:12" x14ac:dyDescent="0.25">
      <c r="A264" s="11"/>
      <c r="B264" s="94"/>
      <c r="C264" s="1"/>
      <c r="D264" s="1"/>
      <c r="E264" s="1"/>
      <c r="F264" s="95"/>
      <c r="G264" s="95"/>
      <c r="H264" s="1"/>
      <c r="I264" s="95"/>
      <c r="J264" s="95"/>
      <c r="K264" s="1"/>
      <c r="L264" t="str">
        <f t="shared" si="4"/>
        <v/>
      </c>
    </row>
    <row r="265" spans="1:12" x14ac:dyDescent="0.25">
      <c r="A265" s="11"/>
      <c r="B265" s="94"/>
      <c r="C265" s="1"/>
      <c r="D265" s="1"/>
      <c r="E265" s="1"/>
      <c r="F265" s="95"/>
      <c r="G265" s="95"/>
      <c r="H265" s="1"/>
      <c r="I265" s="95"/>
      <c r="J265" s="95"/>
      <c r="K265" s="1"/>
      <c r="L265" t="str">
        <f t="shared" si="4"/>
        <v/>
      </c>
    </row>
    <row r="266" spans="1:12" x14ac:dyDescent="0.25">
      <c r="A266" s="11"/>
      <c r="B266" s="94"/>
      <c r="C266" s="1"/>
      <c r="D266" s="1"/>
      <c r="E266" s="1"/>
      <c r="F266" s="95"/>
      <c r="G266" s="95"/>
      <c r="H266" s="1"/>
      <c r="I266" s="95"/>
      <c r="J266" s="95"/>
      <c r="K266" s="1"/>
      <c r="L266" t="str">
        <f t="shared" si="4"/>
        <v/>
      </c>
    </row>
    <row r="267" spans="1:12" x14ac:dyDescent="0.25">
      <c r="A267" s="11"/>
      <c r="B267" s="94"/>
      <c r="C267" s="1"/>
      <c r="D267" s="1"/>
      <c r="E267" s="1"/>
      <c r="F267" s="95"/>
      <c r="G267" s="95"/>
      <c r="H267" s="1"/>
      <c r="I267" s="95"/>
      <c r="J267" s="95"/>
      <c r="K267" s="1"/>
      <c r="L267" t="str">
        <f t="shared" si="4"/>
        <v/>
      </c>
    </row>
    <row r="268" spans="1:12" x14ac:dyDescent="0.25">
      <c r="A268" s="11"/>
      <c r="B268" s="94"/>
      <c r="C268" s="1"/>
      <c r="D268" s="1"/>
      <c r="E268" s="1"/>
      <c r="F268" s="95"/>
      <c r="G268" s="95"/>
      <c r="H268" s="1"/>
      <c r="I268" s="95"/>
      <c r="J268" s="95"/>
      <c r="K268" s="1"/>
      <c r="L268" t="str">
        <f t="shared" si="4"/>
        <v/>
      </c>
    </row>
    <row r="269" spans="1:12" x14ac:dyDescent="0.25">
      <c r="A269" s="11"/>
      <c r="B269" s="94"/>
      <c r="C269" s="1"/>
      <c r="D269" s="1"/>
      <c r="E269" s="1"/>
      <c r="F269" s="95"/>
      <c r="G269" s="95"/>
      <c r="H269" s="1"/>
      <c r="I269" s="95"/>
      <c r="J269" s="95"/>
      <c r="K269" s="1"/>
      <c r="L269" t="str">
        <f t="shared" si="4"/>
        <v/>
      </c>
    </row>
    <row r="270" spans="1:12" x14ac:dyDescent="0.25">
      <c r="A270" s="11"/>
      <c r="B270" s="94"/>
      <c r="C270" s="1"/>
      <c r="D270" s="1"/>
      <c r="E270" s="1"/>
      <c r="F270" s="95"/>
      <c r="G270" s="95"/>
      <c r="H270" s="1"/>
      <c r="I270" s="95"/>
      <c r="J270" s="95"/>
      <c r="K270" s="1"/>
      <c r="L270" t="str">
        <f t="shared" si="4"/>
        <v/>
      </c>
    </row>
    <row r="271" spans="1:12" x14ac:dyDescent="0.25">
      <c r="A271" s="11"/>
      <c r="B271" s="94"/>
      <c r="C271" s="1"/>
      <c r="D271" s="1"/>
      <c r="E271" s="1"/>
      <c r="F271" s="95"/>
      <c r="G271" s="95"/>
      <c r="H271" s="1"/>
      <c r="I271" s="95"/>
      <c r="J271" s="95"/>
      <c r="K271" s="1"/>
      <c r="L271" t="str">
        <f t="shared" si="4"/>
        <v/>
      </c>
    </row>
    <row r="272" spans="1:12" x14ac:dyDescent="0.25">
      <c r="A272" s="11"/>
      <c r="B272" s="94"/>
      <c r="C272" s="1"/>
      <c r="D272" s="1"/>
      <c r="E272" s="1"/>
      <c r="F272" s="95"/>
      <c r="G272" s="95"/>
      <c r="H272" s="1"/>
      <c r="I272" s="95"/>
      <c r="J272" s="95"/>
      <c r="K272" s="1"/>
      <c r="L272" t="str">
        <f t="shared" si="4"/>
        <v/>
      </c>
    </row>
    <row r="273" spans="1:12" x14ac:dyDescent="0.25">
      <c r="A273" s="11"/>
      <c r="B273" s="94"/>
      <c r="C273" s="1"/>
      <c r="D273" s="1"/>
      <c r="E273" s="1"/>
      <c r="F273" s="95"/>
      <c r="G273" s="95"/>
      <c r="H273" s="1"/>
      <c r="I273" s="95"/>
      <c r="J273" s="95"/>
      <c r="K273" s="1"/>
      <c r="L273" t="str">
        <f t="shared" si="4"/>
        <v/>
      </c>
    </row>
    <row r="274" spans="1:12" x14ac:dyDescent="0.25">
      <c r="A274" s="11"/>
      <c r="B274" s="94"/>
      <c r="C274" s="1"/>
      <c r="D274" s="1"/>
      <c r="E274" s="1"/>
      <c r="F274" s="95"/>
      <c r="G274" s="95"/>
      <c r="H274" s="1"/>
      <c r="I274" s="95"/>
      <c r="J274" s="95"/>
      <c r="K274" s="1"/>
      <c r="L274" t="str">
        <f t="shared" si="4"/>
        <v/>
      </c>
    </row>
    <row r="275" spans="1:12" x14ac:dyDescent="0.25">
      <c r="A275" s="11"/>
      <c r="B275" s="94"/>
      <c r="C275" s="1"/>
      <c r="D275" s="1"/>
      <c r="E275" s="1"/>
      <c r="F275" s="95"/>
      <c r="G275" s="95"/>
      <c r="H275" s="1"/>
      <c r="I275" s="95"/>
      <c r="J275" s="95"/>
      <c r="K275" s="1"/>
      <c r="L275" t="str">
        <f t="shared" si="4"/>
        <v/>
      </c>
    </row>
    <row r="276" spans="1:12" x14ac:dyDescent="0.25">
      <c r="A276" s="11"/>
      <c r="B276" s="94"/>
      <c r="C276" s="1"/>
      <c r="D276" s="1"/>
      <c r="E276" s="1"/>
      <c r="F276" s="95"/>
      <c r="G276" s="95"/>
      <c r="H276" s="1"/>
      <c r="I276" s="95"/>
      <c r="J276" s="95"/>
      <c r="K276" s="1"/>
      <c r="L276" t="str">
        <f t="shared" si="4"/>
        <v/>
      </c>
    </row>
    <row r="277" spans="1:12" x14ac:dyDescent="0.25">
      <c r="A277" s="11"/>
      <c r="B277" s="94"/>
      <c r="C277" s="1"/>
      <c r="D277" s="1"/>
      <c r="E277" s="1"/>
      <c r="F277" s="95"/>
      <c r="G277" s="95"/>
      <c r="H277" s="1"/>
      <c r="I277" s="95"/>
      <c r="J277" s="95"/>
      <c r="K277" s="1"/>
      <c r="L277" t="str">
        <f t="shared" si="4"/>
        <v/>
      </c>
    </row>
    <row r="278" spans="1:12" x14ac:dyDescent="0.25">
      <c r="A278" s="11"/>
      <c r="B278" s="94"/>
      <c r="C278" s="1"/>
      <c r="D278" s="1"/>
      <c r="E278" s="1"/>
      <c r="F278" s="95"/>
      <c r="G278" s="95"/>
      <c r="H278" s="1"/>
      <c r="I278" s="95"/>
      <c r="J278" s="95"/>
      <c r="K278" s="1"/>
      <c r="L278" t="str">
        <f t="shared" si="4"/>
        <v/>
      </c>
    </row>
    <row r="279" spans="1:12" x14ac:dyDescent="0.25">
      <c r="A279" s="11"/>
      <c r="B279" s="94"/>
      <c r="C279" s="1"/>
      <c r="D279" s="1"/>
      <c r="E279" s="1"/>
      <c r="F279" s="95"/>
      <c r="G279" s="95"/>
      <c r="H279" s="1"/>
      <c r="I279" s="95"/>
      <c r="J279" s="95"/>
      <c r="K279" s="1"/>
      <c r="L279" t="str">
        <f t="shared" si="4"/>
        <v/>
      </c>
    </row>
    <row r="280" spans="1:12" x14ac:dyDescent="0.25">
      <c r="A280" s="11"/>
      <c r="B280" s="94"/>
      <c r="C280" s="1"/>
      <c r="D280" s="1"/>
      <c r="E280" s="1"/>
      <c r="F280" s="95"/>
      <c r="G280" s="95"/>
      <c r="H280" s="1"/>
      <c r="I280" s="95"/>
      <c r="J280" s="95"/>
      <c r="K280" s="1"/>
      <c r="L280" t="str">
        <f t="shared" si="4"/>
        <v/>
      </c>
    </row>
    <row r="281" spans="1:12" x14ac:dyDescent="0.25">
      <c r="A281" s="11"/>
      <c r="B281" s="94"/>
      <c r="C281" s="1"/>
      <c r="D281" s="1"/>
      <c r="E281" s="1"/>
      <c r="F281" s="95"/>
      <c r="G281" s="95"/>
      <c r="H281" s="1"/>
      <c r="I281" s="95"/>
      <c r="J281" s="95"/>
      <c r="K281" s="1"/>
      <c r="L281" t="str">
        <f t="shared" si="4"/>
        <v/>
      </c>
    </row>
    <row r="282" spans="1:12" x14ac:dyDescent="0.25">
      <c r="A282" s="11"/>
      <c r="B282" s="94"/>
      <c r="C282" s="1"/>
      <c r="D282" s="1"/>
      <c r="E282" s="1"/>
      <c r="F282" s="95"/>
      <c r="G282" s="95"/>
      <c r="H282" s="1"/>
      <c r="I282" s="95"/>
      <c r="J282" s="95"/>
      <c r="K282" s="1"/>
      <c r="L282" t="str">
        <f t="shared" si="4"/>
        <v/>
      </c>
    </row>
    <row r="283" spans="1:12" x14ac:dyDescent="0.25">
      <c r="A283" s="11"/>
      <c r="B283" s="94"/>
      <c r="C283" s="1"/>
      <c r="D283" s="1"/>
      <c r="E283" s="1"/>
      <c r="F283" s="95"/>
      <c r="G283" s="95"/>
      <c r="H283" s="1"/>
      <c r="I283" s="95"/>
      <c r="J283" s="95"/>
      <c r="K283" s="1"/>
      <c r="L283" t="str">
        <f t="shared" si="4"/>
        <v/>
      </c>
    </row>
    <row r="284" spans="1:12" x14ac:dyDescent="0.25">
      <c r="A284" s="11"/>
      <c r="B284" s="94"/>
      <c r="C284" s="1"/>
      <c r="D284" s="1"/>
      <c r="E284" s="1"/>
      <c r="F284" s="95"/>
      <c r="G284" s="95"/>
      <c r="H284" s="1"/>
      <c r="I284" s="95"/>
      <c r="J284" s="95"/>
      <c r="K284" s="1"/>
      <c r="L284" t="str">
        <f t="shared" si="4"/>
        <v/>
      </c>
    </row>
    <row r="285" spans="1:12" x14ac:dyDescent="0.25">
      <c r="A285" s="11"/>
      <c r="B285" s="94"/>
      <c r="C285" s="1"/>
      <c r="D285" s="1"/>
      <c r="E285" s="1"/>
      <c r="F285" s="95"/>
      <c r="G285" s="95"/>
      <c r="H285" s="1"/>
      <c r="I285" s="95"/>
      <c r="J285" s="95"/>
      <c r="K285" s="1"/>
      <c r="L285" t="str">
        <f t="shared" si="4"/>
        <v/>
      </c>
    </row>
    <row r="286" spans="1:12" x14ac:dyDescent="0.25">
      <c r="A286" s="11"/>
      <c r="B286" s="94"/>
      <c r="C286" s="1"/>
      <c r="D286" s="1"/>
      <c r="E286" s="1"/>
      <c r="F286" s="95"/>
      <c r="G286" s="95"/>
      <c r="H286" s="1"/>
      <c r="I286" s="95"/>
      <c r="J286" s="95"/>
      <c r="K286" s="1"/>
      <c r="L286" t="str">
        <f t="shared" si="4"/>
        <v/>
      </c>
    </row>
    <row r="287" spans="1:12" x14ac:dyDescent="0.25">
      <c r="A287" s="11"/>
      <c r="B287" s="94"/>
      <c r="C287" s="1"/>
      <c r="D287" s="1"/>
      <c r="E287" s="1"/>
      <c r="F287" s="95"/>
      <c r="G287" s="95"/>
      <c r="H287" s="1"/>
      <c r="I287" s="95"/>
      <c r="J287" s="95"/>
      <c r="K287" s="1"/>
      <c r="L287" t="str">
        <f t="shared" si="4"/>
        <v/>
      </c>
    </row>
    <row r="288" spans="1:12" x14ac:dyDescent="0.25">
      <c r="A288" s="11"/>
      <c r="B288" s="94"/>
      <c r="C288" s="1"/>
      <c r="D288" s="1"/>
      <c r="E288" s="1"/>
      <c r="F288" s="95"/>
      <c r="G288" s="95"/>
      <c r="H288" s="1"/>
      <c r="I288" s="95"/>
      <c r="J288" s="95"/>
      <c r="K288" s="1"/>
      <c r="L288" t="str">
        <f t="shared" si="4"/>
        <v/>
      </c>
    </row>
    <row r="289" spans="1:12" x14ac:dyDescent="0.25">
      <c r="A289" s="11"/>
      <c r="B289" s="94"/>
      <c r="C289" s="1"/>
      <c r="D289" s="1"/>
      <c r="E289" s="1"/>
      <c r="F289" s="95"/>
      <c r="G289" s="95"/>
      <c r="H289" s="1"/>
      <c r="I289" s="95"/>
      <c r="J289" s="95"/>
      <c r="K289" s="1"/>
      <c r="L289" t="str">
        <f t="shared" si="4"/>
        <v/>
      </c>
    </row>
    <row r="290" spans="1:12" x14ac:dyDescent="0.25">
      <c r="A290" s="11"/>
      <c r="B290" s="94"/>
      <c r="C290" s="1"/>
      <c r="D290" s="1"/>
      <c r="E290" s="1"/>
      <c r="F290" s="95"/>
      <c r="G290" s="95"/>
      <c r="H290" s="1"/>
      <c r="I290" s="95"/>
      <c r="J290" s="95"/>
      <c r="K290" s="1"/>
      <c r="L290" t="str">
        <f t="shared" si="4"/>
        <v/>
      </c>
    </row>
    <row r="291" spans="1:12" x14ac:dyDescent="0.25">
      <c r="A291" s="11"/>
      <c r="B291" s="94"/>
      <c r="C291" s="1"/>
      <c r="D291" s="1"/>
      <c r="E291" s="1"/>
      <c r="F291" s="95"/>
      <c r="G291" s="95"/>
      <c r="H291" s="1"/>
      <c r="I291" s="95"/>
      <c r="J291" s="95"/>
      <c r="K291" s="1"/>
      <c r="L291" t="str">
        <f t="shared" si="4"/>
        <v/>
      </c>
    </row>
    <row r="292" spans="1:12" x14ac:dyDescent="0.25">
      <c r="A292" s="11"/>
      <c r="B292" s="94"/>
      <c r="C292" s="1"/>
      <c r="D292" s="1"/>
      <c r="E292" s="1"/>
      <c r="F292" s="95"/>
      <c r="G292" s="95"/>
      <c r="H292" s="1"/>
      <c r="I292" s="95"/>
      <c r="J292" s="95"/>
      <c r="K292" s="1"/>
      <c r="L292" t="str">
        <f t="shared" si="4"/>
        <v/>
      </c>
    </row>
    <row r="293" spans="1:12" x14ac:dyDescent="0.25">
      <c r="A293" s="11"/>
      <c r="B293" s="94"/>
      <c r="C293" s="1"/>
      <c r="D293" s="1"/>
      <c r="E293" s="1"/>
      <c r="F293" s="95"/>
      <c r="G293" s="95"/>
      <c r="H293" s="1"/>
      <c r="I293" s="95"/>
      <c r="J293" s="95"/>
      <c r="K293" s="1"/>
      <c r="L293" t="str">
        <f t="shared" si="4"/>
        <v/>
      </c>
    </row>
    <row r="294" spans="1:12" x14ac:dyDescent="0.25">
      <c r="A294" s="11"/>
      <c r="B294" s="94"/>
      <c r="C294" s="1"/>
      <c r="D294" s="1"/>
      <c r="E294" s="1"/>
      <c r="F294" s="95"/>
      <c r="G294" s="95"/>
      <c r="H294" s="1"/>
      <c r="I294" s="95"/>
      <c r="J294" s="95"/>
      <c r="K294" s="1"/>
      <c r="L294" t="str">
        <f t="shared" si="4"/>
        <v/>
      </c>
    </row>
    <row r="295" spans="1:12" x14ac:dyDescent="0.25">
      <c r="A295" s="11"/>
      <c r="B295" s="94"/>
      <c r="C295" s="1"/>
      <c r="D295" s="1"/>
      <c r="E295" s="1"/>
      <c r="F295" s="95"/>
      <c r="G295" s="95"/>
      <c r="H295" s="1"/>
      <c r="I295" s="95"/>
      <c r="J295" s="95"/>
      <c r="K295" s="1"/>
      <c r="L295" t="str">
        <f t="shared" si="4"/>
        <v/>
      </c>
    </row>
    <row r="296" spans="1:12" x14ac:dyDescent="0.25">
      <c r="A296" s="11"/>
      <c r="B296" s="94"/>
      <c r="C296" s="1"/>
      <c r="D296" s="1"/>
      <c r="E296" s="1"/>
      <c r="F296" s="95"/>
      <c r="G296" s="95"/>
      <c r="H296" s="1"/>
      <c r="I296" s="95"/>
      <c r="J296" s="95"/>
      <c r="K296" s="1"/>
      <c r="L296" t="str">
        <f t="shared" si="4"/>
        <v/>
      </c>
    </row>
    <row r="297" spans="1:12" x14ac:dyDescent="0.25">
      <c r="A297" s="11"/>
      <c r="B297" s="94"/>
      <c r="C297" s="1"/>
      <c r="D297" s="1"/>
      <c r="E297" s="1"/>
      <c r="F297" s="95"/>
      <c r="G297" s="95"/>
      <c r="H297" s="1"/>
      <c r="I297" s="95"/>
      <c r="J297" s="95"/>
      <c r="K297" s="1"/>
      <c r="L297" t="str">
        <f t="shared" si="4"/>
        <v/>
      </c>
    </row>
    <row r="298" spans="1:12" x14ac:dyDescent="0.25">
      <c r="A298" s="11"/>
      <c r="B298" s="94"/>
      <c r="C298" s="1"/>
      <c r="D298" s="1"/>
      <c r="E298" s="1"/>
      <c r="F298" s="95"/>
      <c r="G298" s="95"/>
      <c r="H298" s="1"/>
      <c r="I298" s="95"/>
      <c r="J298" s="95"/>
      <c r="K298" s="1"/>
      <c r="L298" t="str">
        <f t="shared" si="4"/>
        <v/>
      </c>
    </row>
    <row r="299" spans="1:12" x14ac:dyDescent="0.25">
      <c r="A299" s="11"/>
      <c r="B299" s="94"/>
      <c r="C299" s="1"/>
      <c r="D299" s="1"/>
      <c r="E299" s="1"/>
      <c r="F299" s="95"/>
      <c r="G299" s="95"/>
      <c r="H299" s="1"/>
      <c r="I299" s="95"/>
      <c r="J299" s="95"/>
      <c r="K299" s="1"/>
      <c r="L299" t="str">
        <f t="shared" si="4"/>
        <v/>
      </c>
    </row>
    <row r="300" spans="1:12" x14ac:dyDescent="0.25">
      <c r="A300" s="11"/>
      <c r="B300" s="94"/>
      <c r="C300" s="1"/>
      <c r="D300" s="1"/>
      <c r="E300" s="1"/>
      <c r="F300" s="95"/>
      <c r="G300" s="95"/>
      <c r="H300" s="1"/>
      <c r="I300" s="95"/>
      <c r="J300" s="95"/>
      <c r="K300" s="1"/>
      <c r="L300" t="str">
        <f t="shared" si="4"/>
        <v/>
      </c>
    </row>
    <row r="301" spans="1:12" x14ac:dyDescent="0.25">
      <c r="A301" s="11"/>
      <c r="B301" s="94"/>
      <c r="C301" s="1"/>
      <c r="D301" s="1"/>
      <c r="E301" s="1"/>
      <c r="F301" s="95"/>
      <c r="G301" s="95"/>
      <c r="H301" s="1"/>
      <c r="I301" s="95"/>
      <c r="J301" s="95"/>
      <c r="K301" s="1"/>
      <c r="L301" t="str">
        <f t="shared" si="4"/>
        <v/>
      </c>
    </row>
    <row r="302" spans="1:12" x14ac:dyDescent="0.25">
      <c r="A302" s="11"/>
      <c r="B302" s="94"/>
      <c r="C302" s="1"/>
      <c r="D302" s="1"/>
      <c r="E302" s="1"/>
      <c r="F302" s="95"/>
      <c r="G302" s="95"/>
      <c r="H302" s="1"/>
      <c r="I302" s="95"/>
      <c r="J302" s="95"/>
      <c r="K302" s="1"/>
      <c r="L302" t="str">
        <f t="shared" si="4"/>
        <v/>
      </c>
    </row>
    <row r="303" spans="1:12" x14ac:dyDescent="0.25">
      <c r="A303" s="11"/>
      <c r="B303" s="94"/>
      <c r="C303" s="1"/>
      <c r="D303" s="1"/>
      <c r="E303" s="1"/>
      <c r="F303" s="95"/>
      <c r="G303" s="95"/>
      <c r="H303" s="1"/>
      <c r="I303" s="95"/>
      <c r="J303" s="95"/>
      <c r="K303" s="1"/>
      <c r="L303" t="str">
        <f t="shared" si="4"/>
        <v/>
      </c>
    </row>
    <row r="304" spans="1:12" x14ac:dyDescent="0.25">
      <c r="A304" s="11"/>
      <c r="B304" s="94"/>
      <c r="C304" s="1"/>
      <c r="D304" s="1"/>
      <c r="E304" s="1"/>
      <c r="F304" s="95"/>
      <c r="G304" s="95"/>
      <c r="H304" s="1"/>
      <c r="I304" s="95"/>
      <c r="J304" s="95"/>
      <c r="K304" s="1"/>
      <c r="L304" t="str">
        <f t="shared" si="4"/>
        <v/>
      </c>
    </row>
    <row r="305" spans="1:12" x14ac:dyDescent="0.25">
      <c r="A305" s="11"/>
      <c r="B305" s="94"/>
      <c r="C305" s="1"/>
      <c r="D305" s="1"/>
      <c r="E305" s="1"/>
      <c r="F305" s="95"/>
      <c r="G305" s="95"/>
      <c r="H305" s="1"/>
      <c r="I305" s="95"/>
      <c r="J305" s="95"/>
      <c r="K305" s="1"/>
      <c r="L305" t="str">
        <f t="shared" si="4"/>
        <v/>
      </c>
    </row>
    <row r="306" spans="1:12" x14ac:dyDescent="0.25">
      <c r="A306" s="11"/>
      <c r="B306" s="94"/>
      <c r="C306" s="1"/>
      <c r="D306" s="1"/>
      <c r="E306" s="1"/>
      <c r="F306" s="95"/>
      <c r="G306" s="95"/>
      <c r="H306" s="1"/>
      <c r="I306" s="95"/>
      <c r="J306" s="95"/>
      <c r="K306" s="1"/>
      <c r="L306" t="str">
        <f t="shared" si="4"/>
        <v/>
      </c>
    </row>
    <row r="307" spans="1:12" x14ac:dyDescent="0.25">
      <c r="A307" s="11"/>
      <c r="B307" s="94"/>
      <c r="C307" s="1"/>
      <c r="D307" s="1"/>
      <c r="E307" s="1"/>
      <c r="F307" s="95"/>
      <c r="G307" s="95"/>
      <c r="H307" s="1"/>
      <c r="I307" s="95"/>
      <c r="J307" s="95"/>
      <c r="K307" s="1"/>
      <c r="L307" t="str">
        <f t="shared" si="4"/>
        <v/>
      </c>
    </row>
    <row r="308" spans="1:12" x14ac:dyDescent="0.25">
      <c r="A308" s="11"/>
      <c r="B308" s="94"/>
      <c r="C308" s="1"/>
      <c r="D308" s="1"/>
      <c r="E308" s="1"/>
      <c r="F308" s="95"/>
      <c r="G308" s="95"/>
      <c r="H308" s="1"/>
      <c r="I308" s="95"/>
      <c r="J308" s="95"/>
      <c r="K308" s="1"/>
      <c r="L308" t="str">
        <f t="shared" si="4"/>
        <v/>
      </c>
    </row>
    <row r="309" spans="1:12" x14ac:dyDescent="0.25">
      <c r="A309" s="11"/>
      <c r="B309" s="94"/>
      <c r="C309" s="1"/>
      <c r="D309" s="1"/>
      <c r="E309" s="1"/>
      <c r="F309" s="95"/>
      <c r="G309" s="95"/>
      <c r="H309" s="1"/>
      <c r="I309" s="95"/>
      <c r="J309" s="95"/>
      <c r="K309" s="1"/>
      <c r="L309" t="str">
        <f t="shared" si="4"/>
        <v/>
      </c>
    </row>
    <row r="310" spans="1:12" x14ac:dyDescent="0.25">
      <c r="A310" s="11"/>
      <c r="B310" s="94"/>
      <c r="C310" s="1"/>
      <c r="D310" s="1"/>
      <c r="E310" s="1"/>
      <c r="F310" s="95"/>
      <c r="G310" s="95"/>
      <c r="H310" s="1"/>
      <c r="I310" s="95"/>
      <c r="J310" s="95"/>
      <c r="K310" s="1"/>
      <c r="L310" t="str">
        <f t="shared" si="4"/>
        <v/>
      </c>
    </row>
    <row r="311" spans="1:12" x14ac:dyDescent="0.25">
      <c r="A311" s="11"/>
      <c r="B311" s="94"/>
      <c r="C311" s="1"/>
      <c r="D311" s="1"/>
      <c r="E311" s="1"/>
      <c r="F311" s="95"/>
      <c r="G311" s="95"/>
      <c r="H311" s="1"/>
      <c r="I311" s="95"/>
      <c r="J311" s="95"/>
      <c r="K311" s="1"/>
      <c r="L311" t="str">
        <f t="shared" si="4"/>
        <v/>
      </c>
    </row>
    <row r="312" spans="1:12" x14ac:dyDescent="0.25">
      <c r="A312" s="11"/>
      <c r="B312" s="94"/>
      <c r="C312" s="1"/>
      <c r="D312" s="1"/>
      <c r="E312" s="1"/>
      <c r="F312" s="95"/>
      <c r="G312" s="95"/>
      <c r="H312" s="1"/>
      <c r="I312" s="95"/>
      <c r="J312" s="95"/>
      <c r="K312" s="1"/>
      <c r="L312" t="str">
        <f t="shared" si="4"/>
        <v/>
      </c>
    </row>
    <row r="313" spans="1:12" x14ac:dyDescent="0.25">
      <c r="A313" s="11"/>
      <c r="B313" s="94"/>
      <c r="C313" s="1"/>
      <c r="D313" s="1"/>
      <c r="E313" s="1"/>
      <c r="F313" s="95"/>
      <c r="G313" s="95"/>
      <c r="H313" s="1"/>
      <c r="I313" s="95"/>
      <c r="J313" s="95"/>
      <c r="K313" s="1"/>
      <c r="L313" t="str">
        <f t="shared" si="4"/>
        <v/>
      </c>
    </row>
    <row r="314" spans="1:12" x14ac:dyDescent="0.25">
      <c r="A314" s="11"/>
      <c r="B314" s="94"/>
      <c r="C314" s="1"/>
      <c r="D314" s="1"/>
      <c r="E314" s="1"/>
      <c r="F314" s="95"/>
      <c r="G314" s="95"/>
      <c r="H314" s="1"/>
      <c r="I314" s="95"/>
      <c r="J314" s="95"/>
      <c r="K314" s="1"/>
      <c r="L314" t="str">
        <f t="shared" si="4"/>
        <v/>
      </c>
    </row>
    <row r="315" spans="1:12" x14ac:dyDescent="0.25">
      <c r="A315" s="11"/>
      <c r="B315" s="94"/>
      <c r="C315" s="1"/>
      <c r="D315" s="1"/>
      <c r="E315" s="1"/>
      <c r="F315" s="95"/>
      <c r="G315" s="95"/>
      <c r="H315" s="1"/>
      <c r="I315" s="95"/>
      <c r="J315" s="95"/>
      <c r="K315" s="1"/>
      <c r="L315" t="str">
        <f t="shared" si="4"/>
        <v/>
      </c>
    </row>
    <row r="316" spans="1:12" x14ac:dyDescent="0.25">
      <c r="A316" s="11"/>
      <c r="B316" s="94"/>
      <c r="C316" s="1"/>
      <c r="D316" s="1"/>
      <c r="E316" s="1"/>
      <c r="F316" s="95"/>
      <c r="G316" s="95"/>
      <c r="H316" s="1"/>
      <c r="I316" s="95"/>
      <c r="J316" s="95"/>
      <c r="K316" s="1"/>
      <c r="L316" t="str">
        <f t="shared" si="4"/>
        <v/>
      </c>
    </row>
    <row r="317" spans="1:12" x14ac:dyDescent="0.25">
      <c r="A317" s="11"/>
      <c r="B317" s="94"/>
      <c r="C317" s="1"/>
      <c r="D317" s="1"/>
      <c r="E317" s="1"/>
      <c r="F317" s="95"/>
      <c r="G317" s="95"/>
      <c r="H317" s="1"/>
      <c r="I317" s="95"/>
      <c r="J317" s="95"/>
      <c r="K317" s="1"/>
      <c r="L317" t="str">
        <f t="shared" si="4"/>
        <v/>
      </c>
    </row>
    <row r="318" spans="1:12" x14ac:dyDescent="0.25">
      <c r="A318" s="11"/>
      <c r="B318" s="94"/>
      <c r="C318" s="1"/>
      <c r="D318" s="1"/>
      <c r="E318" s="1"/>
      <c r="F318" s="95"/>
      <c r="G318" s="95"/>
      <c r="H318" s="1"/>
      <c r="I318" s="95"/>
      <c r="J318" s="95"/>
      <c r="K318" s="1"/>
      <c r="L318" t="str">
        <f t="shared" si="4"/>
        <v/>
      </c>
    </row>
    <row r="319" spans="1:12" x14ac:dyDescent="0.25">
      <c r="A319" s="11"/>
      <c r="B319" s="94"/>
      <c r="C319" s="1"/>
      <c r="D319" s="1"/>
      <c r="E319" s="1"/>
      <c r="F319" s="95"/>
      <c r="G319" s="95"/>
      <c r="H319" s="1"/>
      <c r="I319" s="95"/>
      <c r="J319" s="95"/>
      <c r="K319" s="1"/>
      <c r="L319" t="str">
        <f t="shared" si="4"/>
        <v/>
      </c>
    </row>
    <row r="320" spans="1:12" x14ac:dyDescent="0.25">
      <c r="A320" s="11"/>
      <c r="B320" s="94"/>
      <c r="C320" s="1"/>
      <c r="D320" s="1"/>
      <c r="E320" s="1"/>
      <c r="F320" s="95"/>
      <c r="G320" s="95"/>
      <c r="H320" s="1"/>
      <c r="I320" s="95"/>
      <c r="J320" s="95"/>
      <c r="K320" s="1"/>
      <c r="L320" t="str">
        <f t="shared" si="4"/>
        <v/>
      </c>
    </row>
    <row r="321" spans="1:12" x14ac:dyDescent="0.25">
      <c r="A321" s="11"/>
      <c r="B321" s="94"/>
      <c r="C321" s="1"/>
      <c r="D321" s="1"/>
      <c r="E321" s="1"/>
      <c r="F321" s="95"/>
      <c r="G321" s="95"/>
      <c r="H321" s="1"/>
      <c r="I321" s="95"/>
      <c r="J321" s="95"/>
      <c r="K321" s="1"/>
      <c r="L321" t="str">
        <f t="shared" si="4"/>
        <v/>
      </c>
    </row>
    <row r="322" spans="1:12" x14ac:dyDescent="0.25">
      <c r="A322" s="11"/>
      <c r="B322" s="94"/>
      <c r="C322" s="1"/>
      <c r="D322" s="1"/>
      <c r="E322" s="1"/>
      <c r="F322" s="95"/>
      <c r="G322" s="95"/>
      <c r="H322" s="1"/>
      <c r="I322" s="95"/>
      <c r="J322" s="95"/>
      <c r="K322" s="1"/>
      <c r="L322" t="str">
        <f t="shared" si="4"/>
        <v/>
      </c>
    </row>
    <row r="323" spans="1:12" x14ac:dyDescent="0.25">
      <c r="A323" s="11"/>
      <c r="B323" s="94"/>
      <c r="C323" s="1"/>
      <c r="D323" s="1"/>
      <c r="E323" s="1"/>
      <c r="F323" s="95"/>
      <c r="G323" s="95"/>
      <c r="H323" s="1"/>
      <c r="I323" s="95"/>
      <c r="J323" s="95"/>
      <c r="K323" s="1"/>
      <c r="L323" t="str">
        <f t="shared" ref="L323:L386" si="5">IF(K323="Pass",CONCATENATE(A323," - ",IF(E323="ABS",CONCATENATE("ABS : TF ",F323," deg / ",G323," %"),IF(E323="IH",CONCATENATE("IH: INC ",F323," deg / ",G323," %"),IF(E323="HIA",CONCATENATE("HIA: INC ",F323," deg / AZI ",G323," deg"),"")))),"")</f>
        <v/>
      </c>
    </row>
    <row r="324" spans="1:12" x14ac:dyDescent="0.25">
      <c r="A324" s="11"/>
      <c r="B324" s="94"/>
      <c r="C324" s="1"/>
      <c r="D324" s="1"/>
      <c r="E324" s="1"/>
      <c r="F324" s="95"/>
      <c r="G324" s="95"/>
      <c r="H324" s="1"/>
      <c r="I324" s="95"/>
      <c r="J324" s="95"/>
      <c r="K324" s="1"/>
      <c r="L324" t="str">
        <f t="shared" si="5"/>
        <v/>
      </c>
    </row>
    <row r="325" spans="1:12" x14ac:dyDescent="0.25">
      <c r="A325" s="11"/>
      <c r="B325" s="94"/>
      <c r="C325" s="1"/>
      <c r="D325" s="1"/>
      <c r="E325" s="1"/>
      <c r="F325" s="95"/>
      <c r="G325" s="95"/>
      <c r="H325" s="1"/>
      <c r="I325" s="95"/>
      <c r="J325" s="95"/>
      <c r="K325" s="1"/>
      <c r="L325" t="str">
        <f t="shared" si="5"/>
        <v/>
      </c>
    </row>
    <row r="326" spans="1:12" x14ac:dyDescent="0.25">
      <c r="A326" s="11"/>
      <c r="B326" s="94"/>
      <c r="C326" s="1"/>
      <c r="D326" s="1"/>
      <c r="E326" s="1"/>
      <c r="F326" s="95"/>
      <c r="G326" s="95"/>
      <c r="H326" s="1"/>
      <c r="I326" s="95"/>
      <c r="J326" s="95"/>
      <c r="K326" s="1"/>
      <c r="L326" t="str">
        <f t="shared" si="5"/>
        <v/>
      </c>
    </row>
    <row r="327" spans="1:12" x14ac:dyDescent="0.25">
      <c r="A327" s="11"/>
      <c r="B327" s="94"/>
      <c r="C327" s="1"/>
      <c r="D327" s="1"/>
      <c r="E327" s="1"/>
      <c r="F327" s="95"/>
      <c r="G327" s="95"/>
      <c r="H327" s="1"/>
      <c r="I327" s="95"/>
      <c r="J327" s="95"/>
      <c r="K327" s="1"/>
      <c r="L327" t="str">
        <f t="shared" si="5"/>
        <v/>
      </c>
    </row>
    <row r="328" spans="1:12" x14ac:dyDescent="0.25">
      <c r="A328" s="11"/>
      <c r="B328" s="94"/>
      <c r="C328" s="1"/>
      <c r="D328" s="1"/>
      <c r="E328" s="1"/>
      <c r="F328" s="95"/>
      <c r="G328" s="95"/>
      <c r="H328" s="1"/>
      <c r="I328" s="95"/>
      <c r="J328" s="95"/>
      <c r="K328" s="1"/>
      <c r="L328" t="str">
        <f t="shared" si="5"/>
        <v/>
      </c>
    </row>
    <row r="329" spans="1:12" x14ac:dyDescent="0.25">
      <c r="A329" s="11"/>
      <c r="B329" s="94"/>
      <c r="C329" s="1"/>
      <c r="D329" s="1"/>
      <c r="E329" s="1"/>
      <c r="F329" s="95"/>
      <c r="G329" s="95"/>
      <c r="H329" s="1"/>
      <c r="I329" s="95"/>
      <c r="J329" s="95"/>
      <c r="K329" s="1"/>
      <c r="L329" t="str">
        <f t="shared" si="5"/>
        <v/>
      </c>
    </row>
    <row r="330" spans="1:12" x14ac:dyDescent="0.25">
      <c r="A330" s="11"/>
      <c r="B330" s="94"/>
      <c r="C330" s="1"/>
      <c r="D330" s="1"/>
      <c r="E330" s="1"/>
      <c r="F330" s="95"/>
      <c r="G330" s="95"/>
      <c r="H330" s="1"/>
      <c r="I330" s="95"/>
      <c r="J330" s="95"/>
      <c r="K330" s="1"/>
      <c r="L330" t="str">
        <f t="shared" si="5"/>
        <v/>
      </c>
    </row>
    <row r="331" spans="1:12" x14ac:dyDescent="0.25">
      <c r="A331" s="11"/>
      <c r="B331" s="94"/>
      <c r="C331" s="1"/>
      <c r="D331" s="1"/>
      <c r="E331" s="1"/>
      <c r="F331" s="95"/>
      <c r="G331" s="95"/>
      <c r="H331" s="1"/>
      <c r="I331" s="95"/>
      <c r="J331" s="95"/>
      <c r="K331" s="1"/>
      <c r="L331" t="str">
        <f t="shared" si="5"/>
        <v/>
      </c>
    </row>
    <row r="332" spans="1:12" x14ac:dyDescent="0.25">
      <c r="A332" s="11"/>
      <c r="B332" s="94"/>
      <c r="C332" s="1"/>
      <c r="D332" s="1"/>
      <c r="E332" s="1"/>
      <c r="F332" s="95"/>
      <c r="G332" s="95"/>
      <c r="H332" s="1"/>
      <c r="I332" s="95"/>
      <c r="J332" s="95"/>
      <c r="K332" s="1"/>
      <c r="L332" t="str">
        <f t="shared" si="5"/>
        <v/>
      </c>
    </row>
    <row r="333" spans="1:12" x14ac:dyDescent="0.25">
      <c r="A333" s="11"/>
      <c r="B333" s="94"/>
      <c r="C333" s="1"/>
      <c r="D333" s="1"/>
      <c r="E333" s="1"/>
      <c r="F333" s="95"/>
      <c r="G333" s="95"/>
      <c r="H333" s="1"/>
      <c r="I333" s="95"/>
      <c r="J333" s="95"/>
      <c r="K333" s="1"/>
      <c r="L333" t="str">
        <f t="shared" si="5"/>
        <v/>
      </c>
    </row>
    <row r="334" spans="1:12" x14ac:dyDescent="0.25">
      <c r="A334" s="11"/>
      <c r="B334" s="94"/>
      <c r="C334" s="1"/>
      <c r="D334" s="1"/>
      <c r="E334" s="1"/>
      <c r="F334" s="95"/>
      <c r="G334" s="95"/>
      <c r="H334" s="1"/>
      <c r="I334" s="95"/>
      <c r="J334" s="95"/>
      <c r="K334" s="1"/>
      <c r="L334" t="str">
        <f t="shared" si="5"/>
        <v/>
      </c>
    </row>
    <row r="335" spans="1:12" x14ac:dyDescent="0.25">
      <c r="A335" s="11"/>
      <c r="B335" s="94"/>
      <c r="C335" s="1"/>
      <c r="D335" s="1"/>
      <c r="E335" s="1"/>
      <c r="F335" s="95"/>
      <c r="G335" s="95"/>
      <c r="H335" s="1"/>
      <c r="I335" s="95"/>
      <c r="J335" s="95"/>
      <c r="K335" s="1"/>
      <c r="L335" t="str">
        <f t="shared" si="5"/>
        <v/>
      </c>
    </row>
    <row r="336" spans="1:12" x14ac:dyDescent="0.25">
      <c r="A336" s="11"/>
      <c r="B336" s="94"/>
      <c r="C336" s="1"/>
      <c r="D336" s="1"/>
      <c r="E336" s="1"/>
      <c r="F336" s="95"/>
      <c r="G336" s="95"/>
      <c r="H336" s="1"/>
      <c r="I336" s="95"/>
      <c r="J336" s="95"/>
      <c r="K336" s="1"/>
      <c r="L336" t="str">
        <f t="shared" si="5"/>
        <v/>
      </c>
    </row>
    <row r="337" spans="1:12" x14ac:dyDescent="0.25">
      <c r="A337" s="11"/>
      <c r="B337" s="94"/>
      <c r="C337" s="1"/>
      <c r="D337" s="1"/>
      <c r="E337" s="1"/>
      <c r="F337" s="95"/>
      <c r="G337" s="95"/>
      <c r="H337" s="1"/>
      <c r="I337" s="95"/>
      <c r="J337" s="95"/>
      <c r="K337" s="1"/>
      <c r="L337" t="str">
        <f t="shared" si="5"/>
        <v/>
      </c>
    </row>
    <row r="338" spans="1:12" x14ac:dyDescent="0.25">
      <c r="A338" s="11"/>
      <c r="B338" s="94"/>
      <c r="C338" s="1"/>
      <c r="D338" s="1"/>
      <c r="E338" s="1"/>
      <c r="F338" s="95"/>
      <c r="G338" s="95"/>
      <c r="H338" s="1"/>
      <c r="I338" s="95"/>
      <c r="J338" s="95"/>
      <c r="K338" s="1"/>
      <c r="L338" t="str">
        <f t="shared" si="5"/>
        <v/>
      </c>
    </row>
    <row r="339" spans="1:12" x14ac:dyDescent="0.25">
      <c r="A339" s="11"/>
      <c r="B339" s="94"/>
      <c r="C339" s="1"/>
      <c r="D339" s="1"/>
      <c r="E339" s="1"/>
      <c r="F339" s="95"/>
      <c r="G339" s="95"/>
      <c r="H339" s="1"/>
      <c r="I339" s="95"/>
      <c r="J339" s="95"/>
      <c r="K339" s="1"/>
      <c r="L339" t="str">
        <f t="shared" si="5"/>
        <v/>
      </c>
    </row>
    <row r="340" spans="1:12" x14ac:dyDescent="0.25">
      <c r="A340" s="11"/>
      <c r="B340" s="94"/>
      <c r="C340" s="1"/>
      <c r="D340" s="1"/>
      <c r="E340" s="1"/>
      <c r="F340" s="95"/>
      <c r="G340" s="95"/>
      <c r="H340" s="1"/>
      <c r="I340" s="95"/>
      <c r="J340" s="95"/>
      <c r="K340" s="1"/>
      <c r="L340" t="str">
        <f t="shared" si="5"/>
        <v/>
      </c>
    </row>
    <row r="341" spans="1:12" x14ac:dyDescent="0.25">
      <c r="A341" s="11"/>
      <c r="B341" s="94"/>
      <c r="C341" s="1"/>
      <c r="D341" s="1"/>
      <c r="E341" s="1"/>
      <c r="F341" s="95"/>
      <c r="G341" s="95"/>
      <c r="H341" s="1"/>
      <c r="I341" s="95"/>
      <c r="J341" s="95"/>
      <c r="K341" s="1"/>
      <c r="L341" t="str">
        <f t="shared" si="5"/>
        <v/>
      </c>
    </row>
    <row r="342" spans="1:12" x14ac:dyDescent="0.25">
      <c r="A342" s="11"/>
      <c r="B342" s="94"/>
      <c r="C342" s="1"/>
      <c r="D342" s="1"/>
      <c r="E342" s="1"/>
      <c r="F342" s="95"/>
      <c r="G342" s="95"/>
      <c r="H342" s="1"/>
      <c r="I342" s="95"/>
      <c r="J342" s="95"/>
      <c r="K342" s="1"/>
      <c r="L342" t="str">
        <f t="shared" si="5"/>
        <v/>
      </c>
    </row>
    <row r="343" spans="1:12" x14ac:dyDescent="0.25">
      <c r="A343" s="11"/>
      <c r="B343" s="94"/>
      <c r="C343" s="1"/>
      <c r="D343" s="1"/>
      <c r="E343" s="1"/>
      <c r="F343" s="95"/>
      <c r="G343" s="95"/>
      <c r="H343" s="1"/>
      <c r="I343" s="95"/>
      <c r="J343" s="95"/>
      <c r="K343" s="1"/>
      <c r="L343" t="str">
        <f t="shared" si="5"/>
        <v/>
      </c>
    </row>
    <row r="344" spans="1:12" x14ac:dyDescent="0.25">
      <c r="A344" s="11"/>
      <c r="B344" s="94"/>
      <c r="C344" s="1"/>
      <c r="D344" s="1"/>
      <c r="E344" s="1"/>
      <c r="F344" s="95"/>
      <c r="G344" s="95"/>
      <c r="H344" s="1"/>
      <c r="I344" s="95"/>
      <c r="J344" s="95"/>
      <c r="K344" s="1"/>
      <c r="L344" t="str">
        <f t="shared" si="5"/>
        <v/>
      </c>
    </row>
    <row r="345" spans="1:12" x14ac:dyDescent="0.25">
      <c r="A345" s="11"/>
      <c r="B345" s="94"/>
      <c r="C345" s="1"/>
      <c r="D345" s="1"/>
      <c r="E345" s="1"/>
      <c r="F345" s="95"/>
      <c r="G345" s="95"/>
      <c r="H345" s="1"/>
      <c r="I345" s="95"/>
      <c r="J345" s="95"/>
      <c r="K345" s="1"/>
      <c r="L345" t="str">
        <f t="shared" si="5"/>
        <v/>
      </c>
    </row>
    <row r="346" spans="1:12" x14ac:dyDescent="0.25">
      <c r="A346" s="11"/>
      <c r="B346" s="94"/>
      <c r="C346" s="1"/>
      <c r="D346" s="1"/>
      <c r="E346" s="1"/>
      <c r="F346" s="95"/>
      <c r="G346" s="95"/>
      <c r="H346" s="1"/>
      <c r="I346" s="95"/>
      <c r="J346" s="95"/>
      <c r="K346" s="1"/>
      <c r="L346" t="str">
        <f t="shared" si="5"/>
        <v/>
      </c>
    </row>
    <row r="347" spans="1:12" x14ac:dyDescent="0.25">
      <c r="A347" s="11"/>
      <c r="B347" s="94"/>
      <c r="C347" s="1"/>
      <c r="D347" s="1"/>
      <c r="E347" s="1"/>
      <c r="F347" s="95"/>
      <c r="G347" s="95"/>
      <c r="H347" s="1"/>
      <c r="I347" s="95"/>
      <c r="J347" s="95"/>
      <c r="K347" s="1"/>
      <c r="L347" t="str">
        <f t="shared" si="5"/>
        <v/>
      </c>
    </row>
    <row r="348" spans="1:12" x14ac:dyDescent="0.25">
      <c r="A348" s="11"/>
      <c r="B348" s="94"/>
      <c r="C348" s="1"/>
      <c r="D348" s="1"/>
      <c r="E348" s="1"/>
      <c r="F348" s="95"/>
      <c r="G348" s="95"/>
      <c r="H348" s="1"/>
      <c r="I348" s="95"/>
      <c r="J348" s="95"/>
      <c r="K348" s="1"/>
      <c r="L348" t="str">
        <f t="shared" si="5"/>
        <v/>
      </c>
    </row>
    <row r="349" spans="1:12" x14ac:dyDescent="0.25">
      <c r="A349" s="11"/>
      <c r="B349" s="94"/>
      <c r="C349" s="1"/>
      <c r="D349" s="1"/>
      <c r="E349" s="1"/>
      <c r="F349" s="95"/>
      <c r="G349" s="95"/>
      <c r="H349" s="1"/>
      <c r="I349" s="95"/>
      <c r="J349" s="95"/>
      <c r="K349" s="1"/>
      <c r="L349" t="str">
        <f t="shared" si="5"/>
        <v/>
      </c>
    </row>
    <row r="350" spans="1:12" x14ac:dyDescent="0.25">
      <c r="A350" s="11"/>
      <c r="B350" s="94"/>
      <c r="C350" s="1"/>
      <c r="D350" s="1"/>
      <c r="E350" s="1"/>
      <c r="F350" s="95"/>
      <c r="G350" s="95"/>
      <c r="H350" s="1"/>
      <c r="I350" s="95"/>
      <c r="J350" s="95"/>
      <c r="K350" s="1"/>
      <c r="L350" t="str">
        <f t="shared" si="5"/>
        <v/>
      </c>
    </row>
    <row r="351" spans="1:12" x14ac:dyDescent="0.25">
      <c r="A351" s="11"/>
      <c r="B351" s="94"/>
      <c r="C351" s="1"/>
      <c r="D351" s="1"/>
      <c r="E351" s="1"/>
      <c r="F351" s="95"/>
      <c r="G351" s="95"/>
      <c r="H351" s="1"/>
      <c r="I351" s="95"/>
      <c r="J351" s="95"/>
      <c r="K351" s="1"/>
      <c r="L351" t="str">
        <f t="shared" si="5"/>
        <v/>
      </c>
    </row>
    <row r="352" spans="1:12" x14ac:dyDescent="0.25">
      <c r="A352" s="11"/>
      <c r="B352" s="94"/>
      <c r="C352" s="1"/>
      <c r="D352" s="1"/>
      <c r="E352" s="1"/>
      <c r="F352" s="95"/>
      <c r="G352" s="95"/>
      <c r="H352" s="1"/>
      <c r="I352" s="95"/>
      <c r="J352" s="95"/>
      <c r="K352" s="1"/>
      <c r="L352" t="str">
        <f t="shared" si="5"/>
        <v/>
      </c>
    </row>
    <row r="353" spans="1:12" x14ac:dyDescent="0.25">
      <c r="A353" s="11"/>
      <c r="B353" s="94"/>
      <c r="C353" s="1"/>
      <c r="D353" s="1"/>
      <c r="E353" s="1"/>
      <c r="F353" s="95"/>
      <c r="G353" s="95"/>
      <c r="H353" s="1"/>
      <c r="I353" s="95"/>
      <c r="J353" s="95"/>
      <c r="K353" s="1"/>
      <c r="L353" t="str">
        <f t="shared" si="5"/>
        <v/>
      </c>
    </row>
    <row r="354" spans="1:12" x14ac:dyDescent="0.25">
      <c r="A354" s="11"/>
      <c r="B354" s="94"/>
      <c r="C354" s="1"/>
      <c r="D354" s="1"/>
      <c r="E354" s="1"/>
      <c r="F354" s="95"/>
      <c r="G354" s="95"/>
      <c r="H354" s="1"/>
      <c r="I354" s="95"/>
      <c r="J354" s="95"/>
      <c r="K354" s="1"/>
      <c r="L354" t="str">
        <f t="shared" si="5"/>
        <v/>
      </c>
    </row>
    <row r="355" spans="1:12" x14ac:dyDescent="0.25">
      <c r="A355" s="11"/>
      <c r="B355" s="94"/>
      <c r="C355" s="1"/>
      <c r="D355" s="1"/>
      <c r="E355" s="1"/>
      <c r="F355" s="95"/>
      <c r="G355" s="95"/>
      <c r="H355" s="1"/>
      <c r="I355" s="95"/>
      <c r="J355" s="95"/>
      <c r="K355" s="1"/>
      <c r="L355" t="str">
        <f t="shared" si="5"/>
        <v/>
      </c>
    </row>
    <row r="356" spans="1:12" x14ac:dyDescent="0.25">
      <c r="A356" s="11"/>
      <c r="B356" s="94"/>
      <c r="C356" s="1"/>
      <c r="D356" s="1"/>
      <c r="E356" s="1"/>
      <c r="F356" s="95"/>
      <c r="G356" s="95"/>
      <c r="H356" s="1"/>
      <c r="I356" s="95"/>
      <c r="J356" s="95"/>
      <c r="K356" s="1"/>
      <c r="L356" t="str">
        <f t="shared" si="5"/>
        <v/>
      </c>
    </row>
    <row r="357" spans="1:12" x14ac:dyDescent="0.25">
      <c r="A357" s="11"/>
      <c r="B357" s="94"/>
      <c r="C357" s="1"/>
      <c r="D357" s="1"/>
      <c r="E357" s="1"/>
      <c r="F357" s="95"/>
      <c r="G357" s="95"/>
      <c r="H357" s="1"/>
      <c r="I357" s="95"/>
      <c r="J357" s="95"/>
      <c r="K357" s="1"/>
      <c r="L357" t="str">
        <f t="shared" si="5"/>
        <v/>
      </c>
    </row>
    <row r="358" spans="1:12" x14ac:dyDescent="0.25">
      <c r="A358" s="11"/>
      <c r="B358" s="94"/>
      <c r="C358" s="1"/>
      <c r="D358" s="1"/>
      <c r="E358" s="1"/>
      <c r="F358" s="95"/>
      <c r="G358" s="95"/>
      <c r="H358" s="1"/>
      <c r="I358" s="95"/>
      <c r="J358" s="95"/>
      <c r="K358" s="1"/>
      <c r="L358" t="str">
        <f t="shared" si="5"/>
        <v/>
      </c>
    </row>
    <row r="359" spans="1:12" x14ac:dyDescent="0.25">
      <c r="A359" s="11"/>
      <c r="B359" s="94"/>
      <c r="C359" s="1"/>
      <c r="D359" s="1"/>
      <c r="E359" s="1"/>
      <c r="F359" s="95"/>
      <c r="G359" s="95"/>
      <c r="H359" s="1"/>
      <c r="I359" s="95"/>
      <c r="J359" s="95"/>
      <c r="K359" s="1"/>
      <c r="L359" t="str">
        <f t="shared" si="5"/>
        <v/>
      </c>
    </row>
    <row r="360" spans="1:12" x14ac:dyDescent="0.25">
      <c r="A360" s="11"/>
      <c r="B360" s="94"/>
      <c r="C360" s="1"/>
      <c r="D360" s="1"/>
      <c r="E360" s="1"/>
      <c r="F360" s="95"/>
      <c r="G360" s="95"/>
      <c r="H360" s="1"/>
      <c r="I360" s="95"/>
      <c r="J360" s="95"/>
      <c r="K360" s="1"/>
      <c r="L360" t="str">
        <f t="shared" si="5"/>
        <v/>
      </c>
    </row>
    <row r="361" spans="1:12" x14ac:dyDescent="0.25">
      <c r="A361" s="11"/>
      <c r="B361" s="94"/>
      <c r="C361" s="1"/>
      <c r="D361" s="1"/>
      <c r="E361" s="1"/>
      <c r="F361" s="95"/>
      <c r="G361" s="95"/>
      <c r="H361" s="1"/>
      <c r="I361" s="95"/>
      <c r="J361" s="95"/>
      <c r="K361" s="1"/>
      <c r="L361" t="str">
        <f t="shared" si="5"/>
        <v/>
      </c>
    </row>
    <row r="362" spans="1:12" x14ac:dyDescent="0.25">
      <c r="A362" s="11"/>
      <c r="B362" s="94"/>
      <c r="C362" s="1"/>
      <c r="D362" s="1"/>
      <c r="E362" s="1"/>
      <c r="F362" s="95"/>
      <c r="G362" s="95"/>
      <c r="H362" s="1"/>
      <c r="I362" s="95"/>
      <c r="J362" s="95"/>
      <c r="K362" s="1"/>
      <c r="L362" t="str">
        <f t="shared" si="5"/>
        <v/>
      </c>
    </row>
    <row r="363" spans="1:12" x14ac:dyDescent="0.25">
      <c r="A363" s="11"/>
      <c r="B363" s="94"/>
      <c r="C363" s="1"/>
      <c r="D363" s="1"/>
      <c r="E363" s="1"/>
      <c r="F363" s="95"/>
      <c r="G363" s="95"/>
      <c r="H363" s="1"/>
      <c r="I363" s="95"/>
      <c r="J363" s="95"/>
      <c r="K363" s="1"/>
      <c r="L363" t="str">
        <f t="shared" si="5"/>
        <v/>
      </c>
    </row>
    <row r="364" spans="1:12" x14ac:dyDescent="0.25">
      <c r="A364" s="11"/>
      <c r="B364" s="94"/>
      <c r="C364" s="1"/>
      <c r="D364" s="1"/>
      <c r="E364" s="1"/>
      <c r="F364" s="95"/>
      <c r="G364" s="95"/>
      <c r="H364" s="1"/>
      <c r="I364" s="95"/>
      <c r="J364" s="95"/>
      <c r="K364" s="1"/>
      <c r="L364" t="str">
        <f t="shared" si="5"/>
        <v/>
      </c>
    </row>
    <row r="365" spans="1:12" x14ac:dyDescent="0.25">
      <c r="A365" s="11"/>
      <c r="B365" s="94"/>
      <c r="C365" s="1"/>
      <c r="D365" s="1"/>
      <c r="E365" s="1"/>
      <c r="F365" s="95"/>
      <c r="G365" s="95"/>
      <c r="H365" s="1"/>
      <c r="I365" s="95"/>
      <c r="J365" s="95"/>
      <c r="K365" s="1"/>
      <c r="L365" t="str">
        <f t="shared" si="5"/>
        <v/>
      </c>
    </row>
    <row r="366" spans="1:12" x14ac:dyDescent="0.25">
      <c r="A366" s="11"/>
      <c r="B366" s="94"/>
      <c r="C366" s="1"/>
      <c r="D366" s="1"/>
      <c r="E366" s="1"/>
      <c r="F366" s="95"/>
      <c r="G366" s="95"/>
      <c r="H366" s="1"/>
      <c r="I366" s="95"/>
      <c r="J366" s="95"/>
      <c r="K366" s="1"/>
      <c r="L366" t="str">
        <f t="shared" si="5"/>
        <v/>
      </c>
    </row>
    <row r="367" spans="1:12" x14ac:dyDescent="0.25">
      <c r="A367" s="11"/>
      <c r="B367" s="94"/>
      <c r="C367" s="1"/>
      <c r="D367" s="1"/>
      <c r="E367" s="1"/>
      <c r="F367" s="95"/>
      <c r="G367" s="95"/>
      <c r="H367" s="1"/>
      <c r="I367" s="95"/>
      <c r="J367" s="95"/>
      <c r="K367" s="1"/>
      <c r="L367" t="str">
        <f t="shared" si="5"/>
        <v/>
      </c>
    </row>
    <row r="368" spans="1:12" x14ac:dyDescent="0.25">
      <c r="A368" s="11"/>
      <c r="B368" s="94"/>
      <c r="C368" s="1"/>
      <c r="D368" s="1"/>
      <c r="E368" s="1"/>
      <c r="F368" s="95"/>
      <c r="G368" s="95"/>
      <c r="H368" s="1"/>
      <c r="I368" s="95"/>
      <c r="J368" s="95"/>
      <c r="K368" s="1"/>
      <c r="L368" t="str">
        <f t="shared" si="5"/>
        <v/>
      </c>
    </row>
    <row r="369" spans="1:12" x14ac:dyDescent="0.25">
      <c r="A369" s="11"/>
      <c r="B369" s="94"/>
      <c r="C369" s="1"/>
      <c r="D369" s="1"/>
      <c r="E369" s="1"/>
      <c r="F369" s="95"/>
      <c r="G369" s="95"/>
      <c r="H369" s="1"/>
      <c r="I369" s="95"/>
      <c r="J369" s="95"/>
      <c r="K369" s="1"/>
      <c r="L369" t="str">
        <f t="shared" si="5"/>
        <v/>
      </c>
    </row>
    <row r="370" spans="1:12" x14ac:dyDescent="0.25">
      <c r="A370" s="11"/>
      <c r="B370" s="94"/>
      <c r="C370" s="1"/>
      <c r="D370" s="1"/>
      <c r="E370" s="1"/>
      <c r="F370" s="95"/>
      <c r="G370" s="95"/>
      <c r="H370" s="1"/>
      <c r="I370" s="95"/>
      <c r="J370" s="95"/>
      <c r="K370" s="1"/>
      <c r="L370" t="str">
        <f t="shared" si="5"/>
        <v/>
      </c>
    </row>
    <row r="371" spans="1:12" x14ac:dyDescent="0.25">
      <c r="A371" s="11"/>
      <c r="B371" s="94"/>
      <c r="C371" s="1"/>
      <c r="D371" s="1"/>
      <c r="E371" s="1"/>
      <c r="F371" s="95"/>
      <c r="G371" s="95"/>
      <c r="H371" s="1"/>
      <c r="I371" s="95"/>
      <c r="J371" s="95"/>
      <c r="K371" s="1"/>
      <c r="L371" t="str">
        <f t="shared" si="5"/>
        <v/>
      </c>
    </row>
    <row r="372" spans="1:12" x14ac:dyDescent="0.25">
      <c r="A372" s="11"/>
      <c r="B372" s="94"/>
      <c r="C372" s="1"/>
      <c r="D372" s="1"/>
      <c r="E372" s="1"/>
      <c r="F372" s="95"/>
      <c r="G372" s="95"/>
      <c r="H372" s="1"/>
      <c r="I372" s="95"/>
      <c r="J372" s="95"/>
      <c r="K372" s="1"/>
      <c r="L372" t="str">
        <f t="shared" si="5"/>
        <v/>
      </c>
    </row>
    <row r="373" spans="1:12" x14ac:dyDescent="0.25">
      <c r="A373" s="11"/>
      <c r="B373" s="94"/>
      <c r="C373" s="1"/>
      <c r="D373" s="1"/>
      <c r="E373" s="1"/>
      <c r="F373" s="95"/>
      <c r="G373" s="95"/>
      <c r="H373" s="1"/>
      <c r="I373" s="95"/>
      <c r="J373" s="95"/>
      <c r="K373" s="1"/>
      <c r="L373" t="str">
        <f t="shared" si="5"/>
        <v/>
      </c>
    </row>
    <row r="374" spans="1:12" x14ac:dyDescent="0.25">
      <c r="A374" s="11"/>
      <c r="B374" s="94"/>
      <c r="C374" s="1"/>
      <c r="D374" s="1"/>
      <c r="E374" s="1"/>
      <c r="F374" s="95"/>
      <c r="G374" s="95"/>
      <c r="H374" s="1"/>
      <c r="I374" s="95"/>
      <c r="J374" s="95"/>
      <c r="K374" s="1"/>
      <c r="L374" t="str">
        <f t="shared" si="5"/>
        <v/>
      </c>
    </row>
    <row r="375" spans="1:12" x14ac:dyDescent="0.25">
      <c r="A375" s="11"/>
      <c r="B375" s="94"/>
      <c r="C375" s="1"/>
      <c r="D375" s="1"/>
      <c r="E375" s="1"/>
      <c r="F375" s="95"/>
      <c r="G375" s="95"/>
      <c r="H375" s="1"/>
      <c r="I375" s="95"/>
      <c r="J375" s="95"/>
      <c r="K375" s="1"/>
      <c r="L375" t="str">
        <f t="shared" si="5"/>
        <v/>
      </c>
    </row>
    <row r="376" spans="1:12" x14ac:dyDescent="0.25">
      <c r="A376" s="11"/>
      <c r="B376" s="94"/>
      <c r="C376" s="1"/>
      <c r="D376" s="1"/>
      <c r="E376" s="1"/>
      <c r="F376" s="95"/>
      <c r="G376" s="95"/>
      <c r="H376" s="1"/>
      <c r="I376" s="95"/>
      <c r="J376" s="95"/>
      <c r="K376" s="1"/>
      <c r="L376" t="str">
        <f t="shared" si="5"/>
        <v/>
      </c>
    </row>
    <row r="377" spans="1:12" x14ac:dyDescent="0.25">
      <c r="A377" s="11"/>
      <c r="B377" s="94"/>
      <c r="C377" s="1"/>
      <c r="D377" s="1"/>
      <c r="E377" s="1"/>
      <c r="F377" s="95"/>
      <c r="G377" s="95"/>
      <c r="H377" s="1"/>
      <c r="I377" s="95"/>
      <c r="J377" s="95"/>
      <c r="K377" s="1"/>
      <c r="L377" t="str">
        <f t="shared" si="5"/>
        <v/>
      </c>
    </row>
    <row r="378" spans="1:12" x14ac:dyDescent="0.25">
      <c r="A378" s="11"/>
      <c r="B378" s="94"/>
      <c r="C378" s="1"/>
      <c r="D378" s="1"/>
      <c r="E378" s="1"/>
      <c r="F378" s="95"/>
      <c r="G378" s="95"/>
      <c r="H378" s="1"/>
      <c r="I378" s="95"/>
      <c r="J378" s="95"/>
      <c r="K378" s="1"/>
      <c r="L378" t="str">
        <f t="shared" si="5"/>
        <v/>
      </c>
    </row>
    <row r="379" spans="1:12" x14ac:dyDescent="0.25">
      <c r="A379" s="11"/>
      <c r="B379" s="94"/>
      <c r="C379" s="1"/>
      <c r="D379" s="1"/>
      <c r="E379" s="1"/>
      <c r="F379" s="95"/>
      <c r="G379" s="95"/>
      <c r="H379" s="1"/>
      <c r="I379" s="95"/>
      <c r="J379" s="95"/>
      <c r="K379" s="1"/>
      <c r="L379" t="str">
        <f t="shared" si="5"/>
        <v/>
      </c>
    </row>
    <row r="380" spans="1:12" x14ac:dyDescent="0.25">
      <c r="A380" s="11"/>
      <c r="B380" s="94"/>
      <c r="C380" s="1"/>
      <c r="D380" s="1"/>
      <c r="E380" s="1"/>
      <c r="F380" s="95"/>
      <c r="G380" s="95"/>
      <c r="H380" s="1"/>
      <c r="I380" s="95"/>
      <c r="J380" s="95"/>
      <c r="K380" s="1"/>
      <c r="L380" t="str">
        <f t="shared" si="5"/>
        <v/>
      </c>
    </row>
    <row r="381" spans="1:12" x14ac:dyDescent="0.25">
      <c r="A381" s="11"/>
      <c r="B381" s="94"/>
      <c r="C381" s="1"/>
      <c r="D381" s="1"/>
      <c r="E381" s="1"/>
      <c r="F381" s="95"/>
      <c r="G381" s="95"/>
      <c r="H381" s="1"/>
      <c r="I381" s="95"/>
      <c r="J381" s="95"/>
      <c r="K381" s="1"/>
      <c r="L381" t="str">
        <f t="shared" si="5"/>
        <v/>
      </c>
    </row>
    <row r="382" spans="1:12" x14ac:dyDescent="0.25">
      <c r="A382" s="11"/>
      <c r="B382" s="94"/>
      <c r="C382" s="1"/>
      <c r="D382" s="1"/>
      <c r="E382" s="1"/>
      <c r="F382" s="95"/>
      <c r="G382" s="95"/>
      <c r="H382" s="1"/>
      <c r="I382" s="95"/>
      <c r="J382" s="95"/>
      <c r="K382" s="1"/>
      <c r="L382" t="str">
        <f t="shared" si="5"/>
        <v/>
      </c>
    </row>
    <row r="383" spans="1:12" x14ac:dyDescent="0.25">
      <c r="A383" s="11"/>
      <c r="B383" s="94"/>
      <c r="C383" s="1"/>
      <c r="D383" s="1"/>
      <c r="E383" s="1"/>
      <c r="F383" s="95"/>
      <c r="G383" s="95"/>
      <c r="H383" s="1"/>
      <c r="I383" s="95"/>
      <c r="J383" s="95"/>
      <c r="K383" s="1"/>
      <c r="L383" t="str">
        <f t="shared" si="5"/>
        <v/>
      </c>
    </row>
    <row r="384" spans="1:12" x14ac:dyDescent="0.25">
      <c r="A384" s="11"/>
      <c r="B384" s="94"/>
      <c r="C384" s="1"/>
      <c r="D384" s="1"/>
      <c r="E384" s="1"/>
      <c r="F384" s="95"/>
      <c r="G384" s="95"/>
      <c r="H384" s="1"/>
      <c r="I384" s="95"/>
      <c r="J384" s="95"/>
      <c r="K384" s="1"/>
      <c r="L384" t="str">
        <f t="shared" si="5"/>
        <v/>
      </c>
    </row>
    <row r="385" spans="1:12" x14ac:dyDescent="0.25">
      <c r="A385" s="11"/>
      <c r="B385" s="94"/>
      <c r="C385" s="1"/>
      <c r="D385" s="1"/>
      <c r="E385" s="1"/>
      <c r="F385" s="95"/>
      <c r="G385" s="95"/>
      <c r="H385" s="1"/>
      <c r="I385" s="95"/>
      <c r="J385" s="95"/>
      <c r="K385" s="1"/>
      <c r="L385" t="str">
        <f t="shared" si="5"/>
        <v/>
      </c>
    </row>
    <row r="386" spans="1:12" x14ac:dyDescent="0.25">
      <c r="A386" s="11"/>
      <c r="B386" s="94"/>
      <c r="C386" s="1"/>
      <c r="D386" s="1"/>
      <c r="E386" s="1"/>
      <c r="F386" s="95"/>
      <c r="G386" s="95"/>
      <c r="H386" s="1"/>
      <c r="I386" s="95"/>
      <c r="J386" s="95"/>
      <c r="K386" s="1"/>
      <c r="L386" t="str">
        <f t="shared" si="5"/>
        <v/>
      </c>
    </row>
    <row r="387" spans="1:12" x14ac:dyDescent="0.25">
      <c r="A387" s="11"/>
      <c r="B387" s="94"/>
      <c r="C387" s="1"/>
      <c r="D387" s="1"/>
      <c r="E387" s="1"/>
      <c r="F387" s="95"/>
      <c r="G387" s="95"/>
      <c r="H387" s="1"/>
      <c r="I387" s="95"/>
      <c r="J387" s="95"/>
      <c r="K387" s="1"/>
      <c r="L387" t="str">
        <f t="shared" ref="L387:L450" si="6">IF(K387="Pass",CONCATENATE(A387," - ",IF(E387="ABS",CONCATENATE("ABS : TF ",F387," deg / ",G387," %"),IF(E387="IH",CONCATENATE("IH: INC ",F387," deg / ",G387," %"),IF(E387="HIA",CONCATENATE("HIA: INC ",F387," deg / AZI ",G387," deg"),"")))),"")</f>
        <v/>
      </c>
    </row>
    <row r="388" spans="1:12" x14ac:dyDescent="0.25">
      <c r="A388" s="11"/>
      <c r="B388" s="94"/>
      <c r="C388" s="1"/>
      <c r="D388" s="1"/>
      <c r="E388" s="1"/>
      <c r="F388" s="95"/>
      <c r="G388" s="95"/>
      <c r="H388" s="1"/>
      <c r="I388" s="95"/>
      <c r="J388" s="95"/>
      <c r="K388" s="1"/>
      <c r="L388" t="str">
        <f t="shared" si="6"/>
        <v/>
      </c>
    </row>
    <row r="389" spans="1:12" x14ac:dyDescent="0.25">
      <c r="A389" s="11"/>
      <c r="B389" s="94"/>
      <c r="C389" s="1"/>
      <c r="D389" s="1"/>
      <c r="E389" s="1"/>
      <c r="F389" s="95"/>
      <c r="G389" s="95"/>
      <c r="H389" s="1"/>
      <c r="I389" s="95"/>
      <c r="J389" s="95"/>
      <c r="K389" s="1"/>
      <c r="L389" t="str">
        <f t="shared" si="6"/>
        <v/>
      </c>
    </row>
    <row r="390" spans="1:12" x14ac:dyDescent="0.25">
      <c r="A390" s="11"/>
      <c r="B390" s="94"/>
      <c r="C390" s="1"/>
      <c r="D390" s="1"/>
      <c r="E390" s="1"/>
      <c r="F390" s="95"/>
      <c r="G390" s="95"/>
      <c r="H390" s="1"/>
      <c r="I390" s="95"/>
      <c r="J390" s="95"/>
      <c r="K390" s="1"/>
      <c r="L390" t="str">
        <f t="shared" si="6"/>
        <v/>
      </c>
    </row>
    <row r="391" spans="1:12" x14ac:dyDescent="0.25">
      <c r="A391" s="11"/>
      <c r="B391" s="94"/>
      <c r="C391" s="1"/>
      <c r="D391" s="1"/>
      <c r="E391" s="1"/>
      <c r="F391" s="95"/>
      <c r="G391" s="95"/>
      <c r="H391" s="1"/>
      <c r="I391" s="95"/>
      <c r="J391" s="95"/>
      <c r="K391" s="1"/>
      <c r="L391" t="str">
        <f t="shared" si="6"/>
        <v/>
      </c>
    </row>
    <row r="392" spans="1:12" x14ac:dyDescent="0.25">
      <c r="A392" s="11"/>
      <c r="B392" s="94"/>
      <c r="C392" s="1"/>
      <c r="D392" s="1"/>
      <c r="E392" s="1"/>
      <c r="F392" s="95"/>
      <c r="G392" s="95"/>
      <c r="H392" s="1"/>
      <c r="I392" s="95"/>
      <c r="J392" s="95"/>
      <c r="K392" s="1"/>
      <c r="L392" t="str">
        <f t="shared" si="6"/>
        <v/>
      </c>
    </row>
    <row r="393" spans="1:12" x14ac:dyDescent="0.25">
      <c r="A393" s="11"/>
      <c r="B393" s="94"/>
      <c r="C393" s="1"/>
      <c r="D393" s="1"/>
      <c r="E393" s="1"/>
      <c r="F393" s="95"/>
      <c r="G393" s="95"/>
      <c r="H393" s="1"/>
      <c r="I393" s="95"/>
      <c r="J393" s="95"/>
      <c r="K393" s="1"/>
      <c r="L393" t="str">
        <f t="shared" si="6"/>
        <v/>
      </c>
    </row>
    <row r="394" spans="1:12" x14ac:dyDescent="0.25">
      <c r="A394" s="11"/>
      <c r="B394" s="94"/>
      <c r="C394" s="1"/>
      <c r="D394" s="1"/>
      <c r="E394" s="1"/>
      <c r="F394" s="95"/>
      <c r="G394" s="95"/>
      <c r="H394" s="1"/>
      <c r="I394" s="95"/>
      <c r="J394" s="95"/>
      <c r="K394" s="1"/>
      <c r="L394" t="str">
        <f t="shared" si="6"/>
        <v/>
      </c>
    </row>
    <row r="395" spans="1:12" x14ac:dyDescent="0.25">
      <c r="A395" s="11"/>
      <c r="B395" s="94"/>
      <c r="C395" s="1"/>
      <c r="D395" s="1"/>
      <c r="E395" s="1"/>
      <c r="F395" s="95"/>
      <c r="G395" s="95"/>
      <c r="H395" s="1"/>
      <c r="I395" s="95"/>
      <c r="J395" s="95"/>
      <c r="K395" s="1"/>
      <c r="L395" t="str">
        <f t="shared" si="6"/>
        <v/>
      </c>
    </row>
    <row r="396" spans="1:12" x14ac:dyDescent="0.25">
      <c r="A396" s="11"/>
      <c r="B396" s="94"/>
      <c r="C396" s="1"/>
      <c r="D396" s="1"/>
      <c r="E396" s="1"/>
      <c r="F396" s="95"/>
      <c r="G396" s="95"/>
      <c r="H396" s="1"/>
      <c r="I396" s="95"/>
      <c r="J396" s="95"/>
      <c r="K396" s="1"/>
      <c r="L396" t="str">
        <f t="shared" si="6"/>
        <v/>
      </c>
    </row>
    <row r="397" spans="1:12" x14ac:dyDescent="0.25">
      <c r="A397" s="11"/>
      <c r="B397" s="94"/>
      <c r="C397" s="1"/>
      <c r="D397" s="1"/>
      <c r="E397" s="1"/>
      <c r="F397" s="95"/>
      <c r="G397" s="95"/>
      <c r="H397" s="1"/>
      <c r="I397" s="95"/>
      <c r="J397" s="95"/>
      <c r="K397" s="1"/>
      <c r="L397" t="str">
        <f t="shared" si="6"/>
        <v/>
      </c>
    </row>
    <row r="398" spans="1:12" x14ac:dyDescent="0.25">
      <c r="A398" s="11"/>
      <c r="B398" s="94"/>
      <c r="C398" s="1"/>
      <c r="D398" s="1"/>
      <c r="E398" s="1"/>
      <c r="F398" s="95"/>
      <c r="G398" s="95"/>
      <c r="H398" s="1"/>
      <c r="I398" s="95"/>
      <c r="J398" s="95"/>
      <c r="K398" s="1"/>
      <c r="L398" t="str">
        <f t="shared" si="6"/>
        <v/>
      </c>
    </row>
    <row r="399" spans="1:12" x14ac:dyDescent="0.25">
      <c r="A399" s="11"/>
      <c r="B399" s="94"/>
      <c r="C399" s="1"/>
      <c r="D399" s="1"/>
      <c r="E399" s="1"/>
      <c r="F399" s="95"/>
      <c r="G399" s="95"/>
      <c r="H399" s="1"/>
      <c r="I399" s="95"/>
      <c r="J399" s="95"/>
      <c r="K399" s="1"/>
      <c r="L399" t="str">
        <f t="shared" si="6"/>
        <v/>
      </c>
    </row>
    <row r="400" spans="1:12" x14ac:dyDescent="0.25">
      <c r="A400" s="11"/>
      <c r="B400" s="94"/>
      <c r="C400" s="1"/>
      <c r="D400" s="1"/>
      <c r="E400" s="1"/>
      <c r="F400" s="95"/>
      <c r="G400" s="95"/>
      <c r="H400" s="1"/>
      <c r="I400" s="95"/>
      <c r="J400" s="95"/>
      <c r="K400" s="1"/>
      <c r="L400" t="str">
        <f t="shared" si="6"/>
        <v/>
      </c>
    </row>
    <row r="401" spans="1:12" x14ac:dyDescent="0.25">
      <c r="A401" s="11"/>
      <c r="B401" s="94"/>
      <c r="C401" s="1"/>
      <c r="D401" s="1"/>
      <c r="E401" s="1"/>
      <c r="F401" s="95"/>
      <c r="G401" s="95"/>
      <c r="H401" s="1"/>
      <c r="I401" s="95"/>
      <c r="J401" s="95"/>
      <c r="K401" s="1"/>
      <c r="L401" t="str">
        <f t="shared" si="6"/>
        <v/>
      </c>
    </row>
    <row r="402" spans="1:12" x14ac:dyDescent="0.25">
      <c r="A402" s="11"/>
      <c r="B402" s="94"/>
      <c r="C402" s="1"/>
      <c r="D402" s="1"/>
      <c r="E402" s="1"/>
      <c r="F402" s="95"/>
      <c r="G402" s="95"/>
      <c r="H402" s="1"/>
      <c r="I402" s="95"/>
      <c r="J402" s="95"/>
      <c r="K402" s="1"/>
      <c r="L402" t="str">
        <f t="shared" si="6"/>
        <v/>
      </c>
    </row>
    <row r="403" spans="1:12" x14ac:dyDescent="0.25">
      <c r="A403" s="11"/>
      <c r="B403" s="94"/>
      <c r="C403" s="1"/>
      <c r="D403" s="1"/>
      <c r="E403" s="1"/>
      <c r="F403" s="95"/>
      <c r="G403" s="95"/>
      <c r="H403" s="1"/>
      <c r="I403" s="95"/>
      <c r="J403" s="95"/>
      <c r="K403" s="1"/>
      <c r="L403" t="str">
        <f t="shared" si="6"/>
        <v/>
      </c>
    </row>
    <row r="404" spans="1:12" x14ac:dyDescent="0.25">
      <c r="A404" s="11"/>
      <c r="B404" s="94"/>
      <c r="C404" s="1"/>
      <c r="D404" s="1"/>
      <c r="E404" s="1"/>
      <c r="F404" s="95"/>
      <c r="G404" s="95"/>
      <c r="H404" s="1"/>
      <c r="I404" s="95"/>
      <c r="J404" s="95"/>
      <c r="K404" s="1"/>
      <c r="L404" t="str">
        <f t="shared" si="6"/>
        <v/>
      </c>
    </row>
    <row r="405" spans="1:12" x14ac:dyDescent="0.25">
      <c r="A405" s="11"/>
      <c r="B405" s="94"/>
      <c r="C405" s="1"/>
      <c r="D405" s="1"/>
      <c r="E405" s="1"/>
      <c r="F405" s="95"/>
      <c r="G405" s="95"/>
      <c r="H405" s="1"/>
      <c r="I405" s="95"/>
      <c r="J405" s="95"/>
      <c r="K405" s="1"/>
      <c r="L405" t="str">
        <f t="shared" si="6"/>
        <v/>
      </c>
    </row>
    <row r="406" spans="1:12" x14ac:dyDescent="0.25">
      <c r="A406" s="11"/>
      <c r="B406" s="94"/>
      <c r="C406" s="1"/>
      <c r="D406" s="1"/>
      <c r="E406" s="1"/>
      <c r="F406" s="95"/>
      <c r="G406" s="95"/>
      <c r="H406" s="1"/>
      <c r="I406" s="95"/>
      <c r="J406" s="95"/>
      <c r="K406" s="1"/>
      <c r="L406" t="str">
        <f t="shared" si="6"/>
        <v/>
      </c>
    </row>
    <row r="407" spans="1:12" x14ac:dyDescent="0.25">
      <c r="A407" s="11"/>
      <c r="B407" s="94"/>
      <c r="C407" s="1"/>
      <c r="D407" s="1"/>
      <c r="E407" s="1"/>
      <c r="F407" s="95"/>
      <c r="G407" s="95"/>
      <c r="H407" s="1"/>
      <c r="I407" s="95"/>
      <c r="J407" s="95"/>
      <c r="K407" s="1"/>
      <c r="L407" t="str">
        <f t="shared" si="6"/>
        <v/>
      </c>
    </row>
    <row r="408" spans="1:12" x14ac:dyDescent="0.25">
      <c r="A408" s="11"/>
      <c r="B408" s="94"/>
      <c r="C408" s="1"/>
      <c r="D408" s="1"/>
      <c r="E408" s="1"/>
      <c r="F408" s="95"/>
      <c r="G408" s="95"/>
      <c r="H408" s="1"/>
      <c r="I408" s="95"/>
      <c r="J408" s="95"/>
      <c r="K408" s="1"/>
      <c r="L408" t="str">
        <f t="shared" si="6"/>
        <v/>
      </c>
    </row>
    <row r="409" spans="1:12" x14ac:dyDescent="0.25">
      <c r="A409" s="11"/>
      <c r="B409" s="94"/>
      <c r="C409" s="1"/>
      <c r="D409" s="1"/>
      <c r="E409" s="1"/>
      <c r="F409" s="95"/>
      <c r="G409" s="95"/>
      <c r="H409" s="1"/>
      <c r="I409" s="95"/>
      <c r="J409" s="95"/>
      <c r="K409" s="1"/>
      <c r="L409" t="str">
        <f t="shared" si="6"/>
        <v/>
      </c>
    </row>
    <row r="410" spans="1:12" x14ac:dyDescent="0.25">
      <c r="A410" s="11"/>
      <c r="B410" s="94"/>
      <c r="C410" s="1"/>
      <c r="D410" s="1"/>
      <c r="E410" s="1"/>
      <c r="F410" s="95"/>
      <c r="G410" s="95"/>
      <c r="H410" s="1"/>
      <c r="I410" s="95"/>
      <c r="J410" s="95"/>
      <c r="K410" s="1"/>
      <c r="L410" t="str">
        <f t="shared" si="6"/>
        <v/>
      </c>
    </row>
    <row r="411" spans="1:12" x14ac:dyDescent="0.25">
      <c r="A411" s="11"/>
      <c r="B411" s="94"/>
      <c r="C411" s="1"/>
      <c r="D411" s="1"/>
      <c r="E411" s="1"/>
      <c r="F411" s="95"/>
      <c r="G411" s="95"/>
      <c r="H411" s="1"/>
      <c r="I411" s="95"/>
      <c r="J411" s="95"/>
      <c r="K411" s="1"/>
      <c r="L411" t="str">
        <f t="shared" si="6"/>
        <v/>
      </c>
    </row>
    <row r="412" spans="1:12" x14ac:dyDescent="0.25">
      <c r="A412" s="11"/>
      <c r="B412" s="94"/>
      <c r="C412" s="1"/>
      <c r="D412" s="1"/>
      <c r="E412" s="1"/>
      <c r="F412" s="95"/>
      <c r="G412" s="95"/>
      <c r="H412" s="1"/>
      <c r="I412" s="95"/>
      <c r="J412" s="95"/>
      <c r="K412" s="1"/>
      <c r="L412" t="str">
        <f t="shared" si="6"/>
        <v/>
      </c>
    </row>
    <row r="413" spans="1:12" x14ac:dyDescent="0.25">
      <c r="A413" s="11"/>
      <c r="B413" s="94"/>
      <c r="C413" s="1"/>
      <c r="D413" s="1"/>
      <c r="E413" s="1"/>
      <c r="F413" s="95"/>
      <c r="G413" s="95"/>
      <c r="H413" s="1"/>
      <c r="I413" s="95"/>
      <c r="J413" s="95"/>
      <c r="K413" s="1"/>
      <c r="L413" t="str">
        <f t="shared" si="6"/>
        <v/>
      </c>
    </row>
    <row r="414" spans="1:12" x14ac:dyDescent="0.25">
      <c r="A414" s="11"/>
      <c r="B414" s="94"/>
      <c r="C414" s="1"/>
      <c r="D414" s="1"/>
      <c r="E414" s="1"/>
      <c r="F414" s="95"/>
      <c r="G414" s="95"/>
      <c r="H414" s="1"/>
      <c r="I414" s="95"/>
      <c r="J414" s="95"/>
      <c r="K414" s="1"/>
      <c r="L414" t="str">
        <f t="shared" si="6"/>
        <v/>
      </c>
    </row>
    <row r="415" spans="1:12" x14ac:dyDescent="0.25">
      <c r="A415" s="11"/>
      <c r="B415" s="94"/>
      <c r="C415" s="1"/>
      <c r="D415" s="1"/>
      <c r="E415" s="1"/>
      <c r="F415" s="95"/>
      <c r="G415" s="95"/>
      <c r="H415" s="1"/>
      <c r="I415" s="95"/>
      <c r="J415" s="95"/>
      <c r="K415" s="1"/>
      <c r="L415" t="str">
        <f t="shared" si="6"/>
        <v/>
      </c>
    </row>
    <row r="416" spans="1:12" x14ac:dyDescent="0.25">
      <c r="A416" s="11"/>
      <c r="B416" s="94"/>
      <c r="C416" s="1"/>
      <c r="D416" s="1"/>
      <c r="E416" s="1"/>
      <c r="F416" s="95"/>
      <c r="G416" s="95"/>
      <c r="H416" s="1"/>
      <c r="I416" s="95"/>
      <c r="J416" s="95"/>
      <c r="K416" s="1"/>
      <c r="L416" t="str">
        <f t="shared" si="6"/>
        <v/>
      </c>
    </row>
    <row r="417" spans="1:12" x14ac:dyDescent="0.25">
      <c r="A417" s="11"/>
      <c r="B417" s="94"/>
      <c r="C417" s="1"/>
      <c r="D417" s="1"/>
      <c r="E417" s="1"/>
      <c r="F417" s="95"/>
      <c r="G417" s="95"/>
      <c r="H417" s="1"/>
      <c r="I417" s="95"/>
      <c r="J417" s="95"/>
      <c r="K417" s="1"/>
      <c r="L417" t="str">
        <f t="shared" si="6"/>
        <v/>
      </c>
    </row>
    <row r="418" spans="1:12" x14ac:dyDescent="0.25">
      <c r="A418" s="11"/>
      <c r="B418" s="94"/>
      <c r="C418" s="1"/>
      <c r="D418" s="1"/>
      <c r="E418" s="1"/>
      <c r="F418" s="95"/>
      <c r="G418" s="95"/>
      <c r="H418" s="1"/>
      <c r="I418" s="95"/>
      <c r="J418" s="95"/>
      <c r="K418" s="1"/>
      <c r="L418" t="str">
        <f t="shared" si="6"/>
        <v/>
      </c>
    </row>
    <row r="419" spans="1:12" x14ac:dyDescent="0.25">
      <c r="A419" s="11"/>
      <c r="B419" s="94"/>
      <c r="C419" s="1"/>
      <c r="D419" s="1"/>
      <c r="E419" s="1"/>
      <c r="F419" s="95"/>
      <c r="G419" s="95"/>
      <c r="H419" s="1"/>
      <c r="I419" s="95"/>
      <c r="J419" s="95"/>
      <c r="K419" s="1"/>
      <c r="L419" t="str">
        <f t="shared" si="6"/>
        <v/>
      </c>
    </row>
    <row r="420" spans="1:12" x14ac:dyDescent="0.25">
      <c r="A420" s="11"/>
      <c r="B420" s="94"/>
      <c r="C420" s="1"/>
      <c r="D420" s="1"/>
      <c r="E420" s="1"/>
      <c r="F420" s="95"/>
      <c r="G420" s="95"/>
      <c r="H420" s="1"/>
      <c r="I420" s="95"/>
      <c r="J420" s="95"/>
      <c r="K420" s="1"/>
      <c r="L420" t="str">
        <f t="shared" si="6"/>
        <v/>
      </c>
    </row>
    <row r="421" spans="1:12" x14ac:dyDescent="0.25">
      <c r="A421" s="11"/>
      <c r="B421" s="94"/>
      <c r="C421" s="1"/>
      <c r="D421" s="1"/>
      <c r="E421" s="1"/>
      <c r="F421" s="95"/>
      <c r="G421" s="95"/>
      <c r="H421" s="1"/>
      <c r="I421" s="95"/>
      <c r="J421" s="95"/>
      <c r="K421" s="1"/>
      <c r="L421" t="str">
        <f t="shared" si="6"/>
        <v/>
      </c>
    </row>
    <row r="422" spans="1:12" x14ac:dyDescent="0.25">
      <c r="A422" s="11"/>
      <c r="B422" s="94"/>
      <c r="C422" s="1"/>
      <c r="D422" s="1"/>
      <c r="E422" s="1"/>
      <c r="F422" s="95"/>
      <c r="G422" s="95"/>
      <c r="H422" s="1"/>
      <c r="I422" s="95"/>
      <c r="J422" s="95"/>
      <c r="K422" s="1"/>
      <c r="L422" t="str">
        <f t="shared" si="6"/>
        <v/>
      </c>
    </row>
    <row r="423" spans="1:12" x14ac:dyDescent="0.25">
      <c r="A423" s="11"/>
      <c r="B423" s="94"/>
      <c r="C423" s="1"/>
      <c r="D423" s="1"/>
      <c r="E423" s="1"/>
      <c r="F423" s="95"/>
      <c r="G423" s="95"/>
      <c r="H423" s="1"/>
      <c r="I423" s="95"/>
      <c r="J423" s="95"/>
      <c r="K423" s="1"/>
      <c r="L423" t="str">
        <f t="shared" si="6"/>
        <v/>
      </c>
    </row>
    <row r="424" spans="1:12" x14ac:dyDescent="0.25">
      <c r="A424" s="11"/>
      <c r="B424" s="94"/>
      <c r="C424" s="1"/>
      <c r="D424" s="1"/>
      <c r="E424" s="1"/>
      <c r="F424" s="95"/>
      <c r="G424" s="95"/>
      <c r="H424" s="1"/>
      <c r="I424" s="95"/>
      <c r="J424" s="95"/>
      <c r="K424" s="1"/>
      <c r="L424" t="str">
        <f t="shared" si="6"/>
        <v/>
      </c>
    </row>
    <row r="425" spans="1:12" x14ac:dyDescent="0.25">
      <c r="A425" s="11"/>
      <c r="B425" s="94"/>
      <c r="C425" s="1"/>
      <c r="D425" s="1"/>
      <c r="E425" s="1"/>
      <c r="F425" s="95"/>
      <c r="G425" s="95"/>
      <c r="H425" s="1"/>
      <c r="I425" s="95"/>
      <c r="J425" s="95"/>
      <c r="K425" s="1"/>
      <c r="L425" t="str">
        <f t="shared" si="6"/>
        <v/>
      </c>
    </row>
    <row r="426" spans="1:12" x14ac:dyDescent="0.25">
      <c r="A426" s="11"/>
      <c r="B426" s="94"/>
      <c r="C426" s="1"/>
      <c r="D426" s="1"/>
      <c r="E426" s="1"/>
      <c r="F426" s="95"/>
      <c r="G426" s="95"/>
      <c r="H426" s="1"/>
      <c r="I426" s="95"/>
      <c r="J426" s="95"/>
      <c r="K426" s="1"/>
      <c r="L426" t="str">
        <f t="shared" si="6"/>
        <v/>
      </c>
    </row>
    <row r="427" spans="1:12" x14ac:dyDescent="0.25">
      <c r="A427" s="11"/>
      <c r="B427" s="94"/>
      <c r="C427" s="1"/>
      <c r="D427" s="1"/>
      <c r="E427" s="1"/>
      <c r="F427" s="95"/>
      <c r="G427" s="95"/>
      <c r="H427" s="1"/>
      <c r="I427" s="95"/>
      <c r="J427" s="95"/>
      <c r="K427" s="1"/>
      <c r="L427" t="str">
        <f t="shared" si="6"/>
        <v/>
      </c>
    </row>
    <row r="428" spans="1:12" x14ac:dyDescent="0.25">
      <c r="A428" s="11"/>
      <c r="B428" s="94"/>
      <c r="C428" s="1"/>
      <c r="D428" s="1"/>
      <c r="E428" s="1"/>
      <c r="F428" s="95"/>
      <c r="G428" s="95"/>
      <c r="H428" s="1"/>
      <c r="I428" s="95"/>
      <c r="J428" s="95"/>
      <c r="K428" s="1"/>
      <c r="L428" t="str">
        <f t="shared" si="6"/>
        <v/>
      </c>
    </row>
    <row r="429" spans="1:12" x14ac:dyDescent="0.25">
      <c r="A429" s="11"/>
      <c r="B429" s="94"/>
      <c r="C429" s="1"/>
      <c r="D429" s="1"/>
      <c r="E429" s="1"/>
      <c r="F429" s="95"/>
      <c r="G429" s="95"/>
      <c r="H429" s="1"/>
      <c r="I429" s="95"/>
      <c r="J429" s="95"/>
      <c r="K429" s="1"/>
      <c r="L429" t="str">
        <f t="shared" si="6"/>
        <v/>
      </c>
    </row>
    <row r="430" spans="1:12" x14ac:dyDescent="0.25">
      <c r="A430" s="11"/>
      <c r="B430" s="94"/>
      <c r="C430" s="1"/>
      <c r="D430" s="1"/>
      <c r="E430" s="1"/>
      <c r="F430" s="95"/>
      <c r="G430" s="95"/>
      <c r="H430" s="1"/>
      <c r="I430" s="95"/>
      <c r="J430" s="95"/>
      <c r="K430" s="1"/>
      <c r="L430" t="str">
        <f t="shared" si="6"/>
        <v/>
      </c>
    </row>
    <row r="431" spans="1:12" x14ac:dyDescent="0.25">
      <c r="A431" s="11"/>
      <c r="B431" s="94"/>
      <c r="C431" s="1"/>
      <c r="D431" s="1"/>
      <c r="E431" s="1"/>
      <c r="F431" s="95"/>
      <c r="G431" s="95"/>
      <c r="H431" s="1"/>
      <c r="I431" s="95"/>
      <c r="J431" s="95"/>
      <c r="K431" s="1"/>
      <c r="L431" t="str">
        <f t="shared" si="6"/>
        <v/>
      </c>
    </row>
    <row r="432" spans="1:12" x14ac:dyDescent="0.25">
      <c r="A432" s="11"/>
      <c r="B432" s="94"/>
      <c r="C432" s="1"/>
      <c r="D432" s="1"/>
      <c r="E432" s="1"/>
      <c r="F432" s="95"/>
      <c r="G432" s="95"/>
      <c r="H432" s="1"/>
      <c r="I432" s="95"/>
      <c r="J432" s="95"/>
      <c r="K432" s="1"/>
      <c r="L432" t="str">
        <f t="shared" si="6"/>
        <v/>
      </c>
    </row>
    <row r="433" spans="1:12" x14ac:dyDescent="0.25">
      <c r="A433" s="11"/>
      <c r="B433" s="94"/>
      <c r="C433" s="1"/>
      <c r="D433" s="1"/>
      <c r="E433" s="1"/>
      <c r="F433" s="95"/>
      <c r="G433" s="95"/>
      <c r="H433" s="1"/>
      <c r="I433" s="95"/>
      <c r="J433" s="95"/>
      <c r="K433" s="1"/>
      <c r="L433" t="str">
        <f t="shared" si="6"/>
        <v/>
      </c>
    </row>
    <row r="434" spans="1:12" x14ac:dyDescent="0.25">
      <c r="A434" s="11"/>
      <c r="B434" s="94"/>
      <c r="C434" s="1"/>
      <c r="D434" s="1"/>
      <c r="E434" s="1"/>
      <c r="F434" s="95"/>
      <c r="G434" s="95"/>
      <c r="H434" s="1"/>
      <c r="I434" s="95"/>
      <c r="J434" s="95"/>
      <c r="K434" s="1"/>
      <c r="L434" t="str">
        <f t="shared" si="6"/>
        <v/>
      </c>
    </row>
    <row r="435" spans="1:12" x14ac:dyDescent="0.25">
      <c r="A435" s="11"/>
      <c r="B435" s="94"/>
      <c r="C435" s="1"/>
      <c r="D435" s="1"/>
      <c r="E435" s="1"/>
      <c r="F435" s="95"/>
      <c r="G435" s="95"/>
      <c r="H435" s="1"/>
      <c r="I435" s="95"/>
      <c r="J435" s="95"/>
      <c r="K435" s="1"/>
      <c r="L435" t="str">
        <f t="shared" si="6"/>
        <v/>
      </c>
    </row>
    <row r="436" spans="1:12" x14ac:dyDescent="0.25">
      <c r="A436" s="11"/>
      <c r="B436" s="94"/>
      <c r="C436" s="1"/>
      <c r="D436" s="1"/>
      <c r="E436" s="1"/>
      <c r="F436" s="95"/>
      <c r="G436" s="95"/>
      <c r="H436" s="1"/>
      <c r="I436" s="95"/>
      <c r="J436" s="95"/>
      <c r="K436" s="1"/>
      <c r="L436" t="str">
        <f t="shared" si="6"/>
        <v/>
      </c>
    </row>
    <row r="437" spans="1:12" x14ac:dyDescent="0.25">
      <c r="A437" s="11"/>
      <c r="B437" s="94"/>
      <c r="C437" s="1"/>
      <c r="D437" s="1"/>
      <c r="E437" s="1"/>
      <c r="F437" s="95"/>
      <c r="G437" s="95"/>
      <c r="H437" s="1"/>
      <c r="I437" s="95"/>
      <c r="J437" s="95"/>
      <c r="K437" s="1"/>
      <c r="L437" t="str">
        <f t="shared" si="6"/>
        <v/>
      </c>
    </row>
    <row r="438" spans="1:12" x14ac:dyDescent="0.25">
      <c r="A438" s="11"/>
      <c r="B438" s="94"/>
      <c r="C438" s="1"/>
      <c r="D438" s="1"/>
      <c r="E438" s="1"/>
      <c r="F438" s="95"/>
      <c r="G438" s="95"/>
      <c r="H438" s="1"/>
      <c r="I438" s="95"/>
      <c r="J438" s="95"/>
      <c r="K438" s="1"/>
      <c r="L438" t="str">
        <f t="shared" si="6"/>
        <v/>
      </c>
    </row>
    <row r="439" spans="1:12" x14ac:dyDescent="0.25">
      <c r="A439" s="11"/>
      <c r="B439" s="94"/>
      <c r="C439" s="1"/>
      <c r="D439" s="1"/>
      <c r="E439" s="1"/>
      <c r="F439" s="95"/>
      <c r="G439" s="95"/>
      <c r="H439" s="1"/>
      <c r="I439" s="95"/>
      <c r="J439" s="95"/>
      <c r="K439" s="1"/>
      <c r="L439" t="str">
        <f t="shared" si="6"/>
        <v/>
      </c>
    </row>
    <row r="440" spans="1:12" x14ac:dyDescent="0.25">
      <c r="A440" s="11"/>
      <c r="B440" s="94"/>
      <c r="C440" s="1"/>
      <c r="D440" s="1"/>
      <c r="E440" s="1"/>
      <c r="F440" s="95"/>
      <c r="G440" s="95"/>
      <c r="H440" s="1"/>
      <c r="I440" s="95"/>
      <c r="J440" s="95"/>
      <c r="K440" s="1"/>
      <c r="L440" t="str">
        <f t="shared" si="6"/>
        <v/>
      </c>
    </row>
    <row r="441" spans="1:12" x14ac:dyDescent="0.25">
      <c r="A441" s="11"/>
      <c r="B441" s="94"/>
      <c r="C441" s="1"/>
      <c r="D441" s="1"/>
      <c r="E441" s="1"/>
      <c r="F441" s="95"/>
      <c r="G441" s="95"/>
      <c r="H441" s="1"/>
      <c r="I441" s="95"/>
      <c r="J441" s="95"/>
      <c r="K441" s="1"/>
      <c r="L441" t="str">
        <f t="shared" si="6"/>
        <v/>
      </c>
    </row>
    <row r="442" spans="1:12" x14ac:dyDescent="0.25">
      <c r="A442" s="11"/>
      <c r="B442" s="94"/>
      <c r="C442" s="1"/>
      <c r="D442" s="1"/>
      <c r="E442" s="1"/>
      <c r="F442" s="95"/>
      <c r="G442" s="95"/>
      <c r="H442" s="1"/>
      <c r="I442" s="95"/>
      <c r="J442" s="95"/>
      <c r="K442" s="1"/>
      <c r="L442" t="str">
        <f t="shared" si="6"/>
        <v/>
      </c>
    </row>
    <row r="443" spans="1:12" x14ac:dyDescent="0.25">
      <c r="A443" s="11"/>
      <c r="B443" s="94"/>
      <c r="C443" s="1"/>
      <c r="D443" s="1"/>
      <c r="E443" s="1"/>
      <c r="F443" s="95"/>
      <c r="G443" s="95"/>
      <c r="H443" s="1"/>
      <c r="I443" s="95"/>
      <c r="J443" s="95"/>
      <c r="K443" s="1"/>
      <c r="L443" t="str">
        <f t="shared" si="6"/>
        <v/>
      </c>
    </row>
    <row r="444" spans="1:12" x14ac:dyDescent="0.25">
      <c r="A444" s="11"/>
      <c r="B444" s="94"/>
      <c r="C444" s="1"/>
      <c r="D444" s="1"/>
      <c r="E444" s="1"/>
      <c r="F444" s="95"/>
      <c r="G444" s="95"/>
      <c r="H444" s="1"/>
      <c r="I444" s="95"/>
      <c r="J444" s="95"/>
      <c r="K444" s="1"/>
      <c r="L444" t="str">
        <f t="shared" si="6"/>
        <v/>
      </c>
    </row>
    <row r="445" spans="1:12" x14ac:dyDescent="0.25">
      <c r="A445" s="11"/>
      <c r="B445" s="94"/>
      <c r="C445" s="1"/>
      <c r="D445" s="1"/>
      <c r="E445" s="1"/>
      <c r="F445" s="95"/>
      <c r="G445" s="95"/>
      <c r="H445" s="1"/>
      <c r="I445" s="95"/>
      <c r="J445" s="95"/>
      <c r="K445" s="1"/>
      <c r="L445" t="str">
        <f t="shared" si="6"/>
        <v/>
      </c>
    </row>
    <row r="446" spans="1:12" x14ac:dyDescent="0.25">
      <c r="A446" s="11"/>
      <c r="B446" s="94"/>
      <c r="C446" s="1"/>
      <c r="D446" s="1"/>
      <c r="E446" s="1"/>
      <c r="F446" s="95"/>
      <c r="G446" s="95"/>
      <c r="H446" s="1"/>
      <c r="I446" s="95"/>
      <c r="J446" s="95"/>
      <c r="K446" s="1"/>
      <c r="L446" t="str">
        <f t="shared" si="6"/>
        <v/>
      </c>
    </row>
    <row r="447" spans="1:12" x14ac:dyDescent="0.25">
      <c r="A447" s="11"/>
      <c r="B447" s="94"/>
      <c r="C447" s="1"/>
      <c r="D447" s="1"/>
      <c r="E447" s="1"/>
      <c r="F447" s="95"/>
      <c r="G447" s="95"/>
      <c r="H447" s="1"/>
      <c r="I447" s="95"/>
      <c r="J447" s="95"/>
      <c r="K447" s="1"/>
      <c r="L447" t="str">
        <f t="shared" si="6"/>
        <v/>
      </c>
    </row>
    <row r="448" spans="1:12" x14ac:dyDescent="0.25">
      <c r="A448" s="11"/>
      <c r="B448" s="94"/>
      <c r="C448" s="1"/>
      <c r="D448" s="1"/>
      <c r="E448" s="1"/>
      <c r="F448" s="95"/>
      <c r="G448" s="95"/>
      <c r="H448" s="1"/>
      <c r="I448" s="95"/>
      <c r="J448" s="95"/>
      <c r="K448" s="1"/>
      <c r="L448" t="str">
        <f t="shared" si="6"/>
        <v/>
      </c>
    </row>
    <row r="449" spans="1:12" x14ac:dyDescent="0.25">
      <c r="A449" s="11"/>
      <c r="B449" s="94"/>
      <c r="C449" s="1"/>
      <c r="D449" s="1"/>
      <c r="E449" s="1"/>
      <c r="F449" s="95"/>
      <c r="G449" s="95"/>
      <c r="H449" s="1"/>
      <c r="I449" s="95"/>
      <c r="J449" s="95"/>
      <c r="K449" s="1"/>
      <c r="L449" t="str">
        <f t="shared" si="6"/>
        <v/>
      </c>
    </row>
    <row r="450" spans="1:12" x14ac:dyDescent="0.25">
      <c r="A450" s="11"/>
      <c r="B450" s="94"/>
      <c r="C450" s="1"/>
      <c r="D450" s="1"/>
      <c r="E450" s="1"/>
      <c r="F450" s="95"/>
      <c r="G450" s="95"/>
      <c r="H450" s="1"/>
      <c r="I450" s="95"/>
      <c r="J450" s="95"/>
      <c r="K450" s="1"/>
      <c r="L450" t="str">
        <f t="shared" si="6"/>
        <v/>
      </c>
    </row>
    <row r="451" spans="1:12" x14ac:dyDescent="0.25">
      <c r="A451" s="11"/>
      <c r="B451" s="94"/>
      <c r="C451" s="1"/>
      <c r="D451" s="1"/>
      <c r="E451" s="1"/>
      <c r="F451" s="95"/>
      <c r="G451" s="95"/>
      <c r="H451" s="1"/>
      <c r="I451" s="95"/>
      <c r="J451" s="95"/>
      <c r="K451" s="1"/>
      <c r="L451" t="str">
        <f t="shared" ref="L451:L500" si="7">IF(K451="Pass",CONCATENATE(A451," - ",IF(E451="ABS",CONCATENATE("ABS : TF ",F451," deg / ",G451," %"),IF(E451="IH",CONCATENATE("IH: INC ",F451," deg / ",G451," %"),IF(E451="HIA",CONCATENATE("HIA: INC ",F451," deg / AZI ",G451," deg"),"")))),"")</f>
        <v/>
      </c>
    </row>
    <row r="452" spans="1:12" x14ac:dyDescent="0.25">
      <c r="A452" s="11"/>
      <c r="B452" s="94"/>
      <c r="C452" s="1"/>
      <c r="D452" s="1"/>
      <c r="E452" s="1"/>
      <c r="F452" s="95"/>
      <c r="G452" s="95"/>
      <c r="H452" s="1"/>
      <c r="I452" s="95"/>
      <c r="J452" s="95"/>
      <c r="K452" s="1"/>
      <c r="L452" t="str">
        <f t="shared" si="7"/>
        <v/>
      </c>
    </row>
    <row r="453" spans="1:12" x14ac:dyDescent="0.25">
      <c r="A453" s="11"/>
      <c r="B453" s="94"/>
      <c r="C453" s="1"/>
      <c r="D453" s="1"/>
      <c r="E453" s="1"/>
      <c r="F453" s="95"/>
      <c r="G453" s="95"/>
      <c r="H453" s="1"/>
      <c r="I453" s="95"/>
      <c r="J453" s="95"/>
      <c r="K453" s="1"/>
      <c r="L453" t="str">
        <f t="shared" si="7"/>
        <v/>
      </c>
    </row>
    <row r="454" spans="1:12" x14ac:dyDescent="0.25">
      <c r="A454" s="11"/>
      <c r="B454" s="94"/>
      <c r="C454" s="1"/>
      <c r="D454" s="1"/>
      <c r="E454" s="1"/>
      <c r="F454" s="95"/>
      <c r="G454" s="95"/>
      <c r="H454" s="1"/>
      <c r="I454" s="95"/>
      <c r="J454" s="95"/>
      <c r="K454" s="1"/>
      <c r="L454" t="str">
        <f t="shared" si="7"/>
        <v/>
      </c>
    </row>
    <row r="455" spans="1:12" x14ac:dyDescent="0.25">
      <c r="A455" s="11"/>
      <c r="B455" s="94"/>
      <c r="C455" s="1"/>
      <c r="D455" s="1"/>
      <c r="E455" s="1"/>
      <c r="F455" s="95"/>
      <c r="G455" s="95"/>
      <c r="H455" s="1"/>
      <c r="I455" s="95"/>
      <c r="J455" s="95"/>
      <c r="K455" s="1"/>
      <c r="L455" t="str">
        <f t="shared" si="7"/>
        <v/>
      </c>
    </row>
    <row r="456" spans="1:12" x14ac:dyDescent="0.25">
      <c r="A456" s="11"/>
      <c r="B456" s="94"/>
      <c r="C456" s="1"/>
      <c r="D456" s="1"/>
      <c r="E456" s="1"/>
      <c r="F456" s="95"/>
      <c r="G456" s="95"/>
      <c r="H456" s="1"/>
      <c r="I456" s="95"/>
      <c r="J456" s="95"/>
      <c r="K456" s="1"/>
      <c r="L456" t="str">
        <f t="shared" si="7"/>
        <v/>
      </c>
    </row>
    <row r="457" spans="1:12" x14ac:dyDescent="0.25">
      <c r="A457" s="11"/>
      <c r="B457" s="94"/>
      <c r="C457" s="1"/>
      <c r="D457" s="1"/>
      <c r="E457" s="1"/>
      <c r="F457" s="95"/>
      <c r="G457" s="95"/>
      <c r="H457" s="1"/>
      <c r="I457" s="95"/>
      <c r="J457" s="95"/>
      <c r="K457" s="1"/>
      <c r="L457" t="str">
        <f t="shared" si="7"/>
        <v/>
      </c>
    </row>
    <row r="458" spans="1:12" x14ac:dyDescent="0.25">
      <c r="A458" s="11"/>
      <c r="B458" s="94"/>
      <c r="C458" s="1"/>
      <c r="D458" s="1"/>
      <c r="E458" s="1"/>
      <c r="F458" s="95"/>
      <c r="G458" s="95"/>
      <c r="H458" s="1"/>
      <c r="I458" s="95"/>
      <c r="J458" s="95"/>
      <c r="K458" s="1"/>
      <c r="L458" t="str">
        <f t="shared" si="7"/>
        <v/>
      </c>
    </row>
    <row r="459" spans="1:12" x14ac:dyDescent="0.25">
      <c r="A459" s="11"/>
      <c r="B459" s="94"/>
      <c r="C459" s="1"/>
      <c r="D459" s="1"/>
      <c r="E459" s="1"/>
      <c r="F459" s="95"/>
      <c r="G459" s="95"/>
      <c r="H459" s="1"/>
      <c r="I459" s="95"/>
      <c r="J459" s="95"/>
      <c r="K459" s="1"/>
      <c r="L459" t="str">
        <f t="shared" si="7"/>
        <v/>
      </c>
    </row>
    <row r="460" spans="1:12" x14ac:dyDescent="0.25">
      <c r="A460" s="11"/>
      <c r="B460" s="94"/>
      <c r="C460" s="1"/>
      <c r="D460" s="1"/>
      <c r="E460" s="1"/>
      <c r="F460" s="95"/>
      <c r="G460" s="95"/>
      <c r="H460" s="1"/>
      <c r="I460" s="95"/>
      <c r="J460" s="95"/>
      <c r="K460" s="1"/>
      <c r="L460" t="str">
        <f t="shared" si="7"/>
        <v/>
      </c>
    </row>
    <row r="461" spans="1:12" x14ac:dyDescent="0.25">
      <c r="A461" s="11"/>
      <c r="B461" s="94"/>
      <c r="C461" s="1"/>
      <c r="D461" s="1"/>
      <c r="E461" s="1"/>
      <c r="F461" s="95"/>
      <c r="G461" s="95"/>
      <c r="H461" s="1"/>
      <c r="I461" s="95"/>
      <c r="J461" s="95"/>
      <c r="K461" s="1"/>
      <c r="L461" t="str">
        <f t="shared" si="7"/>
        <v/>
      </c>
    </row>
    <row r="462" spans="1:12" x14ac:dyDescent="0.25">
      <c r="A462" s="11"/>
      <c r="B462" s="94"/>
      <c r="C462" s="1"/>
      <c r="D462" s="1"/>
      <c r="E462" s="1"/>
      <c r="F462" s="95"/>
      <c r="G462" s="95"/>
      <c r="H462" s="1"/>
      <c r="I462" s="95"/>
      <c r="J462" s="95"/>
      <c r="K462" s="1"/>
      <c r="L462" t="str">
        <f t="shared" si="7"/>
        <v/>
      </c>
    </row>
    <row r="463" spans="1:12" x14ac:dyDescent="0.25">
      <c r="A463" s="11"/>
      <c r="B463" s="94"/>
      <c r="C463" s="1"/>
      <c r="D463" s="1"/>
      <c r="E463" s="1"/>
      <c r="F463" s="95"/>
      <c r="G463" s="95"/>
      <c r="H463" s="1"/>
      <c r="I463" s="95"/>
      <c r="J463" s="95"/>
      <c r="K463" s="1"/>
      <c r="L463" t="str">
        <f t="shared" si="7"/>
        <v/>
      </c>
    </row>
    <row r="464" spans="1:12" x14ac:dyDescent="0.25">
      <c r="A464" s="11"/>
      <c r="B464" s="94"/>
      <c r="C464" s="1"/>
      <c r="D464" s="1"/>
      <c r="E464" s="1"/>
      <c r="F464" s="95"/>
      <c r="G464" s="95"/>
      <c r="H464" s="1"/>
      <c r="I464" s="95"/>
      <c r="J464" s="95"/>
      <c r="K464" s="1"/>
      <c r="L464" t="str">
        <f t="shared" si="7"/>
        <v/>
      </c>
    </row>
    <row r="465" spans="1:12" x14ac:dyDescent="0.25">
      <c r="A465" s="11"/>
      <c r="B465" s="94"/>
      <c r="C465" s="1"/>
      <c r="D465" s="1"/>
      <c r="E465" s="1"/>
      <c r="F465" s="95"/>
      <c r="G465" s="95"/>
      <c r="H465" s="1"/>
      <c r="I465" s="95"/>
      <c r="J465" s="95"/>
      <c r="K465" s="1"/>
      <c r="L465" t="str">
        <f t="shared" si="7"/>
        <v/>
      </c>
    </row>
    <row r="466" spans="1:12" x14ac:dyDescent="0.25">
      <c r="A466" s="11"/>
      <c r="B466" s="94"/>
      <c r="C466" s="1"/>
      <c r="D466" s="1"/>
      <c r="E466" s="1"/>
      <c r="F466" s="95"/>
      <c r="G466" s="95"/>
      <c r="H466" s="1"/>
      <c r="I466" s="95"/>
      <c r="J466" s="95"/>
      <c r="K466" s="1"/>
      <c r="L466" t="str">
        <f t="shared" si="7"/>
        <v/>
      </c>
    </row>
    <row r="467" spans="1:12" x14ac:dyDescent="0.25">
      <c r="A467" s="11"/>
      <c r="B467" s="94"/>
      <c r="C467" s="1"/>
      <c r="D467" s="1"/>
      <c r="E467" s="1"/>
      <c r="F467" s="95"/>
      <c r="G467" s="95"/>
      <c r="H467" s="1"/>
      <c r="I467" s="95"/>
      <c r="J467" s="95"/>
      <c r="K467" s="1"/>
      <c r="L467" t="str">
        <f t="shared" si="7"/>
        <v/>
      </c>
    </row>
    <row r="468" spans="1:12" x14ac:dyDescent="0.25">
      <c r="A468" s="11"/>
      <c r="B468" s="94"/>
      <c r="C468" s="1"/>
      <c r="D468" s="1"/>
      <c r="E468" s="1"/>
      <c r="F468" s="95"/>
      <c r="G468" s="95"/>
      <c r="H468" s="1"/>
      <c r="I468" s="95"/>
      <c r="J468" s="95"/>
      <c r="K468" s="1"/>
      <c r="L468" t="str">
        <f t="shared" si="7"/>
        <v/>
      </c>
    </row>
    <row r="469" spans="1:12" x14ac:dyDescent="0.25">
      <c r="A469" s="11"/>
      <c r="B469" s="94"/>
      <c r="C469" s="1"/>
      <c r="D469" s="1"/>
      <c r="E469" s="1"/>
      <c r="F469" s="95"/>
      <c r="G469" s="95"/>
      <c r="H469" s="1"/>
      <c r="I469" s="95"/>
      <c r="J469" s="95"/>
      <c r="K469" s="1"/>
      <c r="L469" t="str">
        <f t="shared" si="7"/>
        <v/>
      </c>
    </row>
    <row r="470" spans="1:12" x14ac:dyDescent="0.25">
      <c r="A470" s="11"/>
      <c r="B470" s="94"/>
      <c r="C470" s="1"/>
      <c r="D470" s="1"/>
      <c r="E470" s="1"/>
      <c r="F470" s="95"/>
      <c r="G470" s="95"/>
      <c r="H470" s="1"/>
      <c r="I470" s="95"/>
      <c r="J470" s="95"/>
      <c r="K470" s="1"/>
      <c r="L470" t="str">
        <f t="shared" si="7"/>
        <v/>
      </c>
    </row>
    <row r="471" spans="1:12" x14ac:dyDescent="0.25">
      <c r="A471" s="11"/>
      <c r="B471" s="94"/>
      <c r="C471" s="1"/>
      <c r="D471" s="1"/>
      <c r="E471" s="1"/>
      <c r="F471" s="95"/>
      <c r="G471" s="95"/>
      <c r="H471" s="1"/>
      <c r="I471" s="95"/>
      <c r="J471" s="95"/>
      <c r="K471" s="1"/>
      <c r="L471" t="str">
        <f t="shared" si="7"/>
        <v/>
      </c>
    </row>
    <row r="472" spans="1:12" x14ac:dyDescent="0.25">
      <c r="A472" s="11"/>
      <c r="B472" s="94"/>
      <c r="C472" s="1"/>
      <c r="D472" s="1"/>
      <c r="E472" s="1"/>
      <c r="F472" s="95"/>
      <c r="G472" s="95"/>
      <c r="H472" s="1"/>
      <c r="I472" s="95"/>
      <c r="J472" s="95"/>
      <c r="K472" s="1"/>
      <c r="L472" t="str">
        <f t="shared" si="7"/>
        <v/>
      </c>
    </row>
    <row r="473" spans="1:12" x14ac:dyDescent="0.25">
      <c r="A473" s="11"/>
      <c r="B473" s="94"/>
      <c r="C473" s="1"/>
      <c r="D473" s="1"/>
      <c r="E473" s="1"/>
      <c r="F473" s="95"/>
      <c r="G473" s="95"/>
      <c r="H473" s="1"/>
      <c r="I473" s="95"/>
      <c r="J473" s="95"/>
      <c r="K473" s="1"/>
      <c r="L473" t="str">
        <f t="shared" si="7"/>
        <v/>
      </c>
    </row>
    <row r="474" spans="1:12" x14ac:dyDescent="0.25">
      <c r="A474" s="11"/>
      <c r="B474" s="94"/>
      <c r="C474" s="1"/>
      <c r="D474" s="1"/>
      <c r="E474" s="1"/>
      <c r="F474" s="95"/>
      <c r="G474" s="95"/>
      <c r="H474" s="1"/>
      <c r="I474" s="95"/>
      <c r="J474" s="95"/>
      <c r="K474" s="1"/>
      <c r="L474" t="str">
        <f t="shared" si="7"/>
        <v/>
      </c>
    </row>
    <row r="475" spans="1:12" x14ac:dyDescent="0.25">
      <c r="A475" s="11"/>
      <c r="B475" s="94"/>
      <c r="C475" s="1"/>
      <c r="D475" s="1"/>
      <c r="E475" s="1"/>
      <c r="F475" s="95"/>
      <c r="G475" s="95"/>
      <c r="H475" s="1"/>
      <c r="I475" s="95"/>
      <c r="J475" s="95"/>
      <c r="K475" s="1"/>
      <c r="L475" t="str">
        <f t="shared" si="7"/>
        <v/>
      </c>
    </row>
    <row r="476" spans="1:12" x14ac:dyDescent="0.25">
      <c r="A476" s="11"/>
      <c r="B476" s="94"/>
      <c r="C476" s="1"/>
      <c r="D476" s="1"/>
      <c r="E476" s="1"/>
      <c r="F476" s="95"/>
      <c r="G476" s="95"/>
      <c r="H476" s="1"/>
      <c r="I476" s="95"/>
      <c r="J476" s="95"/>
      <c r="K476" s="1"/>
      <c r="L476" t="str">
        <f t="shared" si="7"/>
        <v/>
      </c>
    </row>
    <row r="477" spans="1:12" x14ac:dyDescent="0.25">
      <c r="A477" s="11"/>
      <c r="B477" s="94"/>
      <c r="C477" s="1"/>
      <c r="D477" s="1"/>
      <c r="E477" s="1"/>
      <c r="F477" s="95"/>
      <c r="G477" s="95"/>
      <c r="H477" s="1"/>
      <c r="I477" s="95"/>
      <c r="J477" s="95"/>
      <c r="K477" s="1"/>
      <c r="L477" t="str">
        <f t="shared" si="7"/>
        <v/>
      </c>
    </row>
    <row r="478" spans="1:12" x14ac:dyDescent="0.25">
      <c r="A478" s="11"/>
      <c r="B478" s="94"/>
      <c r="C478" s="1"/>
      <c r="D478" s="1"/>
      <c r="E478" s="1"/>
      <c r="F478" s="95"/>
      <c r="G478" s="95"/>
      <c r="H478" s="1"/>
      <c r="I478" s="95"/>
      <c r="J478" s="95"/>
      <c r="K478" s="1"/>
      <c r="L478" t="str">
        <f t="shared" si="7"/>
        <v/>
      </c>
    </row>
    <row r="479" spans="1:12" x14ac:dyDescent="0.25">
      <c r="A479" s="11"/>
      <c r="B479" s="94"/>
      <c r="C479" s="1"/>
      <c r="D479" s="1"/>
      <c r="E479" s="1"/>
      <c r="F479" s="95"/>
      <c r="G479" s="95"/>
      <c r="H479" s="1"/>
      <c r="I479" s="95"/>
      <c r="J479" s="95"/>
      <c r="K479" s="1"/>
      <c r="L479" t="str">
        <f t="shared" si="7"/>
        <v/>
      </c>
    </row>
    <row r="480" spans="1:12" x14ac:dyDescent="0.25">
      <c r="A480" s="11"/>
      <c r="B480" s="94"/>
      <c r="C480" s="1"/>
      <c r="D480" s="1"/>
      <c r="E480" s="1"/>
      <c r="F480" s="95"/>
      <c r="G480" s="95"/>
      <c r="H480" s="1"/>
      <c r="I480" s="95"/>
      <c r="J480" s="95"/>
      <c r="K480" s="1"/>
      <c r="L480" t="str">
        <f t="shared" si="7"/>
        <v/>
      </c>
    </row>
    <row r="481" spans="1:12" x14ac:dyDescent="0.25">
      <c r="A481" s="11"/>
      <c r="B481" s="94"/>
      <c r="C481" s="1"/>
      <c r="D481" s="1"/>
      <c r="E481" s="1"/>
      <c r="F481" s="95"/>
      <c r="G481" s="95"/>
      <c r="H481" s="1"/>
      <c r="I481" s="95"/>
      <c r="J481" s="95"/>
      <c r="K481" s="1"/>
      <c r="L481" t="str">
        <f t="shared" si="7"/>
        <v/>
      </c>
    </row>
    <row r="482" spans="1:12" x14ac:dyDescent="0.25">
      <c r="A482" s="11"/>
      <c r="B482" s="94"/>
      <c r="C482" s="1"/>
      <c r="D482" s="1"/>
      <c r="E482" s="1"/>
      <c r="F482" s="95"/>
      <c r="G482" s="95"/>
      <c r="H482" s="1"/>
      <c r="I482" s="95"/>
      <c r="J482" s="95"/>
      <c r="K482" s="1"/>
      <c r="L482" t="str">
        <f t="shared" si="7"/>
        <v/>
      </c>
    </row>
    <row r="483" spans="1:12" x14ac:dyDescent="0.25">
      <c r="A483" s="11"/>
      <c r="B483" s="94"/>
      <c r="C483" s="1"/>
      <c r="D483" s="1"/>
      <c r="E483" s="1"/>
      <c r="F483" s="95"/>
      <c r="G483" s="95"/>
      <c r="H483" s="1"/>
      <c r="I483" s="95"/>
      <c r="J483" s="95"/>
      <c r="K483" s="1"/>
      <c r="L483" t="str">
        <f t="shared" si="7"/>
        <v/>
      </c>
    </row>
    <row r="484" spans="1:12" x14ac:dyDescent="0.25">
      <c r="A484" s="11"/>
      <c r="B484" s="94"/>
      <c r="C484" s="1"/>
      <c r="D484" s="1"/>
      <c r="E484" s="1"/>
      <c r="F484" s="95"/>
      <c r="G484" s="95"/>
      <c r="H484" s="1"/>
      <c r="I484" s="95"/>
      <c r="J484" s="95"/>
      <c r="K484" s="1"/>
      <c r="L484" t="str">
        <f t="shared" si="7"/>
        <v/>
      </c>
    </row>
    <row r="485" spans="1:12" x14ac:dyDescent="0.25">
      <c r="A485" s="11"/>
      <c r="B485" s="94"/>
      <c r="C485" s="1"/>
      <c r="D485" s="1"/>
      <c r="E485" s="1"/>
      <c r="F485" s="95"/>
      <c r="G485" s="95"/>
      <c r="H485" s="1"/>
      <c r="I485" s="95"/>
      <c r="J485" s="95"/>
      <c r="K485" s="1"/>
      <c r="L485" t="str">
        <f t="shared" si="7"/>
        <v/>
      </c>
    </row>
    <row r="486" spans="1:12" x14ac:dyDescent="0.25">
      <c r="A486" s="11"/>
      <c r="B486" s="94"/>
      <c r="C486" s="1"/>
      <c r="D486" s="1"/>
      <c r="E486" s="1"/>
      <c r="F486" s="95"/>
      <c r="G486" s="95"/>
      <c r="H486" s="1"/>
      <c r="I486" s="95"/>
      <c r="J486" s="95"/>
      <c r="K486" s="1"/>
      <c r="L486" t="str">
        <f t="shared" si="7"/>
        <v/>
      </c>
    </row>
    <row r="487" spans="1:12" x14ac:dyDescent="0.25">
      <c r="A487" s="11"/>
      <c r="B487" s="94"/>
      <c r="C487" s="1"/>
      <c r="D487" s="1"/>
      <c r="E487" s="1"/>
      <c r="F487" s="95"/>
      <c r="G487" s="95"/>
      <c r="H487" s="1"/>
      <c r="I487" s="95"/>
      <c r="J487" s="95"/>
      <c r="K487" s="1"/>
      <c r="L487" t="str">
        <f t="shared" si="7"/>
        <v/>
      </c>
    </row>
    <row r="488" spans="1:12" x14ac:dyDescent="0.25">
      <c r="A488" s="11"/>
      <c r="B488" s="94"/>
      <c r="C488" s="1"/>
      <c r="D488" s="1"/>
      <c r="E488" s="1"/>
      <c r="F488" s="95"/>
      <c r="G488" s="95"/>
      <c r="H488" s="1"/>
      <c r="I488" s="95"/>
      <c r="J488" s="95"/>
      <c r="K488" s="1"/>
      <c r="L488" t="str">
        <f t="shared" si="7"/>
        <v/>
      </c>
    </row>
    <row r="489" spans="1:12" x14ac:dyDescent="0.25">
      <c r="A489" s="11"/>
      <c r="B489" s="94"/>
      <c r="C489" s="1"/>
      <c r="D489" s="1"/>
      <c r="E489" s="1"/>
      <c r="F489" s="95"/>
      <c r="G489" s="95"/>
      <c r="H489" s="1"/>
      <c r="I489" s="95"/>
      <c r="J489" s="95"/>
      <c r="K489" s="1"/>
      <c r="L489" t="str">
        <f t="shared" si="7"/>
        <v/>
      </c>
    </row>
    <row r="490" spans="1:12" x14ac:dyDescent="0.25">
      <c r="A490" s="11"/>
      <c r="B490" s="94"/>
      <c r="C490" s="1"/>
      <c r="D490" s="1"/>
      <c r="E490" s="1"/>
      <c r="F490" s="95"/>
      <c r="G490" s="95"/>
      <c r="H490" s="1"/>
      <c r="I490" s="95"/>
      <c r="J490" s="95"/>
      <c r="K490" s="1"/>
      <c r="L490" t="str">
        <f t="shared" si="7"/>
        <v/>
      </c>
    </row>
    <row r="491" spans="1:12" x14ac:dyDescent="0.25">
      <c r="A491" s="11"/>
      <c r="B491" s="94"/>
      <c r="C491" s="1"/>
      <c r="D491" s="1"/>
      <c r="E491" s="1"/>
      <c r="F491" s="95"/>
      <c r="G491" s="95"/>
      <c r="H491" s="1"/>
      <c r="I491" s="95"/>
      <c r="J491" s="95"/>
      <c r="K491" s="1"/>
      <c r="L491" t="str">
        <f t="shared" si="7"/>
        <v/>
      </c>
    </row>
    <row r="492" spans="1:12" x14ac:dyDescent="0.25">
      <c r="A492" s="11"/>
      <c r="B492" s="94"/>
      <c r="C492" s="1"/>
      <c r="D492" s="1"/>
      <c r="E492" s="1"/>
      <c r="F492" s="95"/>
      <c r="G492" s="95"/>
      <c r="H492" s="1"/>
      <c r="I492" s="95"/>
      <c r="J492" s="95"/>
      <c r="K492" s="1"/>
      <c r="L492" t="str">
        <f t="shared" si="7"/>
        <v/>
      </c>
    </row>
    <row r="493" spans="1:12" x14ac:dyDescent="0.25">
      <c r="A493" s="11"/>
      <c r="B493" s="94"/>
      <c r="C493" s="1"/>
      <c r="D493" s="1"/>
      <c r="E493" s="1"/>
      <c r="F493" s="95"/>
      <c r="G493" s="95"/>
      <c r="H493" s="1"/>
      <c r="I493" s="95"/>
      <c r="J493" s="95"/>
      <c r="K493" s="1"/>
      <c r="L493" t="str">
        <f t="shared" si="7"/>
        <v/>
      </c>
    </row>
    <row r="494" spans="1:12" x14ac:dyDescent="0.25">
      <c r="A494" s="11"/>
      <c r="B494" s="94"/>
      <c r="C494" s="1"/>
      <c r="D494" s="1"/>
      <c r="E494" s="1"/>
      <c r="F494" s="95"/>
      <c r="G494" s="95"/>
      <c r="H494" s="1"/>
      <c r="I494" s="95"/>
      <c r="J494" s="95"/>
      <c r="K494" s="1"/>
      <c r="L494" t="str">
        <f t="shared" si="7"/>
        <v/>
      </c>
    </row>
    <row r="495" spans="1:12" x14ac:dyDescent="0.25">
      <c r="A495" s="11"/>
      <c r="B495" s="94"/>
      <c r="C495" s="1"/>
      <c r="D495" s="1"/>
      <c r="E495" s="1"/>
      <c r="F495" s="95"/>
      <c r="G495" s="95"/>
      <c r="H495" s="1"/>
      <c r="I495" s="95"/>
      <c r="J495" s="95"/>
      <c r="K495" s="1"/>
      <c r="L495" t="str">
        <f t="shared" si="7"/>
        <v/>
      </c>
    </row>
    <row r="496" spans="1:12" x14ac:dyDescent="0.25">
      <c r="A496" s="11"/>
      <c r="B496" s="94"/>
      <c r="C496" s="1"/>
      <c r="D496" s="1"/>
      <c r="E496" s="1"/>
      <c r="F496" s="95"/>
      <c r="G496" s="95"/>
      <c r="H496" s="1"/>
      <c r="I496" s="95"/>
      <c r="J496" s="95"/>
      <c r="K496" s="1"/>
      <c r="L496" t="str">
        <f t="shared" si="7"/>
        <v/>
      </c>
    </row>
    <row r="497" spans="1:12" x14ac:dyDescent="0.25">
      <c r="A497" s="11"/>
      <c r="B497" s="94"/>
      <c r="C497" s="1"/>
      <c r="D497" s="1"/>
      <c r="E497" s="1"/>
      <c r="F497" s="95"/>
      <c r="G497" s="95"/>
      <c r="H497" s="1"/>
      <c r="I497" s="95"/>
      <c r="J497" s="95"/>
      <c r="K497" s="1"/>
      <c r="L497" t="str">
        <f t="shared" si="7"/>
        <v/>
      </c>
    </row>
    <row r="498" spans="1:12" x14ac:dyDescent="0.25">
      <c r="A498" s="11"/>
      <c r="B498" s="94"/>
      <c r="C498" s="1"/>
      <c r="D498" s="1"/>
      <c r="E498" s="1"/>
      <c r="F498" s="95"/>
      <c r="G498" s="95"/>
      <c r="H498" s="1"/>
      <c r="I498" s="95"/>
      <c r="J498" s="95"/>
      <c r="K498" s="1"/>
      <c r="L498" t="str">
        <f t="shared" si="7"/>
        <v/>
      </c>
    </row>
    <row r="499" spans="1:12" x14ac:dyDescent="0.25">
      <c r="A499" s="11"/>
      <c r="B499" s="94"/>
      <c r="C499" s="1"/>
      <c r="D499" s="1"/>
      <c r="E499" s="1"/>
      <c r="F499" s="95"/>
      <c r="G499" s="95"/>
      <c r="H499" s="1"/>
      <c r="I499" s="95"/>
      <c r="J499" s="95"/>
      <c r="K499" s="1"/>
      <c r="L499" t="str">
        <f t="shared" si="7"/>
        <v/>
      </c>
    </row>
    <row r="500" spans="1:12" x14ac:dyDescent="0.25">
      <c r="A500" s="11"/>
      <c r="B500" s="94"/>
      <c r="C500" s="1"/>
      <c r="D500" s="1"/>
      <c r="E500" s="1"/>
      <c r="F500" s="95"/>
      <c r="G500" s="95"/>
      <c r="H500" s="1"/>
      <c r="I500" s="95"/>
      <c r="J500" s="95"/>
      <c r="K500" s="1"/>
      <c r="L500" t="str">
        <f t="shared" si="7"/>
        <v/>
      </c>
    </row>
  </sheetData>
  <sheetProtection algorithmName="SHA-512" hashValue="oNue3YfMvg5eRZ5NU9UnTV6zEUtM+yGEYEiMiUZ/FSilX6VNuKE+/P0BK5jbuHiuuRIJYup9UnDN1gKm7nNGEg==" saltValue="e/CsBEW9lh8NAQiBvIDv1A==" spinCount="100000" sheet="1" objects="1" scenarios="1"/>
  <phoneticPr fontId="15" type="noConversion"/>
  <conditionalFormatting sqref="K2 K18:K500">
    <cfRule type="cellIs" dxfId="47" priority="206" operator="equal">
      <formula>"Fail"</formula>
    </cfRule>
    <cfRule type="cellIs" dxfId="46" priority="207" operator="equal">
      <formula>"Pass"</formula>
    </cfRule>
  </conditionalFormatting>
  <conditionalFormatting sqref="D2 D18:D500">
    <cfRule type="cellIs" dxfId="45" priority="205" operator="equal">
      <formula>"ON"</formula>
    </cfRule>
  </conditionalFormatting>
  <conditionalFormatting sqref="K3">
    <cfRule type="cellIs" dxfId="44" priority="44" operator="equal">
      <formula>"Fail"</formula>
    </cfRule>
    <cfRule type="cellIs" dxfId="43" priority="45" operator="equal">
      <formula>"Pass"</formula>
    </cfRule>
  </conditionalFormatting>
  <conditionalFormatting sqref="D3">
    <cfRule type="cellIs" dxfId="42" priority="43" operator="equal">
      <formula>"ON"</formula>
    </cfRule>
  </conditionalFormatting>
  <conditionalFormatting sqref="K4">
    <cfRule type="cellIs" dxfId="41" priority="41" operator="equal">
      <formula>"Fail"</formula>
    </cfRule>
    <cfRule type="cellIs" dxfId="40" priority="42" operator="equal">
      <formula>"Pass"</formula>
    </cfRule>
  </conditionalFormatting>
  <conditionalFormatting sqref="D4">
    <cfRule type="cellIs" dxfId="39" priority="40" operator="equal">
      <formula>"ON"</formula>
    </cfRule>
  </conditionalFormatting>
  <conditionalFormatting sqref="K5">
    <cfRule type="cellIs" dxfId="38" priority="38" operator="equal">
      <formula>"Fail"</formula>
    </cfRule>
    <cfRule type="cellIs" dxfId="37" priority="39" operator="equal">
      <formula>"Pass"</formula>
    </cfRule>
  </conditionalFormatting>
  <conditionalFormatting sqref="D5">
    <cfRule type="cellIs" dxfId="36" priority="37" operator="equal">
      <formula>"ON"</formula>
    </cfRule>
  </conditionalFormatting>
  <conditionalFormatting sqref="K6">
    <cfRule type="cellIs" dxfId="35" priority="35" operator="equal">
      <formula>"Fail"</formula>
    </cfRule>
    <cfRule type="cellIs" dxfId="34" priority="36" operator="equal">
      <formula>"Pass"</formula>
    </cfRule>
  </conditionalFormatting>
  <conditionalFormatting sqref="D6">
    <cfRule type="cellIs" dxfId="33" priority="34" operator="equal">
      <formula>"ON"</formula>
    </cfRule>
  </conditionalFormatting>
  <conditionalFormatting sqref="K7">
    <cfRule type="cellIs" dxfId="32" priority="32" operator="equal">
      <formula>"Fail"</formula>
    </cfRule>
    <cfRule type="cellIs" dxfId="31" priority="33" operator="equal">
      <formula>"Pass"</formula>
    </cfRule>
  </conditionalFormatting>
  <conditionalFormatting sqref="D7">
    <cfRule type="cellIs" dxfId="30" priority="31" operator="equal">
      <formula>"ON"</formula>
    </cfRule>
  </conditionalFormatting>
  <conditionalFormatting sqref="K8">
    <cfRule type="cellIs" dxfId="29" priority="29" operator="equal">
      <formula>"Fail"</formula>
    </cfRule>
    <cfRule type="cellIs" dxfId="28" priority="30" operator="equal">
      <formula>"Pass"</formula>
    </cfRule>
  </conditionalFormatting>
  <conditionalFormatting sqref="D8">
    <cfRule type="cellIs" dxfId="27" priority="28" operator="equal">
      <formula>"ON"</formula>
    </cfRule>
  </conditionalFormatting>
  <conditionalFormatting sqref="K9">
    <cfRule type="cellIs" dxfId="26" priority="26" operator="equal">
      <formula>"Fail"</formula>
    </cfRule>
    <cfRule type="cellIs" dxfId="25" priority="27" operator="equal">
      <formula>"Pass"</formula>
    </cfRule>
  </conditionalFormatting>
  <conditionalFormatting sqref="D9">
    <cfRule type="cellIs" dxfId="24" priority="25" operator="equal">
      <formula>"ON"</formula>
    </cfRule>
  </conditionalFormatting>
  <conditionalFormatting sqref="K10">
    <cfRule type="cellIs" dxfId="23" priority="23" operator="equal">
      <formula>"Fail"</formula>
    </cfRule>
    <cfRule type="cellIs" dxfId="22" priority="24" operator="equal">
      <formula>"Pass"</formula>
    </cfRule>
  </conditionalFormatting>
  <conditionalFormatting sqref="D10">
    <cfRule type="cellIs" dxfId="21" priority="22" operator="equal">
      <formula>"ON"</formula>
    </cfRule>
  </conditionalFormatting>
  <conditionalFormatting sqref="K11">
    <cfRule type="cellIs" dxfId="20" priority="20" operator="equal">
      <formula>"Fail"</formula>
    </cfRule>
    <cfRule type="cellIs" dxfId="19" priority="21" operator="equal">
      <formula>"Pass"</formula>
    </cfRule>
  </conditionalFormatting>
  <conditionalFormatting sqref="D11">
    <cfRule type="cellIs" dxfId="18" priority="19" operator="equal">
      <formula>"ON"</formula>
    </cfRule>
  </conditionalFormatting>
  <conditionalFormatting sqref="K12">
    <cfRule type="cellIs" dxfId="17" priority="17" operator="equal">
      <formula>"Fail"</formula>
    </cfRule>
    <cfRule type="cellIs" dxfId="16" priority="18" operator="equal">
      <formula>"Pass"</formula>
    </cfRule>
  </conditionalFormatting>
  <conditionalFormatting sqref="D12">
    <cfRule type="cellIs" dxfId="15" priority="16" operator="equal">
      <formula>"ON"</formula>
    </cfRule>
  </conditionalFormatting>
  <conditionalFormatting sqref="K13">
    <cfRule type="cellIs" dxfId="14" priority="14" operator="equal">
      <formula>"Fail"</formula>
    </cfRule>
    <cfRule type="cellIs" dxfId="13" priority="15" operator="equal">
      <formula>"Pass"</formula>
    </cfRule>
  </conditionalFormatting>
  <conditionalFormatting sqref="D13">
    <cfRule type="cellIs" dxfId="12" priority="13" operator="equal">
      <formula>"ON"</formula>
    </cfRule>
  </conditionalFormatting>
  <conditionalFormatting sqref="K14">
    <cfRule type="cellIs" dxfId="11" priority="11" operator="equal">
      <formula>"Fail"</formula>
    </cfRule>
    <cfRule type="cellIs" dxfId="10" priority="12" operator="equal">
      <formula>"Pass"</formula>
    </cfRule>
  </conditionalFormatting>
  <conditionalFormatting sqref="D14">
    <cfRule type="cellIs" dxfId="9" priority="10" operator="equal">
      <formula>"ON"</formula>
    </cfRule>
  </conditionalFormatting>
  <conditionalFormatting sqref="K15">
    <cfRule type="cellIs" dxfId="8" priority="8" operator="equal">
      <formula>"Fail"</formula>
    </cfRule>
    <cfRule type="cellIs" dxfId="7" priority="9" operator="equal">
      <formula>"Pass"</formula>
    </cfRule>
  </conditionalFormatting>
  <conditionalFormatting sqref="D15">
    <cfRule type="cellIs" dxfId="6" priority="7" operator="equal">
      <formula>"ON"</formula>
    </cfRule>
  </conditionalFormatting>
  <conditionalFormatting sqref="K16">
    <cfRule type="cellIs" dxfId="5" priority="5" operator="equal">
      <formula>"Fail"</formula>
    </cfRule>
    <cfRule type="cellIs" dxfId="4" priority="6" operator="equal">
      <formula>"Pass"</formula>
    </cfRule>
  </conditionalFormatting>
  <conditionalFormatting sqref="D16">
    <cfRule type="cellIs" dxfId="3" priority="4" operator="equal">
      <formula>"ON"</formula>
    </cfRule>
  </conditionalFormatting>
  <conditionalFormatting sqref="K17">
    <cfRule type="cellIs" dxfId="2" priority="2" operator="equal">
      <formula>"Fail"</formula>
    </cfRule>
    <cfRule type="cellIs" dxfId="1" priority="3" operator="equal">
      <formula>"Pass"</formula>
    </cfRule>
  </conditionalFormatting>
  <conditionalFormatting sqref="D17">
    <cfRule type="cellIs" dxfId="0" priority="1" operator="equal">
      <formula>"ON"</formula>
    </cfRule>
  </conditionalFormatting>
  <dataValidations count="6">
    <dataValidation type="list" allowBlank="1" showInputMessage="1" showErrorMessage="1" sqref="E2:E500" xr:uid="{373B8BC4-0048-4A8B-B3FF-FAE5933C34CD}">
      <formula1>"ABS,IH,HIA"</formula1>
    </dataValidation>
    <dataValidation type="list" allowBlank="1" showInputMessage="1" showErrorMessage="1" sqref="K2:K500" xr:uid="{5D18EC6D-CDBD-4CAF-B9E2-B82B2E64F27A}">
      <formula1>"Pass,Fail"</formula1>
    </dataValidation>
    <dataValidation type="list" allowBlank="1" showInputMessage="1" showErrorMessage="1" sqref="H2:H500" xr:uid="{52B1FB2B-CCEC-4B57-A78B-6E7648A62BAD}">
      <formula1>"Flow,RPM"</formula1>
    </dataValidation>
    <dataValidation type="list" allowBlank="1" showInputMessage="1" showErrorMessage="1" sqref="D2:D500" xr:uid="{3A3BCAB3-CC38-4629-A2BF-ABA38AA6AA7E}">
      <formula1>"ON,OFF"</formula1>
    </dataValidation>
    <dataValidation type="list" allowBlank="1" showInputMessage="1" showErrorMessage="1" sqref="C2:C500" xr:uid="{AB53DD16-AD62-4423-A203-9099B8A5F784}">
      <formula1>"18,36,54,60"</formula1>
    </dataValidation>
    <dataValidation type="list" allowBlank="1" showInputMessage="1" showErrorMessage="1" sqref="B2:B500" xr:uid="{9F85BECA-4166-4575-B99B-897282A09366}">
      <formula1>$M$2:$M$65</formula1>
    </dataValidation>
  </dataValidations>
  <pageMargins left="0.7" right="0.7" top="0.75" bottom="0.75" header="0.3" footer="0.3"/>
  <pageSetup scale="69" orientation="portrait" horizontalDpi="300" verticalDpi="300" r:id="rId1"/>
  <headerFooter>
    <oddFooter>&amp;C&amp;1#&amp;"Calibri"&amp;10&amp;K000000Schlumberger-Private</oddFooter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6" tint="0.59999389629810485"/>
  </sheetPr>
  <dimension ref="A1:AA20"/>
  <sheetViews>
    <sheetView workbookViewId="0">
      <selection activeCell="A13" sqref="A13"/>
    </sheetView>
  </sheetViews>
  <sheetFormatPr defaultColWidth="9" defaultRowHeight="15" x14ac:dyDescent="0.25"/>
  <cols>
    <col min="1" max="7" width="9" style="18"/>
    <col min="8" max="8" width="10.42578125" style="18" bestFit="1" customWidth="1"/>
    <col min="9" max="9" width="17.5703125" style="18" customWidth="1"/>
    <col min="10" max="10" width="9.42578125" style="18" customWidth="1"/>
    <col min="11" max="11" width="17.5703125" style="18" customWidth="1"/>
    <col min="12" max="12" width="10.42578125" style="18" customWidth="1"/>
    <col min="13" max="13" width="9" style="18"/>
    <col min="14" max="14" width="12.7109375" style="18" customWidth="1"/>
    <col min="15" max="15" width="17.85546875" style="18" customWidth="1"/>
    <col min="16" max="16" width="11.42578125" style="18" customWidth="1"/>
    <col min="17" max="17" width="9" style="18"/>
    <col min="18" max="18" width="11.140625" style="18" customWidth="1"/>
    <col min="19" max="16384" width="9" style="18"/>
  </cols>
  <sheetData>
    <row r="1" spans="1:27" x14ac:dyDescent="0.25">
      <c r="A1" s="54" t="s">
        <v>4</v>
      </c>
      <c r="B1" s="54" t="s">
        <v>5</v>
      </c>
      <c r="C1" s="54" t="s">
        <v>6</v>
      </c>
      <c r="D1" s="54" t="s">
        <v>7</v>
      </c>
      <c r="E1" s="54" t="s">
        <v>11</v>
      </c>
      <c r="H1" s="55" t="s">
        <v>26</v>
      </c>
      <c r="I1" s="55" t="s">
        <v>22</v>
      </c>
      <c r="J1" s="55" t="s">
        <v>21</v>
      </c>
      <c r="K1" s="55" t="s">
        <v>0</v>
      </c>
      <c r="L1" s="55" t="s">
        <v>21</v>
      </c>
      <c r="N1" s="56" t="s">
        <v>29</v>
      </c>
      <c r="O1" s="57" t="s">
        <v>37</v>
      </c>
      <c r="P1" s="58" t="s">
        <v>36</v>
      </c>
    </row>
    <row r="2" spans="1:27" x14ac:dyDescent="0.25">
      <c r="A2" s="1">
        <v>100</v>
      </c>
      <c r="B2" s="1">
        <v>100</v>
      </c>
      <c r="C2" s="1">
        <v>100</v>
      </c>
      <c r="D2" s="50" t="s">
        <v>8</v>
      </c>
      <c r="E2" s="53"/>
      <c r="H2" s="24" t="s">
        <v>23</v>
      </c>
      <c r="I2" s="24" t="s">
        <v>19</v>
      </c>
      <c r="J2" s="11">
        <f>Table!R4</f>
        <v>0</v>
      </c>
      <c r="K2" s="24" t="s">
        <v>20</v>
      </c>
      <c r="L2" s="11">
        <f>Table!R3</f>
        <v>0</v>
      </c>
      <c r="N2" s="1" t="s">
        <v>38</v>
      </c>
      <c r="O2" s="75" t="s">
        <v>39</v>
      </c>
      <c r="P2" s="74">
        <v>3</v>
      </c>
    </row>
    <row r="3" spans="1:27" x14ac:dyDescent="0.25">
      <c r="A3" s="1">
        <v>200</v>
      </c>
      <c r="B3" s="1">
        <v>200</v>
      </c>
      <c r="C3" s="1">
        <v>200</v>
      </c>
      <c r="D3" s="50" t="s">
        <v>9</v>
      </c>
      <c r="E3" s="52"/>
      <c r="H3" s="24" t="s">
        <v>24</v>
      </c>
      <c r="I3" s="24" t="s">
        <v>16</v>
      </c>
      <c r="J3" s="11">
        <f>Table!S4</f>
        <v>0</v>
      </c>
      <c r="K3" s="24" t="s">
        <v>15</v>
      </c>
      <c r="L3" s="11">
        <f>Table!S3</f>
        <v>0</v>
      </c>
    </row>
    <row r="4" spans="1:27" x14ac:dyDescent="0.25">
      <c r="A4" s="1">
        <v>300</v>
      </c>
      <c r="B4" s="1">
        <v>300</v>
      </c>
      <c r="C4" s="1">
        <v>300</v>
      </c>
      <c r="D4" s="50" t="s">
        <v>10</v>
      </c>
      <c r="E4" s="51"/>
      <c r="H4" s="24" t="s">
        <v>25</v>
      </c>
      <c r="I4" s="24" t="s">
        <v>18</v>
      </c>
      <c r="J4" s="11">
        <f>Table!T4</f>
        <v>0</v>
      </c>
      <c r="K4" s="24" t="s">
        <v>17</v>
      </c>
      <c r="L4" s="11">
        <f>Table!T3</f>
        <v>0</v>
      </c>
    </row>
    <row r="7" spans="1:27" x14ac:dyDescent="0.25">
      <c r="A7" s="18" t="s">
        <v>13</v>
      </c>
    </row>
    <row r="8" spans="1:27" x14ac:dyDescent="0.25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</row>
    <row r="9" spans="1:27" x14ac:dyDescent="0.25">
      <c r="A9" s="41" t="s">
        <v>14</v>
      </c>
      <c r="B9" s="77" t="s">
        <v>116</v>
      </c>
      <c r="C9" s="42"/>
      <c r="D9" s="42"/>
      <c r="E9" s="42"/>
      <c r="F9" s="42"/>
      <c r="G9" s="42"/>
      <c r="H9" s="43"/>
      <c r="I9" s="40"/>
      <c r="J9" s="40"/>
      <c r="K9" s="40"/>
      <c r="L9" s="40"/>
      <c r="M9" s="40"/>
    </row>
    <row r="10" spans="1:27" x14ac:dyDescent="0.25">
      <c r="A10" s="44"/>
      <c r="B10" s="45"/>
      <c r="C10" s="45"/>
      <c r="D10" s="45"/>
      <c r="E10" s="45"/>
      <c r="F10" s="45"/>
      <c r="G10" s="45"/>
      <c r="H10" s="46"/>
      <c r="I10" s="40"/>
      <c r="J10" s="40"/>
      <c r="K10" s="40"/>
      <c r="L10" s="40"/>
      <c r="M10" s="40"/>
    </row>
    <row r="11" spans="1:27" x14ac:dyDescent="0.25">
      <c r="A11" s="44"/>
      <c r="B11" s="45"/>
      <c r="C11" s="45"/>
      <c r="D11" s="45"/>
      <c r="E11" s="45"/>
      <c r="F11" s="45"/>
      <c r="G11" s="45"/>
      <c r="H11" s="46"/>
      <c r="I11" s="40"/>
      <c r="J11" s="40"/>
      <c r="K11" s="40"/>
      <c r="L11" s="40"/>
      <c r="M11" s="40"/>
    </row>
    <row r="12" spans="1:27" x14ac:dyDescent="0.25">
      <c r="A12" s="44"/>
      <c r="B12" s="45"/>
      <c r="C12" s="45"/>
      <c r="D12" s="45"/>
      <c r="E12" s="45"/>
      <c r="F12" s="45"/>
      <c r="G12" s="45"/>
      <c r="H12" s="46"/>
      <c r="I12" s="40"/>
      <c r="J12" s="40"/>
      <c r="K12" s="40"/>
      <c r="L12" s="40"/>
      <c r="M12" s="40"/>
    </row>
    <row r="13" spans="1:27" x14ac:dyDescent="0.25">
      <c r="A13" s="47" t="s">
        <v>119</v>
      </c>
      <c r="B13" s="48"/>
      <c r="C13" s="48"/>
      <c r="D13" s="48"/>
      <c r="E13" s="48"/>
      <c r="F13" s="48"/>
      <c r="G13" s="48"/>
      <c r="H13" s="49"/>
      <c r="I13" s="40"/>
      <c r="J13" s="40"/>
      <c r="K13" s="40"/>
      <c r="L13" s="40"/>
      <c r="M13" s="40"/>
      <c r="AA13" s="18">
        <v>3038.93</v>
      </c>
    </row>
    <row r="14" spans="1:27" x14ac:dyDescent="0.25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AA14" s="18">
        <v>29.9</v>
      </c>
    </row>
    <row r="15" spans="1:27" x14ac:dyDescent="0.25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AA15" s="18">
        <v>4435</v>
      </c>
    </row>
    <row r="16" spans="1:27" x14ac:dyDescent="0.25">
      <c r="A16" s="40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</row>
    <row r="17" spans="1:13" x14ac:dyDescent="0.25">
      <c r="A17" s="40"/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0"/>
    </row>
    <row r="18" spans="1:13" x14ac:dyDescent="0.25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0"/>
    </row>
    <row r="19" spans="1:13" x14ac:dyDescent="0.25">
      <c r="A19" s="40"/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</row>
    <row r="20" spans="1:13" x14ac:dyDescent="0.25">
      <c r="A20" s="40"/>
      <c r="B20" s="40"/>
      <c r="C20" s="40"/>
      <c r="D20" s="40"/>
      <c r="E20" s="40"/>
      <c r="F20" s="40"/>
      <c r="G20" s="40"/>
      <c r="H20" s="40"/>
      <c r="I20" s="40"/>
      <c r="J20" s="40"/>
      <c r="K20" s="40"/>
      <c r="L20" s="40"/>
      <c r="M20" s="40"/>
    </row>
  </sheetData>
  <sheetProtection algorithmName="SHA-512" hashValue="JpLSJbd+aoSsrMFR+LOXVDKjNESOCVkOhuFf8iAXdP/Asp595d7nXAPXzTajz3lTmqdjxeaDCnZ2CcB9KdasQQ==" saltValue="ZVripD0VWNjzzL0hXvUeyw==" spinCount="100000" sheet="1" objects="1" scenarios="1"/>
  <dataConsolidate/>
  <dataValidations count="3">
    <dataValidation type="list" allowBlank="1" showInputMessage="1" showErrorMessage="1" sqref="N2" xr:uid="{00000000-0002-0000-0100-000000000000}">
      <formula1>"m|deg/10m,m|deg/30m,ft|deg/100ft"</formula1>
    </dataValidation>
    <dataValidation type="list" allowBlank="1" showInputMessage="1" showErrorMessage="1" sqref="O2" xr:uid="{32F2680E-0C21-499B-B10E-A8D45EAAD335}">
      <formula1>"Depth, Depth &amp; INC,Depth &amp; AZI,Depth &amp; INC &amp; AZI"</formula1>
    </dataValidation>
    <dataValidation type="decimal" allowBlank="1" showInputMessage="1" showErrorMessage="1" sqref="P2" xr:uid="{802DECB5-36F5-43BD-A837-80A2AA2CEF44}">
      <formula1>0</formula1>
      <formula2>100</formula2>
    </dataValidation>
  </dataValidations>
  <hyperlinks>
    <hyperlink ref="B9" r:id="rId1" display="\\100.125.29.19\d\Python\ReadScreen-EXE\output.csv" xr:uid="{DD8BE1FD-B6C1-4942-87BE-49F2D8242ED7}"/>
  </hyperlinks>
  <pageMargins left="0.7" right="0.7" top="0.75" bottom="0.75" header="0.3" footer="0.3"/>
  <pageSetup orientation="portrait" horizontalDpi="300" verticalDpi="300" r:id="rId2"/>
  <headerFooter>
    <oddFooter>&amp;C&amp;1#&amp;"Calibri"&amp;10&amp;K000000Schlumberger-Private</oddFooter>
  </headerFooter>
  <drawing r:id="rId3"/>
  <legacyDrawing r:id="rId4"/>
  <controls>
    <mc:AlternateContent xmlns:mc="http://schemas.openxmlformats.org/markup-compatibility/2006">
      <mc:Choice Requires="x14">
        <control shapeId="1025" r:id="rId5" name="CommandButton1">
          <controlPr locked="0" defaultSize="0" autoLine="0" r:id="rId6">
            <anchor moveWithCells="1">
              <from>
                <xdr:col>0</xdr:col>
                <xdr:colOff>104775</xdr:colOff>
                <xdr:row>9</xdr:row>
                <xdr:rowOff>142875</xdr:rowOff>
              </from>
              <to>
                <xdr:col>7</xdr:col>
                <xdr:colOff>600075</xdr:colOff>
                <xdr:row>11</xdr:row>
                <xdr:rowOff>85725</xdr:rowOff>
              </to>
            </anchor>
          </controlPr>
        </control>
      </mc:Choice>
      <mc:Fallback>
        <control shapeId="1025" r:id="rId5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D61601964EBF047AEF3EC72F0F75110" ma:contentTypeVersion="7" ma:contentTypeDescription="Create a new document." ma:contentTypeScope="" ma:versionID="b1c4babe3435490bbefc8f4fb37e8d9c">
  <xsd:schema xmlns:xsd="http://www.w3.org/2001/XMLSchema" xmlns:xs="http://www.w3.org/2001/XMLSchema" xmlns:p="http://schemas.microsoft.com/office/2006/metadata/properties" xmlns:ns2="2fcddb19-e598-4e26-909a-f8bb56172569" targetNamespace="http://schemas.microsoft.com/office/2006/metadata/properties" ma:root="true" ma:fieldsID="d3907781bb8b541522606962a418e350" ns2:_="">
    <xsd:import namespace="2fcddb19-e598-4e26-909a-f8bb5617256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fcddb19-e598-4e26-909a-f8bb5617256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AE15339-09DD-44DB-915E-6E022506BBA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fcddb19-e598-4e26-909a-f8bb5617256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3A3CDC1-7D08-4672-9C1C-738F58CE445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1D631E2-8911-470B-B5DD-2E70F6FCB9CB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Table</vt:lpstr>
      <vt:lpstr>RSSvsMWD</vt:lpstr>
      <vt:lpstr>Downlink</vt:lpstr>
      <vt:lpstr>Setting</vt:lpstr>
      <vt:lpstr>Downlink!Print_Area</vt:lpstr>
    </vt:vector>
  </TitlesOfParts>
  <Company>Schlumberger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CTaemprasit</dc:creator>
  <cp:lastModifiedBy>Ronnarong Wongmalasit</cp:lastModifiedBy>
  <dcterms:created xsi:type="dcterms:W3CDTF">2012-10-30T10:19:03Z</dcterms:created>
  <dcterms:modified xsi:type="dcterms:W3CDTF">2021-10-04T06:46:52Z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85f1f62-8d2b-4457-869c-0a13c6549635_Enabled">
    <vt:lpwstr>True</vt:lpwstr>
  </property>
  <property fmtid="{D5CDD505-2E9C-101B-9397-08002B2CF9AE}" pid="3" name="MSIP_Label_585f1f62-8d2b-4457-869c-0a13c6549635_SiteId">
    <vt:lpwstr>41ff26dc-250f-4b13-8981-739be8610c21</vt:lpwstr>
  </property>
  <property fmtid="{D5CDD505-2E9C-101B-9397-08002B2CF9AE}" pid="4" name="MSIP_Label_585f1f62-8d2b-4457-869c-0a13c6549635_Owner">
    <vt:lpwstr>RTiaosakun@slb.com</vt:lpwstr>
  </property>
  <property fmtid="{D5CDD505-2E9C-101B-9397-08002B2CF9AE}" pid="5" name="MSIP_Label_585f1f62-8d2b-4457-869c-0a13c6549635_SetDate">
    <vt:lpwstr>2019-12-30T02:22:29.8666701Z</vt:lpwstr>
  </property>
  <property fmtid="{D5CDD505-2E9C-101B-9397-08002B2CF9AE}" pid="6" name="MSIP_Label_585f1f62-8d2b-4457-869c-0a13c6549635_Name">
    <vt:lpwstr>Private</vt:lpwstr>
  </property>
  <property fmtid="{D5CDD505-2E9C-101B-9397-08002B2CF9AE}" pid="7" name="MSIP_Label_585f1f62-8d2b-4457-869c-0a13c6549635_Application">
    <vt:lpwstr>Microsoft Azure Information Protection</vt:lpwstr>
  </property>
  <property fmtid="{D5CDD505-2E9C-101B-9397-08002B2CF9AE}" pid="8" name="MSIP_Label_585f1f62-8d2b-4457-869c-0a13c6549635_ActionId">
    <vt:lpwstr>7c76ee61-5970-49cc-8dfb-0b4774662eef</vt:lpwstr>
  </property>
  <property fmtid="{D5CDD505-2E9C-101B-9397-08002B2CF9AE}" pid="9" name="MSIP_Label_585f1f62-8d2b-4457-869c-0a13c6549635_Extended_MSFT_Method">
    <vt:lpwstr>Automatic</vt:lpwstr>
  </property>
  <property fmtid="{D5CDD505-2E9C-101B-9397-08002B2CF9AE}" pid="10" name="MSIP_Label_8bb759f6-5337-4dc5-b19b-e74b6da11f8f_Enabled">
    <vt:lpwstr>True</vt:lpwstr>
  </property>
  <property fmtid="{D5CDD505-2E9C-101B-9397-08002B2CF9AE}" pid="11" name="MSIP_Label_8bb759f6-5337-4dc5-b19b-e74b6da11f8f_SiteId">
    <vt:lpwstr>41ff26dc-250f-4b13-8981-739be8610c21</vt:lpwstr>
  </property>
  <property fmtid="{D5CDD505-2E9C-101B-9397-08002B2CF9AE}" pid="12" name="MSIP_Label_8bb759f6-5337-4dc5-b19b-e74b6da11f8f_Owner">
    <vt:lpwstr>RTiaosakun@slb.com</vt:lpwstr>
  </property>
  <property fmtid="{D5CDD505-2E9C-101B-9397-08002B2CF9AE}" pid="13" name="MSIP_Label_8bb759f6-5337-4dc5-b19b-e74b6da11f8f_SetDate">
    <vt:lpwstr>2019-12-30T02:22:29.8666701Z</vt:lpwstr>
  </property>
  <property fmtid="{D5CDD505-2E9C-101B-9397-08002B2CF9AE}" pid="14" name="MSIP_Label_8bb759f6-5337-4dc5-b19b-e74b6da11f8f_Name">
    <vt:lpwstr>Internal</vt:lpwstr>
  </property>
  <property fmtid="{D5CDD505-2E9C-101B-9397-08002B2CF9AE}" pid="15" name="MSIP_Label_8bb759f6-5337-4dc5-b19b-e74b6da11f8f_Application">
    <vt:lpwstr>Microsoft Azure Information Protection</vt:lpwstr>
  </property>
  <property fmtid="{D5CDD505-2E9C-101B-9397-08002B2CF9AE}" pid="16" name="MSIP_Label_8bb759f6-5337-4dc5-b19b-e74b6da11f8f_ActionId">
    <vt:lpwstr>7c76ee61-5970-49cc-8dfb-0b4774662eef</vt:lpwstr>
  </property>
  <property fmtid="{D5CDD505-2E9C-101B-9397-08002B2CF9AE}" pid="17" name="MSIP_Label_8bb759f6-5337-4dc5-b19b-e74b6da11f8f_Parent">
    <vt:lpwstr>585f1f62-8d2b-4457-869c-0a13c6549635</vt:lpwstr>
  </property>
  <property fmtid="{D5CDD505-2E9C-101B-9397-08002B2CF9AE}" pid="18" name="MSIP_Label_8bb759f6-5337-4dc5-b19b-e74b6da11f8f_Extended_MSFT_Method">
    <vt:lpwstr>Automatic</vt:lpwstr>
  </property>
  <property fmtid="{D5CDD505-2E9C-101B-9397-08002B2CF9AE}" pid="19" name="Sensitivity">
    <vt:lpwstr>Private Internal</vt:lpwstr>
  </property>
  <property fmtid="{D5CDD505-2E9C-101B-9397-08002B2CF9AE}" pid="20" name="ContentTypeId">
    <vt:lpwstr>0x0101005D61601964EBF047AEF3EC72F0F75110</vt:lpwstr>
  </property>
</Properties>
</file>